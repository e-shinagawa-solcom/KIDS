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lcom-ad\Desktop\"/>
    </mc:Choice>
  </mc:AlternateContent>
  <xr:revisionPtr revIDLastSave="0" documentId="8_{6E9A295C-7E8F-49B7-9644-B4117195F353}" xr6:coauthVersionLast="45" xr6:coauthVersionMax="45" xr10:uidLastSave="{00000000-0000-0000-0000-000000000000}"/>
  <bookViews>
    <workbookView xWindow="-108" yWindow="-108" windowWidth="23256" windowHeight="12720" tabRatio="813" activeTab="3" xr2:uid="{00000000-000D-0000-FFFF-FFFF00000000}"/>
  </bookViews>
  <sheets>
    <sheet name="納品書明細16-E" sheetId="9" r:id="rId1"/>
    <sheet name="納品書明細F-15" sheetId="26" r:id="rId2"/>
    <sheet name="請求Data" sheetId="21" r:id="rId3"/>
    <sheet name="請求書出力" sheetId="33" r:id="rId4"/>
    <sheet name="集計合計" sheetId="30" r:id="rId5"/>
    <sheet name="集計16-E" sheetId="8" r:id="rId6"/>
    <sheet name="集計F-15" sheetId="28" r:id="rId7"/>
    <sheet name="ﾏｽﾀ" sheetId="12" r:id="rId8"/>
    <sheet name="Sheet1" sheetId="32" r:id="rId9"/>
    <sheet name="請求額集計表" sheetId="31" r:id="rId10"/>
  </sheets>
  <definedNames>
    <definedName name="_xlnm._FilterDatabase" localSheetId="8">Sheet1!$A$6:$Y$135</definedName>
    <definedName name="_xlnm._FilterDatabase" localSheetId="5" hidden="1">'集計16-E'!$A$8:$AF$174</definedName>
    <definedName name="_xlnm._FilterDatabase" localSheetId="6" hidden="1">'集計F-15'!$A$8:$AF$174</definedName>
    <definedName name="_xlnm._FilterDatabase" localSheetId="4" hidden="1">集計合計!$A$8:$AG$174</definedName>
    <definedName name="_xlnm._FilterDatabase" localSheetId="2" hidden="1">請求Data!$A$10:$AU$10</definedName>
    <definedName name="_xlnm._FilterDatabase" localSheetId="9" hidden="1">請求額集計表!$A$9:$J$384</definedName>
    <definedName name="_xlnm._FilterDatabase" localSheetId="0" hidden="1">'納品書明細16-E'!$A$8:$V$8</definedName>
    <definedName name="_xlnm._FilterDatabase" localSheetId="1" hidden="1">'納品書明細F-15'!$A$8:$V$8</definedName>
    <definedName name="_xlnm.Print_Area" localSheetId="8">Sheet1!$A$2:$Y$135</definedName>
    <definedName name="_xlnm.Print_Area" localSheetId="7">ﾏｽﾀ!$E$5:$X$124</definedName>
    <definedName name="_xlnm.Print_Area" localSheetId="5">'集計16-E'!$B$5:$AF$177</definedName>
    <definedName name="_xlnm.Print_Area" localSheetId="6">'集計F-15'!$B$5:$AF$177</definedName>
    <definedName name="_xlnm.Print_Area" localSheetId="4">集計合計!$B$5:$AF$177</definedName>
    <definedName name="_xlnm.Print_Area" localSheetId="2">請求Data!$I$1:$AI$162</definedName>
    <definedName name="_xlnm.Print_Area" localSheetId="9">請求額集計表!$D$3:$K$384</definedName>
    <definedName name="_xlnm.Print_Area" localSheetId="3">請求書出力!$A$2:$M$54</definedName>
    <definedName name="_xlnm.Print_Area" localSheetId="0">'納品書明細16-E'!$G$2:$V$206</definedName>
    <definedName name="_xlnm.Print_Area" localSheetId="1">'納品書明細F-15'!$G$2:$V$297</definedName>
    <definedName name="_xlnm.Print_Titles" localSheetId="5">'集計16-E'!$B:$F,'集計16-E'!$5:$8</definedName>
    <definedName name="_xlnm.Print_Titles" localSheetId="6">'集計F-15'!$B:$F,'集計F-15'!$5:$8</definedName>
    <definedName name="_xlnm.Print_Titles" localSheetId="4">集計合計!$B:$F,集計合計!$5:$8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" i="33" l="1"/>
  <c r="J12" i="33" l="1"/>
  <c r="Q24" i="26" l="1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3" i="26"/>
  <c r="Q22" i="26"/>
  <c r="Q21" i="26"/>
  <c r="Q20" i="26"/>
  <c r="Q19" i="26"/>
  <c r="Q18" i="26"/>
  <c r="Q17" i="26"/>
  <c r="Q16" i="26"/>
  <c r="Q15" i="26"/>
  <c r="Q14" i="26"/>
  <c r="Q12" i="26"/>
  <c r="Q13" i="26"/>
  <c r="Q11" i="26"/>
  <c r="Q10" i="26"/>
  <c r="Q9" i="26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10" i="9"/>
  <c r="Q9" i="9"/>
  <c r="C23" i="33" l="1"/>
  <c r="D4" i="33"/>
  <c r="O6" i="33"/>
  <c r="D13" i="33" s="1"/>
  <c r="W34" i="21" l="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33" i="21"/>
  <c r="W32" i="21"/>
  <c r="W31" i="21"/>
  <c r="W30" i="21"/>
  <c r="W29" i="21"/>
  <c r="W28" i="21"/>
  <c r="W27" i="21"/>
  <c r="W26" i="21"/>
  <c r="W25" i="21"/>
  <c r="W24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S34" i="21"/>
  <c r="U34" i="21"/>
  <c r="S35" i="21"/>
  <c r="U35" i="21"/>
  <c r="S36" i="21"/>
  <c r="U36" i="21"/>
  <c r="S37" i="21"/>
  <c r="U37" i="21"/>
  <c r="S38" i="21"/>
  <c r="U38" i="21"/>
  <c r="S39" i="21"/>
  <c r="U39" i="21"/>
  <c r="S40" i="21"/>
  <c r="U40" i="21"/>
  <c r="S41" i="21"/>
  <c r="U41" i="21"/>
  <c r="S42" i="21"/>
  <c r="U42" i="21"/>
  <c r="S43" i="21"/>
  <c r="U43" i="21"/>
  <c r="S44" i="21"/>
  <c r="U44" i="21"/>
  <c r="S45" i="21"/>
  <c r="U45" i="21"/>
  <c r="S46" i="21"/>
  <c r="U46" i="21"/>
  <c r="S47" i="21"/>
  <c r="U47" i="21"/>
  <c r="S48" i="21"/>
  <c r="U48" i="21"/>
  <c r="S49" i="21"/>
  <c r="U49" i="21"/>
  <c r="S50" i="21"/>
  <c r="U50" i="21"/>
  <c r="S51" i="21"/>
  <c r="U51" i="21"/>
  <c r="S52" i="21"/>
  <c r="U52" i="21"/>
  <c r="S53" i="21"/>
  <c r="U53" i="21"/>
  <c r="S54" i="21"/>
  <c r="U54" i="21"/>
  <c r="S55" i="21"/>
  <c r="U55" i="21"/>
  <c r="S56" i="21"/>
  <c r="U56" i="21"/>
  <c r="S57" i="21"/>
  <c r="U57" i="21"/>
  <c r="S58" i="21"/>
  <c r="U58" i="21"/>
  <c r="S59" i="21"/>
  <c r="U59" i="21"/>
  <c r="S60" i="21"/>
  <c r="U60" i="21"/>
  <c r="S61" i="21"/>
  <c r="U61" i="21"/>
  <c r="S62" i="21"/>
  <c r="U62" i="21"/>
  <c r="S63" i="21"/>
  <c r="U63" i="21"/>
  <c r="S64" i="21"/>
  <c r="U64" i="21"/>
  <c r="S65" i="21"/>
  <c r="U65" i="21"/>
  <c r="S66" i="21"/>
  <c r="U66" i="21"/>
  <c r="S67" i="21"/>
  <c r="U67" i="21"/>
  <c r="S68" i="21"/>
  <c r="U68" i="21"/>
  <c r="S69" i="21"/>
  <c r="U69" i="21"/>
  <c r="S70" i="21"/>
  <c r="U70" i="21"/>
  <c r="S71" i="21"/>
  <c r="U71" i="21"/>
  <c r="S72" i="21"/>
  <c r="U72" i="21"/>
  <c r="S73" i="21"/>
  <c r="U73" i="21"/>
  <c r="S74" i="21"/>
  <c r="U74" i="21"/>
  <c r="S75" i="21"/>
  <c r="U75" i="21"/>
  <c r="S76" i="21"/>
  <c r="U76" i="21"/>
  <c r="S77" i="21"/>
  <c r="U77" i="21"/>
  <c r="S78" i="21"/>
  <c r="U78" i="21"/>
  <c r="S79" i="21"/>
  <c r="U79" i="21"/>
  <c r="S80" i="21"/>
  <c r="U80" i="21"/>
  <c r="S81" i="21"/>
  <c r="U81" i="21"/>
  <c r="S82" i="21"/>
  <c r="U82" i="21"/>
  <c r="S83" i="21"/>
  <c r="U83" i="21"/>
  <c r="S84" i="21"/>
  <c r="U84" i="21"/>
  <c r="S85" i="21"/>
  <c r="U85" i="21"/>
  <c r="S86" i="21"/>
  <c r="U86" i="21"/>
  <c r="S87" i="21"/>
  <c r="U87" i="21"/>
  <c r="S88" i="21"/>
  <c r="U88" i="21"/>
  <c r="S89" i="21"/>
  <c r="U89" i="21"/>
  <c r="S90" i="21"/>
  <c r="U90" i="21"/>
  <c r="S91" i="21"/>
  <c r="U91" i="21"/>
  <c r="S92" i="21"/>
  <c r="U92" i="21"/>
  <c r="S93" i="21"/>
  <c r="U93" i="21"/>
  <c r="S94" i="21"/>
  <c r="U94" i="21"/>
  <c r="S95" i="21"/>
  <c r="U95" i="21"/>
  <c r="S96" i="21"/>
  <c r="U96" i="21"/>
  <c r="S97" i="21"/>
  <c r="U97" i="21"/>
  <c r="S98" i="21"/>
  <c r="U98" i="21"/>
  <c r="S99" i="21"/>
  <c r="U99" i="21"/>
  <c r="S100" i="21"/>
  <c r="U100" i="21"/>
  <c r="S101" i="21"/>
  <c r="U101" i="21"/>
  <c r="S102" i="21"/>
  <c r="U102" i="21"/>
  <c r="S103" i="21"/>
  <c r="U103" i="21"/>
  <c r="S104" i="21"/>
  <c r="U104" i="21"/>
  <c r="S105" i="21"/>
  <c r="U105" i="21"/>
  <c r="S106" i="21"/>
  <c r="U106" i="21"/>
  <c r="S107" i="21"/>
  <c r="U107" i="21"/>
  <c r="S108" i="21"/>
  <c r="U108" i="21"/>
  <c r="S109" i="21"/>
  <c r="U109" i="21"/>
  <c r="S110" i="21"/>
  <c r="U110" i="21"/>
  <c r="S111" i="21"/>
  <c r="U111" i="21"/>
  <c r="S112" i="21"/>
  <c r="U112" i="21"/>
  <c r="S113" i="21"/>
  <c r="U113" i="21"/>
  <c r="S114" i="21"/>
  <c r="U114" i="21"/>
  <c r="S115" i="21"/>
  <c r="U115" i="21"/>
  <c r="S116" i="21"/>
  <c r="U116" i="21"/>
  <c r="S117" i="21"/>
  <c r="U117" i="21"/>
  <c r="S118" i="21"/>
  <c r="U118" i="21"/>
  <c r="S119" i="21"/>
  <c r="U119" i="21"/>
  <c r="S120" i="21"/>
  <c r="U120" i="21"/>
  <c r="S121" i="21"/>
  <c r="U121" i="21"/>
  <c r="S122" i="21"/>
  <c r="U122" i="21"/>
  <c r="S123" i="21"/>
  <c r="U123" i="21"/>
  <c r="S124" i="21"/>
  <c r="U124" i="21"/>
  <c r="S125" i="21"/>
  <c r="U125" i="21"/>
  <c r="S126" i="21"/>
  <c r="U126" i="21"/>
  <c r="S127" i="21"/>
  <c r="U127" i="21"/>
  <c r="S128" i="21"/>
  <c r="U128" i="21"/>
  <c r="S129" i="21"/>
  <c r="U129" i="21"/>
  <c r="S130" i="21"/>
  <c r="U130" i="21"/>
  <c r="S131" i="21"/>
  <c r="U131" i="21"/>
  <c r="S132" i="21"/>
  <c r="U132" i="21"/>
  <c r="S133" i="21"/>
  <c r="U133" i="21"/>
  <c r="S134" i="21"/>
  <c r="U134" i="21"/>
  <c r="S135" i="21"/>
  <c r="U135" i="21"/>
  <c r="S136" i="21"/>
  <c r="U136" i="21"/>
  <c r="S137" i="21"/>
  <c r="U137" i="21"/>
  <c r="S138" i="21"/>
  <c r="U138" i="21"/>
  <c r="S139" i="21"/>
  <c r="U139" i="21"/>
  <c r="S140" i="21"/>
  <c r="U140" i="21"/>
  <c r="S141" i="21"/>
  <c r="U141" i="21"/>
  <c r="S142" i="21"/>
  <c r="U142" i="21"/>
  <c r="S143" i="21"/>
  <c r="U143" i="21"/>
  <c r="S144" i="21"/>
  <c r="U144" i="21"/>
  <c r="S145" i="21"/>
  <c r="U145" i="21"/>
  <c r="S146" i="21"/>
  <c r="U146" i="21"/>
  <c r="S147" i="21"/>
  <c r="U147" i="21"/>
  <c r="S148" i="21"/>
  <c r="U148" i="21"/>
  <c r="S149" i="21"/>
  <c r="U149" i="21"/>
  <c r="S150" i="21"/>
  <c r="U150" i="21"/>
  <c r="S151" i="21"/>
  <c r="U151" i="21"/>
  <c r="S152" i="21"/>
  <c r="U152" i="21"/>
  <c r="S153" i="21"/>
  <c r="U153" i="21"/>
  <c r="S154" i="21"/>
  <c r="U154" i="21"/>
  <c r="S155" i="21"/>
  <c r="U155" i="21"/>
  <c r="S156" i="21"/>
  <c r="U156" i="21"/>
  <c r="S157" i="21"/>
  <c r="U157" i="21"/>
  <c r="S158" i="21"/>
  <c r="U158" i="21"/>
  <c r="S159" i="21"/>
  <c r="U159" i="21"/>
  <c r="S160" i="21"/>
  <c r="U160" i="21"/>
  <c r="U33" i="21"/>
  <c r="S33" i="21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8" i="26"/>
  <c r="L139" i="26"/>
  <c r="L140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8" i="26"/>
  <c r="L159" i="26"/>
  <c r="L160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L174" i="26"/>
  <c r="L175" i="26"/>
  <c r="L176" i="26"/>
  <c r="L177" i="26"/>
  <c r="L178" i="26"/>
  <c r="L179" i="26"/>
  <c r="L180" i="26"/>
  <c r="L181" i="26"/>
  <c r="L182" i="26"/>
  <c r="L183" i="26"/>
  <c r="L184" i="26"/>
  <c r="L185" i="26"/>
  <c r="L186" i="26"/>
  <c r="L187" i="26"/>
  <c r="L188" i="26"/>
  <c r="L189" i="26"/>
  <c r="L190" i="26"/>
  <c r="L191" i="26"/>
  <c r="L192" i="26"/>
  <c r="L193" i="26"/>
  <c r="L194" i="26"/>
  <c r="L195" i="26"/>
  <c r="L196" i="26"/>
  <c r="L197" i="26"/>
  <c r="L198" i="26"/>
  <c r="L199" i="26"/>
  <c r="L200" i="26"/>
  <c r="L201" i="26"/>
  <c r="L202" i="26"/>
  <c r="L203" i="26"/>
  <c r="L204" i="26"/>
  <c r="L205" i="26"/>
  <c r="L206" i="26"/>
  <c r="L207" i="26"/>
  <c r="L208" i="26"/>
  <c r="L209" i="26"/>
  <c r="L210" i="26"/>
  <c r="L211" i="26"/>
  <c r="L212" i="26"/>
  <c r="L213" i="26"/>
  <c r="L214" i="26"/>
  <c r="L215" i="26"/>
  <c r="L216" i="26"/>
  <c r="L217" i="26"/>
  <c r="L218" i="26"/>
  <c r="L219" i="26"/>
  <c r="L220" i="26"/>
  <c r="L221" i="26"/>
  <c r="L222" i="26"/>
  <c r="L223" i="26"/>
  <c r="L224" i="26"/>
  <c r="L225" i="26"/>
  <c r="L226" i="26"/>
  <c r="L227" i="26"/>
  <c r="L228" i="26"/>
  <c r="L229" i="26"/>
  <c r="L230" i="26"/>
  <c r="L231" i="26"/>
  <c r="L232" i="26"/>
  <c r="L233" i="26"/>
  <c r="L234" i="26"/>
  <c r="L235" i="26"/>
  <c r="L236" i="26"/>
  <c r="L237" i="26"/>
  <c r="L238" i="26"/>
  <c r="L239" i="26"/>
  <c r="L240" i="26"/>
  <c r="L241" i="26"/>
  <c r="L242" i="26"/>
  <c r="L243" i="26"/>
  <c r="L244" i="26"/>
  <c r="L245" i="26"/>
  <c r="L246" i="26"/>
  <c r="L247" i="26"/>
  <c r="L248" i="26"/>
  <c r="L249" i="26"/>
  <c r="L250" i="26"/>
  <c r="L251" i="26"/>
  <c r="L252" i="26"/>
  <c r="L253" i="26"/>
  <c r="L254" i="26"/>
  <c r="L255" i="26"/>
  <c r="L256" i="26"/>
  <c r="L257" i="26"/>
  <c r="L258" i="26"/>
  <c r="L259" i="26"/>
  <c r="L260" i="26"/>
  <c r="L261" i="26"/>
  <c r="L262" i="26"/>
  <c r="L263" i="26"/>
  <c r="L264" i="26"/>
  <c r="L265" i="26"/>
  <c r="L266" i="26"/>
  <c r="L267" i="26"/>
  <c r="L268" i="26"/>
  <c r="L269" i="26"/>
  <c r="L270" i="26"/>
  <c r="L271" i="26"/>
  <c r="L272" i="26"/>
  <c r="L273" i="26"/>
  <c r="L274" i="26"/>
  <c r="L275" i="26"/>
  <c r="L276" i="26"/>
  <c r="L277" i="26"/>
  <c r="L278" i="26"/>
  <c r="L279" i="26"/>
  <c r="L280" i="26"/>
  <c r="L281" i="26"/>
  <c r="L282" i="26"/>
  <c r="L283" i="26"/>
  <c r="L284" i="26"/>
  <c r="L285" i="26"/>
  <c r="L286" i="26"/>
  <c r="L287" i="26"/>
  <c r="L288" i="26"/>
  <c r="L289" i="26"/>
  <c r="L290" i="26"/>
  <c r="L291" i="26"/>
  <c r="L292" i="26"/>
  <c r="L293" i="26"/>
  <c r="L294" i="26"/>
  <c r="L295" i="26"/>
  <c r="L296" i="26"/>
  <c r="L297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I25" i="26"/>
  <c r="K25" i="26"/>
  <c r="I26" i="26"/>
  <c r="K26" i="26"/>
  <c r="I27" i="26"/>
  <c r="K27" i="26"/>
  <c r="I28" i="26"/>
  <c r="K28" i="26"/>
  <c r="I29" i="26"/>
  <c r="K29" i="26"/>
  <c r="I30" i="26"/>
  <c r="K30" i="26"/>
  <c r="I31" i="26"/>
  <c r="K31" i="26"/>
  <c r="I32" i="26"/>
  <c r="K32" i="26"/>
  <c r="I33" i="26"/>
  <c r="K33" i="26"/>
  <c r="I34" i="26"/>
  <c r="K34" i="26"/>
  <c r="I35" i="26"/>
  <c r="K35" i="26"/>
  <c r="I36" i="26"/>
  <c r="K36" i="26"/>
  <c r="I37" i="26"/>
  <c r="K37" i="26"/>
  <c r="I38" i="26"/>
  <c r="K38" i="26"/>
  <c r="I39" i="26"/>
  <c r="K39" i="26"/>
  <c r="I40" i="26"/>
  <c r="K40" i="26"/>
  <c r="I41" i="26"/>
  <c r="K41" i="26"/>
  <c r="I42" i="26"/>
  <c r="K42" i="26"/>
  <c r="I43" i="26"/>
  <c r="K43" i="26"/>
  <c r="I44" i="26"/>
  <c r="K44" i="26"/>
  <c r="I45" i="26"/>
  <c r="K45" i="26"/>
  <c r="I46" i="26"/>
  <c r="K46" i="26"/>
  <c r="I47" i="26"/>
  <c r="K47" i="26"/>
  <c r="I48" i="26"/>
  <c r="K48" i="26"/>
  <c r="I49" i="26"/>
  <c r="K49" i="26"/>
  <c r="I50" i="26"/>
  <c r="K50" i="26"/>
  <c r="I51" i="26"/>
  <c r="K51" i="26"/>
  <c r="I52" i="26"/>
  <c r="K52" i="26"/>
  <c r="I53" i="26"/>
  <c r="K53" i="26"/>
  <c r="I54" i="26"/>
  <c r="K54" i="26"/>
  <c r="I55" i="26"/>
  <c r="K55" i="26"/>
  <c r="I56" i="26"/>
  <c r="K56" i="26"/>
  <c r="I57" i="26"/>
  <c r="K57" i="26"/>
  <c r="I58" i="26"/>
  <c r="K58" i="26"/>
  <c r="I59" i="26"/>
  <c r="K59" i="26"/>
  <c r="I60" i="26"/>
  <c r="K60" i="26"/>
  <c r="I61" i="26"/>
  <c r="K61" i="26"/>
  <c r="I62" i="26"/>
  <c r="K62" i="26"/>
  <c r="I63" i="26"/>
  <c r="K63" i="26"/>
  <c r="I64" i="26"/>
  <c r="K64" i="26"/>
  <c r="I65" i="26"/>
  <c r="K65" i="26"/>
  <c r="I66" i="26"/>
  <c r="K66" i="26"/>
  <c r="I67" i="26"/>
  <c r="K67" i="26"/>
  <c r="I68" i="26"/>
  <c r="K68" i="26"/>
  <c r="I69" i="26"/>
  <c r="K69" i="26"/>
  <c r="I70" i="26"/>
  <c r="K70" i="26"/>
  <c r="I71" i="26"/>
  <c r="K71" i="26"/>
  <c r="I72" i="26"/>
  <c r="K72" i="26"/>
  <c r="I73" i="26"/>
  <c r="K73" i="26"/>
  <c r="I74" i="26"/>
  <c r="K74" i="26"/>
  <c r="I75" i="26"/>
  <c r="K75" i="26"/>
  <c r="I76" i="26"/>
  <c r="K76" i="26"/>
  <c r="I77" i="26"/>
  <c r="K77" i="26"/>
  <c r="I78" i="26"/>
  <c r="K78" i="26"/>
  <c r="I79" i="26"/>
  <c r="K79" i="26"/>
  <c r="I80" i="26"/>
  <c r="K80" i="26"/>
  <c r="I81" i="26"/>
  <c r="K81" i="26"/>
  <c r="I82" i="26"/>
  <c r="K82" i="26"/>
  <c r="I83" i="26"/>
  <c r="K83" i="26"/>
  <c r="I84" i="26"/>
  <c r="K84" i="26"/>
  <c r="I85" i="26"/>
  <c r="K85" i="26"/>
  <c r="I86" i="26"/>
  <c r="K86" i="26"/>
  <c r="I87" i="26"/>
  <c r="K87" i="26"/>
  <c r="I88" i="26"/>
  <c r="K88" i="26"/>
  <c r="I89" i="26"/>
  <c r="K89" i="26"/>
  <c r="I90" i="26"/>
  <c r="K90" i="26"/>
  <c r="I91" i="26"/>
  <c r="K91" i="26"/>
  <c r="I92" i="26"/>
  <c r="K92" i="26"/>
  <c r="I93" i="26"/>
  <c r="K93" i="26"/>
  <c r="I94" i="26"/>
  <c r="K94" i="26"/>
  <c r="I95" i="26"/>
  <c r="K95" i="26"/>
  <c r="I96" i="26"/>
  <c r="K96" i="26"/>
  <c r="I97" i="26"/>
  <c r="K97" i="26"/>
  <c r="I98" i="26"/>
  <c r="K98" i="26"/>
  <c r="I99" i="26"/>
  <c r="K99" i="26"/>
  <c r="I100" i="26"/>
  <c r="K100" i="26"/>
  <c r="I101" i="26"/>
  <c r="K101" i="26"/>
  <c r="I102" i="26"/>
  <c r="K102" i="26"/>
  <c r="I103" i="26"/>
  <c r="K103" i="26"/>
  <c r="I104" i="26"/>
  <c r="K104" i="26"/>
  <c r="I105" i="26"/>
  <c r="K105" i="26"/>
  <c r="I106" i="26"/>
  <c r="K106" i="26"/>
  <c r="I107" i="26"/>
  <c r="K107" i="26"/>
  <c r="I108" i="26"/>
  <c r="K108" i="26"/>
  <c r="I109" i="26"/>
  <c r="K109" i="26"/>
  <c r="I110" i="26"/>
  <c r="K110" i="26"/>
  <c r="I111" i="26"/>
  <c r="K111" i="26"/>
  <c r="I112" i="26"/>
  <c r="K112" i="26"/>
  <c r="I113" i="26"/>
  <c r="K113" i="26"/>
  <c r="I114" i="26"/>
  <c r="K114" i="26"/>
  <c r="I115" i="26"/>
  <c r="K115" i="26"/>
  <c r="I116" i="26"/>
  <c r="K116" i="26"/>
  <c r="I117" i="26"/>
  <c r="K117" i="26"/>
  <c r="I118" i="26"/>
  <c r="K118" i="26"/>
  <c r="I119" i="26"/>
  <c r="K119" i="26"/>
  <c r="I120" i="26"/>
  <c r="K120" i="26"/>
  <c r="I121" i="26"/>
  <c r="K121" i="26"/>
  <c r="I122" i="26"/>
  <c r="K122" i="26"/>
  <c r="I123" i="26"/>
  <c r="K123" i="26"/>
  <c r="I124" i="26"/>
  <c r="K124" i="26"/>
  <c r="I125" i="26"/>
  <c r="K125" i="26"/>
  <c r="I126" i="26"/>
  <c r="K126" i="26"/>
  <c r="I127" i="26"/>
  <c r="K127" i="26"/>
  <c r="I128" i="26"/>
  <c r="K128" i="26"/>
  <c r="I129" i="26"/>
  <c r="K129" i="26"/>
  <c r="I130" i="26"/>
  <c r="K130" i="26"/>
  <c r="I131" i="26"/>
  <c r="K131" i="26"/>
  <c r="I132" i="26"/>
  <c r="K132" i="26"/>
  <c r="I133" i="26"/>
  <c r="K133" i="26"/>
  <c r="I134" i="26"/>
  <c r="K134" i="26"/>
  <c r="I135" i="26"/>
  <c r="K135" i="26"/>
  <c r="I136" i="26"/>
  <c r="K136" i="26"/>
  <c r="I137" i="26"/>
  <c r="K137" i="26"/>
  <c r="I138" i="26"/>
  <c r="K138" i="26"/>
  <c r="I139" i="26"/>
  <c r="K139" i="26"/>
  <c r="I140" i="26"/>
  <c r="K140" i="26"/>
  <c r="I141" i="26"/>
  <c r="K141" i="26"/>
  <c r="I142" i="26"/>
  <c r="K142" i="26"/>
  <c r="I143" i="26"/>
  <c r="K143" i="26"/>
  <c r="I144" i="26"/>
  <c r="K144" i="26"/>
  <c r="I145" i="26"/>
  <c r="K145" i="26"/>
  <c r="I146" i="26"/>
  <c r="K146" i="26"/>
  <c r="I147" i="26"/>
  <c r="K147" i="26"/>
  <c r="I148" i="26"/>
  <c r="K148" i="26"/>
  <c r="I149" i="26"/>
  <c r="K149" i="26"/>
  <c r="I150" i="26"/>
  <c r="K150" i="26"/>
  <c r="I151" i="26"/>
  <c r="K151" i="26"/>
  <c r="I152" i="26"/>
  <c r="K152" i="26"/>
  <c r="I153" i="26"/>
  <c r="K153" i="26"/>
  <c r="I154" i="26"/>
  <c r="K154" i="26"/>
  <c r="I155" i="26"/>
  <c r="K155" i="26"/>
  <c r="I156" i="26"/>
  <c r="K156" i="26"/>
  <c r="I157" i="26"/>
  <c r="K157" i="26"/>
  <c r="I158" i="26"/>
  <c r="K158" i="26"/>
  <c r="I159" i="26"/>
  <c r="K159" i="26"/>
  <c r="I160" i="26"/>
  <c r="K160" i="26"/>
  <c r="I161" i="26"/>
  <c r="K161" i="26"/>
  <c r="I162" i="26"/>
  <c r="K162" i="26"/>
  <c r="I163" i="26"/>
  <c r="K163" i="26"/>
  <c r="I164" i="26"/>
  <c r="K164" i="26"/>
  <c r="I165" i="26"/>
  <c r="K165" i="26"/>
  <c r="I166" i="26"/>
  <c r="K166" i="26"/>
  <c r="I167" i="26"/>
  <c r="K167" i="26"/>
  <c r="I168" i="26"/>
  <c r="K168" i="26"/>
  <c r="I169" i="26"/>
  <c r="K169" i="26"/>
  <c r="I170" i="26"/>
  <c r="K170" i="26"/>
  <c r="I171" i="26"/>
  <c r="K171" i="26"/>
  <c r="I172" i="26"/>
  <c r="K172" i="26"/>
  <c r="I173" i="26"/>
  <c r="K173" i="26"/>
  <c r="I174" i="26"/>
  <c r="K174" i="26"/>
  <c r="I175" i="26"/>
  <c r="K175" i="26"/>
  <c r="I176" i="26"/>
  <c r="K176" i="26"/>
  <c r="I177" i="26"/>
  <c r="K177" i="26"/>
  <c r="I178" i="26"/>
  <c r="K178" i="26"/>
  <c r="I179" i="26"/>
  <c r="K179" i="26"/>
  <c r="I180" i="26"/>
  <c r="K180" i="26"/>
  <c r="I181" i="26"/>
  <c r="K181" i="26"/>
  <c r="I182" i="26"/>
  <c r="K182" i="26"/>
  <c r="I183" i="26"/>
  <c r="K183" i="26"/>
  <c r="I184" i="26"/>
  <c r="K184" i="26"/>
  <c r="I185" i="26"/>
  <c r="K185" i="26"/>
  <c r="I186" i="26"/>
  <c r="K186" i="26"/>
  <c r="I187" i="26"/>
  <c r="K187" i="26"/>
  <c r="I188" i="26"/>
  <c r="K188" i="26"/>
  <c r="I189" i="26"/>
  <c r="K189" i="26"/>
  <c r="I190" i="26"/>
  <c r="K190" i="26"/>
  <c r="I191" i="26"/>
  <c r="K191" i="26"/>
  <c r="I192" i="26"/>
  <c r="K192" i="26"/>
  <c r="I193" i="26"/>
  <c r="K193" i="26"/>
  <c r="I194" i="26"/>
  <c r="K194" i="26"/>
  <c r="I195" i="26"/>
  <c r="K195" i="26"/>
  <c r="I196" i="26"/>
  <c r="K196" i="26"/>
  <c r="I197" i="26"/>
  <c r="K197" i="26"/>
  <c r="I198" i="26"/>
  <c r="K198" i="26"/>
  <c r="I199" i="26"/>
  <c r="K199" i="26"/>
  <c r="I200" i="26"/>
  <c r="K200" i="26"/>
  <c r="I201" i="26"/>
  <c r="K201" i="26"/>
  <c r="I202" i="26"/>
  <c r="K202" i="26"/>
  <c r="I203" i="26"/>
  <c r="K203" i="26"/>
  <c r="I204" i="26"/>
  <c r="K204" i="26"/>
  <c r="I205" i="26"/>
  <c r="K205" i="26"/>
  <c r="I206" i="26"/>
  <c r="K206" i="26"/>
  <c r="I207" i="26"/>
  <c r="K207" i="26"/>
  <c r="I208" i="26"/>
  <c r="K208" i="26"/>
  <c r="I209" i="26"/>
  <c r="K209" i="26"/>
  <c r="I210" i="26"/>
  <c r="K210" i="26"/>
  <c r="I211" i="26"/>
  <c r="K211" i="26"/>
  <c r="I212" i="26"/>
  <c r="K212" i="26"/>
  <c r="I213" i="26"/>
  <c r="K213" i="26"/>
  <c r="I214" i="26"/>
  <c r="K214" i="26"/>
  <c r="I215" i="26"/>
  <c r="K215" i="26"/>
  <c r="I216" i="26"/>
  <c r="K216" i="26"/>
  <c r="I217" i="26"/>
  <c r="K217" i="26"/>
  <c r="I218" i="26"/>
  <c r="K218" i="26"/>
  <c r="I219" i="26"/>
  <c r="K219" i="26"/>
  <c r="I220" i="26"/>
  <c r="K220" i="26"/>
  <c r="I221" i="26"/>
  <c r="K221" i="26"/>
  <c r="I222" i="26"/>
  <c r="K222" i="26"/>
  <c r="I223" i="26"/>
  <c r="K223" i="26"/>
  <c r="I224" i="26"/>
  <c r="K224" i="26"/>
  <c r="I225" i="26"/>
  <c r="K225" i="26"/>
  <c r="I226" i="26"/>
  <c r="K226" i="26"/>
  <c r="I227" i="26"/>
  <c r="K227" i="26"/>
  <c r="I228" i="26"/>
  <c r="K228" i="26"/>
  <c r="I229" i="26"/>
  <c r="K229" i="26"/>
  <c r="I230" i="26"/>
  <c r="K230" i="26"/>
  <c r="I231" i="26"/>
  <c r="K231" i="26"/>
  <c r="I232" i="26"/>
  <c r="K232" i="26"/>
  <c r="I233" i="26"/>
  <c r="K233" i="26"/>
  <c r="I234" i="26"/>
  <c r="K234" i="26"/>
  <c r="I235" i="26"/>
  <c r="K235" i="26"/>
  <c r="I236" i="26"/>
  <c r="K236" i="26"/>
  <c r="I237" i="26"/>
  <c r="K237" i="26"/>
  <c r="I238" i="26"/>
  <c r="K238" i="26"/>
  <c r="I239" i="26"/>
  <c r="K239" i="26"/>
  <c r="I240" i="26"/>
  <c r="K240" i="26"/>
  <c r="I241" i="26"/>
  <c r="K241" i="26"/>
  <c r="I242" i="26"/>
  <c r="K242" i="26"/>
  <c r="I243" i="26"/>
  <c r="K243" i="26"/>
  <c r="I244" i="26"/>
  <c r="K244" i="26"/>
  <c r="I245" i="26"/>
  <c r="K245" i="26"/>
  <c r="I246" i="26"/>
  <c r="K246" i="26"/>
  <c r="I247" i="26"/>
  <c r="K247" i="26"/>
  <c r="I248" i="26"/>
  <c r="K248" i="26"/>
  <c r="I249" i="26"/>
  <c r="K249" i="26"/>
  <c r="I250" i="26"/>
  <c r="K250" i="26"/>
  <c r="I251" i="26"/>
  <c r="K251" i="26"/>
  <c r="I252" i="26"/>
  <c r="K252" i="26"/>
  <c r="I253" i="26"/>
  <c r="K253" i="26"/>
  <c r="I254" i="26"/>
  <c r="K254" i="26"/>
  <c r="I255" i="26"/>
  <c r="K255" i="26"/>
  <c r="I256" i="26"/>
  <c r="K256" i="26"/>
  <c r="I257" i="26"/>
  <c r="K257" i="26"/>
  <c r="I258" i="26"/>
  <c r="K258" i="26"/>
  <c r="I259" i="26"/>
  <c r="K259" i="26"/>
  <c r="I260" i="26"/>
  <c r="K260" i="26"/>
  <c r="I261" i="26"/>
  <c r="K261" i="26"/>
  <c r="I262" i="26"/>
  <c r="K262" i="26"/>
  <c r="I263" i="26"/>
  <c r="K263" i="26"/>
  <c r="I264" i="26"/>
  <c r="K264" i="26"/>
  <c r="I265" i="26"/>
  <c r="K265" i="26"/>
  <c r="I266" i="26"/>
  <c r="K266" i="26"/>
  <c r="I267" i="26"/>
  <c r="K267" i="26"/>
  <c r="I268" i="26"/>
  <c r="K268" i="26"/>
  <c r="I269" i="26"/>
  <c r="K269" i="26"/>
  <c r="I270" i="26"/>
  <c r="K270" i="26"/>
  <c r="I271" i="26"/>
  <c r="K271" i="26"/>
  <c r="I272" i="26"/>
  <c r="K272" i="26"/>
  <c r="I273" i="26"/>
  <c r="K273" i="26"/>
  <c r="I274" i="26"/>
  <c r="K274" i="26"/>
  <c r="I275" i="26"/>
  <c r="K275" i="26"/>
  <c r="I276" i="26"/>
  <c r="K276" i="26"/>
  <c r="I277" i="26"/>
  <c r="K277" i="26"/>
  <c r="I278" i="26"/>
  <c r="K278" i="26"/>
  <c r="I279" i="26"/>
  <c r="K279" i="26"/>
  <c r="I280" i="26"/>
  <c r="K280" i="26"/>
  <c r="I281" i="26"/>
  <c r="K281" i="26"/>
  <c r="I282" i="26"/>
  <c r="K282" i="26"/>
  <c r="I283" i="26"/>
  <c r="K283" i="26"/>
  <c r="I284" i="26"/>
  <c r="K284" i="26"/>
  <c r="I285" i="26"/>
  <c r="K285" i="26"/>
  <c r="I286" i="26"/>
  <c r="K286" i="26"/>
  <c r="I287" i="26"/>
  <c r="K287" i="26"/>
  <c r="I288" i="26"/>
  <c r="K288" i="26"/>
  <c r="I289" i="26"/>
  <c r="K289" i="26"/>
  <c r="I290" i="26"/>
  <c r="K290" i="26"/>
  <c r="I291" i="26"/>
  <c r="K291" i="26"/>
  <c r="I292" i="26"/>
  <c r="K292" i="26"/>
  <c r="I293" i="26"/>
  <c r="K293" i="26"/>
  <c r="I294" i="26"/>
  <c r="K294" i="26"/>
  <c r="I295" i="26"/>
  <c r="K295" i="26"/>
  <c r="I296" i="26"/>
  <c r="K296" i="26"/>
  <c r="I297" i="26"/>
  <c r="K297" i="26"/>
  <c r="I24" i="26"/>
  <c r="K24" i="26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16" i="9"/>
  <c r="L15" i="9"/>
  <c r="L14" i="9"/>
  <c r="L13" i="9"/>
  <c r="L12" i="9"/>
  <c r="L11" i="9"/>
  <c r="L10" i="9"/>
  <c r="F94" i="28" l="1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E144" i="28" s="1"/>
  <c r="F145" i="28"/>
  <c r="E145" i="28" s="1"/>
  <c r="F146" i="28"/>
  <c r="E146" i="28" s="1"/>
  <c r="F147" i="28"/>
  <c r="E147" i="28" s="1"/>
  <c r="F148" i="28"/>
  <c r="E148" i="28" s="1"/>
  <c r="F149" i="28"/>
  <c r="E149" i="28" s="1"/>
  <c r="F150" i="28"/>
  <c r="E150" i="28" s="1"/>
  <c r="F151" i="28"/>
  <c r="E151" i="28" s="1"/>
  <c r="F152" i="28"/>
  <c r="E152" i="28" s="1"/>
  <c r="F153" i="28"/>
  <c r="E153" i="28" s="1"/>
  <c r="F154" i="28"/>
  <c r="E154" i="28" s="1"/>
  <c r="F155" i="28"/>
  <c r="E155" i="28" s="1"/>
  <c r="F156" i="28"/>
  <c r="E156" i="28" s="1"/>
  <c r="F157" i="28"/>
  <c r="E157" i="28" s="1"/>
  <c r="F158" i="28"/>
  <c r="E158" i="28" s="1"/>
  <c r="F159" i="28"/>
  <c r="E159" i="28" s="1"/>
  <c r="F160" i="28"/>
  <c r="E160" i="28" s="1"/>
  <c r="F161" i="28"/>
  <c r="E161" i="28" s="1"/>
  <c r="F162" i="28"/>
  <c r="E162" i="28" s="1"/>
  <c r="F163" i="28"/>
  <c r="E163" i="28" s="1"/>
  <c r="F164" i="28"/>
  <c r="E164" i="28" s="1"/>
  <c r="F165" i="28"/>
  <c r="E165" i="28" s="1"/>
  <c r="F166" i="28"/>
  <c r="E166" i="28" s="1"/>
  <c r="F167" i="28"/>
  <c r="E167" i="28" s="1"/>
  <c r="F168" i="28"/>
  <c r="E168" i="28" s="1"/>
  <c r="F169" i="28"/>
  <c r="E169" i="28" s="1"/>
  <c r="F170" i="28"/>
  <c r="E170" i="28" s="1"/>
  <c r="F171" i="28"/>
  <c r="E171" i="28" s="1"/>
  <c r="F172" i="28"/>
  <c r="E172" i="28" s="1"/>
  <c r="F173" i="28"/>
  <c r="E173" i="28" s="1"/>
  <c r="F174" i="28"/>
  <c r="E174" i="28" s="1"/>
  <c r="F9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E60" i="28" s="1"/>
  <c r="F61" i="28"/>
  <c r="E61" i="28" s="1"/>
  <c r="F62" i="28"/>
  <c r="E62" i="28" s="1"/>
  <c r="F63" i="28"/>
  <c r="E63" i="28" s="1"/>
  <c r="F64" i="28"/>
  <c r="E64" i="28" s="1"/>
  <c r="F65" i="28"/>
  <c r="E65" i="28" s="1"/>
  <c r="F66" i="28"/>
  <c r="E66" i="28" s="1"/>
  <c r="F67" i="28"/>
  <c r="E67" i="28" s="1"/>
  <c r="F68" i="28"/>
  <c r="E68" i="28" s="1"/>
  <c r="F69" i="28"/>
  <c r="E69" i="28" s="1"/>
  <c r="F70" i="28"/>
  <c r="E70" i="28" s="1"/>
  <c r="F71" i="28"/>
  <c r="E71" i="28" s="1"/>
  <c r="F72" i="28"/>
  <c r="E72" i="28" s="1"/>
  <c r="F73" i="28"/>
  <c r="E73" i="28" s="1"/>
  <c r="F74" i="28"/>
  <c r="E74" i="28" s="1"/>
  <c r="F75" i="28"/>
  <c r="E75" i="28" s="1"/>
  <c r="F76" i="28"/>
  <c r="E76" i="28" s="1"/>
  <c r="F77" i="28"/>
  <c r="E77" i="28" s="1"/>
  <c r="F78" i="28"/>
  <c r="E78" i="28" s="1"/>
  <c r="F79" i="28"/>
  <c r="E79" i="28" s="1"/>
  <c r="F80" i="28"/>
  <c r="E80" i="28" s="1"/>
  <c r="F81" i="28"/>
  <c r="E81" i="28" s="1"/>
  <c r="F82" i="28"/>
  <c r="E82" i="28" s="1"/>
  <c r="F83" i="28"/>
  <c r="E83" i="28" s="1"/>
  <c r="F84" i="28"/>
  <c r="E84" i="28" s="1"/>
  <c r="F85" i="28"/>
  <c r="E85" i="28" s="1"/>
  <c r="F86" i="28"/>
  <c r="E86" i="28" s="1"/>
  <c r="F87" i="28"/>
  <c r="E87" i="28" s="1"/>
  <c r="F88" i="28"/>
  <c r="E88" i="28" s="1"/>
  <c r="F89" i="28"/>
  <c r="E89" i="28" s="1"/>
  <c r="F90" i="28"/>
  <c r="E90" i="28" s="1"/>
  <c r="F9" i="2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E144" i="8" s="1"/>
  <c r="F145" i="8"/>
  <c r="E145" i="8" s="1"/>
  <c r="F146" i="8"/>
  <c r="E146" i="8" s="1"/>
  <c r="F147" i="8"/>
  <c r="E147" i="8" s="1"/>
  <c r="F148" i="8"/>
  <c r="E148" i="8" s="1"/>
  <c r="F149" i="8"/>
  <c r="E149" i="8" s="1"/>
  <c r="F150" i="8"/>
  <c r="E150" i="8" s="1"/>
  <c r="F151" i="8"/>
  <c r="E151" i="8" s="1"/>
  <c r="F152" i="8"/>
  <c r="E152" i="8" s="1"/>
  <c r="F153" i="8"/>
  <c r="E153" i="8" s="1"/>
  <c r="F154" i="8"/>
  <c r="E154" i="8" s="1"/>
  <c r="F155" i="8"/>
  <c r="E155" i="8" s="1"/>
  <c r="F156" i="8"/>
  <c r="E156" i="8" s="1"/>
  <c r="F157" i="8"/>
  <c r="E157" i="8" s="1"/>
  <c r="F158" i="8"/>
  <c r="E158" i="8" s="1"/>
  <c r="F159" i="8"/>
  <c r="E159" i="8" s="1"/>
  <c r="F160" i="8"/>
  <c r="E160" i="8" s="1"/>
  <c r="F161" i="8"/>
  <c r="E161" i="8" s="1"/>
  <c r="F162" i="8"/>
  <c r="E162" i="8" s="1"/>
  <c r="F163" i="8"/>
  <c r="E163" i="8" s="1"/>
  <c r="F164" i="8"/>
  <c r="E164" i="8" s="1"/>
  <c r="F165" i="8"/>
  <c r="E165" i="8" s="1"/>
  <c r="F166" i="8"/>
  <c r="E166" i="8" s="1"/>
  <c r="F167" i="8"/>
  <c r="E167" i="8" s="1"/>
  <c r="F168" i="8"/>
  <c r="E168" i="8" s="1"/>
  <c r="F169" i="8"/>
  <c r="E169" i="8" s="1"/>
  <c r="F170" i="8"/>
  <c r="E170" i="8" s="1"/>
  <c r="F171" i="8"/>
  <c r="E171" i="8" s="1"/>
  <c r="F172" i="8"/>
  <c r="E172" i="8" s="1"/>
  <c r="F173" i="8"/>
  <c r="E173" i="8" s="1"/>
  <c r="F174" i="8"/>
  <c r="E174" i="8" s="1"/>
  <c r="F93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E60" i="8" s="1"/>
  <c r="F61" i="8"/>
  <c r="E61" i="8" s="1"/>
  <c r="F62" i="8"/>
  <c r="E62" i="8" s="1"/>
  <c r="F63" i="8"/>
  <c r="E63" i="8" s="1"/>
  <c r="F64" i="8"/>
  <c r="E64" i="8" s="1"/>
  <c r="F65" i="8"/>
  <c r="E65" i="8" s="1"/>
  <c r="F66" i="8"/>
  <c r="E66" i="8" s="1"/>
  <c r="F67" i="8"/>
  <c r="E67" i="8" s="1"/>
  <c r="F68" i="8"/>
  <c r="E68" i="8" s="1"/>
  <c r="F69" i="8"/>
  <c r="E69" i="8" s="1"/>
  <c r="F70" i="8"/>
  <c r="E70" i="8" s="1"/>
  <c r="F71" i="8"/>
  <c r="E71" i="8" s="1"/>
  <c r="F72" i="8"/>
  <c r="E72" i="8" s="1"/>
  <c r="F73" i="8"/>
  <c r="E73" i="8" s="1"/>
  <c r="F74" i="8"/>
  <c r="E74" i="8" s="1"/>
  <c r="F75" i="8"/>
  <c r="E75" i="8" s="1"/>
  <c r="F76" i="8"/>
  <c r="E76" i="8" s="1"/>
  <c r="F77" i="8"/>
  <c r="E77" i="8" s="1"/>
  <c r="F78" i="8"/>
  <c r="E78" i="8" s="1"/>
  <c r="F79" i="8"/>
  <c r="E79" i="8" s="1"/>
  <c r="F80" i="8"/>
  <c r="E80" i="8" s="1"/>
  <c r="F81" i="8"/>
  <c r="E81" i="8" s="1"/>
  <c r="F82" i="8"/>
  <c r="E82" i="8" s="1"/>
  <c r="F83" i="8"/>
  <c r="E83" i="8" s="1"/>
  <c r="F84" i="8"/>
  <c r="E84" i="8" s="1"/>
  <c r="F85" i="8"/>
  <c r="E85" i="8" s="1"/>
  <c r="F86" i="8"/>
  <c r="E86" i="8" s="1"/>
  <c r="F87" i="8"/>
  <c r="E87" i="8" s="1"/>
  <c r="F88" i="8"/>
  <c r="E88" i="8" s="1"/>
  <c r="F89" i="8"/>
  <c r="E89" i="8" s="1"/>
  <c r="F90" i="8"/>
  <c r="E90" i="8" s="1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E144" i="30" s="1"/>
  <c r="F145" i="30"/>
  <c r="E145" i="30" s="1"/>
  <c r="F146" i="30"/>
  <c r="E146" i="30" s="1"/>
  <c r="F147" i="30"/>
  <c r="E147" i="30" s="1"/>
  <c r="F148" i="30"/>
  <c r="E148" i="30" s="1"/>
  <c r="F149" i="30"/>
  <c r="E149" i="30" s="1"/>
  <c r="F150" i="30"/>
  <c r="E150" i="30" s="1"/>
  <c r="F151" i="30"/>
  <c r="E151" i="30" s="1"/>
  <c r="F152" i="30"/>
  <c r="E152" i="30" s="1"/>
  <c r="F153" i="30"/>
  <c r="E153" i="30" s="1"/>
  <c r="F154" i="30"/>
  <c r="E154" i="30" s="1"/>
  <c r="F155" i="30"/>
  <c r="E155" i="30" s="1"/>
  <c r="F156" i="30"/>
  <c r="E156" i="30" s="1"/>
  <c r="F157" i="30"/>
  <c r="E157" i="30" s="1"/>
  <c r="F158" i="30"/>
  <c r="E158" i="30" s="1"/>
  <c r="F159" i="30"/>
  <c r="E159" i="30" s="1"/>
  <c r="F160" i="30"/>
  <c r="E160" i="30" s="1"/>
  <c r="F161" i="30"/>
  <c r="E161" i="30" s="1"/>
  <c r="F162" i="30"/>
  <c r="E162" i="30" s="1"/>
  <c r="F163" i="30"/>
  <c r="E163" i="30" s="1"/>
  <c r="F164" i="30"/>
  <c r="E164" i="30" s="1"/>
  <c r="F165" i="30"/>
  <c r="E165" i="30" s="1"/>
  <c r="F166" i="30"/>
  <c r="E166" i="30" s="1"/>
  <c r="F167" i="30"/>
  <c r="E167" i="30" s="1"/>
  <c r="F168" i="30"/>
  <c r="E168" i="30" s="1"/>
  <c r="F169" i="30"/>
  <c r="E169" i="30" s="1"/>
  <c r="F170" i="30"/>
  <c r="E170" i="30" s="1"/>
  <c r="F171" i="30"/>
  <c r="E171" i="30" s="1"/>
  <c r="F172" i="30"/>
  <c r="E172" i="30" s="1"/>
  <c r="F173" i="30"/>
  <c r="E173" i="30" s="1"/>
  <c r="F174" i="30"/>
  <c r="E174" i="30" s="1"/>
  <c r="F93" i="30"/>
  <c r="F9" i="8"/>
  <c r="F67" i="30" l="1"/>
  <c r="E67" i="30" s="1"/>
  <c r="F68" i="30"/>
  <c r="E68" i="30" s="1"/>
  <c r="F69" i="30"/>
  <c r="E69" i="30" s="1"/>
  <c r="F70" i="30"/>
  <c r="E70" i="30" s="1"/>
  <c r="F71" i="30"/>
  <c r="E71" i="30" s="1"/>
  <c r="F72" i="30"/>
  <c r="E72" i="30" s="1"/>
  <c r="F73" i="30"/>
  <c r="E73" i="30" s="1"/>
  <c r="F74" i="30"/>
  <c r="E74" i="30" s="1"/>
  <c r="F75" i="30"/>
  <c r="E75" i="30" s="1"/>
  <c r="F76" i="30"/>
  <c r="E76" i="30" s="1"/>
  <c r="F77" i="30"/>
  <c r="E77" i="30" s="1"/>
  <c r="F78" i="30"/>
  <c r="E78" i="30" s="1"/>
  <c r="F79" i="30"/>
  <c r="E79" i="30" s="1"/>
  <c r="F80" i="30"/>
  <c r="E80" i="30" s="1"/>
  <c r="F81" i="30"/>
  <c r="E81" i="30" s="1"/>
  <c r="F82" i="30"/>
  <c r="E82" i="30" s="1"/>
  <c r="F83" i="30"/>
  <c r="E83" i="30" s="1"/>
  <c r="F84" i="30"/>
  <c r="E84" i="30" s="1"/>
  <c r="F85" i="30"/>
  <c r="E85" i="30" s="1"/>
  <c r="F86" i="30"/>
  <c r="E86" i="30" s="1"/>
  <c r="F87" i="30"/>
  <c r="E87" i="30" s="1"/>
  <c r="F88" i="30"/>
  <c r="E88" i="30" s="1"/>
  <c r="F89" i="30"/>
  <c r="E89" i="30" s="1"/>
  <c r="F90" i="30"/>
  <c r="E90" i="30" s="1"/>
  <c r="F51" i="30"/>
  <c r="F52" i="30"/>
  <c r="F53" i="30"/>
  <c r="F54" i="30"/>
  <c r="F55" i="30"/>
  <c r="F56" i="30"/>
  <c r="F57" i="30"/>
  <c r="F58" i="30"/>
  <c r="F59" i="30"/>
  <c r="F60" i="30"/>
  <c r="E60" i="30" s="1"/>
  <c r="F61" i="30"/>
  <c r="E61" i="30" s="1"/>
  <c r="F62" i="30"/>
  <c r="E62" i="30" s="1"/>
  <c r="F63" i="30"/>
  <c r="E63" i="30" s="1"/>
  <c r="F64" i="30"/>
  <c r="E64" i="30" s="1"/>
  <c r="F65" i="30"/>
  <c r="E65" i="30" s="1"/>
  <c r="F66" i="30"/>
  <c r="E66" i="30" s="1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9" i="30"/>
  <c r="L9" i="9" l="1"/>
  <c r="K17" i="9" l="1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16" i="9"/>
  <c r="D89" i="12" l="1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B122" i="12" l="1"/>
  <c r="B121" i="12"/>
  <c r="B120" i="12"/>
  <c r="B119" i="12"/>
  <c r="B118" i="12"/>
  <c r="B117" i="12"/>
  <c r="B123" i="12" l="1"/>
  <c r="X3" i="32"/>
  <c r="Y3" i="32"/>
  <c r="AH161" i="21" l="1"/>
  <c r="AH5" i="21" s="1"/>
  <c r="K33" i="21" l="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O33" i="21"/>
  <c r="P33" i="21"/>
  <c r="Q33" i="21"/>
  <c r="R33" i="21"/>
  <c r="O34" i="21"/>
  <c r="P34" i="21"/>
  <c r="Q34" i="21"/>
  <c r="R34" i="21"/>
  <c r="O35" i="21"/>
  <c r="P35" i="21"/>
  <c r="Q35" i="21"/>
  <c r="R35" i="21"/>
  <c r="O36" i="21"/>
  <c r="P36" i="21"/>
  <c r="Q36" i="21"/>
  <c r="R36" i="21"/>
  <c r="O37" i="21"/>
  <c r="P37" i="21"/>
  <c r="Q37" i="21"/>
  <c r="R37" i="21"/>
  <c r="O38" i="21"/>
  <c r="P38" i="21"/>
  <c r="Q38" i="21"/>
  <c r="R38" i="21"/>
  <c r="O39" i="21"/>
  <c r="P39" i="21"/>
  <c r="Q39" i="21"/>
  <c r="R39" i="21"/>
  <c r="O40" i="21"/>
  <c r="P40" i="21"/>
  <c r="Q40" i="21"/>
  <c r="R40" i="21"/>
  <c r="O41" i="21"/>
  <c r="P41" i="21"/>
  <c r="Q41" i="21"/>
  <c r="R41" i="21"/>
  <c r="O42" i="21"/>
  <c r="P42" i="21"/>
  <c r="Q42" i="21"/>
  <c r="R42" i="21"/>
  <c r="O43" i="21"/>
  <c r="P43" i="21"/>
  <c r="Q43" i="21"/>
  <c r="R43" i="21"/>
  <c r="O44" i="21"/>
  <c r="P44" i="21"/>
  <c r="Q44" i="21"/>
  <c r="R44" i="21"/>
  <c r="O45" i="21"/>
  <c r="P45" i="21"/>
  <c r="Q45" i="21"/>
  <c r="R45" i="21"/>
  <c r="O46" i="21"/>
  <c r="P46" i="21"/>
  <c r="Q46" i="21"/>
  <c r="R46" i="21"/>
  <c r="O47" i="21"/>
  <c r="P47" i="21"/>
  <c r="Q47" i="21"/>
  <c r="R47" i="21"/>
  <c r="O48" i="21"/>
  <c r="P48" i="21"/>
  <c r="Q48" i="21"/>
  <c r="R48" i="21"/>
  <c r="O49" i="21"/>
  <c r="P49" i="21"/>
  <c r="Q49" i="21"/>
  <c r="R49" i="21"/>
  <c r="O50" i="21"/>
  <c r="P50" i="21"/>
  <c r="Q50" i="21"/>
  <c r="R50" i="21"/>
  <c r="O51" i="21"/>
  <c r="P51" i="21"/>
  <c r="Q51" i="21"/>
  <c r="R51" i="21"/>
  <c r="O52" i="21"/>
  <c r="P52" i="21"/>
  <c r="Q52" i="21"/>
  <c r="R52" i="21"/>
  <c r="O53" i="21"/>
  <c r="P53" i="21"/>
  <c r="Q53" i="21"/>
  <c r="R53" i="21"/>
  <c r="O54" i="21"/>
  <c r="P54" i="21"/>
  <c r="Q54" i="21"/>
  <c r="R54" i="21"/>
  <c r="O55" i="21"/>
  <c r="P55" i="21"/>
  <c r="Q55" i="21"/>
  <c r="R55" i="21"/>
  <c r="O56" i="21"/>
  <c r="P56" i="21"/>
  <c r="Q56" i="21"/>
  <c r="R56" i="21"/>
  <c r="O57" i="21"/>
  <c r="P57" i="21"/>
  <c r="Q57" i="21"/>
  <c r="R57" i="21"/>
  <c r="O58" i="21"/>
  <c r="P58" i="21"/>
  <c r="Q58" i="21"/>
  <c r="R58" i="21"/>
  <c r="O59" i="21"/>
  <c r="P59" i="21"/>
  <c r="Q59" i="21"/>
  <c r="R59" i="21"/>
  <c r="O60" i="21"/>
  <c r="P60" i="21"/>
  <c r="Q60" i="21"/>
  <c r="R60" i="21"/>
  <c r="O61" i="21"/>
  <c r="P61" i="21"/>
  <c r="Q61" i="21"/>
  <c r="R61" i="21"/>
  <c r="O62" i="21"/>
  <c r="P62" i="21"/>
  <c r="Q62" i="21"/>
  <c r="R62" i="21"/>
  <c r="O63" i="21"/>
  <c r="P63" i="21"/>
  <c r="Q63" i="21"/>
  <c r="R63" i="21"/>
  <c r="O64" i="21"/>
  <c r="P64" i="21"/>
  <c r="Q64" i="21"/>
  <c r="R64" i="21"/>
  <c r="O65" i="21"/>
  <c r="P65" i="21"/>
  <c r="Q65" i="21"/>
  <c r="R65" i="21"/>
  <c r="O66" i="21"/>
  <c r="P66" i="21"/>
  <c r="Q66" i="21"/>
  <c r="R66" i="21"/>
  <c r="O67" i="21"/>
  <c r="P67" i="21"/>
  <c r="Q67" i="21"/>
  <c r="R67" i="21"/>
  <c r="O68" i="21"/>
  <c r="P68" i="21"/>
  <c r="Q68" i="21"/>
  <c r="R68" i="21"/>
  <c r="O69" i="21"/>
  <c r="P69" i="21"/>
  <c r="Q69" i="21"/>
  <c r="R69" i="21"/>
  <c r="O70" i="21"/>
  <c r="P70" i="21"/>
  <c r="Q70" i="21"/>
  <c r="R70" i="21"/>
  <c r="O71" i="21"/>
  <c r="P71" i="21"/>
  <c r="Q71" i="21"/>
  <c r="R71" i="21"/>
  <c r="O72" i="21"/>
  <c r="P72" i="21"/>
  <c r="Q72" i="21"/>
  <c r="R72" i="21"/>
  <c r="O73" i="21"/>
  <c r="P73" i="21"/>
  <c r="Q73" i="21"/>
  <c r="R73" i="21"/>
  <c r="O74" i="21"/>
  <c r="P74" i="21"/>
  <c r="Q74" i="21"/>
  <c r="R74" i="21"/>
  <c r="O75" i="21"/>
  <c r="P75" i="21"/>
  <c r="Q75" i="21"/>
  <c r="R75" i="21"/>
  <c r="O76" i="21"/>
  <c r="P76" i="21"/>
  <c r="Q76" i="21"/>
  <c r="R76" i="21"/>
  <c r="O77" i="21"/>
  <c r="P77" i="21"/>
  <c r="Q77" i="21"/>
  <c r="R77" i="21"/>
  <c r="O78" i="21"/>
  <c r="P78" i="21"/>
  <c r="Q78" i="21"/>
  <c r="R78" i="21"/>
  <c r="O79" i="21"/>
  <c r="P79" i="21"/>
  <c r="Q79" i="21"/>
  <c r="R79" i="21"/>
  <c r="O80" i="21"/>
  <c r="P80" i="21"/>
  <c r="Q80" i="21"/>
  <c r="R80" i="21"/>
  <c r="O81" i="21"/>
  <c r="P81" i="21"/>
  <c r="Q81" i="21"/>
  <c r="R81" i="21"/>
  <c r="O82" i="21"/>
  <c r="P82" i="21"/>
  <c r="Q82" i="21"/>
  <c r="R82" i="21"/>
  <c r="O83" i="21"/>
  <c r="P83" i="21"/>
  <c r="Q83" i="21"/>
  <c r="R83" i="21"/>
  <c r="O84" i="21"/>
  <c r="P84" i="21"/>
  <c r="Q84" i="21"/>
  <c r="R84" i="21"/>
  <c r="O85" i="21"/>
  <c r="P85" i="21"/>
  <c r="Q85" i="21"/>
  <c r="R85" i="21"/>
  <c r="O86" i="21"/>
  <c r="P86" i="21"/>
  <c r="Q86" i="21"/>
  <c r="R86" i="21"/>
  <c r="O87" i="21"/>
  <c r="P87" i="21"/>
  <c r="Q87" i="21"/>
  <c r="R87" i="21"/>
  <c r="O88" i="21"/>
  <c r="P88" i="21"/>
  <c r="Q88" i="21"/>
  <c r="R88" i="21"/>
  <c r="O89" i="21"/>
  <c r="P89" i="21"/>
  <c r="Q89" i="21"/>
  <c r="R89" i="21"/>
  <c r="O90" i="21"/>
  <c r="P90" i="21"/>
  <c r="Q90" i="21"/>
  <c r="R90" i="21"/>
  <c r="O91" i="21"/>
  <c r="P91" i="21"/>
  <c r="Q91" i="21"/>
  <c r="R91" i="21"/>
  <c r="O92" i="21"/>
  <c r="P92" i="21"/>
  <c r="Q92" i="21"/>
  <c r="R92" i="21"/>
  <c r="O93" i="21"/>
  <c r="P93" i="21"/>
  <c r="Q93" i="21"/>
  <c r="R93" i="21"/>
  <c r="O94" i="21"/>
  <c r="P94" i="21"/>
  <c r="Q94" i="21"/>
  <c r="R94" i="21"/>
  <c r="O95" i="21"/>
  <c r="P95" i="21"/>
  <c r="Q95" i="21"/>
  <c r="R95" i="21"/>
  <c r="O96" i="21"/>
  <c r="P96" i="21"/>
  <c r="Q96" i="21"/>
  <c r="R96" i="21"/>
  <c r="O97" i="21"/>
  <c r="P97" i="21"/>
  <c r="Q97" i="21"/>
  <c r="R97" i="21"/>
  <c r="O98" i="21"/>
  <c r="P98" i="21"/>
  <c r="Q98" i="21"/>
  <c r="R98" i="21"/>
  <c r="O99" i="21"/>
  <c r="P99" i="21"/>
  <c r="Q99" i="21"/>
  <c r="R99" i="21"/>
  <c r="O100" i="21"/>
  <c r="P100" i="21"/>
  <c r="Q100" i="21"/>
  <c r="R100" i="21"/>
  <c r="O101" i="21"/>
  <c r="P101" i="21"/>
  <c r="Q101" i="21"/>
  <c r="R101" i="21"/>
  <c r="O102" i="21"/>
  <c r="P102" i="21"/>
  <c r="Q102" i="21"/>
  <c r="R102" i="21"/>
  <c r="O103" i="21"/>
  <c r="P103" i="21"/>
  <c r="Q103" i="21"/>
  <c r="R103" i="21"/>
  <c r="O104" i="21"/>
  <c r="P104" i="21"/>
  <c r="Q104" i="21"/>
  <c r="R104" i="21"/>
  <c r="O105" i="21"/>
  <c r="P105" i="21"/>
  <c r="Q105" i="21"/>
  <c r="R105" i="21"/>
  <c r="O106" i="21"/>
  <c r="P106" i="21"/>
  <c r="Q106" i="21"/>
  <c r="R106" i="21"/>
  <c r="O107" i="21"/>
  <c r="P107" i="21"/>
  <c r="Q107" i="21"/>
  <c r="R107" i="21"/>
  <c r="O108" i="21"/>
  <c r="P108" i="21"/>
  <c r="Q108" i="21"/>
  <c r="R108" i="21"/>
  <c r="O109" i="21"/>
  <c r="P109" i="21"/>
  <c r="Q109" i="21"/>
  <c r="R109" i="21"/>
  <c r="O110" i="21"/>
  <c r="P110" i="21"/>
  <c r="Q110" i="21"/>
  <c r="R110" i="21"/>
  <c r="O111" i="21"/>
  <c r="P111" i="21"/>
  <c r="Q111" i="21"/>
  <c r="R111" i="21"/>
  <c r="O112" i="21"/>
  <c r="P112" i="21"/>
  <c r="Q112" i="21"/>
  <c r="R112" i="21"/>
  <c r="O113" i="21"/>
  <c r="P113" i="21"/>
  <c r="Q113" i="21"/>
  <c r="R113" i="21"/>
  <c r="O114" i="21"/>
  <c r="P114" i="21"/>
  <c r="Q114" i="21"/>
  <c r="R114" i="21"/>
  <c r="O115" i="21"/>
  <c r="P115" i="21"/>
  <c r="Q115" i="21"/>
  <c r="R115" i="21"/>
  <c r="O116" i="21"/>
  <c r="P116" i="21"/>
  <c r="Q116" i="21"/>
  <c r="R116" i="21"/>
  <c r="O117" i="21"/>
  <c r="P117" i="21"/>
  <c r="Q117" i="21"/>
  <c r="R117" i="21"/>
  <c r="O118" i="21"/>
  <c r="P118" i="21"/>
  <c r="Q118" i="21"/>
  <c r="R118" i="21"/>
  <c r="O119" i="21"/>
  <c r="P119" i="21"/>
  <c r="Q119" i="21"/>
  <c r="R119" i="21"/>
  <c r="O120" i="21"/>
  <c r="P120" i="21"/>
  <c r="Q120" i="21"/>
  <c r="R120" i="21"/>
  <c r="O121" i="21"/>
  <c r="P121" i="21"/>
  <c r="Q121" i="21"/>
  <c r="R121" i="21"/>
  <c r="O122" i="21"/>
  <c r="P122" i="21"/>
  <c r="Q122" i="21"/>
  <c r="R122" i="21"/>
  <c r="O123" i="21"/>
  <c r="P123" i="21"/>
  <c r="Q123" i="21"/>
  <c r="R123" i="21"/>
  <c r="O124" i="21"/>
  <c r="P124" i="21"/>
  <c r="Q124" i="21"/>
  <c r="R124" i="21"/>
  <c r="O125" i="21"/>
  <c r="P125" i="21"/>
  <c r="Q125" i="21"/>
  <c r="R125" i="21"/>
  <c r="O126" i="21"/>
  <c r="P126" i="21"/>
  <c r="Q126" i="21"/>
  <c r="R126" i="21"/>
  <c r="O127" i="21"/>
  <c r="P127" i="21"/>
  <c r="Q127" i="21"/>
  <c r="R127" i="21"/>
  <c r="O128" i="21"/>
  <c r="P128" i="21"/>
  <c r="Q128" i="21"/>
  <c r="R128" i="21"/>
  <c r="O129" i="21"/>
  <c r="P129" i="21"/>
  <c r="Q129" i="21"/>
  <c r="R129" i="21"/>
  <c r="O130" i="21"/>
  <c r="P130" i="21"/>
  <c r="Q130" i="21"/>
  <c r="R130" i="21"/>
  <c r="O131" i="21"/>
  <c r="P131" i="21"/>
  <c r="Q131" i="21"/>
  <c r="R131" i="21"/>
  <c r="O132" i="21"/>
  <c r="P132" i="21"/>
  <c r="Q132" i="21"/>
  <c r="R132" i="21"/>
  <c r="O133" i="21"/>
  <c r="P133" i="21"/>
  <c r="Q133" i="21"/>
  <c r="R133" i="21"/>
  <c r="O134" i="21"/>
  <c r="P134" i="21"/>
  <c r="Q134" i="21"/>
  <c r="R134" i="21"/>
  <c r="O135" i="21"/>
  <c r="P135" i="21"/>
  <c r="Q135" i="21"/>
  <c r="R135" i="21"/>
  <c r="O136" i="21"/>
  <c r="P136" i="21"/>
  <c r="Q136" i="21"/>
  <c r="R136" i="21"/>
  <c r="O137" i="21"/>
  <c r="P137" i="21"/>
  <c r="Q137" i="21"/>
  <c r="R137" i="21"/>
  <c r="O138" i="21"/>
  <c r="P138" i="21"/>
  <c r="Q138" i="21"/>
  <c r="R138" i="21"/>
  <c r="O139" i="21"/>
  <c r="P139" i="21"/>
  <c r="Q139" i="21"/>
  <c r="R139" i="21"/>
  <c r="O140" i="21"/>
  <c r="P140" i="21"/>
  <c r="Q140" i="21"/>
  <c r="R140" i="21"/>
  <c r="O141" i="21"/>
  <c r="P141" i="21"/>
  <c r="Q141" i="21"/>
  <c r="R141" i="21"/>
  <c r="O142" i="21"/>
  <c r="P142" i="21"/>
  <c r="Q142" i="21"/>
  <c r="R142" i="21"/>
  <c r="O143" i="21"/>
  <c r="P143" i="21"/>
  <c r="Q143" i="21"/>
  <c r="R143" i="21"/>
  <c r="O144" i="21"/>
  <c r="P144" i="21"/>
  <c r="Q144" i="21"/>
  <c r="R144" i="21"/>
  <c r="O145" i="21"/>
  <c r="P145" i="21"/>
  <c r="Q145" i="21"/>
  <c r="R145" i="21"/>
  <c r="O146" i="21"/>
  <c r="P146" i="21"/>
  <c r="Q146" i="21"/>
  <c r="R146" i="21"/>
  <c r="O147" i="21"/>
  <c r="P147" i="21"/>
  <c r="Q147" i="21"/>
  <c r="R147" i="21"/>
  <c r="O148" i="21"/>
  <c r="P148" i="21"/>
  <c r="Q148" i="21"/>
  <c r="R148" i="21"/>
  <c r="O149" i="21"/>
  <c r="P149" i="21"/>
  <c r="Q149" i="21"/>
  <c r="R149" i="21"/>
  <c r="O150" i="21"/>
  <c r="P150" i="21"/>
  <c r="Q150" i="21"/>
  <c r="R150" i="21"/>
  <c r="O151" i="21"/>
  <c r="P151" i="21"/>
  <c r="Q151" i="21"/>
  <c r="R151" i="21"/>
  <c r="O152" i="21"/>
  <c r="P152" i="21"/>
  <c r="Q152" i="21"/>
  <c r="R152" i="21"/>
  <c r="O153" i="21"/>
  <c r="P153" i="21"/>
  <c r="Q153" i="21"/>
  <c r="R153" i="21"/>
  <c r="O154" i="21"/>
  <c r="P154" i="21"/>
  <c r="Q154" i="21"/>
  <c r="R154" i="21"/>
  <c r="O155" i="21"/>
  <c r="P155" i="21"/>
  <c r="Q155" i="21"/>
  <c r="R155" i="21"/>
  <c r="O156" i="21"/>
  <c r="P156" i="21"/>
  <c r="Q156" i="21"/>
  <c r="R156" i="21"/>
  <c r="O157" i="21"/>
  <c r="P157" i="21"/>
  <c r="Q157" i="21"/>
  <c r="R157" i="21"/>
  <c r="O158" i="21"/>
  <c r="P158" i="21"/>
  <c r="Q158" i="21"/>
  <c r="R158" i="21"/>
  <c r="O159" i="21"/>
  <c r="P159" i="21"/>
  <c r="Q159" i="21"/>
  <c r="R159" i="21"/>
  <c r="O160" i="21"/>
  <c r="P160" i="21"/>
  <c r="Q160" i="21"/>
  <c r="R160" i="21"/>
  <c r="B47" i="12" l="1"/>
  <c r="B48" i="12"/>
  <c r="B49" i="12"/>
  <c r="B50" i="12"/>
  <c r="B58" i="12"/>
  <c r="B59" i="12"/>
  <c r="B60" i="12"/>
  <c r="B61" i="12"/>
  <c r="B62" i="12"/>
  <c r="B63" i="12"/>
  <c r="B71" i="12"/>
  <c r="B72" i="12"/>
  <c r="B73" i="12"/>
  <c r="B74" i="12"/>
  <c r="B75" i="12"/>
  <c r="B111" i="12"/>
  <c r="B112" i="12"/>
  <c r="B113" i="12"/>
  <c r="B35" i="12"/>
  <c r="B36" i="12"/>
  <c r="B37" i="12"/>
  <c r="B38" i="12"/>
  <c r="B39" i="12"/>
  <c r="B8" i="12"/>
  <c r="D3" i="31"/>
  <c r="I236" i="31"/>
  <c r="H236" i="31"/>
  <c r="B9" i="12" l="1"/>
  <c r="B10" i="12" l="1"/>
  <c r="B11" i="12" l="1"/>
  <c r="B12" i="12" l="1"/>
  <c r="B13" i="12" s="1"/>
  <c r="B14" i="12" s="1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B15" i="12" l="1"/>
  <c r="B16" i="12" l="1"/>
  <c r="B64" i="12"/>
  <c r="T9" i="26"/>
  <c r="T10" i="26"/>
  <c r="T11" i="26"/>
  <c r="T12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172" i="26"/>
  <c r="T173" i="26"/>
  <c r="T174" i="26"/>
  <c r="T175" i="26"/>
  <c r="T176" i="26"/>
  <c r="T177" i="26"/>
  <c r="T178" i="26"/>
  <c r="T179" i="26"/>
  <c r="T180" i="26"/>
  <c r="T181" i="26"/>
  <c r="T182" i="26"/>
  <c r="T183" i="26"/>
  <c r="T184" i="26"/>
  <c r="T185" i="26"/>
  <c r="T186" i="26"/>
  <c r="T187" i="26"/>
  <c r="T188" i="26"/>
  <c r="T189" i="26"/>
  <c r="T190" i="26"/>
  <c r="T191" i="26"/>
  <c r="T192" i="26"/>
  <c r="T193" i="26"/>
  <c r="T194" i="26"/>
  <c r="T195" i="26"/>
  <c r="T196" i="26"/>
  <c r="T197" i="26"/>
  <c r="T198" i="26"/>
  <c r="T199" i="26"/>
  <c r="T200" i="26"/>
  <c r="T201" i="26"/>
  <c r="T202" i="26"/>
  <c r="T203" i="26"/>
  <c r="T204" i="26"/>
  <c r="T205" i="26"/>
  <c r="T206" i="26"/>
  <c r="T207" i="26"/>
  <c r="T208" i="26"/>
  <c r="T209" i="26"/>
  <c r="T210" i="26"/>
  <c r="T211" i="26"/>
  <c r="T212" i="26"/>
  <c r="T213" i="26"/>
  <c r="T214" i="26"/>
  <c r="T215" i="26"/>
  <c r="T216" i="26"/>
  <c r="T217" i="26"/>
  <c r="T218" i="26"/>
  <c r="T219" i="26"/>
  <c r="T220" i="26"/>
  <c r="T221" i="26"/>
  <c r="T222" i="26"/>
  <c r="T223" i="26"/>
  <c r="T224" i="26"/>
  <c r="T225" i="26"/>
  <c r="T226" i="26"/>
  <c r="T227" i="26"/>
  <c r="T228" i="26"/>
  <c r="T229" i="26"/>
  <c r="T230" i="26"/>
  <c r="T231" i="26"/>
  <c r="T232" i="26"/>
  <c r="T233" i="26"/>
  <c r="T234" i="26"/>
  <c r="T235" i="26"/>
  <c r="T236" i="26"/>
  <c r="T237" i="26"/>
  <c r="T238" i="26"/>
  <c r="T239" i="26"/>
  <c r="T240" i="26"/>
  <c r="T241" i="26"/>
  <c r="S235" i="26" l="1"/>
  <c r="R235" i="26"/>
  <c r="R219" i="26"/>
  <c r="S219" i="26"/>
  <c r="R199" i="26"/>
  <c r="S199" i="26"/>
  <c r="R183" i="26"/>
  <c r="S183" i="26"/>
  <c r="R167" i="26"/>
  <c r="S167" i="26"/>
  <c r="R159" i="26"/>
  <c r="S159" i="26"/>
  <c r="S143" i="26"/>
  <c r="R143" i="26"/>
  <c r="S139" i="26"/>
  <c r="R139" i="26"/>
  <c r="R135" i="26"/>
  <c r="S135" i="26"/>
  <c r="R131" i="26"/>
  <c r="S131" i="26"/>
  <c r="R127" i="26"/>
  <c r="S127" i="26"/>
  <c r="R123" i="26"/>
  <c r="S123" i="26"/>
  <c r="S119" i="26"/>
  <c r="R119" i="26"/>
  <c r="R115" i="26"/>
  <c r="S115" i="26"/>
  <c r="R111" i="26"/>
  <c r="S111" i="26"/>
  <c r="S107" i="26"/>
  <c r="R107" i="26"/>
  <c r="R103" i="26"/>
  <c r="S103" i="26"/>
  <c r="R99" i="26"/>
  <c r="S99" i="26"/>
  <c r="R95" i="26"/>
  <c r="S95" i="26"/>
  <c r="S91" i="26"/>
  <c r="R91" i="26"/>
  <c r="S87" i="26"/>
  <c r="R87" i="26"/>
  <c r="R83" i="26"/>
  <c r="S83" i="26"/>
  <c r="R79" i="26"/>
  <c r="S79" i="26"/>
  <c r="S75" i="26"/>
  <c r="R75" i="26"/>
  <c r="R71" i="26"/>
  <c r="S71" i="26"/>
  <c r="S67" i="26"/>
  <c r="R67" i="26"/>
  <c r="R63" i="26"/>
  <c r="S63" i="26"/>
  <c r="R59" i="26"/>
  <c r="S59" i="26"/>
  <c r="R55" i="26"/>
  <c r="S55" i="26"/>
  <c r="S51" i="26"/>
  <c r="R51" i="26"/>
  <c r="R47" i="26"/>
  <c r="S47" i="26"/>
  <c r="S43" i="26"/>
  <c r="R43" i="26"/>
  <c r="R39" i="26"/>
  <c r="S39" i="26"/>
  <c r="S35" i="26"/>
  <c r="R35" i="26"/>
  <c r="R31" i="26"/>
  <c r="S31" i="26"/>
  <c r="R27" i="26"/>
  <c r="S27" i="26"/>
  <c r="R22" i="26"/>
  <c r="S22" i="26"/>
  <c r="S14" i="26"/>
  <c r="R14" i="26"/>
  <c r="R21" i="26"/>
  <c r="S21" i="26"/>
  <c r="S12" i="26"/>
  <c r="R12" i="26"/>
  <c r="S239" i="26"/>
  <c r="R239" i="26"/>
  <c r="S223" i="26"/>
  <c r="R223" i="26"/>
  <c r="R207" i="26"/>
  <c r="S207" i="26"/>
  <c r="R191" i="26"/>
  <c r="S191" i="26"/>
  <c r="R175" i="26"/>
  <c r="S175" i="26"/>
  <c r="R155" i="26"/>
  <c r="S155" i="26"/>
  <c r="R238" i="26"/>
  <c r="S238" i="26"/>
  <c r="S226" i="26"/>
  <c r="R226" i="26"/>
  <c r="R214" i="26"/>
  <c r="S214" i="26"/>
  <c r="R198" i="26"/>
  <c r="S198" i="26"/>
  <c r="R186" i="26"/>
  <c r="S186" i="26"/>
  <c r="R174" i="26"/>
  <c r="S174" i="26"/>
  <c r="S162" i="26"/>
  <c r="R162" i="26"/>
  <c r="S150" i="26"/>
  <c r="R150" i="26"/>
  <c r="R138" i="26"/>
  <c r="S138" i="26"/>
  <c r="R126" i="26"/>
  <c r="S126" i="26"/>
  <c r="S114" i="26"/>
  <c r="R114" i="26"/>
  <c r="S98" i="26"/>
  <c r="R98" i="26"/>
  <c r="R94" i="26"/>
  <c r="S94" i="26"/>
  <c r="R82" i="26"/>
  <c r="S82" i="26"/>
  <c r="R78" i="26"/>
  <c r="S78" i="26"/>
  <c r="R74" i="26"/>
  <c r="S74" i="26"/>
  <c r="S70" i="26"/>
  <c r="R70" i="26"/>
  <c r="S66" i="26"/>
  <c r="R66" i="26"/>
  <c r="R62" i="26"/>
  <c r="S62" i="26"/>
  <c r="R58" i="26"/>
  <c r="S58" i="26"/>
  <c r="R54" i="26"/>
  <c r="S54" i="26"/>
  <c r="R50" i="26"/>
  <c r="S50" i="26"/>
  <c r="S46" i="26"/>
  <c r="R46" i="26"/>
  <c r="R42" i="26"/>
  <c r="S42" i="26"/>
  <c r="R38" i="26"/>
  <c r="S38" i="26"/>
  <c r="S34" i="26"/>
  <c r="R34" i="26"/>
  <c r="R30" i="26"/>
  <c r="S30" i="26"/>
  <c r="R26" i="26"/>
  <c r="S26" i="26"/>
  <c r="S20" i="26"/>
  <c r="R20" i="26"/>
  <c r="S11" i="26"/>
  <c r="R11" i="26"/>
  <c r="R19" i="26"/>
  <c r="S19" i="26"/>
  <c r="R10" i="26"/>
  <c r="S10" i="26"/>
  <c r="R149" i="26"/>
  <c r="S149" i="26"/>
  <c r="R141" i="26"/>
  <c r="S141" i="26"/>
  <c r="S133" i="26"/>
  <c r="R133" i="26"/>
  <c r="R125" i="26"/>
  <c r="S125" i="26"/>
  <c r="R113" i="26"/>
  <c r="S113" i="26"/>
  <c r="R105" i="26"/>
  <c r="S105" i="26"/>
  <c r="R97" i="26"/>
  <c r="S97" i="26"/>
  <c r="R85" i="26"/>
  <c r="S85" i="26"/>
  <c r="S77" i="26"/>
  <c r="R77" i="26"/>
  <c r="R69" i="26"/>
  <c r="S69" i="26"/>
  <c r="R61" i="26"/>
  <c r="S61" i="26"/>
  <c r="R53" i="26"/>
  <c r="S53" i="26"/>
  <c r="R45" i="26"/>
  <c r="S45" i="26"/>
  <c r="R37" i="26"/>
  <c r="S37" i="26"/>
  <c r="R33" i="26"/>
  <c r="S33" i="26"/>
  <c r="S25" i="26"/>
  <c r="R25" i="26"/>
  <c r="S18" i="26"/>
  <c r="R18" i="26"/>
  <c r="S9" i="26"/>
  <c r="R9" i="26"/>
  <c r="S227" i="26"/>
  <c r="R227" i="26"/>
  <c r="R211" i="26"/>
  <c r="S211" i="26"/>
  <c r="R195" i="26"/>
  <c r="S195" i="26"/>
  <c r="R179" i="26"/>
  <c r="S179" i="26"/>
  <c r="R163" i="26"/>
  <c r="S163" i="26"/>
  <c r="R147" i="26"/>
  <c r="S147" i="26"/>
  <c r="R230" i="26"/>
  <c r="S230" i="26"/>
  <c r="R218" i="26"/>
  <c r="S218" i="26"/>
  <c r="S206" i="26"/>
  <c r="R206" i="26"/>
  <c r="S194" i="26"/>
  <c r="R194" i="26"/>
  <c r="S182" i="26"/>
  <c r="R182" i="26"/>
  <c r="R170" i="26"/>
  <c r="S170" i="26"/>
  <c r="R158" i="26"/>
  <c r="S158" i="26"/>
  <c r="R146" i="26"/>
  <c r="S146" i="26"/>
  <c r="R134" i="26"/>
  <c r="S134" i="26"/>
  <c r="R122" i="26"/>
  <c r="S122" i="26"/>
  <c r="R110" i="26"/>
  <c r="S110" i="26"/>
  <c r="R102" i="26"/>
  <c r="S102" i="26"/>
  <c r="R86" i="26"/>
  <c r="S86" i="26"/>
  <c r="R237" i="26"/>
  <c r="S237" i="26"/>
  <c r="R233" i="26"/>
  <c r="S233" i="26"/>
  <c r="S229" i="26"/>
  <c r="R229" i="26"/>
  <c r="R225" i="26"/>
  <c r="S225" i="26"/>
  <c r="R221" i="26"/>
  <c r="S221" i="26"/>
  <c r="S217" i="26"/>
  <c r="R217" i="26"/>
  <c r="R213" i="26"/>
  <c r="S213" i="26"/>
  <c r="R209" i="26"/>
  <c r="S209" i="26"/>
  <c r="R205" i="26"/>
  <c r="S205" i="26"/>
  <c r="R201" i="26"/>
  <c r="S201" i="26"/>
  <c r="R197" i="26"/>
  <c r="S197" i="26"/>
  <c r="R193" i="26"/>
  <c r="S193" i="26"/>
  <c r="R189" i="26"/>
  <c r="S189" i="26"/>
  <c r="S185" i="26"/>
  <c r="R185" i="26"/>
  <c r="R181" i="26"/>
  <c r="S181" i="26"/>
  <c r="S177" i="26"/>
  <c r="R177" i="26"/>
  <c r="R173" i="26"/>
  <c r="S173" i="26"/>
  <c r="R169" i="26"/>
  <c r="S169" i="26"/>
  <c r="R165" i="26"/>
  <c r="S165" i="26"/>
  <c r="S161" i="26"/>
  <c r="R161" i="26"/>
  <c r="R157" i="26"/>
  <c r="S157" i="26"/>
  <c r="S153" i="26"/>
  <c r="R153" i="26"/>
  <c r="R145" i="26"/>
  <c r="S145" i="26"/>
  <c r="R137" i="26"/>
  <c r="S137" i="26"/>
  <c r="S129" i="26"/>
  <c r="R129" i="26"/>
  <c r="S121" i="26"/>
  <c r="R121" i="26"/>
  <c r="R117" i="26"/>
  <c r="S117" i="26"/>
  <c r="S109" i="26"/>
  <c r="R109" i="26"/>
  <c r="R101" i="26"/>
  <c r="S101" i="26"/>
  <c r="S93" i="26"/>
  <c r="R93" i="26"/>
  <c r="S89" i="26"/>
  <c r="R89" i="26"/>
  <c r="S81" i="26"/>
  <c r="R81" i="26"/>
  <c r="R73" i="26"/>
  <c r="S73" i="26"/>
  <c r="R65" i="26"/>
  <c r="S65" i="26"/>
  <c r="S57" i="26"/>
  <c r="R57" i="26"/>
  <c r="R49" i="26"/>
  <c r="S49" i="26"/>
  <c r="S41" i="26"/>
  <c r="R41" i="26"/>
  <c r="R29" i="26"/>
  <c r="S29" i="26"/>
  <c r="R17" i="26"/>
  <c r="S17" i="26"/>
  <c r="R231" i="26"/>
  <c r="S231" i="26"/>
  <c r="R215" i="26"/>
  <c r="S215" i="26"/>
  <c r="S203" i="26"/>
  <c r="R203" i="26"/>
  <c r="S187" i="26"/>
  <c r="R187" i="26"/>
  <c r="S171" i="26"/>
  <c r="R171" i="26"/>
  <c r="R151" i="26"/>
  <c r="S151" i="26"/>
  <c r="S234" i="26"/>
  <c r="R234" i="26"/>
  <c r="R222" i="26"/>
  <c r="S222" i="26"/>
  <c r="R210" i="26"/>
  <c r="S210" i="26"/>
  <c r="S202" i="26"/>
  <c r="R202" i="26"/>
  <c r="R190" i="26"/>
  <c r="S190" i="26"/>
  <c r="R178" i="26"/>
  <c r="S178" i="26"/>
  <c r="S166" i="26"/>
  <c r="R166" i="26"/>
  <c r="S154" i="26"/>
  <c r="R154" i="26"/>
  <c r="R142" i="26"/>
  <c r="S142" i="26"/>
  <c r="S130" i="26"/>
  <c r="R130" i="26"/>
  <c r="R118" i="26"/>
  <c r="S118" i="26"/>
  <c r="R106" i="26"/>
  <c r="S106" i="26"/>
  <c r="R90" i="26"/>
  <c r="S90" i="26"/>
  <c r="R241" i="26"/>
  <c r="S241" i="26"/>
  <c r="S240" i="26"/>
  <c r="R240" i="26"/>
  <c r="S236" i="26"/>
  <c r="R236" i="26"/>
  <c r="S232" i="26"/>
  <c r="R232" i="26"/>
  <c r="S228" i="26"/>
  <c r="R228" i="26"/>
  <c r="S224" i="26"/>
  <c r="R224" i="26"/>
  <c r="S220" i="26"/>
  <c r="R220" i="26"/>
  <c r="S216" i="26"/>
  <c r="R216" i="26"/>
  <c r="S212" i="26"/>
  <c r="R212" i="26"/>
  <c r="S208" i="26"/>
  <c r="R208" i="26"/>
  <c r="S204" i="26"/>
  <c r="R204" i="26"/>
  <c r="S200" i="26"/>
  <c r="R200" i="26"/>
  <c r="S196" i="26"/>
  <c r="R196" i="26"/>
  <c r="S192" i="26"/>
  <c r="R192" i="26"/>
  <c r="S188" i="26"/>
  <c r="R188" i="26"/>
  <c r="S184" i="26"/>
  <c r="R184" i="26"/>
  <c r="S180" i="26"/>
  <c r="R180" i="26"/>
  <c r="S176" i="26"/>
  <c r="R176" i="26"/>
  <c r="S172" i="26"/>
  <c r="R172" i="26"/>
  <c r="S168" i="26"/>
  <c r="R168" i="26"/>
  <c r="S164" i="26"/>
  <c r="R164" i="26"/>
  <c r="S160" i="26"/>
  <c r="R160" i="26"/>
  <c r="S152" i="26"/>
  <c r="R152" i="26"/>
  <c r="S144" i="26"/>
  <c r="R144" i="26"/>
  <c r="S136" i="26"/>
  <c r="R136" i="26"/>
  <c r="S128" i="26"/>
  <c r="R128" i="26"/>
  <c r="S120" i="26"/>
  <c r="R120" i="26"/>
  <c r="S112" i="26"/>
  <c r="R112" i="26"/>
  <c r="S104" i="26"/>
  <c r="R104" i="26"/>
  <c r="S96" i="26"/>
  <c r="R96" i="26"/>
  <c r="S84" i="26"/>
  <c r="R84" i="26"/>
  <c r="S76" i="26"/>
  <c r="R76" i="26"/>
  <c r="S64" i="26"/>
  <c r="R64" i="26"/>
  <c r="S56" i="26"/>
  <c r="R56" i="26"/>
  <c r="S48" i="26"/>
  <c r="R48" i="26"/>
  <c r="S44" i="26"/>
  <c r="R44" i="26"/>
  <c r="S36" i="26"/>
  <c r="R36" i="26"/>
  <c r="S32" i="26"/>
  <c r="R32" i="26"/>
  <c r="S28" i="26"/>
  <c r="R28" i="26"/>
  <c r="S24" i="26"/>
  <c r="R24" i="26"/>
  <c r="S16" i="26"/>
  <c r="R16" i="26"/>
  <c r="S156" i="26"/>
  <c r="R156" i="26"/>
  <c r="S148" i="26"/>
  <c r="R148" i="26"/>
  <c r="S140" i="26"/>
  <c r="R140" i="26"/>
  <c r="S132" i="26"/>
  <c r="R132" i="26"/>
  <c r="S124" i="26"/>
  <c r="R124" i="26"/>
  <c r="S116" i="26"/>
  <c r="R116" i="26"/>
  <c r="S108" i="26"/>
  <c r="R108" i="26"/>
  <c r="S100" i="26"/>
  <c r="R100" i="26"/>
  <c r="S92" i="26"/>
  <c r="R92" i="26"/>
  <c r="S88" i="26"/>
  <c r="R88" i="26"/>
  <c r="S80" i="26"/>
  <c r="R80" i="26"/>
  <c r="S72" i="26"/>
  <c r="R72" i="26"/>
  <c r="S68" i="26"/>
  <c r="R68" i="26"/>
  <c r="S60" i="26"/>
  <c r="R60" i="26"/>
  <c r="S52" i="26"/>
  <c r="R52" i="26"/>
  <c r="S40" i="26"/>
  <c r="R40" i="26"/>
  <c r="R23" i="26"/>
  <c r="S23" i="26"/>
  <c r="R15" i="26"/>
  <c r="S15" i="26"/>
  <c r="B17" i="12"/>
  <c r="B18" i="12" l="1"/>
  <c r="B66" i="12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157" i="21"/>
  <c r="AE158" i="21"/>
  <c r="AE159" i="21"/>
  <c r="AE160" i="21"/>
  <c r="AE94" i="21"/>
  <c r="AE95" i="21"/>
  <c r="AE96" i="21"/>
  <c r="AE98" i="21"/>
  <c r="AE99" i="21"/>
  <c r="AE100" i="21"/>
  <c r="AE101" i="21"/>
  <c r="AE102" i="21"/>
  <c r="AE83" i="21"/>
  <c r="AE84" i="21"/>
  <c r="AE85" i="21"/>
  <c r="AE86" i="21"/>
  <c r="AE87" i="21"/>
  <c r="AE90" i="21"/>
  <c r="AE91" i="21"/>
  <c r="AE92" i="21"/>
  <c r="AE93" i="21"/>
  <c r="AE69" i="21"/>
  <c r="AE72" i="21"/>
  <c r="AE73" i="21"/>
  <c r="AE74" i="21"/>
  <c r="AE75" i="21"/>
  <c r="AE76" i="21"/>
  <c r="AE77" i="21"/>
  <c r="AE78" i="21"/>
  <c r="AE79" i="21"/>
  <c r="AE80" i="21"/>
  <c r="AE81" i="21"/>
  <c r="AE82" i="21"/>
  <c r="AE68" i="21"/>
  <c r="AE60" i="21"/>
  <c r="AE61" i="21"/>
  <c r="AE62" i="21"/>
  <c r="AE64" i="21"/>
  <c r="AE65" i="21"/>
  <c r="AE66" i="21"/>
  <c r="AE67" i="21"/>
  <c r="AE49" i="21"/>
  <c r="AE50" i="21"/>
  <c r="AE51" i="21"/>
  <c r="AE52" i="21"/>
  <c r="AE53" i="21"/>
  <c r="AE54" i="21"/>
  <c r="AE55" i="21"/>
  <c r="AE56" i="21"/>
  <c r="AE57" i="21"/>
  <c r="AE58" i="21"/>
  <c r="AE59" i="21"/>
  <c r="AE14" i="21"/>
  <c r="AE20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11" i="21"/>
  <c r="AD160" i="21"/>
  <c r="AD159" i="21"/>
  <c r="AD158" i="21"/>
  <c r="AD157" i="21"/>
  <c r="AD156" i="21"/>
  <c r="AD155" i="21"/>
  <c r="AD154" i="21"/>
  <c r="AD153" i="21"/>
  <c r="AD152" i="21"/>
  <c r="AD151" i="21"/>
  <c r="AD150" i="21"/>
  <c r="AD149" i="21"/>
  <c r="AD148" i="21"/>
  <c r="AD147" i="21"/>
  <c r="AD146" i="21"/>
  <c r="AD145" i="21"/>
  <c r="AD144" i="21"/>
  <c r="AD143" i="21"/>
  <c r="AD142" i="21"/>
  <c r="AD141" i="21"/>
  <c r="AD140" i="21"/>
  <c r="AD139" i="21"/>
  <c r="AD138" i="21"/>
  <c r="AD137" i="21"/>
  <c r="AD136" i="21"/>
  <c r="AD135" i="21"/>
  <c r="AD134" i="21"/>
  <c r="AD133" i="21"/>
  <c r="AD132" i="21"/>
  <c r="AD131" i="21"/>
  <c r="AD130" i="21"/>
  <c r="AD129" i="21"/>
  <c r="AD128" i="21"/>
  <c r="AD127" i="21"/>
  <c r="AD126" i="21"/>
  <c r="AD125" i="21"/>
  <c r="AD124" i="21"/>
  <c r="AD123" i="21"/>
  <c r="AD122" i="21"/>
  <c r="AD121" i="21"/>
  <c r="AD120" i="21"/>
  <c r="AD119" i="21"/>
  <c r="AD118" i="21"/>
  <c r="AD117" i="21"/>
  <c r="AD116" i="21"/>
  <c r="AD115" i="21"/>
  <c r="AD114" i="21"/>
  <c r="AD113" i="21"/>
  <c r="AD112" i="21"/>
  <c r="AD111" i="21"/>
  <c r="AD110" i="21"/>
  <c r="AD109" i="21"/>
  <c r="AD108" i="21"/>
  <c r="AD107" i="21"/>
  <c r="AD106" i="21"/>
  <c r="AD105" i="21"/>
  <c r="AD104" i="21"/>
  <c r="AD103" i="21"/>
  <c r="AD102" i="21"/>
  <c r="AD101" i="21"/>
  <c r="AD100" i="21"/>
  <c r="AD99" i="21"/>
  <c r="AD98" i="21"/>
  <c r="AD96" i="21"/>
  <c r="AD95" i="21"/>
  <c r="AD94" i="21"/>
  <c r="AD93" i="21"/>
  <c r="AD92" i="21"/>
  <c r="AD91" i="21"/>
  <c r="AD90" i="21"/>
  <c r="AD87" i="21"/>
  <c r="AD86" i="21"/>
  <c r="AD85" i="21"/>
  <c r="AD84" i="21"/>
  <c r="AD83" i="21"/>
  <c r="AD82" i="21"/>
  <c r="AD81" i="21"/>
  <c r="AD80" i="21"/>
  <c r="AD79" i="21"/>
  <c r="AD78" i="21"/>
  <c r="AD77" i="21"/>
  <c r="AD76" i="21"/>
  <c r="AD75" i="21"/>
  <c r="AD74" i="21"/>
  <c r="AD73" i="21"/>
  <c r="AD72" i="21"/>
  <c r="AD69" i="21"/>
  <c r="AD68" i="21"/>
  <c r="AD67" i="21"/>
  <c r="AD66" i="21"/>
  <c r="AD65" i="21"/>
  <c r="AD64" i="21"/>
  <c r="AD62" i="21"/>
  <c r="AD61" i="21"/>
  <c r="AD60" i="21"/>
  <c r="AD59" i="21"/>
  <c r="AD58" i="21"/>
  <c r="AD57" i="21"/>
  <c r="AD56" i="21"/>
  <c r="AD55" i="21"/>
  <c r="AD54" i="21"/>
  <c r="AD53" i="21"/>
  <c r="AD52" i="21"/>
  <c r="AD51" i="21"/>
  <c r="AD50" i="21"/>
  <c r="AD49" i="21"/>
  <c r="AD46" i="21"/>
  <c r="AD45" i="21"/>
  <c r="AD44" i="21"/>
  <c r="AD43" i="21"/>
  <c r="AD42" i="21"/>
  <c r="AD41" i="21"/>
  <c r="AD40" i="21"/>
  <c r="AD39" i="21"/>
  <c r="AD38" i="21"/>
  <c r="AD37" i="21"/>
  <c r="AD36" i="21"/>
  <c r="AD35" i="21"/>
  <c r="AD34" i="21"/>
  <c r="AD33" i="21"/>
  <c r="AD20" i="21"/>
  <c r="AD14" i="21"/>
  <c r="AD11" i="21"/>
  <c r="AB46" i="21"/>
  <c r="AB60" i="21"/>
  <c r="AB61" i="21"/>
  <c r="AB68" i="21"/>
  <c r="AB69" i="21"/>
  <c r="AB76" i="21"/>
  <c r="AB90" i="21"/>
  <c r="AB91" i="21"/>
  <c r="AB92" i="21"/>
  <c r="AB93" i="21"/>
  <c r="AB94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B19" i="12" l="1"/>
  <c r="B20" i="12" s="1"/>
  <c r="B67" i="12"/>
  <c r="B21" i="12" l="1"/>
  <c r="B22" i="12" s="1"/>
  <c r="B68" i="12"/>
  <c r="J233" i="31"/>
  <c r="J234" i="31"/>
  <c r="J235" i="31"/>
  <c r="B23" i="12" l="1"/>
  <c r="B24" i="12" s="1"/>
  <c r="B69" i="12"/>
  <c r="B25" i="12" l="1"/>
  <c r="B70" i="12"/>
  <c r="B26" i="12" l="1"/>
  <c r="B27" i="12" l="1"/>
  <c r="B77" i="12"/>
  <c r="B4" i="33"/>
  <c r="B28" i="12" l="1"/>
  <c r="B29" i="12" s="1"/>
  <c r="B30" i="12" s="1"/>
  <c r="B31" i="12" s="1"/>
  <c r="B32" i="12" s="1"/>
  <c r="B33" i="12" s="1"/>
  <c r="B34" i="12" s="1"/>
  <c r="B40" i="12" s="1"/>
  <c r="B41" i="12" s="1"/>
  <c r="B42" i="12" s="1"/>
  <c r="B43" i="12" s="1"/>
  <c r="B44" i="12" s="1"/>
  <c r="B45" i="12" s="1"/>
  <c r="B46" i="12" s="1"/>
  <c r="B51" i="12" s="1"/>
  <c r="B52" i="12" s="1"/>
  <c r="B53" i="12" s="1"/>
  <c r="B54" i="12" s="1"/>
  <c r="B55" i="12" s="1"/>
  <c r="B56" i="12" s="1"/>
  <c r="B57" i="12" s="1"/>
  <c r="B65" i="12" l="1"/>
  <c r="B76" i="12" l="1"/>
  <c r="B78" i="12" s="1"/>
  <c r="B79" i="12" s="1"/>
  <c r="B80" i="12" s="1"/>
  <c r="B81" i="12" s="1"/>
  <c r="B82" i="12" s="1"/>
  <c r="B83" i="12" s="1"/>
  <c r="A12" i="21"/>
  <c r="F53" i="9"/>
  <c r="E53" i="9"/>
  <c r="D53" i="9"/>
  <c r="B53" i="9" s="1"/>
  <c r="C53" i="9"/>
  <c r="B84" i="12" l="1"/>
  <c r="B85" i="12" s="1"/>
  <c r="B86" i="12" l="1"/>
  <c r="B87" i="12" l="1"/>
  <c r="B88" i="12" s="1"/>
  <c r="AI97" i="21"/>
  <c r="AI98" i="21"/>
  <c r="AI99" i="21"/>
  <c r="AI100" i="21"/>
  <c r="AI101" i="21"/>
  <c r="AI102" i="21"/>
  <c r="AI103" i="21"/>
  <c r="AI104" i="21"/>
  <c r="AI105" i="21"/>
  <c r="AI106" i="21"/>
  <c r="AI107" i="21"/>
  <c r="AI108" i="21"/>
  <c r="AI109" i="21"/>
  <c r="AI110" i="21"/>
  <c r="AI111" i="21"/>
  <c r="AI112" i="21"/>
  <c r="AI113" i="21"/>
  <c r="AI114" i="21"/>
  <c r="AI115" i="21"/>
  <c r="AI116" i="21"/>
  <c r="AI117" i="21"/>
  <c r="AI118" i="21"/>
  <c r="AI119" i="21"/>
  <c r="AI120" i="21"/>
  <c r="AI121" i="21"/>
  <c r="AI122" i="21"/>
  <c r="AI123" i="21"/>
  <c r="AI124" i="21"/>
  <c r="AI125" i="21"/>
  <c r="AI126" i="21"/>
  <c r="AI127" i="21"/>
  <c r="AI128" i="21"/>
  <c r="AI129" i="21"/>
  <c r="AI130" i="21"/>
  <c r="AI131" i="21"/>
  <c r="AI132" i="21"/>
  <c r="AI133" i="21"/>
  <c r="AI134" i="21"/>
  <c r="AI135" i="21"/>
  <c r="AI136" i="21"/>
  <c r="AI137" i="21"/>
  <c r="AI138" i="21"/>
  <c r="AI139" i="21"/>
  <c r="AI140" i="21"/>
  <c r="AI141" i="21"/>
  <c r="AI142" i="21"/>
  <c r="AI143" i="21"/>
  <c r="AI144" i="21"/>
  <c r="AI145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7" i="21"/>
  <c r="AI19" i="21"/>
  <c r="AI24" i="21"/>
  <c r="AI26" i="21"/>
  <c r="AI29" i="21"/>
  <c r="AI32" i="21"/>
  <c r="AI34" i="21"/>
  <c r="AI46" i="21"/>
  <c r="AI47" i="21"/>
  <c r="AI48" i="21"/>
  <c r="AI56" i="21"/>
  <c r="AI57" i="21"/>
  <c r="AI60" i="21"/>
  <c r="AI61" i="21"/>
  <c r="AI63" i="21"/>
  <c r="AI65" i="21"/>
  <c r="AI66" i="21"/>
  <c r="AI67" i="21"/>
  <c r="AI68" i="21"/>
  <c r="AI69" i="21"/>
  <c r="AI70" i="21"/>
  <c r="AI71" i="21"/>
  <c r="AI76" i="21"/>
  <c r="AI80" i="21"/>
  <c r="AI81" i="21"/>
  <c r="AI82" i="21"/>
  <c r="AI88" i="21"/>
  <c r="AI89" i="21"/>
  <c r="AI90" i="21"/>
  <c r="AI91" i="21"/>
  <c r="AI92" i="21"/>
  <c r="AI93" i="21"/>
  <c r="AI94" i="21"/>
  <c r="AI78" i="21"/>
  <c r="AI79" i="21"/>
  <c r="AI83" i="21"/>
  <c r="AI84" i="21"/>
  <c r="AI87" i="21"/>
  <c r="AI95" i="21"/>
  <c r="AI77" i="21"/>
  <c r="AI13" i="21"/>
  <c r="AI12" i="21"/>
  <c r="AI72" i="21"/>
  <c r="AI73" i="21"/>
  <c r="AI74" i="21"/>
  <c r="AI75" i="21"/>
  <c r="AI51" i="21"/>
  <c r="AI52" i="21"/>
  <c r="AI55" i="21"/>
  <c r="AI59" i="21"/>
  <c r="AI58" i="21"/>
  <c r="AI62" i="21"/>
  <c r="AI21" i="21"/>
  <c r="AI23" i="21"/>
  <c r="AI27" i="21"/>
  <c r="AI33" i="21"/>
  <c r="AI36" i="21"/>
  <c r="AI38" i="21"/>
  <c r="AI40" i="21"/>
  <c r="AI35" i="21"/>
  <c r="AI42" i="21"/>
  <c r="AI43" i="21"/>
  <c r="AI16" i="21"/>
  <c r="AB58" i="21" l="1"/>
  <c r="C58" i="21"/>
  <c r="AP58" i="21"/>
  <c r="AB79" i="21"/>
  <c r="C79" i="21"/>
  <c r="AP79" i="21"/>
  <c r="C76" i="21"/>
  <c r="AP76" i="21"/>
  <c r="AB56" i="21"/>
  <c r="C56" i="21"/>
  <c r="AP56" i="21"/>
  <c r="C159" i="21"/>
  <c r="AP159" i="21"/>
  <c r="C147" i="21"/>
  <c r="AP147" i="21"/>
  <c r="AP135" i="21"/>
  <c r="C135" i="21"/>
  <c r="C123" i="21"/>
  <c r="AP123" i="21"/>
  <c r="C107" i="21"/>
  <c r="AP107" i="21"/>
  <c r="AB38" i="21"/>
  <c r="C38" i="21"/>
  <c r="AP38" i="21"/>
  <c r="AB59" i="21"/>
  <c r="C59" i="21"/>
  <c r="AP59" i="21"/>
  <c r="AB75" i="21"/>
  <c r="C75" i="21"/>
  <c r="AP75" i="21"/>
  <c r="AB87" i="21"/>
  <c r="C87" i="21"/>
  <c r="AP87" i="21"/>
  <c r="AB78" i="21"/>
  <c r="C78" i="21"/>
  <c r="AP78" i="21"/>
  <c r="C91" i="21"/>
  <c r="AP91" i="21"/>
  <c r="AB82" i="21"/>
  <c r="C82" i="21"/>
  <c r="AP82" i="21"/>
  <c r="AB67" i="21"/>
  <c r="C67" i="21"/>
  <c r="AP67" i="21"/>
  <c r="C61" i="21"/>
  <c r="AP61" i="21"/>
  <c r="C158" i="21"/>
  <c r="AP158" i="21"/>
  <c r="C154" i="21"/>
  <c r="AP154" i="21"/>
  <c r="C150" i="21"/>
  <c r="AP150" i="21"/>
  <c r="C146" i="21"/>
  <c r="AP146" i="21"/>
  <c r="C142" i="21"/>
  <c r="AP142" i="21"/>
  <c r="C138" i="21"/>
  <c r="AP138" i="21"/>
  <c r="C134" i="21"/>
  <c r="AP134" i="21"/>
  <c r="C130" i="21"/>
  <c r="AP130" i="21"/>
  <c r="C126" i="21"/>
  <c r="AP126" i="21"/>
  <c r="C122" i="21"/>
  <c r="AP122" i="21"/>
  <c r="C118" i="21"/>
  <c r="AP118" i="21"/>
  <c r="C114" i="21"/>
  <c r="AP114" i="21"/>
  <c r="C110" i="21"/>
  <c r="AP110" i="21"/>
  <c r="C106" i="21"/>
  <c r="AP106" i="21"/>
  <c r="C102" i="21"/>
  <c r="AP102" i="21"/>
  <c r="C98" i="21"/>
  <c r="AP98" i="21"/>
  <c r="AB72" i="21"/>
  <c r="C72" i="21"/>
  <c r="AP72" i="21"/>
  <c r="C151" i="21"/>
  <c r="AP151" i="21"/>
  <c r="AP139" i="21"/>
  <c r="C139" i="21"/>
  <c r="C127" i="21"/>
  <c r="AP127" i="21"/>
  <c r="C115" i="21"/>
  <c r="AP115" i="21"/>
  <c r="C99" i="21"/>
  <c r="AP99" i="21"/>
  <c r="AB42" i="21"/>
  <c r="C42" i="21"/>
  <c r="AP42" i="21"/>
  <c r="AB36" i="21"/>
  <c r="C36" i="21"/>
  <c r="AP36" i="21"/>
  <c r="AB55" i="21"/>
  <c r="C55" i="21"/>
  <c r="AP55" i="21"/>
  <c r="AB74" i="21"/>
  <c r="AP74" i="21"/>
  <c r="C74" i="21"/>
  <c r="AB84" i="21"/>
  <c r="C84" i="21"/>
  <c r="AP84" i="21"/>
  <c r="AP94" i="21"/>
  <c r="C94" i="21"/>
  <c r="AP90" i="21"/>
  <c r="C90" i="21"/>
  <c r="AB81" i="21"/>
  <c r="C81" i="21"/>
  <c r="AP81" i="21"/>
  <c r="AB66" i="21"/>
  <c r="C66" i="21"/>
  <c r="AP66" i="21"/>
  <c r="C60" i="21"/>
  <c r="AP60" i="21"/>
  <c r="C157" i="21"/>
  <c r="AP157" i="21"/>
  <c r="C153" i="21"/>
  <c r="AP153" i="21"/>
  <c r="C149" i="21"/>
  <c r="AP149" i="21"/>
  <c r="C145" i="21"/>
  <c r="AP145" i="21"/>
  <c r="C141" i="21"/>
  <c r="AP141" i="21"/>
  <c r="C137" i="21"/>
  <c r="AP137" i="21"/>
  <c r="C133" i="21"/>
  <c r="AP133" i="21"/>
  <c r="C129" i="21"/>
  <c r="AP129" i="21"/>
  <c r="C125" i="21"/>
  <c r="AP125" i="21"/>
  <c r="C121" i="21"/>
  <c r="AP121" i="21"/>
  <c r="C117" i="21"/>
  <c r="AP117" i="21"/>
  <c r="C113" i="21"/>
  <c r="AP113" i="21"/>
  <c r="C109" i="21"/>
  <c r="AP109" i="21"/>
  <c r="AP105" i="21"/>
  <c r="C105" i="21"/>
  <c r="C101" i="21"/>
  <c r="AP101" i="21"/>
  <c r="AB40" i="21"/>
  <c r="C40" i="21"/>
  <c r="AP40" i="21"/>
  <c r="AB51" i="21"/>
  <c r="C51" i="21"/>
  <c r="AP51" i="21"/>
  <c r="AB95" i="21"/>
  <c r="AP95" i="21"/>
  <c r="C95" i="21"/>
  <c r="C92" i="21"/>
  <c r="AP92" i="21"/>
  <c r="C68" i="21"/>
  <c r="AP68" i="21"/>
  <c r="AB34" i="21"/>
  <c r="C34" i="21"/>
  <c r="AP34" i="21"/>
  <c r="C155" i="21"/>
  <c r="AP155" i="21"/>
  <c r="C143" i="21"/>
  <c r="AP143" i="21"/>
  <c r="C131" i="21"/>
  <c r="AP131" i="21"/>
  <c r="C119" i="21"/>
  <c r="AP119" i="21"/>
  <c r="C111" i="21"/>
  <c r="AP111" i="21"/>
  <c r="C103" i="21"/>
  <c r="AP103" i="21"/>
  <c r="AB43" i="21"/>
  <c r="C43" i="21"/>
  <c r="AP43" i="21"/>
  <c r="AB35" i="21"/>
  <c r="C35" i="21"/>
  <c r="AP35" i="21"/>
  <c r="AB33" i="21"/>
  <c r="AP33" i="21"/>
  <c r="C33" i="21"/>
  <c r="AB62" i="21"/>
  <c r="C62" i="21"/>
  <c r="AP62" i="21"/>
  <c r="AB52" i="21"/>
  <c r="C52" i="21"/>
  <c r="AP52" i="21"/>
  <c r="AB73" i="21"/>
  <c r="C73" i="21"/>
  <c r="AP73" i="21"/>
  <c r="AB77" i="21"/>
  <c r="AP77" i="21"/>
  <c r="C77" i="21"/>
  <c r="AB83" i="21"/>
  <c r="C83" i="21"/>
  <c r="AP83" i="21"/>
  <c r="C93" i="21"/>
  <c r="AP93" i="21"/>
  <c r="AB80" i="21"/>
  <c r="AP80" i="21"/>
  <c r="C80" i="21"/>
  <c r="C69" i="21"/>
  <c r="AP69" i="21"/>
  <c r="AB65" i="21"/>
  <c r="C65" i="21"/>
  <c r="AP65" i="21"/>
  <c r="AB57" i="21"/>
  <c r="C57" i="21"/>
  <c r="AP57" i="21"/>
  <c r="C46" i="21"/>
  <c r="AP46" i="21"/>
  <c r="C160" i="21"/>
  <c r="AP160" i="21"/>
  <c r="C156" i="21"/>
  <c r="AP156" i="21"/>
  <c r="C152" i="21"/>
  <c r="AP152" i="21"/>
  <c r="C148" i="21"/>
  <c r="AP148" i="21"/>
  <c r="C144" i="21"/>
  <c r="AP144" i="21"/>
  <c r="C140" i="21"/>
  <c r="AP140" i="21"/>
  <c r="AP136" i="21"/>
  <c r="C136" i="21"/>
  <c r="C132" i="21"/>
  <c r="AP132" i="21"/>
  <c r="C128" i="21"/>
  <c r="AP128" i="21"/>
  <c r="AP124" i="21"/>
  <c r="C124" i="21"/>
  <c r="AP120" i="21"/>
  <c r="C120" i="21"/>
  <c r="C116" i="21"/>
  <c r="AP116" i="21"/>
  <c r="AP112" i="21"/>
  <c r="C112" i="21"/>
  <c r="AP108" i="21"/>
  <c r="C108" i="21"/>
  <c r="C104" i="21"/>
  <c r="AP104" i="21"/>
  <c r="C100" i="21"/>
  <c r="AP100" i="21"/>
  <c r="B89" i="12"/>
  <c r="AI54" i="21"/>
  <c r="AI50" i="21"/>
  <c r="AI85" i="21"/>
  <c r="AI41" i="21"/>
  <c r="AI25" i="21"/>
  <c r="AI22" i="21"/>
  <c r="AI53" i="21"/>
  <c r="AI49" i="21"/>
  <c r="AI39" i="21"/>
  <c r="AI20" i="21"/>
  <c r="AI30" i="21"/>
  <c r="AI37" i="21"/>
  <c r="AI64" i="21"/>
  <c r="AI45" i="21"/>
  <c r="AI44" i="21"/>
  <c r="AI31" i="21"/>
  <c r="AI28" i="21"/>
  <c r="AI18" i="21"/>
  <c r="AI86" i="21"/>
  <c r="A53" i="9"/>
  <c r="AI96" i="21"/>
  <c r="AI14" i="21"/>
  <c r="AI15" i="21"/>
  <c r="AB96" i="21" l="1"/>
  <c r="C96" i="21"/>
  <c r="AP96" i="21"/>
  <c r="AB64" i="21"/>
  <c r="AP64" i="21"/>
  <c r="C64" i="21"/>
  <c r="AB39" i="21"/>
  <c r="C39" i="21"/>
  <c r="AP39" i="21"/>
  <c r="AB54" i="21"/>
  <c r="C54" i="21"/>
  <c r="AP54" i="21"/>
  <c r="AB37" i="21"/>
  <c r="C37" i="21"/>
  <c r="AP37" i="21"/>
  <c r="AB49" i="21"/>
  <c r="C49" i="21"/>
  <c r="AP49" i="21"/>
  <c r="AB41" i="21"/>
  <c r="C41" i="21"/>
  <c r="AP41" i="21"/>
  <c r="AB86" i="21"/>
  <c r="C86" i="21"/>
  <c r="AP86" i="21"/>
  <c r="AB44" i="21"/>
  <c r="C44" i="21"/>
  <c r="AP44" i="21"/>
  <c r="AB53" i="21"/>
  <c r="C53" i="21"/>
  <c r="AP53" i="21"/>
  <c r="AB85" i="21"/>
  <c r="C85" i="21"/>
  <c r="AP85" i="21"/>
  <c r="AB14" i="21"/>
  <c r="AP14" i="21"/>
  <c r="AB45" i="21"/>
  <c r="C45" i="21"/>
  <c r="AP45" i="21"/>
  <c r="AB20" i="21"/>
  <c r="AP20" i="21"/>
  <c r="AB50" i="21"/>
  <c r="AP50" i="21"/>
  <c r="C50" i="21"/>
  <c r="B90" i="12"/>
  <c r="H4" i="28"/>
  <c r="G4" i="28"/>
  <c r="H3" i="28"/>
  <c r="G3" i="28"/>
  <c r="H2" i="28"/>
  <c r="G2" i="28"/>
  <c r="H1" i="28"/>
  <c r="G1" i="28"/>
  <c r="H4" i="8"/>
  <c r="G4" i="8"/>
  <c r="H3" i="8"/>
  <c r="G3" i="8"/>
  <c r="H2" i="8"/>
  <c r="G2" i="8"/>
  <c r="H1" i="8"/>
  <c r="G1" i="8"/>
  <c r="H4" i="30"/>
  <c r="G4" i="30"/>
  <c r="H3" i="30"/>
  <c r="G3" i="30"/>
  <c r="H2" i="30"/>
  <c r="G2" i="30"/>
  <c r="H1" i="30"/>
  <c r="G1" i="30"/>
  <c r="AC4" i="21"/>
  <c r="AB4" i="21"/>
  <c r="AC3" i="21"/>
  <c r="AB3" i="21"/>
  <c r="AC2" i="21"/>
  <c r="AB2" i="21"/>
  <c r="AC1" i="21"/>
  <c r="AB1" i="21"/>
  <c r="N5" i="26"/>
  <c r="O4" i="26"/>
  <c r="N4" i="26"/>
  <c r="O3" i="26"/>
  <c r="N3" i="26"/>
  <c r="O2" i="26"/>
  <c r="N2" i="26"/>
  <c r="D1" i="31"/>
  <c r="G1" i="32"/>
  <c r="E1" i="12"/>
  <c r="E1" i="28"/>
  <c r="E1" i="8"/>
  <c r="E1" i="30"/>
  <c r="A1" i="33"/>
  <c r="I1" i="21"/>
  <c r="G1" i="26"/>
  <c r="G1" i="9"/>
  <c r="G89" i="21"/>
  <c r="F90" i="21"/>
  <c r="G90" i="21"/>
  <c r="F91" i="21"/>
  <c r="G91" i="21"/>
  <c r="F92" i="21"/>
  <c r="G92" i="21"/>
  <c r="F93" i="21"/>
  <c r="G93" i="21"/>
  <c r="F94" i="21"/>
  <c r="G94" i="21"/>
  <c r="G95" i="21"/>
  <c r="F96" i="21"/>
  <c r="G96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G34" i="21"/>
  <c r="F35" i="21"/>
  <c r="G35" i="21"/>
  <c r="G36" i="21"/>
  <c r="G38" i="21"/>
  <c r="F39" i="21"/>
  <c r="G39" i="21"/>
  <c r="G40" i="21"/>
  <c r="G42" i="21"/>
  <c r="F43" i="21"/>
  <c r="G43" i="21"/>
  <c r="G44" i="21"/>
  <c r="G46" i="21"/>
  <c r="F47" i="21"/>
  <c r="G47" i="21"/>
  <c r="G48" i="21"/>
  <c r="G50" i="21"/>
  <c r="F51" i="21"/>
  <c r="G51" i="21"/>
  <c r="G52" i="21"/>
  <c r="G54" i="21"/>
  <c r="F55" i="21"/>
  <c r="G55" i="21"/>
  <c r="G56" i="21"/>
  <c r="G58" i="21"/>
  <c r="F59" i="21"/>
  <c r="G59" i="21"/>
  <c r="G60" i="21"/>
  <c r="G62" i="21"/>
  <c r="F63" i="21"/>
  <c r="G63" i="21"/>
  <c r="G64" i="21"/>
  <c r="G66" i="21"/>
  <c r="F67" i="21"/>
  <c r="G67" i="21"/>
  <c r="G68" i="21"/>
  <c r="G70" i="21"/>
  <c r="F71" i="21"/>
  <c r="G71" i="21"/>
  <c r="G72" i="21"/>
  <c r="G74" i="21"/>
  <c r="F75" i="21"/>
  <c r="G75" i="21"/>
  <c r="F76" i="21"/>
  <c r="G76" i="21"/>
  <c r="G78" i="21"/>
  <c r="F79" i="21"/>
  <c r="G79" i="21"/>
  <c r="G80" i="21"/>
  <c r="G82" i="21"/>
  <c r="F83" i="21"/>
  <c r="G83" i="21"/>
  <c r="G84" i="21"/>
  <c r="G86" i="21"/>
  <c r="F87" i="21"/>
  <c r="G87" i="21"/>
  <c r="G88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A241" i="26"/>
  <c r="A244" i="26"/>
  <c r="A245" i="26"/>
  <c r="A249" i="26"/>
  <c r="A252" i="26"/>
  <c r="A253" i="26"/>
  <c r="A257" i="26"/>
  <c r="A260" i="26"/>
  <c r="A261" i="26"/>
  <c r="A265" i="26"/>
  <c r="A268" i="26"/>
  <c r="A269" i="26"/>
  <c r="A273" i="26"/>
  <c r="A276" i="26"/>
  <c r="A277" i="26"/>
  <c r="A281" i="26"/>
  <c r="A284" i="26"/>
  <c r="A285" i="26"/>
  <c r="A289" i="26"/>
  <c r="A292" i="26"/>
  <c r="A293" i="26"/>
  <c r="A297" i="26"/>
  <c r="E236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D236" i="26"/>
  <c r="D238" i="26"/>
  <c r="D239" i="26"/>
  <c r="D240" i="26"/>
  <c r="D241" i="26"/>
  <c r="D242" i="26"/>
  <c r="D243" i="26"/>
  <c r="D244" i="26"/>
  <c r="D245" i="26"/>
  <c r="D246" i="26"/>
  <c r="D247" i="26"/>
  <c r="D248" i="26"/>
  <c r="D249" i="26"/>
  <c r="D250" i="26"/>
  <c r="D251" i="26"/>
  <c r="D252" i="26"/>
  <c r="D253" i="26"/>
  <c r="D254" i="26"/>
  <c r="D255" i="26"/>
  <c r="D256" i="26"/>
  <c r="D257" i="26"/>
  <c r="D258" i="26"/>
  <c r="D259" i="26"/>
  <c r="D260" i="26"/>
  <c r="D261" i="26"/>
  <c r="D262" i="26"/>
  <c r="D263" i="26"/>
  <c r="D264" i="26"/>
  <c r="D265" i="26"/>
  <c r="D266" i="26"/>
  <c r="D267" i="26"/>
  <c r="D268" i="26"/>
  <c r="D269" i="26"/>
  <c r="D270" i="26"/>
  <c r="D271" i="26"/>
  <c r="D272" i="26"/>
  <c r="D273" i="26"/>
  <c r="D274" i="26"/>
  <c r="D275" i="26"/>
  <c r="D276" i="26"/>
  <c r="D277" i="26"/>
  <c r="D278" i="26"/>
  <c r="D279" i="26"/>
  <c r="D280" i="26"/>
  <c r="D281" i="26"/>
  <c r="D282" i="26"/>
  <c r="D283" i="26"/>
  <c r="D284" i="26"/>
  <c r="D285" i="26"/>
  <c r="D286" i="26"/>
  <c r="D287" i="26"/>
  <c r="D288" i="26"/>
  <c r="D289" i="26"/>
  <c r="D290" i="26"/>
  <c r="D291" i="26"/>
  <c r="D292" i="26"/>
  <c r="D293" i="26"/>
  <c r="D294" i="26"/>
  <c r="D295" i="26"/>
  <c r="D296" i="26"/>
  <c r="D297" i="26"/>
  <c r="C236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A238" i="26"/>
  <c r="A239" i="26"/>
  <c r="A240" i="26"/>
  <c r="A242" i="26"/>
  <c r="A243" i="26"/>
  <c r="A246" i="26"/>
  <c r="A247" i="26"/>
  <c r="A248" i="26"/>
  <c r="A250" i="26"/>
  <c r="A251" i="26"/>
  <c r="A254" i="26"/>
  <c r="A255" i="26"/>
  <c r="A256" i="26"/>
  <c r="A258" i="26"/>
  <c r="A259" i="26"/>
  <c r="A262" i="26"/>
  <c r="A263" i="26"/>
  <c r="A264" i="26"/>
  <c r="A266" i="26"/>
  <c r="A267" i="26"/>
  <c r="A270" i="26"/>
  <c r="A271" i="26"/>
  <c r="A272" i="26"/>
  <c r="A274" i="26"/>
  <c r="A275" i="26"/>
  <c r="A278" i="26"/>
  <c r="A279" i="26"/>
  <c r="A280" i="26"/>
  <c r="A282" i="26"/>
  <c r="A283" i="26"/>
  <c r="A286" i="26"/>
  <c r="A287" i="26"/>
  <c r="A288" i="26"/>
  <c r="A290" i="26"/>
  <c r="A291" i="26"/>
  <c r="A294" i="26"/>
  <c r="A295" i="26"/>
  <c r="A296" i="26"/>
  <c r="A236" i="26"/>
  <c r="A9" i="26"/>
  <c r="A10" i="26" s="1"/>
  <c r="A11" i="26" s="1"/>
  <c r="A47" i="9"/>
  <c r="A48" i="9"/>
  <c r="A49" i="9"/>
  <c r="A50" i="9"/>
  <c r="A51" i="9"/>
  <c r="A52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8" i="9"/>
  <c r="A29" i="9"/>
  <c r="A30" i="9"/>
  <c r="A31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9" i="9"/>
  <c r="A10" i="9" s="1"/>
  <c r="A11" i="9" s="1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8" i="9"/>
  <c r="E29" i="9"/>
  <c r="E30" i="9"/>
  <c r="E3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8" i="9"/>
  <c r="D29" i="9"/>
  <c r="D30" i="9"/>
  <c r="D31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4" i="9"/>
  <c r="B54" i="9" s="1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C28" i="9"/>
  <c r="C29" i="9"/>
  <c r="C30" i="9"/>
  <c r="C31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AG1" i="21" l="1"/>
  <c r="AF1" i="21"/>
  <c r="AF3" i="21"/>
  <c r="AI3" i="21"/>
  <c r="AG3" i="21"/>
  <c r="AF2" i="21"/>
  <c r="AG2" i="21"/>
  <c r="AI2" i="21"/>
  <c r="AI4" i="21"/>
  <c r="AG4" i="21"/>
  <c r="AF4" i="21"/>
  <c r="B91" i="12"/>
  <c r="F88" i="21"/>
  <c r="F84" i="21"/>
  <c r="F80" i="21"/>
  <c r="F72" i="21"/>
  <c r="F68" i="21"/>
  <c r="F64" i="21"/>
  <c r="F60" i="21"/>
  <c r="F56" i="21"/>
  <c r="F52" i="21"/>
  <c r="F48" i="21"/>
  <c r="F44" i="21"/>
  <c r="F40" i="21"/>
  <c r="F36" i="21"/>
  <c r="F97" i="21"/>
  <c r="F89" i="21"/>
  <c r="F86" i="21"/>
  <c r="F82" i="21"/>
  <c r="F78" i="21"/>
  <c r="F74" i="21"/>
  <c r="F70" i="21"/>
  <c r="F66" i="21"/>
  <c r="F62" i="21"/>
  <c r="F58" i="21"/>
  <c r="F54" i="21"/>
  <c r="F50" i="21"/>
  <c r="F46" i="21"/>
  <c r="F42" i="21"/>
  <c r="F38" i="21"/>
  <c r="F34" i="21"/>
  <c r="F95" i="21"/>
  <c r="G85" i="21"/>
  <c r="G81" i="21"/>
  <c r="G77" i="21"/>
  <c r="G73" i="21"/>
  <c r="G69" i="21"/>
  <c r="G65" i="21"/>
  <c r="G61" i="21"/>
  <c r="G57" i="21"/>
  <c r="G53" i="21"/>
  <c r="G49" i="21"/>
  <c r="G45" i="21"/>
  <c r="G41" i="21"/>
  <c r="G37" i="21"/>
  <c r="G33" i="21"/>
  <c r="F85" i="21"/>
  <c r="F81" i="21"/>
  <c r="F77" i="21"/>
  <c r="F73" i="21"/>
  <c r="F69" i="21"/>
  <c r="F65" i="21"/>
  <c r="F61" i="21"/>
  <c r="F57" i="21"/>
  <c r="F53" i="21"/>
  <c r="F49" i="21"/>
  <c r="F45" i="21"/>
  <c r="F41" i="21"/>
  <c r="F37" i="21"/>
  <c r="F33" i="21"/>
  <c r="A12" i="26"/>
  <c r="A12" i="9"/>
  <c r="B92" i="12" l="1"/>
  <c r="A13" i="26"/>
  <c r="A14" i="26" s="1"/>
  <c r="A13" i="9"/>
  <c r="B93" i="12" l="1"/>
  <c r="A14" i="9"/>
  <c r="A15" i="9" s="1"/>
  <c r="A15" i="26"/>
  <c r="A16" i="26" s="1"/>
  <c r="B94" i="12" l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A17" i="26"/>
  <c r="A18" i="26" s="1"/>
  <c r="A16" i="9"/>
  <c r="B110" i="12" l="1"/>
  <c r="B114" i="12" s="1"/>
  <c r="B115" i="12" s="1"/>
  <c r="B124" i="12"/>
  <c r="A19" i="26"/>
  <c r="A17" i="9"/>
  <c r="A18" i="9" s="1"/>
  <c r="A19" i="9" s="1"/>
  <c r="B116" i="12" l="1"/>
  <c r="O8" i="12" s="1"/>
  <c r="O14" i="12"/>
  <c r="O32" i="12"/>
  <c r="O77" i="12"/>
  <c r="O84" i="12"/>
  <c r="O25" i="12"/>
  <c r="O75" i="12"/>
  <c r="O64" i="12"/>
  <c r="O104" i="12"/>
  <c r="O114" i="12"/>
  <c r="O51" i="12"/>
  <c r="O97" i="12"/>
  <c r="O38" i="12"/>
  <c r="O11" i="12"/>
  <c r="O105" i="12"/>
  <c r="O108" i="12"/>
  <c r="O27" i="12"/>
  <c r="O89" i="12"/>
  <c r="O116" i="12"/>
  <c r="O93" i="12"/>
  <c r="O33" i="12"/>
  <c r="O109" i="12"/>
  <c r="O67" i="12"/>
  <c r="O82" i="12"/>
  <c r="O103" i="12"/>
  <c r="O18" i="12"/>
  <c r="O56" i="12"/>
  <c r="O41" i="12"/>
  <c r="O22" i="12"/>
  <c r="O94" i="12"/>
  <c r="O87" i="12"/>
  <c r="O119" i="12"/>
  <c r="O85" i="12"/>
  <c r="O88" i="12"/>
  <c r="O111" i="12"/>
  <c r="O55" i="12"/>
  <c r="O107" i="12"/>
  <c r="O49" i="12"/>
  <c r="O86" i="12"/>
  <c r="O37" i="12"/>
  <c r="O23" i="12"/>
  <c r="O17" i="12"/>
  <c r="O30" i="12"/>
  <c r="O69" i="12"/>
  <c r="O74" i="12"/>
  <c r="O53" i="12"/>
  <c r="O29" i="12"/>
  <c r="O43" i="12"/>
  <c r="O47" i="12"/>
  <c r="O122" i="12"/>
  <c r="O76" i="12"/>
  <c r="O63" i="12"/>
  <c r="O35" i="12"/>
  <c r="O101" i="12"/>
  <c r="O118" i="12"/>
  <c r="O91" i="12"/>
  <c r="O59" i="12"/>
  <c r="O19" i="12"/>
  <c r="O57" i="12"/>
  <c r="O21" i="12"/>
  <c r="O48" i="12"/>
  <c r="O90" i="12"/>
  <c r="O66" i="12"/>
  <c r="O58" i="12"/>
  <c r="O45" i="12"/>
  <c r="O16" i="12"/>
  <c r="O71" i="12"/>
  <c r="O120" i="12"/>
  <c r="O95" i="12"/>
  <c r="O80" i="12"/>
  <c r="O54" i="12"/>
  <c r="O123" i="12"/>
  <c r="O20" i="12"/>
  <c r="O40" i="12"/>
  <c r="O52" i="12"/>
  <c r="O46" i="12"/>
  <c r="O92" i="12"/>
  <c r="O121" i="12"/>
  <c r="O24" i="12"/>
  <c r="O112" i="12"/>
  <c r="O36" i="12"/>
  <c r="O124" i="12"/>
  <c r="O9" i="12"/>
  <c r="O42" i="12"/>
  <c r="O72" i="12"/>
  <c r="O96" i="12"/>
  <c r="O73" i="12"/>
  <c r="O31" i="12"/>
  <c r="O98" i="12"/>
  <c r="O115" i="12"/>
  <c r="O70" i="12"/>
  <c r="O12" i="12"/>
  <c r="O39" i="12"/>
  <c r="O78" i="12"/>
  <c r="O44" i="12"/>
  <c r="O113" i="12"/>
  <c r="O34" i="12"/>
  <c r="O60" i="12"/>
  <c r="O106" i="12"/>
  <c r="O68" i="12"/>
  <c r="O100" i="12"/>
  <c r="O99" i="12"/>
  <c r="O81" i="12"/>
  <c r="O61" i="12"/>
  <c r="O13" i="12"/>
  <c r="O110" i="12"/>
  <c r="O117" i="12"/>
  <c r="O102" i="12"/>
  <c r="O26" i="12"/>
  <c r="O65" i="12"/>
  <c r="O79" i="12"/>
  <c r="O50" i="12"/>
  <c r="O28" i="12"/>
  <c r="O15" i="12"/>
  <c r="O83" i="12"/>
  <c r="O10" i="12"/>
  <c r="O62" i="12"/>
  <c r="A20" i="26"/>
  <c r="A20" i="9"/>
  <c r="E57" i="8" l="1"/>
  <c r="E143" i="30"/>
  <c r="E57" i="28"/>
  <c r="E143" i="8"/>
  <c r="E142" i="28"/>
  <c r="E143" i="28"/>
  <c r="E142" i="8"/>
  <c r="E141" i="30"/>
  <c r="E141" i="28"/>
  <c r="E141" i="8"/>
  <c r="E58" i="8"/>
  <c r="E59" i="28"/>
  <c r="E142" i="30"/>
  <c r="E58" i="28"/>
  <c r="E59" i="8"/>
  <c r="E58" i="30"/>
  <c r="E59" i="30"/>
  <c r="E57" i="30"/>
  <c r="E120" i="28"/>
  <c r="E31" i="28"/>
  <c r="E94" i="30"/>
  <c r="E126" i="30"/>
  <c r="E47" i="28"/>
  <c r="E43" i="28"/>
  <c r="E108" i="28"/>
  <c r="E140" i="28"/>
  <c r="E19" i="28"/>
  <c r="E51" i="28"/>
  <c r="E114" i="30"/>
  <c r="E104" i="28"/>
  <c r="E15" i="28"/>
  <c r="E96" i="28"/>
  <c r="E128" i="28"/>
  <c r="E39" i="28"/>
  <c r="E102" i="30"/>
  <c r="E134" i="30"/>
  <c r="E116" i="28"/>
  <c r="E27" i="28"/>
  <c r="E122" i="30"/>
  <c r="E136" i="28"/>
  <c r="E110" i="30"/>
  <c r="E124" i="28"/>
  <c r="E35" i="28"/>
  <c r="E98" i="30"/>
  <c r="E130" i="30"/>
  <c r="E112" i="28"/>
  <c r="E23" i="28"/>
  <c r="E55" i="28"/>
  <c r="E118" i="30"/>
  <c r="E100" i="28"/>
  <c r="E132" i="28"/>
  <c r="E11" i="28"/>
  <c r="E106" i="30"/>
  <c r="E138" i="30"/>
  <c r="E42" i="8"/>
  <c r="E125" i="28"/>
  <c r="E41" i="8"/>
  <c r="E111" i="8"/>
  <c r="E137" i="28"/>
  <c r="E104" i="30"/>
  <c r="E126" i="8"/>
  <c r="E22" i="28"/>
  <c r="E136" i="8"/>
  <c r="E34" i="28"/>
  <c r="E116" i="8"/>
  <c r="E135" i="28"/>
  <c r="E95" i="30"/>
  <c r="E131" i="8"/>
  <c r="E13" i="28"/>
  <c r="E104" i="8"/>
  <c r="E129" i="28"/>
  <c r="E107" i="30"/>
  <c r="E138" i="8"/>
  <c r="E25" i="28"/>
  <c r="E99" i="30"/>
  <c r="E109" i="8"/>
  <c r="E132" i="30"/>
  <c r="E19" i="8"/>
  <c r="E56" i="28"/>
  <c r="E107" i="28"/>
  <c r="E52" i="30"/>
  <c r="E44" i="30"/>
  <c r="E36" i="30"/>
  <c r="E28" i="30"/>
  <c r="E20" i="30"/>
  <c r="E12" i="30"/>
  <c r="E54" i="28"/>
  <c r="E28" i="8"/>
  <c r="E46" i="8"/>
  <c r="E55" i="30"/>
  <c r="E23" i="30"/>
  <c r="E127" i="8"/>
  <c r="E125" i="30"/>
  <c r="E121" i="30"/>
  <c r="E117" i="8"/>
  <c r="E15" i="8"/>
  <c r="E126" i="28"/>
  <c r="E38" i="30"/>
  <c r="E14" i="30"/>
  <c r="E10" i="28"/>
  <c r="E132" i="8"/>
  <c r="E26" i="28"/>
  <c r="E12" i="8"/>
  <c r="E53" i="30"/>
  <c r="E21" i="30"/>
  <c r="E18" i="8"/>
  <c r="E119" i="28"/>
  <c r="E33" i="8"/>
  <c r="E103" i="8"/>
  <c r="E131" i="28"/>
  <c r="E56" i="8"/>
  <c r="E118" i="8"/>
  <c r="E112" i="8"/>
  <c r="E123" i="28"/>
  <c r="E108" i="8"/>
  <c r="E122" i="28"/>
  <c r="E53" i="8"/>
  <c r="E123" i="8"/>
  <c r="E134" i="28"/>
  <c r="E36" i="28"/>
  <c r="E115" i="30"/>
  <c r="E101" i="30"/>
  <c r="E130" i="8"/>
  <c r="E12" i="28"/>
  <c r="E26" i="8"/>
  <c r="E21" i="28"/>
  <c r="E119" i="30"/>
  <c r="E11" i="8"/>
  <c r="E50" i="28"/>
  <c r="E94" i="28"/>
  <c r="E51" i="30"/>
  <c r="E43" i="30"/>
  <c r="E35" i="30"/>
  <c r="E27" i="30"/>
  <c r="E19" i="30"/>
  <c r="E11" i="30"/>
  <c r="E10" i="30"/>
  <c r="E49" i="28"/>
  <c r="E32" i="8"/>
  <c r="E23" i="8"/>
  <c r="E46" i="28"/>
  <c r="E99" i="8"/>
  <c r="E124" i="8"/>
  <c r="E114" i="28"/>
  <c r="E51" i="8"/>
  <c r="E56" i="30"/>
  <c r="E32" i="30"/>
  <c r="E30" i="28"/>
  <c r="E24" i="8"/>
  <c r="E22" i="8"/>
  <c r="E21" i="8"/>
  <c r="E31" i="8"/>
  <c r="E101" i="28"/>
  <c r="E113" i="8"/>
  <c r="E39" i="30"/>
  <c r="E17" i="28"/>
  <c r="E16" i="8"/>
  <c r="E20" i="28"/>
  <c r="E50" i="8"/>
  <c r="E44" i="28"/>
  <c r="E35" i="8"/>
  <c r="E30" i="30"/>
  <c r="E49" i="8"/>
  <c r="E28" i="28"/>
  <c r="E14" i="28"/>
  <c r="E10" i="8"/>
  <c r="E131" i="30"/>
  <c r="E97" i="8"/>
  <c r="E37" i="30"/>
  <c r="E128" i="8"/>
  <c r="E106" i="28"/>
  <c r="E25" i="8"/>
  <c r="E95" i="8"/>
  <c r="E118" i="28"/>
  <c r="E48" i="8"/>
  <c r="E110" i="8"/>
  <c r="E130" i="28"/>
  <c r="E135" i="30"/>
  <c r="E110" i="28"/>
  <c r="E100" i="8"/>
  <c r="E109" i="28"/>
  <c r="E45" i="8"/>
  <c r="E115" i="8"/>
  <c r="E121" i="28"/>
  <c r="E116" i="30"/>
  <c r="E54" i="8"/>
  <c r="E52" i="8"/>
  <c r="E122" i="8"/>
  <c r="E133" i="28"/>
  <c r="E120" i="8"/>
  <c r="E97" i="28"/>
  <c r="E113" i="30"/>
  <c r="E137" i="8"/>
  <c r="E37" i="28"/>
  <c r="E50" i="30"/>
  <c r="E42" i="30"/>
  <c r="E34" i="30"/>
  <c r="E26" i="30"/>
  <c r="E18" i="30"/>
  <c r="E42" i="28"/>
  <c r="E94" i="8"/>
  <c r="E111" i="28"/>
  <c r="E140" i="30"/>
  <c r="E102" i="28"/>
  <c r="E36" i="8"/>
  <c r="E103" i="30"/>
  <c r="E121" i="8"/>
  <c r="E40" i="30"/>
  <c r="E16" i="30"/>
  <c r="E135" i="8"/>
  <c r="E29" i="28"/>
  <c r="E98" i="28"/>
  <c r="E33" i="28"/>
  <c r="E45" i="28"/>
  <c r="E139" i="30"/>
  <c r="E47" i="8"/>
  <c r="E139" i="28"/>
  <c r="E31" i="30"/>
  <c r="E105" i="30"/>
  <c r="E123" i="30"/>
  <c r="E101" i="8"/>
  <c r="E13" i="8"/>
  <c r="E133" i="30"/>
  <c r="E95" i="28"/>
  <c r="E105" i="8"/>
  <c r="E46" i="30"/>
  <c r="E138" i="28"/>
  <c r="E117" i="30"/>
  <c r="E34" i="8"/>
  <c r="E108" i="30"/>
  <c r="E40" i="28"/>
  <c r="E38" i="28"/>
  <c r="E27" i="8"/>
  <c r="E45" i="30"/>
  <c r="E13" i="30"/>
  <c r="E96" i="8"/>
  <c r="E137" i="30"/>
  <c r="E17" i="8"/>
  <c r="E48" i="28"/>
  <c r="E105" i="28"/>
  <c r="E40" i="8"/>
  <c r="E102" i="8"/>
  <c r="E117" i="28"/>
  <c r="E39" i="8"/>
  <c r="E96" i="30"/>
  <c r="E52" i="28"/>
  <c r="E103" i="28"/>
  <c r="E37" i="8"/>
  <c r="E107" i="8"/>
  <c r="E115" i="28"/>
  <c r="E97" i="30"/>
  <c r="E30" i="8"/>
  <c r="E44" i="8"/>
  <c r="E114" i="8"/>
  <c r="E127" i="28"/>
  <c r="E129" i="30"/>
  <c r="E128" i="30"/>
  <c r="E100" i="30"/>
  <c r="E129" i="8"/>
  <c r="E24" i="28"/>
  <c r="E49" i="30"/>
  <c r="E41" i="30"/>
  <c r="E33" i="30"/>
  <c r="E25" i="30"/>
  <c r="E17" i="30"/>
  <c r="E124" i="30"/>
  <c r="E99" i="28"/>
  <c r="E38" i="8"/>
  <c r="E29" i="8"/>
  <c r="E55" i="8"/>
  <c r="E106" i="8"/>
  <c r="E109" i="30"/>
  <c r="E18" i="28"/>
  <c r="E48" i="30"/>
  <c r="E24" i="30"/>
  <c r="E111" i="30"/>
  <c r="E136" i="30"/>
  <c r="E125" i="8"/>
  <c r="E127" i="30"/>
  <c r="E112" i="30"/>
  <c r="E98" i="8"/>
  <c r="E43" i="8"/>
  <c r="E47" i="30"/>
  <c r="E15" i="30"/>
  <c r="E16" i="28"/>
  <c r="E41" i="28"/>
  <c r="E140" i="8"/>
  <c r="E32" i="28"/>
  <c r="E20" i="8"/>
  <c r="E14" i="8"/>
  <c r="E54" i="30"/>
  <c r="E22" i="30"/>
  <c r="E119" i="8"/>
  <c r="E134" i="8"/>
  <c r="E53" i="28"/>
  <c r="E139" i="8"/>
  <c r="E120" i="30"/>
  <c r="E133" i="8"/>
  <c r="E113" i="28"/>
  <c r="E29" i="30"/>
  <c r="U31" i="21"/>
  <c r="U23" i="21"/>
  <c r="U15" i="21"/>
  <c r="S30" i="21"/>
  <c r="S22" i="21"/>
  <c r="S14" i="21"/>
  <c r="S26" i="21"/>
  <c r="S25" i="21"/>
  <c r="S24" i="21"/>
  <c r="U16" i="21"/>
  <c r="U30" i="21"/>
  <c r="U22" i="21"/>
  <c r="U14" i="21"/>
  <c r="S29" i="21"/>
  <c r="S21" i="21"/>
  <c r="S13" i="21"/>
  <c r="U27" i="21"/>
  <c r="S18" i="21"/>
  <c r="U18" i="21"/>
  <c r="U17" i="21"/>
  <c r="S31" i="21"/>
  <c r="U29" i="21"/>
  <c r="U21" i="21"/>
  <c r="U13" i="21"/>
  <c r="S28" i="21"/>
  <c r="S20" i="21"/>
  <c r="S12" i="21"/>
  <c r="U11" i="21"/>
  <c r="U26" i="21"/>
  <c r="S17" i="21"/>
  <c r="U25" i="21"/>
  <c r="S16" i="21"/>
  <c r="U32" i="21"/>
  <c r="S23" i="21"/>
  <c r="U28" i="21"/>
  <c r="U20" i="21"/>
  <c r="U12" i="21"/>
  <c r="S27" i="21"/>
  <c r="S19" i="21"/>
  <c r="S11" i="21"/>
  <c r="U19" i="21"/>
  <c r="S32" i="21"/>
  <c r="U24" i="21"/>
  <c r="S15" i="21"/>
  <c r="K23" i="26"/>
  <c r="K15" i="26"/>
  <c r="I21" i="26"/>
  <c r="I13" i="26"/>
  <c r="K12" i="9"/>
  <c r="I13" i="9"/>
  <c r="K18" i="26"/>
  <c r="I10" i="9"/>
  <c r="I11" i="9"/>
  <c r="K22" i="26"/>
  <c r="K14" i="26"/>
  <c r="I20" i="26"/>
  <c r="I12" i="26"/>
  <c r="K13" i="9"/>
  <c r="I9" i="9"/>
  <c r="I15" i="9"/>
  <c r="K10" i="26"/>
  <c r="K17" i="26"/>
  <c r="K16" i="26"/>
  <c r="I12" i="9"/>
  <c r="K21" i="26"/>
  <c r="K13" i="26"/>
  <c r="I19" i="26"/>
  <c r="I11" i="26"/>
  <c r="K10" i="9"/>
  <c r="I14" i="9"/>
  <c r="I9" i="26"/>
  <c r="I15" i="26"/>
  <c r="I14" i="26"/>
  <c r="K11" i="9"/>
  <c r="K20" i="26"/>
  <c r="K12" i="26"/>
  <c r="I18" i="26"/>
  <c r="I10" i="26"/>
  <c r="K9" i="9"/>
  <c r="K19" i="26"/>
  <c r="K11" i="26"/>
  <c r="I17" i="26"/>
  <c r="K9" i="26"/>
  <c r="K14" i="9"/>
  <c r="I16" i="26"/>
  <c r="K15" i="9"/>
  <c r="I23" i="26"/>
  <c r="I22" i="26"/>
  <c r="P8" i="12"/>
  <c r="P9" i="12"/>
  <c r="P13" i="12"/>
  <c r="P11" i="12"/>
  <c r="P10" i="12"/>
  <c r="P28" i="12"/>
  <c r="P34" i="12"/>
  <c r="P36" i="12"/>
  <c r="P47" i="12"/>
  <c r="P103" i="12"/>
  <c r="P61" i="12"/>
  <c r="P113" i="12"/>
  <c r="P112" i="12"/>
  <c r="P123" i="12"/>
  <c r="P37" i="12"/>
  <c r="P119" i="12"/>
  <c r="P79" i="12"/>
  <c r="P24" i="12"/>
  <c r="P67" i="12"/>
  <c r="P78" i="12"/>
  <c r="P121" i="12"/>
  <c r="P49" i="12"/>
  <c r="P25" i="12"/>
  <c r="P26" i="12"/>
  <c r="P100" i="12"/>
  <c r="P39" i="12"/>
  <c r="P72" i="12"/>
  <c r="P92" i="12"/>
  <c r="P95" i="12"/>
  <c r="P48" i="12"/>
  <c r="P35" i="12"/>
  <c r="P74" i="12"/>
  <c r="P107" i="12"/>
  <c r="P22" i="12"/>
  <c r="P33" i="12"/>
  <c r="P38" i="12"/>
  <c r="P84" i="12"/>
  <c r="P98" i="12"/>
  <c r="P59" i="12"/>
  <c r="P27" i="12"/>
  <c r="P31" i="12"/>
  <c r="P43" i="12"/>
  <c r="P64" i="12"/>
  <c r="P73" i="12"/>
  <c r="P29" i="12"/>
  <c r="P86" i="12"/>
  <c r="P105" i="12"/>
  <c r="P80" i="12"/>
  <c r="P90" i="12"/>
  <c r="P101" i="12"/>
  <c r="P68" i="12"/>
  <c r="P12" i="12"/>
  <c r="P42" i="12"/>
  <c r="P46" i="12"/>
  <c r="P120" i="12"/>
  <c r="P21" i="12"/>
  <c r="P63" i="12"/>
  <c r="P69" i="12"/>
  <c r="P55" i="12"/>
  <c r="P41" i="12"/>
  <c r="P93" i="12"/>
  <c r="P97" i="12"/>
  <c r="P77" i="12"/>
  <c r="P20" i="12"/>
  <c r="P23" i="12"/>
  <c r="P50" i="12"/>
  <c r="P58" i="12"/>
  <c r="P91" i="12"/>
  <c r="P82" i="12"/>
  <c r="P108" i="12"/>
  <c r="P81" i="12"/>
  <c r="P54" i="12"/>
  <c r="P75" i="12"/>
  <c r="P99" i="12"/>
  <c r="P102" i="12"/>
  <c r="P70" i="12"/>
  <c r="P52" i="12"/>
  <c r="P71" i="12"/>
  <c r="P57" i="12"/>
  <c r="P76" i="12"/>
  <c r="P30" i="12"/>
  <c r="P111" i="12"/>
  <c r="P56" i="12"/>
  <c r="P116" i="12"/>
  <c r="P51" i="12"/>
  <c r="P32" i="12"/>
  <c r="P45" i="12"/>
  <c r="P85" i="12"/>
  <c r="P104" i="12"/>
  <c r="P44" i="12"/>
  <c r="P66" i="12"/>
  <c r="P118" i="12"/>
  <c r="P87" i="12"/>
  <c r="P65" i="12"/>
  <c r="P96" i="12"/>
  <c r="P53" i="12"/>
  <c r="P94" i="12"/>
  <c r="P109" i="12"/>
  <c r="P62" i="12"/>
  <c r="P83" i="12"/>
  <c r="P117" i="12"/>
  <c r="P106" i="12"/>
  <c r="P15" i="12"/>
  <c r="P110" i="12"/>
  <c r="P60" i="12"/>
  <c r="P115" i="12"/>
  <c r="P124" i="12"/>
  <c r="P40" i="12"/>
  <c r="P16" i="12"/>
  <c r="P19" i="12"/>
  <c r="P122" i="12"/>
  <c r="P17" i="12"/>
  <c r="P88" i="12"/>
  <c r="P18" i="12"/>
  <c r="P89" i="12"/>
  <c r="P114" i="12"/>
  <c r="P14" i="12"/>
  <c r="A21" i="26"/>
  <c r="A21" i="9"/>
  <c r="A22" i="9" s="1"/>
  <c r="A23" i="9" s="1"/>
  <c r="A24" i="9" s="1"/>
  <c r="A25" i="9" s="1"/>
  <c r="A26" i="9" s="1"/>
  <c r="A27" i="9" s="1"/>
  <c r="A32" i="9" s="1"/>
  <c r="A33" i="9" s="1"/>
  <c r="Q31" i="21" l="1"/>
  <c r="K31" i="21"/>
  <c r="P31" i="21" s="1"/>
  <c r="O31" i="21"/>
  <c r="B31" i="21"/>
  <c r="G31" i="21"/>
  <c r="F31" i="21"/>
  <c r="K22" i="21"/>
  <c r="R22" i="21" s="1"/>
  <c r="O22" i="21"/>
  <c r="Q22" i="21"/>
  <c r="B22" i="21"/>
  <c r="G22" i="21"/>
  <c r="F22" i="21"/>
  <c r="Q15" i="21"/>
  <c r="K15" i="21"/>
  <c r="P15" i="21" s="1"/>
  <c r="O15" i="21"/>
  <c r="B15" i="21"/>
  <c r="F15" i="21"/>
  <c r="G15" i="21"/>
  <c r="O30" i="21"/>
  <c r="K30" i="21"/>
  <c r="Q30" i="21"/>
  <c r="K14" i="33" s="1"/>
  <c r="B30" i="21"/>
  <c r="F30" i="21"/>
  <c r="G30" i="21"/>
  <c r="K26" i="21"/>
  <c r="P26" i="21" s="1"/>
  <c r="Q26" i="21"/>
  <c r="O26" i="21"/>
  <c r="B26" i="21"/>
  <c r="G26" i="21"/>
  <c r="F26" i="21"/>
  <c r="K29" i="21"/>
  <c r="P29" i="21" s="1"/>
  <c r="Q29" i="21"/>
  <c r="O29" i="21"/>
  <c r="B29" i="21"/>
  <c r="G29" i="21"/>
  <c r="F29" i="21"/>
  <c r="K12" i="21"/>
  <c r="P12" i="21" s="1"/>
  <c r="O12" i="21"/>
  <c r="Q12" i="21"/>
  <c r="B12" i="21"/>
  <c r="F12" i="21"/>
  <c r="G12" i="21"/>
  <c r="O32" i="21"/>
  <c r="Q32" i="21"/>
  <c r="K32" i="21"/>
  <c r="P32" i="21" s="1"/>
  <c r="B32" i="21"/>
  <c r="F32" i="21"/>
  <c r="G32" i="21"/>
  <c r="Q23" i="21"/>
  <c r="O23" i="21"/>
  <c r="K23" i="21"/>
  <c r="P23" i="21" s="1"/>
  <c r="B23" i="21"/>
  <c r="G23" i="21"/>
  <c r="F23" i="21"/>
  <c r="K20" i="21"/>
  <c r="P20" i="21" s="1"/>
  <c r="O20" i="21"/>
  <c r="Q20" i="21"/>
  <c r="B20" i="21"/>
  <c r="G20" i="21"/>
  <c r="F20" i="21"/>
  <c r="Q18" i="21"/>
  <c r="K18" i="21"/>
  <c r="R18" i="21" s="1"/>
  <c r="O18" i="21"/>
  <c r="B18" i="21"/>
  <c r="G18" i="21"/>
  <c r="F18" i="21"/>
  <c r="Q19" i="21"/>
  <c r="O19" i="21"/>
  <c r="K19" i="21"/>
  <c r="P19" i="21" s="1"/>
  <c r="B19" i="21"/>
  <c r="F19" i="21"/>
  <c r="G19" i="21"/>
  <c r="K21" i="21"/>
  <c r="P21" i="21" s="1"/>
  <c r="Q21" i="21"/>
  <c r="O21" i="21"/>
  <c r="B21" i="21"/>
  <c r="G21" i="21"/>
  <c r="F21" i="21"/>
  <c r="Q27" i="21"/>
  <c r="K27" i="21"/>
  <c r="R27" i="21" s="1"/>
  <c r="O27" i="21"/>
  <c r="B27" i="21"/>
  <c r="G27" i="21"/>
  <c r="F27" i="21"/>
  <c r="Q17" i="21"/>
  <c r="K17" i="21"/>
  <c r="P17" i="21" s="1"/>
  <c r="O17" i="21"/>
  <c r="B17" i="21"/>
  <c r="G17" i="21"/>
  <c r="F17" i="21"/>
  <c r="O14" i="21"/>
  <c r="K14" i="21"/>
  <c r="P14" i="21" s="1"/>
  <c r="Q14" i="21"/>
  <c r="B14" i="21"/>
  <c r="G14" i="21"/>
  <c r="F14" i="21"/>
  <c r="K28" i="21"/>
  <c r="P28" i="21" s="1"/>
  <c r="O28" i="21"/>
  <c r="Q28" i="21"/>
  <c r="B28" i="21"/>
  <c r="F28" i="21"/>
  <c r="G28" i="21"/>
  <c r="O24" i="21"/>
  <c r="K24" i="21"/>
  <c r="P24" i="21" s="1"/>
  <c r="Q24" i="21"/>
  <c r="B24" i="21"/>
  <c r="F24" i="21"/>
  <c r="G24" i="21"/>
  <c r="Q11" i="21"/>
  <c r="O11" i="21"/>
  <c r="K11" i="21"/>
  <c r="B11" i="21"/>
  <c r="O16" i="21"/>
  <c r="Q16" i="21"/>
  <c r="K16" i="21"/>
  <c r="R16" i="21" s="1"/>
  <c r="B16" i="21"/>
  <c r="F16" i="21"/>
  <c r="G16" i="21"/>
  <c r="K13" i="21"/>
  <c r="R13" i="21" s="1"/>
  <c r="Q13" i="21"/>
  <c r="O13" i="21"/>
  <c r="B13" i="21"/>
  <c r="F13" i="21"/>
  <c r="G13" i="21"/>
  <c r="K25" i="21"/>
  <c r="P25" i="21" s="1"/>
  <c r="O25" i="21"/>
  <c r="Q25" i="21"/>
  <c r="B25" i="21"/>
  <c r="G25" i="21"/>
  <c r="F25" i="21"/>
  <c r="Q97" i="12"/>
  <c r="Q105" i="12"/>
  <c r="Q57" i="12"/>
  <c r="Q104" i="12"/>
  <c r="Q33" i="12"/>
  <c r="Q69" i="12"/>
  <c r="Q74" i="12"/>
  <c r="Q88" i="12"/>
  <c r="Q111" i="12"/>
  <c r="Q103" i="12"/>
  <c r="Q95" i="12"/>
  <c r="Q118" i="12"/>
  <c r="Q48" i="12"/>
  <c r="Q101" i="12"/>
  <c r="Q124" i="12"/>
  <c r="Q22" i="12"/>
  <c r="Q75" i="12"/>
  <c r="Q53" i="12"/>
  <c r="Q106" i="12"/>
  <c r="Q15" i="12"/>
  <c r="Q12" i="12"/>
  <c r="Q65" i="12"/>
  <c r="Q27" i="12"/>
  <c r="Q96" i="12"/>
  <c r="Q86" i="12"/>
  <c r="Q16" i="12"/>
  <c r="Q54" i="12"/>
  <c r="Q107" i="12"/>
  <c r="Q23" i="12"/>
  <c r="Q21" i="12"/>
  <c r="Q44" i="12"/>
  <c r="Q35" i="12"/>
  <c r="Q80" i="12"/>
  <c r="Q50" i="12"/>
  <c r="Q42" i="12"/>
  <c r="Q17" i="12"/>
  <c r="Q70" i="12"/>
  <c r="Q117" i="12"/>
  <c r="Q55" i="12"/>
  <c r="Q38" i="12"/>
  <c r="Q91" i="12"/>
  <c r="Q92" i="12"/>
  <c r="Q122" i="12"/>
  <c r="Q58" i="12"/>
  <c r="Q28" i="12"/>
  <c r="Q81" i="12"/>
  <c r="Q120" i="12"/>
  <c r="Q26" i="12"/>
  <c r="Q18" i="12"/>
  <c r="Q10" i="12"/>
  <c r="Q9" i="12"/>
  <c r="Q62" i="12"/>
  <c r="Q109" i="12"/>
  <c r="Q31" i="12"/>
  <c r="Q30" i="12"/>
  <c r="Q83" i="12"/>
  <c r="Q68" i="12"/>
  <c r="Q114" i="12"/>
  <c r="Q39" i="12"/>
  <c r="Q20" i="12"/>
  <c r="Q73" i="12"/>
  <c r="Q34" i="12"/>
  <c r="Q79" i="12"/>
  <c r="Q71" i="12"/>
  <c r="Q63" i="12"/>
  <c r="Q110" i="12"/>
  <c r="Q40" i="12"/>
  <c r="Q93" i="12"/>
  <c r="Q100" i="12"/>
  <c r="Q14" i="12"/>
  <c r="Q67" i="12"/>
  <c r="Q45" i="12"/>
  <c r="Q98" i="12"/>
  <c r="Q108" i="12"/>
  <c r="Q121" i="12"/>
  <c r="Q112" i="12"/>
  <c r="Q72" i="12"/>
  <c r="Q64" i="12"/>
  <c r="Q25" i="12"/>
  <c r="Q78" i="12"/>
  <c r="Q56" i="12"/>
  <c r="Q61" i="12"/>
  <c r="Q46" i="12"/>
  <c r="Q99" i="12"/>
  <c r="Q116" i="12"/>
  <c r="Q13" i="12"/>
  <c r="Q66" i="12"/>
  <c r="Q36" i="12"/>
  <c r="Q89" i="12"/>
  <c r="Q119" i="12"/>
  <c r="Q51" i="12"/>
  <c r="Q43" i="12"/>
  <c r="Q49" i="12"/>
  <c r="Q102" i="12"/>
  <c r="Q32" i="12"/>
  <c r="Q85" i="12"/>
  <c r="Q84" i="12"/>
  <c r="Q123" i="12"/>
  <c r="Q59" i="12"/>
  <c r="Q37" i="12"/>
  <c r="Q90" i="12"/>
  <c r="Q76" i="12"/>
  <c r="Q113" i="12"/>
  <c r="Q87" i="12"/>
  <c r="Q19" i="12"/>
  <c r="Q11" i="12"/>
  <c r="Q41" i="12"/>
  <c r="Q94" i="12"/>
  <c r="Q24" i="12"/>
  <c r="Q77" i="12"/>
  <c r="Q60" i="12"/>
  <c r="Q115" i="12"/>
  <c r="Q47" i="12"/>
  <c r="Q29" i="12"/>
  <c r="Q82" i="12"/>
  <c r="Q52" i="12"/>
  <c r="Q8" i="12"/>
  <c r="A22" i="26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A211" i="26" s="1"/>
  <c r="A212" i="26" s="1"/>
  <c r="A213" i="26" s="1"/>
  <c r="A214" i="26" s="1"/>
  <c r="A215" i="26" s="1"/>
  <c r="A216" i="26" s="1"/>
  <c r="A217" i="26" s="1"/>
  <c r="A218" i="26" s="1"/>
  <c r="A219" i="26" s="1"/>
  <c r="A220" i="26" s="1"/>
  <c r="A221" i="26" s="1"/>
  <c r="A222" i="26" s="1"/>
  <c r="A223" i="26" s="1"/>
  <c r="A224" i="26" s="1"/>
  <c r="A225" i="26" s="1"/>
  <c r="A226" i="26" s="1"/>
  <c r="A227" i="26" s="1"/>
  <c r="A228" i="26" s="1"/>
  <c r="A229" i="26" s="1"/>
  <c r="A230" i="26" s="1"/>
  <c r="A231" i="26" s="1"/>
  <c r="A232" i="26" s="1"/>
  <c r="A233" i="26" s="1"/>
  <c r="A234" i="26" s="1"/>
  <c r="A235" i="26" s="1"/>
  <c r="A237" i="26" s="1"/>
  <c r="K13" i="33" l="1"/>
  <c r="P30" i="21"/>
  <c r="L13" i="33" s="1"/>
  <c r="F4" i="33"/>
  <c r="P16" i="21"/>
  <c r="R28" i="21"/>
  <c r="P27" i="21"/>
  <c r="R26" i="21"/>
  <c r="R17" i="21"/>
  <c r="P13" i="21"/>
  <c r="R29" i="21"/>
  <c r="R31" i="21"/>
  <c r="R25" i="21"/>
  <c r="R12" i="21"/>
  <c r="R23" i="21"/>
  <c r="R21" i="21"/>
  <c r="R14" i="21"/>
  <c r="R32" i="21"/>
  <c r="R24" i="21"/>
  <c r="R20" i="21"/>
  <c r="P22" i="21"/>
  <c r="P18" i="21"/>
  <c r="R15" i="21"/>
  <c r="R19" i="21"/>
  <c r="R30" i="21"/>
  <c r="L14" i="33" s="1"/>
  <c r="I175" i="31"/>
  <c r="H175" i="31"/>
  <c r="I170" i="31"/>
  <c r="H170" i="31"/>
  <c r="J371" i="31"/>
  <c r="B371" i="31" s="1"/>
  <c r="J370" i="31"/>
  <c r="B370" i="31" s="1"/>
  <c r="J368" i="31"/>
  <c r="B368" i="31" s="1"/>
  <c r="J367" i="31"/>
  <c r="B367" i="31" s="1"/>
  <c r="J366" i="31"/>
  <c r="B366" i="31" s="1"/>
  <c r="J365" i="31"/>
  <c r="B365" i="31" s="1"/>
  <c r="J364" i="31"/>
  <c r="B364" i="31" s="1"/>
  <c r="J363" i="31"/>
  <c r="B363" i="31" s="1"/>
  <c r="J362" i="31"/>
  <c r="B362" i="31" s="1"/>
  <c r="J361" i="31"/>
  <c r="B361" i="31" s="1"/>
  <c r="J360" i="31"/>
  <c r="B360" i="31" s="1"/>
  <c r="J359" i="31"/>
  <c r="B359" i="31" s="1"/>
  <c r="J358" i="31"/>
  <c r="B358" i="31" s="1"/>
  <c r="J357" i="31"/>
  <c r="B357" i="31" s="1"/>
  <c r="B355" i="31"/>
  <c r="B354" i="31"/>
  <c r="B353" i="31"/>
  <c r="J297" i="31"/>
  <c r="B297" i="31" s="1"/>
  <c r="J296" i="31"/>
  <c r="B296" i="31" s="1"/>
  <c r="J295" i="31"/>
  <c r="B295" i="31" s="1"/>
  <c r="J294" i="31"/>
  <c r="B294" i="31" s="1"/>
  <c r="J293" i="31"/>
  <c r="B293" i="31" s="1"/>
  <c r="J292" i="31"/>
  <c r="B292" i="31" s="1"/>
  <c r="J291" i="31"/>
  <c r="B291" i="31" s="1"/>
  <c r="J290" i="31"/>
  <c r="B290" i="31" s="1"/>
  <c r="J289" i="31"/>
  <c r="B289" i="31" s="1"/>
  <c r="J288" i="31"/>
  <c r="B288" i="31" s="1"/>
  <c r="J287" i="31"/>
  <c r="B287" i="31" s="1"/>
  <c r="J286" i="31"/>
  <c r="B286" i="31" s="1"/>
  <c r="J285" i="31"/>
  <c r="B285" i="31" s="1"/>
  <c r="J284" i="31"/>
  <c r="B284" i="31" s="1"/>
  <c r="J283" i="31"/>
  <c r="B283" i="31" s="1"/>
  <c r="B281" i="31"/>
  <c r="B280" i="31"/>
  <c r="B279" i="31"/>
  <c r="B180" i="31" l="1"/>
  <c r="B181" i="31"/>
  <c r="B182" i="31"/>
  <c r="A160" i="21" l="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1" i="21"/>
  <c r="A96" i="21"/>
  <c r="A97" i="21"/>
  <c r="A95" i="21"/>
  <c r="AN99" i="21"/>
  <c r="AO99" i="21"/>
  <c r="AN100" i="21"/>
  <c r="AO100" i="21"/>
  <c r="AN101" i="21"/>
  <c r="AO101" i="21"/>
  <c r="AN102" i="21"/>
  <c r="AO102" i="21"/>
  <c r="AN103" i="21"/>
  <c r="AO103" i="21"/>
  <c r="AN104" i="21"/>
  <c r="AO104" i="21"/>
  <c r="AN105" i="21"/>
  <c r="AO105" i="21"/>
  <c r="AN106" i="21"/>
  <c r="AO106" i="21"/>
  <c r="AN107" i="21"/>
  <c r="AO107" i="21"/>
  <c r="AN108" i="21"/>
  <c r="AO108" i="21"/>
  <c r="AN109" i="21"/>
  <c r="AO109" i="21"/>
  <c r="AN110" i="21"/>
  <c r="AO110" i="21"/>
  <c r="AN111" i="21"/>
  <c r="AO111" i="21"/>
  <c r="AN112" i="21"/>
  <c r="AO112" i="21"/>
  <c r="AN113" i="21"/>
  <c r="AO113" i="21"/>
  <c r="AN114" i="21"/>
  <c r="AO114" i="21"/>
  <c r="AN115" i="21"/>
  <c r="AO115" i="21"/>
  <c r="AN116" i="21"/>
  <c r="AO116" i="21"/>
  <c r="AN117" i="21"/>
  <c r="AO117" i="21"/>
  <c r="AN118" i="21"/>
  <c r="AO118" i="21"/>
  <c r="AN119" i="21"/>
  <c r="AO119" i="21"/>
  <c r="AN120" i="21"/>
  <c r="AO120" i="21"/>
  <c r="AN121" i="21"/>
  <c r="AO121" i="21"/>
  <c r="AN122" i="21"/>
  <c r="AO122" i="21"/>
  <c r="AN123" i="21"/>
  <c r="AO123" i="21"/>
  <c r="AN124" i="21"/>
  <c r="AO124" i="21"/>
  <c r="AN125" i="21"/>
  <c r="AO125" i="21"/>
  <c r="AN126" i="21"/>
  <c r="AO126" i="21"/>
  <c r="AN127" i="21"/>
  <c r="AO127" i="21"/>
  <c r="AN128" i="21"/>
  <c r="AO128" i="21"/>
  <c r="AN129" i="21"/>
  <c r="AO129" i="21"/>
  <c r="AN130" i="21"/>
  <c r="AO130" i="21"/>
  <c r="AN131" i="21"/>
  <c r="AO131" i="21"/>
  <c r="AN132" i="21"/>
  <c r="AO132" i="21"/>
  <c r="AN133" i="21"/>
  <c r="AO133" i="21"/>
  <c r="AN134" i="21"/>
  <c r="AO134" i="21"/>
  <c r="AN135" i="21"/>
  <c r="AO135" i="21"/>
  <c r="AN136" i="21"/>
  <c r="AO136" i="21"/>
  <c r="AN137" i="21"/>
  <c r="AO137" i="21"/>
  <c r="AN138" i="21"/>
  <c r="AO138" i="21"/>
  <c r="AN139" i="21"/>
  <c r="AO139" i="21"/>
  <c r="AN140" i="21"/>
  <c r="AO140" i="21"/>
  <c r="AN141" i="21"/>
  <c r="AO141" i="21"/>
  <c r="AN142" i="21"/>
  <c r="AO142" i="21"/>
  <c r="AN143" i="21"/>
  <c r="AO143" i="21"/>
  <c r="AN144" i="21"/>
  <c r="AO144" i="21"/>
  <c r="AN145" i="21"/>
  <c r="AO145" i="21"/>
  <c r="AN146" i="21"/>
  <c r="AO146" i="21"/>
  <c r="AN147" i="21"/>
  <c r="AO147" i="21"/>
  <c r="AN148" i="21"/>
  <c r="AO148" i="21"/>
  <c r="AN149" i="21"/>
  <c r="AO149" i="21"/>
  <c r="AN150" i="21"/>
  <c r="AO150" i="21"/>
  <c r="AN151" i="21"/>
  <c r="AO151" i="21"/>
  <c r="AN152" i="21"/>
  <c r="AO152" i="21"/>
  <c r="AN153" i="21"/>
  <c r="AO153" i="21"/>
  <c r="AN154" i="21"/>
  <c r="AO154" i="21"/>
  <c r="AN155" i="21"/>
  <c r="AO155" i="21"/>
  <c r="AN156" i="21"/>
  <c r="AO156" i="21"/>
  <c r="AN157" i="21"/>
  <c r="AO157" i="21"/>
  <c r="AN158" i="21"/>
  <c r="AO158" i="21"/>
  <c r="AN159" i="21"/>
  <c r="AO159" i="21"/>
  <c r="AN160" i="21"/>
  <c r="AO160" i="21"/>
  <c r="AN98" i="21"/>
  <c r="AO98" i="21"/>
  <c r="AN90" i="21"/>
  <c r="AO90" i="21"/>
  <c r="AN91" i="21"/>
  <c r="AO91" i="21"/>
  <c r="AN92" i="21"/>
  <c r="AO92" i="21"/>
  <c r="AN93" i="21"/>
  <c r="AO93" i="21"/>
  <c r="AN94" i="21"/>
  <c r="AO94" i="21"/>
  <c r="T242" i="26" l="1"/>
  <c r="T243" i="26"/>
  <c r="T244" i="26"/>
  <c r="T245" i="26"/>
  <c r="T246" i="26"/>
  <c r="T247" i="26"/>
  <c r="T248" i="26"/>
  <c r="T249" i="26"/>
  <c r="T250" i="26"/>
  <c r="T251" i="26"/>
  <c r="T252" i="26"/>
  <c r="T253" i="26"/>
  <c r="T254" i="26"/>
  <c r="T255" i="26"/>
  <c r="T256" i="26"/>
  <c r="T257" i="26"/>
  <c r="T258" i="26"/>
  <c r="T259" i="26"/>
  <c r="T260" i="26"/>
  <c r="T261" i="26"/>
  <c r="T262" i="26"/>
  <c r="T263" i="26"/>
  <c r="T264" i="26"/>
  <c r="T265" i="26"/>
  <c r="T266" i="26"/>
  <c r="T267" i="26"/>
  <c r="T268" i="26"/>
  <c r="T269" i="26"/>
  <c r="T270" i="26"/>
  <c r="T271" i="26"/>
  <c r="T272" i="26"/>
  <c r="T273" i="26"/>
  <c r="T274" i="26"/>
  <c r="T275" i="26"/>
  <c r="T276" i="26"/>
  <c r="T277" i="26"/>
  <c r="T278" i="26"/>
  <c r="T279" i="26"/>
  <c r="T280" i="26"/>
  <c r="T281" i="26"/>
  <c r="T282" i="26"/>
  <c r="T283" i="26"/>
  <c r="T284" i="26"/>
  <c r="T285" i="26"/>
  <c r="T286" i="26"/>
  <c r="T287" i="26"/>
  <c r="T288" i="26"/>
  <c r="T289" i="26"/>
  <c r="T290" i="26"/>
  <c r="T291" i="26"/>
  <c r="T292" i="26"/>
  <c r="T293" i="26"/>
  <c r="T294" i="26"/>
  <c r="T295" i="26"/>
  <c r="T296" i="26"/>
  <c r="T297" i="26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7" i="9"/>
  <c r="T28" i="9"/>
  <c r="T29" i="9"/>
  <c r="T30" i="9"/>
  <c r="T31" i="9"/>
  <c r="T14" i="9"/>
  <c r="T15" i="9"/>
  <c r="T16" i="9"/>
  <c r="T17" i="9"/>
  <c r="T18" i="9"/>
  <c r="T19" i="9"/>
  <c r="T20" i="9"/>
  <c r="T21" i="9"/>
  <c r="T22" i="9"/>
  <c r="T23" i="9"/>
  <c r="T24" i="9"/>
  <c r="R192" i="9" l="1"/>
  <c r="S192" i="9"/>
  <c r="R160" i="9"/>
  <c r="S160" i="9"/>
  <c r="R128" i="9"/>
  <c r="S128" i="9"/>
  <c r="R96" i="9"/>
  <c r="S96" i="9"/>
  <c r="R64" i="9"/>
  <c r="S64" i="9"/>
  <c r="S297" i="26"/>
  <c r="R297" i="26"/>
  <c r="R273" i="26"/>
  <c r="S273" i="26"/>
  <c r="S27" i="9"/>
  <c r="R27" i="9"/>
  <c r="S175" i="9"/>
  <c r="R175" i="9"/>
  <c r="S200" i="9"/>
  <c r="R200" i="9"/>
  <c r="S168" i="9"/>
  <c r="R168" i="9"/>
  <c r="R136" i="9"/>
  <c r="S136" i="9"/>
  <c r="R104" i="9"/>
  <c r="S104" i="9"/>
  <c r="S72" i="9"/>
  <c r="R72" i="9"/>
  <c r="R40" i="9"/>
  <c r="S40" i="9"/>
  <c r="S265" i="26"/>
  <c r="R265" i="26"/>
  <c r="R17" i="9"/>
  <c r="S17" i="9"/>
  <c r="S183" i="9"/>
  <c r="R183" i="9"/>
  <c r="S18" i="9"/>
  <c r="R18" i="9"/>
  <c r="R184" i="9"/>
  <c r="S184" i="9"/>
  <c r="R152" i="9"/>
  <c r="S152" i="9"/>
  <c r="R120" i="9"/>
  <c r="S120" i="9"/>
  <c r="R88" i="9"/>
  <c r="S88" i="9"/>
  <c r="R48" i="9"/>
  <c r="S48" i="9"/>
  <c r="S281" i="26"/>
  <c r="R281" i="26"/>
  <c r="S249" i="26"/>
  <c r="R249" i="26"/>
  <c r="S199" i="9"/>
  <c r="R199" i="9"/>
  <c r="S159" i="9"/>
  <c r="R159" i="9"/>
  <c r="R127" i="9"/>
  <c r="S127" i="9"/>
  <c r="R95" i="9"/>
  <c r="S95" i="9"/>
  <c r="S55" i="9"/>
  <c r="R55" i="9"/>
  <c r="S288" i="26"/>
  <c r="R288" i="26"/>
  <c r="S256" i="26"/>
  <c r="R256" i="26"/>
  <c r="S206" i="9"/>
  <c r="R206" i="9"/>
  <c r="S174" i="9"/>
  <c r="R174" i="9"/>
  <c r="R142" i="9"/>
  <c r="S142" i="9"/>
  <c r="R110" i="9"/>
  <c r="S110" i="9"/>
  <c r="R78" i="9"/>
  <c r="S78" i="9"/>
  <c r="R54" i="9"/>
  <c r="S54" i="9"/>
  <c r="R287" i="26"/>
  <c r="S287" i="26"/>
  <c r="R247" i="26"/>
  <c r="S247" i="26"/>
  <c r="S197" i="9"/>
  <c r="R197" i="9"/>
  <c r="R173" i="9"/>
  <c r="S173" i="9"/>
  <c r="R141" i="9"/>
  <c r="S141" i="9"/>
  <c r="R109" i="9"/>
  <c r="S109" i="9"/>
  <c r="R77" i="9"/>
  <c r="S77" i="9"/>
  <c r="R45" i="9"/>
  <c r="S45" i="9"/>
  <c r="R278" i="26"/>
  <c r="S278" i="26"/>
  <c r="R246" i="26"/>
  <c r="S246" i="26"/>
  <c r="R204" i="9"/>
  <c r="S204" i="9"/>
  <c r="R196" i="9"/>
  <c r="S196" i="9"/>
  <c r="S188" i="9"/>
  <c r="R188" i="9"/>
  <c r="R180" i="9"/>
  <c r="S180" i="9"/>
  <c r="R172" i="9"/>
  <c r="S172" i="9"/>
  <c r="R164" i="9"/>
  <c r="S164" i="9"/>
  <c r="S156" i="9"/>
  <c r="R156" i="9"/>
  <c r="R148" i="9"/>
  <c r="S148" i="9"/>
  <c r="S140" i="9"/>
  <c r="R140" i="9"/>
  <c r="R132" i="9"/>
  <c r="S132" i="9"/>
  <c r="S124" i="9"/>
  <c r="R124" i="9"/>
  <c r="S116" i="9"/>
  <c r="R116" i="9"/>
  <c r="S108" i="9"/>
  <c r="R108" i="9"/>
  <c r="R100" i="9"/>
  <c r="S100" i="9"/>
  <c r="S92" i="9"/>
  <c r="R92" i="9"/>
  <c r="R84" i="9"/>
  <c r="S84" i="9"/>
  <c r="R76" i="9"/>
  <c r="S76" i="9"/>
  <c r="R68" i="9"/>
  <c r="S68" i="9"/>
  <c r="S60" i="9"/>
  <c r="R60" i="9"/>
  <c r="R52" i="9"/>
  <c r="S52" i="9"/>
  <c r="R44" i="9"/>
  <c r="S44" i="9"/>
  <c r="R36" i="9"/>
  <c r="S36" i="9"/>
  <c r="R293" i="26"/>
  <c r="S293" i="26"/>
  <c r="R285" i="26"/>
  <c r="S285" i="26"/>
  <c r="R277" i="26"/>
  <c r="S277" i="26"/>
  <c r="S269" i="26"/>
  <c r="R269" i="26"/>
  <c r="R261" i="26"/>
  <c r="S261" i="26"/>
  <c r="R253" i="26"/>
  <c r="S253" i="26"/>
  <c r="R245" i="26"/>
  <c r="S245" i="26"/>
  <c r="S151" i="9"/>
  <c r="R151" i="9"/>
  <c r="R119" i="9"/>
  <c r="S119" i="9"/>
  <c r="R87" i="9"/>
  <c r="S87" i="9"/>
  <c r="S63" i="9"/>
  <c r="R63" i="9"/>
  <c r="S296" i="26"/>
  <c r="R296" i="26"/>
  <c r="S264" i="26"/>
  <c r="R264" i="26"/>
  <c r="R16" i="9"/>
  <c r="S16" i="9"/>
  <c r="S190" i="9"/>
  <c r="R190" i="9"/>
  <c r="R158" i="9"/>
  <c r="S158" i="9"/>
  <c r="R126" i="9"/>
  <c r="S126" i="9"/>
  <c r="R94" i="9"/>
  <c r="S94" i="9"/>
  <c r="R62" i="9"/>
  <c r="S62" i="9"/>
  <c r="R295" i="26"/>
  <c r="S295" i="26"/>
  <c r="R263" i="26"/>
  <c r="S263" i="26"/>
  <c r="S23" i="9"/>
  <c r="R23" i="9"/>
  <c r="R189" i="9"/>
  <c r="S189" i="9"/>
  <c r="R157" i="9"/>
  <c r="S157" i="9"/>
  <c r="R125" i="9"/>
  <c r="S125" i="9"/>
  <c r="R93" i="9"/>
  <c r="S93" i="9"/>
  <c r="R61" i="9"/>
  <c r="S61" i="9"/>
  <c r="R294" i="26"/>
  <c r="S294" i="26"/>
  <c r="R262" i="26"/>
  <c r="S262" i="26"/>
  <c r="R22" i="9"/>
  <c r="S22" i="9"/>
  <c r="R21" i="9"/>
  <c r="S21" i="9"/>
  <c r="S31" i="9"/>
  <c r="R31" i="9"/>
  <c r="S203" i="9"/>
  <c r="R203" i="9"/>
  <c r="S195" i="9"/>
  <c r="R195" i="9"/>
  <c r="S187" i="9"/>
  <c r="R187" i="9"/>
  <c r="S179" i="9"/>
  <c r="R179" i="9"/>
  <c r="S171" i="9"/>
  <c r="R171" i="9"/>
  <c r="S163" i="9"/>
  <c r="R163" i="9"/>
  <c r="S155" i="9"/>
  <c r="R155" i="9"/>
  <c r="S147" i="9"/>
  <c r="R147" i="9"/>
  <c r="R139" i="9"/>
  <c r="S139" i="9"/>
  <c r="R131" i="9"/>
  <c r="S131" i="9"/>
  <c r="R123" i="9"/>
  <c r="S123" i="9"/>
  <c r="R115" i="9"/>
  <c r="S115" i="9"/>
  <c r="R107" i="9"/>
  <c r="S107" i="9"/>
  <c r="R99" i="9"/>
  <c r="S99" i="9"/>
  <c r="R91" i="9"/>
  <c r="S91" i="9"/>
  <c r="S83" i="9"/>
  <c r="R83" i="9"/>
  <c r="R75" i="9"/>
  <c r="S75" i="9"/>
  <c r="R67" i="9"/>
  <c r="S67" i="9"/>
  <c r="S59" i="9"/>
  <c r="R59" i="9"/>
  <c r="S51" i="9"/>
  <c r="R51" i="9"/>
  <c r="S43" i="9"/>
  <c r="R43" i="9"/>
  <c r="S35" i="9"/>
  <c r="R35" i="9"/>
  <c r="S292" i="26"/>
  <c r="R292" i="26"/>
  <c r="S284" i="26"/>
  <c r="R284" i="26"/>
  <c r="S276" i="26"/>
  <c r="R276" i="26"/>
  <c r="S268" i="26"/>
  <c r="R268" i="26"/>
  <c r="S260" i="26"/>
  <c r="R260" i="26"/>
  <c r="S252" i="26"/>
  <c r="R252" i="26"/>
  <c r="S244" i="26"/>
  <c r="R244" i="26"/>
  <c r="R28" i="9"/>
  <c r="S28" i="9"/>
  <c r="R176" i="9"/>
  <c r="S176" i="9"/>
  <c r="R144" i="9"/>
  <c r="S144" i="9"/>
  <c r="R112" i="9"/>
  <c r="S112" i="9"/>
  <c r="R80" i="9"/>
  <c r="S80" i="9"/>
  <c r="S56" i="9"/>
  <c r="R56" i="9"/>
  <c r="R289" i="26"/>
  <c r="S289" i="26"/>
  <c r="R257" i="26"/>
  <c r="S257" i="26"/>
  <c r="S191" i="9"/>
  <c r="R191" i="9"/>
  <c r="R143" i="9"/>
  <c r="S143" i="9"/>
  <c r="R111" i="9"/>
  <c r="S111" i="9"/>
  <c r="R79" i="9"/>
  <c r="S79" i="9"/>
  <c r="S47" i="9"/>
  <c r="R47" i="9"/>
  <c r="S280" i="26"/>
  <c r="R280" i="26"/>
  <c r="S248" i="26"/>
  <c r="R248" i="26"/>
  <c r="R198" i="9"/>
  <c r="S198" i="9"/>
  <c r="R166" i="9"/>
  <c r="S166" i="9"/>
  <c r="S134" i="9"/>
  <c r="R134" i="9"/>
  <c r="R102" i="9"/>
  <c r="S102" i="9"/>
  <c r="R70" i="9"/>
  <c r="S70" i="9"/>
  <c r="R38" i="9"/>
  <c r="S38" i="9"/>
  <c r="R271" i="26"/>
  <c r="S271" i="26"/>
  <c r="S15" i="9"/>
  <c r="R15" i="9"/>
  <c r="R181" i="9"/>
  <c r="S181" i="9"/>
  <c r="R149" i="9"/>
  <c r="S149" i="9"/>
  <c r="R117" i="9"/>
  <c r="S117" i="9"/>
  <c r="R85" i="9"/>
  <c r="S85" i="9"/>
  <c r="S53" i="9"/>
  <c r="R53" i="9"/>
  <c r="R286" i="26"/>
  <c r="S286" i="26"/>
  <c r="R254" i="26"/>
  <c r="S254" i="26"/>
  <c r="R20" i="9"/>
  <c r="S20" i="9"/>
  <c r="R30" i="9"/>
  <c r="S30" i="9"/>
  <c r="R202" i="9"/>
  <c r="S202" i="9"/>
  <c r="R194" i="9"/>
  <c r="S194" i="9"/>
  <c r="S186" i="9"/>
  <c r="R186" i="9"/>
  <c r="R178" i="9"/>
  <c r="S178" i="9"/>
  <c r="R170" i="9"/>
  <c r="S170" i="9"/>
  <c r="R162" i="9"/>
  <c r="S162" i="9"/>
  <c r="S154" i="9"/>
  <c r="R154" i="9"/>
  <c r="R146" i="9"/>
  <c r="S146" i="9"/>
  <c r="R138" i="9"/>
  <c r="S138" i="9"/>
  <c r="R130" i="9"/>
  <c r="S130" i="9"/>
  <c r="R122" i="9"/>
  <c r="S122" i="9"/>
  <c r="R114" i="9"/>
  <c r="S114" i="9"/>
  <c r="R106" i="9"/>
  <c r="S106" i="9"/>
  <c r="R98" i="9"/>
  <c r="S98" i="9"/>
  <c r="R90" i="9"/>
  <c r="S90" i="9"/>
  <c r="R82" i="9"/>
  <c r="S82" i="9"/>
  <c r="S74" i="9"/>
  <c r="R74" i="9"/>
  <c r="R66" i="9"/>
  <c r="S66" i="9"/>
  <c r="R58" i="9"/>
  <c r="S58" i="9"/>
  <c r="R50" i="9"/>
  <c r="S50" i="9"/>
  <c r="S42" i="9"/>
  <c r="R42" i="9"/>
  <c r="S34" i="9"/>
  <c r="R34" i="9"/>
  <c r="R291" i="26"/>
  <c r="S291" i="26"/>
  <c r="R283" i="26"/>
  <c r="S283" i="26"/>
  <c r="S275" i="26"/>
  <c r="R275" i="26"/>
  <c r="S267" i="26"/>
  <c r="R267" i="26"/>
  <c r="R259" i="26"/>
  <c r="S259" i="26"/>
  <c r="R251" i="26"/>
  <c r="S251" i="26"/>
  <c r="R243" i="26"/>
  <c r="S243" i="26"/>
  <c r="S167" i="9"/>
  <c r="R167" i="9"/>
  <c r="R135" i="9"/>
  <c r="S135" i="9"/>
  <c r="R103" i="9"/>
  <c r="S103" i="9"/>
  <c r="R71" i="9"/>
  <c r="S71" i="9"/>
  <c r="S39" i="9"/>
  <c r="R39" i="9"/>
  <c r="S272" i="26"/>
  <c r="R272" i="26"/>
  <c r="S24" i="9"/>
  <c r="R24" i="9"/>
  <c r="R182" i="9"/>
  <c r="S182" i="9"/>
  <c r="R150" i="9"/>
  <c r="S150" i="9"/>
  <c r="R118" i="9"/>
  <c r="S118" i="9"/>
  <c r="R86" i="9"/>
  <c r="S86" i="9"/>
  <c r="R46" i="9"/>
  <c r="S46" i="9"/>
  <c r="S279" i="26"/>
  <c r="R279" i="26"/>
  <c r="S255" i="26"/>
  <c r="R255" i="26"/>
  <c r="R205" i="9"/>
  <c r="S205" i="9"/>
  <c r="S165" i="9"/>
  <c r="R165" i="9"/>
  <c r="R133" i="9"/>
  <c r="S133" i="9"/>
  <c r="R101" i="9"/>
  <c r="S101" i="9"/>
  <c r="R69" i="9"/>
  <c r="S69" i="9"/>
  <c r="R37" i="9"/>
  <c r="S37" i="9"/>
  <c r="R270" i="26"/>
  <c r="S270" i="26"/>
  <c r="R14" i="9"/>
  <c r="S14" i="9"/>
  <c r="S19" i="9"/>
  <c r="R19" i="9"/>
  <c r="R29" i="9"/>
  <c r="S29" i="9"/>
  <c r="R201" i="9"/>
  <c r="S201" i="9"/>
  <c r="R193" i="9"/>
  <c r="S193" i="9"/>
  <c r="R185" i="9"/>
  <c r="S185" i="9"/>
  <c r="S177" i="9"/>
  <c r="R177" i="9"/>
  <c r="R169" i="9"/>
  <c r="S169" i="9"/>
  <c r="R161" i="9"/>
  <c r="S161" i="9"/>
  <c r="R153" i="9"/>
  <c r="S153" i="9"/>
  <c r="S145" i="9"/>
  <c r="R145" i="9"/>
  <c r="R137" i="9"/>
  <c r="S137" i="9"/>
  <c r="S129" i="9"/>
  <c r="R129" i="9"/>
  <c r="R121" i="9"/>
  <c r="S121" i="9"/>
  <c r="R113" i="9"/>
  <c r="S113" i="9"/>
  <c r="R105" i="9"/>
  <c r="S105" i="9"/>
  <c r="R97" i="9"/>
  <c r="S97" i="9"/>
  <c r="R89" i="9"/>
  <c r="S89" i="9"/>
  <c r="R81" i="9"/>
  <c r="S81" i="9"/>
  <c r="R73" i="9"/>
  <c r="S73" i="9"/>
  <c r="R65" i="9"/>
  <c r="S65" i="9"/>
  <c r="R57" i="9"/>
  <c r="S57" i="9"/>
  <c r="R49" i="9"/>
  <c r="S49" i="9"/>
  <c r="R41" i="9"/>
  <c r="S41" i="9"/>
  <c r="S33" i="9"/>
  <c r="R33" i="9"/>
  <c r="S290" i="26"/>
  <c r="R290" i="26"/>
  <c r="R282" i="26"/>
  <c r="S282" i="26"/>
  <c r="R274" i="26"/>
  <c r="S274" i="26"/>
  <c r="R266" i="26"/>
  <c r="S266" i="26"/>
  <c r="S258" i="26"/>
  <c r="R258" i="26"/>
  <c r="S250" i="26"/>
  <c r="R250" i="26"/>
  <c r="R242" i="26"/>
  <c r="S242" i="26"/>
  <c r="E183" i="26"/>
  <c r="E190" i="26"/>
  <c r="E182" i="26"/>
  <c r="E202" i="26"/>
  <c r="E189" i="26"/>
  <c r="E181" i="26"/>
  <c r="E201" i="26"/>
  <c r="E203" i="26"/>
  <c r="E188" i="26"/>
  <c r="E187" i="26"/>
  <c r="E199" i="26"/>
  <c r="E194" i="26"/>
  <c r="E186" i="26"/>
  <c r="E206" i="26"/>
  <c r="E191" i="26"/>
  <c r="E180" i="26"/>
  <c r="E195" i="26"/>
  <c r="E193" i="26"/>
  <c r="E185" i="26"/>
  <c r="E205" i="26"/>
  <c r="E235" i="26"/>
  <c r="E196" i="26"/>
  <c r="E200" i="26"/>
  <c r="E192" i="26"/>
  <c r="E184" i="26"/>
  <c r="E204" i="26"/>
  <c r="E234" i="26"/>
  <c r="E179" i="26"/>
  <c r="E150" i="26"/>
  <c r="E149" i="26"/>
  <c r="E151" i="26"/>
  <c r="E156" i="26"/>
  <c r="E155" i="26"/>
  <c r="E154" i="26"/>
  <c r="E146" i="26"/>
  <c r="E152" i="26"/>
  <c r="E148" i="26"/>
  <c r="E147" i="26"/>
  <c r="E153" i="26"/>
  <c r="E145" i="26"/>
  <c r="E144" i="26"/>
  <c r="E131" i="26"/>
  <c r="E137" i="26"/>
  <c r="E135" i="26"/>
  <c r="E132" i="26"/>
  <c r="E136" i="26"/>
  <c r="E134" i="26"/>
  <c r="E143" i="26"/>
  <c r="E130" i="26"/>
  <c r="E142" i="26"/>
  <c r="E133" i="26"/>
  <c r="E45" i="26"/>
  <c r="E74" i="26"/>
  <c r="E44" i="26"/>
  <c r="E73" i="26"/>
  <c r="E80" i="26"/>
  <c r="E56" i="26"/>
  <c r="E42" i="26"/>
  <c r="E87" i="26"/>
  <c r="E79" i="26"/>
  <c r="E71" i="26"/>
  <c r="E63" i="26"/>
  <c r="E129" i="26"/>
  <c r="E121" i="26"/>
  <c r="E41" i="26"/>
  <c r="E86" i="26"/>
  <c r="E78" i="26"/>
  <c r="E70" i="26"/>
  <c r="E62" i="26"/>
  <c r="E128" i="26"/>
  <c r="E82" i="26"/>
  <c r="E58" i="26"/>
  <c r="E89" i="26"/>
  <c r="E65" i="26"/>
  <c r="E123" i="26"/>
  <c r="E88" i="26"/>
  <c r="E64" i="26"/>
  <c r="E122" i="26"/>
  <c r="E85" i="26"/>
  <c r="E69" i="26"/>
  <c r="E39" i="26"/>
  <c r="E84" i="26"/>
  <c r="E76" i="26"/>
  <c r="E68" i="26"/>
  <c r="E60" i="26"/>
  <c r="E126" i="26"/>
  <c r="E90" i="26"/>
  <c r="E66" i="26"/>
  <c r="E124" i="26"/>
  <c r="E81" i="26"/>
  <c r="E57" i="26"/>
  <c r="E43" i="26"/>
  <c r="E72" i="26"/>
  <c r="E40" i="26"/>
  <c r="E77" i="26"/>
  <c r="E61" i="26"/>
  <c r="E127" i="26"/>
  <c r="E46" i="26"/>
  <c r="E91" i="26"/>
  <c r="E83" i="26"/>
  <c r="E75" i="26"/>
  <c r="E67" i="26"/>
  <c r="E59" i="26"/>
  <c r="E125" i="26"/>
  <c r="E33" i="9"/>
  <c r="E27" i="9"/>
  <c r="E15" i="9"/>
  <c r="E21" i="9"/>
  <c r="E23" i="9"/>
  <c r="E22" i="9"/>
  <c r="E18" i="9"/>
  <c r="E14" i="9"/>
  <c r="E20" i="9"/>
  <c r="E19" i="9"/>
  <c r="E17" i="9"/>
  <c r="E24" i="9"/>
  <c r="E16" i="9"/>
  <c r="AH2" i="21" l="1"/>
  <c r="AH3" i="21"/>
  <c r="AH4" i="21"/>
  <c r="Q5" i="9"/>
  <c r="AH1" i="21" l="1"/>
  <c r="K183" i="30"/>
  <c r="AC183" i="30"/>
  <c r="T183" i="30"/>
  <c r="AN97" i="21"/>
  <c r="AO97" i="21"/>
  <c r="AN96" i="21"/>
  <c r="AO96" i="21"/>
  <c r="AN95" i="21"/>
  <c r="AO95" i="21"/>
  <c r="AN79" i="21"/>
  <c r="AN83" i="21"/>
  <c r="AN87" i="21"/>
  <c r="AN72" i="21"/>
  <c r="AN68" i="21"/>
  <c r="AN49" i="21"/>
  <c r="AN53" i="21"/>
  <c r="AN57" i="21"/>
  <c r="AN61" i="21"/>
  <c r="AN65" i="21"/>
  <c r="AN47" i="21"/>
  <c r="AN16" i="21"/>
  <c r="AN20" i="21"/>
  <c r="AN24" i="21"/>
  <c r="AN28" i="21"/>
  <c r="AN32" i="21"/>
  <c r="AN36" i="21"/>
  <c r="AN40" i="21"/>
  <c r="AN44" i="21"/>
  <c r="AO11" i="21"/>
  <c r="AO44" i="21"/>
  <c r="AO84" i="21"/>
  <c r="AO73" i="21"/>
  <c r="AO50" i="21"/>
  <c r="AO58" i="21"/>
  <c r="AO48" i="21"/>
  <c r="AO21" i="21"/>
  <c r="AO33" i="21"/>
  <c r="AO45" i="21"/>
  <c r="AN81" i="21"/>
  <c r="AN74" i="21"/>
  <c r="AN55" i="21"/>
  <c r="AN67" i="21"/>
  <c r="AN22" i="21"/>
  <c r="AN34" i="21"/>
  <c r="AO13" i="21"/>
  <c r="AO85" i="21"/>
  <c r="AO70" i="21"/>
  <c r="AO59" i="21"/>
  <c r="AO14" i="21"/>
  <c r="AO26" i="21"/>
  <c r="AO38" i="21"/>
  <c r="AN82" i="21"/>
  <c r="AN76" i="21"/>
  <c r="AN71" i="21"/>
  <c r="AN60" i="21"/>
  <c r="AN15" i="21"/>
  <c r="AN27" i="21"/>
  <c r="AN39" i="21"/>
  <c r="AO78" i="21"/>
  <c r="AO86" i="21"/>
  <c r="AO75" i="21"/>
  <c r="AO56" i="21"/>
  <c r="AO64" i="21"/>
  <c r="AO19" i="21"/>
  <c r="AO31" i="21"/>
  <c r="AO43" i="21"/>
  <c r="AO79" i="21"/>
  <c r="AO83" i="21"/>
  <c r="AO87" i="21"/>
  <c r="AO72" i="21"/>
  <c r="AO68" i="21"/>
  <c r="AO49" i="21"/>
  <c r="AO53" i="21"/>
  <c r="AO57" i="21"/>
  <c r="AO61" i="21"/>
  <c r="AO65" i="21"/>
  <c r="AO47" i="21"/>
  <c r="AO16" i="21"/>
  <c r="AO20" i="21"/>
  <c r="AO24" i="21"/>
  <c r="AO28" i="21"/>
  <c r="AO32" i="21"/>
  <c r="AO36" i="21"/>
  <c r="AO40" i="21"/>
  <c r="AN11" i="21"/>
  <c r="AO62" i="21"/>
  <c r="AO25" i="21"/>
  <c r="AO37" i="21"/>
  <c r="AN85" i="21"/>
  <c r="AN70" i="21"/>
  <c r="AN59" i="21"/>
  <c r="AN14" i="21"/>
  <c r="AN26" i="21"/>
  <c r="AN38" i="21"/>
  <c r="AO77" i="21"/>
  <c r="AO74" i="21"/>
  <c r="AO55" i="21"/>
  <c r="AO67" i="21"/>
  <c r="AO22" i="21"/>
  <c r="AO34" i="21"/>
  <c r="AO42" i="21"/>
  <c r="AN52" i="21"/>
  <c r="AN46" i="21"/>
  <c r="AN23" i="21"/>
  <c r="AN35" i="21"/>
  <c r="AO12" i="21"/>
  <c r="AO82" i="21"/>
  <c r="AO76" i="21"/>
  <c r="AO71" i="21"/>
  <c r="AO60" i="21"/>
  <c r="AO46" i="21"/>
  <c r="AO23" i="21"/>
  <c r="AO35" i="21"/>
  <c r="AN12" i="21"/>
  <c r="AN80" i="21"/>
  <c r="AN84" i="21"/>
  <c r="AN88" i="21"/>
  <c r="AN73" i="21"/>
  <c r="AN69" i="21"/>
  <c r="AN50" i="21"/>
  <c r="AN54" i="21"/>
  <c r="AN58" i="21"/>
  <c r="AN62" i="21"/>
  <c r="AN66" i="21"/>
  <c r="AN48" i="21"/>
  <c r="AN17" i="21"/>
  <c r="AN21" i="21"/>
  <c r="AN25" i="21"/>
  <c r="AN29" i="21"/>
  <c r="AN33" i="21"/>
  <c r="AN37" i="21"/>
  <c r="AN41" i="21"/>
  <c r="AN45" i="21"/>
  <c r="AO80" i="21"/>
  <c r="AO88" i="21"/>
  <c r="AO69" i="21"/>
  <c r="AO54" i="21"/>
  <c r="AO66" i="21"/>
  <c r="AO17" i="21"/>
  <c r="AO29" i="21"/>
  <c r="AO41" i="21"/>
  <c r="AN77" i="21"/>
  <c r="AN89" i="21"/>
  <c r="AN51" i="21"/>
  <c r="AN63" i="21"/>
  <c r="AN18" i="21"/>
  <c r="AN30" i="21"/>
  <c r="AN42" i="21"/>
  <c r="AO81" i="21"/>
  <c r="AO89" i="21"/>
  <c r="AO51" i="21"/>
  <c r="AO63" i="21"/>
  <c r="AO18" i="21"/>
  <c r="AO30" i="21"/>
  <c r="AN13" i="21"/>
  <c r="AN78" i="21"/>
  <c r="AN86" i="21"/>
  <c r="AN75" i="21"/>
  <c r="AN56" i="21"/>
  <c r="AN64" i="21"/>
  <c r="AN19" i="21"/>
  <c r="AN31" i="21"/>
  <c r="AN43" i="21"/>
  <c r="AO52" i="21"/>
  <c r="AO15" i="21"/>
  <c r="AO27" i="21"/>
  <c r="AO39" i="21"/>
  <c r="F11" i="21"/>
  <c r="G11" i="21"/>
  <c r="B28" i="9"/>
  <c r="B29" i="9"/>
  <c r="B30" i="9"/>
  <c r="B31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36" i="26"/>
  <c r="B238" i="26"/>
  <c r="B239" i="26"/>
  <c r="B240" i="26"/>
  <c r="B241" i="26"/>
  <c r="B242" i="26"/>
  <c r="B243" i="26"/>
  <c r="B244" i="26"/>
  <c r="B245" i="26"/>
  <c r="B246" i="26"/>
  <c r="B247" i="26"/>
  <c r="B248" i="26"/>
  <c r="B249" i="26"/>
  <c r="B250" i="26"/>
  <c r="B251" i="26"/>
  <c r="B252" i="26"/>
  <c r="B253" i="26"/>
  <c r="B254" i="26"/>
  <c r="B255" i="26"/>
  <c r="B256" i="26"/>
  <c r="B257" i="26"/>
  <c r="B258" i="26"/>
  <c r="B259" i="26"/>
  <c r="B260" i="26"/>
  <c r="B261" i="26"/>
  <c r="B262" i="26"/>
  <c r="B263" i="26"/>
  <c r="B264" i="26"/>
  <c r="B265" i="26"/>
  <c r="B266" i="26"/>
  <c r="B267" i="26"/>
  <c r="B268" i="26"/>
  <c r="B269" i="26"/>
  <c r="B270" i="26"/>
  <c r="B271" i="26"/>
  <c r="B272" i="26"/>
  <c r="B273" i="26"/>
  <c r="B274" i="26"/>
  <c r="B275" i="26"/>
  <c r="B276" i="26"/>
  <c r="B277" i="26"/>
  <c r="B278" i="26"/>
  <c r="B279" i="26"/>
  <c r="B280" i="26"/>
  <c r="B281" i="26"/>
  <c r="B282" i="26"/>
  <c r="B283" i="26"/>
  <c r="B284" i="26"/>
  <c r="B285" i="26"/>
  <c r="B286" i="26"/>
  <c r="B287" i="26"/>
  <c r="B288" i="26"/>
  <c r="B289" i="26"/>
  <c r="B290" i="26"/>
  <c r="B291" i="26"/>
  <c r="B292" i="26"/>
  <c r="B293" i="26"/>
  <c r="B294" i="26"/>
  <c r="B295" i="26"/>
  <c r="B296" i="26"/>
  <c r="B297" i="26"/>
  <c r="AF183" i="30"/>
  <c r="Q4" i="9"/>
  <c r="AF179" i="30" s="1"/>
  <c r="Q3" i="9"/>
  <c r="W179" i="30" s="1"/>
  <c r="S40" i="30" l="1"/>
  <c r="S124" i="30" s="1"/>
  <c r="T20" i="30"/>
  <c r="T104" i="30" s="1"/>
  <c r="S41" i="30"/>
  <c r="S125" i="30" s="1"/>
  <c r="T26" i="30"/>
  <c r="T110" i="30" s="1"/>
  <c r="AC17" i="30"/>
  <c r="AC101" i="30" s="1"/>
  <c r="AC46" i="30"/>
  <c r="AC130" i="30" s="1"/>
  <c r="T19" i="30"/>
  <c r="T103" i="30" s="1"/>
  <c r="AC48" i="30"/>
  <c r="AC132" i="30" s="1"/>
  <c r="T24" i="30"/>
  <c r="T108" i="30" s="1"/>
  <c r="AC40" i="30"/>
  <c r="AC124" i="30" s="1"/>
  <c r="AB18" i="30"/>
  <c r="AB102" i="30" s="1"/>
  <c r="T39" i="30"/>
  <c r="T123" i="30" s="1"/>
  <c r="S23" i="30"/>
  <c r="S107" i="30" s="1"/>
  <c r="AB44" i="30"/>
  <c r="AB128" i="30" s="1"/>
  <c r="AB21" i="30"/>
  <c r="AB105" i="30" s="1"/>
  <c r="T32" i="30"/>
  <c r="T116" i="30" s="1"/>
  <c r="S36" i="30"/>
  <c r="S120" i="30" s="1"/>
  <c r="T14" i="30"/>
  <c r="T98" i="30" s="1"/>
  <c r="T30" i="30"/>
  <c r="T114" i="30" s="1"/>
  <c r="T35" i="30"/>
  <c r="T119" i="30" s="1"/>
  <c r="T27" i="30"/>
  <c r="T111" i="30" s="1"/>
  <c r="AB16" i="30"/>
  <c r="AB100" i="30" s="1"/>
  <c r="S13" i="30"/>
  <c r="S97" i="30" s="1"/>
  <c r="S42" i="30"/>
  <c r="S126" i="30" s="1"/>
  <c r="AC38" i="30"/>
  <c r="AC122" i="30" s="1"/>
  <c r="AC10" i="30"/>
  <c r="AC94" i="30" s="1"/>
  <c r="T18" i="30"/>
  <c r="T102" i="30" s="1"/>
  <c r="T13" i="30"/>
  <c r="T97" i="30" s="1"/>
  <c r="AC12" i="30"/>
  <c r="AC96" i="30" s="1"/>
  <c r="T45" i="30"/>
  <c r="T129" i="30" s="1"/>
  <c r="AC18" i="30"/>
  <c r="AC102" i="30" s="1"/>
  <c r="AC14" i="30"/>
  <c r="AC98" i="30" s="1"/>
  <c r="S20" i="30"/>
  <c r="S104" i="30" s="1"/>
  <c r="AB38" i="30"/>
  <c r="AB122" i="30" s="1"/>
  <c r="S24" i="30"/>
  <c r="S108" i="30" s="1"/>
  <c r="AC39" i="30"/>
  <c r="AC123" i="30" s="1"/>
  <c r="AC35" i="30"/>
  <c r="AC119" i="30" s="1"/>
  <c r="T28" i="30"/>
  <c r="T112" i="30" s="1"/>
  <c r="AC20" i="30"/>
  <c r="AC104" i="30" s="1"/>
  <c r="AB41" i="30"/>
  <c r="AB125" i="30" s="1"/>
  <c r="AB26" i="30"/>
  <c r="AB110" i="30" s="1"/>
  <c r="S17" i="30"/>
  <c r="S101" i="30" s="1"/>
  <c r="T46" i="30"/>
  <c r="T130" i="30" s="1"/>
  <c r="S28" i="30"/>
  <c r="S112" i="30" s="1"/>
  <c r="S27" i="30"/>
  <c r="S111" i="30" s="1"/>
  <c r="S11" i="30"/>
  <c r="S95" i="30" s="1"/>
  <c r="S48" i="30"/>
  <c r="S132" i="30" s="1"/>
  <c r="AB24" i="30"/>
  <c r="AB108" i="30" s="1"/>
  <c r="AC37" i="30"/>
  <c r="AC121" i="30" s="1"/>
  <c r="AB31" i="30"/>
  <c r="AB115" i="30" s="1"/>
  <c r="AB15" i="30"/>
  <c r="AB99" i="30" s="1"/>
  <c r="T44" i="30"/>
  <c r="T128" i="30" s="1"/>
  <c r="T21" i="30"/>
  <c r="T105" i="30" s="1"/>
  <c r="AB32" i="30"/>
  <c r="AB116" i="30" s="1"/>
  <c r="T36" i="30"/>
  <c r="T120" i="30" s="1"/>
  <c r="AB14" i="30"/>
  <c r="AB98" i="30" s="1"/>
  <c r="S43" i="30"/>
  <c r="S127" i="30" s="1"/>
  <c r="AC34" i="30"/>
  <c r="AC118" i="30" s="1"/>
  <c r="AB45" i="30"/>
  <c r="AB129" i="30" s="1"/>
  <c r="T47" i="30"/>
  <c r="T131" i="30" s="1"/>
  <c r="S22" i="30"/>
  <c r="S106" i="30" s="1"/>
  <c r="S49" i="30"/>
  <c r="S133" i="30" s="1"/>
  <c r="AB34" i="30"/>
  <c r="AB118" i="30" s="1"/>
  <c r="AC16" i="30"/>
  <c r="AC100" i="30" s="1"/>
  <c r="AC47" i="30"/>
  <c r="AC131" i="30" s="1"/>
  <c r="AB22" i="30"/>
  <c r="AB106" i="30" s="1"/>
  <c r="S25" i="30"/>
  <c r="S109" i="30" s="1"/>
  <c r="S19" i="30"/>
  <c r="S103" i="30" s="1"/>
  <c r="T23" i="30"/>
  <c r="T107" i="30" s="1"/>
  <c r="S30" i="30"/>
  <c r="S114" i="30" s="1"/>
  <c r="AC41" i="30"/>
  <c r="AC125" i="30" s="1"/>
  <c r="S45" i="30"/>
  <c r="S129" i="30" s="1"/>
  <c r="AC23" i="30"/>
  <c r="AC107" i="30" s="1"/>
  <c r="AC36" i="30"/>
  <c r="AC120" i="30" s="1"/>
  <c r="T42" i="30"/>
  <c r="T126" i="30" s="1"/>
  <c r="AC49" i="30"/>
  <c r="AC133" i="30" s="1"/>
  <c r="AC33" i="30"/>
  <c r="AC117" i="30" s="1"/>
  <c r="AC26" i="30"/>
  <c r="AC110" i="30" s="1"/>
  <c r="T17" i="30"/>
  <c r="T101" i="30" s="1"/>
  <c r="AB46" i="30"/>
  <c r="AB130" i="30" s="1"/>
  <c r="AB28" i="30"/>
  <c r="AB112" i="30" s="1"/>
  <c r="AB27" i="30"/>
  <c r="AB111" i="30" s="1"/>
  <c r="AB11" i="30"/>
  <c r="AB95" i="30" s="1"/>
  <c r="S10" i="30"/>
  <c r="S94" i="30" s="1"/>
  <c r="AC24" i="30"/>
  <c r="AC108" i="30" s="1"/>
  <c r="S37" i="30"/>
  <c r="S121" i="30" s="1"/>
  <c r="AB29" i="30"/>
  <c r="AB113" i="30" s="1"/>
  <c r="AB47" i="30"/>
  <c r="AB131" i="30" s="1"/>
  <c r="T31" i="30"/>
  <c r="T115" i="30" s="1"/>
  <c r="T15" i="30"/>
  <c r="T99" i="30" s="1"/>
  <c r="AC44" i="30"/>
  <c r="AC128" i="30" s="1"/>
  <c r="AB13" i="30"/>
  <c r="AB97" i="30" s="1"/>
  <c r="AC32" i="30"/>
  <c r="AC116" i="30" s="1"/>
  <c r="AC22" i="30"/>
  <c r="AC106" i="30" s="1"/>
  <c r="AB43" i="30"/>
  <c r="AB127" i="30" s="1"/>
  <c r="S38" i="30"/>
  <c r="S122" i="30" s="1"/>
  <c r="T25" i="30"/>
  <c r="T109" i="30" s="1"/>
  <c r="AB10" i="30"/>
  <c r="AB94" i="30" s="1"/>
  <c r="S29" i="30"/>
  <c r="S113" i="30" s="1"/>
  <c r="S15" i="30"/>
  <c r="S99" i="30" s="1"/>
  <c r="AC25" i="30"/>
  <c r="AC109" i="30" s="1"/>
  <c r="AB19" i="30"/>
  <c r="AB103" i="30" s="1"/>
  <c r="T29" i="30"/>
  <c r="T113" i="30" s="1"/>
  <c r="S39" i="30"/>
  <c r="S123" i="30" s="1"/>
  <c r="AB35" i="30"/>
  <c r="AB119" i="30" s="1"/>
  <c r="T41" i="30"/>
  <c r="T125" i="30" s="1"/>
  <c r="S34" i="30"/>
  <c r="S118" i="30" s="1"/>
  <c r="S16" i="30"/>
  <c r="S100" i="30" s="1"/>
  <c r="AB39" i="30"/>
  <c r="AB123" i="30" s="1"/>
  <c r="AB36" i="30"/>
  <c r="AB120" i="30" s="1"/>
  <c r="AB25" i="30"/>
  <c r="AB109" i="30" s="1"/>
  <c r="AB48" i="30"/>
  <c r="AB132" i="30" s="1"/>
  <c r="AB40" i="30"/>
  <c r="AB124" i="30" s="1"/>
  <c r="S44" i="30"/>
  <c r="S128" i="30" s="1"/>
  <c r="S14" i="30"/>
  <c r="S98" i="30" s="1"/>
  <c r="AB42" i="30"/>
  <c r="AB126" i="30" s="1"/>
  <c r="T49" i="30"/>
  <c r="T133" i="30" s="1"/>
  <c r="T33" i="30"/>
  <c r="T117" i="30" s="1"/>
  <c r="AB17" i="30"/>
  <c r="AB101" i="30" s="1"/>
  <c r="S46" i="30"/>
  <c r="S130" i="30" s="1"/>
  <c r="T34" i="30"/>
  <c r="T118" i="30" s="1"/>
  <c r="S12" i="30"/>
  <c r="S96" i="30" s="1"/>
  <c r="AC27" i="30"/>
  <c r="AC111" i="30" s="1"/>
  <c r="AC11" i="30"/>
  <c r="AC95" i="30" s="1"/>
  <c r="T10" i="30"/>
  <c r="T94" i="30" s="1"/>
  <c r="T16" i="30"/>
  <c r="T100" i="30" s="1"/>
  <c r="AB37" i="30"/>
  <c r="AB121" i="30" s="1"/>
  <c r="AC29" i="30"/>
  <c r="AC113" i="30" s="1"/>
  <c r="S47" i="30"/>
  <c r="S131" i="30" s="1"/>
  <c r="AC31" i="30"/>
  <c r="AC115" i="30" s="1"/>
  <c r="AC15" i="30"/>
  <c r="AC99" i="30" s="1"/>
  <c r="AC13" i="30"/>
  <c r="AC97" i="30" s="1"/>
  <c r="S32" i="30"/>
  <c r="S116" i="30" s="1"/>
  <c r="T22" i="30"/>
  <c r="T106" i="30" s="1"/>
  <c r="AC43" i="30"/>
  <c r="AC127" i="30" s="1"/>
  <c r="AC28" i="30"/>
  <c r="AC112" i="30" s="1"/>
  <c r="AC42" i="30"/>
  <c r="AC126" i="30" s="1"/>
  <c r="AB49" i="30"/>
  <c r="AB133" i="30" s="1"/>
  <c r="S33" i="30"/>
  <c r="S117" i="30" s="1"/>
  <c r="T12" i="30"/>
  <c r="T96" i="30" s="1"/>
  <c r="T11" i="30"/>
  <c r="T95" i="30" s="1"/>
  <c r="T37" i="30"/>
  <c r="T121" i="30" s="1"/>
  <c r="S31" i="30"/>
  <c r="S115" i="30" s="1"/>
  <c r="T43" i="30"/>
  <c r="T127" i="30" s="1"/>
  <c r="AB33" i="30"/>
  <c r="AB117" i="30" s="1"/>
  <c r="AB12" i="30"/>
  <c r="AB96" i="30" s="1"/>
  <c r="AC45" i="30"/>
  <c r="AC129" i="30" s="1"/>
  <c r="AB23" i="30"/>
  <c r="AB107" i="30" s="1"/>
  <c r="AC30" i="30"/>
  <c r="AC114" i="30" s="1"/>
  <c r="AB20" i="30"/>
  <c r="AB104" i="30" s="1"/>
  <c r="T38" i="30"/>
  <c r="T122" i="30" s="1"/>
  <c r="T48" i="30"/>
  <c r="T132" i="30" s="1"/>
  <c r="T40" i="30"/>
  <c r="T124" i="30" s="1"/>
  <c r="S21" i="30"/>
  <c r="S105" i="30" s="1"/>
  <c r="S35" i="30"/>
  <c r="S119" i="30" s="1"/>
  <c r="S26" i="30"/>
  <c r="S110" i="30" s="1"/>
  <c r="AC19" i="30"/>
  <c r="AC103" i="30" s="1"/>
  <c r="S18" i="30"/>
  <c r="S102" i="30" s="1"/>
  <c r="AC21" i="30"/>
  <c r="AC105" i="30" s="1"/>
  <c r="AB30" i="30"/>
  <c r="AB114" i="30" s="1"/>
  <c r="T51" i="30"/>
  <c r="T135" i="30" s="1"/>
  <c r="AB51" i="30"/>
  <c r="AB135" i="30" s="1"/>
  <c r="AC51" i="30"/>
  <c r="AC135" i="30" s="1"/>
  <c r="S51" i="30"/>
  <c r="S135" i="30" s="1"/>
  <c r="AC53" i="30"/>
  <c r="AC137" i="30" s="1"/>
  <c r="AC52" i="30"/>
  <c r="AC136" i="30" s="1"/>
  <c r="S53" i="30"/>
  <c r="S137" i="30" s="1"/>
  <c r="AB54" i="30"/>
  <c r="AB138" i="30" s="1"/>
  <c r="AB53" i="30"/>
  <c r="AB137" i="30" s="1"/>
  <c r="T56" i="30"/>
  <c r="T140" i="30" s="1"/>
  <c r="AC54" i="30"/>
  <c r="AC138" i="30" s="1"/>
  <c r="S56" i="30"/>
  <c r="S140" i="30" s="1"/>
  <c r="AB52" i="30"/>
  <c r="AB136" i="30" s="1"/>
  <c r="T55" i="30"/>
  <c r="T139" i="30" s="1"/>
  <c r="T53" i="30"/>
  <c r="T137" i="30" s="1"/>
  <c r="AB56" i="30"/>
  <c r="AB140" i="30" s="1"/>
  <c r="AC56" i="30"/>
  <c r="AC140" i="30" s="1"/>
  <c r="S54" i="30"/>
  <c r="S138" i="30" s="1"/>
  <c r="T54" i="30"/>
  <c r="T138" i="30" s="1"/>
  <c r="S52" i="30"/>
  <c r="S136" i="30" s="1"/>
  <c r="T52" i="30"/>
  <c r="T136" i="30" s="1"/>
  <c r="AB55" i="30"/>
  <c r="AB139" i="30" s="1"/>
  <c r="AC55" i="30"/>
  <c r="AC139" i="30" s="1"/>
  <c r="S55" i="30"/>
  <c r="S139" i="30" s="1"/>
  <c r="T57" i="30"/>
  <c r="T141" i="30" s="1"/>
  <c r="AB57" i="30"/>
  <c r="AB141" i="30" s="1"/>
  <c r="S57" i="30"/>
  <c r="S141" i="30" s="1"/>
  <c r="AC57" i="30"/>
  <c r="AC141" i="30" s="1"/>
  <c r="S58" i="30"/>
  <c r="S142" i="30" s="1"/>
  <c r="AB59" i="30"/>
  <c r="AB143" i="30" s="1"/>
  <c r="S59" i="30"/>
  <c r="S143" i="30" s="1"/>
  <c r="AC58" i="30"/>
  <c r="AC142" i="30" s="1"/>
  <c r="T58" i="30"/>
  <c r="T142" i="30" s="1"/>
  <c r="AC59" i="30"/>
  <c r="AC143" i="30" s="1"/>
  <c r="AB58" i="30"/>
  <c r="AB142" i="30" s="1"/>
  <c r="T59" i="30"/>
  <c r="T143" i="30" s="1"/>
  <c r="AB60" i="30"/>
  <c r="AB144" i="30" s="1"/>
  <c r="S60" i="30"/>
  <c r="S144" i="30" s="1"/>
  <c r="T60" i="30"/>
  <c r="T144" i="30" s="1"/>
  <c r="AC60" i="30"/>
  <c r="AC144" i="30" s="1"/>
  <c r="AB61" i="30"/>
  <c r="AB145" i="30" s="1"/>
  <c r="S61" i="30"/>
  <c r="S145" i="30" s="1"/>
  <c r="T61" i="30"/>
  <c r="T145" i="30" s="1"/>
  <c r="AC61" i="30"/>
  <c r="AC145" i="30" s="1"/>
  <c r="AB62" i="30"/>
  <c r="AB146" i="30" s="1"/>
  <c r="S62" i="30"/>
  <c r="S146" i="30" s="1"/>
  <c r="T62" i="30"/>
  <c r="T146" i="30" s="1"/>
  <c r="AC62" i="30"/>
  <c r="AC146" i="30" s="1"/>
  <c r="AC63" i="30"/>
  <c r="AC147" i="30" s="1"/>
  <c r="S63" i="30"/>
  <c r="S147" i="30" s="1"/>
  <c r="AB63" i="30"/>
  <c r="AB147" i="30" s="1"/>
  <c r="T63" i="30"/>
  <c r="T147" i="30" s="1"/>
  <c r="S64" i="30"/>
  <c r="S148" i="30" s="1"/>
  <c r="T64" i="30"/>
  <c r="T148" i="30" s="1"/>
  <c r="AC64" i="30"/>
  <c r="AC148" i="30" s="1"/>
  <c r="T65" i="30"/>
  <c r="T149" i="30" s="1"/>
  <c r="AB65" i="30"/>
  <c r="AB149" i="30" s="1"/>
  <c r="AB64" i="30"/>
  <c r="AB148" i="30" s="1"/>
  <c r="AC65" i="30"/>
  <c r="AC149" i="30" s="1"/>
  <c r="S65" i="30"/>
  <c r="S149" i="30" s="1"/>
  <c r="T77" i="30"/>
  <c r="T161" i="30" s="1"/>
  <c r="T74" i="30"/>
  <c r="T158" i="30" s="1"/>
  <c r="AC81" i="30"/>
  <c r="AC165" i="30" s="1"/>
  <c r="AB80" i="30"/>
  <c r="AB164" i="30" s="1"/>
  <c r="T76" i="30"/>
  <c r="T160" i="30" s="1"/>
  <c r="AC87" i="30"/>
  <c r="AC171" i="30" s="1"/>
  <c r="S50" i="30"/>
  <c r="S134" i="30" s="1"/>
  <c r="AC89" i="30"/>
  <c r="AC173" i="30" s="1"/>
  <c r="AC83" i="30"/>
  <c r="AC167" i="30" s="1"/>
  <c r="AB79" i="30"/>
  <c r="AB163" i="30" s="1"/>
  <c r="AC73" i="30"/>
  <c r="AC157" i="30" s="1"/>
  <c r="AC69" i="30"/>
  <c r="AC153" i="30" s="1"/>
  <c r="AB78" i="30"/>
  <c r="AB162" i="30" s="1"/>
  <c r="T89" i="30"/>
  <c r="T173" i="30" s="1"/>
  <c r="T79" i="30"/>
  <c r="T163" i="30" s="1"/>
  <c r="AB66" i="30"/>
  <c r="AB150" i="30" s="1"/>
  <c r="S79" i="30"/>
  <c r="S163" i="30" s="1"/>
  <c r="AC84" i="30"/>
  <c r="AC168" i="30" s="1"/>
  <c r="S74" i="30"/>
  <c r="S158" i="30" s="1"/>
  <c r="AB67" i="30"/>
  <c r="AB151" i="30" s="1"/>
  <c r="T66" i="30"/>
  <c r="T150" i="30" s="1"/>
  <c r="T75" i="30"/>
  <c r="T159" i="30" s="1"/>
  <c r="T90" i="30"/>
  <c r="T174" i="30" s="1"/>
  <c r="T80" i="30"/>
  <c r="T164" i="30" s="1"/>
  <c r="AC79" i="30"/>
  <c r="AC163" i="30" s="1"/>
  <c r="T78" i="30"/>
  <c r="T162" i="30" s="1"/>
  <c r="S77" i="30"/>
  <c r="S161" i="30" s="1"/>
  <c r="AC74" i="30"/>
  <c r="AC158" i="30" s="1"/>
  <c r="S90" i="30"/>
  <c r="S174" i="30" s="1"/>
  <c r="AC80" i="30"/>
  <c r="AC164" i="30" s="1"/>
  <c r="AC76" i="30"/>
  <c r="AC160" i="30" s="1"/>
  <c r="S87" i="30"/>
  <c r="S171" i="30" s="1"/>
  <c r="T50" i="30"/>
  <c r="T134" i="30" s="1"/>
  <c r="AB71" i="30"/>
  <c r="AB155" i="30" s="1"/>
  <c r="T83" i="30"/>
  <c r="T167" i="30" s="1"/>
  <c r="S73" i="30"/>
  <c r="S157" i="30" s="1"/>
  <c r="AC78" i="30"/>
  <c r="AC162" i="30" s="1"/>
  <c r="AB73" i="30"/>
  <c r="AB157" i="30" s="1"/>
  <c r="AB77" i="30"/>
  <c r="AB161" i="30" s="1"/>
  <c r="AC90" i="30"/>
  <c r="AC174" i="30" s="1"/>
  <c r="AB84" i="30"/>
  <c r="AB168" i="30" s="1"/>
  <c r="T85" i="30"/>
  <c r="T169" i="30" s="1"/>
  <c r="S76" i="30"/>
  <c r="S160" i="30" s="1"/>
  <c r="AB50" i="30"/>
  <c r="AB134" i="30" s="1"/>
  <c r="S84" i="30"/>
  <c r="S168" i="30" s="1"/>
  <c r="S82" i="30"/>
  <c r="S166" i="30" s="1"/>
  <c r="AC88" i="30"/>
  <c r="AC172" i="30" s="1"/>
  <c r="S67" i="30"/>
  <c r="S151" i="30" s="1"/>
  <c r="S83" i="30"/>
  <c r="S167" i="30" s="1"/>
  <c r="S78" i="30"/>
  <c r="S162" i="30" s="1"/>
  <c r="AB74" i="30"/>
  <c r="AB158" i="30" s="1"/>
  <c r="AB90" i="30"/>
  <c r="AB174" i="30" s="1"/>
  <c r="S85" i="30"/>
  <c r="S169" i="30" s="1"/>
  <c r="S81" i="30"/>
  <c r="S165" i="30" s="1"/>
  <c r="T88" i="30"/>
  <c r="T172" i="30" s="1"/>
  <c r="AC86" i="30"/>
  <c r="AC170" i="30" s="1"/>
  <c r="T87" i="30"/>
  <c r="T171" i="30" s="1"/>
  <c r="T68" i="30"/>
  <c r="T152" i="30" s="1"/>
  <c r="AC71" i="30"/>
  <c r="AC155" i="30" s="1"/>
  <c r="AB75" i="30"/>
  <c r="AB159" i="30" s="1"/>
  <c r="S66" i="30"/>
  <c r="S150" i="30" s="1"/>
  <c r="AB70" i="30"/>
  <c r="AB154" i="30" s="1"/>
  <c r="AC82" i="30"/>
  <c r="AC166" i="30" s="1"/>
  <c r="AB85" i="30"/>
  <c r="AB169" i="30" s="1"/>
  <c r="AB81" i="30"/>
  <c r="AB165" i="30" s="1"/>
  <c r="AB88" i="30"/>
  <c r="AB172" i="30" s="1"/>
  <c r="S86" i="30"/>
  <c r="S170" i="30" s="1"/>
  <c r="AB68" i="30"/>
  <c r="AB152" i="30" s="1"/>
  <c r="S71" i="30"/>
  <c r="S155" i="30" s="1"/>
  <c r="AB89" i="30"/>
  <c r="AB173" i="30" s="1"/>
  <c r="S75" i="30"/>
  <c r="S159" i="30" s="1"/>
  <c r="S80" i="30"/>
  <c r="S164" i="30" s="1"/>
  <c r="S88" i="30"/>
  <c r="S172" i="30" s="1"/>
  <c r="AC67" i="30"/>
  <c r="AC151" i="30" s="1"/>
  <c r="T72" i="30"/>
  <c r="T156" i="30" s="1"/>
  <c r="AB86" i="30"/>
  <c r="AB170" i="30" s="1"/>
  <c r="S69" i="30"/>
  <c r="S153" i="30" s="1"/>
  <c r="S72" i="30"/>
  <c r="S156" i="30" s="1"/>
  <c r="AB76" i="30"/>
  <c r="AB160" i="30" s="1"/>
  <c r="AB87" i="30"/>
  <c r="AB171" i="30" s="1"/>
  <c r="T73" i="30"/>
  <c r="T157" i="30" s="1"/>
  <c r="AC77" i="30"/>
  <c r="AC161" i="30" s="1"/>
  <c r="AC70" i="30"/>
  <c r="AC154" i="30" s="1"/>
  <c r="AC72" i="30"/>
  <c r="AC156" i="30" s="1"/>
  <c r="AB82" i="30"/>
  <c r="AB166" i="30" s="1"/>
  <c r="AC85" i="30"/>
  <c r="AC169" i="30" s="1"/>
  <c r="T81" i="30"/>
  <c r="T165" i="30" s="1"/>
  <c r="T86" i="30"/>
  <c r="T170" i="30" s="1"/>
  <c r="AC68" i="30"/>
  <c r="AC152" i="30" s="1"/>
  <c r="T71" i="30"/>
  <c r="T155" i="30" s="1"/>
  <c r="T67" i="30"/>
  <c r="T151" i="30" s="1"/>
  <c r="S89" i="30"/>
  <c r="S173" i="30" s="1"/>
  <c r="AB69" i="30"/>
  <c r="AB153" i="30" s="1"/>
  <c r="AC66" i="30"/>
  <c r="AC150" i="30" s="1"/>
  <c r="T84" i="30"/>
  <c r="T168" i="30" s="1"/>
  <c r="T70" i="30"/>
  <c r="T154" i="30" s="1"/>
  <c r="AB72" i="30"/>
  <c r="AB156" i="30" s="1"/>
  <c r="T82" i="30"/>
  <c r="T166" i="30" s="1"/>
  <c r="S68" i="30"/>
  <c r="S152" i="30" s="1"/>
  <c r="AC75" i="30"/>
  <c r="AC159" i="30" s="1"/>
  <c r="S70" i="30"/>
  <c r="S154" i="30" s="1"/>
  <c r="AC50" i="30"/>
  <c r="AC134" i="30" s="1"/>
  <c r="AB83" i="30"/>
  <c r="AB167" i="30" s="1"/>
  <c r="T69" i="30"/>
  <c r="T153" i="30" s="1"/>
  <c r="Q2" i="9"/>
  <c r="N179" i="30" s="1"/>
  <c r="Q3" i="26" l="1"/>
  <c r="W180" i="30" s="1"/>
  <c r="W181" i="30" s="1"/>
  <c r="Q4" i="26"/>
  <c r="AF180" i="30" s="1"/>
  <c r="AF181" i="30" s="1"/>
  <c r="Q5" i="26"/>
  <c r="O5" i="26"/>
  <c r="Q2" i="26"/>
  <c r="N180" i="30" s="1"/>
  <c r="N181" i="30" s="1"/>
  <c r="AK11" i="21" l="1"/>
  <c r="T9" i="9" s="1"/>
  <c r="AK12" i="21"/>
  <c r="T10" i="9" s="1"/>
  <c r="AK13" i="21"/>
  <c r="T11" i="9" s="1"/>
  <c r="AK14" i="21"/>
  <c r="AK15" i="21"/>
  <c r="AK16" i="21"/>
  <c r="AK17" i="21"/>
  <c r="AK18" i="21"/>
  <c r="AK19" i="21"/>
  <c r="E10" i="26" s="1"/>
  <c r="AK20" i="21"/>
  <c r="T13" i="26" s="1"/>
  <c r="AK21" i="21"/>
  <c r="E20" i="26" s="1"/>
  <c r="AK22" i="21"/>
  <c r="AK23" i="21"/>
  <c r="E25" i="26" s="1"/>
  <c r="AK24" i="21"/>
  <c r="E26" i="26" s="1"/>
  <c r="AK25" i="21"/>
  <c r="AK26" i="21"/>
  <c r="E32" i="26" s="1"/>
  <c r="AK27" i="21"/>
  <c r="AK28" i="21"/>
  <c r="AK29" i="21"/>
  <c r="AK30" i="21"/>
  <c r="AK31" i="21"/>
  <c r="AK32" i="21"/>
  <c r="AK33" i="21"/>
  <c r="E92" i="26" s="1"/>
  <c r="AK34" i="21"/>
  <c r="E93" i="26" s="1"/>
  <c r="AK35" i="21"/>
  <c r="AK36" i="21"/>
  <c r="E94" i="26" s="1"/>
  <c r="AK37" i="21"/>
  <c r="AK38" i="21"/>
  <c r="E95" i="26" s="1"/>
  <c r="AK39" i="21"/>
  <c r="AK40" i="21"/>
  <c r="E96" i="26" s="1"/>
  <c r="AK41" i="21"/>
  <c r="AK42" i="21"/>
  <c r="AK43" i="21"/>
  <c r="E114" i="26" s="1"/>
  <c r="AK44" i="21"/>
  <c r="AK45" i="21"/>
  <c r="AK46" i="21"/>
  <c r="AK47" i="21"/>
  <c r="AK48" i="21"/>
  <c r="AK49" i="21"/>
  <c r="AK50" i="21"/>
  <c r="AK51" i="21"/>
  <c r="AK52" i="21"/>
  <c r="AK53" i="21"/>
  <c r="AK54" i="21"/>
  <c r="AK55" i="21"/>
  <c r="AK56" i="21"/>
  <c r="E175" i="26" s="1"/>
  <c r="AK57" i="21"/>
  <c r="E176" i="26" s="1"/>
  <c r="AK58" i="21"/>
  <c r="E197" i="26" s="1"/>
  <c r="AK59" i="21"/>
  <c r="AK60" i="21"/>
  <c r="AK61" i="21"/>
  <c r="AK62" i="21"/>
  <c r="E198" i="26" s="1"/>
  <c r="AK63" i="21"/>
  <c r="AK64" i="21"/>
  <c r="AK65" i="21"/>
  <c r="E211" i="26" s="1"/>
  <c r="AK66" i="21"/>
  <c r="AK67" i="21"/>
  <c r="E215" i="26" s="1"/>
  <c r="AK68" i="21"/>
  <c r="AK69" i="21"/>
  <c r="AK70" i="21"/>
  <c r="AK71" i="21"/>
  <c r="AK72" i="21"/>
  <c r="E138" i="26" s="1"/>
  <c r="AK73" i="21"/>
  <c r="E139" i="26" s="1"/>
  <c r="AK74" i="21"/>
  <c r="E140" i="26" s="1"/>
  <c r="AK75" i="21"/>
  <c r="E141" i="26" s="1"/>
  <c r="AK76" i="21"/>
  <c r="AK77" i="21"/>
  <c r="E216" i="26" s="1"/>
  <c r="AK78" i="21"/>
  <c r="AK79" i="21"/>
  <c r="E225" i="26" s="1"/>
  <c r="AK80" i="21"/>
  <c r="AK81" i="21"/>
  <c r="E226" i="26" s="1"/>
  <c r="AK82" i="21"/>
  <c r="AK83" i="21"/>
  <c r="AK84" i="21"/>
  <c r="AK85" i="21"/>
  <c r="AK86" i="21"/>
  <c r="AK87" i="21"/>
  <c r="E233" i="26" s="1"/>
  <c r="AK88" i="21"/>
  <c r="AK89" i="21"/>
  <c r="AK90" i="21"/>
  <c r="AK91" i="21"/>
  <c r="AK92" i="21"/>
  <c r="AK93" i="21"/>
  <c r="AK94" i="21"/>
  <c r="AK95" i="21"/>
  <c r="E237" i="26" s="1"/>
  <c r="AK96" i="21"/>
  <c r="T32" i="9" s="1"/>
  <c r="AK97" i="21"/>
  <c r="AK98" i="21"/>
  <c r="AK99" i="21"/>
  <c r="AK100" i="21"/>
  <c r="AK101" i="21"/>
  <c r="AK102" i="21"/>
  <c r="AK103" i="21"/>
  <c r="AK104" i="21"/>
  <c r="AK105" i="21"/>
  <c r="AK106" i="21"/>
  <c r="AK107" i="21"/>
  <c r="AK108" i="21"/>
  <c r="AK109" i="21"/>
  <c r="AK110" i="21"/>
  <c r="AK111" i="21"/>
  <c r="AK112" i="21"/>
  <c r="AK113" i="21"/>
  <c r="AK114" i="21"/>
  <c r="AK115" i="21"/>
  <c r="AK116" i="21"/>
  <c r="AK117" i="21"/>
  <c r="AK118" i="21"/>
  <c r="AK119" i="21"/>
  <c r="AK120" i="21"/>
  <c r="AK121" i="21"/>
  <c r="AK122" i="21"/>
  <c r="AK123" i="21"/>
  <c r="AK124" i="21"/>
  <c r="AK125" i="21"/>
  <c r="AK126" i="21"/>
  <c r="AK127" i="21"/>
  <c r="AK128" i="21"/>
  <c r="AK129" i="21"/>
  <c r="AK130" i="21"/>
  <c r="AK131" i="21"/>
  <c r="AK132" i="21"/>
  <c r="AK133" i="21"/>
  <c r="AK134" i="21"/>
  <c r="AK135" i="21"/>
  <c r="AK136" i="21"/>
  <c r="AK137" i="21"/>
  <c r="AK138" i="21"/>
  <c r="AK139" i="21"/>
  <c r="AK140" i="21"/>
  <c r="AK141" i="21"/>
  <c r="AK142" i="21"/>
  <c r="AK143" i="21"/>
  <c r="AK144" i="21"/>
  <c r="AK145" i="21"/>
  <c r="AK146" i="21"/>
  <c r="AK147" i="21"/>
  <c r="AK148" i="21"/>
  <c r="AK149" i="21"/>
  <c r="AK150" i="21"/>
  <c r="AK151" i="21"/>
  <c r="AK152" i="21"/>
  <c r="AK153" i="21"/>
  <c r="AK154" i="21"/>
  <c r="AK155" i="21"/>
  <c r="AK156" i="21"/>
  <c r="AK157" i="21"/>
  <c r="AK158" i="21"/>
  <c r="AK159" i="21"/>
  <c r="AK160" i="21"/>
  <c r="E32" i="9" l="1"/>
  <c r="S32" i="9"/>
  <c r="R32" i="9"/>
  <c r="E11" i="9"/>
  <c r="S11" i="9"/>
  <c r="R11" i="9"/>
  <c r="E10" i="9"/>
  <c r="S10" i="9"/>
  <c r="R10" i="9"/>
  <c r="E9" i="9"/>
  <c r="C9" i="9" s="1"/>
  <c r="T12" i="9"/>
  <c r="T13" i="9"/>
  <c r="E9" i="26"/>
  <c r="E213" i="26"/>
  <c r="E214" i="26"/>
  <c r="E212" i="26"/>
  <c r="E209" i="26"/>
  <c r="E207" i="26"/>
  <c r="E208" i="26"/>
  <c r="E210" i="26"/>
  <c r="E174" i="26"/>
  <c r="E173" i="26"/>
  <c r="E104" i="26"/>
  <c r="E107" i="26"/>
  <c r="E105" i="26"/>
  <c r="E106" i="26"/>
  <c r="E53" i="26"/>
  <c r="E54" i="26"/>
  <c r="E55" i="26"/>
  <c r="E51" i="26"/>
  <c r="E52" i="26"/>
  <c r="T25" i="9"/>
  <c r="T26" i="9"/>
  <c r="E219" i="26"/>
  <c r="E220" i="26"/>
  <c r="E217" i="26"/>
  <c r="E218" i="26"/>
  <c r="E171" i="26"/>
  <c r="E172" i="26"/>
  <c r="E48" i="26"/>
  <c r="E49" i="26"/>
  <c r="E47" i="26"/>
  <c r="E50" i="26"/>
  <c r="E24" i="26"/>
  <c r="E21" i="26"/>
  <c r="E22" i="26"/>
  <c r="E23" i="26"/>
  <c r="E162" i="26"/>
  <c r="E163" i="26"/>
  <c r="E112" i="26"/>
  <c r="E113" i="26"/>
  <c r="E15" i="26"/>
  <c r="E13" i="26"/>
  <c r="E14" i="26"/>
  <c r="E161" i="26"/>
  <c r="E157" i="26"/>
  <c r="E158" i="26"/>
  <c r="E159" i="26"/>
  <c r="E160" i="26"/>
  <c r="E110" i="26"/>
  <c r="E111" i="26"/>
  <c r="E108" i="26"/>
  <c r="E109" i="26"/>
  <c r="E27" i="26"/>
  <c r="E29" i="26"/>
  <c r="E28" i="26"/>
  <c r="E30" i="26"/>
  <c r="E31" i="26"/>
  <c r="E231" i="26"/>
  <c r="E232" i="26"/>
  <c r="E223" i="26"/>
  <c r="E224" i="26"/>
  <c r="E169" i="26"/>
  <c r="E170" i="26"/>
  <c r="E120" i="26"/>
  <c r="E117" i="26"/>
  <c r="E118" i="26"/>
  <c r="E119" i="26"/>
  <c r="E102" i="26"/>
  <c r="E103" i="26"/>
  <c r="E100" i="26"/>
  <c r="E101" i="26"/>
  <c r="E229" i="26"/>
  <c r="E230" i="26"/>
  <c r="E166" i="26"/>
  <c r="E167" i="26"/>
  <c r="E168" i="26"/>
  <c r="E116" i="26"/>
  <c r="E115" i="26"/>
  <c r="E36" i="26"/>
  <c r="E38" i="26"/>
  <c r="E37" i="26"/>
  <c r="E35" i="26"/>
  <c r="E19" i="26"/>
  <c r="E16" i="26"/>
  <c r="E18" i="26"/>
  <c r="E17" i="26"/>
  <c r="E222" i="26"/>
  <c r="E221" i="26"/>
  <c r="E11" i="26"/>
  <c r="E12" i="26"/>
  <c r="E228" i="26"/>
  <c r="E227" i="26"/>
  <c r="E178" i="26"/>
  <c r="E177" i="26"/>
  <c r="E164" i="26"/>
  <c r="E165" i="26"/>
  <c r="E97" i="26"/>
  <c r="E98" i="26"/>
  <c r="E99" i="26"/>
  <c r="E34" i="26"/>
  <c r="E33" i="26"/>
  <c r="E12" i="9" l="1"/>
  <c r="R12" i="9"/>
  <c r="S12" i="9"/>
  <c r="E26" i="9"/>
  <c r="R26" i="9"/>
  <c r="S26" i="9"/>
  <c r="E25" i="9"/>
  <c r="R25" i="9"/>
  <c r="S25" i="9"/>
  <c r="E13" i="9"/>
  <c r="M54" i="33"/>
  <c r="C53" i="33"/>
  <c r="A27" i="33"/>
  <c r="L26" i="33"/>
  <c r="J36" i="33"/>
  <c r="D28" i="33"/>
  <c r="B28" i="33"/>
  <c r="J184" i="31" l="1"/>
  <c r="F229" i="26" l="1"/>
  <c r="J205" i="31" l="1"/>
  <c r="B205" i="31" s="1"/>
  <c r="J204" i="31"/>
  <c r="B204" i="31" s="1"/>
  <c r="J203" i="31"/>
  <c r="B203" i="31" s="1"/>
  <c r="J194" i="31" l="1"/>
  <c r="B194" i="31" s="1"/>
  <c r="J193" i="31"/>
  <c r="B193" i="31" s="1"/>
  <c r="J192" i="31"/>
  <c r="B192" i="31" s="1"/>
  <c r="J191" i="31"/>
  <c r="B191" i="31" s="1"/>
  <c r="J190" i="31"/>
  <c r="B190" i="31" s="1"/>
  <c r="J198" i="31"/>
  <c r="B198" i="31" s="1"/>
  <c r="J197" i="31"/>
  <c r="B197" i="31" s="1"/>
  <c r="J196" i="31"/>
  <c r="B196" i="31" s="1"/>
  <c r="J206" i="31" l="1"/>
  <c r="D8" i="12" l="1"/>
  <c r="F9" i="9"/>
  <c r="D9" i="9" s="1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9" i="26"/>
  <c r="D9" i="26" s="1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H11" i="21"/>
  <c r="AI11" i="21"/>
  <c r="AL11" i="21"/>
  <c r="R9" i="9" s="1"/>
  <c r="H12" i="21"/>
  <c r="AL12" i="21"/>
  <c r="AM13" i="21"/>
  <c r="H13" i="21"/>
  <c r="AL13" i="21"/>
  <c r="AM14" i="21"/>
  <c r="S13" i="9" s="1"/>
  <c r="H14" i="21"/>
  <c r="AL14" i="21"/>
  <c r="R13" i="9" s="1"/>
  <c r="AM15" i="21"/>
  <c r="H15" i="21"/>
  <c r="AL15" i="21"/>
  <c r="H16" i="21"/>
  <c r="AL16" i="21"/>
  <c r="AM16" i="21"/>
  <c r="H17" i="21"/>
  <c r="AL17" i="21"/>
  <c r="AM17" i="21"/>
  <c r="H18" i="21"/>
  <c r="AL18" i="21"/>
  <c r="AM19" i="21"/>
  <c r="H19" i="21"/>
  <c r="AL19" i="21"/>
  <c r="H20" i="21"/>
  <c r="AL20" i="21"/>
  <c r="R13" i="26" s="1"/>
  <c r="AM20" i="21"/>
  <c r="S13" i="26" s="1"/>
  <c r="H21" i="21"/>
  <c r="AL21" i="21"/>
  <c r="H22" i="21"/>
  <c r="AL22" i="21"/>
  <c r="H23" i="21"/>
  <c r="AL23" i="21"/>
  <c r="H24" i="21"/>
  <c r="AL24" i="21"/>
  <c r="AM25" i="21"/>
  <c r="H25" i="21"/>
  <c r="AL25" i="21"/>
  <c r="AM26" i="21"/>
  <c r="H26" i="21"/>
  <c r="AL26" i="21"/>
  <c r="H27" i="21"/>
  <c r="AL27" i="21"/>
  <c r="H28" i="21"/>
  <c r="AL28" i="21"/>
  <c r="H29" i="21"/>
  <c r="AL29" i="21"/>
  <c r="H30" i="21"/>
  <c r="AL30" i="21"/>
  <c r="H31" i="21"/>
  <c r="AL31" i="21"/>
  <c r="H32" i="21"/>
  <c r="AL32" i="21"/>
  <c r="H33" i="21"/>
  <c r="AL33" i="21"/>
  <c r="AM33" i="21"/>
  <c r="H34" i="21"/>
  <c r="AL34" i="21"/>
  <c r="AM35" i="21"/>
  <c r="H35" i="21"/>
  <c r="AL35" i="21"/>
  <c r="H36" i="21"/>
  <c r="AL36" i="21"/>
  <c r="AM36" i="21"/>
  <c r="H37" i="21"/>
  <c r="AL37" i="21"/>
  <c r="H38" i="21"/>
  <c r="AL38" i="21"/>
  <c r="H39" i="21"/>
  <c r="AL39" i="21"/>
  <c r="AM40" i="21"/>
  <c r="H40" i="21"/>
  <c r="AL40" i="21"/>
  <c r="H41" i="21"/>
  <c r="AL41" i="21"/>
  <c r="AM41" i="21"/>
  <c r="H42" i="21"/>
  <c r="AL42" i="21"/>
  <c r="AM42" i="21"/>
  <c r="AM43" i="21"/>
  <c r="H43" i="21"/>
  <c r="AL43" i="21"/>
  <c r="H44" i="21"/>
  <c r="AL44" i="21"/>
  <c r="AM44" i="21"/>
  <c r="H45" i="21"/>
  <c r="AL45" i="21"/>
  <c r="AM45" i="21"/>
  <c r="H46" i="21"/>
  <c r="AL46" i="21"/>
  <c r="H47" i="21"/>
  <c r="AL47" i="21"/>
  <c r="AM47" i="21"/>
  <c r="H48" i="21"/>
  <c r="AL48" i="21"/>
  <c r="AM48" i="21"/>
  <c r="H49" i="21"/>
  <c r="AL49" i="21"/>
  <c r="H50" i="21"/>
  <c r="AL50" i="21"/>
  <c r="AM51" i="21"/>
  <c r="H51" i="21"/>
  <c r="AL51" i="21"/>
  <c r="H52" i="21"/>
  <c r="AL52" i="21"/>
  <c r="H53" i="21"/>
  <c r="AL53" i="21"/>
  <c r="H54" i="21"/>
  <c r="AL54" i="21"/>
  <c r="H55" i="21"/>
  <c r="AL55" i="21"/>
  <c r="H56" i="21"/>
  <c r="AL56" i="21"/>
  <c r="H57" i="21"/>
  <c r="AL57" i="21"/>
  <c r="H58" i="21"/>
  <c r="AL58" i="21"/>
  <c r="AM59" i="21"/>
  <c r="H59" i="21"/>
  <c r="AL59" i="21"/>
  <c r="AM60" i="21"/>
  <c r="H60" i="21"/>
  <c r="AL60" i="21"/>
  <c r="H61" i="21"/>
  <c r="AL61" i="21"/>
  <c r="H62" i="21"/>
  <c r="AL62" i="21"/>
  <c r="H63" i="21"/>
  <c r="AL63" i="21"/>
  <c r="AM63" i="21"/>
  <c r="AM64" i="21"/>
  <c r="H64" i="21"/>
  <c r="AL64" i="21"/>
  <c r="H65" i="21"/>
  <c r="AL65" i="21"/>
  <c r="H66" i="21"/>
  <c r="AL66" i="21"/>
  <c r="AM66" i="21"/>
  <c r="AM67" i="21"/>
  <c r="H67" i="21"/>
  <c r="AL67" i="21"/>
  <c r="H68" i="21"/>
  <c r="AL68" i="21"/>
  <c r="AM68" i="21"/>
  <c r="H69" i="21"/>
  <c r="AL69" i="21"/>
  <c r="AM69" i="21"/>
  <c r="H70" i="21"/>
  <c r="AL70" i="21"/>
  <c r="AM70" i="21"/>
  <c r="H71" i="21"/>
  <c r="AL71" i="21"/>
  <c r="AM71" i="21"/>
  <c r="AM72" i="21"/>
  <c r="H72" i="21"/>
  <c r="AL72" i="21"/>
  <c r="H73" i="21"/>
  <c r="AL73" i="21"/>
  <c r="H74" i="21"/>
  <c r="AL74" i="21"/>
  <c r="H75" i="21"/>
  <c r="AL75" i="21"/>
  <c r="H76" i="21"/>
  <c r="AL76" i="21"/>
  <c r="AM76" i="21"/>
  <c r="H77" i="21"/>
  <c r="AL77" i="21"/>
  <c r="H78" i="21"/>
  <c r="AL78" i="21"/>
  <c r="H79" i="21"/>
  <c r="AL79" i="21"/>
  <c r="H80" i="21"/>
  <c r="AL80" i="21"/>
  <c r="AM81" i="21"/>
  <c r="H81" i="21"/>
  <c r="AL81" i="21"/>
  <c r="H82" i="21"/>
  <c r="AL82" i="21"/>
  <c r="AM83" i="21"/>
  <c r="H83" i="21"/>
  <c r="AL83" i="21"/>
  <c r="AM84" i="21"/>
  <c r="H84" i="21"/>
  <c r="AL84" i="21"/>
  <c r="AM85" i="21"/>
  <c r="H85" i="21"/>
  <c r="AL85" i="21"/>
  <c r="H86" i="21"/>
  <c r="AL86" i="21"/>
  <c r="H87" i="21"/>
  <c r="AL87" i="21"/>
  <c r="H88" i="21"/>
  <c r="AL88" i="21"/>
  <c r="AM88" i="21"/>
  <c r="H89" i="21"/>
  <c r="AL89" i="21"/>
  <c r="AM89" i="21"/>
  <c r="H90" i="21"/>
  <c r="AL90" i="21"/>
  <c r="AM90" i="21"/>
  <c r="H91" i="21"/>
  <c r="AL91" i="21"/>
  <c r="AM91" i="21"/>
  <c r="H92" i="21"/>
  <c r="AL92" i="21"/>
  <c r="AM92" i="21"/>
  <c r="H93" i="21"/>
  <c r="AL93" i="21"/>
  <c r="AM93" i="21"/>
  <c r="H94" i="21"/>
  <c r="AL94" i="21"/>
  <c r="AM94" i="21"/>
  <c r="H95" i="21"/>
  <c r="AL95" i="21"/>
  <c r="AM96" i="21"/>
  <c r="H96" i="21"/>
  <c r="AL96" i="21"/>
  <c r="H97" i="21"/>
  <c r="AL97" i="21"/>
  <c r="AM97" i="21"/>
  <c r="H98" i="21"/>
  <c r="AL98" i="21"/>
  <c r="AM98" i="21"/>
  <c r="H99" i="21"/>
  <c r="AL99" i="21"/>
  <c r="AM99" i="21"/>
  <c r="H100" i="21"/>
  <c r="AL100" i="21"/>
  <c r="AM100" i="21"/>
  <c r="H101" i="21"/>
  <c r="AL101" i="21"/>
  <c r="AM101" i="21"/>
  <c r="H102" i="21"/>
  <c r="AL102" i="21"/>
  <c r="AM102" i="21"/>
  <c r="H103" i="21"/>
  <c r="AL103" i="21"/>
  <c r="AM103" i="21"/>
  <c r="H104" i="21"/>
  <c r="AL104" i="21"/>
  <c r="AM104" i="21"/>
  <c r="H105" i="21"/>
  <c r="AL105" i="21"/>
  <c r="AM105" i="21"/>
  <c r="H106" i="21"/>
  <c r="AL106" i="21"/>
  <c r="AM106" i="21"/>
  <c r="H107" i="21"/>
  <c r="AL107" i="21"/>
  <c r="AM107" i="21"/>
  <c r="H108" i="21"/>
  <c r="AL108" i="21"/>
  <c r="AM108" i="21"/>
  <c r="H109" i="21"/>
  <c r="AL109" i="21"/>
  <c r="AM109" i="21"/>
  <c r="H110" i="21"/>
  <c r="AL110" i="21"/>
  <c r="AM110" i="21"/>
  <c r="H111" i="21"/>
  <c r="AL111" i="21"/>
  <c r="AM111" i="21"/>
  <c r="H112" i="21"/>
  <c r="AL112" i="21"/>
  <c r="AM112" i="21"/>
  <c r="H113" i="21"/>
  <c r="AL113" i="21"/>
  <c r="AM113" i="21"/>
  <c r="H114" i="21"/>
  <c r="AL114" i="21"/>
  <c r="AM114" i="21"/>
  <c r="H115" i="21"/>
  <c r="AL115" i="21"/>
  <c r="AM115" i="21"/>
  <c r="H116" i="21"/>
  <c r="AL116" i="21"/>
  <c r="AM116" i="21"/>
  <c r="H117" i="21"/>
  <c r="AL117" i="21"/>
  <c r="AM117" i="21"/>
  <c r="H118" i="21"/>
  <c r="AL118" i="21"/>
  <c r="AM118" i="21"/>
  <c r="H119" i="21"/>
  <c r="AL119" i="21"/>
  <c r="AM119" i="21"/>
  <c r="H120" i="21"/>
  <c r="AL120" i="21"/>
  <c r="AM120" i="21"/>
  <c r="H121" i="21"/>
  <c r="AL121" i="21"/>
  <c r="AM121" i="21"/>
  <c r="H122" i="21"/>
  <c r="AL122" i="21"/>
  <c r="AM122" i="21"/>
  <c r="H123" i="21"/>
  <c r="AL123" i="21"/>
  <c r="AM123" i="21"/>
  <c r="H124" i="21"/>
  <c r="AL124" i="21"/>
  <c r="AM124" i="21"/>
  <c r="H125" i="21"/>
  <c r="AL125" i="21"/>
  <c r="AM125" i="21"/>
  <c r="H126" i="21"/>
  <c r="AL126" i="21"/>
  <c r="AM126" i="21"/>
  <c r="H127" i="21"/>
  <c r="AL127" i="21"/>
  <c r="AM127" i="21"/>
  <c r="H128" i="21"/>
  <c r="AL128" i="21"/>
  <c r="AM128" i="21"/>
  <c r="H129" i="21"/>
  <c r="AL129" i="21"/>
  <c r="AM129" i="21"/>
  <c r="H130" i="21"/>
  <c r="AL130" i="21"/>
  <c r="AM130" i="21"/>
  <c r="H131" i="21"/>
  <c r="AL131" i="21"/>
  <c r="AM131" i="21"/>
  <c r="H132" i="21"/>
  <c r="AL132" i="21"/>
  <c r="AM132" i="21"/>
  <c r="H133" i="21"/>
  <c r="AL133" i="21"/>
  <c r="AM133" i="21"/>
  <c r="H134" i="21"/>
  <c r="AL134" i="21"/>
  <c r="AM134" i="21"/>
  <c r="H135" i="21"/>
  <c r="AL135" i="21"/>
  <c r="AM135" i="21"/>
  <c r="H136" i="21"/>
  <c r="AL136" i="21"/>
  <c r="AM136" i="21"/>
  <c r="H137" i="21"/>
  <c r="AL137" i="21"/>
  <c r="AM137" i="21"/>
  <c r="H138" i="21"/>
  <c r="AL138" i="21"/>
  <c r="AM138" i="21"/>
  <c r="H139" i="21"/>
  <c r="AL139" i="21"/>
  <c r="AM139" i="21"/>
  <c r="H140" i="21"/>
  <c r="AL140" i="21"/>
  <c r="AM140" i="21"/>
  <c r="H141" i="21"/>
  <c r="AL141" i="21"/>
  <c r="AM141" i="21"/>
  <c r="H142" i="21"/>
  <c r="AL142" i="21"/>
  <c r="AM142" i="21"/>
  <c r="H143" i="21"/>
  <c r="AL143" i="21"/>
  <c r="AM143" i="21"/>
  <c r="H144" i="21"/>
  <c r="AL144" i="21"/>
  <c r="AM144" i="21"/>
  <c r="H145" i="21"/>
  <c r="AL145" i="21"/>
  <c r="AM145" i="21"/>
  <c r="H146" i="21"/>
  <c r="AL146" i="21"/>
  <c r="AM146" i="21"/>
  <c r="H147" i="21"/>
  <c r="AL147" i="21"/>
  <c r="AM147" i="21"/>
  <c r="H148" i="21"/>
  <c r="AL148" i="21"/>
  <c r="AM148" i="21"/>
  <c r="H149" i="21"/>
  <c r="AL149" i="21"/>
  <c r="AM149" i="21"/>
  <c r="H150" i="21"/>
  <c r="AL150" i="21"/>
  <c r="AM150" i="21"/>
  <c r="H151" i="21"/>
  <c r="AL151" i="21"/>
  <c r="AM151" i="21"/>
  <c r="H152" i="21"/>
  <c r="AL152" i="21"/>
  <c r="AM152" i="21"/>
  <c r="H153" i="21"/>
  <c r="AL153" i="21"/>
  <c r="AM153" i="21"/>
  <c r="H154" i="21"/>
  <c r="AL154" i="21"/>
  <c r="AM154" i="21"/>
  <c r="H155" i="21"/>
  <c r="AL155" i="21"/>
  <c r="AM155" i="21"/>
  <c r="H156" i="21"/>
  <c r="AL156" i="21"/>
  <c r="AM156" i="21"/>
  <c r="H157" i="21"/>
  <c r="AL157" i="21"/>
  <c r="AM157" i="21"/>
  <c r="H158" i="21"/>
  <c r="AL158" i="21"/>
  <c r="AM158" i="21"/>
  <c r="H159" i="21"/>
  <c r="AL159" i="21"/>
  <c r="AM159" i="21"/>
  <c r="H160" i="21"/>
  <c r="AL160" i="21"/>
  <c r="AM160" i="21"/>
  <c r="AF161" i="21"/>
  <c r="AF5" i="21" s="1"/>
  <c r="AG161" i="21"/>
  <c r="AG5" i="21" s="1"/>
  <c r="J167" i="31"/>
  <c r="J168" i="31"/>
  <c r="J169" i="31"/>
  <c r="J172" i="31"/>
  <c r="J173" i="31"/>
  <c r="J174" i="31"/>
  <c r="B184" i="31"/>
  <c r="J185" i="31"/>
  <c r="B185" i="31" s="1"/>
  <c r="J186" i="31"/>
  <c r="B186" i="31" s="1"/>
  <c r="J187" i="31"/>
  <c r="B187" i="31" s="1"/>
  <c r="J188" i="31"/>
  <c r="B188" i="31" s="1"/>
  <c r="J189" i="31"/>
  <c r="B189" i="31" s="1"/>
  <c r="J195" i="31"/>
  <c r="B195" i="31" s="1"/>
  <c r="J199" i="31"/>
  <c r="B199" i="31" s="1"/>
  <c r="J200" i="31"/>
  <c r="B200" i="31" s="1"/>
  <c r="J207" i="31"/>
  <c r="B207" i="31" s="1"/>
  <c r="J208" i="31"/>
  <c r="B208" i="31" s="1"/>
  <c r="B232" i="31"/>
  <c r="J232" i="31"/>
  <c r="J236" i="31" s="1"/>
  <c r="B233" i="31"/>
  <c r="B234" i="31"/>
  <c r="B235" i="31"/>
  <c r="B236" i="31"/>
  <c r="AB11" i="21" l="1"/>
  <c r="AP11" i="21"/>
  <c r="AI1" i="21"/>
  <c r="C11" i="21"/>
  <c r="E93" i="8"/>
  <c r="E9" i="8"/>
  <c r="E9" i="28"/>
  <c r="E93" i="30"/>
  <c r="E93" i="28"/>
  <c r="E9" i="30"/>
  <c r="B7" i="33"/>
  <c r="B6" i="33"/>
  <c r="B30" i="33" s="1"/>
  <c r="R11" i="21"/>
  <c r="P11" i="21"/>
  <c r="K78" i="30"/>
  <c r="E11" i="21"/>
  <c r="D90" i="21"/>
  <c r="E90" i="21"/>
  <c r="C86" i="26"/>
  <c r="D86" i="26"/>
  <c r="B86" i="26" s="1"/>
  <c r="C70" i="26"/>
  <c r="D70" i="26"/>
  <c r="B70" i="26" s="1"/>
  <c r="C142" i="26"/>
  <c r="D142" i="26"/>
  <c r="B142" i="26" s="1"/>
  <c r="C20" i="26"/>
  <c r="D20" i="26"/>
  <c r="B20" i="26" s="1"/>
  <c r="C53" i="26"/>
  <c r="D53" i="26"/>
  <c r="B53" i="26" s="1"/>
  <c r="C126" i="26"/>
  <c r="D126" i="26"/>
  <c r="B126" i="26" s="1"/>
  <c r="C59" i="26"/>
  <c r="D59" i="26"/>
  <c r="B59" i="26" s="1"/>
  <c r="C217" i="26"/>
  <c r="D217" i="26"/>
  <c r="B217" i="26" s="1"/>
  <c r="C151" i="26"/>
  <c r="D151" i="26"/>
  <c r="B151" i="26" s="1"/>
  <c r="C122" i="26"/>
  <c r="D122" i="26"/>
  <c r="B122" i="26" s="1"/>
  <c r="C189" i="26"/>
  <c r="D189" i="26"/>
  <c r="B189" i="26" s="1"/>
  <c r="C184" i="26"/>
  <c r="D184" i="26"/>
  <c r="B184" i="26" s="1"/>
  <c r="C234" i="26"/>
  <c r="D234" i="26"/>
  <c r="B234" i="26" s="1"/>
  <c r="C190" i="26"/>
  <c r="D190" i="26"/>
  <c r="B190" i="26" s="1"/>
  <c r="C214" i="26"/>
  <c r="D214" i="26"/>
  <c r="B214" i="26" s="1"/>
  <c r="C125" i="26"/>
  <c r="D125" i="26"/>
  <c r="B125" i="26" s="1"/>
  <c r="C180" i="26"/>
  <c r="D180" i="26"/>
  <c r="B180" i="26" s="1"/>
  <c r="C65" i="26"/>
  <c r="D65" i="26"/>
  <c r="B65" i="26" s="1"/>
  <c r="C140" i="26"/>
  <c r="D140" i="26"/>
  <c r="B140" i="26" s="1"/>
  <c r="C200" i="26"/>
  <c r="D200" i="26"/>
  <c r="B200" i="26" s="1"/>
  <c r="C57" i="26"/>
  <c r="D57" i="26"/>
  <c r="B57" i="26" s="1"/>
  <c r="C218" i="26"/>
  <c r="D218" i="26"/>
  <c r="B218" i="26" s="1"/>
  <c r="C156" i="26"/>
  <c r="D156" i="26"/>
  <c r="B156" i="26" s="1"/>
  <c r="C90" i="26"/>
  <c r="D90" i="26"/>
  <c r="B90" i="26" s="1"/>
  <c r="C67" i="26"/>
  <c r="D67" i="26"/>
  <c r="B67" i="26" s="1"/>
  <c r="J170" i="31"/>
  <c r="B170" i="31" s="1"/>
  <c r="B169" i="31"/>
  <c r="B173" i="31"/>
  <c r="J175" i="31"/>
  <c r="B175" i="31" s="1"/>
  <c r="D4" i="31"/>
  <c r="D240" i="31"/>
  <c r="D241" i="31" s="1"/>
  <c r="D314" i="31"/>
  <c r="D315" i="31" s="1"/>
  <c r="B168" i="31"/>
  <c r="B174" i="31"/>
  <c r="W183" i="30"/>
  <c r="D13" i="9"/>
  <c r="D18" i="9"/>
  <c r="C52" i="33"/>
  <c r="J84" i="30"/>
  <c r="K84" i="30"/>
  <c r="K62" i="30"/>
  <c r="J62" i="30"/>
  <c r="K52" i="30"/>
  <c r="J52" i="30"/>
  <c r="J42" i="30"/>
  <c r="K42" i="30"/>
  <c r="K30" i="30"/>
  <c r="J30" i="30"/>
  <c r="J12" i="30"/>
  <c r="K12" i="30"/>
  <c r="K83" i="30"/>
  <c r="J83" i="30"/>
  <c r="K73" i="30"/>
  <c r="J73" i="30"/>
  <c r="K41" i="30"/>
  <c r="J41" i="30"/>
  <c r="K11" i="30"/>
  <c r="J11" i="30"/>
  <c r="J60" i="30"/>
  <c r="K60" i="30"/>
  <c r="J38" i="30"/>
  <c r="K38" i="30"/>
  <c r="K28" i="30"/>
  <c r="J28" i="30"/>
  <c r="J10" i="30"/>
  <c r="K10" i="30"/>
  <c r="J81" i="30"/>
  <c r="K81" i="30"/>
  <c r="K49" i="30"/>
  <c r="J49" i="30"/>
  <c r="K58" i="30"/>
  <c r="J58" i="30"/>
  <c r="K26" i="30"/>
  <c r="J26" i="30"/>
  <c r="K89" i="30"/>
  <c r="J89" i="30"/>
  <c r="K57" i="30"/>
  <c r="J57" i="30"/>
  <c r="J25" i="30"/>
  <c r="K25" i="30"/>
  <c r="J15" i="30"/>
  <c r="K15" i="30"/>
  <c r="J90" i="30"/>
  <c r="K90" i="30"/>
  <c r="J68" i="30"/>
  <c r="K68" i="30"/>
  <c r="K46" i="30"/>
  <c r="J46" i="30"/>
  <c r="K17" i="30"/>
  <c r="J17" i="30"/>
  <c r="K66" i="30"/>
  <c r="J66" i="30"/>
  <c r="J44" i="30"/>
  <c r="K44" i="30"/>
  <c r="J34" i="30"/>
  <c r="K34" i="30"/>
  <c r="K22" i="30"/>
  <c r="J22" i="30"/>
  <c r="J14" i="30"/>
  <c r="K14" i="30"/>
  <c r="J74" i="30"/>
  <c r="K74" i="30"/>
  <c r="J20" i="30"/>
  <c r="K20" i="30"/>
  <c r="K65" i="30"/>
  <c r="J65" i="30"/>
  <c r="J33" i="30"/>
  <c r="K33" i="30"/>
  <c r="J13" i="30"/>
  <c r="K13" i="30"/>
  <c r="K38" i="33"/>
  <c r="K37" i="33"/>
  <c r="F28" i="33"/>
  <c r="AM95" i="21"/>
  <c r="AM52" i="21"/>
  <c r="AM56" i="21"/>
  <c r="AM78" i="21"/>
  <c r="AM62" i="21"/>
  <c r="AM79" i="21"/>
  <c r="AM53" i="21"/>
  <c r="AM87" i="21"/>
  <c r="AM86" i="21"/>
  <c r="AM77" i="21"/>
  <c r="AM75" i="21"/>
  <c r="AM74" i="21"/>
  <c r="AM73" i="21"/>
  <c r="AM82" i="21"/>
  <c r="AM80" i="21"/>
  <c r="AM57" i="21"/>
  <c r="AM65" i="21"/>
  <c r="AM32" i="21"/>
  <c r="AM58" i="21"/>
  <c r="AM49" i="21"/>
  <c r="AM28" i="21"/>
  <c r="AM61" i="21"/>
  <c r="AM29" i="21"/>
  <c r="AM24" i="21"/>
  <c r="AM37" i="21"/>
  <c r="AM21" i="21"/>
  <c r="AM39" i="21"/>
  <c r="AM31" i="21"/>
  <c r="AM23" i="21"/>
  <c r="AM50" i="21"/>
  <c r="AM38" i="21"/>
  <c r="AM30" i="21"/>
  <c r="AM22" i="21"/>
  <c r="AM55" i="21"/>
  <c r="AM27" i="21"/>
  <c r="AM54" i="21"/>
  <c r="AM46" i="21"/>
  <c r="AM34" i="21"/>
  <c r="AM18" i="21"/>
  <c r="AM12" i="21"/>
  <c r="AM11" i="21"/>
  <c r="S9" i="9" s="1"/>
  <c r="J173" i="30" l="1"/>
  <c r="J152" i="30"/>
  <c r="K169" i="30"/>
  <c r="K148" i="30"/>
  <c r="K153" i="30"/>
  <c r="J146" i="30"/>
  <c r="J149" i="30"/>
  <c r="J171" i="30"/>
  <c r="K149" i="30"/>
  <c r="K171" i="30"/>
  <c r="J145" i="30"/>
  <c r="J167" i="30"/>
  <c r="K145" i="30"/>
  <c r="K167" i="30"/>
  <c r="K174" i="30"/>
  <c r="J163" i="30"/>
  <c r="J128" i="30"/>
  <c r="K125" i="30"/>
  <c r="K122" i="30"/>
  <c r="K136" i="30"/>
  <c r="K109" i="30"/>
  <c r="K101" i="30"/>
  <c r="K110" i="30"/>
  <c r="J130" i="30"/>
  <c r="K94" i="30"/>
  <c r="K95" i="30"/>
  <c r="J110" i="30"/>
  <c r="K133" i="30"/>
  <c r="J95" i="30"/>
  <c r="J157" i="30"/>
  <c r="J158" i="30"/>
  <c r="J153" i="30"/>
  <c r="K146" i="30"/>
  <c r="J162" i="30"/>
  <c r="K159" i="30"/>
  <c r="K154" i="30"/>
  <c r="K155" i="30"/>
  <c r="J154" i="30"/>
  <c r="J155" i="30"/>
  <c r="K172" i="30"/>
  <c r="K151" i="30"/>
  <c r="J172" i="30"/>
  <c r="J151" i="30"/>
  <c r="K168" i="30"/>
  <c r="K147" i="30"/>
  <c r="J104" i="30"/>
  <c r="K141" i="30"/>
  <c r="J96" i="30"/>
  <c r="K112" i="30"/>
  <c r="K128" i="30"/>
  <c r="K117" i="30"/>
  <c r="J106" i="30"/>
  <c r="K126" i="30"/>
  <c r="K97" i="30"/>
  <c r="J126" i="30"/>
  <c r="J98" i="30"/>
  <c r="K98" i="30"/>
  <c r="K142" i="30"/>
  <c r="J174" i="30"/>
  <c r="K163" i="30"/>
  <c r="K162" i="30"/>
  <c r="J159" i="30"/>
  <c r="J164" i="30"/>
  <c r="K166" i="30"/>
  <c r="K160" i="30"/>
  <c r="J166" i="30"/>
  <c r="J160" i="30"/>
  <c r="K150" i="30"/>
  <c r="K156" i="30"/>
  <c r="J150" i="30"/>
  <c r="J156" i="30"/>
  <c r="K173" i="30"/>
  <c r="K152" i="30"/>
  <c r="J112" i="30"/>
  <c r="K106" i="30"/>
  <c r="J109" i="30"/>
  <c r="J141" i="30"/>
  <c r="K96" i="30"/>
  <c r="J125" i="30"/>
  <c r="J118" i="30"/>
  <c r="J133" i="30"/>
  <c r="J114" i="30"/>
  <c r="J168" i="30"/>
  <c r="J147" i="30"/>
  <c r="K164" i="30"/>
  <c r="J169" i="30"/>
  <c r="J148" i="30"/>
  <c r="K165" i="30"/>
  <c r="K144" i="30"/>
  <c r="J165" i="30"/>
  <c r="J144" i="30"/>
  <c r="J161" i="30"/>
  <c r="K170" i="30"/>
  <c r="K161" i="30"/>
  <c r="J170" i="30"/>
  <c r="K157" i="30"/>
  <c r="K158" i="30"/>
  <c r="J101" i="30"/>
  <c r="K118" i="30"/>
  <c r="J122" i="30"/>
  <c r="J136" i="30"/>
  <c r="J117" i="30"/>
  <c r="K130" i="30"/>
  <c r="K104" i="30"/>
  <c r="J94" i="30"/>
  <c r="K114" i="30"/>
  <c r="K99" i="30"/>
  <c r="J142" i="30"/>
  <c r="J97" i="30"/>
  <c r="J99" i="30"/>
  <c r="AC9" i="30"/>
  <c r="AC93" i="30" s="1"/>
  <c r="K9" i="30"/>
  <c r="K93" i="30" s="1"/>
  <c r="J9" i="30"/>
  <c r="J93" i="30" s="1"/>
  <c r="T9" i="30"/>
  <c r="T93" i="30" s="1"/>
  <c r="S9" i="30"/>
  <c r="S93" i="30" s="1"/>
  <c r="AB9" i="30"/>
  <c r="AB93" i="30" s="1"/>
  <c r="B31" i="33"/>
  <c r="K86" i="30"/>
  <c r="J86" i="30"/>
  <c r="J76" i="30"/>
  <c r="J36" i="30"/>
  <c r="J120" i="30" s="1"/>
  <c r="K36" i="30"/>
  <c r="K120" i="30" s="1"/>
  <c r="J70" i="30"/>
  <c r="J37" i="30"/>
  <c r="J121" i="30" s="1"/>
  <c r="J54" i="30"/>
  <c r="J138" i="30" s="1"/>
  <c r="J78" i="30"/>
  <c r="K54" i="30"/>
  <c r="K138" i="30" s="1"/>
  <c r="K70" i="30"/>
  <c r="K19" i="30"/>
  <c r="K103" i="30" s="1"/>
  <c r="K82" i="30"/>
  <c r="K76" i="30"/>
  <c r="J43" i="30"/>
  <c r="J127" i="30" s="1"/>
  <c r="K50" i="30"/>
  <c r="K134" i="30" s="1"/>
  <c r="J67" i="30"/>
  <c r="K37" i="30"/>
  <c r="K121" i="30" s="1"/>
  <c r="K43" i="30"/>
  <c r="K127" i="30" s="1"/>
  <c r="J82" i="30"/>
  <c r="K67" i="30"/>
  <c r="K51" i="30"/>
  <c r="K135" i="30" s="1"/>
  <c r="J77" i="30"/>
  <c r="K77" i="30"/>
  <c r="J50" i="30"/>
  <c r="J134" i="30" s="1"/>
  <c r="J21" i="30"/>
  <c r="J105" i="30" s="1"/>
  <c r="K21" i="30"/>
  <c r="K105" i="30" s="1"/>
  <c r="K61" i="30"/>
  <c r="K59" i="30"/>
  <c r="K143" i="30" s="1"/>
  <c r="J18" i="30"/>
  <c r="J102" i="30" s="1"/>
  <c r="J59" i="30"/>
  <c r="J143" i="30" s="1"/>
  <c r="J29" i="30"/>
  <c r="J113" i="30" s="1"/>
  <c r="J51" i="30"/>
  <c r="J135" i="30" s="1"/>
  <c r="J69" i="30"/>
  <c r="J35" i="30"/>
  <c r="J119" i="30" s="1"/>
  <c r="J61" i="30"/>
  <c r="J27" i="30"/>
  <c r="J111" i="30" s="1"/>
  <c r="K85" i="30"/>
  <c r="K45" i="30"/>
  <c r="K129" i="30" s="1"/>
  <c r="K27" i="30"/>
  <c r="K111" i="30" s="1"/>
  <c r="J45" i="30"/>
  <c r="J129" i="30" s="1"/>
  <c r="E93" i="21"/>
  <c r="D93" i="21"/>
  <c r="D112" i="21"/>
  <c r="E112" i="21"/>
  <c r="D128" i="21"/>
  <c r="E128" i="21"/>
  <c r="D144" i="21"/>
  <c r="E144" i="21"/>
  <c r="D160" i="21"/>
  <c r="E160" i="21"/>
  <c r="D92" i="21"/>
  <c r="E92" i="21"/>
  <c r="D101" i="21"/>
  <c r="E101" i="21"/>
  <c r="D105" i="21"/>
  <c r="E105" i="21"/>
  <c r="D109" i="21"/>
  <c r="E109" i="21"/>
  <c r="E113" i="21"/>
  <c r="D113" i="21"/>
  <c r="D117" i="21"/>
  <c r="E117" i="21"/>
  <c r="D121" i="21"/>
  <c r="E121" i="21"/>
  <c r="D125" i="21"/>
  <c r="E125" i="21"/>
  <c r="D129" i="21"/>
  <c r="E129" i="21"/>
  <c r="D133" i="21"/>
  <c r="E133" i="21"/>
  <c r="D137" i="21"/>
  <c r="E137" i="21"/>
  <c r="D141" i="21"/>
  <c r="E141" i="21"/>
  <c r="D145" i="21"/>
  <c r="E145" i="21"/>
  <c r="D149" i="21"/>
  <c r="E149" i="21"/>
  <c r="D153" i="21"/>
  <c r="E153" i="21"/>
  <c r="D157" i="21"/>
  <c r="E157" i="21"/>
  <c r="D100" i="21"/>
  <c r="E100" i="21"/>
  <c r="D116" i="21"/>
  <c r="E116" i="21"/>
  <c r="D132" i="21"/>
  <c r="E132" i="21"/>
  <c r="D148" i="21"/>
  <c r="E148" i="21"/>
  <c r="D152" i="21"/>
  <c r="E152" i="21"/>
  <c r="D98" i="21"/>
  <c r="E98" i="21"/>
  <c r="D106" i="21"/>
  <c r="E106" i="21"/>
  <c r="E118" i="21"/>
  <c r="D118" i="21"/>
  <c r="D130" i="21"/>
  <c r="E130" i="21"/>
  <c r="D142" i="21"/>
  <c r="E142" i="21"/>
  <c r="D146" i="21"/>
  <c r="E146" i="21"/>
  <c r="D150" i="21"/>
  <c r="E150" i="21"/>
  <c r="D154" i="21"/>
  <c r="E154" i="21"/>
  <c r="D108" i="21"/>
  <c r="E108" i="21"/>
  <c r="D124" i="21"/>
  <c r="E124" i="21"/>
  <c r="D140" i="21"/>
  <c r="E140" i="21"/>
  <c r="D110" i="21"/>
  <c r="E110" i="21"/>
  <c r="D122" i="21"/>
  <c r="E122" i="21"/>
  <c r="D138" i="21"/>
  <c r="E138" i="21"/>
  <c r="D99" i="21"/>
  <c r="E99" i="21"/>
  <c r="D103" i="21"/>
  <c r="E103" i="21"/>
  <c r="D107" i="21"/>
  <c r="E107" i="21"/>
  <c r="D111" i="21"/>
  <c r="E111" i="21"/>
  <c r="D115" i="21"/>
  <c r="E115" i="21"/>
  <c r="E119" i="21"/>
  <c r="D119" i="21"/>
  <c r="D123" i="21"/>
  <c r="E123" i="21"/>
  <c r="D127" i="21"/>
  <c r="E127" i="21"/>
  <c r="D131" i="21"/>
  <c r="E131" i="21"/>
  <c r="D135" i="21"/>
  <c r="E135" i="21"/>
  <c r="D139" i="21"/>
  <c r="E139" i="21"/>
  <c r="D143" i="21"/>
  <c r="E143" i="21"/>
  <c r="D147" i="21"/>
  <c r="E147" i="21"/>
  <c r="D151" i="21"/>
  <c r="E151" i="21"/>
  <c r="D155" i="21"/>
  <c r="E155" i="21"/>
  <c r="D159" i="21"/>
  <c r="E159" i="21"/>
  <c r="D91" i="21"/>
  <c r="E91" i="21"/>
  <c r="E76" i="21"/>
  <c r="D76" i="21"/>
  <c r="D104" i="21"/>
  <c r="E104" i="21"/>
  <c r="E120" i="21"/>
  <c r="D120" i="21"/>
  <c r="D136" i="21"/>
  <c r="E136" i="21"/>
  <c r="D156" i="21"/>
  <c r="E156" i="21"/>
  <c r="E94" i="21"/>
  <c r="D94" i="21"/>
  <c r="D102" i="21"/>
  <c r="E102" i="21"/>
  <c r="D114" i="21"/>
  <c r="E114" i="21"/>
  <c r="D126" i="21"/>
  <c r="E126" i="21"/>
  <c r="D134" i="21"/>
  <c r="E134" i="21"/>
  <c r="D158" i="21"/>
  <c r="E158" i="21"/>
  <c r="J85" i="30"/>
  <c r="K53" i="30"/>
  <c r="K137" i="30" s="1"/>
  <c r="K29" i="30"/>
  <c r="K113" i="30" s="1"/>
  <c r="J53" i="30"/>
  <c r="J137" i="30" s="1"/>
  <c r="K75" i="30"/>
  <c r="J19" i="30"/>
  <c r="J103" i="30" s="1"/>
  <c r="K69" i="30"/>
  <c r="J75" i="30"/>
  <c r="K35" i="30"/>
  <c r="K119" i="30" s="1"/>
  <c r="K18" i="30"/>
  <c r="K102" i="30" s="1"/>
  <c r="C42" i="26"/>
  <c r="D42" i="26"/>
  <c r="B42" i="26" s="1"/>
  <c r="C193" i="26"/>
  <c r="D193" i="26"/>
  <c r="B193" i="26" s="1"/>
  <c r="C224" i="26"/>
  <c r="D224" i="26"/>
  <c r="B224" i="26" s="1"/>
  <c r="C84" i="26"/>
  <c r="D84" i="26"/>
  <c r="B84" i="26" s="1"/>
  <c r="C155" i="26"/>
  <c r="D155" i="26"/>
  <c r="B155" i="26" s="1"/>
  <c r="C186" i="26"/>
  <c r="D186" i="26"/>
  <c r="B186" i="26" s="1"/>
  <c r="C194" i="26"/>
  <c r="D194" i="26"/>
  <c r="B194" i="26" s="1"/>
  <c r="C177" i="26"/>
  <c r="D177" i="26"/>
  <c r="B177" i="26" s="1"/>
  <c r="C215" i="26"/>
  <c r="D215" i="26"/>
  <c r="B215" i="26" s="1"/>
  <c r="C228" i="26"/>
  <c r="D228" i="26"/>
  <c r="B228" i="26" s="1"/>
  <c r="C159" i="26"/>
  <c r="D159" i="26"/>
  <c r="B159" i="26" s="1"/>
  <c r="C139" i="26"/>
  <c r="D139" i="26"/>
  <c r="B139" i="26" s="1"/>
  <c r="C15" i="26"/>
  <c r="D15" i="26"/>
  <c r="B15" i="26" s="1"/>
  <c r="C44" i="26"/>
  <c r="D44" i="26"/>
  <c r="B44" i="26" s="1"/>
  <c r="C62" i="26"/>
  <c r="D62" i="26"/>
  <c r="B62" i="26" s="1"/>
  <c r="C73" i="26"/>
  <c r="D73" i="26"/>
  <c r="B73" i="26" s="1"/>
  <c r="C85" i="26"/>
  <c r="D85" i="26"/>
  <c r="B85" i="26" s="1"/>
  <c r="C103" i="26"/>
  <c r="D103" i="26"/>
  <c r="B103" i="26" s="1"/>
  <c r="C130" i="26"/>
  <c r="D130" i="26"/>
  <c r="B130" i="26" s="1"/>
  <c r="C143" i="26"/>
  <c r="D143" i="26"/>
  <c r="B143" i="26" s="1"/>
  <c r="C150" i="26"/>
  <c r="D150" i="26"/>
  <c r="B150" i="26" s="1"/>
  <c r="C105" i="26"/>
  <c r="D105" i="26"/>
  <c r="B105" i="26" s="1"/>
  <c r="C175" i="26"/>
  <c r="D175" i="26"/>
  <c r="B175" i="26" s="1"/>
  <c r="C188" i="26"/>
  <c r="D188" i="26"/>
  <c r="B188" i="26" s="1"/>
  <c r="C160" i="26"/>
  <c r="D160" i="26"/>
  <c r="B160" i="26" s="1"/>
  <c r="C199" i="26"/>
  <c r="D199" i="26"/>
  <c r="B199" i="26" s="1"/>
  <c r="C205" i="26"/>
  <c r="D205" i="26"/>
  <c r="B205" i="26" s="1"/>
  <c r="C232" i="26"/>
  <c r="D232" i="26"/>
  <c r="B232" i="26" s="1"/>
  <c r="C212" i="26"/>
  <c r="D212" i="26"/>
  <c r="B212" i="26" s="1"/>
  <c r="C235" i="26"/>
  <c r="D235" i="26"/>
  <c r="B235" i="26" s="1"/>
  <c r="C95" i="26"/>
  <c r="D95" i="26"/>
  <c r="B95" i="26" s="1"/>
  <c r="C56" i="26"/>
  <c r="D56" i="26"/>
  <c r="B56" i="26" s="1"/>
  <c r="C78" i="26"/>
  <c r="D78" i="26"/>
  <c r="B78" i="26" s="1"/>
  <c r="C123" i="26"/>
  <c r="D123" i="26"/>
  <c r="B123" i="26" s="1"/>
  <c r="C36" i="26"/>
  <c r="D36" i="26"/>
  <c r="B36" i="26" s="1"/>
  <c r="C152" i="26"/>
  <c r="D152" i="26"/>
  <c r="B152" i="26" s="1"/>
  <c r="C169" i="26"/>
  <c r="D169" i="26"/>
  <c r="B169" i="26" s="1"/>
  <c r="C166" i="26"/>
  <c r="D166" i="26"/>
  <c r="B166" i="26" s="1"/>
  <c r="C183" i="26"/>
  <c r="D183" i="26"/>
  <c r="B183" i="26" s="1"/>
  <c r="C172" i="26"/>
  <c r="D172" i="26"/>
  <c r="B172" i="26" s="1"/>
  <c r="C206" i="26"/>
  <c r="D206" i="26"/>
  <c r="B206" i="26" s="1"/>
  <c r="C207" i="26"/>
  <c r="D207" i="26"/>
  <c r="B207" i="26" s="1"/>
  <c r="C37" i="26"/>
  <c r="D37" i="26"/>
  <c r="B37" i="26" s="1"/>
  <c r="C237" i="26"/>
  <c r="D237" i="26"/>
  <c r="C61" i="26"/>
  <c r="D61" i="26"/>
  <c r="B61" i="26" s="1"/>
  <c r="C72" i="26"/>
  <c r="D72" i="26"/>
  <c r="B72" i="26" s="1"/>
  <c r="C102" i="26"/>
  <c r="D102" i="26"/>
  <c r="B102" i="26" s="1"/>
  <c r="C49" i="26"/>
  <c r="D49" i="26"/>
  <c r="B49" i="26" s="1"/>
  <c r="C135" i="26"/>
  <c r="D135" i="26"/>
  <c r="B135" i="26" s="1"/>
  <c r="C147" i="26"/>
  <c r="D147" i="26"/>
  <c r="B147" i="26" s="1"/>
  <c r="C21" i="26"/>
  <c r="D21" i="26"/>
  <c r="B21" i="26" s="1"/>
  <c r="C48" i="26"/>
  <c r="D48" i="26"/>
  <c r="B48" i="26" s="1"/>
  <c r="C64" i="26"/>
  <c r="D64" i="26"/>
  <c r="B64" i="26" s="1"/>
  <c r="C75" i="26"/>
  <c r="D75" i="26"/>
  <c r="B75" i="26" s="1"/>
  <c r="C87" i="26"/>
  <c r="D87" i="26"/>
  <c r="B87" i="26" s="1"/>
  <c r="C113" i="26"/>
  <c r="D113" i="26"/>
  <c r="B113" i="26" s="1"/>
  <c r="C131" i="26"/>
  <c r="D131" i="26"/>
  <c r="B131" i="26" s="1"/>
  <c r="C144" i="26"/>
  <c r="D144" i="26"/>
  <c r="B144" i="26" s="1"/>
  <c r="C110" i="26"/>
  <c r="D110" i="26"/>
  <c r="B110" i="26" s="1"/>
  <c r="C176" i="26"/>
  <c r="D176" i="26"/>
  <c r="B176" i="26" s="1"/>
  <c r="C187" i="26"/>
  <c r="D187" i="26"/>
  <c r="B187" i="26" s="1"/>
  <c r="C158" i="26"/>
  <c r="D158" i="26"/>
  <c r="B158" i="26" s="1"/>
  <c r="C202" i="26"/>
  <c r="D202" i="26"/>
  <c r="B202" i="26" s="1"/>
  <c r="C216" i="26"/>
  <c r="D216" i="26"/>
  <c r="B216" i="26" s="1"/>
  <c r="C233" i="26"/>
  <c r="D233" i="26"/>
  <c r="B233" i="26" s="1"/>
  <c r="C29" i="26"/>
  <c r="D29" i="26"/>
  <c r="B29" i="26" s="1"/>
  <c r="C68" i="26"/>
  <c r="D68" i="26"/>
  <c r="B68" i="26" s="1"/>
  <c r="C98" i="26"/>
  <c r="D98" i="26"/>
  <c r="B98" i="26" s="1"/>
  <c r="C134" i="26"/>
  <c r="D134" i="26"/>
  <c r="B134" i="26" s="1"/>
  <c r="C182" i="26"/>
  <c r="D182" i="26"/>
  <c r="B182" i="26" s="1"/>
  <c r="C201" i="26"/>
  <c r="D201" i="26"/>
  <c r="B201" i="26" s="1"/>
  <c r="C32" i="26"/>
  <c r="D32" i="26"/>
  <c r="B32" i="26" s="1"/>
  <c r="C58" i="26"/>
  <c r="D58" i="26"/>
  <c r="B58" i="26" s="1"/>
  <c r="C69" i="26"/>
  <c r="D69" i="26"/>
  <c r="B69" i="26" s="1"/>
  <c r="C83" i="26"/>
  <c r="D83" i="26"/>
  <c r="B83" i="26" s="1"/>
  <c r="C100" i="26"/>
  <c r="D100" i="26"/>
  <c r="B100" i="26" s="1"/>
  <c r="C120" i="26"/>
  <c r="D120" i="26"/>
  <c r="B120" i="26" s="1"/>
  <c r="C34" i="26"/>
  <c r="D34" i="26"/>
  <c r="B34" i="26" s="1"/>
  <c r="C128" i="26"/>
  <c r="D128" i="26"/>
  <c r="B128" i="26" s="1"/>
  <c r="C22" i="26"/>
  <c r="D22" i="26"/>
  <c r="B22" i="26" s="1"/>
  <c r="C153" i="26"/>
  <c r="D153" i="26"/>
  <c r="B153" i="26" s="1"/>
  <c r="C195" i="26"/>
  <c r="D195" i="26"/>
  <c r="B195" i="26" s="1"/>
  <c r="C225" i="26"/>
  <c r="D225" i="26"/>
  <c r="B225" i="26" s="1"/>
  <c r="C43" i="26"/>
  <c r="D43" i="26"/>
  <c r="B43" i="26" s="1"/>
  <c r="C25" i="26"/>
  <c r="D25" i="26"/>
  <c r="B25" i="26" s="1"/>
  <c r="C47" i="26"/>
  <c r="D47" i="26"/>
  <c r="B47" i="26" s="1"/>
  <c r="C63" i="26"/>
  <c r="D63" i="26"/>
  <c r="B63" i="26" s="1"/>
  <c r="C74" i="26"/>
  <c r="D74" i="26"/>
  <c r="B74" i="26" s="1"/>
  <c r="C91" i="26"/>
  <c r="D91" i="26"/>
  <c r="B91" i="26" s="1"/>
  <c r="C114" i="26"/>
  <c r="D114" i="26"/>
  <c r="B114" i="26" s="1"/>
  <c r="C129" i="26"/>
  <c r="D129" i="26"/>
  <c r="B129" i="26" s="1"/>
  <c r="C146" i="26"/>
  <c r="D146" i="26"/>
  <c r="B146" i="26" s="1"/>
  <c r="C109" i="26"/>
  <c r="D109" i="26"/>
  <c r="B109" i="26" s="1"/>
  <c r="C179" i="26"/>
  <c r="D179" i="26"/>
  <c r="B179" i="26" s="1"/>
  <c r="C191" i="26"/>
  <c r="D191" i="26"/>
  <c r="B191" i="26" s="1"/>
  <c r="C165" i="26"/>
  <c r="D165" i="26"/>
  <c r="B165" i="26" s="1"/>
  <c r="C203" i="26"/>
  <c r="D203" i="26"/>
  <c r="B203" i="26" s="1"/>
  <c r="C220" i="26"/>
  <c r="D220" i="26"/>
  <c r="B220" i="26" s="1"/>
  <c r="C39" i="26"/>
  <c r="D39" i="26"/>
  <c r="B39" i="26" s="1"/>
  <c r="C60" i="26"/>
  <c r="D60" i="26"/>
  <c r="B60" i="26" s="1"/>
  <c r="C71" i="26"/>
  <c r="D71" i="26"/>
  <c r="B71" i="26" s="1"/>
  <c r="C76" i="26"/>
  <c r="D76" i="26"/>
  <c r="B76" i="26" s="1"/>
  <c r="C99" i="26"/>
  <c r="D99" i="26"/>
  <c r="B99" i="26" s="1"/>
  <c r="C124" i="26"/>
  <c r="D124" i="26"/>
  <c r="B124" i="26" s="1"/>
  <c r="C41" i="26"/>
  <c r="D41" i="26"/>
  <c r="B41" i="26" s="1"/>
  <c r="C133" i="26"/>
  <c r="D133" i="26"/>
  <c r="B133" i="26" s="1"/>
  <c r="C145" i="26"/>
  <c r="D145" i="26"/>
  <c r="B145" i="26" s="1"/>
  <c r="C154" i="26"/>
  <c r="D154" i="26"/>
  <c r="B154" i="26" s="1"/>
  <c r="C185" i="26"/>
  <c r="D185" i="26"/>
  <c r="B185" i="26" s="1"/>
  <c r="C196" i="26"/>
  <c r="D196" i="26"/>
  <c r="B196" i="26" s="1"/>
  <c r="C174" i="26"/>
  <c r="D174" i="26"/>
  <c r="B174" i="26" s="1"/>
  <c r="C211" i="26"/>
  <c r="D211" i="26"/>
  <c r="B211" i="26" s="1"/>
  <c r="C226" i="26"/>
  <c r="D226" i="26"/>
  <c r="B226" i="26" s="1"/>
  <c r="C93" i="26"/>
  <c r="D93" i="26"/>
  <c r="B93" i="26" s="1"/>
  <c r="C28" i="26"/>
  <c r="D28" i="26"/>
  <c r="B28" i="26" s="1"/>
  <c r="C54" i="26"/>
  <c r="D54" i="26"/>
  <c r="B54" i="26" s="1"/>
  <c r="C66" i="26"/>
  <c r="D66" i="26"/>
  <c r="B66" i="26" s="1"/>
  <c r="C77" i="26"/>
  <c r="D77" i="26"/>
  <c r="B77" i="26" s="1"/>
  <c r="C97" i="26"/>
  <c r="D97" i="26"/>
  <c r="B97" i="26" s="1"/>
  <c r="C121" i="26"/>
  <c r="D121" i="26"/>
  <c r="B121" i="26" s="1"/>
  <c r="C18" i="26"/>
  <c r="D18" i="26"/>
  <c r="B18" i="26" s="1"/>
  <c r="C132" i="26"/>
  <c r="D132" i="26"/>
  <c r="B132" i="26" s="1"/>
  <c r="C23" i="26"/>
  <c r="D23" i="26"/>
  <c r="B23" i="26" s="1"/>
  <c r="C119" i="26"/>
  <c r="D119" i="26"/>
  <c r="B119" i="26" s="1"/>
  <c r="C181" i="26"/>
  <c r="D181" i="26"/>
  <c r="B181" i="26" s="1"/>
  <c r="C192" i="26"/>
  <c r="D192" i="26"/>
  <c r="B192" i="26" s="1"/>
  <c r="C164" i="26"/>
  <c r="D164" i="26"/>
  <c r="B164" i="26" s="1"/>
  <c r="C204" i="26"/>
  <c r="D204" i="26"/>
  <c r="B204" i="26" s="1"/>
  <c r="C222" i="26"/>
  <c r="D222" i="26"/>
  <c r="B222" i="26" s="1"/>
  <c r="C16" i="9"/>
  <c r="D16" i="9"/>
  <c r="B16" i="9" s="1"/>
  <c r="C10" i="9"/>
  <c r="D10" i="9"/>
  <c r="C19" i="9"/>
  <c r="D19" i="9"/>
  <c r="B19" i="9" s="1"/>
  <c r="C20" i="9"/>
  <c r="D20" i="9"/>
  <c r="B20" i="9" s="1"/>
  <c r="C17" i="9"/>
  <c r="D17" i="9"/>
  <c r="B17" i="9" s="1"/>
  <c r="C12" i="9"/>
  <c r="D12" i="9"/>
  <c r="B12" i="9" s="1"/>
  <c r="C33" i="9"/>
  <c r="D33" i="9"/>
  <c r="B33" i="9" s="1"/>
  <c r="C15" i="9"/>
  <c r="D15" i="9"/>
  <c r="B15" i="9" s="1"/>
  <c r="C14" i="9"/>
  <c r="D14" i="9"/>
  <c r="B14" i="9" s="1"/>
  <c r="C27" i="9"/>
  <c r="D27" i="9"/>
  <c r="B27" i="9" s="1"/>
  <c r="B18" i="9"/>
  <c r="C18" i="9"/>
  <c r="B13" i="9"/>
  <c r="C13" i="9"/>
  <c r="D11" i="21"/>
  <c r="N183" i="30"/>
  <c r="D23" i="9"/>
  <c r="D11" i="9"/>
  <c r="L38" i="33"/>
  <c r="K55" i="30"/>
  <c r="K139" i="30" s="1"/>
  <c r="J55" i="30"/>
  <c r="J139" i="30" s="1"/>
  <c r="K39" i="30"/>
  <c r="K123" i="30" s="1"/>
  <c r="J39" i="30"/>
  <c r="J123" i="30" s="1"/>
  <c r="K47" i="30"/>
  <c r="K131" i="30" s="1"/>
  <c r="J47" i="30"/>
  <c r="J131" i="30" s="1"/>
  <c r="K71" i="30"/>
  <c r="J71" i="30"/>
  <c r="J79" i="30"/>
  <c r="K79" i="30"/>
  <c r="J80" i="30"/>
  <c r="K80" i="30"/>
  <c r="J40" i="30"/>
  <c r="J124" i="30" s="1"/>
  <c r="K40" i="30"/>
  <c r="K124" i="30" s="1"/>
  <c r="J64" i="30"/>
  <c r="K64" i="30"/>
  <c r="K31" i="30"/>
  <c r="K115" i="30" s="1"/>
  <c r="J31" i="30"/>
  <c r="J115" i="30" s="1"/>
  <c r="K56" i="30"/>
  <c r="K140" i="30" s="1"/>
  <c r="J56" i="30"/>
  <c r="J140" i="30" s="1"/>
  <c r="J72" i="30"/>
  <c r="K72" i="30"/>
  <c r="K88" i="30"/>
  <c r="J88" i="30"/>
  <c r="K16" i="30"/>
  <c r="K100" i="30" s="1"/>
  <c r="J16" i="30"/>
  <c r="J100" i="30" s="1"/>
  <c r="K48" i="30"/>
  <c r="K132" i="30" s="1"/>
  <c r="J48" i="30"/>
  <c r="J132" i="30" s="1"/>
  <c r="J23" i="30"/>
  <c r="J107" i="30" s="1"/>
  <c r="K23" i="30"/>
  <c r="K107" i="30" s="1"/>
  <c r="K63" i="30"/>
  <c r="J63" i="30"/>
  <c r="J24" i="30"/>
  <c r="J108" i="30" s="1"/>
  <c r="K24" i="30"/>
  <c r="K108" i="30" s="1"/>
  <c r="J32" i="30"/>
  <c r="J116" i="30" s="1"/>
  <c r="K32" i="30"/>
  <c r="K116" i="30" s="1"/>
  <c r="K87" i="30"/>
  <c r="J87" i="30"/>
  <c r="L37" i="33"/>
  <c r="AI161" i="21"/>
  <c r="AI5" i="21" s="1"/>
  <c r="C9" i="26"/>
  <c r="C163" i="26" l="1"/>
  <c r="D163" i="26"/>
  <c r="B163" i="26" s="1"/>
  <c r="C55" i="26"/>
  <c r="D55" i="26"/>
  <c r="B55" i="26" s="1"/>
  <c r="C40" i="26"/>
  <c r="D40" i="26"/>
  <c r="B40" i="26" s="1"/>
  <c r="C80" i="26"/>
  <c r="D80" i="26"/>
  <c r="B80" i="26" s="1"/>
  <c r="C108" i="26"/>
  <c r="D108" i="26"/>
  <c r="B108" i="26" s="1"/>
  <c r="C173" i="26"/>
  <c r="D173" i="26"/>
  <c r="B173" i="26" s="1"/>
  <c r="C115" i="26"/>
  <c r="D115" i="26"/>
  <c r="B115" i="26" s="1"/>
  <c r="C198" i="26"/>
  <c r="D198" i="26"/>
  <c r="B198" i="26" s="1"/>
  <c r="C16" i="26"/>
  <c r="D16" i="26"/>
  <c r="B16" i="26" s="1"/>
  <c r="C81" i="26"/>
  <c r="D81" i="26"/>
  <c r="B81" i="26" s="1"/>
  <c r="C178" i="26"/>
  <c r="D178" i="26"/>
  <c r="B178" i="26" s="1"/>
  <c r="C223" i="26"/>
  <c r="D223" i="26"/>
  <c r="B223" i="26" s="1"/>
  <c r="C46" i="26"/>
  <c r="D46" i="26"/>
  <c r="B46" i="26" s="1"/>
  <c r="C136" i="26"/>
  <c r="D136" i="26"/>
  <c r="B136" i="26" s="1"/>
  <c r="C221" i="26"/>
  <c r="D221" i="26"/>
  <c r="B221" i="26" s="1"/>
  <c r="C50" i="26"/>
  <c r="D50" i="26"/>
  <c r="B50" i="26" s="1"/>
  <c r="C19" i="26"/>
  <c r="D19" i="26"/>
  <c r="B19" i="26" s="1"/>
  <c r="C137" i="26"/>
  <c r="D137" i="26"/>
  <c r="B137" i="26" s="1"/>
  <c r="C112" i="26"/>
  <c r="D112" i="26"/>
  <c r="B112" i="26" s="1"/>
  <c r="C213" i="26"/>
  <c r="D213" i="26"/>
  <c r="B213" i="26" s="1"/>
  <c r="C170" i="26"/>
  <c r="D170" i="26"/>
  <c r="B170" i="26" s="1"/>
  <c r="C17" i="26"/>
  <c r="D17" i="26"/>
  <c r="B17" i="26" s="1"/>
  <c r="C88" i="26"/>
  <c r="D88" i="26"/>
  <c r="B88" i="26" s="1"/>
  <c r="C14" i="26"/>
  <c r="D14" i="26"/>
  <c r="B14" i="26" s="1"/>
  <c r="C79" i="26"/>
  <c r="D79" i="26"/>
  <c r="B79" i="26" s="1"/>
  <c r="C141" i="26"/>
  <c r="D141" i="26"/>
  <c r="B141" i="26" s="1"/>
  <c r="C116" i="26"/>
  <c r="D116" i="26"/>
  <c r="B116" i="26" s="1"/>
  <c r="C197" i="26"/>
  <c r="D197" i="26"/>
  <c r="B197" i="26" s="1"/>
  <c r="C229" i="26"/>
  <c r="D229" i="26"/>
  <c r="B229" i="26" s="1"/>
  <c r="C231" i="26"/>
  <c r="D231" i="26"/>
  <c r="B231" i="26" s="1"/>
  <c r="C227" i="26"/>
  <c r="D227" i="26"/>
  <c r="B227" i="26" s="1"/>
  <c r="C89" i="26"/>
  <c r="D89" i="26"/>
  <c r="B89" i="26" s="1"/>
  <c r="C138" i="26"/>
  <c r="D138" i="26"/>
  <c r="B138" i="26" s="1"/>
  <c r="C209" i="26"/>
  <c r="D209" i="26"/>
  <c r="B209" i="26" s="1"/>
  <c r="C30" i="26"/>
  <c r="D30" i="26"/>
  <c r="B30" i="26" s="1"/>
  <c r="C94" i="26"/>
  <c r="D94" i="26"/>
  <c r="B94" i="26" s="1"/>
  <c r="C24" i="26"/>
  <c r="D24" i="26"/>
  <c r="B24" i="26" s="1"/>
  <c r="C101" i="26"/>
  <c r="D101" i="26"/>
  <c r="B101" i="26" s="1"/>
  <c r="C149" i="26"/>
  <c r="D149" i="26"/>
  <c r="B149" i="26" s="1"/>
  <c r="C161" i="26"/>
  <c r="D161" i="26"/>
  <c r="B161" i="26" s="1"/>
  <c r="C210" i="26"/>
  <c r="D210" i="26"/>
  <c r="B210" i="26" s="1"/>
  <c r="C167" i="26"/>
  <c r="D167" i="26"/>
  <c r="B167" i="26" s="1"/>
  <c r="C52" i="26"/>
  <c r="D52" i="26"/>
  <c r="B52" i="26" s="1"/>
  <c r="C104" i="26"/>
  <c r="D104" i="26"/>
  <c r="B104" i="26" s="1"/>
  <c r="C33" i="26"/>
  <c r="D33" i="26"/>
  <c r="B33" i="26" s="1"/>
  <c r="C111" i="26"/>
  <c r="D111" i="26"/>
  <c r="B111" i="26" s="1"/>
  <c r="C168" i="26"/>
  <c r="D168" i="26"/>
  <c r="B168" i="26" s="1"/>
  <c r="C27" i="26"/>
  <c r="D27" i="26"/>
  <c r="B27" i="26" s="1"/>
  <c r="C26" i="26"/>
  <c r="D26" i="26"/>
  <c r="B26" i="26" s="1"/>
  <c r="C82" i="26"/>
  <c r="D82" i="26"/>
  <c r="B82" i="26" s="1"/>
  <c r="C117" i="26"/>
  <c r="D117" i="26"/>
  <c r="B117" i="26" s="1"/>
  <c r="C230" i="26"/>
  <c r="D230" i="26"/>
  <c r="B230" i="26" s="1"/>
  <c r="C31" i="26"/>
  <c r="D31" i="26"/>
  <c r="B31" i="26" s="1"/>
  <c r="C92" i="26"/>
  <c r="D92" i="26"/>
  <c r="B92" i="26" s="1"/>
  <c r="C38" i="26"/>
  <c r="D38" i="26"/>
  <c r="B38" i="26" s="1"/>
  <c r="C107" i="26"/>
  <c r="D107" i="26"/>
  <c r="B107" i="26" s="1"/>
  <c r="C148" i="26"/>
  <c r="D148" i="26"/>
  <c r="B148" i="26" s="1"/>
  <c r="C157" i="26"/>
  <c r="D157" i="26"/>
  <c r="B157" i="26" s="1"/>
  <c r="C208" i="26"/>
  <c r="D208" i="26"/>
  <c r="B208" i="26" s="1"/>
  <c r="C118" i="26"/>
  <c r="D118" i="26"/>
  <c r="B118" i="26" s="1"/>
  <c r="C45" i="26"/>
  <c r="D45" i="26"/>
  <c r="B45" i="26" s="1"/>
  <c r="C127" i="26"/>
  <c r="D127" i="26"/>
  <c r="B127" i="26" s="1"/>
  <c r="C35" i="26"/>
  <c r="D35" i="26"/>
  <c r="B35" i="26" s="1"/>
  <c r="C106" i="26"/>
  <c r="D106" i="26"/>
  <c r="B106" i="26" s="1"/>
  <c r="C51" i="26"/>
  <c r="D51" i="26"/>
  <c r="B51" i="26" s="1"/>
  <c r="C162" i="26"/>
  <c r="D162" i="26"/>
  <c r="B162" i="26" s="1"/>
  <c r="C219" i="26"/>
  <c r="D219" i="26"/>
  <c r="B219" i="26" s="1"/>
  <c r="C171" i="26"/>
  <c r="D171" i="26"/>
  <c r="B171" i="26" s="1"/>
  <c r="C96" i="26"/>
  <c r="D96" i="26"/>
  <c r="B96" i="26" s="1"/>
  <c r="C21" i="9"/>
  <c r="D21" i="9"/>
  <c r="B21" i="9" s="1"/>
  <c r="C32" i="9"/>
  <c r="D32" i="9"/>
  <c r="B32" i="9" s="1"/>
  <c r="C24" i="9"/>
  <c r="D24" i="9"/>
  <c r="B24" i="9" s="1"/>
  <c r="C26" i="9"/>
  <c r="D26" i="9"/>
  <c r="B26" i="9" s="1"/>
  <c r="C25" i="9"/>
  <c r="D25" i="9"/>
  <c r="B25" i="9" s="1"/>
  <c r="C22" i="9"/>
  <c r="D22" i="9"/>
  <c r="B11" i="9"/>
  <c r="C11" i="9"/>
  <c r="B23" i="9"/>
  <c r="C23" i="9"/>
  <c r="AB176" i="30"/>
  <c r="B10" i="9"/>
  <c r="B9" i="9"/>
  <c r="B237" i="26"/>
  <c r="AE12" i="21" l="1"/>
  <c r="AP12" i="21" s="1"/>
  <c r="AD12" i="21"/>
  <c r="N57" i="8"/>
  <c r="W81" i="8"/>
  <c r="W64" i="8"/>
  <c r="W68" i="8"/>
  <c r="AF41" i="8"/>
  <c r="AF89" i="8"/>
  <c r="AF23" i="8"/>
  <c r="AF85" i="8"/>
  <c r="W51" i="8"/>
  <c r="AF53" i="8"/>
  <c r="AF54" i="8"/>
  <c r="W77" i="8"/>
  <c r="AF21" i="8"/>
  <c r="W83" i="8"/>
  <c r="AF62" i="8"/>
  <c r="AF10" i="8"/>
  <c r="W60" i="8"/>
  <c r="N87" i="8"/>
  <c r="AF12" i="8"/>
  <c r="W29" i="8"/>
  <c r="N42" i="8"/>
  <c r="AF61" i="8"/>
  <c r="AF69" i="8"/>
  <c r="AF71" i="8"/>
  <c r="W55" i="8"/>
  <c r="AF14" i="8"/>
  <c r="AF72" i="8"/>
  <c r="AF78" i="8"/>
  <c r="AF45" i="8"/>
  <c r="N26" i="8"/>
  <c r="N18" i="8"/>
  <c r="AF87" i="8"/>
  <c r="AF49" i="8"/>
  <c r="AF83" i="8"/>
  <c r="W87" i="8"/>
  <c r="W61" i="8"/>
  <c r="AF80" i="8"/>
  <c r="W70" i="8"/>
  <c r="N21" i="8"/>
  <c r="AF50" i="8"/>
  <c r="AF39" i="8"/>
  <c r="AF42" i="8"/>
  <c r="W39" i="8"/>
  <c r="AF47" i="8"/>
  <c r="N89" i="8"/>
  <c r="N53" i="8"/>
  <c r="W34" i="8"/>
  <c r="AF29" i="8"/>
  <c r="AF9" i="8"/>
  <c r="AF90" i="8"/>
  <c r="W30" i="8"/>
  <c r="AF84" i="8"/>
  <c r="W11" i="8"/>
  <c r="N49" i="8"/>
  <c r="N45" i="8"/>
  <c r="N73" i="8"/>
  <c r="N25" i="8"/>
  <c r="W76" i="8"/>
  <c r="AF11" i="8"/>
  <c r="W53" i="8"/>
  <c r="W42" i="8"/>
  <c r="AF40" i="8"/>
  <c r="N12" i="8"/>
  <c r="AF86" i="8"/>
  <c r="AF63" i="8"/>
  <c r="N72" i="8"/>
  <c r="AF18" i="8"/>
  <c r="AF88" i="8"/>
  <c r="N78" i="8"/>
  <c r="N9" i="8"/>
  <c r="W20" i="8"/>
  <c r="W86" i="8"/>
  <c r="W88" i="8"/>
  <c r="W84" i="8"/>
  <c r="N35" i="8"/>
  <c r="AF66" i="8"/>
  <c r="AF36" i="8"/>
  <c r="AF20" i="8"/>
  <c r="N43" i="8"/>
  <c r="W10" i="8"/>
  <c r="W32" i="8"/>
  <c r="W49" i="8"/>
  <c r="N28" i="8"/>
  <c r="W71" i="8"/>
  <c r="W57" i="8"/>
  <c r="W27" i="8"/>
  <c r="AF77" i="8"/>
  <c r="AF81" i="8"/>
  <c r="W38" i="8"/>
  <c r="N36" i="8"/>
  <c r="W44" i="8"/>
  <c r="N63" i="8"/>
  <c r="AF37" i="8"/>
  <c r="AF55" i="8"/>
  <c r="AF58" i="8"/>
  <c r="W35" i="8"/>
  <c r="W90" i="8"/>
  <c r="W59" i="8"/>
  <c r="W78" i="8"/>
  <c r="W37" i="8"/>
  <c r="N60" i="8"/>
  <c r="AF17" i="8"/>
  <c r="N85" i="8"/>
  <c r="W73" i="8"/>
  <c r="AF15" i="8"/>
  <c r="W80" i="8"/>
  <c r="N52" i="8"/>
  <c r="AF43" i="8"/>
  <c r="W62" i="8"/>
  <c r="N64" i="8"/>
  <c r="N38" i="8"/>
  <c r="N84" i="8"/>
  <c r="AF24" i="8"/>
  <c r="AF44" i="8"/>
  <c r="AF74" i="8"/>
  <c r="N30" i="8"/>
  <c r="AF56" i="8"/>
  <c r="N54" i="8"/>
  <c r="N48" i="8"/>
  <c r="W46" i="8"/>
  <c r="AF33" i="8"/>
  <c r="AF70" i="8"/>
  <c r="N58" i="8"/>
  <c r="N66" i="8"/>
  <c r="W43" i="8"/>
  <c r="N40" i="8"/>
  <c r="W85" i="8"/>
  <c r="N34" i="8"/>
  <c r="N70" i="8"/>
  <c r="N32" i="8"/>
  <c r="AF31" i="8"/>
  <c r="W75" i="8"/>
  <c r="W72" i="8"/>
  <c r="W74" i="8"/>
  <c r="W56" i="8"/>
  <c r="N71" i="8"/>
  <c r="N80" i="8"/>
  <c r="W79" i="8"/>
  <c r="AF19" i="8"/>
  <c r="AF26" i="8"/>
  <c r="AF46" i="8"/>
  <c r="AF35" i="8"/>
  <c r="AF27" i="8"/>
  <c r="N65" i="8"/>
  <c r="N82" i="8"/>
  <c r="AF57" i="8"/>
  <c r="W17" i="8"/>
  <c r="N31" i="8"/>
  <c r="N23" i="8"/>
  <c r="N19" i="8"/>
  <c r="N86" i="8"/>
  <c r="W23" i="8"/>
  <c r="N77" i="8"/>
  <c r="AF60" i="8"/>
  <c r="W48" i="8"/>
  <c r="W40" i="8"/>
  <c r="N15" i="8"/>
  <c r="N79" i="8"/>
  <c r="W26" i="8"/>
  <c r="W15" i="8"/>
  <c r="N61" i="8"/>
  <c r="AF52" i="8"/>
  <c r="W22" i="8"/>
  <c r="N13" i="8"/>
  <c r="N44" i="8"/>
  <c r="W45" i="8"/>
  <c r="W16" i="8"/>
  <c r="W9" i="8"/>
  <c r="AF38" i="8"/>
  <c r="AF30" i="8"/>
  <c r="AF51" i="8"/>
  <c r="AF59" i="8"/>
  <c r="N67" i="8"/>
  <c r="W12" i="8"/>
  <c r="N22" i="8"/>
  <c r="W18" i="8"/>
  <c r="AF16" i="8"/>
  <c r="N74" i="8"/>
  <c r="N24" i="8"/>
  <c r="N56" i="8"/>
  <c r="W89" i="8"/>
  <c r="W33" i="8"/>
  <c r="N27" i="8"/>
  <c r="N76" i="8"/>
  <c r="AF32" i="8"/>
  <c r="N62" i="8"/>
  <c r="W67" i="8"/>
  <c r="N83" i="8"/>
  <c r="W47" i="8"/>
  <c r="W25" i="8"/>
  <c r="N59" i="8"/>
  <c r="N68" i="8"/>
  <c r="AF79" i="8"/>
  <c r="N16" i="8"/>
  <c r="W65" i="8"/>
  <c r="AF67" i="8"/>
  <c r="AF73" i="8"/>
  <c r="W52" i="8"/>
  <c r="W58" i="8"/>
  <c r="AF82" i="8"/>
  <c r="AF34" i="8"/>
  <c r="W54" i="8"/>
  <c r="W69" i="8"/>
  <c r="W24" i="8"/>
  <c r="N81" i="8"/>
  <c r="W31" i="8"/>
  <c r="N29" i="8"/>
  <c r="AF68" i="8"/>
  <c r="W36" i="8"/>
  <c r="W50" i="8"/>
  <c r="N14" i="8"/>
  <c r="N90" i="8"/>
  <c r="N11" i="8"/>
  <c r="W63" i="8"/>
  <c r="W21" i="8"/>
  <c r="AF76" i="8"/>
  <c r="N37" i="8"/>
  <c r="W14" i="8"/>
  <c r="N69" i="8"/>
  <c r="W66" i="8"/>
  <c r="N47" i="8"/>
  <c r="N41" i="8"/>
  <c r="W13" i="8"/>
  <c r="AF75" i="8"/>
  <c r="AF13" i="8"/>
  <c r="AF25" i="8"/>
  <c r="AF28" i="8"/>
  <c r="AF22" i="8"/>
  <c r="N33" i="8"/>
  <c r="N50" i="8"/>
  <c r="AF65" i="8"/>
  <c r="N39" i="8"/>
  <c r="W82" i="8"/>
  <c r="W19" i="8"/>
  <c r="N46" i="8"/>
  <c r="W41" i="8"/>
  <c r="N51" i="8"/>
  <c r="N20" i="8"/>
  <c r="AF64" i="8"/>
  <c r="N75" i="8"/>
  <c r="N88" i="8"/>
  <c r="W28" i="8"/>
  <c r="N17" i="8"/>
  <c r="N55" i="8"/>
  <c r="N10" i="8"/>
  <c r="AF48" i="8"/>
  <c r="AE89" i="21"/>
  <c r="AP89" i="21" s="1"/>
  <c r="AE97" i="21"/>
  <c r="AP97" i="21" s="1"/>
  <c r="AE88" i="21"/>
  <c r="AP88" i="21" s="1"/>
  <c r="AE70" i="21"/>
  <c r="AP70" i="21" s="1"/>
  <c r="AE71" i="21"/>
  <c r="AP71" i="21" s="1"/>
  <c r="AE47" i="21"/>
  <c r="AP47" i="21" s="1"/>
  <c r="AE63" i="21"/>
  <c r="AP63" i="21" s="1"/>
  <c r="AE48" i="21"/>
  <c r="AP48" i="21" s="1"/>
  <c r="AD89" i="21"/>
  <c r="AD88" i="21"/>
  <c r="AD70" i="21"/>
  <c r="AD47" i="21"/>
  <c r="AD63" i="21"/>
  <c r="AD71" i="21"/>
  <c r="AD48" i="21"/>
  <c r="AD97" i="21"/>
  <c r="M9" i="8"/>
  <c r="AC176" i="30"/>
  <c r="AE52" i="8"/>
  <c r="Y88" i="8"/>
  <c r="Y23" i="8"/>
  <c r="G62" i="8"/>
  <c r="AE89" i="8"/>
  <c r="Y42" i="8"/>
  <c r="Y10" i="8"/>
  <c r="P23" i="8"/>
  <c r="AE65" i="8"/>
  <c r="AE11" i="8"/>
  <c r="V29" i="8"/>
  <c r="AE81" i="8"/>
  <c r="V50" i="8"/>
  <c r="P84" i="8"/>
  <c r="G77" i="8"/>
  <c r="V41" i="8"/>
  <c r="P69" i="8"/>
  <c r="G50" i="8"/>
  <c r="G21" i="8"/>
  <c r="V55" i="8"/>
  <c r="V90" i="8"/>
  <c r="Y59" i="8"/>
  <c r="V76" i="8"/>
  <c r="Y81" i="8"/>
  <c r="G13" i="8"/>
  <c r="M32" i="8"/>
  <c r="G14" i="8"/>
  <c r="Y22" i="8"/>
  <c r="M78" i="8"/>
  <c r="Y57" i="8"/>
  <c r="Y13" i="8"/>
  <c r="Y53" i="8"/>
  <c r="Y76" i="8"/>
  <c r="P76" i="8"/>
  <c r="V80" i="8"/>
  <c r="M10" i="8"/>
  <c r="P46" i="8"/>
  <c r="V37" i="8"/>
  <c r="M61" i="8"/>
  <c r="AE35" i="8"/>
  <c r="V67" i="8"/>
  <c r="V89" i="8"/>
  <c r="M57" i="8"/>
  <c r="AE15" i="8"/>
  <c r="AE85" i="8"/>
  <c r="AE42" i="8"/>
  <c r="V33" i="8"/>
  <c r="M55" i="8"/>
  <c r="V11" i="8"/>
  <c r="AE22" i="8"/>
  <c r="M19" i="8"/>
  <c r="G78" i="8"/>
  <c r="AE63" i="8"/>
  <c r="AE39" i="8"/>
  <c r="P32" i="8"/>
  <c r="Y33" i="8"/>
  <c r="M54" i="8"/>
  <c r="M68" i="8"/>
  <c r="AE27" i="8"/>
  <c r="Y74" i="8"/>
  <c r="G19" i="8"/>
  <c r="V12" i="8"/>
  <c r="G71" i="8"/>
  <c r="AE67" i="8"/>
  <c r="M76" i="8"/>
  <c r="G90" i="8"/>
  <c r="V19" i="8"/>
  <c r="V81" i="8"/>
  <c r="Y36" i="8"/>
  <c r="M20" i="8"/>
  <c r="Y19" i="8"/>
  <c r="G70" i="8"/>
  <c r="Y60" i="8"/>
  <c r="Y73" i="8"/>
  <c r="P47" i="8"/>
  <c r="V52" i="8"/>
  <c r="G30" i="8"/>
  <c r="AE20" i="8"/>
  <c r="AE59" i="8"/>
  <c r="AE30" i="8"/>
  <c r="V16" i="8"/>
  <c r="P21" i="8"/>
  <c r="V30" i="8"/>
  <c r="M41" i="8"/>
  <c r="P19" i="8"/>
  <c r="P10" i="8"/>
  <c r="G23" i="8"/>
  <c r="M31" i="8"/>
  <c r="AE71" i="8"/>
  <c r="M87" i="8"/>
  <c r="G80" i="8"/>
  <c r="G48" i="8"/>
  <c r="V66" i="8"/>
  <c r="V25" i="8"/>
  <c r="P25" i="8"/>
  <c r="P22" i="8"/>
  <c r="V27" i="8"/>
  <c r="M44" i="8"/>
  <c r="AE58" i="8"/>
  <c r="G25" i="8"/>
  <c r="Y90" i="8"/>
  <c r="M77" i="8"/>
  <c r="AE60" i="8"/>
  <c r="G84" i="8"/>
  <c r="P66" i="8"/>
  <c r="AE14" i="8"/>
  <c r="G75" i="8"/>
  <c r="G85" i="8"/>
  <c r="Y52" i="8"/>
  <c r="M84" i="8"/>
  <c r="P43" i="8"/>
  <c r="P42" i="8"/>
  <c r="P52" i="8"/>
  <c r="V84" i="8"/>
  <c r="AE16" i="8"/>
  <c r="V65" i="8"/>
  <c r="P51" i="8"/>
  <c r="G29" i="8"/>
  <c r="AE19" i="8"/>
  <c r="P61" i="8"/>
  <c r="V87" i="8"/>
  <c r="M40" i="8"/>
  <c r="V88" i="8"/>
  <c r="AE66" i="8"/>
  <c r="M12" i="8"/>
  <c r="M33" i="8"/>
  <c r="G18" i="8"/>
  <c r="P26" i="8"/>
  <c r="M14" i="8"/>
  <c r="Y12" i="8"/>
  <c r="M85" i="8"/>
  <c r="G12" i="8"/>
  <c r="Y64" i="8"/>
  <c r="G87" i="8"/>
  <c r="Y32" i="8"/>
  <c r="Y87" i="8"/>
  <c r="P64" i="8"/>
  <c r="P18" i="8"/>
  <c r="AE17" i="8"/>
  <c r="M62" i="8"/>
  <c r="V9" i="8"/>
  <c r="Y35" i="8"/>
  <c r="Y38" i="8"/>
  <c r="P83" i="8"/>
  <c r="Y78" i="8"/>
  <c r="AE74" i="8"/>
  <c r="Y50" i="8"/>
  <c r="Y30" i="8"/>
  <c r="G89" i="8"/>
  <c r="P89" i="8"/>
  <c r="AE70" i="8"/>
  <c r="P54" i="8"/>
  <c r="AE45" i="8"/>
  <c r="M58" i="8"/>
  <c r="V54" i="8"/>
  <c r="Y25" i="8"/>
  <c r="P38" i="8"/>
  <c r="M66" i="8"/>
  <c r="G45" i="8"/>
  <c r="Y18" i="8"/>
  <c r="G83" i="8"/>
  <c r="V43" i="8"/>
  <c r="P75" i="8"/>
  <c r="M24" i="8"/>
  <c r="Y47" i="8"/>
  <c r="AE31" i="8"/>
  <c r="G47" i="8"/>
  <c r="AE64" i="8"/>
  <c r="P65" i="8"/>
  <c r="G41" i="8"/>
  <c r="G33" i="8"/>
  <c r="M35" i="8"/>
  <c r="AE13" i="8"/>
  <c r="V53" i="8"/>
  <c r="V13" i="8"/>
  <c r="V15" i="8"/>
  <c r="V73" i="8"/>
  <c r="V40" i="8"/>
  <c r="V47" i="8"/>
  <c r="M72" i="8"/>
  <c r="V20" i="8"/>
  <c r="V70" i="8"/>
  <c r="M38" i="8"/>
  <c r="G57" i="8"/>
  <c r="P60" i="8"/>
  <c r="Y16" i="8"/>
  <c r="V22" i="8"/>
  <c r="P17" i="8"/>
  <c r="Y41" i="8"/>
  <c r="M28" i="8"/>
  <c r="M42" i="8"/>
  <c r="G27" i="8"/>
  <c r="V68" i="8"/>
  <c r="V57" i="8"/>
  <c r="G82" i="8"/>
  <c r="AE54" i="8"/>
  <c r="P68" i="8"/>
  <c r="AE50" i="8"/>
  <c r="Y45" i="8"/>
  <c r="V28" i="8"/>
  <c r="Y83" i="8"/>
  <c r="Y56" i="8"/>
  <c r="AE79" i="8"/>
  <c r="V35" i="8"/>
  <c r="M90" i="8"/>
  <c r="Y27" i="8"/>
  <c r="AE53" i="8"/>
  <c r="G65" i="8"/>
  <c r="P74" i="8"/>
  <c r="Q31" i="8"/>
  <c r="P56" i="8"/>
  <c r="Y55" i="8"/>
  <c r="V39" i="8"/>
  <c r="M67" i="8"/>
  <c r="M53" i="8"/>
  <c r="M36" i="8"/>
  <c r="G76" i="8"/>
  <c r="P70" i="8"/>
  <c r="G10" i="8"/>
  <c r="P45" i="8"/>
  <c r="M34" i="8"/>
  <c r="M75" i="8"/>
  <c r="G60" i="8"/>
  <c r="M74" i="8"/>
  <c r="P67" i="8"/>
  <c r="Y68" i="8"/>
  <c r="V45" i="8"/>
  <c r="AE68" i="8"/>
  <c r="P37" i="8"/>
  <c r="G38" i="8"/>
  <c r="G20" i="8"/>
  <c r="AE75" i="8"/>
  <c r="P73" i="8"/>
  <c r="P79" i="8"/>
  <c r="AE88" i="8"/>
  <c r="V63" i="8"/>
  <c r="H23" i="8"/>
  <c r="Z17" i="8"/>
  <c r="Z42" i="8"/>
  <c r="Q10" i="8"/>
  <c r="H41" i="8"/>
  <c r="Z13" i="8"/>
  <c r="H64" i="8"/>
  <c r="Z43" i="8"/>
  <c r="Q14" i="8"/>
  <c r="H27" i="8"/>
  <c r="Z63" i="8"/>
  <c r="Q23" i="8"/>
  <c r="Q24" i="8"/>
  <c r="Z44" i="8"/>
  <c r="Q78" i="8"/>
  <c r="H58" i="8"/>
  <c r="H39" i="8"/>
  <c r="Q90" i="8"/>
  <c r="Z78" i="8"/>
  <c r="H89" i="8"/>
  <c r="Z19" i="8"/>
  <c r="Z55" i="8"/>
  <c r="H28" i="8"/>
  <c r="Z34" i="8"/>
  <c r="Z46" i="8"/>
  <c r="Z83" i="8"/>
  <c r="H47" i="8"/>
  <c r="Q54" i="8"/>
  <c r="Q21" i="8"/>
  <c r="H56" i="8"/>
  <c r="Q39" i="8"/>
  <c r="H63" i="8"/>
  <c r="Q59" i="8"/>
  <c r="Q66" i="8"/>
  <c r="H66" i="8"/>
  <c r="Q18" i="8"/>
  <c r="Q49" i="8"/>
  <c r="Z49" i="8"/>
  <c r="H90" i="8"/>
  <c r="Q62" i="8"/>
  <c r="Q17" i="8"/>
  <c r="H15" i="8"/>
  <c r="Q75" i="8"/>
  <c r="Q79" i="8"/>
  <c r="Z80" i="8"/>
  <c r="H30" i="8"/>
  <c r="B9" i="26"/>
  <c r="H61" i="8"/>
  <c r="H33" i="8"/>
  <c r="Q57" i="8"/>
  <c r="H75" i="8"/>
  <c r="H24" i="8"/>
  <c r="Z32" i="8"/>
  <c r="H38" i="8"/>
  <c r="H60" i="8"/>
  <c r="Q34" i="8"/>
  <c r="Z90" i="8"/>
  <c r="Q77" i="8"/>
  <c r="H20" i="8"/>
  <c r="Z40" i="8"/>
  <c r="H62" i="8"/>
  <c r="H40" i="8"/>
  <c r="H35" i="8"/>
  <c r="Q44" i="8"/>
  <c r="H37" i="8"/>
  <c r="Q26" i="8"/>
  <c r="Z86" i="8"/>
  <c r="Q60" i="8"/>
  <c r="Z50" i="8"/>
  <c r="H81" i="8"/>
  <c r="H18" i="8"/>
  <c r="H71" i="8"/>
  <c r="H10" i="8"/>
  <c r="Q53" i="8"/>
  <c r="Z67" i="8"/>
  <c r="Q42" i="8"/>
  <c r="Z70" i="8"/>
  <c r="H85" i="8"/>
  <c r="Q43" i="8"/>
  <c r="H19" i="8"/>
  <c r="Q22" i="8"/>
  <c r="Z30" i="8"/>
  <c r="H12" i="8"/>
  <c r="H42" i="8"/>
  <c r="Z66" i="8"/>
  <c r="Z88" i="8"/>
  <c r="Q32" i="8"/>
  <c r="Q11" i="8"/>
  <c r="Z61" i="8"/>
  <c r="Z45" i="8"/>
  <c r="Q16" i="8"/>
  <c r="Q19" i="8"/>
  <c r="H79" i="8"/>
  <c r="Q56" i="8"/>
  <c r="Q72" i="8"/>
  <c r="Q89" i="8"/>
  <c r="H13" i="8"/>
  <c r="H17" i="8"/>
  <c r="Q68" i="8"/>
  <c r="H14" i="8"/>
  <c r="Q82" i="8"/>
  <c r="Z23" i="8"/>
  <c r="Q81" i="8"/>
  <c r="Q51" i="8"/>
  <c r="H55" i="8"/>
  <c r="Z73" i="8"/>
  <c r="H74" i="8"/>
  <c r="H88" i="8"/>
  <c r="Q84" i="8"/>
  <c r="H57" i="8"/>
  <c r="Z89" i="8"/>
  <c r="Z76" i="8"/>
  <c r="Q67" i="8"/>
  <c r="H67" i="8"/>
  <c r="Q58" i="8"/>
  <c r="H78" i="8"/>
  <c r="Q74" i="8"/>
  <c r="Z36" i="8"/>
  <c r="Z21" i="8"/>
  <c r="H70" i="8"/>
  <c r="Z10" i="8"/>
  <c r="Q73" i="8"/>
  <c r="Z28" i="8"/>
  <c r="H31" i="8"/>
  <c r="Z48" i="8"/>
  <c r="Q64" i="8"/>
  <c r="P39" i="8"/>
  <c r="Z64" i="8"/>
  <c r="G88" i="8"/>
  <c r="Z79" i="8"/>
  <c r="G63" i="8"/>
  <c r="H87" i="8"/>
  <c r="H54" i="8"/>
  <c r="Q13" i="8"/>
  <c r="Q37" i="8"/>
  <c r="H45" i="8"/>
  <c r="Z84" i="8"/>
  <c r="H25" i="8"/>
  <c r="Z51" i="8"/>
  <c r="Z74" i="8"/>
  <c r="H49" i="8"/>
  <c r="Z68" i="8"/>
  <c r="Z14" i="8"/>
  <c r="Q50" i="8"/>
  <c r="Q30" i="8"/>
  <c r="Z62" i="8"/>
  <c r="Z59" i="8"/>
  <c r="Z12" i="8"/>
  <c r="H16" i="8"/>
  <c r="Q65" i="8"/>
  <c r="H50" i="8"/>
  <c r="H34" i="8"/>
  <c r="Q27" i="8"/>
  <c r="Z75" i="8"/>
  <c r="Q29" i="8"/>
  <c r="Q83" i="8"/>
  <c r="AE80" i="8"/>
  <c r="Q40" i="8"/>
  <c r="Y20" i="8"/>
  <c r="V59" i="8"/>
  <c r="G51" i="8"/>
  <c r="Y17" i="8"/>
  <c r="Y70" i="8"/>
  <c r="M89" i="8"/>
  <c r="Y89" i="8"/>
  <c r="G86" i="8"/>
  <c r="G36" i="8"/>
  <c r="P86" i="8"/>
  <c r="P59" i="8"/>
  <c r="AE73" i="8"/>
  <c r="M17" i="8"/>
  <c r="Y86" i="8"/>
  <c r="G11" i="8"/>
  <c r="P12" i="8"/>
  <c r="P20" i="8"/>
  <c r="AE21" i="8"/>
  <c r="G59" i="8"/>
  <c r="V44" i="8"/>
  <c r="G26" i="8"/>
  <c r="G58" i="8"/>
  <c r="AE28" i="8"/>
  <c r="V86" i="8"/>
  <c r="P11" i="8"/>
  <c r="V36" i="8"/>
  <c r="P28" i="8"/>
  <c r="AE29" i="8"/>
  <c r="P90" i="8"/>
  <c r="AE9" i="8"/>
  <c r="Y29" i="8"/>
  <c r="G22" i="8"/>
  <c r="AE76" i="8"/>
  <c r="P57" i="8"/>
  <c r="M15" i="8"/>
  <c r="AE90" i="8"/>
  <c r="M82" i="8"/>
  <c r="V69" i="8"/>
  <c r="Y85" i="8"/>
  <c r="AE12" i="8"/>
  <c r="AE83" i="8"/>
  <c r="M60" i="8"/>
  <c r="M51" i="8"/>
  <c r="Y62" i="8"/>
  <c r="G61" i="8"/>
  <c r="V79" i="8"/>
  <c r="P55" i="8"/>
  <c r="V32" i="8"/>
  <c r="AE23" i="8"/>
  <c r="Q88" i="8"/>
  <c r="Z87" i="8"/>
  <c r="H80" i="8"/>
  <c r="Q47" i="8"/>
  <c r="H48" i="8"/>
  <c r="Q71" i="8"/>
  <c r="Z71" i="8"/>
  <c r="Q63" i="8"/>
  <c r="Q48" i="8"/>
  <c r="Z72" i="8"/>
  <c r="V71" i="8"/>
  <c r="Q87" i="8"/>
  <c r="G79" i="8"/>
  <c r="Z39" i="8"/>
  <c r="V48" i="8"/>
  <c r="M64" i="8"/>
  <c r="Y71" i="8"/>
  <c r="H72" i="8"/>
  <c r="Q69" i="8"/>
  <c r="H44" i="8"/>
  <c r="Z11" i="8"/>
  <c r="Q52" i="8"/>
  <c r="Z22" i="8"/>
  <c r="Z77" i="8"/>
  <c r="Z52" i="8"/>
  <c r="Q33" i="8"/>
  <c r="H82" i="8"/>
  <c r="Q76" i="8"/>
  <c r="Z57" i="8"/>
  <c r="Q41" i="8"/>
  <c r="H84" i="8"/>
  <c r="Z54" i="8"/>
  <c r="H11" i="8"/>
  <c r="Q9" i="8"/>
  <c r="Z16" i="8"/>
  <c r="Z65" i="8"/>
  <c r="H29" i="8"/>
  <c r="H76" i="8"/>
  <c r="H59" i="8"/>
  <c r="H9" i="8"/>
  <c r="Z41" i="8"/>
  <c r="Q20" i="8"/>
  <c r="M47" i="8"/>
  <c r="M80" i="8"/>
  <c r="AE24" i="8"/>
  <c r="M11" i="8"/>
  <c r="Y66" i="8"/>
  <c r="V21" i="8"/>
  <c r="M13" i="8"/>
  <c r="Y77" i="8"/>
  <c r="M30" i="8"/>
  <c r="M65" i="8"/>
  <c r="Y69" i="8"/>
  <c r="Y58" i="8"/>
  <c r="G54" i="8"/>
  <c r="AE69" i="8"/>
  <c r="AE84" i="8"/>
  <c r="P62" i="8"/>
  <c r="M52" i="8"/>
  <c r="M69" i="8"/>
  <c r="AE43" i="8"/>
  <c r="AE36" i="8"/>
  <c r="G15" i="8"/>
  <c r="Y37" i="8"/>
  <c r="Y46" i="8"/>
  <c r="P33" i="8"/>
  <c r="AE57" i="8"/>
  <c r="Y11" i="8"/>
  <c r="V38" i="8"/>
  <c r="V34" i="8"/>
  <c r="G37" i="8"/>
  <c r="M26" i="8"/>
  <c r="G17" i="8"/>
  <c r="G28" i="8"/>
  <c r="Y51" i="8"/>
  <c r="P34" i="8"/>
  <c r="M86" i="8"/>
  <c r="P85" i="8"/>
  <c r="G67" i="8"/>
  <c r="V26" i="8"/>
  <c r="M18" i="8"/>
  <c r="V10" i="8"/>
  <c r="G42" i="8"/>
  <c r="P14" i="8"/>
  <c r="G49" i="8"/>
  <c r="V62" i="8"/>
  <c r="M70" i="8"/>
  <c r="V61" i="8"/>
  <c r="G43" i="8"/>
  <c r="AE61" i="8"/>
  <c r="Y43" i="8"/>
  <c r="V72" i="8"/>
  <c r="M23" i="8"/>
  <c r="G39" i="8"/>
  <c r="V64" i="8"/>
  <c r="AE87" i="8"/>
  <c r="B22" i="9"/>
  <c r="P40" i="8"/>
  <c r="P48" i="8"/>
  <c r="Y24" i="8"/>
  <c r="M48" i="8"/>
  <c r="M56" i="8"/>
  <c r="AE72" i="8"/>
  <c r="P24" i="8"/>
  <c r="AE47" i="8"/>
  <c r="V56" i="8"/>
  <c r="P63" i="8"/>
  <c r="G56" i="8"/>
  <c r="Y79" i="8"/>
  <c r="P80" i="8"/>
  <c r="M79" i="8"/>
  <c r="M71" i="8"/>
  <c r="G31" i="8"/>
  <c r="P72" i="8"/>
  <c r="Y40" i="8"/>
  <c r="Y48" i="8"/>
  <c r="G64" i="8"/>
  <c r="Y31" i="8"/>
  <c r="G72" i="8"/>
  <c r="P71" i="8"/>
  <c r="Z56" i="8"/>
  <c r="Z85" i="8"/>
  <c r="Z15" i="8"/>
  <c r="H46" i="8"/>
  <c r="Z81" i="8"/>
  <c r="Z69" i="8"/>
  <c r="H21" i="8"/>
  <c r="Z82" i="8"/>
  <c r="Q85" i="8"/>
  <c r="Q61" i="8"/>
  <c r="Z25" i="8"/>
  <c r="Z27" i="8"/>
  <c r="H22" i="8"/>
  <c r="Q12" i="8"/>
  <c r="Z37" i="8"/>
  <c r="Q15" i="8"/>
  <c r="Z18" i="8"/>
  <c r="Q25" i="8"/>
  <c r="Q36" i="8"/>
  <c r="Z29" i="8"/>
  <c r="Q86" i="8"/>
  <c r="H26" i="8"/>
  <c r="Z38" i="8"/>
  <c r="H73" i="8"/>
  <c r="Z20" i="8"/>
  <c r="V23" i="8"/>
  <c r="G32" i="8"/>
  <c r="V24" i="8"/>
  <c r="M46" i="8"/>
  <c r="G74" i="8"/>
  <c r="M27" i="8"/>
  <c r="Y84" i="8"/>
  <c r="M29" i="8"/>
  <c r="G68" i="8"/>
  <c r="P58" i="8"/>
  <c r="P16" i="8"/>
  <c r="Y15" i="8"/>
  <c r="G53" i="8"/>
  <c r="G34" i="8"/>
  <c r="Y65" i="8"/>
  <c r="Y14" i="8"/>
  <c r="Y21" i="8"/>
  <c r="V18" i="8"/>
  <c r="AE44" i="8"/>
  <c r="AE78" i="8"/>
  <c r="Y49" i="8"/>
  <c r="V78" i="8"/>
  <c r="M22" i="8"/>
  <c r="M45" i="8"/>
  <c r="V17" i="8"/>
  <c r="P82" i="8"/>
  <c r="G44" i="8"/>
  <c r="AE33" i="8"/>
  <c r="V77" i="8"/>
  <c r="AE38" i="8"/>
  <c r="AE51" i="8"/>
  <c r="Y34" i="8"/>
  <c r="V42" i="8"/>
  <c r="P35" i="8"/>
  <c r="P27" i="8"/>
  <c r="Y26" i="8"/>
  <c r="M50" i="8"/>
  <c r="M73" i="8"/>
  <c r="AE34" i="8"/>
  <c r="M37" i="8"/>
  <c r="Y67" i="8"/>
  <c r="AE26" i="8"/>
  <c r="V49" i="8"/>
  <c r="M25" i="8"/>
  <c r="G52" i="8"/>
  <c r="G46" i="8"/>
  <c r="AE49" i="8"/>
  <c r="AE10" i="8"/>
  <c r="M43" i="8"/>
  <c r="V82" i="8"/>
  <c r="Y61" i="8"/>
  <c r="Y75" i="8"/>
  <c r="P41" i="8"/>
  <c r="V75" i="8"/>
  <c r="AE32" i="8"/>
  <c r="P87" i="8"/>
  <c r="G24" i="8"/>
  <c r="AE40" i="8"/>
  <c r="Y80" i="8"/>
  <c r="M39" i="8"/>
  <c r="P88" i="8"/>
  <c r="Z31" i="8"/>
  <c r="Z47" i="8"/>
  <c r="Q80" i="8"/>
  <c r="G40" i="8"/>
  <c r="Y72" i="8"/>
  <c r="P31" i="8"/>
  <c r="Z24" i="8"/>
  <c r="Z26" i="8"/>
  <c r="Q28" i="8"/>
  <c r="Z58" i="8"/>
  <c r="Z53" i="8"/>
  <c r="Z33" i="8"/>
  <c r="H65" i="8"/>
  <c r="H86" i="8"/>
  <c r="Q45" i="8"/>
  <c r="Q70" i="8"/>
  <c r="H53" i="8"/>
  <c r="H52" i="8"/>
  <c r="Z35" i="8"/>
  <c r="Z9" i="8"/>
  <c r="H69" i="8"/>
  <c r="H36" i="8"/>
  <c r="Q38" i="8"/>
  <c r="H77" i="8"/>
  <c r="Q46" i="8"/>
  <c r="H51" i="8"/>
  <c r="Q35" i="8"/>
  <c r="H68" i="8"/>
  <c r="Z60" i="8"/>
  <c r="H83" i="8"/>
  <c r="H43" i="8"/>
  <c r="M88" i="8"/>
  <c r="G55" i="8"/>
  <c r="AE56" i="8"/>
  <c r="M63" i="8"/>
  <c r="V74" i="8"/>
  <c r="P78" i="8"/>
  <c r="G16" i="8"/>
  <c r="M21" i="8"/>
  <c r="P53" i="8"/>
  <c r="V51" i="8"/>
  <c r="P50" i="8"/>
  <c r="G81" i="8"/>
  <c r="P13" i="8"/>
  <c r="Y9" i="8"/>
  <c r="G66" i="8"/>
  <c r="Y54" i="8"/>
  <c r="P36" i="8"/>
  <c r="G35" i="8"/>
  <c r="P15" i="8"/>
  <c r="Y28" i="8"/>
  <c r="AE86" i="8"/>
  <c r="M49" i="8"/>
  <c r="P9" i="8"/>
  <c r="V85" i="8"/>
  <c r="P49" i="8"/>
  <c r="Y44" i="8"/>
  <c r="P77" i="8"/>
  <c r="G69" i="8"/>
  <c r="AE77" i="8"/>
  <c r="V58" i="8"/>
  <c r="P81" i="8"/>
  <c r="V83" i="8"/>
  <c r="P44" i="8"/>
  <c r="M16" i="8"/>
  <c r="V46" i="8"/>
  <c r="M81" i="8"/>
  <c r="V60" i="8"/>
  <c r="M83" i="8"/>
  <c r="AE37" i="8"/>
  <c r="V14" i="8"/>
  <c r="M59" i="8"/>
  <c r="AE46" i="8"/>
  <c r="P30" i="8"/>
  <c r="AE25" i="8"/>
  <c r="AE18" i="8"/>
  <c r="P29" i="8"/>
  <c r="Y82" i="8"/>
  <c r="G73" i="8"/>
  <c r="AE82" i="8"/>
  <c r="AE62" i="8"/>
  <c r="AE41" i="8"/>
  <c r="Y39" i="8"/>
  <c r="V31" i="8"/>
  <c r="AE48" i="8"/>
  <c r="Y63" i="8"/>
  <c r="H32" i="8"/>
  <c r="AE55" i="8"/>
  <c r="Q55" i="8"/>
  <c r="S176" i="30"/>
  <c r="T176" i="30"/>
  <c r="G9" i="8"/>
  <c r="J176" i="30"/>
  <c r="K176" i="30"/>
  <c r="N161" i="8" l="1"/>
  <c r="M159" i="8"/>
  <c r="M168" i="8"/>
  <c r="H144" i="8"/>
  <c r="H166" i="8"/>
  <c r="M162" i="8"/>
  <c r="G163" i="8"/>
  <c r="N172" i="8"/>
  <c r="G150" i="8"/>
  <c r="N144" i="8"/>
  <c r="M166" i="8"/>
  <c r="H172" i="8"/>
  <c r="H151" i="8"/>
  <c r="M153" i="8"/>
  <c r="G148" i="8"/>
  <c r="G170" i="8"/>
  <c r="N158" i="8"/>
  <c r="M156" i="8"/>
  <c r="N145" i="8"/>
  <c r="M157" i="8"/>
  <c r="H163" i="8"/>
  <c r="M149" i="8"/>
  <c r="G160" i="8"/>
  <c r="N152" i="8"/>
  <c r="M174" i="8"/>
  <c r="H161" i="8"/>
  <c r="H159" i="8"/>
  <c r="M160" i="8"/>
  <c r="G156" i="8"/>
  <c r="G145" i="8"/>
  <c r="N166" i="8"/>
  <c r="M133" i="8"/>
  <c r="M102" i="8"/>
  <c r="H110" i="8"/>
  <c r="N111" i="8"/>
  <c r="M107" i="8"/>
  <c r="G115" i="8"/>
  <c r="M118" i="8"/>
  <c r="G126" i="8"/>
  <c r="H120" i="8"/>
  <c r="G123" i="8"/>
  <c r="G141" i="8"/>
  <c r="N125" i="8"/>
  <c r="G122" i="8"/>
  <c r="G103" i="8"/>
  <c r="H119" i="8"/>
  <c r="H101" i="8"/>
  <c r="H130" i="8"/>
  <c r="M138" i="8"/>
  <c r="G139" i="8"/>
  <c r="H113" i="8"/>
  <c r="H109" i="8"/>
  <c r="H114" i="8"/>
  <c r="N100" i="8"/>
  <c r="H104" i="8"/>
  <c r="G98" i="8"/>
  <c r="M94" i="8"/>
  <c r="G108" i="8"/>
  <c r="N116" i="8"/>
  <c r="N96" i="8"/>
  <c r="M99" i="8"/>
  <c r="G133" i="8"/>
  <c r="G102" i="8"/>
  <c r="M110" i="8"/>
  <c r="G111" i="8"/>
  <c r="N107" i="8"/>
  <c r="H115" i="8"/>
  <c r="N118" i="8"/>
  <c r="H126" i="8"/>
  <c r="M120" i="8"/>
  <c r="H123" i="8"/>
  <c r="N141" i="8"/>
  <c r="M121" i="8"/>
  <c r="G117" i="8"/>
  <c r="H106" i="8"/>
  <c r="G95" i="8"/>
  <c r="G131" i="8"/>
  <c r="H121" i="8"/>
  <c r="N117" i="8"/>
  <c r="M106" i="8"/>
  <c r="M95" i="8"/>
  <c r="H93" i="8"/>
  <c r="M164" i="8"/>
  <c r="N165" i="8"/>
  <c r="N167" i="8"/>
  <c r="H171" i="8"/>
  <c r="H150" i="8"/>
  <c r="G168" i="8"/>
  <c r="G147" i="8"/>
  <c r="N159" i="8"/>
  <c r="M154" i="8"/>
  <c r="M171" i="8"/>
  <c r="M150" i="8"/>
  <c r="H156" i="8"/>
  <c r="H145" i="8"/>
  <c r="N147" i="8"/>
  <c r="G153" i="8"/>
  <c r="G154" i="8"/>
  <c r="G166" i="8"/>
  <c r="N173" i="8"/>
  <c r="N162" i="8"/>
  <c r="H168" i="8"/>
  <c r="H147" i="8"/>
  <c r="N171" i="8"/>
  <c r="G144" i="8"/>
  <c r="N169" i="8"/>
  <c r="M158" i="8"/>
  <c r="H164" i="8"/>
  <c r="H165" i="8"/>
  <c r="N163" i="8"/>
  <c r="G173" i="8"/>
  <c r="G162" i="8"/>
  <c r="N150" i="8"/>
  <c r="N134" i="8"/>
  <c r="G135" i="8"/>
  <c r="H97" i="8"/>
  <c r="M143" i="8"/>
  <c r="N105" i="8"/>
  <c r="M124" i="8"/>
  <c r="G132" i="8"/>
  <c r="N142" i="8"/>
  <c r="G128" i="8"/>
  <c r="G127" i="8"/>
  <c r="M140" i="8"/>
  <c r="N114" i="8"/>
  <c r="G100" i="8"/>
  <c r="N104" i="8"/>
  <c r="H98" i="8"/>
  <c r="N94" i="8"/>
  <c r="H108" i="8"/>
  <c r="M116" i="8"/>
  <c r="M96" i="8"/>
  <c r="N99" i="8"/>
  <c r="H133" i="8"/>
  <c r="H102" i="8"/>
  <c r="N110" i="8"/>
  <c r="H111" i="8"/>
  <c r="G107" i="8"/>
  <c r="M115" i="8"/>
  <c r="G118" i="8"/>
  <c r="M126" i="8"/>
  <c r="N120" i="8"/>
  <c r="M123" i="8"/>
  <c r="G134" i="8"/>
  <c r="H135" i="8"/>
  <c r="N97" i="8"/>
  <c r="N143" i="8"/>
  <c r="M105" i="8"/>
  <c r="G124" i="8"/>
  <c r="H132" i="8"/>
  <c r="G142" i="8"/>
  <c r="H128" i="8"/>
  <c r="H127" i="8"/>
  <c r="G140" i="8"/>
  <c r="M137" i="8"/>
  <c r="M136" i="8"/>
  <c r="M129" i="8"/>
  <c r="H112" i="8"/>
  <c r="N140" i="8"/>
  <c r="H137" i="8"/>
  <c r="H136" i="8"/>
  <c r="H129" i="8"/>
  <c r="N112" i="8"/>
  <c r="G93" i="8"/>
  <c r="M148" i="8"/>
  <c r="N170" i="8"/>
  <c r="H149" i="8"/>
  <c r="H155" i="8"/>
  <c r="N148" i="8"/>
  <c r="G152" i="8"/>
  <c r="G174" i="8"/>
  <c r="M146" i="8"/>
  <c r="N149" i="8"/>
  <c r="M155" i="8"/>
  <c r="N156" i="8"/>
  <c r="H173" i="8"/>
  <c r="H162" i="8"/>
  <c r="G161" i="8"/>
  <c r="G159" i="8"/>
  <c r="N164" i="8"/>
  <c r="M170" i="8"/>
  <c r="M167" i="8"/>
  <c r="N146" i="8"/>
  <c r="H152" i="8"/>
  <c r="H174" i="8"/>
  <c r="M145" i="8"/>
  <c r="G171" i="8"/>
  <c r="M163" i="8"/>
  <c r="M161" i="8"/>
  <c r="H148" i="8"/>
  <c r="H170" i="8"/>
  <c r="N174" i="8"/>
  <c r="G167" i="8"/>
  <c r="G146" i="8"/>
  <c r="G157" i="8"/>
  <c r="M125" i="8"/>
  <c r="H122" i="8"/>
  <c r="H103" i="8"/>
  <c r="M119" i="8"/>
  <c r="N101" i="8"/>
  <c r="N130" i="8"/>
  <c r="G138" i="8"/>
  <c r="H139" i="8"/>
  <c r="N113" i="8"/>
  <c r="N109" i="8"/>
  <c r="N133" i="8"/>
  <c r="N102" i="8"/>
  <c r="G110" i="8"/>
  <c r="M111" i="8"/>
  <c r="H107" i="8"/>
  <c r="N115" i="8"/>
  <c r="H118" i="8"/>
  <c r="N126" i="8"/>
  <c r="G120" i="8"/>
  <c r="N123" i="8"/>
  <c r="H134" i="8"/>
  <c r="M135" i="8"/>
  <c r="M97" i="8"/>
  <c r="G143" i="8"/>
  <c r="G105" i="8"/>
  <c r="H124" i="8"/>
  <c r="M132" i="8"/>
  <c r="H142" i="8"/>
  <c r="M128" i="8"/>
  <c r="M127" i="8"/>
  <c r="H125" i="8"/>
  <c r="N122" i="8"/>
  <c r="M103" i="8"/>
  <c r="N119" i="8"/>
  <c r="M101" i="8"/>
  <c r="M130" i="8"/>
  <c r="H138" i="8"/>
  <c r="M139" i="8"/>
  <c r="M113" i="8"/>
  <c r="M109" i="8"/>
  <c r="N106" i="8"/>
  <c r="H95" i="8"/>
  <c r="N131" i="8"/>
  <c r="N121" i="8"/>
  <c r="M117" i="8"/>
  <c r="G106" i="8"/>
  <c r="N95" i="8"/>
  <c r="M141" i="8"/>
  <c r="G121" i="8"/>
  <c r="H117" i="8"/>
  <c r="N93" i="8"/>
  <c r="N153" i="8"/>
  <c r="N154" i="8"/>
  <c r="H160" i="8"/>
  <c r="H157" i="8"/>
  <c r="N155" i="8"/>
  <c r="G169" i="8"/>
  <c r="G158" i="8"/>
  <c r="G155" i="8"/>
  <c r="N160" i="8"/>
  <c r="N157" i="8"/>
  <c r="N151" i="8"/>
  <c r="H167" i="8"/>
  <c r="H146" i="8"/>
  <c r="G164" i="8"/>
  <c r="G165" i="8"/>
  <c r="M165" i="8"/>
  <c r="M172" i="8"/>
  <c r="M151" i="8"/>
  <c r="M144" i="8"/>
  <c r="H169" i="8"/>
  <c r="H158" i="8"/>
  <c r="G149" i="8"/>
  <c r="N168" i="8"/>
  <c r="M147" i="8"/>
  <c r="M169" i="8"/>
  <c r="H153" i="8"/>
  <c r="H154" i="8"/>
  <c r="G172" i="8"/>
  <c r="G151" i="8"/>
  <c r="M173" i="8"/>
  <c r="M152" i="8"/>
  <c r="M114" i="8"/>
  <c r="H100" i="8"/>
  <c r="M104" i="8"/>
  <c r="M98" i="8"/>
  <c r="G94" i="8"/>
  <c r="N108" i="8"/>
  <c r="G116" i="8"/>
  <c r="G96" i="8"/>
  <c r="G99" i="8"/>
  <c r="H131" i="8"/>
  <c r="M134" i="8"/>
  <c r="N135" i="8"/>
  <c r="G97" i="8"/>
  <c r="H143" i="8"/>
  <c r="H105" i="8"/>
  <c r="N124" i="8"/>
  <c r="N132" i="8"/>
  <c r="M142" i="8"/>
  <c r="N128" i="8"/>
  <c r="N127" i="8"/>
  <c r="G125" i="8"/>
  <c r="M122" i="8"/>
  <c r="N103" i="8"/>
  <c r="G119" i="8"/>
  <c r="G101" i="8"/>
  <c r="G130" i="8"/>
  <c r="N138" i="8"/>
  <c r="N139" i="8"/>
  <c r="G113" i="8"/>
  <c r="G109" i="8"/>
  <c r="G114" i="8"/>
  <c r="M100" i="8"/>
  <c r="G104" i="8"/>
  <c r="N98" i="8"/>
  <c r="H94" i="8"/>
  <c r="M108" i="8"/>
  <c r="H116" i="8"/>
  <c r="H96" i="8"/>
  <c r="H99" i="8"/>
  <c r="M131" i="8"/>
  <c r="G129" i="8"/>
  <c r="M112" i="8"/>
  <c r="H141" i="8"/>
  <c r="N137" i="8"/>
  <c r="N136" i="8"/>
  <c r="N129" i="8"/>
  <c r="G112" i="8"/>
  <c r="H140" i="8"/>
  <c r="G137" i="8"/>
  <c r="G136" i="8"/>
  <c r="M93" i="8"/>
  <c r="AD4" i="21"/>
  <c r="AB70" i="21"/>
  <c r="C70" i="21"/>
  <c r="AB48" i="21"/>
  <c r="C48" i="21"/>
  <c r="AB63" i="21"/>
  <c r="C63" i="21"/>
  <c r="AB88" i="21"/>
  <c r="C88" i="21"/>
  <c r="C47" i="21"/>
  <c r="AE4" i="21"/>
  <c r="AB71" i="21"/>
  <c r="C71" i="21"/>
  <c r="AB97" i="21"/>
  <c r="C97" i="21"/>
  <c r="AB89" i="21"/>
  <c r="C89" i="21"/>
  <c r="AB12" i="21"/>
  <c r="C12" i="21"/>
  <c r="AF132" i="8"/>
  <c r="V164" i="8"/>
  <c r="P148" i="8"/>
  <c r="Y140" i="8"/>
  <c r="AE107" i="8"/>
  <c r="P171" i="8"/>
  <c r="AF130" i="8"/>
  <c r="AF149" i="8"/>
  <c r="W159" i="8"/>
  <c r="AE157" i="8"/>
  <c r="P124" i="8"/>
  <c r="V94" i="8"/>
  <c r="V141" i="8"/>
  <c r="Q110" i="8"/>
  <c r="P95" i="8"/>
  <c r="V167" i="8"/>
  <c r="Z108" i="8"/>
  <c r="AE117" i="8"/>
  <c r="Y172" i="8"/>
  <c r="Z124" i="8"/>
  <c r="V137" i="8"/>
  <c r="AE115" i="8"/>
  <c r="Y141" i="8"/>
  <c r="Y143" i="8"/>
  <c r="P168" i="8"/>
  <c r="Y126" i="8"/>
  <c r="AF161" i="8"/>
  <c r="AF126" i="8"/>
  <c r="Z139" i="8"/>
  <c r="Y166" i="8"/>
  <c r="P165" i="8"/>
  <c r="P115" i="8"/>
  <c r="V133" i="8"/>
  <c r="Z113" i="8"/>
  <c r="Z111" i="8"/>
  <c r="V156" i="8"/>
  <c r="Y154" i="8"/>
  <c r="Z151" i="8"/>
  <c r="Z170" i="8"/>
  <c r="V123" i="8"/>
  <c r="P122" i="8"/>
  <c r="Y136" i="8"/>
  <c r="AE169" i="8"/>
  <c r="W93" i="8"/>
  <c r="Z114" i="8"/>
  <c r="Q141" i="8"/>
  <c r="V151" i="8"/>
  <c r="Y93" i="8"/>
  <c r="Q95" i="8"/>
  <c r="Y148" i="8"/>
  <c r="W168" i="8"/>
  <c r="AE155" i="8"/>
  <c r="Z137" i="8"/>
  <c r="V140" i="8"/>
  <c r="Q117" i="8"/>
  <c r="P162" i="8"/>
  <c r="W160" i="8"/>
  <c r="Y130" i="8"/>
  <c r="AE116" i="8"/>
  <c r="Y144" i="8"/>
  <c r="AF151" i="8"/>
  <c r="AE153" i="8"/>
  <c r="AF107" i="8"/>
  <c r="P173" i="8"/>
  <c r="Q114" i="8"/>
  <c r="AF124" i="8"/>
  <c r="W110" i="8"/>
  <c r="W127" i="8"/>
  <c r="W136" i="8"/>
  <c r="W130" i="8"/>
  <c r="W155" i="8"/>
  <c r="Z118" i="8"/>
  <c r="Q121" i="8"/>
  <c r="Q172" i="8"/>
  <c r="W141" i="8"/>
  <c r="Q123" i="8"/>
  <c r="V127" i="8"/>
  <c r="W124" i="8"/>
  <c r="Z142" i="8"/>
  <c r="Z164" i="8"/>
  <c r="AF145" i="8"/>
  <c r="Q108" i="8"/>
  <c r="Q139" i="8"/>
  <c r="AE130" i="8"/>
  <c r="Z115" i="8"/>
  <c r="AE122" i="8"/>
  <c r="V162" i="8"/>
  <c r="Z122" i="8"/>
  <c r="AE156" i="8"/>
  <c r="V148" i="8"/>
  <c r="AE93" i="8"/>
  <c r="AE95" i="8"/>
  <c r="Q164" i="8"/>
  <c r="Q137" i="8"/>
  <c r="Z169" i="8"/>
  <c r="Y149" i="8"/>
  <c r="P170" i="8"/>
  <c r="Z104" i="8"/>
  <c r="AE139" i="8"/>
  <c r="P128" i="8"/>
  <c r="P133" i="8"/>
  <c r="P120" i="8"/>
  <c r="P137" i="8"/>
  <c r="Z110" i="8"/>
  <c r="Z153" i="8"/>
  <c r="P164" i="8"/>
  <c r="AE120" i="8"/>
  <c r="Q125" i="8"/>
  <c r="Z134" i="8"/>
  <c r="Z162" i="8"/>
  <c r="Z126" i="8"/>
  <c r="AE137" i="8"/>
  <c r="V97" i="8"/>
  <c r="Y116" i="8"/>
  <c r="P127" i="8"/>
  <c r="V160" i="8"/>
  <c r="W98" i="8"/>
  <c r="W162" i="8"/>
  <c r="W170" i="8"/>
  <c r="W126" i="8"/>
  <c r="AF167" i="8"/>
  <c r="Z146" i="8"/>
  <c r="AE138" i="8"/>
  <c r="Q156" i="8"/>
  <c r="P99" i="8"/>
  <c r="Z157" i="8"/>
  <c r="Y147" i="8"/>
  <c r="P98" i="8"/>
  <c r="Z102" i="8"/>
  <c r="AF152" i="8"/>
  <c r="V106" i="8"/>
  <c r="Y118" i="8"/>
  <c r="AE134" i="8"/>
  <c r="AE102" i="8"/>
  <c r="AE160" i="8"/>
  <c r="Z160" i="8"/>
  <c r="P101" i="8"/>
  <c r="AF105" i="8"/>
  <c r="AF162" i="8"/>
  <c r="W152" i="8"/>
  <c r="AF133" i="8"/>
  <c r="AE135" i="8"/>
  <c r="Z133" i="8"/>
  <c r="P123" i="8"/>
  <c r="W135" i="8"/>
  <c r="P102" i="8"/>
  <c r="V136" i="8"/>
  <c r="W117" i="8"/>
  <c r="Q159" i="8"/>
  <c r="AF120" i="8"/>
  <c r="Y109" i="8"/>
  <c r="AE109" i="8"/>
  <c r="AF160" i="8"/>
  <c r="AE152" i="8"/>
  <c r="Z156" i="8"/>
  <c r="AE98" i="8"/>
  <c r="AF158" i="8"/>
  <c r="P144" i="8"/>
  <c r="AF119" i="8"/>
  <c r="AE133" i="8"/>
  <c r="Z131" i="8"/>
  <c r="Q99" i="8"/>
  <c r="P134" i="8"/>
  <c r="Q157" i="8"/>
  <c r="Q146" i="8"/>
  <c r="Y170" i="8"/>
  <c r="W143" i="8"/>
  <c r="AE94" i="8"/>
  <c r="AF128" i="8"/>
  <c r="AE128" i="8"/>
  <c r="Z132" i="8"/>
  <c r="Q93" i="8"/>
  <c r="P129" i="8"/>
  <c r="AF154" i="8"/>
  <c r="V96" i="8"/>
  <c r="AF117" i="8"/>
  <c r="AE173" i="8"/>
  <c r="AE121" i="8"/>
  <c r="Z173" i="8"/>
  <c r="Y115" i="8"/>
  <c r="V129" i="8"/>
  <c r="Q153" i="8"/>
  <c r="Q142" i="8"/>
  <c r="V105" i="8"/>
  <c r="Z155" i="8"/>
  <c r="V116" i="8"/>
  <c r="P96" i="8"/>
  <c r="Z152" i="8"/>
  <c r="Q148" i="8"/>
  <c r="Z120" i="8"/>
  <c r="Q140" i="8"/>
  <c r="V99" i="8"/>
  <c r="AE148" i="8"/>
  <c r="P138" i="8"/>
  <c r="P167" i="8"/>
  <c r="AE151" i="8"/>
  <c r="Y117" i="8"/>
  <c r="AE119" i="8"/>
  <c r="V125" i="8"/>
  <c r="W153" i="8"/>
  <c r="W106" i="8"/>
  <c r="W121" i="8"/>
  <c r="W139" i="8"/>
  <c r="Q115" i="8"/>
  <c r="AF140" i="8"/>
  <c r="AE142" i="8"/>
  <c r="AE124" i="8"/>
  <c r="Z128" i="8"/>
  <c r="Y168" i="8"/>
  <c r="W119" i="8"/>
  <c r="AF150" i="8"/>
  <c r="AF97" i="8"/>
  <c r="AE171" i="8"/>
  <c r="AE97" i="8"/>
  <c r="Z171" i="8"/>
  <c r="AE110" i="8"/>
  <c r="Q127" i="8"/>
  <c r="W161" i="8"/>
  <c r="Q151" i="8"/>
  <c r="Q116" i="8"/>
  <c r="V103" i="8"/>
  <c r="V174" i="8"/>
  <c r="V170" i="8"/>
  <c r="AF135" i="8"/>
  <c r="AF147" i="8"/>
  <c r="AF131" i="8"/>
  <c r="AF115" i="8"/>
  <c r="AF168" i="8"/>
  <c r="AF122" i="8"/>
  <c r="AF104" i="8"/>
  <c r="Z93" i="8"/>
  <c r="W148" i="8"/>
  <c r="Z174" i="8"/>
  <c r="Z109" i="8"/>
  <c r="Z154" i="8"/>
  <c r="Z112" i="8"/>
  <c r="Y158" i="8"/>
  <c r="V159" i="8"/>
  <c r="Z130" i="8"/>
  <c r="AF172" i="8"/>
  <c r="Z107" i="8"/>
  <c r="Z138" i="8"/>
  <c r="AF99" i="8"/>
  <c r="AE170" i="8"/>
  <c r="AE103" i="8"/>
  <c r="AF93" i="8"/>
  <c r="AE144" i="8"/>
  <c r="AF111" i="8"/>
  <c r="P130" i="8"/>
  <c r="Z148" i="8"/>
  <c r="Z116" i="8"/>
  <c r="P139" i="8"/>
  <c r="Y164" i="8"/>
  <c r="Y132" i="8"/>
  <c r="V171" i="8"/>
  <c r="P100" i="8"/>
  <c r="V93" i="8"/>
  <c r="AF146" i="8"/>
  <c r="AE114" i="8"/>
  <c r="P135" i="8"/>
  <c r="AF159" i="8"/>
  <c r="AF143" i="8"/>
  <c r="AF127" i="8"/>
  <c r="Y111" i="8"/>
  <c r="W158" i="8"/>
  <c r="P119" i="8"/>
  <c r="AE167" i="8"/>
  <c r="AE149" i="8"/>
  <c r="AE131" i="8"/>
  <c r="AF110" i="8"/>
  <c r="V158" i="8"/>
  <c r="W118" i="8"/>
  <c r="Z167" i="8"/>
  <c r="Z149" i="8"/>
  <c r="Z127" i="8"/>
  <c r="Q174" i="8"/>
  <c r="W103" i="8"/>
  <c r="Y165" i="8"/>
  <c r="Y133" i="8"/>
  <c r="V173" i="8"/>
  <c r="W102" i="8"/>
  <c r="Y108" i="8"/>
  <c r="P157" i="8"/>
  <c r="V121" i="8"/>
  <c r="Y105" i="8"/>
  <c r="P154" i="8"/>
  <c r="P118" i="8"/>
  <c r="AF96" i="8"/>
  <c r="Q145" i="8"/>
  <c r="V108" i="8"/>
  <c r="Z94" i="8"/>
  <c r="V142" i="8"/>
  <c r="P105" i="8"/>
  <c r="Q132" i="8"/>
  <c r="Q100" i="8"/>
  <c r="W174" i="8"/>
  <c r="AF114" i="8"/>
  <c r="AF136" i="8"/>
  <c r="AF116" i="8"/>
  <c r="AF118" i="8"/>
  <c r="Y162" i="8"/>
  <c r="P112" i="8"/>
  <c r="Z166" i="8"/>
  <c r="Z95" i="8"/>
  <c r="V134" i="8"/>
  <c r="Y150" i="8"/>
  <c r="W142" i="8"/>
  <c r="Z103" i="8"/>
  <c r="AF144" i="8"/>
  <c r="AF164" i="8"/>
  <c r="W172" i="8"/>
  <c r="AF113" i="8"/>
  <c r="V130" i="8"/>
  <c r="AE162" i="8"/>
  <c r="V168" i="8"/>
  <c r="AE172" i="8"/>
  <c r="AE140" i="8"/>
  <c r="AF106" i="8"/>
  <c r="P121" i="8"/>
  <c r="P93" i="8"/>
  <c r="Z144" i="8"/>
  <c r="AE111" i="8"/>
  <c r="W129" i="8"/>
  <c r="Y160" i="8"/>
  <c r="Y128" i="8"/>
  <c r="V163" i="8"/>
  <c r="AF174" i="8"/>
  <c r="AF142" i="8"/>
  <c r="AF109" i="8"/>
  <c r="W125" i="8"/>
  <c r="AF173" i="8"/>
  <c r="AF157" i="8"/>
  <c r="AF141" i="8"/>
  <c r="AF125" i="8"/>
  <c r="AF108" i="8"/>
  <c r="W154" i="8"/>
  <c r="V114" i="8"/>
  <c r="AE165" i="8"/>
  <c r="AE147" i="8"/>
  <c r="AE127" i="8"/>
  <c r="AE108" i="8"/>
  <c r="V154" i="8"/>
  <c r="P114" i="8"/>
  <c r="Z165" i="8"/>
  <c r="Z147" i="8"/>
  <c r="Z125" i="8"/>
  <c r="Q170" i="8"/>
  <c r="V98" i="8"/>
  <c r="Y163" i="8"/>
  <c r="Y131" i="8"/>
  <c r="V169" i="8"/>
  <c r="Q97" i="8"/>
  <c r="Y106" i="8"/>
  <c r="P155" i="8"/>
  <c r="Q119" i="8"/>
  <c r="Y103" i="8"/>
  <c r="P152" i="8"/>
  <c r="W115" i="8"/>
  <c r="AF94" i="8"/>
  <c r="P143" i="8"/>
  <c r="W105" i="8"/>
  <c r="Q173" i="8"/>
  <c r="P140" i="8"/>
  <c r="V102" i="8"/>
  <c r="Q130" i="8"/>
  <c r="Q98" i="8"/>
  <c r="AF165" i="8"/>
  <c r="Y174" i="8"/>
  <c r="Y173" i="8"/>
  <c r="V107" i="8"/>
  <c r="W95" i="8"/>
  <c r="Q102" i="8"/>
  <c r="Q118" i="8"/>
  <c r="Q134" i="8"/>
  <c r="W107" i="8"/>
  <c r="V126" i="8"/>
  <c r="W144" i="8"/>
  <c r="Q161" i="8"/>
  <c r="Z96" i="8"/>
  <c r="P111" i="8"/>
  <c r="Q129" i="8"/>
  <c r="V147" i="8"/>
  <c r="W163" i="8"/>
  <c r="AF98" i="8"/>
  <c r="W100" i="8"/>
  <c r="V120" i="8"/>
  <c r="W138" i="8"/>
  <c r="P156" i="8"/>
  <c r="P172" i="8"/>
  <c r="Y107" i="8"/>
  <c r="W104" i="8"/>
  <c r="W123" i="8"/>
  <c r="P142" i="8"/>
  <c r="P159" i="8"/>
  <c r="Y94" i="8"/>
  <c r="Y110" i="8"/>
  <c r="P108" i="8"/>
  <c r="P145" i="8"/>
  <c r="AE96" i="8"/>
  <c r="Y119" i="8"/>
  <c r="Y135" i="8"/>
  <c r="Y151" i="8"/>
  <c r="Y167" i="8"/>
  <c r="P109" i="8"/>
  <c r="W145" i="8"/>
  <c r="Z97" i="8"/>
  <c r="Z119" i="8"/>
  <c r="Z135" i="8"/>
  <c r="V109" i="8"/>
  <c r="Q104" i="8"/>
  <c r="Q120" i="8"/>
  <c r="Q136" i="8"/>
  <c r="V110" i="8"/>
  <c r="W128" i="8"/>
  <c r="P147" i="8"/>
  <c r="Q163" i="8"/>
  <c r="Z98" i="8"/>
  <c r="Q113" i="8"/>
  <c r="V131" i="8"/>
  <c r="W149" i="8"/>
  <c r="W165" i="8"/>
  <c r="AF100" i="8"/>
  <c r="Q103" i="8"/>
  <c r="W122" i="8"/>
  <c r="P141" i="8"/>
  <c r="P158" i="8"/>
  <c r="P174" i="8"/>
  <c r="Q107" i="8"/>
  <c r="P126" i="8"/>
  <c r="V144" i="8"/>
  <c r="P161" i="8"/>
  <c r="Y96" i="8"/>
  <c r="Y112" i="8"/>
  <c r="P113" i="8"/>
  <c r="V149" i="8"/>
  <c r="AE100" i="8"/>
  <c r="Y121" i="8"/>
  <c r="Y137" i="8"/>
  <c r="Y153" i="8"/>
  <c r="Y169" i="8"/>
  <c r="W113" i="8"/>
  <c r="Q150" i="8"/>
  <c r="Z101" i="8"/>
  <c r="Z121" i="8"/>
  <c r="V95" i="8"/>
  <c r="Q106" i="8"/>
  <c r="Q122" i="8"/>
  <c r="Q138" i="8"/>
  <c r="W112" i="8"/>
  <c r="P131" i="8"/>
  <c r="Q149" i="8"/>
  <c r="Q165" i="8"/>
  <c r="Z100" i="8"/>
  <c r="W94" i="8"/>
  <c r="V115" i="8"/>
  <c r="W133" i="8"/>
  <c r="W151" i="8"/>
  <c r="W167" i="8"/>
  <c r="AF102" i="8"/>
  <c r="P106" i="8"/>
  <c r="P125" i="8"/>
  <c r="Q143" i="8"/>
  <c r="P160" i="8"/>
  <c r="Y95" i="8"/>
  <c r="P110" i="8"/>
  <c r="V128" i="8"/>
  <c r="W146" i="8"/>
  <c r="P163" i="8"/>
  <c r="Y98" i="8"/>
  <c r="Y114" i="8"/>
  <c r="V117" i="8"/>
  <c r="V153" i="8"/>
  <c r="AE104" i="8"/>
  <c r="Y123" i="8"/>
  <c r="Y139" i="8"/>
  <c r="Y155" i="8"/>
  <c r="Y171" i="8"/>
  <c r="V118" i="8"/>
  <c r="Q154" i="8"/>
  <c r="V101" i="8"/>
  <c r="Q96" i="8"/>
  <c r="Q112" i="8"/>
  <c r="Q128" i="8"/>
  <c r="Q144" i="8"/>
  <c r="W99" i="8"/>
  <c r="V119" i="8"/>
  <c r="W137" i="8"/>
  <c r="Q155" i="8"/>
  <c r="Q171" i="8"/>
  <c r="Z106" i="8"/>
  <c r="P103" i="8"/>
  <c r="V122" i="8"/>
  <c r="W140" i="8"/>
  <c r="W157" i="8"/>
  <c r="W173" i="8"/>
  <c r="V113" i="8"/>
  <c r="W131" i="8"/>
  <c r="P150" i="8"/>
  <c r="P166" i="8"/>
  <c r="Y101" i="8"/>
  <c r="W96" i="8"/>
  <c r="P117" i="8"/>
  <c r="Q135" i="8"/>
  <c r="P153" i="8"/>
  <c r="P169" i="8"/>
  <c r="Y104" i="8"/>
  <c r="Q131" i="8"/>
  <c r="V165" i="8"/>
  <c r="AE112" i="8"/>
  <c r="Y129" i="8"/>
  <c r="Y145" i="8"/>
  <c r="Y161" i="8"/>
  <c r="P132" i="8"/>
  <c r="Q166" i="8"/>
  <c r="AF112" i="8"/>
  <c r="Z129" i="8"/>
  <c r="Z145" i="8"/>
  <c r="Z161" i="8"/>
  <c r="V132" i="8"/>
  <c r="V166" i="8"/>
  <c r="Y113" i="8"/>
  <c r="AE129" i="8"/>
  <c r="AE145" i="8"/>
  <c r="AE161" i="8"/>
  <c r="W132" i="8"/>
  <c r="W166" i="8"/>
  <c r="Y138" i="8"/>
  <c r="AE150" i="8"/>
  <c r="Z158" i="8"/>
  <c r="Q160" i="8"/>
  <c r="Y146" i="8"/>
  <c r="AE166" i="8"/>
  <c r="Y142" i="8"/>
  <c r="V124" i="8"/>
  <c r="Q168" i="8"/>
  <c r="W164" i="8"/>
  <c r="AF156" i="8"/>
  <c r="W156" i="8"/>
  <c r="Q152" i="8"/>
  <c r="AE154" i="8"/>
  <c r="V152" i="8"/>
  <c r="AE168" i="8"/>
  <c r="AE136" i="8"/>
  <c r="AE99" i="8"/>
  <c r="W111" i="8"/>
  <c r="Z172" i="8"/>
  <c r="Z140" i="8"/>
  <c r="AE106" i="8"/>
  <c r="W120" i="8"/>
  <c r="W101" i="8"/>
  <c r="Y156" i="8"/>
  <c r="Y124" i="8"/>
  <c r="V155" i="8"/>
  <c r="AF170" i="8"/>
  <c r="AF138" i="8"/>
  <c r="AF103" i="8"/>
  <c r="W116" i="8"/>
  <c r="AF171" i="8"/>
  <c r="AF155" i="8"/>
  <c r="AF139" i="8"/>
  <c r="AF123" i="8"/>
  <c r="AE105" i="8"/>
  <c r="W150" i="8"/>
  <c r="W109" i="8"/>
  <c r="AE163" i="8"/>
  <c r="AE143" i="8"/>
  <c r="AE125" i="8"/>
  <c r="Z105" i="8"/>
  <c r="V150" i="8"/>
  <c r="Q109" i="8"/>
  <c r="Z163" i="8"/>
  <c r="Z143" i="8"/>
  <c r="Z123" i="8"/>
  <c r="Q162" i="8"/>
  <c r="Y159" i="8"/>
  <c r="Y127" i="8"/>
  <c r="V161" i="8"/>
  <c r="Y102" i="8"/>
  <c r="P151" i="8"/>
  <c r="W114" i="8"/>
  <c r="Y99" i="8"/>
  <c r="W147" i="8"/>
  <c r="Q111" i="8"/>
  <c r="W171" i="8"/>
  <c r="V138" i="8"/>
  <c r="V100" i="8"/>
  <c r="Q169" i="8"/>
  <c r="V135" i="8"/>
  <c r="P97" i="8"/>
  <c r="Q126" i="8"/>
  <c r="Q94" i="8"/>
  <c r="AF163" i="8"/>
  <c r="AF129" i="8"/>
  <c r="AE113" i="8"/>
  <c r="AE118" i="8"/>
  <c r="Z150" i="8"/>
  <c r="V143" i="8"/>
  <c r="Y122" i="8"/>
  <c r="AE126" i="8"/>
  <c r="Y134" i="8"/>
  <c r="Q105" i="8"/>
  <c r="P116" i="8"/>
  <c r="AE158" i="8"/>
  <c r="AF148" i="8"/>
  <c r="V139" i="8"/>
  <c r="AE174" i="8"/>
  <c r="AE146" i="8"/>
  <c r="W134" i="8"/>
  <c r="AE164" i="8"/>
  <c r="AE132" i="8"/>
  <c r="V172" i="8"/>
  <c r="Q101" i="8"/>
  <c r="Z168" i="8"/>
  <c r="Z136" i="8"/>
  <c r="Z99" i="8"/>
  <c r="V111" i="8"/>
  <c r="Y152" i="8"/>
  <c r="Y120" i="8"/>
  <c r="Q147" i="8"/>
  <c r="AF166" i="8"/>
  <c r="AF134" i="8"/>
  <c r="AF95" i="8"/>
  <c r="P107" i="8"/>
  <c r="AF169" i="8"/>
  <c r="AF153" i="8"/>
  <c r="AF137" i="8"/>
  <c r="AF121" i="8"/>
  <c r="AF101" i="8"/>
  <c r="V146" i="8"/>
  <c r="V104" i="8"/>
  <c r="AE159" i="8"/>
  <c r="AE141" i="8"/>
  <c r="AE123" i="8"/>
  <c r="AE101" i="8"/>
  <c r="P146" i="8"/>
  <c r="P104" i="8"/>
  <c r="Z159" i="8"/>
  <c r="Z141" i="8"/>
  <c r="Z117" i="8"/>
  <c r="Q158" i="8"/>
  <c r="Y157" i="8"/>
  <c r="Y125" i="8"/>
  <c r="V157" i="8"/>
  <c r="Y100" i="8"/>
  <c r="P149" i="8"/>
  <c r="V112" i="8"/>
  <c r="Y97" i="8"/>
  <c r="V145" i="8"/>
  <c r="W108" i="8"/>
  <c r="W169" i="8"/>
  <c r="P136" i="8"/>
  <c r="W97" i="8"/>
  <c r="Q167" i="8"/>
  <c r="Q133" i="8"/>
  <c r="P94" i="8"/>
  <c r="Q124" i="8"/>
  <c r="AB47" i="21"/>
  <c r="A77" i="8"/>
  <c r="C77" i="8" s="1"/>
  <c r="A53" i="8"/>
  <c r="C53" i="8" s="1"/>
  <c r="A59" i="8"/>
  <c r="C59" i="8" s="1"/>
  <c r="A84" i="8"/>
  <c r="C84" i="8" s="1"/>
  <c r="A16" i="8"/>
  <c r="C16" i="8" s="1"/>
  <c r="A54" i="8"/>
  <c r="C54" i="8" s="1"/>
  <c r="A70" i="8"/>
  <c r="C70" i="8" s="1"/>
  <c r="A30" i="8"/>
  <c r="C30" i="8" s="1"/>
  <c r="A63" i="8"/>
  <c r="C63" i="8" s="1"/>
  <c r="A58" i="8"/>
  <c r="C58" i="8" s="1"/>
  <c r="A32" i="8"/>
  <c r="C32" i="8" s="1"/>
  <c r="A29" i="8"/>
  <c r="C29" i="8" s="1"/>
  <c r="A69" i="8"/>
  <c r="C69" i="8" s="1"/>
  <c r="A50" i="8"/>
  <c r="A27" i="8"/>
  <c r="C27" i="8" s="1"/>
  <c r="A49" i="8"/>
  <c r="C49" i="8" s="1"/>
  <c r="A71" i="8"/>
  <c r="C71" i="8" s="1"/>
  <c r="A61" i="8"/>
  <c r="C61" i="8" s="1"/>
  <c r="A60" i="8"/>
  <c r="C60" i="8" s="1"/>
  <c r="A57" i="8"/>
  <c r="C57" i="8" s="1"/>
  <c r="A83" i="8"/>
  <c r="C83" i="8" s="1"/>
  <c r="A86" i="8"/>
  <c r="C86" i="8" s="1"/>
  <c r="A73" i="8"/>
  <c r="C73" i="8" s="1"/>
  <c r="A44" i="8"/>
  <c r="C44" i="8" s="1"/>
  <c r="A25" i="8"/>
  <c r="C25" i="8" s="1"/>
  <c r="A87" i="8"/>
  <c r="C87" i="8" s="1"/>
  <c r="A79" i="8"/>
  <c r="C79" i="8" s="1"/>
  <c r="A62" i="8"/>
  <c r="C62" i="8" s="1"/>
  <c r="A41" i="8"/>
  <c r="C41" i="8" s="1"/>
  <c r="A76" i="8"/>
  <c r="C76" i="8" s="1"/>
  <c r="A90" i="8"/>
  <c r="C90" i="8" s="1"/>
  <c r="A64" i="8"/>
  <c r="C64" i="8" s="1"/>
  <c r="A48" i="8"/>
  <c r="C48" i="8" s="1"/>
  <c r="A81" i="8"/>
  <c r="C81" i="8" s="1"/>
  <c r="A56" i="8"/>
  <c r="C56" i="8" s="1"/>
  <c r="A65" i="8"/>
  <c r="C65" i="8" s="1"/>
  <c r="A21" i="8"/>
  <c r="C21" i="8" s="1"/>
  <c r="A82" i="8"/>
  <c r="C82" i="8" s="1"/>
  <c r="A80" i="8"/>
  <c r="C80" i="8" s="1"/>
  <c r="A31" i="8"/>
  <c r="C31" i="8" s="1"/>
  <c r="A88" i="8"/>
  <c r="C88" i="8" s="1"/>
  <c r="A14" i="8"/>
  <c r="C14" i="8" s="1"/>
  <c r="A42" i="8"/>
  <c r="C42" i="8" s="1"/>
  <c r="A24" i="8"/>
  <c r="C24" i="8" s="1"/>
  <c r="A89" i="8"/>
  <c r="C89" i="8" s="1"/>
  <c r="A19" i="8"/>
  <c r="C19" i="8" s="1"/>
  <c r="A28" i="8"/>
  <c r="A43" i="8"/>
  <c r="A85" i="8"/>
  <c r="C85" i="8" s="1"/>
  <c r="A36" i="8"/>
  <c r="C36" i="8" s="1"/>
  <c r="A26" i="8"/>
  <c r="C26" i="8" s="1"/>
  <c r="A72" i="8"/>
  <c r="C72" i="8" s="1"/>
  <c r="A34" i="8"/>
  <c r="A45" i="8"/>
  <c r="C45" i="8" s="1"/>
  <c r="A74" i="8"/>
  <c r="C74" i="8" s="1"/>
  <c r="A12" i="8"/>
  <c r="A20" i="8"/>
  <c r="C20" i="8" s="1"/>
  <c r="A75" i="8"/>
  <c r="C75" i="8" s="1"/>
  <c r="A47" i="8"/>
  <c r="C47" i="8" s="1"/>
  <c r="A22" i="8"/>
  <c r="C22" i="8" s="1"/>
  <c r="A11" i="8"/>
  <c r="C11" i="8" s="1"/>
  <c r="A17" i="8"/>
  <c r="C17" i="8" s="1"/>
  <c r="A15" i="8"/>
  <c r="C15" i="8" s="1"/>
  <c r="A52" i="8"/>
  <c r="C52" i="8" s="1"/>
  <c r="A46" i="8"/>
  <c r="C46" i="8" s="1"/>
  <c r="A9" i="8"/>
  <c r="A55" i="8"/>
  <c r="C55" i="8" s="1"/>
  <c r="A10" i="8"/>
  <c r="A37" i="8"/>
  <c r="C37" i="8" s="1"/>
  <c r="A33" i="8"/>
  <c r="C33" i="8" s="1"/>
  <c r="A39" i="8"/>
  <c r="C39" i="8" s="1"/>
  <c r="A23" i="8"/>
  <c r="C23" i="8" s="1"/>
  <c r="D12" i="21" l="1"/>
  <c r="E12" i="21"/>
  <c r="A106" i="8"/>
  <c r="C106" i="8" s="1"/>
  <c r="A100" i="8"/>
  <c r="C100" i="8" s="1"/>
  <c r="A133" i="8"/>
  <c r="C133" i="8" s="1"/>
  <c r="A174" i="8"/>
  <c r="C174" i="8" s="1"/>
  <c r="A122" i="8"/>
  <c r="C122" i="8" s="1"/>
  <c r="A128" i="8"/>
  <c r="C128" i="8" s="1"/>
  <c r="A103" i="8"/>
  <c r="C103" i="8" s="1"/>
  <c r="A117" i="8"/>
  <c r="C117" i="8" s="1"/>
  <c r="A111" i="8"/>
  <c r="C111" i="8" s="1"/>
  <c r="A123" i="8"/>
  <c r="C123" i="8" s="1"/>
  <c r="A98" i="8"/>
  <c r="C98" i="8" s="1"/>
  <c r="A150" i="8"/>
  <c r="C150" i="8" s="1"/>
  <c r="A169" i="8"/>
  <c r="C169" i="8" s="1"/>
  <c r="A172" i="8"/>
  <c r="C172" i="8" s="1"/>
  <c r="A94" i="8"/>
  <c r="C94" i="8" s="1"/>
  <c r="A173" i="8"/>
  <c r="C173" i="8" s="1"/>
  <c r="A104" i="8"/>
  <c r="C104" i="8" s="1"/>
  <c r="A114" i="8"/>
  <c r="C114" i="8" s="1"/>
  <c r="A101" i="8"/>
  <c r="C101" i="8" s="1"/>
  <c r="A167" i="8"/>
  <c r="C167" i="8" s="1"/>
  <c r="A145" i="8"/>
  <c r="C145" i="8" s="1"/>
  <c r="A163" i="8"/>
  <c r="C163" i="8" s="1"/>
  <c r="A139" i="8"/>
  <c r="C139" i="8" s="1"/>
  <c r="A138" i="8"/>
  <c r="C138" i="8" s="1"/>
  <c r="A93" i="8"/>
  <c r="A109" i="8"/>
  <c r="C109" i="8" s="1"/>
  <c r="A168" i="8"/>
  <c r="C168" i="8" s="1"/>
  <c r="A130" i="8"/>
  <c r="C130" i="8" s="1"/>
  <c r="A151" i="8"/>
  <c r="C151" i="8" s="1"/>
  <c r="A134" i="8"/>
  <c r="A170" i="8"/>
  <c r="C170" i="8" s="1"/>
  <c r="A160" i="8"/>
  <c r="C160" i="8" s="1"/>
  <c r="A146" i="8"/>
  <c r="C146" i="8" s="1"/>
  <c r="A110" i="8"/>
  <c r="A127" i="8"/>
  <c r="C127" i="8" s="1"/>
  <c r="A129" i="8"/>
  <c r="C129" i="8" s="1"/>
  <c r="A105" i="8"/>
  <c r="C105" i="8" s="1"/>
  <c r="A108" i="8"/>
  <c r="C108" i="8" s="1"/>
  <c r="A137" i="8"/>
  <c r="C137" i="8" s="1"/>
  <c r="A154" i="8"/>
  <c r="C154" i="8" s="1"/>
  <c r="A121" i="8"/>
  <c r="C121" i="8" s="1"/>
  <c r="A147" i="8"/>
  <c r="C147" i="8" s="1"/>
  <c r="A152" i="8"/>
  <c r="C152" i="8" s="1"/>
  <c r="A13" i="8"/>
  <c r="A156" i="8"/>
  <c r="C156" i="8" s="1"/>
  <c r="A131" i="8"/>
  <c r="C131" i="8" s="1"/>
  <c r="A148" i="8"/>
  <c r="C148" i="8" s="1"/>
  <c r="A96" i="8"/>
  <c r="C96" i="8" s="1"/>
  <c r="A132" i="8"/>
  <c r="C132" i="8" s="1"/>
  <c r="A143" i="8"/>
  <c r="C143" i="8" s="1"/>
  <c r="A140" i="8"/>
  <c r="C140" i="8" s="1"/>
  <c r="A153" i="8"/>
  <c r="C153" i="8" s="1"/>
  <c r="A126" i="8"/>
  <c r="C126" i="8" s="1"/>
  <c r="A155" i="8"/>
  <c r="C155" i="8" s="1"/>
  <c r="A141" i="8"/>
  <c r="C141" i="8" s="1"/>
  <c r="A157" i="8"/>
  <c r="C157" i="8" s="1"/>
  <c r="A158" i="8"/>
  <c r="C158" i="8" s="1"/>
  <c r="A162" i="8"/>
  <c r="C162" i="8" s="1"/>
  <c r="A125" i="8"/>
  <c r="C125" i="8" s="1"/>
  <c r="A159" i="8"/>
  <c r="C159" i="8" s="1"/>
  <c r="A99" i="8"/>
  <c r="C99" i="8" s="1"/>
  <c r="A161" i="8"/>
  <c r="C161" i="8" s="1"/>
  <c r="A136" i="8"/>
  <c r="C136" i="8" s="1"/>
  <c r="A112" i="8"/>
  <c r="A135" i="8"/>
  <c r="C135" i="8" s="1"/>
  <c r="A120" i="8"/>
  <c r="C120" i="8" s="1"/>
  <c r="A166" i="8"/>
  <c r="C166" i="8" s="1"/>
  <c r="A144" i="8"/>
  <c r="C144" i="8" s="1"/>
  <c r="C10" i="8"/>
  <c r="A149" i="8"/>
  <c r="C149" i="8" s="1"/>
  <c r="A142" i="8"/>
  <c r="C142" i="8" s="1"/>
  <c r="A124" i="8"/>
  <c r="C124" i="8" s="1"/>
  <c r="A115" i="8"/>
  <c r="C115" i="8" s="1"/>
  <c r="A165" i="8"/>
  <c r="C165" i="8" s="1"/>
  <c r="A113" i="8"/>
  <c r="C113" i="8" s="1"/>
  <c r="A107" i="8"/>
  <c r="C107" i="8" s="1"/>
  <c r="A116" i="8"/>
  <c r="C116" i="8" s="1"/>
  <c r="A171" i="8"/>
  <c r="C171" i="8" s="1"/>
  <c r="A164" i="8"/>
  <c r="C164" i="8" s="1"/>
  <c r="C12" i="8"/>
  <c r="AE176" i="8"/>
  <c r="Z176" i="8"/>
  <c r="AF176" i="8"/>
  <c r="Y176" i="8"/>
  <c r="V176" i="8"/>
  <c r="Q176" i="8"/>
  <c r="W176" i="8"/>
  <c r="P176" i="8"/>
  <c r="G176" i="8"/>
  <c r="M176" i="8"/>
  <c r="N176" i="8"/>
  <c r="C9" i="8"/>
  <c r="H176" i="8"/>
  <c r="A95" i="8" l="1"/>
  <c r="C95" i="8" s="1"/>
  <c r="A119" i="8"/>
  <c r="C119" i="8" s="1"/>
  <c r="A18" i="8"/>
  <c r="C13" i="8"/>
  <c r="AE177" i="8"/>
  <c r="AF177" i="8"/>
  <c r="V177" i="8"/>
  <c r="W177" i="8"/>
  <c r="M177" i="8"/>
  <c r="N177" i="8"/>
  <c r="C93" i="8"/>
  <c r="A97" i="8" l="1"/>
  <c r="A102" i="8" s="1"/>
  <c r="A118" i="8" s="1"/>
  <c r="A78" i="8"/>
  <c r="A35" i="8"/>
  <c r="C18" i="8"/>
  <c r="C34" i="8"/>
  <c r="C97" i="8" l="1"/>
  <c r="C102" i="8"/>
  <c r="A51" i="8"/>
  <c r="C51" i="8" s="1"/>
  <c r="A38" i="8"/>
  <c r="C35" i="8"/>
  <c r="A66" i="8"/>
  <c r="C28" i="8"/>
  <c r="C110" i="8"/>
  <c r="C43" i="8"/>
  <c r="B206" i="31"/>
  <c r="C38" i="8" l="1"/>
  <c r="A40" i="8"/>
  <c r="C40" i="8" s="1"/>
  <c r="C66" i="8"/>
  <c r="A67" i="8"/>
  <c r="C67" i="8" s="1"/>
  <c r="C112" i="8"/>
  <c r="C78" i="8"/>
  <c r="C118" i="8"/>
  <c r="A68" i="8" l="1"/>
  <c r="C68" i="8" s="1"/>
  <c r="C50" i="8"/>
  <c r="C134" i="8" l="1"/>
  <c r="D33" i="21" l="1"/>
  <c r="E33" i="21"/>
  <c r="D34" i="21" l="1"/>
  <c r="E34" i="21"/>
  <c r="D35" i="21" l="1"/>
  <c r="E35" i="21"/>
  <c r="E36" i="21" l="1"/>
  <c r="D36" i="21"/>
  <c r="D37" i="21" l="1"/>
  <c r="E37" i="21"/>
  <c r="D38" i="21" l="1"/>
  <c r="E38" i="21"/>
  <c r="D39" i="21" l="1"/>
  <c r="E39" i="21"/>
  <c r="E40" i="21" l="1"/>
  <c r="D40" i="21"/>
  <c r="D41" i="21" l="1"/>
  <c r="E41" i="21"/>
  <c r="E42" i="21" l="1"/>
  <c r="D42" i="21"/>
  <c r="E43" i="21" l="1"/>
  <c r="D43" i="21"/>
  <c r="D44" i="21" l="1"/>
  <c r="E44" i="21"/>
  <c r="D45" i="21" l="1"/>
  <c r="E45" i="21"/>
  <c r="E46" i="21" l="1"/>
  <c r="D46" i="21"/>
  <c r="D47" i="21" l="1"/>
  <c r="E47" i="21"/>
  <c r="E48" i="21" l="1"/>
  <c r="D48" i="21"/>
  <c r="D49" i="21" l="1"/>
  <c r="E49" i="21"/>
  <c r="D50" i="21" l="1"/>
  <c r="E50" i="21"/>
  <c r="D51" i="21" l="1"/>
  <c r="E51" i="21"/>
  <c r="D52" i="21" l="1"/>
  <c r="E52" i="21"/>
  <c r="D53" i="21" l="1"/>
  <c r="E53" i="21"/>
  <c r="D54" i="21" l="1"/>
  <c r="E54" i="21"/>
  <c r="D55" i="21" l="1"/>
  <c r="E55" i="21"/>
  <c r="E56" i="21" l="1"/>
  <c r="D56" i="21"/>
  <c r="D57" i="21" l="1"/>
  <c r="E57" i="21"/>
  <c r="E58" i="21" l="1"/>
  <c r="D58" i="21"/>
  <c r="D59" i="21" l="1"/>
  <c r="E59" i="21"/>
  <c r="D60" i="21" l="1"/>
  <c r="E60" i="21"/>
  <c r="D61" i="21" l="1"/>
  <c r="E61" i="21"/>
  <c r="D62" i="21" l="1"/>
  <c r="E62" i="21"/>
  <c r="D63" i="21" l="1"/>
  <c r="E63" i="21"/>
  <c r="D64" i="21" l="1"/>
  <c r="E64" i="21"/>
  <c r="D65" i="21" l="1"/>
  <c r="E65" i="21"/>
  <c r="D66" i="21" l="1"/>
  <c r="E66" i="21"/>
  <c r="D67" i="21" l="1"/>
  <c r="E67" i="21"/>
  <c r="D68" i="21" l="1"/>
  <c r="E68" i="21"/>
  <c r="D69" i="21" l="1"/>
  <c r="E69" i="21"/>
  <c r="D70" i="21" l="1"/>
  <c r="E70" i="21"/>
  <c r="D71" i="21" l="1"/>
  <c r="E71" i="21"/>
  <c r="D72" i="21" l="1"/>
  <c r="E72" i="21"/>
  <c r="D73" i="21" l="1"/>
  <c r="E73" i="21"/>
  <c r="D74" i="21" l="1"/>
  <c r="E74" i="21"/>
  <c r="E75" i="21" l="1"/>
  <c r="D75" i="21"/>
  <c r="B171" i="31"/>
  <c r="B172" i="31"/>
  <c r="D77" i="21" l="1"/>
  <c r="E77" i="21"/>
  <c r="D78" i="21" l="1"/>
  <c r="E78" i="21"/>
  <c r="E79" i="21" l="1"/>
  <c r="D79" i="21"/>
  <c r="D80" i="21" l="1"/>
  <c r="E80" i="21"/>
  <c r="E81" i="21" l="1"/>
  <c r="D81" i="21"/>
  <c r="D82" i="21" l="1"/>
  <c r="E82" i="21"/>
  <c r="E83" i="21" l="1"/>
  <c r="D83" i="21"/>
  <c r="D84" i="21" l="1"/>
  <c r="E84" i="21"/>
  <c r="E85" i="21" l="1"/>
  <c r="D85" i="21"/>
  <c r="D86" i="21" l="1"/>
  <c r="E86" i="21"/>
  <c r="E87" i="21" l="1"/>
  <c r="D87" i="21"/>
  <c r="D88" i="21" l="1"/>
  <c r="E88" i="21"/>
  <c r="D89" i="21" l="1"/>
  <c r="E89" i="21"/>
  <c r="E95" i="21" l="1"/>
  <c r="D95" i="21"/>
  <c r="D96" i="21" l="1"/>
  <c r="E96" i="21"/>
  <c r="E97" i="21" l="1"/>
  <c r="D97" i="21"/>
  <c r="B176" i="31" l="1"/>
  <c r="C12" i="26"/>
  <c r="C11" i="26"/>
  <c r="D13" i="26"/>
  <c r="B13" i="26" s="1"/>
  <c r="C13" i="26"/>
  <c r="AE31" i="21" s="1"/>
  <c r="AP31" i="21" s="1"/>
  <c r="D12" i="26"/>
  <c r="B12" i="26" s="1"/>
  <c r="D11" i="26"/>
  <c r="B11" i="26" s="1"/>
  <c r="D10" i="26"/>
  <c r="C10" i="26"/>
  <c r="AE22" i="21" s="1"/>
  <c r="AP22" i="21" s="1"/>
  <c r="Y36" i="28" l="1"/>
  <c r="Y36" i="30" s="1"/>
  <c r="H10" i="28"/>
  <c r="H10" i="30" s="1"/>
  <c r="H12" i="28"/>
  <c r="H12" i="30" s="1"/>
  <c r="AF55" i="28"/>
  <c r="AF55" i="30" s="1"/>
  <c r="B10" i="26"/>
  <c r="H32" i="28"/>
  <c r="H32" i="30" s="1"/>
  <c r="P9" i="28"/>
  <c r="P9" i="30" s="1"/>
  <c r="H77" i="28"/>
  <c r="Y52" i="28"/>
  <c r="Y52" i="30" s="1"/>
  <c r="H18" i="28"/>
  <c r="H18" i="30" s="1"/>
  <c r="AB22" i="21"/>
  <c r="H53" i="28"/>
  <c r="H53" i="30" s="1"/>
  <c r="V83" i="28"/>
  <c r="V67" i="28"/>
  <c r="V80" i="28"/>
  <c r="Y59" i="28"/>
  <c r="V69" i="28"/>
  <c r="Y80" i="28"/>
  <c r="G72" i="28"/>
  <c r="P68" i="28"/>
  <c r="G69" i="28"/>
  <c r="Y78" i="28"/>
  <c r="V75" i="28"/>
  <c r="Y88" i="28"/>
  <c r="V58" i="28"/>
  <c r="Y81" i="28"/>
  <c r="G58" i="28"/>
  <c r="G58" i="30" s="1"/>
  <c r="V84" i="28"/>
  <c r="AE81" i="28"/>
  <c r="P75" i="28"/>
  <c r="G77" i="28"/>
  <c r="AD23" i="21"/>
  <c r="M85" i="28"/>
  <c r="Y68" i="28"/>
  <c r="V72" i="28"/>
  <c r="AE75" i="28"/>
  <c r="AE59" i="28"/>
  <c r="Y71" i="28"/>
  <c r="AE71" i="28"/>
  <c r="AE22" i="28"/>
  <c r="AE22" i="30" s="1"/>
  <c r="M89" i="28"/>
  <c r="G67" i="28"/>
  <c r="AE78" i="28"/>
  <c r="V62" i="28"/>
  <c r="V90" i="28"/>
  <c r="AD18" i="21"/>
  <c r="G73" i="28"/>
  <c r="G89" i="28"/>
  <c r="AE79" i="28"/>
  <c r="G62" i="28"/>
  <c r="AE60" i="28"/>
  <c r="P63" i="28"/>
  <c r="M58" i="28"/>
  <c r="G71" i="28"/>
  <c r="V65" i="28"/>
  <c r="P89" i="28"/>
  <c r="M87" i="28"/>
  <c r="V60" i="28"/>
  <c r="AE85" i="28"/>
  <c r="Y60" i="28"/>
  <c r="M66" i="28"/>
  <c r="P90" i="28"/>
  <c r="AE76" i="28"/>
  <c r="M81" i="28"/>
  <c r="AD19" i="21"/>
  <c r="V74" i="28"/>
  <c r="G87" i="28"/>
  <c r="P21" i="28"/>
  <c r="P21" i="30" s="1"/>
  <c r="G82" i="28"/>
  <c r="V73" i="28"/>
  <c r="P85" i="28"/>
  <c r="P84" i="28"/>
  <c r="P82" i="28"/>
  <c r="AD24" i="21"/>
  <c r="P60" i="28"/>
  <c r="M76" i="28"/>
  <c r="AE86" i="28"/>
  <c r="V89" i="28"/>
  <c r="V71" i="28"/>
  <c r="AD25" i="21"/>
  <c r="AD22" i="21"/>
  <c r="G59" i="28"/>
  <c r="G59" i="30" s="1"/>
  <c r="AE88" i="28"/>
  <c r="V82" i="28"/>
  <c r="Y82" i="28"/>
  <c r="Y72" i="28"/>
  <c r="M73" i="28"/>
  <c r="P69" i="28"/>
  <c r="AD30" i="21"/>
  <c r="D37" i="33" s="1"/>
  <c r="P78" i="28"/>
  <c r="Y67" i="28"/>
  <c r="AE77" i="28"/>
  <c r="M75" i="28"/>
  <c r="G70" i="28"/>
  <c r="V81" i="28"/>
  <c r="P10" i="28"/>
  <c r="P10" i="30" s="1"/>
  <c r="AE83" i="28"/>
  <c r="G63" i="28"/>
  <c r="M80" i="28"/>
  <c r="AD27" i="21"/>
  <c r="M67" i="28"/>
  <c r="P64" i="28"/>
  <c r="Y74" i="28"/>
  <c r="Y58" i="28"/>
  <c r="AE64" i="28"/>
  <c r="P81" i="28"/>
  <c r="G81" i="28"/>
  <c r="Y83" i="28"/>
  <c r="AD21" i="21"/>
  <c r="G88" i="28"/>
  <c r="V76" i="28"/>
  <c r="M65" i="28"/>
  <c r="AE82" i="28"/>
  <c r="G83" i="28"/>
  <c r="M82" i="28"/>
  <c r="Y62" i="28"/>
  <c r="Y90" i="28"/>
  <c r="M68" i="28"/>
  <c r="P77" i="28"/>
  <c r="Y73" i="28"/>
  <c r="P86" i="28"/>
  <c r="Y79" i="28"/>
  <c r="V78" i="28"/>
  <c r="M45" i="28"/>
  <c r="M45" i="30" s="1"/>
  <c r="V55" i="28"/>
  <c r="V55" i="30" s="1"/>
  <c r="V87" i="28"/>
  <c r="V85" i="28"/>
  <c r="M90" i="28"/>
  <c r="G85" i="28"/>
  <c r="AD16" i="21"/>
  <c r="M77" i="28"/>
  <c r="P62" i="28"/>
  <c r="AD29" i="21"/>
  <c r="AE72" i="28"/>
  <c r="AE80" i="28"/>
  <c r="P61" i="28"/>
  <c r="G84" i="28"/>
  <c r="M61" i="28"/>
  <c r="G21" i="28"/>
  <c r="G21" i="30" s="1"/>
  <c r="AE33" i="28"/>
  <c r="AE33" i="30" s="1"/>
  <c r="M59" i="28"/>
  <c r="AD17" i="21"/>
  <c r="M83" i="28"/>
  <c r="Y87" i="28"/>
  <c r="V64" i="28"/>
  <c r="Y89" i="28"/>
  <c r="M78" i="28"/>
  <c r="Y64" i="28"/>
  <c r="V63" i="28"/>
  <c r="G61" i="28"/>
  <c r="P80" i="28"/>
  <c r="M69" i="28"/>
  <c r="V59" i="28"/>
  <c r="Y33" i="28"/>
  <c r="Y33" i="30" s="1"/>
  <c r="V19" i="28"/>
  <c r="V19" i="30" s="1"/>
  <c r="P36" i="28"/>
  <c r="P36" i="30" s="1"/>
  <c r="V26" i="28"/>
  <c r="V26" i="30" s="1"/>
  <c r="V18" i="28"/>
  <c r="V18" i="30" s="1"/>
  <c r="Y51" i="28"/>
  <c r="Y51" i="30" s="1"/>
  <c r="V27" i="28"/>
  <c r="V27" i="30" s="1"/>
  <c r="M38" i="28"/>
  <c r="M38" i="30" s="1"/>
  <c r="P31" i="28"/>
  <c r="P31" i="30" s="1"/>
  <c r="G56" i="28"/>
  <c r="G56" i="30" s="1"/>
  <c r="AE35" i="28"/>
  <c r="AE35" i="30" s="1"/>
  <c r="G75" i="28"/>
  <c r="AE87" i="28"/>
  <c r="AD31" i="21"/>
  <c r="Y70" i="28"/>
  <c r="M72" i="28"/>
  <c r="P65" i="28"/>
  <c r="V79" i="28"/>
  <c r="M70" i="28"/>
  <c r="G60" i="28"/>
  <c r="G79" i="28"/>
  <c r="G80" i="28"/>
  <c r="P79" i="28"/>
  <c r="G86" i="28"/>
  <c r="Y47" i="28"/>
  <c r="Y47" i="30" s="1"/>
  <c r="G47" i="28"/>
  <c r="G47" i="30" s="1"/>
  <c r="AE57" i="28"/>
  <c r="M71" i="28"/>
  <c r="M88" i="28"/>
  <c r="G90" i="28"/>
  <c r="P88" i="28"/>
  <c r="V66" i="28"/>
  <c r="M79" i="28"/>
  <c r="P67" i="28"/>
  <c r="P76" i="28"/>
  <c r="AE90" i="28"/>
  <c r="AD32" i="21"/>
  <c r="Y77" i="28"/>
  <c r="P87" i="28"/>
  <c r="Y61" i="28"/>
  <c r="V47" i="28"/>
  <c r="V47" i="30" s="1"/>
  <c r="M28" i="28"/>
  <c r="M28" i="30" s="1"/>
  <c r="V21" i="28"/>
  <c r="V21" i="30" s="1"/>
  <c r="G57" i="28"/>
  <c r="G57" i="30" s="1"/>
  <c r="Y40" i="28"/>
  <c r="Y40" i="30" s="1"/>
  <c r="M10" i="28"/>
  <c r="M10" i="30" s="1"/>
  <c r="G19" i="28"/>
  <c r="G19" i="30" s="1"/>
  <c r="Y54" i="28"/>
  <c r="Y54" i="30" s="1"/>
  <c r="G30" i="28"/>
  <c r="G30" i="30" s="1"/>
  <c r="Y49" i="28"/>
  <c r="Y49" i="30" s="1"/>
  <c r="M22" i="28"/>
  <c r="M22" i="30" s="1"/>
  <c r="AE49" i="28"/>
  <c r="AE49" i="30" s="1"/>
  <c r="AE74" i="28"/>
  <c r="Y85" i="28"/>
  <c r="Y76" i="28"/>
  <c r="M84" i="28"/>
  <c r="G76" i="28"/>
  <c r="Y75" i="28"/>
  <c r="P34" i="28"/>
  <c r="P34" i="30" s="1"/>
  <c r="P35" i="28"/>
  <c r="P35" i="30" s="1"/>
  <c r="Y20" i="28"/>
  <c r="Y20" i="30" s="1"/>
  <c r="M32" i="28"/>
  <c r="M32" i="30" s="1"/>
  <c r="M30" i="28"/>
  <c r="M30" i="30" s="1"/>
  <c r="M55" i="28"/>
  <c r="M55" i="30" s="1"/>
  <c r="AE52" i="28"/>
  <c r="AE52" i="30" s="1"/>
  <c r="Y38" i="28"/>
  <c r="Y38" i="30" s="1"/>
  <c r="V44" i="28"/>
  <c r="V44" i="30" s="1"/>
  <c r="Y37" i="28"/>
  <c r="Y37" i="30" s="1"/>
  <c r="G25" i="28"/>
  <c r="G25" i="30" s="1"/>
  <c r="P20" i="28"/>
  <c r="P20" i="30" s="1"/>
  <c r="M62" i="28"/>
  <c r="V88" i="28"/>
  <c r="AE69" i="28"/>
  <c r="V70" i="28"/>
  <c r="P58" i="28"/>
  <c r="AE89" i="28"/>
  <c r="V41" i="28"/>
  <c r="V41" i="30" s="1"/>
  <c r="M11" i="28"/>
  <c r="M11" i="30" s="1"/>
  <c r="AE73" i="28"/>
  <c r="V77" i="28"/>
  <c r="AE66" i="28"/>
  <c r="AE68" i="28"/>
  <c r="M60" i="28"/>
  <c r="AE58" i="28"/>
  <c r="M63" i="28"/>
  <c r="M40" i="28"/>
  <c r="M40" i="30" s="1"/>
  <c r="G31" i="28"/>
  <c r="G31" i="30" s="1"/>
  <c r="Y12" i="28"/>
  <c r="Y12" i="30" s="1"/>
  <c r="AE18" i="28"/>
  <c r="AE18" i="30" s="1"/>
  <c r="AE14" i="28"/>
  <c r="AE14" i="30" s="1"/>
  <c r="G39" i="28"/>
  <c r="G39" i="30" s="1"/>
  <c r="P42" i="28"/>
  <c r="P42" i="30" s="1"/>
  <c r="G10" i="28"/>
  <c r="G10" i="30" s="1"/>
  <c r="G23" i="28"/>
  <c r="G23" i="30" s="1"/>
  <c r="P19" i="28"/>
  <c r="P19" i="30" s="1"/>
  <c r="P14" i="28"/>
  <c r="P14" i="30" s="1"/>
  <c r="V24" i="28"/>
  <c r="V24" i="30" s="1"/>
  <c r="G36" i="28"/>
  <c r="G36" i="30" s="1"/>
  <c r="V61" i="28"/>
  <c r="AE63" i="28"/>
  <c r="Y86" i="28"/>
  <c r="V68" i="28"/>
  <c r="M86" i="28"/>
  <c r="Y66" i="28"/>
  <c r="G66" i="28"/>
  <c r="G27" i="28"/>
  <c r="G27" i="30" s="1"/>
  <c r="M56" i="28"/>
  <c r="M56" i="30" s="1"/>
  <c r="P41" i="28"/>
  <c r="P41" i="30" s="1"/>
  <c r="Y41" i="28"/>
  <c r="Y41" i="30" s="1"/>
  <c r="Y56" i="28"/>
  <c r="Y56" i="30" s="1"/>
  <c r="V31" i="28"/>
  <c r="V31" i="30" s="1"/>
  <c r="G16" i="28"/>
  <c r="G16" i="30" s="1"/>
  <c r="G43" i="28"/>
  <c r="G43" i="30" s="1"/>
  <c r="G74" i="28"/>
  <c r="AE67" i="28"/>
  <c r="P59" i="28"/>
  <c r="AE70" i="28"/>
  <c r="Y39" i="28"/>
  <c r="Y39" i="30" s="1"/>
  <c r="G48" i="28"/>
  <c r="G48" i="30" s="1"/>
  <c r="V57" i="28"/>
  <c r="P40" i="28"/>
  <c r="P40" i="30" s="1"/>
  <c r="AE30" i="28"/>
  <c r="AE30" i="30" s="1"/>
  <c r="AE13" i="28"/>
  <c r="AE13" i="30" s="1"/>
  <c r="M49" i="28"/>
  <c r="M49" i="30" s="1"/>
  <c r="AE44" i="28"/>
  <c r="AE44" i="30" s="1"/>
  <c r="G13" i="28"/>
  <c r="G13" i="30" s="1"/>
  <c r="M44" i="28"/>
  <c r="M44" i="30" s="1"/>
  <c r="M19" i="28"/>
  <c r="M19" i="30" s="1"/>
  <c r="AE31" i="28"/>
  <c r="AE31" i="30" s="1"/>
  <c r="Y30" i="28"/>
  <c r="Y30" i="30" s="1"/>
  <c r="Y50" i="28"/>
  <c r="Y50" i="30" s="1"/>
  <c r="M33" i="28"/>
  <c r="M33" i="30" s="1"/>
  <c r="G64" i="28"/>
  <c r="G65" i="28"/>
  <c r="P72" i="28"/>
  <c r="P83" i="28"/>
  <c r="Y32" i="28"/>
  <c r="Y32" i="30" s="1"/>
  <c r="P55" i="28"/>
  <c r="P55" i="30" s="1"/>
  <c r="V54" i="28"/>
  <c r="V54" i="30" s="1"/>
  <c r="P50" i="28"/>
  <c r="P50" i="30" s="1"/>
  <c r="Y25" i="28"/>
  <c r="Y25" i="30" s="1"/>
  <c r="V13" i="28"/>
  <c r="V13" i="30" s="1"/>
  <c r="Y21" i="28"/>
  <c r="Y21" i="30" s="1"/>
  <c r="P57" i="28"/>
  <c r="V56" i="28"/>
  <c r="V56" i="30" s="1"/>
  <c r="M36" i="28"/>
  <c r="M36" i="30" s="1"/>
  <c r="Y10" i="28"/>
  <c r="Y10" i="30" s="1"/>
  <c r="AE65" i="28"/>
  <c r="M74" i="28"/>
  <c r="AE62" i="28"/>
  <c r="V52" i="28"/>
  <c r="V52" i="30" s="1"/>
  <c r="V42" i="28"/>
  <c r="V42" i="30" s="1"/>
  <c r="AE45" i="28"/>
  <c r="AE45" i="30" s="1"/>
  <c r="M17" i="28"/>
  <c r="M17" i="30" s="1"/>
  <c r="P16" i="28"/>
  <c r="P16" i="30" s="1"/>
  <c r="AE41" i="28"/>
  <c r="AE41" i="30" s="1"/>
  <c r="AE10" i="28"/>
  <c r="AE10" i="30" s="1"/>
  <c r="Y31" i="28"/>
  <c r="Y31" i="30" s="1"/>
  <c r="V22" i="28"/>
  <c r="V22" i="30" s="1"/>
  <c r="P43" i="28"/>
  <c r="P43" i="30" s="1"/>
  <c r="Y44" i="28"/>
  <c r="Y44" i="30" s="1"/>
  <c r="M34" i="28"/>
  <c r="M34" i="30" s="1"/>
  <c r="P32" i="28"/>
  <c r="P32" i="30" s="1"/>
  <c r="G50" i="28"/>
  <c r="G50" i="30" s="1"/>
  <c r="AE61" i="28"/>
  <c r="V86" i="28"/>
  <c r="G68" i="28"/>
  <c r="V34" i="28"/>
  <c r="V34" i="30" s="1"/>
  <c r="V40" i="28"/>
  <c r="V40" i="30" s="1"/>
  <c r="V16" i="28"/>
  <c r="V16" i="30" s="1"/>
  <c r="P15" i="28"/>
  <c r="P15" i="30" s="1"/>
  <c r="AE19" i="28"/>
  <c r="AE19" i="30" s="1"/>
  <c r="AE42" i="28"/>
  <c r="AE42" i="30" s="1"/>
  <c r="G33" i="28"/>
  <c r="G33" i="30" s="1"/>
  <c r="V32" i="28"/>
  <c r="V32" i="30" s="1"/>
  <c r="G78" i="28"/>
  <c r="P74" i="28"/>
  <c r="Y22" i="28"/>
  <c r="Y22" i="30" s="1"/>
  <c r="P45" i="28"/>
  <c r="P45" i="30" s="1"/>
  <c r="V10" i="28"/>
  <c r="V10" i="30" s="1"/>
  <c r="M57" i="28"/>
  <c r="V49" i="28"/>
  <c r="V49" i="30" s="1"/>
  <c r="G49" i="28"/>
  <c r="G49" i="30" s="1"/>
  <c r="Y26" i="28"/>
  <c r="Y26" i="30" s="1"/>
  <c r="G38" i="28"/>
  <c r="G38" i="30" s="1"/>
  <c r="M35" i="28"/>
  <c r="M35" i="30" s="1"/>
  <c r="AE34" i="28"/>
  <c r="AE34" i="30" s="1"/>
  <c r="M23" i="28"/>
  <c r="M23" i="30" s="1"/>
  <c r="AE40" i="28"/>
  <c r="AE40" i="30" s="1"/>
  <c r="P70" i="28"/>
  <c r="P73" i="28"/>
  <c r="Y57" i="28"/>
  <c r="AE36" i="28"/>
  <c r="AE36" i="30" s="1"/>
  <c r="V39" i="28"/>
  <c r="V39" i="30" s="1"/>
  <c r="P38" i="28"/>
  <c r="P38" i="30" s="1"/>
  <c r="G32" i="28"/>
  <c r="G32" i="30" s="1"/>
  <c r="AE32" i="28"/>
  <c r="AE32" i="30" s="1"/>
  <c r="AE26" i="28"/>
  <c r="AE26" i="30" s="1"/>
  <c r="G40" i="28"/>
  <c r="G40" i="30" s="1"/>
  <c r="Y24" i="28"/>
  <c r="Y24" i="30" s="1"/>
  <c r="V29" i="28"/>
  <c r="V29" i="30" s="1"/>
  <c r="P71" i="28"/>
  <c r="Y84" i="28"/>
  <c r="AE29" i="28"/>
  <c r="AE29" i="30" s="1"/>
  <c r="Y48" i="28"/>
  <c r="Y48" i="30" s="1"/>
  <c r="M42" i="28"/>
  <c r="M42" i="30" s="1"/>
  <c r="P33" i="28"/>
  <c r="P33" i="30" s="1"/>
  <c r="P30" i="28"/>
  <c r="P30" i="30" s="1"/>
  <c r="G24" i="28"/>
  <c r="G24" i="30" s="1"/>
  <c r="M20" i="28"/>
  <c r="M20" i="30" s="1"/>
  <c r="AE47" i="28"/>
  <c r="AE47" i="30" s="1"/>
  <c r="M31" i="28"/>
  <c r="M31" i="30" s="1"/>
  <c r="M47" i="28"/>
  <c r="M47" i="30" s="1"/>
  <c r="Y63" i="28"/>
  <c r="AE21" i="28"/>
  <c r="AE21" i="30" s="1"/>
  <c r="M39" i="28"/>
  <c r="M39" i="30" s="1"/>
  <c r="Y29" i="28"/>
  <c r="Y29" i="30" s="1"/>
  <c r="V14" i="28"/>
  <c r="V14" i="30" s="1"/>
  <c r="AE27" i="28"/>
  <c r="AE27" i="30" s="1"/>
  <c r="P24" i="28"/>
  <c r="AD13" i="21"/>
  <c r="AD2" i="21" s="1"/>
  <c r="M27" i="28"/>
  <c r="M27" i="30" s="1"/>
  <c r="P22" i="28"/>
  <c r="P22" i="30" s="1"/>
  <c r="P48" i="28"/>
  <c r="P48" i="30" s="1"/>
  <c r="Y69" i="28"/>
  <c r="P46" i="28"/>
  <c r="P46" i="30" s="1"/>
  <c r="V48" i="28"/>
  <c r="V48" i="30" s="1"/>
  <c r="M12" i="28"/>
  <c r="M12" i="30" s="1"/>
  <c r="G22" i="28"/>
  <c r="G22" i="30" s="1"/>
  <c r="G29" i="28"/>
  <c r="G29" i="30" s="1"/>
  <c r="Y35" i="28"/>
  <c r="Y35" i="30" s="1"/>
  <c r="G44" i="28"/>
  <c r="G44" i="30" s="1"/>
  <c r="M53" i="28"/>
  <c r="M53" i="30" s="1"/>
  <c r="M64" i="28"/>
  <c r="Y19" i="28"/>
  <c r="Y19" i="30" s="1"/>
  <c r="Y42" i="28"/>
  <c r="Y42" i="30" s="1"/>
  <c r="P17" i="28"/>
  <c r="P17" i="30" s="1"/>
  <c r="Y46" i="28"/>
  <c r="Y46" i="30" s="1"/>
  <c r="V30" i="28"/>
  <c r="V30" i="30" s="1"/>
  <c r="AE55" i="28"/>
  <c r="AE55" i="30" s="1"/>
  <c r="G42" i="28"/>
  <c r="G42" i="30" s="1"/>
  <c r="Y13" i="28"/>
  <c r="Y13" i="30" s="1"/>
  <c r="Y27" i="28"/>
  <c r="Y27" i="30" s="1"/>
  <c r="AE15" i="28"/>
  <c r="AE15" i="30" s="1"/>
  <c r="Y23" i="28"/>
  <c r="Y23" i="30" s="1"/>
  <c r="V25" i="28"/>
  <c r="V25" i="30" s="1"/>
  <c r="G26" i="28"/>
  <c r="G26" i="30" s="1"/>
  <c r="P66" i="28"/>
  <c r="AE43" i="28"/>
  <c r="AE43" i="30" s="1"/>
  <c r="M46" i="28"/>
  <c r="M46" i="30" s="1"/>
  <c r="P39" i="28"/>
  <c r="P39" i="30" s="1"/>
  <c r="P44" i="28"/>
  <c r="P44" i="30" s="1"/>
  <c r="P28" i="28"/>
  <c r="P28" i="30" s="1"/>
  <c r="V28" i="28"/>
  <c r="V28" i="30" s="1"/>
  <c r="M18" i="28"/>
  <c r="M18" i="30" s="1"/>
  <c r="P49" i="28"/>
  <c r="P49" i="30" s="1"/>
  <c r="AE39" i="28"/>
  <c r="AE39" i="30" s="1"/>
  <c r="AE46" i="28"/>
  <c r="AE46" i="30" s="1"/>
  <c r="V37" i="28"/>
  <c r="V37" i="30" s="1"/>
  <c r="M21" i="28"/>
  <c r="M21" i="30" s="1"/>
  <c r="AE51" i="28"/>
  <c r="AE51" i="30" s="1"/>
  <c r="G41" i="28"/>
  <c r="G41" i="30" s="1"/>
  <c r="P25" i="28"/>
  <c r="P25" i="30" s="1"/>
  <c r="M41" i="28"/>
  <c r="M41" i="30" s="1"/>
  <c r="P13" i="28"/>
  <c r="P13" i="30" s="1"/>
  <c r="Y18" i="28"/>
  <c r="Y18" i="30" s="1"/>
  <c r="G54" i="28"/>
  <c r="G54" i="30" s="1"/>
  <c r="V11" i="28"/>
  <c r="V11" i="30" s="1"/>
  <c r="AD28" i="21"/>
  <c r="AE84" i="28"/>
  <c r="G12" i="28"/>
  <c r="G12" i="30" s="1"/>
  <c r="M24" i="28"/>
  <c r="M24" i="30" s="1"/>
  <c r="V51" i="28"/>
  <c r="V51" i="30" s="1"/>
  <c r="Y34" i="28"/>
  <c r="Y34" i="30" s="1"/>
  <c r="Y65" i="28"/>
  <c r="V43" i="28"/>
  <c r="V43" i="30" s="1"/>
  <c r="M43" i="28"/>
  <c r="M43" i="30" s="1"/>
  <c r="M16" i="28"/>
  <c r="M16" i="30" s="1"/>
  <c r="AE24" i="28"/>
  <c r="AE24" i="30" s="1"/>
  <c r="P29" i="28"/>
  <c r="P29" i="30" s="1"/>
  <c r="V35" i="28"/>
  <c r="V35" i="30" s="1"/>
  <c r="M48" i="28"/>
  <c r="M48" i="30" s="1"/>
  <c r="P23" i="28"/>
  <c r="P23" i="30" s="1"/>
  <c r="Y16" i="28"/>
  <c r="Y16" i="30" s="1"/>
  <c r="AE12" i="28"/>
  <c r="AE12" i="30" s="1"/>
  <c r="Y17" i="28"/>
  <c r="Y17" i="30" s="1"/>
  <c r="P54" i="28"/>
  <c r="P54" i="30" s="1"/>
  <c r="AE20" i="28"/>
  <c r="AE20" i="30" s="1"/>
  <c r="V15" i="28"/>
  <c r="V15" i="30" s="1"/>
  <c r="V50" i="28"/>
  <c r="V50" i="30" s="1"/>
  <c r="G37" i="28"/>
  <c r="G37" i="30" s="1"/>
  <c r="G34" i="28"/>
  <c r="G34" i="30" s="1"/>
  <c r="P26" i="28"/>
  <c r="P26" i="30" s="1"/>
  <c r="G46" i="28"/>
  <c r="G46" i="30" s="1"/>
  <c r="V38" i="28"/>
  <c r="V38" i="30" s="1"/>
  <c r="G53" i="28"/>
  <c r="G53" i="30" s="1"/>
  <c r="M25" i="28"/>
  <c r="M25" i="30" s="1"/>
  <c r="P53" i="28"/>
  <c r="P53" i="30" s="1"/>
  <c r="G28" i="28"/>
  <c r="G28" i="30" s="1"/>
  <c r="P18" i="28"/>
  <c r="P18" i="30" s="1"/>
  <c r="AE28" i="28"/>
  <c r="AE28" i="30" s="1"/>
  <c r="V12" i="28"/>
  <c r="V12" i="30" s="1"/>
  <c r="P37" i="28"/>
  <c r="P37" i="30" s="1"/>
  <c r="G14" i="28"/>
  <c r="G14" i="30" s="1"/>
  <c r="M51" i="28"/>
  <c r="M51" i="30" s="1"/>
  <c r="AD26" i="21"/>
  <c r="AD3" i="21" s="1"/>
  <c r="M26" i="28"/>
  <c r="M26" i="30" s="1"/>
  <c r="P56" i="28"/>
  <c r="P56" i="30" s="1"/>
  <c r="V20" i="28"/>
  <c r="V20" i="30" s="1"/>
  <c r="V33" i="28"/>
  <c r="V33" i="30" s="1"/>
  <c r="V17" i="28"/>
  <c r="V17" i="30" s="1"/>
  <c r="G55" i="28"/>
  <c r="G55" i="30" s="1"/>
  <c r="M15" i="28"/>
  <c r="M15" i="30" s="1"/>
  <c r="G52" i="28"/>
  <c r="G52" i="30" s="1"/>
  <c r="AE54" i="28"/>
  <c r="AE54" i="30" s="1"/>
  <c r="Y28" i="28"/>
  <c r="Y28" i="30" s="1"/>
  <c r="AE17" i="28"/>
  <c r="AE17" i="30" s="1"/>
  <c r="P27" i="28"/>
  <c r="P27" i="30" s="1"/>
  <c r="M29" i="28"/>
  <c r="M29" i="30" s="1"/>
  <c r="AE53" i="28"/>
  <c r="AE53" i="30" s="1"/>
  <c r="M14" i="28"/>
  <c r="M14" i="30" s="1"/>
  <c r="Y45" i="28"/>
  <c r="Y45" i="30" s="1"/>
  <c r="AE50" i="28"/>
  <c r="AE50" i="30" s="1"/>
  <c r="Y53" i="28"/>
  <c r="Y53" i="30" s="1"/>
  <c r="M54" i="28"/>
  <c r="M54" i="30" s="1"/>
  <c r="P11" i="28"/>
  <c r="P11" i="30" s="1"/>
  <c r="M13" i="28"/>
  <c r="M13" i="30" s="1"/>
  <c r="G20" i="28"/>
  <c r="G20" i="30" s="1"/>
  <c r="AE56" i="28"/>
  <c r="AE56" i="30" s="1"/>
  <c r="P47" i="28"/>
  <c r="P47" i="30" s="1"/>
  <c r="G15" i="28"/>
  <c r="G15" i="30" s="1"/>
  <c r="M9" i="28"/>
  <c r="G18" i="28"/>
  <c r="G18" i="30" s="1"/>
  <c r="Y43" i="28"/>
  <c r="Y43" i="30" s="1"/>
  <c r="P12" i="28"/>
  <c r="P12" i="30" s="1"/>
  <c r="V36" i="28"/>
  <c r="V36" i="30" s="1"/>
  <c r="G11" i="28"/>
  <c r="G11" i="30" s="1"/>
  <c r="AE48" i="28"/>
  <c r="AE48" i="30" s="1"/>
  <c r="AE23" i="28"/>
  <c r="AE23" i="30" s="1"/>
  <c r="Y11" i="28"/>
  <c r="Y11" i="30" s="1"/>
  <c r="AE37" i="28"/>
  <c r="AE37" i="30" s="1"/>
  <c r="AE38" i="28"/>
  <c r="AE38" i="30" s="1"/>
  <c r="P52" i="28"/>
  <c r="P52" i="30" s="1"/>
  <c r="V53" i="28"/>
  <c r="V53" i="30" s="1"/>
  <c r="V45" i="28"/>
  <c r="V45" i="30" s="1"/>
  <c r="G35" i="28"/>
  <c r="G35" i="30" s="1"/>
  <c r="AE16" i="28"/>
  <c r="AE16" i="30" s="1"/>
  <c r="P51" i="28"/>
  <c r="P51" i="30" s="1"/>
  <c r="AE25" i="28"/>
  <c r="AE25" i="30" s="1"/>
  <c r="AE9" i="28"/>
  <c r="M52" i="28"/>
  <c r="M52" i="30" s="1"/>
  <c r="G51" i="28"/>
  <c r="G51" i="30" s="1"/>
  <c r="Y14" i="28"/>
  <c r="Y14" i="30" s="1"/>
  <c r="G45" i="28"/>
  <c r="G45" i="30" s="1"/>
  <c r="Y55" i="28"/>
  <c r="Y55" i="30" s="1"/>
  <c r="G17" i="28"/>
  <c r="G17" i="30" s="1"/>
  <c r="AD15" i="21"/>
  <c r="V9" i="28"/>
  <c r="M37" i="28"/>
  <c r="M37" i="30" s="1"/>
  <c r="Y15" i="28"/>
  <c r="Y15" i="30" s="1"/>
  <c r="G9" i="28"/>
  <c r="G9" i="30" s="1"/>
  <c r="V46" i="28"/>
  <c r="V46" i="30" s="1"/>
  <c r="V23" i="28"/>
  <c r="V23" i="30" s="1"/>
  <c r="Y9" i="28"/>
  <c r="M50" i="28"/>
  <c r="M50" i="30" s="1"/>
  <c r="H36" i="28"/>
  <c r="H36" i="30" s="1"/>
  <c r="AB31" i="21"/>
  <c r="Q65" i="28"/>
  <c r="Q71" i="28"/>
  <c r="N65" i="28"/>
  <c r="AF78" i="28"/>
  <c r="Z75" i="28"/>
  <c r="Z63" i="28"/>
  <c r="W73" i="28"/>
  <c r="Z59" i="28"/>
  <c r="W60" i="28"/>
  <c r="AF61" i="28"/>
  <c r="N68" i="28"/>
  <c r="Z88" i="28"/>
  <c r="Z68" i="28"/>
  <c r="N66" i="28"/>
  <c r="Z76" i="28"/>
  <c r="Z66" i="28"/>
  <c r="AF80" i="28"/>
  <c r="Q76" i="28"/>
  <c r="W63" i="28"/>
  <c r="Q88" i="28"/>
  <c r="N41" i="28"/>
  <c r="N41" i="30" s="1"/>
  <c r="W25" i="28"/>
  <c r="W25" i="30" s="1"/>
  <c r="AF27" i="28"/>
  <c r="AF27" i="30" s="1"/>
  <c r="Z38" i="28"/>
  <c r="Z38" i="30" s="1"/>
  <c r="Q45" i="28"/>
  <c r="Q45" i="30" s="1"/>
  <c r="Z29" i="28"/>
  <c r="Z29" i="30" s="1"/>
  <c r="Q30" i="28"/>
  <c r="Q30" i="30" s="1"/>
  <c r="Q19" i="28"/>
  <c r="Q19" i="30" s="1"/>
  <c r="Q34" i="28"/>
  <c r="Q34" i="30" s="1"/>
  <c r="Q46" i="28"/>
  <c r="Q46" i="30" s="1"/>
  <c r="AF49" i="28"/>
  <c r="AF49" i="30" s="1"/>
  <c r="AF45" i="28"/>
  <c r="AF45" i="30" s="1"/>
  <c r="Q61" i="28"/>
  <c r="Q74" i="28"/>
  <c r="W58" i="28"/>
  <c r="N85" i="28"/>
  <c r="Q87" i="28"/>
  <c r="AF66" i="28"/>
  <c r="Q89" i="28"/>
  <c r="Q90" i="28"/>
  <c r="AF64" i="28"/>
  <c r="Z67" i="28"/>
  <c r="Z80" i="28"/>
  <c r="W61" i="28"/>
  <c r="W68" i="28"/>
  <c r="Q66" i="28"/>
  <c r="AF62" i="28"/>
  <c r="Q58" i="28"/>
  <c r="N72" i="28"/>
  <c r="AF82" i="28"/>
  <c r="AF70" i="28"/>
  <c r="Q82" i="28"/>
  <c r="AF54" i="28"/>
  <c r="AF54" i="30" s="1"/>
  <c r="Q43" i="28"/>
  <c r="Q43" i="30" s="1"/>
  <c r="Z72" i="28"/>
  <c r="AF69" i="28"/>
  <c r="N61" i="28"/>
  <c r="W70" i="28"/>
  <c r="Z74" i="28"/>
  <c r="Z62" i="28"/>
  <c r="W77" i="28"/>
  <c r="Q64" i="28"/>
  <c r="N90" i="28"/>
  <c r="N84" i="28"/>
  <c r="W71" i="28"/>
  <c r="N62" i="28"/>
  <c r="Q75" i="28"/>
  <c r="AF88" i="28"/>
  <c r="AF90" i="28"/>
  <c r="AF65" i="28"/>
  <c r="N83" i="28"/>
  <c r="AF86" i="28"/>
  <c r="AF74" i="28"/>
  <c r="N67" i="28"/>
  <c r="Z30" i="28"/>
  <c r="Z30" i="30" s="1"/>
  <c r="Z57" i="28"/>
  <c r="Z35" i="28"/>
  <c r="Z35" i="30" s="1"/>
  <c r="N29" i="28"/>
  <c r="N29" i="30" s="1"/>
  <c r="Q47" i="28"/>
  <c r="Q47" i="30" s="1"/>
  <c r="AF57" i="28"/>
  <c r="W39" i="28"/>
  <c r="W39" i="30" s="1"/>
  <c r="N33" i="28"/>
  <c r="N33" i="30" s="1"/>
  <c r="Z44" i="28"/>
  <c r="Z44" i="30" s="1"/>
  <c r="W28" i="28"/>
  <c r="W28" i="30" s="1"/>
  <c r="Q20" i="28"/>
  <c r="Q20" i="30" s="1"/>
  <c r="N20" i="28"/>
  <c r="N20" i="30" s="1"/>
  <c r="Q14" i="28"/>
  <c r="Q86" i="28"/>
  <c r="W62" i="28"/>
  <c r="AF79" i="28"/>
  <c r="W65" i="28"/>
  <c r="Q62" i="28"/>
  <c r="W69" i="28"/>
  <c r="Z90" i="28"/>
  <c r="N58" i="28"/>
  <c r="Z73" i="28"/>
  <c r="N71" i="28"/>
  <c r="Z82" i="28"/>
  <c r="W85" i="28"/>
  <c r="Q78" i="28"/>
  <c r="N74" i="28"/>
  <c r="W87" i="28"/>
  <c r="N69" i="28"/>
  <c r="AF76" i="28"/>
  <c r="N76" i="28"/>
  <c r="AF85" i="28"/>
  <c r="N78" i="28"/>
  <c r="Q69" i="28"/>
  <c r="AF37" i="28"/>
  <c r="AF37" i="30" s="1"/>
  <c r="W24" i="28"/>
  <c r="W24" i="30" s="1"/>
  <c r="N57" i="28"/>
  <c r="Q63" i="28"/>
  <c r="N79" i="28"/>
  <c r="Z77" i="28"/>
  <c r="AF83" i="28"/>
  <c r="N89" i="28"/>
  <c r="Z64" i="28"/>
  <c r="W64" i="28"/>
  <c r="Q85" i="28"/>
  <c r="AF75" i="28"/>
  <c r="N59" i="28"/>
  <c r="W45" i="28"/>
  <c r="W45" i="30" s="1"/>
  <c r="AF32" i="28"/>
  <c r="AF32" i="30" s="1"/>
  <c r="Q36" i="28"/>
  <c r="Q36" i="30" s="1"/>
  <c r="W81" i="28"/>
  <c r="AF81" i="28"/>
  <c r="Q70" i="28"/>
  <c r="W84" i="28"/>
  <c r="Z83" i="28"/>
  <c r="Z60" i="28"/>
  <c r="AF63" i="28"/>
  <c r="Q67" i="28"/>
  <c r="W80" i="28"/>
  <c r="W83" i="28"/>
  <c r="Z45" i="28"/>
  <c r="Z45" i="30" s="1"/>
  <c r="AF51" i="28"/>
  <c r="AF51" i="30" s="1"/>
  <c r="Z31" i="28"/>
  <c r="Z31" i="30" s="1"/>
  <c r="AF40" i="28"/>
  <c r="AF40" i="30" s="1"/>
  <c r="N32" i="28"/>
  <c r="N32" i="30" s="1"/>
  <c r="Z42" i="28"/>
  <c r="Z42" i="30" s="1"/>
  <c r="Z23" i="28"/>
  <c r="Z23" i="30" s="1"/>
  <c r="AF30" i="28"/>
  <c r="AF30" i="30" s="1"/>
  <c r="N35" i="28"/>
  <c r="N35" i="30" s="1"/>
  <c r="Z47" i="28"/>
  <c r="Z47" i="30" s="1"/>
  <c r="AF14" i="28"/>
  <c r="AF14" i="30" s="1"/>
  <c r="W16" i="28"/>
  <c r="W16" i="30" s="1"/>
  <c r="W49" i="28"/>
  <c r="W49" i="30" s="1"/>
  <c r="Z33" i="28"/>
  <c r="Z33" i="30" s="1"/>
  <c r="Q38" i="28"/>
  <c r="Q38" i="30" s="1"/>
  <c r="N10" i="28"/>
  <c r="N10" i="30" s="1"/>
  <c r="Q49" i="28"/>
  <c r="Q49" i="30" s="1"/>
  <c r="W43" i="28"/>
  <c r="W43" i="30" s="1"/>
  <c r="Z10" i="28"/>
  <c r="Z10" i="30" s="1"/>
  <c r="Z46" i="28"/>
  <c r="Z46" i="30" s="1"/>
  <c r="AF44" i="28"/>
  <c r="AF44" i="30" s="1"/>
  <c r="W82" i="28"/>
  <c r="Q84" i="28"/>
  <c r="Q77" i="28"/>
  <c r="W66" i="28"/>
  <c r="AF89" i="28"/>
  <c r="W89" i="28"/>
  <c r="Q79" i="28"/>
  <c r="Z61" i="28"/>
  <c r="N81" i="28"/>
  <c r="N80" i="28"/>
  <c r="Q57" i="28"/>
  <c r="AF33" i="28"/>
  <c r="AF33" i="30" s="1"/>
  <c r="W38" i="28"/>
  <c r="W38" i="30" s="1"/>
  <c r="AF72" i="28"/>
  <c r="Z71" i="28"/>
  <c r="N86" i="28"/>
  <c r="Z89" i="28"/>
  <c r="N77" i="28"/>
  <c r="W59" i="28"/>
  <c r="Z79" i="28"/>
  <c r="Q81" i="28"/>
  <c r="N82" i="28"/>
  <c r="AF68" i="28"/>
  <c r="W74" i="28"/>
  <c r="W44" i="28"/>
  <c r="W44" i="30" s="1"/>
  <c r="Q32" i="28"/>
  <c r="Q32" i="30" s="1"/>
  <c r="Z51" i="28"/>
  <c r="Z51" i="30" s="1"/>
  <c r="Z32" i="28"/>
  <c r="Z32" i="30" s="1"/>
  <c r="W11" i="28"/>
  <c r="W11" i="30" s="1"/>
  <c r="Z27" i="28"/>
  <c r="Z27" i="30" s="1"/>
  <c r="AF31" i="28"/>
  <c r="AF31" i="30" s="1"/>
  <c r="W47" i="28"/>
  <c r="W47" i="30" s="1"/>
  <c r="W35" i="28"/>
  <c r="W35" i="30" s="1"/>
  <c r="Z22" i="28"/>
  <c r="Z22" i="30" s="1"/>
  <c r="AF41" i="28"/>
  <c r="AF41" i="30" s="1"/>
  <c r="W51" i="28"/>
  <c r="W51" i="30" s="1"/>
  <c r="N22" i="28"/>
  <c r="N22" i="30" s="1"/>
  <c r="Z37" i="28"/>
  <c r="Z37" i="30" s="1"/>
  <c r="N46" i="28"/>
  <c r="N46" i="30" s="1"/>
  <c r="Q41" i="28"/>
  <c r="Q41" i="30" s="1"/>
  <c r="AF47" i="28"/>
  <c r="AF47" i="30" s="1"/>
  <c r="N53" i="28"/>
  <c r="N53" i="30" s="1"/>
  <c r="Z36" i="28"/>
  <c r="Z36" i="30" s="1"/>
  <c r="W41" i="28"/>
  <c r="W41" i="30" s="1"/>
  <c r="W21" i="28"/>
  <c r="W21" i="30" s="1"/>
  <c r="Z13" i="28"/>
  <c r="Z13" i="30" s="1"/>
  <c r="AF28" i="28"/>
  <c r="AF28" i="30" s="1"/>
  <c r="W79" i="28"/>
  <c r="AF84" i="28"/>
  <c r="AF67" i="28"/>
  <c r="AF58" i="28"/>
  <c r="Q68" i="28"/>
  <c r="N51" i="28"/>
  <c r="N51" i="30" s="1"/>
  <c r="AF39" i="28"/>
  <c r="AF39" i="30" s="1"/>
  <c r="N47" i="28"/>
  <c r="N47" i="30" s="1"/>
  <c r="N23" i="28"/>
  <c r="N23" i="30" s="1"/>
  <c r="W34" i="28"/>
  <c r="W34" i="30" s="1"/>
  <c r="Q13" i="28"/>
  <c r="Q13" i="30" s="1"/>
  <c r="Q26" i="28"/>
  <c r="Q26" i="30" s="1"/>
  <c r="Q51" i="28"/>
  <c r="Q51" i="30" s="1"/>
  <c r="N21" i="28"/>
  <c r="N21" i="30" s="1"/>
  <c r="AF19" i="28"/>
  <c r="AF19" i="30" s="1"/>
  <c r="W18" i="28"/>
  <c r="W18" i="30" s="1"/>
  <c r="Z39" i="28"/>
  <c r="Z39" i="30" s="1"/>
  <c r="N31" i="28"/>
  <c r="N31" i="30" s="1"/>
  <c r="Z70" i="28"/>
  <c r="Q59" i="28"/>
  <c r="N64" i="28"/>
  <c r="Z58" i="28"/>
  <c r="AF77" i="28"/>
  <c r="AF35" i="28"/>
  <c r="AF35" i="30" s="1"/>
  <c r="Z50" i="28"/>
  <c r="Z50" i="30" s="1"/>
  <c r="Z34" i="28"/>
  <c r="Z34" i="30" s="1"/>
  <c r="Z86" i="28"/>
  <c r="Z84" i="28"/>
  <c r="Z87" i="28"/>
  <c r="AF87" i="28"/>
  <c r="Q60" i="28"/>
  <c r="AF21" i="28"/>
  <c r="AF21" i="30" s="1"/>
  <c r="W12" i="28"/>
  <c r="W12" i="30" s="1"/>
  <c r="W42" i="28"/>
  <c r="W42" i="30" s="1"/>
  <c r="N12" i="28"/>
  <c r="N12" i="30" s="1"/>
  <c r="AF38" i="28"/>
  <c r="AF38" i="30" s="1"/>
  <c r="W20" i="28"/>
  <c r="W20" i="30" s="1"/>
  <c r="AF25" i="28"/>
  <c r="AF25" i="30" s="1"/>
  <c r="AF46" i="28"/>
  <c r="AF46" i="30" s="1"/>
  <c r="AF52" i="28"/>
  <c r="AF52" i="30" s="1"/>
  <c r="N27" i="28"/>
  <c r="N27" i="30" s="1"/>
  <c r="Q10" i="28"/>
  <c r="Q10" i="30" s="1"/>
  <c r="W88" i="28"/>
  <c r="N70" i="28"/>
  <c r="W76" i="28"/>
  <c r="AF71" i="28"/>
  <c r="N60" i="28"/>
  <c r="W72" i="28"/>
  <c r="W57" i="28"/>
  <c r="AF43" i="28"/>
  <c r="AF43" i="30" s="1"/>
  <c r="Z40" i="28"/>
  <c r="Z40" i="30" s="1"/>
  <c r="AF59" i="28"/>
  <c r="Z69" i="28"/>
  <c r="Q73" i="28"/>
  <c r="AF42" i="28"/>
  <c r="AF42" i="30" s="1"/>
  <c r="W26" i="28"/>
  <c r="W26" i="30" s="1"/>
  <c r="N17" i="28"/>
  <c r="N17" i="30" s="1"/>
  <c r="N87" i="28"/>
  <c r="Z81" i="28"/>
  <c r="Z54" i="28"/>
  <c r="Z54" i="30" s="1"/>
  <c r="Q23" i="28"/>
  <c r="Q23" i="30" s="1"/>
  <c r="AF10" i="28"/>
  <c r="AF10" i="30" s="1"/>
  <c r="N54" i="28"/>
  <c r="N54" i="30" s="1"/>
  <c r="Q42" i="28"/>
  <c r="Q42" i="30" s="1"/>
  <c r="N42" i="28"/>
  <c r="N42" i="30" s="1"/>
  <c r="Q72" i="28"/>
  <c r="N75" i="28"/>
  <c r="N37" i="28"/>
  <c r="N37" i="30" s="1"/>
  <c r="W30" i="28"/>
  <c r="W30" i="30" s="1"/>
  <c r="N48" i="28"/>
  <c r="N48" i="30" s="1"/>
  <c r="Q21" i="28"/>
  <c r="Q21" i="30" s="1"/>
  <c r="N43" i="28"/>
  <c r="N43" i="30" s="1"/>
  <c r="W90" i="28"/>
  <c r="W78" i="28"/>
  <c r="Q80" i="28"/>
  <c r="AF11" i="28"/>
  <c r="AF11" i="30" s="1"/>
  <c r="AF13" i="28"/>
  <c r="AF13" i="30" s="1"/>
  <c r="W32" i="28"/>
  <c r="W32" i="30" s="1"/>
  <c r="AF26" i="28"/>
  <c r="AF26" i="30" s="1"/>
  <c r="Z49" i="28"/>
  <c r="Z49" i="30" s="1"/>
  <c r="W19" i="28"/>
  <c r="W19" i="30" s="1"/>
  <c r="AF22" i="28"/>
  <c r="AF22" i="30" s="1"/>
  <c r="Q31" i="28"/>
  <c r="Q31" i="30" s="1"/>
  <c r="Z65" i="28"/>
  <c r="N49" i="28"/>
  <c r="N49" i="30" s="1"/>
  <c r="Q22" i="28"/>
  <c r="Q22" i="30" s="1"/>
  <c r="N45" i="28"/>
  <c r="N45" i="30" s="1"/>
  <c r="Q12" i="28"/>
  <c r="Q12" i="30" s="1"/>
  <c r="N73" i="28"/>
  <c r="W46" i="28"/>
  <c r="W46" i="30" s="1"/>
  <c r="N34" i="28"/>
  <c r="N34" i="30" s="1"/>
  <c r="Z20" i="28"/>
  <c r="Z26" i="28"/>
  <c r="Z26" i="30" s="1"/>
  <c r="N88" i="28"/>
  <c r="W36" i="28"/>
  <c r="W36" i="30" s="1"/>
  <c r="W10" i="28"/>
  <c r="W10" i="30" s="1"/>
  <c r="W40" i="28"/>
  <c r="W40" i="30" s="1"/>
  <c r="N30" i="28"/>
  <c r="N30" i="30" s="1"/>
  <c r="N40" i="28"/>
  <c r="N40" i="30" s="1"/>
  <c r="N44" i="28"/>
  <c r="N44" i="30" s="1"/>
  <c r="Q40" i="28"/>
  <c r="Q40" i="30" s="1"/>
  <c r="H74" i="28"/>
  <c r="Q54" i="28"/>
  <c r="Q54" i="30" s="1"/>
  <c r="W86" i="28"/>
  <c r="Q83" i="28"/>
  <c r="W56" i="28"/>
  <c r="W56" i="30" s="1"/>
  <c r="Z53" i="28"/>
  <c r="Z53" i="30" s="1"/>
  <c r="Z12" i="28"/>
  <c r="Z12" i="30" s="1"/>
  <c r="W14" i="28"/>
  <c r="W14" i="30" s="1"/>
  <c r="Q17" i="28"/>
  <c r="Q17" i="30" s="1"/>
  <c r="W52" i="28"/>
  <c r="W52" i="30" s="1"/>
  <c r="Q48" i="28"/>
  <c r="Q48" i="30" s="1"/>
  <c r="H61" i="28"/>
  <c r="Z78" i="28"/>
  <c r="AF53" i="28"/>
  <c r="AF53" i="30" s="1"/>
  <c r="W22" i="28"/>
  <c r="W22" i="30" s="1"/>
  <c r="H65" i="28"/>
  <c r="Z17" i="28"/>
  <c r="Z17" i="30" s="1"/>
  <c r="N26" i="28"/>
  <c r="N26" i="30" s="1"/>
  <c r="N63" i="28"/>
  <c r="AF15" i="28"/>
  <c r="AF15" i="30" s="1"/>
  <c r="N55" i="28"/>
  <c r="N55" i="30" s="1"/>
  <c r="Z55" i="28"/>
  <c r="Z55" i="30" s="1"/>
  <c r="H34" i="28"/>
  <c r="H34" i="30" s="1"/>
  <c r="H21" i="28"/>
  <c r="H21" i="30" s="1"/>
  <c r="H87" i="28"/>
  <c r="N36" i="28"/>
  <c r="N36" i="30" s="1"/>
  <c r="Z43" i="28"/>
  <c r="Z43" i="30" s="1"/>
  <c r="W29" i="28"/>
  <c r="W29" i="30" s="1"/>
  <c r="AF18" i="28"/>
  <c r="AF18" i="30" s="1"/>
  <c r="Q52" i="28"/>
  <c r="Q52" i="30" s="1"/>
  <c r="H42" i="28"/>
  <c r="H42" i="30" s="1"/>
  <c r="N25" i="28"/>
  <c r="N25" i="30" s="1"/>
  <c r="H78" i="28"/>
  <c r="Q39" i="28"/>
  <c r="Q39" i="30" s="1"/>
  <c r="Z18" i="28"/>
  <c r="Z18" i="30" s="1"/>
  <c r="W67" i="28"/>
  <c r="Q33" i="28"/>
  <c r="Q33" i="30" s="1"/>
  <c r="W53" i="28"/>
  <c r="W53" i="30" s="1"/>
  <c r="AF56" i="28"/>
  <c r="AF56" i="30" s="1"/>
  <c r="Z24" i="28"/>
  <c r="Z24" i="30" s="1"/>
  <c r="Q11" i="28"/>
  <c r="Q11" i="30" s="1"/>
  <c r="W23" i="28"/>
  <c r="W23" i="30" s="1"/>
  <c r="H63" i="28"/>
  <c r="N13" i="28"/>
  <c r="N13" i="30" s="1"/>
  <c r="H58" i="28"/>
  <c r="H58" i="30" s="1"/>
  <c r="W55" i="28"/>
  <c r="W55" i="30" s="1"/>
  <c r="Q55" i="28"/>
  <c r="Q55" i="30" s="1"/>
  <c r="Q37" i="28"/>
  <c r="Q37" i="30" s="1"/>
  <c r="W17" i="28"/>
  <c r="W17" i="30" s="1"/>
  <c r="Q29" i="28"/>
  <c r="Q29" i="30" s="1"/>
  <c r="Q50" i="28"/>
  <c r="Q50" i="30" s="1"/>
  <c r="AF60" i="28"/>
  <c r="N39" i="28"/>
  <c r="N39" i="30" s="1"/>
  <c r="W31" i="28"/>
  <c r="W31" i="30" s="1"/>
  <c r="W75" i="28"/>
  <c r="N19" i="28"/>
  <c r="N19" i="30" s="1"/>
  <c r="Z16" i="28"/>
  <c r="Z16" i="30" s="1"/>
  <c r="AF36" i="28"/>
  <c r="AF36" i="30" s="1"/>
  <c r="Q44" i="28"/>
  <c r="Q44" i="30" s="1"/>
  <c r="W33" i="28"/>
  <c r="H83" i="28"/>
  <c r="H22" i="28"/>
  <c r="H22" i="30" s="1"/>
  <c r="N11" i="28"/>
  <c r="N11" i="30" s="1"/>
  <c r="H75" i="28"/>
  <c r="H50" i="28"/>
  <c r="H50" i="30" s="1"/>
  <c r="H90" i="28"/>
  <c r="AE16" i="21"/>
  <c r="AP16" i="21" s="1"/>
  <c r="H14" i="28"/>
  <c r="H14" i="30" s="1"/>
  <c r="AF34" i="28"/>
  <c r="AF34" i="30" s="1"/>
  <c r="Z19" i="28"/>
  <c r="Z19" i="30" s="1"/>
  <c r="H72" i="28"/>
  <c r="H81" i="28"/>
  <c r="H85" i="28"/>
  <c r="H67" i="28"/>
  <c r="AF17" i="28"/>
  <c r="AF17" i="30" s="1"/>
  <c r="N16" i="28"/>
  <c r="N16" i="30" s="1"/>
  <c r="H31" i="28"/>
  <c r="H31" i="30" s="1"/>
  <c r="H30" i="28"/>
  <c r="H30" i="30" s="1"/>
  <c r="H71" i="28"/>
  <c r="AF48" i="28"/>
  <c r="AF48" i="30" s="1"/>
  <c r="H35" i="28"/>
  <c r="H35" i="30" s="1"/>
  <c r="Q27" i="28"/>
  <c r="Q27" i="30" s="1"/>
  <c r="Z48" i="28"/>
  <c r="Z48" i="30" s="1"/>
  <c r="AF16" i="28"/>
  <c r="AF16" i="30" s="1"/>
  <c r="H59" i="28"/>
  <c r="H59" i="30" s="1"/>
  <c r="H80" i="28"/>
  <c r="N15" i="28"/>
  <c r="N15" i="30" s="1"/>
  <c r="H29" i="28"/>
  <c r="H29" i="30" s="1"/>
  <c r="Z85" i="28"/>
  <c r="W15" i="28"/>
  <c r="W15" i="30" s="1"/>
  <c r="AE17" i="21"/>
  <c r="AP17" i="21" s="1"/>
  <c r="AF20" i="28"/>
  <c r="AF20" i="30" s="1"/>
  <c r="H82" i="28"/>
  <c r="H64" i="28"/>
  <c r="H66" i="28"/>
  <c r="H89" i="28"/>
  <c r="Q18" i="28"/>
  <c r="Q18" i="30" s="1"/>
  <c r="Q53" i="28"/>
  <c r="Q53" i="30" s="1"/>
  <c r="H86" i="28"/>
  <c r="W48" i="28"/>
  <c r="W48" i="30" s="1"/>
  <c r="Q28" i="28"/>
  <c r="Q28" i="30" s="1"/>
  <c r="H60" i="28"/>
  <c r="AE15" i="21"/>
  <c r="AP15" i="21" s="1"/>
  <c r="H88" i="28"/>
  <c r="H45" i="28"/>
  <c r="H45" i="30" s="1"/>
  <c r="N9" i="28"/>
  <c r="AE32" i="21"/>
  <c r="AP32" i="21" s="1"/>
  <c r="AF24" i="28"/>
  <c r="AF24" i="30" s="1"/>
  <c r="H79" i="28"/>
  <c r="Q56" i="28"/>
  <c r="Q56" i="30" s="1"/>
  <c r="H48" i="28"/>
  <c r="H48" i="30" s="1"/>
  <c r="H56" i="28"/>
  <c r="H56" i="30" s="1"/>
  <c r="H28" i="28"/>
  <c r="H28" i="30" s="1"/>
  <c r="AF73" i="28"/>
  <c r="W27" i="28"/>
  <c r="W27" i="30" s="1"/>
  <c r="N56" i="28"/>
  <c r="N56" i="30" s="1"/>
  <c r="H73" i="28"/>
  <c r="H51" i="28"/>
  <c r="H51" i="30" s="1"/>
  <c r="AE26" i="21"/>
  <c r="AP26" i="21" s="1"/>
  <c r="AF50" i="28"/>
  <c r="AF50" i="30" s="1"/>
  <c r="AE19" i="21"/>
  <c r="AP19" i="21" s="1"/>
  <c r="N50" i="28"/>
  <c r="N50" i="30" s="1"/>
  <c r="Q25" i="28"/>
  <c r="Q25" i="30" s="1"/>
  <c r="Z21" i="28"/>
  <c r="Z21" i="30" s="1"/>
  <c r="H46" i="28"/>
  <c r="H46" i="30" s="1"/>
  <c r="H41" i="28"/>
  <c r="H41" i="30" s="1"/>
  <c r="Z56" i="28"/>
  <c r="Z56" i="30" s="1"/>
  <c r="W37" i="28"/>
  <c r="W37" i="30" s="1"/>
  <c r="AE24" i="21"/>
  <c r="AP24" i="21" s="1"/>
  <c r="AE29" i="21"/>
  <c r="AP29" i="21" s="1"/>
  <c r="AF29" i="28"/>
  <c r="AF29" i="30" s="1"/>
  <c r="Q16" i="28"/>
  <c r="Q16" i="30" s="1"/>
  <c r="AE18" i="21"/>
  <c r="AP18" i="21" s="1"/>
  <c r="N28" i="28"/>
  <c r="N28" i="30" s="1"/>
  <c r="H84" i="28"/>
  <c r="AF12" i="28"/>
  <c r="AF12" i="30" s="1"/>
  <c r="W50" i="28"/>
  <c r="W50" i="30" s="1"/>
  <c r="H76" i="28"/>
  <c r="W13" i="28"/>
  <c r="W13" i="30" s="1"/>
  <c r="Z14" i="28"/>
  <c r="Z14" i="30" s="1"/>
  <c r="Z11" i="28"/>
  <c r="Z11" i="30" s="1"/>
  <c r="N52" i="28"/>
  <c r="N52" i="30" s="1"/>
  <c r="H27" i="28"/>
  <c r="H27" i="30" s="1"/>
  <c r="AE23" i="21"/>
  <c r="AP23" i="21" s="1"/>
  <c r="AE28" i="21"/>
  <c r="AP28" i="21" s="1"/>
  <c r="Q35" i="28"/>
  <c r="Q35" i="30" s="1"/>
  <c r="H55" i="28"/>
  <c r="H55" i="30" s="1"/>
  <c r="H20" i="28"/>
  <c r="H20" i="30" s="1"/>
  <c r="H26" i="28"/>
  <c r="H26" i="30" s="1"/>
  <c r="H19" i="28"/>
  <c r="H19" i="30" s="1"/>
  <c r="H44" i="28"/>
  <c r="H44" i="30" s="1"/>
  <c r="N24" i="28"/>
  <c r="N24" i="30" s="1"/>
  <c r="Q15" i="28"/>
  <c r="Q15" i="30" s="1"/>
  <c r="H70" i="28"/>
  <c r="AE27" i="21"/>
  <c r="AP27" i="21" s="1"/>
  <c r="H38" i="28"/>
  <c r="H38" i="30" s="1"/>
  <c r="H24" i="28"/>
  <c r="H24" i="30" s="1"/>
  <c r="N38" i="28"/>
  <c r="N38" i="30" s="1"/>
  <c r="Z15" i="28"/>
  <c r="Z15" i="30" s="1"/>
  <c r="AE21" i="21"/>
  <c r="AP21" i="21" s="1"/>
  <c r="H49" i="28"/>
  <c r="H49" i="30" s="1"/>
  <c r="H39" i="28"/>
  <c r="H39" i="30" s="1"/>
  <c r="H52" i="28"/>
  <c r="H52" i="30" s="1"/>
  <c r="H40" i="28"/>
  <c r="H40" i="30" s="1"/>
  <c r="Q24" i="28"/>
  <c r="Q24" i="30" s="1"/>
  <c r="AF9" i="28"/>
  <c r="H47" i="28"/>
  <c r="H47" i="30" s="1"/>
  <c r="H16" i="28"/>
  <c r="H16" i="30" s="1"/>
  <c r="Z9" i="28"/>
  <c r="H43" i="28"/>
  <c r="H43" i="30" s="1"/>
  <c r="H33" i="28"/>
  <c r="H33" i="30" s="1"/>
  <c r="AE25" i="21"/>
  <c r="AP25" i="21" s="1"/>
  <c r="H23" i="28"/>
  <c r="H23" i="30" s="1"/>
  <c r="H17" i="28"/>
  <c r="H17" i="30" s="1"/>
  <c r="W9" i="28"/>
  <c r="H25" i="28"/>
  <c r="H25" i="30" s="1"/>
  <c r="N14" i="28"/>
  <c r="N14" i="30" s="1"/>
  <c r="H62" i="28"/>
  <c r="H13" i="28"/>
  <c r="H13" i="30" s="1"/>
  <c r="H11" i="28"/>
  <c r="H11" i="30" s="1"/>
  <c r="N18" i="28"/>
  <c r="N18" i="30" s="1"/>
  <c r="Z28" i="28"/>
  <c r="Z28" i="30" s="1"/>
  <c r="H9" i="28"/>
  <c r="H9" i="30" s="1"/>
  <c r="H68" i="28"/>
  <c r="W54" i="28"/>
  <c r="W54" i="30" s="1"/>
  <c r="Q9" i="28"/>
  <c r="H69" i="28"/>
  <c r="H37" i="28"/>
  <c r="H37" i="30" s="1"/>
  <c r="AF23" i="28"/>
  <c r="AF23" i="30" s="1"/>
  <c r="AE30" i="21"/>
  <c r="AP30" i="21" s="1"/>
  <c r="Z25" i="28"/>
  <c r="Z25" i="30" s="1"/>
  <c r="H15" i="28"/>
  <c r="H15" i="30" s="1"/>
  <c r="Z41" i="28"/>
  <c r="Z41" i="30" s="1"/>
  <c r="H57" i="28"/>
  <c r="H57" i="30" s="1"/>
  <c r="H54" i="28"/>
  <c r="H54" i="30" s="1"/>
  <c r="Z52" i="28"/>
  <c r="Z52" i="30" s="1"/>
  <c r="AE13" i="21"/>
  <c r="AP13" i="21" s="1"/>
  <c r="AE11" i="28"/>
  <c r="AE11" i="30" s="1"/>
  <c r="H60" i="30" l="1"/>
  <c r="H73" i="30"/>
  <c r="H86" i="30"/>
  <c r="H77" i="30"/>
  <c r="H67" i="30"/>
  <c r="H69" i="30"/>
  <c r="H65" i="30"/>
  <c r="H90" i="30"/>
  <c r="H79" i="30"/>
  <c r="H75" i="30"/>
  <c r="H85" i="30"/>
  <c r="H76" i="30"/>
  <c r="H78" i="30"/>
  <c r="H68" i="30"/>
  <c r="H70" i="30"/>
  <c r="H62" i="30"/>
  <c r="H81" i="30"/>
  <c r="H82" i="30"/>
  <c r="H63" i="30"/>
  <c r="H88" i="30"/>
  <c r="H80" i="30"/>
  <c r="H72" i="30"/>
  <c r="H87" i="30"/>
  <c r="H61" i="30"/>
  <c r="H84" i="30"/>
  <c r="H83" i="30"/>
  <c r="H64" i="30"/>
  <c r="H74" i="30"/>
  <c r="H71" i="30"/>
  <c r="H66" i="30"/>
  <c r="H89" i="30"/>
  <c r="G87" i="30"/>
  <c r="G66" i="30"/>
  <c r="G67" i="30"/>
  <c r="G73" i="30"/>
  <c r="G90" i="30"/>
  <c r="G71" i="30"/>
  <c r="G62" i="30"/>
  <c r="G79" i="30"/>
  <c r="G83" i="30"/>
  <c r="G81" i="30"/>
  <c r="G78" i="30"/>
  <c r="G72" i="30"/>
  <c r="G70" i="30"/>
  <c r="G69" i="30"/>
  <c r="G61" i="30"/>
  <c r="G89" i="30"/>
  <c r="G86" i="30"/>
  <c r="G80" i="30"/>
  <c r="G82" i="30"/>
  <c r="G77" i="30"/>
  <c r="G74" i="30"/>
  <c r="G68" i="30"/>
  <c r="G60" i="30"/>
  <c r="G88" i="30"/>
  <c r="G85" i="30"/>
  <c r="G84" i="30"/>
  <c r="G63" i="30"/>
  <c r="G76" i="30"/>
  <c r="G64" i="30"/>
  <c r="G65" i="30"/>
  <c r="G75" i="30"/>
  <c r="AD1" i="21"/>
  <c r="AE2" i="21"/>
  <c r="Q183" i="30" s="1"/>
  <c r="W184" i="30" s="1"/>
  <c r="W186" i="30" s="1"/>
  <c r="C13" i="21"/>
  <c r="AE3" i="21"/>
  <c r="Z183" i="30" s="1"/>
  <c r="AF184" i="30" s="1"/>
  <c r="AF186" i="30" s="1"/>
  <c r="AE1" i="21"/>
  <c r="H183" i="30" s="1"/>
  <c r="N184" i="30" s="1"/>
  <c r="N186" i="30" s="1"/>
  <c r="AE156" i="28"/>
  <c r="L16" i="33"/>
  <c r="L40" i="33" s="1"/>
  <c r="AE93" i="28"/>
  <c r="AE93" i="30" s="1"/>
  <c r="V155" i="28"/>
  <c r="Y157" i="28"/>
  <c r="Y161" i="28"/>
  <c r="AE97" i="28"/>
  <c r="AE97" i="30" s="1"/>
  <c r="P146" i="28"/>
  <c r="AE170" i="28"/>
  <c r="G160" i="28"/>
  <c r="P170" i="28"/>
  <c r="V138" i="28"/>
  <c r="V138" i="30" s="1"/>
  <c r="V131" i="28"/>
  <c r="V131" i="30" s="1"/>
  <c r="H105" i="28"/>
  <c r="H105" i="30" s="1"/>
  <c r="N141" i="28"/>
  <c r="AE130" i="28"/>
  <c r="AE130" i="30" s="1"/>
  <c r="V163" i="28"/>
  <c r="Y110" i="28"/>
  <c r="Y110" i="30" s="1"/>
  <c r="AE155" i="28"/>
  <c r="AE150" i="28"/>
  <c r="M106" i="28"/>
  <c r="M106" i="30" s="1"/>
  <c r="Y156" i="28"/>
  <c r="Z163" i="28"/>
  <c r="P151" i="28"/>
  <c r="H120" i="28"/>
  <c r="H120" i="30" s="1"/>
  <c r="V123" i="28"/>
  <c r="V123" i="30" s="1"/>
  <c r="M133" i="28"/>
  <c r="M133" i="30" s="1"/>
  <c r="M119" i="28"/>
  <c r="M119" i="30" s="1"/>
  <c r="AF139" i="28"/>
  <c r="AF139" i="30" s="1"/>
  <c r="AE98" i="28"/>
  <c r="AE98" i="30" s="1"/>
  <c r="V165" i="28"/>
  <c r="Z93" i="28"/>
  <c r="Z93" i="30" s="1"/>
  <c r="AF173" i="28"/>
  <c r="G127" i="28"/>
  <c r="G127" i="30" s="1"/>
  <c r="G105" i="28"/>
  <c r="G105" i="30" s="1"/>
  <c r="Y138" i="28"/>
  <c r="Y138" i="30" s="1"/>
  <c r="Y107" i="28"/>
  <c r="Y107" i="30" s="1"/>
  <c r="G136" i="28"/>
  <c r="G136" i="30" s="1"/>
  <c r="V147" i="28"/>
  <c r="AE162" i="28"/>
  <c r="H125" i="28"/>
  <c r="H125" i="30" s="1"/>
  <c r="H114" i="28"/>
  <c r="H114" i="30" s="1"/>
  <c r="H106" i="28"/>
  <c r="H106" i="30" s="1"/>
  <c r="M118" i="28"/>
  <c r="M118" i="30" s="1"/>
  <c r="P118" i="28"/>
  <c r="P118" i="30" s="1"/>
  <c r="AE148" i="28"/>
  <c r="W130" i="28"/>
  <c r="W130" i="30" s="1"/>
  <c r="P166" i="28"/>
  <c r="Y173" i="28"/>
  <c r="P157" i="28"/>
  <c r="H110" i="28"/>
  <c r="H110" i="30" s="1"/>
  <c r="H115" i="28"/>
  <c r="H115" i="30" s="1"/>
  <c r="Z159" i="28"/>
  <c r="G140" i="28"/>
  <c r="G140" i="30" s="1"/>
  <c r="Y105" i="28"/>
  <c r="Y105" i="30" s="1"/>
  <c r="Y118" i="28"/>
  <c r="Y118" i="30" s="1"/>
  <c r="P171" i="28"/>
  <c r="V158" i="28"/>
  <c r="M161" i="28"/>
  <c r="Q160" i="28"/>
  <c r="V122" i="28"/>
  <c r="V122" i="30" s="1"/>
  <c r="AF93" i="28"/>
  <c r="AF93" i="30" s="1"/>
  <c r="AF125" i="28"/>
  <c r="AF125" i="30" s="1"/>
  <c r="AE102" i="28"/>
  <c r="AE102" i="30" s="1"/>
  <c r="V99" i="28"/>
  <c r="V99" i="30" s="1"/>
  <c r="P148" i="28"/>
  <c r="Y168" i="28"/>
  <c r="Q173" i="28"/>
  <c r="Z108" i="28"/>
  <c r="Z108" i="30" s="1"/>
  <c r="M102" i="28"/>
  <c r="M102" i="30" s="1"/>
  <c r="H118" i="28"/>
  <c r="H118" i="30" s="1"/>
  <c r="Q167" i="28"/>
  <c r="H94" i="28"/>
  <c r="H94" i="30" s="1"/>
  <c r="V115" i="28"/>
  <c r="V115" i="30" s="1"/>
  <c r="P122" i="28"/>
  <c r="P122" i="30" s="1"/>
  <c r="P137" i="28"/>
  <c r="P137" i="30" s="1"/>
  <c r="G103" i="28"/>
  <c r="G103" i="30" s="1"/>
  <c r="Y106" i="28"/>
  <c r="Y106" i="30" s="1"/>
  <c r="AE119" i="28"/>
  <c r="AE119" i="30" s="1"/>
  <c r="G96" i="28"/>
  <c r="G96" i="30" s="1"/>
  <c r="AE166" i="28"/>
  <c r="G132" i="28"/>
  <c r="G132" i="30" s="1"/>
  <c r="V152" i="28"/>
  <c r="Y149" i="28"/>
  <c r="AE159" i="28"/>
  <c r="Y174" i="28"/>
  <c r="M153" i="28"/>
  <c r="P96" i="28"/>
  <c r="P96" i="30" s="1"/>
  <c r="N155" i="28"/>
  <c r="G124" i="28"/>
  <c r="G124" i="30" s="1"/>
  <c r="P103" i="28"/>
  <c r="P103" i="30" s="1"/>
  <c r="H102" i="28"/>
  <c r="H102" i="30" s="1"/>
  <c r="Y139" i="28"/>
  <c r="Y139" i="30" s="1"/>
  <c r="Q120" i="28"/>
  <c r="Q120" i="30" s="1"/>
  <c r="AE132" i="28"/>
  <c r="AE132" i="30" s="1"/>
  <c r="P139" i="28"/>
  <c r="P139" i="30" s="1"/>
  <c r="P133" i="28"/>
  <c r="P133" i="30" s="1"/>
  <c r="Y129" i="28"/>
  <c r="Y129" i="30" s="1"/>
  <c r="V141" i="28"/>
  <c r="Y111" i="28"/>
  <c r="Y111" i="30" s="1"/>
  <c r="Q155" i="28"/>
  <c r="AE149" i="28"/>
  <c r="Y166" i="28"/>
  <c r="P144" i="28"/>
  <c r="W125" i="28"/>
  <c r="W125" i="30" s="1"/>
  <c r="G128" i="28"/>
  <c r="G128" i="30" s="1"/>
  <c r="AE120" i="28"/>
  <c r="AE120" i="30" s="1"/>
  <c r="AE136" i="28"/>
  <c r="AE136" i="30" s="1"/>
  <c r="Y120" i="28"/>
  <c r="Y120" i="30" s="1"/>
  <c r="P124" i="28"/>
  <c r="P124" i="30" s="1"/>
  <c r="AE115" i="28"/>
  <c r="AE115" i="30" s="1"/>
  <c r="G114" i="28"/>
  <c r="G114" i="30" s="1"/>
  <c r="Y152" i="28"/>
  <c r="M109" i="28"/>
  <c r="M109" i="30" s="1"/>
  <c r="Y100" i="28"/>
  <c r="Y100" i="30" s="1"/>
  <c r="AE151" i="28"/>
  <c r="Y144" i="28"/>
  <c r="V148" i="28"/>
  <c r="Y165" i="28"/>
  <c r="M136" i="28"/>
  <c r="M136" i="30" s="1"/>
  <c r="P121" i="28"/>
  <c r="P121" i="30" s="1"/>
  <c r="Q121" i="28"/>
  <c r="Q121" i="30" s="1"/>
  <c r="AF132" i="28"/>
  <c r="AF132" i="30" s="1"/>
  <c r="H172" i="28"/>
  <c r="H127" i="28"/>
  <c r="H127" i="30" s="1"/>
  <c r="H123" i="28"/>
  <c r="H123" i="30" s="1"/>
  <c r="H107" i="28"/>
  <c r="H107" i="30" s="1"/>
  <c r="H126" i="28"/>
  <c r="H126" i="30" s="1"/>
  <c r="V140" i="28"/>
  <c r="V140" i="30" s="1"/>
  <c r="AE139" i="28"/>
  <c r="AE139" i="30" s="1"/>
  <c r="V114" i="28"/>
  <c r="V114" i="30" s="1"/>
  <c r="P120" i="28"/>
  <c r="P120" i="30" s="1"/>
  <c r="AE106" i="28"/>
  <c r="AE106" i="30" s="1"/>
  <c r="N109" i="28"/>
  <c r="N109" i="30" s="1"/>
  <c r="Y164" i="28"/>
  <c r="Z95" i="28"/>
  <c r="Z95" i="30" s="1"/>
  <c r="M101" i="28"/>
  <c r="M101" i="30" s="1"/>
  <c r="M128" i="28"/>
  <c r="M128" i="30" s="1"/>
  <c r="Y158" i="28"/>
  <c r="Y160" i="28"/>
  <c r="P152" i="28"/>
  <c r="V172" i="28"/>
  <c r="V133" i="28"/>
  <c r="V133" i="30" s="1"/>
  <c r="AF147" i="28"/>
  <c r="P123" i="28"/>
  <c r="P123" i="30" s="1"/>
  <c r="N117" i="28"/>
  <c r="N117" i="30" s="1"/>
  <c r="AF117" i="28"/>
  <c r="AF117" i="30" s="1"/>
  <c r="V128" i="28"/>
  <c r="V128" i="30" s="1"/>
  <c r="AF111" i="28"/>
  <c r="AF111" i="30" s="1"/>
  <c r="AF129" i="28"/>
  <c r="AF129" i="30" s="1"/>
  <c r="Y94" i="28"/>
  <c r="Y94" i="30" s="1"/>
  <c r="AF113" i="28"/>
  <c r="AF113" i="30" s="1"/>
  <c r="P99" i="28"/>
  <c r="P99" i="30" s="1"/>
  <c r="AF133" i="28"/>
  <c r="AF133" i="30" s="1"/>
  <c r="AE152" i="28"/>
  <c r="AE143" i="28"/>
  <c r="AE173" i="28"/>
  <c r="AF96" i="28"/>
  <c r="AF96" i="30" s="1"/>
  <c r="N143" i="28"/>
  <c r="V102" i="28"/>
  <c r="V102" i="30" s="1"/>
  <c r="M129" i="28"/>
  <c r="M129" i="30" s="1"/>
  <c r="H146" i="28"/>
  <c r="W135" i="28"/>
  <c r="W135" i="30" s="1"/>
  <c r="V107" i="28"/>
  <c r="V107" i="30" s="1"/>
  <c r="Q124" i="28"/>
  <c r="Q124" i="30" s="1"/>
  <c r="AE157" i="28"/>
  <c r="AE126" i="28"/>
  <c r="AE126" i="30" s="1"/>
  <c r="M110" i="28"/>
  <c r="M110" i="30" s="1"/>
  <c r="G112" i="28"/>
  <c r="G112" i="30" s="1"/>
  <c r="AE144" i="28"/>
  <c r="N148" i="28"/>
  <c r="Q105" i="28"/>
  <c r="Q105" i="30" s="1"/>
  <c r="N127" i="28"/>
  <c r="N127" i="30" s="1"/>
  <c r="Y136" i="28"/>
  <c r="Y136" i="30" s="1"/>
  <c r="AF152" i="28"/>
  <c r="Y112" i="28"/>
  <c r="Y112" i="30" s="1"/>
  <c r="N168" i="28"/>
  <c r="AE107" i="28"/>
  <c r="AE107" i="30" s="1"/>
  <c r="AE118" i="28"/>
  <c r="AE118" i="30" s="1"/>
  <c r="AE100" i="28"/>
  <c r="AE100" i="30" s="1"/>
  <c r="AF94" i="28"/>
  <c r="AF94" i="30" s="1"/>
  <c r="AE167" i="28"/>
  <c r="M145" i="28"/>
  <c r="G165" i="28"/>
  <c r="AE112" i="28"/>
  <c r="AE112" i="30" s="1"/>
  <c r="AE111" i="28"/>
  <c r="AE111" i="30" s="1"/>
  <c r="Q111" i="28"/>
  <c r="Q111" i="30" s="1"/>
  <c r="H159" i="28"/>
  <c r="Q136" i="28"/>
  <c r="Q136" i="30" s="1"/>
  <c r="H162" i="28"/>
  <c r="AF107" i="28"/>
  <c r="AF107" i="30" s="1"/>
  <c r="N136" i="28"/>
  <c r="N136" i="30" s="1"/>
  <c r="Q101" i="28"/>
  <c r="Q101" i="30" s="1"/>
  <c r="V127" i="28"/>
  <c r="V127" i="30" s="1"/>
  <c r="W126" i="28"/>
  <c r="W126" i="30" s="1"/>
  <c r="G163" i="28"/>
  <c r="Z173" i="28"/>
  <c r="AF166" i="28"/>
  <c r="H173" i="28"/>
  <c r="P114" i="28"/>
  <c r="P114" i="30" s="1"/>
  <c r="M121" i="28"/>
  <c r="M121" i="30" s="1"/>
  <c r="Y119" i="28"/>
  <c r="Y119" i="30" s="1"/>
  <c r="Z172" i="28"/>
  <c r="N123" i="28"/>
  <c r="N123" i="30" s="1"/>
  <c r="Z100" i="28"/>
  <c r="Z100" i="30" s="1"/>
  <c r="Z170" i="28"/>
  <c r="V167" i="28"/>
  <c r="G152" i="28"/>
  <c r="AF159" i="28"/>
  <c r="V154" i="28"/>
  <c r="V144" i="28"/>
  <c r="H116" i="28"/>
  <c r="H116" i="30" s="1"/>
  <c r="Y96" i="28"/>
  <c r="Y96" i="30" s="1"/>
  <c r="Z143" i="28"/>
  <c r="AE169" i="28"/>
  <c r="P172" i="28"/>
  <c r="P142" i="28"/>
  <c r="V171" i="28"/>
  <c r="AF150" i="28"/>
  <c r="P160" i="28"/>
  <c r="V146" i="28"/>
  <c r="V149" i="28"/>
  <c r="P150" i="28"/>
  <c r="P164" i="28"/>
  <c r="P165" i="28"/>
  <c r="Z119" i="28"/>
  <c r="Z119" i="30" s="1"/>
  <c r="Z147" i="28"/>
  <c r="AF155" i="28"/>
  <c r="Q145" i="28"/>
  <c r="Z155" i="28"/>
  <c r="P143" i="28"/>
  <c r="N173" i="28"/>
  <c r="G119" i="28"/>
  <c r="G119" i="30" s="1"/>
  <c r="AE141" i="28"/>
  <c r="AE167" i="30" s="1"/>
  <c r="N159" i="28"/>
  <c r="AE117" i="28"/>
  <c r="AE117" i="30" s="1"/>
  <c r="V169" i="28"/>
  <c r="AE138" i="28"/>
  <c r="AE138" i="30" s="1"/>
  <c r="W123" i="28"/>
  <c r="W123" i="30" s="1"/>
  <c r="P100" i="28"/>
  <c r="P100" i="30" s="1"/>
  <c r="AE158" i="28"/>
  <c r="G100" i="28"/>
  <c r="G100" i="30" s="1"/>
  <c r="G120" i="28"/>
  <c r="G120" i="30" s="1"/>
  <c r="P93" i="28"/>
  <c r="P93" i="30" s="1"/>
  <c r="V159" i="28"/>
  <c r="P141" i="28"/>
  <c r="G99" i="28"/>
  <c r="G99" i="30" s="1"/>
  <c r="P138" i="28"/>
  <c r="P138" i="30" s="1"/>
  <c r="Q156" i="28"/>
  <c r="M113" i="28"/>
  <c r="M113" i="30" s="1"/>
  <c r="Y121" i="28"/>
  <c r="Y121" i="30" s="1"/>
  <c r="P109" i="28"/>
  <c r="P109" i="30" s="1"/>
  <c r="P107" i="28"/>
  <c r="P107" i="30" s="1"/>
  <c r="M95" i="28"/>
  <c r="M95" i="30" s="1"/>
  <c r="G135" i="28"/>
  <c r="G135" i="30" s="1"/>
  <c r="W105" i="28"/>
  <c r="W105" i="30" s="1"/>
  <c r="M123" i="28"/>
  <c r="M123" i="30" s="1"/>
  <c r="Y134" i="28"/>
  <c r="Y134" i="30" s="1"/>
  <c r="V110" i="28"/>
  <c r="V110" i="30" s="1"/>
  <c r="V125" i="28"/>
  <c r="V125" i="30" s="1"/>
  <c r="AE124" i="28"/>
  <c r="AE124" i="30" s="1"/>
  <c r="AF102" i="28"/>
  <c r="AF102" i="30" s="1"/>
  <c r="G122" i="28"/>
  <c r="G122" i="30" s="1"/>
  <c r="Y162" i="28"/>
  <c r="Z137" i="28"/>
  <c r="Z137" i="30" s="1"/>
  <c r="Z146" i="28"/>
  <c r="H166" i="28"/>
  <c r="G101" i="28"/>
  <c r="G101" i="30" s="1"/>
  <c r="P129" i="28"/>
  <c r="P129" i="30" s="1"/>
  <c r="Y102" i="28"/>
  <c r="Y102" i="30" s="1"/>
  <c r="P98" i="28"/>
  <c r="P98" i="30" s="1"/>
  <c r="H161" i="28"/>
  <c r="H96" i="28"/>
  <c r="H96" i="30" s="1"/>
  <c r="V136" i="28"/>
  <c r="V136" i="30" s="1"/>
  <c r="V124" i="28"/>
  <c r="V124" i="30" s="1"/>
  <c r="H103" i="28"/>
  <c r="H103" i="30" s="1"/>
  <c r="AE109" i="28"/>
  <c r="AE109" i="30" s="1"/>
  <c r="P174" i="28"/>
  <c r="AE163" i="28"/>
  <c r="AF174" i="28"/>
  <c r="Y163" i="28"/>
  <c r="V153" i="28"/>
  <c r="Y148" i="28"/>
  <c r="AE146" i="28"/>
  <c r="V164" i="28"/>
  <c r="Y150" i="28"/>
  <c r="V156" i="28"/>
  <c r="Y151" i="28"/>
  <c r="AE172" i="28"/>
  <c r="V121" i="28"/>
  <c r="V121" i="30" s="1"/>
  <c r="M114" i="28"/>
  <c r="M114" i="30" s="1"/>
  <c r="Y167" i="28"/>
  <c r="AE104" i="28"/>
  <c r="AE104" i="30" s="1"/>
  <c r="H137" i="28"/>
  <c r="H137" i="30" s="1"/>
  <c r="P153" i="28"/>
  <c r="V150" i="28"/>
  <c r="Z149" i="28"/>
  <c r="V166" i="28"/>
  <c r="AE160" i="28"/>
  <c r="G144" i="28"/>
  <c r="P155" i="28"/>
  <c r="P173" i="28"/>
  <c r="G150" i="28"/>
  <c r="Y143" i="28"/>
  <c r="P168" i="28"/>
  <c r="Z168" i="28"/>
  <c r="G142" i="28"/>
  <c r="G142" i="30" s="1"/>
  <c r="AF146" i="28"/>
  <c r="V142" i="28"/>
  <c r="P112" i="28"/>
  <c r="P112" i="30" s="1"/>
  <c r="V168" i="28"/>
  <c r="AE153" i="28"/>
  <c r="AE165" i="28"/>
  <c r="V100" i="28"/>
  <c r="V100" i="30" s="1"/>
  <c r="N113" i="28"/>
  <c r="N113" i="30" s="1"/>
  <c r="M107" i="28"/>
  <c r="M107" i="30" s="1"/>
  <c r="N105" i="28"/>
  <c r="N105" i="30" s="1"/>
  <c r="AF157" i="28"/>
  <c r="Q117" i="28"/>
  <c r="Q117" i="30" s="1"/>
  <c r="G129" i="28"/>
  <c r="G129" i="30" s="1"/>
  <c r="N169" i="28"/>
  <c r="AF162" i="28"/>
  <c r="M122" i="28"/>
  <c r="M122" i="30" s="1"/>
  <c r="G141" i="28"/>
  <c r="G141" i="30" s="1"/>
  <c r="V137" i="28"/>
  <c r="V137" i="30" s="1"/>
  <c r="P127" i="28"/>
  <c r="P127" i="30" s="1"/>
  <c r="AE161" i="28"/>
  <c r="Z161" i="28"/>
  <c r="AE129" i="28"/>
  <c r="AE129" i="30" s="1"/>
  <c r="V151" i="28"/>
  <c r="W121" i="28"/>
  <c r="W121" i="30" s="1"/>
  <c r="P126" i="28"/>
  <c r="P126" i="30" s="1"/>
  <c r="AF140" i="28"/>
  <c r="AF140" i="30" s="1"/>
  <c r="N102" i="28"/>
  <c r="N102" i="30" s="1"/>
  <c r="Q99" i="28"/>
  <c r="Q99" i="30" s="1"/>
  <c r="G104" i="28"/>
  <c r="G104" i="30" s="1"/>
  <c r="AF105" i="28"/>
  <c r="AF105" i="30" s="1"/>
  <c r="Z112" i="28"/>
  <c r="Z112" i="30" s="1"/>
  <c r="M125" i="28"/>
  <c r="M125" i="30" s="1"/>
  <c r="M140" i="28"/>
  <c r="M140" i="30" s="1"/>
  <c r="AF134" i="28"/>
  <c r="AF134" i="30" s="1"/>
  <c r="P105" i="28"/>
  <c r="P105" i="30" s="1"/>
  <c r="V118" i="28"/>
  <c r="V118" i="30" s="1"/>
  <c r="AF160" i="28"/>
  <c r="Z141" i="28"/>
  <c r="P135" i="28"/>
  <c r="P135" i="30" s="1"/>
  <c r="G139" i="28"/>
  <c r="G139" i="30" s="1"/>
  <c r="Y116" i="28"/>
  <c r="Y116" i="30" s="1"/>
  <c r="Y99" i="28"/>
  <c r="Y99" i="30" s="1"/>
  <c r="N103" i="28"/>
  <c r="N103" i="30" s="1"/>
  <c r="H99" i="28"/>
  <c r="H99" i="30" s="1"/>
  <c r="V134" i="28"/>
  <c r="V134" i="30" s="1"/>
  <c r="Z109" i="28"/>
  <c r="Z109" i="30" s="1"/>
  <c r="H145" i="28"/>
  <c r="P113" i="28"/>
  <c r="P113" i="30" s="1"/>
  <c r="G123" i="28"/>
  <c r="G123" i="30" s="1"/>
  <c r="G138" i="28"/>
  <c r="G138" i="30" s="1"/>
  <c r="H133" i="28"/>
  <c r="H133" i="30" s="1"/>
  <c r="H129" i="28"/>
  <c r="H129" i="30" s="1"/>
  <c r="M158" i="28"/>
  <c r="P161" i="28"/>
  <c r="AF167" i="28"/>
  <c r="AE164" i="28"/>
  <c r="P159" i="28"/>
  <c r="P163" i="28"/>
  <c r="V145" i="28"/>
  <c r="Q123" i="28"/>
  <c r="Q123" i="30" s="1"/>
  <c r="Z153" i="28"/>
  <c r="W115" i="28"/>
  <c r="W115" i="30" s="1"/>
  <c r="W99" i="28"/>
  <c r="W99" i="30" s="1"/>
  <c r="Y172" i="28"/>
  <c r="V132" i="28"/>
  <c r="V132" i="30" s="1"/>
  <c r="P169" i="28"/>
  <c r="Y170" i="28"/>
  <c r="Y159" i="28"/>
  <c r="Y146" i="28"/>
  <c r="Y142" i="28"/>
  <c r="V160" i="28"/>
  <c r="V143" i="28"/>
  <c r="P158" i="28"/>
  <c r="P167" i="28"/>
  <c r="P154" i="28"/>
  <c r="AE147" i="28"/>
  <c r="AF172" i="28"/>
  <c r="AF169" i="28"/>
  <c r="AE171" i="28"/>
  <c r="AE145" i="28"/>
  <c r="M162" i="28"/>
  <c r="P149" i="28"/>
  <c r="Y155" i="28"/>
  <c r="G173" i="28"/>
  <c r="M166" i="28"/>
  <c r="P132" i="28"/>
  <c r="P132" i="30" s="1"/>
  <c r="AE113" i="28"/>
  <c r="AE113" i="30" s="1"/>
  <c r="V106" i="28"/>
  <c r="V106" i="30" s="1"/>
  <c r="M164" i="28"/>
  <c r="AE108" i="28"/>
  <c r="AE108" i="30" s="1"/>
  <c r="G131" i="28"/>
  <c r="G131" i="30" s="1"/>
  <c r="N163" i="28"/>
  <c r="V135" i="28"/>
  <c r="V135" i="30" s="1"/>
  <c r="V126" i="28"/>
  <c r="V126" i="30" s="1"/>
  <c r="G164" i="28"/>
  <c r="V129" i="28"/>
  <c r="V129" i="30" s="1"/>
  <c r="M130" i="28"/>
  <c r="M130" i="30" s="1"/>
  <c r="V174" i="28"/>
  <c r="V111" i="28"/>
  <c r="V111" i="30" s="1"/>
  <c r="Y133" i="28"/>
  <c r="Y133" i="30" s="1"/>
  <c r="AE154" i="28"/>
  <c r="G169" i="28"/>
  <c r="G121" i="28"/>
  <c r="G121" i="30" s="1"/>
  <c r="P134" i="28"/>
  <c r="P134" i="30" s="1"/>
  <c r="N134" i="28"/>
  <c r="N134" i="30" s="1"/>
  <c r="N165" i="28"/>
  <c r="Q102" i="28"/>
  <c r="Q102" i="30" s="1"/>
  <c r="AE131" i="28"/>
  <c r="AE131" i="30" s="1"/>
  <c r="M97" i="28"/>
  <c r="M97" i="30" s="1"/>
  <c r="Z142" i="28"/>
  <c r="Y103" i="28"/>
  <c r="Y103" i="30" s="1"/>
  <c r="V130" i="28"/>
  <c r="V130" i="30" s="1"/>
  <c r="AE114" i="28"/>
  <c r="AE114" i="30" s="1"/>
  <c r="Z160" i="28"/>
  <c r="M154" i="28"/>
  <c r="V103" i="28"/>
  <c r="V103" i="30" s="1"/>
  <c r="Y108" i="28"/>
  <c r="Y108" i="30" s="1"/>
  <c r="Q133" i="28"/>
  <c r="Q133" i="30" s="1"/>
  <c r="P130" i="28"/>
  <c r="P130" i="30" s="1"/>
  <c r="V101" i="28"/>
  <c r="V101" i="30" s="1"/>
  <c r="AE168" i="28"/>
  <c r="Y114" i="28"/>
  <c r="Y114" i="30" s="1"/>
  <c r="H143" i="28"/>
  <c r="H143" i="30" s="1"/>
  <c r="M132" i="28"/>
  <c r="M132" i="30" s="1"/>
  <c r="AE134" i="28"/>
  <c r="AE134" i="30" s="1"/>
  <c r="W98" i="28"/>
  <c r="W98" i="30" s="1"/>
  <c r="AE128" i="28"/>
  <c r="AE128" i="30" s="1"/>
  <c r="M111" i="28"/>
  <c r="M111" i="30" s="1"/>
  <c r="V120" i="28"/>
  <c r="V120" i="30" s="1"/>
  <c r="Y132" i="28"/>
  <c r="Y132" i="30" s="1"/>
  <c r="W95" i="28"/>
  <c r="W95" i="30" s="1"/>
  <c r="H130" i="28"/>
  <c r="H130" i="30" s="1"/>
  <c r="Y95" i="28"/>
  <c r="Y95" i="30" s="1"/>
  <c r="H140" i="28"/>
  <c r="H140" i="30" s="1"/>
  <c r="Z169" i="28"/>
  <c r="Y171" i="28"/>
  <c r="Y154" i="28"/>
  <c r="AE174" i="28"/>
  <c r="G145" i="28"/>
  <c r="AF163" i="28"/>
  <c r="G172" i="28"/>
  <c r="G151" i="28"/>
  <c r="P145" i="28"/>
  <c r="G143" i="28"/>
  <c r="G143" i="30" s="1"/>
  <c r="G146" i="28"/>
  <c r="Y153" i="28"/>
  <c r="Y145" i="28"/>
  <c r="Q151" i="28"/>
  <c r="V173" i="28"/>
  <c r="Y169" i="28"/>
  <c r="P156" i="28"/>
  <c r="Q166" i="28"/>
  <c r="Z107" i="28"/>
  <c r="Z107" i="30" s="1"/>
  <c r="P131" i="28"/>
  <c r="P131" i="30" s="1"/>
  <c r="W114" i="28"/>
  <c r="W114" i="30" s="1"/>
  <c r="AE142" i="28"/>
  <c r="AF95" i="28"/>
  <c r="AF95" i="30" s="1"/>
  <c r="G133" i="28"/>
  <c r="G133" i="30" s="1"/>
  <c r="V157" i="28"/>
  <c r="Y122" i="28"/>
  <c r="Y122" i="30" s="1"/>
  <c r="Y131" i="28"/>
  <c r="Y131" i="30" s="1"/>
  <c r="G148" i="28"/>
  <c r="P102" i="28"/>
  <c r="P102" i="30" s="1"/>
  <c r="G137" i="28"/>
  <c r="G137" i="30" s="1"/>
  <c r="V170" i="28"/>
  <c r="V162" i="28"/>
  <c r="Z126" i="28"/>
  <c r="Z126" i="30" s="1"/>
  <c r="V161" i="28"/>
  <c r="P147" i="28"/>
  <c r="P94" i="28"/>
  <c r="P94" i="30" s="1"/>
  <c r="G115" i="28"/>
  <c r="G115" i="30" s="1"/>
  <c r="AE105" i="28"/>
  <c r="AE105" i="30" s="1"/>
  <c r="Y141" i="28"/>
  <c r="N132" i="28"/>
  <c r="N132" i="30" s="1"/>
  <c r="P162" i="28"/>
  <c r="M120" i="28"/>
  <c r="M120" i="30" s="1"/>
  <c r="N133" i="28"/>
  <c r="N133" i="30" s="1"/>
  <c r="N118" i="28"/>
  <c r="N118" i="30" s="1"/>
  <c r="W116" i="28"/>
  <c r="W116" i="30" s="1"/>
  <c r="M104" i="28"/>
  <c r="M104" i="30" s="1"/>
  <c r="AE137" i="28"/>
  <c r="AE137" i="30" s="1"/>
  <c r="M137" i="28"/>
  <c r="M137" i="30" s="1"/>
  <c r="H93" i="28"/>
  <c r="H93" i="30" s="1"/>
  <c r="M112" i="28"/>
  <c r="M112" i="30" s="1"/>
  <c r="V98" i="28"/>
  <c r="V98" i="30" s="1"/>
  <c r="M108" i="28"/>
  <c r="M108" i="30" s="1"/>
  <c r="G111" i="28"/>
  <c r="G111" i="30" s="1"/>
  <c r="Q130" i="28"/>
  <c r="Q130" i="30" s="1"/>
  <c r="AE127" i="28"/>
  <c r="AE127" i="30" s="1"/>
  <c r="V105" i="28"/>
  <c r="V105" i="30" s="1"/>
  <c r="N120" i="28"/>
  <c r="N120" i="30" s="1"/>
  <c r="P136" i="28"/>
  <c r="P136" i="30" s="1"/>
  <c r="P116" i="28"/>
  <c r="P116" i="30" s="1"/>
  <c r="H111" i="28"/>
  <c r="H111" i="30" s="1"/>
  <c r="H112" i="28"/>
  <c r="H112" i="30" s="1"/>
  <c r="AF131" i="28"/>
  <c r="AF131" i="30" s="1"/>
  <c r="P115" i="28"/>
  <c r="P115" i="30" s="1"/>
  <c r="Y97" i="28"/>
  <c r="Y97" i="30" s="1"/>
  <c r="W127" i="28"/>
  <c r="W127" i="30" s="1"/>
  <c r="Q108" i="28"/>
  <c r="Q108" i="30" s="1"/>
  <c r="H155" i="28"/>
  <c r="AF121" i="28"/>
  <c r="AF121" i="30" s="1"/>
  <c r="AE103" i="28"/>
  <c r="AE103" i="30" s="1"/>
  <c r="M96" i="28"/>
  <c r="M96" i="30" s="1"/>
  <c r="Z174" i="28"/>
  <c r="N112" i="28"/>
  <c r="N112" i="30" s="1"/>
  <c r="G98" i="28"/>
  <c r="G98" i="30" s="1"/>
  <c r="AF135" i="28"/>
  <c r="AF135" i="30" s="1"/>
  <c r="Y126" i="28"/>
  <c r="Y126" i="30" s="1"/>
  <c r="Q94" i="28"/>
  <c r="Q94" i="30" s="1"/>
  <c r="Z144" i="28"/>
  <c r="Z171" i="28"/>
  <c r="N125" i="28"/>
  <c r="N125" i="30" s="1"/>
  <c r="AF137" i="28"/>
  <c r="AF137" i="30" s="1"/>
  <c r="Q129" i="28"/>
  <c r="Q129" i="30" s="1"/>
  <c r="Z148" i="28"/>
  <c r="G134" i="28"/>
  <c r="G134" i="30" s="1"/>
  <c r="W122" i="28"/>
  <c r="W122" i="30" s="1"/>
  <c r="AF151" i="28"/>
  <c r="G116" i="28"/>
  <c r="G116" i="30" s="1"/>
  <c r="M105" i="28"/>
  <c r="M105" i="30" s="1"/>
  <c r="P117" i="28"/>
  <c r="P117" i="30" s="1"/>
  <c r="Z125" i="28"/>
  <c r="Z125" i="30" s="1"/>
  <c r="M103" i="28"/>
  <c r="M103" i="30" s="1"/>
  <c r="V116" i="28"/>
  <c r="V116" i="30" s="1"/>
  <c r="Q119" i="28"/>
  <c r="Q119" i="30" s="1"/>
  <c r="Y147" i="28"/>
  <c r="H100" i="28"/>
  <c r="H100" i="30" s="1"/>
  <c r="A88" i="28"/>
  <c r="C88" i="28" s="1"/>
  <c r="N142" i="28"/>
  <c r="W93" i="28"/>
  <c r="W93" i="30" s="1"/>
  <c r="H128" i="28"/>
  <c r="H128" i="30" s="1"/>
  <c r="A84" i="28"/>
  <c r="C84" i="28" s="1"/>
  <c r="A66" i="28"/>
  <c r="C66" i="28" s="1"/>
  <c r="Q171" i="28"/>
  <c r="A77" i="28"/>
  <c r="C77" i="28" s="1"/>
  <c r="H95" i="28"/>
  <c r="H95" i="30" s="1"/>
  <c r="H104" i="28"/>
  <c r="H104" i="30" s="1"/>
  <c r="A61" i="28"/>
  <c r="C61" i="28" s="1"/>
  <c r="H138" i="28"/>
  <c r="H138" i="30" s="1"/>
  <c r="A69" i="28"/>
  <c r="C69" i="28" s="1"/>
  <c r="H139" i="28"/>
  <c r="H139" i="30" s="1"/>
  <c r="G93" i="28"/>
  <c r="G93" i="30" s="1"/>
  <c r="A37" i="28"/>
  <c r="C37" i="28" s="1"/>
  <c r="A37" i="30"/>
  <c r="C37" i="30" s="1"/>
  <c r="A38" i="28"/>
  <c r="C38" i="28" s="1"/>
  <c r="W84" i="30"/>
  <c r="W85" i="30"/>
  <c r="W88" i="30"/>
  <c r="W66" i="30"/>
  <c r="W74" i="30"/>
  <c r="W61" i="30"/>
  <c r="W75" i="30"/>
  <c r="W82" i="30"/>
  <c r="W62" i="30"/>
  <c r="W83" i="30"/>
  <c r="W86" i="30"/>
  <c r="W59" i="30"/>
  <c r="W69" i="30"/>
  <c r="W81" i="30"/>
  <c r="W58" i="30"/>
  <c r="W65" i="30"/>
  <c r="W77" i="30"/>
  <c r="W67" i="30"/>
  <c r="W60" i="30"/>
  <c r="W57" i="30"/>
  <c r="W79" i="30"/>
  <c r="W76" i="30"/>
  <c r="W87" i="30"/>
  <c r="W72" i="30"/>
  <c r="W90" i="30"/>
  <c r="W73" i="30"/>
  <c r="W78" i="30"/>
  <c r="W80" i="30"/>
  <c r="W63" i="30"/>
  <c r="W71" i="30"/>
  <c r="W70" i="30"/>
  <c r="W64" i="30"/>
  <c r="W89" i="30"/>
  <c r="W68" i="30"/>
  <c r="W132" i="28"/>
  <c r="W132" i="30" s="1"/>
  <c r="W145" i="28"/>
  <c r="A32" i="28"/>
  <c r="C32" i="28" s="1"/>
  <c r="V9" i="30"/>
  <c r="AB27" i="21"/>
  <c r="AF128" i="28"/>
  <c r="AF128" i="30" s="1"/>
  <c r="Z133" i="28"/>
  <c r="Z133" i="30" s="1"/>
  <c r="N100" i="28"/>
  <c r="N100" i="30" s="1"/>
  <c r="AF124" i="28"/>
  <c r="AF124" i="30" s="1"/>
  <c r="W155" i="28"/>
  <c r="W163" i="28"/>
  <c r="W147" i="28"/>
  <c r="M64" i="30"/>
  <c r="M60" i="30"/>
  <c r="M76" i="30"/>
  <c r="M70" i="30"/>
  <c r="M90" i="30"/>
  <c r="M84" i="30"/>
  <c r="M68" i="30"/>
  <c r="M63" i="30"/>
  <c r="M85" i="30"/>
  <c r="M79" i="30"/>
  <c r="M67" i="30"/>
  <c r="M73" i="30"/>
  <c r="M83" i="30"/>
  <c r="M82" i="30"/>
  <c r="M72" i="30"/>
  <c r="M62" i="30"/>
  <c r="M71" i="30"/>
  <c r="M77" i="30"/>
  <c r="M58" i="30"/>
  <c r="M80" i="30"/>
  <c r="M69" i="30"/>
  <c r="M86" i="30"/>
  <c r="M88" i="30"/>
  <c r="M87" i="30"/>
  <c r="M75" i="30"/>
  <c r="M78" i="30"/>
  <c r="M65" i="30"/>
  <c r="M66" i="30"/>
  <c r="M59" i="30"/>
  <c r="M61" i="30"/>
  <c r="M89" i="30"/>
  <c r="M57" i="30"/>
  <c r="M81" i="30"/>
  <c r="M74" i="30"/>
  <c r="AF119" i="28"/>
  <c r="AF119" i="30" s="1"/>
  <c r="Q9" i="30"/>
  <c r="A43" i="28"/>
  <c r="C43" i="28" s="1"/>
  <c r="A43" i="30"/>
  <c r="C43" i="30" s="1"/>
  <c r="A70" i="28"/>
  <c r="C70" i="28" s="1"/>
  <c r="A76" i="28"/>
  <c r="C76" i="28" s="1"/>
  <c r="A90" i="28"/>
  <c r="C90" i="28" s="1"/>
  <c r="H151" i="28"/>
  <c r="M124" i="28"/>
  <c r="M124" i="30" s="1"/>
  <c r="Y123" i="28"/>
  <c r="Y123" i="30" s="1"/>
  <c r="AE96" i="28"/>
  <c r="AE96" i="30" s="1"/>
  <c r="G94" i="28"/>
  <c r="G94" i="30" s="1"/>
  <c r="M167" i="28"/>
  <c r="W131" i="28"/>
  <c r="W131" i="30" s="1"/>
  <c r="AF130" i="28"/>
  <c r="AF130" i="30" s="1"/>
  <c r="H160" i="28"/>
  <c r="N140" i="28"/>
  <c r="N140" i="30" s="1"/>
  <c r="AE94" i="28"/>
  <c r="AE94" i="30" s="1"/>
  <c r="W167" i="28"/>
  <c r="W152" i="28"/>
  <c r="W173" i="28"/>
  <c r="W149" i="28"/>
  <c r="W174" i="28"/>
  <c r="Y9" i="30"/>
  <c r="M9" i="30"/>
  <c r="P24" i="30"/>
  <c r="P108" i="28"/>
  <c r="P108" i="30" s="1"/>
  <c r="A53" i="28"/>
  <c r="C53" i="28" s="1"/>
  <c r="A53" i="30"/>
  <c r="C53" i="30" s="1"/>
  <c r="N111" i="28"/>
  <c r="N111" i="30" s="1"/>
  <c r="Z9" i="30"/>
  <c r="A49" i="28"/>
  <c r="C49" i="28" s="1"/>
  <c r="A49" i="30"/>
  <c r="C49" i="30" s="1"/>
  <c r="AB28" i="21"/>
  <c r="AB24" i="21"/>
  <c r="AB19" i="21"/>
  <c r="A28" i="30"/>
  <c r="C28" i="30" s="1"/>
  <c r="A28" i="28"/>
  <c r="C28" i="28" s="1"/>
  <c r="A45" i="28"/>
  <c r="C45" i="28" s="1"/>
  <c r="A45" i="30"/>
  <c r="C45" i="30" s="1"/>
  <c r="A35" i="30"/>
  <c r="C35" i="30" s="1"/>
  <c r="A35" i="28"/>
  <c r="C35" i="28" s="1"/>
  <c r="A85" i="28"/>
  <c r="C85" i="28" s="1"/>
  <c r="A50" i="30"/>
  <c r="C50" i="30" s="1"/>
  <c r="A50" i="28"/>
  <c r="C50" i="28" s="1"/>
  <c r="A78" i="28"/>
  <c r="C78" i="28" s="1"/>
  <c r="A87" i="28"/>
  <c r="C87" i="28" s="1"/>
  <c r="A74" i="28"/>
  <c r="C74" i="28" s="1"/>
  <c r="AF60" i="30"/>
  <c r="AF89" i="30"/>
  <c r="AF88" i="30"/>
  <c r="AF66" i="30"/>
  <c r="AF83" i="30"/>
  <c r="AF74" i="30"/>
  <c r="AF80" i="30"/>
  <c r="AF57" i="30"/>
  <c r="AF68" i="30"/>
  <c r="AF61" i="30"/>
  <c r="AF69" i="30"/>
  <c r="AF73" i="30"/>
  <c r="AF85" i="30"/>
  <c r="AF67" i="30"/>
  <c r="AF90" i="30"/>
  <c r="AF86" i="30"/>
  <c r="AF87" i="30"/>
  <c r="AF65" i="30"/>
  <c r="AF75" i="30"/>
  <c r="AF63" i="30"/>
  <c r="AF82" i="30"/>
  <c r="AF79" i="30"/>
  <c r="AF70" i="30"/>
  <c r="AF64" i="30"/>
  <c r="AF76" i="30"/>
  <c r="AF58" i="30"/>
  <c r="AF59" i="30"/>
  <c r="AF71" i="30"/>
  <c r="AF72" i="30"/>
  <c r="AF78" i="30"/>
  <c r="AF81" i="30"/>
  <c r="AF62" i="30"/>
  <c r="AF77" i="30"/>
  <c r="AF84" i="30"/>
  <c r="Y124" i="28"/>
  <c r="Y124" i="30" s="1"/>
  <c r="N131" i="28"/>
  <c r="N131" i="30" s="1"/>
  <c r="Z129" i="28"/>
  <c r="Z129" i="30" s="1"/>
  <c r="W137" i="28"/>
  <c r="W137" i="30" s="1"/>
  <c r="Z131" i="28"/>
  <c r="Z131" i="30" s="1"/>
  <c r="H119" i="28"/>
  <c r="H119" i="30" s="1"/>
  <c r="W109" i="28"/>
  <c r="W109" i="30" s="1"/>
  <c r="N137" i="28"/>
  <c r="N137" i="30" s="1"/>
  <c r="Z113" i="28"/>
  <c r="Z113" i="30" s="1"/>
  <c r="Z117" i="28"/>
  <c r="Z117" i="30" s="1"/>
  <c r="Y113" i="28"/>
  <c r="Y113" i="30" s="1"/>
  <c r="H164" i="28"/>
  <c r="P97" i="28"/>
  <c r="P97" i="30" s="1"/>
  <c r="AE135" i="28"/>
  <c r="AE135" i="30" s="1"/>
  <c r="H134" i="28"/>
  <c r="H134" i="30" s="1"/>
  <c r="N108" i="28"/>
  <c r="N108" i="30" s="1"/>
  <c r="AE123" i="28"/>
  <c r="AE123" i="30" s="1"/>
  <c r="V95" i="28"/>
  <c r="V95" i="30" s="1"/>
  <c r="H149" i="28"/>
  <c r="Z150" i="28"/>
  <c r="W102" i="28"/>
  <c r="W102" i="30" s="1"/>
  <c r="Y104" i="28"/>
  <c r="Y104" i="30" s="1"/>
  <c r="N96" i="28"/>
  <c r="N96" i="30" s="1"/>
  <c r="Q127" i="28"/>
  <c r="Q127" i="30" s="1"/>
  <c r="Y101" i="28"/>
  <c r="Y101" i="30" s="1"/>
  <c r="Z140" i="28"/>
  <c r="Z140" i="30" s="1"/>
  <c r="G174" i="28"/>
  <c r="V113" i="28"/>
  <c r="V113" i="30" s="1"/>
  <c r="W133" i="28"/>
  <c r="W133" i="30" s="1"/>
  <c r="N160" i="28"/>
  <c r="Y98" i="28"/>
  <c r="Y98" i="30" s="1"/>
  <c r="W112" i="28"/>
  <c r="W112" i="30" s="1"/>
  <c r="M134" i="28"/>
  <c r="M134" i="30" s="1"/>
  <c r="Z111" i="28"/>
  <c r="Z111" i="30" s="1"/>
  <c r="G157" i="28"/>
  <c r="AF141" i="28"/>
  <c r="G147" i="28"/>
  <c r="Z120" i="28"/>
  <c r="Z120" i="30" s="1"/>
  <c r="AF120" i="28"/>
  <c r="AF120" i="30" s="1"/>
  <c r="W129" i="28"/>
  <c r="W129" i="30" s="1"/>
  <c r="AE110" i="28"/>
  <c r="AE110" i="30" s="1"/>
  <c r="W172" i="28"/>
  <c r="M165" i="28"/>
  <c r="Q112" i="28"/>
  <c r="Q112" i="30" s="1"/>
  <c r="Z124" i="28"/>
  <c r="Z124" i="30" s="1"/>
  <c r="N106" i="28"/>
  <c r="N106" i="30" s="1"/>
  <c r="M169" i="28"/>
  <c r="N154" i="28"/>
  <c r="M131" i="28"/>
  <c r="M131" i="30" s="1"/>
  <c r="Q109" i="28"/>
  <c r="Q109" i="30" s="1"/>
  <c r="AF170" i="28"/>
  <c r="AF153" i="28"/>
  <c r="AF161" i="28"/>
  <c r="Z158" i="28"/>
  <c r="W168" i="28"/>
  <c r="N150" i="28"/>
  <c r="N171" i="28"/>
  <c r="N166" i="28"/>
  <c r="M143" i="28"/>
  <c r="N157" i="28"/>
  <c r="W169" i="28"/>
  <c r="AF149" i="28"/>
  <c r="W154" i="28"/>
  <c r="Z154" i="28"/>
  <c r="AF171" i="28"/>
  <c r="G170" i="28"/>
  <c r="M163" i="28"/>
  <c r="Q153" i="28"/>
  <c r="Z157" i="28"/>
  <c r="A10" i="28"/>
  <c r="C10" i="28" s="1"/>
  <c r="AE87" i="30"/>
  <c r="AE61" i="30"/>
  <c r="AE66" i="30"/>
  <c r="AE84" i="30"/>
  <c r="AE65" i="30"/>
  <c r="AE57" i="30"/>
  <c r="AE73" i="30"/>
  <c r="AE59" i="30"/>
  <c r="AE82" i="30"/>
  <c r="AE60" i="30"/>
  <c r="AE77" i="30"/>
  <c r="AE62" i="30"/>
  <c r="AE68" i="30"/>
  <c r="AE72" i="30"/>
  <c r="AE83" i="30"/>
  <c r="AE69" i="30"/>
  <c r="AE70" i="30"/>
  <c r="AE76" i="30"/>
  <c r="AE78" i="30"/>
  <c r="AE89" i="30"/>
  <c r="AE74" i="30"/>
  <c r="AE80" i="30"/>
  <c r="AE64" i="30"/>
  <c r="AE85" i="30"/>
  <c r="AE67" i="30"/>
  <c r="AE81" i="30"/>
  <c r="AE86" i="30"/>
  <c r="AE90" i="30"/>
  <c r="AE75" i="30"/>
  <c r="AE88" i="30"/>
  <c r="AE79" i="30"/>
  <c r="AE71" i="30"/>
  <c r="AE58" i="30"/>
  <c r="AE63" i="30"/>
  <c r="P106" i="28"/>
  <c r="P106" i="30" s="1"/>
  <c r="V104" i="28"/>
  <c r="V104" i="30" s="1"/>
  <c r="A40" i="28"/>
  <c r="C40" i="28" s="1"/>
  <c r="N101" i="28"/>
  <c r="N101" i="30" s="1"/>
  <c r="A52" i="28"/>
  <c r="C52" i="28" s="1"/>
  <c r="A52" i="30"/>
  <c r="C52" i="30" s="1"/>
  <c r="AB17" i="21"/>
  <c r="H122" i="28"/>
  <c r="H122" i="30" s="1"/>
  <c r="V96" i="28"/>
  <c r="V96" i="30" s="1"/>
  <c r="W124" i="28"/>
  <c r="W124" i="30" s="1"/>
  <c r="W100" i="28"/>
  <c r="W100" i="30" s="1"/>
  <c r="N126" i="28"/>
  <c r="N126" i="30" s="1"/>
  <c r="W150" i="28"/>
  <c r="W161" i="28"/>
  <c r="W162" i="28"/>
  <c r="AD161" i="21"/>
  <c r="AD5" i="21" s="1"/>
  <c r="A57" i="28"/>
  <c r="C57" i="28" s="1"/>
  <c r="H141" i="28"/>
  <c r="H141" i="30" s="1"/>
  <c r="A62" i="28"/>
  <c r="C62" i="28" s="1"/>
  <c r="AB29" i="21"/>
  <c r="N9" i="30"/>
  <c r="A67" i="28"/>
  <c r="C67" i="28" s="1"/>
  <c r="H167" i="28"/>
  <c r="N104" i="28"/>
  <c r="N104" i="30" s="1"/>
  <c r="Z114" i="28"/>
  <c r="Z114" i="30" s="1"/>
  <c r="Z136" i="28"/>
  <c r="Z136" i="30" s="1"/>
  <c r="W108" i="28"/>
  <c r="W108" i="30" s="1"/>
  <c r="Y140" i="28"/>
  <c r="Y140" i="30" s="1"/>
  <c r="Y130" i="28"/>
  <c r="Y130" i="30" s="1"/>
  <c r="V117" i="28"/>
  <c r="V117" i="30" s="1"/>
  <c r="Z135" i="28"/>
  <c r="Z135" i="30" s="1"/>
  <c r="AF99" i="28"/>
  <c r="AF99" i="30" s="1"/>
  <c r="M138" i="28"/>
  <c r="M138" i="30" s="1"/>
  <c r="W151" i="28"/>
  <c r="W144" i="28"/>
  <c r="M174" i="28"/>
  <c r="W166" i="28"/>
  <c r="M149" i="28"/>
  <c r="W146" i="28"/>
  <c r="A10" i="30"/>
  <c r="C10" i="30" s="1"/>
  <c r="A68" i="28"/>
  <c r="C68" i="28" s="1"/>
  <c r="AB21" i="21"/>
  <c r="AB23" i="21"/>
  <c r="A56" i="28"/>
  <c r="C56" i="28" s="1"/>
  <c r="A56" i="30"/>
  <c r="C56" i="30" s="1"/>
  <c r="A89" i="28"/>
  <c r="C89" i="28" s="1"/>
  <c r="A29" i="28"/>
  <c r="C29" i="28" s="1"/>
  <c r="A29" i="30"/>
  <c r="C29" i="30" s="1"/>
  <c r="A81" i="28"/>
  <c r="C81" i="28" s="1"/>
  <c r="A75" i="28"/>
  <c r="C75" i="28" s="1"/>
  <c r="A65" i="28"/>
  <c r="C65" i="28" s="1"/>
  <c r="N83" i="30"/>
  <c r="N81" i="30"/>
  <c r="N80" i="30"/>
  <c r="N68" i="30"/>
  <c r="N73" i="30"/>
  <c r="N60" i="30"/>
  <c r="N63" i="30"/>
  <c r="N84" i="30"/>
  <c r="N78" i="30"/>
  <c r="N75" i="30"/>
  <c r="N82" i="30"/>
  <c r="N85" i="30"/>
  <c r="N88" i="30"/>
  <c r="N65" i="30"/>
  <c r="N70" i="30"/>
  <c r="N69" i="30"/>
  <c r="N76" i="30"/>
  <c r="N87" i="30"/>
  <c r="N90" i="30"/>
  <c r="N57" i="30"/>
  <c r="N59" i="30"/>
  <c r="N89" i="30"/>
  <c r="N66" i="30"/>
  <c r="N58" i="30"/>
  <c r="N77" i="30"/>
  <c r="N79" i="30"/>
  <c r="N64" i="30"/>
  <c r="N62" i="30"/>
  <c r="N72" i="30"/>
  <c r="N86" i="30"/>
  <c r="N61" i="30"/>
  <c r="N74" i="30"/>
  <c r="N67" i="30"/>
  <c r="N71" i="30"/>
  <c r="Q14" i="30"/>
  <c r="Q98" i="28"/>
  <c r="Q98" i="30" s="1"/>
  <c r="V108" i="28"/>
  <c r="V108" i="30" s="1"/>
  <c r="W128" i="28"/>
  <c r="W128" i="30" s="1"/>
  <c r="H109" i="28"/>
  <c r="H109" i="30" s="1"/>
  <c r="H113" i="28"/>
  <c r="H113" i="30" s="1"/>
  <c r="AF127" i="28"/>
  <c r="AF127" i="30" s="1"/>
  <c r="W118" i="28"/>
  <c r="W118" i="30" s="1"/>
  <c r="N138" i="28"/>
  <c r="N138" i="30" s="1"/>
  <c r="Z101" i="28"/>
  <c r="Z101" i="30" s="1"/>
  <c r="H136" i="28"/>
  <c r="H136" i="30" s="1"/>
  <c r="Z96" i="28"/>
  <c r="Z96" i="30" s="1"/>
  <c r="V97" i="28"/>
  <c r="V97" i="30" s="1"/>
  <c r="M93" i="28"/>
  <c r="M93" i="30" s="1"/>
  <c r="Q139" i="28"/>
  <c r="Q139" i="30" s="1"/>
  <c r="Y128" i="28"/>
  <c r="Y128" i="30" s="1"/>
  <c r="AF126" i="28"/>
  <c r="AF126" i="30" s="1"/>
  <c r="Z116" i="28"/>
  <c r="Z116" i="30" s="1"/>
  <c r="Y117" i="28"/>
  <c r="Y117" i="30" s="1"/>
  <c r="Q116" i="28"/>
  <c r="Q116" i="30" s="1"/>
  <c r="G109" i="28"/>
  <c r="G109" i="30" s="1"/>
  <c r="H165" i="28"/>
  <c r="G106" i="28"/>
  <c r="G106" i="30" s="1"/>
  <c r="N97" i="28"/>
  <c r="N97" i="30" s="1"/>
  <c r="Q134" i="28"/>
  <c r="Q134" i="30" s="1"/>
  <c r="N116" i="28"/>
  <c r="N119" i="28"/>
  <c r="N119" i="30" s="1"/>
  <c r="N99" i="28"/>
  <c r="N99" i="30" s="1"/>
  <c r="G95" i="28"/>
  <c r="G95" i="30" s="1"/>
  <c r="Y137" i="28"/>
  <c r="Y137" i="30" s="1"/>
  <c r="N115" i="28"/>
  <c r="N115" i="30" s="1"/>
  <c r="M152" i="28"/>
  <c r="H158" i="28"/>
  <c r="W111" i="28"/>
  <c r="W111" i="30" s="1"/>
  <c r="Y109" i="28"/>
  <c r="Y109" i="30" s="1"/>
  <c r="AF103" i="28"/>
  <c r="AF103" i="30" s="1"/>
  <c r="AE95" i="28"/>
  <c r="AE95" i="30" s="1"/>
  <c r="AE140" i="28"/>
  <c r="AE140" i="30" s="1"/>
  <c r="AF104" i="28"/>
  <c r="AF104" i="30" s="1"/>
  <c r="M127" i="28"/>
  <c r="M127" i="30" s="1"/>
  <c r="G108" i="28"/>
  <c r="G108" i="30" s="1"/>
  <c r="G102" i="28"/>
  <c r="G102" i="30" s="1"/>
  <c r="Q104" i="28"/>
  <c r="Q104" i="30" s="1"/>
  <c r="N164" i="28"/>
  <c r="N162" i="28"/>
  <c r="P125" i="28"/>
  <c r="P125" i="30" s="1"/>
  <c r="Q106" i="28"/>
  <c r="Q106" i="30" s="1"/>
  <c r="N94" i="28"/>
  <c r="N94" i="30" s="1"/>
  <c r="AF168" i="28"/>
  <c r="G168" i="28"/>
  <c r="M157" i="28"/>
  <c r="AF143" i="28"/>
  <c r="N124" i="28"/>
  <c r="N124" i="30" s="1"/>
  <c r="M126" i="28"/>
  <c r="M126" i="30" s="1"/>
  <c r="G166" i="28"/>
  <c r="AF142" i="28"/>
  <c r="Y125" i="28"/>
  <c r="Y125" i="30" s="1"/>
  <c r="G171" i="28"/>
  <c r="Z106" i="28"/>
  <c r="Z106" i="30" s="1"/>
  <c r="Q162" i="28"/>
  <c r="Q149" i="28"/>
  <c r="M142" i="28"/>
  <c r="AF145" i="28"/>
  <c r="N147" i="28"/>
  <c r="N156" i="28"/>
  <c r="W153" i="28"/>
  <c r="Q172" i="28"/>
  <c r="Q158" i="28"/>
  <c r="Q161" i="28"/>
  <c r="Q152" i="28"/>
  <c r="Q163" i="28"/>
  <c r="N151" i="28"/>
  <c r="G159" i="28"/>
  <c r="W170" i="28"/>
  <c r="Q143" i="28"/>
  <c r="N172" i="28"/>
  <c r="Q157" i="28"/>
  <c r="AF148" i="28"/>
  <c r="M155" i="28"/>
  <c r="M168" i="28"/>
  <c r="Z166" i="28"/>
  <c r="N161" i="28"/>
  <c r="A36" i="28"/>
  <c r="C36" i="28" s="1"/>
  <c r="A36" i="30"/>
  <c r="C36" i="30" s="1"/>
  <c r="H169" i="28"/>
  <c r="AF106" i="28"/>
  <c r="AF106" i="30" s="1"/>
  <c r="H121" i="28"/>
  <c r="H121" i="30" s="1"/>
  <c r="AB25" i="21"/>
  <c r="A14" i="28"/>
  <c r="C14" i="28" s="1"/>
  <c r="H98" i="28"/>
  <c r="H98" i="30" s="1"/>
  <c r="AE9" i="30"/>
  <c r="A54" i="28"/>
  <c r="C54" i="28" s="1"/>
  <c r="A54" i="30"/>
  <c r="C54" i="30" s="1"/>
  <c r="A33" i="28"/>
  <c r="C33" i="28" s="1"/>
  <c r="AB32" i="21"/>
  <c r="AB16" i="21"/>
  <c r="P111" i="28"/>
  <c r="P111" i="30" s="1"/>
  <c r="W97" i="28"/>
  <c r="W97" i="30" s="1"/>
  <c r="P95" i="28"/>
  <c r="P95" i="30" s="1"/>
  <c r="W171" i="28"/>
  <c r="W9" i="30"/>
  <c r="A47" i="28"/>
  <c r="C47" i="28" s="1"/>
  <c r="A47" i="30"/>
  <c r="C47" i="30" s="1"/>
  <c r="A44" i="28"/>
  <c r="C44" i="28" s="1"/>
  <c r="A44" i="30"/>
  <c r="C44" i="30" s="1"/>
  <c r="A48" i="30"/>
  <c r="C48" i="30" s="1"/>
  <c r="A48" i="28"/>
  <c r="C48" i="28" s="1"/>
  <c r="A71" i="28"/>
  <c r="C71" i="28" s="1"/>
  <c r="A42" i="30"/>
  <c r="C42" i="30" s="1"/>
  <c r="A42" i="28"/>
  <c r="C42" i="28" s="1"/>
  <c r="A34" i="28"/>
  <c r="C34" i="28" s="1"/>
  <c r="A34" i="30"/>
  <c r="C34" i="30" s="1"/>
  <c r="H170" i="28"/>
  <c r="H150" i="28"/>
  <c r="W106" i="28"/>
  <c r="W106" i="30" s="1"/>
  <c r="Q126" i="28"/>
  <c r="Q126" i="30" s="1"/>
  <c r="H168" i="28"/>
  <c r="G125" i="28"/>
  <c r="G125" i="30" s="1"/>
  <c r="H148" i="28"/>
  <c r="H174" i="28"/>
  <c r="AF110" i="28"/>
  <c r="AF110" i="30" s="1"/>
  <c r="Q164" i="28"/>
  <c r="Q138" i="28"/>
  <c r="Q138" i="30" s="1"/>
  <c r="M150" i="28"/>
  <c r="P110" i="28"/>
  <c r="P110" i="30" s="1"/>
  <c r="Q113" i="28"/>
  <c r="Q113" i="30" s="1"/>
  <c r="W94" i="28"/>
  <c r="W94" i="30" s="1"/>
  <c r="Z123" i="28"/>
  <c r="Z123" i="30" s="1"/>
  <c r="G107" i="28"/>
  <c r="G107" i="30" s="1"/>
  <c r="W142" i="28"/>
  <c r="Q144" i="28"/>
  <c r="M156" i="28"/>
  <c r="M148" i="28"/>
  <c r="Q159" i="28"/>
  <c r="W158" i="28"/>
  <c r="Q168" i="28"/>
  <c r="Q154" i="28"/>
  <c r="M146" i="28"/>
  <c r="A18" i="30"/>
  <c r="C18" i="30" s="1"/>
  <c r="H163" i="28"/>
  <c r="AB30" i="21"/>
  <c r="J40" i="33" s="1"/>
  <c r="A17" i="28"/>
  <c r="C17" i="28" s="1"/>
  <c r="A17" i="30"/>
  <c r="C17" i="30" s="1"/>
  <c r="AF9" i="30"/>
  <c r="A51" i="30"/>
  <c r="C51" i="30" s="1"/>
  <c r="A51" i="28"/>
  <c r="C51" i="28" s="1"/>
  <c r="H135" i="28"/>
  <c r="H135" i="30" s="1"/>
  <c r="A60" i="28"/>
  <c r="C60" i="28" s="1"/>
  <c r="A64" i="28"/>
  <c r="C64" i="28" s="1"/>
  <c r="A80" i="28"/>
  <c r="C80" i="28" s="1"/>
  <c r="A30" i="28"/>
  <c r="C30" i="28" s="1"/>
  <c r="A30" i="30"/>
  <c r="C30" i="30" s="1"/>
  <c r="A12" i="30"/>
  <c r="C12" i="30" s="1"/>
  <c r="Z121" i="28"/>
  <c r="Z121" i="30" s="1"/>
  <c r="Q95" i="28"/>
  <c r="Q95" i="30" s="1"/>
  <c r="P104" i="28"/>
  <c r="P104" i="30" s="1"/>
  <c r="H132" i="28"/>
  <c r="H132" i="30" s="1"/>
  <c r="H152" i="28"/>
  <c r="H117" i="28"/>
  <c r="H117" i="30" s="1"/>
  <c r="H157" i="28"/>
  <c r="AF109" i="28"/>
  <c r="AF109" i="30" s="1"/>
  <c r="H101" i="28"/>
  <c r="H101" i="30" s="1"/>
  <c r="H156" i="28"/>
  <c r="H144" i="28"/>
  <c r="W165" i="28"/>
  <c r="N122" i="28"/>
  <c r="N122" i="30" s="1"/>
  <c r="M160" i="28"/>
  <c r="Z139" i="28"/>
  <c r="Z139" i="30" s="1"/>
  <c r="Q115" i="28"/>
  <c r="Q115" i="30" s="1"/>
  <c r="AE116" i="28"/>
  <c r="AE116" i="30" s="1"/>
  <c r="AE101" i="28"/>
  <c r="AE101" i="30" s="1"/>
  <c r="AF138" i="28"/>
  <c r="AF138" i="30" s="1"/>
  <c r="AF123" i="28"/>
  <c r="AF123" i="30" s="1"/>
  <c r="Q128" i="28"/>
  <c r="Q128" i="30" s="1"/>
  <c r="W138" i="28"/>
  <c r="W138" i="30" s="1"/>
  <c r="G118" i="28"/>
  <c r="G118" i="30" s="1"/>
  <c r="P101" i="28"/>
  <c r="P101" i="30" s="1"/>
  <c r="Q137" i="28"/>
  <c r="Q137" i="30" s="1"/>
  <c r="Q135" i="28"/>
  <c r="Q135" i="30" s="1"/>
  <c r="AE125" i="28"/>
  <c r="AE125" i="30" s="1"/>
  <c r="V139" i="28"/>
  <c r="V139" i="30" s="1"/>
  <c r="Z122" i="28"/>
  <c r="Z122" i="30" s="1"/>
  <c r="N139" i="28"/>
  <c r="N139" i="30" s="1"/>
  <c r="V94" i="28"/>
  <c r="V94" i="30" s="1"/>
  <c r="AE122" i="28"/>
  <c r="AE122" i="30" s="1"/>
  <c r="H147" i="28"/>
  <c r="Z127" i="28"/>
  <c r="Z127" i="30" s="1"/>
  <c r="M99" i="28"/>
  <c r="M99" i="30" s="1"/>
  <c r="H142" i="28"/>
  <c r="H142" i="30" s="1"/>
  <c r="N128" i="28"/>
  <c r="N128" i="30" s="1"/>
  <c r="AF97" i="28"/>
  <c r="AF97" i="30" s="1"/>
  <c r="AF118" i="28"/>
  <c r="AF118" i="30" s="1"/>
  <c r="Q170" i="28"/>
  <c r="AF100" i="28"/>
  <c r="AF100" i="30" s="1"/>
  <c r="M94" i="28"/>
  <c r="M94" i="30" s="1"/>
  <c r="W120" i="28"/>
  <c r="W120" i="30" s="1"/>
  <c r="H153" i="28"/>
  <c r="G113" i="28"/>
  <c r="G113" i="30" s="1"/>
  <c r="Z130" i="28"/>
  <c r="Z130" i="30" s="1"/>
  <c r="W160" i="28"/>
  <c r="AF122" i="28"/>
  <c r="AF122" i="30" s="1"/>
  <c r="W107" i="28"/>
  <c r="W107" i="30" s="1"/>
  <c r="N93" i="28"/>
  <c r="N93" i="30" s="1"/>
  <c r="Z118" i="28"/>
  <c r="Z118" i="30" s="1"/>
  <c r="G149" i="28"/>
  <c r="W140" i="28"/>
  <c r="W140" i="30" s="1"/>
  <c r="N114" i="28"/>
  <c r="N114" i="30" s="1"/>
  <c r="Z110" i="28"/>
  <c r="Z110" i="30" s="1"/>
  <c r="M135" i="28"/>
  <c r="M135" i="30" s="1"/>
  <c r="N174" i="28"/>
  <c r="Z103" i="28"/>
  <c r="Z103" i="30" s="1"/>
  <c r="Q93" i="28"/>
  <c r="Q93" i="30" s="1"/>
  <c r="W141" i="28"/>
  <c r="N153" i="28"/>
  <c r="AF101" i="28"/>
  <c r="AF101" i="30" s="1"/>
  <c r="G167" i="28"/>
  <c r="Q131" i="28"/>
  <c r="Q131" i="30" s="1"/>
  <c r="M115" i="28"/>
  <c r="M115" i="30" s="1"/>
  <c r="Z151" i="28"/>
  <c r="Q140" i="28"/>
  <c r="Q140" i="30" s="1"/>
  <c r="AF158" i="28"/>
  <c r="Q165" i="28"/>
  <c r="Z94" i="28"/>
  <c r="Z94" i="30" s="1"/>
  <c r="G153" i="28"/>
  <c r="G156" i="28"/>
  <c r="AF154" i="28"/>
  <c r="Z164" i="28"/>
  <c r="AF144" i="28"/>
  <c r="M170" i="28"/>
  <c r="AF156" i="28"/>
  <c r="N146" i="28"/>
  <c r="Z162" i="28"/>
  <c r="G155" i="28"/>
  <c r="W156" i="28"/>
  <c r="N158" i="28"/>
  <c r="N145" i="28"/>
  <c r="M159" i="28"/>
  <c r="W143" i="28"/>
  <c r="A18" i="28"/>
  <c r="C18" i="28" s="1"/>
  <c r="Y69" i="30"/>
  <c r="Y76" i="30"/>
  <c r="Y66" i="30"/>
  <c r="Y79" i="30"/>
  <c r="Y89" i="30"/>
  <c r="Y60" i="30"/>
  <c r="Y67" i="30"/>
  <c r="Y78" i="30"/>
  <c r="Y73" i="30"/>
  <c r="Y85" i="30"/>
  <c r="Y63" i="30"/>
  <c r="Y64" i="30"/>
  <c r="Y71" i="30"/>
  <c r="Y77" i="30"/>
  <c r="Y68" i="30"/>
  <c r="Y81" i="30"/>
  <c r="Y88" i="30"/>
  <c r="Y82" i="30"/>
  <c r="Y65" i="30"/>
  <c r="Y59" i="30"/>
  <c r="Y75" i="30"/>
  <c r="Y84" i="30"/>
  <c r="Y80" i="30"/>
  <c r="Y87" i="30"/>
  <c r="Y70" i="30"/>
  <c r="Y58" i="30"/>
  <c r="Y57" i="30"/>
  <c r="Y62" i="30"/>
  <c r="Y72" i="30"/>
  <c r="Y90" i="30"/>
  <c r="Y83" i="30"/>
  <c r="Y86" i="30"/>
  <c r="Y61" i="30"/>
  <c r="Y74" i="30"/>
  <c r="P90" i="30"/>
  <c r="P65" i="30"/>
  <c r="P66" i="30"/>
  <c r="P60" i="30"/>
  <c r="P89" i="30"/>
  <c r="P84" i="30"/>
  <c r="P83" i="30"/>
  <c r="P64" i="30"/>
  <c r="P78" i="30"/>
  <c r="P57" i="30"/>
  <c r="P82" i="30"/>
  <c r="P73" i="30"/>
  <c r="P88" i="30"/>
  <c r="P75" i="30"/>
  <c r="P87" i="30"/>
  <c r="P79" i="30"/>
  <c r="P76" i="30"/>
  <c r="P61" i="30"/>
  <c r="P68" i="30"/>
  <c r="P58" i="30"/>
  <c r="P86" i="30"/>
  <c r="P70" i="30"/>
  <c r="P74" i="30"/>
  <c r="P63" i="30"/>
  <c r="P81" i="30"/>
  <c r="P77" i="30"/>
  <c r="P67" i="30"/>
  <c r="P59" i="30"/>
  <c r="P62" i="30"/>
  <c r="P72" i="30"/>
  <c r="P71" i="30"/>
  <c r="P69" i="30"/>
  <c r="P85" i="30"/>
  <c r="P80" i="30"/>
  <c r="V79" i="30"/>
  <c r="V70" i="30"/>
  <c r="V69" i="30"/>
  <c r="V68" i="30"/>
  <c r="V78" i="30"/>
  <c r="V65" i="30"/>
  <c r="V73" i="30"/>
  <c r="V80" i="30"/>
  <c r="V60" i="30"/>
  <c r="V84" i="30"/>
  <c r="V77" i="30"/>
  <c r="V87" i="30"/>
  <c r="V63" i="30"/>
  <c r="V74" i="30"/>
  <c r="V76" i="30"/>
  <c r="V61" i="30"/>
  <c r="V62" i="30"/>
  <c r="V85" i="30"/>
  <c r="V83" i="30"/>
  <c r="V64" i="30"/>
  <c r="V86" i="30"/>
  <c r="V88" i="30"/>
  <c r="V89" i="30"/>
  <c r="V71" i="30"/>
  <c r="V59" i="30"/>
  <c r="V67" i="30"/>
  <c r="V66" i="30"/>
  <c r="V57" i="30"/>
  <c r="V81" i="30"/>
  <c r="V75" i="30"/>
  <c r="V82" i="30"/>
  <c r="V90" i="30"/>
  <c r="V58" i="30"/>
  <c r="V72" i="30"/>
  <c r="Z97" i="28"/>
  <c r="Z97" i="30" s="1"/>
  <c r="Q96" i="28"/>
  <c r="Q96" i="30" s="1"/>
  <c r="H131" i="28"/>
  <c r="H131" i="30" s="1"/>
  <c r="A11" i="30"/>
  <c r="C11" i="30" s="1"/>
  <c r="A11" i="28"/>
  <c r="C11" i="28" s="1"/>
  <c r="W33" i="30"/>
  <c r="W117" i="28"/>
  <c r="W117" i="30" s="1"/>
  <c r="Y127" i="28"/>
  <c r="Y127" i="30" s="1"/>
  <c r="A55" i="30"/>
  <c r="C55" i="30" s="1"/>
  <c r="A86" i="28"/>
  <c r="C86" i="28" s="1"/>
  <c r="A63" i="28"/>
  <c r="C63" i="28" s="1"/>
  <c r="Y135" i="28"/>
  <c r="Y135" i="30" s="1"/>
  <c r="Q132" i="28"/>
  <c r="Q132" i="30" s="1"/>
  <c r="W103" i="28"/>
  <c r="W103" i="30" s="1"/>
  <c r="N130" i="28"/>
  <c r="N130" i="30" s="1"/>
  <c r="A32" i="30"/>
  <c r="C32" i="30" s="1"/>
  <c r="A9" i="28"/>
  <c r="C9" i="28" s="1"/>
  <c r="AB26" i="21"/>
  <c r="AB15" i="21"/>
  <c r="A72" i="28"/>
  <c r="C72" i="28" s="1"/>
  <c r="Z20" i="30"/>
  <c r="Z104" i="28"/>
  <c r="Z104" i="30" s="1"/>
  <c r="Q59" i="30"/>
  <c r="Q58" i="30"/>
  <c r="Q63" i="30"/>
  <c r="Q84" i="30"/>
  <c r="Q80" i="30"/>
  <c r="Q68" i="30"/>
  <c r="Q89" i="30"/>
  <c r="Q85" i="30"/>
  <c r="Q72" i="30"/>
  <c r="Q75" i="30"/>
  <c r="Q57" i="30"/>
  <c r="Q66" i="30"/>
  <c r="Q88" i="30"/>
  <c r="Q79" i="30"/>
  <c r="Q82" i="30"/>
  <c r="Q73" i="30"/>
  <c r="Q61" i="30"/>
  <c r="Q86" i="30"/>
  <c r="Q64" i="30"/>
  <c r="Q62" i="30"/>
  <c r="Q77" i="30"/>
  <c r="Q67" i="30"/>
  <c r="Q70" i="30"/>
  <c r="Q78" i="30"/>
  <c r="Q71" i="30"/>
  <c r="Q90" i="30"/>
  <c r="Q60" i="30"/>
  <c r="Q87" i="30"/>
  <c r="Q69" i="30"/>
  <c r="Q81" i="30"/>
  <c r="Q76" i="30"/>
  <c r="Q74" i="30"/>
  <c r="Q65" i="30"/>
  <c r="Q83" i="30"/>
  <c r="W96" i="28"/>
  <c r="W96" i="30" s="1"/>
  <c r="H154" i="28"/>
  <c r="M116" i="28"/>
  <c r="M116" i="30" s="1"/>
  <c r="AF108" i="28"/>
  <c r="AF108" i="30" s="1"/>
  <c r="H97" i="28"/>
  <c r="H97" i="30" s="1"/>
  <c r="AF112" i="28"/>
  <c r="AF112" i="30" s="1"/>
  <c r="M100" i="28"/>
  <c r="M100" i="30" s="1"/>
  <c r="W113" i="28"/>
  <c r="W113" i="30" s="1"/>
  <c r="AE121" i="28"/>
  <c r="AE121" i="30" s="1"/>
  <c r="G117" i="28"/>
  <c r="G117" i="30" s="1"/>
  <c r="V112" i="28"/>
  <c r="V112" i="30" s="1"/>
  <c r="Q125" i="28"/>
  <c r="Q125" i="30" s="1"/>
  <c r="Z132" i="28"/>
  <c r="Z132" i="30" s="1"/>
  <c r="N107" i="28"/>
  <c r="N107" i="30" s="1"/>
  <c r="G97" i="28"/>
  <c r="G97" i="30" s="1"/>
  <c r="Z105" i="28"/>
  <c r="Z105" i="30" s="1"/>
  <c r="Z134" i="28"/>
  <c r="Z134" i="30" s="1"/>
  <c r="Q146" i="28"/>
  <c r="M151" i="28"/>
  <c r="M171" i="28"/>
  <c r="Q148" i="28"/>
  <c r="Q150" i="28"/>
  <c r="M98" i="28"/>
  <c r="M98" i="30" s="1"/>
  <c r="AB13" i="21"/>
  <c r="AE161" i="21"/>
  <c r="A23" i="28"/>
  <c r="C23" i="28" s="1"/>
  <c r="A23" i="30"/>
  <c r="C23" i="30" s="1"/>
  <c r="A24" i="28"/>
  <c r="C24" i="28" s="1"/>
  <c r="A24" i="30"/>
  <c r="C24" i="30" s="1"/>
  <c r="A26" i="28"/>
  <c r="C26" i="28" s="1"/>
  <c r="A26" i="30"/>
  <c r="C26" i="30" s="1"/>
  <c r="AB18" i="21"/>
  <c r="A46" i="30"/>
  <c r="C46" i="30" s="1"/>
  <c r="A46" i="28"/>
  <c r="C46" i="28" s="1"/>
  <c r="A73" i="28"/>
  <c r="C73" i="28" s="1"/>
  <c r="A79" i="28"/>
  <c r="C79" i="28" s="1"/>
  <c r="A82" i="28"/>
  <c r="C82" i="28" s="1"/>
  <c r="A59" i="28"/>
  <c r="C59" i="28" s="1"/>
  <c r="A31" i="30"/>
  <c r="C31" i="30" s="1"/>
  <c r="A31" i="28"/>
  <c r="C31" i="28" s="1"/>
  <c r="A83" i="28"/>
  <c r="C83" i="28" s="1"/>
  <c r="A58" i="28"/>
  <c r="C58" i="28" s="1"/>
  <c r="Z81" i="30"/>
  <c r="Z70" i="30"/>
  <c r="Z59" i="30"/>
  <c r="Z60" i="30"/>
  <c r="Z75" i="30"/>
  <c r="Z58" i="30"/>
  <c r="Z82" i="30"/>
  <c r="Z71" i="30"/>
  <c r="Z74" i="30"/>
  <c r="Z77" i="30"/>
  <c r="Z66" i="30"/>
  <c r="Z61" i="30"/>
  <c r="Z62" i="30"/>
  <c r="Z84" i="30"/>
  <c r="Z79" i="30"/>
  <c r="Z87" i="30"/>
  <c r="Z73" i="30"/>
  <c r="Z57" i="30"/>
  <c r="Z64" i="30"/>
  <c r="Z63" i="30"/>
  <c r="Z69" i="30"/>
  <c r="Z83" i="30"/>
  <c r="Z68" i="30"/>
  <c r="Z65" i="30"/>
  <c r="Z86" i="30"/>
  <c r="Z88" i="30"/>
  <c r="Z90" i="30"/>
  <c r="Z80" i="30"/>
  <c r="Z85" i="30"/>
  <c r="Z89" i="30"/>
  <c r="Z67" i="30"/>
  <c r="Z78" i="30"/>
  <c r="Z76" i="30"/>
  <c r="Z72" i="30"/>
  <c r="H124" i="28"/>
  <c r="H124" i="30" s="1"/>
  <c r="N98" i="28"/>
  <c r="N98" i="30" s="1"/>
  <c r="Z102" i="28"/>
  <c r="Z102" i="30" s="1"/>
  <c r="G130" i="28"/>
  <c r="G130" i="30" s="1"/>
  <c r="W136" i="28"/>
  <c r="W136" i="30" s="1"/>
  <c r="H171" i="28"/>
  <c r="Z99" i="28"/>
  <c r="Z99" i="30" s="1"/>
  <c r="AF115" i="28"/>
  <c r="AF115" i="30" s="1"/>
  <c r="Z115" i="28"/>
  <c r="Z115" i="30" s="1"/>
  <c r="H108" i="28"/>
  <c r="H108" i="30" s="1"/>
  <c r="P119" i="28"/>
  <c r="P119" i="30" s="1"/>
  <c r="Z138" i="28"/>
  <c r="Z138" i="30" s="1"/>
  <c r="P140" i="28"/>
  <c r="P140" i="30" s="1"/>
  <c r="AF136" i="28"/>
  <c r="AF136" i="30" s="1"/>
  <c r="AF116" i="28"/>
  <c r="AF116" i="30" s="1"/>
  <c r="W134" i="28"/>
  <c r="W134" i="30" s="1"/>
  <c r="W104" i="28"/>
  <c r="W104" i="30" s="1"/>
  <c r="N144" i="28"/>
  <c r="Q122" i="28"/>
  <c r="Q122" i="30" s="1"/>
  <c r="Q100" i="28"/>
  <c r="Q100" i="30" s="1"/>
  <c r="Z98" i="28"/>
  <c r="Z98" i="30" s="1"/>
  <c r="Y115" i="28"/>
  <c r="Y115" i="30" s="1"/>
  <c r="W110" i="28"/>
  <c r="W110" i="30" s="1"/>
  <c r="Q141" i="28"/>
  <c r="Q118" i="28"/>
  <c r="Q118" i="30" s="1"/>
  <c r="G126" i="28"/>
  <c r="G126" i="30" s="1"/>
  <c r="N135" i="28"/>
  <c r="N135" i="30" s="1"/>
  <c r="Q103" i="28"/>
  <c r="Q103" i="30" s="1"/>
  <c r="Q97" i="28"/>
  <c r="Q97" i="30" s="1"/>
  <c r="Z128" i="28"/>
  <c r="Z128" i="30" s="1"/>
  <c r="AE133" i="28"/>
  <c r="AE133" i="30" s="1"/>
  <c r="W101" i="28"/>
  <c r="W101" i="30" s="1"/>
  <c r="AE99" i="28"/>
  <c r="AE99" i="30" s="1"/>
  <c r="N129" i="28"/>
  <c r="N129" i="30" s="1"/>
  <c r="N110" i="28"/>
  <c r="N110" i="30" s="1"/>
  <c r="V119" i="28"/>
  <c r="V119" i="30" s="1"/>
  <c r="W164" i="28"/>
  <c r="V93" i="28"/>
  <c r="V93" i="30" s="1"/>
  <c r="G158" i="28"/>
  <c r="Q110" i="28"/>
  <c r="Q110" i="30" s="1"/>
  <c r="P128" i="28"/>
  <c r="P128" i="30" s="1"/>
  <c r="V109" i="28"/>
  <c r="V109" i="30" s="1"/>
  <c r="Q142" i="28"/>
  <c r="N95" i="28"/>
  <c r="N95" i="30" s="1"/>
  <c r="W148" i="28"/>
  <c r="AF114" i="28"/>
  <c r="AF114" i="30" s="1"/>
  <c r="Q107" i="28"/>
  <c r="Q107" i="30" s="1"/>
  <c r="G154" i="28"/>
  <c r="M141" i="28"/>
  <c r="W119" i="28"/>
  <c r="W119" i="30" s="1"/>
  <c r="Z152" i="28"/>
  <c r="M117" i="28"/>
  <c r="M117" i="30" s="1"/>
  <c r="Y93" i="28"/>
  <c r="Y93" i="30" s="1"/>
  <c r="W139" i="28"/>
  <c r="W139" i="30" s="1"/>
  <c r="AF165" i="28"/>
  <c r="N152" i="28"/>
  <c r="G161" i="28"/>
  <c r="N167" i="28"/>
  <c r="M144" i="28"/>
  <c r="N170" i="28"/>
  <c r="N149" i="28"/>
  <c r="Q114" i="28"/>
  <c r="Q114" i="30" s="1"/>
  <c r="G162" i="28"/>
  <c r="Z165" i="28"/>
  <c r="M147" i="28"/>
  <c r="Z167" i="28"/>
  <c r="Q147" i="28"/>
  <c r="Q174" i="28"/>
  <c r="Q169" i="28"/>
  <c r="W159" i="28"/>
  <c r="Z145" i="28"/>
  <c r="M172" i="28"/>
  <c r="W157" i="28"/>
  <c r="AF164" i="28"/>
  <c r="Z156" i="28"/>
  <c r="M173" i="28"/>
  <c r="N121" i="28"/>
  <c r="N121" i="30" s="1"/>
  <c r="G110" i="28"/>
  <c r="G110" i="30" s="1"/>
  <c r="M139" i="28"/>
  <c r="M139" i="30" s="1"/>
  <c r="AF98" i="28"/>
  <c r="AF98" i="30" s="1"/>
  <c r="A12" i="28"/>
  <c r="C12" i="28" s="1"/>
  <c r="H145" i="30" l="1"/>
  <c r="H151" i="30"/>
  <c r="H148" i="30"/>
  <c r="H174" i="30"/>
  <c r="H153" i="30"/>
  <c r="H172" i="30"/>
  <c r="H168" i="30"/>
  <c r="H160" i="30"/>
  <c r="H164" i="30"/>
  <c r="H157" i="30"/>
  <c r="H150" i="30"/>
  <c r="H163" i="30"/>
  <c r="H156" i="30"/>
  <c r="H144" i="30"/>
  <c r="H147" i="30"/>
  <c r="H170" i="30"/>
  <c r="H162" i="30"/>
  <c r="H171" i="30"/>
  <c r="H167" i="30"/>
  <c r="H155" i="30"/>
  <c r="H149" i="30"/>
  <c r="H159" i="30"/>
  <c r="H173" i="30"/>
  <c r="H152" i="30"/>
  <c r="H166" i="30"/>
  <c r="H158" i="30"/>
  <c r="H165" i="30"/>
  <c r="H154" i="30"/>
  <c r="H146" i="30"/>
  <c r="H161" i="30"/>
  <c r="H169" i="30"/>
  <c r="G156" i="30"/>
  <c r="G157" i="30"/>
  <c r="G152" i="30"/>
  <c r="G145" i="30"/>
  <c r="G146" i="30"/>
  <c r="G169" i="30"/>
  <c r="G144" i="30"/>
  <c r="G161" i="30"/>
  <c r="G160" i="30"/>
  <c r="G170" i="30"/>
  <c r="G153" i="30"/>
  <c r="G158" i="30"/>
  <c r="G162" i="30"/>
  <c r="G159" i="30"/>
  <c r="G166" i="30"/>
  <c r="G171" i="30"/>
  <c r="G172" i="30"/>
  <c r="G168" i="30"/>
  <c r="G148" i="30"/>
  <c r="G165" i="30"/>
  <c r="G150" i="30"/>
  <c r="G167" i="30"/>
  <c r="G174" i="30"/>
  <c r="G163" i="30"/>
  <c r="G164" i="30"/>
  <c r="G173" i="30"/>
  <c r="G154" i="30"/>
  <c r="G155" i="30"/>
  <c r="G151" i="30"/>
  <c r="G147" i="30"/>
  <c r="G149" i="30"/>
  <c r="C14" i="21"/>
  <c r="C15" i="21" s="1"/>
  <c r="C16" i="21" s="1"/>
  <c r="Y166" i="30"/>
  <c r="P145" i="30"/>
  <c r="N154" i="30"/>
  <c r="V174" i="30"/>
  <c r="Z159" i="30"/>
  <c r="N169" i="30"/>
  <c r="N156" i="30"/>
  <c r="N143" i="30"/>
  <c r="N158" i="30"/>
  <c r="N172" i="30"/>
  <c r="N145" i="30"/>
  <c r="N155" i="30"/>
  <c r="N163" i="30"/>
  <c r="N146" i="30"/>
  <c r="N159" i="30"/>
  <c r="N161" i="30"/>
  <c r="N153" i="30"/>
  <c r="N157" i="30"/>
  <c r="N160" i="30"/>
  <c r="N147" i="30"/>
  <c r="N150" i="30"/>
  <c r="N151" i="30"/>
  <c r="N148" i="30"/>
  <c r="N171" i="30"/>
  <c r="N166" i="30"/>
  <c r="N170" i="30"/>
  <c r="N173" i="30"/>
  <c r="N141" i="30"/>
  <c r="N168" i="30"/>
  <c r="N149" i="30"/>
  <c r="N174" i="30"/>
  <c r="N167" i="30"/>
  <c r="N144" i="30"/>
  <c r="N162" i="30"/>
  <c r="N165" i="30"/>
  <c r="N164" i="30"/>
  <c r="N152" i="30"/>
  <c r="N142" i="30"/>
  <c r="AE153" i="30"/>
  <c r="AE171" i="30"/>
  <c r="AE165" i="30"/>
  <c r="V150" i="30"/>
  <c r="AE156" i="30"/>
  <c r="Y159" i="30"/>
  <c r="V169" i="30"/>
  <c r="AE151" i="30"/>
  <c r="Y152" i="30"/>
  <c r="AE147" i="30"/>
  <c r="AE144" i="30"/>
  <c r="AE163" i="30"/>
  <c r="Y155" i="30"/>
  <c r="V146" i="30"/>
  <c r="V172" i="30"/>
  <c r="AE157" i="30"/>
  <c r="V151" i="30"/>
  <c r="V166" i="30"/>
  <c r="V147" i="30"/>
  <c r="V143" i="30"/>
  <c r="V141" i="30"/>
  <c r="V162" i="30"/>
  <c r="V142" i="30"/>
  <c r="V164" i="30"/>
  <c r="V144" i="30"/>
  <c r="V168" i="30"/>
  <c r="V155" i="30"/>
  <c r="V152" i="30"/>
  <c r="V173" i="30"/>
  <c r="Z147" i="30"/>
  <c r="Y146" i="30"/>
  <c r="Y143" i="30"/>
  <c r="P149" i="30"/>
  <c r="Y162" i="30"/>
  <c r="Y150" i="30"/>
  <c r="Z172" i="30"/>
  <c r="P170" i="30"/>
  <c r="Y145" i="30"/>
  <c r="Y163" i="30"/>
  <c r="Z164" i="30"/>
  <c r="A155" i="28"/>
  <c r="C155" i="28" s="1"/>
  <c r="P174" i="30"/>
  <c r="P158" i="30"/>
  <c r="P156" i="30"/>
  <c r="Y142" i="30"/>
  <c r="Y151" i="30"/>
  <c r="V160" i="30"/>
  <c r="V165" i="30"/>
  <c r="V157" i="30"/>
  <c r="V153" i="30"/>
  <c r="Z170" i="30"/>
  <c r="Z142" i="30"/>
  <c r="Y160" i="30"/>
  <c r="Y147" i="30"/>
  <c r="V145" i="30"/>
  <c r="V154" i="30"/>
  <c r="V158" i="30"/>
  <c r="V159" i="30"/>
  <c r="V149" i="30"/>
  <c r="Y153" i="30"/>
  <c r="Y157" i="30"/>
  <c r="V171" i="30"/>
  <c r="V163" i="30"/>
  <c r="V170" i="30"/>
  <c r="V156" i="30"/>
  <c r="Y168" i="30"/>
  <c r="Y172" i="30"/>
  <c r="Y169" i="30"/>
  <c r="V148" i="30"/>
  <c r="V167" i="30"/>
  <c r="V161" i="30"/>
  <c r="A158" i="28"/>
  <c r="C158" i="28" s="1"/>
  <c r="Z143" i="30"/>
  <c r="A111" i="28"/>
  <c r="C111" i="28" s="1"/>
  <c r="P164" i="30"/>
  <c r="P163" i="30"/>
  <c r="A111" i="30"/>
  <c r="C111" i="30" s="1"/>
  <c r="P159" i="30"/>
  <c r="P152" i="30"/>
  <c r="P142" i="30"/>
  <c r="P173" i="30"/>
  <c r="P151" i="30"/>
  <c r="P144" i="30"/>
  <c r="P165" i="30"/>
  <c r="P167" i="30"/>
  <c r="Z158" i="30"/>
  <c r="Z153" i="30"/>
  <c r="A166" i="28"/>
  <c r="C166" i="28" s="1"/>
  <c r="P168" i="30"/>
  <c r="P169" i="30"/>
  <c r="P171" i="30"/>
  <c r="P150" i="30"/>
  <c r="P161" i="30"/>
  <c r="P172" i="30"/>
  <c r="A143" i="28"/>
  <c r="C143" i="28" s="1"/>
  <c r="Z162" i="30"/>
  <c r="Z174" i="30"/>
  <c r="A93" i="30"/>
  <c r="C93" i="30" s="1"/>
  <c r="P143" i="30"/>
  <c r="P146" i="30"/>
  <c r="P160" i="30"/>
  <c r="P157" i="30"/>
  <c r="P154" i="30"/>
  <c r="P162" i="30"/>
  <c r="P148" i="30"/>
  <c r="P147" i="30"/>
  <c r="A161" i="28"/>
  <c r="C161" i="28" s="1"/>
  <c r="Z144" i="30"/>
  <c r="P153" i="30"/>
  <c r="P166" i="30"/>
  <c r="P155" i="30"/>
  <c r="P141" i="30"/>
  <c r="Z160" i="30"/>
  <c r="AE149" i="30"/>
  <c r="A159" i="28"/>
  <c r="C159" i="28" s="1"/>
  <c r="A126" i="30"/>
  <c r="C126" i="30" s="1"/>
  <c r="AE145" i="30"/>
  <c r="A172" i="28"/>
  <c r="C172" i="28" s="1"/>
  <c r="Z146" i="30"/>
  <c r="Z167" i="30"/>
  <c r="Z173" i="30"/>
  <c r="Z163" i="30"/>
  <c r="A145" i="28"/>
  <c r="C145" i="28" s="1"/>
  <c r="Y173" i="30"/>
  <c r="Y164" i="30"/>
  <c r="A146" i="28"/>
  <c r="C146" i="28" s="1"/>
  <c r="AE154" i="30"/>
  <c r="AE146" i="30"/>
  <c r="AE173" i="30"/>
  <c r="AE160" i="30"/>
  <c r="Y167" i="30"/>
  <c r="Y154" i="30"/>
  <c r="Y174" i="30"/>
  <c r="Y161" i="30"/>
  <c r="A89" i="30"/>
  <c r="C89" i="30" s="1"/>
  <c r="A77" i="30"/>
  <c r="C77" i="30" s="1"/>
  <c r="A59" i="30"/>
  <c r="C59" i="30" s="1"/>
  <c r="A83" i="30"/>
  <c r="C83" i="30" s="1"/>
  <c r="Z156" i="30"/>
  <c r="Z157" i="30"/>
  <c r="Z149" i="30"/>
  <c r="Z145" i="30"/>
  <c r="Z155" i="30"/>
  <c r="A133" i="30"/>
  <c r="C133" i="30" s="1"/>
  <c r="AE141" i="30"/>
  <c r="AE164" i="30"/>
  <c r="A148" i="28"/>
  <c r="C148" i="28" s="1"/>
  <c r="A110" i="30"/>
  <c r="C110" i="30" s="1"/>
  <c r="AE143" i="30"/>
  <c r="AE161" i="30"/>
  <c r="AE174" i="30"/>
  <c r="AE142" i="30"/>
  <c r="Y141" i="30"/>
  <c r="Y165" i="30"/>
  <c r="A162" i="28"/>
  <c r="C162" i="28" s="1"/>
  <c r="AE168" i="30"/>
  <c r="AE148" i="30"/>
  <c r="AE150" i="30"/>
  <c r="AE162" i="30"/>
  <c r="A147" i="28"/>
  <c r="C147" i="28" s="1"/>
  <c r="Y170" i="30"/>
  <c r="Y158" i="30"/>
  <c r="Y171" i="30"/>
  <c r="Y148" i="30"/>
  <c r="A65" i="30"/>
  <c r="C65" i="30" s="1"/>
  <c r="A88" i="30"/>
  <c r="C88" i="30" s="1"/>
  <c r="Z148" i="30"/>
  <c r="Z166" i="30"/>
  <c r="Z161" i="30"/>
  <c r="Z150" i="30"/>
  <c r="Z171" i="30"/>
  <c r="AE169" i="30"/>
  <c r="AE170" i="30"/>
  <c r="AE159" i="30"/>
  <c r="AE155" i="30"/>
  <c r="A103" i="30"/>
  <c r="C103" i="30" s="1"/>
  <c r="A123" i="30"/>
  <c r="C123" i="30" s="1"/>
  <c r="AE172" i="30"/>
  <c r="Z165" i="30"/>
  <c r="Z168" i="30"/>
  <c r="Z141" i="30"/>
  <c r="Z154" i="30"/>
  <c r="A110" i="28"/>
  <c r="C110" i="28" s="1"/>
  <c r="AE158" i="30"/>
  <c r="AE152" i="30"/>
  <c r="AE166" i="30"/>
  <c r="Y149" i="30"/>
  <c r="Y156" i="30"/>
  <c r="Y144" i="30"/>
  <c r="A85" i="30"/>
  <c r="C85" i="30" s="1"/>
  <c r="A127" i="30"/>
  <c r="C127" i="30" s="1"/>
  <c r="A173" i="28"/>
  <c r="C173" i="28" s="1"/>
  <c r="Z152" i="30"/>
  <c r="Z169" i="30"/>
  <c r="Z151" i="30"/>
  <c r="A101" i="28"/>
  <c r="C101" i="28" s="1"/>
  <c r="A101" i="30"/>
  <c r="C101" i="30" s="1"/>
  <c r="A102" i="28"/>
  <c r="C102" i="28" s="1"/>
  <c r="Z176" i="28"/>
  <c r="A131" i="28"/>
  <c r="C131" i="28" s="1"/>
  <c r="A131" i="30"/>
  <c r="C131" i="30" s="1"/>
  <c r="A99" i="30"/>
  <c r="C99" i="30" s="1"/>
  <c r="A71" i="30"/>
  <c r="C71" i="30" s="1"/>
  <c r="A60" i="30"/>
  <c r="C60" i="30" s="1"/>
  <c r="A82" i="30"/>
  <c r="C82" i="30" s="1"/>
  <c r="A149" i="28"/>
  <c r="C149" i="28" s="1"/>
  <c r="A138" i="30"/>
  <c r="C138" i="30" s="1"/>
  <c r="A100" i="28"/>
  <c r="C100" i="28" s="1"/>
  <c r="A13" i="28"/>
  <c r="A103" i="28"/>
  <c r="C103" i="28" s="1"/>
  <c r="A94" i="30"/>
  <c r="C94" i="30" s="1"/>
  <c r="A135" i="28"/>
  <c r="C135" i="28" s="1"/>
  <c r="A135" i="30"/>
  <c r="C135" i="30" s="1"/>
  <c r="AF176" i="28"/>
  <c r="A168" i="28"/>
  <c r="C168" i="28" s="1"/>
  <c r="AE176" i="28"/>
  <c r="A14" i="30"/>
  <c r="C14" i="30" s="1"/>
  <c r="A165" i="28"/>
  <c r="C165" i="28" s="1"/>
  <c r="A113" i="28"/>
  <c r="C113" i="28" s="1"/>
  <c r="A113" i="30"/>
  <c r="C113" i="30" s="1"/>
  <c r="A99" i="28"/>
  <c r="C99" i="28" s="1"/>
  <c r="A141" i="28"/>
  <c r="C141" i="28" s="1"/>
  <c r="A76" i="30"/>
  <c r="C76" i="30" s="1"/>
  <c r="A61" i="30"/>
  <c r="C61" i="30" s="1"/>
  <c r="A62" i="30"/>
  <c r="C62" i="30" s="1"/>
  <c r="A70" i="30"/>
  <c r="C70" i="30" s="1"/>
  <c r="A93" i="28"/>
  <c r="C93" i="28" s="1"/>
  <c r="A164" i="28"/>
  <c r="C164" i="28" s="1"/>
  <c r="M176" i="28"/>
  <c r="A151" i="28"/>
  <c r="C151" i="28" s="1"/>
  <c r="A138" i="28"/>
  <c r="C138" i="28" s="1"/>
  <c r="A100" i="30"/>
  <c r="C100" i="30" s="1"/>
  <c r="W176" i="28"/>
  <c r="A124" i="28"/>
  <c r="C124" i="28" s="1"/>
  <c r="A124" i="30"/>
  <c r="C124" i="30" s="1"/>
  <c r="A126" i="28"/>
  <c r="C126" i="28" s="1"/>
  <c r="A90" i="30"/>
  <c r="C90" i="30" s="1"/>
  <c r="AF162" i="30"/>
  <c r="AF174" i="30"/>
  <c r="AF146" i="30"/>
  <c r="AF172" i="30"/>
  <c r="AF143" i="30"/>
  <c r="AF167" i="30"/>
  <c r="AF163" i="30"/>
  <c r="AF145" i="30"/>
  <c r="AF161" i="30"/>
  <c r="AF149" i="30"/>
  <c r="AF152" i="30"/>
  <c r="AF153" i="30"/>
  <c r="AF141" i="30"/>
  <c r="AF158" i="30"/>
  <c r="AF165" i="30"/>
  <c r="AF169" i="30"/>
  <c r="AF159" i="30"/>
  <c r="AF171" i="30"/>
  <c r="AF154" i="30"/>
  <c r="AF151" i="30"/>
  <c r="AF147" i="30"/>
  <c r="AF144" i="30"/>
  <c r="AF168" i="30"/>
  <c r="AF173" i="30"/>
  <c r="AF157" i="30"/>
  <c r="AF155" i="30"/>
  <c r="AF142" i="30"/>
  <c r="AF170" i="30"/>
  <c r="AF160" i="30"/>
  <c r="AF156" i="30"/>
  <c r="AF164" i="30"/>
  <c r="AF166" i="30"/>
  <c r="AF150" i="30"/>
  <c r="AF148" i="30"/>
  <c r="Q141" i="30"/>
  <c r="Q162" i="30"/>
  <c r="Q157" i="30"/>
  <c r="Q169" i="30"/>
  <c r="Q160" i="30"/>
  <c r="Q158" i="30"/>
  <c r="Q174" i="30"/>
  <c r="Q161" i="30"/>
  <c r="Q148" i="30"/>
  <c r="Q154" i="30"/>
  <c r="Q170" i="30"/>
  <c r="Q145" i="30"/>
  <c r="Q149" i="30"/>
  <c r="Q143" i="30"/>
  <c r="Q172" i="30"/>
  <c r="Q142" i="30"/>
  <c r="Q151" i="30"/>
  <c r="Q155" i="30"/>
  <c r="Q156" i="30"/>
  <c r="Q153" i="30"/>
  <c r="Q167" i="30"/>
  <c r="Q173" i="30"/>
  <c r="Q147" i="30"/>
  <c r="Q165" i="30"/>
  <c r="Q152" i="30"/>
  <c r="Q166" i="30"/>
  <c r="Q144" i="30"/>
  <c r="Q168" i="30"/>
  <c r="Q150" i="30"/>
  <c r="Q146" i="30"/>
  <c r="Q159" i="30"/>
  <c r="Q164" i="30"/>
  <c r="Q171" i="30"/>
  <c r="Q163" i="30"/>
  <c r="AE5" i="21"/>
  <c r="AI162" i="21"/>
  <c r="A171" i="28"/>
  <c r="C171" i="28" s="1"/>
  <c r="A109" i="28"/>
  <c r="C109" i="28" s="1"/>
  <c r="A109" i="30"/>
  <c r="C109" i="30" s="1"/>
  <c r="A66" i="30"/>
  <c r="C66" i="30" s="1"/>
  <c r="A75" i="30"/>
  <c r="C75" i="30" s="1"/>
  <c r="A64" i="30"/>
  <c r="C64" i="30" s="1"/>
  <c r="A114" i="28"/>
  <c r="C114" i="28" s="1"/>
  <c r="A129" i="30"/>
  <c r="C129" i="30" s="1"/>
  <c r="A137" i="30"/>
  <c r="C137" i="30" s="1"/>
  <c r="W156" i="30"/>
  <c r="W164" i="30"/>
  <c r="W154" i="30"/>
  <c r="W166" i="30"/>
  <c r="W157" i="30"/>
  <c r="W145" i="30"/>
  <c r="W161" i="30"/>
  <c r="W150" i="30"/>
  <c r="W169" i="30"/>
  <c r="W158" i="30"/>
  <c r="W152" i="30"/>
  <c r="W160" i="30"/>
  <c r="W151" i="30"/>
  <c r="W168" i="30"/>
  <c r="W149" i="30"/>
  <c r="W165" i="30"/>
  <c r="W153" i="30"/>
  <c r="W155" i="30"/>
  <c r="W141" i="30"/>
  <c r="W162" i="30"/>
  <c r="W159" i="30"/>
  <c r="W174" i="30"/>
  <c r="W142" i="30"/>
  <c r="W172" i="30"/>
  <c r="W173" i="30"/>
  <c r="W144" i="30"/>
  <c r="W170" i="30"/>
  <c r="W171" i="30"/>
  <c r="W143" i="30"/>
  <c r="W147" i="30"/>
  <c r="W163" i="30"/>
  <c r="W148" i="30"/>
  <c r="W146" i="30"/>
  <c r="W167" i="30"/>
  <c r="A153" i="28"/>
  <c r="C153" i="28" s="1"/>
  <c r="A142" i="28"/>
  <c r="C142" i="28" s="1"/>
  <c r="A117" i="28"/>
  <c r="C117" i="28" s="1"/>
  <c r="A117" i="30"/>
  <c r="C117" i="30" s="1"/>
  <c r="A140" i="30"/>
  <c r="C140" i="30" s="1"/>
  <c r="A96" i="28"/>
  <c r="C96" i="28" s="1"/>
  <c r="A80" i="30"/>
  <c r="C80" i="30" s="1"/>
  <c r="A57" i="30"/>
  <c r="C57" i="30" s="1"/>
  <c r="A86" i="30"/>
  <c r="C86" i="30" s="1"/>
  <c r="A87" i="30"/>
  <c r="C87" i="30" s="1"/>
  <c r="A84" i="30"/>
  <c r="C84" i="30" s="1"/>
  <c r="A118" i="28"/>
  <c r="C118" i="28" s="1"/>
  <c r="A114" i="30"/>
  <c r="C114" i="30" s="1"/>
  <c r="A123" i="28"/>
  <c r="C123" i="28" s="1"/>
  <c r="A121" i="28"/>
  <c r="C121" i="28" s="1"/>
  <c r="A121" i="30"/>
  <c r="C121" i="30" s="1"/>
  <c r="A128" i="30"/>
  <c r="C128" i="30" s="1"/>
  <c r="M161" i="30"/>
  <c r="M163" i="30"/>
  <c r="M147" i="30"/>
  <c r="M151" i="30"/>
  <c r="M153" i="30"/>
  <c r="M165" i="30"/>
  <c r="M155" i="30"/>
  <c r="M149" i="30"/>
  <c r="M169" i="30"/>
  <c r="M146" i="30"/>
  <c r="M142" i="30"/>
  <c r="M157" i="30"/>
  <c r="M164" i="30"/>
  <c r="M148" i="30"/>
  <c r="M172" i="30"/>
  <c r="M144" i="30"/>
  <c r="M160" i="30"/>
  <c r="M168" i="30"/>
  <c r="M141" i="30"/>
  <c r="M171" i="30"/>
  <c r="M158" i="30"/>
  <c r="M143" i="30"/>
  <c r="M167" i="30"/>
  <c r="M166" i="30"/>
  <c r="M152" i="30"/>
  <c r="M145" i="30"/>
  <c r="M162" i="30"/>
  <c r="M173" i="30"/>
  <c r="M170" i="30"/>
  <c r="M154" i="30"/>
  <c r="M159" i="30"/>
  <c r="M150" i="30"/>
  <c r="M174" i="30"/>
  <c r="M156" i="30"/>
  <c r="A119" i="28"/>
  <c r="C119" i="28" s="1"/>
  <c r="A119" i="30"/>
  <c r="C119" i="30" s="1"/>
  <c r="A128" i="28"/>
  <c r="C128" i="28" s="1"/>
  <c r="A163" i="28"/>
  <c r="C163" i="28" s="1"/>
  <c r="A169" i="28"/>
  <c r="C169" i="28" s="1"/>
  <c r="A140" i="28"/>
  <c r="C140" i="28" s="1"/>
  <c r="A96" i="30"/>
  <c r="C96" i="30" s="1"/>
  <c r="N176" i="28"/>
  <c r="A118" i="30"/>
  <c r="C118" i="30" s="1"/>
  <c r="Y176" i="28"/>
  <c r="A129" i="28"/>
  <c r="C129" i="28" s="1"/>
  <c r="A9" i="30"/>
  <c r="C9" i="30" s="1"/>
  <c r="A137" i="28"/>
  <c r="C137" i="28" s="1"/>
  <c r="A144" i="28"/>
  <c r="C144" i="28" s="1"/>
  <c r="A152" i="28"/>
  <c r="C152" i="28" s="1"/>
  <c r="A150" i="28"/>
  <c r="C150" i="28" s="1"/>
  <c r="A33" i="30"/>
  <c r="C33" i="30" s="1"/>
  <c r="A136" i="28"/>
  <c r="C136" i="28" s="1"/>
  <c r="A136" i="30"/>
  <c r="C136" i="30" s="1"/>
  <c r="A112" i="30"/>
  <c r="C112" i="30" s="1"/>
  <c r="A67" i="30"/>
  <c r="C67" i="30" s="1"/>
  <c r="A73" i="30"/>
  <c r="C73" i="30" s="1"/>
  <c r="A68" i="30"/>
  <c r="C68" i="30" s="1"/>
  <c r="A69" i="30"/>
  <c r="C69" i="30" s="1"/>
  <c r="A134" i="30"/>
  <c r="C134" i="30" s="1"/>
  <c r="A134" i="28"/>
  <c r="C134" i="28" s="1"/>
  <c r="A120" i="30"/>
  <c r="C120" i="30" s="1"/>
  <c r="V176" i="28"/>
  <c r="A115" i="28"/>
  <c r="C115" i="28" s="1"/>
  <c r="A125" i="30"/>
  <c r="C125" i="30" s="1"/>
  <c r="A139" i="28"/>
  <c r="C139" i="28" s="1"/>
  <c r="A108" i="28"/>
  <c r="C108" i="28" s="1"/>
  <c r="A108" i="30"/>
  <c r="C108" i="30" s="1"/>
  <c r="A174" i="28"/>
  <c r="C174" i="28" s="1"/>
  <c r="A130" i="30"/>
  <c r="C130" i="30" s="1"/>
  <c r="A133" i="28"/>
  <c r="C133" i="28" s="1"/>
  <c r="A167" i="28"/>
  <c r="C167" i="28" s="1"/>
  <c r="A58" i="30"/>
  <c r="C58" i="30" s="1"/>
  <c r="A130" i="28"/>
  <c r="C130" i="28" s="1"/>
  <c r="A157" i="28"/>
  <c r="C157" i="28" s="1"/>
  <c r="A94" i="28"/>
  <c r="C94" i="28" s="1"/>
  <c r="A78" i="30"/>
  <c r="C78" i="30" s="1"/>
  <c r="A81" i="30"/>
  <c r="C81" i="30" s="1"/>
  <c r="Q176" i="28"/>
  <c r="D13" i="21"/>
  <c r="E13" i="21"/>
  <c r="G176" i="28"/>
  <c r="A154" i="28"/>
  <c r="C154" i="28" s="1"/>
  <c r="H176" i="28"/>
  <c r="A156" i="28"/>
  <c r="C156" i="28" s="1"/>
  <c r="A132" i="28"/>
  <c r="C132" i="28" s="1"/>
  <c r="A132" i="30"/>
  <c r="C132" i="30" s="1"/>
  <c r="A170" i="28"/>
  <c r="C170" i="28" s="1"/>
  <c r="N116" i="30"/>
  <c r="A116" i="30" s="1"/>
  <c r="C116" i="30" s="1"/>
  <c r="A116" i="28"/>
  <c r="C116" i="28" s="1"/>
  <c r="A112" i="28"/>
  <c r="C112" i="28" s="1"/>
  <c r="A79" i="30"/>
  <c r="C79" i="30" s="1"/>
  <c r="A72" i="30"/>
  <c r="C72" i="30" s="1"/>
  <c r="A63" i="30"/>
  <c r="C63" i="30" s="1"/>
  <c r="A74" i="30"/>
  <c r="C74" i="30" s="1"/>
  <c r="P176" i="28"/>
  <c r="A122" i="30"/>
  <c r="C122" i="30" s="1"/>
  <c r="A122" i="28"/>
  <c r="C122" i="28" s="1"/>
  <c r="A127" i="28"/>
  <c r="C127" i="28" s="1"/>
  <c r="A102" i="30"/>
  <c r="C102" i="30" s="1"/>
  <c r="A160" i="28"/>
  <c r="C160" i="28" s="1"/>
  <c r="A120" i="28"/>
  <c r="C120" i="28" s="1"/>
  <c r="A115" i="30"/>
  <c r="C115" i="30" s="1"/>
  <c r="A125" i="28"/>
  <c r="C125" i="28" s="1"/>
  <c r="A139" i="30"/>
  <c r="C139" i="30" s="1"/>
  <c r="C17" i="21" l="1"/>
  <c r="C18" i="21" s="1"/>
  <c r="C19" i="21" s="1"/>
  <c r="C20" i="21" s="1"/>
  <c r="C13" i="28"/>
  <c r="P176" i="30"/>
  <c r="V176" i="30"/>
  <c r="G176" i="30"/>
  <c r="W177" i="28"/>
  <c r="AE176" i="30"/>
  <c r="A160" i="30"/>
  <c r="C160" i="30" s="1"/>
  <c r="M177" i="28"/>
  <c r="A151" i="30"/>
  <c r="C151" i="30" s="1"/>
  <c r="Y176" i="30"/>
  <c r="Z176" i="30"/>
  <c r="A13" i="30"/>
  <c r="C13" i="30" s="1"/>
  <c r="W176" i="30"/>
  <c r="Q176" i="30"/>
  <c r="AF176" i="30"/>
  <c r="A145" i="30"/>
  <c r="C145" i="30" s="1"/>
  <c r="A142" i="30"/>
  <c r="C142" i="30" s="1"/>
  <c r="A143" i="30"/>
  <c r="C143" i="30" s="1"/>
  <c r="A166" i="30"/>
  <c r="C166" i="30" s="1"/>
  <c r="M176" i="30"/>
  <c r="A95" i="30"/>
  <c r="N177" i="28"/>
  <c r="A161" i="30"/>
  <c r="C161" i="30" s="1"/>
  <c r="A147" i="30"/>
  <c r="C147" i="30" s="1"/>
  <c r="A165" i="30"/>
  <c r="C165" i="30" s="1"/>
  <c r="A148" i="30"/>
  <c r="C148" i="30" s="1"/>
  <c r="A146" i="30"/>
  <c r="C146" i="30" s="1"/>
  <c r="AF177" i="28"/>
  <c r="A174" i="30"/>
  <c r="C174" i="30" s="1"/>
  <c r="A169" i="30"/>
  <c r="C169" i="30" s="1"/>
  <c r="A159" i="30"/>
  <c r="C159" i="30" s="1"/>
  <c r="A155" i="30"/>
  <c r="C155" i="30" s="1"/>
  <c r="N176" i="30"/>
  <c r="H176" i="30"/>
  <c r="A150" i="30"/>
  <c r="C150" i="30" s="1"/>
  <c r="A141" i="30"/>
  <c r="C141" i="30" s="1"/>
  <c r="D14" i="21"/>
  <c r="E14" i="21"/>
  <c r="A15" i="28"/>
  <c r="A149" i="30"/>
  <c r="C149" i="30" s="1"/>
  <c r="A163" i="30"/>
  <c r="C163" i="30" s="1"/>
  <c r="A168" i="30"/>
  <c r="C168" i="30" s="1"/>
  <c r="A152" i="30"/>
  <c r="C152" i="30" s="1"/>
  <c r="A172" i="30"/>
  <c r="C172" i="30" s="1"/>
  <c r="A144" i="30"/>
  <c r="C144" i="30" s="1"/>
  <c r="A164" i="30"/>
  <c r="C164" i="30" s="1"/>
  <c r="A170" i="30"/>
  <c r="C170" i="30" s="1"/>
  <c r="A158" i="30"/>
  <c r="C158" i="30" s="1"/>
  <c r="A154" i="30"/>
  <c r="C154" i="30" s="1"/>
  <c r="A162" i="30"/>
  <c r="C162" i="30" s="1"/>
  <c r="A157" i="30"/>
  <c r="C157" i="30" s="1"/>
  <c r="A171" i="30"/>
  <c r="C171" i="30" s="1"/>
  <c r="A95" i="28"/>
  <c r="V177" i="28"/>
  <c r="AE177" i="28"/>
  <c r="A167" i="30"/>
  <c r="C167" i="30" s="1"/>
  <c r="A173" i="30"/>
  <c r="C173" i="30" s="1"/>
  <c r="A153" i="30"/>
  <c r="C153" i="30" s="1"/>
  <c r="A156" i="30"/>
  <c r="C156" i="30" s="1"/>
  <c r="C21" i="21" l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95" i="28"/>
  <c r="C95" i="30"/>
  <c r="V177" i="30"/>
  <c r="A97" i="30"/>
  <c r="C97" i="30" s="1"/>
  <c r="M177" i="30"/>
  <c r="AE177" i="30"/>
  <c r="W177" i="30"/>
  <c r="A15" i="30"/>
  <c r="C15" i="30" s="1"/>
  <c r="AF177" i="30"/>
  <c r="N177" i="30"/>
  <c r="E16" i="21"/>
  <c r="D16" i="21"/>
  <c r="A97" i="28"/>
  <c r="A98" i="28" s="1"/>
  <c r="C98" i="28" s="1"/>
  <c r="D15" i="21"/>
  <c r="E15" i="21"/>
  <c r="C15" i="28"/>
  <c r="A16" i="28"/>
  <c r="A19" i="28" l="1"/>
  <c r="A98" i="30"/>
  <c r="A16" i="30"/>
  <c r="C16" i="30" s="1"/>
  <c r="D17" i="21"/>
  <c r="E17" i="21"/>
  <c r="C97" i="28"/>
  <c r="A104" i="28"/>
  <c r="C104" i="28" s="1"/>
  <c r="C16" i="28"/>
  <c r="E18" i="21"/>
  <c r="D18" i="21"/>
  <c r="A104" i="30" l="1"/>
  <c r="C104" i="30" s="1"/>
  <c r="C19" i="28"/>
  <c r="A20" i="28"/>
  <c r="C98" i="30"/>
  <c r="A105" i="30"/>
  <c r="C105" i="30" s="1"/>
  <c r="A19" i="30"/>
  <c r="D21" i="21"/>
  <c r="A105" i="28"/>
  <c r="C105" i="28" s="1"/>
  <c r="E19" i="21"/>
  <c r="D19" i="21"/>
  <c r="A106" i="30" l="1"/>
  <c r="C106" i="30" s="1"/>
  <c r="A106" i="28"/>
  <c r="C106" i="28" s="1"/>
  <c r="A21" i="28"/>
  <c r="C21" i="28" s="1"/>
  <c r="C19" i="30"/>
  <c r="A25" i="28"/>
  <c r="C20" i="28"/>
  <c r="A20" i="30"/>
  <c r="E21" i="21"/>
  <c r="E20" i="21"/>
  <c r="D20" i="21"/>
  <c r="A107" i="30" l="1"/>
  <c r="C107" i="30" s="1"/>
  <c r="A22" i="28"/>
  <c r="C22" i="28" s="1"/>
  <c r="A107" i="28"/>
  <c r="C107" i="28" s="1"/>
  <c r="A25" i="30"/>
  <c r="A21" i="30"/>
  <c r="C25" i="28"/>
  <c r="A39" i="28"/>
  <c r="C39" i="28" s="1"/>
  <c r="A38" i="30"/>
  <c r="C38" i="30" s="1"/>
  <c r="C20" i="30"/>
  <c r="D22" i="21"/>
  <c r="E22" i="21"/>
  <c r="A27" i="28" l="1"/>
  <c r="C27" i="28" s="1"/>
  <c r="C21" i="30"/>
  <c r="A22" i="30"/>
  <c r="C22" i="30" s="1"/>
  <c r="C25" i="30"/>
  <c r="A55" i="28"/>
  <c r="C55" i="28" s="1"/>
  <c r="A39" i="30"/>
  <c r="E23" i="21"/>
  <c r="D23" i="21"/>
  <c r="A27" i="30" l="1"/>
  <c r="C27" i="30" s="1"/>
  <c r="A41" i="28"/>
  <c r="C41" i="28" s="1"/>
  <c r="C39" i="30"/>
  <c r="D24" i="21"/>
  <c r="E24" i="21"/>
  <c r="D25" i="21"/>
  <c r="E25" i="21"/>
  <c r="A40" i="30" l="1"/>
  <c r="C40" i="30" s="1"/>
  <c r="E26" i="21"/>
  <c r="D26" i="21"/>
  <c r="A41" i="30" l="1"/>
  <c r="C41" i="30" s="1"/>
  <c r="D28" i="21"/>
  <c r="E28" i="21"/>
  <c r="D27" i="21"/>
  <c r="E27" i="21"/>
  <c r="E30" i="21" l="1"/>
  <c r="D30" i="21"/>
  <c r="D29" i="21"/>
  <c r="E29" i="21"/>
  <c r="D31" i="21" l="1"/>
  <c r="E31" i="21"/>
  <c r="E32" i="21" l="1"/>
  <c r="D32" i="21"/>
  <c r="G127" i="32" l="1"/>
  <c r="G23" i="32"/>
  <c r="G45" i="32"/>
  <c r="G20" i="32"/>
  <c r="G75" i="32"/>
  <c r="G72" i="32"/>
  <c r="G48" i="32"/>
  <c r="G122" i="32"/>
  <c r="G115" i="32"/>
  <c r="G107" i="32"/>
  <c r="G91" i="32"/>
  <c r="G92" i="32"/>
  <c r="G103" i="32"/>
  <c r="G57" i="32"/>
  <c r="G32" i="32"/>
  <c r="G76" i="32"/>
  <c r="G87" i="32"/>
  <c r="G31" i="32"/>
  <c r="G114" i="32"/>
  <c r="G35" i="32"/>
  <c r="G111" i="32"/>
  <c r="G130" i="32"/>
  <c r="G7" i="32"/>
  <c r="G79" i="32"/>
  <c r="G128" i="32"/>
  <c r="G24" i="32"/>
  <c r="G8" i="32"/>
  <c r="G81" i="32"/>
  <c r="G101" i="32"/>
  <c r="G59" i="32"/>
  <c r="G117" i="32"/>
  <c r="G27" i="32"/>
  <c r="G64" i="32"/>
  <c r="G52" i="32"/>
  <c r="G119" i="32"/>
  <c r="G58" i="32"/>
  <c r="G14" i="32"/>
  <c r="G28" i="32"/>
  <c r="G29" i="32"/>
  <c r="G126" i="32"/>
  <c r="G18" i="32"/>
  <c r="G125" i="32"/>
  <c r="G113" i="32"/>
  <c r="G33" i="32"/>
  <c r="G25" i="32"/>
  <c r="G132" i="32"/>
  <c r="G12" i="32"/>
  <c r="G51" i="32"/>
  <c r="G60" i="32"/>
  <c r="G66" i="32"/>
  <c r="G109" i="32"/>
  <c r="G124" i="32"/>
  <c r="G56" i="32"/>
  <c r="G68" i="32"/>
  <c r="G123" i="32"/>
  <c r="G116" i="32"/>
  <c r="G19" i="32"/>
  <c r="G121" i="32"/>
  <c r="G104" i="32"/>
  <c r="G131" i="32"/>
  <c r="G11" i="32"/>
  <c r="G34" i="32"/>
  <c r="G47" i="32"/>
  <c r="G94" i="32"/>
  <c r="G65" i="32"/>
  <c r="G55" i="32"/>
  <c r="G93" i="32"/>
  <c r="G90" i="32"/>
  <c r="G71" i="32"/>
  <c r="G15" i="32"/>
  <c r="G86" i="32"/>
  <c r="G83" i="32"/>
  <c r="G118" i="32"/>
  <c r="G133" i="32"/>
  <c r="G96" i="32"/>
  <c r="G100" i="32"/>
  <c r="G129" i="32"/>
  <c r="G16" i="32"/>
  <c r="G62" i="32"/>
  <c r="G44" i="32"/>
  <c r="G89" i="32"/>
  <c r="G120" i="32"/>
  <c r="G26" i="32"/>
  <c r="G67" i="32"/>
  <c r="G22" i="32"/>
  <c r="G108" i="32"/>
  <c r="G13" i="32"/>
  <c r="G40" i="32"/>
  <c r="G74" i="32"/>
  <c r="G105" i="32"/>
  <c r="G54" i="32"/>
  <c r="G49" i="32"/>
  <c r="G110" i="32"/>
  <c r="G42" i="32"/>
  <c r="G85" i="32"/>
  <c r="G10" i="32"/>
  <c r="G43" i="32"/>
  <c r="G95" i="32"/>
  <c r="G88" i="32"/>
  <c r="G99" i="32"/>
  <c r="G41" i="32"/>
  <c r="G39" i="32"/>
  <c r="G53" i="32"/>
  <c r="G112" i="32"/>
  <c r="G77" i="32"/>
  <c r="G38" i="32"/>
  <c r="G97" i="32"/>
  <c r="G73" i="32"/>
  <c r="G106" i="32"/>
  <c r="G69" i="32"/>
  <c r="G98" i="32"/>
  <c r="G30" i="32"/>
  <c r="G46" i="32"/>
  <c r="G36" i="32"/>
  <c r="G50" i="32"/>
  <c r="G63" i="32"/>
  <c r="G9" i="32"/>
  <c r="G70" i="32"/>
  <c r="G82" i="32"/>
  <c r="G37" i="32"/>
  <c r="G61" i="32"/>
  <c r="G78" i="32"/>
  <c r="G17" i="32"/>
  <c r="G21" i="32"/>
  <c r="G84" i="32"/>
  <c r="G102" i="32"/>
  <c r="G80" i="32"/>
  <c r="W112" i="32" l="1"/>
  <c r="J112" i="32"/>
  <c r="K112" i="32"/>
  <c r="L112" i="32"/>
  <c r="K44" i="32"/>
  <c r="W44" i="32"/>
  <c r="L44" i="32"/>
  <c r="M44" i="32" s="1"/>
  <c r="N44" i="32" s="1"/>
  <c r="J44" i="32"/>
  <c r="W13" i="32"/>
  <c r="K13" i="32"/>
  <c r="J13" i="32"/>
  <c r="L13" i="32"/>
  <c r="J47" i="32"/>
  <c r="K47" i="32"/>
  <c r="W47" i="32"/>
  <c r="L47" i="32"/>
  <c r="M47" i="32" s="1"/>
  <c r="N47" i="32" s="1"/>
  <c r="W123" i="32"/>
  <c r="L123" i="32"/>
  <c r="J123" i="32"/>
  <c r="K123" i="32"/>
  <c r="W12" i="32"/>
  <c r="L12" i="32"/>
  <c r="J12" i="32"/>
  <c r="K12" i="32"/>
  <c r="W29" i="32"/>
  <c r="J29" i="32"/>
  <c r="K29" i="32"/>
  <c r="L29" i="32"/>
  <c r="M29" i="32" s="1"/>
  <c r="N29" i="32" s="1"/>
  <c r="W117" i="32"/>
  <c r="J117" i="32"/>
  <c r="K117" i="32"/>
  <c r="L117" i="32"/>
  <c r="W7" i="32"/>
  <c r="K7" i="32"/>
  <c r="J7" i="32"/>
  <c r="L7" i="32"/>
  <c r="K32" i="32"/>
  <c r="L32" i="32"/>
  <c r="W32" i="32"/>
  <c r="J32" i="32"/>
  <c r="J48" i="32"/>
  <c r="W48" i="32"/>
  <c r="K48" i="32"/>
  <c r="L48" i="32"/>
  <c r="W102" i="32"/>
  <c r="J102" i="32"/>
  <c r="K102" i="32"/>
  <c r="L102" i="32"/>
  <c r="M102" i="32" s="1"/>
  <c r="N102" i="32" s="1"/>
  <c r="J70" i="32"/>
  <c r="K70" i="32"/>
  <c r="L70" i="32"/>
  <c r="W70" i="32"/>
  <c r="K69" i="32"/>
  <c r="L69" i="32"/>
  <c r="W69" i="32"/>
  <c r="J69" i="32"/>
  <c r="K39" i="32"/>
  <c r="L39" i="32"/>
  <c r="M39" i="32" s="1"/>
  <c r="N39" i="32" s="1"/>
  <c r="J39" i="32"/>
  <c r="W39" i="32"/>
  <c r="J42" i="32"/>
  <c r="K42" i="32"/>
  <c r="L42" i="32"/>
  <c r="W42" i="32"/>
  <c r="W108" i="32"/>
  <c r="J108" i="32"/>
  <c r="K108" i="32"/>
  <c r="L108" i="32"/>
  <c r="M108" i="32" s="1"/>
  <c r="N108" i="32" s="1"/>
  <c r="W16" i="32"/>
  <c r="L16" i="32"/>
  <c r="J16" i="32"/>
  <c r="K16" i="32"/>
  <c r="W15" i="32"/>
  <c r="L15" i="32"/>
  <c r="J15" i="32"/>
  <c r="K15" i="32"/>
  <c r="J34" i="32"/>
  <c r="K34" i="32"/>
  <c r="W34" i="32"/>
  <c r="L34" i="32"/>
  <c r="L68" i="32"/>
  <c r="M68" i="32" s="1"/>
  <c r="N68" i="32" s="1"/>
  <c r="W68" i="32"/>
  <c r="J68" i="32"/>
  <c r="K68" i="32"/>
  <c r="W132" i="32"/>
  <c r="K132" i="32"/>
  <c r="L132" i="32"/>
  <c r="J132" i="32"/>
  <c r="W28" i="32"/>
  <c r="J28" i="32"/>
  <c r="K28" i="32"/>
  <c r="L28" i="32"/>
  <c r="W59" i="32"/>
  <c r="J59" i="32"/>
  <c r="K59" i="32"/>
  <c r="L59" i="32"/>
  <c r="W130" i="32"/>
  <c r="J130" i="32"/>
  <c r="K130" i="32"/>
  <c r="L130" i="32"/>
  <c r="K57" i="32"/>
  <c r="L57" i="32"/>
  <c r="W57" i="32"/>
  <c r="J57" i="32"/>
  <c r="J72" i="32"/>
  <c r="K72" i="32"/>
  <c r="L72" i="32"/>
  <c r="W72" i="32"/>
  <c r="W27" i="32"/>
  <c r="J27" i="32"/>
  <c r="K27" i="32"/>
  <c r="L27" i="32"/>
  <c r="J80" i="32"/>
  <c r="W80" i="32"/>
  <c r="K80" i="32"/>
  <c r="L80" i="32"/>
  <c r="M80" i="32" s="1"/>
  <c r="N80" i="32" s="1"/>
  <c r="J53" i="32"/>
  <c r="W53" i="32"/>
  <c r="K53" i="32"/>
  <c r="L53" i="32"/>
  <c r="W22" i="32"/>
  <c r="L22" i="32"/>
  <c r="J22" i="32"/>
  <c r="K22" i="32"/>
  <c r="W25" i="32"/>
  <c r="K25" i="32"/>
  <c r="L25" i="32"/>
  <c r="J25" i="32"/>
  <c r="W101" i="32"/>
  <c r="J101" i="32"/>
  <c r="K101" i="32"/>
  <c r="L101" i="32"/>
  <c r="J103" i="32"/>
  <c r="K103" i="32"/>
  <c r="L103" i="32"/>
  <c r="W103" i="32"/>
  <c r="J73" i="32"/>
  <c r="K73" i="32"/>
  <c r="L73" i="32"/>
  <c r="W73" i="32"/>
  <c r="W99" i="32"/>
  <c r="K99" i="32"/>
  <c r="L99" i="32"/>
  <c r="J99" i="32"/>
  <c r="J49" i="32"/>
  <c r="W49" i="32"/>
  <c r="K49" i="32"/>
  <c r="L49" i="32"/>
  <c r="W67" i="32"/>
  <c r="J67" i="32"/>
  <c r="L67" i="32"/>
  <c r="K67" i="32"/>
  <c r="W100" i="32"/>
  <c r="J100" i="32"/>
  <c r="K100" i="32"/>
  <c r="L100" i="32"/>
  <c r="M100" i="32" s="1"/>
  <c r="N100" i="32" s="1"/>
  <c r="W90" i="32"/>
  <c r="J90" i="32"/>
  <c r="K90" i="32"/>
  <c r="L90" i="32"/>
  <c r="W131" i="32"/>
  <c r="J131" i="32"/>
  <c r="K131" i="32"/>
  <c r="L131" i="32"/>
  <c r="W124" i="32"/>
  <c r="J124" i="32"/>
  <c r="K124" i="32"/>
  <c r="L124" i="32"/>
  <c r="J33" i="32"/>
  <c r="K33" i="32"/>
  <c r="L33" i="32"/>
  <c r="M33" i="32" s="1"/>
  <c r="N33" i="32" s="1"/>
  <c r="W33" i="32"/>
  <c r="J58" i="32"/>
  <c r="K58" i="32"/>
  <c r="L58" i="32"/>
  <c r="M58" i="32" s="1"/>
  <c r="N58" i="32" s="1"/>
  <c r="W58" i="32"/>
  <c r="J81" i="32"/>
  <c r="W81" i="32"/>
  <c r="K81" i="32"/>
  <c r="L81" i="32"/>
  <c r="W35" i="32"/>
  <c r="J35" i="32"/>
  <c r="K35" i="32"/>
  <c r="L35" i="32"/>
  <c r="M35" i="32" s="1"/>
  <c r="N35" i="32" s="1"/>
  <c r="W92" i="32"/>
  <c r="L92" i="32"/>
  <c r="M92" i="32" s="1"/>
  <c r="N92" i="32" s="1"/>
  <c r="J92" i="32"/>
  <c r="K92" i="32"/>
  <c r="W20" i="32"/>
  <c r="J20" i="32"/>
  <c r="L20" i="32"/>
  <c r="K20" i="32"/>
  <c r="W37" i="32"/>
  <c r="J37" i="32"/>
  <c r="K37" i="32"/>
  <c r="L37" i="32"/>
  <c r="M37" i="32" s="1"/>
  <c r="N37" i="32" s="1"/>
  <c r="W83" i="32"/>
  <c r="J83" i="32"/>
  <c r="K83" i="32"/>
  <c r="L83" i="32"/>
  <c r="W126" i="32"/>
  <c r="J126" i="32"/>
  <c r="L126" i="32"/>
  <c r="K126" i="32"/>
  <c r="W76" i="32"/>
  <c r="K76" i="32"/>
  <c r="J76" i="32"/>
  <c r="L76" i="32"/>
  <c r="M76" i="32" s="1"/>
  <c r="N76" i="32" s="1"/>
  <c r="L98" i="32"/>
  <c r="M98" i="32" s="1"/>
  <c r="N98" i="32" s="1"/>
  <c r="W98" i="32"/>
  <c r="J98" i="32"/>
  <c r="K98" i="32"/>
  <c r="W62" i="32"/>
  <c r="J62" i="32"/>
  <c r="K62" i="32"/>
  <c r="L62" i="32"/>
  <c r="M62" i="32" s="1"/>
  <c r="N62" i="32" s="1"/>
  <c r="J106" i="32"/>
  <c r="K106" i="32"/>
  <c r="L106" i="32"/>
  <c r="W106" i="32"/>
  <c r="W110" i="32"/>
  <c r="J110" i="32"/>
  <c r="K110" i="32"/>
  <c r="L110" i="32"/>
  <c r="M110" i="32" s="1"/>
  <c r="N110" i="32" s="1"/>
  <c r="W129" i="32"/>
  <c r="K129" i="32"/>
  <c r="L129" i="32"/>
  <c r="J129" i="32"/>
  <c r="J71" i="32"/>
  <c r="K71" i="32"/>
  <c r="L71" i="32"/>
  <c r="W71" i="32"/>
  <c r="L56" i="32"/>
  <c r="M56" i="32" s="1"/>
  <c r="N56" i="32" s="1"/>
  <c r="J56" i="32"/>
  <c r="K56" i="32"/>
  <c r="W56" i="32"/>
  <c r="W21" i="32"/>
  <c r="L21" i="32"/>
  <c r="J21" i="32"/>
  <c r="K21" i="32"/>
  <c r="W26" i="32"/>
  <c r="L26" i="32"/>
  <c r="J26" i="32"/>
  <c r="K26" i="32"/>
  <c r="W104" i="32"/>
  <c r="J104" i="32"/>
  <c r="K104" i="32"/>
  <c r="L104" i="32"/>
  <c r="M104" i="32" s="1"/>
  <c r="N104" i="32" s="1"/>
  <c r="W109" i="32"/>
  <c r="K109" i="32"/>
  <c r="L109" i="32"/>
  <c r="M109" i="32" s="1"/>
  <c r="N109" i="32" s="1"/>
  <c r="J109" i="32"/>
  <c r="W113" i="32"/>
  <c r="J113" i="32"/>
  <c r="L113" i="32"/>
  <c r="K113" i="32"/>
  <c r="W119" i="32"/>
  <c r="K119" i="32"/>
  <c r="L119" i="32"/>
  <c r="J119" i="32"/>
  <c r="W8" i="32"/>
  <c r="J8" i="32"/>
  <c r="L8" i="32"/>
  <c r="K8" i="32"/>
  <c r="W114" i="32"/>
  <c r="K114" i="32"/>
  <c r="L114" i="32"/>
  <c r="J114" i="32"/>
  <c r="W91" i="32"/>
  <c r="J91" i="32"/>
  <c r="K91" i="32"/>
  <c r="L91" i="32"/>
  <c r="J45" i="32"/>
  <c r="K45" i="32"/>
  <c r="W45" i="32"/>
  <c r="L45" i="32"/>
  <c r="M45" i="32" s="1"/>
  <c r="N45" i="32" s="1"/>
  <c r="W10" i="32"/>
  <c r="L10" i="32"/>
  <c r="J10" i="32"/>
  <c r="K10" i="32"/>
  <c r="W94" i="32"/>
  <c r="J94" i="32"/>
  <c r="K94" i="32"/>
  <c r="L94" i="32"/>
  <c r="M94" i="32" s="1"/>
  <c r="N94" i="32" s="1"/>
  <c r="L9" i="32"/>
  <c r="J9" i="32"/>
  <c r="K9" i="32"/>
  <c r="W9" i="32"/>
  <c r="W11" i="32"/>
  <c r="J11" i="32"/>
  <c r="L11" i="32"/>
  <c r="K11" i="32"/>
  <c r="W17" i="32"/>
  <c r="J17" i="32"/>
  <c r="K17" i="32"/>
  <c r="L17" i="32"/>
  <c r="W97" i="32"/>
  <c r="K97" i="32"/>
  <c r="J97" i="32"/>
  <c r="L97" i="32"/>
  <c r="J88" i="32"/>
  <c r="K88" i="32"/>
  <c r="L88" i="32"/>
  <c r="W88" i="32"/>
  <c r="J54" i="32"/>
  <c r="W54" i="32"/>
  <c r="K54" i="32"/>
  <c r="L54" i="32"/>
  <c r="M54" i="32" s="1"/>
  <c r="N54" i="32" s="1"/>
  <c r="W96" i="32"/>
  <c r="J96" i="32"/>
  <c r="K96" i="32"/>
  <c r="L96" i="32"/>
  <c r="W93" i="32"/>
  <c r="K93" i="32"/>
  <c r="L93" i="32"/>
  <c r="M93" i="32" s="1"/>
  <c r="N93" i="32" s="1"/>
  <c r="J93" i="32"/>
  <c r="W78" i="32"/>
  <c r="L78" i="32"/>
  <c r="J78" i="32"/>
  <c r="K78" i="32"/>
  <c r="W36" i="32"/>
  <c r="J36" i="32"/>
  <c r="K36" i="32"/>
  <c r="L36" i="32"/>
  <c r="L38" i="32"/>
  <c r="W38" i="32"/>
  <c r="J38" i="32"/>
  <c r="K38" i="32"/>
  <c r="W95" i="32"/>
  <c r="J95" i="32"/>
  <c r="K95" i="32"/>
  <c r="L95" i="32"/>
  <c r="K105" i="32"/>
  <c r="L105" i="32"/>
  <c r="J105" i="32"/>
  <c r="W105" i="32"/>
  <c r="W120" i="32"/>
  <c r="J120" i="32"/>
  <c r="K120" i="32"/>
  <c r="L120" i="32"/>
  <c r="W133" i="32"/>
  <c r="J133" i="32"/>
  <c r="K133" i="32"/>
  <c r="L133" i="32"/>
  <c r="W55" i="32"/>
  <c r="J55" i="32"/>
  <c r="K55" i="32"/>
  <c r="L55" i="32"/>
  <c r="W121" i="32"/>
  <c r="J121" i="32"/>
  <c r="K121" i="32"/>
  <c r="L121" i="32"/>
  <c r="J66" i="32"/>
  <c r="K66" i="32"/>
  <c r="L66" i="32"/>
  <c r="M66" i="32" s="1"/>
  <c r="N66" i="32" s="1"/>
  <c r="W66" i="32"/>
  <c r="W125" i="32"/>
  <c r="J125" i="32"/>
  <c r="K125" i="32"/>
  <c r="L125" i="32"/>
  <c r="J52" i="32"/>
  <c r="W52" i="32"/>
  <c r="K52" i="32"/>
  <c r="L52" i="32"/>
  <c r="M52" i="32" s="1"/>
  <c r="N52" i="32" s="1"/>
  <c r="W24" i="32"/>
  <c r="L24" i="32"/>
  <c r="J24" i="32"/>
  <c r="K24" i="32"/>
  <c r="L31" i="32"/>
  <c r="M31" i="32" s="1"/>
  <c r="N31" i="32" s="1"/>
  <c r="W31" i="32"/>
  <c r="J31" i="32"/>
  <c r="K31" i="32"/>
  <c r="W107" i="32"/>
  <c r="J107" i="32"/>
  <c r="K107" i="32"/>
  <c r="L107" i="32"/>
  <c r="W23" i="32"/>
  <c r="J23" i="32"/>
  <c r="L23" i="32"/>
  <c r="K23" i="32"/>
  <c r="W30" i="32"/>
  <c r="J30" i="32"/>
  <c r="K30" i="32"/>
  <c r="L30" i="32"/>
  <c r="J40" i="32"/>
  <c r="K40" i="32"/>
  <c r="L40" i="32"/>
  <c r="W40" i="32"/>
  <c r="W116" i="32"/>
  <c r="J116" i="32"/>
  <c r="K116" i="32"/>
  <c r="L116" i="32"/>
  <c r="W51" i="32"/>
  <c r="K51" i="32"/>
  <c r="L51" i="32"/>
  <c r="M51" i="32" s="1"/>
  <c r="N51" i="32" s="1"/>
  <c r="J51" i="32"/>
  <c r="W79" i="32"/>
  <c r="K79" i="32"/>
  <c r="L79" i="32"/>
  <c r="J79" i="32"/>
  <c r="W122" i="32"/>
  <c r="J122" i="32"/>
  <c r="K122" i="32"/>
  <c r="L122" i="32"/>
  <c r="J82" i="32"/>
  <c r="W82" i="32"/>
  <c r="K82" i="32"/>
  <c r="L82" i="32"/>
  <c r="M82" i="32" s="1"/>
  <c r="N82" i="32" s="1"/>
  <c r="W85" i="32"/>
  <c r="J85" i="32"/>
  <c r="K85" i="32"/>
  <c r="L85" i="32"/>
  <c r="W86" i="32"/>
  <c r="L86" i="32"/>
  <c r="M86" i="32" s="1"/>
  <c r="N86" i="32" s="1"/>
  <c r="J86" i="32"/>
  <c r="K86" i="32"/>
  <c r="W84" i="32"/>
  <c r="J84" i="32"/>
  <c r="K84" i="32"/>
  <c r="L84" i="32"/>
  <c r="M84" i="32" s="1"/>
  <c r="N84" i="32" s="1"/>
  <c r="J41" i="32"/>
  <c r="K41" i="32"/>
  <c r="L41" i="32"/>
  <c r="M41" i="32" s="1"/>
  <c r="N41" i="32" s="1"/>
  <c r="W41" i="32"/>
  <c r="W14" i="32"/>
  <c r="L14" i="32"/>
  <c r="K14" i="32"/>
  <c r="J14" i="32"/>
  <c r="W111" i="32"/>
  <c r="J111" i="32"/>
  <c r="K111" i="32"/>
  <c r="L111" i="32"/>
  <c r="M111" i="32" s="1"/>
  <c r="N111" i="32" s="1"/>
  <c r="W75" i="32"/>
  <c r="J75" i="32"/>
  <c r="K75" i="32"/>
  <c r="L75" i="32"/>
  <c r="J63" i="32"/>
  <c r="K63" i="32"/>
  <c r="L63" i="32"/>
  <c r="W63" i="32"/>
  <c r="L50" i="32"/>
  <c r="M50" i="32" s="1"/>
  <c r="N50" i="32" s="1"/>
  <c r="W50" i="32"/>
  <c r="J50" i="32"/>
  <c r="K50" i="32"/>
  <c r="W61" i="32"/>
  <c r="J61" i="32"/>
  <c r="K61" i="32"/>
  <c r="L61" i="32"/>
  <c r="J46" i="32"/>
  <c r="K46" i="32"/>
  <c r="W46" i="32"/>
  <c r="L46" i="32"/>
  <c r="W77" i="32"/>
  <c r="J77" i="32"/>
  <c r="K77" i="32"/>
  <c r="L77" i="32"/>
  <c r="W43" i="32"/>
  <c r="L43" i="32"/>
  <c r="M43" i="32" s="1"/>
  <c r="N43" i="32" s="1"/>
  <c r="J43" i="32"/>
  <c r="K43" i="32"/>
  <c r="J74" i="32"/>
  <c r="K74" i="32"/>
  <c r="L74" i="32"/>
  <c r="M74" i="32" s="1"/>
  <c r="N74" i="32" s="1"/>
  <c r="W74" i="32"/>
  <c r="J89" i="32"/>
  <c r="K89" i="32"/>
  <c r="L89" i="32"/>
  <c r="W89" i="32"/>
  <c r="W118" i="32"/>
  <c r="L118" i="32"/>
  <c r="J118" i="32"/>
  <c r="K118" i="32"/>
  <c r="J65" i="32"/>
  <c r="K65" i="32"/>
  <c r="W65" i="32"/>
  <c r="L65" i="32"/>
  <c r="W19" i="32"/>
  <c r="J19" i="32"/>
  <c r="K19" i="32"/>
  <c r="L19" i="32"/>
  <c r="W60" i="32"/>
  <c r="J60" i="32"/>
  <c r="L60" i="32"/>
  <c r="M60" i="32" s="1"/>
  <c r="N60" i="32" s="1"/>
  <c r="K60" i="32"/>
  <c r="W18" i="32"/>
  <c r="L18" i="32"/>
  <c r="K18" i="32"/>
  <c r="J18" i="32"/>
  <c r="J64" i="32"/>
  <c r="K64" i="32"/>
  <c r="L64" i="32"/>
  <c r="M64" i="32" s="1"/>
  <c r="N64" i="32" s="1"/>
  <c r="W64" i="32"/>
  <c r="W128" i="32"/>
  <c r="L128" i="32"/>
  <c r="K128" i="32"/>
  <c r="J128" i="32"/>
  <c r="K87" i="32"/>
  <c r="L87" i="32"/>
  <c r="W87" i="32"/>
  <c r="J87" i="32"/>
  <c r="W115" i="32"/>
  <c r="J115" i="32"/>
  <c r="K115" i="32"/>
  <c r="L115" i="32"/>
  <c r="W127" i="32"/>
  <c r="J127" i="32"/>
  <c r="K127" i="32"/>
  <c r="L127" i="32"/>
  <c r="H112" i="32"/>
  <c r="I112" i="32"/>
  <c r="V112" i="32" s="1"/>
  <c r="H83" i="32"/>
  <c r="I83" i="32"/>
  <c r="V83" i="32" s="1"/>
  <c r="I116" i="32"/>
  <c r="V116" i="32" s="1"/>
  <c r="H116" i="32"/>
  <c r="I126" i="32"/>
  <c r="V126" i="32" s="1"/>
  <c r="H126" i="32"/>
  <c r="I76" i="32"/>
  <c r="V76" i="32" s="1"/>
  <c r="H76" i="32"/>
  <c r="I13" i="32"/>
  <c r="V13" i="32" s="1"/>
  <c r="H13" i="32"/>
  <c r="I62" i="32"/>
  <c r="V62" i="32" s="1"/>
  <c r="H62" i="32"/>
  <c r="I86" i="32"/>
  <c r="V86" i="32" s="1"/>
  <c r="H86" i="32"/>
  <c r="H47" i="32"/>
  <c r="I47" i="32"/>
  <c r="V47" i="32" s="1"/>
  <c r="H123" i="32"/>
  <c r="I123" i="32"/>
  <c r="V123" i="32" s="1"/>
  <c r="H12" i="32"/>
  <c r="I12" i="32"/>
  <c r="V12" i="32" s="1"/>
  <c r="I29" i="32"/>
  <c r="V29" i="32" s="1"/>
  <c r="H29" i="32"/>
  <c r="H117" i="32"/>
  <c r="I117" i="32"/>
  <c r="V117" i="32" s="1"/>
  <c r="I7" i="32"/>
  <c r="H7" i="32"/>
  <c r="I32" i="32"/>
  <c r="V32" i="32" s="1"/>
  <c r="H32" i="32"/>
  <c r="I48" i="32"/>
  <c r="V48" i="32" s="1"/>
  <c r="H48" i="32"/>
  <c r="I102" i="32"/>
  <c r="V102" i="32" s="1"/>
  <c r="H102" i="32"/>
  <c r="I70" i="32"/>
  <c r="V70" i="32" s="1"/>
  <c r="H70" i="32"/>
  <c r="H69" i="32"/>
  <c r="I69" i="32"/>
  <c r="V69" i="32" s="1"/>
  <c r="H39" i="32"/>
  <c r="I39" i="32"/>
  <c r="V39" i="32" s="1"/>
  <c r="I42" i="32"/>
  <c r="V42" i="32" s="1"/>
  <c r="H42" i="32"/>
  <c r="I108" i="32"/>
  <c r="V108" i="32" s="1"/>
  <c r="H108" i="32"/>
  <c r="H16" i="32"/>
  <c r="I16" i="32"/>
  <c r="V16" i="32" s="1"/>
  <c r="H15" i="32"/>
  <c r="I15" i="32"/>
  <c r="V15" i="32" s="1"/>
  <c r="I34" i="32"/>
  <c r="V34" i="32" s="1"/>
  <c r="H34" i="32"/>
  <c r="I68" i="32"/>
  <c r="V68" i="32" s="1"/>
  <c r="H68" i="32"/>
  <c r="H132" i="32"/>
  <c r="I132" i="32"/>
  <c r="V132" i="32" s="1"/>
  <c r="H28" i="32"/>
  <c r="I28" i="32"/>
  <c r="V28" i="32" s="1"/>
  <c r="H59" i="32"/>
  <c r="I59" i="32"/>
  <c r="V59" i="32" s="1"/>
  <c r="I130" i="32"/>
  <c r="V130" i="32" s="1"/>
  <c r="H130" i="32"/>
  <c r="H57" i="32"/>
  <c r="I57" i="32"/>
  <c r="V57" i="32" s="1"/>
  <c r="H72" i="32"/>
  <c r="I72" i="32"/>
  <c r="V72" i="32" s="1"/>
  <c r="I10" i="32"/>
  <c r="V10" i="32" s="1"/>
  <c r="H10" i="32"/>
  <c r="H27" i="32"/>
  <c r="I27" i="32"/>
  <c r="V27" i="32" s="1"/>
  <c r="I122" i="32"/>
  <c r="V122" i="32" s="1"/>
  <c r="H122" i="32"/>
  <c r="I82" i="32"/>
  <c r="V82" i="32" s="1"/>
  <c r="H82" i="32"/>
  <c r="H53" i="32"/>
  <c r="I53" i="32"/>
  <c r="V53" i="32" s="1"/>
  <c r="I84" i="32"/>
  <c r="V84" i="32" s="1"/>
  <c r="H84" i="32"/>
  <c r="H41" i="32"/>
  <c r="I41" i="32"/>
  <c r="V41" i="32" s="1"/>
  <c r="I110" i="32"/>
  <c r="V110" i="32" s="1"/>
  <c r="H110" i="32"/>
  <c r="H11" i="32"/>
  <c r="I11" i="32"/>
  <c r="V11" i="32" s="1"/>
  <c r="I56" i="32"/>
  <c r="V56" i="32" s="1"/>
  <c r="H56" i="32"/>
  <c r="I25" i="32"/>
  <c r="V25" i="32" s="1"/>
  <c r="H25" i="32"/>
  <c r="H14" i="32"/>
  <c r="I14" i="32"/>
  <c r="V14" i="32" s="1"/>
  <c r="H101" i="32"/>
  <c r="I101" i="32"/>
  <c r="V101" i="32" s="1"/>
  <c r="H111" i="32"/>
  <c r="I111" i="32"/>
  <c r="V111" i="32" s="1"/>
  <c r="H103" i="32"/>
  <c r="I103" i="32"/>
  <c r="V103" i="32" s="1"/>
  <c r="H75" i="32"/>
  <c r="I75" i="32"/>
  <c r="V75" i="32" s="1"/>
  <c r="H21" i="32"/>
  <c r="I21" i="32"/>
  <c r="V21" i="32" s="1"/>
  <c r="H63" i="32"/>
  <c r="I63" i="32"/>
  <c r="V63" i="32" s="1"/>
  <c r="I73" i="32"/>
  <c r="V73" i="32" s="1"/>
  <c r="H73" i="32"/>
  <c r="H99" i="32"/>
  <c r="I99" i="32"/>
  <c r="V99" i="32" s="1"/>
  <c r="H49" i="32"/>
  <c r="I49" i="32"/>
  <c r="V49" i="32" s="1"/>
  <c r="H67" i="32"/>
  <c r="I67" i="32"/>
  <c r="V67" i="32" s="1"/>
  <c r="I100" i="32"/>
  <c r="V100" i="32" s="1"/>
  <c r="H100" i="32"/>
  <c r="I90" i="32"/>
  <c r="V90" i="32" s="1"/>
  <c r="H90" i="32"/>
  <c r="H131" i="32"/>
  <c r="I131" i="32"/>
  <c r="V131" i="32" s="1"/>
  <c r="H124" i="32"/>
  <c r="I124" i="32"/>
  <c r="V124" i="32" s="1"/>
  <c r="H33" i="32"/>
  <c r="I33" i="32"/>
  <c r="V33" i="32" s="1"/>
  <c r="I58" i="32"/>
  <c r="V58" i="32" s="1"/>
  <c r="H58" i="32"/>
  <c r="H81" i="32"/>
  <c r="I81" i="32"/>
  <c r="V81" i="32" s="1"/>
  <c r="H35" i="32"/>
  <c r="I35" i="32"/>
  <c r="V35" i="32" s="1"/>
  <c r="I92" i="32"/>
  <c r="V92" i="32" s="1"/>
  <c r="H92" i="32"/>
  <c r="H20" i="32"/>
  <c r="I20" i="32"/>
  <c r="V20" i="32" s="1"/>
  <c r="I30" i="32"/>
  <c r="V30" i="32" s="1"/>
  <c r="H30" i="32"/>
  <c r="H44" i="32"/>
  <c r="I44" i="32"/>
  <c r="V44" i="32" s="1"/>
  <c r="I94" i="32"/>
  <c r="V94" i="32" s="1"/>
  <c r="H94" i="32"/>
  <c r="H51" i="32"/>
  <c r="I51" i="32"/>
  <c r="V51" i="32" s="1"/>
  <c r="H79" i="32"/>
  <c r="I79" i="32"/>
  <c r="V79" i="32" s="1"/>
  <c r="H80" i="32"/>
  <c r="I80" i="32"/>
  <c r="V80" i="32" s="1"/>
  <c r="I98" i="32"/>
  <c r="V98" i="32" s="1"/>
  <c r="H98" i="32"/>
  <c r="I85" i="32"/>
  <c r="V85" i="32" s="1"/>
  <c r="H85" i="32"/>
  <c r="I106" i="32"/>
  <c r="V106" i="32" s="1"/>
  <c r="H106" i="32"/>
  <c r="I17" i="32"/>
  <c r="V17" i="32" s="1"/>
  <c r="H17" i="32"/>
  <c r="I26" i="32"/>
  <c r="V26" i="32" s="1"/>
  <c r="H26" i="32"/>
  <c r="H8" i="32"/>
  <c r="I8" i="32"/>
  <c r="V8" i="32" s="1"/>
  <c r="I114" i="32"/>
  <c r="V114" i="32" s="1"/>
  <c r="H114" i="32"/>
  <c r="H91" i="32"/>
  <c r="I91" i="32"/>
  <c r="V91" i="32" s="1"/>
  <c r="H45" i="32"/>
  <c r="I45" i="32"/>
  <c r="V45" i="32" s="1"/>
  <c r="I78" i="32"/>
  <c r="V78" i="32" s="1"/>
  <c r="H78" i="32"/>
  <c r="H36" i="32"/>
  <c r="I36" i="32"/>
  <c r="V36" i="32" s="1"/>
  <c r="I38" i="32"/>
  <c r="V38" i="32" s="1"/>
  <c r="H38" i="32"/>
  <c r="H95" i="32"/>
  <c r="I95" i="32"/>
  <c r="V95" i="32" s="1"/>
  <c r="H105" i="32"/>
  <c r="I105" i="32"/>
  <c r="V105" i="32" s="1"/>
  <c r="I120" i="32"/>
  <c r="V120" i="32" s="1"/>
  <c r="H120" i="32"/>
  <c r="H133" i="32"/>
  <c r="I133" i="32"/>
  <c r="V133" i="32" s="1"/>
  <c r="H55" i="32"/>
  <c r="I55" i="32"/>
  <c r="V55" i="32" s="1"/>
  <c r="I121" i="32"/>
  <c r="V121" i="32" s="1"/>
  <c r="H121" i="32"/>
  <c r="I66" i="32"/>
  <c r="V66" i="32" s="1"/>
  <c r="H66" i="32"/>
  <c r="H125" i="32"/>
  <c r="I125" i="32"/>
  <c r="V125" i="32" s="1"/>
  <c r="H52" i="32"/>
  <c r="I52" i="32"/>
  <c r="V52" i="32" s="1"/>
  <c r="I24" i="32"/>
  <c r="V24" i="32" s="1"/>
  <c r="H24" i="32"/>
  <c r="H31" i="32"/>
  <c r="I31" i="32"/>
  <c r="V31" i="32" s="1"/>
  <c r="H107" i="32"/>
  <c r="I107" i="32"/>
  <c r="V107" i="32" s="1"/>
  <c r="H23" i="32"/>
  <c r="I23" i="32"/>
  <c r="V23" i="32" s="1"/>
  <c r="H37" i="32"/>
  <c r="I37" i="32"/>
  <c r="V37" i="32" s="1"/>
  <c r="I40" i="32"/>
  <c r="V40" i="32" s="1"/>
  <c r="H40" i="32"/>
  <c r="I9" i="32"/>
  <c r="V9" i="32" s="1"/>
  <c r="H9" i="32"/>
  <c r="H22" i="32"/>
  <c r="I22" i="32"/>
  <c r="V22" i="32" s="1"/>
  <c r="H129" i="32"/>
  <c r="I129" i="32"/>
  <c r="V129" i="32" s="1"/>
  <c r="H71" i="32"/>
  <c r="I71" i="32"/>
  <c r="V71" i="32" s="1"/>
  <c r="I50" i="32"/>
  <c r="V50" i="32" s="1"/>
  <c r="H50" i="32"/>
  <c r="I97" i="32"/>
  <c r="V97" i="32" s="1"/>
  <c r="H97" i="32"/>
  <c r="H88" i="32"/>
  <c r="I88" i="32"/>
  <c r="V88" i="32" s="1"/>
  <c r="I54" i="32"/>
  <c r="V54" i="32" s="1"/>
  <c r="H54" i="32"/>
  <c r="H96" i="32"/>
  <c r="I96" i="32"/>
  <c r="V96" i="32" s="1"/>
  <c r="H93" i="32"/>
  <c r="I93" i="32"/>
  <c r="V93" i="32" s="1"/>
  <c r="H104" i="32"/>
  <c r="I104" i="32"/>
  <c r="V104" i="32" s="1"/>
  <c r="H109" i="32"/>
  <c r="I109" i="32"/>
  <c r="V109" i="32" s="1"/>
  <c r="H113" i="32"/>
  <c r="I113" i="32"/>
  <c r="V113" i="32" s="1"/>
  <c r="H119" i="32"/>
  <c r="I119" i="32"/>
  <c r="V119" i="32" s="1"/>
  <c r="H61" i="32"/>
  <c r="I61" i="32"/>
  <c r="V61" i="32" s="1"/>
  <c r="I46" i="32"/>
  <c r="V46" i="32" s="1"/>
  <c r="H46" i="32"/>
  <c r="H77" i="32"/>
  <c r="I77" i="32"/>
  <c r="V77" i="32" s="1"/>
  <c r="H43" i="32"/>
  <c r="I43" i="32"/>
  <c r="V43" i="32" s="1"/>
  <c r="I74" i="32"/>
  <c r="V74" i="32" s="1"/>
  <c r="H74" i="32"/>
  <c r="I89" i="32"/>
  <c r="V89" i="32" s="1"/>
  <c r="H89" i="32"/>
  <c r="I118" i="32"/>
  <c r="V118" i="32" s="1"/>
  <c r="H118" i="32"/>
  <c r="H65" i="32"/>
  <c r="I65" i="32"/>
  <c r="V65" i="32" s="1"/>
  <c r="H19" i="32"/>
  <c r="I19" i="32"/>
  <c r="V19" i="32" s="1"/>
  <c r="H60" i="32"/>
  <c r="I60" i="32"/>
  <c r="V60" i="32" s="1"/>
  <c r="I18" i="32"/>
  <c r="V18" i="32" s="1"/>
  <c r="H18" i="32"/>
  <c r="H64" i="32"/>
  <c r="I64" i="32"/>
  <c r="V64" i="32" s="1"/>
  <c r="I128" i="32"/>
  <c r="V128" i="32" s="1"/>
  <c r="H128" i="32"/>
  <c r="H87" i="32"/>
  <c r="I87" i="32"/>
  <c r="V87" i="32" s="1"/>
  <c r="H115" i="32"/>
  <c r="I115" i="32"/>
  <c r="V115" i="32" s="1"/>
  <c r="H127" i="32"/>
  <c r="I127" i="32"/>
  <c r="V127" i="32" s="1"/>
  <c r="E10" i="32"/>
  <c r="C10" i="32"/>
  <c r="D10" i="32"/>
  <c r="C83" i="32"/>
  <c r="B83" i="32"/>
  <c r="D83" i="32"/>
  <c r="E83" i="32"/>
  <c r="E27" i="32"/>
  <c r="C27" i="32"/>
  <c r="B27" i="32"/>
  <c r="B122" i="32"/>
  <c r="E122" i="32"/>
  <c r="C122" i="32"/>
  <c r="D122" i="32"/>
  <c r="D82" i="32"/>
  <c r="B82" i="32"/>
  <c r="C82" i="32"/>
  <c r="E82" i="32"/>
  <c r="C98" i="32"/>
  <c r="D98" i="32"/>
  <c r="E98" i="32"/>
  <c r="B98" i="32"/>
  <c r="B85" i="32"/>
  <c r="D85" i="32"/>
  <c r="C85" i="32"/>
  <c r="E85" i="32"/>
  <c r="B62" i="32"/>
  <c r="C62" i="32"/>
  <c r="D62" i="32"/>
  <c r="E62" i="32"/>
  <c r="E47" i="32"/>
  <c r="D47" i="32"/>
  <c r="C47" i="32"/>
  <c r="B47" i="32"/>
  <c r="E117" i="32"/>
  <c r="C117" i="32"/>
  <c r="B117" i="32"/>
  <c r="D117" i="32"/>
  <c r="E9" i="32"/>
  <c r="C9" i="32"/>
  <c r="D9" i="32"/>
  <c r="E106" i="32"/>
  <c r="B106" i="32"/>
  <c r="C106" i="32"/>
  <c r="D106" i="32"/>
  <c r="B110" i="32"/>
  <c r="C110" i="32"/>
  <c r="D110" i="32"/>
  <c r="E110" i="32"/>
  <c r="D22" i="32"/>
  <c r="E22" i="32"/>
  <c r="C22" i="32"/>
  <c r="B37" i="32"/>
  <c r="D37" i="32"/>
  <c r="C37" i="32"/>
  <c r="E37" i="32"/>
  <c r="B112" i="32"/>
  <c r="C112" i="32"/>
  <c r="D112" i="32"/>
  <c r="E112" i="32"/>
  <c r="D44" i="32"/>
  <c r="C44" i="32"/>
  <c r="B44" i="32"/>
  <c r="E44" i="32"/>
  <c r="D94" i="32"/>
  <c r="B94" i="32"/>
  <c r="E94" i="32"/>
  <c r="C94" i="32"/>
  <c r="B51" i="32"/>
  <c r="D51" i="32"/>
  <c r="C51" i="32"/>
  <c r="E51" i="32"/>
  <c r="B126" i="32"/>
  <c r="D126" i="32"/>
  <c r="C126" i="32"/>
  <c r="E126" i="32"/>
  <c r="B79" i="32"/>
  <c r="E79" i="32"/>
  <c r="C79" i="32"/>
  <c r="D79" i="32"/>
  <c r="D13" i="32"/>
  <c r="C13" i="32"/>
  <c r="E13" i="32"/>
  <c r="E86" i="32"/>
  <c r="B86" i="32"/>
  <c r="C86" i="32"/>
  <c r="D86" i="32"/>
  <c r="D123" i="32"/>
  <c r="C123" i="32"/>
  <c r="E123" i="32"/>
  <c r="B123" i="32"/>
  <c r="E7" i="32"/>
  <c r="D7" i="32"/>
  <c r="C7" i="32"/>
  <c r="E32" i="32"/>
  <c r="C32" i="32"/>
  <c r="B32" i="32"/>
  <c r="D32" i="32"/>
  <c r="B48" i="32"/>
  <c r="C48" i="32"/>
  <c r="E48" i="32"/>
  <c r="D48" i="32"/>
  <c r="D84" i="32"/>
  <c r="B84" i="32"/>
  <c r="C84" i="32"/>
  <c r="E84" i="32"/>
  <c r="D41" i="32"/>
  <c r="E41" i="32"/>
  <c r="B41" i="32"/>
  <c r="C41" i="32"/>
  <c r="B40" i="32"/>
  <c r="E40" i="32"/>
  <c r="D40" i="32"/>
  <c r="C40" i="32"/>
  <c r="C116" i="32"/>
  <c r="D116" i="32"/>
  <c r="E116" i="32"/>
  <c r="B116" i="32"/>
  <c r="C76" i="32"/>
  <c r="B76" i="32"/>
  <c r="E76" i="32"/>
  <c r="D76" i="32"/>
  <c r="C80" i="32"/>
  <c r="B80" i="32"/>
  <c r="D80" i="32"/>
  <c r="E80" i="32"/>
  <c r="D53" i="32"/>
  <c r="C53" i="32"/>
  <c r="B53" i="32"/>
  <c r="E53" i="32"/>
  <c r="C29" i="32"/>
  <c r="E29" i="32"/>
  <c r="D29" i="32"/>
  <c r="B29" i="32"/>
  <c r="B30" i="32"/>
  <c r="D30" i="32"/>
  <c r="C30" i="32"/>
  <c r="E30" i="32"/>
  <c r="C12" i="32"/>
  <c r="D12" i="32"/>
  <c r="E12" i="32"/>
  <c r="C129" i="32"/>
  <c r="E129" i="32"/>
  <c r="B129" i="32"/>
  <c r="D129" i="32"/>
  <c r="E71" i="32"/>
  <c r="D71" i="32"/>
  <c r="B71" i="32"/>
  <c r="C71" i="32"/>
  <c r="D11" i="32"/>
  <c r="C11" i="32"/>
  <c r="E11" i="32"/>
  <c r="B56" i="32"/>
  <c r="D56" i="32"/>
  <c r="C56" i="32"/>
  <c r="E56" i="32"/>
  <c r="E25" i="32"/>
  <c r="D25" i="32"/>
  <c r="B25" i="32"/>
  <c r="E14" i="32"/>
  <c r="D14" i="32"/>
  <c r="C14" i="32"/>
  <c r="C101" i="32"/>
  <c r="E101" i="32"/>
  <c r="B101" i="32"/>
  <c r="D101" i="32"/>
  <c r="D111" i="32"/>
  <c r="E111" i="32"/>
  <c r="B111" i="32"/>
  <c r="C111" i="32"/>
  <c r="E103" i="32"/>
  <c r="D103" i="32"/>
  <c r="C103" i="32"/>
  <c r="B103" i="32"/>
  <c r="E75" i="32"/>
  <c r="B75" i="32"/>
  <c r="D75" i="32"/>
  <c r="C75" i="32"/>
  <c r="B50" i="32"/>
  <c r="E50" i="32"/>
  <c r="C50" i="32"/>
  <c r="D50" i="32"/>
  <c r="D88" i="32"/>
  <c r="E88" i="32"/>
  <c r="C88" i="32"/>
  <c r="B88" i="32"/>
  <c r="D17" i="32"/>
  <c r="C17" i="32"/>
  <c r="E17" i="32"/>
  <c r="C97" i="32"/>
  <c r="B97" i="32"/>
  <c r="D97" i="32"/>
  <c r="E97" i="32"/>
  <c r="D102" i="32"/>
  <c r="C102" i="32"/>
  <c r="B102" i="32"/>
  <c r="E102" i="32"/>
  <c r="B70" i="32"/>
  <c r="E70" i="32"/>
  <c r="C70" i="32"/>
  <c r="D70" i="32"/>
  <c r="D69" i="32"/>
  <c r="E69" i="32"/>
  <c r="C69" i="32"/>
  <c r="B69" i="32"/>
  <c r="E39" i="32"/>
  <c r="D39" i="32"/>
  <c r="C39" i="32"/>
  <c r="B39" i="32"/>
  <c r="B42" i="32"/>
  <c r="C42" i="32"/>
  <c r="E42" i="32"/>
  <c r="D42" i="32"/>
  <c r="B108" i="32"/>
  <c r="E108" i="32"/>
  <c r="C108" i="32"/>
  <c r="D108" i="32"/>
  <c r="C16" i="32"/>
  <c r="D16" i="32"/>
  <c r="E16" i="32"/>
  <c r="D15" i="32"/>
  <c r="E15" i="32"/>
  <c r="C15" i="32"/>
  <c r="C34" i="32"/>
  <c r="D34" i="32"/>
  <c r="B34" i="32"/>
  <c r="E34" i="32"/>
  <c r="B68" i="32"/>
  <c r="D68" i="32"/>
  <c r="C68" i="32"/>
  <c r="E68" i="32"/>
  <c r="E132" i="32"/>
  <c r="D132" i="32"/>
  <c r="B132" i="32"/>
  <c r="C132" i="32"/>
  <c r="C28" i="32"/>
  <c r="B28" i="32"/>
  <c r="E28" i="32"/>
  <c r="D59" i="32"/>
  <c r="E59" i="32"/>
  <c r="C59" i="32"/>
  <c r="B59" i="32"/>
  <c r="D130" i="32"/>
  <c r="C130" i="32"/>
  <c r="B130" i="32"/>
  <c r="E130" i="32"/>
  <c r="B57" i="32"/>
  <c r="C57" i="32"/>
  <c r="D57" i="32"/>
  <c r="E57" i="32"/>
  <c r="E72" i="32"/>
  <c r="C72" i="32"/>
  <c r="D72" i="32"/>
  <c r="B72" i="32"/>
  <c r="D21" i="32"/>
  <c r="C21" i="32"/>
  <c r="E21" i="32"/>
  <c r="E63" i="32"/>
  <c r="D63" i="32"/>
  <c r="B63" i="32"/>
  <c r="C63" i="32"/>
  <c r="D73" i="32"/>
  <c r="C73" i="32"/>
  <c r="B73" i="32"/>
  <c r="E73" i="32"/>
  <c r="E99" i="32"/>
  <c r="C99" i="32"/>
  <c r="B99" i="32"/>
  <c r="D99" i="32"/>
  <c r="B49" i="32"/>
  <c r="C49" i="32"/>
  <c r="E49" i="32"/>
  <c r="D49" i="32"/>
  <c r="B67" i="32"/>
  <c r="E67" i="32"/>
  <c r="D67" i="32"/>
  <c r="C67" i="32"/>
  <c r="C100" i="32"/>
  <c r="B100" i="32"/>
  <c r="D100" i="32"/>
  <c r="E100" i="32"/>
  <c r="B90" i="32"/>
  <c r="C90" i="32"/>
  <c r="E90" i="32"/>
  <c r="D90" i="32"/>
  <c r="C131" i="32"/>
  <c r="E131" i="32"/>
  <c r="B131" i="32"/>
  <c r="D131" i="32"/>
  <c r="E124" i="32"/>
  <c r="B124" i="32"/>
  <c r="C124" i="32"/>
  <c r="D124" i="32"/>
  <c r="B33" i="32"/>
  <c r="E33" i="32"/>
  <c r="C33" i="32"/>
  <c r="D33" i="32"/>
  <c r="B58" i="32"/>
  <c r="C58" i="32"/>
  <c r="E58" i="32"/>
  <c r="D58" i="32"/>
  <c r="B81" i="32"/>
  <c r="C81" i="32"/>
  <c r="D81" i="32"/>
  <c r="E81" i="32"/>
  <c r="E35" i="32"/>
  <c r="C35" i="32"/>
  <c r="D35" i="32"/>
  <c r="B35" i="32"/>
  <c r="B92" i="32"/>
  <c r="C92" i="32"/>
  <c r="E92" i="32"/>
  <c r="D92" i="32"/>
  <c r="D20" i="32"/>
  <c r="C20" i="32"/>
  <c r="E20" i="32"/>
  <c r="C54" i="32"/>
  <c r="B54" i="32"/>
  <c r="E54" i="32"/>
  <c r="D54" i="32"/>
  <c r="B26" i="32"/>
  <c r="D26" i="32"/>
  <c r="E26" i="32"/>
  <c r="C96" i="32"/>
  <c r="B96" i="32"/>
  <c r="D96" i="32"/>
  <c r="E96" i="32"/>
  <c r="C93" i="32"/>
  <c r="D93" i="32"/>
  <c r="B93" i="32"/>
  <c r="E93" i="32"/>
  <c r="E104" i="32"/>
  <c r="D104" i="32"/>
  <c r="B104" i="32"/>
  <c r="C104" i="32"/>
  <c r="B109" i="32"/>
  <c r="D109" i="32"/>
  <c r="E109" i="32"/>
  <c r="C109" i="32"/>
  <c r="B113" i="32"/>
  <c r="E113" i="32"/>
  <c r="C113" i="32"/>
  <c r="D113" i="32"/>
  <c r="D119" i="32"/>
  <c r="C119" i="32"/>
  <c r="E119" i="32"/>
  <c r="B119" i="32"/>
  <c r="E8" i="32"/>
  <c r="C8" i="32"/>
  <c r="D8" i="32"/>
  <c r="C114" i="32"/>
  <c r="D114" i="32"/>
  <c r="B114" i="32"/>
  <c r="E114" i="32"/>
  <c r="C91" i="32"/>
  <c r="D91" i="32"/>
  <c r="B91" i="32"/>
  <c r="E91" i="32"/>
  <c r="D45" i="32"/>
  <c r="C45" i="32"/>
  <c r="E45" i="32"/>
  <c r="B45" i="32"/>
  <c r="D78" i="32"/>
  <c r="B78" i="32"/>
  <c r="C78" i="32"/>
  <c r="E78" i="32"/>
  <c r="D36" i="32"/>
  <c r="E36" i="32"/>
  <c r="B36" i="32"/>
  <c r="C36" i="32"/>
  <c r="B38" i="32"/>
  <c r="E38" i="32"/>
  <c r="D38" i="32"/>
  <c r="C38" i="32"/>
  <c r="C95" i="32"/>
  <c r="E95" i="32"/>
  <c r="D95" i="32"/>
  <c r="B95" i="32"/>
  <c r="D105" i="32"/>
  <c r="E105" i="32"/>
  <c r="C105" i="32"/>
  <c r="B105" i="32"/>
  <c r="C120" i="32"/>
  <c r="E120" i="32"/>
  <c r="B120" i="32"/>
  <c r="D120" i="32"/>
  <c r="E133" i="32"/>
  <c r="B133" i="32"/>
  <c r="D133" i="32"/>
  <c r="C133" i="32"/>
  <c r="B55" i="32"/>
  <c r="D55" i="32"/>
  <c r="C55" i="32"/>
  <c r="E55" i="32"/>
  <c r="B121" i="32"/>
  <c r="C121" i="32"/>
  <c r="E121" i="32"/>
  <c r="D121" i="32"/>
  <c r="E66" i="32"/>
  <c r="C66" i="32"/>
  <c r="B66" i="32"/>
  <c r="D66" i="32"/>
  <c r="D125" i="32"/>
  <c r="E125" i="32"/>
  <c r="B125" i="32"/>
  <c r="C125" i="32"/>
  <c r="B52" i="32"/>
  <c r="D52" i="32"/>
  <c r="C52" i="32"/>
  <c r="E52" i="32"/>
  <c r="B24" i="32"/>
  <c r="D24" i="32"/>
  <c r="E24" i="32"/>
  <c r="E31" i="32"/>
  <c r="B31" i="32"/>
  <c r="D31" i="32"/>
  <c r="C31" i="32"/>
  <c r="E107" i="32"/>
  <c r="B107" i="32"/>
  <c r="C107" i="32"/>
  <c r="D107" i="32"/>
  <c r="C23" i="32"/>
  <c r="D23" i="32"/>
  <c r="E23" i="32"/>
  <c r="B61" i="32"/>
  <c r="C61" i="32"/>
  <c r="E61" i="32"/>
  <c r="D61" i="32"/>
  <c r="B46" i="32"/>
  <c r="E46" i="32"/>
  <c r="C46" i="32"/>
  <c r="D46" i="32"/>
  <c r="C77" i="32"/>
  <c r="E77" i="32"/>
  <c r="D77" i="32"/>
  <c r="B77" i="32"/>
  <c r="B43" i="32"/>
  <c r="D43" i="32"/>
  <c r="E43" i="32"/>
  <c r="C43" i="32"/>
  <c r="B74" i="32"/>
  <c r="C74" i="32"/>
  <c r="E74" i="32"/>
  <c r="D74" i="32"/>
  <c r="B89" i="32"/>
  <c r="E89" i="32"/>
  <c r="D89" i="32"/>
  <c r="C89" i="32"/>
  <c r="D118" i="32"/>
  <c r="B118" i="32"/>
  <c r="E118" i="32"/>
  <c r="C118" i="32"/>
  <c r="D65" i="32"/>
  <c r="C65" i="32"/>
  <c r="B65" i="32"/>
  <c r="E65" i="32"/>
  <c r="C19" i="32"/>
  <c r="D19" i="32"/>
  <c r="E19" i="32"/>
  <c r="C60" i="32"/>
  <c r="D60" i="32"/>
  <c r="E60" i="32"/>
  <c r="B60" i="32"/>
  <c r="C18" i="32"/>
  <c r="D18" i="32"/>
  <c r="E18" i="32"/>
  <c r="B64" i="32"/>
  <c r="D64" i="32"/>
  <c r="C64" i="32"/>
  <c r="E64" i="32"/>
  <c r="E128" i="32"/>
  <c r="B128" i="32"/>
  <c r="C128" i="32"/>
  <c r="D128" i="32"/>
  <c r="E87" i="32"/>
  <c r="C87" i="32"/>
  <c r="D87" i="32"/>
  <c r="B87" i="32"/>
  <c r="E115" i="32"/>
  <c r="B115" i="32"/>
  <c r="C115" i="32"/>
  <c r="D115" i="32"/>
  <c r="E127" i="32"/>
  <c r="D127" i="32"/>
  <c r="B127" i="32"/>
  <c r="C127" i="32"/>
  <c r="S25" i="32" l="1"/>
  <c r="F25" i="32" s="1"/>
  <c r="O9" i="32"/>
  <c r="P9" i="32"/>
  <c r="Q9" i="32"/>
  <c r="R9" i="32"/>
  <c r="O38" i="32"/>
  <c r="P38" i="32"/>
  <c r="Q38" i="32"/>
  <c r="R38" i="32"/>
  <c r="S38" i="32"/>
  <c r="T38" i="32"/>
  <c r="Q130" i="32"/>
  <c r="R130" i="32"/>
  <c r="S130" i="32"/>
  <c r="T130" i="32"/>
  <c r="O130" i="32"/>
  <c r="P130" i="32"/>
  <c r="S108" i="32"/>
  <c r="O108" i="32"/>
  <c r="P108" i="32"/>
  <c r="Q108" i="32"/>
  <c r="R108" i="32"/>
  <c r="T108" i="32"/>
  <c r="O13" i="32"/>
  <c r="P13" i="32"/>
  <c r="Q13" i="32"/>
  <c r="R13" i="32"/>
  <c r="M61" i="32"/>
  <c r="N61" i="32" s="1"/>
  <c r="M116" i="32"/>
  <c r="N116" i="32" s="1"/>
  <c r="M125" i="32"/>
  <c r="N125" i="32" s="1"/>
  <c r="M91" i="32"/>
  <c r="N91" i="32" s="1"/>
  <c r="M117" i="32"/>
  <c r="N117" i="32" s="1"/>
  <c r="S115" i="32"/>
  <c r="T115" i="32"/>
  <c r="O115" i="32"/>
  <c r="P115" i="32"/>
  <c r="Q115" i="32"/>
  <c r="R115" i="32"/>
  <c r="O113" i="32"/>
  <c r="P113" i="32"/>
  <c r="Q113" i="32"/>
  <c r="R113" i="32"/>
  <c r="S113" i="32"/>
  <c r="T113" i="32"/>
  <c r="R107" i="32"/>
  <c r="S107" i="32"/>
  <c r="T107" i="32"/>
  <c r="O107" i="32"/>
  <c r="P107" i="32"/>
  <c r="Q107" i="32"/>
  <c r="R125" i="32"/>
  <c r="S125" i="32"/>
  <c r="T125" i="32"/>
  <c r="O125" i="32"/>
  <c r="P125" i="32"/>
  <c r="Q125" i="32"/>
  <c r="Q133" i="32"/>
  <c r="R133" i="32"/>
  <c r="S133" i="32"/>
  <c r="T133" i="32"/>
  <c r="O133" i="32"/>
  <c r="P133" i="32"/>
  <c r="O91" i="32"/>
  <c r="P91" i="32"/>
  <c r="Q91" i="32"/>
  <c r="R91" i="32"/>
  <c r="S91" i="32"/>
  <c r="T91" i="32"/>
  <c r="T80" i="32"/>
  <c r="O80" i="32"/>
  <c r="P80" i="32"/>
  <c r="Q80" i="32"/>
  <c r="R80" i="32"/>
  <c r="S80" i="32"/>
  <c r="O44" i="32"/>
  <c r="P44" i="32"/>
  <c r="Q44" i="32"/>
  <c r="R44" i="32"/>
  <c r="S44" i="32"/>
  <c r="T44" i="32"/>
  <c r="Q35" i="32"/>
  <c r="R35" i="32"/>
  <c r="S35" i="32"/>
  <c r="T35" i="32"/>
  <c r="O35" i="32"/>
  <c r="P35" i="32"/>
  <c r="T124" i="32"/>
  <c r="O124" i="32"/>
  <c r="Q124" i="32"/>
  <c r="P124" i="32"/>
  <c r="R124" i="32"/>
  <c r="S124" i="32"/>
  <c r="O67" i="32"/>
  <c r="P67" i="32"/>
  <c r="Q67" i="32"/>
  <c r="R67" i="32"/>
  <c r="S67" i="32"/>
  <c r="T67" i="32"/>
  <c r="T63" i="32"/>
  <c r="O63" i="32"/>
  <c r="P63" i="32"/>
  <c r="Q63" i="32"/>
  <c r="R63" i="32"/>
  <c r="S63" i="32"/>
  <c r="S111" i="32"/>
  <c r="T111" i="32"/>
  <c r="O111" i="32"/>
  <c r="P111" i="32"/>
  <c r="Q111" i="32"/>
  <c r="R111" i="32"/>
  <c r="O27" i="32"/>
  <c r="P27" i="32"/>
  <c r="R27" i="32"/>
  <c r="S27" i="32"/>
  <c r="F27" i="32" s="1"/>
  <c r="O123" i="32"/>
  <c r="P123" i="32"/>
  <c r="Q123" i="32"/>
  <c r="R123" i="32"/>
  <c r="S123" i="32"/>
  <c r="T123" i="32"/>
  <c r="Q83" i="32"/>
  <c r="R83" i="32"/>
  <c r="S83" i="32"/>
  <c r="T83" i="32"/>
  <c r="O83" i="32"/>
  <c r="P83" i="32"/>
  <c r="M63" i="32"/>
  <c r="N63" i="32" s="1"/>
  <c r="M79" i="32"/>
  <c r="N79" i="32" s="1"/>
  <c r="M88" i="32"/>
  <c r="N88" i="32" s="1"/>
  <c r="M113" i="32"/>
  <c r="N113" i="32" s="1"/>
  <c r="M71" i="32"/>
  <c r="N71" i="32" s="1"/>
  <c r="M67" i="32"/>
  <c r="N67" i="32" s="1"/>
  <c r="M99" i="32"/>
  <c r="N99" i="32" s="1"/>
  <c r="M103" i="32"/>
  <c r="N103" i="32" s="1"/>
  <c r="M132" i="32"/>
  <c r="N132" i="32" s="1"/>
  <c r="M42" i="32"/>
  <c r="N42" i="32" s="1"/>
  <c r="Q89" i="32"/>
  <c r="R89" i="32"/>
  <c r="S89" i="32"/>
  <c r="F89" i="32" s="1"/>
  <c r="T89" i="32"/>
  <c r="O89" i="32"/>
  <c r="P89" i="32"/>
  <c r="S46" i="32"/>
  <c r="F46" i="32" s="1"/>
  <c r="T46" i="32"/>
  <c r="Q46" i="32"/>
  <c r="P46" i="32"/>
  <c r="O46" i="32"/>
  <c r="R46" i="32"/>
  <c r="Q54" i="32"/>
  <c r="R54" i="32"/>
  <c r="S54" i="32"/>
  <c r="T54" i="32"/>
  <c r="O54" i="32"/>
  <c r="P54" i="32"/>
  <c r="S40" i="32"/>
  <c r="T40" i="32"/>
  <c r="O40" i="32"/>
  <c r="P40" i="32"/>
  <c r="Q40" i="32"/>
  <c r="R40" i="32"/>
  <c r="Q66" i="32"/>
  <c r="R66" i="32"/>
  <c r="S66" i="32"/>
  <c r="T66" i="32"/>
  <c r="O66" i="32"/>
  <c r="P66" i="32"/>
  <c r="S120" i="32"/>
  <c r="T120" i="32"/>
  <c r="O120" i="32"/>
  <c r="P120" i="32"/>
  <c r="Q120" i="32"/>
  <c r="R120" i="32"/>
  <c r="O114" i="32"/>
  <c r="P114" i="32"/>
  <c r="Q114" i="32"/>
  <c r="R114" i="32"/>
  <c r="T114" i="32"/>
  <c r="S114" i="32"/>
  <c r="S106" i="32"/>
  <c r="T106" i="32"/>
  <c r="O106" i="32"/>
  <c r="P106" i="32"/>
  <c r="Q106" i="32"/>
  <c r="R106" i="32"/>
  <c r="O30" i="32"/>
  <c r="P30" i="32"/>
  <c r="Q30" i="32"/>
  <c r="R30" i="32"/>
  <c r="S30" i="32"/>
  <c r="F30" i="32" s="1"/>
  <c r="T30" i="32"/>
  <c r="P10" i="32"/>
  <c r="Q10" i="32"/>
  <c r="R10" i="32"/>
  <c r="R34" i="32"/>
  <c r="S34" i="32"/>
  <c r="T34" i="32"/>
  <c r="O34" i="32"/>
  <c r="P34" i="32"/>
  <c r="Q34" i="32"/>
  <c r="P42" i="32"/>
  <c r="Q42" i="32"/>
  <c r="R42" i="32"/>
  <c r="S42" i="32"/>
  <c r="O42" i="32"/>
  <c r="T42" i="32"/>
  <c r="Q102" i="32"/>
  <c r="R102" i="32"/>
  <c r="S102" i="32"/>
  <c r="T102" i="32"/>
  <c r="O102" i="32"/>
  <c r="P102" i="32"/>
  <c r="P76" i="32"/>
  <c r="Q76" i="32"/>
  <c r="R76" i="32"/>
  <c r="S76" i="32"/>
  <c r="T76" i="32"/>
  <c r="O76" i="32"/>
  <c r="M128" i="32"/>
  <c r="N128" i="32" s="1"/>
  <c r="M118" i="32"/>
  <c r="N118" i="32" s="1"/>
  <c r="M105" i="32"/>
  <c r="N105" i="32" s="1"/>
  <c r="M78" i="32"/>
  <c r="N78" i="32" s="1"/>
  <c r="M57" i="32"/>
  <c r="N57" i="32" s="1"/>
  <c r="M69" i="32"/>
  <c r="N69" i="32" s="1"/>
  <c r="M32" i="32"/>
  <c r="N32" i="32" s="1"/>
  <c r="P18" i="32"/>
  <c r="Q18" i="32"/>
  <c r="R18" i="32"/>
  <c r="S18" i="32"/>
  <c r="F18" i="32" s="1"/>
  <c r="R17" i="32"/>
  <c r="Q17" i="32"/>
  <c r="P17" i="32"/>
  <c r="M121" i="32"/>
  <c r="N121" i="32" s="1"/>
  <c r="M124" i="32"/>
  <c r="N124" i="32" s="1"/>
  <c r="M53" i="32"/>
  <c r="N53" i="32" s="1"/>
  <c r="O87" i="32"/>
  <c r="P87" i="32"/>
  <c r="Q87" i="32"/>
  <c r="R87" i="32"/>
  <c r="S87" i="32"/>
  <c r="T87" i="32"/>
  <c r="O109" i="32"/>
  <c r="P109" i="32"/>
  <c r="Q109" i="32"/>
  <c r="S109" i="32"/>
  <c r="R109" i="32"/>
  <c r="T109" i="32"/>
  <c r="P36" i="32"/>
  <c r="Q36" i="32"/>
  <c r="R36" i="32"/>
  <c r="S36" i="32"/>
  <c r="T36" i="32"/>
  <c r="O36" i="32"/>
  <c r="S81" i="32"/>
  <c r="T81" i="32"/>
  <c r="O81" i="32"/>
  <c r="P81" i="32"/>
  <c r="Q81" i="32"/>
  <c r="R81" i="32"/>
  <c r="R11" i="32"/>
  <c r="P11" i="32"/>
  <c r="Q11" i="32"/>
  <c r="S11" i="32"/>
  <c r="F11" i="32" s="1"/>
  <c r="O128" i="32"/>
  <c r="P128" i="32"/>
  <c r="Q128" i="32"/>
  <c r="R128" i="32"/>
  <c r="S128" i="32"/>
  <c r="T128" i="32"/>
  <c r="R74" i="32"/>
  <c r="S74" i="32"/>
  <c r="T74" i="32"/>
  <c r="O74" i="32"/>
  <c r="P74" i="32"/>
  <c r="Q74" i="32"/>
  <c r="O24" i="32"/>
  <c r="Q24" i="32"/>
  <c r="R24" i="32"/>
  <c r="S24" i="32"/>
  <c r="Q121" i="32"/>
  <c r="R121" i="32"/>
  <c r="S121" i="32"/>
  <c r="T121" i="32"/>
  <c r="O121" i="32"/>
  <c r="P121" i="32"/>
  <c r="O78" i="32"/>
  <c r="P78" i="32"/>
  <c r="Q78" i="32"/>
  <c r="R78" i="32"/>
  <c r="S78" i="32"/>
  <c r="T78" i="32"/>
  <c r="O85" i="32"/>
  <c r="P85" i="32"/>
  <c r="Q85" i="32"/>
  <c r="R85" i="32"/>
  <c r="S85" i="32"/>
  <c r="T85" i="32"/>
  <c r="T58" i="32"/>
  <c r="O58" i="32"/>
  <c r="P58" i="32"/>
  <c r="Q58" i="32"/>
  <c r="R58" i="32"/>
  <c r="S58" i="32"/>
  <c r="P90" i="32"/>
  <c r="Q90" i="32"/>
  <c r="R90" i="32"/>
  <c r="S90" i="32"/>
  <c r="T90" i="32"/>
  <c r="O90" i="32"/>
  <c r="T110" i="32"/>
  <c r="O110" i="32"/>
  <c r="P110" i="32"/>
  <c r="Q110" i="32"/>
  <c r="R110" i="32"/>
  <c r="S110" i="32"/>
  <c r="R82" i="32"/>
  <c r="S82" i="32"/>
  <c r="T82" i="32"/>
  <c r="O82" i="32"/>
  <c r="P82" i="32"/>
  <c r="Q82" i="32"/>
  <c r="P48" i="32"/>
  <c r="Q48" i="32"/>
  <c r="R48" i="32"/>
  <c r="S48" i="32"/>
  <c r="T48" i="32"/>
  <c r="O48" i="32"/>
  <c r="P29" i="32"/>
  <c r="Q29" i="32"/>
  <c r="R29" i="32"/>
  <c r="S29" i="32"/>
  <c r="T29" i="32"/>
  <c r="O29" i="32"/>
  <c r="O86" i="32"/>
  <c r="P86" i="32"/>
  <c r="Q86" i="32"/>
  <c r="S86" i="32"/>
  <c r="T86" i="32"/>
  <c r="R86" i="32"/>
  <c r="Q126" i="32"/>
  <c r="R126" i="32"/>
  <c r="S126" i="32"/>
  <c r="T126" i="32"/>
  <c r="P126" i="32"/>
  <c r="O126" i="32"/>
  <c r="M127" i="32"/>
  <c r="N127" i="32" s="1"/>
  <c r="M65" i="32"/>
  <c r="N65" i="32" s="1"/>
  <c r="M46" i="32"/>
  <c r="N46" i="32" s="1"/>
  <c r="M75" i="32"/>
  <c r="N75" i="32" s="1"/>
  <c r="M85" i="32"/>
  <c r="N85" i="32" s="1"/>
  <c r="M122" i="32"/>
  <c r="N122" i="32" s="1"/>
  <c r="M55" i="32"/>
  <c r="N55" i="32" s="1"/>
  <c r="M120" i="32"/>
  <c r="N120" i="32" s="1"/>
  <c r="M95" i="32"/>
  <c r="N95" i="32" s="1"/>
  <c r="M36" i="32"/>
  <c r="N36" i="32" s="1"/>
  <c r="M97" i="32"/>
  <c r="N97" i="32" s="1"/>
  <c r="M81" i="32"/>
  <c r="N81" i="32" s="1"/>
  <c r="M131" i="32"/>
  <c r="N131" i="32" s="1"/>
  <c r="M49" i="32"/>
  <c r="N49" i="32" s="1"/>
  <c r="M101" i="32"/>
  <c r="N101" i="32" s="1"/>
  <c r="M130" i="32"/>
  <c r="N130" i="32" s="1"/>
  <c r="M48" i="32"/>
  <c r="N48" i="32" s="1"/>
  <c r="M112" i="32"/>
  <c r="N112" i="32" s="1"/>
  <c r="O118" i="32"/>
  <c r="P118" i="32"/>
  <c r="Q118" i="32"/>
  <c r="R118" i="32"/>
  <c r="S118" i="32"/>
  <c r="T118" i="32"/>
  <c r="P84" i="32"/>
  <c r="Q84" i="32"/>
  <c r="R84" i="32"/>
  <c r="S84" i="32"/>
  <c r="O84" i="32"/>
  <c r="T84" i="32"/>
  <c r="M77" i="32"/>
  <c r="N77" i="32" s="1"/>
  <c r="O77" i="32"/>
  <c r="P77" i="32"/>
  <c r="Q77" i="32"/>
  <c r="R77" i="32"/>
  <c r="S77" i="32"/>
  <c r="T77" i="32"/>
  <c r="O31" i="32"/>
  <c r="P31" i="32"/>
  <c r="Q31" i="32"/>
  <c r="R31" i="32"/>
  <c r="S31" i="32"/>
  <c r="T31" i="32"/>
  <c r="P19" i="32"/>
  <c r="Q19" i="32"/>
  <c r="R19" i="32"/>
  <c r="S19" i="32"/>
  <c r="F19" i="32" s="1"/>
  <c r="P61" i="32"/>
  <c r="Q61" i="32"/>
  <c r="R61" i="32"/>
  <c r="S61" i="32"/>
  <c r="O61" i="32"/>
  <c r="T61" i="32"/>
  <c r="O104" i="32"/>
  <c r="P104" i="32"/>
  <c r="Q104" i="32"/>
  <c r="R104" i="32"/>
  <c r="S104" i="32"/>
  <c r="T104" i="32"/>
  <c r="R88" i="32"/>
  <c r="S88" i="32"/>
  <c r="T88" i="32"/>
  <c r="O88" i="32"/>
  <c r="P88" i="32"/>
  <c r="Q88" i="32"/>
  <c r="T129" i="32"/>
  <c r="O129" i="32"/>
  <c r="P129" i="32"/>
  <c r="Q129" i="32"/>
  <c r="R129" i="32"/>
  <c r="S129" i="32"/>
  <c r="O37" i="32"/>
  <c r="P37" i="32"/>
  <c r="Q37" i="32"/>
  <c r="R37" i="32"/>
  <c r="S37" i="32"/>
  <c r="T37" i="32"/>
  <c r="O105" i="32"/>
  <c r="P105" i="32"/>
  <c r="Q105" i="32"/>
  <c r="R105" i="32"/>
  <c r="S105" i="32"/>
  <c r="T105" i="32"/>
  <c r="R8" i="32"/>
  <c r="O8" i="32"/>
  <c r="P8" i="32"/>
  <c r="Q8" i="32"/>
  <c r="O51" i="32"/>
  <c r="P51" i="32"/>
  <c r="Q51" i="32"/>
  <c r="R51" i="32"/>
  <c r="S51" i="32"/>
  <c r="T51" i="32"/>
  <c r="R20" i="32"/>
  <c r="S20" i="32"/>
  <c r="S21" i="32" s="1"/>
  <c r="F21" i="32" s="1"/>
  <c r="O20" i="32"/>
  <c r="P20" i="32"/>
  <c r="Q20" i="32"/>
  <c r="O99" i="32"/>
  <c r="P99" i="32"/>
  <c r="Q99" i="32"/>
  <c r="R99" i="32"/>
  <c r="S99" i="32"/>
  <c r="T99" i="32"/>
  <c r="Q75" i="32"/>
  <c r="R75" i="32"/>
  <c r="S75" i="32"/>
  <c r="T75" i="32"/>
  <c r="O75" i="32"/>
  <c r="P75" i="32"/>
  <c r="R14" i="32"/>
  <c r="O14" i="32"/>
  <c r="P14" i="32"/>
  <c r="Q14" i="32"/>
  <c r="T72" i="32"/>
  <c r="O72" i="32"/>
  <c r="Q72" i="32"/>
  <c r="P72" i="32"/>
  <c r="R72" i="32"/>
  <c r="S72" i="32"/>
  <c r="R28" i="32"/>
  <c r="S28" i="32"/>
  <c r="O28" i="32"/>
  <c r="P28" i="32"/>
  <c r="P15" i="32"/>
  <c r="Q15" i="32"/>
  <c r="R15" i="32"/>
  <c r="O39" i="32"/>
  <c r="P39" i="32"/>
  <c r="S39" i="32"/>
  <c r="Q39" i="32"/>
  <c r="R39" i="32"/>
  <c r="T39" i="32"/>
  <c r="M89" i="32"/>
  <c r="N89" i="32" s="1"/>
  <c r="M40" i="32"/>
  <c r="N40" i="32" s="1"/>
  <c r="M114" i="32"/>
  <c r="N114" i="32" s="1"/>
  <c r="M119" i="32"/>
  <c r="N119" i="32" s="1"/>
  <c r="M129" i="32"/>
  <c r="N129" i="32" s="1"/>
  <c r="M106" i="32"/>
  <c r="N106" i="32" s="1"/>
  <c r="M126" i="32"/>
  <c r="N126" i="32" s="1"/>
  <c r="M73" i="32"/>
  <c r="N73" i="32" s="1"/>
  <c r="M72" i="32"/>
  <c r="N72" i="32" s="1"/>
  <c r="M70" i="32"/>
  <c r="N70" i="32" s="1"/>
  <c r="O56" i="32"/>
  <c r="P56" i="32"/>
  <c r="Q56" i="32"/>
  <c r="R56" i="32"/>
  <c r="S56" i="32"/>
  <c r="T56" i="32"/>
  <c r="M30" i="32"/>
  <c r="N30" i="32" s="1"/>
  <c r="S17" i="32"/>
  <c r="F17" i="32" s="1"/>
  <c r="M83" i="32"/>
  <c r="N83" i="32" s="1"/>
  <c r="M90" i="32"/>
  <c r="N90" i="32" s="1"/>
  <c r="M34" i="32"/>
  <c r="N34" i="32" s="1"/>
  <c r="Q60" i="32"/>
  <c r="R60" i="32"/>
  <c r="S60" i="32"/>
  <c r="T60" i="32"/>
  <c r="O60" i="32"/>
  <c r="P60" i="32"/>
  <c r="O71" i="32"/>
  <c r="P71" i="32"/>
  <c r="Q71" i="32"/>
  <c r="R71" i="32"/>
  <c r="S71" i="32"/>
  <c r="T71" i="32"/>
  <c r="O79" i="32"/>
  <c r="P79" i="32"/>
  <c r="R79" i="32"/>
  <c r="S79" i="32"/>
  <c r="Q79" i="32"/>
  <c r="T79" i="32"/>
  <c r="O131" i="32"/>
  <c r="P131" i="32"/>
  <c r="Q131" i="32"/>
  <c r="R131" i="32"/>
  <c r="S131" i="32"/>
  <c r="T131" i="32"/>
  <c r="O49" i="32"/>
  <c r="P49" i="32"/>
  <c r="Q49" i="32"/>
  <c r="R49" i="32"/>
  <c r="S49" i="32"/>
  <c r="T49" i="32"/>
  <c r="R101" i="32"/>
  <c r="S101" i="32"/>
  <c r="T101" i="32"/>
  <c r="O101" i="32"/>
  <c r="P101" i="32"/>
  <c r="Q101" i="32"/>
  <c r="R59" i="32"/>
  <c r="S59" i="32"/>
  <c r="T59" i="32"/>
  <c r="O59" i="32"/>
  <c r="P59" i="32"/>
  <c r="Q59" i="32"/>
  <c r="P117" i="32"/>
  <c r="Q117" i="32"/>
  <c r="R117" i="32"/>
  <c r="S117" i="32"/>
  <c r="T117" i="32"/>
  <c r="O117" i="32"/>
  <c r="P112" i="32"/>
  <c r="Q112" i="32"/>
  <c r="R112" i="32"/>
  <c r="S112" i="32"/>
  <c r="O112" i="32"/>
  <c r="T112" i="32"/>
  <c r="M38" i="32"/>
  <c r="N38" i="32" s="1"/>
  <c r="O97" i="32"/>
  <c r="P97" i="32"/>
  <c r="Q97" i="32"/>
  <c r="R97" i="32"/>
  <c r="S97" i="32"/>
  <c r="T97" i="32"/>
  <c r="O26" i="32"/>
  <c r="Q26" i="32"/>
  <c r="R26" i="32"/>
  <c r="S26" i="32"/>
  <c r="F26" i="32" s="1"/>
  <c r="O98" i="32"/>
  <c r="P98" i="32"/>
  <c r="Q98" i="32"/>
  <c r="R98" i="32"/>
  <c r="S98" i="32"/>
  <c r="T98" i="32"/>
  <c r="T94" i="32"/>
  <c r="O94" i="32"/>
  <c r="P94" i="32"/>
  <c r="Q94" i="32"/>
  <c r="R94" i="32"/>
  <c r="S94" i="32"/>
  <c r="O92" i="32"/>
  <c r="P92" i="32"/>
  <c r="Q92" i="32"/>
  <c r="R92" i="32"/>
  <c r="S92" i="32"/>
  <c r="T92" i="32"/>
  <c r="T100" i="32"/>
  <c r="O100" i="32"/>
  <c r="P100" i="32"/>
  <c r="Q100" i="32"/>
  <c r="R100" i="32"/>
  <c r="S100" i="32"/>
  <c r="S73" i="32"/>
  <c r="T73" i="32"/>
  <c r="O73" i="32"/>
  <c r="P73" i="32"/>
  <c r="Q73" i="32"/>
  <c r="R73" i="32"/>
  <c r="R25" i="32"/>
  <c r="O25" i="32"/>
  <c r="Q25" i="32"/>
  <c r="O122" i="32"/>
  <c r="P122" i="32"/>
  <c r="Q122" i="32"/>
  <c r="R122" i="32"/>
  <c r="S122" i="32"/>
  <c r="T122" i="32"/>
  <c r="T32" i="32"/>
  <c r="O32" i="32"/>
  <c r="R32" i="32"/>
  <c r="Q32" i="32"/>
  <c r="P32" i="32"/>
  <c r="S32" i="32"/>
  <c r="O62" i="32"/>
  <c r="P62" i="32"/>
  <c r="Q62" i="32"/>
  <c r="R62" i="32"/>
  <c r="S62" i="32"/>
  <c r="T62" i="32"/>
  <c r="R116" i="32"/>
  <c r="S116" i="32"/>
  <c r="T116" i="32"/>
  <c r="O116" i="32"/>
  <c r="P116" i="32"/>
  <c r="Q116" i="32"/>
  <c r="M87" i="32"/>
  <c r="N87" i="32" s="1"/>
  <c r="M123" i="32"/>
  <c r="N123" i="32" s="1"/>
  <c r="O50" i="32"/>
  <c r="P50" i="32"/>
  <c r="Q50" i="32"/>
  <c r="R50" i="32"/>
  <c r="S50" i="32"/>
  <c r="T50" i="32"/>
  <c r="O68" i="32"/>
  <c r="P68" i="32"/>
  <c r="Q68" i="32"/>
  <c r="R68" i="32"/>
  <c r="S68" i="32"/>
  <c r="T68" i="32"/>
  <c r="R70" i="32"/>
  <c r="S70" i="32"/>
  <c r="T70" i="32"/>
  <c r="O70" i="32"/>
  <c r="P70" i="32"/>
  <c r="Q70" i="32"/>
  <c r="M115" i="32"/>
  <c r="N115" i="32" s="1"/>
  <c r="M107" i="32"/>
  <c r="N107" i="32" s="1"/>
  <c r="M133" i="32"/>
  <c r="N133" i="32" s="1"/>
  <c r="M96" i="32"/>
  <c r="N96" i="32" s="1"/>
  <c r="M59" i="32"/>
  <c r="N59" i="32" s="1"/>
  <c r="P96" i="32"/>
  <c r="Q96" i="32"/>
  <c r="R96" i="32"/>
  <c r="S96" i="32"/>
  <c r="O96" i="32"/>
  <c r="T96" i="32"/>
  <c r="P21" i="32"/>
  <c r="Q21" i="32"/>
  <c r="R21" i="32"/>
  <c r="S53" i="32"/>
  <c r="T53" i="32"/>
  <c r="P53" i="32"/>
  <c r="O53" i="32"/>
  <c r="Q53" i="32"/>
  <c r="R53" i="32"/>
  <c r="R47" i="32"/>
  <c r="S47" i="32"/>
  <c r="T47" i="32"/>
  <c r="O47" i="32"/>
  <c r="P47" i="32"/>
  <c r="Q47" i="32"/>
  <c r="O127" i="32"/>
  <c r="P127" i="32"/>
  <c r="Q127" i="32"/>
  <c r="R127" i="32"/>
  <c r="S127" i="32"/>
  <c r="T127" i="32"/>
  <c r="S64" i="32"/>
  <c r="T64" i="32"/>
  <c r="O64" i="32"/>
  <c r="P64" i="32"/>
  <c r="Q64" i="32"/>
  <c r="R64" i="32"/>
  <c r="R65" i="32"/>
  <c r="S65" i="32"/>
  <c r="T65" i="32"/>
  <c r="O65" i="32"/>
  <c r="P65" i="32"/>
  <c r="Q65" i="32"/>
  <c r="O43" i="32"/>
  <c r="P43" i="32"/>
  <c r="Q43" i="32"/>
  <c r="R43" i="32"/>
  <c r="S43" i="32"/>
  <c r="T43" i="32"/>
  <c r="T119" i="32"/>
  <c r="O119" i="32"/>
  <c r="Q119" i="32"/>
  <c r="P119" i="32"/>
  <c r="S119" i="32"/>
  <c r="R119" i="32"/>
  <c r="O93" i="32"/>
  <c r="P93" i="32"/>
  <c r="R93" i="32"/>
  <c r="S93" i="32"/>
  <c r="Q93" i="32"/>
  <c r="T93" i="32"/>
  <c r="P22" i="32"/>
  <c r="Q22" i="32"/>
  <c r="R22" i="32"/>
  <c r="S22" i="32"/>
  <c r="F22" i="32" s="1"/>
  <c r="Q23" i="32"/>
  <c r="R23" i="32"/>
  <c r="P23" i="32"/>
  <c r="S23" i="32"/>
  <c r="F23" i="32" s="1"/>
  <c r="T52" i="32"/>
  <c r="O52" i="32"/>
  <c r="P52" i="32"/>
  <c r="Q52" i="32"/>
  <c r="R52" i="32"/>
  <c r="S52" i="32"/>
  <c r="O55" i="32"/>
  <c r="P55" i="32"/>
  <c r="Q55" i="32"/>
  <c r="R55" i="32"/>
  <c r="S55" i="32"/>
  <c r="T55" i="32"/>
  <c r="S95" i="32"/>
  <c r="T95" i="32"/>
  <c r="O95" i="32"/>
  <c r="P95" i="32"/>
  <c r="Q95" i="32"/>
  <c r="R95" i="32"/>
  <c r="T45" i="32"/>
  <c r="O45" i="32"/>
  <c r="P45" i="32"/>
  <c r="Q45" i="32"/>
  <c r="R45" i="32"/>
  <c r="S45" i="32"/>
  <c r="S33" i="32"/>
  <c r="T33" i="32"/>
  <c r="O33" i="32"/>
  <c r="P33" i="32"/>
  <c r="Q33" i="32"/>
  <c r="R33" i="32"/>
  <c r="P103" i="32"/>
  <c r="Q103" i="32"/>
  <c r="R103" i="32"/>
  <c r="S103" i="32"/>
  <c r="O103" i="32"/>
  <c r="T103" i="32"/>
  <c r="R41" i="32"/>
  <c r="S41" i="32"/>
  <c r="T41" i="32"/>
  <c r="O41" i="32"/>
  <c r="P41" i="32"/>
  <c r="Q41" i="32"/>
  <c r="O57" i="32"/>
  <c r="P57" i="32"/>
  <c r="Q57" i="32"/>
  <c r="R57" i="32"/>
  <c r="S57" i="32"/>
  <c r="T57" i="32"/>
  <c r="T132" i="32"/>
  <c r="O132" i="32"/>
  <c r="Q132" i="32"/>
  <c r="P132" i="32"/>
  <c r="S132" i="32"/>
  <c r="R132" i="32"/>
  <c r="P16" i="32"/>
  <c r="Q16" i="32"/>
  <c r="R16" i="32"/>
  <c r="S16" i="32"/>
  <c r="F16" i="32" s="1"/>
  <c r="O69" i="32"/>
  <c r="P69" i="32"/>
  <c r="Q69" i="32"/>
  <c r="R69" i="32"/>
  <c r="S69" i="32"/>
  <c r="F69" i="32" s="1"/>
  <c r="T69" i="32"/>
  <c r="O12" i="32"/>
  <c r="P12" i="32"/>
  <c r="Q12" i="32"/>
  <c r="R12" i="32"/>
  <c r="S12" i="32"/>
  <c r="S13" i="32" s="1"/>
  <c r="S14" i="32" s="1"/>
  <c r="S15" i="32" s="1"/>
  <c r="Y89" i="32"/>
  <c r="X89" i="32"/>
  <c r="X114" i="32"/>
  <c r="Y114" i="32"/>
  <c r="Y113" i="32"/>
  <c r="X113" i="32"/>
  <c r="X53" i="32"/>
  <c r="Y53" i="32"/>
  <c r="B7" i="32"/>
  <c r="B8" i="32" s="1"/>
  <c r="B9" i="32" s="1"/>
  <c r="S7" i="32"/>
  <c r="S8" i="32" s="1"/>
  <c r="S9" i="32" s="1"/>
  <c r="S10" i="32" s="1"/>
  <c r="Q7" i="32"/>
  <c r="O7" i="32"/>
  <c r="P7" i="32"/>
  <c r="R7" i="32"/>
  <c r="X126" i="32"/>
  <c r="Y126" i="32"/>
  <c r="X82" i="32"/>
  <c r="Y82" i="32"/>
  <c r="X10" i="32"/>
  <c r="M10" i="32" s="1"/>
  <c r="N10" i="32" s="1"/>
  <c r="Y10" i="32"/>
  <c r="X127" i="32"/>
  <c r="Y127" i="32"/>
  <c r="Y65" i="32"/>
  <c r="X65" i="32"/>
  <c r="X46" i="32"/>
  <c r="Y46" i="32"/>
  <c r="Y39" i="32"/>
  <c r="X39" i="32"/>
  <c r="Y50" i="32"/>
  <c r="X50" i="32"/>
  <c r="X48" i="32"/>
  <c r="Y48" i="32"/>
  <c r="Y110" i="32"/>
  <c r="X110" i="32"/>
  <c r="X18" i="32"/>
  <c r="M18" i="32" s="1"/>
  <c r="Y18" i="32"/>
  <c r="Y43" i="32"/>
  <c r="X43" i="32"/>
  <c r="Y31" i="32"/>
  <c r="X31" i="32"/>
  <c r="X24" i="32"/>
  <c r="M24" i="32" s="1"/>
  <c r="Y24" i="32"/>
  <c r="X52" i="32"/>
  <c r="Y52" i="32"/>
  <c r="X91" i="32"/>
  <c r="Y91" i="32"/>
  <c r="X119" i="32"/>
  <c r="Y119" i="32"/>
  <c r="Y104" i="32"/>
  <c r="X104" i="32"/>
  <c r="X42" i="32"/>
  <c r="Y42" i="32"/>
  <c r="Y70" i="32"/>
  <c r="X70" i="32"/>
  <c r="Y14" i="32"/>
  <c r="X14" i="32"/>
  <c r="M14" i="32" s="1"/>
  <c r="N14" i="32" s="1"/>
  <c r="Y32" i="32"/>
  <c r="X32" i="32"/>
  <c r="V7" i="32"/>
  <c r="D15" i="33"/>
  <c r="D39" i="33" s="1"/>
  <c r="X27" i="32"/>
  <c r="M27" i="32" s="1"/>
  <c r="Y27" i="32"/>
  <c r="X128" i="32"/>
  <c r="Y128" i="32"/>
  <c r="Y95" i="32"/>
  <c r="X95" i="32"/>
  <c r="Y67" i="32"/>
  <c r="X67" i="32"/>
  <c r="X73" i="32"/>
  <c r="Y73" i="32"/>
  <c r="Y63" i="32"/>
  <c r="X63" i="32"/>
  <c r="Y57" i="32"/>
  <c r="X57" i="32"/>
  <c r="X68" i="32"/>
  <c r="Y68" i="32"/>
  <c r="Y69" i="32"/>
  <c r="X69" i="32"/>
  <c r="X103" i="32"/>
  <c r="Y103" i="32"/>
  <c r="Y56" i="32"/>
  <c r="X56" i="32"/>
  <c r="Y11" i="32"/>
  <c r="X11" i="32"/>
  <c r="M11" i="32" s="1"/>
  <c r="X47" i="32"/>
  <c r="Y47" i="32"/>
  <c r="X62" i="32"/>
  <c r="Y62" i="32"/>
  <c r="Y55" i="32"/>
  <c r="X55" i="32"/>
  <c r="Y54" i="32"/>
  <c r="X54" i="32"/>
  <c r="Y124" i="32"/>
  <c r="X124" i="32"/>
  <c r="X108" i="32"/>
  <c r="Y108" i="32"/>
  <c r="X22" i="32"/>
  <c r="M22" i="32" s="1"/>
  <c r="Y22" i="32"/>
  <c r="Y9" i="32"/>
  <c r="X9" i="32"/>
  <c r="M9" i="32" s="1"/>
  <c r="N9" i="32" s="1"/>
  <c r="X74" i="32"/>
  <c r="Y74" i="32"/>
  <c r="Y109" i="32"/>
  <c r="X109" i="32"/>
  <c r="Y20" i="32"/>
  <c r="X20" i="32"/>
  <c r="M20" i="32" s="1"/>
  <c r="X33" i="32"/>
  <c r="Y33" i="32"/>
  <c r="Y21" i="32"/>
  <c r="X21" i="32"/>
  <c r="M21" i="32" s="1"/>
  <c r="N21" i="32" s="1"/>
  <c r="X132" i="32"/>
  <c r="Y132" i="32"/>
  <c r="Y15" i="32"/>
  <c r="X15" i="32"/>
  <c r="M15" i="32" s="1"/>
  <c r="N15" i="32" s="1"/>
  <c r="X71" i="32"/>
  <c r="Y71" i="32"/>
  <c r="Y86" i="32"/>
  <c r="X86" i="32"/>
  <c r="X13" i="32"/>
  <c r="M13" i="32" s="1"/>
  <c r="N13" i="32" s="1"/>
  <c r="Y13" i="32"/>
  <c r="Y79" i="32"/>
  <c r="X79" i="32"/>
  <c r="X94" i="32"/>
  <c r="Y94" i="32"/>
  <c r="Y105" i="32"/>
  <c r="X105" i="32"/>
  <c r="X36" i="32"/>
  <c r="Y36" i="32"/>
  <c r="X92" i="32"/>
  <c r="Y92" i="32"/>
  <c r="Y72" i="32"/>
  <c r="X72" i="32"/>
  <c r="X101" i="32"/>
  <c r="Y101" i="32"/>
  <c r="Y44" i="32"/>
  <c r="X44" i="32"/>
  <c r="X87" i="32"/>
  <c r="Y87" i="32"/>
  <c r="X118" i="32"/>
  <c r="Y118" i="32"/>
  <c r="X77" i="32"/>
  <c r="Y77" i="32"/>
  <c r="Y61" i="32"/>
  <c r="X61" i="32"/>
  <c r="C24" i="32"/>
  <c r="C25" i="32" s="1"/>
  <c r="P25" i="32" s="1"/>
  <c r="Y107" i="32"/>
  <c r="X107" i="32"/>
  <c r="Y78" i="32"/>
  <c r="X78" i="32"/>
  <c r="X45" i="32"/>
  <c r="Y45" i="32"/>
  <c r="X26" i="32"/>
  <c r="M26" i="32" s="1"/>
  <c r="Y26" i="32"/>
  <c r="X58" i="32"/>
  <c r="Y58" i="32"/>
  <c r="X100" i="32"/>
  <c r="Y100" i="32"/>
  <c r="Y99" i="32"/>
  <c r="X99" i="32"/>
  <c r="Y59" i="32"/>
  <c r="X59" i="32"/>
  <c r="X102" i="32"/>
  <c r="Y102" i="32"/>
  <c r="X97" i="32"/>
  <c r="Y97" i="32"/>
  <c r="X17" i="32"/>
  <c r="M17" i="32" s="1"/>
  <c r="Y17" i="32"/>
  <c r="Y75" i="32"/>
  <c r="X75" i="32"/>
  <c r="Y30" i="32"/>
  <c r="X30" i="32"/>
  <c r="L134" i="32"/>
  <c r="X123" i="32"/>
  <c r="Y123" i="32"/>
  <c r="Y85" i="32"/>
  <c r="X85" i="32"/>
  <c r="Y16" i="32"/>
  <c r="X16" i="32"/>
  <c r="M16" i="32" s="1"/>
  <c r="Y125" i="32"/>
  <c r="X125" i="32"/>
  <c r="Y121" i="32"/>
  <c r="X121" i="32"/>
  <c r="X133" i="32"/>
  <c r="Y133" i="32"/>
  <c r="X130" i="32"/>
  <c r="Y130" i="32"/>
  <c r="Y116" i="32"/>
  <c r="X116" i="32"/>
  <c r="X40" i="32"/>
  <c r="Y40" i="32"/>
  <c r="X19" i="32"/>
  <c r="M19" i="32" s="1"/>
  <c r="Y19" i="32"/>
  <c r="Y8" i="32"/>
  <c r="X8" i="32"/>
  <c r="M8" i="32" s="1"/>
  <c r="D27" i="32"/>
  <c r="Q27" i="32" s="1"/>
  <c r="Y35" i="32"/>
  <c r="X35" i="32"/>
  <c r="Y34" i="32"/>
  <c r="X34" i="32"/>
  <c r="X111" i="32"/>
  <c r="Y111" i="32"/>
  <c r="Y76" i="32"/>
  <c r="X76" i="32"/>
  <c r="Y84" i="32"/>
  <c r="X84" i="32"/>
  <c r="X7" i="32"/>
  <c r="Y7" i="32"/>
  <c r="Y37" i="32"/>
  <c r="X37" i="32"/>
  <c r="Y106" i="32"/>
  <c r="X106" i="32"/>
  <c r="X117" i="32"/>
  <c r="Y117" i="32"/>
  <c r="X98" i="32"/>
  <c r="Y98" i="32"/>
  <c r="Y122" i="32"/>
  <c r="X122" i="32"/>
  <c r="Y93" i="32"/>
  <c r="X93" i="32"/>
  <c r="X29" i="32"/>
  <c r="Y29" i="32"/>
  <c r="Y23" i="32"/>
  <c r="X23" i="32"/>
  <c r="M23" i="32" s="1"/>
  <c r="X38" i="32"/>
  <c r="Y38" i="32"/>
  <c r="X90" i="32"/>
  <c r="Y90" i="32"/>
  <c r="Y12" i="32"/>
  <c r="X12" i="32"/>
  <c r="M12" i="32" s="1"/>
  <c r="Y80" i="32"/>
  <c r="X80" i="32"/>
  <c r="Y112" i="32"/>
  <c r="X112" i="32"/>
  <c r="Y83" i="32"/>
  <c r="X83" i="32"/>
  <c r="X115" i="32"/>
  <c r="Y115" i="32"/>
  <c r="X64" i="32"/>
  <c r="Y64" i="32"/>
  <c r="Y60" i="32"/>
  <c r="X60" i="32"/>
  <c r="Y66" i="32"/>
  <c r="X66" i="32"/>
  <c r="Y120" i="32"/>
  <c r="X120" i="32"/>
  <c r="Y96" i="32"/>
  <c r="X96" i="32"/>
  <c r="Y81" i="32"/>
  <c r="X81" i="32"/>
  <c r="X131" i="32"/>
  <c r="Y131" i="32"/>
  <c r="Y49" i="32"/>
  <c r="X49" i="32"/>
  <c r="X28" i="32"/>
  <c r="M28" i="32" s="1"/>
  <c r="Y28" i="32"/>
  <c r="X88" i="32"/>
  <c r="Y88" i="32"/>
  <c r="X25" i="32"/>
  <c r="M25" i="32" s="1"/>
  <c r="Y25" i="32"/>
  <c r="X129" i="32"/>
  <c r="Y129" i="32"/>
  <c r="Y41" i="32"/>
  <c r="X41" i="32"/>
  <c r="X51" i="32"/>
  <c r="Y51" i="32"/>
  <c r="U88" i="32" l="1"/>
  <c r="U116" i="32"/>
  <c r="U93" i="32"/>
  <c r="U102" i="32"/>
  <c r="U29" i="32"/>
  <c r="U78" i="32"/>
  <c r="U125" i="32"/>
  <c r="U74" i="32"/>
  <c r="U115" i="32"/>
  <c r="U33" i="32"/>
  <c r="U53" i="32"/>
  <c r="U56" i="32"/>
  <c r="U98" i="32"/>
  <c r="U131" i="32"/>
  <c r="U99" i="32"/>
  <c r="U133" i="32"/>
  <c r="U48" i="32"/>
  <c r="U119" i="32"/>
  <c r="U96" i="32"/>
  <c r="U70" i="32"/>
  <c r="U77" i="32"/>
  <c r="U84" i="32"/>
  <c r="U128" i="32"/>
  <c r="U30" i="32"/>
  <c r="U61" i="32"/>
  <c r="U110" i="32"/>
  <c r="U63" i="32"/>
  <c r="U32" i="32"/>
  <c r="U71" i="32"/>
  <c r="U60" i="32"/>
  <c r="U86" i="32"/>
  <c r="U120" i="32"/>
  <c r="U72" i="32"/>
  <c r="U34" i="32"/>
  <c r="U106" i="32"/>
  <c r="U66" i="32"/>
  <c r="U59" i="32"/>
  <c r="U80" i="32"/>
  <c r="U117" i="32"/>
  <c r="U64" i="32"/>
  <c r="U62" i="32"/>
  <c r="U85" i="32"/>
  <c r="U114" i="32"/>
  <c r="U123" i="32"/>
  <c r="F102" i="32"/>
  <c r="U54" i="32"/>
  <c r="U43" i="32"/>
  <c r="U57" i="32"/>
  <c r="U36" i="32"/>
  <c r="U97" i="32"/>
  <c r="U105" i="32"/>
  <c r="U104" i="32"/>
  <c r="U111" i="32"/>
  <c r="U67" i="32"/>
  <c r="F105" i="32"/>
  <c r="F59" i="32"/>
  <c r="U103" i="32"/>
  <c r="U68" i="32"/>
  <c r="U73" i="32"/>
  <c r="U92" i="32"/>
  <c r="U112" i="32"/>
  <c r="U31" i="32"/>
  <c r="U126" i="32"/>
  <c r="U82" i="32"/>
  <c r="U87" i="32"/>
  <c r="U42" i="32"/>
  <c r="U44" i="32"/>
  <c r="U130" i="32"/>
  <c r="U69" i="32"/>
  <c r="U45" i="32"/>
  <c r="U65" i="32"/>
  <c r="U127" i="32"/>
  <c r="U122" i="32"/>
  <c r="U39" i="32"/>
  <c r="U129" i="32"/>
  <c r="U90" i="32"/>
  <c r="P24" i="32"/>
  <c r="U81" i="32"/>
  <c r="U40" i="32"/>
  <c r="U89" i="32"/>
  <c r="U107" i="32"/>
  <c r="U55" i="32"/>
  <c r="U109" i="32"/>
  <c r="U41" i="32"/>
  <c r="U52" i="32"/>
  <c r="U47" i="32"/>
  <c r="U101" i="32"/>
  <c r="U79" i="32"/>
  <c r="U51" i="32"/>
  <c r="U118" i="32"/>
  <c r="U58" i="32"/>
  <c r="U121" i="32"/>
  <c r="U76" i="32"/>
  <c r="U83" i="32"/>
  <c r="U124" i="32"/>
  <c r="U108" i="32"/>
  <c r="U38" i="32"/>
  <c r="U49" i="32"/>
  <c r="U100" i="32"/>
  <c r="F57" i="32"/>
  <c r="U132" i="32"/>
  <c r="U95" i="32"/>
  <c r="U50" i="32"/>
  <c r="U94" i="32"/>
  <c r="U75" i="32"/>
  <c r="U37" i="32"/>
  <c r="U46" i="32"/>
  <c r="U35" i="32"/>
  <c r="U91" i="32"/>
  <c r="U113" i="32"/>
  <c r="N8" i="32"/>
  <c r="N22" i="32"/>
  <c r="T22" i="32"/>
  <c r="U22" i="32" s="1"/>
  <c r="T24" i="32"/>
  <c r="U24" i="32" s="1"/>
  <c r="N24" i="32"/>
  <c r="T27" i="32"/>
  <c r="U27" i="32" s="1"/>
  <c r="N27" i="32"/>
  <c r="T19" i="32"/>
  <c r="U19" i="32" s="1"/>
  <c r="N19" i="32"/>
  <c r="T26" i="32"/>
  <c r="U26" i="32" s="1"/>
  <c r="N26" i="32"/>
  <c r="T25" i="32"/>
  <c r="U25" i="32" s="1"/>
  <c r="N25" i="32"/>
  <c r="T16" i="32"/>
  <c r="U16" i="32" s="1"/>
  <c r="N16" i="32"/>
  <c r="T28" i="32"/>
  <c r="U28" i="32" s="1"/>
  <c r="N28" i="32"/>
  <c r="T20" i="32"/>
  <c r="N20" i="32"/>
  <c r="T12" i="32"/>
  <c r="N12" i="32"/>
  <c r="T23" i="32"/>
  <c r="U23" i="32" s="1"/>
  <c r="N23" i="32"/>
  <c r="T17" i="32"/>
  <c r="U17" i="32" s="1"/>
  <c r="N17" i="32"/>
  <c r="T18" i="32"/>
  <c r="U18" i="32" s="1"/>
  <c r="N18" i="32"/>
  <c r="T11" i="32"/>
  <c r="U11" i="32" s="1"/>
  <c r="N11" i="32"/>
  <c r="F28" i="32"/>
  <c r="D28" i="32"/>
  <c r="Q28" i="32" s="1"/>
  <c r="F118" i="32"/>
  <c r="F103" i="32"/>
  <c r="F68" i="32"/>
  <c r="F84" i="32"/>
  <c r="D17" i="33"/>
  <c r="D41" i="33" s="1"/>
  <c r="F85" i="32"/>
  <c r="F72" i="32"/>
  <c r="F49" i="32"/>
  <c r="F60" i="32"/>
  <c r="F62" i="32"/>
  <c r="F96" i="32"/>
  <c r="F122" i="32"/>
  <c r="F40" i="32"/>
  <c r="F45" i="32"/>
  <c r="F55" i="32"/>
  <c r="F42" i="32"/>
  <c r="F73" i="32"/>
  <c r="F75" i="32"/>
  <c r="F58" i="32"/>
  <c r="F98" i="32"/>
  <c r="F117" i="32"/>
  <c r="F131" i="32"/>
  <c r="F101" i="32"/>
  <c r="F88" i="32"/>
  <c r="F78" i="32"/>
  <c r="F7" i="32"/>
  <c r="F52" i="32"/>
  <c r="C26" i="32"/>
  <c r="P26" i="32" s="1"/>
  <c r="F116" i="32"/>
  <c r="F44" i="32"/>
  <c r="F38" i="32"/>
  <c r="F115" i="32"/>
  <c r="F94" i="32"/>
  <c r="F95" i="32"/>
  <c r="F111" i="32"/>
  <c r="F34" i="32"/>
  <c r="F92" i="32"/>
  <c r="F90" i="32"/>
  <c r="F108" i="32"/>
  <c r="F110" i="32"/>
  <c r="F129" i="32"/>
  <c r="F104" i="32"/>
  <c r="F63" i="32"/>
  <c r="B10" i="32"/>
  <c r="O10" i="32" s="1"/>
  <c r="F50" i="32"/>
  <c r="F77" i="32"/>
  <c r="F113" i="32"/>
  <c r="X134" i="32"/>
  <c r="F112" i="32"/>
  <c r="F83" i="32"/>
  <c r="F106" i="32"/>
  <c r="F128" i="32"/>
  <c r="F48" i="32"/>
  <c r="F33" i="32"/>
  <c r="F127" i="32"/>
  <c r="F29" i="32"/>
  <c r="F114" i="32"/>
  <c r="F37" i="32"/>
  <c r="F39" i="32"/>
  <c r="F133" i="32"/>
  <c r="F100" i="32"/>
  <c r="F64" i="32"/>
  <c r="F87" i="32"/>
  <c r="F51" i="32"/>
  <c r="F91" i="32"/>
  <c r="F65" i="32"/>
  <c r="F53" i="32"/>
  <c r="F71" i="32"/>
  <c r="M7" i="32"/>
  <c r="F93" i="32"/>
  <c r="F81" i="32"/>
  <c r="F86" i="32"/>
  <c r="F124" i="32"/>
  <c r="F74" i="32"/>
  <c r="F67" i="32"/>
  <c r="F107" i="32"/>
  <c r="F120" i="32"/>
  <c r="F132" i="32"/>
  <c r="F97" i="32"/>
  <c r="F119" i="32"/>
  <c r="F121" i="32"/>
  <c r="F61" i="32"/>
  <c r="F130" i="32"/>
  <c r="F109" i="32"/>
  <c r="F123" i="32"/>
  <c r="F79" i="32"/>
  <c r="F31" i="32"/>
  <c r="F20" i="32"/>
  <c r="F54" i="32"/>
  <c r="F32" i="32"/>
  <c r="F82" i="32"/>
  <c r="F70" i="32"/>
  <c r="F66" i="32"/>
  <c r="F24" i="32"/>
  <c r="Y134" i="32"/>
  <c r="F12" i="32"/>
  <c r="F125" i="32"/>
  <c r="F43" i="32"/>
  <c r="F99" i="32"/>
  <c r="F56" i="32"/>
  <c r="F41" i="32"/>
  <c r="F80" i="32"/>
  <c r="F35" i="32"/>
  <c r="F36" i="32"/>
  <c r="F76" i="32"/>
  <c r="F47" i="32"/>
  <c r="F126" i="32"/>
  <c r="T21" i="32" l="1"/>
  <c r="U21" i="32" s="1"/>
  <c r="U20" i="32"/>
  <c r="T13" i="32"/>
  <c r="U12" i="32"/>
  <c r="G319" i="31"/>
  <c r="G328" i="31"/>
  <c r="G322" i="31"/>
  <c r="G248" i="31"/>
  <c r="G270" i="31"/>
  <c r="G272" i="31"/>
  <c r="G274" i="31"/>
  <c r="G255" i="31"/>
  <c r="G273" i="31"/>
  <c r="G330" i="31"/>
  <c r="D19" i="33"/>
  <c r="G257" i="31"/>
  <c r="G265" i="31"/>
  <c r="G261" i="31"/>
  <c r="G256" i="31"/>
  <c r="G268" i="31"/>
  <c r="G266" i="31"/>
  <c r="G260" i="31"/>
  <c r="G262" i="31"/>
  <c r="G271" i="31"/>
  <c r="G325" i="31"/>
  <c r="G258" i="31"/>
  <c r="G264" i="31"/>
  <c r="G269" i="31"/>
  <c r="F8" i="32"/>
  <c r="G259" i="31"/>
  <c r="G267" i="31"/>
  <c r="G263" i="31"/>
  <c r="F13" i="32"/>
  <c r="G335" i="31"/>
  <c r="B11" i="32"/>
  <c r="O11" i="32" s="1"/>
  <c r="M134" i="32"/>
  <c r="N7" i="32"/>
  <c r="N134" i="32" s="1"/>
  <c r="T7" i="32"/>
  <c r="T8" i="32" s="1"/>
  <c r="U8" i="32" s="1"/>
  <c r="G245" i="31"/>
  <c r="G254" i="31"/>
  <c r="G275" i="31"/>
  <c r="G339" i="31"/>
  <c r="G253" i="31"/>
  <c r="G251" i="31"/>
  <c r="D322" i="31" l="1"/>
  <c r="K322" i="31"/>
  <c r="D259" i="31"/>
  <c r="K259" i="31"/>
  <c r="D260" i="31"/>
  <c r="K260" i="31"/>
  <c r="D330" i="31"/>
  <c r="K330" i="31"/>
  <c r="D328" i="31"/>
  <c r="K328" i="31"/>
  <c r="D263" i="31"/>
  <c r="K263" i="31"/>
  <c r="D262" i="31"/>
  <c r="K262" i="31"/>
  <c r="D251" i="31"/>
  <c r="K251" i="31"/>
  <c r="D269" i="31"/>
  <c r="K269" i="31"/>
  <c r="D268" i="31"/>
  <c r="K268" i="31"/>
  <c r="D255" i="31"/>
  <c r="K255" i="31"/>
  <c r="D248" i="31"/>
  <c r="K248" i="31"/>
  <c r="D319" i="31"/>
  <c r="K319" i="31"/>
  <c r="D264" i="31"/>
  <c r="K264" i="31"/>
  <c r="D256" i="31"/>
  <c r="K256" i="31"/>
  <c r="D274" i="31"/>
  <c r="K274" i="31"/>
  <c r="D254" i="31"/>
  <c r="K254" i="31"/>
  <c r="D257" i="31"/>
  <c r="K257" i="31"/>
  <c r="D267" i="31"/>
  <c r="K267" i="31"/>
  <c r="D273" i="31"/>
  <c r="K273" i="31"/>
  <c r="D339" i="31"/>
  <c r="K339" i="31"/>
  <c r="D335" i="31"/>
  <c r="K335" i="31"/>
  <c r="D258" i="31"/>
  <c r="K258" i="31"/>
  <c r="D261" i="31"/>
  <c r="K261" i="31"/>
  <c r="D272" i="31"/>
  <c r="K272" i="31"/>
  <c r="D271" i="31"/>
  <c r="K271" i="31"/>
  <c r="D245" i="31"/>
  <c r="K245" i="31"/>
  <c r="D266" i="31"/>
  <c r="K266" i="31"/>
  <c r="D253" i="31"/>
  <c r="K253" i="31"/>
  <c r="D275" i="31"/>
  <c r="K275" i="31"/>
  <c r="D325" i="31"/>
  <c r="K325" i="31"/>
  <c r="D265" i="31"/>
  <c r="K265" i="31"/>
  <c r="D270" i="31"/>
  <c r="K270" i="31"/>
  <c r="T9" i="32"/>
  <c r="T10" i="32" s="1"/>
  <c r="U10" i="32" s="1"/>
  <c r="T14" i="32"/>
  <c r="U13" i="32"/>
  <c r="I328" i="31"/>
  <c r="G329" i="31"/>
  <c r="G349" i="31"/>
  <c r="G331" i="31"/>
  <c r="I254" i="31"/>
  <c r="H256" i="31"/>
  <c r="H265" i="31"/>
  <c r="H270" i="31"/>
  <c r="I259" i="31"/>
  <c r="H328" i="31"/>
  <c r="I274" i="31"/>
  <c r="G343" i="31"/>
  <c r="G333" i="31"/>
  <c r="G347" i="31"/>
  <c r="G338" i="31"/>
  <c r="I255" i="31"/>
  <c r="J261" i="31"/>
  <c r="G348" i="31"/>
  <c r="G341" i="31"/>
  <c r="G342" i="31"/>
  <c r="G345" i="31"/>
  <c r="G324" i="31"/>
  <c r="J322" i="31"/>
  <c r="J266" i="31"/>
  <c r="H330" i="31"/>
  <c r="I268" i="31"/>
  <c r="H273" i="31"/>
  <c r="J319" i="31"/>
  <c r="B319" i="31" s="1"/>
  <c r="G320" i="31"/>
  <c r="G340" i="31"/>
  <c r="H322" i="31"/>
  <c r="G323" i="31"/>
  <c r="G326" i="31"/>
  <c r="I322" i="31"/>
  <c r="G327" i="31"/>
  <c r="G346" i="31"/>
  <c r="J328" i="31"/>
  <c r="G336" i="31"/>
  <c r="I319" i="31"/>
  <c r="H319" i="31"/>
  <c r="H248" i="31"/>
  <c r="I248" i="31"/>
  <c r="G337" i="31"/>
  <c r="G334" i="31"/>
  <c r="G344" i="31"/>
  <c r="G332" i="31"/>
  <c r="I272" i="31"/>
  <c r="J272" i="31"/>
  <c r="I270" i="31"/>
  <c r="H257" i="31"/>
  <c r="H272" i="31"/>
  <c r="I261" i="31"/>
  <c r="G249" i="31"/>
  <c r="J270" i="31"/>
  <c r="J248" i="31"/>
  <c r="H255" i="31"/>
  <c r="J330" i="31"/>
  <c r="H274" i="31"/>
  <c r="J255" i="31"/>
  <c r="H261" i="31"/>
  <c r="J274" i="31"/>
  <c r="H269" i="31"/>
  <c r="I256" i="31"/>
  <c r="H264" i="31"/>
  <c r="J269" i="31"/>
  <c r="J273" i="31"/>
  <c r="J268" i="31"/>
  <c r="J256" i="31"/>
  <c r="I273" i="31"/>
  <c r="I269" i="31"/>
  <c r="J271" i="31"/>
  <c r="H263" i="31"/>
  <c r="J263" i="31"/>
  <c r="J254" i="31"/>
  <c r="J267" i="31"/>
  <c r="H266" i="31"/>
  <c r="H262" i="31"/>
  <c r="I262" i="31"/>
  <c r="I264" i="31"/>
  <c r="J264" i="31"/>
  <c r="J262" i="31"/>
  <c r="I330" i="31"/>
  <c r="I265" i="31"/>
  <c r="J259" i="31"/>
  <c r="H254" i="31"/>
  <c r="H267" i="31"/>
  <c r="I260" i="31"/>
  <c r="D10" i="33"/>
  <c r="D34" i="33" s="1"/>
  <c r="D43" i="33"/>
  <c r="J265" i="31"/>
  <c r="H260" i="31"/>
  <c r="I275" i="31"/>
  <c r="J260" i="31"/>
  <c r="H268" i="31"/>
  <c r="H259" i="31"/>
  <c r="I267" i="31"/>
  <c r="I266" i="31"/>
  <c r="I257" i="31"/>
  <c r="J257" i="31"/>
  <c r="H253" i="31"/>
  <c r="J253" i="31"/>
  <c r="I253" i="31"/>
  <c r="F14" i="32"/>
  <c r="J258" i="31"/>
  <c r="H271" i="31"/>
  <c r="I258" i="31"/>
  <c r="J251" i="31"/>
  <c r="G252" i="31"/>
  <c r="I251" i="31"/>
  <c r="H251" i="31"/>
  <c r="I271" i="31"/>
  <c r="H258" i="31"/>
  <c r="I263" i="31"/>
  <c r="H275" i="31"/>
  <c r="I335" i="31"/>
  <c r="J335" i="31"/>
  <c r="H335" i="31"/>
  <c r="I245" i="31"/>
  <c r="H245" i="31"/>
  <c r="G246" i="31"/>
  <c r="J245" i="31"/>
  <c r="B245" i="31" s="1"/>
  <c r="F9" i="32"/>
  <c r="I325" i="31"/>
  <c r="H325" i="31"/>
  <c r="J325" i="31"/>
  <c r="J339" i="31"/>
  <c r="H339" i="31"/>
  <c r="I339" i="31"/>
  <c r="U7" i="32"/>
  <c r="J275" i="31"/>
  <c r="B12" i="32"/>
  <c r="B13" i="32" s="1"/>
  <c r="U9" i="32" l="1"/>
  <c r="D323" i="31"/>
  <c r="K323" i="31"/>
  <c r="D338" i="31"/>
  <c r="K338" i="31"/>
  <c r="D340" i="31"/>
  <c r="K340" i="31"/>
  <c r="D249" i="31"/>
  <c r="K249" i="31"/>
  <c r="D344" i="31"/>
  <c r="K344" i="31"/>
  <c r="D320" i="31"/>
  <c r="K320" i="31"/>
  <c r="D345" i="31"/>
  <c r="K345" i="31"/>
  <c r="D333" i="31"/>
  <c r="K333" i="31"/>
  <c r="D246" i="31"/>
  <c r="K246" i="31"/>
  <c r="D324" i="31"/>
  <c r="K324" i="31"/>
  <c r="D252" i="31"/>
  <c r="K252" i="31"/>
  <c r="D346" i="31"/>
  <c r="K346" i="31"/>
  <c r="D342" i="31"/>
  <c r="K342" i="31"/>
  <c r="D343" i="31"/>
  <c r="K343" i="31"/>
  <c r="D331" i="31"/>
  <c r="K331" i="31"/>
  <c r="D326" i="31"/>
  <c r="K326" i="31"/>
  <c r="D336" i="31"/>
  <c r="K336" i="31"/>
  <c r="D334" i="31"/>
  <c r="K334" i="31"/>
  <c r="D337" i="31"/>
  <c r="K337" i="31"/>
  <c r="D327" i="31"/>
  <c r="K327" i="31"/>
  <c r="D341" i="31"/>
  <c r="K341" i="31"/>
  <c r="D349" i="31"/>
  <c r="K349" i="31"/>
  <c r="D332" i="31"/>
  <c r="K332" i="31"/>
  <c r="D347" i="31"/>
  <c r="K347" i="31"/>
  <c r="D348" i="31"/>
  <c r="K348" i="31"/>
  <c r="D329" i="31"/>
  <c r="K329" i="31"/>
  <c r="H349" i="31"/>
  <c r="I349" i="31"/>
  <c r="T15" i="32"/>
  <c r="U15" i="32" s="1"/>
  <c r="U14" i="32"/>
  <c r="J329" i="31"/>
  <c r="B329" i="31" s="1"/>
  <c r="J338" i="31"/>
  <c r="B339" i="31" s="1"/>
  <c r="I329" i="31"/>
  <c r="J349" i="31"/>
  <c r="H329" i="31"/>
  <c r="I333" i="31"/>
  <c r="H333" i="31"/>
  <c r="I342" i="31"/>
  <c r="J342" i="31"/>
  <c r="H342" i="31"/>
  <c r="I324" i="31"/>
  <c r="H324" i="31"/>
  <c r="J345" i="31"/>
  <c r="I345" i="31"/>
  <c r="J324" i="31"/>
  <c r="B325" i="31" s="1"/>
  <c r="H347" i="31"/>
  <c r="J347" i="31"/>
  <c r="I320" i="31"/>
  <c r="H320" i="31"/>
  <c r="J320" i="31"/>
  <c r="B320" i="31" s="1"/>
  <c r="G321" i="31"/>
  <c r="H338" i="31"/>
  <c r="I338" i="31"/>
  <c r="I340" i="31"/>
  <c r="I343" i="31"/>
  <c r="J331" i="31"/>
  <c r="B331" i="31" s="1"/>
  <c r="I331" i="31"/>
  <c r="I347" i="31"/>
  <c r="B262" i="31"/>
  <c r="H331" i="31"/>
  <c r="J348" i="31"/>
  <c r="B261" i="31"/>
  <c r="H340" i="31"/>
  <c r="J343" i="31"/>
  <c r="J327" i="31"/>
  <c r="B328" i="31" s="1"/>
  <c r="I346" i="31"/>
  <c r="J341" i="31"/>
  <c r="H343" i="31"/>
  <c r="I348" i="31"/>
  <c r="B266" i="31"/>
  <c r="I341" i="31"/>
  <c r="H345" i="31"/>
  <c r="H348" i="31"/>
  <c r="H334" i="31"/>
  <c r="H326" i="31"/>
  <c r="J337" i="31"/>
  <c r="I323" i="31"/>
  <c r="H341" i="31"/>
  <c r="J340" i="31"/>
  <c r="B340" i="31" s="1"/>
  <c r="J333" i="31"/>
  <c r="I326" i="31"/>
  <c r="B270" i="31"/>
  <c r="J323" i="31"/>
  <c r="B323" i="31" s="1"/>
  <c r="H323" i="31"/>
  <c r="J326" i="31"/>
  <c r="H346" i="31"/>
  <c r="J346" i="31"/>
  <c r="H327" i="31"/>
  <c r="I327" i="31"/>
  <c r="I336" i="31"/>
  <c r="H336" i="31"/>
  <c r="J336" i="31"/>
  <c r="B336" i="31" s="1"/>
  <c r="I337" i="31"/>
  <c r="B272" i="31"/>
  <c r="H337" i="31"/>
  <c r="I334" i="31"/>
  <c r="J334" i="31"/>
  <c r="J344" i="31"/>
  <c r="I344" i="31"/>
  <c r="H344" i="31"/>
  <c r="B273" i="31"/>
  <c r="H332" i="31"/>
  <c r="I332" i="31"/>
  <c r="J332" i="31"/>
  <c r="H249" i="31"/>
  <c r="I249" i="31"/>
  <c r="G250" i="31"/>
  <c r="J249" i="31"/>
  <c r="B249" i="31" s="1"/>
  <c r="B260" i="31"/>
  <c r="B255" i="31"/>
  <c r="B274" i="31"/>
  <c r="B256" i="31"/>
  <c r="B257" i="31"/>
  <c r="B259" i="31"/>
  <c r="B271" i="31"/>
  <c r="B264" i="31"/>
  <c r="B269" i="31"/>
  <c r="B254" i="31"/>
  <c r="B275" i="31"/>
  <c r="B258" i="31"/>
  <c r="B268" i="31"/>
  <c r="B267" i="31"/>
  <c r="B265" i="31"/>
  <c r="B263" i="31"/>
  <c r="F15" i="32"/>
  <c r="B14" i="32"/>
  <c r="F10" i="32"/>
  <c r="H246" i="31"/>
  <c r="I246" i="31"/>
  <c r="G247" i="31"/>
  <c r="J246" i="31"/>
  <c r="B246" i="31" s="1"/>
  <c r="I252" i="31"/>
  <c r="J252" i="31"/>
  <c r="B252" i="31" s="1"/>
  <c r="H252" i="31"/>
  <c r="B349" i="31" l="1"/>
  <c r="D247" i="31"/>
  <c r="K247" i="31"/>
  <c r="D321" i="31"/>
  <c r="J382" i="31" s="1"/>
  <c r="K321" i="31"/>
  <c r="D250" i="31"/>
  <c r="K250" i="31"/>
  <c r="B330" i="31"/>
  <c r="B338" i="31"/>
  <c r="B342" i="31"/>
  <c r="B343" i="31"/>
  <c r="J321" i="31"/>
  <c r="B321" i="31" s="1"/>
  <c r="I321" i="31"/>
  <c r="I350" i="31" s="1"/>
  <c r="I356" i="31" s="1"/>
  <c r="I372" i="31" s="1"/>
  <c r="B348" i="31"/>
  <c r="B347" i="31"/>
  <c r="B341" i="31"/>
  <c r="H321" i="31"/>
  <c r="H350" i="31" s="1"/>
  <c r="H356" i="31" s="1"/>
  <c r="H372" i="31" s="1"/>
  <c r="B372" i="31" s="1"/>
  <c r="B333" i="31"/>
  <c r="B327" i="31"/>
  <c r="B344" i="31"/>
  <c r="B326" i="31"/>
  <c r="B334" i="31"/>
  <c r="B324" i="31"/>
  <c r="B345" i="31"/>
  <c r="B346" i="31"/>
  <c r="B337" i="31"/>
  <c r="B335" i="31"/>
  <c r="B332" i="31"/>
  <c r="H250" i="31"/>
  <c r="I250" i="31"/>
  <c r="J250" i="31"/>
  <c r="B15" i="32"/>
  <c r="J247" i="31"/>
  <c r="I247" i="31"/>
  <c r="H247" i="31"/>
  <c r="B253" i="31"/>
  <c r="I383" i="31" l="1"/>
  <c r="B322" i="31"/>
  <c r="H382" i="31"/>
  <c r="I380" i="31"/>
  <c r="H380" i="31"/>
  <c r="J375" i="31"/>
  <c r="J377" i="31"/>
  <c r="B377" i="31" s="1"/>
  <c r="J383" i="31"/>
  <c r="J379" i="31"/>
  <c r="B379" i="31" s="1"/>
  <c r="H383" i="31"/>
  <c r="I382" i="31"/>
  <c r="I377" i="31"/>
  <c r="H377" i="31"/>
  <c r="H379" i="31"/>
  <c r="I376" i="31"/>
  <c r="J376" i="31"/>
  <c r="B376" i="31" s="1"/>
  <c r="I378" i="31"/>
  <c r="H375" i="31"/>
  <c r="I379" i="31"/>
  <c r="H376" i="31"/>
  <c r="J380" i="31"/>
  <c r="B380" i="31" s="1"/>
  <c r="I375" i="31"/>
  <c r="J378" i="31"/>
  <c r="B378" i="31" s="1"/>
  <c r="H378" i="31"/>
  <c r="B16" i="32"/>
  <c r="O16" i="32" s="1"/>
  <c r="O15" i="32"/>
  <c r="J350" i="31"/>
  <c r="B350" i="31" s="1"/>
  <c r="B250" i="31"/>
  <c r="B251" i="31"/>
  <c r="B247" i="31"/>
  <c r="B248" i="31"/>
  <c r="H276" i="31"/>
  <c r="H282" i="31" s="1"/>
  <c r="H298" i="31" s="1"/>
  <c r="B298" i="31" s="1"/>
  <c r="I276" i="31"/>
  <c r="I282" i="31" s="1"/>
  <c r="I298" i="31" s="1"/>
  <c r="J308" i="31"/>
  <c r="J276" i="31"/>
  <c r="H303" i="31"/>
  <c r="I308" i="31"/>
  <c r="J309" i="31"/>
  <c r="H302" i="31"/>
  <c r="I306" i="31"/>
  <c r="I309" i="31"/>
  <c r="J304" i="31"/>
  <c r="B304" i="31" s="1"/>
  <c r="J306" i="31"/>
  <c r="B306" i="31" s="1"/>
  <c r="I303" i="31"/>
  <c r="H306" i="31"/>
  <c r="H309" i="31"/>
  <c r="I304" i="31"/>
  <c r="I305" i="31"/>
  <c r="H301" i="31"/>
  <c r="H308" i="31"/>
  <c r="J302" i="31"/>
  <c r="B302" i="31" s="1"/>
  <c r="H304" i="31"/>
  <c r="J303" i="31"/>
  <c r="B303" i="31" s="1"/>
  <c r="I301" i="31"/>
  <c r="H305" i="31"/>
  <c r="I302" i="31"/>
  <c r="J301" i="31"/>
  <c r="J305" i="31"/>
  <c r="B305" i="31" s="1"/>
  <c r="I381" i="31" l="1"/>
  <c r="I384" i="31" s="1"/>
  <c r="H381" i="31"/>
  <c r="H384" i="31" s="1"/>
  <c r="B17" i="32"/>
  <c r="O17" i="32" s="1"/>
  <c r="J381" i="31"/>
  <c r="J356" i="31"/>
  <c r="B356" i="31" s="1"/>
  <c r="J282" i="31"/>
  <c r="B276" i="31"/>
  <c r="H307" i="31"/>
  <c r="H310" i="31" s="1"/>
  <c r="I307" i="31"/>
  <c r="I310" i="31" s="1"/>
  <c r="J307" i="31"/>
  <c r="B18" i="32" l="1"/>
  <c r="O18" i="32" s="1"/>
  <c r="J298" i="31"/>
  <c r="J310" i="31" s="1"/>
  <c r="B282" i="31"/>
  <c r="B19" i="32" l="1"/>
  <c r="O19" i="32" s="1"/>
  <c r="B20" i="32" l="1"/>
  <c r="B21" i="32" s="1"/>
  <c r="O21" i="32" s="1"/>
  <c r="B22" i="32" l="1"/>
  <c r="O22" i="32" s="1"/>
  <c r="B23" i="32" l="1"/>
  <c r="O23" i="32" s="1"/>
  <c r="G22" i="31" l="1"/>
  <c r="G163" i="31"/>
  <c r="G21" i="31"/>
  <c r="D21" i="31" l="1"/>
  <c r="K21" i="31"/>
  <c r="D163" i="31"/>
  <c r="K163" i="31"/>
  <c r="D22" i="31"/>
  <c r="K22" i="31"/>
  <c r="H22" i="31"/>
  <c r="G13" i="31"/>
  <c r="G10" i="31"/>
  <c r="G44" i="31"/>
  <c r="J22" i="31"/>
  <c r="G125" i="31"/>
  <c r="I22" i="31"/>
  <c r="G134" i="31"/>
  <c r="G158" i="31"/>
  <c r="G82" i="31"/>
  <c r="G67" i="31"/>
  <c r="G105" i="31"/>
  <c r="G57" i="31"/>
  <c r="G110" i="31"/>
  <c r="G124" i="31"/>
  <c r="G85" i="31"/>
  <c r="G100" i="31"/>
  <c r="G120" i="31"/>
  <c r="G116" i="31"/>
  <c r="G142" i="31"/>
  <c r="G118" i="31"/>
  <c r="G146" i="31"/>
  <c r="I163" i="31"/>
  <c r="H163" i="31"/>
  <c r="J163" i="31"/>
  <c r="G52" i="31"/>
  <c r="G154" i="31"/>
  <c r="G131" i="31"/>
  <c r="G159" i="31"/>
  <c r="H21" i="31"/>
  <c r="J21" i="31"/>
  <c r="I21" i="31"/>
  <c r="G60" i="31"/>
  <c r="G139" i="31"/>
  <c r="G54" i="31"/>
  <c r="G68" i="31"/>
  <c r="G151" i="31"/>
  <c r="G59" i="31"/>
  <c r="G122" i="31"/>
  <c r="G160" i="31"/>
  <c r="G121" i="31"/>
  <c r="G56" i="31"/>
  <c r="G145" i="31"/>
  <c r="G152" i="31"/>
  <c r="G104" i="31"/>
  <c r="G71" i="31"/>
  <c r="G64" i="31"/>
  <c r="G111" i="31"/>
  <c r="G74" i="31"/>
  <c r="G129" i="31"/>
  <c r="G61" i="31"/>
  <c r="G47" i="31"/>
  <c r="G95" i="31"/>
  <c r="G157" i="31"/>
  <c r="G94" i="31"/>
  <c r="G84" i="31"/>
  <c r="G80" i="31"/>
  <c r="G112" i="31"/>
  <c r="G51" i="31"/>
  <c r="G79" i="31"/>
  <c r="G76" i="31"/>
  <c r="G137" i="31"/>
  <c r="G144" i="31"/>
  <c r="G117" i="31"/>
  <c r="G156" i="31"/>
  <c r="G96" i="31"/>
  <c r="G65" i="31"/>
  <c r="G123" i="31"/>
  <c r="G46" i="31"/>
  <c r="G90" i="31"/>
  <c r="G58" i="31"/>
  <c r="G148" i="31"/>
  <c r="G106" i="31"/>
  <c r="G109" i="31"/>
  <c r="G53" i="31"/>
  <c r="G101" i="31"/>
  <c r="G88" i="31"/>
  <c r="G92" i="31"/>
  <c r="G126" i="31"/>
  <c r="G149" i="31"/>
  <c r="G72" i="31"/>
  <c r="G113" i="31"/>
  <c r="G133" i="31"/>
  <c r="G140" i="31"/>
  <c r="G141" i="31"/>
  <c r="G97" i="31"/>
  <c r="G115" i="31"/>
  <c r="G107" i="31"/>
  <c r="G103" i="31"/>
  <c r="G93" i="31"/>
  <c r="G78" i="31"/>
  <c r="G77" i="31"/>
  <c r="G66" i="31"/>
  <c r="G147" i="31"/>
  <c r="G55" i="31"/>
  <c r="G89" i="31"/>
  <c r="G161" i="31"/>
  <c r="G99" i="31"/>
  <c r="G138" i="31"/>
  <c r="G98" i="31"/>
  <c r="G127" i="31"/>
  <c r="G81" i="31"/>
  <c r="G49" i="31"/>
  <c r="G50" i="31"/>
  <c r="G69" i="31"/>
  <c r="G114" i="31"/>
  <c r="G164" i="31"/>
  <c r="G136" i="31"/>
  <c r="G143" i="31"/>
  <c r="G166" i="31"/>
  <c r="G91" i="31"/>
  <c r="G132" i="31"/>
  <c r="G165" i="31"/>
  <c r="G70" i="31"/>
  <c r="G150" i="31"/>
  <c r="G130" i="31"/>
  <c r="G48" i="31"/>
  <c r="G23" i="31"/>
  <c r="G75" i="31"/>
  <c r="G83" i="31"/>
  <c r="G128" i="31"/>
  <c r="G73" i="31"/>
  <c r="G102" i="31"/>
  <c r="G62" i="31"/>
  <c r="G119" i="31"/>
  <c r="G155" i="31"/>
  <c r="G135" i="31"/>
  <c r="G63" i="31"/>
  <c r="G153" i="31"/>
  <c r="G108" i="31"/>
  <c r="G86" i="31"/>
  <c r="G162" i="31"/>
  <c r="G87" i="31"/>
  <c r="B22" i="31" l="1"/>
  <c r="D108" i="31"/>
  <c r="K108" i="31"/>
  <c r="D114" i="31"/>
  <c r="K114" i="31"/>
  <c r="D96" i="31"/>
  <c r="K96" i="31"/>
  <c r="D52" i="31"/>
  <c r="K52" i="31"/>
  <c r="D153" i="31"/>
  <c r="K153" i="31"/>
  <c r="D103" i="31"/>
  <c r="K103" i="31"/>
  <c r="D106" i="31"/>
  <c r="K106" i="31"/>
  <c r="D156" i="31"/>
  <c r="K156" i="31"/>
  <c r="D80" i="31"/>
  <c r="K80" i="31"/>
  <c r="D74" i="31"/>
  <c r="K74" i="31"/>
  <c r="D121" i="31"/>
  <c r="K121" i="31"/>
  <c r="D60" i="31"/>
  <c r="K60" i="31"/>
  <c r="D100" i="31"/>
  <c r="K100" i="31"/>
  <c r="D158" i="31"/>
  <c r="K158" i="31"/>
  <c r="D63" i="31"/>
  <c r="K63" i="31"/>
  <c r="D83" i="31"/>
  <c r="K83" i="31"/>
  <c r="D132" i="31"/>
  <c r="K132" i="31"/>
  <c r="D50" i="31"/>
  <c r="K50" i="31"/>
  <c r="D89" i="31"/>
  <c r="K89" i="31"/>
  <c r="D107" i="31"/>
  <c r="K107" i="31"/>
  <c r="D149" i="31"/>
  <c r="K149" i="31"/>
  <c r="D148" i="31"/>
  <c r="K148" i="31"/>
  <c r="D117" i="31"/>
  <c r="K117" i="31"/>
  <c r="D84" i="31"/>
  <c r="K84" i="31"/>
  <c r="D111" i="31"/>
  <c r="K111" i="31"/>
  <c r="D160" i="31"/>
  <c r="K160" i="31"/>
  <c r="D85" i="31"/>
  <c r="K85" i="31"/>
  <c r="D134" i="31"/>
  <c r="K134" i="31"/>
  <c r="D113" i="31"/>
  <c r="K113" i="31"/>
  <c r="D56" i="31"/>
  <c r="K56" i="31"/>
  <c r="D165" i="31"/>
  <c r="K165" i="31"/>
  <c r="D75" i="31"/>
  <c r="K75" i="31"/>
  <c r="D115" i="31"/>
  <c r="K115" i="31"/>
  <c r="D122" i="31"/>
  <c r="K122" i="31"/>
  <c r="D81" i="31"/>
  <c r="K81" i="31"/>
  <c r="D147" i="31"/>
  <c r="K147" i="31"/>
  <c r="D97" i="31"/>
  <c r="K97" i="31"/>
  <c r="D92" i="31"/>
  <c r="K92" i="31"/>
  <c r="D90" i="31"/>
  <c r="K90" i="31"/>
  <c r="D137" i="31"/>
  <c r="K137" i="31"/>
  <c r="D157" i="31"/>
  <c r="K157" i="31"/>
  <c r="D71" i="31"/>
  <c r="K71" i="31"/>
  <c r="D59" i="31"/>
  <c r="K59" i="31"/>
  <c r="D146" i="31"/>
  <c r="K146" i="31"/>
  <c r="D110" i="31"/>
  <c r="K110" i="31"/>
  <c r="D125" i="31"/>
  <c r="K125" i="31"/>
  <c r="D93" i="31"/>
  <c r="K93" i="31"/>
  <c r="D139" i="31"/>
  <c r="K139" i="31"/>
  <c r="D128" i="31"/>
  <c r="K128" i="31"/>
  <c r="D91" i="31"/>
  <c r="K91" i="31"/>
  <c r="D58" i="31"/>
  <c r="K58" i="31"/>
  <c r="D87" i="31"/>
  <c r="K87" i="31"/>
  <c r="D66" i="31"/>
  <c r="K66" i="31"/>
  <c r="D141" i="31"/>
  <c r="K141" i="31"/>
  <c r="D88" i="31"/>
  <c r="K88" i="31"/>
  <c r="D46" i="31"/>
  <c r="K46" i="31"/>
  <c r="D76" i="31"/>
  <c r="K76" i="31"/>
  <c r="D95" i="31"/>
  <c r="K95" i="31"/>
  <c r="D104" i="31"/>
  <c r="K104" i="31"/>
  <c r="D151" i="31"/>
  <c r="K151" i="31"/>
  <c r="D159" i="31"/>
  <c r="K159" i="31"/>
  <c r="D118" i="31"/>
  <c r="K118" i="31"/>
  <c r="D57" i="31"/>
  <c r="K57" i="31"/>
  <c r="D73" i="31"/>
  <c r="K73" i="31"/>
  <c r="D99" i="31"/>
  <c r="K99" i="31"/>
  <c r="D112" i="31"/>
  <c r="K112" i="31"/>
  <c r="D120" i="31"/>
  <c r="K120" i="31"/>
  <c r="D13" i="31"/>
  <c r="K13" i="31"/>
  <c r="D161" i="31"/>
  <c r="K161" i="31"/>
  <c r="D135" i="31"/>
  <c r="K135" i="31"/>
  <c r="D55" i="31"/>
  <c r="K55" i="31"/>
  <c r="D144" i="31"/>
  <c r="K144" i="31"/>
  <c r="D64" i="31"/>
  <c r="K64" i="31"/>
  <c r="D124" i="31"/>
  <c r="K124" i="31"/>
  <c r="D23" i="31"/>
  <c r="K23" i="31"/>
  <c r="D119" i="31"/>
  <c r="K119" i="31"/>
  <c r="D143" i="31"/>
  <c r="K143" i="31"/>
  <c r="D162" i="31"/>
  <c r="K162" i="31"/>
  <c r="D62" i="31"/>
  <c r="K62" i="31"/>
  <c r="D130" i="31"/>
  <c r="K130" i="31"/>
  <c r="D136" i="31"/>
  <c r="K136" i="31"/>
  <c r="D98" i="31"/>
  <c r="K98" i="31"/>
  <c r="D77" i="31"/>
  <c r="K77" i="31"/>
  <c r="D140" i="31"/>
  <c r="K140" i="31"/>
  <c r="D101" i="31"/>
  <c r="K101" i="31"/>
  <c r="D123" i="31"/>
  <c r="K123" i="31"/>
  <c r="D79" i="31"/>
  <c r="K79" i="31"/>
  <c r="D47" i="31"/>
  <c r="K47" i="31"/>
  <c r="D152" i="31"/>
  <c r="K152" i="31"/>
  <c r="D68" i="31"/>
  <c r="K68" i="31"/>
  <c r="D131" i="31"/>
  <c r="K131" i="31"/>
  <c r="D142" i="31"/>
  <c r="K142" i="31"/>
  <c r="D105" i="31"/>
  <c r="K105" i="31"/>
  <c r="D44" i="31"/>
  <c r="K44" i="31"/>
  <c r="D70" i="31"/>
  <c r="K70" i="31"/>
  <c r="D109" i="31"/>
  <c r="K109" i="31"/>
  <c r="D129" i="31"/>
  <c r="K129" i="31"/>
  <c r="D82" i="31"/>
  <c r="K82" i="31"/>
  <c r="D69" i="31"/>
  <c r="K69" i="31"/>
  <c r="D72" i="31"/>
  <c r="K72" i="31"/>
  <c r="D49" i="31"/>
  <c r="K49" i="31"/>
  <c r="D126" i="31"/>
  <c r="K126" i="31"/>
  <c r="D94" i="31"/>
  <c r="K94" i="31"/>
  <c r="D155" i="31"/>
  <c r="K155" i="31"/>
  <c r="D166" i="31"/>
  <c r="K166" i="31"/>
  <c r="D48" i="31"/>
  <c r="K48" i="31"/>
  <c r="D127" i="31"/>
  <c r="K127" i="31"/>
  <c r="D86" i="31"/>
  <c r="K86" i="31"/>
  <c r="D102" i="31"/>
  <c r="K102" i="31"/>
  <c r="D150" i="31"/>
  <c r="K150" i="31"/>
  <c r="D164" i="31"/>
  <c r="K164" i="31"/>
  <c r="D138" i="31"/>
  <c r="K138" i="31"/>
  <c r="D78" i="31"/>
  <c r="K78" i="31"/>
  <c r="D133" i="31"/>
  <c r="K133" i="31"/>
  <c r="D53" i="31"/>
  <c r="K53" i="31"/>
  <c r="D65" i="31"/>
  <c r="K65" i="31"/>
  <c r="D51" i="31"/>
  <c r="K51" i="31"/>
  <c r="D61" i="31"/>
  <c r="K61" i="31"/>
  <c r="D145" i="31"/>
  <c r="K145" i="31"/>
  <c r="D54" i="31"/>
  <c r="K54" i="31"/>
  <c r="D154" i="31"/>
  <c r="K154" i="31"/>
  <c r="D116" i="31"/>
  <c r="K116" i="31"/>
  <c r="D67" i="31"/>
  <c r="K67" i="31"/>
  <c r="D10" i="31"/>
  <c r="K10" i="31"/>
  <c r="G11" i="31"/>
  <c r="K11" i="31" s="1"/>
  <c r="G14" i="31"/>
  <c r="J158" i="31"/>
  <c r="H44" i="31"/>
  <c r="I116" i="31"/>
  <c r="I124" i="31"/>
  <c r="I146" i="31"/>
  <c r="J110" i="31"/>
  <c r="H13" i="31"/>
  <c r="J10" i="31"/>
  <c r="B10" i="31" s="1"/>
  <c r="I10" i="31"/>
  <c r="J13" i="31"/>
  <c r="I13" i="31"/>
  <c r="H10" i="31"/>
  <c r="G45" i="31"/>
  <c r="I44" i="31"/>
  <c r="J44" i="31"/>
  <c r="J134" i="31"/>
  <c r="J120" i="31"/>
  <c r="H105" i="31"/>
  <c r="J67" i="31"/>
  <c r="I120" i="31"/>
  <c r="I67" i="31"/>
  <c r="J125" i="31"/>
  <c r="I118" i="31"/>
  <c r="H125" i="31"/>
  <c r="H134" i="31"/>
  <c r="I125" i="31"/>
  <c r="H100" i="31"/>
  <c r="H67" i="31"/>
  <c r="H158" i="31"/>
  <c r="I82" i="31"/>
  <c r="I158" i="31"/>
  <c r="J146" i="31"/>
  <c r="I105" i="31"/>
  <c r="I100" i="31"/>
  <c r="H142" i="31"/>
  <c r="J100" i="31"/>
  <c r="J105" i="31"/>
  <c r="J142" i="31"/>
  <c r="I134" i="31"/>
  <c r="H146" i="31"/>
  <c r="H110" i="31"/>
  <c r="I142" i="31"/>
  <c r="I57" i="31"/>
  <c r="H118" i="31"/>
  <c r="H120" i="31"/>
  <c r="H82" i="31"/>
  <c r="J82" i="31"/>
  <c r="J118" i="31"/>
  <c r="I110" i="31"/>
  <c r="H85" i="31"/>
  <c r="J57" i="31"/>
  <c r="H116" i="31"/>
  <c r="H124" i="31"/>
  <c r="J124" i="31"/>
  <c r="J85" i="31"/>
  <c r="I85" i="31"/>
  <c r="J116" i="31"/>
  <c r="H57" i="31"/>
  <c r="J49" i="31"/>
  <c r="I49" i="31"/>
  <c r="H49" i="31"/>
  <c r="J74" i="31"/>
  <c r="H74" i="31"/>
  <c r="I74" i="31"/>
  <c r="I87" i="31"/>
  <c r="H87" i="31"/>
  <c r="J87" i="31"/>
  <c r="J23" i="31"/>
  <c r="B23" i="31" s="1"/>
  <c r="G24" i="31"/>
  <c r="I23" i="31"/>
  <c r="H23" i="31"/>
  <c r="I166" i="31"/>
  <c r="H166" i="31"/>
  <c r="J166" i="31"/>
  <c r="J81" i="31"/>
  <c r="I81" i="31"/>
  <c r="H81" i="31"/>
  <c r="H147" i="31"/>
  <c r="I147" i="31"/>
  <c r="J147" i="31"/>
  <c r="H97" i="31"/>
  <c r="I97" i="31"/>
  <c r="J97" i="31"/>
  <c r="I92" i="31"/>
  <c r="J92" i="31"/>
  <c r="H92" i="31"/>
  <c r="I58" i="31"/>
  <c r="H58" i="31"/>
  <c r="J58" i="31"/>
  <c r="H144" i="31"/>
  <c r="I144" i="31"/>
  <c r="J144" i="31"/>
  <c r="I84" i="31"/>
  <c r="H84" i="31"/>
  <c r="J84" i="31"/>
  <c r="I111" i="31"/>
  <c r="H111" i="31"/>
  <c r="J111" i="31"/>
  <c r="H121" i="31"/>
  <c r="I121" i="31"/>
  <c r="J121" i="31"/>
  <c r="H162" i="31"/>
  <c r="J162" i="31"/>
  <c r="B163" i="31" s="1"/>
  <c r="I162" i="31"/>
  <c r="I48" i="31"/>
  <c r="H48" i="31"/>
  <c r="J48" i="31"/>
  <c r="H143" i="31"/>
  <c r="I143" i="31"/>
  <c r="J143" i="31"/>
  <c r="J127" i="31"/>
  <c r="H127" i="31"/>
  <c r="I127" i="31"/>
  <c r="I66" i="31"/>
  <c r="J66" i="31"/>
  <c r="H66" i="31"/>
  <c r="J141" i="31"/>
  <c r="H141" i="31"/>
  <c r="I141" i="31"/>
  <c r="J88" i="31"/>
  <c r="H88" i="31"/>
  <c r="I88" i="31"/>
  <c r="J90" i="31"/>
  <c r="I90" i="31"/>
  <c r="H90" i="31"/>
  <c r="J137" i="31"/>
  <c r="H137" i="31"/>
  <c r="I137" i="31"/>
  <c r="H94" i="31"/>
  <c r="I94" i="31"/>
  <c r="J94" i="31"/>
  <c r="H64" i="31"/>
  <c r="I64" i="31"/>
  <c r="J64" i="31"/>
  <c r="H160" i="31"/>
  <c r="I160" i="31"/>
  <c r="J160" i="31"/>
  <c r="I139" i="31"/>
  <c r="H139" i="31"/>
  <c r="J139" i="31"/>
  <c r="H159" i="31"/>
  <c r="J159" i="31"/>
  <c r="I159" i="31"/>
  <c r="H75" i="31"/>
  <c r="I75" i="31"/>
  <c r="J75" i="31"/>
  <c r="H115" i="31"/>
  <c r="J115" i="31"/>
  <c r="I115" i="31"/>
  <c r="I136" i="31"/>
  <c r="H136" i="31"/>
  <c r="J136" i="31"/>
  <c r="I140" i="31"/>
  <c r="H140" i="31"/>
  <c r="J140" i="31"/>
  <c r="H76" i="31"/>
  <c r="I76" i="31"/>
  <c r="J76" i="31"/>
  <c r="I122" i="31"/>
  <c r="H122" i="31"/>
  <c r="J122" i="31"/>
  <c r="I63" i="31"/>
  <c r="J63" i="31"/>
  <c r="H63" i="31"/>
  <c r="H164" i="31"/>
  <c r="I164" i="31"/>
  <c r="J164" i="31"/>
  <c r="B164" i="31" s="1"/>
  <c r="J133" i="31"/>
  <c r="I133" i="31"/>
  <c r="H133" i="31"/>
  <c r="H79" i="31"/>
  <c r="J79" i="31"/>
  <c r="I79" i="31"/>
  <c r="H59" i="31"/>
  <c r="J59" i="31"/>
  <c r="I59" i="31"/>
  <c r="H153" i="31"/>
  <c r="I153" i="31"/>
  <c r="J153" i="31"/>
  <c r="H135" i="31"/>
  <c r="I135" i="31"/>
  <c r="J135" i="31"/>
  <c r="J73" i="31"/>
  <c r="I73" i="31"/>
  <c r="H73" i="31"/>
  <c r="H70" i="31"/>
  <c r="J70" i="31"/>
  <c r="I70" i="31"/>
  <c r="I114" i="31"/>
  <c r="H114" i="31"/>
  <c r="J114" i="31"/>
  <c r="H99" i="31"/>
  <c r="I99" i="31"/>
  <c r="J99" i="31"/>
  <c r="I93" i="31"/>
  <c r="J93" i="31"/>
  <c r="H93" i="31"/>
  <c r="H113" i="31"/>
  <c r="I113" i="31"/>
  <c r="J113" i="31"/>
  <c r="I109" i="31"/>
  <c r="H109" i="31"/>
  <c r="J109" i="31"/>
  <c r="J65" i="31"/>
  <c r="I65" i="31"/>
  <c r="H65" i="31"/>
  <c r="H51" i="31"/>
  <c r="I51" i="31"/>
  <c r="J51" i="31"/>
  <c r="I47" i="31"/>
  <c r="H47" i="31"/>
  <c r="J47" i="31"/>
  <c r="I152" i="31"/>
  <c r="J152" i="31"/>
  <c r="H152" i="31"/>
  <c r="I151" i="31"/>
  <c r="J151" i="31"/>
  <c r="H151" i="31"/>
  <c r="J154" i="31"/>
  <c r="H154" i="31"/>
  <c r="I154" i="31"/>
  <c r="I119" i="31"/>
  <c r="H119" i="31"/>
  <c r="J119" i="31"/>
  <c r="J55" i="31"/>
  <c r="H55" i="31"/>
  <c r="I55" i="31"/>
  <c r="I117" i="31"/>
  <c r="H117" i="31"/>
  <c r="J117" i="31"/>
  <c r="I56" i="31"/>
  <c r="H56" i="31"/>
  <c r="J56" i="31"/>
  <c r="H86" i="31"/>
  <c r="J86" i="31"/>
  <c r="I86" i="31"/>
  <c r="H62" i="31"/>
  <c r="J62" i="31"/>
  <c r="I62" i="31"/>
  <c r="J98" i="31"/>
  <c r="H98" i="31"/>
  <c r="I98" i="31"/>
  <c r="J101" i="31"/>
  <c r="I101" i="31"/>
  <c r="H101" i="31"/>
  <c r="H157" i="31"/>
  <c r="I157" i="31"/>
  <c r="J157" i="31"/>
  <c r="J60" i="31"/>
  <c r="I60" i="31"/>
  <c r="H60" i="31"/>
  <c r="I108" i="31"/>
  <c r="H108" i="31"/>
  <c r="J108" i="31"/>
  <c r="H150" i="31"/>
  <c r="I150" i="31"/>
  <c r="J150" i="31"/>
  <c r="H78" i="31"/>
  <c r="I78" i="31"/>
  <c r="J78" i="31"/>
  <c r="J123" i="31"/>
  <c r="I123" i="31"/>
  <c r="H123" i="31"/>
  <c r="H104" i="31"/>
  <c r="I104" i="31"/>
  <c r="J104" i="31"/>
  <c r="J128" i="31"/>
  <c r="H128" i="31"/>
  <c r="I128" i="31"/>
  <c r="H69" i="31"/>
  <c r="I69" i="31"/>
  <c r="J69" i="31"/>
  <c r="I103" i="31"/>
  <c r="J103" i="31"/>
  <c r="H103" i="31"/>
  <c r="H72" i="31"/>
  <c r="J72" i="31"/>
  <c r="I72" i="31"/>
  <c r="H106" i="31"/>
  <c r="I106" i="31"/>
  <c r="J106" i="31"/>
  <c r="I96" i="31"/>
  <c r="H96" i="31"/>
  <c r="J96" i="31"/>
  <c r="H112" i="31"/>
  <c r="I112" i="31"/>
  <c r="J112" i="31"/>
  <c r="I61" i="31"/>
  <c r="J61" i="31"/>
  <c r="H61" i="31"/>
  <c r="H145" i="31"/>
  <c r="I145" i="31"/>
  <c r="J145" i="31"/>
  <c r="H68" i="31"/>
  <c r="J68" i="31"/>
  <c r="I68" i="31"/>
  <c r="I52" i="31"/>
  <c r="J52" i="31"/>
  <c r="H52" i="31"/>
  <c r="I91" i="31"/>
  <c r="J91" i="31"/>
  <c r="H91" i="31"/>
  <c r="J126" i="31"/>
  <c r="I126" i="31"/>
  <c r="H126" i="31"/>
  <c r="H130" i="31"/>
  <c r="I130" i="31"/>
  <c r="J130" i="31"/>
  <c r="H77" i="31"/>
  <c r="I77" i="31"/>
  <c r="J77" i="31"/>
  <c r="J46" i="31"/>
  <c r="H46" i="31"/>
  <c r="I46" i="31"/>
  <c r="J71" i="31"/>
  <c r="I71" i="31"/>
  <c r="H71" i="31"/>
  <c r="H131" i="31"/>
  <c r="I131" i="31"/>
  <c r="J131" i="31"/>
  <c r="H102" i="31"/>
  <c r="I102" i="31"/>
  <c r="J102" i="31"/>
  <c r="I138" i="31"/>
  <c r="H138" i="31"/>
  <c r="J138" i="31"/>
  <c r="I53" i="31"/>
  <c r="J53" i="31"/>
  <c r="H53" i="31"/>
  <c r="J95" i="31"/>
  <c r="I95" i="31"/>
  <c r="H95" i="31"/>
  <c r="I155" i="31"/>
  <c r="H155" i="31"/>
  <c r="J155" i="31"/>
  <c r="J165" i="31"/>
  <c r="H165" i="31"/>
  <c r="I165" i="31"/>
  <c r="J161" i="31"/>
  <c r="I161" i="31"/>
  <c r="H161" i="31"/>
  <c r="I83" i="31"/>
  <c r="J83" i="31"/>
  <c r="H83" i="31"/>
  <c r="J132" i="31"/>
  <c r="I132" i="31"/>
  <c r="H132" i="31"/>
  <c r="H50" i="31"/>
  <c r="J50" i="31"/>
  <c r="I50" i="31"/>
  <c r="J89" i="31"/>
  <c r="H89" i="31"/>
  <c r="I89" i="31"/>
  <c r="H107" i="31"/>
  <c r="I107" i="31"/>
  <c r="J107" i="31"/>
  <c r="I149" i="31"/>
  <c r="J149" i="31"/>
  <c r="H149" i="31"/>
  <c r="I148" i="31"/>
  <c r="J148" i="31"/>
  <c r="H148" i="31"/>
  <c r="H156" i="31"/>
  <c r="I156" i="31"/>
  <c r="J156" i="31"/>
  <c r="H80" i="31"/>
  <c r="I80" i="31"/>
  <c r="J80" i="31"/>
  <c r="J129" i="31"/>
  <c r="H129" i="31"/>
  <c r="I129" i="31"/>
  <c r="I54" i="31"/>
  <c r="H54" i="31"/>
  <c r="J54" i="31"/>
  <c r="H11" i="31" l="1"/>
  <c r="J11" i="31"/>
  <c r="B11" i="31" s="1"/>
  <c r="I11" i="31"/>
  <c r="D45" i="31"/>
  <c r="K45" i="31"/>
  <c r="D24" i="31"/>
  <c r="K24" i="31"/>
  <c r="D14" i="31"/>
  <c r="K14" i="31"/>
  <c r="G12" i="31"/>
  <c r="K12" i="31" s="1"/>
  <c r="D11" i="31"/>
  <c r="G25" i="31"/>
  <c r="G37" i="31"/>
  <c r="G41" i="31"/>
  <c r="K41" i="31" s="1"/>
  <c r="G15" i="31"/>
  <c r="H14" i="31"/>
  <c r="J14" i="31"/>
  <c r="B14" i="31" s="1"/>
  <c r="I14" i="31"/>
  <c r="B110" i="31"/>
  <c r="B111" i="31"/>
  <c r="B158" i="31"/>
  <c r="B159" i="31"/>
  <c r="J45" i="31"/>
  <c r="B46" i="31" s="1"/>
  <c r="I45" i="31"/>
  <c r="H45" i="31"/>
  <c r="B124" i="31"/>
  <c r="B82" i="31"/>
  <c r="B135" i="31"/>
  <c r="B134" i="31"/>
  <c r="B121" i="31"/>
  <c r="B126" i="31"/>
  <c r="B125" i="31"/>
  <c r="B60" i="31"/>
  <c r="B50" i="31"/>
  <c r="B156" i="31"/>
  <c r="B154" i="31"/>
  <c r="B147" i="31"/>
  <c r="B71" i="31"/>
  <c r="B101" i="31"/>
  <c r="B100" i="31"/>
  <c r="B119" i="31"/>
  <c r="B165" i="31"/>
  <c r="B68" i="31"/>
  <c r="B102" i="31"/>
  <c r="B128" i="31"/>
  <c r="B106" i="31"/>
  <c r="B86" i="31"/>
  <c r="B61" i="31"/>
  <c r="B143" i="31"/>
  <c r="B83" i="31"/>
  <c r="B103" i="31"/>
  <c r="B93" i="31"/>
  <c r="B152" i="31"/>
  <c r="B74" i="31"/>
  <c r="B98" i="31"/>
  <c r="B160" i="31"/>
  <c r="B149" i="31"/>
  <c r="B52" i="31"/>
  <c r="B78" i="31"/>
  <c r="B47" i="31"/>
  <c r="B58" i="31"/>
  <c r="B107" i="31"/>
  <c r="B115" i="31"/>
  <c r="B112" i="31"/>
  <c r="B65" i="31"/>
  <c r="B136" i="31"/>
  <c r="B90" i="31"/>
  <c r="B162" i="31"/>
  <c r="B144" i="31"/>
  <c r="B92" i="31"/>
  <c r="B141" i="31"/>
  <c r="B54" i="31"/>
  <c r="B77" i="31"/>
  <c r="B70" i="31"/>
  <c r="B153" i="31"/>
  <c r="B63" i="31"/>
  <c r="B123" i="31"/>
  <c r="B122" i="31"/>
  <c r="B89" i="31"/>
  <c r="B88" i="31"/>
  <c r="B139" i="31"/>
  <c r="B138" i="31"/>
  <c r="B91" i="31"/>
  <c r="B108" i="31"/>
  <c r="B62" i="31"/>
  <c r="B117" i="31"/>
  <c r="B118" i="31"/>
  <c r="B114" i="31"/>
  <c r="B73" i="31"/>
  <c r="B137" i="31"/>
  <c r="B48" i="31"/>
  <c r="B81" i="31"/>
  <c r="B120" i="31"/>
  <c r="B96" i="31"/>
  <c r="B95" i="31"/>
  <c r="B94" i="31"/>
  <c r="B67" i="31"/>
  <c r="B66" i="31"/>
  <c r="B80" i="31"/>
  <c r="B148" i="31"/>
  <c r="B161" i="31"/>
  <c r="B105" i="31"/>
  <c r="B104" i="31"/>
  <c r="B142" i="31"/>
  <c r="B99" i="31"/>
  <c r="B59" i="31"/>
  <c r="B140" i="31"/>
  <c r="B75" i="31"/>
  <c r="B64" i="31"/>
  <c r="B97" i="31"/>
  <c r="J24" i="31"/>
  <c r="H24" i="31"/>
  <c r="I24" i="31"/>
  <c r="B79" i="31"/>
  <c r="B129" i="31"/>
  <c r="B53" i="31"/>
  <c r="B131" i="31"/>
  <c r="B130" i="31"/>
  <c r="B146" i="31"/>
  <c r="B145" i="31"/>
  <c r="B72" i="31"/>
  <c r="B150" i="31"/>
  <c r="B57" i="31"/>
  <c r="B56" i="31"/>
  <c r="B55" i="31"/>
  <c r="B109" i="31"/>
  <c r="B49" i="31"/>
  <c r="B133" i="31"/>
  <c r="B132" i="31"/>
  <c r="B113" i="31"/>
  <c r="B127" i="31"/>
  <c r="B155" i="31"/>
  <c r="B69" i="31"/>
  <c r="B157" i="31"/>
  <c r="B151" i="31"/>
  <c r="B51" i="31"/>
  <c r="B116" i="31"/>
  <c r="B76" i="31"/>
  <c r="B85" i="31"/>
  <c r="B84" i="31"/>
  <c r="B166" i="31"/>
  <c r="B167" i="31"/>
  <c r="B87" i="31"/>
  <c r="D15" i="31" l="1"/>
  <c r="K15" i="31"/>
  <c r="D37" i="31"/>
  <c r="K37" i="31"/>
  <c r="D25" i="31"/>
  <c r="K25" i="31"/>
  <c r="G42" i="31"/>
  <c r="D41" i="31"/>
  <c r="D12" i="31"/>
  <c r="H12" i="31"/>
  <c r="I12" i="31"/>
  <c r="J12" i="31"/>
  <c r="G34" i="31"/>
  <c r="G20" i="31"/>
  <c r="G26" i="31"/>
  <c r="K26" i="31" s="1"/>
  <c r="H25" i="31"/>
  <c r="I25" i="31"/>
  <c r="J25" i="31"/>
  <c r="B25" i="31" s="1"/>
  <c r="G31" i="31"/>
  <c r="G16" i="31"/>
  <c r="H41" i="31"/>
  <c r="J41" i="31"/>
  <c r="I41" i="31"/>
  <c r="G38" i="31"/>
  <c r="K38" i="31" s="1"/>
  <c r="J37" i="31"/>
  <c r="H37" i="31"/>
  <c r="I37" i="31"/>
  <c r="I15" i="31"/>
  <c r="H15" i="31"/>
  <c r="J15" i="31"/>
  <c r="B15" i="31" s="1"/>
  <c r="B45" i="31"/>
  <c r="B24" i="31"/>
  <c r="B12" i="31" l="1"/>
  <c r="B13" i="31"/>
  <c r="D42" i="31"/>
  <c r="K42" i="31"/>
  <c r="D16" i="31"/>
  <c r="K16" i="31"/>
  <c r="G43" i="31"/>
  <c r="H43" i="31" s="1"/>
  <c r="D31" i="31"/>
  <c r="K31" i="31"/>
  <c r="J42" i="31"/>
  <c r="B42" i="31" s="1"/>
  <c r="D20" i="31"/>
  <c r="K20" i="31"/>
  <c r="D34" i="31"/>
  <c r="K34" i="31"/>
  <c r="H42" i="31"/>
  <c r="I42" i="31"/>
  <c r="G27" i="31"/>
  <c r="D26" i="31"/>
  <c r="G39" i="31"/>
  <c r="D38" i="31"/>
  <c r="G17" i="31"/>
  <c r="K17" i="31" s="1"/>
  <c r="J16" i="31"/>
  <c r="B16" i="31" s="1"/>
  <c r="I16" i="31"/>
  <c r="H16" i="31"/>
  <c r="H26" i="31"/>
  <c r="I26" i="31"/>
  <c r="J26" i="31"/>
  <c r="B26" i="31" s="1"/>
  <c r="H20" i="31"/>
  <c r="I20" i="31"/>
  <c r="J20" i="31"/>
  <c r="H31" i="31"/>
  <c r="G32" i="31"/>
  <c r="K32" i="31" s="1"/>
  <c r="I31" i="31"/>
  <c r="J31" i="31"/>
  <c r="H34" i="31"/>
  <c r="I34" i="31"/>
  <c r="J34" i="31"/>
  <c r="G35" i="31"/>
  <c r="K35" i="31" s="1"/>
  <c r="H38" i="31"/>
  <c r="J38" i="31"/>
  <c r="B38" i="31" s="1"/>
  <c r="I38" i="31"/>
  <c r="B21" i="31" l="1"/>
  <c r="J27" i="31"/>
  <c r="B27" i="31" s="1"/>
  <c r="K27" i="31"/>
  <c r="D43" i="31"/>
  <c r="K43" i="31"/>
  <c r="I43" i="31"/>
  <c r="D39" i="31"/>
  <c r="K39" i="31"/>
  <c r="J43" i="31"/>
  <c r="H27" i="31"/>
  <c r="I27" i="31"/>
  <c r="I39" i="31"/>
  <c r="G40" i="31"/>
  <c r="G36" i="31"/>
  <c r="D35" i="31"/>
  <c r="G33" i="31"/>
  <c r="D32" i="31"/>
  <c r="H39" i="31"/>
  <c r="J39" i="31"/>
  <c r="B39" i="31" s="1"/>
  <c r="G18" i="31"/>
  <c r="D17" i="31"/>
  <c r="G28" i="31"/>
  <c r="K28" i="31" s="1"/>
  <c r="D27" i="31"/>
  <c r="G19" i="31"/>
  <c r="J32" i="31"/>
  <c r="B32" i="31" s="1"/>
  <c r="I32" i="31"/>
  <c r="H32" i="31"/>
  <c r="J17" i="31"/>
  <c r="B17" i="31" s="1"/>
  <c r="I17" i="31"/>
  <c r="H17" i="31"/>
  <c r="I35" i="31"/>
  <c r="H35" i="31"/>
  <c r="J35" i="31"/>
  <c r="B35" i="31" s="1"/>
  <c r="L24" i="26"/>
  <c r="B43" i="31" l="1"/>
  <c r="B44" i="31"/>
  <c r="D33" i="31"/>
  <c r="K33" i="31"/>
  <c r="D40" i="31"/>
  <c r="K40" i="31"/>
  <c r="D19" i="31"/>
  <c r="K19" i="31"/>
  <c r="D36" i="31"/>
  <c r="K36" i="31"/>
  <c r="I40" i="31"/>
  <c r="D18" i="31"/>
  <c r="K18" i="31"/>
  <c r="H40" i="31"/>
  <c r="H36" i="31"/>
  <c r="J40" i="31"/>
  <c r="I36" i="31"/>
  <c r="H33" i="31"/>
  <c r="I33" i="31"/>
  <c r="J36" i="31"/>
  <c r="J18" i="31"/>
  <c r="B18" i="31" s="1"/>
  <c r="J33" i="31"/>
  <c r="D28" i="31"/>
  <c r="I28" i="31"/>
  <c r="J28" i="31"/>
  <c r="B28" i="31" s="1"/>
  <c r="H28" i="31"/>
  <c r="G29" i="31"/>
  <c r="K29" i="31" s="1"/>
  <c r="I18" i="31"/>
  <c r="H18" i="31"/>
  <c r="I19" i="31"/>
  <c r="H19" i="31"/>
  <c r="J19" i="31"/>
  <c r="B40" i="31" l="1"/>
  <c r="B41" i="31"/>
  <c r="B33" i="31"/>
  <c r="B34" i="31"/>
  <c r="B19" i="31"/>
  <c r="B20" i="31"/>
  <c r="B36" i="31"/>
  <c r="B37" i="31"/>
  <c r="G30" i="31"/>
  <c r="K30" i="31" s="1"/>
  <c r="D29" i="31"/>
  <c r="H29" i="31"/>
  <c r="I29" i="31"/>
  <c r="J29" i="31"/>
  <c r="B29" i="31" s="1"/>
  <c r="D30" i="31" l="1"/>
  <c r="H202" i="31" s="1"/>
  <c r="H220" i="31" s="1"/>
  <c r="H30" i="31"/>
  <c r="H177" i="31" s="1"/>
  <c r="H183" i="31" s="1"/>
  <c r="J30" i="31"/>
  <c r="I30" i="31"/>
  <c r="I177" i="31" s="1"/>
  <c r="I183" i="31" s="1"/>
  <c r="B30" i="31" l="1"/>
  <c r="B31" i="31"/>
  <c r="J201" i="31"/>
  <c r="B201" i="31" s="1"/>
  <c r="J202" i="31"/>
  <c r="J212" i="31"/>
  <c r="H212" i="31"/>
  <c r="I216" i="31"/>
  <c r="I214" i="31"/>
  <c r="J215" i="31"/>
  <c r="B215" i="31" s="1"/>
  <c r="I201" i="31"/>
  <c r="I202" i="31"/>
  <c r="I220" i="31" s="1"/>
  <c r="I219" i="31"/>
  <c r="I215" i="31"/>
  <c r="J214" i="31"/>
  <c r="B214" i="31" s="1"/>
  <c r="H214" i="31"/>
  <c r="J217" i="31"/>
  <c r="B217" i="31" s="1"/>
  <c r="J216" i="31"/>
  <c r="B216" i="31" s="1"/>
  <c r="J213" i="31"/>
  <c r="B213" i="31" s="1"/>
  <c r="H217" i="31"/>
  <c r="H219" i="31"/>
  <c r="H201" i="31"/>
  <c r="H209" i="31" s="1"/>
  <c r="B209" i="31" s="1"/>
  <c r="J219" i="31"/>
  <c r="H215" i="31"/>
  <c r="H213" i="31"/>
  <c r="I213" i="31"/>
  <c r="H216" i="31"/>
  <c r="I212" i="31"/>
  <c r="I217" i="31"/>
  <c r="J369" i="31"/>
  <c r="J177" i="31"/>
  <c r="I209" i="31" l="1"/>
  <c r="J183" i="31"/>
  <c r="B177" i="31"/>
  <c r="H218" i="31"/>
  <c r="H221" i="31" s="1"/>
  <c r="B369" i="31"/>
  <c r="J372" i="31"/>
  <c r="J384" i="31" s="1"/>
  <c r="J218" i="31"/>
  <c r="B202" i="31"/>
  <c r="J220" i="31"/>
  <c r="I218" i="31"/>
  <c r="I221" i="31" l="1"/>
  <c r="B183" i="31"/>
  <c r="J209" i="31"/>
  <c r="J221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B6" authorId="0" shapeId="0" xr:uid="{00000000-0006-0000-0000-000001000000}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 shapeId="0" xr:uid="{00000000-0006-0000-0000-000002000000}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 shapeId="0" xr:uid="{00000000-0006-0000-0000-000003000000}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 shapeId="0" xr:uid="{00000000-0006-0000-0000-000004000000}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 shapeId="0" xr:uid="{00000000-0006-0000-0000-000005000000}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 shapeId="0" xr:uid="{00000000-0006-0000-0000-000006000000}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B6" authorId="0" shapeId="0" xr:uid="{00000000-0006-0000-0100-000001000000}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 shapeId="0" xr:uid="{00000000-0006-0000-0100-000002000000}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 shapeId="0" xr:uid="{00000000-0006-0000-0100-000003000000}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 shapeId="0" xr:uid="{00000000-0006-0000-0100-000004000000}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 shapeId="0" xr:uid="{00000000-0006-0000-0100-000005000000}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 shapeId="0" xr:uid="{00000000-0006-0000-0100-000006000000}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J4" authorId="0" shapeId="0" xr:uid="{00000000-0006-0000-0200-000001000000}">
      <text>
        <r>
          <rPr>
            <b/>
            <sz val="12"/>
            <color indexed="30"/>
            <rFont val="ＭＳ Ｐゴシック"/>
            <family val="3"/>
            <charset val="128"/>
          </rPr>
          <t>毎月シート作成時に入力必須</t>
        </r>
      </text>
    </comment>
    <comment ref="E9" authorId="0" shapeId="0" xr:uid="{00000000-0006-0000-0200-000002000000}">
      <text>
        <r>
          <rPr>
            <sz val="11"/>
            <color indexed="81"/>
            <rFont val="ＭＳ Ｐゴシック"/>
            <family val="3"/>
            <charset val="128"/>
          </rPr>
          <t>Ｅ列：通貨種別CD【ＡＥ】,取引先ＣＤ【Ｒ】【Ｔ】に請求書№【Ｈ】下４桁番号のみを合体し、請求額集計表の元データ《Ｓｈｅｅｔ１》のソート用キーデータとする
リンク先：《Ｓｈｅｅｔ１》：Ｃ列</t>
        </r>
      </text>
    </comment>
    <comment ref="F9" authorId="0" shapeId="0" xr:uid="{00000000-0006-0000-0200-000003000000}">
      <text>
        <r>
          <rPr>
            <sz val="11"/>
            <color indexed="81"/>
            <rFont val="ＭＳ Ｐゴシック"/>
            <family val="3"/>
            <charset val="128"/>
          </rPr>
          <t>F列：通貨種別CD【ＡＥ】,取引先ＣＤ【Ｒ】【Ｔ】に出荷区分【Ｙ】,請求区分【ＡＣ】を合体し、請求額集計表の元データ《Ｓｈｅｅｔ１》のソート用キーデータとする
リンク先：《Ｓｈｅｅｔ１》：H列</t>
        </r>
      </text>
    </comment>
    <comment ref="G9" authorId="0" shapeId="0" xr:uid="{00000000-0006-0000-0200-000004000000}">
      <text>
        <r>
          <rPr>
            <sz val="11"/>
            <color indexed="81"/>
            <rFont val="ＭＳ Ｐゴシック"/>
            <family val="3"/>
            <charset val="128"/>
          </rPr>
          <t>G列：通貨種別CD【ＡＥ】,取引先ＣＤ【Ｒ】【Ｔ】に,請求区分【ＡＣ】を合体し、請求額集計表の元データ《Ｓｈｅｅｔ１》のソート用キーデータとする
リンク先：《集合原》：Ｊ列</t>
        </r>
      </text>
    </comment>
    <comment ref="AD9" authorId="0" shapeId="0" xr:uid="{00000000-0006-0000-0200-000005000000}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リンク先：《細16E&amp;細F15》：Ｄ列＆《本シート》：ＡＰ列</t>
        </r>
      </text>
    </comment>
    <comment ref="AE9" authorId="0" shapeId="0" xr:uid="{00000000-0006-0000-0200-000006000000}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リンク先：《細16E&amp;細F15》：Ｃ列、Ｒ列＆《本シート》：ＡＱ列</t>
        </r>
      </text>
    </comment>
    <comment ref="AI9" authorId="0" shapeId="0" xr:uid="{00000000-0006-0000-0200-000007000000}">
      <text>
        <r>
          <rPr>
            <sz val="11"/>
            <color indexed="81"/>
            <rFont val="ＭＳ Ｐゴシック"/>
            <family val="3"/>
            <charset val="128"/>
          </rPr>
          <t>リンク先：
《細16E&amp;細F15》：Ｈ列、Ｒ列</t>
        </r>
      </text>
    </comment>
    <comment ref="AN9" authorId="0" shapeId="0" xr:uid="{00000000-0006-0000-0200-000008000000}">
      <text>
        <r>
          <rPr>
            <sz val="11"/>
            <color indexed="81"/>
            <rFont val="ＭＳ Ｐゴシック"/>
            <family val="3"/>
            <charset val="128"/>
          </rPr>
          <t>ＡＰ列リンク先：《本シート》：ＡＦ列</t>
        </r>
      </text>
    </comment>
    <comment ref="AO9" authorId="0" shapeId="0" xr:uid="{00000000-0006-0000-0200-000009000000}">
      <text>
        <r>
          <rPr>
            <sz val="11"/>
            <color indexed="81"/>
            <rFont val="ＭＳ Ｐゴシック"/>
            <family val="3"/>
            <charset val="128"/>
          </rPr>
          <t>ＡＱ列リンク先：《本シート》：ＡＧ列</t>
        </r>
      </text>
    </comment>
    <comment ref="AP9" authorId="0" shapeId="0" xr:uid="{00000000-0006-0000-0200-00000A000000}">
      <text>
        <r>
          <rPr>
            <sz val="11"/>
            <color indexed="81"/>
            <rFont val="ＭＳ Ｐゴシック"/>
            <family val="3"/>
            <charset val="128"/>
          </rPr>
          <t>ＡＲ列リンク先：《Sheet1》：Ｌ列税抜き額</t>
        </r>
      </text>
    </comment>
    <comment ref="A10" authorId="0" shapeId="0" xr:uid="{00000000-0006-0000-0200-00000B000000}">
      <text>
        <r>
          <rPr>
            <b/>
            <sz val="12"/>
            <color indexed="30"/>
            <rFont val="ＭＳ Ｐゴシック"/>
            <family val="3"/>
            <charset val="128"/>
          </rPr>
          <t>１０行目と１１行目の間に移動＆この行にフィルタ設定変更</t>
        </r>
      </text>
    </comment>
    <comment ref="X11" authorId="0" shapeId="0" xr:uid="{00000000-0006-0000-0200-00000C000000}">
      <text>
        <r>
          <rPr>
            <b/>
            <sz val="12"/>
            <color indexed="30"/>
            <rFont val="ＭＳ Ｐゴシック"/>
            <family val="3"/>
            <charset val="128"/>
          </rPr>
          <t>『X：区分』プルダウン選択に変更？＆『W：』は『X：出荷区分　内容』列からの［ＩＮＤＥＸ］関数（『R：』列に同じ）</t>
        </r>
      </text>
    </comment>
    <comment ref="A12" authorId="0" shapeId="0" xr:uid="{00000000-0006-0000-0200-00000D000000}">
      <text>
        <r>
          <rPr>
            <sz val="11"/>
            <color indexed="81"/>
            <rFont val="ＭＳ Ｐゴシック"/>
            <family val="3"/>
            <charset val="128"/>
          </rPr>
          <t>いる？
リンク先は？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shimizu</author>
  </authors>
  <commentList>
    <comment ref="K42" authorId="0" shapeId="0" xr:uid="{00000000-0006-0000-0300-000001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伝票番号1</t>
        </r>
      </text>
    </comment>
    <comment ref="L42" authorId="0" shapeId="0" xr:uid="{00000000-0006-0000-03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42" authorId="0" shapeId="0" xr:uid="{00000000-0006-0000-0300-000003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伝票番号3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G8" authorId="0" shapeId="0" xr:uid="{00000000-0006-0000-0600-000001000000}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【商品】リンク先：《細F15》：Ｄ列　【経費】リンク先：《細F15》：Ｂ列 ⇒ Ｌ列Ｏ列Ｕ列ともに同じ</t>
        </r>
      </text>
    </comment>
    <comment ref="H8" authorId="0" shapeId="0" xr:uid="{00000000-0006-0000-0600-000002000000}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【商品】リンク先：《細F15》：Ｃ列、Ｒ列
【経費】リンク先：《細F15》：Ｂ列、Ｒ列 ⇒ Ｐ列も同じ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C5" authorId="0" shapeId="0" xr:uid="{00000000-0006-0000-0700-000001000000}">
      <text>
        <r>
          <rPr>
            <sz val="10"/>
            <color indexed="81"/>
            <rFont val="ＭＳ Ｐゴシック"/>
            <family val="3"/>
            <charset val="128"/>
          </rPr>
          <t>『C：無効フラグ』【集計表】シート非表示対象は『1』設定</t>
        </r>
      </text>
    </comment>
    <comment ref="F124" authorId="0" shapeId="0" xr:uid="{00000000-0006-0000-0700-000002000000}">
      <text>
        <r>
          <rPr>
            <b/>
            <sz val="12"/>
            <color indexed="30"/>
            <rFont val="ＭＳ Ｐゴシック"/>
            <family val="3"/>
            <charset val="128"/>
          </rPr>
          <t>行追加必要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G3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Ｃ列リンク先：
《請求Data》：Ｅ列</t>
        </r>
      </text>
    </comment>
    <comment ref="H3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Ｄ列リンク先：
《請求Data》：Ｕ列客先&amp;事業部ＣＤ</t>
        </r>
      </text>
    </comment>
    <comment ref="I3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Ｅ列リンク先：
《請求Data》：Ｈ列請求書№</t>
        </r>
      </text>
    </comment>
    <comment ref="W3" authorId="0" shapeId="0" xr:uid="{00000000-0006-0000-08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ver.8.1で1列挿入</t>
        </r>
      </text>
    </comment>
    <comment ref="J4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Ｆ列リンク先：
《請求Data》：ＡＡ列消費税区分</t>
        </r>
      </text>
    </comment>
    <comment ref="K4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>Ｇ列リンク先：
《請求Data》：ＡＢ列消費税端数</t>
        </r>
      </text>
    </comment>
    <comment ref="L4" authorId="0" shapeId="0" xr:uid="{00000000-0006-0000-0800-000007000000}">
      <text>
        <r>
          <rPr>
            <sz val="9"/>
            <color indexed="81"/>
            <rFont val="ＭＳ Ｐゴシック"/>
            <family val="3"/>
            <charset val="128"/>
          </rPr>
          <t>Ｈ列リンク先：
《請求Data》：ＡR列請求金額</t>
        </r>
      </text>
    </comment>
    <comment ref="X5" authorId="0" shapeId="0" xr:uid="{00000000-0006-0000-08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ver.8.1で『X:8％消費税』＆『Y:10％消費税』を訂正済</t>
        </r>
        <r>
          <rPr>
            <sz val="11"/>
            <color indexed="81"/>
            <rFont val="ＭＳ Ｐゴシック"/>
            <family val="3"/>
            <charset val="128"/>
          </rPr>
          <t xml:space="preserve">
１：消費税率を固定値から準変数値に変更
　　現行⇒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*0.08</t>
        </r>
        <r>
          <rPr>
            <sz val="11"/>
            <color indexed="81"/>
            <rFont val="ＭＳ Ｐゴシック"/>
            <family val="3"/>
            <charset val="128"/>
          </rPr>
          <t>,0),　④　)
　　改訂⇒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*$W$2</t>
        </r>
        <r>
          <rPr>
            <sz val="11"/>
            <color indexed="81"/>
            <rFont val="ＭＳ Ｐゴシック"/>
            <family val="3"/>
            <charset val="128"/>
          </rPr>
          <t>,0),　④　)
２：通貨種別ごとの計算結果少数位（円未満処理か小数点3位処理か）
　　複数通貨計算結果対応によるver.8.1でW列（通貨種別）追加により計算式変更
　　　　理由：国内取引『＄＆HK$』での時、消費税課税で小数点2位まで計算が必要なときが有る</t>
        </r>
      </text>
    </comment>
    <comment ref="A7" authorId="0" shapeId="0" xr:uid="{00000000-0006-0000-0800-000009000000}">
      <text>
        <r>
          <rPr>
            <b/>
            <sz val="12"/>
            <color indexed="10"/>
            <rFont val="ＭＳ Ｐゴシック"/>
            <family val="3"/>
            <charset val="128"/>
          </rPr>
          <t xml:space="preserve">『A：』『B：』列入替
</t>
        </r>
        <r>
          <rPr>
            <b/>
            <sz val="12"/>
            <color indexed="30"/>
            <rFont val="ＭＳ Ｐゴシック"/>
            <family val="3"/>
            <charset val="128"/>
          </rPr>
          <t>『A：』はデータ抽出用フィルターのため入替中止</t>
        </r>
      </text>
    </comment>
  </commentList>
</comments>
</file>

<file path=xl/sharedStrings.xml><?xml version="1.0" encoding="utf-8"?>
<sst xmlns="http://schemas.openxmlformats.org/spreadsheetml/2006/main" count="1397" uniqueCount="703">
  <si>
    <t>数量</t>
    <rPh sb="0" eb="2">
      <t>スウリョウ</t>
    </rPh>
    <phoneticPr fontId="3"/>
  </si>
  <si>
    <t>単価</t>
    <rPh sb="0" eb="2">
      <t>タンカ</t>
    </rPh>
    <phoneticPr fontId="3"/>
  </si>
  <si>
    <t>金額</t>
    <rPh sb="0" eb="2">
      <t>キンガク</t>
    </rPh>
    <phoneticPr fontId="3"/>
  </si>
  <si>
    <t>枚数</t>
    <rPh sb="0" eb="2">
      <t>マイスウ</t>
    </rPh>
    <phoneticPr fontId="3"/>
  </si>
  <si>
    <t>商品</t>
    <rPh sb="0" eb="2">
      <t>ショウヒン</t>
    </rPh>
    <phoneticPr fontId="3"/>
  </si>
  <si>
    <t>経費</t>
    <rPh sb="0" eb="2">
      <t>ケイヒ</t>
    </rPh>
    <phoneticPr fontId="3"/>
  </si>
  <si>
    <t>ｽﾎﾟｯﾄ請求ＴＯＴＡＬ</t>
    <rPh sb="5" eb="7">
      <t>セイキュウ</t>
    </rPh>
    <phoneticPr fontId="3"/>
  </si>
  <si>
    <t>スポット請求</t>
    <rPh sb="4" eb="6">
      <t>セイキュウ</t>
    </rPh>
    <phoneticPr fontId="3"/>
  </si>
  <si>
    <t>日付</t>
    <rPh sb="0" eb="2">
      <t>ヒヅケ</t>
    </rPh>
    <phoneticPr fontId="3"/>
  </si>
  <si>
    <t>請求書№</t>
    <rPh sb="0" eb="3">
      <t>セイキュウショ</t>
    </rPh>
    <phoneticPr fontId="3"/>
  </si>
  <si>
    <t>１６日～１５日（２０日）</t>
    <rPh sb="2" eb="3">
      <t>ニチ</t>
    </rPh>
    <rPh sb="6" eb="7">
      <t>ニチ</t>
    </rPh>
    <rPh sb="10" eb="11">
      <t>ニチ</t>
    </rPh>
    <phoneticPr fontId="3"/>
  </si>
  <si>
    <t>株式会社 バンダイ</t>
    <rPh sb="0" eb="4">
      <t>カブシキガイシャ</t>
    </rPh>
    <phoneticPr fontId="3"/>
  </si>
  <si>
    <t>株式会社 バンプレスト</t>
    <rPh sb="0" eb="4">
      <t>カブシキガイシャ</t>
    </rPh>
    <phoneticPr fontId="3"/>
  </si>
  <si>
    <t>TEL　03-3845-5990　ＦＡＸ　03-3845-1132</t>
    <phoneticPr fontId="7"/>
  </si>
  <si>
    <t>差引合計額</t>
    <rPh sb="0" eb="2">
      <t>サシヒ</t>
    </rPh>
    <rPh sb="2" eb="4">
      <t>ゴウケイ</t>
    </rPh>
    <rPh sb="4" eb="5">
      <t>ガク</t>
    </rPh>
    <phoneticPr fontId="7"/>
  </si>
  <si>
    <t>御請求金額</t>
    <rPh sb="0" eb="3">
      <t>ゴセイキュウ</t>
    </rPh>
    <rPh sb="3" eb="4">
      <t>キン</t>
    </rPh>
    <rPh sb="4" eb="5">
      <t>ガク</t>
    </rPh>
    <phoneticPr fontId="7"/>
  </si>
  <si>
    <t>内　　　　　　　　　　　　　　　訳</t>
    <rPh sb="0" eb="17">
      <t>ウチワケ</t>
    </rPh>
    <phoneticPr fontId="7"/>
  </si>
  <si>
    <t>株 式 会 社　　ク ワ ガ タ</t>
    <phoneticPr fontId="7"/>
  </si>
  <si>
    <t>　分</t>
    <rPh sb="1" eb="2">
      <t>ブン</t>
    </rPh>
    <phoneticPr fontId="7"/>
  </si>
  <si>
    <t>自</t>
    <rPh sb="0" eb="1">
      <t>ジ</t>
    </rPh>
    <phoneticPr fontId="7"/>
  </si>
  <si>
    <t>至</t>
    <rPh sb="0" eb="1">
      <t>イタル</t>
    </rPh>
    <phoneticPr fontId="7"/>
  </si>
  <si>
    <t>伝票№</t>
    <rPh sb="0" eb="2">
      <t>デンピョウ</t>
    </rPh>
    <phoneticPr fontId="3"/>
  </si>
  <si>
    <t>取引先マスタ</t>
    <rPh sb="0" eb="2">
      <t>トリヒキ</t>
    </rPh>
    <rPh sb="2" eb="3">
      <t>サキ</t>
    </rPh>
    <phoneticPr fontId="3"/>
  </si>
  <si>
    <t>内容</t>
    <rPh sb="0" eb="2">
      <t>ナイヨウ</t>
    </rPh>
    <phoneticPr fontId="3"/>
  </si>
  <si>
    <t>本荷</t>
    <rPh sb="0" eb="1">
      <t>ホン</t>
    </rPh>
    <rPh sb="1" eb="2">
      <t>ニ</t>
    </rPh>
    <phoneticPr fontId="3"/>
  </si>
  <si>
    <t>運賃</t>
    <rPh sb="0" eb="2">
      <t>ウンチン</t>
    </rPh>
    <phoneticPr fontId="3"/>
  </si>
  <si>
    <t>その他</t>
    <rPh sb="2" eb="3">
      <t>タ</t>
    </rPh>
    <phoneticPr fontId="3"/>
  </si>
  <si>
    <r>
      <t>0</t>
    </r>
    <r>
      <rPr>
        <sz val="11"/>
        <rFont val="ＭＳ Ｐゴシック"/>
        <family val="3"/>
        <charset val="128"/>
      </rPr>
      <t>1</t>
    </r>
    <phoneticPr fontId="3"/>
  </si>
  <si>
    <r>
      <t>02</t>
    </r>
    <r>
      <rPr>
        <sz val="11"/>
        <rFont val="ＭＳ Ｐゴシック"/>
        <family val="3"/>
        <charset val="128"/>
      </rPr>
      <t/>
    </r>
  </si>
  <si>
    <r>
      <t>03</t>
    </r>
    <r>
      <rPr>
        <sz val="11"/>
        <rFont val="ＭＳ Ｐゴシック"/>
        <family val="3"/>
        <charset val="128"/>
      </rPr>
      <t/>
    </r>
  </si>
  <si>
    <r>
      <t>04</t>
    </r>
    <r>
      <rPr>
        <sz val="11"/>
        <rFont val="ＭＳ Ｐゴシック"/>
        <family val="3"/>
        <charset val="128"/>
      </rPr>
      <t/>
    </r>
  </si>
  <si>
    <r>
      <t>05</t>
    </r>
    <r>
      <rPr>
        <sz val="11"/>
        <rFont val="ＭＳ Ｐゴシック"/>
        <family val="3"/>
        <charset val="128"/>
      </rPr>
      <t/>
    </r>
  </si>
  <si>
    <r>
      <t>06</t>
    </r>
    <r>
      <rPr>
        <sz val="11"/>
        <rFont val="ＭＳ Ｐゴシック"/>
        <family val="3"/>
        <charset val="128"/>
      </rPr>
      <t/>
    </r>
  </si>
  <si>
    <r>
      <t>07</t>
    </r>
    <r>
      <rPr>
        <sz val="11"/>
        <rFont val="ＭＳ Ｐゴシック"/>
        <family val="3"/>
        <charset val="128"/>
      </rPr>
      <t/>
    </r>
  </si>
  <si>
    <r>
      <t>08</t>
    </r>
    <r>
      <rPr>
        <sz val="11"/>
        <rFont val="ＭＳ Ｐゴシック"/>
        <family val="3"/>
        <charset val="128"/>
      </rPr>
      <t/>
    </r>
  </si>
  <si>
    <r>
      <t>09</t>
    </r>
    <r>
      <rPr>
        <sz val="11"/>
        <rFont val="ＭＳ Ｐゴシック"/>
        <family val="3"/>
        <charset val="128"/>
      </rPr>
      <t/>
    </r>
  </si>
  <si>
    <r>
      <t>10</t>
    </r>
    <r>
      <rPr>
        <sz val="11"/>
        <rFont val="ＭＳ Ｐゴシック"/>
        <family val="3"/>
        <charset val="128"/>
      </rPr>
      <t/>
    </r>
  </si>
  <si>
    <r>
      <t>11</t>
    </r>
    <r>
      <rPr>
        <sz val="11"/>
        <rFont val="ＭＳ Ｐゴシック"/>
        <family val="3"/>
        <charset val="128"/>
      </rPr>
      <t/>
    </r>
  </si>
  <si>
    <r>
      <t>12</t>
    </r>
    <r>
      <rPr>
        <sz val="11"/>
        <rFont val="ＭＳ Ｐゴシック"/>
        <family val="3"/>
        <charset val="128"/>
      </rPr>
      <t/>
    </r>
  </si>
  <si>
    <t>マーケティング事業部</t>
    <phoneticPr fontId="3"/>
  </si>
  <si>
    <t>一括請求</t>
    <rPh sb="0" eb="2">
      <t>イッカツ</t>
    </rPh>
    <rPh sb="2" eb="4">
      <t>セイキュウ</t>
    </rPh>
    <phoneticPr fontId="3"/>
  </si>
  <si>
    <t>請求済区分</t>
    <rPh sb="0" eb="2">
      <t>セイキュウ</t>
    </rPh>
    <rPh sb="2" eb="3">
      <t>ズ</t>
    </rPh>
    <rPh sb="3" eb="5">
      <t>クブン</t>
    </rPh>
    <phoneticPr fontId="3"/>
  </si>
  <si>
    <t>伝票ｶｳﾝﾄ区分</t>
    <rPh sb="0" eb="2">
      <t>デンピョウ</t>
    </rPh>
    <rPh sb="6" eb="8">
      <t>クブン</t>
    </rPh>
    <phoneticPr fontId="3"/>
  </si>
  <si>
    <t>出荷区分</t>
  </si>
  <si>
    <t>請求日</t>
  </si>
  <si>
    <t>客先名</t>
  </si>
  <si>
    <t>客先</t>
    <rPh sb="0" eb="1">
      <t>キャク</t>
    </rPh>
    <rPh sb="1" eb="2">
      <t>サキ</t>
    </rPh>
    <phoneticPr fontId="3"/>
  </si>
  <si>
    <t>合計請求入力</t>
    <phoneticPr fontId="3"/>
  </si>
  <si>
    <t>分割請求入力</t>
    <rPh sb="0" eb="2">
      <t>ブンカツ</t>
    </rPh>
    <phoneticPr fontId="3"/>
  </si>
  <si>
    <t>個別請求入力</t>
    <rPh sb="0" eb="2">
      <t>コベツ</t>
    </rPh>
    <phoneticPr fontId="3"/>
  </si>
  <si>
    <t>請求金額</t>
    <rPh sb="0" eb="2">
      <t>セイキュウ</t>
    </rPh>
    <rPh sb="2" eb="4">
      <t>キンガク</t>
    </rPh>
    <phoneticPr fontId="3"/>
  </si>
  <si>
    <t>共通項目</t>
    <rPh sb="0" eb="2">
      <t>キョウツウ</t>
    </rPh>
    <rPh sb="2" eb="4">
      <t>コウモク</t>
    </rPh>
    <phoneticPr fontId="3"/>
  </si>
  <si>
    <t>ｺｰﾄﾞ</t>
    <phoneticPr fontId="3"/>
  </si>
  <si>
    <r>
      <t>1</t>
    </r>
    <r>
      <rPr>
        <sz val="11"/>
        <rFont val="ＭＳ Ｐゴシック"/>
        <family val="3"/>
        <charset val="128"/>
      </rPr>
      <t>00</t>
    </r>
    <phoneticPr fontId="3"/>
  </si>
  <si>
    <t>1</t>
    <phoneticPr fontId="3"/>
  </si>
  <si>
    <t>2</t>
    <phoneticPr fontId="3"/>
  </si>
  <si>
    <t>3</t>
    <phoneticPr fontId="3"/>
  </si>
  <si>
    <t>4</t>
    <phoneticPr fontId="3"/>
  </si>
  <si>
    <t>5</t>
    <phoneticPr fontId="3"/>
  </si>
  <si>
    <t>6</t>
    <phoneticPr fontId="3"/>
  </si>
  <si>
    <t>7</t>
    <phoneticPr fontId="3"/>
  </si>
  <si>
    <t>8</t>
    <phoneticPr fontId="3"/>
  </si>
  <si>
    <t>9</t>
    <phoneticPr fontId="3"/>
  </si>
  <si>
    <t>請求区分</t>
  </si>
  <si>
    <t>合計請求</t>
    <rPh sb="0" eb="2">
      <t>ゴウケイ</t>
    </rPh>
    <rPh sb="2" eb="4">
      <t>セイキュウ</t>
    </rPh>
    <phoneticPr fontId="3"/>
  </si>
  <si>
    <t>分割請求</t>
    <rPh sb="0" eb="2">
      <t>ブンカツ</t>
    </rPh>
    <rPh sb="2" eb="4">
      <t>セイキュウ</t>
    </rPh>
    <phoneticPr fontId="3"/>
  </si>
  <si>
    <t>個別請求</t>
    <rPh sb="0" eb="2">
      <t>コベツ</t>
    </rPh>
    <rPh sb="2" eb="4">
      <t>セイキュウ</t>
    </rPh>
    <phoneticPr fontId="3"/>
  </si>
  <si>
    <t>自動</t>
    <rPh sb="0" eb="2">
      <t>ジドウ</t>
    </rPh>
    <phoneticPr fontId="3"/>
  </si>
  <si>
    <t>指定</t>
    <rPh sb="0" eb="2">
      <t>シテイ</t>
    </rPh>
    <phoneticPr fontId="3"/>
  </si>
  <si>
    <t>開始</t>
    <rPh sb="0" eb="2">
      <t>カイシビ</t>
    </rPh>
    <phoneticPr fontId="3"/>
  </si>
  <si>
    <t>終了</t>
    <rPh sb="0" eb="2">
      <t>シュウリョウビ</t>
    </rPh>
    <phoneticPr fontId="3"/>
  </si>
  <si>
    <t>担当</t>
    <rPh sb="0" eb="2">
      <t>タントウ</t>
    </rPh>
    <phoneticPr fontId="7"/>
  </si>
  <si>
    <t>№</t>
    <phoneticPr fontId="7"/>
  </si>
  <si>
    <r>
      <t>0</t>
    </r>
    <r>
      <rPr>
        <sz val="11"/>
        <rFont val="ＭＳ Ｐゴシック"/>
        <family val="3"/>
        <charset val="128"/>
      </rPr>
      <t>3</t>
    </r>
    <phoneticPr fontId="3"/>
  </si>
  <si>
    <r>
      <t>0</t>
    </r>
    <r>
      <rPr>
        <sz val="11"/>
        <rFont val="ＭＳ Ｐゴシック"/>
        <family val="3"/>
        <charset val="128"/>
      </rPr>
      <t>2</t>
    </r>
    <phoneticPr fontId="3"/>
  </si>
  <si>
    <t>月</t>
    <rPh sb="0" eb="1">
      <t>ツキ</t>
    </rPh>
    <phoneticPr fontId="3"/>
  </si>
  <si>
    <t>日</t>
    <rPh sb="0" eb="1">
      <t>ヒ</t>
    </rPh>
    <phoneticPr fontId="3"/>
  </si>
  <si>
    <t>請求期間
指定</t>
    <phoneticPr fontId="3"/>
  </si>
  <si>
    <t>当月請求額</t>
    <phoneticPr fontId="7"/>
  </si>
  <si>
    <t>前月繰越
（税込み）</t>
    <rPh sb="0" eb="2">
      <t>ゼンゲツ</t>
    </rPh>
    <rPh sb="2" eb="4">
      <t>クリコシ</t>
    </rPh>
    <rPh sb="6" eb="8">
      <t>ゼイコ</t>
    </rPh>
    <phoneticPr fontId="3"/>
  </si>
  <si>
    <t>15</t>
    <phoneticPr fontId="3"/>
  </si>
  <si>
    <t>E</t>
    <phoneticPr fontId="3"/>
  </si>
  <si>
    <t>入力必須項目</t>
    <rPh sb="0" eb="2">
      <t>ニュウリョク</t>
    </rPh>
    <rPh sb="2" eb="4">
      <t>ヒッス</t>
    </rPh>
    <rPh sb="4" eb="6">
      <t>コウモク</t>
    </rPh>
    <phoneticPr fontId="3"/>
  </si>
  <si>
    <t>指定ありの時入力項目</t>
    <rPh sb="0" eb="2">
      <t>シテイ</t>
    </rPh>
    <rPh sb="5" eb="6">
      <t>トキ</t>
    </rPh>
    <rPh sb="6" eb="8">
      <t>ニュウリョク</t>
    </rPh>
    <rPh sb="8" eb="10">
      <t>コウモク</t>
    </rPh>
    <phoneticPr fontId="3"/>
  </si>
  <si>
    <t>ＥＲＲエラー確認欄</t>
    <rPh sb="6" eb="8">
      <t>カクニン</t>
    </rPh>
    <rPh sb="8" eb="9">
      <t>ラン</t>
    </rPh>
    <phoneticPr fontId="3"/>
  </si>
  <si>
    <t>前月請求残額（税込み）</t>
    <rPh sb="4" eb="5">
      <t>ザン</t>
    </rPh>
    <rPh sb="7" eb="9">
      <t>ゼイコ</t>
    </rPh>
    <phoneticPr fontId="7"/>
  </si>
  <si>
    <t>ｾｯﾄｻﾝﾌﾟﾙ</t>
    <phoneticPr fontId="3"/>
  </si>
  <si>
    <t>１６日～末日</t>
    <rPh sb="2" eb="3">
      <t>ニチ</t>
    </rPh>
    <rPh sb="4" eb="5">
      <t>マツ</t>
    </rPh>
    <rPh sb="5" eb="6">
      <t>ニチ</t>
    </rPh>
    <phoneticPr fontId="3"/>
  </si>
  <si>
    <t>１日～１５日（２０日）</t>
    <rPh sb="1" eb="2">
      <t>ニチ</t>
    </rPh>
    <rPh sb="5" eb="6">
      <t>ニチ</t>
    </rPh>
    <rPh sb="9" eb="10">
      <t>ニチ</t>
    </rPh>
    <phoneticPr fontId="3"/>
  </si>
  <si>
    <t>部</t>
    <rPh sb="0" eb="1">
      <t>ブ</t>
    </rPh>
    <phoneticPr fontId="3"/>
  </si>
  <si>
    <r>
      <t>0</t>
    </r>
    <r>
      <rPr>
        <sz val="11"/>
        <rFont val="ＭＳ Ｐゴシック"/>
        <family val="3"/>
        <charset val="128"/>
      </rPr>
      <t>4</t>
    </r>
    <phoneticPr fontId="3"/>
  </si>
  <si>
    <t>グローバル推進室</t>
    <rPh sb="5" eb="8">
      <t>スイシンシツ</t>
    </rPh>
    <phoneticPr fontId="3"/>
  </si>
  <si>
    <t>合計請求ＴＯＴＡＬ</t>
    <rPh sb="0" eb="2">
      <t>ゴウケイ</t>
    </rPh>
    <rPh sb="2" eb="4">
      <t>セイキュウ</t>
    </rPh>
    <phoneticPr fontId="3"/>
  </si>
  <si>
    <t>分割請求ＴＯＴＡＬ</t>
    <rPh sb="0" eb="2">
      <t>ブンカツ</t>
    </rPh>
    <rPh sb="2" eb="4">
      <t>セイキュウ</t>
    </rPh>
    <phoneticPr fontId="3"/>
  </si>
  <si>
    <t>05</t>
    <phoneticPr fontId="3"/>
  </si>
  <si>
    <t>試作</t>
    <rPh sb="0" eb="2">
      <t>シサク</t>
    </rPh>
    <phoneticPr fontId="3"/>
  </si>
  <si>
    <t>B</t>
    <phoneticPr fontId="3"/>
  </si>
  <si>
    <t>D</t>
    <phoneticPr fontId="3"/>
  </si>
  <si>
    <t>F</t>
    <phoneticPr fontId="3"/>
  </si>
  <si>
    <t>コメント</t>
    <phoneticPr fontId="3"/>
  </si>
  <si>
    <t>06</t>
    <phoneticPr fontId="3"/>
  </si>
  <si>
    <t>07</t>
    <phoneticPr fontId="3"/>
  </si>
  <si>
    <t>営業統括ディビジョン</t>
    <phoneticPr fontId="3"/>
  </si>
  <si>
    <t>プライズディビジョン</t>
    <phoneticPr fontId="3"/>
  </si>
  <si>
    <t>株式会社エムアイシー</t>
    <rPh sb="0" eb="4">
      <t>カブシキガイシャ</t>
    </rPh>
    <phoneticPr fontId="3"/>
  </si>
  <si>
    <r>
      <t>上記の通りご請求申し上げます。
お振込の場合は下記口座へお願いします。
三菱東京ＵＦＪ銀行(</t>
    </r>
    <r>
      <rPr>
        <sz val="11"/>
        <rFont val="ＭＳ Ｐゴシック"/>
        <family val="3"/>
        <charset val="128"/>
      </rPr>
      <t>0005)</t>
    </r>
    <r>
      <rPr>
        <sz val="11"/>
        <rFont val="ＭＳ Ｐゴシック"/>
        <family val="3"/>
        <charset val="128"/>
      </rPr>
      <t>／浅草支店</t>
    </r>
    <r>
      <rPr>
        <sz val="11"/>
        <rFont val="ＭＳ Ｐゴシック"/>
        <family val="3"/>
        <charset val="128"/>
      </rPr>
      <t>(336)</t>
    </r>
    <r>
      <rPr>
        <sz val="11"/>
        <rFont val="ＭＳ Ｐゴシック"/>
        <family val="3"/>
        <charset val="128"/>
      </rPr>
      <t>　　当座／303672</t>
    </r>
    <rPh sb="0" eb="1">
      <t>ジョウ</t>
    </rPh>
    <rPh sb="36" eb="38">
      <t>ミツビシ</t>
    </rPh>
    <rPh sb="38" eb="40">
      <t>トウキョウ</t>
    </rPh>
    <phoneticPr fontId="7"/>
  </si>
  <si>
    <t>御　　請　　求　　書</t>
    <phoneticPr fontId="7"/>
  </si>
  <si>
    <t>バンダイビジュアル株式会社</t>
    <rPh sb="9" eb="13">
      <t>カブシキガイシャ</t>
    </rPh>
    <phoneticPr fontId="3"/>
  </si>
  <si>
    <t>新規事業プロジェクト</t>
    <rPh sb="0" eb="2">
      <t>シンキ</t>
    </rPh>
    <rPh sb="2" eb="4">
      <t>ジギョウ</t>
    </rPh>
    <phoneticPr fontId="3"/>
  </si>
  <si>
    <t>6</t>
  </si>
  <si>
    <t>7</t>
  </si>
  <si>
    <t>1</t>
  </si>
  <si>
    <t>事業部名（分類管理名）</t>
    <rPh sb="0" eb="2">
      <t>ジギョウ</t>
    </rPh>
    <rPh sb="2" eb="4">
      <t>ブメイ</t>
    </rPh>
    <phoneticPr fontId="3"/>
  </si>
  <si>
    <t>事業部名（請求書表示名）</t>
    <rPh sb="0" eb="2">
      <t>ジギョウ</t>
    </rPh>
    <rPh sb="2" eb="4">
      <t>ブメイ</t>
    </rPh>
    <phoneticPr fontId="3"/>
  </si>
  <si>
    <t>　新規事業プロジェクト</t>
    <rPh sb="1" eb="3">
      <t>シンキ</t>
    </rPh>
    <rPh sb="3" eb="5">
      <t>ジギョウ</t>
    </rPh>
    <phoneticPr fontId="3"/>
  </si>
  <si>
    <t>当月月末日</t>
    <rPh sb="0" eb="2">
      <t>トウゲツ</t>
    </rPh>
    <rPh sb="2" eb="4">
      <t>ゲツマツ</t>
    </rPh>
    <rPh sb="4" eb="5">
      <t>ビ</t>
    </rPh>
    <phoneticPr fontId="3"/>
  </si>
  <si>
    <t>グラパックジャパン株式会社</t>
    <rPh sb="9" eb="13">
      <t>カブシキガイシャ</t>
    </rPh>
    <phoneticPr fontId="3"/>
  </si>
  <si>
    <t>株式会社プレジャーキャスト</t>
    <rPh sb="0" eb="4">
      <t>カブシキガイシャ</t>
    </rPh>
    <phoneticPr fontId="3"/>
  </si>
  <si>
    <t>株式会社フジトーイ</t>
    <rPh sb="0" eb="4">
      <t>カブシキガイシャ</t>
    </rPh>
    <phoneticPr fontId="3"/>
  </si>
  <si>
    <t>コレクターズ事業部</t>
    <rPh sb="6" eb="8">
      <t>ジギョウ</t>
    </rPh>
    <rPh sb="8" eb="9">
      <t>ブ</t>
    </rPh>
    <phoneticPr fontId="3"/>
  </si>
  <si>
    <t>20</t>
    <phoneticPr fontId="3"/>
  </si>
  <si>
    <t>サミー株式会社</t>
    <rPh sb="3" eb="7">
      <t>カブシキガイシャ</t>
    </rPh>
    <phoneticPr fontId="3"/>
  </si>
  <si>
    <t>カードダス引当金</t>
    <rPh sb="5" eb="7">
      <t>ヒキアテ</t>
    </rPh>
    <rPh sb="7" eb="8">
      <t>キン</t>
    </rPh>
    <phoneticPr fontId="3"/>
  </si>
  <si>
    <t>A</t>
    <phoneticPr fontId="3"/>
  </si>
  <si>
    <t>G</t>
    <phoneticPr fontId="3"/>
  </si>
  <si>
    <t>H</t>
    <phoneticPr fontId="3"/>
  </si>
  <si>
    <t>本体価額</t>
    <rPh sb="0" eb="2">
      <t>ホンタイ</t>
    </rPh>
    <rPh sb="2" eb="4">
      <t>カガク</t>
    </rPh>
    <phoneticPr fontId="3"/>
  </si>
  <si>
    <t>消費税額</t>
    <rPh sb="0" eb="3">
      <t>ショウヒゼイ</t>
    </rPh>
    <rPh sb="3" eb="4">
      <t>ガク</t>
    </rPh>
    <phoneticPr fontId="3"/>
  </si>
  <si>
    <t>税込請求額</t>
    <rPh sb="0" eb="2">
      <t>ゼイコミ</t>
    </rPh>
    <rPh sb="2" eb="4">
      <t>セイキュウ</t>
    </rPh>
    <rPh sb="4" eb="5">
      <t>ガク</t>
    </rPh>
    <phoneticPr fontId="3"/>
  </si>
  <si>
    <t>合計</t>
    <rPh sb="0" eb="2">
      <t>ゴウケイ</t>
    </rPh>
    <phoneticPr fontId="3"/>
  </si>
  <si>
    <t>先月請求・入金済</t>
    <rPh sb="0" eb="2">
      <t>センゲツ</t>
    </rPh>
    <rPh sb="2" eb="4">
      <t>セイキュウ</t>
    </rPh>
    <rPh sb="5" eb="7">
      <t>ニュウキン</t>
    </rPh>
    <rPh sb="7" eb="8">
      <t>ズ</t>
    </rPh>
    <phoneticPr fontId="3"/>
  </si>
  <si>
    <t>当月未請求</t>
  </si>
  <si>
    <t>売上計上外請求分</t>
  </si>
  <si>
    <t>当月請求回収済み分</t>
    <rPh sb="0" eb="2">
      <t>トウゲツ</t>
    </rPh>
    <rPh sb="2" eb="4">
      <t>セイキュウ</t>
    </rPh>
    <rPh sb="4" eb="6">
      <t>カイシュウ</t>
    </rPh>
    <rPh sb="6" eb="7">
      <t>ズ</t>
    </rPh>
    <rPh sb="8" eb="9">
      <t>ブン</t>
    </rPh>
    <phoneticPr fontId="3"/>
  </si>
  <si>
    <t>当月売掛金回収予定</t>
    <rPh sb="0" eb="2">
      <t>トウゲツ</t>
    </rPh>
    <rPh sb="2" eb="4">
      <t>ウリカケ</t>
    </rPh>
    <rPh sb="4" eb="5">
      <t>キン</t>
    </rPh>
    <rPh sb="5" eb="7">
      <t>カイシュウ</t>
    </rPh>
    <rPh sb="7" eb="9">
      <t>ヨテイ</t>
    </rPh>
    <phoneticPr fontId="3"/>
  </si>
  <si>
    <t>A</t>
    <phoneticPr fontId="3"/>
  </si>
  <si>
    <t>B</t>
    <phoneticPr fontId="3"/>
  </si>
  <si>
    <t>C=A+B</t>
    <phoneticPr fontId="3"/>
  </si>
  <si>
    <t>消費税</t>
    <rPh sb="0" eb="3">
      <t>ショウヒゼイ</t>
    </rPh>
    <phoneticPr fontId="3"/>
  </si>
  <si>
    <t>税抜き額</t>
    <rPh sb="0" eb="1">
      <t>ゼイ</t>
    </rPh>
    <rPh sb="1" eb="2">
      <t>ヌ</t>
    </rPh>
    <rPh sb="3" eb="4">
      <t>ガク</t>
    </rPh>
    <phoneticPr fontId="3"/>
  </si>
  <si>
    <t>取引先
+部門</t>
    <rPh sb="0" eb="2">
      <t>トリヒキ</t>
    </rPh>
    <rPh sb="2" eb="3">
      <t>サキ</t>
    </rPh>
    <rPh sb="5" eb="7">
      <t>ブモン</t>
    </rPh>
    <phoneticPr fontId="3"/>
  </si>
  <si>
    <t>部門名</t>
    <rPh sb="0" eb="2">
      <t>ブモン</t>
    </rPh>
    <rPh sb="2" eb="3">
      <t>メイ</t>
    </rPh>
    <phoneticPr fontId="3"/>
  </si>
  <si>
    <t>客　　　　　先</t>
    <rPh sb="0" eb="1">
      <t>キャク</t>
    </rPh>
    <rPh sb="6" eb="7">
      <t>サキ</t>
    </rPh>
    <phoneticPr fontId="3"/>
  </si>
  <si>
    <t>ＦＵＪＩ　ＴＯＹ　Ｈ．Ｋ．</t>
    <phoneticPr fontId="3"/>
  </si>
  <si>
    <t>小計</t>
    <rPh sb="0" eb="2">
      <t>ショウケイ</t>
    </rPh>
    <phoneticPr fontId="3"/>
  </si>
  <si>
    <t>請求額調整</t>
    <rPh sb="0" eb="2">
      <t>セイキュウ</t>
    </rPh>
    <rPh sb="2" eb="3">
      <t>ガク</t>
    </rPh>
    <rPh sb="3" eb="5">
      <t>チョウセイ</t>
    </rPh>
    <phoneticPr fontId="3"/>
  </si>
  <si>
    <t>請求額合計</t>
    <rPh sb="2" eb="3">
      <t>ガク</t>
    </rPh>
    <rPh sb="3" eb="5">
      <t>ゴウケイ</t>
    </rPh>
    <phoneticPr fontId="3"/>
  </si>
  <si>
    <t>㈱ﾊﾞﾝｼﾞﾊﾝｴｰｽ商品代</t>
    <rPh sb="11" eb="14">
      <t>ショウヒンダイ</t>
    </rPh>
    <phoneticPr fontId="3"/>
  </si>
  <si>
    <t>来月以降回収予定分</t>
    <rPh sb="0" eb="2">
      <t>ライゲツ</t>
    </rPh>
    <rPh sb="2" eb="4">
      <t>イコウ</t>
    </rPh>
    <rPh sb="4" eb="6">
      <t>カイシュウ</t>
    </rPh>
    <rPh sb="6" eb="8">
      <t>ヨテイ</t>
    </rPh>
    <rPh sb="8" eb="9">
      <t>ブン</t>
    </rPh>
    <phoneticPr fontId="3"/>
  </si>
  <si>
    <t>前月以前請求未回収分</t>
    <rPh sb="0" eb="2">
      <t>ゼンゲツ</t>
    </rPh>
    <rPh sb="2" eb="4">
      <t>イゼン</t>
    </rPh>
    <rPh sb="4" eb="6">
      <t>セイキュウ</t>
    </rPh>
    <rPh sb="6" eb="7">
      <t>ミ</t>
    </rPh>
    <rPh sb="7" eb="9">
      <t>カイシュウ</t>
    </rPh>
    <rPh sb="9" eb="10">
      <t>ブン</t>
    </rPh>
    <phoneticPr fontId="3"/>
  </si>
  <si>
    <t>その他の得意先</t>
    <rPh sb="2" eb="3">
      <t>タ</t>
    </rPh>
    <rPh sb="4" eb="7">
      <t>トクイサキ</t>
    </rPh>
    <phoneticPr fontId="3"/>
  </si>
  <si>
    <t>（-）</t>
    <phoneticPr fontId="3"/>
  </si>
  <si>
    <t>（+）</t>
    <phoneticPr fontId="3"/>
  </si>
  <si>
    <t>ボークス株式会社</t>
    <rPh sb="4" eb="8">
      <t>カブシキガイシャ</t>
    </rPh>
    <phoneticPr fontId="3"/>
  </si>
  <si>
    <t>株式会社シービーエー</t>
    <rPh sb="0" eb="4">
      <t>カブシキガイシャ</t>
    </rPh>
    <phoneticPr fontId="3"/>
  </si>
  <si>
    <t>石川玩具株式会社</t>
    <rPh sb="0" eb="2">
      <t>イシカワ</t>
    </rPh>
    <rPh sb="2" eb="4">
      <t>ガング</t>
    </rPh>
    <rPh sb="4" eb="8">
      <t>カブシキガイシャ</t>
    </rPh>
    <phoneticPr fontId="3"/>
  </si>
  <si>
    <t>日本食材株式会社</t>
    <rPh sb="0" eb="2">
      <t>ニホン</t>
    </rPh>
    <rPh sb="2" eb="4">
      <t>ショクザイ</t>
    </rPh>
    <rPh sb="4" eb="8">
      <t>カブシキガイシャ</t>
    </rPh>
    <phoneticPr fontId="3"/>
  </si>
  <si>
    <t>加藤製菓株式会社</t>
    <rPh sb="0" eb="2">
      <t>カトウ</t>
    </rPh>
    <rPh sb="2" eb="4">
      <t>セイカ</t>
    </rPh>
    <rPh sb="4" eb="8">
      <t>カブシキガイシャ</t>
    </rPh>
    <phoneticPr fontId="3"/>
  </si>
  <si>
    <t>MEMO</t>
    <phoneticPr fontId="3"/>
  </si>
  <si>
    <t>サンプル</t>
    <phoneticPr fontId="3"/>
  </si>
  <si>
    <t>ライフクリエイティブDIV.</t>
    <phoneticPr fontId="3"/>
  </si>
  <si>
    <t>株式会社サンライズ</t>
    <rPh sb="0" eb="4">
      <t>カブシキガイシャ</t>
    </rPh>
    <phoneticPr fontId="3"/>
  </si>
  <si>
    <t>株式会社ナムコ</t>
    <rPh sb="0" eb="4">
      <t>カブシキガイシャ</t>
    </rPh>
    <phoneticPr fontId="3"/>
  </si>
  <si>
    <t>消費税</t>
  </si>
  <si>
    <t>端数</t>
    <rPh sb="0" eb="2">
      <t>ハスウ</t>
    </rPh>
    <phoneticPr fontId="3"/>
  </si>
  <si>
    <t>税込金額</t>
    <rPh sb="0" eb="2">
      <t>ゼイコミ</t>
    </rPh>
    <rPh sb="2" eb="4">
      <t>キンガク</t>
    </rPh>
    <phoneticPr fontId="3"/>
  </si>
  <si>
    <t>請求№個別データ</t>
    <rPh sb="0" eb="2">
      <t>セイキュウ</t>
    </rPh>
    <rPh sb="3" eb="5">
      <t>コベツ</t>
    </rPh>
    <phoneticPr fontId="3"/>
  </si>
  <si>
    <t>客先部門別集計データ</t>
    <rPh sb="0" eb="2">
      <t>キャクサキ</t>
    </rPh>
    <rPh sb="2" eb="4">
      <t>ブモン</t>
    </rPh>
    <rPh sb="4" eb="5">
      <t>ベツ</t>
    </rPh>
    <rPh sb="5" eb="7">
      <t>シュウケイ</t>
    </rPh>
    <phoneticPr fontId="3"/>
  </si>
  <si>
    <t>金型</t>
    <rPh sb="0" eb="2">
      <t>カナガタ</t>
    </rPh>
    <phoneticPr fontId="3"/>
  </si>
  <si>
    <t>TM・マスク</t>
    <phoneticPr fontId="3"/>
  </si>
  <si>
    <t>株式会社ティーケーホールディングス/経費</t>
    <rPh sb="0" eb="4">
      <t>カブシキガイシャ</t>
    </rPh>
    <rPh sb="18" eb="20">
      <t>ケイヒ</t>
    </rPh>
    <phoneticPr fontId="3"/>
  </si>
  <si>
    <t>㈱ﾃｨｰｹｰﾎｰﾙﾃﾞｨﾝｸﾞｽ経費</t>
    <rPh sb="16" eb="18">
      <t>ケイヒ</t>
    </rPh>
    <phoneticPr fontId="3"/>
  </si>
  <si>
    <t>10</t>
    <phoneticPr fontId="3"/>
  </si>
  <si>
    <t>　　作成日：</t>
    <rPh sb="2" eb="5">
      <t>サクセイビ</t>
    </rPh>
    <phoneticPr fontId="7"/>
  </si>
  <si>
    <t>再発行は*を入力</t>
    <rPh sb="0" eb="1">
      <t>サイ</t>
    </rPh>
    <rPh sb="1" eb="3">
      <t>ハッコウ</t>
    </rPh>
    <rPh sb="6" eb="8">
      <t>ニュウリョク</t>
    </rPh>
    <phoneticPr fontId="7"/>
  </si>
  <si>
    <t>株式会社ティーケー・ホールディングス</t>
    <rPh sb="0" eb="4">
      <t>カブシキガイシャ</t>
    </rPh>
    <phoneticPr fontId="3"/>
  </si>
  <si>
    <t>株式会社ダイワトーイ</t>
    <rPh sb="0" eb="4">
      <t>カブシキガイシャ</t>
    </rPh>
    <phoneticPr fontId="3"/>
  </si>
  <si>
    <r>
      <t>13</t>
    </r>
    <r>
      <rPr>
        <sz val="11"/>
        <rFont val="ＭＳ Ｐゴシック"/>
        <family val="3"/>
        <charset val="128"/>
      </rPr>
      <t/>
    </r>
  </si>
  <si>
    <r>
      <t>14</t>
    </r>
    <r>
      <rPr>
        <sz val="11"/>
        <rFont val="ＭＳ Ｐゴシック"/>
        <family val="3"/>
        <charset val="128"/>
      </rPr>
      <t/>
    </r>
  </si>
  <si>
    <r>
      <t>15</t>
    </r>
    <r>
      <rPr>
        <sz val="11"/>
        <rFont val="ＭＳ Ｐゴシック"/>
        <family val="3"/>
        <charset val="128"/>
      </rPr>
      <t/>
    </r>
  </si>
  <si>
    <r>
      <t>16</t>
    </r>
    <r>
      <rPr>
        <sz val="11"/>
        <rFont val="ＭＳ Ｐゴシック"/>
        <family val="3"/>
        <charset val="128"/>
      </rPr>
      <t/>
    </r>
  </si>
  <si>
    <r>
      <t>17</t>
    </r>
    <r>
      <rPr>
        <sz val="11"/>
        <rFont val="ＭＳ Ｐゴシック"/>
        <family val="3"/>
        <charset val="128"/>
      </rPr>
      <t/>
    </r>
  </si>
  <si>
    <r>
      <t>18</t>
    </r>
    <r>
      <rPr>
        <sz val="11"/>
        <rFont val="ＭＳ Ｐゴシック"/>
        <family val="3"/>
        <charset val="128"/>
      </rPr>
      <t/>
    </r>
  </si>
  <si>
    <r>
      <t>19</t>
    </r>
    <r>
      <rPr>
        <sz val="11"/>
        <rFont val="ＭＳ Ｐゴシック"/>
        <family val="3"/>
        <charset val="128"/>
      </rPr>
      <t/>
    </r>
  </si>
  <si>
    <r>
      <t>20</t>
    </r>
    <r>
      <rPr>
        <sz val="11"/>
        <rFont val="ＭＳ Ｐゴシック"/>
        <family val="3"/>
        <charset val="128"/>
      </rPr>
      <t/>
    </r>
  </si>
  <si>
    <r>
      <t>21</t>
    </r>
    <r>
      <rPr>
        <sz val="11"/>
        <rFont val="ＭＳ Ｐゴシック"/>
        <family val="3"/>
        <charset val="128"/>
      </rPr>
      <t/>
    </r>
  </si>
  <si>
    <r>
      <t>22</t>
    </r>
    <r>
      <rPr>
        <sz val="11"/>
        <rFont val="ＭＳ Ｐゴシック"/>
        <family val="3"/>
        <charset val="128"/>
      </rPr>
      <t/>
    </r>
  </si>
  <si>
    <r>
      <t>23</t>
    </r>
    <r>
      <rPr>
        <sz val="11"/>
        <rFont val="ＭＳ Ｐゴシック"/>
        <family val="3"/>
        <charset val="128"/>
      </rPr>
      <t/>
    </r>
  </si>
  <si>
    <r>
      <t>24</t>
    </r>
    <r>
      <rPr>
        <sz val="11"/>
        <rFont val="ＭＳ Ｐゴシック"/>
        <family val="3"/>
        <charset val="128"/>
      </rPr>
      <t/>
    </r>
  </si>
  <si>
    <r>
      <t>25</t>
    </r>
    <r>
      <rPr>
        <sz val="11"/>
        <rFont val="ＭＳ Ｐゴシック"/>
        <family val="3"/>
        <charset val="128"/>
      </rPr>
      <t/>
    </r>
  </si>
  <si>
    <r>
      <t>26</t>
    </r>
    <r>
      <rPr>
        <sz val="11"/>
        <rFont val="ＭＳ Ｐゴシック"/>
        <family val="3"/>
        <charset val="128"/>
      </rPr>
      <t/>
    </r>
  </si>
  <si>
    <t>キャンディ事業部</t>
    <rPh sb="5" eb="7">
      <t>ジギョウ</t>
    </rPh>
    <rPh sb="7" eb="8">
      <t>ブ</t>
    </rPh>
    <phoneticPr fontId="3"/>
  </si>
  <si>
    <t>株式会社プレックス</t>
    <rPh sb="0" eb="4">
      <t>カブシキガイシャ</t>
    </rPh>
    <phoneticPr fontId="3"/>
  </si>
  <si>
    <t>株式会社シーズ</t>
    <rPh sb="0" eb="4">
      <t>カブシキガイシャ</t>
    </rPh>
    <phoneticPr fontId="3"/>
  </si>
  <si>
    <t>株式会社カプコン</t>
    <rPh sb="0" eb="4">
      <t>カブシキガイシャ</t>
    </rPh>
    <phoneticPr fontId="3"/>
  </si>
  <si>
    <t>株式会社そごう・西武</t>
    <rPh sb="0" eb="4">
      <t>カブシキガイシャ</t>
    </rPh>
    <rPh sb="8" eb="10">
      <t>セイブ</t>
    </rPh>
    <phoneticPr fontId="3"/>
  </si>
  <si>
    <t>請求処理月</t>
    <rPh sb="0" eb="2">
      <t>セイキュウ</t>
    </rPh>
    <rPh sb="2" eb="4">
      <t>ショリ</t>
    </rPh>
    <rPh sb="4" eb="5">
      <t>ヅキ</t>
    </rPh>
    <phoneticPr fontId="3"/>
  </si>
  <si>
    <t>株式会社ロジパルエクスプレス</t>
    <rPh sb="0" eb="4">
      <t>カブシキガイシャ</t>
    </rPh>
    <phoneticPr fontId="3"/>
  </si>
  <si>
    <t>20</t>
    <phoneticPr fontId="3"/>
  </si>
  <si>
    <t>請求書NO.先頭文字</t>
    <rPh sb="0" eb="3">
      <t>セイキュウショ</t>
    </rPh>
    <rPh sb="6" eb="8">
      <t>セントウ</t>
    </rPh>
    <rPh sb="8" eb="10">
      <t>モジ</t>
    </rPh>
    <phoneticPr fontId="3"/>
  </si>
  <si>
    <t>※本荷・・・テストロケ、カートン破損修理上品も含む</t>
    <rPh sb="1" eb="3">
      <t>ホンニ</t>
    </rPh>
    <rPh sb="16" eb="18">
      <t>ハソン</t>
    </rPh>
    <rPh sb="18" eb="20">
      <t>シュウリ</t>
    </rPh>
    <rPh sb="20" eb="22">
      <t>ジョウヒン</t>
    </rPh>
    <rPh sb="23" eb="24">
      <t>フク</t>
    </rPh>
    <phoneticPr fontId="3"/>
  </si>
  <si>
    <t>　トイ景品/プライズディビジョン</t>
    <rPh sb="3" eb="5">
      <t>ケイヒン</t>
    </rPh>
    <phoneticPr fontId="3"/>
  </si>
  <si>
    <t>手形の資金化予定分</t>
    <rPh sb="0" eb="2">
      <t>テガタ</t>
    </rPh>
    <rPh sb="3" eb="6">
      <t>シキンカ</t>
    </rPh>
    <rPh sb="6" eb="8">
      <t>ヨテイ</t>
    </rPh>
    <rPh sb="8" eb="9">
      <t>ブン</t>
    </rPh>
    <phoneticPr fontId="3"/>
  </si>
  <si>
    <t>　トイ景品/グローバル推進室</t>
    <rPh sb="3" eb="5">
      <t>ケイヒン</t>
    </rPh>
    <rPh sb="11" eb="14">
      <t>スイシンシツ</t>
    </rPh>
    <phoneticPr fontId="3"/>
  </si>
  <si>
    <t>　カプセル/グローバル推進室</t>
    <rPh sb="11" eb="14">
      <t>スイシンシツ</t>
    </rPh>
    <phoneticPr fontId="3"/>
  </si>
  <si>
    <t>株式会社ティー・シー・ピー</t>
    <rPh sb="0" eb="4">
      <t>カブシキガイシャ</t>
    </rPh>
    <phoneticPr fontId="3"/>
  </si>
  <si>
    <t>＜手形の資金化予定分一覧＞</t>
    <phoneticPr fontId="3"/>
  </si>
  <si>
    <t>手形期日</t>
    <rPh sb="0" eb="2">
      <t>テガタ</t>
    </rPh>
    <rPh sb="2" eb="4">
      <t>キジツ</t>
    </rPh>
    <phoneticPr fontId="3"/>
  </si>
  <si>
    <t>取引先名</t>
    <rPh sb="0" eb="2">
      <t>トリヒキ</t>
    </rPh>
    <rPh sb="2" eb="3">
      <t>サキ</t>
    </rPh>
    <rPh sb="3" eb="4">
      <t>メイ</t>
    </rPh>
    <phoneticPr fontId="3"/>
  </si>
  <si>
    <t>振出日</t>
    <rPh sb="0" eb="3">
      <t>フリダシビ</t>
    </rPh>
    <phoneticPr fontId="3"/>
  </si>
  <si>
    <t>手形金額</t>
    <rPh sb="0" eb="2">
      <t>テガタ</t>
    </rPh>
    <rPh sb="2" eb="4">
      <t>キンガク</t>
    </rPh>
    <phoneticPr fontId="3"/>
  </si>
  <si>
    <t>〒111-0043　東京都台東区駒形１－１２－１４　日本生命浅草ビル７Ｆ</t>
    <rPh sb="26" eb="28">
      <t>ニホン</t>
    </rPh>
    <rPh sb="28" eb="30">
      <t>セイメイ</t>
    </rPh>
    <rPh sb="30" eb="32">
      <t>アサクサ</t>
    </rPh>
    <phoneticPr fontId="7"/>
  </si>
  <si>
    <t>　ライフクリエイティブDIV.</t>
    <phoneticPr fontId="3"/>
  </si>
  <si>
    <t>　マーケティング事業部</t>
    <phoneticPr fontId="3"/>
  </si>
  <si>
    <t>　カプセル/プライズディビジョン</t>
    <phoneticPr fontId="3"/>
  </si>
  <si>
    <r>
      <t>　/　</t>
    </r>
    <r>
      <rPr>
        <sz val="11"/>
        <rFont val="ＭＳ Ｐゴシック"/>
        <family val="3"/>
        <charset val="128"/>
      </rPr>
      <t>SP</t>
    </r>
    <r>
      <rPr>
        <sz val="11"/>
        <rFont val="ＭＳ Ｐゴシック"/>
        <family val="3"/>
        <charset val="128"/>
      </rPr>
      <t>チーム</t>
    </r>
    <phoneticPr fontId="3"/>
  </si>
  <si>
    <t>　/　5000</t>
    <phoneticPr fontId="3"/>
  </si>
  <si>
    <t>伝票番号1</t>
    <rPh sb="0" eb="2">
      <t>デンピョウ</t>
    </rPh>
    <rPh sb="2" eb="4">
      <t>バンゴウ</t>
    </rPh>
    <phoneticPr fontId="3"/>
  </si>
  <si>
    <t>伝票番号2</t>
    <rPh sb="0" eb="2">
      <t>デンピョウ</t>
    </rPh>
    <rPh sb="2" eb="4">
      <t>バンゴウ</t>
    </rPh>
    <phoneticPr fontId="3"/>
  </si>
  <si>
    <t>伝票番号3</t>
    <rPh sb="0" eb="2">
      <t>デンピョウ</t>
    </rPh>
    <rPh sb="2" eb="4">
      <t>バンゴウ</t>
    </rPh>
    <phoneticPr fontId="3"/>
  </si>
  <si>
    <t>39-B07001</t>
    <phoneticPr fontId="3"/>
  </si>
  <si>
    <t>39-B07002</t>
  </si>
  <si>
    <t>39-B07003</t>
  </si>
  <si>
    <t>39-B07004</t>
  </si>
  <si>
    <t>39-B07005</t>
  </si>
  <si>
    <t>39-B07006</t>
  </si>
  <si>
    <t>39-B07007</t>
  </si>
  <si>
    <t>39-B07008</t>
  </si>
  <si>
    <t>39-B07009</t>
  </si>
  <si>
    <t>39-B07010</t>
  </si>
  <si>
    <t>39-B07011</t>
  </si>
  <si>
    <t>39-B07012</t>
  </si>
  <si>
    <t>39-B07013</t>
  </si>
  <si>
    <t>39-B07014</t>
  </si>
  <si>
    <t>39-B07015</t>
  </si>
  <si>
    <t>39-B07016</t>
  </si>
  <si>
    <t>39-B07017</t>
  </si>
  <si>
    <t>39-B07018</t>
  </si>
  <si>
    <t>39-B07019</t>
  </si>
  <si>
    <t>39-B07020</t>
  </si>
  <si>
    <t>39-B07021</t>
  </si>
  <si>
    <t>39-B07022</t>
  </si>
  <si>
    <t>39-B07023</t>
  </si>
  <si>
    <t>39-B07024</t>
  </si>
  <si>
    <t>39-B07025</t>
  </si>
  <si>
    <t>39-B07026</t>
  </si>
  <si>
    <t>39-B07027</t>
  </si>
  <si>
    <t>39-B07028</t>
  </si>
  <si>
    <t>39-B07029</t>
  </si>
  <si>
    <t>39-B07030</t>
  </si>
  <si>
    <t>39-B07031</t>
  </si>
  <si>
    <t>39-B07032</t>
  </si>
  <si>
    <t>39-B07033</t>
  </si>
  <si>
    <t>39-B07034</t>
  </si>
  <si>
    <t>39-B07035</t>
  </si>
  <si>
    <t>39-B07036</t>
  </si>
  <si>
    <t>39-B07037</t>
  </si>
  <si>
    <t>39-B07038</t>
  </si>
  <si>
    <t>39-B07039</t>
  </si>
  <si>
    <t>39-B07040</t>
  </si>
  <si>
    <t>39-B07041</t>
  </si>
  <si>
    <t>39-B07042</t>
  </si>
  <si>
    <t>39-B07043</t>
  </si>
  <si>
    <t>39-B07044</t>
  </si>
  <si>
    <t>39-B07045</t>
  </si>
  <si>
    <t>39-B07046</t>
  </si>
  <si>
    <t>39-B07047</t>
  </si>
  <si>
    <t>39-B07048</t>
  </si>
  <si>
    <t>39-B07049</t>
  </si>
  <si>
    <t>39-B07050</t>
  </si>
  <si>
    <t>39-B07051</t>
  </si>
  <si>
    <t>39-B07052</t>
  </si>
  <si>
    <t>39-B07053</t>
  </si>
  <si>
    <t>39-B07054</t>
  </si>
  <si>
    <t>39-B07055</t>
  </si>
  <si>
    <t>39-B07056</t>
  </si>
  <si>
    <t>39-B07057</t>
  </si>
  <si>
    <t>39-B07058</t>
  </si>
  <si>
    <t>39-B07059</t>
  </si>
  <si>
    <t>39-B07060</t>
  </si>
  <si>
    <t>39-B07061</t>
  </si>
  <si>
    <t>39-B07062</t>
  </si>
  <si>
    <t>39-B07063</t>
  </si>
  <si>
    <t>39-B07064</t>
  </si>
  <si>
    <t>39-B07065</t>
  </si>
  <si>
    <t>39-B07066</t>
  </si>
  <si>
    <t>39-B07067</t>
  </si>
  <si>
    <t>39-B07068</t>
  </si>
  <si>
    <t>39-B07069</t>
  </si>
  <si>
    <t>39-B07070</t>
  </si>
  <si>
    <t>39-B07071</t>
  </si>
  <si>
    <t>39-B07072</t>
  </si>
  <si>
    <t>39-B07073</t>
  </si>
  <si>
    <t>39-B07074</t>
  </si>
  <si>
    <t>39-B07075</t>
  </si>
  <si>
    <t>39-B07076</t>
  </si>
  <si>
    <t>39-B07077</t>
  </si>
  <si>
    <t>39-B07078</t>
  </si>
  <si>
    <t>39-B07079</t>
  </si>
  <si>
    <t>39-B07080</t>
  </si>
  <si>
    <t>39-B07081</t>
  </si>
  <si>
    <t>39-B07082</t>
  </si>
  <si>
    <t>39-B07083</t>
  </si>
  <si>
    <t>39-B07084</t>
  </si>
  <si>
    <t>39-B07085</t>
  </si>
  <si>
    <t>39-B07086</t>
  </si>
  <si>
    <t>39-B07087</t>
  </si>
  <si>
    <t>39-B07088</t>
  </si>
  <si>
    <t>39-B07089</t>
  </si>
  <si>
    <t>39-B07090</t>
  </si>
  <si>
    <t>39-B07091</t>
  </si>
  <si>
    <t>39-B07092</t>
  </si>
  <si>
    <t>39-B07093</t>
  </si>
  <si>
    <t>39-B07094</t>
  </si>
  <si>
    <t>39-B07095</t>
  </si>
  <si>
    <t>39-B07096</t>
  </si>
  <si>
    <t>39-B07097</t>
  </si>
  <si>
    <t>39-B07098</t>
  </si>
  <si>
    <t>39-B07099</t>
  </si>
  <si>
    <t>39-B07100</t>
  </si>
  <si>
    <t>39-B07101</t>
  </si>
  <si>
    <t>39-B07102</t>
  </si>
  <si>
    <t>39-B07103</t>
  </si>
  <si>
    <t>39-B07104</t>
  </si>
  <si>
    <t>39-B07105</t>
  </si>
  <si>
    <t>39-B07106</t>
  </si>
  <si>
    <t>39-B07107</t>
  </si>
  <si>
    <t>39-B07108</t>
  </si>
  <si>
    <t>39-B07109</t>
  </si>
  <si>
    <t>39-B07110</t>
  </si>
  <si>
    <t>39-B07111</t>
  </si>
  <si>
    <t>39-B07112</t>
  </si>
  <si>
    <t>39-B07113</t>
  </si>
  <si>
    <t>39-B07114</t>
  </si>
  <si>
    <t>39-B07115</t>
  </si>
  <si>
    <t>39-B07116</t>
  </si>
  <si>
    <t>39-B07117</t>
  </si>
  <si>
    <t>39-B07118</t>
  </si>
  <si>
    <t>39-B07119</t>
  </si>
  <si>
    <t>39-B07120</t>
  </si>
  <si>
    <t>39-B07121</t>
  </si>
  <si>
    <t>39-B07122</t>
  </si>
  <si>
    <t>39-B07123</t>
  </si>
  <si>
    <t>39-B07124</t>
  </si>
  <si>
    <t>39-B07125</t>
  </si>
  <si>
    <t>39-B07126</t>
  </si>
  <si>
    <t>39-B07127</t>
  </si>
  <si>
    <t>39-B07128</t>
  </si>
  <si>
    <t>39-B07129</t>
  </si>
  <si>
    <t>39-B07130</t>
  </si>
  <si>
    <t>39-B07131</t>
  </si>
  <si>
    <t>39-B07132</t>
  </si>
  <si>
    <t>39-B07133</t>
  </si>
  <si>
    <t>39-B07134</t>
  </si>
  <si>
    <t>39-B07135</t>
  </si>
  <si>
    <t>39-B07136</t>
  </si>
  <si>
    <t>39-B07137</t>
  </si>
  <si>
    <t>39-B07138</t>
  </si>
  <si>
    <t>39-B07139</t>
  </si>
  <si>
    <t>39-B07140</t>
  </si>
  <si>
    <t>39-B07141</t>
  </si>
  <si>
    <t>39-B07142</t>
  </si>
  <si>
    <t>39-B07143</t>
  </si>
  <si>
    <t>39-B07144</t>
  </si>
  <si>
    <t>39-B07145</t>
  </si>
  <si>
    <t>39-B07146</t>
  </si>
  <si>
    <t>39-B07147</t>
  </si>
  <si>
    <t>39-B07148</t>
  </si>
  <si>
    <t>39-B07149</t>
  </si>
  <si>
    <t>39-B07150</t>
  </si>
  <si>
    <t>本荷</t>
    <rPh sb="0" eb="2">
      <t>ホンニ</t>
    </rPh>
    <phoneticPr fontId="3"/>
  </si>
  <si>
    <t>海外ASTM材料検査</t>
    <rPh sb="0" eb="2">
      <t>カイガイ</t>
    </rPh>
    <rPh sb="6" eb="8">
      <t>ザイリョウ</t>
    </rPh>
    <rPh sb="8" eb="10">
      <t>ケンサ</t>
    </rPh>
    <phoneticPr fontId="3"/>
  </si>
  <si>
    <t>本荷</t>
    <rPh sb="0" eb="2">
      <t>ホンニ</t>
    </rPh>
    <phoneticPr fontId="3"/>
  </si>
  <si>
    <t>本荷（海外納品）</t>
    <rPh sb="0" eb="2">
      <t>ホ</t>
    </rPh>
    <rPh sb="3" eb="5">
      <t>カイガイ</t>
    </rPh>
    <rPh sb="5" eb="7">
      <t>ノウヒン</t>
    </rPh>
    <phoneticPr fontId="3"/>
  </si>
  <si>
    <t>本荷</t>
    <rPh sb="0" eb="2">
      <t>ホンニ</t>
    </rPh>
    <phoneticPr fontId="3"/>
  </si>
  <si>
    <t>02028314  02028315</t>
    <phoneticPr fontId="3"/>
  </si>
  <si>
    <t>02028340</t>
    <phoneticPr fontId="3"/>
  </si>
  <si>
    <t>02028330  02028331  02028332  02028334  02028335  02028336  02028337  02028338  02028339</t>
    <phoneticPr fontId="3"/>
  </si>
  <si>
    <t>39-B06026</t>
    <phoneticPr fontId="3"/>
  </si>
  <si>
    <t>5000/ボーイズトイ事業部</t>
    <rPh sb="11" eb="13">
      <t>ジギョウ</t>
    </rPh>
    <rPh sb="13" eb="14">
      <t>ブ</t>
    </rPh>
    <phoneticPr fontId="3"/>
  </si>
  <si>
    <t>8/15回収予定</t>
    <phoneticPr fontId="3"/>
  </si>
  <si>
    <t>㈱ファブコミュニケーションズ</t>
    <phoneticPr fontId="3"/>
  </si>
  <si>
    <t>39-Ｂ07036</t>
    <phoneticPr fontId="3"/>
  </si>
  <si>
    <t>商標登録料立替分</t>
    <rPh sb="0" eb="2">
      <t>ショウヒョウ</t>
    </rPh>
    <rPh sb="2" eb="4">
      <t>トウロク</t>
    </rPh>
    <rPh sb="4" eb="5">
      <t>リョウ</t>
    </rPh>
    <rPh sb="5" eb="7">
      <t>タテカエ</t>
    </rPh>
    <rPh sb="7" eb="8">
      <t>ブン</t>
    </rPh>
    <phoneticPr fontId="3"/>
  </si>
  <si>
    <t>39-B07058</t>
    <phoneticPr fontId="3"/>
  </si>
  <si>
    <t>通貨</t>
    <rPh sb="0" eb="2">
      <t>ツウカ</t>
    </rPh>
    <phoneticPr fontId="3"/>
  </si>
  <si>
    <t>$</t>
    <phoneticPr fontId="3"/>
  </si>
  <si>
    <t>伝票件数カウント用</t>
    <rPh sb="0" eb="2">
      <t>デンピョウ</t>
    </rPh>
    <rPh sb="2" eb="4">
      <t>ケンスウ</t>
    </rPh>
    <rPh sb="8" eb="9">
      <t>ヨウ</t>
    </rPh>
    <phoneticPr fontId="3"/>
  </si>
  <si>
    <t>請求金額集計用</t>
    <rPh sb="0" eb="2">
      <t>セイキュウ</t>
    </rPh>
    <rPh sb="2" eb="4">
      <t>キンガク</t>
    </rPh>
    <rPh sb="4" eb="6">
      <t>シュウケイ</t>
    </rPh>
    <rPh sb="6" eb="7">
      <t>ヨウ</t>
    </rPh>
    <phoneticPr fontId="3"/>
  </si>
  <si>
    <t>請求総額集計用</t>
    <rPh sb="2" eb="3">
      <t>ソウ</t>
    </rPh>
    <phoneticPr fontId="3"/>
  </si>
  <si>
    <t>区分</t>
    <rPh sb="0" eb="2">
      <t>クブン</t>
    </rPh>
    <phoneticPr fontId="3"/>
  </si>
  <si>
    <t>\</t>
    <phoneticPr fontId="3"/>
  </si>
  <si>
    <t>$</t>
    <phoneticPr fontId="3"/>
  </si>
  <si>
    <t>HK$</t>
  </si>
  <si>
    <t>HK$</t>
    <phoneticPr fontId="3"/>
  </si>
  <si>
    <t>\</t>
    <phoneticPr fontId="3"/>
  </si>
  <si>
    <t>ソート用
キーコード</t>
    <rPh sb="3" eb="4">
      <t>ヨウ</t>
    </rPh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</si>
  <si>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</si>
  <si>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通貨
種別</t>
    <rPh sb="0" eb="2">
      <t>ツウカ</t>
    </rPh>
    <rPh sb="3" eb="5">
      <t>シュベツ</t>
    </rPh>
    <phoneticPr fontId="3"/>
  </si>
  <si>
    <t>請求金額’</t>
    <rPh sb="0" eb="2">
      <t>セイキュウ</t>
    </rPh>
    <rPh sb="2" eb="4">
      <t>キンガク</t>
    </rPh>
    <phoneticPr fontId="3"/>
  </si>
  <si>
    <t>1</t>
    <phoneticPr fontId="3"/>
  </si>
  <si>
    <t>2</t>
    <phoneticPr fontId="3"/>
  </si>
  <si>
    <t>3</t>
  </si>
  <si>
    <t>4</t>
  </si>
  <si>
    <t>5</t>
  </si>
  <si>
    <t>8</t>
  </si>
  <si>
    <t>9</t>
  </si>
  <si>
    <t>10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</si>
  <si>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</si>
  <si>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</si>
  <si>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</si>
  <si>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</si>
  <si>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</si>
  <si>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</si>
  <si>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</si>
  <si>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</si>
  <si>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</si>
  <si>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3</t>
    <phoneticPr fontId="3"/>
  </si>
  <si>
    <t>4</t>
    <phoneticPr fontId="3"/>
  </si>
  <si>
    <t>客先合計\</t>
    <rPh sb="0" eb="2">
      <t>キャクサキ</t>
    </rPh>
    <rPh sb="2" eb="4">
      <t>ゴウケイ</t>
    </rPh>
    <phoneticPr fontId="3"/>
  </si>
  <si>
    <t>客先合計$</t>
    <rPh sb="0" eb="2">
      <t>キャクサキ</t>
    </rPh>
    <rPh sb="2" eb="4">
      <t>ゴウケイ</t>
    </rPh>
    <phoneticPr fontId="3"/>
  </si>
  <si>
    <t>客先合計HK$</t>
    <rPh sb="0" eb="2">
      <t>キャクサキ</t>
    </rPh>
    <rPh sb="2" eb="4">
      <t>ゴウケイ</t>
    </rPh>
    <phoneticPr fontId="3"/>
  </si>
  <si>
    <t>客先合計</t>
    <rPh sb="0" eb="2">
      <t>キャクサキ</t>
    </rPh>
    <rPh sb="2" eb="4">
      <t>ゴウケイ</t>
    </rPh>
    <phoneticPr fontId="3"/>
  </si>
  <si>
    <t>合　　計</t>
    <rPh sb="0" eb="1">
      <t>ア</t>
    </rPh>
    <rPh sb="3" eb="4">
      <t>ケイ</t>
    </rPh>
    <phoneticPr fontId="3"/>
  </si>
  <si>
    <t>請求№から外貨の抽出</t>
    <rPh sb="0" eb="2">
      <t>セイキュウ</t>
    </rPh>
    <rPh sb="5" eb="7">
      <t>ガイカ</t>
    </rPh>
    <rPh sb="8" eb="10">
      <t>チュウシュツ</t>
    </rPh>
    <phoneticPr fontId="3"/>
  </si>
  <si>
    <t>xxx</t>
    <phoneticPr fontId="3"/>
  </si>
  <si>
    <t>C</t>
    <phoneticPr fontId="3"/>
  </si>
  <si>
    <t>I</t>
    <phoneticPr fontId="3"/>
  </si>
  <si>
    <t>J</t>
    <phoneticPr fontId="3"/>
  </si>
  <si>
    <t>x</t>
    <phoneticPr fontId="3"/>
  </si>
  <si>
    <t>x</t>
    <phoneticPr fontId="3"/>
  </si>
  <si>
    <t>出力表示</t>
    <rPh sb="0" eb="2">
      <t>シュツリョク</t>
    </rPh>
    <rPh sb="2" eb="4">
      <t>ヒョウジ</t>
    </rPh>
    <phoneticPr fontId="3"/>
  </si>
  <si>
    <t>通貨別合計</t>
    <rPh sb="0" eb="2">
      <t>ツウカ</t>
    </rPh>
    <rPh sb="2" eb="3">
      <t>ベツ</t>
    </rPh>
    <rPh sb="3" eb="5">
      <t>ゴウケイ</t>
    </rPh>
    <phoneticPr fontId="3"/>
  </si>
  <si>
    <t>各社合計集計</t>
    <rPh sb="0" eb="2">
      <t>カクシャ</t>
    </rPh>
    <rPh sb="2" eb="4">
      <t>ゴウケイ</t>
    </rPh>
    <rPh sb="4" eb="6">
      <t>シュウケイ</t>
    </rPh>
    <phoneticPr fontId="3"/>
  </si>
  <si>
    <t>株式会社 バンダイ</t>
  </si>
  <si>
    <t>株式会社バンダイナムコエンターテインメント</t>
  </si>
  <si>
    <r>
      <t>バンダイナムコグループ（B</t>
    </r>
    <r>
      <rPr>
        <sz val="11"/>
        <rFont val="ＭＳ Ｐゴシック"/>
        <family val="3"/>
        <charset val="128"/>
      </rPr>
      <t>+BNE）</t>
    </r>
    <phoneticPr fontId="3"/>
  </si>
  <si>
    <t>1=
課税</t>
    <rPh sb="3" eb="5">
      <t>カゼイ</t>
    </rPh>
    <phoneticPr fontId="3"/>
  </si>
  <si>
    <t>* =
切捨</t>
    <rPh sb="4" eb="6">
      <t>キリス</t>
    </rPh>
    <phoneticPr fontId="3"/>
  </si>
  <si>
    <t>顧客名／部門名</t>
    <rPh sb="0" eb="2">
      <t>コキャク</t>
    </rPh>
    <rPh sb="2" eb="3">
      <t>メイ</t>
    </rPh>
    <rPh sb="4" eb="6">
      <t>ブモン</t>
    </rPh>
    <rPh sb="6" eb="7">
      <t>メイ</t>
    </rPh>
    <phoneticPr fontId="3"/>
  </si>
  <si>
    <t>顧客CD</t>
    <rPh sb="0" eb="2">
      <t>コキャク</t>
    </rPh>
    <phoneticPr fontId="3"/>
  </si>
  <si>
    <t>請求差額調整</t>
    <rPh sb="0" eb="2">
      <t>セイキュウ</t>
    </rPh>
    <rPh sb="2" eb="4">
      <t>サガク</t>
    </rPh>
    <rPh sb="4" eb="6">
      <t>チョウセイ</t>
    </rPh>
    <phoneticPr fontId="3"/>
  </si>
  <si>
    <t>21</t>
  </si>
  <si>
    <t>納品書明細16-E合計</t>
    <rPh sb="0" eb="3">
      <t>ノウヒンショ</t>
    </rPh>
    <rPh sb="3" eb="5">
      <t>メイサイ</t>
    </rPh>
    <rPh sb="9" eb="11">
      <t>ゴウケイ</t>
    </rPh>
    <phoneticPr fontId="3"/>
  </si>
  <si>
    <t>納品書明細F-15合計</t>
    <rPh sb="0" eb="3">
      <t>ノウヒンショ</t>
    </rPh>
    <rPh sb="3" eb="5">
      <t>メイサイ</t>
    </rPh>
    <rPh sb="9" eb="11">
      <t>ゴウケイ</t>
    </rPh>
    <phoneticPr fontId="3"/>
  </si>
  <si>
    <t>総　合　計</t>
    <rPh sb="0" eb="1">
      <t>ソウ</t>
    </rPh>
    <rPh sb="2" eb="3">
      <t>ゴウ</t>
    </rPh>
    <rPh sb="4" eb="5">
      <t>ケイ</t>
    </rPh>
    <phoneticPr fontId="3"/>
  </si>
  <si>
    <t>請求Data合計</t>
    <rPh sb="0" eb="2">
      <t>セイキュウ</t>
    </rPh>
    <rPh sb="6" eb="8">
      <t>ゴウケイ</t>
    </rPh>
    <phoneticPr fontId="3"/>
  </si>
  <si>
    <t>KIDS売上以外の請求額（手入力要）</t>
    <rPh sb="4" eb="6">
      <t>ウリアゲ</t>
    </rPh>
    <rPh sb="6" eb="8">
      <t>イガイ</t>
    </rPh>
    <rPh sb="9" eb="11">
      <t>セイキュウ</t>
    </rPh>
    <rPh sb="11" eb="12">
      <t>ガク</t>
    </rPh>
    <rPh sb="13" eb="14">
      <t>テ</t>
    </rPh>
    <rPh sb="14" eb="16">
      <t>ニュウリョク</t>
    </rPh>
    <rPh sb="16" eb="17">
      <t>ヨウ</t>
    </rPh>
    <phoneticPr fontId="3"/>
  </si>
  <si>
    <t>差引合計</t>
    <rPh sb="0" eb="2">
      <t>サシヒキ</t>
    </rPh>
    <rPh sb="2" eb="4">
      <t>ゴウケイ</t>
    </rPh>
    <phoneticPr fontId="3"/>
  </si>
  <si>
    <t>請求期間
指定</t>
    <phoneticPr fontId="3"/>
  </si>
  <si>
    <t>㈱バンダイ出向者費用</t>
    <rPh sb="5" eb="8">
      <t>シュッコウシャ</t>
    </rPh>
    <rPh sb="8" eb="10">
      <t>ヒヨウ</t>
    </rPh>
    <phoneticPr fontId="3"/>
  </si>
  <si>
    <t>㈱エムアイシー出向者費用</t>
    <rPh sb="7" eb="10">
      <t>シュッコウシャ</t>
    </rPh>
    <rPh sb="10" eb="12">
      <t>ヒヨウ</t>
    </rPh>
    <phoneticPr fontId="3"/>
  </si>
  <si>
    <t>　　　　/　　　　　事業部</t>
    <rPh sb="10" eb="12">
      <t>ジギョウ</t>
    </rPh>
    <rPh sb="12" eb="13">
      <t>ブ</t>
    </rPh>
    <phoneticPr fontId="3"/>
  </si>
  <si>
    <t>出向者費用</t>
    <rPh sb="0" eb="3">
      <t>シュッコウシャ</t>
    </rPh>
    <rPh sb="3" eb="5">
      <t>ヒヨウ</t>
    </rPh>
    <phoneticPr fontId="3"/>
  </si>
  <si>
    <t>顧客事業部</t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</si>
  <si>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</si>
  <si>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手入力セル</t>
    <rPh sb="0" eb="1">
      <t>テ</t>
    </rPh>
    <rPh sb="1" eb="3">
      <t>ニュウリョク</t>
    </rPh>
    <phoneticPr fontId="3"/>
  </si>
  <si>
    <t>コメント</t>
    <phoneticPr fontId="3"/>
  </si>
  <si>
    <t>請求№</t>
    <rPh sb="0" eb="2">
      <t>セイキュウ</t>
    </rPh>
    <phoneticPr fontId="3"/>
  </si>
  <si>
    <t>請求日</t>
    <rPh sb="0" eb="3">
      <t>セイキュウビ</t>
    </rPh>
    <phoneticPr fontId="3"/>
  </si>
  <si>
    <t>請求月</t>
    <rPh sb="0" eb="2">
      <t>セイキュウ</t>
    </rPh>
    <rPh sb="2" eb="3">
      <t>ツキ</t>
    </rPh>
    <phoneticPr fontId="3"/>
  </si>
  <si>
    <t>請求書№</t>
    <rPh sb="0" eb="2">
      <t>セイキュウショ</t>
    </rPh>
    <rPh sb="2" eb="3">
      <t>ショ</t>
    </rPh>
    <phoneticPr fontId="3"/>
  </si>
  <si>
    <t>K</t>
    <phoneticPr fontId="3"/>
  </si>
  <si>
    <t>集計合計シートと一致</t>
    <rPh sb="2" eb="4">
      <t>ゴウケイ</t>
    </rPh>
    <phoneticPr fontId="3"/>
  </si>
  <si>
    <t>（-）</t>
    <phoneticPr fontId="3"/>
  </si>
  <si>
    <t>ver.8.0で訂正箇所</t>
    <rPh sb="8" eb="10">
      <t>テイセイ</t>
    </rPh>
    <rPh sb="10" eb="12">
      <t>カショ</t>
    </rPh>
    <phoneticPr fontId="3"/>
  </si>
  <si>
    <r>
      <t>＜DEBIT NOTE発行分一覧　US$＞</t>
    </r>
    <r>
      <rPr>
        <b/>
        <sz val="11"/>
        <color rgb="FFFF0000"/>
        <rFont val="ＭＳ Ｐゴシック"/>
        <family val="3"/>
        <charset val="128"/>
      </rPr>
      <t>※通常の請求書発行分以外のDEBIT NOTE (TFKなど)</t>
    </r>
    <rPh sb="11" eb="13">
      <t>ハッコウ</t>
    </rPh>
    <rPh sb="22" eb="24">
      <t>ツウジョウ</t>
    </rPh>
    <rPh sb="25" eb="28">
      <t>セイキュウショ</t>
    </rPh>
    <rPh sb="28" eb="30">
      <t>ハッコウ</t>
    </rPh>
    <rPh sb="30" eb="31">
      <t>ブン</t>
    </rPh>
    <rPh sb="31" eb="33">
      <t>イガイ</t>
    </rPh>
    <phoneticPr fontId="3"/>
  </si>
  <si>
    <t>ver.8.1で訂正箇所</t>
    <rPh sb="8" eb="10">
      <t>テイセイ</t>
    </rPh>
    <rPh sb="10" eb="12">
      <t>カショ</t>
    </rPh>
    <phoneticPr fontId="3"/>
  </si>
  <si>
    <t>適用消費税率入力</t>
    <rPh sb="0" eb="2">
      <t>テキヨウ</t>
    </rPh>
    <rPh sb="2" eb="5">
      <t>ショウヒゼイ</t>
    </rPh>
    <rPh sb="5" eb="6">
      <t>リツ</t>
    </rPh>
    <rPh sb="6" eb="8">
      <t>ニュウリョク</t>
    </rPh>
    <phoneticPr fontId="3"/>
  </si>
  <si>
    <t>通貨
種別</t>
    <rPh sb="0" eb="2">
      <t>ツウカ</t>
    </rPh>
    <rPh sb="3" eb="5">
      <t>シュベツ</t>
    </rPh>
    <phoneticPr fontId="3"/>
  </si>
  <si>
    <t>請求Dataシート</t>
    <phoneticPr fontId="3"/>
  </si>
  <si>
    <t>99</t>
    <phoneticPr fontId="3"/>
  </si>
  <si>
    <t>株式会社BANDAI SPIRITS</t>
    <rPh sb="0" eb="4">
      <t>カブシキガイシャ</t>
    </rPh>
    <phoneticPr fontId="3"/>
  </si>
  <si>
    <t>510</t>
    <phoneticPr fontId="3"/>
  </si>
  <si>
    <t>520</t>
    <phoneticPr fontId="3"/>
  </si>
  <si>
    <t>530</t>
    <phoneticPr fontId="3"/>
  </si>
  <si>
    <t>540</t>
    <phoneticPr fontId="3"/>
  </si>
  <si>
    <t>550</t>
    <phoneticPr fontId="3"/>
  </si>
  <si>
    <t>560</t>
    <phoneticPr fontId="3"/>
  </si>
  <si>
    <t>570</t>
  </si>
  <si>
    <t>580</t>
  </si>
  <si>
    <t>590</t>
  </si>
  <si>
    <t>600</t>
  </si>
  <si>
    <t>610</t>
  </si>
  <si>
    <t>620</t>
  </si>
  <si>
    <t>630</t>
  </si>
  <si>
    <t>640</t>
  </si>
  <si>
    <t>650</t>
  </si>
  <si>
    <t>660</t>
  </si>
  <si>
    <t>670</t>
  </si>
  <si>
    <t>680</t>
  </si>
  <si>
    <t>690</t>
  </si>
  <si>
    <t>700</t>
  </si>
  <si>
    <t>710</t>
  </si>
  <si>
    <t>720</t>
  </si>
  <si>
    <t>730</t>
  </si>
  <si>
    <t>740</t>
  </si>
  <si>
    <t>750</t>
  </si>
  <si>
    <t>760</t>
  </si>
  <si>
    <t>770</t>
  </si>
  <si>
    <t>780</t>
  </si>
  <si>
    <t>790</t>
  </si>
  <si>
    <t>800</t>
  </si>
  <si>
    <t>810</t>
  </si>
  <si>
    <t>820</t>
  </si>
  <si>
    <t>830</t>
  </si>
  <si>
    <t>840</t>
  </si>
  <si>
    <t>850</t>
  </si>
  <si>
    <t>860</t>
  </si>
  <si>
    <t>870</t>
  </si>
  <si>
    <t>880</t>
  </si>
  <si>
    <t>890</t>
  </si>
  <si>
    <t>900</t>
  </si>
  <si>
    <t>株式会社BANDAI SPIRITS</t>
  </si>
  <si>
    <t>無効
フラグ</t>
    <rPh sb="0" eb="2">
      <t>ムコウ</t>
    </rPh>
    <phoneticPr fontId="3"/>
  </si>
  <si>
    <t>集計社
抽出</t>
    <rPh sb="0" eb="2">
      <t>シュウケイ</t>
    </rPh>
    <rPh sb="2" eb="3">
      <t>シャ</t>
    </rPh>
    <rPh sb="4" eb="6">
      <t>チュウシュツ</t>
    </rPh>
    <phoneticPr fontId="3"/>
  </si>
  <si>
    <t>110</t>
    <phoneticPr fontId="3"/>
  </si>
  <si>
    <t>120</t>
    <phoneticPr fontId="3"/>
  </si>
  <si>
    <t>400</t>
    <phoneticPr fontId="3"/>
  </si>
  <si>
    <t xml:space="preserve">　3100／ベンダー事業部 </t>
    <phoneticPr fontId="3"/>
  </si>
  <si>
    <t>ベンダー事業部</t>
    <phoneticPr fontId="3"/>
  </si>
  <si>
    <t>　3200／キャンディ事業部</t>
    <rPh sb="11" eb="13">
      <t>ジギョウ</t>
    </rPh>
    <rPh sb="13" eb="14">
      <t>ブ</t>
    </rPh>
    <phoneticPr fontId="3"/>
  </si>
  <si>
    <t>　4200／キャンディ事業部</t>
    <rPh sb="11" eb="13">
      <t>ジギョウ</t>
    </rPh>
    <rPh sb="13" eb="14">
      <t>ブ</t>
    </rPh>
    <phoneticPr fontId="3"/>
  </si>
  <si>
    <t>　4100／コレクターズ事業部</t>
    <rPh sb="12" eb="14">
      <t>ジギョウ</t>
    </rPh>
    <rPh sb="14" eb="15">
      <t>ブ</t>
    </rPh>
    <phoneticPr fontId="3"/>
  </si>
  <si>
    <t>　4200／ボーイズトイ事業部</t>
    <rPh sb="12" eb="14">
      <t>ジギョウ</t>
    </rPh>
    <rPh sb="14" eb="15">
      <t>ブ</t>
    </rPh>
    <phoneticPr fontId="3"/>
  </si>
  <si>
    <t>ボーイズトイ事業部</t>
    <rPh sb="6" eb="8">
      <t>ジギョウ</t>
    </rPh>
    <rPh sb="8" eb="9">
      <t>ブ</t>
    </rPh>
    <phoneticPr fontId="3"/>
  </si>
  <si>
    <t>　5000／ボーイズトイ事業部</t>
    <rPh sb="12" eb="14">
      <t>ジギョウ</t>
    </rPh>
    <rPh sb="14" eb="15">
      <t>ブ</t>
    </rPh>
    <phoneticPr fontId="3"/>
  </si>
  <si>
    <t>　4200／ガールズトイ事業部</t>
    <rPh sb="12" eb="14">
      <t>ジギョウ</t>
    </rPh>
    <rPh sb="14" eb="15">
      <t>ブ</t>
    </rPh>
    <phoneticPr fontId="3"/>
  </si>
  <si>
    <t>ガールズトイ事業部</t>
    <rPh sb="6" eb="8">
      <t>ジギョウ</t>
    </rPh>
    <rPh sb="8" eb="9">
      <t>ブ</t>
    </rPh>
    <phoneticPr fontId="3"/>
  </si>
  <si>
    <t>　5000／ガールズトイ事業部</t>
    <rPh sb="12" eb="14">
      <t>ジギョウ</t>
    </rPh>
    <rPh sb="14" eb="15">
      <t>ブ</t>
    </rPh>
    <phoneticPr fontId="3"/>
  </si>
  <si>
    <t>株式会社アスキー・メディアワークス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</si>
  <si>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</si>
  <si>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</si>
  <si>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株式会社スカイ・ジェイ</t>
    <phoneticPr fontId="3"/>
  </si>
  <si>
    <t>総合商研株式会社</t>
    <rPh sb="0" eb="4">
      <t>ソウゴウショウケン</t>
    </rPh>
    <rPh sb="4" eb="8">
      <t>カブシキガイシャ</t>
    </rPh>
    <phoneticPr fontId="3"/>
  </si>
  <si>
    <t>株式会社ポリゴン・ピクチュアズ</t>
    <rPh sb="0" eb="2">
      <t>カブシキ</t>
    </rPh>
    <rPh sb="2" eb="4">
      <t>カイシャ</t>
    </rPh>
    <phoneticPr fontId="3"/>
  </si>
  <si>
    <t>株式会社フォーチュンエンターテイメント</t>
    <rPh sb="0" eb="4">
      <t>カブシキガイシャ</t>
    </rPh>
    <phoneticPr fontId="3"/>
  </si>
  <si>
    <t>キングレコード株式会社</t>
    <rPh sb="7" eb="11">
      <t>カブシキガイシャ</t>
    </rPh>
    <phoneticPr fontId="3"/>
  </si>
  <si>
    <t>ソニー株式会社</t>
    <rPh sb="3" eb="7">
      <t>カブシキガイシャ</t>
    </rPh>
    <phoneticPr fontId="3"/>
  </si>
  <si>
    <t>株式会社ブイシンク</t>
    <rPh sb="0" eb="4">
      <t>カブシキガイシャ</t>
    </rPh>
    <phoneticPr fontId="3"/>
  </si>
  <si>
    <t>株式会社ライブ・ワークス</t>
    <phoneticPr fontId="3"/>
  </si>
  <si>
    <t>E</t>
    <phoneticPr fontId="3"/>
  </si>
  <si>
    <t>20</t>
    <phoneticPr fontId="3"/>
  </si>
  <si>
    <t>15</t>
    <phoneticPr fontId="3"/>
  </si>
  <si>
    <t>22</t>
    <phoneticPr fontId="3"/>
  </si>
  <si>
    <t>ver.8.0で訂正箇所：『D13』</t>
    <rPh sb="8" eb="10">
      <t>テイセイ</t>
    </rPh>
    <rPh sb="10" eb="12">
      <t>カショ</t>
    </rPh>
    <phoneticPr fontId="3"/>
  </si>
  <si>
    <t>ver.8.1で訂正箇所『D19』</t>
    <rPh sb="8" eb="10">
      <t>テイセイ</t>
    </rPh>
    <rPh sb="10" eb="12">
      <t>カショ</t>
    </rPh>
    <phoneticPr fontId="3"/>
  </si>
  <si>
    <t>バンダイナムコグループ（B+BS+BNE）</t>
    <phoneticPr fontId="3"/>
  </si>
  <si>
    <t>ver.8.3で訂正箇所：『B213:B217』、『B302:B306』、『B376:B380』&amp;『H218』、『I218』、『J218』、『H307』、『I307』、『J307』、『H381』、『I381』、『J381』</t>
    <rPh sb="8" eb="10">
      <t>テイセイ</t>
    </rPh>
    <rPh sb="10" eb="12">
      <t>カショ</t>
    </rPh>
    <phoneticPr fontId="3"/>
  </si>
  <si>
    <t>BD1001</t>
  </si>
  <si>
    <t>\</t>
  </si>
  <si>
    <t>ver.8.3で訂正箇所：『D10』、『D13』、『D15』、『D17』、『D19』、『J16』、『O6』</t>
    <rPh sb="8" eb="10">
      <t>テイセイ</t>
    </rPh>
    <rPh sb="10" eb="12">
      <t>カショ</t>
    </rPh>
    <phoneticPr fontId="3"/>
  </si>
  <si>
    <t>0</t>
    <phoneticPr fontId="3"/>
  </si>
  <si>
    <t>3</t>
    <phoneticPr fontId="3"/>
  </si>
  <si>
    <t>BD1003</t>
  </si>
  <si>
    <t>BD1004</t>
  </si>
  <si>
    <t>BD1005</t>
  </si>
  <si>
    <t>BD1002</t>
  </si>
  <si>
    <t>bbbbbb</t>
    <phoneticPr fontId="3"/>
  </si>
  <si>
    <t>$</t>
  </si>
  <si>
    <t>99999</t>
    <phoneticPr fontId="3"/>
  </si>
  <si>
    <t>1</t>
    <phoneticPr fontId="3"/>
  </si>
  <si>
    <t>3</t>
    <phoneticPr fontId="3"/>
  </si>
  <si>
    <t>$</t>
    <phoneticPr fontId="3"/>
  </si>
  <si>
    <t>BN0021</t>
    <phoneticPr fontId="3"/>
  </si>
  <si>
    <t>BN0022</t>
    <phoneticPr fontId="3"/>
  </si>
  <si>
    <t>2</t>
    <phoneticPr fontId="3"/>
  </si>
  <si>
    <t>TK001</t>
    <phoneticPr fontId="3"/>
  </si>
  <si>
    <t>\</t>
    <phoneticPr fontId="3"/>
  </si>
  <si>
    <t>BD1005</t>
    <phoneticPr fontId="3"/>
  </si>
  <si>
    <t>9</t>
    <phoneticPr fontId="3"/>
  </si>
  <si>
    <t>10</t>
    <phoneticPr fontId="3"/>
  </si>
  <si>
    <t>1</t>
    <phoneticPr fontId="3"/>
  </si>
  <si>
    <t>0</t>
    <phoneticPr fontId="3"/>
  </si>
  <si>
    <t>ver.8.3で訂正箇所：『9：206』行の『L』列、『R』列</t>
    <rPh sb="8" eb="10">
      <t>テイセイ</t>
    </rPh>
    <rPh sb="10" eb="12">
      <t>カショ</t>
    </rPh>
    <rPh sb="20" eb="21">
      <t>ギョウ</t>
    </rPh>
    <rPh sb="25" eb="26">
      <t>レツ</t>
    </rPh>
    <phoneticPr fontId="3"/>
  </si>
  <si>
    <t>ver.8.3で訂正箇所：『9：297』行の『L』列、『R』列</t>
    <rPh sb="8" eb="10">
      <t>テイセイ</t>
    </rPh>
    <rPh sb="10" eb="12">
      <t>カショ</t>
    </rPh>
    <rPh sb="25" eb="26">
      <t>レツ</t>
    </rPh>
    <phoneticPr fontId="3"/>
  </si>
  <si>
    <t>ver.8.3で訂正箇所：『11：160』行の『J』列、『N：Q』列、『V』列、『W』列</t>
    <rPh sb="8" eb="10">
      <t>テイセイ</t>
    </rPh>
    <rPh sb="10" eb="12">
      <t>カショ</t>
    </rPh>
    <rPh sb="26" eb="27">
      <t>レツ</t>
    </rPh>
    <phoneticPr fontId="3"/>
  </si>
  <si>
    <t>ver.8.3で訂正箇所：『9：90』と『93：174』行の『E：F』列、『G：H』列、『M：N』列、『P：Q』列、『V：W』列、『Y：Z』列、『AE：AF』列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</si>
  <si>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ver.8.3で訂正箇所：『9：90』行の『E：F』列＆『93：174』行の『E：F』列、『G：H』列、『M：N』列、『P：Q』列、『V：W』列、『Y：Z』列、『AE：AF』列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</si>
  <si>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ver.8.3で訂正箇所：『B8：C116』</t>
    <rPh sb="8" eb="10">
      <t>テイセイ</t>
    </rPh>
    <rPh sb="10" eb="12">
      <t>カショ</t>
    </rPh>
    <phoneticPr fontId="3"/>
  </si>
  <si>
    <t>ver.8.1で訂正箇所：『9：90』行の『F』列、『M』列、『V』列、『AE』列&amp;『93：174』行の『E』列、『F：G』列、『L：M』列、『O：P』列、『U：V』列、『X：Y』列、『AD：AE』列</t>
    <rPh sb="8" eb="10">
      <t>テイセイ</t>
    </rPh>
    <rPh sb="10" eb="12">
      <t>カショ</t>
    </rPh>
    <phoneticPr fontId="3"/>
  </si>
  <si>
    <t>39-B07020</t>
    <phoneticPr fontId="3"/>
  </si>
  <si>
    <t xml:space="preserve">株式会社 バンダイ　3100／ベンダー事業部 </t>
  </si>
  <si>
    <t>株式会社 バンダイ　3200／キャンディ事業部</t>
  </si>
  <si>
    <t>株式会社 バンダイ　4100／コレクターズ事業部</t>
  </si>
  <si>
    <t>株式会社ナムコ</t>
  </si>
  <si>
    <r>
      <t>C</t>
    </r>
    <r>
      <rPr>
        <sz val="11"/>
        <rFont val="ＭＳ Ｐゴシック"/>
        <family val="3"/>
        <charset val="128"/>
      </rPr>
      <t>D</t>
    </r>
    <phoneticPr fontId="3"/>
  </si>
  <si>
    <r>
      <t>B</t>
    </r>
    <r>
      <rPr>
        <sz val="11"/>
        <rFont val="ＭＳ Ｐゴシック"/>
        <family val="3"/>
        <charset val="128"/>
      </rPr>
      <t>P0001</t>
    </r>
    <phoneticPr fontId="3"/>
  </si>
  <si>
    <r>
      <t>B</t>
    </r>
    <r>
      <rPr>
        <sz val="11"/>
        <rFont val="ＭＳ Ｐゴシック"/>
        <family val="3"/>
        <charset val="128"/>
      </rPr>
      <t>D1006</t>
    </r>
    <phoneticPr fontId="3"/>
  </si>
  <si>
    <r>
      <t>B</t>
    </r>
    <r>
      <rPr>
        <sz val="11"/>
        <rFont val="ＭＳ Ｐゴシック"/>
        <family val="3"/>
        <charset val="128"/>
      </rPr>
      <t>D1007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</si>
  <si>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D1008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</si>
  <si>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D1009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</si>
  <si>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D1010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</si>
  <si>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D1011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</si>
  <si>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S9001</t>
    </r>
    <phoneticPr fontId="3"/>
  </si>
  <si>
    <r>
      <t>B</t>
    </r>
    <r>
      <rPr>
        <sz val="11"/>
        <rFont val="ＭＳ Ｐゴシック"/>
        <family val="3"/>
        <charset val="128"/>
      </rPr>
      <t>S9002</t>
    </r>
    <phoneticPr fontId="3"/>
  </si>
  <si>
    <r>
      <t>B</t>
    </r>
    <r>
      <rPr>
        <sz val="11"/>
        <rFont val="ＭＳ Ｐゴシック"/>
        <family val="3"/>
        <charset val="128"/>
      </rPr>
      <t>D1012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</si>
  <si>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D1013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</si>
  <si>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a</t>
    </r>
    <r>
      <rPr>
        <sz val="11"/>
        <rFont val="ＭＳ Ｐゴシック"/>
        <family val="3"/>
        <charset val="128"/>
      </rPr>
      <t>aaaa</t>
    </r>
    <phoneticPr fontId="3"/>
  </si>
  <si>
    <t>株式会社バンジハンエース</t>
  </si>
  <si>
    <t>CD</t>
    <phoneticPr fontId="3"/>
  </si>
  <si>
    <t>910</t>
    <phoneticPr fontId="3"/>
  </si>
  <si>
    <t>920</t>
  </si>
  <si>
    <t>930</t>
  </si>
  <si>
    <t>940</t>
  </si>
  <si>
    <t>950</t>
  </si>
  <si>
    <t>960</t>
  </si>
  <si>
    <t>970</t>
  </si>
  <si>
    <t>980</t>
  </si>
  <si>
    <t>990</t>
    <phoneticPr fontId="3"/>
  </si>
  <si>
    <t>株式会社 アートプレスト</t>
  </si>
  <si>
    <t>株式会社 バンダイ　4200／ボーイズトイ事業部</t>
  </si>
  <si>
    <t>株式会社 バンダイ　5000／ボーイズトイ事業部</t>
  </si>
  <si>
    <t>株式会社 バンダイ　4200／ガールズトイ事業部</t>
  </si>
  <si>
    <t>株式会社 バンプレスト　マーケティング事業部</t>
  </si>
  <si>
    <t>株式会社ティーケー・ホールディングス　/　5000</t>
  </si>
  <si>
    <t>株式会社ウィンウィンスタイル</t>
  </si>
  <si>
    <t>E</t>
  </si>
  <si>
    <t>区分</t>
  </si>
  <si>
    <t>伝票№</t>
    <rPh sb="0" eb="2">
      <t>デンピョウ</t>
    </rPh>
    <phoneticPr fontId="3"/>
  </si>
  <si>
    <t>ｾｯﾄｻﾝﾌﾟﾙ</t>
  </si>
  <si>
    <t>サンプル</t>
  </si>
  <si>
    <t>本荷</t>
  </si>
  <si>
    <t>金型</t>
  </si>
  <si>
    <t>その他</t>
  </si>
  <si>
    <t>顧客名／部門名</t>
  </si>
  <si>
    <t>事業部CD</t>
    <rPh sb="0" eb="2">
      <t>ジギョウ</t>
    </rPh>
    <rPh sb="2" eb="3">
      <t>ブ</t>
    </rPh>
    <phoneticPr fontId="3"/>
  </si>
  <si>
    <t xml:space="preserve">
請求日</t>
    <phoneticPr fontId="3"/>
  </si>
  <si>
    <t>a100001 b20002</t>
    <phoneticPr fontId="3"/>
  </si>
  <si>
    <t>y2</t>
    <phoneticPr fontId="3"/>
  </si>
  <si>
    <t>z5005</t>
    <phoneticPr fontId="3"/>
  </si>
  <si>
    <t>　3100／プロダクトマネジメント部</t>
  </si>
  <si>
    <t>プロダクトマネジメント部</t>
  </si>
  <si>
    <t>　4100／コレクターズ事業部</t>
  </si>
  <si>
    <t>コレクターズ事業部</t>
  </si>
  <si>
    <t>　/　3100</t>
  </si>
  <si>
    <t>　/　5000</t>
  </si>
  <si>
    <t>01</t>
  </si>
  <si>
    <t>　3200/川崎営業所</t>
  </si>
  <si>
    <t>川崎営業所</t>
  </si>
  <si>
    <t>株式会社バンダイナムコアミューズメント</t>
    <rPh sb="0" eb="4">
      <t>カブシキガイシャ</t>
    </rPh>
    <phoneticPr fontId="3"/>
  </si>
  <si>
    <t>有限会社ユハラ・インターナショナル</t>
  </si>
  <si>
    <t xml:space="preserve">株式会社 バンダイ　3100／ベンダー事業部 </t>
    <phoneticPr fontId="3"/>
  </si>
  <si>
    <t>株式会社 バンダイ</t>
    <phoneticPr fontId="3"/>
  </si>
  <si>
    <t>株式会社 バンダイ　3200／キャンディ事業部</t>
    <phoneticPr fontId="3"/>
  </si>
  <si>
    <t>株式会社 バンダイ　4200／キャンディ事業部</t>
    <phoneticPr fontId="3"/>
  </si>
  <si>
    <t>株式会社 バンダイ　4100／コレクターズ事業部</t>
    <phoneticPr fontId="3"/>
  </si>
  <si>
    <t>株式会社 バンダイ　4200／ボーイズトイ事業部</t>
    <phoneticPr fontId="3"/>
  </si>
  <si>
    <t>株式会社 バンダイ　5000／ボーイズトイ事業部</t>
    <phoneticPr fontId="3"/>
  </si>
  <si>
    <t>株式会社 バンダイ　4200／ガールズトイ事業部</t>
    <phoneticPr fontId="3"/>
  </si>
  <si>
    <t>株式会社 バンダイ　5000／ガールズトイ事業部</t>
    <phoneticPr fontId="3"/>
  </si>
  <si>
    <t>株式会社 バンダイ　3100／プロダクトマネジメント部</t>
    <phoneticPr fontId="3"/>
  </si>
  <si>
    <t>株式会社 バンダイ部</t>
    <phoneticPr fontId="3"/>
  </si>
  <si>
    <t>株式会社BANDAI SPIRITS　4100／コレクターズ事業部</t>
    <phoneticPr fontId="3"/>
  </si>
  <si>
    <t>株式会社BANDAI SPIRITS</t>
    <phoneticPr fontId="3"/>
  </si>
  <si>
    <t>株式会社バンダイナムコアミューズメント</t>
  </si>
  <si>
    <t>株式会社バンダイナムコアミューズメント</t>
    <phoneticPr fontId="3"/>
  </si>
  <si>
    <t>株式会社 バンプレスト　マーケティング事業部</t>
    <phoneticPr fontId="3"/>
  </si>
  <si>
    <t>株式会社 アートプレスト　/　3100</t>
    <phoneticPr fontId="3"/>
  </si>
  <si>
    <t>株式会社エムアイシー</t>
    <phoneticPr fontId="3"/>
  </si>
  <si>
    <t>株式会社ティーケー・ホールディングス　/　SPチーム</t>
    <phoneticPr fontId="3"/>
  </si>
  <si>
    <t>株式会社ティーケー・ホールディングス　/　5000</t>
    <phoneticPr fontId="3"/>
  </si>
  <si>
    <t>株式会社ティーケーホールディングス/経費</t>
    <phoneticPr fontId="3"/>
  </si>
  <si>
    <t>バンダイビジュアル株式会社</t>
    <phoneticPr fontId="3"/>
  </si>
  <si>
    <t>株式会社フジトーイ</t>
    <phoneticPr fontId="3"/>
  </si>
  <si>
    <t>株式会社プレジャーキャスト</t>
    <phoneticPr fontId="3"/>
  </si>
  <si>
    <t>株式会社アスキー・メディアワークス</t>
    <phoneticPr fontId="3"/>
  </si>
  <si>
    <t>サミー株式会社</t>
    <phoneticPr fontId="3"/>
  </si>
  <si>
    <t>ボークス株式会社</t>
    <phoneticPr fontId="3"/>
  </si>
  <si>
    <t>株式会社シービーエー</t>
    <phoneticPr fontId="3"/>
  </si>
  <si>
    <t>石川玩具株式会社</t>
    <phoneticPr fontId="3"/>
  </si>
  <si>
    <t>日本食材株式会社</t>
    <phoneticPr fontId="3"/>
  </si>
  <si>
    <t>加藤製菓株式会社</t>
    <phoneticPr fontId="3"/>
  </si>
  <si>
    <t>株式会社サンライズ</t>
    <phoneticPr fontId="3"/>
  </si>
  <si>
    <t>株式会社ナムコ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</si>
  <si>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</si>
  <si>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</si>
  <si>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株式会社ダイワトーイ</t>
    <phoneticPr fontId="3"/>
  </si>
  <si>
    <t>株式会社プレックス</t>
    <phoneticPr fontId="3"/>
  </si>
  <si>
    <t>株式会社シーズ</t>
    <phoneticPr fontId="3"/>
  </si>
  <si>
    <t>株式会社スカイ・ジェイ</t>
    <phoneticPr fontId="3"/>
  </si>
  <si>
    <t>株式会社カプコン</t>
    <phoneticPr fontId="3"/>
  </si>
  <si>
    <t>株式会社そごう・西武</t>
    <phoneticPr fontId="3"/>
  </si>
  <si>
    <t>株式会社ティー・シー・ピー</t>
    <phoneticPr fontId="3"/>
  </si>
  <si>
    <t>総合商研株式会社</t>
    <phoneticPr fontId="3"/>
  </si>
  <si>
    <t>株式会社ポリゴン・ピクチュアズ</t>
    <phoneticPr fontId="3"/>
  </si>
  <si>
    <t>株式会社フォーチュンエンターテイメント</t>
    <phoneticPr fontId="3"/>
  </si>
  <si>
    <t>キングレコード株式会社</t>
    <phoneticPr fontId="3"/>
  </si>
  <si>
    <t>ソニー株式会社</t>
    <phoneticPr fontId="3"/>
  </si>
  <si>
    <t>株式会社ブイシンク</t>
    <phoneticPr fontId="3"/>
  </si>
  <si>
    <t>有限会社ユハラ・インターナショナル</t>
    <phoneticPr fontId="3"/>
  </si>
  <si>
    <t>株式会社ライブ・ワークス</t>
    <phoneticPr fontId="3"/>
  </si>
  <si>
    <t>株式会社ロジパルエクスプレス　3200/川崎営業所</t>
    <phoneticPr fontId="3"/>
  </si>
  <si>
    <t>株式会社バンジハンエース</t>
    <phoneticPr fontId="3"/>
  </si>
  <si>
    <t>ver.8.5で訂正箇所：『A9：A206』、『I9：M206』、『R9：S206』</t>
    <phoneticPr fontId="3"/>
  </si>
  <si>
    <t>ver.8.5で訂正箇所</t>
    <phoneticPr fontId="3"/>
  </si>
  <si>
    <t>T-4010501003240</t>
    <phoneticPr fontId="3"/>
  </si>
  <si>
    <t>消費税(8%)</t>
    <rPh sb="0" eb="3">
      <t>ショウヒゼイ</t>
    </rPh>
    <phoneticPr fontId="7"/>
  </si>
  <si>
    <t xml:space="preserve">株式会社 バンダイ　3100／ベンダー事業部 </t>
    <phoneticPr fontId="3"/>
  </si>
  <si>
    <t>顧客No</t>
    <rPh sb="0" eb="2">
      <t>コキャク</t>
    </rPh>
    <phoneticPr fontId="3"/>
  </si>
  <si>
    <t>KWGNo</t>
    <phoneticPr fontId="3"/>
  </si>
  <si>
    <t>複数のKWGNoが表示されていない。</t>
    <rPh sb="0" eb="2">
      <t>フクスウ</t>
    </rPh>
    <rPh sb="9" eb="11">
      <t>ヒョウジ</t>
    </rPh>
    <phoneticPr fontId="3"/>
  </si>
  <si>
    <t>→確認して修正。</t>
    <rPh sb="1" eb="3">
      <t>カクニン</t>
    </rPh>
    <rPh sb="5" eb="7">
      <t>シュウセイ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</si>
</sst>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5" formatCode="&quot;¥&quot;#,##0;&quot;¥&quot;\-#,##0"/>
    <numFmt numFmtId="6" formatCode="&quot;¥&quot;#,##0;[Red]&quot;¥&quot;\-#,##0"/>
    <numFmt numFmtId="176" formatCode="m&quot;月&quot;"/>
    <numFmt numFmtId="177" formatCode="d&quot;日&quot;"/>
    <numFmt numFmtId="178" formatCode="m/d"/>
    <numFmt numFmtId="179" formatCode="ggge&quot;年&quot;m&quot;月&quot;"/>
    <numFmt numFmtId="180" formatCode="General&quot;月&quot;"/>
    <numFmt numFmtId="181" formatCode="General&quot;日&quot;"/>
    <numFmt numFmtId="182" formatCode="ggge&quot;年&quot;m&quot;月回収予定&quot;"/>
    <numFmt numFmtId="183" formatCode="&quot;US$&quot;#,##0.00;[Red]\-&quot;US$&quot;#,##0.00"/>
    <numFmt numFmtId="184" formatCode="yyyy&quot;年&quot;m&quot;月&quot;d&quot;日&quot;;@"/>
    <numFmt numFmtId="185" formatCode="0;0;"/>
    <numFmt numFmtId="186" formatCode="ggge&quot;年&quot;m&quot;月請求明細　（通貨＝￥）&quot;"/>
    <numFmt numFmtId="187" formatCode="ggge&quot;年&quot;m&quot;月請求明細　（通貨＝ＵＳ＄）&quot;"/>
    <numFmt numFmtId="188" formatCode="#,##0_ ;[Red]\-#,##0\ "/>
    <numFmt numFmtId="189" formatCode="\$#,##0.00;[Red]\-\$#,##0.00"/>
    <numFmt numFmtId="190" formatCode="&quot;$&quot;#,##0.00;[Red]\-#,##0.00"/>
    <numFmt numFmtId="191" formatCode="&quot;HK$&quot;#,##0.00;[Red]\-#,##0.00"/>
    <numFmt numFmtId="192" formatCode="0_ ;[Red]\-0\ "/>
    <numFmt numFmtId="193" formatCode="ggge&quot;年&quot;m&quot;月請求明細　（通貨＝ＨＫ＄）&quot;"/>
    <numFmt numFmtId="194" formatCode="#,##0.00_ ;[Red]\-#,##0.00\ "/>
    <numFmt numFmtId="195" formatCode="[$HK$-C04]#,##0.00;[Red]\-[$HK$-C04]#,##0.00"/>
    <numFmt numFmtId="196" formatCode="General&quot;% 消費税額&quot;"/>
  </numFmts>
  <fonts count="3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ＲＦＰイワタ中太教科書体"/>
      <family val="3"/>
      <charset val="128"/>
    </font>
    <font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2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name val="ＭＳ Ｐゴシック"/>
      <family val="3"/>
      <charset val="128"/>
    </font>
    <font>
      <sz val="1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24"/>
      <color indexed="10"/>
      <name val="ＭＳ Ｐゴシック"/>
      <family val="3"/>
      <charset val="128"/>
    </font>
    <font>
      <sz val="22"/>
      <name val="ＭＳ Ｐゴシック"/>
      <family val="3"/>
      <charset val="128"/>
    </font>
    <font>
      <sz val="1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30"/>
      <name val="ＭＳ Ｐゴシック"/>
      <family val="3"/>
      <charset val="128"/>
    </font>
    <font>
      <sz val="10"/>
      <color indexed="81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9.9978637043366805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9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38" fontId="2" fillId="0" borderId="0" applyFont="0" applyFill="0" applyBorder="0" applyAlignment="0" applyProtection="0"/>
    <xf numFmtId="0" fontId="2" fillId="0" borderId="0"/>
  </cellStyleXfs>
  <cellXfs count="867">
    <xf numFmtId="0" fontId="0" fillId="0" borderId="0" xfId="0"/>
    <xf numFmtId="0" fontId="0" fillId="0" borderId="0" xfId="0" applyAlignment="1">
      <alignment horizontal="center" vertical="center" shrinkToFit="1"/>
    </xf>
    <xf numFmtId="3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Alignment="1"/>
    <xf numFmtId="38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shrinkToFit="1"/>
    </xf>
    <xf numFmtId="0" fontId="4" fillId="0" borderId="0" xfId="0" applyFont="1" applyAlignment="1"/>
    <xf numFmtId="0" fontId="0" fillId="0" borderId="0" xfId="0" applyAlignment="1">
      <alignment horizontal="center" shrinkToFit="1"/>
    </xf>
    <xf numFmtId="3" fontId="0" fillId="0" borderId="0" xfId="0" applyNumberFormat="1" applyFill="1"/>
    <xf numFmtId="3" fontId="0" fillId="0" borderId="0" xfId="0" applyNumberFormat="1"/>
    <xf numFmtId="49" fontId="2" fillId="0" borderId="0" xfId="0" applyNumberFormat="1" applyFont="1" applyAlignment="1">
      <alignment horizontal="center" shrinkToFit="1"/>
    </xf>
    <xf numFmtId="49" fontId="2" fillId="0" borderId="0" xfId="0" applyNumberFormat="1" applyFont="1" applyAlignment="1">
      <alignment shrinkToFit="1"/>
    </xf>
    <xf numFmtId="49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right"/>
    </xf>
    <xf numFmtId="0" fontId="11" fillId="0" borderId="0" xfId="0" applyFont="1" applyAlignment="1" applyProtection="1">
      <alignment horizontal="center"/>
    </xf>
    <xf numFmtId="0" fontId="9" fillId="0" borderId="0" xfId="0" applyFont="1" applyAlignment="1" applyProtection="1">
      <alignment shrinkToFit="1"/>
    </xf>
    <xf numFmtId="0" fontId="0" fillId="0" borderId="0" xfId="0" applyBorder="1" applyAlignment="1" applyProtection="1">
      <alignment vertical="center"/>
    </xf>
    <xf numFmtId="0" fontId="8" fillId="0" borderId="1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/>
    </xf>
    <xf numFmtId="0" fontId="0" fillId="0" borderId="3" xfId="0" applyBorder="1" applyProtection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shrinkToFit="1"/>
    </xf>
    <xf numFmtId="49" fontId="0" fillId="0" borderId="0" xfId="0" applyNumberFormat="1" applyProtection="1"/>
    <xf numFmtId="0" fontId="0" fillId="0" borderId="0" xfId="0" applyAlignment="1" applyProtection="1">
      <alignment horizontal="center"/>
    </xf>
    <xf numFmtId="0" fontId="13" fillId="0" borderId="0" xfId="0" applyFont="1" applyProtection="1"/>
    <xf numFmtId="49" fontId="13" fillId="0" borderId="0" xfId="0" applyNumberFormat="1" applyFont="1" applyProtection="1"/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49" fontId="2" fillId="0" borderId="0" xfId="0" applyNumberFormat="1" applyFont="1" applyProtection="1"/>
    <xf numFmtId="0" fontId="4" fillId="0" borderId="0" xfId="0" applyFont="1" applyProtection="1"/>
    <xf numFmtId="49" fontId="4" fillId="0" borderId="0" xfId="0" applyNumberFormat="1" applyFont="1" applyProtection="1"/>
    <xf numFmtId="0" fontId="2" fillId="0" borderId="0" xfId="0" applyFont="1" applyAlignment="1" applyProtection="1">
      <alignment shrinkToFit="1"/>
    </xf>
    <xf numFmtId="38" fontId="2" fillId="0" borderId="0" xfId="0" applyNumberFormat="1" applyFont="1" applyAlignment="1" applyProtection="1">
      <alignment shrinkToFit="1"/>
    </xf>
    <xf numFmtId="0" fontId="4" fillId="0" borderId="0" xfId="0" applyFont="1" applyAlignment="1" applyProtection="1">
      <alignment shrinkToFit="1"/>
    </xf>
    <xf numFmtId="38" fontId="4" fillId="0" borderId="0" xfId="0" applyNumberFormat="1" applyFont="1" applyAlignment="1" applyProtection="1">
      <alignment shrinkToFit="1"/>
    </xf>
    <xf numFmtId="0" fontId="13" fillId="0" borderId="0" xfId="0" applyFont="1" applyAlignment="1" applyProtection="1">
      <alignment shrinkToFit="1"/>
    </xf>
    <xf numFmtId="38" fontId="13" fillId="0" borderId="0" xfId="0" applyNumberFormat="1" applyFont="1" applyAlignment="1" applyProtection="1">
      <alignment shrinkToFit="1"/>
    </xf>
    <xf numFmtId="49" fontId="2" fillId="0" borderId="0" xfId="0" applyNumberFormat="1" applyFont="1" applyAlignment="1" applyProtection="1">
      <alignment shrinkToFit="1"/>
    </xf>
    <xf numFmtId="49" fontId="4" fillId="0" borderId="0" xfId="0" applyNumberFormat="1" applyFont="1" applyAlignment="1" applyProtection="1">
      <alignment shrinkToFit="1"/>
    </xf>
    <xf numFmtId="49" fontId="13" fillId="0" borderId="0" xfId="0" applyNumberFormat="1" applyFont="1" applyAlignment="1" applyProtection="1">
      <alignment shrinkToFit="1"/>
    </xf>
    <xf numFmtId="49" fontId="0" fillId="0" borderId="0" xfId="0" applyNumberFormat="1" applyAlignment="1">
      <alignment horizontal="left" shrinkToFit="1"/>
    </xf>
    <xf numFmtId="49" fontId="4" fillId="0" borderId="0" xfId="0" applyNumberFormat="1" applyFont="1" applyAlignment="1">
      <alignment horizontal="left" shrinkToFit="1"/>
    </xf>
    <xf numFmtId="49" fontId="0" fillId="0" borderId="0" xfId="0" applyNumberFormat="1" applyAlignment="1" applyProtection="1">
      <alignment shrinkToFit="1"/>
    </xf>
    <xf numFmtId="0" fontId="2" fillId="0" borderId="0" xfId="0" applyFont="1" applyAlignment="1" applyProtection="1">
      <alignment horizontal="right" shrinkToFit="1"/>
    </xf>
    <xf numFmtId="0" fontId="4" fillId="0" borderId="0" xfId="0" applyFont="1" applyAlignment="1" applyProtection="1">
      <alignment horizontal="right" shrinkToFit="1"/>
    </xf>
    <xf numFmtId="0" fontId="0" fillId="0" borderId="3" xfId="0" applyFill="1" applyBorder="1" applyAlignment="1" applyProtection="1">
      <alignment shrinkToFit="1"/>
    </xf>
    <xf numFmtId="0" fontId="0" fillId="0" borderId="0" xfId="0" applyNumberFormat="1" applyAlignment="1">
      <alignment horizontal="center" vertical="center" shrinkToFit="1"/>
    </xf>
    <xf numFmtId="0" fontId="0" fillId="2" borderId="3" xfId="0" applyFill="1" applyBorder="1" applyProtection="1"/>
    <xf numFmtId="0" fontId="0" fillId="3" borderId="3" xfId="0" applyFill="1" applyBorder="1" applyProtection="1"/>
    <xf numFmtId="49" fontId="0" fillId="4" borderId="11" xfId="0" applyNumberFormat="1" applyFill="1" applyBorder="1"/>
    <xf numFmtId="0" fontId="0" fillId="4" borderId="11" xfId="0" applyFill="1" applyBorder="1"/>
    <xf numFmtId="0" fontId="0" fillId="4" borderId="11" xfId="0" applyFill="1" applyBorder="1" applyAlignment="1">
      <alignment shrinkToFit="1"/>
    </xf>
    <xf numFmtId="49" fontId="0" fillId="2" borderId="3" xfId="0" applyNumberFormat="1" applyFill="1" applyBorder="1" applyProtection="1">
      <protection locked="0"/>
    </xf>
    <xf numFmtId="0" fontId="2" fillId="0" borderId="0" xfId="0" applyFont="1" applyFill="1" applyProtection="1"/>
    <xf numFmtId="180" fontId="8" fillId="0" borderId="15" xfId="0" applyNumberFormat="1" applyFont="1" applyBorder="1" applyAlignment="1" applyProtection="1">
      <alignment horizontal="right" vertical="center"/>
    </xf>
    <xf numFmtId="0" fontId="10" fillId="0" borderId="0" xfId="0" applyFont="1" applyAlignment="1" applyProtection="1">
      <alignment vertical="center"/>
    </xf>
    <xf numFmtId="0" fontId="20" fillId="5" borderId="3" xfId="0" applyFont="1" applyFill="1" applyBorder="1" applyAlignment="1" applyProtection="1">
      <alignment horizontal="center" vertical="center"/>
    </xf>
    <xf numFmtId="0" fontId="16" fillId="0" borderId="0" xfId="0" applyFont="1" applyFill="1" applyProtection="1"/>
    <xf numFmtId="0" fontId="17" fillId="0" borderId="0" xfId="0" applyFont="1" applyFill="1" applyProtection="1"/>
    <xf numFmtId="0" fontId="0" fillId="0" borderId="0" xfId="0" applyFill="1"/>
    <xf numFmtId="0" fontId="0" fillId="0" borderId="0" xfId="0" applyAlignment="1">
      <alignment vertical="top"/>
    </xf>
    <xf numFmtId="0" fontId="4" fillId="0" borderId="0" xfId="0" applyFont="1" applyFill="1"/>
    <xf numFmtId="0" fontId="0" fillId="0" borderId="0" xfId="0" applyAlignment="1">
      <alignment horizontal="right"/>
    </xf>
    <xf numFmtId="0" fontId="4" fillId="0" borderId="0" xfId="0" applyFont="1" applyFill="1" applyBorder="1" applyAlignment="1"/>
    <xf numFmtId="0" fontId="0" fillId="0" borderId="0" xfId="0" applyFill="1" applyBorder="1"/>
    <xf numFmtId="183" fontId="4" fillId="0" borderId="0" xfId="0" applyNumberFormat="1" applyFont="1"/>
    <xf numFmtId="0" fontId="13" fillId="0" borderId="0" xfId="0" applyFont="1" applyAlignment="1">
      <alignment shrinkToFit="1"/>
    </xf>
    <xf numFmtId="0" fontId="4" fillId="0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0" borderId="0" xfId="0" applyFont="1" applyFill="1" applyAlignment="1"/>
    <xf numFmtId="0" fontId="0" fillId="0" borderId="0" xfId="0" applyFill="1" applyAlignment="1">
      <alignment vertical="top"/>
    </xf>
    <xf numFmtId="57" fontId="6" fillId="0" borderId="0" xfId="0" applyNumberFormat="1" applyFont="1" applyAlignment="1" applyProtection="1"/>
    <xf numFmtId="0" fontId="0" fillId="0" borderId="0" xfId="0" applyFill="1" applyAlignment="1">
      <alignment vertical="top" shrinkToFit="1"/>
    </xf>
    <xf numFmtId="0" fontId="0" fillId="0" borderId="0" xfId="0" applyFont="1" applyFill="1" applyProtection="1"/>
    <xf numFmtId="0" fontId="24" fillId="0" borderId="0" xfId="0" applyFont="1" applyFill="1" applyBorder="1" applyAlignment="1"/>
    <xf numFmtId="0" fontId="0" fillId="0" borderId="0" xfId="0" applyFont="1" applyAlignment="1">
      <alignment shrinkToFit="1"/>
    </xf>
    <xf numFmtId="0" fontId="13" fillId="0" borderId="0" xfId="0" applyFont="1" applyAlignment="1">
      <alignment shrinkToFit="1"/>
    </xf>
    <xf numFmtId="0" fontId="0" fillId="0" borderId="32" xfId="0" applyFont="1" applyBorder="1" applyAlignment="1">
      <alignment horizontal="center" shrinkToFit="1"/>
    </xf>
    <xf numFmtId="38" fontId="0" fillId="0" borderId="3" xfId="0" applyNumberFormat="1" applyBorder="1"/>
    <xf numFmtId="49" fontId="0" fillId="6" borderId="21" xfId="0" applyNumberFormat="1" applyFill="1" applyBorder="1" applyProtection="1"/>
    <xf numFmtId="0" fontId="28" fillId="0" borderId="0" xfId="0" applyFont="1" applyFill="1" applyProtection="1"/>
    <xf numFmtId="49" fontId="0" fillId="7" borderId="0" xfId="0" applyNumberFormat="1" applyFill="1" applyProtection="1"/>
    <xf numFmtId="49" fontId="0" fillId="8" borderId="0" xfId="0" applyNumberFormat="1" applyFill="1" applyProtection="1"/>
    <xf numFmtId="0" fontId="0" fillId="0" borderId="0" xfId="0" applyAlignment="1">
      <alignment shrinkToFit="1"/>
    </xf>
    <xf numFmtId="0" fontId="8" fillId="0" borderId="0" xfId="0" applyFont="1" applyAlignment="1" applyProtection="1">
      <alignment shrinkToFit="1"/>
    </xf>
    <xf numFmtId="20" fontId="11" fillId="0" borderId="0" xfId="0" applyNumberFormat="1" applyFont="1" applyAlignment="1" applyProtection="1">
      <alignment horizontal="center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center"/>
    </xf>
    <xf numFmtId="49" fontId="0" fillId="9" borderId="3" xfId="0" applyNumberFormat="1" applyFont="1" applyFill="1" applyBorder="1" applyAlignment="1" applyProtection="1">
      <protection locked="0"/>
    </xf>
    <xf numFmtId="49" fontId="0" fillId="2" borderId="14" xfId="0" applyNumberFormat="1" applyFill="1" applyBorder="1" applyProtection="1">
      <protection locked="0"/>
    </xf>
    <xf numFmtId="49" fontId="2" fillId="0" borderId="0" xfId="0" applyNumberFormat="1" applyFont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49" fontId="13" fillId="0" borderId="0" xfId="0" applyNumberFormat="1" applyFont="1" applyAlignment="1" applyProtection="1">
      <alignment horizontal="center"/>
    </xf>
    <xf numFmtId="0" fontId="0" fillId="0" borderId="0" xfId="0" applyAlignment="1" applyProtection="1"/>
    <xf numFmtId="0" fontId="0" fillId="0" borderId="3" xfId="0" applyFont="1" applyBorder="1" applyAlignment="1" applyProtection="1">
      <alignment horizontal="center" vertic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8" fillId="0" borderId="43" xfId="0" applyFont="1" applyFill="1" applyBorder="1" applyAlignment="1" applyProtection="1">
      <alignment horizontal="center" shrinkToFit="1"/>
    </xf>
    <xf numFmtId="0" fontId="8" fillId="0" borderId="44" xfId="0" applyFont="1" applyFill="1" applyBorder="1" applyAlignment="1" applyProtection="1">
      <alignment horizontal="center" shrinkToFit="1"/>
    </xf>
    <xf numFmtId="0" fontId="8" fillId="0" borderId="4" xfId="0" applyFont="1" applyFill="1" applyBorder="1" applyAlignment="1" applyProtection="1">
      <alignment horizontal="center" shrinkToFit="1"/>
    </xf>
    <xf numFmtId="0" fontId="8" fillId="0" borderId="5" xfId="0" applyFont="1" applyFill="1" applyBorder="1" applyAlignment="1" applyProtection="1">
      <alignment horizontal="center" shrinkToFit="1"/>
    </xf>
    <xf numFmtId="0" fontId="8" fillId="0" borderId="2" xfId="0" applyFont="1" applyFill="1" applyBorder="1" applyAlignment="1" applyProtection="1">
      <alignment horizontal="center" shrinkToFit="1"/>
    </xf>
    <xf numFmtId="0" fontId="8" fillId="0" borderId="6" xfId="0" applyFont="1" applyFill="1" applyBorder="1" applyAlignment="1" applyProtection="1">
      <alignment horizontal="center" shrinkToFit="1"/>
    </xf>
    <xf numFmtId="188" fontId="0" fillId="0" borderId="0" xfId="0" applyNumberFormat="1" applyFill="1"/>
    <xf numFmtId="189" fontId="0" fillId="0" borderId="0" xfId="0" applyNumberFormat="1" applyFill="1"/>
    <xf numFmtId="6" fontId="0" fillId="0" borderId="0" xfId="0" applyNumberFormat="1" applyFill="1"/>
    <xf numFmtId="6" fontId="0" fillId="0" borderId="0" xfId="0" applyNumberFormat="1"/>
    <xf numFmtId="0" fontId="0" fillId="0" borderId="21" xfId="0" applyBorder="1" applyProtection="1"/>
    <xf numFmtId="49" fontId="0" fillId="7" borderId="0" xfId="0" applyNumberFormat="1" applyFill="1" applyBorder="1" applyProtection="1"/>
    <xf numFmtId="49" fontId="0" fillId="8" borderId="0" xfId="0" applyNumberFormat="1" applyFill="1" applyBorder="1" applyProtection="1"/>
    <xf numFmtId="3" fontId="0" fillId="0" borderId="0" xfId="0" applyNumberFormat="1" applyFill="1" applyBorder="1"/>
    <xf numFmtId="188" fontId="0" fillId="0" borderId="55" xfId="0" applyNumberFormat="1" applyFill="1" applyBorder="1"/>
    <xf numFmtId="6" fontId="0" fillId="0" borderId="0" xfId="0" applyNumberFormat="1" applyFill="1" applyBorder="1"/>
    <xf numFmtId="188" fontId="0" fillId="0" borderId="0" xfId="0" applyNumberFormat="1" applyFill="1" applyBorder="1"/>
    <xf numFmtId="6" fontId="0" fillId="0" borderId="56" xfId="0" applyNumberFormat="1" applyFill="1" applyBorder="1"/>
    <xf numFmtId="188" fontId="0" fillId="0" borderId="55" xfId="0" applyNumberFormat="1" applyFill="1" applyBorder="1" applyAlignment="1"/>
    <xf numFmtId="6" fontId="0" fillId="0" borderId="0" xfId="0" applyNumberFormat="1" applyFill="1" applyBorder="1" applyAlignment="1"/>
    <xf numFmtId="188" fontId="0" fillId="0" borderId="3" xfId="0" applyNumberFormat="1" applyFill="1" applyBorder="1"/>
    <xf numFmtId="6" fontId="0" fillId="0" borderId="3" xfId="0" applyNumberFormat="1" applyFill="1" applyBorder="1"/>
    <xf numFmtId="189" fontId="0" fillId="0" borderId="0" xfId="0" applyNumberFormat="1" applyFill="1" applyBorder="1"/>
    <xf numFmtId="189" fontId="0" fillId="0" borderId="56" xfId="0" applyNumberFormat="1" applyFill="1" applyBorder="1"/>
    <xf numFmtId="189" fontId="0" fillId="0" borderId="0" xfId="0" applyNumberFormat="1" applyFill="1" applyBorder="1" applyAlignment="1"/>
    <xf numFmtId="188" fontId="0" fillId="0" borderId="0" xfId="0" applyNumberFormat="1" applyFill="1" applyBorder="1" applyAlignment="1"/>
    <xf numFmtId="189" fontId="0" fillId="0" borderId="56" xfId="0" applyNumberFormat="1" applyFill="1" applyBorder="1" applyAlignment="1"/>
    <xf numFmtId="188" fontId="0" fillId="0" borderId="4" xfId="0" applyNumberFormat="1" applyFill="1" applyBorder="1"/>
    <xf numFmtId="6" fontId="0" fillId="0" borderId="56" xfId="0" applyNumberFormat="1" applyFill="1" applyBorder="1" applyAlignment="1"/>
    <xf numFmtId="188" fontId="0" fillId="0" borderId="19" xfId="0" applyNumberFormat="1" applyFill="1" applyBorder="1"/>
    <xf numFmtId="40" fontId="0" fillId="0" borderId="0" xfId="0" applyNumberFormat="1" applyProtection="1"/>
    <xf numFmtId="40" fontId="0" fillId="0" borderId="10" xfId="0" applyNumberFormat="1" applyFill="1" applyBorder="1" applyProtection="1"/>
    <xf numFmtId="40" fontId="0" fillId="0" borderId="13" xfId="0" applyNumberFormat="1" applyFill="1" applyBorder="1" applyProtection="1"/>
    <xf numFmtId="0" fontId="0" fillId="0" borderId="0" xfId="0" applyFont="1"/>
    <xf numFmtId="194" fontId="0" fillId="0" borderId="0" xfId="0" applyNumberFormat="1"/>
    <xf numFmtId="0" fontId="15" fillId="0" borderId="0" xfId="0" applyFont="1" applyAlignment="1" applyProtection="1">
      <alignment vertical="center"/>
    </xf>
    <xf numFmtId="0" fontId="0" fillId="0" borderId="0" xfId="0" applyAlignment="1">
      <alignment shrinkToFit="1"/>
    </xf>
    <xf numFmtId="0" fontId="13" fillId="0" borderId="0" xfId="0" applyFont="1" applyAlignment="1">
      <alignment shrinkToFit="1"/>
    </xf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13" fillId="0" borderId="0" xfId="0" applyFont="1" applyAlignment="1">
      <alignment shrinkToFit="1"/>
    </xf>
    <xf numFmtId="0" fontId="2" fillId="0" borderId="0" xfId="0" applyFont="1" applyFill="1" applyAlignment="1">
      <alignment vertical="top"/>
    </xf>
    <xf numFmtId="0" fontId="4" fillId="0" borderId="0" xfId="0" applyNumberFormat="1" applyFont="1" applyAlignment="1">
      <alignment horizontal="center" vertical="center" shrinkToFit="1"/>
    </xf>
    <xf numFmtId="6" fontId="4" fillId="0" borderId="52" xfId="0" applyNumberFormat="1" applyFont="1" applyFill="1" applyBorder="1" applyAlignment="1" applyProtection="1">
      <alignment shrinkToFit="1"/>
    </xf>
    <xf numFmtId="190" fontId="4" fillId="0" borderId="53" xfId="0" applyNumberFormat="1" applyFont="1" applyFill="1" applyBorder="1" applyAlignment="1" applyProtection="1">
      <alignment shrinkToFit="1"/>
    </xf>
    <xf numFmtId="191" fontId="4" fillId="0" borderId="53" xfId="0" applyNumberFormat="1" applyFont="1" applyFill="1" applyBorder="1" applyAlignment="1" applyProtection="1">
      <alignment shrinkToFit="1"/>
    </xf>
    <xf numFmtId="40" fontId="4" fillId="0" borderId="54" xfId="0" applyNumberFormat="1" applyFont="1" applyFill="1" applyBorder="1" applyAlignment="1" applyProtection="1">
      <alignment shrinkToFit="1"/>
    </xf>
    <xf numFmtId="38" fontId="4" fillId="0" borderId="0" xfId="0" applyNumberFormat="1" applyFont="1" applyFill="1" applyAlignment="1" applyProtection="1">
      <alignment shrinkToFit="1"/>
    </xf>
    <xf numFmtId="176" fontId="0" fillId="0" borderId="3" xfId="0" applyNumberFormat="1" applyFont="1" applyFill="1" applyBorder="1" applyAlignment="1" applyProtection="1"/>
    <xf numFmtId="177" fontId="0" fillId="0" borderId="3" xfId="0" applyNumberFormat="1" applyFont="1" applyFill="1" applyBorder="1" applyAlignment="1" applyProtection="1"/>
    <xf numFmtId="0" fontId="2" fillId="0" borderId="0" xfId="0" applyFont="1" applyFill="1" applyAlignment="1" applyProtection="1">
      <alignment shrinkToFit="1"/>
    </xf>
    <xf numFmtId="40" fontId="0" fillId="0" borderId="8" xfId="0" applyNumberFormat="1" applyFill="1" applyBorder="1" applyProtection="1"/>
    <xf numFmtId="38" fontId="0" fillId="0" borderId="3" xfId="1" quotePrefix="1" applyNumberFormat="1" applyFont="1" applyFill="1" applyBorder="1" applyProtection="1"/>
    <xf numFmtId="40" fontId="0" fillId="0" borderId="3" xfId="1" quotePrefix="1" applyNumberFormat="1" applyFont="1" applyFill="1" applyBorder="1" applyProtection="1"/>
    <xf numFmtId="40" fontId="0" fillId="0" borderId="14" xfId="1" quotePrefix="1" applyNumberFormat="1" applyFont="1" applyFill="1" applyBorder="1" applyProtection="1"/>
    <xf numFmtId="189" fontId="0" fillId="0" borderId="3" xfId="0" applyNumberFormat="1" applyFill="1" applyBorder="1"/>
    <xf numFmtId="0" fontId="0" fillId="0" borderId="3" xfId="0" applyFill="1" applyBorder="1" applyAlignment="1">
      <alignment horizontal="center"/>
    </xf>
    <xf numFmtId="0" fontId="13" fillId="0" borderId="0" xfId="0" applyFont="1" applyFill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Alignment="1">
      <alignment shrinkToFit="1"/>
    </xf>
    <xf numFmtId="0" fontId="18" fillId="0" borderId="0" xfId="0" applyFont="1" applyFill="1" applyAlignment="1">
      <alignment horizontal="center" vertical="center" shrinkToFit="1"/>
    </xf>
    <xf numFmtId="0" fontId="0" fillId="0" borderId="14" xfId="0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/>
    <xf numFmtId="40" fontId="4" fillId="0" borderId="10" xfId="0" applyNumberFormat="1" applyFont="1" applyBorder="1"/>
    <xf numFmtId="40" fontId="4" fillId="0" borderId="13" xfId="0" applyNumberFormat="1" applyFont="1" applyBorder="1"/>
    <xf numFmtId="188" fontId="0" fillId="0" borderId="40" xfId="0" applyNumberFormat="1" applyFill="1" applyBorder="1"/>
    <xf numFmtId="6" fontId="0" fillId="0" borderId="12" xfId="0" applyNumberFormat="1" applyFill="1" applyBorder="1"/>
    <xf numFmtId="188" fontId="0" fillId="0" borderId="12" xfId="0" applyNumberFormat="1" applyFill="1" applyBorder="1"/>
    <xf numFmtId="0" fontId="0" fillId="0" borderId="45" xfId="0" applyFill="1" applyBorder="1"/>
    <xf numFmtId="189" fontId="0" fillId="0" borderId="12" xfId="0" applyNumberFormat="1" applyFill="1" applyBorder="1"/>
    <xf numFmtId="188" fontId="4" fillId="0" borderId="34" xfId="0" applyNumberFormat="1" applyFont="1" applyBorder="1"/>
    <xf numFmtId="6" fontId="4" fillId="0" borderId="35" xfId="0" applyNumberFormat="1" applyFont="1" applyBorder="1"/>
    <xf numFmtId="0" fontId="4" fillId="0" borderId="35" xfId="0" applyFont="1" applyBorder="1"/>
    <xf numFmtId="3" fontId="0" fillId="0" borderId="35" xfId="0" applyNumberFormat="1" applyFill="1" applyBorder="1"/>
    <xf numFmtId="188" fontId="4" fillId="0" borderId="35" xfId="0" applyNumberFormat="1" applyFont="1" applyBorder="1"/>
    <xf numFmtId="189" fontId="4" fillId="0" borderId="35" xfId="0" applyNumberFormat="1" applyFont="1" applyBorder="1"/>
    <xf numFmtId="0" fontId="0" fillId="0" borderId="49" xfId="0" applyBorder="1"/>
    <xf numFmtId="38" fontId="0" fillId="0" borderId="45" xfId="0" applyNumberFormat="1" applyBorder="1"/>
    <xf numFmtId="0" fontId="0" fillId="0" borderId="45" xfId="0" applyBorder="1"/>
    <xf numFmtId="188" fontId="4" fillId="0" borderId="45" xfId="0" applyNumberFormat="1" applyFont="1" applyBorder="1"/>
    <xf numFmtId="6" fontId="4" fillId="0" borderId="45" xfId="0" applyNumberFormat="1" applyFont="1" applyBorder="1"/>
    <xf numFmtId="189" fontId="4" fillId="0" borderId="45" xfId="0" applyNumberFormat="1" applyFont="1" applyBorder="1"/>
    <xf numFmtId="6" fontId="0" fillId="0" borderId="45" xfId="0" applyNumberFormat="1" applyBorder="1"/>
    <xf numFmtId="192" fontId="0" fillId="0" borderId="45" xfId="0" applyNumberFormat="1" applyBorder="1"/>
    <xf numFmtId="189" fontId="0" fillId="0" borderId="45" xfId="0" applyNumberFormat="1" applyBorder="1"/>
    <xf numFmtId="0" fontId="0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194" fontId="0" fillId="0" borderId="0" xfId="0" applyNumberFormat="1" applyAlignment="1">
      <alignment horizontal="center"/>
    </xf>
    <xf numFmtId="6" fontId="4" fillId="0" borderId="22" xfId="0" applyNumberFormat="1" applyFont="1" applyBorder="1" applyProtection="1"/>
    <xf numFmtId="6" fontId="4" fillId="0" borderId="23" xfId="0" applyNumberFormat="1" applyFont="1" applyBorder="1" applyProtection="1"/>
    <xf numFmtId="6" fontId="4" fillId="0" borderId="24" xfId="0" applyNumberFormat="1" applyFont="1" applyBorder="1" applyProtection="1"/>
    <xf numFmtId="6" fontId="4" fillId="0" borderId="22" xfId="0" applyNumberFormat="1" applyFont="1" applyBorder="1"/>
    <xf numFmtId="6" fontId="4" fillId="0" borderId="23" xfId="0" applyNumberFormat="1" applyFont="1" applyBorder="1"/>
    <xf numFmtId="6" fontId="4" fillId="0" borderId="24" xfId="0" applyNumberFormat="1" applyFont="1" applyBorder="1"/>
    <xf numFmtId="183" fontId="4" fillId="0" borderId="22" xfId="0" applyNumberFormat="1" applyFont="1" applyBorder="1" applyProtection="1"/>
    <xf numFmtId="183" fontId="4" fillId="0" borderId="23" xfId="0" applyNumberFormat="1" applyFont="1" applyBorder="1" applyProtection="1"/>
    <xf numFmtId="183" fontId="4" fillId="0" borderId="24" xfId="0" applyNumberFormat="1" applyFont="1" applyBorder="1" applyProtection="1"/>
    <xf numFmtId="183" fontId="4" fillId="0" borderId="22" xfId="0" applyNumberFormat="1" applyFont="1" applyBorder="1"/>
    <xf numFmtId="183" fontId="4" fillId="0" borderId="23" xfId="0" applyNumberFormat="1" applyFont="1" applyBorder="1"/>
    <xf numFmtId="183" fontId="4" fillId="0" borderId="24" xfId="0" applyNumberFormat="1" applyFont="1" applyBorder="1"/>
    <xf numFmtId="183" fontId="0" fillId="0" borderId="0" xfId="0" applyNumberFormat="1"/>
    <xf numFmtId="6" fontId="4" fillId="0" borderId="0" xfId="0" applyNumberFormat="1" applyFont="1"/>
    <xf numFmtId="195" fontId="0" fillId="0" borderId="0" xfId="0" applyNumberFormat="1"/>
    <xf numFmtId="195" fontId="4" fillId="0" borderId="0" xfId="0" applyNumberFormat="1" applyFont="1"/>
    <xf numFmtId="195" fontId="4" fillId="0" borderId="22" xfId="0" applyNumberFormat="1" applyFont="1" applyBorder="1" applyProtection="1"/>
    <xf numFmtId="195" fontId="4" fillId="0" borderId="23" xfId="0" applyNumberFormat="1" applyFont="1" applyBorder="1" applyProtection="1"/>
    <xf numFmtId="195" fontId="4" fillId="0" borderId="24" xfId="0" applyNumberFormat="1" applyFont="1" applyBorder="1" applyProtection="1"/>
    <xf numFmtId="195" fontId="4" fillId="0" borderId="22" xfId="0" applyNumberFormat="1" applyFont="1" applyBorder="1"/>
    <xf numFmtId="195" fontId="4" fillId="0" borderId="23" xfId="0" applyNumberFormat="1" applyFont="1" applyBorder="1"/>
    <xf numFmtId="195" fontId="4" fillId="0" borderId="24" xfId="0" applyNumberFormat="1" applyFont="1" applyBorder="1"/>
    <xf numFmtId="0" fontId="0" fillId="0" borderId="32" xfId="0" applyBorder="1" applyAlignment="1">
      <alignment horizontal="right"/>
    </xf>
    <xf numFmtId="0" fontId="0" fillId="0" borderId="15" xfId="0" applyBorder="1"/>
    <xf numFmtId="38" fontId="0" fillId="0" borderId="15" xfId="0" applyNumberFormat="1" applyBorder="1"/>
    <xf numFmtId="6" fontId="0" fillId="0" borderId="15" xfId="0" applyNumberFormat="1" applyBorder="1"/>
    <xf numFmtId="195" fontId="0" fillId="0" borderId="31" xfId="0" applyNumberFormat="1" applyBorder="1"/>
    <xf numFmtId="0" fontId="0" fillId="9" borderId="0" xfId="0" applyFill="1" applyAlignment="1">
      <alignment horizontal="right"/>
    </xf>
    <xf numFmtId="6" fontId="0" fillId="9" borderId="0" xfId="0" applyNumberFormat="1" applyFill="1"/>
    <xf numFmtId="195" fontId="0" fillId="9" borderId="0" xfId="0" applyNumberFormat="1" applyFill="1"/>
    <xf numFmtId="0" fontId="4" fillId="0" borderId="32" xfId="0" applyFont="1" applyBorder="1" applyAlignment="1">
      <alignment horizontal="right"/>
    </xf>
    <xf numFmtId="0" fontId="4" fillId="0" borderId="15" xfId="0" applyFont="1" applyBorder="1"/>
    <xf numFmtId="38" fontId="4" fillId="0" borderId="15" xfId="0" applyNumberFormat="1" applyFont="1" applyBorder="1"/>
    <xf numFmtId="6" fontId="4" fillId="0" borderId="15" xfId="0" applyNumberFormat="1" applyFont="1" applyBorder="1"/>
    <xf numFmtId="195" fontId="4" fillId="0" borderId="31" xfId="0" applyNumberFormat="1" applyFont="1" applyBorder="1"/>
    <xf numFmtId="189" fontId="0" fillId="0" borderId="0" xfId="0" applyNumberFormat="1"/>
    <xf numFmtId="189" fontId="4" fillId="0" borderId="15" xfId="0" applyNumberFormat="1" applyFont="1" applyBorder="1"/>
    <xf numFmtId="189" fontId="0" fillId="0" borderId="15" xfId="0" applyNumberFormat="1" applyBorder="1"/>
    <xf numFmtId="189" fontId="0" fillId="9" borderId="0" xfId="0" applyNumberFormat="1" applyFill="1"/>
    <xf numFmtId="189" fontId="4" fillId="0" borderId="0" xfId="0" applyNumberFormat="1" applyFont="1"/>
    <xf numFmtId="0" fontId="0" fillId="0" borderId="0" xfId="0" quotePrefix="1"/>
    <xf numFmtId="0" fontId="0" fillId="0" borderId="0" xfId="0" applyFont="1" applyFill="1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Fill="1" applyAlignment="1">
      <alignment horizontal="left" shrinkToFit="1"/>
    </xf>
    <xf numFmtId="0" fontId="13" fillId="0" borderId="0" xfId="0" applyFont="1" applyFill="1" applyAlignment="1">
      <alignment shrinkToFit="1"/>
    </xf>
    <xf numFmtId="38" fontId="0" fillId="0" borderId="0" xfId="1" applyFont="1" applyFill="1" applyAlignment="1">
      <alignment vertical="top"/>
    </xf>
    <xf numFmtId="0" fontId="0" fillId="10" borderId="0" xfId="0" applyFill="1" applyBorder="1" applyProtection="1"/>
    <xf numFmtId="0" fontId="0" fillId="10" borderId="0" xfId="0" applyFill="1" applyAlignment="1">
      <alignment horizontal="center" vertical="center" shrinkToFit="1"/>
    </xf>
    <xf numFmtId="0" fontId="0" fillId="10" borderId="0" xfId="0" applyFill="1" applyAlignment="1">
      <alignment shrinkToFit="1"/>
    </xf>
    <xf numFmtId="0" fontId="0" fillId="10" borderId="0" xfId="0" quotePrefix="1" applyFill="1"/>
    <xf numFmtId="0" fontId="0" fillId="9" borderId="3" xfId="0" applyFill="1" applyBorder="1" applyProtection="1"/>
    <xf numFmtId="178" fontId="0" fillId="9" borderId="3" xfId="0" applyNumberFormat="1" applyFont="1" applyFill="1" applyBorder="1" applyProtection="1">
      <protection locked="0"/>
    </xf>
    <xf numFmtId="0" fontId="0" fillId="11" borderId="3" xfId="0" applyFill="1" applyBorder="1" applyProtection="1"/>
    <xf numFmtId="0" fontId="8" fillId="11" borderId="43" xfId="0" applyFont="1" applyFill="1" applyBorder="1" applyAlignment="1" applyProtection="1">
      <alignment horizontal="center" shrinkToFit="1"/>
    </xf>
    <xf numFmtId="0" fontId="8" fillId="11" borderId="4" xfId="0" applyFont="1" applyFill="1" applyBorder="1" applyAlignment="1" applyProtection="1">
      <alignment horizontal="center" shrinkToFit="1"/>
    </xf>
    <xf numFmtId="0" fontId="8" fillId="11" borderId="2" xfId="0" applyFont="1" applyFill="1" applyBorder="1" applyAlignment="1" applyProtection="1">
      <alignment horizontal="center" shrinkToFit="1"/>
    </xf>
    <xf numFmtId="176" fontId="0" fillId="9" borderId="3" xfId="0" applyNumberFormat="1" applyFill="1" applyBorder="1" applyProtection="1">
      <protection locked="0"/>
    </xf>
    <xf numFmtId="178" fontId="0" fillId="11" borderId="3" xfId="0" applyNumberFormat="1" applyFill="1" applyBorder="1" applyAlignment="1" applyProtection="1">
      <alignment shrinkToFit="1"/>
      <protection locked="0"/>
    </xf>
    <xf numFmtId="49" fontId="0" fillId="9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Protection="1">
      <protection locked="0"/>
    </xf>
    <xf numFmtId="0" fontId="0" fillId="11" borderId="14" xfId="0" applyFill="1" applyBorder="1" applyProtection="1">
      <protection locked="0"/>
    </xf>
    <xf numFmtId="0" fontId="0" fillId="11" borderId="12" xfId="0" applyFill="1" applyBorder="1" applyProtection="1">
      <protection locked="0"/>
    </xf>
    <xf numFmtId="49" fontId="0" fillId="9" borderId="3" xfId="0" applyNumberFormat="1" applyFill="1" applyBorder="1" applyAlignment="1" applyProtection="1">
      <alignment horizontal="center" shrinkToFit="1"/>
      <protection locked="0"/>
    </xf>
    <xf numFmtId="0" fontId="0" fillId="9" borderId="3" xfId="0" applyFill="1" applyBorder="1" applyAlignment="1" applyProtection="1">
      <alignment horizontal="center" shrinkToFit="1"/>
    </xf>
    <xf numFmtId="0" fontId="0" fillId="11" borderId="67" xfId="0" applyFont="1" applyFill="1" applyBorder="1" applyProtection="1">
      <protection locked="0"/>
    </xf>
    <xf numFmtId="0" fontId="0" fillId="11" borderId="68" xfId="0" applyFill="1" applyBorder="1" applyProtection="1"/>
    <xf numFmtId="0" fontId="25" fillId="11" borderId="68" xfId="0" applyFont="1" applyFill="1" applyBorder="1" applyProtection="1"/>
    <xf numFmtId="0" fontId="2" fillId="11" borderId="67" xfId="0" applyFont="1" applyFill="1" applyBorder="1" applyProtection="1">
      <protection locked="0"/>
    </xf>
    <xf numFmtId="0" fontId="0" fillId="11" borderId="68" xfId="0" applyFont="1" applyFill="1" applyBorder="1" applyProtection="1">
      <protection locked="0"/>
    </xf>
    <xf numFmtId="0" fontId="2" fillId="11" borderId="68" xfId="0" applyFont="1" applyFill="1" applyBorder="1" applyProtection="1">
      <protection locked="0"/>
    </xf>
    <xf numFmtId="38" fontId="0" fillId="9" borderId="0" xfId="0" applyNumberFormat="1" applyFill="1"/>
    <xf numFmtId="176" fontId="0" fillId="10" borderId="0" xfId="0" applyNumberFormat="1" applyFill="1" applyProtection="1"/>
    <xf numFmtId="177" fontId="0" fillId="10" borderId="0" xfId="0" applyNumberFormat="1" applyFill="1" applyProtection="1"/>
    <xf numFmtId="40" fontId="0" fillId="10" borderId="0" xfId="0" applyNumberFormat="1" applyFill="1" applyBorder="1" applyProtection="1"/>
    <xf numFmtId="176" fontId="0" fillId="10" borderId="0" xfId="0" applyNumberFormat="1" applyFill="1" applyBorder="1" applyProtection="1"/>
    <xf numFmtId="177" fontId="0" fillId="10" borderId="0" xfId="0" applyNumberFormat="1" applyFill="1" applyBorder="1" applyProtection="1"/>
    <xf numFmtId="0" fontId="0" fillId="10" borderId="3" xfId="0" applyFill="1" applyBorder="1"/>
    <xf numFmtId="38" fontId="4" fillId="0" borderId="0" xfId="0" applyNumberFormat="1" applyFont="1" applyFill="1"/>
    <xf numFmtId="38" fontId="0" fillId="0" borderId="0" xfId="0" applyNumberFormat="1" applyFill="1"/>
    <xf numFmtId="40" fontId="0" fillId="0" borderId="0" xfId="1" applyNumberFormat="1" applyFont="1" applyFill="1" applyAlignment="1">
      <alignment vertical="top"/>
    </xf>
    <xf numFmtId="40" fontId="4" fillId="0" borderId="0" xfId="0" applyNumberFormat="1" applyFont="1" applyFill="1"/>
    <xf numFmtId="183" fontId="0" fillId="0" borderId="0" xfId="0" applyNumberFormat="1" applyFill="1"/>
    <xf numFmtId="195" fontId="0" fillId="0" borderId="0" xfId="0" applyNumberFormat="1" applyFill="1"/>
    <xf numFmtId="0" fontId="0" fillId="12" borderId="0" xfId="0" applyFill="1" applyBorder="1" applyProtection="1"/>
    <xf numFmtId="0" fontId="0" fillId="0" borderId="0" xfId="0" applyFill="1" applyAlignment="1" applyProtection="1">
      <alignment horizontal="center"/>
    </xf>
    <xf numFmtId="0" fontId="0" fillId="0" borderId="0" xfId="0" applyAlignment="1">
      <alignment horizontal="center"/>
    </xf>
    <xf numFmtId="10" fontId="0" fillId="9" borderId="9" xfId="0" applyNumberFormat="1" applyFill="1" applyBorder="1" applyAlignment="1">
      <alignment horizontal="center"/>
    </xf>
    <xf numFmtId="10" fontId="0" fillId="9" borderId="13" xfId="0" applyNumberFormat="1" applyFill="1" applyBorder="1" applyAlignment="1">
      <alignment horizontal="center"/>
    </xf>
    <xf numFmtId="0" fontId="0" fillId="0" borderId="56" xfId="0" applyFill="1" applyBorder="1" applyAlignment="1">
      <alignment shrinkToFit="1"/>
    </xf>
    <xf numFmtId="0" fontId="0" fillId="0" borderId="56" xfId="0" applyFill="1" applyBorder="1" applyAlignment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57" xfId="0" applyFill="1" applyBorder="1" applyAlignment="1">
      <alignment horizontal="center"/>
    </xf>
    <xf numFmtId="195" fontId="0" fillId="0" borderId="15" xfId="0" applyNumberFormat="1" applyFill="1" applyBorder="1"/>
    <xf numFmtId="195" fontId="0" fillId="0" borderId="31" xfId="0" applyNumberFormat="1" applyFill="1" applyBorder="1"/>
    <xf numFmtId="183" fontId="0" fillId="0" borderId="15" xfId="0" applyNumberFormat="1" applyFill="1" applyBorder="1"/>
    <xf numFmtId="183" fontId="0" fillId="0" borderId="31" xfId="0" applyNumberFormat="1" applyFill="1" applyBorder="1"/>
    <xf numFmtId="6" fontId="0" fillId="0" borderId="15" xfId="0" applyNumberFormat="1" applyFill="1" applyBorder="1"/>
    <xf numFmtId="6" fontId="0" fillId="0" borderId="31" xfId="0" applyNumberFormat="1" applyFill="1" applyBorder="1"/>
    <xf numFmtId="0" fontId="0" fillId="0" borderId="0" xfId="0" applyAlignment="1">
      <alignment shrinkToFit="1"/>
    </xf>
    <xf numFmtId="0" fontId="0" fillId="0" borderId="0" xfId="0" quotePrefix="1" applyAlignment="1"/>
    <xf numFmtId="0" fontId="0" fillId="0" borderId="40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0" xfId="0" quotePrefix="1" applyProtection="1"/>
    <xf numFmtId="0" fontId="0" fillId="0" borderId="0" xfId="0" applyFill="1" applyBorder="1" applyAlignment="1" applyProtection="1">
      <alignment vertical="center"/>
    </xf>
    <xf numFmtId="0" fontId="0" fillId="0" borderId="0" xfId="0" applyFill="1" applyProtection="1"/>
    <xf numFmtId="0" fontId="0" fillId="14" borderId="10" xfId="0" applyFill="1" applyBorder="1" applyProtection="1"/>
    <xf numFmtId="38" fontId="0" fillId="14" borderId="3" xfId="0" applyNumberFormat="1" applyFont="1" applyFill="1" applyBorder="1" applyAlignment="1" applyProtection="1">
      <alignment horizontal="center" vertical="center" shrinkToFit="1"/>
    </xf>
    <xf numFmtId="195" fontId="4" fillId="0" borderId="36" xfId="0" applyNumberFormat="1" applyFont="1" applyBorder="1"/>
    <xf numFmtId="195" fontId="4" fillId="0" borderId="46" xfId="0" applyNumberFormat="1" applyFont="1" applyBorder="1"/>
    <xf numFmtId="195" fontId="4" fillId="0" borderId="35" xfId="0" applyNumberFormat="1" applyFont="1" applyBorder="1"/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4" borderId="3" xfId="0" applyNumberFormat="1" applyFont="1" applyFill="1" applyBorder="1" applyAlignment="1" applyProtection="1">
      <alignment horizontal="center" vertical="center" shrinkToFit="1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0" fillId="0" borderId="3" xfId="0" applyNumberFormat="1" applyFont="1" applyBorder="1" applyAlignment="1" applyProtection="1">
      <alignment horizontal="center" vertical="center"/>
    </xf>
    <xf numFmtId="0" fontId="0" fillId="11" borderId="3" xfId="0" applyNumberFormat="1" applyFill="1" applyBorder="1" applyProtection="1"/>
    <xf numFmtId="0" fontId="0" fillId="11" borderId="14" xfId="0" applyNumberFormat="1" applyFill="1" applyBorder="1" applyProtection="1"/>
    <xf numFmtId="0" fontId="0" fillId="11" borderId="12" xfId="0" applyNumberFormat="1" applyFill="1" applyBorder="1" applyProtection="1"/>
    <xf numFmtId="0" fontId="0" fillId="0" borderId="3" xfId="0" applyNumberFormat="1" applyFill="1" applyBorder="1" applyProtection="1"/>
    <xf numFmtId="188" fontId="0" fillId="0" borderId="9" xfId="0" applyNumberFormat="1" applyBorder="1" applyProtection="1"/>
    <xf numFmtId="188" fontId="0" fillId="0" borderId="3" xfId="0" applyNumberFormat="1" applyFill="1" applyBorder="1" applyProtection="1"/>
    <xf numFmtId="188" fontId="0" fillId="2" borderId="3" xfId="0" applyNumberFormat="1" applyFill="1" applyBorder="1" applyProtection="1">
      <protection locked="0"/>
    </xf>
    <xf numFmtId="188" fontId="0" fillId="9" borderId="3" xfId="0" applyNumberFormat="1" applyFill="1" applyBorder="1" applyProtection="1">
      <protection locked="0"/>
    </xf>
    <xf numFmtId="188" fontId="0" fillId="2" borderId="14" xfId="0" applyNumberFormat="1" applyFill="1" applyBorder="1" applyProtection="1">
      <protection locked="0"/>
    </xf>
    <xf numFmtId="188" fontId="0" fillId="2" borderId="12" xfId="0" applyNumberFormat="1" applyFill="1" applyBorder="1" applyProtection="1">
      <protection locked="0"/>
    </xf>
    <xf numFmtId="188" fontId="0" fillId="0" borderId="10" xfId="0" applyNumberFormat="1" applyBorder="1" applyProtection="1"/>
    <xf numFmtId="0" fontId="0" fillId="9" borderId="3" xfId="0" applyNumberFormat="1" applyFill="1" applyBorder="1" applyProtection="1">
      <protection locked="0"/>
    </xf>
    <xf numFmtId="0" fontId="0" fillId="10" borderId="0" xfId="0" applyNumberFormat="1" applyFill="1" applyProtection="1"/>
    <xf numFmtId="0" fontId="0" fillId="10" borderId="0" xfId="0" applyNumberFormat="1" applyFill="1" applyBorder="1" applyProtection="1"/>
    <xf numFmtId="0" fontId="4" fillId="0" borderId="0" xfId="0" applyNumberFormat="1" applyFont="1" applyAlignment="1" applyProtection="1">
      <alignment shrinkToFit="1"/>
    </xf>
    <xf numFmtId="188" fontId="0" fillId="0" borderId="31" xfId="1" quotePrefix="1" applyNumberFormat="1" applyFont="1" applyFill="1" applyBorder="1" applyProtection="1"/>
    <xf numFmtId="188" fontId="0" fillId="0" borderId="27" xfId="1" quotePrefix="1" applyNumberFormat="1" applyFont="1" applyFill="1" applyBorder="1" applyProtection="1"/>
    <xf numFmtId="188" fontId="0" fillId="0" borderId="3" xfId="1" quotePrefix="1" applyNumberFormat="1" applyFont="1" applyFill="1" applyBorder="1" applyProtection="1"/>
    <xf numFmtId="188" fontId="0" fillId="0" borderId="14" xfId="1" quotePrefix="1" applyNumberFormat="1" applyFont="1" applyFill="1" applyBorder="1" applyProtection="1"/>
    <xf numFmtId="188" fontId="0" fillId="0" borderId="1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 shrinkToFit="1"/>
    </xf>
    <xf numFmtId="0" fontId="0" fillId="0" borderId="0" xfId="0" applyNumberFormat="1" applyAlignment="1" applyProtection="1">
      <alignment horizontal="center" vertical="center"/>
    </xf>
    <xf numFmtId="0" fontId="0" fillId="0" borderId="3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21" xfId="0" applyNumberFormat="1" applyBorder="1" applyAlignment="1" applyProtection="1">
      <alignment horizontal="center" vertical="center"/>
    </xf>
    <xf numFmtId="0" fontId="0" fillId="14" borderId="0" xfId="0" applyFill="1" applyAlignment="1" applyProtection="1"/>
    <xf numFmtId="0" fontId="0" fillId="13" borderId="0" xfId="0" applyFill="1" applyAlignment="1" applyProtection="1"/>
    <xf numFmtId="0" fontId="0" fillId="0" borderId="55" xfId="0" applyNumberFormat="1" applyBorder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0" fillId="0" borderId="45" xfId="0" applyNumberFormat="1" applyFill="1" applyBorder="1"/>
    <xf numFmtId="0" fontId="0" fillId="0" borderId="0" xfId="0" applyNumberFormat="1"/>
    <xf numFmtId="0" fontId="0" fillId="0" borderId="0" xfId="0" applyNumberFormat="1" applyAlignment="1">
      <alignment shrinkToFit="1"/>
    </xf>
    <xf numFmtId="0" fontId="0" fillId="0" borderId="11" xfId="0" applyNumberFormat="1" applyBorder="1"/>
    <xf numFmtId="0" fontId="0" fillId="0" borderId="0" xfId="0" applyNumberFormat="1" applyBorder="1" applyAlignment="1">
      <alignment horizontal="center" shrinkToFit="1"/>
    </xf>
    <xf numFmtId="0" fontId="0" fillId="0" borderId="45" xfId="0" applyNumberFormat="1" applyBorder="1"/>
    <xf numFmtId="0" fontId="4" fillId="0" borderId="35" xfId="0" applyNumberFormat="1" applyFont="1" applyBorder="1"/>
    <xf numFmtId="0" fontId="4" fillId="0" borderId="15" xfId="0" applyNumberFormat="1" applyFont="1" applyBorder="1"/>
    <xf numFmtId="0" fontId="0" fillId="0" borderId="15" xfId="0" applyNumberFormat="1" applyBorder="1"/>
    <xf numFmtId="0" fontId="0" fillId="9" borderId="0" xfId="0" applyNumberFormat="1" applyFill="1"/>
    <xf numFmtId="0" fontId="4" fillId="0" borderId="0" xfId="0" applyNumberFormat="1" applyFont="1"/>
    <xf numFmtId="188" fontId="0" fillId="0" borderId="45" xfId="0" applyNumberFormat="1" applyFill="1" applyBorder="1"/>
    <xf numFmtId="5" fontId="0" fillId="0" borderId="0" xfId="0" applyNumberFormat="1" applyFill="1" applyBorder="1"/>
    <xf numFmtId="5" fontId="0" fillId="0" borderId="45" xfId="0" applyNumberFormat="1" applyFill="1" applyBorder="1"/>
    <xf numFmtId="0" fontId="0" fillId="0" borderId="0" xfId="0" applyNumberFormat="1" applyFill="1" applyBorder="1" applyAlignment="1">
      <alignment shrinkToFit="1"/>
    </xf>
    <xf numFmtId="189" fontId="0" fillId="0" borderId="45" xfId="0" applyNumberFormat="1" applyFill="1" applyBorder="1"/>
    <xf numFmtId="0" fontId="0" fillId="0" borderId="56" xfId="0" applyNumberFormat="1" applyFill="1" applyBorder="1" applyAlignment="1">
      <alignment shrinkToFit="1"/>
    </xf>
    <xf numFmtId="0" fontId="0" fillId="0" borderId="0" xfId="0" applyNumberFormat="1" applyFill="1" applyAlignment="1">
      <alignment shrinkToFit="1"/>
    </xf>
    <xf numFmtId="0" fontId="0" fillId="0" borderId="0" xfId="0" applyNumberFormat="1" applyFill="1" applyAlignment="1"/>
    <xf numFmtId="0" fontId="0" fillId="0" borderId="55" xfId="0" applyNumberFormat="1" applyFill="1" applyBorder="1"/>
    <xf numFmtId="0" fontId="0" fillId="0" borderId="59" xfId="0" applyNumberFormat="1" applyFill="1" applyBorder="1" applyAlignment="1">
      <alignment horizontal="left" vertical="center" shrinkToFit="1"/>
    </xf>
    <xf numFmtId="0" fontId="0" fillId="13" borderId="60" xfId="0" applyNumberForma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shrinkToFit="1"/>
    </xf>
    <xf numFmtId="0" fontId="0" fillId="0" borderId="61" xfId="0" applyNumberFormat="1" applyFill="1" applyBorder="1" applyAlignment="1">
      <alignment horizontal="center" shrinkToFit="1"/>
    </xf>
    <xf numFmtId="0" fontId="0" fillId="0" borderId="62" xfId="0" applyNumberFormat="1" applyFill="1" applyBorder="1" applyAlignment="1">
      <alignment horizontal="center" shrinkToFit="1"/>
    </xf>
    <xf numFmtId="0" fontId="0" fillId="0" borderId="56" xfId="0" applyNumberFormat="1" applyBorder="1" applyAlignment="1">
      <alignment horizontal="center" shrinkToFit="1"/>
    </xf>
    <xf numFmtId="0" fontId="0" fillId="0" borderId="55" xfId="0" applyNumberFormat="1" applyBorder="1" applyAlignment="1">
      <alignment horizontal="center" shrinkToFit="1"/>
    </xf>
    <xf numFmtId="0" fontId="0" fillId="0" borderId="0" xfId="0" applyNumberFormat="1" applyAlignment="1"/>
    <xf numFmtId="0" fontId="0" fillId="14" borderId="17" xfId="0" applyNumberFormat="1" applyFill="1" applyBorder="1" applyAlignment="1">
      <alignment horizontal="left" vertical="center" shrinkToFit="1"/>
    </xf>
    <xf numFmtId="0" fontId="0" fillId="14" borderId="63" xfId="0" applyNumberFormat="1" applyFill="1" applyBorder="1" applyAlignment="1">
      <alignment vertical="center" shrinkToFit="1"/>
    </xf>
    <xf numFmtId="0" fontId="0" fillId="14" borderId="64" xfId="0" applyNumberFormat="1" applyFill="1" applyBorder="1" applyAlignment="1">
      <alignment horizontal="center"/>
    </xf>
    <xf numFmtId="0" fontId="0" fillId="14" borderId="19" xfId="0" applyNumberFormat="1" applyFill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0" fillId="14" borderId="2" xfId="0" applyNumberFormat="1" applyFill="1" applyBorder="1" applyAlignment="1">
      <alignment horizontal="center"/>
    </xf>
    <xf numFmtId="0" fontId="0" fillId="0" borderId="11" xfId="0" applyNumberFormat="1" applyFill="1" applyBorder="1"/>
    <xf numFmtId="0" fontId="0" fillId="0" borderId="2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45" xfId="0" applyNumberFormat="1" applyFill="1" applyBorder="1" applyAlignment="1">
      <alignment horizontal="center"/>
    </xf>
    <xf numFmtId="0" fontId="0" fillId="13" borderId="65" xfId="0" applyNumberFormat="1" applyFill="1" applyBorder="1" applyAlignment="1">
      <alignment horizontal="center" vertical="center" shrinkToFit="1"/>
    </xf>
    <xf numFmtId="0" fontId="0" fillId="14" borderId="66" xfId="0" applyNumberFormat="1" applyFill="1" applyBorder="1" applyAlignment="1">
      <alignment vertical="center" shrinkToFi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shrinkToFit="1"/>
    </xf>
    <xf numFmtId="0" fontId="0" fillId="0" borderId="0" xfId="0" applyNumberFormat="1" applyFill="1" applyAlignment="1">
      <alignment horizontal="center"/>
    </xf>
    <xf numFmtId="0" fontId="2" fillId="0" borderId="0" xfId="0" applyNumberFormat="1" applyFont="1" applyFill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0" fillId="0" borderId="0" xfId="0" applyNumberFormat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6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Alignment="1">
      <alignment horizontal="center"/>
    </xf>
    <xf numFmtId="0" fontId="0" fillId="0" borderId="6" xfId="0" applyNumberFormat="1" applyFont="1" applyFill="1" applyBorder="1" applyAlignment="1">
      <alignment horizontal="center" vertical="center"/>
    </xf>
    <xf numFmtId="0" fontId="6" fillId="13" borderId="19" xfId="0" applyNumberFormat="1" applyFont="1" applyFill="1" applyBorder="1" applyAlignment="1">
      <alignment horizontal="center" vertical="center" wrapText="1"/>
    </xf>
    <xf numFmtId="0" fontId="6" fillId="0" borderId="19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0" fillId="0" borderId="57" xfId="0" applyNumberFormat="1" applyFill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0" fillId="0" borderId="4" xfId="0" applyNumberFormat="1" applyFill="1" applyBorder="1" applyProtection="1"/>
    <xf numFmtId="0" fontId="0" fillId="0" borderId="16" xfId="0" applyNumberFormat="1" applyFill="1" applyBorder="1" applyProtection="1"/>
    <xf numFmtId="0" fontId="13" fillId="0" borderId="0" xfId="0" applyNumberFormat="1" applyFont="1" applyAlignment="1">
      <alignment shrinkToFit="1"/>
    </xf>
    <xf numFmtId="0" fontId="13" fillId="0" borderId="0" xfId="0" applyNumberFormat="1" applyFont="1" applyFill="1" applyAlignment="1"/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NumberFormat="1" applyFill="1"/>
    <xf numFmtId="0" fontId="4" fillId="0" borderId="0" xfId="0" applyNumberFormat="1" applyFont="1" applyFill="1" applyBorder="1" applyAlignment="1"/>
    <xf numFmtId="0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right"/>
    </xf>
    <xf numFmtId="0" fontId="2" fillId="0" borderId="0" xfId="0" applyNumberFormat="1" applyFont="1" applyAlignment="1">
      <alignment shrinkToFi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vertical="top" shrinkToFit="1"/>
    </xf>
    <xf numFmtId="0" fontId="0" fillId="0" borderId="0" xfId="0" applyAlignment="1">
      <alignment shrinkToFit="1"/>
    </xf>
    <xf numFmtId="0" fontId="0" fillId="0" borderId="3" xfId="0" applyNumberFormat="1" applyBorder="1" applyAlignment="1">
      <alignment horizontal="center"/>
    </xf>
    <xf numFmtId="184" fontId="0" fillId="0" borderId="32" xfId="0" applyNumberFormat="1" applyFont="1" applyBorder="1" applyAlignment="1">
      <alignment horizontal="center" shrinkToFit="1"/>
    </xf>
    <xf numFmtId="0" fontId="2" fillId="0" borderId="0" xfId="0" applyNumberFormat="1" applyFont="1" applyFill="1" applyAlignment="1">
      <alignment horizontal="center" vertical="top"/>
    </xf>
    <xf numFmtId="0" fontId="0" fillId="0" borderId="0" xfId="1" applyNumberFormat="1" applyFont="1" applyFill="1" applyAlignment="1">
      <alignment vertical="top"/>
    </xf>
    <xf numFmtId="0" fontId="4" fillId="0" borderId="0" xfId="0" applyFont="1" applyAlignment="1">
      <alignment vertical="top"/>
    </xf>
    <xf numFmtId="0" fontId="0" fillId="0" borderId="0" xfId="0" applyNumberFormat="1" applyAlignment="1">
      <alignment horizontal="center"/>
    </xf>
    <xf numFmtId="0" fontId="0" fillId="0" borderId="0" xfId="0" applyAlignment="1">
      <alignment shrinkToFit="1"/>
    </xf>
    <xf numFmtId="0" fontId="0" fillId="0" borderId="55" xfId="0" applyNumberFormat="1" applyFill="1" applyBorder="1" applyAlignment="1">
      <alignment horizontal="left" shrinkToFit="1"/>
    </xf>
    <xf numFmtId="6" fontId="0" fillId="0" borderId="57" xfId="0" applyNumberFormat="1" applyFill="1" applyBorder="1"/>
    <xf numFmtId="189" fontId="0" fillId="0" borderId="57" xfId="0" applyNumberFormat="1" applyFill="1" applyBorder="1"/>
    <xf numFmtId="6" fontId="0" fillId="0" borderId="5" xfId="0" applyNumberFormat="1" applyFill="1" applyBorder="1"/>
    <xf numFmtId="189" fontId="0" fillId="0" borderId="5" xfId="0" applyNumberFormat="1" applyFill="1" applyBorder="1"/>
    <xf numFmtId="6" fontId="0" fillId="0" borderId="6" xfId="0" applyNumberFormat="1" applyFill="1" applyBorder="1"/>
    <xf numFmtId="189" fontId="0" fillId="0" borderId="6" xfId="0" applyNumberFormat="1" applyFill="1" applyBorder="1"/>
    <xf numFmtId="0" fontId="0" fillId="14" borderId="0" xfId="0" applyNumberFormat="1" applyFill="1" applyBorder="1" applyAlignment="1"/>
    <xf numFmtId="0" fontId="0" fillId="14" borderId="56" xfId="0" applyNumberFormat="1" applyFill="1" applyBorder="1" applyAlignment="1"/>
    <xf numFmtId="0" fontId="0" fillId="14" borderId="55" xfId="0" applyNumberFormat="1" applyFill="1" applyBorder="1" applyAlignment="1"/>
    <xf numFmtId="0" fontId="0" fillId="14" borderId="55" xfId="0" applyNumberFormat="1" applyFill="1" applyBorder="1" applyAlignment="1">
      <alignment horizontal="left" shrinkToFit="1"/>
    </xf>
    <xf numFmtId="0" fontId="0" fillId="13" borderId="6" xfId="0" applyNumberFormat="1" applyFill="1" applyBorder="1" applyAlignment="1">
      <alignment horizontal="center"/>
    </xf>
    <xf numFmtId="0" fontId="0" fillId="14" borderId="0" xfId="0" applyNumberFormat="1" applyFill="1" applyBorder="1"/>
    <xf numFmtId="0" fontId="0" fillId="14" borderId="56" xfId="0" applyNumberFormat="1" applyFill="1" applyBorder="1"/>
    <xf numFmtId="0" fontId="0" fillId="14" borderId="55" xfId="0" applyNumberFormat="1" applyFill="1" applyBorder="1"/>
    <xf numFmtId="0" fontId="0" fillId="13" borderId="55" xfId="0" applyNumberFormat="1" applyFill="1" applyBorder="1" applyAlignment="1">
      <alignment shrinkToFit="1"/>
    </xf>
    <xf numFmtId="0" fontId="0" fillId="13" borderId="0" xfId="0" applyNumberFormat="1" applyFill="1" applyBorder="1" applyAlignment="1">
      <alignment shrinkToFit="1"/>
    </xf>
    <xf numFmtId="0" fontId="0" fillId="13" borderId="56" xfId="0" applyNumberFormat="1" applyFill="1" applyBorder="1" applyAlignment="1">
      <alignment shrinkToFit="1"/>
    </xf>
    <xf numFmtId="0" fontId="0" fillId="13" borderId="55" xfId="0" applyNumberFormat="1" applyFill="1" applyBorder="1"/>
    <xf numFmtId="0" fontId="0" fillId="13" borderId="0" xfId="0" applyNumberFormat="1" applyFill="1" applyBorder="1"/>
    <xf numFmtId="0" fontId="0" fillId="13" borderId="56" xfId="0" applyNumberFormat="1" applyFill="1" applyBorder="1"/>
    <xf numFmtId="0" fontId="0" fillId="13" borderId="26" xfId="0" applyNumberFormat="1" applyFill="1" applyBorder="1" applyAlignment="1">
      <alignment shrinkToFit="1"/>
    </xf>
    <xf numFmtId="0" fontId="0" fillId="13" borderId="41" xfId="0" applyNumberFormat="1" applyFill="1" applyBorder="1" applyAlignment="1">
      <alignment shrinkToFit="1"/>
    </xf>
    <xf numFmtId="0" fontId="0" fillId="14" borderId="29" xfId="0" applyNumberFormat="1" applyFill="1" applyBorder="1" applyAlignment="1"/>
    <xf numFmtId="0" fontId="0" fillId="14" borderId="42" xfId="0" applyNumberFormat="1" applyFill="1" applyBorder="1" applyAlignment="1"/>
    <xf numFmtId="49" fontId="0" fillId="0" borderId="0" xfId="0" applyNumberFormat="1" applyFill="1"/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shrinkToFit="1"/>
    </xf>
    <xf numFmtId="49" fontId="0" fillId="0" borderId="0" xfId="0" applyNumberFormat="1" applyFill="1" applyBorder="1" applyAlignment="1">
      <alignment shrinkToFit="1"/>
    </xf>
    <xf numFmtId="0" fontId="0" fillId="15" borderId="0" xfId="0" applyFill="1" applyAlignment="1" applyProtection="1"/>
    <xf numFmtId="0" fontId="0" fillId="15" borderId="3" xfId="0" applyNumberFormat="1" applyFont="1" applyFill="1" applyBorder="1" applyAlignment="1" applyProtection="1">
      <alignment horizontal="center" vertical="center" shrinkToFit="1"/>
    </xf>
    <xf numFmtId="0" fontId="0" fillId="15" borderId="3" xfId="0" applyNumberFormat="1" applyFont="1" applyFill="1" applyBorder="1" applyAlignment="1" applyProtection="1">
      <alignment horizontal="center" vertical="center"/>
    </xf>
    <xf numFmtId="0" fontId="0" fillId="9" borderId="3" xfId="0" applyFont="1" applyFill="1" applyBorder="1" applyAlignment="1" applyProtection="1">
      <alignment horizontal="center" shrinkToFit="1"/>
    </xf>
    <xf numFmtId="38" fontId="0" fillId="9" borderId="3" xfId="0" applyNumberFormat="1" applyFont="1" applyFill="1" applyBorder="1" applyAlignment="1" applyProtection="1">
      <alignment shrinkToFit="1"/>
      <protection locked="0"/>
    </xf>
    <xf numFmtId="40" fontId="0" fillId="9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horizontal="right" shrinkToFit="1"/>
    </xf>
    <xf numFmtId="0" fontId="0" fillId="0" borderId="3" xfId="0" applyFont="1" applyFill="1" applyBorder="1" applyAlignment="1" applyProtection="1">
      <alignment horizontal="right" shrinkToFit="1"/>
    </xf>
    <xf numFmtId="0" fontId="0" fillId="11" borderId="3" xfId="0" applyFont="1" applyFill="1" applyBorder="1" applyAlignment="1" applyProtection="1">
      <alignment horizontal="right" shrinkToFit="1"/>
    </xf>
    <xf numFmtId="49" fontId="8" fillId="11" borderId="44" xfId="0" applyNumberFormat="1" applyFont="1" applyFill="1" applyBorder="1" applyAlignment="1" applyProtection="1">
      <alignment horizontal="center"/>
    </xf>
    <xf numFmtId="49" fontId="8" fillId="11" borderId="5" xfId="0" applyNumberFormat="1" applyFont="1" applyFill="1" applyBorder="1" applyAlignment="1" applyProtection="1">
      <alignment horizontal="center"/>
    </xf>
    <xf numFmtId="49" fontId="8" fillId="11" borderId="6" xfId="0" applyNumberFormat="1" applyFont="1" applyFill="1" applyBorder="1" applyAlignment="1" applyProtection="1">
      <alignment horizontal="center"/>
    </xf>
    <xf numFmtId="0" fontId="0" fillId="16" borderId="0" xfId="0" applyFont="1" applyFill="1" applyAlignment="1" applyProtection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quotePrefix="1" applyNumberFormat="1" applyFill="1" applyAlignment="1">
      <alignment horizontal="center" vertical="center" shrinkToFit="1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9" borderId="0" xfId="0" applyNumberFormat="1" applyFill="1" applyAlignment="1">
      <alignment horizontal="center"/>
    </xf>
    <xf numFmtId="0" fontId="0" fillId="18" borderId="3" xfId="0" applyFill="1" applyBorder="1" applyAlignment="1">
      <alignment shrinkToFit="1"/>
    </xf>
    <xf numFmtId="0" fontId="0" fillId="9" borderId="0" xfId="0" applyFont="1" applyFill="1" applyAlignment="1">
      <alignment horizontal="center"/>
    </xf>
    <xf numFmtId="0" fontId="2" fillId="9" borderId="0" xfId="0" applyNumberFormat="1" applyFont="1" applyFill="1" applyAlignment="1"/>
    <xf numFmtId="0" fontId="0" fillId="9" borderId="0" xfId="0" applyNumberFormat="1" applyFill="1" applyAlignment="1"/>
    <xf numFmtId="0" fontId="0" fillId="9" borderId="0" xfId="0" applyNumberFormat="1" applyFont="1" applyFill="1" applyAlignment="1"/>
    <xf numFmtId="0" fontId="0" fillId="0" borderId="0" xfId="0" applyFont="1" applyFill="1" applyAlignment="1">
      <alignment horizontal="center"/>
    </xf>
    <xf numFmtId="0" fontId="2" fillId="18" borderId="3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 shrinkToFit="1"/>
    </xf>
    <xf numFmtId="38" fontId="0" fillId="18" borderId="3" xfId="0" applyNumberFormat="1" applyFont="1" applyFill="1" applyBorder="1" applyAlignment="1" applyProtection="1">
      <alignment horizontal="center" vertical="center" shrinkToFit="1"/>
    </xf>
    <xf numFmtId="40" fontId="0" fillId="18" borderId="3" xfId="0" applyNumberFormat="1" applyFont="1" applyFill="1" applyBorder="1" applyAlignment="1" applyProtection="1">
      <alignment horizontal="center" vertical="center" shrinkToFit="1"/>
    </xf>
    <xf numFmtId="0" fontId="0" fillId="18" borderId="12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17" borderId="3" xfId="0" applyFill="1" applyBorder="1" applyProtection="1"/>
    <xf numFmtId="0" fontId="0" fillId="17" borderId="3" xfId="0" applyFill="1" applyBorder="1" applyAlignment="1" applyProtection="1">
      <alignment shrinkToFit="1"/>
    </xf>
    <xf numFmtId="0" fontId="0" fillId="18" borderId="6" xfId="0" applyNumberFormat="1" applyFill="1" applyBorder="1" applyAlignment="1">
      <alignment horizontal="center" vertical="center" shrinkToFit="1"/>
    </xf>
    <xf numFmtId="0" fontId="0" fillId="18" borderId="0" xfId="0" applyFill="1"/>
    <xf numFmtId="0" fontId="0" fillId="18" borderId="0" xfId="0" applyFill="1" applyAlignment="1">
      <alignment horizontal="left" shrinkToFit="1"/>
    </xf>
    <xf numFmtId="0" fontId="0" fillId="18" borderId="0" xfId="0" applyNumberFormat="1" applyFill="1" applyAlignment="1" applyProtection="1">
      <protection locked="0"/>
    </xf>
    <xf numFmtId="38" fontId="0" fillId="18" borderId="0" xfId="0" applyNumberFormat="1" applyFill="1"/>
    <xf numFmtId="38" fontId="0" fillId="18" borderId="0" xfId="0" applyNumberFormat="1" applyFill="1" applyProtection="1"/>
    <xf numFmtId="0" fontId="0" fillId="18" borderId="0" xfId="0" applyFill="1" applyAlignment="1">
      <alignment vertical="top" shrinkToFit="1"/>
    </xf>
    <xf numFmtId="0" fontId="4" fillId="18" borderId="0" xfId="0" applyFont="1" applyFill="1" applyAlignment="1">
      <alignment shrinkToFit="1"/>
    </xf>
    <xf numFmtId="38" fontId="4" fillId="18" borderId="0" xfId="0" applyNumberFormat="1" applyFont="1" applyFill="1"/>
    <xf numFmtId="0" fontId="4" fillId="18" borderId="0" xfId="0" applyFont="1" applyFill="1" applyBorder="1" applyAlignment="1"/>
    <xf numFmtId="0" fontId="4" fillId="18" borderId="0" xfId="0" applyNumberFormat="1" applyFont="1" applyFill="1" applyAlignment="1" applyProtection="1">
      <protection locked="0"/>
    </xf>
    <xf numFmtId="0" fontId="4" fillId="18" borderId="0" xfId="0" applyFont="1" applyFill="1"/>
    <xf numFmtId="0" fontId="13" fillId="18" borderId="0" xfId="0" applyFont="1" applyFill="1" applyAlignment="1"/>
    <xf numFmtId="0" fontId="13" fillId="18" borderId="0" xfId="0" applyFont="1" applyFill="1" applyAlignment="1">
      <alignment shrinkToFit="1"/>
    </xf>
    <xf numFmtId="0" fontId="0" fillId="18" borderId="0" xfId="0" applyFont="1" applyFill="1" applyAlignment="1"/>
    <xf numFmtId="0" fontId="0" fillId="18" borderId="32" xfId="0" applyFont="1" applyFill="1" applyBorder="1" applyAlignment="1"/>
    <xf numFmtId="0" fontId="13" fillId="18" borderId="15" xfId="0" applyFont="1" applyFill="1" applyBorder="1" applyAlignment="1">
      <alignment shrinkToFit="1"/>
    </xf>
    <xf numFmtId="0" fontId="0" fillId="18" borderId="15" xfId="0" applyFill="1" applyBorder="1"/>
    <xf numFmtId="0" fontId="2" fillId="18" borderId="0" xfId="0" applyFont="1" applyFill="1" applyAlignment="1"/>
    <xf numFmtId="0" fontId="0" fillId="18" borderId="0" xfId="0" applyFill="1" applyAlignment="1">
      <alignment shrinkToFit="1"/>
    </xf>
    <xf numFmtId="0" fontId="0" fillId="18" borderId="0" xfId="0" applyNumberFormat="1" applyFill="1" applyAlignment="1" applyProtection="1">
      <alignment horizontal="left"/>
      <protection locked="0"/>
    </xf>
    <xf numFmtId="183" fontId="0" fillId="18" borderId="0" xfId="0" applyNumberFormat="1" applyFill="1"/>
    <xf numFmtId="40" fontId="0" fillId="18" borderId="0" xfId="0" applyNumberFormat="1" applyFill="1" applyProtection="1"/>
    <xf numFmtId="40" fontId="0" fillId="18" borderId="0" xfId="0" applyNumberFormat="1" applyFill="1"/>
    <xf numFmtId="0" fontId="4" fillId="18" borderId="0" xfId="0" applyNumberFormat="1" applyFont="1" applyFill="1" applyAlignment="1">
      <alignment shrinkToFit="1"/>
    </xf>
    <xf numFmtId="0" fontId="4" fillId="18" borderId="0" xfId="0" applyFont="1" applyFill="1" applyAlignment="1"/>
    <xf numFmtId="40" fontId="4" fillId="18" borderId="0" xfId="0" applyNumberFormat="1" applyFont="1" applyFill="1"/>
    <xf numFmtId="0" fontId="0" fillId="18" borderId="0" xfId="0" applyNumberFormat="1" applyFill="1" applyBorder="1" applyAlignment="1"/>
    <xf numFmtId="0" fontId="13" fillId="18" borderId="0" xfId="0" applyNumberFormat="1" applyFont="1" applyFill="1" applyAlignment="1">
      <alignment shrinkToFit="1"/>
    </xf>
    <xf numFmtId="0" fontId="13" fillId="18" borderId="0" xfId="0" applyNumberFormat="1" applyFont="1" applyFill="1" applyAlignment="1" applyProtection="1">
      <alignment horizontal="left"/>
      <protection locked="0"/>
    </xf>
    <xf numFmtId="0" fontId="4" fillId="18" borderId="0" xfId="0" applyNumberFormat="1" applyFont="1" applyFill="1"/>
    <xf numFmtId="0" fontId="13" fillId="18" borderId="0" xfId="0" applyNumberFormat="1" applyFont="1" applyFill="1" applyAlignment="1"/>
    <xf numFmtId="0" fontId="0" fillId="18" borderId="0" xfId="0" applyNumberFormat="1" applyFont="1" applyFill="1" applyAlignment="1"/>
    <xf numFmtId="0" fontId="0" fillId="18" borderId="32" xfId="0" applyNumberFormat="1" applyFont="1" applyFill="1" applyBorder="1" applyAlignment="1"/>
    <xf numFmtId="0" fontId="2" fillId="18" borderId="0" xfId="0" applyNumberFormat="1" applyFont="1" applyFill="1" applyAlignment="1"/>
    <xf numFmtId="49" fontId="0" fillId="18" borderId="40" xfId="0" applyNumberFormat="1" applyFill="1" applyBorder="1" applyAlignment="1">
      <alignment horizontal="center"/>
    </xf>
    <xf numFmtId="0" fontId="0" fillId="18" borderId="57" xfId="0" applyFill="1" applyBorder="1" applyAlignment="1">
      <alignment shrinkToFit="1"/>
    </xf>
    <xf numFmtId="49" fontId="0" fillId="18" borderId="4" xfId="0" applyNumberFormat="1" applyFill="1" applyBorder="1" applyAlignment="1">
      <alignment horizontal="center"/>
    </xf>
    <xf numFmtId="0" fontId="0" fillId="18" borderId="5" xfId="0" applyFill="1" applyBorder="1" applyAlignment="1">
      <alignment shrinkToFit="1"/>
    </xf>
    <xf numFmtId="49" fontId="0" fillId="18" borderId="2" xfId="0" applyNumberFormat="1" applyFill="1" applyBorder="1" applyAlignment="1">
      <alignment horizontal="center"/>
    </xf>
    <xf numFmtId="0" fontId="0" fillId="18" borderId="6" xfId="0" applyFill="1" applyBorder="1" applyAlignment="1">
      <alignment shrinkToFit="1"/>
    </xf>
    <xf numFmtId="0" fontId="0" fillId="9" borderId="3" xfId="0" applyFont="1" applyFill="1" applyBorder="1" applyAlignment="1" applyProtection="1">
      <alignment shrinkToFit="1"/>
    </xf>
    <xf numFmtId="0" fontId="0" fillId="9" borderId="3" xfId="0" applyFill="1" applyBorder="1" applyAlignment="1" applyProtection="1">
      <alignment shrinkToFit="1"/>
    </xf>
    <xf numFmtId="0" fontId="2" fillId="18" borderId="2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/>
    </xf>
    <xf numFmtId="0" fontId="0" fillId="18" borderId="19" xfId="0" applyNumberFormat="1" applyFont="1" applyFill="1" applyBorder="1" applyAlignment="1">
      <alignment horizontal="center" shrinkToFit="1"/>
    </xf>
    <xf numFmtId="0" fontId="2" fillId="18" borderId="19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 vertical="center" shrinkToFit="1"/>
    </xf>
    <xf numFmtId="49" fontId="2" fillId="9" borderId="40" xfId="0" applyNumberFormat="1" applyFont="1" applyFill="1" applyBorder="1" applyAlignment="1">
      <alignment horizontal="center" shrinkToFit="1"/>
    </xf>
    <xf numFmtId="49" fontId="2" fillId="9" borderId="12" xfId="0" applyNumberFormat="1" applyFont="1" applyFill="1" applyBorder="1" applyAlignment="1">
      <alignment shrinkToFit="1"/>
    </xf>
    <xf numFmtId="49" fontId="2" fillId="9" borderId="4" xfId="0" applyNumberFormat="1" applyFont="1" applyFill="1" applyBorder="1" applyAlignment="1">
      <alignment horizontal="center" shrinkToFit="1"/>
    </xf>
    <xf numFmtId="49" fontId="2" fillId="9" borderId="3" xfId="0" applyNumberFormat="1" applyFont="1" applyFill="1" applyBorder="1" applyAlignment="1">
      <alignment shrinkToFit="1"/>
    </xf>
    <xf numFmtId="49" fontId="0" fillId="9" borderId="4" xfId="0" applyNumberFormat="1" applyFont="1" applyFill="1" applyBorder="1" applyAlignment="1">
      <alignment horizontal="center" shrinkToFit="1"/>
    </xf>
    <xf numFmtId="49" fontId="0" fillId="9" borderId="3" xfId="0" applyNumberFormat="1" applyFont="1" applyFill="1" applyBorder="1" applyAlignment="1">
      <alignment shrinkToFit="1"/>
    </xf>
    <xf numFmtId="49" fontId="2" fillId="9" borderId="3" xfId="0" applyNumberFormat="1" applyFont="1" applyFill="1" applyBorder="1" applyAlignment="1">
      <alignment vertical="center" shrinkToFit="1"/>
    </xf>
    <xf numFmtId="49" fontId="0" fillId="9" borderId="14" xfId="0" applyNumberFormat="1" applyFont="1" applyFill="1" applyBorder="1" applyAlignment="1">
      <alignment shrinkToFit="1"/>
    </xf>
    <xf numFmtId="49" fontId="0" fillId="9" borderId="2" xfId="0" applyNumberFormat="1" applyFont="1" applyFill="1" applyBorder="1" applyAlignment="1">
      <alignment horizontal="center" shrinkToFit="1"/>
    </xf>
    <xf numFmtId="49" fontId="2" fillId="9" borderId="18" xfId="0" applyNumberFormat="1" applyFont="1" applyFill="1" applyBorder="1" applyAlignment="1">
      <alignment shrinkToFit="1"/>
    </xf>
    <xf numFmtId="49" fontId="2" fillId="11" borderId="12" xfId="0" applyNumberFormat="1" applyFont="1" applyFill="1" applyBorder="1" applyAlignment="1">
      <alignment horizontal="center" shrinkToFit="1"/>
    </xf>
    <xf numFmtId="49" fontId="0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vertical="center" shrinkToFit="1"/>
    </xf>
    <xf numFmtId="49" fontId="0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ill="1" applyBorder="1" applyAlignment="1">
      <alignment horizontal="center" shrinkToFit="1"/>
    </xf>
    <xf numFmtId="49" fontId="2" fillId="11" borderId="3" xfId="0" applyNumberFormat="1" applyFont="1" applyFill="1" applyBorder="1" applyAlignment="1">
      <alignment horizontal="left" shrinkToFit="1"/>
    </xf>
    <xf numFmtId="49" fontId="2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ont="1" applyFill="1" applyBorder="1" applyAlignment="1">
      <alignment horizontal="left" shrinkToFit="1"/>
    </xf>
    <xf numFmtId="49" fontId="0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shrinkToFit="1"/>
    </xf>
    <xf numFmtId="49" fontId="2" fillId="11" borderId="3" xfId="0" applyNumberFormat="1" applyFont="1" applyFill="1" applyBorder="1" applyAlignment="1">
      <alignment shrinkToFit="1"/>
    </xf>
    <xf numFmtId="49" fontId="0" fillId="11" borderId="3" xfId="0" applyNumberFormat="1" applyFont="1" applyFill="1" applyBorder="1" applyAlignment="1">
      <alignment shrinkToFit="1"/>
    </xf>
    <xf numFmtId="49" fontId="2" fillId="11" borderId="14" xfId="0" applyNumberFormat="1" applyFont="1" applyFill="1" applyBorder="1" applyAlignment="1">
      <alignment shrinkToFit="1"/>
    </xf>
    <xf numFmtId="49" fontId="2" fillId="11" borderId="18" xfId="0" applyNumberFormat="1" applyFont="1" applyFill="1" applyBorder="1" applyAlignment="1">
      <alignment shrinkToFit="1"/>
    </xf>
    <xf numFmtId="49" fontId="0" fillId="11" borderId="57" xfId="0" applyNumberFormat="1" applyFill="1" applyBorder="1" applyAlignment="1">
      <alignment horizontal="center"/>
    </xf>
    <xf numFmtId="49" fontId="0" fillId="11" borderId="5" xfId="0" applyNumberFormat="1" applyFill="1" applyBorder="1" applyAlignment="1">
      <alignment horizontal="center"/>
    </xf>
    <xf numFmtId="49" fontId="0" fillId="11" borderId="7" xfId="0" applyNumberFormat="1" applyFill="1" applyBorder="1" applyAlignment="1">
      <alignment horizontal="center"/>
    </xf>
    <xf numFmtId="49" fontId="0" fillId="11" borderId="6" xfId="0" applyNumberFormat="1" applyFill="1" applyBorder="1" applyAlignment="1">
      <alignment horizontal="center"/>
    </xf>
    <xf numFmtId="0" fontId="0" fillId="18" borderId="5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0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0" fillId="9" borderId="12" xfId="0" applyNumberFormat="1" applyFill="1" applyBorder="1" applyAlignment="1">
      <alignment horizontal="center"/>
    </xf>
    <xf numFmtId="49" fontId="0" fillId="9" borderId="3" xfId="0" applyNumberForma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18" borderId="0" xfId="0" applyNumberFormat="1" applyFill="1" applyAlignment="1">
      <alignment horizontal="center" vertical="center" shrinkToFit="1"/>
    </xf>
    <xf numFmtId="0" fontId="0" fillId="18" borderId="0" xfId="0" applyNumberFormat="1" applyFill="1" applyAlignment="1">
      <alignment horizontal="center" shrinkToFit="1"/>
    </xf>
    <xf numFmtId="0" fontId="0" fillId="18" borderId="0" xfId="0" applyNumberFormat="1" applyFill="1" applyAlignment="1">
      <alignment shrinkToFit="1"/>
    </xf>
    <xf numFmtId="0" fontId="0" fillId="18" borderId="0" xfId="0" applyNumberFormat="1" applyFill="1" applyAlignment="1">
      <alignment vertical="center"/>
    </xf>
    <xf numFmtId="0" fontId="0" fillId="18" borderId="0" xfId="0" applyNumberFormat="1" applyFill="1" applyAlignment="1">
      <alignment horizontal="center"/>
    </xf>
    <xf numFmtId="0" fontId="2" fillId="16" borderId="0" xfId="0" applyNumberFormat="1" applyFont="1" applyFill="1" applyProtection="1"/>
    <xf numFmtId="0" fontId="0" fillId="16" borderId="0" xfId="0" applyNumberFormat="1" applyFont="1" applyFill="1" applyAlignment="1" applyProtection="1">
      <alignment horizontal="center" vertical="center" wrapText="1"/>
    </xf>
    <xf numFmtId="0" fontId="2" fillId="16" borderId="0" xfId="0" applyFont="1" applyFill="1" applyProtection="1"/>
    <xf numFmtId="49" fontId="0" fillId="16" borderId="0" xfId="0" applyNumberFormat="1" applyFont="1" applyFill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/>
    </xf>
    <xf numFmtId="0" fontId="0" fillId="16" borderId="57" xfId="0" applyFill="1" applyBorder="1" applyAlignment="1">
      <alignment shrinkToFit="1"/>
    </xf>
    <xf numFmtId="0" fontId="0" fillId="16" borderId="40" xfId="0" quotePrefix="1" applyNumberFormat="1" applyFill="1" applyBorder="1" applyAlignment="1"/>
    <xf numFmtId="0" fontId="0" fillId="16" borderId="17" xfId="0" quotePrefix="1" applyNumberFormat="1" applyFill="1" applyBorder="1" applyAlignment="1"/>
    <xf numFmtId="0" fontId="0" fillId="16" borderId="63" xfId="0" applyFill="1" applyBorder="1" applyAlignment="1">
      <alignment shrinkToFit="1"/>
    </xf>
    <xf numFmtId="0" fontId="0" fillId="16" borderId="4" xfId="0" quotePrefix="1" applyNumberFormat="1" applyFill="1" applyBorder="1" applyAlignment="1"/>
    <xf numFmtId="0" fontId="0" fillId="16" borderId="5" xfId="0" applyFill="1" applyBorder="1" applyAlignment="1">
      <alignment shrinkToFit="1"/>
    </xf>
    <xf numFmtId="0" fontId="0" fillId="16" borderId="2" xfId="0" quotePrefix="1" applyNumberFormat="1" applyFill="1" applyBorder="1" applyAlignment="1"/>
    <xf numFmtId="0" fontId="0" fillId="16" borderId="6" xfId="0" applyFill="1" applyBorder="1" applyAlignment="1">
      <alignment shrinkToFit="1"/>
    </xf>
    <xf numFmtId="0" fontId="0" fillId="0" borderId="3" xfId="0" quotePrefix="1" applyNumberFormat="1" applyFont="1" applyFill="1" applyBorder="1" applyAlignment="1" applyProtection="1">
      <alignment horizontal="left" shrinkToFit="1"/>
      <protection locked="0"/>
    </xf>
    <xf numFmtId="0" fontId="0" fillId="0" borderId="3" xfId="0" applyNumberFormat="1" applyFont="1" applyFill="1" applyBorder="1" applyAlignment="1" applyProtection="1">
      <alignment horizontal="left" shrinkToFit="1"/>
      <protection locked="0"/>
    </xf>
    <xf numFmtId="0" fontId="0" fillId="0" borderId="3" xfId="0" quotePrefix="1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ill="1" applyBorder="1" applyAlignment="1" applyProtection="1">
      <alignment horizontal="center"/>
      <protection locked="0"/>
    </xf>
    <xf numFmtId="0" fontId="0" fillId="0" borderId="3" xfId="0" applyNumberFormat="1" applyFont="1" applyFill="1" applyBorder="1" applyAlignment="1" applyProtection="1">
      <alignment horizontal="center" shrinkToFit="1"/>
      <protection locked="0"/>
    </xf>
    <xf numFmtId="0" fontId="0" fillId="16" borderId="0" xfId="0" applyNumberFormat="1" applyFill="1" applyAlignment="1">
      <alignment horizontal="center" vertical="center"/>
    </xf>
    <xf numFmtId="0" fontId="0" fillId="0" borderId="0" xfId="0" applyNumberFormat="1" applyFont="1" applyBorder="1" applyAlignment="1" applyProtection="1">
      <alignment horizontal="center" vertical="center"/>
    </xf>
    <xf numFmtId="0" fontId="0" fillId="0" borderId="51" xfId="0" applyNumberFormat="1" applyFont="1" applyBorder="1" applyAlignment="1" applyProtection="1">
      <alignment horizontal="center" vertical="center"/>
    </xf>
    <xf numFmtId="0" fontId="0" fillId="16" borderId="3" xfId="0" applyFill="1" applyBorder="1"/>
    <xf numFmtId="0" fontId="0" fillId="16" borderId="3" xfId="0" applyNumberFormat="1" applyFill="1" applyBorder="1"/>
    <xf numFmtId="0" fontId="0" fillId="16" borderId="5" xfId="0" applyNumberFormat="1" applyFill="1" applyBorder="1"/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vertical="top" shrinkToFit="1"/>
    </xf>
    <xf numFmtId="0" fontId="0" fillId="16" borderId="0" xfId="0" applyNumberFormat="1" applyFill="1" applyAlignment="1">
      <alignment horizontal="center" shrinkToFit="1"/>
    </xf>
    <xf numFmtId="0" fontId="9" fillId="16" borderId="3" xfId="0" applyFont="1" applyFill="1" applyBorder="1" applyAlignment="1" applyProtection="1">
      <alignment horizontal="center" vertical="center" shrinkToFit="1"/>
    </xf>
    <xf numFmtId="180" fontId="8" fillId="16" borderId="15" xfId="0" applyNumberFormat="1" applyFont="1" applyFill="1" applyBorder="1" applyAlignment="1" applyProtection="1">
      <alignment horizontal="right" vertical="center"/>
    </xf>
    <xf numFmtId="0" fontId="2" fillId="19" borderId="0" xfId="0" applyFont="1" applyFill="1" applyProtection="1"/>
    <xf numFmtId="0" fontId="13" fillId="19" borderId="0" xfId="0" applyFont="1" applyFill="1" applyAlignment="1" applyProtection="1">
      <alignment horizontal="center"/>
    </xf>
    <xf numFmtId="0" fontId="2" fillId="19" borderId="0" xfId="0" applyNumberFormat="1" applyFon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19" borderId="0" xfId="0" applyFill="1" applyProtection="1"/>
    <xf numFmtId="0" fontId="0" fillId="19" borderId="0" xfId="0" applyFill="1" applyBorder="1" applyProtection="1"/>
    <xf numFmtId="0" fontId="0" fillId="19" borderId="51" xfId="0" applyFill="1" applyBorder="1" applyProtection="1"/>
    <xf numFmtId="0" fontId="0" fillId="0" borderId="71" xfId="0" applyFill="1" applyBorder="1" applyAlignment="1">
      <alignment horizontal="center" vertical="center" textRotation="255" shrinkToFit="1"/>
    </xf>
    <xf numFmtId="0" fontId="0" fillId="0" borderId="71" xfId="0" applyFill="1" applyBorder="1" applyAlignment="1">
      <alignment shrinkToFit="1"/>
    </xf>
    <xf numFmtId="49" fontId="0" fillId="19" borderId="0" xfId="0" applyNumberFormat="1" applyFill="1"/>
    <xf numFmtId="0" fontId="0" fillId="9" borderId="0" xfId="0" applyFill="1" applyAlignment="1" applyProtection="1">
      <alignment horizontal="center"/>
    </xf>
    <xf numFmtId="0" fontId="23" fillId="16" borderId="3" xfId="0" applyFont="1" applyFill="1" applyBorder="1"/>
    <xf numFmtId="0" fontId="23" fillId="16" borderId="3" xfId="0" applyFont="1" applyFill="1" applyBorder="1" applyAlignment="1">
      <alignment horizontal="center"/>
    </xf>
    <xf numFmtId="0" fontId="0" fillId="16" borderId="3" xfId="0" applyFont="1" applyFill="1" applyBorder="1"/>
    <xf numFmtId="188" fontId="0" fillId="16" borderId="3" xfId="0" applyNumberFormat="1" applyFill="1" applyBorder="1"/>
    <xf numFmtId="6" fontId="0" fillId="16" borderId="3" xfId="0" applyNumberFormat="1" applyFill="1" applyBorder="1"/>
    <xf numFmtId="188" fontId="0" fillId="16" borderId="19" xfId="0" applyNumberFormat="1" applyFill="1" applyBorder="1"/>
    <xf numFmtId="6" fontId="0" fillId="16" borderId="19" xfId="0" applyNumberFormat="1" applyFill="1" applyBorder="1"/>
    <xf numFmtId="188" fontId="0" fillId="16" borderId="30" xfId="0" applyNumberFormat="1" applyFill="1" applyBorder="1"/>
    <xf numFmtId="6" fontId="0" fillId="16" borderId="12" xfId="0" applyNumberFormat="1" applyFill="1" applyBorder="1"/>
    <xf numFmtId="188" fontId="0" fillId="16" borderId="4" xfId="0" applyNumberFormat="1" applyFill="1" applyBorder="1"/>
    <xf numFmtId="188" fontId="0" fillId="16" borderId="2" xfId="0" applyNumberFormat="1" applyFill="1" applyBorder="1"/>
    <xf numFmtId="6" fontId="0" fillId="16" borderId="3" xfId="0" quotePrefix="1" applyNumberFormat="1" applyFill="1" applyBorder="1"/>
    <xf numFmtId="6" fontId="0" fillId="16" borderId="19" xfId="0" quotePrefix="1" applyNumberFormat="1" applyFill="1" applyBorder="1"/>
    <xf numFmtId="188" fontId="0" fillId="20" borderId="3" xfId="0" applyNumberFormat="1" applyFill="1" applyBorder="1"/>
    <xf numFmtId="188" fontId="0" fillId="20" borderId="19" xfId="0" applyNumberFormat="1" applyFill="1" applyBorder="1"/>
    <xf numFmtId="6" fontId="0" fillId="20" borderId="5" xfId="0" applyNumberFormat="1" applyFill="1" applyBorder="1"/>
    <xf numFmtId="6" fontId="0" fillId="20" borderId="6" xfId="0" applyNumberFormat="1" applyFill="1" applyBorder="1"/>
    <xf numFmtId="6" fontId="0" fillId="16" borderId="5" xfId="0" applyNumberFormat="1" applyFill="1" applyBorder="1"/>
    <xf numFmtId="6" fontId="0" fillId="16" borderId="6" xfId="0" applyNumberFormat="1" applyFill="1" applyBorder="1"/>
    <xf numFmtId="188" fontId="0" fillId="20" borderId="40" xfId="0" applyNumberFormat="1" applyFill="1" applyBorder="1"/>
    <xf numFmtId="189" fontId="0" fillId="20" borderId="12" xfId="0" applyNumberFormat="1" applyFill="1" applyBorder="1"/>
    <xf numFmtId="188" fontId="0" fillId="20" borderId="4" xfId="0" applyNumberFormat="1" applyFill="1" applyBorder="1"/>
    <xf numFmtId="189" fontId="0" fillId="20" borderId="3" xfId="0" applyNumberFormat="1" applyFill="1" applyBorder="1"/>
    <xf numFmtId="188" fontId="0" fillId="20" borderId="2" xfId="0" applyNumberFormat="1" applyFill="1" applyBorder="1"/>
    <xf numFmtId="189" fontId="0" fillId="20" borderId="19" xfId="0" applyNumberFormat="1" applyFill="1" applyBorder="1"/>
    <xf numFmtId="189" fontId="0" fillId="20" borderId="5" xfId="0" applyNumberFormat="1" applyFill="1" applyBorder="1"/>
    <xf numFmtId="189" fontId="0" fillId="20" borderId="6" xfId="0" applyNumberFormat="1" applyFill="1" applyBorder="1"/>
    <xf numFmtId="6" fontId="0" fillId="20" borderId="3" xfId="0" applyNumberFormat="1" applyFill="1" applyBorder="1"/>
    <xf numFmtId="6" fontId="0" fillId="20" borderId="19" xfId="0" applyNumberFormat="1" applyFill="1" applyBorder="1"/>
    <xf numFmtId="185" fontId="6" fillId="16" borderId="11" xfId="0" applyNumberFormat="1" applyFont="1" applyFill="1" applyBorder="1" applyAlignment="1">
      <alignment vertical="top" wrapText="1"/>
    </xf>
    <xf numFmtId="185" fontId="6" fillId="16" borderId="0" xfId="0" applyNumberFormat="1" applyFont="1" applyFill="1" applyAlignment="1">
      <alignment vertical="top" wrapText="1"/>
    </xf>
    <xf numFmtId="185" fontId="6" fillId="16" borderId="11" xfId="0" applyNumberFormat="1" applyFont="1" applyFill="1" applyBorder="1" applyAlignment="1" applyProtection="1">
      <alignment vertical="top" wrapText="1"/>
    </xf>
    <xf numFmtId="185" fontId="0" fillId="16" borderId="0" xfId="0" applyNumberFormat="1" applyFill="1" applyAlignment="1">
      <alignment vertical="top" wrapText="1"/>
    </xf>
    <xf numFmtId="0" fontId="2" fillId="0" borderId="0" xfId="0" applyFont="1" applyAlignment="1" applyProtection="1">
      <alignment vertical="top" wrapText="1"/>
    </xf>
    <xf numFmtId="0" fontId="0" fillId="0" borderId="21" xfId="0" applyNumberFormat="1" applyFont="1" applyBorder="1" applyAlignment="1" applyProtection="1">
      <alignment horizontal="center" vertical="center"/>
    </xf>
    <xf numFmtId="0" fontId="2" fillId="0" borderId="21" xfId="0" applyNumberFormat="1" applyFont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 wrapText="1"/>
    </xf>
    <xf numFmtId="0" fontId="2" fillId="18" borderId="3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Alignment="1" applyProtection="1">
      <alignment horizontal="center" vertical="center" wrapText="1"/>
    </xf>
    <xf numFmtId="0" fontId="2" fillId="0" borderId="0" xfId="0" applyNumberFormat="1" applyFont="1" applyFill="1" applyAlignment="1" applyProtection="1">
      <alignment horizontal="center" vertical="center" wrapText="1"/>
    </xf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8" borderId="3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Border="1" applyAlignment="1" applyProtection="1">
      <alignment horizontal="center" vertical="center" shrinkToFit="1"/>
    </xf>
    <xf numFmtId="0" fontId="0" fillId="0" borderId="0" xfId="0" applyNumberFormat="1" applyFont="1" applyAlignment="1" applyProtection="1">
      <alignment horizontal="center" vertical="center" wrapText="1" shrinkToFit="1"/>
    </xf>
    <xf numFmtId="0" fontId="2" fillId="18" borderId="32" xfId="0" applyNumberFormat="1" applyFont="1" applyFill="1" applyBorder="1" applyAlignment="1" applyProtection="1">
      <alignment horizontal="center" vertical="center" shrinkToFit="1"/>
    </xf>
    <xf numFmtId="0" fontId="2" fillId="18" borderId="15" xfId="0" applyNumberFormat="1" applyFont="1" applyFill="1" applyBorder="1" applyAlignment="1" applyProtection="1">
      <alignment horizontal="center" vertical="center" shrinkToFit="1"/>
    </xf>
    <xf numFmtId="0" fontId="2" fillId="18" borderId="31" xfId="0" applyNumberFormat="1" applyFont="1" applyFill="1" applyBorder="1" applyAlignment="1" applyProtection="1">
      <alignment horizontal="center" vertical="center" shrinkToFit="1"/>
    </xf>
    <xf numFmtId="0" fontId="0" fillId="0" borderId="21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0" fillId="18" borderId="3" xfId="0" applyFont="1" applyFill="1" applyBorder="1" applyAlignment="1" applyProtection="1">
      <alignment horizontal="center" vertical="center" wrapText="1"/>
    </xf>
    <xf numFmtId="0" fontId="2" fillId="18" borderId="3" xfId="0" applyFont="1" applyFill="1" applyBorder="1" applyAlignment="1" applyProtection="1">
      <alignment horizontal="center" vertical="center" wrapTex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2" fillId="0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 shrinkToFit="1"/>
    </xf>
    <xf numFmtId="0" fontId="0" fillId="0" borderId="3" xfId="0" applyFont="1" applyBorder="1" applyAlignment="1" applyProtection="1">
      <alignment horizontal="center" vertical="center" shrinkToFit="1"/>
    </xf>
    <xf numFmtId="0" fontId="0" fillId="18" borderId="3" xfId="0" applyFont="1" applyFill="1" applyBorder="1" applyAlignment="1" applyProtection="1">
      <alignment horizontal="center" vertical="center"/>
    </xf>
    <xf numFmtId="0" fontId="0" fillId="0" borderId="3" xfId="0" applyNumberFormat="1" applyFont="1" applyBorder="1" applyAlignment="1" applyProtection="1">
      <alignment horizontal="center" vertical="center" shrinkToFit="1"/>
    </xf>
    <xf numFmtId="0" fontId="0" fillId="0" borderId="12" xfId="0" applyNumberFormat="1" applyFont="1" applyBorder="1" applyAlignment="1" applyProtection="1">
      <alignment horizontal="center" vertical="center" shrinkToFit="1"/>
    </xf>
    <xf numFmtId="0" fontId="0" fillId="18" borderId="32" xfId="0" applyNumberFormat="1" applyFont="1" applyFill="1" applyBorder="1" applyAlignment="1" applyProtection="1">
      <alignment horizontal="center" vertical="center" shrinkToFit="1"/>
    </xf>
    <xf numFmtId="0" fontId="0" fillId="18" borderId="15" xfId="0" applyNumberFormat="1" applyFont="1" applyFill="1" applyBorder="1" applyAlignment="1" applyProtection="1">
      <alignment horizontal="center" vertical="center" shrinkToFit="1"/>
    </xf>
    <xf numFmtId="0" fontId="0" fillId="18" borderId="31" xfId="0" applyNumberFormat="1" applyFont="1" applyFill="1" applyBorder="1" applyAlignment="1" applyProtection="1">
      <alignment horizontal="center" vertical="center" shrinkToFit="1"/>
    </xf>
    <xf numFmtId="56" fontId="18" fillId="9" borderId="0" xfId="0" applyNumberFormat="1" applyFont="1" applyFill="1" applyAlignment="1" applyProtection="1"/>
    <xf numFmtId="0" fontId="0" fillId="0" borderId="25" xfId="0" applyNumberFormat="1" applyFont="1" applyBorder="1" applyAlignment="1" applyProtection="1">
      <alignment horizontal="center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0" fillId="0" borderId="27" xfId="0" applyNumberFormat="1" applyFont="1" applyBorder="1" applyAlignment="1" applyProtection="1">
      <alignment horizontal="center" vertical="center" wrapText="1"/>
    </xf>
    <xf numFmtId="0" fontId="0" fillId="0" borderId="28" xfId="0" applyNumberFormat="1" applyFont="1" applyBorder="1" applyAlignment="1" applyProtection="1">
      <alignment horizontal="center" vertical="center" wrapText="1"/>
    </xf>
    <xf numFmtId="0" fontId="0" fillId="0" borderId="29" xfId="0" applyNumberFormat="1" applyFont="1" applyBorder="1" applyAlignment="1" applyProtection="1">
      <alignment horizontal="center" vertical="center" wrapText="1"/>
    </xf>
    <xf numFmtId="0" fontId="0" fillId="0" borderId="30" xfId="0" applyNumberFormat="1" applyFont="1" applyBorder="1" applyAlignment="1" applyProtection="1">
      <alignment horizontal="center" vertical="center" wrapText="1"/>
    </xf>
    <xf numFmtId="0" fontId="0" fillId="16" borderId="31" xfId="0" applyNumberFormat="1" applyFont="1" applyFill="1" applyBorder="1" applyAlignment="1" applyProtection="1">
      <alignment horizontal="center" vertical="center"/>
    </xf>
    <xf numFmtId="0" fontId="0" fillId="16" borderId="3" xfId="0" applyNumberFormat="1" applyFont="1" applyFill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6" fillId="0" borderId="0" xfId="0" applyNumberFormat="1" applyFont="1" applyAlignment="1" applyProtection="1">
      <alignment horizontal="center" vertical="center" textRotation="255"/>
    </xf>
    <xf numFmtId="0" fontId="0" fillId="0" borderId="3" xfId="0" applyNumberFormat="1" applyFont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18" borderId="14" xfId="0" applyNumberFormat="1" applyFont="1" applyFill="1" applyBorder="1" applyAlignment="1" applyProtection="1">
      <alignment horizontal="center" vertical="center" wrapText="1"/>
    </xf>
    <xf numFmtId="0" fontId="0" fillId="18" borderId="33" xfId="0" applyNumberFormat="1" applyFont="1" applyFill="1" applyBorder="1" applyAlignment="1" applyProtection="1">
      <alignment horizontal="center" vertical="center" wrapText="1"/>
    </xf>
    <xf numFmtId="0" fontId="0" fillId="18" borderId="12" xfId="0" applyNumberFormat="1" applyFont="1" applyFill="1" applyBorder="1" applyAlignment="1" applyProtection="1">
      <alignment horizontal="center" vertical="center" wrapText="1"/>
    </xf>
    <xf numFmtId="0" fontId="0" fillId="18" borderId="14" xfId="0" applyNumberFormat="1" applyFont="1" applyFill="1" applyBorder="1" applyAlignment="1" applyProtection="1">
      <alignment horizontal="center" vertical="center" wrapText="1" shrinkToFit="1"/>
    </xf>
    <xf numFmtId="0" fontId="0" fillId="18" borderId="33" xfId="0" applyNumberFormat="1" applyFont="1" applyFill="1" applyBorder="1" applyAlignment="1" applyProtection="1">
      <alignment horizontal="center" vertical="center" wrapText="1" shrinkToFit="1"/>
    </xf>
    <xf numFmtId="0" fontId="0" fillId="18" borderId="12" xfId="0" applyNumberFormat="1" applyFont="1" applyFill="1" applyBorder="1" applyAlignment="1" applyProtection="1">
      <alignment horizontal="center" vertical="center" wrapText="1" shrinkToFit="1"/>
    </xf>
    <xf numFmtId="0" fontId="0" fillId="0" borderId="15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6" fillId="16" borderId="14" xfId="0" applyNumberFormat="1" applyFont="1" applyFill="1" applyBorder="1" applyAlignment="1" applyProtection="1">
      <alignment horizontal="center" vertical="center" wrapText="1"/>
    </xf>
    <xf numFmtId="0" fontId="6" fillId="16" borderId="12" xfId="0" applyNumberFormat="1" applyFont="1" applyFill="1" applyBorder="1" applyAlignment="1" applyProtection="1">
      <alignment horizontal="center" vertical="center" wrapText="1"/>
    </xf>
    <xf numFmtId="0" fontId="14" fillId="16" borderId="0" xfId="0" quotePrefix="1" applyFont="1" applyFill="1" applyAlignment="1" applyProtection="1"/>
    <xf numFmtId="0" fontId="14" fillId="16" borderId="0" xfId="0" applyFont="1" applyFill="1" applyAlignment="1" applyProtection="1"/>
    <xf numFmtId="0" fontId="0" fillId="16" borderId="0" xfId="0" applyFill="1" applyAlignment="1"/>
    <xf numFmtId="0" fontId="0" fillId="18" borderId="0" xfId="0" applyFill="1" applyAlignment="1" applyProtection="1">
      <protection locked="0"/>
    </xf>
    <xf numFmtId="0" fontId="2" fillId="18" borderId="0" xfId="0" applyFont="1" applyFill="1" applyAlignment="1" applyProtection="1">
      <protection locked="0"/>
    </xf>
    <xf numFmtId="20" fontId="11" fillId="0" borderId="0" xfId="0" applyNumberFormat="1" applyFont="1" applyAlignment="1" applyProtection="1">
      <alignment horizontal="center"/>
    </xf>
    <xf numFmtId="0" fontId="19" fillId="0" borderId="0" xfId="0" applyFont="1" applyAlignment="1" applyProtection="1">
      <alignment horizontal="center" vertical="top"/>
    </xf>
    <xf numFmtId="179" fontId="8" fillId="0" borderId="0" xfId="0" applyNumberFormat="1" applyFont="1" applyAlignment="1" applyProtection="1"/>
    <xf numFmtId="177" fontId="8" fillId="0" borderId="0" xfId="0" applyNumberFormat="1" applyFont="1" applyAlignment="1" applyProtection="1">
      <alignment horizontal="left"/>
    </xf>
    <xf numFmtId="0" fontId="8" fillId="16" borderId="0" xfId="0" quotePrefix="1" applyFont="1" applyFill="1" applyAlignment="1" applyProtection="1">
      <alignment shrinkToFit="1"/>
    </xf>
    <xf numFmtId="0" fontId="8" fillId="16" borderId="0" xfId="0" applyFont="1" applyFill="1" applyAlignment="1" applyProtection="1">
      <alignment shrinkToFit="1"/>
    </xf>
    <xf numFmtId="0" fontId="9" fillId="0" borderId="0" xfId="0" applyFont="1" applyAlignment="1" applyProtection="1"/>
    <xf numFmtId="0" fontId="5" fillId="0" borderId="0" xfId="0" applyFont="1" applyAlignment="1" applyProtection="1">
      <alignment shrinkToFit="1"/>
    </xf>
    <xf numFmtId="0" fontId="12" fillId="0" borderId="9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47" xfId="0" applyNumberFormat="1" applyFont="1" applyFill="1" applyBorder="1" applyAlignment="1" applyProtection="1">
      <alignment horizontal="center" vertical="center"/>
    </xf>
    <xf numFmtId="0" fontId="12" fillId="0" borderId="23" xfId="0" applyNumberFormat="1" applyFont="1" applyFill="1" applyBorder="1" applyAlignment="1" applyProtection="1">
      <alignment horizontal="center" vertical="center"/>
    </xf>
    <xf numFmtId="0" fontId="12" fillId="0" borderId="24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top"/>
    </xf>
    <xf numFmtId="0" fontId="10" fillId="0" borderId="37" xfId="0" applyNumberFormat="1" applyFont="1" applyFill="1" applyBorder="1" applyAlignment="1" applyProtection="1">
      <alignment horizontal="right" vertical="center"/>
    </xf>
    <xf numFmtId="0" fontId="10" fillId="0" borderId="38" xfId="0" applyNumberFormat="1" applyFont="1" applyFill="1" applyBorder="1" applyAlignment="1" applyProtection="1">
      <alignment horizontal="right" vertical="center"/>
    </xf>
    <xf numFmtId="0" fontId="10" fillId="0" borderId="39" xfId="0" applyNumberFormat="1" applyFont="1" applyFill="1" applyBorder="1" applyAlignment="1" applyProtection="1">
      <alignment horizontal="right" vertical="center"/>
    </xf>
    <xf numFmtId="0" fontId="8" fillId="0" borderId="43" xfId="0" applyFont="1" applyBorder="1" applyAlignment="1" applyProtection="1">
      <alignment horizontal="center" vertical="center"/>
    </xf>
    <xf numFmtId="0" fontId="8" fillId="0" borderId="35" xfId="0" applyFont="1" applyBorder="1" applyAlignment="1" applyProtection="1">
      <alignment horizontal="center" vertical="center"/>
    </xf>
    <xf numFmtId="0" fontId="8" fillId="0" borderId="44" xfId="0" applyFont="1" applyBorder="1" applyAlignment="1" applyProtection="1">
      <alignment horizontal="center" vertical="center"/>
    </xf>
    <xf numFmtId="176" fontId="8" fillId="16" borderId="34" xfId="0" applyNumberFormat="1" applyFont="1" applyFill="1" applyBorder="1" applyAlignment="1" applyProtection="1">
      <alignment horizontal="right" vertical="center"/>
    </xf>
    <xf numFmtId="176" fontId="8" fillId="16" borderId="35" xfId="0" applyNumberFormat="1" applyFont="1" applyFill="1" applyBorder="1" applyAlignment="1" applyProtection="1">
      <alignment horizontal="right" vertical="center"/>
    </xf>
    <xf numFmtId="0" fontId="8" fillId="0" borderId="35" xfId="0" applyFont="1" applyBorder="1" applyAlignment="1" applyProtection="1">
      <alignment vertical="center"/>
    </xf>
    <xf numFmtId="0" fontId="8" fillId="0" borderId="36" xfId="0" applyFont="1" applyBorder="1" applyAlignment="1" applyProtection="1">
      <alignment vertical="center"/>
    </xf>
    <xf numFmtId="0" fontId="8" fillId="0" borderId="16" xfId="0" applyFont="1" applyBorder="1" applyAlignment="1" applyProtection="1">
      <alignment horizontal="center" vertical="center"/>
    </xf>
    <xf numFmtId="0" fontId="8" fillId="0" borderId="40" xfId="0" applyFont="1" applyBorder="1" applyAlignment="1" applyProtection="1">
      <alignment horizontal="center" vertical="center"/>
    </xf>
    <xf numFmtId="0" fontId="10" fillId="16" borderId="25" xfId="0" quotePrefix="1" applyNumberFormat="1" applyFont="1" applyFill="1" applyBorder="1" applyAlignment="1" applyProtection="1">
      <alignment horizontal="right" vertical="center"/>
    </xf>
    <xf numFmtId="0" fontId="10" fillId="16" borderId="26" xfId="0" applyNumberFormat="1" applyFont="1" applyFill="1" applyBorder="1" applyAlignment="1" applyProtection="1">
      <alignment horizontal="right" vertical="center"/>
    </xf>
    <xf numFmtId="0" fontId="10" fillId="16" borderId="41" xfId="0" applyNumberFormat="1" applyFont="1" applyFill="1" applyBorder="1" applyAlignment="1" applyProtection="1">
      <alignment horizontal="right" vertical="center"/>
    </xf>
    <xf numFmtId="0" fontId="10" fillId="16" borderId="28" xfId="0" applyNumberFormat="1" applyFont="1" applyFill="1" applyBorder="1" applyAlignment="1" applyProtection="1">
      <alignment horizontal="right" vertical="center"/>
    </xf>
    <xf numFmtId="0" fontId="10" fillId="16" borderId="29" xfId="0" applyNumberFormat="1" applyFont="1" applyFill="1" applyBorder="1" applyAlignment="1" applyProtection="1">
      <alignment horizontal="right" vertical="center"/>
    </xf>
    <xf numFmtId="0" fontId="10" fillId="16" borderId="42" xfId="0" applyNumberFormat="1" applyFont="1" applyFill="1" applyBorder="1" applyAlignment="1" applyProtection="1">
      <alignment horizontal="right" vertical="center"/>
    </xf>
    <xf numFmtId="181" fontId="8" fillId="16" borderId="15" xfId="0" applyNumberFormat="1" applyFont="1" applyFill="1" applyBorder="1" applyAlignment="1" applyProtection="1">
      <alignment horizontal="center" vertical="center"/>
    </xf>
    <xf numFmtId="181" fontId="8" fillId="16" borderId="7" xfId="0" applyNumberFormat="1" applyFont="1" applyFill="1" applyBorder="1" applyAlignment="1" applyProtection="1">
      <alignment horizontal="center" vertical="center"/>
    </xf>
    <xf numFmtId="0" fontId="8" fillId="0" borderId="48" xfId="0" applyFont="1" applyBorder="1" applyAlignment="1" applyProtection="1">
      <alignment horizontal="center" vertical="center"/>
    </xf>
    <xf numFmtId="0" fontId="8" fillId="0" borderId="50" xfId="0" applyFont="1" applyBorder="1" applyAlignment="1" applyProtection="1">
      <alignment horizontal="center" vertical="center"/>
    </xf>
    <xf numFmtId="180" fontId="8" fillId="16" borderId="26" xfId="0" applyNumberFormat="1" applyFont="1" applyFill="1" applyBorder="1" applyAlignment="1" applyProtection="1">
      <alignment horizontal="right" vertical="center"/>
    </xf>
    <xf numFmtId="180" fontId="8" fillId="16" borderId="29" xfId="0" applyNumberFormat="1" applyFont="1" applyFill="1" applyBorder="1" applyAlignment="1" applyProtection="1">
      <alignment horizontal="right" vertical="center"/>
    </xf>
    <xf numFmtId="181" fontId="8" fillId="16" borderId="26" xfId="0" applyNumberFormat="1" applyFont="1" applyFill="1" applyBorder="1" applyAlignment="1" applyProtection="1">
      <alignment horizontal="center" vertical="center"/>
    </xf>
    <xf numFmtId="181" fontId="8" fillId="16" borderId="41" xfId="0" applyNumberFormat="1" applyFont="1" applyFill="1" applyBorder="1" applyAlignment="1" applyProtection="1">
      <alignment horizontal="center" vertical="center"/>
    </xf>
    <xf numFmtId="181" fontId="8" fillId="16" borderId="29" xfId="0" applyNumberFormat="1" applyFont="1" applyFill="1" applyBorder="1" applyAlignment="1" applyProtection="1">
      <alignment horizontal="center" vertical="center"/>
    </xf>
    <xf numFmtId="181" fontId="8" fillId="16" borderId="42" xfId="0" applyNumberFormat="1" applyFont="1" applyFill="1" applyBorder="1" applyAlignment="1" applyProtection="1">
      <alignment horizontal="center" vertical="center"/>
    </xf>
    <xf numFmtId="0" fontId="10" fillId="0" borderId="25" xfId="0" quotePrefix="1" applyNumberFormat="1" applyFont="1" applyFill="1" applyBorder="1" applyAlignment="1" applyProtection="1">
      <alignment horizontal="right" vertical="center"/>
    </xf>
    <xf numFmtId="0" fontId="10" fillId="0" borderId="26" xfId="0" applyNumberFormat="1" applyFont="1" applyFill="1" applyBorder="1" applyAlignment="1" applyProtection="1">
      <alignment horizontal="right" vertical="center"/>
    </xf>
    <xf numFmtId="0" fontId="10" fillId="0" borderId="41" xfId="0" applyNumberFormat="1" applyFont="1" applyFill="1" applyBorder="1" applyAlignment="1" applyProtection="1">
      <alignment horizontal="right" vertical="center"/>
    </xf>
    <xf numFmtId="0" fontId="10" fillId="0" borderId="28" xfId="0" applyNumberFormat="1" applyFont="1" applyFill="1" applyBorder="1" applyAlignment="1" applyProtection="1">
      <alignment horizontal="right" vertical="center"/>
    </xf>
    <xf numFmtId="0" fontId="10" fillId="0" borderId="29" xfId="0" applyNumberFormat="1" applyFont="1" applyFill="1" applyBorder="1" applyAlignment="1" applyProtection="1">
      <alignment horizontal="right" vertical="center"/>
    </xf>
    <xf numFmtId="0" fontId="10" fillId="0" borderId="42" xfId="0" applyNumberFormat="1" applyFont="1" applyFill="1" applyBorder="1" applyAlignment="1" applyProtection="1">
      <alignment horizontal="right" vertical="center"/>
    </xf>
    <xf numFmtId="0" fontId="8" fillId="16" borderId="48" xfId="0" applyFont="1" applyFill="1" applyBorder="1" applyAlignment="1" applyProtection="1">
      <alignment horizontal="center" vertical="center"/>
    </xf>
    <xf numFmtId="0" fontId="8" fillId="16" borderId="26" xfId="0" applyFont="1" applyFill="1" applyBorder="1" applyAlignment="1" applyProtection="1">
      <alignment horizontal="center" vertical="center"/>
    </xf>
    <xf numFmtId="0" fontId="8" fillId="16" borderId="49" xfId="0" applyFont="1" applyFill="1" applyBorder="1" applyAlignment="1" applyProtection="1">
      <alignment horizontal="center" vertical="center"/>
    </xf>
    <xf numFmtId="0" fontId="8" fillId="16" borderId="45" xfId="0" applyFont="1" applyFill="1" applyBorder="1" applyAlignment="1" applyProtection="1">
      <alignment horizontal="center" vertical="center"/>
    </xf>
    <xf numFmtId="0" fontId="8" fillId="16" borderId="41" xfId="0" applyFont="1" applyFill="1" applyBorder="1" applyAlignment="1" applyProtection="1">
      <alignment horizontal="center" vertical="center"/>
    </xf>
    <xf numFmtId="0" fontId="8" fillId="16" borderId="46" xfId="0" applyFont="1" applyFill="1" applyBorder="1" applyAlignment="1" applyProtection="1">
      <alignment horizontal="center" vertical="center"/>
    </xf>
    <xf numFmtId="0" fontId="10" fillId="0" borderId="25" xfId="0" applyNumberFormat="1" applyFont="1" applyFill="1" applyBorder="1" applyAlignment="1" applyProtection="1">
      <alignment horizontal="right" vertical="center"/>
    </xf>
    <xf numFmtId="0" fontId="2" fillId="0" borderId="0" xfId="0" applyFont="1" applyAlignment="1" applyProtection="1">
      <alignment vertical="top" wrapText="1"/>
    </xf>
    <xf numFmtId="0" fontId="10" fillId="16" borderId="0" xfId="0" applyFont="1" applyFill="1" applyAlignment="1" applyProtection="1">
      <alignment shrinkToFit="1"/>
    </xf>
    <xf numFmtId="0" fontId="15" fillId="18" borderId="0" xfId="0" applyFont="1" applyFill="1" applyAlignment="1" applyProtection="1">
      <protection locked="0"/>
    </xf>
    <xf numFmtId="0" fontId="2" fillId="0" borderId="0" xfId="0" applyFont="1" applyFill="1" applyAlignment="1" applyProtection="1"/>
    <xf numFmtId="0" fontId="14" fillId="0" borderId="0" xfId="0" applyFont="1" applyAlignment="1" applyProtection="1">
      <alignment shrinkToFit="1"/>
    </xf>
    <xf numFmtId="0" fontId="0" fillId="0" borderId="0" xfId="0" applyAlignment="1">
      <alignment shrinkToFit="1"/>
    </xf>
    <xf numFmtId="0" fontId="8" fillId="0" borderId="0" xfId="0" applyFont="1" applyAlignment="1" applyProtection="1">
      <alignment shrinkToFit="1"/>
    </xf>
    <xf numFmtId="176" fontId="8" fillId="0" borderId="34" xfId="0" applyNumberFormat="1" applyFont="1" applyBorder="1" applyAlignment="1" applyProtection="1">
      <alignment horizontal="right" vertical="center"/>
    </xf>
    <xf numFmtId="176" fontId="8" fillId="0" borderId="35" xfId="0" applyNumberFormat="1" applyFont="1" applyBorder="1" applyAlignment="1" applyProtection="1">
      <alignment horizontal="right" vertical="center"/>
    </xf>
    <xf numFmtId="177" fontId="8" fillId="0" borderId="15" xfId="0" applyNumberFormat="1" applyFont="1" applyBorder="1" applyAlignment="1" applyProtection="1">
      <alignment horizontal="center" vertical="center"/>
    </xf>
    <xf numFmtId="177" fontId="8" fillId="0" borderId="7" xfId="0" applyNumberFormat="1" applyFont="1" applyBorder="1" applyAlignment="1" applyProtection="1">
      <alignment horizontal="center" vertical="center"/>
    </xf>
    <xf numFmtId="180" fontId="8" fillId="0" borderId="26" xfId="0" applyNumberFormat="1" applyFont="1" applyBorder="1" applyAlignment="1" applyProtection="1">
      <alignment horizontal="right" vertical="center"/>
    </xf>
    <xf numFmtId="180" fontId="8" fillId="0" borderId="29" xfId="0" applyNumberFormat="1" applyFont="1" applyBorder="1" applyAlignment="1" applyProtection="1">
      <alignment horizontal="right" vertical="center"/>
    </xf>
    <xf numFmtId="177" fontId="8" fillId="0" borderId="26" xfId="0" applyNumberFormat="1" applyFont="1" applyBorder="1" applyAlignment="1" applyProtection="1">
      <alignment horizontal="center" vertical="center"/>
    </xf>
    <xf numFmtId="177" fontId="8" fillId="0" borderId="41" xfId="0" applyNumberFormat="1" applyFont="1" applyBorder="1" applyAlignment="1" applyProtection="1">
      <alignment horizontal="center" vertical="center"/>
    </xf>
    <xf numFmtId="177" fontId="8" fillId="0" borderId="29" xfId="0" applyNumberFormat="1" applyFont="1" applyBorder="1" applyAlignment="1" applyProtection="1">
      <alignment horizontal="center" vertical="center"/>
    </xf>
    <xf numFmtId="177" fontId="8" fillId="0" borderId="42" xfId="0" applyNumberFormat="1" applyFont="1" applyBorder="1" applyAlignment="1" applyProtection="1">
      <alignment horizontal="center" vertical="center"/>
    </xf>
    <xf numFmtId="0" fontId="10" fillId="0" borderId="0" xfId="0" applyFont="1" applyAlignment="1" applyProtection="1">
      <alignment shrinkToFit="1"/>
    </xf>
    <xf numFmtId="0" fontId="15" fillId="0" borderId="0" xfId="0" applyFont="1" applyAlignment="1" applyProtection="1"/>
    <xf numFmtId="0" fontId="8" fillId="0" borderId="26" xfId="0" applyFont="1" applyBorder="1" applyAlignment="1" applyProtection="1">
      <alignment horizontal="center" vertical="center"/>
    </xf>
    <xf numFmtId="0" fontId="8" fillId="0" borderId="49" xfId="0" applyFont="1" applyBorder="1" applyAlignment="1" applyProtection="1">
      <alignment horizontal="center" vertical="center"/>
    </xf>
    <xf numFmtId="0" fontId="8" fillId="0" borderId="45" xfId="0" applyFont="1" applyBorder="1" applyAlignment="1" applyProtection="1">
      <alignment horizontal="center" vertical="center"/>
    </xf>
    <xf numFmtId="0" fontId="8" fillId="0" borderId="41" xfId="0" applyFont="1" applyBorder="1" applyAlignment="1" applyProtection="1">
      <alignment horizontal="center" vertical="center"/>
    </xf>
    <xf numFmtId="0" fontId="8" fillId="0" borderId="46" xfId="0" applyFont="1" applyBorder="1" applyAlignment="1" applyProtection="1">
      <alignment horizontal="center" vertical="center"/>
    </xf>
    <xf numFmtId="0" fontId="0" fillId="9" borderId="70" xfId="0" applyFill="1" applyBorder="1" applyAlignment="1">
      <alignment vertical="center" textRotation="255" shrinkToFit="1"/>
    </xf>
    <xf numFmtId="0" fontId="0" fillId="9" borderId="71" xfId="0" applyFill="1" applyBorder="1" applyAlignment="1">
      <alignment vertical="center" textRotation="255" shrinkToFit="1"/>
    </xf>
    <xf numFmtId="0" fontId="0" fillId="9" borderId="8" xfId="0" applyFill="1" applyBorder="1" applyAlignment="1">
      <alignment vertical="center" textRotation="255" shrinkToFit="1"/>
    </xf>
    <xf numFmtId="0" fontId="0" fillId="0" borderId="58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4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9" borderId="70" xfId="0" applyFill="1" applyBorder="1" applyAlignment="1">
      <alignment horizontal="center" vertical="center" textRotation="255" shrinkToFit="1"/>
    </xf>
    <xf numFmtId="0" fontId="0" fillId="9" borderId="71" xfId="0" applyFill="1" applyBorder="1" applyAlignment="1">
      <alignment horizontal="center" vertical="center" textRotation="255" shrinkToFit="1"/>
    </xf>
    <xf numFmtId="0" fontId="0" fillId="9" borderId="8" xfId="0" applyFill="1" applyBorder="1" applyAlignment="1">
      <alignment horizontal="center" vertical="center" textRotation="255" shrinkToFit="1"/>
    </xf>
    <xf numFmtId="0" fontId="0" fillId="14" borderId="43" xfId="0" applyNumberFormat="1" applyFill="1" applyBorder="1" applyAlignment="1">
      <alignment horizontal="center"/>
    </xf>
    <xf numFmtId="0" fontId="0" fillId="14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14" borderId="44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6" fillId="14" borderId="44" xfId="0" applyNumberFormat="1" applyFont="1" applyFill="1" applyBorder="1" applyAlignment="1">
      <alignment horizontal="center" vertical="top" textRotation="255" wrapText="1" shrinkToFit="1"/>
    </xf>
    <xf numFmtId="0" fontId="6" fillId="14" borderId="5" xfId="0" applyNumberFormat="1" applyFont="1" applyFill="1" applyBorder="1" applyAlignment="1">
      <alignment horizontal="center" vertical="top" textRotation="255" wrapText="1" shrinkToFit="1"/>
    </xf>
    <xf numFmtId="0" fontId="6" fillId="14" borderId="6" xfId="0" applyNumberFormat="1" applyFont="1" applyFill="1" applyBorder="1" applyAlignment="1">
      <alignment horizontal="center" vertical="top" textRotation="255" wrapText="1" shrinkToFit="1"/>
    </xf>
    <xf numFmtId="0" fontId="6" fillId="14" borderId="43" xfId="0" applyNumberFormat="1" applyFont="1" applyFill="1" applyBorder="1" applyAlignment="1">
      <alignment horizontal="center" vertical="top" textRotation="255" wrapText="1" shrinkToFit="1"/>
    </xf>
    <xf numFmtId="0" fontId="6" fillId="14" borderId="4" xfId="0" applyNumberFormat="1" applyFont="1" applyFill="1" applyBorder="1" applyAlignment="1">
      <alignment horizontal="center" vertical="top" textRotation="255" shrinkToFit="1"/>
    </xf>
    <xf numFmtId="0" fontId="6" fillId="14" borderId="2" xfId="0" applyNumberFormat="1" applyFont="1" applyFill="1" applyBorder="1" applyAlignment="1">
      <alignment horizontal="center" vertical="top" textRotation="255" shrinkToFit="1"/>
    </xf>
    <xf numFmtId="0" fontId="0" fillId="0" borderId="43" xfId="0" applyNumberFormat="1" applyBorder="1" applyAlignment="1">
      <alignment horizontal="center" vertical="center"/>
    </xf>
    <xf numFmtId="0" fontId="0" fillId="0" borderId="44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/>
    </xf>
    <xf numFmtId="0" fontId="2" fillId="0" borderId="43" xfId="0" applyNumberFormat="1" applyFont="1" applyBorder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2" fillId="0" borderId="4" xfId="0" applyNumberFormat="1" applyFont="1" applyBorder="1" applyAlignment="1">
      <alignment horizontal="center" shrinkToFit="1"/>
    </xf>
    <xf numFmtId="0" fontId="2" fillId="0" borderId="3" xfId="0" applyNumberFormat="1" applyFont="1" applyBorder="1" applyAlignment="1">
      <alignment horizontal="center" shrinkToFit="1"/>
    </xf>
    <xf numFmtId="0" fontId="0" fillId="0" borderId="32" xfId="0" applyNumberFormat="1" applyFont="1" applyFill="1" applyBorder="1" applyAlignment="1">
      <alignment horizontal="center" shrinkToFit="1"/>
    </xf>
    <xf numFmtId="0" fontId="2" fillId="0" borderId="15" xfId="0" applyNumberFormat="1" applyFont="1" applyFill="1" applyBorder="1" applyAlignment="1">
      <alignment horizontal="center" shrinkToFit="1"/>
    </xf>
    <xf numFmtId="0" fontId="2" fillId="0" borderId="31" xfId="0" applyNumberFormat="1" applyFont="1" applyFill="1" applyBorder="1" applyAlignment="1">
      <alignment horizontal="center" shrinkToFit="1"/>
    </xf>
    <xf numFmtId="0" fontId="0" fillId="13" borderId="45" xfId="0" applyFill="1" applyBorder="1" applyAlignment="1">
      <alignment horizontal="right"/>
    </xf>
    <xf numFmtId="0" fontId="0" fillId="13" borderId="46" xfId="0" applyFill="1" applyBorder="1" applyAlignment="1">
      <alignment horizontal="right"/>
    </xf>
    <xf numFmtId="0" fontId="0" fillId="0" borderId="43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/>
    </xf>
    <xf numFmtId="0" fontId="23" fillId="0" borderId="20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196" fontId="23" fillId="13" borderId="69" xfId="0" applyNumberFormat="1" applyFont="1" applyFill="1" applyBorder="1" applyAlignment="1">
      <alignment horizontal="center" vertical="center"/>
    </xf>
    <xf numFmtId="196" fontId="23" fillId="13" borderId="18" xfId="0" applyNumberFormat="1" applyFont="1" applyFill="1" applyBorder="1" applyAlignment="1">
      <alignment horizontal="center" vertical="center"/>
    </xf>
    <xf numFmtId="196" fontId="23" fillId="13" borderId="44" xfId="0" applyNumberFormat="1" applyFont="1" applyFill="1" applyBorder="1" applyAlignment="1">
      <alignment horizontal="center" vertical="center"/>
    </xf>
    <xf numFmtId="196" fontId="23" fillId="13" borderId="6" xfId="0" applyNumberFormat="1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 wrapText="1"/>
    </xf>
    <xf numFmtId="0" fontId="0" fillId="0" borderId="20" xfId="0" applyNumberFormat="1" applyBorder="1" applyAlignment="1">
      <alignment horizontal="center" vertical="center"/>
    </xf>
    <xf numFmtId="0" fontId="23" fillId="13" borderId="69" xfId="0" applyNumberFormat="1" applyFont="1" applyFill="1" applyBorder="1" applyAlignment="1">
      <alignment horizontal="center" vertical="center" wrapText="1"/>
    </xf>
    <xf numFmtId="0" fontId="23" fillId="13" borderId="18" xfId="0" applyNumberFormat="1" applyFont="1" applyFill="1" applyBorder="1" applyAlignment="1">
      <alignment horizontal="center" vertical="center" wrapText="1"/>
    </xf>
    <xf numFmtId="0" fontId="0" fillId="16" borderId="0" xfId="0" quotePrefix="1" applyFill="1" applyAlignment="1">
      <alignment vertical="top" shrinkToFit="1"/>
    </xf>
    <xf numFmtId="0" fontId="13" fillId="18" borderId="0" xfId="0" applyFont="1" applyFill="1" applyAlignment="1">
      <alignment horizontal="left" shrinkToFit="1"/>
    </xf>
    <xf numFmtId="0" fontId="0" fillId="18" borderId="0" xfId="0" applyFill="1" applyAlignment="1">
      <alignment horizontal="left" shrinkToFit="1"/>
    </xf>
    <xf numFmtId="186" fontId="22" fillId="0" borderId="0" xfId="0" applyNumberFormat="1" applyFont="1" applyFill="1" applyAlignment="1" applyProtection="1">
      <alignment horizontal="center" vertical="top"/>
      <protection locked="0"/>
    </xf>
    <xf numFmtId="0" fontId="0" fillId="0" borderId="32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NumberFormat="1" applyAlignment="1">
      <alignment horizontal="center"/>
    </xf>
    <xf numFmtId="182" fontId="21" fillId="0" borderId="0" xfId="0" applyNumberFormat="1" applyFont="1" applyFill="1" applyAlignment="1">
      <alignment horizontal="center"/>
    </xf>
    <xf numFmtId="182" fontId="21" fillId="0" borderId="0" xfId="0" applyNumberFormat="1" applyFont="1" applyAlignment="1"/>
    <xf numFmtId="0" fontId="0" fillId="0" borderId="32" xfId="0" applyFill="1" applyBorder="1" applyAlignment="1"/>
    <xf numFmtId="0" fontId="0" fillId="0" borderId="31" xfId="0" applyFill="1" applyBorder="1" applyAlignment="1"/>
    <xf numFmtId="0" fontId="0" fillId="0" borderId="31" xfId="0" applyFill="1" applyBorder="1" applyAlignment="1">
      <alignment horizontal="center"/>
    </xf>
    <xf numFmtId="184" fontId="0" fillId="0" borderId="32" xfId="0" applyNumberFormat="1" applyBorder="1" applyAlignment="1">
      <alignment horizontal="center"/>
    </xf>
    <xf numFmtId="184" fontId="0" fillId="0" borderId="31" xfId="0" applyNumberFormat="1" applyBorder="1" applyAlignment="1">
      <alignment horizontal="center"/>
    </xf>
    <xf numFmtId="187" fontId="22" fillId="0" borderId="0" xfId="0" applyNumberFormat="1" applyFont="1" applyFill="1" applyAlignment="1" applyProtection="1">
      <alignment horizontal="center" vertical="top"/>
      <protection locked="0"/>
    </xf>
    <xf numFmtId="193" fontId="22" fillId="0" borderId="0" xfId="0" applyNumberFormat="1" applyFont="1" applyFill="1" applyAlignment="1" applyProtection="1">
      <alignment horizontal="center" vertical="top"/>
      <protection locked="0"/>
    </xf>
    <xf numFmtId="0" fontId="0" fillId="16" borderId="0" xfId="0" applyNumberFormat="1" applyFill="1" applyAlignment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185" fontId="6" fillId="0" borderId="0" xfId="0" applyNumberFormat="1" applyFont="1" applyBorder="1" applyAlignment="1" applyProtection="1">
      <alignment vertical="top" wrapText="1"/>
    </xf>
    <xf numFmtId="0" fontId="6" fillId="0" borderId="0" xfId="0" applyFont="1" applyBorder="1" applyAlignment="1">
      <alignment vertical="top" wrapText="1"/>
    </xf>
    <xf numFmtId="185" fontId="6" fillId="16" borderId="0" xfId="0" applyNumberFormat="1" applyFont="1" applyFill="1" applyBorder="1" applyAlignment="1">
      <alignment vertical="top" wrapText="1"/>
    </xf>
    <xf numFmtId="185" fontId="0" fillId="16" borderId="0" xfId="0" applyNumberFormat="1" applyFill="1" applyBorder="1" applyAlignment="1">
      <alignment vertical="top" wrapText="1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38">
    <dxf>
      <font>
        <b/>
        <i val="0"/>
      </font>
      <numFmt numFmtId="195" formatCode="[$HK$-C04]#,##0.00;[Red]\-[$HK$-C04]#,##0.00"/>
    </dxf>
    <dxf>
      <font>
        <b/>
        <i val="0"/>
      </font>
      <numFmt numFmtId="195" formatCode="[$HK$-C04]#,##0.00;[Red]\-[$HK$-C04]#,##0.00"/>
    </dxf>
    <dxf>
      <font>
        <b/>
        <i val="0"/>
        <condense val="0"/>
        <extend val="0"/>
      </font>
      <numFmt numFmtId="10" formatCode="&quot;¥&quot;#,##0;[Red]&quot;¥&quot;\-#,##0"/>
    </dxf>
    <dxf>
      <font>
        <b/>
        <i val="0"/>
      </font>
      <numFmt numFmtId="10" formatCode="&quot;¥&quot;#,##0;[Red]&quot;¥&quot;\-#,##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  <numFmt numFmtId="183" formatCode="&quot;US$&quot;#,##0.00;[Red]\-&quot;US$&quot;#,##0.00"/>
    </dxf>
    <dxf>
      <font>
        <b/>
        <i val="0"/>
      </font>
      <numFmt numFmtId="183" formatCode="&quot;US$&quot;#,##0.00;[Red]\-&quot;US$&quot;#,##0.0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numFmt numFmtId="6" formatCode="#,##0;[Red]\-#,##0"/>
    </dxf>
    <dxf>
      <numFmt numFmtId="8" formatCode="#,##0.00;[Red]\-#,##0.00"/>
    </dxf>
    <dxf>
      <numFmt numFmtId="8" formatCode="#,##0.00;[Red]\-#,##0.00"/>
    </dxf>
    <dxf>
      <fill>
        <patternFill>
          <bgColor rgb="FFFF0000"/>
        </patternFill>
      </fill>
    </dxf>
    <dxf>
      <numFmt numFmtId="8" formatCode="#,##0.00;[Red]\-#,##0.00"/>
    </dxf>
    <dxf>
      <numFmt numFmtId="6" formatCode="#,##0;[Red]\-#,##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</font>
      <fill>
        <patternFill>
          <bgColor indexed="10"/>
        </patternFill>
      </fill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C441D91-1B7A-4625-ACBC-E967B8516CAD}">
      <tableStyleElement type="wholeTable" dxfId="37"/>
      <tableStyleElement type="headerRow" dxfId="36"/>
    </tableStyle>
  </tableStyles>
  <colors>
    <mruColors>
      <color rgb="FFFFFF00"/>
      <color rgb="FFFFFF99"/>
      <color rgb="FFCDFAFF"/>
      <color rgb="FFC5F9FF"/>
      <color rgb="FFC1F9FF"/>
      <color rgb="FFCCFFCC"/>
      <color rgb="FF99CCFF"/>
      <color rgb="FF800080"/>
      <color rgb="FFE29DFD"/>
      <color rgb="FF008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133350</xdr:colOff>
      <xdr:row>102</xdr:row>
      <xdr:rowOff>0</xdr:rowOff>
    </xdr:from>
    <xdr:to>
      <xdr:col>21</xdr:col>
      <xdr:colOff>228600</xdr:colOff>
      <xdr:row>103</xdr:row>
      <xdr:rowOff>44222</xdr:rowOff>
    </xdr:to>
    <xdr:sp macro="" textlink="">
      <xdr:nvSpPr>
        <xdr:cNvPr id="4202" name="Text Box 93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>
          <a:spLocks noChangeArrowheads="1"/>
        </xdr:cNvSpPr>
      </xdr:nvSpPr>
      <xdr:spPr bwMode="auto">
        <a:xfrm>
          <a:off x="9039225" y="16497300"/>
          <a:ext cx="95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623206</xdr:colOff>
      <xdr:row>3</xdr:row>
      <xdr:rowOff>29937</xdr:rowOff>
    </xdr:from>
    <xdr:to>
      <xdr:col>27</xdr:col>
      <xdr:colOff>543376</xdr:colOff>
      <xdr:row>6</xdr:row>
      <xdr:rowOff>83455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200-000003140000}"/>
            </a:ext>
          </a:extLst>
        </xdr:cNvPr>
        <xdr:cNvSpPr>
          <a:spLocks noChangeArrowheads="1"/>
        </xdr:cNvSpPr>
      </xdr:nvSpPr>
      <xdr:spPr bwMode="auto">
        <a:xfrm>
          <a:off x="8446406" y="601437"/>
          <a:ext cx="1507670" cy="612318"/>
        </a:xfrm>
        <a:prstGeom prst="wedgeRoundRectCallout">
          <a:avLst>
            <a:gd name="adj1" fmla="val -24722"/>
            <a:gd name="adj2" fmla="val 7586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消費税設定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区分：非課税は『 0 』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/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端数：切捨ては『 </a:t>
          </a:r>
          <a:r>
            <a:rPr lang="ja-JP" altLang="en-US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＊</a:t>
          </a:r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』</a:t>
          </a:r>
          <a:endParaRPr lang="ja-JP" altLang="en-US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108874</xdr:colOff>
      <xdr:row>43</xdr:row>
      <xdr:rowOff>3641</xdr:rowOff>
    </xdr:from>
    <xdr:to>
      <xdr:col>24</xdr:col>
      <xdr:colOff>101600</xdr:colOff>
      <xdr:row>47</xdr:row>
      <xdr:rowOff>139700</xdr:rowOff>
    </xdr:to>
    <xdr:sp macro="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785774" y="8245941"/>
          <a:ext cx="6482426" cy="898059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38100</xdr:rowOff>
    </xdr:from>
    <xdr:to>
      <xdr:col>12</xdr:col>
      <xdr:colOff>266700</xdr:colOff>
      <xdr:row>2</xdr:row>
      <xdr:rowOff>38100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6388100" y="3937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12</xdr:col>
      <xdr:colOff>228600</xdr:colOff>
      <xdr:row>23</xdr:row>
      <xdr:rowOff>0</xdr:rowOff>
    </xdr:to>
    <xdr:sp macro="" textlink="">
      <xdr:nvSpPr>
        <xdr:cNvPr id="3" name="Line 1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504825" y="531495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52</xdr:row>
      <xdr:rowOff>0</xdr:rowOff>
    </xdr:from>
    <xdr:to>
      <xdr:col>12</xdr:col>
      <xdr:colOff>228600</xdr:colOff>
      <xdr:row>52</xdr:row>
      <xdr:rowOff>0</xdr:rowOff>
    </xdr:to>
    <xdr:sp macro="" textlink="">
      <xdr:nvSpPr>
        <xdr:cNvPr id="4" name="Line 1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504825" y="1159192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53</xdr:row>
      <xdr:rowOff>0</xdr:rowOff>
    </xdr:from>
    <xdr:to>
      <xdr:col>12</xdr:col>
      <xdr:colOff>228600</xdr:colOff>
      <xdr:row>53</xdr:row>
      <xdr:rowOff>0</xdr:rowOff>
    </xdr:to>
    <xdr:sp macro="" textlink="">
      <xdr:nvSpPr>
        <xdr:cNvPr id="5" name="Line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504825" y="1183957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419100</xdr:colOff>
      <xdr:row>26</xdr:row>
      <xdr:rowOff>38100</xdr:rowOff>
    </xdr:from>
    <xdr:to>
      <xdr:col>12</xdr:col>
      <xdr:colOff>266700</xdr:colOff>
      <xdr:row>26</xdr:row>
      <xdr:rowOff>38100</xdr:rowOff>
    </xdr:to>
    <xdr:sp macro="" textlink="">
      <xdr:nvSpPr>
        <xdr:cNvPr id="6" name="Line 1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6388100" y="67183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12</xdr:col>
      <xdr:colOff>228600</xdr:colOff>
      <xdr:row>24</xdr:row>
      <xdr:rowOff>0</xdr:rowOff>
    </xdr:to>
    <xdr:sp macro="" textlink="">
      <xdr:nvSpPr>
        <xdr:cNvPr id="7" name="Line 2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504825" y="556260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25400</xdr:colOff>
      <xdr:row>17</xdr:row>
      <xdr:rowOff>38100</xdr:rowOff>
    </xdr:from>
    <xdr:to>
      <xdr:col>21</xdr:col>
      <xdr:colOff>368300</xdr:colOff>
      <xdr:row>24</xdr:row>
      <xdr:rowOff>74373</xdr:rowOff>
    </xdr:to>
    <xdr:sp macro="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9474200" y="3810000"/>
          <a:ext cx="3441700" cy="1877773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　　　　　　　　　　　　　　　　　　　　　　　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endParaRPr kumimoji="1" lang="en-US" altLang="ja-JP" sz="1600"/>
        </a:p>
        <a:p>
          <a:pPr algn="l"/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541020</xdr:colOff>
          <xdr:row>5</xdr:row>
          <xdr:rowOff>22860</xdr:rowOff>
        </xdr:from>
        <xdr:to>
          <xdr:col>17</xdr:col>
          <xdr:colOff>2080260</xdr:colOff>
          <xdr:row>6</xdr:row>
          <xdr:rowOff>106680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7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空白排除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1536700</xdr:colOff>
      <xdr:row>0</xdr:row>
      <xdr:rowOff>25400</xdr:rowOff>
    </xdr:from>
    <xdr:ext cx="4826000" cy="684000"/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5156200" y="25400"/>
          <a:ext cx="4826000" cy="684000"/>
        </a:xfrm>
        <a:prstGeom prst="wedgeRoundRectCallout">
          <a:avLst>
            <a:gd name="adj1" fmla="val 36529"/>
            <a:gd name="adj2" fmla="val 12249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取引先マスタに行追加した時は、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Ｎ：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列の通し番号確認</a:t>
          </a:r>
          <a:r>
            <a:rPr kumimoji="1" lang="ja-JP" altLang="en-US" sz="1200" b="1">
              <a:solidFill>
                <a:srgbClr val="0070C0"/>
              </a:solidFill>
            </a:rPr>
            <a:t>と、関数設定が狂うことがあるので</a:t>
          </a: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Ｏ１：Ｑ１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の関数を以下の有効行に再コピーする</a:t>
          </a:r>
          <a:endParaRPr kumimoji="1" lang="en-US" altLang="ja-JP" sz="1200" b="1">
            <a:solidFill>
              <a:srgbClr val="0070C0"/>
            </a:solidFill>
          </a:endParaRPr>
        </a:p>
        <a:p>
          <a:pPr algn="l" rtl="0">
            <a:lnSpc>
              <a:spcPct val="100000"/>
            </a:lnSpc>
          </a:pP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Ｒ：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列はマクロ［空白排除］ボタン押下で表示されるので不要</a:t>
          </a:r>
        </a:p>
      </xdr:txBody>
    </xdr:sp>
    <xdr:clientData/>
  </xdr:oneCellAnchor>
  <xdr:oneCellAnchor>
    <xdr:from>
      <xdr:col>17</xdr:col>
      <xdr:colOff>1498600</xdr:colOff>
      <xdr:row>0</xdr:row>
      <xdr:rowOff>25400</xdr:rowOff>
    </xdr:from>
    <xdr:ext cx="2806700" cy="463247"/>
    <xdr:sp macro="" textlink="">
      <xdr:nvSpPr>
        <xdr:cNvPr id="5" name="角丸四角形吹き出し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11074400" y="25400"/>
          <a:ext cx="2806700" cy="463247"/>
        </a:xfrm>
        <a:prstGeom prst="wedgeRoundRectCallout">
          <a:avLst>
            <a:gd name="adj1" fmla="val -39080"/>
            <a:gd name="adj2" fmla="val 128241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取引先マスタを更新した時は［空白排除］ボタンを押し、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0070C0"/>
              </a:solidFill>
            </a:rPr>
            <a:t>Ｒ：</a:t>
          </a:r>
          <a:r>
            <a:rPr kumimoji="1" lang="en-US" altLang="ja-JP" sz="1200" b="1">
              <a:solidFill>
                <a:srgbClr val="0070C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列データを更新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583395</xdr:colOff>
      <xdr:row>2</xdr:row>
      <xdr:rowOff>11907</xdr:rowOff>
    </xdr:from>
    <xdr:ext cx="464345" cy="448787"/>
    <xdr:sp macro="" textlink="">
      <xdr:nvSpPr>
        <xdr:cNvPr id="5" name="フローチャート : 結合子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 bwMode="auto">
        <a:xfrm>
          <a:off x="18240364" y="178595"/>
          <a:ext cx="464345" cy="448787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>
          <a:noAutofit/>
        </a:bodyPr>
        <a:lstStyle/>
        <a:p>
          <a:pPr algn="l"/>
          <a:r>
            <a:rPr kumimoji="1" lang="ja-JP" altLang="en-US" sz="2000" b="1">
              <a:solidFill>
                <a:srgbClr val="FF0000"/>
              </a:solidFill>
            </a:rPr>
            <a:t>仮</a:t>
          </a:r>
        </a:p>
      </xdr:txBody>
    </xdr:sp>
    <xdr:clientData/>
  </xdr:oneCellAnchor>
  <xdr:twoCellAnchor>
    <xdr:from>
      <xdr:col>20</xdr:col>
      <xdr:colOff>595303</xdr:colOff>
      <xdr:row>2</xdr:row>
      <xdr:rowOff>35723</xdr:rowOff>
    </xdr:from>
    <xdr:to>
      <xdr:col>21</xdr:col>
      <xdr:colOff>476239</xdr:colOff>
      <xdr:row>3</xdr:row>
      <xdr:rowOff>178598</xdr:rowOff>
    </xdr:to>
    <xdr:sp macro="" textlink="">
      <xdr:nvSpPr>
        <xdr:cNvPr id="7" name="フローチャート : 代替処理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17561709" y="202411"/>
          <a:ext cx="571499" cy="3810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/>
        <a:lstStyle/>
        <a:p>
          <a:pPr algn="l"/>
          <a:r>
            <a:rPr kumimoji="1" lang="ja-JP" altLang="en-US" sz="1800" b="1">
              <a:solidFill>
                <a:srgbClr val="0000FF"/>
              </a:solidFill>
            </a:rPr>
            <a:t>確定</a:t>
          </a:r>
        </a:p>
      </xdr:txBody>
    </xdr:sp>
    <xdr:clientData/>
  </xdr:twoCellAnchor>
  <xdr:twoCellAnchor>
    <xdr:from>
      <xdr:col>11</xdr:col>
      <xdr:colOff>178590</xdr:colOff>
      <xdr:row>13</xdr:row>
      <xdr:rowOff>107159</xdr:rowOff>
    </xdr:from>
    <xdr:to>
      <xdr:col>15</xdr:col>
      <xdr:colOff>233009</xdr:colOff>
      <xdr:row>16</xdr:row>
      <xdr:rowOff>107157</xdr:rowOff>
    </xdr:to>
    <xdr:sp macro="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13632653" y="2107409"/>
          <a:ext cx="2816669" cy="500061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8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NO.37-B04</a:t>
          </a:r>
          <a:r>
            <a:rPr kumimoji="1" lang="ja-JP" altLang="en-US" sz="1200" b="1"/>
            <a:t>・・・</a:t>
          </a:r>
          <a:endParaRPr kumimoji="1" lang="en-US" altLang="ja-JP" sz="1200" b="1"/>
        </a:p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10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 </a:t>
          </a:r>
          <a:r>
            <a:rPr kumimoji="1" lang="en-US" altLang="ja-JP" sz="1200" b="1">
              <a:solidFill>
                <a:srgbClr val="FF0000"/>
              </a:solidFill>
            </a:rPr>
            <a:t>C</a:t>
          </a:r>
          <a:r>
            <a:rPr kumimoji="1" lang="en-US" altLang="ja-JP" sz="12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200" b="1">
              <a:solidFill>
                <a:sysClr val="windowText" lastClr="000000"/>
              </a:solidFill>
            </a:rPr>
            <a:t>・・・</a:t>
          </a:r>
          <a:endParaRPr kumimoji="1" lang="en-US" altLang="ja-JP" sz="1200" b="1">
            <a:solidFill>
              <a:sysClr val="windowText" lastClr="000000"/>
            </a:solidFill>
          </a:endParaRPr>
        </a:p>
        <a:p>
          <a:pPr algn="l"/>
          <a:endParaRPr kumimoji="1" lang="en-US" altLang="ja-JP" sz="1200"/>
        </a:p>
        <a:p>
          <a:pPr algn="l"/>
          <a:endParaRPr kumimoji="1" lang="ja-JP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ユーザー定義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CCFFCC"/>
      </a:accent3>
      <a:accent4>
        <a:srgbClr val="8064A2"/>
      </a:accent4>
      <a:accent5>
        <a:srgbClr val="CCFFFF"/>
      </a:accent5>
      <a:accent6>
        <a:srgbClr val="FF99CC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V208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ColWidth="9" defaultRowHeight="13.2" outlineLevelCol="1"/>
  <cols>
    <col min="1" max="1" width="4.6640625" style="29" customWidth="1"/>
    <col min="2" max="4" width="10.6640625" style="30" hidden="1" customWidth="1" outlineLevel="1"/>
    <col min="5" max="6" width="6.6640625" style="99" hidden="1" customWidth="1" outlineLevel="1"/>
    <col min="7" max="7" width="5.44140625" style="29" bestFit="1" customWidth="1" collapsed="1"/>
    <col min="8" max="8" width="9.44140625" style="30" bestFit="1" customWidth="1"/>
    <col min="9" max="9" width="4.44140625" style="44" customWidth="1"/>
    <col min="10" max="10" width="45.6640625" style="40" customWidth="1"/>
    <col min="11" max="11" width="3.44140625" style="44" customWidth="1"/>
    <col min="12" max="12" width="2.6640625" style="44" bestFit="1" customWidth="1"/>
    <col min="13" max="13" width="8.6640625" style="40" customWidth="1"/>
    <col min="14" max="14" width="4.6640625" style="40" customWidth="1"/>
    <col min="15" max="15" width="8.109375" style="41" customWidth="1"/>
    <col min="16" max="16" width="10.6640625" style="41" customWidth="1"/>
    <col min="17" max="17" width="13.6640625" style="41" customWidth="1"/>
    <col min="18" max="19" width="5.109375" style="40" customWidth="1"/>
    <col min="20" max="20" width="11.6640625" style="40" customWidth="1"/>
    <col min="21" max="21" width="8.6640625" style="40" customWidth="1"/>
    <col min="22" max="22" width="10.6640625" style="29" customWidth="1"/>
    <col min="23" max="16384" width="9" style="29"/>
  </cols>
  <sheetData>
    <row r="1" spans="1:22" ht="13.8" thickBot="1">
      <c r="G1" s="93" t="str">
        <f ca="1">RIGHT(CELL("filename",G1),LEN(CELL("filename",G1))-FIND("]",CELL("filename",G1)))</f>
        <v>納品書明細16-E</v>
      </c>
      <c r="Q1" s="330" t="s">
        <v>432</v>
      </c>
      <c r="T1" s="342" t="s">
        <v>574</v>
      </c>
    </row>
    <row r="2" spans="1:22" ht="14.4">
      <c r="N2" s="251" t="s">
        <v>391</v>
      </c>
      <c r="O2" s="469" t="s">
        <v>54</v>
      </c>
      <c r="Q2" s="149">
        <f>SUMIF($N$9:$N$206,$N2,$Q$9:$Q$206)</f>
        <v>7343586</v>
      </c>
      <c r="T2" s="472" t="s">
        <v>694</v>
      </c>
    </row>
    <row r="3" spans="1:22" ht="14.4">
      <c r="A3" s="93"/>
      <c r="G3" s="248"/>
      <c r="H3" s="16" t="s">
        <v>82</v>
      </c>
      <c r="N3" s="252" t="s">
        <v>392</v>
      </c>
      <c r="O3" s="470" t="s">
        <v>55</v>
      </c>
      <c r="Q3" s="150">
        <f>SUMIF($N$9:$N$206,$N3,$Q$9:$Q$206)</f>
        <v>204210.21</v>
      </c>
    </row>
    <row r="4" spans="1:22" ht="14.4">
      <c r="A4" s="93"/>
      <c r="G4" s="250"/>
      <c r="H4" s="16" t="s">
        <v>83</v>
      </c>
      <c r="N4" s="252" t="s">
        <v>394</v>
      </c>
      <c r="O4" s="470" t="s">
        <v>417</v>
      </c>
      <c r="Q4" s="151">
        <f>SUMIF($N$9:$N$206,$N4,$Q$9:$Q$206)</f>
        <v>15497.73</v>
      </c>
    </row>
    <row r="5" spans="1:22" ht="15" thickBot="1">
      <c r="A5" s="93"/>
      <c r="G5" s="479"/>
      <c r="H5" t="s">
        <v>456</v>
      </c>
      <c r="N5" s="253"/>
      <c r="O5" s="471" t="s">
        <v>418</v>
      </c>
      <c r="Q5" s="152">
        <f>SUMIF($N$9:$N$206,$N5,$Q$9:$Q$206)</f>
        <v>0</v>
      </c>
    </row>
    <row r="6" spans="1:22" s="31" customFormat="1" ht="17.25" customHeight="1">
      <c r="B6" s="663" t="s">
        <v>389</v>
      </c>
      <c r="C6" s="663" t="s">
        <v>388</v>
      </c>
      <c r="D6" s="663" t="s">
        <v>387</v>
      </c>
      <c r="E6" s="668" t="s">
        <v>41</v>
      </c>
      <c r="F6" s="668" t="s">
        <v>42</v>
      </c>
      <c r="G6" s="666" t="s">
        <v>8</v>
      </c>
      <c r="H6" s="666" t="s">
        <v>21</v>
      </c>
      <c r="I6" s="665" t="s">
        <v>40</v>
      </c>
      <c r="J6" s="665"/>
      <c r="K6" s="665"/>
      <c r="L6" s="665"/>
      <c r="M6" s="665"/>
      <c r="N6" s="667"/>
      <c r="O6" s="667"/>
      <c r="P6" s="665"/>
      <c r="Q6" s="667"/>
      <c r="R6" s="665" t="s">
        <v>7</v>
      </c>
      <c r="S6" s="665"/>
      <c r="T6" s="665"/>
      <c r="U6" s="661" t="s">
        <v>441</v>
      </c>
      <c r="V6" s="659" t="s">
        <v>457</v>
      </c>
    </row>
    <row r="7" spans="1:22" s="32" customFormat="1" ht="17.25" customHeight="1">
      <c r="B7" s="663"/>
      <c r="C7" s="664"/>
      <c r="D7" s="664"/>
      <c r="E7" s="668"/>
      <c r="F7" s="668"/>
      <c r="G7" s="666"/>
      <c r="H7" s="666"/>
      <c r="I7" s="669" t="s">
        <v>625</v>
      </c>
      <c r="J7" s="670"/>
      <c r="K7" s="671"/>
      <c r="L7" s="669" t="s">
        <v>618</v>
      </c>
      <c r="M7" s="671"/>
      <c r="N7" s="486" t="s">
        <v>385</v>
      </c>
      <c r="O7" s="485" t="s">
        <v>0</v>
      </c>
      <c r="P7" s="485" t="s">
        <v>1</v>
      </c>
      <c r="Q7" s="313" t="s">
        <v>2</v>
      </c>
      <c r="R7" s="312" t="s">
        <v>75</v>
      </c>
      <c r="S7" s="312" t="s">
        <v>76</v>
      </c>
      <c r="T7" s="312" t="s">
        <v>9</v>
      </c>
      <c r="U7" s="662"/>
      <c r="V7" s="660"/>
    </row>
    <row r="8" spans="1:22" s="32" customFormat="1" ht="12" customHeight="1">
      <c r="A8" s="584"/>
      <c r="B8" s="574" t="s">
        <v>400</v>
      </c>
      <c r="C8" s="574" t="s">
        <v>401</v>
      </c>
      <c r="D8" s="574" t="s">
        <v>402</v>
      </c>
      <c r="E8" s="574" t="s">
        <v>403</v>
      </c>
      <c r="F8" s="574" t="s">
        <v>404</v>
      </c>
      <c r="G8" s="574" t="s">
        <v>109</v>
      </c>
      <c r="H8" s="574" t="s">
        <v>110</v>
      </c>
      <c r="I8" s="585" t="s">
        <v>405</v>
      </c>
      <c r="J8" s="585" t="s">
        <v>406</v>
      </c>
      <c r="K8" s="585" t="s">
        <v>407</v>
      </c>
      <c r="L8" s="585" t="s">
        <v>408</v>
      </c>
      <c r="M8" s="585" t="s">
        <v>409</v>
      </c>
      <c r="N8" s="574" t="s">
        <v>410</v>
      </c>
      <c r="O8" s="574" t="s">
        <v>411</v>
      </c>
      <c r="P8" s="574" t="s">
        <v>412</v>
      </c>
      <c r="Q8" s="574" t="s">
        <v>413</v>
      </c>
      <c r="R8" s="585" t="s">
        <v>414</v>
      </c>
      <c r="S8" s="585" t="s">
        <v>415</v>
      </c>
      <c r="T8" s="574" t="s">
        <v>416</v>
      </c>
      <c r="U8" s="574" t="s">
        <v>442</v>
      </c>
      <c r="V8" s="58"/>
    </row>
    <row r="9" spans="1:22" s="32" customFormat="1" ht="15" customHeight="1">
      <c r="A9" s="58">
        <f>IF($Q9="","",MAX($A$8:$A8)+1)</f>
        <v>1</v>
      </c>
      <c r="B9" s="614" t="str">
        <f>LEFT($D9,8)</f>
        <v>11000191</v>
      </c>
      <c r="C9" s="614" t="str">
        <f t="shared" ref="C9:C40" si="0">IF($H9="","",CONCATENATE(VLOOKUP($N9,$N$2:$O$5,2,FALSE),$I9,IF($K9="","00",$K9),$E9,$L9))</f>
        <v>11000191</v>
      </c>
      <c r="D9" s="614" t="str">
        <f t="shared" ref="D9:D40" si="1">IF($H9="","",CONCATENATE(VLOOKUP($N9,$N$2:$O$5,2,FALSE),$I9,IF($K9="","00",$K9),$E9,$F9,$L9))</f>
        <v>110001911</v>
      </c>
      <c r="E9" s="615">
        <f t="shared" ref="E9:E40" si="2">IF($H9="","",IF($T9="",1,9))</f>
        <v>9</v>
      </c>
      <c r="F9" s="616">
        <f>IF($H9="","",IF(ISNA(MATCH($H9,$H$7:$H7,0)),1,0))</f>
        <v>1</v>
      </c>
      <c r="G9" s="249">
        <v>43148</v>
      </c>
      <c r="H9" s="95" t="s">
        <v>549</v>
      </c>
      <c r="I9" s="597" t="str">
        <f>IF($J9="","",INDEX(ﾏｽﾀ!$E$8:$E$124,MATCH(INDEX(ﾏｽﾀ!$N$8:$N$124,MATCH($J9,ﾏｽﾀ!$O$8:$O$124,0)),ﾏｽﾀ!$B$8:$B$124,0))&amp;"")</f>
        <v>100</v>
      </c>
      <c r="J9" s="534" t="s">
        <v>582</v>
      </c>
      <c r="K9" s="598" t="str">
        <f>IF($J9="","",INDEX(ﾏｽﾀ!$G$8:$G$124,MATCH(INDEX(ﾏｽﾀ!$N$8:$N$124,MATCH($J9,ﾏｽﾀ!$O$8:$O$124,0)),ﾏｽﾀ!$B$8:$B$124,0))&amp;"")</f>
        <v>01</v>
      </c>
      <c r="L9" s="599" t="str">
        <f>IF($M9="","",INDEX(ﾏｽﾀ!$T$8:$T$16,MATCH($M9,ﾏｽﾀ!$U$8:$U$16,0))&amp;"")</f>
        <v>1</v>
      </c>
      <c r="M9" s="534" t="s">
        <v>24</v>
      </c>
      <c r="N9" s="463" t="s">
        <v>550</v>
      </c>
      <c r="O9" s="464">
        <v>10000</v>
      </c>
      <c r="P9" s="465">
        <v>50</v>
      </c>
      <c r="Q9" s="466">
        <f>IF($O9="","",IF($N9="\",ROUNDDOWN($O9*$P9,0)+$U9,ROUNDDOWN($O9*$P9,2)+$U9))</f>
        <v>500000</v>
      </c>
      <c r="R9" s="154">
        <f>IF($T9="","",VLOOKUP($T9,請求Data!$I$11:$AR$160,請求Data!$AL$10-請求Data!$H$10,0))</f>
        <v>43160</v>
      </c>
      <c r="S9" s="155">
        <f>IF($T9="","",VLOOKUP($T9,請求Data!$I$11:$AR$160,請求Data!$AM$10-請求Data!$H$10,0))</f>
        <v>43169</v>
      </c>
      <c r="T9" s="467" t="str">
        <f>IF(ISNA(MATCH($H9,請求Data!$AH$11:$AH$160,0)),"",VLOOKUP($H9,請求Data!$AH$11:$AR$160,請求Data!$AK$10-請求Data!$AG$10,0))</f>
        <v>39-B07001</v>
      </c>
      <c r="U9" s="468"/>
      <c r="V9" s="85"/>
    </row>
    <row r="10" spans="1:22" s="32" customFormat="1" ht="15" customHeight="1">
      <c r="A10" s="58">
        <f>IF($Q10="","",MAX($A$8:$A9)+1)</f>
        <v>2</v>
      </c>
      <c r="B10" s="614" t="str">
        <f t="shared" ref="B10:B73" si="3">LEFT($D10,8)</f>
        <v>11000511</v>
      </c>
      <c r="C10" s="614" t="str">
        <f t="shared" si="0"/>
        <v>11000519</v>
      </c>
      <c r="D10" s="614" t="str">
        <f t="shared" si="1"/>
        <v>110005119</v>
      </c>
      <c r="E10" s="615">
        <f t="shared" si="2"/>
        <v>1</v>
      </c>
      <c r="F10" s="616">
        <f>IF($H10="","",IF(ISNA(MATCH($H10,$H$7:$H9,0)),1,0))</f>
        <v>1</v>
      </c>
      <c r="G10" s="249">
        <v>43151</v>
      </c>
      <c r="H10" s="95" t="s">
        <v>557</v>
      </c>
      <c r="I10" s="597" t="str">
        <f>IF($J10="","",INDEX(ﾏｽﾀ!$E$8:$E$124,MATCH(INDEX(ﾏｽﾀ!$N$8:$N$124,MATCH($J10,ﾏｽﾀ!$O$8:$O$124,0)),ﾏｽﾀ!$B$8:$B$124,0))&amp;"")</f>
        <v>100</v>
      </c>
      <c r="J10" s="534" t="s">
        <v>583</v>
      </c>
      <c r="K10" s="598" t="str">
        <f>IF($J10="","",INDEX(ﾏｽﾀ!$G$8:$G$124,MATCH(INDEX(ﾏｽﾀ!$N$8:$N$124,MATCH($J10,ﾏｽﾀ!$O$8:$O$124,0)),ﾏｽﾀ!$B$8:$B$124,0))&amp;"")</f>
        <v>05</v>
      </c>
      <c r="L10" s="599" t="str">
        <f>IF($M10="","",INDEX(ﾏｽﾀ!$T$8:$T$16,MATCH($M10,ﾏｽﾀ!$U$8:$U$16,0))&amp;"")</f>
        <v>9</v>
      </c>
      <c r="M10" s="534" t="s">
        <v>26</v>
      </c>
      <c r="N10" s="463" t="s">
        <v>550</v>
      </c>
      <c r="O10" s="464">
        <v>1</v>
      </c>
      <c r="P10" s="465">
        <v>27999</v>
      </c>
      <c r="Q10" s="466">
        <f>IF($O10="","",IF($N10="\",ROUNDDOWN($O10*$P10,0)+$U10,ROUNDDOWN($O10*$P10,2)+$U10))</f>
        <v>27999</v>
      </c>
      <c r="R10" s="154" t="str">
        <f>IF($T10="","",VLOOKUP($T10,請求Data!$I$11:$AR$160,請求Data!$AL$10-請求Data!$H$10,0))</f>
        <v/>
      </c>
      <c r="S10" s="155" t="str">
        <f>IF($T10="","",VLOOKUP($T10,請求Data!$I$11:$AR$160,請求Data!$AM$10-請求Data!$H$10,0))</f>
        <v/>
      </c>
      <c r="T10" s="467" t="str">
        <f>IF(ISNA(MATCH($H10,請求Data!$AH$11:$AH$160,0)),"",VLOOKUP($H10,請求Data!$AH$11:$AR$160,請求Data!$AK$10-請求Data!$AG$10,0))</f>
        <v/>
      </c>
      <c r="U10" s="468"/>
      <c r="V10" s="58"/>
    </row>
    <row r="11" spans="1:22" s="32" customFormat="1" ht="15" customHeight="1">
      <c r="A11" s="58">
        <f>IF($Q11="","",MAX($A$8:$A10)+1)</f>
        <v>3</v>
      </c>
      <c r="B11" s="614" t="str">
        <f t="shared" si="3"/>
        <v>11000111</v>
      </c>
      <c r="C11" s="614" t="str">
        <f t="shared" si="0"/>
        <v>11000111</v>
      </c>
      <c r="D11" s="614" t="str">
        <f t="shared" si="1"/>
        <v>110001111</v>
      </c>
      <c r="E11" s="615">
        <f t="shared" si="2"/>
        <v>1</v>
      </c>
      <c r="F11" s="616">
        <f>IF($H11="","",IF(ISNA(MATCH($H11,$H$7:$H10,0)),1,0))</f>
        <v>1</v>
      </c>
      <c r="G11" s="249">
        <v>43153</v>
      </c>
      <c r="H11" s="95" t="s">
        <v>554</v>
      </c>
      <c r="I11" s="597" t="str">
        <f>IF($J11="","",INDEX(ﾏｽﾀ!$E$8:$E$124,MATCH(INDEX(ﾏｽﾀ!$N$8:$N$124,MATCH($J11,ﾏｽﾀ!$O$8:$O$124,0)),ﾏｽﾀ!$B$8:$B$124,0))&amp;"")</f>
        <v>100</v>
      </c>
      <c r="J11" s="534" t="s">
        <v>582</v>
      </c>
      <c r="K11" s="598" t="str">
        <f>IF($J11="","",INDEX(ﾏｽﾀ!$G$8:$G$124,MATCH(INDEX(ﾏｽﾀ!$N$8:$N$124,MATCH($J11,ﾏｽﾀ!$O$8:$O$124,0)),ﾏｽﾀ!$B$8:$B$124,0))&amp;"")</f>
        <v>01</v>
      </c>
      <c r="L11" s="599" t="str">
        <f>IF($M11="","",INDEX(ﾏｽﾀ!$T$8:$T$16,MATCH($M11,ﾏｽﾀ!$U$8:$U$16,0))&amp;"")</f>
        <v>1</v>
      </c>
      <c r="M11" s="534" t="s">
        <v>24</v>
      </c>
      <c r="N11" s="463" t="s">
        <v>550</v>
      </c>
      <c r="O11" s="464">
        <v>343</v>
      </c>
      <c r="P11" s="465">
        <v>18132</v>
      </c>
      <c r="Q11" s="466">
        <f t="shared" ref="Q11:Q74" si="4">IF($O11="","",IF($N11="\",ROUNDDOWN($O11*$P11,0)+$U11,ROUNDDOWN($O11*$P11,2)+$U11))</f>
        <v>6219276</v>
      </c>
      <c r="R11" s="154" t="str">
        <f>IF($T11="","",VLOOKUP($T11,請求Data!$I$11:$AR$160,請求Data!$AL$10-請求Data!$H$10,0))</f>
        <v/>
      </c>
      <c r="S11" s="155" t="str">
        <f>IF($T11="","",VLOOKUP($T11,請求Data!$I$11:$AR$160,請求Data!$AM$10-請求Data!$H$10,0))</f>
        <v/>
      </c>
      <c r="T11" s="467" t="str">
        <f>IF(ISNA(MATCH($H11,請求Data!$AH$11:$AH$160,0)),"",VLOOKUP($H11,請求Data!$AH$11:$AR$160,請求Data!$AK$10-請求Data!$AG$10,0))</f>
        <v/>
      </c>
      <c r="U11" s="468"/>
      <c r="V11" s="58"/>
    </row>
    <row r="12" spans="1:22" s="32" customFormat="1" ht="15" customHeight="1">
      <c r="A12" s="58">
        <f>IF($Q12="","",MAX($A$8:$A11)+1)</f>
        <v>4</v>
      </c>
      <c r="B12" s="614" t="str">
        <f t="shared" si="3"/>
        <v>11000111</v>
      </c>
      <c r="C12" s="614" t="str">
        <f t="shared" si="0"/>
        <v>11000113</v>
      </c>
      <c r="D12" s="614" t="str">
        <f t="shared" si="1"/>
        <v>110001113</v>
      </c>
      <c r="E12" s="615">
        <f t="shared" si="2"/>
        <v>1</v>
      </c>
      <c r="F12" s="616">
        <f>IF($H12="","",IF(ISNA(MATCH($H12,$H$7:$H11,0)),1,0))</f>
        <v>1</v>
      </c>
      <c r="G12" s="249">
        <v>43153</v>
      </c>
      <c r="H12" s="95" t="s">
        <v>555</v>
      </c>
      <c r="I12" s="597" t="str">
        <f>IF($J12="","",INDEX(ﾏｽﾀ!$E$8:$E$124,MATCH(INDEX(ﾏｽﾀ!$N$8:$N$124,MATCH($J12,ﾏｽﾀ!$O$8:$O$124,0)),ﾏｽﾀ!$B$8:$B$124,0))&amp;"")</f>
        <v>100</v>
      </c>
      <c r="J12" s="534" t="s">
        <v>582</v>
      </c>
      <c r="K12" s="598" t="str">
        <f>IF($J12="","",INDEX(ﾏｽﾀ!$G$8:$G$124,MATCH(INDEX(ﾏｽﾀ!$N$8:$N$124,MATCH($J12,ﾏｽﾀ!$O$8:$O$124,0)),ﾏｽﾀ!$B$8:$B$124,0))&amp;"")</f>
        <v>01</v>
      </c>
      <c r="L12" s="599" t="str">
        <f>IF($M12="","",INDEX(ﾏｽﾀ!$T$8:$T$16,MATCH($M12,ﾏｽﾀ!$U$8:$U$16,0))&amp;"")</f>
        <v>3</v>
      </c>
      <c r="M12" s="534" t="s">
        <v>620</v>
      </c>
      <c r="N12" s="463" t="s">
        <v>550</v>
      </c>
      <c r="O12" s="464">
        <v>115</v>
      </c>
      <c r="P12" s="465">
        <v>54.88</v>
      </c>
      <c r="Q12" s="466">
        <f t="shared" si="4"/>
        <v>6311</v>
      </c>
      <c r="R12" s="154" t="str">
        <f>IF($T12="","",VLOOKUP($T12,請求Data!$I$11:$AR$160,請求Data!$AL$10-請求Data!$H$10,0))</f>
        <v/>
      </c>
      <c r="S12" s="155" t="str">
        <f>IF($T12="","",VLOOKUP($T12,請求Data!$I$11:$AR$160,請求Data!$AM$10-請求Data!$H$10,0))</f>
        <v/>
      </c>
      <c r="T12" s="467" t="str">
        <f>IF(ISNA(MATCH($H12,請求Data!$AH$11:$AH$160,0)),"",VLOOKUP($H12,請求Data!$AH$11:$AR$160,請求Data!$AK$10-請求Data!$AG$10,0))</f>
        <v/>
      </c>
      <c r="U12" s="468"/>
      <c r="V12" s="58"/>
    </row>
    <row r="13" spans="1:22" s="32" customFormat="1" ht="15" customHeight="1">
      <c r="A13" s="58">
        <f>IF($Q13="","",MAX($A$8:$A12)+1)</f>
        <v>5</v>
      </c>
      <c r="B13" s="614" t="str">
        <f t="shared" si="3"/>
        <v>11001091</v>
      </c>
      <c r="C13" s="614" t="str">
        <f t="shared" si="0"/>
        <v>11001097</v>
      </c>
      <c r="D13" s="614" t="str">
        <f t="shared" si="1"/>
        <v>110010917</v>
      </c>
      <c r="E13" s="615">
        <f t="shared" si="2"/>
        <v>9</v>
      </c>
      <c r="F13" s="616">
        <f>IF($H13="","",IF(ISNA(MATCH($H13,$H$7:$H12,0)),1,0))</f>
        <v>1</v>
      </c>
      <c r="G13" s="249">
        <v>43156</v>
      </c>
      <c r="H13" s="95" t="s">
        <v>556</v>
      </c>
      <c r="I13" s="597" t="str">
        <f>IF($J13="","",INDEX(ﾏｽﾀ!$E$8:$E$124,MATCH(INDEX(ﾏｽﾀ!$N$8:$N$124,MATCH($J13,ﾏｽﾀ!$O$8:$O$124,0)),ﾏｽﾀ!$B$8:$B$124,0))&amp;"")</f>
        <v>100</v>
      </c>
      <c r="J13" s="534" t="s">
        <v>584</v>
      </c>
      <c r="K13" s="598" t="str">
        <f>IF($J13="","",INDEX(ﾏｽﾀ!$G$8:$G$124,MATCH(INDEX(ﾏｽﾀ!$N$8:$N$124,MATCH($J13,ﾏｽﾀ!$O$8:$O$124,0)),ﾏｽﾀ!$B$8:$B$124,0))&amp;"")</f>
        <v>10</v>
      </c>
      <c r="L13" s="599" t="str">
        <f>IF($M13="","",INDEX(ﾏｽﾀ!$T$8:$T$16,MATCH($M13,ﾏｽﾀ!$U$8:$U$16,0))&amp;"")</f>
        <v>7</v>
      </c>
      <c r="M13" s="534" t="s">
        <v>168</v>
      </c>
      <c r="N13" s="463" t="s">
        <v>550</v>
      </c>
      <c r="O13" s="464">
        <v>1</v>
      </c>
      <c r="P13" s="465">
        <v>590000</v>
      </c>
      <c r="Q13" s="466">
        <f t="shared" si="4"/>
        <v>590000</v>
      </c>
      <c r="R13" s="154">
        <f>IF($T13="","",VLOOKUP($T13,請求Data!$I$11:$AR$160,請求Data!$AL$10-請求Data!$H$10,0))</f>
        <v>43160</v>
      </c>
      <c r="S13" s="155">
        <f>IF($T13="","",VLOOKUP($T13,請求Data!$I$11:$AR$160,請求Data!$AM$10-請求Data!$H$10,0))</f>
        <v>20</v>
      </c>
      <c r="T13" s="467" t="str">
        <f>IF(ISNA(MATCH($H13,請求Data!$AH$11:$AH$160,0)),"",VLOOKUP($H13,請求Data!$AH$11:$AR$160,請求Data!$AK$10-請求Data!$AG$10,0))</f>
        <v>39-B07004</v>
      </c>
      <c r="U13" s="468"/>
      <c r="V13" s="58"/>
    </row>
    <row r="14" spans="1:22" s="32" customFormat="1" ht="15" customHeight="1">
      <c r="A14" s="58">
        <f>IF($Q14="","",MAX($A$8:$A13)+1)</f>
        <v>6</v>
      </c>
      <c r="B14" s="614" t="str">
        <f t="shared" si="3"/>
        <v>26900011</v>
      </c>
      <c r="C14" s="614" t="str">
        <f t="shared" si="0"/>
        <v>26900011</v>
      </c>
      <c r="D14" s="614" t="str">
        <f t="shared" si="1"/>
        <v>269000111</v>
      </c>
      <c r="E14" s="615">
        <f t="shared" si="2"/>
        <v>1</v>
      </c>
      <c r="F14" s="616">
        <f>IF($H14="","",IF(ISNA(MATCH($H14,$H$7:$H13,0)),1,0))</f>
        <v>1</v>
      </c>
      <c r="G14" s="249">
        <v>43157</v>
      </c>
      <c r="H14" s="95" t="s">
        <v>558</v>
      </c>
      <c r="I14" s="597" t="str">
        <f>IF($J14="","",INDEX(ﾏｽﾀ!$E$8:$E$124,MATCH(INDEX(ﾏｽﾀ!$N$8:$N$124,MATCH($J14,ﾏｽﾀ!$O$8:$O$124,0)),ﾏｽﾀ!$B$8:$B$124,0))&amp;"")</f>
        <v>690</v>
      </c>
      <c r="J14" s="534" t="s">
        <v>585</v>
      </c>
      <c r="K14" s="598" t="str">
        <f>IF($J14="","",INDEX(ﾏｽﾀ!$G$8:$G$124,MATCH(INDEX(ﾏｽﾀ!$N$8:$N$124,MATCH($J14,ﾏｽﾀ!$O$8:$O$124,0)),ﾏｽﾀ!$B$8:$B$124,0))&amp;"")</f>
        <v/>
      </c>
      <c r="L14" s="599" t="str">
        <f>IF($M14="","",INDEX(ﾏｽﾀ!$T$8:$T$16,MATCH($M14,ﾏｽﾀ!$U$8:$U$16,0))&amp;"")</f>
        <v>1</v>
      </c>
      <c r="M14" s="534" t="s">
        <v>24</v>
      </c>
      <c r="N14" s="463" t="s">
        <v>559</v>
      </c>
      <c r="O14" s="464">
        <v>20001</v>
      </c>
      <c r="P14" s="465">
        <v>10.210000000000001</v>
      </c>
      <c r="Q14" s="466">
        <f t="shared" si="4"/>
        <v>204210.21</v>
      </c>
      <c r="R14" s="154" t="str">
        <f>IF($T14="","",VLOOKUP($T14,請求Data!$I$11:$AR$160,請求Data!$AL$10-請求Data!$H$10,0))</f>
        <v/>
      </c>
      <c r="S14" s="155" t="str">
        <f>IF($T14="","",VLOOKUP($T14,請求Data!$I$11:$AR$160,請求Data!$AM$10-請求Data!$H$10,0))</f>
        <v/>
      </c>
      <c r="T14" s="467" t="str">
        <f>IF(ISNA(MATCH($H14,請求Data!$AH$11:$AH$160,0)),"",VLOOKUP($H14,請求Data!$AH$11:$AR$160,請求Data!$AK$10-請求Data!$AG$10,0))</f>
        <v/>
      </c>
      <c r="U14" s="468"/>
      <c r="V14" s="58"/>
    </row>
    <row r="15" spans="1:22" s="32" customFormat="1" ht="15" customHeight="1">
      <c r="A15" s="58">
        <f>IF($Q15="","",MAX($A$8:$A14)+1)</f>
        <v>7</v>
      </c>
      <c r="B15" s="614" t="str">
        <f t="shared" si="3"/>
        <v>31000111</v>
      </c>
      <c r="C15" s="614" t="str">
        <f t="shared" si="0"/>
        <v>31000111</v>
      </c>
      <c r="D15" s="614" t="str">
        <f t="shared" si="1"/>
        <v>310001111</v>
      </c>
      <c r="E15" s="615">
        <f t="shared" si="2"/>
        <v>1</v>
      </c>
      <c r="F15" s="616">
        <f>IF($H15="","",IF(ISNA(MATCH($H15,$H$7:$H14,0)),1,0))</f>
        <v>1</v>
      </c>
      <c r="G15" s="249">
        <v>43159</v>
      </c>
      <c r="H15" s="95" t="s">
        <v>560</v>
      </c>
      <c r="I15" s="597" t="str">
        <f>IF($J15="","",INDEX(ﾏｽﾀ!$E$8:$E$124,MATCH(INDEX(ﾏｽﾀ!$N$8:$N$124,MATCH($J15,ﾏｽﾀ!$O$8:$O$124,0)),ﾏｽﾀ!$B$8:$B$124,0))&amp;"")</f>
        <v>100</v>
      </c>
      <c r="J15" s="534" t="s">
        <v>582</v>
      </c>
      <c r="K15" s="598" t="str">
        <f>IF($J15="","",INDEX(ﾏｽﾀ!$G$8:$G$124,MATCH(INDEX(ﾏｽﾀ!$N$8:$N$124,MATCH($J15,ﾏｽﾀ!$O$8:$O$124,0)),ﾏｽﾀ!$B$8:$B$124,0))&amp;"")</f>
        <v>01</v>
      </c>
      <c r="L15" s="599" t="str">
        <f>IF($M15="","",INDEX(ﾏｽﾀ!$T$8:$T$16,MATCH($M15,ﾏｽﾀ!$U$8:$U$16,0))&amp;"")</f>
        <v>1</v>
      </c>
      <c r="M15" s="534" t="s">
        <v>24</v>
      </c>
      <c r="N15" s="463" t="s">
        <v>393</v>
      </c>
      <c r="O15" s="464">
        <v>1007</v>
      </c>
      <c r="P15" s="465">
        <v>15.39</v>
      </c>
      <c r="Q15" s="466">
        <f t="shared" si="4"/>
        <v>15497.73</v>
      </c>
      <c r="R15" s="154" t="str">
        <f>IF($T15="","",VLOOKUP($T15,請求Data!$I$11:$AR$160,請求Data!$AL$10-請求Data!$H$10,0))</f>
        <v/>
      </c>
      <c r="S15" s="155" t="str">
        <f>IF($T15="","",VLOOKUP($T15,請求Data!$I$11:$AR$160,請求Data!$AM$10-請求Data!$H$10,0))</f>
        <v/>
      </c>
      <c r="T15" s="467" t="str">
        <f>IF(ISNA(MATCH($H15,請求Data!$AH$11:$AH$160,0)),"",VLOOKUP($H15,請求Data!$AH$11:$AR$160,請求Data!$AK$10-請求Data!$AG$10,0))</f>
        <v/>
      </c>
      <c r="U15" s="468"/>
      <c r="V15" s="58"/>
    </row>
    <row r="16" spans="1:22" s="32" customFormat="1" ht="15" customHeight="1">
      <c r="A16" s="58" t="str">
        <f>IF($Q16="","",MAX($A$8:$A15)+1)</f>
        <v/>
      </c>
      <c r="B16" s="614" t="str">
        <f t="shared" si="3"/>
        <v/>
      </c>
      <c r="C16" s="614" t="str">
        <f t="shared" si="0"/>
        <v/>
      </c>
      <c r="D16" s="614" t="str">
        <f t="shared" si="1"/>
        <v/>
      </c>
      <c r="E16" s="615" t="str">
        <f t="shared" si="2"/>
        <v/>
      </c>
      <c r="F16" s="616" t="str">
        <f>IF($H16="","",IF(ISNA(MATCH($H16,$H$7:$H15,0)),1,0))</f>
        <v/>
      </c>
      <c r="G16" s="249"/>
      <c r="H16" s="95"/>
      <c r="I16" s="597" t="str">
        <f>IF($J16="","",INDEX(ﾏｽﾀ!$E$8:$E$124,MATCH(INDEX(ﾏｽﾀ!$N$8:$N$124,MATCH($J16,ﾏｽﾀ!$O$8:$O$124,0)),ﾏｽﾀ!$B$8:$B$124,0))&amp;"")</f>
        <v/>
      </c>
      <c r="J16" s="534"/>
      <c r="K16" s="598" t="str">
        <f>IF($J16="","",INDEX(ﾏｽﾀ!$G$8:$G$124,MATCH(INDEX(ﾏｽﾀ!$N$8:$N$124,MATCH($J16,ﾏｽﾀ!$O$8:$O$124,0)),ﾏｽﾀ!$B$8:$B$124,0))&amp;"")</f>
        <v/>
      </c>
      <c r="L16" s="599" t="str">
        <f>IF($M16="","",INDEX(ﾏｽﾀ!$T$8:$T$16,MATCH($M16,ﾏｽﾀ!$U$8:$U$16,0))&amp;"")</f>
        <v/>
      </c>
      <c r="M16" s="534"/>
      <c r="N16" s="463"/>
      <c r="O16" s="464"/>
      <c r="P16" s="465"/>
      <c r="Q16" s="466" t="str">
        <f t="shared" si="4"/>
        <v/>
      </c>
      <c r="R16" s="154" t="str">
        <f>IF($T16="","",VLOOKUP($T16,請求Data!$I$11:$AR$160,請求Data!$AL$10-請求Data!$H$10,0))</f>
        <v/>
      </c>
      <c r="S16" s="155" t="str">
        <f>IF($T16="","",VLOOKUP($T16,請求Data!$I$11:$AR$160,請求Data!$AM$10-請求Data!$H$10,0))</f>
        <v/>
      </c>
      <c r="T16" s="467" t="str">
        <f>IF(ISNA(MATCH($H16,請求Data!$AH$11:$AH$160,0)),"",VLOOKUP($H16,請求Data!$AH$11:$AR$160,請求Data!$AK$10-請求Data!$AG$10,0))</f>
        <v/>
      </c>
      <c r="U16" s="468"/>
      <c r="V16" s="58"/>
    </row>
    <row r="17" spans="1:22" s="32" customFormat="1" ht="15" customHeight="1">
      <c r="A17" s="58" t="str">
        <f>IF($Q17="","",MAX($A$8:$A16)+1)</f>
        <v/>
      </c>
      <c r="B17" s="614" t="str">
        <f t="shared" si="3"/>
        <v/>
      </c>
      <c r="C17" s="614" t="str">
        <f t="shared" si="0"/>
        <v/>
      </c>
      <c r="D17" s="614" t="str">
        <f t="shared" si="1"/>
        <v/>
      </c>
      <c r="E17" s="615" t="str">
        <f t="shared" si="2"/>
        <v/>
      </c>
      <c r="F17" s="616" t="str">
        <f>IF($H17="","",IF(ISNA(MATCH($H17,$H$7:$H16,0)),1,0))</f>
        <v/>
      </c>
      <c r="G17" s="249"/>
      <c r="H17" s="95"/>
      <c r="I17" s="597" t="str">
        <f>IF($J17="","",INDEX(ﾏｽﾀ!$E$8:$E$124,MATCH(INDEX(ﾏｽﾀ!$N$8:$N$124,MATCH($J17,ﾏｽﾀ!$O$8:$O$124,0)),ﾏｽﾀ!$B$8:$B$124,0))&amp;"")</f>
        <v/>
      </c>
      <c r="J17" s="534"/>
      <c r="K17" s="598" t="str">
        <f>IF($J17="","",INDEX(ﾏｽﾀ!$G$8:$G$124,MATCH(INDEX(ﾏｽﾀ!$N$8:$N$124,MATCH($J17,ﾏｽﾀ!$O$8:$O$124,0)),ﾏｽﾀ!$B$8:$B$124,0))&amp;"")</f>
        <v/>
      </c>
      <c r="L17" s="599" t="str">
        <f>IF($M17="","",INDEX(ﾏｽﾀ!$T$8:$T$16,MATCH($M17,ﾏｽﾀ!$U$8:$U$16,0))&amp;"")</f>
        <v/>
      </c>
      <c r="M17" s="534"/>
      <c r="N17" s="463"/>
      <c r="O17" s="464"/>
      <c r="P17" s="465"/>
      <c r="Q17" s="466" t="str">
        <f t="shared" si="4"/>
        <v/>
      </c>
      <c r="R17" s="154" t="str">
        <f>IF($T17="","",VLOOKUP($T17,請求Data!$I$11:$AR$160,請求Data!$AL$10-請求Data!$H$10,0))</f>
        <v/>
      </c>
      <c r="S17" s="155" t="str">
        <f>IF($T17="","",VLOOKUP($T17,請求Data!$I$11:$AR$160,請求Data!$AM$10-請求Data!$H$10,0))</f>
        <v/>
      </c>
      <c r="T17" s="467" t="str">
        <f>IF(ISNA(MATCH($H17,請求Data!$AH$11:$AH$160,0)),"",VLOOKUP($H17,請求Data!$AH$11:$AR$160,請求Data!$AK$10-請求Data!$AG$10,0))</f>
        <v/>
      </c>
      <c r="U17" s="468"/>
      <c r="V17" s="58"/>
    </row>
    <row r="18" spans="1:22" s="32" customFormat="1" ht="15" customHeight="1">
      <c r="A18" s="58" t="str">
        <f>IF($Q18="","",MAX($A$8:$A17)+1)</f>
        <v/>
      </c>
      <c r="B18" s="614" t="str">
        <f t="shared" si="3"/>
        <v/>
      </c>
      <c r="C18" s="614" t="str">
        <f t="shared" si="0"/>
        <v/>
      </c>
      <c r="D18" s="614" t="str">
        <f t="shared" si="1"/>
        <v/>
      </c>
      <c r="E18" s="615" t="str">
        <f t="shared" si="2"/>
        <v/>
      </c>
      <c r="F18" s="616" t="str">
        <f>IF($H18="","",IF(ISNA(MATCH($H18,$H$7:$H17,0)),1,0))</f>
        <v/>
      </c>
      <c r="G18" s="249"/>
      <c r="H18" s="95"/>
      <c r="I18" s="597" t="str">
        <f>IF($J18="","",INDEX(ﾏｽﾀ!$E$8:$E$124,MATCH(INDEX(ﾏｽﾀ!$N$8:$N$124,MATCH($J18,ﾏｽﾀ!$O$8:$O$124,0)),ﾏｽﾀ!$B$8:$B$124,0))&amp;"")</f>
        <v/>
      </c>
      <c r="J18" s="534"/>
      <c r="K18" s="598" t="str">
        <f>IF($J18="","",INDEX(ﾏｽﾀ!$G$8:$G$124,MATCH(INDEX(ﾏｽﾀ!$N$8:$N$124,MATCH($J18,ﾏｽﾀ!$O$8:$O$124,0)),ﾏｽﾀ!$B$8:$B$124,0))&amp;"")</f>
        <v/>
      </c>
      <c r="L18" s="599" t="str">
        <f>IF($M18="","",INDEX(ﾏｽﾀ!$T$8:$T$16,MATCH($M18,ﾏｽﾀ!$U$8:$U$16,0))&amp;"")</f>
        <v/>
      </c>
      <c r="M18" s="534"/>
      <c r="N18" s="463"/>
      <c r="O18" s="464"/>
      <c r="P18" s="465"/>
      <c r="Q18" s="466" t="str">
        <f t="shared" si="4"/>
        <v/>
      </c>
      <c r="R18" s="154" t="str">
        <f>IF($T18="","",VLOOKUP($T18,請求Data!$I$11:$AR$160,請求Data!$AL$10-請求Data!$H$10,0))</f>
        <v/>
      </c>
      <c r="S18" s="155" t="str">
        <f>IF($T18="","",VLOOKUP($T18,請求Data!$I$11:$AR$160,請求Data!$AM$10-請求Data!$H$10,0))</f>
        <v/>
      </c>
      <c r="T18" s="467" t="str">
        <f>IF(ISNA(MATCH($H18,請求Data!$AH$11:$AH$160,0)),"",VLOOKUP($H18,請求Data!$AH$11:$AR$160,請求Data!$AK$10-請求Data!$AG$10,0))</f>
        <v/>
      </c>
      <c r="U18" s="468"/>
      <c r="V18" s="58"/>
    </row>
    <row r="19" spans="1:22" s="32" customFormat="1" ht="15" customHeight="1">
      <c r="A19" s="58" t="str">
        <f>IF($Q19="","",MAX($A$8:$A18)+1)</f>
        <v/>
      </c>
      <c r="B19" s="614" t="str">
        <f t="shared" si="3"/>
        <v/>
      </c>
      <c r="C19" s="614" t="str">
        <f t="shared" si="0"/>
        <v/>
      </c>
      <c r="D19" s="614" t="str">
        <f t="shared" si="1"/>
        <v/>
      </c>
      <c r="E19" s="615" t="str">
        <f t="shared" si="2"/>
        <v/>
      </c>
      <c r="F19" s="616" t="str">
        <f>IF($H19="","",IF(ISNA(MATCH($H19,$H$7:$H18,0)),1,0))</f>
        <v/>
      </c>
      <c r="G19" s="249"/>
      <c r="H19" s="95"/>
      <c r="I19" s="597" t="str">
        <f>IF($J19="","",INDEX(ﾏｽﾀ!$E$8:$E$124,MATCH(INDEX(ﾏｽﾀ!$N$8:$N$124,MATCH($J19,ﾏｽﾀ!$O$8:$O$124,0)),ﾏｽﾀ!$B$8:$B$124,0))&amp;"")</f>
        <v/>
      </c>
      <c r="J19" s="534"/>
      <c r="K19" s="598" t="str">
        <f>IF($J19="","",INDEX(ﾏｽﾀ!$G$8:$G$124,MATCH(INDEX(ﾏｽﾀ!$N$8:$N$124,MATCH($J19,ﾏｽﾀ!$O$8:$O$124,0)),ﾏｽﾀ!$B$8:$B$124,0))&amp;"")</f>
        <v/>
      </c>
      <c r="L19" s="599" t="str">
        <f>IF($M19="","",INDEX(ﾏｽﾀ!$T$8:$T$16,MATCH($M19,ﾏｽﾀ!$U$8:$U$16,0))&amp;"")</f>
        <v/>
      </c>
      <c r="M19" s="534"/>
      <c r="N19" s="463"/>
      <c r="O19" s="464"/>
      <c r="P19" s="465"/>
      <c r="Q19" s="466" t="str">
        <f t="shared" si="4"/>
        <v/>
      </c>
      <c r="R19" s="154" t="str">
        <f>IF($T19="","",VLOOKUP($T19,請求Data!$I$11:$AR$160,請求Data!$AL$10-請求Data!$H$10,0))</f>
        <v/>
      </c>
      <c r="S19" s="155" t="str">
        <f>IF($T19="","",VLOOKUP($T19,請求Data!$I$11:$AR$160,請求Data!$AM$10-請求Data!$H$10,0))</f>
        <v/>
      </c>
      <c r="T19" s="467" t="str">
        <f>IF(ISNA(MATCH($H19,請求Data!$AH$11:$AH$160,0)),"",VLOOKUP($H19,請求Data!$AH$11:$AR$160,請求Data!$AK$10-請求Data!$AG$10,0))</f>
        <v/>
      </c>
      <c r="U19" s="468"/>
      <c r="V19" s="58"/>
    </row>
    <row r="20" spans="1:22" s="32" customFormat="1" ht="15" customHeight="1">
      <c r="A20" s="58" t="str">
        <f>IF($Q20="","",MAX($A$8:$A19)+1)</f>
        <v/>
      </c>
      <c r="B20" s="614" t="str">
        <f t="shared" si="3"/>
        <v/>
      </c>
      <c r="C20" s="614" t="str">
        <f t="shared" si="0"/>
        <v/>
      </c>
      <c r="D20" s="614" t="str">
        <f t="shared" si="1"/>
        <v/>
      </c>
      <c r="E20" s="615" t="str">
        <f t="shared" si="2"/>
        <v/>
      </c>
      <c r="F20" s="616" t="str">
        <f>IF($H20="","",IF(ISNA(MATCH($H20,$H$7:$H19,0)),1,0))</f>
        <v/>
      </c>
      <c r="G20" s="249"/>
      <c r="H20" s="95"/>
      <c r="I20" s="597" t="str">
        <f>IF($J20="","",INDEX(ﾏｽﾀ!$E$8:$E$124,MATCH(INDEX(ﾏｽﾀ!$N$8:$N$124,MATCH($J20,ﾏｽﾀ!$O$8:$O$124,0)),ﾏｽﾀ!$B$8:$B$124,0))&amp;"")</f>
        <v/>
      </c>
      <c r="J20" s="534"/>
      <c r="K20" s="598" t="str">
        <f>IF($J20="","",INDEX(ﾏｽﾀ!$G$8:$G$124,MATCH(INDEX(ﾏｽﾀ!$N$8:$N$124,MATCH($J20,ﾏｽﾀ!$O$8:$O$124,0)),ﾏｽﾀ!$B$8:$B$124,0))&amp;"")</f>
        <v/>
      </c>
      <c r="L20" s="599" t="str">
        <f>IF($M20="","",INDEX(ﾏｽﾀ!$T$8:$T$16,MATCH($M20,ﾏｽﾀ!$U$8:$U$16,0))&amp;"")</f>
        <v/>
      </c>
      <c r="M20" s="534"/>
      <c r="N20" s="463"/>
      <c r="O20" s="464"/>
      <c r="P20" s="465"/>
      <c r="Q20" s="466" t="str">
        <f t="shared" si="4"/>
        <v/>
      </c>
      <c r="R20" s="154" t="str">
        <f>IF($T20="","",VLOOKUP($T20,請求Data!$I$11:$AR$160,請求Data!$AL$10-請求Data!$H$10,0))</f>
        <v/>
      </c>
      <c r="S20" s="155" t="str">
        <f>IF($T20="","",VLOOKUP($T20,請求Data!$I$11:$AR$160,請求Data!$AM$10-請求Data!$H$10,0))</f>
        <v/>
      </c>
      <c r="T20" s="467" t="str">
        <f>IF(ISNA(MATCH($H20,請求Data!$AH$11:$AH$160,0)),"",VLOOKUP($H20,請求Data!$AH$11:$AR$160,請求Data!$AK$10-請求Data!$AG$10,0))</f>
        <v/>
      </c>
      <c r="U20" s="468"/>
      <c r="V20" s="58"/>
    </row>
    <row r="21" spans="1:22" s="32" customFormat="1" ht="15" customHeight="1">
      <c r="A21" s="58" t="str">
        <f>IF($Q21="","",MAX($A$8:$A20)+1)</f>
        <v/>
      </c>
      <c r="B21" s="614" t="str">
        <f t="shared" si="3"/>
        <v/>
      </c>
      <c r="C21" s="614" t="str">
        <f t="shared" si="0"/>
        <v/>
      </c>
      <c r="D21" s="614" t="str">
        <f t="shared" si="1"/>
        <v/>
      </c>
      <c r="E21" s="615" t="str">
        <f t="shared" si="2"/>
        <v/>
      </c>
      <c r="F21" s="616" t="str">
        <f>IF($H21="","",IF(ISNA(MATCH($H21,$H$7:$H20,0)),1,0))</f>
        <v/>
      </c>
      <c r="G21" s="249"/>
      <c r="H21" s="95"/>
      <c r="I21" s="597" t="str">
        <f>IF($J21="","",INDEX(ﾏｽﾀ!$E$8:$E$124,MATCH(INDEX(ﾏｽﾀ!$N$8:$N$124,MATCH($J21,ﾏｽﾀ!$O$8:$O$124,0)),ﾏｽﾀ!$B$8:$B$124,0))&amp;"")</f>
        <v/>
      </c>
      <c r="J21" s="534"/>
      <c r="K21" s="598" t="str">
        <f>IF($J21="","",INDEX(ﾏｽﾀ!$G$8:$G$124,MATCH(INDEX(ﾏｽﾀ!$N$8:$N$124,MATCH($J21,ﾏｽﾀ!$O$8:$O$124,0)),ﾏｽﾀ!$B$8:$B$124,0))&amp;"")</f>
        <v/>
      </c>
      <c r="L21" s="599" t="str">
        <f>IF($M21="","",INDEX(ﾏｽﾀ!$T$8:$T$16,MATCH($M21,ﾏｽﾀ!$U$8:$U$16,0))&amp;"")</f>
        <v/>
      </c>
      <c r="M21" s="534"/>
      <c r="N21" s="463"/>
      <c r="O21" s="464"/>
      <c r="P21" s="465"/>
      <c r="Q21" s="466" t="str">
        <f t="shared" si="4"/>
        <v/>
      </c>
      <c r="R21" s="154" t="str">
        <f>IF($T21="","",VLOOKUP($T21,請求Data!$I$11:$AR$160,請求Data!$AL$10-請求Data!$H$10,0))</f>
        <v/>
      </c>
      <c r="S21" s="155" t="str">
        <f>IF($T21="","",VLOOKUP($T21,請求Data!$I$11:$AR$160,請求Data!$AM$10-請求Data!$H$10,0))</f>
        <v/>
      </c>
      <c r="T21" s="467" t="str">
        <f>IF(ISNA(MATCH($H21,請求Data!$AH$11:$AH$160,0)),"",VLOOKUP($H21,請求Data!$AH$11:$AR$160,請求Data!$AK$10-請求Data!$AG$10,0))</f>
        <v/>
      </c>
      <c r="U21" s="468"/>
      <c r="V21" s="58"/>
    </row>
    <row r="22" spans="1:22" s="32" customFormat="1" ht="15" customHeight="1">
      <c r="A22" s="58" t="str">
        <f>IF($Q22="","",MAX($A$8:$A21)+1)</f>
        <v/>
      </c>
      <c r="B22" s="614" t="str">
        <f t="shared" si="3"/>
        <v/>
      </c>
      <c r="C22" s="614" t="str">
        <f t="shared" si="0"/>
        <v/>
      </c>
      <c r="D22" s="614" t="str">
        <f t="shared" si="1"/>
        <v/>
      </c>
      <c r="E22" s="615" t="str">
        <f t="shared" si="2"/>
        <v/>
      </c>
      <c r="F22" s="616" t="str">
        <f>IF($H22="","",IF(ISNA(MATCH($H22,$H$7:$H21,0)),1,0))</f>
        <v/>
      </c>
      <c r="G22" s="249"/>
      <c r="H22" s="95"/>
      <c r="I22" s="597" t="str">
        <f>IF($J22="","",INDEX(ﾏｽﾀ!$E$8:$E$124,MATCH(INDEX(ﾏｽﾀ!$N$8:$N$124,MATCH($J22,ﾏｽﾀ!$O$8:$O$124,0)),ﾏｽﾀ!$B$8:$B$124,0))&amp;"")</f>
        <v/>
      </c>
      <c r="J22" s="534"/>
      <c r="K22" s="598" t="str">
        <f>IF($J22="","",INDEX(ﾏｽﾀ!$G$8:$G$124,MATCH(INDEX(ﾏｽﾀ!$N$8:$N$124,MATCH($J22,ﾏｽﾀ!$O$8:$O$124,0)),ﾏｽﾀ!$B$8:$B$124,0))&amp;"")</f>
        <v/>
      </c>
      <c r="L22" s="599" t="str">
        <f>IF($M22="","",INDEX(ﾏｽﾀ!$T$8:$T$16,MATCH($M22,ﾏｽﾀ!$U$8:$U$16,0))&amp;"")</f>
        <v/>
      </c>
      <c r="M22" s="534"/>
      <c r="N22" s="463"/>
      <c r="O22" s="464"/>
      <c r="P22" s="465"/>
      <c r="Q22" s="466" t="str">
        <f t="shared" si="4"/>
        <v/>
      </c>
      <c r="R22" s="154" t="str">
        <f>IF($T22="","",VLOOKUP($T22,請求Data!$I$11:$AR$160,請求Data!$AL$10-請求Data!$H$10,0))</f>
        <v/>
      </c>
      <c r="S22" s="155" t="str">
        <f>IF($T22="","",VLOOKUP($T22,請求Data!$I$11:$AR$160,請求Data!$AM$10-請求Data!$H$10,0))</f>
        <v/>
      </c>
      <c r="T22" s="467" t="str">
        <f>IF(ISNA(MATCH($H22,請求Data!$AH$11:$AH$160,0)),"",VLOOKUP($H22,請求Data!$AH$11:$AR$160,請求Data!$AK$10-請求Data!$AG$10,0))</f>
        <v/>
      </c>
      <c r="U22" s="468"/>
      <c r="V22" s="62"/>
    </row>
    <row r="23" spans="1:22" s="32" customFormat="1" ht="15" customHeight="1">
      <c r="A23" s="58" t="str">
        <f>IF($Q23="","",MAX($A$8:$A22)+1)</f>
        <v/>
      </c>
      <c r="B23" s="614" t="str">
        <f t="shared" si="3"/>
        <v/>
      </c>
      <c r="C23" s="614" t="str">
        <f t="shared" si="0"/>
        <v/>
      </c>
      <c r="D23" s="614" t="str">
        <f t="shared" si="1"/>
        <v/>
      </c>
      <c r="E23" s="615" t="str">
        <f t="shared" si="2"/>
        <v/>
      </c>
      <c r="F23" s="616" t="str">
        <f>IF($H23="","",IF(ISNA(MATCH($H23,$H$7:$H22,0)),1,0))</f>
        <v/>
      </c>
      <c r="G23" s="249"/>
      <c r="H23" s="95"/>
      <c r="I23" s="597" t="str">
        <f>IF($J23="","",INDEX(ﾏｽﾀ!$E$8:$E$124,MATCH(INDEX(ﾏｽﾀ!$N$8:$N$124,MATCH($J23,ﾏｽﾀ!$O$8:$O$124,0)),ﾏｽﾀ!$B$8:$B$124,0))&amp;"")</f>
        <v/>
      </c>
      <c r="J23" s="534"/>
      <c r="K23" s="598" t="str">
        <f>IF($J23="","",INDEX(ﾏｽﾀ!$G$8:$G$124,MATCH(INDEX(ﾏｽﾀ!$N$8:$N$124,MATCH($J23,ﾏｽﾀ!$O$8:$O$124,0)),ﾏｽﾀ!$B$8:$B$124,0))&amp;"")</f>
        <v/>
      </c>
      <c r="L23" s="599" t="str">
        <f>IF($M23="","",INDEX(ﾏｽﾀ!$T$8:$T$16,MATCH($M23,ﾏｽﾀ!$U$8:$U$16,0))&amp;"")</f>
        <v/>
      </c>
      <c r="M23" s="534"/>
      <c r="N23" s="463"/>
      <c r="O23" s="464"/>
      <c r="P23" s="465"/>
      <c r="Q23" s="466" t="str">
        <f t="shared" si="4"/>
        <v/>
      </c>
      <c r="R23" s="154" t="str">
        <f>IF($T23="","",VLOOKUP($T23,請求Data!$I$11:$AR$160,請求Data!$AL$10-請求Data!$H$10,0))</f>
        <v/>
      </c>
      <c r="S23" s="155" t="str">
        <f>IF($T23="","",VLOOKUP($T23,請求Data!$I$11:$AR$160,請求Data!$AM$10-請求Data!$H$10,0))</f>
        <v/>
      </c>
      <c r="T23" s="467" t="str">
        <f>IF(ISNA(MATCH($H23,請求Data!$AH$11:$AH$160,0)),"",VLOOKUP($H23,請求Data!$AH$11:$AR$160,請求Data!$AK$10-請求Data!$AG$10,0))</f>
        <v/>
      </c>
      <c r="U23" s="468"/>
      <c r="V23" s="78"/>
    </row>
    <row r="24" spans="1:22" s="32" customFormat="1" ht="15" customHeight="1">
      <c r="A24" s="58" t="str">
        <f>IF($Q24="","",MAX($A$8:$A23)+1)</f>
        <v/>
      </c>
      <c r="B24" s="614" t="str">
        <f t="shared" si="3"/>
        <v/>
      </c>
      <c r="C24" s="614" t="str">
        <f t="shared" si="0"/>
        <v/>
      </c>
      <c r="D24" s="614" t="str">
        <f t="shared" si="1"/>
        <v/>
      </c>
      <c r="E24" s="615" t="str">
        <f t="shared" si="2"/>
        <v/>
      </c>
      <c r="F24" s="616" t="str">
        <f>IF($H24="","",IF(ISNA(MATCH($H24,$H$7:$H23,0)),1,0))</f>
        <v/>
      </c>
      <c r="G24" s="249"/>
      <c r="H24" s="95"/>
      <c r="I24" s="597" t="str">
        <f>IF($J24="","",INDEX(ﾏｽﾀ!$E$8:$E$124,MATCH(INDEX(ﾏｽﾀ!$N$8:$N$124,MATCH($J24,ﾏｽﾀ!$O$8:$O$124,0)),ﾏｽﾀ!$B$8:$B$124,0))&amp;"")</f>
        <v/>
      </c>
      <c r="J24" s="534"/>
      <c r="K24" s="598" t="str">
        <f>IF($J24="","",INDEX(ﾏｽﾀ!$G$8:$G$124,MATCH(INDEX(ﾏｽﾀ!$N$8:$N$124,MATCH($J24,ﾏｽﾀ!$O$8:$O$124,0)),ﾏｽﾀ!$B$8:$B$124,0))&amp;"")</f>
        <v/>
      </c>
      <c r="L24" s="599" t="str">
        <f>IF($M24="","",INDEX(ﾏｽﾀ!$T$8:$T$16,MATCH($M24,ﾏｽﾀ!$U$8:$U$16,0))&amp;"")</f>
        <v/>
      </c>
      <c r="M24" s="534"/>
      <c r="N24" s="463"/>
      <c r="O24" s="464"/>
      <c r="P24" s="465"/>
      <c r="Q24" s="466" t="str">
        <f t="shared" si="4"/>
        <v/>
      </c>
      <c r="R24" s="154" t="str">
        <f>IF($T24="","",VLOOKUP($T24,請求Data!$I$11:$AR$160,請求Data!$AL$10-請求Data!$H$10,0))</f>
        <v/>
      </c>
      <c r="S24" s="155" t="str">
        <f>IF($T24="","",VLOOKUP($T24,請求Data!$I$11:$AR$160,請求Data!$AM$10-請求Data!$H$10,0))</f>
        <v/>
      </c>
      <c r="T24" s="467" t="str">
        <f>IF(ISNA(MATCH($H24,請求Data!$AH$11:$AH$160,0)),"",VLOOKUP($H24,請求Data!$AH$11:$AR$160,請求Data!$AK$10-請求Data!$AG$10,0))</f>
        <v/>
      </c>
      <c r="U24" s="468"/>
      <c r="V24" s="58"/>
    </row>
    <row r="25" spans="1:22" s="32" customFormat="1" ht="15" customHeight="1">
      <c r="A25" s="58" t="str">
        <f>IF($Q25="","",MAX($A$8:$A24)+1)</f>
        <v/>
      </c>
      <c r="B25" s="614" t="str">
        <f t="shared" si="3"/>
        <v/>
      </c>
      <c r="C25" s="614" t="str">
        <f t="shared" si="0"/>
        <v/>
      </c>
      <c r="D25" s="614" t="str">
        <f t="shared" si="1"/>
        <v/>
      </c>
      <c r="E25" s="615" t="str">
        <f t="shared" si="2"/>
        <v/>
      </c>
      <c r="F25" s="616" t="str">
        <f>IF($H25="","",IF(ISNA(MATCH($H25,$H$7:$H24,0)),1,0))</f>
        <v/>
      </c>
      <c r="G25" s="249"/>
      <c r="H25" s="95"/>
      <c r="I25" s="597" t="str">
        <f>IF($J25="","",INDEX(ﾏｽﾀ!$E$8:$E$124,MATCH(INDEX(ﾏｽﾀ!$N$8:$N$124,MATCH($J25,ﾏｽﾀ!$O$8:$O$124,0)),ﾏｽﾀ!$B$8:$B$124,0))&amp;"")</f>
        <v/>
      </c>
      <c r="J25" s="534"/>
      <c r="K25" s="598" t="str">
        <f>IF($J25="","",INDEX(ﾏｽﾀ!$G$8:$G$124,MATCH(INDEX(ﾏｽﾀ!$N$8:$N$124,MATCH($J25,ﾏｽﾀ!$O$8:$O$124,0)),ﾏｽﾀ!$B$8:$B$124,0))&amp;"")</f>
        <v/>
      </c>
      <c r="L25" s="599" t="str">
        <f>IF($M25="","",INDEX(ﾏｽﾀ!$T$8:$T$16,MATCH($M25,ﾏｽﾀ!$U$8:$U$16,0))&amp;"")</f>
        <v/>
      </c>
      <c r="M25" s="534"/>
      <c r="N25" s="463"/>
      <c r="O25" s="464"/>
      <c r="P25" s="465"/>
      <c r="Q25" s="466" t="str">
        <f t="shared" si="4"/>
        <v/>
      </c>
      <c r="R25" s="154" t="str">
        <f>IF($T25="","",VLOOKUP($T25,請求Data!$I$11:$AR$160,請求Data!$AL$10-請求Data!$H$10,0))</f>
        <v/>
      </c>
      <c r="S25" s="155" t="str">
        <f>IF($T25="","",VLOOKUP($T25,請求Data!$I$11:$AR$160,請求Data!$AM$10-請求Data!$H$10,0))</f>
        <v/>
      </c>
      <c r="T25" s="467" t="str">
        <f>IF(ISNA(MATCH($H25,請求Data!$AH$11:$AH$160,0)),"",VLOOKUP($H25,請求Data!$AH$11:$AR$160,請求Data!$AK$10-請求Data!$AG$10,0))</f>
        <v/>
      </c>
      <c r="U25" s="468"/>
      <c r="V25" s="58"/>
    </row>
    <row r="26" spans="1:22" s="32" customFormat="1" ht="15" customHeight="1">
      <c r="A26" s="58" t="str">
        <f>IF($Q26="","",MAX($A$8:$A25)+1)</f>
        <v/>
      </c>
      <c r="B26" s="614" t="str">
        <f t="shared" si="3"/>
        <v/>
      </c>
      <c r="C26" s="614" t="str">
        <f t="shared" si="0"/>
        <v/>
      </c>
      <c r="D26" s="614" t="str">
        <f t="shared" si="1"/>
        <v/>
      </c>
      <c r="E26" s="615" t="str">
        <f t="shared" si="2"/>
        <v/>
      </c>
      <c r="F26" s="616" t="str">
        <f>IF($H26="","",IF(ISNA(MATCH($H26,$H$7:$H25,0)),1,0))</f>
        <v/>
      </c>
      <c r="G26" s="249"/>
      <c r="H26" s="95"/>
      <c r="I26" s="597" t="str">
        <f>IF($J26="","",INDEX(ﾏｽﾀ!$E$8:$E$124,MATCH(INDEX(ﾏｽﾀ!$N$8:$N$124,MATCH($J26,ﾏｽﾀ!$O$8:$O$124,0)),ﾏｽﾀ!$B$8:$B$124,0))&amp;"")</f>
        <v/>
      </c>
      <c r="J26" s="534"/>
      <c r="K26" s="598" t="str">
        <f>IF($J26="","",INDEX(ﾏｽﾀ!$G$8:$G$124,MATCH(INDEX(ﾏｽﾀ!$N$8:$N$124,MATCH($J26,ﾏｽﾀ!$O$8:$O$124,0)),ﾏｽﾀ!$B$8:$B$124,0))&amp;"")</f>
        <v/>
      </c>
      <c r="L26" s="599" t="str">
        <f>IF($M26="","",INDEX(ﾏｽﾀ!$T$8:$T$16,MATCH($M26,ﾏｽﾀ!$U$8:$U$16,0))&amp;"")</f>
        <v/>
      </c>
      <c r="M26" s="534"/>
      <c r="N26" s="463"/>
      <c r="O26" s="464"/>
      <c r="P26" s="465"/>
      <c r="Q26" s="466" t="str">
        <f t="shared" si="4"/>
        <v/>
      </c>
      <c r="R26" s="154" t="str">
        <f>IF($T26="","",VLOOKUP($T26,請求Data!$I$11:$AR$160,請求Data!$AL$10-請求Data!$H$10,0))</f>
        <v/>
      </c>
      <c r="S26" s="155" t="str">
        <f>IF($T26="","",VLOOKUP($T26,請求Data!$I$11:$AR$160,請求Data!$AM$10-請求Data!$H$10,0))</f>
        <v/>
      </c>
      <c r="T26" s="467" t="str">
        <f>IF(ISNA(MATCH($H26,請求Data!$AH$11:$AH$160,0)),"",VLOOKUP($H26,請求Data!$AH$11:$AR$160,請求Data!$AK$10-請求Data!$AG$10,0))</f>
        <v/>
      </c>
      <c r="U26" s="468"/>
      <c r="V26" s="58"/>
    </row>
    <row r="27" spans="1:22" s="32" customFormat="1" ht="15" customHeight="1">
      <c r="A27" s="58" t="str">
        <f>IF($Q27="","",MAX($A$8:$A26)+1)</f>
        <v/>
      </c>
      <c r="B27" s="614" t="str">
        <f t="shared" si="3"/>
        <v/>
      </c>
      <c r="C27" s="614" t="str">
        <f t="shared" si="0"/>
        <v/>
      </c>
      <c r="D27" s="614" t="str">
        <f t="shared" si="1"/>
        <v/>
      </c>
      <c r="E27" s="615" t="str">
        <f t="shared" si="2"/>
        <v/>
      </c>
      <c r="F27" s="616" t="str">
        <f>IF($H27="","",IF(ISNA(MATCH($H27,$H$7:$H26,0)),1,0))</f>
        <v/>
      </c>
      <c r="G27" s="249"/>
      <c r="H27" s="95"/>
      <c r="I27" s="597" t="str">
        <f>IF($J27="","",INDEX(ﾏｽﾀ!$E$8:$E$124,MATCH(INDEX(ﾏｽﾀ!$N$8:$N$124,MATCH($J27,ﾏｽﾀ!$O$8:$O$124,0)),ﾏｽﾀ!$B$8:$B$124,0))&amp;"")</f>
        <v/>
      </c>
      <c r="J27" s="534"/>
      <c r="K27" s="598" t="str">
        <f>IF($J27="","",INDEX(ﾏｽﾀ!$G$8:$G$124,MATCH(INDEX(ﾏｽﾀ!$N$8:$N$124,MATCH($J27,ﾏｽﾀ!$O$8:$O$124,0)),ﾏｽﾀ!$B$8:$B$124,0))&amp;"")</f>
        <v/>
      </c>
      <c r="L27" s="599" t="str">
        <f>IF($M27="","",INDEX(ﾏｽﾀ!$T$8:$T$16,MATCH($M27,ﾏｽﾀ!$U$8:$U$16,0))&amp;"")</f>
        <v/>
      </c>
      <c r="M27" s="534"/>
      <c r="N27" s="463"/>
      <c r="O27" s="464"/>
      <c r="P27" s="465"/>
      <c r="Q27" s="466" t="str">
        <f t="shared" si="4"/>
        <v/>
      </c>
      <c r="R27" s="154" t="str">
        <f>IF($T27="","",VLOOKUP($T27,請求Data!$I$11:$AR$160,請求Data!$AL$10-請求Data!$H$10,0))</f>
        <v/>
      </c>
      <c r="S27" s="155" t="str">
        <f>IF($T27="","",VLOOKUP($T27,請求Data!$I$11:$AR$160,請求Data!$AM$10-請求Data!$H$10,0))</f>
        <v/>
      </c>
      <c r="T27" s="467" t="str">
        <f>IF(ISNA(MATCH($H27,請求Data!$AH$11:$AH$160,0)),"",VLOOKUP($H27,請求Data!$AH$11:$AR$160,請求Data!$AK$10-請求Data!$AG$10,0))</f>
        <v/>
      </c>
      <c r="U27" s="468"/>
      <c r="V27" s="58"/>
    </row>
    <row r="28" spans="1:22" s="32" customFormat="1" ht="15" customHeight="1">
      <c r="A28" s="58" t="str">
        <f>IF($Q28="","",MAX($A$8:$A27)+1)</f>
        <v/>
      </c>
      <c r="B28" s="614" t="str">
        <f t="shared" si="3"/>
        <v/>
      </c>
      <c r="C28" s="614" t="str">
        <f t="shared" si="0"/>
        <v/>
      </c>
      <c r="D28" s="614" t="str">
        <f t="shared" si="1"/>
        <v/>
      </c>
      <c r="E28" s="615" t="str">
        <f t="shared" si="2"/>
        <v/>
      </c>
      <c r="F28" s="616" t="str">
        <f>IF($H28="","",IF(ISNA(MATCH($H28,$H$7:$H27,0)),1,0))</f>
        <v/>
      </c>
      <c r="G28" s="249"/>
      <c r="H28" s="95"/>
      <c r="I28" s="597" t="str">
        <f>IF($J28="","",INDEX(ﾏｽﾀ!$E$8:$E$124,MATCH(INDEX(ﾏｽﾀ!$N$8:$N$124,MATCH($J28,ﾏｽﾀ!$O$8:$O$124,0)),ﾏｽﾀ!$B$8:$B$124,0))&amp;"")</f>
        <v/>
      </c>
      <c r="J28" s="534"/>
      <c r="K28" s="598" t="str">
        <f>IF($J28="","",INDEX(ﾏｽﾀ!$G$8:$G$124,MATCH(INDEX(ﾏｽﾀ!$N$8:$N$124,MATCH($J28,ﾏｽﾀ!$O$8:$O$124,0)),ﾏｽﾀ!$B$8:$B$124,0))&amp;"")</f>
        <v/>
      </c>
      <c r="L28" s="599" t="str">
        <f>IF($M28="","",INDEX(ﾏｽﾀ!$T$8:$T$16,MATCH($M28,ﾏｽﾀ!$U$8:$U$16,0))&amp;"")</f>
        <v/>
      </c>
      <c r="M28" s="534"/>
      <c r="N28" s="463"/>
      <c r="O28" s="464"/>
      <c r="P28" s="465"/>
      <c r="Q28" s="466" t="str">
        <f t="shared" si="4"/>
        <v/>
      </c>
      <c r="R28" s="154" t="str">
        <f>IF($T28="","",VLOOKUP($T28,請求Data!$I$11:$AR$160,請求Data!$AL$10-請求Data!$H$10,0))</f>
        <v/>
      </c>
      <c r="S28" s="155" t="str">
        <f>IF($T28="","",VLOOKUP($T28,請求Data!$I$11:$AR$160,請求Data!$AM$10-請求Data!$H$10,0))</f>
        <v/>
      </c>
      <c r="T28" s="467" t="str">
        <f>IF(ISNA(MATCH($H28,請求Data!$AH$11:$AH$160,0)),"",VLOOKUP($H28,請求Data!$AH$11:$AR$160,請求Data!$AK$10-請求Data!$AG$10,0))</f>
        <v/>
      </c>
      <c r="U28" s="468"/>
      <c r="V28" s="58"/>
    </row>
    <row r="29" spans="1:22" s="32" customFormat="1" ht="15" customHeight="1">
      <c r="A29" s="58" t="str">
        <f>IF($Q29="","",MAX($A$8:$A28)+1)</f>
        <v/>
      </c>
      <c r="B29" s="614" t="str">
        <f t="shared" si="3"/>
        <v/>
      </c>
      <c r="C29" s="614" t="str">
        <f t="shared" si="0"/>
        <v/>
      </c>
      <c r="D29" s="614" t="str">
        <f t="shared" si="1"/>
        <v/>
      </c>
      <c r="E29" s="615" t="str">
        <f t="shared" si="2"/>
        <v/>
      </c>
      <c r="F29" s="616" t="str">
        <f>IF($H29="","",IF(ISNA(MATCH($H29,$H$7:$H28,0)),1,0))</f>
        <v/>
      </c>
      <c r="G29" s="249"/>
      <c r="H29" s="95"/>
      <c r="I29" s="597" t="str">
        <f>IF($J29="","",INDEX(ﾏｽﾀ!$E$8:$E$124,MATCH(INDEX(ﾏｽﾀ!$N$8:$N$124,MATCH($J29,ﾏｽﾀ!$O$8:$O$124,0)),ﾏｽﾀ!$B$8:$B$124,0))&amp;"")</f>
        <v/>
      </c>
      <c r="J29" s="534"/>
      <c r="K29" s="598" t="str">
        <f>IF($J29="","",INDEX(ﾏｽﾀ!$G$8:$G$124,MATCH(INDEX(ﾏｽﾀ!$N$8:$N$124,MATCH($J29,ﾏｽﾀ!$O$8:$O$124,0)),ﾏｽﾀ!$B$8:$B$124,0))&amp;"")</f>
        <v/>
      </c>
      <c r="L29" s="599" t="str">
        <f>IF($M29="","",INDEX(ﾏｽﾀ!$T$8:$T$16,MATCH($M29,ﾏｽﾀ!$U$8:$U$16,0))&amp;"")</f>
        <v/>
      </c>
      <c r="M29" s="534"/>
      <c r="N29" s="463"/>
      <c r="O29" s="464"/>
      <c r="P29" s="465"/>
      <c r="Q29" s="466" t="str">
        <f t="shared" si="4"/>
        <v/>
      </c>
      <c r="R29" s="154" t="str">
        <f>IF($T29="","",VLOOKUP($T29,請求Data!$I$11:$AR$160,請求Data!$AL$10-請求Data!$H$10,0))</f>
        <v/>
      </c>
      <c r="S29" s="155" t="str">
        <f>IF($T29="","",VLOOKUP($T29,請求Data!$I$11:$AR$160,請求Data!$AM$10-請求Data!$H$10,0))</f>
        <v/>
      </c>
      <c r="T29" s="467" t="str">
        <f>IF(ISNA(MATCH($H29,請求Data!$AH$11:$AH$160,0)),"",VLOOKUP($H29,請求Data!$AH$11:$AR$160,請求Data!$AK$10-請求Data!$AG$10,0))</f>
        <v/>
      </c>
      <c r="U29" s="468"/>
      <c r="V29" s="78"/>
    </row>
    <row r="30" spans="1:22" s="32" customFormat="1" ht="15" customHeight="1">
      <c r="A30" s="58" t="str">
        <f>IF($Q30="","",MAX($A$8:$A29)+1)</f>
        <v/>
      </c>
      <c r="B30" s="614" t="str">
        <f t="shared" si="3"/>
        <v/>
      </c>
      <c r="C30" s="614" t="str">
        <f t="shared" si="0"/>
        <v/>
      </c>
      <c r="D30" s="614" t="str">
        <f t="shared" si="1"/>
        <v/>
      </c>
      <c r="E30" s="615" t="str">
        <f t="shared" si="2"/>
        <v/>
      </c>
      <c r="F30" s="616" t="str">
        <f>IF($H30="","",IF(ISNA(MATCH($H30,$H$7:$H29,0)),1,0))</f>
        <v/>
      </c>
      <c r="G30" s="249"/>
      <c r="H30" s="95"/>
      <c r="I30" s="597" t="str">
        <f>IF($J30="","",INDEX(ﾏｽﾀ!$E$8:$E$124,MATCH(INDEX(ﾏｽﾀ!$N$8:$N$124,MATCH($J30,ﾏｽﾀ!$O$8:$O$124,0)),ﾏｽﾀ!$B$8:$B$124,0))&amp;"")</f>
        <v/>
      </c>
      <c r="J30" s="534"/>
      <c r="K30" s="598" t="str">
        <f>IF($J30="","",INDEX(ﾏｽﾀ!$G$8:$G$124,MATCH(INDEX(ﾏｽﾀ!$N$8:$N$124,MATCH($J30,ﾏｽﾀ!$O$8:$O$124,0)),ﾏｽﾀ!$B$8:$B$124,0))&amp;"")</f>
        <v/>
      </c>
      <c r="L30" s="599" t="str">
        <f>IF($M30="","",INDEX(ﾏｽﾀ!$T$8:$T$16,MATCH($M30,ﾏｽﾀ!$U$8:$U$16,0))&amp;"")</f>
        <v/>
      </c>
      <c r="M30" s="534"/>
      <c r="N30" s="463"/>
      <c r="O30" s="464"/>
      <c r="P30" s="465"/>
      <c r="Q30" s="466" t="str">
        <f t="shared" si="4"/>
        <v/>
      </c>
      <c r="R30" s="154" t="str">
        <f>IF($T30="","",VLOOKUP($T30,請求Data!$I$11:$AR$160,請求Data!$AL$10-請求Data!$H$10,0))</f>
        <v/>
      </c>
      <c r="S30" s="155" t="str">
        <f>IF($T30="","",VLOOKUP($T30,請求Data!$I$11:$AR$160,請求Data!$AM$10-請求Data!$H$10,0))</f>
        <v/>
      </c>
      <c r="T30" s="467" t="str">
        <f>IF(ISNA(MATCH($H30,請求Data!$AH$11:$AH$160,0)),"",VLOOKUP($H30,請求Data!$AH$11:$AR$160,請求Data!$AK$10-請求Data!$AG$10,0))</f>
        <v/>
      </c>
      <c r="U30" s="468"/>
      <c r="V30" s="58"/>
    </row>
    <row r="31" spans="1:22" s="32" customFormat="1" ht="15" customHeight="1">
      <c r="A31" s="58" t="str">
        <f>IF($Q31="","",MAX($A$8:$A30)+1)</f>
        <v/>
      </c>
      <c r="B31" s="614" t="str">
        <f t="shared" si="3"/>
        <v/>
      </c>
      <c r="C31" s="614" t="str">
        <f t="shared" si="0"/>
        <v/>
      </c>
      <c r="D31" s="614" t="str">
        <f t="shared" si="1"/>
        <v/>
      </c>
      <c r="E31" s="615" t="str">
        <f t="shared" si="2"/>
        <v/>
      </c>
      <c r="F31" s="616" t="str">
        <f>IF($H31="","",IF(ISNA(MATCH($H31,$H$7:$H30,0)),1,0))</f>
        <v/>
      </c>
      <c r="G31" s="249"/>
      <c r="H31" s="95"/>
      <c r="I31" s="597" t="str">
        <f>IF($J31="","",INDEX(ﾏｽﾀ!$E$8:$E$124,MATCH(INDEX(ﾏｽﾀ!$N$8:$N$124,MATCH($J31,ﾏｽﾀ!$O$8:$O$124,0)),ﾏｽﾀ!$B$8:$B$124,0))&amp;"")</f>
        <v/>
      </c>
      <c r="J31" s="534"/>
      <c r="K31" s="598" t="str">
        <f>IF($J31="","",INDEX(ﾏｽﾀ!$G$8:$G$124,MATCH(INDEX(ﾏｽﾀ!$N$8:$N$124,MATCH($J31,ﾏｽﾀ!$O$8:$O$124,0)),ﾏｽﾀ!$B$8:$B$124,0))&amp;"")</f>
        <v/>
      </c>
      <c r="L31" s="599" t="str">
        <f>IF($M31="","",INDEX(ﾏｽﾀ!$T$8:$T$16,MATCH($M31,ﾏｽﾀ!$U$8:$U$16,0))&amp;"")</f>
        <v/>
      </c>
      <c r="M31" s="534"/>
      <c r="N31" s="463"/>
      <c r="O31" s="464"/>
      <c r="P31" s="465"/>
      <c r="Q31" s="466" t="str">
        <f t="shared" si="4"/>
        <v/>
      </c>
      <c r="R31" s="154" t="str">
        <f>IF($T31="","",VLOOKUP($T31,請求Data!$I$11:$AR$160,請求Data!$AL$10-請求Data!$H$10,0))</f>
        <v/>
      </c>
      <c r="S31" s="155" t="str">
        <f>IF($T31="","",VLOOKUP($T31,請求Data!$I$11:$AR$160,請求Data!$AM$10-請求Data!$H$10,0))</f>
        <v/>
      </c>
      <c r="T31" s="467" t="str">
        <f>IF(ISNA(MATCH($H31,請求Data!$AH$11:$AH$160,0)),"",VLOOKUP($H31,請求Data!$AH$11:$AR$160,請求Data!$AK$10-請求Data!$AG$10,0))</f>
        <v/>
      </c>
      <c r="U31" s="468"/>
      <c r="V31" s="58"/>
    </row>
    <row r="32" spans="1:22" s="32" customFormat="1" ht="15" customHeight="1">
      <c r="A32" s="58" t="str">
        <f>IF($Q32="","",MAX($A$8:$A31)+1)</f>
        <v/>
      </c>
      <c r="B32" s="614" t="str">
        <f t="shared" si="3"/>
        <v/>
      </c>
      <c r="C32" s="614" t="str">
        <f t="shared" si="0"/>
        <v/>
      </c>
      <c r="D32" s="614" t="str">
        <f t="shared" si="1"/>
        <v/>
      </c>
      <c r="E32" s="615" t="str">
        <f t="shared" si="2"/>
        <v/>
      </c>
      <c r="F32" s="616" t="str">
        <f>IF($H32="","",IF(ISNA(MATCH($H32,$H$7:$H31,0)),1,0))</f>
        <v/>
      </c>
      <c r="G32" s="249"/>
      <c r="H32" s="95"/>
      <c r="I32" s="597" t="str">
        <f>IF($J32="","",INDEX(ﾏｽﾀ!$E$8:$E$124,MATCH(INDEX(ﾏｽﾀ!$N$8:$N$124,MATCH($J32,ﾏｽﾀ!$O$8:$O$124,0)),ﾏｽﾀ!$B$8:$B$124,0))&amp;"")</f>
        <v/>
      </c>
      <c r="J32" s="534"/>
      <c r="K32" s="598" t="str">
        <f>IF($J32="","",INDEX(ﾏｽﾀ!$G$8:$G$124,MATCH(INDEX(ﾏｽﾀ!$N$8:$N$124,MATCH($J32,ﾏｽﾀ!$O$8:$O$124,0)),ﾏｽﾀ!$B$8:$B$124,0))&amp;"")</f>
        <v/>
      </c>
      <c r="L32" s="599" t="str">
        <f>IF($M32="","",INDEX(ﾏｽﾀ!$T$8:$T$16,MATCH($M32,ﾏｽﾀ!$U$8:$U$16,0))&amp;"")</f>
        <v/>
      </c>
      <c r="M32" s="534"/>
      <c r="N32" s="463"/>
      <c r="O32" s="464"/>
      <c r="P32" s="465"/>
      <c r="Q32" s="466" t="str">
        <f t="shared" si="4"/>
        <v/>
      </c>
      <c r="R32" s="154" t="str">
        <f>IF($T32="","",VLOOKUP($T32,請求Data!$I$11:$AR$160,請求Data!$AL$10-請求Data!$H$10,0))</f>
        <v/>
      </c>
      <c r="S32" s="155" t="str">
        <f>IF($T32="","",VLOOKUP($T32,請求Data!$I$11:$AR$160,請求Data!$AM$10-請求Data!$H$10,0))</f>
        <v/>
      </c>
      <c r="T32" s="467" t="str">
        <f>IF(ISNA(MATCH($H32,請求Data!$AH$11:$AH$160,0)),"",VLOOKUP($H32,請求Data!$AH$11:$AR$160,請求Data!$AK$10-請求Data!$AG$10,0))</f>
        <v/>
      </c>
      <c r="U32" s="468"/>
      <c r="V32" s="58"/>
    </row>
    <row r="33" spans="1:22" s="32" customFormat="1" ht="15" customHeight="1">
      <c r="A33" s="58" t="str">
        <f>IF($Q33="","",MAX($A$8:$A32)+1)</f>
        <v/>
      </c>
      <c r="B33" s="614" t="str">
        <f t="shared" si="3"/>
        <v/>
      </c>
      <c r="C33" s="614" t="str">
        <f t="shared" si="0"/>
        <v/>
      </c>
      <c r="D33" s="614" t="str">
        <f t="shared" si="1"/>
        <v/>
      </c>
      <c r="E33" s="615" t="str">
        <f t="shared" si="2"/>
        <v/>
      </c>
      <c r="F33" s="616" t="str">
        <f>IF($H33="","",IF(ISNA(MATCH($H33,$H$7:$H32,0)),1,0))</f>
        <v/>
      </c>
      <c r="G33" s="249"/>
      <c r="H33" s="95"/>
      <c r="I33" s="597" t="str">
        <f>IF($J33="","",INDEX(ﾏｽﾀ!$E$8:$E$124,MATCH(INDEX(ﾏｽﾀ!$N$8:$N$124,MATCH($J33,ﾏｽﾀ!$O$8:$O$124,0)),ﾏｽﾀ!$B$8:$B$124,0))&amp;"")</f>
        <v/>
      </c>
      <c r="J33" s="534"/>
      <c r="K33" s="598" t="str">
        <f>IF($J33="","",INDEX(ﾏｽﾀ!$G$8:$G$124,MATCH(INDEX(ﾏｽﾀ!$N$8:$N$124,MATCH($J33,ﾏｽﾀ!$O$8:$O$124,0)),ﾏｽﾀ!$B$8:$B$124,0))&amp;"")</f>
        <v/>
      </c>
      <c r="L33" s="599" t="str">
        <f>IF($M33="","",INDEX(ﾏｽﾀ!$T$8:$T$16,MATCH($M33,ﾏｽﾀ!$U$8:$U$16,0))&amp;"")</f>
        <v/>
      </c>
      <c r="M33" s="534"/>
      <c r="N33" s="463"/>
      <c r="O33" s="464"/>
      <c r="P33" s="465"/>
      <c r="Q33" s="466" t="str">
        <f t="shared" si="4"/>
        <v/>
      </c>
      <c r="R33" s="154" t="str">
        <f>IF($T33="","",VLOOKUP($T33,請求Data!$I$11:$AR$160,請求Data!$AL$10-請求Data!$H$10,0))</f>
        <v/>
      </c>
      <c r="S33" s="155" t="str">
        <f>IF($T33="","",VLOOKUP($T33,請求Data!$I$11:$AR$160,請求Data!$AM$10-請求Data!$H$10,0))</f>
        <v/>
      </c>
      <c r="T33" s="467" t="str">
        <f>IF(ISNA(MATCH($H33,請求Data!$AH$11:$AH$160,0)),"",VLOOKUP($H33,請求Data!$AH$11:$AR$160,請求Data!$AK$10-請求Data!$AG$10,0))</f>
        <v/>
      </c>
      <c r="U33" s="468"/>
      <c r="V33" s="58"/>
    </row>
    <row r="34" spans="1:22" s="32" customFormat="1" ht="15" customHeight="1">
      <c r="A34" s="58" t="str">
        <f>IF($Q34="","",MAX($A$8:$A33)+1)</f>
        <v/>
      </c>
      <c r="B34" s="614" t="str">
        <f t="shared" si="3"/>
        <v/>
      </c>
      <c r="C34" s="614" t="str">
        <f t="shared" si="0"/>
        <v/>
      </c>
      <c r="D34" s="614" t="str">
        <f t="shared" si="1"/>
        <v/>
      </c>
      <c r="E34" s="615" t="str">
        <f t="shared" si="2"/>
        <v/>
      </c>
      <c r="F34" s="616" t="str">
        <f>IF($H34="","",IF(ISNA(MATCH($H34,$H$7:$H33,0)),1,0))</f>
        <v/>
      </c>
      <c r="G34" s="249"/>
      <c r="H34" s="95"/>
      <c r="I34" s="597" t="str">
        <f>IF($J34="","",INDEX(ﾏｽﾀ!$E$8:$E$124,MATCH(INDEX(ﾏｽﾀ!$N$8:$N$124,MATCH($J34,ﾏｽﾀ!$O$8:$O$124,0)),ﾏｽﾀ!$B$8:$B$124,0))&amp;"")</f>
        <v/>
      </c>
      <c r="J34" s="534"/>
      <c r="K34" s="598" t="str">
        <f>IF($J34="","",INDEX(ﾏｽﾀ!$G$8:$G$124,MATCH(INDEX(ﾏｽﾀ!$N$8:$N$124,MATCH($J34,ﾏｽﾀ!$O$8:$O$124,0)),ﾏｽﾀ!$B$8:$B$124,0))&amp;"")</f>
        <v/>
      </c>
      <c r="L34" s="599" t="str">
        <f>IF($M34="","",INDEX(ﾏｽﾀ!$T$8:$T$16,MATCH($M34,ﾏｽﾀ!$U$8:$U$16,0))&amp;"")</f>
        <v/>
      </c>
      <c r="M34" s="534"/>
      <c r="N34" s="463"/>
      <c r="O34" s="464"/>
      <c r="P34" s="465"/>
      <c r="Q34" s="466" t="str">
        <f t="shared" si="4"/>
        <v/>
      </c>
      <c r="R34" s="154" t="str">
        <f>IF($T34="","",VLOOKUP($T34,請求Data!$I$11:$AR$160,請求Data!$AL$10-請求Data!$H$10,0))</f>
        <v/>
      </c>
      <c r="S34" s="155" t="str">
        <f>IF($T34="","",VLOOKUP($T34,請求Data!$I$11:$AR$160,請求Data!$AM$10-請求Data!$H$10,0))</f>
        <v/>
      </c>
      <c r="T34" s="467" t="str">
        <f>IF(ISNA(MATCH($H34,請求Data!$AH$11:$AH$160,0)),"",VLOOKUP($H34,請求Data!$AH$11:$AR$160,請求Data!$AK$10-請求Data!$AG$10,0))</f>
        <v/>
      </c>
      <c r="U34" s="468"/>
      <c r="V34" s="58"/>
    </row>
    <row r="35" spans="1:22" s="32" customFormat="1" ht="15" customHeight="1">
      <c r="A35" s="58" t="str">
        <f>IF($Q35="","",MAX($A$8:$A34)+1)</f>
        <v/>
      </c>
      <c r="B35" s="614" t="str">
        <f t="shared" si="3"/>
        <v/>
      </c>
      <c r="C35" s="614" t="str">
        <f t="shared" si="0"/>
        <v/>
      </c>
      <c r="D35" s="614" t="str">
        <f t="shared" si="1"/>
        <v/>
      </c>
      <c r="E35" s="615" t="str">
        <f t="shared" si="2"/>
        <v/>
      </c>
      <c r="F35" s="616" t="str">
        <f>IF($H35="","",IF(ISNA(MATCH($H35,$H$7:$H34,0)),1,0))</f>
        <v/>
      </c>
      <c r="G35" s="249"/>
      <c r="H35" s="95"/>
      <c r="I35" s="597" t="str">
        <f>IF($J35="","",INDEX(ﾏｽﾀ!$E$8:$E$124,MATCH(INDEX(ﾏｽﾀ!$N$8:$N$124,MATCH($J35,ﾏｽﾀ!$O$8:$O$124,0)),ﾏｽﾀ!$B$8:$B$124,0))&amp;"")</f>
        <v/>
      </c>
      <c r="J35" s="534"/>
      <c r="K35" s="598" t="str">
        <f>IF($J35="","",INDEX(ﾏｽﾀ!$G$8:$G$124,MATCH(INDEX(ﾏｽﾀ!$N$8:$N$124,MATCH($J35,ﾏｽﾀ!$O$8:$O$124,0)),ﾏｽﾀ!$B$8:$B$124,0))&amp;"")</f>
        <v/>
      </c>
      <c r="L35" s="599" t="str">
        <f>IF($M35="","",INDEX(ﾏｽﾀ!$T$8:$T$16,MATCH($M35,ﾏｽﾀ!$U$8:$U$16,0))&amp;"")</f>
        <v/>
      </c>
      <c r="M35" s="534"/>
      <c r="N35" s="463"/>
      <c r="O35" s="464"/>
      <c r="P35" s="465"/>
      <c r="Q35" s="466" t="str">
        <f t="shared" si="4"/>
        <v/>
      </c>
      <c r="R35" s="154" t="str">
        <f>IF($T35="","",VLOOKUP($T35,請求Data!$I$11:$AR$160,請求Data!$AL$10-請求Data!$H$10,0))</f>
        <v/>
      </c>
      <c r="S35" s="155" t="str">
        <f>IF($T35="","",VLOOKUP($T35,請求Data!$I$11:$AR$160,請求Data!$AM$10-請求Data!$H$10,0))</f>
        <v/>
      </c>
      <c r="T35" s="467" t="str">
        <f>IF(ISNA(MATCH($H35,請求Data!$AH$11:$AH$160,0)),"",VLOOKUP($H35,請求Data!$AH$11:$AR$160,請求Data!$AK$10-請求Data!$AG$10,0))</f>
        <v/>
      </c>
      <c r="U35" s="468"/>
      <c r="V35" s="58"/>
    </row>
    <row r="36" spans="1:22" s="32" customFormat="1" ht="15" customHeight="1">
      <c r="A36" s="58" t="str">
        <f>IF($Q36="","",MAX($A$8:$A35)+1)</f>
        <v/>
      </c>
      <c r="B36" s="614" t="str">
        <f t="shared" si="3"/>
        <v/>
      </c>
      <c r="C36" s="614" t="str">
        <f t="shared" si="0"/>
        <v/>
      </c>
      <c r="D36" s="614" t="str">
        <f t="shared" si="1"/>
        <v/>
      </c>
      <c r="E36" s="615" t="str">
        <f t="shared" si="2"/>
        <v/>
      </c>
      <c r="F36" s="616" t="str">
        <f>IF($H36="","",IF(ISNA(MATCH($H36,$H$7:$H35,0)),1,0))</f>
        <v/>
      </c>
      <c r="G36" s="249"/>
      <c r="H36" s="95"/>
      <c r="I36" s="597" t="str">
        <f>IF($J36="","",INDEX(ﾏｽﾀ!$E$8:$E$124,MATCH(INDEX(ﾏｽﾀ!$N$8:$N$124,MATCH($J36,ﾏｽﾀ!$O$8:$O$124,0)),ﾏｽﾀ!$B$8:$B$124,0))&amp;"")</f>
        <v/>
      </c>
      <c r="J36" s="534"/>
      <c r="K36" s="598" t="str">
        <f>IF($J36="","",INDEX(ﾏｽﾀ!$G$8:$G$124,MATCH(INDEX(ﾏｽﾀ!$N$8:$N$124,MATCH($J36,ﾏｽﾀ!$O$8:$O$124,0)),ﾏｽﾀ!$B$8:$B$124,0))&amp;"")</f>
        <v/>
      </c>
      <c r="L36" s="599" t="str">
        <f>IF($M36="","",INDEX(ﾏｽﾀ!$T$8:$T$16,MATCH($M36,ﾏｽﾀ!$U$8:$U$16,0))&amp;"")</f>
        <v/>
      </c>
      <c r="M36" s="534"/>
      <c r="N36" s="463"/>
      <c r="O36" s="464"/>
      <c r="P36" s="465"/>
      <c r="Q36" s="466" t="str">
        <f t="shared" si="4"/>
        <v/>
      </c>
      <c r="R36" s="154" t="str">
        <f>IF($T36="","",VLOOKUP($T36,請求Data!$I$11:$AR$160,請求Data!$AL$10-請求Data!$H$10,0))</f>
        <v/>
      </c>
      <c r="S36" s="155" t="str">
        <f>IF($T36="","",VLOOKUP($T36,請求Data!$I$11:$AR$160,請求Data!$AM$10-請求Data!$H$10,0))</f>
        <v/>
      </c>
      <c r="T36" s="467" t="str">
        <f>IF(ISNA(MATCH($H36,請求Data!$AH$11:$AH$160,0)),"",VLOOKUP($H36,請求Data!$AH$11:$AR$160,請求Data!$AK$10-請求Data!$AG$10,0))</f>
        <v/>
      </c>
      <c r="U36" s="468"/>
      <c r="V36" s="58"/>
    </row>
    <row r="37" spans="1:22" s="32" customFormat="1" ht="15" customHeight="1">
      <c r="A37" s="58" t="str">
        <f>IF($Q37="","",MAX($A$8:$A36)+1)</f>
        <v/>
      </c>
      <c r="B37" s="614" t="str">
        <f t="shared" si="3"/>
        <v/>
      </c>
      <c r="C37" s="614" t="str">
        <f t="shared" si="0"/>
        <v/>
      </c>
      <c r="D37" s="614" t="str">
        <f t="shared" si="1"/>
        <v/>
      </c>
      <c r="E37" s="615" t="str">
        <f t="shared" si="2"/>
        <v/>
      </c>
      <c r="F37" s="616" t="str">
        <f>IF($H37="","",IF(ISNA(MATCH($H37,$H$7:$H36,0)),1,0))</f>
        <v/>
      </c>
      <c r="G37" s="249"/>
      <c r="H37" s="95"/>
      <c r="I37" s="597" t="str">
        <f>IF($J37="","",INDEX(ﾏｽﾀ!$E$8:$E$124,MATCH(INDEX(ﾏｽﾀ!$N$8:$N$124,MATCH($J37,ﾏｽﾀ!$O$8:$O$124,0)),ﾏｽﾀ!$B$8:$B$124,0))&amp;"")</f>
        <v/>
      </c>
      <c r="J37" s="534"/>
      <c r="K37" s="598" t="str">
        <f>IF($J37="","",INDEX(ﾏｽﾀ!$G$8:$G$124,MATCH(INDEX(ﾏｽﾀ!$N$8:$N$124,MATCH($J37,ﾏｽﾀ!$O$8:$O$124,0)),ﾏｽﾀ!$B$8:$B$124,0))&amp;"")</f>
        <v/>
      </c>
      <c r="L37" s="599" t="str">
        <f>IF($M37="","",INDEX(ﾏｽﾀ!$T$8:$T$16,MATCH($M37,ﾏｽﾀ!$U$8:$U$16,0))&amp;"")</f>
        <v/>
      </c>
      <c r="M37" s="534"/>
      <c r="N37" s="463"/>
      <c r="O37" s="464"/>
      <c r="P37" s="465"/>
      <c r="Q37" s="466" t="str">
        <f t="shared" si="4"/>
        <v/>
      </c>
      <c r="R37" s="154" t="str">
        <f>IF($T37="","",VLOOKUP($T37,請求Data!$I$11:$AR$160,請求Data!$AL$10-請求Data!$H$10,0))</f>
        <v/>
      </c>
      <c r="S37" s="155" t="str">
        <f>IF($T37="","",VLOOKUP($T37,請求Data!$I$11:$AR$160,請求Data!$AM$10-請求Data!$H$10,0))</f>
        <v/>
      </c>
      <c r="T37" s="467" t="str">
        <f>IF(ISNA(MATCH($H37,請求Data!$AH$11:$AH$160,0)),"",VLOOKUP($H37,請求Data!$AH$11:$AR$160,請求Data!$AK$10-請求Data!$AG$10,0))</f>
        <v/>
      </c>
      <c r="U37" s="468"/>
      <c r="V37" s="58"/>
    </row>
    <row r="38" spans="1:22" s="32" customFormat="1" ht="15" customHeight="1">
      <c r="A38" s="58" t="str">
        <f>IF($Q38="","",MAX($A$8:$A37)+1)</f>
        <v/>
      </c>
      <c r="B38" s="614" t="str">
        <f t="shared" si="3"/>
        <v/>
      </c>
      <c r="C38" s="614" t="str">
        <f t="shared" si="0"/>
        <v/>
      </c>
      <c r="D38" s="614" t="str">
        <f t="shared" si="1"/>
        <v/>
      </c>
      <c r="E38" s="615" t="str">
        <f t="shared" si="2"/>
        <v/>
      </c>
      <c r="F38" s="616" t="str">
        <f>IF($H38="","",IF(ISNA(MATCH($H38,$H$7:$H37,0)),1,0))</f>
        <v/>
      </c>
      <c r="G38" s="249"/>
      <c r="H38" s="95"/>
      <c r="I38" s="597" t="str">
        <f>IF($J38="","",INDEX(ﾏｽﾀ!$E$8:$E$124,MATCH(INDEX(ﾏｽﾀ!$N$8:$N$124,MATCH($J38,ﾏｽﾀ!$O$8:$O$124,0)),ﾏｽﾀ!$B$8:$B$124,0))&amp;"")</f>
        <v/>
      </c>
      <c r="J38" s="534"/>
      <c r="K38" s="598" t="str">
        <f>IF($J38="","",INDEX(ﾏｽﾀ!$G$8:$G$124,MATCH(INDEX(ﾏｽﾀ!$N$8:$N$124,MATCH($J38,ﾏｽﾀ!$O$8:$O$124,0)),ﾏｽﾀ!$B$8:$B$124,0))&amp;"")</f>
        <v/>
      </c>
      <c r="L38" s="599" t="str">
        <f>IF($M38="","",INDEX(ﾏｽﾀ!$T$8:$T$16,MATCH($M38,ﾏｽﾀ!$U$8:$U$16,0))&amp;"")</f>
        <v/>
      </c>
      <c r="M38" s="534"/>
      <c r="N38" s="463"/>
      <c r="O38" s="464"/>
      <c r="P38" s="465"/>
      <c r="Q38" s="466" t="str">
        <f t="shared" si="4"/>
        <v/>
      </c>
      <c r="R38" s="154" t="str">
        <f>IF($T38="","",VLOOKUP($T38,請求Data!$I$11:$AR$160,請求Data!$AL$10-請求Data!$H$10,0))</f>
        <v/>
      </c>
      <c r="S38" s="155" t="str">
        <f>IF($T38="","",VLOOKUP($T38,請求Data!$I$11:$AR$160,請求Data!$AM$10-請求Data!$H$10,0))</f>
        <v/>
      </c>
      <c r="T38" s="467" t="str">
        <f>IF(ISNA(MATCH($H38,請求Data!$AH$11:$AH$160,0)),"",VLOOKUP($H38,請求Data!$AH$11:$AR$160,請求Data!$AK$10-請求Data!$AG$10,0))</f>
        <v/>
      </c>
      <c r="U38" s="468"/>
      <c r="V38" s="58"/>
    </row>
    <row r="39" spans="1:22" s="32" customFormat="1" ht="15" customHeight="1">
      <c r="A39" s="58" t="str">
        <f>IF($Q39="","",MAX($A$8:$A38)+1)</f>
        <v/>
      </c>
      <c r="B39" s="614" t="str">
        <f t="shared" si="3"/>
        <v/>
      </c>
      <c r="C39" s="614" t="str">
        <f t="shared" si="0"/>
        <v/>
      </c>
      <c r="D39" s="614" t="str">
        <f t="shared" si="1"/>
        <v/>
      </c>
      <c r="E39" s="615" t="str">
        <f t="shared" si="2"/>
        <v/>
      </c>
      <c r="F39" s="616" t="str">
        <f>IF($H39="","",IF(ISNA(MATCH($H39,$H$7:$H38,0)),1,0))</f>
        <v/>
      </c>
      <c r="G39" s="249"/>
      <c r="H39" s="95"/>
      <c r="I39" s="597" t="str">
        <f>IF($J39="","",INDEX(ﾏｽﾀ!$E$8:$E$124,MATCH(INDEX(ﾏｽﾀ!$N$8:$N$124,MATCH($J39,ﾏｽﾀ!$O$8:$O$124,0)),ﾏｽﾀ!$B$8:$B$124,0))&amp;"")</f>
        <v/>
      </c>
      <c r="J39" s="534"/>
      <c r="K39" s="598" t="str">
        <f>IF($J39="","",INDEX(ﾏｽﾀ!$G$8:$G$124,MATCH(INDEX(ﾏｽﾀ!$N$8:$N$124,MATCH($J39,ﾏｽﾀ!$O$8:$O$124,0)),ﾏｽﾀ!$B$8:$B$124,0))&amp;"")</f>
        <v/>
      </c>
      <c r="L39" s="599" t="str">
        <f>IF($M39="","",INDEX(ﾏｽﾀ!$T$8:$T$16,MATCH($M39,ﾏｽﾀ!$U$8:$U$16,0))&amp;"")</f>
        <v/>
      </c>
      <c r="M39" s="534"/>
      <c r="N39" s="463"/>
      <c r="O39" s="464"/>
      <c r="P39" s="465"/>
      <c r="Q39" s="466" t="str">
        <f t="shared" si="4"/>
        <v/>
      </c>
      <c r="R39" s="154" t="str">
        <f>IF($T39="","",VLOOKUP($T39,請求Data!$I$11:$AR$160,請求Data!$AL$10-請求Data!$H$10,0))</f>
        <v/>
      </c>
      <c r="S39" s="155" t="str">
        <f>IF($T39="","",VLOOKUP($T39,請求Data!$I$11:$AR$160,請求Data!$AM$10-請求Data!$H$10,0))</f>
        <v/>
      </c>
      <c r="T39" s="467" t="str">
        <f>IF(ISNA(MATCH($H39,請求Data!$AH$11:$AH$160,0)),"",VLOOKUP($H39,請求Data!$AH$11:$AR$160,請求Data!$AK$10-請求Data!$AG$10,0))</f>
        <v/>
      </c>
      <c r="U39" s="468"/>
      <c r="V39" s="58"/>
    </row>
    <row r="40" spans="1:22" s="32" customFormat="1" ht="15" customHeight="1">
      <c r="A40" s="58" t="str">
        <f>IF($Q40="","",MAX($A$8:$A39)+1)</f>
        <v/>
      </c>
      <c r="B40" s="614" t="str">
        <f t="shared" si="3"/>
        <v/>
      </c>
      <c r="C40" s="614" t="str">
        <f t="shared" si="0"/>
        <v/>
      </c>
      <c r="D40" s="614" t="str">
        <f t="shared" si="1"/>
        <v/>
      </c>
      <c r="E40" s="615" t="str">
        <f t="shared" si="2"/>
        <v/>
      </c>
      <c r="F40" s="616" t="str">
        <f>IF($H40="","",IF(ISNA(MATCH($H40,$H$7:$H39,0)),1,0))</f>
        <v/>
      </c>
      <c r="G40" s="249"/>
      <c r="H40" s="95"/>
      <c r="I40" s="597" t="str">
        <f>IF($J40="","",INDEX(ﾏｽﾀ!$E$8:$E$124,MATCH(INDEX(ﾏｽﾀ!$N$8:$N$124,MATCH($J40,ﾏｽﾀ!$O$8:$O$124,0)),ﾏｽﾀ!$B$8:$B$124,0))&amp;"")</f>
        <v/>
      </c>
      <c r="J40" s="534"/>
      <c r="K40" s="598" t="str">
        <f>IF($J40="","",INDEX(ﾏｽﾀ!$G$8:$G$124,MATCH(INDEX(ﾏｽﾀ!$N$8:$N$124,MATCH($J40,ﾏｽﾀ!$O$8:$O$124,0)),ﾏｽﾀ!$B$8:$B$124,0))&amp;"")</f>
        <v/>
      </c>
      <c r="L40" s="599" t="str">
        <f>IF($M40="","",INDEX(ﾏｽﾀ!$T$8:$T$16,MATCH($M40,ﾏｽﾀ!$U$8:$U$16,0))&amp;"")</f>
        <v/>
      </c>
      <c r="M40" s="534"/>
      <c r="N40" s="463"/>
      <c r="O40" s="464"/>
      <c r="P40" s="465"/>
      <c r="Q40" s="466" t="str">
        <f t="shared" si="4"/>
        <v/>
      </c>
      <c r="R40" s="154" t="str">
        <f>IF($T40="","",VLOOKUP($T40,請求Data!$I$11:$AR$160,請求Data!$AL$10-請求Data!$H$10,0))</f>
        <v/>
      </c>
      <c r="S40" s="155" t="str">
        <f>IF($T40="","",VLOOKUP($T40,請求Data!$I$11:$AR$160,請求Data!$AM$10-請求Data!$H$10,0))</f>
        <v/>
      </c>
      <c r="T40" s="467" t="str">
        <f>IF(ISNA(MATCH($H40,請求Data!$AH$11:$AH$160,0)),"",VLOOKUP($H40,請求Data!$AH$11:$AR$160,請求Data!$AK$10-請求Data!$AG$10,0))</f>
        <v/>
      </c>
      <c r="U40" s="468"/>
      <c r="V40" s="58"/>
    </row>
    <row r="41" spans="1:22" s="32" customFormat="1" ht="15" customHeight="1">
      <c r="A41" s="58" t="str">
        <f>IF($Q41="","",MAX($A$8:$A40)+1)</f>
        <v/>
      </c>
      <c r="B41" s="614" t="str">
        <f t="shared" si="3"/>
        <v/>
      </c>
      <c r="C41" s="614" t="str">
        <f t="shared" ref="C41:C72" si="5">IF($H41="","",CONCATENATE(VLOOKUP($N41,$N$2:$O$5,2,FALSE),$I41,IF($K41="","00",$K41),$E41,$L41))</f>
        <v/>
      </c>
      <c r="D41" s="614" t="str">
        <f t="shared" ref="D41:D72" si="6">IF($H41="","",CONCATENATE(VLOOKUP($N41,$N$2:$O$5,2,FALSE),$I41,IF($K41="","00",$K41),$E41,$F41,$L41))</f>
        <v/>
      </c>
      <c r="E41" s="615" t="str">
        <f t="shared" ref="E41:E72" si="7">IF($H41="","",IF($T41="",1,9))</f>
        <v/>
      </c>
      <c r="F41" s="616" t="str">
        <f>IF($H41="","",IF(ISNA(MATCH($H41,$H$7:$H40,0)),1,0))</f>
        <v/>
      </c>
      <c r="G41" s="249"/>
      <c r="H41" s="95"/>
      <c r="I41" s="597" t="str">
        <f>IF($J41="","",INDEX(ﾏｽﾀ!$E$8:$E$124,MATCH(INDEX(ﾏｽﾀ!$N$8:$N$124,MATCH($J41,ﾏｽﾀ!$O$8:$O$124,0)),ﾏｽﾀ!$B$8:$B$124,0))&amp;"")</f>
        <v/>
      </c>
      <c r="J41" s="534"/>
      <c r="K41" s="598" t="str">
        <f>IF($J41="","",INDEX(ﾏｽﾀ!$G$8:$G$124,MATCH(INDEX(ﾏｽﾀ!$N$8:$N$124,MATCH($J41,ﾏｽﾀ!$O$8:$O$124,0)),ﾏｽﾀ!$B$8:$B$124,0))&amp;"")</f>
        <v/>
      </c>
      <c r="L41" s="599" t="str">
        <f>IF($M41="","",INDEX(ﾏｽﾀ!$T$8:$T$16,MATCH($M41,ﾏｽﾀ!$U$8:$U$16,0))&amp;"")</f>
        <v/>
      </c>
      <c r="M41" s="534"/>
      <c r="N41" s="463"/>
      <c r="O41" s="464"/>
      <c r="P41" s="465"/>
      <c r="Q41" s="466" t="str">
        <f t="shared" si="4"/>
        <v/>
      </c>
      <c r="R41" s="154" t="str">
        <f>IF($T41="","",VLOOKUP($T41,請求Data!$I$11:$AR$160,請求Data!$AL$10-請求Data!$H$10,0))</f>
        <v/>
      </c>
      <c r="S41" s="155" t="str">
        <f>IF($T41="","",VLOOKUP($T41,請求Data!$I$11:$AR$160,請求Data!$AM$10-請求Data!$H$10,0))</f>
        <v/>
      </c>
      <c r="T41" s="467" t="str">
        <f>IF(ISNA(MATCH($H41,請求Data!$AH$11:$AH$160,0)),"",VLOOKUP($H41,請求Data!$AH$11:$AR$160,請求Data!$AK$10-請求Data!$AG$10,0))</f>
        <v/>
      </c>
      <c r="U41" s="468"/>
      <c r="V41" s="58"/>
    </row>
    <row r="42" spans="1:22" s="32" customFormat="1" ht="15" customHeight="1">
      <c r="A42" s="58" t="str">
        <f>IF($Q42="","",MAX($A$8:$A41)+1)</f>
        <v/>
      </c>
      <c r="B42" s="614" t="str">
        <f t="shared" si="3"/>
        <v/>
      </c>
      <c r="C42" s="614" t="str">
        <f t="shared" si="5"/>
        <v/>
      </c>
      <c r="D42" s="614" t="str">
        <f t="shared" si="6"/>
        <v/>
      </c>
      <c r="E42" s="615" t="str">
        <f t="shared" si="7"/>
        <v/>
      </c>
      <c r="F42" s="616" t="str">
        <f>IF($H42="","",IF(ISNA(MATCH($H42,$H$7:$H41,0)),1,0))</f>
        <v/>
      </c>
      <c r="G42" s="249"/>
      <c r="H42" s="95"/>
      <c r="I42" s="597" t="str">
        <f>IF($J42="","",INDEX(ﾏｽﾀ!$E$8:$E$124,MATCH(INDEX(ﾏｽﾀ!$N$8:$N$124,MATCH($J42,ﾏｽﾀ!$O$8:$O$124,0)),ﾏｽﾀ!$B$8:$B$124,0))&amp;"")</f>
        <v/>
      </c>
      <c r="J42" s="534"/>
      <c r="K42" s="598" t="str">
        <f>IF($J42="","",INDEX(ﾏｽﾀ!$G$8:$G$124,MATCH(INDEX(ﾏｽﾀ!$N$8:$N$124,MATCH($J42,ﾏｽﾀ!$O$8:$O$124,0)),ﾏｽﾀ!$B$8:$B$124,0))&amp;"")</f>
        <v/>
      </c>
      <c r="L42" s="599" t="str">
        <f>IF($M42="","",INDEX(ﾏｽﾀ!$T$8:$T$16,MATCH($M42,ﾏｽﾀ!$U$8:$U$16,0))&amp;"")</f>
        <v/>
      </c>
      <c r="M42" s="534"/>
      <c r="N42" s="463"/>
      <c r="O42" s="464"/>
      <c r="P42" s="465"/>
      <c r="Q42" s="466" t="str">
        <f t="shared" si="4"/>
        <v/>
      </c>
      <c r="R42" s="154" t="str">
        <f>IF($T42="","",VLOOKUP($T42,請求Data!$I$11:$AR$160,請求Data!$AL$10-請求Data!$H$10,0))</f>
        <v/>
      </c>
      <c r="S42" s="155" t="str">
        <f>IF($T42="","",VLOOKUP($T42,請求Data!$I$11:$AR$160,請求Data!$AM$10-請求Data!$H$10,0))</f>
        <v/>
      </c>
      <c r="T42" s="467" t="str">
        <f>IF(ISNA(MATCH($H42,請求Data!$AH$11:$AH$160,0)),"",VLOOKUP($H42,請求Data!$AH$11:$AR$160,請求Data!$AK$10-請求Data!$AG$10,0))</f>
        <v/>
      </c>
      <c r="U42" s="468"/>
      <c r="V42" s="58"/>
    </row>
    <row r="43" spans="1:22" s="32" customFormat="1" ht="15" customHeight="1">
      <c r="A43" s="58" t="str">
        <f>IF($Q43="","",MAX($A$8:$A42)+1)</f>
        <v/>
      </c>
      <c r="B43" s="614" t="str">
        <f t="shared" si="3"/>
        <v/>
      </c>
      <c r="C43" s="614" t="str">
        <f t="shared" si="5"/>
        <v/>
      </c>
      <c r="D43" s="614" t="str">
        <f t="shared" si="6"/>
        <v/>
      </c>
      <c r="E43" s="615" t="str">
        <f t="shared" si="7"/>
        <v/>
      </c>
      <c r="F43" s="616" t="str">
        <f>IF($H43="","",IF(ISNA(MATCH($H43,$H$7:$H42,0)),1,0))</f>
        <v/>
      </c>
      <c r="G43" s="249"/>
      <c r="H43" s="95"/>
      <c r="I43" s="597" t="str">
        <f>IF($J43="","",INDEX(ﾏｽﾀ!$E$8:$E$124,MATCH(INDEX(ﾏｽﾀ!$N$8:$N$124,MATCH($J43,ﾏｽﾀ!$O$8:$O$124,0)),ﾏｽﾀ!$B$8:$B$124,0))&amp;"")</f>
        <v/>
      </c>
      <c r="J43" s="534"/>
      <c r="K43" s="598" t="str">
        <f>IF($J43="","",INDEX(ﾏｽﾀ!$G$8:$G$124,MATCH(INDEX(ﾏｽﾀ!$N$8:$N$124,MATCH($J43,ﾏｽﾀ!$O$8:$O$124,0)),ﾏｽﾀ!$B$8:$B$124,0))&amp;"")</f>
        <v/>
      </c>
      <c r="L43" s="599" t="str">
        <f>IF($M43="","",INDEX(ﾏｽﾀ!$T$8:$T$16,MATCH($M43,ﾏｽﾀ!$U$8:$U$16,0))&amp;"")</f>
        <v/>
      </c>
      <c r="M43" s="534"/>
      <c r="N43" s="463"/>
      <c r="O43" s="464"/>
      <c r="P43" s="465"/>
      <c r="Q43" s="466" t="str">
        <f t="shared" si="4"/>
        <v/>
      </c>
      <c r="R43" s="154" t="str">
        <f>IF($T43="","",VLOOKUP($T43,請求Data!$I$11:$AR$160,請求Data!$AL$10-請求Data!$H$10,0))</f>
        <v/>
      </c>
      <c r="S43" s="155" t="str">
        <f>IF($T43="","",VLOOKUP($T43,請求Data!$I$11:$AR$160,請求Data!$AM$10-請求Data!$H$10,0))</f>
        <v/>
      </c>
      <c r="T43" s="467" t="str">
        <f>IF(ISNA(MATCH($H43,請求Data!$AH$11:$AH$160,0)),"",VLOOKUP($H43,請求Data!$AH$11:$AR$160,請求Data!$AK$10-請求Data!$AG$10,0))</f>
        <v/>
      </c>
      <c r="U43" s="468"/>
      <c r="V43" s="58"/>
    </row>
    <row r="44" spans="1:22" s="32" customFormat="1" ht="15" customHeight="1">
      <c r="A44" s="58" t="str">
        <f>IF($Q44="","",MAX($A$8:$A43)+1)</f>
        <v/>
      </c>
      <c r="B44" s="614" t="str">
        <f t="shared" si="3"/>
        <v/>
      </c>
      <c r="C44" s="614" t="str">
        <f t="shared" si="5"/>
        <v/>
      </c>
      <c r="D44" s="614" t="str">
        <f t="shared" si="6"/>
        <v/>
      </c>
      <c r="E44" s="615" t="str">
        <f t="shared" si="7"/>
        <v/>
      </c>
      <c r="F44" s="616" t="str">
        <f>IF($H44="","",IF(ISNA(MATCH($H44,$H$7:$H43,0)),1,0))</f>
        <v/>
      </c>
      <c r="G44" s="249"/>
      <c r="H44" s="95"/>
      <c r="I44" s="597" t="str">
        <f>IF($J44="","",INDEX(ﾏｽﾀ!$E$8:$E$124,MATCH(INDEX(ﾏｽﾀ!$N$8:$N$124,MATCH($J44,ﾏｽﾀ!$O$8:$O$124,0)),ﾏｽﾀ!$B$8:$B$124,0))&amp;"")</f>
        <v/>
      </c>
      <c r="J44" s="534"/>
      <c r="K44" s="598" t="str">
        <f>IF($J44="","",INDEX(ﾏｽﾀ!$G$8:$G$124,MATCH(INDEX(ﾏｽﾀ!$N$8:$N$124,MATCH($J44,ﾏｽﾀ!$O$8:$O$124,0)),ﾏｽﾀ!$B$8:$B$124,0))&amp;"")</f>
        <v/>
      </c>
      <c r="L44" s="599" t="str">
        <f>IF($M44="","",INDEX(ﾏｽﾀ!$T$8:$T$16,MATCH($M44,ﾏｽﾀ!$U$8:$U$16,0))&amp;"")</f>
        <v/>
      </c>
      <c r="M44" s="534"/>
      <c r="N44" s="463"/>
      <c r="O44" s="464"/>
      <c r="P44" s="465"/>
      <c r="Q44" s="466" t="str">
        <f t="shared" si="4"/>
        <v/>
      </c>
      <c r="R44" s="154" t="str">
        <f>IF($T44="","",VLOOKUP($T44,請求Data!$I$11:$AR$160,請求Data!$AL$10-請求Data!$H$10,0))</f>
        <v/>
      </c>
      <c r="S44" s="155" t="str">
        <f>IF($T44="","",VLOOKUP($T44,請求Data!$I$11:$AR$160,請求Data!$AM$10-請求Data!$H$10,0))</f>
        <v/>
      </c>
      <c r="T44" s="467" t="str">
        <f>IF(ISNA(MATCH($H44,請求Data!$AH$11:$AH$160,0)),"",VLOOKUP($H44,請求Data!$AH$11:$AR$160,請求Data!$AK$10-請求Data!$AG$10,0))</f>
        <v/>
      </c>
      <c r="U44" s="468"/>
      <c r="V44" s="58"/>
    </row>
    <row r="45" spans="1:22" s="32" customFormat="1" ht="15" customHeight="1">
      <c r="A45" s="58" t="str">
        <f>IF($Q45="","",MAX($A$8:$A44)+1)</f>
        <v/>
      </c>
      <c r="B45" s="614" t="str">
        <f t="shared" si="3"/>
        <v/>
      </c>
      <c r="C45" s="614" t="str">
        <f t="shared" si="5"/>
        <v/>
      </c>
      <c r="D45" s="614" t="str">
        <f t="shared" si="6"/>
        <v/>
      </c>
      <c r="E45" s="615" t="str">
        <f t="shared" si="7"/>
        <v/>
      </c>
      <c r="F45" s="616" t="str">
        <f>IF($H45="","",IF(ISNA(MATCH($H45,$H$7:$H44,0)),1,0))</f>
        <v/>
      </c>
      <c r="G45" s="249"/>
      <c r="H45" s="95"/>
      <c r="I45" s="597" t="str">
        <f>IF($J45="","",INDEX(ﾏｽﾀ!$E$8:$E$124,MATCH(INDEX(ﾏｽﾀ!$N$8:$N$124,MATCH($J45,ﾏｽﾀ!$O$8:$O$124,0)),ﾏｽﾀ!$B$8:$B$124,0))&amp;"")</f>
        <v/>
      </c>
      <c r="J45" s="534"/>
      <c r="K45" s="598" t="str">
        <f>IF($J45="","",INDEX(ﾏｽﾀ!$G$8:$G$124,MATCH(INDEX(ﾏｽﾀ!$N$8:$N$124,MATCH($J45,ﾏｽﾀ!$O$8:$O$124,0)),ﾏｽﾀ!$B$8:$B$124,0))&amp;"")</f>
        <v/>
      </c>
      <c r="L45" s="599" t="str">
        <f>IF($M45="","",INDEX(ﾏｽﾀ!$T$8:$T$16,MATCH($M45,ﾏｽﾀ!$U$8:$U$16,0))&amp;"")</f>
        <v/>
      </c>
      <c r="M45" s="534"/>
      <c r="N45" s="463"/>
      <c r="O45" s="464"/>
      <c r="P45" s="465"/>
      <c r="Q45" s="466" t="str">
        <f t="shared" si="4"/>
        <v/>
      </c>
      <c r="R45" s="154" t="str">
        <f>IF($T45="","",VLOOKUP($T45,請求Data!$I$11:$AR$160,請求Data!$AL$10-請求Data!$H$10,0))</f>
        <v/>
      </c>
      <c r="S45" s="155" t="str">
        <f>IF($T45="","",VLOOKUP($T45,請求Data!$I$11:$AR$160,請求Data!$AM$10-請求Data!$H$10,0))</f>
        <v/>
      </c>
      <c r="T45" s="467" t="str">
        <f>IF(ISNA(MATCH($H45,請求Data!$AH$11:$AH$160,0)),"",VLOOKUP($H45,請求Data!$AH$11:$AR$160,請求Data!$AK$10-請求Data!$AG$10,0))</f>
        <v/>
      </c>
      <c r="U45" s="468"/>
      <c r="V45" s="58"/>
    </row>
    <row r="46" spans="1:22" s="32" customFormat="1" ht="15" customHeight="1">
      <c r="A46" s="58" t="str">
        <f>IF($Q46="","",MAX($A$8:$A45)+1)</f>
        <v/>
      </c>
      <c r="B46" s="614" t="str">
        <f t="shared" si="3"/>
        <v/>
      </c>
      <c r="C46" s="614" t="str">
        <f t="shared" si="5"/>
        <v/>
      </c>
      <c r="D46" s="614" t="str">
        <f t="shared" si="6"/>
        <v/>
      </c>
      <c r="E46" s="615" t="str">
        <f t="shared" si="7"/>
        <v/>
      </c>
      <c r="F46" s="616" t="str">
        <f>IF($H46="","",IF(ISNA(MATCH($H46,$H$7:$H45,0)),1,0))</f>
        <v/>
      </c>
      <c r="G46" s="249"/>
      <c r="H46" s="95"/>
      <c r="I46" s="597" t="str">
        <f>IF($J46="","",INDEX(ﾏｽﾀ!$E$8:$E$124,MATCH(INDEX(ﾏｽﾀ!$N$8:$N$124,MATCH($J46,ﾏｽﾀ!$O$8:$O$124,0)),ﾏｽﾀ!$B$8:$B$124,0))&amp;"")</f>
        <v/>
      </c>
      <c r="J46" s="534"/>
      <c r="K46" s="598" t="str">
        <f>IF($J46="","",INDEX(ﾏｽﾀ!$G$8:$G$124,MATCH(INDEX(ﾏｽﾀ!$N$8:$N$124,MATCH($J46,ﾏｽﾀ!$O$8:$O$124,0)),ﾏｽﾀ!$B$8:$B$124,0))&amp;"")</f>
        <v/>
      </c>
      <c r="L46" s="599" t="str">
        <f>IF($M46="","",INDEX(ﾏｽﾀ!$T$8:$T$16,MATCH($M46,ﾏｽﾀ!$U$8:$U$16,0))&amp;"")</f>
        <v/>
      </c>
      <c r="M46" s="534"/>
      <c r="N46" s="463"/>
      <c r="O46" s="464"/>
      <c r="P46" s="465"/>
      <c r="Q46" s="466" t="str">
        <f t="shared" si="4"/>
        <v/>
      </c>
      <c r="R46" s="154" t="str">
        <f>IF($T46="","",VLOOKUP($T46,請求Data!$I$11:$AR$160,請求Data!$AL$10-請求Data!$H$10,0))</f>
        <v/>
      </c>
      <c r="S46" s="155" t="str">
        <f>IF($T46="","",VLOOKUP($T46,請求Data!$I$11:$AR$160,請求Data!$AM$10-請求Data!$H$10,0))</f>
        <v/>
      </c>
      <c r="T46" s="467" t="str">
        <f>IF(ISNA(MATCH($H46,請求Data!$AH$11:$AH$160,0)),"",VLOOKUP($H46,請求Data!$AH$11:$AR$160,請求Data!$AK$10-請求Data!$AG$10,0))</f>
        <v/>
      </c>
      <c r="U46" s="468"/>
      <c r="V46" s="58"/>
    </row>
    <row r="47" spans="1:22" s="32" customFormat="1" ht="15" customHeight="1">
      <c r="A47" s="58" t="str">
        <f>IF($Q47="","",MAX($A$8:$A46)+1)</f>
        <v/>
      </c>
      <c r="B47" s="614" t="str">
        <f t="shared" si="3"/>
        <v/>
      </c>
      <c r="C47" s="614" t="str">
        <f t="shared" si="5"/>
        <v/>
      </c>
      <c r="D47" s="614" t="str">
        <f t="shared" si="6"/>
        <v/>
      </c>
      <c r="E47" s="615" t="str">
        <f t="shared" si="7"/>
        <v/>
      </c>
      <c r="F47" s="616" t="str">
        <f>IF($H47="","",IF(ISNA(MATCH($H47,$H$7:$H46,0)),1,0))</f>
        <v/>
      </c>
      <c r="G47" s="249"/>
      <c r="H47" s="95"/>
      <c r="I47" s="597" t="str">
        <f>IF($J47="","",INDEX(ﾏｽﾀ!$E$8:$E$124,MATCH(INDEX(ﾏｽﾀ!$N$8:$N$124,MATCH($J47,ﾏｽﾀ!$O$8:$O$124,0)),ﾏｽﾀ!$B$8:$B$124,0))&amp;"")</f>
        <v/>
      </c>
      <c r="J47" s="534"/>
      <c r="K47" s="598" t="str">
        <f>IF($J47="","",INDEX(ﾏｽﾀ!$G$8:$G$124,MATCH(INDEX(ﾏｽﾀ!$N$8:$N$124,MATCH($J47,ﾏｽﾀ!$O$8:$O$124,0)),ﾏｽﾀ!$B$8:$B$124,0))&amp;"")</f>
        <v/>
      </c>
      <c r="L47" s="599" t="str">
        <f>IF($M47="","",INDEX(ﾏｽﾀ!$T$8:$T$16,MATCH($M47,ﾏｽﾀ!$U$8:$U$16,0))&amp;"")</f>
        <v/>
      </c>
      <c r="M47" s="534"/>
      <c r="N47" s="463"/>
      <c r="O47" s="464"/>
      <c r="P47" s="465"/>
      <c r="Q47" s="466" t="str">
        <f t="shared" si="4"/>
        <v/>
      </c>
      <c r="R47" s="154" t="str">
        <f>IF($T47="","",VLOOKUP($T47,請求Data!$I$11:$AR$160,請求Data!$AL$10-請求Data!$H$10,0))</f>
        <v/>
      </c>
      <c r="S47" s="155" t="str">
        <f>IF($T47="","",VLOOKUP($T47,請求Data!$I$11:$AR$160,請求Data!$AM$10-請求Data!$H$10,0))</f>
        <v/>
      </c>
      <c r="T47" s="467" t="str">
        <f>IF(ISNA(MATCH($H47,請求Data!$AH$11:$AH$160,0)),"",VLOOKUP($H47,請求Data!$AH$11:$AR$160,請求Data!$AK$10-請求Data!$AG$10,0))</f>
        <v/>
      </c>
      <c r="U47" s="468"/>
      <c r="V47" s="58"/>
    </row>
    <row r="48" spans="1:22" s="32" customFormat="1" ht="15" customHeight="1">
      <c r="A48" s="58" t="str">
        <f>IF($Q48="","",MAX($A$8:$A47)+1)</f>
        <v/>
      </c>
      <c r="B48" s="614" t="str">
        <f t="shared" si="3"/>
        <v/>
      </c>
      <c r="C48" s="614" t="str">
        <f t="shared" si="5"/>
        <v/>
      </c>
      <c r="D48" s="614" t="str">
        <f t="shared" si="6"/>
        <v/>
      </c>
      <c r="E48" s="615" t="str">
        <f t="shared" si="7"/>
        <v/>
      </c>
      <c r="F48" s="616" t="str">
        <f>IF($H48="","",IF(ISNA(MATCH($H48,$H$7:$H47,0)),1,0))</f>
        <v/>
      </c>
      <c r="G48" s="249"/>
      <c r="H48" s="95"/>
      <c r="I48" s="597" t="str">
        <f>IF($J48="","",INDEX(ﾏｽﾀ!$E$8:$E$124,MATCH(INDEX(ﾏｽﾀ!$N$8:$N$124,MATCH($J48,ﾏｽﾀ!$O$8:$O$124,0)),ﾏｽﾀ!$B$8:$B$124,0))&amp;"")</f>
        <v/>
      </c>
      <c r="J48" s="534"/>
      <c r="K48" s="598" t="str">
        <f>IF($J48="","",INDEX(ﾏｽﾀ!$G$8:$G$124,MATCH(INDEX(ﾏｽﾀ!$N$8:$N$124,MATCH($J48,ﾏｽﾀ!$O$8:$O$124,0)),ﾏｽﾀ!$B$8:$B$124,0))&amp;"")</f>
        <v/>
      </c>
      <c r="L48" s="599" t="str">
        <f>IF($M48="","",INDEX(ﾏｽﾀ!$T$8:$T$16,MATCH($M48,ﾏｽﾀ!$U$8:$U$16,0))&amp;"")</f>
        <v/>
      </c>
      <c r="M48" s="534"/>
      <c r="N48" s="463"/>
      <c r="O48" s="464"/>
      <c r="P48" s="465"/>
      <c r="Q48" s="466" t="str">
        <f t="shared" si="4"/>
        <v/>
      </c>
      <c r="R48" s="154" t="str">
        <f>IF($T48="","",VLOOKUP($T48,請求Data!$I$11:$AR$160,請求Data!$AL$10-請求Data!$H$10,0))</f>
        <v/>
      </c>
      <c r="S48" s="155" t="str">
        <f>IF($T48="","",VLOOKUP($T48,請求Data!$I$11:$AR$160,請求Data!$AM$10-請求Data!$H$10,0))</f>
        <v/>
      </c>
      <c r="T48" s="467" t="str">
        <f>IF(ISNA(MATCH($H48,請求Data!$AH$11:$AH$160,0)),"",VLOOKUP($H48,請求Data!$AH$11:$AR$160,請求Data!$AK$10-請求Data!$AG$10,0))</f>
        <v/>
      </c>
      <c r="U48" s="468"/>
      <c r="V48" s="58"/>
    </row>
    <row r="49" spans="1:22" s="32" customFormat="1" ht="15" customHeight="1">
      <c r="A49" s="58" t="str">
        <f>IF($Q49="","",MAX($A$8:$A48)+1)</f>
        <v/>
      </c>
      <c r="B49" s="614" t="str">
        <f t="shared" si="3"/>
        <v/>
      </c>
      <c r="C49" s="614" t="str">
        <f t="shared" si="5"/>
        <v/>
      </c>
      <c r="D49" s="614" t="str">
        <f t="shared" si="6"/>
        <v/>
      </c>
      <c r="E49" s="615" t="str">
        <f t="shared" si="7"/>
        <v/>
      </c>
      <c r="F49" s="616" t="str">
        <f>IF($H49="","",IF(ISNA(MATCH($H49,$H$7:$H48,0)),1,0))</f>
        <v/>
      </c>
      <c r="G49" s="249"/>
      <c r="H49" s="95"/>
      <c r="I49" s="597" t="str">
        <f>IF($J49="","",INDEX(ﾏｽﾀ!$E$8:$E$124,MATCH(INDEX(ﾏｽﾀ!$N$8:$N$124,MATCH($J49,ﾏｽﾀ!$O$8:$O$124,0)),ﾏｽﾀ!$B$8:$B$124,0))&amp;"")</f>
        <v/>
      </c>
      <c r="J49" s="534"/>
      <c r="K49" s="598" t="str">
        <f>IF($J49="","",INDEX(ﾏｽﾀ!$G$8:$G$124,MATCH(INDEX(ﾏｽﾀ!$N$8:$N$124,MATCH($J49,ﾏｽﾀ!$O$8:$O$124,0)),ﾏｽﾀ!$B$8:$B$124,0))&amp;"")</f>
        <v/>
      </c>
      <c r="L49" s="599" t="str">
        <f>IF($M49="","",INDEX(ﾏｽﾀ!$T$8:$T$16,MATCH($M49,ﾏｽﾀ!$U$8:$U$16,0))&amp;"")</f>
        <v/>
      </c>
      <c r="M49" s="534"/>
      <c r="N49" s="463"/>
      <c r="O49" s="464"/>
      <c r="P49" s="465"/>
      <c r="Q49" s="466" t="str">
        <f t="shared" si="4"/>
        <v/>
      </c>
      <c r="R49" s="154" t="str">
        <f>IF($T49="","",VLOOKUP($T49,請求Data!$I$11:$AR$160,請求Data!$AL$10-請求Data!$H$10,0))</f>
        <v/>
      </c>
      <c r="S49" s="155" t="str">
        <f>IF($T49="","",VLOOKUP($T49,請求Data!$I$11:$AR$160,請求Data!$AM$10-請求Data!$H$10,0))</f>
        <v/>
      </c>
      <c r="T49" s="467" t="str">
        <f>IF(ISNA(MATCH($H49,請求Data!$AH$11:$AH$160,0)),"",VLOOKUP($H49,請求Data!$AH$11:$AR$160,請求Data!$AK$10-請求Data!$AG$10,0))</f>
        <v/>
      </c>
      <c r="U49" s="468"/>
      <c r="V49" s="58"/>
    </row>
    <row r="50" spans="1:22" s="32" customFormat="1" ht="15" customHeight="1">
      <c r="A50" s="58" t="str">
        <f>IF($Q50="","",MAX($A$8:$A49)+1)</f>
        <v/>
      </c>
      <c r="B50" s="614" t="str">
        <f t="shared" si="3"/>
        <v/>
      </c>
      <c r="C50" s="614" t="str">
        <f t="shared" si="5"/>
        <v/>
      </c>
      <c r="D50" s="614" t="str">
        <f t="shared" si="6"/>
        <v/>
      </c>
      <c r="E50" s="615" t="str">
        <f t="shared" si="7"/>
        <v/>
      </c>
      <c r="F50" s="616" t="str">
        <f>IF($H50="","",IF(ISNA(MATCH($H50,$H$7:$H49,0)),1,0))</f>
        <v/>
      </c>
      <c r="G50" s="249"/>
      <c r="H50" s="95"/>
      <c r="I50" s="597" t="str">
        <f>IF($J50="","",INDEX(ﾏｽﾀ!$E$8:$E$124,MATCH(INDEX(ﾏｽﾀ!$N$8:$N$124,MATCH($J50,ﾏｽﾀ!$O$8:$O$124,0)),ﾏｽﾀ!$B$8:$B$124,0))&amp;"")</f>
        <v/>
      </c>
      <c r="J50" s="534"/>
      <c r="K50" s="598" t="str">
        <f>IF($J50="","",INDEX(ﾏｽﾀ!$G$8:$G$124,MATCH(INDEX(ﾏｽﾀ!$N$8:$N$124,MATCH($J50,ﾏｽﾀ!$O$8:$O$124,0)),ﾏｽﾀ!$B$8:$B$124,0))&amp;"")</f>
        <v/>
      </c>
      <c r="L50" s="599" t="str">
        <f>IF($M50="","",INDEX(ﾏｽﾀ!$T$8:$T$16,MATCH($M50,ﾏｽﾀ!$U$8:$U$16,0))&amp;"")</f>
        <v/>
      </c>
      <c r="M50" s="534"/>
      <c r="N50" s="463"/>
      <c r="O50" s="464"/>
      <c r="P50" s="465"/>
      <c r="Q50" s="466" t="str">
        <f t="shared" si="4"/>
        <v/>
      </c>
      <c r="R50" s="154" t="str">
        <f>IF($T50="","",VLOOKUP($T50,請求Data!$I$11:$AR$160,請求Data!$AL$10-請求Data!$H$10,0))</f>
        <v/>
      </c>
      <c r="S50" s="155" t="str">
        <f>IF($T50="","",VLOOKUP($T50,請求Data!$I$11:$AR$160,請求Data!$AM$10-請求Data!$H$10,0))</f>
        <v/>
      </c>
      <c r="T50" s="467" t="str">
        <f>IF(ISNA(MATCH($H50,請求Data!$AH$11:$AH$160,0)),"",VLOOKUP($H50,請求Data!$AH$11:$AR$160,請求Data!$AK$10-請求Data!$AG$10,0))</f>
        <v/>
      </c>
      <c r="U50" s="468"/>
      <c r="V50" s="58"/>
    </row>
    <row r="51" spans="1:22" s="32" customFormat="1" ht="15" customHeight="1">
      <c r="A51" s="58" t="str">
        <f>IF($Q51="","",MAX($A$8:$A50)+1)</f>
        <v/>
      </c>
      <c r="B51" s="614" t="str">
        <f t="shared" si="3"/>
        <v/>
      </c>
      <c r="C51" s="614" t="str">
        <f t="shared" si="5"/>
        <v/>
      </c>
      <c r="D51" s="614" t="str">
        <f t="shared" si="6"/>
        <v/>
      </c>
      <c r="E51" s="615" t="str">
        <f t="shared" si="7"/>
        <v/>
      </c>
      <c r="F51" s="616" t="str">
        <f>IF($H51="","",IF(ISNA(MATCH($H51,$H$7:$H50,0)),1,0))</f>
        <v/>
      </c>
      <c r="G51" s="249"/>
      <c r="H51" s="95"/>
      <c r="I51" s="597" t="str">
        <f>IF($J51="","",INDEX(ﾏｽﾀ!$E$8:$E$124,MATCH(INDEX(ﾏｽﾀ!$N$8:$N$124,MATCH($J51,ﾏｽﾀ!$O$8:$O$124,0)),ﾏｽﾀ!$B$8:$B$124,0))&amp;"")</f>
        <v/>
      </c>
      <c r="J51" s="534"/>
      <c r="K51" s="598" t="str">
        <f>IF($J51="","",INDEX(ﾏｽﾀ!$G$8:$G$124,MATCH(INDEX(ﾏｽﾀ!$N$8:$N$124,MATCH($J51,ﾏｽﾀ!$O$8:$O$124,0)),ﾏｽﾀ!$B$8:$B$124,0))&amp;"")</f>
        <v/>
      </c>
      <c r="L51" s="599" t="str">
        <f>IF($M51="","",INDEX(ﾏｽﾀ!$T$8:$T$16,MATCH($M51,ﾏｽﾀ!$U$8:$U$16,0))&amp;"")</f>
        <v/>
      </c>
      <c r="M51" s="534"/>
      <c r="N51" s="463"/>
      <c r="O51" s="464"/>
      <c r="P51" s="465"/>
      <c r="Q51" s="466" t="str">
        <f t="shared" si="4"/>
        <v/>
      </c>
      <c r="R51" s="154" t="str">
        <f>IF($T51="","",VLOOKUP($T51,請求Data!$I$11:$AR$160,請求Data!$AL$10-請求Data!$H$10,0))</f>
        <v/>
      </c>
      <c r="S51" s="155" t="str">
        <f>IF($T51="","",VLOOKUP($T51,請求Data!$I$11:$AR$160,請求Data!$AM$10-請求Data!$H$10,0))</f>
        <v/>
      </c>
      <c r="T51" s="467" t="str">
        <f>IF(ISNA(MATCH($H51,請求Data!$AH$11:$AH$160,0)),"",VLOOKUP($H51,請求Data!$AH$11:$AR$160,請求Data!$AK$10-請求Data!$AG$10,0))</f>
        <v/>
      </c>
      <c r="U51" s="468"/>
      <c r="V51" s="58"/>
    </row>
    <row r="52" spans="1:22" s="32" customFormat="1" ht="15" customHeight="1">
      <c r="A52" s="58" t="str">
        <f>IF($Q52="","",MAX($A$8:$A51)+1)</f>
        <v/>
      </c>
      <c r="B52" s="614" t="str">
        <f t="shared" si="3"/>
        <v/>
      </c>
      <c r="C52" s="614" t="str">
        <f t="shared" si="5"/>
        <v/>
      </c>
      <c r="D52" s="614" t="str">
        <f t="shared" si="6"/>
        <v/>
      </c>
      <c r="E52" s="615" t="str">
        <f t="shared" si="7"/>
        <v/>
      </c>
      <c r="F52" s="616" t="str">
        <f>IF($H52="","",IF(ISNA(MATCH($H52,$H$7:$H51,0)),1,0))</f>
        <v/>
      </c>
      <c r="G52" s="249"/>
      <c r="H52" s="95"/>
      <c r="I52" s="597" t="str">
        <f>IF($J52="","",INDEX(ﾏｽﾀ!$E$8:$E$124,MATCH(INDEX(ﾏｽﾀ!$N$8:$N$124,MATCH($J52,ﾏｽﾀ!$O$8:$O$124,0)),ﾏｽﾀ!$B$8:$B$124,0))&amp;"")</f>
        <v/>
      </c>
      <c r="J52" s="534"/>
      <c r="K52" s="598" t="str">
        <f>IF($J52="","",INDEX(ﾏｽﾀ!$G$8:$G$124,MATCH(INDEX(ﾏｽﾀ!$N$8:$N$124,MATCH($J52,ﾏｽﾀ!$O$8:$O$124,0)),ﾏｽﾀ!$B$8:$B$124,0))&amp;"")</f>
        <v/>
      </c>
      <c r="L52" s="599" t="str">
        <f>IF($M52="","",INDEX(ﾏｽﾀ!$T$8:$T$16,MATCH($M52,ﾏｽﾀ!$U$8:$U$16,0))&amp;"")</f>
        <v/>
      </c>
      <c r="M52" s="534"/>
      <c r="N52" s="463"/>
      <c r="O52" s="464"/>
      <c r="P52" s="465"/>
      <c r="Q52" s="466" t="str">
        <f t="shared" si="4"/>
        <v/>
      </c>
      <c r="R52" s="154" t="str">
        <f>IF($T52="","",VLOOKUP($T52,請求Data!$I$11:$AR$160,請求Data!$AL$10-請求Data!$H$10,0))</f>
        <v/>
      </c>
      <c r="S52" s="155" t="str">
        <f>IF($T52="","",VLOOKUP($T52,請求Data!$I$11:$AR$160,請求Data!$AM$10-請求Data!$H$10,0))</f>
        <v/>
      </c>
      <c r="T52" s="467" t="str">
        <f>IF(ISNA(MATCH($H52,請求Data!$AH$11:$AH$160,0)),"",VLOOKUP($H52,請求Data!$AH$11:$AR$160,請求Data!$AK$10-請求Data!$AG$10,0))</f>
        <v/>
      </c>
      <c r="U52" s="468"/>
      <c r="V52" s="193"/>
    </row>
    <row r="53" spans="1:22" s="32" customFormat="1" ht="15" customHeight="1">
      <c r="A53" s="58" t="str">
        <f>IF($Q53="","",MAX($A$8:$A52)+1)</f>
        <v/>
      </c>
      <c r="B53" s="614" t="str">
        <f t="shared" si="3"/>
        <v/>
      </c>
      <c r="C53" s="614" t="str">
        <f t="shared" si="5"/>
        <v/>
      </c>
      <c r="D53" s="614" t="str">
        <f t="shared" si="6"/>
        <v/>
      </c>
      <c r="E53" s="615" t="str">
        <f t="shared" si="7"/>
        <v/>
      </c>
      <c r="F53" s="616" t="str">
        <f>IF($H53="","",IF(ISNA(MATCH($H53,$H$7:$H52,0)),1,0))</f>
        <v/>
      </c>
      <c r="G53" s="249"/>
      <c r="H53" s="95"/>
      <c r="I53" s="597" t="str">
        <f>IF($J53="","",INDEX(ﾏｽﾀ!$E$8:$E$124,MATCH(INDEX(ﾏｽﾀ!$N$8:$N$124,MATCH($J53,ﾏｽﾀ!$O$8:$O$124,0)),ﾏｽﾀ!$B$8:$B$124,0))&amp;"")</f>
        <v/>
      </c>
      <c r="J53" s="534"/>
      <c r="K53" s="598" t="str">
        <f>IF($J53="","",INDEX(ﾏｽﾀ!$G$8:$G$124,MATCH(INDEX(ﾏｽﾀ!$N$8:$N$124,MATCH($J53,ﾏｽﾀ!$O$8:$O$124,0)),ﾏｽﾀ!$B$8:$B$124,0))&amp;"")</f>
        <v/>
      </c>
      <c r="L53" s="599" t="str">
        <f>IF($M53="","",INDEX(ﾏｽﾀ!$T$8:$T$16,MATCH($M53,ﾏｽﾀ!$U$8:$U$16,0))&amp;"")</f>
        <v/>
      </c>
      <c r="M53" s="534"/>
      <c r="N53" s="463"/>
      <c r="O53" s="464"/>
      <c r="P53" s="465"/>
      <c r="Q53" s="466" t="str">
        <f t="shared" si="4"/>
        <v/>
      </c>
      <c r="R53" s="154" t="str">
        <f>IF($T53="","",VLOOKUP($T53,請求Data!$I$11:$AR$160,請求Data!$AL$10-請求Data!$H$10,0))</f>
        <v/>
      </c>
      <c r="S53" s="155" t="str">
        <f>IF($T53="","",VLOOKUP($T53,請求Data!$I$11:$AR$160,請求Data!$AM$10-請求Data!$H$10,0))</f>
        <v/>
      </c>
      <c r="T53" s="467" t="str">
        <f>IF(ISNA(MATCH($H53,請求Data!$AH$11:$AH$160,0)),"",VLOOKUP($H53,請求Data!$AH$11:$AR$160,請求Data!$AK$10-請求Data!$AG$10,0))</f>
        <v/>
      </c>
      <c r="U53" s="468"/>
      <c r="V53" s="194"/>
    </row>
    <row r="54" spans="1:22" s="32" customFormat="1" ht="15" customHeight="1">
      <c r="A54" s="58" t="str">
        <f>IF($Q54="","",MAX($A$8:$A53)+1)</f>
        <v/>
      </c>
      <c r="B54" s="614" t="str">
        <f t="shared" si="3"/>
        <v/>
      </c>
      <c r="C54" s="614" t="str">
        <f t="shared" si="5"/>
        <v/>
      </c>
      <c r="D54" s="614" t="str">
        <f t="shared" si="6"/>
        <v/>
      </c>
      <c r="E54" s="615" t="str">
        <f t="shared" si="7"/>
        <v/>
      </c>
      <c r="F54" s="616" t="str">
        <f>IF($H54="","",IF(ISNA(MATCH($H54,$H$7:$H53,0)),1,0))</f>
        <v/>
      </c>
      <c r="G54" s="249"/>
      <c r="H54" s="95"/>
      <c r="I54" s="597" t="str">
        <f>IF($J54="","",INDEX(ﾏｽﾀ!$E$8:$E$124,MATCH(INDEX(ﾏｽﾀ!$N$8:$N$124,MATCH($J54,ﾏｽﾀ!$O$8:$O$124,0)),ﾏｽﾀ!$B$8:$B$124,0))&amp;"")</f>
        <v/>
      </c>
      <c r="J54" s="534"/>
      <c r="K54" s="598" t="str">
        <f>IF($J54="","",INDEX(ﾏｽﾀ!$G$8:$G$124,MATCH(INDEX(ﾏｽﾀ!$N$8:$N$124,MATCH($J54,ﾏｽﾀ!$O$8:$O$124,0)),ﾏｽﾀ!$B$8:$B$124,0))&amp;"")</f>
        <v/>
      </c>
      <c r="L54" s="599" t="str">
        <f>IF($M54="","",INDEX(ﾏｽﾀ!$T$8:$T$16,MATCH($M54,ﾏｽﾀ!$U$8:$U$16,0))&amp;"")</f>
        <v/>
      </c>
      <c r="M54" s="534"/>
      <c r="N54" s="463"/>
      <c r="O54" s="464"/>
      <c r="P54" s="465"/>
      <c r="Q54" s="466" t="str">
        <f t="shared" si="4"/>
        <v/>
      </c>
      <c r="R54" s="154" t="str">
        <f>IF($T54="","",VLOOKUP($T54,請求Data!$I$11:$AR$160,請求Data!$AL$10-請求Data!$H$10,0))</f>
        <v/>
      </c>
      <c r="S54" s="155" t="str">
        <f>IF($T54="","",VLOOKUP($T54,請求Data!$I$11:$AR$160,請求Data!$AM$10-請求Data!$H$10,0))</f>
        <v/>
      </c>
      <c r="T54" s="467" t="str">
        <f>IF(ISNA(MATCH($H54,請求Data!$AH$11:$AH$160,0)),"",VLOOKUP($H54,請求Data!$AH$11:$AR$160,請求Data!$AK$10-請求Data!$AG$10,0))</f>
        <v/>
      </c>
      <c r="U54" s="468"/>
      <c r="V54" s="58"/>
    </row>
    <row r="55" spans="1:22" s="32" customFormat="1" ht="15" customHeight="1">
      <c r="A55" s="58" t="str">
        <f>IF($Q55="","",MAX($A$8:$A54)+1)</f>
        <v/>
      </c>
      <c r="B55" s="614" t="str">
        <f t="shared" si="3"/>
        <v/>
      </c>
      <c r="C55" s="614" t="str">
        <f t="shared" si="5"/>
        <v/>
      </c>
      <c r="D55" s="614" t="str">
        <f t="shared" si="6"/>
        <v/>
      </c>
      <c r="E55" s="615" t="str">
        <f t="shared" si="7"/>
        <v/>
      </c>
      <c r="F55" s="616" t="str">
        <f>IF($H55="","",IF(ISNA(MATCH($H55,$H$7:$H54,0)),1,0))</f>
        <v/>
      </c>
      <c r="G55" s="249"/>
      <c r="H55" s="95"/>
      <c r="I55" s="597" t="str">
        <f>IF($J55="","",INDEX(ﾏｽﾀ!$E$8:$E$124,MATCH(INDEX(ﾏｽﾀ!$N$8:$N$124,MATCH($J55,ﾏｽﾀ!$O$8:$O$124,0)),ﾏｽﾀ!$B$8:$B$124,0))&amp;"")</f>
        <v/>
      </c>
      <c r="J55" s="534"/>
      <c r="K55" s="598" t="str">
        <f>IF($J55="","",INDEX(ﾏｽﾀ!$G$8:$G$124,MATCH(INDEX(ﾏｽﾀ!$N$8:$N$124,MATCH($J55,ﾏｽﾀ!$O$8:$O$124,0)),ﾏｽﾀ!$B$8:$B$124,0))&amp;"")</f>
        <v/>
      </c>
      <c r="L55" s="599" t="str">
        <f>IF($M55="","",INDEX(ﾏｽﾀ!$T$8:$T$16,MATCH($M55,ﾏｽﾀ!$U$8:$U$16,0))&amp;"")</f>
        <v/>
      </c>
      <c r="M55" s="534"/>
      <c r="N55" s="463"/>
      <c r="O55" s="464"/>
      <c r="P55" s="465"/>
      <c r="Q55" s="466" t="str">
        <f t="shared" si="4"/>
        <v/>
      </c>
      <c r="R55" s="154" t="str">
        <f>IF($T55="","",VLOOKUP($T55,請求Data!$I$11:$AR$160,請求Data!$AL$10-請求Data!$H$10,0))</f>
        <v/>
      </c>
      <c r="S55" s="155" t="str">
        <f>IF($T55="","",VLOOKUP($T55,請求Data!$I$11:$AR$160,請求Data!$AM$10-請求Data!$H$10,0))</f>
        <v/>
      </c>
      <c r="T55" s="467" t="str">
        <f>IF(ISNA(MATCH($H55,請求Data!$AH$11:$AH$160,0)),"",VLOOKUP($H55,請求Data!$AH$11:$AR$160,請求Data!$AK$10-請求Data!$AG$10,0))</f>
        <v/>
      </c>
      <c r="U55" s="468"/>
      <c r="V55" s="58"/>
    </row>
    <row r="56" spans="1:22" s="32" customFormat="1" ht="15" customHeight="1">
      <c r="A56" s="58" t="str">
        <f>IF($Q56="","",MAX($A$8:$A55)+1)</f>
        <v/>
      </c>
      <c r="B56" s="614" t="str">
        <f t="shared" si="3"/>
        <v/>
      </c>
      <c r="C56" s="614" t="str">
        <f t="shared" si="5"/>
        <v/>
      </c>
      <c r="D56" s="614" t="str">
        <f t="shared" si="6"/>
        <v/>
      </c>
      <c r="E56" s="615" t="str">
        <f t="shared" si="7"/>
        <v/>
      </c>
      <c r="F56" s="616" t="str">
        <f>IF($H56="","",IF(ISNA(MATCH($H56,$H$7:$H55,0)),1,0))</f>
        <v/>
      </c>
      <c r="G56" s="249"/>
      <c r="H56" s="95"/>
      <c r="I56" s="597" t="str">
        <f>IF($J56="","",INDEX(ﾏｽﾀ!$E$8:$E$124,MATCH(INDEX(ﾏｽﾀ!$N$8:$N$124,MATCH($J56,ﾏｽﾀ!$O$8:$O$124,0)),ﾏｽﾀ!$B$8:$B$124,0))&amp;"")</f>
        <v/>
      </c>
      <c r="J56" s="534"/>
      <c r="K56" s="598" t="str">
        <f>IF($J56="","",INDEX(ﾏｽﾀ!$G$8:$G$124,MATCH(INDEX(ﾏｽﾀ!$N$8:$N$124,MATCH($J56,ﾏｽﾀ!$O$8:$O$124,0)),ﾏｽﾀ!$B$8:$B$124,0))&amp;"")</f>
        <v/>
      </c>
      <c r="L56" s="599" t="str">
        <f>IF($M56="","",INDEX(ﾏｽﾀ!$T$8:$T$16,MATCH($M56,ﾏｽﾀ!$U$8:$U$16,0))&amp;"")</f>
        <v/>
      </c>
      <c r="M56" s="534"/>
      <c r="N56" s="463"/>
      <c r="O56" s="464"/>
      <c r="P56" s="465"/>
      <c r="Q56" s="466" t="str">
        <f t="shared" si="4"/>
        <v/>
      </c>
      <c r="R56" s="154" t="str">
        <f>IF($T56="","",VLOOKUP($T56,請求Data!$I$11:$AR$160,請求Data!$AL$10-請求Data!$H$10,0))</f>
        <v/>
      </c>
      <c r="S56" s="155" t="str">
        <f>IF($T56="","",VLOOKUP($T56,請求Data!$I$11:$AR$160,請求Data!$AM$10-請求Data!$H$10,0))</f>
        <v/>
      </c>
      <c r="T56" s="467" t="str">
        <f>IF(ISNA(MATCH($H56,請求Data!$AH$11:$AH$160,0)),"",VLOOKUP($H56,請求Data!$AH$11:$AR$160,請求Data!$AK$10-請求Data!$AG$10,0))</f>
        <v/>
      </c>
      <c r="U56" s="468"/>
      <c r="V56" s="58"/>
    </row>
    <row r="57" spans="1:22" s="32" customFormat="1" ht="15" customHeight="1">
      <c r="A57" s="58" t="str">
        <f>IF($Q57="","",MAX($A$8:$A56)+1)</f>
        <v/>
      </c>
      <c r="B57" s="614" t="str">
        <f t="shared" si="3"/>
        <v/>
      </c>
      <c r="C57" s="614" t="str">
        <f t="shared" si="5"/>
        <v/>
      </c>
      <c r="D57" s="614" t="str">
        <f t="shared" si="6"/>
        <v/>
      </c>
      <c r="E57" s="615" t="str">
        <f t="shared" si="7"/>
        <v/>
      </c>
      <c r="F57" s="616" t="str">
        <f>IF($H57="","",IF(ISNA(MATCH($H57,$H$7:$H56,0)),1,0))</f>
        <v/>
      </c>
      <c r="G57" s="249"/>
      <c r="H57" s="95"/>
      <c r="I57" s="597" t="str">
        <f>IF($J57="","",INDEX(ﾏｽﾀ!$E$8:$E$124,MATCH(INDEX(ﾏｽﾀ!$N$8:$N$124,MATCH($J57,ﾏｽﾀ!$O$8:$O$124,0)),ﾏｽﾀ!$B$8:$B$124,0))&amp;"")</f>
        <v/>
      </c>
      <c r="J57" s="534"/>
      <c r="K57" s="598" t="str">
        <f>IF($J57="","",INDEX(ﾏｽﾀ!$G$8:$G$124,MATCH(INDEX(ﾏｽﾀ!$N$8:$N$124,MATCH($J57,ﾏｽﾀ!$O$8:$O$124,0)),ﾏｽﾀ!$B$8:$B$124,0))&amp;"")</f>
        <v/>
      </c>
      <c r="L57" s="599" t="str">
        <f>IF($M57="","",INDEX(ﾏｽﾀ!$T$8:$T$16,MATCH($M57,ﾏｽﾀ!$U$8:$U$16,0))&amp;"")</f>
        <v/>
      </c>
      <c r="M57" s="534"/>
      <c r="N57" s="463"/>
      <c r="O57" s="464"/>
      <c r="P57" s="465"/>
      <c r="Q57" s="466" t="str">
        <f t="shared" si="4"/>
        <v/>
      </c>
      <c r="R57" s="154" t="str">
        <f>IF($T57="","",VLOOKUP($T57,請求Data!$I$11:$AR$160,請求Data!$AL$10-請求Data!$H$10,0))</f>
        <v/>
      </c>
      <c r="S57" s="155" t="str">
        <f>IF($T57="","",VLOOKUP($T57,請求Data!$I$11:$AR$160,請求Data!$AM$10-請求Data!$H$10,0))</f>
        <v/>
      </c>
      <c r="T57" s="467" t="str">
        <f>IF(ISNA(MATCH($H57,請求Data!$AH$11:$AH$160,0)),"",VLOOKUP($H57,請求Data!$AH$11:$AR$160,請求Data!$AK$10-請求Data!$AG$10,0))</f>
        <v/>
      </c>
      <c r="U57" s="468"/>
      <c r="V57" s="58"/>
    </row>
    <row r="58" spans="1:22" s="32" customFormat="1" ht="15" customHeight="1">
      <c r="A58" s="58" t="str">
        <f>IF($Q58="","",MAX($A$8:$A57)+1)</f>
        <v/>
      </c>
      <c r="B58" s="614" t="str">
        <f t="shared" si="3"/>
        <v/>
      </c>
      <c r="C58" s="614" t="str">
        <f t="shared" si="5"/>
        <v/>
      </c>
      <c r="D58" s="614" t="str">
        <f t="shared" si="6"/>
        <v/>
      </c>
      <c r="E58" s="615" t="str">
        <f t="shared" si="7"/>
        <v/>
      </c>
      <c r="F58" s="616" t="str">
        <f>IF($H58="","",IF(ISNA(MATCH($H58,$H$7:$H57,0)),1,0))</f>
        <v/>
      </c>
      <c r="G58" s="249"/>
      <c r="H58" s="95"/>
      <c r="I58" s="597" t="str">
        <f>IF($J58="","",INDEX(ﾏｽﾀ!$E$8:$E$124,MATCH(INDEX(ﾏｽﾀ!$N$8:$N$124,MATCH($J58,ﾏｽﾀ!$O$8:$O$124,0)),ﾏｽﾀ!$B$8:$B$124,0))&amp;"")</f>
        <v/>
      </c>
      <c r="J58" s="534"/>
      <c r="K58" s="598" t="str">
        <f>IF($J58="","",INDEX(ﾏｽﾀ!$G$8:$G$124,MATCH(INDEX(ﾏｽﾀ!$N$8:$N$124,MATCH($J58,ﾏｽﾀ!$O$8:$O$124,0)),ﾏｽﾀ!$B$8:$B$124,0))&amp;"")</f>
        <v/>
      </c>
      <c r="L58" s="599" t="str">
        <f>IF($M58="","",INDEX(ﾏｽﾀ!$T$8:$T$16,MATCH($M58,ﾏｽﾀ!$U$8:$U$16,0))&amp;"")</f>
        <v/>
      </c>
      <c r="M58" s="534"/>
      <c r="N58" s="463"/>
      <c r="O58" s="464"/>
      <c r="P58" s="465"/>
      <c r="Q58" s="466" t="str">
        <f t="shared" si="4"/>
        <v/>
      </c>
      <c r="R58" s="154" t="str">
        <f>IF($T58="","",VLOOKUP($T58,請求Data!$I$11:$AR$160,請求Data!$AL$10-請求Data!$H$10,0))</f>
        <v/>
      </c>
      <c r="S58" s="155" t="str">
        <f>IF($T58="","",VLOOKUP($T58,請求Data!$I$11:$AR$160,請求Data!$AM$10-請求Data!$H$10,0))</f>
        <v/>
      </c>
      <c r="T58" s="467" t="str">
        <f>IF(ISNA(MATCH($H58,請求Data!$AH$11:$AH$160,0)),"",VLOOKUP($H58,請求Data!$AH$11:$AR$160,請求Data!$AK$10-請求Data!$AG$10,0))</f>
        <v/>
      </c>
      <c r="U58" s="468"/>
      <c r="V58" s="58"/>
    </row>
    <row r="59" spans="1:22" s="32" customFormat="1" ht="15" customHeight="1">
      <c r="A59" s="58" t="str">
        <f>IF($Q59="","",MAX($A$8:$A58)+1)</f>
        <v/>
      </c>
      <c r="B59" s="614" t="str">
        <f t="shared" si="3"/>
        <v/>
      </c>
      <c r="C59" s="614" t="str">
        <f t="shared" si="5"/>
        <v/>
      </c>
      <c r="D59" s="614" t="str">
        <f t="shared" si="6"/>
        <v/>
      </c>
      <c r="E59" s="615" t="str">
        <f t="shared" si="7"/>
        <v/>
      </c>
      <c r="F59" s="616" t="str">
        <f>IF($H59="","",IF(ISNA(MATCH($H59,$H$7:$H58,0)),1,0))</f>
        <v/>
      </c>
      <c r="G59" s="249"/>
      <c r="H59" s="95"/>
      <c r="I59" s="597" t="str">
        <f>IF($J59="","",INDEX(ﾏｽﾀ!$E$8:$E$124,MATCH(INDEX(ﾏｽﾀ!$N$8:$N$124,MATCH($J59,ﾏｽﾀ!$O$8:$O$124,0)),ﾏｽﾀ!$B$8:$B$124,0))&amp;"")</f>
        <v/>
      </c>
      <c r="J59" s="534"/>
      <c r="K59" s="598" t="str">
        <f>IF($J59="","",INDEX(ﾏｽﾀ!$G$8:$G$124,MATCH(INDEX(ﾏｽﾀ!$N$8:$N$124,MATCH($J59,ﾏｽﾀ!$O$8:$O$124,0)),ﾏｽﾀ!$B$8:$B$124,0))&amp;"")</f>
        <v/>
      </c>
      <c r="L59" s="599" t="str">
        <f>IF($M59="","",INDEX(ﾏｽﾀ!$T$8:$T$16,MATCH($M59,ﾏｽﾀ!$U$8:$U$16,0))&amp;"")</f>
        <v/>
      </c>
      <c r="M59" s="534"/>
      <c r="N59" s="463"/>
      <c r="O59" s="464"/>
      <c r="P59" s="465"/>
      <c r="Q59" s="466" t="str">
        <f t="shared" si="4"/>
        <v/>
      </c>
      <c r="R59" s="154" t="str">
        <f>IF($T59="","",VLOOKUP($T59,請求Data!$I$11:$AR$160,請求Data!$AL$10-請求Data!$H$10,0))</f>
        <v/>
      </c>
      <c r="S59" s="155" t="str">
        <f>IF($T59="","",VLOOKUP($T59,請求Data!$I$11:$AR$160,請求Data!$AM$10-請求Data!$H$10,0))</f>
        <v/>
      </c>
      <c r="T59" s="467" t="str">
        <f>IF(ISNA(MATCH($H59,請求Data!$AH$11:$AH$160,0)),"",VLOOKUP($H59,請求Data!$AH$11:$AR$160,請求Data!$AK$10-請求Data!$AG$10,0))</f>
        <v/>
      </c>
      <c r="U59" s="468"/>
      <c r="V59" s="58"/>
    </row>
    <row r="60" spans="1:22" s="32" customFormat="1" ht="15" customHeight="1">
      <c r="A60" s="58" t="str">
        <f>IF($Q60="","",MAX($A$8:$A59)+1)</f>
        <v/>
      </c>
      <c r="B60" s="614" t="str">
        <f t="shared" si="3"/>
        <v/>
      </c>
      <c r="C60" s="614" t="str">
        <f t="shared" si="5"/>
        <v/>
      </c>
      <c r="D60" s="614" t="str">
        <f t="shared" si="6"/>
        <v/>
      </c>
      <c r="E60" s="615" t="str">
        <f t="shared" si="7"/>
        <v/>
      </c>
      <c r="F60" s="616" t="str">
        <f>IF($H60="","",IF(ISNA(MATCH($H60,$H$7:$H59,0)),1,0))</f>
        <v/>
      </c>
      <c r="G60" s="249"/>
      <c r="H60" s="95"/>
      <c r="I60" s="597" t="str">
        <f>IF($J60="","",INDEX(ﾏｽﾀ!$E$8:$E$124,MATCH(INDEX(ﾏｽﾀ!$N$8:$N$124,MATCH($J60,ﾏｽﾀ!$O$8:$O$124,0)),ﾏｽﾀ!$B$8:$B$124,0))&amp;"")</f>
        <v/>
      </c>
      <c r="J60" s="534"/>
      <c r="K60" s="598" t="str">
        <f>IF($J60="","",INDEX(ﾏｽﾀ!$G$8:$G$124,MATCH(INDEX(ﾏｽﾀ!$N$8:$N$124,MATCH($J60,ﾏｽﾀ!$O$8:$O$124,0)),ﾏｽﾀ!$B$8:$B$124,0))&amp;"")</f>
        <v/>
      </c>
      <c r="L60" s="599" t="str">
        <f>IF($M60="","",INDEX(ﾏｽﾀ!$T$8:$T$16,MATCH($M60,ﾏｽﾀ!$U$8:$U$16,0))&amp;"")</f>
        <v/>
      </c>
      <c r="M60" s="534"/>
      <c r="N60" s="463"/>
      <c r="O60" s="464"/>
      <c r="P60" s="465"/>
      <c r="Q60" s="466" t="str">
        <f t="shared" si="4"/>
        <v/>
      </c>
      <c r="R60" s="154" t="str">
        <f>IF($T60="","",VLOOKUP($T60,請求Data!$I$11:$AR$160,請求Data!$AL$10-請求Data!$H$10,0))</f>
        <v/>
      </c>
      <c r="S60" s="155" t="str">
        <f>IF($T60="","",VLOOKUP($T60,請求Data!$I$11:$AR$160,請求Data!$AM$10-請求Data!$H$10,0))</f>
        <v/>
      </c>
      <c r="T60" s="467" t="str">
        <f>IF(ISNA(MATCH($H60,請求Data!$AH$11:$AH$160,0)),"",VLOOKUP($H60,請求Data!$AH$11:$AR$160,請求Data!$AK$10-請求Data!$AG$10,0))</f>
        <v/>
      </c>
      <c r="U60" s="468"/>
      <c r="V60" s="58"/>
    </row>
    <row r="61" spans="1:22" s="32" customFormat="1" ht="15" customHeight="1">
      <c r="A61" s="58" t="str">
        <f>IF($Q61="","",MAX($A$8:$A60)+1)</f>
        <v/>
      </c>
      <c r="B61" s="614" t="str">
        <f t="shared" si="3"/>
        <v/>
      </c>
      <c r="C61" s="614" t="str">
        <f t="shared" si="5"/>
        <v/>
      </c>
      <c r="D61" s="614" t="str">
        <f t="shared" si="6"/>
        <v/>
      </c>
      <c r="E61" s="615" t="str">
        <f t="shared" si="7"/>
        <v/>
      </c>
      <c r="F61" s="616" t="str">
        <f>IF($H61="","",IF(ISNA(MATCH($H61,$H$7:$H60,0)),1,0))</f>
        <v/>
      </c>
      <c r="G61" s="249"/>
      <c r="H61" s="95"/>
      <c r="I61" s="597" t="str">
        <f>IF($J61="","",INDEX(ﾏｽﾀ!$E$8:$E$124,MATCH(INDEX(ﾏｽﾀ!$N$8:$N$124,MATCH($J61,ﾏｽﾀ!$O$8:$O$124,0)),ﾏｽﾀ!$B$8:$B$124,0))&amp;"")</f>
        <v/>
      </c>
      <c r="J61" s="534"/>
      <c r="K61" s="598" t="str">
        <f>IF($J61="","",INDEX(ﾏｽﾀ!$G$8:$G$124,MATCH(INDEX(ﾏｽﾀ!$N$8:$N$124,MATCH($J61,ﾏｽﾀ!$O$8:$O$124,0)),ﾏｽﾀ!$B$8:$B$124,0))&amp;"")</f>
        <v/>
      </c>
      <c r="L61" s="599" t="str">
        <f>IF($M61="","",INDEX(ﾏｽﾀ!$T$8:$T$16,MATCH($M61,ﾏｽﾀ!$U$8:$U$16,0))&amp;"")</f>
        <v/>
      </c>
      <c r="M61" s="534"/>
      <c r="N61" s="463"/>
      <c r="O61" s="464"/>
      <c r="P61" s="465"/>
      <c r="Q61" s="466" t="str">
        <f t="shared" si="4"/>
        <v/>
      </c>
      <c r="R61" s="154" t="str">
        <f>IF($T61="","",VLOOKUP($T61,請求Data!$I$11:$AR$160,請求Data!$AL$10-請求Data!$H$10,0))</f>
        <v/>
      </c>
      <c r="S61" s="155" t="str">
        <f>IF($T61="","",VLOOKUP($T61,請求Data!$I$11:$AR$160,請求Data!$AM$10-請求Data!$H$10,0))</f>
        <v/>
      </c>
      <c r="T61" s="467" t="str">
        <f>IF(ISNA(MATCH($H61,請求Data!$AH$11:$AH$160,0)),"",VLOOKUP($H61,請求Data!$AH$11:$AR$160,請求Data!$AK$10-請求Data!$AG$10,0))</f>
        <v/>
      </c>
      <c r="U61" s="468"/>
      <c r="V61" s="58"/>
    </row>
    <row r="62" spans="1:22" s="32" customFormat="1" ht="15" customHeight="1">
      <c r="A62" s="58" t="str">
        <f>IF($Q62="","",MAX($A$8:$A61)+1)</f>
        <v/>
      </c>
      <c r="B62" s="614" t="str">
        <f t="shared" si="3"/>
        <v/>
      </c>
      <c r="C62" s="614" t="str">
        <f t="shared" si="5"/>
        <v/>
      </c>
      <c r="D62" s="614" t="str">
        <f t="shared" si="6"/>
        <v/>
      </c>
      <c r="E62" s="615" t="str">
        <f t="shared" si="7"/>
        <v/>
      </c>
      <c r="F62" s="616" t="str">
        <f>IF($H62="","",IF(ISNA(MATCH($H62,$H$7:$H61,0)),1,0))</f>
        <v/>
      </c>
      <c r="G62" s="249"/>
      <c r="H62" s="95"/>
      <c r="I62" s="597" t="str">
        <f>IF($J62="","",INDEX(ﾏｽﾀ!$E$8:$E$124,MATCH(INDEX(ﾏｽﾀ!$N$8:$N$124,MATCH($J62,ﾏｽﾀ!$O$8:$O$124,0)),ﾏｽﾀ!$B$8:$B$124,0))&amp;"")</f>
        <v/>
      </c>
      <c r="J62" s="534"/>
      <c r="K62" s="598" t="str">
        <f>IF($J62="","",INDEX(ﾏｽﾀ!$G$8:$G$124,MATCH(INDEX(ﾏｽﾀ!$N$8:$N$124,MATCH($J62,ﾏｽﾀ!$O$8:$O$124,0)),ﾏｽﾀ!$B$8:$B$124,0))&amp;"")</f>
        <v/>
      </c>
      <c r="L62" s="599" t="str">
        <f>IF($M62="","",INDEX(ﾏｽﾀ!$T$8:$T$16,MATCH($M62,ﾏｽﾀ!$U$8:$U$16,0))&amp;"")</f>
        <v/>
      </c>
      <c r="M62" s="534"/>
      <c r="N62" s="463"/>
      <c r="O62" s="464"/>
      <c r="P62" s="465"/>
      <c r="Q62" s="466" t="str">
        <f t="shared" si="4"/>
        <v/>
      </c>
      <c r="R62" s="154" t="str">
        <f>IF($T62="","",VLOOKUP($T62,請求Data!$I$11:$AR$160,請求Data!$AL$10-請求Data!$H$10,0))</f>
        <v/>
      </c>
      <c r="S62" s="155" t="str">
        <f>IF($T62="","",VLOOKUP($T62,請求Data!$I$11:$AR$160,請求Data!$AM$10-請求Data!$H$10,0))</f>
        <v/>
      </c>
      <c r="T62" s="467" t="str">
        <f>IF(ISNA(MATCH($H62,請求Data!$AH$11:$AH$160,0)),"",VLOOKUP($H62,請求Data!$AH$11:$AR$160,請求Data!$AK$10-請求Data!$AG$10,0))</f>
        <v/>
      </c>
      <c r="U62" s="468"/>
      <c r="V62" s="58"/>
    </row>
    <row r="63" spans="1:22" s="32" customFormat="1" ht="15" customHeight="1">
      <c r="A63" s="58" t="str">
        <f>IF($Q63="","",MAX($A$8:$A62)+1)</f>
        <v/>
      </c>
      <c r="B63" s="614" t="str">
        <f t="shared" si="3"/>
        <v/>
      </c>
      <c r="C63" s="614" t="str">
        <f t="shared" si="5"/>
        <v/>
      </c>
      <c r="D63" s="614" t="str">
        <f t="shared" si="6"/>
        <v/>
      </c>
      <c r="E63" s="615" t="str">
        <f t="shared" si="7"/>
        <v/>
      </c>
      <c r="F63" s="616" t="str">
        <f>IF($H63="","",IF(ISNA(MATCH($H63,$H$7:$H62,0)),1,0))</f>
        <v/>
      </c>
      <c r="G63" s="249"/>
      <c r="H63" s="95"/>
      <c r="I63" s="597" t="str">
        <f>IF($J63="","",INDEX(ﾏｽﾀ!$E$8:$E$124,MATCH(INDEX(ﾏｽﾀ!$N$8:$N$124,MATCH($J63,ﾏｽﾀ!$O$8:$O$124,0)),ﾏｽﾀ!$B$8:$B$124,0))&amp;"")</f>
        <v/>
      </c>
      <c r="J63" s="534"/>
      <c r="K63" s="598" t="str">
        <f>IF($J63="","",INDEX(ﾏｽﾀ!$G$8:$G$124,MATCH(INDEX(ﾏｽﾀ!$N$8:$N$124,MATCH($J63,ﾏｽﾀ!$O$8:$O$124,0)),ﾏｽﾀ!$B$8:$B$124,0))&amp;"")</f>
        <v/>
      </c>
      <c r="L63" s="599" t="str">
        <f>IF($M63="","",INDEX(ﾏｽﾀ!$T$8:$T$16,MATCH($M63,ﾏｽﾀ!$U$8:$U$16,0))&amp;"")</f>
        <v/>
      </c>
      <c r="M63" s="534"/>
      <c r="N63" s="463"/>
      <c r="O63" s="464"/>
      <c r="P63" s="465"/>
      <c r="Q63" s="466" t="str">
        <f t="shared" si="4"/>
        <v/>
      </c>
      <c r="R63" s="154" t="str">
        <f>IF($T63="","",VLOOKUP($T63,請求Data!$I$11:$AR$160,請求Data!$AL$10-請求Data!$H$10,0))</f>
        <v/>
      </c>
      <c r="S63" s="155" t="str">
        <f>IF($T63="","",VLOOKUP($T63,請求Data!$I$11:$AR$160,請求Data!$AM$10-請求Data!$H$10,0))</f>
        <v/>
      </c>
      <c r="T63" s="467" t="str">
        <f>IF(ISNA(MATCH($H63,請求Data!$AH$11:$AH$160,0)),"",VLOOKUP($H63,請求Data!$AH$11:$AR$160,請求Data!$AK$10-請求Data!$AG$10,0))</f>
        <v/>
      </c>
      <c r="U63" s="468"/>
      <c r="V63" s="58"/>
    </row>
    <row r="64" spans="1:22" s="32" customFormat="1" ht="15" customHeight="1">
      <c r="A64" s="58" t="str">
        <f>IF($Q64="","",MAX($A$8:$A63)+1)</f>
        <v/>
      </c>
      <c r="B64" s="614" t="str">
        <f t="shared" si="3"/>
        <v/>
      </c>
      <c r="C64" s="614" t="str">
        <f t="shared" si="5"/>
        <v/>
      </c>
      <c r="D64" s="614" t="str">
        <f t="shared" si="6"/>
        <v/>
      </c>
      <c r="E64" s="615" t="str">
        <f t="shared" si="7"/>
        <v/>
      </c>
      <c r="F64" s="616" t="str">
        <f>IF($H64="","",IF(ISNA(MATCH($H64,$H$7:$H63,0)),1,0))</f>
        <v/>
      </c>
      <c r="G64" s="249"/>
      <c r="H64" s="95"/>
      <c r="I64" s="597" t="str">
        <f>IF($J64="","",INDEX(ﾏｽﾀ!$E$8:$E$124,MATCH(INDEX(ﾏｽﾀ!$N$8:$N$124,MATCH($J64,ﾏｽﾀ!$O$8:$O$124,0)),ﾏｽﾀ!$B$8:$B$124,0))&amp;"")</f>
        <v/>
      </c>
      <c r="J64" s="534"/>
      <c r="K64" s="598" t="str">
        <f>IF($J64="","",INDEX(ﾏｽﾀ!$G$8:$G$124,MATCH(INDEX(ﾏｽﾀ!$N$8:$N$124,MATCH($J64,ﾏｽﾀ!$O$8:$O$124,0)),ﾏｽﾀ!$B$8:$B$124,0))&amp;"")</f>
        <v/>
      </c>
      <c r="L64" s="599" t="str">
        <f>IF($M64="","",INDEX(ﾏｽﾀ!$T$8:$T$16,MATCH($M64,ﾏｽﾀ!$U$8:$U$16,0))&amp;"")</f>
        <v/>
      </c>
      <c r="M64" s="534"/>
      <c r="N64" s="463"/>
      <c r="O64" s="464"/>
      <c r="P64" s="465"/>
      <c r="Q64" s="466" t="str">
        <f t="shared" si="4"/>
        <v/>
      </c>
      <c r="R64" s="154" t="str">
        <f>IF($T64="","",VLOOKUP($T64,請求Data!$I$11:$AR$160,請求Data!$AL$10-請求Data!$H$10,0))</f>
        <v/>
      </c>
      <c r="S64" s="155" t="str">
        <f>IF($T64="","",VLOOKUP($T64,請求Data!$I$11:$AR$160,請求Data!$AM$10-請求Data!$H$10,0))</f>
        <v/>
      </c>
      <c r="T64" s="467" t="str">
        <f>IF(ISNA(MATCH($H64,請求Data!$AH$11:$AH$160,0)),"",VLOOKUP($H64,請求Data!$AH$11:$AR$160,請求Data!$AK$10-請求Data!$AG$10,0))</f>
        <v/>
      </c>
      <c r="U64" s="468"/>
      <c r="V64" s="62"/>
    </row>
    <row r="65" spans="1:22" s="32" customFormat="1" ht="15" customHeight="1">
      <c r="A65" s="58" t="str">
        <f>IF($Q65="","",MAX($A$8:$A64)+1)</f>
        <v/>
      </c>
      <c r="B65" s="614" t="str">
        <f t="shared" si="3"/>
        <v/>
      </c>
      <c r="C65" s="614" t="str">
        <f t="shared" si="5"/>
        <v/>
      </c>
      <c r="D65" s="614" t="str">
        <f t="shared" si="6"/>
        <v/>
      </c>
      <c r="E65" s="615" t="str">
        <f t="shared" si="7"/>
        <v/>
      </c>
      <c r="F65" s="616" t="str">
        <f>IF($H65="","",IF(ISNA(MATCH($H65,$H$7:$H64,0)),1,0))</f>
        <v/>
      </c>
      <c r="G65" s="249"/>
      <c r="H65" s="95"/>
      <c r="I65" s="597" t="str">
        <f>IF($J65="","",INDEX(ﾏｽﾀ!$E$8:$E$124,MATCH(INDEX(ﾏｽﾀ!$N$8:$N$124,MATCH($J65,ﾏｽﾀ!$O$8:$O$124,0)),ﾏｽﾀ!$B$8:$B$124,0))&amp;"")</f>
        <v/>
      </c>
      <c r="J65" s="534"/>
      <c r="K65" s="598" t="str">
        <f>IF($J65="","",INDEX(ﾏｽﾀ!$G$8:$G$124,MATCH(INDEX(ﾏｽﾀ!$N$8:$N$124,MATCH($J65,ﾏｽﾀ!$O$8:$O$124,0)),ﾏｽﾀ!$B$8:$B$124,0))&amp;"")</f>
        <v/>
      </c>
      <c r="L65" s="599" t="str">
        <f>IF($M65="","",INDEX(ﾏｽﾀ!$T$8:$T$16,MATCH($M65,ﾏｽﾀ!$U$8:$U$16,0))&amp;"")</f>
        <v/>
      </c>
      <c r="M65" s="534"/>
      <c r="N65" s="463"/>
      <c r="O65" s="464"/>
      <c r="P65" s="465"/>
      <c r="Q65" s="466" t="str">
        <f t="shared" si="4"/>
        <v/>
      </c>
      <c r="R65" s="154" t="str">
        <f>IF($T65="","",VLOOKUP($T65,請求Data!$I$11:$AR$160,請求Data!$AL$10-請求Data!$H$10,0))</f>
        <v/>
      </c>
      <c r="S65" s="155" t="str">
        <f>IF($T65="","",VLOOKUP($T65,請求Data!$I$11:$AR$160,請求Data!$AM$10-請求Data!$H$10,0))</f>
        <v/>
      </c>
      <c r="T65" s="467" t="str">
        <f>IF(ISNA(MATCH($H65,請求Data!$AH$11:$AH$160,0)),"",VLOOKUP($H65,請求Data!$AH$11:$AR$160,請求Data!$AK$10-請求Data!$AG$10,0))</f>
        <v/>
      </c>
      <c r="U65" s="468"/>
      <c r="V65" s="58"/>
    </row>
    <row r="66" spans="1:22" s="32" customFormat="1" ht="15" customHeight="1">
      <c r="A66" s="58" t="str">
        <f>IF($Q66="","",MAX($A$8:$A65)+1)</f>
        <v/>
      </c>
      <c r="B66" s="614" t="str">
        <f t="shared" si="3"/>
        <v/>
      </c>
      <c r="C66" s="614" t="str">
        <f t="shared" si="5"/>
        <v/>
      </c>
      <c r="D66" s="614" t="str">
        <f t="shared" si="6"/>
        <v/>
      </c>
      <c r="E66" s="615" t="str">
        <f t="shared" si="7"/>
        <v/>
      </c>
      <c r="F66" s="616" t="str">
        <f>IF($H66="","",IF(ISNA(MATCH($H66,$H$7:$H65,0)),1,0))</f>
        <v/>
      </c>
      <c r="G66" s="249"/>
      <c r="H66" s="95"/>
      <c r="I66" s="597" t="str">
        <f>IF($J66="","",INDEX(ﾏｽﾀ!$E$8:$E$124,MATCH(INDEX(ﾏｽﾀ!$N$8:$N$124,MATCH($J66,ﾏｽﾀ!$O$8:$O$124,0)),ﾏｽﾀ!$B$8:$B$124,0))&amp;"")</f>
        <v/>
      </c>
      <c r="J66" s="534"/>
      <c r="K66" s="598" t="str">
        <f>IF($J66="","",INDEX(ﾏｽﾀ!$G$8:$G$124,MATCH(INDEX(ﾏｽﾀ!$N$8:$N$124,MATCH($J66,ﾏｽﾀ!$O$8:$O$124,0)),ﾏｽﾀ!$B$8:$B$124,0))&amp;"")</f>
        <v/>
      </c>
      <c r="L66" s="599" t="str">
        <f>IF($M66="","",INDEX(ﾏｽﾀ!$T$8:$T$16,MATCH($M66,ﾏｽﾀ!$U$8:$U$16,0))&amp;"")</f>
        <v/>
      </c>
      <c r="M66" s="534"/>
      <c r="N66" s="463"/>
      <c r="O66" s="464"/>
      <c r="P66" s="465"/>
      <c r="Q66" s="466" t="str">
        <f t="shared" si="4"/>
        <v/>
      </c>
      <c r="R66" s="154" t="str">
        <f>IF($T66="","",VLOOKUP($T66,請求Data!$I$11:$AR$160,請求Data!$AL$10-請求Data!$H$10,0))</f>
        <v/>
      </c>
      <c r="S66" s="155" t="str">
        <f>IF($T66="","",VLOOKUP($T66,請求Data!$I$11:$AR$160,請求Data!$AM$10-請求Data!$H$10,0))</f>
        <v/>
      </c>
      <c r="T66" s="467" t="str">
        <f>IF(ISNA(MATCH($H66,請求Data!$AH$11:$AH$160,0)),"",VLOOKUP($H66,請求Data!$AH$11:$AR$160,請求Data!$AK$10-請求Data!$AG$10,0))</f>
        <v/>
      </c>
      <c r="U66" s="468"/>
      <c r="V66" s="58"/>
    </row>
    <row r="67" spans="1:22" s="32" customFormat="1" ht="15" customHeight="1">
      <c r="A67" s="58" t="str">
        <f>IF($Q67="","",MAX($A$8:$A66)+1)</f>
        <v/>
      </c>
      <c r="B67" s="614" t="str">
        <f t="shared" si="3"/>
        <v/>
      </c>
      <c r="C67" s="614" t="str">
        <f t="shared" si="5"/>
        <v/>
      </c>
      <c r="D67" s="614" t="str">
        <f t="shared" si="6"/>
        <v/>
      </c>
      <c r="E67" s="615" t="str">
        <f t="shared" si="7"/>
        <v/>
      </c>
      <c r="F67" s="616" t="str">
        <f>IF($H67="","",IF(ISNA(MATCH($H67,$H$7:$H66,0)),1,0))</f>
        <v/>
      </c>
      <c r="G67" s="249"/>
      <c r="H67" s="95"/>
      <c r="I67" s="597" t="str">
        <f>IF($J67="","",INDEX(ﾏｽﾀ!$E$8:$E$124,MATCH(INDEX(ﾏｽﾀ!$N$8:$N$124,MATCH($J67,ﾏｽﾀ!$O$8:$O$124,0)),ﾏｽﾀ!$B$8:$B$124,0))&amp;"")</f>
        <v/>
      </c>
      <c r="J67" s="534"/>
      <c r="K67" s="598" t="str">
        <f>IF($J67="","",INDEX(ﾏｽﾀ!$G$8:$G$124,MATCH(INDEX(ﾏｽﾀ!$N$8:$N$124,MATCH($J67,ﾏｽﾀ!$O$8:$O$124,0)),ﾏｽﾀ!$B$8:$B$124,0))&amp;"")</f>
        <v/>
      </c>
      <c r="L67" s="599" t="str">
        <f>IF($M67="","",INDEX(ﾏｽﾀ!$T$8:$T$16,MATCH($M67,ﾏｽﾀ!$U$8:$U$16,0))&amp;"")</f>
        <v/>
      </c>
      <c r="M67" s="534"/>
      <c r="N67" s="463"/>
      <c r="O67" s="464"/>
      <c r="P67" s="465"/>
      <c r="Q67" s="466" t="str">
        <f t="shared" si="4"/>
        <v/>
      </c>
      <c r="R67" s="154" t="str">
        <f>IF($T67="","",VLOOKUP($T67,請求Data!$I$11:$AR$160,請求Data!$AL$10-請求Data!$H$10,0))</f>
        <v/>
      </c>
      <c r="S67" s="155" t="str">
        <f>IF($T67="","",VLOOKUP($T67,請求Data!$I$11:$AR$160,請求Data!$AM$10-請求Data!$H$10,0))</f>
        <v/>
      </c>
      <c r="T67" s="467" t="str">
        <f>IF(ISNA(MATCH($H67,請求Data!$AH$11:$AH$160,0)),"",VLOOKUP($H67,請求Data!$AH$11:$AR$160,請求Data!$AK$10-請求Data!$AG$10,0))</f>
        <v/>
      </c>
      <c r="U67" s="468"/>
      <c r="V67" s="58"/>
    </row>
    <row r="68" spans="1:22" s="32" customFormat="1" ht="15" customHeight="1">
      <c r="A68" s="58" t="str">
        <f>IF($Q68="","",MAX($A$8:$A67)+1)</f>
        <v/>
      </c>
      <c r="B68" s="614" t="str">
        <f t="shared" si="3"/>
        <v/>
      </c>
      <c r="C68" s="614" t="str">
        <f t="shared" si="5"/>
        <v/>
      </c>
      <c r="D68" s="614" t="str">
        <f t="shared" si="6"/>
        <v/>
      </c>
      <c r="E68" s="615" t="str">
        <f t="shared" si="7"/>
        <v/>
      </c>
      <c r="F68" s="616" t="str">
        <f>IF($H68="","",IF(ISNA(MATCH($H68,$H$7:$H67,0)),1,0))</f>
        <v/>
      </c>
      <c r="G68" s="249"/>
      <c r="H68" s="95"/>
      <c r="I68" s="597" t="str">
        <f>IF($J68="","",INDEX(ﾏｽﾀ!$E$8:$E$124,MATCH(INDEX(ﾏｽﾀ!$N$8:$N$124,MATCH($J68,ﾏｽﾀ!$O$8:$O$124,0)),ﾏｽﾀ!$B$8:$B$124,0))&amp;"")</f>
        <v/>
      </c>
      <c r="J68" s="534"/>
      <c r="K68" s="598" t="str">
        <f>IF($J68="","",INDEX(ﾏｽﾀ!$G$8:$G$124,MATCH(INDEX(ﾏｽﾀ!$N$8:$N$124,MATCH($J68,ﾏｽﾀ!$O$8:$O$124,0)),ﾏｽﾀ!$B$8:$B$124,0))&amp;"")</f>
        <v/>
      </c>
      <c r="L68" s="599" t="str">
        <f>IF($M68="","",INDEX(ﾏｽﾀ!$T$8:$T$16,MATCH($M68,ﾏｽﾀ!$U$8:$U$16,0))&amp;"")</f>
        <v/>
      </c>
      <c r="M68" s="534"/>
      <c r="N68" s="463"/>
      <c r="O68" s="464"/>
      <c r="P68" s="465"/>
      <c r="Q68" s="466" t="str">
        <f t="shared" si="4"/>
        <v/>
      </c>
      <c r="R68" s="154" t="str">
        <f>IF($T68="","",VLOOKUP($T68,請求Data!$I$11:$AR$160,請求Data!$AL$10-請求Data!$H$10,0))</f>
        <v/>
      </c>
      <c r="S68" s="155" t="str">
        <f>IF($T68="","",VLOOKUP($T68,請求Data!$I$11:$AR$160,請求Data!$AM$10-請求Data!$H$10,0))</f>
        <v/>
      </c>
      <c r="T68" s="467" t="str">
        <f>IF(ISNA(MATCH($H68,請求Data!$AH$11:$AH$160,0)),"",VLOOKUP($H68,請求Data!$AH$11:$AR$160,請求Data!$AK$10-請求Data!$AG$10,0))</f>
        <v/>
      </c>
      <c r="U68" s="468"/>
      <c r="V68" s="58"/>
    </row>
    <row r="69" spans="1:22" s="32" customFormat="1" ht="15" customHeight="1">
      <c r="A69" s="58" t="str">
        <f>IF($Q69="","",MAX($A$8:$A68)+1)</f>
        <v/>
      </c>
      <c r="B69" s="614" t="str">
        <f t="shared" si="3"/>
        <v/>
      </c>
      <c r="C69" s="614" t="str">
        <f t="shared" si="5"/>
        <v/>
      </c>
      <c r="D69" s="614" t="str">
        <f t="shared" si="6"/>
        <v/>
      </c>
      <c r="E69" s="615" t="str">
        <f t="shared" si="7"/>
        <v/>
      </c>
      <c r="F69" s="616" t="str">
        <f>IF($H69="","",IF(ISNA(MATCH($H69,$H$7:$H68,0)),1,0))</f>
        <v/>
      </c>
      <c r="G69" s="249"/>
      <c r="H69" s="95"/>
      <c r="I69" s="597" t="str">
        <f>IF($J69="","",INDEX(ﾏｽﾀ!$E$8:$E$124,MATCH(INDEX(ﾏｽﾀ!$N$8:$N$124,MATCH($J69,ﾏｽﾀ!$O$8:$O$124,0)),ﾏｽﾀ!$B$8:$B$124,0))&amp;"")</f>
        <v/>
      </c>
      <c r="J69" s="534"/>
      <c r="K69" s="598" t="str">
        <f>IF($J69="","",INDEX(ﾏｽﾀ!$G$8:$G$124,MATCH(INDEX(ﾏｽﾀ!$N$8:$N$124,MATCH($J69,ﾏｽﾀ!$O$8:$O$124,0)),ﾏｽﾀ!$B$8:$B$124,0))&amp;"")</f>
        <v/>
      </c>
      <c r="L69" s="599" t="str">
        <f>IF($M69="","",INDEX(ﾏｽﾀ!$T$8:$T$16,MATCH($M69,ﾏｽﾀ!$U$8:$U$16,0))&amp;"")</f>
        <v/>
      </c>
      <c r="M69" s="534"/>
      <c r="N69" s="463"/>
      <c r="O69" s="464"/>
      <c r="P69" s="465"/>
      <c r="Q69" s="466" t="str">
        <f t="shared" si="4"/>
        <v/>
      </c>
      <c r="R69" s="154" t="str">
        <f>IF($T69="","",VLOOKUP($T69,請求Data!$I$11:$AR$160,請求Data!$AL$10-請求Data!$H$10,0))</f>
        <v/>
      </c>
      <c r="S69" s="155" t="str">
        <f>IF($T69="","",VLOOKUP($T69,請求Data!$I$11:$AR$160,請求Data!$AM$10-請求Data!$H$10,0))</f>
        <v/>
      </c>
      <c r="T69" s="467" t="str">
        <f>IF(ISNA(MATCH($H69,請求Data!$AH$11:$AH$160,0)),"",VLOOKUP($H69,請求Data!$AH$11:$AR$160,請求Data!$AK$10-請求Data!$AG$10,0))</f>
        <v/>
      </c>
      <c r="U69" s="468"/>
      <c r="V69" s="58"/>
    </row>
    <row r="70" spans="1:22" s="32" customFormat="1" ht="15" customHeight="1">
      <c r="A70" s="58" t="str">
        <f>IF($Q70="","",MAX($A$8:$A69)+1)</f>
        <v/>
      </c>
      <c r="B70" s="614" t="str">
        <f t="shared" si="3"/>
        <v/>
      </c>
      <c r="C70" s="614" t="str">
        <f t="shared" si="5"/>
        <v/>
      </c>
      <c r="D70" s="614" t="str">
        <f t="shared" si="6"/>
        <v/>
      </c>
      <c r="E70" s="615" t="str">
        <f t="shared" si="7"/>
        <v/>
      </c>
      <c r="F70" s="616" t="str">
        <f>IF($H70="","",IF(ISNA(MATCH($H70,$H$7:$H69,0)),1,0))</f>
        <v/>
      </c>
      <c r="G70" s="249"/>
      <c r="H70" s="95"/>
      <c r="I70" s="597" t="str">
        <f>IF($J70="","",INDEX(ﾏｽﾀ!$E$8:$E$124,MATCH(INDEX(ﾏｽﾀ!$N$8:$N$124,MATCH($J70,ﾏｽﾀ!$O$8:$O$124,0)),ﾏｽﾀ!$B$8:$B$124,0))&amp;"")</f>
        <v/>
      </c>
      <c r="J70" s="534"/>
      <c r="K70" s="598" t="str">
        <f>IF($J70="","",INDEX(ﾏｽﾀ!$G$8:$G$124,MATCH(INDEX(ﾏｽﾀ!$N$8:$N$124,MATCH($J70,ﾏｽﾀ!$O$8:$O$124,0)),ﾏｽﾀ!$B$8:$B$124,0))&amp;"")</f>
        <v/>
      </c>
      <c r="L70" s="599" t="str">
        <f>IF($M70="","",INDEX(ﾏｽﾀ!$T$8:$T$16,MATCH($M70,ﾏｽﾀ!$U$8:$U$16,0))&amp;"")</f>
        <v/>
      </c>
      <c r="M70" s="534"/>
      <c r="N70" s="463"/>
      <c r="O70" s="464"/>
      <c r="P70" s="465"/>
      <c r="Q70" s="466" t="str">
        <f t="shared" si="4"/>
        <v/>
      </c>
      <c r="R70" s="154" t="str">
        <f>IF($T70="","",VLOOKUP($T70,請求Data!$I$11:$AR$160,請求Data!$AL$10-請求Data!$H$10,0))</f>
        <v/>
      </c>
      <c r="S70" s="155" t="str">
        <f>IF($T70="","",VLOOKUP($T70,請求Data!$I$11:$AR$160,請求Data!$AM$10-請求Data!$H$10,0))</f>
        <v/>
      </c>
      <c r="T70" s="467" t="str">
        <f>IF(ISNA(MATCH($H70,請求Data!$AH$11:$AH$160,0)),"",VLOOKUP($H70,請求Data!$AH$11:$AR$160,請求Data!$AK$10-請求Data!$AG$10,0))</f>
        <v/>
      </c>
      <c r="U70" s="468"/>
      <c r="V70" s="58"/>
    </row>
    <row r="71" spans="1:22" s="32" customFormat="1" ht="15" customHeight="1">
      <c r="A71" s="58" t="str">
        <f>IF($Q71="","",MAX($A$8:$A70)+1)</f>
        <v/>
      </c>
      <c r="B71" s="614" t="str">
        <f t="shared" si="3"/>
        <v/>
      </c>
      <c r="C71" s="614" t="str">
        <f t="shared" si="5"/>
        <v/>
      </c>
      <c r="D71" s="614" t="str">
        <f t="shared" si="6"/>
        <v/>
      </c>
      <c r="E71" s="615" t="str">
        <f t="shared" si="7"/>
        <v/>
      </c>
      <c r="F71" s="616" t="str">
        <f>IF($H71="","",IF(ISNA(MATCH($H71,$H$7:$H70,0)),1,0))</f>
        <v/>
      </c>
      <c r="G71" s="249"/>
      <c r="H71" s="95"/>
      <c r="I71" s="597" t="str">
        <f>IF($J71="","",INDEX(ﾏｽﾀ!$E$8:$E$124,MATCH(INDEX(ﾏｽﾀ!$N$8:$N$124,MATCH($J71,ﾏｽﾀ!$O$8:$O$124,0)),ﾏｽﾀ!$B$8:$B$124,0))&amp;"")</f>
        <v/>
      </c>
      <c r="J71" s="534"/>
      <c r="K71" s="598" t="str">
        <f>IF($J71="","",INDEX(ﾏｽﾀ!$G$8:$G$124,MATCH(INDEX(ﾏｽﾀ!$N$8:$N$124,MATCH($J71,ﾏｽﾀ!$O$8:$O$124,0)),ﾏｽﾀ!$B$8:$B$124,0))&amp;"")</f>
        <v/>
      </c>
      <c r="L71" s="599" t="str">
        <f>IF($M71="","",INDEX(ﾏｽﾀ!$T$8:$T$16,MATCH($M71,ﾏｽﾀ!$U$8:$U$16,0))&amp;"")</f>
        <v/>
      </c>
      <c r="M71" s="534"/>
      <c r="N71" s="463"/>
      <c r="O71" s="464"/>
      <c r="P71" s="465"/>
      <c r="Q71" s="466" t="str">
        <f t="shared" si="4"/>
        <v/>
      </c>
      <c r="R71" s="154" t="str">
        <f>IF($T71="","",VLOOKUP($T71,請求Data!$I$11:$AR$160,請求Data!$AL$10-請求Data!$H$10,0))</f>
        <v/>
      </c>
      <c r="S71" s="155" t="str">
        <f>IF($T71="","",VLOOKUP($T71,請求Data!$I$11:$AR$160,請求Data!$AM$10-請求Data!$H$10,0))</f>
        <v/>
      </c>
      <c r="T71" s="467" t="str">
        <f>IF(ISNA(MATCH($H71,請求Data!$AH$11:$AH$160,0)),"",VLOOKUP($H71,請求Data!$AH$11:$AR$160,請求Data!$AK$10-請求Data!$AG$10,0))</f>
        <v/>
      </c>
      <c r="U71" s="468"/>
      <c r="V71" s="58"/>
    </row>
    <row r="72" spans="1:22" s="32" customFormat="1" ht="15" customHeight="1">
      <c r="A72" s="58" t="str">
        <f>IF($Q72="","",MAX($A$8:$A71)+1)</f>
        <v/>
      </c>
      <c r="B72" s="614" t="str">
        <f t="shared" si="3"/>
        <v/>
      </c>
      <c r="C72" s="614" t="str">
        <f t="shared" si="5"/>
        <v/>
      </c>
      <c r="D72" s="614" t="str">
        <f t="shared" si="6"/>
        <v/>
      </c>
      <c r="E72" s="615" t="str">
        <f t="shared" si="7"/>
        <v/>
      </c>
      <c r="F72" s="616" t="str">
        <f>IF($H72="","",IF(ISNA(MATCH($H72,$H$7:$H71,0)),1,0))</f>
        <v/>
      </c>
      <c r="G72" s="249"/>
      <c r="H72" s="95"/>
      <c r="I72" s="597" t="str">
        <f>IF($J72="","",INDEX(ﾏｽﾀ!$E$8:$E$124,MATCH(INDEX(ﾏｽﾀ!$N$8:$N$124,MATCH($J72,ﾏｽﾀ!$O$8:$O$124,0)),ﾏｽﾀ!$B$8:$B$124,0))&amp;"")</f>
        <v/>
      </c>
      <c r="J72" s="534"/>
      <c r="K72" s="598" t="str">
        <f>IF($J72="","",INDEX(ﾏｽﾀ!$G$8:$G$124,MATCH(INDEX(ﾏｽﾀ!$N$8:$N$124,MATCH($J72,ﾏｽﾀ!$O$8:$O$124,0)),ﾏｽﾀ!$B$8:$B$124,0))&amp;"")</f>
        <v/>
      </c>
      <c r="L72" s="599" t="str">
        <f>IF($M72="","",INDEX(ﾏｽﾀ!$T$8:$T$16,MATCH($M72,ﾏｽﾀ!$U$8:$U$16,0))&amp;"")</f>
        <v/>
      </c>
      <c r="M72" s="534"/>
      <c r="N72" s="463"/>
      <c r="O72" s="464"/>
      <c r="P72" s="465"/>
      <c r="Q72" s="466" t="str">
        <f t="shared" si="4"/>
        <v/>
      </c>
      <c r="R72" s="154" t="str">
        <f>IF($T72="","",VLOOKUP($T72,請求Data!$I$11:$AR$160,請求Data!$AL$10-請求Data!$H$10,0))</f>
        <v/>
      </c>
      <c r="S72" s="155" t="str">
        <f>IF($T72="","",VLOOKUP($T72,請求Data!$I$11:$AR$160,請求Data!$AM$10-請求Data!$H$10,0))</f>
        <v/>
      </c>
      <c r="T72" s="467" t="str">
        <f>IF(ISNA(MATCH($H72,請求Data!$AH$11:$AH$160,0)),"",VLOOKUP($H72,請求Data!$AH$11:$AR$160,請求Data!$AK$10-請求Data!$AG$10,0))</f>
        <v/>
      </c>
      <c r="U72" s="468"/>
      <c r="V72" s="58"/>
    </row>
    <row r="73" spans="1:22" s="32" customFormat="1" ht="15" customHeight="1">
      <c r="A73" s="58" t="str">
        <f>IF($Q73="","",MAX($A$8:$A72)+1)</f>
        <v/>
      </c>
      <c r="B73" s="614" t="str">
        <f t="shared" si="3"/>
        <v/>
      </c>
      <c r="C73" s="614" t="str">
        <f t="shared" ref="C73:C104" si="8">IF($H73="","",CONCATENATE(VLOOKUP($N73,$N$2:$O$5,2,FALSE),$I73,IF($K73="","00",$K73),$E73,$L73))</f>
        <v/>
      </c>
      <c r="D73" s="614" t="str">
        <f t="shared" ref="D73:D104" si="9">IF($H73="","",CONCATENATE(VLOOKUP($N73,$N$2:$O$5,2,FALSE),$I73,IF($K73="","00",$K73),$E73,$F73,$L73))</f>
        <v/>
      </c>
      <c r="E73" s="615" t="str">
        <f t="shared" ref="E73:E104" si="10">IF($H73="","",IF($T73="",1,9))</f>
        <v/>
      </c>
      <c r="F73" s="616" t="str">
        <f>IF($H73="","",IF(ISNA(MATCH($H73,$H$7:$H72,0)),1,0))</f>
        <v/>
      </c>
      <c r="G73" s="249"/>
      <c r="H73" s="95"/>
      <c r="I73" s="597" t="str">
        <f>IF($J73="","",INDEX(ﾏｽﾀ!$E$8:$E$124,MATCH(INDEX(ﾏｽﾀ!$N$8:$N$124,MATCH($J73,ﾏｽﾀ!$O$8:$O$124,0)),ﾏｽﾀ!$B$8:$B$124,0))&amp;"")</f>
        <v/>
      </c>
      <c r="J73" s="534"/>
      <c r="K73" s="598" t="str">
        <f>IF($J73="","",INDEX(ﾏｽﾀ!$G$8:$G$124,MATCH(INDEX(ﾏｽﾀ!$N$8:$N$124,MATCH($J73,ﾏｽﾀ!$O$8:$O$124,0)),ﾏｽﾀ!$B$8:$B$124,0))&amp;"")</f>
        <v/>
      </c>
      <c r="L73" s="599" t="str">
        <f>IF($M73="","",INDEX(ﾏｽﾀ!$T$8:$T$16,MATCH($M73,ﾏｽﾀ!$U$8:$U$16,0))&amp;"")</f>
        <v/>
      </c>
      <c r="M73" s="534"/>
      <c r="N73" s="463"/>
      <c r="O73" s="464"/>
      <c r="P73" s="465"/>
      <c r="Q73" s="466" t="str">
        <f t="shared" si="4"/>
        <v/>
      </c>
      <c r="R73" s="154" t="str">
        <f>IF($T73="","",VLOOKUP($T73,請求Data!$I$11:$AR$160,請求Data!$AL$10-請求Data!$H$10,0))</f>
        <v/>
      </c>
      <c r="S73" s="155" t="str">
        <f>IF($T73="","",VLOOKUP($T73,請求Data!$I$11:$AR$160,請求Data!$AM$10-請求Data!$H$10,0))</f>
        <v/>
      </c>
      <c r="T73" s="467" t="str">
        <f>IF(ISNA(MATCH($H73,請求Data!$AH$11:$AH$160,0)),"",VLOOKUP($H73,請求Data!$AH$11:$AR$160,請求Data!$AK$10-請求Data!$AG$10,0))</f>
        <v/>
      </c>
      <c r="U73" s="468"/>
      <c r="V73" s="58"/>
    </row>
    <row r="74" spans="1:22" s="32" customFormat="1" ht="15" customHeight="1">
      <c r="A74" s="58" t="str">
        <f>IF($Q74="","",MAX($A$8:$A73)+1)</f>
        <v/>
      </c>
      <c r="B74" s="614" t="str">
        <f t="shared" ref="B74:B137" si="11">LEFT($D74,8)</f>
        <v/>
      </c>
      <c r="C74" s="614" t="str">
        <f t="shared" si="8"/>
        <v/>
      </c>
      <c r="D74" s="614" t="str">
        <f t="shared" si="9"/>
        <v/>
      </c>
      <c r="E74" s="615" t="str">
        <f t="shared" si="10"/>
        <v/>
      </c>
      <c r="F74" s="616" t="str">
        <f>IF($H74="","",IF(ISNA(MATCH($H74,$H$7:$H73,0)),1,0))</f>
        <v/>
      </c>
      <c r="G74" s="249"/>
      <c r="H74" s="95"/>
      <c r="I74" s="597" t="str">
        <f>IF($J74="","",INDEX(ﾏｽﾀ!$E$8:$E$124,MATCH(INDEX(ﾏｽﾀ!$N$8:$N$124,MATCH($J74,ﾏｽﾀ!$O$8:$O$124,0)),ﾏｽﾀ!$B$8:$B$124,0))&amp;"")</f>
        <v/>
      </c>
      <c r="J74" s="534"/>
      <c r="K74" s="598" t="str">
        <f>IF($J74="","",INDEX(ﾏｽﾀ!$G$8:$G$124,MATCH(INDEX(ﾏｽﾀ!$N$8:$N$124,MATCH($J74,ﾏｽﾀ!$O$8:$O$124,0)),ﾏｽﾀ!$B$8:$B$124,0))&amp;"")</f>
        <v/>
      </c>
      <c r="L74" s="599" t="str">
        <f>IF($M74="","",INDEX(ﾏｽﾀ!$T$8:$T$16,MATCH($M74,ﾏｽﾀ!$U$8:$U$16,0))&amp;"")</f>
        <v/>
      </c>
      <c r="M74" s="534"/>
      <c r="N74" s="463"/>
      <c r="O74" s="464"/>
      <c r="P74" s="465"/>
      <c r="Q74" s="466" t="str">
        <f t="shared" si="4"/>
        <v/>
      </c>
      <c r="R74" s="154" t="str">
        <f>IF($T74="","",VLOOKUP($T74,請求Data!$I$11:$AR$160,請求Data!$AL$10-請求Data!$H$10,0))</f>
        <v/>
      </c>
      <c r="S74" s="155" t="str">
        <f>IF($T74="","",VLOOKUP($T74,請求Data!$I$11:$AR$160,請求Data!$AM$10-請求Data!$H$10,0))</f>
        <v/>
      </c>
      <c r="T74" s="467" t="str">
        <f>IF(ISNA(MATCH($H74,請求Data!$AH$11:$AH$160,0)),"",VLOOKUP($H74,請求Data!$AH$11:$AR$160,請求Data!$AK$10-請求Data!$AG$10,0))</f>
        <v/>
      </c>
      <c r="U74" s="468"/>
      <c r="V74" s="58"/>
    </row>
    <row r="75" spans="1:22" s="32" customFormat="1" ht="15" customHeight="1">
      <c r="A75" s="58" t="str">
        <f>IF($Q75="","",MAX($A$8:$A74)+1)</f>
        <v/>
      </c>
      <c r="B75" s="614" t="str">
        <f t="shared" si="11"/>
        <v/>
      </c>
      <c r="C75" s="614" t="str">
        <f t="shared" si="8"/>
        <v/>
      </c>
      <c r="D75" s="614" t="str">
        <f t="shared" si="9"/>
        <v/>
      </c>
      <c r="E75" s="615" t="str">
        <f t="shared" si="10"/>
        <v/>
      </c>
      <c r="F75" s="616" t="str">
        <f>IF($H75="","",IF(ISNA(MATCH($H75,$H$7:$H74,0)),1,0))</f>
        <v/>
      </c>
      <c r="G75" s="249"/>
      <c r="H75" s="95"/>
      <c r="I75" s="597" t="str">
        <f>IF($J75="","",INDEX(ﾏｽﾀ!$E$8:$E$124,MATCH(INDEX(ﾏｽﾀ!$N$8:$N$124,MATCH($J75,ﾏｽﾀ!$O$8:$O$124,0)),ﾏｽﾀ!$B$8:$B$124,0))&amp;"")</f>
        <v/>
      </c>
      <c r="J75" s="534"/>
      <c r="K75" s="598" t="str">
        <f>IF($J75="","",INDEX(ﾏｽﾀ!$G$8:$G$124,MATCH(INDEX(ﾏｽﾀ!$N$8:$N$124,MATCH($J75,ﾏｽﾀ!$O$8:$O$124,0)),ﾏｽﾀ!$B$8:$B$124,0))&amp;"")</f>
        <v/>
      </c>
      <c r="L75" s="599" t="str">
        <f>IF($M75="","",INDEX(ﾏｽﾀ!$T$8:$T$16,MATCH($M75,ﾏｽﾀ!$U$8:$U$16,0))&amp;"")</f>
        <v/>
      </c>
      <c r="M75" s="534"/>
      <c r="N75" s="463"/>
      <c r="O75" s="464"/>
      <c r="P75" s="465"/>
      <c r="Q75" s="466" t="str">
        <f t="shared" ref="Q75:Q138" si="12">IF($O75="","",IF($N75="\",ROUNDDOWN($O75*$P75,0)+$U75,ROUNDDOWN($O75*$P75,2)+$U75))</f>
        <v/>
      </c>
      <c r="R75" s="154" t="str">
        <f>IF($T75="","",VLOOKUP($T75,請求Data!$I$11:$AR$160,請求Data!$AL$10-請求Data!$H$10,0))</f>
        <v/>
      </c>
      <c r="S75" s="155" t="str">
        <f>IF($T75="","",VLOOKUP($T75,請求Data!$I$11:$AR$160,請求Data!$AM$10-請求Data!$H$10,0))</f>
        <v/>
      </c>
      <c r="T75" s="467" t="str">
        <f>IF(ISNA(MATCH($H75,請求Data!$AH$11:$AH$160,0)),"",VLOOKUP($H75,請求Data!$AH$11:$AR$160,請求Data!$AK$10-請求Data!$AG$10,0))</f>
        <v/>
      </c>
      <c r="U75" s="468"/>
      <c r="V75" s="58"/>
    </row>
    <row r="76" spans="1:22" s="32" customFormat="1" ht="15" customHeight="1">
      <c r="A76" s="58" t="str">
        <f>IF($Q76="","",MAX($A$8:$A75)+1)</f>
        <v/>
      </c>
      <c r="B76" s="614" t="str">
        <f t="shared" si="11"/>
        <v/>
      </c>
      <c r="C76" s="614" t="str">
        <f t="shared" si="8"/>
        <v/>
      </c>
      <c r="D76" s="614" t="str">
        <f t="shared" si="9"/>
        <v/>
      </c>
      <c r="E76" s="615" t="str">
        <f t="shared" si="10"/>
        <v/>
      </c>
      <c r="F76" s="616" t="str">
        <f>IF($H76="","",IF(ISNA(MATCH($H76,$H$7:$H75,0)),1,0))</f>
        <v/>
      </c>
      <c r="G76" s="249"/>
      <c r="H76" s="95"/>
      <c r="I76" s="597" t="str">
        <f>IF($J76="","",INDEX(ﾏｽﾀ!$E$8:$E$124,MATCH(INDEX(ﾏｽﾀ!$N$8:$N$124,MATCH($J76,ﾏｽﾀ!$O$8:$O$124,0)),ﾏｽﾀ!$B$8:$B$124,0))&amp;"")</f>
        <v/>
      </c>
      <c r="J76" s="534"/>
      <c r="K76" s="598" t="str">
        <f>IF($J76="","",INDEX(ﾏｽﾀ!$G$8:$G$124,MATCH(INDEX(ﾏｽﾀ!$N$8:$N$124,MATCH($J76,ﾏｽﾀ!$O$8:$O$124,0)),ﾏｽﾀ!$B$8:$B$124,0))&amp;"")</f>
        <v/>
      </c>
      <c r="L76" s="599" t="str">
        <f>IF($M76="","",INDEX(ﾏｽﾀ!$T$8:$T$16,MATCH($M76,ﾏｽﾀ!$U$8:$U$16,0))&amp;"")</f>
        <v/>
      </c>
      <c r="M76" s="534"/>
      <c r="N76" s="463"/>
      <c r="O76" s="464"/>
      <c r="P76" s="465"/>
      <c r="Q76" s="466" t="str">
        <f t="shared" si="12"/>
        <v/>
      </c>
      <c r="R76" s="154" t="str">
        <f>IF($T76="","",VLOOKUP($T76,請求Data!$I$11:$AR$160,請求Data!$AL$10-請求Data!$H$10,0))</f>
        <v/>
      </c>
      <c r="S76" s="155" t="str">
        <f>IF($T76="","",VLOOKUP($T76,請求Data!$I$11:$AR$160,請求Data!$AM$10-請求Data!$H$10,0))</f>
        <v/>
      </c>
      <c r="T76" s="467" t="str">
        <f>IF(ISNA(MATCH($H76,請求Data!$AH$11:$AH$160,0)),"",VLOOKUP($H76,請求Data!$AH$11:$AR$160,請求Data!$AK$10-請求Data!$AG$10,0))</f>
        <v/>
      </c>
      <c r="U76" s="468"/>
      <c r="V76" s="58"/>
    </row>
    <row r="77" spans="1:22" s="32" customFormat="1" ht="15" customHeight="1">
      <c r="A77" s="58" t="str">
        <f>IF($Q77="","",MAX($A$8:$A76)+1)</f>
        <v/>
      </c>
      <c r="B77" s="614" t="str">
        <f t="shared" si="11"/>
        <v/>
      </c>
      <c r="C77" s="614" t="str">
        <f t="shared" si="8"/>
        <v/>
      </c>
      <c r="D77" s="614" t="str">
        <f t="shared" si="9"/>
        <v/>
      </c>
      <c r="E77" s="615" t="str">
        <f t="shared" si="10"/>
        <v/>
      </c>
      <c r="F77" s="616" t="str">
        <f>IF($H77="","",IF(ISNA(MATCH($H77,$H$7:$H76,0)),1,0))</f>
        <v/>
      </c>
      <c r="G77" s="249"/>
      <c r="H77" s="95"/>
      <c r="I77" s="597" t="str">
        <f>IF($J77="","",INDEX(ﾏｽﾀ!$E$8:$E$124,MATCH(INDEX(ﾏｽﾀ!$N$8:$N$124,MATCH($J77,ﾏｽﾀ!$O$8:$O$124,0)),ﾏｽﾀ!$B$8:$B$124,0))&amp;"")</f>
        <v/>
      </c>
      <c r="J77" s="534"/>
      <c r="K77" s="598" t="str">
        <f>IF($J77="","",INDEX(ﾏｽﾀ!$G$8:$G$124,MATCH(INDEX(ﾏｽﾀ!$N$8:$N$124,MATCH($J77,ﾏｽﾀ!$O$8:$O$124,0)),ﾏｽﾀ!$B$8:$B$124,0))&amp;"")</f>
        <v/>
      </c>
      <c r="L77" s="599" t="str">
        <f>IF($M77="","",INDEX(ﾏｽﾀ!$T$8:$T$16,MATCH($M77,ﾏｽﾀ!$U$8:$U$16,0))&amp;"")</f>
        <v/>
      </c>
      <c r="M77" s="534"/>
      <c r="N77" s="463"/>
      <c r="O77" s="464"/>
      <c r="P77" s="465"/>
      <c r="Q77" s="466" t="str">
        <f t="shared" si="12"/>
        <v/>
      </c>
      <c r="R77" s="154" t="str">
        <f>IF($T77="","",VLOOKUP($T77,請求Data!$I$11:$AR$160,請求Data!$AL$10-請求Data!$H$10,0))</f>
        <v/>
      </c>
      <c r="S77" s="155" t="str">
        <f>IF($T77="","",VLOOKUP($T77,請求Data!$I$11:$AR$160,請求Data!$AM$10-請求Data!$H$10,0))</f>
        <v/>
      </c>
      <c r="T77" s="467" t="str">
        <f>IF(ISNA(MATCH($H77,請求Data!$AH$11:$AH$160,0)),"",VLOOKUP($H77,請求Data!$AH$11:$AR$160,請求Data!$AK$10-請求Data!$AG$10,0))</f>
        <v/>
      </c>
      <c r="U77" s="468"/>
      <c r="V77" s="58"/>
    </row>
    <row r="78" spans="1:22" s="32" customFormat="1" ht="15" customHeight="1">
      <c r="A78" s="58" t="str">
        <f>IF($Q78="","",MAX($A$8:$A77)+1)</f>
        <v/>
      </c>
      <c r="B78" s="614" t="str">
        <f t="shared" si="11"/>
        <v/>
      </c>
      <c r="C78" s="614" t="str">
        <f t="shared" si="8"/>
        <v/>
      </c>
      <c r="D78" s="614" t="str">
        <f t="shared" si="9"/>
        <v/>
      </c>
      <c r="E78" s="615" t="str">
        <f t="shared" si="10"/>
        <v/>
      </c>
      <c r="F78" s="616" t="str">
        <f>IF($H78="","",IF(ISNA(MATCH($H78,$H$7:$H77,0)),1,0))</f>
        <v/>
      </c>
      <c r="G78" s="249"/>
      <c r="H78" s="95"/>
      <c r="I78" s="597" t="str">
        <f>IF($J78="","",INDEX(ﾏｽﾀ!$E$8:$E$124,MATCH(INDEX(ﾏｽﾀ!$N$8:$N$124,MATCH($J78,ﾏｽﾀ!$O$8:$O$124,0)),ﾏｽﾀ!$B$8:$B$124,0))&amp;"")</f>
        <v/>
      </c>
      <c r="J78" s="534"/>
      <c r="K78" s="598" t="str">
        <f>IF($J78="","",INDEX(ﾏｽﾀ!$G$8:$G$124,MATCH(INDEX(ﾏｽﾀ!$N$8:$N$124,MATCH($J78,ﾏｽﾀ!$O$8:$O$124,0)),ﾏｽﾀ!$B$8:$B$124,0))&amp;"")</f>
        <v/>
      </c>
      <c r="L78" s="599" t="str">
        <f>IF($M78="","",INDEX(ﾏｽﾀ!$T$8:$T$16,MATCH($M78,ﾏｽﾀ!$U$8:$U$16,0))&amp;"")</f>
        <v/>
      </c>
      <c r="M78" s="534"/>
      <c r="N78" s="463"/>
      <c r="O78" s="464"/>
      <c r="P78" s="465"/>
      <c r="Q78" s="466" t="str">
        <f t="shared" si="12"/>
        <v/>
      </c>
      <c r="R78" s="154" t="str">
        <f>IF($T78="","",VLOOKUP($T78,請求Data!$I$11:$AR$160,請求Data!$AL$10-請求Data!$H$10,0))</f>
        <v/>
      </c>
      <c r="S78" s="155" t="str">
        <f>IF($T78="","",VLOOKUP($T78,請求Data!$I$11:$AR$160,請求Data!$AM$10-請求Data!$H$10,0))</f>
        <v/>
      </c>
      <c r="T78" s="467" t="str">
        <f>IF(ISNA(MATCH($H78,請求Data!$AH$11:$AH$160,0)),"",VLOOKUP($H78,請求Data!$AH$11:$AR$160,請求Data!$AK$10-請求Data!$AG$10,0))</f>
        <v/>
      </c>
      <c r="U78" s="468"/>
      <c r="V78" s="58"/>
    </row>
    <row r="79" spans="1:22" s="32" customFormat="1" ht="15" customHeight="1">
      <c r="A79" s="58" t="str">
        <f>IF($Q79="","",MAX($A$8:$A78)+1)</f>
        <v/>
      </c>
      <c r="B79" s="614" t="str">
        <f t="shared" si="11"/>
        <v/>
      </c>
      <c r="C79" s="614" t="str">
        <f t="shared" si="8"/>
        <v/>
      </c>
      <c r="D79" s="614" t="str">
        <f t="shared" si="9"/>
        <v/>
      </c>
      <c r="E79" s="615" t="str">
        <f t="shared" si="10"/>
        <v/>
      </c>
      <c r="F79" s="616" t="str">
        <f>IF($H79="","",IF(ISNA(MATCH($H79,$H$7:$H78,0)),1,0))</f>
        <v/>
      </c>
      <c r="G79" s="249"/>
      <c r="H79" s="95"/>
      <c r="I79" s="597" t="str">
        <f>IF($J79="","",INDEX(ﾏｽﾀ!$E$8:$E$124,MATCH(INDEX(ﾏｽﾀ!$N$8:$N$124,MATCH($J79,ﾏｽﾀ!$O$8:$O$124,0)),ﾏｽﾀ!$B$8:$B$124,0))&amp;"")</f>
        <v/>
      </c>
      <c r="J79" s="534"/>
      <c r="K79" s="598" t="str">
        <f>IF($J79="","",INDEX(ﾏｽﾀ!$G$8:$G$124,MATCH(INDEX(ﾏｽﾀ!$N$8:$N$124,MATCH($J79,ﾏｽﾀ!$O$8:$O$124,0)),ﾏｽﾀ!$B$8:$B$124,0))&amp;"")</f>
        <v/>
      </c>
      <c r="L79" s="599" t="str">
        <f>IF($M79="","",INDEX(ﾏｽﾀ!$T$8:$T$16,MATCH($M79,ﾏｽﾀ!$U$8:$U$16,0))&amp;"")</f>
        <v/>
      </c>
      <c r="M79" s="534"/>
      <c r="N79" s="463"/>
      <c r="O79" s="464"/>
      <c r="P79" s="465"/>
      <c r="Q79" s="466" t="str">
        <f t="shared" si="12"/>
        <v/>
      </c>
      <c r="R79" s="154" t="str">
        <f>IF($T79="","",VLOOKUP($T79,請求Data!$I$11:$AR$160,請求Data!$AL$10-請求Data!$H$10,0))</f>
        <v/>
      </c>
      <c r="S79" s="155" t="str">
        <f>IF($T79="","",VLOOKUP($T79,請求Data!$I$11:$AR$160,請求Data!$AM$10-請求Data!$H$10,0))</f>
        <v/>
      </c>
      <c r="T79" s="467" t="str">
        <f>IF(ISNA(MATCH($H79,請求Data!$AH$11:$AH$160,0)),"",VLOOKUP($H79,請求Data!$AH$11:$AR$160,請求Data!$AK$10-請求Data!$AG$10,0))</f>
        <v/>
      </c>
      <c r="U79" s="468"/>
      <c r="V79" s="58"/>
    </row>
    <row r="80" spans="1:22" s="32" customFormat="1" ht="15" customHeight="1">
      <c r="A80" s="58" t="str">
        <f>IF($Q80="","",MAX($A$8:$A79)+1)</f>
        <v/>
      </c>
      <c r="B80" s="614" t="str">
        <f t="shared" si="11"/>
        <v/>
      </c>
      <c r="C80" s="614" t="str">
        <f t="shared" si="8"/>
        <v/>
      </c>
      <c r="D80" s="614" t="str">
        <f t="shared" si="9"/>
        <v/>
      </c>
      <c r="E80" s="615" t="str">
        <f t="shared" si="10"/>
        <v/>
      </c>
      <c r="F80" s="616" t="str">
        <f>IF($H80="","",IF(ISNA(MATCH($H80,$H$7:$H79,0)),1,0))</f>
        <v/>
      </c>
      <c r="G80" s="249"/>
      <c r="H80" s="95"/>
      <c r="I80" s="597" t="str">
        <f>IF($J80="","",INDEX(ﾏｽﾀ!$E$8:$E$124,MATCH(INDEX(ﾏｽﾀ!$N$8:$N$124,MATCH($J80,ﾏｽﾀ!$O$8:$O$124,0)),ﾏｽﾀ!$B$8:$B$124,0))&amp;"")</f>
        <v/>
      </c>
      <c r="J80" s="534"/>
      <c r="K80" s="598" t="str">
        <f>IF($J80="","",INDEX(ﾏｽﾀ!$G$8:$G$124,MATCH(INDEX(ﾏｽﾀ!$N$8:$N$124,MATCH($J80,ﾏｽﾀ!$O$8:$O$124,0)),ﾏｽﾀ!$B$8:$B$124,0))&amp;"")</f>
        <v/>
      </c>
      <c r="L80" s="599" t="str">
        <f>IF($M80="","",INDEX(ﾏｽﾀ!$T$8:$T$16,MATCH($M80,ﾏｽﾀ!$U$8:$U$16,0))&amp;"")</f>
        <v/>
      </c>
      <c r="M80" s="534"/>
      <c r="N80" s="463"/>
      <c r="O80" s="464"/>
      <c r="P80" s="465"/>
      <c r="Q80" s="466" t="str">
        <f t="shared" si="12"/>
        <v/>
      </c>
      <c r="R80" s="154" t="str">
        <f>IF($T80="","",VLOOKUP($T80,請求Data!$I$11:$AR$160,請求Data!$AL$10-請求Data!$H$10,0))</f>
        <v/>
      </c>
      <c r="S80" s="155" t="str">
        <f>IF($T80="","",VLOOKUP($T80,請求Data!$I$11:$AR$160,請求Data!$AM$10-請求Data!$H$10,0))</f>
        <v/>
      </c>
      <c r="T80" s="467" t="str">
        <f>IF(ISNA(MATCH($H80,請求Data!$AH$11:$AH$160,0)),"",VLOOKUP($H80,請求Data!$AH$11:$AR$160,請求Data!$AK$10-請求Data!$AG$10,0))</f>
        <v/>
      </c>
      <c r="U80" s="468"/>
      <c r="V80" s="58"/>
    </row>
    <row r="81" spans="1:22" s="32" customFormat="1" ht="15" customHeight="1">
      <c r="A81" s="58" t="str">
        <f>IF($Q81="","",MAX($A$8:$A80)+1)</f>
        <v/>
      </c>
      <c r="B81" s="614" t="str">
        <f t="shared" si="11"/>
        <v/>
      </c>
      <c r="C81" s="614" t="str">
        <f t="shared" si="8"/>
        <v/>
      </c>
      <c r="D81" s="614" t="str">
        <f t="shared" si="9"/>
        <v/>
      </c>
      <c r="E81" s="615" t="str">
        <f t="shared" si="10"/>
        <v/>
      </c>
      <c r="F81" s="616" t="str">
        <f>IF($H81="","",IF(ISNA(MATCH($H81,$H$7:$H80,0)),1,0))</f>
        <v/>
      </c>
      <c r="G81" s="249"/>
      <c r="H81" s="95"/>
      <c r="I81" s="597" t="str">
        <f>IF($J81="","",INDEX(ﾏｽﾀ!$E$8:$E$124,MATCH(INDEX(ﾏｽﾀ!$N$8:$N$124,MATCH($J81,ﾏｽﾀ!$O$8:$O$124,0)),ﾏｽﾀ!$B$8:$B$124,0))&amp;"")</f>
        <v/>
      </c>
      <c r="J81" s="534"/>
      <c r="K81" s="598" t="str">
        <f>IF($J81="","",INDEX(ﾏｽﾀ!$G$8:$G$124,MATCH(INDEX(ﾏｽﾀ!$N$8:$N$124,MATCH($J81,ﾏｽﾀ!$O$8:$O$124,0)),ﾏｽﾀ!$B$8:$B$124,0))&amp;"")</f>
        <v/>
      </c>
      <c r="L81" s="599" t="str">
        <f>IF($M81="","",INDEX(ﾏｽﾀ!$T$8:$T$16,MATCH($M81,ﾏｽﾀ!$U$8:$U$16,0))&amp;"")</f>
        <v/>
      </c>
      <c r="M81" s="534"/>
      <c r="N81" s="463"/>
      <c r="O81" s="464"/>
      <c r="P81" s="465"/>
      <c r="Q81" s="466" t="str">
        <f t="shared" si="12"/>
        <v/>
      </c>
      <c r="R81" s="154" t="str">
        <f>IF($T81="","",VLOOKUP($T81,請求Data!$I$11:$AR$160,請求Data!$AL$10-請求Data!$H$10,0))</f>
        <v/>
      </c>
      <c r="S81" s="155" t="str">
        <f>IF($T81="","",VLOOKUP($T81,請求Data!$I$11:$AR$160,請求Data!$AM$10-請求Data!$H$10,0))</f>
        <v/>
      </c>
      <c r="T81" s="467" t="str">
        <f>IF(ISNA(MATCH($H81,請求Data!$AH$11:$AH$160,0)),"",VLOOKUP($H81,請求Data!$AH$11:$AR$160,請求Data!$AK$10-請求Data!$AG$10,0))</f>
        <v/>
      </c>
      <c r="U81" s="468"/>
      <c r="V81" s="58"/>
    </row>
    <row r="82" spans="1:22" s="32" customFormat="1" ht="15" customHeight="1">
      <c r="A82" s="58" t="str">
        <f>IF($Q82="","",MAX($A$8:$A81)+1)</f>
        <v/>
      </c>
      <c r="B82" s="614" t="str">
        <f t="shared" si="11"/>
        <v/>
      </c>
      <c r="C82" s="614" t="str">
        <f t="shared" si="8"/>
        <v/>
      </c>
      <c r="D82" s="614" t="str">
        <f t="shared" si="9"/>
        <v/>
      </c>
      <c r="E82" s="615" t="str">
        <f t="shared" si="10"/>
        <v/>
      </c>
      <c r="F82" s="616" t="str">
        <f>IF($H82="","",IF(ISNA(MATCH($H82,$H$7:$H81,0)),1,0))</f>
        <v/>
      </c>
      <c r="G82" s="249"/>
      <c r="H82" s="95"/>
      <c r="I82" s="597" t="str">
        <f>IF($J82="","",INDEX(ﾏｽﾀ!$E$8:$E$124,MATCH(INDEX(ﾏｽﾀ!$N$8:$N$124,MATCH($J82,ﾏｽﾀ!$O$8:$O$124,0)),ﾏｽﾀ!$B$8:$B$124,0))&amp;"")</f>
        <v/>
      </c>
      <c r="J82" s="534"/>
      <c r="K82" s="598" t="str">
        <f>IF($J82="","",INDEX(ﾏｽﾀ!$G$8:$G$124,MATCH(INDEX(ﾏｽﾀ!$N$8:$N$124,MATCH($J82,ﾏｽﾀ!$O$8:$O$124,0)),ﾏｽﾀ!$B$8:$B$124,0))&amp;"")</f>
        <v/>
      </c>
      <c r="L82" s="599" t="str">
        <f>IF($M82="","",INDEX(ﾏｽﾀ!$T$8:$T$16,MATCH($M82,ﾏｽﾀ!$U$8:$U$16,0))&amp;"")</f>
        <v/>
      </c>
      <c r="M82" s="534"/>
      <c r="N82" s="463"/>
      <c r="O82" s="464"/>
      <c r="P82" s="465"/>
      <c r="Q82" s="466" t="str">
        <f t="shared" si="12"/>
        <v/>
      </c>
      <c r="R82" s="154" t="str">
        <f>IF($T82="","",VLOOKUP($T82,請求Data!$I$11:$AR$160,請求Data!$AL$10-請求Data!$H$10,0))</f>
        <v/>
      </c>
      <c r="S82" s="155" t="str">
        <f>IF($T82="","",VLOOKUP($T82,請求Data!$I$11:$AR$160,請求Data!$AM$10-請求Data!$H$10,0))</f>
        <v/>
      </c>
      <c r="T82" s="467" t="str">
        <f>IF(ISNA(MATCH($H82,請求Data!$AH$11:$AH$160,0)),"",VLOOKUP($H82,請求Data!$AH$11:$AR$160,請求Data!$AK$10-請求Data!$AG$10,0))</f>
        <v/>
      </c>
      <c r="U82" s="468"/>
      <c r="V82" s="58"/>
    </row>
    <row r="83" spans="1:22" s="32" customFormat="1" ht="15" customHeight="1">
      <c r="A83" s="58" t="str">
        <f>IF($Q83="","",MAX($A$8:$A82)+1)</f>
        <v/>
      </c>
      <c r="B83" s="614" t="str">
        <f t="shared" si="11"/>
        <v/>
      </c>
      <c r="C83" s="614" t="str">
        <f t="shared" si="8"/>
        <v/>
      </c>
      <c r="D83" s="614" t="str">
        <f t="shared" si="9"/>
        <v/>
      </c>
      <c r="E83" s="615" t="str">
        <f t="shared" si="10"/>
        <v/>
      </c>
      <c r="F83" s="616" t="str">
        <f>IF($H83="","",IF(ISNA(MATCH($H83,$H$7:$H82,0)),1,0))</f>
        <v/>
      </c>
      <c r="G83" s="249"/>
      <c r="H83" s="95"/>
      <c r="I83" s="597" t="str">
        <f>IF($J83="","",INDEX(ﾏｽﾀ!$E$8:$E$124,MATCH(INDEX(ﾏｽﾀ!$N$8:$N$124,MATCH($J83,ﾏｽﾀ!$O$8:$O$124,0)),ﾏｽﾀ!$B$8:$B$124,0))&amp;"")</f>
        <v/>
      </c>
      <c r="J83" s="534"/>
      <c r="K83" s="598" t="str">
        <f>IF($J83="","",INDEX(ﾏｽﾀ!$G$8:$G$124,MATCH(INDEX(ﾏｽﾀ!$N$8:$N$124,MATCH($J83,ﾏｽﾀ!$O$8:$O$124,0)),ﾏｽﾀ!$B$8:$B$124,0))&amp;"")</f>
        <v/>
      </c>
      <c r="L83" s="599" t="str">
        <f>IF($M83="","",INDEX(ﾏｽﾀ!$T$8:$T$16,MATCH($M83,ﾏｽﾀ!$U$8:$U$16,0))&amp;"")</f>
        <v/>
      </c>
      <c r="M83" s="534"/>
      <c r="N83" s="463"/>
      <c r="O83" s="464"/>
      <c r="P83" s="465"/>
      <c r="Q83" s="466" t="str">
        <f t="shared" si="12"/>
        <v/>
      </c>
      <c r="R83" s="154" t="str">
        <f>IF($T83="","",VLOOKUP($T83,請求Data!$I$11:$AR$160,請求Data!$AL$10-請求Data!$H$10,0))</f>
        <v/>
      </c>
      <c r="S83" s="155" t="str">
        <f>IF($T83="","",VLOOKUP($T83,請求Data!$I$11:$AR$160,請求Data!$AM$10-請求Data!$H$10,0))</f>
        <v/>
      </c>
      <c r="T83" s="467" t="str">
        <f>IF(ISNA(MATCH($H83,請求Data!$AH$11:$AH$160,0)),"",VLOOKUP($H83,請求Data!$AH$11:$AR$160,請求Data!$AK$10-請求Data!$AG$10,0))</f>
        <v/>
      </c>
      <c r="U83" s="468"/>
      <c r="V83" s="58"/>
    </row>
    <row r="84" spans="1:22" s="32" customFormat="1" ht="15" customHeight="1">
      <c r="A84" s="58" t="str">
        <f>IF($Q84="","",MAX($A$8:$A83)+1)</f>
        <v/>
      </c>
      <c r="B84" s="614" t="str">
        <f t="shared" si="11"/>
        <v/>
      </c>
      <c r="C84" s="614" t="str">
        <f t="shared" si="8"/>
        <v/>
      </c>
      <c r="D84" s="614" t="str">
        <f t="shared" si="9"/>
        <v/>
      </c>
      <c r="E84" s="615" t="str">
        <f t="shared" si="10"/>
        <v/>
      </c>
      <c r="F84" s="616" t="str">
        <f>IF($H84="","",IF(ISNA(MATCH($H84,$H$7:$H83,0)),1,0))</f>
        <v/>
      </c>
      <c r="G84" s="249"/>
      <c r="H84" s="95"/>
      <c r="I84" s="597" t="str">
        <f>IF($J84="","",INDEX(ﾏｽﾀ!$E$8:$E$124,MATCH(INDEX(ﾏｽﾀ!$N$8:$N$124,MATCH($J84,ﾏｽﾀ!$O$8:$O$124,0)),ﾏｽﾀ!$B$8:$B$124,0))&amp;"")</f>
        <v/>
      </c>
      <c r="J84" s="534"/>
      <c r="K84" s="598" t="str">
        <f>IF($J84="","",INDEX(ﾏｽﾀ!$G$8:$G$124,MATCH(INDEX(ﾏｽﾀ!$N$8:$N$124,MATCH($J84,ﾏｽﾀ!$O$8:$O$124,0)),ﾏｽﾀ!$B$8:$B$124,0))&amp;"")</f>
        <v/>
      </c>
      <c r="L84" s="599" t="str">
        <f>IF($M84="","",INDEX(ﾏｽﾀ!$T$8:$T$16,MATCH($M84,ﾏｽﾀ!$U$8:$U$16,0))&amp;"")</f>
        <v/>
      </c>
      <c r="M84" s="534"/>
      <c r="N84" s="463"/>
      <c r="O84" s="464"/>
      <c r="P84" s="465"/>
      <c r="Q84" s="466" t="str">
        <f t="shared" si="12"/>
        <v/>
      </c>
      <c r="R84" s="154" t="str">
        <f>IF($T84="","",VLOOKUP($T84,請求Data!$I$11:$AR$160,請求Data!$AL$10-請求Data!$H$10,0))</f>
        <v/>
      </c>
      <c r="S84" s="155" t="str">
        <f>IF($T84="","",VLOOKUP($T84,請求Data!$I$11:$AR$160,請求Data!$AM$10-請求Data!$H$10,0))</f>
        <v/>
      </c>
      <c r="T84" s="467" t="str">
        <f>IF(ISNA(MATCH($H84,請求Data!$AH$11:$AH$160,0)),"",VLOOKUP($H84,請求Data!$AH$11:$AR$160,請求Data!$AK$10-請求Data!$AG$10,0))</f>
        <v/>
      </c>
      <c r="U84" s="468"/>
      <c r="V84" s="58"/>
    </row>
    <row r="85" spans="1:22" s="32" customFormat="1" ht="15" customHeight="1">
      <c r="A85" s="58" t="str">
        <f>IF($Q85="","",MAX($A$8:$A84)+1)</f>
        <v/>
      </c>
      <c r="B85" s="614" t="str">
        <f t="shared" si="11"/>
        <v/>
      </c>
      <c r="C85" s="614" t="str">
        <f t="shared" si="8"/>
        <v/>
      </c>
      <c r="D85" s="614" t="str">
        <f t="shared" si="9"/>
        <v/>
      </c>
      <c r="E85" s="615" t="str">
        <f t="shared" si="10"/>
        <v/>
      </c>
      <c r="F85" s="616" t="str">
        <f>IF($H85="","",IF(ISNA(MATCH($H85,$H$7:$H84,0)),1,0))</f>
        <v/>
      </c>
      <c r="G85" s="249"/>
      <c r="H85" s="95"/>
      <c r="I85" s="597" t="str">
        <f>IF($J85="","",INDEX(ﾏｽﾀ!$E$8:$E$124,MATCH(INDEX(ﾏｽﾀ!$N$8:$N$124,MATCH($J85,ﾏｽﾀ!$O$8:$O$124,0)),ﾏｽﾀ!$B$8:$B$124,0))&amp;"")</f>
        <v/>
      </c>
      <c r="J85" s="534"/>
      <c r="K85" s="598" t="str">
        <f>IF($J85="","",INDEX(ﾏｽﾀ!$G$8:$G$124,MATCH(INDEX(ﾏｽﾀ!$N$8:$N$124,MATCH($J85,ﾏｽﾀ!$O$8:$O$124,0)),ﾏｽﾀ!$B$8:$B$124,0))&amp;"")</f>
        <v/>
      </c>
      <c r="L85" s="599" t="str">
        <f>IF($M85="","",INDEX(ﾏｽﾀ!$T$8:$T$16,MATCH($M85,ﾏｽﾀ!$U$8:$U$16,0))&amp;"")</f>
        <v/>
      </c>
      <c r="M85" s="534"/>
      <c r="N85" s="463"/>
      <c r="O85" s="464"/>
      <c r="P85" s="465"/>
      <c r="Q85" s="466" t="str">
        <f t="shared" si="12"/>
        <v/>
      </c>
      <c r="R85" s="154" t="str">
        <f>IF($T85="","",VLOOKUP($T85,請求Data!$I$11:$AR$160,請求Data!$AL$10-請求Data!$H$10,0))</f>
        <v/>
      </c>
      <c r="S85" s="155" t="str">
        <f>IF($T85="","",VLOOKUP($T85,請求Data!$I$11:$AR$160,請求Data!$AM$10-請求Data!$H$10,0))</f>
        <v/>
      </c>
      <c r="T85" s="467" t="str">
        <f>IF(ISNA(MATCH($H85,請求Data!$AH$11:$AH$160,0)),"",VLOOKUP($H85,請求Data!$AH$11:$AR$160,請求Data!$AK$10-請求Data!$AG$10,0))</f>
        <v/>
      </c>
      <c r="U85" s="468"/>
      <c r="V85" s="58"/>
    </row>
    <row r="86" spans="1:22" s="32" customFormat="1" ht="15" customHeight="1">
      <c r="A86" s="58" t="str">
        <f>IF($Q86="","",MAX($A$8:$A85)+1)</f>
        <v/>
      </c>
      <c r="B86" s="614" t="str">
        <f t="shared" si="11"/>
        <v/>
      </c>
      <c r="C86" s="614" t="str">
        <f t="shared" si="8"/>
        <v/>
      </c>
      <c r="D86" s="614" t="str">
        <f t="shared" si="9"/>
        <v/>
      </c>
      <c r="E86" s="615" t="str">
        <f t="shared" si="10"/>
        <v/>
      </c>
      <c r="F86" s="616" t="str">
        <f>IF($H86="","",IF(ISNA(MATCH($H86,$H$7:$H85,0)),1,0))</f>
        <v/>
      </c>
      <c r="G86" s="249"/>
      <c r="H86" s="95"/>
      <c r="I86" s="597" t="str">
        <f>IF($J86="","",INDEX(ﾏｽﾀ!$E$8:$E$124,MATCH(INDEX(ﾏｽﾀ!$N$8:$N$124,MATCH($J86,ﾏｽﾀ!$O$8:$O$124,0)),ﾏｽﾀ!$B$8:$B$124,0))&amp;"")</f>
        <v/>
      </c>
      <c r="J86" s="534"/>
      <c r="K86" s="598" t="str">
        <f>IF($J86="","",INDEX(ﾏｽﾀ!$G$8:$G$124,MATCH(INDEX(ﾏｽﾀ!$N$8:$N$124,MATCH($J86,ﾏｽﾀ!$O$8:$O$124,0)),ﾏｽﾀ!$B$8:$B$124,0))&amp;"")</f>
        <v/>
      </c>
      <c r="L86" s="599" t="str">
        <f>IF($M86="","",INDEX(ﾏｽﾀ!$T$8:$T$16,MATCH($M86,ﾏｽﾀ!$U$8:$U$16,0))&amp;"")</f>
        <v/>
      </c>
      <c r="M86" s="534"/>
      <c r="N86" s="463"/>
      <c r="O86" s="464"/>
      <c r="P86" s="465"/>
      <c r="Q86" s="466" t="str">
        <f t="shared" si="12"/>
        <v/>
      </c>
      <c r="R86" s="154" t="str">
        <f>IF($T86="","",VLOOKUP($T86,請求Data!$I$11:$AR$160,請求Data!$AL$10-請求Data!$H$10,0))</f>
        <v/>
      </c>
      <c r="S86" s="155" t="str">
        <f>IF($T86="","",VLOOKUP($T86,請求Data!$I$11:$AR$160,請求Data!$AM$10-請求Data!$H$10,0))</f>
        <v/>
      </c>
      <c r="T86" s="467" t="str">
        <f>IF(ISNA(MATCH($H86,請求Data!$AH$11:$AH$160,0)),"",VLOOKUP($H86,請求Data!$AH$11:$AR$160,請求Data!$AK$10-請求Data!$AG$10,0))</f>
        <v/>
      </c>
      <c r="U86" s="468"/>
      <c r="V86" s="58"/>
    </row>
    <row r="87" spans="1:22" s="32" customFormat="1" ht="15" customHeight="1">
      <c r="A87" s="58" t="str">
        <f>IF($Q87="","",MAX($A$8:$A86)+1)</f>
        <v/>
      </c>
      <c r="B87" s="614" t="str">
        <f t="shared" si="11"/>
        <v/>
      </c>
      <c r="C87" s="614" t="str">
        <f t="shared" si="8"/>
        <v/>
      </c>
      <c r="D87" s="614" t="str">
        <f t="shared" si="9"/>
        <v/>
      </c>
      <c r="E87" s="615" t="str">
        <f t="shared" si="10"/>
        <v/>
      </c>
      <c r="F87" s="616" t="str">
        <f>IF($H87="","",IF(ISNA(MATCH($H87,$H$7:$H86,0)),1,0))</f>
        <v/>
      </c>
      <c r="G87" s="249"/>
      <c r="H87" s="95"/>
      <c r="I87" s="597" t="str">
        <f>IF($J87="","",INDEX(ﾏｽﾀ!$E$8:$E$124,MATCH(INDEX(ﾏｽﾀ!$N$8:$N$124,MATCH($J87,ﾏｽﾀ!$O$8:$O$124,0)),ﾏｽﾀ!$B$8:$B$124,0))&amp;"")</f>
        <v/>
      </c>
      <c r="J87" s="534"/>
      <c r="K87" s="598" t="str">
        <f>IF($J87="","",INDEX(ﾏｽﾀ!$G$8:$G$124,MATCH(INDEX(ﾏｽﾀ!$N$8:$N$124,MATCH($J87,ﾏｽﾀ!$O$8:$O$124,0)),ﾏｽﾀ!$B$8:$B$124,0))&amp;"")</f>
        <v/>
      </c>
      <c r="L87" s="599" t="str">
        <f>IF($M87="","",INDEX(ﾏｽﾀ!$T$8:$T$16,MATCH($M87,ﾏｽﾀ!$U$8:$U$16,0))&amp;"")</f>
        <v/>
      </c>
      <c r="M87" s="534"/>
      <c r="N87" s="463"/>
      <c r="O87" s="464"/>
      <c r="P87" s="465"/>
      <c r="Q87" s="466" t="str">
        <f t="shared" si="12"/>
        <v/>
      </c>
      <c r="R87" s="154" t="str">
        <f>IF($T87="","",VLOOKUP($T87,請求Data!$I$11:$AR$160,請求Data!$AL$10-請求Data!$H$10,0))</f>
        <v/>
      </c>
      <c r="S87" s="155" t="str">
        <f>IF($T87="","",VLOOKUP($T87,請求Data!$I$11:$AR$160,請求Data!$AM$10-請求Data!$H$10,0))</f>
        <v/>
      </c>
      <c r="T87" s="467" t="str">
        <f>IF(ISNA(MATCH($H87,請求Data!$AH$11:$AH$160,0)),"",VLOOKUP($H87,請求Data!$AH$11:$AR$160,請求Data!$AK$10-請求Data!$AG$10,0))</f>
        <v/>
      </c>
      <c r="U87" s="468"/>
      <c r="V87" s="58"/>
    </row>
    <row r="88" spans="1:22" s="32" customFormat="1" ht="15" customHeight="1">
      <c r="A88" s="58" t="str">
        <f>IF($Q88="","",MAX($A$8:$A87)+1)</f>
        <v/>
      </c>
      <c r="B88" s="614" t="str">
        <f t="shared" si="11"/>
        <v/>
      </c>
      <c r="C88" s="614" t="str">
        <f t="shared" si="8"/>
        <v/>
      </c>
      <c r="D88" s="614" t="str">
        <f t="shared" si="9"/>
        <v/>
      </c>
      <c r="E88" s="615" t="str">
        <f t="shared" si="10"/>
        <v/>
      </c>
      <c r="F88" s="616" t="str">
        <f>IF($H88="","",IF(ISNA(MATCH($H88,$H$7:$H87,0)),1,0))</f>
        <v/>
      </c>
      <c r="G88" s="249"/>
      <c r="H88" s="95"/>
      <c r="I88" s="597" t="str">
        <f>IF($J88="","",INDEX(ﾏｽﾀ!$E$8:$E$124,MATCH(INDEX(ﾏｽﾀ!$N$8:$N$124,MATCH($J88,ﾏｽﾀ!$O$8:$O$124,0)),ﾏｽﾀ!$B$8:$B$124,0))&amp;"")</f>
        <v/>
      </c>
      <c r="J88" s="534"/>
      <c r="K88" s="598" t="str">
        <f>IF($J88="","",INDEX(ﾏｽﾀ!$G$8:$G$124,MATCH(INDEX(ﾏｽﾀ!$N$8:$N$124,MATCH($J88,ﾏｽﾀ!$O$8:$O$124,0)),ﾏｽﾀ!$B$8:$B$124,0))&amp;"")</f>
        <v/>
      </c>
      <c r="L88" s="599" t="str">
        <f>IF($M88="","",INDEX(ﾏｽﾀ!$T$8:$T$16,MATCH($M88,ﾏｽﾀ!$U$8:$U$16,0))&amp;"")</f>
        <v/>
      </c>
      <c r="M88" s="534"/>
      <c r="N88" s="463"/>
      <c r="O88" s="464"/>
      <c r="P88" s="465"/>
      <c r="Q88" s="466" t="str">
        <f t="shared" si="12"/>
        <v/>
      </c>
      <c r="R88" s="154" t="str">
        <f>IF($T88="","",VLOOKUP($T88,請求Data!$I$11:$AR$160,請求Data!$AL$10-請求Data!$H$10,0))</f>
        <v/>
      </c>
      <c r="S88" s="155" t="str">
        <f>IF($T88="","",VLOOKUP($T88,請求Data!$I$11:$AR$160,請求Data!$AM$10-請求Data!$H$10,0))</f>
        <v/>
      </c>
      <c r="T88" s="467" t="str">
        <f>IF(ISNA(MATCH($H88,請求Data!$AH$11:$AH$160,0)),"",VLOOKUP($H88,請求Data!$AH$11:$AR$160,請求Data!$AK$10-請求Data!$AG$10,0))</f>
        <v/>
      </c>
      <c r="U88" s="468"/>
      <c r="V88" s="58"/>
    </row>
    <row r="89" spans="1:22" s="32" customFormat="1" ht="15" customHeight="1">
      <c r="A89" s="58" t="str">
        <f>IF($Q89="","",MAX($A$8:$A88)+1)</f>
        <v/>
      </c>
      <c r="B89" s="614" t="str">
        <f t="shared" si="11"/>
        <v/>
      </c>
      <c r="C89" s="614" t="str">
        <f t="shared" si="8"/>
        <v/>
      </c>
      <c r="D89" s="614" t="str">
        <f t="shared" si="9"/>
        <v/>
      </c>
      <c r="E89" s="615" t="str">
        <f t="shared" si="10"/>
        <v/>
      </c>
      <c r="F89" s="616" t="str">
        <f>IF($H89="","",IF(ISNA(MATCH($H89,$H$7:$H88,0)),1,0))</f>
        <v/>
      </c>
      <c r="G89" s="249"/>
      <c r="H89" s="95"/>
      <c r="I89" s="597" t="str">
        <f>IF($J89="","",INDEX(ﾏｽﾀ!$E$8:$E$124,MATCH(INDEX(ﾏｽﾀ!$N$8:$N$124,MATCH($J89,ﾏｽﾀ!$O$8:$O$124,0)),ﾏｽﾀ!$B$8:$B$124,0))&amp;"")</f>
        <v/>
      </c>
      <c r="J89" s="534"/>
      <c r="K89" s="598" t="str">
        <f>IF($J89="","",INDEX(ﾏｽﾀ!$G$8:$G$124,MATCH(INDEX(ﾏｽﾀ!$N$8:$N$124,MATCH($J89,ﾏｽﾀ!$O$8:$O$124,0)),ﾏｽﾀ!$B$8:$B$124,0))&amp;"")</f>
        <v/>
      </c>
      <c r="L89" s="599" t="str">
        <f>IF($M89="","",INDEX(ﾏｽﾀ!$T$8:$T$16,MATCH($M89,ﾏｽﾀ!$U$8:$U$16,0))&amp;"")</f>
        <v/>
      </c>
      <c r="M89" s="534"/>
      <c r="N89" s="463"/>
      <c r="O89" s="464"/>
      <c r="P89" s="465"/>
      <c r="Q89" s="466" t="str">
        <f t="shared" si="12"/>
        <v/>
      </c>
      <c r="R89" s="154" t="str">
        <f>IF($T89="","",VLOOKUP($T89,請求Data!$I$11:$AR$160,請求Data!$AL$10-請求Data!$H$10,0))</f>
        <v/>
      </c>
      <c r="S89" s="155" t="str">
        <f>IF($T89="","",VLOOKUP($T89,請求Data!$I$11:$AR$160,請求Data!$AM$10-請求Data!$H$10,0))</f>
        <v/>
      </c>
      <c r="T89" s="467" t="str">
        <f>IF(ISNA(MATCH($H89,請求Data!$AH$11:$AH$160,0)),"",VLOOKUP($H89,請求Data!$AH$11:$AR$160,請求Data!$AK$10-請求Data!$AG$10,0))</f>
        <v/>
      </c>
      <c r="U89" s="468"/>
      <c r="V89" s="58"/>
    </row>
    <row r="90" spans="1:22" s="32" customFormat="1" ht="15" customHeight="1">
      <c r="A90" s="58" t="str">
        <f>IF($Q90="","",MAX($A$8:$A89)+1)</f>
        <v/>
      </c>
      <c r="B90" s="614" t="str">
        <f t="shared" si="11"/>
        <v/>
      </c>
      <c r="C90" s="614" t="str">
        <f t="shared" si="8"/>
        <v/>
      </c>
      <c r="D90" s="614" t="str">
        <f t="shared" si="9"/>
        <v/>
      </c>
      <c r="E90" s="615" t="str">
        <f t="shared" si="10"/>
        <v/>
      </c>
      <c r="F90" s="616" t="str">
        <f>IF($H90="","",IF(ISNA(MATCH($H90,$H$7:$H89,0)),1,0))</f>
        <v/>
      </c>
      <c r="G90" s="249"/>
      <c r="H90" s="95"/>
      <c r="I90" s="597" t="str">
        <f>IF($J90="","",INDEX(ﾏｽﾀ!$E$8:$E$124,MATCH(INDEX(ﾏｽﾀ!$N$8:$N$124,MATCH($J90,ﾏｽﾀ!$O$8:$O$124,0)),ﾏｽﾀ!$B$8:$B$124,0))&amp;"")</f>
        <v/>
      </c>
      <c r="J90" s="534"/>
      <c r="K90" s="598" t="str">
        <f>IF($J90="","",INDEX(ﾏｽﾀ!$G$8:$G$124,MATCH(INDEX(ﾏｽﾀ!$N$8:$N$124,MATCH($J90,ﾏｽﾀ!$O$8:$O$124,0)),ﾏｽﾀ!$B$8:$B$124,0))&amp;"")</f>
        <v/>
      </c>
      <c r="L90" s="599" t="str">
        <f>IF($M90="","",INDEX(ﾏｽﾀ!$T$8:$T$16,MATCH($M90,ﾏｽﾀ!$U$8:$U$16,0))&amp;"")</f>
        <v/>
      </c>
      <c r="M90" s="534"/>
      <c r="N90" s="463"/>
      <c r="O90" s="464"/>
      <c r="P90" s="465"/>
      <c r="Q90" s="466" t="str">
        <f t="shared" si="12"/>
        <v/>
      </c>
      <c r="R90" s="154" t="str">
        <f>IF($T90="","",VLOOKUP($T90,請求Data!$I$11:$AR$160,請求Data!$AL$10-請求Data!$H$10,0))</f>
        <v/>
      </c>
      <c r="S90" s="155" t="str">
        <f>IF($T90="","",VLOOKUP($T90,請求Data!$I$11:$AR$160,請求Data!$AM$10-請求Data!$H$10,0))</f>
        <v/>
      </c>
      <c r="T90" s="467" t="str">
        <f>IF(ISNA(MATCH($H90,請求Data!$AH$11:$AH$160,0)),"",VLOOKUP($H90,請求Data!$AH$11:$AR$160,請求Data!$AK$10-請求Data!$AG$10,0))</f>
        <v/>
      </c>
      <c r="U90" s="468"/>
      <c r="V90" s="58"/>
    </row>
    <row r="91" spans="1:22" s="32" customFormat="1" ht="15" customHeight="1">
      <c r="A91" s="58" t="str">
        <f>IF($Q91="","",MAX($A$8:$A90)+1)</f>
        <v/>
      </c>
      <c r="B91" s="614" t="str">
        <f t="shared" si="11"/>
        <v/>
      </c>
      <c r="C91" s="614" t="str">
        <f t="shared" si="8"/>
        <v/>
      </c>
      <c r="D91" s="614" t="str">
        <f t="shared" si="9"/>
        <v/>
      </c>
      <c r="E91" s="615" t="str">
        <f t="shared" si="10"/>
        <v/>
      </c>
      <c r="F91" s="616" t="str">
        <f>IF($H91="","",IF(ISNA(MATCH($H91,$H$7:$H90,0)),1,0))</f>
        <v/>
      </c>
      <c r="G91" s="249"/>
      <c r="H91" s="95"/>
      <c r="I91" s="597" t="str">
        <f>IF($J91="","",INDEX(ﾏｽﾀ!$E$8:$E$124,MATCH(INDEX(ﾏｽﾀ!$N$8:$N$124,MATCH($J91,ﾏｽﾀ!$O$8:$O$124,0)),ﾏｽﾀ!$B$8:$B$124,0))&amp;"")</f>
        <v/>
      </c>
      <c r="J91" s="534"/>
      <c r="K91" s="598" t="str">
        <f>IF($J91="","",INDEX(ﾏｽﾀ!$G$8:$G$124,MATCH(INDEX(ﾏｽﾀ!$N$8:$N$124,MATCH($J91,ﾏｽﾀ!$O$8:$O$124,0)),ﾏｽﾀ!$B$8:$B$124,0))&amp;"")</f>
        <v/>
      </c>
      <c r="L91" s="599" t="str">
        <f>IF($M91="","",INDEX(ﾏｽﾀ!$T$8:$T$16,MATCH($M91,ﾏｽﾀ!$U$8:$U$16,0))&amp;"")</f>
        <v/>
      </c>
      <c r="M91" s="534"/>
      <c r="N91" s="463"/>
      <c r="O91" s="464"/>
      <c r="P91" s="465"/>
      <c r="Q91" s="466" t="str">
        <f t="shared" si="12"/>
        <v/>
      </c>
      <c r="R91" s="154" t="str">
        <f>IF($T91="","",VLOOKUP($T91,請求Data!$I$11:$AR$160,請求Data!$AL$10-請求Data!$H$10,0))</f>
        <v/>
      </c>
      <c r="S91" s="155" t="str">
        <f>IF($T91="","",VLOOKUP($T91,請求Data!$I$11:$AR$160,請求Data!$AM$10-請求Data!$H$10,0))</f>
        <v/>
      </c>
      <c r="T91" s="467" t="str">
        <f>IF(ISNA(MATCH($H91,請求Data!$AH$11:$AH$160,0)),"",VLOOKUP($H91,請求Data!$AH$11:$AR$160,請求Data!$AK$10-請求Data!$AG$10,0))</f>
        <v/>
      </c>
      <c r="U91" s="468"/>
      <c r="V91" s="58"/>
    </row>
    <row r="92" spans="1:22" s="32" customFormat="1" ht="15" customHeight="1">
      <c r="A92" s="58" t="str">
        <f>IF($Q92="","",MAX($A$8:$A91)+1)</f>
        <v/>
      </c>
      <c r="B92" s="614" t="str">
        <f t="shared" si="11"/>
        <v/>
      </c>
      <c r="C92" s="614" t="str">
        <f t="shared" si="8"/>
        <v/>
      </c>
      <c r="D92" s="614" t="str">
        <f t="shared" si="9"/>
        <v/>
      </c>
      <c r="E92" s="615" t="str">
        <f t="shared" si="10"/>
        <v/>
      </c>
      <c r="F92" s="616" t="str">
        <f>IF($H92="","",IF(ISNA(MATCH($H92,$H$7:$H91,0)),1,0))</f>
        <v/>
      </c>
      <c r="G92" s="249"/>
      <c r="H92" s="95"/>
      <c r="I92" s="597" t="str">
        <f>IF($J92="","",INDEX(ﾏｽﾀ!$E$8:$E$124,MATCH(INDEX(ﾏｽﾀ!$N$8:$N$124,MATCH($J92,ﾏｽﾀ!$O$8:$O$124,0)),ﾏｽﾀ!$B$8:$B$124,0))&amp;"")</f>
        <v/>
      </c>
      <c r="J92" s="534"/>
      <c r="K92" s="598" t="str">
        <f>IF($J92="","",INDEX(ﾏｽﾀ!$G$8:$G$124,MATCH(INDEX(ﾏｽﾀ!$N$8:$N$124,MATCH($J92,ﾏｽﾀ!$O$8:$O$124,0)),ﾏｽﾀ!$B$8:$B$124,0))&amp;"")</f>
        <v/>
      </c>
      <c r="L92" s="599" t="str">
        <f>IF($M92="","",INDEX(ﾏｽﾀ!$T$8:$T$16,MATCH($M92,ﾏｽﾀ!$U$8:$U$16,0))&amp;"")</f>
        <v/>
      </c>
      <c r="M92" s="534"/>
      <c r="N92" s="463"/>
      <c r="O92" s="464"/>
      <c r="P92" s="465"/>
      <c r="Q92" s="466" t="str">
        <f t="shared" si="12"/>
        <v/>
      </c>
      <c r="R92" s="154" t="str">
        <f>IF($T92="","",VLOOKUP($T92,請求Data!$I$11:$AR$160,請求Data!$AL$10-請求Data!$H$10,0))</f>
        <v/>
      </c>
      <c r="S92" s="155" t="str">
        <f>IF($T92="","",VLOOKUP($T92,請求Data!$I$11:$AR$160,請求Data!$AM$10-請求Data!$H$10,0))</f>
        <v/>
      </c>
      <c r="T92" s="467" t="str">
        <f>IF(ISNA(MATCH($H92,請求Data!$AH$11:$AH$160,0)),"",VLOOKUP($H92,請求Data!$AH$11:$AR$160,請求Data!$AK$10-請求Data!$AG$10,0))</f>
        <v/>
      </c>
      <c r="U92" s="468"/>
      <c r="V92" s="58"/>
    </row>
    <row r="93" spans="1:22" s="32" customFormat="1" ht="15" customHeight="1">
      <c r="A93" s="58" t="str">
        <f>IF($Q93="","",MAX($A$8:$A92)+1)</f>
        <v/>
      </c>
      <c r="B93" s="614" t="str">
        <f t="shared" si="11"/>
        <v/>
      </c>
      <c r="C93" s="614" t="str">
        <f t="shared" si="8"/>
        <v/>
      </c>
      <c r="D93" s="614" t="str">
        <f t="shared" si="9"/>
        <v/>
      </c>
      <c r="E93" s="615" t="str">
        <f t="shared" si="10"/>
        <v/>
      </c>
      <c r="F93" s="616" t="str">
        <f>IF($H93="","",IF(ISNA(MATCH($H93,$H$7:$H92,0)),1,0))</f>
        <v/>
      </c>
      <c r="G93" s="249"/>
      <c r="H93" s="95"/>
      <c r="I93" s="597" t="str">
        <f>IF($J93="","",INDEX(ﾏｽﾀ!$E$8:$E$124,MATCH(INDEX(ﾏｽﾀ!$N$8:$N$124,MATCH($J93,ﾏｽﾀ!$O$8:$O$124,0)),ﾏｽﾀ!$B$8:$B$124,0))&amp;"")</f>
        <v/>
      </c>
      <c r="J93" s="534"/>
      <c r="K93" s="598" t="str">
        <f>IF($J93="","",INDEX(ﾏｽﾀ!$G$8:$G$124,MATCH(INDEX(ﾏｽﾀ!$N$8:$N$124,MATCH($J93,ﾏｽﾀ!$O$8:$O$124,0)),ﾏｽﾀ!$B$8:$B$124,0))&amp;"")</f>
        <v/>
      </c>
      <c r="L93" s="599" t="str">
        <f>IF($M93="","",INDEX(ﾏｽﾀ!$T$8:$T$16,MATCH($M93,ﾏｽﾀ!$U$8:$U$16,0))&amp;"")</f>
        <v/>
      </c>
      <c r="M93" s="534"/>
      <c r="N93" s="463"/>
      <c r="O93" s="464"/>
      <c r="P93" s="465"/>
      <c r="Q93" s="466" t="str">
        <f t="shared" si="12"/>
        <v/>
      </c>
      <c r="R93" s="154" t="str">
        <f>IF($T93="","",VLOOKUP($T93,請求Data!$I$11:$AR$160,請求Data!$AL$10-請求Data!$H$10,0))</f>
        <v/>
      </c>
      <c r="S93" s="155" t="str">
        <f>IF($T93="","",VLOOKUP($T93,請求Data!$I$11:$AR$160,請求Data!$AM$10-請求Data!$H$10,0))</f>
        <v/>
      </c>
      <c r="T93" s="467" t="str">
        <f>IF(ISNA(MATCH($H93,請求Data!$AH$11:$AH$160,0)),"",VLOOKUP($H93,請求Data!$AH$11:$AR$160,請求Data!$AK$10-請求Data!$AG$10,0))</f>
        <v/>
      </c>
      <c r="U93" s="468"/>
      <c r="V93" s="58"/>
    </row>
    <row r="94" spans="1:22" s="32" customFormat="1" ht="15" customHeight="1">
      <c r="A94" s="58" t="str">
        <f>IF($Q94="","",MAX($A$8:$A93)+1)</f>
        <v/>
      </c>
      <c r="B94" s="614" t="str">
        <f t="shared" si="11"/>
        <v/>
      </c>
      <c r="C94" s="614" t="str">
        <f t="shared" si="8"/>
        <v/>
      </c>
      <c r="D94" s="614" t="str">
        <f t="shared" si="9"/>
        <v/>
      </c>
      <c r="E94" s="615" t="str">
        <f t="shared" si="10"/>
        <v/>
      </c>
      <c r="F94" s="616" t="str">
        <f>IF($H94="","",IF(ISNA(MATCH($H94,$H$7:$H93,0)),1,0))</f>
        <v/>
      </c>
      <c r="G94" s="249"/>
      <c r="H94" s="95"/>
      <c r="I94" s="597" t="str">
        <f>IF($J94="","",INDEX(ﾏｽﾀ!$E$8:$E$124,MATCH(INDEX(ﾏｽﾀ!$N$8:$N$124,MATCH($J94,ﾏｽﾀ!$O$8:$O$124,0)),ﾏｽﾀ!$B$8:$B$124,0))&amp;"")</f>
        <v/>
      </c>
      <c r="J94" s="534"/>
      <c r="K94" s="598" t="str">
        <f>IF($J94="","",INDEX(ﾏｽﾀ!$G$8:$G$124,MATCH(INDEX(ﾏｽﾀ!$N$8:$N$124,MATCH($J94,ﾏｽﾀ!$O$8:$O$124,0)),ﾏｽﾀ!$B$8:$B$124,0))&amp;"")</f>
        <v/>
      </c>
      <c r="L94" s="599" t="str">
        <f>IF($M94="","",INDEX(ﾏｽﾀ!$T$8:$T$16,MATCH($M94,ﾏｽﾀ!$U$8:$U$16,0))&amp;"")</f>
        <v/>
      </c>
      <c r="M94" s="534"/>
      <c r="N94" s="463"/>
      <c r="O94" s="464"/>
      <c r="P94" s="465"/>
      <c r="Q94" s="466" t="str">
        <f t="shared" si="12"/>
        <v/>
      </c>
      <c r="R94" s="154" t="str">
        <f>IF($T94="","",VLOOKUP($T94,請求Data!$I$11:$AR$160,請求Data!$AL$10-請求Data!$H$10,0))</f>
        <v/>
      </c>
      <c r="S94" s="155" t="str">
        <f>IF($T94="","",VLOOKUP($T94,請求Data!$I$11:$AR$160,請求Data!$AM$10-請求Data!$H$10,0))</f>
        <v/>
      </c>
      <c r="T94" s="467" t="str">
        <f>IF(ISNA(MATCH($H94,請求Data!$AH$11:$AH$160,0)),"",VLOOKUP($H94,請求Data!$AH$11:$AR$160,請求Data!$AK$10-請求Data!$AG$10,0))</f>
        <v/>
      </c>
      <c r="U94" s="468"/>
      <c r="V94" s="58"/>
    </row>
    <row r="95" spans="1:22" s="32" customFormat="1" ht="15" customHeight="1">
      <c r="A95" s="58" t="str">
        <f>IF($Q95="","",MAX($A$8:$A94)+1)</f>
        <v/>
      </c>
      <c r="B95" s="614" t="str">
        <f t="shared" si="11"/>
        <v/>
      </c>
      <c r="C95" s="614" t="str">
        <f t="shared" si="8"/>
        <v/>
      </c>
      <c r="D95" s="614" t="str">
        <f t="shared" si="9"/>
        <v/>
      </c>
      <c r="E95" s="615" t="str">
        <f t="shared" si="10"/>
        <v/>
      </c>
      <c r="F95" s="616" t="str">
        <f>IF($H95="","",IF(ISNA(MATCH($H95,$H$7:$H94,0)),1,0))</f>
        <v/>
      </c>
      <c r="G95" s="249"/>
      <c r="H95" s="95"/>
      <c r="I95" s="597" t="str">
        <f>IF($J95="","",INDEX(ﾏｽﾀ!$E$8:$E$124,MATCH(INDEX(ﾏｽﾀ!$N$8:$N$124,MATCH($J95,ﾏｽﾀ!$O$8:$O$124,0)),ﾏｽﾀ!$B$8:$B$124,0))&amp;"")</f>
        <v/>
      </c>
      <c r="J95" s="534"/>
      <c r="K95" s="598" t="str">
        <f>IF($J95="","",INDEX(ﾏｽﾀ!$G$8:$G$124,MATCH(INDEX(ﾏｽﾀ!$N$8:$N$124,MATCH($J95,ﾏｽﾀ!$O$8:$O$124,0)),ﾏｽﾀ!$B$8:$B$124,0))&amp;"")</f>
        <v/>
      </c>
      <c r="L95" s="599" t="str">
        <f>IF($M95="","",INDEX(ﾏｽﾀ!$T$8:$T$16,MATCH($M95,ﾏｽﾀ!$U$8:$U$16,0))&amp;"")</f>
        <v/>
      </c>
      <c r="M95" s="534"/>
      <c r="N95" s="463"/>
      <c r="O95" s="464"/>
      <c r="P95" s="465"/>
      <c r="Q95" s="466" t="str">
        <f t="shared" si="12"/>
        <v/>
      </c>
      <c r="R95" s="154" t="str">
        <f>IF($T95="","",VLOOKUP($T95,請求Data!$I$11:$AR$160,請求Data!$AL$10-請求Data!$H$10,0))</f>
        <v/>
      </c>
      <c r="S95" s="155" t="str">
        <f>IF($T95="","",VLOOKUP($T95,請求Data!$I$11:$AR$160,請求Data!$AM$10-請求Data!$H$10,0))</f>
        <v/>
      </c>
      <c r="T95" s="467" t="str">
        <f>IF(ISNA(MATCH($H95,請求Data!$AH$11:$AH$160,0)),"",VLOOKUP($H95,請求Data!$AH$11:$AR$160,請求Data!$AK$10-請求Data!$AG$10,0))</f>
        <v/>
      </c>
      <c r="U95" s="468"/>
      <c r="V95" s="63"/>
    </row>
    <row r="96" spans="1:22" s="32" customFormat="1" ht="15" customHeight="1">
      <c r="A96" s="58" t="str">
        <f>IF($Q96="","",MAX($A$8:$A95)+1)</f>
        <v/>
      </c>
      <c r="B96" s="614" t="str">
        <f t="shared" si="11"/>
        <v/>
      </c>
      <c r="C96" s="614" t="str">
        <f t="shared" si="8"/>
        <v/>
      </c>
      <c r="D96" s="614" t="str">
        <f t="shared" si="9"/>
        <v/>
      </c>
      <c r="E96" s="615" t="str">
        <f t="shared" si="10"/>
        <v/>
      </c>
      <c r="F96" s="616" t="str">
        <f>IF($H96="","",IF(ISNA(MATCH($H96,$H$7:$H95,0)),1,0))</f>
        <v/>
      </c>
      <c r="G96" s="249"/>
      <c r="H96" s="95"/>
      <c r="I96" s="597" t="str">
        <f>IF($J96="","",INDEX(ﾏｽﾀ!$E$8:$E$124,MATCH(INDEX(ﾏｽﾀ!$N$8:$N$124,MATCH($J96,ﾏｽﾀ!$O$8:$O$124,0)),ﾏｽﾀ!$B$8:$B$124,0))&amp;"")</f>
        <v/>
      </c>
      <c r="J96" s="534"/>
      <c r="K96" s="598" t="str">
        <f>IF($J96="","",INDEX(ﾏｽﾀ!$G$8:$G$124,MATCH(INDEX(ﾏｽﾀ!$N$8:$N$124,MATCH($J96,ﾏｽﾀ!$O$8:$O$124,0)),ﾏｽﾀ!$B$8:$B$124,0))&amp;"")</f>
        <v/>
      </c>
      <c r="L96" s="599" t="str">
        <f>IF($M96="","",INDEX(ﾏｽﾀ!$T$8:$T$16,MATCH($M96,ﾏｽﾀ!$U$8:$U$16,0))&amp;"")</f>
        <v/>
      </c>
      <c r="M96" s="534"/>
      <c r="N96" s="463"/>
      <c r="O96" s="464"/>
      <c r="P96" s="465"/>
      <c r="Q96" s="466" t="str">
        <f t="shared" si="12"/>
        <v/>
      </c>
      <c r="R96" s="154" t="str">
        <f>IF($T96="","",VLOOKUP($T96,請求Data!$I$11:$AR$160,請求Data!$AL$10-請求Data!$H$10,0))</f>
        <v/>
      </c>
      <c r="S96" s="155" t="str">
        <f>IF($T96="","",VLOOKUP($T96,請求Data!$I$11:$AR$160,請求Data!$AM$10-請求Data!$H$10,0))</f>
        <v/>
      </c>
      <c r="T96" s="467" t="str">
        <f>IF(ISNA(MATCH($H96,請求Data!$AH$11:$AH$160,0)),"",VLOOKUP($H96,請求Data!$AH$11:$AR$160,請求Data!$AK$10-請求Data!$AG$10,0))</f>
        <v/>
      </c>
      <c r="U96" s="468"/>
      <c r="V96" s="58"/>
    </row>
    <row r="97" spans="1:22" s="32" customFormat="1" ht="15" customHeight="1">
      <c r="A97" s="58" t="str">
        <f>IF($Q97="","",MAX($A$8:$A96)+1)</f>
        <v/>
      </c>
      <c r="B97" s="614" t="str">
        <f t="shared" si="11"/>
        <v/>
      </c>
      <c r="C97" s="614" t="str">
        <f t="shared" si="8"/>
        <v/>
      </c>
      <c r="D97" s="614" t="str">
        <f t="shared" si="9"/>
        <v/>
      </c>
      <c r="E97" s="615" t="str">
        <f t="shared" si="10"/>
        <v/>
      </c>
      <c r="F97" s="616" t="str">
        <f>IF($H97="","",IF(ISNA(MATCH($H97,$H$7:$H96,0)),1,0))</f>
        <v/>
      </c>
      <c r="G97" s="249"/>
      <c r="H97" s="95"/>
      <c r="I97" s="597" t="str">
        <f>IF($J97="","",INDEX(ﾏｽﾀ!$E$8:$E$124,MATCH(INDEX(ﾏｽﾀ!$N$8:$N$124,MATCH($J97,ﾏｽﾀ!$O$8:$O$124,0)),ﾏｽﾀ!$B$8:$B$124,0))&amp;"")</f>
        <v/>
      </c>
      <c r="J97" s="534"/>
      <c r="K97" s="598" t="str">
        <f>IF($J97="","",INDEX(ﾏｽﾀ!$G$8:$G$124,MATCH(INDEX(ﾏｽﾀ!$N$8:$N$124,MATCH($J97,ﾏｽﾀ!$O$8:$O$124,0)),ﾏｽﾀ!$B$8:$B$124,0))&amp;"")</f>
        <v/>
      </c>
      <c r="L97" s="599" t="str">
        <f>IF($M97="","",INDEX(ﾏｽﾀ!$T$8:$T$16,MATCH($M97,ﾏｽﾀ!$U$8:$U$16,0))&amp;"")</f>
        <v/>
      </c>
      <c r="M97" s="534"/>
      <c r="N97" s="463"/>
      <c r="O97" s="464"/>
      <c r="P97" s="465"/>
      <c r="Q97" s="466" t="str">
        <f t="shared" si="12"/>
        <v/>
      </c>
      <c r="R97" s="154" t="str">
        <f>IF($T97="","",VLOOKUP($T97,請求Data!$I$11:$AR$160,請求Data!$AL$10-請求Data!$H$10,0))</f>
        <v/>
      </c>
      <c r="S97" s="155" t="str">
        <f>IF($T97="","",VLOOKUP($T97,請求Data!$I$11:$AR$160,請求Data!$AM$10-請求Data!$H$10,0))</f>
        <v/>
      </c>
      <c r="T97" s="467" t="str">
        <f>IF(ISNA(MATCH($H97,請求Data!$AH$11:$AH$160,0)),"",VLOOKUP($H97,請求Data!$AH$11:$AR$160,請求Data!$AK$10-請求Data!$AG$10,0))</f>
        <v/>
      </c>
      <c r="U97" s="468"/>
      <c r="V97" s="58"/>
    </row>
    <row r="98" spans="1:22" s="32" customFormat="1" ht="15" customHeight="1">
      <c r="A98" s="58" t="str">
        <f>IF($Q98="","",MAX($A$8:$A97)+1)</f>
        <v/>
      </c>
      <c r="B98" s="614" t="str">
        <f t="shared" si="11"/>
        <v/>
      </c>
      <c r="C98" s="614" t="str">
        <f t="shared" si="8"/>
        <v/>
      </c>
      <c r="D98" s="614" t="str">
        <f t="shared" si="9"/>
        <v/>
      </c>
      <c r="E98" s="615" t="str">
        <f t="shared" si="10"/>
        <v/>
      </c>
      <c r="F98" s="616" t="str">
        <f>IF($H98="","",IF(ISNA(MATCH($H98,$H$7:$H97,0)),1,0))</f>
        <v/>
      </c>
      <c r="G98" s="249"/>
      <c r="H98" s="95"/>
      <c r="I98" s="597" t="str">
        <f>IF($J98="","",INDEX(ﾏｽﾀ!$E$8:$E$124,MATCH(INDEX(ﾏｽﾀ!$N$8:$N$124,MATCH($J98,ﾏｽﾀ!$O$8:$O$124,0)),ﾏｽﾀ!$B$8:$B$124,0))&amp;"")</f>
        <v/>
      </c>
      <c r="J98" s="534"/>
      <c r="K98" s="598" t="str">
        <f>IF($J98="","",INDEX(ﾏｽﾀ!$G$8:$G$124,MATCH(INDEX(ﾏｽﾀ!$N$8:$N$124,MATCH($J98,ﾏｽﾀ!$O$8:$O$124,0)),ﾏｽﾀ!$B$8:$B$124,0))&amp;"")</f>
        <v/>
      </c>
      <c r="L98" s="599" t="str">
        <f>IF($M98="","",INDEX(ﾏｽﾀ!$T$8:$T$16,MATCH($M98,ﾏｽﾀ!$U$8:$U$16,0))&amp;"")</f>
        <v/>
      </c>
      <c r="M98" s="534"/>
      <c r="N98" s="463"/>
      <c r="O98" s="464"/>
      <c r="P98" s="465"/>
      <c r="Q98" s="466" t="str">
        <f t="shared" si="12"/>
        <v/>
      </c>
      <c r="R98" s="154" t="str">
        <f>IF($T98="","",VLOOKUP($T98,請求Data!$I$11:$AR$160,請求Data!$AL$10-請求Data!$H$10,0))</f>
        <v/>
      </c>
      <c r="S98" s="155" t="str">
        <f>IF($T98="","",VLOOKUP($T98,請求Data!$I$11:$AR$160,請求Data!$AM$10-請求Data!$H$10,0))</f>
        <v/>
      </c>
      <c r="T98" s="467" t="str">
        <f>IF(ISNA(MATCH($H98,請求Data!$AH$11:$AH$160,0)),"",VLOOKUP($H98,請求Data!$AH$11:$AR$160,請求Data!$AK$10-請求Data!$AG$10,0))</f>
        <v/>
      </c>
      <c r="U98" s="468"/>
      <c r="V98" s="58"/>
    </row>
    <row r="99" spans="1:22" s="32" customFormat="1" ht="15" customHeight="1">
      <c r="A99" s="58" t="str">
        <f>IF($Q99="","",MAX($A$8:$A98)+1)</f>
        <v/>
      </c>
      <c r="B99" s="614" t="str">
        <f t="shared" si="11"/>
        <v/>
      </c>
      <c r="C99" s="614" t="str">
        <f t="shared" si="8"/>
        <v/>
      </c>
      <c r="D99" s="614" t="str">
        <f t="shared" si="9"/>
        <v/>
      </c>
      <c r="E99" s="615" t="str">
        <f t="shared" si="10"/>
        <v/>
      </c>
      <c r="F99" s="616" t="str">
        <f>IF($H99="","",IF(ISNA(MATCH($H99,$H$7:$H98,0)),1,0))</f>
        <v/>
      </c>
      <c r="G99" s="249"/>
      <c r="H99" s="95"/>
      <c r="I99" s="597" t="str">
        <f>IF($J99="","",INDEX(ﾏｽﾀ!$E$8:$E$124,MATCH(INDEX(ﾏｽﾀ!$N$8:$N$124,MATCH($J99,ﾏｽﾀ!$O$8:$O$124,0)),ﾏｽﾀ!$B$8:$B$124,0))&amp;"")</f>
        <v/>
      </c>
      <c r="J99" s="534"/>
      <c r="K99" s="598" t="str">
        <f>IF($J99="","",INDEX(ﾏｽﾀ!$G$8:$G$124,MATCH(INDEX(ﾏｽﾀ!$N$8:$N$124,MATCH($J99,ﾏｽﾀ!$O$8:$O$124,0)),ﾏｽﾀ!$B$8:$B$124,0))&amp;"")</f>
        <v/>
      </c>
      <c r="L99" s="599" t="str">
        <f>IF($M99="","",INDEX(ﾏｽﾀ!$T$8:$T$16,MATCH($M99,ﾏｽﾀ!$U$8:$U$16,0))&amp;"")</f>
        <v/>
      </c>
      <c r="M99" s="534"/>
      <c r="N99" s="463"/>
      <c r="O99" s="464"/>
      <c r="P99" s="465"/>
      <c r="Q99" s="466" t="str">
        <f t="shared" si="12"/>
        <v/>
      </c>
      <c r="R99" s="154" t="str">
        <f>IF($T99="","",VLOOKUP($T99,請求Data!$I$11:$AR$160,請求Data!$AL$10-請求Data!$H$10,0))</f>
        <v/>
      </c>
      <c r="S99" s="155" t="str">
        <f>IF($T99="","",VLOOKUP($T99,請求Data!$I$11:$AR$160,請求Data!$AM$10-請求Data!$H$10,0))</f>
        <v/>
      </c>
      <c r="T99" s="467" t="str">
        <f>IF(ISNA(MATCH($H99,請求Data!$AH$11:$AH$160,0)),"",VLOOKUP($H99,請求Data!$AH$11:$AR$160,請求Data!$AK$10-請求Data!$AG$10,0))</f>
        <v/>
      </c>
      <c r="U99" s="468"/>
      <c r="V99" s="58"/>
    </row>
    <row r="100" spans="1:22" s="32" customFormat="1" ht="15" customHeight="1">
      <c r="A100" s="58" t="str">
        <f>IF($Q100="","",MAX($A$8:$A99)+1)</f>
        <v/>
      </c>
      <c r="B100" s="614" t="str">
        <f t="shared" si="11"/>
        <v/>
      </c>
      <c r="C100" s="614" t="str">
        <f t="shared" si="8"/>
        <v/>
      </c>
      <c r="D100" s="614" t="str">
        <f t="shared" si="9"/>
        <v/>
      </c>
      <c r="E100" s="615" t="str">
        <f t="shared" si="10"/>
        <v/>
      </c>
      <c r="F100" s="616" t="str">
        <f>IF($H100="","",IF(ISNA(MATCH($H100,$H$7:$H99,0)),1,0))</f>
        <v/>
      </c>
      <c r="G100" s="249"/>
      <c r="H100" s="95"/>
      <c r="I100" s="597" t="str">
        <f>IF($J100="","",INDEX(ﾏｽﾀ!$E$8:$E$124,MATCH(INDEX(ﾏｽﾀ!$N$8:$N$124,MATCH($J100,ﾏｽﾀ!$O$8:$O$124,0)),ﾏｽﾀ!$B$8:$B$124,0))&amp;"")</f>
        <v/>
      </c>
      <c r="J100" s="534"/>
      <c r="K100" s="598" t="str">
        <f>IF($J100="","",INDEX(ﾏｽﾀ!$G$8:$G$124,MATCH(INDEX(ﾏｽﾀ!$N$8:$N$124,MATCH($J100,ﾏｽﾀ!$O$8:$O$124,0)),ﾏｽﾀ!$B$8:$B$124,0))&amp;"")</f>
        <v/>
      </c>
      <c r="L100" s="599" t="str">
        <f>IF($M100="","",INDEX(ﾏｽﾀ!$T$8:$T$16,MATCH($M100,ﾏｽﾀ!$U$8:$U$16,0))&amp;"")</f>
        <v/>
      </c>
      <c r="M100" s="534"/>
      <c r="N100" s="463"/>
      <c r="O100" s="464"/>
      <c r="P100" s="465"/>
      <c r="Q100" s="466" t="str">
        <f t="shared" si="12"/>
        <v/>
      </c>
      <c r="R100" s="154" t="str">
        <f>IF($T100="","",VLOOKUP($T100,請求Data!$I$11:$AR$160,請求Data!$AL$10-請求Data!$H$10,0))</f>
        <v/>
      </c>
      <c r="S100" s="155" t="str">
        <f>IF($T100="","",VLOOKUP($T100,請求Data!$I$11:$AR$160,請求Data!$AM$10-請求Data!$H$10,0))</f>
        <v/>
      </c>
      <c r="T100" s="467" t="str">
        <f>IF(ISNA(MATCH($H100,請求Data!$AH$11:$AH$160,0)),"",VLOOKUP($H100,請求Data!$AH$11:$AR$160,請求Data!$AK$10-請求Data!$AG$10,0))</f>
        <v/>
      </c>
      <c r="U100" s="468"/>
      <c r="V100" s="58"/>
    </row>
    <row r="101" spans="1:22" s="32" customFormat="1" ht="15" customHeight="1">
      <c r="A101" s="58" t="str">
        <f>IF($Q101="","",MAX($A$8:$A100)+1)</f>
        <v/>
      </c>
      <c r="B101" s="614" t="str">
        <f t="shared" si="11"/>
        <v/>
      </c>
      <c r="C101" s="614" t="str">
        <f t="shared" si="8"/>
        <v/>
      </c>
      <c r="D101" s="614" t="str">
        <f t="shared" si="9"/>
        <v/>
      </c>
      <c r="E101" s="615" t="str">
        <f t="shared" si="10"/>
        <v/>
      </c>
      <c r="F101" s="616" t="str">
        <f>IF($H101="","",IF(ISNA(MATCH($H101,$H$7:$H100,0)),1,0))</f>
        <v/>
      </c>
      <c r="G101" s="249"/>
      <c r="H101" s="95"/>
      <c r="I101" s="597" t="str">
        <f>IF($J101="","",INDEX(ﾏｽﾀ!$E$8:$E$124,MATCH(INDEX(ﾏｽﾀ!$N$8:$N$124,MATCH($J101,ﾏｽﾀ!$O$8:$O$124,0)),ﾏｽﾀ!$B$8:$B$124,0))&amp;"")</f>
        <v/>
      </c>
      <c r="J101" s="534"/>
      <c r="K101" s="598" t="str">
        <f>IF($J101="","",INDEX(ﾏｽﾀ!$G$8:$G$124,MATCH(INDEX(ﾏｽﾀ!$N$8:$N$124,MATCH($J101,ﾏｽﾀ!$O$8:$O$124,0)),ﾏｽﾀ!$B$8:$B$124,0))&amp;"")</f>
        <v/>
      </c>
      <c r="L101" s="599" t="str">
        <f>IF($M101="","",INDEX(ﾏｽﾀ!$T$8:$T$16,MATCH($M101,ﾏｽﾀ!$U$8:$U$16,0))&amp;"")</f>
        <v/>
      </c>
      <c r="M101" s="534"/>
      <c r="N101" s="463"/>
      <c r="O101" s="464"/>
      <c r="P101" s="465"/>
      <c r="Q101" s="466" t="str">
        <f t="shared" si="12"/>
        <v/>
      </c>
      <c r="R101" s="154" t="str">
        <f>IF($T101="","",VLOOKUP($T101,請求Data!$I$11:$AR$160,請求Data!$AL$10-請求Data!$H$10,0))</f>
        <v/>
      </c>
      <c r="S101" s="155" t="str">
        <f>IF($T101="","",VLOOKUP($T101,請求Data!$I$11:$AR$160,請求Data!$AM$10-請求Data!$H$10,0))</f>
        <v/>
      </c>
      <c r="T101" s="467" t="str">
        <f>IF(ISNA(MATCH($H101,請求Data!$AH$11:$AH$160,0)),"",VLOOKUP($H101,請求Data!$AH$11:$AR$160,請求Data!$AK$10-請求Data!$AG$10,0))</f>
        <v/>
      </c>
      <c r="U101" s="468"/>
      <c r="V101" s="58"/>
    </row>
    <row r="102" spans="1:22" s="32" customFormat="1" ht="15" customHeight="1">
      <c r="A102" s="58" t="str">
        <f>IF($Q102="","",MAX($A$8:$A101)+1)</f>
        <v/>
      </c>
      <c r="B102" s="614" t="str">
        <f t="shared" si="11"/>
        <v/>
      </c>
      <c r="C102" s="614" t="str">
        <f t="shared" si="8"/>
        <v/>
      </c>
      <c r="D102" s="614" t="str">
        <f t="shared" si="9"/>
        <v/>
      </c>
      <c r="E102" s="615" t="str">
        <f t="shared" si="10"/>
        <v/>
      </c>
      <c r="F102" s="616" t="str">
        <f>IF($H102="","",IF(ISNA(MATCH($H102,$H$7:$H101,0)),1,0))</f>
        <v/>
      </c>
      <c r="G102" s="249"/>
      <c r="H102" s="95"/>
      <c r="I102" s="597" t="str">
        <f>IF($J102="","",INDEX(ﾏｽﾀ!$E$8:$E$124,MATCH(INDEX(ﾏｽﾀ!$N$8:$N$124,MATCH($J102,ﾏｽﾀ!$O$8:$O$124,0)),ﾏｽﾀ!$B$8:$B$124,0))&amp;"")</f>
        <v/>
      </c>
      <c r="J102" s="534"/>
      <c r="K102" s="598" t="str">
        <f>IF($J102="","",INDEX(ﾏｽﾀ!$G$8:$G$124,MATCH(INDEX(ﾏｽﾀ!$N$8:$N$124,MATCH($J102,ﾏｽﾀ!$O$8:$O$124,0)),ﾏｽﾀ!$B$8:$B$124,0))&amp;"")</f>
        <v/>
      </c>
      <c r="L102" s="599" t="str">
        <f>IF($M102="","",INDEX(ﾏｽﾀ!$T$8:$T$16,MATCH($M102,ﾏｽﾀ!$U$8:$U$16,0))&amp;"")</f>
        <v/>
      </c>
      <c r="M102" s="534"/>
      <c r="N102" s="463"/>
      <c r="O102" s="464"/>
      <c r="P102" s="465"/>
      <c r="Q102" s="466" t="str">
        <f t="shared" si="12"/>
        <v/>
      </c>
      <c r="R102" s="154" t="str">
        <f>IF($T102="","",VLOOKUP($T102,請求Data!$I$11:$AR$160,請求Data!$AL$10-請求Data!$H$10,0))</f>
        <v/>
      </c>
      <c r="S102" s="155" t="str">
        <f>IF($T102="","",VLOOKUP($T102,請求Data!$I$11:$AR$160,請求Data!$AM$10-請求Data!$H$10,0))</f>
        <v/>
      </c>
      <c r="T102" s="467" t="str">
        <f>IF(ISNA(MATCH($H102,請求Data!$AH$11:$AH$160,0)),"",VLOOKUP($H102,請求Data!$AH$11:$AR$160,請求Data!$AK$10-請求Data!$AG$10,0))</f>
        <v/>
      </c>
      <c r="U102" s="468"/>
      <c r="V102" s="58"/>
    </row>
    <row r="103" spans="1:22" s="32" customFormat="1" ht="15" customHeight="1">
      <c r="A103" s="58" t="str">
        <f>IF($Q103="","",MAX($A$8:$A102)+1)</f>
        <v/>
      </c>
      <c r="B103" s="614" t="str">
        <f t="shared" si="11"/>
        <v/>
      </c>
      <c r="C103" s="614" t="str">
        <f t="shared" si="8"/>
        <v/>
      </c>
      <c r="D103" s="614" t="str">
        <f t="shared" si="9"/>
        <v/>
      </c>
      <c r="E103" s="615" t="str">
        <f t="shared" si="10"/>
        <v/>
      </c>
      <c r="F103" s="616" t="str">
        <f>IF($H103="","",IF(ISNA(MATCH($H103,$H$7:$H102,0)),1,0))</f>
        <v/>
      </c>
      <c r="G103" s="249"/>
      <c r="H103" s="95"/>
      <c r="I103" s="597" t="str">
        <f>IF($J103="","",INDEX(ﾏｽﾀ!$E$8:$E$124,MATCH(INDEX(ﾏｽﾀ!$N$8:$N$124,MATCH($J103,ﾏｽﾀ!$O$8:$O$124,0)),ﾏｽﾀ!$B$8:$B$124,0))&amp;"")</f>
        <v/>
      </c>
      <c r="J103" s="534"/>
      <c r="K103" s="598" t="str">
        <f>IF($J103="","",INDEX(ﾏｽﾀ!$G$8:$G$124,MATCH(INDEX(ﾏｽﾀ!$N$8:$N$124,MATCH($J103,ﾏｽﾀ!$O$8:$O$124,0)),ﾏｽﾀ!$B$8:$B$124,0))&amp;"")</f>
        <v/>
      </c>
      <c r="L103" s="599" t="str">
        <f>IF($M103="","",INDEX(ﾏｽﾀ!$T$8:$T$16,MATCH($M103,ﾏｽﾀ!$U$8:$U$16,0))&amp;"")</f>
        <v/>
      </c>
      <c r="M103" s="534"/>
      <c r="N103" s="463"/>
      <c r="O103" s="464"/>
      <c r="P103" s="465"/>
      <c r="Q103" s="466" t="str">
        <f t="shared" si="12"/>
        <v/>
      </c>
      <c r="R103" s="154" t="str">
        <f>IF($T103="","",VLOOKUP($T103,請求Data!$I$11:$AR$160,請求Data!$AL$10-請求Data!$H$10,0))</f>
        <v/>
      </c>
      <c r="S103" s="155" t="str">
        <f>IF($T103="","",VLOOKUP($T103,請求Data!$I$11:$AR$160,請求Data!$AM$10-請求Data!$H$10,0))</f>
        <v/>
      </c>
      <c r="T103" s="467" t="str">
        <f>IF(ISNA(MATCH($H103,請求Data!$AH$11:$AH$160,0)),"",VLOOKUP($H103,請求Data!$AH$11:$AR$160,請求Data!$AK$10-請求Data!$AG$10,0))</f>
        <v/>
      </c>
      <c r="U103" s="468"/>
      <c r="V103" s="58"/>
    </row>
    <row r="104" spans="1:22" s="32" customFormat="1" ht="15" customHeight="1">
      <c r="A104" s="58" t="str">
        <f>IF($Q104="","",MAX($A$8:$A103)+1)</f>
        <v/>
      </c>
      <c r="B104" s="614" t="str">
        <f t="shared" si="11"/>
        <v/>
      </c>
      <c r="C104" s="614" t="str">
        <f t="shared" si="8"/>
        <v/>
      </c>
      <c r="D104" s="614" t="str">
        <f t="shared" si="9"/>
        <v/>
      </c>
      <c r="E104" s="615" t="str">
        <f t="shared" si="10"/>
        <v/>
      </c>
      <c r="F104" s="616" t="str">
        <f>IF($H104="","",IF(ISNA(MATCH($H104,$H$7:$H103,0)),1,0))</f>
        <v/>
      </c>
      <c r="G104" s="249"/>
      <c r="H104" s="95"/>
      <c r="I104" s="597" t="str">
        <f>IF($J104="","",INDEX(ﾏｽﾀ!$E$8:$E$124,MATCH(INDEX(ﾏｽﾀ!$N$8:$N$124,MATCH($J104,ﾏｽﾀ!$O$8:$O$124,0)),ﾏｽﾀ!$B$8:$B$124,0))&amp;"")</f>
        <v/>
      </c>
      <c r="J104" s="534"/>
      <c r="K104" s="598" t="str">
        <f>IF($J104="","",INDEX(ﾏｽﾀ!$G$8:$G$124,MATCH(INDEX(ﾏｽﾀ!$N$8:$N$124,MATCH($J104,ﾏｽﾀ!$O$8:$O$124,0)),ﾏｽﾀ!$B$8:$B$124,0))&amp;"")</f>
        <v/>
      </c>
      <c r="L104" s="599" t="str">
        <f>IF($M104="","",INDEX(ﾏｽﾀ!$T$8:$T$16,MATCH($M104,ﾏｽﾀ!$U$8:$U$16,0))&amp;"")</f>
        <v/>
      </c>
      <c r="M104" s="534"/>
      <c r="N104" s="463"/>
      <c r="O104" s="464"/>
      <c r="P104" s="465"/>
      <c r="Q104" s="466" t="str">
        <f t="shared" si="12"/>
        <v/>
      </c>
      <c r="R104" s="154" t="str">
        <f>IF($T104="","",VLOOKUP($T104,請求Data!$I$11:$AR$160,請求Data!$AL$10-請求Data!$H$10,0))</f>
        <v/>
      </c>
      <c r="S104" s="155" t="str">
        <f>IF($T104="","",VLOOKUP($T104,請求Data!$I$11:$AR$160,請求Data!$AM$10-請求Data!$H$10,0))</f>
        <v/>
      </c>
      <c r="T104" s="467" t="str">
        <f>IF(ISNA(MATCH($H104,請求Data!$AH$11:$AH$160,0)),"",VLOOKUP($H104,請求Data!$AH$11:$AR$160,請求Data!$AK$10-請求Data!$AG$10,0))</f>
        <v/>
      </c>
      <c r="U104" s="468"/>
      <c r="V104" s="58"/>
    </row>
    <row r="105" spans="1:22" s="32" customFormat="1" ht="15" customHeight="1">
      <c r="A105" s="58" t="str">
        <f>IF($Q105="","",MAX($A$8:$A104)+1)</f>
        <v/>
      </c>
      <c r="B105" s="614" t="str">
        <f t="shared" si="11"/>
        <v/>
      </c>
      <c r="C105" s="614" t="str">
        <f t="shared" ref="C105:C136" si="13">IF($H105="","",CONCATENATE(VLOOKUP($N105,$N$2:$O$5,2,FALSE),$I105,IF($K105="","00",$K105),$E105,$L105))</f>
        <v/>
      </c>
      <c r="D105" s="614" t="str">
        <f t="shared" ref="D105:D136" si="14">IF($H105="","",CONCATENATE(VLOOKUP($N105,$N$2:$O$5,2,FALSE),$I105,IF($K105="","00",$K105),$E105,$F105,$L105))</f>
        <v/>
      </c>
      <c r="E105" s="615" t="str">
        <f t="shared" ref="E105:E136" si="15">IF($H105="","",IF($T105="",1,9))</f>
        <v/>
      </c>
      <c r="F105" s="616" t="str">
        <f>IF($H105="","",IF(ISNA(MATCH($H105,$H$7:$H104,0)),1,0))</f>
        <v/>
      </c>
      <c r="G105" s="249"/>
      <c r="H105" s="95"/>
      <c r="I105" s="597" t="str">
        <f>IF($J105="","",INDEX(ﾏｽﾀ!$E$8:$E$124,MATCH(INDEX(ﾏｽﾀ!$N$8:$N$124,MATCH($J105,ﾏｽﾀ!$O$8:$O$124,0)),ﾏｽﾀ!$B$8:$B$124,0))&amp;"")</f>
        <v/>
      </c>
      <c r="J105" s="534"/>
      <c r="K105" s="598" t="str">
        <f>IF($J105="","",INDEX(ﾏｽﾀ!$G$8:$G$124,MATCH(INDEX(ﾏｽﾀ!$N$8:$N$124,MATCH($J105,ﾏｽﾀ!$O$8:$O$124,0)),ﾏｽﾀ!$B$8:$B$124,0))&amp;"")</f>
        <v/>
      </c>
      <c r="L105" s="599" t="str">
        <f>IF($M105="","",INDEX(ﾏｽﾀ!$T$8:$T$16,MATCH($M105,ﾏｽﾀ!$U$8:$U$16,0))&amp;"")</f>
        <v/>
      </c>
      <c r="M105" s="534"/>
      <c r="N105" s="463"/>
      <c r="O105" s="464"/>
      <c r="P105" s="465"/>
      <c r="Q105" s="466" t="str">
        <f t="shared" si="12"/>
        <v/>
      </c>
      <c r="R105" s="154" t="str">
        <f>IF($T105="","",VLOOKUP($T105,請求Data!$I$11:$AR$160,請求Data!$AL$10-請求Data!$H$10,0))</f>
        <v/>
      </c>
      <c r="S105" s="155" t="str">
        <f>IF($T105="","",VLOOKUP($T105,請求Data!$I$11:$AR$160,請求Data!$AM$10-請求Data!$H$10,0))</f>
        <v/>
      </c>
      <c r="T105" s="467" t="str">
        <f>IF(ISNA(MATCH($H105,請求Data!$AH$11:$AH$160,0)),"",VLOOKUP($H105,請求Data!$AH$11:$AR$160,請求Data!$AK$10-請求Data!$AG$10,0))</f>
        <v/>
      </c>
      <c r="U105" s="468"/>
      <c r="V105" s="58"/>
    </row>
    <row r="106" spans="1:22" s="32" customFormat="1" ht="15" customHeight="1">
      <c r="A106" s="58" t="str">
        <f>IF($Q106="","",MAX($A$8:$A105)+1)</f>
        <v/>
      </c>
      <c r="B106" s="614" t="str">
        <f t="shared" si="11"/>
        <v/>
      </c>
      <c r="C106" s="614" t="str">
        <f t="shared" si="13"/>
        <v/>
      </c>
      <c r="D106" s="614" t="str">
        <f t="shared" si="14"/>
        <v/>
      </c>
      <c r="E106" s="615" t="str">
        <f t="shared" si="15"/>
        <v/>
      </c>
      <c r="F106" s="616" t="str">
        <f>IF($H106="","",IF(ISNA(MATCH($H106,$H$7:$H105,0)),1,0))</f>
        <v/>
      </c>
      <c r="G106" s="249"/>
      <c r="H106" s="95"/>
      <c r="I106" s="597" t="str">
        <f>IF($J106="","",INDEX(ﾏｽﾀ!$E$8:$E$124,MATCH(INDEX(ﾏｽﾀ!$N$8:$N$124,MATCH($J106,ﾏｽﾀ!$O$8:$O$124,0)),ﾏｽﾀ!$B$8:$B$124,0))&amp;"")</f>
        <v/>
      </c>
      <c r="J106" s="534"/>
      <c r="K106" s="598" t="str">
        <f>IF($J106="","",INDEX(ﾏｽﾀ!$G$8:$G$124,MATCH(INDEX(ﾏｽﾀ!$N$8:$N$124,MATCH($J106,ﾏｽﾀ!$O$8:$O$124,0)),ﾏｽﾀ!$B$8:$B$124,0))&amp;"")</f>
        <v/>
      </c>
      <c r="L106" s="599" t="str">
        <f>IF($M106="","",INDEX(ﾏｽﾀ!$T$8:$T$16,MATCH($M106,ﾏｽﾀ!$U$8:$U$16,0))&amp;"")</f>
        <v/>
      </c>
      <c r="M106" s="534"/>
      <c r="N106" s="463"/>
      <c r="O106" s="464"/>
      <c r="P106" s="465"/>
      <c r="Q106" s="466" t="str">
        <f t="shared" si="12"/>
        <v/>
      </c>
      <c r="R106" s="154" t="str">
        <f>IF($T106="","",VLOOKUP($T106,請求Data!$I$11:$AR$160,請求Data!$AL$10-請求Data!$H$10,0))</f>
        <v/>
      </c>
      <c r="S106" s="155" t="str">
        <f>IF($T106="","",VLOOKUP($T106,請求Data!$I$11:$AR$160,請求Data!$AM$10-請求Data!$H$10,0))</f>
        <v/>
      </c>
      <c r="T106" s="467" t="str">
        <f>IF(ISNA(MATCH($H106,請求Data!$AH$11:$AH$160,0)),"",VLOOKUP($H106,請求Data!$AH$11:$AR$160,請求Data!$AK$10-請求Data!$AG$10,0))</f>
        <v/>
      </c>
      <c r="U106" s="468"/>
      <c r="V106" s="58"/>
    </row>
    <row r="107" spans="1:22" s="32" customFormat="1" ht="15" customHeight="1">
      <c r="A107" s="58" t="str">
        <f>IF($Q107="","",MAX($A$8:$A106)+1)</f>
        <v/>
      </c>
      <c r="B107" s="614" t="str">
        <f t="shared" si="11"/>
        <v/>
      </c>
      <c r="C107" s="614" t="str">
        <f t="shared" si="13"/>
        <v/>
      </c>
      <c r="D107" s="614" t="str">
        <f t="shared" si="14"/>
        <v/>
      </c>
      <c r="E107" s="615" t="str">
        <f t="shared" si="15"/>
        <v/>
      </c>
      <c r="F107" s="616" t="str">
        <f>IF($H107="","",IF(ISNA(MATCH($H107,$H$7:$H106,0)),1,0))</f>
        <v/>
      </c>
      <c r="G107" s="249"/>
      <c r="H107" s="95"/>
      <c r="I107" s="597" t="str">
        <f>IF($J107="","",INDEX(ﾏｽﾀ!$E$8:$E$124,MATCH(INDEX(ﾏｽﾀ!$N$8:$N$124,MATCH($J107,ﾏｽﾀ!$O$8:$O$124,0)),ﾏｽﾀ!$B$8:$B$124,0))&amp;"")</f>
        <v/>
      </c>
      <c r="J107" s="534"/>
      <c r="K107" s="598" t="str">
        <f>IF($J107="","",INDEX(ﾏｽﾀ!$G$8:$G$124,MATCH(INDEX(ﾏｽﾀ!$N$8:$N$124,MATCH($J107,ﾏｽﾀ!$O$8:$O$124,0)),ﾏｽﾀ!$B$8:$B$124,0))&amp;"")</f>
        <v/>
      </c>
      <c r="L107" s="599" t="str">
        <f>IF($M107="","",INDEX(ﾏｽﾀ!$T$8:$T$16,MATCH($M107,ﾏｽﾀ!$U$8:$U$16,0))&amp;"")</f>
        <v/>
      </c>
      <c r="M107" s="534"/>
      <c r="N107" s="463"/>
      <c r="O107" s="464"/>
      <c r="P107" s="465"/>
      <c r="Q107" s="466" t="str">
        <f t="shared" si="12"/>
        <v/>
      </c>
      <c r="R107" s="154" t="str">
        <f>IF($T107="","",VLOOKUP($T107,請求Data!$I$11:$AR$160,請求Data!$AL$10-請求Data!$H$10,0))</f>
        <v/>
      </c>
      <c r="S107" s="155" t="str">
        <f>IF($T107="","",VLOOKUP($T107,請求Data!$I$11:$AR$160,請求Data!$AM$10-請求Data!$H$10,0))</f>
        <v/>
      </c>
      <c r="T107" s="467" t="str">
        <f>IF(ISNA(MATCH($H107,請求Data!$AH$11:$AH$160,0)),"",VLOOKUP($H107,請求Data!$AH$11:$AR$160,請求Data!$AK$10-請求Data!$AG$10,0))</f>
        <v/>
      </c>
      <c r="U107" s="468"/>
      <c r="V107" s="58"/>
    </row>
    <row r="108" spans="1:22" s="32" customFormat="1" ht="15" customHeight="1">
      <c r="A108" s="58" t="str">
        <f>IF($Q108="","",MAX($A$8:$A107)+1)</f>
        <v/>
      </c>
      <c r="B108" s="614" t="str">
        <f t="shared" si="11"/>
        <v/>
      </c>
      <c r="C108" s="614" t="str">
        <f t="shared" si="13"/>
        <v/>
      </c>
      <c r="D108" s="614" t="str">
        <f t="shared" si="14"/>
        <v/>
      </c>
      <c r="E108" s="615" t="str">
        <f t="shared" si="15"/>
        <v/>
      </c>
      <c r="F108" s="616" t="str">
        <f>IF($H108="","",IF(ISNA(MATCH($H108,$H$7:$H107,0)),1,0))</f>
        <v/>
      </c>
      <c r="G108" s="249"/>
      <c r="H108" s="95"/>
      <c r="I108" s="597" t="str">
        <f>IF($J108="","",INDEX(ﾏｽﾀ!$E$8:$E$124,MATCH(INDEX(ﾏｽﾀ!$N$8:$N$124,MATCH($J108,ﾏｽﾀ!$O$8:$O$124,0)),ﾏｽﾀ!$B$8:$B$124,0))&amp;"")</f>
        <v/>
      </c>
      <c r="J108" s="534"/>
      <c r="K108" s="598" t="str">
        <f>IF($J108="","",INDEX(ﾏｽﾀ!$G$8:$G$124,MATCH(INDEX(ﾏｽﾀ!$N$8:$N$124,MATCH($J108,ﾏｽﾀ!$O$8:$O$124,0)),ﾏｽﾀ!$B$8:$B$124,0))&amp;"")</f>
        <v/>
      </c>
      <c r="L108" s="599" t="str">
        <f>IF($M108="","",INDEX(ﾏｽﾀ!$T$8:$T$16,MATCH($M108,ﾏｽﾀ!$U$8:$U$16,0))&amp;"")</f>
        <v/>
      </c>
      <c r="M108" s="534"/>
      <c r="N108" s="463"/>
      <c r="O108" s="464"/>
      <c r="P108" s="465"/>
      <c r="Q108" s="466" t="str">
        <f t="shared" si="12"/>
        <v/>
      </c>
      <c r="R108" s="154" t="str">
        <f>IF($T108="","",VLOOKUP($T108,請求Data!$I$11:$AR$160,請求Data!$AL$10-請求Data!$H$10,0))</f>
        <v/>
      </c>
      <c r="S108" s="155" t="str">
        <f>IF($T108="","",VLOOKUP($T108,請求Data!$I$11:$AR$160,請求Data!$AM$10-請求Data!$H$10,0))</f>
        <v/>
      </c>
      <c r="T108" s="467" t="str">
        <f>IF(ISNA(MATCH($H108,請求Data!$AH$11:$AH$160,0)),"",VLOOKUP($H108,請求Data!$AH$11:$AR$160,請求Data!$AK$10-請求Data!$AG$10,0))</f>
        <v/>
      </c>
      <c r="U108" s="468"/>
      <c r="V108" s="58"/>
    </row>
    <row r="109" spans="1:22" s="32" customFormat="1" ht="15" customHeight="1">
      <c r="A109" s="58" t="str">
        <f>IF($Q109="","",MAX($A$8:$A108)+1)</f>
        <v/>
      </c>
      <c r="B109" s="614" t="str">
        <f t="shared" si="11"/>
        <v/>
      </c>
      <c r="C109" s="614" t="str">
        <f t="shared" si="13"/>
        <v/>
      </c>
      <c r="D109" s="614" t="str">
        <f t="shared" si="14"/>
        <v/>
      </c>
      <c r="E109" s="615" t="str">
        <f t="shared" si="15"/>
        <v/>
      </c>
      <c r="F109" s="616" t="str">
        <f>IF($H109="","",IF(ISNA(MATCH($H109,$H$7:$H108,0)),1,0))</f>
        <v/>
      </c>
      <c r="G109" s="249"/>
      <c r="H109" s="95"/>
      <c r="I109" s="597" t="str">
        <f>IF($J109="","",INDEX(ﾏｽﾀ!$E$8:$E$124,MATCH(INDEX(ﾏｽﾀ!$N$8:$N$124,MATCH($J109,ﾏｽﾀ!$O$8:$O$124,0)),ﾏｽﾀ!$B$8:$B$124,0))&amp;"")</f>
        <v/>
      </c>
      <c r="J109" s="534"/>
      <c r="K109" s="598" t="str">
        <f>IF($J109="","",INDEX(ﾏｽﾀ!$G$8:$G$124,MATCH(INDEX(ﾏｽﾀ!$N$8:$N$124,MATCH($J109,ﾏｽﾀ!$O$8:$O$124,0)),ﾏｽﾀ!$B$8:$B$124,0))&amp;"")</f>
        <v/>
      </c>
      <c r="L109" s="599" t="str">
        <f>IF($M109="","",INDEX(ﾏｽﾀ!$T$8:$T$16,MATCH($M109,ﾏｽﾀ!$U$8:$U$16,0))&amp;"")</f>
        <v/>
      </c>
      <c r="M109" s="534"/>
      <c r="N109" s="463"/>
      <c r="O109" s="464"/>
      <c r="P109" s="465"/>
      <c r="Q109" s="466" t="str">
        <f t="shared" si="12"/>
        <v/>
      </c>
      <c r="R109" s="154" t="str">
        <f>IF($T109="","",VLOOKUP($T109,請求Data!$I$11:$AR$160,請求Data!$AL$10-請求Data!$H$10,0))</f>
        <v/>
      </c>
      <c r="S109" s="155" t="str">
        <f>IF($T109="","",VLOOKUP($T109,請求Data!$I$11:$AR$160,請求Data!$AM$10-請求Data!$H$10,0))</f>
        <v/>
      </c>
      <c r="T109" s="467" t="str">
        <f>IF(ISNA(MATCH($H109,請求Data!$AH$11:$AH$160,0)),"",VLOOKUP($H109,請求Data!$AH$11:$AR$160,請求Data!$AK$10-請求Data!$AG$10,0))</f>
        <v/>
      </c>
      <c r="U109" s="468"/>
      <c r="V109" s="58"/>
    </row>
    <row r="110" spans="1:22" s="32" customFormat="1" ht="15" customHeight="1">
      <c r="A110" s="58" t="str">
        <f>IF($Q110="","",MAX($A$8:$A109)+1)</f>
        <v/>
      </c>
      <c r="B110" s="614" t="str">
        <f t="shared" si="11"/>
        <v/>
      </c>
      <c r="C110" s="614" t="str">
        <f t="shared" si="13"/>
        <v/>
      </c>
      <c r="D110" s="614" t="str">
        <f t="shared" si="14"/>
        <v/>
      </c>
      <c r="E110" s="615" t="str">
        <f t="shared" si="15"/>
        <v/>
      </c>
      <c r="F110" s="616" t="str">
        <f>IF($H110="","",IF(ISNA(MATCH($H110,$H$7:$H109,0)),1,0))</f>
        <v/>
      </c>
      <c r="G110" s="249"/>
      <c r="H110" s="95"/>
      <c r="I110" s="597" t="str">
        <f>IF($J110="","",INDEX(ﾏｽﾀ!$E$8:$E$124,MATCH(INDEX(ﾏｽﾀ!$N$8:$N$124,MATCH($J110,ﾏｽﾀ!$O$8:$O$124,0)),ﾏｽﾀ!$B$8:$B$124,0))&amp;"")</f>
        <v/>
      </c>
      <c r="J110" s="534"/>
      <c r="K110" s="598" t="str">
        <f>IF($J110="","",INDEX(ﾏｽﾀ!$G$8:$G$124,MATCH(INDEX(ﾏｽﾀ!$N$8:$N$124,MATCH($J110,ﾏｽﾀ!$O$8:$O$124,0)),ﾏｽﾀ!$B$8:$B$124,0))&amp;"")</f>
        <v/>
      </c>
      <c r="L110" s="599" t="str">
        <f>IF($M110="","",INDEX(ﾏｽﾀ!$T$8:$T$16,MATCH($M110,ﾏｽﾀ!$U$8:$U$16,0))&amp;"")</f>
        <v/>
      </c>
      <c r="M110" s="534"/>
      <c r="N110" s="463"/>
      <c r="O110" s="464"/>
      <c r="P110" s="465"/>
      <c r="Q110" s="466" t="str">
        <f t="shared" si="12"/>
        <v/>
      </c>
      <c r="R110" s="154" t="str">
        <f>IF($T110="","",VLOOKUP($T110,請求Data!$I$11:$AR$160,請求Data!$AL$10-請求Data!$H$10,0))</f>
        <v/>
      </c>
      <c r="S110" s="155" t="str">
        <f>IF($T110="","",VLOOKUP($T110,請求Data!$I$11:$AR$160,請求Data!$AM$10-請求Data!$H$10,0))</f>
        <v/>
      </c>
      <c r="T110" s="467" t="str">
        <f>IF(ISNA(MATCH($H110,請求Data!$AH$11:$AH$160,0)),"",VLOOKUP($H110,請求Data!$AH$11:$AR$160,請求Data!$AK$10-請求Data!$AG$10,0))</f>
        <v/>
      </c>
      <c r="U110" s="468"/>
      <c r="V110" s="58"/>
    </row>
    <row r="111" spans="1:22" s="32" customFormat="1" ht="15" customHeight="1">
      <c r="A111" s="58" t="str">
        <f>IF($Q111="","",MAX($A$8:$A110)+1)</f>
        <v/>
      </c>
      <c r="B111" s="614" t="str">
        <f t="shared" si="11"/>
        <v/>
      </c>
      <c r="C111" s="614" t="str">
        <f t="shared" si="13"/>
        <v/>
      </c>
      <c r="D111" s="614" t="str">
        <f t="shared" si="14"/>
        <v/>
      </c>
      <c r="E111" s="615" t="str">
        <f t="shared" si="15"/>
        <v/>
      </c>
      <c r="F111" s="616" t="str">
        <f>IF($H111="","",IF(ISNA(MATCH($H111,$H$7:$H110,0)),1,0))</f>
        <v/>
      </c>
      <c r="G111" s="249"/>
      <c r="H111" s="95"/>
      <c r="I111" s="597" t="str">
        <f>IF($J111="","",INDEX(ﾏｽﾀ!$E$8:$E$124,MATCH(INDEX(ﾏｽﾀ!$N$8:$N$124,MATCH($J111,ﾏｽﾀ!$O$8:$O$124,0)),ﾏｽﾀ!$B$8:$B$124,0))&amp;"")</f>
        <v/>
      </c>
      <c r="J111" s="534"/>
      <c r="K111" s="598" t="str">
        <f>IF($J111="","",INDEX(ﾏｽﾀ!$G$8:$G$124,MATCH(INDEX(ﾏｽﾀ!$N$8:$N$124,MATCH($J111,ﾏｽﾀ!$O$8:$O$124,0)),ﾏｽﾀ!$B$8:$B$124,0))&amp;"")</f>
        <v/>
      </c>
      <c r="L111" s="599" t="str">
        <f>IF($M111="","",INDEX(ﾏｽﾀ!$T$8:$T$16,MATCH($M111,ﾏｽﾀ!$U$8:$U$16,0))&amp;"")</f>
        <v/>
      </c>
      <c r="M111" s="534"/>
      <c r="N111" s="463"/>
      <c r="O111" s="464"/>
      <c r="P111" s="465"/>
      <c r="Q111" s="466" t="str">
        <f t="shared" si="12"/>
        <v/>
      </c>
      <c r="R111" s="154" t="str">
        <f>IF($T111="","",VLOOKUP($T111,請求Data!$I$11:$AR$160,請求Data!$AL$10-請求Data!$H$10,0))</f>
        <v/>
      </c>
      <c r="S111" s="155" t="str">
        <f>IF($T111="","",VLOOKUP($T111,請求Data!$I$11:$AR$160,請求Data!$AM$10-請求Data!$H$10,0))</f>
        <v/>
      </c>
      <c r="T111" s="467" t="str">
        <f>IF(ISNA(MATCH($H111,請求Data!$AH$11:$AH$160,0)),"",VLOOKUP($H111,請求Data!$AH$11:$AR$160,請求Data!$AK$10-請求Data!$AG$10,0))</f>
        <v/>
      </c>
      <c r="U111" s="468"/>
      <c r="V111" s="58"/>
    </row>
    <row r="112" spans="1:22" s="32" customFormat="1" ht="15" customHeight="1">
      <c r="A112" s="58" t="str">
        <f>IF($Q112="","",MAX($A$8:$A111)+1)</f>
        <v/>
      </c>
      <c r="B112" s="614" t="str">
        <f t="shared" si="11"/>
        <v/>
      </c>
      <c r="C112" s="614" t="str">
        <f t="shared" si="13"/>
        <v/>
      </c>
      <c r="D112" s="614" t="str">
        <f t="shared" si="14"/>
        <v/>
      </c>
      <c r="E112" s="615" t="str">
        <f t="shared" si="15"/>
        <v/>
      </c>
      <c r="F112" s="616" t="str">
        <f>IF($H112="","",IF(ISNA(MATCH($H112,$H$7:$H111,0)),1,0))</f>
        <v/>
      </c>
      <c r="G112" s="249"/>
      <c r="H112" s="95"/>
      <c r="I112" s="597" t="str">
        <f>IF($J112="","",INDEX(ﾏｽﾀ!$E$8:$E$124,MATCH(INDEX(ﾏｽﾀ!$N$8:$N$124,MATCH($J112,ﾏｽﾀ!$O$8:$O$124,0)),ﾏｽﾀ!$B$8:$B$124,0))&amp;"")</f>
        <v/>
      </c>
      <c r="J112" s="534"/>
      <c r="K112" s="598" t="str">
        <f>IF($J112="","",INDEX(ﾏｽﾀ!$G$8:$G$124,MATCH(INDEX(ﾏｽﾀ!$N$8:$N$124,MATCH($J112,ﾏｽﾀ!$O$8:$O$124,0)),ﾏｽﾀ!$B$8:$B$124,0))&amp;"")</f>
        <v/>
      </c>
      <c r="L112" s="599" t="str">
        <f>IF($M112="","",INDEX(ﾏｽﾀ!$T$8:$T$16,MATCH($M112,ﾏｽﾀ!$U$8:$U$16,0))&amp;"")</f>
        <v/>
      </c>
      <c r="M112" s="534"/>
      <c r="N112" s="463"/>
      <c r="O112" s="464"/>
      <c r="P112" s="465"/>
      <c r="Q112" s="466" t="str">
        <f t="shared" si="12"/>
        <v/>
      </c>
      <c r="R112" s="154" t="str">
        <f>IF($T112="","",VLOOKUP($T112,請求Data!$I$11:$AR$160,請求Data!$AL$10-請求Data!$H$10,0))</f>
        <v/>
      </c>
      <c r="S112" s="155" t="str">
        <f>IF($T112="","",VLOOKUP($T112,請求Data!$I$11:$AR$160,請求Data!$AM$10-請求Data!$H$10,0))</f>
        <v/>
      </c>
      <c r="T112" s="467" t="str">
        <f>IF(ISNA(MATCH($H112,請求Data!$AH$11:$AH$160,0)),"",VLOOKUP($H112,請求Data!$AH$11:$AR$160,請求Data!$AK$10-請求Data!$AG$10,0))</f>
        <v/>
      </c>
      <c r="U112" s="468"/>
      <c r="V112" s="58"/>
    </row>
    <row r="113" spans="1:22" s="32" customFormat="1" ht="15" customHeight="1">
      <c r="A113" s="58" t="str">
        <f>IF($Q113="","",MAX($A$8:$A112)+1)</f>
        <v/>
      </c>
      <c r="B113" s="614" t="str">
        <f t="shared" si="11"/>
        <v/>
      </c>
      <c r="C113" s="614" t="str">
        <f t="shared" si="13"/>
        <v/>
      </c>
      <c r="D113" s="614" t="str">
        <f t="shared" si="14"/>
        <v/>
      </c>
      <c r="E113" s="615" t="str">
        <f t="shared" si="15"/>
        <v/>
      </c>
      <c r="F113" s="616" t="str">
        <f>IF($H113="","",IF(ISNA(MATCH($H113,$H$7:$H112,0)),1,0))</f>
        <v/>
      </c>
      <c r="G113" s="249"/>
      <c r="H113" s="95"/>
      <c r="I113" s="597" t="str">
        <f>IF($J113="","",INDEX(ﾏｽﾀ!$E$8:$E$124,MATCH(INDEX(ﾏｽﾀ!$N$8:$N$124,MATCH($J113,ﾏｽﾀ!$O$8:$O$124,0)),ﾏｽﾀ!$B$8:$B$124,0))&amp;"")</f>
        <v/>
      </c>
      <c r="J113" s="534"/>
      <c r="K113" s="598" t="str">
        <f>IF($J113="","",INDEX(ﾏｽﾀ!$G$8:$G$124,MATCH(INDEX(ﾏｽﾀ!$N$8:$N$124,MATCH($J113,ﾏｽﾀ!$O$8:$O$124,0)),ﾏｽﾀ!$B$8:$B$124,0))&amp;"")</f>
        <v/>
      </c>
      <c r="L113" s="599" t="str">
        <f>IF($M113="","",INDEX(ﾏｽﾀ!$T$8:$T$16,MATCH($M113,ﾏｽﾀ!$U$8:$U$16,0))&amp;"")</f>
        <v/>
      </c>
      <c r="M113" s="534"/>
      <c r="N113" s="463"/>
      <c r="O113" s="464"/>
      <c r="P113" s="465"/>
      <c r="Q113" s="466" t="str">
        <f t="shared" si="12"/>
        <v/>
      </c>
      <c r="R113" s="154" t="str">
        <f>IF($T113="","",VLOOKUP($T113,請求Data!$I$11:$AR$160,請求Data!$AL$10-請求Data!$H$10,0))</f>
        <v/>
      </c>
      <c r="S113" s="155" t="str">
        <f>IF($T113="","",VLOOKUP($T113,請求Data!$I$11:$AR$160,請求Data!$AM$10-請求Data!$H$10,0))</f>
        <v/>
      </c>
      <c r="T113" s="467" t="str">
        <f>IF(ISNA(MATCH($H113,請求Data!$AH$11:$AH$160,0)),"",VLOOKUP($H113,請求Data!$AH$11:$AR$160,請求Data!$AK$10-請求Data!$AG$10,0))</f>
        <v/>
      </c>
      <c r="U113" s="468"/>
      <c r="V113" s="58"/>
    </row>
    <row r="114" spans="1:22" s="32" customFormat="1" ht="15" customHeight="1">
      <c r="A114" s="58" t="str">
        <f>IF($Q114="","",MAX($A$8:$A113)+1)</f>
        <v/>
      </c>
      <c r="B114" s="614" t="str">
        <f t="shared" si="11"/>
        <v/>
      </c>
      <c r="C114" s="614" t="str">
        <f t="shared" si="13"/>
        <v/>
      </c>
      <c r="D114" s="614" t="str">
        <f t="shared" si="14"/>
        <v/>
      </c>
      <c r="E114" s="615" t="str">
        <f t="shared" si="15"/>
        <v/>
      </c>
      <c r="F114" s="616" t="str">
        <f>IF($H114="","",IF(ISNA(MATCH($H114,$H$7:$H113,0)),1,0))</f>
        <v/>
      </c>
      <c r="G114" s="249"/>
      <c r="H114" s="95"/>
      <c r="I114" s="597" t="str">
        <f>IF($J114="","",INDEX(ﾏｽﾀ!$E$8:$E$124,MATCH(INDEX(ﾏｽﾀ!$N$8:$N$124,MATCH($J114,ﾏｽﾀ!$O$8:$O$124,0)),ﾏｽﾀ!$B$8:$B$124,0))&amp;"")</f>
        <v/>
      </c>
      <c r="J114" s="534"/>
      <c r="K114" s="598" t="str">
        <f>IF($J114="","",INDEX(ﾏｽﾀ!$G$8:$G$124,MATCH(INDEX(ﾏｽﾀ!$N$8:$N$124,MATCH($J114,ﾏｽﾀ!$O$8:$O$124,0)),ﾏｽﾀ!$B$8:$B$124,0))&amp;"")</f>
        <v/>
      </c>
      <c r="L114" s="599" t="str">
        <f>IF($M114="","",INDEX(ﾏｽﾀ!$T$8:$T$16,MATCH($M114,ﾏｽﾀ!$U$8:$U$16,0))&amp;"")</f>
        <v/>
      </c>
      <c r="M114" s="534"/>
      <c r="N114" s="463"/>
      <c r="O114" s="464"/>
      <c r="P114" s="465"/>
      <c r="Q114" s="466" t="str">
        <f t="shared" si="12"/>
        <v/>
      </c>
      <c r="R114" s="154" t="str">
        <f>IF($T114="","",VLOOKUP($T114,請求Data!$I$11:$AR$160,請求Data!$AL$10-請求Data!$H$10,0))</f>
        <v/>
      </c>
      <c r="S114" s="155" t="str">
        <f>IF($T114="","",VLOOKUP($T114,請求Data!$I$11:$AR$160,請求Data!$AM$10-請求Data!$H$10,0))</f>
        <v/>
      </c>
      <c r="T114" s="467" t="str">
        <f>IF(ISNA(MATCH($H114,請求Data!$AH$11:$AH$160,0)),"",VLOOKUP($H114,請求Data!$AH$11:$AR$160,請求Data!$AK$10-請求Data!$AG$10,0))</f>
        <v/>
      </c>
      <c r="U114" s="468"/>
      <c r="V114" s="58"/>
    </row>
    <row r="115" spans="1:22" s="32" customFormat="1" ht="15" customHeight="1">
      <c r="A115" s="58" t="str">
        <f>IF($Q115="","",MAX($A$8:$A114)+1)</f>
        <v/>
      </c>
      <c r="B115" s="614" t="str">
        <f t="shared" si="11"/>
        <v/>
      </c>
      <c r="C115" s="614" t="str">
        <f t="shared" si="13"/>
        <v/>
      </c>
      <c r="D115" s="614" t="str">
        <f t="shared" si="14"/>
        <v/>
      </c>
      <c r="E115" s="615" t="str">
        <f t="shared" si="15"/>
        <v/>
      </c>
      <c r="F115" s="616" t="str">
        <f>IF($H115="","",IF(ISNA(MATCH($H115,$H$7:$H114,0)),1,0))</f>
        <v/>
      </c>
      <c r="G115" s="249"/>
      <c r="H115" s="95"/>
      <c r="I115" s="597" t="str">
        <f>IF($J115="","",INDEX(ﾏｽﾀ!$E$8:$E$124,MATCH(INDEX(ﾏｽﾀ!$N$8:$N$124,MATCH($J115,ﾏｽﾀ!$O$8:$O$124,0)),ﾏｽﾀ!$B$8:$B$124,0))&amp;"")</f>
        <v/>
      </c>
      <c r="J115" s="534"/>
      <c r="K115" s="598" t="str">
        <f>IF($J115="","",INDEX(ﾏｽﾀ!$G$8:$G$124,MATCH(INDEX(ﾏｽﾀ!$N$8:$N$124,MATCH($J115,ﾏｽﾀ!$O$8:$O$124,0)),ﾏｽﾀ!$B$8:$B$124,0))&amp;"")</f>
        <v/>
      </c>
      <c r="L115" s="599" t="str">
        <f>IF($M115="","",INDEX(ﾏｽﾀ!$T$8:$T$16,MATCH($M115,ﾏｽﾀ!$U$8:$U$16,0))&amp;"")</f>
        <v/>
      </c>
      <c r="M115" s="534"/>
      <c r="N115" s="463"/>
      <c r="O115" s="464"/>
      <c r="P115" s="465"/>
      <c r="Q115" s="466" t="str">
        <f t="shared" si="12"/>
        <v/>
      </c>
      <c r="R115" s="154" t="str">
        <f>IF($T115="","",VLOOKUP($T115,請求Data!$I$11:$AR$160,請求Data!$AL$10-請求Data!$H$10,0))</f>
        <v/>
      </c>
      <c r="S115" s="155" t="str">
        <f>IF($T115="","",VLOOKUP($T115,請求Data!$I$11:$AR$160,請求Data!$AM$10-請求Data!$H$10,0))</f>
        <v/>
      </c>
      <c r="T115" s="467" t="str">
        <f>IF(ISNA(MATCH($H115,請求Data!$AH$11:$AH$160,0)),"",VLOOKUP($H115,請求Data!$AH$11:$AR$160,請求Data!$AK$10-請求Data!$AG$10,0))</f>
        <v/>
      </c>
      <c r="U115" s="468"/>
      <c r="V115" s="58"/>
    </row>
    <row r="116" spans="1:22" s="32" customFormat="1" ht="15" customHeight="1">
      <c r="A116" s="58" t="str">
        <f>IF($Q116="","",MAX($A$8:$A115)+1)</f>
        <v/>
      </c>
      <c r="B116" s="614" t="str">
        <f t="shared" si="11"/>
        <v/>
      </c>
      <c r="C116" s="614" t="str">
        <f t="shared" si="13"/>
        <v/>
      </c>
      <c r="D116" s="614" t="str">
        <f t="shared" si="14"/>
        <v/>
      </c>
      <c r="E116" s="615" t="str">
        <f t="shared" si="15"/>
        <v/>
      </c>
      <c r="F116" s="616" t="str">
        <f>IF($H116="","",IF(ISNA(MATCH($H116,$H$7:$H115,0)),1,0))</f>
        <v/>
      </c>
      <c r="G116" s="249"/>
      <c r="H116" s="95"/>
      <c r="I116" s="597" t="str">
        <f>IF($J116="","",INDEX(ﾏｽﾀ!$E$8:$E$124,MATCH(INDEX(ﾏｽﾀ!$N$8:$N$124,MATCH($J116,ﾏｽﾀ!$O$8:$O$124,0)),ﾏｽﾀ!$B$8:$B$124,0))&amp;"")</f>
        <v/>
      </c>
      <c r="J116" s="534"/>
      <c r="K116" s="598" t="str">
        <f>IF($J116="","",INDEX(ﾏｽﾀ!$G$8:$G$124,MATCH(INDEX(ﾏｽﾀ!$N$8:$N$124,MATCH($J116,ﾏｽﾀ!$O$8:$O$124,0)),ﾏｽﾀ!$B$8:$B$124,0))&amp;"")</f>
        <v/>
      </c>
      <c r="L116" s="599" t="str">
        <f>IF($M116="","",INDEX(ﾏｽﾀ!$T$8:$T$16,MATCH($M116,ﾏｽﾀ!$U$8:$U$16,0))&amp;"")</f>
        <v/>
      </c>
      <c r="M116" s="534"/>
      <c r="N116" s="463"/>
      <c r="O116" s="464"/>
      <c r="P116" s="465"/>
      <c r="Q116" s="466" t="str">
        <f t="shared" si="12"/>
        <v/>
      </c>
      <c r="R116" s="154" t="str">
        <f>IF($T116="","",VLOOKUP($T116,請求Data!$I$11:$AR$160,請求Data!$AL$10-請求Data!$H$10,0))</f>
        <v/>
      </c>
      <c r="S116" s="155" t="str">
        <f>IF($T116="","",VLOOKUP($T116,請求Data!$I$11:$AR$160,請求Data!$AM$10-請求Data!$H$10,0))</f>
        <v/>
      </c>
      <c r="T116" s="467" t="str">
        <f>IF(ISNA(MATCH($H116,請求Data!$AH$11:$AH$160,0)),"",VLOOKUP($H116,請求Data!$AH$11:$AR$160,請求Data!$AK$10-請求Data!$AG$10,0))</f>
        <v/>
      </c>
      <c r="U116" s="468"/>
      <c r="V116" s="58"/>
    </row>
    <row r="117" spans="1:22" s="32" customFormat="1" ht="15" customHeight="1">
      <c r="A117" s="58" t="str">
        <f>IF($Q117="","",MAX($A$8:$A116)+1)</f>
        <v/>
      </c>
      <c r="B117" s="614" t="str">
        <f t="shared" si="11"/>
        <v/>
      </c>
      <c r="C117" s="614" t="str">
        <f t="shared" si="13"/>
        <v/>
      </c>
      <c r="D117" s="614" t="str">
        <f t="shared" si="14"/>
        <v/>
      </c>
      <c r="E117" s="615" t="str">
        <f t="shared" si="15"/>
        <v/>
      </c>
      <c r="F117" s="616" t="str">
        <f>IF($H117="","",IF(ISNA(MATCH($H117,$H$7:$H116,0)),1,0))</f>
        <v/>
      </c>
      <c r="G117" s="249"/>
      <c r="H117" s="95"/>
      <c r="I117" s="597" t="str">
        <f>IF($J117="","",INDEX(ﾏｽﾀ!$E$8:$E$124,MATCH(INDEX(ﾏｽﾀ!$N$8:$N$124,MATCH($J117,ﾏｽﾀ!$O$8:$O$124,0)),ﾏｽﾀ!$B$8:$B$124,0))&amp;"")</f>
        <v/>
      </c>
      <c r="J117" s="534"/>
      <c r="K117" s="598" t="str">
        <f>IF($J117="","",INDEX(ﾏｽﾀ!$G$8:$G$124,MATCH(INDEX(ﾏｽﾀ!$N$8:$N$124,MATCH($J117,ﾏｽﾀ!$O$8:$O$124,0)),ﾏｽﾀ!$B$8:$B$124,0))&amp;"")</f>
        <v/>
      </c>
      <c r="L117" s="599" t="str">
        <f>IF($M117="","",INDEX(ﾏｽﾀ!$T$8:$T$16,MATCH($M117,ﾏｽﾀ!$U$8:$U$16,0))&amp;"")</f>
        <v/>
      </c>
      <c r="M117" s="534"/>
      <c r="N117" s="463"/>
      <c r="O117" s="464"/>
      <c r="P117" s="465"/>
      <c r="Q117" s="466" t="str">
        <f t="shared" si="12"/>
        <v/>
      </c>
      <c r="R117" s="154" t="str">
        <f>IF($T117="","",VLOOKUP($T117,請求Data!$I$11:$AR$160,請求Data!$AL$10-請求Data!$H$10,0))</f>
        <v/>
      </c>
      <c r="S117" s="155" t="str">
        <f>IF($T117="","",VLOOKUP($T117,請求Data!$I$11:$AR$160,請求Data!$AM$10-請求Data!$H$10,0))</f>
        <v/>
      </c>
      <c r="T117" s="467" t="str">
        <f>IF(ISNA(MATCH($H117,請求Data!$AH$11:$AH$160,0)),"",VLOOKUP($H117,請求Data!$AH$11:$AR$160,請求Data!$AK$10-請求Data!$AG$10,0))</f>
        <v/>
      </c>
      <c r="U117" s="468"/>
      <c r="V117" s="58"/>
    </row>
    <row r="118" spans="1:22" s="32" customFormat="1" ht="15" customHeight="1">
      <c r="A118" s="58" t="str">
        <f>IF($Q118="","",MAX($A$8:$A117)+1)</f>
        <v/>
      </c>
      <c r="B118" s="614" t="str">
        <f t="shared" si="11"/>
        <v/>
      </c>
      <c r="C118" s="614" t="str">
        <f t="shared" si="13"/>
        <v/>
      </c>
      <c r="D118" s="614" t="str">
        <f t="shared" si="14"/>
        <v/>
      </c>
      <c r="E118" s="615" t="str">
        <f t="shared" si="15"/>
        <v/>
      </c>
      <c r="F118" s="616" t="str">
        <f>IF($H118="","",IF(ISNA(MATCH($H118,$H$7:$H117,0)),1,0))</f>
        <v/>
      </c>
      <c r="G118" s="249"/>
      <c r="H118" s="95"/>
      <c r="I118" s="597" t="str">
        <f>IF($J118="","",INDEX(ﾏｽﾀ!$E$8:$E$124,MATCH(INDEX(ﾏｽﾀ!$N$8:$N$124,MATCH($J118,ﾏｽﾀ!$O$8:$O$124,0)),ﾏｽﾀ!$B$8:$B$124,0))&amp;"")</f>
        <v/>
      </c>
      <c r="J118" s="534"/>
      <c r="K118" s="598" t="str">
        <f>IF($J118="","",INDEX(ﾏｽﾀ!$G$8:$G$124,MATCH(INDEX(ﾏｽﾀ!$N$8:$N$124,MATCH($J118,ﾏｽﾀ!$O$8:$O$124,0)),ﾏｽﾀ!$B$8:$B$124,0))&amp;"")</f>
        <v/>
      </c>
      <c r="L118" s="599" t="str">
        <f>IF($M118="","",INDEX(ﾏｽﾀ!$T$8:$T$16,MATCH($M118,ﾏｽﾀ!$U$8:$U$16,0))&amp;"")</f>
        <v/>
      </c>
      <c r="M118" s="534"/>
      <c r="N118" s="463"/>
      <c r="O118" s="464"/>
      <c r="P118" s="465"/>
      <c r="Q118" s="466" t="str">
        <f t="shared" si="12"/>
        <v/>
      </c>
      <c r="R118" s="154" t="str">
        <f>IF($T118="","",VLOOKUP($T118,請求Data!$I$11:$AR$160,請求Data!$AL$10-請求Data!$H$10,0))</f>
        <v/>
      </c>
      <c r="S118" s="155" t="str">
        <f>IF($T118="","",VLOOKUP($T118,請求Data!$I$11:$AR$160,請求Data!$AM$10-請求Data!$H$10,0))</f>
        <v/>
      </c>
      <c r="T118" s="467" t="str">
        <f>IF(ISNA(MATCH($H118,請求Data!$AH$11:$AH$160,0)),"",VLOOKUP($H118,請求Data!$AH$11:$AR$160,請求Data!$AK$10-請求Data!$AG$10,0))</f>
        <v/>
      </c>
      <c r="U118" s="468"/>
      <c r="V118" s="58"/>
    </row>
    <row r="119" spans="1:22" s="32" customFormat="1" ht="15" customHeight="1">
      <c r="A119" s="58" t="str">
        <f>IF($Q119="","",MAX($A$8:$A118)+1)</f>
        <v/>
      </c>
      <c r="B119" s="614" t="str">
        <f t="shared" si="11"/>
        <v/>
      </c>
      <c r="C119" s="614" t="str">
        <f t="shared" si="13"/>
        <v/>
      </c>
      <c r="D119" s="614" t="str">
        <f t="shared" si="14"/>
        <v/>
      </c>
      <c r="E119" s="615" t="str">
        <f t="shared" si="15"/>
        <v/>
      </c>
      <c r="F119" s="616" t="str">
        <f>IF($H119="","",IF(ISNA(MATCH($H119,$H$7:$H118,0)),1,0))</f>
        <v/>
      </c>
      <c r="G119" s="249"/>
      <c r="H119" s="95"/>
      <c r="I119" s="597" t="str">
        <f>IF($J119="","",INDEX(ﾏｽﾀ!$E$8:$E$124,MATCH(INDEX(ﾏｽﾀ!$N$8:$N$124,MATCH($J119,ﾏｽﾀ!$O$8:$O$124,0)),ﾏｽﾀ!$B$8:$B$124,0))&amp;"")</f>
        <v/>
      </c>
      <c r="J119" s="534"/>
      <c r="K119" s="598" t="str">
        <f>IF($J119="","",INDEX(ﾏｽﾀ!$G$8:$G$124,MATCH(INDEX(ﾏｽﾀ!$N$8:$N$124,MATCH($J119,ﾏｽﾀ!$O$8:$O$124,0)),ﾏｽﾀ!$B$8:$B$124,0))&amp;"")</f>
        <v/>
      </c>
      <c r="L119" s="599" t="str">
        <f>IF($M119="","",INDEX(ﾏｽﾀ!$T$8:$T$16,MATCH($M119,ﾏｽﾀ!$U$8:$U$16,0))&amp;"")</f>
        <v/>
      </c>
      <c r="M119" s="534"/>
      <c r="N119" s="463"/>
      <c r="O119" s="464"/>
      <c r="P119" s="465"/>
      <c r="Q119" s="466" t="str">
        <f t="shared" si="12"/>
        <v/>
      </c>
      <c r="R119" s="154" t="str">
        <f>IF($T119="","",VLOOKUP($T119,請求Data!$I$11:$AR$160,請求Data!$AL$10-請求Data!$H$10,0))</f>
        <v/>
      </c>
      <c r="S119" s="155" t="str">
        <f>IF($T119="","",VLOOKUP($T119,請求Data!$I$11:$AR$160,請求Data!$AM$10-請求Data!$H$10,0))</f>
        <v/>
      </c>
      <c r="T119" s="467" t="str">
        <f>IF(ISNA(MATCH($H119,請求Data!$AH$11:$AH$160,0)),"",VLOOKUP($H119,請求Data!$AH$11:$AR$160,請求Data!$AK$10-請求Data!$AG$10,0))</f>
        <v/>
      </c>
      <c r="U119" s="468"/>
      <c r="V119" s="58"/>
    </row>
    <row r="120" spans="1:22" s="32" customFormat="1" ht="15" customHeight="1">
      <c r="A120" s="58" t="str">
        <f>IF($Q120="","",MAX($A$8:$A119)+1)</f>
        <v/>
      </c>
      <c r="B120" s="614" t="str">
        <f t="shared" si="11"/>
        <v/>
      </c>
      <c r="C120" s="614" t="str">
        <f t="shared" si="13"/>
        <v/>
      </c>
      <c r="D120" s="614" t="str">
        <f t="shared" si="14"/>
        <v/>
      </c>
      <c r="E120" s="615" t="str">
        <f t="shared" si="15"/>
        <v/>
      </c>
      <c r="F120" s="616" t="str">
        <f>IF($H120="","",IF(ISNA(MATCH($H120,$H$7:$H119,0)),1,0))</f>
        <v/>
      </c>
      <c r="G120" s="249"/>
      <c r="H120" s="95"/>
      <c r="I120" s="597" t="str">
        <f>IF($J120="","",INDEX(ﾏｽﾀ!$E$8:$E$124,MATCH(INDEX(ﾏｽﾀ!$N$8:$N$124,MATCH($J120,ﾏｽﾀ!$O$8:$O$124,0)),ﾏｽﾀ!$B$8:$B$124,0))&amp;"")</f>
        <v/>
      </c>
      <c r="J120" s="534"/>
      <c r="K120" s="598" t="str">
        <f>IF($J120="","",INDEX(ﾏｽﾀ!$G$8:$G$124,MATCH(INDEX(ﾏｽﾀ!$N$8:$N$124,MATCH($J120,ﾏｽﾀ!$O$8:$O$124,0)),ﾏｽﾀ!$B$8:$B$124,0))&amp;"")</f>
        <v/>
      </c>
      <c r="L120" s="599" t="str">
        <f>IF($M120="","",INDEX(ﾏｽﾀ!$T$8:$T$16,MATCH($M120,ﾏｽﾀ!$U$8:$U$16,0))&amp;"")</f>
        <v/>
      </c>
      <c r="M120" s="534"/>
      <c r="N120" s="463"/>
      <c r="O120" s="464"/>
      <c r="P120" s="465"/>
      <c r="Q120" s="466" t="str">
        <f t="shared" si="12"/>
        <v/>
      </c>
      <c r="R120" s="154" t="str">
        <f>IF($T120="","",VLOOKUP($T120,請求Data!$I$11:$AR$160,請求Data!$AL$10-請求Data!$H$10,0))</f>
        <v/>
      </c>
      <c r="S120" s="155" t="str">
        <f>IF($T120="","",VLOOKUP($T120,請求Data!$I$11:$AR$160,請求Data!$AM$10-請求Data!$H$10,0))</f>
        <v/>
      </c>
      <c r="T120" s="467" t="str">
        <f>IF(ISNA(MATCH($H120,請求Data!$AH$11:$AH$160,0)),"",VLOOKUP($H120,請求Data!$AH$11:$AR$160,請求Data!$AK$10-請求Data!$AG$10,0))</f>
        <v/>
      </c>
      <c r="U120" s="468"/>
      <c r="V120" s="58"/>
    </row>
    <row r="121" spans="1:22" s="32" customFormat="1" ht="15" customHeight="1">
      <c r="A121" s="58" t="str">
        <f>IF($Q121="","",MAX($A$8:$A120)+1)</f>
        <v/>
      </c>
      <c r="B121" s="614" t="str">
        <f t="shared" si="11"/>
        <v/>
      </c>
      <c r="C121" s="614" t="str">
        <f t="shared" si="13"/>
        <v/>
      </c>
      <c r="D121" s="614" t="str">
        <f t="shared" si="14"/>
        <v/>
      </c>
      <c r="E121" s="615" t="str">
        <f t="shared" si="15"/>
        <v/>
      </c>
      <c r="F121" s="616" t="str">
        <f>IF($H121="","",IF(ISNA(MATCH($H121,$H$7:$H120,0)),1,0))</f>
        <v/>
      </c>
      <c r="G121" s="249"/>
      <c r="H121" s="95"/>
      <c r="I121" s="597" t="str">
        <f>IF($J121="","",INDEX(ﾏｽﾀ!$E$8:$E$124,MATCH(INDEX(ﾏｽﾀ!$N$8:$N$124,MATCH($J121,ﾏｽﾀ!$O$8:$O$124,0)),ﾏｽﾀ!$B$8:$B$124,0))&amp;"")</f>
        <v/>
      </c>
      <c r="J121" s="534"/>
      <c r="K121" s="598" t="str">
        <f>IF($J121="","",INDEX(ﾏｽﾀ!$G$8:$G$124,MATCH(INDEX(ﾏｽﾀ!$N$8:$N$124,MATCH($J121,ﾏｽﾀ!$O$8:$O$124,0)),ﾏｽﾀ!$B$8:$B$124,0))&amp;"")</f>
        <v/>
      </c>
      <c r="L121" s="599" t="str">
        <f>IF($M121="","",INDEX(ﾏｽﾀ!$T$8:$T$16,MATCH($M121,ﾏｽﾀ!$U$8:$U$16,0))&amp;"")</f>
        <v/>
      </c>
      <c r="M121" s="534"/>
      <c r="N121" s="463"/>
      <c r="O121" s="464"/>
      <c r="P121" s="465"/>
      <c r="Q121" s="466" t="str">
        <f t="shared" si="12"/>
        <v/>
      </c>
      <c r="R121" s="154" t="str">
        <f>IF($T121="","",VLOOKUP($T121,請求Data!$I$11:$AR$160,請求Data!$AL$10-請求Data!$H$10,0))</f>
        <v/>
      </c>
      <c r="S121" s="155" t="str">
        <f>IF($T121="","",VLOOKUP($T121,請求Data!$I$11:$AR$160,請求Data!$AM$10-請求Data!$H$10,0))</f>
        <v/>
      </c>
      <c r="T121" s="467" t="str">
        <f>IF(ISNA(MATCH($H121,請求Data!$AH$11:$AH$160,0)),"",VLOOKUP($H121,請求Data!$AH$11:$AR$160,請求Data!$AK$10-請求Data!$AG$10,0))</f>
        <v/>
      </c>
      <c r="U121" s="468"/>
      <c r="V121" s="58"/>
    </row>
    <row r="122" spans="1:22" s="32" customFormat="1" ht="15" customHeight="1">
      <c r="A122" s="58" t="str">
        <f>IF($Q122="","",MAX($A$8:$A121)+1)</f>
        <v/>
      </c>
      <c r="B122" s="614" t="str">
        <f t="shared" si="11"/>
        <v/>
      </c>
      <c r="C122" s="614" t="str">
        <f t="shared" si="13"/>
        <v/>
      </c>
      <c r="D122" s="614" t="str">
        <f t="shared" si="14"/>
        <v/>
      </c>
      <c r="E122" s="615" t="str">
        <f t="shared" si="15"/>
        <v/>
      </c>
      <c r="F122" s="616" t="str">
        <f>IF($H122="","",IF(ISNA(MATCH($H122,$H$7:$H121,0)),1,0))</f>
        <v/>
      </c>
      <c r="G122" s="249"/>
      <c r="H122" s="95"/>
      <c r="I122" s="597" t="str">
        <f>IF($J122="","",INDEX(ﾏｽﾀ!$E$8:$E$124,MATCH(INDEX(ﾏｽﾀ!$N$8:$N$124,MATCH($J122,ﾏｽﾀ!$O$8:$O$124,0)),ﾏｽﾀ!$B$8:$B$124,0))&amp;"")</f>
        <v/>
      </c>
      <c r="J122" s="534"/>
      <c r="K122" s="598" t="str">
        <f>IF($J122="","",INDEX(ﾏｽﾀ!$G$8:$G$124,MATCH(INDEX(ﾏｽﾀ!$N$8:$N$124,MATCH($J122,ﾏｽﾀ!$O$8:$O$124,0)),ﾏｽﾀ!$B$8:$B$124,0))&amp;"")</f>
        <v/>
      </c>
      <c r="L122" s="599" t="str">
        <f>IF($M122="","",INDEX(ﾏｽﾀ!$T$8:$T$16,MATCH($M122,ﾏｽﾀ!$U$8:$U$16,0))&amp;"")</f>
        <v/>
      </c>
      <c r="M122" s="534"/>
      <c r="N122" s="463"/>
      <c r="O122" s="464"/>
      <c r="P122" s="465"/>
      <c r="Q122" s="466" t="str">
        <f t="shared" si="12"/>
        <v/>
      </c>
      <c r="R122" s="154" t="str">
        <f>IF($T122="","",VLOOKUP($T122,請求Data!$I$11:$AR$160,請求Data!$AL$10-請求Data!$H$10,0))</f>
        <v/>
      </c>
      <c r="S122" s="155" t="str">
        <f>IF($T122="","",VLOOKUP($T122,請求Data!$I$11:$AR$160,請求Data!$AM$10-請求Data!$H$10,0))</f>
        <v/>
      </c>
      <c r="T122" s="467" t="str">
        <f>IF(ISNA(MATCH($H122,請求Data!$AH$11:$AH$160,0)),"",VLOOKUP($H122,請求Data!$AH$11:$AR$160,請求Data!$AK$10-請求Data!$AG$10,0))</f>
        <v/>
      </c>
      <c r="U122" s="468"/>
      <c r="V122" s="58"/>
    </row>
    <row r="123" spans="1:22" s="32" customFormat="1" ht="15" customHeight="1">
      <c r="A123" s="58" t="str">
        <f>IF($Q123="","",MAX($A$8:$A122)+1)</f>
        <v/>
      </c>
      <c r="B123" s="614" t="str">
        <f t="shared" si="11"/>
        <v/>
      </c>
      <c r="C123" s="614" t="str">
        <f t="shared" si="13"/>
        <v/>
      </c>
      <c r="D123" s="614" t="str">
        <f t="shared" si="14"/>
        <v/>
      </c>
      <c r="E123" s="615" t="str">
        <f t="shared" si="15"/>
        <v/>
      </c>
      <c r="F123" s="616" t="str">
        <f>IF($H123="","",IF(ISNA(MATCH($H123,$H$7:$H122,0)),1,0))</f>
        <v/>
      </c>
      <c r="G123" s="249"/>
      <c r="H123" s="95"/>
      <c r="I123" s="597" t="str">
        <f>IF($J123="","",INDEX(ﾏｽﾀ!$E$8:$E$124,MATCH(INDEX(ﾏｽﾀ!$N$8:$N$124,MATCH($J123,ﾏｽﾀ!$O$8:$O$124,0)),ﾏｽﾀ!$B$8:$B$124,0))&amp;"")</f>
        <v/>
      </c>
      <c r="J123" s="534"/>
      <c r="K123" s="598" t="str">
        <f>IF($J123="","",INDEX(ﾏｽﾀ!$G$8:$G$124,MATCH(INDEX(ﾏｽﾀ!$N$8:$N$124,MATCH($J123,ﾏｽﾀ!$O$8:$O$124,0)),ﾏｽﾀ!$B$8:$B$124,0))&amp;"")</f>
        <v/>
      </c>
      <c r="L123" s="599" t="str">
        <f>IF($M123="","",INDEX(ﾏｽﾀ!$T$8:$T$16,MATCH($M123,ﾏｽﾀ!$U$8:$U$16,0))&amp;"")</f>
        <v/>
      </c>
      <c r="M123" s="534"/>
      <c r="N123" s="463"/>
      <c r="O123" s="464"/>
      <c r="P123" s="465"/>
      <c r="Q123" s="466" t="str">
        <f t="shared" si="12"/>
        <v/>
      </c>
      <c r="R123" s="154" t="str">
        <f>IF($T123="","",VLOOKUP($T123,請求Data!$I$11:$AR$160,請求Data!$AL$10-請求Data!$H$10,0))</f>
        <v/>
      </c>
      <c r="S123" s="155" t="str">
        <f>IF($T123="","",VLOOKUP($T123,請求Data!$I$11:$AR$160,請求Data!$AM$10-請求Data!$H$10,0))</f>
        <v/>
      </c>
      <c r="T123" s="467" t="str">
        <f>IF(ISNA(MATCH($H123,請求Data!$AH$11:$AH$160,0)),"",VLOOKUP($H123,請求Data!$AH$11:$AR$160,請求Data!$AK$10-請求Data!$AG$10,0))</f>
        <v/>
      </c>
      <c r="U123" s="468"/>
      <c r="V123" s="58"/>
    </row>
    <row r="124" spans="1:22" s="32" customFormat="1" ht="15" customHeight="1">
      <c r="A124" s="58" t="str">
        <f>IF($Q124="","",MAX($A$8:$A123)+1)</f>
        <v/>
      </c>
      <c r="B124" s="614" t="str">
        <f t="shared" si="11"/>
        <v/>
      </c>
      <c r="C124" s="614" t="str">
        <f t="shared" si="13"/>
        <v/>
      </c>
      <c r="D124" s="614" t="str">
        <f t="shared" si="14"/>
        <v/>
      </c>
      <c r="E124" s="615" t="str">
        <f t="shared" si="15"/>
        <v/>
      </c>
      <c r="F124" s="616" t="str">
        <f>IF($H124="","",IF(ISNA(MATCH($H124,$H$7:$H123,0)),1,0))</f>
        <v/>
      </c>
      <c r="G124" s="249"/>
      <c r="H124" s="95"/>
      <c r="I124" s="597" t="str">
        <f>IF($J124="","",INDEX(ﾏｽﾀ!$E$8:$E$124,MATCH(INDEX(ﾏｽﾀ!$N$8:$N$124,MATCH($J124,ﾏｽﾀ!$O$8:$O$124,0)),ﾏｽﾀ!$B$8:$B$124,0))&amp;"")</f>
        <v/>
      </c>
      <c r="J124" s="534"/>
      <c r="K124" s="598" t="str">
        <f>IF($J124="","",INDEX(ﾏｽﾀ!$G$8:$G$124,MATCH(INDEX(ﾏｽﾀ!$N$8:$N$124,MATCH($J124,ﾏｽﾀ!$O$8:$O$124,0)),ﾏｽﾀ!$B$8:$B$124,0))&amp;"")</f>
        <v/>
      </c>
      <c r="L124" s="599" t="str">
        <f>IF($M124="","",INDEX(ﾏｽﾀ!$T$8:$T$16,MATCH($M124,ﾏｽﾀ!$U$8:$U$16,0))&amp;"")</f>
        <v/>
      </c>
      <c r="M124" s="534"/>
      <c r="N124" s="463"/>
      <c r="O124" s="464"/>
      <c r="P124" s="465"/>
      <c r="Q124" s="466" t="str">
        <f t="shared" si="12"/>
        <v/>
      </c>
      <c r="R124" s="154" t="str">
        <f>IF($T124="","",VLOOKUP($T124,請求Data!$I$11:$AR$160,請求Data!$AL$10-請求Data!$H$10,0))</f>
        <v/>
      </c>
      <c r="S124" s="155" t="str">
        <f>IF($T124="","",VLOOKUP($T124,請求Data!$I$11:$AR$160,請求Data!$AM$10-請求Data!$H$10,0))</f>
        <v/>
      </c>
      <c r="T124" s="467" t="str">
        <f>IF(ISNA(MATCH($H124,請求Data!$AH$11:$AH$160,0)),"",VLOOKUP($H124,請求Data!$AH$11:$AR$160,請求Data!$AK$10-請求Data!$AG$10,0))</f>
        <v/>
      </c>
      <c r="U124" s="468"/>
      <c r="V124" s="58"/>
    </row>
    <row r="125" spans="1:22" s="32" customFormat="1" ht="15" customHeight="1">
      <c r="A125" s="58" t="str">
        <f>IF($Q125="","",MAX($A$8:$A124)+1)</f>
        <v/>
      </c>
      <c r="B125" s="614" t="str">
        <f t="shared" si="11"/>
        <v/>
      </c>
      <c r="C125" s="614" t="str">
        <f t="shared" si="13"/>
        <v/>
      </c>
      <c r="D125" s="614" t="str">
        <f t="shared" si="14"/>
        <v/>
      </c>
      <c r="E125" s="615" t="str">
        <f t="shared" si="15"/>
        <v/>
      </c>
      <c r="F125" s="616" t="str">
        <f>IF($H125="","",IF(ISNA(MATCH($H125,$H$7:$H124,0)),1,0))</f>
        <v/>
      </c>
      <c r="G125" s="249"/>
      <c r="H125" s="95"/>
      <c r="I125" s="597" t="str">
        <f>IF($J125="","",INDEX(ﾏｽﾀ!$E$8:$E$124,MATCH(INDEX(ﾏｽﾀ!$N$8:$N$124,MATCH($J125,ﾏｽﾀ!$O$8:$O$124,0)),ﾏｽﾀ!$B$8:$B$124,0))&amp;"")</f>
        <v/>
      </c>
      <c r="J125" s="534"/>
      <c r="K125" s="598" t="str">
        <f>IF($J125="","",INDEX(ﾏｽﾀ!$G$8:$G$124,MATCH(INDEX(ﾏｽﾀ!$N$8:$N$124,MATCH($J125,ﾏｽﾀ!$O$8:$O$124,0)),ﾏｽﾀ!$B$8:$B$124,0))&amp;"")</f>
        <v/>
      </c>
      <c r="L125" s="599" t="str">
        <f>IF($M125="","",INDEX(ﾏｽﾀ!$T$8:$T$16,MATCH($M125,ﾏｽﾀ!$U$8:$U$16,0))&amp;"")</f>
        <v/>
      </c>
      <c r="M125" s="534"/>
      <c r="N125" s="463"/>
      <c r="O125" s="464"/>
      <c r="P125" s="465"/>
      <c r="Q125" s="466" t="str">
        <f t="shared" si="12"/>
        <v/>
      </c>
      <c r="R125" s="154" t="str">
        <f>IF($T125="","",VLOOKUP($T125,請求Data!$I$11:$AR$160,請求Data!$AL$10-請求Data!$H$10,0))</f>
        <v/>
      </c>
      <c r="S125" s="155" t="str">
        <f>IF($T125="","",VLOOKUP($T125,請求Data!$I$11:$AR$160,請求Data!$AM$10-請求Data!$H$10,0))</f>
        <v/>
      </c>
      <c r="T125" s="467" t="str">
        <f>IF(ISNA(MATCH($H125,請求Data!$AH$11:$AH$160,0)),"",VLOOKUP($H125,請求Data!$AH$11:$AR$160,請求Data!$AK$10-請求Data!$AG$10,0))</f>
        <v/>
      </c>
      <c r="U125" s="468"/>
      <c r="V125" s="58"/>
    </row>
    <row r="126" spans="1:22" s="32" customFormat="1" ht="15" customHeight="1">
      <c r="A126" s="58" t="str">
        <f>IF($Q126="","",MAX($A$8:$A125)+1)</f>
        <v/>
      </c>
      <c r="B126" s="614" t="str">
        <f t="shared" si="11"/>
        <v/>
      </c>
      <c r="C126" s="614" t="str">
        <f t="shared" si="13"/>
        <v/>
      </c>
      <c r="D126" s="614" t="str">
        <f t="shared" si="14"/>
        <v/>
      </c>
      <c r="E126" s="615" t="str">
        <f t="shared" si="15"/>
        <v/>
      </c>
      <c r="F126" s="616" t="str">
        <f>IF($H126="","",IF(ISNA(MATCH($H126,$H$7:$H125,0)),1,0))</f>
        <v/>
      </c>
      <c r="G126" s="249"/>
      <c r="H126" s="95"/>
      <c r="I126" s="597" t="str">
        <f>IF($J126="","",INDEX(ﾏｽﾀ!$E$8:$E$124,MATCH(INDEX(ﾏｽﾀ!$N$8:$N$124,MATCH($J126,ﾏｽﾀ!$O$8:$O$124,0)),ﾏｽﾀ!$B$8:$B$124,0))&amp;"")</f>
        <v/>
      </c>
      <c r="J126" s="534"/>
      <c r="K126" s="598" t="str">
        <f>IF($J126="","",INDEX(ﾏｽﾀ!$G$8:$G$124,MATCH(INDEX(ﾏｽﾀ!$N$8:$N$124,MATCH($J126,ﾏｽﾀ!$O$8:$O$124,0)),ﾏｽﾀ!$B$8:$B$124,0))&amp;"")</f>
        <v/>
      </c>
      <c r="L126" s="599" t="str">
        <f>IF($M126="","",INDEX(ﾏｽﾀ!$T$8:$T$16,MATCH($M126,ﾏｽﾀ!$U$8:$U$16,0))&amp;"")</f>
        <v/>
      </c>
      <c r="M126" s="534"/>
      <c r="N126" s="463"/>
      <c r="O126" s="464"/>
      <c r="P126" s="465"/>
      <c r="Q126" s="466" t="str">
        <f t="shared" si="12"/>
        <v/>
      </c>
      <c r="R126" s="154" t="str">
        <f>IF($T126="","",VLOOKUP($T126,請求Data!$I$11:$AR$160,請求Data!$AL$10-請求Data!$H$10,0))</f>
        <v/>
      </c>
      <c r="S126" s="155" t="str">
        <f>IF($T126="","",VLOOKUP($T126,請求Data!$I$11:$AR$160,請求Data!$AM$10-請求Data!$H$10,0))</f>
        <v/>
      </c>
      <c r="T126" s="467" t="str">
        <f>IF(ISNA(MATCH($H126,請求Data!$AH$11:$AH$160,0)),"",VLOOKUP($H126,請求Data!$AH$11:$AR$160,請求Data!$AK$10-請求Data!$AG$10,0))</f>
        <v/>
      </c>
      <c r="U126" s="468"/>
      <c r="V126" s="58"/>
    </row>
    <row r="127" spans="1:22" s="32" customFormat="1" ht="15" customHeight="1">
      <c r="A127" s="58" t="str">
        <f>IF($Q127="","",MAX($A$8:$A126)+1)</f>
        <v/>
      </c>
      <c r="B127" s="614" t="str">
        <f t="shared" si="11"/>
        <v/>
      </c>
      <c r="C127" s="614" t="str">
        <f t="shared" si="13"/>
        <v/>
      </c>
      <c r="D127" s="614" t="str">
        <f t="shared" si="14"/>
        <v/>
      </c>
      <c r="E127" s="615" t="str">
        <f t="shared" si="15"/>
        <v/>
      </c>
      <c r="F127" s="616" t="str">
        <f>IF($H127="","",IF(ISNA(MATCH($H127,$H$7:$H126,0)),1,0))</f>
        <v/>
      </c>
      <c r="G127" s="249"/>
      <c r="H127" s="95"/>
      <c r="I127" s="597" t="str">
        <f>IF($J127="","",INDEX(ﾏｽﾀ!$E$8:$E$124,MATCH(INDEX(ﾏｽﾀ!$N$8:$N$124,MATCH($J127,ﾏｽﾀ!$O$8:$O$124,0)),ﾏｽﾀ!$B$8:$B$124,0))&amp;"")</f>
        <v/>
      </c>
      <c r="J127" s="534"/>
      <c r="K127" s="598" t="str">
        <f>IF($J127="","",INDEX(ﾏｽﾀ!$G$8:$G$124,MATCH(INDEX(ﾏｽﾀ!$N$8:$N$124,MATCH($J127,ﾏｽﾀ!$O$8:$O$124,0)),ﾏｽﾀ!$B$8:$B$124,0))&amp;"")</f>
        <v/>
      </c>
      <c r="L127" s="599" t="str">
        <f>IF($M127="","",INDEX(ﾏｽﾀ!$T$8:$T$16,MATCH($M127,ﾏｽﾀ!$U$8:$U$16,0))&amp;"")</f>
        <v/>
      </c>
      <c r="M127" s="534"/>
      <c r="N127" s="463"/>
      <c r="O127" s="464"/>
      <c r="P127" s="465"/>
      <c r="Q127" s="466" t="str">
        <f t="shared" si="12"/>
        <v/>
      </c>
      <c r="R127" s="154" t="str">
        <f>IF($T127="","",VLOOKUP($T127,請求Data!$I$11:$AR$160,請求Data!$AL$10-請求Data!$H$10,0))</f>
        <v/>
      </c>
      <c r="S127" s="155" t="str">
        <f>IF($T127="","",VLOOKUP($T127,請求Data!$I$11:$AR$160,請求Data!$AM$10-請求Data!$H$10,0))</f>
        <v/>
      </c>
      <c r="T127" s="467" t="str">
        <f>IF(ISNA(MATCH($H127,請求Data!$AH$11:$AH$160,0)),"",VLOOKUP($H127,請求Data!$AH$11:$AR$160,請求Data!$AK$10-請求Data!$AG$10,0))</f>
        <v/>
      </c>
      <c r="U127" s="468"/>
      <c r="V127" s="58"/>
    </row>
    <row r="128" spans="1:22" s="32" customFormat="1" ht="15" customHeight="1">
      <c r="A128" s="58" t="str">
        <f>IF($Q128="","",MAX($A$8:$A127)+1)</f>
        <v/>
      </c>
      <c r="B128" s="614" t="str">
        <f t="shared" si="11"/>
        <v/>
      </c>
      <c r="C128" s="614" t="str">
        <f t="shared" si="13"/>
        <v/>
      </c>
      <c r="D128" s="614" t="str">
        <f t="shared" si="14"/>
        <v/>
      </c>
      <c r="E128" s="615" t="str">
        <f t="shared" si="15"/>
        <v/>
      </c>
      <c r="F128" s="616" t="str">
        <f>IF($H128="","",IF(ISNA(MATCH($H128,$H$7:$H127,0)),1,0))</f>
        <v/>
      </c>
      <c r="G128" s="249"/>
      <c r="H128" s="95"/>
      <c r="I128" s="597" t="str">
        <f>IF($J128="","",INDEX(ﾏｽﾀ!$E$8:$E$124,MATCH(INDEX(ﾏｽﾀ!$N$8:$N$124,MATCH($J128,ﾏｽﾀ!$O$8:$O$124,0)),ﾏｽﾀ!$B$8:$B$124,0))&amp;"")</f>
        <v/>
      </c>
      <c r="J128" s="534"/>
      <c r="K128" s="598" t="str">
        <f>IF($J128="","",INDEX(ﾏｽﾀ!$G$8:$G$124,MATCH(INDEX(ﾏｽﾀ!$N$8:$N$124,MATCH($J128,ﾏｽﾀ!$O$8:$O$124,0)),ﾏｽﾀ!$B$8:$B$124,0))&amp;"")</f>
        <v/>
      </c>
      <c r="L128" s="599" t="str">
        <f>IF($M128="","",INDEX(ﾏｽﾀ!$T$8:$T$16,MATCH($M128,ﾏｽﾀ!$U$8:$U$16,0))&amp;"")</f>
        <v/>
      </c>
      <c r="M128" s="534"/>
      <c r="N128" s="463"/>
      <c r="O128" s="464"/>
      <c r="P128" s="465"/>
      <c r="Q128" s="466" t="str">
        <f t="shared" si="12"/>
        <v/>
      </c>
      <c r="R128" s="154" t="str">
        <f>IF($T128="","",VLOOKUP($T128,請求Data!$I$11:$AR$160,請求Data!$AL$10-請求Data!$H$10,0))</f>
        <v/>
      </c>
      <c r="S128" s="155" t="str">
        <f>IF($T128="","",VLOOKUP($T128,請求Data!$I$11:$AR$160,請求Data!$AM$10-請求Data!$H$10,0))</f>
        <v/>
      </c>
      <c r="T128" s="467" t="str">
        <f>IF(ISNA(MATCH($H128,請求Data!$AH$11:$AH$160,0)),"",VLOOKUP($H128,請求Data!$AH$11:$AR$160,請求Data!$AK$10-請求Data!$AG$10,0))</f>
        <v/>
      </c>
      <c r="U128" s="468"/>
      <c r="V128" s="58"/>
    </row>
    <row r="129" spans="1:22" s="32" customFormat="1" ht="15" customHeight="1">
      <c r="A129" s="58" t="str">
        <f>IF($Q129="","",MAX($A$8:$A128)+1)</f>
        <v/>
      </c>
      <c r="B129" s="614" t="str">
        <f t="shared" si="11"/>
        <v/>
      </c>
      <c r="C129" s="614" t="str">
        <f t="shared" si="13"/>
        <v/>
      </c>
      <c r="D129" s="614" t="str">
        <f t="shared" si="14"/>
        <v/>
      </c>
      <c r="E129" s="615" t="str">
        <f t="shared" si="15"/>
        <v/>
      </c>
      <c r="F129" s="616" t="str">
        <f>IF($H129="","",IF(ISNA(MATCH($H129,$H$7:$H128,0)),1,0))</f>
        <v/>
      </c>
      <c r="G129" s="249"/>
      <c r="H129" s="95"/>
      <c r="I129" s="597" t="str">
        <f>IF($J129="","",INDEX(ﾏｽﾀ!$E$8:$E$124,MATCH(INDEX(ﾏｽﾀ!$N$8:$N$124,MATCH($J129,ﾏｽﾀ!$O$8:$O$124,0)),ﾏｽﾀ!$B$8:$B$124,0))&amp;"")</f>
        <v/>
      </c>
      <c r="J129" s="534"/>
      <c r="K129" s="598" t="str">
        <f>IF($J129="","",INDEX(ﾏｽﾀ!$G$8:$G$124,MATCH(INDEX(ﾏｽﾀ!$N$8:$N$124,MATCH($J129,ﾏｽﾀ!$O$8:$O$124,0)),ﾏｽﾀ!$B$8:$B$124,0))&amp;"")</f>
        <v/>
      </c>
      <c r="L129" s="599" t="str">
        <f>IF($M129="","",INDEX(ﾏｽﾀ!$T$8:$T$16,MATCH($M129,ﾏｽﾀ!$U$8:$U$16,0))&amp;"")</f>
        <v/>
      </c>
      <c r="M129" s="534"/>
      <c r="N129" s="463"/>
      <c r="O129" s="464"/>
      <c r="P129" s="465"/>
      <c r="Q129" s="466" t="str">
        <f t="shared" si="12"/>
        <v/>
      </c>
      <c r="R129" s="154" t="str">
        <f>IF($T129="","",VLOOKUP($T129,請求Data!$I$11:$AR$160,請求Data!$AL$10-請求Data!$H$10,0))</f>
        <v/>
      </c>
      <c r="S129" s="155" t="str">
        <f>IF($T129="","",VLOOKUP($T129,請求Data!$I$11:$AR$160,請求Data!$AM$10-請求Data!$H$10,0))</f>
        <v/>
      </c>
      <c r="T129" s="467" t="str">
        <f>IF(ISNA(MATCH($H129,請求Data!$AH$11:$AH$160,0)),"",VLOOKUP($H129,請求Data!$AH$11:$AR$160,請求Data!$AK$10-請求Data!$AG$10,0))</f>
        <v/>
      </c>
      <c r="U129" s="468"/>
      <c r="V129" s="58"/>
    </row>
    <row r="130" spans="1:22" s="32" customFormat="1" ht="15" customHeight="1">
      <c r="A130" s="58" t="str">
        <f>IF($Q130="","",MAX($A$8:$A129)+1)</f>
        <v/>
      </c>
      <c r="B130" s="614" t="str">
        <f t="shared" si="11"/>
        <v/>
      </c>
      <c r="C130" s="614" t="str">
        <f t="shared" si="13"/>
        <v/>
      </c>
      <c r="D130" s="614" t="str">
        <f t="shared" si="14"/>
        <v/>
      </c>
      <c r="E130" s="615" t="str">
        <f t="shared" si="15"/>
        <v/>
      </c>
      <c r="F130" s="616" t="str">
        <f>IF($H130="","",IF(ISNA(MATCH($H130,$H$7:$H129,0)),1,0))</f>
        <v/>
      </c>
      <c r="G130" s="249"/>
      <c r="H130" s="95"/>
      <c r="I130" s="597" t="str">
        <f>IF($J130="","",INDEX(ﾏｽﾀ!$E$8:$E$124,MATCH(INDEX(ﾏｽﾀ!$N$8:$N$124,MATCH($J130,ﾏｽﾀ!$O$8:$O$124,0)),ﾏｽﾀ!$B$8:$B$124,0))&amp;"")</f>
        <v/>
      </c>
      <c r="J130" s="534"/>
      <c r="K130" s="598" t="str">
        <f>IF($J130="","",INDEX(ﾏｽﾀ!$G$8:$G$124,MATCH(INDEX(ﾏｽﾀ!$N$8:$N$124,MATCH($J130,ﾏｽﾀ!$O$8:$O$124,0)),ﾏｽﾀ!$B$8:$B$124,0))&amp;"")</f>
        <v/>
      </c>
      <c r="L130" s="599" t="str">
        <f>IF($M130="","",INDEX(ﾏｽﾀ!$T$8:$T$16,MATCH($M130,ﾏｽﾀ!$U$8:$U$16,0))&amp;"")</f>
        <v/>
      </c>
      <c r="M130" s="534"/>
      <c r="N130" s="463"/>
      <c r="O130" s="464"/>
      <c r="P130" s="465"/>
      <c r="Q130" s="466" t="str">
        <f t="shared" si="12"/>
        <v/>
      </c>
      <c r="R130" s="154" t="str">
        <f>IF($T130="","",VLOOKUP($T130,請求Data!$I$11:$AR$160,請求Data!$AL$10-請求Data!$H$10,0))</f>
        <v/>
      </c>
      <c r="S130" s="155" t="str">
        <f>IF($T130="","",VLOOKUP($T130,請求Data!$I$11:$AR$160,請求Data!$AM$10-請求Data!$H$10,0))</f>
        <v/>
      </c>
      <c r="T130" s="467" t="str">
        <f>IF(ISNA(MATCH($H130,請求Data!$AH$11:$AH$160,0)),"",VLOOKUP($H130,請求Data!$AH$11:$AR$160,請求Data!$AK$10-請求Data!$AG$10,0))</f>
        <v/>
      </c>
      <c r="U130" s="468"/>
      <c r="V130" s="58"/>
    </row>
    <row r="131" spans="1:22" s="32" customFormat="1" ht="15" customHeight="1">
      <c r="A131" s="58" t="str">
        <f>IF($Q131="","",MAX($A$8:$A130)+1)</f>
        <v/>
      </c>
      <c r="B131" s="614" t="str">
        <f t="shared" si="11"/>
        <v/>
      </c>
      <c r="C131" s="614" t="str">
        <f t="shared" si="13"/>
        <v/>
      </c>
      <c r="D131" s="614" t="str">
        <f t="shared" si="14"/>
        <v/>
      </c>
      <c r="E131" s="615" t="str">
        <f t="shared" si="15"/>
        <v/>
      </c>
      <c r="F131" s="616" t="str">
        <f>IF($H131="","",IF(ISNA(MATCH($H131,$H$7:$H130,0)),1,0))</f>
        <v/>
      </c>
      <c r="G131" s="249"/>
      <c r="H131" s="95"/>
      <c r="I131" s="597" t="str">
        <f>IF($J131="","",INDEX(ﾏｽﾀ!$E$8:$E$124,MATCH(INDEX(ﾏｽﾀ!$N$8:$N$124,MATCH($J131,ﾏｽﾀ!$O$8:$O$124,0)),ﾏｽﾀ!$B$8:$B$124,0))&amp;"")</f>
        <v/>
      </c>
      <c r="J131" s="534"/>
      <c r="K131" s="598" t="str">
        <f>IF($J131="","",INDEX(ﾏｽﾀ!$G$8:$G$124,MATCH(INDEX(ﾏｽﾀ!$N$8:$N$124,MATCH($J131,ﾏｽﾀ!$O$8:$O$124,0)),ﾏｽﾀ!$B$8:$B$124,0))&amp;"")</f>
        <v/>
      </c>
      <c r="L131" s="599" t="str">
        <f>IF($M131="","",INDEX(ﾏｽﾀ!$T$8:$T$16,MATCH($M131,ﾏｽﾀ!$U$8:$U$16,0))&amp;"")</f>
        <v/>
      </c>
      <c r="M131" s="534"/>
      <c r="N131" s="463"/>
      <c r="O131" s="464"/>
      <c r="P131" s="465"/>
      <c r="Q131" s="466" t="str">
        <f t="shared" si="12"/>
        <v/>
      </c>
      <c r="R131" s="154" t="str">
        <f>IF($T131="","",VLOOKUP($T131,請求Data!$I$11:$AR$160,請求Data!$AL$10-請求Data!$H$10,0))</f>
        <v/>
      </c>
      <c r="S131" s="155" t="str">
        <f>IF($T131="","",VLOOKUP($T131,請求Data!$I$11:$AR$160,請求Data!$AM$10-請求Data!$H$10,0))</f>
        <v/>
      </c>
      <c r="T131" s="467" t="str">
        <f>IF(ISNA(MATCH($H131,請求Data!$AH$11:$AH$160,0)),"",VLOOKUP($H131,請求Data!$AH$11:$AR$160,請求Data!$AK$10-請求Data!$AG$10,0))</f>
        <v/>
      </c>
      <c r="U131" s="468"/>
      <c r="V131" s="58"/>
    </row>
    <row r="132" spans="1:22" s="32" customFormat="1" ht="15" customHeight="1">
      <c r="A132" s="58" t="str">
        <f>IF($Q132="","",MAX($A$8:$A131)+1)</f>
        <v/>
      </c>
      <c r="B132" s="614" t="str">
        <f t="shared" si="11"/>
        <v/>
      </c>
      <c r="C132" s="614" t="str">
        <f t="shared" si="13"/>
        <v/>
      </c>
      <c r="D132" s="614" t="str">
        <f t="shared" si="14"/>
        <v/>
      </c>
      <c r="E132" s="615" t="str">
        <f t="shared" si="15"/>
        <v/>
      </c>
      <c r="F132" s="616" t="str">
        <f>IF($H132="","",IF(ISNA(MATCH($H132,$H$7:$H131,0)),1,0))</f>
        <v/>
      </c>
      <c r="G132" s="249"/>
      <c r="H132" s="95"/>
      <c r="I132" s="597" t="str">
        <f>IF($J132="","",INDEX(ﾏｽﾀ!$E$8:$E$124,MATCH(INDEX(ﾏｽﾀ!$N$8:$N$124,MATCH($J132,ﾏｽﾀ!$O$8:$O$124,0)),ﾏｽﾀ!$B$8:$B$124,0))&amp;"")</f>
        <v/>
      </c>
      <c r="J132" s="534"/>
      <c r="K132" s="598" t="str">
        <f>IF($J132="","",INDEX(ﾏｽﾀ!$G$8:$G$124,MATCH(INDEX(ﾏｽﾀ!$N$8:$N$124,MATCH($J132,ﾏｽﾀ!$O$8:$O$124,0)),ﾏｽﾀ!$B$8:$B$124,0))&amp;"")</f>
        <v/>
      </c>
      <c r="L132" s="599" t="str">
        <f>IF($M132="","",INDEX(ﾏｽﾀ!$T$8:$T$16,MATCH($M132,ﾏｽﾀ!$U$8:$U$16,0))&amp;"")</f>
        <v/>
      </c>
      <c r="M132" s="534"/>
      <c r="N132" s="463"/>
      <c r="O132" s="464"/>
      <c r="P132" s="465"/>
      <c r="Q132" s="466" t="str">
        <f t="shared" si="12"/>
        <v/>
      </c>
      <c r="R132" s="154" t="str">
        <f>IF($T132="","",VLOOKUP($T132,請求Data!$I$11:$AR$160,請求Data!$AL$10-請求Data!$H$10,0))</f>
        <v/>
      </c>
      <c r="S132" s="155" t="str">
        <f>IF($T132="","",VLOOKUP($T132,請求Data!$I$11:$AR$160,請求Data!$AM$10-請求Data!$H$10,0))</f>
        <v/>
      </c>
      <c r="T132" s="467" t="str">
        <f>IF(ISNA(MATCH($H132,請求Data!$AH$11:$AH$160,0)),"",VLOOKUP($H132,請求Data!$AH$11:$AR$160,請求Data!$AK$10-請求Data!$AG$10,0))</f>
        <v/>
      </c>
      <c r="U132" s="468"/>
      <c r="V132" s="58"/>
    </row>
    <row r="133" spans="1:22" s="32" customFormat="1" ht="15" customHeight="1">
      <c r="A133" s="58" t="str">
        <f>IF($Q133="","",MAX($A$8:$A132)+1)</f>
        <v/>
      </c>
      <c r="B133" s="614" t="str">
        <f t="shared" si="11"/>
        <v/>
      </c>
      <c r="C133" s="614" t="str">
        <f t="shared" si="13"/>
        <v/>
      </c>
      <c r="D133" s="614" t="str">
        <f t="shared" si="14"/>
        <v/>
      </c>
      <c r="E133" s="615" t="str">
        <f t="shared" si="15"/>
        <v/>
      </c>
      <c r="F133" s="616" t="str">
        <f>IF($H133="","",IF(ISNA(MATCH($H133,$H$7:$H132,0)),1,0))</f>
        <v/>
      </c>
      <c r="G133" s="249"/>
      <c r="H133" s="95"/>
      <c r="I133" s="597" t="str">
        <f>IF($J133="","",INDEX(ﾏｽﾀ!$E$8:$E$124,MATCH(INDEX(ﾏｽﾀ!$N$8:$N$124,MATCH($J133,ﾏｽﾀ!$O$8:$O$124,0)),ﾏｽﾀ!$B$8:$B$124,0))&amp;"")</f>
        <v/>
      </c>
      <c r="J133" s="534"/>
      <c r="K133" s="598" t="str">
        <f>IF($J133="","",INDEX(ﾏｽﾀ!$G$8:$G$124,MATCH(INDEX(ﾏｽﾀ!$N$8:$N$124,MATCH($J133,ﾏｽﾀ!$O$8:$O$124,0)),ﾏｽﾀ!$B$8:$B$124,0))&amp;"")</f>
        <v/>
      </c>
      <c r="L133" s="599" t="str">
        <f>IF($M133="","",INDEX(ﾏｽﾀ!$T$8:$T$16,MATCH($M133,ﾏｽﾀ!$U$8:$U$16,0))&amp;"")</f>
        <v/>
      </c>
      <c r="M133" s="534"/>
      <c r="N133" s="463"/>
      <c r="O133" s="464"/>
      <c r="P133" s="465"/>
      <c r="Q133" s="466" t="str">
        <f t="shared" si="12"/>
        <v/>
      </c>
      <c r="R133" s="154" t="str">
        <f>IF($T133="","",VLOOKUP($T133,請求Data!$I$11:$AR$160,請求Data!$AL$10-請求Data!$H$10,0))</f>
        <v/>
      </c>
      <c r="S133" s="155" t="str">
        <f>IF($T133="","",VLOOKUP($T133,請求Data!$I$11:$AR$160,請求Data!$AM$10-請求Data!$H$10,0))</f>
        <v/>
      </c>
      <c r="T133" s="467" t="str">
        <f>IF(ISNA(MATCH($H133,請求Data!$AH$11:$AH$160,0)),"",VLOOKUP($H133,請求Data!$AH$11:$AR$160,請求Data!$AK$10-請求Data!$AG$10,0))</f>
        <v/>
      </c>
      <c r="U133" s="468"/>
      <c r="V133" s="58"/>
    </row>
    <row r="134" spans="1:22" s="32" customFormat="1" ht="15" customHeight="1">
      <c r="A134" s="58" t="str">
        <f>IF($Q134="","",MAX($A$8:$A133)+1)</f>
        <v/>
      </c>
      <c r="B134" s="614" t="str">
        <f t="shared" si="11"/>
        <v/>
      </c>
      <c r="C134" s="614" t="str">
        <f t="shared" si="13"/>
        <v/>
      </c>
      <c r="D134" s="614" t="str">
        <f t="shared" si="14"/>
        <v/>
      </c>
      <c r="E134" s="615" t="str">
        <f t="shared" si="15"/>
        <v/>
      </c>
      <c r="F134" s="616" t="str">
        <f>IF($H134="","",IF(ISNA(MATCH($H134,$H$7:$H133,0)),1,0))</f>
        <v/>
      </c>
      <c r="G134" s="249"/>
      <c r="H134" s="95"/>
      <c r="I134" s="597" t="str">
        <f>IF($J134="","",INDEX(ﾏｽﾀ!$E$8:$E$124,MATCH(INDEX(ﾏｽﾀ!$N$8:$N$124,MATCH($J134,ﾏｽﾀ!$O$8:$O$124,0)),ﾏｽﾀ!$B$8:$B$124,0))&amp;"")</f>
        <v/>
      </c>
      <c r="J134" s="534"/>
      <c r="K134" s="598" t="str">
        <f>IF($J134="","",INDEX(ﾏｽﾀ!$G$8:$G$124,MATCH(INDEX(ﾏｽﾀ!$N$8:$N$124,MATCH($J134,ﾏｽﾀ!$O$8:$O$124,0)),ﾏｽﾀ!$B$8:$B$124,0))&amp;"")</f>
        <v/>
      </c>
      <c r="L134" s="599" t="str">
        <f>IF($M134="","",INDEX(ﾏｽﾀ!$T$8:$T$16,MATCH($M134,ﾏｽﾀ!$U$8:$U$16,0))&amp;"")</f>
        <v/>
      </c>
      <c r="M134" s="534"/>
      <c r="N134" s="463"/>
      <c r="O134" s="464"/>
      <c r="P134" s="465"/>
      <c r="Q134" s="466" t="str">
        <f t="shared" si="12"/>
        <v/>
      </c>
      <c r="R134" s="154" t="str">
        <f>IF($T134="","",VLOOKUP($T134,請求Data!$I$11:$AR$160,請求Data!$AL$10-請求Data!$H$10,0))</f>
        <v/>
      </c>
      <c r="S134" s="155" t="str">
        <f>IF($T134="","",VLOOKUP($T134,請求Data!$I$11:$AR$160,請求Data!$AM$10-請求Data!$H$10,0))</f>
        <v/>
      </c>
      <c r="T134" s="467" t="str">
        <f>IF(ISNA(MATCH($H134,請求Data!$AH$11:$AH$160,0)),"",VLOOKUP($H134,請求Data!$AH$11:$AR$160,請求Data!$AK$10-請求Data!$AG$10,0))</f>
        <v/>
      </c>
      <c r="U134" s="468"/>
      <c r="V134" s="58"/>
    </row>
    <row r="135" spans="1:22" s="32" customFormat="1" ht="15" customHeight="1">
      <c r="A135" s="58" t="str">
        <f>IF($Q135="","",MAX($A$8:$A134)+1)</f>
        <v/>
      </c>
      <c r="B135" s="614" t="str">
        <f t="shared" si="11"/>
        <v/>
      </c>
      <c r="C135" s="614" t="str">
        <f t="shared" si="13"/>
        <v/>
      </c>
      <c r="D135" s="614" t="str">
        <f t="shared" si="14"/>
        <v/>
      </c>
      <c r="E135" s="615" t="str">
        <f t="shared" si="15"/>
        <v/>
      </c>
      <c r="F135" s="616" t="str">
        <f>IF($H135="","",IF(ISNA(MATCH($H135,$H$7:$H134,0)),1,0))</f>
        <v/>
      </c>
      <c r="G135" s="249"/>
      <c r="H135" s="95"/>
      <c r="I135" s="597" t="str">
        <f>IF($J135="","",INDEX(ﾏｽﾀ!$E$8:$E$124,MATCH(INDEX(ﾏｽﾀ!$N$8:$N$124,MATCH($J135,ﾏｽﾀ!$O$8:$O$124,0)),ﾏｽﾀ!$B$8:$B$124,0))&amp;"")</f>
        <v/>
      </c>
      <c r="J135" s="534"/>
      <c r="K135" s="598" t="str">
        <f>IF($J135="","",INDEX(ﾏｽﾀ!$G$8:$G$124,MATCH(INDEX(ﾏｽﾀ!$N$8:$N$124,MATCH($J135,ﾏｽﾀ!$O$8:$O$124,0)),ﾏｽﾀ!$B$8:$B$124,0))&amp;"")</f>
        <v/>
      </c>
      <c r="L135" s="599" t="str">
        <f>IF($M135="","",INDEX(ﾏｽﾀ!$T$8:$T$16,MATCH($M135,ﾏｽﾀ!$U$8:$U$16,0))&amp;"")</f>
        <v/>
      </c>
      <c r="M135" s="534"/>
      <c r="N135" s="463"/>
      <c r="O135" s="464"/>
      <c r="P135" s="465"/>
      <c r="Q135" s="466" t="str">
        <f t="shared" si="12"/>
        <v/>
      </c>
      <c r="R135" s="154" t="str">
        <f>IF($T135="","",VLOOKUP($T135,請求Data!$I$11:$AR$160,請求Data!$AL$10-請求Data!$H$10,0))</f>
        <v/>
      </c>
      <c r="S135" s="155" t="str">
        <f>IF($T135="","",VLOOKUP($T135,請求Data!$I$11:$AR$160,請求Data!$AM$10-請求Data!$H$10,0))</f>
        <v/>
      </c>
      <c r="T135" s="467" t="str">
        <f>IF(ISNA(MATCH($H135,請求Data!$AH$11:$AH$160,0)),"",VLOOKUP($H135,請求Data!$AH$11:$AR$160,請求Data!$AK$10-請求Data!$AG$10,0))</f>
        <v/>
      </c>
      <c r="U135" s="468"/>
      <c r="V135" s="58"/>
    </row>
    <row r="136" spans="1:22" s="32" customFormat="1" ht="15" customHeight="1">
      <c r="A136" s="58" t="str">
        <f>IF($Q136="","",MAX($A$8:$A135)+1)</f>
        <v/>
      </c>
      <c r="B136" s="614" t="str">
        <f t="shared" si="11"/>
        <v/>
      </c>
      <c r="C136" s="614" t="str">
        <f t="shared" si="13"/>
        <v/>
      </c>
      <c r="D136" s="614" t="str">
        <f t="shared" si="14"/>
        <v/>
      </c>
      <c r="E136" s="615" t="str">
        <f t="shared" si="15"/>
        <v/>
      </c>
      <c r="F136" s="616" t="str">
        <f>IF($H136="","",IF(ISNA(MATCH($H136,$H$7:$H135,0)),1,0))</f>
        <v/>
      </c>
      <c r="G136" s="249"/>
      <c r="H136" s="95"/>
      <c r="I136" s="597" t="str">
        <f>IF($J136="","",INDEX(ﾏｽﾀ!$E$8:$E$124,MATCH(INDEX(ﾏｽﾀ!$N$8:$N$124,MATCH($J136,ﾏｽﾀ!$O$8:$O$124,0)),ﾏｽﾀ!$B$8:$B$124,0))&amp;"")</f>
        <v/>
      </c>
      <c r="J136" s="534"/>
      <c r="K136" s="598" t="str">
        <f>IF($J136="","",INDEX(ﾏｽﾀ!$G$8:$G$124,MATCH(INDEX(ﾏｽﾀ!$N$8:$N$124,MATCH($J136,ﾏｽﾀ!$O$8:$O$124,0)),ﾏｽﾀ!$B$8:$B$124,0))&amp;"")</f>
        <v/>
      </c>
      <c r="L136" s="599" t="str">
        <f>IF($M136="","",INDEX(ﾏｽﾀ!$T$8:$T$16,MATCH($M136,ﾏｽﾀ!$U$8:$U$16,0))&amp;"")</f>
        <v/>
      </c>
      <c r="M136" s="534"/>
      <c r="N136" s="463"/>
      <c r="O136" s="464"/>
      <c r="P136" s="465"/>
      <c r="Q136" s="466" t="str">
        <f t="shared" si="12"/>
        <v/>
      </c>
      <c r="R136" s="154" t="str">
        <f>IF($T136="","",VLOOKUP($T136,請求Data!$I$11:$AR$160,請求Data!$AL$10-請求Data!$H$10,0))</f>
        <v/>
      </c>
      <c r="S136" s="155" t="str">
        <f>IF($T136="","",VLOOKUP($T136,請求Data!$I$11:$AR$160,請求Data!$AM$10-請求Data!$H$10,0))</f>
        <v/>
      </c>
      <c r="T136" s="467" t="str">
        <f>IF(ISNA(MATCH($H136,請求Data!$AH$11:$AH$160,0)),"",VLOOKUP($H136,請求Data!$AH$11:$AR$160,請求Data!$AK$10-請求Data!$AG$10,0))</f>
        <v/>
      </c>
      <c r="U136" s="468"/>
      <c r="V136" s="58"/>
    </row>
    <row r="137" spans="1:22" s="32" customFormat="1" ht="15" customHeight="1">
      <c r="A137" s="58" t="str">
        <f>IF($Q137="","",MAX($A$8:$A136)+1)</f>
        <v/>
      </c>
      <c r="B137" s="614" t="str">
        <f t="shared" si="11"/>
        <v/>
      </c>
      <c r="C137" s="614" t="str">
        <f t="shared" ref="C137:C168" si="16">IF($H137="","",CONCATENATE(VLOOKUP($N137,$N$2:$O$5,2,FALSE),$I137,IF($K137="","00",$K137),$E137,$L137))</f>
        <v/>
      </c>
      <c r="D137" s="614" t="str">
        <f t="shared" ref="D137:D168" si="17">IF($H137="","",CONCATENATE(VLOOKUP($N137,$N$2:$O$5,2,FALSE),$I137,IF($K137="","00",$K137),$E137,$F137,$L137))</f>
        <v/>
      </c>
      <c r="E137" s="615" t="str">
        <f t="shared" ref="E137:E168" si="18">IF($H137="","",IF($T137="",1,9))</f>
        <v/>
      </c>
      <c r="F137" s="616" t="str">
        <f>IF($H137="","",IF(ISNA(MATCH($H137,$H$7:$H136,0)),1,0))</f>
        <v/>
      </c>
      <c r="G137" s="249"/>
      <c r="H137" s="95"/>
      <c r="I137" s="597" t="str">
        <f>IF($J137="","",INDEX(ﾏｽﾀ!$E$8:$E$124,MATCH(INDEX(ﾏｽﾀ!$N$8:$N$124,MATCH($J137,ﾏｽﾀ!$O$8:$O$124,0)),ﾏｽﾀ!$B$8:$B$124,0))&amp;"")</f>
        <v/>
      </c>
      <c r="J137" s="534"/>
      <c r="K137" s="598" t="str">
        <f>IF($J137="","",INDEX(ﾏｽﾀ!$G$8:$G$124,MATCH(INDEX(ﾏｽﾀ!$N$8:$N$124,MATCH($J137,ﾏｽﾀ!$O$8:$O$124,0)),ﾏｽﾀ!$B$8:$B$124,0))&amp;"")</f>
        <v/>
      </c>
      <c r="L137" s="599" t="str">
        <f>IF($M137="","",INDEX(ﾏｽﾀ!$T$8:$T$16,MATCH($M137,ﾏｽﾀ!$U$8:$U$16,0))&amp;"")</f>
        <v/>
      </c>
      <c r="M137" s="534"/>
      <c r="N137" s="463"/>
      <c r="O137" s="464"/>
      <c r="P137" s="465"/>
      <c r="Q137" s="466" t="str">
        <f t="shared" si="12"/>
        <v/>
      </c>
      <c r="R137" s="154" t="str">
        <f>IF($T137="","",VLOOKUP($T137,請求Data!$I$11:$AR$160,請求Data!$AL$10-請求Data!$H$10,0))</f>
        <v/>
      </c>
      <c r="S137" s="155" t="str">
        <f>IF($T137="","",VLOOKUP($T137,請求Data!$I$11:$AR$160,請求Data!$AM$10-請求Data!$H$10,0))</f>
        <v/>
      </c>
      <c r="T137" s="467" t="str">
        <f>IF(ISNA(MATCH($H137,請求Data!$AH$11:$AH$160,0)),"",VLOOKUP($H137,請求Data!$AH$11:$AR$160,請求Data!$AK$10-請求Data!$AG$10,0))</f>
        <v/>
      </c>
      <c r="U137" s="468"/>
      <c r="V137" s="58"/>
    </row>
    <row r="138" spans="1:22" s="32" customFormat="1" ht="15" customHeight="1">
      <c r="A138" s="58" t="str">
        <f>IF($Q138="","",MAX($A$8:$A137)+1)</f>
        <v/>
      </c>
      <c r="B138" s="614" t="str">
        <f t="shared" ref="B138:B201" si="19">LEFT($D138,8)</f>
        <v/>
      </c>
      <c r="C138" s="614" t="str">
        <f t="shared" si="16"/>
        <v/>
      </c>
      <c r="D138" s="614" t="str">
        <f t="shared" si="17"/>
        <v/>
      </c>
      <c r="E138" s="615" t="str">
        <f t="shared" si="18"/>
        <v/>
      </c>
      <c r="F138" s="616" t="str">
        <f>IF($H138="","",IF(ISNA(MATCH($H138,$H$7:$H137,0)),1,0))</f>
        <v/>
      </c>
      <c r="G138" s="249"/>
      <c r="H138" s="95"/>
      <c r="I138" s="597" t="str">
        <f>IF($J138="","",INDEX(ﾏｽﾀ!$E$8:$E$124,MATCH(INDEX(ﾏｽﾀ!$N$8:$N$124,MATCH($J138,ﾏｽﾀ!$O$8:$O$124,0)),ﾏｽﾀ!$B$8:$B$124,0))&amp;"")</f>
        <v/>
      </c>
      <c r="J138" s="534"/>
      <c r="K138" s="598" t="str">
        <f>IF($J138="","",INDEX(ﾏｽﾀ!$G$8:$G$124,MATCH(INDEX(ﾏｽﾀ!$N$8:$N$124,MATCH($J138,ﾏｽﾀ!$O$8:$O$124,0)),ﾏｽﾀ!$B$8:$B$124,0))&amp;"")</f>
        <v/>
      </c>
      <c r="L138" s="599" t="str">
        <f>IF($M138="","",INDEX(ﾏｽﾀ!$T$8:$T$16,MATCH($M138,ﾏｽﾀ!$U$8:$U$16,0))&amp;"")</f>
        <v/>
      </c>
      <c r="M138" s="534"/>
      <c r="N138" s="463"/>
      <c r="O138" s="464"/>
      <c r="P138" s="465"/>
      <c r="Q138" s="466" t="str">
        <f t="shared" si="12"/>
        <v/>
      </c>
      <c r="R138" s="154" t="str">
        <f>IF($T138="","",VLOOKUP($T138,請求Data!$I$11:$AR$160,請求Data!$AL$10-請求Data!$H$10,0))</f>
        <v/>
      </c>
      <c r="S138" s="155" t="str">
        <f>IF($T138="","",VLOOKUP($T138,請求Data!$I$11:$AR$160,請求Data!$AM$10-請求Data!$H$10,0))</f>
        <v/>
      </c>
      <c r="T138" s="467" t="str">
        <f>IF(ISNA(MATCH($H138,請求Data!$AH$11:$AH$160,0)),"",VLOOKUP($H138,請求Data!$AH$11:$AR$160,請求Data!$AK$10-請求Data!$AG$10,0))</f>
        <v/>
      </c>
      <c r="U138" s="468"/>
      <c r="V138" s="58"/>
    </row>
    <row r="139" spans="1:22" s="32" customFormat="1" ht="15" customHeight="1">
      <c r="A139" s="58" t="str">
        <f>IF($Q139="","",MAX($A$8:$A138)+1)</f>
        <v/>
      </c>
      <c r="B139" s="614" t="str">
        <f t="shared" si="19"/>
        <v/>
      </c>
      <c r="C139" s="614" t="str">
        <f t="shared" si="16"/>
        <v/>
      </c>
      <c r="D139" s="614" t="str">
        <f t="shared" si="17"/>
        <v/>
      </c>
      <c r="E139" s="615" t="str">
        <f t="shared" si="18"/>
        <v/>
      </c>
      <c r="F139" s="616" t="str">
        <f>IF($H139="","",IF(ISNA(MATCH($H139,$H$7:$H138,0)),1,0))</f>
        <v/>
      </c>
      <c r="G139" s="249"/>
      <c r="H139" s="95"/>
      <c r="I139" s="597" t="str">
        <f>IF($J139="","",INDEX(ﾏｽﾀ!$E$8:$E$124,MATCH(INDEX(ﾏｽﾀ!$N$8:$N$124,MATCH($J139,ﾏｽﾀ!$O$8:$O$124,0)),ﾏｽﾀ!$B$8:$B$124,0))&amp;"")</f>
        <v/>
      </c>
      <c r="J139" s="534"/>
      <c r="K139" s="598" t="str">
        <f>IF($J139="","",INDEX(ﾏｽﾀ!$G$8:$G$124,MATCH(INDEX(ﾏｽﾀ!$N$8:$N$124,MATCH($J139,ﾏｽﾀ!$O$8:$O$124,0)),ﾏｽﾀ!$B$8:$B$124,0))&amp;"")</f>
        <v/>
      </c>
      <c r="L139" s="599" t="str">
        <f>IF($M139="","",INDEX(ﾏｽﾀ!$T$8:$T$16,MATCH($M139,ﾏｽﾀ!$U$8:$U$16,0))&amp;"")</f>
        <v/>
      </c>
      <c r="M139" s="534"/>
      <c r="N139" s="463"/>
      <c r="O139" s="464"/>
      <c r="P139" s="465"/>
      <c r="Q139" s="466" t="str">
        <f t="shared" ref="Q139:Q202" si="20">IF($O139="","",IF($N139="\",ROUNDDOWN($O139*$P139,0)+$U139,ROUNDDOWN($O139*$P139,2)+$U139))</f>
        <v/>
      </c>
      <c r="R139" s="154" t="str">
        <f>IF($T139="","",VLOOKUP($T139,請求Data!$I$11:$AR$160,請求Data!$AL$10-請求Data!$H$10,0))</f>
        <v/>
      </c>
      <c r="S139" s="155" t="str">
        <f>IF($T139="","",VLOOKUP($T139,請求Data!$I$11:$AR$160,請求Data!$AM$10-請求Data!$H$10,0))</f>
        <v/>
      </c>
      <c r="T139" s="467" t="str">
        <f>IF(ISNA(MATCH($H139,請求Data!$AH$11:$AH$160,0)),"",VLOOKUP($H139,請求Data!$AH$11:$AR$160,請求Data!$AK$10-請求Data!$AG$10,0))</f>
        <v/>
      </c>
      <c r="U139" s="468"/>
      <c r="V139" s="58"/>
    </row>
    <row r="140" spans="1:22" s="32" customFormat="1" ht="15" customHeight="1">
      <c r="A140" s="58" t="str">
        <f>IF($Q140="","",MAX($A$8:$A139)+1)</f>
        <v/>
      </c>
      <c r="B140" s="614" t="str">
        <f t="shared" si="19"/>
        <v/>
      </c>
      <c r="C140" s="614" t="str">
        <f t="shared" si="16"/>
        <v/>
      </c>
      <c r="D140" s="614" t="str">
        <f t="shared" si="17"/>
        <v/>
      </c>
      <c r="E140" s="615" t="str">
        <f t="shared" si="18"/>
        <v/>
      </c>
      <c r="F140" s="616" t="str">
        <f>IF($H140="","",IF(ISNA(MATCH($H140,$H$7:$H139,0)),1,0))</f>
        <v/>
      </c>
      <c r="G140" s="249"/>
      <c r="H140" s="95"/>
      <c r="I140" s="597" t="str">
        <f>IF($J140="","",INDEX(ﾏｽﾀ!$E$8:$E$124,MATCH(INDEX(ﾏｽﾀ!$N$8:$N$124,MATCH($J140,ﾏｽﾀ!$O$8:$O$124,0)),ﾏｽﾀ!$B$8:$B$124,0))&amp;"")</f>
        <v/>
      </c>
      <c r="J140" s="534"/>
      <c r="K140" s="598" t="str">
        <f>IF($J140="","",INDEX(ﾏｽﾀ!$G$8:$G$124,MATCH(INDEX(ﾏｽﾀ!$N$8:$N$124,MATCH($J140,ﾏｽﾀ!$O$8:$O$124,0)),ﾏｽﾀ!$B$8:$B$124,0))&amp;"")</f>
        <v/>
      </c>
      <c r="L140" s="599" t="str">
        <f>IF($M140="","",INDEX(ﾏｽﾀ!$T$8:$T$16,MATCH($M140,ﾏｽﾀ!$U$8:$U$16,0))&amp;"")</f>
        <v/>
      </c>
      <c r="M140" s="534"/>
      <c r="N140" s="463"/>
      <c r="O140" s="464"/>
      <c r="P140" s="465"/>
      <c r="Q140" s="466" t="str">
        <f t="shared" si="20"/>
        <v/>
      </c>
      <c r="R140" s="154" t="str">
        <f>IF($T140="","",VLOOKUP($T140,請求Data!$I$11:$AR$160,請求Data!$AL$10-請求Data!$H$10,0))</f>
        <v/>
      </c>
      <c r="S140" s="155" t="str">
        <f>IF($T140="","",VLOOKUP($T140,請求Data!$I$11:$AR$160,請求Data!$AM$10-請求Data!$H$10,0))</f>
        <v/>
      </c>
      <c r="T140" s="467" t="str">
        <f>IF(ISNA(MATCH($H140,請求Data!$AH$11:$AH$160,0)),"",VLOOKUP($H140,請求Data!$AH$11:$AR$160,請求Data!$AK$10-請求Data!$AG$10,0))</f>
        <v/>
      </c>
      <c r="U140" s="468"/>
      <c r="V140" s="58"/>
    </row>
    <row r="141" spans="1:22" s="32" customFormat="1" ht="15" customHeight="1">
      <c r="A141" s="58" t="str">
        <f>IF($Q141="","",MAX($A$8:$A140)+1)</f>
        <v/>
      </c>
      <c r="B141" s="614" t="str">
        <f t="shared" si="19"/>
        <v/>
      </c>
      <c r="C141" s="614" t="str">
        <f t="shared" si="16"/>
        <v/>
      </c>
      <c r="D141" s="614" t="str">
        <f t="shared" si="17"/>
        <v/>
      </c>
      <c r="E141" s="615" t="str">
        <f t="shared" si="18"/>
        <v/>
      </c>
      <c r="F141" s="616" t="str">
        <f>IF($H141="","",IF(ISNA(MATCH($H141,$H$7:$H140,0)),1,0))</f>
        <v/>
      </c>
      <c r="G141" s="249"/>
      <c r="H141" s="95"/>
      <c r="I141" s="597" t="str">
        <f>IF($J141="","",INDEX(ﾏｽﾀ!$E$8:$E$124,MATCH(INDEX(ﾏｽﾀ!$N$8:$N$124,MATCH($J141,ﾏｽﾀ!$O$8:$O$124,0)),ﾏｽﾀ!$B$8:$B$124,0))&amp;"")</f>
        <v/>
      </c>
      <c r="J141" s="534"/>
      <c r="K141" s="598" t="str">
        <f>IF($J141="","",INDEX(ﾏｽﾀ!$G$8:$G$124,MATCH(INDEX(ﾏｽﾀ!$N$8:$N$124,MATCH($J141,ﾏｽﾀ!$O$8:$O$124,0)),ﾏｽﾀ!$B$8:$B$124,0))&amp;"")</f>
        <v/>
      </c>
      <c r="L141" s="599" t="str">
        <f>IF($M141="","",INDEX(ﾏｽﾀ!$T$8:$T$16,MATCH($M141,ﾏｽﾀ!$U$8:$U$16,0))&amp;"")</f>
        <v/>
      </c>
      <c r="M141" s="534"/>
      <c r="N141" s="463"/>
      <c r="O141" s="464"/>
      <c r="P141" s="465"/>
      <c r="Q141" s="466" t="str">
        <f t="shared" si="20"/>
        <v/>
      </c>
      <c r="R141" s="154" t="str">
        <f>IF($T141="","",VLOOKUP($T141,請求Data!$I$11:$AR$160,請求Data!$AL$10-請求Data!$H$10,0))</f>
        <v/>
      </c>
      <c r="S141" s="155" t="str">
        <f>IF($T141="","",VLOOKUP($T141,請求Data!$I$11:$AR$160,請求Data!$AM$10-請求Data!$H$10,0))</f>
        <v/>
      </c>
      <c r="T141" s="467" t="str">
        <f>IF(ISNA(MATCH($H141,請求Data!$AH$11:$AH$160,0)),"",VLOOKUP($H141,請求Data!$AH$11:$AR$160,請求Data!$AK$10-請求Data!$AG$10,0))</f>
        <v/>
      </c>
      <c r="U141" s="468"/>
      <c r="V141" s="58"/>
    </row>
    <row r="142" spans="1:22" s="32" customFormat="1" ht="15" customHeight="1">
      <c r="A142" s="58" t="str">
        <f>IF($Q142="","",MAX($A$8:$A141)+1)</f>
        <v/>
      </c>
      <c r="B142" s="614" t="str">
        <f t="shared" si="19"/>
        <v/>
      </c>
      <c r="C142" s="614" t="str">
        <f t="shared" si="16"/>
        <v/>
      </c>
      <c r="D142" s="614" t="str">
        <f t="shared" si="17"/>
        <v/>
      </c>
      <c r="E142" s="615" t="str">
        <f t="shared" si="18"/>
        <v/>
      </c>
      <c r="F142" s="616" t="str">
        <f>IF($H142="","",IF(ISNA(MATCH($H142,$H$7:$H141,0)),1,0))</f>
        <v/>
      </c>
      <c r="G142" s="249"/>
      <c r="H142" s="95"/>
      <c r="I142" s="597" t="str">
        <f>IF($J142="","",INDEX(ﾏｽﾀ!$E$8:$E$124,MATCH(INDEX(ﾏｽﾀ!$N$8:$N$124,MATCH($J142,ﾏｽﾀ!$O$8:$O$124,0)),ﾏｽﾀ!$B$8:$B$124,0))&amp;"")</f>
        <v/>
      </c>
      <c r="J142" s="534"/>
      <c r="K142" s="598" t="str">
        <f>IF($J142="","",INDEX(ﾏｽﾀ!$G$8:$G$124,MATCH(INDEX(ﾏｽﾀ!$N$8:$N$124,MATCH($J142,ﾏｽﾀ!$O$8:$O$124,0)),ﾏｽﾀ!$B$8:$B$124,0))&amp;"")</f>
        <v/>
      </c>
      <c r="L142" s="599" t="str">
        <f>IF($M142="","",INDEX(ﾏｽﾀ!$T$8:$T$16,MATCH($M142,ﾏｽﾀ!$U$8:$U$16,0))&amp;"")</f>
        <v/>
      </c>
      <c r="M142" s="534"/>
      <c r="N142" s="463"/>
      <c r="O142" s="464"/>
      <c r="P142" s="465"/>
      <c r="Q142" s="466" t="str">
        <f t="shared" si="20"/>
        <v/>
      </c>
      <c r="R142" s="154" t="str">
        <f>IF($T142="","",VLOOKUP($T142,請求Data!$I$11:$AR$160,請求Data!$AL$10-請求Data!$H$10,0))</f>
        <v/>
      </c>
      <c r="S142" s="155" t="str">
        <f>IF($T142="","",VLOOKUP($T142,請求Data!$I$11:$AR$160,請求Data!$AM$10-請求Data!$H$10,0))</f>
        <v/>
      </c>
      <c r="T142" s="467" t="str">
        <f>IF(ISNA(MATCH($H142,請求Data!$AH$11:$AH$160,0)),"",VLOOKUP($H142,請求Data!$AH$11:$AR$160,請求Data!$AK$10-請求Data!$AG$10,0))</f>
        <v/>
      </c>
      <c r="U142" s="468"/>
      <c r="V142" s="58"/>
    </row>
    <row r="143" spans="1:22" s="32" customFormat="1" ht="15" customHeight="1">
      <c r="A143" s="58" t="str">
        <f>IF($Q143="","",MAX($A$8:$A142)+1)</f>
        <v/>
      </c>
      <c r="B143" s="614" t="str">
        <f t="shared" si="19"/>
        <v/>
      </c>
      <c r="C143" s="614" t="str">
        <f t="shared" si="16"/>
        <v/>
      </c>
      <c r="D143" s="614" t="str">
        <f t="shared" si="17"/>
        <v/>
      </c>
      <c r="E143" s="615" t="str">
        <f t="shared" si="18"/>
        <v/>
      </c>
      <c r="F143" s="616" t="str">
        <f>IF($H143="","",IF(ISNA(MATCH($H143,$H$7:$H142,0)),1,0))</f>
        <v/>
      </c>
      <c r="G143" s="249"/>
      <c r="H143" s="95"/>
      <c r="I143" s="597" t="str">
        <f>IF($J143="","",INDEX(ﾏｽﾀ!$E$8:$E$124,MATCH(INDEX(ﾏｽﾀ!$N$8:$N$124,MATCH($J143,ﾏｽﾀ!$O$8:$O$124,0)),ﾏｽﾀ!$B$8:$B$124,0))&amp;"")</f>
        <v/>
      </c>
      <c r="J143" s="534"/>
      <c r="K143" s="598" t="str">
        <f>IF($J143="","",INDEX(ﾏｽﾀ!$G$8:$G$124,MATCH(INDEX(ﾏｽﾀ!$N$8:$N$124,MATCH($J143,ﾏｽﾀ!$O$8:$O$124,0)),ﾏｽﾀ!$B$8:$B$124,0))&amp;"")</f>
        <v/>
      </c>
      <c r="L143" s="599" t="str">
        <f>IF($M143="","",INDEX(ﾏｽﾀ!$T$8:$T$16,MATCH($M143,ﾏｽﾀ!$U$8:$U$16,0))&amp;"")</f>
        <v/>
      </c>
      <c r="M143" s="534"/>
      <c r="N143" s="463"/>
      <c r="O143" s="464"/>
      <c r="P143" s="465"/>
      <c r="Q143" s="466" t="str">
        <f t="shared" si="20"/>
        <v/>
      </c>
      <c r="R143" s="154" t="str">
        <f>IF($T143="","",VLOOKUP($T143,請求Data!$I$11:$AR$160,請求Data!$AL$10-請求Data!$H$10,0))</f>
        <v/>
      </c>
      <c r="S143" s="155" t="str">
        <f>IF($T143="","",VLOOKUP($T143,請求Data!$I$11:$AR$160,請求Data!$AM$10-請求Data!$H$10,0))</f>
        <v/>
      </c>
      <c r="T143" s="467" t="str">
        <f>IF(ISNA(MATCH($H143,請求Data!$AH$11:$AH$160,0)),"",VLOOKUP($H143,請求Data!$AH$11:$AR$160,請求Data!$AK$10-請求Data!$AG$10,0))</f>
        <v/>
      </c>
      <c r="U143" s="468"/>
      <c r="V143" s="58"/>
    </row>
    <row r="144" spans="1:22" s="32" customFormat="1" ht="15" customHeight="1">
      <c r="A144" s="58" t="str">
        <f>IF($Q144="","",MAX($A$8:$A143)+1)</f>
        <v/>
      </c>
      <c r="B144" s="614" t="str">
        <f t="shared" si="19"/>
        <v/>
      </c>
      <c r="C144" s="614" t="str">
        <f t="shared" si="16"/>
        <v/>
      </c>
      <c r="D144" s="614" t="str">
        <f t="shared" si="17"/>
        <v/>
      </c>
      <c r="E144" s="615" t="str">
        <f t="shared" si="18"/>
        <v/>
      </c>
      <c r="F144" s="616" t="str">
        <f>IF($H144="","",IF(ISNA(MATCH($H144,$H$7:$H143,0)),1,0))</f>
        <v/>
      </c>
      <c r="G144" s="249"/>
      <c r="H144" s="95"/>
      <c r="I144" s="597" t="str">
        <f>IF($J144="","",INDEX(ﾏｽﾀ!$E$8:$E$124,MATCH(INDEX(ﾏｽﾀ!$N$8:$N$124,MATCH($J144,ﾏｽﾀ!$O$8:$O$124,0)),ﾏｽﾀ!$B$8:$B$124,0))&amp;"")</f>
        <v/>
      </c>
      <c r="J144" s="534"/>
      <c r="K144" s="598" t="str">
        <f>IF($J144="","",INDEX(ﾏｽﾀ!$G$8:$G$124,MATCH(INDEX(ﾏｽﾀ!$N$8:$N$124,MATCH($J144,ﾏｽﾀ!$O$8:$O$124,0)),ﾏｽﾀ!$B$8:$B$124,0))&amp;"")</f>
        <v/>
      </c>
      <c r="L144" s="599" t="str">
        <f>IF($M144="","",INDEX(ﾏｽﾀ!$T$8:$T$16,MATCH($M144,ﾏｽﾀ!$U$8:$U$16,0))&amp;"")</f>
        <v/>
      </c>
      <c r="M144" s="534"/>
      <c r="N144" s="463"/>
      <c r="O144" s="464"/>
      <c r="P144" s="465"/>
      <c r="Q144" s="466" t="str">
        <f t="shared" si="20"/>
        <v/>
      </c>
      <c r="R144" s="154" t="str">
        <f>IF($T144="","",VLOOKUP($T144,請求Data!$I$11:$AR$160,請求Data!$AL$10-請求Data!$H$10,0))</f>
        <v/>
      </c>
      <c r="S144" s="155" t="str">
        <f>IF($T144="","",VLOOKUP($T144,請求Data!$I$11:$AR$160,請求Data!$AM$10-請求Data!$H$10,0))</f>
        <v/>
      </c>
      <c r="T144" s="467" t="str">
        <f>IF(ISNA(MATCH($H144,請求Data!$AH$11:$AH$160,0)),"",VLOOKUP($H144,請求Data!$AH$11:$AR$160,請求Data!$AK$10-請求Data!$AG$10,0))</f>
        <v/>
      </c>
      <c r="U144" s="468"/>
      <c r="V144" s="58"/>
    </row>
    <row r="145" spans="1:22" s="32" customFormat="1" ht="15" customHeight="1">
      <c r="A145" s="58" t="str">
        <f>IF($Q145="","",MAX($A$8:$A144)+1)</f>
        <v/>
      </c>
      <c r="B145" s="614" t="str">
        <f t="shared" si="19"/>
        <v/>
      </c>
      <c r="C145" s="614" t="str">
        <f t="shared" si="16"/>
        <v/>
      </c>
      <c r="D145" s="614" t="str">
        <f t="shared" si="17"/>
        <v/>
      </c>
      <c r="E145" s="615" t="str">
        <f t="shared" si="18"/>
        <v/>
      </c>
      <c r="F145" s="616" t="str">
        <f>IF($H145="","",IF(ISNA(MATCH($H145,$H$7:$H144,0)),1,0))</f>
        <v/>
      </c>
      <c r="G145" s="249"/>
      <c r="H145" s="95"/>
      <c r="I145" s="597" t="str">
        <f>IF($J145="","",INDEX(ﾏｽﾀ!$E$8:$E$124,MATCH(INDEX(ﾏｽﾀ!$N$8:$N$124,MATCH($J145,ﾏｽﾀ!$O$8:$O$124,0)),ﾏｽﾀ!$B$8:$B$124,0))&amp;"")</f>
        <v/>
      </c>
      <c r="J145" s="534"/>
      <c r="K145" s="598" t="str">
        <f>IF($J145="","",INDEX(ﾏｽﾀ!$G$8:$G$124,MATCH(INDEX(ﾏｽﾀ!$N$8:$N$124,MATCH($J145,ﾏｽﾀ!$O$8:$O$124,0)),ﾏｽﾀ!$B$8:$B$124,0))&amp;"")</f>
        <v/>
      </c>
      <c r="L145" s="599" t="str">
        <f>IF($M145="","",INDEX(ﾏｽﾀ!$T$8:$T$16,MATCH($M145,ﾏｽﾀ!$U$8:$U$16,0))&amp;"")</f>
        <v/>
      </c>
      <c r="M145" s="534"/>
      <c r="N145" s="463"/>
      <c r="O145" s="464"/>
      <c r="P145" s="465"/>
      <c r="Q145" s="466" t="str">
        <f t="shared" si="20"/>
        <v/>
      </c>
      <c r="R145" s="154" t="str">
        <f>IF($T145="","",VLOOKUP($T145,請求Data!$I$11:$AR$160,請求Data!$AL$10-請求Data!$H$10,0))</f>
        <v/>
      </c>
      <c r="S145" s="155" t="str">
        <f>IF($T145="","",VLOOKUP($T145,請求Data!$I$11:$AR$160,請求Data!$AM$10-請求Data!$H$10,0))</f>
        <v/>
      </c>
      <c r="T145" s="467" t="str">
        <f>IF(ISNA(MATCH($H145,請求Data!$AH$11:$AH$160,0)),"",VLOOKUP($H145,請求Data!$AH$11:$AR$160,請求Data!$AK$10-請求Data!$AG$10,0))</f>
        <v/>
      </c>
      <c r="U145" s="468"/>
      <c r="V145" s="58"/>
    </row>
    <row r="146" spans="1:22" s="32" customFormat="1" ht="15" customHeight="1">
      <c r="A146" s="58" t="str">
        <f>IF($Q146="","",MAX($A$8:$A145)+1)</f>
        <v/>
      </c>
      <c r="B146" s="614" t="str">
        <f t="shared" si="19"/>
        <v/>
      </c>
      <c r="C146" s="614" t="str">
        <f t="shared" si="16"/>
        <v/>
      </c>
      <c r="D146" s="614" t="str">
        <f t="shared" si="17"/>
        <v/>
      </c>
      <c r="E146" s="615" t="str">
        <f t="shared" si="18"/>
        <v/>
      </c>
      <c r="F146" s="616" t="str">
        <f>IF($H146="","",IF(ISNA(MATCH($H146,$H$7:$H145,0)),1,0))</f>
        <v/>
      </c>
      <c r="G146" s="249"/>
      <c r="H146" s="95"/>
      <c r="I146" s="597" t="str">
        <f>IF($J146="","",INDEX(ﾏｽﾀ!$E$8:$E$124,MATCH(INDEX(ﾏｽﾀ!$N$8:$N$124,MATCH($J146,ﾏｽﾀ!$O$8:$O$124,0)),ﾏｽﾀ!$B$8:$B$124,0))&amp;"")</f>
        <v/>
      </c>
      <c r="J146" s="534"/>
      <c r="K146" s="598" t="str">
        <f>IF($J146="","",INDEX(ﾏｽﾀ!$G$8:$G$124,MATCH(INDEX(ﾏｽﾀ!$N$8:$N$124,MATCH($J146,ﾏｽﾀ!$O$8:$O$124,0)),ﾏｽﾀ!$B$8:$B$124,0))&amp;"")</f>
        <v/>
      </c>
      <c r="L146" s="599" t="str">
        <f>IF($M146="","",INDEX(ﾏｽﾀ!$T$8:$T$16,MATCH($M146,ﾏｽﾀ!$U$8:$U$16,0))&amp;"")</f>
        <v/>
      </c>
      <c r="M146" s="534"/>
      <c r="N146" s="463"/>
      <c r="O146" s="464"/>
      <c r="P146" s="465"/>
      <c r="Q146" s="466" t="str">
        <f t="shared" si="20"/>
        <v/>
      </c>
      <c r="R146" s="154" t="str">
        <f>IF($T146="","",VLOOKUP($T146,請求Data!$I$11:$AR$160,請求Data!$AL$10-請求Data!$H$10,0))</f>
        <v/>
      </c>
      <c r="S146" s="155" t="str">
        <f>IF($T146="","",VLOOKUP($T146,請求Data!$I$11:$AR$160,請求Data!$AM$10-請求Data!$H$10,0))</f>
        <v/>
      </c>
      <c r="T146" s="467" t="str">
        <f>IF(ISNA(MATCH($H146,請求Data!$AH$11:$AH$160,0)),"",VLOOKUP($H146,請求Data!$AH$11:$AR$160,請求Data!$AK$10-請求Data!$AG$10,0))</f>
        <v/>
      </c>
      <c r="U146" s="468"/>
      <c r="V146" s="58"/>
    </row>
    <row r="147" spans="1:22" s="32" customFormat="1" ht="15" customHeight="1">
      <c r="A147" s="58" t="str">
        <f>IF($Q147="","",MAX($A$8:$A146)+1)</f>
        <v/>
      </c>
      <c r="B147" s="614" t="str">
        <f t="shared" si="19"/>
        <v/>
      </c>
      <c r="C147" s="614" t="str">
        <f t="shared" si="16"/>
        <v/>
      </c>
      <c r="D147" s="614" t="str">
        <f t="shared" si="17"/>
        <v/>
      </c>
      <c r="E147" s="615" t="str">
        <f t="shared" si="18"/>
        <v/>
      </c>
      <c r="F147" s="616" t="str">
        <f>IF($H147="","",IF(ISNA(MATCH($H147,$H$7:$H146,0)),1,0))</f>
        <v/>
      </c>
      <c r="G147" s="249"/>
      <c r="H147" s="95"/>
      <c r="I147" s="597" t="str">
        <f>IF($J147="","",INDEX(ﾏｽﾀ!$E$8:$E$124,MATCH(INDEX(ﾏｽﾀ!$N$8:$N$124,MATCH($J147,ﾏｽﾀ!$O$8:$O$124,0)),ﾏｽﾀ!$B$8:$B$124,0))&amp;"")</f>
        <v/>
      </c>
      <c r="J147" s="534"/>
      <c r="K147" s="598" t="str">
        <f>IF($J147="","",INDEX(ﾏｽﾀ!$G$8:$G$124,MATCH(INDEX(ﾏｽﾀ!$N$8:$N$124,MATCH($J147,ﾏｽﾀ!$O$8:$O$124,0)),ﾏｽﾀ!$B$8:$B$124,0))&amp;"")</f>
        <v/>
      </c>
      <c r="L147" s="599" t="str">
        <f>IF($M147="","",INDEX(ﾏｽﾀ!$T$8:$T$16,MATCH($M147,ﾏｽﾀ!$U$8:$U$16,0))&amp;"")</f>
        <v/>
      </c>
      <c r="M147" s="534"/>
      <c r="N147" s="463"/>
      <c r="O147" s="464"/>
      <c r="P147" s="465"/>
      <c r="Q147" s="466" t="str">
        <f t="shared" si="20"/>
        <v/>
      </c>
      <c r="R147" s="154" t="str">
        <f>IF($T147="","",VLOOKUP($T147,請求Data!$I$11:$AR$160,請求Data!$AL$10-請求Data!$H$10,0))</f>
        <v/>
      </c>
      <c r="S147" s="155" t="str">
        <f>IF($T147="","",VLOOKUP($T147,請求Data!$I$11:$AR$160,請求Data!$AM$10-請求Data!$H$10,0))</f>
        <v/>
      </c>
      <c r="T147" s="467" t="str">
        <f>IF(ISNA(MATCH($H147,請求Data!$AH$11:$AH$160,0)),"",VLOOKUP($H147,請求Data!$AH$11:$AR$160,請求Data!$AK$10-請求Data!$AG$10,0))</f>
        <v/>
      </c>
      <c r="U147" s="468"/>
      <c r="V147" s="58"/>
    </row>
    <row r="148" spans="1:22" s="32" customFormat="1" ht="15" customHeight="1">
      <c r="A148" s="58" t="str">
        <f>IF($Q148="","",MAX($A$8:$A147)+1)</f>
        <v/>
      </c>
      <c r="B148" s="614" t="str">
        <f t="shared" si="19"/>
        <v/>
      </c>
      <c r="C148" s="614" t="str">
        <f t="shared" si="16"/>
        <v/>
      </c>
      <c r="D148" s="614" t="str">
        <f t="shared" si="17"/>
        <v/>
      </c>
      <c r="E148" s="615" t="str">
        <f t="shared" si="18"/>
        <v/>
      </c>
      <c r="F148" s="616" t="str">
        <f>IF($H148="","",IF(ISNA(MATCH($H148,$H$7:$H147,0)),1,0))</f>
        <v/>
      </c>
      <c r="G148" s="249"/>
      <c r="H148" s="95"/>
      <c r="I148" s="597" t="str">
        <f>IF($J148="","",INDEX(ﾏｽﾀ!$E$8:$E$124,MATCH(INDEX(ﾏｽﾀ!$N$8:$N$124,MATCH($J148,ﾏｽﾀ!$O$8:$O$124,0)),ﾏｽﾀ!$B$8:$B$124,0))&amp;"")</f>
        <v/>
      </c>
      <c r="J148" s="534"/>
      <c r="K148" s="598" t="str">
        <f>IF($J148="","",INDEX(ﾏｽﾀ!$G$8:$G$124,MATCH(INDEX(ﾏｽﾀ!$N$8:$N$124,MATCH($J148,ﾏｽﾀ!$O$8:$O$124,0)),ﾏｽﾀ!$B$8:$B$124,0))&amp;"")</f>
        <v/>
      </c>
      <c r="L148" s="599" t="str">
        <f>IF($M148="","",INDEX(ﾏｽﾀ!$T$8:$T$16,MATCH($M148,ﾏｽﾀ!$U$8:$U$16,0))&amp;"")</f>
        <v/>
      </c>
      <c r="M148" s="534"/>
      <c r="N148" s="463"/>
      <c r="O148" s="464"/>
      <c r="P148" s="465"/>
      <c r="Q148" s="466" t="str">
        <f t="shared" si="20"/>
        <v/>
      </c>
      <c r="R148" s="154" t="str">
        <f>IF($T148="","",VLOOKUP($T148,請求Data!$I$11:$AR$160,請求Data!$AL$10-請求Data!$H$10,0))</f>
        <v/>
      </c>
      <c r="S148" s="155" t="str">
        <f>IF($T148="","",VLOOKUP($T148,請求Data!$I$11:$AR$160,請求Data!$AM$10-請求Data!$H$10,0))</f>
        <v/>
      </c>
      <c r="T148" s="467" t="str">
        <f>IF(ISNA(MATCH($H148,請求Data!$AH$11:$AH$160,0)),"",VLOOKUP($H148,請求Data!$AH$11:$AR$160,請求Data!$AK$10-請求Data!$AG$10,0))</f>
        <v/>
      </c>
      <c r="U148" s="468"/>
      <c r="V148" s="58"/>
    </row>
    <row r="149" spans="1:22" s="32" customFormat="1" ht="15" customHeight="1">
      <c r="A149" s="58" t="str">
        <f>IF($Q149="","",MAX($A$8:$A148)+1)</f>
        <v/>
      </c>
      <c r="B149" s="614" t="str">
        <f t="shared" si="19"/>
        <v/>
      </c>
      <c r="C149" s="614" t="str">
        <f t="shared" si="16"/>
        <v/>
      </c>
      <c r="D149" s="614" t="str">
        <f t="shared" si="17"/>
        <v/>
      </c>
      <c r="E149" s="615" t="str">
        <f t="shared" si="18"/>
        <v/>
      </c>
      <c r="F149" s="616" t="str">
        <f>IF($H149="","",IF(ISNA(MATCH($H149,$H$7:$H148,0)),1,0))</f>
        <v/>
      </c>
      <c r="G149" s="249"/>
      <c r="H149" s="95"/>
      <c r="I149" s="597" t="str">
        <f>IF($J149="","",INDEX(ﾏｽﾀ!$E$8:$E$124,MATCH(INDEX(ﾏｽﾀ!$N$8:$N$124,MATCH($J149,ﾏｽﾀ!$O$8:$O$124,0)),ﾏｽﾀ!$B$8:$B$124,0))&amp;"")</f>
        <v/>
      </c>
      <c r="J149" s="534"/>
      <c r="K149" s="598" t="str">
        <f>IF($J149="","",INDEX(ﾏｽﾀ!$G$8:$G$124,MATCH(INDEX(ﾏｽﾀ!$N$8:$N$124,MATCH($J149,ﾏｽﾀ!$O$8:$O$124,0)),ﾏｽﾀ!$B$8:$B$124,0))&amp;"")</f>
        <v/>
      </c>
      <c r="L149" s="599" t="str">
        <f>IF($M149="","",INDEX(ﾏｽﾀ!$T$8:$T$16,MATCH($M149,ﾏｽﾀ!$U$8:$U$16,0))&amp;"")</f>
        <v/>
      </c>
      <c r="M149" s="534"/>
      <c r="N149" s="463"/>
      <c r="O149" s="464"/>
      <c r="P149" s="465"/>
      <c r="Q149" s="466" t="str">
        <f t="shared" si="20"/>
        <v/>
      </c>
      <c r="R149" s="154" t="str">
        <f>IF($T149="","",VLOOKUP($T149,請求Data!$I$11:$AR$160,請求Data!$AL$10-請求Data!$H$10,0))</f>
        <v/>
      </c>
      <c r="S149" s="155" t="str">
        <f>IF($T149="","",VLOOKUP($T149,請求Data!$I$11:$AR$160,請求Data!$AM$10-請求Data!$H$10,0))</f>
        <v/>
      </c>
      <c r="T149" s="467" t="str">
        <f>IF(ISNA(MATCH($H149,請求Data!$AH$11:$AH$160,0)),"",VLOOKUP($H149,請求Data!$AH$11:$AR$160,請求Data!$AK$10-請求Data!$AG$10,0))</f>
        <v/>
      </c>
      <c r="U149" s="468"/>
      <c r="V149" s="58"/>
    </row>
    <row r="150" spans="1:22" s="32" customFormat="1" ht="15" customHeight="1">
      <c r="A150" s="58" t="str">
        <f>IF($Q150="","",MAX($A$8:$A149)+1)</f>
        <v/>
      </c>
      <c r="B150" s="614" t="str">
        <f t="shared" si="19"/>
        <v/>
      </c>
      <c r="C150" s="614" t="str">
        <f t="shared" si="16"/>
        <v/>
      </c>
      <c r="D150" s="614" t="str">
        <f t="shared" si="17"/>
        <v/>
      </c>
      <c r="E150" s="615" t="str">
        <f t="shared" si="18"/>
        <v/>
      </c>
      <c r="F150" s="616" t="str">
        <f>IF($H150="","",IF(ISNA(MATCH($H150,$H$7:$H149,0)),1,0))</f>
        <v/>
      </c>
      <c r="G150" s="249"/>
      <c r="H150" s="95"/>
      <c r="I150" s="597" t="str">
        <f>IF($J150="","",INDEX(ﾏｽﾀ!$E$8:$E$124,MATCH(INDEX(ﾏｽﾀ!$N$8:$N$124,MATCH($J150,ﾏｽﾀ!$O$8:$O$124,0)),ﾏｽﾀ!$B$8:$B$124,0))&amp;"")</f>
        <v/>
      </c>
      <c r="J150" s="534"/>
      <c r="K150" s="598" t="str">
        <f>IF($J150="","",INDEX(ﾏｽﾀ!$G$8:$G$124,MATCH(INDEX(ﾏｽﾀ!$N$8:$N$124,MATCH($J150,ﾏｽﾀ!$O$8:$O$124,0)),ﾏｽﾀ!$B$8:$B$124,0))&amp;"")</f>
        <v/>
      </c>
      <c r="L150" s="599" t="str">
        <f>IF($M150="","",INDEX(ﾏｽﾀ!$T$8:$T$16,MATCH($M150,ﾏｽﾀ!$U$8:$U$16,0))&amp;"")</f>
        <v/>
      </c>
      <c r="M150" s="534"/>
      <c r="N150" s="463"/>
      <c r="O150" s="464"/>
      <c r="P150" s="465"/>
      <c r="Q150" s="466" t="str">
        <f t="shared" si="20"/>
        <v/>
      </c>
      <c r="R150" s="154" t="str">
        <f>IF($T150="","",VLOOKUP($T150,請求Data!$I$11:$AR$160,請求Data!$AL$10-請求Data!$H$10,0))</f>
        <v/>
      </c>
      <c r="S150" s="155" t="str">
        <f>IF($T150="","",VLOOKUP($T150,請求Data!$I$11:$AR$160,請求Data!$AM$10-請求Data!$H$10,0))</f>
        <v/>
      </c>
      <c r="T150" s="467" t="str">
        <f>IF(ISNA(MATCH($H150,請求Data!$AH$11:$AH$160,0)),"",VLOOKUP($H150,請求Data!$AH$11:$AR$160,請求Data!$AK$10-請求Data!$AG$10,0))</f>
        <v/>
      </c>
      <c r="U150" s="468"/>
      <c r="V150" s="58"/>
    </row>
    <row r="151" spans="1:22" s="32" customFormat="1" ht="15" customHeight="1">
      <c r="A151" s="58" t="str">
        <f>IF($Q151="","",MAX($A$8:$A150)+1)</f>
        <v/>
      </c>
      <c r="B151" s="614" t="str">
        <f t="shared" si="19"/>
        <v/>
      </c>
      <c r="C151" s="614" t="str">
        <f t="shared" si="16"/>
        <v/>
      </c>
      <c r="D151" s="614" t="str">
        <f t="shared" si="17"/>
        <v/>
      </c>
      <c r="E151" s="615" t="str">
        <f t="shared" si="18"/>
        <v/>
      </c>
      <c r="F151" s="616" t="str">
        <f>IF($H151="","",IF(ISNA(MATCH($H151,$H$7:$H150,0)),1,0))</f>
        <v/>
      </c>
      <c r="G151" s="249"/>
      <c r="H151" s="95"/>
      <c r="I151" s="597" t="str">
        <f>IF($J151="","",INDEX(ﾏｽﾀ!$E$8:$E$124,MATCH(INDEX(ﾏｽﾀ!$N$8:$N$124,MATCH($J151,ﾏｽﾀ!$O$8:$O$124,0)),ﾏｽﾀ!$B$8:$B$124,0))&amp;"")</f>
        <v/>
      </c>
      <c r="J151" s="534"/>
      <c r="K151" s="598" t="str">
        <f>IF($J151="","",INDEX(ﾏｽﾀ!$G$8:$G$124,MATCH(INDEX(ﾏｽﾀ!$N$8:$N$124,MATCH($J151,ﾏｽﾀ!$O$8:$O$124,0)),ﾏｽﾀ!$B$8:$B$124,0))&amp;"")</f>
        <v/>
      </c>
      <c r="L151" s="599" t="str">
        <f>IF($M151="","",INDEX(ﾏｽﾀ!$T$8:$T$16,MATCH($M151,ﾏｽﾀ!$U$8:$U$16,0))&amp;"")</f>
        <v/>
      </c>
      <c r="M151" s="534"/>
      <c r="N151" s="463"/>
      <c r="O151" s="464"/>
      <c r="P151" s="465"/>
      <c r="Q151" s="466" t="str">
        <f t="shared" si="20"/>
        <v/>
      </c>
      <c r="R151" s="154" t="str">
        <f>IF($T151="","",VLOOKUP($T151,請求Data!$I$11:$AR$160,請求Data!$AL$10-請求Data!$H$10,0))</f>
        <v/>
      </c>
      <c r="S151" s="155" t="str">
        <f>IF($T151="","",VLOOKUP($T151,請求Data!$I$11:$AR$160,請求Data!$AM$10-請求Data!$H$10,0))</f>
        <v/>
      </c>
      <c r="T151" s="467" t="str">
        <f>IF(ISNA(MATCH($H151,請求Data!$AH$11:$AH$160,0)),"",VLOOKUP($H151,請求Data!$AH$11:$AR$160,請求Data!$AK$10-請求Data!$AG$10,0))</f>
        <v/>
      </c>
      <c r="U151" s="468"/>
      <c r="V151" s="58"/>
    </row>
    <row r="152" spans="1:22" s="32" customFormat="1" ht="15" customHeight="1">
      <c r="A152" s="58" t="str">
        <f>IF($Q152="","",MAX($A$8:$A151)+1)</f>
        <v/>
      </c>
      <c r="B152" s="614" t="str">
        <f t="shared" si="19"/>
        <v/>
      </c>
      <c r="C152" s="614" t="str">
        <f t="shared" si="16"/>
        <v/>
      </c>
      <c r="D152" s="614" t="str">
        <f t="shared" si="17"/>
        <v/>
      </c>
      <c r="E152" s="615" t="str">
        <f t="shared" si="18"/>
        <v/>
      </c>
      <c r="F152" s="616" t="str">
        <f>IF($H152="","",IF(ISNA(MATCH($H152,$H$7:$H151,0)),1,0))</f>
        <v/>
      </c>
      <c r="G152" s="249"/>
      <c r="H152" s="95"/>
      <c r="I152" s="597" t="str">
        <f>IF($J152="","",INDEX(ﾏｽﾀ!$E$8:$E$124,MATCH(INDEX(ﾏｽﾀ!$N$8:$N$124,MATCH($J152,ﾏｽﾀ!$O$8:$O$124,0)),ﾏｽﾀ!$B$8:$B$124,0))&amp;"")</f>
        <v/>
      </c>
      <c r="J152" s="534"/>
      <c r="K152" s="598" t="str">
        <f>IF($J152="","",INDEX(ﾏｽﾀ!$G$8:$G$124,MATCH(INDEX(ﾏｽﾀ!$N$8:$N$124,MATCH($J152,ﾏｽﾀ!$O$8:$O$124,0)),ﾏｽﾀ!$B$8:$B$124,0))&amp;"")</f>
        <v/>
      </c>
      <c r="L152" s="599" t="str">
        <f>IF($M152="","",INDEX(ﾏｽﾀ!$T$8:$T$16,MATCH($M152,ﾏｽﾀ!$U$8:$U$16,0))&amp;"")</f>
        <v/>
      </c>
      <c r="M152" s="534"/>
      <c r="N152" s="463"/>
      <c r="O152" s="464"/>
      <c r="P152" s="465"/>
      <c r="Q152" s="466" t="str">
        <f t="shared" si="20"/>
        <v/>
      </c>
      <c r="R152" s="154" t="str">
        <f>IF($T152="","",VLOOKUP($T152,請求Data!$I$11:$AR$160,請求Data!$AL$10-請求Data!$H$10,0))</f>
        <v/>
      </c>
      <c r="S152" s="155" t="str">
        <f>IF($T152="","",VLOOKUP($T152,請求Data!$I$11:$AR$160,請求Data!$AM$10-請求Data!$H$10,0))</f>
        <v/>
      </c>
      <c r="T152" s="467" t="str">
        <f>IF(ISNA(MATCH($H152,請求Data!$AH$11:$AH$160,0)),"",VLOOKUP($H152,請求Data!$AH$11:$AR$160,請求Data!$AK$10-請求Data!$AG$10,0))</f>
        <v/>
      </c>
      <c r="U152" s="468"/>
      <c r="V152" s="58"/>
    </row>
    <row r="153" spans="1:22" s="32" customFormat="1" ht="15" customHeight="1">
      <c r="A153" s="58" t="str">
        <f>IF($Q153="","",MAX($A$8:$A152)+1)</f>
        <v/>
      </c>
      <c r="B153" s="614" t="str">
        <f t="shared" si="19"/>
        <v/>
      </c>
      <c r="C153" s="614" t="str">
        <f t="shared" si="16"/>
        <v/>
      </c>
      <c r="D153" s="614" t="str">
        <f t="shared" si="17"/>
        <v/>
      </c>
      <c r="E153" s="615" t="str">
        <f t="shared" si="18"/>
        <v/>
      </c>
      <c r="F153" s="616" t="str">
        <f>IF($H153="","",IF(ISNA(MATCH($H153,$H$7:$H152,0)),1,0))</f>
        <v/>
      </c>
      <c r="G153" s="249"/>
      <c r="H153" s="95"/>
      <c r="I153" s="597" t="str">
        <f>IF($J153="","",INDEX(ﾏｽﾀ!$E$8:$E$124,MATCH(INDEX(ﾏｽﾀ!$N$8:$N$124,MATCH($J153,ﾏｽﾀ!$O$8:$O$124,0)),ﾏｽﾀ!$B$8:$B$124,0))&amp;"")</f>
        <v/>
      </c>
      <c r="J153" s="534"/>
      <c r="K153" s="598" t="str">
        <f>IF($J153="","",INDEX(ﾏｽﾀ!$G$8:$G$124,MATCH(INDEX(ﾏｽﾀ!$N$8:$N$124,MATCH($J153,ﾏｽﾀ!$O$8:$O$124,0)),ﾏｽﾀ!$B$8:$B$124,0))&amp;"")</f>
        <v/>
      </c>
      <c r="L153" s="599" t="str">
        <f>IF($M153="","",INDEX(ﾏｽﾀ!$T$8:$T$16,MATCH($M153,ﾏｽﾀ!$U$8:$U$16,0))&amp;"")</f>
        <v/>
      </c>
      <c r="M153" s="534"/>
      <c r="N153" s="463"/>
      <c r="O153" s="464"/>
      <c r="P153" s="465"/>
      <c r="Q153" s="466" t="str">
        <f t="shared" si="20"/>
        <v/>
      </c>
      <c r="R153" s="154" t="str">
        <f>IF($T153="","",VLOOKUP($T153,請求Data!$I$11:$AR$160,請求Data!$AL$10-請求Data!$H$10,0))</f>
        <v/>
      </c>
      <c r="S153" s="155" t="str">
        <f>IF($T153="","",VLOOKUP($T153,請求Data!$I$11:$AR$160,請求Data!$AM$10-請求Data!$H$10,0))</f>
        <v/>
      </c>
      <c r="T153" s="467" t="str">
        <f>IF(ISNA(MATCH($H153,請求Data!$AH$11:$AH$160,0)),"",VLOOKUP($H153,請求Data!$AH$11:$AR$160,請求Data!$AK$10-請求Data!$AG$10,0))</f>
        <v/>
      </c>
      <c r="U153" s="468"/>
      <c r="V153" s="58"/>
    </row>
    <row r="154" spans="1:22" s="32" customFormat="1" ht="15" customHeight="1">
      <c r="A154" s="58" t="str">
        <f>IF($Q154="","",MAX($A$8:$A153)+1)</f>
        <v/>
      </c>
      <c r="B154" s="614" t="str">
        <f t="shared" si="19"/>
        <v/>
      </c>
      <c r="C154" s="614" t="str">
        <f t="shared" si="16"/>
        <v/>
      </c>
      <c r="D154" s="614" t="str">
        <f t="shared" si="17"/>
        <v/>
      </c>
      <c r="E154" s="615" t="str">
        <f t="shared" si="18"/>
        <v/>
      </c>
      <c r="F154" s="616" t="str">
        <f>IF($H154="","",IF(ISNA(MATCH($H154,$H$7:$H153,0)),1,0))</f>
        <v/>
      </c>
      <c r="G154" s="249"/>
      <c r="H154" s="95"/>
      <c r="I154" s="597" t="str">
        <f>IF($J154="","",INDEX(ﾏｽﾀ!$E$8:$E$124,MATCH(INDEX(ﾏｽﾀ!$N$8:$N$124,MATCH($J154,ﾏｽﾀ!$O$8:$O$124,0)),ﾏｽﾀ!$B$8:$B$124,0))&amp;"")</f>
        <v/>
      </c>
      <c r="J154" s="534"/>
      <c r="K154" s="598" t="str">
        <f>IF($J154="","",INDEX(ﾏｽﾀ!$G$8:$G$124,MATCH(INDEX(ﾏｽﾀ!$N$8:$N$124,MATCH($J154,ﾏｽﾀ!$O$8:$O$124,0)),ﾏｽﾀ!$B$8:$B$124,0))&amp;"")</f>
        <v/>
      </c>
      <c r="L154" s="599" t="str">
        <f>IF($M154="","",INDEX(ﾏｽﾀ!$T$8:$T$16,MATCH($M154,ﾏｽﾀ!$U$8:$U$16,0))&amp;"")</f>
        <v/>
      </c>
      <c r="M154" s="534"/>
      <c r="N154" s="463"/>
      <c r="O154" s="464"/>
      <c r="P154" s="465"/>
      <c r="Q154" s="466" t="str">
        <f t="shared" si="20"/>
        <v/>
      </c>
      <c r="R154" s="154" t="str">
        <f>IF($T154="","",VLOOKUP($T154,請求Data!$I$11:$AR$160,請求Data!$AL$10-請求Data!$H$10,0))</f>
        <v/>
      </c>
      <c r="S154" s="155" t="str">
        <f>IF($T154="","",VLOOKUP($T154,請求Data!$I$11:$AR$160,請求Data!$AM$10-請求Data!$H$10,0))</f>
        <v/>
      </c>
      <c r="T154" s="467" t="str">
        <f>IF(ISNA(MATCH($H154,請求Data!$AH$11:$AH$160,0)),"",VLOOKUP($H154,請求Data!$AH$11:$AR$160,請求Data!$AK$10-請求Data!$AG$10,0))</f>
        <v/>
      </c>
      <c r="U154" s="468"/>
      <c r="V154" s="58"/>
    </row>
    <row r="155" spans="1:22" s="32" customFormat="1" ht="15" customHeight="1">
      <c r="A155" s="58" t="str">
        <f>IF($Q155="","",MAX($A$8:$A154)+1)</f>
        <v/>
      </c>
      <c r="B155" s="614" t="str">
        <f t="shared" si="19"/>
        <v/>
      </c>
      <c r="C155" s="614" t="str">
        <f t="shared" si="16"/>
        <v/>
      </c>
      <c r="D155" s="614" t="str">
        <f t="shared" si="17"/>
        <v/>
      </c>
      <c r="E155" s="615" t="str">
        <f t="shared" si="18"/>
        <v/>
      </c>
      <c r="F155" s="616" t="str">
        <f>IF($H155="","",IF(ISNA(MATCH($H155,$H$7:$H154,0)),1,0))</f>
        <v/>
      </c>
      <c r="G155" s="249"/>
      <c r="H155" s="95"/>
      <c r="I155" s="597" t="str">
        <f>IF($J155="","",INDEX(ﾏｽﾀ!$E$8:$E$124,MATCH(INDEX(ﾏｽﾀ!$N$8:$N$124,MATCH($J155,ﾏｽﾀ!$O$8:$O$124,0)),ﾏｽﾀ!$B$8:$B$124,0))&amp;"")</f>
        <v/>
      </c>
      <c r="J155" s="534"/>
      <c r="K155" s="598" t="str">
        <f>IF($J155="","",INDEX(ﾏｽﾀ!$G$8:$G$124,MATCH(INDEX(ﾏｽﾀ!$N$8:$N$124,MATCH($J155,ﾏｽﾀ!$O$8:$O$124,0)),ﾏｽﾀ!$B$8:$B$124,0))&amp;"")</f>
        <v/>
      </c>
      <c r="L155" s="599" t="str">
        <f>IF($M155="","",INDEX(ﾏｽﾀ!$T$8:$T$16,MATCH($M155,ﾏｽﾀ!$U$8:$U$16,0))&amp;"")</f>
        <v/>
      </c>
      <c r="M155" s="534"/>
      <c r="N155" s="463"/>
      <c r="O155" s="464"/>
      <c r="P155" s="465"/>
      <c r="Q155" s="466" t="str">
        <f t="shared" si="20"/>
        <v/>
      </c>
      <c r="R155" s="154" t="str">
        <f>IF($T155="","",VLOOKUP($T155,請求Data!$I$11:$AR$160,請求Data!$AL$10-請求Data!$H$10,0))</f>
        <v/>
      </c>
      <c r="S155" s="155" t="str">
        <f>IF($T155="","",VLOOKUP($T155,請求Data!$I$11:$AR$160,請求Data!$AM$10-請求Data!$H$10,0))</f>
        <v/>
      </c>
      <c r="T155" s="467" t="str">
        <f>IF(ISNA(MATCH($H155,請求Data!$AH$11:$AH$160,0)),"",VLOOKUP($H155,請求Data!$AH$11:$AR$160,請求Data!$AK$10-請求Data!$AG$10,0))</f>
        <v/>
      </c>
      <c r="U155" s="468"/>
      <c r="V155" s="58"/>
    </row>
    <row r="156" spans="1:22" s="32" customFormat="1" ht="15" customHeight="1">
      <c r="A156" s="58" t="str">
        <f>IF($Q156="","",MAX($A$8:$A155)+1)</f>
        <v/>
      </c>
      <c r="B156" s="614" t="str">
        <f t="shared" si="19"/>
        <v/>
      </c>
      <c r="C156" s="614" t="str">
        <f t="shared" si="16"/>
        <v/>
      </c>
      <c r="D156" s="614" t="str">
        <f t="shared" si="17"/>
        <v/>
      </c>
      <c r="E156" s="615" t="str">
        <f t="shared" si="18"/>
        <v/>
      </c>
      <c r="F156" s="616" t="str">
        <f>IF($H156="","",IF(ISNA(MATCH($H156,$H$7:$H155,0)),1,0))</f>
        <v/>
      </c>
      <c r="G156" s="249"/>
      <c r="H156" s="95"/>
      <c r="I156" s="597" t="str">
        <f>IF($J156="","",INDEX(ﾏｽﾀ!$E$8:$E$124,MATCH(INDEX(ﾏｽﾀ!$N$8:$N$124,MATCH($J156,ﾏｽﾀ!$O$8:$O$124,0)),ﾏｽﾀ!$B$8:$B$124,0))&amp;"")</f>
        <v/>
      </c>
      <c r="J156" s="534"/>
      <c r="K156" s="598" t="str">
        <f>IF($J156="","",INDEX(ﾏｽﾀ!$G$8:$G$124,MATCH(INDEX(ﾏｽﾀ!$N$8:$N$124,MATCH($J156,ﾏｽﾀ!$O$8:$O$124,0)),ﾏｽﾀ!$B$8:$B$124,0))&amp;"")</f>
        <v/>
      </c>
      <c r="L156" s="599" t="str">
        <f>IF($M156="","",INDEX(ﾏｽﾀ!$T$8:$T$16,MATCH($M156,ﾏｽﾀ!$U$8:$U$16,0))&amp;"")</f>
        <v/>
      </c>
      <c r="M156" s="534"/>
      <c r="N156" s="463"/>
      <c r="O156" s="464"/>
      <c r="P156" s="465"/>
      <c r="Q156" s="466" t="str">
        <f t="shared" si="20"/>
        <v/>
      </c>
      <c r="R156" s="154" t="str">
        <f>IF($T156="","",VLOOKUP($T156,請求Data!$I$11:$AR$160,請求Data!$AL$10-請求Data!$H$10,0))</f>
        <v/>
      </c>
      <c r="S156" s="155" t="str">
        <f>IF($T156="","",VLOOKUP($T156,請求Data!$I$11:$AR$160,請求Data!$AM$10-請求Data!$H$10,0))</f>
        <v/>
      </c>
      <c r="T156" s="467" t="str">
        <f>IF(ISNA(MATCH($H156,請求Data!$AH$11:$AH$160,0)),"",VLOOKUP($H156,請求Data!$AH$11:$AR$160,請求Data!$AK$10-請求Data!$AG$10,0))</f>
        <v/>
      </c>
      <c r="U156" s="468"/>
      <c r="V156" s="58"/>
    </row>
    <row r="157" spans="1:22" s="32" customFormat="1" ht="15" customHeight="1">
      <c r="A157" s="58" t="str">
        <f>IF($Q157="","",MAX($A$8:$A156)+1)</f>
        <v/>
      </c>
      <c r="B157" s="614" t="str">
        <f t="shared" si="19"/>
        <v/>
      </c>
      <c r="C157" s="614" t="str">
        <f t="shared" si="16"/>
        <v/>
      </c>
      <c r="D157" s="614" t="str">
        <f t="shared" si="17"/>
        <v/>
      </c>
      <c r="E157" s="615" t="str">
        <f t="shared" si="18"/>
        <v/>
      </c>
      <c r="F157" s="616" t="str">
        <f>IF($H157="","",IF(ISNA(MATCH($H157,$H$7:$H156,0)),1,0))</f>
        <v/>
      </c>
      <c r="G157" s="249"/>
      <c r="H157" s="95"/>
      <c r="I157" s="597" t="str">
        <f>IF($J157="","",INDEX(ﾏｽﾀ!$E$8:$E$124,MATCH(INDEX(ﾏｽﾀ!$N$8:$N$124,MATCH($J157,ﾏｽﾀ!$O$8:$O$124,0)),ﾏｽﾀ!$B$8:$B$124,0))&amp;"")</f>
        <v/>
      </c>
      <c r="J157" s="534"/>
      <c r="K157" s="598" t="str">
        <f>IF($J157="","",INDEX(ﾏｽﾀ!$G$8:$G$124,MATCH(INDEX(ﾏｽﾀ!$N$8:$N$124,MATCH($J157,ﾏｽﾀ!$O$8:$O$124,0)),ﾏｽﾀ!$B$8:$B$124,0))&amp;"")</f>
        <v/>
      </c>
      <c r="L157" s="599" t="str">
        <f>IF($M157="","",INDEX(ﾏｽﾀ!$T$8:$T$16,MATCH($M157,ﾏｽﾀ!$U$8:$U$16,0))&amp;"")</f>
        <v/>
      </c>
      <c r="M157" s="534"/>
      <c r="N157" s="463"/>
      <c r="O157" s="464"/>
      <c r="P157" s="465"/>
      <c r="Q157" s="466" t="str">
        <f t="shared" si="20"/>
        <v/>
      </c>
      <c r="R157" s="154" t="str">
        <f>IF($T157="","",VLOOKUP($T157,請求Data!$I$11:$AR$160,請求Data!$AL$10-請求Data!$H$10,0))</f>
        <v/>
      </c>
      <c r="S157" s="155" t="str">
        <f>IF($T157="","",VLOOKUP($T157,請求Data!$I$11:$AR$160,請求Data!$AM$10-請求Data!$H$10,0))</f>
        <v/>
      </c>
      <c r="T157" s="467" t="str">
        <f>IF(ISNA(MATCH($H157,請求Data!$AH$11:$AH$160,0)),"",VLOOKUP($H157,請求Data!$AH$11:$AR$160,請求Data!$AK$10-請求Data!$AG$10,0))</f>
        <v/>
      </c>
      <c r="U157" s="468"/>
      <c r="V157" s="58"/>
    </row>
    <row r="158" spans="1:22" s="32" customFormat="1" ht="15" customHeight="1">
      <c r="A158" s="58" t="str">
        <f>IF($Q158="","",MAX($A$8:$A157)+1)</f>
        <v/>
      </c>
      <c r="B158" s="614" t="str">
        <f t="shared" si="19"/>
        <v/>
      </c>
      <c r="C158" s="614" t="str">
        <f t="shared" si="16"/>
        <v/>
      </c>
      <c r="D158" s="614" t="str">
        <f t="shared" si="17"/>
        <v/>
      </c>
      <c r="E158" s="615" t="str">
        <f t="shared" si="18"/>
        <v/>
      </c>
      <c r="F158" s="616" t="str">
        <f>IF($H158="","",IF(ISNA(MATCH($H158,$H$7:$H157,0)),1,0))</f>
        <v/>
      </c>
      <c r="G158" s="249"/>
      <c r="H158" s="95"/>
      <c r="I158" s="597" t="str">
        <f>IF($J158="","",INDEX(ﾏｽﾀ!$E$8:$E$124,MATCH(INDEX(ﾏｽﾀ!$N$8:$N$124,MATCH($J158,ﾏｽﾀ!$O$8:$O$124,0)),ﾏｽﾀ!$B$8:$B$124,0))&amp;"")</f>
        <v/>
      </c>
      <c r="J158" s="534"/>
      <c r="K158" s="598" t="str">
        <f>IF($J158="","",INDEX(ﾏｽﾀ!$G$8:$G$124,MATCH(INDEX(ﾏｽﾀ!$N$8:$N$124,MATCH($J158,ﾏｽﾀ!$O$8:$O$124,0)),ﾏｽﾀ!$B$8:$B$124,0))&amp;"")</f>
        <v/>
      </c>
      <c r="L158" s="599" t="str">
        <f>IF($M158="","",INDEX(ﾏｽﾀ!$T$8:$T$16,MATCH($M158,ﾏｽﾀ!$U$8:$U$16,0))&amp;"")</f>
        <v/>
      </c>
      <c r="M158" s="534"/>
      <c r="N158" s="463"/>
      <c r="O158" s="464"/>
      <c r="P158" s="465"/>
      <c r="Q158" s="466" t="str">
        <f t="shared" si="20"/>
        <v/>
      </c>
      <c r="R158" s="154" t="str">
        <f>IF($T158="","",VLOOKUP($T158,請求Data!$I$11:$AR$160,請求Data!$AL$10-請求Data!$H$10,0))</f>
        <v/>
      </c>
      <c r="S158" s="155" t="str">
        <f>IF($T158="","",VLOOKUP($T158,請求Data!$I$11:$AR$160,請求Data!$AM$10-請求Data!$H$10,0))</f>
        <v/>
      </c>
      <c r="T158" s="467" t="str">
        <f>IF(ISNA(MATCH($H158,請求Data!$AH$11:$AH$160,0)),"",VLOOKUP($H158,請求Data!$AH$11:$AR$160,請求Data!$AK$10-請求Data!$AG$10,0))</f>
        <v/>
      </c>
      <c r="U158" s="468"/>
      <c r="V158" s="58"/>
    </row>
    <row r="159" spans="1:22" s="32" customFormat="1" ht="15" customHeight="1">
      <c r="A159" s="58" t="str">
        <f>IF($Q159="","",MAX($A$8:$A158)+1)</f>
        <v/>
      </c>
      <c r="B159" s="614" t="str">
        <f t="shared" si="19"/>
        <v/>
      </c>
      <c r="C159" s="614" t="str">
        <f t="shared" si="16"/>
        <v/>
      </c>
      <c r="D159" s="614" t="str">
        <f t="shared" si="17"/>
        <v/>
      </c>
      <c r="E159" s="615" t="str">
        <f t="shared" si="18"/>
        <v/>
      </c>
      <c r="F159" s="616" t="str">
        <f>IF($H159="","",IF(ISNA(MATCH($H159,$H$7:$H158,0)),1,0))</f>
        <v/>
      </c>
      <c r="G159" s="249"/>
      <c r="H159" s="95"/>
      <c r="I159" s="597" t="str">
        <f>IF($J159="","",INDEX(ﾏｽﾀ!$E$8:$E$124,MATCH(INDEX(ﾏｽﾀ!$N$8:$N$124,MATCH($J159,ﾏｽﾀ!$O$8:$O$124,0)),ﾏｽﾀ!$B$8:$B$124,0))&amp;"")</f>
        <v/>
      </c>
      <c r="J159" s="534"/>
      <c r="K159" s="598" t="str">
        <f>IF($J159="","",INDEX(ﾏｽﾀ!$G$8:$G$124,MATCH(INDEX(ﾏｽﾀ!$N$8:$N$124,MATCH($J159,ﾏｽﾀ!$O$8:$O$124,0)),ﾏｽﾀ!$B$8:$B$124,0))&amp;"")</f>
        <v/>
      </c>
      <c r="L159" s="599" t="str">
        <f>IF($M159="","",INDEX(ﾏｽﾀ!$T$8:$T$16,MATCH($M159,ﾏｽﾀ!$U$8:$U$16,0))&amp;"")</f>
        <v/>
      </c>
      <c r="M159" s="534"/>
      <c r="N159" s="463"/>
      <c r="O159" s="464"/>
      <c r="P159" s="465"/>
      <c r="Q159" s="466" t="str">
        <f t="shared" si="20"/>
        <v/>
      </c>
      <c r="R159" s="154" t="str">
        <f>IF($T159="","",VLOOKUP($T159,請求Data!$I$11:$AR$160,請求Data!$AL$10-請求Data!$H$10,0))</f>
        <v/>
      </c>
      <c r="S159" s="155" t="str">
        <f>IF($T159="","",VLOOKUP($T159,請求Data!$I$11:$AR$160,請求Data!$AM$10-請求Data!$H$10,0))</f>
        <v/>
      </c>
      <c r="T159" s="467" t="str">
        <f>IF(ISNA(MATCH($H159,請求Data!$AH$11:$AH$160,0)),"",VLOOKUP($H159,請求Data!$AH$11:$AR$160,請求Data!$AK$10-請求Data!$AG$10,0))</f>
        <v/>
      </c>
      <c r="U159" s="468"/>
      <c r="V159" s="58"/>
    </row>
    <row r="160" spans="1:22" s="32" customFormat="1" ht="15" customHeight="1">
      <c r="A160" s="58" t="str">
        <f>IF($Q160="","",MAX($A$8:$A159)+1)</f>
        <v/>
      </c>
      <c r="B160" s="614" t="str">
        <f t="shared" si="19"/>
        <v/>
      </c>
      <c r="C160" s="614" t="str">
        <f t="shared" si="16"/>
        <v/>
      </c>
      <c r="D160" s="614" t="str">
        <f t="shared" si="17"/>
        <v/>
      </c>
      <c r="E160" s="615" t="str">
        <f t="shared" si="18"/>
        <v/>
      </c>
      <c r="F160" s="616" t="str">
        <f>IF($H160="","",IF(ISNA(MATCH($H160,$H$7:$H159,0)),1,0))</f>
        <v/>
      </c>
      <c r="G160" s="249"/>
      <c r="H160" s="95"/>
      <c r="I160" s="597" t="str">
        <f>IF($J160="","",INDEX(ﾏｽﾀ!$E$8:$E$124,MATCH(INDEX(ﾏｽﾀ!$N$8:$N$124,MATCH($J160,ﾏｽﾀ!$O$8:$O$124,0)),ﾏｽﾀ!$B$8:$B$124,0))&amp;"")</f>
        <v/>
      </c>
      <c r="J160" s="534"/>
      <c r="K160" s="598" t="str">
        <f>IF($J160="","",INDEX(ﾏｽﾀ!$G$8:$G$124,MATCH(INDEX(ﾏｽﾀ!$N$8:$N$124,MATCH($J160,ﾏｽﾀ!$O$8:$O$124,0)),ﾏｽﾀ!$B$8:$B$124,0))&amp;"")</f>
        <v/>
      </c>
      <c r="L160" s="599" t="str">
        <f>IF($M160="","",INDEX(ﾏｽﾀ!$T$8:$T$16,MATCH($M160,ﾏｽﾀ!$U$8:$U$16,0))&amp;"")</f>
        <v/>
      </c>
      <c r="M160" s="534"/>
      <c r="N160" s="463"/>
      <c r="O160" s="464"/>
      <c r="P160" s="465"/>
      <c r="Q160" s="466" t="str">
        <f t="shared" si="20"/>
        <v/>
      </c>
      <c r="R160" s="154" t="str">
        <f>IF($T160="","",VLOOKUP($T160,請求Data!$I$11:$AR$160,請求Data!$AL$10-請求Data!$H$10,0))</f>
        <v/>
      </c>
      <c r="S160" s="155" t="str">
        <f>IF($T160="","",VLOOKUP($T160,請求Data!$I$11:$AR$160,請求Data!$AM$10-請求Data!$H$10,0))</f>
        <v/>
      </c>
      <c r="T160" s="467" t="str">
        <f>IF(ISNA(MATCH($H160,請求Data!$AH$11:$AH$160,0)),"",VLOOKUP($H160,請求Data!$AH$11:$AR$160,請求Data!$AK$10-請求Data!$AG$10,0))</f>
        <v/>
      </c>
      <c r="U160" s="468"/>
      <c r="V160" s="58"/>
    </row>
    <row r="161" spans="1:22" s="32" customFormat="1" ht="15" customHeight="1">
      <c r="A161" s="58" t="str">
        <f>IF($Q161="","",MAX($A$8:$A160)+1)</f>
        <v/>
      </c>
      <c r="B161" s="614" t="str">
        <f t="shared" si="19"/>
        <v/>
      </c>
      <c r="C161" s="614" t="str">
        <f t="shared" si="16"/>
        <v/>
      </c>
      <c r="D161" s="614" t="str">
        <f t="shared" si="17"/>
        <v/>
      </c>
      <c r="E161" s="615" t="str">
        <f t="shared" si="18"/>
        <v/>
      </c>
      <c r="F161" s="616" t="str">
        <f>IF($H161="","",IF(ISNA(MATCH($H161,$H$7:$H160,0)),1,0))</f>
        <v/>
      </c>
      <c r="G161" s="249"/>
      <c r="H161" s="95"/>
      <c r="I161" s="597" t="str">
        <f>IF($J161="","",INDEX(ﾏｽﾀ!$E$8:$E$124,MATCH(INDEX(ﾏｽﾀ!$N$8:$N$124,MATCH($J161,ﾏｽﾀ!$O$8:$O$124,0)),ﾏｽﾀ!$B$8:$B$124,0))&amp;"")</f>
        <v/>
      </c>
      <c r="J161" s="534"/>
      <c r="K161" s="598" t="str">
        <f>IF($J161="","",INDEX(ﾏｽﾀ!$G$8:$G$124,MATCH(INDEX(ﾏｽﾀ!$N$8:$N$124,MATCH($J161,ﾏｽﾀ!$O$8:$O$124,0)),ﾏｽﾀ!$B$8:$B$124,0))&amp;"")</f>
        <v/>
      </c>
      <c r="L161" s="599" t="str">
        <f>IF($M161="","",INDEX(ﾏｽﾀ!$T$8:$T$16,MATCH($M161,ﾏｽﾀ!$U$8:$U$16,0))&amp;"")</f>
        <v/>
      </c>
      <c r="M161" s="534"/>
      <c r="N161" s="463"/>
      <c r="O161" s="464"/>
      <c r="P161" s="465"/>
      <c r="Q161" s="466" t="str">
        <f t="shared" si="20"/>
        <v/>
      </c>
      <c r="R161" s="154" t="str">
        <f>IF($T161="","",VLOOKUP($T161,請求Data!$I$11:$AR$160,請求Data!$AL$10-請求Data!$H$10,0))</f>
        <v/>
      </c>
      <c r="S161" s="155" t="str">
        <f>IF($T161="","",VLOOKUP($T161,請求Data!$I$11:$AR$160,請求Data!$AM$10-請求Data!$H$10,0))</f>
        <v/>
      </c>
      <c r="T161" s="467" t="str">
        <f>IF(ISNA(MATCH($H161,請求Data!$AH$11:$AH$160,0)),"",VLOOKUP($H161,請求Data!$AH$11:$AR$160,請求Data!$AK$10-請求Data!$AG$10,0))</f>
        <v/>
      </c>
      <c r="U161" s="468"/>
      <c r="V161" s="58"/>
    </row>
    <row r="162" spans="1:22" s="32" customFormat="1" ht="15" customHeight="1">
      <c r="A162" s="58" t="str">
        <f>IF($Q162="","",MAX($A$8:$A161)+1)</f>
        <v/>
      </c>
      <c r="B162" s="614" t="str">
        <f t="shared" si="19"/>
        <v/>
      </c>
      <c r="C162" s="614" t="str">
        <f t="shared" si="16"/>
        <v/>
      </c>
      <c r="D162" s="614" t="str">
        <f t="shared" si="17"/>
        <v/>
      </c>
      <c r="E162" s="615" t="str">
        <f t="shared" si="18"/>
        <v/>
      </c>
      <c r="F162" s="616" t="str">
        <f>IF($H162="","",IF(ISNA(MATCH($H162,$H$7:$H161,0)),1,0))</f>
        <v/>
      </c>
      <c r="G162" s="249"/>
      <c r="H162" s="95"/>
      <c r="I162" s="597" t="str">
        <f>IF($J162="","",INDEX(ﾏｽﾀ!$E$8:$E$124,MATCH(INDEX(ﾏｽﾀ!$N$8:$N$124,MATCH($J162,ﾏｽﾀ!$O$8:$O$124,0)),ﾏｽﾀ!$B$8:$B$124,0))&amp;"")</f>
        <v/>
      </c>
      <c r="J162" s="534"/>
      <c r="K162" s="598" t="str">
        <f>IF($J162="","",INDEX(ﾏｽﾀ!$G$8:$G$124,MATCH(INDEX(ﾏｽﾀ!$N$8:$N$124,MATCH($J162,ﾏｽﾀ!$O$8:$O$124,0)),ﾏｽﾀ!$B$8:$B$124,0))&amp;"")</f>
        <v/>
      </c>
      <c r="L162" s="599" t="str">
        <f>IF($M162="","",INDEX(ﾏｽﾀ!$T$8:$T$16,MATCH($M162,ﾏｽﾀ!$U$8:$U$16,0))&amp;"")</f>
        <v/>
      </c>
      <c r="M162" s="534"/>
      <c r="N162" s="463"/>
      <c r="O162" s="464"/>
      <c r="P162" s="465"/>
      <c r="Q162" s="466" t="str">
        <f t="shared" si="20"/>
        <v/>
      </c>
      <c r="R162" s="154" t="str">
        <f>IF($T162="","",VLOOKUP($T162,請求Data!$I$11:$AR$160,請求Data!$AL$10-請求Data!$H$10,0))</f>
        <v/>
      </c>
      <c r="S162" s="155" t="str">
        <f>IF($T162="","",VLOOKUP($T162,請求Data!$I$11:$AR$160,請求Data!$AM$10-請求Data!$H$10,0))</f>
        <v/>
      </c>
      <c r="T162" s="467" t="str">
        <f>IF(ISNA(MATCH($H162,請求Data!$AH$11:$AH$160,0)),"",VLOOKUP($H162,請求Data!$AH$11:$AR$160,請求Data!$AK$10-請求Data!$AG$10,0))</f>
        <v/>
      </c>
      <c r="U162" s="468"/>
      <c r="V162" s="58"/>
    </row>
    <row r="163" spans="1:22" s="32" customFormat="1" ht="15" customHeight="1">
      <c r="A163" s="58" t="str">
        <f>IF($Q163="","",MAX($A$8:$A162)+1)</f>
        <v/>
      </c>
      <c r="B163" s="614" t="str">
        <f t="shared" si="19"/>
        <v/>
      </c>
      <c r="C163" s="614" t="str">
        <f t="shared" si="16"/>
        <v/>
      </c>
      <c r="D163" s="614" t="str">
        <f t="shared" si="17"/>
        <v/>
      </c>
      <c r="E163" s="615" t="str">
        <f t="shared" si="18"/>
        <v/>
      </c>
      <c r="F163" s="616" t="str">
        <f>IF($H163="","",IF(ISNA(MATCH($H163,$H$7:$H162,0)),1,0))</f>
        <v/>
      </c>
      <c r="G163" s="249"/>
      <c r="H163" s="95"/>
      <c r="I163" s="597" t="str">
        <f>IF($J163="","",INDEX(ﾏｽﾀ!$E$8:$E$124,MATCH(INDEX(ﾏｽﾀ!$N$8:$N$124,MATCH($J163,ﾏｽﾀ!$O$8:$O$124,0)),ﾏｽﾀ!$B$8:$B$124,0))&amp;"")</f>
        <v/>
      </c>
      <c r="J163" s="534"/>
      <c r="K163" s="598" t="str">
        <f>IF($J163="","",INDEX(ﾏｽﾀ!$G$8:$G$124,MATCH(INDEX(ﾏｽﾀ!$N$8:$N$124,MATCH($J163,ﾏｽﾀ!$O$8:$O$124,0)),ﾏｽﾀ!$B$8:$B$124,0))&amp;"")</f>
        <v/>
      </c>
      <c r="L163" s="599" t="str">
        <f>IF($M163="","",INDEX(ﾏｽﾀ!$T$8:$T$16,MATCH($M163,ﾏｽﾀ!$U$8:$U$16,0))&amp;"")</f>
        <v/>
      </c>
      <c r="M163" s="534"/>
      <c r="N163" s="463"/>
      <c r="O163" s="464"/>
      <c r="P163" s="465"/>
      <c r="Q163" s="466" t="str">
        <f t="shared" si="20"/>
        <v/>
      </c>
      <c r="R163" s="154" t="str">
        <f>IF($T163="","",VLOOKUP($T163,請求Data!$I$11:$AR$160,請求Data!$AL$10-請求Data!$H$10,0))</f>
        <v/>
      </c>
      <c r="S163" s="155" t="str">
        <f>IF($T163="","",VLOOKUP($T163,請求Data!$I$11:$AR$160,請求Data!$AM$10-請求Data!$H$10,0))</f>
        <v/>
      </c>
      <c r="T163" s="467" t="str">
        <f>IF(ISNA(MATCH($H163,請求Data!$AH$11:$AH$160,0)),"",VLOOKUP($H163,請求Data!$AH$11:$AR$160,請求Data!$AK$10-請求Data!$AG$10,0))</f>
        <v/>
      </c>
      <c r="U163" s="468"/>
      <c r="V163" s="58"/>
    </row>
    <row r="164" spans="1:22" s="32" customFormat="1" ht="15" customHeight="1">
      <c r="A164" s="58" t="str">
        <f>IF($Q164="","",MAX($A$8:$A163)+1)</f>
        <v/>
      </c>
      <c r="B164" s="614" t="str">
        <f t="shared" si="19"/>
        <v/>
      </c>
      <c r="C164" s="614" t="str">
        <f t="shared" si="16"/>
        <v/>
      </c>
      <c r="D164" s="614" t="str">
        <f t="shared" si="17"/>
        <v/>
      </c>
      <c r="E164" s="615" t="str">
        <f t="shared" si="18"/>
        <v/>
      </c>
      <c r="F164" s="616" t="str">
        <f>IF($H164="","",IF(ISNA(MATCH($H164,$H$7:$H163,0)),1,0))</f>
        <v/>
      </c>
      <c r="G164" s="249"/>
      <c r="H164" s="95"/>
      <c r="I164" s="597" t="str">
        <f>IF($J164="","",INDEX(ﾏｽﾀ!$E$8:$E$124,MATCH(INDEX(ﾏｽﾀ!$N$8:$N$124,MATCH($J164,ﾏｽﾀ!$O$8:$O$124,0)),ﾏｽﾀ!$B$8:$B$124,0))&amp;"")</f>
        <v/>
      </c>
      <c r="J164" s="534"/>
      <c r="K164" s="598" t="str">
        <f>IF($J164="","",INDEX(ﾏｽﾀ!$G$8:$G$124,MATCH(INDEX(ﾏｽﾀ!$N$8:$N$124,MATCH($J164,ﾏｽﾀ!$O$8:$O$124,0)),ﾏｽﾀ!$B$8:$B$124,0))&amp;"")</f>
        <v/>
      </c>
      <c r="L164" s="599" t="str">
        <f>IF($M164="","",INDEX(ﾏｽﾀ!$T$8:$T$16,MATCH($M164,ﾏｽﾀ!$U$8:$U$16,0))&amp;"")</f>
        <v/>
      </c>
      <c r="M164" s="534"/>
      <c r="N164" s="463"/>
      <c r="O164" s="464"/>
      <c r="P164" s="465"/>
      <c r="Q164" s="466" t="str">
        <f t="shared" si="20"/>
        <v/>
      </c>
      <c r="R164" s="154" t="str">
        <f>IF($T164="","",VLOOKUP($T164,請求Data!$I$11:$AR$160,請求Data!$AL$10-請求Data!$H$10,0))</f>
        <v/>
      </c>
      <c r="S164" s="155" t="str">
        <f>IF($T164="","",VLOOKUP($T164,請求Data!$I$11:$AR$160,請求Data!$AM$10-請求Data!$H$10,0))</f>
        <v/>
      </c>
      <c r="T164" s="467" t="str">
        <f>IF(ISNA(MATCH($H164,請求Data!$AH$11:$AH$160,0)),"",VLOOKUP($H164,請求Data!$AH$11:$AR$160,請求Data!$AK$10-請求Data!$AG$10,0))</f>
        <v/>
      </c>
      <c r="U164" s="468"/>
      <c r="V164" s="58"/>
    </row>
    <row r="165" spans="1:22" s="32" customFormat="1" ht="15" customHeight="1">
      <c r="A165" s="58" t="str">
        <f>IF($Q165="","",MAX($A$8:$A164)+1)</f>
        <v/>
      </c>
      <c r="B165" s="614" t="str">
        <f t="shared" si="19"/>
        <v/>
      </c>
      <c r="C165" s="614" t="str">
        <f t="shared" si="16"/>
        <v/>
      </c>
      <c r="D165" s="614" t="str">
        <f t="shared" si="17"/>
        <v/>
      </c>
      <c r="E165" s="615" t="str">
        <f t="shared" si="18"/>
        <v/>
      </c>
      <c r="F165" s="616" t="str">
        <f>IF($H165="","",IF(ISNA(MATCH($H165,$H$7:$H164,0)),1,0))</f>
        <v/>
      </c>
      <c r="G165" s="249"/>
      <c r="H165" s="95"/>
      <c r="I165" s="597" t="str">
        <f>IF($J165="","",INDEX(ﾏｽﾀ!$E$8:$E$124,MATCH(INDEX(ﾏｽﾀ!$N$8:$N$124,MATCH($J165,ﾏｽﾀ!$O$8:$O$124,0)),ﾏｽﾀ!$B$8:$B$124,0))&amp;"")</f>
        <v/>
      </c>
      <c r="J165" s="534"/>
      <c r="K165" s="598" t="str">
        <f>IF($J165="","",INDEX(ﾏｽﾀ!$G$8:$G$124,MATCH(INDEX(ﾏｽﾀ!$N$8:$N$124,MATCH($J165,ﾏｽﾀ!$O$8:$O$124,0)),ﾏｽﾀ!$B$8:$B$124,0))&amp;"")</f>
        <v/>
      </c>
      <c r="L165" s="599" t="str">
        <f>IF($M165="","",INDEX(ﾏｽﾀ!$T$8:$T$16,MATCH($M165,ﾏｽﾀ!$U$8:$U$16,0))&amp;"")</f>
        <v/>
      </c>
      <c r="M165" s="534"/>
      <c r="N165" s="463"/>
      <c r="O165" s="464"/>
      <c r="P165" s="465"/>
      <c r="Q165" s="466" t="str">
        <f t="shared" si="20"/>
        <v/>
      </c>
      <c r="R165" s="154" t="str">
        <f>IF($T165="","",VLOOKUP($T165,請求Data!$I$11:$AR$160,請求Data!$AL$10-請求Data!$H$10,0))</f>
        <v/>
      </c>
      <c r="S165" s="155" t="str">
        <f>IF($T165="","",VLOOKUP($T165,請求Data!$I$11:$AR$160,請求Data!$AM$10-請求Data!$H$10,0))</f>
        <v/>
      </c>
      <c r="T165" s="467" t="str">
        <f>IF(ISNA(MATCH($H165,請求Data!$AH$11:$AH$160,0)),"",VLOOKUP($H165,請求Data!$AH$11:$AR$160,請求Data!$AK$10-請求Data!$AG$10,0))</f>
        <v/>
      </c>
      <c r="U165" s="468"/>
      <c r="V165" s="58"/>
    </row>
    <row r="166" spans="1:22" s="32" customFormat="1" ht="15" customHeight="1">
      <c r="A166" s="58" t="str">
        <f>IF($Q166="","",MAX($A$8:$A165)+1)</f>
        <v/>
      </c>
      <c r="B166" s="614" t="str">
        <f t="shared" si="19"/>
        <v/>
      </c>
      <c r="C166" s="614" t="str">
        <f t="shared" si="16"/>
        <v/>
      </c>
      <c r="D166" s="614" t="str">
        <f t="shared" si="17"/>
        <v/>
      </c>
      <c r="E166" s="615" t="str">
        <f t="shared" si="18"/>
        <v/>
      </c>
      <c r="F166" s="616" t="str">
        <f>IF($H166="","",IF(ISNA(MATCH($H166,$H$7:$H165,0)),1,0))</f>
        <v/>
      </c>
      <c r="G166" s="249"/>
      <c r="H166" s="95"/>
      <c r="I166" s="597" t="str">
        <f>IF($J166="","",INDEX(ﾏｽﾀ!$E$8:$E$124,MATCH(INDEX(ﾏｽﾀ!$N$8:$N$124,MATCH($J166,ﾏｽﾀ!$O$8:$O$124,0)),ﾏｽﾀ!$B$8:$B$124,0))&amp;"")</f>
        <v/>
      </c>
      <c r="J166" s="534"/>
      <c r="K166" s="598" t="str">
        <f>IF($J166="","",INDEX(ﾏｽﾀ!$G$8:$G$124,MATCH(INDEX(ﾏｽﾀ!$N$8:$N$124,MATCH($J166,ﾏｽﾀ!$O$8:$O$124,0)),ﾏｽﾀ!$B$8:$B$124,0))&amp;"")</f>
        <v/>
      </c>
      <c r="L166" s="599" t="str">
        <f>IF($M166="","",INDEX(ﾏｽﾀ!$T$8:$T$16,MATCH($M166,ﾏｽﾀ!$U$8:$U$16,0))&amp;"")</f>
        <v/>
      </c>
      <c r="M166" s="534"/>
      <c r="N166" s="463"/>
      <c r="O166" s="464"/>
      <c r="P166" s="465"/>
      <c r="Q166" s="466" t="str">
        <f t="shared" si="20"/>
        <v/>
      </c>
      <c r="R166" s="154" t="str">
        <f>IF($T166="","",VLOOKUP($T166,請求Data!$I$11:$AR$160,請求Data!$AL$10-請求Data!$H$10,0))</f>
        <v/>
      </c>
      <c r="S166" s="155" t="str">
        <f>IF($T166="","",VLOOKUP($T166,請求Data!$I$11:$AR$160,請求Data!$AM$10-請求Data!$H$10,0))</f>
        <v/>
      </c>
      <c r="T166" s="467" t="str">
        <f>IF(ISNA(MATCH($H166,請求Data!$AH$11:$AH$160,0)),"",VLOOKUP($H166,請求Data!$AH$11:$AR$160,請求Data!$AK$10-請求Data!$AG$10,0))</f>
        <v/>
      </c>
      <c r="U166" s="468"/>
      <c r="V166" s="58"/>
    </row>
    <row r="167" spans="1:22" s="32" customFormat="1" ht="15" customHeight="1">
      <c r="A167" s="58" t="str">
        <f>IF($Q167="","",MAX($A$8:$A166)+1)</f>
        <v/>
      </c>
      <c r="B167" s="614" t="str">
        <f t="shared" si="19"/>
        <v/>
      </c>
      <c r="C167" s="614" t="str">
        <f t="shared" si="16"/>
        <v/>
      </c>
      <c r="D167" s="614" t="str">
        <f t="shared" si="17"/>
        <v/>
      </c>
      <c r="E167" s="615" t="str">
        <f t="shared" si="18"/>
        <v/>
      </c>
      <c r="F167" s="616" t="str">
        <f>IF($H167="","",IF(ISNA(MATCH($H167,$H$7:$H166,0)),1,0))</f>
        <v/>
      </c>
      <c r="G167" s="249"/>
      <c r="H167" s="95"/>
      <c r="I167" s="597" t="str">
        <f>IF($J167="","",INDEX(ﾏｽﾀ!$E$8:$E$124,MATCH(INDEX(ﾏｽﾀ!$N$8:$N$124,MATCH($J167,ﾏｽﾀ!$O$8:$O$124,0)),ﾏｽﾀ!$B$8:$B$124,0))&amp;"")</f>
        <v/>
      </c>
      <c r="J167" s="534"/>
      <c r="K167" s="598" t="str">
        <f>IF($J167="","",INDEX(ﾏｽﾀ!$G$8:$G$124,MATCH(INDEX(ﾏｽﾀ!$N$8:$N$124,MATCH($J167,ﾏｽﾀ!$O$8:$O$124,0)),ﾏｽﾀ!$B$8:$B$124,0))&amp;"")</f>
        <v/>
      </c>
      <c r="L167" s="599" t="str">
        <f>IF($M167="","",INDEX(ﾏｽﾀ!$T$8:$T$16,MATCH($M167,ﾏｽﾀ!$U$8:$U$16,0))&amp;"")</f>
        <v/>
      </c>
      <c r="M167" s="534"/>
      <c r="N167" s="463"/>
      <c r="O167" s="464"/>
      <c r="P167" s="465"/>
      <c r="Q167" s="466" t="str">
        <f t="shared" si="20"/>
        <v/>
      </c>
      <c r="R167" s="154" t="str">
        <f>IF($T167="","",VLOOKUP($T167,請求Data!$I$11:$AR$160,請求Data!$AL$10-請求Data!$H$10,0))</f>
        <v/>
      </c>
      <c r="S167" s="155" t="str">
        <f>IF($T167="","",VLOOKUP($T167,請求Data!$I$11:$AR$160,請求Data!$AM$10-請求Data!$H$10,0))</f>
        <v/>
      </c>
      <c r="T167" s="467" t="str">
        <f>IF(ISNA(MATCH($H167,請求Data!$AH$11:$AH$160,0)),"",VLOOKUP($H167,請求Data!$AH$11:$AR$160,請求Data!$AK$10-請求Data!$AG$10,0))</f>
        <v/>
      </c>
      <c r="U167" s="468"/>
      <c r="V167" s="58"/>
    </row>
    <row r="168" spans="1:22" s="32" customFormat="1" ht="15" customHeight="1">
      <c r="A168" s="58" t="str">
        <f>IF($Q168="","",MAX($A$8:$A167)+1)</f>
        <v/>
      </c>
      <c r="B168" s="614" t="str">
        <f t="shared" si="19"/>
        <v/>
      </c>
      <c r="C168" s="614" t="str">
        <f t="shared" si="16"/>
        <v/>
      </c>
      <c r="D168" s="614" t="str">
        <f t="shared" si="17"/>
        <v/>
      </c>
      <c r="E168" s="615" t="str">
        <f t="shared" si="18"/>
        <v/>
      </c>
      <c r="F168" s="616" t="str">
        <f>IF($H168="","",IF(ISNA(MATCH($H168,$H$7:$H167,0)),1,0))</f>
        <v/>
      </c>
      <c r="G168" s="249"/>
      <c r="H168" s="95"/>
      <c r="I168" s="597" t="str">
        <f>IF($J168="","",INDEX(ﾏｽﾀ!$E$8:$E$124,MATCH(INDEX(ﾏｽﾀ!$N$8:$N$124,MATCH($J168,ﾏｽﾀ!$O$8:$O$124,0)),ﾏｽﾀ!$B$8:$B$124,0))&amp;"")</f>
        <v/>
      </c>
      <c r="J168" s="534"/>
      <c r="K168" s="598" t="str">
        <f>IF($J168="","",INDEX(ﾏｽﾀ!$G$8:$G$124,MATCH(INDEX(ﾏｽﾀ!$N$8:$N$124,MATCH($J168,ﾏｽﾀ!$O$8:$O$124,0)),ﾏｽﾀ!$B$8:$B$124,0))&amp;"")</f>
        <v/>
      </c>
      <c r="L168" s="599" t="str">
        <f>IF($M168="","",INDEX(ﾏｽﾀ!$T$8:$T$16,MATCH($M168,ﾏｽﾀ!$U$8:$U$16,0))&amp;"")</f>
        <v/>
      </c>
      <c r="M168" s="534"/>
      <c r="N168" s="463"/>
      <c r="O168" s="464"/>
      <c r="P168" s="465"/>
      <c r="Q168" s="466" t="str">
        <f t="shared" si="20"/>
        <v/>
      </c>
      <c r="R168" s="154" t="str">
        <f>IF($T168="","",VLOOKUP($T168,請求Data!$I$11:$AR$160,請求Data!$AL$10-請求Data!$H$10,0))</f>
        <v/>
      </c>
      <c r="S168" s="155" t="str">
        <f>IF($T168="","",VLOOKUP($T168,請求Data!$I$11:$AR$160,請求Data!$AM$10-請求Data!$H$10,0))</f>
        <v/>
      </c>
      <c r="T168" s="467" t="str">
        <f>IF(ISNA(MATCH($H168,請求Data!$AH$11:$AH$160,0)),"",VLOOKUP($H168,請求Data!$AH$11:$AR$160,請求Data!$AK$10-請求Data!$AG$10,0))</f>
        <v/>
      </c>
      <c r="U168" s="468"/>
      <c r="V168" s="58"/>
    </row>
    <row r="169" spans="1:22" s="32" customFormat="1" ht="15" customHeight="1">
      <c r="A169" s="58" t="str">
        <f>IF($Q169="","",MAX($A$8:$A168)+1)</f>
        <v/>
      </c>
      <c r="B169" s="614" t="str">
        <f t="shared" si="19"/>
        <v/>
      </c>
      <c r="C169" s="614" t="str">
        <f t="shared" ref="C169:C200" si="21">IF($H169="","",CONCATENATE(VLOOKUP($N169,$N$2:$O$5,2,FALSE),$I169,IF($K169="","00",$K169),$E169,$L169))</f>
        <v/>
      </c>
      <c r="D169" s="614" t="str">
        <f t="shared" ref="D169:D200" si="22">IF($H169="","",CONCATENATE(VLOOKUP($N169,$N$2:$O$5,2,FALSE),$I169,IF($K169="","00",$K169),$E169,$F169,$L169))</f>
        <v/>
      </c>
      <c r="E169" s="615" t="str">
        <f t="shared" ref="E169:E200" si="23">IF($H169="","",IF($T169="",1,9))</f>
        <v/>
      </c>
      <c r="F169" s="616" t="str">
        <f>IF($H169="","",IF(ISNA(MATCH($H169,$H$7:$H168,0)),1,0))</f>
        <v/>
      </c>
      <c r="G169" s="249"/>
      <c r="H169" s="95"/>
      <c r="I169" s="597" t="str">
        <f>IF($J169="","",INDEX(ﾏｽﾀ!$E$8:$E$124,MATCH(INDEX(ﾏｽﾀ!$N$8:$N$124,MATCH($J169,ﾏｽﾀ!$O$8:$O$124,0)),ﾏｽﾀ!$B$8:$B$124,0))&amp;"")</f>
        <v/>
      </c>
      <c r="J169" s="534"/>
      <c r="K169" s="598" t="str">
        <f>IF($J169="","",INDEX(ﾏｽﾀ!$G$8:$G$124,MATCH(INDEX(ﾏｽﾀ!$N$8:$N$124,MATCH($J169,ﾏｽﾀ!$O$8:$O$124,0)),ﾏｽﾀ!$B$8:$B$124,0))&amp;"")</f>
        <v/>
      </c>
      <c r="L169" s="599" t="str">
        <f>IF($M169="","",INDEX(ﾏｽﾀ!$T$8:$T$16,MATCH($M169,ﾏｽﾀ!$U$8:$U$16,0))&amp;"")</f>
        <v/>
      </c>
      <c r="M169" s="534"/>
      <c r="N169" s="463"/>
      <c r="O169" s="464"/>
      <c r="P169" s="465"/>
      <c r="Q169" s="466" t="str">
        <f t="shared" si="20"/>
        <v/>
      </c>
      <c r="R169" s="154" t="str">
        <f>IF($T169="","",VLOOKUP($T169,請求Data!$I$11:$AR$160,請求Data!$AL$10-請求Data!$H$10,0))</f>
        <v/>
      </c>
      <c r="S169" s="155" t="str">
        <f>IF($T169="","",VLOOKUP($T169,請求Data!$I$11:$AR$160,請求Data!$AM$10-請求Data!$H$10,0))</f>
        <v/>
      </c>
      <c r="T169" s="467" t="str">
        <f>IF(ISNA(MATCH($H169,請求Data!$AH$11:$AH$160,0)),"",VLOOKUP($H169,請求Data!$AH$11:$AR$160,請求Data!$AK$10-請求Data!$AG$10,0))</f>
        <v/>
      </c>
      <c r="U169" s="468"/>
      <c r="V169" s="58"/>
    </row>
    <row r="170" spans="1:22" s="32" customFormat="1" ht="15" customHeight="1">
      <c r="A170" s="58" t="str">
        <f>IF($Q170="","",MAX($A$8:$A169)+1)</f>
        <v/>
      </c>
      <c r="B170" s="614" t="str">
        <f t="shared" si="19"/>
        <v/>
      </c>
      <c r="C170" s="614" t="str">
        <f t="shared" si="21"/>
        <v/>
      </c>
      <c r="D170" s="614" t="str">
        <f t="shared" si="22"/>
        <v/>
      </c>
      <c r="E170" s="615" t="str">
        <f t="shared" si="23"/>
        <v/>
      </c>
      <c r="F170" s="616" t="str">
        <f>IF($H170="","",IF(ISNA(MATCH($H170,$H$7:$H169,0)),1,0))</f>
        <v/>
      </c>
      <c r="G170" s="249"/>
      <c r="H170" s="95"/>
      <c r="I170" s="597" t="str">
        <f>IF($J170="","",INDEX(ﾏｽﾀ!$E$8:$E$124,MATCH(INDEX(ﾏｽﾀ!$N$8:$N$124,MATCH($J170,ﾏｽﾀ!$O$8:$O$124,0)),ﾏｽﾀ!$B$8:$B$124,0))&amp;"")</f>
        <v/>
      </c>
      <c r="J170" s="534"/>
      <c r="K170" s="598" t="str">
        <f>IF($J170="","",INDEX(ﾏｽﾀ!$G$8:$G$124,MATCH(INDEX(ﾏｽﾀ!$N$8:$N$124,MATCH($J170,ﾏｽﾀ!$O$8:$O$124,0)),ﾏｽﾀ!$B$8:$B$124,0))&amp;"")</f>
        <v/>
      </c>
      <c r="L170" s="599" t="str">
        <f>IF($M170="","",INDEX(ﾏｽﾀ!$T$8:$T$16,MATCH($M170,ﾏｽﾀ!$U$8:$U$16,0))&amp;"")</f>
        <v/>
      </c>
      <c r="M170" s="534"/>
      <c r="N170" s="463"/>
      <c r="O170" s="464"/>
      <c r="P170" s="465"/>
      <c r="Q170" s="466" t="str">
        <f t="shared" si="20"/>
        <v/>
      </c>
      <c r="R170" s="154" t="str">
        <f>IF($T170="","",VLOOKUP($T170,請求Data!$I$11:$AR$160,請求Data!$AL$10-請求Data!$H$10,0))</f>
        <v/>
      </c>
      <c r="S170" s="155" t="str">
        <f>IF($T170="","",VLOOKUP($T170,請求Data!$I$11:$AR$160,請求Data!$AM$10-請求Data!$H$10,0))</f>
        <v/>
      </c>
      <c r="T170" s="467" t="str">
        <f>IF(ISNA(MATCH($H170,請求Data!$AH$11:$AH$160,0)),"",VLOOKUP($H170,請求Data!$AH$11:$AR$160,請求Data!$AK$10-請求Data!$AG$10,0))</f>
        <v/>
      </c>
      <c r="U170" s="468"/>
      <c r="V170" s="58"/>
    </row>
    <row r="171" spans="1:22" s="32" customFormat="1" ht="15" customHeight="1">
      <c r="A171" s="58" t="str">
        <f>IF($Q171="","",MAX($A$8:$A170)+1)</f>
        <v/>
      </c>
      <c r="B171" s="614" t="str">
        <f t="shared" si="19"/>
        <v/>
      </c>
      <c r="C171" s="614" t="str">
        <f t="shared" si="21"/>
        <v/>
      </c>
      <c r="D171" s="614" t="str">
        <f t="shared" si="22"/>
        <v/>
      </c>
      <c r="E171" s="615" t="str">
        <f t="shared" si="23"/>
        <v/>
      </c>
      <c r="F171" s="616" t="str">
        <f>IF($H171="","",IF(ISNA(MATCH($H171,$H$7:$H170,0)),1,0))</f>
        <v/>
      </c>
      <c r="G171" s="249"/>
      <c r="H171" s="95"/>
      <c r="I171" s="597" t="str">
        <f>IF($J171="","",INDEX(ﾏｽﾀ!$E$8:$E$124,MATCH(INDEX(ﾏｽﾀ!$N$8:$N$124,MATCH($J171,ﾏｽﾀ!$O$8:$O$124,0)),ﾏｽﾀ!$B$8:$B$124,0))&amp;"")</f>
        <v/>
      </c>
      <c r="J171" s="534"/>
      <c r="K171" s="598" t="str">
        <f>IF($J171="","",INDEX(ﾏｽﾀ!$G$8:$G$124,MATCH(INDEX(ﾏｽﾀ!$N$8:$N$124,MATCH($J171,ﾏｽﾀ!$O$8:$O$124,0)),ﾏｽﾀ!$B$8:$B$124,0))&amp;"")</f>
        <v/>
      </c>
      <c r="L171" s="599" t="str">
        <f>IF($M171="","",INDEX(ﾏｽﾀ!$T$8:$T$16,MATCH($M171,ﾏｽﾀ!$U$8:$U$16,0))&amp;"")</f>
        <v/>
      </c>
      <c r="M171" s="534"/>
      <c r="N171" s="463"/>
      <c r="O171" s="464"/>
      <c r="P171" s="465"/>
      <c r="Q171" s="466" t="str">
        <f t="shared" si="20"/>
        <v/>
      </c>
      <c r="R171" s="154" t="str">
        <f>IF($T171="","",VLOOKUP($T171,請求Data!$I$11:$AR$160,請求Data!$AL$10-請求Data!$H$10,0))</f>
        <v/>
      </c>
      <c r="S171" s="155" t="str">
        <f>IF($T171="","",VLOOKUP($T171,請求Data!$I$11:$AR$160,請求Data!$AM$10-請求Data!$H$10,0))</f>
        <v/>
      </c>
      <c r="T171" s="467" t="str">
        <f>IF(ISNA(MATCH($H171,請求Data!$AH$11:$AH$160,0)),"",VLOOKUP($H171,請求Data!$AH$11:$AR$160,請求Data!$AK$10-請求Data!$AG$10,0))</f>
        <v/>
      </c>
      <c r="U171" s="468"/>
    </row>
    <row r="172" spans="1:22" s="32" customFormat="1" ht="15" customHeight="1">
      <c r="A172" s="58" t="str">
        <f>IF($Q172="","",MAX($A$8:$A171)+1)</f>
        <v/>
      </c>
      <c r="B172" s="614" t="str">
        <f t="shared" si="19"/>
        <v/>
      </c>
      <c r="C172" s="614" t="str">
        <f t="shared" si="21"/>
        <v/>
      </c>
      <c r="D172" s="614" t="str">
        <f t="shared" si="22"/>
        <v/>
      </c>
      <c r="E172" s="615" t="str">
        <f t="shared" si="23"/>
        <v/>
      </c>
      <c r="F172" s="616" t="str">
        <f>IF($H172="","",IF(ISNA(MATCH($H172,$H$7:$H171,0)),1,0))</f>
        <v/>
      </c>
      <c r="G172" s="249"/>
      <c r="H172" s="95"/>
      <c r="I172" s="597" t="str">
        <f>IF($J172="","",INDEX(ﾏｽﾀ!$E$8:$E$124,MATCH(INDEX(ﾏｽﾀ!$N$8:$N$124,MATCH($J172,ﾏｽﾀ!$O$8:$O$124,0)),ﾏｽﾀ!$B$8:$B$124,0))&amp;"")</f>
        <v/>
      </c>
      <c r="J172" s="534"/>
      <c r="K172" s="598" t="str">
        <f>IF($J172="","",INDEX(ﾏｽﾀ!$G$8:$G$124,MATCH(INDEX(ﾏｽﾀ!$N$8:$N$124,MATCH($J172,ﾏｽﾀ!$O$8:$O$124,0)),ﾏｽﾀ!$B$8:$B$124,0))&amp;"")</f>
        <v/>
      </c>
      <c r="L172" s="599" t="str">
        <f>IF($M172="","",INDEX(ﾏｽﾀ!$T$8:$T$16,MATCH($M172,ﾏｽﾀ!$U$8:$U$16,0))&amp;"")</f>
        <v/>
      </c>
      <c r="M172" s="534"/>
      <c r="N172" s="463"/>
      <c r="O172" s="464"/>
      <c r="P172" s="465"/>
      <c r="Q172" s="466" t="str">
        <f t="shared" si="20"/>
        <v/>
      </c>
      <c r="R172" s="154" t="str">
        <f>IF($T172="","",VLOOKUP($T172,請求Data!$I$11:$AR$160,請求Data!$AL$10-請求Data!$H$10,0))</f>
        <v/>
      </c>
      <c r="S172" s="155" t="str">
        <f>IF($T172="","",VLOOKUP($T172,請求Data!$I$11:$AR$160,請求Data!$AM$10-請求Data!$H$10,0))</f>
        <v/>
      </c>
      <c r="T172" s="467" t="str">
        <f>IF(ISNA(MATCH($H172,請求Data!$AH$11:$AH$160,0)),"",VLOOKUP($H172,請求Data!$AH$11:$AR$160,請求Data!$AK$10-請求Data!$AG$10,0))</f>
        <v/>
      </c>
      <c r="U172" s="468"/>
    </row>
    <row r="173" spans="1:22" s="32" customFormat="1" ht="15" customHeight="1">
      <c r="A173" s="58" t="str">
        <f>IF($Q173="","",MAX($A$8:$A172)+1)</f>
        <v/>
      </c>
      <c r="B173" s="614" t="str">
        <f t="shared" si="19"/>
        <v/>
      </c>
      <c r="C173" s="614" t="str">
        <f t="shared" si="21"/>
        <v/>
      </c>
      <c r="D173" s="614" t="str">
        <f t="shared" si="22"/>
        <v/>
      </c>
      <c r="E173" s="615" t="str">
        <f t="shared" si="23"/>
        <v/>
      </c>
      <c r="F173" s="616" t="str">
        <f>IF($H173="","",IF(ISNA(MATCH($H173,$H$7:$H172,0)),1,0))</f>
        <v/>
      </c>
      <c r="G173" s="249"/>
      <c r="H173" s="95"/>
      <c r="I173" s="597" t="str">
        <f>IF($J173="","",INDEX(ﾏｽﾀ!$E$8:$E$124,MATCH(INDEX(ﾏｽﾀ!$N$8:$N$124,MATCH($J173,ﾏｽﾀ!$O$8:$O$124,0)),ﾏｽﾀ!$B$8:$B$124,0))&amp;"")</f>
        <v/>
      </c>
      <c r="J173" s="534"/>
      <c r="K173" s="598" t="str">
        <f>IF($J173="","",INDEX(ﾏｽﾀ!$G$8:$G$124,MATCH(INDEX(ﾏｽﾀ!$N$8:$N$124,MATCH($J173,ﾏｽﾀ!$O$8:$O$124,0)),ﾏｽﾀ!$B$8:$B$124,0))&amp;"")</f>
        <v/>
      </c>
      <c r="L173" s="599" t="str">
        <f>IF($M173="","",INDEX(ﾏｽﾀ!$T$8:$T$16,MATCH($M173,ﾏｽﾀ!$U$8:$U$16,0))&amp;"")</f>
        <v/>
      </c>
      <c r="M173" s="534"/>
      <c r="N173" s="463"/>
      <c r="O173" s="464"/>
      <c r="P173" s="465"/>
      <c r="Q173" s="466" t="str">
        <f t="shared" si="20"/>
        <v/>
      </c>
      <c r="R173" s="154" t="str">
        <f>IF($T173="","",VLOOKUP($T173,請求Data!$I$11:$AR$160,請求Data!$AL$10-請求Data!$H$10,0))</f>
        <v/>
      </c>
      <c r="S173" s="155" t="str">
        <f>IF($T173="","",VLOOKUP($T173,請求Data!$I$11:$AR$160,請求Data!$AM$10-請求Data!$H$10,0))</f>
        <v/>
      </c>
      <c r="T173" s="467" t="str">
        <f>IF(ISNA(MATCH($H173,請求Data!$AH$11:$AH$160,0)),"",VLOOKUP($H173,請求Data!$AH$11:$AR$160,請求Data!$AK$10-請求Data!$AG$10,0))</f>
        <v/>
      </c>
      <c r="U173" s="468"/>
    </row>
    <row r="174" spans="1:22" s="32" customFormat="1" ht="15" customHeight="1">
      <c r="A174" s="58" t="str">
        <f>IF($Q174="","",MAX($A$8:$A173)+1)</f>
        <v/>
      </c>
      <c r="B174" s="614" t="str">
        <f t="shared" si="19"/>
        <v/>
      </c>
      <c r="C174" s="614" t="str">
        <f t="shared" si="21"/>
        <v/>
      </c>
      <c r="D174" s="614" t="str">
        <f t="shared" si="22"/>
        <v/>
      </c>
      <c r="E174" s="615" t="str">
        <f t="shared" si="23"/>
        <v/>
      </c>
      <c r="F174" s="616" t="str">
        <f>IF($H174="","",IF(ISNA(MATCH($H174,$H$7:$H173,0)),1,0))</f>
        <v/>
      </c>
      <c r="G174" s="249"/>
      <c r="H174" s="95"/>
      <c r="I174" s="597" t="str">
        <f>IF($J174="","",INDEX(ﾏｽﾀ!$E$8:$E$124,MATCH(INDEX(ﾏｽﾀ!$N$8:$N$124,MATCH($J174,ﾏｽﾀ!$O$8:$O$124,0)),ﾏｽﾀ!$B$8:$B$124,0))&amp;"")</f>
        <v/>
      </c>
      <c r="J174" s="534"/>
      <c r="K174" s="598" t="str">
        <f>IF($J174="","",INDEX(ﾏｽﾀ!$G$8:$G$124,MATCH(INDEX(ﾏｽﾀ!$N$8:$N$124,MATCH($J174,ﾏｽﾀ!$O$8:$O$124,0)),ﾏｽﾀ!$B$8:$B$124,0))&amp;"")</f>
        <v/>
      </c>
      <c r="L174" s="599" t="str">
        <f>IF($M174="","",INDEX(ﾏｽﾀ!$T$8:$T$16,MATCH($M174,ﾏｽﾀ!$U$8:$U$16,0))&amp;"")</f>
        <v/>
      </c>
      <c r="M174" s="534"/>
      <c r="N174" s="463"/>
      <c r="O174" s="464"/>
      <c r="P174" s="465"/>
      <c r="Q174" s="466" t="str">
        <f t="shared" si="20"/>
        <v/>
      </c>
      <c r="R174" s="154" t="str">
        <f>IF($T174="","",VLOOKUP($T174,請求Data!$I$11:$AR$160,請求Data!$AL$10-請求Data!$H$10,0))</f>
        <v/>
      </c>
      <c r="S174" s="155" t="str">
        <f>IF($T174="","",VLOOKUP($T174,請求Data!$I$11:$AR$160,請求Data!$AM$10-請求Data!$H$10,0))</f>
        <v/>
      </c>
      <c r="T174" s="467" t="str">
        <f>IF(ISNA(MATCH($H174,請求Data!$AH$11:$AH$160,0)),"",VLOOKUP($H174,請求Data!$AH$11:$AR$160,請求Data!$AK$10-請求Data!$AG$10,0))</f>
        <v/>
      </c>
      <c r="U174" s="468"/>
    </row>
    <row r="175" spans="1:22" s="32" customFormat="1" ht="15" customHeight="1">
      <c r="A175" s="58" t="str">
        <f>IF($Q175="","",MAX($A$8:$A174)+1)</f>
        <v/>
      </c>
      <c r="B175" s="614" t="str">
        <f t="shared" si="19"/>
        <v/>
      </c>
      <c r="C175" s="614" t="str">
        <f t="shared" si="21"/>
        <v/>
      </c>
      <c r="D175" s="614" t="str">
        <f t="shared" si="22"/>
        <v/>
      </c>
      <c r="E175" s="615" t="str">
        <f t="shared" si="23"/>
        <v/>
      </c>
      <c r="F175" s="616" t="str">
        <f>IF($H175="","",IF(ISNA(MATCH($H175,$H$7:$H174,0)),1,0))</f>
        <v/>
      </c>
      <c r="G175" s="249"/>
      <c r="H175" s="95"/>
      <c r="I175" s="597" t="str">
        <f>IF($J175="","",INDEX(ﾏｽﾀ!$E$8:$E$124,MATCH(INDEX(ﾏｽﾀ!$N$8:$N$124,MATCH($J175,ﾏｽﾀ!$O$8:$O$124,0)),ﾏｽﾀ!$B$8:$B$124,0))&amp;"")</f>
        <v/>
      </c>
      <c r="J175" s="534"/>
      <c r="K175" s="598" t="str">
        <f>IF($J175="","",INDEX(ﾏｽﾀ!$G$8:$G$124,MATCH(INDEX(ﾏｽﾀ!$N$8:$N$124,MATCH($J175,ﾏｽﾀ!$O$8:$O$124,0)),ﾏｽﾀ!$B$8:$B$124,0))&amp;"")</f>
        <v/>
      </c>
      <c r="L175" s="599" t="str">
        <f>IF($M175="","",INDEX(ﾏｽﾀ!$T$8:$T$16,MATCH($M175,ﾏｽﾀ!$U$8:$U$16,0))&amp;"")</f>
        <v/>
      </c>
      <c r="M175" s="534"/>
      <c r="N175" s="463"/>
      <c r="O175" s="464"/>
      <c r="P175" s="465"/>
      <c r="Q175" s="466" t="str">
        <f t="shared" si="20"/>
        <v/>
      </c>
      <c r="R175" s="154" t="str">
        <f>IF($T175="","",VLOOKUP($T175,請求Data!$I$11:$AR$160,請求Data!$AL$10-請求Data!$H$10,0))</f>
        <v/>
      </c>
      <c r="S175" s="155" t="str">
        <f>IF($T175="","",VLOOKUP($T175,請求Data!$I$11:$AR$160,請求Data!$AM$10-請求Data!$H$10,0))</f>
        <v/>
      </c>
      <c r="T175" s="467" t="str">
        <f>IF(ISNA(MATCH($H175,請求Data!$AH$11:$AH$160,0)),"",VLOOKUP($H175,請求Data!$AH$11:$AR$160,請求Data!$AK$10-請求Data!$AG$10,0))</f>
        <v/>
      </c>
      <c r="U175" s="468"/>
    </row>
    <row r="176" spans="1:22" s="32" customFormat="1" ht="15" customHeight="1">
      <c r="A176" s="58" t="str">
        <f>IF($Q176="","",MAX($A$8:$A175)+1)</f>
        <v/>
      </c>
      <c r="B176" s="614" t="str">
        <f t="shared" si="19"/>
        <v/>
      </c>
      <c r="C176" s="614" t="str">
        <f t="shared" si="21"/>
        <v/>
      </c>
      <c r="D176" s="614" t="str">
        <f t="shared" si="22"/>
        <v/>
      </c>
      <c r="E176" s="615" t="str">
        <f t="shared" si="23"/>
        <v/>
      </c>
      <c r="F176" s="616" t="str">
        <f>IF($H176="","",IF(ISNA(MATCH($H176,$H$7:$H175,0)),1,0))</f>
        <v/>
      </c>
      <c r="G176" s="249"/>
      <c r="H176" s="95"/>
      <c r="I176" s="597" t="str">
        <f>IF($J176="","",INDEX(ﾏｽﾀ!$E$8:$E$124,MATCH(INDEX(ﾏｽﾀ!$N$8:$N$124,MATCH($J176,ﾏｽﾀ!$O$8:$O$124,0)),ﾏｽﾀ!$B$8:$B$124,0))&amp;"")</f>
        <v/>
      </c>
      <c r="J176" s="534"/>
      <c r="K176" s="598" t="str">
        <f>IF($J176="","",INDEX(ﾏｽﾀ!$G$8:$G$124,MATCH(INDEX(ﾏｽﾀ!$N$8:$N$124,MATCH($J176,ﾏｽﾀ!$O$8:$O$124,0)),ﾏｽﾀ!$B$8:$B$124,0))&amp;"")</f>
        <v/>
      </c>
      <c r="L176" s="599" t="str">
        <f>IF($M176="","",INDEX(ﾏｽﾀ!$T$8:$T$16,MATCH($M176,ﾏｽﾀ!$U$8:$U$16,0))&amp;"")</f>
        <v/>
      </c>
      <c r="M176" s="534"/>
      <c r="N176" s="463"/>
      <c r="O176" s="464"/>
      <c r="P176" s="465"/>
      <c r="Q176" s="466" t="str">
        <f t="shared" si="20"/>
        <v/>
      </c>
      <c r="R176" s="154" t="str">
        <f>IF($T176="","",VLOOKUP($T176,請求Data!$I$11:$AR$160,請求Data!$AL$10-請求Data!$H$10,0))</f>
        <v/>
      </c>
      <c r="S176" s="155" t="str">
        <f>IF($T176="","",VLOOKUP($T176,請求Data!$I$11:$AR$160,請求Data!$AM$10-請求Data!$H$10,0))</f>
        <v/>
      </c>
      <c r="T176" s="467" t="str">
        <f>IF(ISNA(MATCH($H176,請求Data!$AH$11:$AH$160,0)),"",VLOOKUP($H176,請求Data!$AH$11:$AR$160,請求Data!$AK$10-請求Data!$AG$10,0))</f>
        <v/>
      </c>
      <c r="U176" s="468"/>
    </row>
    <row r="177" spans="1:21" s="32" customFormat="1" ht="15" customHeight="1">
      <c r="A177" s="58" t="str">
        <f>IF($Q177="","",MAX($A$8:$A176)+1)</f>
        <v/>
      </c>
      <c r="B177" s="614" t="str">
        <f t="shared" si="19"/>
        <v/>
      </c>
      <c r="C177" s="614" t="str">
        <f t="shared" si="21"/>
        <v/>
      </c>
      <c r="D177" s="614" t="str">
        <f t="shared" si="22"/>
        <v/>
      </c>
      <c r="E177" s="615" t="str">
        <f t="shared" si="23"/>
        <v/>
      </c>
      <c r="F177" s="616" t="str">
        <f>IF($H177="","",IF(ISNA(MATCH($H177,$H$7:$H176,0)),1,0))</f>
        <v/>
      </c>
      <c r="G177" s="249"/>
      <c r="H177" s="95"/>
      <c r="I177" s="597" t="str">
        <f>IF($J177="","",INDEX(ﾏｽﾀ!$E$8:$E$124,MATCH(INDEX(ﾏｽﾀ!$N$8:$N$124,MATCH($J177,ﾏｽﾀ!$O$8:$O$124,0)),ﾏｽﾀ!$B$8:$B$124,0))&amp;"")</f>
        <v/>
      </c>
      <c r="J177" s="534"/>
      <c r="K177" s="598" t="str">
        <f>IF($J177="","",INDEX(ﾏｽﾀ!$G$8:$G$124,MATCH(INDEX(ﾏｽﾀ!$N$8:$N$124,MATCH($J177,ﾏｽﾀ!$O$8:$O$124,0)),ﾏｽﾀ!$B$8:$B$124,0))&amp;"")</f>
        <v/>
      </c>
      <c r="L177" s="599" t="str">
        <f>IF($M177="","",INDEX(ﾏｽﾀ!$T$8:$T$16,MATCH($M177,ﾏｽﾀ!$U$8:$U$16,0))&amp;"")</f>
        <v/>
      </c>
      <c r="M177" s="534"/>
      <c r="N177" s="463"/>
      <c r="O177" s="464"/>
      <c r="P177" s="465"/>
      <c r="Q177" s="466" t="str">
        <f t="shared" si="20"/>
        <v/>
      </c>
      <c r="R177" s="154" t="str">
        <f>IF($T177="","",VLOOKUP($T177,請求Data!$I$11:$AR$160,請求Data!$AL$10-請求Data!$H$10,0))</f>
        <v/>
      </c>
      <c r="S177" s="155" t="str">
        <f>IF($T177="","",VLOOKUP($T177,請求Data!$I$11:$AR$160,請求Data!$AM$10-請求Data!$H$10,0))</f>
        <v/>
      </c>
      <c r="T177" s="467" t="str">
        <f>IF(ISNA(MATCH($H177,請求Data!$AH$11:$AH$160,0)),"",VLOOKUP($H177,請求Data!$AH$11:$AR$160,請求Data!$AK$10-請求Data!$AG$10,0))</f>
        <v/>
      </c>
      <c r="U177" s="468"/>
    </row>
    <row r="178" spans="1:21" s="32" customFormat="1" ht="15" customHeight="1">
      <c r="A178" s="58" t="str">
        <f>IF($Q178="","",MAX($A$8:$A177)+1)</f>
        <v/>
      </c>
      <c r="B178" s="614" t="str">
        <f t="shared" si="19"/>
        <v/>
      </c>
      <c r="C178" s="614" t="str">
        <f t="shared" si="21"/>
        <v/>
      </c>
      <c r="D178" s="614" t="str">
        <f t="shared" si="22"/>
        <v/>
      </c>
      <c r="E178" s="615" t="str">
        <f t="shared" si="23"/>
        <v/>
      </c>
      <c r="F178" s="616" t="str">
        <f>IF($H178="","",IF(ISNA(MATCH($H178,$H$7:$H177,0)),1,0))</f>
        <v/>
      </c>
      <c r="G178" s="249"/>
      <c r="H178" s="95"/>
      <c r="I178" s="597" t="str">
        <f>IF($J178="","",INDEX(ﾏｽﾀ!$E$8:$E$124,MATCH(INDEX(ﾏｽﾀ!$N$8:$N$124,MATCH($J178,ﾏｽﾀ!$O$8:$O$124,0)),ﾏｽﾀ!$B$8:$B$124,0))&amp;"")</f>
        <v/>
      </c>
      <c r="J178" s="534"/>
      <c r="K178" s="598" t="str">
        <f>IF($J178="","",INDEX(ﾏｽﾀ!$G$8:$G$124,MATCH(INDEX(ﾏｽﾀ!$N$8:$N$124,MATCH($J178,ﾏｽﾀ!$O$8:$O$124,0)),ﾏｽﾀ!$B$8:$B$124,0))&amp;"")</f>
        <v/>
      </c>
      <c r="L178" s="599" t="str">
        <f>IF($M178="","",INDEX(ﾏｽﾀ!$T$8:$T$16,MATCH($M178,ﾏｽﾀ!$U$8:$U$16,0))&amp;"")</f>
        <v/>
      </c>
      <c r="M178" s="534"/>
      <c r="N178" s="463"/>
      <c r="O178" s="464"/>
      <c r="P178" s="465"/>
      <c r="Q178" s="466" t="str">
        <f t="shared" si="20"/>
        <v/>
      </c>
      <c r="R178" s="154" t="str">
        <f>IF($T178="","",VLOOKUP($T178,請求Data!$I$11:$AR$160,請求Data!$AL$10-請求Data!$H$10,0))</f>
        <v/>
      </c>
      <c r="S178" s="155" t="str">
        <f>IF($T178="","",VLOOKUP($T178,請求Data!$I$11:$AR$160,請求Data!$AM$10-請求Data!$H$10,0))</f>
        <v/>
      </c>
      <c r="T178" s="467" t="str">
        <f>IF(ISNA(MATCH($H178,請求Data!$AH$11:$AH$160,0)),"",VLOOKUP($H178,請求Data!$AH$11:$AR$160,請求Data!$AK$10-請求Data!$AG$10,0))</f>
        <v/>
      </c>
      <c r="U178" s="468"/>
    </row>
    <row r="179" spans="1:21" s="32" customFormat="1" ht="15" customHeight="1">
      <c r="A179" s="58" t="str">
        <f>IF($Q179="","",MAX($A$8:$A178)+1)</f>
        <v/>
      </c>
      <c r="B179" s="614" t="str">
        <f t="shared" si="19"/>
        <v/>
      </c>
      <c r="C179" s="614" t="str">
        <f t="shared" si="21"/>
        <v/>
      </c>
      <c r="D179" s="614" t="str">
        <f t="shared" si="22"/>
        <v/>
      </c>
      <c r="E179" s="615" t="str">
        <f t="shared" si="23"/>
        <v/>
      </c>
      <c r="F179" s="616" t="str">
        <f>IF($H179="","",IF(ISNA(MATCH($H179,$H$7:$H178,0)),1,0))</f>
        <v/>
      </c>
      <c r="G179" s="249"/>
      <c r="H179" s="95"/>
      <c r="I179" s="597" t="str">
        <f>IF($J179="","",INDEX(ﾏｽﾀ!$E$8:$E$124,MATCH(INDEX(ﾏｽﾀ!$N$8:$N$124,MATCH($J179,ﾏｽﾀ!$O$8:$O$124,0)),ﾏｽﾀ!$B$8:$B$124,0))&amp;"")</f>
        <v/>
      </c>
      <c r="J179" s="534"/>
      <c r="K179" s="598" t="str">
        <f>IF($J179="","",INDEX(ﾏｽﾀ!$G$8:$G$124,MATCH(INDEX(ﾏｽﾀ!$N$8:$N$124,MATCH($J179,ﾏｽﾀ!$O$8:$O$124,0)),ﾏｽﾀ!$B$8:$B$124,0))&amp;"")</f>
        <v/>
      </c>
      <c r="L179" s="599" t="str">
        <f>IF($M179="","",INDEX(ﾏｽﾀ!$T$8:$T$16,MATCH($M179,ﾏｽﾀ!$U$8:$U$16,0))&amp;"")</f>
        <v/>
      </c>
      <c r="M179" s="534"/>
      <c r="N179" s="463"/>
      <c r="O179" s="464"/>
      <c r="P179" s="465"/>
      <c r="Q179" s="466" t="str">
        <f t="shared" si="20"/>
        <v/>
      </c>
      <c r="R179" s="154" t="str">
        <f>IF($T179="","",VLOOKUP($T179,請求Data!$I$11:$AR$160,請求Data!$AL$10-請求Data!$H$10,0))</f>
        <v/>
      </c>
      <c r="S179" s="155" t="str">
        <f>IF($T179="","",VLOOKUP($T179,請求Data!$I$11:$AR$160,請求Data!$AM$10-請求Data!$H$10,0))</f>
        <v/>
      </c>
      <c r="T179" s="467" t="str">
        <f>IF(ISNA(MATCH($H179,請求Data!$AH$11:$AH$160,0)),"",VLOOKUP($H179,請求Data!$AH$11:$AR$160,請求Data!$AK$10-請求Data!$AG$10,0))</f>
        <v/>
      </c>
      <c r="U179" s="468"/>
    </row>
    <row r="180" spans="1:21" s="32" customFormat="1" ht="15" customHeight="1">
      <c r="A180" s="58" t="str">
        <f>IF($Q180="","",MAX($A$8:$A179)+1)</f>
        <v/>
      </c>
      <c r="B180" s="614" t="str">
        <f t="shared" si="19"/>
        <v/>
      </c>
      <c r="C180" s="614" t="str">
        <f t="shared" si="21"/>
        <v/>
      </c>
      <c r="D180" s="614" t="str">
        <f t="shared" si="22"/>
        <v/>
      </c>
      <c r="E180" s="615" t="str">
        <f t="shared" si="23"/>
        <v/>
      </c>
      <c r="F180" s="616" t="str">
        <f>IF($H180="","",IF(ISNA(MATCH($H180,$H$7:$H179,0)),1,0))</f>
        <v/>
      </c>
      <c r="G180" s="249"/>
      <c r="H180" s="95"/>
      <c r="I180" s="597" t="str">
        <f>IF($J180="","",INDEX(ﾏｽﾀ!$E$8:$E$124,MATCH(INDEX(ﾏｽﾀ!$N$8:$N$124,MATCH($J180,ﾏｽﾀ!$O$8:$O$124,0)),ﾏｽﾀ!$B$8:$B$124,0))&amp;"")</f>
        <v/>
      </c>
      <c r="J180" s="534"/>
      <c r="K180" s="598" t="str">
        <f>IF($J180="","",INDEX(ﾏｽﾀ!$G$8:$G$124,MATCH(INDEX(ﾏｽﾀ!$N$8:$N$124,MATCH($J180,ﾏｽﾀ!$O$8:$O$124,0)),ﾏｽﾀ!$B$8:$B$124,0))&amp;"")</f>
        <v/>
      </c>
      <c r="L180" s="599" t="str">
        <f>IF($M180="","",INDEX(ﾏｽﾀ!$T$8:$T$16,MATCH($M180,ﾏｽﾀ!$U$8:$U$16,0))&amp;"")</f>
        <v/>
      </c>
      <c r="M180" s="534"/>
      <c r="N180" s="463"/>
      <c r="O180" s="464"/>
      <c r="P180" s="465"/>
      <c r="Q180" s="466" t="str">
        <f t="shared" si="20"/>
        <v/>
      </c>
      <c r="R180" s="154" t="str">
        <f>IF($T180="","",VLOOKUP($T180,請求Data!$I$11:$AR$160,請求Data!$AL$10-請求Data!$H$10,0))</f>
        <v/>
      </c>
      <c r="S180" s="155" t="str">
        <f>IF($T180="","",VLOOKUP($T180,請求Data!$I$11:$AR$160,請求Data!$AM$10-請求Data!$H$10,0))</f>
        <v/>
      </c>
      <c r="T180" s="467" t="str">
        <f>IF(ISNA(MATCH($H180,請求Data!$AH$11:$AH$160,0)),"",VLOOKUP($H180,請求Data!$AH$11:$AR$160,請求Data!$AK$10-請求Data!$AG$10,0))</f>
        <v/>
      </c>
      <c r="U180" s="468"/>
    </row>
    <row r="181" spans="1:21" s="32" customFormat="1" ht="15" customHeight="1">
      <c r="A181" s="58" t="str">
        <f>IF($Q181="","",MAX($A$8:$A180)+1)</f>
        <v/>
      </c>
      <c r="B181" s="614" t="str">
        <f t="shared" si="19"/>
        <v/>
      </c>
      <c r="C181" s="614" t="str">
        <f t="shared" si="21"/>
        <v/>
      </c>
      <c r="D181" s="614" t="str">
        <f t="shared" si="22"/>
        <v/>
      </c>
      <c r="E181" s="615" t="str">
        <f t="shared" si="23"/>
        <v/>
      </c>
      <c r="F181" s="616" t="str">
        <f>IF($H181="","",IF(ISNA(MATCH($H181,$H$7:$H180,0)),1,0))</f>
        <v/>
      </c>
      <c r="G181" s="249"/>
      <c r="H181" s="95"/>
      <c r="I181" s="597" t="str">
        <f>IF($J181="","",INDEX(ﾏｽﾀ!$E$8:$E$124,MATCH(INDEX(ﾏｽﾀ!$N$8:$N$124,MATCH($J181,ﾏｽﾀ!$O$8:$O$124,0)),ﾏｽﾀ!$B$8:$B$124,0))&amp;"")</f>
        <v/>
      </c>
      <c r="J181" s="534"/>
      <c r="K181" s="598" t="str">
        <f>IF($J181="","",INDEX(ﾏｽﾀ!$G$8:$G$124,MATCH(INDEX(ﾏｽﾀ!$N$8:$N$124,MATCH($J181,ﾏｽﾀ!$O$8:$O$124,0)),ﾏｽﾀ!$B$8:$B$124,0))&amp;"")</f>
        <v/>
      </c>
      <c r="L181" s="599" t="str">
        <f>IF($M181="","",INDEX(ﾏｽﾀ!$T$8:$T$16,MATCH($M181,ﾏｽﾀ!$U$8:$U$16,0))&amp;"")</f>
        <v/>
      </c>
      <c r="M181" s="534"/>
      <c r="N181" s="463"/>
      <c r="O181" s="464"/>
      <c r="P181" s="465"/>
      <c r="Q181" s="466" t="str">
        <f t="shared" si="20"/>
        <v/>
      </c>
      <c r="R181" s="154" t="str">
        <f>IF($T181="","",VLOOKUP($T181,請求Data!$I$11:$AR$160,請求Data!$AL$10-請求Data!$H$10,0))</f>
        <v/>
      </c>
      <c r="S181" s="155" t="str">
        <f>IF($T181="","",VLOOKUP($T181,請求Data!$I$11:$AR$160,請求Data!$AM$10-請求Data!$H$10,0))</f>
        <v/>
      </c>
      <c r="T181" s="467" t="str">
        <f>IF(ISNA(MATCH($H181,請求Data!$AH$11:$AH$160,0)),"",VLOOKUP($H181,請求Data!$AH$11:$AR$160,請求Data!$AK$10-請求Data!$AG$10,0))</f>
        <v/>
      </c>
      <c r="U181" s="468"/>
    </row>
    <row r="182" spans="1:21" s="32" customFormat="1" ht="15" customHeight="1">
      <c r="A182" s="58" t="str">
        <f>IF($Q182="","",MAX($A$8:$A181)+1)</f>
        <v/>
      </c>
      <c r="B182" s="614" t="str">
        <f t="shared" si="19"/>
        <v/>
      </c>
      <c r="C182" s="614" t="str">
        <f t="shared" si="21"/>
        <v/>
      </c>
      <c r="D182" s="614" t="str">
        <f t="shared" si="22"/>
        <v/>
      </c>
      <c r="E182" s="615" t="str">
        <f t="shared" si="23"/>
        <v/>
      </c>
      <c r="F182" s="616" t="str">
        <f>IF($H182="","",IF(ISNA(MATCH($H182,$H$7:$H181,0)),1,0))</f>
        <v/>
      </c>
      <c r="G182" s="249"/>
      <c r="H182" s="95"/>
      <c r="I182" s="597" t="str">
        <f>IF($J182="","",INDEX(ﾏｽﾀ!$E$8:$E$124,MATCH(INDEX(ﾏｽﾀ!$N$8:$N$124,MATCH($J182,ﾏｽﾀ!$O$8:$O$124,0)),ﾏｽﾀ!$B$8:$B$124,0))&amp;"")</f>
        <v/>
      </c>
      <c r="J182" s="534"/>
      <c r="K182" s="598" t="str">
        <f>IF($J182="","",INDEX(ﾏｽﾀ!$G$8:$G$124,MATCH(INDEX(ﾏｽﾀ!$N$8:$N$124,MATCH($J182,ﾏｽﾀ!$O$8:$O$124,0)),ﾏｽﾀ!$B$8:$B$124,0))&amp;"")</f>
        <v/>
      </c>
      <c r="L182" s="599" t="str">
        <f>IF($M182="","",INDEX(ﾏｽﾀ!$T$8:$T$16,MATCH($M182,ﾏｽﾀ!$U$8:$U$16,0))&amp;"")</f>
        <v/>
      </c>
      <c r="M182" s="534"/>
      <c r="N182" s="463"/>
      <c r="O182" s="464"/>
      <c r="P182" s="465"/>
      <c r="Q182" s="466" t="str">
        <f t="shared" si="20"/>
        <v/>
      </c>
      <c r="R182" s="154" t="str">
        <f>IF($T182="","",VLOOKUP($T182,請求Data!$I$11:$AR$160,請求Data!$AL$10-請求Data!$H$10,0))</f>
        <v/>
      </c>
      <c r="S182" s="155" t="str">
        <f>IF($T182="","",VLOOKUP($T182,請求Data!$I$11:$AR$160,請求Data!$AM$10-請求Data!$H$10,0))</f>
        <v/>
      </c>
      <c r="T182" s="467" t="str">
        <f>IF(ISNA(MATCH($H182,請求Data!$AH$11:$AH$160,0)),"",VLOOKUP($H182,請求Data!$AH$11:$AR$160,請求Data!$AK$10-請求Data!$AG$10,0))</f>
        <v/>
      </c>
      <c r="U182" s="468"/>
    </row>
    <row r="183" spans="1:21" s="32" customFormat="1" ht="15" customHeight="1">
      <c r="A183" s="58" t="str">
        <f>IF($Q183="","",MAX($A$8:$A182)+1)</f>
        <v/>
      </c>
      <c r="B183" s="614" t="str">
        <f t="shared" si="19"/>
        <v/>
      </c>
      <c r="C183" s="614" t="str">
        <f t="shared" si="21"/>
        <v/>
      </c>
      <c r="D183" s="614" t="str">
        <f t="shared" si="22"/>
        <v/>
      </c>
      <c r="E183" s="615" t="str">
        <f t="shared" si="23"/>
        <v/>
      </c>
      <c r="F183" s="616" t="str">
        <f>IF($H183="","",IF(ISNA(MATCH($H183,$H$7:$H182,0)),1,0))</f>
        <v/>
      </c>
      <c r="G183" s="249"/>
      <c r="H183" s="95"/>
      <c r="I183" s="597" t="str">
        <f>IF($J183="","",INDEX(ﾏｽﾀ!$E$8:$E$124,MATCH(INDEX(ﾏｽﾀ!$N$8:$N$124,MATCH($J183,ﾏｽﾀ!$O$8:$O$124,0)),ﾏｽﾀ!$B$8:$B$124,0))&amp;"")</f>
        <v/>
      </c>
      <c r="J183" s="534"/>
      <c r="K183" s="598" t="str">
        <f>IF($J183="","",INDEX(ﾏｽﾀ!$G$8:$G$124,MATCH(INDEX(ﾏｽﾀ!$N$8:$N$124,MATCH($J183,ﾏｽﾀ!$O$8:$O$124,0)),ﾏｽﾀ!$B$8:$B$124,0))&amp;"")</f>
        <v/>
      </c>
      <c r="L183" s="599" t="str">
        <f>IF($M183="","",INDEX(ﾏｽﾀ!$T$8:$T$16,MATCH($M183,ﾏｽﾀ!$U$8:$U$16,0))&amp;"")</f>
        <v/>
      </c>
      <c r="M183" s="534"/>
      <c r="N183" s="463"/>
      <c r="O183" s="464"/>
      <c r="P183" s="465"/>
      <c r="Q183" s="466" t="str">
        <f t="shared" si="20"/>
        <v/>
      </c>
      <c r="R183" s="154" t="str">
        <f>IF($T183="","",VLOOKUP($T183,請求Data!$I$11:$AR$160,請求Data!$AL$10-請求Data!$H$10,0))</f>
        <v/>
      </c>
      <c r="S183" s="155" t="str">
        <f>IF($T183="","",VLOOKUP($T183,請求Data!$I$11:$AR$160,請求Data!$AM$10-請求Data!$H$10,0))</f>
        <v/>
      </c>
      <c r="T183" s="467" t="str">
        <f>IF(ISNA(MATCH($H183,請求Data!$AH$11:$AH$160,0)),"",VLOOKUP($H183,請求Data!$AH$11:$AR$160,請求Data!$AK$10-請求Data!$AG$10,0))</f>
        <v/>
      </c>
      <c r="U183" s="468"/>
    </row>
    <row r="184" spans="1:21" s="32" customFormat="1" ht="15" customHeight="1">
      <c r="A184" s="58" t="str">
        <f>IF($Q184="","",MAX($A$8:$A183)+1)</f>
        <v/>
      </c>
      <c r="B184" s="614" t="str">
        <f t="shared" si="19"/>
        <v/>
      </c>
      <c r="C184" s="614" t="str">
        <f t="shared" si="21"/>
        <v/>
      </c>
      <c r="D184" s="614" t="str">
        <f t="shared" si="22"/>
        <v/>
      </c>
      <c r="E184" s="615" t="str">
        <f t="shared" si="23"/>
        <v/>
      </c>
      <c r="F184" s="616" t="str">
        <f>IF($H184="","",IF(ISNA(MATCH($H184,$H$7:$H183,0)),1,0))</f>
        <v/>
      </c>
      <c r="G184" s="249"/>
      <c r="H184" s="95"/>
      <c r="I184" s="597" t="str">
        <f>IF($J184="","",INDEX(ﾏｽﾀ!$E$8:$E$124,MATCH(INDEX(ﾏｽﾀ!$N$8:$N$124,MATCH($J184,ﾏｽﾀ!$O$8:$O$124,0)),ﾏｽﾀ!$B$8:$B$124,0))&amp;"")</f>
        <v/>
      </c>
      <c r="J184" s="534"/>
      <c r="K184" s="598" t="str">
        <f>IF($J184="","",INDEX(ﾏｽﾀ!$G$8:$G$124,MATCH(INDEX(ﾏｽﾀ!$N$8:$N$124,MATCH($J184,ﾏｽﾀ!$O$8:$O$124,0)),ﾏｽﾀ!$B$8:$B$124,0))&amp;"")</f>
        <v/>
      </c>
      <c r="L184" s="599" t="str">
        <f>IF($M184="","",INDEX(ﾏｽﾀ!$T$8:$T$16,MATCH($M184,ﾏｽﾀ!$U$8:$U$16,0))&amp;"")</f>
        <v/>
      </c>
      <c r="M184" s="534"/>
      <c r="N184" s="463"/>
      <c r="O184" s="464"/>
      <c r="P184" s="465"/>
      <c r="Q184" s="466" t="str">
        <f t="shared" si="20"/>
        <v/>
      </c>
      <c r="R184" s="154" t="str">
        <f>IF($T184="","",VLOOKUP($T184,請求Data!$I$11:$AR$160,請求Data!$AL$10-請求Data!$H$10,0))</f>
        <v/>
      </c>
      <c r="S184" s="155" t="str">
        <f>IF($T184="","",VLOOKUP($T184,請求Data!$I$11:$AR$160,請求Data!$AM$10-請求Data!$H$10,0))</f>
        <v/>
      </c>
      <c r="T184" s="467" t="str">
        <f>IF(ISNA(MATCH($H184,請求Data!$AH$11:$AH$160,0)),"",VLOOKUP($H184,請求Data!$AH$11:$AR$160,請求Data!$AK$10-請求Data!$AG$10,0))</f>
        <v/>
      </c>
      <c r="U184" s="468"/>
    </row>
    <row r="185" spans="1:21" s="32" customFormat="1" ht="15" customHeight="1">
      <c r="A185" s="58" t="str">
        <f>IF($Q185="","",MAX($A$8:$A184)+1)</f>
        <v/>
      </c>
      <c r="B185" s="614" t="str">
        <f t="shared" si="19"/>
        <v/>
      </c>
      <c r="C185" s="614" t="str">
        <f t="shared" si="21"/>
        <v/>
      </c>
      <c r="D185" s="614" t="str">
        <f t="shared" si="22"/>
        <v/>
      </c>
      <c r="E185" s="615" t="str">
        <f t="shared" si="23"/>
        <v/>
      </c>
      <c r="F185" s="616" t="str">
        <f>IF($H185="","",IF(ISNA(MATCH($H185,$H$7:$H184,0)),1,0))</f>
        <v/>
      </c>
      <c r="G185" s="249"/>
      <c r="H185" s="95"/>
      <c r="I185" s="597" t="str">
        <f>IF($J185="","",INDEX(ﾏｽﾀ!$E$8:$E$124,MATCH(INDEX(ﾏｽﾀ!$N$8:$N$124,MATCH($J185,ﾏｽﾀ!$O$8:$O$124,0)),ﾏｽﾀ!$B$8:$B$124,0))&amp;"")</f>
        <v/>
      </c>
      <c r="J185" s="534"/>
      <c r="K185" s="598" t="str">
        <f>IF($J185="","",INDEX(ﾏｽﾀ!$G$8:$G$124,MATCH(INDEX(ﾏｽﾀ!$N$8:$N$124,MATCH($J185,ﾏｽﾀ!$O$8:$O$124,0)),ﾏｽﾀ!$B$8:$B$124,0))&amp;"")</f>
        <v/>
      </c>
      <c r="L185" s="599" t="str">
        <f>IF($M185="","",INDEX(ﾏｽﾀ!$T$8:$T$16,MATCH($M185,ﾏｽﾀ!$U$8:$U$16,0))&amp;"")</f>
        <v/>
      </c>
      <c r="M185" s="534"/>
      <c r="N185" s="463"/>
      <c r="O185" s="464"/>
      <c r="P185" s="465"/>
      <c r="Q185" s="466" t="str">
        <f t="shared" si="20"/>
        <v/>
      </c>
      <c r="R185" s="154" t="str">
        <f>IF($T185="","",VLOOKUP($T185,請求Data!$I$11:$AR$160,請求Data!$AL$10-請求Data!$H$10,0))</f>
        <v/>
      </c>
      <c r="S185" s="155" t="str">
        <f>IF($T185="","",VLOOKUP($T185,請求Data!$I$11:$AR$160,請求Data!$AM$10-請求Data!$H$10,0))</f>
        <v/>
      </c>
      <c r="T185" s="467" t="str">
        <f>IF(ISNA(MATCH($H185,請求Data!$AH$11:$AH$160,0)),"",VLOOKUP($H185,請求Data!$AH$11:$AR$160,請求Data!$AK$10-請求Data!$AG$10,0))</f>
        <v/>
      </c>
      <c r="U185" s="468"/>
    </row>
    <row r="186" spans="1:21" s="32" customFormat="1" ht="15" customHeight="1">
      <c r="A186" s="58" t="str">
        <f>IF($Q186="","",MAX($A$8:$A185)+1)</f>
        <v/>
      </c>
      <c r="B186" s="614" t="str">
        <f t="shared" si="19"/>
        <v/>
      </c>
      <c r="C186" s="614" t="str">
        <f t="shared" si="21"/>
        <v/>
      </c>
      <c r="D186" s="614" t="str">
        <f t="shared" si="22"/>
        <v/>
      </c>
      <c r="E186" s="615" t="str">
        <f t="shared" si="23"/>
        <v/>
      </c>
      <c r="F186" s="616" t="str">
        <f>IF($H186="","",IF(ISNA(MATCH($H186,$H$7:$H185,0)),1,0))</f>
        <v/>
      </c>
      <c r="G186" s="249"/>
      <c r="H186" s="95"/>
      <c r="I186" s="597" t="str">
        <f>IF($J186="","",INDEX(ﾏｽﾀ!$E$8:$E$124,MATCH(INDEX(ﾏｽﾀ!$N$8:$N$124,MATCH($J186,ﾏｽﾀ!$O$8:$O$124,0)),ﾏｽﾀ!$B$8:$B$124,0))&amp;"")</f>
        <v/>
      </c>
      <c r="J186" s="534"/>
      <c r="K186" s="598" t="str">
        <f>IF($J186="","",INDEX(ﾏｽﾀ!$G$8:$G$124,MATCH(INDEX(ﾏｽﾀ!$N$8:$N$124,MATCH($J186,ﾏｽﾀ!$O$8:$O$124,0)),ﾏｽﾀ!$B$8:$B$124,0))&amp;"")</f>
        <v/>
      </c>
      <c r="L186" s="599" t="str">
        <f>IF($M186="","",INDEX(ﾏｽﾀ!$T$8:$T$16,MATCH($M186,ﾏｽﾀ!$U$8:$U$16,0))&amp;"")</f>
        <v/>
      </c>
      <c r="M186" s="534"/>
      <c r="N186" s="463"/>
      <c r="O186" s="464"/>
      <c r="P186" s="465"/>
      <c r="Q186" s="466" t="str">
        <f t="shared" si="20"/>
        <v/>
      </c>
      <c r="R186" s="154" t="str">
        <f>IF($T186="","",VLOOKUP($T186,請求Data!$I$11:$AR$160,請求Data!$AL$10-請求Data!$H$10,0))</f>
        <v/>
      </c>
      <c r="S186" s="155" t="str">
        <f>IF($T186="","",VLOOKUP($T186,請求Data!$I$11:$AR$160,請求Data!$AM$10-請求Data!$H$10,0))</f>
        <v/>
      </c>
      <c r="T186" s="467" t="str">
        <f>IF(ISNA(MATCH($H186,請求Data!$AH$11:$AH$160,0)),"",VLOOKUP($H186,請求Data!$AH$11:$AR$160,請求Data!$AK$10-請求Data!$AG$10,0))</f>
        <v/>
      </c>
      <c r="U186" s="468"/>
    </row>
    <row r="187" spans="1:21" s="32" customFormat="1" ht="15" customHeight="1">
      <c r="A187" s="58" t="str">
        <f>IF($Q187="","",MAX($A$8:$A186)+1)</f>
        <v/>
      </c>
      <c r="B187" s="614" t="str">
        <f t="shared" si="19"/>
        <v/>
      </c>
      <c r="C187" s="614" t="str">
        <f t="shared" si="21"/>
        <v/>
      </c>
      <c r="D187" s="614" t="str">
        <f t="shared" si="22"/>
        <v/>
      </c>
      <c r="E187" s="615" t="str">
        <f t="shared" si="23"/>
        <v/>
      </c>
      <c r="F187" s="616" t="str">
        <f>IF($H187="","",IF(ISNA(MATCH($H187,$H$7:$H186,0)),1,0))</f>
        <v/>
      </c>
      <c r="G187" s="249"/>
      <c r="H187" s="95"/>
      <c r="I187" s="597" t="str">
        <f>IF($J187="","",INDEX(ﾏｽﾀ!$E$8:$E$124,MATCH(INDEX(ﾏｽﾀ!$N$8:$N$124,MATCH($J187,ﾏｽﾀ!$O$8:$O$124,0)),ﾏｽﾀ!$B$8:$B$124,0))&amp;"")</f>
        <v/>
      </c>
      <c r="J187" s="534"/>
      <c r="K187" s="598" t="str">
        <f>IF($J187="","",INDEX(ﾏｽﾀ!$G$8:$G$124,MATCH(INDEX(ﾏｽﾀ!$N$8:$N$124,MATCH($J187,ﾏｽﾀ!$O$8:$O$124,0)),ﾏｽﾀ!$B$8:$B$124,0))&amp;"")</f>
        <v/>
      </c>
      <c r="L187" s="599" t="str">
        <f>IF($M187="","",INDEX(ﾏｽﾀ!$T$8:$T$16,MATCH($M187,ﾏｽﾀ!$U$8:$U$16,0))&amp;"")</f>
        <v/>
      </c>
      <c r="M187" s="534"/>
      <c r="N187" s="463"/>
      <c r="O187" s="464"/>
      <c r="P187" s="465"/>
      <c r="Q187" s="466" t="str">
        <f t="shared" si="20"/>
        <v/>
      </c>
      <c r="R187" s="154" t="str">
        <f>IF($T187="","",VLOOKUP($T187,請求Data!$I$11:$AR$160,請求Data!$AL$10-請求Data!$H$10,0))</f>
        <v/>
      </c>
      <c r="S187" s="155" t="str">
        <f>IF($T187="","",VLOOKUP($T187,請求Data!$I$11:$AR$160,請求Data!$AM$10-請求Data!$H$10,0))</f>
        <v/>
      </c>
      <c r="T187" s="467" t="str">
        <f>IF(ISNA(MATCH($H187,請求Data!$AH$11:$AH$160,0)),"",VLOOKUP($H187,請求Data!$AH$11:$AR$160,請求Data!$AK$10-請求Data!$AG$10,0))</f>
        <v/>
      </c>
      <c r="U187" s="468"/>
    </row>
    <row r="188" spans="1:21" s="32" customFormat="1" ht="15" customHeight="1">
      <c r="A188" s="58" t="str">
        <f>IF($Q188="","",MAX($A$8:$A187)+1)</f>
        <v/>
      </c>
      <c r="B188" s="614" t="str">
        <f t="shared" si="19"/>
        <v/>
      </c>
      <c r="C188" s="614" t="str">
        <f t="shared" si="21"/>
        <v/>
      </c>
      <c r="D188" s="614" t="str">
        <f t="shared" si="22"/>
        <v/>
      </c>
      <c r="E188" s="615" t="str">
        <f t="shared" si="23"/>
        <v/>
      </c>
      <c r="F188" s="616" t="str">
        <f>IF($H188="","",IF(ISNA(MATCH($H188,$H$7:$H187,0)),1,0))</f>
        <v/>
      </c>
      <c r="G188" s="249"/>
      <c r="H188" s="95"/>
      <c r="I188" s="597" t="str">
        <f>IF($J188="","",INDEX(ﾏｽﾀ!$E$8:$E$124,MATCH(INDEX(ﾏｽﾀ!$N$8:$N$124,MATCH($J188,ﾏｽﾀ!$O$8:$O$124,0)),ﾏｽﾀ!$B$8:$B$124,0))&amp;"")</f>
        <v/>
      </c>
      <c r="J188" s="534"/>
      <c r="K188" s="598" t="str">
        <f>IF($J188="","",INDEX(ﾏｽﾀ!$G$8:$G$124,MATCH(INDEX(ﾏｽﾀ!$N$8:$N$124,MATCH($J188,ﾏｽﾀ!$O$8:$O$124,0)),ﾏｽﾀ!$B$8:$B$124,0))&amp;"")</f>
        <v/>
      </c>
      <c r="L188" s="599" t="str">
        <f>IF($M188="","",INDEX(ﾏｽﾀ!$T$8:$T$16,MATCH($M188,ﾏｽﾀ!$U$8:$U$16,0))&amp;"")</f>
        <v/>
      </c>
      <c r="M188" s="534"/>
      <c r="N188" s="463"/>
      <c r="O188" s="464"/>
      <c r="P188" s="465"/>
      <c r="Q188" s="466" t="str">
        <f t="shared" si="20"/>
        <v/>
      </c>
      <c r="R188" s="154" t="str">
        <f>IF($T188="","",VLOOKUP($T188,請求Data!$I$11:$AR$160,請求Data!$AL$10-請求Data!$H$10,0))</f>
        <v/>
      </c>
      <c r="S188" s="155" t="str">
        <f>IF($T188="","",VLOOKUP($T188,請求Data!$I$11:$AR$160,請求Data!$AM$10-請求Data!$H$10,0))</f>
        <v/>
      </c>
      <c r="T188" s="467" t="str">
        <f>IF(ISNA(MATCH($H188,請求Data!$AH$11:$AH$160,0)),"",VLOOKUP($H188,請求Data!$AH$11:$AR$160,請求Data!$AK$10-請求Data!$AG$10,0))</f>
        <v/>
      </c>
      <c r="U188" s="468"/>
    </row>
    <row r="189" spans="1:21" s="32" customFormat="1" ht="15" customHeight="1">
      <c r="A189" s="58" t="str">
        <f>IF($Q189="","",MAX($A$8:$A188)+1)</f>
        <v/>
      </c>
      <c r="B189" s="614" t="str">
        <f t="shared" si="19"/>
        <v/>
      </c>
      <c r="C189" s="614" t="str">
        <f t="shared" si="21"/>
        <v/>
      </c>
      <c r="D189" s="614" t="str">
        <f t="shared" si="22"/>
        <v/>
      </c>
      <c r="E189" s="615" t="str">
        <f t="shared" si="23"/>
        <v/>
      </c>
      <c r="F189" s="616" t="str">
        <f>IF($H189="","",IF(ISNA(MATCH($H189,$H$7:$H188,0)),1,0))</f>
        <v/>
      </c>
      <c r="G189" s="249"/>
      <c r="H189" s="95"/>
      <c r="I189" s="597" t="str">
        <f>IF($J189="","",INDEX(ﾏｽﾀ!$E$8:$E$124,MATCH(INDEX(ﾏｽﾀ!$N$8:$N$124,MATCH($J189,ﾏｽﾀ!$O$8:$O$124,0)),ﾏｽﾀ!$B$8:$B$124,0))&amp;"")</f>
        <v/>
      </c>
      <c r="J189" s="534"/>
      <c r="K189" s="598" t="str">
        <f>IF($J189="","",INDEX(ﾏｽﾀ!$G$8:$G$124,MATCH(INDEX(ﾏｽﾀ!$N$8:$N$124,MATCH($J189,ﾏｽﾀ!$O$8:$O$124,0)),ﾏｽﾀ!$B$8:$B$124,0))&amp;"")</f>
        <v/>
      </c>
      <c r="L189" s="599" t="str">
        <f>IF($M189="","",INDEX(ﾏｽﾀ!$T$8:$T$16,MATCH($M189,ﾏｽﾀ!$U$8:$U$16,0))&amp;"")</f>
        <v/>
      </c>
      <c r="M189" s="534"/>
      <c r="N189" s="463"/>
      <c r="O189" s="464"/>
      <c r="P189" s="465"/>
      <c r="Q189" s="466" t="str">
        <f t="shared" si="20"/>
        <v/>
      </c>
      <c r="R189" s="154" t="str">
        <f>IF($T189="","",VLOOKUP($T189,請求Data!$I$11:$AR$160,請求Data!$AL$10-請求Data!$H$10,0))</f>
        <v/>
      </c>
      <c r="S189" s="155" t="str">
        <f>IF($T189="","",VLOOKUP($T189,請求Data!$I$11:$AR$160,請求Data!$AM$10-請求Data!$H$10,0))</f>
        <v/>
      </c>
      <c r="T189" s="467" t="str">
        <f>IF(ISNA(MATCH($H189,請求Data!$AH$11:$AH$160,0)),"",VLOOKUP($H189,請求Data!$AH$11:$AR$160,請求Data!$AK$10-請求Data!$AG$10,0))</f>
        <v/>
      </c>
      <c r="U189" s="468"/>
    </row>
    <row r="190" spans="1:21" s="32" customFormat="1" ht="15" customHeight="1">
      <c r="A190" s="58" t="str">
        <f>IF($Q190="","",MAX($A$8:$A189)+1)</f>
        <v/>
      </c>
      <c r="B190" s="614" t="str">
        <f t="shared" si="19"/>
        <v/>
      </c>
      <c r="C190" s="614" t="str">
        <f t="shared" si="21"/>
        <v/>
      </c>
      <c r="D190" s="614" t="str">
        <f t="shared" si="22"/>
        <v/>
      </c>
      <c r="E190" s="615" t="str">
        <f t="shared" si="23"/>
        <v/>
      </c>
      <c r="F190" s="616" t="str">
        <f>IF($H190="","",IF(ISNA(MATCH($H190,$H$7:$H189,0)),1,0))</f>
        <v/>
      </c>
      <c r="G190" s="249"/>
      <c r="H190" s="95"/>
      <c r="I190" s="597" t="str">
        <f>IF($J190="","",INDEX(ﾏｽﾀ!$E$8:$E$124,MATCH(INDEX(ﾏｽﾀ!$N$8:$N$124,MATCH($J190,ﾏｽﾀ!$O$8:$O$124,0)),ﾏｽﾀ!$B$8:$B$124,0))&amp;"")</f>
        <v/>
      </c>
      <c r="J190" s="534"/>
      <c r="K190" s="598" t="str">
        <f>IF($J190="","",INDEX(ﾏｽﾀ!$G$8:$G$124,MATCH(INDEX(ﾏｽﾀ!$N$8:$N$124,MATCH($J190,ﾏｽﾀ!$O$8:$O$124,0)),ﾏｽﾀ!$B$8:$B$124,0))&amp;"")</f>
        <v/>
      </c>
      <c r="L190" s="599" t="str">
        <f>IF($M190="","",INDEX(ﾏｽﾀ!$T$8:$T$16,MATCH($M190,ﾏｽﾀ!$U$8:$U$16,0))&amp;"")</f>
        <v/>
      </c>
      <c r="M190" s="534"/>
      <c r="N190" s="463"/>
      <c r="O190" s="464"/>
      <c r="P190" s="465"/>
      <c r="Q190" s="466" t="str">
        <f t="shared" si="20"/>
        <v/>
      </c>
      <c r="R190" s="154" t="str">
        <f>IF($T190="","",VLOOKUP($T190,請求Data!$I$11:$AR$160,請求Data!$AL$10-請求Data!$H$10,0))</f>
        <v/>
      </c>
      <c r="S190" s="155" t="str">
        <f>IF($T190="","",VLOOKUP($T190,請求Data!$I$11:$AR$160,請求Data!$AM$10-請求Data!$H$10,0))</f>
        <v/>
      </c>
      <c r="T190" s="467" t="str">
        <f>IF(ISNA(MATCH($H190,請求Data!$AH$11:$AH$160,0)),"",VLOOKUP($H190,請求Data!$AH$11:$AR$160,請求Data!$AK$10-請求Data!$AG$10,0))</f>
        <v/>
      </c>
      <c r="U190" s="468"/>
    </row>
    <row r="191" spans="1:21" s="32" customFormat="1" ht="15" customHeight="1">
      <c r="A191" s="58" t="str">
        <f>IF($Q191="","",MAX($A$8:$A190)+1)</f>
        <v/>
      </c>
      <c r="B191" s="614" t="str">
        <f t="shared" si="19"/>
        <v/>
      </c>
      <c r="C191" s="614" t="str">
        <f t="shared" si="21"/>
        <v/>
      </c>
      <c r="D191" s="614" t="str">
        <f t="shared" si="22"/>
        <v/>
      </c>
      <c r="E191" s="615" t="str">
        <f t="shared" si="23"/>
        <v/>
      </c>
      <c r="F191" s="616" t="str">
        <f>IF($H191="","",IF(ISNA(MATCH($H191,$H$7:$H190,0)),1,0))</f>
        <v/>
      </c>
      <c r="G191" s="249"/>
      <c r="H191" s="95"/>
      <c r="I191" s="597" t="str">
        <f>IF($J191="","",INDEX(ﾏｽﾀ!$E$8:$E$124,MATCH(INDEX(ﾏｽﾀ!$N$8:$N$124,MATCH($J191,ﾏｽﾀ!$O$8:$O$124,0)),ﾏｽﾀ!$B$8:$B$124,0))&amp;"")</f>
        <v/>
      </c>
      <c r="J191" s="534"/>
      <c r="K191" s="598" t="str">
        <f>IF($J191="","",INDEX(ﾏｽﾀ!$G$8:$G$124,MATCH(INDEX(ﾏｽﾀ!$N$8:$N$124,MATCH($J191,ﾏｽﾀ!$O$8:$O$124,0)),ﾏｽﾀ!$B$8:$B$124,0))&amp;"")</f>
        <v/>
      </c>
      <c r="L191" s="599" t="str">
        <f>IF($M191="","",INDEX(ﾏｽﾀ!$T$8:$T$16,MATCH($M191,ﾏｽﾀ!$U$8:$U$16,0))&amp;"")</f>
        <v/>
      </c>
      <c r="M191" s="534"/>
      <c r="N191" s="463"/>
      <c r="O191" s="464"/>
      <c r="P191" s="465"/>
      <c r="Q191" s="466" t="str">
        <f t="shared" si="20"/>
        <v/>
      </c>
      <c r="R191" s="154" t="str">
        <f>IF($T191="","",VLOOKUP($T191,請求Data!$I$11:$AR$160,請求Data!$AL$10-請求Data!$H$10,0))</f>
        <v/>
      </c>
      <c r="S191" s="155" t="str">
        <f>IF($T191="","",VLOOKUP($T191,請求Data!$I$11:$AR$160,請求Data!$AM$10-請求Data!$H$10,0))</f>
        <v/>
      </c>
      <c r="T191" s="467" t="str">
        <f>IF(ISNA(MATCH($H191,請求Data!$AH$11:$AH$160,0)),"",VLOOKUP($H191,請求Data!$AH$11:$AR$160,請求Data!$AK$10-請求Data!$AG$10,0))</f>
        <v/>
      </c>
      <c r="U191" s="468"/>
    </row>
    <row r="192" spans="1:21" s="32" customFormat="1" ht="15" customHeight="1">
      <c r="A192" s="58" t="str">
        <f>IF($Q192="","",MAX($A$8:$A191)+1)</f>
        <v/>
      </c>
      <c r="B192" s="614" t="str">
        <f t="shared" si="19"/>
        <v/>
      </c>
      <c r="C192" s="614" t="str">
        <f t="shared" si="21"/>
        <v/>
      </c>
      <c r="D192" s="614" t="str">
        <f t="shared" si="22"/>
        <v/>
      </c>
      <c r="E192" s="615" t="str">
        <f t="shared" si="23"/>
        <v/>
      </c>
      <c r="F192" s="616" t="str">
        <f>IF($H192="","",IF(ISNA(MATCH($H192,$H$7:$H191,0)),1,0))</f>
        <v/>
      </c>
      <c r="G192" s="249"/>
      <c r="H192" s="95"/>
      <c r="I192" s="597" t="str">
        <f>IF($J192="","",INDEX(ﾏｽﾀ!$E$8:$E$124,MATCH(INDEX(ﾏｽﾀ!$N$8:$N$124,MATCH($J192,ﾏｽﾀ!$O$8:$O$124,0)),ﾏｽﾀ!$B$8:$B$124,0))&amp;"")</f>
        <v/>
      </c>
      <c r="J192" s="534"/>
      <c r="K192" s="598" t="str">
        <f>IF($J192="","",INDEX(ﾏｽﾀ!$G$8:$G$124,MATCH(INDEX(ﾏｽﾀ!$N$8:$N$124,MATCH($J192,ﾏｽﾀ!$O$8:$O$124,0)),ﾏｽﾀ!$B$8:$B$124,0))&amp;"")</f>
        <v/>
      </c>
      <c r="L192" s="599" t="str">
        <f>IF($M192="","",INDEX(ﾏｽﾀ!$T$8:$T$16,MATCH($M192,ﾏｽﾀ!$U$8:$U$16,0))&amp;"")</f>
        <v/>
      </c>
      <c r="M192" s="534"/>
      <c r="N192" s="463"/>
      <c r="O192" s="464"/>
      <c r="P192" s="465"/>
      <c r="Q192" s="466" t="str">
        <f t="shared" si="20"/>
        <v/>
      </c>
      <c r="R192" s="154" t="str">
        <f>IF($T192="","",VLOOKUP($T192,請求Data!$I$11:$AR$160,請求Data!$AL$10-請求Data!$H$10,0))</f>
        <v/>
      </c>
      <c r="S192" s="155" t="str">
        <f>IF($T192="","",VLOOKUP($T192,請求Data!$I$11:$AR$160,請求Data!$AM$10-請求Data!$H$10,0))</f>
        <v/>
      </c>
      <c r="T192" s="467" t="str">
        <f>IF(ISNA(MATCH($H192,請求Data!$AH$11:$AH$160,0)),"",VLOOKUP($H192,請求Data!$AH$11:$AR$160,請求Data!$AK$10-請求Data!$AG$10,0))</f>
        <v/>
      </c>
      <c r="U192" s="468"/>
    </row>
    <row r="193" spans="1:21" s="32" customFormat="1" ht="15" customHeight="1">
      <c r="A193" s="58" t="str">
        <f>IF($Q193="","",MAX($A$8:$A192)+1)</f>
        <v/>
      </c>
      <c r="B193" s="614" t="str">
        <f t="shared" si="19"/>
        <v/>
      </c>
      <c r="C193" s="614" t="str">
        <f t="shared" si="21"/>
        <v/>
      </c>
      <c r="D193" s="614" t="str">
        <f t="shared" si="22"/>
        <v/>
      </c>
      <c r="E193" s="615" t="str">
        <f t="shared" si="23"/>
        <v/>
      </c>
      <c r="F193" s="616" t="str">
        <f>IF($H193="","",IF(ISNA(MATCH($H193,$H$7:$H192,0)),1,0))</f>
        <v/>
      </c>
      <c r="G193" s="249"/>
      <c r="H193" s="95"/>
      <c r="I193" s="597" t="str">
        <f>IF($J193="","",INDEX(ﾏｽﾀ!$E$8:$E$124,MATCH(INDEX(ﾏｽﾀ!$N$8:$N$124,MATCH($J193,ﾏｽﾀ!$O$8:$O$124,0)),ﾏｽﾀ!$B$8:$B$124,0))&amp;"")</f>
        <v/>
      </c>
      <c r="J193" s="534"/>
      <c r="K193" s="598" t="str">
        <f>IF($J193="","",INDEX(ﾏｽﾀ!$G$8:$G$124,MATCH(INDEX(ﾏｽﾀ!$N$8:$N$124,MATCH($J193,ﾏｽﾀ!$O$8:$O$124,0)),ﾏｽﾀ!$B$8:$B$124,0))&amp;"")</f>
        <v/>
      </c>
      <c r="L193" s="599" t="str">
        <f>IF($M193="","",INDEX(ﾏｽﾀ!$T$8:$T$16,MATCH($M193,ﾏｽﾀ!$U$8:$U$16,0))&amp;"")</f>
        <v/>
      </c>
      <c r="M193" s="534"/>
      <c r="N193" s="463"/>
      <c r="O193" s="464"/>
      <c r="P193" s="465"/>
      <c r="Q193" s="466" t="str">
        <f t="shared" si="20"/>
        <v/>
      </c>
      <c r="R193" s="154" t="str">
        <f>IF($T193="","",VLOOKUP($T193,請求Data!$I$11:$AR$160,請求Data!$AL$10-請求Data!$H$10,0))</f>
        <v/>
      </c>
      <c r="S193" s="155" t="str">
        <f>IF($T193="","",VLOOKUP($T193,請求Data!$I$11:$AR$160,請求Data!$AM$10-請求Data!$H$10,0))</f>
        <v/>
      </c>
      <c r="T193" s="467" t="str">
        <f>IF(ISNA(MATCH($H193,請求Data!$AH$11:$AH$160,0)),"",VLOOKUP($H193,請求Data!$AH$11:$AR$160,請求Data!$AK$10-請求Data!$AG$10,0))</f>
        <v/>
      </c>
      <c r="U193" s="468"/>
    </row>
    <row r="194" spans="1:21" s="32" customFormat="1" ht="15" customHeight="1">
      <c r="A194" s="58" t="str">
        <f>IF($Q194="","",MAX($A$8:$A193)+1)</f>
        <v/>
      </c>
      <c r="B194" s="614" t="str">
        <f t="shared" si="19"/>
        <v/>
      </c>
      <c r="C194" s="614" t="str">
        <f t="shared" si="21"/>
        <v/>
      </c>
      <c r="D194" s="614" t="str">
        <f t="shared" si="22"/>
        <v/>
      </c>
      <c r="E194" s="615" t="str">
        <f t="shared" si="23"/>
        <v/>
      </c>
      <c r="F194" s="616" t="str">
        <f>IF($H194="","",IF(ISNA(MATCH($H194,$H$7:$H193,0)),1,0))</f>
        <v/>
      </c>
      <c r="G194" s="249"/>
      <c r="H194" s="95"/>
      <c r="I194" s="597" t="str">
        <f>IF($J194="","",INDEX(ﾏｽﾀ!$E$8:$E$124,MATCH(INDEX(ﾏｽﾀ!$N$8:$N$124,MATCH($J194,ﾏｽﾀ!$O$8:$O$124,0)),ﾏｽﾀ!$B$8:$B$124,0))&amp;"")</f>
        <v/>
      </c>
      <c r="J194" s="534"/>
      <c r="K194" s="598" t="str">
        <f>IF($J194="","",INDEX(ﾏｽﾀ!$G$8:$G$124,MATCH(INDEX(ﾏｽﾀ!$N$8:$N$124,MATCH($J194,ﾏｽﾀ!$O$8:$O$124,0)),ﾏｽﾀ!$B$8:$B$124,0))&amp;"")</f>
        <v/>
      </c>
      <c r="L194" s="599" t="str">
        <f>IF($M194="","",INDEX(ﾏｽﾀ!$T$8:$T$16,MATCH($M194,ﾏｽﾀ!$U$8:$U$16,0))&amp;"")</f>
        <v/>
      </c>
      <c r="M194" s="534"/>
      <c r="N194" s="463"/>
      <c r="O194" s="464"/>
      <c r="P194" s="465"/>
      <c r="Q194" s="466" t="str">
        <f t="shared" si="20"/>
        <v/>
      </c>
      <c r="R194" s="154" t="str">
        <f>IF($T194="","",VLOOKUP($T194,請求Data!$I$11:$AR$160,請求Data!$AL$10-請求Data!$H$10,0))</f>
        <v/>
      </c>
      <c r="S194" s="155" t="str">
        <f>IF($T194="","",VLOOKUP($T194,請求Data!$I$11:$AR$160,請求Data!$AM$10-請求Data!$H$10,0))</f>
        <v/>
      </c>
      <c r="T194" s="467" t="str">
        <f>IF(ISNA(MATCH($H194,請求Data!$AH$11:$AH$160,0)),"",VLOOKUP($H194,請求Data!$AH$11:$AR$160,請求Data!$AK$10-請求Data!$AG$10,0))</f>
        <v/>
      </c>
      <c r="U194" s="468"/>
    </row>
    <row r="195" spans="1:21" s="32" customFormat="1" ht="15" customHeight="1">
      <c r="A195" s="58" t="str">
        <f>IF($Q195="","",MAX($A$8:$A194)+1)</f>
        <v/>
      </c>
      <c r="B195" s="614" t="str">
        <f t="shared" si="19"/>
        <v/>
      </c>
      <c r="C195" s="614" t="str">
        <f t="shared" si="21"/>
        <v/>
      </c>
      <c r="D195" s="614" t="str">
        <f t="shared" si="22"/>
        <v/>
      </c>
      <c r="E195" s="615" t="str">
        <f t="shared" si="23"/>
        <v/>
      </c>
      <c r="F195" s="616" t="str">
        <f>IF($H195="","",IF(ISNA(MATCH($H195,$H$7:$H194,0)),1,0))</f>
        <v/>
      </c>
      <c r="G195" s="249"/>
      <c r="H195" s="95"/>
      <c r="I195" s="597" t="str">
        <f>IF($J195="","",INDEX(ﾏｽﾀ!$E$8:$E$124,MATCH(INDEX(ﾏｽﾀ!$N$8:$N$124,MATCH($J195,ﾏｽﾀ!$O$8:$O$124,0)),ﾏｽﾀ!$B$8:$B$124,0))&amp;"")</f>
        <v/>
      </c>
      <c r="J195" s="534"/>
      <c r="K195" s="598" t="str">
        <f>IF($J195="","",INDEX(ﾏｽﾀ!$G$8:$G$124,MATCH(INDEX(ﾏｽﾀ!$N$8:$N$124,MATCH($J195,ﾏｽﾀ!$O$8:$O$124,0)),ﾏｽﾀ!$B$8:$B$124,0))&amp;"")</f>
        <v/>
      </c>
      <c r="L195" s="599" t="str">
        <f>IF($M195="","",INDEX(ﾏｽﾀ!$T$8:$T$16,MATCH($M195,ﾏｽﾀ!$U$8:$U$16,0))&amp;"")</f>
        <v/>
      </c>
      <c r="M195" s="534"/>
      <c r="N195" s="463"/>
      <c r="O195" s="464"/>
      <c r="P195" s="465"/>
      <c r="Q195" s="466" t="str">
        <f t="shared" si="20"/>
        <v/>
      </c>
      <c r="R195" s="154" t="str">
        <f>IF($T195="","",VLOOKUP($T195,請求Data!$I$11:$AR$160,請求Data!$AL$10-請求Data!$H$10,0))</f>
        <v/>
      </c>
      <c r="S195" s="155" t="str">
        <f>IF($T195="","",VLOOKUP($T195,請求Data!$I$11:$AR$160,請求Data!$AM$10-請求Data!$H$10,0))</f>
        <v/>
      </c>
      <c r="T195" s="467" t="str">
        <f>IF(ISNA(MATCH($H195,請求Data!$AH$11:$AH$160,0)),"",VLOOKUP($H195,請求Data!$AH$11:$AR$160,請求Data!$AK$10-請求Data!$AG$10,0))</f>
        <v/>
      </c>
      <c r="U195" s="468"/>
    </row>
    <row r="196" spans="1:21" s="32" customFormat="1" ht="15" customHeight="1">
      <c r="A196" s="58" t="str">
        <f>IF($Q196="","",MAX($A$8:$A195)+1)</f>
        <v/>
      </c>
      <c r="B196" s="614" t="str">
        <f t="shared" si="19"/>
        <v/>
      </c>
      <c r="C196" s="614" t="str">
        <f t="shared" si="21"/>
        <v/>
      </c>
      <c r="D196" s="614" t="str">
        <f t="shared" si="22"/>
        <v/>
      </c>
      <c r="E196" s="615" t="str">
        <f t="shared" si="23"/>
        <v/>
      </c>
      <c r="F196" s="616" t="str">
        <f>IF($H196="","",IF(ISNA(MATCH($H196,$H$7:$H195,0)),1,0))</f>
        <v/>
      </c>
      <c r="G196" s="249"/>
      <c r="H196" s="95"/>
      <c r="I196" s="597" t="str">
        <f>IF($J196="","",INDEX(ﾏｽﾀ!$E$8:$E$124,MATCH(INDEX(ﾏｽﾀ!$N$8:$N$124,MATCH($J196,ﾏｽﾀ!$O$8:$O$124,0)),ﾏｽﾀ!$B$8:$B$124,0))&amp;"")</f>
        <v/>
      </c>
      <c r="J196" s="534"/>
      <c r="K196" s="598" t="str">
        <f>IF($J196="","",INDEX(ﾏｽﾀ!$G$8:$G$124,MATCH(INDEX(ﾏｽﾀ!$N$8:$N$124,MATCH($J196,ﾏｽﾀ!$O$8:$O$124,0)),ﾏｽﾀ!$B$8:$B$124,0))&amp;"")</f>
        <v/>
      </c>
      <c r="L196" s="599" t="str">
        <f>IF($M196="","",INDEX(ﾏｽﾀ!$T$8:$T$16,MATCH($M196,ﾏｽﾀ!$U$8:$U$16,0))&amp;"")</f>
        <v/>
      </c>
      <c r="M196" s="534"/>
      <c r="N196" s="463"/>
      <c r="O196" s="464"/>
      <c r="P196" s="465"/>
      <c r="Q196" s="466" t="str">
        <f t="shared" si="20"/>
        <v/>
      </c>
      <c r="R196" s="154" t="str">
        <f>IF($T196="","",VLOOKUP($T196,請求Data!$I$11:$AR$160,請求Data!$AL$10-請求Data!$H$10,0))</f>
        <v/>
      </c>
      <c r="S196" s="155" t="str">
        <f>IF($T196="","",VLOOKUP($T196,請求Data!$I$11:$AR$160,請求Data!$AM$10-請求Data!$H$10,0))</f>
        <v/>
      </c>
      <c r="T196" s="467" t="str">
        <f>IF(ISNA(MATCH($H196,請求Data!$AH$11:$AH$160,0)),"",VLOOKUP($H196,請求Data!$AH$11:$AR$160,請求Data!$AK$10-請求Data!$AG$10,0))</f>
        <v/>
      </c>
      <c r="U196" s="468"/>
    </row>
    <row r="197" spans="1:21" s="32" customFormat="1" ht="15" customHeight="1">
      <c r="A197" s="58" t="str">
        <f>IF($Q197="","",MAX($A$8:$A196)+1)</f>
        <v/>
      </c>
      <c r="B197" s="614" t="str">
        <f t="shared" si="19"/>
        <v/>
      </c>
      <c r="C197" s="614" t="str">
        <f t="shared" si="21"/>
        <v/>
      </c>
      <c r="D197" s="614" t="str">
        <f t="shared" si="22"/>
        <v/>
      </c>
      <c r="E197" s="615" t="str">
        <f t="shared" si="23"/>
        <v/>
      </c>
      <c r="F197" s="616" t="str">
        <f>IF($H197="","",IF(ISNA(MATCH($H197,$H$7:$H196,0)),1,0))</f>
        <v/>
      </c>
      <c r="G197" s="249"/>
      <c r="H197" s="95"/>
      <c r="I197" s="597" t="str">
        <f>IF($J197="","",INDEX(ﾏｽﾀ!$E$8:$E$124,MATCH(INDEX(ﾏｽﾀ!$N$8:$N$124,MATCH($J197,ﾏｽﾀ!$O$8:$O$124,0)),ﾏｽﾀ!$B$8:$B$124,0))&amp;"")</f>
        <v/>
      </c>
      <c r="J197" s="534"/>
      <c r="K197" s="598" t="str">
        <f>IF($J197="","",INDEX(ﾏｽﾀ!$G$8:$G$124,MATCH(INDEX(ﾏｽﾀ!$N$8:$N$124,MATCH($J197,ﾏｽﾀ!$O$8:$O$124,0)),ﾏｽﾀ!$B$8:$B$124,0))&amp;"")</f>
        <v/>
      </c>
      <c r="L197" s="599" t="str">
        <f>IF($M197="","",INDEX(ﾏｽﾀ!$T$8:$T$16,MATCH($M197,ﾏｽﾀ!$U$8:$U$16,0))&amp;"")</f>
        <v/>
      </c>
      <c r="M197" s="534"/>
      <c r="N197" s="463"/>
      <c r="O197" s="464"/>
      <c r="P197" s="465"/>
      <c r="Q197" s="466" t="str">
        <f t="shared" si="20"/>
        <v/>
      </c>
      <c r="R197" s="154" t="str">
        <f>IF($T197="","",VLOOKUP($T197,請求Data!$I$11:$AR$160,請求Data!$AL$10-請求Data!$H$10,0))</f>
        <v/>
      </c>
      <c r="S197" s="155" t="str">
        <f>IF($T197="","",VLOOKUP($T197,請求Data!$I$11:$AR$160,請求Data!$AM$10-請求Data!$H$10,0))</f>
        <v/>
      </c>
      <c r="T197" s="467" t="str">
        <f>IF(ISNA(MATCH($H197,請求Data!$AH$11:$AH$160,0)),"",VLOOKUP($H197,請求Data!$AH$11:$AR$160,請求Data!$AK$10-請求Data!$AG$10,0))</f>
        <v/>
      </c>
      <c r="U197" s="468"/>
    </row>
    <row r="198" spans="1:21" s="32" customFormat="1" ht="15" customHeight="1">
      <c r="A198" s="58" t="str">
        <f>IF($Q198="","",MAX($A$8:$A197)+1)</f>
        <v/>
      </c>
      <c r="B198" s="614" t="str">
        <f t="shared" si="19"/>
        <v/>
      </c>
      <c r="C198" s="614" t="str">
        <f t="shared" si="21"/>
        <v/>
      </c>
      <c r="D198" s="614" t="str">
        <f t="shared" si="22"/>
        <v/>
      </c>
      <c r="E198" s="615" t="str">
        <f t="shared" si="23"/>
        <v/>
      </c>
      <c r="F198" s="616" t="str">
        <f>IF($H198="","",IF(ISNA(MATCH($H198,$H$7:$H197,0)),1,0))</f>
        <v/>
      </c>
      <c r="G198" s="249"/>
      <c r="H198" s="95"/>
      <c r="I198" s="597" t="str">
        <f>IF($J198="","",INDEX(ﾏｽﾀ!$E$8:$E$124,MATCH(INDEX(ﾏｽﾀ!$N$8:$N$124,MATCH($J198,ﾏｽﾀ!$O$8:$O$124,0)),ﾏｽﾀ!$B$8:$B$124,0))&amp;"")</f>
        <v/>
      </c>
      <c r="J198" s="534"/>
      <c r="K198" s="598" t="str">
        <f>IF($J198="","",INDEX(ﾏｽﾀ!$G$8:$G$124,MATCH(INDEX(ﾏｽﾀ!$N$8:$N$124,MATCH($J198,ﾏｽﾀ!$O$8:$O$124,0)),ﾏｽﾀ!$B$8:$B$124,0))&amp;"")</f>
        <v/>
      </c>
      <c r="L198" s="599" t="str">
        <f>IF($M198="","",INDEX(ﾏｽﾀ!$T$8:$T$16,MATCH($M198,ﾏｽﾀ!$U$8:$U$16,0))&amp;"")</f>
        <v/>
      </c>
      <c r="M198" s="534"/>
      <c r="N198" s="463"/>
      <c r="O198" s="464"/>
      <c r="P198" s="465"/>
      <c r="Q198" s="466" t="str">
        <f t="shared" si="20"/>
        <v/>
      </c>
      <c r="R198" s="154" t="str">
        <f>IF($T198="","",VLOOKUP($T198,請求Data!$I$11:$AR$160,請求Data!$AL$10-請求Data!$H$10,0))</f>
        <v/>
      </c>
      <c r="S198" s="155" t="str">
        <f>IF($T198="","",VLOOKUP($T198,請求Data!$I$11:$AR$160,請求Data!$AM$10-請求Data!$H$10,0))</f>
        <v/>
      </c>
      <c r="T198" s="467" t="str">
        <f>IF(ISNA(MATCH($H198,請求Data!$AH$11:$AH$160,0)),"",VLOOKUP($H198,請求Data!$AH$11:$AR$160,請求Data!$AK$10-請求Data!$AG$10,0))</f>
        <v/>
      </c>
      <c r="U198" s="468"/>
    </row>
    <row r="199" spans="1:21" s="32" customFormat="1" ht="15" customHeight="1">
      <c r="A199" s="58" t="str">
        <f>IF($Q199="","",MAX($A$8:$A198)+1)</f>
        <v/>
      </c>
      <c r="B199" s="614" t="str">
        <f t="shared" si="19"/>
        <v/>
      </c>
      <c r="C199" s="614" t="str">
        <f t="shared" si="21"/>
        <v/>
      </c>
      <c r="D199" s="614" t="str">
        <f t="shared" si="22"/>
        <v/>
      </c>
      <c r="E199" s="615" t="str">
        <f t="shared" si="23"/>
        <v/>
      </c>
      <c r="F199" s="616" t="str">
        <f>IF($H199="","",IF(ISNA(MATCH($H199,$H$7:$H198,0)),1,0))</f>
        <v/>
      </c>
      <c r="G199" s="249"/>
      <c r="H199" s="95"/>
      <c r="I199" s="597" t="str">
        <f>IF($J199="","",INDEX(ﾏｽﾀ!$E$8:$E$124,MATCH(INDEX(ﾏｽﾀ!$N$8:$N$124,MATCH($J199,ﾏｽﾀ!$O$8:$O$124,0)),ﾏｽﾀ!$B$8:$B$124,0))&amp;"")</f>
        <v/>
      </c>
      <c r="J199" s="534"/>
      <c r="K199" s="598" t="str">
        <f>IF($J199="","",INDEX(ﾏｽﾀ!$G$8:$G$124,MATCH(INDEX(ﾏｽﾀ!$N$8:$N$124,MATCH($J199,ﾏｽﾀ!$O$8:$O$124,0)),ﾏｽﾀ!$B$8:$B$124,0))&amp;"")</f>
        <v/>
      </c>
      <c r="L199" s="599" t="str">
        <f>IF($M199="","",INDEX(ﾏｽﾀ!$T$8:$T$16,MATCH($M199,ﾏｽﾀ!$U$8:$U$16,0))&amp;"")</f>
        <v/>
      </c>
      <c r="M199" s="534"/>
      <c r="N199" s="463"/>
      <c r="O199" s="464"/>
      <c r="P199" s="465"/>
      <c r="Q199" s="466" t="str">
        <f t="shared" si="20"/>
        <v/>
      </c>
      <c r="R199" s="154" t="str">
        <f>IF($T199="","",VLOOKUP($T199,請求Data!$I$11:$AR$160,請求Data!$AL$10-請求Data!$H$10,0))</f>
        <v/>
      </c>
      <c r="S199" s="155" t="str">
        <f>IF($T199="","",VLOOKUP($T199,請求Data!$I$11:$AR$160,請求Data!$AM$10-請求Data!$H$10,0))</f>
        <v/>
      </c>
      <c r="T199" s="467" t="str">
        <f>IF(ISNA(MATCH($H199,請求Data!$AH$11:$AH$160,0)),"",VLOOKUP($H199,請求Data!$AH$11:$AR$160,請求Data!$AK$10-請求Data!$AG$10,0))</f>
        <v/>
      </c>
      <c r="U199" s="468"/>
    </row>
    <row r="200" spans="1:21" s="32" customFormat="1" ht="15" customHeight="1">
      <c r="A200" s="58" t="str">
        <f>IF($Q200="","",MAX($A$8:$A199)+1)</f>
        <v/>
      </c>
      <c r="B200" s="614" t="str">
        <f t="shared" si="19"/>
        <v/>
      </c>
      <c r="C200" s="614" t="str">
        <f t="shared" si="21"/>
        <v/>
      </c>
      <c r="D200" s="614" t="str">
        <f t="shared" si="22"/>
        <v/>
      </c>
      <c r="E200" s="615" t="str">
        <f t="shared" si="23"/>
        <v/>
      </c>
      <c r="F200" s="616" t="str">
        <f>IF($H200="","",IF(ISNA(MATCH($H200,$H$7:$H199,0)),1,0))</f>
        <v/>
      </c>
      <c r="G200" s="249"/>
      <c r="H200" s="95"/>
      <c r="I200" s="597" t="str">
        <f>IF($J200="","",INDEX(ﾏｽﾀ!$E$8:$E$124,MATCH(INDEX(ﾏｽﾀ!$N$8:$N$124,MATCH($J200,ﾏｽﾀ!$O$8:$O$124,0)),ﾏｽﾀ!$B$8:$B$124,0))&amp;"")</f>
        <v/>
      </c>
      <c r="J200" s="534"/>
      <c r="K200" s="598" t="str">
        <f>IF($J200="","",INDEX(ﾏｽﾀ!$G$8:$G$124,MATCH(INDEX(ﾏｽﾀ!$N$8:$N$124,MATCH($J200,ﾏｽﾀ!$O$8:$O$124,0)),ﾏｽﾀ!$B$8:$B$124,0))&amp;"")</f>
        <v/>
      </c>
      <c r="L200" s="599" t="str">
        <f>IF($M200="","",INDEX(ﾏｽﾀ!$T$8:$T$16,MATCH($M200,ﾏｽﾀ!$U$8:$U$16,0))&amp;"")</f>
        <v/>
      </c>
      <c r="M200" s="534"/>
      <c r="N200" s="463"/>
      <c r="O200" s="464"/>
      <c r="P200" s="465"/>
      <c r="Q200" s="466" t="str">
        <f t="shared" si="20"/>
        <v/>
      </c>
      <c r="R200" s="154" t="str">
        <f>IF($T200="","",VLOOKUP($T200,請求Data!$I$11:$AR$160,請求Data!$AL$10-請求Data!$H$10,0))</f>
        <v/>
      </c>
      <c r="S200" s="155" t="str">
        <f>IF($T200="","",VLOOKUP($T200,請求Data!$I$11:$AR$160,請求Data!$AM$10-請求Data!$H$10,0))</f>
        <v/>
      </c>
      <c r="T200" s="467" t="str">
        <f>IF(ISNA(MATCH($H200,請求Data!$AH$11:$AH$160,0)),"",VLOOKUP($H200,請求Data!$AH$11:$AR$160,請求Data!$AK$10-請求Data!$AG$10,0))</f>
        <v/>
      </c>
      <c r="U200" s="468"/>
    </row>
    <row r="201" spans="1:21" s="32" customFormat="1" ht="15" customHeight="1">
      <c r="A201" s="58" t="str">
        <f>IF($Q201="","",MAX($A$8:$A200)+1)</f>
        <v/>
      </c>
      <c r="B201" s="614" t="str">
        <f t="shared" si="19"/>
        <v/>
      </c>
      <c r="C201" s="614" t="str">
        <f t="shared" ref="C201:C206" si="24">IF($H201="","",CONCATENATE(VLOOKUP($N201,$N$2:$O$5,2,FALSE),$I201,IF($K201="","00",$K201),$E201,$L201))</f>
        <v/>
      </c>
      <c r="D201" s="614" t="str">
        <f t="shared" ref="D201:D206" si="25">IF($H201="","",CONCATENATE(VLOOKUP($N201,$N$2:$O$5,2,FALSE),$I201,IF($K201="","00",$K201),$E201,$F201,$L201))</f>
        <v/>
      </c>
      <c r="E201" s="615" t="str">
        <f t="shared" ref="E201:E206" si="26">IF($H201="","",IF($T201="",1,9))</f>
        <v/>
      </c>
      <c r="F201" s="616" t="str">
        <f>IF($H201="","",IF(ISNA(MATCH($H201,$H$7:$H200,0)),1,0))</f>
        <v/>
      </c>
      <c r="G201" s="249"/>
      <c r="H201" s="95"/>
      <c r="I201" s="597" t="str">
        <f>IF($J201="","",INDEX(ﾏｽﾀ!$E$8:$E$124,MATCH(INDEX(ﾏｽﾀ!$N$8:$N$124,MATCH($J201,ﾏｽﾀ!$O$8:$O$124,0)),ﾏｽﾀ!$B$8:$B$124,0))&amp;"")</f>
        <v/>
      </c>
      <c r="J201" s="534"/>
      <c r="K201" s="598" t="str">
        <f>IF($J201="","",INDEX(ﾏｽﾀ!$G$8:$G$124,MATCH(INDEX(ﾏｽﾀ!$N$8:$N$124,MATCH($J201,ﾏｽﾀ!$O$8:$O$124,0)),ﾏｽﾀ!$B$8:$B$124,0))&amp;"")</f>
        <v/>
      </c>
      <c r="L201" s="599" t="str">
        <f>IF($M201="","",INDEX(ﾏｽﾀ!$T$8:$T$16,MATCH($M201,ﾏｽﾀ!$U$8:$U$16,0))&amp;"")</f>
        <v/>
      </c>
      <c r="M201" s="534"/>
      <c r="N201" s="463"/>
      <c r="O201" s="464"/>
      <c r="P201" s="465"/>
      <c r="Q201" s="466" t="str">
        <f t="shared" si="20"/>
        <v/>
      </c>
      <c r="R201" s="154" t="str">
        <f>IF($T201="","",VLOOKUP($T201,請求Data!$I$11:$AR$160,請求Data!$AL$10-請求Data!$H$10,0))</f>
        <v/>
      </c>
      <c r="S201" s="155" t="str">
        <f>IF($T201="","",VLOOKUP($T201,請求Data!$I$11:$AR$160,請求Data!$AM$10-請求Data!$H$10,0))</f>
        <v/>
      </c>
      <c r="T201" s="467" t="str">
        <f>IF(ISNA(MATCH($H201,請求Data!$AH$11:$AH$160,0)),"",VLOOKUP($H201,請求Data!$AH$11:$AR$160,請求Data!$AK$10-請求Data!$AG$10,0))</f>
        <v/>
      </c>
      <c r="U201" s="468"/>
    </row>
    <row r="202" spans="1:21" s="32" customFormat="1" ht="15" customHeight="1">
      <c r="A202" s="58" t="str">
        <f>IF($Q202="","",MAX($A$8:$A201)+1)</f>
        <v/>
      </c>
      <c r="B202" s="614" t="str">
        <f>LEFT($D202,8)</f>
        <v/>
      </c>
      <c r="C202" s="614" t="str">
        <f t="shared" si="24"/>
        <v/>
      </c>
      <c r="D202" s="614" t="str">
        <f t="shared" si="25"/>
        <v/>
      </c>
      <c r="E202" s="615" t="str">
        <f t="shared" si="26"/>
        <v/>
      </c>
      <c r="F202" s="616" t="str">
        <f>IF($H202="","",IF(ISNA(MATCH($H202,$H$7:$H201,0)),1,0))</f>
        <v/>
      </c>
      <c r="G202" s="249"/>
      <c r="H202" s="95"/>
      <c r="I202" s="597" t="str">
        <f>IF($J202="","",INDEX(ﾏｽﾀ!$E$8:$E$124,MATCH(INDEX(ﾏｽﾀ!$N$8:$N$124,MATCH($J202,ﾏｽﾀ!$O$8:$O$124,0)),ﾏｽﾀ!$B$8:$B$124,0))&amp;"")</f>
        <v/>
      </c>
      <c r="J202" s="534"/>
      <c r="K202" s="598" t="str">
        <f>IF($J202="","",INDEX(ﾏｽﾀ!$G$8:$G$124,MATCH(INDEX(ﾏｽﾀ!$N$8:$N$124,MATCH($J202,ﾏｽﾀ!$O$8:$O$124,0)),ﾏｽﾀ!$B$8:$B$124,0))&amp;"")</f>
        <v/>
      </c>
      <c r="L202" s="599" t="str">
        <f>IF($M202="","",INDEX(ﾏｽﾀ!$T$8:$T$16,MATCH($M202,ﾏｽﾀ!$U$8:$U$16,0))&amp;"")</f>
        <v/>
      </c>
      <c r="M202" s="534"/>
      <c r="N202" s="463"/>
      <c r="O202" s="464"/>
      <c r="P202" s="465"/>
      <c r="Q202" s="466" t="str">
        <f t="shared" si="20"/>
        <v/>
      </c>
      <c r="R202" s="154" t="str">
        <f>IF($T202="","",VLOOKUP($T202,請求Data!$I$11:$AR$160,請求Data!$AL$10-請求Data!$H$10,0))</f>
        <v/>
      </c>
      <c r="S202" s="155" t="str">
        <f>IF($T202="","",VLOOKUP($T202,請求Data!$I$11:$AR$160,請求Data!$AM$10-請求Data!$H$10,0))</f>
        <v/>
      </c>
      <c r="T202" s="467" t="str">
        <f>IF(ISNA(MATCH($H202,請求Data!$AH$11:$AH$160,0)),"",VLOOKUP($H202,請求Data!$AH$11:$AR$160,請求Data!$AK$10-請求Data!$AG$10,0))</f>
        <v/>
      </c>
      <c r="U202" s="468"/>
    </row>
    <row r="203" spans="1:21" s="32" customFormat="1" ht="15" customHeight="1">
      <c r="A203" s="58" t="str">
        <f>IF($Q203="","",MAX($A$8:$A202)+1)</f>
        <v/>
      </c>
      <c r="B203" s="614" t="str">
        <f>LEFT($D203,8)</f>
        <v/>
      </c>
      <c r="C203" s="614" t="str">
        <f t="shared" si="24"/>
        <v/>
      </c>
      <c r="D203" s="614" t="str">
        <f t="shared" si="25"/>
        <v/>
      </c>
      <c r="E203" s="615" t="str">
        <f t="shared" si="26"/>
        <v/>
      </c>
      <c r="F203" s="616" t="str">
        <f>IF($H203="","",IF(ISNA(MATCH($H203,$H$7:$H202,0)),1,0))</f>
        <v/>
      </c>
      <c r="G203" s="249"/>
      <c r="H203" s="95"/>
      <c r="I203" s="597" t="str">
        <f>IF($J203="","",INDEX(ﾏｽﾀ!$E$8:$E$124,MATCH(INDEX(ﾏｽﾀ!$N$8:$N$124,MATCH($J203,ﾏｽﾀ!$O$8:$O$124,0)),ﾏｽﾀ!$B$8:$B$124,0))&amp;"")</f>
        <v/>
      </c>
      <c r="J203" s="534"/>
      <c r="K203" s="598" t="str">
        <f>IF($J203="","",INDEX(ﾏｽﾀ!$G$8:$G$124,MATCH(INDEX(ﾏｽﾀ!$N$8:$N$124,MATCH($J203,ﾏｽﾀ!$O$8:$O$124,0)),ﾏｽﾀ!$B$8:$B$124,0))&amp;"")</f>
        <v/>
      </c>
      <c r="L203" s="599" t="str">
        <f>IF($M203="","",INDEX(ﾏｽﾀ!$T$8:$T$16,MATCH($M203,ﾏｽﾀ!$U$8:$U$16,0))&amp;"")</f>
        <v/>
      </c>
      <c r="M203" s="534"/>
      <c r="N203" s="463"/>
      <c r="O203" s="464"/>
      <c r="P203" s="465"/>
      <c r="Q203" s="466" t="str">
        <f t="shared" ref="Q203:Q206" si="27">IF($O203="","",IF($N203="\",ROUNDDOWN($O203*$P203,0)+$U203,ROUNDDOWN($O203*$P203,2)+$U203))</f>
        <v/>
      </c>
      <c r="R203" s="154" t="str">
        <f>IF($T203="","",VLOOKUP($T203,請求Data!$I$11:$AR$160,請求Data!$AL$10-請求Data!$H$10,0))</f>
        <v/>
      </c>
      <c r="S203" s="155" t="str">
        <f>IF($T203="","",VLOOKUP($T203,請求Data!$I$11:$AR$160,請求Data!$AM$10-請求Data!$H$10,0))</f>
        <v/>
      </c>
      <c r="T203" s="467" t="str">
        <f>IF(ISNA(MATCH($H203,請求Data!$AH$11:$AH$160,0)),"",VLOOKUP($H203,請求Data!$AH$11:$AR$160,請求Data!$AK$10-請求Data!$AG$10,0))</f>
        <v/>
      </c>
      <c r="U203" s="468"/>
    </row>
    <row r="204" spans="1:21" s="32" customFormat="1" ht="15" customHeight="1">
      <c r="A204" s="58" t="str">
        <f>IF($Q204="","",MAX($A$8:$A203)+1)</f>
        <v/>
      </c>
      <c r="B204" s="614" t="str">
        <f>LEFT($D204,8)</f>
        <v/>
      </c>
      <c r="C204" s="614" t="str">
        <f t="shared" si="24"/>
        <v/>
      </c>
      <c r="D204" s="614" t="str">
        <f t="shared" si="25"/>
        <v/>
      </c>
      <c r="E204" s="615" t="str">
        <f t="shared" si="26"/>
        <v/>
      </c>
      <c r="F204" s="616" t="str">
        <f>IF($H204="","",IF(ISNA(MATCH($H204,$H$7:$H203,0)),1,0))</f>
        <v/>
      </c>
      <c r="G204" s="249"/>
      <c r="H204" s="95"/>
      <c r="I204" s="597" t="str">
        <f>IF($J204="","",INDEX(ﾏｽﾀ!$E$8:$E$124,MATCH(INDEX(ﾏｽﾀ!$N$8:$N$124,MATCH($J204,ﾏｽﾀ!$O$8:$O$124,0)),ﾏｽﾀ!$B$8:$B$124,0))&amp;"")</f>
        <v/>
      </c>
      <c r="J204" s="534"/>
      <c r="K204" s="598" t="str">
        <f>IF($J204="","",INDEX(ﾏｽﾀ!$G$8:$G$124,MATCH(INDEX(ﾏｽﾀ!$N$8:$N$124,MATCH($J204,ﾏｽﾀ!$O$8:$O$124,0)),ﾏｽﾀ!$B$8:$B$124,0))&amp;"")</f>
        <v/>
      </c>
      <c r="L204" s="599" t="str">
        <f>IF($M204="","",INDEX(ﾏｽﾀ!$T$8:$T$16,MATCH($M204,ﾏｽﾀ!$U$8:$U$16,0))&amp;"")</f>
        <v/>
      </c>
      <c r="M204" s="534"/>
      <c r="N204" s="463"/>
      <c r="O204" s="464"/>
      <c r="P204" s="465"/>
      <c r="Q204" s="466" t="str">
        <f t="shared" si="27"/>
        <v/>
      </c>
      <c r="R204" s="154" t="str">
        <f>IF($T204="","",VLOOKUP($T204,請求Data!$I$11:$AR$160,請求Data!$AL$10-請求Data!$H$10,0))</f>
        <v/>
      </c>
      <c r="S204" s="155" t="str">
        <f>IF($T204="","",VLOOKUP($T204,請求Data!$I$11:$AR$160,請求Data!$AM$10-請求Data!$H$10,0))</f>
        <v/>
      </c>
      <c r="T204" s="467" t="str">
        <f>IF(ISNA(MATCH($H204,請求Data!$AH$11:$AH$160,0)),"",VLOOKUP($H204,請求Data!$AH$11:$AR$160,請求Data!$AK$10-請求Data!$AG$10,0))</f>
        <v/>
      </c>
      <c r="U204" s="468"/>
    </row>
    <row r="205" spans="1:21" s="32" customFormat="1" ht="15" customHeight="1">
      <c r="A205" s="58" t="str">
        <f>IF($Q205="","",MAX($A$8:$A204)+1)</f>
        <v/>
      </c>
      <c r="B205" s="614" t="str">
        <f>LEFT($D205,8)</f>
        <v/>
      </c>
      <c r="C205" s="614" t="str">
        <f t="shared" si="24"/>
        <v/>
      </c>
      <c r="D205" s="614" t="str">
        <f t="shared" si="25"/>
        <v/>
      </c>
      <c r="E205" s="615" t="str">
        <f t="shared" si="26"/>
        <v/>
      </c>
      <c r="F205" s="616" t="str">
        <f>IF($H205="","",IF(ISNA(MATCH($H205,$H$7:$H204,0)),1,0))</f>
        <v/>
      </c>
      <c r="G205" s="249"/>
      <c r="H205" s="95"/>
      <c r="I205" s="597" t="str">
        <f>IF($J205="","",INDEX(ﾏｽﾀ!$E$8:$E$124,MATCH(INDEX(ﾏｽﾀ!$N$8:$N$124,MATCH($J205,ﾏｽﾀ!$O$8:$O$124,0)),ﾏｽﾀ!$B$8:$B$124,0))&amp;"")</f>
        <v/>
      </c>
      <c r="J205" s="534"/>
      <c r="K205" s="598" t="str">
        <f>IF($J205="","",INDEX(ﾏｽﾀ!$G$8:$G$124,MATCH(INDEX(ﾏｽﾀ!$N$8:$N$124,MATCH($J205,ﾏｽﾀ!$O$8:$O$124,0)),ﾏｽﾀ!$B$8:$B$124,0))&amp;"")</f>
        <v/>
      </c>
      <c r="L205" s="599" t="str">
        <f>IF($M205="","",INDEX(ﾏｽﾀ!$T$8:$T$16,MATCH($M205,ﾏｽﾀ!$U$8:$U$16,0))&amp;"")</f>
        <v/>
      </c>
      <c r="M205" s="534"/>
      <c r="N205" s="463"/>
      <c r="O205" s="464"/>
      <c r="P205" s="465"/>
      <c r="Q205" s="466" t="str">
        <f t="shared" si="27"/>
        <v/>
      </c>
      <c r="R205" s="154" t="str">
        <f>IF($T205="","",VLOOKUP($T205,請求Data!$I$11:$AR$160,請求Data!$AL$10-請求Data!$H$10,0))</f>
        <v/>
      </c>
      <c r="S205" s="155" t="str">
        <f>IF($T205="","",VLOOKUP($T205,請求Data!$I$11:$AR$160,請求Data!$AM$10-請求Data!$H$10,0))</f>
        <v/>
      </c>
      <c r="T205" s="467" t="str">
        <f>IF(ISNA(MATCH($H205,請求Data!$AH$11:$AH$160,0)),"",VLOOKUP($H205,請求Data!$AH$11:$AR$160,請求Data!$AK$10-請求Data!$AG$10,0))</f>
        <v/>
      </c>
      <c r="U205" s="468"/>
    </row>
    <row r="206" spans="1:21" s="32" customFormat="1" ht="15" customHeight="1">
      <c r="A206" s="58" t="str">
        <f>IF($Q206="","",MAX($A$8:$A205)+1)</f>
        <v/>
      </c>
      <c r="B206" s="614" t="str">
        <f>LEFT($D206,8)</f>
        <v/>
      </c>
      <c r="C206" s="614" t="str">
        <f t="shared" si="24"/>
        <v/>
      </c>
      <c r="D206" s="614" t="str">
        <f t="shared" si="25"/>
        <v/>
      </c>
      <c r="E206" s="615" t="str">
        <f t="shared" si="26"/>
        <v/>
      </c>
      <c r="F206" s="616" t="str">
        <f>IF($H206="","",IF(ISNA(MATCH($H206,$H$7:$H205,0)),1,0))</f>
        <v/>
      </c>
      <c r="G206" s="249"/>
      <c r="H206" s="95"/>
      <c r="I206" s="597" t="str">
        <f>IF($J206="","",INDEX(ﾏｽﾀ!$E$8:$E$124,MATCH(INDEX(ﾏｽﾀ!$N$8:$N$124,MATCH($J206,ﾏｽﾀ!$O$8:$O$124,0)),ﾏｽﾀ!$B$8:$B$124,0))&amp;"")</f>
        <v/>
      </c>
      <c r="J206" s="534"/>
      <c r="K206" s="598" t="str">
        <f>IF($J206="","",INDEX(ﾏｽﾀ!$G$8:$G$124,MATCH(INDEX(ﾏｽﾀ!$N$8:$N$124,MATCH($J206,ﾏｽﾀ!$O$8:$O$124,0)),ﾏｽﾀ!$B$8:$B$124,0))&amp;"")</f>
        <v/>
      </c>
      <c r="L206" s="599" t="str">
        <f>IF($M206="","",INDEX(ﾏｽﾀ!$T$8:$T$16,MATCH($M206,ﾏｽﾀ!$U$8:$U$16,0))&amp;"")</f>
        <v/>
      </c>
      <c r="M206" s="534"/>
      <c r="N206" s="463"/>
      <c r="O206" s="464"/>
      <c r="P206" s="465"/>
      <c r="Q206" s="466" t="str">
        <f t="shared" si="27"/>
        <v/>
      </c>
      <c r="R206" s="154" t="str">
        <f>IF($T206="","",VLOOKUP($T206,請求Data!$I$11:$AR$160,請求Data!$AL$10-請求Data!$H$10,0))</f>
        <v/>
      </c>
      <c r="S206" s="155" t="str">
        <f>IF($T206="","",VLOOKUP($T206,請求Data!$I$11:$AR$160,請求Data!$AM$10-請求Data!$H$10,0))</f>
        <v/>
      </c>
      <c r="T206" s="467" t="str">
        <f>IF(ISNA(MATCH($H206,請求Data!$AH$11:$AH$160,0)),"",VLOOKUP($H206,請求Data!$AH$11:$AR$160,請求Data!$AK$10-請求Data!$AG$10,0))</f>
        <v/>
      </c>
      <c r="U206" s="468"/>
    </row>
    <row r="207" spans="1:21" s="32" customFormat="1">
      <c r="B207" s="33"/>
      <c r="C207" s="33"/>
      <c r="D207" s="33"/>
      <c r="E207" s="97"/>
      <c r="F207" s="97"/>
      <c r="H207" s="33"/>
      <c r="I207" s="42"/>
      <c r="J207" s="36"/>
      <c r="K207" s="42"/>
      <c r="L207" s="42"/>
      <c r="M207" s="36"/>
      <c r="N207" s="36"/>
      <c r="O207" s="37"/>
      <c r="P207" s="37"/>
      <c r="Q207" s="37"/>
      <c r="R207" s="36"/>
      <c r="S207" s="36"/>
      <c r="T207" s="48"/>
      <c r="U207" s="48"/>
    </row>
    <row r="208" spans="1:21" s="34" customFormat="1">
      <c r="B208" s="35"/>
      <c r="C208" s="35"/>
      <c r="D208" s="35"/>
      <c r="E208" s="98"/>
      <c r="F208" s="98"/>
      <c r="H208" s="35"/>
      <c r="I208" s="43"/>
      <c r="J208" s="38"/>
      <c r="K208" s="43"/>
      <c r="L208" s="43"/>
      <c r="M208" s="38"/>
      <c r="N208" s="38"/>
      <c r="O208" s="39"/>
      <c r="P208" s="39"/>
      <c r="R208" s="38"/>
      <c r="S208" s="38"/>
      <c r="T208" s="49"/>
      <c r="U208" s="49"/>
    </row>
  </sheetData>
  <autoFilter ref="A8:V8" xr:uid="{00000000-0009-0000-0000-000000000000}"/>
  <mergeCells count="13">
    <mergeCell ref="V6:V7"/>
    <mergeCell ref="U6:U7"/>
    <mergeCell ref="B6:B7"/>
    <mergeCell ref="C6:C7"/>
    <mergeCell ref="R6:T6"/>
    <mergeCell ref="G6:G7"/>
    <mergeCell ref="H6:H7"/>
    <mergeCell ref="I6:Q6"/>
    <mergeCell ref="D6:D7"/>
    <mergeCell ref="E6:E7"/>
    <mergeCell ref="F6:F7"/>
    <mergeCell ref="I7:K7"/>
    <mergeCell ref="L7:M7"/>
  </mergeCells>
  <phoneticPr fontId="3"/>
  <conditionalFormatting sqref="Q9:Q206">
    <cfRule type="expression" dxfId="35" priority="12">
      <formula>$Q9="ERR"</formula>
    </cfRule>
  </conditionalFormatting>
  <conditionalFormatting sqref="U9:U206">
    <cfRule type="expression" dxfId="34" priority="4">
      <formula>OR($N9="$",$N9="HK$")</formula>
    </cfRule>
    <cfRule type="expression" dxfId="33" priority="5">
      <formula>$N9="\"</formula>
    </cfRule>
  </conditionalFormatting>
  <conditionalFormatting sqref="Q9:Q206">
    <cfRule type="expression" dxfId="32" priority="1">
      <formula>OR($N9="$",$N9="HK$")</formula>
    </cfRule>
    <cfRule type="expression" dxfId="31" priority="2">
      <formula>$N9="\"</formula>
    </cfRule>
    <cfRule type="expression" dxfId="30" priority="3">
      <formula>$U9&lt;&gt;0</formula>
    </cfRule>
  </conditionalFormatting>
  <dataValidations count="1">
    <dataValidation type="list" allowBlank="1" showInputMessage="1" showErrorMessage="1" sqref="N9:N206" xr:uid="{00000000-0002-0000-0000-000000000000}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9:I15 I17:I206 I16 K16 K17:K206 K9:K15 L9:L206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OFFSET(ﾏｽﾀ!$R$8,0,0,COUNTA(ﾏｽﾀ!$R$8:$R$124),1)</xm:f>
          </x14:formula1>
          <xm:sqref>J9:J206</xm:sqref>
        </x14:dataValidation>
        <x14:dataValidation type="list" allowBlank="1" showInputMessage="1" showErrorMessage="1" xr:uid="{00000000-0002-0000-0000-000002000000}">
          <x14:formula1>
            <xm:f>ﾏｽﾀ!$U$8:$U$16</xm:f>
          </x14:formula1>
          <xm:sqref>M9:M206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V299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ColWidth="9" defaultRowHeight="13.2" outlineLevelCol="1"/>
  <cols>
    <col min="1" max="1" width="4.6640625" style="32" customWidth="1"/>
    <col min="2" max="4" width="10.6640625" style="33" hidden="1" customWidth="1" outlineLevel="1"/>
    <col min="5" max="6" width="6.6640625" style="97" hidden="1" customWidth="1" outlineLevel="1"/>
    <col min="7" max="7" width="5.44140625" style="32" bestFit="1" customWidth="1" collapsed="1"/>
    <col min="8" max="8" width="9.44140625" style="33" bestFit="1" customWidth="1"/>
    <col min="9" max="9" width="4.44140625" style="42" bestFit="1" customWidth="1"/>
    <col min="10" max="10" width="45.6640625" style="36" customWidth="1"/>
    <col min="11" max="11" width="3.44140625" style="42" bestFit="1" customWidth="1"/>
    <col min="12" max="12" width="2.6640625" style="42" bestFit="1" customWidth="1"/>
    <col min="13" max="13" width="8.6640625" style="36" customWidth="1"/>
    <col min="14" max="14" width="4.6640625" style="36" customWidth="1"/>
    <col min="15" max="15" width="8.109375" style="37" customWidth="1"/>
    <col min="16" max="16" width="10.6640625" style="37" customWidth="1"/>
    <col min="17" max="17" width="13.6640625" style="37" customWidth="1"/>
    <col min="18" max="19" width="5.109375" style="36" customWidth="1"/>
    <col min="20" max="20" width="11.6640625" style="36" customWidth="1"/>
    <col min="21" max="21" width="8.6640625" style="36" customWidth="1"/>
    <col min="22" max="22" width="10.6640625" style="32" customWidth="1"/>
    <col min="23" max="16384" width="9" style="32"/>
  </cols>
  <sheetData>
    <row r="1" spans="1:22" ht="13.8" thickBot="1">
      <c r="G1" s="93" t="str">
        <f ca="1">RIGHT(CELL("filename",G1),LEN(CELL("filename",G1))-FIND("]",CELL("filename",G1)))</f>
        <v>納品書明細F-15</v>
      </c>
      <c r="Q1" s="153" t="s">
        <v>432</v>
      </c>
      <c r="T1" s="342" t="s">
        <v>575</v>
      </c>
    </row>
    <row r="2" spans="1:22" ht="14.4">
      <c r="N2" s="106" t="str">
        <f>IF('納品書明細16-E'!$N$2="","",'納品書明細16-E'!$N$2)</f>
        <v>\</v>
      </c>
      <c r="O2" s="107" t="str">
        <f>IF('納品書明細16-E'!$O$2="","",'納品書明細16-E'!$O$2)</f>
        <v>1</v>
      </c>
      <c r="Q2" s="149">
        <f>SUMIF($N$9:$N$297,$N2,$Q$9:$Q$297)</f>
        <v>53033077</v>
      </c>
      <c r="T2" s="472" t="s">
        <v>694</v>
      </c>
    </row>
    <row r="3" spans="1:22" ht="14.4">
      <c r="A3" s="93"/>
      <c r="G3" s="248"/>
      <c r="H3" s="16" t="s">
        <v>82</v>
      </c>
      <c r="N3" s="108" t="str">
        <f>IF('納品書明細16-E'!$N$3="","",'納品書明細16-E'!$N$3)</f>
        <v>$</v>
      </c>
      <c r="O3" s="109" t="str">
        <f>IF('納品書明細16-E'!$O$3="","",'納品書明細16-E'!$O$3)</f>
        <v>2</v>
      </c>
      <c r="Q3" s="150">
        <f>SUMIF($N$9:$N$297,$N3,$Q$9:$Q$297)</f>
        <v>716505.55</v>
      </c>
    </row>
    <row r="4" spans="1:22" ht="14.4">
      <c r="A4" s="93"/>
      <c r="G4" s="250"/>
      <c r="H4" s="16" t="s">
        <v>83</v>
      </c>
      <c r="N4" s="108" t="str">
        <f>IF('納品書明細16-E'!$N$4="","",'納品書明細16-E'!$N$4)</f>
        <v>HK$</v>
      </c>
      <c r="O4" s="109" t="str">
        <f>IF('納品書明細16-E'!$O$4="","",'納品書明細16-E'!$O$4)</f>
        <v>3</v>
      </c>
      <c r="Q4" s="151">
        <f>SUMIF($N$9:$N$297,$N4,$Q$9:$Q$297)</f>
        <v>221400</v>
      </c>
    </row>
    <row r="5" spans="1:22" ht="15" thickBot="1">
      <c r="A5" s="93"/>
      <c r="G5" s="479"/>
      <c r="H5" t="s">
        <v>456</v>
      </c>
      <c r="N5" s="110" t="str">
        <f>IF('納品書明細16-E'!$N$5="","",'納品書明細16-E'!$N$5)</f>
        <v/>
      </c>
      <c r="O5" s="111" t="str">
        <f>IF('納品書明細16-E'!O5="","",'納品書明細16-E'!O5)</f>
        <v>4</v>
      </c>
      <c r="Q5" s="152">
        <f>SUMIF($N$9:$N$297,$N5,$Q$9:$Q$297)</f>
        <v>0</v>
      </c>
    </row>
    <row r="6" spans="1:22" s="31" customFormat="1" ht="17.25" customHeight="1">
      <c r="B6" s="676" t="s">
        <v>389</v>
      </c>
      <c r="C6" s="676" t="s">
        <v>388</v>
      </c>
      <c r="D6" s="676" t="s">
        <v>387</v>
      </c>
      <c r="E6" s="678" t="s">
        <v>41</v>
      </c>
      <c r="F6" s="678" t="s">
        <v>42</v>
      </c>
      <c r="G6" s="680" t="s">
        <v>8</v>
      </c>
      <c r="H6" s="680" t="s">
        <v>21</v>
      </c>
      <c r="I6" s="681" t="s">
        <v>40</v>
      </c>
      <c r="J6" s="681"/>
      <c r="K6" s="681"/>
      <c r="L6" s="681"/>
      <c r="M6" s="681"/>
      <c r="N6" s="682"/>
      <c r="O6" s="682"/>
      <c r="P6" s="681"/>
      <c r="Q6" s="682"/>
      <c r="R6" s="679" t="s">
        <v>7</v>
      </c>
      <c r="S6" s="679"/>
      <c r="T6" s="679"/>
      <c r="U6" s="674" t="s">
        <v>441</v>
      </c>
      <c r="V6" s="672" t="s">
        <v>457</v>
      </c>
    </row>
    <row r="7" spans="1:22" ht="17.25" customHeight="1">
      <c r="B7" s="676"/>
      <c r="C7" s="677"/>
      <c r="D7" s="677"/>
      <c r="E7" s="678"/>
      <c r="F7" s="678"/>
      <c r="G7" s="680"/>
      <c r="H7" s="680"/>
      <c r="I7" s="683" t="s">
        <v>625</v>
      </c>
      <c r="J7" s="684"/>
      <c r="K7" s="685"/>
      <c r="L7" s="683" t="s">
        <v>618</v>
      </c>
      <c r="M7" s="685"/>
      <c r="N7" s="486" t="s">
        <v>385</v>
      </c>
      <c r="O7" s="487" t="s">
        <v>0</v>
      </c>
      <c r="P7" s="488" t="s">
        <v>1</v>
      </c>
      <c r="Q7" s="308" t="s">
        <v>2</v>
      </c>
      <c r="R7" s="101" t="s">
        <v>75</v>
      </c>
      <c r="S7" s="101" t="s">
        <v>76</v>
      </c>
      <c r="T7" s="101" t="s">
        <v>9</v>
      </c>
      <c r="U7" s="675"/>
      <c r="V7" s="673"/>
    </row>
    <row r="8" spans="1:22" s="58" customFormat="1" ht="12" customHeight="1">
      <c r="A8" s="586"/>
      <c r="B8" s="575" t="s">
        <v>400</v>
      </c>
      <c r="C8" s="575" t="s">
        <v>401</v>
      </c>
      <c r="D8" s="575" t="s">
        <v>402</v>
      </c>
      <c r="E8" s="575" t="s">
        <v>403</v>
      </c>
      <c r="F8" s="575" t="s">
        <v>404</v>
      </c>
      <c r="G8" s="575" t="s">
        <v>109</v>
      </c>
      <c r="H8" s="575" t="s">
        <v>110</v>
      </c>
      <c r="I8" s="587" t="s">
        <v>405</v>
      </c>
      <c r="J8" s="587" t="s">
        <v>406</v>
      </c>
      <c r="K8" s="587" t="s">
        <v>407</v>
      </c>
      <c r="L8" s="587" t="s">
        <v>408</v>
      </c>
      <c r="M8" s="587" t="s">
        <v>409</v>
      </c>
      <c r="N8" s="575" t="s">
        <v>410</v>
      </c>
      <c r="O8" s="575" t="s">
        <v>411</v>
      </c>
      <c r="P8" s="575" t="s">
        <v>412</v>
      </c>
      <c r="Q8" s="575" t="s">
        <v>413</v>
      </c>
      <c r="R8" s="587" t="s">
        <v>414</v>
      </c>
      <c r="S8" s="587" t="s">
        <v>415</v>
      </c>
      <c r="T8" s="575" t="s">
        <v>416</v>
      </c>
      <c r="U8" s="575" t="s">
        <v>442</v>
      </c>
    </row>
    <row r="9" spans="1:22" ht="15" customHeight="1">
      <c r="A9" s="58">
        <f>IF($Q9="","",MAX($A$8:$A8)+1)</f>
        <v>1</v>
      </c>
      <c r="B9" s="614" t="str">
        <f t="shared" ref="B9:B72" si="0">LEFT($D9,8)</f>
        <v>14000211</v>
      </c>
      <c r="C9" s="614" t="str">
        <f t="shared" ref="C9:C72" si="1">IF($H9="","",CONCATENATE(VLOOKUP($N9,$N$2:$O$5,2,FALSE),$I9,IF($K9="","00",$K9),$E9,$L9))</f>
        <v>14000214</v>
      </c>
      <c r="D9" s="614" t="str">
        <f t="shared" ref="D9:D72" si="2">IF($H9="","",CONCATENATE(VLOOKUP($N9,$N$2:$O$5,2,FALSE),$I9,IF($K9="","00",$K9),$E9,$F9,$L9))</f>
        <v>140002114</v>
      </c>
      <c r="E9" s="615">
        <f t="shared" ref="E9:E72" si="3">IF($H9="","",IF($T9="",1,9))</f>
        <v>1</v>
      </c>
      <c r="F9" s="616">
        <f>IF($H9="","",IF(ISNA(MATCH($H9,$H$7:$H7,0)),1,0))</f>
        <v>1</v>
      </c>
      <c r="G9" s="249">
        <v>43160</v>
      </c>
      <c r="H9" s="95" t="s">
        <v>587</v>
      </c>
      <c r="I9" s="598" t="str">
        <f>IF($J9="","",INDEX(ﾏｽﾀ!$E$8:$E$124,MATCH(INDEX(ﾏｽﾀ!$N$8:$N$124,MATCH($J9,ﾏｽﾀ!$O$8:$O$124,0)),ﾏｽﾀ!$B$8:$B$124,0))&amp;"")</f>
        <v>400</v>
      </c>
      <c r="J9" s="534" t="s">
        <v>614</v>
      </c>
      <c r="K9" s="598" t="str">
        <f>IF($J9="","",INDEX(ﾏｽﾀ!$G$8:$G$124,MATCH(INDEX(ﾏｽﾀ!$N$8:$N$124,MATCH($J9,ﾏｽﾀ!$O$8:$O$124,0)),ﾏｽﾀ!$B$8:$B$124,0))&amp;"")</f>
        <v>02</v>
      </c>
      <c r="L9" s="600" t="str">
        <f>IF($M9="","",INDEX(ﾏｽﾀ!$T$8:$T$16,MATCH($M9,ﾏｽﾀ!$U$8:$U$16,0))&amp;"")</f>
        <v>4</v>
      </c>
      <c r="M9" s="534" t="s">
        <v>621</v>
      </c>
      <c r="N9" s="463" t="s">
        <v>550</v>
      </c>
      <c r="O9" s="464">
        <v>200</v>
      </c>
      <c r="P9" s="465">
        <v>953</v>
      </c>
      <c r="Q9" s="466">
        <f>IF($O9="","",IF($N9="\",ROUNDDOWN($O9*$P9,0)+$U9,ROUNDDOWN($O9*$P9,2)+$U9))</f>
        <v>190600</v>
      </c>
      <c r="R9" s="154" t="str">
        <f>IF($T9="","",VLOOKUP($T9,請求Data!$I$11:$AR$160,請求Data!$AL$10-請求Data!$H$10,0))</f>
        <v/>
      </c>
      <c r="S9" s="155" t="str">
        <f>IF($T9="","",VLOOKUP($T9,請求Data!$I$11:$AR$160,請求Data!$AM$10-請求Data!$H$10,0))</f>
        <v/>
      </c>
      <c r="T9" s="467" t="str">
        <f>IF(ISNA(MATCH($H9,請求Data!$AH$11:$AH$160,0)),"",VLOOKUP($H9,請求Data!$AH$11:$AR$160,請求Data!$AK$10-請求Data!$AG$10,0))</f>
        <v/>
      </c>
      <c r="U9" s="468"/>
      <c r="V9" s="58"/>
    </row>
    <row r="10" spans="1:22" ht="15" customHeight="1">
      <c r="A10" s="58">
        <f>IF($Q10="","",MAX($A$8:$A9)+1)</f>
        <v>2</v>
      </c>
      <c r="B10" s="614" t="str">
        <f t="shared" si="0"/>
        <v>11001011</v>
      </c>
      <c r="C10" s="614" t="str">
        <f t="shared" si="1"/>
        <v>11001014</v>
      </c>
      <c r="D10" s="614" t="str">
        <f t="shared" si="2"/>
        <v>110010114</v>
      </c>
      <c r="E10" s="615">
        <f t="shared" si="3"/>
        <v>1</v>
      </c>
      <c r="F10" s="616">
        <f>IF($H10="","",IF(ISNA(MATCH($H10,$H$7:$H9,0)),1,0))</f>
        <v>1</v>
      </c>
      <c r="G10" s="249">
        <v>43160</v>
      </c>
      <c r="H10" s="95" t="s">
        <v>588</v>
      </c>
      <c r="I10" s="598" t="str">
        <f>IF($J10="","",INDEX(ﾏｽﾀ!$E$8:$E$124,MATCH(INDEX(ﾏｽﾀ!$N$8:$N$124,MATCH($J10,ﾏｽﾀ!$O$8:$O$124,0)),ﾏｽﾀ!$B$8:$B$124,0))&amp;"")</f>
        <v>100</v>
      </c>
      <c r="J10" s="534" t="s">
        <v>584</v>
      </c>
      <c r="K10" s="598" t="str">
        <f>IF($J10="","",INDEX(ﾏｽﾀ!$G$8:$G$124,MATCH(INDEX(ﾏｽﾀ!$N$8:$N$124,MATCH($J10,ﾏｽﾀ!$O$8:$O$124,0)),ﾏｽﾀ!$B$8:$B$124,0))&amp;"")</f>
        <v>10</v>
      </c>
      <c r="L10" s="600" t="str">
        <f>IF($M10="","",INDEX(ﾏｽﾀ!$T$8:$T$16,MATCH($M10,ﾏｽﾀ!$U$8:$U$16,0))&amp;"")</f>
        <v>4</v>
      </c>
      <c r="M10" s="534" t="s">
        <v>621</v>
      </c>
      <c r="N10" s="463" t="s">
        <v>550</v>
      </c>
      <c r="O10" s="464">
        <v>31</v>
      </c>
      <c r="P10" s="465">
        <v>953</v>
      </c>
      <c r="Q10" s="466">
        <f>IF($O10="","",IF($N10="\",ROUNDDOWN($O10*$P10,0)+$U10,ROUNDDOWN($O10*$P10,2)+$U10))</f>
        <v>29544</v>
      </c>
      <c r="R10" s="154" t="str">
        <f>IF($T10="","",VLOOKUP($T10,請求Data!$I$11:$AR$160,請求Data!$AL$10-請求Data!$H$10,0))</f>
        <v/>
      </c>
      <c r="S10" s="155" t="str">
        <f>IF($T10="","",VLOOKUP($T10,請求Data!$I$11:$AR$160,請求Data!$AM$10-請求Data!$H$10,0))</f>
        <v/>
      </c>
      <c r="T10" s="467" t="str">
        <f>IF(ISNA(MATCH($H10,請求Data!$AH$11:$AH$160,0)),"",VLOOKUP($H10,請求Data!$AH$11:$AR$160,請求Data!$AK$10-請求Data!$AG$10,0))</f>
        <v/>
      </c>
      <c r="U10" s="468">
        <v>1</v>
      </c>
      <c r="V10" s="58"/>
    </row>
    <row r="11" spans="1:22" ht="15" customHeight="1">
      <c r="A11" s="58">
        <f>IF($Q11="","",MAX($A$8:$A10)+1)</f>
        <v>3</v>
      </c>
      <c r="B11" s="614" t="str">
        <f t="shared" si="0"/>
        <v>11001011</v>
      </c>
      <c r="C11" s="614" t="str">
        <f t="shared" si="1"/>
        <v>11001011</v>
      </c>
      <c r="D11" s="614" t="str">
        <f t="shared" si="2"/>
        <v>110010111</v>
      </c>
      <c r="E11" s="615">
        <f t="shared" si="3"/>
        <v>1</v>
      </c>
      <c r="F11" s="616">
        <f>IF($H11="","",IF(ISNA(MATCH($H11,$H$7:$H10,0)),1,0))</f>
        <v>1</v>
      </c>
      <c r="G11" s="249">
        <v>43160</v>
      </c>
      <c r="H11" s="95" t="s">
        <v>589</v>
      </c>
      <c r="I11" s="598" t="str">
        <f>IF($J11="","",INDEX(ﾏｽﾀ!$E$8:$E$124,MATCH(INDEX(ﾏｽﾀ!$N$8:$N$124,MATCH($J11,ﾏｽﾀ!$O$8:$O$124,0)),ﾏｽﾀ!$B$8:$B$124,0))&amp;"")</f>
        <v>100</v>
      </c>
      <c r="J11" s="534" t="s">
        <v>584</v>
      </c>
      <c r="K11" s="598" t="str">
        <f>IF($J11="","",INDEX(ﾏｽﾀ!$G$8:$G$124,MATCH(INDEX(ﾏｽﾀ!$N$8:$N$124,MATCH($J11,ﾏｽﾀ!$O$8:$O$124,0)),ﾏｽﾀ!$B$8:$B$124,0))&amp;"")</f>
        <v>10</v>
      </c>
      <c r="L11" s="600" t="str">
        <f>IF($M11="","",INDEX(ﾏｽﾀ!$T$8:$T$16,MATCH($M11,ﾏｽﾀ!$U$8:$U$16,0))&amp;"")</f>
        <v>1</v>
      </c>
      <c r="M11" s="534" t="s">
        <v>24</v>
      </c>
      <c r="N11" s="463" t="s">
        <v>550</v>
      </c>
      <c r="O11" s="464">
        <v>18288</v>
      </c>
      <c r="P11" s="465">
        <v>111.03</v>
      </c>
      <c r="Q11" s="466">
        <f>IF($O11="","",IF($N11="\",ROUNDDOWN($O11*$P11,0)+$U11,ROUNDDOWN($O11*$P11,2)+$U11))</f>
        <v>2030516</v>
      </c>
      <c r="R11" s="154" t="str">
        <f>IF($T11="","",VLOOKUP($T11,請求Data!$I$11:$AR$160,請求Data!$AL$10-請求Data!$H$10,0))</f>
        <v/>
      </c>
      <c r="S11" s="155" t="str">
        <f>IF($T11="","",VLOOKUP($T11,請求Data!$I$11:$AR$160,請求Data!$AM$10-請求Data!$H$10,0))</f>
        <v/>
      </c>
      <c r="T11" s="467" t="str">
        <f>IF(ISNA(MATCH($H11,請求Data!$AH$11:$AH$160,0)),"",VLOOKUP($H11,請求Data!$AH$11:$AR$160,請求Data!$AK$10-請求Data!$AG$10,0))</f>
        <v/>
      </c>
      <c r="U11" s="468"/>
      <c r="V11" s="58"/>
    </row>
    <row r="12" spans="1:22" ht="15" customHeight="1">
      <c r="A12" s="58">
        <f>IF($Q12="","",MAX($A$8:$A11)+1)</f>
        <v>4</v>
      </c>
      <c r="B12" s="614" t="str">
        <f t="shared" si="0"/>
        <v>11001511</v>
      </c>
      <c r="C12" s="614" t="str">
        <f t="shared" si="1"/>
        <v>11001513</v>
      </c>
      <c r="D12" s="614" t="str">
        <f t="shared" si="2"/>
        <v>110015113</v>
      </c>
      <c r="E12" s="615">
        <f t="shared" si="3"/>
        <v>1</v>
      </c>
      <c r="F12" s="616">
        <f>IF($H12="","",IF(ISNA(MATCH($H12,$H$7:$H11,0)),1,0))</f>
        <v>1</v>
      </c>
      <c r="G12" s="249">
        <v>43165</v>
      </c>
      <c r="H12" s="95" t="s">
        <v>590</v>
      </c>
      <c r="I12" s="598" t="str">
        <f>IF($J12="","",INDEX(ﾏｽﾀ!$E$8:$E$124,MATCH(INDEX(ﾏｽﾀ!$N$8:$N$124,MATCH($J12,ﾏｽﾀ!$O$8:$O$124,0)),ﾏｽﾀ!$B$8:$B$124,0))&amp;"")</f>
        <v>100</v>
      </c>
      <c r="J12" s="534" t="s">
        <v>611</v>
      </c>
      <c r="K12" s="598" t="str">
        <f>IF($J12="","",INDEX(ﾏｽﾀ!$G$8:$G$124,MATCH(INDEX(ﾏｽﾀ!$N$8:$N$124,MATCH($J12,ﾏｽﾀ!$O$8:$O$124,0)),ﾏｽﾀ!$B$8:$B$124,0))&amp;"")</f>
        <v>15</v>
      </c>
      <c r="L12" s="600" t="str">
        <f>IF($M12="","",INDEX(ﾏｽﾀ!$T$8:$T$16,MATCH($M12,ﾏｽﾀ!$U$8:$U$16,0))&amp;"")</f>
        <v>3</v>
      </c>
      <c r="M12" s="534" t="s">
        <v>620</v>
      </c>
      <c r="N12" s="463" t="s">
        <v>550</v>
      </c>
      <c r="O12" s="464">
        <v>210</v>
      </c>
      <c r="P12" s="465">
        <v>90.99</v>
      </c>
      <c r="Q12" s="466">
        <f>IF($O12="","",IF($N12="\",ROUNDDOWN($O12*$P12,0)+$U12,ROUNDDOWN($O12*$P12,2)+$U12))</f>
        <v>19107</v>
      </c>
      <c r="R12" s="154" t="str">
        <f>IF($T12="","",VLOOKUP($T12,請求Data!$I$11:$AR$160,請求Data!$AL$10-請求Data!$H$10,0))</f>
        <v/>
      </c>
      <c r="S12" s="155" t="str">
        <f>IF($T12="","",VLOOKUP($T12,請求Data!$I$11:$AR$160,請求Data!$AM$10-請求Data!$H$10,0))</f>
        <v/>
      </c>
      <c r="T12" s="467" t="str">
        <f>IF(ISNA(MATCH($H12,請求Data!$AH$11:$AH$160,0)),"",VLOOKUP($H12,請求Data!$AH$11:$AR$160,請求Data!$AK$10-請求Data!$AG$10,0))</f>
        <v/>
      </c>
      <c r="U12" s="468"/>
      <c r="V12" s="58"/>
    </row>
    <row r="13" spans="1:22" ht="15" customHeight="1">
      <c r="A13" s="58">
        <f>IF($Q13="","",MAX($A$8:$A12)+1)</f>
        <v>5</v>
      </c>
      <c r="B13" s="614" t="str">
        <f t="shared" si="0"/>
        <v>11200191</v>
      </c>
      <c r="C13" s="614" t="str">
        <f t="shared" si="1"/>
        <v>11200194</v>
      </c>
      <c r="D13" s="614" t="str">
        <f t="shared" si="2"/>
        <v>112001914</v>
      </c>
      <c r="E13" s="615">
        <f t="shared" si="3"/>
        <v>9</v>
      </c>
      <c r="F13" s="616">
        <f>IF($H13="","",IF(ISNA(MATCH($H13,$H$7:$H12,0)),1,0))</f>
        <v>1</v>
      </c>
      <c r="G13" s="249">
        <v>43166</v>
      </c>
      <c r="H13" s="95" t="s">
        <v>564</v>
      </c>
      <c r="I13" s="598" t="str">
        <f>IF($J13="","",INDEX(ﾏｽﾀ!$E$8:$E$124,MATCH(INDEX(ﾏｽﾀ!$N$8:$N$124,MATCH($J13,ﾏｽﾀ!$O$8:$O$124,0)),ﾏｽﾀ!$B$8:$B$124,0))&amp;"")</f>
        <v>120</v>
      </c>
      <c r="J13" s="534" t="s">
        <v>655</v>
      </c>
      <c r="K13" s="598" t="str">
        <f>IF($J13="","",INDEX(ﾏｽﾀ!$G$8:$G$124,MATCH(INDEX(ﾏｽﾀ!$N$8:$N$124,MATCH($J13,ﾏｽﾀ!$O$8:$O$124,0)),ﾏｽﾀ!$B$8:$B$124,0))&amp;"")</f>
        <v>01</v>
      </c>
      <c r="L13" s="600" t="str">
        <f>IF($M13="","",INDEX(ﾏｽﾀ!$T$8:$T$16,MATCH($M13,ﾏｽﾀ!$U$8:$U$16,0))&amp;"")</f>
        <v>4</v>
      </c>
      <c r="M13" s="534" t="s">
        <v>621</v>
      </c>
      <c r="N13" s="463" t="s">
        <v>550</v>
      </c>
      <c r="O13" s="464">
        <v>460</v>
      </c>
      <c r="P13" s="465">
        <v>19.059999999999999</v>
      </c>
      <c r="Q13" s="466">
        <f>IF($O13="","",IF($N13="\",ROUNDDOWN($O13*$P13,0)+$U13,ROUNDDOWN($O13*$P13,2)+$U13))</f>
        <v>8766</v>
      </c>
      <c r="R13" s="154">
        <f>IF($T13="","",VLOOKUP($T13,請求Data!$I$11:$AR$160,請求Data!$AL$10-請求Data!$H$10,0))</f>
        <v>43160</v>
      </c>
      <c r="S13" s="155">
        <f>IF($T13="","",VLOOKUP($T13,請求Data!$I$11:$AR$160,請求Data!$AM$10-請求Data!$H$10,0))</f>
        <v>20</v>
      </c>
      <c r="T13" s="467" t="str">
        <f>IF(ISNA(MATCH($H13,請求Data!$AH$11:$AH$160,0)),"",VLOOKUP($H13,請求Data!$AH$11:$AR$160,請求Data!$AK$10-請求Data!$AG$10,0))</f>
        <v>39-B07010</v>
      </c>
      <c r="U13" s="468">
        <v>-1</v>
      </c>
      <c r="V13" s="58"/>
    </row>
    <row r="14" spans="1:22" ht="15" customHeight="1">
      <c r="A14" s="58">
        <f>IF($Q14="","",MAX($A$8:$A13)+1)</f>
        <v>6</v>
      </c>
      <c r="B14" s="614" t="str">
        <f t="shared" si="0"/>
        <v>11001911</v>
      </c>
      <c r="C14" s="614" t="str">
        <f t="shared" si="1"/>
        <v>11001911</v>
      </c>
      <c r="D14" s="614" t="str">
        <f t="shared" si="2"/>
        <v>110019111</v>
      </c>
      <c r="E14" s="615">
        <f t="shared" si="3"/>
        <v>1</v>
      </c>
      <c r="F14" s="616">
        <f>IF($H14="","",IF(ISNA(MATCH($H14,$H$7:$H13,0)),1,0))</f>
        <v>1</v>
      </c>
      <c r="G14" s="249">
        <v>43166</v>
      </c>
      <c r="H14" s="95" t="s">
        <v>591</v>
      </c>
      <c r="I14" s="598" t="str">
        <f>IF($J14="","",INDEX(ﾏｽﾀ!$E$8:$E$124,MATCH(INDEX(ﾏｽﾀ!$N$8:$N$124,MATCH($J14,ﾏｽﾀ!$O$8:$O$124,0)),ﾏｽﾀ!$B$8:$B$124,0))&amp;"")</f>
        <v>100</v>
      </c>
      <c r="J14" s="534" t="s">
        <v>613</v>
      </c>
      <c r="K14" s="598" t="str">
        <f>IF($J14="","",INDEX(ﾏｽﾀ!$G$8:$G$124,MATCH(INDEX(ﾏｽﾀ!$N$8:$N$124,MATCH($J14,ﾏｽﾀ!$O$8:$O$124,0)),ﾏｽﾀ!$B$8:$B$124,0))&amp;"")</f>
        <v>19</v>
      </c>
      <c r="L14" s="600" t="str">
        <f>IF($M14="","",INDEX(ﾏｽﾀ!$T$8:$T$16,MATCH($M14,ﾏｽﾀ!$U$8:$U$16,0))&amp;"")</f>
        <v>1</v>
      </c>
      <c r="M14" s="534" t="s">
        <v>24</v>
      </c>
      <c r="N14" s="463" t="s">
        <v>550</v>
      </c>
      <c r="O14" s="464">
        <v>17016</v>
      </c>
      <c r="P14" s="465">
        <v>1433</v>
      </c>
      <c r="Q14" s="466">
        <f t="shared" ref="Q14:Q77" si="4">IF($O14="","",IF($N14="\",ROUNDDOWN($O14*$P14,0)+$U14,ROUNDDOWN($O14*$P14,2)+$U14))</f>
        <v>24383928</v>
      </c>
      <c r="R14" s="154" t="str">
        <f>IF($T14="","",VLOOKUP($T14,請求Data!$I$11:$AR$160,請求Data!$AL$10-請求Data!$H$10,0))</f>
        <v/>
      </c>
      <c r="S14" s="155" t="str">
        <f>IF($T14="","",VLOOKUP($T14,請求Data!$I$11:$AR$160,請求Data!$AM$10-請求Data!$H$10,0))</f>
        <v/>
      </c>
      <c r="T14" s="467" t="str">
        <f>IF(ISNA(MATCH($H14,請求Data!$AH$11:$AH$160,0)),"",VLOOKUP($H14,請求Data!$AH$11:$AR$160,請求Data!$AK$10-請求Data!$AG$10,0))</f>
        <v/>
      </c>
      <c r="U14" s="468"/>
      <c r="V14" s="58"/>
    </row>
    <row r="15" spans="1:22" ht="15" customHeight="1">
      <c r="A15" s="58">
        <f>IF($Q15="","",MAX($A$8:$A14)+1)</f>
        <v>7</v>
      </c>
      <c r="B15" s="614" t="str">
        <f t="shared" si="0"/>
        <v>21000511</v>
      </c>
      <c r="C15" s="614" t="str">
        <f t="shared" si="1"/>
        <v>21000519</v>
      </c>
      <c r="D15" s="614" t="str">
        <f t="shared" si="2"/>
        <v>210005119</v>
      </c>
      <c r="E15" s="615">
        <f t="shared" si="3"/>
        <v>1</v>
      </c>
      <c r="F15" s="616">
        <f>IF($H15="","",IF(ISNA(MATCH($H15,$H$7:$H14,0)),1,0))</f>
        <v>1</v>
      </c>
      <c r="G15" s="249">
        <v>43168</v>
      </c>
      <c r="H15" s="95" t="s">
        <v>592</v>
      </c>
      <c r="I15" s="598" t="str">
        <f>IF($J15="","",INDEX(ﾏｽﾀ!$E$8:$E$124,MATCH(INDEX(ﾏｽﾀ!$N$8:$N$124,MATCH($J15,ﾏｽﾀ!$O$8:$O$124,0)),ﾏｽﾀ!$B$8:$B$124,0))&amp;"")</f>
        <v>100</v>
      </c>
      <c r="J15" s="534" t="s">
        <v>583</v>
      </c>
      <c r="K15" s="598" t="str">
        <f>IF($J15="","",INDEX(ﾏｽﾀ!$G$8:$G$124,MATCH(INDEX(ﾏｽﾀ!$N$8:$N$124,MATCH($J15,ﾏｽﾀ!$O$8:$O$124,0)),ﾏｽﾀ!$B$8:$B$124,0))&amp;"")</f>
        <v>05</v>
      </c>
      <c r="L15" s="600" t="str">
        <f>IF($M15="","",INDEX(ﾏｽﾀ!$T$8:$T$16,MATCH($M15,ﾏｽﾀ!$U$8:$U$16,0))&amp;"")</f>
        <v>9</v>
      </c>
      <c r="M15" s="534" t="s">
        <v>26</v>
      </c>
      <c r="N15" s="463" t="s">
        <v>559</v>
      </c>
      <c r="O15" s="464">
        <v>1</v>
      </c>
      <c r="P15" s="465">
        <v>661000</v>
      </c>
      <c r="Q15" s="466">
        <f t="shared" si="4"/>
        <v>661000</v>
      </c>
      <c r="R15" s="154" t="str">
        <f>IF($T15="","",VLOOKUP($T15,請求Data!$I$11:$AR$160,請求Data!$AL$10-請求Data!$H$10,0))</f>
        <v/>
      </c>
      <c r="S15" s="155" t="str">
        <f>IF($T15="","",VLOOKUP($T15,請求Data!$I$11:$AR$160,請求Data!$AM$10-請求Data!$H$10,0))</f>
        <v/>
      </c>
      <c r="T15" s="467" t="str">
        <f>IF(ISNA(MATCH($H15,請求Data!$AH$11:$AH$160,0)),"",VLOOKUP($H15,請求Data!$AH$11:$AR$160,請求Data!$AK$10-請求Data!$AG$10,0))</f>
        <v/>
      </c>
      <c r="U15" s="468"/>
      <c r="V15" s="58"/>
    </row>
    <row r="16" spans="1:22" ht="15" customHeight="1">
      <c r="A16" s="58">
        <f>IF($Q16="","",MAX($A$8:$A15)+1)</f>
        <v>8</v>
      </c>
      <c r="B16" s="614" t="str">
        <f t="shared" si="0"/>
        <v>11200111</v>
      </c>
      <c r="C16" s="614" t="str">
        <f t="shared" si="1"/>
        <v>11200111</v>
      </c>
      <c r="D16" s="614" t="str">
        <f t="shared" si="2"/>
        <v>112001111</v>
      </c>
      <c r="E16" s="615">
        <f t="shared" si="3"/>
        <v>1</v>
      </c>
      <c r="F16" s="616">
        <f>IF($H16="","",IF(ISNA(MATCH($H16,$H$7:$H15,0)),1,0))</f>
        <v>1</v>
      </c>
      <c r="G16" s="249">
        <v>43168</v>
      </c>
      <c r="H16" s="95" t="s">
        <v>565</v>
      </c>
      <c r="I16" s="598" t="str">
        <f>IF($J16="","",INDEX(ﾏｽﾀ!$E$8:$E$124,MATCH(INDEX(ﾏｽﾀ!$N$8:$N$124,MATCH($J16,ﾏｽﾀ!$O$8:$O$124,0)),ﾏｽﾀ!$B$8:$B$124,0))&amp;"")</f>
        <v>120</v>
      </c>
      <c r="J16" s="534" t="s">
        <v>655</v>
      </c>
      <c r="K16" s="598" t="str">
        <f>IF($J16="","",INDEX(ﾏｽﾀ!$G$8:$G$124,MATCH(INDEX(ﾏｽﾀ!$N$8:$N$124,MATCH($J16,ﾏｽﾀ!$O$8:$O$124,0)),ﾏｽﾀ!$B$8:$B$124,0))&amp;"")</f>
        <v>01</v>
      </c>
      <c r="L16" s="600" t="str">
        <f>IF($M16="","",INDEX(ﾏｽﾀ!$T$8:$T$16,MATCH($M16,ﾏｽﾀ!$U$8:$U$16,0))&amp;"")</f>
        <v>1</v>
      </c>
      <c r="M16" s="534" t="s">
        <v>24</v>
      </c>
      <c r="N16" s="463" t="s">
        <v>550</v>
      </c>
      <c r="O16" s="464">
        <v>800</v>
      </c>
      <c r="P16" s="465">
        <v>7419.6</v>
      </c>
      <c r="Q16" s="466">
        <f t="shared" si="4"/>
        <v>5935680</v>
      </c>
      <c r="R16" s="154" t="str">
        <f>IF($T16="","",VLOOKUP($T16,請求Data!$I$11:$AR$160,請求Data!$AL$10-請求Data!$H$10,0))</f>
        <v/>
      </c>
      <c r="S16" s="155" t="str">
        <f>IF($T16="","",VLOOKUP($T16,請求Data!$I$11:$AR$160,請求Data!$AM$10-請求Data!$H$10,0))</f>
        <v/>
      </c>
      <c r="T16" s="467" t="str">
        <f>IF(ISNA(MATCH($H16,請求Data!$AH$11:$AH$160,0)),"",VLOOKUP($H16,請求Data!$AH$11:$AR$160,請求Data!$AK$10-請求Data!$AG$10,0))</f>
        <v/>
      </c>
      <c r="U16" s="468"/>
      <c r="V16" s="58"/>
    </row>
    <row r="17" spans="1:22" ht="15" customHeight="1">
      <c r="A17" s="58">
        <f>IF($Q17="","",MAX($A$8:$A16)+1)</f>
        <v>9</v>
      </c>
      <c r="B17" s="614" t="str">
        <f t="shared" si="0"/>
        <v>15600011</v>
      </c>
      <c r="C17" s="614" t="str">
        <f t="shared" si="1"/>
        <v>15600011</v>
      </c>
      <c r="D17" s="614" t="str">
        <f t="shared" si="2"/>
        <v>156000111</v>
      </c>
      <c r="E17" s="615">
        <f t="shared" si="3"/>
        <v>1</v>
      </c>
      <c r="F17" s="616">
        <f>IF($H17="","",IF(ISNA(MATCH($H17,$H$7:$H16,0)),1,0))</f>
        <v>1</v>
      </c>
      <c r="G17" s="249">
        <v>43168</v>
      </c>
      <c r="H17" s="95" t="s">
        <v>567</v>
      </c>
      <c r="I17" s="598" t="str">
        <f>IF($J17="","",INDEX(ﾏｽﾀ!$E$8:$E$124,MATCH(INDEX(ﾏｽﾀ!$N$8:$N$124,MATCH($J17,ﾏｽﾀ!$O$8:$O$124,0)),ﾏｽﾀ!$B$8:$B$124,0))&amp;"")</f>
        <v>560</v>
      </c>
      <c r="J17" s="534" t="s">
        <v>615</v>
      </c>
      <c r="K17" s="598" t="str">
        <f>IF($J17="","",INDEX(ﾏｽﾀ!$G$8:$G$124,MATCH(INDEX(ﾏｽﾀ!$N$8:$N$124,MATCH($J17,ﾏｽﾀ!$O$8:$O$124,0)),ﾏｽﾀ!$B$8:$B$124,0))&amp;"")</f>
        <v/>
      </c>
      <c r="L17" s="600" t="str">
        <f>IF($M17="","",INDEX(ﾏｽﾀ!$T$8:$T$16,MATCH($M17,ﾏｽﾀ!$U$8:$U$16,0))&amp;"")</f>
        <v>1</v>
      </c>
      <c r="M17" s="534" t="s">
        <v>24</v>
      </c>
      <c r="N17" s="463" t="s">
        <v>550</v>
      </c>
      <c r="O17" s="464">
        <v>1200</v>
      </c>
      <c r="P17" s="465">
        <v>880</v>
      </c>
      <c r="Q17" s="466">
        <f t="shared" si="4"/>
        <v>1056000</v>
      </c>
      <c r="R17" s="154" t="str">
        <f>IF($T17="","",VLOOKUP($T17,請求Data!$I$11:$AR$160,請求Data!$AL$10-請求Data!$H$10,0))</f>
        <v/>
      </c>
      <c r="S17" s="155" t="str">
        <f>IF($T17="","",VLOOKUP($T17,請求Data!$I$11:$AR$160,請求Data!$AM$10-請求Data!$H$10,0))</f>
        <v/>
      </c>
      <c r="T17" s="467" t="str">
        <f>IF(ISNA(MATCH($H17,請求Data!$AH$11:$AH$160,0)),"",VLOOKUP($H17,請求Data!$AH$11:$AR$160,請求Data!$AK$10-請求Data!$AG$10,0))</f>
        <v/>
      </c>
      <c r="U17" s="468"/>
      <c r="V17" s="58"/>
    </row>
    <row r="18" spans="1:22" ht="15" customHeight="1">
      <c r="A18" s="58">
        <f>IF($Q18="","",MAX($A$8:$A17)+1)</f>
        <v>10</v>
      </c>
      <c r="B18" s="614" t="str">
        <f t="shared" si="0"/>
        <v>11000111</v>
      </c>
      <c r="C18" s="614" t="str">
        <f t="shared" si="1"/>
        <v>11000111</v>
      </c>
      <c r="D18" s="614" t="str">
        <f t="shared" si="2"/>
        <v>110001111</v>
      </c>
      <c r="E18" s="615">
        <f t="shared" si="3"/>
        <v>1</v>
      </c>
      <c r="F18" s="616">
        <f>IF($H18="","",IF(ISNA(MATCH($H18,$H$7:$H17,0)),1,0))</f>
        <v>1</v>
      </c>
      <c r="G18" s="249">
        <v>43168</v>
      </c>
      <c r="H18" s="95" t="s">
        <v>593</v>
      </c>
      <c r="I18" s="598" t="str">
        <f>IF($J18="","",INDEX(ﾏｽﾀ!$E$8:$E$124,MATCH(INDEX(ﾏｽﾀ!$N$8:$N$124,MATCH($J18,ﾏｽﾀ!$O$8:$O$124,0)),ﾏｽﾀ!$B$8:$B$124,0))&amp;"")</f>
        <v>100</v>
      </c>
      <c r="J18" s="534" t="s">
        <v>582</v>
      </c>
      <c r="K18" s="598" t="str">
        <f>IF($J18="","",INDEX(ﾏｽﾀ!$G$8:$G$124,MATCH(INDEX(ﾏｽﾀ!$N$8:$N$124,MATCH($J18,ﾏｽﾀ!$O$8:$O$124,0)),ﾏｽﾀ!$B$8:$B$124,0))&amp;"")</f>
        <v>01</v>
      </c>
      <c r="L18" s="600" t="str">
        <f>IF($M18="","",INDEX(ﾏｽﾀ!$T$8:$T$16,MATCH($M18,ﾏｽﾀ!$U$8:$U$16,0))&amp;"")</f>
        <v>1</v>
      </c>
      <c r="M18" s="534" t="s">
        <v>24</v>
      </c>
      <c r="N18" s="463" t="s">
        <v>550</v>
      </c>
      <c r="O18" s="464">
        <v>100000</v>
      </c>
      <c r="P18" s="465">
        <v>90.99</v>
      </c>
      <c r="Q18" s="466">
        <f t="shared" si="4"/>
        <v>9099000</v>
      </c>
      <c r="R18" s="154" t="str">
        <f>IF($T18="","",VLOOKUP($T18,請求Data!$I$11:$AR$160,請求Data!$AL$10-請求Data!$H$10,0))</f>
        <v/>
      </c>
      <c r="S18" s="155" t="str">
        <f>IF($T18="","",VLOOKUP($T18,請求Data!$I$11:$AR$160,請求Data!$AM$10-請求Data!$H$10,0))</f>
        <v/>
      </c>
      <c r="T18" s="467" t="str">
        <f>IF(ISNA(MATCH($H18,請求Data!$AH$11:$AH$160,0)),"",VLOOKUP($H18,請求Data!$AH$11:$AR$160,請求Data!$AK$10-請求Data!$AG$10,0))</f>
        <v/>
      </c>
      <c r="U18" s="468"/>
      <c r="V18" s="58"/>
    </row>
    <row r="19" spans="1:22" ht="15" customHeight="1">
      <c r="A19" s="58">
        <f>IF($Q19="","",MAX($A$8:$A18)+1)</f>
        <v>11</v>
      </c>
      <c r="B19" s="614" t="str">
        <f t="shared" si="0"/>
        <v>11100211</v>
      </c>
      <c r="C19" s="614" t="str">
        <f t="shared" si="1"/>
        <v>11100211</v>
      </c>
      <c r="D19" s="614" t="str">
        <f t="shared" si="2"/>
        <v>111002111</v>
      </c>
      <c r="E19" s="615">
        <f t="shared" si="3"/>
        <v>1</v>
      </c>
      <c r="F19" s="616">
        <f>IF($H19="","",IF(ISNA(MATCH($H19,$H$7:$H18,0)),1,0))</f>
        <v>1</v>
      </c>
      <c r="G19" s="249">
        <v>43170</v>
      </c>
      <c r="H19" s="95" t="s">
        <v>594</v>
      </c>
      <c r="I19" s="598" t="str">
        <f>IF($J19="","",INDEX(ﾏｽﾀ!$E$8:$E$124,MATCH(INDEX(ﾏｽﾀ!$N$8:$N$124,MATCH($J19,ﾏｽﾀ!$O$8:$O$124,0)),ﾏｽﾀ!$B$8:$B$124,0))&amp;"")</f>
        <v>110</v>
      </c>
      <c r="J19" s="534" t="s">
        <v>513</v>
      </c>
      <c r="K19" s="598" t="str">
        <f>IF($J19="","",INDEX(ﾏｽﾀ!$G$8:$G$124,MATCH(INDEX(ﾏｽﾀ!$N$8:$N$124,MATCH($J19,ﾏｽﾀ!$O$8:$O$124,0)),ﾏｽﾀ!$B$8:$B$124,0))&amp;"")</f>
        <v>02</v>
      </c>
      <c r="L19" s="600" t="str">
        <f>IF($M19="","",INDEX(ﾏｽﾀ!$T$8:$T$16,MATCH($M19,ﾏｽﾀ!$U$8:$U$16,0))&amp;"")</f>
        <v>1</v>
      </c>
      <c r="M19" s="534" t="s">
        <v>24</v>
      </c>
      <c r="N19" s="463" t="s">
        <v>550</v>
      </c>
      <c r="O19" s="464">
        <v>30000</v>
      </c>
      <c r="P19" s="465">
        <v>110</v>
      </c>
      <c r="Q19" s="466">
        <f t="shared" si="4"/>
        <v>3300000</v>
      </c>
      <c r="R19" s="154" t="str">
        <f>IF($T19="","",VLOOKUP($T19,請求Data!$I$11:$AR$160,請求Data!$AL$10-請求Data!$H$10,0))</f>
        <v/>
      </c>
      <c r="S19" s="155" t="str">
        <f>IF($T19="","",VLOOKUP($T19,請求Data!$I$11:$AR$160,請求Data!$AM$10-請求Data!$H$10,0))</f>
        <v/>
      </c>
      <c r="T19" s="467" t="str">
        <f>IF(ISNA(MATCH($H19,請求Data!$AH$11:$AH$160,0)),"",VLOOKUP($H19,請求Data!$AH$11:$AR$160,請求Data!$AK$10-請求Data!$AG$10,0))</f>
        <v/>
      </c>
      <c r="U19" s="468"/>
      <c r="V19" s="58"/>
    </row>
    <row r="20" spans="1:22" ht="15" customHeight="1">
      <c r="A20" s="58">
        <f>IF($Q20="","",MAX($A$8:$A19)+1)</f>
        <v>12</v>
      </c>
      <c r="B20" s="614" t="str">
        <f t="shared" si="0"/>
        <v>31100211</v>
      </c>
      <c r="C20" s="614" t="str">
        <f t="shared" si="1"/>
        <v>31100211</v>
      </c>
      <c r="D20" s="614" t="str">
        <f t="shared" si="2"/>
        <v>311002111</v>
      </c>
      <c r="E20" s="615">
        <f t="shared" si="3"/>
        <v>1</v>
      </c>
      <c r="F20" s="616">
        <f>IF($H20="","",IF(ISNA(MATCH($H20,$H$7:$H19,0)),1,0))</f>
        <v>1</v>
      </c>
      <c r="G20" s="249">
        <v>43172</v>
      </c>
      <c r="H20" s="95" t="s">
        <v>595</v>
      </c>
      <c r="I20" s="598" t="str">
        <f>IF($J20="","",INDEX(ﾏｽﾀ!$E$8:$E$124,MATCH(INDEX(ﾏｽﾀ!$N$8:$N$124,MATCH($J20,ﾏｽﾀ!$O$8:$O$124,0)),ﾏｽﾀ!$B$8:$B$124,0))&amp;"")</f>
        <v>110</v>
      </c>
      <c r="J20" s="534" t="s">
        <v>513</v>
      </c>
      <c r="K20" s="598" t="str">
        <f>IF($J20="","",INDEX(ﾏｽﾀ!$G$8:$G$124,MATCH(INDEX(ﾏｽﾀ!$N$8:$N$124,MATCH($J20,ﾏｽﾀ!$O$8:$O$124,0)),ﾏｽﾀ!$B$8:$B$124,0))&amp;"")</f>
        <v>02</v>
      </c>
      <c r="L20" s="600" t="str">
        <f>IF($M20="","",INDEX(ﾏｽﾀ!$T$8:$T$16,MATCH($M20,ﾏｽﾀ!$U$8:$U$16,0))&amp;"")</f>
        <v>1</v>
      </c>
      <c r="M20" s="534" t="s">
        <v>24</v>
      </c>
      <c r="N20" s="463" t="s">
        <v>393</v>
      </c>
      <c r="O20" s="464">
        <v>18000</v>
      </c>
      <c r="P20" s="465">
        <v>12.3</v>
      </c>
      <c r="Q20" s="466">
        <f t="shared" si="4"/>
        <v>221400</v>
      </c>
      <c r="R20" s="154" t="str">
        <f>IF($T20="","",VLOOKUP($T20,請求Data!$I$11:$AR$160,請求Data!$AL$10-請求Data!$H$10,0))</f>
        <v/>
      </c>
      <c r="S20" s="155" t="str">
        <f>IF($T20="","",VLOOKUP($T20,請求Data!$I$11:$AR$160,請求Data!$AM$10-請求Data!$H$10,0))</f>
        <v/>
      </c>
      <c r="T20" s="467" t="str">
        <f>IF(ISNA(MATCH($H20,請求Data!$AH$11:$AH$160,0)),"",VLOOKUP($H20,請求Data!$AH$11:$AR$160,請求Data!$AK$10-請求Data!$AG$10,0))</f>
        <v/>
      </c>
      <c r="U20" s="468"/>
      <c r="V20" s="58"/>
    </row>
    <row r="21" spans="1:22" ht="15" customHeight="1">
      <c r="A21" s="58">
        <f>IF($Q21="","",MAX($A$8:$A20)+1)</f>
        <v>13</v>
      </c>
      <c r="B21" s="614" t="str">
        <f t="shared" si="0"/>
        <v>11001011</v>
      </c>
      <c r="C21" s="614" t="str">
        <f t="shared" si="1"/>
        <v>11001017</v>
      </c>
      <c r="D21" s="614" t="str">
        <f t="shared" si="2"/>
        <v>110010117</v>
      </c>
      <c r="E21" s="615">
        <f t="shared" si="3"/>
        <v>1</v>
      </c>
      <c r="F21" s="616">
        <f>IF($H21="","",IF(ISNA(MATCH($H21,$H$7:$H20,0)),1,0))</f>
        <v>1</v>
      </c>
      <c r="G21" s="249">
        <v>43174</v>
      </c>
      <c r="H21" s="95" t="s">
        <v>596</v>
      </c>
      <c r="I21" s="598" t="str">
        <f>IF($J21="","",INDEX(ﾏｽﾀ!$E$8:$E$124,MATCH(INDEX(ﾏｽﾀ!$N$8:$N$124,MATCH($J21,ﾏｽﾀ!$O$8:$O$124,0)),ﾏｽﾀ!$B$8:$B$124,0))&amp;"")</f>
        <v>100</v>
      </c>
      <c r="J21" s="534" t="s">
        <v>584</v>
      </c>
      <c r="K21" s="598" t="str">
        <f>IF($J21="","",INDEX(ﾏｽﾀ!$G$8:$G$124,MATCH(INDEX(ﾏｽﾀ!$N$8:$N$124,MATCH($J21,ﾏｽﾀ!$O$8:$O$124,0)),ﾏｽﾀ!$B$8:$B$124,0))&amp;"")</f>
        <v>10</v>
      </c>
      <c r="L21" s="600" t="str">
        <f>IF($M21="","",INDEX(ﾏｽﾀ!$T$8:$T$16,MATCH($M21,ﾏｽﾀ!$U$8:$U$16,0))&amp;"")</f>
        <v>7</v>
      </c>
      <c r="M21" s="534" t="s">
        <v>168</v>
      </c>
      <c r="N21" s="463" t="s">
        <v>550</v>
      </c>
      <c r="O21" s="464">
        <v>1</v>
      </c>
      <c r="P21" s="465">
        <v>3505000</v>
      </c>
      <c r="Q21" s="466">
        <f t="shared" si="4"/>
        <v>3505000</v>
      </c>
      <c r="R21" s="154" t="str">
        <f>IF($T21="","",VLOOKUP($T21,請求Data!$I$11:$AR$160,請求Data!$AL$10-請求Data!$H$10,0))</f>
        <v/>
      </c>
      <c r="S21" s="155" t="str">
        <f>IF($T21="","",VLOOKUP($T21,請求Data!$I$11:$AR$160,請求Data!$AM$10-請求Data!$H$10,0))</f>
        <v/>
      </c>
      <c r="T21" s="467" t="str">
        <f>IF(ISNA(MATCH($H21,請求Data!$AH$11:$AH$160,0)),"",VLOOKUP($H21,請求Data!$AH$11:$AR$160,請求Data!$AK$10-請求Data!$AG$10,0))</f>
        <v/>
      </c>
      <c r="U21" s="468"/>
      <c r="V21" s="58"/>
    </row>
    <row r="22" spans="1:22" ht="15" customHeight="1">
      <c r="A22" s="58">
        <f>IF($Q22="","",MAX($A$8:$A21)+1)</f>
        <v>14</v>
      </c>
      <c r="B22" s="614" t="str">
        <f t="shared" si="0"/>
        <v>11001611</v>
      </c>
      <c r="C22" s="614" t="str">
        <f t="shared" si="1"/>
        <v>11001611</v>
      </c>
      <c r="D22" s="614" t="str">
        <f t="shared" si="2"/>
        <v>110016111</v>
      </c>
      <c r="E22" s="615">
        <f t="shared" si="3"/>
        <v>1</v>
      </c>
      <c r="F22" s="616">
        <f>IF($H22="","",IF(ISNA(MATCH($H22,$H$7:$H21,0)),1,0))</f>
        <v>1</v>
      </c>
      <c r="G22" s="249">
        <v>43174</v>
      </c>
      <c r="H22" s="95" t="s">
        <v>597</v>
      </c>
      <c r="I22" s="598" t="str">
        <f>IF($J22="","",INDEX(ﾏｽﾀ!$E$8:$E$124,MATCH(INDEX(ﾏｽﾀ!$N$8:$N$124,MATCH($J22,ﾏｽﾀ!$O$8:$O$124,0)),ﾏｽﾀ!$B$8:$B$124,0))&amp;"")</f>
        <v>100</v>
      </c>
      <c r="J22" s="534" t="s">
        <v>612</v>
      </c>
      <c r="K22" s="598" t="str">
        <f>IF($J22="","",INDEX(ﾏｽﾀ!$G$8:$G$124,MATCH(INDEX(ﾏｽﾀ!$N$8:$N$124,MATCH($J22,ﾏｽﾀ!$O$8:$O$124,0)),ﾏｽﾀ!$B$8:$B$124,0))&amp;"")</f>
        <v>16</v>
      </c>
      <c r="L22" s="600" t="str">
        <f>IF($M22="","",INDEX(ﾏｽﾀ!$T$8:$T$16,MATCH($M22,ﾏｽﾀ!$U$8:$U$16,0))&amp;"")</f>
        <v>1</v>
      </c>
      <c r="M22" s="534" t="s">
        <v>24</v>
      </c>
      <c r="N22" s="463" t="s">
        <v>550</v>
      </c>
      <c r="O22" s="464">
        <v>12024</v>
      </c>
      <c r="P22" s="465">
        <v>289</v>
      </c>
      <c r="Q22" s="466">
        <f t="shared" si="4"/>
        <v>3474936</v>
      </c>
      <c r="R22" s="154" t="str">
        <f>IF($T22="","",VLOOKUP($T22,請求Data!$I$11:$AR$160,請求Data!$AL$10-請求Data!$H$10,0))</f>
        <v/>
      </c>
      <c r="S22" s="155" t="str">
        <f>IF($T22="","",VLOOKUP($T22,請求Data!$I$11:$AR$160,請求Data!$AM$10-請求Data!$H$10,0))</f>
        <v/>
      </c>
      <c r="T22" s="467" t="str">
        <f>IF(ISNA(MATCH($H22,請求Data!$AH$11:$AH$160,0)),"",VLOOKUP($H22,請求Data!$AH$11:$AR$160,請求Data!$AK$10-請求Data!$AG$10,0))</f>
        <v/>
      </c>
      <c r="U22" s="468"/>
      <c r="V22" s="58"/>
    </row>
    <row r="23" spans="1:22" ht="15" customHeight="1">
      <c r="A23" s="58">
        <f>IF($Q23="","",MAX($A$8:$A22)+1)</f>
        <v>15</v>
      </c>
      <c r="B23" s="614" t="str">
        <f t="shared" si="0"/>
        <v>27000011</v>
      </c>
      <c r="C23" s="614" t="str">
        <f t="shared" si="1"/>
        <v>27000011</v>
      </c>
      <c r="D23" s="614" t="str">
        <f t="shared" si="2"/>
        <v>270000111</v>
      </c>
      <c r="E23" s="615">
        <f t="shared" si="3"/>
        <v>1</v>
      </c>
      <c r="F23" s="616">
        <f>IF($H23="","",IF(ISNA(MATCH($H23,$H$7:$H22,0)),1,0))</f>
        <v>1</v>
      </c>
      <c r="G23" s="249">
        <v>43174</v>
      </c>
      <c r="H23" s="95" t="s">
        <v>598</v>
      </c>
      <c r="I23" s="598" t="str">
        <f>IF($J23="","",INDEX(ﾏｽﾀ!$E$8:$E$124,MATCH(INDEX(ﾏｽﾀ!$N$8:$N$124,MATCH($J23,ﾏｽﾀ!$O$8:$O$124,0)),ﾏｽﾀ!$B$8:$B$124,0))&amp;"")</f>
        <v>700</v>
      </c>
      <c r="J23" s="534" t="s">
        <v>616</v>
      </c>
      <c r="K23" s="598" t="str">
        <f>IF($J23="","",INDEX(ﾏｽﾀ!$G$8:$G$124,MATCH(INDEX(ﾏｽﾀ!$N$8:$N$124,MATCH($J23,ﾏｽﾀ!$O$8:$O$124,0)),ﾏｽﾀ!$B$8:$B$124,0))&amp;"")</f>
        <v/>
      </c>
      <c r="L23" s="600" t="str">
        <f>IF($M23="","",INDEX(ﾏｽﾀ!$T$8:$T$16,MATCH($M23,ﾏｽﾀ!$U$8:$U$16,0))&amp;"")</f>
        <v>1</v>
      </c>
      <c r="M23" s="534" t="s">
        <v>24</v>
      </c>
      <c r="N23" s="463" t="s">
        <v>559</v>
      </c>
      <c r="O23" s="464">
        <v>10001</v>
      </c>
      <c r="P23" s="465">
        <v>5.55</v>
      </c>
      <c r="Q23" s="466">
        <f t="shared" si="4"/>
        <v>55505.55</v>
      </c>
      <c r="R23" s="154" t="str">
        <f>IF($T23="","",VLOOKUP($T23,請求Data!$I$11:$AR$160,請求Data!$AL$10-請求Data!$H$10,0))</f>
        <v/>
      </c>
      <c r="S23" s="155" t="str">
        <f>IF($T23="","",VLOOKUP($T23,請求Data!$I$11:$AR$160,請求Data!$AM$10-請求Data!$H$10,0))</f>
        <v/>
      </c>
      <c r="T23" s="467" t="str">
        <f>IF(ISNA(MATCH($H23,請求Data!$AH$11:$AH$160,0)),"",VLOOKUP($H23,請求Data!$AH$11:$AR$160,請求Data!$AK$10-請求Data!$AG$10,0))</f>
        <v/>
      </c>
      <c r="U23" s="468"/>
      <c r="V23" s="58"/>
    </row>
    <row r="24" spans="1:22" ht="15" customHeight="1">
      <c r="A24" s="58" t="str">
        <f>IF($Q24="","",MAX($A$8:$A23)+1)</f>
        <v/>
      </c>
      <c r="B24" s="614" t="str">
        <f t="shared" si="0"/>
        <v/>
      </c>
      <c r="C24" s="614" t="str">
        <f t="shared" si="1"/>
        <v/>
      </c>
      <c r="D24" s="614" t="str">
        <f t="shared" si="2"/>
        <v/>
      </c>
      <c r="E24" s="615" t="str">
        <f t="shared" si="3"/>
        <v/>
      </c>
      <c r="F24" s="616" t="str">
        <f>IF($H24="","",IF(ISNA(MATCH($H24,$H$7:$H23,0)),1,0))</f>
        <v/>
      </c>
      <c r="G24" s="249"/>
      <c r="H24" s="95"/>
      <c r="I24" s="598" t="str">
        <f>IF($J24="","",INDEX(ﾏｽﾀ!$E$8:$E$124,MATCH(INDEX(ﾏｽﾀ!$N$8:$N$124,MATCH($J24,ﾏｽﾀ!$O$8:$O$124,0)),ﾏｽﾀ!$B$8:$B$124,0))&amp;"")</f>
        <v/>
      </c>
      <c r="J24" s="534"/>
      <c r="K24" s="598" t="str">
        <f>IF($J24="","",INDEX(ﾏｽﾀ!$G$8:$G$124,MATCH(INDEX(ﾏｽﾀ!$N$8:$N$124,MATCH($J24,ﾏｽﾀ!$O$8:$O$124,0)),ﾏｽﾀ!$B$8:$B$124,0))&amp;"")</f>
        <v/>
      </c>
      <c r="L24" s="600" t="str">
        <f>IF($M24="","",INDEX(ﾏｽﾀ!$T$8:$T$16,MATCH($M24,ﾏｽﾀ!$U$8:$U$16,0))&amp;"")</f>
        <v/>
      </c>
      <c r="M24" s="534"/>
      <c r="N24" s="463"/>
      <c r="O24" s="464"/>
      <c r="P24" s="465"/>
      <c r="Q24" s="466" t="str">
        <f t="shared" si="4"/>
        <v/>
      </c>
      <c r="R24" s="154" t="str">
        <f>IF($T24="","",VLOOKUP($T24,請求Data!$I$11:$AR$160,請求Data!$AL$10-請求Data!$H$10,0))</f>
        <v/>
      </c>
      <c r="S24" s="155" t="str">
        <f>IF($T24="","",VLOOKUP($T24,請求Data!$I$11:$AR$160,請求Data!$AM$10-請求Data!$H$10,0))</f>
        <v/>
      </c>
      <c r="T24" s="467" t="str">
        <f>IF(ISNA(MATCH($H24,請求Data!$AH$11:$AH$160,0)),"",VLOOKUP($H24,請求Data!$AH$11:$AR$160,請求Data!$AK$10-請求Data!$AG$10,0))</f>
        <v/>
      </c>
      <c r="U24" s="468"/>
      <c r="V24" s="58"/>
    </row>
    <row r="25" spans="1:22" ht="15" customHeight="1">
      <c r="A25" s="58" t="str">
        <f>IF($Q25="","",MAX($A$8:$A24)+1)</f>
        <v/>
      </c>
      <c r="B25" s="614" t="str">
        <f t="shared" si="0"/>
        <v/>
      </c>
      <c r="C25" s="614" t="str">
        <f t="shared" si="1"/>
        <v/>
      </c>
      <c r="D25" s="614" t="str">
        <f t="shared" si="2"/>
        <v/>
      </c>
      <c r="E25" s="615" t="str">
        <f t="shared" si="3"/>
        <v/>
      </c>
      <c r="F25" s="616" t="str">
        <f>IF($H25="","",IF(ISNA(MATCH($H25,$H$7:$H24,0)),1,0))</f>
        <v/>
      </c>
      <c r="G25" s="249"/>
      <c r="H25" s="95"/>
      <c r="I25" s="598" t="str">
        <f>IF($J25="","",INDEX(ﾏｽﾀ!$E$8:$E$124,MATCH(INDEX(ﾏｽﾀ!$N$8:$N$124,MATCH($J25,ﾏｽﾀ!$O$8:$O$124,0)),ﾏｽﾀ!$B$8:$B$124,0))&amp;"")</f>
        <v/>
      </c>
      <c r="J25" s="534"/>
      <c r="K25" s="598" t="str">
        <f>IF($J25="","",INDEX(ﾏｽﾀ!$G$8:$G$124,MATCH(INDEX(ﾏｽﾀ!$N$8:$N$124,MATCH($J25,ﾏｽﾀ!$O$8:$O$124,0)),ﾏｽﾀ!$B$8:$B$124,0))&amp;"")</f>
        <v/>
      </c>
      <c r="L25" s="600" t="str">
        <f>IF($M25="","",INDEX(ﾏｽﾀ!$T$8:$T$16,MATCH($M25,ﾏｽﾀ!$U$8:$U$16,0))&amp;"")</f>
        <v/>
      </c>
      <c r="M25" s="534"/>
      <c r="N25" s="463"/>
      <c r="O25" s="464"/>
      <c r="P25" s="465"/>
      <c r="Q25" s="466" t="str">
        <f t="shared" si="4"/>
        <v/>
      </c>
      <c r="R25" s="154" t="str">
        <f>IF($T25="","",VLOOKUP($T25,請求Data!$I$11:$AR$160,請求Data!$AL$10-請求Data!$H$10,0))</f>
        <v/>
      </c>
      <c r="S25" s="155" t="str">
        <f>IF($T25="","",VLOOKUP($T25,請求Data!$I$11:$AR$160,請求Data!$AM$10-請求Data!$H$10,0))</f>
        <v/>
      </c>
      <c r="T25" s="467" t="str">
        <f>IF(ISNA(MATCH($H25,請求Data!$AH$11:$AH$160,0)),"",VLOOKUP($H25,請求Data!$AH$11:$AR$160,請求Data!$AK$10-請求Data!$AG$10,0))</f>
        <v/>
      </c>
      <c r="U25" s="468"/>
      <c r="V25" s="58"/>
    </row>
    <row r="26" spans="1:22" ht="15" customHeight="1">
      <c r="A26" s="58" t="str">
        <f>IF($Q26="","",MAX($A$8:$A25)+1)</f>
        <v/>
      </c>
      <c r="B26" s="614" t="str">
        <f t="shared" si="0"/>
        <v/>
      </c>
      <c r="C26" s="614" t="str">
        <f t="shared" si="1"/>
        <v/>
      </c>
      <c r="D26" s="614" t="str">
        <f t="shared" si="2"/>
        <v/>
      </c>
      <c r="E26" s="615" t="str">
        <f t="shared" si="3"/>
        <v/>
      </c>
      <c r="F26" s="616" t="str">
        <f>IF($H26="","",IF(ISNA(MATCH($H26,$H$7:$H25,0)),1,0))</f>
        <v/>
      </c>
      <c r="G26" s="249"/>
      <c r="H26" s="95"/>
      <c r="I26" s="598" t="str">
        <f>IF($J26="","",INDEX(ﾏｽﾀ!$E$8:$E$124,MATCH(INDEX(ﾏｽﾀ!$N$8:$N$124,MATCH($J26,ﾏｽﾀ!$O$8:$O$124,0)),ﾏｽﾀ!$B$8:$B$124,0))&amp;"")</f>
        <v/>
      </c>
      <c r="J26" s="534"/>
      <c r="K26" s="598" t="str">
        <f>IF($J26="","",INDEX(ﾏｽﾀ!$G$8:$G$124,MATCH(INDEX(ﾏｽﾀ!$N$8:$N$124,MATCH($J26,ﾏｽﾀ!$O$8:$O$124,0)),ﾏｽﾀ!$B$8:$B$124,0))&amp;"")</f>
        <v/>
      </c>
      <c r="L26" s="600" t="str">
        <f>IF($M26="","",INDEX(ﾏｽﾀ!$T$8:$T$16,MATCH($M26,ﾏｽﾀ!$U$8:$U$16,0))&amp;"")</f>
        <v/>
      </c>
      <c r="M26" s="534"/>
      <c r="N26" s="463"/>
      <c r="O26" s="464"/>
      <c r="P26" s="465"/>
      <c r="Q26" s="466" t="str">
        <f t="shared" si="4"/>
        <v/>
      </c>
      <c r="R26" s="154" t="str">
        <f>IF($T26="","",VLOOKUP($T26,請求Data!$I$11:$AR$160,請求Data!$AL$10-請求Data!$H$10,0))</f>
        <v/>
      </c>
      <c r="S26" s="155" t="str">
        <f>IF($T26="","",VLOOKUP($T26,請求Data!$I$11:$AR$160,請求Data!$AM$10-請求Data!$H$10,0))</f>
        <v/>
      </c>
      <c r="T26" s="467" t="str">
        <f>IF(ISNA(MATCH($H26,請求Data!$AH$11:$AH$160,0)),"",VLOOKUP($H26,請求Data!$AH$11:$AR$160,請求Data!$AK$10-請求Data!$AG$10,0))</f>
        <v/>
      </c>
      <c r="U26" s="468"/>
      <c r="V26" s="58"/>
    </row>
    <row r="27" spans="1:22" ht="15" customHeight="1">
      <c r="A27" s="58" t="str">
        <f>IF($Q27="","",MAX($A$8:$A26)+1)</f>
        <v/>
      </c>
      <c r="B27" s="614" t="str">
        <f t="shared" si="0"/>
        <v/>
      </c>
      <c r="C27" s="614" t="str">
        <f t="shared" si="1"/>
        <v/>
      </c>
      <c r="D27" s="614" t="str">
        <f t="shared" si="2"/>
        <v/>
      </c>
      <c r="E27" s="615" t="str">
        <f t="shared" si="3"/>
        <v/>
      </c>
      <c r="F27" s="616" t="str">
        <f>IF($H27="","",IF(ISNA(MATCH($H27,$H$7:$H26,0)),1,0))</f>
        <v/>
      </c>
      <c r="G27" s="249"/>
      <c r="H27" s="95"/>
      <c r="I27" s="598" t="str">
        <f>IF($J27="","",INDEX(ﾏｽﾀ!$E$8:$E$124,MATCH(INDEX(ﾏｽﾀ!$N$8:$N$124,MATCH($J27,ﾏｽﾀ!$O$8:$O$124,0)),ﾏｽﾀ!$B$8:$B$124,0))&amp;"")</f>
        <v/>
      </c>
      <c r="J27" s="534"/>
      <c r="K27" s="598" t="str">
        <f>IF($J27="","",INDEX(ﾏｽﾀ!$G$8:$G$124,MATCH(INDEX(ﾏｽﾀ!$N$8:$N$124,MATCH($J27,ﾏｽﾀ!$O$8:$O$124,0)),ﾏｽﾀ!$B$8:$B$124,0))&amp;"")</f>
        <v/>
      </c>
      <c r="L27" s="600" t="str">
        <f>IF($M27="","",INDEX(ﾏｽﾀ!$T$8:$T$16,MATCH($M27,ﾏｽﾀ!$U$8:$U$16,0))&amp;"")</f>
        <v/>
      </c>
      <c r="M27" s="534"/>
      <c r="N27" s="463"/>
      <c r="O27" s="464"/>
      <c r="P27" s="465"/>
      <c r="Q27" s="466" t="str">
        <f t="shared" si="4"/>
        <v/>
      </c>
      <c r="R27" s="154" t="str">
        <f>IF($T27="","",VLOOKUP($T27,請求Data!$I$11:$AR$160,請求Data!$AL$10-請求Data!$H$10,0))</f>
        <v/>
      </c>
      <c r="S27" s="155" t="str">
        <f>IF($T27="","",VLOOKUP($T27,請求Data!$I$11:$AR$160,請求Data!$AM$10-請求Data!$H$10,0))</f>
        <v/>
      </c>
      <c r="T27" s="467" t="str">
        <f>IF(ISNA(MATCH($H27,請求Data!$AH$11:$AH$160,0)),"",VLOOKUP($H27,請求Data!$AH$11:$AR$160,請求Data!$AK$10-請求Data!$AG$10,0))</f>
        <v/>
      </c>
      <c r="U27" s="468"/>
      <c r="V27" s="58"/>
    </row>
    <row r="28" spans="1:22" ht="15" customHeight="1">
      <c r="A28" s="58" t="str">
        <f>IF($Q28="","",MAX($A$8:$A27)+1)</f>
        <v/>
      </c>
      <c r="B28" s="614" t="str">
        <f t="shared" si="0"/>
        <v/>
      </c>
      <c r="C28" s="614" t="str">
        <f t="shared" si="1"/>
        <v/>
      </c>
      <c r="D28" s="614" t="str">
        <f t="shared" si="2"/>
        <v/>
      </c>
      <c r="E28" s="615" t="str">
        <f t="shared" si="3"/>
        <v/>
      </c>
      <c r="F28" s="616" t="str">
        <f>IF($H28="","",IF(ISNA(MATCH($H28,$H$7:$H27,0)),1,0))</f>
        <v/>
      </c>
      <c r="G28" s="249"/>
      <c r="H28" s="95"/>
      <c r="I28" s="598" t="str">
        <f>IF($J28="","",INDEX(ﾏｽﾀ!$E$8:$E$124,MATCH(INDEX(ﾏｽﾀ!$N$8:$N$124,MATCH($J28,ﾏｽﾀ!$O$8:$O$124,0)),ﾏｽﾀ!$B$8:$B$124,0))&amp;"")</f>
        <v/>
      </c>
      <c r="J28" s="534"/>
      <c r="K28" s="598" t="str">
        <f>IF($J28="","",INDEX(ﾏｽﾀ!$G$8:$G$124,MATCH(INDEX(ﾏｽﾀ!$N$8:$N$124,MATCH($J28,ﾏｽﾀ!$O$8:$O$124,0)),ﾏｽﾀ!$B$8:$B$124,0))&amp;"")</f>
        <v/>
      </c>
      <c r="L28" s="600" t="str">
        <f>IF($M28="","",INDEX(ﾏｽﾀ!$T$8:$T$16,MATCH($M28,ﾏｽﾀ!$U$8:$U$16,0))&amp;"")</f>
        <v/>
      </c>
      <c r="M28" s="534"/>
      <c r="N28" s="463"/>
      <c r="O28" s="464"/>
      <c r="P28" s="465"/>
      <c r="Q28" s="466" t="str">
        <f t="shared" si="4"/>
        <v/>
      </c>
      <c r="R28" s="154" t="str">
        <f>IF($T28="","",VLOOKUP($T28,請求Data!$I$11:$AR$160,請求Data!$AL$10-請求Data!$H$10,0))</f>
        <v/>
      </c>
      <c r="S28" s="155" t="str">
        <f>IF($T28="","",VLOOKUP($T28,請求Data!$I$11:$AR$160,請求Data!$AM$10-請求Data!$H$10,0))</f>
        <v/>
      </c>
      <c r="T28" s="467" t="str">
        <f>IF(ISNA(MATCH($H28,請求Data!$AH$11:$AH$160,0)),"",VLOOKUP($H28,請求Data!$AH$11:$AR$160,請求Data!$AK$10-請求Data!$AG$10,0))</f>
        <v/>
      </c>
      <c r="U28" s="468"/>
      <c r="V28" s="58"/>
    </row>
    <row r="29" spans="1:22" ht="15" customHeight="1">
      <c r="A29" s="58" t="str">
        <f>IF($Q29="","",MAX($A$8:$A28)+1)</f>
        <v/>
      </c>
      <c r="B29" s="614" t="str">
        <f t="shared" si="0"/>
        <v/>
      </c>
      <c r="C29" s="614" t="str">
        <f t="shared" si="1"/>
        <v/>
      </c>
      <c r="D29" s="614" t="str">
        <f t="shared" si="2"/>
        <v/>
      </c>
      <c r="E29" s="615" t="str">
        <f t="shared" si="3"/>
        <v/>
      </c>
      <c r="F29" s="616" t="str">
        <f>IF($H29="","",IF(ISNA(MATCH($H29,$H$7:$H28,0)),1,0))</f>
        <v/>
      </c>
      <c r="G29" s="249"/>
      <c r="H29" s="95"/>
      <c r="I29" s="598" t="str">
        <f>IF($J29="","",INDEX(ﾏｽﾀ!$E$8:$E$124,MATCH(INDEX(ﾏｽﾀ!$N$8:$N$124,MATCH($J29,ﾏｽﾀ!$O$8:$O$124,0)),ﾏｽﾀ!$B$8:$B$124,0))&amp;"")</f>
        <v/>
      </c>
      <c r="J29" s="534"/>
      <c r="K29" s="598" t="str">
        <f>IF($J29="","",INDEX(ﾏｽﾀ!$G$8:$G$124,MATCH(INDEX(ﾏｽﾀ!$N$8:$N$124,MATCH($J29,ﾏｽﾀ!$O$8:$O$124,0)),ﾏｽﾀ!$B$8:$B$124,0))&amp;"")</f>
        <v/>
      </c>
      <c r="L29" s="600" t="str">
        <f>IF($M29="","",INDEX(ﾏｽﾀ!$T$8:$T$16,MATCH($M29,ﾏｽﾀ!$U$8:$U$16,0))&amp;"")</f>
        <v/>
      </c>
      <c r="M29" s="534"/>
      <c r="N29" s="463"/>
      <c r="O29" s="464"/>
      <c r="P29" s="465"/>
      <c r="Q29" s="466" t="str">
        <f t="shared" si="4"/>
        <v/>
      </c>
      <c r="R29" s="154" t="str">
        <f>IF($T29="","",VLOOKUP($T29,請求Data!$I$11:$AR$160,請求Data!$AL$10-請求Data!$H$10,0))</f>
        <v/>
      </c>
      <c r="S29" s="155" t="str">
        <f>IF($T29="","",VLOOKUP($T29,請求Data!$I$11:$AR$160,請求Data!$AM$10-請求Data!$H$10,0))</f>
        <v/>
      </c>
      <c r="T29" s="467" t="str">
        <f>IF(ISNA(MATCH($H29,請求Data!$AH$11:$AH$160,0)),"",VLOOKUP($H29,請求Data!$AH$11:$AR$160,請求Data!$AK$10-請求Data!$AG$10,0))</f>
        <v/>
      </c>
      <c r="U29" s="468"/>
      <c r="V29" s="58"/>
    </row>
    <row r="30" spans="1:22" ht="15" customHeight="1">
      <c r="A30" s="58" t="str">
        <f>IF($Q30="","",MAX($A$8:$A29)+1)</f>
        <v/>
      </c>
      <c r="B30" s="614" t="str">
        <f t="shared" si="0"/>
        <v/>
      </c>
      <c r="C30" s="614" t="str">
        <f t="shared" si="1"/>
        <v/>
      </c>
      <c r="D30" s="614" t="str">
        <f t="shared" si="2"/>
        <v/>
      </c>
      <c r="E30" s="615" t="str">
        <f t="shared" si="3"/>
        <v/>
      </c>
      <c r="F30" s="616" t="str">
        <f>IF($H30="","",IF(ISNA(MATCH($H30,$H$7:$H29,0)),1,0))</f>
        <v/>
      </c>
      <c r="G30" s="249"/>
      <c r="H30" s="95"/>
      <c r="I30" s="598" t="str">
        <f>IF($J30="","",INDEX(ﾏｽﾀ!$E$8:$E$124,MATCH(INDEX(ﾏｽﾀ!$N$8:$N$124,MATCH($J30,ﾏｽﾀ!$O$8:$O$124,0)),ﾏｽﾀ!$B$8:$B$124,0))&amp;"")</f>
        <v/>
      </c>
      <c r="J30" s="534"/>
      <c r="K30" s="598" t="str">
        <f>IF($J30="","",INDEX(ﾏｽﾀ!$G$8:$G$124,MATCH(INDEX(ﾏｽﾀ!$N$8:$N$124,MATCH($J30,ﾏｽﾀ!$O$8:$O$124,0)),ﾏｽﾀ!$B$8:$B$124,0))&amp;"")</f>
        <v/>
      </c>
      <c r="L30" s="600" t="str">
        <f>IF($M30="","",INDEX(ﾏｽﾀ!$T$8:$T$16,MATCH($M30,ﾏｽﾀ!$U$8:$U$16,0))&amp;"")</f>
        <v/>
      </c>
      <c r="M30" s="534"/>
      <c r="N30" s="463"/>
      <c r="O30" s="464"/>
      <c r="P30" s="465"/>
      <c r="Q30" s="466" t="str">
        <f t="shared" si="4"/>
        <v/>
      </c>
      <c r="R30" s="154" t="str">
        <f>IF($T30="","",VLOOKUP($T30,請求Data!$I$11:$AR$160,請求Data!$AL$10-請求Data!$H$10,0))</f>
        <v/>
      </c>
      <c r="S30" s="155" t="str">
        <f>IF($T30="","",VLOOKUP($T30,請求Data!$I$11:$AR$160,請求Data!$AM$10-請求Data!$H$10,0))</f>
        <v/>
      </c>
      <c r="T30" s="467" t="str">
        <f>IF(ISNA(MATCH($H30,請求Data!$AH$11:$AH$160,0)),"",VLOOKUP($H30,請求Data!$AH$11:$AR$160,請求Data!$AK$10-請求Data!$AG$10,0))</f>
        <v/>
      </c>
      <c r="U30" s="468"/>
      <c r="V30" s="58"/>
    </row>
    <row r="31" spans="1:22" ht="15" customHeight="1">
      <c r="A31" s="58" t="str">
        <f>IF($Q31="","",MAX($A$8:$A30)+1)</f>
        <v/>
      </c>
      <c r="B31" s="614" t="str">
        <f t="shared" si="0"/>
        <v/>
      </c>
      <c r="C31" s="614" t="str">
        <f t="shared" si="1"/>
        <v/>
      </c>
      <c r="D31" s="614" t="str">
        <f t="shared" si="2"/>
        <v/>
      </c>
      <c r="E31" s="615" t="str">
        <f t="shared" si="3"/>
        <v/>
      </c>
      <c r="F31" s="616" t="str">
        <f>IF($H31="","",IF(ISNA(MATCH($H31,$H$7:$H30,0)),1,0))</f>
        <v/>
      </c>
      <c r="G31" s="249"/>
      <c r="H31" s="95"/>
      <c r="I31" s="598" t="str">
        <f>IF($J31="","",INDEX(ﾏｽﾀ!$E$8:$E$124,MATCH(INDEX(ﾏｽﾀ!$N$8:$N$124,MATCH($J31,ﾏｽﾀ!$O$8:$O$124,0)),ﾏｽﾀ!$B$8:$B$124,0))&amp;"")</f>
        <v/>
      </c>
      <c r="J31" s="534"/>
      <c r="K31" s="598" t="str">
        <f>IF($J31="","",INDEX(ﾏｽﾀ!$G$8:$G$124,MATCH(INDEX(ﾏｽﾀ!$N$8:$N$124,MATCH($J31,ﾏｽﾀ!$O$8:$O$124,0)),ﾏｽﾀ!$B$8:$B$124,0))&amp;"")</f>
        <v/>
      </c>
      <c r="L31" s="600" t="str">
        <f>IF($M31="","",INDEX(ﾏｽﾀ!$T$8:$T$16,MATCH($M31,ﾏｽﾀ!$U$8:$U$16,0))&amp;"")</f>
        <v/>
      </c>
      <c r="M31" s="534"/>
      <c r="N31" s="463"/>
      <c r="O31" s="464"/>
      <c r="P31" s="465"/>
      <c r="Q31" s="466" t="str">
        <f t="shared" si="4"/>
        <v/>
      </c>
      <c r="R31" s="154" t="str">
        <f>IF($T31="","",VLOOKUP($T31,請求Data!$I$11:$AR$160,請求Data!$AL$10-請求Data!$H$10,0))</f>
        <v/>
      </c>
      <c r="S31" s="155" t="str">
        <f>IF($T31="","",VLOOKUP($T31,請求Data!$I$11:$AR$160,請求Data!$AM$10-請求Data!$H$10,0))</f>
        <v/>
      </c>
      <c r="T31" s="467" t="str">
        <f>IF(ISNA(MATCH($H31,請求Data!$AH$11:$AH$160,0)),"",VLOOKUP($H31,請求Data!$AH$11:$AR$160,請求Data!$AK$10-請求Data!$AG$10,0))</f>
        <v/>
      </c>
      <c r="U31" s="468"/>
      <c r="V31" s="58"/>
    </row>
    <row r="32" spans="1:22" ht="15" customHeight="1">
      <c r="A32" s="58" t="str">
        <f>IF($Q32="","",MAX($A$8:$A31)+1)</f>
        <v/>
      </c>
      <c r="B32" s="614" t="str">
        <f t="shared" si="0"/>
        <v/>
      </c>
      <c r="C32" s="614" t="str">
        <f t="shared" si="1"/>
        <v/>
      </c>
      <c r="D32" s="614" t="str">
        <f t="shared" si="2"/>
        <v/>
      </c>
      <c r="E32" s="615" t="str">
        <f t="shared" si="3"/>
        <v/>
      </c>
      <c r="F32" s="616" t="str">
        <f>IF($H32="","",IF(ISNA(MATCH($H32,$H$7:$H31,0)),1,0))</f>
        <v/>
      </c>
      <c r="G32" s="249"/>
      <c r="H32" s="95"/>
      <c r="I32" s="598" t="str">
        <f>IF($J32="","",INDEX(ﾏｽﾀ!$E$8:$E$124,MATCH(INDEX(ﾏｽﾀ!$N$8:$N$124,MATCH($J32,ﾏｽﾀ!$O$8:$O$124,0)),ﾏｽﾀ!$B$8:$B$124,0))&amp;"")</f>
        <v/>
      </c>
      <c r="J32" s="534"/>
      <c r="K32" s="598" t="str">
        <f>IF($J32="","",INDEX(ﾏｽﾀ!$G$8:$G$124,MATCH(INDEX(ﾏｽﾀ!$N$8:$N$124,MATCH($J32,ﾏｽﾀ!$O$8:$O$124,0)),ﾏｽﾀ!$B$8:$B$124,0))&amp;"")</f>
        <v/>
      </c>
      <c r="L32" s="600" t="str">
        <f>IF($M32="","",INDEX(ﾏｽﾀ!$T$8:$T$16,MATCH($M32,ﾏｽﾀ!$U$8:$U$16,0))&amp;"")</f>
        <v/>
      </c>
      <c r="M32" s="534"/>
      <c r="N32" s="463"/>
      <c r="O32" s="464"/>
      <c r="P32" s="465"/>
      <c r="Q32" s="466" t="str">
        <f t="shared" si="4"/>
        <v/>
      </c>
      <c r="R32" s="154" t="str">
        <f>IF($T32="","",VLOOKUP($T32,請求Data!$I$11:$AR$160,請求Data!$AL$10-請求Data!$H$10,0))</f>
        <v/>
      </c>
      <c r="S32" s="155" t="str">
        <f>IF($T32="","",VLOOKUP($T32,請求Data!$I$11:$AR$160,請求Data!$AM$10-請求Data!$H$10,0))</f>
        <v/>
      </c>
      <c r="T32" s="467" t="str">
        <f>IF(ISNA(MATCH($H32,請求Data!$AH$11:$AH$160,0)),"",VLOOKUP($H32,請求Data!$AH$11:$AR$160,請求Data!$AK$10-請求Data!$AG$10,0))</f>
        <v/>
      </c>
      <c r="U32" s="468"/>
      <c r="V32" s="58"/>
    </row>
    <row r="33" spans="1:22" ht="15" customHeight="1">
      <c r="A33" s="58" t="str">
        <f>IF($Q33="","",MAX($A$8:$A32)+1)</f>
        <v/>
      </c>
      <c r="B33" s="614" t="str">
        <f t="shared" si="0"/>
        <v/>
      </c>
      <c r="C33" s="614" t="str">
        <f t="shared" si="1"/>
        <v/>
      </c>
      <c r="D33" s="614" t="str">
        <f t="shared" si="2"/>
        <v/>
      </c>
      <c r="E33" s="615" t="str">
        <f t="shared" si="3"/>
        <v/>
      </c>
      <c r="F33" s="616" t="str">
        <f>IF($H33="","",IF(ISNA(MATCH($H33,$H$7:$H32,0)),1,0))</f>
        <v/>
      </c>
      <c r="G33" s="249"/>
      <c r="H33" s="95"/>
      <c r="I33" s="598" t="str">
        <f>IF($J33="","",INDEX(ﾏｽﾀ!$E$8:$E$124,MATCH(INDEX(ﾏｽﾀ!$N$8:$N$124,MATCH($J33,ﾏｽﾀ!$O$8:$O$124,0)),ﾏｽﾀ!$B$8:$B$124,0))&amp;"")</f>
        <v/>
      </c>
      <c r="J33" s="534"/>
      <c r="K33" s="598" t="str">
        <f>IF($J33="","",INDEX(ﾏｽﾀ!$G$8:$G$124,MATCH(INDEX(ﾏｽﾀ!$N$8:$N$124,MATCH($J33,ﾏｽﾀ!$O$8:$O$124,0)),ﾏｽﾀ!$B$8:$B$124,0))&amp;"")</f>
        <v/>
      </c>
      <c r="L33" s="600" t="str">
        <f>IF($M33="","",INDEX(ﾏｽﾀ!$T$8:$T$16,MATCH($M33,ﾏｽﾀ!$U$8:$U$16,0))&amp;"")</f>
        <v/>
      </c>
      <c r="M33" s="534"/>
      <c r="N33" s="463"/>
      <c r="O33" s="464"/>
      <c r="P33" s="465"/>
      <c r="Q33" s="466" t="str">
        <f t="shared" si="4"/>
        <v/>
      </c>
      <c r="R33" s="154" t="str">
        <f>IF($T33="","",VLOOKUP($T33,請求Data!$I$11:$AR$160,請求Data!$AL$10-請求Data!$H$10,0))</f>
        <v/>
      </c>
      <c r="S33" s="155" t="str">
        <f>IF($T33="","",VLOOKUP($T33,請求Data!$I$11:$AR$160,請求Data!$AM$10-請求Data!$H$10,0))</f>
        <v/>
      </c>
      <c r="T33" s="467" t="str">
        <f>IF(ISNA(MATCH($H33,請求Data!$AH$11:$AH$160,0)),"",VLOOKUP($H33,請求Data!$AH$11:$AR$160,請求Data!$AK$10-請求Data!$AG$10,0))</f>
        <v/>
      </c>
      <c r="U33" s="468"/>
      <c r="V33" s="58"/>
    </row>
    <row r="34" spans="1:22" ht="15" customHeight="1">
      <c r="A34" s="58" t="str">
        <f>IF($Q34="","",MAX($A$8:$A33)+1)</f>
        <v/>
      </c>
      <c r="B34" s="614" t="str">
        <f t="shared" si="0"/>
        <v/>
      </c>
      <c r="C34" s="614" t="str">
        <f t="shared" si="1"/>
        <v/>
      </c>
      <c r="D34" s="614" t="str">
        <f t="shared" si="2"/>
        <v/>
      </c>
      <c r="E34" s="615" t="str">
        <f t="shared" si="3"/>
        <v/>
      </c>
      <c r="F34" s="616" t="str">
        <f>IF($H34="","",IF(ISNA(MATCH($H34,$H$7:$H33,0)),1,0))</f>
        <v/>
      </c>
      <c r="G34" s="249"/>
      <c r="H34" s="95"/>
      <c r="I34" s="598" t="str">
        <f>IF($J34="","",INDEX(ﾏｽﾀ!$E$8:$E$124,MATCH(INDEX(ﾏｽﾀ!$N$8:$N$124,MATCH($J34,ﾏｽﾀ!$O$8:$O$124,0)),ﾏｽﾀ!$B$8:$B$124,0))&amp;"")</f>
        <v/>
      </c>
      <c r="J34" s="534"/>
      <c r="K34" s="598" t="str">
        <f>IF($J34="","",INDEX(ﾏｽﾀ!$G$8:$G$124,MATCH(INDEX(ﾏｽﾀ!$N$8:$N$124,MATCH($J34,ﾏｽﾀ!$O$8:$O$124,0)),ﾏｽﾀ!$B$8:$B$124,0))&amp;"")</f>
        <v/>
      </c>
      <c r="L34" s="600" t="str">
        <f>IF($M34="","",INDEX(ﾏｽﾀ!$T$8:$T$16,MATCH($M34,ﾏｽﾀ!$U$8:$U$16,0))&amp;"")</f>
        <v/>
      </c>
      <c r="M34" s="534"/>
      <c r="N34" s="463"/>
      <c r="O34" s="464"/>
      <c r="P34" s="465"/>
      <c r="Q34" s="466" t="str">
        <f t="shared" si="4"/>
        <v/>
      </c>
      <c r="R34" s="154" t="str">
        <f>IF($T34="","",VLOOKUP($T34,請求Data!$I$11:$AR$160,請求Data!$AL$10-請求Data!$H$10,0))</f>
        <v/>
      </c>
      <c r="S34" s="155" t="str">
        <f>IF($T34="","",VLOOKUP($T34,請求Data!$I$11:$AR$160,請求Data!$AM$10-請求Data!$H$10,0))</f>
        <v/>
      </c>
      <c r="T34" s="467" t="str">
        <f>IF(ISNA(MATCH($H34,請求Data!$AH$11:$AH$160,0)),"",VLOOKUP($H34,請求Data!$AH$11:$AR$160,請求Data!$AK$10-請求Data!$AG$10,0))</f>
        <v/>
      </c>
      <c r="U34" s="468"/>
      <c r="V34" s="58"/>
    </row>
    <row r="35" spans="1:22" ht="15" customHeight="1">
      <c r="A35" s="58" t="str">
        <f>IF($Q35="","",MAX($A$8:$A34)+1)</f>
        <v/>
      </c>
      <c r="B35" s="614" t="str">
        <f t="shared" si="0"/>
        <v/>
      </c>
      <c r="C35" s="614" t="str">
        <f t="shared" si="1"/>
        <v/>
      </c>
      <c r="D35" s="614" t="str">
        <f t="shared" si="2"/>
        <v/>
      </c>
      <c r="E35" s="615" t="str">
        <f t="shared" si="3"/>
        <v/>
      </c>
      <c r="F35" s="616" t="str">
        <f>IF($H35="","",IF(ISNA(MATCH($H35,$H$7:$H34,0)),1,0))</f>
        <v/>
      </c>
      <c r="G35" s="249"/>
      <c r="H35" s="95"/>
      <c r="I35" s="598" t="str">
        <f>IF($J35="","",INDEX(ﾏｽﾀ!$E$8:$E$124,MATCH(INDEX(ﾏｽﾀ!$N$8:$N$124,MATCH($J35,ﾏｽﾀ!$O$8:$O$124,0)),ﾏｽﾀ!$B$8:$B$124,0))&amp;"")</f>
        <v/>
      </c>
      <c r="J35" s="534"/>
      <c r="K35" s="598" t="str">
        <f>IF($J35="","",INDEX(ﾏｽﾀ!$G$8:$G$124,MATCH(INDEX(ﾏｽﾀ!$N$8:$N$124,MATCH($J35,ﾏｽﾀ!$O$8:$O$124,0)),ﾏｽﾀ!$B$8:$B$124,0))&amp;"")</f>
        <v/>
      </c>
      <c r="L35" s="600" t="str">
        <f>IF($M35="","",INDEX(ﾏｽﾀ!$T$8:$T$16,MATCH($M35,ﾏｽﾀ!$U$8:$U$16,0))&amp;"")</f>
        <v/>
      </c>
      <c r="M35" s="534"/>
      <c r="N35" s="463"/>
      <c r="O35" s="464"/>
      <c r="P35" s="465"/>
      <c r="Q35" s="466" t="str">
        <f t="shared" si="4"/>
        <v/>
      </c>
      <c r="R35" s="154" t="str">
        <f>IF($T35="","",VLOOKUP($T35,請求Data!$I$11:$AR$160,請求Data!$AL$10-請求Data!$H$10,0))</f>
        <v/>
      </c>
      <c r="S35" s="155" t="str">
        <f>IF($T35="","",VLOOKUP($T35,請求Data!$I$11:$AR$160,請求Data!$AM$10-請求Data!$H$10,0))</f>
        <v/>
      </c>
      <c r="T35" s="467" t="str">
        <f>IF(ISNA(MATCH($H35,請求Data!$AH$11:$AH$160,0)),"",VLOOKUP($H35,請求Data!$AH$11:$AR$160,請求Data!$AK$10-請求Data!$AG$10,0))</f>
        <v/>
      </c>
      <c r="U35" s="468"/>
      <c r="V35" s="58"/>
    </row>
    <row r="36" spans="1:22" ht="15" customHeight="1">
      <c r="A36" s="58" t="str">
        <f>IF($Q36="","",MAX($A$8:$A35)+1)</f>
        <v/>
      </c>
      <c r="B36" s="614" t="str">
        <f t="shared" si="0"/>
        <v/>
      </c>
      <c r="C36" s="614" t="str">
        <f t="shared" si="1"/>
        <v/>
      </c>
      <c r="D36" s="614" t="str">
        <f t="shared" si="2"/>
        <v/>
      </c>
      <c r="E36" s="615" t="str">
        <f t="shared" si="3"/>
        <v/>
      </c>
      <c r="F36" s="616" t="str">
        <f>IF($H36="","",IF(ISNA(MATCH($H36,$H$7:$H35,0)),1,0))</f>
        <v/>
      </c>
      <c r="G36" s="249"/>
      <c r="H36" s="95"/>
      <c r="I36" s="598" t="str">
        <f>IF($J36="","",INDEX(ﾏｽﾀ!$E$8:$E$124,MATCH(INDEX(ﾏｽﾀ!$N$8:$N$124,MATCH($J36,ﾏｽﾀ!$O$8:$O$124,0)),ﾏｽﾀ!$B$8:$B$124,0))&amp;"")</f>
        <v/>
      </c>
      <c r="J36" s="534"/>
      <c r="K36" s="598" t="str">
        <f>IF($J36="","",INDEX(ﾏｽﾀ!$G$8:$G$124,MATCH(INDEX(ﾏｽﾀ!$N$8:$N$124,MATCH($J36,ﾏｽﾀ!$O$8:$O$124,0)),ﾏｽﾀ!$B$8:$B$124,0))&amp;"")</f>
        <v/>
      </c>
      <c r="L36" s="600" t="str">
        <f>IF($M36="","",INDEX(ﾏｽﾀ!$T$8:$T$16,MATCH($M36,ﾏｽﾀ!$U$8:$U$16,0))&amp;"")</f>
        <v/>
      </c>
      <c r="M36" s="534"/>
      <c r="N36" s="463"/>
      <c r="O36" s="464"/>
      <c r="P36" s="465"/>
      <c r="Q36" s="466" t="str">
        <f t="shared" si="4"/>
        <v/>
      </c>
      <c r="R36" s="154" t="str">
        <f>IF($T36="","",VLOOKUP($T36,請求Data!$I$11:$AR$160,請求Data!$AL$10-請求Data!$H$10,0))</f>
        <v/>
      </c>
      <c r="S36" s="155" t="str">
        <f>IF($T36="","",VLOOKUP($T36,請求Data!$I$11:$AR$160,請求Data!$AM$10-請求Data!$H$10,0))</f>
        <v/>
      </c>
      <c r="T36" s="467" t="str">
        <f>IF(ISNA(MATCH($H36,請求Data!$AH$11:$AH$160,0)),"",VLOOKUP($H36,請求Data!$AH$11:$AR$160,請求Data!$AK$10-請求Data!$AG$10,0))</f>
        <v/>
      </c>
      <c r="U36" s="468"/>
      <c r="V36" s="58"/>
    </row>
    <row r="37" spans="1:22" ht="15" customHeight="1">
      <c r="A37" s="58" t="str">
        <f>IF($Q37="","",MAX($A$8:$A36)+1)</f>
        <v/>
      </c>
      <c r="B37" s="614" t="str">
        <f t="shared" si="0"/>
        <v/>
      </c>
      <c r="C37" s="614" t="str">
        <f t="shared" si="1"/>
        <v/>
      </c>
      <c r="D37" s="614" t="str">
        <f t="shared" si="2"/>
        <v/>
      </c>
      <c r="E37" s="615" t="str">
        <f t="shared" si="3"/>
        <v/>
      </c>
      <c r="F37" s="616" t="str">
        <f>IF($H37="","",IF(ISNA(MATCH($H37,$H$7:$H36,0)),1,0))</f>
        <v/>
      </c>
      <c r="G37" s="249"/>
      <c r="H37" s="95"/>
      <c r="I37" s="598" t="str">
        <f>IF($J37="","",INDEX(ﾏｽﾀ!$E$8:$E$124,MATCH(INDEX(ﾏｽﾀ!$N$8:$N$124,MATCH($J37,ﾏｽﾀ!$O$8:$O$124,0)),ﾏｽﾀ!$B$8:$B$124,0))&amp;"")</f>
        <v/>
      </c>
      <c r="J37" s="534"/>
      <c r="K37" s="598" t="str">
        <f>IF($J37="","",INDEX(ﾏｽﾀ!$G$8:$G$124,MATCH(INDEX(ﾏｽﾀ!$N$8:$N$124,MATCH($J37,ﾏｽﾀ!$O$8:$O$124,0)),ﾏｽﾀ!$B$8:$B$124,0))&amp;"")</f>
        <v/>
      </c>
      <c r="L37" s="600" t="str">
        <f>IF($M37="","",INDEX(ﾏｽﾀ!$T$8:$T$16,MATCH($M37,ﾏｽﾀ!$U$8:$U$16,0))&amp;"")</f>
        <v/>
      </c>
      <c r="M37" s="534"/>
      <c r="N37" s="463"/>
      <c r="O37" s="464"/>
      <c r="P37" s="465"/>
      <c r="Q37" s="466" t="str">
        <f t="shared" si="4"/>
        <v/>
      </c>
      <c r="R37" s="154" t="str">
        <f>IF($T37="","",VLOOKUP($T37,請求Data!$I$11:$AR$160,請求Data!$AL$10-請求Data!$H$10,0))</f>
        <v/>
      </c>
      <c r="S37" s="155" t="str">
        <f>IF($T37="","",VLOOKUP($T37,請求Data!$I$11:$AR$160,請求Data!$AM$10-請求Data!$H$10,0))</f>
        <v/>
      </c>
      <c r="T37" s="467" t="str">
        <f>IF(ISNA(MATCH($H37,請求Data!$AH$11:$AH$160,0)),"",VLOOKUP($H37,請求Data!$AH$11:$AR$160,請求Data!$AK$10-請求Data!$AG$10,0))</f>
        <v/>
      </c>
      <c r="U37" s="468"/>
      <c r="V37" s="58"/>
    </row>
    <row r="38" spans="1:22" ht="15" customHeight="1">
      <c r="A38" s="58" t="str">
        <f>IF($Q38="","",MAX($A$8:$A37)+1)</f>
        <v/>
      </c>
      <c r="B38" s="614" t="str">
        <f t="shared" si="0"/>
        <v/>
      </c>
      <c r="C38" s="614" t="str">
        <f t="shared" si="1"/>
        <v/>
      </c>
      <c r="D38" s="614" t="str">
        <f t="shared" si="2"/>
        <v/>
      </c>
      <c r="E38" s="615" t="str">
        <f t="shared" si="3"/>
        <v/>
      </c>
      <c r="F38" s="616" t="str">
        <f>IF($H38="","",IF(ISNA(MATCH($H38,$H$7:$H37,0)),1,0))</f>
        <v/>
      </c>
      <c r="G38" s="249"/>
      <c r="H38" s="95"/>
      <c r="I38" s="598" t="str">
        <f>IF($J38="","",INDEX(ﾏｽﾀ!$E$8:$E$124,MATCH(INDEX(ﾏｽﾀ!$N$8:$N$124,MATCH($J38,ﾏｽﾀ!$O$8:$O$124,0)),ﾏｽﾀ!$B$8:$B$124,0))&amp;"")</f>
        <v/>
      </c>
      <c r="J38" s="534"/>
      <c r="K38" s="598" t="str">
        <f>IF($J38="","",INDEX(ﾏｽﾀ!$G$8:$G$124,MATCH(INDEX(ﾏｽﾀ!$N$8:$N$124,MATCH($J38,ﾏｽﾀ!$O$8:$O$124,0)),ﾏｽﾀ!$B$8:$B$124,0))&amp;"")</f>
        <v/>
      </c>
      <c r="L38" s="600" t="str">
        <f>IF($M38="","",INDEX(ﾏｽﾀ!$T$8:$T$16,MATCH($M38,ﾏｽﾀ!$U$8:$U$16,0))&amp;"")</f>
        <v/>
      </c>
      <c r="M38" s="534"/>
      <c r="N38" s="463"/>
      <c r="O38" s="464"/>
      <c r="P38" s="465"/>
      <c r="Q38" s="466" t="str">
        <f t="shared" si="4"/>
        <v/>
      </c>
      <c r="R38" s="154" t="str">
        <f>IF($T38="","",VLOOKUP($T38,請求Data!$I$11:$AR$160,請求Data!$AL$10-請求Data!$H$10,0))</f>
        <v/>
      </c>
      <c r="S38" s="155" t="str">
        <f>IF($T38="","",VLOOKUP($T38,請求Data!$I$11:$AR$160,請求Data!$AM$10-請求Data!$H$10,0))</f>
        <v/>
      </c>
      <c r="T38" s="467" t="str">
        <f>IF(ISNA(MATCH($H38,請求Data!$AH$11:$AH$160,0)),"",VLOOKUP($H38,請求Data!$AH$11:$AR$160,請求Data!$AK$10-請求Data!$AG$10,0))</f>
        <v/>
      </c>
      <c r="U38" s="468"/>
      <c r="V38" s="58"/>
    </row>
    <row r="39" spans="1:22" ht="15" customHeight="1">
      <c r="A39" s="58" t="str">
        <f>IF($Q39="","",MAX($A$8:$A38)+1)</f>
        <v/>
      </c>
      <c r="B39" s="614" t="str">
        <f t="shared" si="0"/>
        <v/>
      </c>
      <c r="C39" s="614" t="str">
        <f t="shared" si="1"/>
        <v/>
      </c>
      <c r="D39" s="614" t="str">
        <f t="shared" si="2"/>
        <v/>
      </c>
      <c r="E39" s="615" t="str">
        <f t="shared" si="3"/>
        <v/>
      </c>
      <c r="F39" s="616" t="str">
        <f>IF($H39="","",IF(ISNA(MATCH($H39,$H$7:$H38,0)),1,0))</f>
        <v/>
      </c>
      <c r="G39" s="249"/>
      <c r="H39" s="95"/>
      <c r="I39" s="598" t="str">
        <f>IF($J39="","",INDEX(ﾏｽﾀ!$E$8:$E$124,MATCH(INDEX(ﾏｽﾀ!$N$8:$N$124,MATCH($J39,ﾏｽﾀ!$O$8:$O$124,0)),ﾏｽﾀ!$B$8:$B$124,0))&amp;"")</f>
        <v/>
      </c>
      <c r="J39" s="534"/>
      <c r="K39" s="598" t="str">
        <f>IF($J39="","",INDEX(ﾏｽﾀ!$G$8:$G$124,MATCH(INDEX(ﾏｽﾀ!$N$8:$N$124,MATCH($J39,ﾏｽﾀ!$O$8:$O$124,0)),ﾏｽﾀ!$B$8:$B$124,0))&amp;"")</f>
        <v/>
      </c>
      <c r="L39" s="600" t="str">
        <f>IF($M39="","",INDEX(ﾏｽﾀ!$T$8:$T$16,MATCH($M39,ﾏｽﾀ!$U$8:$U$16,0))&amp;"")</f>
        <v/>
      </c>
      <c r="M39" s="534"/>
      <c r="N39" s="463"/>
      <c r="O39" s="464"/>
      <c r="P39" s="465"/>
      <c r="Q39" s="466" t="str">
        <f t="shared" si="4"/>
        <v/>
      </c>
      <c r="R39" s="154" t="str">
        <f>IF($T39="","",VLOOKUP($T39,請求Data!$I$11:$AR$160,請求Data!$AL$10-請求Data!$H$10,0))</f>
        <v/>
      </c>
      <c r="S39" s="155" t="str">
        <f>IF($T39="","",VLOOKUP($T39,請求Data!$I$11:$AR$160,請求Data!$AM$10-請求Data!$H$10,0))</f>
        <v/>
      </c>
      <c r="T39" s="467" t="str">
        <f>IF(ISNA(MATCH($H39,請求Data!$AH$11:$AH$160,0)),"",VLOOKUP($H39,請求Data!$AH$11:$AR$160,請求Data!$AK$10-請求Data!$AG$10,0))</f>
        <v/>
      </c>
      <c r="U39" s="468"/>
      <c r="V39" s="58"/>
    </row>
    <row r="40" spans="1:22" ht="15" customHeight="1">
      <c r="A40" s="58" t="str">
        <f>IF($Q40="","",MAX($A$8:$A39)+1)</f>
        <v/>
      </c>
      <c r="B40" s="614" t="str">
        <f t="shared" si="0"/>
        <v/>
      </c>
      <c r="C40" s="614" t="str">
        <f t="shared" si="1"/>
        <v/>
      </c>
      <c r="D40" s="614" t="str">
        <f t="shared" si="2"/>
        <v/>
      </c>
      <c r="E40" s="615" t="str">
        <f t="shared" si="3"/>
        <v/>
      </c>
      <c r="F40" s="616" t="str">
        <f>IF($H40="","",IF(ISNA(MATCH($H40,$H$7:$H39,0)),1,0))</f>
        <v/>
      </c>
      <c r="G40" s="249"/>
      <c r="H40" s="95"/>
      <c r="I40" s="598" t="str">
        <f>IF($J40="","",INDEX(ﾏｽﾀ!$E$8:$E$124,MATCH(INDEX(ﾏｽﾀ!$N$8:$N$124,MATCH($J40,ﾏｽﾀ!$O$8:$O$124,0)),ﾏｽﾀ!$B$8:$B$124,0))&amp;"")</f>
        <v/>
      </c>
      <c r="J40" s="534"/>
      <c r="K40" s="598" t="str">
        <f>IF($J40="","",INDEX(ﾏｽﾀ!$G$8:$G$124,MATCH(INDEX(ﾏｽﾀ!$N$8:$N$124,MATCH($J40,ﾏｽﾀ!$O$8:$O$124,0)),ﾏｽﾀ!$B$8:$B$124,0))&amp;"")</f>
        <v/>
      </c>
      <c r="L40" s="600" t="str">
        <f>IF($M40="","",INDEX(ﾏｽﾀ!$T$8:$T$16,MATCH($M40,ﾏｽﾀ!$U$8:$U$16,0))&amp;"")</f>
        <v/>
      </c>
      <c r="M40" s="534"/>
      <c r="N40" s="463"/>
      <c r="O40" s="464"/>
      <c r="P40" s="465"/>
      <c r="Q40" s="466" t="str">
        <f t="shared" si="4"/>
        <v/>
      </c>
      <c r="R40" s="154" t="str">
        <f>IF($T40="","",VLOOKUP($T40,請求Data!$I$11:$AR$160,請求Data!$AL$10-請求Data!$H$10,0))</f>
        <v/>
      </c>
      <c r="S40" s="155" t="str">
        <f>IF($T40="","",VLOOKUP($T40,請求Data!$I$11:$AR$160,請求Data!$AM$10-請求Data!$H$10,0))</f>
        <v/>
      </c>
      <c r="T40" s="467" t="str">
        <f>IF(ISNA(MATCH($H40,請求Data!$AH$11:$AH$160,0)),"",VLOOKUP($H40,請求Data!$AH$11:$AR$160,請求Data!$AK$10-請求Data!$AG$10,0))</f>
        <v/>
      </c>
      <c r="U40" s="468"/>
      <c r="V40" s="58"/>
    </row>
    <row r="41" spans="1:22" ht="15" customHeight="1">
      <c r="A41" s="58" t="str">
        <f>IF($Q41="","",MAX($A$8:$A40)+1)</f>
        <v/>
      </c>
      <c r="B41" s="614" t="str">
        <f t="shared" si="0"/>
        <v/>
      </c>
      <c r="C41" s="614" t="str">
        <f t="shared" si="1"/>
        <v/>
      </c>
      <c r="D41" s="614" t="str">
        <f t="shared" si="2"/>
        <v/>
      </c>
      <c r="E41" s="615" t="str">
        <f t="shared" si="3"/>
        <v/>
      </c>
      <c r="F41" s="616" t="str">
        <f>IF($H41="","",IF(ISNA(MATCH($H41,$H$7:$H40,0)),1,0))</f>
        <v/>
      </c>
      <c r="G41" s="249"/>
      <c r="H41" s="95"/>
      <c r="I41" s="598" t="str">
        <f>IF($J41="","",INDEX(ﾏｽﾀ!$E$8:$E$124,MATCH(INDEX(ﾏｽﾀ!$N$8:$N$124,MATCH($J41,ﾏｽﾀ!$O$8:$O$124,0)),ﾏｽﾀ!$B$8:$B$124,0))&amp;"")</f>
        <v/>
      </c>
      <c r="J41" s="534"/>
      <c r="K41" s="598" t="str">
        <f>IF($J41="","",INDEX(ﾏｽﾀ!$G$8:$G$124,MATCH(INDEX(ﾏｽﾀ!$N$8:$N$124,MATCH($J41,ﾏｽﾀ!$O$8:$O$124,0)),ﾏｽﾀ!$B$8:$B$124,0))&amp;"")</f>
        <v/>
      </c>
      <c r="L41" s="600" t="str">
        <f>IF($M41="","",INDEX(ﾏｽﾀ!$T$8:$T$16,MATCH($M41,ﾏｽﾀ!$U$8:$U$16,0))&amp;"")</f>
        <v/>
      </c>
      <c r="M41" s="534"/>
      <c r="N41" s="463"/>
      <c r="O41" s="464"/>
      <c r="P41" s="465"/>
      <c r="Q41" s="466" t="str">
        <f t="shared" si="4"/>
        <v/>
      </c>
      <c r="R41" s="154" t="str">
        <f>IF($T41="","",VLOOKUP($T41,請求Data!$I$11:$AR$160,請求Data!$AL$10-請求Data!$H$10,0))</f>
        <v/>
      </c>
      <c r="S41" s="155" t="str">
        <f>IF($T41="","",VLOOKUP($T41,請求Data!$I$11:$AR$160,請求Data!$AM$10-請求Data!$H$10,0))</f>
        <v/>
      </c>
      <c r="T41" s="467" t="str">
        <f>IF(ISNA(MATCH($H41,請求Data!$AH$11:$AH$160,0)),"",VLOOKUP($H41,請求Data!$AH$11:$AR$160,請求Data!$AK$10-請求Data!$AG$10,0))</f>
        <v/>
      </c>
      <c r="U41" s="468"/>
      <c r="V41" s="58"/>
    </row>
    <row r="42" spans="1:22" ht="15" customHeight="1">
      <c r="A42" s="58" t="str">
        <f>IF($Q42="","",MAX($A$8:$A41)+1)</f>
        <v/>
      </c>
      <c r="B42" s="614" t="str">
        <f t="shared" si="0"/>
        <v/>
      </c>
      <c r="C42" s="614" t="str">
        <f t="shared" si="1"/>
        <v/>
      </c>
      <c r="D42" s="614" t="str">
        <f t="shared" si="2"/>
        <v/>
      </c>
      <c r="E42" s="615" t="str">
        <f t="shared" si="3"/>
        <v/>
      </c>
      <c r="F42" s="616" t="str">
        <f>IF($H42="","",IF(ISNA(MATCH($H42,$H$7:$H41,0)),1,0))</f>
        <v/>
      </c>
      <c r="G42" s="249"/>
      <c r="H42" s="95"/>
      <c r="I42" s="598" t="str">
        <f>IF($J42="","",INDEX(ﾏｽﾀ!$E$8:$E$124,MATCH(INDEX(ﾏｽﾀ!$N$8:$N$124,MATCH($J42,ﾏｽﾀ!$O$8:$O$124,0)),ﾏｽﾀ!$B$8:$B$124,0))&amp;"")</f>
        <v/>
      </c>
      <c r="J42" s="534"/>
      <c r="K42" s="598" t="str">
        <f>IF($J42="","",INDEX(ﾏｽﾀ!$G$8:$G$124,MATCH(INDEX(ﾏｽﾀ!$N$8:$N$124,MATCH($J42,ﾏｽﾀ!$O$8:$O$124,0)),ﾏｽﾀ!$B$8:$B$124,0))&amp;"")</f>
        <v/>
      </c>
      <c r="L42" s="600" t="str">
        <f>IF($M42="","",INDEX(ﾏｽﾀ!$T$8:$T$16,MATCH($M42,ﾏｽﾀ!$U$8:$U$16,0))&amp;"")</f>
        <v/>
      </c>
      <c r="M42" s="534"/>
      <c r="N42" s="463"/>
      <c r="O42" s="464"/>
      <c r="P42" s="465"/>
      <c r="Q42" s="466" t="str">
        <f t="shared" si="4"/>
        <v/>
      </c>
      <c r="R42" s="154" t="str">
        <f>IF($T42="","",VLOOKUP($T42,請求Data!$I$11:$AR$160,請求Data!$AL$10-請求Data!$H$10,0))</f>
        <v/>
      </c>
      <c r="S42" s="155" t="str">
        <f>IF($T42="","",VLOOKUP($T42,請求Data!$I$11:$AR$160,請求Data!$AM$10-請求Data!$H$10,0))</f>
        <v/>
      </c>
      <c r="T42" s="467" t="str">
        <f>IF(ISNA(MATCH($H42,請求Data!$AH$11:$AH$160,0)),"",VLOOKUP($H42,請求Data!$AH$11:$AR$160,請求Data!$AK$10-請求Data!$AG$10,0))</f>
        <v/>
      </c>
      <c r="U42" s="468"/>
      <c r="V42" s="58"/>
    </row>
    <row r="43" spans="1:22" ht="15" customHeight="1">
      <c r="A43" s="58" t="str">
        <f>IF($Q43="","",MAX($A$8:$A42)+1)</f>
        <v/>
      </c>
      <c r="B43" s="614" t="str">
        <f t="shared" si="0"/>
        <v/>
      </c>
      <c r="C43" s="614" t="str">
        <f t="shared" si="1"/>
        <v/>
      </c>
      <c r="D43" s="614" t="str">
        <f t="shared" si="2"/>
        <v/>
      </c>
      <c r="E43" s="615" t="str">
        <f t="shared" si="3"/>
        <v/>
      </c>
      <c r="F43" s="616" t="str">
        <f>IF($H43="","",IF(ISNA(MATCH($H43,$H$7:$H42,0)),1,0))</f>
        <v/>
      </c>
      <c r="G43" s="249"/>
      <c r="H43" s="95"/>
      <c r="I43" s="598" t="str">
        <f>IF($J43="","",INDEX(ﾏｽﾀ!$E$8:$E$124,MATCH(INDEX(ﾏｽﾀ!$N$8:$N$124,MATCH($J43,ﾏｽﾀ!$O$8:$O$124,0)),ﾏｽﾀ!$B$8:$B$124,0))&amp;"")</f>
        <v/>
      </c>
      <c r="J43" s="534"/>
      <c r="K43" s="598" t="str">
        <f>IF($J43="","",INDEX(ﾏｽﾀ!$G$8:$G$124,MATCH(INDEX(ﾏｽﾀ!$N$8:$N$124,MATCH($J43,ﾏｽﾀ!$O$8:$O$124,0)),ﾏｽﾀ!$B$8:$B$124,0))&amp;"")</f>
        <v/>
      </c>
      <c r="L43" s="600" t="str">
        <f>IF($M43="","",INDEX(ﾏｽﾀ!$T$8:$T$16,MATCH($M43,ﾏｽﾀ!$U$8:$U$16,0))&amp;"")</f>
        <v/>
      </c>
      <c r="M43" s="534"/>
      <c r="N43" s="463"/>
      <c r="O43" s="464"/>
      <c r="P43" s="465"/>
      <c r="Q43" s="466" t="str">
        <f t="shared" si="4"/>
        <v/>
      </c>
      <c r="R43" s="154" t="str">
        <f>IF($T43="","",VLOOKUP($T43,請求Data!$I$11:$AR$160,請求Data!$AL$10-請求Data!$H$10,0))</f>
        <v/>
      </c>
      <c r="S43" s="155" t="str">
        <f>IF($T43="","",VLOOKUP($T43,請求Data!$I$11:$AR$160,請求Data!$AM$10-請求Data!$H$10,0))</f>
        <v/>
      </c>
      <c r="T43" s="467" t="str">
        <f>IF(ISNA(MATCH($H43,請求Data!$AH$11:$AH$160,0)),"",VLOOKUP($H43,請求Data!$AH$11:$AR$160,請求Data!$AK$10-請求Data!$AG$10,0))</f>
        <v/>
      </c>
      <c r="U43" s="468"/>
      <c r="V43" s="58"/>
    </row>
    <row r="44" spans="1:22" ht="15" customHeight="1">
      <c r="A44" s="58" t="str">
        <f>IF($Q44="","",MAX($A$8:$A43)+1)</f>
        <v/>
      </c>
      <c r="B44" s="614" t="str">
        <f t="shared" si="0"/>
        <v/>
      </c>
      <c r="C44" s="614" t="str">
        <f t="shared" si="1"/>
        <v/>
      </c>
      <c r="D44" s="614" t="str">
        <f t="shared" si="2"/>
        <v/>
      </c>
      <c r="E44" s="615" t="str">
        <f t="shared" si="3"/>
        <v/>
      </c>
      <c r="F44" s="616" t="str">
        <f>IF($H44="","",IF(ISNA(MATCH($H44,$H$7:$H43,0)),1,0))</f>
        <v/>
      </c>
      <c r="G44" s="249"/>
      <c r="H44" s="95"/>
      <c r="I44" s="598" t="str">
        <f>IF($J44="","",INDEX(ﾏｽﾀ!$E$8:$E$124,MATCH(INDEX(ﾏｽﾀ!$N$8:$N$124,MATCH($J44,ﾏｽﾀ!$O$8:$O$124,0)),ﾏｽﾀ!$B$8:$B$124,0))&amp;"")</f>
        <v/>
      </c>
      <c r="J44" s="534"/>
      <c r="K44" s="598" t="str">
        <f>IF($J44="","",INDEX(ﾏｽﾀ!$G$8:$G$124,MATCH(INDEX(ﾏｽﾀ!$N$8:$N$124,MATCH($J44,ﾏｽﾀ!$O$8:$O$124,0)),ﾏｽﾀ!$B$8:$B$124,0))&amp;"")</f>
        <v/>
      </c>
      <c r="L44" s="600" t="str">
        <f>IF($M44="","",INDEX(ﾏｽﾀ!$T$8:$T$16,MATCH($M44,ﾏｽﾀ!$U$8:$U$16,0))&amp;"")</f>
        <v/>
      </c>
      <c r="M44" s="534"/>
      <c r="N44" s="463"/>
      <c r="O44" s="464"/>
      <c r="P44" s="465"/>
      <c r="Q44" s="466" t="str">
        <f t="shared" si="4"/>
        <v/>
      </c>
      <c r="R44" s="154" t="str">
        <f>IF($T44="","",VLOOKUP($T44,請求Data!$I$11:$AR$160,請求Data!$AL$10-請求Data!$H$10,0))</f>
        <v/>
      </c>
      <c r="S44" s="155" t="str">
        <f>IF($T44="","",VLOOKUP($T44,請求Data!$I$11:$AR$160,請求Data!$AM$10-請求Data!$H$10,0))</f>
        <v/>
      </c>
      <c r="T44" s="467" t="str">
        <f>IF(ISNA(MATCH($H44,請求Data!$AH$11:$AH$160,0)),"",VLOOKUP($H44,請求Data!$AH$11:$AR$160,請求Data!$AK$10-請求Data!$AG$10,0))</f>
        <v/>
      </c>
      <c r="U44" s="468"/>
      <c r="V44" s="58"/>
    </row>
    <row r="45" spans="1:22" ht="15" customHeight="1">
      <c r="A45" s="58" t="str">
        <f>IF($Q45="","",MAX($A$8:$A44)+1)</f>
        <v/>
      </c>
      <c r="B45" s="614" t="str">
        <f t="shared" si="0"/>
        <v/>
      </c>
      <c r="C45" s="614" t="str">
        <f t="shared" si="1"/>
        <v/>
      </c>
      <c r="D45" s="614" t="str">
        <f t="shared" si="2"/>
        <v/>
      </c>
      <c r="E45" s="615" t="str">
        <f t="shared" si="3"/>
        <v/>
      </c>
      <c r="F45" s="616" t="str">
        <f>IF($H45="","",IF(ISNA(MATCH($H45,$H$7:$H44,0)),1,0))</f>
        <v/>
      </c>
      <c r="G45" s="249"/>
      <c r="H45" s="95"/>
      <c r="I45" s="598" t="str">
        <f>IF($J45="","",INDEX(ﾏｽﾀ!$E$8:$E$124,MATCH(INDEX(ﾏｽﾀ!$N$8:$N$124,MATCH($J45,ﾏｽﾀ!$O$8:$O$124,0)),ﾏｽﾀ!$B$8:$B$124,0))&amp;"")</f>
        <v/>
      </c>
      <c r="J45" s="534"/>
      <c r="K45" s="598" t="str">
        <f>IF($J45="","",INDEX(ﾏｽﾀ!$G$8:$G$124,MATCH(INDEX(ﾏｽﾀ!$N$8:$N$124,MATCH($J45,ﾏｽﾀ!$O$8:$O$124,0)),ﾏｽﾀ!$B$8:$B$124,0))&amp;"")</f>
        <v/>
      </c>
      <c r="L45" s="600" t="str">
        <f>IF($M45="","",INDEX(ﾏｽﾀ!$T$8:$T$16,MATCH($M45,ﾏｽﾀ!$U$8:$U$16,0))&amp;"")</f>
        <v/>
      </c>
      <c r="M45" s="534"/>
      <c r="N45" s="463"/>
      <c r="O45" s="464"/>
      <c r="P45" s="465"/>
      <c r="Q45" s="466" t="str">
        <f t="shared" si="4"/>
        <v/>
      </c>
      <c r="R45" s="154" t="str">
        <f>IF($T45="","",VLOOKUP($T45,請求Data!$I$11:$AR$160,請求Data!$AL$10-請求Data!$H$10,0))</f>
        <v/>
      </c>
      <c r="S45" s="155" t="str">
        <f>IF($T45="","",VLOOKUP($T45,請求Data!$I$11:$AR$160,請求Data!$AM$10-請求Data!$H$10,0))</f>
        <v/>
      </c>
      <c r="T45" s="467" t="str">
        <f>IF(ISNA(MATCH($H45,請求Data!$AH$11:$AH$160,0)),"",VLOOKUP($H45,請求Data!$AH$11:$AR$160,請求Data!$AK$10-請求Data!$AG$10,0))</f>
        <v/>
      </c>
      <c r="U45" s="468"/>
      <c r="V45" s="58"/>
    </row>
    <row r="46" spans="1:22" ht="15" customHeight="1">
      <c r="A46" s="58" t="str">
        <f>IF($Q46="","",MAX($A$8:$A45)+1)</f>
        <v/>
      </c>
      <c r="B46" s="614" t="str">
        <f t="shared" si="0"/>
        <v/>
      </c>
      <c r="C46" s="614" t="str">
        <f t="shared" si="1"/>
        <v/>
      </c>
      <c r="D46" s="614" t="str">
        <f t="shared" si="2"/>
        <v/>
      </c>
      <c r="E46" s="615" t="str">
        <f t="shared" si="3"/>
        <v/>
      </c>
      <c r="F46" s="616" t="str">
        <f>IF($H46="","",IF(ISNA(MATCH($H46,$H$7:$H45,0)),1,0))</f>
        <v/>
      </c>
      <c r="G46" s="249"/>
      <c r="H46" s="95"/>
      <c r="I46" s="598" t="str">
        <f>IF($J46="","",INDEX(ﾏｽﾀ!$E$8:$E$124,MATCH(INDEX(ﾏｽﾀ!$N$8:$N$124,MATCH($J46,ﾏｽﾀ!$O$8:$O$124,0)),ﾏｽﾀ!$B$8:$B$124,0))&amp;"")</f>
        <v/>
      </c>
      <c r="J46" s="534"/>
      <c r="K46" s="598" t="str">
        <f>IF($J46="","",INDEX(ﾏｽﾀ!$G$8:$G$124,MATCH(INDEX(ﾏｽﾀ!$N$8:$N$124,MATCH($J46,ﾏｽﾀ!$O$8:$O$124,0)),ﾏｽﾀ!$B$8:$B$124,0))&amp;"")</f>
        <v/>
      </c>
      <c r="L46" s="600" t="str">
        <f>IF($M46="","",INDEX(ﾏｽﾀ!$T$8:$T$16,MATCH($M46,ﾏｽﾀ!$U$8:$U$16,0))&amp;"")</f>
        <v/>
      </c>
      <c r="M46" s="534"/>
      <c r="N46" s="463"/>
      <c r="O46" s="464"/>
      <c r="P46" s="465"/>
      <c r="Q46" s="466" t="str">
        <f t="shared" si="4"/>
        <v/>
      </c>
      <c r="R46" s="154" t="str">
        <f>IF($T46="","",VLOOKUP($T46,請求Data!$I$11:$AR$160,請求Data!$AL$10-請求Data!$H$10,0))</f>
        <v/>
      </c>
      <c r="S46" s="155" t="str">
        <f>IF($T46="","",VLOOKUP($T46,請求Data!$I$11:$AR$160,請求Data!$AM$10-請求Data!$H$10,0))</f>
        <v/>
      </c>
      <c r="T46" s="467" t="str">
        <f>IF(ISNA(MATCH($H46,請求Data!$AH$11:$AH$160,0)),"",VLOOKUP($H46,請求Data!$AH$11:$AR$160,請求Data!$AK$10-請求Data!$AG$10,0))</f>
        <v/>
      </c>
      <c r="U46" s="468"/>
      <c r="V46" s="58"/>
    </row>
    <row r="47" spans="1:22" ht="15" customHeight="1">
      <c r="A47" s="58" t="str">
        <f>IF($Q47="","",MAX($A$8:$A46)+1)</f>
        <v/>
      </c>
      <c r="B47" s="614" t="str">
        <f t="shared" si="0"/>
        <v/>
      </c>
      <c r="C47" s="614" t="str">
        <f t="shared" si="1"/>
        <v/>
      </c>
      <c r="D47" s="614" t="str">
        <f t="shared" si="2"/>
        <v/>
      </c>
      <c r="E47" s="615" t="str">
        <f t="shared" si="3"/>
        <v/>
      </c>
      <c r="F47" s="616" t="str">
        <f>IF($H47="","",IF(ISNA(MATCH($H47,$H$7:$H46,0)),1,0))</f>
        <v/>
      </c>
      <c r="G47" s="249"/>
      <c r="H47" s="95"/>
      <c r="I47" s="598" t="str">
        <f>IF($J47="","",INDEX(ﾏｽﾀ!$E$8:$E$124,MATCH(INDEX(ﾏｽﾀ!$N$8:$N$124,MATCH($J47,ﾏｽﾀ!$O$8:$O$124,0)),ﾏｽﾀ!$B$8:$B$124,0))&amp;"")</f>
        <v/>
      </c>
      <c r="J47" s="534"/>
      <c r="K47" s="598" t="str">
        <f>IF($J47="","",INDEX(ﾏｽﾀ!$G$8:$G$124,MATCH(INDEX(ﾏｽﾀ!$N$8:$N$124,MATCH($J47,ﾏｽﾀ!$O$8:$O$124,0)),ﾏｽﾀ!$B$8:$B$124,0))&amp;"")</f>
        <v/>
      </c>
      <c r="L47" s="600" t="str">
        <f>IF($M47="","",INDEX(ﾏｽﾀ!$T$8:$T$16,MATCH($M47,ﾏｽﾀ!$U$8:$U$16,0))&amp;"")</f>
        <v/>
      </c>
      <c r="M47" s="534"/>
      <c r="N47" s="463"/>
      <c r="O47" s="464"/>
      <c r="P47" s="465"/>
      <c r="Q47" s="466" t="str">
        <f t="shared" si="4"/>
        <v/>
      </c>
      <c r="R47" s="154" t="str">
        <f>IF($T47="","",VLOOKUP($T47,請求Data!$I$11:$AR$160,請求Data!$AL$10-請求Data!$H$10,0))</f>
        <v/>
      </c>
      <c r="S47" s="155" t="str">
        <f>IF($T47="","",VLOOKUP($T47,請求Data!$I$11:$AR$160,請求Data!$AM$10-請求Data!$H$10,0))</f>
        <v/>
      </c>
      <c r="T47" s="467" t="str">
        <f>IF(ISNA(MATCH($H47,請求Data!$AH$11:$AH$160,0)),"",VLOOKUP($H47,請求Data!$AH$11:$AR$160,請求Data!$AK$10-請求Data!$AG$10,0))</f>
        <v/>
      </c>
      <c r="U47" s="468"/>
      <c r="V47" s="58"/>
    </row>
    <row r="48" spans="1:22" ht="15" customHeight="1">
      <c r="A48" s="58" t="str">
        <f>IF($Q48="","",MAX($A$8:$A47)+1)</f>
        <v/>
      </c>
      <c r="B48" s="614" t="str">
        <f t="shared" si="0"/>
        <v/>
      </c>
      <c r="C48" s="614" t="str">
        <f t="shared" si="1"/>
        <v/>
      </c>
      <c r="D48" s="614" t="str">
        <f t="shared" si="2"/>
        <v/>
      </c>
      <c r="E48" s="615" t="str">
        <f t="shared" si="3"/>
        <v/>
      </c>
      <c r="F48" s="616" t="str">
        <f>IF($H48="","",IF(ISNA(MATCH($H48,$H$7:$H47,0)),1,0))</f>
        <v/>
      </c>
      <c r="G48" s="249"/>
      <c r="H48" s="95"/>
      <c r="I48" s="598" t="str">
        <f>IF($J48="","",INDEX(ﾏｽﾀ!$E$8:$E$124,MATCH(INDEX(ﾏｽﾀ!$N$8:$N$124,MATCH($J48,ﾏｽﾀ!$O$8:$O$124,0)),ﾏｽﾀ!$B$8:$B$124,0))&amp;"")</f>
        <v/>
      </c>
      <c r="J48" s="534"/>
      <c r="K48" s="598" t="str">
        <f>IF($J48="","",INDEX(ﾏｽﾀ!$G$8:$G$124,MATCH(INDEX(ﾏｽﾀ!$N$8:$N$124,MATCH($J48,ﾏｽﾀ!$O$8:$O$124,0)),ﾏｽﾀ!$B$8:$B$124,0))&amp;"")</f>
        <v/>
      </c>
      <c r="L48" s="600" t="str">
        <f>IF($M48="","",INDEX(ﾏｽﾀ!$T$8:$T$16,MATCH($M48,ﾏｽﾀ!$U$8:$U$16,0))&amp;"")</f>
        <v/>
      </c>
      <c r="M48" s="534"/>
      <c r="N48" s="463"/>
      <c r="O48" s="464"/>
      <c r="P48" s="465"/>
      <c r="Q48" s="466" t="str">
        <f t="shared" si="4"/>
        <v/>
      </c>
      <c r="R48" s="154" t="str">
        <f>IF($T48="","",VLOOKUP($T48,請求Data!$I$11:$AR$160,請求Data!$AL$10-請求Data!$H$10,0))</f>
        <v/>
      </c>
      <c r="S48" s="155" t="str">
        <f>IF($T48="","",VLOOKUP($T48,請求Data!$I$11:$AR$160,請求Data!$AM$10-請求Data!$H$10,0))</f>
        <v/>
      </c>
      <c r="T48" s="467" t="str">
        <f>IF(ISNA(MATCH($H48,請求Data!$AH$11:$AH$160,0)),"",VLOOKUP($H48,請求Data!$AH$11:$AR$160,請求Data!$AK$10-請求Data!$AG$10,0))</f>
        <v/>
      </c>
      <c r="U48" s="468"/>
      <c r="V48" s="58"/>
    </row>
    <row r="49" spans="1:22" ht="15" customHeight="1">
      <c r="A49" s="58" t="str">
        <f>IF($Q49="","",MAX($A$8:$A48)+1)</f>
        <v/>
      </c>
      <c r="B49" s="614" t="str">
        <f t="shared" si="0"/>
        <v/>
      </c>
      <c r="C49" s="614" t="str">
        <f t="shared" si="1"/>
        <v/>
      </c>
      <c r="D49" s="614" t="str">
        <f t="shared" si="2"/>
        <v/>
      </c>
      <c r="E49" s="615" t="str">
        <f t="shared" si="3"/>
        <v/>
      </c>
      <c r="F49" s="616" t="str">
        <f>IF($H49="","",IF(ISNA(MATCH($H49,$H$7:$H48,0)),1,0))</f>
        <v/>
      </c>
      <c r="G49" s="249"/>
      <c r="H49" s="95"/>
      <c r="I49" s="598" t="str">
        <f>IF($J49="","",INDEX(ﾏｽﾀ!$E$8:$E$124,MATCH(INDEX(ﾏｽﾀ!$N$8:$N$124,MATCH($J49,ﾏｽﾀ!$O$8:$O$124,0)),ﾏｽﾀ!$B$8:$B$124,0))&amp;"")</f>
        <v/>
      </c>
      <c r="J49" s="534"/>
      <c r="K49" s="598" t="str">
        <f>IF($J49="","",INDEX(ﾏｽﾀ!$G$8:$G$124,MATCH(INDEX(ﾏｽﾀ!$N$8:$N$124,MATCH($J49,ﾏｽﾀ!$O$8:$O$124,0)),ﾏｽﾀ!$B$8:$B$124,0))&amp;"")</f>
        <v/>
      </c>
      <c r="L49" s="600" t="str">
        <f>IF($M49="","",INDEX(ﾏｽﾀ!$T$8:$T$16,MATCH($M49,ﾏｽﾀ!$U$8:$U$16,0))&amp;"")</f>
        <v/>
      </c>
      <c r="M49" s="534"/>
      <c r="N49" s="463"/>
      <c r="O49" s="464"/>
      <c r="P49" s="465"/>
      <c r="Q49" s="466" t="str">
        <f t="shared" si="4"/>
        <v/>
      </c>
      <c r="R49" s="154" t="str">
        <f>IF($T49="","",VLOOKUP($T49,請求Data!$I$11:$AR$160,請求Data!$AL$10-請求Data!$H$10,0))</f>
        <v/>
      </c>
      <c r="S49" s="155" t="str">
        <f>IF($T49="","",VLOOKUP($T49,請求Data!$I$11:$AR$160,請求Data!$AM$10-請求Data!$H$10,0))</f>
        <v/>
      </c>
      <c r="T49" s="467" t="str">
        <f>IF(ISNA(MATCH($H49,請求Data!$AH$11:$AH$160,0)),"",VLOOKUP($H49,請求Data!$AH$11:$AR$160,請求Data!$AK$10-請求Data!$AG$10,0))</f>
        <v/>
      </c>
      <c r="U49" s="468"/>
      <c r="V49" s="58"/>
    </row>
    <row r="50" spans="1:22" ht="15" customHeight="1">
      <c r="A50" s="58" t="str">
        <f>IF($Q50="","",MAX($A$8:$A49)+1)</f>
        <v/>
      </c>
      <c r="B50" s="614" t="str">
        <f t="shared" si="0"/>
        <v/>
      </c>
      <c r="C50" s="614" t="str">
        <f t="shared" si="1"/>
        <v/>
      </c>
      <c r="D50" s="614" t="str">
        <f t="shared" si="2"/>
        <v/>
      </c>
      <c r="E50" s="615" t="str">
        <f t="shared" si="3"/>
        <v/>
      </c>
      <c r="F50" s="616" t="str">
        <f>IF($H50="","",IF(ISNA(MATCH($H50,$H$7:$H49,0)),1,0))</f>
        <v/>
      </c>
      <c r="G50" s="249"/>
      <c r="H50" s="95"/>
      <c r="I50" s="598" t="str">
        <f>IF($J50="","",INDEX(ﾏｽﾀ!$E$8:$E$124,MATCH(INDEX(ﾏｽﾀ!$N$8:$N$124,MATCH($J50,ﾏｽﾀ!$O$8:$O$124,0)),ﾏｽﾀ!$B$8:$B$124,0))&amp;"")</f>
        <v/>
      </c>
      <c r="J50" s="534"/>
      <c r="K50" s="598" t="str">
        <f>IF($J50="","",INDEX(ﾏｽﾀ!$G$8:$G$124,MATCH(INDEX(ﾏｽﾀ!$N$8:$N$124,MATCH($J50,ﾏｽﾀ!$O$8:$O$124,0)),ﾏｽﾀ!$B$8:$B$124,0))&amp;"")</f>
        <v/>
      </c>
      <c r="L50" s="600" t="str">
        <f>IF($M50="","",INDEX(ﾏｽﾀ!$T$8:$T$16,MATCH($M50,ﾏｽﾀ!$U$8:$U$16,0))&amp;"")</f>
        <v/>
      </c>
      <c r="M50" s="534"/>
      <c r="N50" s="463"/>
      <c r="O50" s="464"/>
      <c r="P50" s="465"/>
      <c r="Q50" s="466" t="str">
        <f t="shared" si="4"/>
        <v/>
      </c>
      <c r="R50" s="154" t="str">
        <f>IF($T50="","",VLOOKUP($T50,請求Data!$I$11:$AR$160,請求Data!$AL$10-請求Data!$H$10,0))</f>
        <v/>
      </c>
      <c r="S50" s="155" t="str">
        <f>IF($T50="","",VLOOKUP($T50,請求Data!$I$11:$AR$160,請求Data!$AM$10-請求Data!$H$10,0))</f>
        <v/>
      </c>
      <c r="T50" s="467" t="str">
        <f>IF(ISNA(MATCH($H50,請求Data!$AH$11:$AH$160,0)),"",VLOOKUP($H50,請求Data!$AH$11:$AR$160,請求Data!$AK$10-請求Data!$AG$10,0))</f>
        <v/>
      </c>
      <c r="U50" s="468"/>
      <c r="V50" s="58"/>
    </row>
    <row r="51" spans="1:22" ht="15" customHeight="1">
      <c r="A51" s="58" t="str">
        <f>IF($Q51="","",MAX($A$8:$A50)+1)</f>
        <v/>
      </c>
      <c r="B51" s="614" t="str">
        <f t="shared" si="0"/>
        <v/>
      </c>
      <c r="C51" s="614" t="str">
        <f t="shared" si="1"/>
        <v/>
      </c>
      <c r="D51" s="614" t="str">
        <f t="shared" si="2"/>
        <v/>
      </c>
      <c r="E51" s="615" t="str">
        <f t="shared" si="3"/>
        <v/>
      </c>
      <c r="F51" s="616" t="str">
        <f>IF($H51="","",IF(ISNA(MATCH($H51,$H$7:$H50,0)),1,0))</f>
        <v/>
      </c>
      <c r="G51" s="249"/>
      <c r="H51" s="95"/>
      <c r="I51" s="598" t="str">
        <f>IF($J51="","",INDEX(ﾏｽﾀ!$E$8:$E$124,MATCH(INDEX(ﾏｽﾀ!$N$8:$N$124,MATCH($J51,ﾏｽﾀ!$O$8:$O$124,0)),ﾏｽﾀ!$B$8:$B$124,0))&amp;"")</f>
        <v/>
      </c>
      <c r="J51" s="534"/>
      <c r="K51" s="598" t="str">
        <f>IF($J51="","",INDEX(ﾏｽﾀ!$G$8:$G$124,MATCH(INDEX(ﾏｽﾀ!$N$8:$N$124,MATCH($J51,ﾏｽﾀ!$O$8:$O$124,0)),ﾏｽﾀ!$B$8:$B$124,0))&amp;"")</f>
        <v/>
      </c>
      <c r="L51" s="600" t="str">
        <f>IF($M51="","",INDEX(ﾏｽﾀ!$T$8:$T$16,MATCH($M51,ﾏｽﾀ!$U$8:$U$16,0))&amp;"")</f>
        <v/>
      </c>
      <c r="M51" s="534"/>
      <c r="N51" s="463"/>
      <c r="O51" s="464"/>
      <c r="P51" s="465"/>
      <c r="Q51" s="466" t="str">
        <f t="shared" si="4"/>
        <v/>
      </c>
      <c r="R51" s="154" t="str">
        <f>IF($T51="","",VLOOKUP($T51,請求Data!$I$11:$AR$160,請求Data!$AL$10-請求Data!$H$10,0))</f>
        <v/>
      </c>
      <c r="S51" s="155" t="str">
        <f>IF($T51="","",VLOOKUP($T51,請求Data!$I$11:$AR$160,請求Data!$AM$10-請求Data!$H$10,0))</f>
        <v/>
      </c>
      <c r="T51" s="467" t="str">
        <f>IF(ISNA(MATCH($H51,請求Data!$AH$11:$AH$160,0)),"",VLOOKUP($H51,請求Data!$AH$11:$AR$160,請求Data!$AK$10-請求Data!$AG$10,0))</f>
        <v/>
      </c>
      <c r="U51" s="468"/>
      <c r="V51" s="58"/>
    </row>
    <row r="52" spans="1:22" ht="15" customHeight="1">
      <c r="A52" s="58" t="str">
        <f>IF($Q52="","",MAX($A$8:$A51)+1)</f>
        <v/>
      </c>
      <c r="B52" s="614" t="str">
        <f t="shared" si="0"/>
        <v/>
      </c>
      <c r="C52" s="614" t="str">
        <f t="shared" si="1"/>
        <v/>
      </c>
      <c r="D52" s="614" t="str">
        <f t="shared" si="2"/>
        <v/>
      </c>
      <c r="E52" s="615" t="str">
        <f t="shared" si="3"/>
        <v/>
      </c>
      <c r="F52" s="616" t="str">
        <f>IF($H52="","",IF(ISNA(MATCH($H52,$H$7:$H51,0)),1,0))</f>
        <v/>
      </c>
      <c r="G52" s="249"/>
      <c r="H52" s="95"/>
      <c r="I52" s="598" t="str">
        <f>IF($J52="","",INDEX(ﾏｽﾀ!$E$8:$E$124,MATCH(INDEX(ﾏｽﾀ!$N$8:$N$124,MATCH($J52,ﾏｽﾀ!$O$8:$O$124,0)),ﾏｽﾀ!$B$8:$B$124,0))&amp;"")</f>
        <v/>
      </c>
      <c r="J52" s="534"/>
      <c r="K52" s="598" t="str">
        <f>IF($J52="","",INDEX(ﾏｽﾀ!$G$8:$G$124,MATCH(INDEX(ﾏｽﾀ!$N$8:$N$124,MATCH($J52,ﾏｽﾀ!$O$8:$O$124,0)),ﾏｽﾀ!$B$8:$B$124,0))&amp;"")</f>
        <v/>
      </c>
      <c r="L52" s="600" t="str">
        <f>IF($M52="","",INDEX(ﾏｽﾀ!$T$8:$T$16,MATCH($M52,ﾏｽﾀ!$U$8:$U$16,0))&amp;"")</f>
        <v/>
      </c>
      <c r="M52" s="534"/>
      <c r="N52" s="463"/>
      <c r="O52" s="464"/>
      <c r="P52" s="465"/>
      <c r="Q52" s="466" t="str">
        <f t="shared" si="4"/>
        <v/>
      </c>
      <c r="R52" s="154" t="str">
        <f>IF($T52="","",VLOOKUP($T52,請求Data!$I$11:$AR$160,請求Data!$AL$10-請求Data!$H$10,0))</f>
        <v/>
      </c>
      <c r="S52" s="155" t="str">
        <f>IF($T52="","",VLOOKUP($T52,請求Data!$I$11:$AR$160,請求Data!$AM$10-請求Data!$H$10,0))</f>
        <v/>
      </c>
      <c r="T52" s="467" t="str">
        <f>IF(ISNA(MATCH($H52,請求Data!$AH$11:$AH$160,0)),"",VLOOKUP($H52,請求Data!$AH$11:$AR$160,請求Data!$AK$10-請求Data!$AG$10,0))</f>
        <v/>
      </c>
      <c r="U52" s="468"/>
      <c r="V52" s="58"/>
    </row>
    <row r="53" spans="1:22" ht="15" customHeight="1">
      <c r="A53" s="58" t="str">
        <f>IF($Q53="","",MAX($A$8:$A52)+1)</f>
        <v/>
      </c>
      <c r="B53" s="614" t="str">
        <f t="shared" si="0"/>
        <v/>
      </c>
      <c r="C53" s="614" t="str">
        <f t="shared" si="1"/>
        <v/>
      </c>
      <c r="D53" s="614" t="str">
        <f t="shared" si="2"/>
        <v/>
      </c>
      <c r="E53" s="615" t="str">
        <f t="shared" si="3"/>
        <v/>
      </c>
      <c r="F53" s="616" t="str">
        <f>IF($H53="","",IF(ISNA(MATCH($H53,$H$7:$H52,0)),1,0))</f>
        <v/>
      </c>
      <c r="G53" s="249"/>
      <c r="H53" s="95"/>
      <c r="I53" s="598" t="str">
        <f>IF($J53="","",INDEX(ﾏｽﾀ!$E$8:$E$124,MATCH(INDEX(ﾏｽﾀ!$N$8:$N$124,MATCH($J53,ﾏｽﾀ!$O$8:$O$124,0)),ﾏｽﾀ!$B$8:$B$124,0))&amp;"")</f>
        <v/>
      </c>
      <c r="J53" s="534"/>
      <c r="K53" s="598" t="str">
        <f>IF($J53="","",INDEX(ﾏｽﾀ!$G$8:$G$124,MATCH(INDEX(ﾏｽﾀ!$N$8:$N$124,MATCH($J53,ﾏｽﾀ!$O$8:$O$124,0)),ﾏｽﾀ!$B$8:$B$124,0))&amp;"")</f>
        <v/>
      </c>
      <c r="L53" s="600" t="str">
        <f>IF($M53="","",INDEX(ﾏｽﾀ!$T$8:$T$16,MATCH($M53,ﾏｽﾀ!$U$8:$U$16,0))&amp;"")</f>
        <v/>
      </c>
      <c r="M53" s="534"/>
      <c r="N53" s="463"/>
      <c r="O53" s="464"/>
      <c r="P53" s="465"/>
      <c r="Q53" s="466" t="str">
        <f t="shared" si="4"/>
        <v/>
      </c>
      <c r="R53" s="154" t="str">
        <f>IF($T53="","",VLOOKUP($T53,請求Data!$I$11:$AR$160,請求Data!$AL$10-請求Data!$H$10,0))</f>
        <v/>
      </c>
      <c r="S53" s="155" t="str">
        <f>IF($T53="","",VLOOKUP($T53,請求Data!$I$11:$AR$160,請求Data!$AM$10-請求Data!$H$10,0))</f>
        <v/>
      </c>
      <c r="T53" s="467" t="str">
        <f>IF(ISNA(MATCH($H53,請求Data!$AH$11:$AH$160,0)),"",VLOOKUP($H53,請求Data!$AH$11:$AR$160,請求Data!$AK$10-請求Data!$AG$10,0))</f>
        <v/>
      </c>
      <c r="U53" s="468"/>
      <c r="V53" s="58"/>
    </row>
    <row r="54" spans="1:22" ht="15" customHeight="1">
      <c r="A54" s="58" t="str">
        <f>IF($Q54="","",MAX($A$8:$A53)+1)</f>
        <v/>
      </c>
      <c r="B54" s="614" t="str">
        <f t="shared" si="0"/>
        <v/>
      </c>
      <c r="C54" s="614" t="str">
        <f t="shared" si="1"/>
        <v/>
      </c>
      <c r="D54" s="614" t="str">
        <f t="shared" si="2"/>
        <v/>
      </c>
      <c r="E54" s="615" t="str">
        <f t="shared" si="3"/>
        <v/>
      </c>
      <c r="F54" s="616" t="str">
        <f>IF($H54="","",IF(ISNA(MATCH($H54,$H$7:$H53,0)),1,0))</f>
        <v/>
      </c>
      <c r="G54" s="249"/>
      <c r="H54" s="95"/>
      <c r="I54" s="598" t="str">
        <f>IF($J54="","",INDEX(ﾏｽﾀ!$E$8:$E$124,MATCH(INDEX(ﾏｽﾀ!$N$8:$N$124,MATCH($J54,ﾏｽﾀ!$O$8:$O$124,0)),ﾏｽﾀ!$B$8:$B$124,0))&amp;"")</f>
        <v/>
      </c>
      <c r="J54" s="534"/>
      <c r="K54" s="598" t="str">
        <f>IF($J54="","",INDEX(ﾏｽﾀ!$G$8:$G$124,MATCH(INDEX(ﾏｽﾀ!$N$8:$N$124,MATCH($J54,ﾏｽﾀ!$O$8:$O$124,0)),ﾏｽﾀ!$B$8:$B$124,0))&amp;"")</f>
        <v/>
      </c>
      <c r="L54" s="600" t="str">
        <f>IF($M54="","",INDEX(ﾏｽﾀ!$T$8:$T$16,MATCH($M54,ﾏｽﾀ!$U$8:$U$16,0))&amp;"")</f>
        <v/>
      </c>
      <c r="M54" s="534"/>
      <c r="N54" s="463"/>
      <c r="O54" s="464"/>
      <c r="P54" s="465"/>
      <c r="Q54" s="466" t="str">
        <f t="shared" si="4"/>
        <v/>
      </c>
      <c r="R54" s="154" t="str">
        <f>IF($T54="","",VLOOKUP($T54,請求Data!$I$11:$AR$160,請求Data!$AL$10-請求Data!$H$10,0))</f>
        <v/>
      </c>
      <c r="S54" s="155" t="str">
        <f>IF($T54="","",VLOOKUP($T54,請求Data!$I$11:$AR$160,請求Data!$AM$10-請求Data!$H$10,0))</f>
        <v/>
      </c>
      <c r="T54" s="467" t="str">
        <f>IF(ISNA(MATCH($H54,請求Data!$AH$11:$AH$160,0)),"",VLOOKUP($H54,請求Data!$AH$11:$AR$160,請求Data!$AK$10-請求Data!$AG$10,0))</f>
        <v/>
      </c>
      <c r="U54" s="468"/>
      <c r="V54" s="58"/>
    </row>
    <row r="55" spans="1:22" ht="15" customHeight="1">
      <c r="A55" s="58" t="str">
        <f>IF($Q55="","",MAX($A$8:$A54)+1)</f>
        <v/>
      </c>
      <c r="B55" s="614" t="str">
        <f t="shared" si="0"/>
        <v/>
      </c>
      <c r="C55" s="614" t="str">
        <f t="shared" si="1"/>
        <v/>
      </c>
      <c r="D55" s="614" t="str">
        <f t="shared" si="2"/>
        <v/>
      </c>
      <c r="E55" s="615" t="str">
        <f t="shared" si="3"/>
        <v/>
      </c>
      <c r="F55" s="616" t="str">
        <f>IF($H55="","",IF(ISNA(MATCH($H55,$H$7:$H54,0)),1,0))</f>
        <v/>
      </c>
      <c r="G55" s="249"/>
      <c r="H55" s="95"/>
      <c r="I55" s="598" t="str">
        <f>IF($J55="","",INDEX(ﾏｽﾀ!$E$8:$E$124,MATCH(INDEX(ﾏｽﾀ!$N$8:$N$124,MATCH($J55,ﾏｽﾀ!$O$8:$O$124,0)),ﾏｽﾀ!$B$8:$B$124,0))&amp;"")</f>
        <v/>
      </c>
      <c r="J55" s="534"/>
      <c r="K55" s="598" t="str">
        <f>IF($J55="","",INDEX(ﾏｽﾀ!$G$8:$G$124,MATCH(INDEX(ﾏｽﾀ!$N$8:$N$124,MATCH($J55,ﾏｽﾀ!$O$8:$O$124,0)),ﾏｽﾀ!$B$8:$B$124,0))&amp;"")</f>
        <v/>
      </c>
      <c r="L55" s="600" t="str">
        <f>IF($M55="","",INDEX(ﾏｽﾀ!$T$8:$T$16,MATCH($M55,ﾏｽﾀ!$U$8:$U$16,0))&amp;"")</f>
        <v/>
      </c>
      <c r="M55" s="534"/>
      <c r="N55" s="463"/>
      <c r="O55" s="464"/>
      <c r="P55" s="465"/>
      <c r="Q55" s="466" t="str">
        <f t="shared" si="4"/>
        <v/>
      </c>
      <c r="R55" s="154" t="str">
        <f>IF($T55="","",VLOOKUP($T55,請求Data!$I$11:$AR$160,請求Data!$AL$10-請求Data!$H$10,0))</f>
        <v/>
      </c>
      <c r="S55" s="155" t="str">
        <f>IF($T55="","",VLOOKUP($T55,請求Data!$I$11:$AR$160,請求Data!$AM$10-請求Data!$H$10,0))</f>
        <v/>
      </c>
      <c r="T55" s="467" t="str">
        <f>IF(ISNA(MATCH($H55,請求Data!$AH$11:$AH$160,0)),"",VLOOKUP($H55,請求Data!$AH$11:$AR$160,請求Data!$AK$10-請求Data!$AG$10,0))</f>
        <v/>
      </c>
      <c r="U55" s="468"/>
      <c r="V55" s="58"/>
    </row>
    <row r="56" spans="1:22" ht="15" customHeight="1">
      <c r="A56" s="58" t="str">
        <f>IF($Q56="","",MAX($A$8:$A55)+1)</f>
        <v/>
      </c>
      <c r="B56" s="614" t="str">
        <f t="shared" si="0"/>
        <v/>
      </c>
      <c r="C56" s="614" t="str">
        <f t="shared" si="1"/>
        <v/>
      </c>
      <c r="D56" s="614" t="str">
        <f t="shared" si="2"/>
        <v/>
      </c>
      <c r="E56" s="615" t="str">
        <f t="shared" si="3"/>
        <v/>
      </c>
      <c r="F56" s="616" t="str">
        <f>IF($H56="","",IF(ISNA(MATCH($H56,$H$7:$H55,0)),1,0))</f>
        <v/>
      </c>
      <c r="G56" s="249"/>
      <c r="H56" s="95"/>
      <c r="I56" s="598" t="str">
        <f>IF($J56="","",INDEX(ﾏｽﾀ!$E$8:$E$124,MATCH(INDEX(ﾏｽﾀ!$N$8:$N$124,MATCH($J56,ﾏｽﾀ!$O$8:$O$124,0)),ﾏｽﾀ!$B$8:$B$124,0))&amp;"")</f>
        <v/>
      </c>
      <c r="J56" s="534"/>
      <c r="K56" s="598" t="str">
        <f>IF($J56="","",INDEX(ﾏｽﾀ!$G$8:$G$124,MATCH(INDEX(ﾏｽﾀ!$N$8:$N$124,MATCH($J56,ﾏｽﾀ!$O$8:$O$124,0)),ﾏｽﾀ!$B$8:$B$124,0))&amp;"")</f>
        <v/>
      </c>
      <c r="L56" s="600" t="str">
        <f>IF($M56="","",INDEX(ﾏｽﾀ!$T$8:$T$16,MATCH($M56,ﾏｽﾀ!$U$8:$U$16,0))&amp;"")</f>
        <v/>
      </c>
      <c r="M56" s="534"/>
      <c r="N56" s="463"/>
      <c r="O56" s="464"/>
      <c r="P56" s="465"/>
      <c r="Q56" s="466" t="str">
        <f t="shared" si="4"/>
        <v/>
      </c>
      <c r="R56" s="154" t="str">
        <f>IF($T56="","",VLOOKUP($T56,請求Data!$I$11:$AR$160,請求Data!$AL$10-請求Data!$H$10,0))</f>
        <v/>
      </c>
      <c r="S56" s="155" t="str">
        <f>IF($T56="","",VLOOKUP($T56,請求Data!$I$11:$AR$160,請求Data!$AM$10-請求Data!$H$10,0))</f>
        <v/>
      </c>
      <c r="T56" s="467" t="str">
        <f>IF(ISNA(MATCH($H56,請求Data!$AH$11:$AH$160,0)),"",VLOOKUP($H56,請求Data!$AH$11:$AR$160,請求Data!$AK$10-請求Data!$AG$10,0))</f>
        <v/>
      </c>
      <c r="U56" s="468"/>
      <c r="V56" s="58"/>
    </row>
    <row r="57" spans="1:22" ht="15" customHeight="1">
      <c r="A57" s="58" t="str">
        <f>IF($Q57="","",MAX($A$8:$A56)+1)</f>
        <v/>
      </c>
      <c r="B57" s="614" t="str">
        <f t="shared" si="0"/>
        <v/>
      </c>
      <c r="C57" s="614" t="str">
        <f t="shared" si="1"/>
        <v/>
      </c>
      <c r="D57" s="614" t="str">
        <f t="shared" si="2"/>
        <v/>
      </c>
      <c r="E57" s="615" t="str">
        <f t="shared" si="3"/>
        <v/>
      </c>
      <c r="F57" s="616" t="str">
        <f>IF($H57="","",IF(ISNA(MATCH($H57,$H$7:$H56,0)),1,0))</f>
        <v/>
      </c>
      <c r="G57" s="249"/>
      <c r="H57" s="95"/>
      <c r="I57" s="598" t="str">
        <f>IF($J57="","",INDEX(ﾏｽﾀ!$E$8:$E$124,MATCH(INDEX(ﾏｽﾀ!$N$8:$N$124,MATCH($J57,ﾏｽﾀ!$O$8:$O$124,0)),ﾏｽﾀ!$B$8:$B$124,0))&amp;"")</f>
        <v/>
      </c>
      <c r="J57" s="534"/>
      <c r="K57" s="598" t="str">
        <f>IF($J57="","",INDEX(ﾏｽﾀ!$G$8:$G$124,MATCH(INDEX(ﾏｽﾀ!$N$8:$N$124,MATCH($J57,ﾏｽﾀ!$O$8:$O$124,0)),ﾏｽﾀ!$B$8:$B$124,0))&amp;"")</f>
        <v/>
      </c>
      <c r="L57" s="600" t="str">
        <f>IF($M57="","",INDEX(ﾏｽﾀ!$T$8:$T$16,MATCH($M57,ﾏｽﾀ!$U$8:$U$16,0))&amp;"")</f>
        <v/>
      </c>
      <c r="M57" s="534"/>
      <c r="N57" s="463"/>
      <c r="O57" s="464"/>
      <c r="P57" s="465"/>
      <c r="Q57" s="466" t="str">
        <f t="shared" si="4"/>
        <v/>
      </c>
      <c r="R57" s="154" t="str">
        <f>IF($T57="","",VLOOKUP($T57,請求Data!$I$11:$AR$160,請求Data!$AL$10-請求Data!$H$10,0))</f>
        <v/>
      </c>
      <c r="S57" s="155" t="str">
        <f>IF($T57="","",VLOOKUP($T57,請求Data!$I$11:$AR$160,請求Data!$AM$10-請求Data!$H$10,0))</f>
        <v/>
      </c>
      <c r="T57" s="467" t="str">
        <f>IF(ISNA(MATCH($H57,請求Data!$AH$11:$AH$160,0)),"",VLOOKUP($H57,請求Data!$AH$11:$AR$160,請求Data!$AK$10-請求Data!$AG$10,0))</f>
        <v/>
      </c>
      <c r="U57" s="468"/>
      <c r="V57" s="58"/>
    </row>
    <row r="58" spans="1:22" ht="15" customHeight="1">
      <c r="A58" s="58" t="str">
        <f>IF($Q58="","",MAX($A$8:$A57)+1)</f>
        <v/>
      </c>
      <c r="B58" s="614" t="str">
        <f t="shared" si="0"/>
        <v/>
      </c>
      <c r="C58" s="614" t="str">
        <f t="shared" si="1"/>
        <v/>
      </c>
      <c r="D58" s="614" t="str">
        <f t="shared" si="2"/>
        <v/>
      </c>
      <c r="E58" s="615" t="str">
        <f t="shared" si="3"/>
        <v/>
      </c>
      <c r="F58" s="616" t="str">
        <f>IF($H58="","",IF(ISNA(MATCH($H58,$H$7:$H57,0)),1,0))</f>
        <v/>
      </c>
      <c r="G58" s="249"/>
      <c r="H58" s="95"/>
      <c r="I58" s="598" t="str">
        <f>IF($J58="","",INDEX(ﾏｽﾀ!$E$8:$E$124,MATCH(INDEX(ﾏｽﾀ!$N$8:$N$124,MATCH($J58,ﾏｽﾀ!$O$8:$O$124,0)),ﾏｽﾀ!$B$8:$B$124,0))&amp;"")</f>
        <v/>
      </c>
      <c r="J58" s="534"/>
      <c r="K58" s="598" t="str">
        <f>IF($J58="","",INDEX(ﾏｽﾀ!$G$8:$G$124,MATCH(INDEX(ﾏｽﾀ!$N$8:$N$124,MATCH($J58,ﾏｽﾀ!$O$8:$O$124,0)),ﾏｽﾀ!$B$8:$B$124,0))&amp;"")</f>
        <v/>
      </c>
      <c r="L58" s="600" t="str">
        <f>IF($M58="","",INDEX(ﾏｽﾀ!$T$8:$T$16,MATCH($M58,ﾏｽﾀ!$U$8:$U$16,0))&amp;"")</f>
        <v/>
      </c>
      <c r="M58" s="534"/>
      <c r="N58" s="463"/>
      <c r="O58" s="464"/>
      <c r="P58" s="465"/>
      <c r="Q58" s="466" t="str">
        <f t="shared" si="4"/>
        <v/>
      </c>
      <c r="R58" s="154" t="str">
        <f>IF($T58="","",VLOOKUP($T58,請求Data!$I$11:$AR$160,請求Data!$AL$10-請求Data!$H$10,0))</f>
        <v/>
      </c>
      <c r="S58" s="155" t="str">
        <f>IF($T58="","",VLOOKUP($T58,請求Data!$I$11:$AR$160,請求Data!$AM$10-請求Data!$H$10,0))</f>
        <v/>
      </c>
      <c r="T58" s="467" t="str">
        <f>IF(ISNA(MATCH($H58,請求Data!$AH$11:$AH$160,0)),"",VLOOKUP($H58,請求Data!$AH$11:$AR$160,請求Data!$AK$10-請求Data!$AG$10,0))</f>
        <v/>
      </c>
      <c r="U58" s="468"/>
      <c r="V58" s="58"/>
    </row>
    <row r="59" spans="1:22" ht="15" customHeight="1">
      <c r="A59" s="58" t="str">
        <f>IF($Q59="","",MAX($A$8:$A58)+1)</f>
        <v/>
      </c>
      <c r="B59" s="614" t="str">
        <f t="shared" si="0"/>
        <v/>
      </c>
      <c r="C59" s="614" t="str">
        <f t="shared" si="1"/>
        <v/>
      </c>
      <c r="D59" s="614" t="str">
        <f t="shared" si="2"/>
        <v/>
      </c>
      <c r="E59" s="615" t="str">
        <f t="shared" si="3"/>
        <v/>
      </c>
      <c r="F59" s="616" t="str">
        <f>IF($H59="","",IF(ISNA(MATCH($H59,$H$7:$H58,0)),1,0))</f>
        <v/>
      </c>
      <c r="G59" s="249"/>
      <c r="H59" s="95"/>
      <c r="I59" s="598" t="str">
        <f>IF($J59="","",INDEX(ﾏｽﾀ!$E$8:$E$124,MATCH(INDEX(ﾏｽﾀ!$N$8:$N$124,MATCH($J59,ﾏｽﾀ!$O$8:$O$124,0)),ﾏｽﾀ!$B$8:$B$124,0))&amp;"")</f>
        <v/>
      </c>
      <c r="J59" s="534"/>
      <c r="K59" s="598" t="str">
        <f>IF($J59="","",INDEX(ﾏｽﾀ!$G$8:$G$124,MATCH(INDEX(ﾏｽﾀ!$N$8:$N$124,MATCH($J59,ﾏｽﾀ!$O$8:$O$124,0)),ﾏｽﾀ!$B$8:$B$124,0))&amp;"")</f>
        <v/>
      </c>
      <c r="L59" s="600" t="str">
        <f>IF($M59="","",INDEX(ﾏｽﾀ!$T$8:$T$16,MATCH($M59,ﾏｽﾀ!$U$8:$U$16,0))&amp;"")</f>
        <v/>
      </c>
      <c r="M59" s="534"/>
      <c r="N59" s="463"/>
      <c r="O59" s="464"/>
      <c r="P59" s="465"/>
      <c r="Q59" s="466" t="str">
        <f t="shared" si="4"/>
        <v/>
      </c>
      <c r="R59" s="154" t="str">
        <f>IF($T59="","",VLOOKUP($T59,請求Data!$I$11:$AR$160,請求Data!$AL$10-請求Data!$H$10,0))</f>
        <v/>
      </c>
      <c r="S59" s="155" t="str">
        <f>IF($T59="","",VLOOKUP($T59,請求Data!$I$11:$AR$160,請求Data!$AM$10-請求Data!$H$10,0))</f>
        <v/>
      </c>
      <c r="T59" s="467" t="str">
        <f>IF(ISNA(MATCH($H59,請求Data!$AH$11:$AH$160,0)),"",VLOOKUP($H59,請求Data!$AH$11:$AR$160,請求Data!$AK$10-請求Data!$AG$10,0))</f>
        <v/>
      </c>
      <c r="U59" s="468"/>
      <c r="V59" s="58"/>
    </row>
    <row r="60" spans="1:22" ht="15" customHeight="1">
      <c r="A60" s="58" t="str">
        <f>IF($Q60="","",MAX($A$8:$A59)+1)</f>
        <v/>
      </c>
      <c r="B60" s="614" t="str">
        <f t="shared" si="0"/>
        <v/>
      </c>
      <c r="C60" s="614" t="str">
        <f t="shared" si="1"/>
        <v/>
      </c>
      <c r="D60" s="614" t="str">
        <f t="shared" si="2"/>
        <v/>
      </c>
      <c r="E60" s="615" t="str">
        <f t="shared" si="3"/>
        <v/>
      </c>
      <c r="F60" s="616" t="str">
        <f>IF($H60="","",IF(ISNA(MATCH($H60,$H$7:$H59,0)),1,0))</f>
        <v/>
      </c>
      <c r="G60" s="249"/>
      <c r="H60" s="95"/>
      <c r="I60" s="598" t="str">
        <f>IF($J60="","",INDEX(ﾏｽﾀ!$E$8:$E$124,MATCH(INDEX(ﾏｽﾀ!$N$8:$N$124,MATCH($J60,ﾏｽﾀ!$O$8:$O$124,0)),ﾏｽﾀ!$B$8:$B$124,0))&amp;"")</f>
        <v/>
      </c>
      <c r="J60" s="534"/>
      <c r="K60" s="598" t="str">
        <f>IF($J60="","",INDEX(ﾏｽﾀ!$G$8:$G$124,MATCH(INDEX(ﾏｽﾀ!$N$8:$N$124,MATCH($J60,ﾏｽﾀ!$O$8:$O$124,0)),ﾏｽﾀ!$B$8:$B$124,0))&amp;"")</f>
        <v/>
      </c>
      <c r="L60" s="600" t="str">
        <f>IF($M60="","",INDEX(ﾏｽﾀ!$T$8:$T$16,MATCH($M60,ﾏｽﾀ!$U$8:$U$16,0))&amp;"")</f>
        <v/>
      </c>
      <c r="M60" s="534"/>
      <c r="N60" s="463"/>
      <c r="O60" s="464"/>
      <c r="P60" s="465"/>
      <c r="Q60" s="466" t="str">
        <f t="shared" si="4"/>
        <v/>
      </c>
      <c r="R60" s="154" t="str">
        <f>IF($T60="","",VLOOKUP($T60,請求Data!$I$11:$AR$160,請求Data!$AL$10-請求Data!$H$10,0))</f>
        <v/>
      </c>
      <c r="S60" s="155" t="str">
        <f>IF($T60="","",VLOOKUP($T60,請求Data!$I$11:$AR$160,請求Data!$AM$10-請求Data!$H$10,0))</f>
        <v/>
      </c>
      <c r="T60" s="467" t="str">
        <f>IF(ISNA(MATCH($H60,請求Data!$AH$11:$AH$160,0)),"",VLOOKUP($H60,請求Data!$AH$11:$AR$160,請求Data!$AK$10-請求Data!$AG$10,0))</f>
        <v/>
      </c>
      <c r="U60" s="468"/>
      <c r="V60" s="58"/>
    </row>
    <row r="61" spans="1:22" ht="15" customHeight="1">
      <c r="A61" s="58" t="str">
        <f>IF($Q61="","",MAX($A$8:$A60)+1)</f>
        <v/>
      </c>
      <c r="B61" s="614" t="str">
        <f t="shared" si="0"/>
        <v/>
      </c>
      <c r="C61" s="614" t="str">
        <f t="shared" si="1"/>
        <v/>
      </c>
      <c r="D61" s="614" t="str">
        <f t="shared" si="2"/>
        <v/>
      </c>
      <c r="E61" s="615" t="str">
        <f t="shared" si="3"/>
        <v/>
      </c>
      <c r="F61" s="616" t="str">
        <f>IF($H61="","",IF(ISNA(MATCH($H61,$H$7:$H60,0)),1,0))</f>
        <v/>
      </c>
      <c r="G61" s="249"/>
      <c r="H61" s="95"/>
      <c r="I61" s="598" t="str">
        <f>IF($J61="","",INDEX(ﾏｽﾀ!$E$8:$E$124,MATCH(INDEX(ﾏｽﾀ!$N$8:$N$124,MATCH($J61,ﾏｽﾀ!$O$8:$O$124,0)),ﾏｽﾀ!$B$8:$B$124,0))&amp;"")</f>
        <v/>
      </c>
      <c r="J61" s="534"/>
      <c r="K61" s="598" t="str">
        <f>IF($J61="","",INDEX(ﾏｽﾀ!$G$8:$G$124,MATCH(INDEX(ﾏｽﾀ!$N$8:$N$124,MATCH($J61,ﾏｽﾀ!$O$8:$O$124,0)),ﾏｽﾀ!$B$8:$B$124,0))&amp;"")</f>
        <v/>
      </c>
      <c r="L61" s="600" t="str">
        <f>IF($M61="","",INDEX(ﾏｽﾀ!$T$8:$T$16,MATCH($M61,ﾏｽﾀ!$U$8:$U$16,0))&amp;"")</f>
        <v/>
      </c>
      <c r="M61" s="534"/>
      <c r="N61" s="463"/>
      <c r="O61" s="464"/>
      <c r="P61" s="465"/>
      <c r="Q61" s="466" t="str">
        <f t="shared" si="4"/>
        <v/>
      </c>
      <c r="R61" s="154" t="str">
        <f>IF($T61="","",VLOOKUP($T61,請求Data!$I$11:$AR$160,請求Data!$AL$10-請求Data!$H$10,0))</f>
        <v/>
      </c>
      <c r="S61" s="155" t="str">
        <f>IF($T61="","",VLOOKUP($T61,請求Data!$I$11:$AR$160,請求Data!$AM$10-請求Data!$H$10,0))</f>
        <v/>
      </c>
      <c r="T61" s="467" t="str">
        <f>IF(ISNA(MATCH($H61,請求Data!$AH$11:$AH$160,0)),"",VLOOKUP($H61,請求Data!$AH$11:$AR$160,請求Data!$AK$10-請求Data!$AG$10,0))</f>
        <v/>
      </c>
      <c r="U61" s="468"/>
      <c r="V61" s="58"/>
    </row>
    <row r="62" spans="1:22" ht="15" customHeight="1">
      <c r="A62" s="58" t="str">
        <f>IF($Q62="","",MAX($A$8:$A61)+1)</f>
        <v/>
      </c>
      <c r="B62" s="614" t="str">
        <f t="shared" si="0"/>
        <v/>
      </c>
      <c r="C62" s="614" t="str">
        <f t="shared" si="1"/>
        <v/>
      </c>
      <c r="D62" s="614" t="str">
        <f t="shared" si="2"/>
        <v/>
      </c>
      <c r="E62" s="615" t="str">
        <f t="shared" si="3"/>
        <v/>
      </c>
      <c r="F62" s="616" t="str">
        <f>IF($H62="","",IF(ISNA(MATCH($H62,$H$7:$H61,0)),1,0))</f>
        <v/>
      </c>
      <c r="G62" s="249"/>
      <c r="H62" s="95"/>
      <c r="I62" s="598" t="str">
        <f>IF($J62="","",INDEX(ﾏｽﾀ!$E$8:$E$124,MATCH(INDEX(ﾏｽﾀ!$N$8:$N$124,MATCH($J62,ﾏｽﾀ!$O$8:$O$124,0)),ﾏｽﾀ!$B$8:$B$124,0))&amp;"")</f>
        <v/>
      </c>
      <c r="J62" s="534"/>
      <c r="K62" s="598" t="str">
        <f>IF($J62="","",INDEX(ﾏｽﾀ!$G$8:$G$124,MATCH(INDEX(ﾏｽﾀ!$N$8:$N$124,MATCH($J62,ﾏｽﾀ!$O$8:$O$124,0)),ﾏｽﾀ!$B$8:$B$124,0))&amp;"")</f>
        <v/>
      </c>
      <c r="L62" s="600" t="str">
        <f>IF($M62="","",INDEX(ﾏｽﾀ!$T$8:$T$16,MATCH($M62,ﾏｽﾀ!$U$8:$U$16,0))&amp;"")</f>
        <v/>
      </c>
      <c r="M62" s="534"/>
      <c r="N62" s="463"/>
      <c r="O62" s="464"/>
      <c r="P62" s="465"/>
      <c r="Q62" s="466" t="str">
        <f t="shared" si="4"/>
        <v/>
      </c>
      <c r="R62" s="154" t="str">
        <f>IF($T62="","",VLOOKUP($T62,請求Data!$I$11:$AR$160,請求Data!$AL$10-請求Data!$H$10,0))</f>
        <v/>
      </c>
      <c r="S62" s="155" t="str">
        <f>IF($T62="","",VLOOKUP($T62,請求Data!$I$11:$AR$160,請求Data!$AM$10-請求Data!$H$10,0))</f>
        <v/>
      </c>
      <c r="T62" s="467" t="str">
        <f>IF(ISNA(MATCH($H62,請求Data!$AH$11:$AH$160,0)),"",VLOOKUP($H62,請求Data!$AH$11:$AR$160,請求Data!$AK$10-請求Data!$AG$10,0))</f>
        <v/>
      </c>
      <c r="U62" s="468"/>
      <c r="V62" s="58"/>
    </row>
    <row r="63" spans="1:22" ht="15" customHeight="1">
      <c r="A63" s="58" t="str">
        <f>IF($Q63="","",MAX($A$8:$A62)+1)</f>
        <v/>
      </c>
      <c r="B63" s="614" t="str">
        <f t="shared" si="0"/>
        <v/>
      </c>
      <c r="C63" s="614" t="str">
        <f t="shared" si="1"/>
        <v/>
      </c>
      <c r="D63" s="614" t="str">
        <f t="shared" si="2"/>
        <v/>
      </c>
      <c r="E63" s="615" t="str">
        <f t="shared" si="3"/>
        <v/>
      </c>
      <c r="F63" s="616" t="str">
        <f>IF($H63="","",IF(ISNA(MATCH($H63,$H$7:$H62,0)),1,0))</f>
        <v/>
      </c>
      <c r="G63" s="249"/>
      <c r="H63" s="95"/>
      <c r="I63" s="598" t="str">
        <f>IF($J63="","",INDEX(ﾏｽﾀ!$E$8:$E$124,MATCH(INDEX(ﾏｽﾀ!$N$8:$N$124,MATCH($J63,ﾏｽﾀ!$O$8:$O$124,0)),ﾏｽﾀ!$B$8:$B$124,0))&amp;"")</f>
        <v/>
      </c>
      <c r="J63" s="534"/>
      <c r="K63" s="598" t="str">
        <f>IF($J63="","",INDEX(ﾏｽﾀ!$G$8:$G$124,MATCH(INDEX(ﾏｽﾀ!$N$8:$N$124,MATCH($J63,ﾏｽﾀ!$O$8:$O$124,0)),ﾏｽﾀ!$B$8:$B$124,0))&amp;"")</f>
        <v/>
      </c>
      <c r="L63" s="600" t="str">
        <f>IF($M63="","",INDEX(ﾏｽﾀ!$T$8:$T$16,MATCH($M63,ﾏｽﾀ!$U$8:$U$16,0))&amp;"")</f>
        <v/>
      </c>
      <c r="M63" s="534"/>
      <c r="N63" s="463"/>
      <c r="O63" s="464"/>
      <c r="P63" s="465"/>
      <c r="Q63" s="466" t="str">
        <f t="shared" si="4"/>
        <v/>
      </c>
      <c r="R63" s="154" t="str">
        <f>IF($T63="","",VLOOKUP($T63,請求Data!$I$11:$AR$160,請求Data!$AL$10-請求Data!$H$10,0))</f>
        <v/>
      </c>
      <c r="S63" s="155" t="str">
        <f>IF($T63="","",VLOOKUP($T63,請求Data!$I$11:$AR$160,請求Data!$AM$10-請求Data!$H$10,0))</f>
        <v/>
      </c>
      <c r="T63" s="467" t="str">
        <f>IF(ISNA(MATCH($H63,請求Data!$AH$11:$AH$160,0)),"",VLOOKUP($H63,請求Data!$AH$11:$AR$160,請求Data!$AK$10-請求Data!$AG$10,0))</f>
        <v/>
      </c>
      <c r="U63" s="468"/>
      <c r="V63" s="58"/>
    </row>
    <row r="64" spans="1:22" ht="15" customHeight="1">
      <c r="A64" s="58" t="str">
        <f>IF($Q64="","",MAX($A$8:$A63)+1)</f>
        <v/>
      </c>
      <c r="B64" s="614" t="str">
        <f t="shared" si="0"/>
        <v/>
      </c>
      <c r="C64" s="614" t="str">
        <f t="shared" si="1"/>
        <v/>
      </c>
      <c r="D64" s="614" t="str">
        <f t="shared" si="2"/>
        <v/>
      </c>
      <c r="E64" s="615" t="str">
        <f t="shared" si="3"/>
        <v/>
      </c>
      <c r="F64" s="616" t="str">
        <f>IF($H64="","",IF(ISNA(MATCH($H64,$H$7:$H63,0)),1,0))</f>
        <v/>
      </c>
      <c r="G64" s="249"/>
      <c r="H64" s="95"/>
      <c r="I64" s="598" t="str">
        <f>IF($J64="","",INDEX(ﾏｽﾀ!$E$8:$E$124,MATCH(INDEX(ﾏｽﾀ!$N$8:$N$124,MATCH($J64,ﾏｽﾀ!$O$8:$O$124,0)),ﾏｽﾀ!$B$8:$B$124,0))&amp;"")</f>
        <v/>
      </c>
      <c r="J64" s="534"/>
      <c r="K64" s="598" t="str">
        <f>IF($J64="","",INDEX(ﾏｽﾀ!$G$8:$G$124,MATCH(INDEX(ﾏｽﾀ!$N$8:$N$124,MATCH($J64,ﾏｽﾀ!$O$8:$O$124,0)),ﾏｽﾀ!$B$8:$B$124,0))&amp;"")</f>
        <v/>
      </c>
      <c r="L64" s="600" t="str">
        <f>IF($M64="","",INDEX(ﾏｽﾀ!$T$8:$T$16,MATCH($M64,ﾏｽﾀ!$U$8:$U$16,0))&amp;"")</f>
        <v/>
      </c>
      <c r="M64" s="534"/>
      <c r="N64" s="463"/>
      <c r="O64" s="464"/>
      <c r="P64" s="465"/>
      <c r="Q64" s="466" t="str">
        <f t="shared" si="4"/>
        <v/>
      </c>
      <c r="R64" s="154" t="str">
        <f>IF($T64="","",VLOOKUP($T64,請求Data!$I$11:$AR$160,請求Data!$AL$10-請求Data!$H$10,0))</f>
        <v/>
      </c>
      <c r="S64" s="155" t="str">
        <f>IF($T64="","",VLOOKUP($T64,請求Data!$I$11:$AR$160,請求Data!$AM$10-請求Data!$H$10,0))</f>
        <v/>
      </c>
      <c r="T64" s="467" t="str">
        <f>IF(ISNA(MATCH($H64,請求Data!$AH$11:$AH$160,0)),"",VLOOKUP($H64,請求Data!$AH$11:$AR$160,請求Data!$AK$10-請求Data!$AG$10,0))</f>
        <v/>
      </c>
      <c r="U64" s="468"/>
      <c r="V64" s="58"/>
    </row>
    <row r="65" spans="1:22" ht="15" customHeight="1">
      <c r="A65" s="58" t="str">
        <f>IF($Q65="","",MAX($A$8:$A64)+1)</f>
        <v/>
      </c>
      <c r="B65" s="614" t="str">
        <f t="shared" si="0"/>
        <v/>
      </c>
      <c r="C65" s="614" t="str">
        <f t="shared" si="1"/>
        <v/>
      </c>
      <c r="D65" s="614" t="str">
        <f t="shared" si="2"/>
        <v/>
      </c>
      <c r="E65" s="615" t="str">
        <f t="shared" si="3"/>
        <v/>
      </c>
      <c r="F65" s="616" t="str">
        <f>IF($H65="","",IF(ISNA(MATCH($H65,$H$7:$H64,0)),1,0))</f>
        <v/>
      </c>
      <c r="G65" s="249"/>
      <c r="H65" s="95"/>
      <c r="I65" s="598" t="str">
        <f>IF($J65="","",INDEX(ﾏｽﾀ!$E$8:$E$124,MATCH(INDEX(ﾏｽﾀ!$N$8:$N$124,MATCH($J65,ﾏｽﾀ!$O$8:$O$124,0)),ﾏｽﾀ!$B$8:$B$124,0))&amp;"")</f>
        <v/>
      </c>
      <c r="J65" s="534"/>
      <c r="K65" s="598" t="str">
        <f>IF($J65="","",INDEX(ﾏｽﾀ!$G$8:$G$124,MATCH(INDEX(ﾏｽﾀ!$N$8:$N$124,MATCH($J65,ﾏｽﾀ!$O$8:$O$124,0)),ﾏｽﾀ!$B$8:$B$124,0))&amp;"")</f>
        <v/>
      </c>
      <c r="L65" s="600" t="str">
        <f>IF($M65="","",INDEX(ﾏｽﾀ!$T$8:$T$16,MATCH($M65,ﾏｽﾀ!$U$8:$U$16,0))&amp;"")</f>
        <v/>
      </c>
      <c r="M65" s="534"/>
      <c r="N65" s="463"/>
      <c r="O65" s="464"/>
      <c r="P65" s="465"/>
      <c r="Q65" s="466" t="str">
        <f t="shared" si="4"/>
        <v/>
      </c>
      <c r="R65" s="154" t="str">
        <f>IF($T65="","",VLOOKUP($T65,請求Data!$I$11:$AR$160,請求Data!$AL$10-請求Data!$H$10,0))</f>
        <v/>
      </c>
      <c r="S65" s="155" t="str">
        <f>IF($T65="","",VLOOKUP($T65,請求Data!$I$11:$AR$160,請求Data!$AM$10-請求Data!$H$10,0))</f>
        <v/>
      </c>
      <c r="T65" s="467" t="str">
        <f>IF(ISNA(MATCH($H65,請求Data!$AH$11:$AH$160,0)),"",VLOOKUP($H65,請求Data!$AH$11:$AR$160,請求Data!$AK$10-請求Data!$AG$10,0))</f>
        <v/>
      </c>
      <c r="U65" s="468"/>
      <c r="V65" s="58"/>
    </row>
    <row r="66" spans="1:22" ht="15" customHeight="1">
      <c r="A66" s="58" t="str">
        <f>IF($Q66="","",MAX($A$8:$A65)+1)</f>
        <v/>
      </c>
      <c r="B66" s="614" t="str">
        <f t="shared" si="0"/>
        <v/>
      </c>
      <c r="C66" s="614" t="str">
        <f t="shared" si="1"/>
        <v/>
      </c>
      <c r="D66" s="614" t="str">
        <f t="shared" si="2"/>
        <v/>
      </c>
      <c r="E66" s="615" t="str">
        <f t="shared" si="3"/>
        <v/>
      </c>
      <c r="F66" s="616" t="str">
        <f>IF($H66="","",IF(ISNA(MATCH($H66,$H$7:$H65,0)),1,0))</f>
        <v/>
      </c>
      <c r="G66" s="249"/>
      <c r="H66" s="95"/>
      <c r="I66" s="598" t="str">
        <f>IF($J66="","",INDEX(ﾏｽﾀ!$E$8:$E$124,MATCH(INDEX(ﾏｽﾀ!$N$8:$N$124,MATCH($J66,ﾏｽﾀ!$O$8:$O$124,0)),ﾏｽﾀ!$B$8:$B$124,0))&amp;"")</f>
        <v/>
      </c>
      <c r="J66" s="534"/>
      <c r="K66" s="598" t="str">
        <f>IF($J66="","",INDEX(ﾏｽﾀ!$G$8:$G$124,MATCH(INDEX(ﾏｽﾀ!$N$8:$N$124,MATCH($J66,ﾏｽﾀ!$O$8:$O$124,0)),ﾏｽﾀ!$B$8:$B$124,0))&amp;"")</f>
        <v/>
      </c>
      <c r="L66" s="600" t="str">
        <f>IF($M66="","",INDEX(ﾏｽﾀ!$T$8:$T$16,MATCH($M66,ﾏｽﾀ!$U$8:$U$16,0))&amp;"")</f>
        <v/>
      </c>
      <c r="M66" s="534"/>
      <c r="N66" s="463"/>
      <c r="O66" s="464"/>
      <c r="P66" s="465"/>
      <c r="Q66" s="466" t="str">
        <f t="shared" si="4"/>
        <v/>
      </c>
      <c r="R66" s="154" t="str">
        <f>IF($T66="","",VLOOKUP($T66,請求Data!$I$11:$AR$160,請求Data!$AL$10-請求Data!$H$10,0))</f>
        <v/>
      </c>
      <c r="S66" s="155" t="str">
        <f>IF($T66="","",VLOOKUP($T66,請求Data!$I$11:$AR$160,請求Data!$AM$10-請求Data!$H$10,0))</f>
        <v/>
      </c>
      <c r="T66" s="467" t="str">
        <f>IF(ISNA(MATCH($H66,請求Data!$AH$11:$AH$160,0)),"",VLOOKUP($H66,請求Data!$AH$11:$AR$160,請求Data!$AK$10-請求Data!$AG$10,0))</f>
        <v/>
      </c>
      <c r="U66" s="468"/>
      <c r="V66" s="58"/>
    </row>
    <row r="67" spans="1:22" ht="15" customHeight="1">
      <c r="A67" s="58" t="str">
        <f>IF($Q67="","",MAX($A$8:$A66)+1)</f>
        <v/>
      </c>
      <c r="B67" s="614" t="str">
        <f t="shared" si="0"/>
        <v/>
      </c>
      <c r="C67" s="614" t="str">
        <f t="shared" si="1"/>
        <v/>
      </c>
      <c r="D67" s="614" t="str">
        <f t="shared" si="2"/>
        <v/>
      </c>
      <c r="E67" s="615" t="str">
        <f t="shared" si="3"/>
        <v/>
      </c>
      <c r="F67" s="616" t="str">
        <f>IF($H67="","",IF(ISNA(MATCH($H67,$H$7:$H66,0)),1,0))</f>
        <v/>
      </c>
      <c r="G67" s="249"/>
      <c r="H67" s="95"/>
      <c r="I67" s="598" t="str">
        <f>IF($J67="","",INDEX(ﾏｽﾀ!$E$8:$E$124,MATCH(INDEX(ﾏｽﾀ!$N$8:$N$124,MATCH($J67,ﾏｽﾀ!$O$8:$O$124,0)),ﾏｽﾀ!$B$8:$B$124,0))&amp;"")</f>
        <v/>
      </c>
      <c r="J67" s="534"/>
      <c r="K67" s="598" t="str">
        <f>IF($J67="","",INDEX(ﾏｽﾀ!$G$8:$G$124,MATCH(INDEX(ﾏｽﾀ!$N$8:$N$124,MATCH($J67,ﾏｽﾀ!$O$8:$O$124,0)),ﾏｽﾀ!$B$8:$B$124,0))&amp;"")</f>
        <v/>
      </c>
      <c r="L67" s="600" t="str">
        <f>IF($M67="","",INDEX(ﾏｽﾀ!$T$8:$T$16,MATCH($M67,ﾏｽﾀ!$U$8:$U$16,0))&amp;"")</f>
        <v/>
      </c>
      <c r="M67" s="534"/>
      <c r="N67" s="463"/>
      <c r="O67" s="464"/>
      <c r="P67" s="465"/>
      <c r="Q67" s="466" t="str">
        <f t="shared" si="4"/>
        <v/>
      </c>
      <c r="R67" s="154" t="str">
        <f>IF($T67="","",VLOOKUP($T67,請求Data!$I$11:$AR$160,請求Data!$AL$10-請求Data!$H$10,0))</f>
        <v/>
      </c>
      <c r="S67" s="155" t="str">
        <f>IF($T67="","",VLOOKUP($T67,請求Data!$I$11:$AR$160,請求Data!$AM$10-請求Data!$H$10,0))</f>
        <v/>
      </c>
      <c r="T67" s="467" t="str">
        <f>IF(ISNA(MATCH($H67,請求Data!$AH$11:$AH$160,0)),"",VLOOKUP($H67,請求Data!$AH$11:$AR$160,請求Data!$AK$10-請求Data!$AG$10,0))</f>
        <v/>
      </c>
      <c r="U67" s="468"/>
      <c r="V67" s="58"/>
    </row>
    <row r="68" spans="1:22" ht="15" customHeight="1">
      <c r="A68" s="58" t="str">
        <f>IF($Q68="","",MAX($A$8:$A67)+1)</f>
        <v/>
      </c>
      <c r="B68" s="614" t="str">
        <f t="shared" si="0"/>
        <v/>
      </c>
      <c r="C68" s="614" t="str">
        <f t="shared" si="1"/>
        <v/>
      </c>
      <c r="D68" s="614" t="str">
        <f t="shared" si="2"/>
        <v/>
      </c>
      <c r="E68" s="615" t="str">
        <f t="shared" si="3"/>
        <v/>
      </c>
      <c r="F68" s="616" t="str">
        <f>IF($H68="","",IF(ISNA(MATCH($H68,$H$7:$H67,0)),1,0))</f>
        <v/>
      </c>
      <c r="G68" s="249"/>
      <c r="H68" s="95"/>
      <c r="I68" s="598" t="str">
        <f>IF($J68="","",INDEX(ﾏｽﾀ!$E$8:$E$124,MATCH(INDEX(ﾏｽﾀ!$N$8:$N$124,MATCH($J68,ﾏｽﾀ!$O$8:$O$124,0)),ﾏｽﾀ!$B$8:$B$124,0))&amp;"")</f>
        <v/>
      </c>
      <c r="J68" s="534"/>
      <c r="K68" s="598" t="str">
        <f>IF($J68="","",INDEX(ﾏｽﾀ!$G$8:$G$124,MATCH(INDEX(ﾏｽﾀ!$N$8:$N$124,MATCH($J68,ﾏｽﾀ!$O$8:$O$124,0)),ﾏｽﾀ!$B$8:$B$124,0))&amp;"")</f>
        <v/>
      </c>
      <c r="L68" s="600" t="str">
        <f>IF($M68="","",INDEX(ﾏｽﾀ!$T$8:$T$16,MATCH($M68,ﾏｽﾀ!$U$8:$U$16,0))&amp;"")</f>
        <v/>
      </c>
      <c r="M68" s="534"/>
      <c r="N68" s="463"/>
      <c r="O68" s="464"/>
      <c r="P68" s="465"/>
      <c r="Q68" s="466" t="str">
        <f t="shared" si="4"/>
        <v/>
      </c>
      <c r="R68" s="154" t="str">
        <f>IF($T68="","",VLOOKUP($T68,請求Data!$I$11:$AR$160,請求Data!$AL$10-請求Data!$H$10,0))</f>
        <v/>
      </c>
      <c r="S68" s="155" t="str">
        <f>IF($T68="","",VLOOKUP($T68,請求Data!$I$11:$AR$160,請求Data!$AM$10-請求Data!$H$10,0))</f>
        <v/>
      </c>
      <c r="T68" s="467" t="str">
        <f>IF(ISNA(MATCH($H68,請求Data!$AH$11:$AH$160,0)),"",VLOOKUP($H68,請求Data!$AH$11:$AR$160,請求Data!$AK$10-請求Data!$AG$10,0))</f>
        <v/>
      </c>
      <c r="U68" s="468"/>
      <c r="V68" s="58"/>
    </row>
    <row r="69" spans="1:22" ht="15" customHeight="1">
      <c r="A69" s="58" t="str">
        <f>IF($Q69="","",MAX($A$8:$A68)+1)</f>
        <v/>
      </c>
      <c r="B69" s="614" t="str">
        <f t="shared" si="0"/>
        <v/>
      </c>
      <c r="C69" s="614" t="str">
        <f t="shared" si="1"/>
        <v/>
      </c>
      <c r="D69" s="614" t="str">
        <f t="shared" si="2"/>
        <v/>
      </c>
      <c r="E69" s="615" t="str">
        <f t="shared" si="3"/>
        <v/>
      </c>
      <c r="F69" s="616" t="str">
        <f>IF($H69="","",IF(ISNA(MATCH($H69,$H$7:$H68,0)),1,0))</f>
        <v/>
      </c>
      <c r="G69" s="249"/>
      <c r="H69" s="95"/>
      <c r="I69" s="598" t="str">
        <f>IF($J69="","",INDEX(ﾏｽﾀ!$E$8:$E$124,MATCH(INDEX(ﾏｽﾀ!$N$8:$N$124,MATCH($J69,ﾏｽﾀ!$O$8:$O$124,0)),ﾏｽﾀ!$B$8:$B$124,0))&amp;"")</f>
        <v/>
      </c>
      <c r="J69" s="534"/>
      <c r="K69" s="598" t="str">
        <f>IF($J69="","",INDEX(ﾏｽﾀ!$G$8:$G$124,MATCH(INDEX(ﾏｽﾀ!$N$8:$N$124,MATCH($J69,ﾏｽﾀ!$O$8:$O$124,0)),ﾏｽﾀ!$B$8:$B$124,0))&amp;"")</f>
        <v/>
      </c>
      <c r="L69" s="600" t="str">
        <f>IF($M69="","",INDEX(ﾏｽﾀ!$T$8:$T$16,MATCH($M69,ﾏｽﾀ!$U$8:$U$16,0))&amp;"")</f>
        <v/>
      </c>
      <c r="M69" s="534"/>
      <c r="N69" s="463"/>
      <c r="O69" s="464"/>
      <c r="P69" s="465"/>
      <c r="Q69" s="466" t="str">
        <f t="shared" si="4"/>
        <v/>
      </c>
      <c r="R69" s="154" t="str">
        <f>IF($T69="","",VLOOKUP($T69,請求Data!$I$11:$AR$160,請求Data!$AL$10-請求Data!$H$10,0))</f>
        <v/>
      </c>
      <c r="S69" s="155" t="str">
        <f>IF($T69="","",VLOOKUP($T69,請求Data!$I$11:$AR$160,請求Data!$AM$10-請求Data!$H$10,0))</f>
        <v/>
      </c>
      <c r="T69" s="467" t="str">
        <f>IF(ISNA(MATCH($H69,請求Data!$AH$11:$AH$160,0)),"",VLOOKUP($H69,請求Data!$AH$11:$AR$160,請求Data!$AK$10-請求Data!$AG$10,0))</f>
        <v/>
      </c>
      <c r="U69" s="468"/>
      <c r="V69" s="58"/>
    </row>
    <row r="70" spans="1:22" ht="15" customHeight="1">
      <c r="A70" s="58" t="str">
        <f>IF($Q70="","",MAX($A$8:$A69)+1)</f>
        <v/>
      </c>
      <c r="B70" s="614" t="str">
        <f t="shared" si="0"/>
        <v/>
      </c>
      <c r="C70" s="614" t="str">
        <f t="shared" si="1"/>
        <v/>
      </c>
      <c r="D70" s="614" t="str">
        <f t="shared" si="2"/>
        <v/>
      </c>
      <c r="E70" s="615" t="str">
        <f t="shared" si="3"/>
        <v/>
      </c>
      <c r="F70" s="616" t="str">
        <f>IF($H70="","",IF(ISNA(MATCH($H70,$H$7:$H69,0)),1,0))</f>
        <v/>
      </c>
      <c r="G70" s="249"/>
      <c r="H70" s="95"/>
      <c r="I70" s="598" t="str">
        <f>IF($J70="","",INDEX(ﾏｽﾀ!$E$8:$E$124,MATCH(INDEX(ﾏｽﾀ!$N$8:$N$124,MATCH($J70,ﾏｽﾀ!$O$8:$O$124,0)),ﾏｽﾀ!$B$8:$B$124,0))&amp;"")</f>
        <v/>
      </c>
      <c r="J70" s="534"/>
      <c r="K70" s="598" t="str">
        <f>IF($J70="","",INDEX(ﾏｽﾀ!$G$8:$G$124,MATCH(INDEX(ﾏｽﾀ!$N$8:$N$124,MATCH($J70,ﾏｽﾀ!$O$8:$O$124,0)),ﾏｽﾀ!$B$8:$B$124,0))&amp;"")</f>
        <v/>
      </c>
      <c r="L70" s="600" t="str">
        <f>IF($M70="","",INDEX(ﾏｽﾀ!$T$8:$T$16,MATCH($M70,ﾏｽﾀ!$U$8:$U$16,0))&amp;"")</f>
        <v/>
      </c>
      <c r="M70" s="534"/>
      <c r="N70" s="463"/>
      <c r="O70" s="464"/>
      <c r="P70" s="465"/>
      <c r="Q70" s="466" t="str">
        <f t="shared" si="4"/>
        <v/>
      </c>
      <c r="R70" s="154" t="str">
        <f>IF($T70="","",VLOOKUP($T70,請求Data!$I$11:$AR$160,請求Data!$AL$10-請求Data!$H$10,0))</f>
        <v/>
      </c>
      <c r="S70" s="155" t="str">
        <f>IF($T70="","",VLOOKUP($T70,請求Data!$I$11:$AR$160,請求Data!$AM$10-請求Data!$H$10,0))</f>
        <v/>
      </c>
      <c r="T70" s="467" t="str">
        <f>IF(ISNA(MATCH($H70,請求Data!$AH$11:$AH$160,0)),"",VLOOKUP($H70,請求Data!$AH$11:$AR$160,請求Data!$AK$10-請求Data!$AG$10,0))</f>
        <v/>
      </c>
      <c r="U70" s="468"/>
      <c r="V70" s="58"/>
    </row>
    <row r="71" spans="1:22" ht="15" customHeight="1">
      <c r="A71" s="58" t="str">
        <f>IF($Q71="","",MAX($A$8:$A70)+1)</f>
        <v/>
      </c>
      <c r="B71" s="614" t="str">
        <f t="shared" si="0"/>
        <v/>
      </c>
      <c r="C71" s="614" t="str">
        <f t="shared" si="1"/>
        <v/>
      </c>
      <c r="D71" s="614" t="str">
        <f t="shared" si="2"/>
        <v/>
      </c>
      <c r="E71" s="615" t="str">
        <f t="shared" si="3"/>
        <v/>
      </c>
      <c r="F71" s="616" t="str">
        <f>IF($H71="","",IF(ISNA(MATCH($H71,$H$7:$H70,0)),1,0))</f>
        <v/>
      </c>
      <c r="G71" s="249"/>
      <c r="H71" s="95"/>
      <c r="I71" s="598" t="str">
        <f>IF($J71="","",INDEX(ﾏｽﾀ!$E$8:$E$124,MATCH(INDEX(ﾏｽﾀ!$N$8:$N$124,MATCH($J71,ﾏｽﾀ!$O$8:$O$124,0)),ﾏｽﾀ!$B$8:$B$124,0))&amp;"")</f>
        <v/>
      </c>
      <c r="J71" s="534"/>
      <c r="K71" s="598" t="str">
        <f>IF($J71="","",INDEX(ﾏｽﾀ!$G$8:$G$124,MATCH(INDEX(ﾏｽﾀ!$N$8:$N$124,MATCH($J71,ﾏｽﾀ!$O$8:$O$124,0)),ﾏｽﾀ!$B$8:$B$124,0))&amp;"")</f>
        <v/>
      </c>
      <c r="L71" s="600" t="str">
        <f>IF($M71="","",INDEX(ﾏｽﾀ!$T$8:$T$16,MATCH($M71,ﾏｽﾀ!$U$8:$U$16,0))&amp;"")</f>
        <v/>
      </c>
      <c r="M71" s="534"/>
      <c r="N71" s="463"/>
      <c r="O71" s="464"/>
      <c r="P71" s="465"/>
      <c r="Q71" s="466" t="str">
        <f t="shared" si="4"/>
        <v/>
      </c>
      <c r="R71" s="154" t="str">
        <f>IF($T71="","",VLOOKUP($T71,請求Data!$I$11:$AR$160,請求Data!$AL$10-請求Data!$H$10,0))</f>
        <v/>
      </c>
      <c r="S71" s="155" t="str">
        <f>IF($T71="","",VLOOKUP($T71,請求Data!$I$11:$AR$160,請求Data!$AM$10-請求Data!$H$10,0))</f>
        <v/>
      </c>
      <c r="T71" s="467" t="str">
        <f>IF(ISNA(MATCH($H71,請求Data!$AH$11:$AH$160,0)),"",VLOOKUP($H71,請求Data!$AH$11:$AR$160,請求Data!$AK$10-請求Data!$AG$10,0))</f>
        <v/>
      </c>
      <c r="U71" s="468"/>
      <c r="V71" s="58"/>
    </row>
    <row r="72" spans="1:22" ht="15" customHeight="1">
      <c r="A72" s="58" t="str">
        <f>IF($Q72="","",MAX($A$8:$A71)+1)</f>
        <v/>
      </c>
      <c r="B72" s="614" t="str">
        <f t="shared" si="0"/>
        <v/>
      </c>
      <c r="C72" s="614" t="str">
        <f t="shared" si="1"/>
        <v/>
      </c>
      <c r="D72" s="614" t="str">
        <f t="shared" si="2"/>
        <v/>
      </c>
      <c r="E72" s="615" t="str">
        <f t="shared" si="3"/>
        <v/>
      </c>
      <c r="F72" s="616" t="str">
        <f>IF($H72="","",IF(ISNA(MATCH($H72,$H$7:$H71,0)),1,0))</f>
        <v/>
      </c>
      <c r="G72" s="249"/>
      <c r="H72" s="95"/>
      <c r="I72" s="598" t="str">
        <f>IF($J72="","",INDEX(ﾏｽﾀ!$E$8:$E$124,MATCH(INDEX(ﾏｽﾀ!$N$8:$N$124,MATCH($J72,ﾏｽﾀ!$O$8:$O$124,0)),ﾏｽﾀ!$B$8:$B$124,0))&amp;"")</f>
        <v/>
      </c>
      <c r="J72" s="534"/>
      <c r="K72" s="598" t="str">
        <f>IF($J72="","",INDEX(ﾏｽﾀ!$G$8:$G$124,MATCH(INDEX(ﾏｽﾀ!$N$8:$N$124,MATCH($J72,ﾏｽﾀ!$O$8:$O$124,0)),ﾏｽﾀ!$B$8:$B$124,0))&amp;"")</f>
        <v/>
      </c>
      <c r="L72" s="600" t="str">
        <f>IF($M72="","",INDEX(ﾏｽﾀ!$T$8:$T$16,MATCH($M72,ﾏｽﾀ!$U$8:$U$16,0))&amp;"")</f>
        <v/>
      </c>
      <c r="M72" s="534"/>
      <c r="N72" s="463"/>
      <c r="O72" s="464"/>
      <c r="P72" s="465"/>
      <c r="Q72" s="466" t="str">
        <f t="shared" si="4"/>
        <v/>
      </c>
      <c r="R72" s="154" t="str">
        <f>IF($T72="","",VLOOKUP($T72,請求Data!$I$11:$AR$160,請求Data!$AL$10-請求Data!$H$10,0))</f>
        <v/>
      </c>
      <c r="S72" s="155" t="str">
        <f>IF($T72="","",VLOOKUP($T72,請求Data!$I$11:$AR$160,請求Data!$AM$10-請求Data!$H$10,0))</f>
        <v/>
      </c>
      <c r="T72" s="467" t="str">
        <f>IF(ISNA(MATCH($H72,請求Data!$AH$11:$AH$160,0)),"",VLOOKUP($H72,請求Data!$AH$11:$AR$160,請求Data!$AK$10-請求Data!$AG$10,0))</f>
        <v/>
      </c>
      <c r="U72" s="468"/>
      <c r="V72" s="58"/>
    </row>
    <row r="73" spans="1:22" ht="15" customHeight="1">
      <c r="A73" s="58" t="str">
        <f>IF($Q73="","",MAX($A$8:$A72)+1)</f>
        <v/>
      </c>
      <c r="B73" s="614" t="str">
        <f t="shared" ref="B73:B136" si="5">LEFT($D73,8)</f>
        <v/>
      </c>
      <c r="C73" s="614" t="str">
        <f t="shared" ref="C73:C136" si="6">IF($H73="","",CONCATENATE(VLOOKUP($N73,$N$2:$O$5,2,FALSE),$I73,IF($K73="","00",$K73),$E73,$L73))</f>
        <v/>
      </c>
      <c r="D73" s="614" t="str">
        <f t="shared" ref="D73:D136" si="7">IF($H73="","",CONCATENATE(VLOOKUP($N73,$N$2:$O$5,2,FALSE),$I73,IF($K73="","00",$K73),$E73,$F73,$L73))</f>
        <v/>
      </c>
      <c r="E73" s="615" t="str">
        <f t="shared" ref="E73:E136" si="8">IF($H73="","",IF($T73="",1,9))</f>
        <v/>
      </c>
      <c r="F73" s="616" t="str">
        <f>IF($H73="","",IF(ISNA(MATCH($H73,$H$7:$H72,0)),1,0))</f>
        <v/>
      </c>
      <c r="G73" s="249"/>
      <c r="H73" s="95"/>
      <c r="I73" s="598" t="str">
        <f>IF($J73="","",INDEX(ﾏｽﾀ!$E$8:$E$124,MATCH(INDEX(ﾏｽﾀ!$N$8:$N$124,MATCH($J73,ﾏｽﾀ!$O$8:$O$124,0)),ﾏｽﾀ!$B$8:$B$124,0))&amp;"")</f>
        <v/>
      </c>
      <c r="J73" s="534"/>
      <c r="K73" s="598" t="str">
        <f>IF($J73="","",INDEX(ﾏｽﾀ!$G$8:$G$124,MATCH(INDEX(ﾏｽﾀ!$N$8:$N$124,MATCH($J73,ﾏｽﾀ!$O$8:$O$124,0)),ﾏｽﾀ!$B$8:$B$124,0))&amp;"")</f>
        <v/>
      </c>
      <c r="L73" s="600" t="str">
        <f>IF($M73="","",INDEX(ﾏｽﾀ!$T$8:$T$16,MATCH($M73,ﾏｽﾀ!$U$8:$U$16,0))&amp;"")</f>
        <v/>
      </c>
      <c r="M73" s="534"/>
      <c r="N73" s="463"/>
      <c r="O73" s="464"/>
      <c r="P73" s="465"/>
      <c r="Q73" s="466" t="str">
        <f t="shared" si="4"/>
        <v/>
      </c>
      <c r="R73" s="154" t="str">
        <f>IF($T73="","",VLOOKUP($T73,請求Data!$I$11:$AR$160,請求Data!$AL$10-請求Data!$H$10,0))</f>
        <v/>
      </c>
      <c r="S73" s="155" t="str">
        <f>IF($T73="","",VLOOKUP($T73,請求Data!$I$11:$AR$160,請求Data!$AM$10-請求Data!$H$10,0))</f>
        <v/>
      </c>
      <c r="T73" s="467" t="str">
        <f>IF(ISNA(MATCH($H73,請求Data!$AH$11:$AH$160,0)),"",VLOOKUP($H73,請求Data!$AH$11:$AR$160,請求Data!$AK$10-請求Data!$AG$10,0))</f>
        <v/>
      </c>
      <c r="U73" s="468"/>
      <c r="V73" s="58"/>
    </row>
    <row r="74" spans="1:22" ht="15" customHeight="1">
      <c r="A74" s="58" t="str">
        <f>IF($Q74="","",MAX($A$8:$A73)+1)</f>
        <v/>
      </c>
      <c r="B74" s="614" t="str">
        <f t="shared" si="5"/>
        <v/>
      </c>
      <c r="C74" s="614" t="str">
        <f t="shared" si="6"/>
        <v/>
      </c>
      <c r="D74" s="614" t="str">
        <f t="shared" si="7"/>
        <v/>
      </c>
      <c r="E74" s="615" t="str">
        <f t="shared" si="8"/>
        <v/>
      </c>
      <c r="F74" s="616" t="str">
        <f>IF($H74="","",IF(ISNA(MATCH($H74,$H$7:$H73,0)),1,0))</f>
        <v/>
      </c>
      <c r="G74" s="249"/>
      <c r="H74" s="95"/>
      <c r="I74" s="598" t="str">
        <f>IF($J74="","",INDEX(ﾏｽﾀ!$E$8:$E$124,MATCH(INDEX(ﾏｽﾀ!$N$8:$N$124,MATCH($J74,ﾏｽﾀ!$O$8:$O$124,0)),ﾏｽﾀ!$B$8:$B$124,0))&amp;"")</f>
        <v/>
      </c>
      <c r="J74" s="534"/>
      <c r="K74" s="598" t="str">
        <f>IF($J74="","",INDEX(ﾏｽﾀ!$G$8:$G$124,MATCH(INDEX(ﾏｽﾀ!$N$8:$N$124,MATCH($J74,ﾏｽﾀ!$O$8:$O$124,0)),ﾏｽﾀ!$B$8:$B$124,0))&amp;"")</f>
        <v/>
      </c>
      <c r="L74" s="600" t="str">
        <f>IF($M74="","",INDEX(ﾏｽﾀ!$T$8:$T$16,MATCH($M74,ﾏｽﾀ!$U$8:$U$16,0))&amp;"")</f>
        <v/>
      </c>
      <c r="M74" s="534"/>
      <c r="N74" s="463"/>
      <c r="O74" s="464"/>
      <c r="P74" s="465"/>
      <c r="Q74" s="466" t="str">
        <f t="shared" si="4"/>
        <v/>
      </c>
      <c r="R74" s="154" t="str">
        <f>IF($T74="","",VLOOKUP($T74,請求Data!$I$11:$AR$160,請求Data!$AL$10-請求Data!$H$10,0))</f>
        <v/>
      </c>
      <c r="S74" s="155" t="str">
        <f>IF($T74="","",VLOOKUP($T74,請求Data!$I$11:$AR$160,請求Data!$AM$10-請求Data!$H$10,0))</f>
        <v/>
      </c>
      <c r="T74" s="467" t="str">
        <f>IF(ISNA(MATCH($H74,請求Data!$AH$11:$AH$160,0)),"",VLOOKUP($H74,請求Data!$AH$11:$AR$160,請求Data!$AK$10-請求Data!$AG$10,0))</f>
        <v/>
      </c>
      <c r="U74" s="468"/>
      <c r="V74" s="58"/>
    </row>
    <row r="75" spans="1:22" ht="15" customHeight="1">
      <c r="A75" s="58" t="str">
        <f>IF($Q75="","",MAX($A$8:$A74)+1)</f>
        <v/>
      </c>
      <c r="B75" s="614" t="str">
        <f t="shared" si="5"/>
        <v/>
      </c>
      <c r="C75" s="614" t="str">
        <f t="shared" si="6"/>
        <v/>
      </c>
      <c r="D75" s="614" t="str">
        <f t="shared" si="7"/>
        <v/>
      </c>
      <c r="E75" s="615" t="str">
        <f t="shared" si="8"/>
        <v/>
      </c>
      <c r="F75" s="616" t="str">
        <f>IF($H75="","",IF(ISNA(MATCH($H75,$H$7:$H74,0)),1,0))</f>
        <v/>
      </c>
      <c r="G75" s="249"/>
      <c r="H75" s="95"/>
      <c r="I75" s="598" t="str">
        <f>IF($J75="","",INDEX(ﾏｽﾀ!$E$8:$E$124,MATCH(INDEX(ﾏｽﾀ!$N$8:$N$124,MATCH($J75,ﾏｽﾀ!$O$8:$O$124,0)),ﾏｽﾀ!$B$8:$B$124,0))&amp;"")</f>
        <v/>
      </c>
      <c r="J75" s="534"/>
      <c r="K75" s="598" t="str">
        <f>IF($J75="","",INDEX(ﾏｽﾀ!$G$8:$G$124,MATCH(INDEX(ﾏｽﾀ!$N$8:$N$124,MATCH($J75,ﾏｽﾀ!$O$8:$O$124,0)),ﾏｽﾀ!$B$8:$B$124,0))&amp;"")</f>
        <v/>
      </c>
      <c r="L75" s="600" t="str">
        <f>IF($M75="","",INDEX(ﾏｽﾀ!$T$8:$T$16,MATCH($M75,ﾏｽﾀ!$U$8:$U$16,0))&amp;"")</f>
        <v/>
      </c>
      <c r="M75" s="534"/>
      <c r="N75" s="463"/>
      <c r="O75" s="464"/>
      <c r="P75" s="465"/>
      <c r="Q75" s="466" t="str">
        <f t="shared" si="4"/>
        <v/>
      </c>
      <c r="R75" s="154" t="str">
        <f>IF($T75="","",VLOOKUP($T75,請求Data!$I$11:$AR$160,請求Data!$AL$10-請求Data!$H$10,0))</f>
        <v/>
      </c>
      <c r="S75" s="155" t="str">
        <f>IF($T75="","",VLOOKUP($T75,請求Data!$I$11:$AR$160,請求Data!$AM$10-請求Data!$H$10,0))</f>
        <v/>
      </c>
      <c r="T75" s="467" t="str">
        <f>IF(ISNA(MATCH($H75,請求Data!$AH$11:$AH$160,0)),"",VLOOKUP($H75,請求Data!$AH$11:$AR$160,請求Data!$AK$10-請求Data!$AG$10,0))</f>
        <v/>
      </c>
      <c r="U75" s="468"/>
      <c r="V75" s="58"/>
    </row>
    <row r="76" spans="1:22" ht="15" customHeight="1">
      <c r="A76" s="58" t="str">
        <f>IF($Q76="","",MAX($A$8:$A75)+1)</f>
        <v/>
      </c>
      <c r="B76" s="614" t="str">
        <f t="shared" si="5"/>
        <v/>
      </c>
      <c r="C76" s="614" t="str">
        <f t="shared" si="6"/>
        <v/>
      </c>
      <c r="D76" s="614" t="str">
        <f t="shared" si="7"/>
        <v/>
      </c>
      <c r="E76" s="615" t="str">
        <f t="shared" si="8"/>
        <v/>
      </c>
      <c r="F76" s="616" t="str">
        <f>IF($H76="","",IF(ISNA(MATCH($H76,$H$7:$H75,0)),1,0))</f>
        <v/>
      </c>
      <c r="G76" s="249"/>
      <c r="H76" s="95"/>
      <c r="I76" s="598" t="str">
        <f>IF($J76="","",INDEX(ﾏｽﾀ!$E$8:$E$124,MATCH(INDEX(ﾏｽﾀ!$N$8:$N$124,MATCH($J76,ﾏｽﾀ!$O$8:$O$124,0)),ﾏｽﾀ!$B$8:$B$124,0))&amp;"")</f>
        <v/>
      </c>
      <c r="J76" s="534"/>
      <c r="K76" s="598" t="str">
        <f>IF($J76="","",INDEX(ﾏｽﾀ!$G$8:$G$124,MATCH(INDEX(ﾏｽﾀ!$N$8:$N$124,MATCH($J76,ﾏｽﾀ!$O$8:$O$124,0)),ﾏｽﾀ!$B$8:$B$124,0))&amp;"")</f>
        <v/>
      </c>
      <c r="L76" s="600" t="str">
        <f>IF($M76="","",INDEX(ﾏｽﾀ!$T$8:$T$16,MATCH($M76,ﾏｽﾀ!$U$8:$U$16,0))&amp;"")</f>
        <v/>
      </c>
      <c r="M76" s="534"/>
      <c r="N76" s="463"/>
      <c r="O76" s="464"/>
      <c r="P76" s="465"/>
      <c r="Q76" s="466" t="str">
        <f t="shared" si="4"/>
        <v/>
      </c>
      <c r="R76" s="154" t="str">
        <f>IF($T76="","",VLOOKUP($T76,請求Data!$I$11:$AR$160,請求Data!$AL$10-請求Data!$H$10,0))</f>
        <v/>
      </c>
      <c r="S76" s="155" t="str">
        <f>IF($T76="","",VLOOKUP($T76,請求Data!$I$11:$AR$160,請求Data!$AM$10-請求Data!$H$10,0))</f>
        <v/>
      </c>
      <c r="T76" s="467" t="str">
        <f>IF(ISNA(MATCH($H76,請求Data!$AH$11:$AH$160,0)),"",VLOOKUP($H76,請求Data!$AH$11:$AR$160,請求Data!$AK$10-請求Data!$AG$10,0))</f>
        <v/>
      </c>
      <c r="U76" s="468"/>
      <c r="V76" s="58"/>
    </row>
    <row r="77" spans="1:22" ht="15" customHeight="1">
      <c r="A77" s="58" t="str">
        <f>IF($Q77="","",MAX($A$8:$A76)+1)</f>
        <v/>
      </c>
      <c r="B77" s="614" t="str">
        <f t="shared" si="5"/>
        <v/>
      </c>
      <c r="C77" s="614" t="str">
        <f t="shared" si="6"/>
        <v/>
      </c>
      <c r="D77" s="614" t="str">
        <f t="shared" si="7"/>
        <v/>
      </c>
      <c r="E77" s="615" t="str">
        <f t="shared" si="8"/>
        <v/>
      </c>
      <c r="F77" s="616" t="str">
        <f>IF($H77="","",IF(ISNA(MATCH($H77,$H$7:$H76,0)),1,0))</f>
        <v/>
      </c>
      <c r="G77" s="249"/>
      <c r="H77" s="95"/>
      <c r="I77" s="598" t="str">
        <f>IF($J77="","",INDEX(ﾏｽﾀ!$E$8:$E$124,MATCH(INDEX(ﾏｽﾀ!$N$8:$N$124,MATCH($J77,ﾏｽﾀ!$O$8:$O$124,0)),ﾏｽﾀ!$B$8:$B$124,0))&amp;"")</f>
        <v/>
      </c>
      <c r="J77" s="534"/>
      <c r="K77" s="598" t="str">
        <f>IF($J77="","",INDEX(ﾏｽﾀ!$G$8:$G$124,MATCH(INDEX(ﾏｽﾀ!$N$8:$N$124,MATCH($J77,ﾏｽﾀ!$O$8:$O$124,0)),ﾏｽﾀ!$B$8:$B$124,0))&amp;"")</f>
        <v/>
      </c>
      <c r="L77" s="600" t="str">
        <f>IF($M77="","",INDEX(ﾏｽﾀ!$T$8:$T$16,MATCH($M77,ﾏｽﾀ!$U$8:$U$16,0))&amp;"")</f>
        <v/>
      </c>
      <c r="M77" s="534"/>
      <c r="N77" s="463"/>
      <c r="O77" s="464"/>
      <c r="P77" s="465"/>
      <c r="Q77" s="466" t="str">
        <f t="shared" si="4"/>
        <v/>
      </c>
      <c r="R77" s="154" t="str">
        <f>IF($T77="","",VLOOKUP($T77,請求Data!$I$11:$AR$160,請求Data!$AL$10-請求Data!$H$10,0))</f>
        <v/>
      </c>
      <c r="S77" s="155" t="str">
        <f>IF($T77="","",VLOOKUP($T77,請求Data!$I$11:$AR$160,請求Data!$AM$10-請求Data!$H$10,0))</f>
        <v/>
      </c>
      <c r="T77" s="467" t="str">
        <f>IF(ISNA(MATCH($H77,請求Data!$AH$11:$AH$160,0)),"",VLOOKUP($H77,請求Data!$AH$11:$AR$160,請求Data!$AK$10-請求Data!$AG$10,0))</f>
        <v/>
      </c>
      <c r="U77" s="468"/>
      <c r="V77" s="58"/>
    </row>
    <row r="78" spans="1:22" ht="15" customHeight="1">
      <c r="A78" s="58" t="str">
        <f>IF($Q78="","",MAX($A$8:$A77)+1)</f>
        <v/>
      </c>
      <c r="B78" s="614" t="str">
        <f t="shared" si="5"/>
        <v/>
      </c>
      <c r="C78" s="614" t="str">
        <f t="shared" si="6"/>
        <v/>
      </c>
      <c r="D78" s="614" t="str">
        <f t="shared" si="7"/>
        <v/>
      </c>
      <c r="E78" s="615" t="str">
        <f t="shared" si="8"/>
        <v/>
      </c>
      <c r="F78" s="616" t="str">
        <f>IF($H78="","",IF(ISNA(MATCH($H78,$H$7:$H77,0)),1,0))</f>
        <v/>
      </c>
      <c r="G78" s="249"/>
      <c r="H78" s="95"/>
      <c r="I78" s="598" t="str">
        <f>IF($J78="","",INDEX(ﾏｽﾀ!$E$8:$E$124,MATCH(INDEX(ﾏｽﾀ!$N$8:$N$124,MATCH($J78,ﾏｽﾀ!$O$8:$O$124,0)),ﾏｽﾀ!$B$8:$B$124,0))&amp;"")</f>
        <v/>
      </c>
      <c r="J78" s="534"/>
      <c r="K78" s="598" t="str">
        <f>IF($J78="","",INDEX(ﾏｽﾀ!$G$8:$G$124,MATCH(INDEX(ﾏｽﾀ!$N$8:$N$124,MATCH($J78,ﾏｽﾀ!$O$8:$O$124,0)),ﾏｽﾀ!$B$8:$B$124,0))&amp;"")</f>
        <v/>
      </c>
      <c r="L78" s="600" t="str">
        <f>IF($M78="","",INDEX(ﾏｽﾀ!$T$8:$T$16,MATCH($M78,ﾏｽﾀ!$U$8:$U$16,0))&amp;"")</f>
        <v/>
      </c>
      <c r="M78" s="534"/>
      <c r="N78" s="463"/>
      <c r="O78" s="464"/>
      <c r="P78" s="465"/>
      <c r="Q78" s="466" t="str">
        <f t="shared" ref="Q78:Q141" si="9">IF($O78="","",IF($N78="\",ROUNDDOWN($O78*$P78,0)+$U78,ROUNDDOWN($O78*$P78,2)+$U78))</f>
        <v/>
      </c>
      <c r="R78" s="154" t="str">
        <f>IF($T78="","",VLOOKUP($T78,請求Data!$I$11:$AR$160,請求Data!$AL$10-請求Data!$H$10,0))</f>
        <v/>
      </c>
      <c r="S78" s="155" t="str">
        <f>IF($T78="","",VLOOKUP($T78,請求Data!$I$11:$AR$160,請求Data!$AM$10-請求Data!$H$10,0))</f>
        <v/>
      </c>
      <c r="T78" s="467" t="str">
        <f>IF(ISNA(MATCH($H78,請求Data!$AH$11:$AH$160,0)),"",VLOOKUP($H78,請求Data!$AH$11:$AR$160,請求Data!$AK$10-請求Data!$AG$10,0))</f>
        <v/>
      </c>
      <c r="U78" s="468"/>
      <c r="V78" s="58"/>
    </row>
    <row r="79" spans="1:22" ht="15" customHeight="1">
      <c r="A79" s="58" t="str">
        <f>IF($Q79="","",MAX($A$8:$A78)+1)</f>
        <v/>
      </c>
      <c r="B79" s="614" t="str">
        <f t="shared" si="5"/>
        <v/>
      </c>
      <c r="C79" s="614" t="str">
        <f t="shared" si="6"/>
        <v/>
      </c>
      <c r="D79" s="614" t="str">
        <f t="shared" si="7"/>
        <v/>
      </c>
      <c r="E79" s="615" t="str">
        <f t="shared" si="8"/>
        <v/>
      </c>
      <c r="F79" s="616" t="str">
        <f>IF($H79="","",IF(ISNA(MATCH($H79,$H$7:$H78,0)),1,0))</f>
        <v/>
      </c>
      <c r="G79" s="249"/>
      <c r="H79" s="95"/>
      <c r="I79" s="598" t="str">
        <f>IF($J79="","",INDEX(ﾏｽﾀ!$E$8:$E$124,MATCH(INDEX(ﾏｽﾀ!$N$8:$N$124,MATCH($J79,ﾏｽﾀ!$O$8:$O$124,0)),ﾏｽﾀ!$B$8:$B$124,0))&amp;"")</f>
        <v/>
      </c>
      <c r="J79" s="534"/>
      <c r="K79" s="598" t="str">
        <f>IF($J79="","",INDEX(ﾏｽﾀ!$G$8:$G$124,MATCH(INDEX(ﾏｽﾀ!$N$8:$N$124,MATCH($J79,ﾏｽﾀ!$O$8:$O$124,0)),ﾏｽﾀ!$B$8:$B$124,0))&amp;"")</f>
        <v/>
      </c>
      <c r="L79" s="600" t="str">
        <f>IF($M79="","",INDEX(ﾏｽﾀ!$T$8:$T$16,MATCH($M79,ﾏｽﾀ!$U$8:$U$16,0))&amp;"")</f>
        <v/>
      </c>
      <c r="M79" s="534"/>
      <c r="N79" s="463"/>
      <c r="O79" s="464"/>
      <c r="P79" s="465"/>
      <c r="Q79" s="466" t="str">
        <f t="shared" si="9"/>
        <v/>
      </c>
      <c r="R79" s="154" t="str">
        <f>IF($T79="","",VLOOKUP($T79,請求Data!$I$11:$AR$160,請求Data!$AL$10-請求Data!$H$10,0))</f>
        <v/>
      </c>
      <c r="S79" s="155" t="str">
        <f>IF($T79="","",VLOOKUP($T79,請求Data!$I$11:$AR$160,請求Data!$AM$10-請求Data!$H$10,0))</f>
        <v/>
      </c>
      <c r="T79" s="467" t="str">
        <f>IF(ISNA(MATCH($H79,請求Data!$AH$11:$AH$160,0)),"",VLOOKUP($H79,請求Data!$AH$11:$AR$160,請求Data!$AK$10-請求Data!$AG$10,0))</f>
        <v/>
      </c>
      <c r="U79" s="468"/>
      <c r="V79" s="58"/>
    </row>
    <row r="80" spans="1:22" ht="15" customHeight="1">
      <c r="A80" s="58" t="str">
        <f>IF($Q80="","",MAX($A$8:$A79)+1)</f>
        <v/>
      </c>
      <c r="B80" s="614" t="str">
        <f t="shared" si="5"/>
        <v/>
      </c>
      <c r="C80" s="614" t="str">
        <f t="shared" si="6"/>
        <v/>
      </c>
      <c r="D80" s="614" t="str">
        <f t="shared" si="7"/>
        <v/>
      </c>
      <c r="E80" s="615" t="str">
        <f t="shared" si="8"/>
        <v/>
      </c>
      <c r="F80" s="616" t="str">
        <f>IF($H80="","",IF(ISNA(MATCH($H80,$H$7:$H79,0)),1,0))</f>
        <v/>
      </c>
      <c r="G80" s="249"/>
      <c r="H80" s="95"/>
      <c r="I80" s="598" t="str">
        <f>IF($J80="","",INDEX(ﾏｽﾀ!$E$8:$E$124,MATCH(INDEX(ﾏｽﾀ!$N$8:$N$124,MATCH($J80,ﾏｽﾀ!$O$8:$O$124,0)),ﾏｽﾀ!$B$8:$B$124,0))&amp;"")</f>
        <v/>
      </c>
      <c r="J80" s="534"/>
      <c r="K80" s="598" t="str">
        <f>IF($J80="","",INDEX(ﾏｽﾀ!$G$8:$G$124,MATCH(INDEX(ﾏｽﾀ!$N$8:$N$124,MATCH($J80,ﾏｽﾀ!$O$8:$O$124,0)),ﾏｽﾀ!$B$8:$B$124,0))&amp;"")</f>
        <v/>
      </c>
      <c r="L80" s="600" t="str">
        <f>IF($M80="","",INDEX(ﾏｽﾀ!$T$8:$T$16,MATCH($M80,ﾏｽﾀ!$U$8:$U$16,0))&amp;"")</f>
        <v/>
      </c>
      <c r="M80" s="534"/>
      <c r="N80" s="463"/>
      <c r="O80" s="464"/>
      <c r="P80" s="465"/>
      <c r="Q80" s="466" t="str">
        <f t="shared" si="9"/>
        <v/>
      </c>
      <c r="R80" s="154" t="str">
        <f>IF($T80="","",VLOOKUP($T80,請求Data!$I$11:$AR$160,請求Data!$AL$10-請求Data!$H$10,0))</f>
        <v/>
      </c>
      <c r="S80" s="155" t="str">
        <f>IF($T80="","",VLOOKUP($T80,請求Data!$I$11:$AR$160,請求Data!$AM$10-請求Data!$H$10,0))</f>
        <v/>
      </c>
      <c r="T80" s="467" t="str">
        <f>IF(ISNA(MATCH($H80,請求Data!$AH$11:$AH$160,0)),"",VLOOKUP($H80,請求Data!$AH$11:$AR$160,請求Data!$AK$10-請求Data!$AG$10,0))</f>
        <v/>
      </c>
      <c r="U80" s="468"/>
      <c r="V80" s="58"/>
    </row>
    <row r="81" spans="1:22" ht="15" customHeight="1">
      <c r="A81" s="58" t="str">
        <f>IF($Q81="","",MAX($A$8:$A80)+1)</f>
        <v/>
      </c>
      <c r="B81" s="614" t="str">
        <f t="shared" si="5"/>
        <v/>
      </c>
      <c r="C81" s="614" t="str">
        <f t="shared" si="6"/>
        <v/>
      </c>
      <c r="D81" s="614" t="str">
        <f t="shared" si="7"/>
        <v/>
      </c>
      <c r="E81" s="615" t="str">
        <f t="shared" si="8"/>
        <v/>
      </c>
      <c r="F81" s="616" t="str">
        <f>IF($H81="","",IF(ISNA(MATCH($H81,$H$7:$H80,0)),1,0))</f>
        <v/>
      </c>
      <c r="G81" s="249"/>
      <c r="H81" s="95"/>
      <c r="I81" s="598" t="str">
        <f>IF($J81="","",INDEX(ﾏｽﾀ!$E$8:$E$124,MATCH(INDEX(ﾏｽﾀ!$N$8:$N$124,MATCH($J81,ﾏｽﾀ!$O$8:$O$124,0)),ﾏｽﾀ!$B$8:$B$124,0))&amp;"")</f>
        <v/>
      </c>
      <c r="J81" s="534"/>
      <c r="K81" s="598" t="str">
        <f>IF($J81="","",INDEX(ﾏｽﾀ!$G$8:$G$124,MATCH(INDEX(ﾏｽﾀ!$N$8:$N$124,MATCH($J81,ﾏｽﾀ!$O$8:$O$124,0)),ﾏｽﾀ!$B$8:$B$124,0))&amp;"")</f>
        <v/>
      </c>
      <c r="L81" s="600" t="str">
        <f>IF($M81="","",INDEX(ﾏｽﾀ!$T$8:$T$16,MATCH($M81,ﾏｽﾀ!$U$8:$U$16,0))&amp;"")</f>
        <v/>
      </c>
      <c r="M81" s="534"/>
      <c r="N81" s="463"/>
      <c r="O81" s="464"/>
      <c r="P81" s="465"/>
      <c r="Q81" s="466" t="str">
        <f t="shared" si="9"/>
        <v/>
      </c>
      <c r="R81" s="154" t="str">
        <f>IF($T81="","",VLOOKUP($T81,請求Data!$I$11:$AR$160,請求Data!$AL$10-請求Data!$H$10,0))</f>
        <v/>
      </c>
      <c r="S81" s="155" t="str">
        <f>IF($T81="","",VLOOKUP($T81,請求Data!$I$11:$AR$160,請求Data!$AM$10-請求Data!$H$10,0))</f>
        <v/>
      </c>
      <c r="T81" s="467" t="str">
        <f>IF(ISNA(MATCH($H81,請求Data!$AH$11:$AH$160,0)),"",VLOOKUP($H81,請求Data!$AH$11:$AR$160,請求Data!$AK$10-請求Data!$AG$10,0))</f>
        <v/>
      </c>
      <c r="U81" s="468"/>
      <c r="V81" s="58"/>
    </row>
    <row r="82" spans="1:22" ht="15" customHeight="1">
      <c r="A82" s="58" t="str">
        <f>IF($Q82="","",MAX($A$8:$A81)+1)</f>
        <v/>
      </c>
      <c r="B82" s="614" t="str">
        <f t="shared" si="5"/>
        <v/>
      </c>
      <c r="C82" s="614" t="str">
        <f t="shared" si="6"/>
        <v/>
      </c>
      <c r="D82" s="614" t="str">
        <f t="shared" si="7"/>
        <v/>
      </c>
      <c r="E82" s="615" t="str">
        <f t="shared" si="8"/>
        <v/>
      </c>
      <c r="F82" s="616" t="str">
        <f>IF($H82="","",IF(ISNA(MATCH($H82,$H$7:$H81,0)),1,0))</f>
        <v/>
      </c>
      <c r="G82" s="249"/>
      <c r="H82" s="95"/>
      <c r="I82" s="598" t="str">
        <f>IF($J82="","",INDEX(ﾏｽﾀ!$E$8:$E$124,MATCH(INDEX(ﾏｽﾀ!$N$8:$N$124,MATCH($J82,ﾏｽﾀ!$O$8:$O$124,0)),ﾏｽﾀ!$B$8:$B$124,0))&amp;"")</f>
        <v/>
      </c>
      <c r="J82" s="534"/>
      <c r="K82" s="598" t="str">
        <f>IF($J82="","",INDEX(ﾏｽﾀ!$G$8:$G$124,MATCH(INDEX(ﾏｽﾀ!$N$8:$N$124,MATCH($J82,ﾏｽﾀ!$O$8:$O$124,0)),ﾏｽﾀ!$B$8:$B$124,0))&amp;"")</f>
        <v/>
      </c>
      <c r="L82" s="600" t="str">
        <f>IF($M82="","",INDEX(ﾏｽﾀ!$T$8:$T$16,MATCH($M82,ﾏｽﾀ!$U$8:$U$16,0))&amp;"")</f>
        <v/>
      </c>
      <c r="M82" s="534"/>
      <c r="N82" s="463"/>
      <c r="O82" s="464"/>
      <c r="P82" s="465"/>
      <c r="Q82" s="466" t="str">
        <f t="shared" si="9"/>
        <v/>
      </c>
      <c r="R82" s="154" t="str">
        <f>IF($T82="","",VLOOKUP($T82,請求Data!$I$11:$AR$160,請求Data!$AL$10-請求Data!$H$10,0))</f>
        <v/>
      </c>
      <c r="S82" s="155" t="str">
        <f>IF($T82="","",VLOOKUP($T82,請求Data!$I$11:$AR$160,請求Data!$AM$10-請求Data!$H$10,0))</f>
        <v/>
      </c>
      <c r="T82" s="467" t="str">
        <f>IF(ISNA(MATCH($H82,請求Data!$AH$11:$AH$160,0)),"",VLOOKUP($H82,請求Data!$AH$11:$AR$160,請求Data!$AK$10-請求Data!$AG$10,0))</f>
        <v/>
      </c>
      <c r="U82" s="468"/>
      <c r="V82" s="58"/>
    </row>
    <row r="83" spans="1:22" ht="15" customHeight="1">
      <c r="A83" s="58" t="str">
        <f>IF($Q83="","",MAX($A$8:$A82)+1)</f>
        <v/>
      </c>
      <c r="B83" s="614" t="str">
        <f t="shared" si="5"/>
        <v/>
      </c>
      <c r="C83" s="614" t="str">
        <f t="shared" si="6"/>
        <v/>
      </c>
      <c r="D83" s="614" t="str">
        <f t="shared" si="7"/>
        <v/>
      </c>
      <c r="E83" s="615" t="str">
        <f t="shared" si="8"/>
        <v/>
      </c>
      <c r="F83" s="616" t="str">
        <f>IF($H83="","",IF(ISNA(MATCH($H83,$H$7:$H82,0)),1,0))</f>
        <v/>
      </c>
      <c r="G83" s="249"/>
      <c r="H83" s="95"/>
      <c r="I83" s="598" t="str">
        <f>IF($J83="","",INDEX(ﾏｽﾀ!$E$8:$E$124,MATCH(INDEX(ﾏｽﾀ!$N$8:$N$124,MATCH($J83,ﾏｽﾀ!$O$8:$O$124,0)),ﾏｽﾀ!$B$8:$B$124,0))&amp;"")</f>
        <v/>
      </c>
      <c r="J83" s="534"/>
      <c r="K83" s="598" t="str">
        <f>IF($J83="","",INDEX(ﾏｽﾀ!$G$8:$G$124,MATCH(INDEX(ﾏｽﾀ!$N$8:$N$124,MATCH($J83,ﾏｽﾀ!$O$8:$O$124,0)),ﾏｽﾀ!$B$8:$B$124,0))&amp;"")</f>
        <v/>
      </c>
      <c r="L83" s="600" t="str">
        <f>IF($M83="","",INDEX(ﾏｽﾀ!$T$8:$T$16,MATCH($M83,ﾏｽﾀ!$U$8:$U$16,0))&amp;"")</f>
        <v/>
      </c>
      <c r="M83" s="534"/>
      <c r="N83" s="463"/>
      <c r="O83" s="464"/>
      <c r="P83" s="465"/>
      <c r="Q83" s="466" t="str">
        <f t="shared" si="9"/>
        <v/>
      </c>
      <c r="R83" s="154" t="str">
        <f>IF($T83="","",VLOOKUP($T83,請求Data!$I$11:$AR$160,請求Data!$AL$10-請求Data!$H$10,0))</f>
        <v/>
      </c>
      <c r="S83" s="155" t="str">
        <f>IF($T83="","",VLOOKUP($T83,請求Data!$I$11:$AR$160,請求Data!$AM$10-請求Data!$H$10,0))</f>
        <v/>
      </c>
      <c r="T83" s="467" t="str">
        <f>IF(ISNA(MATCH($H83,請求Data!$AH$11:$AH$160,0)),"",VLOOKUP($H83,請求Data!$AH$11:$AR$160,請求Data!$AK$10-請求Data!$AG$10,0))</f>
        <v/>
      </c>
      <c r="U83" s="468"/>
      <c r="V83" s="58"/>
    </row>
    <row r="84" spans="1:22" ht="15" customHeight="1">
      <c r="A84" s="58" t="str">
        <f>IF($Q84="","",MAX($A$8:$A83)+1)</f>
        <v/>
      </c>
      <c r="B84" s="614" t="str">
        <f t="shared" si="5"/>
        <v/>
      </c>
      <c r="C84" s="614" t="str">
        <f t="shared" si="6"/>
        <v/>
      </c>
      <c r="D84" s="614" t="str">
        <f t="shared" si="7"/>
        <v/>
      </c>
      <c r="E84" s="615" t="str">
        <f t="shared" si="8"/>
        <v/>
      </c>
      <c r="F84" s="616" t="str">
        <f>IF($H84="","",IF(ISNA(MATCH($H84,$H$7:$H83,0)),1,0))</f>
        <v/>
      </c>
      <c r="G84" s="249"/>
      <c r="H84" s="95"/>
      <c r="I84" s="598" t="str">
        <f>IF($J84="","",INDEX(ﾏｽﾀ!$E$8:$E$124,MATCH(INDEX(ﾏｽﾀ!$N$8:$N$124,MATCH($J84,ﾏｽﾀ!$O$8:$O$124,0)),ﾏｽﾀ!$B$8:$B$124,0))&amp;"")</f>
        <v/>
      </c>
      <c r="J84" s="534"/>
      <c r="K84" s="598" t="str">
        <f>IF($J84="","",INDEX(ﾏｽﾀ!$G$8:$G$124,MATCH(INDEX(ﾏｽﾀ!$N$8:$N$124,MATCH($J84,ﾏｽﾀ!$O$8:$O$124,0)),ﾏｽﾀ!$B$8:$B$124,0))&amp;"")</f>
        <v/>
      </c>
      <c r="L84" s="600" t="str">
        <f>IF($M84="","",INDEX(ﾏｽﾀ!$T$8:$T$16,MATCH($M84,ﾏｽﾀ!$U$8:$U$16,0))&amp;"")</f>
        <v/>
      </c>
      <c r="M84" s="534"/>
      <c r="N84" s="463"/>
      <c r="O84" s="464"/>
      <c r="P84" s="465"/>
      <c r="Q84" s="466" t="str">
        <f t="shared" si="9"/>
        <v/>
      </c>
      <c r="R84" s="154" t="str">
        <f>IF($T84="","",VLOOKUP($T84,請求Data!$I$11:$AR$160,請求Data!$AL$10-請求Data!$H$10,0))</f>
        <v/>
      </c>
      <c r="S84" s="155" t="str">
        <f>IF($T84="","",VLOOKUP($T84,請求Data!$I$11:$AR$160,請求Data!$AM$10-請求Data!$H$10,0))</f>
        <v/>
      </c>
      <c r="T84" s="467" t="str">
        <f>IF(ISNA(MATCH($H84,請求Data!$AH$11:$AH$160,0)),"",VLOOKUP($H84,請求Data!$AH$11:$AR$160,請求Data!$AK$10-請求Data!$AG$10,0))</f>
        <v/>
      </c>
      <c r="U84" s="468"/>
      <c r="V84" s="58"/>
    </row>
    <row r="85" spans="1:22" ht="15" customHeight="1">
      <c r="A85" s="58" t="str">
        <f>IF($Q85="","",MAX($A$8:$A84)+1)</f>
        <v/>
      </c>
      <c r="B85" s="614" t="str">
        <f t="shared" si="5"/>
        <v/>
      </c>
      <c r="C85" s="614" t="str">
        <f t="shared" si="6"/>
        <v/>
      </c>
      <c r="D85" s="614" t="str">
        <f t="shared" si="7"/>
        <v/>
      </c>
      <c r="E85" s="615" t="str">
        <f t="shared" si="8"/>
        <v/>
      </c>
      <c r="F85" s="616" t="str">
        <f>IF($H85="","",IF(ISNA(MATCH($H85,$H$7:$H84,0)),1,0))</f>
        <v/>
      </c>
      <c r="G85" s="249"/>
      <c r="H85" s="95"/>
      <c r="I85" s="598" t="str">
        <f>IF($J85="","",INDEX(ﾏｽﾀ!$E$8:$E$124,MATCH(INDEX(ﾏｽﾀ!$N$8:$N$124,MATCH($J85,ﾏｽﾀ!$O$8:$O$124,0)),ﾏｽﾀ!$B$8:$B$124,0))&amp;"")</f>
        <v/>
      </c>
      <c r="J85" s="534"/>
      <c r="K85" s="598" t="str">
        <f>IF($J85="","",INDEX(ﾏｽﾀ!$G$8:$G$124,MATCH(INDEX(ﾏｽﾀ!$N$8:$N$124,MATCH($J85,ﾏｽﾀ!$O$8:$O$124,0)),ﾏｽﾀ!$B$8:$B$124,0))&amp;"")</f>
        <v/>
      </c>
      <c r="L85" s="600" t="str">
        <f>IF($M85="","",INDEX(ﾏｽﾀ!$T$8:$T$16,MATCH($M85,ﾏｽﾀ!$U$8:$U$16,0))&amp;"")</f>
        <v/>
      </c>
      <c r="M85" s="534"/>
      <c r="N85" s="463"/>
      <c r="O85" s="464"/>
      <c r="P85" s="465"/>
      <c r="Q85" s="466" t="str">
        <f t="shared" si="9"/>
        <v/>
      </c>
      <c r="R85" s="154" t="str">
        <f>IF($T85="","",VLOOKUP($T85,請求Data!$I$11:$AR$160,請求Data!$AL$10-請求Data!$H$10,0))</f>
        <v/>
      </c>
      <c r="S85" s="155" t="str">
        <f>IF($T85="","",VLOOKUP($T85,請求Data!$I$11:$AR$160,請求Data!$AM$10-請求Data!$H$10,0))</f>
        <v/>
      </c>
      <c r="T85" s="467" t="str">
        <f>IF(ISNA(MATCH($H85,請求Data!$AH$11:$AH$160,0)),"",VLOOKUP($H85,請求Data!$AH$11:$AR$160,請求Data!$AK$10-請求Data!$AG$10,0))</f>
        <v/>
      </c>
      <c r="U85" s="468"/>
      <c r="V85" s="58"/>
    </row>
    <row r="86" spans="1:22" ht="15" customHeight="1">
      <c r="A86" s="58" t="str">
        <f>IF($Q86="","",MAX($A$8:$A85)+1)</f>
        <v/>
      </c>
      <c r="B86" s="614" t="str">
        <f t="shared" si="5"/>
        <v/>
      </c>
      <c r="C86" s="614" t="str">
        <f t="shared" si="6"/>
        <v/>
      </c>
      <c r="D86" s="614" t="str">
        <f t="shared" si="7"/>
        <v/>
      </c>
      <c r="E86" s="615" t="str">
        <f t="shared" si="8"/>
        <v/>
      </c>
      <c r="F86" s="616" t="str">
        <f>IF($H86="","",IF(ISNA(MATCH($H86,$H$7:$H85,0)),1,0))</f>
        <v/>
      </c>
      <c r="G86" s="249"/>
      <c r="H86" s="95"/>
      <c r="I86" s="598" t="str">
        <f>IF($J86="","",INDEX(ﾏｽﾀ!$E$8:$E$124,MATCH(INDEX(ﾏｽﾀ!$N$8:$N$124,MATCH($J86,ﾏｽﾀ!$O$8:$O$124,0)),ﾏｽﾀ!$B$8:$B$124,0))&amp;"")</f>
        <v/>
      </c>
      <c r="J86" s="534"/>
      <c r="K86" s="598" t="str">
        <f>IF($J86="","",INDEX(ﾏｽﾀ!$G$8:$G$124,MATCH(INDEX(ﾏｽﾀ!$N$8:$N$124,MATCH($J86,ﾏｽﾀ!$O$8:$O$124,0)),ﾏｽﾀ!$B$8:$B$124,0))&amp;"")</f>
        <v/>
      </c>
      <c r="L86" s="600" t="str">
        <f>IF($M86="","",INDEX(ﾏｽﾀ!$T$8:$T$16,MATCH($M86,ﾏｽﾀ!$U$8:$U$16,0))&amp;"")</f>
        <v/>
      </c>
      <c r="M86" s="534"/>
      <c r="N86" s="463"/>
      <c r="O86" s="464"/>
      <c r="P86" s="465"/>
      <c r="Q86" s="466" t="str">
        <f t="shared" si="9"/>
        <v/>
      </c>
      <c r="R86" s="154" t="str">
        <f>IF($T86="","",VLOOKUP($T86,請求Data!$I$11:$AR$160,請求Data!$AL$10-請求Data!$H$10,0))</f>
        <v/>
      </c>
      <c r="S86" s="155" t="str">
        <f>IF($T86="","",VLOOKUP($T86,請求Data!$I$11:$AR$160,請求Data!$AM$10-請求Data!$H$10,0))</f>
        <v/>
      </c>
      <c r="T86" s="467" t="str">
        <f>IF(ISNA(MATCH($H86,請求Data!$AH$11:$AH$160,0)),"",VLOOKUP($H86,請求Data!$AH$11:$AR$160,請求Data!$AK$10-請求Data!$AG$10,0))</f>
        <v/>
      </c>
      <c r="U86" s="468"/>
      <c r="V86" s="58"/>
    </row>
    <row r="87" spans="1:22" ht="15" customHeight="1">
      <c r="A87" s="58" t="str">
        <f>IF($Q87="","",MAX($A$8:$A86)+1)</f>
        <v/>
      </c>
      <c r="B87" s="614" t="str">
        <f t="shared" si="5"/>
        <v/>
      </c>
      <c r="C87" s="614" t="str">
        <f t="shared" si="6"/>
        <v/>
      </c>
      <c r="D87" s="614" t="str">
        <f t="shared" si="7"/>
        <v/>
      </c>
      <c r="E87" s="615" t="str">
        <f t="shared" si="8"/>
        <v/>
      </c>
      <c r="F87" s="616" t="str">
        <f>IF($H87="","",IF(ISNA(MATCH($H87,$H$7:$H86,0)),1,0))</f>
        <v/>
      </c>
      <c r="G87" s="249"/>
      <c r="H87" s="95"/>
      <c r="I87" s="598" t="str">
        <f>IF($J87="","",INDEX(ﾏｽﾀ!$E$8:$E$124,MATCH(INDEX(ﾏｽﾀ!$N$8:$N$124,MATCH($J87,ﾏｽﾀ!$O$8:$O$124,0)),ﾏｽﾀ!$B$8:$B$124,0))&amp;"")</f>
        <v/>
      </c>
      <c r="J87" s="534"/>
      <c r="K87" s="598" t="str">
        <f>IF($J87="","",INDEX(ﾏｽﾀ!$G$8:$G$124,MATCH(INDEX(ﾏｽﾀ!$N$8:$N$124,MATCH($J87,ﾏｽﾀ!$O$8:$O$124,0)),ﾏｽﾀ!$B$8:$B$124,0))&amp;"")</f>
        <v/>
      </c>
      <c r="L87" s="600" t="str">
        <f>IF($M87="","",INDEX(ﾏｽﾀ!$T$8:$T$16,MATCH($M87,ﾏｽﾀ!$U$8:$U$16,0))&amp;"")</f>
        <v/>
      </c>
      <c r="M87" s="534"/>
      <c r="N87" s="463"/>
      <c r="O87" s="464"/>
      <c r="P87" s="465"/>
      <c r="Q87" s="466" t="str">
        <f t="shared" si="9"/>
        <v/>
      </c>
      <c r="R87" s="154" t="str">
        <f>IF($T87="","",VLOOKUP($T87,請求Data!$I$11:$AR$160,請求Data!$AL$10-請求Data!$H$10,0))</f>
        <v/>
      </c>
      <c r="S87" s="155" t="str">
        <f>IF($T87="","",VLOOKUP($T87,請求Data!$I$11:$AR$160,請求Data!$AM$10-請求Data!$H$10,0))</f>
        <v/>
      </c>
      <c r="T87" s="467" t="str">
        <f>IF(ISNA(MATCH($H87,請求Data!$AH$11:$AH$160,0)),"",VLOOKUP($H87,請求Data!$AH$11:$AR$160,請求Data!$AK$10-請求Data!$AG$10,0))</f>
        <v/>
      </c>
      <c r="U87" s="468"/>
      <c r="V87" s="58"/>
    </row>
    <row r="88" spans="1:22" ht="15" customHeight="1">
      <c r="A88" s="58" t="str">
        <f>IF($Q88="","",MAX($A$8:$A87)+1)</f>
        <v/>
      </c>
      <c r="B88" s="614" t="str">
        <f t="shared" si="5"/>
        <v/>
      </c>
      <c r="C88" s="614" t="str">
        <f t="shared" si="6"/>
        <v/>
      </c>
      <c r="D88" s="614" t="str">
        <f t="shared" si="7"/>
        <v/>
      </c>
      <c r="E88" s="615" t="str">
        <f t="shared" si="8"/>
        <v/>
      </c>
      <c r="F88" s="616" t="str">
        <f>IF($H88="","",IF(ISNA(MATCH($H88,$H$7:$H87,0)),1,0))</f>
        <v/>
      </c>
      <c r="G88" s="249"/>
      <c r="H88" s="95"/>
      <c r="I88" s="598" t="str">
        <f>IF($J88="","",INDEX(ﾏｽﾀ!$E$8:$E$124,MATCH(INDEX(ﾏｽﾀ!$N$8:$N$124,MATCH($J88,ﾏｽﾀ!$O$8:$O$124,0)),ﾏｽﾀ!$B$8:$B$124,0))&amp;"")</f>
        <v/>
      </c>
      <c r="J88" s="534"/>
      <c r="K88" s="598" t="str">
        <f>IF($J88="","",INDEX(ﾏｽﾀ!$G$8:$G$124,MATCH(INDEX(ﾏｽﾀ!$N$8:$N$124,MATCH($J88,ﾏｽﾀ!$O$8:$O$124,0)),ﾏｽﾀ!$B$8:$B$124,0))&amp;"")</f>
        <v/>
      </c>
      <c r="L88" s="600" t="str">
        <f>IF($M88="","",INDEX(ﾏｽﾀ!$T$8:$T$16,MATCH($M88,ﾏｽﾀ!$U$8:$U$16,0))&amp;"")</f>
        <v/>
      </c>
      <c r="M88" s="534"/>
      <c r="N88" s="463"/>
      <c r="O88" s="464"/>
      <c r="P88" s="465"/>
      <c r="Q88" s="466" t="str">
        <f t="shared" si="9"/>
        <v/>
      </c>
      <c r="R88" s="154" t="str">
        <f>IF($T88="","",VLOOKUP($T88,請求Data!$I$11:$AR$160,請求Data!$AL$10-請求Data!$H$10,0))</f>
        <v/>
      </c>
      <c r="S88" s="155" t="str">
        <f>IF($T88="","",VLOOKUP($T88,請求Data!$I$11:$AR$160,請求Data!$AM$10-請求Data!$H$10,0))</f>
        <v/>
      </c>
      <c r="T88" s="467" t="str">
        <f>IF(ISNA(MATCH($H88,請求Data!$AH$11:$AH$160,0)),"",VLOOKUP($H88,請求Data!$AH$11:$AR$160,請求Data!$AK$10-請求Data!$AG$10,0))</f>
        <v/>
      </c>
      <c r="U88" s="468"/>
      <c r="V88" s="58"/>
    </row>
    <row r="89" spans="1:22" ht="15" customHeight="1">
      <c r="A89" s="58" t="str">
        <f>IF($Q89="","",MAX($A$8:$A88)+1)</f>
        <v/>
      </c>
      <c r="B89" s="614" t="str">
        <f t="shared" si="5"/>
        <v/>
      </c>
      <c r="C89" s="614" t="str">
        <f t="shared" si="6"/>
        <v/>
      </c>
      <c r="D89" s="614" t="str">
        <f t="shared" si="7"/>
        <v/>
      </c>
      <c r="E89" s="615" t="str">
        <f t="shared" si="8"/>
        <v/>
      </c>
      <c r="F89" s="616" t="str">
        <f>IF($H89="","",IF(ISNA(MATCH($H89,$H$7:$H88,0)),1,0))</f>
        <v/>
      </c>
      <c r="G89" s="249"/>
      <c r="H89" s="95"/>
      <c r="I89" s="598" t="str">
        <f>IF($J89="","",INDEX(ﾏｽﾀ!$E$8:$E$124,MATCH(INDEX(ﾏｽﾀ!$N$8:$N$124,MATCH($J89,ﾏｽﾀ!$O$8:$O$124,0)),ﾏｽﾀ!$B$8:$B$124,0))&amp;"")</f>
        <v/>
      </c>
      <c r="J89" s="534"/>
      <c r="K89" s="598" t="str">
        <f>IF($J89="","",INDEX(ﾏｽﾀ!$G$8:$G$124,MATCH(INDEX(ﾏｽﾀ!$N$8:$N$124,MATCH($J89,ﾏｽﾀ!$O$8:$O$124,0)),ﾏｽﾀ!$B$8:$B$124,0))&amp;"")</f>
        <v/>
      </c>
      <c r="L89" s="600" t="str">
        <f>IF($M89="","",INDEX(ﾏｽﾀ!$T$8:$T$16,MATCH($M89,ﾏｽﾀ!$U$8:$U$16,0))&amp;"")</f>
        <v/>
      </c>
      <c r="M89" s="534"/>
      <c r="N89" s="463"/>
      <c r="O89" s="464"/>
      <c r="P89" s="465"/>
      <c r="Q89" s="466" t="str">
        <f t="shared" si="9"/>
        <v/>
      </c>
      <c r="R89" s="154" t="str">
        <f>IF($T89="","",VLOOKUP($T89,請求Data!$I$11:$AR$160,請求Data!$AL$10-請求Data!$H$10,0))</f>
        <v/>
      </c>
      <c r="S89" s="155" t="str">
        <f>IF($T89="","",VLOOKUP($T89,請求Data!$I$11:$AR$160,請求Data!$AM$10-請求Data!$H$10,0))</f>
        <v/>
      </c>
      <c r="T89" s="467" t="str">
        <f>IF(ISNA(MATCH($H89,請求Data!$AH$11:$AH$160,0)),"",VLOOKUP($H89,請求Data!$AH$11:$AR$160,請求Data!$AK$10-請求Data!$AG$10,0))</f>
        <v/>
      </c>
      <c r="U89" s="468"/>
      <c r="V89" s="58"/>
    </row>
    <row r="90" spans="1:22" ht="15" customHeight="1">
      <c r="A90" s="58" t="str">
        <f>IF($Q90="","",MAX($A$8:$A89)+1)</f>
        <v/>
      </c>
      <c r="B90" s="614" t="str">
        <f t="shared" si="5"/>
        <v/>
      </c>
      <c r="C90" s="614" t="str">
        <f t="shared" si="6"/>
        <v/>
      </c>
      <c r="D90" s="614" t="str">
        <f t="shared" si="7"/>
        <v/>
      </c>
      <c r="E90" s="615" t="str">
        <f t="shared" si="8"/>
        <v/>
      </c>
      <c r="F90" s="616" t="str">
        <f>IF($H90="","",IF(ISNA(MATCH($H90,$H$7:$H89,0)),1,0))</f>
        <v/>
      </c>
      <c r="G90" s="249"/>
      <c r="H90" s="95"/>
      <c r="I90" s="598" t="str">
        <f>IF($J90="","",INDEX(ﾏｽﾀ!$E$8:$E$124,MATCH(INDEX(ﾏｽﾀ!$N$8:$N$124,MATCH($J90,ﾏｽﾀ!$O$8:$O$124,0)),ﾏｽﾀ!$B$8:$B$124,0))&amp;"")</f>
        <v/>
      </c>
      <c r="J90" s="534"/>
      <c r="K90" s="598" t="str">
        <f>IF($J90="","",INDEX(ﾏｽﾀ!$G$8:$G$124,MATCH(INDEX(ﾏｽﾀ!$N$8:$N$124,MATCH($J90,ﾏｽﾀ!$O$8:$O$124,0)),ﾏｽﾀ!$B$8:$B$124,0))&amp;"")</f>
        <v/>
      </c>
      <c r="L90" s="600" t="str">
        <f>IF($M90="","",INDEX(ﾏｽﾀ!$T$8:$T$16,MATCH($M90,ﾏｽﾀ!$U$8:$U$16,0))&amp;"")</f>
        <v/>
      </c>
      <c r="M90" s="534"/>
      <c r="N90" s="463"/>
      <c r="O90" s="464"/>
      <c r="P90" s="465"/>
      <c r="Q90" s="466" t="str">
        <f t="shared" si="9"/>
        <v/>
      </c>
      <c r="R90" s="154" t="str">
        <f>IF($T90="","",VLOOKUP($T90,請求Data!$I$11:$AR$160,請求Data!$AL$10-請求Data!$H$10,0))</f>
        <v/>
      </c>
      <c r="S90" s="155" t="str">
        <f>IF($T90="","",VLOOKUP($T90,請求Data!$I$11:$AR$160,請求Data!$AM$10-請求Data!$H$10,0))</f>
        <v/>
      </c>
      <c r="T90" s="467" t="str">
        <f>IF(ISNA(MATCH($H90,請求Data!$AH$11:$AH$160,0)),"",VLOOKUP($H90,請求Data!$AH$11:$AR$160,請求Data!$AK$10-請求Data!$AG$10,0))</f>
        <v/>
      </c>
      <c r="U90" s="468"/>
      <c r="V90" s="58"/>
    </row>
    <row r="91" spans="1:22" ht="15" customHeight="1">
      <c r="A91" s="58" t="str">
        <f>IF($Q91="","",MAX($A$8:$A90)+1)</f>
        <v/>
      </c>
      <c r="B91" s="614" t="str">
        <f t="shared" si="5"/>
        <v/>
      </c>
      <c r="C91" s="614" t="str">
        <f t="shared" si="6"/>
        <v/>
      </c>
      <c r="D91" s="614" t="str">
        <f t="shared" si="7"/>
        <v/>
      </c>
      <c r="E91" s="615" t="str">
        <f t="shared" si="8"/>
        <v/>
      </c>
      <c r="F91" s="616" t="str">
        <f>IF($H91="","",IF(ISNA(MATCH($H91,$H$7:$H90,0)),1,0))</f>
        <v/>
      </c>
      <c r="G91" s="249"/>
      <c r="H91" s="95"/>
      <c r="I91" s="598" t="str">
        <f>IF($J91="","",INDEX(ﾏｽﾀ!$E$8:$E$124,MATCH(INDEX(ﾏｽﾀ!$N$8:$N$124,MATCH($J91,ﾏｽﾀ!$O$8:$O$124,0)),ﾏｽﾀ!$B$8:$B$124,0))&amp;"")</f>
        <v/>
      </c>
      <c r="J91" s="534"/>
      <c r="K91" s="598" t="str">
        <f>IF($J91="","",INDEX(ﾏｽﾀ!$G$8:$G$124,MATCH(INDEX(ﾏｽﾀ!$N$8:$N$124,MATCH($J91,ﾏｽﾀ!$O$8:$O$124,0)),ﾏｽﾀ!$B$8:$B$124,0))&amp;"")</f>
        <v/>
      </c>
      <c r="L91" s="600" t="str">
        <f>IF($M91="","",INDEX(ﾏｽﾀ!$T$8:$T$16,MATCH($M91,ﾏｽﾀ!$U$8:$U$16,0))&amp;"")</f>
        <v/>
      </c>
      <c r="M91" s="534"/>
      <c r="N91" s="463"/>
      <c r="O91" s="464"/>
      <c r="P91" s="465"/>
      <c r="Q91" s="466" t="str">
        <f t="shared" si="9"/>
        <v/>
      </c>
      <c r="R91" s="154" t="str">
        <f>IF($T91="","",VLOOKUP($T91,請求Data!$I$11:$AR$160,請求Data!$AL$10-請求Data!$H$10,0))</f>
        <v/>
      </c>
      <c r="S91" s="155" t="str">
        <f>IF($T91="","",VLOOKUP($T91,請求Data!$I$11:$AR$160,請求Data!$AM$10-請求Data!$H$10,0))</f>
        <v/>
      </c>
      <c r="T91" s="467" t="str">
        <f>IF(ISNA(MATCH($H91,請求Data!$AH$11:$AH$160,0)),"",VLOOKUP($H91,請求Data!$AH$11:$AR$160,請求Data!$AK$10-請求Data!$AG$10,0))</f>
        <v/>
      </c>
      <c r="U91" s="468"/>
      <c r="V91" s="58"/>
    </row>
    <row r="92" spans="1:22" ht="15" customHeight="1">
      <c r="A92" s="58" t="str">
        <f>IF($Q92="","",MAX($A$8:$A91)+1)</f>
        <v/>
      </c>
      <c r="B92" s="614" t="str">
        <f t="shared" si="5"/>
        <v/>
      </c>
      <c r="C92" s="614" t="str">
        <f t="shared" si="6"/>
        <v/>
      </c>
      <c r="D92" s="614" t="str">
        <f t="shared" si="7"/>
        <v/>
      </c>
      <c r="E92" s="615" t="str">
        <f t="shared" si="8"/>
        <v/>
      </c>
      <c r="F92" s="616" t="str">
        <f>IF($H92="","",IF(ISNA(MATCH($H92,$H$7:$H91,0)),1,0))</f>
        <v/>
      </c>
      <c r="G92" s="249"/>
      <c r="H92" s="95"/>
      <c r="I92" s="598" t="str">
        <f>IF($J92="","",INDEX(ﾏｽﾀ!$E$8:$E$124,MATCH(INDEX(ﾏｽﾀ!$N$8:$N$124,MATCH($J92,ﾏｽﾀ!$O$8:$O$124,0)),ﾏｽﾀ!$B$8:$B$124,0))&amp;"")</f>
        <v/>
      </c>
      <c r="J92" s="534"/>
      <c r="K92" s="598" t="str">
        <f>IF($J92="","",INDEX(ﾏｽﾀ!$G$8:$G$124,MATCH(INDEX(ﾏｽﾀ!$N$8:$N$124,MATCH($J92,ﾏｽﾀ!$O$8:$O$124,0)),ﾏｽﾀ!$B$8:$B$124,0))&amp;"")</f>
        <v/>
      </c>
      <c r="L92" s="600" t="str">
        <f>IF($M92="","",INDEX(ﾏｽﾀ!$T$8:$T$16,MATCH($M92,ﾏｽﾀ!$U$8:$U$16,0))&amp;"")</f>
        <v/>
      </c>
      <c r="M92" s="534"/>
      <c r="N92" s="463"/>
      <c r="O92" s="464"/>
      <c r="P92" s="465"/>
      <c r="Q92" s="466" t="str">
        <f t="shared" si="9"/>
        <v/>
      </c>
      <c r="R92" s="154" t="str">
        <f>IF($T92="","",VLOOKUP($T92,請求Data!$I$11:$AR$160,請求Data!$AL$10-請求Data!$H$10,0))</f>
        <v/>
      </c>
      <c r="S92" s="155" t="str">
        <f>IF($T92="","",VLOOKUP($T92,請求Data!$I$11:$AR$160,請求Data!$AM$10-請求Data!$H$10,0))</f>
        <v/>
      </c>
      <c r="T92" s="467" t="str">
        <f>IF(ISNA(MATCH($H92,請求Data!$AH$11:$AH$160,0)),"",VLOOKUP($H92,請求Data!$AH$11:$AR$160,請求Data!$AK$10-請求Data!$AG$10,0))</f>
        <v/>
      </c>
      <c r="U92" s="468"/>
      <c r="V92" s="58"/>
    </row>
    <row r="93" spans="1:22" ht="15" customHeight="1">
      <c r="A93" s="58" t="str">
        <f>IF($Q93="","",MAX($A$8:$A92)+1)</f>
        <v/>
      </c>
      <c r="B93" s="614" t="str">
        <f t="shared" si="5"/>
        <v/>
      </c>
      <c r="C93" s="614" t="str">
        <f t="shared" si="6"/>
        <v/>
      </c>
      <c r="D93" s="614" t="str">
        <f t="shared" si="7"/>
        <v/>
      </c>
      <c r="E93" s="615" t="str">
        <f t="shared" si="8"/>
        <v/>
      </c>
      <c r="F93" s="616" t="str">
        <f>IF($H93="","",IF(ISNA(MATCH($H93,$H$7:$H92,0)),1,0))</f>
        <v/>
      </c>
      <c r="G93" s="249"/>
      <c r="H93" s="95"/>
      <c r="I93" s="598" t="str">
        <f>IF($J93="","",INDEX(ﾏｽﾀ!$E$8:$E$124,MATCH(INDEX(ﾏｽﾀ!$N$8:$N$124,MATCH($J93,ﾏｽﾀ!$O$8:$O$124,0)),ﾏｽﾀ!$B$8:$B$124,0))&amp;"")</f>
        <v/>
      </c>
      <c r="J93" s="534"/>
      <c r="K93" s="598" t="str">
        <f>IF($J93="","",INDEX(ﾏｽﾀ!$G$8:$G$124,MATCH(INDEX(ﾏｽﾀ!$N$8:$N$124,MATCH($J93,ﾏｽﾀ!$O$8:$O$124,0)),ﾏｽﾀ!$B$8:$B$124,0))&amp;"")</f>
        <v/>
      </c>
      <c r="L93" s="600" t="str">
        <f>IF($M93="","",INDEX(ﾏｽﾀ!$T$8:$T$16,MATCH($M93,ﾏｽﾀ!$U$8:$U$16,0))&amp;"")</f>
        <v/>
      </c>
      <c r="M93" s="534"/>
      <c r="N93" s="463"/>
      <c r="O93" s="464"/>
      <c r="P93" s="465"/>
      <c r="Q93" s="466" t="str">
        <f t="shared" si="9"/>
        <v/>
      </c>
      <c r="R93" s="154" t="str">
        <f>IF($T93="","",VLOOKUP($T93,請求Data!$I$11:$AR$160,請求Data!$AL$10-請求Data!$H$10,0))</f>
        <v/>
      </c>
      <c r="S93" s="155" t="str">
        <f>IF($T93="","",VLOOKUP($T93,請求Data!$I$11:$AR$160,請求Data!$AM$10-請求Data!$H$10,0))</f>
        <v/>
      </c>
      <c r="T93" s="467" t="str">
        <f>IF(ISNA(MATCH($H93,請求Data!$AH$11:$AH$160,0)),"",VLOOKUP($H93,請求Data!$AH$11:$AR$160,請求Data!$AK$10-請求Data!$AG$10,0))</f>
        <v/>
      </c>
      <c r="U93" s="468"/>
      <c r="V93" s="58"/>
    </row>
    <row r="94" spans="1:22" ht="15" customHeight="1">
      <c r="A94" s="58" t="str">
        <f>IF($Q94="","",MAX($A$8:$A93)+1)</f>
        <v/>
      </c>
      <c r="B94" s="614" t="str">
        <f t="shared" si="5"/>
        <v/>
      </c>
      <c r="C94" s="614" t="str">
        <f t="shared" si="6"/>
        <v/>
      </c>
      <c r="D94" s="614" t="str">
        <f t="shared" si="7"/>
        <v/>
      </c>
      <c r="E94" s="615" t="str">
        <f t="shared" si="8"/>
        <v/>
      </c>
      <c r="F94" s="616" t="str">
        <f>IF($H94="","",IF(ISNA(MATCH($H94,$H$7:$H93,0)),1,0))</f>
        <v/>
      </c>
      <c r="G94" s="249"/>
      <c r="H94" s="95"/>
      <c r="I94" s="598" t="str">
        <f>IF($J94="","",INDEX(ﾏｽﾀ!$E$8:$E$124,MATCH(INDEX(ﾏｽﾀ!$N$8:$N$124,MATCH($J94,ﾏｽﾀ!$O$8:$O$124,0)),ﾏｽﾀ!$B$8:$B$124,0))&amp;"")</f>
        <v/>
      </c>
      <c r="J94" s="534"/>
      <c r="K94" s="598" t="str">
        <f>IF($J94="","",INDEX(ﾏｽﾀ!$G$8:$G$124,MATCH(INDEX(ﾏｽﾀ!$N$8:$N$124,MATCH($J94,ﾏｽﾀ!$O$8:$O$124,0)),ﾏｽﾀ!$B$8:$B$124,0))&amp;"")</f>
        <v/>
      </c>
      <c r="L94" s="600" t="str">
        <f>IF($M94="","",INDEX(ﾏｽﾀ!$T$8:$T$16,MATCH($M94,ﾏｽﾀ!$U$8:$U$16,0))&amp;"")</f>
        <v/>
      </c>
      <c r="M94" s="534"/>
      <c r="N94" s="463"/>
      <c r="O94" s="464"/>
      <c r="P94" s="465"/>
      <c r="Q94" s="466" t="str">
        <f t="shared" si="9"/>
        <v/>
      </c>
      <c r="R94" s="154" t="str">
        <f>IF($T94="","",VLOOKUP($T94,請求Data!$I$11:$AR$160,請求Data!$AL$10-請求Data!$H$10,0))</f>
        <v/>
      </c>
      <c r="S94" s="155" t="str">
        <f>IF($T94="","",VLOOKUP($T94,請求Data!$I$11:$AR$160,請求Data!$AM$10-請求Data!$H$10,0))</f>
        <v/>
      </c>
      <c r="T94" s="467" t="str">
        <f>IF(ISNA(MATCH($H94,請求Data!$AH$11:$AH$160,0)),"",VLOOKUP($H94,請求Data!$AH$11:$AR$160,請求Data!$AK$10-請求Data!$AG$10,0))</f>
        <v/>
      </c>
      <c r="U94" s="468"/>
      <c r="V94" s="58"/>
    </row>
    <row r="95" spans="1:22" ht="15" customHeight="1">
      <c r="A95" s="58" t="str">
        <f>IF($Q95="","",MAX($A$8:$A94)+1)</f>
        <v/>
      </c>
      <c r="B95" s="614" t="str">
        <f t="shared" si="5"/>
        <v/>
      </c>
      <c r="C95" s="614" t="str">
        <f t="shared" si="6"/>
        <v/>
      </c>
      <c r="D95" s="614" t="str">
        <f t="shared" si="7"/>
        <v/>
      </c>
      <c r="E95" s="615" t="str">
        <f t="shared" si="8"/>
        <v/>
      </c>
      <c r="F95" s="616" t="str">
        <f>IF($H95="","",IF(ISNA(MATCH($H95,$H$7:$H94,0)),1,0))</f>
        <v/>
      </c>
      <c r="G95" s="249"/>
      <c r="H95" s="95"/>
      <c r="I95" s="598" t="str">
        <f>IF($J95="","",INDEX(ﾏｽﾀ!$E$8:$E$124,MATCH(INDEX(ﾏｽﾀ!$N$8:$N$124,MATCH($J95,ﾏｽﾀ!$O$8:$O$124,0)),ﾏｽﾀ!$B$8:$B$124,0))&amp;"")</f>
        <v/>
      </c>
      <c r="J95" s="534"/>
      <c r="K95" s="598" t="str">
        <f>IF($J95="","",INDEX(ﾏｽﾀ!$G$8:$G$124,MATCH(INDEX(ﾏｽﾀ!$N$8:$N$124,MATCH($J95,ﾏｽﾀ!$O$8:$O$124,0)),ﾏｽﾀ!$B$8:$B$124,0))&amp;"")</f>
        <v/>
      </c>
      <c r="L95" s="600" t="str">
        <f>IF($M95="","",INDEX(ﾏｽﾀ!$T$8:$T$16,MATCH($M95,ﾏｽﾀ!$U$8:$U$16,0))&amp;"")</f>
        <v/>
      </c>
      <c r="M95" s="534"/>
      <c r="N95" s="463"/>
      <c r="O95" s="464"/>
      <c r="P95" s="465"/>
      <c r="Q95" s="466" t="str">
        <f t="shared" si="9"/>
        <v/>
      </c>
      <c r="R95" s="154" t="str">
        <f>IF($T95="","",VLOOKUP($T95,請求Data!$I$11:$AR$160,請求Data!$AL$10-請求Data!$H$10,0))</f>
        <v/>
      </c>
      <c r="S95" s="155" t="str">
        <f>IF($T95="","",VLOOKUP($T95,請求Data!$I$11:$AR$160,請求Data!$AM$10-請求Data!$H$10,0))</f>
        <v/>
      </c>
      <c r="T95" s="467" t="str">
        <f>IF(ISNA(MATCH($H95,請求Data!$AH$11:$AH$160,0)),"",VLOOKUP($H95,請求Data!$AH$11:$AR$160,請求Data!$AK$10-請求Data!$AG$10,0))</f>
        <v/>
      </c>
      <c r="U95" s="468"/>
      <c r="V95" s="58"/>
    </row>
    <row r="96" spans="1:22" ht="15" customHeight="1">
      <c r="A96" s="58" t="str">
        <f>IF($Q96="","",MAX($A$8:$A95)+1)</f>
        <v/>
      </c>
      <c r="B96" s="614" t="str">
        <f t="shared" si="5"/>
        <v/>
      </c>
      <c r="C96" s="614" t="str">
        <f t="shared" si="6"/>
        <v/>
      </c>
      <c r="D96" s="614" t="str">
        <f t="shared" si="7"/>
        <v/>
      </c>
      <c r="E96" s="615" t="str">
        <f t="shared" si="8"/>
        <v/>
      </c>
      <c r="F96" s="616" t="str">
        <f>IF($H96="","",IF(ISNA(MATCH($H96,$H$7:$H95,0)),1,0))</f>
        <v/>
      </c>
      <c r="G96" s="249"/>
      <c r="H96" s="95"/>
      <c r="I96" s="598" t="str">
        <f>IF($J96="","",INDEX(ﾏｽﾀ!$E$8:$E$124,MATCH(INDEX(ﾏｽﾀ!$N$8:$N$124,MATCH($J96,ﾏｽﾀ!$O$8:$O$124,0)),ﾏｽﾀ!$B$8:$B$124,0))&amp;"")</f>
        <v/>
      </c>
      <c r="J96" s="534"/>
      <c r="K96" s="598" t="str">
        <f>IF($J96="","",INDEX(ﾏｽﾀ!$G$8:$G$124,MATCH(INDEX(ﾏｽﾀ!$N$8:$N$124,MATCH($J96,ﾏｽﾀ!$O$8:$O$124,0)),ﾏｽﾀ!$B$8:$B$124,0))&amp;"")</f>
        <v/>
      </c>
      <c r="L96" s="600" t="str">
        <f>IF($M96="","",INDEX(ﾏｽﾀ!$T$8:$T$16,MATCH($M96,ﾏｽﾀ!$U$8:$U$16,0))&amp;"")</f>
        <v/>
      </c>
      <c r="M96" s="534"/>
      <c r="N96" s="463"/>
      <c r="O96" s="464"/>
      <c r="P96" s="465"/>
      <c r="Q96" s="466" t="str">
        <f t="shared" si="9"/>
        <v/>
      </c>
      <c r="R96" s="154" t="str">
        <f>IF($T96="","",VLOOKUP($T96,請求Data!$I$11:$AR$160,請求Data!$AL$10-請求Data!$H$10,0))</f>
        <v/>
      </c>
      <c r="S96" s="155" t="str">
        <f>IF($T96="","",VLOOKUP($T96,請求Data!$I$11:$AR$160,請求Data!$AM$10-請求Data!$H$10,0))</f>
        <v/>
      </c>
      <c r="T96" s="467" t="str">
        <f>IF(ISNA(MATCH($H96,請求Data!$AH$11:$AH$160,0)),"",VLOOKUP($H96,請求Data!$AH$11:$AR$160,請求Data!$AK$10-請求Data!$AG$10,0))</f>
        <v/>
      </c>
      <c r="U96" s="468"/>
      <c r="V96" s="58"/>
    </row>
    <row r="97" spans="1:22" ht="15" customHeight="1">
      <c r="A97" s="58" t="str">
        <f>IF($Q97="","",MAX($A$8:$A96)+1)</f>
        <v/>
      </c>
      <c r="B97" s="614" t="str">
        <f t="shared" si="5"/>
        <v/>
      </c>
      <c r="C97" s="614" t="str">
        <f t="shared" si="6"/>
        <v/>
      </c>
      <c r="D97" s="614" t="str">
        <f t="shared" si="7"/>
        <v/>
      </c>
      <c r="E97" s="615" t="str">
        <f t="shared" si="8"/>
        <v/>
      </c>
      <c r="F97" s="616" t="str">
        <f>IF($H97="","",IF(ISNA(MATCH($H97,$H$7:$H96,0)),1,0))</f>
        <v/>
      </c>
      <c r="G97" s="249"/>
      <c r="H97" s="95"/>
      <c r="I97" s="598" t="str">
        <f>IF($J97="","",INDEX(ﾏｽﾀ!$E$8:$E$124,MATCH(INDEX(ﾏｽﾀ!$N$8:$N$124,MATCH($J97,ﾏｽﾀ!$O$8:$O$124,0)),ﾏｽﾀ!$B$8:$B$124,0))&amp;"")</f>
        <v/>
      </c>
      <c r="J97" s="534"/>
      <c r="K97" s="598" t="str">
        <f>IF($J97="","",INDEX(ﾏｽﾀ!$G$8:$G$124,MATCH(INDEX(ﾏｽﾀ!$N$8:$N$124,MATCH($J97,ﾏｽﾀ!$O$8:$O$124,0)),ﾏｽﾀ!$B$8:$B$124,0))&amp;"")</f>
        <v/>
      </c>
      <c r="L97" s="600" t="str">
        <f>IF($M97="","",INDEX(ﾏｽﾀ!$T$8:$T$16,MATCH($M97,ﾏｽﾀ!$U$8:$U$16,0))&amp;"")</f>
        <v/>
      </c>
      <c r="M97" s="534"/>
      <c r="N97" s="463"/>
      <c r="O97" s="464"/>
      <c r="P97" s="465"/>
      <c r="Q97" s="466" t="str">
        <f t="shared" si="9"/>
        <v/>
      </c>
      <c r="R97" s="154" t="str">
        <f>IF($T97="","",VLOOKUP($T97,請求Data!$I$11:$AR$160,請求Data!$AL$10-請求Data!$H$10,0))</f>
        <v/>
      </c>
      <c r="S97" s="155" t="str">
        <f>IF($T97="","",VLOOKUP($T97,請求Data!$I$11:$AR$160,請求Data!$AM$10-請求Data!$H$10,0))</f>
        <v/>
      </c>
      <c r="T97" s="467" t="str">
        <f>IF(ISNA(MATCH($H97,請求Data!$AH$11:$AH$160,0)),"",VLOOKUP($H97,請求Data!$AH$11:$AR$160,請求Data!$AK$10-請求Data!$AG$10,0))</f>
        <v/>
      </c>
      <c r="U97" s="468"/>
      <c r="V97" s="58"/>
    </row>
    <row r="98" spans="1:22" ht="15" customHeight="1">
      <c r="A98" s="58" t="str">
        <f>IF($Q98="","",MAX($A$8:$A97)+1)</f>
        <v/>
      </c>
      <c r="B98" s="614" t="str">
        <f t="shared" si="5"/>
        <v/>
      </c>
      <c r="C98" s="614" t="str">
        <f t="shared" si="6"/>
        <v/>
      </c>
      <c r="D98" s="614" t="str">
        <f t="shared" si="7"/>
        <v/>
      </c>
      <c r="E98" s="615" t="str">
        <f t="shared" si="8"/>
        <v/>
      </c>
      <c r="F98" s="616" t="str">
        <f>IF($H98="","",IF(ISNA(MATCH($H98,$H$7:$H97,0)),1,0))</f>
        <v/>
      </c>
      <c r="G98" s="249"/>
      <c r="H98" s="95"/>
      <c r="I98" s="598" t="str">
        <f>IF($J98="","",INDEX(ﾏｽﾀ!$E$8:$E$124,MATCH(INDEX(ﾏｽﾀ!$N$8:$N$124,MATCH($J98,ﾏｽﾀ!$O$8:$O$124,0)),ﾏｽﾀ!$B$8:$B$124,0))&amp;"")</f>
        <v/>
      </c>
      <c r="J98" s="534"/>
      <c r="K98" s="598" t="str">
        <f>IF($J98="","",INDEX(ﾏｽﾀ!$G$8:$G$124,MATCH(INDEX(ﾏｽﾀ!$N$8:$N$124,MATCH($J98,ﾏｽﾀ!$O$8:$O$124,0)),ﾏｽﾀ!$B$8:$B$124,0))&amp;"")</f>
        <v/>
      </c>
      <c r="L98" s="600" t="str">
        <f>IF($M98="","",INDEX(ﾏｽﾀ!$T$8:$T$16,MATCH($M98,ﾏｽﾀ!$U$8:$U$16,0))&amp;"")</f>
        <v/>
      </c>
      <c r="M98" s="534"/>
      <c r="N98" s="463"/>
      <c r="O98" s="464"/>
      <c r="P98" s="465"/>
      <c r="Q98" s="466" t="str">
        <f t="shared" si="9"/>
        <v/>
      </c>
      <c r="R98" s="154" t="str">
        <f>IF($T98="","",VLOOKUP($T98,請求Data!$I$11:$AR$160,請求Data!$AL$10-請求Data!$H$10,0))</f>
        <v/>
      </c>
      <c r="S98" s="155" t="str">
        <f>IF($T98="","",VLOOKUP($T98,請求Data!$I$11:$AR$160,請求Data!$AM$10-請求Data!$H$10,0))</f>
        <v/>
      </c>
      <c r="T98" s="467" t="str">
        <f>IF(ISNA(MATCH($H98,請求Data!$AH$11:$AH$160,0)),"",VLOOKUP($H98,請求Data!$AH$11:$AR$160,請求Data!$AK$10-請求Data!$AG$10,0))</f>
        <v/>
      </c>
      <c r="U98" s="468"/>
      <c r="V98" s="58"/>
    </row>
    <row r="99" spans="1:22" ht="15" customHeight="1">
      <c r="A99" s="58" t="str">
        <f>IF($Q99="","",MAX($A$8:$A98)+1)</f>
        <v/>
      </c>
      <c r="B99" s="614" t="str">
        <f t="shared" si="5"/>
        <v/>
      </c>
      <c r="C99" s="614" t="str">
        <f t="shared" si="6"/>
        <v/>
      </c>
      <c r="D99" s="614" t="str">
        <f t="shared" si="7"/>
        <v/>
      </c>
      <c r="E99" s="615" t="str">
        <f t="shared" si="8"/>
        <v/>
      </c>
      <c r="F99" s="616" t="str">
        <f>IF($H99="","",IF(ISNA(MATCH($H99,$H$7:$H98,0)),1,0))</f>
        <v/>
      </c>
      <c r="G99" s="249"/>
      <c r="H99" s="95"/>
      <c r="I99" s="598" t="str">
        <f>IF($J99="","",INDEX(ﾏｽﾀ!$E$8:$E$124,MATCH(INDEX(ﾏｽﾀ!$N$8:$N$124,MATCH($J99,ﾏｽﾀ!$O$8:$O$124,0)),ﾏｽﾀ!$B$8:$B$124,0))&amp;"")</f>
        <v/>
      </c>
      <c r="J99" s="534"/>
      <c r="K99" s="598" t="str">
        <f>IF($J99="","",INDEX(ﾏｽﾀ!$G$8:$G$124,MATCH(INDEX(ﾏｽﾀ!$N$8:$N$124,MATCH($J99,ﾏｽﾀ!$O$8:$O$124,0)),ﾏｽﾀ!$B$8:$B$124,0))&amp;"")</f>
        <v/>
      </c>
      <c r="L99" s="600" t="str">
        <f>IF($M99="","",INDEX(ﾏｽﾀ!$T$8:$T$16,MATCH($M99,ﾏｽﾀ!$U$8:$U$16,0))&amp;"")</f>
        <v/>
      </c>
      <c r="M99" s="534"/>
      <c r="N99" s="463"/>
      <c r="O99" s="464"/>
      <c r="P99" s="465"/>
      <c r="Q99" s="466" t="str">
        <f t="shared" si="9"/>
        <v/>
      </c>
      <c r="R99" s="154" t="str">
        <f>IF($T99="","",VLOOKUP($T99,請求Data!$I$11:$AR$160,請求Data!$AL$10-請求Data!$H$10,0))</f>
        <v/>
      </c>
      <c r="S99" s="155" t="str">
        <f>IF($T99="","",VLOOKUP($T99,請求Data!$I$11:$AR$160,請求Data!$AM$10-請求Data!$H$10,0))</f>
        <v/>
      </c>
      <c r="T99" s="467" t="str">
        <f>IF(ISNA(MATCH($H99,請求Data!$AH$11:$AH$160,0)),"",VLOOKUP($H99,請求Data!$AH$11:$AR$160,請求Data!$AK$10-請求Data!$AG$10,0))</f>
        <v/>
      </c>
      <c r="U99" s="468"/>
      <c r="V99" s="58"/>
    </row>
    <row r="100" spans="1:22" ht="15" customHeight="1">
      <c r="A100" s="58" t="str">
        <f>IF($Q100="","",MAX($A$8:$A99)+1)</f>
        <v/>
      </c>
      <c r="B100" s="614" t="str">
        <f t="shared" si="5"/>
        <v/>
      </c>
      <c r="C100" s="614" t="str">
        <f t="shared" si="6"/>
        <v/>
      </c>
      <c r="D100" s="614" t="str">
        <f t="shared" si="7"/>
        <v/>
      </c>
      <c r="E100" s="615" t="str">
        <f t="shared" si="8"/>
        <v/>
      </c>
      <c r="F100" s="616" t="str">
        <f>IF($H100="","",IF(ISNA(MATCH($H100,$H$7:$H99,0)),1,0))</f>
        <v/>
      </c>
      <c r="G100" s="249"/>
      <c r="H100" s="95"/>
      <c r="I100" s="598" t="str">
        <f>IF($J100="","",INDEX(ﾏｽﾀ!$E$8:$E$124,MATCH(INDEX(ﾏｽﾀ!$N$8:$N$124,MATCH($J100,ﾏｽﾀ!$O$8:$O$124,0)),ﾏｽﾀ!$B$8:$B$124,0))&amp;"")</f>
        <v/>
      </c>
      <c r="J100" s="534"/>
      <c r="K100" s="598" t="str">
        <f>IF($J100="","",INDEX(ﾏｽﾀ!$G$8:$G$124,MATCH(INDEX(ﾏｽﾀ!$N$8:$N$124,MATCH($J100,ﾏｽﾀ!$O$8:$O$124,0)),ﾏｽﾀ!$B$8:$B$124,0))&amp;"")</f>
        <v/>
      </c>
      <c r="L100" s="600" t="str">
        <f>IF($M100="","",INDEX(ﾏｽﾀ!$T$8:$T$16,MATCH($M100,ﾏｽﾀ!$U$8:$U$16,0))&amp;"")</f>
        <v/>
      </c>
      <c r="M100" s="534"/>
      <c r="N100" s="463"/>
      <c r="O100" s="464"/>
      <c r="P100" s="465"/>
      <c r="Q100" s="466" t="str">
        <f t="shared" si="9"/>
        <v/>
      </c>
      <c r="R100" s="154" t="str">
        <f>IF($T100="","",VLOOKUP($T100,請求Data!$I$11:$AR$160,請求Data!$AL$10-請求Data!$H$10,0))</f>
        <v/>
      </c>
      <c r="S100" s="155" t="str">
        <f>IF($T100="","",VLOOKUP($T100,請求Data!$I$11:$AR$160,請求Data!$AM$10-請求Data!$H$10,0))</f>
        <v/>
      </c>
      <c r="T100" s="467" t="str">
        <f>IF(ISNA(MATCH($H100,請求Data!$AH$11:$AH$160,0)),"",VLOOKUP($H100,請求Data!$AH$11:$AR$160,請求Data!$AK$10-請求Data!$AG$10,0))</f>
        <v/>
      </c>
      <c r="U100" s="468"/>
      <c r="V100" s="58"/>
    </row>
    <row r="101" spans="1:22" ht="15" customHeight="1">
      <c r="A101" s="58" t="str">
        <f>IF($Q101="","",MAX($A$8:$A100)+1)</f>
        <v/>
      </c>
      <c r="B101" s="614" t="str">
        <f t="shared" si="5"/>
        <v/>
      </c>
      <c r="C101" s="614" t="str">
        <f t="shared" si="6"/>
        <v/>
      </c>
      <c r="D101" s="614" t="str">
        <f t="shared" si="7"/>
        <v/>
      </c>
      <c r="E101" s="615" t="str">
        <f t="shared" si="8"/>
        <v/>
      </c>
      <c r="F101" s="616" t="str">
        <f>IF($H101="","",IF(ISNA(MATCH($H101,$H$7:$H100,0)),1,0))</f>
        <v/>
      </c>
      <c r="G101" s="249"/>
      <c r="H101" s="95"/>
      <c r="I101" s="598" t="str">
        <f>IF($J101="","",INDEX(ﾏｽﾀ!$E$8:$E$124,MATCH(INDEX(ﾏｽﾀ!$N$8:$N$124,MATCH($J101,ﾏｽﾀ!$O$8:$O$124,0)),ﾏｽﾀ!$B$8:$B$124,0))&amp;"")</f>
        <v/>
      </c>
      <c r="J101" s="534"/>
      <c r="K101" s="598" t="str">
        <f>IF($J101="","",INDEX(ﾏｽﾀ!$G$8:$G$124,MATCH(INDEX(ﾏｽﾀ!$N$8:$N$124,MATCH($J101,ﾏｽﾀ!$O$8:$O$124,0)),ﾏｽﾀ!$B$8:$B$124,0))&amp;"")</f>
        <v/>
      </c>
      <c r="L101" s="600" t="str">
        <f>IF($M101="","",INDEX(ﾏｽﾀ!$T$8:$T$16,MATCH($M101,ﾏｽﾀ!$U$8:$U$16,0))&amp;"")</f>
        <v/>
      </c>
      <c r="M101" s="534"/>
      <c r="N101" s="463"/>
      <c r="O101" s="464"/>
      <c r="P101" s="465"/>
      <c r="Q101" s="466" t="str">
        <f t="shared" si="9"/>
        <v/>
      </c>
      <c r="R101" s="154" t="str">
        <f>IF($T101="","",VLOOKUP($T101,請求Data!$I$11:$AR$160,請求Data!$AL$10-請求Data!$H$10,0))</f>
        <v/>
      </c>
      <c r="S101" s="155" t="str">
        <f>IF($T101="","",VLOOKUP($T101,請求Data!$I$11:$AR$160,請求Data!$AM$10-請求Data!$H$10,0))</f>
        <v/>
      </c>
      <c r="T101" s="467" t="str">
        <f>IF(ISNA(MATCH($H101,請求Data!$AH$11:$AH$160,0)),"",VLOOKUP($H101,請求Data!$AH$11:$AR$160,請求Data!$AK$10-請求Data!$AG$10,0))</f>
        <v/>
      </c>
      <c r="U101" s="468"/>
      <c r="V101" s="58"/>
    </row>
    <row r="102" spans="1:22" ht="15" customHeight="1">
      <c r="A102" s="58" t="str">
        <f>IF($Q102="","",MAX($A$8:$A101)+1)</f>
        <v/>
      </c>
      <c r="B102" s="614" t="str">
        <f t="shared" si="5"/>
        <v/>
      </c>
      <c r="C102" s="614" t="str">
        <f t="shared" si="6"/>
        <v/>
      </c>
      <c r="D102" s="614" t="str">
        <f t="shared" si="7"/>
        <v/>
      </c>
      <c r="E102" s="615" t="str">
        <f t="shared" si="8"/>
        <v/>
      </c>
      <c r="F102" s="616" t="str">
        <f>IF($H102="","",IF(ISNA(MATCH($H102,$H$7:$H101,0)),1,0))</f>
        <v/>
      </c>
      <c r="G102" s="249"/>
      <c r="H102" s="95"/>
      <c r="I102" s="598" t="str">
        <f>IF($J102="","",INDEX(ﾏｽﾀ!$E$8:$E$124,MATCH(INDEX(ﾏｽﾀ!$N$8:$N$124,MATCH($J102,ﾏｽﾀ!$O$8:$O$124,0)),ﾏｽﾀ!$B$8:$B$124,0))&amp;"")</f>
        <v/>
      </c>
      <c r="J102" s="534"/>
      <c r="K102" s="598" t="str">
        <f>IF($J102="","",INDEX(ﾏｽﾀ!$G$8:$G$124,MATCH(INDEX(ﾏｽﾀ!$N$8:$N$124,MATCH($J102,ﾏｽﾀ!$O$8:$O$124,0)),ﾏｽﾀ!$B$8:$B$124,0))&amp;"")</f>
        <v/>
      </c>
      <c r="L102" s="600" t="str">
        <f>IF($M102="","",INDEX(ﾏｽﾀ!$T$8:$T$16,MATCH($M102,ﾏｽﾀ!$U$8:$U$16,0))&amp;"")</f>
        <v/>
      </c>
      <c r="M102" s="534"/>
      <c r="N102" s="463"/>
      <c r="O102" s="464"/>
      <c r="P102" s="465"/>
      <c r="Q102" s="466" t="str">
        <f t="shared" si="9"/>
        <v/>
      </c>
      <c r="R102" s="154" t="str">
        <f>IF($T102="","",VLOOKUP($T102,請求Data!$I$11:$AR$160,請求Data!$AL$10-請求Data!$H$10,0))</f>
        <v/>
      </c>
      <c r="S102" s="155" t="str">
        <f>IF($T102="","",VLOOKUP($T102,請求Data!$I$11:$AR$160,請求Data!$AM$10-請求Data!$H$10,0))</f>
        <v/>
      </c>
      <c r="T102" s="467" t="str">
        <f>IF(ISNA(MATCH($H102,請求Data!$AH$11:$AH$160,0)),"",VLOOKUP($H102,請求Data!$AH$11:$AR$160,請求Data!$AK$10-請求Data!$AG$10,0))</f>
        <v/>
      </c>
      <c r="U102" s="468"/>
      <c r="V102" s="58"/>
    </row>
    <row r="103" spans="1:22" ht="15" customHeight="1">
      <c r="A103" s="58" t="str">
        <f>IF($Q103="","",MAX($A$8:$A102)+1)</f>
        <v/>
      </c>
      <c r="B103" s="614" t="str">
        <f t="shared" si="5"/>
        <v/>
      </c>
      <c r="C103" s="614" t="str">
        <f t="shared" si="6"/>
        <v/>
      </c>
      <c r="D103" s="614" t="str">
        <f t="shared" si="7"/>
        <v/>
      </c>
      <c r="E103" s="615" t="str">
        <f t="shared" si="8"/>
        <v/>
      </c>
      <c r="F103" s="616" t="str">
        <f>IF($H103="","",IF(ISNA(MATCH($H103,$H$7:$H102,0)),1,0))</f>
        <v/>
      </c>
      <c r="G103" s="249"/>
      <c r="H103" s="95"/>
      <c r="I103" s="598" t="str">
        <f>IF($J103="","",INDEX(ﾏｽﾀ!$E$8:$E$124,MATCH(INDEX(ﾏｽﾀ!$N$8:$N$124,MATCH($J103,ﾏｽﾀ!$O$8:$O$124,0)),ﾏｽﾀ!$B$8:$B$124,0))&amp;"")</f>
        <v/>
      </c>
      <c r="J103" s="534"/>
      <c r="K103" s="598" t="str">
        <f>IF($J103="","",INDEX(ﾏｽﾀ!$G$8:$G$124,MATCH(INDEX(ﾏｽﾀ!$N$8:$N$124,MATCH($J103,ﾏｽﾀ!$O$8:$O$124,0)),ﾏｽﾀ!$B$8:$B$124,0))&amp;"")</f>
        <v/>
      </c>
      <c r="L103" s="600" t="str">
        <f>IF($M103="","",INDEX(ﾏｽﾀ!$T$8:$T$16,MATCH($M103,ﾏｽﾀ!$U$8:$U$16,0))&amp;"")</f>
        <v/>
      </c>
      <c r="M103" s="534"/>
      <c r="N103" s="463"/>
      <c r="O103" s="464"/>
      <c r="P103" s="465"/>
      <c r="Q103" s="466" t="str">
        <f t="shared" si="9"/>
        <v/>
      </c>
      <c r="R103" s="154" t="str">
        <f>IF($T103="","",VLOOKUP($T103,請求Data!$I$11:$AR$160,請求Data!$AL$10-請求Data!$H$10,0))</f>
        <v/>
      </c>
      <c r="S103" s="155" t="str">
        <f>IF($T103="","",VLOOKUP($T103,請求Data!$I$11:$AR$160,請求Data!$AM$10-請求Data!$H$10,0))</f>
        <v/>
      </c>
      <c r="T103" s="467" t="str">
        <f>IF(ISNA(MATCH($H103,請求Data!$AH$11:$AH$160,0)),"",VLOOKUP($H103,請求Data!$AH$11:$AR$160,請求Data!$AK$10-請求Data!$AG$10,0))</f>
        <v/>
      </c>
      <c r="U103" s="468"/>
      <c r="V103" s="58"/>
    </row>
    <row r="104" spans="1:22" ht="15" customHeight="1">
      <c r="A104" s="58" t="str">
        <f>IF($Q104="","",MAX($A$8:$A103)+1)</f>
        <v/>
      </c>
      <c r="B104" s="614" t="str">
        <f t="shared" si="5"/>
        <v/>
      </c>
      <c r="C104" s="614" t="str">
        <f t="shared" si="6"/>
        <v/>
      </c>
      <c r="D104" s="614" t="str">
        <f t="shared" si="7"/>
        <v/>
      </c>
      <c r="E104" s="615" t="str">
        <f t="shared" si="8"/>
        <v/>
      </c>
      <c r="F104" s="616" t="str">
        <f>IF($H104="","",IF(ISNA(MATCH($H104,$H$7:$H103,0)),1,0))</f>
        <v/>
      </c>
      <c r="G104" s="249"/>
      <c r="H104" s="95"/>
      <c r="I104" s="598" t="str">
        <f>IF($J104="","",INDEX(ﾏｽﾀ!$E$8:$E$124,MATCH(INDEX(ﾏｽﾀ!$N$8:$N$124,MATCH($J104,ﾏｽﾀ!$O$8:$O$124,0)),ﾏｽﾀ!$B$8:$B$124,0))&amp;"")</f>
        <v/>
      </c>
      <c r="J104" s="534"/>
      <c r="K104" s="598" t="str">
        <f>IF($J104="","",INDEX(ﾏｽﾀ!$G$8:$G$124,MATCH(INDEX(ﾏｽﾀ!$N$8:$N$124,MATCH($J104,ﾏｽﾀ!$O$8:$O$124,0)),ﾏｽﾀ!$B$8:$B$124,0))&amp;"")</f>
        <v/>
      </c>
      <c r="L104" s="600" t="str">
        <f>IF($M104="","",INDEX(ﾏｽﾀ!$T$8:$T$16,MATCH($M104,ﾏｽﾀ!$U$8:$U$16,0))&amp;"")</f>
        <v/>
      </c>
      <c r="M104" s="534"/>
      <c r="N104" s="463"/>
      <c r="O104" s="464"/>
      <c r="P104" s="465"/>
      <c r="Q104" s="466" t="str">
        <f t="shared" si="9"/>
        <v/>
      </c>
      <c r="R104" s="154" t="str">
        <f>IF($T104="","",VLOOKUP($T104,請求Data!$I$11:$AR$160,請求Data!$AL$10-請求Data!$H$10,0))</f>
        <v/>
      </c>
      <c r="S104" s="155" t="str">
        <f>IF($T104="","",VLOOKUP($T104,請求Data!$I$11:$AR$160,請求Data!$AM$10-請求Data!$H$10,0))</f>
        <v/>
      </c>
      <c r="T104" s="467" t="str">
        <f>IF(ISNA(MATCH($H104,請求Data!$AH$11:$AH$160,0)),"",VLOOKUP($H104,請求Data!$AH$11:$AR$160,請求Data!$AK$10-請求Data!$AG$10,0))</f>
        <v/>
      </c>
      <c r="U104" s="468"/>
      <c r="V104" s="58"/>
    </row>
    <row r="105" spans="1:22" ht="15" customHeight="1">
      <c r="A105" s="58" t="str">
        <f>IF($Q105="","",MAX($A$8:$A104)+1)</f>
        <v/>
      </c>
      <c r="B105" s="614" t="str">
        <f t="shared" si="5"/>
        <v/>
      </c>
      <c r="C105" s="614" t="str">
        <f t="shared" si="6"/>
        <v/>
      </c>
      <c r="D105" s="614" t="str">
        <f t="shared" si="7"/>
        <v/>
      </c>
      <c r="E105" s="615" t="str">
        <f t="shared" si="8"/>
        <v/>
      </c>
      <c r="F105" s="616" t="str">
        <f>IF($H105="","",IF(ISNA(MATCH($H105,$H$7:$H104,0)),1,0))</f>
        <v/>
      </c>
      <c r="G105" s="249"/>
      <c r="H105" s="95"/>
      <c r="I105" s="598" t="str">
        <f>IF($J105="","",INDEX(ﾏｽﾀ!$E$8:$E$124,MATCH(INDEX(ﾏｽﾀ!$N$8:$N$124,MATCH($J105,ﾏｽﾀ!$O$8:$O$124,0)),ﾏｽﾀ!$B$8:$B$124,0))&amp;"")</f>
        <v/>
      </c>
      <c r="J105" s="534"/>
      <c r="K105" s="598" t="str">
        <f>IF($J105="","",INDEX(ﾏｽﾀ!$G$8:$G$124,MATCH(INDEX(ﾏｽﾀ!$N$8:$N$124,MATCH($J105,ﾏｽﾀ!$O$8:$O$124,0)),ﾏｽﾀ!$B$8:$B$124,0))&amp;"")</f>
        <v/>
      </c>
      <c r="L105" s="600" t="str">
        <f>IF($M105="","",INDEX(ﾏｽﾀ!$T$8:$T$16,MATCH($M105,ﾏｽﾀ!$U$8:$U$16,0))&amp;"")</f>
        <v/>
      </c>
      <c r="M105" s="534"/>
      <c r="N105" s="463"/>
      <c r="O105" s="464"/>
      <c r="P105" s="465"/>
      <c r="Q105" s="466" t="str">
        <f t="shared" si="9"/>
        <v/>
      </c>
      <c r="R105" s="154" t="str">
        <f>IF($T105="","",VLOOKUP($T105,請求Data!$I$11:$AR$160,請求Data!$AL$10-請求Data!$H$10,0))</f>
        <v/>
      </c>
      <c r="S105" s="155" t="str">
        <f>IF($T105="","",VLOOKUP($T105,請求Data!$I$11:$AR$160,請求Data!$AM$10-請求Data!$H$10,0))</f>
        <v/>
      </c>
      <c r="T105" s="467" t="str">
        <f>IF(ISNA(MATCH($H105,請求Data!$AH$11:$AH$160,0)),"",VLOOKUP($H105,請求Data!$AH$11:$AR$160,請求Data!$AK$10-請求Data!$AG$10,0))</f>
        <v/>
      </c>
      <c r="U105" s="468"/>
      <c r="V105" s="58"/>
    </row>
    <row r="106" spans="1:22" ht="15" customHeight="1">
      <c r="A106" s="58" t="str">
        <f>IF($Q106="","",MAX($A$8:$A105)+1)</f>
        <v/>
      </c>
      <c r="B106" s="614" t="str">
        <f t="shared" si="5"/>
        <v/>
      </c>
      <c r="C106" s="614" t="str">
        <f t="shared" si="6"/>
        <v/>
      </c>
      <c r="D106" s="614" t="str">
        <f t="shared" si="7"/>
        <v/>
      </c>
      <c r="E106" s="615" t="str">
        <f t="shared" si="8"/>
        <v/>
      </c>
      <c r="F106" s="616" t="str">
        <f>IF($H106="","",IF(ISNA(MATCH($H106,$H$7:$H105,0)),1,0))</f>
        <v/>
      </c>
      <c r="G106" s="249"/>
      <c r="H106" s="95"/>
      <c r="I106" s="598" t="str">
        <f>IF($J106="","",INDEX(ﾏｽﾀ!$E$8:$E$124,MATCH(INDEX(ﾏｽﾀ!$N$8:$N$124,MATCH($J106,ﾏｽﾀ!$O$8:$O$124,0)),ﾏｽﾀ!$B$8:$B$124,0))&amp;"")</f>
        <v/>
      </c>
      <c r="J106" s="534"/>
      <c r="K106" s="598" t="str">
        <f>IF($J106="","",INDEX(ﾏｽﾀ!$G$8:$G$124,MATCH(INDEX(ﾏｽﾀ!$N$8:$N$124,MATCH($J106,ﾏｽﾀ!$O$8:$O$124,0)),ﾏｽﾀ!$B$8:$B$124,0))&amp;"")</f>
        <v/>
      </c>
      <c r="L106" s="600" t="str">
        <f>IF($M106="","",INDEX(ﾏｽﾀ!$T$8:$T$16,MATCH($M106,ﾏｽﾀ!$U$8:$U$16,0))&amp;"")</f>
        <v/>
      </c>
      <c r="M106" s="534"/>
      <c r="N106" s="463"/>
      <c r="O106" s="464"/>
      <c r="P106" s="465"/>
      <c r="Q106" s="466" t="str">
        <f t="shared" si="9"/>
        <v/>
      </c>
      <c r="R106" s="154" t="str">
        <f>IF($T106="","",VLOOKUP($T106,請求Data!$I$11:$AR$160,請求Data!$AL$10-請求Data!$H$10,0))</f>
        <v/>
      </c>
      <c r="S106" s="155" t="str">
        <f>IF($T106="","",VLOOKUP($T106,請求Data!$I$11:$AR$160,請求Data!$AM$10-請求Data!$H$10,0))</f>
        <v/>
      </c>
      <c r="T106" s="467" t="str">
        <f>IF(ISNA(MATCH($H106,請求Data!$AH$11:$AH$160,0)),"",VLOOKUP($H106,請求Data!$AH$11:$AR$160,請求Data!$AK$10-請求Data!$AG$10,0))</f>
        <v/>
      </c>
      <c r="U106" s="468"/>
      <c r="V106" s="58"/>
    </row>
    <row r="107" spans="1:22" ht="15" customHeight="1">
      <c r="A107" s="58" t="str">
        <f>IF($Q107="","",MAX($A$8:$A106)+1)</f>
        <v/>
      </c>
      <c r="B107" s="614" t="str">
        <f t="shared" si="5"/>
        <v/>
      </c>
      <c r="C107" s="614" t="str">
        <f t="shared" si="6"/>
        <v/>
      </c>
      <c r="D107" s="614" t="str">
        <f t="shared" si="7"/>
        <v/>
      </c>
      <c r="E107" s="615" t="str">
        <f t="shared" si="8"/>
        <v/>
      </c>
      <c r="F107" s="616" t="str">
        <f>IF($H107="","",IF(ISNA(MATCH($H107,$H$7:$H106,0)),1,0))</f>
        <v/>
      </c>
      <c r="G107" s="249"/>
      <c r="H107" s="95"/>
      <c r="I107" s="598" t="str">
        <f>IF($J107="","",INDEX(ﾏｽﾀ!$E$8:$E$124,MATCH(INDEX(ﾏｽﾀ!$N$8:$N$124,MATCH($J107,ﾏｽﾀ!$O$8:$O$124,0)),ﾏｽﾀ!$B$8:$B$124,0))&amp;"")</f>
        <v/>
      </c>
      <c r="J107" s="534"/>
      <c r="K107" s="598" t="str">
        <f>IF($J107="","",INDEX(ﾏｽﾀ!$G$8:$G$124,MATCH(INDEX(ﾏｽﾀ!$N$8:$N$124,MATCH($J107,ﾏｽﾀ!$O$8:$O$124,0)),ﾏｽﾀ!$B$8:$B$124,0))&amp;"")</f>
        <v/>
      </c>
      <c r="L107" s="600" t="str">
        <f>IF($M107="","",INDEX(ﾏｽﾀ!$T$8:$T$16,MATCH($M107,ﾏｽﾀ!$U$8:$U$16,0))&amp;"")</f>
        <v/>
      </c>
      <c r="M107" s="534"/>
      <c r="N107" s="463"/>
      <c r="O107" s="464"/>
      <c r="P107" s="465"/>
      <c r="Q107" s="466" t="str">
        <f t="shared" si="9"/>
        <v/>
      </c>
      <c r="R107" s="154" t="str">
        <f>IF($T107="","",VLOOKUP($T107,請求Data!$I$11:$AR$160,請求Data!$AL$10-請求Data!$H$10,0))</f>
        <v/>
      </c>
      <c r="S107" s="155" t="str">
        <f>IF($T107="","",VLOOKUP($T107,請求Data!$I$11:$AR$160,請求Data!$AM$10-請求Data!$H$10,0))</f>
        <v/>
      </c>
      <c r="T107" s="467" t="str">
        <f>IF(ISNA(MATCH($H107,請求Data!$AH$11:$AH$160,0)),"",VLOOKUP($H107,請求Data!$AH$11:$AR$160,請求Data!$AK$10-請求Data!$AG$10,0))</f>
        <v/>
      </c>
      <c r="U107" s="468"/>
      <c r="V107" s="58"/>
    </row>
    <row r="108" spans="1:22" ht="15" customHeight="1">
      <c r="A108" s="58" t="str">
        <f>IF($Q108="","",MAX($A$8:$A107)+1)</f>
        <v/>
      </c>
      <c r="B108" s="614" t="str">
        <f t="shared" si="5"/>
        <v/>
      </c>
      <c r="C108" s="614" t="str">
        <f t="shared" si="6"/>
        <v/>
      </c>
      <c r="D108" s="614" t="str">
        <f t="shared" si="7"/>
        <v/>
      </c>
      <c r="E108" s="615" t="str">
        <f t="shared" si="8"/>
        <v/>
      </c>
      <c r="F108" s="616" t="str">
        <f>IF($H108="","",IF(ISNA(MATCH($H108,$H$7:$H107,0)),1,0))</f>
        <v/>
      </c>
      <c r="G108" s="249"/>
      <c r="H108" s="95"/>
      <c r="I108" s="598" t="str">
        <f>IF($J108="","",INDEX(ﾏｽﾀ!$E$8:$E$124,MATCH(INDEX(ﾏｽﾀ!$N$8:$N$124,MATCH($J108,ﾏｽﾀ!$O$8:$O$124,0)),ﾏｽﾀ!$B$8:$B$124,0))&amp;"")</f>
        <v/>
      </c>
      <c r="J108" s="534"/>
      <c r="K108" s="598" t="str">
        <f>IF($J108="","",INDEX(ﾏｽﾀ!$G$8:$G$124,MATCH(INDEX(ﾏｽﾀ!$N$8:$N$124,MATCH($J108,ﾏｽﾀ!$O$8:$O$124,0)),ﾏｽﾀ!$B$8:$B$124,0))&amp;"")</f>
        <v/>
      </c>
      <c r="L108" s="600" t="str">
        <f>IF($M108="","",INDEX(ﾏｽﾀ!$T$8:$T$16,MATCH($M108,ﾏｽﾀ!$U$8:$U$16,0))&amp;"")</f>
        <v/>
      </c>
      <c r="M108" s="534"/>
      <c r="N108" s="463"/>
      <c r="O108" s="464"/>
      <c r="P108" s="465"/>
      <c r="Q108" s="466" t="str">
        <f t="shared" si="9"/>
        <v/>
      </c>
      <c r="R108" s="154" t="str">
        <f>IF($T108="","",VLOOKUP($T108,請求Data!$I$11:$AR$160,請求Data!$AL$10-請求Data!$H$10,0))</f>
        <v/>
      </c>
      <c r="S108" s="155" t="str">
        <f>IF($T108="","",VLOOKUP($T108,請求Data!$I$11:$AR$160,請求Data!$AM$10-請求Data!$H$10,0))</f>
        <v/>
      </c>
      <c r="T108" s="467" t="str">
        <f>IF(ISNA(MATCH($H108,請求Data!$AH$11:$AH$160,0)),"",VLOOKUP($H108,請求Data!$AH$11:$AR$160,請求Data!$AK$10-請求Data!$AG$10,0))</f>
        <v/>
      </c>
      <c r="U108" s="468"/>
      <c r="V108" s="58"/>
    </row>
    <row r="109" spans="1:22" ht="15" customHeight="1">
      <c r="A109" s="58" t="str">
        <f>IF($Q109="","",MAX($A$8:$A108)+1)</f>
        <v/>
      </c>
      <c r="B109" s="614" t="str">
        <f t="shared" si="5"/>
        <v/>
      </c>
      <c r="C109" s="614" t="str">
        <f t="shared" si="6"/>
        <v/>
      </c>
      <c r="D109" s="614" t="str">
        <f t="shared" si="7"/>
        <v/>
      </c>
      <c r="E109" s="615" t="str">
        <f t="shared" si="8"/>
        <v/>
      </c>
      <c r="F109" s="616" t="str">
        <f>IF($H109="","",IF(ISNA(MATCH($H109,$H$7:$H108,0)),1,0))</f>
        <v/>
      </c>
      <c r="G109" s="249"/>
      <c r="H109" s="95"/>
      <c r="I109" s="598" t="str">
        <f>IF($J109="","",INDEX(ﾏｽﾀ!$E$8:$E$124,MATCH(INDEX(ﾏｽﾀ!$N$8:$N$124,MATCH($J109,ﾏｽﾀ!$O$8:$O$124,0)),ﾏｽﾀ!$B$8:$B$124,0))&amp;"")</f>
        <v/>
      </c>
      <c r="J109" s="534"/>
      <c r="K109" s="598" t="str">
        <f>IF($J109="","",INDEX(ﾏｽﾀ!$G$8:$G$124,MATCH(INDEX(ﾏｽﾀ!$N$8:$N$124,MATCH($J109,ﾏｽﾀ!$O$8:$O$124,0)),ﾏｽﾀ!$B$8:$B$124,0))&amp;"")</f>
        <v/>
      </c>
      <c r="L109" s="600" t="str">
        <f>IF($M109="","",INDEX(ﾏｽﾀ!$T$8:$T$16,MATCH($M109,ﾏｽﾀ!$U$8:$U$16,0))&amp;"")</f>
        <v/>
      </c>
      <c r="M109" s="534"/>
      <c r="N109" s="463"/>
      <c r="O109" s="464"/>
      <c r="P109" s="465"/>
      <c r="Q109" s="466" t="str">
        <f t="shared" si="9"/>
        <v/>
      </c>
      <c r="R109" s="154" t="str">
        <f>IF($T109="","",VLOOKUP($T109,請求Data!$I$11:$AR$160,請求Data!$AL$10-請求Data!$H$10,0))</f>
        <v/>
      </c>
      <c r="S109" s="155" t="str">
        <f>IF($T109="","",VLOOKUP($T109,請求Data!$I$11:$AR$160,請求Data!$AM$10-請求Data!$H$10,0))</f>
        <v/>
      </c>
      <c r="T109" s="467" t="str">
        <f>IF(ISNA(MATCH($H109,請求Data!$AH$11:$AH$160,0)),"",VLOOKUP($H109,請求Data!$AH$11:$AR$160,請求Data!$AK$10-請求Data!$AG$10,0))</f>
        <v/>
      </c>
      <c r="U109" s="468"/>
      <c r="V109" s="58"/>
    </row>
    <row r="110" spans="1:22" ht="15" customHeight="1">
      <c r="A110" s="58" t="str">
        <f>IF($Q110="","",MAX($A$8:$A109)+1)</f>
        <v/>
      </c>
      <c r="B110" s="614" t="str">
        <f t="shared" si="5"/>
        <v/>
      </c>
      <c r="C110" s="614" t="str">
        <f t="shared" si="6"/>
        <v/>
      </c>
      <c r="D110" s="614" t="str">
        <f t="shared" si="7"/>
        <v/>
      </c>
      <c r="E110" s="615" t="str">
        <f t="shared" si="8"/>
        <v/>
      </c>
      <c r="F110" s="616" t="str">
        <f>IF($H110="","",IF(ISNA(MATCH($H110,$H$7:$H109,0)),1,0))</f>
        <v/>
      </c>
      <c r="G110" s="249"/>
      <c r="H110" s="95"/>
      <c r="I110" s="598" t="str">
        <f>IF($J110="","",INDEX(ﾏｽﾀ!$E$8:$E$124,MATCH(INDEX(ﾏｽﾀ!$N$8:$N$124,MATCH($J110,ﾏｽﾀ!$O$8:$O$124,0)),ﾏｽﾀ!$B$8:$B$124,0))&amp;"")</f>
        <v/>
      </c>
      <c r="J110" s="534"/>
      <c r="K110" s="598" t="str">
        <f>IF($J110="","",INDEX(ﾏｽﾀ!$G$8:$G$124,MATCH(INDEX(ﾏｽﾀ!$N$8:$N$124,MATCH($J110,ﾏｽﾀ!$O$8:$O$124,0)),ﾏｽﾀ!$B$8:$B$124,0))&amp;"")</f>
        <v/>
      </c>
      <c r="L110" s="600" t="str">
        <f>IF($M110="","",INDEX(ﾏｽﾀ!$T$8:$T$16,MATCH($M110,ﾏｽﾀ!$U$8:$U$16,0))&amp;"")</f>
        <v/>
      </c>
      <c r="M110" s="534"/>
      <c r="N110" s="463"/>
      <c r="O110" s="464"/>
      <c r="P110" s="465"/>
      <c r="Q110" s="466" t="str">
        <f t="shared" si="9"/>
        <v/>
      </c>
      <c r="R110" s="154" t="str">
        <f>IF($T110="","",VLOOKUP($T110,請求Data!$I$11:$AR$160,請求Data!$AL$10-請求Data!$H$10,0))</f>
        <v/>
      </c>
      <c r="S110" s="155" t="str">
        <f>IF($T110="","",VLOOKUP($T110,請求Data!$I$11:$AR$160,請求Data!$AM$10-請求Data!$H$10,0))</f>
        <v/>
      </c>
      <c r="T110" s="467" t="str">
        <f>IF(ISNA(MATCH($H110,請求Data!$AH$11:$AH$160,0)),"",VLOOKUP($H110,請求Data!$AH$11:$AR$160,請求Data!$AK$10-請求Data!$AG$10,0))</f>
        <v/>
      </c>
      <c r="U110" s="468"/>
      <c r="V110" s="58"/>
    </row>
    <row r="111" spans="1:22" ht="15" customHeight="1">
      <c r="A111" s="58" t="str">
        <f>IF($Q111="","",MAX($A$8:$A110)+1)</f>
        <v/>
      </c>
      <c r="B111" s="614" t="str">
        <f t="shared" si="5"/>
        <v/>
      </c>
      <c r="C111" s="614" t="str">
        <f t="shared" si="6"/>
        <v/>
      </c>
      <c r="D111" s="614" t="str">
        <f t="shared" si="7"/>
        <v/>
      </c>
      <c r="E111" s="615" t="str">
        <f t="shared" si="8"/>
        <v/>
      </c>
      <c r="F111" s="616" t="str">
        <f>IF($H111="","",IF(ISNA(MATCH($H111,$H$7:$H110,0)),1,0))</f>
        <v/>
      </c>
      <c r="G111" s="249"/>
      <c r="H111" s="95"/>
      <c r="I111" s="598" t="str">
        <f>IF($J111="","",INDEX(ﾏｽﾀ!$E$8:$E$124,MATCH(INDEX(ﾏｽﾀ!$N$8:$N$124,MATCH($J111,ﾏｽﾀ!$O$8:$O$124,0)),ﾏｽﾀ!$B$8:$B$124,0))&amp;"")</f>
        <v/>
      </c>
      <c r="J111" s="534"/>
      <c r="K111" s="598" t="str">
        <f>IF($J111="","",INDEX(ﾏｽﾀ!$G$8:$G$124,MATCH(INDEX(ﾏｽﾀ!$N$8:$N$124,MATCH($J111,ﾏｽﾀ!$O$8:$O$124,0)),ﾏｽﾀ!$B$8:$B$124,0))&amp;"")</f>
        <v/>
      </c>
      <c r="L111" s="600" t="str">
        <f>IF($M111="","",INDEX(ﾏｽﾀ!$T$8:$T$16,MATCH($M111,ﾏｽﾀ!$U$8:$U$16,0))&amp;"")</f>
        <v/>
      </c>
      <c r="M111" s="534"/>
      <c r="N111" s="463"/>
      <c r="O111" s="464"/>
      <c r="P111" s="465"/>
      <c r="Q111" s="466" t="str">
        <f t="shared" si="9"/>
        <v/>
      </c>
      <c r="R111" s="154" t="str">
        <f>IF($T111="","",VLOOKUP($T111,請求Data!$I$11:$AR$160,請求Data!$AL$10-請求Data!$H$10,0))</f>
        <v/>
      </c>
      <c r="S111" s="155" t="str">
        <f>IF($T111="","",VLOOKUP($T111,請求Data!$I$11:$AR$160,請求Data!$AM$10-請求Data!$H$10,0))</f>
        <v/>
      </c>
      <c r="T111" s="467" t="str">
        <f>IF(ISNA(MATCH($H111,請求Data!$AH$11:$AH$160,0)),"",VLOOKUP($H111,請求Data!$AH$11:$AR$160,請求Data!$AK$10-請求Data!$AG$10,0))</f>
        <v/>
      </c>
      <c r="U111" s="468"/>
      <c r="V111" s="58"/>
    </row>
    <row r="112" spans="1:22" ht="15" customHeight="1">
      <c r="A112" s="58" t="str">
        <f>IF($Q112="","",MAX($A$8:$A111)+1)</f>
        <v/>
      </c>
      <c r="B112" s="614" t="str">
        <f t="shared" si="5"/>
        <v/>
      </c>
      <c r="C112" s="614" t="str">
        <f t="shared" si="6"/>
        <v/>
      </c>
      <c r="D112" s="614" t="str">
        <f t="shared" si="7"/>
        <v/>
      </c>
      <c r="E112" s="615" t="str">
        <f t="shared" si="8"/>
        <v/>
      </c>
      <c r="F112" s="616" t="str">
        <f>IF($H112="","",IF(ISNA(MATCH($H112,$H$7:$H111,0)),1,0))</f>
        <v/>
      </c>
      <c r="G112" s="249"/>
      <c r="H112" s="95"/>
      <c r="I112" s="598" t="str">
        <f>IF($J112="","",INDEX(ﾏｽﾀ!$E$8:$E$124,MATCH(INDEX(ﾏｽﾀ!$N$8:$N$124,MATCH($J112,ﾏｽﾀ!$O$8:$O$124,0)),ﾏｽﾀ!$B$8:$B$124,0))&amp;"")</f>
        <v/>
      </c>
      <c r="J112" s="534"/>
      <c r="K112" s="598" t="str">
        <f>IF($J112="","",INDEX(ﾏｽﾀ!$G$8:$G$124,MATCH(INDEX(ﾏｽﾀ!$N$8:$N$124,MATCH($J112,ﾏｽﾀ!$O$8:$O$124,0)),ﾏｽﾀ!$B$8:$B$124,0))&amp;"")</f>
        <v/>
      </c>
      <c r="L112" s="600" t="str">
        <f>IF($M112="","",INDEX(ﾏｽﾀ!$T$8:$T$16,MATCH($M112,ﾏｽﾀ!$U$8:$U$16,0))&amp;"")</f>
        <v/>
      </c>
      <c r="M112" s="534"/>
      <c r="N112" s="463"/>
      <c r="O112" s="464"/>
      <c r="P112" s="465"/>
      <c r="Q112" s="466" t="str">
        <f t="shared" si="9"/>
        <v/>
      </c>
      <c r="R112" s="154" t="str">
        <f>IF($T112="","",VLOOKUP($T112,請求Data!$I$11:$AR$160,請求Data!$AL$10-請求Data!$H$10,0))</f>
        <v/>
      </c>
      <c r="S112" s="155" t="str">
        <f>IF($T112="","",VLOOKUP($T112,請求Data!$I$11:$AR$160,請求Data!$AM$10-請求Data!$H$10,0))</f>
        <v/>
      </c>
      <c r="T112" s="467" t="str">
        <f>IF(ISNA(MATCH($H112,請求Data!$AH$11:$AH$160,0)),"",VLOOKUP($H112,請求Data!$AH$11:$AR$160,請求Data!$AK$10-請求Data!$AG$10,0))</f>
        <v/>
      </c>
      <c r="U112" s="468"/>
      <c r="V112" s="58"/>
    </row>
    <row r="113" spans="1:22" ht="15" customHeight="1">
      <c r="A113" s="58" t="str">
        <f>IF($Q113="","",MAX($A$8:$A112)+1)</f>
        <v/>
      </c>
      <c r="B113" s="614" t="str">
        <f t="shared" si="5"/>
        <v/>
      </c>
      <c r="C113" s="614" t="str">
        <f t="shared" si="6"/>
        <v/>
      </c>
      <c r="D113" s="614" t="str">
        <f t="shared" si="7"/>
        <v/>
      </c>
      <c r="E113" s="615" t="str">
        <f t="shared" si="8"/>
        <v/>
      </c>
      <c r="F113" s="616" t="str">
        <f>IF($H113="","",IF(ISNA(MATCH($H113,$H$7:$H112,0)),1,0))</f>
        <v/>
      </c>
      <c r="G113" s="249"/>
      <c r="H113" s="95"/>
      <c r="I113" s="598" t="str">
        <f>IF($J113="","",INDEX(ﾏｽﾀ!$E$8:$E$124,MATCH(INDEX(ﾏｽﾀ!$N$8:$N$124,MATCH($J113,ﾏｽﾀ!$O$8:$O$124,0)),ﾏｽﾀ!$B$8:$B$124,0))&amp;"")</f>
        <v/>
      </c>
      <c r="J113" s="534"/>
      <c r="K113" s="598" t="str">
        <f>IF($J113="","",INDEX(ﾏｽﾀ!$G$8:$G$124,MATCH(INDEX(ﾏｽﾀ!$N$8:$N$124,MATCH($J113,ﾏｽﾀ!$O$8:$O$124,0)),ﾏｽﾀ!$B$8:$B$124,0))&amp;"")</f>
        <v/>
      </c>
      <c r="L113" s="600" t="str">
        <f>IF($M113="","",INDEX(ﾏｽﾀ!$T$8:$T$16,MATCH($M113,ﾏｽﾀ!$U$8:$U$16,0))&amp;"")</f>
        <v/>
      </c>
      <c r="M113" s="534"/>
      <c r="N113" s="463"/>
      <c r="O113" s="464"/>
      <c r="P113" s="465"/>
      <c r="Q113" s="466" t="str">
        <f t="shared" si="9"/>
        <v/>
      </c>
      <c r="R113" s="154" t="str">
        <f>IF($T113="","",VLOOKUP($T113,請求Data!$I$11:$AR$160,請求Data!$AL$10-請求Data!$H$10,0))</f>
        <v/>
      </c>
      <c r="S113" s="155" t="str">
        <f>IF($T113="","",VLOOKUP($T113,請求Data!$I$11:$AR$160,請求Data!$AM$10-請求Data!$H$10,0))</f>
        <v/>
      </c>
      <c r="T113" s="467" t="str">
        <f>IF(ISNA(MATCH($H113,請求Data!$AH$11:$AH$160,0)),"",VLOOKUP($H113,請求Data!$AH$11:$AR$160,請求Data!$AK$10-請求Data!$AG$10,0))</f>
        <v/>
      </c>
      <c r="U113" s="468"/>
      <c r="V113" s="58"/>
    </row>
    <row r="114" spans="1:22" ht="15" customHeight="1">
      <c r="A114" s="58" t="str">
        <f>IF($Q114="","",MAX($A$8:$A113)+1)</f>
        <v/>
      </c>
      <c r="B114" s="614" t="str">
        <f t="shared" si="5"/>
        <v/>
      </c>
      <c r="C114" s="614" t="str">
        <f t="shared" si="6"/>
        <v/>
      </c>
      <c r="D114" s="614" t="str">
        <f t="shared" si="7"/>
        <v/>
      </c>
      <c r="E114" s="615" t="str">
        <f t="shared" si="8"/>
        <v/>
      </c>
      <c r="F114" s="616" t="str">
        <f>IF($H114="","",IF(ISNA(MATCH($H114,$H$7:$H113,0)),1,0))</f>
        <v/>
      </c>
      <c r="G114" s="249"/>
      <c r="H114" s="95"/>
      <c r="I114" s="598" t="str">
        <f>IF($J114="","",INDEX(ﾏｽﾀ!$E$8:$E$124,MATCH(INDEX(ﾏｽﾀ!$N$8:$N$124,MATCH($J114,ﾏｽﾀ!$O$8:$O$124,0)),ﾏｽﾀ!$B$8:$B$124,0))&amp;"")</f>
        <v/>
      </c>
      <c r="J114" s="534"/>
      <c r="K114" s="598" t="str">
        <f>IF($J114="","",INDEX(ﾏｽﾀ!$G$8:$G$124,MATCH(INDEX(ﾏｽﾀ!$N$8:$N$124,MATCH($J114,ﾏｽﾀ!$O$8:$O$124,0)),ﾏｽﾀ!$B$8:$B$124,0))&amp;"")</f>
        <v/>
      </c>
      <c r="L114" s="600" t="str">
        <f>IF($M114="","",INDEX(ﾏｽﾀ!$T$8:$T$16,MATCH($M114,ﾏｽﾀ!$U$8:$U$16,0))&amp;"")</f>
        <v/>
      </c>
      <c r="M114" s="534"/>
      <c r="N114" s="463"/>
      <c r="O114" s="464"/>
      <c r="P114" s="465"/>
      <c r="Q114" s="466" t="str">
        <f t="shared" si="9"/>
        <v/>
      </c>
      <c r="R114" s="154" t="str">
        <f>IF($T114="","",VLOOKUP($T114,請求Data!$I$11:$AR$160,請求Data!$AL$10-請求Data!$H$10,0))</f>
        <v/>
      </c>
      <c r="S114" s="155" t="str">
        <f>IF($T114="","",VLOOKUP($T114,請求Data!$I$11:$AR$160,請求Data!$AM$10-請求Data!$H$10,0))</f>
        <v/>
      </c>
      <c r="T114" s="467" t="str">
        <f>IF(ISNA(MATCH($H114,請求Data!$AH$11:$AH$160,0)),"",VLOOKUP($H114,請求Data!$AH$11:$AR$160,請求Data!$AK$10-請求Data!$AG$10,0))</f>
        <v/>
      </c>
      <c r="U114" s="468"/>
      <c r="V114" s="58"/>
    </row>
    <row r="115" spans="1:22" ht="15" customHeight="1">
      <c r="A115" s="58" t="str">
        <f>IF($Q115="","",MAX($A$8:$A114)+1)</f>
        <v/>
      </c>
      <c r="B115" s="614" t="str">
        <f t="shared" si="5"/>
        <v/>
      </c>
      <c r="C115" s="614" t="str">
        <f t="shared" si="6"/>
        <v/>
      </c>
      <c r="D115" s="614" t="str">
        <f t="shared" si="7"/>
        <v/>
      </c>
      <c r="E115" s="615" t="str">
        <f t="shared" si="8"/>
        <v/>
      </c>
      <c r="F115" s="616" t="str">
        <f>IF($H115="","",IF(ISNA(MATCH($H115,$H$7:$H114,0)),1,0))</f>
        <v/>
      </c>
      <c r="G115" s="249"/>
      <c r="H115" s="95"/>
      <c r="I115" s="598" t="str">
        <f>IF($J115="","",INDEX(ﾏｽﾀ!$E$8:$E$124,MATCH(INDEX(ﾏｽﾀ!$N$8:$N$124,MATCH($J115,ﾏｽﾀ!$O$8:$O$124,0)),ﾏｽﾀ!$B$8:$B$124,0))&amp;"")</f>
        <v/>
      </c>
      <c r="J115" s="534"/>
      <c r="K115" s="598" t="str">
        <f>IF($J115="","",INDEX(ﾏｽﾀ!$G$8:$G$124,MATCH(INDEX(ﾏｽﾀ!$N$8:$N$124,MATCH($J115,ﾏｽﾀ!$O$8:$O$124,0)),ﾏｽﾀ!$B$8:$B$124,0))&amp;"")</f>
        <v/>
      </c>
      <c r="L115" s="600" t="str">
        <f>IF($M115="","",INDEX(ﾏｽﾀ!$T$8:$T$16,MATCH($M115,ﾏｽﾀ!$U$8:$U$16,0))&amp;"")</f>
        <v/>
      </c>
      <c r="M115" s="534"/>
      <c r="N115" s="463"/>
      <c r="O115" s="464"/>
      <c r="P115" s="465"/>
      <c r="Q115" s="466" t="str">
        <f t="shared" si="9"/>
        <v/>
      </c>
      <c r="R115" s="154" t="str">
        <f>IF($T115="","",VLOOKUP($T115,請求Data!$I$11:$AR$160,請求Data!$AL$10-請求Data!$H$10,0))</f>
        <v/>
      </c>
      <c r="S115" s="155" t="str">
        <f>IF($T115="","",VLOOKUP($T115,請求Data!$I$11:$AR$160,請求Data!$AM$10-請求Data!$H$10,0))</f>
        <v/>
      </c>
      <c r="T115" s="467" t="str">
        <f>IF(ISNA(MATCH($H115,請求Data!$AH$11:$AH$160,0)),"",VLOOKUP($H115,請求Data!$AH$11:$AR$160,請求Data!$AK$10-請求Data!$AG$10,0))</f>
        <v/>
      </c>
      <c r="U115" s="468"/>
      <c r="V115" s="58"/>
    </row>
    <row r="116" spans="1:22" ht="15" customHeight="1">
      <c r="A116" s="58" t="str">
        <f>IF($Q116="","",MAX($A$8:$A115)+1)</f>
        <v/>
      </c>
      <c r="B116" s="614" t="str">
        <f t="shared" si="5"/>
        <v/>
      </c>
      <c r="C116" s="614" t="str">
        <f t="shared" si="6"/>
        <v/>
      </c>
      <c r="D116" s="614" t="str">
        <f t="shared" si="7"/>
        <v/>
      </c>
      <c r="E116" s="615" t="str">
        <f t="shared" si="8"/>
        <v/>
      </c>
      <c r="F116" s="616" t="str">
        <f>IF($H116="","",IF(ISNA(MATCH($H116,$H$7:$H115,0)),1,0))</f>
        <v/>
      </c>
      <c r="G116" s="249"/>
      <c r="H116" s="95"/>
      <c r="I116" s="598" t="str">
        <f>IF($J116="","",INDEX(ﾏｽﾀ!$E$8:$E$124,MATCH(INDEX(ﾏｽﾀ!$N$8:$N$124,MATCH($J116,ﾏｽﾀ!$O$8:$O$124,0)),ﾏｽﾀ!$B$8:$B$124,0))&amp;"")</f>
        <v/>
      </c>
      <c r="J116" s="534"/>
      <c r="K116" s="598" t="str">
        <f>IF($J116="","",INDEX(ﾏｽﾀ!$G$8:$G$124,MATCH(INDEX(ﾏｽﾀ!$N$8:$N$124,MATCH($J116,ﾏｽﾀ!$O$8:$O$124,0)),ﾏｽﾀ!$B$8:$B$124,0))&amp;"")</f>
        <v/>
      </c>
      <c r="L116" s="600" t="str">
        <f>IF($M116="","",INDEX(ﾏｽﾀ!$T$8:$T$16,MATCH($M116,ﾏｽﾀ!$U$8:$U$16,0))&amp;"")</f>
        <v/>
      </c>
      <c r="M116" s="534"/>
      <c r="N116" s="463"/>
      <c r="O116" s="464"/>
      <c r="P116" s="465"/>
      <c r="Q116" s="466" t="str">
        <f t="shared" si="9"/>
        <v/>
      </c>
      <c r="R116" s="154" t="str">
        <f>IF($T116="","",VLOOKUP($T116,請求Data!$I$11:$AR$160,請求Data!$AL$10-請求Data!$H$10,0))</f>
        <v/>
      </c>
      <c r="S116" s="155" t="str">
        <f>IF($T116="","",VLOOKUP($T116,請求Data!$I$11:$AR$160,請求Data!$AM$10-請求Data!$H$10,0))</f>
        <v/>
      </c>
      <c r="T116" s="467" t="str">
        <f>IF(ISNA(MATCH($H116,請求Data!$AH$11:$AH$160,0)),"",VLOOKUP($H116,請求Data!$AH$11:$AR$160,請求Data!$AK$10-請求Data!$AG$10,0))</f>
        <v/>
      </c>
      <c r="U116" s="468"/>
      <c r="V116" s="58"/>
    </row>
    <row r="117" spans="1:22" ht="15" customHeight="1">
      <c r="A117" s="58" t="str">
        <f>IF($Q117="","",MAX($A$8:$A116)+1)</f>
        <v/>
      </c>
      <c r="B117" s="614" t="str">
        <f t="shared" si="5"/>
        <v/>
      </c>
      <c r="C117" s="614" t="str">
        <f t="shared" si="6"/>
        <v/>
      </c>
      <c r="D117" s="614" t="str">
        <f t="shared" si="7"/>
        <v/>
      </c>
      <c r="E117" s="615" t="str">
        <f t="shared" si="8"/>
        <v/>
      </c>
      <c r="F117" s="616" t="str">
        <f>IF($H117="","",IF(ISNA(MATCH($H117,$H$7:$H116,0)),1,0))</f>
        <v/>
      </c>
      <c r="G117" s="249"/>
      <c r="H117" s="95"/>
      <c r="I117" s="598" t="str">
        <f>IF($J117="","",INDEX(ﾏｽﾀ!$E$8:$E$124,MATCH(INDEX(ﾏｽﾀ!$N$8:$N$124,MATCH($J117,ﾏｽﾀ!$O$8:$O$124,0)),ﾏｽﾀ!$B$8:$B$124,0))&amp;"")</f>
        <v/>
      </c>
      <c r="J117" s="534"/>
      <c r="K117" s="598" t="str">
        <f>IF($J117="","",INDEX(ﾏｽﾀ!$G$8:$G$124,MATCH(INDEX(ﾏｽﾀ!$N$8:$N$124,MATCH($J117,ﾏｽﾀ!$O$8:$O$124,0)),ﾏｽﾀ!$B$8:$B$124,0))&amp;"")</f>
        <v/>
      </c>
      <c r="L117" s="600" t="str">
        <f>IF($M117="","",INDEX(ﾏｽﾀ!$T$8:$T$16,MATCH($M117,ﾏｽﾀ!$U$8:$U$16,0))&amp;"")</f>
        <v/>
      </c>
      <c r="M117" s="534"/>
      <c r="N117" s="463"/>
      <c r="O117" s="464"/>
      <c r="P117" s="465"/>
      <c r="Q117" s="466" t="str">
        <f t="shared" si="9"/>
        <v/>
      </c>
      <c r="R117" s="154" t="str">
        <f>IF($T117="","",VLOOKUP($T117,請求Data!$I$11:$AR$160,請求Data!$AL$10-請求Data!$H$10,0))</f>
        <v/>
      </c>
      <c r="S117" s="155" t="str">
        <f>IF($T117="","",VLOOKUP($T117,請求Data!$I$11:$AR$160,請求Data!$AM$10-請求Data!$H$10,0))</f>
        <v/>
      </c>
      <c r="T117" s="467" t="str">
        <f>IF(ISNA(MATCH($H117,請求Data!$AH$11:$AH$160,0)),"",VLOOKUP($H117,請求Data!$AH$11:$AR$160,請求Data!$AK$10-請求Data!$AG$10,0))</f>
        <v/>
      </c>
      <c r="U117" s="468"/>
      <c r="V117" s="58"/>
    </row>
    <row r="118" spans="1:22" ht="15" customHeight="1">
      <c r="A118" s="58" t="str">
        <f>IF($Q118="","",MAX($A$8:$A117)+1)</f>
        <v/>
      </c>
      <c r="B118" s="614" t="str">
        <f t="shared" si="5"/>
        <v/>
      </c>
      <c r="C118" s="614" t="str">
        <f t="shared" si="6"/>
        <v/>
      </c>
      <c r="D118" s="614" t="str">
        <f t="shared" si="7"/>
        <v/>
      </c>
      <c r="E118" s="615" t="str">
        <f t="shared" si="8"/>
        <v/>
      </c>
      <c r="F118" s="616" t="str">
        <f>IF($H118="","",IF(ISNA(MATCH($H118,$H$7:$H117,0)),1,0))</f>
        <v/>
      </c>
      <c r="G118" s="249"/>
      <c r="H118" s="95"/>
      <c r="I118" s="598" t="str">
        <f>IF($J118="","",INDEX(ﾏｽﾀ!$E$8:$E$124,MATCH(INDEX(ﾏｽﾀ!$N$8:$N$124,MATCH($J118,ﾏｽﾀ!$O$8:$O$124,0)),ﾏｽﾀ!$B$8:$B$124,0))&amp;"")</f>
        <v/>
      </c>
      <c r="J118" s="534"/>
      <c r="K118" s="598" t="str">
        <f>IF($J118="","",INDEX(ﾏｽﾀ!$G$8:$G$124,MATCH(INDEX(ﾏｽﾀ!$N$8:$N$124,MATCH($J118,ﾏｽﾀ!$O$8:$O$124,0)),ﾏｽﾀ!$B$8:$B$124,0))&amp;"")</f>
        <v/>
      </c>
      <c r="L118" s="600" t="str">
        <f>IF($M118="","",INDEX(ﾏｽﾀ!$T$8:$T$16,MATCH($M118,ﾏｽﾀ!$U$8:$U$16,0))&amp;"")</f>
        <v/>
      </c>
      <c r="M118" s="534"/>
      <c r="N118" s="463"/>
      <c r="O118" s="464"/>
      <c r="P118" s="465"/>
      <c r="Q118" s="466" t="str">
        <f t="shared" si="9"/>
        <v/>
      </c>
      <c r="R118" s="154" t="str">
        <f>IF($T118="","",VLOOKUP($T118,請求Data!$I$11:$AR$160,請求Data!$AL$10-請求Data!$H$10,0))</f>
        <v/>
      </c>
      <c r="S118" s="155" t="str">
        <f>IF($T118="","",VLOOKUP($T118,請求Data!$I$11:$AR$160,請求Data!$AM$10-請求Data!$H$10,0))</f>
        <v/>
      </c>
      <c r="T118" s="467" t="str">
        <f>IF(ISNA(MATCH($H118,請求Data!$AH$11:$AH$160,0)),"",VLOOKUP($H118,請求Data!$AH$11:$AR$160,請求Data!$AK$10-請求Data!$AG$10,0))</f>
        <v/>
      </c>
      <c r="U118" s="468"/>
      <c r="V118" s="58"/>
    </row>
    <row r="119" spans="1:22" ht="15" customHeight="1">
      <c r="A119" s="58" t="str">
        <f>IF($Q119="","",MAX($A$8:$A118)+1)</f>
        <v/>
      </c>
      <c r="B119" s="614" t="str">
        <f t="shared" si="5"/>
        <v/>
      </c>
      <c r="C119" s="614" t="str">
        <f t="shared" si="6"/>
        <v/>
      </c>
      <c r="D119" s="614" t="str">
        <f t="shared" si="7"/>
        <v/>
      </c>
      <c r="E119" s="615" t="str">
        <f t="shared" si="8"/>
        <v/>
      </c>
      <c r="F119" s="616" t="str">
        <f>IF($H119="","",IF(ISNA(MATCH($H119,$H$7:$H118,0)),1,0))</f>
        <v/>
      </c>
      <c r="G119" s="249"/>
      <c r="H119" s="95"/>
      <c r="I119" s="598" t="str">
        <f>IF($J119="","",INDEX(ﾏｽﾀ!$E$8:$E$124,MATCH(INDEX(ﾏｽﾀ!$N$8:$N$124,MATCH($J119,ﾏｽﾀ!$O$8:$O$124,0)),ﾏｽﾀ!$B$8:$B$124,0))&amp;"")</f>
        <v/>
      </c>
      <c r="J119" s="534"/>
      <c r="K119" s="598" t="str">
        <f>IF($J119="","",INDEX(ﾏｽﾀ!$G$8:$G$124,MATCH(INDEX(ﾏｽﾀ!$N$8:$N$124,MATCH($J119,ﾏｽﾀ!$O$8:$O$124,0)),ﾏｽﾀ!$B$8:$B$124,0))&amp;"")</f>
        <v/>
      </c>
      <c r="L119" s="600" t="str">
        <f>IF($M119="","",INDEX(ﾏｽﾀ!$T$8:$T$16,MATCH($M119,ﾏｽﾀ!$U$8:$U$16,0))&amp;"")</f>
        <v/>
      </c>
      <c r="M119" s="534"/>
      <c r="N119" s="463"/>
      <c r="O119" s="464"/>
      <c r="P119" s="465"/>
      <c r="Q119" s="466" t="str">
        <f t="shared" si="9"/>
        <v/>
      </c>
      <c r="R119" s="154" t="str">
        <f>IF($T119="","",VLOOKUP($T119,請求Data!$I$11:$AR$160,請求Data!$AL$10-請求Data!$H$10,0))</f>
        <v/>
      </c>
      <c r="S119" s="155" t="str">
        <f>IF($T119="","",VLOOKUP($T119,請求Data!$I$11:$AR$160,請求Data!$AM$10-請求Data!$H$10,0))</f>
        <v/>
      </c>
      <c r="T119" s="467" t="str">
        <f>IF(ISNA(MATCH($H119,請求Data!$AH$11:$AH$160,0)),"",VLOOKUP($H119,請求Data!$AH$11:$AR$160,請求Data!$AK$10-請求Data!$AG$10,0))</f>
        <v/>
      </c>
      <c r="U119" s="468"/>
      <c r="V119" s="58"/>
    </row>
    <row r="120" spans="1:22" ht="15" customHeight="1">
      <c r="A120" s="58" t="str">
        <f>IF($Q120="","",MAX($A$8:$A119)+1)</f>
        <v/>
      </c>
      <c r="B120" s="614" t="str">
        <f t="shared" si="5"/>
        <v/>
      </c>
      <c r="C120" s="614" t="str">
        <f t="shared" si="6"/>
        <v/>
      </c>
      <c r="D120" s="614" t="str">
        <f t="shared" si="7"/>
        <v/>
      </c>
      <c r="E120" s="615" t="str">
        <f t="shared" si="8"/>
        <v/>
      </c>
      <c r="F120" s="616" t="str">
        <f>IF($H120="","",IF(ISNA(MATCH($H120,$H$7:$H119,0)),1,0))</f>
        <v/>
      </c>
      <c r="G120" s="249"/>
      <c r="H120" s="95"/>
      <c r="I120" s="598" t="str">
        <f>IF($J120="","",INDEX(ﾏｽﾀ!$E$8:$E$124,MATCH(INDEX(ﾏｽﾀ!$N$8:$N$124,MATCH($J120,ﾏｽﾀ!$O$8:$O$124,0)),ﾏｽﾀ!$B$8:$B$124,0))&amp;"")</f>
        <v/>
      </c>
      <c r="J120" s="534"/>
      <c r="K120" s="598" t="str">
        <f>IF($J120="","",INDEX(ﾏｽﾀ!$G$8:$G$124,MATCH(INDEX(ﾏｽﾀ!$N$8:$N$124,MATCH($J120,ﾏｽﾀ!$O$8:$O$124,0)),ﾏｽﾀ!$B$8:$B$124,0))&amp;"")</f>
        <v/>
      </c>
      <c r="L120" s="600" t="str">
        <f>IF($M120="","",INDEX(ﾏｽﾀ!$T$8:$T$16,MATCH($M120,ﾏｽﾀ!$U$8:$U$16,0))&amp;"")</f>
        <v/>
      </c>
      <c r="M120" s="534"/>
      <c r="N120" s="463"/>
      <c r="O120" s="464"/>
      <c r="P120" s="465"/>
      <c r="Q120" s="466" t="str">
        <f t="shared" si="9"/>
        <v/>
      </c>
      <c r="R120" s="154" t="str">
        <f>IF($T120="","",VLOOKUP($T120,請求Data!$I$11:$AR$160,請求Data!$AL$10-請求Data!$H$10,0))</f>
        <v/>
      </c>
      <c r="S120" s="155" t="str">
        <f>IF($T120="","",VLOOKUP($T120,請求Data!$I$11:$AR$160,請求Data!$AM$10-請求Data!$H$10,0))</f>
        <v/>
      </c>
      <c r="T120" s="467" t="str">
        <f>IF(ISNA(MATCH($H120,請求Data!$AH$11:$AH$160,0)),"",VLOOKUP($H120,請求Data!$AH$11:$AR$160,請求Data!$AK$10-請求Data!$AG$10,0))</f>
        <v/>
      </c>
      <c r="U120" s="468"/>
      <c r="V120" s="58"/>
    </row>
    <row r="121" spans="1:22" ht="15" customHeight="1">
      <c r="A121" s="58" t="str">
        <f>IF($Q121="","",MAX($A$8:$A120)+1)</f>
        <v/>
      </c>
      <c r="B121" s="614" t="str">
        <f t="shared" si="5"/>
        <v/>
      </c>
      <c r="C121" s="614" t="str">
        <f t="shared" si="6"/>
        <v/>
      </c>
      <c r="D121" s="614" t="str">
        <f t="shared" si="7"/>
        <v/>
      </c>
      <c r="E121" s="615" t="str">
        <f t="shared" si="8"/>
        <v/>
      </c>
      <c r="F121" s="616" t="str">
        <f>IF($H121="","",IF(ISNA(MATCH($H121,$H$7:$H120,0)),1,0))</f>
        <v/>
      </c>
      <c r="G121" s="249"/>
      <c r="H121" s="95"/>
      <c r="I121" s="598" t="str">
        <f>IF($J121="","",INDEX(ﾏｽﾀ!$E$8:$E$124,MATCH(INDEX(ﾏｽﾀ!$N$8:$N$124,MATCH($J121,ﾏｽﾀ!$O$8:$O$124,0)),ﾏｽﾀ!$B$8:$B$124,0))&amp;"")</f>
        <v/>
      </c>
      <c r="J121" s="534"/>
      <c r="K121" s="598" t="str">
        <f>IF($J121="","",INDEX(ﾏｽﾀ!$G$8:$G$124,MATCH(INDEX(ﾏｽﾀ!$N$8:$N$124,MATCH($J121,ﾏｽﾀ!$O$8:$O$124,0)),ﾏｽﾀ!$B$8:$B$124,0))&amp;"")</f>
        <v/>
      </c>
      <c r="L121" s="600" t="str">
        <f>IF($M121="","",INDEX(ﾏｽﾀ!$T$8:$T$16,MATCH($M121,ﾏｽﾀ!$U$8:$U$16,0))&amp;"")</f>
        <v/>
      </c>
      <c r="M121" s="534"/>
      <c r="N121" s="463"/>
      <c r="O121" s="464"/>
      <c r="P121" s="465"/>
      <c r="Q121" s="466" t="str">
        <f t="shared" si="9"/>
        <v/>
      </c>
      <c r="R121" s="154" t="str">
        <f>IF($T121="","",VLOOKUP($T121,請求Data!$I$11:$AR$160,請求Data!$AL$10-請求Data!$H$10,0))</f>
        <v/>
      </c>
      <c r="S121" s="155" t="str">
        <f>IF($T121="","",VLOOKUP($T121,請求Data!$I$11:$AR$160,請求Data!$AM$10-請求Data!$H$10,0))</f>
        <v/>
      </c>
      <c r="T121" s="467" t="str">
        <f>IF(ISNA(MATCH($H121,請求Data!$AH$11:$AH$160,0)),"",VLOOKUP($H121,請求Data!$AH$11:$AR$160,請求Data!$AK$10-請求Data!$AG$10,0))</f>
        <v/>
      </c>
      <c r="U121" s="468"/>
      <c r="V121" s="58"/>
    </row>
    <row r="122" spans="1:22" ht="15" customHeight="1">
      <c r="A122" s="58" t="str">
        <f>IF($Q122="","",MAX($A$8:$A121)+1)</f>
        <v/>
      </c>
      <c r="B122" s="614" t="str">
        <f t="shared" si="5"/>
        <v/>
      </c>
      <c r="C122" s="614" t="str">
        <f t="shared" si="6"/>
        <v/>
      </c>
      <c r="D122" s="614" t="str">
        <f t="shared" si="7"/>
        <v/>
      </c>
      <c r="E122" s="615" t="str">
        <f t="shared" si="8"/>
        <v/>
      </c>
      <c r="F122" s="616" t="str">
        <f>IF($H122="","",IF(ISNA(MATCH($H122,$H$7:$H121,0)),1,0))</f>
        <v/>
      </c>
      <c r="G122" s="249"/>
      <c r="H122" s="95"/>
      <c r="I122" s="598" t="str">
        <f>IF($J122="","",INDEX(ﾏｽﾀ!$E$8:$E$124,MATCH(INDEX(ﾏｽﾀ!$N$8:$N$124,MATCH($J122,ﾏｽﾀ!$O$8:$O$124,0)),ﾏｽﾀ!$B$8:$B$124,0))&amp;"")</f>
        <v/>
      </c>
      <c r="J122" s="534"/>
      <c r="K122" s="598" t="str">
        <f>IF($J122="","",INDEX(ﾏｽﾀ!$G$8:$G$124,MATCH(INDEX(ﾏｽﾀ!$N$8:$N$124,MATCH($J122,ﾏｽﾀ!$O$8:$O$124,0)),ﾏｽﾀ!$B$8:$B$124,0))&amp;"")</f>
        <v/>
      </c>
      <c r="L122" s="600" t="str">
        <f>IF($M122="","",INDEX(ﾏｽﾀ!$T$8:$T$16,MATCH($M122,ﾏｽﾀ!$U$8:$U$16,0))&amp;"")</f>
        <v/>
      </c>
      <c r="M122" s="534"/>
      <c r="N122" s="463"/>
      <c r="O122" s="464"/>
      <c r="P122" s="465"/>
      <c r="Q122" s="466" t="str">
        <f t="shared" si="9"/>
        <v/>
      </c>
      <c r="R122" s="154" t="str">
        <f>IF($T122="","",VLOOKUP($T122,請求Data!$I$11:$AR$160,請求Data!$AL$10-請求Data!$H$10,0))</f>
        <v/>
      </c>
      <c r="S122" s="155" t="str">
        <f>IF($T122="","",VLOOKUP($T122,請求Data!$I$11:$AR$160,請求Data!$AM$10-請求Data!$H$10,0))</f>
        <v/>
      </c>
      <c r="T122" s="467" t="str">
        <f>IF(ISNA(MATCH($H122,請求Data!$AH$11:$AH$160,0)),"",VLOOKUP($H122,請求Data!$AH$11:$AR$160,請求Data!$AK$10-請求Data!$AG$10,0))</f>
        <v/>
      </c>
      <c r="U122" s="468"/>
      <c r="V122" s="58"/>
    </row>
    <row r="123" spans="1:22" ht="15" customHeight="1">
      <c r="A123" s="58" t="str">
        <f>IF($Q123="","",MAX($A$8:$A122)+1)</f>
        <v/>
      </c>
      <c r="B123" s="614" t="str">
        <f t="shared" si="5"/>
        <v/>
      </c>
      <c r="C123" s="614" t="str">
        <f t="shared" si="6"/>
        <v/>
      </c>
      <c r="D123" s="614" t="str">
        <f t="shared" si="7"/>
        <v/>
      </c>
      <c r="E123" s="615" t="str">
        <f t="shared" si="8"/>
        <v/>
      </c>
      <c r="F123" s="616" t="str">
        <f>IF($H123="","",IF(ISNA(MATCH($H123,$H$7:$H122,0)),1,0))</f>
        <v/>
      </c>
      <c r="G123" s="249"/>
      <c r="H123" s="95"/>
      <c r="I123" s="598" t="str">
        <f>IF($J123="","",INDEX(ﾏｽﾀ!$E$8:$E$124,MATCH(INDEX(ﾏｽﾀ!$N$8:$N$124,MATCH($J123,ﾏｽﾀ!$O$8:$O$124,0)),ﾏｽﾀ!$B$8:$B$124,0))&amp;"")</f>
        <v/>
      </c>
      <c r="J123" s="534"/>
      <c r="K123" s="598" t="str">
        <f>IF($J123="","",INDEX(ﾏｽﾀ!$G$8:$G$124,MATCH(INDEX(ﾏｽﾀ!$N$8:$N$124,MATCH($J123,ﾏｽﾀ!$O$8:$O$124,0)),ﾏｽﾀ!$B$8:$B$124,0))&amp;"")</f>
        <v/>
      </c>
      <c r="L123" s="600" t="str">
        <f>IF($M123="","",INDEX(ﾏｽﾀ!$T$8:$T$16,MATCH($M123,ﾏｽﾀ!$U$8:$U$16,0))&amp;"")</f>
        <v/>
      </c>
      <c r="M123" s="534"/>
      <c r="N123" s="463"/>
      <c r="O123" s="464"/>
      <c r="P123" s="465"/>
      <c r="Q123" s="466" t="str">
        <f t="shared" si="9"/>
        <v/>
      </c>
      <c r="R123" s="154" t="str">
        <f>IF($T123="","",VLOOKUP($T123,請求Data!$I$11:$AR$160,請求Data!$AL$10-請求Data!$H$10,0))</f>
        <v/>
      </c>
      <c r="S123" s="155" t="str">
        <f>IF($T123="","",VLOOKUP($T123,請求Data!$I$11:$AR$160,請求Data!$AM$10-請求Data!$H$10,0))</f>
        <v/>
      </c>
      <c r="T123" s="467" t="str">
        <f>IF(ISNA(MATCH($H123,請求Data!$AH$11:$AH$160,0)),"",VLOOKUP($H123,請求Data!$AH$11:$AR$160,請求Data!$AK$10-請求Data!$AG$10,0))</f>
        <v/>
      </c>
      <c r="U123" s="468"/>
      <c r="V123" s="58"/>
    </row>
    <row r="124" spans="1:22" ht="15" customHeight="1">
      <c r="A124" s="58" t="str">
        <f>IF($Q124="","",MAX($A$8:$A123)+1)</f>
        <v/>
      </c>
      <c r="B124" s="614" t="str">
        <f t="shared" si="5"/>
        <v/>
      </c>
      <c r="C124" s="614" t="str">
        <f t="shared" si="6"/>
        <v/>
      </c>
      <c r="D124" s="614" t="str">
        <f t="shared" si="7"/>
        <v/>
      </c>
      <c r="E124" s="615" t="str">
        <f t="shared" si="8"/>
        <v/>
      </c>
      <c r="F124" s="616" t="str">
        <f>IF($H124="","",IF(ISNA(MATCH($H124,$H$7:$H123,0)),1,0))</f>
        <v/>
      </c>
      <c r="G124" s="249"/>
      <c r="H124" s="95"/>
      <c r="I124" s="598" t="str">
        <f>IF($J124="","",INDEX(ﾏｽﾀ!$E$8:$E$124,MATCH(INDEX(ﾏｽﾀ!$N$8:$N$124,MATCH($J124,ﾏｽﾀ!$O$8:$O$124,0)),ﾏｽﾀ!$B$8:$B$124,0))&amp;"")</f>
        <v/>
      </c>
      <c r="J124" s="534"/>
      <c r="K124" s="598" t="str">
        <f>IF($J124="","",INDEX(ﾏｽﾀ!$G$8:$G$124,MATCH(INDEX(ﾏｽﾀ!$N$8:$N$124,MATCH($J124,ﾏｽﾀ!$O$8:$O$124,0)),ﾏｽﾀ!$B$8:$B$124,0))&amp;"")</f>
        <v/>
      </c>
      <c r="L124" s="600" t="str">
        <f>IF($M124="","",INDEX(ﾏｽﾀ!$T$8:$T$16,MATCH($M124,ﾏｽﾀ!$U$8:$U$16,0))&amp;"")</f>
        <v/>
      </c>
      <c r="M124" s="534"/>
      <c r="N124" s="463"/>
      <c r="O124" s="464"/>
      <c r="P124" s="465"/>
      <c r="Q124" s="466" t="str">
        <f t="shared" si="9"/>
        <v/>
      </c>
      <c r="R124" s="154" t="str">
        <f>IF($T124="","",VLOOKUP($T124,請求Data!$I$11:$AR$160,請求Data!$AL$10-請求Data!$H$10,0))</f>
        <v/>
      </c>
      <c r="S124" s="155" t="str">
        <f>IF($T124="","",VLOOKUP($T124,請求Data!$I$11:$AR$160,請求Data!$AM$10-請求Data!$H$10,0))</f>
        <v/>
      </c>
      <c r="T124" s="467" t="str">
        <f>IF(ISNA(MATCH($H124,請求Data!$AH$11:$AH$160,0)),"",VLOOKUP($H124,請求Data!$AH$11:$AR$160,請求Data!$AK$10-請求Data!$AG$10,0))</f>
        <v/>
      </c>
      <c r="U124" s="468"/>
      <c r="V124" s="58"/>
    </row>
    <row r="125" spans="1:22" ht="15" customHeight="1">
      <c r="A125" s="58" t="str">
        <f>IF($Q125="","",MAX($A$8:$A124)+1)</f>
        <v/>
      </c>
      <c r="B125" s="614" t="str">
        <f t="shared" si="5"/>
        <v/>
      </c>
      <c r="C125" s="614" t="str">
        <f t="shared" si="6"/>
        <v/>
      </c>
      <c r="D125" s="614" t="str">
        <f t="shared" si="7"/>
        <v/>
      </c>
      <c r="E125" s="615" t="str">
        <f t="shared" si="8"/>
        <v/>
      </c>
      <c r="F125" s="616" t="str">
        <f>IF($H125="","",IF(ISNA(MATCH($H125,$H$7:$H124,0)),1,0))</f>
        <v/>
      </c>
      <c r="G125" s="249"/>
      <c r="H125" s="95"/>
      <c r="I125" s="598" t="str">
        <f>IF($J125="","",INDEX(ﾏｽﾀ!$E$8:$E$124,MATCH(INDEX(ﾏｽﾀ!$N$8:$N$124,MATCH($J125,ﾏｽﾀ!$O$8:$O$124,0)),ﾏｽﾀ!$B$8:$B$124,0))&amp;"")</f>
        <v/>
      </c>
      <c r="J125" s="534"/>
      <c r="K125" s="598" t="str">
        <f>IF($J125="","",INDEX(ﾏｽﾀ!$G$8:$G$124,MATCH(INDEX(ﾏｽﾀ!$N$8:$N$124,MATCH($J125,ﾏｽﾀ!$O$8:$O$124,0)),ﾏｽﾀ!$B$8:$B$124,0))&amp;"")</f>
        <v/>
      </c>
      <c r="L125" s="600" t="str">
        <f>IF($M125="","",INDEX(ﾏｽﾀ!$T$8:$T$16,MATCH($M125,ﾏｽﾀ!$U$8:$U$16,0))&amp;"")</f>
        <v/>
      </c>
      <c r="M125" s="534"/>
      <c r="N125" s="463"/>
      <c r="O125" s="464"/>
      <c r="P125" s="465"/>
      <c r="Q125" s="466" t="str">
        <f t="shared" si="9"/>
        <v/>
      </c>
      <c r="R125" s="154" t="str">
        <f>IF($T125="","",VLOOKUP($T125,請求Data!$I$11:$AR$160,請求Data!$AL$10-請求Data!$H$10,0))</f>
        <v/>
      </c>
      <c r="S125" s="155" t="str">
        <f>IF($T125="","",VLOOKUP($T125,請求Data!$I$11:$AR$160,請求Data!$AM$10-請求Data!$H$10,0))</f>
        <v/>
      </c>
      <c r="T125" s="467" t="str">
        <f>IF(ISNA(MATCH($H125,請求Data!$AH$11:$AH$160,0)),"",VLOOKUP($H125,請求Data!$AH$11:$AR$160,請求Data!$AK$10-請求Data!$AG$10,0))</f>
        <v/>
      </c>
      <c r="U125" s="468"/>
      <c r="V125" s="58"/>
    </row>
    <row r="126" spans="1:22" ht="15" customHeight="1">
      <c r="A126" s="58" t="str">
        <f>IF($Q126="","",MAX($A$8:$A125)+1)</f>
        <v/>
      </c>
      <c r="B126" s="614" t="str">
        <f t="shared" si="5"/>
        <v/>
      </c>
      <c r="C126" s="614" t="str">
        <f t="shared" si="6"/>
        <v/>
      </c>
      <c r="D126" s="614" t="str">
        <f t="shared" si="7"/>
        <v/>
      </c>
      <c r="E126" s="615" t="str">
        <f t="shared" si="8"/>
        <v/>
      </c>
      <c r="F126" s="616" t="str">
        <f>IF($H126="","",IF(ISNA(MATCH($H126,$H$7:$H125,0)),1,0))</f>
        <v/>
      </c>
      <c r="G126" s="249"/>
      <c r="H126" s="95"/>
      <c r="I126" s="598" t="str">
        <f>IF($J126="","",INDEX(ﾏｽﾀ!$E$8:$E$124,MATCH(INDEX(ﾏｽﾀ!$N$8:$N$124,MATCH($J126,ﾏｽﾀ!$O$8:$O$124,0)),ﾏｽﾀ!$B$8:$B$124,0))&amp;"")</f>
        <v/>
      </c>
      <c r="J126" s="534"/>
      <c r="K126" s="598" t="str">
        <f>IF($J126="","",INDEX(ﾏｽﾀ!$G$8:$G$124,MATCH(INDEX(ﾏｽﾀ!$N$8:$N$124,MATCH($J126,ﾏｽﾀ!$O$8:$O$124,0)),ﾏｽﾀ!$B$8:$B$124,0))&amp;"")</f>
        <v/>
      </c>
      <c r="L126" s="600" t="str">
        <f>IF($M126="","",INDEX(ﾏｽﾀ!$T$8:$T$16,MATCH($M126,ﾏｽﾀ!$U$8:$U$16,0))&amp;"")</f>
        <v/>
      </c>
      <c r="M126" s="534"/>
      <c r="N126" s="463"/>
      <c r="O126" s="464"/>
      <c r="P126" s="465"/>
      <c r="Q126" s="466" t="str">
        <f t="shared" si="9"/>
        <v/>
      </c>
      <c r="R126" s="154" t="str">
        <f>IF($T126="","",VLOOKUP($T126,請求Data!$I$11:$AR$160,請求Data!$AL$10-請求Data!$H$10,0))</f>
        <v/>
      </c>
      <c r="S126" s="155" t="str">
        <f>IF($T126="","",VLOOKUP($T126,請求Data!$I$11:$AR$160,請求Data!$AM$10-請求Data!$H$10,0))</f>
        <v/>
      </c>
      <c r="T126" s="467" t="str">
        <f>IF(ISNA(MATCH($H126,請求Data!$AH$11:$AH$160,0)),"",VLOOKUP($H126,請求Data!$AH$11:$AR$160,請求Data!$AK$10-請求Data!$AG$10,0))</f>
        <v/>
      </c>
      <c r="U126" s="468"/>
      <c r="V126" s="58"/>
    </row>
    <row r="127" spans="1:22" ht="15" customHeight="1">
      <c r="A127" s="58" t="str">
        <f>IF($Q127="","",MAX($A$8:$A126)+1)</f>
        <v/>
      </c>
      <c r="B127" s="614" t="str">
        <f t="shared" si="5"/>
        <v/>
      </c>
      <c r="C127" s="614" t="str">
        <f t="shared" si="6"/>
        <v/>
      </c>
      <c r="D127" s="614" t="str">
        <f t="shared" si="7"/>
        <v/>
      </c>
      <c r="E127" s="615" t="str">
        <f t="shared" si="8"/>
        <v/>
      </c>
      <c r="F127" s="616" t="str">
        <f>IF($H127="","",IF(ISNA(MATCH($H127,$H$7:$H126,0)),1,0))</f>
        <v/>
      </c>
      <c r="G127" s="249"/>
      <c r="H127" s="95"/>
      <c r="I127" s="598" t="str">
        <f>IF($J127="","",INDEX(ﾏｽﾀ!$E$8:$E$124,MATCH(INDEX(ﾏｽﾀ!$N$8:$N$124,MATCH($J127,ﾏｽﾀ!$O$8:$O$124,0)),ﾏｽﾀ!$B$8:$B$124,0))&amp;"")</f>
        <v/>
      </c>
      <c r="J127" s="534"/>
      <c r="K127" s="598" t="str">
        <f>IF($J127="","",INDEX(ﾏｽﾀ!$G$8:$G$124,MATCH(INDEX(ﾏｽﾀ!$N$8:$N$124,MATCH($J127,ﾏｽﾀ!$O$8:$O$124,0)),ﾏｽﾀ!$B$8:$B$124,0))&amp;"")</f>
        <v/>
      </c>
      <c r="L127" s="600" t="str">
        <f>IF($M127="","",INDEX(ﾏｽﾀ!$T$8:$T$16,MATCH($M127,ﾏｽﾀ!$U$8:$U$16,0))&amp;"")</f>
        <v/>
      </c>
      <c r="M127" s="534"/>
      <c r="N127" s="463"/>
      <c r="O127" s="464"/>
      <c r="P127" s="465"/>
      <c r="Q127" s="466" t="str">
        <f t="shared" si="9"/>
        <v/>
      </c>
      <c r="R127" s="154" t="str">
        <f>IF($T127="","",VLOOKUP($T127,請求Data!$I$11:$AR$160,請求Data!$AL$10-請求Data!$H$10,0))</f>
        <v/>
      </c>
      <c r="S127" s="155" t="str">
        <f>IF($T127="","",VLOOKUP($T127,請求Data!$I$11:$AR$160,請求Data!$AM$10-請求Data!$H$10,0))</f>
        <v/>
      </c>
      <c r="T127" s="467" t="str">
        <f>IF(ISNA(MATCH($H127,請求Data!$AH$11:$AH$160,0)),"",VLOOKUP($H127,請求Data!$AH$11:$AR$160,請求Data!$AK$10-請求Data!$AG$10,0))</f>
        <v/>
      </c>
      <c r="U127" s="468"/>
      <c r="V127" s="58"/>
    </row>
    <row r="128" spans="1:22" ht="15" customHeight="1">
      <c r="A128" s="58" t="str">
        <f>IF($Q128="","",MAX($A$8:$A127)+1)</f>
        <v/>
      </c>
      <c r="B128" s="614" t="str">
        <f t="shared" si="5"/>
        <v/>
      </c>
      <c r="C128" s="614" t="str">
        <f t="shared" si="6"/>
        <v/>
      </c>
      <c r="D128" s="614" t="str">
        <f t="shared" si="7"/>
        <v/>
      </c>
      <c r="E128" s="615" t="str">
        <f t="shared" si="8"/>
        <v/>
      </c>
      <c r="F128" s="616" t="str">
        <f>IF($H128="","",IF(ISNA(MATCH($H128,$H$7:$H127,0)),1,0))</f>
        <v/>
      </c>
      <c r="G128" s="249"/>
      <c r="H128" s="95"/>
      <c r="I128" s="598" t="str">
        <f>IF($J128="","",INDEX(ﾏｽﾀ!$E$8:$E$124,MATCH(INDEX(ﾏｽﾀ!$N$8:$N$124,MATCH($J128,ﾏｽﾀ!$O$8:$O$124,0)),ﾏｽﾀ!$B$8:$B$124,0))&amp;"")</f>
        <v/>
      </c>
      <c r="J128" s="534"/>
      <c r="K128" s="598" t="str">
        <f>IF($J128="","",INDEX(ﾏｽﾀ!$G$8:$G$124,MATCH(INDEX(ﾏｽﾀ!$N$8:$N$124,MATCH($J128,ﾏｽﾀ!$O$8:$O$124,0)),ﾏｽﾀ!$B$8:$B$124,0))&amp;"")</f>
        <v/>
      </c>
      <c r="L128" s="600" t="str">
        <f>IF($M128="","",INDEX(ﾏｽﾀ!$T$8:$T$16,MATCH($M128,ﾏｽﾀ!$U$8:$U$16,0))&amp;"")</f>
        <v/>
      </c>
      <c r="M128" s="534"/>
      <c r="N128" s="463"/>
      <c r="O128" s="464"/>
      <c r="P128" s="465"/>
      <c r="Q128" s="466" t="str">
        <f t="shared" si="9"/>
        <v/>
      </c>
      <c r="R128" s="154" t="str">
        <f>IF($T128="","",VLOOKUP($T128,請求Data!$I$11:$AR$160,請求Data!$AL$10-請求Data!$H$10,0))</f>
        <v/>
      </c>
      <c r="S128" s="155" t="str">
        <f>IF($T128="","",VLOOKUP($T128,請求Data!$I$11:$AR$160,請求Data!$AM$10-請求Data!$H$10,0))</f>
        <v/>
      </c>
      <c r="T128" s="467" t="str">
        <f>IF(ISNA(MATCH($H128,請求Data!$AH$11:$AH$160,0)),"",VLOOKUP($H128,請求Data!$AH$11:$AR$160,請求Data!$AK$10-請求Data!$AG$10,0))</f>
        <v/>
      </c>
      <c r="U128" s="468"/>
      <c r="V128" s="58"/>
    </row>
    <row r="129" spans="1:22" ht="15" customHeight="1">
      <c r="A129" s="58" t="str">
        <f>IF($Q129="","",MAX($A$8:$A128)+1)</f>
        <v/>
      </c>
      <c r="B129" s="614" t="str">
        <f t="shared" si="5"/>
        <v/>
      </c>
      <c r="C129" s="614" t="str">
        <f t="shared" si="6"/>
        <v/>
      </c>
      <c r="D129" s="614" t="str">
        <f t="shared" si="7"/>
        <v/>
      </c>
      <c r="E129" s="615" t="str">
        <f t="shared" si="8"/>
        <v/>
      </c>
      <c r="F129" s="616" t="str">
        <f>IF($H129="","",IF(ISNA(MATCH($H129,$H$7:$H128,0)),1,0))</f>
        <v/>
      </c>
      <c r="G129" s="249"/>
      <c r="H129" s="95"/>
      <c r="I129" s="598" t="str">
        <f>IF($J129="","",INDEX(ﾏｽﾀ!$E$8:$E$124,MATCH(INDEX(ﾏｽﾀ!$N$8:$N$124,MATCH($J129,ﾏｽﾀ!$O$8:$O$124,0)),ﾏｽﾀ!$B$8:$B$124,0))&amp;"")</f>
        <v/>
      </c>
      <c r="J129" s="534"/>
      <c r="K129" s="598" t="str">
        <f>IF($J129="","",INDEX(ﾏｽﾀ!$G$8:$G$124,MATCH(INDEX(ﾏｽﾀ!$N$8:$N$124,MATCH($J129,ﾏｽﾀ!$O$8:$O$124,0)),ﾏｽﾀ!$B$8:$B$124,0))&amp;"")</f>
        <v/>
      </c>
      <c r="L129" s="600" t="str">
        <f>IF($M129="","",INDEX(ﾏｽﾀ!$T$8:$T$16,MATCH($M129,ﾏｽﾀ!$U$8:$U$16,0))&amp;"")</f>
        <v/>
      </c>
      <c r="M129" s="534"/>
      <c r="N129" s="463"/>
      <c r="O129" s="464"/>
      <c r="P129" s="465"/>
      <c r="Q129" s="466" t="str">
        <f t="shared" si="9"/>
        <v/>
      </c>
      <c r="R129" s="154" t="str">
        <f>IF($T129="","",VLOOKUP($T129,請求Data!$I$11:$AR$160,請求Data!$AL$10-請求Data!$H$10,0))</f>
        <v/>
      </c>
      <c r="S129" s="155" t="str">
        <f>IF($T129="","",VLOOKUP($T129,請求Data!$I$11:$AR$160,請求Data!$AM$10-請求Data!$H$10,0))</f>
        <v/>
      </c>
      <c r="T129" s="467" t="str">
        <f>IF(ISNA(MATCH($H129,請求Data!$AH$11:$AH$160,0)),"",VLOOKUP($H129,請求Data!$AH$11:$AR$160,請求Data!$AK$10-請求Data!$AG$10,0))</f>
        <v/>
      </c>
      <c r="U129" s="468"/>
      <c r="V129" s="58"/>
    </row>
    <row r="130" spans="1:22" ht="15" customHeight="1">
      <c r="A130" s="58" t="str">
        <f>IF($Q130="","",MAX($A$8:$A129)+1)</f>
        <v/>
      </c>
      <c r="B130" s="614" t="str">
        <f t="shared" si="5"/>
        <v/>
      </c>
      <c r="C130" s="614" t="str">
        <f t="shared" si="6"/>
        <v/>
      </c>
      <c r="D130" s="614" t="str">
        <f t="shared" si="7"/>
        <v/>
      </c>
      <c r="E130" s="615" t="str">
        <f t="shared" si="8"/>
        <v/>
      </c>
      <c r="F130" s="616" t="str">
        <f>IF($H130="","",IF(ISNA(MATCH($H130,$H$7:$H129,0)),1,0))</f>
        <v/>
      </c>
      <c r="G130" s="249"/>
      <c r="H130" s="95"/>
      <c r="I130" s="598" t="str">
        <f>IF($J130="","",INDEX(ﾏｽﾀ!$E$8:$E$124,MATCH(INDEX(ﾏｽﾀ!$N$8:$N$124,MATCH($J130,ﾏｽﾀ!$O$8:$O$124,0)),ﾏｽﾀ!$B$8:$B$124,0))&amp;"")</f>
        <v/>
      </c>
      <c r="J130" s="534"/>
      <c r="K130" s="598" t="str">
        <f>IF($J130="","",INDEX(ﾏｽﾀ!$G$8:$G$124,MATCH(INDEX(ﾏｽﾀ!$N$8:$N$124,MATCH($J130,ﾏｽﾀ!$O$8:$O$124,0)),ﾏｽﾀ!$B$8:$B$124,0))&amp;"")</f>
        <v/>
      </c>
      <c r="L130" s="600" t="str">
        <f>IF($M130="","",INDEX(ﾏｽﾀ!$T$8:$T$16,MATCH($M130,ﾏｽﾀ!$U$8:$U$16,0))&amp;"")</f>
        <v/>
      </c>
      <c r="M130" s="534"/>
      <c r="N130" s="463"/>
      <c r="O130" s="464"/>
      <c r="P130" s="465"/>
      <c r="Q130" s="466" t="str">
        <f t="shared" si="9"/>
        <v/>
      </c>
      <c r="R130" s="154" t="str">
        <f>IF($T130="","",VLOOKUP($T130,請求Data!$I$11:$AR$160,請求Data!$AL$10-請求Data!$H$10,0))</f>
        <v/>
      </c>
      <c r="S130" s="155" t="str">
        <f>IF($T130="","",VLOOKUP($T130,請求Data!$I$11:$AR$160,請求Data!$AM$10-請求Data!$H$10,0))</f>
        <v/>
      </c>
      <c r="T130" s="467" t="str">
        <f>IF(ISNA(MATCH($H130,請求Data!$AH$11:$AH$160,0)),"",VLOOKUP($H130,請求Data!$AH$11:$AR$160,請求Data!$AK$10-請求Data!$AG$10,0))</f>
        <v/>
      </c>
      <c r="U130" s="468"/>
      <c r="V130" s="58"/>
    </row>
    <row r="131" spans="1:22" ht="15" customHeight="1">
      <c r="A131" s="58" t="str">
        <f>IF($Q131="","",MAX($A$8:$A130)+1)</f>
        <v/>
      </c>
      <c r="B131" s="614" t="str">
        <f t="shared" si="5"/>
        <v/>
      </c>
      <c r="C131" s="614" t="str">
        <f t="shared" si="6"/>
        <v/>
      </c>
      <c r="D131" s="614" t="str">
        <f t="shared" si="7"/>
        <v/>
      </c>
      <c r="E131" s="615" t="str">
        <f t="shared" si="8"/>
        <v/>
      </c>
      <c r="F131" s="616" t="str">
        <f>IF($H131="","",IF(ISNA(MATCH($H131,$H$7:$H130,0)),1,0))</f>
        <v/>
      </c>
      <c r="G131" s="249"/>
      <c r="H131" s="95"/>
      <c r="I131" s="598" t="str">
        <f>IF($J131="","",INDEX(ﾏｽﾀ!$E$8:$E$124,MATCH(INDEX(ﾏｽﾀ!$N$8:$N$124,MATCH($J131,ﾏｽﾀ!$O$8:$O$124,0)),ﾏｽﾀ!$B$8:$B$124,0))&amp;"")</f>
        <v/>
      </c>
      <c r="J131" s="534"/>
      <c r="K131" s="598" t="str">
        <f>IF($J131="","",INDEX(ﾏｽﾀ!$G$8:$G$124,MATCH(INDEX(ﾏｽﾀ!$N$8:$N$124,MATCH($J131,ﾏｽﾀ!$O$8:$O$124,0)),ﾏｽﾀ!$B$8:$B$124,0))&amp;"")</f>
        <v/>
      </c>
      <c r="L131" s="600" t="str">
        <f>IF($M131="","",INDEX(ﾏｽﾀ!$T$8:$T$16,MATCH($M131,ﾏｽﾀ!$U$8:$U$16,0))&amp;"")</f>
        <v/>
      </c>
      <c r="M131" s="534"/>
      <c r="N131" s="463"/>
      <c r="O131" s="464"/>
      <c r="P131" s="465"/>
      <c r="Q131" s="466" t="str">
        <f t="shared" si="9"/>
        <v/>
      </c>
      <c r="R131" s="154" t="str">
        <f>IF($T131="","",VLOOKUP($T131,請求Data!$I$11:$AR$160,請求Data!$AL$10-請求Data!$H$10,0))</f>
        <v/>
      </c>
      <c r="S131" s="155" t="str">
        <f>IF($T131="","",VLOOKUP($T131,請求Data!$I$11:$AR$160,請求Data!$AM$10-請求Data!$H$10,0))</f>
        <v/>
      </c>
      <c r="T131" s="467" t="str">
        <f>IF(ISNA(MATCH($H131,請求Data!$AH$11:$AH$160,0)),"",VLOOKUP($H131,請求Data!$AH$11:$AR$160,請求Data!$AK$10-請求Data!$AG$10,0))</f>
        <v/>
      </c>
      <c r="U131" s="468"/>
      <c r="V131" s="58"/>
    </row>
    <row r="132" spans="1:22" ht="15" customHeight="1">
      <c r="A132" s="58" t="str">
        <f>IF($Q132="","",MAX($A$8:$A131)+1)</f>
        <v/>
      </c>
      <c r="B132" s="614" t="str">
        <f t="shared" si="5"/>
        <v/>
      </c>
      <c r="C132" s="614" t="str">
        <f t="shared" si="6"/>
        <v/>
      </c>
      <c r="D132" s="614" t="str">
        <f t="shared" si="7"/>
        <v/>
      </c>
      <c r="E132" s="615" t="str">
        <f t="shared" si="8"/>
        <v/>
      </c>
      <c r="F132" s="616" t="str">
        <f>IF($H132="","",IF(ISNA(MATCH($H132,$H$7:$H131,0)),1,0))</f>
        <v/>
      </c>
      <c r="G132" s="249"/>
      <c r="H132" s="95"/>
      <c r="I132" s="598" t="str">
        <f>IF($J132="","",INDEX(ﾏｽﾀ!$E$8:$E$124,MATCH(INDEX(ﾏｽﾀ!$N$8:$N$124,MATCH($J132,ﾏｽﾀ!$O$8:$O$124,0)),ﾏｽﾀ!$B$8:$B$124,0))&amp;"")</f>
        <v/>
      </c>
      <c r="J132" s="534"/>
      <c r="K132" s="598" t="str">
        <f>IF($J132="","",INDEX(ﾏｽﾀ!$G$8:$G$124,MATCH(INDEX(ﾏｽﾀ!$N$8:$N$124,MATCH($J132,ﾏｽﾀ!$O$8:$O$124,0)),ﾏｽﾀ!$B$8:$B$124,0))&amp;"")</f>
        <v/>
      </c>
      <c r="L132" s="600" t="str">
        <f>IF($M132="","",INDEX(ﾏｽﾀ!$T$8:$T$16,MATCH($M132,ﾏｽﾀ!$U$8:$U$16,0))&amp;"")</f>
        <v/>
      </c>
      <c r="M132" s="534"/>
      <c r="N132" s="463"/>
      <c r="O132" s="464"/>
      <c r="P132" s="465"/>
      <c r="Q132" s="466" t="str">
        <f t="shared" si="9"/>
        <v/>
      </c>
      <c r="R132" s="154" t="str">
        <f>IF($T132="","",VLOOKUP($T132,請求Data!$I$11:$AR$160,請求Data!$AL$10-請求Data!$H$10,0))</f>
        <v/>
      </c>
      <c r="S132" s="155" t="str">
        <f>IF($T132="","",VLOOKUP($T132,請求Data!$I$11:$AR$160,請求Data!$AM$10-請求Data!$H$10,0))</f>
        <v/>
      </c>
      <c r="T132" s="467" t="str">
        <f>IF(ISNA(MATCH($H132,請求Data!$AH$11:$AH$160,0)),"",VLOOKUP($H132,請求Data!$AH$11:$AR$160,請求Data!$AK$10-請求Data!$AG$10,0))</f>
        <v/>
      </c>
      <c r="U132" s="468"/>
      <c r="V132" s="58"/>
    </row>
    <row r="133" spans="1:22" ht="15" customHeight="1">
      <c r="A133" s="58" t="str">
        <f>IF($Q133="","",MAX($A$8:$A132)+1)</f>
        <v/>
      </c>
      <c r="B133" s="614" t="str">
        <f t="shared" si="5"/>
        <v/>
      </c>
      <c r="C133" s="614" t="str">
        <f t="shared" si="6"/>
        <v/>
      </c>
      <c r="D133" s="614" t="str">
        <f t="shared" si="7"/>
        <v/>
      </c>
      <c r="E133" s="615" t="str">
        <f t="shared" si="8"/>
        <v/>
      </c>
      <c r="F133" s="616" t="str">
        <f>IF($H133="","",IF(ISNA(MATCH($H133,$H$7:$H132,0)),1,0))</f>
        <v/>
      </c>
      <c r="G133" s="249"/>
      <c r="H133" s="95"/>
      <c r="I133" s="598" t="str">
        <f>IF($J133="","",INDEX(ﾏｽﾀ!$E$8:$E$124,MATCH(INDEX(ﾏｽﾀ!$N$8:$N$124,MATCH($J133,ﾏｽﾀ!$O$8:$O$124,0)),ﾏｽﾀ!$B$8:$B$124,0))&amp;"")</f>
        <v/>
      </c>
      <c r="J133" s="534"/>
      <c r="K133" s="598" t="str">
        <f>IF($J133="","",INDEX(ﾏｽﾀ!$G$8:$G$124,MATCH(INDEX(ﾏｽﾀ!$N$8:$N$124,MATCH($J133,ﾏｽﾀ!$O$8:$O$124,0)),ﾏｽﾀ!$B$8:$B$124,0))&amp;"")</f>
        <v/>
      </c>
      <c r="L133" s="600" t="str">
        <f>IF($M133="","",INDEX(ﾏｽﾀ!$T$8:$T$16,MATCH($M133,ﾏｽﾀ!$U$8:$U$16,0))&amp;"")</f>
        <v/>
      </c>
      <c r="M133" s="534"/>
      <c r="N133" s="463"/>
      <c r="O133" s="464"/>
      <c r="P133" s="465"/>
      <c r="Q133" s="466" t="str">
        <f t="shared" si="9"/>
        <v/>
      </c>
      <c r="R133" s="154" t="str">
        <f>IF($T133="","",VLOOKUP($T133,請求Data!$I$11:$AR$160,請求Data!$AL$10-請求Data!$H$10,0))</f>
        <v/>
      </c>
      <c r="S133" s="155" t="str">
        <f>IF($T133="","",VLOOKUP($T133,請求Data!$I$11:$AR$160,請求Data!$AM$10-請求Data!$H$10,0))</f>
        <v/>
      </c>
      <c r="T133" s="467" t="str">
        <f>IF(ISNA(MATCH($H133,請求Data!$AH$11:$AH$160,0)),"",VLOOKUP($H133,請求Data!$AH$11:$AR$160,請求Data!$AK$10-請求Data!$AG$10,0))</f>
        <v/>
      </c>
      <c r="U133" s="468"/>
      <c r="V133" s="58"/>
    </row>
    <row r="134" spans="1:22" ht="15" customHeight="1">
      <c r="A134" s="58" t="str">
        <f>IF($Q134="","",MAX($A$8:$A133)+1)</f>
        <v/>
      </c>
      <c r="B134" s="614" t="str">
        <f t="shared" si="5"/>
        <v/>
      </c>
      <c r="C134" s="614" t="str">
        <f t="shared" si="6"/>
        <v/>
      </c>
      <c r="D134" s="614" t="str">
        <f t="shared" si="7"/>
        <v/>
      </c>
      <c r="E134" s="615" t="str">
        <f t="shared" si="8"/>
        <v/>
      </c>
      <c r="F134" s="616" t="str">
        <f>IF($H134="","",IF(ISNA(MATCH($H134,$H$7:$H133,0)),1,0))</f>
        <v/>
      </c>
      <c r="G134" s="249"/>
      <c r="H134" s="95"/>
      <c r="I134" s="598" t="str">
        <f>IF($J134="","",INDEX(ﾏｽﾀ!$E$8:$E$124,MATCH(INDEX(ﾏｽﾀ!$N$8:$N$124,MATCH($J134,ﾏｽﾀ!$O$8:$O$124,0)),ﾏｽﾀ!$B$8:$B$124,0))&amp;"")</f>
        <v/>
      </c>
      <c r="J134" s="534"/>
      <c r="K134" s="598" t="str">
        <f>IF($J134="","",INDEX(ﾏｽﾀ!$G$8:$G$124,MATCH(INDEX(ﾏｽﾀ!$N$8:$N$124,MATCH($J134,ﾏｽﾀ!$O$8:$O$124,0)),ﾏｽﾀ!$B$8:$B$124,0))&amp;"")</f>
        <v/>
      </c>
      <c r="L134" s="600" t="str">
        <f>IF($M134="","",INDEX(ﾏｽﾀ!$T$8:$T$16,MATCH($M134,ﾏｽﾀ!$U$8:$U$16,0))&amp;"")</f>
        <v/>
      </c>
      <c r="M134" s="534"/>
      <c r="N134" s="463"/>
      <c r="O134" s="464"/>
      <c r="P134" s="465"/>
      <c r="Q134" s="466" t="str">
        <f t="shared" si="9"/>
        <v/>
      </c>
      <c r="R134" s="154" t="str">
        <f>IF($T134="","",VLOOKUP($T134,請求Data!$I$11:$AR$160,請求Data!$AL$10-請求Data!$H$10,0))</f>
        <v/>
      </c>
      <c r="S134" s="155" t="str">
        <f>IF($T134="","",VLOOKUP($T134,請求Data!$I$11:$AR$160,請求Data!$AM$10-請求Data!$H$10,0))</f>
        <v/>
      </c>
      <c r="T134" s="467" t="str">
        <f>IF(ISNA(MATCH($H134,請求Data!$AH$11:$AH$160,0)),"",VLOOKUP($H134,請求Data!$AH$11:$AR$160,請求Data!$AK$10-請求Data!$AG$10,0))</f>
        <v/>
      </c>
      <c r="U134" s="468"/>
      <c r="V134" s="58"/>
    </row>
    <row r="135" spans="1:22" ht="15" customHeight="1">
      <c r="A135" s="58" t="str">
        <f>IF($Q135="","",MAX($A$8:$A134)+1)</f>
        <v/>
      </c>
      <c r="B135" s="614" t="str">
        <f t="shared" si="5"/>
        <v/>
      </c>
      <c r="C135" s="614" t="str">
        <f t="shared" si="6"/>
        <v/>
      </c>
      <c r="D135" s="614" t="str">
        <f t="shared" si="7"/>
        <v/>
      </c>
      <c r="E135" s="615" t="str">
        <f t="shared" si="8"/>
        <v/>
      </c>
      <c r="F135" s="616" t="str">
        <f>IF($H135="","",IF(ISNA(MATCH($H135,$H$7:$H134,0)),1,0))</f>
        <v/>
      </c>
      <c r="G135" s="249"/>
      <c r="H135" s="95"/>
      <c r="I135" s="598" t="str">
        <f>IF($J135="","",INDEX(ﾏｽﾀ!$E$8:$E$124,MATCH(INDEX(ﾏｽﾀ!$N$8:$N$124,MATCH($J135,ﾏｽﾀ!$O$8:$O$124,0)),ﾏｽﾀ!$B$8:$B$124,0))&amp;"")</f>
        <v/>
      </c>
      <c r="J135" s="534"/>
      <c r="K135" s="598" t="str">
        <f>IF($J135="","",INDEX(ﾏｽﾀ!$G$8:$G$124,MATCH(INDEX(ﾏｽﾀ!$N$8:$N$124,MATCH($J135,ﾏｽﾀ!$O$8:$O$124,0)),ﾏｽﾀ!$B$8:$B$124,0))&amp;"")</f>
        <v/>
      </c>
      <c r="L135" s="600" t="str">
        <f>IF($M135="","",INDEX(ﾏｽﾀ!$T$8:$T$16,MATCH($M135,ﾏｽﾀ!$U$8:$U$16,0))&amp;"")</f>
        <v/>
      </c>
      <c r="M135" s="534"/>
      <c r="N135" s="463"/>
      <c r="O135" s="464"/>
      <c r="P135" s="465"/>
      <c r="Q135" s="466" t="str">
        <f t="shared" si="9"/>
        <v/>
      </c>
      <c r="R135" s="154" t="str">
        <f>IF($T135="","",VLOOKUP($T135,請求Data!$I$11:$AR$160,請求Data!$AL$10-請求Data!$H$10,0))</f>
        <v/>
      </c>
      <c r="S135" s="155" t="str">
        <f>IF($T135="","",VLOOKUP($T135,請求Data!$I$11:$AR$160,請求Data!$AM$10-請求Data!$H$10,0))</f>
        <v/>
      </c>
      <c r="T135" s="467" t="str">
        <f>IF(ISNA(MATCH($H135,請求Data!$AH$11:$AH$160,0)),"",VLOOKUP($H135,請求Data!$AH$11:$AR$160,請求Data!$AK$10-請求Data!$AG$10,0))</f>
        <v/>
      </c>
      <c r="U135" s="468"/>
      <c r="V135" s="58"/>
    </row>
    <row r="136" spans="1:22" ht="15" customHeight="1">
      <c r="A136" s="58" t="str">
        <f>IF($Q136="","",MAX($A$8:$A135)+1)</f>
        <v/>
      </c>
      <c r="B136" s="614" t="str">
        <f t="shared" si="5"/>
        <v/>
      </c>
      <c r="C136" s="614" t="str">
        <f t="shared" si="6"/>
        <v/>
      </c>
      <c r="D136" s="614" t="str">
        <f t="shared" si="7"/>
        <v/>
      </c>
      <c r="E136" s="615" t="str">
        <f t="shared" si="8"/>
        <v/>
      </c>
      <c r="F136" s="616" t="str">
        <f>IF($H136="","",IF(ISNA(MATCH($H136,$H$7:$H135,0)),1,0))</f>
        <v/>
      </c>
      <c r="G136" s="249"/>
      <c r="H136" s="95"/>
      <c r="I136" s="598" t="str">
        <f>IF($J136="","",INDEX(ﾏｽﾀ!$E$8:$E$124,MATCH(INDEX(ﾏｽﾀ!$N$8:$N$124,MATCH($J136,ﾏｽﾀ!$O$8:$O$124,0)),ﾏｽﾀ!$B$8:$B$124,0))&amp;"")</f>
        <v/>
      </c>
      <c r="J136" s="534"/>
      <c r="K136" s="598" t="str">
        <f>IF($J136="","",INDEX(ﾏｽﾀ!$G$8:$G$124,MATCH(INDEX(ﾏｽﾀ!$N$8:$N$124,MATCH($J136,ﾏｽﾀ!$O$8:$O$124,0)),ﾏｽﾀ!$B$8:$B$124,0))&amp;"")</f>
        <v/>
      </c>
      <c r="L136" s="600" t="str">
        <f>IF($M136="","",INDEX(ﾏｽﾀ!$T$8:$T$16,MATCH($M136,ﾏｽﾀ!$U$8:$U$16,0))&amp;"")</f>
        <v/>
      </c>
      <c r="M136" s="534"/>
      <c r="N136" s="463"/>
      <c r="O136" s="464"/>
      <c r="P136" s="465"/>
      <c r="Q136" s="466" t="str">
        <f t="shared" si="9"/>
        <v/>
      </c>
      <c r="R136" s="154" t="str">
        <f>IF($T136="","",VLOOKUP($T136,請求Data!$I$11:$AR$160,請求Data!$AL$10-請求Data!$H$10,0))</f>
        <v/>
      </c>
      <c r="S136" s="155" t="str">
        <f>IF($T136="","",VLOOKUP($T136,請求Data!$I$11:$AR$160,請求Data!$AM$10-請求Data!$H$10,0))</f>
        <v/>
      </c>
      <c r="T136" s="467" t="str">
        <f>IF(ISNA(MATCH($H136,請求Data!$AH$11:$AH$160,0)),"",VLOOKUP($H136,請求Data!$AH$11:$AR$160,請求Data!$AK$10-請求Data!$AG$10,0))</f>
        <v/>
      </c>
      <c r="U136" s="468"/>
      <c r="V136" s="58"/>
    </row>
    <row r="137" spans="1:22" ht="15" customHeight="1">
      <c r="A137" s="58" t="str">
        <f>IF($Q137="","",MAX($A$8:$A136)+1)</f>
        <v/>
      </c>
      <c r="B137" s="614" t="str">
        <f t="shared" ref="B137:B200" si="10">LEFT($D137,8)</f>
        <v/>
      </c>
      <c r="C137" s="614" t="str">
        <f t="shared" ref="C137:C200" si="11">IF($H137="","",CONCATENATE(VLOOKUP($N137,$N$2:$O$5,2,FALSE),$I137,IF($K137="","00",$K137),$E137,$L137))</f>
        <v/>
      </c>
      <c r="D137" s="614" t="str">
        <f t="shared" ref="D137:D200" si="12">IF($H137="","",CONCATENATE(VLOOKUP($N137,$N$2:$O$5,2,FALSE),$I137,IF($K137="","00",$K137),$E137,$F137,$L137))</f>
        <v/>
      </c>
      <c r="E137" s="615" t="str">
        <f t="shared" ref="E137:E200" si="13">IF($H137="","",IF($T137="",1,9))</f>
        <v/>
      </c>
      <c r="F137" s="616" t="str">
        <f>IF($H137="","",IF(ISNA(MATCH($H137,$H$7:$H136,0)),1,0))</f>
        <v/>
      </c>
      <c r="G137" s="249"/>
      <c r="H137" s="95"/>
      <c r="I137" s="598" t="str">
        <f>IF($J137="","",INDEX(ﾏｽﾀ!$E$8:$E$124,MATCH(INDEX(ﾏｽﾀ!$N$8:$N$124,MATCH($J137,ﾏｽﾀ!$O$8:$O$124,0)),ﾏｽﾀ!$B$8:$B$124,0))&amp;"")</f>
        <v/>
      </c>
      <c r="J137" s="534"/>
      <c r="K137" s="598" t="str">
        <f>IF($J137="","",INDEX(ﾏｽﾀ!$G$8:$G$124,MATCH(INDEX(ﾏｽﾀ!$N$8:$N$124,MATCH($J137,ﾏｽﾀ!$O$8:$O$124,0)),ﾏｽﾀ!$B$8:$B$124,0))&amp;"")</f>
        <v/>
      </c>
      <c r="L137" s="600" t="str">
        <f>IF($M137="","",INDEX(ﾏｽﾀ!$T$8:$T$16,MATCH($M137,ﾏｽﾀ!$U$8:$U$16,0))&amp;"")</f>
        <v/>
      </c>
      <c r="M137" s="534"/>
      <c r="N137" s="463"/>
      <c r="O137" s="464"/>
      <c r="P137" s="465"/>
      <c r="Q137" s="466" t="str">
        <f t="shared" si="9"/>
        <v/>
      </c>
      <c r="R137" s="154" t="str">
        <f>IF($T137="","",VLOOKUP($T137,請求Data!$I$11:$AR$160,請求Data!$AL$10-請求Data!$H$10,0))</f>
        <v/>
      </c>
      <c r="S137" s="155" t="str">
        <f>IF($T137="","",VLOOKUP($T137,請求Data!$I$11:$AR$160,請求Data!$AM$10-請求Data!$H$10,0))</f>
        <v/>
      </c>
      <c r="T137" s="467" t="str">
        <f>IF(ISNA(MATCH($H137,請求Data!$AH$11:$AH$160,0)),"",VLOOKUP($H137,請求Data!$AH$11:$AR$160,請求Data!$AK$10-請求Data!$AG$10,0))</f>
        <v/>
      </c>
      <c r="U137" s="468"/>
      <c r="V137" s="58"/>
    </row>
    <row r="138" spans="1:22" ht="15" customHeight="1">
      <c r="A138" s="58" t="str">
        <f>IF($Q138="","",MAX($A$8:$A137)+1)</f>
        <v/>
      </c>
      <c r="B138" s="614" t="str">
        <f t="shared" si="10"/>
        <v/>
      </c>
      <c r="C138" s="614" t="str">
        <f t="shared" si="11"/>
        <v/>
      </c>
      <c r="D138" s="614" t="str">
        <f t="shared" si="12"/>
        <v/>
      </c>
      <c r="E138" s="615" t="str">
        <f t="shared" si="13"/>
        <v/>
      </c>
      <c r="F138" s="616" t="str">
        <f>IF($H138="","",IF(ISNA(MATCH($H138,$H$7:$H137,0)),1,0))</f>
        <v/>
      </c>
      <c r="G138" s="249"/>
      <c r="H138" s="95"/>
      <c r="I138" s="598" t="str">
        <f>IF($J138="","",INDEX(ﾏｽﾀ!$E$8:$E$124,MATCH(INDEX(ﾏｽﾀ!$N$8:$N$124,MATCH($J138,ﾏｽﾀ!$O$8:$O$124,0)),ﾏｽﾀ!$B$8:$B$124,0))&amp;"")</f>
        <v/>
      </c>
      <c r="J138" s="534"/>
      <c r="K138" s="598" t="str">
        <f>IF($J138="","",INDEX(ﾏｽﾀ!$G$8:$G$124,MATCH(INDEX(ﾏｽﾀ!$N$8:$N$124,MATCH($J138,ﾏｽﾀ!$O$8:$O$124,0)),ﾏｽﾀ!$B$8:$B$124,0))&amp;"")</f>
        <v/>
      </c>
      <c r="L138" s="600" t="str">
        <f>IF($M138="","",INDEX(ﾏｽﾀ!$T$8:$T$16,MATCH($M138,ﾏｽﾀ!$U$8:$U$16,0))&amp;"")</f>
        <v/>
      </c>
      <c r="M138" s="534"/>
      <c r="N138" s="463"/>
      <c r="O138" s="464"/>
      <c r="P138" s="465"/>
      <c r="Q138" s="466" t="str">
        <f t="shared" si="9"/>
        <v/>
      </c>
      <c r="R138" s="154" t="str">
        <f>IF($T138="","",VLOOKUP($T138,請求Data!$I$11:$AR$160,請求Data!$AL$10-請求Data!$H$10,0))</f>
        <v/>
      </c>
      <c r="S138" s="155" t="str">
        <f>IF($T138="","",VLOOKUP($T138,請求Data!$I$11:$AR$160,請求Data!$AM$10-請求Data!$H$10,0))</f>
        <v/>
      </c>
      <c r="T138" s="467" t="str">
        <f>IF(ISNA(MATCH($H138,請求Data!$AH$11:$AH$160,0)),"",VLOOKUP($H138,請求Data!$AH$11:$AR$160,請求Data!$AK$10-請求Data!$AG$10,0))</f>
        <v/>
      </c>
      <c r="U138" s="468"/>
      <c r="V138" s="58"/>
    </row>
    <row r="139" spans="1:22" ht="15" customHeight="1">
      <c r="A139" s="58" t="str">
        <f>IF($Q139="","",MAX($A$8:$A138)+1)</f>
        <v/>
      </c>
      <c r="B139" s="614" t="str">
        <f t="shared" si="10"/>
        <v/>
      </c>
      <c r="C139" s="614" t="str">
        <f t="shared" si="11"/>
        <v/>
      </c>
      <c r="D139" s="614" t="str">
        <f t="shared" si="12"/>
        <v/>
      </c>
      <c r="E139" s="615" t="str">
        <f t="shared" si="13"/>
        <v/>
      </c>
      <c r="F139" s="616" t="str">
        <f>IF($H139="","",IF(ISNA(MATCH($H139,$H$7:$H138,0)),1,0))</f>
        <v/>
      </c>
      <c r="G139" s="249"/>
      <c r="H139" s="95"/>
      <c r="I139" s="598" t="str">
        <f>IF($J139="","",INDEX(ﾏｽﾀ!$E$8:$E$124,MATCH(INDEX(ﾏｽﾀ!$N$8:$N$124,MATCH($J139,ﾏｽﾀ!$O$8:$O$124,0)),ﾏｽﾀ!$B$8:$B$124,0))&amp;"")</f>
        <v/>
      </c>
      <c r="J139" s="534"/>
      <c r="K139" s="598" t="str">
        <f>IF($J139="","",INDEX(ﾏｽﾀ!$G$8:$G$124,MATCH(INDEX(ﾏｽﾀ!$N$8:$N$124,MATCH($J139,ﾏｽﾀ!$O$8:$O$124,0)),ﾏｽﾀ!$B$8:$B$124,0))&amp;"")</f>
        <v/>
      </c>
      <c r="L139" s="600" t="str">
        <f>IF($M139="","",INDEX(ﾏｽﾀ!$T$8:$T$16,MATCH($M139,ﾏｽﾀ!$U$8:$U$16,0))&amp;"")</f>
        <v/>
      </c>
      <c r="M139" s="534"/>
      <c r="N139" s="463"/>
      <c r="O139" s="464"/>
      <c r="P139" s="465"/>
      <c r="Q139" s="466" t="str">
        <f t="shared" si="9"/>
        <v/>
      </c>
      <c r="R139" s="154" t="str">
        <f>IF($T139="","",VLOOKUP($T139,請求Data!$I$11:$AR$160,請求Data!$AL$10-請求Data!$H$10,0))</f>
        <v/>
      </c>
      <c r="S139" s="155" t="str">
        <f>IF($T139="","",VLOOKUP($T139,請求Data!$I$11:$AR$160,請求Data!$AM$10-請求Data!$H$10,0))</f>
        <v/>
      </c>
      <c r="T139" s="467" t="str">
        <f>IF(ISNA(MATCH($H139,請求Data!$AH$11:$AH$160,0)),"",VLOOKUP($H139,請求Data!$AH$11:$AR$160,請求Data!$AK$10-請求Data!$AG$10,0))</f>
        <v/>
      </c>
      <c r="U139" s="468"/>
      <c r="V139" s="58"/>
    </row>
    <row r="140" spans="1:22" ht="15" customHeight="1">
      <c r="A140" s="58" t="str">
        <f>IF($Q140="","",MAX($A$8:$A139)+1)</f>
        <v/>
      </c>
      <c r="B140" s="614" t="str">
        <f t="shared" si="10"/>
        <v/>
      </c>
      <c r="C140" s="614" t="str">
        <f t="shared" si="11"/>
        <v/>
      </c>
      <c r="D140" s="614" t="str">
        <f t="shared" si="12"/>
        <v/>
      </c>
      <c r="E140" s="615" t="str">
        <f t="shared" si="13"/>
        <v/>
      </c>
      <c r="F140" s="616" t="str">
        <f>IF($H140="","",IF(ISNA(MATCH($H140,$H$7:$H139,0)),1,0))</f>
        <v/>
      </c>
      <c r="G140" s="249"/>
      <c r="H140" s="95"/>
      <c r="I140" s="598" t="str">
        <f>IF($J140="","",INDEX(ﾏｽﾀ!$E$8:$E$124,MATCH(INDEX(ﾏｽﾀ!$N$8:$N$124,MATCH($J140,ﾏｽﾀ!$O$8:$O$124,0)),ﾏｽﾀ!$B$8:$B$124,0))&amp;"")</f>
        <v/>
      </c>
      <c r="J140" s="534"/>
      <c r="K140" s="598" t="str">
        <f>IF($J140="","",INDEX(ﾏｽﾀ!$G$8:$G$124,MATCH(INDEX(ﾏｽﾀ!$N$8:$N$124,MATCH($J140,ﾏｽﾀ!$O$8:$O$124,0)),ﾏｽﾀ!$B$8:$B$124,0))&amp;"")</f>
        <v/>
      </c>
      <c r="L140" s="600" t="str">
        <f>IF($M140="","",INDEX(ﾏｽﾀ!$T$8:$T$16,MATCH($M140,ﾏｽﾀ!$U$8:$U$16,0))&amp;"")</f>
        <v/>
      </c>
      <c r="M140" s="534"/>
      <c r="N140" s="463"/>
      <c r="O140" s="464"/>
      <c r="P140" s="465"/>
      <c r="Q140" s="466" t="str">
        <f t="shared" si="9"/>
        <v/>
      </c>
      <c r="R140" s="154" t="str">
        <f>IF($T140="","",VLOOKUP($T140,請求Data!$I$11:$AR$160,請求Data!$AL$10-請求Data!$H$10,0))</f>
        <v/>
      </c>
      <c r="S140" s="155" t="str">
        <f>IF($T140="","",VLOOKUP($T140,請求Data!$I$11:$AR$160,請求Data!$AM$10-請求Data!$H$10,0))</f>
        <v/>
      </c>
      <c r="T140" s="467" t="str">
        <f>IF(ISNA(MATCH($H140,請求Data!$AH$11:$AH$160,0)),"",VLOOKUP($H140,請求Data!$AH$11:$AR$160,請求Data!$AK$10-請求Data!$AG$10,0))</f>
        <v/>
      </c>
      <c r="U140" s="468"/>
      <c r="V140" s="58"/>
    </row>
    <row r="141" spans="1:22" ht="15" customHeight="1">
      <c r="A141" s="58" t="str">
        <f>IF($Q141="","",MAX($A$8:$A140)+1)</f>
        <v/>
      </c>
      <c r="B141" s="614" t="str">
        <f t="shared" si="10"/>
        <v/>
      </c>
      <c r="C141" s="614" t="str">
        <f t="shared" si="11"/>
        <v/>
      </c>
      <c r="D141" s="614" t="str">
        <f t="shared" si="12"/>
        <v/>
      </c>
      <c r="E141" s="615" t="str">
        <f t="shared" si="13"/>
        <v/>
      </c>
      <c r="F141" s="616" t="str">
        <f>IF($H141="","",IF(ISNA(MATCH($H141,$H$7:$H140,0)),1,0))</f>
        <v/>
      </c>
      <c r="G141" s="249"/>
      <c r="H141" s="95"/>
      <c r="I141" s="598" t="str">
        <f>IF($J141="","",INDEX(ﾏｽﾀ!$E$8:$E$124,MATCH(INDEX(ﾏｽﾀ!$N$8:$N$124,MATCH($J141,ﾏｽﾀ!$O$8:$O$124,0)),ﾏｽﾀ!$B$8:$B$124,0))&amp;"")</f>
        <v/>
      </c>
      <c r="J141" s="534"/>
      <c r="K141" s="598" t="str">
        <f>IF($J141="","",INDEX(ﾏｽﾀ!$G$8:$G$124,MATCH(INDEX(ﾏｽﾀ!$N$8:$N$124,MATCH($J141,ﾏｽﾀ!$O$8:$O$124,0)),ﾏｽﾀ!$B$8:$B$124,0))&amp;"")</f>
        <v/>
      </c>
      <c r="L141" s="600" t="str">
        <f>IF($M141="","",INDEX(ﾏｽﾀ!$T$8:$T$16,MATCH($M141,ﾏｽﾀ!$U$8:$U$16,0))&amp;"")</f>
        <v/>
      </c>
      <c r="M141" s="534"/>
      <c r="N141" s="463"/>
      <c r="O141" s="464"/>
      <c r="P141" s="465"/>
      <c r="Q141" s="466" t="str">
        <f t="shared" si="9"/>
        <v/>
      </c>
      <c r="R141" s="154" t="str">
        <f>IF($T141="","",VLOOKUP($T141,請求Data!$I$11:$AR$160,請求Data!$AL$10-請求Data!$H$10,0))</f>
        <v/>
      </c>
      <c r="S141" s="155" t="str">
        <f>IF($T141="","",VLOOKUP($T141,請求Data!$I$11:$AR$160,請求Data!$AM$10-請求Data!$H$10,0))</f>
        <v/>
      </c>
      <c r="T141" s="467" t="str">
        <f>IF(ISNA(MATCH($H141,請求Data!$AH$11:$AH$160,0)),"",VLOOKUP($H141,請求Data!$AH$11:$AR$160,請求Data!$AK$10-請求Data!$AG$10,0))</f>
        <v/>
      </c>
      <c r="U141" s="468"/>
      <c r="V141" s="58"/>
    </row>
    <row r="142" spans="1:22" ht="15" customHeight="1">
      <c r="A142" s="58" t="str">
        <f>IF($Q142="","",MAX($A$8:$A141)+1)</f>
        <v/>
      </c>
      <c r="B142" s="614" t="str">
        <f t="shared" si="10"/>
        <v/>
      </c>
      <c r="C142" s="614" t="str">
        <f t="shared" si="11"/>
        <v/>
      </c>
      <c r="D142" s="614" t="str">
        <f t="shared" si="12"/>
        <v/>
      </c>
      <c r="E142" s="615" t="str">
        <f t="shared" si="13"/>
        <v/>
      </c>
      <c r="F142" s="616" t="str">
        <f>IF($H142="","",IF(ISNA(MATCH($H142,$H$7:$H141,0)),1,0))</f>
        <v/>
      </c>
      <c r="G142" s="249"/>
      <c r="H142" s="95"/>
      <c r="I142" s="598" t="str">
        <f>IF($J142="","",INDEX(ﾏｽﾀ!$E$8:$E$124,MATCH(INDEX(ﾏｽﾀ!$N$8:$N$124,MATCH($J142,ﾏｽﾀ!$O$8:$O$124,0)),ﾏｽﾀ!$B$8:$B$124,0))&amp;"")</f>
        <v/>
      </c>
      <c r="J142" s="534"/>
      <c r="K142" s="598" t="str">
        <f>IF($J142="","",INDEX(ﾏｽﾀ!$G$8:$G$124,MATCH(INDEX(ﾏｽﾀ!$N$8:$N$124,MATCH($J142,ﾏｽﾀ!$O$8:$O$124,0)),ﾏｽﾀ!$B$8:$B$124,0))&amp;"")</f>
        <v/>
      </c>
      <c r="L142" s="600" t="str">
        <f>IF($M142="","",INDEX(ﾏｽﾀ!$T$8:$T$16,MATCH($M142,ﾏｽﾀ!$U$8:$U$16,0))&amp;"")</f>
        <v/>
      </c>
      <c r="M142" s="534"/>
      <c r="N142" s="463"/>
      <c r="O142" s="464"/>
      <c r="P142" s="465"/>
      <c r="Q142" s="466" t="str">
        <f t="shared" ref="Q142:Q205" si="14">IF($O142="","",IF($N142="\",ROUNDDOWN($O142*$P142,0)+$U142,ROUNDDOWN($O142*$P142,2)+$U142))</f>
        <v/>
      </c>
      <c r="R142" s="154" t="str">
        <f>IF($T142="","",VLOOKUP($T142,請求Data!$I$11:$AR$160,請求Data!$AL$10-請求Data!$H$10,0))</f>
        <v/>
      </c>
      <c r="S142" s="155" t="str">
        <f>IF($T142="","",VLOOKUP($T142,請求Data!$I$11:$AR$160,請求Data!$AM$10-請求Data!$H$10,0))</f>
        <v/>
      </c>
      <c r="T142" s="467" t="str">
        <f>IF(ISNA(MATCH($H142,請求Data!$AH$11:$AH$160,0)),"",VLOOKUP($H142,請求Data!$AH$11:$AR$160,請求Data!$AK$10-請求Data!$AG$10,0))</f>
        <v/>
      </c>
      <c r="U142" s="468"/>
      <c r="V142" s="58"/>
    </row>
    <row r="143" spans="1:22" ht="15" customHeight="1">
      <c r="A143" s="58" t="str">
        <f>IF($Q143="","",MAX($A$8:$A142)+1)</f>
        <v/>
      </c>
      <c r="B143" s="614" t="str">
        <f t="shared" si="10"/>
        <v/>
      </c>
      <c r="C143" s="614" t="str">
        <f t="shared" si="11"/>
        <v/>
      </c>
      <c r="D143" s="614" t="str">
        <f t="shared" si="12"/>
        <v/>
      </c>
      <c r="E143" s="615" t="str">
        <f t="shared" si="13"/>
        <v/>
      </c>
      <c r="F143" s="616" t="str">
        <f>IF($H143="","",IF(ISNA(MATCH($H143,$H$7:$H142,0)),1,0))</f>
        <v/>
      </c>
      <c r="G143" s="249"/>
      <c r="H143" s="95"/>
      <c r="I143" s="598" t="str">
        <f>IF($J143="","",INDEX(ﾏｽﾀ!$E$8:$E$124,MATCH(INDEX(ﾏｽﾀ!$N$8:$N$124,MATCH($J143,ﾏｽﾀ!$O$8:$O$124,0)),ﾏｽﾀ!$B$8:$B$124,0))&amp;"")</f>
        <v/>
      </c>
      <c r="J143" s="534"/>
      <c r="K143" s="598" t="str">
        <f>IF($J143="","",INDEX(ﾏｽﾀ!$G$8:$G$124,MATCH(INDEX(ﾏｽﾀ!$N$8:$N$124,MATCH($J143,ﾏｽﾀ!$O$8:$O$124,0)),ﾏｽﾀ!$B$8:$B$124,0))&amp;"")</f>
        <v/>
      </c>
      <c r="L143" s="600" t="str">
        <f>IF($M143="","",INDEX(ﾏｽﾀ!$T$8:$T$16,MATCH($M143,ﾏｽﾀ!$U$8:$U$16,0))&amp;"")</f>
        <v/>
      </c>
      <c r="M143" s="534"/>
      <c r="N143" s="463"/>
      <c r="O143" s="464"/>
      <c r="P143" s="465"/>
      <c r="Q143" s="466" t="str">
        <f t="shared" si="14"/>
        <v/>
      </c>
      <c r="R143" s="154" t="str">
        <f>IF($T143="","",VLOOKUP($T143,請求Data!$I$11:$AR$160,請求Data!$AL$10-請求Data!$H$10,0))</f>
        <v/>
      </c>
      <c r="S143" s="155" t="str">
        <f>IF($T143="","",VLOOKUP($T143,請求Data!$I$11:$AR$160,請求Data!$AM$10-請求Data!$H$10,0))</f>
        <v/>
      </c>
      <c r="T143" s="467" t="str">
        <f>IF(ISNA(MATCH($H143,請求Data!$AH$11:$AH$160,0)),"",VLOOKUP($H143,請求Data!$AH$11:$AR$160,請求Data!$AK$10-請求Data!$AG$10,0))</f>
        <v/>
      </c>
      <c r="U143" s="468"/>
      <c r="V143" s="58"/>
    </row>
    <row r="144" spans="1:22" ht="15" customHeight="1">
      <c r="A144" s="58" t="str">
        <f>IF($Q144="","",MAX($A$8:$A143)+1)</f>
        <v/>
      </c>
      <c r="B144" s="614" t="str">
        <f t="shared" si="10"/>
        <v/>
      </c>
      <c r="C144" s="614" t="str">
        <f t="shared" si="11"/>
        <v/>
      </c>
      <c r="D144" s="614" t="str">
        <f t="shared" si="12"/>
        <v/>
      </c>
      <c r="E144" s="615" t="str">
        <f t="shared" si="13"/>
        <v/>
      </c>
      <c r="F144" s="616" t="str">
        <f>IF($H144="","",IF(ISNA(MATCH($H144,$H$7:$H143,0)),1,0))</f>
        <v/>
      </c>
      <c r="G144" s="249"/>
      <c r="H144" s="95"/>
      <c r="I144" s="598" t="str">
        <f>IF($J144="","",INDEX(ﾏｽﾀ!$E$8:$E$124,MATCH(INDEX(ﾏｽﾀ!$N$8:$N$124,MATCH($J144,ﾏｽﾀ!$O$8:$O$124,0)),ﾏｽﾀ!$B$8:$B$124,0))&amp;"")</f>
        <v/>
      </c>
      <c r="J144" s="534"/>
      <c r="K144" s="598" t="str">
        <f>IF($J144="","",INDEX(ﾏｽﾀ!$G$8:$G$124,MATCH(INDEX(ﾏｽﾀ!$N$8:$N$124,MATCH($J144,ﾏｽﾀ!$O$8:$O$124,0)),ﾏｽﾀ!$B$8:$B$124,0))&amp;"")</f>
        <v/>
      </c>
      <c r="L144" s="600" t="str">
        <f>IF($M144="","",INDEX(ﾏｽﾀ!$T$8:$T$16,MATCH($M144,ﾏｽﾀ!$U$8:$U$16,0))&amp;"")</f>
        <v/>
      </c>
      <c r="M144" s="534"/>
      <c r="N144" s="463"/>
      <c r="O144" s="464"/>
      <c r="P144" s="465"/>
      <c r="Q144" s="466" t="str">
        <f t="shared" si="14"/>
        <v/>
      </c>
      <c r="R144" s="154" t="str">
        <f>IF($T144="","",VLOOKUP($T144,請求Data!$I$11:$AR$160,請求Data!$AL$10-請求Data!$H$10,0))</f>
        <v/>
      </c>
      <c r="S144" s="155" t="str">
        <f>IF($T144="","",VLOOKUP($T144,請求Data!$I$11:$AR$160,請求Data!$AM$10-請求Data!$H$10,0))</f>
        <v/>
      </c>
      <c r="T144" s="467" t="str">
        <f>IF(ISNA(MATCH($H144,請求Data!$AH$11:$AH$160,0)),"",VLOOKUP($H144,請求Data!$AH$11:$AR$160,請求Data!$AK$10-請求Data!$AG$10,0))</f>
        <v/>
      </c>
      <c r="U144" s="468"/>
      <c r="V144" s="58"/>
    </row>
    <row r="145" spans="1:22" ht="15" customHeight="1">
      <c r="A145" s="58" t="str">
        <f>IF($Q145="","",MAX($A$8:$A144)+1)</f>
        <v/>
      </c>
      <c r="B145" s="614" t="str">
        <f t="shared" si="10"/>
        <v/>
      </c>
      <c r="C145" s="614" t="str">
        <f t="shared" si="11"/>
        <v/>
      </c>
      <c r="D145" s="614" t="str">
        <f t="shared" si="12"/>
        <v/>
      </c>
      <c r="E145" s="615" t="str">
        <f t="shared" si="13"/>
        <v/>
      </c>
      <c r="F145" s="616" t="str">
        <f>IF($H145="","",IF(ISNA(MATCH($H145,$H$7:$H144,0)),1,0))</f>
        <v/>
      </c>
      <c r="G145" s="249"/>
      <c r="H145" s="95"/>
      <c r="I145" s="598" t="str">
        <f>IF($J145="","",INDEX(ﾏｽﾀ!$E$8:$E$124,MATCH(INDEX(ﾏｽﾀ!$N$8:$N$124,MATCH($J145,ﾏｽﾀ!$O$8:$O$124,0)),ﾏｽﾀ!$B$8:$B$124,0))&amp;"")</f>
        <v/>
      </c>
      <c r="J145" s="534"/>
      <c r="K145" s="598" t="str">
        <f>IF($J145="","",INDEX(ﾏｽﾀ!$G$8:$G$124,MATCH(INDEX(ﾏｽﾀ!$N$8:$N$124,MATCH($J145,ﾏｽﾀ!$O$8:$O$124,0)),ﾏｽﾀ!$B$8:$B$124,0))&amp;"")</f>
        <v/>
      </c>
      <c r="L145" s="600" t="str">
        <f>IF($M145="","",INDEX(ﾏｽﾀ!$T$8:$T$16,MATCH($M145,ﾏｽﾀ!$U$8:$U$16,0))&amp;"")</f>
        <v/>
      </c>
      <c r="M145" s="534"/>
      <c r="N145" s="463"/>
      <c r="O145" s="464"/>
      <c r="P145" s="465"/>
      <c r="Q145" s="466" t="str">
        <f t="shared" si="14"/>
        <v/>
      </c>
      <c r="R145" s="154" t="str">
        <f>IF($T145="","",VLOOKUP($T145,請求Data!$I$11:$AR$160,請求Data!$AL$10-請求Data!$H$10,0))</f>
        <v/>
      </c>
      <c r="S145" s="155" t="str">
        <f>IF($T145="","",VLOOKUP($T145,請求Data!$I$11:$AR$160,請求Data!$AM$10-請求Data!$H$10,0))</f>
        <v/>
      </c>
      <c r="T145" s="467" t="str">
        <f>IF(ISNA(MATCH($H145,請求Data!$AH$11:$AH$160,0)),"",VLOOKUP($H145,請求Data!$AH$11:$AR$160,請求Data!$AK$10-請求Data!$AG$10,0))</f>
        <v/>
      </c>
      <c r="U145" s="468"/>
      <c r="V145" s="58"/>
    </row>
    <row r="146" spans="1:22" ht="15" customHeight="1">
      <c r="A146" s="58" t="str">
        <f>IF($Q146="","",MAX($A$8:$A145)+1)</f>
        <v/>
      </c>
      <c r="B146" s="614" t="str">
        <f t="shared" si="10"/>
        <v/>
      </c>
      <c r="C146" s="614" t="str">
        <f t="shared" si="11"/>
        <v/>
      </c>
      <c r="D146" s="614" t="str">
        <f t="shared" si="12"/>
        <v/>
      </c>
      <c r="E146" s="615" t="str">
        <f t="shared" si="13"/>
        <v/>
      </c>
      <c r="F146" s="616" t="str">
        <f>IF($H146="","",IF(ISNA(MATCH($H146,$H$7:$H145,0)),1,0))</f>
        <v/>
      </c>
      <c r="G146" s="249"/>
      <c r="H146" s="95"/>
      <c r="I146" s="598" t="str">
        <f>IF($J146="","",INDEX(ﾏｽﾀ!$E$8:$E$124,MATCH(INDEX(ﾏｽﾀ!$N$8:$N$124,MATCH($J146,ﾏｽﾀ!$O$8:$O$124,0)),ﾏｽﾀ!$B$8:$B$124,0))&amp;"")</f>
        <v/>
      </c>
      <c r="J146" s="534"/>
      <c r="K146" s="598" t="str">
        <f>IF($J146="","",INDEX(ﾏｽﾀ!$G$8:$G$124,MATCH(INDEX(ﾏｽﾀ!$N$8:$N$124,MATCH($J146,ﾏｽﾀ!$O$8:$O$124,0)),ﾏｽﾀ!$B$8:$B$124,0))&amp;"")</f>
        <v/>
      </c>
      <c r="L146" s="600" t="str">
        <f>IF($M146="","",INDEX(ﾏｽﾀ!$T$8:$T$16,MATCH($M146,ﾏｽﾀ!$U$8:$U$16,0))&amp;"")</f>
        <v/>
      </c>
      <c r="M146" s="534"/>
      <c r="N146" s="463"/>
      <c r="O146" s="464"/>
      <c r="P146" s="465"/>
      <c r="Q146" s="466" t="str">
        <f t="shared" si="14"/>
        <v/>
      </c>
      <c r="R146" s="154" t="str">
        <f>IF($T146="","",VLOOKUP($T146,請求Data!$I$11:$AR$160,請求Data!$AL$10-請求Data!$H$10,0))</f>
        <v/>
      </c>
      <c r="S146" s="155" t="str">
        <f>IF($T146="","",VLOOKUP($T146,請求Data!$I$11:$AR$160,請求Data!$AM$10-請求Data!$H$10,0))</f>
        <v/>
      </c>
      <c r="T146" s="467" t="str">
        <f>IF(ISNA(MATCH($H146,請求Data!$AH$11:$AH$160,0)),"",VLOOKUP($H146,請求Data!$AH$11:$AR$160,請求Data!$AK$10-請求Data!$AG$10,0))</f>
        <v/>
      </c>
      <c r="U146" s="468"/>
      <c r="V146" s="58"/>
    </row>
    <row r="147" spans="1:22" ht="15" customHeight="1">
      <c r="A147" s="58" t="str">
        <f>IF($Q147="","",MAX($A$8:$A146)+1)</f>
        <v/>
      </c>
      <c r="B147" s="614" t="str">
        <f t="shared" si="10"/>
        <v/>
      </c>
      <c r="C147" s="614" t="str">
        <f t="shared" si="11"/>
        <v/>
      </c>
      <c r="D147" s="614" t="str">
        <f t="shared" si="12"/>
        <v/>
      </c>
      <c r="E147" s="615" t="str">
        <f t="shared" si="13"/>
        <v/>
      </c>
      <c r="F147" s="616" t="str">
        <f>IF($H147="","",IF(ISNA(MATCH($H147,$H$7:$H146,0)),1,0))</f>
        <v/>
      </c>
      <c r="G147" s="249"/>
      <c r="H147" s="95"/>
      <c r="I147" s="598" t="str">
        <f>IF($J147="","",INDEX(ﾏｽﾀ!$E$8:$E$124,MATCH(INDEX(ﾏｽﾀ!$N$8:$N$124,MATCH($J147,ﾏｽﾀ!$O$8:$O$124,0)),ﾏｽﾀ!$B$8:$B$124,0))&amp;"")</f>
        <v/>
      </c>
      <c r="J147" s="534"/>
      <c r="K147" s="598" t="str">
        <f>IF($J147="","",INDEX(ﾏｽﾀ!$G$8:$G$124,MATCH(INDEX(ﾏｽﾀ!$N$8:$N$124,MATCH($J147,ﾏｽﾀ!$O$8:$O$124,0)),ﾏｽﾀ!$B$8:$B$124,0))&amp;"")</f>
        <v/>
      </c>
      <c r="L147" s="600" t="str">
        <f>IF($M147="","",INDEX(ﾏｽﾀ!$T$8:$T$16,MATCH($M147,ﾏｽﾀ!$U$8:$U$16,0))&amp;"")</f>
        <v/>
      </c>
      <c r="M147" s="534"/>
      <c r="N147" s="463"/>
      <c r="O147" s="464"/>
      <c r="P147" s="465"/>
      <c r="Q147" s="466" t="str">
        <f t="shared" si="14"/>
        <v/>
      </c>
      <c r="R147" s="154" t="str">
        <f>IF($T147="","",VLOOKUP($T147,請求Data!$I$11:$AR$160,請求Data!$AL$10-請求Data!$H$10,0))</f>
        <v/>
      </c>
      <c r="S147" s="155" t="str">
        <f>IF($T147="","",VLOOKUP($T147,請求Data!$I$11:$AR$160,請求Data!$AM$10-請求Data!$H$10,0))</f>
        <v/>
      </c>
      <c r="T147" s="467" t="str">
        <f>IF(ISNA(MATCH($H147,請求Data!$AH$11:$AH$160,0)),"",VLOOKUP($H147,請求Data!$AH$11:$AR$160,請求Data!$AK$10-請求Data!$AG$10,0))</f>
        <v/>
      </c>
      <c r="U147" s="468"/>
      <c r="V147" s="58"/>
    </row>
    <row r="148" spans="1:22" ht="15" customHeight="1">
      <c r="A148" s="58" t="str">
        <f>IF($Q148="","",MAX($A$8:$A147)+1)</f>
        <v/>
      </c>
      <c r="B148" s="614" t="str">
        <f t="shared" si="10"/>
        <v/>
      </c>
      <c r="C148" s="614" t="str">
        <f t="shared" si="11"/>
        <v/>
      </c>
      <c r="D148" s="614" t="str">
        <f t="shared" si="12"/>
        <v/>
      </c>
      <c r="E148" s="615" t="str">
        <f t="shared" si="13"/>
        <v/>
      </c>
      <c r="F148" s="616" t="str">
        <f>IF($H148="","",IF(ISNA(MATCH($H148,$H$7:$H147,0)),1,0))</f>
        <v/>
      </c>
      <c r="G148" s="249"/>
      <c r="H148" s="95"/>
      <c r="I148" s="598" t="str">
        <f>IF($J148="","",INDEX(ﾏｽﾀ!$E$8:$E$124,MATCH(INDEX(ﾏｽﾀ!$N$8:$N$124,MATCH($J148,ﾏｽﾀ!$O$8:$O$124,0)),ﾏｽﾀ!$B$8:$B$124,0))&amp;"")</f>
        <v/>
      </c>
      <c r="J148" s="534"/>
      <c r="K148" s="598" t="str">
        <f>IF($J148="","",INDEX(ﾏｽﾀ!$G$8:$G$124,MATCH(INDEX(ﾏｽﾀ!$N$8:$N$124,MATCH($J148,ﾏｽﾀ!$O$8:$O$124,0)),ﾏｽﾀ!$B$8:$B$124,0))&amp;"")</f>
        <v/>
      </c>
      <c r="L148" s="600" t="str">
        <f>IF($M148="","",INDEX(ﾏｽﾀ!$T$8:$T$16,MATCH($M148,ﾏｽﾀ!$U$8:$U$16,0))&amp;"")</f>
        <v/>
      </c>
      <c r="M148" s="534"/>
      <c r="N148" s="463"/>
      <c r="O148" s="464"/>
      <c r="P148" s="465"/>
      <c r="Q148" s="466" t="str">
        <f t="shared" si="14"/>
        <v/>
      </c>
      <c r="R148" s="154" t="str">
        <f>IF($T148="","",VLOOKUP($T148,請求Data!$I$11:$AR$160,請求Data!$AL$10-請求Data!$H$10,0))</f>
        <v/>
      </c>
      <c r="S148" s="155" t="str">
        <f>IF($T148="","",VLOOKUP($T148,請求Data!$I$11:$AR$160,請求Data!$AM$10-請求Data!$H$10,0))</f>
        <v/>
      </c>
      <c r="T148" s="467" t="str">
        <f>IF(ISNA(MATCH($H148,請求Data!$AH$11:$AH$160,0)),"",VLOOKUP($H148,請求Data!$AH$11:$AR$160,請求Data!$AK$10-請求Data!$AG$10,0))</f>
        <v/>
      </c>
      <c r="U148" s="468"/>
      <c r="V148" s="58"/>
    </row>
    <row r="149" spans="1:22" ht="15" customHeight="1">
      <c r="A149" s="58" t="str">
        <f>IF($Q149="","",MAX($A$8:$A148)+1)</f>
        <v/>
      </c>
      <c r="B149" s="614" t="str">
        <f t="shared" si="10"/>
        <v/>
      </c>
      <c r="C149" s="614" t="str">
        <f t="shared" si="11"/>
        <v/>
      </c>
      <c r="D149" s="614" t="str">
        <f t="shared" si="12"/>
        <v/>
      </c>
      <c r="E149" s="615" t="str">
        <f t="shared" si="13"/>
        <v/>
      </c>
      <c r="F149" s="616" t="str">
        <f>IF($H149="","",IF(ISNA(MATCH($H149,$H$7:$H148,0)),1,0))</f>
        <v/>
      </c>
      <c r="G149" s="249"/>
      <c r="H149" s="95"/>
      <c r="I149" s="598" t="str">
        <f>IF($J149="","",INDEX(ﾏｽﾀ!$E$8:$E$124,MATCH(INDEX(ﾏｽﾀ!$N$8:$N$124,MATCH($J149,ﾏｽﾀ!$O$8:$O$124,0)),ﾏｽﾀ!$B$8:$B$124,0))&amp;"")</f>
        <v/>
      </c>
      <c r="J149" s="534"/>
      <c r="K149" s="598" t="str">
        <f>IF($J149="","",INDEX(ﾏｽﾀ!$G$8:$G$124,MATCH(INDEX(ﾏｽﾀ!$N$8:$N$124,MATCH($J149,ﾏｽﾀ!$O$8:$O$124,0)),ﾏｽﾀ!$B$8:$B$124,0))&amp;"")</f>
        <v/>
      </c>
      <c r="L149" s="600" t="str">
        <f>IF($M149="","",INDEX(ﾏｽﾀ!$T$8:$T$16,MATCH($M149,ﾏｽﾀ!$U$8:$U$16,0))&amp;"")</f>
        <v/>
      </c>
      <c r="M149" s="534"/>
      <c r="N149" s="463"/>
      <c r="O149" s="464"/>
      <c r="P149" s="465"/>
      <c r="Q149" s="466" t="str">
        <f t="shared" si="14"/>
        <v/>
      </c>
      <c r="R149" s="154" t="str">
        <f>IF($T149="","",VLOOKUP($T149,請求Data!$I$11:$AR$160,請求Data!$AL$10-請求Data!$H$10,0))</f>
        <v/>
      </c>
      <c r="S149" s="155" t="str">
        <f>IF($T149="","",VLOOKUP($T149,請求Data!$I$11:$AR$160,請求Data!$AM$10-請求Data!$H$10,0))</f>
        <v/>
      </c>
      <c r="T149" s="467" t="str">
        <f>IF(ISNA(MATCH($H149,請求Data!$AH$11:$AH$160,0)),"",VLOOKUP($H149,請求Data!$AH$11:$AR$160,請求Data!$AK$10-請求Data!$AG$10,0))</f>
        <v/>
      </c>
      <c r="U149" s="468"/>
      <c r="V149" s="58"/>
    </row>
    <row r="150" spans="1:22" ht="15" customHeight="1">
      <c r="A150" s="58" t="str">
        <f>IF($Q150="","",MAX($A$8:$A149)+1)</f>
        <v/>
      </c>
      <c r="B150" s="614" t="str">
        <f t="shared" si="10"/>
        <v/>
      </c>
      <c r="C150" s="614" t="str">
        <f t="shared" si="11"/>
        <v/>
      </c>
      <c r="D150" s="614" t="str">
        <f t="shared" si="12"/>
        <v/>
      </c>
      <c r="E150" s="615" t="str">
        <f t="shared" si="13"/>
        <v/>
      </c>
      <c r="F150" s="616" t="str">
        <f>IF($H150="","",IF(ISNA(MATCH($H150,$H$7:$H149,0)),1,0))</f>
        <v/>
      </c>
      <c r="G150" s="249"/>
      <c r="H150" s="95"/>
      <c r="I150" s="598" t="str">
        <f>IF($J150="","",INDEX(ﾏｽﾀ!$E$8:$E$124,MATCH(INDEX(ﾏｽﾀ!$N$8:$N$124,MATCH($J150,ﾏｽﾀ!$O$8:$O$124,0)),ﾏｽﾀ!$B$8:$B$124,0))&amp;"")</f>
        <v/>
      </c>
      <c r="J150" s="534"/>
      <c r="K150" s="598" t="str">
        <f>IF($J150="","",INDEX(ﾏｽﾀ!$G$8:$G$124,MATCH(INDEX(ﾏｽﾀ!$N$8:$N$124,MATCH($J150,ﾏｽﾀ!$O$8:$O$124,0)),ﾏｽﾀ!$B$8:$B$124,0))&amp;"")</f>
        <v/>
      </c>
      <c r="L150" s="600" t="str">
        <f>IF($M150="","",INDEX(ﾏｽﾀ!$T$8:$T$16,MATCH($M150,ﾏｽﾀ!$U$8:$U$16,0))&amp;"")</f>
        <v/>
      </c>
      <c r="M150" s="534"/>
      <c r="N150" s="463"/>
      <c r="O150" s="464"/>
      <c r="P150" s="465"/>
      <c r="Q150" s="466" t="str">
        <f t="shared" si="14"/>
        <v/>
      </c>
      <c r="R150" s="154" t="str">
        <f>IF($T150="","",VLOOKUP($T150,請求Data!$I$11:$AR$160,請求Data!$AL$10-請求Data!$H$10,0))</f>
        <v/>
      </c>
      <c r="S150" s="155" t="str">
        <f>IF($T150="","",VLOOKUP($T150,請求Data!$I$11:$AR$160,請求Data!$AM$10-請求Data!$H$10,0))</f>
        <v/>
      </c>
      <c r="T150" s="467" t="str">
        <f>IF(ISNA(MATCH($H150,請求Data!$AH$11:$AH$160,0)),"",VLOOKUP($H150,請求Data!$AH$11:$AR$160,請求Data!$AK$10-請求Data!$AG$10,0))</f>
        <v/>
      </c>
      <c r="U150" s="468"/>
      <c r="V150" s="58"/>
    </row>
    <row r="151" spans="1:22" ht="15" customHeight="1">
      <c r="A151" s="58" t="str">
        <f>IF($Q151="","",MAX($A$8:$A150)+1)</f>
        <v/>
      </c>
      <c r="B151" s="614" t="str">
        <f t="shared" si="10"/>
        <v/>
      </c>
      <c r="C151" s="614" t="str">
        <f t="shared" si="11"/>
        <v/>
      </c>
      <c r="D151" s="614" t="str">
        <f t="shared" si="12"/>
        <v/>
      </c>
      <c r="E151" s="615" t="str">
        <f t="shared" si="13"/>
        <v/>
      </c>
      <c r="F151" s="616" t="str">
        <f>IF($H151="","",IF(ISNA(MATCH($H151,$H$7:$H150,0)),1,0))</f>
        <v/>
      </c>
      <c r="G151" s="249"/>
      <c r="H151" s="95"/>
      <c r="I151" s="598" t="str">
        <f>IF($J151="","",INDEX(ﾏｽﾀ!$E$8:$E$124,MATCH(INDEX(ﾏｽﾀ!$N$8:$N$124,MATCH($J151,ﾏｽﾀ!$O$8:$O$124,0)),ﾏｽﾀ!$B$8:$B$124,0))&amp;"")</f>
        <v/>
      </c>
      <c r="J151" s="534"/>
      <c r="K151" s="598" t="str">
        <f>IF($J151="","",INDEX(ﾏｽﾀ!$G$8:$G$124,MATCH(INDEX(ﾏｽﾀ!$N$8:$N$124,MATCH($J151,ﾏｽﾀ!$O$8:$O$124,0)),ﾏｽﾀ!$B$8:$B$124,0))&amp;"")</f>
        <v/>
      </c>
      <c r="L151" s="600" t="str">
        <f>IF($M151="","",INDEX(ﾏｽﾀ!$T$8:$T$16,MATCH($M151,ﾏｽﾀ!$U$8:$U$16,0))&amp;"")</f>
        <v/>
      </c>
      <c r="M151" s="534"/>
      <c r="N151" s="463"/>
      <c r="O151" s="464"/>
      <c r="P151" s="465"/>
      <c r="Q151" s="466" t="str">
        <f t="shared" si="14"/>
        <v/>
      </c>
      <c r="R151" s="154" t="str">
        <f>IF($T151="","",VLOOKUP($T151,請求Data!$I$11:$AR$160,請求Data!$AL$10-請求Data!$H$10,0))</f>
        <v/>
      </c>
      <c r="S151" s="155" t="str">
        <f>IF($T151="","",VLOOKUP($T151,請求Data!$I$11:$AR$160,請求Data!$AM$10-請求Data!$H$10,0))</f>
        <v/>
      </c>
      <c r="T151" s="467" t="str">
        <f>IF(ISNA(MATCH($H151,請求Data!$AH$11:$AH$160,0)),"",VLOOKUP($H151,請求Data!$AH$11:$AR$160,請求Data!$AK$10-請求Data!$AG$10,0))</f>
        <v/>
      </c>
      <c r="U151" s="468"/>
      <c r="V151" s="58"/>
    </row>
    <row r="152" spans="1:22" ht="15" customHeight="1">
      <c r="A152" s="58" t="str">
        <f>IF($Q152="","",MAX($A$8:$A151)+1)</f>
        <v/>
      </c>
      <c r="B152" s="614" t="str">
        <f t="shared" si="10"/>
        <v/>
      </c>
      <c r="C152" s="614" t="str">
        <f t="shared" si="11"/>
        <v/>
      </c>
      <c r="D152" s="614" t="str">
        <f t="shared" si="12"/>
        <v/>
      </c>
      <c r="E152" s="615" t="str">
        <f t="shared" si="13"/>
        <v/>
      </c>
      <c r="F152" s="616" t="str">
        <f>IF($H152="","",IF(ISNA(MATCH($H152,$H$7:$H151,0)),1,0))</f>
        <v/>
      </c>
      <c r="G152" s="249"/>
      <c r="H152" s="95"/>
      <c r="I152" s="598" t="str">
        <f>IF($J152="","",INDEX(ﾏｽﾀ!$E$8:$E$124,MATCH(INDEX(ﾏｽﾀ!$N$8:$N$124,MATCH($J152,ﾏｽﾀ!$O$8:$O$124,0)),ﾏｽﾀ!$B$8:$B$124,0))&amp;"")</f>
        <v/>
      </c>
      <c r="J152" s="534"/>
      <c r="K152" s="598" t="str">
        <f>IF($J152="","",INDEX(ﾏｽﾀ!$G$8:$G$124,MATCH(INDEX(ﾏｽﾀ!$N$8:$N$124,MATCH($J152,ﾏｽﾀ!$O$8:$O$124,0)),ﾏｽﾀ!$B$8:$B$124,0))&amp;"")</f>
        <v/>
      </c>
      <c r="L152" s="600" t="str">
        <f>IF($M152="","",INDEX(ﾏｽﾀ!$T$8:$T$16,MATCH($M152,ﾏｽﾀ!$U$8:$U$16,0))&amp;"")</f>
        <v/>
      </c>
      <c r="M152" s="534"/>
      <c r="N152" s="463"/>
      <c r="O152" s="464"/>
      <c r="P152" s="465"/>
      <c r="Q152" s="466" t="str">
        <f t="shared" si="14"/>
        <v/>
      </c>
      <c r="R152" s="154" t="str">
        <f>IF($T152="","",VLOOKUP($T152,請求Data!$I$11:$AR$160,請求Data!$AL$10-請求Data!$H$10,0))</f>
        <v/>
      </c>
      <c r="S152" s="155" t="str">
        <f>IF($T152="","",VLOOKUP($T152,請求Data!$I$11:$AR$160,請求Data!$AM$10-請求Data!$H$10,0))</f>
        <v/>
      </c>
      <c r="T152" s="467" t="str">
        <f>IF(ISNA(MATCH($H152,請求Data!$AH$11:$AH$160,0)),"",VLOOKUP($H152,請求Data!$AH$11:$AR$160,請求Data!$AK$10-請求Data!$AG$10,0))</f>
        <v/>
      </c>
      <c r="U152" s="468"/>
      <c r="V152" s="58"/>
    </row>
    <row r="153" spans="1:22" ht="15" customHeight="1">
      <c r="A153" s="58" t="str">
        <f>IF($Q153="","",MAX($A$8:$A152)+1)</f>
        <v/>
      </c>
      <c r="B153" s="614" t="str">
        <f t="shared" si="10"/>
        <v/>
      </c>
      <c r="C153" s="614" t="str">
        <f t="shared" si="11"/>
        <v/>
      </c>
      <c r="D153" s="614" t="str">
        <f t="shared" si="12"/>
        <v/>
      </c>
      <c r="E153" s="615" t="str">
        <f t="shared" si="13"/>
        <v/>
      </c>
      <c r="F153" s="616" t="str">
        <f>IF($H153="","",IF(ISNA(MATCH($H153,$H$7:$H152,0)),1,0))</f>
        <v/>
      </c>
      <c r="G153" s="249"/>
      <c r="H153" s="95"/>
      <c r="I153" s="598" t="str">
        <f>IF($J153="","",INDEX(ﾏｽﾀ!$E$8:$E$124,MATCH(INDEX(ﾏｽﾀ!$N$8:$N$124,MATCH($J153,ﾏｽﾀ!$O$8:$O$124,0)),ﾏｽﾀ!$B$8:$B$124,0))&amp;"")</f>
        <v/>
      </c>
      <c r="J153" s="534"/>
      <c r="K153" s="598" t="str">
        <f>IF($J153="","",INDEX(ﾏｽﾀ!$G$8:$G$124,MATCH(INDEX(ﾏｽﾀ!$N$8:$N$124,MATCH($J153,ﾏｽﾀ!$O$8:$O$124,0)),ﾏｽﾀ!$B$8:$B$124,0))&amp;"")</f>
        <v/>
      </c>
      <c r="L153" s="600" t="str">
        <f>IF($M153="","",INDEX(ﾏｽﾀ!$T$8:$T$16,MATCH($M153,ﾏｽﾀ!$U$8:$U$16,0))&amp;"")</f>
        <v/>
      </c>
      <c r="M153" s="534"/>
      <c r="N153" s="463"/>
      <c r="O153" s="464"/>
      <c r="P153" s="465"/>
      <c r="Q153" s="466" t="str">
        <f t="shared" si="14"/>
        <v/>
      </c>
      <c r="R153" s="154" t="str">
        <f>IF($T153="","",VLOOKUP($T153,請求Data!$I$11:$AR$160,請求Data!$AL$10-請求Data!$H$10,0))</f>
        <v/>
      </c>
      <c r="S153" s="155" t="str">
        <f>IF($T153="","",VLOOKUP($T153,請求Data!$I$11:$AR$160,請求Data!$AM$10-請求Data!$H$10,0))</f>
        <v/>
      </c>
      <c r="T153" s="467" t="str">
        <f>IF(ISNA(MATCH($H153,請求Data!$AH$11:$AH$160,0)),"",VLOOKUP($H153,請求Data!$AH$11:$AR$160,請求Data!$AK$10-請求Data!$AG$10,0))</f>
        <v/>
      </c>
      <c r="U153" s="468"/>
      <c r="V153" s="58"/>
    </row>
    <row r="154" spans="1:22" ht="15" customHeight="1">
      <c r="A154" s="58" t="str">
        <f>IF($Q154="","",MAX($A$8:$A153)+1)</f>
        <v/>
      </c>
      <c r="B154" s="614" t="str">
        <f t="shared" si="10"/>
        <v/>
      </c>
      <c r="C154" s="614" t="str">
        <f t="shared" si="11"/>
        <v/>
      </c>
      <c r="D154" s="614" t="str">
        <f t="shared" si="12"/>
        <v/>
      </c>
      <c r="E154" s="615" t="str">
        <f t="shared" si="13"/>
        <v/>
      </c>
      <c r="F154" s="616" t="str">
        <f>IF($H154="","",IF(ISNA(MATCH($H154,$H$7:$H153,0)),1,0))</f>
        <v/>
      </c>
      <c r="G154" s="249"/>
      <c r="H154" s="95"/>
      <c r="I154" s="598" t="str">
        <f>IF($J154="","",INDEX(ﾏｽﾀ!$E$8:$E$124,MATCH(INDEX(ﾏｽﾀ!$N$8:$N$124,MATCH($J154,ﾏｽﾀ!$O$8:$O$124,0)),ﾏｽﾀ!$B$8:$B$124,0))&amp;"")</f>
        <v/>
      </c>
      <c r="J154" s="534"/>
      <c r="K154" s="598" t="str">
        <f>IF($J154="","",INDEX(ﾏｽﾀ!$G$8:$G$124,MATCH(INDEX(ﾏｽﾀ!$N$8:$N$124,MATCH($J154,ﾏｽﾀ!$O$8:$O$124,0)),ﾏｽﾀ!$B$8:$B$124,0))&amp;"")</f>
        <v/>
      </c>
      <c r="L154" s="600" t="str">
        <f>IF($M154="","",INDEX(ﾏｽﾀ!$T$8:$T$16,MATCH($M154,ﾏｽﾀ!$U$8:$U$16,0))&amp;"")</f>
        <v/>
      </c>
      <c r="M154" s="534"/>
      <c r="N154" s="463"/>
      <c r="O154" s="464"/>
      <c r="P154" s="465"/>
      <c r="Q154" s="466" t="str">
        <f t="shared" si="14"/>
        <v/>
      </c>
      <c r="R154" s="154" t="str">
        <f>IF($T154="","",VLOOKUP($T154,請求Data!$I$11:$AR$160,請求Data!$AL$10-請求Data!$H$10,0))</f>
        <v/>
      </c>
      <c r="S154" s="155" t="str">
        <f>IF($T154="","",VLOOKUP($T154,請求Data!$I$11:$AR$160,請求Data!$AM$10-請求Data!$H$10,0))</f>
        <v/>
      </c>
      <c r="T154" s="467" t="str">
        <f>IF(ISNA(MATCH($H154,請求Data!$AH$11:$AH$160,0)),"",VLOOKUP($H154,請求Data!$AH$11:$AR$160,請求Data!$AK$10-請求Data!$AG$10,0))</f>
        <v/>
      </c>
      <c r="U154" s="468"/>
      <c r="V154" s="58"/>
    </row>
    <row r="155" spans="1:22" ht="15" customHeight="1">
      <c r="A155" s="58" t="str">
        <f>IF($Q155="","",MAX($A$8:$A154)+1)</f>
        <v/>
      </c>
      <c r="B155" s="614" t="str">
        <f t="shared" si="10"/>
        <v/>
      </c>
      <c r="C155" s="614" t="str">
        <f t="shared" si="11"/>
        <v/>
      </c>
      <c r="D155" s="614" t="str">
        <f t="shared" si="12"/>
        <v/>
      </c>
      <c r="E155" s="615" t="str">
        <f t="shared" si="13"/>
        <v/>
      </c>
      <c r="F155" s="616" t="str">
        <f>IF($H155="","",IF(ISNA(MATCH($H155,$H$7:$H154,0)),1,0))</f>
        <v/>
      </c>
      <c r="G155" s="249"/>
      <c r="H155" s="95"/>
      <c r="I155" s="598" t="str">
        <f>IF($J155="","",INDEX(ﾏｽﾀ!$E$8:$E$124,MATCH(INDEX(ﾏｽﾀ!$N$8:$N$124,MATCH($J155,ﾏｽﾀ!$O$8:$O$124,0)),ﾏｽﾀ!$B$8:$B$124,0))&amp;"")</f>
        <v/>
      </c>
      <c r="J155" s="534"/>
      <c r="K155" s="598" t="str">
        <f>IF($J155="","",INDEX(ﾏｽﾀ!$G$8:$G$124,MATCH(INDEX(ﾏｽﾀ!$N$8:$N$124,MATCH($J155,ﾏｽﾀ!$O$8:$O$124,0)),ﾏｽﾀ!$B$8:$B$124,0))&amp;"")</f>
        <v/>
      </c>
      <c r="L155" s="600" t="str">
        <f>IF($M155="","",INDEX(ﾏｽﾀ!$T$8:$T$16,MATCH($M155,ﾏｽﾀ!$U$8:$U$16,0))&amp;"")</f>
        <v/>
      </c>
      <c r="M155" s="534"/>
      <c r="N155" s="463"/>
      <c r="O155" s="464"/>
      <c r="P155" s="465"/>
      <c r="Q155" s="466" t="str">
        <f t="shared" si="14"/>
        <v/>
      </c>
      <c r="R155" s="154" t="str">
        <f>IF($T155="","",VLOOKUP($T155,請求Data!$I$11:$AR$160,請求Data!$AL$10-請求Data!$H$10,0))</f>
        <v/>
      </c>
      <c r="S155" s="155" t="str">
        <f>IF($T155="","",VLOOKUP($T155,請求Data!$I$11:$AR$160,請求Data!$AM$10-請求Data!$H$10,0))</f>
        <v/>
      </c>
      <c r="T155" s="467" t="str">
        <f>IF(ISNA(MATCH($H155,請求Data!$AH$11:$AH$160,0)),"",VLOOKUP($H155,請求Data!$AH$11:$AR$160,請求Data!$AK$10-請求Data!$AG$10,0))</f>
        <v/>
      </c>
      <c r="U155" s="468"/>
      <c r="V155" s="58"/>
    </row>
    <row r="156" spans="1:22" ht="15" customHeight="1">
      <c r="A156" s="58" t="str">
        <f>IF($Q156="","",MAX($A$8:$A155)+1)</f>
        <v/>
      </c>
      <c r="B156" s="614" t="str">
        <f t="shared" si="10"/>
        <v/>
      </c>
      <c r="C156" s="614" t="str">
        <f t="shared" si="11"/>
        <v/>
      </c>
      <c r="D156" s="614" t="str">
        <f t="shared" si="12"/>
        <v/>
      </c>
      <c r="E156" s="615" t="str">
        <f t="shared" si="13"/>
        <v/>
      </c>
      <c r="F156" s="616" t="str">
        <f>IF($H156="","",IF(ISNA(MATCH($H156,$H$7:$H155,0)),1,0))</f>
        <v/>
      </c>
      <c r="G156" s="249"/>
      <c r="H156" s="95"/>
      <c r="I156" s="598" t="str">
        <f>IF($J156="","",INDEX(ﾏｽﾀ!$E$8:$E$124,MATCH(INDEX(ﾏｽﾀ!$N$8:$N$124,MATCH($J156,ﾏｽﾀ!$O$8:$O$124,0)),ﾏｽﾀ!$B$8:$B$124,0))&amp;"")</f>
        <v/>
      </c>
      <c r="J156" s="534"/>
      <c r="K156" s="598" t="str">
        <f>IF($J156="","",INDEX(ﾏｽﾀ!$G$8:$G$124,MATCH(INDEX(ﾏｽﾀ!$N$8:$N$124,MATCH($J156,ﾏｽﾀ!$O$8:$O$124,0)),ﾏｽﾀ!$B$8:$B$124,0))&amp;"")</f>
        <v/>
      </c>
      <c r="L156" s="600" t="str">
        <f>IF($M156="","",INDEX(ﾏｽﾀ!$T$8:$T$16,MATCH($M156,ﾏｽﾀ!$U$8:$U$16,0))&amp;"")</f>
        <v/>
      </c>
      <c r="M156" s="534"/>
      <c r="N156" s="463"/>
      <c r="O156" s="464"/>
      <c r="P156" s="465"/>
      <c r="Q156" s="466" t="str">
        <f t="shared" si="14"/>
        <v/>
      </c>
      <c r="R156" s="154" t="str">
        <f>IF($T156="","",VLOOKUP($T156,請求Data!$I$11:$AR$160,請求Data!$AL$10-請求Data!$H$10,0))</f>
        <v/>
      </c>
      <c r="S156" s="155" t="str">
        <f>IF($T156="","",VLOOKUP($T156,請求Data!$I$11:$AR$160,請求Data!$AM$10-請求Data!$H$10,0))</f>
        <v/>
      </c>
      <c r="T156" s="467" t="str">
        <f>IF(ISNA(MATCH($H156,請求Data!$AH$11:$AH$160,0)),"",VLOOKUP($H156,請求Data!$AH$11:$AR$160,請求Data!$AK$10-請求Data!$AG$10,0))</f>
        <v/>
      </c>
      <c r="U156" s="468"/>
      <c r="V156" s="58"/>
    </row>
    <row r="157" spans="1:22" ht="15" customHeight="1">
      <c r="A157" s="58" t="str">
        <f>IF($Q157="","",MAX($A$8:$A156)+1)</f>
        <v/>
      </c>
      <c r="B157" s="614" t="str">
        <f t="shared" si="10"/>
        <v/>
      </c>
      <c r="C157" s="614" t="str">
        <f t="shared" si="11"/>
        <v/>
      </c>
      <c r="D157" s="614" t="str">
        <f t="shared" si="12"/>
        <v/>
      </c>
      <c r="E157" s="615" t="str">
        <f t="shared" si="13"/>
        <v/>
      </c>
      <c r="F157" s="616" t="str">
        <f>IF($H157="","",IF(ISNA(MATCH($H157,$H$7:$H156,0)),1,0))</f>
        <v/>
      </c>
      <c r="G157" s="249"/>
      <c r="H157" s="95"/>
      <c r="I157" s="598" t="str">
        <f>IF($J157="","",INDEX(ﾏｽﾀ!$E$8:$E$124,MATCH(INDEX(ﾏｽﾀ!$N$8:$N$124,MATCH($J157,ﾏｽﾀ!$O$8:$O$124,0)),ﾏｽﾀ!$B$8:$B$124,0))&amp;"")</f>
        <v/>
      </c>
      <c r="J157" s="534"/>
      <c r="K157" s="598" t="str">
        <f>IF($J157="","",INDEX(ﾏｽﾀ!$G$8:$G$124,MATCH(INDEX(ﾏｽﾀ!$N$8:$N$124,MATCH($J157,ﾏｽﾀ!$O$8:$O$124,0)),ﾏｽﾀ!$B$8:$B$124,0))&amp;"")</f>
        <v/>
      </c>
      <c r="L157" s="600" t="str">
        <f>IF($M157="","",INDEX(ﾏｽﾀ!$T$8:$T$16,MATCH($M157,ﾏｽﾀ!$U$8:$U$16,0))&amp;"")</f>
        <v/>
      </c>
      <c r="M157" s="534"/>
      <c r="N157" s="463"/>
      <c r="O157" s="464"/>
      <c r="P157" s="465"/>
      <c r="Q157" s="466" t="str">
        <f t="shared" si="14"/>
        <v/>
      </c>
      <c r="R157" s="154" t="str">
        <f>IF($T157="","",VLOOKUP($T157,請求Data!$I$11:$AR$160,請求Data!$AL$10-請求Data!$H$10,0))</f>
        <v/>
      </c>
      <c r="S157" s="155" t="str">
        <f>IF($T157="","",VLOOKUP($T157,請求Data!$I$11:$AR$160,請求Data!$AM$10-請求Data!$H$10,0))</f>
        <v/>
      </c>
      <c r="T157" s="467" t="str">
        <f>IF(ISNA(MATCH($H157,請求Data!$AH$11:$AH$160,0)),"",VLOOKUP($H157,請求Data!$AH$11:$AR$160,請求Data!$AK$10-請求Data!$AG$10,0))</f>
        <v/>
      </c>
      <c r="U157" s="468"/>
      <c r="V157" s="58"/>
    </row>
    <row r="158" spans="1:22" ht="15" customHeight="1">
      <c r="A158" s="58" t="str">
        <f>IF($Q158="","",MAX($A$8:$A157)+1)</f>
        <v/>
      </c>
      <c r="B158" s="614" t="str">
        <f t="shared" si="10"/>
        <v/>
      </c>
      <c r="C158" s="614" t="str">
        <f t="shared" si="11"/>
        <v/>
      </c>
      <c r="D158" s="614" t="str">
        <f t="shared" si="12"/>
        <v/>
      </c>
      <c r="E158" s="615" t="str">
        <f t="shared" si="13"/>
        <v/>
      </c>
      <c r="F158" s="616" t="str">
        <f>IF($H158="","",IF(ISNA(MATCH($H158,$H$7:$H157,0)),1,0))</f>
        <v/>
      </c>
      <c r="G158" s="249"/>
      <c r="H158" s="95"/>
      <c r="I158" s="598" t="str">
        <f>IF($J158="","",INDEX(ﾏｽﾀ!$E$8:$E$124,MATCH(INDEX(ﾏｽﾀ!$N$8:$N$124,MATCH($J158,ﾏｽﾀ!$O$8:$O$124,0)),ﾏｽﾀ!$B$8:$B$124,0))&amp;"")</f>
        <v/>
      </c>
      <c r="J158" s="534"/>
      <c r="K158" s="598" t="str">
        <f>IF($J158="","",INDEX(ﾏｽﾀ!$G$8:$G$124,MATCH(INDEX(ﾏｽﾀ!$N$8:$N$124,MATCH($J158,ﾏｽﾀ!$O$8:$O$124,0)),ﾏｽﾀ!$B$8:$B$124,0))&amp;"")</f>
        <v/>
      </c>
      <c r="L158" s="600" t="str">
        <f>IF($M158="","",INDEX(ﾏｽﾀ!$T$8:$T$16,MATCH($M158,ﾏｽﾀ!$U$8:$U$16,0))&amp;"")</f>
        <v/>
      </c>
      <c r="M158" s="534"/>
      <c r="N158" s="463"/>
      <c r="O158" s="464"/>
      <c r="P158" s="465"/>
      <c r="Q158" s="466" t="str">
        <f t="shared" si="14"/>
        <v/>
      </c>
      <c r="R158" s="154" t="str">
        <f>IF($T158="","",VLOOKUP($T158,請求Data!$I$11:$AR$160,請求Data!$AL$10-請求Data!$H$10,0))</f>
        <v/>
      </c>
      <c r="S158" s="155" t="str">
        <f>IF($T158="","",VLOOKUP($T158,請求Data!$I$11:$AR$160,請求Data!$AM$10-請求Data!$H$10,0))</f>
        <v/>
      </c>
      <c r="T158" s="467" t="str">
        <f>IF(ISNA(MATCH($H158,請求Data!$AH$11:$AH$160,0)),"",VLOOKUP($H158,請求Data!$AH$11:$AR$160,請求Data!$AK$10-請求Data!$AG$10,0))</f>
        <v/>
      </c>
      <c r="U158" s="468"/>
      <c r="V158" s="58"/>
    </row>
    <row r="159" spans="1:22" ht="15" customHeight="1">
      <c r="A159" s="58" t="str">
        <f>IF($Q159="","",MAX($A$8:$A158)+1)</f>
        <v/>
      </c>
      <c r="B159" s="614" t="str">
        <f t="shared" si="10"/>
        <v/>
      </c>
      <c r="C159" s="614" t="str">
        <f t="shared" si="11"/>
        <v/>
      </c>
      <c r="D159" s="614" t="str">
        <f t="shared" si="12"/>
        <v/>
      </c>
      <c r="E159" s="615" t="str">
        <f t="shared" si="13"/>
        <v/>
      </c>
      <c r="F159" s="616" t="str">
        <f>IF($H159="","",IF(ISNA(MATCH($H159,$H$7:$H158,0)),1,0))</f>
        <v/>
      </c>
      <c r="G159" s="249"/>
      <c r="H159" s="95"/>
      <c r="I159" s="598" t="str">
        <f>IF($J159="","",INDEX(ﾏｽﾀ!$E$8:$E$124,MATCH(INDEX(ﾏｽﾀ!$N$8:$N$124,MATCH($J159,ﾏｽﾀ!$O$8:$O$124,0)),ﾏｽﾀ!$B$8:$B$124,0))&amp;"")</f>
        <v/>
      </c>
      <c r="J159" s="534"/>
      <c r="K159" s="598" t="str">
        <f>IF($J159="","",INDEX(ﾏｽﾀ!$G$8:$G$124,MATCH(INDEX(ﾏｽﾀ!$N$8:$N$124,MATCH($J159,ﾏｽﾀ!$O$8:$O$124,0)),ﾏｽﾀ!$B$8:$B$124,0))&amp;"")</f>
        <v/>
      </c>
      <c r="L159" s="600" t="str">
        <f>IF($M159="","",INDEX(ﾏｽﾀ!$T$8:$T$16,MATCH($M159,ﾏｽﾀ!$U$8:$U$16,0))&amp;"")</f>
        <v/>
      </c>
      <c r="M159" s="534"/>
      <c r="N159" s="463"/>
      <c r="O159" s="464"/>
      <c r="P159" s="465"/>
      <c r="Q159" s="466" t="str">
        <f t="shared" si="14"/>
        <v/>
      </c>
      <c r="R159" s="154" t="str">
        <f>IF($T159="","",VLOOKUP($T159,請求Data!$I$11:$AR$160,請求Data!$AL$10-請求Data!$H$10,0))</f>
        <v/>
      </c>
      <c r="S159" s="155" t="str">
        <f>IF($T159="","",VLOOKUP($T159,請求Data!$I$11:$AR$160,請求Data!$AM$10-請求Data!$H$10,0))</f>
        <v/>
      </c>
      <c r="T159" s="467" t="str">
        <f>IF(ISNA(MATCH($H159,請求Data!$AH$11:$AH$160,0)),"",VLOOKUP($H159,請求Data!$AH$11:$AR$160,請求Data!$AK$10-請求Data!$AG$10,0))</f>
        <v/>
      </c>
      <c r="U159" s="468"/>
      <c r="V159" s="58"/>
    </row>
    <row r="160" spans="1:22" ht="15" customHeight="1">
      <c r="A160" s="58" t="str">
        <f>IF($Q160="","",MAX($A$8:$A159)+1)</f>
        <v/>
      </c>
      <c r="B160" s="614" t="str">
        <f t="shared" si="10"/>
        <v/>
      </c>
      <c r="C160" s="614" t="str">
        <f t="shared" si="11"/>
        <v/>
      </c>
      <c r="D160" s="614" t="str">
        <f t="shared" si="12"/>
        <v/>
      </c>
      <c r="E160" s="615" t="str">
        <f t="shared" si="13"/>
        <v/>
      </c>
      <c r="F160" s="616" t="str">
        <f>IF($H160="","",IF(ISNA(MATCH($H160,$H$7:$H159,0)),1,0))</f>
        <v/>
      </c>
      <c r="G160" s="249"/>
      <c r="H160" s="95"/>
      <c r="I160" s="598" t="str">
        <f>IF($J160="","",INDEX(ﾏｽﾀ!$E$8:$E$124,MATCH(INDEX(ﾏｽﾀ!$N$8:$N$124,MATCH($J160,ﾏｽﾀ!$O$8:$O$124,0)),ﾏｽﾀ!$B$8:$B$124,0))&amp;"")</f>
        <v/>
      </c>
      <c r="J160" s="534"/>
      <c r="K160" s="598" t="str">
        <f>IF($J160="","",INDEX(ﾏｽﾀ!$G$8:$G$124,MATCH(INDEX(ﾏｽﾀ!$N$8:$N$124,MATCH($J160,ﾏｽﾀ!$O$8:$O$124,0)),ﾏｽﾀ!$B$8:$B$124,0))&amp;"")</f>
        <v/>
      </c>
      <c r="L160" s="600" t="str">
        <f>IF($M160="","",INDEX(ﾏｽﾀ!$T$8:$T$16,MATCH($M160,ﾏｽﾀ!$U$8:$U$16,0))&amp;"")</f>
        <v/>
      </c>
      <c r="M160" s="534"/>
      <c r="N160" s="463"/>
      <c r="O160" s="464"/>
      <c r="P160" s="465"/>
      <c r="Q160" s="466" t="str">
        <f t="shared" si="14"/>
        <v/>
      </c>
      <c r="R160" s="154" t="str">
        <f>IF($T160="","",VLOOKUP($T160,請求Data!$I$11:$AR$160,請求Data!$AL$10-請求Data!$H$10,0))</f>
        <v/>
      </c>
      <c r="S160" s="155" t="str">
        <f>IF($T160="","",VLOOKUP($T160,請求Data!$I$11:$AR$160,請求Data!$AM$10-請求Data!$H$10,0))</f>
        <v/>
      </c>
      <c r="T160" s="467" t="str">
        <f>IF(ISNA(MATCH($H160,請求Data!$AH$11:$AH$160,0)),"",VLOOKUP($H160,請求Data!$AH$11:$AR$160,請求Data!$AK$10-請求Data!$AG$10,0))</f>
        <v/>
      </c>
      <c r="U160" s="468"/>
      <c r="V160" s="58"/>
    </row>
    <row r="161" spans="1:22" ht="15" customHeight="1">
      <c r="A161" s="58" t="str">
        <f>IF($Q161="","",MAX($A$8:$A160)+1)</f>
        <v/>
      </c>
      <c r="B161" s="614" t="str">
        <f t="shared" si="10"/>
        <v/>
      </c>
      <c r="C161" s="614" t="str">
        <f t="shared" si="11"/>
        <v/>
      </c>
      <c r="D161" s="614" t="str">
        <f t="shared" si="12"/>
        <v/>
      </c>
      <c r="E161" s="615" t="str">
        <f t="shared" si="13"/>
        <v/>
      </c>
      <c r="F161" s="616" t="str">
        <f>IF($H161="","",IF(ISNA(MATCH($H161,$H$7:$H160,0)),1,0))</f>
        <v/>
      </c>
      <c r="G161" s="249"/>
      <c r="H161" s="95"/>
      <c r="I161" s="598" t="str">
        <f>IF($J161="","",INDEX(ﾏｽﾀ!$E$8:$E$124,MATCH(INDEX(ﾏｽﾀ!$N$8:$N$124,MATCH($J161,ﾏｽﾀ!$O$8:$O$124,0)),ﾏｽﾀ!$B$8:$B$124,0))&amp;"")</f>
        <v/>
      </c>
      <c r="J161" s="534"/>
      <c r="K161" s="598" t="str">
        <f>IF($J161="","",INDEX(ﾏｽﾀ!$G$8:$G$124,MATCH(INDEX(ﾏｽﾀ!$N$8:$N$124,MATCH($J161,ﾏｽﾀ!$O$8:$O$124,0)),ﾏｽﾀ!$B$8:$B$124,0))&amp;"")</f>
        <v/>
      </c>
      <c r="L161" s="600" t="str">
        <f>IF($M161="","",INDEX(ﾏｽﾀ!$T$8:$T$16,MATCH($M161,ﾏｽﾀ!$U$8:$U$16,0))&amp;"")</f>
        <v/>
      </c>
      <c r="M161" s="534"/>
      <c r="N161" s="463"/>
      <c r="O161" s="464"/>
      <c r="P161" s="465"/>
      <c r="Q161" s="466" t="str">
        <f t="shared" si="14"/>
        <v/>
      </c>
      <c r="R161" s="154" t="str">
        <f>IF($T161="","",VLOOKUP($T161,請求Data!$I$11:$AR$160,請求Data!$AL$10-請求Data!$H$10,0))</f>
        <v/>
      </c>
      <c r="S161" s="155" t="str">
        <f>IF($T161="","",VLOOKUP($T161,請求Data!$I$11:$AR$160,請求Data!$AM$10-請求Data!$H$10,0))</f>
        <v/>
      </c>
      <c r="T161" s="467" t="str">
        <f>IF(ISNA(MATCH($H161,請求Data!$AH$11:$AH$160,0)),"",VLOOKUP($H161,請求Data!$AH$11:$AR$160,請求Data!$AK$10-請求Data!$AG$10,0))</f>
        <v/>
      </c>
      <c r="U161" s="468"/>
      <c r="V161" s="58"/>
    </row>
    <row r="162" spans="1:22" ht="15" customHeight="1">
      <c r="A162" s="58" t="str">
        <f>IF($Q162="","",MAX($A$8:$A161)+1)</f>
        <v/>
      </c>
      <c r="B162" s="614" t="str">
        <f t="shared" si="10"/>
        <v/>
      </c>
      <c r="C162" s="614" t="str">
        <f t="shared" si="11"/>
        <v/>
      </c>
      <c r="D162" s="614" t="str">
        <f t="shared" si="12"/>
        <v/>
      </c>
      <c r="E162" s="615" t="str">
        <f t="shared" si="13"/>
        <v/>
      </c>
      <c r="F162" s="616" t="str">
        <f>IF($H162="","",IF(ISNA(MATCH($H162,$H$7:$H161,0)),1,0))</f>
        <v/>
      </c>
      <c r="G162" s="249"/>
      <c r="H162" s="95"/>
      <c r="I162" s="598" t="str">
        <f>IF($J162="","",INDEX(ﾏｽﾀ!$E$8:$E$124,MATCH(INDEX(ﾏｽﾀ!$N$8:$N$124,MATCH($J162,ﾏｽﾀ!$O$8:$O$124,0)),ﾏｽﾀ!$B$8:$B$124,0))&amp;"")</f>
        <v/>
      </c>
      <c r="J162" s="534"/>
      <c r="K162" s="598" t="str">
        <f>IF($J162="","",INDEX(ﾏｽﾀ!$G$8:$G$124,MATCH(INDEX(ﾏｽﾀ!$N$8:$N$124,MATCH($J162,ﾏｽﾀ!$O$8:$O$124,0)),ﾏｽﾀ!$B$8:$B$124,0))&amp;"")</f>
        <v/>
      </c>
      <c r="L162" s="600" t="str">
        <f>IF($M162="","",INDEX(ﾏｽﾀ!$T$8:$T$16,MATCH($M162,ﾏｽﾀ!$U$8:$U$16,0))&amp;"")</f>
        <v/>
      </c>
      <c r="M162" s="534"/>
      <c r="N162" s="463"/>
      <c r="O162" s="464"/>
      <c r="P162" s="465"/>
      <c r="Q162" s="466" t="str">
        <f t="shared" si="14"/>
        <v/>
      </c>
      <c r="R162" s="154" t="str">
        <f>IF($T162="","",VLOOKUP($T162,請求Data!$I$11:$AR$160,請求Data!$AL$10-請求Data!$H$10,0))</f>
        <v/>
      </c>
      <c r="S162" s="155" t="str">
        <f>IF($T162="","",VLOOKUP($T162,請求Data!$I$11:$AR$160,請求Data!$AM$10-請求Data!$H$10,0))</f>
        <v/>
      </c>
      <c r="T162" s="467" t="str">
        <f>IF(ISNA(MATCH($H162,請求Data!$AH$11:$AH$160,0)),"",VLOOKUP($H162,請求Data!$AH$11:$AR$160,請求Data!$AK$10-請求Data!$AG$10,0))</f>
        <v/>
      </c>
      <c r="U162" s="468"/>
      <c r="V162" s="58"/>
    </row>
    <row r="163" spans="1:22" ht="15" customHeight="1">
      <c r="A163" s="58" t="str">
        <f>IF($Q163="","",MAX($A$8:$A162)+1)</f>
        <v/>
      </c>
      <c r="B163" s="614" t="str">
        <f t="shared" si="10"/>
        <v/>
      </c>
      <c r="C163" s="614" t="str">
        <f t="shared" si="11"/>
        <v/>
      </c>
      <c r="D163" s="614" t="str">
        <f t="shared" si="12"/>
        <v/>
      </c>
      <c r="E163" s="615" t="str">
        <f t="shared" si="13"/>
        <v/>
      </c>
      <c r="F163" s="616" t="str">
        <f>IF($H163="","",IF(ISNA(MATCH($H163,$H$7:$H162,0)),1,0))</f>
        <v/>
      </c>
      <c r="G163" s="249"/>
      <c r="H163" s="95"/>
      <c r="I163" s="598" t="str">
        <f>IF($J163="","",INDEX(ﾏｽﾀ!$E$8:$E$124,MATCH(INDEX(ﾏｽﾀ!$N$8:$N$124,MATCH($J163,ﾏｽﾀ!$O$8:$O$124,0)),ﾏｽﾀ!$B$8:$B$124,0))&amp;"")</f>
        <v/>
      </c>
      <c r="J163" s="534"/>
      <c r="K163" s="598" t="str">
        <f>IF($J163="","",INDEX(ﾏｽﾀ!$G$8:$G$124,MATCH(INDEX(ﾏｽﾀ!$N$8:$N$124,MATCH($J163,ﾏｽﾀ!$O$8:$O$124,0)),ﾏｽﾀ!$B$8:$B$124,0))&amp;"")</f>
        <v/>
      </c>
      <c r="L163" s="600" t="str">
        <f>IF($M163="","",INDEX(ﾏｽﾀ!$T$8:$T$16,MATCH($M163,ﾏｽﾀ!$U$8:$U$16,0))&amp;"")</f>
        <v/>
      </c>
      <c r="M163" s="534"/>
      <c r="N163" s="463"/>
      <c r="O163" s="464"/>
      <c r="P163" s="465"/>
      <c r="Q163" s="466" t="str">
        <f t="shared" si="14"/>
        <v/>
      </c>
      <c r="R163" s="154" t="str">
        <f>IF($T163="","",VLOOKUP($T163,請求Data!$I$11:$AR$160,請求Data!$AL$10-請求Data!$H$10,0))</f>
        <v/>
      </c>
      <c r="S163" s="155" t="str">
        <f>IF($T163="","",VLOOKUP($T163,請求Data!$I$11:$AR$160,請求Data!$AM$10-請求Data!$H$10,0))</f>
        <v/>
      </c>
      <c r="T163" s="467" t="str">
        <f>IF(ISNA(MATCH($H163,請求Data!$AH$11:$AH$160,0)),"",VLOOKUP($H163,請求Data!$AH$11:$AR$160,請求Data!$AK$10-請求Data!$AG$10,0))</f>
        <v/>
      </c>
      <c r="U163" s="468"/>
      <c r="V163" s="58"/>
    </row>
    <row r="164" spans="1:22" ht="15" customHeight="1">
      <c r="A164" s="58" t="str">
        <f>IF($Q164="","",MAX($A$8:$A163)+1)</f>
        <v/>
      </c>
      <c r="B164" s="614" t="str">
        <f t="shared" si="10"/>
        <v/>
      </c>
      <c r="C164" s="614" t="str">
        <f t="shared" si="11"/>
        <v/>
      </c>
      <c r="D164" s="614" t="str">
        <f t="shared" si="12"/>
        <v/>
      </c>
      <c r="E164" s="615" t="str">
        <f t="shared" si="13"/>
        <v/>
      </c>
      <c r="F164" s="616" t="str">
        <f>IF($H164="","",IF(ISNA(MATCH($H164,$H$7:$H163,0)),1,0))</f>
        <v/>
      </c>
      <c r="G164" s="249"/>
      <c r="H164" s="95"/>
      <c r="I164" s="598" t="str">
        <f>IF($J164="","",INDEX(ﾏｽﾀ!$E$8:$E$124,MATCH(INDEX(ﾏｽﾀ!$N$8:$N$124,MATCH($J164,ﾏｽﾀ!$O$8:$O$124,0)),ﾏｽﾀ!$B$8:$B$124,0))&amp;"")</f>
        <v/>
      </c>
      <c r="J164" s="534"/>
      <c r="K164" s="598" t="str">
        <f>IF($J164="","",INDEX(ﾏｽﾀ!$G$8:$G$124,MATCH(INDEX(ﾏｽﾀ!$N$8:$N$124,MATCH($J164,ﾏｽﾀ!$O$8:$O$124,0)),ﾏｽﾀ!$B$8:$B$124,0))&amp;"")</f>
        <v/>
      </c>
      <c r="L164" s="600" t="str">
        <f>IF($M164="","",INDEX(ﾏｽﾀ!$T$8:$T$16,MATCH($M164,ﾏｽﾀ!$U$8:$U$16,0))&amp;"")</f>
        <v/>
      </c>
      <c r="M164" s="534"/>
      <c r="N164" s="463"/>
      <c r="O164" s="464"/>
      <c r="P164" s="465"/>
      <c r="Q164" s="466" t="str">
        <f t="shared" si="14"/>
        <v/>
      </c>
      <c r="R164" s="154" t="str">
        <f>IF($T164="","",VLOOKUP($T164,請求Data!$I$11:$AR$160,請求Data!$AL$10-請求Data!$H$10,0))</f>
        <v/>
      </c>
      <c r="S164" s="155" t="str">
        <f>IF($T164="","",VLOOKUP($T164,請求Data!$I$11:$AR$160,請求Data!$AM$10-請求Data!$H$10,0))</f>
        <v/>
      </c>
      <c r="T164" s="467" t="str">
        <f>IF(ISNA(MATCH($H164,請求Data!$AH$11:$AH$160,0)),"",VLOOKUP($H164,請求Data!$AH$11:$AR$160,請求Data!$AK$10-請求Data!$AG$10,0))</f>
        <v/>
      </c>
      <c r="U164" s="468"/>
      <c r="V164" s="58"/>
    </row>
    <row r="165" spans="1:22" ht="15" customHeight="1">
      <c r="A165" s="58" t="str">
        <f>IF($Q165="","",MAX($A$8:$A164)+1)</f>
        <v/>
      </c>
      <c r="B165" s="614" t="str">
        <f t="shared" si="10"/>
        <v/>
      </c>
      <c r="C165" s="614" t="str">
        <f t="shared" si="11"/>
        <v/>
      </c>
      <c r="D165" s="614" t="str">
        <f t="shared" si="12"/>
        <v/>
      </c>
      <c r="E165" s="615" t="str">
        <f t="shared" si="13"/>
        <v/>
      </c>
      <c r="F165" s="616" t="str">
        <f>IF($H165="","",IF(ISNA(MATCH($H165,$H$7:$H164,0)),1,0))</f>
        <v/>
      </c>
      <c r="G165" s="249"/>
      <c r="H165" s="95"/>
      <c r="I165" s="598" t="str">
        <f>IF($J165="","",INDEX(ﾏｽﾀ!$E$8:$E$124,MATCH(INDEX(ﾏｽﾀ!$N$8:$N$124,MATCH($J165,ﾏｽﾀ!$O$8:$O$124,0)),ﾏｽﾀ!$B$8:$B$124,0))&amp;"")</f>
        <v/>
      </c>
      <c r="J165" s="534"/>
      <c r="K165" s="598" t="str">
        <f>IF($J165="","",INDEX(ﾏｽﾀ!$G$8:$G$124,MATCH(INDEX(ﾏｽﾀ!$N$8:$N$124,MATCH($J165,ﾏｽﾀ!$O$8:$O$124,0)),ﾏｽﾀ!$B$8:$B$124,0))&amp;"")</f>
        <v/>
      </c>
      <c r="L165" s="600" t="str">
        <f>IF($M165="","",INDEX(ﾏｽﾀ!$T$8:$T$16,MATCH($M165,ﾏｽﾀ!$U$8:$U$16,0))&amp;"")</f>
        <v/>
      </c>
      <c r="M165" s="534"/>
      <c r="N165" s="463"/>
      <c r="O165" s="464"/>
      <c r="P165" s="465"/>
      <c r="Q165" s="466" t="str">
        <f t="shared" si="14"/>
        <v/>
      </c>
      <c r="R165" s="154" t="str">
        <f>IF($T165="","",VLOOKUP($T165,請求Data!$I$11:$AR$160,請求Data!$AL$10-請求Data!$H$10,0))</f>
        <v/>
      </c>
      <c r="S165" s="155" t="str">
        <f>IF($T165="","",VLOOKUP($T165,請求Data!$I$11:$AR$160,請求Data!$AM$10-請求Data!$H$10,0))</f>
        <v/>
      </c>
      <c r="T165" s="467" t="str">
        <f>IF(ISNA(MATCH($H165,請求Data!$AH$11:$AH$160,0)),"",VLOOKUP($H165,請求Data!$AH$11:$AR$160,請求Data!$AK$10-請求Data!$AG$10,0))</f>
        <v/>
      </c>
      <c r="U165" s="468"/>
      <c r="V165" s="58"/>
    </row>
    <row r="166" spans="1:22" ht="15" customHeight="1">
      <c r="A166" s="58" t="str">
        <f>IF($Q166="","",MAX($A$8:$A165)+1)</f>
        <v/>
      </c>
      <c r="B166" s="614" t="str">
        <f t="shared" si="10"/>
        <v/>
      </c>
      <c r="C166" s="614" t="str">
        <f t="shared" si="11"/>
        <v/>
      </c>
      <c r="D166" s="614" t="str">
        <f t="shared" si="12"/>
        <v/>
      </c>
      <c r="E166" s="615" t="str">
        <f t="shared" si="13"/>
        <v/>
      </c>
      <c r="F166" s="616" t="str">
        <f>IF($H166="","",IF(ISNA(MATCH($H166,$H$7:$H165,0)),1,0))</f>
        <v/>
      </c>
      <c r="G166" s="249"/>
      <c r="H166" s="95"/>
      <c r="I166" s="598" t="str">
        <f>IF($J166="","",INDEX(ﾏｽﾀ!$E$8:$E$124,MATCH(INDEX(ﾏｽﾀ!$N$8:$N$124,MATCH($J166,ﾏｽﾀ!$O$8:$O$124,0)),ﾏｽﾀ!$B$8:$B$124,0))&amp;"")</f>
        <v/>
      </c>
      <c r="J166" s="534"/>
      <c r="K166" s="598" t="str">
        <f>IF($J166="","",INDEX(ﾏｽﾀ!$G$8:$G$124,MATCH(INDEX(ﾏｽﾀ!$N$8:$N$124,MATCH($J166,ﾏｽﾀ!$O$8:$O$124,0)),ﾏｽﾀ!$B$8:$B$124,0))&amp;"")</f>
        <v/>
      </c>
      <c r="L166" s="600" t="str">
        <f>IF($M166="","",INDEX(ﾏｽﾀ!$T$8:$T$16,MATCH($M166,ﾏｽﾀ!$U$8:$U$16,0))&amp;"")</f>
        <v/>
      </c>
      <c r="M166" s="534"/>
      <c r="N166" s="463"/>
      <c r="O166" s="464"/>
      <c r="P166" s="465"/>
      <c r="Q166" s="466" t="str">
        <f t="shared" si="14"/>
        <v/>
      </c>
      <c r="R166" s="154" t="str">
        <f>IF($T166="","",VLOOKUP($T166,請求Data!$I$11:$AR$160,請求Data!$AL$10-請求Data!$H$10,0))</f>
        <v/>
      </c>
      <c r="S166" s="155" t="str">
        <f>IF($T166="","",VLOOKUP($T166,請求Data!$I$11:$AR$160,請求Data!$AM$10-請求Data!$H$10,0))</f>
        <v/>
      </c>
      <c r="T166" s="467" t="str">
        <f>IF(ISNA(MATCH($H166,請求Data!$AH$11:$AH$160,0)),"",VLOOKUP($H166,請求Data!$AH$11:$AR$160,請求Data!$AK$10-請求Data!$AG$10,0))</f>
        <v/>
      </c>
      <c r="U166" s="468"/>
      <c r="V166" s="58"/>
    </row>
    <row r="167" spans="1:22" ht="15" customHeight="1">
      <c r="A167" s="58" t="str">
        <f>IF($Q167="","",MAX($A$8:$A166)+1)</f>
        <v/>
      </c>
      <c r="B167" s="614" t="str">
        <f t="shared" si="10"/>
        <v/>
      </c>
      <c r="C167" s="614" t="str">
        <f t="shared" si="11"/>
        <v/>
      </c>
      <c r="D167" s="614" t="str">
        <f t="shared" si="12"/>
        <v/>
      </c>
      <c r="E167" s="615" t="str">
        <f t="shared" si="13"/>
        <v/>
      </c>
      <c r="F167" s="616" t="str">
        <f>IF($H167="","",IF(ISNA(MATCH($H167,$H$7:$H166,0)),1,0))</f>
        <v/>
      </c>
      <c r="G167" s="249"/>
      <c r="H167" s="95"/>
      <c r="I167" s="598" t="str">
        <f>IF($J167="","",INDEX(ﾏｽﾀ!$E$8:$E$124,MATCH(INDEX(ﾏｽﾀ!$N$8:$N$124,MATCH($J167,ﾏｽﾀ!$O$8:$O$124,0)),ﾏｽﾀ!$B$8:$B$124,0))&amp;"")</f>
        <v/>
      </c>
      <c r="J167" s="534"/>
      <c r="K167" s="598" t="str">
        <f>IF($J167="","",INDEX(ﾏｽﾀ!$G$8:$G$124,MATCH(INDEX(ﾏｽﾀ!$N$8:$N$124,MATCH($J167,ﾏｽﾀ!$O$8:$O$124,0)),ﾏｽﾀ!$B$8:$B$124,0))&amp;"")</f>
        <v/>
      </c>
      <c r="L167" s="600" t="str">
        <f>IF($M167="","",INDEX(ﾏｽﾀ!$T$8:$T$16,MATCH($M167,ﾏｽﾀ!$U$8:$U$16,0))&amp;"")</f>
        <v/>
      </c>
      <c r="M167" s="534"/>
      <c r="N167" s="463"/>
      <c r="O167" s="464"/>
      <c r="P167" s="465"/>
      <c r="Q167" s="466" t="str">
        <f t="shared" si="14"/>
        <v/>
      </c>
      <c r="R167" s="154" t="str">
        <f>IF($T167="","",VLOOKUP($T167,請求Data!$I$11:$AR$160,請求Data!$AL$10-請求Data!$H$10,0))</f>
        <v/>
      </c>
      <c r="S167" s="155" t="str">
        <f>IF($T167="","",VLOOKUP($T167,請求Data!$I$11:$AR$160,請求Data!$AM$10-請求Data!$H$10,0))</f>
        <v/>
      </c>
      <c r="T167" s="467" t="str">
        <f>IF(ISNA(MATCH($H167,請求Data!$AH$11:$AH$160,0)),"",VLOOKUP($H167,請求Data!$AH$11:$AR$160,請求Data!$AK$10-請求Data!$AG$10,0))</f>
        <v/>
      </c>
      <c r="U167" s="468"/>
      <c r="V167" s="58"/>
    </row>
    <row r="168" spans="1:22" ht="15" customHeight="1">
      <c r="A168" s="58" t="str">
        <f>IF($Q168="","",MAX($A$8:$A167)+1)</f>
        <v/>
      </c>
      <c r="B168" s="614" t="str">
        <f t="shared" si="10"/>
        <v/>
      </c>
      <c r="C168" s="614" t="str">
        <f t="shared" si="11"/>
        <v/>
      </c>
      <c r="D168" s="614" t="str">
        <f t="shared" si="12"/>
        <v/>
      </c>
      <c r="E168" s="615" t="str">
        <f t="shared" si="13"/>
        <v/>
      </c>
      <c r="F168" s="616" t="str">
        <f>IF($H168="","",IF(ISNA(MATCH($H168,$H$7:$H167,0)),1,0))</f>
        <v/>
      </c>
      <c r="G168" s="249"/>
      <c r="H168" s="95"/>
      <c r="I168" s="598" t="str">
        <f>IF($J168="","",INDEX(ﾏｽﾀ!$E$8:$E$124,MATCH(INDEX(ﾏｽﾀ!$N$8:$N$124,MATCH($J168,ﾏｽﾀ!$O$8:$O$124,0)),ﾏｽﾀ!$B$8:$B$124,0))&amp;"")</f>
        <v/>
      </c>
      <c r="J168" s="534"/>
      <c r="K168" s="598" t="str">
        <f>IF($J168="","",INDEX(ﾏｽﾀ!$G$8:$G$124,MATCH(INDEX(ﾏｽﾀ!$N$8:$N$124,MATCH($J168,ﾏｽﾀ!$O$8:$O$124,0)),ﾏｽﾀ!$B$8:$B$124,0))&amp;"")</f>
        <v/>
      </c>
      <c r="L168" s="600" t="str">
        <f>IF($M168="","",INDEX(ﾏｽﾀ!$T$8:$T$16,MATCH($M168,ﾏｽﾀ!$U$8:$U$16,0))&amp;"")</f>
        <v/>
      </c>
      <c r="M168" s="534"/>
      <c r="N168" s="463"/>
      <c r="O168" s="464"/>
      <c r="P168" s="465"/>
      <c r="Q168" s="466" t="str">
        <f t="shared" si="14"/>
        <v/>
      </c>
      <c r="R168" s="154" t="str">
        <f>IF($T168="","",VLOOKUP($T168,請求Data!$I$11:$AR$160,請求Data!$AL$10-請求Data!$H$10,0))</f>
        <v/>
      </c>
      <c r="S168" s="155" t="str">
        <f>IF($T168="","",VLOOKUP($T168,請求Data!$I$11:$AR$160,請求Data!$AM$10-請求Data!$H$10,0))</f>
        <v/>
      </c>
      <c r="T168" s="467" t="str">
        <f>IF(ISNA(MATCH($H168,請求Data!$AH$11:$AH$160,0)),"",VLOOKUP($H168,請求Data!$AH$11:$AR$160,請求Data!$AK$10-請求Data!$AG$10,0))</f>
        <v/>
      </c>
      <c r="U168" s="468"/>
      <c r="V168" s="58"/>
    </row>
    <row r="169" spans="1:22" ht="15" customHeight="1">
      <c r="A169" s="58" t="str">
        <f>IF($Q169="","",MAX($A$8:$A168)+1)</f>
        <v/>
      </c>
      <c r="B169" s="614" t="str">
        <f t="shared" si="10"/>
        <v/>
      </c>
      <c r="C169" s="614" t="str">
        <f t="shared" si="11"/>
        <v/>
      </c>
      <c r="D169" s="614" t="str">
        <f t="shared" si="12"/>
        <v/>
      </c>
      <c r="E169" s="615" t="str">
        <f t="shared" si="13"/>
        <v/>
      </c>
      <c r="F169" s="616" t="str">
        <f>IF($H169="","",IF(ISNA(MATCH($H169,$H$7:$H168,0)),1,0))</f>
        <v/>
      </c>
      <c r="G169" s="249"/>
      <c r="H169" s="95"/>
      <c r="I169" s="598" t="str">
        <f>IF($J169="","",INDEX(ﾏｽﾀ!$E$8:$E$124,MATCH(INDEX(ﾏｽﾀ!$N$8:$N$124,MATCH($J169,ﾏｽﾀ!$O$8:$O$124,0)),ﾏｽﾀ!$B$8:$B$124,0))&amp;"")</f>
        <v/>
      </c>
      <c r="J169" s="534"/>
      <c r="K169" s="598" t="str">
        <f>IF($J169="","",INDEX(ﾏｽﾀ!$G$8:$G$124,MATCH(INDEX(ﾏｽﾀ!$N$8:$N$124,MATCH($J169,ﾏｽﾀ!$O$8:$O$124,0)),ﾏｽﾀ!$B$8:$B$124,0))&amp;"")</f>
        <v/>
      </c>
      <c r="L169" s="600" t="str">
        <f>IF($M169="","",INDEX(ﾏｽﾀ!$T$8:$T$16,MATCH($M169,ﾏｽﾀ!$U$8:$U$16,0))&amp;"")</f>
        <v/>
      </c>
      <c r="M169" s="534"/>
      <c r="N169" s="463"/>
      <c r="O169" s="464"/>
      <c r="P169" s="465"/>
      <c r="Q169" s="466" t="str">
        <f t="shared" si="14"/>
        <v/>
      </c>
      <c r="R169" s="154" t="str">
        <f>IF($T169="","",VLOOKUP($T169,請求Data!$I$11:$AR$160,請求Data!$AL$10-請求Data!$H$10,0))</f>
        <v/>
      </c>
      <c r="S169" s="155" t="str">
        <f>IF($T169="","",VLOOKUP($T169,請求Data!$I$11:$AR$160,請求Data!$AM$10-請求Data!$H$10,0))</f>
        <v/>
      </c>
      <c r="T169" s="467" t="str">
        <f>IF(ISNA(MATCH($H169,請求Data!$AH$11:$AH$160,0)),"",VLOOKUP($H169,請求Data!$AH$11:$AR$160,請求Data!$AK$10-請求Data!$AG$10,0))</f>
        <v/>
      </c>
      <c r="U169" s="468"/>
      <c r="V169" s="58"/>
    </row>
    <row r="170" spans="1:22" ht="15" customHeight="1">
      <c r="A170" s="58" t="str">
        <f>IF($Q170="","",MAX($A$8:$A169)+1)</f>
        <v/>
      </c>
      <c r="B170" s="614" t="str">
        <f t="shared" si="10"/>
        <v/>
      </c>
      <c r="C170" s="614" t="str">
        <f t="shared" si="11"/>
        <v/>
      </c>
      <c r="D170" s="614" t="str">
        <f t="shared" si="12"/>
        <v/>
      </c>
      <c r="E170" s="615" t="str">
        <f t="shared" si="13"/>
        <v/>
      </c>
      <c r="F170" s="616" t="str">
        <f>IF($H170="","",IF(ISNA(MATCH($H170,$H$7:$H169,0)),1,0))</f>
        <v/>
      </c>
      <c r="G170" s="249"/>
      <c r="H170" s="95"/>
      <c r="I170" s="598" t="str">
        <f>IF($J170="","",INDEX(ﾏｽﾀ!$E$8:$E$124,MATCH(INDEX(ﾏｽﾀ!$N$8:$N$124,MATCH($J170,ﾏｽﾀ!$O$8:$O$124,0)),ﾏｽﾀ!$B$8:$B$124,0))&amp;"")</f>
        <v/>
      </c>
      <c r="J170" s="534"/>
      <c r="K170" s="598" t="str">
        <f>IF($J170="","",INDEX(ﾏｽﾀ!$G$8:$G$124,MATCH(INDEX(ﾏｽﾀ!$N$8:$N$124,MATCH($J170,ﾏｽﾀ!$O$8:$O$124,0)),ﾏｽﾀ!$B$8:$B$124,0))&amp;"")</f>
        <v/>
      </c>
      <c r="L170" s="600" t="str">
        <f>IF($M170="","",INDEX(ﾏｽﾀ!$T$8:$T$16,MATCH($M170,ﾏｽﾀ!$U$8:$U$16,0))&amp;"")</f>
        <v/>
      </c>
      <c r="M170" s="534"/>
      <c r="N170" s="463"/>
      <c r="O170" s="464"/>
      <c r="P170" s="465"/>
      <c r="Q170" s="466" t="str">
        <f t="shared" si="14"/>
        <v/>
      </c>
      <c r="R170" s="154" t="str">
        <f>IF($T170="","",VLOOKUP($T170,請求Data!$I$11:$AR$160,請求Data!$AL$10-請求Data!$H$10,0))</f>
        <v/>
      </c>
      <c r="S170" s="155" t="str">
        <f>IF($T170="","",VLOOKUP($T170,請求Data!$I$11:$AR$160,請求Data!$AM$10-請求Data!$H$10,0))</f>
        <v/>
      </c>
      <c r="T170" s="467" t="str">
        <f>IF(ISNA(MATCH($H170,請求Data!$AH$11:$AH$160,0)),"",VLOOKUP($H170,請求Data!$AH$11:$AR$160,請求Data!$AK$10-請求Data!$AG$10,0))</f>
        <v/>
      </c>
      <c r="U170" s="468"/>
      <c r="V170" s="58"/>
    </row>
    <row r="171" spans="1:22" ht="15" customHeight="1">
      <c r="A171" s="58" t="str">
        <f>IF($Q171="","",MAX($A$8:$A170)+1)</f>
        <v/>
      </c>
      <c r="B171" s="614" t="str">
        <f t="shared" si="10"/>
        <v/>
      </c>
      <c r="C171" s="614" t="str">
        <f t="shared" si="11"/>
        <v/>
      </c>
      <c r="D171" s="614" t="str">
        <f t="shared" si="12"/>
        <v/>
      </c>
      <c r="E171" s="615" t="str">
        <f t="shared" si="13"/>
        <v/>
      </c>
      <c r="F171" s="616" t="str">
        <f>IF($H171="","",IF(ISNA(MATCH($H171,$H$7:$H170,0)),1,0))</f>
        <v/>
      </c>
      <c r="G171" s="249"/>
      <c r="H171" s="95"/>
      <c r="I171" s="598" t="str">
        <f>IF($J171="","",INDEX(ﾏｽﾀ!$E$8:$E$124,MATCH(INDEX(ﾏｽﾀ!$N$8:$N$124,MATCH($J171,ﾏｽﾀ!$O$8:$O$124,0)),ﾏｽﾀ!$B$8:$B$124,0))&amp;"")</f>
        <v/>
      </c>
      <c r="J171" s="534"/>
      <c r="K171" s="598" t="str">
        <f>IF($J171="","",INDEX(ﾏｽﾀ!$G$8:$G$124,MATCH(INDEX(ﾏｽﾀ!$N$8:$N$124,MATCH($J171,ﾏｽﾀ!$O$8:$O$124,0)),ﾏｽﾀ!$B$8:$B$124,0))&amp;"")</f>
        <v/>
      </c>
      <c r="L171" s="600" t="str">
        <f>IF($M171="","",INDEX(ﾏｽﾀ!$T$8:$T$16,MATCH($M171,ﾏｽﾀ!$U$8:$U$16,0))&amp;"")</f>
        <v/>
      </c>
      <c r="M171" s="534"/>
      <c r="N171" s="463"/>
      <c r="O171" s="464"/>
      <c r="P171" s="465"/>
      <c r="Q171" s="466" t="str">
        <f t="shared" si="14"/>
        <v/>
      </c>
      <c r="R171" s="154" t="str">
        <f>IF($T171="","",VLOOKUP($T171,請求Data!$I$11:$AR$160,請求Data!$AL$10-請求Data!$H$10,0))</f>
        <v/>
      </c>
      <c r="S171" s="155" t="str">
        <f>IF($T171="","",VLOOKUP($T171,請求Data!$I$11:$AR$160,請求Data!$AM$10-請求Data!$H$10,0))</f>
        <v/>
      </c>
      <c r="T171" s="467" t="str">
        <f>IF(ISNA(MATCH($H171,請求Data!$AH$11:$AH$160,0)),"",VLOOKUP($H171,請求Data!$AH$11:$AR$160,請求Data!$AK$10-請求Data!$AG$10,0))</f>
        <v/>
      </c>
      <c r="U171" s="468"/>
      <c r="V171" s="58"/>
    </row>
    <row r="172" spans="1:22" ht="15" customHeight="1">
      <c r="A172" s="58" t="str">
        <f>IF($Q172="","",MAX($A$8:$A171)+1)</f>
        <v/>
      </c>
      <c r="B172" s="614" t="str">
        <f t="shared" si="10"/>
        <v/>
      </c>
      <c r="C172" s="614" t="str">
        <f t="shared" si="11"/>
        <v/>
      </c>
      <c r="D172" s="614" t="str">
        <f t="shared" si="12"/>
        <v/>
      </c>
      <c r="E172" s="615" t="str">
        <f t="shared" si="13"/>
        <v/>
      </c>
      <c r="F172" s="616" t="str">
        <f>IF($H172="","",IF(ISNA(MATCH($H172,$H$7:$H171,0)),1,0))</f>
        <v/>
      </c>
      <c r="G172" s="249"/>
      <c r="H172" s="95"/>
      <c r="I172" s="598" t="str">
        <f>IF($J172="","",INDEX(ﾏｽﾀ!$E$8:$E$124,MATCH(INDEX(ﾏｽﾀ!$N$8:$N$124,MATCH($J172,ﾏｽﾀ!$O$8:$O$124,0)),ﾏｽﾀ!$B$8:$B$124,0))&amp;"")</f>
        <v/>
      </c>
      <c r="J172" s="534"/>
      <c r="K172" s="598" t="str">
        <f>IF($J172="","",INDEX(ﾏｽﾀ!$G$8:$G$124,MATCH(INDEX(ﾏｽﾀ!$N$8:$N$124,MATCH($J172,ﾏｽﾀ!$O$8:$O$124,0)),ﾏｽﾀ!$B$8:$B$124,0))&amp;"")</f>
        <v/>
      </c>
      <c r="L172" s="600" t="str">
        <f>IF($M172="","",INDEX(ﾏｽﾀ!$T$8:$T$16,MATCH($M172,ﾏｽﾀ!$U$8:$U$16,0))&amp;"")</f>
        <v/>
      </c>
      <c r="M172" s="534"/>
      <c r="N172" s="463"/>
      <c r="O172" s="464"/>
      <c r="P172" s="465"/>
      <c r="Q172" s="466" t="str">
        <f t="shared" si="14"/>
        <v/>
      </c>
      <c r="R172" s="154" t="str">
        <f>IF($T172="","",VLOOKUP($T172,請求Data!$I$11:$AR$160,請求Data!$AL$10-請求Data!$H$10,0))</f>
        <v/>
      </c>
      <c r="S172" s="155" t="str">
        <f>IF($T172="","",VLOOKUP($T172,請求Data!$I$11:$AR$160,請求Data!$AM$10-請求Data!$H$10,0))</f>
        <v/>
      </c>
      <c r="T172" s="467" t="str">
        <f>IF(ISNA(MATCH($H172,請求Data!$AH$11:$AH$160,0)),"",VLOOKUP($H172,請求Data!$AH$11:$AR$160,請求Data!$AK$10-請求Data!$AG$10,0))</f>
        <v/>
      </c>
      <c r="U172" s="468"/>
      <c r="V172" s="58"/>
    </row>
    <row r="173" spans="1:22" ht="15" customHeight="1">
      <c r="A173" s="58" t="str">
        <f>IF($Q173="","",MAX($A$8:$A172)+1)</f>
        <v/>
      </c>
      <c r="B173" s="614" t="str">
        <f t="shared" si="10"/>
        <v/>
      </c>
      <c r="C173" s="614" t="str">
        <f t="shared" si="11"/>
        <v/>
      </c>
      <c r="D173" s="614" t="str">
        <f t="shared" si="12"/>
        <v/>
      </c>
      <c r="E173" s="615" t="str">
        <f t="shared" si="13"/>
        <v/>
      </c>
      <c r="F173" s="616" t="str">
        <f>IF($H173="","",IF(ISNA(MATCH($H173,$H$7:$H172,0)),1,0))</f>
        <v/>
      </c>
      <c r="G173" s="249"/>
      <c r="H173" s="95"/>
      <c r="I173" s="598" t="str">
        <f>IF($J173="","",INDEX(ﾏｽﾀ!$E$8:$E$124,MATCH(INDEX(ﾏｽﾀ!$N$8:$N$124,MATCH($J173,ﾏｽﾀ!$O$8:$O$124,0)),ﾏｽﾀ!$B$8:$B$124,0))&amp;"")</f>
        <v/>
      </c>
      <c r="J173" s="534"/>
      <c r="K173" s="598" t="str">
        <f>IF($J173="","",INDEX(ﾏｽﾀ!$G$8:$G$124,MATCH(INDEX(ﾏｽﾀ!$N$8:$N$124,MATCH($J173,ﾏｽﾀ!$O$8:$O$124,0)),ﾏｽﾀ!$B$8:$B$124,0))&amp;"")</f>
        <v/>
      </c>
      <c r="L173" s="600" t="str">
        <f>IF($M173="","",INDEX(ﾏｽﾀ!$T$8:$T$16,MATCH($M173,ﾏｽﾀ!$U$8:$U$16,0))&amp;"")</f>
        <v/>
      </c>
      <c r="M173" s="534"/>
      <c r="N173" s="463"/>
      <c r="O173" s="464"/>
      <c r="P173" s="465"/>
      <c r="Q173" s="466" t="str">
        <f t="shared" si="14"/>
        <v/>
      </c>
      <c r="R173" s="154" t="str">
        <f>IF($T173="","",VLOOKUP($T173,請求Data!$I$11:$AR$160,請求Data!$AL$10-請求Data!$H$10,0))</f>
        <v/>
      </c>
      <c r="S173" s="155" t="str">
        <f>IF($T173="","",VLOOKUP($T173,請求Data!$I$11:$AR$160,請求Data!$AM$10-請求Data!$H$10,0))</f>
        <v/>
      </c>
      <c r="T173" s="467" t="str">
        <f>IF(ISNA(MATCH($H173,請求Data!$AH$11:$AH$160,0)),"",VLOOKUP($H173,請求Data!$AH$11:$AR$160,請求Data!$AK$10-請求Data!$AG$10,0))</f>
        <v/>
      </c>
      <c r="U173" s="468"/>
      <c r="V173" s="58"/>
    </row>
    <row r="174" spans="1:22" ht="15" customHeight="1">
      <c r="A174" s="58" t="str">
        <f>IF($Q174="","",MAX($A$8:$A173)+1)</f>
        <v/>
      </c>
      <c r="B174" s="614" t="str">
        <f t="shared" si="10"/>
        <v/>
      </c>
      <c r="C174" s="614" t="str">
        <f t="shared" si="11"/>
        <v/>
      </c>
      <c r="D174" s="614" t="str">
        <f t="shared" si="12"/>
        <v/>
      </c>
      <c r="E174" s="615" t="str">
        <f t="shared" si="13"/>
        <v/>
      </c>
      <c r="F174" s="616" t="str">
        <f>IF($H174="","",IF(ISNA(MATCH($H174,$H$7:$H173,0)),1,0))</f>
        <v/>
      </c>
      <c r="G174" s="249"/>
      <c r="H174" s="95"/>
      <c r="I174" s="598" t="str">
        <f>IF($J174="","",INDEX(ﾏｽﾀ!$E$8:$E$124,MATCH(INDEX(ﾏｽﾀ!$N$8:$N$124,MATCH($J174,ﾏｽﾀ!$O$8:$O$124,0)),ﾏｽﾀ!$B$8:$B$124,0))&amp;"")</f>
        <v/>
      </c>
      <c r="J174" s="534"/>
      <c r="K174" s="598" t="str">
        <f>IF($J174="","",INDEX(ﾏｽﾀ!$G$8:$G$124,MATCH(INDEX(ﾏｽﾀ!$N$8:$N$124,MATCH($J174,ﾏｽﾀ!$O$8:$O$124,0)),ﾏｽﾀ!$B$8:$B$124,0))&amp;"")</f>
        <v/>
      </c>
      <c r="L174" s="600" t="str">
        <f>IF($M174="","",INDEX(ﾏｽﾀ!$T$8:$T$16,MATCH($M174,ﾏｽﾀ!$U$8:$U$16,0))&amp;"")</f>
        <v/>
      </c>
      <c r="M174" s="534"/>
      <c r="N174" s="463"/>
      <c r="O174" s="464"/>
      <c r="P174" s="465"/>
      <c r="Q174" s="466" t="str">
        <f t="shared" si="14"/>
        <v/>
      </c>
      <c r="R174" s="154" t="str">
        <f>IF($T174="","",VLOOKUP($T174,請求Data!$I$11:$AR$160,請求Data!$AL$10-請求Data!$H$10,0))</f>
        <v/>
      </c>
      <c r="S174" s="155" t="str">
        <f>IF($T174="","",VLOOKUP($T174,請求Data!$I$11:$AR$160,請求Data!$AM$10-請求Data!$H$10,0))</f>
        <v/>
      </c>
      <c r="T174" s="467" t="str">
        <f>IF(ISNA(MATCH($H174,請求Data!$AH$11:$AH$160,0)),"",VLOOKUP($H174,請求Data!$AH$11:$AR$160,請求Data!$AK$10-請求Data!$AG$10,0))</f>
        <v/>
      </c>
      <c r="U174" s="468"/>
      <c r="V174" s="58"/>
    </row>
    <row r="175" spans="1:22" ht="15" customHeight="1">
      <c r="A175" s="58" t="str">
        <f>IF($Q175="","",MAX($A$8:$A174)+1)</f>
        <v/>
      </c>
      <c r="B175" s="614" t="str">
        <f t="shared" si="10"/>
        <v/>
      </c>
      <c r="C175" s="614" t="str">
        <f t="shared" si="11"/>
        <v/>
      </c>
      <c r="D175" s="614" t="str">
        <f t="shared" si="12"/>
        <v/>
      </c>
      <c r="E175" s="615" t="str">
        <f t="shared" si="13"/>
        <v/>
      </c>
      <c r="F175" s="616" t="str">
        <f>IF($H175="","",IF(ISNA(MATCH($H175,$H$7:$H174,0)),1,0))</f>
        <v/>
      </c>
      <c r="G175" s="249"/>
      <c r="H175" s="95"/>
      <c r="I175" s="598" t="str">
        <f>IF($J175="","",INDEX(ﾏｽﾀ!$E$8:$E$124,MATCH(INDEX(ﾏｽﾀ!$N$8:$N$124,MATCH($J175,ﾏｽﾀ!$O$8:$O$124,0)),ﾏｽﾀ!$B$8:$B$124,0))&amp;"")</f>
        <v/>
      </c>
      <c r="J175" s="534"/>
      <c r="K175" s="598" t="str">
        <f>IF($J175="","",INDEX(ﾏｽﾀ!$G$8:$G$124,MATCH(INDEX(ﾏｽﾀ!$N$8:$N$124,MATCH($J175,ﾏｽﾀ!$O$8:$O$124,0)),ﾏｽﾀ!$B$8:$B$124,0))&amp;"")</f>
        <v/>
      </c>
      <c r="L175" s="600" t="str">
        <f>IF($M175="","",INDEX(ﾏｽﾀ!$T$8:$T$16,MATCH($M175,ﾏｽﾀ!$U$8:$U$16,0))&amp;"")</f>
        <v/>
      </c>
      <c r="M175" s="534"/>
      <c r="N175" s="463"/>
      <c r="O175" s="464"/>
      <c r="P175" s="465"/>
      <c r="Q175" s="466" t="str">
        <f t="shared" si="14"/>
        <v/>
      </c>
      <c r="R175" s="154" t="str">
        <f>IF($T175="","",VLOOKUP($T175,請求Data!$I$11:$AR$160,請求Data!$AL$10-請求Data!$H$10,0))</f>
        <v/>
      </c>
      <c r="S175" s="155" t="str">
        <f>IF($T175="","",VLOOKUP($T175,請求Data!$I$11:$AR$160,請求Data!$AM$10-請求Data!$H$10,0))</f>
        <v/>
      </c>
      <c r="T175" s="467" t="str">
        <f>IF(ISNA(MATCH($H175,請求Data!$AH$11:$AH$160,0)),"",VLOOKUP($H175,請求Data!$AH$11:$AR$160,請求Data!$AK$10-請求Data!$AG$10,0))</f>
        <v/>
      </c>
      <c r="U175" s="468"/>
      <c r="V175" s="58"/>
    </row>
    <row r="176" spans="1:22" ht="15" customHeight="1">
      <c r="A176" s="58" t="str">
        <f>IF($Q176="","",MAX($A$8:$A175)+1)</f>
        <v/>
      </c>
      <c r="B176" s="614" t="str">
        <f t="shared" si="10"/>
        <v/>
      </c>
      <c r="C176" s="614" t="str">
        <f t="shared" si="11"/>
        <v/>
      </c>
      <c r="D176" s="614" t="str">
        <f t="shared" si="12"/>
        <v/>
      </c>
      <c r="E176" s="615" t="str">
        <f t="shared" si="13"/>
        <v/>
      </c>
      <c r="F176" s="616" t="str">
        <f>IF($H176="","",IF(ISNA(MATCH($H176,$H$7:$H175,0)),1,0))</f>
        <v/>
      </c>
      <c r="G176" s="249"/>
      <c r="H176" s="95"/>
      <c r="I176" s="598" t="str">
        <f>IF($J176="","",INDEX(ﾏｽﾀ!$E$8:$E$124,MATCH(INDEX(ﾏｽﾀ!$N$8:$N$124,MATCH($J176,ﾏｽﾀ!$O$8:$O$124,0)),ﾏｽﾀ!$B$8:$B$124,0))&amp;"")</f>
        <v/>
      </c>
      <c r="J176" s="534"/>
      <c r="K176" s="598" t="str">
        <f>IF($J176="","",INDEX(ﾏｽﾀ!$G$8:$G$124,MATCH(INDEX(ﾏｽﾀ!$N$8:$N$124,MATCH($J176,ﾏｽﾀ!$O$8:$O$124,0)),ﾏｽﾀ!$B$8:$B$124,0))&amp;"")</f>
        <v/>
      </c>
      <c r="L176" s="600" t="str">
        <f>IF($M176="","",INDEX(ﾏｽﾀ!$T$8:$T$16,MATCH($M176,ﾏｽﾀ!$U$8:$U$16,0))&amp;"")</f>
        <v/>
      </c>
      <c r="M176" s="534"/>
      <c r="N176" s="463"/>
      <c r="O176" s="464"/>
      <c r="P176" s="465"/>
      <c r="Q176" s="466" t="str">
        <f t="shared" si="14"/>
        <v/>
      </c>
      <c r="R176" s="154" t="str">
        <f>IF($T176="","",VLOOKUP($T176,請求Data!$I$11:$AR$160,請求Data!$AL$10-請求Data!$H$10,0))</f>
        <v/>
      </c>
      <c r="S176" s="155" t="str">
        <f>IF($T176="","",VLOOKUP($T176,請求Data!$I$11:$AR$160,請求Data!$AM$10-請求Data!$H$10,0))</f>
        <v/>
      </c>
      <c r="T176" s="467" t="str">
        <f>IF(ISNA(MATCH($H176,請求Data!$AH$11:$AH$160,0)),"",VLOOKUP($H176,請求Data!$AH$11:$AR$160,請求Data!$AK$10-請求Data!$AG$10,0))</f>
        <v/>
      </c>
      <c r="U176" s="468"/>
      <c r="V176" s="58"/>
    </row>
    <row r="177" spans="1:22" ht="15" customHeight="1">
      <c r="A177" s="58" t="str">
        <f>IF($Q177="","",MAX($A$8:$A176)+1)</f>
        <v/>
      </c>
      <c r="B177" s="614" t="str">
        <f t="shared" si="10"/>
        <v/>
      </c>
      <c r="C177" s="614" t="str">
        <f t="shared" si="11"/>
        <v/>
      </c>
      <c r="D177" s="614" t="str">
        <f t="shared" si="12"/>
        <v/>
      </c>
      <c r="E177" s="615" t="str">
        <f t="shared" si="13"/>
        <v/>
      </c>
      <c r="F177" s="616" t="str">
        <f>IF($H177="","",IF(ISNA(MATCH($H177,$H$7:$H176,0)),1,0))</f>
        <v/>
      </c>
      <c r="G177" s="249"/>
      <c r="H177" s="95"/>
      <c r="I177" s="598" t="str">
        <f>IF($J177="","",INDEX(ﾏｽﾀ!$E$8:$E$124,MATCH(INDEX(ﾏｽﾀ!$N$8:$N$124,MATCH($J177,ﾏｽﾀ!$O$8:$O$124,0)),ﾏｽﾀ!$B$8:$B$124,0))&amp;"")</f>
        <v/>
      </c>
      <c r="J177" s="534"/>
      <c r="K177" s="598" t="str">
        <f>IF($J177="","",INDEX(ﾏｽﾀ!$G$8:$G$124,MATCH(INDEX(ﾏｽﾀ!$N$8:$N$124,MATCH($J177,ﾏｽﾀ!$O$8:$O$124,0)),ﾏｽﾀ!$B$8:$B$124,0))&amp;"")</f>
        <v/>
      </c>
      <c r="L177" s="600" t="str">
        <f>IF($M177="","",INDEX(ﾏｽﾀ!$T$8:$T$16,MATCH($M177,ﾏｽﾀ!$U$8:$U$16,0))&amp;"")</f>
        <v/>
      </c>
      <c r="M177" s="534"/>
      <c r="N177" s="463"/>
      <c r="O177" s="464"/>
      <c r="P177" s="465"/>
      <c r="Q177" s="466" t="str">
        <f t="shared" si="14"/>
        <v/>
      </c>
      <c r="R177" s="154" t="str">
        <f>IF($T177="","",VLOOKUP($T177,請求Data!$I$11:$AR$160,請求Data!$AL$10-請求Data!$H$10,0))</f>
        <v/>
      </c>
      <c r="S177" s="155" t="str">
        <f>IF($T177="","",VLOOKUP($T177,請求Data!$I$11:$AR$160,請求Data!$AM$10-請求Data!$H$10,0))</f>
        <v/>
      </c>
      <c r="T177" s="467" t="str">
        <f>IF(ISNA(MATCH($H177,請求Data!$AH$11:$AH$160,0)),"",VLOOKUP($H177,請求Data!$AH$11:$AR$160,請求Data!$AK$10-請求Data!$AG$10,0))</f>
        <v/>
      </c>
      <c r="U177" s="468"/>
      <c r="V177" s="58"/>
    </row>
    <row r="178" spans="1:22" ht="15" customHeight="1">
      <c r="A178" s="58" t="str">
        <f>IF($Q178="","",MAX($A$8:$A177)+1)</f>
        <v/>
      </c>
      <c r="B178" s="614" t="str">
        <f t="shared" si="10"/>
        <v/>
      </c>
      <c r="C178" s="614" t="str">
        <f t="shared" si="11"/>
        <v/>
      </c>
      <c r="D178" s="614" t="str">
        <f t="shared" si="12"/>
        <v/>
      </c>
      <c r="E178" s="615" t="str">
        <f t="shared" si="13"/>
        <v/>
      </c>
      <c r="F178" s="616" t="str">
        <f>IF($H178="","",IF(ISNA(MATCH($H178,$H$7:$H177,0)),1,0))</f>
        <v/>
      </c>
      <c r="G178" s="249"/>
      <c r="H178" s="95"/>
      <c r="I178" s="598" t="str">
        <f>IF($J178="","",INDEX(ﾏｽﾀ!$E$8:$E$124,MATCH(INDEX(ﾏｽﾀ!$N$8:$N$124,MATCH($J178,ﾏｽﾀ!$O$8:$O$124,0)),ﾏｽﾀ!$B$8:$B$124,0))&amp;"")</f>
        <v/>
      </c>
      <c r="J178" s="534"/>
      <c r="K178" s="598" t="str">
        <f>IF($J178="","",INDEX(ﾏｽﾀ!$G$8:$G$124,MATCH(INDEX(ﾏｽﾀ!$N$8:$N$124,MATCH($J178,ﾏｽﾀ!$O$8:$O$124,0)),ﾏｽﾀ!$B$8:$B$124,0))&amp;"")</f>
        <v/>
      </c>
      <c r="L178" s="600" t="str">
        <f>IF($M178="","",INDEX(ﾏｽﾀ!$T$8:$T$16,MATCH($M178,ﾏｽﾀ!$U$8:$U$16,0))&amp;"")</f>
        <v/>
      </c>
      <c r="M178" s="534"/>
      <c r="N178" s="463"/>
      <c r="O178" s="464"/>
      <c r="P178" s="465"/>
      <c r="Q178" s="466" t="str">
        <f t="shared" si="14"/>
        <v/>
      </c>
      <c r="R178" s="154" t="str">
        <f>IF($T178="","",VLOOKUP($T178,請求Data!$I$11:$AR$160,請求Data!$AL$10-請求Data!$H$10,0))</f>
        <v/>
      </c>
      <c r="S178" s="155" t="str">
        <f>IF($T178="","",VLOOKUP($T178,請求Data!$I$11:$AR$160,請求Data!$AM$10-請求Data!$H$10,0))</f>
        <v/>
      </c>
      <c r="T178" s="467" t="str">
        <f>IF(ISNA(MATCH($H178,請求Data!$AH$11:$AH$160,0)),"",VLOOKUP($H178,請求Data!$AH$11:$AR$160,請求Data!$AK$10-請求Data!$AG$10,0))</f>
        <v/>
      </c>
      <c r="U178" s="468"/>
      <c r="V178" s="58"/>
    </row>
    <row r="179" spans="1:22" ht="15" customHeight="1">
      <c r="A179" s="58" t="str">
        <f>IF($Q179="","",MAX($A$8:$A178)+1)</f>
        <v/>
      </c>
      <c r="B179" s="614" t="str">
        <f t="shared" si="10"/>
        <v/>
      </c>
      <c r="C179" s="614" t="str">
        <f t="shared" si="11"/>
        <v/>
      </c>
      <c r="D179" s="614" t="str">
        <f t="shared" si="12"/>
        <v/>
      </c>
      <c r="E179" s="615" t="str">
        <f t="shared" si="13"/>
        <v/>
      </c>
      <c r="F179" s="616" t="str">
        <f>IF($H179="","",IF(ISNA(MATCH($H179,$H$7:$H178,0)),1,0))</f>
        <v/>
      </c>
      <c r="G179" s="249"/>
      <c r="H179" s="95"/>
      <c r="I179" s="598" t="str">
        <f>IF($J179="","",INDEX(ﾏｽﾀ!$E$8:$E$124,MATCH(INDEX(ﾏｽﾀ!$N$8:$N$124,MATCH($J179,ﾏｽﾀ!$O$8:$O$124,0)),ﾏｽﾀ!$B$8:$B$124,0))&amp;"")</f>
        <v/>
      </c>
      <c r="J179" s="534"/>
      <c r="K179" s="598" t="str">
        <f>IF($J179="","",INDEX(ﾏｽﾀ!$G$8:$G$124,MATCH(INDEX(ﾏｽﾀ!$N$8:$N$124,MATCH($J179,ﾏｽﾀ!$O$8:$O$124,0)),ﾏｽﾀ!$B$8:$B$124,0))&amp;"")</f>
        <v/>
      </c>
      <c r="L179" s="600" t="str">
        <f>IF($M179="","",INDEX(ﾏｽﾀ!$T$8:$T$16,MATCH($M179,ﾏｽﾀ!$U$8:$U$16,0))&amp;"")</f>
        <v/>
      </c>
      <c r="M179" s="534"/>
      <c r="N179" s="463"/>
      <c r="O179" s="464"/>
      <c r="P179" s="465"/>
      <c r="Q179" s="466" t="str">
        <f t="shared" si="14"/>
        <v/>
      </c>
      <c r="R179" s="154" t="str">
        <f>IF($T179="","",VLOOKUP($T179,請求Data!$I$11:$AR$160,請求Data!$AL$10-請求Data!$H$10,0))</f>
        <v/>
      </c>
      <c r="S179" s="155" t="str">
        <f>IF($T179="","",VLOOKUP($T179,請求Data!$I$11:$AR$160,請求Data!$AM$10-請求Data!$H$10,0))</f>
        <v/>
      </c>
      <c r="T179" s="467" t="str">
        <f>IF(ISNA(MATCH($H179,請求Data!$AH$11:$AH$160,0)),"",VLOOKUP($H179,請求Data!$AH$11:$AR$160,請求Data!$AK$10-請求Data!$AG$10,0))</f>
        <v/>
      </c>
      <c r="U179" s="468"/>
      <c r="V179" s="58"/>
    </row>
    <row r="180" spans="1:22" ht="15" customHeight="1">
      <c r="A180" s="58" t="str">
        <f>IF($Q180="","",MAX($A$8:$A179)+1)</f>
        <v/>
      </c>
      <c r="B180" s="614" t="str">
        <f t="shared" si="10"/>
        <v/>
      </c>
      <c r="C180" s="614" t="str">
        <f t="shared" si="11"/>
        <v/>
      </c>
      <c r="D180" s="614" t="str">
        <f t="shared" si="12"/>
        <v/>
      </c>
      <c r="E180" s="615" t="str">
        <f t="shared" si="13"/>
        <v/>
      </c>
      <c r="F180" s="616" t="str">
        <f>IF($H180="","",IF(ISNA(MATCH($H180,$H$7:$H179,0)),1,0))</f>
        <v/>
      </c>
      <c r="G180" s="249"/>
      <c r="H180" s="95"/>
      <c r="I180" s="598" t="str">
        <f>IF($J180="","",INDEX(ﾏｽﾀ!$E$8:$E$124,MATCH(INDEX(ﾏｽﾀ!$N$8:$N$124,MATCH($J180,ﾏｽﾀ!$O$8:$O$124,0)),ﾏｽﾀ!$B$8:$B$124,0))&amp;"")</f>
        <v/>
      </c>
      <c r="J180" s="534"/>
      <c r="K180" s="598" t="str">
        <f>IF($J180="","",INDEX(ﾏｽﾀ!$G$8:$G$124,MATCH(INDEX(ﾏｽﾀ!$N$8:$N$124,MATCH($J180,ﾏｽﾀ!$O$8:$O$124,0)),ﾏｽﾀ!$B$8:$B$124,0))&amp;"")</f>
        <v/>
      </c>
      <c r="L180" s="600" t="str">
        <f>IF($M180="","",INDEX(ﾏｽﾀ!$T$8:$T$16,MATCH($M180,ﾏｽﾀ!$U$8:$U$16,0))&amp;"")</f>
        <v/>
      </c>
      <c r="M180" s="534"/>
      <c r="N180" s="463"/>
      <c r="O180" s="464"/>
      <c r="P180" s="465"/>
      <c r="Q180" s="466" t="str">
        <f t="shared" si="14"/>
        <v/>
      </c>
      <c r="R180" s="154" t="str">
        <f>IF($T180="","",VLOOKUP($T180,請求Data!$I$11:$AR$160,請求Data!$AL$10-請求Data!$H$10,0))</f>
        <v/>
      </c>
      <c r="S180" s="155" t="str">
        <f>IF($T180="","",VLOOKUP($T180,請求Data!$I$11:$AR$160,請求Data!$AM$10-請求Data!$H$10,0))</f>
        <v/>
      </c>
      <c r="T180" s="467" t="str">
        <f>IF(ISNA(MATCH($H180,請求Data!$AH$11:$AH$160,0)),"",VLOOKUP($H180,請求Data!$AH$11:$AR$160,請求Data!$AK$10-請求Data!$AG$10,0))</f>
        <v/>
      </c>
      <c r="U180" s="468"/>
      <c r="V180" s="58"/>
    </row>
    <row r="181" spans="1:22" ht="15" customHeight="1">
      <c r="A181" s="58" t="str">
        <f>IF($Q181="","",MAX($A$8:$A180)+1)</f>
        <v/>
      </c>
      <c r="B181" s="614" t="str">
        <f t="shared" si="10"/>
        <v/>
      </c>
      <c r="C181" s="614" t="str">
        <f t="shared" si="11"/>
        <v/>
      </c>
      <c r="D181" s="614" t="str">
        <f t="shared" si="12"/>
        <v/>
      </c>
      <c r="E181" s="615" t="str">
        <f t="shared" si="13"/>
        <v/>
      </c>
      <c r="F181" s="616" t="str">
        <f>IF($H181="","",IF(ISNA(MATCH($H181,$H$7:$H180,0)),1,0))</f>
        <v/>
      </c>
      <c r="G181" s="249"/>
      <c r="H181" s="95"/>
      <c r="I181" s="598" t="str">
        <f>IF($J181="","",INDEX(ﾏｽﾀ!$E$8:$E$124,MATCH(INDEX(ﾏｽﾀ!$N$8:$N$124,MATCH($J181,ﾏｽﾀ!$O$8:$O$124,0)),ﾏｽﾀ!$B$8:$B$124,0))&amp;"")</f>
        <v/>
      </c>
      <c r="J181" s="534"/>
      <c r="K181" s="598" t="str">
        <f>IF($J181="","",INDEX(ﾏｽﾀ!$G$8:$G$124,MATCH(INDEX(ﾏｽﾀ!$N$8:$N$124,MATCH($J181,ﾏｽﾀ!$O$8:$O$124,0)),ﾏｽﾀ!$B$8:$B$124,0))&amp;"")</f>
        <v/>
      </c>
      <c r="L181" s="600" t="str">
        <f>IF($M181="","",INDEX(ﾏｽﾀ!$T$8:$T$16,MATCH($M181,ﾏｽﾀ!$U$8:$U$16,0))&amp;"")</f>
        <v/>
      </c>
      <c r="M181" s="534"/>
      <c r="N181" s="463"/>
      <c r="O181" s="464"/>
      <c r="P181" s="465"/>
      <c r="Q181" s="466" t="str">
        <f t="shared" si="14"/>
        <v/>
      </c>
      <c r="R181" s="154" t="str">
        <f>IF($T181="","",VLOOKUP($T181,請求Data!$I$11:$AR$160,請求Data!$AL$10-請求Data!$H$10,0))</f>
        <v/>
      </c>
      <c r="S181" s="155" t="str">
        <f>IF($T181="","",VLOOKUP($T181,請求Data!$I$11:$AR$160,請求Data!$AM$10-請求Data!$H$10,0))</f>
        <v/>
      </c>
      <c r="T181" s="467" t="str">
        <f>IF(ISNA(MATCH($H181,請求Data!$AH$11:$AH$160,0)),"",VLOOKUP($H181,請求Data!$AH$11:$AR$160,請求Data!$AK$10-請求Data!$AG$10,0))</f>
        <v/>
      </c>
      <c r="U181" s="468"/>
      <c r="V181" s="58"/>
    </row>
    <row r="182" spans="1:22" ht="15" customHeight="1">
      <c r="A182" s="58" t="str">
        <f>IF($Q182="","",MAX($A$8:$A181)+1)</f>
        <v/>
      </c>
      <c r="B182" s="614" t="str">
        <f t="shared" si="10"/>
        <v/>
      </c>
      <c r="C182" s="614" t="str">
        <f t="shared" si="11"/>
        <v/>
      </c>
      <c r="D182" s="614" t="str">
        <f t="shared" si="12"/>
        <v/>
      </c>
      <c r="E182" s="615" t="str">
        <f t="shared" si="13"/>
        <v/>
      </c>
      <c r="F182" s="616" t="str">
        <f>IF($H182="","",IF(ISNA(MATCH($H182,$H$7:$H181,0)),1,0))</f>
        <v/>
      </c>
      <c r="G182" s="249"/>
      <c r="H182" s="95"/>
      <c r="I182" s="598" t="str">
        <f>IF($J182="","",INDEX(ﾏｽﾀ!$E$8:$E$124,MATCH(INDEX(ﾏｽﾀ!$N$8:$N$124,MATCH($J182,ﾏｽﾀ!$O$8:$O$124,0)),ﾏｽﾀ!$B$8:$B$124,0))&amp;"")</f>
        <v/>
      </c>
      <c r="J182" s="534"/>
      <c r="K182" s="598" t="str">
        <f>IF($J182="","",INDEX(ﾏｽﾀ!$G$8:$G$124,MATCH(INDEX(ﾏｽﾀ!$N$8:$N$124,MATCH($J182,ﾏｽﾀ!$O$8:$O$124,0)),ﾏｽﾀ!$B$8:$B$124,0))&amp;"")</f>
        <v/>
      </c>
      <c r="L182" s="600" t="str">
        <f>IF($M182="","",INDEX(ﾏｽﾀ!$T$8:$T$16,MATCH($M182,ﾏｽﾀ!$U$8:$U$16,0))&amp;"")</f>
        <v/>
      </c>
      <c r="M182" s="534"/>
      <c r="N182" s="463"/>
      <c r="O182" s="464"/>
      <c r="P182" s="465"/>
      <c r="Q182" s="466" t="str">
        <f t="shared" si="14"/>
        <v/>
      </c>
      <c r="R182" s="154" t="str">
        <f>IF($T182="","",VLOOKUP($T182,請求Data!$I$11:$AR$160,請求Data!$AL$10-請求Data!$H$10,0))</f>
        <v/>
      </c>
      <c r="S182" s="155" t="str">
        <f>IF($T182="","",VLOOKUP($T182,請求Data!$I$11:$AR$160,請求Data!$AM$10-請求Data!$H$10,0))</f>
        <v/>
      </c>
      <c r="T182" s="467" t="str">
        <f>IF(ISNA(MATCH($H182,請求Data!$AH$11:$AH$160,0)),"",VLOOKUP($H182,請求Data!$AH$11:$AR$160,請求Data!$AK$10-請求Data!$AG$10,0))</f>
        <v/>
      </c>
      <c r="U182" s="468"/>
      <c r="V182" s="58"/>
    </row>
    <row r="183" spans="1:22" ht="15" customHeight="1">
      <c r="A183" s="58" t="str">
        <f>IF($Q183="","",MAX($A$8:$A182)+1)</f>
        <v/>
      </c>
      <c r="B183" s="614" t="str">
        <f t="shared" si="10"/>
        <v/>
      </c>
      <c r="C183" s="614" t="str">
        <f t="shared" si="11"/>
        <v/>
      </c>
      <c r="D183" s="614" t="str">
        <f t="shared" si="12"/>
        <v/>
      </c>
      <c r="E183" s="615" t="str">
        <f t="shared" si="13"/>
        <v/>
      </c>
      <c r="F183" s="616" t="str">
        <f>IF($H183="","",IF(ISNA(MATCH($H183,$H$7:$H182,0)),1,0))</f>
        <v/>
      </c>
      <c r="G183" s="249"/>
      <c r="H183" s="95"/>
      <c r="I183" s="598" t="str">
        <f>IF($J183="","",INDEX(ﾏｽﾀ!$E$8:$E$124,MATCH(INDEX(ﾏｽﾀ!$N$8:$N$124,MATCH($J183,ﾏｽﾀ!$O$8:$O$124,0)),ﾏｽﾀ!$B$8:$B$124,0))&amp;"")</f>
        <v/>
      </c>
      <c r="J183" s="534"/>
      <c r="K183" s="598" t="str">
        <f>IF($J183="","",INDEX(ﾏｽﾀ!$G$8:$G$124,MATCH(INDEX(ﾏｽﾀ!$N$8:$N$124,MATCH($J183,ﾏｽﾀ!$O$8:$O$124,0)),ﾏｽﾀ!$B$8:$B$124,0))&amp;"")</f>
        <v/>
      </c>
      <c r="L183" s="600" t="str">
        <f>IF($M183="","",INDEX(ﾏｽﾀ!$T$8:$T$16,MATCH($M183,ﾏｽﾀ!$U$8:$U$16,0))&amp;"")</f>
        <v/>
      </c>
      <c r="M183" s="534"/>
      <c r="N183" s="463"/>
      <c r="O183" s="464"/>
      <c r="P183" s="465"/>
      <c r="Q183" s="466" t="str">
        <f t="shared" si="14"/>
        <v/>
      </c>
      <c r="R183" s="154" t="str">
        <f>IF($T183="","",VLOOKUP($T183,請求Data!$I$11:$AR$160,請求Data!$AL$10-請求Data!$H$10,0))</f>
        <v/>
      </c>
      <c r="S183" s="155" t="str">
        <f>IF($T183="","",VLOOKUP($T183,請求Data!$I$11:$AR$160,請求Data!$AM$10-請求Data!$H$10,0))</f>
        <v/>
      </c>
      <c r="T183" s="467" t="str">
        <f>IF(ISNA(MATCH($H183,請求Data!$AH$11:$AH$160,0)),"",VLOOKUP($H183,請求Data!$AH$11:$AR$160,請求Data!$AK$10-請求Data!$AG$10,0))</f>
        <v/>
      </c>
      <c r="U183" s="468"/>
      <c r="V183" s="58"/>
    </row>
    <row r="184" spans="1:22" ht="15" customHeight="1">
      <c r="A184" s="58" t="str">
        <f>IF($Q184="","",MAX($A$8:$A183)+1)</f>
        <v/>
      </c>
      <c r="B184" s="614" t="str">
        <f t="shared" si="10"/>
        <v/>
      </c>
      <c r="C184" s="614" t="str">
        <f t="shared" si="11"/>
        <v/>
      </c>
      <c r="D184" s="614" t="str">
        <f t="shared" si="12"/>
        <v/>
      </c>
      <c r="E184" s="615" t="str">
        <f t="shared" si="13"/>
        <v/>
      </c>
      <c r="F184" s="616" t="str">
        <f>IF($H184="","",IF(ISNA(MATCH($H184,$H$7:$H183,0)),1,0))</f>
        <v/>
      </c>
      <c r="G184" s="249"/>
      <c r="H184" s="95"/>
      <c r="I184" s="598" t="str">
        <f>IF($J184="","",INDEX(ﾏｽﾀ!$E$8:$E$124,MATCH(INDEX(ﾏｽﾀ!$N$8:$N$124,MATCH($J184,ﾏｽﾀ!$O$8:$O$124,0)),ﾏｽﾀ!$B$8:$B$124,0))&amp;"")</f>
        <v/>
      </c>
      <c r="J184" s="534"/>
      <c r="K184" s="598" t="str">
        <f>IF($J184="","",INDEX(ﾏｽﾀ!$G$8:$G$124,MATCH(INDEX(ﾏｽﾀ!$N$8:$N$124,MATCH($J184,ﾏｽﾀ!$O$8:$O$124,0)),ﾏｽﾀ!$B$8:$B$124,0))&amp;"")</f>
        <v/>
      </c>
      <c r="L184" s="600" t="str">
        <f>IF($M184="","",INDEX(ﾏｽﾀ!$T$8:$T$16,MATCH($M184,ﾏｽﾀ!$U$8:$U$16,0))&amp;"")</f>
        <v/>
      </c>
      <c r="M184" s="534"/>
      <c r="N184" s="463"/>
      <c r="O184" s="464"/>
      <c r="P184" s="465"/>
      <c r="Q184" s="466" t="str">
        <f t="shared" si="14"/>
        <v/>
      </c>
      <c r="R184" s="154" t="str">
        <f>IF($T184="","",VLOOKUP($T184,請求Data!$I$11:$AR$160,請求Data!$AL$10-請求Data!$H$10,0))</f>
        <v/>
      </c>
      <c r="S184" s="155" t="str">
        <f>IF($T184="","",VLOOKUP($T184,請求Data!$I$11:$AR$160,請求Data!$AM$10-請求Data!$H$10,0))</f>
        <v/>
      </c>
      <c r="T184" s="467" t="str">
        <f>IF(ISNA(MATCH($H184,請求Data!$AH$11:$AH$160,0)),"",VLOOKUP($H184,請求Data!$AH$11:$AR$160,請求Data!$AK$10-請求Data!$AG$10,0))</f>
        <v/>
      </c>
      <c r="U184" s="468"/>
      <c r="V184" s="58"/>
    </row>
    <row r="185" spans="1:22" ht="15" customHeight="1">
      <c r="A185" s="58" t="str">
        <f>IF($Q185="","",MAX($A$8:$A184)+1)</f>
        <v/>
      </c>
      <c r="B185" s="614" t="str">
        <f t="shared" si="10"/>
        <v/>
      </c>
      <c r="C185" s="614" t="str">
        <f t="shared" si="11"/>
        <v/>
      </c>
      <c r="D185" s="614" t="str">
        <f t="shared" si="12"/>
        <v/>
      </c>
      <c r="E185" s="615" t="str">
        <f t="shared" si="13"/>
        <v/>
      </c>
      <c r="F185" s="616" t="str">
        <f>IF($H185="","",IF(ISNA(MATCH($H185,$H$7:$H184,0)),1,0))</f>
        <v/>
      </c>
      <c r="G185" s="249"/>
      <c r="H185" s="95"/>
      <c r="I185" s="598" t="str">
        <f>IF($J185="","",INDEX(ﾏｽﾀ!$E$8:$E$124,MATCH(INDEX(ﾏｽﾀ!$N$8:$N$124,MATCH($J185,ﾏｽﾀ!$O$8:$O$124,0)),ﾏｽﾀ!$B$8:$B$124,0))&amp;"")</f>
        <v/>
      </c>
      <c r="J185" s="534"/>
      <c r="K185" s="598" t="str">
        <f>IF($J185="","",INDEX(ﾏｽﾀ!$G$8:$G$124,MATCH(INDEX(ﾏｽﾀ!$N$8:$N$124,MATCH($J185,ﾏｽﾀ!$O$8:$O$124,0)),ﾏｽﾀ!$B$8:$B$124,0))&amp;"")</f>
        <v/>
      </c>
      <c r="L185" s="600" t="str">
        <f>IF($M185="","",INDEX(ﾏｽﾀ!$T$8:$T$16,MATCH($M185,ﾏｽﾀ!$U$8:$U$16,0))&amp;"")</f>
        <v/>
      </c>
      <c r="M185" s="534"/>
      <c r="N185" s="463"/>
      <c r="O185" s="464"/>
      <c r="P185" s="465"/>
      <c r="Q185" s="466" t="str">
        <f t="shared" si="14"/>
        <v/>
      </c>
      <c r="R185" s="154" t="str">
        <f>IF($T185="","",VLOOKUP($T185,請求Data!$I$11:$AR$160,請求Data!$AL$10-請求Data!$H$10,0))</f>
        <v/>
      </c>
      <c r="S185" s="155" t="str">
        <f>IF($T185="","",VLOOKUP($T185,請求Data!$I$11:$AR$160,請求Data!$AM$10-請求Data!$H$10,0))</f>
        <v/>
      </c>
      <c r="T185" s="467" t="str">
        <f>IF(ISNA(MATCH($H185,請求Data!$AH$11:$AH$160,0)),"",VLOOKUP($H185,請求Data!$AH$11:$AR$160,請求Data!$AK$10-請求Data!$AG$10,0))</f>
        <v/>
      </c>
      <c r="U185" s="468"/>
      <c r="V185" s="58"/>
    </row>
    <row r="186" spans="1:22" ht="15" customHeight="1">
      <c r="A186" s="58" t="str">
        <f>IF($Q186="","",MAX($A$8:$A185)+1)</f>
        <v/>
      </c>
      <c r="B186" s="614" t="str">
        <f t="shared" si="10"/>
        <v/>
      </c>
      <c r="C186" s="614" t="str">
        <f t="shared" si="11"/>
        <v/>
      </c>
      <c r="D186" s="614" t="str">
        <f t="shared" si="12"/>
        <v/>
      </c>
      <c r="E186" s="615" t="str">
        <f t="shared" si="13"/>
        <v/>
      </c>
      <c r="F186" s="616" t="str">
        <f>IF($H186="","",IF(ISNA(MATCH($H186,$H$7:$H185,0)),1,0))</f>
        <v/>
      </c>
      <c r="G186" s="249"/>
      <c r="H186" s="95"/>
      <c r="I186" s="598" t="str">
        <f>IF($J186="","",INDEX(ﾏｽﾀ!$E$8:$E$124,MATCH(INDEX(ﾏｽﾀ!$N$8:$N$124,MATCH($J186,ﾏｽﾀ!$O$8:$O$124,0)),ﾏｽﾀ!$B$8:$B$124,0))&amp;"")</f>
        <v/>
      </c>
      <c r="J186" s="534"/>
      <c r="K186" s="598" t="str">
        <f>IF($J186="","",INDEX(ﾏｽﾀ!$G$8:$G$124,MATCH(INDEX(ﾏｽﾀ!$N$8:$N$124,MATCH($J186,ﾏｽﾀ!$O$8:$O$124,0)),ﾏｽﾀ!$B$8:$B$124,0))&amp;"")</f>
        <v/>
      </c>
      <c r="L186" s="600" t="str">
        <f>IF($M186="","",INDEX(ﾏｽﾀ!$T$8:$T$16,MATCH($M186,ﾏｽﾀ!$U$8:$U$16,0))&amp;"")</f>
        <v/>
      </c>
      <c r="M186" s="534"/>
      <c r="N186" s="463"/>
      <c r="O186" s="464"/>
      <c r="P186" s="465"/>
      <c r="Q186" s="466" t="str">
        <f t="shared" si="14"/>
        <v/>
      </c>
      <c r="R186" s="154" t="str">
        <f>IF($T186="","",VLOOKUP($T186,請求Data!$I$11:$AR$160,請求Data!$AL$10-請求Data!$H$10,0))</f>
        <v/>
      </c>
      <c r="S186" s="155" t="str">
        <f>IF($T186="","",VLOOKUP($T186,請求Data!$I$11:$AR$160,請求Data!$AM$10-請求Data!$H$10,0))</f>
        <v/>
      </c>
      <c r="T186" s="467" t="str">
        <f>IF(ISNA(MATCH($H186,請求Data!$AH$11:$AH$160,0)),"",VLOOKUP($H186,請求Data!$AH$11:$AR$160,請求Data!$AK$10-請求Data!$AG$10,0))</f>
        <v/>
      </c>
      <c r="U186" s="468"/>
      <c r="V186" s="58"/>
    </row>
    <row r="187" spans="1:22" ht="15" customHeight="1">
      <c r="A187" s="58" t="str">
        <f>IF($Q187="","",MAX($A$8:$A186)+1)</f>
        <v/>
      </c>
      <c r="B187" s="614" t="str">
        <f t="shared" si="10"/>
        <v/>
      </c>
      <c r="C187" s="614" t="str">
        <f t="shared" si="11"/>
        <v/>
      </c>
      <c r="D187" s="614" t="str">
        <f t="shared" si="12"/>
        <v/>
      </c>
      <c r="E187" s="615" t="str">
        <f t="shared" si="13"/>
        <v/>
      </c>
      <c r="F187" s="616" t="str">
        <f>IF($H187="","",IF(ISNA(MATCH($H187,$H$7:$H186,0)),1,0))</f>
        <v/>
      </c>
      <c r="G187" s="249"/>
      <c r="H187" s="95"/>
      <c r="I187" s="598" t="str">
        <f>IF($J187="","",INDEX(ﾏｽﾀ!$E$8:$E$124,MATCH(INDEX(ﾏｽﾀ!$N$8:$N$124,MATCH($J187,ﾏｽﾀ!$O$8:$O$124,0)),ﾏｽﾀ!$B$8:$B$124,0))&amp;"")</f>
        <v/>
      </c>
      <c r="J187" s="534"/>
      <c r="K187" s="598" t="str">
        <f>IF($J187="","",INDEX(ﾏｽﾀ!$G$8:$G$124,MATCH(INDEX(ﾏｽﾀ!$N$8:$N$124,MATCH($J187,ﾏｽﾀ!$O$8:$O$124,0)),ﾏｽﾀ!$B$8:$B$124,0))&amp;"")</f>
        <v/>
      </c>
      <c r="L187" s="600" t="str">
        <f>IF($M187="","",INDEX(ﾏｽﾀ!$T$8:$T$16,MATCH($M187,ﾏｽﾀ!$U$8:$U$16,0))&amp;"")</f>
        <v/>
      </c>
      <c r="M187" s="534"/>
      <c r="N187" s="463"/>
      <c r="O187" s="464"/>
      <c r="P187" s="465"/>
      <c r="Q187" s="466" t="str">
        <f t="shared" si="14"/>
        <v/>
      </c>
      <c r="R187" s="154" t="str">
        <f>IF($T187="","",VLOOKUP($T187,請求Data!$I$11:$AR$160,請求Data!$AL$10-請求Data!$H$10,0))</f>
        <v/>
      </c>
      <c r="S187" s="155" t="str">
        <f>IF($T187="","",VLOOKUP($T187,請求Data!$I$11:$AR$160,請求Data!$AM$10-請求Data!$H$10,0))</f>
        <v/>
      </c>
      <c r="T187" s="467" t="str">
        <f>IF(ISNA(MATCH($H187,請求Data!$AH$11:$AH$160,0)),"",VLOOKUP($H187,請求Data!$AH$11:$AR$160,請求Data!$AK$10-請求Data!$AG$10,0))</f>
        <v/>
      </c>
      <c r="U187" s="468"/>
      <c r="V187" s="58"/>
    </row>
    <row r="188" spans="1:22" ht="15" customHeight="1">
      <c r="A188" s="58" t="str">
        <f>IF($Q188="","",MAX($A$8:$A187)+1)</f>
        <v/>
      </c>
      <c r="B188" s="614" t="str">
        <f t="shared" si="10"/>
        <v/>
      </c>
      <c r="C188" s="614" t="str">
        <f t="shared" si="11"/>
        <v/>
      </c>
      <c r="D188" s="614" t="str">
        <f t="shared" si="12"/>
        <v/>
      </c>
      <c r="E188" s="615" t="str">
        <f t="shared" si="13"/>
        <v/>
      </c>
      <c r="F188" s="616" t="str">
        <f>IF($H188="","",IF(ISNA(MATCH($H188,$H$7:$H187,0)),1,0))</f>
        <v/>
      </c>
      <c r="G188" s="249"/>
      <c r="H188" s="95"/>
      <c r="I188" s="598" t="str">
        <f>IF($J188="","",INDEX(ﾏｽﾀ!$E$8:$E$124,MATCH(INDEX(ﾏｽﾀ!$N$8:$N$124,MATCH($J188,ﾏｽﾀ!$O$8:$O$124,0)),ﾏｽﾀ!$B$8:$B$124,0))&amp;"")</f>
        <v/>
      </c>
      <c r="J188" s="534"/>
      <c r="K188" s="598" t="str">
        <f>IF($J188="","",INDEX(ﾏｽﾀ!$G$8:$G$124,MATCH(INDEX(ﾏｽﾀ!$N$8:$N$124,MATCH($J188,ﾏｽﾀ!$O$8:$O$124,0)),ﾏｽﾀ!$B$8:$B$124,0))&amp;"")</f>
        <v/>
      </c>
      <c r="L188" s="600" t="str">
        <f>IF($M188="","",INDEX(ﾏｽﾀ!$T$8:$T$16,MATCH($M188,ﾏｽﾀ!$U$8:$U$16,0))&amp;"")</f>
        <v/>
      </c>
      <c r="M188" s="534"/>
      <c r="N188" s="463"/>
      <c r="O188" s="464"/>
      <c r="P188" s="465"/>
      <c r="Q188" s="466" t="str">
        <f t="shared" si="14"/>
        <v/>
      </c>
      <c r="R188" s="154" t="str">
        <f>IF($T188="","",VLOOKUP($T188,請求Data!$I$11:$AR$160,請求Data!$AL$10-請求Data!$H$10,0))</f>
        <v/>
      </c>
      <c r="S188" s="155" t="str">
        <f>IF($T188="","",VLOOKUP($T188,請求Data!$I$11:$AR$160,請求Data!$AM$10-請求Data!$H$10,0))</f>
        <v/>
      </c>
      <c r="T188" s="467" t="str">
        <f>IF(ISNA(MATCH($H188,請求Data!$AH$11:$AH$160,0)),"",VLOOKUP($H188,請求Data!$AH$11:$AR$160,請求Data!$AK$10-請求Data!$AG$10,0))</f>
        <v/>
      </c>
      <c r="U188" s="468"/>
      <c r="V188" s="58"/>
    </row>
    <row r="189" spans="1:22" ht="15" customHeight="1">
      <c r="A189" s="58" t="str">
        <f>IF($Q189="","",MAX($A$8:$A188)+1)</f>
        <v/>
      </c>
      <c r="B189" s="614" t="str">
        <f t="shared" si="10"/>
        <v/>
      </c>
      <c r="C189" s="614" t="str">
        <f t="shared" si="11"/>
        <v/>
      </c>
      <c r="D189" s="614" t="str">
        <f t="shared" si="12"/>
        <v/>
      </c>
      <c r="E189" s="615" t="str">
        <f t="shared" si="13"/>
        <v/>
      </c>
      <c r="F189" s="616" t="str">
        <f>IF($H189="","",IF(ISNA(MATCH($H189,$H$7:$H188,0)),1,0))</f>
        <v/>
      </c>
      <c r="G189" s="249"/>
      <c r="H189" s="95"/>
      <c r="I189" s="598" t="str">
        <f>IF($J189="","",INDEX(ﾏｽﾀ!$E$8:$E$124,MATCH(INDEX(ﾏｽﾀ!$N$8:$N$124,MATCH($J189,ﾏｽﾀ!$O$8:$O$124,0)),ﾏｽﾀ!$B$8:$B$124,0))&amp;"")</f>
        <v/>
      </c>
      <c r="J189" s="534"/>
      <c r="K189" s="598" t="str">
        <f>IF($J189="","",INDEX(ﾏｽﾀ!$G$8:$G$124,MATCH(INDEX(ﾏｽﾀ!$N$8:$N$124,MATCH($J189,ﾏｽﾀ!$O$8:$O$124,0)),ﾏｽﾀ!$B$8:$B$124,0))&amp;"")</f>
        <v/>
      </c>
      <c r="L189" s="600" t="str">
        <f>IF($M189="","",INDEX(ﾏｽﾀ!$T$8:$T$16,MATCH($M189,ﾏｽﾀ!$U$8:$U$16,0))&amp;"")</f>
        <v/>
      </c>
      <c r="M189" s="534"/>
      <c r="N189" s="463"/>
      <c r="O189" s="464"/>
      <c r="P189" s="465"/>
      <c r="Q189" s="466" t="str">
        <f t="shared" si="14"/>
        <v/>
      </c>
      <c r="R189" s="154" t="str">
        <f>IF($T189="","",VLOOKUP($T189,請求Data!$I$11:$AR$160,請求Data!$AL$10-請求Data!$H$10,0))</f>
        <v/>
      </c>
      <c r="S189" s="155" t="str">
        <f>IF($T189="","",VLOOKUP($T189,請求Data!$I$11:$AR$160,請求Data!$AM$10-請求Data!$H$10,0))</f>
        <v/>
      </c>
      <c r="T189" s="467" t="str">
        <f>IF(ISNA(MATCH($H189,請求Data!$AH$11:$AH$160,0)),"",VLOOKUP($H189,請求Data!$AH$11:$AR$160,請求Data!$AK$10-請求Data!$AG$10,0))</f>
        <v/>
      </c>
      <c r="U189" s="468"/>
      <c r="V189" s="58"/>
    </row>
    <row r="190" spans="1:22" ht="15" customHeight="1">
      <c r="A190" s="58" t="str">
        <f>IF($Q190="","",MAX($A$8:$A189)+1)</f>
        <v/>
      </c>
      <c r="B190" s="614" t="str">
        <f t="shared" si="10"/>
        <v/>
      </c>
      <c r="C190" s="614" t="str">
        <f t="shared" si="11"/>
        <v/>
      </c>
      <c r="D190" s="614" t="str">
        <f t="shared" si="12"/>
        <v/>
      </c>
      <c r="E190" s="615" t="str">
        <f t="shared" si="13"/>
        <v/>
      </c>
      <c r="F190" s="616" t="str">
        <f>IF($H190="","",IF(ISNA(MATCH($H190,$H$7:$H189,0)),1,0))</f>
        <v/>
      </c>
      <c r="G190" s="249"/>
      <c r="H190" s="95"/>
      <c r="I190" s="598" t="str">
        <f>IF($J190="","",INDEX(ﾏｽﾀ!$E$8:$E$124,MATCH(INDEX(ﾏｽﾀ!$N$8:$N$124,MATCH($J190,ﾏｽﾀ!$O$8:$O$124,0)),ﾏｽﾀ!$B$8:$B$124,0))&amp;"")</f>
        <v/>
      </c>
      <c r="J190" s="534"/>
      <c r="K190" s="598" t="str">
        <f>IF($J190="","",INDEX(ﾏｽﾀ!$G$8:$G$124,MATCH(INDEX(ﾏｽﾀ!$N$8:$N$124,MATCH($J190,ﾏｽﾀ!$O$8:$O$124,0)),ﾏｽﾀ!$B$8:$B$124,0))&amp;"")</f>
        <v/>
      </c>
      <c r="L190" s="600" t="str">
        <f>IF($M190="","",INDEX(ﾏｽﾀ!$T$8:$T$16,MATCH($M190,ﾏｽﾀ!$U$8:$U$16,0))&amp;"")</f>
        <v/>
      </c>
      <c r="M190" s="534"/>
      <c r="N190" s="463"/>
      <c r="O190" s="464"/>
      <c r="P190" s="465"/>
      <c r="Q190" s="466" t="str">
        <f t="shared" si="14"/>
        <v/>
      </c>
      <c r="R190" s="154" t="str">
        <f>IF($T190="","",VLOOKUP($T190,請求Data!$I$11:$AR$160,請求Data!$AL$10-請求Data!$H$10,0))</f>
        <v/>
      </c>
      <c r="S190" s="155" t="str">
        <f>IF($T190="","",VLOOKUP($T190,請求Data!$I$11:$AR$160,請求Data!$AM$10-請求Data!$H$10,0))</f>
        <v/>
      </c>
      <c r="T190" s="467" t="str">
        <f>IF(ISNA(MATCH($H190,請求Data!$AH$11:$AH$160,0)),"",VLOOKUP($H190,請求Data!$AH$11:$AR$160,請求Data!$AK$10-請求Data!$AG$10,0))</f>
        <v/>
      </c>
      <c r="U190" s="468"/>
      <c r="V190" s="58"/>
    </row>
    <row r="191" spans="1:22" ht="15" customHeight="1">
      <c r="A191" s="58" t="str">
        <f>IF($Q191="","",MAX($A$8:$A190)+1)</f>
        <v/>
      </c>
      <c r="B191" s="614" t="str">
        <f t="shared" si="10"/>
        <v/>
      </c>
      <c r="C191" s="614" t="str">
        <f t="shared" si="11"/>
        <v/>
      </c>
      <c r="D191" s="614" t="str">
        <f t="shared" si="12"/>
        <v/>
      </c>
      <c r="E191" s="615" t="str">
        <f t="shared" si="13"/>
        <v/>
      </c>
      <c r="F191" s="616" t="str">
        <f>IF($H191="","",IF(ISNA(MATCH($H191,$H$7:$H190,0)),1,0))</f>
        <v/>
      </c>
      <c r="G191" s="249"/>
      <c r="H191" s="95"/>
      <c r="I191" s="598" t="str">
        <f>IF($J191="","",INDEX(ﾏｽﾀ!$E$8:$E$124,MATCH(INDEX(ﾏｽﾀ!$N$8:$N$124,MATCH($J191,ﾏｽﾀ!$O$8:$O$124,0)),ﾏｽﾀ!$B$8:$B$124,0))&amp;"")</f>
        <v/>
      </c>
      <c r="J191" s="534"/>
      <c r="K191" s="598" t="str">
        <f>IF($J191="","",INDEX(ﾏｽﾀ!$G$8:$G$124,MATCH(INDEX(ﾏｽﾀ!$N$8:$N$124,MATCH($J191,ﾏｽﾀ!$O$8:$O$124,0)),ﾏｽﾀ!$B$8:$B$124,0))&amp;"")</f>
        <v/>
      </c>
      <c r="L191" s="600" t="str">
        <f>IF($M191="","",INDEX(ﾏｽﾀ!$T$8:$T$16,MATCH($M191,ﾏｽﾀ!$U$8:$U$16,0))&amp;"")</f>
        <v/>
      </c>
      <c r="M191" s="534"/>
      <c r="N191" s="463"/>
      <c r="O191" s="464"/>
      <c r="P191" s="465"/>
      <c r="Q191" s="466" t="str">
        <f t="shared" si="14"/>
        <v/>
      </c>
      <c r="R191" s="154" t="str">
        <f>IF($T191="","",VLOOKUP($T191,請求Data!$I$11:$AR$160,請求Data!$AL$10-請求Data!$H$10,0))</f>
        <v/>
      </c>
      <c r="S191" s="155" t="str">
        <f>IF($T191="","",VLOOKUP($T191,請求Data!$I$11:$AR$160,請求Data!$AM$10-請求Data!$H$10,0))</f>
        <v/>
      </c>
      <c r="T191" s="467" t="str">
        <f>IF(ISNA(MATCH($H191,請求Data!$AH$11:$AH$160,0)),"",VLOOKUP($H191,請求Data!$AH$11:$AR$160,請求Data!$AK$10-請求Data!$AG$10,0))</f>
        <v/>
      </c>
      <c r="U191" s="468"/>
      <c r="V191" s="58"/>
    </row>
    <row r="192" spans="1:22" ht="15" customHeight="1">
      <c r="A192" s="58" t="str">
        <f>IF($Q192="","",MAX($A$8:$A191)+1)</f>
        <v/>
      </c>
      <c r="B192" s="614" t="str">
        <f t="shared" si="10"/>
        <v/>
      </c>
      <c r="C192" s="614" t="str">
        <f t="shared" si="11"/>
        <v/>
      </c>
      <c r="D192" s="614" t="str">
        <f t="shared" si="12"/>
        <v/>
      </c>
      <c r="E192" s="615" t="str">
        <f t="shared" si="13"/>
        <v/>
      </c>
      <c r="F192" s="616" t="str">
        <f>IF($H192="","",IF(ISNA(MATCH($H192,$H$7:$H191,0)),1,0))</f>
        <v/>
      </c>
      <c r="G192" s="249"/>
      <c r="H192" s="95"/>
      <c r="I192" s="598" t="str">
        <f>IF($J192="","",INDEX(ﾏｽﾀ!$E$8:$E$124,MATCH(INDEX(ﾏｽﾀ!$N$8:$N$124,MATCH($J192,ﾏｽﾀ!$O$8:$O$124,0)),ﾏｽﾀ!$B$8:$B$124,0))&amp;"")</f>
        <v/>
      </c>
      <c r="J192" s="534"/>
      <c r="K192" s="598" t="str">
        <f>IF($J192="","",INDEX(ﾏｽﾀ!$G$8:$G$124,MATCH(INDEX(ﾏｽﾀ!$N$8:$N$124,MATCH($J192,ﾏｽﾀ!$O$8:$O$124,0)),ﾏｽﾀ!$B$8:$B$124,0))&amp;"")</f>
        <v/>
      </c>
      <c r="L192" s="600" t="str">
        <f>IF($M192="","",INDEX(ﾏｽﾀ!$T$8:$T$16,MATCH($M192,ﾏｽﾀ!$U$8:$U$16,0))&amp;"")</f>
        <v/>
      </c>
      <c r="M192" s="534"/>
      <c r="N192" s="463"/>
      <c r="O192" s="464"/>
      <c r="P192" s="465"/>
      <c r="Q192" s="466" t="str">
        <f t="shared" si="14"/>
        <v/>
      </c>
      <c r="R192" s="154" t="str">
        <f>IF($T192="","",VLOOKUP($T192,請求Data!$I$11:$AR$160,請求Data!$AL$10-請求Data!$H$10,0))</f>
        <v/>
      </c>
      <c r="S192" s="155" t="str">
        <f>IF($T192="","",VLOOKUP($T192,請求Data!$I$11:$AR$160,請求Data!$AM$10-請求Data!$H$10,0))</f>
        <v/>
      </c>
      <c r="T192" s="467" t="str">
        <f>IF(ISNA(MATCH($H192,請求Data!$AH$11:$AH$160,0)),"",VLOOKUP($H192,請求Data!$AH$11:$AR$160,請求Data!$AK$10-請求Data!$AG$10,0))</f>
        <v/>
      </c>
      <c r="U192" s="468"/>
      <c r="V192" s="58"/>
    </row>
    <row r="193" spans="1:22" ht="15" customHeight="1">
      <c r="A193" s="58" t="str">
        <f>IF($Q193="","",MAX($A$8:$A192)+1)</f>
        <v/>
      </c>
      <c r="B193" s="614" t="str">
        <f t="shared" si="10"/>
        <v/>
      </c>
      <c r="C193" s="614" t="str">
        <f t="shared" si="11"/>
        <v/>
      </c>
      <c r="D193" s="614" t="str">
        <f t="shared" si="12"/>
        <v/>
      </c>
      <c r="E193" s="615" t="str">
        <f t="shared" si="13"/>
        <v/>
      </c>
      <c r="F193" s="616" t="str">
        <f>IF($H193="","",IF(ISNA(MATCH($H193,$H$7:$H192,0)),1,0))</f>
        <v/>
      </c>
      <c r="G193" s="249"/>
      <c r="H193" s="95"/>
      <c r="I193" s="598" t="str">
        <f>IF($J193="","",INDEX(ﾏｽﾀ!$E$8:$E$124,MATCH(INDEX(ﾏｽﾀ!$N$8:$N$124,MATCH($J193,ﾏｽﾀ!$O$8:$O$124,0)),ﾏｽﾀ!$B$8:$B$124,0))&amp;"")</f>
        <v/>
      </c>
      <c r="J193" s="534"/>
      <c r="K193" s="598" t="str">
        <f>IF($J193="","",INDEX(ﾏｽﾀ!$G$8:$G$124,MATCH(INDEX(ﾏｽﾀ!$N$8:$N$124,MATCH($J193,ﾏｽﾀ!$O$8:$O$124,0)),ﾏｽﾀ!$B$8:$B$124,0))&amp;"")</f>
        <v/>
      </c>
      <c r="L193" s="600" t="str">
        <f>IF($M193="","",INDEX(ﾏｽﾀ!$T$8:$T$16,MATCH($M193,ﾏｽﾀ!$U$8:$U$16,0))&amp;"")</f>
        <v/>
      </c>
      <c r="M193" s="534"/>
      <c r="N193" s="463"/>
      <c r="O193" s="464"/>
      <c r="P193" s="465"/>
      <c r="Q193" s="466" t="str">
        <f t="shared" si="14"/>
        <v/>
      </c>
      <c r="R193" s="154" t="str">
        <f>IF($T193="","",VLOOKUP($T193,請求Data!$I$11:$AR$160,請求Data!$AL$10-請求Data!$H$10,0))</f>
        <v/>
      </c>
      <c r="S193" s="155" t="str">
        <f>IF($T193="","",VLOOKUP($T193,請求Data!$I$11:$AR$160,請求Data!$AM$10-請求Data!$H$10,0))</f>
        <v/>
      </c>
      <c r="T193" s="467" t="str">
        <f>IF(ISNA(MATCH($H193,請求Data!$AH$11:$AH$160,0)),"",VLOOKUP($H193,請求Data!$AH$11:$AR$160,請求Data!$AK$10-請求Data!$AG$10,0))</f>
        <v/>
      </c>
      <c r="U193" s="468"/>
      <c r="V193" s="58"/>
    </row>
    <row r="194" spans="1:22" ht="15" customHeight="1">
      <c r="A194" s="58" t="str">
        <f>IF($Q194="","",MAX($A$8:$A193)+1)</f>
        <v/>
      </c>
      <c r="B194" s="614" t="str">
        <f t="shared" si="10"/>
        <v/>
      </c>
      <c r="C194" s="614" t="str">
        <f t="shared" si="11"/>
        <v/>
      </c>
      <c r="D194" s="614" t="str">
        <f t="shared" si="12"/>
        <v/>
      </c>
      <c r="E194" s="615" t="str">
        <f t="shared" si="13"/>
        <v/>
      </c>
      <c r="F194" s="616" t="str">
        <f>IF($H194="","",IF(ISNA(MATCH($H194,$H$7:$H193,0)),1,0))</f>
        <v/>
      </c>
      <c r="G194" s="249"/>
      <c r="H194" s="95"/>
      <c r="I194" s="598" t="str">
        <f>IF($J194="","",INDEX(ﾏｽﾀ!$E$8:$E$124,MATCH(INDEX(ﾏｽﾀ!$N$8:$N$124,MATCH($J194,ﾏｽﾀ!$O$8:$O$124,0)),ﾏｽﾀ!$B$8:$B$124,0))&amp;"")</f>
        <v/>
      </c>
      <c r="J194" s="534"/>
      <c r="K194" s="598" t="str">
        <f>IF($J194="","",INDEX(ﾏｽﾀ!$G$8:$G$124,MATCH(INDEX(ﾏｽﾀ!$N$8:$N$124,MATCH($J194,ﾏｽﾀ!$O$8:$O$124,0)),ﾏｽﾀ!$B$8:$B$124,0))&amp;"")</f>
        <v/>
      </c>
      <c r="L194" s="600" t="str">
        <f>IF($M194="","",INDEX(ﾏｽﾀ!$T$8:$T$16,MATCH($M194,ﾏｽﾀ!$U$8:$U$16,0))&amp;"")</f>
        <v/>
      </c>
      <c r="M194" s="534"/>
      <c r="N194" s="463"/>
      <c r="O194" s="464"/>
      <c r="P194" s="465"/>
      <c r="Q194" s="466" t="str">
        <f t="shared" si="14"/>
        <v/>
      </c>
      <c r="R194" s="154" t="str">
        <f>IF($T194="","",VLOOKUP($T194,請求Data!$I$11:$AR$160,請求Data!$AL$10-請求Data!$H$10,0))</f>
        <v/>
      </c>
      <c r="S194" s="155" t="str">
        <f>IF($T194="","",VLOOKUP($T194,請求Data!$I$11:$AR$160,請求Data!$AM$10-請求Data!$H$10,0))</f>
        <v/>
      </c>
      <c r="T194" s="467" t="str">
        <f>IF(ISNA(MATCH($H194,請求Data!$AH$11:$AH$160,0)),"",VLOOKUP($H194,請求Data!$AH$11:$AR$160,請求Data!$AK$10-請求Data!$AG$10,0))</f>
        <v/>
      </c>
      <c r="U194" s="468"/>
      <c r="V194" s="58"/>
    </row>
    <row r="195" spans="1:22" ht="15" customHeight="1">
      <c r="A195" s="58" t="str">
        <f>IF($Q195="","",MAX($A$8:$A194)+1)</f>
        <v/>
      </c>
      <c r="B195" s="614" t="str">
        <f t="shared" si="10"/>
        <v/>
      </c>
      <c r="C195" s="614" t="str">
        <f t="shared" si="11"/>
        <v/>
      </c>
      <c r="D195" s="614" t="str">
        <f t="shared" si="12"/>
        <v/>
      </c>
      <c r="E195" s="615" t="str">
        <f t="shared" si="13"/>
        <v/>
      </c>
      <c r="F195" s="616" t="str">
        <f>IF($H195="","",IF(ISNA(MATCH($H195,$H$7:$H194,0)),1,0))</f>
        <v/>
      </c>
      <c r="G195" s="249"/>
      <c r="H195" s="95"/>
      <c r="I195" s="598" t="str">
        <f>IF($J195="","",INDEX(ﾏｽﾀ!$E$8:$E$124,MATCH(INDEX(ﾏｽﾀ!$N$8:$N$124,MATCH($J195,ﾏｽﾀ!$O$8:$O$124,0)),ﾏｽﾀ!$B$8:$B$124,0))&amp;"")</f>
        <v/>
      </c>
      <c r="J195" s="534"/>
      <c r="K195" s="598" t="str">
        <f>IF($J195="","",INDEX(ﾏｽﾀ!$G$8:$G$124,MATCH(INDEX(ﾏｽﾀ!$N$8:$N$124,MATCH($J195,ﾏｽﾀ!$O$8:$O$124,0)),ﾏｽﾀ!$B$8:$B$124,0))&amp;"")</f>
        <v/>
      </c>
      <c r="L195" s="600" t="str">
        <f>IF($M195="","",INDEX(ﾏｽﾀ!$T$8:$T$16,MATCH($M195,ﾏｽﾀ!$U$8:$U$16,0))&amp;"")</f>
        <v/>
      </c>
      <c r="M195" s="534"/>
      <c r="N195" s="463"/>
      <c r="O195" s="464"/>
      <c r="P195" s="465"/>
      <c r="Q195" s="466" t="str">
        <f t="shared" si="14"/>
        <v/>
      </c>
      <c r="R195" s="154" t="str">
        <f>IF($T195="","",VLOOKUP($T195,請求Data!$I$11:$AR$160,請求Data!$AL$10-請求Data!$H$10,0))</f>
        <v/>
      </c>
      <c r="S195" s="155" t="str">
        <f>IF($T195="","",VLOOKUP($T195,請求Data!$I$11:$AR$160,請求Data!$AM$10-請求Data!$H$10,0))</f>
        <v/>
      </c>
      <c r="T195" s="467" t="str">
        <f>IF(ISNA(MATCH($H195,請求Data!$AH$11:$AH$160,0)),"",VLOOKUP($H195,請求Data!$AH$11:$AR$160,請求Data!$AK$10-請求Data!$AG$10,0))</f>
        <v/>
      </c>
      <c r="U195" s="468"/>
      <c r="V195" s="58"/>
    </row>
    <row r="196" spans="1:22" ht="15" customHeight="1">
      <c r="A196" s="58" t="str">
        <f>IF($Q196="","",MAX($A$8:$A195)+1)</f>
        <v/>
      </c>
      <c r="B196" s="614" t="str">
        <f t="shared" si="10"/>
        <v/>
      </c>
      <c r="C196" s="614" t="str">
        <f t="shared" si="11"/>
        <v/>
      </c>
      <c r="D196" s="614" t="str">
        <f t="shared" si="12"/>
        <v/>
      </c>
      <c r="E196" s="615" t="str">
        <f t="shared" si="13"/>
        <v/>
      </c>
      <c r="F196" s="616" t="str">
        <f>IF($H196="","",IF(ISNA(MATCH($H196,$H$7:$H195,0)),1,0))</f>
        <v/>
      </c>
      <c r="G196" s="249"/>
      <c r="H196" s="95"/>
      <c r="I196" s="598" t="str">
        <f>IF($J196="","",INDEX(ﾏｽﾀ!$E$8:$E$124,MATCH(INDEX(ﾏｽﾀ!$N$8:$N$124,MATCH($J196,ﾏｽﾀ!$O$8:$O$124,0)),ﾏｽﾀ!$B$8:$B$124,0))&amp;"")</f>
        <v/>
      </c>
      <c r="J196" s="534"/>
      <c r="K196" s="598" t="str">
        <f>IF($J196="","",INDEX(ﾏｽﾀ!$G$8:$G$124,MATCH(INDEX(ﾏｽﾀ!$N$8:$N$124,MATCH($J196,ﾏｽﾀ!$O$8:$O$124,0)),ﾏｽﾀ!$B$8:$B$124,0))&amp;"")</f>
        <v/>
      </c>
      <c r="L196" s="600" t="str">
        <f>IF($M196="","",INDEX(ﾏｽﾀ!$T$8:$T$16,MATCH($M196,ﾏｽﾀ!$U$8:$U$16,0))&amp;"")</f>
        <v/>
      </c>
      <c r="M196" s="534"/>
      <c r="N196" s="463"/>
      <c r="O196" s="464"/>
      <c r="P196" s="465"/>
      <c r="Q196" s="466" t="str">
        <f t="shared" si="14"/>
        <v/>
      </c>
      <c r="R196" s="154" t="str">
        <f>IF($T196="","",VLOOKUP($T196,請求Data!$I$11:$AR$160,請求Data!$AL$10-請求Data!$H$10,0))</f>
        <v/>
      </c>
      <c r="S196" s="155" t="str">
        <f>IF($T196="","",VLOOKUP($T196,請求Data!$I$11:$AR$160,請求Data!$AM$10-請求Data!$H$10,0))</f>
        <v/>
      </c>
      <c r="T196" s="467" t="str">
        <f>IF(ISNA(MATCH($H196,請求Data!$AH$11:$AH$160,0)),"",VLOOKUP($H196,請求Data!$AH$11:$AR$160,請求Data!$AK$10-請求Data!$AG$10,0))</f>
        <v/>
      </c>
      <c r="U196" s="468"/>
      <c r="V196" s="58"/>
    </row>
    <row r="197" spans="1:22" ht="15" customHeight="1">
      <c r="A197" s="58" t="str">
        <f>IF($Q197="","",MAX($A$8:$A196)+1)</f>
        <v/>
      </c>
      <c r="B197" s="614" t="str">
        <f t="shared" si="10"/>
        <v/>
      </c>
      <c r="C197" s="614" t="str">
        <f t="shared" si="11"/>
        <v/>
      </c>
      <c r="D197" s="614" t="str">
        <f t="shared" si="12"/>
        <v/>
      </c>
      <c r="E197" s="615" t="str">
        <f t="shared" si="13"/>
        <v/>
      </c>
      <c r="F197" s="616" t="str">
        <f>IF($H197="","",IF(ISNA(MATCH($H197,$H$7:$H196,0)),1,0))</f>
        <v/>
      </c>
      <c r="G197" s="249"/>
      <c r="H197" s="95"/>
      <c r="I197" s="598" t="str">
        <f>IF($J197="","",INDEX(ﾏｽﾀ!$E$8:$E$124,MATCH(INDEX(ﾏｽﾀ!$N$8:$N$124,MATCH($J197,ﾏｽﾀ!$O$8:$O$124,0)),ﾏｽﾀ!$B$8:$B$124,0))&amp;"")</f>
        <v/>
      </c>
      <c r="J197" s="534"/>
      <c r="K197" s="598" t="str">
        <f>IF($J197="","",INDEX(ﾏｽﾀ!$G$8:$G$124,MATCH(INDEX(ﾏｽﾀ!$N$8:$N$124,MATCH($J197,ﾏｽﾀ!$O$8:$O$124,0)),ﾏｽﾀ!$B$8:$B$124,0))&amp;"")</f>
        <v/>
      </c>
      <c r="L197" s="600" t="str">
        <f>IF($M197="","",INDEX(ﾏｽﾀ!$T$8:$T$16,MATCH($M197,ﾏｽﾀ!$U$8:$U$16,0))&amp;"")</f>
        <v/>
      </c>
      <c r="M197" s="534"/>
      <c r="N197" s="463"/>
      <c r="O197" s="464"/>
      <c r="P197" s="465"/>
      <c r="Q197" s="466" t="str">
        <f t="shared" si="14"/>
        <v/>
      </c>
      <c r="R197" s="154" t="str">
        <f>IF($T197="","",VLOOKUP($T197,請求Data!$I$11:$AR$160,請求Data!$AL$10-請求Data!$H$10,0))</f>
        <v/>
      </c>
      <c r="S197" s="155" t="str">
        <f>IF($T197="","",VLOOKUP($T197,請求Data!$I$11:$AR$160,請求Data!$AM$10-請求Data!$H$10,0))</f>
        <v/>
      </c>
      <c r="T197" s="467" t="str">
        <f>IF(ISNA(MATCH($H197,請求Data!$AH$11:$AH$160,0)),"",VLOOKUP($H197,請求Data!$AH$11:$AR$160,請求Data!$AK$10-請求Data!$AG$10,0))</f>
        <v/>
      </c>
      <c r="U197" s="468"/>
      <c r="V197" s="58"/>
    </row>
    <row r="198" spans="1:22" ht="15" customHeight="1">
      <c r="A198" s="58" t="str">
        <f>IF($Q198="","",MAX($A$8:$A197)+1)</f>
        <v/>
      </c>
      <c r="B198" s="614" t="str">
        <f t="shared" si="10"/>
        <v/>
      </c>
      <c r="C198" s="614" t="str">
        <f t="shared" si="11"/>
        <v/>
      </c>
      <c r="D198" s="614" t="str">
        <f t="shared" si="12"/>
        <v/>
      </c>
      <c r="E198" s="615" t="str">
        <f t="shared" si="13"/>
        <v/>
      </c>
      <c r="F198" s="616" t="str">
        <f>IF($H198="","",IF(ISNA(MATCH($H198,$H$7:$H197,0)),1,0))</f>
        <v/>
      </c>
      <c r="G198" s="249"/>
      <c r="H198" s="95"/>
      <c r="I198" s="598" t="str">
        <f>IF($J198="","",INDEX(ﾏｽﾀ!$E$8:$E$124,MATCH(INDEX(ﾏｽﾀ!$N$8:$N$124,MATCH($J198,ﾏｽﾀ!$O$8:$O$124,0)),ﾏｽﾀ!$B$8:$B$124,0))&amp;"")</f>
        <v/>
      </c>
      <c r="J198" s="534"/>
      <c r="K198" s="598" t="str">
        <f>IF($J198="","",INDEX(ﾏｽﾀ!$G$8:$G$124,MATCH(INDEX(ﾏｽﾀ!$N$8:$N$124,MATCH($J198,ﾏｽﾀ!$O$8:$O$124,0)),ﾏｽﾀ!$B$8:$B$124,0))&amp;"")</f>
        <v/>
      </c>
      <c r="L198" s="600" t="str">
        <f>IF($M198="","",INDEX(ﾏｽﾀ!$T$8:$T$16,MATCH($M198,ﾏｽﾀ!$U$8:$U$16,0))&amp;"")</f>
        <v/>
      </c>
      <c r="M198" s="534"/>
      <c r="N198" s="463"/>
      <c r="O198" s="464"/>
      <c r="P198" s="465"/>
      <c r="Q198" s="466" t="str">
        <f t="shared" si="14"/>
        <v/>
      </c>
      <c r="R198" s="154" t="str">
        <f>IF($T198="","",VLOOKUP($T198,請求Data!$I$11:$AR$160,請求Data!$AL$10-請求Data!$H$10,0))</f>
        <v/>
      </c>
      <c r="S198" s="155" t="str">
        <f>IF($T198="","",VLOOKUP($T198,請求Data!$I$11:$AR$160,請求Data!$AM$10-請求Data!$H$10,0))</f>
        <v/>
      </c>
      <c r="T198" s="467" t="str">
        <f>IF(ISNA(MATCH($H198,請求Data!$AH$11:$AH$160,0)),"",VLOOKUP($H198,請求Data!$AH$11:$AR$160,請求Data!$AK$10-請求Data!$AG$10,0))</f>
        <v/>
      </c>
      <c r="U198" s="468"/>
      <c r="V198" s="58"/>
    </row>
    <row r="199" spans="1:22" ht="15" customHeight="1">
      <c r="A199" s="58" t="str">
        <f>IF($Q199="","",MAX($A$8:$A198)+1)</f>
        <v/>
      </c>
      <c r="B199" s="614" t="str">
        <f t="shared" si="10"/>
        <v/>
      </c>
      <c r="C199" s="614" t="str">
        <f t="shared" si="11"/>
        <v/>
      </c>
      <c r="D199" s="614" t="str">
        <f t="shared" si="12"/>
        <v/>
      </c>
      <c r="E199" s="615" t="str">
        <f t="shared" si="13"/>
        <v/>
      </c>
      <c r="F199" s="616" t="str">
        <f>IF($H199="","",IF(ISNA(MATCH($H199,$H$7:$H198,0)),1,0))</f>
        <v/>
      </c>
      <c r="G199" s="249"/>
      <c r="H199" s="95"/>
      <c r="I199" s="598" t="str">
        <f>IF($J199="","",INDEX(ﾏｽﾀ!$E$8:$E$124,MATCH(INDEX(ﾏｽﾀ!$N$8:$N$124,MATCH($J199,ﾏｽﾀ!$O$8:$O$124,0)),ﾏｽﾀ!$B$8:$B$124,0))&amp;"")</f>
        <v/>
      </c>
      <c r="J199" s="534"/>
      <c r="K199" s="598" t="str">
        <f>IF($J199="","",INDEX(ﾏｽﾀ!$G$8:$G$124,MATCH(INDEX(ﾏｽﾀ!$N$8:$N$124,MATCH($J199,ﾏｽﾀ!$O$8:$O$124,0)),ﾏｽﾀ!$B$8:$B$124,0))&amp;"")</f>
        <v/>
      </c>
      <c r="L199" s="600" t="str">
        <f>IF($M199="","",INDEX(ﾏｽﾀ!$T$8:$T$16,MATCH($M199,ﾏｽﾀ!$U$8:$U$16,0))&amp;"")</f>
        <v/>
      </c>
      <c r="M199" s="534"/>
      <c r="N199" s="463"/>
      <c r="O199" s="464"/>
      <c r="P199" s="465"/>
      <c r="Q199" s="466" t="str">
        <f t="shared" si="14"/>
        <v/>
      </c>
      <c r="R199" s="154" t="str">
        <f>IF($T199="","",VLOOKUP($T199,請求Data!$I$11:$AR$160,請求Data!$AL$10-請求Data!$H$10,0))</f>
        <v/>
      </c>
      <c r="S199" s="155" t="str">
        <f>IF($T199="","",VLOOKUP($T199,請求Data!$I$11:$AR$160,請求Data!$AM$10-請求Data!$H$10,0))</f>
        <v/>
      </c>
      <c r="T199" s="467" t="str">
        <f>IF(ISNA(MATCH($H199,請求Data!$AH$11:$AH$160,0)),"",VLOOKUP($H199,請求Data!$AH$11:$AR$160,請求Data!$AK$10-請求Data!$AG$10,0))</f>
        <v/>
      </c>
      <c r="U199" s="468"/>
      <c r="V199" s="58"/>
    </row>
    <row r="200" spans="1:22" ht="15" customHeight="1">
      <c r="A200" s="58" t="str">
        <f>IF($Q200="","",MAX($A$8:$A199)+1)</f>
        <v/>
      </c>
      <c r="B200" s="614" t="str">
        <f t="shared" si="10"/>
        <v/>
      </c>
      <c r="C200" s="614" t="str">
        <f t="shared" si="11"/>
        <v/>
      </c>
      <c r="D200" s="614" t="str">
        <f t="shared" si="12"/>
        <v/>
      </c>
      <c r="E200" s="615" t="str">
        <f t="shared" si="13"/>
        <v/>
      </c>
      <c r="F200" s="616" t="str">
        <f>IF($H200="","",IF(ISNA(MATCH($H200,$H$7:$H199,0)),1,0))</f>
        <v/>
      </c>
      <c r="G200" s="249"/>
      <c r="H200" s="95"/>
      <c r="I200" s="598" t="str">
        <f>IF($J200="","",INDEX(ﾏｽﾀ!$E$8:$E$124,MATCH(INDEX(ﾏｽﾀ!$N$8:$N$124,MATCH($J200,ﾏｽﾀ!$O$8:$O$124,0)),ﾏｽﾀ!$B$8:$B$124,0))&amp;"")</f>
        <v/>
      </c>
      <c r="J200" s="534"/>
      <c r="K200" s="598" t="str">
        <f>IF($J200="","",INDEX(ﾏｽﾀ!$G$8:$G$124,MATCH(INDEX(ﾏｽﾀ!$N$8:$N$124,MATCH($J200,ﾏｽﾀ!$O$8:$O$124,0)),ﾏｽﾀ!$B$8:$B$124,0))&amp;"")</f>
        <v/>
      </c>
      <c r="L200" s="600" t="str">
        <f>IF($M200="","",INDEX(ﾏｽﾀ!$T$8:$T$16,MATCH($M200,ﾏｽﾀ!$U$8:$U$16,0))&amp;"")</f>
        <v/>
      </c>
      <c r="M200" s="534"/>
      <c r="N200" s="463"/>
      <c r="O200" s="464"/>
      <c r="P200" s="465"/>
      <c r="Q200" s="466" t="str">
        <f t="shared" si="14"/>
        <v/>
      </c>
      <c r="R200" s="154" t="str">
        <f>IF($T200="","",VLOOKUP($T200,請求Data!$I$11:$AR$160,請求Data!$AL$10-請求Data!$H$10,0))</f>
        <v/>
      </c>
      <c r="S200" s="155" t="str">
        <f>IF($T200="","",VLOOKUP($T200,請求Data!$I$11:$AR$160,請求Data!$AM$10-請求Data!$H$10,0))</f>
        <v/>
      </c>
      <c r="T200" s="467" t="str">
        <f>IF(ISNA(MATCH($H200,請求Data!$AH$11:$AH$160,0)),"",VLOOKUP($H200,請求Data!$AH$11:$AR$160,請求Data!$AK$10-請求Data!$AG$10,0))</f>
        <v/>
      </c>
      <c r="U200" s="468"/>
      <c r="V200" s="58"/>
    </row>
    <row r="201" spans="1:22" ht="15" customHeight="1">
      <c r="A201" s="58" t="str">
        <f>IF($Q201="","",MAX($A$8:$A200)+1)</f>
        <v/>
      </c>
      <c r="B201" s="614" t="str">
        <f t="shared" ref="B201:B236" si="15">LEFT($D201,8)</f>
        <v/>
      </c>
      <c r="C201" s="614" t="str">
        <f t="shared" ref="C201:C264" si="16">IF($H201="","",CONCATENATE(VLOOKUP($N201,$N$2:$O$5,2,FALSE),$I201,IF($K201="","00",$K201),$E201,$L201))</f>
        <v/>
      </c>
      <c r="D201" s="614" t="str">
        <f t="shared" ref="D201:D264" si="17">IF($H201="","",CONCATENATE(VLOOKUP($N201,$N$2:$O$5,2,FALSE),$I201,IF($K201="","00",$K201),$E201,$F201,$L201))</f>
        <v/>
      </c>
      <c r="E201" s="615" t="str">
        <f t="shared" ref="E201:E264" si="18">IF($H201="","",IF($T201="",1,9))</f>
        <v/>
      </c>
      <c r="F201" s="616" t="str">
        <f>IF($H201="","",IF(ISNA(MATCH($H201,$H$7:$H200,0)),1,0))</f>
        <v/>
      </c>
      <c r="G201" s="249"/>
      <c r="H201" s="95"/>
      <c r="I201" s="598" t="str">
        <f>IF($J201="","",INDEX(ﾏｽﾀ!$E$8:$E$124,MATCH(INDEX(ﾏｽﾀ!$N$8:$N$124,MATCH($J201,ﾏｽﾀ!$O$8:$O$124,0)),ﾏｽﾀ!$B$8:$B$124,0))&amp;"")</f>
        <v/>
      </c>
      <c r="J201" s="534"/>
      <c r="K201" s="598" t="str">
        <f>IF($J201="","",INDEX(ﾏｽﾀ!$G$8:$G$124,MATCH(INDEX(ﾏｽﾀ!$N$8:$N$124,MATCH($J201,ﾏｽﾀ!$O$8:$O$124,0)),ﾏｽﾀ!$B$8:$B$124,0))&amp;"")</f>
        <v/>
      </c>
      <c r="L201" s="600" t="str">
        <f>IF($M201="","",INDEX(ﾏｽﾀ!$T$8:$T$16,MATCH($M201,ﾏｽﾀ!$U$8:$U$16,0))&amp;"")</f>
        <v/>
      </c>
      <c r="M201" s="534"/>
      <c r="N201" s="463"/>
      <c r="O201" s="464"/>
      <c r="P201" s="465"/>
      <c r="Q201" s="466" t="str">
        <f t="shared" si="14"/>
        <v/>
      </c>
      <c r="R201" s="154" t="str">
        <f>IF($T201="","",VLOOKUP($T201,請求Data!$I$11:$AR$160,請求Data!$AL$10-請求Data!$H$10,0))</f>
        <v/>
      </c>
      <c r="S201" s="155" t="str">
        <f>IF($T201="","",VLOOKUP($T201,請求Data!$I$11:$AR$160,請求Data!$AM$10-請求Data!$H$10,0))</f>
        <v/>
      </c>
      <c r="T201" s="467" t="str">
        <f>IF(ISNA(MATCH($H201,請求Data!$AH$11:$AH$160,0)),"",VLOOKUP($H201,請求Data!$AH$11:$AR$160,請求Data!$AK$10-請求Data!$AG$10,0))</f>
        <v/>
      </c>
      <c r="U201" s="468"/>
      <c r="V201" s="58"/>
    </row>
    <row r="202" spans="1:22" ht="15" customHeight="1">
      <c r="A202" s="58" t="str">
        <f>IF($Q202="","",MAX($A$8:$A201)+1)</f>
        <v/>
      </c>
      <c r="B202" s="614" t="str">
        <f t="shared" si="15"/>
        <v/>
      </c>
      <c r="C202" s="614" t="str">
        <f t="shared" si="16"/>
        <v/>
      </c>
      <c r="D202" s="614" t="str">
        <f t="shared" si="17"/>
        <v/>
      </c>
      <c r="E202" s="615" t="str">
        <f t="shared" si="18"/>
        <v/>
      </c>
      <c r="F202" s="616" t="str">
        <f>IF($H202="","",IF(ISNA(MATCH($H202,$H$7:$H201,0)),1,0))</f>
        <v/>
      </c>
      <c r="G202" s="249"/>
      <c r="H202" s="95"/>
      <c r="I202" s="598" t="str">
        <f>IF($J202="","",INDEX(ﾏｽﾀ!$E$8:$E$124,MATCH(INDEX(ﾏｽﾀ!$N$8:$N$124,MATCH($J202,ﾏｽﾀ!$O$8:$O$124,0)),ﾏｽﾀ!$B$8:$B$124,0))&amp;"")</f>
        <v/>
      </c>
      <c r="J202" s="534"/>
      <c r="K202" s="598" t="str">
        <f>IF($J202="","",INDEX(ﾏｽﾀ!$G$8:$G$124,MATCH(INDEX(ﾏｽﾀ!$N$8:$N$124,MATCH($J202,ﾏｽﾀ!$O$8:$O$124,0)),ﾏｽﾀ!$B$8:$B$124,0))&amp;"")</f>
        <v/>
      </c>
      <c r="L202" s="600" t="str">
        <f>IF($M202="","",INDEX(ﾏｽﾀ!$T$8:$T$16,MATCH($M202,ﾏｽﾀ!$U$8:$U$16,0))&amp;"")</f>
        <v/>
      </c>
      <c r="M202" s="534"/>
      <c r="N202" s="463"/>
      <c r="O202" s="464"/>
      <c r="P202" s="465"/>
      <c r="Q202" s="466" t="str">
        <f t="shared" si="14"/>
        <v/>
      </c>
      <c r="R202" s="154" t="str">
        <f>IF($T202="","",VLOOKUP($T202,請求Data!$I$11:$AR$160,請求Data!$AL$10-請求Data!$H$10,0))</f>
        <v/>
      </c>
      <c r="S202" s="155" t="str">
        <f>IF($T202="","",VLOOKUP($T202,請求Data!$I$11:$AR$160,請求Data!$AM$10-請求Data!$H$10,0))</f>
        <v/>
      </c>
      <c r="T202" s="467" t="str">
        <f>IF(ISNA(MATCH($H202,請求Data!$AH$11:$AH$160,0)),"",VLOOKUP($H202,請求Data!$AH$11:$AR$160,請求Data!$AK$10-請求Data!$AG$10,0))</f>
        <v/>
      </c>
      <c r="U202" s="468"/>
      <c r="V202" s="58"/>
    </row>
    <row r="203" spans="1:22" ht="15" customHeight="1">
      <c r="A203" s="58" t="str">
        <f>IF($Q203="","",MAX($A$8:$A202)+1)</f>
        <v/>
      </c>
      <c r="B203" s="614" t="str">
        <f t="shared" si="15"/>
        <v/>
      </c>
      <c r="C203" s="614" t="str">
        <f t="shared" si="16"/>
        <v/>
      </c>
      <c r="D203" s="614" t="str">
        <f t="shared" si="17"/>
        <v/>
      </c>
      <c r="E203" s="615" t="str">
        <f t="shared" si="18"/>
        <v/>
      </c>
      <c r="F203" s="616" t="str">
        <f>IF($H203="","",IF(ISNA(MATCH($H203,$H$7:$H202,0)),1,0))</f>
        <v/>
      </c>
      <c r="G203" s="249"/>
      <c r="H203" s="95"/>
      <c r="I203" s="598" t="str">
        <f>IF($J203="","",INDEX(ﾏｽﾀ!$E$8:$E$124,MATCH(INDEX(ﾏｽﾀ!$N$8:$N$124,MATCH($J203,ﾏｽﾀ!$O$8:$O$124,0)),ﾏｽﾀ!$B$8:$B$124,0))&amp;"")</f>
        <v/>
      </c>
      <c r="J203" s="534"/>
      <c r="K203" s="598" t="str">
        <f>IF($J203="","",INDEX(ﾏｽﾀ!$G$8:$G$124,MATCH(INDEX(ﾏｽﾀ!$N$8:$N$124,MATCH($J203,ﾏｽﾀ!$O$8:$O$124,0)),ﾏｽﾀ!$B$8:$B$124,0))&amp;"")</f>
        <v/>
      </c>
      <c r="L203" s="600" t="str">
        <f>IF($M203="","",INDEX(ﾏｽﾀ!$T$8:$T$16,MATCH($M203,ﾏｽﾀ!$U$8:$U$16,0))&amp;"")</f>
        <v/>
      </c>
      <c r="M203" s="534"/>
      <c r="N203" s="463"/>
      <c r="O203" s="464"/>
      <c r="P203" s="465"/>
      <c r="Q203" s="466" t="str">
        <f t="shared" si="14"/>
        <v/>
      </c>
      <c r="R203" s="154" t="str">
        <f>IF($T203="","",VLOOKUP($T203,請求Data!$I$11:$AR$160,請求Data!$AL$10-請求Data!$H$10,0))</f>
        <v/>
      </c>
      <c r="S203" s="155" t="str">
        <f>IF($T203="","",VLOOKUP($T203,請求Data!$I$11:$AR$160,請求Data!$AM$10-請求Data!$H$10,0))</f>
        <v/>
      </c>
      <c r="T203" s="467" t="str">
        <f>IF(ISNA(MATCH($H203,請求Data!$AH$11:$AH$160,0)),"",VLOOKUP($H203,請求Data!$AH$11:$AR$160,請求Data!$AK$10-請求Data!$AG$10,0))</f>
        <v/>
      </c>
      <c r="U203" s="468"/>
      <c r="V203" s="58"/>
    </row>
    <row r="204" spans="1:22" ht="15" customHeight="1">
      <c r="A204" s="58" t="str">
        <f>IF($Q204="","",MAX($A$8:$A203)+1)</f>
        <v/>
      </c>
      <c r="B204" s="614" t="str">
        <f t="shared" si="15"/>
        <v/>
      </c>
      <c r="C204" s="614" t="str">
        <f t="shared" si="16"/>
        <v/>
      </c>
      <c r="D204" s="614" t="str">
        <f t="shared" si="17"/>
        <v/>
      </c>
      <c r="E204" s="615" t="str">
        <f t="shared" si="18"/>
        <v/>
      </c>
      <c r="F204" s="616" t="str">
        <f>IF($H204="","",IF(ISNA(MATCH($H204,$H$7:$H203,0)),1,0))</f>
        <v/>
      </c>
      <c r="G204" s="249"/>
      <c r="H204" s="95"/>
      <c r="I204" s="598" t="str">
        <f>IF($J204="","",INDEX(ﾏｽﾀ!$E$8:$E$124,MATCH(INDEX(ﾏｽﾀ!$N$8:$N$124,MATCH($J204,ﾏｽﾀ!$O$8:$O$124,0)),ﾏｽﾀ!$B$8:$B$124,0))&amp;"")</f>
        <v/>
      </c>
      <c r="J204" s="534"/>
      <c r="K204" s="598" t="str">
        <f>IF($J204="","",INDEX(ﾏｽﾀ!$G$8:$G$124,MATCH(INDEX(ﾏｽﾀ!$N$8:$N$124,MATCH($J204,ﾏｽﾀ!$O$8:$O$124,0)),ﾏｽﾀ!$B$8:$B$124,0))&amp;"")</f>
        <v/>
      </c>
      <c r="L204" s="600" t="str">
        <f>IF($M204="","",INDEX(ﾏｽﾀ!$T$8:$T$16,MATCH($M204,ﾏｽﾀ!$U$8:$U$16,0))&amp;"")</f>
        <v/>
      </c>
      <c r="M204" s="534"/>
      <c r="N204" s="463"/>
      <c r="O204" s="464"/>
      <c r="P204" s="465"/>
      <c r="Q204" s="466" t="str">
        <f t="shared" si="14"/>
        <v/>
      </c>
      <c r="R204" s="154" t="str">
        <f>IF($T204="","",VLOOKUP($T204,請求Data!$I$11:$AR$160,請求Data!$AL$10-請求Data!$H$10,0))</f>
        <v/>
      </c>
      <c r="S204" s="155" t="str">
        <f>IF($T204="","",VLOOKUP($T204,請求Data!$I$11:$AR$160,請求Data!$AM$10-請求Data!$H$10,0))</f>
        <v/>
      </c>
      <c r="T204" s="467" t="str">
        <f>IF(ISNA(MATCH($H204,請求Data!$AH$11:$AH$160,0)),"",VLOOKUP($H204,請求Data!$AH$11:$AR$160,請求Data!$AK$10-請求Data!$AG$10,0))</f>
        <v/>
      </c>
      <c r="U204" s="468"/>
      <c r="V204" s="58"/>
    </row>
    <row r="205" spans="1:22" ht="15" customHeight="1">
      <c r="A205" s="58" t="str">
        <f>IF($Q205="","",MAX($A$8:$A204)+1)</f>
        <v/>
      </c>
      <c r="B205" s="614" t="str">
        <f t="shared" si="15"/>
        <v/>
      </c>
      <c r="C205" s="614" t="str">
        <f t="shared" si="16"/>
        <v/>
      </c>
      <c r="D205" s="614" t="str">
        <f t="shared" si="17"/>
        <v/>
      </c>
      <c r="E205" s="615" t="str">
        <f t="shared" si="18"/>
        <v/>
      </c>
      <c r="F205" s="616" t="str">
        <f>IF($H205="","",IF(ISNA(MATCH($H205,$H$7:$H204,0)),1,0))</f>
        <v/>
      </c>
      <c r="G205" s="249"/>
      <c r="H205" s="95"/>
      <c r="I205" s="598" t="str">
        <f>IF($J205="","",INDEX(ﾏｽﾀ!$E$8:$E$124,MATCH(INDEX(ﾏｽﾀ!$N$8:$N$124,MATCH($J205,ﾏｽﾀ!$O$8:$O$124,0)),ﾏｽﾀ!$B$8:$B$124,0))&amp;"")</f>
        <v/>
      </c>
      <c r="J205" s="534"/>
      <c r="K205" s="598" t="str">
        <f>IF($J205="","",INDEX(ﾏｽﾀ!$G$8:$G$124,MATCH(INDEX(ﾏｽﾀ!$N$8:$N$124,MATCH($J205,ﾏｽﾀ!$O$8:$O$124,0)),ﾏｽﾀ!$B$8:$B$124,0))&amp;"")</f>
        <v/>
      </c>
      <c r="L205" s="600" t="str">
        <f>IF($M205="","",INDEX(ﾏｽﾀ!$T$8:$T$16,MATCH($M205,ﾏｽﾀ!$U$8:$U$16,0))&amp;"")</f>
        <v/>
      </c>
      <c r="M205" s="534"/>
      <c r="N205" s="463"/>
      <c r="O205" s="464"/>
      <c r="P205" s="465"/>
      <c r="Q205" s="466" t="str">
        <f t="shared" si="14"/>
        <v/>
      </c>
      <c r="R205" s="154" t="str">
        <f>IF($T205="","",VLOOKUP($T205,請求Data!$I$11:$AR$160,請求Data!$AL$10-請求Data!$H$10,0))</f>
        <v/>
      </c>
      <c r="S205" s="155" t="str">
        <f>IF($T205="","",VLOOKUP($T205,請求Data!$I$11:$AR$160,請求Data!$AM$10-請求Data!$H$10,0))</f>
        <v/>
      </c>
      <c r="T205" s="467" t="str">
        <f>IF(ISNA(MATCH($H205,請求Data!$AH$11:$AH$160,0)),"",VLOOKUP($H205,請求Data!$AH$11:$AR$160,請求Data!$AK$10-請求Data!$AG$10,0))</f>
        <v/>
      </c>
      <c r="U205" s="468"/>
      <c r="V205" s="58"/>
    </row>
    <row r="206" spans="1:22" ht="15" customHeight="1">
      <c r="A206" s="58" t="str">
        <f>IF($Q206="","",MAX($A$8:$A205)+1)</f>
        <v/>
      </c>
      <c r="B206" s="614" t="str">
        <f t="shared" si="15"/>
        <v/>
      </c>
      <c r="C206" s="614" t="str">
        <f t="shared" si="16"/>
        <v/>
      </c>
      <c r="D206" s="614" t="str">
        <f t="shared" si="17"/>
        <v/>
      </c>
      <c r="E206" s="615" t="str">
        <f t="shared" si="18"/>
        <v/>
      </c>
      <c r="F206" s="616" t="str">
        <f>IF($H206="","",IF(ISNA(MATCH($H206,$H$7:$H205,0)),1,0))</f>
        <v/>
      </c>
      <c r="G206" s="249"/>
      <c r="H206" s="95"/>
      <c r="I206" s="598" t="str">
        <f>IF($J206="","",INDEX(ﾏｽﾀ!$E$8:$E$124,MATCH(INDEX(ﾏｽﾀ!$N$8:$N$124,MATCH($J206,ﾏｽﾀ!$O$8:$O$124,0)),ﾏｽﾀ!$B$8:$B$124,0))&amp;"")</f>
        <v/>
      </c>
      <c r="J206" s="534"/>
      <c r="K206" s="598" t="str">
        <f>IF($J206="","",INDEX(ﾏｽﾀ!$G$8:$G$124,MATCH(INDEX(ﾏｽﾀ!$N$8:$N$124,MATCH($J206,ﾏｽﾀ!$O$8:$O$124,0)),ﾏｽﾀ!$B$8:$B$124,0))&amp;"")</f>
        <v/>
      </c>
      <c r="L206" s="600" t="str">
        <f>IF($M206="","",INDEX(ﾏｽﾀ!$T$8:$T$16,MATCH($M206,ﾏｽﾀ!$U$8:$U$16,0))&amp;"")</f>
        <v/>
      </c>
      <c r="M206" s="534"/>
      <c r="N206" s="463"/>
      <c r="O206" s="464"/>
      <c r="P206" s="465"/>
      <c r="Q206" s="466" t="str">
        <f t="shared" ref="Q206:Q269" si="19">IF($O206="","",IF($N206="\",ROUNDDOWN($O206*$P206,0)+$U206,ROUNDDOWN($O206*$P206,2)+$U206))</f>
        <v/>
      </c>
      <c r="R206" s="154" t="str">
        <f>IF($T206="","",VLOOKUP($T206,請求Data!$I$11:$AR$160,請求Data!$AL$10-請求Data!$H$10,0))</f>
        <v/>
      </c>
      <c r="S206" s="155" t="str">
        <f>IF($T206="","",VLOOKUP($T206,請求Data!$I$11:$AR$160,請求Data!$AM$10-請求Data!$H$10,0))</f>
        <v/>
      </c>
      <c r="T206" s="467" t="str">
        <f>IF(ISNA(MATCH($H206,請求Data!$AH$11:$AH$160,0)),"",VLOOKUP($H206,請求Data!$AH$11:$AR$160,請求Data!$AK$10-請求Data!$AG$10,0))</f>
        <v/>
      </c>
      <c r="U206" s="468"/>
      <c r="V206" s="58"/>
    </row>
    <row r="207" spans="1:22" ht="15" customHeight="1">
      <c r="A207" s="58" t="str">
        <f>IF($Q207="","",MAX($A$8:$A206)+1)</f>
        <v/>
      </c>
      <c r="B207" s="614" t="str">
        <f t="shared" si="15"/>
        <v/>
      </c>
      <c r="C207" s="614" t="str">
        <f t="shared" si="16"/>
        <v/>
      </c>
      <c r="D207" s="614" t="str">
        <f t="shared" si="17"/>
        <v/>
      </c>
      <c r="E207" s="615" t="str">
        <f t="shared" si="18"/>
        <v/>
      </c>
      <c r="F207" s="616" t="str">
        <f>IF($H207="","",IF(ISNA(MATCH($H207,$H$7:$H206,0)),1,0))</f>
        <v/>
      </c>
      <c r="G207" s="249"/>
      <c r="H207" s="95"/>
      <c r="I207" s="598" t="str">
        <f>IF($J207="","",INDEX(ﾏｽﾀ!$E$8:$E$124,MATCH(INDEX(ﾏｽﾀ!$N$8:$N$124,MATCH($J207,ﾏｽﾀ!$O$8:$O$124,0)),ﾏｽﾀ!$B$8:$B$124,0))&amp;"")</f>
        <v/>
      </c>
      <c r="J207" s="534"/>
      <c r="K207" s="598" t="str">
        <f>IF($J207="","",INDEX(ﾏｽﾀ!$G$8:$G$124,MATCH(INDEX(ﾏｽﾀ!$N$8:$N$124,MATCH($J207,ﾏｽﾀ!$O$8:$O$124,0)),ﾏｽﾀ!$B$8:$B$124,0))&amp;"")</f>
        <v/>
      </c>
      <c r="L207" s="600" t="str">
        <f>IF($M207="","",INDEX(ﾏｽﾀ!$T$8:$T$16,MATCH($M207,ﾏｽﾀ!$U$8:$U$16,0))&amp;"")</f>
        <v/>
      </c>
      <c r="M207" s="534"/>
      <c r="N207" s="463"/>
      <c r="O207" s="464"/>
      <c r="P207" s="465"/>
      <c r="Q207" s="466" t="str">
        <f t="shared" si="19"/>
        <v/>
      </c>
      <c r="R207" s="154" t="str">
        <f>IF($T207="","",VLOOKUP($T207,請求Data!$I$11:$AR$160,請求Data!$AL$10-請求Data!$H$10,0))</f>
        <v/>
      </c>
      <c r="S207" s="155" t="str">
        <f>IF($T207="","",VLOOKUP($T207,請求Data!$I$11:$AR$160,請求Data!$AM$10-請求Data!$H$10,0))</f>
        <v/>
      </c>
      <c r="T207" s="467" t="str">
        <f>IF(ISNA(MATCH($H207,請求Data!$AH$11:$AH$160,0)),"",VLOOKUP($H207,請求Data!$AH$11:$AR$160,請求Data!$AK$10-請求Data!$AG$10,0))</f>
        <v/>
      </c>
      <c r="U207" s="468"/>
      <c r="V207" s="58"/>
    </row>
    <row r="208" spans="1:22" ht="15" customHeight="1">
      <c r="A208" s="58" t="str">
        <f>IF($Q208="","",MAX($A$8:$A207)+1)</f>
        <v/>
      </c>
      <c r="B208" s="614" t="str">
        <f t="shared" si="15"/>
        <v/>
      </c>
      <c r="C208" s="614" t="str">
        <f t="shared" si="16"/>
        <v/>
      </c>
      <c r="D208" s="614" t="str">
        <f t="shared" si="17"/>
        <v/>
      </c>
      <c r="E208" s="615" t="str">
        <f t="shared" si="18"/>
        <v/>
      </c>
      <c r="F208" s="616" t="str">
        <f>IF($H208="","",IF(ISNA(MATCH($H208,$H$7:$H207,0)),1,0))</f>
        <v/>
      </c>
      <c r="G208" s="249"/>
      <c r="H208" s="95"/>
      <c r="I208" s="598" t="str">
        <f>IF($J208="","",INDEX(ﾏｽﾀ!$E$8:$E$124,MATCH(INDEX(ﾏｽﾀ!$N$8:$N$124,MATCH($J208,ﾏｽﾀ!$O$8:$O$124,0)),ﾏｽﾀ!$B$8:$B$124,0))&amp;"")</f>
        <v/>
      </c>
      <c r="J208" s="534"/>
      <c r="K208" s="598" t="str">
        <f>IF($J208="","",INDEX(ﾏｽﾀ!$G$8:$G$124,MATCH(INDEX(ﾏｽﾀ!$N$8:$N$124,MATCH($J208,ﾏｽﾀ!$O$8:$O$124,0)),ﾏｽﾀ!$B$8:$B$124,0))&amp;"")</f>
        <v/>
      </c>
      <c r="L208" s="600" t="str">
        <f>IF($M208="","",INDEX(ﾏｽﾀ!$T$8:$T$16,MATCH($M208,ﾏｽﾀ!$U$8:$U$16,0))&amp;"")</f>
        <v/>
      </c>
      <c r="M208" s="534"/>
      <c r="N208" s="463"/>
      <c r="O208" s="464"/>
      <c r="P208" s="465"/>
      <c r="Q208" s="466" t="str">
        <f t="shared" si="19"/>
        <v/>
      </c>
      <c r="R208" s="154" t="str">
        <f>IF($T208="","",VLOOKUP($T208,請求Data!$I$11:$AR$160,請求Data!$AL$10-請求Data!$H$10,0))</f>
        <v/>
      </c>
      <c r="S208" s="155" t="str">
        <f>IF($T208="","",VLOOKUP($T208,請求Data!$I$11:$AR$160,請求Data!$AM$10-請求Data!$H$10,0))</f>
        <v/>
      </c>
      <c r="T208" s="467" t="str">
        <f>IF(ISNA(MATCH($H208,請求Data!$AH$11:$AH$160,0)),"",VLOOKUP($H208,請求Data!$AH$11:$AR$160,請求Data!$AK$10-請求Data!$AG$10,0))</f>
        <v/>
      </c>
      <c r="U208" s="468"/>
      <c r="V208" s="58"/>
    </row>
    <row r="209" spans="1:22" ht="15" customHeight="1">
      <c r="A209" s="58" t="str">
        <f>IF($Q209="","",MAX($A$8:$A208)+1)</f>
        <v/>
      </c>
      <c r="B209" s="614" t="str">
        <f t="shared" si="15"/>
        <v/>
      </c>
      <c r="C209" s="614" t="str">
        <f t="shared" si="16"/>
        <v/>
      </c>
      <c r="D209" s="614" t="str">
        <f t="shared" si="17"/>
        <v/>
      </c>
      <c r="E209" s="615" t="str">
        <f t="shared" si="18"/>
        <v/>
      </c>
      <c r="F209" s="616" t="str">
        <f>IF($H209="","",IF(ISNA(MATCH($H209,$H$7:$H208,0)),1,0))</f>
        <v/>
      </c>
      <c r="G209" s="249"/>
      <c r="H209" s="95"/>
      <c r="I209" s="598" t="str">
        <f>IF($J209="","",INDEX(ﾏｽﾀ!$E$8:$E$124,MATCH(INDEX(ﾏｽﾀ!$N$8:$N$124,MATCH($J209,ﾏｽﾀ!$O$8:$O$124,0)),ﾏｽﾀ!$B$8:$B$124,0))&amp;"")</f>
        <v/>
      </c>
      <c r="J209" s="534"/>
      <c r="K209" s="598" t="str">
        <f>IF($J209="","",INDEX(ﾏｽﾀ!$G$8:$G$124,MATCH(INDEX(ﾏｽﾀ!$N$8:$N$124,MATCH($J209,ﾏｽﾀ!$O$8:$O$124,0)),ﾏｽﾀ!$B$8:$B$124,0))&amp;"")</f>
        <v/>
      </c>
      <c r="L209" s="600" t="str">
        <f>IF($M209="","",INDEX(ﾏｽﾀ!$T$8:$T$16,MATCH($M209,ﾏｽﾀ!$U$8:$U$16,0))&amp;"")</f>
        <v/>
      </c>
      <c r="M209" s="534"/>
      <c r="N209" s="463"/>
      <c r="O209" s="464"/>
      <c r="P209" s="465"/>
      <c r="Q209" s="466" t="str">
        <f t="shared" si="19"/>
        <v/>
      </c>
      <c r="R209" s="154" t="str">
        <f>IF($T209="","",VLOOKUP($T209,請求Data!$I$11:$AR$160,請求Data!$AL$10-請求Data!$H$10,0))</f>
        <v/>
      </c>
      <c r="S209" s="155" t="str">
        <f>IF($T209="","",VLOOKUP($T209,請求Data!$I$11:$AR$160,請求Data!$AM$10-請求Data!$H$10,0))</f>
        <v/>
      </c>
      <c r="T209" s="467" t="str">
        <f>IF(ISNA(MATCH($H209,請求Data!$AH$11:$AH$160,0)),"",VLOOKUP($H209,請求Data!$AH$11:$AR$160,請求Data!$AK$10-請求Data!$AG$10,0))</f>
        <v/>
      </c>
      <c r="U209" s="468"/>
      <c r="V209" s="58"/>
    </row>
    <row r="210" spans="1:22" ht="15" customHeight="1">
      <c r="A210" s="58" t="str">
        <f>IF($Q210="","",MAX($A$8:$A209)+1)</f>
        <v/>
      </c>
      <c r="B210" s="614" t="str">
        <f t="shared" si="15"/>
        <v/>
      </c>
      <c r="C210" s="614" t="str">
        <f t="shared" si="16"/>
        <v/>
      </c>
      <c r="D210" s="614" t="str">
        <f t="shared" si="17"/>
        <v/>
      </c>
      <c r="E210" s="615" t="str">
        <f t="shared" si="18"/>
        <v/>
      </c>
      <c r="F210" s="616" t="str">
        <f>IF($H210="","",IF(ISNA(MATCH($H210,$H$7:$H209,0)),1,0))</f>
        <v/>
      </c>
      <c r="G210" s="249"/>
      <c r="H210" s="95"/>
      <c r="I210" s="598" t="str">
        <f>IF($J210="","",INDEX(ﾏｽﾀ!$E$8:$E$124,MATCH(INDEX(ﾏｽﾀ!$N$8:$N$124,MATCH($J210,ﾏｽﾀ!$O$8:$O$124,0)),ﾏｽﾀ!$B$8:$B$124,0))&amp;"")</f>
        <v/>
      </c>
      <c r="J210" s="534"/>
      <c r="K210" s="598" t="str">
        <f>IF($J210="","",INDEX(ﾏｽﾀ!$G$8:$G$124,MATCH(INDEX(ﾏｽﾀ!$N$8:$N$124,MATCH($J210,ﾏｽﾀ!$O$8:$O$124,0)),ﾏｽﾀ!$B$8:$B$124,0))&amp;"")</f>
        <v/>
      </c>
      <c r="L210" s="600" t="str">
        <f>IF($M210="","",INDEX(ﾏｽﾀ!$T$8:$T$16,MATCH($M210,ﾏｽﾀ!$U$8:$U$16,0))&amp;"")</f>
        <v/>
      </c>
      <c r="M210" s="534"/>
      <c r="N210" s="463"/>
      <c r="O210" s="464"/>
      <c r="P210" s="465"/>
      <c r="Q210" s="466" t="str">
        <f t="shared" si="19"/>
        <v/>
      </c>
      <c r="R210" s="154" t="str">
        <f>IF($T210="","",VLOOKUP($T210,請求Data!$I$11:$AR$160,請求Data!$AL$10-請求Data!$H$10,0))</f>
        <v/>
      </c>
      <c r="S210" s="155" t="str">
        <f>IF($T210="","",VLOOKUP($T210,請求Data!$I$11:$AR$160,請求Data!$AM$10-請求Data!$H$10,0))</f>
        <v/>
      </c>
      <c r="T210" s="467" t="str">
        <f>IF(ISNA(MATCH($H210,請求Data!$AH$11:$AH$160,0)),"",VLOOKUP($H210,請求Data!$AH$11:$AR$160,請求Data!$AK$10-請求Data!$AG$10,0))</f>
        <v/>
      </c>
      <c r="U210" s="468"/>
      <c r="V210" s="58"/>
    </row>
    <row r="211" spans="1:22" ht="15" customHeight="1">
      <c r="A211" s="58" t="str">
        <f>IF($Q211="","",MAX($A$8:$A210)+1)</f>
        <v/>
      </c>
      <c r="B211" s="614" t="str">
        <f t="shared" si="15"/>
        <v/>
      </c>
      <c r="C211" s="614" t="str">
        <f t="shared" si="16"/>
        <v/>
      </c>
      <c r="D211" s="614" t="str">
        <f t="shared" si="17"/>
        <v/>
      </c>
      <c r="E211" s="615" t="str">
        <f t="shared" si="18"/>
        <v/>
      </c>
      <c r="F211" s="616" t="str">
        <f>IF($H211="","",IF(ISNA(MATCH($H211,$H$7:$H210,0)),1,0))</f>
        <v/>
      </c>
      <c r="G211" s="249"/>
      <c r="H211" s="95"/>
      <c r="I211" s="598" t="str">
        <f>IF($J211="","",INDEX(ﾏｽﾀ!$E$8:$E$124,MATCH(INDEX(ﾏｽﾀ!$N$8:$N$124,MATCH($J211,ﾏｽﾀ!$O$8:$O$124,0)),ﾏｽﾀ!$B$8:$B$124,0))&amp;"")</f>
        <v/>
      </c>
      <c r="J211" s="534"/>
      <c r="K211" s="598" t="str">
        <f>IF($J211="","",INDEX(ﾏｽﾀ!$G$8:$G$124,MATCH(INDEX(ﾏｽﾀ!$N$8:$N$124,MATCH($J211,ﾏｽﾀ!$O$8:$O$124,0)),ﾏｽﾀ!$B$8:$B$124,0))&amp;"")</f>
        <v/>
      </c>
      <c r="L211" s="600" t="str">
        <f>IF($M211="","",INDEX(ﾏｽﾀ!$T$8:$T$16,MATCH($M211,ﾏｽﾀ!$U$8:$U$16,0))&amp;"")</f>
        <v/>
      </c>
      <c r="M211" s="534"/>
      <c r="N211" s="463"/>
      <c r="O211" s="464"/>
      <c r="P211" s="465"/>
      <c r="Q211" s="466" t="str">
        <f t="shared" si="19"/>
        <v/>
      </c>
      <c r="R211" s="154" t="str">
        <f>IF($T211="","",VLOOKUP($T211,請求Data!$I$11:$AR$160,請求Data!$AL$10-請求Data!$H$10,0))</f>
        <v/>
      </c>
      <c r="S211" s="155" t="str">
        <f>IF($T211="","",VLOOKUP($T211,請求Data!$I$11:$AR$160,請求Data!$AM$10-請求Data!$H$10,0))</f>
        <v/>
      </c>
      <c r="T211" s="467" t="str">
        <f>IF(ISNA(MATCH($H211,請求Data!$AH$11:$AH$160,0)),"",VLOOKUP($H211,請求Data!$AH$11:$AR$160,請求Data!$AK$10-請求Data!$AG$10,0))</f>
        <v/>
      </c>
      <c r="U211" s="468"/>
      <c r="V211" s="58"/>
    </row>
    <row r="212" spans="1:22" ht="15" customHeight="1">
      <c r="A212" s="58" t="str">
        <f>IF($Q212="","",MAX($A$8:$A211)+1)</f>
        <v/>
      </c>
      <c r="B212" s="614" t="str">
        <f t="shared" si="15"/>
        <v/>
      </c>
      <c r="C212" s="614" t="str">
        <f t="shared" si="16"/>
        <v/>
      </c>
      <c r="D212" s="614" t="str">
        <f t="shared" si="17"/>
        <v/>
      </c>
      <c r="E212" s="615" t="str">
        <f t="shared" si="18"/>
        <v/>
      </c>
      <c r="F212" s="616" t="str">
        <f>IF($H212="","",IF(ISNA(MATCH($H212,$H$7:$H211,0)),1,0))</f>
        <v/>
      </c>
      <c r="G212" s="249"/>
      <c r="H212" s="95"/>
      <c r="I212" s="598" t="str">
        <f>IF($J212="","",INDEX(ﾏｽﾀ!$E$8:$E$124,MATCH(INDEX(ﾏｽﾀ!$N$8:$N$124,MATCH($J212,ﾏｽﾀ!$O$8:$O$124,0)),ﾏｽﾀ!$B$8:$B$124,0))&amp;"")</f>
        <v/>
      </c>
      <c r="J212" s="534"/>
      <c r="K212" s="598" t="str">
        <f>IF($J212="","",INDEX(ﾏｽﾀ!$G$8:$G$124,MATCH(INDEX(ﾏｽﾀ!$N$8:$N$124,MATCH($J212,ﾏｽﾀ!$O$8:$O$124,0)),ﾏｽﾀ!$B$8:$B$124,0))&amp;"")</f>
        <v/>
      </c>
      <c r="L212" s="600" t="str">
        <f>IF($M212="","",INDEX(ﾏｽﾀ!$T$8:$T$16,MATCH($M212,ﾏｽﾀ!$U$8:$U$16,0))&amp;"")</f>
        <v/>
      </c>
      <c r="M212" s="534"/>
      <c r="N212" s="463"/>
      <c r="O212" s="464"/>
      <c r="P212" s="465"/>
      <c r="Q212" s="466" t="str">
        <f t="shared" si="19"/>
        <v/>
      </c>
      <c r="R212" s="154" t="str">
        <f>IF($T212="","",VLOOKUP($T212,請求Data!$I$11:$AR$160,請求Data!$AL$10-請求Data!$H$10,0))</f>
        <v/>
      </c>
      <c r="S212" s="155" t="str">
        <f>IF($T212="","",VLOOKUP($T212,請求Data!$I$11:$AR$160,請求Data!$AM$10-請求Data!$H$10,0))</f>
        <v/>
      </c>
      <c r="T212" s="467" t="str">
        <f>IF(ISNA(MATCH($H212,請求Data!$AH$11:$AH$160,0)),"",VLOOKUP($H212,請求Data!$AH$11:$AR$160,請求Data!$AK$10-請求Data!$AG$10,0))</f>
        <v/>
      </c>
      <c r="U212" s="468"/>
      <c r="V212" s="58"/>
    </row>
    <row r="213" spans="1:22" ht="15" customHeight="1">
      <c r="A213" s="58" t="str">
        <f>IF($Q213="","",MAX($A$8:$A212)+1)</f>
        <v/>
      </c>
      <c r="B213" s="614" t="str">
        <f t="shared" si="15"/>
        <v/>
      </c>
      <c r="C213" s="614" t="str">
        <f t="shared" si="16"/>
        <v/>
      </c>
      <c r="D213" s="614" t="str">
        <f t="shared" si="17"/>
        <v/>
      </c>
      <c r="E213" s="615" t="str">
        <f t="shared" si="18"/>
        <v/>
      </c>
      <c r="F213" s="616" t="str">
        <f>IF($H213="","",IF(ISNA(MATCH($H213,$H$7:$H212,0)),1,0))</f>
        <v/>
      </c>
      <c r="G213" s="249"/>
      <c r="H213" s="95"/>
      <c r="I213" s="598" t="str">
        <f>IF($J213="","",INDEX(ﾏｽﾀ!$E$8:$E$124,MATCH(INDEX(ﾏｽﾀ!$N$8:$N$124,MATCH($J213,ﾏｽﾀ!$O$8:$O$124,0)),ﾏｽﾀ!$B$8:$B$124,0))&amp;"")</f>
        <v/>
      </c>
      <c r="J213" s="534"/>
      <c r="K213" s="598" t="str">
        <f>IF($J213="","",INDEX(ﾏｽﾀ!$G$8:$G$124,MATCH(INDEX(ﾏｽﾀ!$N$8:$N$124,MATCH($J213,ﾏｽﾀ!$O$8:$O$124,0)),ﾏｽﾀ!$B$8:$B$124,0))&amp;"")</f>
        <v/>
      </c>
      <c r="L213" s="600" t="str">
        <f>IF($M213="","",INDEX(ﾏｽﾀ!$T$8:$T$16,MATCH($M213,ﾏｽﾀ!$U$8:$U$16,0))&amp;"")</f>
        <v/>
      </c>
      <c r="M213" s="534"/>
      <c r="N213" s="463"/>
      <c r="O213" s="464"/>
      <c r="P213" s="465"/>
      <c r="Q213" s="466" t="str">
        <f t="shared" si="19"/>
        <v/>
      </c>
      <c r="R213" s="154" t="str">
        <f>IF($T213="","",VLOOKUP($T213,請求Data!$I$11:$AR$160,請求Data!$AL$10-請求Data!$H$10,0))</f>
        <v/>
      </c>
      <c r="S213" s="155" t="str">
        <f>IF($T213="","",VLOOKUP($T213,請求Data!$I$11:$AR$160,請求Data!$AM$10-請求Data!$H$10,0))</f>
        <v/>
      </c>
      <c r="T213" s="467" t="str">
        <f>IF(ISNA(MATCH($H213,請求Data!$AH$11:$AH$160,0)),"",VLOOKUP($H213,請求Data!$AH$11:$AR$160,請求Data!$AK$10-請求Data!$AG$10,0))</f>
        <v/>
      </c>
      <c r="U213" s="468"/>
      <c r="V213" s="58"/>
    </row>
    <row r="214" spans="1:22" ht="15" customHeight="1">
      <c r="A214" s="58" t="str">
        <f>IF($Q214="","",MAX($A$8:$A213)+1)</f>
        <v/>
      </c>
      <c r="B214" s="614" t="str">
        <f t="shared" si="15"/>
        <v/>
      </c>
      <c r="C214" s="614" t="str">
        <f t="shared" si="16"/>
        <v/>
      </c>
      <c r="D214" s="614" t="str">
        <f t="shared" si="17"/>
        <v/>
      </c>
      <c r="E214" s="615" t="str">
        <f t="shared" si="18"/>
        <v/>
      </c>
      <c r="F214" s="616" t="str">
        <f>IF($H214="","",IF(ISNA(MATCH($H214,$H$7:$H213,0)),1,0))</f>
        <v/>
      </c>
      <c r="G214" s="249"/>
      <c r="H214" s="95"/>
      <c r="I214" s="598" t="str">
        <f>IF($J214="","",INDEX(ﾏｽﾀ!$E$8:$E$124,MATCH(INDEX(ﾏｽﾀ!$N$8:$N$124,MATCH($J214,ﾏｽﾀ!$O$8:$O$124,0)),ﾏｽﾀ!$B$8:$B$124,0))&amp;"")</f>
        <v/>
      </c>
      <c r="J214" s="534"/>
      <c r="K214" s="598" t="str">
        <f>IF($J214="","",INDEX(ﾏｽﾀ!$G$8:$G$124,MATCH(INDEX(ﾏｽﾀ!$N$8:$N$124,MATCH($J214,ﾏｽﾀ!$O$8:$O$124,0)),ﾏｽﾀ!$B$8:$B$124,0))&amp;"")</f>
        <v/>
      </c>
      <c r="L214" s="600" t="str">
        <f>IF($M214="","",INDEX(ﾏｽﾀ!$T$8:$T$16,MATCH($M214,ﾏｽﾀ!$U$8:$U$16,0))&amp;"")</f>
        <v/>
      </c>
      <c r="M214" s="534"/>
      <c r="N214" s="463"/>
      <c r="O214" s="464"/>
      <c r="P214" s="465"/>
      <c r="Q214" s="466" t="str">
        <f t="shared" si="19"/>
        <v/>
      </c>
      <c r="R214" s="154" t="str">
        <f>IF($T214="","",VLOOKUP($T214,請求Data!$I$11:$AR$160,請求Data!$AL$10-請求Data!$H$10,0))</f>
        <v/>
      </c>
      <c r="S214" s="155" t="str">
        <f>IF($T214="","",VLOOKUP($T214,請求Data!$I$11:$AR$160,請求Data!$AM$10-請求Data!$H$10,0))</f>
        <v/>
      </c>
      <c r="T214" s="467" t="str">
        <f>IF(ISNA(MATCH($H214,請求Data!$AH$11:$AH$160,0)),"",VLOOKUP($H214,請求Data!$AH$11:$AR$160,請求Data!$AK$10-請求Data!$AG$10,0))</f>
        <v/>
      </c>
      <c r="U214" s="468"/>
      <c r="V214" s="58"/>
    </row>
    <row r="215" spans="1:22" ht="15" customHeight="1">
      <c r="A215" s="58" t="str">
        <f>IF($Q215="","",MAX($A$8:$A214)+1)</f>
        <v/>
      </c>
      <c r="B215" s="614" t="str">
        <f t="shared" si="15"/>
        <v/>
      </c>
      <c r="C215" s="614" t="str">
        <f t="shared" si="16"/>
        <v/>
      </c>
      <c r="D215" s="614" t="str">
        <f t="shared" si="17"/>
        <v/>
      </c>
      <c r="E215" s="615" t="str">
        <f t="shared" si="18"/>
        <v/>
      </c>
      <c r="F215" s="616" t="str">
        <f>IF($H215="","",IF(ISNA(MATCH($H215,$H$7:$H214,0)),1,0))</f>
        <v/>
      </c>
      <c r="G215" s="249"/>
      <c r="H215" s="95"/>
      <c r="I215" s="598" t="str">
        <f>IF($J215="","",INDEX(ﾏｽﾀ!$E$8:$E$124,MATCH(INDEX(ﾏｽﾀ!$N$8:$N$124,MATCH($J215,ﾏｽﾀ!$O$8:$O$124,0)),ﾏｽﾀ!$B$8:$B$124,0))&amp;"")</f>
        <v/>
      </c>
      <c r="J215" s="534"/>
      <c r="K215" s="598" t="str">
        <f>IF($J215="","",INDEX(ﾏｽﾀ!$G$8:$G$124,MATCH(INDEX(ﾏｽﾀ!$N$8:$N$124,MATCH($J215,ﾏｽﾀ!$O$8:$O$124,0)),ﾏｽﾀ!$B$8:$B$124,0))&amp;"")</f>
        <v/>
      </c>
      <c r="L215" s="600" t="str">
        <f>IF($M215="","",INDEX(ﾏｽﾀ!$T$8:$T$16,MATCH($M215,ﾏｽﾀ!$U$8:$U$16,0))&amp;"")</f>
        <v/>
      </c>
      <c r="M215" s="534"/>
      <c r="N215" s="463"/>
      <c r="O215" s="464"/>
      <c r="P215" s="465"/>
      <c r="Q215" s="466" t="str">
        <f t="shared" si="19"/>
        <v/>
      </c>
      <c r="R215" s="154" t="str">
        <f>IF($T215="","",VLOOKUP($T215,請求Data!$I$11:$AR$160,請求Data!$AL$10-請求Data!$H$10,0))</f>
        <v/>
      </c>
      <c r="S215" s="155" t="str">
        <f>IF($T215="","",VLOOKUP($T215,請求Data!$I$11:$AR$160,請求Data!$AM$10-請求Data!$H$10,0))</f>
        <v/>
      </c>
      <c r="T215" s="467" t="str">
        <f>IF(ISNA(MATCH($H215,請求Data!$AH$11:$AH$160,0)),"",VLOOKUP($H215,請求Data!$AH$11:$AR$160,請求Data!$AK$10-請求Data!$AG$10,0))</f>
        <v/>
      </c>
      <c r="U215" s="468"/>
      <c r="V215" s="58"/>
    </row>
    <row r="216" spans="1:22" ht="15" customHeight="1">
      <c r="A216" s="58" t="str">
        <f>IF($Q216="","",MAX($A$8:$A215)+1)</f>
        <v/>
      </c>
      <c r="B216" s="614" t="str">
        <f t="shared" si="15"/>
        <v/>
      </c>
      <c r="C216" s="614" t="str">
        <f t="shared" si="16"/>
        <v/>
      </c>
      <c r="D216" s="614" t="str">
        <f t="shared" si="17"/>
        <v/>
      </c>
      <c r="E216" s="615" t="str">
        <f t="shared" si="18"/>
        <v/>
      </c>
      <c r="F216" s="616" t="str">
        <f>IF($H216="","",IF(ISNA(MATCH($H216,$H$7:$H215,0)),1,0))</f>
        <v/>
      </c>
      <c r="G216" s="249"/>
      <c r="H216" s="95"/>
      <c r="I216" s="598" t="str">
        <f>IF($J216="","",INDEX(ﾏｽﾀ!$E$8:$E$124,MATCH(INDEX(ﾏｽﾀ!$N$8:$N$124,MATCH($J216,ﾏｽﾀ!$O$8:$O$124,0)),ﾏｽﾀ!$B$8:$B$124,0))&amp;"")</f>
        <v/>
      </c>
      <c r="J216" s="534"/>
      <c r="K216" s="598" t="str">
        <f>IF($J216="","",INDEX(ﾏｽﾀ!$G$8:$G$124,MATCH(INDEX(ﾏｽﾀ!$N$8:$N$124,MATCH($J216,ﾏｽﾀ!$O$8:$O$124,0)),ﾏｽﾀ!$B$8:$B$124,0))&amp;"")</f>
        <v/>
      </c>
      <c r="L216" s="600" t="str">
        <f>IF($M216="","",INDEX(ﾏｽﾀ!$T$8:$T$16,MATCH($M216,ﾏｽﾀ!$U$8:$U$16,0))&amp;"")</f>
        <v/>
      </c>
      <c r="M216" s="534"/>
      <c r="N216" s="463"/>
      <c r="O216" s="464"/>
      <c r="P216" s="465"/>
      <c r="Q216" s="466" t="str">
        <f t="shared" si="19"/>
        <v/>
      </c>
      <c r="R216" s="154" t="str">
        <f>IF($T216="","",VLOOKUP($T216,請求Data!$I$11:$AR$160,請求Data!$AL$10-請求Data!$H$10,0))</f>
        <v/>
      </c>
      <c r="S216" s="155" t="str">
        <f>IF($T216="","",VLOOKUP($T216,請求Data!$I$11:$AR$160,請求Data!$AM$10-請求Data!$H$10,0))</f>
        <v/>
      </c>
      <c r="T216" s="467" t="str">
        <f>IF(ISNA(MATCH($H216,請求Data!$AH$11:$AH$160,0)),"",VLOOKUP($H216,請求Data!$AH$11:$AR$160,請求Data!$AK$10-請求Data!$AG$10,0))</f>
        <v/>
      </c>
      <c r="U216" s="468"/>
      <c r="V216" s="58"/>
    </row>
    <row r="217" spans="1:22" ht="15" customHeight="1">
      <c r="A217" s="58" t="str">
        <f>IF($Q217="","",MAX($A$8:$A216)+1)</f>
        <v/>
      </c>
      <c r="B217" s="614" t="str">
        <f t="shared" si="15"/>
        <v/>
      </c>
      <c r="C217" s="614" t="str">
        <f t="shared" si="16"/>
        <v/>
      </c>
      <c r="D217" s="614" t="str">
        <f t="shared" si="17"/>
        <v/>
      </c>
      <c r="E217" s="615" t="str">
        <f t="shared" si="18"/>
        <v/>
      </c>
      <c r="F217" s="616" t="str">
        <f>IF($H217="","",IF(ISNA(MATCH($H217,$H$7:$H216,0)),1,0))</f>
        <v/>
      </c>
      <c r="G217" s="249"/>
      <c r="H217" s="95"/>
      <c r="I217" s="598" t="str">
        <f>IF($J217="","",INDEX(ﾏｽﾀ!$E$8:$E$124,MATCH(INDEX(ﾏｽﾀ!$N$8:$N$124,MATCH($J217,ﾏｽﾀ!$O$8:$O$124,0)),ﾏｽﾀ!$B$8:$B$124,0))&amp;"")</f>
        <v/>
      </c>
      <c r="J217" s="534"/>
      <c r="K217" s="598" t="str">
        <f>IF($J217="","",INDEX(ﾏｽﾀ!$G$8:$G$124,MATCH(INDEX(ﾏｽﾀ!$N$8:$N$124,MATCH($J217,ﾏｽﾀ!$O$8:$O$124,0)),ﾏｽﾀ!$B$8:$B$124,0))&amp;"")</f>
        <v/>
      </c>
      <c r="L217" s="600" t="str">
        <f>IF($M217="","",INDEX(ﾏｽﾀ!$T$8:$T$16,MATCH($M217,ﾏｽﾀ!$U$8:$U$16,0))&amp;"")</f>
        <v/>
      </c>
      <c r="M217" s="534"/>
      <c r="N217" s="463"/>
      <c r="O217" s="464"/>
      <c r="P217" s="465"/>
      <c r="Q217" s="466" t="str">
        <f t="shared" si="19"/>
        <v/>
      </c>
      <c r="R217" s="154" t="str">
        <f>IF($T217="","",VLOOKUP($T217,請求Data!$I$11:$AR$160,請求Data!$AL$10-請求Data!$H$10,0))</f>
        <v/>
      </c>
      <c r="S217" s="155" t="str">
        <f>IF($T217="","",VLOOKUP($T217,請求Data!$I$11:$AR$160,請求Data!$AM$10-請求Data!$H$10,0))</f>
        <v/>
      </c>
      <c r="T217" s="467" t="str">
        <f>IF(ISNA(MATCH($H217,請求Data!$AH$11:$AH$160,0)),"",VLOOKUP($H217,請求Data!$AH$11:$AR$160,請求Data!$AK$10-請求Data!$AG$10,0))</f>
        <v/>
      </c>
      <c r="U217" s="468"/>
      <c r="V217" s="58"/>
    </row>
    <row r="218" spans="1:22" ht="15" customHeight="1">
      <c r="A218" s="58" t="str">
        <f>IF($Q218="","",MAX($A$8:$A217)+1)</f>
        <v/>
      </c>
      <c r="B218" s="614" t="str">
        <f t="shared" si="15"/>
        <v/>
      </c>
      <c r="C218" s="614" t="str">
        <f t="shared" si="16"/>
        <v/>
      </c>
      <c r="D218" s="614" t="str">
        <f t="shared" si="17"/>
        <v/>
      </c>
      <c r="E218" s="615" t="str">
        <f t="shared" si="18"/>
        <v/>
      </c>
      <c r="F218" s="616" t="str">
        <f>IF($H218="","",IF(ISNA(MATCH($H218,$H$7:$H217,0)),1,0))</f>
        <v/>
      </c>
      <c r="G218" s="249"/>
      <c r="H218" s="95"/>
      <c r="I218" s="598" t="str">
        <f>IF($J218="","",INDEX(ﾏｽﾀ!$E$8:$E$124,MATCH(INDEX(ﾏｽﾀ!$N$8:$N$124,MATCH($J218,ﾏｽﾀ!$O$8:$O$124,0)),ﾏｽﾀ!$B$8:$B$124,0))&amp;"")</f>
        <v/>
      </c>
      <c r="J218" s="534"/>
      <c r="K218" s="598" t="str">
        <f>IF($J218="","",INDEX(ﾏｽﾀ!$G$8:$G$124,MATCH(INDEX(ﾏｽﾀ!$N$8:$N$124,MATCH($J218,ﾏｽﾀ!$O$8:$O$124,0)),ﾏｽﾀ!$B$8:$B$124,0))&amp;"")</f>
        <v/>
      </c>
      <c r="L218" s="600" t="str">
        <f>IF($M218="","",INDEX(ﾏｽﾀ!$T$8:$T$16,MATCH($M218,ﾏｽﾀ!$U$8:$U$16,0))&amp;"")</f>
        <v/>
      </c>
      <c r="M218" s="534"/>
      <c r="N218" s="463"/>
      <c r="O218" s="464"/>
      <c r="P218" s="465"/>
      <c r="Q218" s="466" t="str">
        <f t="shared" si="19"/>
        <v/>
      </c>
      <c r="R218" s="154" t="str">
        <f>IF($T218="","",VLOOKUP($T218,請求Data!$I$11:$AR$160,請求Data!$AL$10-請求Data!$H$10,0))</f>
        <v/>
      </c>
      <c r="S218" s="155" t="str">
        <f>IF($T218="","",VLOOKUP($T218,請求Data!$I$11:$AR$160,請求Data!$AM$10-請求Data!$H$10,0))</f>
        <v/>
      </c>
      <c r="T218" s="467" t="str">
        <f>IF(ISNA(MATCH($H218,請求Data!$AH$11:$AH$160,0)),"",VLOOKUP($H218,請求Data!$AH$11:$AR$160,請求Data!$AK$10-請求Data!$AG$10,0))</f>
        <v/>
      </c>
      <c r="U218" s="468"/>
      <c r="V218" s="58"/>
    </row>
    <row r="219" spans="1:22" ht="15" customHeight="1">
      <c r="A219" s="58" t="str">
        <f>IF($Q219="","",MAX($A$8:$A218)+1)</f>
        <v/>
      </c>
      <c r="B219" s="614" t="str">
        <f t="shared" si="15"/>
        <v/>
      </c>
      <c r="C219" s="614" t="str">
        <f t="shared" si="16"/>
        <v/>
      </c>
      <c r="D219" s="614" t="str">
        <f t="shared" si="17"/>
        <v/>
      </c>
      <c r="E219" s="615" t="str">
        <f t="shared" si="18"/>
        <v/>
      </c>
      <c r="F219" s="616" t="str">
        <f>IF($H219="","",IF(ISNA(MATCH($H219,$H$7:$H218,0)),1,0))</f>
        <v/>
      </c>
      <c r="G219" s="249"/>
      <c r="H219" s="95"/>
      <c r="I219" s="598" t="str">
        <f>IF($J219="","",INDEX(ﾏｽﾀ!$E$8:$E$124,MATCH(INDEX(ﾏｽﾀ!$N$8:$N$124,MATCH($J219,ﾏｽﾀ!$O$8:$O$124,0)),ﾏｽﾀ!$B$8:$B$124,0))&amp;"")</f>
        <v/>
      </c>
      <c r="J219" s="534"/>
      <c r="K219" s="598" t="str">
        <f>IF($J219="","",INDEX(ﾏｽﾀ!$G$8:$G$124,MATCH(INDEX(ﾏｽﾀ!$N$8:$N$124,MATCH($J219,ﾏｽﾀ!$O$8:$O$124,0)),ﾏｽﾀ!$B$8:$B$124,0))&amp;"")</f>
        <v/>
      </c>
      <c r="L219" s="600" t="str">
        <f>IF($M219="","",INDEX(ﾏｽﾀ!$T$8:$T$16,MATCH($M219,ﾏｽﾀ!$U$8:$U$16,0))&amp;"")</f>
        <v/>
      </c>
      <c r="M219" s="534"/>
      <c r="N219" s="463"/>
      <c r="O219" s="464"/>
      <c r="P219" s="465"/>
      <c r="Q219" s="466" t="str">
        <f t="shared" si="19"/>
        <v/>
      </c>
      <c r="R219" s="154" t="str">
        <f>IF($T219="","",VLOOKUP($T219,請求Data!$I$11:$AR$160,請求Data!$AL$10-請求Data!$H$10,0))</f>
        <v/>
      </c>
      <c r="S219" s="155" t="str">
        <f>IF($T219="","",VLOOKUP($T219,請求Data!$I$11:$AR$160,請求Data!$AM$10-請求Data!$H$10,0))</f>
        <v/>
      </c>
      <c r="T219" s="467" t="str">
        <f>IF(ISNA(MATCH($H219,請求Data!$AH$11:$AH$160,0)),"",VLOOKUP($H219,請求Data!$AH$11:$AR$160,請求Data!$AK$10-請求Data!$AG$10,0))</f>
        <v/>
      </c>
      <c r="U219" s="468"/>
      <c r="V219" s="58"/>
    </row>
    <row r="220" spans="1:22" ht="15" customHeight="1">
      <c r="A220" s="58" t="str">
        <f>IF($Q220="","",MAX($A$8:$A219)+1)</f>
        <v/>
      </c>
      <c r="B220" s="614" t="str">
        <f t="shared" si="15"/>
        <v/>
      </c>
      <c r="C220" s="614" t="str">
        <f t="shared" si="16"/>
        <v/>
      </c>
      <c r="D220" s="614" t="str">
        <f t="shared" si="17"/>
        <v/>
      </c>
      <c r="E220" s="615" t="str">
        <f t="shared" si="18"/>
        <v/>
      </c>
      <c r="F220" s="616" t="str">
        <f>IF($H220="","",IF(ISNA(MATCH($H220,$H$7:$H219,0)),1,0))</f>
        <v/>
      </c>
      <c r="G220" s="249"/>
      <c r="H220" s="95"/>
      <c r="I220" s="598" t="str">
        <f>IF($J220="","",INDEX(ﾏｽﾀ!$E$8:$E$124,MATCH(INDEX(ﾏｽﾀ!$N$8:$N$124,MATCH($J220,ﾏｽﾀ!$O$8:$O$124,0)),ﾏｽﾀ!$B$8:$B$124,0))&amp;"")</f>
        <v/>
      </c>
      <c r="J220" s="534"/>
      <c r="K220" s="598" t="str">
        <f>IF($J220="","",INDEX(ﾏｽﾀ!$G$8:$G$124,MATCH(INDEX(ﾏｽﾀ!$N$8:$N$124,MATCH($J220,ﾏｽﾀ!$O$8:$O$124,0)),ﾏｽﾀ!$B$8:$B$124,0))&amp;"")</f>
        <v/>
      </c>
      <c r="L220" s="600" t="str">
        <f>IF($M220="","",INDEX(ﾏｽﾀ!$T$8:$T$16,MATCH($M220,ﾏｽﾀ!$U$8:$U$16,0))&amp;"")</f>
        <v/>
      </c>
      <c r="M220" s="534"/>
      <c r="N220" s="463"/>
      <c r="O220" s="464"/>
      <c r="P220" s="465"/>
      <c r="Q220" s="466" t="str">
        <f t="shared" si="19"/>
        <v/>
      </c>
      <c r="R220" s="154" t="str">
        <f>IF($T220="","",VLOOKUP($T220,請求Data!$I$11:$AR$160,請求Data!$AL$10-請求Data!$H$10,0))</f>
        <v/>
      </c>
      <c r="S220" s="155" t="str">
        <f>IF($T220="","",VLOOKUP($T220,請求Data!$I$11:$AR$160,請求Data!$AM$10-請求Data!$H$10,0))</f>
        <v/>
      </c>
      <c r="T220" s="467" t="str">
        <f>IF(ISNA(MATCH($H220,請求Data!$AH$11:$AH$160,0)),"",VLOOKUP($H220,請求Data!$AH$11:$AR$160,請求Data!$AK$10-請求Data!$AG$10,0))</f>
        <v/>
      </c>
      <c r="U220" s="468"/>
      <c r="V220" s="58"/>
    </row>
    <row r="221" spans="1:22" ht="15" customHeight="1">
      <c r="A221" s="58" t="str">
        <f>IF($Q221="","",MAX($A$8:$A220)+1)</f>
        <v/>
      </c>
      <c r="B221" s="614" t="str">
        <f t="shared" si="15"/>
        <v/>
      </c>
      <c r="C221" s="614" t="str">
        <f t="shared" si="16"/>
        <v/>
      </c>
      <c r="D221" s="614" t="str">
        <f t="shared" si="17"/>
        <v/>
      </c>
      <c r="E221" s="615" t="str">
        <f t="shared" si="18"/>
        <v/>
      </c>
      <c r="F221" s="616" t="str">
        <f>IF($H221="","",IF(ISNA(MATCH($H221,$H$7:$H220,0)),1,0))</f>
        <v/>
      </c>
      <c r="G221" s="249"/>
      <c r="H221" s="95"/>
      <c r="I221" s="598" t="str">
        <f>IF($J221="","",INDEX(ﾏｽﾀ!$E$8:$E$124,MATCH(INDEX(ﾏｽﾀ!$N$8:$N$124,MATCH($J221,ﾏｽﾀ!$O$8:$O$124,0)),ﾏｽﾀ!$B$8:$B$124,0))&amp;"")</f>
        <v/>
      </c>
      <c r="J221" s="534"/>
      <c r="K221" s="598" t="str">
        <f>IF($J221="","",INDEX(ﾏｽﾀ!$G$8:$G$124,MATCH(INDEX(ﾏｽﾀ!$N$8:$N$124,MATCH($J221,ﾏｽﾀ!$O$8:$O$124,0)),ﾏｽﾀ!$B$8:$B$124,0))&amp;"")</f>
        <v/>
      </c>
      <c r="L221" s="600" t="str">
        <f>IF($M221="","",INDEX(ﾏｽﾀ!$T$8:$T$16,MATCH($M221,ﾏｽﾀ!$U$8:$U$16,0))&amp;"")</f>
        <v/>
      </c>
      <c r="M221" s="534"/>
      <c r="N221" s="463"/>
      <c r="O221" s="464"/>
      <c r="P221" s="465"/>
      <c r="Q221" s="466" t="str">
        <f t="shared" si="19"/>
        <v/>
      </c>
      <c r="R221" s="154" t="str">
        <f>IF($T221="","",VLOOKUP($T221,請求Data!$I$11:$AR$160,請求Data!$AL$10-請求Data!$H$10,0))</f>
        <v/>
      </c>
      <c r="S221" s="155" t="str">
        <f>IF($T221="","",VLOOKUP($T221,請求Data!$I$11:$AR$160,請求Data!$AM$10-請求Data!$H$10,0))</f>
        <v/>
      </c>
      <c r="T221" s="467" t="str">
        <f>IF(ISNA(MATCH($H221,請求Data!$AH$11:$AH$160,0)),"",VLOOKUP($H221,請求Data!$AH$11:$AR$160,請求Data!$AK$10-請求Data!$AG$10,0))</f>
        <v/>
      </c>
      <c r="U221" s="468"/>
      <c r="V221" s="58"/>
    </row>
    <row r="222" spans="1:22" ht="15" customHeight="1">
      <c r="A222" s="58" t="str">
        <f>IF($Q222="","",MAX($A$8:$A221)+1)</f>
        <v/>
      </c>
      <c r="B222" s="614" t="str">
        <f t="shared" si="15"/>
        <v/>
      </c>
      <c r="C222" s="614" t="str">
        <f t="shared" si="16"/>
        <v/>
      </c>
      <c r="D222" s="614" t="str">
        <f t="shared" si="17"/>
        <v/>
      </c>
      <c r="E222" s="615" t="str">
        <f t="shared" si="18"/>
        <v/>
      </c>
      <c r="F222" s="616" t="str">
        <f>IF($H222="","",IF(ISNA(MATCH($H222,$H$7:$H221,0)),1,0))</f>
        <v/>
      </c>
      <c r="G222" s="249"/>
      <c r="H222" s="95"/>
      <c r="I222" s="598" t="str">
        <f>IF($J222="","",INDEX(ﾏｽﾀ!$E$8:$E$124,MATCH(INDEX(ﾏｽﾀ!$N$8:$N$124,MATCH($J222,ﾏｽﾀ!$O$8:$O$124,0)),ﾏｽﾀ!$B$8:$B$124,0))&amp;"")</f>
        <v/>
      </c>
      <c r="J222" s="534"/>
      <c r="K222" s="598" t="str">
        <f>IF($J222="","",INDEX(ﾏｽﾀ!$G$8:$G$124,MATCH(INDEX(ﾏｽﾀ!$N$8:$N$124,MATCH($J222,ﾏｽﾀ!$O$8:$O$124,0)),ﾏｽﾀ!$B$8:$B$124,0))&amp;"")</f>
        <v/>
      </c>
      <c r="L222" s="600" t="str">
        <f>IF($M222="","",INDEX(ﾏｽﾀ!$T$8:$T$16,MATCH($M222,ﾏｽﾀ!$U$8:$U$16,0))&amp;"")</f>
        <v/>
      </c>
      <c r="M222" s="534"/>
      <c r="N222" s="463"/>
      <c r="O222" s="464"/>
      <c r="P222" s="465"/>
      <c r="Q222" s="466" t="str">
        <f t="shared" si="19"/>
        <v/>
      </c>
      <c r="R222" s="154" t="str">
        <f>IF($T222="","",VLOOKUP($T222,請求Data!$I$11:$AR$160,請求Data!$AL$10-請求Data!$H$10,0))</f>
        <v/>
      </c>
      <c r="S222" s="155" t="str">
        <f>IF($T222="","",VLOOKUP($T222,請求Data!$I$11:$AR$160,請求Data!$AM$10-請求Data!$H$10,0))</f>
        <v/>
      </c>
      <c r="T222" s="467" t="str">
        <f>IF(ISNA(MATCH($H222,請求Data!$AH$11:$AH$160,0)),"",VLOOKUP($H222,請求Data!$AH$11:$AR$160,請求Data!$AK$10-請求Data!$AG$10,0))</f>
        <v/>
      </c>
      <c r="U222" s="468"/>
      <c r="V222" s="58"/>
    </row>
    <row r="223" spans="1:22" ht="15" customHeight="1">
      <c r="A223" s="58" t="str">
        <f>IF($Q223="","",MAX($A$8:$A222)+1)</f>
        <v/>
      </c>
      <c r="B223" s="614" t="str">
        <f t="shared" si="15"/>
        <v/>
      </c>
      <c r="C223" s="614" t="str">
        <f t="shared" si="16"/>
        <v/>
      </c>
      <c r="D223" s="614" t="str">
        <f t="shared" si="17"/>
        <v/>
      </c>
      <c r="E223" s="615" t="str">
        <f t="shared" si="18"/>
        <v/>
      </c>
      <c r="F223" s="616" t="str">
        <f>IF($H223="","",IF(ISNA(MATCH($H223,$H$7:$H222,0)),1,0))</f>
        <v/>
      </c>
      <c r="G223" s="249"/>
      <c r="H223" s="95"/>
      <c r="I223" s="598" t="str">
        <f>IF($J223="","",INDEX(ﾏｽﾀ!$E$8:$E$124,MATCH(INDEX(ﾏｽﾀ!$N$8:$N$124,MATCH($J223,ﾏｽﾀ!$O$8:$O$124,0)),ﾏｽﾀ!$B$8:$B$124,0))&amp;"")</f>
        <v/>
      </c>
      <c r="J223" s="534"/>
      <c r="K223" s="598" t="str">
        <f>IF($J223="","",INDEX(ﾏｽﾀ!$G$8:$G$124,MATCH(INDEX(ﾏｽﾀ!$N$8:$N$124,MATCH($J223,ﾏｽﾀ!$O$8:$O$124,0)),ﾏｽﾀ!$B$8:$B$124,0))&amp;"")</f>
        <v/>
      </c>
      <c r="L223" s="600" t="str">
        <f>IF($M223="","",INDEX(ﾏｽﾀ!$T$8:$T$16,MATCH($M223,ﾏｽﾀ!$U$8:$U$16,0))&amp;"")</f>
        <v/>
      </c>
      <c r="M223" s="534"/>
      <c r="N223" s="463"/>
      <c r="O223" s="464"/>
      <c r="P223" s="465"/>
      <c r="Q223" s="466" t="str">
        <f t="shared" si="19"/>
        <v/>
      </c>
      <c r="R223" s="154" t="str">
        <f>IF($T223="","",VLOOKUP($T223,請求Data!$I$11:$AR$160,請求Data!$AL$10-請求Data!$H$10,0))</f>
        <v/>
      </c>
      <c r="S223" s="155" t="str">
        <f>IF($T223="","",VLOOKUP($T223,請求Data!$I$11:$AR$160,請求Data!$AM$10-請求Data!$H$10,0))</f>
        <v/>
      </c>
      <c r="T223" s="467" t="str">
        <f>IF(ISNA(MATCH($H223,請求Data!$AH$11:$AH$160,0)),"",VLOOKUP($H223,請求Data!$AH$11:$AR$160,請求Data!$AK$10-請求Data!$AG$10,0))</f>
        <v/>
      </c>
      <c r="U223" s="468"/>
      <c r="V223" s="58"/>
    </row>
    <row r="224" spans="1:22" ht="15" customHeight="1">
      <c r="A224" s="58" t="str">
        <f>IF($Q224="","",MAX($A$8:$A223)+1)</f>
        <v/>
      </c>
      <c r="B224" s="614" t="str">
        <f t="shared" si="15"/>
        <v/>
      </c>
      <c r="C224" s="614" t="str">
        <f t="shared" si="16"/>
        <v/>
      </c>
      <c r="D224" s="614" t="str">
        <f t="shared" si="17"/>
        <v/>
      </c>
      <c r="E224" s="615" t="str">
        <f t="shared" si="18"/>
        <v/>
      </c>
      <c r="F224" s="616" t="str">
        <f>IF($H224="","",IF(ISNA(MATCH($H224,$H$7:$H223,0)),1,0))</f>
        <v/>
      </c>
      <c r="G224" s="249"/>
      <c r="H224" s="95"/>
      <c r="I224" s="598" t="str">
        <f>IF($J224="","",INDEX(ﾏｽﾀ!$E$8:$E$124,MATCH(INDEX(ﾏｽﾀ!$N$8:$N$124,MATCH($J224,ﾏｽﾀ!$O$8:$O$124,0)),ﾏｽﾀ!$B$8:$B$124,0))&amp;"")</f>
        <v/>
      </c>
      <c r="J224" s="534"/>
      <c r="K224" s="598" t="str">
        <f>IF($J224="","",INDEX(ﾏｽﾀ!$G$8:$G$124,MATCH(INDEX(ﾏｽﾀ!$N$8:$N$124,MATCH($J224,ﾏｽﾀ!$O$8:$O$124,0)),ﾏｽﾀ!$B$8:$B$124,0))&amp;"")</f>
        <v/>
      </c>
      <c r="L224" s="600" t="str">
        <f>IF($M224="","",INDEX(ﾏｽﾀ!$T$8:$T$16,MATCH($M224,ﾏｽﾀ!$U$8:$U$16,0))&amp;"")</f>
        <v/>
      </c>
      <c r="M224" s="534"/>
      <c r="N224" s="463"/>
      <c r="O224" s="464"/>
      <c r="P224" s="465"/>
      <c r="Q224" s="466" t="str">
        <f t="shared" si="19"/>
        <v/>
      </c>
      <c r="R224" s="154" t="str">
        <f>IF($T224="","",VLOOKUP($T224,請求Data!$I$11:$AR$160,請求Data!$AL$10-請求Data!$H$10,0))</f>
        <v/>
      </c>
      <c r="S224" s="155" t="str">
        <f>IF($T224="","",VLOOKUP($T224,請求Data!$I$11:$AR$160,請求Data!$AM$10-請求Data!$H$10,0))</f>
        <v/>
      </c>
      <c r="T224" s="467" t="str">
        <f>IF(ISNA(MATCH($H224,請求Data!$AH$11:$AH$160,0)),"",VLOOKUP($H224,請求Data!$AH$11:$AR$160,請求Data!$AK$10-請求Data!$AG$10,0))</f>
        <v/>
      </c>
      <c r="U224" s="468"/>
      <c r="V224" s="58"/>
    </row>
    <row r="225" spans="1:22" ht="15" customHeight="1">
      <c r="A225" s="58" t="str">
        <f>IF($Q225="","",MAX($A$8:$A224)+1)</f>
        <v/>
      </c>
      <c r="B225" s="614" t="str">
        <f t="shared" si="15"/>
        <v/>
      </c>
      <c r="C225" s="614" t="str">
        <f t="shared" si="16"/>
        <v/>
      </c>
      <c r="D225" s="614" t="str">
        <f t="shared" si="17"/>
        <v/>
      </c>
      <c r="E225" s="615" t="str">
        <f t="shared" si="18"/>
        <v/>
      </c>
      <c r="F225" s="616" t="str">
        <f>IF($H225="","",IF(ISNA(MATCH($H225,$H$7:$H224,0)),1,0))</f>
        <v/>
      </c>
      <c r="G225" s="249"/>
      <c r="H225" s="95"/>
      <c r="I225" s="598" t="str">
        <f>IF($J225="","",INDEX(ﾏｽﾀ!$E$8:$E$124,MATCH(INDEX(ﾏｽﾀ!$N$8:$N$124,MATCH($J225,ﾏｽﾀ!$O$8:$O$124,0)),ﾏｽﾀ!$B$8:$B$124,0))&amp;"")</f>
        <v/>
      </c>
      <c r="J225" s="534"/>
      <c r="K225" s="598" t="str">
        <f>IF($J225="","",INDEX(ﾏｽﾀ!$G$8:$G$124,MATCH(INDEX(ﾏｽﾀ!$N$8:$N$124,MATCH($J225,ﾏｽﾀ!$O$8:$O$124,0)),ﾏｽﾀ!$B$8:$B$124,0))&amp;"")</f>
        <v/>
      </c>
      <c r="L225" s="600" t="str">
        <f>IF($M225="","",INDEX(ﾏｽﾀ!$T$8:$T$16,MATCH($M225,ﾏｽﾀ!$U$8:$U$16,0))&amp;"")</f>
        <v/>
      </c>
      <c r="M225" s="534"/>
      <c r="N225" s="463"/>
      <c r="O225" s="464"/>
      <c r="P225" s="465"/>
      <c r="Q225" s="466" t="str">
        <f t="shared" si="19"/>
        <v/>
      </c>
      <c r="R225" s="154" t="str">
        <f>IF($T225="","",VLOOKUP($T225,請求Data!$I$11:$AR$160,請求Data!$AL$10-請求Data!$H$10,0))</f>
        <v/>
      </c>
      <c r="S225" s="155" t="str">
        <f>IF($T225="","",VLOOKUP($T225,請求Data!$I$11:$AR$160,請求Data!$AM$10-請求Data!$H$10,0))</f>
        <v/>
      </c>
      <c r="T225" s="467" t="str">
        <f>IF(ISNA(MATCH($H225,請求Data!$AH$11:$AH$160,0)),"",VLOOKUP($H225,請求Data!$AH$11:$AR$160,請求Data!$AK$10-請求Data!$AG$10,0))</f>
        <v/>
      </c>
      <c r="U225" s="468"/>
      <c r="V225" s="58"/>
    </row>
    <row r="226" spans="1:22" ht="15" customHeight="1">
      <c r="A226" s="58" t="str">
        <f>IF($Q226="","",MAX($A$8:$A225)+1)</f>
        <v/>
      </c>
      <c r="B226" s="614" t="str">
        <f t="shared" si="15"/>
        <v/>
      </c>
      <c r="C226" s="614" t="str">
        <f t="shared" si="16"/>
        <v/>
      </c>
      <c r="D226" s="614" t="str">
        <f t="shared" si="17"/>
        <v/>
      </c>
      <c r="E226" s="615" t="str">
        <f t="shared" si="18"/>
        <v/>
      </c>
      <c r="F226" s="616" t="str">
        <f>IF($H226="","",IF(ISNA(MATCH($H226,$H$7:$H225,0)),1,0))</f>
        <v/>
      </c>
      <c r="G226" s="249"/>
      <c r="H226" s="95"/>
      <c r="I226" s="598" t="str">
        <f>IF($J226="","",INDEX(ﾏｽﾀ!$E$8:$E$124,MATCH(INDEX(ﾏｽﾀ!$N$8:$N$124,MATCH($J226,ﾏｽﾀ!$O$8:$O$124,0)),ﾏｽﾀ!$B$8:$B$124,0))&amp;"")</f>
        <v/>
      </c>
      <c r="J226" s="534"/>
      <c r="K226" s="598" t="str">
        <f>IF($J226="","",INDEX(ﾏｽﾀ!$G$8:$G$124,MATCH(INDEX(ﾏｽﾀ!$N$8:$N$124,MATCH($J226,ﾏｽﾀ!$O$8:$O$124,0)),ﾏｽﾀ!$B$8:$B$124,0))&amp;"")</f>
        <v/>
      </c>
      <c r="L226" s="600" t="str">
        <f>IF($M226="","",INDEX(ﾏｽﾀ!$T$8:$T$16,MATCH($M226,ﾏｽﾀ!$U$8:$U$16,0))&amp;"")</f>
        <v/>
      </c>
      <c r="M226" s="534"/>
      <c r="N226" s="463"/>
      <c r="O226" s="464"/>
      <c r="P226" s="465"/>
      <c r="Q226" s="466" t="str">
        <f t="shared" si="19"/>
        <v/>
      </c>
      <c r="R226" s="154" t="str">
        <f>IF($T226="","",VLOOKUP($T226,請求Data!$I$11:$AR$160,請求Data!$AL$10-請求Data!$H$10,0))</f>
        <v/>
      </c>
      <c r="S226" s="155" t="str">
        <f>IF($T226="","",VLOOKUP($T226,請求Data!$I$11:$AR$160,請求Data!$AM$10-請求Data!$H$10,0))</f>
        <v/>
      </c>
      <c r="T226" s="467" t="str">
        <f>IF(ISNA(MATCH($H226,請求Data!$AH$11:$AH$160,0)),"",VLOOKUP($H226,請求Data!$AH$11:$AR$160,請求Data!$AK$10-請求Data!$AG$10,0))</f>
        <v/>
      </c>
      <c r="U226" s="468"/>
      <c r="V226" s="58"/>
    </row>
    <row r="227" spans="1:22" ht="15" customHeight="1">
      <c r="A227" s="58" t="str">
        <f>IF($Q227="","",MAX($A$8:$A226)+1)</f>
        <v/>
      </c>
      <c r="B227" s="614" t="str">
        <f t="shared" si="15"/>
        <v/>
      </c>
      <c r="C227" s="614" t="str">
        <f t="shared" si="16"/>
        <v/>
      </c>
      <c r="D227" s="614" t="str">
        <f t="shared" si="17"/>
        <v/>
      </c>
      <c r="E227" s="615" t="str">
        <f t="shared" si="18"/>
        <v/>
      </c>
      <c r="F227" s="616" t="str">
        <f>IF($H227="","",IF(ISNA(MATCH($H227,$H$7:$H226,0)),1,0))</f>
        <v/>
      </c>
      <c r="G227" s="249"/>
      <c r="H227" s="95"/>
      <c r="I227" s="598" t="str">
        <f>IF($J227="","",INDEX(ﾏｽﾀ!$E$8:$E$124,MATCH(INDEX(ﾏｽﾀ!$N$8:$N$124,MATCH($J227,ﾏｽﾀ!$O$8:$O$124,0)),ﾏｽﾀ!$B$8:$B$124,0))&amp;"")</f>
        <v/>
      </c>
      <c r="J227" s="534"/>
      <c r="K227" s="598" t="str">
        <f>IF($J227="","",INDEX(ﾏｽﾀ!$G$8:$G$124,MATCH(INDEX(ﾏｽﾀ!$N$8:$N$124,MATCH($J227,ﾏｽﾀ!$O$8:$O$124,0)),ﾏｽﾀ!$B$8:$B$124,0))&amp;"")</f>
        <v/>
      </c>
      <c r="L227" s="600" t="str">
        <f>IF($M227="","",INDEX(ﾏｽﾀ!$T$8:$T$16,MATCH($M227,ﾏｽﾀ!$U$8:$U$16,0))&amp;"")</f>
        <v/>
      </c>
      <c r="M227" s="534"/>
      <c r="N227" s="463"/>
      <c r="O227" s="464"/>
      <c r="P227" s="465"/>
      <c r="Q227" s="466" t="str">
        <f t="shared" si="19"/>
        <v/>
      </c>
      <c r="R227" s="154" t="str">
        <f>IF($T227="","",VLOOKUP($T227,請求Data!$I$11:$AR$160,請求Data!$AL$10-請求Data!$H$10,0))</f>
        <v/>
      </c>
      <c r="S227" s="155" t="str">
        <f>IF($T227="","",VLOOKUP($T227,請求Data!$I$11:$AR$160,請求Data!$AM$10-請求Data!$H$10,0))</f>
        <v/>
      </c>
      <c r="T227" s="467" t="str">
        <f>IF(ISNA(MATCH($H227,請求Data!$AH$11:$AH$160,0)),"",VLOOKUP($H227,請求Data!$AH$11:$AR$160,請求Data!$AK$10-請求Data!$AG$10,0))</f>
        <v/>
      </c>
      <c r="U227" s="468"/>
      <c r="V227" s="58"/>
    </row>
    <row r="228" spans="1:22" ht="15" customHeight="1">
      <c r="A228" s="58" t="str">
        <f>IF($Q228="","",MAX($A$8:$A227)+1)</f>
        <v/>
      </c>
      <c r="B228" s="614" t="str">
        <f t="shared" si="15"/>
        <v/>
      </c>
      <c r="C228" s="614" t="str">
        <f t="shared" si="16"/>
        <v/>
      </c>
      <c r="D228" s="614" t="str">
        <f t="shared" si="17"/>
        <v/>
      </c>
      <c r="E228" s="615" t="str">
        <f t="shared" si="18"/>
        <v/>
      </c>
      <c r="F228" s="616" t="str">
        <f>IF($H228="","",IF(ISNA(MATCH($H228,$H$7:$H227,0)),1,0))</f>
        <v/>
      </c>
      <c r="G228" s="249"/>
      <c r="H228" s="95"/>
      <c r="I228" s="598" t="str">
        <f>IF($J228="","",INDEX(ﾏｽﾀ!$E$8:$E$124,MATCH(INDEX(ﾏｽﾀ!$N$8:$N$124,MATCH($J228,ﾏｽﾀ!$O$8:$O$124,0)),ﾏｽﾀ!$B$8:$B$124,0))&amp;"")</f>
        <v/>
      </c>
      <c r="J228" s="534"/>
      <c r="K228" s="598" t="str">
        <f>IF($J228="","",INDEX(ﾏｽﾀ!$G$8:$G$124,MATCH(INDEX(ﾏｽﾀ!$N$8:$N$124,MATCH($J228,ﾏｽﾀ!$O$8:$O$124,0)),ﾏｽﾀ!$B$8:$B$124,0))&amp;"")</f>
        <v/>
      </c>
      <c r="L228" s="600" t="str">
        <f>IF($M228="","",INDEX(ﾏｽﾀ!$T$8:$T$16,MATCH($M228,ﾏｽﾀ!$U$8:$U$16,0))&amp;"")</f>
        <v/>
      </c>
      <c r="M228" s="534"/>
      <c r="N228" s="463"/>
      <c r="O228" s="464"/>
      <c r="P228" s="465"/>
      <c r="Q228" s="466" t="str">
        <f t="shared" si="19"/>
        <v/>
      </c>
      <c r="R228" s="154" t="str">
        <f>IF($T228="","",VLOOKUP($T228,請求Data!$I$11:$AR$160,請求Data!$AL$10-請求Data!$H$10,0))</f>
        <v/>
      </c>
      <c r="S228" s="155" t="str">
        <f>IF($T228="","",VLOOKUP($T228,請求Data!$I$11:$AR$160,請求Data!$AM$10-請求Data!$H$10,0))</f>
        <v/>
      </c>
      <c r="T228" s="467" t="str">
        <f>IF(ISNA(MATCH($H228,請求Data!$AH$11:$AH$160,0)),"",VLOOKUP($H228,請求Data!$AH$11:$AR$160,請求Data!$AK$10-請求Data!$AG$10,0))</f>
        <v/>
      </c>
      <c r="U228" s="468"/>
      <c r="V228" s="58"/>
    </row>
    <row r="229" spans="1:22" ht="15" customHeight="1">
      <c r="A229" s="58" t="str">
        <f>IF($Q229="","",MAX($A$8:$A228)+1)</f>
        <v/>
      </c>
      <c r="B229" s="614" t="str">
        <f t="shared" si="15"/>
        <v/>
      </c>
      <c r="C229" s="614" t="str">
        <f t="shared" si="16"/>
        <v/>
      </c>
      <c r="D229" s="614" t="str">
        <f t="shared" si="17"/>
        <v/>
      </c>
      <c r="E229" s="615" t="str">
        <f t="shared" si="18"/>
        <v/>
      </c>
      <c r="F229" s="616" t="str">
        <f>IF($H229="","",IF(ISNA(MATCH($H229,$H$7:$H227,0)),1,0))</f>
        <v/>
      </c>
      <c r="G229" s="249"/>
      <c r="H229" s="95"/>
      <c r="I229" s="598" t="str">
        <f>IF($J229="","",INDEX(ﾏｽﾀ!$E$8:$E$124,MATCH(INDEX(ﾏｽﾀ!$N$8:$N$124,MATCH($J229,ﾏｽﾀ!$O$8:$O$124,0)),ﾏｽﾀ!$B$8:$B$124,0))&amp;"")</f>
        <v/>
      </c>
      <c r="J229" s="534"/>
      <c r="K229" s="598" t="str">
        <f>IF($J229="","",INDEX(ﾏｽﾀ!$G$8:$G$124,MATCH(INDEX(ﾏｽﾀ!$N$8:$N$124,MATCH($J229,ﾏｽﾀ!$O$8:$O$124,0)),ﾏｽﾀ!$B$8:$B$124,0))&amp;"")</f>
        <v/>
      </c>
      <c r="L229" s="600" t="str">
        <f>IF($M229="","",INDEX(ﾏｽﾀ!$T$8:$T$16,MATCH($M229,ﾏｽﾀ!$U$8:$U$16,0))&amp;"")</f>
        <v/>
      </c>
      <c r="M229" s="534"/>
      <c r="N229" s="463"/>
      <c r="O229" s="464"/>
      <c r="P229" s="465"/>
      <c r="Q229" s="466" t="str">
        <f t="shared" si="19"/>
        <v/>
      </c>
      <c r="R229" s="154" t="str">
        <f>IF($T229="","",VLOOKUP($T229,請求Data!$I$11:$AR$160,請求Data!$AL$10-請求Data!$H$10,0))</f>
        <v/>
      </c>
      <c r="S229" s="155" t="str">
        <f>IF($T229="","",VLOOKUP($T229,請求Data!$I$11:$AR$160,請求Data!$AM$10-請求Data!$H$10,0))</f>
        <v/>
      </c>
      <c r="T229" s="467" t="str">
        <f>IF(ISNA(MATCH($H229,請求Data!$AH$11:$AH$160,0)),"",VLOOKUP($H229,請求Data!$AH$11:$AR$160,請求Data!$AK$10-請求Data!$AG$10,0))</f>
        <v/>
      </c>
      <c r="U229" s="468"/>
      <c r="V229" s="58"/>
    </row>
    <row r="230" spans="1:22" ht="15" customHeight="1">
      <c r="A230" s="58" t="str">
        <f>IF($Q230="","",MAX($A$8:$A229)+1)</f>
        <v/>
      </c>
      <c r="B230" s="614" t="str">
        <f t="shared" si="15"/>
        <v/>
      </c>
      <c r="C230" s="614" t="str">
        <f t="shared" si="16"/>
        <v/>
      </c>
      <c r="D230" s="614" t="str">
        <f t="shared" si="17"/>
        <v/>
      </c>
      <c r="E230" s="615" t="str">
        <f t="shared" si="18"/>
        <v/>
      </c>
      <c r="F230" s="616" t="str">
        <f>IF($H230="","",IF(ISNA(MATCH($H230,$H$7:$H228,0)),1,0))</f>
        <v/>
      </c>
      <c r="G230" s="249"/>
      <c r="H230" s="95"/>
      <c r="I230" s="598" t="str">
        <f>IF($J230="","",INDEX(ﾏｽﾀ!$E$8:$E$124,MATCH(INDEX(ﾏｽﾀ!$N$8:$N$124,MATCH($J230,ﾏｽﾀ!$O$8:$O$124,0)),ﾏｽﾀ!$B$8:$B$124,0))&amp;"")</f>
        <v/>
      </c>
      <c r="J230" s="534"/>
      <c r="K230" s="598" t="str">
        <f>IF($J230="","",INDEX(ﾏｽﾀ!$G$8:$G$124,MATCH(INDEX(ﾏｽﾀ!$N$8:$N$124,MATCH($J230,ﾏｽﾀ!$O$8:$O$124,0)),ﾏｽﾀ!$B$8:$B$124,0))&amp;"")</f>
        <v/>
      </c>
      <c r="L230" s="600" t="str">
        <f>IF($M230="","",INDEX(ﾏｽﾀ!$T$8:$T$16,MATCH($M230,ﾏｽﾀ!$U$8:$U$16,0))&amp;"")</f>
        <v/>
      </c>
      <c r="M230" s="534"/>
      <c r="N230" s="463"/>
      <c r="O230" s="464"/>
      <c r="P230" s="465"/>
      <c r="Q230" s="466" t="str">
        <f t="shared" si="19"/>
        <v/>
      </c>
      <c r="R230" s="154" t="str">
        <f>IF($T230="","",VLOOKUP($T230,請求Data!$I$11:$AR$160,請求Data!$AL$10-請求Data!$H$10,0))</f>
        <v/>
      </c>
      <c r="S230" s="155" t="str">
        <f>IF($T230="","",VLOOKUP($T230,請求Data!$I$11:$AR$160,請求Data!$AM$10-請求Data!$H$10,0))</f>
        <v/>
      </c>
      <c r="T230" s="467" t="str">
        <f>IF(ISNA(MATCH($H230,請求Data!$AH$11:$AH$160,0)),"",VLOOKUP($H230,請求Data!$AH$11:$AR$160,請求Data!$AK$10-請求Data!$AG$10,0))</f>
        <v/>
      </c>
      <c r="U230" s="468"/>
      <c r="V230" s="58"/>
    </row>
    <row r="231" spans="1:22" ht="15" customHeight="1">
      <c r="A231" s="58" t="str">
        <f>IF($Q231="","",MAX($A$8:$A230)+1)</f>
        <v/>
      </c>
      <c r="B231" s="614" t="str">
        <f t="shared" si="15"/>
        <v/>
      </c>
      <c r="C231" s="614" t="str">
        <f t="shared" si="16"/>
        <v/>
      </c>
      <c r="D231" s="614" t="str">
        <f t="shared" si="17"/>
        <v/>
      </c>
      <c r="E231" s="615" t="str">
        <f t="shared" si="18"/>
        <v/>
      </c>
      <c r="F231" s="616" t="str">
        <f>IF($H231="","",IF(ISNA(MATCH($H231,$H$7:$H230,0)),1,0))</f>
        <v/>
      </c>
      <c r="G231" s="249"/>
      <c r="H231" s="95"/>
      <c r="I231" s="598" t="str">
        <f>IF($J231="","",INDEX(ﾏｽﾀ!$E$8:$E$124,MATCH(INDEX(ﾏｽﾀ!$N$8:$N$124,MATCH($J231,ﾏｽﾀ!$O$8:$O$124,0)),ﾏｽﾀ!$B$8:$B$124,0))&amp;"")</f>
        <v/>
      </c>
      <c r="J231" s="534"/>
      <c r="K231" s="598" t="str">
        <f>IF($J231="","",INDEX(ﾏｽﾀ!$G$8:$G$124,MATCH(INDEX(ﾏｽﾀ!$N$8:$N$124,MATCH($J231,ﾏｽﾀ!$O$8:$O$124,0)),ﾏｽﾀ!$B$8:$B$124,0))&amp;"")</f>
        <v/>
      </c>
      <c r="L231" s="600" t="str">
        <f>IF($M231="","",INDEX(ﾏｽﾀ!$T$8:$T$16,MATCH($M231,ﾏｽﾀ!$U$8:$U$16,0))&amp;"")</f>
        <v/>
      </c>
      <c r="M231" s="534"/>
      <c r="N231" s="463"/>
      <c r="O231" s="464"/>
      <c r="P231" s="465"/>
      <c r="Q231" s="466" t="str">
        <f t="shared" si="19"/>
        <v/>
      </c>
      <c r="R231" s="154" t="str">
        <f>IF($T231="","",VLOOKUP($T231,請求Data!$I$11:$AR$160,請求Data!$AL$10-請求Data!$H$10,0))</f>
        <v/>
      </c>
      <c r="S231" s="155" t="str">
        <f>IF($T231="","",VLOOKUP($T231,請求Data!$I$11:$AR$160,請求Data!$AM$10-請求Data!$H$10,0))</f>
        <v/>
      </c>
      <c r="T231" s="467" t="str">
        <f>IF(ISNA(MATCH($H231,請求Data!$AH$11:$AH$160,0)),"",VLOOKUP($H231,請求Data!$AH$11:$AR$160,請求Data!$AK$10-請求Data!$AG$10,0))</f>
        <v/>
      </c>
      <c r="U231" s="468"/>
      <c r="V231" s="58"/>
    </row>
    <row r="232" spans="1:22" ht="15" customHeight="1">
      <c r="A232" s="58" t="str">
        <f>IF($Q232="","",MAX($A$8:$A231)+1)</f>
        <v/>
      </c>
      <c r="B232" s="614" t="str">
        <f t="shared" si="15"/>
        <v/>
      </c>
      <c r="C232" s="614" t="str">
        <f t="shared" si="16"/>
        <v/>
      </c>
      <c r="D232" s="614" t="str">
        <f t="shared" si="17"/>
        <v/>
      </c>
      <c r="E232" s="615" t="str">
        <f t="shared" si="18"/>
        <v/>
      </c>
      <c r="F232" s="616" t="str">
        <f>IF($H232="","",IF(ISNA(MATCH($H232,$H$7:$H231,0)),1,0))</f>
        <v/>
      </c>
      <c r="G232" s="249"/>
      <c r="H232" s="95"/>
      <c r="I232" s="598" t="str">
        <f>IF($J232="","",INDEX(ﾏｽﾀ!$E$8:$E$124,MATCH(INDEX(ﾏｽﾀ!$N$8:$N$124,MATCH($J232,ﾏｽﾀ!$O$8:$O$124,0)),ﾏｽﾀ!$B$8:$B$124,0))&amp;"")</f>
        <v/>
      </c>
      <c r="J232" s="534"/>
      <c r="K232" s="598" t="str">
        <f>IF($J232="","",INDEX(ﾏｽﾀ!$G$8:$G$124,MATCH(INDEX(ﾏｽﾀ!$N$8:$N$124,MATCH($J232,ﾏｽﾀ!$O$8:$O$124,0)),ﾏｽﾀ!$B$8:$B$124,0))&amp;"")</f>
        <v/>
      </c>
      <c r="L232" s="600" t="str">
        <f>IF($M232="","",INDEX(ﾏｽﾀ!$T$8:$T$16,MATCH($M232,ﾏｽﾀ!$U$8:$U$16,0))&amp;"")</f>
        <v/>
      </c>
      <c r="M232" s="534"/>
      <c r="N232" s="463"/>
      <c r="O232" s="464"/>
      <c r="P232" s="465"/>
      <c r="Q232" s="466" t="str">
        <f t="shared" si="19"/>
        <v/>
      </c>
      <c r="R232" s="154" t="str">
        <f>IF($T232="","",VLOOKUP($T232,請求Data!$I$11:$AR$160,請求Data!$AL$10-請求Data!$H$10,0))</f>
        <v/>
      </c>
      <c r="S232" s="155" t="str">
        <f>IF($T232="","",VLOOKUP($T232,請求Data!$I$11:$AR$160,請求Data!$AM$10-請求Data!$H$10,0))</f>
        <v/>
      </c>
      <c r="T232" s="467" t="str">
        <f>IF(ISNA(MATCH($H232,請求Data!$AH$11:$AH$160,0)),"",VLOOKUP($H232,請求Data!$AH$11:$AR$160,請求Data!$AK$10-請求Data!$AG$10,0))</f>
        <v/>
      </c>
      <c r="U232" s="468"/>
      <c r="V232" s="58"/>
    </row>
    <row r="233" spans="1:22" ht="15" customHeight="1">
      <c r="A233" s="58" t="str">
        <f>IF($Q233="","",MAX($A$8:$A232)+1)</f>
        <v/>
      </c>
      <c r="B233" s="614" t="str">
        <f t="shared" si="15"/>
        <v/>
      </c>
      <c r="C233" s="614" t="str">
        <f t="shared" si="16"/>
        <v/>
      </c>
      <c r="D233" s="614" t="str">
        <f t="shared" si="17"/>
        <v/>
      </c>
      <c r="E233" s="615" t="str">
        <f t="shared" si="18"/>
        <v/>
      </c>
      <c r="F233" s="616" t="str">
        <f>IF($H233="","",IF(ISNA(MATCH($H233,$H$7:$H232,0)),1,0))</f>
        <v/>
      </c>
      <c r="G233" s="249"/>
      <c r="H233" s="95"/>
      <c r="I233" s="598" t="str">
        <f>IF($J233="","",INDEX(ﾏｽﾀ!$E$8:$E$124,MATCH(INDEX(ﾏｽﾀ!$N$8:$N$124,MATCH($J233,ﾏｽﾀ!$O$8:$O$124,0)),ﾏｽﾀ!$B$8:$B$124,0))&amp;"")</f>
        <v/>
      </c>
      <c r="J233" s="534"/>
      <c r="K233" s="598" t="str">
        <f>IF($J233="","",INDEX(ﾏｽﾀ!$G$8:$G$124,MATCH(INDEX(ﾏｽﾀ!$N$8:$N$124,MATCH($J233,ﾏｽﾀ!$O$8:$O$124,0)),ﾏｽﾀ!$B$8:$B$124,0))&amp;"")</f>
        <v/>
      </c>
      <c r="L233" s="600" t="str">
        <f>IF($M233="","",INDEX(ﾏｽﾀ!$T$8:$T$16,MATCH($M233,ﾏｽﾀ!$U$8:$U$16,0))&amp;"")</f>
        <v/>
      </c>
      <c r="M233" s="534"/>
      <c r="N233" s="463"/>
      <c r="O233" s="464"/>
      <c r="P233" s="465"/>
      <c r="Q233" s="466" t="str">
        <f t="shared" si="19"/>
        <v/>
      </c>
      <c r="R233" s="154" t="str">
        <f>IF($T233="","",VLOOKUP($T233,請求Data!$I$11:$AR$160,請求Data!$AL$10-請求Data!$H$10,0))</f>
        <v/>
      </c>
      <c r="S233" s="155" t="str">
        <f>IF($T233="","",VLOOKUP($T233,請求Data!$I$11:$AR$160,請求Data!$AM$10-請求Data!$H$10,0))</f>
        <v/>
      </c>
      <c r="T233" s="467" t="str">
        <f>IF(ISNA(MATCH($H233,請求Data!$AH$11:$AH$160,0)),"",VLOOKUP($H233,請求Data!$AH$11:$AR$160,請求Data!$AK$10-請求Data!$AG$10,0))</f>
        <v/>
      </c>
      <c r="U233" s="468"/>
      <c r="V233" s="58"/>
    </row>
    <row r="234" spans="1:22" ht="15" customHeight="1">
      <c r="A234" s="58" t="str">
        <f>IF($Q234="","",MAX($A$8:$A233)+1)</f>
        <v/>
      </c>
      <c r="B234" s="614" t="str">
        <f t="shared" si="15"/>
        <v/>
      </c>
      <c r="C234" s="614" t="str">
        <f t="shared" si="16"/>
        <v/>
      </c>
      <c r="D234" s="614" t="str">
        <f t="shared" si="17"/>
        <v/>
      </c>
      <c r="E234" s="615" t="str">
        <f t="shared" si="18"/>
        <v/>
      </c>
      <c r="F234" s="616" t="str">
        <f>IF($H234="","",IF(ISNA(MATCH($H234,$H$7:$H233,0)),1,0))</f>
        <v/>
      </c>
      <c r="G234" s="249"/>
      <c r="H234" s="95"/>
      <c r="I234" s="598" t="str">
        <f>IF($J234="","",INDEX(ﾏｽﾀ!$E$8:$E$124,MATCH(INDEX(ﾏｽﾀ!$N$8:$N$124,MATCH($J234,ﾏｽﾀ!$O$8:$O$124,0)),ﾏｽﾀ!$B$8:$B$124,0))&amp;"")</f>
        <v/>
      </c>
      <c r="J234" s="534"/>
      <c r="K234" s="598" t="str">
        <f>IF($J234="","",INDEX(ﾏｽﾀ!$G$8:$G$124,MATCH(INDEX(ﾏｽﾀ!$N$8:$N$124,MATCH($J234,ﾏｽﾀ!$O$8:$O$124,0)),ﾏｽﾀ!$B$8:$B$124,0))&amp;"")</f>
        <v/>
      </c>
      <c r="L234" s="600" t="str">
        <f>IF($M234="","",INDEX(ﾏｽﾀ!$T$8:$T$16,MATCH($M234,ﾏｽﾀ!$U$8:$U$16,0))&amp;"")</f>
        <v/>
      </c>
      <c r="M234" s="534"/>
      <c r="N234" s="463"/>
      <c r="O234" s="464"/>
      <c r="P234" s="465"/>
      <c r="Q234" s="466" t="str">
        <f t="shared" si="19"/>
        <v/>
      </c>
      <c r="R234" s="154" t="str">
        <f>IF($T234="","",VLOOKUP($T234,請求Data!$I$11:$AR$160,請求Data!$AL$10-請求Data!$H$10,0))</f>
        <v/>
      </c>
      <c r="S234" s="155" t="str">
        <f>IF($T234="","",VLOOKUP($T234,請求Data!$I$11:$AR$160,請求Data!$AM$10-請求Data!$H$10,0))</f>
        <v/>
      </c>
      <c r="T234" s="467" t="str">
        <f>IF(ISNA(MATCH($H234,請求Data!$AH$11:$AH$160,0)),"",VLOOKUP($H234,請求Data!$AH$11:$AR$160,請求Data!$AK$10-請求Data!$AG$10,0))</f>
        <v/>
      </c>
      <c r="U234" s="468"/>
      <c r="V234" s="58"/>
    </row>
    <row r="235" spans="1:22" ht="15" customHeight="1">
      <c r="A235" s="58" t="str">
        <f>IF($Q235="","",MAX($A$8:$A234)+1)</f>
        <v/>
      </c>
      <c r="B235" s="614" t="str">
        <f t="shared" si="15"/>
        <v/>
      </c>
      <c r="C235" s="614" t="str">
        <f t="shared" si="16"/>
        <v/>
      </c>
      <c r="D235" s="614" t="str">
        <f t="shared" si="17"/>
        <v/>
      </c>
      <c r="E235" s="615" t="str">
        <f t="shared" si="18"/>
        <v/>
      </c>
      <c r="F235" s="616" t="str">
        <f>IF($H235="","",IF(ISNA(MATCH($H235,$H$7:$H234,0)),1,0))</f>
        <v/>
      </c>
      <c r="G235" s="249"/>
      <c r="H235" s="95"/>
      <c r="I235" s="598" t="str">
        <f>IF($J235="","",INDEX(ﾏｽﾀ!$E$8:$E$124,MATCH(INDEX(ﾏｽﾀ!$N$8:$N$124,MATCH($J235,ﾏｽﾀ!$O$8:$O$124,0)),ﾏｽﾀ!$B$8:$B$124,0))&amp;"")</f>
        <v/>
      </c>
      <c r="J235" s="534"/>
      <c r="K235" s="598" t="str">
        <f>IF($J235="","",INDEX(ﾏｽﾀ!$G$8:$G$124,MATCH(INDEX(ﾏｽﾀ!$N$8:$N$124,MATCH($J235,ﾏｽﾀ!$O$8:$O$124,0)),ﾏｽﾀ!$B$8:$B$124,0))&amp;"")</f>
        <v/>
      </c>
      <c r="L235" s="600" t="str">
        <f>IF($M235="","",INDEX(ﾏｽﾀ!$T$8:$T$16,MATCH($M235,ﾏｽﾀ!$U$8:$U$16,0))&amp;"")</f>
        <v/>
      </c>
      <c r="M235" s="534"/>
      <c r="N235" s="463"/>
      <c r="O235" s="464"/>
      <c r="P235" s="465"/>
      <c r="Q235" s="466" t="str">
        <f t="shared" si="19"/>
        <v/>
      </c>
      <c r="R235" s="154" t="str">
        <f>IF($T235="","",VLOOKUP($T235,請求Data!$I$11:$AR$160,請求Data!$AL$10-請求Data!$H$10,0))</f>
        <v/>
      </c>
      <c r="S235" s="155" t="str">
        <f>IF($T235="","",VLOOKUP($T235,請求Data!$I$11:$AR$160,請求Data!$AM$10-請求Data!$H$10,0))</f>
        <v/>
      </c>
      <c r="T235" s="467" t="str">
        <f>IF(ISNA(MATCH($H235,請求Data!$AH$11:$AH$160,0)),"",VLOOKUP($H235,請求Data!$AH$11:$AR$160,請求Data!$AK$10-請求Data!$AG$10,0))</f>
        <v/>
      </c>
      <c r="U235" s="468"/>
      <c r="V235" s="58"/>
    </row>
    <row r="236" spans="1:22" ht="15" customHeight="1">
      <c r="A236" s="58" t="str">
        <f>IF($Q236="","",MAX($A$8:$A235)+1)</f>
        <v/>
      </c>
      <c r="B236" s="614" t="str">
        <f t="shared" si="15"/>
        <v/>
      </c>
      <c r="C236" s="614" t="str">
        <f t="shared" si="16"/>
        <v/>
      </c>
      <c r="D236" s="614" t="str">
        <f t="shared" si="17"/>
        <v/>
      </c>
      <c r="E236" s="615" t="str">
        <f t="shared" si="18"/>
        <v/>
      </c>
      <c r="F236" s="616" t="str">
        <f>IF($H236="","",IF(ISNA(MATCH($H236,$H$7:$H235,0)),1,0))</f>
        <v/>
      </c>
      <c r="G236" s="249"/>
      <c r="H236" s="95"/>
      <c r="I236" s="598" t="str">
        <f>IF($J236="","",INDEX(ﾏｽﾀ!$E$8:$E$124,MATCH(INDEX(ﾏｽﾀ!$N$8:$N$124,MATCH($J236,ﾏｽﾀ!$O$8:$O$124,0)),ﾏｽﾀ!$B$8:$B$124,0))&amp;"")</f>
        <v/>
      </c>
      <c r="J236" s="534"/>
      <c r="K236" s="598" t="str">
        <f>IF($J236="","",INDEX(ﾏｽﾀ!$G$8:$G$124,MATCH(INDEX(ﾏｽﾀ!$N$8:$N$124,MATCH($J236,ﾏｽﾀ!$O$8:$O$124,0)),ﾏｽﾀ!$B$8:$B$124,0))&amp;"")</f>
        <v/>
      </c>
      <c r="L236" s="600" t="str">
        <f>IF($M236="","",INDEX(ﾏｽﾀ!$T$8:$T$16,MATCH($M236,ﾏｽﾀ!$U$8:$U$16,0))&amp;"")</f>
        <v/>
      </c>
      <c r="M236" s="534"/>
      <c r="N236" s="463"/>
      <c r="O236" s="464"/>
      <c r="P236" s="465"/>
      <c r="Q236" s="466" t="str">
        <f t="shared" si="19"/>
        <v/>
      </c>
      <c r="R236" s="154" t="str">
        <f>IF($T236="","",VLOOKUP($T236,請求Data!$I$11:$AR$160,請求Data!$AL$10-請求Data!$H$10,0))</f>
        <v/>
      </c>
      <c r="S236" s="155" t="str">
        <f>IF($T236="","",VLOOKUP($T236,請求Data!$I$11:$AR$160,請求Data!$AM$10-請求Data!$H$10,0))</f>
        <v/>
      </c>
      <c r="T236" s="467" t="str">
        <f>IF(ISNA(MATCH($H236,請求Data!$AH$11:$AH$160,0)),"",VLOOKUP($H236,請求Data!$AH$11:$AR$160,請求Data!$AK$10-請求Data!$AG$10,0))</f>
        <v/>
      </c>
      <c r="U236" s="468"/>
      <c r="V236" s="58"/>
    </row>
    <row r="237" spans="1:22" ht="15" customHeight="1">
      <c r="A237" s="58" t="str">
        <f>IF($Q237="","",MAX($A$8:$A236)+1)</f>
        <v/>
      </c>
      <c r="B237" s="614" t="str">
        <f>LEFT($D237,8)</f>
        <v/>
      </c>
      <c r="C237" s="614" t="str">
        <f t="shared" si="16"/>
        <v/>
      </c>
      <c r="D237" s="614" t="str">
        <f t="shared" si="17"/>
        <v/>
      </c>
      <c r="E237" s="615" t="str">
        <f t="shared" si="18"/>
        <v/>
      </c>
      <c r="F237" s="616" t="str">
        <f>IF($H237="","",IF(ISNA(MATCH($H237,$H$7:$H236,0)),1,0))</f>
        <v/>
      </c>
      <c r="G237" s="249"/>
      <c r="H237" s="95"/>
      <c r="I237" s="598" t="str">
        <f>IF($J237="","",INDEX(ﾏｽﾀ!$E$8:$E$124,MATCH(INDEX(ﾏｽﾀ!$N$8:$N$124,MATCH($J237,ﾏｽﾀ!$O$8:$O$124,0)),ﾏｽﾀ!$B$8:$B$124,0))&amp;"")</f>
        <v/>
      </c>
      <c r="J237" s="534"/>
      <c r="K237" s="598" t="str">
        <f>IF($J237="","",INDEX(ﾏｽﾀ!$G$8:$G$124,MATCH(INDEX(ﾏｽﾀ!$N$8:$N$124,MATCH($J237,ﾏｽﾀ!$O$8:$O$124,0)),ﾏｽﾀ!$B$8:$B$124,0))&amp;"")</f>
        <v/>
      </c>
      <c r="L237" s="600" t="str">
        <f>IF($M237="","",INDEX(ﾏｽﾀ!$T$8:$T$16,MATCH($M237,ﾏｽﾀ!$U$8:$U$16,0))&amp;"")</f>
        <v/>
      </c>
      <c r="M237" s="534"/>
      <c r="N237" s="463"/>
      <c r="O237" s="464"/>
      <c r="P237" s="465"/>
      <c r="Q237" s="466" t="str">
        <f t="shared" si="19"/>
        <v/>
      </c>
      <c r="R237" s="154" t="str">
        <f>IF($T237="","",VLOOKUP($T237,請求Data!$I$11:$AR$160,請求Data!$AL$10-請求Data!$H$10,0))</f>
        <v/>
      </c>
      <c r="S237" s="155" t="str">
        <f>IF($T237="","",VLOOKUP($T237,請求Data!$I$11:$AR$160,請求Data!$AM$10-請求Data!$H$10,0))</f>
        <v/>
      </c>
      <c r="T237" s="467" t="str">
        <f>IF(ISNA(MATCH($H237,請求Data!$AH$11:$AH$160,0)),"",VLOOKUP($H237,請求Data!$AH$11:$AR$160,請求Data!$AK$10-請求Data!$AG$10,0))</f>
        <v/>
      </c>
      <c r="U237" s="468"/>
      <c r="V237" s="58"/>
    </row>
    <row r="238" spans="1:22" ht="15" customHeight="1">
      <c r="A238" s="58" t="str">
        <f>IF($Q238="","",MAX($A$8:$A237)+1)</f>
        <v/>
      </c>
      <c r="B238" s="614" t="str">
        <f t="shared" ref="B238:B297" si="20">LEFT($D238,8)</f>
        <v/>
      </c>
      <c r="C238" s="614" t="str">
        <f t="shared" si="16"/>
        <v/>
      </c>
      <c r="D238" s="614" t="str">
        <f t="shared" si="17"/>
        <v/>
      </c>
      <c r="E238" s="615" t="str">
        <f t="shared" si="18"/>
        <v/>
      </c>
      <c r="F238" s="616" t="str">
        <f>IF($H238="","",IF(ISNA(MATCH($H238,$H$7:$H237,0)),1,0))</f>
        <v/>
      </c>
      <c r="G238" s="249"/>
      <c r="H238" s="95"/>
      <c r="I238" s="598" t="str">
        <f>IF($J238="","",INDEX(ﾏｽﾀ!$E$8:$E$124,MATCH(INDEX(ﾏｽﾀ!$N$8:$N$124,MATCH($J238,ﾏｽﾀ!$O$8:$O$124,0)),ﾏｽﾀ!$B$8:$B$124,0))&amp;"")</f>
        <v/>
      </c>
      <c r="J238" s="534"/>
      <c r="K238" s="598" t="str">
        <f>IF($J238="","",INDEX(ﾏｽﾀ!$G$8:$G$124,MATCH(INDEX(ﾏｽﾀ!$N$8:$N$124,MATCH($J238,ﾏｽﾀ!$O$8:$O$124,0)),ﾏｽﾀ!$B$8:$B$124,0))&amp;"")</f>
        <v/>
      </c>
      <c r="L238" s="600" t="str">
        <f>IF($M238="","",INDEX(ﾏｽﾀ!$T$8:$T$16,MATCH($M238,ﾏｽﾀ!$U$8:$U$16,0))&amp;"")</f>
        <v/>
      </c>
      <c r="M238" s="534"/>
      <c r="N238" s="463"/>
      <c r="O238" s="464"/>
      <c r="P238" s="465"/>
      <c r="Q238" s="466" t="str">
        <f t="shared" si="19"/>
        <v/>
      </c>
      <c r="R238" s="154" t="str">
        <f>IF($T238="","",VLOOKUP($T238,請求Data!$I$11:$AR$160,請求Data!$AL$10-請求Data!$H$10,0))</f>
        <v/>
      </c>
      <c r="S238" s="155" t="str">
        <f>IF($T238="","",VLOOKUP($T238,請求Data!$I$11:$AR$160,請求Data!$AM$10-請求Data!$H$10,0))</f>
        <v/>
      </c>
      <c r="T238" s="467" t="str">
        <f>IF(ISNA(MATCH($H238,請求Data!$AH$11:$AH$160,0)),"",VLOOKUP($H238,請求Data!$AH$11:$AR$160,請求Data!$AK$10-請求Data!$AG$10,0))</f>
        <v/>
      </c>
      <c r="U238" s="468"/>
      <c r="V238" s="58"/>
    </row>
    <row r="239" spans="1:22" ht="15" customHeight="1">
      <c r="A239" s="58" t="str">
        <f>IF($Q239="","",MAX($A$8:$A238)+1)</f>
        <v/>
      </c>
      <c r="B239" s="614" t="str">
        <f t="shared" si="20"/>
        <v/>
      </c>
      <c r="C239" s="614" t="str">
        <f t="shared" si="16"/>
        <v/>
      </c>
      <c r="D239" s="614" t="str">
        <f t="shared" si="17"/>
        <v/>
      </c>
      <c r="E239" s="615" t="str">
        <f t="shared" si="18"/>
        <v/>
      </c>
      <c r="F239" s="616" t="str">
        <f>IF($H239="","",IF(ISNA(MATCH($H239,$H$7:$H238,0)),1,0))</f>
        <v/>
      </c>
      <c r="G239" s="249"/>
      <c r="H239" s="95"/>
      <c r="I239" s="598" t="str">
        <f>IF($J239="","",INDEX(ﾏｽﾀ!$E$8:$E$124,MATCH(INDEX(ﾏｽﾀ!$N$8:$N$124,MATCH($J239,ﾏｽﾀ!$O$8:$O$124,0)),ﾏｽﾀ!$B$8:$B$124,0))&amp;"")</f>
        <v/>
      </c>
      <c r="J239" s="534"/>
      <c r="K239" s="598" t="str">
        <f>IF($J239="","",INDEX(ﾏｽﾀ!$G$8:$G$124,MATCH(INDEX(ﾏｽﾀ!$N$8:$N$124,MATCH($J239,ﾏｽﾀ!$O$8:$O$124,0)),ﾏｽﾀ!$B$8:$B$124,0))&amp;"")</f>
        <v/>
      </c>
      <c r="L239" s="600" t="str">
        <f>IF($M239="","",INDEX(ﾏｽﾀ!$T$8:$T$16,MATCH($M239,ﾏｽﾀ!$U$8:$U$16,0))&amp;"")</f>
        <v/>
      </c>
      <c r="M239" s="534"/>
      <c r="N239" s="463"/>
      <c r="O239" s="464"/>
      <c r="P239" s="465"/>
      <c r="Q239" s="466" t="str">
        <f t="shared" si="19"/>
        <v/>
      </c>
      <c r="R239" s="154" t="str">
        <f>IF($T239="","",VLOOKUP($T239,請求Data!$I$11:$AR$160,請求Data!$AL$10-請求Data!$H$10,0))</f>
        <v/>
      </c>
      <c r="S239" s="155" t="str">
        <f>IF($T239="","",VLOOKUP($T239,請求Data!$I$11:$AR$160,請求Data!$AM$10-請求Data!$H$10,0))</f>
        <v/>
      </c>
      <c r="T239" s="467" t="str">
        <f>IF(ISNA(MATCH($H239,請求Data!$AH$11:$AH$160,0)),"",VLOOKUP($H239,請求Data!$AH$11:$AR$160,請求Data!$AK$10-請求Data!$AG$10,0))</f>
        <v/>
      </c>
      <c r="U239" s="468"/>
      <c r="V239" s="58"/>
    </row>
    <row r="240" spans="1:22" ht="15" customHeight="1">
      <c r="A240" s="58" t="str">
        <f>IF($Q240="","",MAX($A$8:$A239)+1)</f>
        <v/>
      </c>
      <c r="B240" s="614" t="str">
        <f t="shared" si="20"/>
        <v/>
      </c>
      <c r="C240" s="614" t="str">
        <f t="shared" si="16"/>
        <v/>
      </c>
      <c r="D240" s="614" t="str">
        <f t="shared" si="17"/>
        <v/>
      </c>
      <c r="E240" s="615" t="str">
        <f t="shared" si="18"/>
        <v/>
      </c>
      <c r="F240" s="616" t="str">
        <f>IF($H240="","",IF(ISNA(MATCH($H240,$H$7:$H239,0)),1,0))</f>
        <v/>
      </c>
      <c r="G240" s="249"/>
      <c r="H240" s="95"/>
      <c r="I240" s="598" t="str">
        <f>IF($J240="","",INDEX(ﾏｽﾀ!$E$8:$E$124,MATCH(INDEX(ﾏｽﾀ!$N$8:$N$124,MATCH($J240,ﾏｽﾀ!$O$8:$O$124,0)),ﾏｽﾀ!$B$8:$B$124,0))&amp;"")</f>
        <v/>
      </c>
      <c r="J240" s="534"/>
      <c r="K240" s="598" t="str">
        <f>IF($J240="","",INDEX(ﾏｽﾀ!$G$8:$G$124,MATCH(INDEX(ﾏｽﾀ!$N$8:$N$124,MATCH($J240,ﾏｽﾀ!$O$8:$O$124,0)),ﾏｽﾀ!$B$8:$B$124,0))&amp;"")</f>
        <v/>
      </c>
      <c r="L240" s="600" t="str">
        <f>IF($M240="","",INDEX(ﾏｽﾀ!$T$8:$T$16,MATCH($M240,ﾏｽﾀ!$U$8:$U$16,0))&amp;"")</f>
        <v/>
      </c>
      <c r="M240" s="534"/>
      <c r="N240" s="463"/>
      <c r="O240" s="464"/>
      <c r="P240" s="465"/>
      <c r="Q240" s="466" t="str">
        <f t="shared" si="19"/>
        <v/>
      </c>
      <c r="R240" s="154" t="str">
        <f>IF($T240="","",VLOOKUP($T240,請求Data!$I$11:$AR$160,請求Data!$AL$10-請求Data!$H$10,0))</f>
        <v/>
      </c>
      <c r="S240" s="155" t="str">
        <f>IF($T240="","",VLOOKUP($T240,請求Data!$I$11:$AR$160,請求Data!$AM$10-請求Data!$H$10,0))</f>
        <v/>
      </c>
      <c r="T240" s="467" t="str">
        <f>IF(ISNA(MATCH($H240,請求Data!$AH$11:$AH$160,0)),"",VLOOKUP($H240,請求Data!$AH$11:$AR$160,請求Data!$AK$10-請求Data!$AG$10,0))</f>
        <v/>
      </c>
      <c r="U240" s="468"/>
      <c r="V240" s="58"/>
    </row>
    <row r="241" spans="1:22" ht="15" customHeight="1">
      <c r="A241" s="58" t="str">
        <f>IF($Q241="","",MAX($A$8:$A240)+1)</f>
        <v/>
      </c>
      <c r="B241" s="614" t="str">
        <f t="shared" si="20"/>
        <v/>
      </c>
      <c r="C241" s="614" t="str">
        <f t="shared" si="16"/>
        <v/>
      </c>
      <c r="D241" s="614" t="str">
        <f t="shared" si="17"/>
        <v/>
      </c>
      <c r="E241" s="615" t="str">
        <f t="shared" si="18"/>
        <v/>
      </c>
      <c r="F241" s="616" t="str">
        <f>IF($H241="","",IF(ISNA(MATCH($H241,$H$7:$H240,0)),1,0))</f>
        <v/>
      </c>
      <c r="G241" s="249"/>
      <c r="H241" s="95"/>
      <c r="I241" s="598" t="str">
        <f>IF($J241="","",INDEX(ﾏｽﾀ!$E$8:$E$124,MATCH(INDEX(ﾏｽﾀ!$N$8:$N$124,MATCH($J241,ﾏｽﾀ!$O$8:$O$124,0)),ﾏｽﾀ!$B$8:$B$124,0))&amp;"")</f>
        <v/>
      </c>
      <c r="J241" s="534"/>
      <c r="K241" s="598" t="str">
        <f>IF($J241="","",INDEX(ﾏｽﾀ!$G$8:$G$124,MATCH(INDEX(ﾏｽﾀ!$N$8:$N$124,MATCH($J241,ﾏｽﾀ!$O$8:$O$124,0)),ﾏｽﾀ!$B$8:$B$124,0))&amp;"")</f>
        <v/>
      </c>
      <c r="L241" s="600" t="str">
        <f>IF($M241="","",INDEX(ﾏｽﾀ!$T$8:$T$16,MATCH($M241,ﾏｽﾀ!$U$8:$U$16,0))&amp;"")</f>
        <v/>
      </c>
      <c r="M241" s="534"/>
      <c r="N241" s="463"/>
      <c r="O241" s="464"/>
      <c r="P241" s="465"/>
      <c r="Q241" s="466" t="str">
        <f t="shared" si="19"/>
        <v/>
      </c>
      <c r="R241" s="154" t="str">
        <f>IF($T241="","",VLOOKUP($T241,請求Data!$I$11:$AR$160,請求Data!$AL$10-請求Data!$H$10,0))</f>
        <v/>
      </c>
      <c r="S241" s="155" t="str">
        <f>IF($T241="","",VLOOKUP($T241,請求Data!$I$11:$AR$160,請求Data!$AM$10-請求Data!$H$10,0))</f>
        <v/>
      </c>
      <c r="T241" s="467" t="str">
        <f>IF(ISNA(MATCH($H241,請求Data!$AH$11:$AH$160,0)),"",VLOOKUP($H241,請求Data!$AH$11:$AR$160,請求Data!$AK$10-請求Data!$AG$10,0))</f>
        <v/>
      </c>
      <c r="U241" s="468"/>
      <c r="V241" s="58"/>
    </row>
    <row r="242" spans="1:22" ht="15" customHeight="1">
      <c r="A242" s="58" t="str">
        <f>IF($Q242="","",MAX($A$8:$A241)+1)</f>
        <v/>
      </c>
      <c r="B242" s="614" t="str">
        <f t="shared" si="20"/>
        <v/>
      </c>
      <c r="C242" s="614" t="str">
        <f t="shared" si="16"/>
        <v/>
      </c>
      <c r="D242" s="614" t="str">
        <f t="shared" si="17"/>
        <v/>
      </c>
      <c r="E242" s="615" t="str">
        <f t="shared" si="18"/>
        <v/>
      </c>
      <c r="F242" s="616" t="str">
        <f>IF($H242="","",IF(ISNA(MATCH($H242,$H$7:$H241,0)),1,0))</f>
        <v/>
      </c>
      <c r="G242" s="249"/>
      <c r="H242" s="95"/>
      <c r="I242" s="598" t="str">
        <f>IF($J242="","",INDEX(ﾏｽﾀ!$E$8:$E$124,MATCH(INDEX(ﾏｽﾀ!$N$8:$N$124,MATCH($J242,ﾏｽﾀ!$O$8:$O$124,0)),ﾏｽﾀ!$B$8:$B$124,0))&amp;"")</f>
        <v/>
      </c>
      <c r="J242" s="534"/>
      <c r="K242" s="598" t="str">
        <f>IF($J242="","",INDEX(ﾏｽﾀ!$G$8:$G$124,MATCH(INDEX(ﾏｽﾀ!$N$8:$N$124,MATCH($J242,ﾏｽﾀ!$O$8:$O$124,0)),ﾏｽﾀ!$B$8:$B$124,0))&amp;"")</f>
        <v/>
      </c>
      <c r="L242" s="600" t="str">
        <f>IF($M242="","",INDEX(ﾏｽﾀ!$T$8:$T$16,MATCH($M242,ﾏｽﾀ!$U$8:$U$16,0))&amp;"")</f>
        <v/>
      </c>
      <c r="M242" s="534"/>
      <c r="N242" s="463"/>
      <c r="O242" s="464"/>
      <c r="P242" s="465"/>
      <c r="Q242" s="466" t="str">
        <f t="shared" si="19"/>
        <v/>
      </c>
      <c r="R242" s="154" t="str">
        <f>IF($T242="","",VLOOKUP($T242,請求Data!$I$11:$AR$160,請求Data!$AL$10-請求Data!$H$10,0))</f>
        <v/>
      </c>
      <c r="S242" s="155" t="str">
        <f>IF($T242="","",VLOOKUP($T242,請求Data!$I$11:$AR$160,請求Data!$AM$10-請求Data!$H$10,0))</f>
        <v/>
      </c>
      <c r="T242" s="467" t="str">
        <f>IF(ISNA(MATCH($H242,請求Data!$AH$11:$AH$160,0)),"",VLOOKUP($H242,請求Data!$AH$11:$AR$160,請求Data!$AK$10-請求Data!$AG$10,0))</f>
        <v/>
      </c>
      <c r="U242" s="468"/>
      <c r="V242" s="58"/>
    </row>
    <row r="243" spans="1:22" ht="15" customHeight="1">
      <c r="A243" s="58" t="str">
        <f>IF($Q243="","",MAX($A$8:$A242)+1)</f>
        <v/>
      </c>
      <c r="B243" s="614" t="str">
        <f t="shared" si="20"/>
        <v/>
      </c>
      <c r="C243" s="614" t="str">
        <f t="shared" si="16"/>
        <v/>
      </c>
      <c r="D243" s="614" t="str">
        <f t="shared" si="17"/>
        <v/>
      </c>
      <c r="E243" s="615" t="str">
        <f t="shared" si="18"/>
        <v/>
      </c>
      <c r="F243" s="616" t="str">
        <f>IF($H243="","",IF(ISNA(MATCH($H243,$H$7:$H242,0)),1,0))</f>
        <v/>
      </c>
      <c r="G243" s="249"/>
      <c r="H243" s="95"/>
      <c r="I243" s="598" t="str">
        <f>IF($J243="","",INDEX(ﾏｽﾀ!$E$8:$E$124,MATCH(INDEX(ﾏｽﾀ!$N$8:$N$124,MATCH($J243,ﾏｽﾀ!$O$8:$O$124,0)),ﾏｽﾀ!$B$8:$B$124,0))&amp;"")</f>
        <v/>
      </c>
      <c r="J243" s="534"/>
      <c r="K243" s="598" t="str">
        <f>IF($J243="","",INDEX(ﾏｽﾀ!$G$8:$G$124,MATCH(INDEX(ﾏｽﾀ!$N$8:$N$124,MATCH($J243,ﾏｽﾀ!$O$8:$O$124,0)),ﾏｽﾀ!$B$8:$B$124,0))&amp;"")</f>
        <v/>
      </c>
      <c r="L243" s="600" t="str">
        <f>IF($M243="","",INDEX(ﾏｽﾀ!$T$8:$T$16,MATCH($M243,ﾏｽﾀ!$U$8:$U$16,0))&amp;"")</f>
        <v/>
      </c>
      <c r="M243" s="534"/>
      <c r="N243" s="463"/>
      <c r="O243" s="464"/>
      <c r="P243" s="465"/>
      <c r="Q243" s="466" t="str">
        <f t="shared" si="19"/>
        <v/>
      </c>
      <c r="R243" s="154" t="str">
        <f>IF($T243="","",VLOOKUP($T243,請求Data!$I$11:$AR$160,請求Data!$AL$10-請求Data!$H$10,0))</f>
        <v/>
      </c>
      <c r="S243" s="155" t="str">
        <f>IF($T243="","",VLOOKUP($T243,請求Data!$I$11:$AR$160,請求Data!$AM$10-請求Data!$H$10,0))</f>
        <v/>
      </c>
      <c r="T243" s="467" t="str">
        <f>IF(ISNA(MATCH($H243,請求Data!$AH$11:$AH$160,0)),"",VLOOKUP($H243,請求Data!$AH$11:$AR$160,請求Data!$AK$10-請求Data!$AG$10,0))</f>
        <v/>
      </c>
      <c r="U243" s="468"/>
      <c r="V243" s="58"/>
    </row>
    <row r="244" spans="1:22" ht="15" customHeight="1">
      <c r="A244" s="58" t="str">
        <f>IF($Q244="","",MAX($A$8:$A243)+1)</f>
        <v/>
      </c>
      <c r="B244" s="614" t="str">
        <f t="shared" si="20"/>
        <v/>
      </c>
      <c r="C244" s="614" t="str">
        <f t="shared" si="16"/>
        <v/>
      </c>
      <c r="D244" s="614" t="str">
        <f t="shared" si="17"/>
        <v/>
      </c>
      <c r="E244" s="615" t="str">
        <f t="shared" si="18"/>
        <v/>
      </c>
      <c r="F244" s="616" t="str">
        <f>IF($H244="","",IF(ISNA(MATCH($H244,$H$7:$H243,0)),1,0))</f>
        <v/>
      </c>
      <c r="G244" s="249"/>
      <c r="H244" s="95"/>
      <c r="I244" s="598" t="str">
        <f>IF($J244="","",INDEX(ﾏｽﾀ!$E$8:$E$124,MATCH(INDEX(ﾏｽﾀ!$N$8:$N$124,MATCH($J244,ﾏｽﾀ!$O$8:$O$124,0)),ﾏｽﾀ!$B$8:$B$124,0))&amp;"")</f>
        <v/>
      </c>
      <c r="J244" s="534"/>
      <c r="K244" s="598" t="str">
        <f>IF($J244="","",INDEX(ﾏｽﾀ!$G$8:$G$124,MATCH(INDEX(ﾏｽﾀ!$N$8:$N$124,MATCH($J244,ﾏｽﾀ!$O$8:$O$124,0)),ﾏｽﾀ!$B$8:$B$124,0))&amp;"")</f>
        <v/>
      </c>
      <c r="L244" s="600" t="str">
        <f>IF($M244="","",INDEX(ﾏｽﾀ!$T$8:$T$16,MATCH($M244,ﾏｽﾀ!$U$8:$U$16,0))&amp;"")</f>
        <v/>
      </c>
      <c r="M244" s="534"/>
      <c r="N244" s="463"/>
      <c r="O244" s="464"/>
      <c r="P244" s="465"/>
      <c r="Q244" s="466" t="str">
        <f t="shared" si="19"/>
        <v/>
      </c>
      <c r="R244" s="154" t="str">
        <f>IF($T244="","",VLOOKUP($T244,請求Data!$I$11:$AR$160,請求Data!$AL$10-請求Data!$H$10,0))</f>
        <v/>
      </c>
      <c r="S244" s="155" t="str">
        <f>IF($T244="","",VLOOKUP($T244,請求Data!$I$11:$AR$160,請求Data!$AM$10-請求Data!$H$10,0))</f>
        <v/>
      </c>
      <c r="T244" s="467" t="str">
        <f>IF(ISNA(MATCH($H244,請求Data!$AH$11:$AH$160,0)),"",VLOOKUP($H244,請求Data!$AH$11:$AR$160,請求Data!$AK$10-請求Data!$AG$10,0))</f>
        <v/>
      </c>
      <c r="U244" s="468"/>
      <c r="V244" s="58"/>
    </row>
    <row r="245" spans="1:22" ht="15" customHeight="1">
      <c r="A245" s="58" t="str">
        <f>IF($Q245="","",MAX($A$8:$A244)+1)</f>
        <v/>
      </c>
      <c r="B245" s="614" t="str">
        <f t="shared" si="20"/>
        <v/>
      </c>
      <c r="C245" s="614" t="str">
        <f t="shared" si="16"/>
        <v/>
      </c>
      <c r="D245" s="614" t="str">
        <f t="shared" si="17"/>
        <v/>
      </c>
      <c r="E245" s="615" t="str">
        <f t="shared" si="18"/>
        <v/>
      </c>
      <c r="F245" s="616" t="str">
        <f>IF($H245="","",IF(ISNA(MATCH($H245,$H$7:$H244,0)),1,0))</f>
        <v/>
      </c>
      <c r="G245" s="249"/>
      <c r="H245" s="95"/>
      <c r="I245" s="598" t="str">
        <f>IF($J245="","",INDEX(ﾏｽﾀ!$E$8:$E$124,MATCH(INDEX(ﾏｽﾀ!$N$8:$N$124,MATCH($J245,ﾏｽﾀ!$O$8:$O$124,0)),ﾏｽﾀ!$B$8:$B$124,0))&amp;"")</f>
        <v/>
      </c>
      <c r="J245" s="534"/>
      <c r="K245" s="598" t="str">
        <f>IF($J245="","",INDEX(ﾏｽﾀ!$G$8:$G$124,MATCH(INDEX(ﾏｽﾀ!$N$8:$N$124,MATCH($J245,ﾏｽﾀ!$O$8:$O$124,0)),ﾏｽﾀ!$B$8:$B$124,0))&amp;"")</f>
        <v/>
      </c>
      <c r="L245" s="600" t="str">
        <f>IF($M245="","",INDEX(ﾏｽﾀ!$T$8:$T$16,MATCH($M245,ﾏｽﾀ!$U$8:$U$16,0))&amp;"")</f>
        <v/>
      </c>
      <c r="M245" s="534"/>
      <c r="N245" s="463"/>
      <c r="O245" s="464"/>
      <c r="P245" s="465"/>
      <c r="Q245" s="466" t="str">
        <f t="shared" si="19"/>
        <v/>
      </c>
      <c r="R245" s="154" t="str">
        <f>IF($T245="","",VLOOKUP($T245,請求Data!$I$11:$AR$160,請求Data!$AL$10-請求Data!$H$10,0))</f>
        <v/>
      </c>
      <c r="S245" s="155" t="str">
        <f>IF($T245="","",VLOOKUP($T245,請求Data!$I$11:$AR$160,請求Data!$AM$10-請求Data!$H$10,0))</f>
        <v/>
      </c>
      <c r="T245" s="467" t="str">
        <f>IF(ISNA(MATCH($H245,請求Data!$AH$11:$AH$160,0)),"",VLOOKUP($H245,請求Data!$AH$11:$AR$160,請求Data!$AK$10-請求Data!$AG$10,0))</f>
        <v/>
      </c>
      <c r="U245" s="468"/>
      <c r="V245" s="58"/>
    </row>
    <row r="246" spans="1:22" ht="15" customHeight="1">
      <c r="A246" s="58" t="str">
        <f>IF($Q246="","",MAX($A$8:$A245)+1)</f>
        <v/>
      </c>
      <c r="B246" s="614" t="str">
        <f t="shared" si="20"/>
        <v/>
      </c>
      <c r="C246" s="614" t="str">
        <f t="shared" si="16"/>
        <v/>
      </c>
      <c r="D246" s="614" t="str">
        <f t="shared" si="17"/>
        <v/>
      </c>
      <c r="E246" s="615" t="str">
        <f t="shared" si="18"/>
        <v/>
      </c>
      <c r="F246" s="616" t="str">
        <f>IF($H246="","",IF(ISNA(MATCH($H246,$H$7:$H245,0)),1,0))</f>
        <v/>
      </c>
      <c r="G246" s="249"/>
      <c r="H246" s="95"/>
      <c r="I246" s="598" t="str">
        <f>IF($J246="","",INDEX(ﾏｽﾀ!$E$8:$E$124,MATCH(INDEX(ﾏｽﾀ!$N$8:$N$124,MATCH($J246,ﾏｽﾀ!$O$8:$O$124,0)),ﾏｽﾀ!$B$8:$B$124,0))&amp;"")</f>
        <v/>
      </c>
      <c r="J246" s="534"/>
      <c r="K246" s="598" t="str">
        <f>IF($J246="","",INDEX(ﾏｽﾀ!$G$8:$G$124,MATCH(INDEX(ﾏｽﾀ!$N$8:$N$124,MATCH($J246,ﾏｽﾀ!$O$8:$O$124,0)),ﾏｽﾀ!$B$8:$B$124,0))&amp;"")</f>
        <v/>
      </c>
      <c r="L246" s="600" t="str">
        <f>IF($M246="","",INDEX(ﾏｽﾀ!$T$8:$T$16,MATCH($M246,ﾏｽﾀ!$U$8:$U$16,0))&amp;"")</f>
        <v/>
      </c>
      <c r="M246" s="534"/>
      <c r="N246" s="463"/>
      <c r="O246" s="464"/>
      <c r="P246" s="465"/>
      <c r="Q246" s="466" t="str">
        <f t="shared" si="19"/>
        <v/>
      </c>
      <c r="R246" s="154" t="str">
        <f>IF($T246="","",VLOOKUP($T246,請求Data!$I$11:$AR$160,請求Data!$AL$10-請求Data!$H$10,0))</f>
        <v/>
      </c>
      <c r="S246" s="155" t="str">
        <f>IF($T246="","",VLOOKUP($T246,請求Data!$I$11:$AR$160,請求Data!$AM$10-請求Data!$H$10,0))</f>
        <v/>
      </c>
      <c r="T246" s="467" t="str">
        <f>IF(ISNA(MATCH($H246,請求Data!$AH$11:$AH$160,0)),"",VLOOKUP($H246,請求Data!$AH$11:$AR$160,請求Data!$AK$10-請求Data!$AG$10,0))</f>
        <v/>
      </c>
      <c r="U246" s="468"/>
      <c r="V246" s="58"/>
    </row>
    <row r="247" spans="1:22" ht="15" customHeight="1">
      <c r="A247" s="58" t="str">
        <f>IF($Q247="","",MAX($A$8:$A246)+1)</f>
        <v/>
      </c>
      <c r="B247" s="614" t="str">
        <f t="shared" si="20"/>
        <v/>
      </c>
      <c r="C247" s="614" t="str">
        <f t="shared" si="16"/>
        <v/>
      </c>
      <c r="D247" s="614" t="str">
        <f t="shared" si="17"/>
        <v/>
      </c>
      <c r="E247" s="615" t="str">
        <f t="shared" si="18"/>
        <v/>
      </c>
      <c r="F247" s="616" t="str">
        <f>IF($H247="","",IF(ISNA(MATCH($H247,$H$7:$H246,0)),1,0))</f>
        <v/>
      </c>
      <c r="G247" s="249"/>
      <c r="H247" s="95"/>
      <c r="I247" s="598" t="str">
        <f>IF($J247="","",INDEX(ﾏｽﾀ!$E$8:$E$124,MATCH(INDEX(ﾏｽﾀ!$N$8:$N$124,MATCH($J247,ﾏｽﾀ!$O$8:$O$124,0)),ﾏｽﾀ!$B$8:$B$124,0))&amp;"")</f>
        <v/>
      </c>
      <c r="J247" s="534"/>
      <c r="K247" s="598" t="str">
        <f>IF($J247="","",INDEX(ﾏｽﾀ!$G$8:$G$124,MATCH(INDEX(ﾏｽﾀ!$N$8:$N$124,MATCH($J247,ﾏｽﾀ!$O$8:$O$124,0)),ﾏｽﾀ!$B$8:$B$124,0))&amp;"")</f>
        <v/>
      </c>
      <c r="L247" s="600" t="str">
        <f>IF($M247="","",INDEX(ﾏｽﾀ!$T$8:$T$16,MATCH($M247,ﾏｽﾀ!$U$8:$U$16,0))&amp;"")</f>
        <v/>
      </c>
      <c r="M247" s="534"/>
      <c r="N247" s="463"/>
      <c r="O247" s="464"/>
      <c r="P247" s="465"/>
      <c r="Q247" s="466" t="str">
        <f t="shared" si="19"/>
        <v/>
      </c>
      <c r="R247" s="154" t="str">
        <f>IF($T247="","",VLOOKUP($T247,請求Data!$I$11:$AR$160,請求Data!$AL$10-請求Data!$H$10,0))</f>
        <v/>
      </c>
      <c r="S247" s="155" t="str">
        <f>IF($T247="","",VLOOKUP($T247,請求Data!$I$11:$AR$160,請求Data!$AM$10-請求Data!$H$10,0))</f>
        <v/>
      </c>
      <c r="T247" s="467" t="str">
        <f>IF(ISNA(MATCH($H247,請求Data!$AH$11:$AH$160,0)),"",VLOOKUP($H247,請求Data!$AH$11:$AR$160,請求Data!$AK$10-請求Data!$AG$10,0))</f>
        <v/>
      </c>
      <c r="U247" s="468"/>
      <c r="V247" s="58"/>
    </row>
    <row r="248" spans="1:22" ht="15" customHeight="1">
      <c r="A248" s="58" t="str">
        <f>IF($Q248="","",MAX($A$8:$A247)+1)</f>
        <v/>
      </c>
      <c r="B248" s="614" t="str">
        <f t="shared" si="20"/>
        <v/>
      </c>
      <c r="C248" s="614" t="str">
        <f t="shared" si="16"/>
        <v/>
      </c>
      <c r="D248" s="614" t="str">
        <f t="shared" si="17"/>
        <v/>
      </c>
      <c r="E248" s="615" t="str">
        <f t="shared" si="18"/>
        <v/>
      </c>
      <c r="F248" s="616" t="str">
        <f>IF($H248="","",IF(ISNA(MATCH($H248,$H$7:$H247,0)),1,0))</f>
        <v/>
      </c>
      <c r="G248" s="249"/>
      <c r="H248" s="95"/>
      <c r="I248" s="598" t="str">
        <f>IF($J248="","",INDEX(ﾏｽﾀ!$E$8:$E$124,MATCH(INDEX(ﾏｽﾀ!$N$8:$N$124,MATCH($J248,ﾏｽﾀ!$O$8:$O$124,0)),ﾏｽﾀ!$B$8:$B$124,0))&amp;"")</f>
        <v/>
      </c>
      <c r="J248" s="534"/>
      <c r="K248" s="598" t="str">
        <f>IF($J248="","",INDEX(ﾏｽﾀ!$G$8:$G$124,MATCH(INDEX(ﾏｽﾀ!$N$8:$N$124,MATCH($J248,ﾏｽﾀ!$O$8:$O$124,0)),ﾏｽﾀ!$B$8:$B$124,0))&amp;"")</f>
        <v/>
      </c>
      <c r="L248" s="600" t="str">
        <f>IF($M248="","",INDEX(ﾏｽﾀ!$T$8:$T$16,MATCH($M248,ﾏｽﾀ!$U$8:$U$16,0))&amp;"")</f>
        <v/>
      </c>
      <c r="M248" s="534"/>
      <c r="N248" s="463"/>
      <c r="O248" s="464"/>
      <c r="P248" s="465"/>
      <c r="Q248" s="466" t="str">
        <f t="shared" si="19"/>
        <v/>
      </c>
      <c r="R248" s="154" t="str">
        <f>IF($T248="","",VLOOKUP($T248,請求Data!$I$11:$AR$160,請求Data!$AL$10-請求Data!$H$10,0))</f>
        <v/>
      </c>
      <c r="S248" s="155" t="str">
        <f>IF($T248="","",VLOOKUP($T248,請求Data!$I$11:$AR$160,請求Data!$AM$10-請求Data!$H$10,0))</f>
        <v/>
      </c>
      <c r="T248" s="467" t="str">
        <f>IF(ISNA(MATCH($H248,請求Data!$AH$11:$AH$160,0)),"",VLOOKUP($H248,請求Data!$AH$11:$AR$160,請求Data!$AK$10-請求Data!$AG$10,0))</f>
        <v/>
      </c>
      <c r="U248" s="468"/>
      <c r="V248" s="58"/>
    </row>
    <row r="249" spans="1:22" ht="15" customHeight="1">
      <c r="A249" s="58" t="str">
        <f>IF($Q249="","",MAX($A$8:$A248)+1)</f>
        <v/>
      </c>
      <c r="B249" s="614" t="str">
        <f t="shared" si="20"/>
        <v/>
      </c>
      <c r="C249" s="614" t="str">
        <f t="shared" si="16"/>
        <v/>
      </c>
      <c r="D249" s="614" t="str">
        <f t="shared" si="17"/>
        <v/>
      </c>
      <c r="E249" s="615" t="str">
        <f t="shared" si="18"/>
        <v/>
      </c>
      <c r="F249" s="616" t="str">
        <f>IF($H249="","",IF(ISNA(MATCH($H249,$H$7:$H248,0)),1,0))</f>
        <v/>
      </c>
      <c r="G249" s="249"/>
      <c r="H249" s="95"/>
      <c r="I249" s="598" t="str">
        <f>IF($J249="","",INDEX(ﾏｽﾀ!$E$8:$E$124,MATCH(INDEX(ﾏｽﾀ!$N$8:$N$124,MATCH($J249,ﾏｽﾀ!$O$8:$O$124,0)),ﾏｽﾀ!$B$8:$B$124,0))&amp;"")</f>
        <v/>
      </c>
      <c r="J249" s="534"/>
      <c r="K249" s="598" t="str">
        <f>IF($J249="","",INDEX(ﾏｽﾀ!$G$8:$G$124,MATCH(INDEX(ﾏｽﾀ!$N$8:$N$124,MATCH($J249,ﾏｽﾀ!$O$8:$O$124,0)),ﾏｽﾀ!$B$8:$B$124,0))&amp;"")</f>
        <v/>
      </c>
      <c r="L249" s="600" t="str">
        <f>IF($M249="","",INDEX(ﾏｽﾀ!$T$8:$T$16,MATCH($M249,ﾏｽﾀ!$U$8:$U$16,0))&amp;"")</f>
        <v/>
      </c>
      <c r="M249" s="534"/>
      <c r="N249" s="463"/>
      <c r="O249" s="464"/>
      <c r="P249" s="465"/>
      <c r="Q249" s="466" t="str">
        <f t="shared" si="19"/>
        <v/>
      </c>
      <c r="R249" s="154" t="str">
        <f>IF($T249="","",VLOOKUP($T249,請求Data!$I$11:$AR$160,請求Data!$AL$10-請求Data!$H$10,0))</f>
        <v/>
      </c>
      <c r="S249" s="155" t="str">
        <f>IF($T249="","",VLOOKUP($T249,請求Data!$I$11:$AR$160,請求Data!$AM$10-請求Data!$H$10,0))</f>
        <v/>
      </c>
      <c r="T249" s="467" t="str">
        <f>IF(ISNA(MATCH($H249,請求Data!$AH$11:$AH$160,0)),"",VLOOKUP($H249,請求Data!$AH$11:$AR$160,請求Data!$AK$10-請求Data!$AG$10,0))</f>
        <v/>
      </c>
      <c r="U249" s="468"/>
      <c r="V249" s="58"/>
    </row>
    <row r="250" spans="1:22" ht="15" customHeight="1">
      <c r="A250" s="58" t="str">
        <f>IF($Q250="","",MAX($A$8:$A249)+1)</f>
        <v/>
      </c>
      <c r="B250" s="614" t="str">
        <f t="shared" si="20"/>
        <v/>
      </c>
      <c r="C250" s="614" t="str">
        <f t="shared" si="16"/>
        <v/>
      </c>
      <c r="D250" s="614" t="str">
        <f t="shared" si="17"/>
        <v/>
      </c>
      <c r="E250" s="615" t="str">
        <f t="shared" si="18"/>
        <v/>
      </c>
      <c r="F250" s="616" t="str">
        <f>IF($H250="","",IF(ISNA(MATCH($H250,$H$7:$H249,0)),1,0))</f>
        <v/>
      </c>
      <c r="G250" s="249"/>
      <c r="H250" s="95"/>
      <c r="I250" s="598" t="str">
        <f>IF($J250="","",INDEX(ﾏｽﾀ!$E$8:$E$124,MATCH(INDEX(ﾏｽﾀ!$N$8:$N$124,MATCH($J250,ﾏｽﾀ!$O$8:$O$124,0)),ﾏｽﾀ!$B$8:$B$124,0))&amp;"")</f>
        <v/>
      </c>
      <c r="J250" s="534"/>
      <c r="K250" s="598" t="str">
        <f>IF($J250="","",INDEX(ﾏｽﾀ!$G$8:$G$124,MATCH(INDEX(ﾏｽﾀ!$N$8:$N$124,MATCH($J250,ﾏｽﾀ!$O$8:$O$124,0)),ﾏｽﾀ!$B$8:$B$124,0))&amp;"")</f>
        <v/>
      </c>
      <c r="L250" s="600" t="str">
        <f>IF($M250="","",INDEX(ﾏｽﾀ!$T$8:$T$16,MATCH($M250,ﾏｽﾀ!$U$8:$U$16,0))&amp;"")</f>
        <v/>
      </c>
      <c r="M250" s="534"/>
      <c r="N250" s="463"/>
      <c r="O250" s="464"/>
      <c r="P250" s="465"/>
      <c r="Q250" s="466" t="str">
        <f t="shared" si="19"/>
        <v/>
      </c>
      <c r="R250" s="154" t="str">
        <f>IF($T250="","",VLOOKUP($T250,請求Data!$I$11:$AR$160,請求Data!$AL$10-請求Data!$H$10,0))</f>
        <v/>
      </c>
      <c r="S250" s="155" t="str">
        <f>IF($T250="","",VLOOKUP($T250,請求Data!$I$11:$AR$160,請求Data!$AM$10-請求Data!$H$10,0))</f>
        <v/>
      </c>
      <c r="T250" s="467" t="str">
        <f>IF(ISNA(MATCH($H250,請求Data!$AH$11:$AH$160,0)),"",VLOOKUP($H250,請求Data!$AH$11:$AR$160,請求Data!$AK$10-請求Data!$AG$10,0))</f>
        <v/>
      </c>
      <c r="U250" s="468"/>
      <c r="V250" s="58"/>
    </row>
    <row r="251" spans="1:22" ht="15" customHeight="1">
      <c r="A251" s="58" t="str">
        <f>IF($Q251="","",MAX($A$8:$A250)+1)</f>
        <v/>
      </c>
      <c r="B251" s="614" t="str">
        <f t="shared" si="20"/>
        <v/>
      </c>
      <c r="C251" s="614" t="str">
        <f t="shared" si="16"/>
        <v/>
      </c>
      <c r="D251" s="614" t="str">
        <f t="shared" si="17"/>
        <v/>
      </c>
      <c r="E251" s="615" t="str">
        <f t="shared" si="18"/>
        <v/>
      </c>
      <c r="F251" s="616" t="str">
        <f>IF($H251="","",IF(ISNA(MATCH($H251,$H$7:$H250,0)),1,0))</f>
        <v/>
      </c>
      <c r="G251" s="249"/>
      <c r="H251" s="95"/>
      <c r="I251" s="598" t="str">
        <f>IF($J251="","",INDEX(ﾏｽﾀ!$E$8:$E$124,MATCH(INDEX(ﾏｽﾀ!$N$8:$N$124,MATCH($J251,ﾏｽﾀ!$O$8:$O$124,0)),ﾏｽﾀ!$B$8:$B$124,0))&amp;"")</f>
        <v/>
      </c>
      <c r="J251" s="534"/>
      <c r="K251" s="598" t="str">
        <f>IF($J251="","",INDEX(ﾏｽﾀ!$G$8:$G$124,MATCH(INDEX(ﾏｽﾀ!$N$8:$N$124,MATCH($J251,ﾏｽﾀ!$O$8:$O$124,0)),ﾏｽﾀ!$B$8:$B$124,0))&amp;"")</f>
        <v/>
      </c>
      <c r="L251" s="600" t="str">
        <f>IF($M251="","",INDEX(ﾏｽﾀ!$T$8:$T$16,MATCH($M251,ﾏｽﾀ!$U$8:$U$16,0))&amp;"")</f>
        <v/>
      </c>
      <c r="M251" s="534"/>
      <c r="N251" s="463"/>
      <c r="O251" s="464"/>
      <c r="P251" s="465"/>
      <c r="Q251" s="466" t="str">
        <f t="shared" si="19"/>
        <v/>
      </c>
      <c r="R251" s="154" t="str">
        <f>IF($T251="","",VLOOKUP($T251,請求Data!$I$11:$AR$160,請求Data!$AL$10-請求Data!$H$10,0))</f>
        <v/>
      </c>
      <c r="S251" s="155" t="str">
        <f>IF($T251="","",VLOOKUP($T251,請求Data!$I$11:$AR$160,請求Data!$AM$10-請求Data!$H$10,0))</f>
        <v/>
      </c>
      <c r="T251" s="467" t="str">
        <f>IF(ISNA(MATCH($H251,請求Data!$AH$11:$AH$160,0)),"",VLOOKUP($H251,請求Data!$AH$11:$AR$160,請求Data!$AK$10-請求Data!$AG$10,0))</f>
        <v/>
      </c>
      <c r="U251" s="468"/>
      <c r="V251" s="58"/>
    </row>
    <row r="252" spans="1:22" ht="15" customHeight="1">
      <c r="A252" s="58" t="str">
        <f>IF($Q252="","",MAX($A$8:$A251)+1)</f>
        <v/>
      </c>
      <c r="B252" s="614" t="str">
        <f t="shared" si="20"/>
        <v/>
      </c>
      <c r="C252" s="614" t="str">
        <f t="shared" si="16"/>
        <v/>
      </c>
      <c r="D252" s="614" t="str">
        <f t="shared" si="17"/>
        <v/>
      </c>
      <c r="E252" s="615" t="str">
        <f t="shared" si="18"/>
        <v/>
      </c>
      <c r="F252" s="616" t="str">
        <f>IF($H252="","",IF(ISNA(MATCH($H252,$H$7:$H251,0)),1,0))</f>
        <v/>
      </c>
      <c r="G252" s="249"/>
      <c r="H252" s="95"/>
      <c r="I252" s="598" t="str">
        <f>IF($J252="","",INDEX(ﾏｽﾀ!$E$8:$E$124,MATCH(INDEX(ﾏｽﾀ!$N$8:$N$124,MATCH($J252,ﾏｽﾀ!$O$8:$O$124,0)),ﾏｽﾀ!$B$8:$B$124,0))&amp;"")</f>
        <v/>
      </c>
      <c r="J252" s="534"/>
      <c r="K252" s="598" t="str">
        <f>IF($J252="","",INDEX(ﾏｽﾀ!$G$8:$G$124,MATCH(INDEX(ﾏｽﾀ!$N$8:$N$124,MATCH($J252,ﾏｽﾀ!$O$8:$O$124,0)),ﾏｽﾀ!$B$8:$B$124,0))&amp;"")</f>
        <v/>
      </c>
      <c r="L252" s="600" t="str">
        <f>IF($M252="","",INDEX(ﾏｽﾀ!$T$8:$T$16,MATCH($M252,ﾏｽﾀ!$U$8:$U$16,0))&amp;"")</f>
        <v/>
      </c>
      <c r="M252" s="534"/>
      <c r="N252" s="463"/>
      <c r="O252" s="464"/>
      <c r="P252" s="465"/>
      <c r="Q252" s="466" t="str">
        <f t="shared" si="19"/>
        <v/>
      </c>
      <c r="R252" s="154" t="str">
        <f>IF($T252="","",VLOOKUP($T252,請求Data!$I$11:$AR$160,請求Data!$AL$10-請求Data!$H$10,0))</f>
        <v/>
      </c>
      <c r="S252" s="155" t="str">
        <f>IF($T252="","",VLOOKUP($T252,請求Data!$I$11:$AR$160,請求Data!$AM$10-請求Data!$H$10,0))</f>
        <v/>
      </c>
      <c r="T252" s="467" t="str">
        <f>IF(ISNA(MATCH($H252,請求Data!$AH$11:$AH$160,0)),"",VLOOKUP($H252,請求Data!$AH$11:$AR$160,請求Data!$AK$10-請求Data!$AG$10,0))</f>
        <v/>
      </c>
      <c r="U252" s="468"/>
      <c r="V252" s="58"/>
    </row>
    <row r="253" spans="1:22" ht="15" customHeight="1">
      <c r="A253" s="58" t="str">
        <f>IF($Q253="","",MAX($A$8:$A252)+1)</f>
        <v/>
      </c>
      <c r="B253" s="614" t="str">
        <f t="shared" si="20"/>
        <v/>
      </c>
      <c r="C253" s="614" t="str">
        <f t="shared" si="16"/>
        <v/>
      </c>
      <c r="D253" s="614" t="str">
        <f t="shared" si="17"/>
        <v/>
      </c>
      <c r="E253" s="615" t="str">
        <f t="shared" si="18"/>
        <v/>
      </c>
      <c r="F253" s="616" t="str">
        <f>IF($H253="","",IF(ISNA(MATCH($H253,$H$7:$H252,0)),1,0))</f>
        <v/>
      </c>
      <c r="G253" s="249"/>
      <c r="H253" s="95"/>
      <c r="I253" s="598" t="str">
        <f>IF($J253="","",INDEX(ﾏｽﾀ!$E$8:$E$124,MATCH(INDEX(ﾏｽﾀ!$N$8:$N$124,MATCH($J253,ﾏｽﾀ!$O$8:$O$124,0)),ﾏｽﾀ!$B$8:$B$124,0))&amp;"")</f>
        <v/>
      </c>
      <c r="J253" s="534"/>
      <c r="K253" s="598" t="str">
        <f>IF($J253="","",INDEX(ﾏｽﾀ!$G$8:$G$124,MATCH(INDEX(ﾏｽﾀ!$N$8:$N$124,MATCH($J253,ﾏｽﾀ!$O$8:$O$124,0)),ﾏｽﾀ!$B$8:$B$124,0))&amp;"")</f>
        <v/>
      </c>
      <c r="L253" s="600" t="str">
        <f>IF($M253="","",INDEX(ﾏｽﾀ!$T$8:$T$16,MATCH($M253,ﾏｽﾀ!$U$8:$U$16,0))&amp;"")</f>
        <v/>
      </c>
      <c r="M253" s="534"/>
      <c r="N253" s="463"/>
      <c r="O253" s="464"/>
      <c r="P253" s="465"/>
      <c r="Q253" s="466" t="str">
        <f t="shared" si="19"/>
        <v/>
      </c>
      <c r="R253" s="154" t="str">
        <f>IF($T253="","",VLOOKUP($T253,請求Data!$I$11:$AR$160,請求Data!$AL$10-請求Data!$H$10,0))</f>
        <v/>
      </c>
      <c r="S253" s="155" t="str">
        <f>IF($T253="","",VLOOKUP($T253,請求Data!$I$11:$AR$160,請求Data!$AM$10-請求Data!$H$10,0))</f>
        <v/>
      </c>
      <c r="T253" s="467" t="str">
        <f>IF(ISNA(MATCH($H253,請求Data!$AH$11:$AH$160,0)),"",VLOOKUP($H253,請求Data!$AH$11:$AR$160,請求Data!$AK$10-請求Data!$AG$10,0))</f>
        <v/>
      </c>
      <c r="U253" s="468"/>
      <c r="V253" s="58"/>
    </row>
    <row r="254" spans="1:22" ht="15" customHeight="1">
      <c r="A254" s="58" t="str">
        <f>IF($Q254="","",MAX($A$8:$A253)+1)</f>
        <v/>
      </c>
      <c r="B254" s="614" t="str">
        <f t="shared" si="20"/>
        <v/>
      </c>
      <c r="C254" s="614" t="str">
        <f t="shared" si="16"/>
        <v/>
      </c>
      <c r="D254" s="614" t="str">
        <f t="shared" si="17"/>
        <v/>
      </c>
      <c r="E254" s="615" t="str">
        <f t="shared" si="18"/>
        <v/>
      </c>
      <c r="F254" s="616" t="str">
        <f>IF($H254="","",IF(ISNA(MATCH($H254,$H$7:$H253,0)),1,0))</f>
        <v/>
      </c>
      <c r="G254" s="249"/>
      <c r="H254" s="95"/>
      <c r="I254" s="598" t="str">
        <f>IF($J254="","",INDEX(ﾏｽﾀ!$E$8:$E$124,MATCH(INDEX(ﾏｽﾀ!$N$8:$N$124,MATCH($J254,ﾏｽﾀ!$O$8:$O$124,0)),ﾏｽﾀ!$B$8:$B$124,0))&amp;"")</f>
        <v/>
      </c>
      <c r="J254" s="534"/>
      <c r="K254" s="598" t="str">
        <f>IF($J254="","",INDEX(ﾏｽﾀ!$G$8:$G$124,MATCH(INDEX(ﾏｽﾀ!$N$8:$N$124,MATCH($J254,ﾏｽﾀ!$O$8:$O$124,0)),ﾏｽﾀ!$B$8:$B$124,0))&amp;"")</f>
        <v/>
      </c>
      <c r="L254" s="600" t="str">
        <f>IF($M254="","",INDEX(ﾏｽﾀ!$T$8:$T$16,MATCH($M254,ﾏｽﾀ!$U$8:$U$16,0))&amp;"")</f>
        <v/>
      </c>
      <c r="M254" s="534"/>
      <c r="N254" s="463"/>
      <c r="O254" s="464"/>
      <c r="P254" s="465"/>
      <c r="Q254" s="466" t="str">
        <f t="shared" si="19"/>
        <v/>
      </c>
      <c r="R254" s="154" t="str">
        <f>IF($T254="","",VLOOKUP($T254,請求Data!$I$11:$AR$160,請求Data!$AL$10-請求Data!$H$10,0))</f>
        <v/>
      </c>
      <c r="S254" s="155" t="str">
        <f>IF($T254="","",VLOOKUP($T254,請求Data!$I$11:$AR$160,請求Data!$AM$10-請求Data!$H$10,0))</f>
        <v/>
      </c>
      <c r="T254" s="467" t="str">
        <f>IF(ISNA(MATCH($H254,請求Data!$AH$11:$AH$160,0)),"",VLOOKUP($H254,請求Data!$AH$11:$AR$160,請求Data!$AK$10-請求Data!$AG$10,0))</f>
        <v/>
      </c>
      <c r="U254" s="468"/>
      <c r="V254" s="58"/>
    </row>
    <row r="255" spans="1:22" ht="15" customHeight="1">
      <c r="A255" s="58" t="str">
        <f>IF($Q255="","",MAX($A$8:$A254)+1)</f>
        <v/>
      </c>
      <c r="B255" s="614" t="str">
        <f t="shared" si="20"/>
        <v/>
      </c>
      <c r="C255" s="614" t="str">
        <f t="shared" si="16"/>
        <v/>
      </c>
      <c r="D255" s="614" t="str">
        <f t="shared" si="17"/>
        <v/>
      </c>
      <c r="E255" s="615" t="str">
        <f t="shared" si="18"/>
        <v/>
      </c>
      <c r="F255" s="616" t="str">
        <f>IF($H255="","",IF(ISNA(MATCH($H255,$H$7:$H254,0)),1,0))</f>
        <v/>
      </c>
      <c r="G255" s="249"/>
      <c r="H255" s="95"/>
      <c r="I255" s="598" t="str">
        <f>IF($J255="","",INDEX(ﾏｽﾀ!$E$8:$E$124,MATCH(INDEX(ﾏｽﾀ!$N$8:$N$124,MATCH($J255,ﾏｽﾀ!$O$8:$O$124,0)),ﾏｽﾀ!$B$8:$B$124,0))&amp;"")</f>
        <v/>
      </c>
      <c r="J255" s="534"/>
      <c r="K255" s="598" t="str">
        <f>IF($J255="","",INDEX(ﾏｽﾀ!$G$8:$G$124,MATCH(INDEX(ﾏｽﾀ!$N$8:$N$124,MATCH($J255,ﾏｽﾀ!$O$8:$O$124,0)),ﾏｽﾀ!$B$8:$B$124,0))&amp;"")</f>
        <v/>
      </c>
      <c r="L255" s="600" t="str">
        <f>IF($M255="","",INDEX(ﾏｽﾀ!$T$8:$T$16,MATCH($M255,ﾏｽﾀ!$U$8:$U$16,0))&amp;"")</f>
        <v/>
      </c>
      <c r="M255" s="534"/>
      <c r="N255" s="463"/>
      <c r="O255" s="464"/>
      <c r="P255" s="465"/>
      <c r="Q255" s="466" t="str">
        <f t="shared" si="19"/>
        <v/>
      </c>
      <c r="R255" s="154" t="str">
        <f>IF($T255="","",VLOOKUP($T255,請求Data!$I$11:$AR$160,請求Data!$AL$10-請求Data!$H$10,0))</f>
        <v/>
      </c>
      <c r="S255" s="155" t="str">
        <f>IF($T255="","",VLOOKUP($T255,請求Data!$I$11:$AR$160,請求Data!$AM$10-請求Data!$H$10,0))</f>
        <v/>
      </c>
      <c r="T255" s="467" t="str">
        <f>IF(ISNA(MATCH($H255,請求Data!$AH$11:$AH$160,0)),"",VLOOKUP($H255,請求Data!$AH$11:$AR$160,請求Data!$AK$10-請求Data!$AG$10,0))</f>
        <v/>
      </c>
      <c r="U255" s="468"/>
      <c r="V255" s="58"/>
    </row>
    <row r="256" spans="1:22" ht="15" customHeight="1">
      <c r="A256" s="58" t="str">
        <f>IF($Q256="","",MAX($A$8:$A255)+1)</f>
        <v/>
      </c>
      <c r="B256" s="614" t="str">
        <f t="shared" si="20"/>
        <v/>
      </c>
      <c r="C256" s="614" t="str">
        <f t="shared" si="16"/>
        <v/>
      </c>
      <c r="D256" s="614" t="str">
        <f t="shared" si="17"/>
        <v/>
      </c>
      <c r="E256" s="615" t="str">
        <f t="shared" si="18"/>
        <v/>
      </c>
      <c r="F256" s="616" t="str">
        <f>IF($H256="","",IF(ISNA(MATCH($H256,$H$7:$H255,0)),1,0))</f>
        <v/>
      </c>
      <c r="G256" s="249"/>
      <c r="H256" s="95"/>
      <c r="I256" s="598" t="str">
        <f>IF($J256="","",INDEX(ﾏｽﾀ!$E$8:$E$124,MATCH(INDEX(ﾏｽﾀ!$N$8:$N$124,MATCH($J256,ﾏｽﾀ!$O$8:$O$124,0)),ﾏｽﾀ!$B$8:$B$124,0))&amp;"")</f>
        <v/>
      </c>
      <c r="J256" s="534"/>
      <c r="K256" s="598" t="str">
        <f>IF($J256="","",INDEX(ﾏｽﾀ!$G$8:$G$124,MATCH(INDEX(ﾏｽﾀ!$N$8:$N$124,MATCH($J256,ﾏｽﾀ!$O$8:$O$124,0)),ﾏｽﾀ!$B$8:$B$124,0))&amp;"")</f>
        <v/>
      </c>
      <c r="L256" s="600" t="str">
        <f>IF($M256="","",INDEX(ﾏｽﾀ!$T$8:$T$16,MATCH($M256,ﾏｽﾀ!$U$8:$U$16,0))&amp;"")</f>
        <v/>
      </c>
      <c r="M256" s="534"/>
      <c r="N256" s="463"/>
      <c r="O256" s="464"/>
      <c r="P256" s="465"/>
      <c r="Q256" s="466" t="str">
        <f t="shared" si="19"/>
        <v/>
      </c>
      <c r="R256" s="154" t="str">
        <f>IF($T256="","",VLOOKUP($T256,請求Data!$I$11:$AR$160,請求Data!$AL$10-請求Data!$H$10,0))</f>
        <v/>
      </c>
      <c r="S256" s="155" t="str">
        <f>IF($T256="","",VLOOKUP($T256,請求Data!$I$11:$AR$160,請求Data!$AM$10-請求Data!$H$10,0))</f>
        <v/>
      </c>
      <c r="T256" s="467" t="str">
        <f>IF(ISNA(MATCH($H256,請求Data!$AH$11:$AH$160,0)),"",VLOOKUP($H256,請求Data!$AH$11:$AR$160,請求Data!$AK$10-請求Data!$AG$10,0))</f>
        <v/>
      </c>
      <c r="U256" s="468"/>
      <c r="V256" s="58"/>
    </row>
    <row r="257" spans="1:22" ht="15" customHeight="1">
      <c r="A257" s="58" t="str">
        <f>IF($Q257="","",MAX($A$8:$A256)+1)</f>
        <v/>
      </c>
      <c r="B257" s="614" t="str">
        <f t="shared" si="20"/>
        <v/>
      </c>
      <c r="C257" s="614" t="str">
        <f t="shared" si="16"/>
        <v/>
      </c>
      <c r="D257" s="614" t="str">
        <f t="shared" si="17"/>
        <v/>
      </c>
      <c r="E257" s="615" t="str">
        <f t="shared" si="18"/>
        <v/>
      </c>
      <c r="F257" s="616" t="str">
        <f>IF($H257="","",IF(ISNA(MATCH($H257,$H$7:$H256,0)),1,0))</f>
        <v/>
      </c>
      <c r="G257" s="249"/>
      <c r="H257" s="95"/>
      <c r="I257" s="598" t="str">
        <f>IF($J257="","",INDEX(ﾏｽﾀ!$E$8:$E$124,MATCH(INDEX(ﾏｽﾀ!$N$8:$N$124,MATCH($J257,ﾏｽﾀ!$O$8:$O$124,0)),ﾏｽﾀ!$B$8:$B$124,0))&amp;"")</f>
        <v/>
      </c>
      <c r="J257" s="534"/>
      <c r="K257" s="598" t="str">
        <f>IF($J257="","",INDEX(ﾏｽﾀ!$G$8:$G$124,MATCH(INDEX(ﾏｽﾀ!$N$8:$N$124,MATCH($J257,ﾏｽﾀ!$O$8:$O$124,0)),ﾏｽﾀ!$B$8:$B$124,0))&amp;"")</f>
        <v/>
      </c>
      <c r="L257" s="600" t="str">
        <f>IF($M257="","",INDEX(ﾏｽﾀ!$T$8:$T$16,MATCH($M257,ﾏｽﾀ!$U$8:$U$16,0))&amp;"")</f>
        <v/>
      </c>
      <c r="M257" s="534"/>
      <c r="N257" s="463"/>
      <c r="O257" s="464"/>
      <c r="P257" s="465"/>
      <c r="Q257" s="466" t="str">
        <f t="shared" si="19"/>
        <v/>
      </c>
      <c r="R257" s="154" t="str">
        <f>IF($T257="","",VLOOKUP($T257,請求Data!$I$11:$AR$160,請求Data!$AL$10-請求Data!$H$10,0))</f>
        <v/>
      </c>
      <c r="S257" s="155" t="str">
        <f>IF($T257="","",VLOOKUP($T257,請求Data!$I$11:$AR$160,請求Data!$AM$10-請求Data!$H$10,0))</f>
        <v/>
      </c>
      <c r="T257" s="467" t="str">
        <f>IF(ISNA(MATCH($H257,請求Data!$AH$11:$AH$160,0)),"",VLOOKUP($H257,請求Data!$AH$11:$AR$160,請求Data!$AK$10-請求Data!$AG$10,0))</f>
        <v/>
      </c>
      <c r="U257" s="468"/>
      <c r="V257" s="58"/>
    </row>
    <row r="258" spans="1:22" ht="15" customHeight="1">
      <c r="A258" s="58" t="str">
        <f>IF($Q258="","",MAX($A$8:$A257)+1)</f>
        <v/>
      </c>
      <c r="B258" s="614" t="str">
        <f t="shared" si="20"/>
        <v/>
      </c>
      <c r="C258" s="614" t="str">
        <f t="shared" si="16"/>
        <v/>
      </c>
      <c r="D258" s="614" t="str">
        <f t="shared" si="17"/>
        <v/>
      </c>
      <c r="E258" s="615" t="str">
        <f t="shared" si="18"/>
        <v/>
      </c>
      <c r="F258" s="616" t="str">
        <f>IF($H258="","",IF(ISNA(MATCH($H258,$H$7:$H257,0)),1,0))</f>
        <v/>
      </c>
      <c r="G258" s="249"/>
      <c r="H258" s="95"/>
      <c r="I258" s="598" t="str">
        <f>IF($J258="","",INDEX(ﾏｽﾀ!$E$8:$E$124,MATCH(INDEX(ﾏｽﾀ!$N$8:$N$124,MATCH($J258,ﾏｽﾀ!$O$8:$O$124,0)),ﾏｽﾀ!$B$8:$B$124,0))&amp;"")</f>
        <v/>
      </c>
      <c r="J258" s="534"/>
      <c r="K258" s="598" t="str">
        <f>IF($J258="","",INDEX(ﾏｽﾀ!$G$8:$G$124,MATCH(INDEX(ﾏｽﾀ!$N$8:$N$124,MATCH($J258,ﾏｽﾀ!$O$8:$O$124,0)),ﾏｽﾀ!$B$8:$B$124,0))&amp;"")</f>
        <v/>
      </c>
      <c r="L258" s="600" t="str">
        <f>IF($M258="","",INDEX(ﾏｽﾀ!$T$8:$T$16,MATCH($M258,ﾏｽﾀ!$U$8:$U$16,0))&amp;"")</f>
        <v/>
      </c>
      <c r="M258" s="534"/>
      <c r="N258" s="463"/>
      <c r="O258" s="464"/>
      <c r="P258" s="465"/>
      <c r="Q258" s="466" t="str">
        <f t="shared" si="19"/>
        <v/>
      </c>
      <c r="R258" s="154" t="str">
        <f>IF($T258="","",VLOOKUP($T258,請求Data!$I$11:$AR$160,請求Data!$AL$10-請求Data!$H$10,0))</f>
        <v/>
      </c>
      <c r="S258" s="155" t="str">
        <f>IF($T258="","",VLOOKUP($T258,請求Data!$I$11:$AR$160,請求Data!$AM$10-請求Data!$H$10,0))</f>
        <v/>
      </c>
      <c r="T258" s="467" t="str">
        <f>IF(ISNA(MATCH($H258,請求Data!$AH$11:$AH$160,0)),"",VLOOKUP($H258,請求Data!$AH$11:$AR$160,請求Data!$AK$10-請求Data!$AG$10,0))</f>
        <v/>
      </c>
      <c r="U258" s="468"/>
      <c r="V258" s="58"/>
    </row>
    <row r="259" spans="1:22" ht="15" customHeight="1">
      <c r="A259" s="58" t="str">
        <f>IF($Q259="","",MAX($A$8:$A258)+1)</f>
        <v/>
      </c>
      <c r="B259" s="614" t="str">
        <f t="shared" si="20"/>
        <v/>
      </c>
      <c r="C259" s="614" t="str">
        <f t="shared" si="16"/>
        <v/>
      </c>
      <c r="D259" s="614" t="str">
        <f t="shared" si="17"/>
        <v/>
      </c>
      <c r="E259" s="615" t="str">
        <f t="shared" si="18"/>
        <v/>
      </c>
      <c r="F259" s="616" t="str">
        <f>IF($H259="","",IF(ISNA(MATCH($H259,$H$7:$H258,0)),1,0))</f>
        <v/>
      </c>
      <c r="G259" s="249"/>
      <c r="H259" s="95"/>
      <c r="I259" s="598" t="str">
        <f>IF($J259="","",INDEX(ﾏｽﾀ!$E$8:$E$124,MATCH(INDEX(ﾏｽﾀ!$N$8:$N$124,MATCH($J259,ﾏｽﾀ!$O$8:$O$124,0)),ﾏｽﾀ!$B$8:$B$124,0))&amp;"")</f>
        <v/>
      </c>
      <c r="J259" s="534"/>
      <c r="K259" s="598" t="str">
        <f>IF($J259="","",INDEX(ﾏｽﾀ!$G$8:$G$124,MATCH(INDEX(ﾏｽﾀ!$N$8:$N$124,MATCH($J259,ﾏｽﾀ!$O$8:$O$124,0)),ﾏｽﾀ!$B$8:$B$124,0))&amp;"")</f>
        <v/>
      </c>
      <c r="L259" s="600" t="str">
        <f>IF($M259="","",INDEX(ﾏｽﾀ!$T$8:$T$16,MATCH($M259,ﾏｽﾀ!$U$8:$U$16,0))&amp;"")</f>
        <v/>
      </c>
      <c r="M259" s="534"/>
      <c r="N259" s="463"/>
      <c r="O259" s="464"/>
      <c r="P259" s="465"/>
      <c r="Q259" s="466" t="str">
        <f t="shared" si="19"/>
        <v/>
      </c>
      <c r="R259" s="154" t="str">
        <f>IF($T259="","",VLOOKUP($T259,請求Data!$I$11:$AR$160,請求Data!$AL$10-請求Data!$H$10,0))</f>
        <v/>
      </c>
      <c r="S259" s="155" t="str">
        <f>IF($T259="","",VLOOKUP($T259,請求Data!$I$11:$AR$160,請求Data!$AM$10-請求Data!$H$10,0))</f>
        <v/>
      </c>
      <c r="T259" s="467" t="str">
        <f>IF(ISNA(MATCH($H259,請求Data!$AH$11:$AH$160,0)),"",VLOOKUP($H259,請求Data!$AH$11:$AR$160,請求Data!$AK$10-請求Data!$AG$10,0))</f>
        <v/>
      </c>
      <c r="U259" s="468"/>
      <c r="V259" s="58"/>
    </row>
    <row r="260" spans="1:22" ht="15" customHeight="1">
      <c r="A260" s="58" t="str">
        <f>IF($Q260="","",MAX($A$8:$A259)+1)</f>
        <v/>
      </c>
      <c r="B260" s="614" t="str">
        <f t="shared" si="20"/>
        <v/>
      </c>
      <c r="C260" s="614" t="str">
        <f t="shared" si="16"/>
        <v/>
      </c>
      <c r="D260" s="614" t="str">
        <f t="shared" si="17"/>
        <v/>
      </c>
      <c r="E260" s="615" t="str">
        <f t="shared" si="18"/>
        <v/>
      </c>
      <c r="F260" s="616" t="str">
        <f>IF($H260="","",IF(ISNA(MATCH($H260,$H$7:$H259,0)),1,0))</f>
        <v/>
      </c>
      <c r="G260" s="249"/>
      <c r="H260" s="95"/>
      <c r="I260" s="598" t="str">
        <f>IF($J260="","",INDEX(ﾏｽﾀ!$E$8:$E$124,MATCH(INDEX(ﾏｽﾀ!$N$8:$N$124,MATCH($J260,ﾏｽﾀ!$O$8:$O$124,0)),ﾏｽﾀ!$B$8:$B$124,0))&amp;"")</f>
        <v/>
      </c>
      <c r="J260" s="534"/>
      <c r="K260" s="598" t="str">
        <f>IF($J260="","",INDEX(ﾏｽﾀ!$G$8:$G$124,MATCH(INDEX(ﾏｽﾀ!$N$8:$N$124,MATCH($J260,ﾏｽﾀ!$O$8:$O$124,0)),ﾏｽﾀ!$B$8:$B$124,0))&amp;"")</f>
        <v/>
      </c>
      <c r="L260" s="600" t="str">
        <f>IF($M260="","",INDEX(ﾏｽﾀ!$T$8:$T$16,MATCH($M260,ﾏｽﾀ!$U$8:$U$16,0))&amp;"")</f>
        <v/>
      </c>
      <c r="M260" s="534"/>
      <c r="N260" s="463"/>
      <c r="O260" s="464"/>
      <c r="P260" s="465"/>
      <c r="Q260" s="466" t="str">
        <f t="shared" si="19"/>
        <v/>
      </c>
      <c r="R260" s="154" t="str">
        <f>IF($T260="","",VLOOKUP($T260,請求Data!$I$11:$AR$160,請求Data!$AL$10-請求Data!$H$10,0))</f>
        <v/>
      </c>
      <c r="S260" s="155" t="str">
        <f>IF($T260="","",VLOOKUP($T260,請求Data!$I$11:$AR$160,請求Data!$AM$10-請求Data!$H$10,0))</f>
        <v/>
      </c>
      <c r="T260" s="467" t="str">
        <f>IF(ISNA(MATCH($H260,請求Data!$AH$11:$AH$160,0)),"",VLOOKUP($H260,請求Data!$AH$11:$AR$160,請求Data!$AK$10-請求Data!$AG$10,0))</f>
        <v/>
      </c>
      <c r="U260" s="468"/>
      <c r="V260" s="58"/>
    </row>
    <row r="261" spans="1:22" ht="15" customHeight="1">
      <c r="A261" s="58" t="str">
        <f>IF($Q261="","",MAX($A$8:$A260)+1)</f>
        <v/>
      </c>
      <c r="B261" s="614" t="str">
        <f t="shared" si="20"/>
        <v/>
      </c>
      <c r="C261" s="614" t="str">
        <f t="shared" si="16"/>
        <v/>
      </c>
      <c r="D261" s="614" t="str">
        <f t="shared" si="17"/>
        <v/>
      </c>
      <c r="E261" s="615" t="str">
        <f t="shared" si="18"/>
        <v/>
      </c>
      <c r="F261" s="616" t="str">
        <f>IF($H261="","",IF(ISNA(MATCH($H261,$H$7:$H260,0)),1,0))</f>
        <v/>
      </c>
      <c r="G261" s="249"/>
      <c r="H261" s="95"/>
      <c r="I261" s="598" t="str">
        <f>IF($J261="","",INDEX(ﾏｽﾀ!$E$8:$E$124,MATCH(INDEX(ﾏｽﾀ!$N$8:$N$124,MATCH($J261,ﾏｽﾀ!$O$8:$O$124,0)),ﾏｽﾀ!$B$8:$B$124,0))&amp;"")</f>
        <v/>
      </c>
      <c r="J261" s="534"/>
      <c r="K261" s="598" t="str">
        <f>IF($J261="","",INDEX(ﾏｽﾀ!$G$8:$G$124,MATCH(INDEX(ﾏｽﾀ!$N$8:$N$124,MATCH($J261,ﾏｽﾀ!$O$8:$O$124,0)),ﾏｽﾀ!$B$8:$B$124,0))&amp;"")</f>
        <v/>
      </c>
      <c r="L261" s="600" t="str">
        <f>IF($M261="","",INDEX(ﾏｽﾀ!$T$8:$T$16,MATCH($M261,ﾏｽﾀ!$U$8:$U$16,0))&amp;"")</f>
        <v/>
      </c>
      <c r="M261" s="534"/>
      <c r="N261" s="463"/>
      <c r="O261" s="464"/>
      <c r="P261" s="465"/>
      <c r="Q261" s="466" t="str">
        <f t="shared" si="19"/>
        <v/>
      </c>
      <c r="R261" s="154" t="str">
        <f>IF($T261="","",VLOOKUP($T261,請求Data!$I$11:$AR$160,請求Data!$AL$10-請求Data!$H$10,0))</f>
        <v/>
      </c>
      <c r="S261" s="155" t="str">
        <f>IF($T261="","",VLOOKUP($T261,請求Data!$I$11:$AR$160,請求Data!$AM$10-請求Data!$H$10,0))</f>
        <v/>
      </c>
      <c r="T261" s="467" t="str">
        <f>IF(ISNA(MATCH($H261,請求Data!$AH$11:$AH$160,0)),"",VLOOKUP($H261,請求Data!$AH$11:$AR$160,請求Data!$AK$10-請求Data!$AG$10,0))</f>
        <v/>
      </c>
      <c r="U261" s="468"/>
      <c r="V261" s="58"/>
    </row>
    <row r="262" spans="1:22" ht="15" customHeight="1">
      <c r="A262" s="58" t="str">
        <f>IF($Q262="","",MAX($A$8:$A261)+1)</f>
        <v/>
      </c>
      <c r="B262" s="614" t="str">
        <f t="shared" si="20"/>
        <v/>
      </c>
      <c r="C262" s="614" t="str">
        <f t="shared" si="16"/>
        <v/>
      </c>
      <c r="D262" s="614" t="str">
        <f t="shared" si="17"/>
        <v/>
      </c>
      <c r="E262" s="615" t="str">
        <f t="shared" si="18"/>
        <v/>
      </c>
      <c r="F262" s="616" t="str">
        <f>IF($H262="","",IF(ISNA(MATCH($H262,$H$7:$H261,0)),1,0))</f>
        <v/>
      </c>
      <c r="G262" s="249"/>
      <c r="H262" s="95"/>
      <c r="I262" s="598" t="str">
        <f>IF($J262="","",INDEX(ﾏｽﾀ!$E$8:$E$124,MATCH(INDEX(ﾏｽﾀ!$N$8:$N$124,MATCH($J262,ﾏｽﾀ!$O$8:$O$124,0)),ﾏｽﾀ!$B$8:$B$124,0))&amp;"")</f>
        <v/>
      </c>
      <c r="J262" s="534"/>
      <c r="K262" s="598" t="str">
        <f>IF($J262="","",INDEX(ﾏｽﾀ!$G$8:$G$124,MATCH(INDEX(ﾏｽﾀ!$N$8:$N$124,MATCH($J262,ﾏｽﾀ!$O$8:$O$124,0)),ﾏｽﾀ!$B$8:$B$124,0))&amp;"")</f>
        <v/>
      </c>
      <c r="L262" s="600" t="str">
        <f>IF($M262="","",INDEX(ﾏｽﾀ!$T$8:$T$16,MATCH($M262,ﾏｽﾀ!$U$8:$U$16,0))&amp;"")</f>
        <v/>
      </c>
      <c r="M262" s="534"/>
      <c r="N262" s="463"/>
      <c r="O262" s="464"/>
      <c r="P262" s="465"/>
      <c r="Q262" s="466" t="str">
        <f t="shared" si="19"/>
        <v/>
      </c>
      <c r="R262" s="154" t="str">
        <f>IF($T262="","",VLOOKUP($T262,請求Data!$I$11:$AR$160,請求Data!$AL$10-請求Data!$H$10,0))</f>
        <v/>
      </c>
      <c r="S262" s="155" t="str">
        <f>IF($T262="","",VLOOKUP($T262,請求Data!$I$11:$AR$160,請求Data!$AM$10-請求Data!$H$10,0))</f>
        <v/>
      </c>
      <c r="T262" s="467" t="str">
        <f>IF(ISNA(MATCH($H262,請求Data!$AH$11:$AH$160,0)),"",VLOOKUP($H262,請求Data!$AH$11:$AR$160,請求Data!$AK$10-請求Data!$AG$10,0))</f>
        <v/>
      </c>
      <c r="U262" s="468"/>
      <c r="V262" s="58"/>
    </row>
    <row r="263" spans="1:22" ht="15" customHeight="1">
      <c r="A263" s="58" t="str">
        <f>IF($Q263="","",MAX($A$8:$A262)+1)</f>
        <v/>
      </c>
      <c r="B263" s="614" t="str">
        <f t="shared" si="20"/>
        <v/>
      </c>
      <c r="C263" s="614" t="str">
        <f t="shared" si="16"/>
        <v/>
      </c>
      <c r="D263" s="614" t="str">
        <f t="shared" si="17"/>
        <v/>
      </c>
      <c r="E263" s="615" t="str">
        <f t="shared" si="18"/>
        <v/>
      </c>
      <c r="F263" s="616" t="str">
        <f>IF($H263="","",IF(ISNA(MATCH($H263,$H$7:$H262,0)),1,0))</f>
        <v/>
      </c>
      <c r="G263" s="249"/>
      <c r="H263" s="95"/>
      <c r="I263" s="598" t="str">
        <f>IF($J263="","",INDEX(ﾏｽﾀ!$E$8:$E$124,MATCH(INDEX(ﾏｽﾀ!$N$8:$N$124,MATCH($J263,ﾏｽﾀ!$O$8:$O$124,0)),ﾏｽﾀ!$B$8:$B$124,0))&amp;"")</f>
        <v/>
      </c>
      <c r="J263" s="534"/>
      <c r="K263" s="598" t="str">
        <f>IF($J263="","",INDEX(ﾏｽﾀ!$G$8:$G$124,MATCH(INDEX(ﾏｽﾀ!$N$8:$N$124,MATCH($J263,ﾏｽﾀ!$O$8:$O$124,0)),ﾏｽﾀ!$B$8:$B$124,0))&amp;"")</f>
        <v/>
      </c>
      <c r="L263" s="600" t="str">
        <f>IF($M263="","",INDEX(ﾏｽﾀ!$T$8:$T$16,MATCH($M263,ﾏｽﾀ!$U$8:$U$16,0))&amp;"")</f>
        <v/>
      </c>
      <c r="M263" s="534"/>
      <c r="N263" s="463"/>
      <c r="O263" s="464"/>
      <c r="P263" s="465"/>
      <c r="Q263" s="466" t="str">
        <f t="shared" si="19"/>
        <v/>
      </c>
      <c r="R263" s="154" t="str">
        <f>IF($T263="","",VLOOKUP($T263,請求Data!$I$11:$AR$160,請求Data!$AL$10-請求Data!$H$10,0))</f>
        <v/>
      </c>
      <c r="S263" s="155" t="str">
        <f>IF($T263="","",VLOOKUP($T263,請求Data!$I$11:$AR$160,請求Data!$AM$10-請求Data!$H$10,0))</f>
        <v/>
      </c>
      <c r="T263" s="467" t="str">
        <f>IF(ISNA(MATCH($H263,請求Data!$AH$11:$AH$160,0)),"",VLOOKUP($H263,請求Data!$AH$11:$AR$160,請求Data!$AK$10-請求Data!$AG$10,0))</f>
        <v/>
      </c>
      <c r="U263" s="468"/>
      <c r="V263" s="58"/>
    </row>
    <row r="264" spans="1:22" ht="15" customHeight="1">
      <c r="A264" s="58" t="str">
        <f>IF($Q264="","",MAX($A$8:$A263)+1)</f>
        <v/>
      </c>
      <c r="B264" s="614" t="str">
        <f t="shared" si="20"/>
        <v/>
      </c>
      <c r="C264" s="614" t="str">
        <f t="shared" si="16"/>
        <v/>
      </c>
      <c r="D264" s="614" t="str">
        <f t="shared" si="17"/>
        <v/>
      </c>
      <c r="E264" s="615" t="str">
        <f t="shared" si="18"/>
        <v/>
      </c>
      <c r="F264" s="616" t="str">
        <f>IF($H264="","",IF(ISNA(MATCH($H264,$H$7:$H263,0)),1,0))</f>
        <v/>
      </c>
      <c r="G264" s="249"/>
      <c r="H264" s="95"/>
      <c r="I264" s="598" t="str">
        <f>IF($J264="","",INDEX(ﾏｽﾀ!$E$8:$E$124,MATCH(INDEX(ﾏｽﾀ!$N$8:$N$124,MATCH($J264,ﾏｽﾀ!$O$8:$O$124,0)),ﾏｽﾀ!$B$8:$B$124,0))&amp;"")</f>
        <v/>
      </c>
      <c r="J264" s="534"/>
      <c r="K264" s="598" t="str">
        <f>IF($J264="","",INDEX(ﾏｽﾀ!$G$8:$G$124,MATCH(INDEX(ﾏｽﾀ!$N$8:$N$124,MATCH($J264,ﾏｽﾀ!$O$8:$O$124,0)),ﾏｽﾀ!$B$8:$B$124,0))&amp;"")</f>
        <v/>
      </c>
      <c r="L264" s="600" t="str">
        <f>IF($M264="","",INDEX(ﾏｽﾀ!$T$8:$T$16,MATCH($M264,ﾏｽﾀ!$U$8:$U$16,0))&amp;"")</f>
        <v/>
      </c>
      <c r="M264" s="534"/>
      <c r="N264" s="463"/>
      <c r="O264" s="464"/>
      <c r="P264" s="465"/>
      <c r="Q264" s="466" t="str">
        <f t="shared" si="19"/>
        <v/>
      </c>
      <c r="R264" s="154" t="str">
        <f>IF($T264="","",VLOOKUP($T264,請求Data!$I$11:$AR$160,請求Data!$AL$10-請求Data!$H$10,0))</f>
        <v/>
      </c>
      <c r="S264" s="155" t="str">
        <f>IF($T264="","",VLOOKUP($T264,請求Data!$I$11:$AR$160,請求Data!$AM$10-請求Data!$H$10,0))</f>
        <v/>
      </c>
      <c r="T264" s="467" t="str">
        <f>IF(ISNA(MATCH($H264,請求Data!$AH$11:$AH$160,0)),"",VLOOKUP($H264,請求Data!$AH$11:$AR$160,請求Data!$AK$10-請求Data!$AG$10,0))</f>
        <v/>
      </c>
      <c r="U264" s="468"/>
      <c r="V264" s="58"/>
    </row>
    <row r="265" spans="1:22" ht="15" customHeight="1">
      <c r="A265" s="58" t="str">
        <f>IF($Q265="","",MAX($A$8:$A264)+1)</f>
        <v/>
      </c>
      <c r="B265" s="614" t="str">
        <f t="shared" si="20"/>
        <v/>
      </c>
      <c r="C265" s="614" t="str">
        <f t="shared" ref="C265:C297" si="21">IF($H265="","",CONCATENATE(VLOOKUP($N265,$N$2:$O$5,2,FALSE),$I265,IF($K265="","00",$K265),$E265,$L265))</f>
        <v/>
      </c>
      <c r="D265" s="614" t="str">
        <f t="shared" ref="D265:D297" si="22">IF($H265="","",CONCATENATE(VLOOKUP($N265,$N$2:$O$5,2,FALSE),$I265,IF($K265="","00",$K265),$E265,$F265,$L265))</f>
        <v/>
      </c>
      <c r="E265" s="615" t="str">
        <f t="shared" ref="E265:E297" si="23">IF($H265="","",IF($T265="",1,9))</f>
        <v/>
      </c>
      <c r="F265" s="616" t="str">
        <f>IF($H265="","",IF(ISNA(MATCH($H265,$H$7:$H264,0)),1,0))</f>
        <v/>
      </c>
      <c r="G265" s="249"/>
      <c r="H265" s="95"/>
      <c r="I265" s="598" t="str">
        <f>IF($J265="","",INDEX(ﾏｽﾀ!$E$8:$E$124,MATCH(INDEX(ﾏｽﾀ!$N$8:$N$124,MATCH($J265,ﾏｽﾀ!$O$8:$O$124,0)),ﾏｽﾀ!$B$8:$B$124,0))&amp;"")</f>
        <v/>
      </c>
      <c r="J265" s="534"/>
      <c r="K265" s="598" t="str">
        <f>IF($J265="","",INDEX(ﾏｽﾀ!$G$8:$G$124,MATCH(INDEX(ﾏｽﾀ!$N$8:$N$124,MATCH($J265,ﾏｽﾀ!$O$8:$O$124,0)),ﾏｽﾀ!$B$8:$B$124,0))&amp;"")</f>
        <v/>
      </c>
      <c r="L265" s="600" t="str">
        <f>IF($M265="","",INDEX(ﾏｽﾀ!$T$8:$T$16,MATCH($M265,ﾏｽﾀ!$U$8:$U$16,0))&amp;"")</f>
        <v/>
      </c>
      <c r="M265" s="534"/>
      <c r="N265" s="463"/>
      <c r="O265" s="464"/>
      <c r="P265" s="465"/>
      <c r="Q265" s="466" t="str">
        <f t="shared" si="19"/>
        <v/>
      </c>
      <c r="R265" s="154" t="str">
        <f>IF($T265="","",VLOOKUP($T265,請求Data!$I$11:$AR$160,請求Data!$AL$10-請求Data!$H$10,0))</f>
        <v/>
      </c>
      <c r="S265" s="155" t="str">
        <f>IF($T265="","",VLOOKUP($T265,請求Data!$I$11:$AR$160,請求Data!$AM$10-請求Data!$H$10,0))</f>
        <v/>
      </c>
      <c r="T265" s="467" t="str">
        <f>IF(ISNA(MATCH($H265,請求Data!$AH$11:$AH$160,0)),"",VLOOKUP($H265,請求Data!$AH$11:$AR$160,請求Data!$AK$10-請求Data!$AG$10,0))</f>
        <v/>
      </c>
      <c r="U265" s="468"/>
      <c r="V265" s="58"/>
    </row>
    <row r="266" spans="1:22" ht="15" customHeight="1">
      <c r="A266" s="58" t="str">
        <f>IF($Q266="","",MAX($A$8:$A265)+1)</f>
        <v/>
      </c>
      <c r="B266" s="614" t="str">
        <f t="shared" si="20"/>
        <v/>
      </c>
      <c r="C266" s="614" t="str">
        <f t="shared" si="21"/>
        <v/>
      </c>
      <c r="D266" s="614" t="str">
        <f t="shared" si="22"/>
        <v/>
      </c>
      <c r="E266" s="615" t="str">
        <f t="shared" si="23"/>
        <v/>
      </c>
      <c r="F266" s="616" t="str">
        <f>IF($H266="","",IF(ISNA(MATCH($H266,$H$7:$H265,0)),1,0))</f>
        <v/>
      </c>
      <c r="G266" s="249"/>
      <c r="H266" s="95"/>
      <c r="I266" s="598" t="str">
        <f>IF($J266="","",INDEX(ﾏｽﾀ!$E$8:$E$124,MATCH(INDEX(ﾏｽﾀ!$N$8:$N$124,MATCH($J266,ﾏｽﾀ!$O$8:$O$124,0)),ﾏｽﾀ!$B$8:$B$124,0))&amp;"")</f>
        <v/>
      </c>
      <c r="J266" s="534"/>
      <c r="K266" s="598" t="str">
        <f>IF($J266="","",INDEX(ﾏｽﾀ!$G$8:$G$124,MATCH(INDEX(ﾏｽﾀ!$N$8:$N$124,MATCH($J266,ﾏｽﾀ!$O$8:$O$124,0)),ﾏｽﾀ!$B$8:$B$124,0))&amp;"")</f>
        <v/>
      </c>
      <c r="L266" s="600" t="str">
        <f>IF($M266="","",INDEX(ﾏｽﾀ!$T$8:$T$16,MATCH($M266,ﾏｽﾀ!$U$8:$U$16,0))&amp;"")</f>
        <v/>
      </c>
      <c r="M266" s="534"/>
      <c r="N266" s="463"/>
      <c r="O266" s="464"/>
      <c r="P266" s="465"/>
      <c r="Q266" s="466" t="str">
        <f t="shared" si="19"/>
        <v/>
      </c>
      <c r="R266" s="154" t="str">
        <f>IF($T266="","",VLOOKUP($T266,請求Data!$I$11:$AR$160,請求Data!$AL$10-請求Data!$H$10,0))</f>
        <v/>
      </c>
      <c r="S266" s="155" t="str">
        <f>IF($T266="","",VLOOKUP($T266,請求Data!$I$11:$AR$160,請求Data!$AM$10-請求Data!$H$10,0))</f>
        <v/>
      </c>
      <c r="T266" s="467" t="str">
        <f>IF(ISNA(MATCH($H266,請求Data!$AH$11:$AH$160,0)),"",VLOOKUP($H266,請求Data!$AH$11:$AR$160,請求Data!$AK$10-請求Data!$AG$10,0))</f>
        <v/>
      </c>
      <c r="U266" s="468"/>
      <c r="V266" s="58"/>
    </row>
    <row r="267" spans="1:22" ht="15" customHeight="1">
      <c r="A267" s="58" t="str">
        <f>IF($Q267="","",MAX($A$8:$A266)+1)</f>
        <v/>
      </c>
      <c r="B267" s="614" t="str">
        <f t="shared" si="20"/>
        <v/>
      </c>
      <c r="C267" s="614" t="str">
        <f t="shared" si="21"/>
        <v/>
      </c>
      <c r="D267" s="614" t="str">
        <f t="shared" si="22"/>
        <v/>
      </c>
      <c r="E267" s="615" t="str">
        <f t="shared" si="23"/>
        <v/>
      </c>
      <c r="F267" s="616" t="str">
        <f>IF($H267="","",IF(ISNA(MATCH($H267,$H$7:$H266,0)),1,0))</f>
        <v/>
      </c>
      <c r="G267" s="249"/>
      <c r="H267" s="95"/>
      <c r="I267" s="598" t="str">
        <f>IF($J267="","",INDEX(ﾏｽﾀ!$E$8:$E$124,MATCH(INDEX(ﾏｽﾀ!$N$8:$N$124,MATCH($J267,ﾏｽﾀ!$O$8:$O$124,0)),ﾏｽﾀ!$B$8:$B$124,0))&amp;"")</f>
        <v/>
      </c>
      <c r="J267" s="534"/>
      <c r="K267" s="598" t="str">
        <f>IF($J267="","",INDEX(ﾏｽﾀ!$G$8:$G$124,MATCH(INDEX(ﾏｽﾀ!$N$8:$N$124,MATCH($J267,ﾏｽﾀ!$O$8:$O$124,0)),ﾏｽﾀ!$B$8:$B$124,0))&amp;"")</f>
        <v/>
      </c>
      <c r="L267" s="600" t="str">
        <f>IF($M267="","",INDEX(ﾏｽﾀ!$T$8:$T$16,MATCH($M267,ﾏｽﾀ!$U$8:$U$16,0))&amp;"")</f>
        <v/>
      </c>
      <c r="M267" s="534"/>
      <c r="N267" s="463"/>
      <c r="O267" s="464"/>
      <c r="P267" s="465"/>
      <c r="Q267" s="466" t="str">
        <f t="shared" si="19"/>
        <v/>
      </c>
      <c r="R267" s="154" t="str">
        <f>IF($T267="","",VLOOKUP($T267,請求Data!$I$11:$AR$160,請求Data!$AL$10-請求Data!$H$10,0))</f>
        <v/>
      </c>
      <c r="S267" s="155" t="str">
        <f>IF($T267="","",VLOOKUP($T267,請求Data!$I$11:$AR$160,請求Data!$AM$10-請求Data!$H$10,0))</f>
        <v/>
      </c>
      <c r="T267" s="467" t="str">
        <f>IF(ISNA(MATCH($H267,請求Data!$AH$11:$AH$160,0)),"",VLOOKUP($H267,請求Data!$AH$11:$AR$160,請求Data!$AK$10-請求Data!$AG$10,0))</f>
        <v/>
      </c>
      <c r="U267" s="468"/>
      <c r="V267" s="58"/>
    </row>
    <row r="268" spans="1:22" ht="15" customHeight="1">
      <c r="A268" s="58" t="str">
        <f>IF($Q268="","",MAX($A$8:$A267)+1)</f>
        <v/>
      </c>
      <c r="B268" s="614" t="str">
        <f t="shared" si="20"/>
        <v/>
      </c>
      <c r="C268" s="614" t="str">
        <f t="shared" si="21"/>
        <v/>
      </c>
      <c r="D268" s="614" t="str">
        <f t="shared" si="22"/>
        <v/>
      </c>
      <c r="E268" s="615" t="str">
        <f t="shared" si="23"/>
        <v/>
      </c>
      <c r="F268" s="616" t="str">
        <f>IF($H268="","",IF(ISNA(MATCH($H268,$H$7:$H267,0)),1,0))</f>
        <v/>
      </c>
      <c r="G268" s="249"/>
      <c r="H268" s="95"/>
      <c r="I268" s="598" t="str">
        <f>IF($J268="","",INDEX(ﾏｽﾀ!$E$8:$E$124,MATCH(INDEX(ﾏｽﾀ!$N$8:$N$124,MATCH($J268,ﾏｽﾀ!$O$8:$O$124,0)),ﾏｽﾀ!$B$8:$B$124,0))&amp;"")</f>
        <v/>
      </c>
      <c r="J268" s="534"/>
      <c r="K268" s="598" t="str">
        <f>IF($J268="","",INDEX(ﾏｽﾀ!$G$8:$G$124,MATCH(INDEX(ﾏｽﾀ!$N$8:$N$124,MATCH($J268,ﾏｽﾀ!$O$8:$O$124,0)),ﾏｽﾀ!$B$8:$B$124,0))&amp;"")</f>
        <v/>
      </c>
      <c r="L268" s="600" t="str">
        <f>IF($M268="","",INDEX(ﾏｽﾀ!$T$8:$T$16,MATCH($M268,ﾏｽﾀ!$U$8:$U$16,0))&amp;"")</f>
        <v/>
      </c>
      <c r="M268" s="534"/>
      <c r="N268" s="463"/>
      <c r="O268" s="464"/>
      <c r="P268" s="465"/>
      <c r="Q268" s="466" t="str">
        <f t="shared" si="19"/>
        <v/>
      </c>
      <c r="R268" s="154" t="str">
        <f>IF($T268="","",VLOOKUP($T268,請求Data!$I$11:$AR$160,請求Data!$AL$10-請求Data!$H$10,0))</f>
        <v/>
      </c>
      <c r="S268" s="155" t="str">
        <f>IF($T268="","",VLOOKUP($T268,請求Data!$I$11:$AR$160,請求Data!$AM$10-請求Data!$H$10,0))</f>
        <v/>
      </c>
      <c r="T268" s="467" t="str">
        <f>IF(ISNA(MATCH($H268,請求Data!$AH$11:$AH$160,0)),"",VLOOKUP($H268,請求Data!$AH$11:$AR$160,請求Data!$AK$10-請求Data!$AG$10,0))</f>
        <v/>
      </c>
      <c r="U268" s="468"/>
      <c r="V268" s="58"/>
    </row>
    <row r="269" spans="1:22" ht="15" customHeight="1">
      <c r="A269" s="58" t="str">
        <f>IF($Q269="","",MAX($A$8:$A268)+1)</f>
        <v/>
      </c>
      <c r="B269" s="614" t="str">
        <f t="shared" si="20"/>
        <v/>
      </c>
      <c r="C269" s="614" t="str">
        <f t="shared" si="21"/>
        <v/>
      </c>
      <c r="D269" s="614" t="str">
        <f t="shared" si="22"/>
        <v/>
      </c>
      <c r="E269" s="615" t="str">
        <f t="shared" si="23"/>
        <v/>
      </c>
      <c r="F269" s="616" t="str">
        <f>IF($H269="","",IF(ISNA(MATCH($H269,$H$7:$H268,0)),1,0))</f>
        <v/>
      </c>
      <c r="G269" s="249"/>
      <c r="H269" s="95"/>
      <c r="I269" s="598" t="str">
        <f>IF($J269="","",INDEX(ﾏｽﾀ!$E$8:$E$124,MATCH(INDEX(ﾏｽﾀ!$N$8:$N$124,MATCH($J269,ﾏｽﾀ!$O$8:$O$124,0)),ﾏｽﾀ!$B$8:$B$124,0))&amp;"")</f>
        <v/>
      </c>
      <c r="J269" s="534"/>
      <c r="K269" s="598" t="str">
        <f>IF($J269="","",INDEX(ﾏｽﾀ!$G$8:$G$124,MATCH(INDEX(ﾏｽﾀ!$N$8:$N$124,MATCH($J269,ﾏｽﾀ!$O$8:$O$124,0)),ﾏｽﾀ!$B$8:$B$124,0))&amp;"")</f>
        <v/>
      </c>
      <c r="L269" s="600" t="str">
        <f>IF($M269="","",INDEX(ﾏｽﾀ!$T$8:$T$16,MATCH($M269,ﾏｽﾀ!$U$8:$U$16,0))&amp;"")</f>
        <v/>
      </c>
      <c r="M269" s="534"/>
      <c r="N269" s="463"/>
      <c r="O269" s="464"/>
      <c r="P269" s="465"/>
      <c r="Q269" s="466" t="str">
        <f t="shared" si="19"/>
        <v/>
      </c>
      <c r="R269" s="154" t="str">
        <f>IF($T269="","",VLOOKUP($T269,請求Data!$I$11:$AR$160,請求Data!$AL$10-請求Data!$H$10,0))</f>
        <v/>
      </c>
      <c r="S269" s="155" t="str">
        <f>IF($T269="","",VLOOKUP($T269,請求Data!$I$11:$AR$160,請求Data!$AM$10-請求Data!$H$10,0))</f>
        <v/>
      </c>
      <c r="T269" s="467" t="str">
        <f>IF(ISNA(MATCH($H269,請求Data!$AH$11:$AH$160,0)),"",VLOOKUP($H269,請求Data!$AH$11:$AR$160,請求Data!$AK$10-請求Data!$AG$10,0))</f>
        <v/>
      </c>
      <c r="U269" s="468"/>
      <c r="V269" s="58"/>
    </row>
    <row r="270" spans="1:22" ht="15" customHeight="1">
      <c r="A270" s="58" t="str">
        <f>IF($Q270="","",MAX($A$8:$A269)+1)</f>
        <v/>
      </c>
      <c r="B270" s="614" t="str">
        <f t="shared" si="20"/>
        <v/>
      </c>
      <c r="C270" s="614" t="str">
        <f t="shared" si="21"/>
        <v/>
      </c>
      <c r="D270" s="614" t="str">
        <f t="shared" si="22"/>
        <v/>
      </c>
      <c r="E270" s="615" t="str">
        <f t="shared" si="23"/>
        <v/>
      </c>
      <c r="F270" s="616" t="str">
        <f>IF($H270="","",IF(ISNA(MATCH($H270,$H$7:$H269,0)),1,0))</f>
        <v/>
      </c>
      <c r="G270" s="249"/>
      <c r="H270" s="95"/>
      <c r="I270" s="598" t="str">
        <f>IF($J270="","",INDEX(ﾏｽﾀ!$E$8:$E$124,MATCH(INDEX(ﾏｽﾀ!$N$8:$N$124,MATCH($J270,ﾏｽﾀ!$O$8:$O$124,0)),ﾏｽﾀ!$B$8:$B$124,0))&amp;"")</f>
        <v/>
      </c>
      <c r="J270" s="534"/>
      <c r="K270" s="598" t="str">
        <f>IF($J270="","",INDEX(ﾏｽﾀ!$G$8:$G$124,MATCH(INDEX(ﾏｽﾀ!$N$8:$N$124,MATCH($J270,ﾏｽﾀ!$O$8:$O$124,0)),ﾏｽﾀ!$B$8:$B$124,0))&amp;"")</f>
        <v/>
      </c>
      <c r="L270" s="600" t="str">
        <f>IF($M270="","",INDEX(ﾏｽﾀ!$T$8:$T$16,MATCH($M270,ﾏｽﾀ!$U$8:$U$16,0))&amp;"")</f>
        <v/>
      </c>
      <c r="M270" s="534"/>
      <c r="N270" s="463"/>
      <c r="O270" s="464"/>
      <c r="P270" s="465"/>
      <c r="Q270" s="466" t="str">
        <f t="shared" ref="Q270:Q297" si="24">IF($O270="","",IF($N270="\",ROUNDDOWN($O270*$P270,0)+$U270,ROUNDDOWN($O270*$P270,2)+$U270))</f>
        <v/>
      </c>
      <c r="R270" s="154" t="str">
        <f>IF($T270="","",VLOOKUP($T270,請求Data!$I$11:$AR$160,請求Data!$AL$10-請求Data!$H$10,0))</f>
        <v/>
      </c>
      <c r="S270" s="155" t="str">
        <f>IF($T270="","",VLOOKUP($T270,請求Data!$I$11:$AR$160,請求Data!$AM$10-請求Data!$H$10,0))</f>
        <v/>
      </c>
      <c r="T270" s="467" t="str">
        <f>IF(ISNA(MATCH($H270,請求Data!$AH$11:$AH$160,0)),"",VLOOKUP($H270,請求Data!$AH$11:$AR$160,請求Data!$AK$10-請求Data!$AG$10,0))</f>
        <v/>
      </c>
      <c r="U270" s="468"/>
      <c r="V270" s="58"/>
    </row>
    <row r="271" spans="1:22" ht="15" customHeight="1">
      <c r="A271" s="58" t="str">
        <f>IF($Q271="","",MAX($A$8:$A270)+1)</f>
        <v/>
      </c>
      <c r="B271" s="614" t="str">
        <f t="shared" si="20"/>
        <v/>
      </c>
      <c r="C271" s="614" t="str">
        <f t="shared" si="21"/>
        <v/>
      </c>
      <c r="D271" s="614" t="str">
        <f t="shared" si="22"/>
        <v/>
      </c>
      <c r="E271" s="615" t="str">
        <f t="shared" si="23"/>
        <v/>
      </c>
      <c r="F271" s="616" t="str">
        <f>IF($H271="","",IF(ISNA(MATCH($H271,$H$7:$H270,0)),1,0))</f>
        <v/>
      </c>
      <c r="G271" s="249"/>
      <c r="H271" s="95"/>
      <c r="I271" s="598" t="str">
        <f>IF($J271="","",INDEX(ﾏｽﾀ!$E$8:$E$124,MATCH(INDEX(ﾏｽﾀ!$N$8:$N$124,MATCH($J271,ﾏｽﾀ!$O$8:$O$124,0)),ﾏｽﾀ!$B$8:$B$124,0))&amp;"")</f>
        <v/>
      </c>
      <c r="J271" s="534"/>
      <c r="K271" s="598" t="str">
        <f>IF($J271="","",INDEX(ﾏｽﾀ!$G$8:$G$124,MATCH(INDEX(ﾏｽﾀ!$N$8:$N$124,MATCH($J271,ﾏｽﾀ!$O$8:$O$124,0)),ﾏｽﾀ!$B$8:$B$124,0))&amp;"")</f>
        <v/>
      </c>
      <c r="L271" s="600" t="str">
        <f>IF($M271="","",INDEX(ﾏｽﾀ!$T$8:$T$16,MATCH($M271,ﾏｽﾀ!$U$8:$U$16,0))&amp;"")</f>
        <v/>
      </c>
      <c r="M271" s="534"/>
      <c r="N271" s="463"/>
      <c r="O271" s="464"/>
      <c r="P271" s="465"/>
      <c r="Q271" s="466" t="str">
        <f t="shared" si="24"/>
        <v/>
      </c>
      <c r="R271" s="154" t="str">
        <f>IF($T271="","",VLOOKUP($T271,請求Data!$I$11:$AR$160,請求Data!$AL$10-請求Data!$H$10,0))</f>
        <v/>
      </c>
      <c r="S271" s="155" t="str">
        <f>IF($T271="","",VLOOKUP($T271,請求Data!$I$11:$AR$160,請求Data!$AM$10-請求Data!$H$10,0))</f>
        <v/>
      </c>
      <c r="T271" s="467" t="str">
        <f>IF(ISNA(MATCH($H271,請求Data!$AH$11:$AH$160,0)),"",VLOOKUP($H271,請求Data!$AH$11:$AR$160,請求Data!$AK$10-請求Data!$AG$10,0))</f>
        <v/>
      </c>
      <c r="U271" s="468"/>
      <c r="V271" s="58"/>
    </row>
    <row r="272" spans="1:22" ht="15" customHeight="1">
      <c r="A272" s="58" t="str">
        <f>IF($Q272="","",MAX($A$8:$A271)+1)</f>
        <v/>
      </c>
      <c r="B272" s="614" t="str">
        <f t="shared" si="20"/>
        <v/>
      </c>
      <c r="C272" s="614" t="str">
        <f t="shared" si="21"/>
        <v/>
      </c>
      <c r="D272" s="614" t="str">
        <f t="shared" si="22"/>
        <v/>
      </c>
      <c r="E272" s="615" t="str">
        <f t="shared" si="23"/>
        <v/>
      </c>
      <c r="F272" s="616" t="str">
        <f>IF($H272="","",IF(ISNA(MATCH($H272,$H$7:$H271,0)),1,0))</f>
        <v/>
      </c>
      <c r="G272" s="249"/>
      <c r="H272" s="95"/>
      <c r="I272" s="598" t="str">
        <f>IF($J272="","",INDEX(ﾏｽﾀ!$E$8:$E$124,MATCH(INDEX(ﾏｽﾀ!$N$8:$N$124,MATCH($J272,ﾏｽﾀ!$O$8:$O$124,0)),ﾏｽﾀ!$B$8:$B$124,0))&amp;"")</f>
        <v/>
      </c>
      <c r="J272" s="534"/>
      <c r="K272" s="598" t="str">
        <f>IF($J272="","",INDEX(ﾏｽﾀ!$G$8:$G$124,MATCH(INDEX(ﾏｽﾀ!$N$8:$N$124,MATCH($J272,ﾏｽﾀ!$O$8:$O$124,0)),ﾏｽﾀ!$B$8:$B$124,0))&amp;"")</f>
        <v/>
      </c>
      <c r="L272" s="600" t="str">
        <f>IF($M272="","",INDEX(ﾏｽﾀ!$T$8:$T$16,MATCH($M272,ﾏｽﾀ!$U$8:$U$16,0))&amp;"")</f>
        <v/>
      </c>
      <c r="M272" s="534"/>
      <c r="N272" s="463"/>
      <c r="O272" s="464"/>
      <c r="P272" s="465"/>
      <c r="Q272" s="466" t="str">
        <f t="shared" si="24"/>
        <v/>
      </c>
      <c r="R272" s="154" t="str">
        <f>IF($T272="","",VLOOKUP($T272,請求Data!$I$11:$AR$160,請求Data!$AL$10-請求Data!$H$10,0))</f>
        <v/>
      </c>
      <c r="S272" s="155" t="str">
        <f>IF($T272="","",VLOOKUP($T272,請求Data!$I$11:$AR$160,請求Data!$AM$10-請求Data!$H$10,0))</f>
        <v/>
      </c>
      <c r="T272" s="467" t="str">
        <f>IF(ISNA(MATCH($H272,請求Data!$AH$11:$AH$160,0)),"",VLOOKUP($H272,請求Data!$AH$11:$AR$160,請求Data!$AK$10-請求Data!$AG$10,0))</f>
        <v/>
      </c>
      <c r="U272" s="468"/>
      <c r="V272" s="58"/>
    </row>
    <row r="273" spans="1:22" ht="15" customHeight="1">
      <c r="A273" s="58" t="str">
        <f>IF($Q273="","",MAX($A$8:$A272)+1)</f>
        <v/>
      </c>
      <c r="B273" s="614" t="str">
        <f t="shared" si="20"/>
        <v/>
      </c>
      <c r="C273" s="614" t="str">
        <f t="shared" si="21"/>
        <v/>
      </c>
      <c r="D273" s="614" t="str">
        <f t="shared" si="22"/>
        <v/>
      </c>
      <c r="E273" s="615" t="str">
        <f t="shared" si="23"/>
        <v/>
      </c>
      <c r="F273" s="616" t="str">
        <f>IF($H273="","",IF(ISNA(MATCH($H273,$H$7:$H272,0)),1,0))</f>
        <v/>
      </c>
      <c r="G273" s="249"/>
      <c r="H273" s="95"/>
      <c r="I273" s="598" t="str">
        <f>IF($J273="","",INDEX(ﾏｽﾀ!$E$8:$E$124,MATCH(INDEX(ﾏｽﾀ!$N$8:$N$124,MATCH($J273,ﾏｽﾀ!$O$8:$O$124,0)),ﾏｽﾀ!$B$8:$B$124,0))&amp;"")</f>
        <v/>
      </c>
      <c r="J273" s="534"/>
      <c r="K273" s="598" t="str">
        <f>IF($J273="","",INDEX(ﾏｽﾀ!$G$8:$G$124,MATCH(INDEX(ﾏｽﾀ!$N$8:$N$124,MATCH($J273,ﾏｽﾀ!$O$8:$O$124,0)),ﾏｽﾀ!$B$8:$B$124,0))&amp;"")</f>
        <v/>
      </c>
      <c r="L273" s="600" t="str">
        <f>IF($M273="","",INDEX(ﾏｽﾀ!$T$8:$T$16,MATCH($M273,ﾏｽﾀ!$U$8:$U$16,0))&amp;"")</f>
        <v/>
      </c>
      <c r="M273" s="534"/>
      <c r="N273" s="463"/>
      <c r="O273" s="464"/>
      <c r="P273" s="465"/>
      <c r="Q273" s="466" t="str">
        <f t="shared" si="24"/>
        <v/>
      </c>
      <c r="R273" s="154" t="str">
        <f>IF($T273="","",VLOOKUP($T273,請求Data!$I$11:$AR$160,請求Data!$AL$10-請求Data!$H$10,0))</f>
        <v/>
      </c>
      <c r="S273" s="155" t="str">
        <f>IF($T273="","",VLOOKUP($T273,請求Data!$I$11:$AR$160,請求Data!$AM$10-請求Data!$H$10,0))</f>
        <v/>
      </c>
      <c r="T273" s="467" t="str">
        <f>IF(ISNA(MATCH($H273,請求Data!$AH$11:$AH$160,0)),"",VLOOKUP($H273,請求Data!$AH$11:$AR$160,請求Data!$AK$10-請求Data!$AG$10,0))</f>
        <v/>
      </c>
      <c r="U273" s="468"/>
      <c r="V273" s="58"/>
    </row>
    <row r="274" spans="1:22" ht="15" customHeight="1">
      <c r="A274" s="58" t="str">
        <f>IF($Q274="","",MAX($A$8:$A273)+1)</f>
        <v/>
      </c>
      <c r="B274" s="614" t="str">
        <f t="shared" si="20"/>
        <v/>
      </c>
      <c r="C274" s="614" t="str">
        <f t="shared" si="21"/>
        <v/>
      </c>
      <c r="D274" s="614" t="str">
        <f t="shared" si="22"/>
        <v/>
      </c>
      <c r="E274" s="615" t="str">
        <f t="shared" si="23"/>
        <v/>
      </c>
      <c r="F274" s="616" t="str">
        <f>IF($H274="","",IF(ISNA(MATCH($H274,$H$7:$H273,0)),1,0))</f>
        <v/>
      </c>
      <c r="G274" s="249"/>
      <c r="H274" s="95"/>
      <c r="I274" s="598" t="str">
        <f>IF($J274="","",INDEX(ﾏｽﾀ!$E$8:$E$124,MATCH(INDEX(ﾏｽﾀ!$N$8:$N$124,MATCH($J274,ﾏｽﾀ!$O$8:$O$124,0)),ﾏｽﾀ!$B$8:$B$124,0))&amp;"")</f>
        <v/>
      </c>
      <c r="J274" s="534"/>
      <c r="K274" s="598" t="str">
        <f>IF($J274="","",INDEX(ﾏｽﾀ!$G$8:$G$124,MATCH(INDEX(ﾏｽﾀ!$N$8:$N$124,MATCH($J274,ﾏｽﾀ!$O$8:$O$124,0)),ﾏｽﾀ!$B$8:$B$124,0))&amp;"")</f>
        <v/>
      </c>
      <c r="L274" s="600" t="str">
        <f>IF($M274="","",INDEX(ﾏｽﾀ!$T$8:$T$16,MATCH($M274,ﾏｽﾀ!$U$8:$U$16,0))&amp;"")</f>
        <v/>
      </c>
      <c r="M274" s="534"/>
      <c r="N274" s="463"/>
      <c r="O274" s="464"/>
      <c r="P274" s="465"/>
      <c r="Q274" s="466" t="str">
        <f t="shared" si="24"/>
        <v/>
      </c>
      <c r="R274" s="154" t="str">
        <f>IF($T274="","",VLOOKUP($T274,請求Data!$I$11:$AR$160,請求Data!$AL$10-請求Data!$H$10,0))</f>
        <v/>
      </c>
      <c r="S274" s="155" t="str">
        <f>IF($T274="","",VLOOKUP($T274,請求Data!$I$11:$AR$160,請求Data!$AM$10-請求Data!$H$10,0))</f>
        <v/>
      </c>
      <c r="T274" s="467" t="str">
        <f>IF(ISNA(MATCH($H274,請求Data!$AH$11:$AH$160,0)),"",VLOOKUP($H274,請求Data!$AH$11:$AR$160,請求Data!$AK$10-請求Data!$AG$10,0))</f>
        <v/>
      </c>
      <c r="U274" s="468"/>
      <c r="V274" s="58"/>
    </row>
    <row r="275" spans="1:22" ht="15" customHeight="1">
      <c r="A275" s="58" t="str">
        <f>IF($Q275="","",MAX($A$8:$A274)+1)</f>
        <v/>
      </c>
      <c r="B275" s="614" t="str">
        <f t="shared" si="20"/>
        <v/>
      </c>
      <c r="C275" s="614" t="str">
        <f t="shared" si="21"/>
        <v/>
      </c>
      <c r="D275" s="614" t="str">
        <f t="shared" si="22"/>
        <v/>
      </c>
      <c r="E275" s="615" t="str">
        <f t="shared" si="23"/>
        <v/>
      </c>
      <c r="F275" s="616" t="str">
        <f>IF($H275="","",IF(ISNA(MATCH($H275,$H$7:$H274,0)),1,0))</f>
        <v/>
      </c>
      <c r="G275" s="249"/>
      <c r="H275" s="95"/>
      <c r="I275" s="598" t="str">
        <f>IF($J275="","",INDEX(ﾏｽﾀ!$E$8:$E$124,MATCH(INDEX(ﾏｽﾀ!$N$8:$N$124,MATCH($J275,ﾏｽﾀ!$O$8:$O$124,0)),ﾏｽﾀ!$B$8:$B$124,0))&amp;"")</f>
        <v/>
      </c>
      <c r="J275" s="534"/>
      <c r="K275" s="598" t="str">
        <f>IF($J275="","",INDEX(ﾏｽﾀ!$G$8:$G$124,MATCH(INDEX(ﾏｽﾀ!$N$8:$N$124,MATCH($J275,ﾏｽﾀ!$O$8:$O$124,0)),ﾏｽﾀ!$B$8:$B$124,0))&amp;"")</f>
        <v/>
      </c>
      <c r="L275" s="600" t="str">
        <f>IF($M275="","",INDEX(ﾏｽﾀ!$T$8:$T$16,MATCH($M275,ﾏｽﾀ!$U$8:$U$16,0))&amp;"")</f>
        <v/>
      </c>
      <c r="M275" s="534"/>
      <c r="N275" s="463"/>
      <c r="O275" s="464"/>
      <c r="P275" s="465"/>
      <c r="Q275" s="466" t="str">
        <f t="shared" si="24"/>
        <v/>
      </c>
      <c r="R275" s="154" t="str">
        <f>IF($T275="","",VLOOKUP($T275,請求Data!$I$11:$AR$160,請求Data!$AL$10-請求Data!$H$10,0))</f>
        <v/>
      </c>
      <c r="S275" s="155" t="str">
        <f>IF($T275="","",VLOOKUP($T275,請求Data!$I$11:$AR$160,請求Data!$AM$10-請求Data!$H$10,0))</f>
        <v/>
      </c>
      <c r="T275" s="467" t="str">
        <f>IF(ISNA(MATCH($H275,請求Data!$AH$11:$AH$160,0)),"",VLOOKUP($H275,請求Data!$AH$11:$AR$160,請求Data!$AK$10-請求Data!$AG$10,0))</f>
        <v/>
      </c>
      <c r="U275" s="468"/>
      <c r="V275" s="58"/>
    </row>
    <row r="276" spans="1:22" ht="15" customHeight="1">
      <c r="A276" s="58" t="str">
        <f>IF($Q276="","",MAX($A$8:$A275)+1)</f>
        <v/>
      </c>
      <c r="B276" s="614" t="str">
        <f t="shared" si="20"/>
        <v/>
      </c>
      <c r="C276" s="614" t="str">
        <f t="shared" si="21"/>
        <v/>
      </c>
      <c r="D276" s="614" t="str">
        <f t="shared" si="22"/>
        <v/>
      </c>
      <c r="E276" s="615" t="str">
        <f t="shared" si="23"/>
        <v/>
      </c>
      <c r="F276" s="616" t="str">
        <f>IF($H276="","",IF(ISNA(MATCH($H276,$H$7:$H275,0)),1,0))</f>
        <v/>
      </c>
      <c r="G276" s="249"/>
      <c r="H276" s="95"/>
      <c r="I276" s="598" t="str">
        <f>IF($J276="","",INDEX(ﾏｽﾀ!$E$8:$E$124,MATCH(INDEX(ﾏｽﾀ!$N$8:$N$124,MATCH($J276,ﾏｽﾀ!$O$8:$O$124,0)),ﾏｽﾀ!$B$8:$B$124,0))&amp;"")</f>
        <v/>
      </c>
      <c r="J276" s="534"/>
      <c r="K276" s="598" t="str">
        <f>IF($J276="","",INDEX(ﾏｽﾀ!$G$8:$G$124,MATCH(INDEX(ﾏｽﾀ!$N$8:$N$124,MATCH($J276,ﾏｽﾀ!$O$8:$O$124,0)),ﾏｽﾀ!$B$8:$B$124,0))&amp;"")</f>
        <v/>
      </c>
      <c r="L276" s="600" t="str">
        <f>IF($M276="","",INDEX(ﾏｽﾀ!$T$8:$T$16,MATCH($M276,ﾏｽﾀ!$U$8:$U$16,0))&amp;"")</f>
        <v/>
      </c>
      <c r="M276" s="534"/>
      <c r="N276" s="463"/>
      <c r="O276" s="464"/>
      <c r="P276" s="465"/>
      <c r="Q276" s="466" t="str">
        <f t="shared" si="24"/>
        <v/>
      </c>
      <c r="R276" s="154" t="str">
        <f>IF($T276="","",VLOOKUP($T276,請求Data!$I$11:$AR$160,請求Data!$AL$10-請求Data!$H$10,0))</f>
        <v/>
      </c>
      <c r="S276" s="155" t="str">
        <f>IF($T276="","",VLOOKUP($T276,請求Data!$I$11:$AR$160,請求Data!$AM$10-請求Data!$H$10,0))</f>
        <v/>
      </c>
      <c r="T276" s="467" t="str">
        <f>IF(ISNA(MATCH($H276,請求Data!$AH$11:$AH$160,0)),"",VLOOKUP($H276,請求Data!$AH$11:$AR$160,請求Data!$AK$10-請求Data!$AG$10,0))</f>
        <v/>
      </c>
      <c r="U276" s="468"/>
      <c r="V276" s="58"/>
    </row>
    <row r="277" spans="1:22" ht="15" customHeight="1">
      <c r="A277" s="58" t="str">
        <f>IF($Q277="","",MAX($A$8:$A276)+1)</f>
        <v/>
      </c>
      <c r="B277" s="614" t="str">
        <f t="shared" si="20"/>
        <v/>
      </c>
      <c r="C277" s="614" t="str">
        <f t="shared" si="21"/>
        <v/>
      </c>
      <c r="D277" s="614" t="str">
        <f t="shared" si="22"/>
        <v/>
      </c>
      <c r="E277" s="615" t="str">
        <f t="shared" si="23"/>
        <v/>
      </c>
      <c r="F277" s="616" t="str">
        <f>IF($H277="","",IF(ISNA(MATCH($H277,$H$7:$H276,0)),1,0))</f>
        <v/>
      </c>
      <c r="G277" s="249"/>
      <c r="H277" s="95"/>
      <c r="I277" s="598" t="str">
        <f>IF($J277="","",INDEX(ﾏｽﾀ!$E$8:$E$124,MATCH(INDEX(ﾏｽﾀ!$N$8:$N$124,MATCH($J277,ﾏｽﾀ!$O$8:$O$124,0)),ﾏｽﾀ!$B$8:$B$124,0))&amp;"")</f>
        <v/>
      </c>
      <c r="J277" s="534"/>
      <c r="K277" s="598" t="str">
        <f>IF($J277="","",INDEX(ﾏｽﾀ!$G$8:$G$124,MATCH(INDEX(ﾏｽﾀ!$N$8:$N$124,MATCH($J277,ﾏｽﾀ!$O$8:$O$124,0)),ﾏｽﾀ!$B$8:$B$124,0))&amp;"")</f>
        <v/>
      </c>
      <c r="L277" s="600" t="str">
        <f>IF($M277="","",INDEX(ﾏｽﾀ!$T$8:$T$16,MATCH($M277,ﾏｽﾀ!$U$8:$U$16,0))&amp;"")</f>
        <v/>
      </c>
      <c r="M277" s="534"/>
      <c r="N277" s="463"/>
      <c r="O277" s="464"/>
      <c r="P277" s="465"/>
      <c r="Q277" s="466" t="str">
        <f t="shared" si="24"/>
        <v/>
      </c>
      <c r="R277" s="154" t="str">
        <f>IF($T277="","",VLOOKUP($T277,請求Data!$I$11:$AR$160,請求Data!$AL$10-請求Data!$H$10,0))</f>
        <v/>
      </c>
      <c r="S277" s="155" t="str">
        <f>IF($T277="","",VLOOKUP($T277,請求Data!$I$11:$AR$160,請求Data!$AM$10-請求Data!$H$10,0))</f>
        <v/>
      </c>
      <c r="T277" s="467" t="str">
        <f>IF(ISNA(MATCH($H277,請求Data!$AH$11:$AH$160,0)),"",VLOOKUP($H277,請求Data!$AH$11:$AR$160,請求Data!$AK$10-請求Data!$AG$10,0))</f>
        <v/>
      </c>
      <c r="U277" s="468"/>
      <c r="V277" s="58"/>
    </row>
    <row r="278" spans="1:22" ht="15" customHeight="1">
      <c r="A278" s="58" t="str">
        <f>IF($Q278="","",MAX($A$8:$A277)+1)</f>
        <v/>
      </c>
      <c r="B278" s="614" t="str">
        <f t="shared" si="20"/>
        <v/>
      </c>
      <c r="C278" s="614" t="str">
        <f t="shared" si="21"/>
        <v/>
      </c>
      <c r="D278" s="614" t="str">
        <f t="shared" si="22"/>
        <v/>
      </c>
      <c r="E278" s="615" t="str">
        <f t="shared" si="23"/>
        <v/>
      </c>
      <c r="F278" s="616" t="str">
        <f>IF($H278="","",IF(ISNA(MATCH($H278,$H$7:$H277,0)),1,0))</f>
        <v/>
      </c>
      <c r="G278" s="249"/>
      <c r="H278" s="95"/>
      <c r="I278" s="598" t="str">
        <f>IF($J278="","",INDEX(ﾏｽﾀ!$E$8:$E$124,MATCH(INDEX(ﾏｽﾀ!$N$8:$N$124,MATCH($J278,ﾏｽﾀ!$O$8:$O$124,0)),ﾏｽﾀ!$B$8:$B$124,0))&amp;"")</f>
        <v/>
      </c>
      <c r="J278" s="534"/>
      <c r="K278" s="598" t="str">
        <f>IF($J278="","",INDEX(ﾏｽﾀ!$G$8:$G$124,MATCH(INDEX(ﾏｽﾀ!$N$8:$N$124,MATCH($J278,ﾏｽﾀ!$O$8:$O$124,0)),ﾏｽﾀ!$B$8:$B$124,0))&amp;"")</f>
        <v/>
      </c>
      <c r="L278" s="600" t="str">
        <f>IF($M278="","",INDEX(ﾏｽﾀ!$T$8:$T$16,MATCH($M278,ﾏｽﾀ!$U$8:$U$16,0))&amp;"")</f>
        <v/>
      </c>
      <c r="M278" s="534"/>
      <c r="N278" s="463"/>
      <c r="O278" s="464"/>
      <c r="P278" s="465"/>
      <c r="Q278" s="466" t="str">
        <f t="shared" si="24"/>
        <v/>
      </c>
      <c r="R278" s="154" t="str">
        <f>IF($T278="","",VLOOKUP($T278,請求Data!$I$11:$AR$160,請求Data!$AL$10-請求Data!$H$10,0))</f>
        <v/>
      </c>
      <c r="S278" s="155" t="str">
        <f>IF($T278="","",VLOOKUP($T278,請求Data!$I$11:$AR$160,請求Data!$AM$10-請求Data!$H$10,0))</f>
        <v/>
      </c>
      <c r="T278" s="467" t="str">
        <f>IF(ISNA(MATCH($H278,請求Data!$AH$11:$AH$160,0)),"",VLOOKUP($H278,請求Data!$AH$11:$AR$160,請求Data!$AK$10-請求Data!$AG$10,0))</f>
        <v/>
      </c>
      <c r="U278" s="468"/>
      <c r="V278" s="58"/>
    </row>
    <row r="279" spans="1:22" ht="15" customHeight="1">
      <c r="A279" s="58" t="str">
        <f>IF($Q279="","",MAX($A$8:$A278)+1)</f>
        <v/>
      </c>
      <c r="B279" s="614" t="str">
        <f t="shared" si="20"/>
        <v/>
      </c>
      <c r="C279" s="614" t="str">
        <f t="shared" si="21"/>
        <v/>
      </c>
      <c r="D279" s="614" t="str">
        <f t="shared" si="22"/>
        <v/>
      </c>
      <c r="E279" s="615" t="str">
        <f t="shared" si="23"/>
        <v/>
      </c>
      <c r="F279" s="616" t="str">
        <f>IF($H279="","",IF(ISNA(MATCH($H279,$H$7:$H278,0)),1,0))</f>
        <v/>
      </c>
      <c r="G279" s="249"/>
      <c r="H279" s="95"/>
      <c r="I279" s="598" t="str">
        <f>IF($J279="","",INDEX(ﾏｽﾀ!$E$8:$E$124,MATCH(INDEX(ﾏｽﾀ!$N$8:$N$124,MATCH($J279,ﾏｽﾀ!$O$8:$O$124,0)),ﾏｽﾀ!$B$8:$B$124,0))&amp;"")</f>
        <v/>
      </c>
      <c r="J279" s="534"/>
      <c r="K279" s="598" t="str">
        <f>IF($J279="","",INDEX(ﾏｽﾀ!$G$8:$G$124,MATCH(INDEX(ﾏｽﾀ!$N$8:$N$124,MATCH($J279,ﾏｽﾀ!$O$8:$O$124,0)),ﾏｽﾀ!$B$8:$B$124,0))&amp;"")</f>
        <v/>
      </c>
      <c r="L279" s="600" t="str">
        <f>IF($M279="","",INDEX(ﾏｽﾀ!$T$8:$T$16,MATCH($M279,ﾏｽﾀ!$U$8:$U$16,0))&amp;"")</f>
        <v/>
      </c>
      <c r="M279" s="534"/>
      <c r="N279" s="463"/>
      <c r="O279" s="464"/>
      <c r="P279" s="465"/>
      <c r="Q279" s="466" t="str">
        <f t="shared" si="24"/>
        <v/>
      </c>
      <c r="R279" s="154" t="str">
        <f>IF($T279="","",VLOOKUP($T279,請求Data!$I$11:$AR$160,請求Data!$AL$10-請求Data!$H$10,0))</f>
        <v/>
      </c>
      <c r="S279" s="155" t="str">
        <f>IF($T279="","",VLOOKUP($T279,請求Data!$I$11:$AR$160,請求Data!$AM$10-請求Data!$H$10,0))</f>
        <v/>
      </c>
      <c r="T279" s="467" t="str">
        <f>IF(ISNA(MATCH($H279,請求Data!$AH$11:$AH$160,0)),"",VLOOKUP($H279,請求Data!$AH$11:$AR$160,請求Data!$AK$10-請求Data!$AG$10,0))</f>
        <v/>
      </c>
      <c r="U279" s="468"/>
      <c r="V279" s="58"/>
    </row>
    <row r="280" spans="1:22" ht="15" customHeight="1">
      <c r="A280" s="58" t="str">
        <f>IF($Q280="","",MAX($A$8:$A279)+1)</f>
        <v/>
      </c>
      <c r="B280" s="614" t="str">
        <f t="shared" si="20"/>
        <v/>
      </c>
      <c r="C280" s="614" t="str">
        <f t="shared" si="21"/>
        <v/>
      </c>
      <c r="D280" s="614" t="str">
        <f t="shared" si="22"/>
        <v/>
      </c>
      <c r="E280" s="615" t="str">
        <f t="shared" si="23"/>
        <v/>
      </c>
      <c r="F280" s="616" t="str">
        <f>IF($H280="","",IF(ISNA(MATCH($H280,$H$7:$H279,0)),1,0))</f>
        <v/>
      </c>
      <c r="G280" s="249"/>
      <c r="H280" s="95"/>
      <c r="I280" s="598" t="str">
        <f>IF($J280="","",INDEX(ﾏｽﾀ!$E$8:$E$124,MATCH(INDEX(ﾏｽﾀ!$N$8:$N$124,MATCH($J280,ﾏｽﾀ!$O$8:$O$124,0)),ﾏｽﾀ!$B$8:$B$124,0))&amp;"")</f>
        <v/>
      </c>
      <c r="J280" s="534"/>
      <c r="K280" s="598" t="str">
        <f>IF($J280="","",INDEX(ﾏｽﾀ!$G$8:$G$124,MATCH(INDEX(ﾏｽﾀ!$N$8:$N$124,MATCH($J280,ﾏｽﾀ!$O$8:$O$124,0)),ﾏｽﾀ!$B$8:$B$124,0))&amp;"")</f>
        <v/>
      </c>
      <c r="L280" s="600" t="str">
        <f>IF($M280="","",INDEX(ﾏｽﾀ!$T$8:$T$16,MATCH($M280,ﾏｽﾀ!$U$8:$U$16,0))&amp;"")</f>
        <v/>
      </c>
      <c r="M280" s="534"/>
      <c r="N280" s="463"/>
      <c r="O280" s="464"/>
      <c r="P280" s="465"/>
      <c r="Q280" s="466" t="str">
        <f t="shared" si="24"/>
        <v/>
      </c>
      <c r="R280" s="154" t="str">
        <f>IF($T280="","",VLOOKUP($T280,請求Data!$I$11:$AR$160,請求Data!$AL$10-請求Data!$H$10,0))</f>
        <v/>
      </c>
      <c r="S280" s="155" t="str">
        <f>IF($T280="","",VLOOKUP($T280,請求Data!$I$11:$AR$160,請求Data!$AM$10-請求Data!$H$10,0))</f>
        <v/>
      </c>
      <c r="T280" s="467" t="str">
        <f>IF(ISNA(MATCH($H280,請求Data!$AH$11:$AH$160,0)),"",VLOOKUP($H280,請求Data!$AH$11:$AR$160,請求Data!$AK$10-請求Data!$AG$10,0))</f>
        <v/>
      </c>
      <c r="U280" s="468"/>
      <c r="V280" s="58"/>
    </row>
    <row r="281" spans="1:22" ht="15" customHeight="1">
      <c r="A281" s="58" t="str">
        <f>IF($Q281="","",MAX($A$8:$A280)+1)</f>
        <v/>
      </c>
      <c r="B281" s="614" t="str">
        <f t="shared" si="20"/>
        <v/>
      </c>
      <c r="C281" s="614" t="str">
        <f t="shared" si="21"/>
        <v/>
      </c>
      <c r="D281" s="614" t="str">
        <f t="shared" si="22"/>
        <v/>
      </c>
      <c r="E281" s="615" t="str">
        <f t="shared" si="23"/>
        <v/>
      </c>
      <c r="F281" s="616" t="str">
        <f>IF($H281="","",IF(ISNA(MATCH($H281,$H$7:$H280,0)),1,0))</f>
        <v/>
      </c>
      <c r="G281" s="249"/>
      <c r="H281" s="95"/>
      <c r="I281" s="598" t="str">
        <f>IF($J281="","",INDEX(ﾏｽﾀ!$E$8:$E$124,MATCH(INDEX(ﾏｽﾀ!$N$8:$N$124,MATCH($J281,ﾏｽﾀ!$O$8:$O$124,0)),ﾏｽﾀ!$B$8:$B$124,0))&amp;"")</f>
        <v/>
      </c>
      <c r="J281" s="534"/>
      <c r="K281" s="598" t="str">
        <f>IF($J281="","",INDEX(ﾏｽﾀ!$G$8:$G$124,MATCH(INDEX(ﾏｽﾀ!$N$8:$N$124,MATCH($J281,ﾏｽﾀ!$O$8:$O$124,0)),ﾏｽﾀ!$B$8:$B$124,0))&amp;"")</f>
        <v/>
      </c>
      <c r="L281" s="600" t="str">
        <f>IF($M281="","",INDEX(ﾏｽﾀ!$T$8:$T$16,MATCH($M281,ﾏｽﾀ!$U$8:$U$16,0))&amp;"")</f>
        <v/>
      </c>
      <c r="M281" s="534"/>
      <c r="N281" s="463"/>
      <c r="O281" s="464"/>
      <c r="P281" s="465"/>
      <c r="Q281" s="466" t="str">
        <f t="shared" si="24"/>
        <v/>
      </c>
      <c r="R281" s="154" t="str">
        <f>IF($T281="","",VLOOKUP($T281,請求Data!$I$11:$AR$160,請求Data!$AL$10-請求Data!$H$10,0))</f>
        <v/>
      </c>
      <c r="S281" s="155" t="str">
        <f>IF($T281="","",VLOOKUP($T281,請求Data!$I$11:$AR$160,請求Data!$AM$10-請求Data!$H$10,0))</f>
        <v/>
      </c>
      <c r="T281" s="467" t="str">
        <f>IF(ISNA(MATCH($H281,請求Data!$AH$11:$AH$160,0)),"",VLOOKUP($H281,請求Data!$AH$11:$AR$160,請求Data!$AK$10-請求Data!$AG$10,0))</f>
        <v/>
      </c>
      <c r="U281" s="468"/>
      <c r="V281" s="58"/>
    </row>
    <row r="282" spans="1:22" ht="15" customHeight="1">
      <c r="A282" s="58" t="str">
        <f>IF($Q282="","",MAX($A$8:$A281)+1)</f>
        <v/>
      </c>
      <c r="B282" s="614" t="str">
        <f t="shared" si="20"/>
        <v/>
      </c>
      <c r="C282" s="614" t="str">
        <f t="shared" si="21"/>
        <v/>
      </c>
      <c r="D282" s="614" t="str">
        <f t="shared" si="22"/>
        <v/>
      </c>
      <c r="E282" s="615" t="str">
        <f t="shared" si="23"/>
        <v/>
      </c>
      <c r="F282" s="616" t="str">
        <f>IF($H282="","",IF(ISNA(MATCH($H282,$H$7:$H281,0)),1,0))</f>
        <v/>
      </c>
      <c r="G282" s="249"/>
      <c r="H282" s="95"/>
      <c r="I282" s="598" t="str">
        <f>IF($J282="","",INDEX(ﾏｽﾀ!$E$8:$E$124,MATCH(INDEX(ﾏｽﾀ!$N$8:$N$124,MATCH($J282,ﾏｽﾀ!$O$8:$O$124,0)),ﾏｽﾀ!$B$8:$B$124,0))&amp;"")</f>
        <v/>
      </c>
      <c r="J282" s="534"/>
      <c r="K282" s="598" t="str">
        <f>IF($J282="","",INDEX(ﾏｽﾀ!$G$8:$G$124,MATCH(INDEX(ﾏｽﾀ!$N$8:$N$124,MATCH($J282,ﾏｽﾀ!$O$8:$O$124,0)),ﾏｽﾀ!$B$8:$B$124,0))&amp;"")</f>
        <v/>
      </c>
      <c r="L282" s="600" t="str">
        <f>IF($M282="","",INDEX(ﾏｽﾀ!$T$8:$T$16,MATCH($M282,ﾏｽﾀ!$U$8:$U$16,0))&amp;"")</f>
        <v/>
      </c>
      <c r="M282" s="534"/>
      <c r="N282" s="463"/>
      <c r="O282" s="464"/>
      <c r="P282" s="465"/>
      <c r="Q282" s="466" t="str">
        <f t="shared" si="24"/>
        <v/>
      </c>
      <c r="R282" s="154" t="str">
        <f>IF($T282="","",VLOOKUP($T282,請求Data!$I$11:$AR$160,請求Data!$AL$10-請求Data!$H$10,0))</f>
        <v/>
      </c>
      <c r="S282" s="155" t="str">
        <f>IF($T282="","",VLOOKUP($T282,請求Data!$I$11:$AR$160,請求Data!$AM$10-請求Data!$H$10,0))</f>
        <v/>
      </c>
      <c r="T282" s="467" t="str">
        <f>IF(ISNA(MATCH($H282,請求Data!$AH$11:$AH$160,0)),"",VLOOKUP($H282,請求Data!$AH$11:$AR$160,請求Data!$AK$10-請求Data!$AG$10,0))</f>
        <v/>
      </c>
      <c r="U282" s="468"/>
      <c r="V282" s="58"/>
    </row>
    <row r="283" spans="1:22" ht="15" customHeight="1">
      <c r="A283" s="58" t="str">
        <f>IF($Q283="","",MAX($A$8:$A282)+1)</f>
        <v/>
      </c>
      <c r="B283" s="614" t="str">
        <f t="shared" si="20"/>
        <v/>
      </c>
      <c r="C283" s="614" t="str">
        <f t="shared" si="21"/>
        <v/>
      </c>
      <c r="D283" s="614" t="str">
        <f t="shared" si="22"/>
        <v/>
      </c>
      <c r="E283" s="615" t="str">
        <f t="shared" si="23"/>
        <v/>
      </c>
      <c r="F283" s="616" t="str">
        <f>IF($H283="","",IF(ISNA(MATCH($H283,$H$7:$H282,0)),1,0))</f>
        <v/>
      </c>
      <c r="G283" s="249"/>
      <c r="H283" s="95"/>
      <c r="I283" s="598" t="str">
        <f>IF($J283="","",INDEX(ﾏｽﾀ!$E$8:$E$124,MATCH(INDEX(ﾏｽﾀ!$N$8:$N$124,MATCH($J283,ﾏｽﾀ!$O$8:$O$124,0)),ﾏｽﾀ!$B$8:$B$124,0))&amp;"")</f>
        <v/>
      </c>
      <c r="J283" s="534"/>
      <c r="K283" s="598" t="str">
        <f>IF($J283="","",INDEX(ﾏｽﾀ!$G$8:$G$124,MATCH(INDEX(ﾏｽﾀ!$N$8:$N$124,MATCH($J283,ﾏｽﾀ!$O$8:$O$124,0)),ﾏｽﾀ!$B$8:$B$124,0))&amp;"")</f>
        <v/>
      </c>
      <c r="L283" s="600" t="str">
        <f>IF($M283="","",INDEX(ﾏｽﾀ!$T$8:$T$16,MATCH($M283,ﾏｽﾀ!$U$8:$U$16,0))&amp;"")</f>
        <v/>
      </c>
      <c r="M283" s="534"/>
      <c r="N283" s="463"/>
      <c r="O283" s="464"/>
      <c r="P283" s="465"/>
      <c r="Q283" s="466" t="str">
        <f t="shared" si="24"/>
        <v/>
      </c>
      <c r="R283" s="154" t="str">
        <f>IF($T283="","",VLOOKUP($T283,請求Data!$I$11:$AR$160,請求Data!$AL$10-請求Data!$H$10,0))</f>
        <v/>
      </c>
      <c r="S283" s="155" t="str">
        <f>IF($T283="","",VLOOKUP($T283,請求Data!$I$11:$AR$160,請求Data!$AM$10-請求Data!$H$10,0))</f>
        <v/>
      </c>
      <c r="T283" s="467" t="str">
        <f>IF(ISNA(MATCH($H283,請求Data!$AH$11:$AH$160,0)),"",VLOOKUP($H283,請求Data!$AH$11:$AR$160,請求Data!$AK$10-請求Data!$AG$10,0))</f>
        <v/>
      </c>
      <c r="U283" s="468"/>
      <c r="V283" s="58"/>
    </row>
    <row r="284" spans="1:22" ht="15" customHeight="1">
      <c r="A284" s="58" t="str">
        <f>IF($Q284="","",MAX($A$8:$A283)+1)</f>
        <v/>
      </c>
      <c r="B284" s="614" t="str">
        <f t="shared" si="20"/>
        <v/>
      </c>
      <c r="C284" s="614" t="str">
        <f t="shared" si="21"/>
        <v/>
      </c>
      <c r="D284" s="614" t="str">
        <f t="shared" si="22"/>
        <v/>
      </c>
      <c r="E284" s="615" t="str">
        <f t="shared" si="23"/>
        <v/>
      </c>
      <c r="F284" s="616" t="str">
        <f>IF($H284="","",IF(ISNA(MATCH($H284,$H$7:$H283,0)),1,0))</f>
        <v/>
      </c>
      <c r="G284" s="249"/>
      <c r="H284" s="95"/>
      <c r="I284" s="598" t="str">
        <f>IF($J284="","",INDEX(ﾏｽﾀ!$E$8:$E$124,MATCH(INDEX(ﾏｽﾀ!$N$8:$N$124,MATCH($J284,ﾏｽﾀ!$O$8:$O$124,0)),ﾏｽﾀ!$B$8:$B$124,0))&amp;"")</f>
        <v/>
      </c>
      <c r="J284" s="534"/>
      <c r="K284" s="598" t="str">
        <f>IF($J284="","",INDEX(ﾏｽﾀ!$G$8:$G$124,MATCH(INDEX(ﾏｽﾀ!$N$8:$N$124,MATCH($J284,ﾏｽﾀ!$O$8:$O$124,0)),ﾏｽﾀ!$B$8:$B$124,0))&amp;"")</f>
        <v/>
      </c>
      <c r="L284" s="600" t="str">
        <f>IF($M284="","",INDEX(ﾏｽﾀ!$T$8:$T$16,MATCH($M284,ﾏｽﾀ!$U$8:$U$16,0))&amp;"")</f>
        <v/>
      </c>
      <c r="M284" s="534"/>
      <c r="N284" s="463"/>
      <c r="O284" s="464"/>
      <c r="P284" s="465"/>
      <c r="Q284" s="466" t="str">
        <f t="shared" si="24"/>
        <v/>
      </c>
      <c r="R284" s="154" t="str">
        <f>IF($T284="","",VLOOKUP($T284,請求Data!$I$11:$AR$160,請求Data!$AL$10-請求Data!$H$10,0))</f>
        <v/>
      </c>
      <c r="S284" s="155" t="str">
        <f>IF($T284="","",VLOOKUP($T284,請求Data!$I$11:$AR$160,請求Data!$AM$10-請求Data!$H$10,0))</f>
        <v/>
      </c>
      <c r="T284" s="467" t="str">
        <f>IF(ISNA(MATCH($H284,請求Data!$AH$11:$AH$160,0)),"",VLOOKUP($H284,請求Data!$AH$11:$AR$160,請求Data!$AK$10-請求Data!$AG$10,0))</f>
        <v/>
      </c>
      <c r="U284" s="468"/>
      <c r="V284" s="58"/>
    </row>
    <row r="285" spans="1:22" ht="15" customHeight="1">
      <c r="A285" s="58" t="str">
        <f>IF($Q285="","",MAX($A$8:$A284)+1)</f>
        <v/>
      </c>
      <c r="B285" s="614" t="str">
        <f t="shared" si="20"/>
        <v/>
      </c>
      <c r="C285" s="614" t="str">
        <f t="shared" si="21"/>
        <v/>
      </c>
      <c r="D285" s="614" t="str">
        <f t="shared" si="22"/>
        <v/>
      </c>
      <c r="E285" s="615" t="str">
        <f t="shared" si="23"/>
        <v/>
      </c>
      <c r="F285" s="616" t="str">
        <f>IF($H285="","",IF(ISNA(MATCH($H285,$H$7:$H284,0)),1,0))</f>
        <v/>
      </c>
      <c r="G285" s="249"/>
      <c r="H285" s="95"/>
      <c r="I285" s="598" t="str">
        <f>IF($J285="","",INDEX(ﾏｽﾀ!$E$8:$E$124,MATCH(INDEX(ﾏｽﾀ!$N$8:$N$124,MATCH($J285,ﾏｽﾀ!$O$8:$O$124,0)),ﾏｽﾀ!$B$8:$B$124,0))&amp;"")</f>
        <v/>
      </c>
      <c r="J285" s="534"/>
      <c r="K285" s="598" t="str">
        <f>IF($J285="","",INDEX(ﾏｽﾀ!$G$8:$G$124,MATCH(INDEX(ﾏｽﾀ!$N$8:$N$124,MATCH($J285,ﾏｽﾀ!$O$8:$O$124,0)),ﾏｽﾀ!$B$8:$B$124,0))&amp;"")</f>
        <v/>
      </c>
      <c r="L285" s="600" t="str">
        <f>IF($M285="","",INDEX(ﾏｽﾀ!$T$8:$T$16,MATCH($M285,ﾏｽﾀ!$U$8:$U$16,0))&amp;"")</f>
        <v/>
      </c>
      <c r="M285" s="534"/>
      <c r="N285" s="463"/>
      <c r="O285" s="464"/>
      <c r="P285" s="465"/>
      <c r="Q285" s="466" t="str">
        <f t="shared" si="24"/>
        <v/>
      </c>
      <c r="R285" s="154" t="str">
        <f>IF($T285="","",VLOOKUP($T285,請求Data!$I$11:$AR$160,請求Data!$AL$10-請求Data!$H$10,0))</f>
        <v/>
      </c>
      <c r="S285" s="155" t="str">
        <f>IF($T285="","",VLOOKUP($T285,請求Data!$I$11:$AR$160,請求Data!$AM$10-請求Data!$H$10,0))</f>
        <v/>
      </c>
      <c r="T285" s="467" t="str">
        <f>IF(ISNA(MATCH($H285,請求Data!$AH$11:$AH$160,0)),"",VLOOKUP($H285,請求Data!$AH$11:$AR$160,請求Data!$AK$10-請求Data!$AG$10,0))</f>
        <v/>
      </c>
      <c r="U285" s="468"/>
      <c r="V285" s="58"/>
    </row>
    <row r="286" spans="1:22" ht="15" customHeight="1">
      <c r="A286" s="58" t="str">
        <f>IF($Q286="","",MAX($A$8:$A285)+1)</f>
        <v/>
      </c>
      <c r="B286" s="614" t="str">
        <f t="shared" si="20"/>
        <v/>
      </c>
      <c r="C286" s="614" t="str">
        <f t="shared" si="21"/>
        <v/>
      </c>
      <c r="D286" s="614" t="str">
        <f t="shared" si="22"/>
        <v/>
      </c>
      <c r="E286" s="615" t="str">
        <f t="shared" si="23"/>
        <v/>
      </c>
      <c r="F286" s="616" t="str">
        <f>IF($H286="","",IF(ISNA(MATCH($H286,$H$7:$H285,0)),1,0))</f>
        <v/>
      </c>
      <c r="G286" s="249"/>
      <c r="H286" s="95"/>
      <c r="I286" s="598" t="str">
        <f>IF($J286="","",INDEX(ﾏｽﾀ!$E$8:$E$124,MATCH(INDEX(ﾏｽﾀ!$N$8:$N$124,MATCH($J286,ﾏｽﾀ!$O$8:$O$124,0)),ﾏｽﾀ!$B$8:$B$124,0))&amp;"")</f>
        <v/>
      </c>
      <c r="J286" s="534"/>
      <c r="K286" s="598" t="str">
        <f>IF($J286="","",INDEX(ﾏｽﾀ!$G$8:$G$124,MATCH(INDEX(ﾏｽﾀ!$N$8:$N$124,MATCH($J286,ﾏｽﾀ!$O$8:$O$124,0)),ﾏｽﾀ!$B$8:$B$124,0))&amp;"")</f>
        <v/>
      </c>
      <c r="L286" s="600" t="str">
        <f>IF($M286="","",INDEX(ﾏｽﾀ!$T$8:$T$16,MATCH($M286,ﾏｽﾀ!$U$8:$U$16,0))&amp;"")</f>
        <v/>
      </c>
      <c r="M286" s="534"/>
      <c r="N286" s="463"/>
      <c r="O286" s="464"/>
      <c r="P286" s="465"/>
      <c r="Q286" s="466" t="str">
        <f t="shared" si="24"/>
        <v/>
      </c>
      <c r="R286" s="154" t="str">
        <f>IF($T286="","",VLOOKUP($T286,請求Data!$I$11:$AR$160,請求Data!$AL$10-請求Data!$H$10,0))</f>
        <v/>
      </c>
      <c r="S286" s="155" t="str">
        <f>IF($T286="","",VLOOKUP($T286,請求Data!$I$11:$AR$160,請求Data!$AM$10-請求Data!$H$10,0))</f>
        <v/>
      </c>
      <c r="T286" s="467" t="str">
        <f>IF(ISNA(MATCH($H286,請求Data!$AH$11:$AH$160,0)),"",VLOOKUP($H286,請求Data!$AH$11:$AR$160,請求Data!$AK$10-請求Data!$AG$10,0))</f>
        <v/>
      </c>
      <c r="U286" s="468"/>
      <c r="V286" s="58"/>
    </row>
    <row r="287" spans="1:22" ht="15" customHeight="1">
      <c r="A287" s="58" t="str">
        <f>IF($Q287="","",MAX($A$8:$A286)+1)</f>
        <v/>
      </c>
      <c r="B287" s="614" t="str">
        <f t="shared" si="20"/>
        <v/>
      </c>
      <c r="C287" s="614" t="str">
        <f t="shared" si="21"/>
        <v/>
      </c>
      <c r="D287" s="614" t="str">
        <f t="shared" si="22"/>
        <v/>
      </c>
      <c r="E287" s="615" t="str">
        <f t="shared" si="23"/>
        <v/>
      </c>
      <c r="F287" s="616" t="str">
        <f>IF($H287="","",IF(ISNA(MATCH($H287,$H$7:$H286,0)),1,0))</f>
        <v/>
      </c>
      <c r="G287" s="249"/>
      <c r="H287" s="95"/>
      <c r="I287" s="598" t="str">
        <f>IF($J287="","",INDEX(ﾏｽﾀ!$E$8:$E$124,MATCH(INDEX(ﾏｽﾀ!$N$8:$N$124,MATCH($J287,ﾏｽﾀ!$O$8:$O$124,0)),ﾏｽﾀ!$B$8:$B$124,0))&amp;"")</f>
        <v/>
      </c>
      <c r="J287" s="534"/>
      <c r="K287" s="598" t="str">
        <f>IF($J287="","",INDEX(ﾏｽﾀ!$G$8:$G$124,MATCH(INDEX(ﾏｽﾀ!$N$8:$N$124,MATCH($J287,ﾏｽﾀ!$O$8:$O$124,0)),ﾏｽﾀ!$B$8:$B$124,0))&amp;"")</f>
        <v/>
      </c>
      <c r="L287" s="600" t="str">
        <f>IF($M287="","",INDEX(ﾏｽﾀ!$T$8:$T$16,MATCH($M287,ﾏｽﾀ!$U$8:$U$16,0))&amp;"")</f>
        <v/>
      </c>
      <c r="M287" s="534"/>
      <c r="N287" s="463"/>
      <c r="O287" s="464"/>
      <c r="P287" s="465"/>
      <c r="Q287" s="466" t="str">
        <f t="shared" si="24"/>
        <v/>
      </c>
      <c r="R287" s="154" t="str">
        <f>IF($T287="","",VLOOKUP($T287,請求Data!$I$11:$AR$160,請求Data!$AL$10-請求Data!$H$10,0))</f>
        <v/>
      </c>
      <c r="S287" s="155" t="str">
        <f>IF($T287="","",VLOOKUP($T287,請求Data!$I$11:$AR$160,請求Data!$AM$10-請求Data!$H$10,0))</f>
        <v/>
      </c>
      <c r="T287" s="467" t="str">
        <f>IF(ISNA(MATCH($H287,請求Data!$AH$11:$AH$160,0)),"",VLOOKUP($H287,請求Data!$AH$11:$AR$160,請求Data!$AK$10-請求Data!$AG$10,0))</f>
        <v/>
      </c>
      <c r="U287" s="468"/>
      <c r="V287" s="58"/>
    </row>
    <row r="288" spans="1:22" ht="15" customHeight="1">
      <c r="A288" s="58" t="str">
        <f>IF($Q288="","",MAX($A$8:$A287)+1)</f>
        <v/>
      </c>
      <c r="B288" s="614" t="str">
        <f t="shared" si="20"/>
        <v/>
      </c>
      <c r="C288" s="614" t="str">
        <f t="shared" si="21"/>
        <v/>
      </c>
      <c r="D288" s="614" t="str">
        <f t="shared" si="22"/>
        <v/>
      </c>
      <c r="E288" s="615" t="str">
        <f t="shared" si="23"/>
        <v/>
      </c>
      <c r="F288" s="616" t="str">
        <f>IF($H288="","",IF(ISNA(MATCH($H288,$H$7:$H287,0)),1,0))</f>
        <v/>
      </c>
      <c r="G288" s="249"/>
      <c r="H288" s="95"/>
      <c r="I288" s="598" t="str">
        <f>IF($J288="","",INDEX(ﾏｽﾀ!$E$8:$E$124,MATCH(INDEX(ﾏｽﾀ!$N$8:$N$124,MATCH($J288,ﾏｽﾀ!$O$8:$O$124,0)),ﾏｽﾀ!$B$8:$B$124,0))&amp;"")</f>
        <v/>
      </c>
      <c r="J288" s="534"/>
      <c r="K288" s="598" t="str">
        <f>IF($J288="","",INDEX(ﾏｽﾀ!$G$8:$G$124,MATCH(INDEX(ﾏｽﾀ!$N$8:$N$124,MATCH($J288,ﾏｽﾀ!$O$8:$O$124,0)),ﾏｽﾀ!$B$8:$B$124,0))&amp;"")</f>
        <v/>
      </c>
      <c r="L288" s="600" t="str">
        <f>IF($M288="","",INDEX(ﾏｽﾀ!$T$8:$T$16,MATCH($M288,ﾏｽﾀ!$U$8:$U$16,0))&amp;"")</f>
        <v/>
      </c>
      <c r="M288" s="534"/>
      <c r="N288" s="463"/>
      <c r="O288" s="464"/>
      <c r="P288" s="465"/>
      <c r="Q288" s="466" t="str">
        <f t="shared" si="24"/>
        <v/>
      </c>
      <c r="R288" s="154" t="str">
        <f>IF($T288="","",VLOOKUP($T288,請求Data!$I$11:$AR$160,請求Data!$AL$10-請求Data!$H$10,0))</f>
        <v/>
      </c>
      <c r="S288" s="155" t="str">
        <f>IF($T288="","",VLOOKUP($T288,請求Data!$I$11:$AR$160,請求Data!$AM$10-請求Data!$H$10,0))</f>
        <v/>
      </c>
      <c r="T288" s="467" t="str">
        <f>IF(ISNA(MATCH($H288,請求Data!$AH$11:$AH$160,0)),"",VLOOKUP($H288,請求Data!$AH$11:$AR$160,請求Data!$AK$10-請求Data!$AG$10,0))</f>
        <v/>
      </c>
      <c r="U288" s="468"/>
      <c r="V288" s="58"/>
    </row>
    <row r="289" spans="1:22" ht="15" customHeight="1">
      <c r="A289" s="58" t="str">
        <f>IF($Q289="","",MAX($A$8:$A288)+1)</f>
        <v/>
      </c>
      <c r="B289" s="614" t="str">
        <f t="shared" si="20"/>
        <v/>
      </c>
      <c r="C289" s="614" t="str">
        <f t="shared" si="21"/>
        <v/>
      </c>
      <c r="D289" s="614" t="str">
        <f t="shared" si="22"/>
        <v/>
      </c>
      <c r="E289" s="615" t="str">
        <f t="shared" si="23"/>
        <v/>
      </c>
      <c r="F289" s="616" t="str">
        <f>IF($H289="","",IF(ISNA(MATCH($H289,$H$7:$H288,0)),1,0))</f>
        <v/>
      </c>
      <c r="G289" s="249"/>
      <c r="H289" s="95"/>
      <c r="I289" s="598" t="str">
        <f>IF($J289="","",INDEX(ﾏｽﾀ!$E$8:$E$124,MATCH(INDEX(ﾏｽﾀ!$N$8:$N$124,MATCH($J289,ﾏｽﾀ!$O$8:$O$124,0)),ﾏｽﾀ!$B$8:$B$124,0))&amp;"")</f>
        <v/>
      </c>
      <c r="J289" s="534"/>
      <c r="K289" s="598" t="str">
        <f>IF($J289="","",INDEX(ﾏｽﾀ!$G$8:$G$124,MATCH(INDEX(ﾏｽﾀ!$N$8:$N$124,MATCH($J289,ﾏｽﾀ!$O$8:$O$124,0)),ﾏｽﾀ!$B$8:$B$124,0))&amp;"")</f>
        <v/>
      </c>
      <c r="L289" s="600" t="str">
        <f>IF($M289="","",INDEX(ﾏｽﾀ!$T$8:$T$16,MATCH($M289,ﾏｽﾀ!$U$8:$U$16,0))&amp;"")</f>
        <v/>
      </c>
      <c r="M289" s="534"/>
      <c r="N289" s="463"/>
      <c r="O289" s="464"/>
      <c r="P289" s="465"/>
      <c r="Q289" s="466" t="str">
        <f t="shared" si="24"/>
        <v/>
      </c>
      <c r="R289" s="154" t="str">
        <f>IF($T289="","",VLOOKUP($T289,請求Data!$I$11:$AR$160,請求Data!$AL$10-請求Data!$H$10,0))</f>
        <v/>
      </c>
      <c r="S289" s="155" t="str">
        <f>IF($T289="","",VLOOKUP($T289,請求Data!$I$11:$AR$160,請求Data!$AM$10-請求Data!$H$10,0))</f>
        <v/>
      </c>
      <c r="T289" s="467" t="str">
        <f>IF(ISNA(MATCH($H289,請求Data!$AH$11:$AH$160,0)),"",VLOOKUP($H289,請求Data!$AH$11:$AR$160,請求Data!$AK$10-請求Data!$AG$10,0))</f>
        <v/>
      </c>
      <c r="U289" s="468"/>
      <c r="V289" s="58"/>
    </row>
    <row r="290" spans="1:22" ht="15" customHeight="1">
      <c r="A290" s="58" t="str">
        <f>IF($Q290="","",MAX($A$8:$A289)+1)</f>
        <v/>
      </c>
      <c r="B290" s="614" t="str">
        <f t="shared" si="20"/>
        <v/>
      </c>
      <c r="C290" s="614" t="str">
        <f t="shared" si="21"/>
        <v/>
      </c>
      <c r="D290" s="614" t="str">
        <f t="shared" si="22"/>
        <v/>
      </c>
      <c r="E290" s="615" t="str">
        <f t="shared" si="23"/>
        <v/>
      </c>
      <c r="F290" s="616" t="str">
        <f>IF($H290="","",IF(ISNA(MATCH($H290,$H$7:$H289,0)),1,0))</f>
        <v/>
      </c>
      <c r="G290" s="249"/>
      <c r="H290" s="95"/>
      <c r="I290" s="598" t="str">
        <f>IF($J290="","",INDEX(ﾏｽﾀ!$E$8:$E$124,MATCH(INDEX(ﾏｽﾀ!$N$8:$N$124,MATCH($J290,ﾏｽﾀ!$O$8:$O$124,0)),ﾏｽﾀ!$B$8:$B$124,0))&amp;"")</f>
        <v/>
      </c>
      <c r="J290" s="534"/>
      <c r="K290" s="598" t="str">
        <f>IF($J290="","",INDEX(ﾏｽﾀ!$G$8:$G$124,MATCH(INDEX(ﾏｽﾀ!$N$8:$N$124,MATCH($J290,ﾏｽﾀ!$O$8:$O$124,0)),ﾏｽﾀ!$B$8:$B$124,0))&amp;"")</f>
        <v/>
      </c>
      <c r="L290" s="600" t="str">
        <f>IF($M290="","",INDEX(ﾏｽﾀ!$T$8:$T$16,MATCH($M290,ﾏｽﾀ!$U$8:$U$16,0))&amp;"")</f>
        <v/>
      </c>
      <c r="M290" s="534"/>
      <c r="N290" s="463"/>
      <c r="O290" s="464"/>
      <c r="P290" s="465"/>
      <c r="Q290" s="466" t="str">
        <f t="shared" si="24"/>
        <v/>
      </c>
      <c r="R290" s="154" t="str">
        <f>IF($T290="","",VLOOKUP($T290,請求Data!$I$11:$AR$160,請求Data!$AL$10-請求Data!$H$10,0))</f>
        <v/>
      </c>
      <c r="S290" s="155" t="str">
        <f>IF($T290="","",VLOOKUP($T290,請求Data!$I$11:$AR$160,請求Data!$AM$10-請求Data!$H$10,0))</f>
        <v/>
      </c>
      <c r="T290" s="467" t="str">
        <f>IF(ISNA(MATCH($H290,請求Data!$AH$11:$AH$160,0)),"",VLOOKUP($H290,請求Data!$AH$11:$AR$160,請求Data!$AK$10-請求Data!$AG$10,0))</f>
        <v/>
      </c>
      <c r="U290" s="468"/>
      <c r="V290" s="58"/>
    </row>
    <row r="291" spans="1:22" ht="15" customHeight="1">
      <c r="A291" s="58" t="str">
        <f>IF($Q291="","",MAX($A$8:$A290)+1)</f>
        <v/>
      </c>
      <c r="B291" s="614" t="str">
        <f t="shared" si="20"/>
        <v/>
      </c>
      <c r="C291" s="614" t="str">
        <f t="shared" si="21"/>
        <v/>
      </c>
      <c r="D291" s="614" t="str">
        <f t="shared" si="22"/>
        <v/>
      </c>
      <c r="E291" s="615" t="str">
        <f t="shared" si="23"/>
        <v/>
      </c>
      <c r="F291" s="616" t="str">
        <f>IF($H291="","",IF(ISNA(MATCH($H291,$H$7:$H290,0)),1,0))</f>
        <v/>
      </c>
      <c r="G291" s="249"/>
      <c r="H291" s="95"/>
      <c r="I291" s="598" t="str">
        <f>IF($J291="","",INDEX(ﾏｽﾀ!$E$8:$E$124,MATCH(INDEX(ﾏｽﾀ!$N$8:$N$124,MATCH($J291,ﾏｽﾀ!$O$8:$O$124,0)),ﾏｽﾀ!$B$8:$B$124,0))&amp;"")</f>
        <v/>
      </c>
      <c r="J291" s="534"/>
      <c r="K291" s="598" t="str">
        <f>IF($J291="","",INDEX(ﾏｽﾀ!$G$8:$G$124,MATCH(INDEX(ﾏｽﾀ!$N$8:$N$124,MATCH($J291,ﾏｽﾀ!$O$8:$O$124,0)),ﾏｽﾀ!$B$8:$B$124,0))&amp;"")</f>
        <v/>
      </c>
      <c r="L291" s="600" t="str">
        <f>IF($M291="","",INDEX(ﾏｽﾀ!$T$8:$T$16,MATCH($M291,ﾏｽﾀ!$U$8:$U$16,0))&amp;"")</f>
        <v/>
      </c>
      <c r="M291" s="534"/>
      <c r="N291" s="463"/>
      <c r="O291" s="464"/>
      <c r="P291" s="465"/>
      <c r="Q291" s="466" t="str">
        <f t="shared" si="24"/>
        <v/>
      </c>
      <c r="R291" s="154" t="str">
        <f>IF($T291="","",VLOOKUP($T291,請求Data!$I$11:$AR$160,請求Data!$AL$10-請求Data!$H$10,0))</f>
        <v/>
      </c>
      <c r="S291" s="155" t="str">
        <f>IF($T291="","",VLOOKUP($T291,請求Data!$I$11:$AR$160,請求Data!$AM$10-請求Data!$H$10,0))</f>
        <v/>
      </c>
      <c r="T291" s="467" t="str">
        <f>IF(ISNA(MATCH($H291,請求Data!$AH$11:$AH$160,0)),"",VLOOKUP($H291,請求Data!$AH$11:$AR$160,請求Data!$AK$10-請求Data!$AG$10,0))</f>
        <v/>
      </c>
      <c r="U291" s="468"/>
      <c r="V291" s="58"/>
    </row>
    <row r="292" spans="1:22" ht="15" customHeight="1">
      <c r="A292" s="58" t="str">
        <f>IF($Q292="","",MAX($A$8:$A291)+1)</f>
        <v/>
      </c>
      <c r="B292" s="614" t="str">
        <f t="shared" si="20"/>
        <v/>
      </c>
      <c r="C292" s="614" t="str">
        <f t="shared" si="21"/>
        <v/>
      </c>
      <c r="D292" s="614" t="str">
        <f t="shared" si="22"/>
        <v/>
      </c>
      <c r="E292" s="615" t="str">
        <f t="shared" si="23"/>
        <v/>
      </c>
      <c r="F292" s="616" t="str">
        <f>IF($H292="","",IF(ISNA(MATCH($H292,$H$7:$H291,0)),1,0))</f>
        <v/>
      </c>
      <c r="G292" s="249"/>
      <c r="H292" s="95"/>
      <c r="I292" s="598" t="str">
        <f>IF($J292="","",INDEX(ﾏｽﾀ!$E$8:$E$124,MATCH(INDEX(ﾏｽﾀ!$N$8:$N$124,MATCH($J292,ﾏｽﾀ!$O$8:$O$124,0)),ﾏｽﾀ!$B$8:$B$124,0))&amp;"")</f>
        <v/>
      </c>
      <c r="J292" s="534"/>
      <c r="K292" s="598" t="str">
        <f>IF($J292="","",INDEX(ﾏｽﾀ!$G$8:$G$124,MATCH(INDEX(ﾏｽﾀ!$N$8:$N$124,MATCH($J292,ﾏｽﾀ!$O$8:$O$124,0)),ﾏｽﾀ!$B$8:$B$124,0))&amp;"")</f>
        <v/>
      </c>
      <c r="L292" s="600" t="str">
        <f>IF($M292="","",INDEX(ﾏｽﾀ!$T$8:$T$16,MATCH($M292,ﾏｽﾀ!$U$8:$U$16,0))&amp;"")</f>
        <v/>
      </c>
      <c r="M292" s="534"/>
      <c r="N292" s="463"/>
      <c r="O292" s="464"/>
      <c r="P292" s="465"/>
      <c r="Q292" s="466" t="str">
        <f t="shared" si="24"/>
        <v/>
      </c>
      <c r="R292" s="154" t="str">
        <f>IF($T292="","",VLOOKUP($T292,請求Data!$I$11:$AR$160,請求Data!$AL$10-請求Data!$H$10,0))</f>
        <v/>
      </c>
      <c r="S292" s="155" t="str">
        <f>IF($T292="","",VLOOKUP($T292,請求Data!$I$11:$AR$160,請求Data!$AM$10-請求Data!$H$10,0))</f>
        <v/>
      </c>
      <c r="T292" s="467" t="str">
        <f>IF(ISNA(MATCH($H292,請求Data!$AH$11:$AH$160,0)),"",VLOOKUP($H292,請求Data!$AH$11:$AR$160,請求Data!$AK$10-請求Data!$AG$10,0))</f>
        <v/>
      </c>
      <c r="U292" s="468"/>
      <c r="V292" s="58"/>
    </row>
    <row r="293" spans="1:22" ht="15" customHeight="1">
      <c r="A293" s="58" t="str">
        <f>IF($Q293="","",MAX($A$8:$A292)+1)</f>
        <v/>
      </c>
      <c r="B293" s="614" t="str">
        <f t="shared" si="20"/>
        <v/>
      </c>
      <c r="C293" s="614" t="str">
        <f t="shared" si="21"/>
        <v/>
      </c>
      <c r="D293" s="614" t="str">
        <f t="shared" si="22"/>
        <v/>
      </c>
      <c r="E293" s="615" t="str">
        <f t="shared" si="23"/>
        <v/>
      </c>
      <c r="F293" s="616" t="str">
        <f>IF($H293="","",IF(ISNA(MATCH($H293,$H$7:$H292,0)),1,0))</f>
        <v/>
      </c>
      <c r="G293" s="249"/>
      <c r="H293" s="95"/>
      <c r="I293" s="598" t="str">
        <f>IF($J293="","",INDEX(ﾏｽﾀ!$E$8:$E$124,MATCH(INDEX(ﾏｽﾀ!$N$8:$N$124,MATCH($J293,ﾏｽﾀ!$O$8:$O$124,0)),ﾏｽﾀ!$B$8:$B$124,0))&amp;"")</f>
        <v/>
      </c>
      <c r="J293" s="534"/>
      <c r="K293" s="598" t="str">
        <f>IF($J293="","",INDEX(ﾏｽﾀ!$G$8:$G$124,MATCH(INDEX(ﾏｽﾀ!$N$8:$N$124,MATCH($J293,ﾏｽﾀ!$O$8:$O$124,0)),ﾏｽﾀ!$B$8:$B$124,0))&amp;"")</f>
        <v/>
      </c>
      <c r="L293" s="600" t="str">
        <f>IF($M293="","",INDEX(ﾏｽﾀ!$T$8:$T$16,MATCH($M293,ﾏｽﾀ!$U$8:$U$16,0))&amp;"")</f>
        <v/>
      </c>
      <c r="M293" s="534"/>
      <c r="N293" s="463"/>
      <c r="O293" s="464"/>
      <c r="P293" s="465"/>
      <c r="Q293" s="466" t="str">
        <f t="shared" si="24"/>
        <v/>
      </c>
      <c r="R293" s="154" t="str">
        <f>IF($T293="","",VLOOKUP($T293,請求Data!$I$11:$AR$160,請求Data!$AL$10-請求Data!$H$10,0))</f>
        <v/>
      </c>
      <c r="S293" s="155" t="str">
        <f>IF($T293="","",VLOOKUP($T293,請求Data!$I$11:$AR$160,請求Data!$AM$10-請求Data!$H$10,0))</f>
        <v/>
      </c>
      <c r="T293" s="467" t="str">
        <f>IF(ISNA(MATCH($H293,請求Data!$AH$11:$AH$160,0)),"",VLOOKUP($H293,請求Data!$AH$11:$AR$160,請求Data!$AK$10-請求Data!$AG$10,0))</f>
        <v/>
      </c>
      <c r="U293" s="468"/>
      <c r="V293" s="58"/>
    </row>
    <row r="294" spans="1:22" ht="15" customHeight="1">
      <c r="A294" s="58" t="str">
        <f>IF($Q294="","",MAX($A$8:$A293)+1)</f>
        <v/>
      </c>
      <c r="B294" s="614" t="str">
        <f t="shared" si="20"/>
        <v/>
      </c>
      <c r="C294" s="614" t="str">
        <f t="shared" si="21"/>
        <v/>
      </c>
      <c r="D294" s="614" t="str">
        <f t="shared" si="22"/>
        <v/>
      </c>
      <c r="E294" s="615" t="str">
        <f t="shared" si="23"/>
        <v/>
      </c>
      <c r="F294" s="616" t="str">
        <f>IF($H294="","",IF(ISNA(MATCH($H294,$H$7:$H293,0)),1,0))</f>
        <v/>
      </c>
      <c r="G294" s="249"/>
      <c r="H294" s="95"/>
      <c r="I294" s="598" t="str">
        <f>IF($J294="","",INDEX(ﾏｽﾀ!$E$8:$E$124,MATCH(INDEX(ﾏｽﾀ!$N$8:$N$124,MATCH($J294,ﾏｽﾀ!$O$8:$O$124,0)),ﾏｽﾀ!$B$8:$B$124,0))&amp;"")</f>
        <v/>
      </c>
      <c r="J294" s="534"/>
      <c r="K294" s="598" t="str">
        <f>IF($J294="","",INDEX(ﾏｽﾀ!$G$8:$G$124,MATCH(INDEX(ﾏｽﾀ!$N$8:$N$124,MATCH($J294,ﾏｽﾀ!$O$8:$O$124,0)),ﾏｽﾀ!$B$8:$B$124,0))&amp;"")</f>
        <v/>
      </c>
      <c r="L294" s="600" t="str">
        <f>IF($M294="","",INDEX(ﾏｽﾀ!$T$8:$T$16,MATCH($M294,ﾏｽﾀ!$U$8:$U$16,0))&amp;"")</f>
        <v/>
      </c>
      <c r="M294" s="534"/>
      <c r="N294" s="463"/>
      <c r="O294" s="464"/>
      <c r="P294" s="465"/>
      <c r="Q294" s="466" t="str">
        <f t="shared" si="24"/>
        <v/>
      </c>
      <c r="R294" s="154" t="str">
        <f>IF($T294="","",VLOOKUP($T294,請求Data!$I$11:$AR$160,請求Data!$AL$10-請求Data!$H$10,0))</f>
        <v/>
      </c>
      <c r="S294" s="155" t="str">
        <f>IF($T294="","",VLOOKUP($T294,請求Data!$I$11:$AR$160,請求Data!$AM$10-請求Data!$H$10,0))</f>
        <v/>
      </c>
      <c r="T294" s="467" t="str">
        <f>IF(ISNA(MATCH($H294,請求Data!$AH$11:$AH$160,0)),"",VLOOKUP($H294,請求Data!$AH$11:$AR$160,請求Data!$AK$10-請求Data!$AG$10,0))</f>
        <v/>
      </c>
      <c r="U294" s="468"/>
      <c r="V294" s="58"/>
    </row>
    <row r="295" spans="1:22" ht="15" customHeight="1">
      <c r="A295" s="58" t="str">
        <f>IF($Q295="","",MAX($A$8:$A294)+1)</f>
        <v/>
      </c>
      <c r="B295" s="614" t="str">
        <f t="shared" si="20"/>
        <v/>
      </c>
      <c r="C295" s="614" t="str">
        <f t="shared" si="21"/>
        <v/>
      </c>
      <c r="D295" s="614" t="str">
        <f t="shared" si="22"/>
        <v/>
      </c>
      <c r="E295" s="615" t="str">
        <f t="shared" si="23"/>
        <v/>
      </c>
      <c r="F295" s="616" t="str">
        <f>IF($H295="","",IF(ISNA(MATCH($H295,$H$7:$H294,0)),1,0))</f>
        <v/>
      </c>
      <c r="G295" s="249"/>
      <c r="H295" s="95"/>
      <c r="I295" s="598" t="str">
        <f>IF($J295="","",INDEX(ﾏｽﾀ!$E$8:$E$124,MATCH(INDEX(ﾏｽﾀ!$N$8:$N$124,MATCH($J295,ﾏｽﾀ!$O$8:$O$124,0)),ﾏｽﾀ!$B$8:$B$124,0))&amp;"")</f>
        <v/>
      </c>
      <c r="J295" s="534"/>
      <c r="K295" s="598" t="str">
        <f>IF($J295="","",INDEX(ﾏｽﾀ!$G$8:$G$124,MATCH(INDEX(ﾏｽﾀ!$N$8:$N$124,MATCH($J295,ﾏｽﾀ!$O$8:$O$124,0)),ﾏｽﾀ!$B$8:$B$124,0))&amp;"")</f>
        <v/>
      </c>
      <c r="L295" s="600" t="str">
        <f>IF($M295="","",INDEX(ﾏｽﾀ!$T$8:$T$16,MATCH($M295,ﾏｽﾀ!$U$8:$U$16,0))&amp;"")</f>
        <v/>
      </c>
      <c r="M295" s="534"/>
      <c r="N295" s="463"/>
      <c r="O295" s="464"/>
      <c r="P295" s="465"/>
      <c r="Q295" s="466" t="str">
        <f t="shared" si="24"/>
        <v/>
      </c>
      <c r="R295" s="154" t="str">
        <f>IF($T295="","",VLOOKUP($T295,請求Data!$I$11:$AR$160,請求Data!$AL$10-請求Data!$H$10,0))</f>
        <v/>
      </c>
      <c r="S295" s="155" t="str">
        <f>IF($T295="","",VLOOKUP($T295,請求Data!$I$11:$AR$160,請求Data!$AM$10-請求Data!$H$10,0))</f>
        <v/>
      </c>
      <c r="T295" s="467" t="str">
        <f>IF(ISNA(MATCH($H295,請求Data!$AH$11:$AH$160,0)),"",VLOOKUP($H295,請求Data!$AH$11:$AR$160,請求Data!$AK$10-請求Data!$AG$10,0))</f>
        <v/>
      </c>
      <c r="U295" s="468"/>
      <c r="V295" s="58"/>
    </row>
    <row r="296" spans="1:22" ht="15" customHeight="1">
      <c r="A296" s="58" t="str">
        <f>IF($Q296="","",MAX($A$8:$A295)+1)</f>
        <v/>
      </c>
      <c r="B296" s="614" t="str">
        <f t="shared" si="20"/>
        <v/>
      </c>
      <c r="C296" s="614" t="str">
        <f t="shared" si="21"/>
        <v/>
      </c>
      <c r="D296" s="614" t="str">
        <f t="shared" si="22"/>
        <v/>
      </c>
      <c r="E296" s="615" t="str">
        <f t="shared" si="23"/>
        <v/>
      </c>
      <c r="F296" s="616" t="str">
        <f>IF($H296="","",IF(ISNA(MATCH($H296,$H$7:$H295,0)),1,0))</f>
        <v/>
      </c>
      <c r="G296" s="249"/>
      <c r="H296" s="95"/>
      <c r="I296" s="598" t="str">
        <f>IF($J296="","",INDEX(ﾏｽﾀ!$E$8:$E$124,MATCH(INDEX(ﾏｽﾀ!$N$8:$N$124,MATCH($J296,ﾏｽﾀ!$O$8:$O$124,0)),ﾏｽﾀ!$B$8:$B$124,0))&amp;"")</f>
        <v/>
      </c>
      <c r="J296" s="534"/>
      <c r="K296" s="598" t="str">
        <f>IF($J296="","",INDEX(ﾏｽﾀ!$G$8:$G$124,MATCH(INDEX(ﾏｽﾀ!$N$8:$N$124,MATCH($J296,ﾏｽﾀ!$O$8:$O$124,0)),ﾏｽﾀ!$B$8:$B$124,0))&amp;"")</f>
        <v/>
      </c>
      <c r="L296" s="600" t="str">
        <f>IF($M296="","",INDEX(ﾏｽﾀ!$T$8:$T$16,MATCH($M296,ﾏｽﾀ!$U$8:$U$16,0))&amp;"")</f>
        <v/>
      </c>
      <c r="M296" s="534"/>
      <c r="N296" s="463"/>
      <c r="O296" s="464"/>
      <c r="P296" s="465"/>
      <c r="Q296" s="466" t="str">
        <f t="shared" si="24"/>
        <v/>
      </c>
      <c r="R296" s="154" t="str">
        <f>IF($T296="","",VLOOKUP($T296,請求Data!$I$11:$AR$160,請求Data!$AL$10-請求Data!$H$10,0))</f>
        <v/>
      </c>
      <c r="S296" s="155" t="str">
        <f>IF($T296="","",VLOOKUP($T296,請求Data!$I$11:$AR$160,請求Data!$AM$10-請求Data!$H$10,0))</f>
        <v/>
      </c>
      <c r="T296" s="467" t="str">
        <f>IF(ISNA(MATCH($H296,請求Data!$AH$11:$AH$160,0)),"",VLOOKUP($H296,請求Data!$AH$11:$AR$160,請求Data!$AK$10-請求Data!$AG$10,0))</f>
        <v/>
      </c>
      <c r="U296" s="468"/>
      <c r="V296" s="58"/>
    </row>
    <row r="297" spans="1:22" ht="15" customHeight="1">
      <c r="A297" s="58" t="str">
        <f>IF($Q297="","",MAX($A$8:$A296)+1)</f>
        <v/>
      </c>
      <c r="B297" s="614" t="str">
        <f t="shared" si="20"/>
        <v/>
      </c>
      <c r="C297" s="614" t="str">
        <f t="shared" si="21"/>
        <v/>
      </c>
      <c r="D297" s="614" t="str">
        <f t="shared" si="22"/>
        <v/>
      </c>
      <c r="E297" s="615" t="str">
        <f t="shared" si="23"/>
        <v/>
      </c>
      <c r="F297" s="616" t="str">
        <f>IF($H297="","",IF(ISNA(MATCH($H297,$H$7:$H296,0)),1,0))</f>
        <v/>
      </c>
      <c r="G297" s="249"/>
      <c r="H297" s="95"/>
      <c r="I297" s="598" t="str">
        <f>IF($J297="","",INDEX(ﾏｽﾀ!$E$8:$E$124,MATCH(INDEX(ﾏｽﾀ!$N$8:$N$124,MATCH($J297,ﾏｽﾀ!$O$8:$O$124,0)),ﾏｽﾀ!$B$8:$B$124,0))&amp;"")</f>
        <v/>
      </c>
      <c r="J297" s="534"/>
      <c r="K297" s="598" t="str">
        <f>IF($J297="","",INDEX(ﾏｽﾀ!$G$8:$G$124,MATCH(INDEX(ﾏｽﾀ!$N$8:$N$124,MATCH($J297,ﾏｽﾀ!$O$8:$O$124,0)),ﾏｽﾀ!$B$8:$B$124,0))&amp;"")</f>
        <v/>
      </c>
      <c r="L297" s="600" t="str">
        <f>IF($M297="","",INDEX(ﾏｽﾀ!$T$8:$T$16,MATCH($M297,ﾏｽﾀ!$U$8:$U$16,0))&amp;"")</f>
        <v/>
      </c>
      <c r="M297" s="534"/>
      <c r="N297" s="463"/>
      <c r="O297" s="464"/>
      <c r="P297" s="465"/>
      <c r="Q297" s="466" t="str">
        <f t="shared" si="24"/>
        <v/>
      </c>
      <c r="R297" s="154" t="str">
        <f>IF($T297="","",VLOOKUP($T297,請求Data!$I$11:$AR$160,請求Data!$AL$10-請求Data!$H$10,0))</f>
        <v/>
      </c>
      <c r="S297" s="155" t="str">
        <f>IF($T297="","",VLOOKUP($T297,請求Data!$I$11:$AR$160,請求Data!$AM$10-請求Data!$H$10,0))</f>
        <v/>
      </c>
      <c r="T297" s="467" t="str">
        <f>IF(ISNA(MATCH($H297,請求Data!$AH$11:$AH$160,0)),"",VLOOKUP($H297,請求Data!$AH$11:$AR$160,請求Data!$AK$10-請求Data!$AG$10,0))</f>
        <v/>
      </c>
      <c r="U297" s="468"/>
      <c r="V297" s="58"/>
    </row>
    <row r="298" spans="1:22">
      <c r="N298" s="156"/>
      <c r="T298" s="48"/>
      <c r="U298" s="48"/>
    </row>
    <row r="299" spans="1:22" s="34" customFormat="1">
      <c r="B299" s="35"/>
      <c r="C299" s="35"/>
      <c r="D299" s="35"/>
      <c r="E299" s="98"/>
      <c r="F299" s="98"/>
      <c r="H299" s="35"/>
      <c r="I299" s="43"/>
      <c r="J299" s="38"/>
      <c r="K299" s="43"/>
      <c r="L299" s="43"/>
      <c r="M299" s="38"/>
      <c r="N299" s="38"/>
      <c r="O299" s="39"/>
      <c r="P299" s="39"/>
      <c r="R299" s="38"/>
      <c r="S299" s="38"/>
      <c r="T299" s="49"/>
      <c r="U299" s="49"/>
    </row>
  </sheetData>
  <autoFilter ref="A8:V8" xr:uid="{00000000-0009-0000-0000-000001000000}"/>
  <mergeCells count="13">
    <mergeCell ref="B6:B7"/>
    <mergeCell ref="C6:C7"/>
    <mergeCell ref="R6:T6"/>
    <mergeCell ref="G6:G7"/>
    <mergeCell ref="H6:H7"/>
    <mergeCell ref="I6:Q6"/>
    <mergeCell ref="I7:K7"/>
    <mergeCell ref="L7:M7"/>
    <mergeCell ref="V6:V7"/>
    <mergeCell ref="U6:U7"/>
    <mergeCell ref="D6:D7"/>
    <mergeCell ref="E6:E7"/>
    <mergeCell ref="F6:F7"/>
  </mergeCells>
  <phoneticPr fontId="3"/>
  <conditionalFormatting sqref="U9:U297">
    <cfRule type="expression" dxfId="29" priority="6">
      <formula>OR($N9="$",$N9="HK$")</formula>
    </cfRule>
    <cfRule type="expression" dxfId="28" priority="7">
      <formula>$N9="\"</formula>
    </cfRule>
  </conditionalFormatting>
  <conditionalFormatting sqref="Q9:Q297">
    <cfRule type="expression" dxfId="27" priority="4">
      <formula>$Q9="ERR"</formula>
    </cfRule>
  </conditionalFormatting>
  <conditionalFormatting sqref="Q9:Q297">
    <cfRule type="expression" dxfId="26" priority="1">
      <formula>OR($N9="$",$N9="HK$")</formula>
    </cfRule>
    <cfRule type="expression" dxfId="25" priority="2">
      <formula>$N9="\"</formula>
    </cfRule>
    <cfRule type="expression" dxfId="24" priority="3">
      <formula>$U9&lt;&gt;0</formula>
    </cfRule>
  </conditionalFormatting>
  <dataValidations count="1">
    <dataValidation type="list" allowBlank="1" showInputMessage="1" showErrorMessage="1" sqref="N9:N297" xr:uid="{00000000-0002-0000-0100-000000000000}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10:I23 I9 K9 I24:I297 K10:K23 K24:K297 L9:L297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OFFSET(ﾏｽﾀ!$R$8,0,0,COUNTA(ﾏｽﾀ!$R$8:$R$124),1)</xm:f>
          </x14:formula1>
          <xm:sqref>J9:J297</xm:sqref>
        </x14:dataValidation>
        <x14:dataValidation type="list" allowBlank="1" showInputMessage="1" showErrorMessage="1" xr:uid="{00000000-0002-0000-0100-000002000000}">
          <x14:formula1>
            <xm:f>ﾏｽﾀ!$U$8:$U$16</xm:f>
          </x14:formula1>
          <xm:sqref>M9:M297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/>
  </sheetPr>
  <dimension ref="A1:AU162"/>
  <sheetViews>
    <sheetView zoomScale="75" zoomScaleNormal="75" workbookViewId="0">
      <pane xSplit="9" ySplit="10" topLeftCell="J11" activePane="bottomRight" state="frozen"/>
      <selection pane="topRight" activeCell="I1" sqref="I1"/>
      <selection pane="bottomLeft" activeCell="A11" sqref="A11"/>
      <selection pane="bottomRight" activeCell="T12" sqref="T12"/>
    </sheetView>
  </sheetViews>
  <sheetFormatPr defaultColWidth="9" defaultRowHeight="13.2" outlineLevelRow="1" outlineLevelCol="1"/>
  <cols>
    <col min="1" max="1" width="3" style="16" bestFit="1" customWidth="1"/>
    <col min="2" max="2" width="3.109375" style="28" customWidth="1"/>
    <col min="3" max="3" width="3.88671875" style="16" hidden="1" customWidth="1" outlineLevel="1"/>
    <col min="4" max="4" width="6.44140625" style="16" hidden="1" customWidth="1" outlineLevel="1"/>
    <col min="5" max="5" width="13.6640625" style="16" hidden="1" customWidth="1" outlineLevel="1"/>
    <col min="6" max="6" width="10.6640625" style="16" hidden="1" customWidth="1" outlineLevel="1"/>
    <col min="7" max="7" width="9" style="16" hidden="1" customWidth="1" outlineLevel="1"/>
    <col min="8" max="8" width="6.109375" style="16" hidden="1" customWidth="1" outlineLevel="1"/>
    <col min="9" max="9" width="10.6640625" style="16" customWidth="1" collapsed="1"/>
    <col min="10" max="10" width="5.6640625" style="16" customWidth="1"/>
    <col min="11" max="11" width="3.6640625" style="26" customWidth="1"/>
    <col min="12" max="14" width="4.6640625" style="16" customWidth="1"/>
    <col min="15" max="18" width="4.6640625" style="16" hidden="1" customWidth="1" outlineLevel="1"/>
    <col min="19" max="19" width="3.88671875" style="16" customWidth="1" collapsed="1"/>
    <col min="20" max="20" width="40.6640625" style="26" customWidth="1"/>
    <col min="21" max="21" width="4.6640625" style="16" customWidth="1"/>
    <col min="22" max="22" width="9" style="16"/>
    <col min="23" max="23" width="4.21875" style="27" customWidth="1"/>
    <col min="24" max="24" width="8.6640625" style="47" customWidth="1"/>
    <col min="25" max="26" width="4.6640625" style="47" customWidth="1"/>
    <col min="27" max="27" width="2.88671875" style="27" customWidth="1"/>
    <col min="28" max="28" width="8.109375" style="26" customWidth="1"/>
    <col min="29" max="29" width="4.6640625" style="26" customWidth="1"/>
    <col min="30" max="30" width="4.6640625" style="16" customWidth="1"/>
    <col min="31" max="31" width="12.6640625" style="16" customWidth="1"/>
    <col min="32" max="32" width="4.6640625" style="16" customWidth="1"/>
    <col min="33" max="33" width="12.6640625" style="16" customWidth="1"/>
    <col min="34" max="34" width="10.6640625" style="27" customWidth="1"/>
    <col min="35" max="35" width="12.6640625" style="16" customWidth="1"/>
    <col min="36" max="36" width="3.6640625" style="16" hidden="1" customWidth="1" outlineLevel="1"/>
    <col min="37" max="37" width="9" style="16" hidden="1" customWidth="1" outlineLevel="1"/>
    <col min="38" max="38" width="4.77734375" style="16" hidden="1" customWidth="1" outlineLevel="1"/>
    <col min="39" max="39" width="5.77734375" style="16" hidden="1" customWidth="1" outlineLevel="1"/>
    <col min="40" max="41" width="9" style="16" hidden="1" customWidth="1" outlineLevel="1"/>
    <col min="42" max="42" width="13.109375" style="16" hidden="1" customWidth="1" outlineLevel="1"/>
    <col min="43" max="43" width="9" style="16" collapsed="1"/>
    <col min="44" max="44" width="9" style="16"/>
    <col min="45" max="45" width="73.88671875" style="16" customWidth="1"/>
    <col min="46" max="47" width="33.77734375" style="16" customWidth="1"/>
    <col min="48" max="16384" width="9" style="16"/>
  </cols>
  <sheetData>
    <row r="1" spans="1:47" ht="15" customHeight="1">
      <c r="I1" s="93" t="str">
        <f ca="1">RIGHT(CELL("filename",I1),LEN(CELL("filename",I1))-FIND("]",CELL("filename",I1)))</f>
        <v>請求Data</v>
      </c>
      <c r="K1" s="460" t="s">
        <v>465</v>
      </c>
      <c r="S1" s="342" t="s">
        <v>576</v>
      </c>
      <c r="AB1" s="106" t="str">
        <f>IF('納品書明細16-E'!$N$2="","",'納品書明細16-E'!$N$2)</f>
        <v>\</v>
      </c>
      <c r="AC1" s="107" t="str">
        <f>IF('納品書明細16-E'!$O$2="","",'納品書明細16-E'!$O$2)</f>
        <v>1</v>
      </c>
      <c r="AD1" s="331">
        <f>SUMIF($AC$11:$AC$160,$AB1,$AD$11:$AD$160)</f>
        <v>13</v>
      </c>
      <c r="AE1" s="158">
        <f>SUMIF($AC$11:$AC$160,$AB1,$AE$11:$AE$160)</f>
        <v>50178897</v>
      </c>
      <c r="AF1" s="333">
        <f>SUMIF($AC$11:$AC$160,$AB1,$AF$11:$AF$160)</f>
        <v>1</v>
      </c>
      <c r="AG1" s="158">
        <f>SUMIF($AC$11:$AC$160,$AB1,$AG$11:$AG$160)</f>
        <v>9099000</v>
      </c>
      <c r="AH1" s="333">
        <f>COUNTIFS($AC$11:$AC$160,$AB1,$AH$11:$AH$160,"*")</f>
        <v>3</v>
      </c>
      <c r="AI1" s="158">
        <f>SUMIF($AC$11:$AC$160,$AB1,$AI$11:$AI$160)</f>
        <v>1098766</v>
      </c>
    </row>
    <row r="2" spans="1:47" ht="15" customHeight="1">
      <c r="A2" s="100"/>
      <c r="K2" s="343" t="s">
        <v>467</v>
      </c>
      <c r="S2" s="472" t="s">
        <v>695</v>
      </c>
      <c r="AB2" s="108" t="str">
        <f>IF('納品書明細16-E'!$N$3="","",'納品書明細16-E'!$N$3)</f>
        <v>$</v>
      </c>
      <c r="AC2" s="109" t="str">
        <f>IF('納品書明細16-E'!$O$3="","",'納品書明細16-E'!$O$3)</f>
        <v>2</v>
      </c>
      <c r="AD2" s="331">
        <f>SUMIF($AC$11:$AC$160,$AB2,$AD$11:$AD$160)</f>
        <v>3</v>
      </c>
      <c r="AE2" s="159">
        <f>SUMIF($AC$11:$AC$160,$AB2,$AE$11:$AE$160)</f>
        <v>920715.76</v>
      </c>
      <c r="AF2" s="333">
        <f>SUMIF($AC$11:$AC$160,$AB2,$AF$11:$AF$160)</f>
        <v>0</v>
      </c>
      <c r="AG2" s="159">
        <f>SUMIF($AC$11:$AC$160,$AB2,$AG$11:$AG$160)</f>
        <v>0</v>
      </c>
      <c r="AH2" s="333">
        <f>COUNTIFS($AC$11:$AC$160,$AB2,$AH$11:$AH$160,"*")</f>
        <v>0</v>
      </c>
      <c r="AI2" s="159">
        <f>SUMIF($AC$11:$AC$160,$AB2,$AI$11:$AI$160)</f>
        <v>0</v>
      </c>
    </row>
    <row r="3" spans="1:47" ht="15" customHeight="1">
      <c r="J3" s="16" t="s">
        <v>115</v>
      </c>
      <c r="M3" s="52"/>
      <c r="N3" s="16" t="s">
        <v>82</v>
      </c>
      <c r="AB3" s="108" t="str">
        <f>IF('納品書明細16-E'!$N$4="","",'納品書明細16-E'!$N$4)</f>
        <v>HK$</v>
      </c>
      <c r="AC3" s="109" t="str">
        <f>IF('納品書明細16-E'!$O$4="","",'納品書明細16-E'!$O$4)</f>
        <v>3</v>
      </c>
      <c r="AD3" s="331">
        <f>SUMIF($AC$11:$AC$160,$AB3,$AD$11:$AD$160)</f>
        <v>2</v>
      </c>
      <c r="AE3" s="159">
        <f>SUMIF($AC$11:$AC$160,$AB3,$AE$11:$AE$160)</f>
        <v>236897.73</v>
      </c>
      <c r="AF3" s="333">
        <f>SUMIF($AC$11:$AC$160,$AB3,$AF$11:$AF$160)</f>
        <v>0</v>
      </c>
      <c r="AG3" s="159">
        <f>SUMIF($AC$11:$AC$160,$AB3,$AG$11:$AG$160)</f>
        <v>0</v>
      </c>
      <c r="AH3" s="333">
        <f>COUNTIFS($AC$11:$AC$160,$AB3,$AH$11:$AH$160,"*")</f>
        <v>0</v>
      </c>
      <c r="AI3" s="159">
        <f>SUMIF($AC$11:$AC$160,$AB3,$AI$11:$AI$160)</f>
        <v>0</v>
      </c>
    </row>
    <row r="4" spans="1:47" ht="15" customHeight="1" thickBot="1">
      <c r="J4" s="686">
        <v>43190</v>
      </c>
      <c r="K4" s="686"/>
      <c r="M4" s="250"/>
      <c r="N4" s="16" t="s">
        <v>83</v>
      </c>
      <c r="AB4" s="110" t="str">
        <f>IF('納品書明細16-E'!$N$5="","",'納品書明細16-E'!$N$5)</f>
        <v/>
      </c>
      <c r="AC4" s="111" t="str">
        <f>IF('納品書明細16-E'!$O$5="","",'納品書明細16-E'!$O$5)</f>
        <v>4</v>
      </c>
      <c r="AD4" s="332">
        <f>SUMIF($AC$11:$AC$160,$AB4,$AD$11:$AD$160)</f>
        <v>0</v>
      </c>
      <c r="AE4" s="160">
        <f>SUMIF($AC$11:$AC$160,$AB4,$AE$11:$AE$160)</f>
        <v>0</v>
      </c>
      <c r="AF4" s="334">
        <f>SUMIF($AC$11:$AC$160,$AB4,$AF$11:$AF$160)</f>
        <v>0</v>
      </c>
      <c r="AG4" s="160">
        <f>SUMIF($AC$11:$AC$160,$AB4,$AG$11:$AG$160)</f>
        <v>0</v>
      </c>
      <c r="AH4" s="333">
        <f>COUNTIFS($AC$11:$AC$160,$AB4,$AH$11:$AH$160,"*")</f>
        <v>0</v>
      </c>
      <c r="AI4" s="160">
        <f>SUMIF($AC$11:$AC$160,$AB4,$AI$11:$AI$160)</f>
        <v>0</v>
      </c>
    </row>
    <row r="5" spans="1:47" ht="15" customHeight="1" thickBot="1">
      <c r="M5" s="479"/>
      <c r="N5" t="s">
        <v>456</v>
      </c>
      <c r="AD5" s="320">
        <f>$AD$161</f>
        <v>18</v>
      </c>
      <c r="AE5" s="137">
        <f>$AE$161</f>
        <v>51336510.489999995</v>
      </c>
      <c r="AF5" s="335">
        <f>$AF$161</f>
        <v>1</v>
      </c>
      <c r="AG5" s="137">
        <f>$AG$161</f>
        <v>9099000</v>
      </c>
      <c r="AH5" s="335">
        <f>$AH$161</f>
        <v>3</v>
      </c>
      <c r="AI5" s="138">
        <f>$AI$161</f>
        <v>1098766</v>
      </c>
    </row>
    <row r="6" spans="1:47" s="336" customFormat="1" ht="13.5" customHeight="1">
      <c r="E6" s="337"/>
      <c r="K6" s="337"/>
      <c r="M6" s="491"/>
      <c r="N6" s="16" t="s">
        <v>84</v>
      </c>
      <c r="Q6" s="337"/>
    </row>
    <row r="7" spans="1:47" s="25" customFormat="1" ht="17.100000000000001" customHeight="1">
      <c r="A7" s="338"/>
      <c r="B7" s="697" t="s">
        <v>431</v>
      </c>
      <c r="C7" s="338"/>
      <c r="D7" s="338"/>
      <c r="E7" s="338"/>
      <c r="F7" s="338"/>
      <c r="G7" s="338"/>
      <c r="H7" s="604"/>
      <c r="I7" s="661" t="s">
        <v>461</v>
      </c>
      <c r="J7" s="700" t="s">
        <v>196</v>
      </c>
      <c r="K7" s="698" t="s">
        <v>44</v>
      </c>
      <c r="L7" s="699"/>
      <c r="M7" s="687" t="s">
        <v>77</v>
      </c>
      <c r="N7" s="689"/>
      <c r="O7" s="687" t="s">
        <v>449</v>
      </c>
      <c r="P7" s="688"/>
      <c r="Q7" s="688"/>
      <c r="R7" s="689"/>
      <c r="S7" s="699" t="s">
        <v>51</v>
      </c>
      <c r="T7" s="706"/>
      <c r="U7" s="706"/>
      <c r="V7" s="706"/>
      <c r="W7" s="706"/>
      <c r="X7" s="706"/>
      <c r="Y7" s="706"/>
      <c r="Z7" s="707"/>
      <c r="AA7" s="698" t="s">
        <v>63</v>
      </c>
      <c r="AB7" s="698"/>
      <c r="AC7" s="703" t="s">
        <v>398</v>
      </c>
      <c r="AD7" s="698" t="s">
        <v>47</v>
      </c>
      <c r="AE7" s="698"/>
      <c r="AF7" s="698" t="s">
        <v>48</v>
      </c>
      <c r="AG7" s="698"/>
      <c r="AH7" s="698" t="s">
        <v>49</v>
      </c>
      <c r="AI7" s="698"/>
      <c r="AJ7" s="338"/>
      <c r="AK7" s="338"/>
      <c r="AL7" s="338"/>
      <c r="AM7" s="338"/>
      <c r="AN7" s="338"/>
      <c r="AO7" s="338"/>
      <c r="AP7" s="338"/>
      <c r="AQ7" s="338"/>
      <c r="AR7" s="338"/>
      <c r="AS7" s="338"/>
      <c r="AT7" s="338"/>
      <c r="AU7" s="338"/>
    </row>
    <row r="8" spans="1:47" s="25" customFormat="1" ht="17.100000000000001" customHeight="1">
      <c r="A8" s="338"/>
      <c r="B8" s="697"/>
      <c r="C8" s="338"/>
      <c r="D8" s="338"/>
      <c r="E8" s="338"/>
      <c r="F8" s="338"/>
      <c r="G8" s="338"/>
      <c r="H8" s="604"/>
      <c r="I8" s="695"/>
      <c r="J8" s="701"/>
      <c r="K8" s="698"/>
      <c r="L8" s="699"/>
      <c r="M8" s="690"/>
      <c r="N8" s="692"/>
      <c r="O8" s="690"/>
      <c r="P8" s="691"/>
      <c r="Q8" s="691"/>
      <c r="R8" s="692"/>
      <c r="S8" s="693" t="s">
        <v>46</v>
      </c>
      <c r="T8" s="694"/>
      <c r="U8" s="708" t="s">
        <v>626</v>
      </c>
      <c r="V8" s="661" t="s">
        <v>79</v>
      </c>
      <c r="W8" s="694" t="s">
        <v>43</v>
      </c>
      <c r="X8" s="694"/>
      <c r="Y8" s="698" t="s">
        <v>163</v>
      </c>
      <c r="Z8" s="698"/>
      <c r="AA8" s="698"/>
      <c r="AB8" s="698"/>
      <c r="AC8" s="704"/>
      <c r="AD8" s="698"/>
      <c r="AE8" s="698"/>
      <c r="AF8" s="698"/>
      <c r="AG8" s="698"/>
      <c r="AH8" s="698"/>
      <c r="AI8" s="69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</row>
    <row r="9" spans="1:47" s="25" customFormat="1" ht="17.100000000000001" customHeight="1">
      <c r="A9" s="338"/>
      <c r="B9" s="697"/>
      <c r="C9" s="338"/>
      <c r="D9" s="338"/>
      <c r="E9" s="338"/>
      <c r="F9" s="338"/>
      <c r="G9" s="338"/>
      <c r="H9" s="605"/>
      <c r="I9" s="695"/>
      <c r="J9" s="702"/>
      <c r="K9" s="314" t="s">
        <v>67</v>
      </c>
      <c r="L9" s="486" t="s">
        <v>68</v>
      </c>
      <c r="M9" s="489" t="s">
        <v>69</v>
      </c>
      <c r="N9" s="489" t="s">
        <v>70</v>
      </c>
      <c r="O9" s="696" t="s">
        <v>69</v>
      </c>
      <c r="P9" s="696"/>
      <c r="Q9" s="696" t="s">
        <v>70</v>
      </c>
      <c r="R9" s="696"/>
      <c r="S9" s="339" t="s">
        <v>397</v>
      </c>
      <c r="T9" s="486" t="s">
        <v>625</v>
      </c>
      <c r="U9" s="709"/>
      <c r="V9" s="695"/>
      <c r="W9" s="315" t="s">
        <v>397</v>
      </c>
      <c r="X9" s="486" t="s">
        <v>23</v>
      </c>
      <c r="Y9" s="490" t="s">
        <v>390</v>
      </c>
      <c r="Z9" s="486" t="s">
        <v>164</v>
      </c>
      <c r="AA9" s="490" t="s">
        <v>397</v>
      </c>
      <c r="AB9" s="461" t="s">
        <v>23</v>
      </c>
      <c r="AC9" s="705"/>
      <c r="AD9" s="461" t="s">
        <v>3</v>
      </c>
      <c r="AE9" s="462" t="s">
        <v>50</v>
      </c>
      <c r="AF9" s="486" t="s">
        <v>3</v>
      </c>
      <c r="AG9" s="490" t="s">
        <v>50</v>
      </c>
      <c r="AH9" s="490" t="s">
        <v>619</v>
      </c>
      <c r="AI9" s="339" t="s">
        <v>50</v>
      </c>
      <c r="AJ9" s="338"/>
      <c r="AK9" s="338" t="s">
        <v>458</v>
      </c>
      <c r="AL9" s="338" t="s">
        <v>460</v>
      </c>
      <c r="AM9" s="338" t="s">
        <v>459</v>
      </c>
      <c r="AN9" s="338"/>
      <c r="AO9" s="338"/>
      <c r="AP9" s="338" t="s">
        <v>399</v>
      </c>
      <c r="AQ9" s="340" t="s">
        <v>99</v>
      </c>
      <c r="AR9" s="338" t="s">
        <v>158</v>
      </c>
      <c r="AS9" s="341" t="s">
        <v>217</v>
      </c>
      <c r="AT9" s="338" t="s">
        <v>218</v>
      </c>
      <c r="AU9" s="338" t="s">
        <v>219</v>
      </c>
    </row>
    <row r="10" spans="1:47" s="282" customFormat="1" ht="13.5" hidden="1" customHeight="1" outlineLevel="1">
      <c r="D10" s="282">
        <v>1</v>
      </c>
      <c r="E10" s="282">
        <v>2</v>
      </c>
      <c r="F10" s="282">
        <v>3</v>
      </c>
      <c r="G10" s="282">
        <v>4</v>
      </c>
      <c r="H10" s="617">
        <v>5</v>
      </c>
      <c r="I10" s="282">
        <v>6</v>
      </c>
      <c r="J10" s="282">
        <v>7</v>
      </c>
      <c r="K10" s="282">
        <v>8</v>
      </c>
      <c r="L10" s="282">
        <v>9</v>
      </c>
      <c r="M10" s="282">
        <v>10</v>
      </c>
      <c r="N10" s="282">
        <v>11</v>
      </c>
      <c r="O10" s="282">
        <v>12</v>
      </c>
      <c r="P10" s="282">
        <v>13</v>
      </c>
      <c r="Q10" s="282">
        <v>14</v>
      </c>
      <c r="R10" s="282">
        <v>15</v>
      </c>
      <c r="S10" s="588">
        <v>16</v>
      </c>
      <c r="T10" s="588">
        <v>17</v>
      </c>
      <c r="U10" s="588">
        <v>18</v>
      </c>
      <c r="V10" s="282">
        <v>19</v>
      </c>
      <c r="W10" s="588">
        <v>20</v>
      </c>
      <c r="X10" s="588">
        <v>21</v>
      </c>
      <c r="Y10" s="282">
        <v>22</v>
      </c>
      <c r="Z10" s="282">
        <v>23</v>
      </c>
      <c r="AA10" s="282">
        <v>24</v>
      </c>
      <c r="AB10" s="282">
        <v>25</v>
      </c>
      <c r="AC10" s="282">
        <v>26</v>
      </c>
      <c r="AD10" s="282">
        <v>27</v>
      </c>
      <c r="AE10" s="282">
        <v>28</v>
      </c>
      <c r="AF10" s="282">
        <v>29</v>
      </c>
      <c r="AG10" s="282">
        <v>30</v>
      </c>
      <c r="AH10" s="282">
        <v>31</v>
      </c>
      <c r="AI10" s="282">
        <v>32</v>
      </c>
      <c r="AJ10" s="282">
        <v>33</v>
      </c>
      <c r="AK10" s="282">
        <v>34</v>
      </c>
      <c r="AL10" s="282">
        <v>35</v>
      </c>
      <c r="AM10" s="282">
        <v>36</v>
      </c>
      <c r="AN10" s="282">
        <v>37</v>
      </c>
      <c r="AO10" s="282">
        <v>38</v>
      </c>
      <c r="AP10" s="282">
        <v>39</v>
      </c>
      <c r="AQ10" s="282">
        <v>40</v>
      </c>
      <c r="AR10" s="282">
        <v>41</v>
      </c>
      <c r="AS10" s="282">
        <v>42</v>
      </c>
      <c r="AT10" s="282">
        <v>43</v>
      </c>
      <c r="AU10" s="282">
        <v>44</v>
      </c>
    </row>
    <row r="11" spans="1:47" ht="15" customHeight="1" collapsed="1">
      <c r="A11" s="281" t="str">
        <f t="shared" ref="A11:A74" si="0">IF($AC11="","",$AC11)</f>
        <v>\</v>
      </c>
      <c r="B11" s="282">
        <f>IF($S11="","",1)</f>
        <v>1</v>
      </c>
      <c r="C11" s="618">
        <f>IF(AND($S11="",$U11="",$W11="",$AA11="",$AE11="",$AG11="",$AI11=""),"",MAX($C$10:$C10)+1)</f>
        <v>1</v>
      </c>
      <c r="D11" s="619" t="str">
        <f t="shared" ref="D11:D42" si="1">IF($C11="","",CONCATENATE(VLOOKUP($AC11,$AB$1:$AC$4,2,FALSE),$S11,IF($U11="","00",$U11)))</f>
        <v>110001</v>
      </c>
      <c r="E11" s="619">
        <f t="shared" ref="E11:E42" si="2">IF($C11="","",ABS(CONCATENATE(VLOOKUP($AC11,$AB$1:$AC$4,2,FALSE),$S11,IF($U11="","00",$U11),MID($I11,FIND("B",$I11)+1,5))))</f>
        <v>11000107001</v>
      </c>
      <c r="F11" s="619" t="str">
        <f t="shared" ref="F11:F42" si="3">IF($S11="","",CONCATENATE(VLOOKUP($AC11,$AB$1:$AC$4,2,FALSE),$S11,IF($U11="","00",$U11),$W11,$AA11))</f>
        <v>11000113</v>
      </c>
      <c r="G11" s="619" t="str">
        <f t="shared" ref="G11:G42" si="4">IF($S11="","",CONCATENATE(VLOOKUP($AC11,$AB$1:$AC$4,2,FALSE),$S11,IF($U11="","00",$U11),$AA11))</f>
        <v>1100013</v>
      </c>
      <c r="H11" s="620" t="str">
        <f t="shared" ref="H11:H75" si="5">CONCATENATE($S11,$U11)</f>
        <v>10001</v>
      </c>
      <c r="I11" s="316" t="s">
        <v>220</v>
      </c>
      <c r="J11" s="254">
        <v>43160</v>
      </c>
      <c r="K11" s="50">
        <f>IF($W11="","",IF($W11=1,IF(VLOOKUP($S11,ﾏｽﾀ!$E$8:$K$124,ﾏｽﾀ!$J$4-ﾏｽﾀ!$D$4,0)="E",DAY($J$4),ABS(VLOOKUP($S11,ﾏｽﾀ!$E$8:$K$124,ﾏｽﾀ!$J$4-ﾏｽﾀ!$D$4,0))),IF(VLOOKUP($S11,ﾏｽﾀ!$E$8:$K$124,ﾏｽﾀ!$K$4-ﾏｽﾀ!$D$4,0)="E",DAY($J$4),ABS(VLOOKUP($S11,ﾏｽﾀ!$E$8:$K$124,ﾏｽﾀ!$K$4-ﾏｽﾀ!$D$4,0)))))</f>
        <v>20</v>
      </c>
      <c r="L11" s="255">
        <v>43169</v>
      </c>
      <c r="M11" s="255"/>
      <c r="N11" s="255"/>
      <c r="O11" s="50">
        <f>IF($S11="","",IF($M11="",IF($J11="","ERR",IF(VLOOKUP($S11,ﾏｽﾀ!$E$8:$K$124,ﾏｽﾀ!$J$4-ﾏｽﾀ!$D$4,0)="E",MONTH($J11),IF(MONTH($J11)-1=0,12,MONTH($J11)-1))),MONTH($M11)))</f>
        <v>2</v>
      </c>
      <c r="P11" s="50">
        <f>IF($S11="","",IF($M11="",IF($K11="","ERR",IF(VLOOKUP($S11,ﾏｽﾀ!$E$8:$K$124,ﾏｽﾀ!$J$4-ﾏｽﾀ!$D$4,0)="E",1,$K11+1)),DAY($M11)))</f>
        <v>21</v>
      </c>
      <c r="Q11" s="50">
        <f>IF($S11="","",IF($N11="",IF($J11="","ERR",MONTH($J11)),MONTH($N11)))</f>
        <v>3</v>
      </c>
      <c r="R11" s="50">
        <f>IF($S11="","",IF($N11="",IF($K11="","ERR",$K11),DAY($N11)))</f>
        <v>20</v>
      </c>
      <c r="S11" s="601" t="str">
        <f>IF($T11="","",INDEX(ﾏｽﾀ!$E$8:$E$124,MATCH(INDEX(ﾏｽﾀ!$N$8:$N$124,MATCH($T11,ﾏｽﾀ!$O$8:$O$124,0)),ﾏｽﾀ!$B$8:$B$124,0))&amp;"")</f>
        <v>100</v>
      </c>
      <c r="T11" s="535" t="s">
        <v>698</v>
      </c>
      <c r="U11" s="601" t="str">
        <f>IF($T11="","",INDEX(ﾏｽﾀ!$G$8:$G$124,MATCH(INDEX(ﾏｽﾀ!$N$8:$N$124,MATCH($T11,ﾏｽﾀ!$O$8:$O$124,0)),ﾏｽﾀ!$B$8:$B$124,0))&amp;"")</f>
        <v>01</v>
      </c>
      <c r="V11" s="257"/>
      <c r="W11" s="602" t="str">
        <f>IF($X11="","",INDEX(ﾏｽﾀ!$T$8:$T$16,MATCH($X11,ﾏｽﾀ!$U$8:$U$16,0))&amp;"")</f>
        <v>1</v>
      </c>
      <c r="X11" s="248" t="s">
        <v>622</v>
      </c>
      <c r="Y11" s="260" t="s">
        <v>552</v>
      </c>
      <c r="Z11" s="260"/>
      <c r="AA11" s="256" t="s">
        <v>553</v>
      </c>
      <c r="AB11" s="492" t="str">
        <f>IF($W11="","",IF($AA11="","ERR",IF($AA11="1",IF($AE11="","ERR",VLOOKUP($AA11,ﾏｽﾀ!$W$8:$X$10,ﾏｽﾀ!$X$4,0)),IF($AA11="2",IF($AG11="","ERR",VLOOKUP($AA11,ﾏｽﾀ!$W$8:$X$10,ﾏｽﾀ!$X$4,0)),IF($AA11="3",IF($AI11="","ERR",VLOOKUP($AA11,ﾏｽﾀ!$W$8:$X$10,ﾏｽﾀ!$X$4,0)),"ERR")))))</f>
        <v>個別請求</v>
      </c>
      <c r="AC11" s="261" t="s">
        <v>550</v>
      </c>
      <c r="AD11" s="321" t="str">
        <f>IF($AA11="1",COUNTIF('納品書明細16-E'!$D$9:$D$206,$AN11)+COUNTIF('納品書明細F-15'!$D$9:$D$297,$AN11)-IF(ISNA(MATCH(CONCATENATE(VLOOKUP($AC11,$AB$1:$AC$4,2,FALSE),$S11,IF($U11="","00",$U11),$W11,2),$F$11:$F$160,0)),0,SUMIF($F$11:$F$160,CONCATENATE(VLOOKUP($AC11,$AB$1:$AC$4,2,FALSE),$S11,IF($U11="","00",$U11),$W11,2),$AF$11:$AF$160)),"")</f>
        <v/>
      </c>
      <c r="AE11" s="319" t="str">
        <f>IF($AA11="1",SUMIF('納品書明細16-E'!$C$9:$C$206,$AO11,'納品書明細16-E'!$Q$9:$Q$206)+SUMIF('納品書明細F-15'!$C$9:$C$297,$AO11,'納品書明細F-15'!$Q$9:$Q$297)-IF(ISNA(MATCH(CONCATENATE(VLOOKUP($AC11,$AB$1:$AC$4,2,FALSE),$S11,IF($U11="","00",$U11),$W11,2),$F$11:$F$160,0)),0,SUMIF($F$11:$F$160,CONCATENATE(VLOOKUP($AC11,$AB$1:$AC$4,2,FALSE),$S11,IF($U11="","00",$U11),$W11,2),$AG$11:$AG$160)),"")</f>
        <v/>
      </c>
      <c r="AF11" s="322"/>
      <c r="AG11" s="327"/>
      <c r="AH11" s="57" t="s">
        <v>549</v>
      </c>
      <c r="AI11" s="319">
        <f>IF($AH11="","",IF(ISNA(MATCH($AH11,'納品書明細16-E'!$H$9:$H$206,0)),IF(ISNA(MATCH($AH11,'納品書明細F-15'!$H$9:$H$297,0)),"ERR",SUMIF('納品書明細F-15'!$H$9:$H$297,$AH11,'納品書明細F-15'!$Q$9:$Q$297)),SUMIF('納品書明細16-E'!$H$9:$H$206,$AH11,'納品書明細16-E'!$Q$9:$Q$206)))</f>
        <v>500000</v>
      </c>
      <c r="AK11" s="328" t="str">
        <f t="shared" ref="AK11:AK42" si="6">IF($AH11="","",$I11)</f>
        <v>39-B07001</v>
      </c>
      <c r="AL11" s="269">
        <f t="shared" ref="AL11:AL42" si="7">IF($AH11="","",$J11)</f>
        <v>43160</v>
      </c>
      <c r="AM11" s="270">
        <f t="shared" ref="AM11:AM42" si="8">IF($AH11="","",IF($L11="",$K11,$L11))</f>
        <v>43169</v>
      </c>
      <c r="AN11" s="244" t="str">
        <f t="shared" ref="AN11:AN42" si="9">IF($AC11="","",CONCATENATE(VLOOKUP($AC11,$AB$1:$AC$4,2,FALSE),$S11,IF($U11="","00",$U11),"1","1",$W11))</f>
        <v>110001111</v>
      </c>
      <c r="AO11" s="244" t="str">
        <f t="shared" ref="AO11:AO42" si="10">IF($AC11="","",CONCATENATE(VLOOKUP($AC11,$AB$1:$AC$4,2,FALSE),$S11,IF($U11="","00",$U11),"1",$W11))</f>
        <v>11000111</v>
      </c>
      <c r="AP11" s="271">
        <f t="shared" ref="AP11:AP33" si="11">IF($AE11="",IF($AG11="",$AI11,$AG11),$AE11)</f>
        <v>500000</v>
      </c>
      <c r="AQ11" s="262" t="s">
        <v>370</v>
      </c>
      <c r="AR11" s="263"/>
      <c r="AS11" s="84"/>
      <c r="AT11" s="86"/>
      <c r="AU11" s="87"/>
    </row>
    <row r="12" spans="1:47" ht="15" customHeight="1">
      <c r="A12" s="281" t="str">
        <f t="shared" si="0"/>
        <v>\</v>
      </c>
      <c r="B12" s="282">
        <f t="shared" ref="B12:B75" si="12">IF($S12="","",1)</f>
        <v>1</v>
      </c>
      <c r="C12" s="618">
        <f>IF(AND($S12="",$U12="",$W12="",$AA12="",$AE12="",$AG12="",$AI12=""),"",MAX($C$10:$C11)+1)</f>
        <v>2</v>
      </c>
      <c r="D12" s="619" t="str">
        <f t="shared" si="1"/>
        <v>110001</v>
      </c>
      <c r="E12" s="619">
        <f t="shared" si="2"/>
        <v>11000107002</v>
      </c>
      <c r="F12" s="619" t="str">
        <f t="shared" si="3"/>
        <v>11000112</v>
      </c>
      <c r="G12" s="619" t="str">
        <f t="shared" si="4"/>
        <v>1100012</v>
      </c>
      <c r="H12" s="620" t="str">
        <f t="shared" si="5"/>
        <v>10001</v>
      </c>
      <c r="I12" s="316" t="s">
        <v>221</v>
      </c>
      <c r="J12" s="254">
        <v>43160</v>
      </c>
      <c r="K12" s="50">
        <f>IF($W12="","",IF($W12=1,IF(VLOOKUP($S12,ﾏｽﾀ!$E$8:$K$124,ﾏｽﾀ!$J$4-ﾏｽﾀ!$D$4,0)="E",DAY($J$4),ABS(VLOOKUP($S12,ﾏｽﾀ!$E$8:$K$124,ﾏｽﾀ!$J$4-ﾏｽﾀ!$D$4,0))),IF(VLOOKUP($S12,ﾏｽﾀ!$E$8:$K$124,ﾏｽﾀ!$K$4-ﾏｽﾀ!$D$4,0)="E",DAY($J$4),ABS(VLOOKUP($S12,ﾏｽﾀ!$E$8:$K$124,ﾏｽﾀ!$K$4-ﾏｽﾀ!$D$4,0)))))</f>
        <v>20</v>
      </c>
      <c r="L12" s="255"/>
      <c r="M12" s="255"/>
      <c r="N12" s="255"/>
      <c r="O12" s="50">
        <f>IF($S12="","",IF($M12="",IF($J12="","ERR",IF(VLOOKUP($S12,ﾏｽﾀ!$E$8:$K$124,ﾏｽﾀ!$J$4-ﾏｽﾀ!$D$4,0)="E",MONTH($J12),IF(MONTH($J12)-1=0,12,MONTH($J12)-1))),MONTH($M12)))</f>
        <v>2</v>
      </c>
      <c r="P12" s="50">
        <f>IF($S12="","",IF($M12="",IF($K12="","ERR",IF(VLOOKUP($S12,ﾏｽﾀ!$E$8:$K$124,ﾏｽﾀ!$J$4-ﾏｽﾀ!$D$4,0)="E",1,$K12+1)),DAY($M12)))</f>
        <v>21</v>
      </c>
      <c r="Q12" s="50">
        <f t="shared" ref="Q12:Q75" si="13">IF($S12="","",IF($N12="",IF($J12="","ERR",MONTH($J12)),MONTH($N12)))</f>
        <v>3</v>
      </c>
      <c r="R12" s="50">
        <f t="shared" ref="R12:R75" si="14">IF($S12="","",IF($N12="",IF($K12="","ERR",$K12),DAY($N12)))</f>
        <v>20</v>
      </c>
      <c r="S12" s="601" t="str">
        <f>IF($T12="","",INDEX(ﾏｽﾀ!$E$8:$E$124,MATCH(INDEX(ﾏｽﾀ!$N$8:$N$124,MATCH($T12,ﾏｽﾀ!$O$8:$O$124,0)),ﾏｽﾀ!$B$8:$B$124,0))&amp;"")</f>
        <v>100</v>
      </c>
      <c r="T12" s="535" t="s">
        <v>582</v>
      </c>
      <c r="U12" s="601" t="str">
        <f>IF($T12="","",INDEX(ﾏｽﾀ!$G$8:$G$124,MATCH(INDEX(ﾏｽﾀ!$N$8:$N$124,MATCH($T12,ﾏｽﾀ!$O$8:$O$124,0)),ﾏｽﾀ!$B$8:$B$124,0))&amp;"")</f>
        <v>01</v>
      </c>
      <c r="V12" s="257"/>
      <c r="W12" s="602" t="str">
        <f>IF($X12="","",INDEX(ﾏｽﾀ!$T$8:$T$16,MATCH($X12,ﾏｽﾀ!$U$8:$U$16,0))&amp;"")</f>
        <v>1</v>
      </c>
      <c r="X12" s="248" t="s">
        <v>622</v>
      </c>
      <c r="Y12" s="260"/>
      <c r="Z12" s="260"/>
      <c r="AA12" s="256" t="s">
        <v>566</v>
      </c>
      <c r="AB12" s="492" t="str">
        <f>IF($W12="","",IF($AA12="","ERR",IF($AA12="1",IF($AE12="","ERR",VLOOKUP($AA12,ﾏｽﾀ!$W$8:$X$10,ﾏｽﾀ!$X$4,0)),IF($AA12="2",IF($AG12="","ERR",VLOOKUP($AA12,ﾏｽﾀ!$W$8:$X$10,ﾏｽﾀ!$X$4,0)),IF($AA12="3",IF($AI12="","ERR",VLOOKUP($AA12,ﾏｽﾀ!$W$8:$X$10,ﾏｽﾀ!$X$4,0)),"ERR")))))</f>
        <v>分割請求</v>
      </c>
      <c r="AC12" s="261" t="s">
        <v>568</v>
      </c>
      <c r="AD12" s="321" t="str">
        <f>IF($AA12="1",COUNTIF('納品書明細16-E'!$D$9:$D$206,$AN12)+COUNTIF('納品書明細F-15'!$D$9:$D$297,$AN12)-IF(ISNA(MATCH(CONCATENATE(VLOOKUP($AC12,$AB$1:$AC$4,2,FALSE),$S12,IF($U12="","00",$U12),$W12,2),$F$11:$F$160,0)),0,SUMIF($F$11:$F$160,CONCATENATE(VLOOKUP($AC12,$AB$1:$AC$4,2,FALSE),$S12,IF($U12="","00",$U12),$W12,2),$AF$11:$AF$160)),"")</f>
        <v/>
      </c>
      <c r="AE12" s="319" t="str">
        <f>IF($AA12="1",SUMIF('納品書明細16-E'!$C$9:$C$206,$AO12,'納品書明細16-E'!$Q$9:$Q$206)+SUMIF('納品書明細F-15'!$C$9:$C$297,$AO12,'納品書明細F-15'!$Q$9:$Q$297)-IF(ISNA(MATCH(CONCATENATE(VLOOKUP($AC12,$AB$1:$AC$4,2,FALSE),$S12,IF($U12="","00",$U12),$W12,2),$F$11:$F$160,0)),0,SUMIF($F$11:$F$160,CONCATENATE(VLOOKUP($AC12,$AB$1:$AC$4,2,FALSE),$S12,IF($U12="","00",$U12),$W12,2),$AG$11:$AG$160)),"")</f>
        <v/>
      </c>
      <c r="AF12" s="322">
        <v>1</v>
      </c>
      <c r="AG12" s="327">
        <v>9099000</v>
      </c>
      <c r="AH12" s="57"/>
      <c r="AI12" s="319" t="str">
        <f>IF($AH12="","",IF(ISNA(MATCH($AH12,'納品書明細16-E'!$H$9:$H$206,0)),IF(ISNA(MATCH($AH12,'納品書明細F-15'!$H$9:$H$297,0)),"ERR",SUMIF('納品書明細F-15'!$H$9:$H$297,$AH12,'納品書明細F-15'!$Q$9:$Q$297)),SUMIF('納品書明細16-E'!$H$9:$H$206,$AH12,'納品書明細16-E'!$Q$9:$Q$206)))</f>
        <v/>
      </c>
      <c r="AK12" s="328" t="str">
        <f t="shared" si="6"/>
        <v/>
      </c>
      <c r="AL12" s="269" t="str">
        <f t="shared" si="7"/>
        <v/>
      </c>
      <c r="AM12" s="270" t="str">
        <f t="shared" si="8"/>
        <v/>
      </c>
      <c r="AN12" s="244" t="str">
        <f t="shared" si="9"/>
        <v>110001111</v>
      </c>
      <c r="AO12" s="244" t="str">
        <f t="shared" si="10"/>
        <v>11000111</v>
      </c>
      <c r="AP12" s="271">
        <f t="shared" si="11"/>
        <v>9099000</v>
      </c>
      <c r="AQ12" s="262" t="s">
        <v>371</v>
      </c>
      <c r="AR12" s="263"/>
      <c r="AS12" s="84"/>
      <c r="AT12" s="86"/>
      <c r="AU12" s="87"/>
    </row>
    <row r="13" spans="1:47" ht="15" customHeight="1">
      <c r="A13" s="281" t="str">
        <f t="shared" si="0"/>
        <v>$</v>
      </c>
      <c r="B13" s="282">
        <f t="shared" si="12"/>
        <v>1</v>
      </c>
      <c r="C13" s="618">
        <f>IF(AND($S13="",$U13="",$W13="",$AA13="",$AE13="",$AG13="",$AI13=""),"",MAX($C$10:$C12)+1)</f>
        <v>3</v>
      </c>
      <c r="D13" s="619" t="str">
        <f t="shared" si="1"/>
        <v>269000</v>
      </c>
      <c r="E13" s="619">
        <f t="shared" si="2"/>
        <v>26900007003</v>
      </c>
      <c r="F13" s="619" t="str">
        <f t="shared" si="3"/>
        <v>26900011</v>
      </c>
      <c r="G13" s="619" t="str">
        <f t="shared" si="4"/>
        <v>2690001</v>
      </c>
      <c r="H13" s="620" t="str">
        <f t="shared" si="5"/>
        <v>690</v>
      </c>
      <c r="I13" s="316" t="s">
        <v>222</v>
      </c>
      <c r="J13" s="254">
        <v>43160</v>
      </c>
      <c r="K13" s="50">
        <f>IF($W13="","",IF($W13=1,IF(VLOOKUP($S13,ﾏｽﾀ!$E$8:$K$124,ﾏｽﾀ!$J$4-ﾏｽﾀ!$D$4,0)="E",DAY($J$4),ABS(VLOOKUP($S13,ﾏｽﾀ!$E$8:$K$124,ﾏｽﾀ!$J$4-ﾏｽﾀ!$D$4,0))),IF(VLOOKUP($S13,ﾏｽﾀ!$E$8:$K$124,ﾏｽﾀ!$K$4-ﾏｽﾀ!$D$4,0)="E",DAY($J$4),ABS(VLOOKUP($S13,ﾏｽﾀ!$E$8:$K$124,ﾏｽﾀ!$K$4-ﾏｽﾀ!$D$4,0)))))</f>
        <v>31</v>
      </c>
      <c r="L13" s="255"/>
      <c r="M13" s="255"/>
      <c r="N13" s="255"/>
      <c r="O13" s="50">
        <f>IF($S13="","",IF($M13="",IF($J13="","ERR",IF(VLOOKUP($S13,ﾏｽﾀ!$E$8:$K$124,ﾏｽﾀ!$J$4-ﾏｽﾀ!$D$4,0)="E",MONTH($J13),IF(MONTH($J13)-1=0,12,MONTH($J13)-1))),MONTH($M13)))</f>
        <v>3</v>
      </c>
      <c r="P13" s="50">
        <f>IF($S13="","",IF($M13="",IF($K13="","ERR",IF(VLOOKUP($S13,ﾏｽﾀ!$E$8:$K$124,ﾏｽﾀ!$J$4-ﾏｽﾀ!$D$4,0)="E",1,$K13+1)),DAY($M13)))</f>
        <v>1</v>
      </c>
      <c r="Q13" s="50">
        <f t="shared" si="13"/>
        <v>3</v>
      </c>
      <c r="R13" s="50">
        <f t="shared" si="14"/>
        <v>31</v>
      </c>
      <c r="S13" s="601" t="str">
        <f>IF($T13="","",INDEX(ﾏｽﾀ!$E$8:$E$124,MATCH(INDEX(ﾏｽﾀ!$N$8:$N$124,MATCH($T13,ﾏｽﾀ!$O$8:$O$124,0)),ﾏｽﾀ!$B$8:$B$124,0))&amp;"")</f>
        <v>690</v>
      </c>
      <c r="T13" s="535" t="s">
        <v>585</v>
      </c>
      <c r="U13" s="601" t="str">
        <f>IF($T13="","",INDEX(ﾏｽﾀ!$G$8:$G$124,MATCH(INDEX(ﾏｽﾀ!$N$8:$N$124,MATCH($T13,ﾏｽﾀ!$O$8:$O$124,0)),ﾏｽﾀ!$B$8:$B$124,0))&amp;"")</f>
        <v/>
      </c>
      <c r="V13" s="257"/>
      <c r="W13" s="602" t="str">
        <f>IF($X13="","",INDEX(ﾏｽﾀ!$T$8:$T$16,MATCH($X13,ﾏｽﾀ!$U$8:$U$16,0))&amp;"")</f>
        <v>1</v>
      </c>
      <c r="X13" s="248" t="s">
        <v>622</v>
      </c>
      <c r="Y13" s="260"/>
      <c r="Z13" s="260"/>
      <c r="AA13" s="256" t="s">
        <v>561</v>
      </c>
      <c r="AB13" s="492" t="str">
        <f>IF($W13="","",IF($AA13="","ERR",IF($AA13="1",IF($AE13="","ERR",VLOOKUP($AA13,ﾏｽﾀ!$W$8:$X$10,ﾏｽﾀ!$X$4,0)),IF($AA13="2",IF($AG13="","ERR",VLOOKUP($AA13,ﾏｽﾀ!$W$8:$X$10,ﾏｽﾀ!$X$4,0)),IF($AA13="3",IF($AI13="","ERR",VLOOKUP($AA13,ﾏｽﾀ!$W$8:$X$10,ﾏｽﾀ!$X$4,0)),"ERR")))))</f>
        <v>合計請求</v>
      </c>
      <c r="AC13" s="261" t="s">
        <v>559</v>
      </c>
      <c r="AD13" s="321">
        <f>IF($AA13="1",COUNTIF('納品書明細16-E'!$D$9:$D$206,$AN13)+COUNTIF('納品書明細F-15'!$D$9:$D$297,$AN13)-IF(ISNA(MATCH(CONCATENATE(VLOOKUP($AC13,$AB$1:$AC$4,2,FALSE),$S13,IF($U13="","00",$U13),$W13,2),$F$11:$F$160,0)),0,SUMIF($F$11:$F$160,CONCATENATE(VLOOKUP($AC13,$AB$1:$AC$4,2,FALSE),$S13,IF($U13="","00",$U13),$W13,2),$AF$11:$AF$160)),"")</f>
        <v>1</v>
      </c>
      <c r="AE13" s="319">
        <f>IF($AA13="1",SUMIF('納品書明細16-E'!$C$9:$C$206,$AO13,'納品書明細16-E'!$Q$9:$Q$206)+SUMIF('納品書明細F-15'!$C$9:$C$297,$AO13,'納品書明細F-15'!$Q$9:$Q$297)-IF(ISNA(MATCH(CONCATENATE(VLOOKUP($AC13,$AB$1:$AC$4,2,FALSE),$S13,IF($U13="","00",$U13),$W13,2),$F$11:$F$160,0)),0,SUMIF($F$11:$F$160,CONCATENATE(VLOOKUP($AC13,$AB$1:$AC$4,2,FALSE),$S13,IF($U13="","00",$U13),$W13,2),$AG$11:$AG$160)),"")</f>
        <v>204210.21</v>
      </c>
      <c r="AF13" s="322"/>
      <c r="AG13" s="327"/>
      <c r="AH13" s="57"/>
      <c r="AI13" s="319" t="str">
        <f>IF($AH13="","",IF(ISNA(MATCH($AH13,'納品書明細16-E'!$H$9:$H$206,0)),IF(ISNA(MATCH($AH13,'納品書明細F-15'!$H$9:$H$297,0)),"ERR",SUMIF('納品書明細F-15'!$H$9:$H$297,$AH13,'納品書明細F-15'!$Q$9:$Q$297)),SUMIF('納品書明細16-E'!$H$9:$H$206,$AH13,'納品書明細16-E'!$Q$9:$Q$206)))</f>
        <v/>
      </c>
      <c r="AK13" s="328" t="str">
        <f t="shared" si="6"/>
        <v/>
      </c>
      <c r="AL13" s="269" t="str">
        <f t="shared" si="7"/>
        <v/>
      </c>
      <c r="AM13" s="270" t="str">
        <f t="shared" si="8"/>
        <v/>
      </c>
      <c r="AN13" s="244" t="str">
        <f t="shared" si="9"/>
        <v>269000111</v>
      </c>
      <c r="AO13" s="244" t="str">
        <f t="shared" si="10"/>
        <v>26900011</v>
      </c>
      <c r="AP13" s="271">
        <f t="shared" si="11"/>
        <v>204210.21</v>
      </c>
      <c r="AQ13" s="262" t="s">
        <v>371</v>
      </c>
      <c r="AR13" s="263"/>
      <c r="AS13" s="84"/>
      <c r="AT13" s="86"/>
      <c r="AU13" s="87"/>
    </row>
    <row r="14" spans="1:47" ht="15" customHeight="1">
      <c r="A14" s="281" t="str">
        <f t="shared" si="0"/>
        <v>\</v>
      </c>
      <c r="B14" s="282">
        <f t="shared" si="12"/>
        <v>1</v>
      </c>
      <c r="C14" s="618">
        <f>IF(AND($S14="",$U14="",$W14="",$AA14="",$AE14="",$AG14="",$AI14=""),"",MAX($C$10:$C13)+1)</f>
        <v>4</v>
      </c>
      <c r="D14" s="619" t="str">
        <f t="shared" si="1"/>
        <v>110010</v>
      </c>
      <c r="E14" s="619">
        <f t="shared" si="2"/>
        <v>11001007004</v>
      </c>
      <c r="F14" s="619" t="str">
        <f t="shared" si="3"/>
        <v>11001073</v>
      </c>
      <c r="G14" s="619" t="str">
        <f t="shared" si="4"/>
        <v>1100103</v>
      </c>
      <c r="H14" s="620" t="str">
        <f t="shared" si="5"/>
        <v>10010</v>
      </c>
      <c r="I14" s="316" t="s">
        <v>223</v>
      </c>
      <c r="J14" s="254">
        <v>43160</v>
      </c>
      <c r="K14" s="50">
        <f>IF($W14="","",IF($W14=1,IF(VLOOKUP($S14,ﾏｽﾀ!$E$8:$K$124,ﾏｽﾀ!$J$4-ﾏｽﾀ!$D$4,0)="E",DAY($J$4),ABS(VLOOKUP($S14,ﾏｽﾀ!$E$8:$K$124,ﾏｽﾀ!$J$4-ﾏｽﾀ!$D$4,0))),IF(VLOOKUP($S14,ﾏｽﾀ!$E$8:$K$124,ﾏｽﾀ!$K$4-ﾏｽﾀ!$D$4,0)="E",DAY($J$4),ABS(VLOOKUP($S14,ﾏｽﾀ!$E$8:$K$124,ﾏｽﾀ!$K$4-ﾏｽﾀ!$D$4,0)))))</f>
        <v>20</v>
      </c>
      <c r="L14" s="255"/>
      <c r="M14" s="255"/>
      <c r="N14" s="255"/>
      <c r="O14" s="50">
        <f>IF($S14="","",IF($M14="",IF($J14="","ERR",IF(VLOOKUP($S14,ﾏｽﾀ!$E$8:$K$124,ﾏｽﾀ!$J$4-ﾏｽﾀ!$D$4,0)="E",MONTH($J14),IF(MONTH($J14)-1=0,12,MONTH($J14)-1))),MONTH($M14)))</f>
        <v>2</v>
      </c>
      <c r="P14" s="50">
        <f>IF($S14="","",IF($M14="",IF($K14="","ERR",IF(VLOOKUP($S14,ﾏｽﾀ!$E$8:$K$124,ﾏｽﾀ!$J$4-ﾏｽﾀ!$D$4,0)="E",1,$K14+1)),DAY($M14)))</f>
        <v>21</v>
      </c>
      <c r="Q14" s="50">
        <f t="shared" si="13"/>
        <v>3</v>
      </c>
      <c r="R14" s="50">
        <f t="shared" si="14"/>
        <v>20</v>
      </c>
      <c r="S14" s="601" t="str">
        <f>IF($T14="","",INDEX(ﾏｽﾀ!$E$8:$E$124,MATCH(INDEX(ﾏｽﾀ!$N$8:$N$124,MATCH($T14,ﾏｽﾀ!$O$8:$O$124,0)),ﾏｽﾀ!$B$8:$B$124,0))&amp;"")</f>
        <v>100</v>
      </c>
      <c r="T14" s="535" t="s">
        <v>584</v>
      </c>
      <c r="U14" s="601" t="str">
        <f>IF($T14="","",INDEX(ﾏｽﾀ!$G$8:$G$124,MATCH(INDEX(ﾏｽﾀ!$N$8:$N$124,MATCH($T14,ﾏｽﾀ!$O$8:$O$124,0)),ﾏｽﾀ!$B$8:$B$124,0))&amp;"")</f>
        <v>10</v>
      </c>
      <c r="V14" s="257"/>
      <c r="W14" s="602" t="str">
        <f>IF($X14="","",INDEX(ﾏｽﾀ!$T$8:$T$16,MATCH($X14,ﾏｽﾀ!$U$8:$U$16,0))&amp;"")</f>
        <v>7</v>
      </c>
      <c r="X14" s="248" t="s">
        <v>623</v>
      </c>
      <c r="Y14" s="260"/>
      <c r="Z14" s="260"/>
      <c r="AA14" s="256" t="s">
        <v>562</v>
      </c>
      <c r="AB14" s="492" t="str">
        <f>IF($W14="","",IF($AA14="","ERR",IF($AA14="1",IF($AE14="","ERR",VLOOKUP($AA14,ﾏｽﾀ!$W$8:$X$10,ﾏｽﾀ!$X$4,0)),IF($AA14="2",IF($AG14="","ERR",VLOOKUP($AA14,ﾏｽﾀ!$W$8:$X$10,ﾏｽﾀ!$X$4,0)),IF($AA14="3",IF($AI14="","ERR",VLOOKUP($AA14,ﾏｽﾀ!$W$8:$X$10,ﾏｽﾀ!$X$4,0)),"ERR")))))</f>
        <v>個別請求</v>
      </c>
      <c r="AC14" s="261" t="s">
        <v>550</v>
      </c>
      <c r="AD14" s="321" t="str">
        <f>IF($AA14="1",COUNTIF('納品書明細16-E'!$D$9:$D$206,$AN14)+COUNTIF('納品書明細F-15'!$D$9:$D$297,$AN14)-IF(ISNA(MATCH(CONCATENATE(VLOOKUP($AC14,$AB$1:$AC$4,2,FALSE),$S14,IF($U14="","00",$U14),$W14,2),$F$11:$F$160,0)),0,SUMIF($F$11:$F$160,CONCATENATE(VLOOKUP($AC14,$AB$1:$AC$4,2,FALSE),$S14,IF($U14="","00",$U14),$W14,2),$AF$11:$AF$160)),"")</f>
        <v/>
      </c>
      <c r="AE14" s="319" t="str">
        <f>IF($AA14="1",SUMIF('納品書明細16-E'!$C$9:$C$206,$AO14,'納品書明細16-E'!$Q$9:$Q$206)+SUMIF('納品書明細F-15'!$C$9:$C$297,$AO14,'納品書明細F-15'!$Q$9:$Q$297)-IF(ISNA(MATCH(CONCATENATE(VLOOKUP($AC14,$AB$1:$AC$4,2,FALSE),$S14,IF($U14="","00",$U14),$W14,2),$F$11:$F$160,0)),0,SUMIF($F$11:$F$160,CONCATENATE(VLOOKUP($AC14,$AB$1:$AC$4,2,FALSE),$S14,IF($U14="","00",$U14),$W14,2),$AG$11:$AG$160)),"")</f>
        <v/>
      </c>
      <c r="AF14" s="322"/>
      <c r="AG14" s="327"/>
      <c r="AH14" s="57" t="s">
        <v>569</v>
      </c>
      <c r="AI14" s="319">
        <f>IF($AH14="","",IF(ISNA(MATCH($AH14,'納品書明細16-E'!$H$9:$H$206,0)),IF(ISNA(MATCH($AH14,'納品書明細F-15'!$H$9:$H$297,0)),"ERR",SUMIF('納品書明細F-15'!$H$9:$H$297,$AH14,'納品書明細F-15'!$Q$9:$Q$297)),SUMIF('納品書明細16-E'!$H$9:$H$206,$AH14,'納品書明細16-E'!$Q$9:$Q$206)))</f>
        <v>590000</v>
      </c>
      <c r="AK14" s="328" t="str">
        <f t="shared" si="6"/>
        <v>39-B07004</v>
      </c>
      <c r="AL14" s="269">
        <f t="shared" si="7"/>
        <v>43160</v>
      </c>
      <c r="AM14" s="270">
        <f t="shared" si="8"/>
        <v>20</v>
      </c>
      <c r="AN14" s="244" t="str">
        <f t="shared" si="9"/>
        <v>110010117</v>
      </c>
      <c r="AO14" s="244" t="str">
        <f t="shared" si="10"/>
        <v>11001017</v>
      </c>
      <c r="AP14" s="271">
        <f t="shared" si="11"/>
        <v>590000</v>
      </c>
      <c r="AQ14" s="262" t="s">
        <v>371</v>
      </c>
      <c r="AR14" s="263"/>
      <c r="AS14" s="84"/>
      <c r="AT14" s="86"/>
      <c r="AU14" s="87"/>
    </row>
    <row r="15" spans="1:47" ht="15" customHeight="1">
      <c r="A15" s="281" t="str">
        <f t="shared" si="0"/>
        <v>\</v>
      </c>
      <c r="B15" s="282">
        <f t="shared" si="12"/>
        <v>1</v>
      </c>
      <c r="C15" s="618">
        <f>IF(AND($S15="",$U15="",$W15="",$AA15="",$AE15="",$AG15="",$AI15=""),"",MAX($C$10:$C14)+1)</f>
        <v>5</v>
      </c>
      <c r="D15" s="619" t="str">
        <f t="shared" si="1"/>
        <v>110005</v>
      </c>
      <c r="E15" s="619">
        <f t="shared" si="2"/>
        <v>11000507005</v>
      </c>
      <c r="F15" s="619" t="str">
        <f t="shared" si="3"/>
        <v>11000591</v>
      </c>
      <c r="G15" s="619" t="str">
        <f t="shared" si="4"/>
        <v>1100051</v>
      </c>
      <c r="H15" s="620" t="str">
        <f t="shared" si="5"/>
        <v>10005</v>
      </c>
      <c r="I15" s="316" t="s">
        <v>224</v>
      </c>
      <c r="J15" s="254">
        <v>43160</v>
      </c>
      <c r="K15" s="50">
        <f>IF($W15="","",IF($W15=1,IF(VLOOKUP($S15,ﾏｽﾀ!$E$8:$K$124,ﾏｽﾀ!$J$4-ﾏｽﾀ!$D$4,0)="E",DAY($J$4),ABS(VLOOKUP($S15,ﾏｽﾀ!$E$8:$K$124,ﾏｽﾀ!$J$4-ﾏｽﾀ!$D$4,0))),IF(VLOOKUP($S15,ﾏｽﾀ!$E$8:$K$124,ﾏｽﾀ!$K$4-ﾏｽﾀ!$D$4,0)="E",DAY($J$4),ABS(VLOOKUP($S15,ﾏｽﾀ!$E$8:$K$124,ﾏｽﾀ!$K$4-ﾏｽﾀ!$D$4,0)))))</f>
        <v>20</v>
      </c>
      <c r="L15" s="255"/>
      <c r="M15" s="255"/>
      <c r="N15" s="255"/>
      <c r="O15" s="50">
        <f>IF($S15="","",IF($M15="",IF($J15="","ERR",IF(VLOOKUP($S15,ﾏｽﾀ!$E$8:$K$124,ﾏｽﾀ!$J$4-ﾏｽﾀ!$D$4,0)="E",MONTH($J15),IF(MONTH($J15)-1=0,12,MONTH($J15)-1))),MONTH($M15)))</f>
        <v>2</v>
      </c>
      <c r="P15" s="50">
        <f>IF($S15="","",IF($M15="",IF($K15="","ERR",IF(VLOOKUP($S15,ﾏｽﾀ!$E$8:$K$124,ﾏｽﾀ!$J$4-ﾏｽﾀ!$D$4,0)="E",1,$K15+1)),DAY($M15)))</f>
        <v>21</v>
      </c>
      <c r="Q15" s="50">
        <f t="shared" si="13"/>
        <v>3</v>
      </c>
      <c r="R15" s="50">
        <f t="shared" si="14"/>
        <v>20</v>
      </c>
      <c r="S15" s="601" t="str">
        <f>IF($T15="","",INDEX(ﾏｽﾀ!$E$8:$E$124,MATCH(INDEX(ﾏｽﾀ!$N$8:$N$124,MATCH($T15,ﾏｽﾀ!$O$8:$O$124,0)),ﾏｽﾀ!$B$8:$B$124,0))&amp;"")</f>
        <v>100</v>
      </c>
      <c r="T15" s="535" t="s">
        <v>583</v>
      </c>
      <c r="U15" s="601" t="str">
        <f>IF($T15="","",INDEX(ﾏｽﾀ!$G$8:$G$124,MATCH(INDEX(ﾏｽﾀ!$N$8:$N$124,MATCH($T15,ﾏｽﾀ!$O$8:$O$124,0)),ﾏｽﾀ!$B$8:$B$124,0))&amp;"")</f>
        <v>05</v>
      </c>
      <c r="V15" s="257"/>
      <c r="W15" s="602" t="str">
        <f>IF($X15="","",INDEX(ﾏｽﾀ!$T$8:$T$16,MATCH($X15,ﾏｽﾀ!$U$8:$U$16,0))&amp;"")</f>
        <v>9</v>
      </c>
      <c r="X15" s="248" t="s">
        <v>624</v>
      </c>
      <c r="Y15" s="260"/>
      <c r="Z15" s="260"/>
      <c r="AA15" s="256" t="s">
        <v>561</v>
      </c>
      <c r="AB15" s="492" t="str">
        <f>IF($W15="","",IF($AA15="","ERR",IF($AA15="1",IF($AE15="","ERR",VLOOKUP($AA15,ﾏｽﾀ!$W$8:$X$10,ﾏｽﾀ!$X$4,0)),IF($AA15="2",IF($AG15="","ERR",VLOOKUP($AA15,ﾏｽﾀ!$W$8:$X$10,ﾏｽﾀ!$X$4,0)),IF($AA15="3",IF($AI15="","ERR",VLOOKUP($AA15,ﾏｽﾀ!$W$8:$X$10,ﾏｽﾀ!$X$4,0)),"ERR")))))</f>
        <v>合計請求</v>
      </c>
      <c r="AC15" s="261" t="s">
        <v>550</v>
      </c>
      <c r="AD15" s="321">
        <f>IF($AA15="1",COUNTIF('納品書明細16-E'!$D$9:$D$206,$AN15)+COUNTIF('納品書明細F-15'!$D$9:$D$297,$AN15)-IF(ISNA(MATCH(CONCATENATE(VLOOKUP($AC15,$AB$1:$AC$4,2,FALSE),$S15,IF($U15="","00",$U15),$W15,2),$F$11:$F$160,0)),0,SUMIF($F$11:$F$160,CONCATENATE(VLOOKUP($AC15,$AB$1:$AC$4,2,FALSE),$S15,IF($U15="","00",$U15),$W15,2),$AF$11:$AF$160)),"")</f>
        <v>1</v>
      </c>
      <c r="AE15" s="319">
        <f>IF($AA15="1",SUMIF('納品書明細16-E'!$C$9:$C$206,$AO15,'納品書明細16-E'!$Q$9:$Q$206)+SUMIF('納品書明細F-15'!$C$9:$C$297,$AO15,'納品書明細F-15'!$Q$9:$Q$297)-IF(ISNA(MATCH(CONCATENATE(VLOOKUP($AC15,$AB$1:$AC$4,2,FALSE),$S15,IF($U15="","00",$U15),$W15,2),$F$11:$F$160,0)),0,SUMIF($F$11:$F$160,CONCATENATE(VLOOKUP($AC15,$AB$1:$AC$4,2,FALSE),$S15,IF($U15="","00",$U15),$W15,2),$AG$11:$AG$160)),"")</f>
        <v>27999</v>
      </c>
      <c r="AF15" s="322"/>
      <c r="AG15" s="327"/>
      <c r="AH15" s="57"/>
      <c r="AI15" s="319" t="str">
        <f>IF($AH15="","",IF(ISNA(MATCH($AH15,'納品書明細16-E'!$H$9:$H$206,0)),IF(ISNA(MATCH($AH15,'納品書明細F-15'!$H$9:$H$297,0)),"ERR",SUMIF('納品書明細F-15'!$H$9:$H$297,$AH15,'納品書明細F-15'!$Q$9:$Q$297)),SUMIF('納品書明細16-E'!$H$9:$H$206,$AH15,'納品書明細16-E'!$Q$9:$Q$206)))</f>
        <v/>
      </c>
      <c r="AK15" s="328" t="str">
        <f t="shared" si="6"/>
        <v/>
      </c>
      <c r="AL15" s="269" t="str">
        <f t="shared" si="7"/>
        <v/>
      </c>
      <c r="AM15" s="270" t="str">
        <f t="shared" si="8"/>
        <v/>
      </c>
      <c r="AN15" s="244" t="str">
        <f t="shared" si="9"/>
        <v>110005119</v>
      </c>
      <c r="AO15" s="244" t="str">
        <f t="shared" si="10"/>
        <v>11000519</v>
      </c>
      <c r="AP15" s="271">
        <f t="shared" si="11"/>
        <v>27999</v>
      </c>
      <c r="AQ15" s="262"/>
      <c r="AR15" s="263"/>
      <c r="AS15" s="84"/>
      <c r="AT15" s="86"/>
      <c r="AU15" s="87"/>
    </row>
    <row r="16" spans="1:47" ht="15" customHeight="1">
      <c r="A16" s="281" t="str">
        <f t="shared" si="0"/>
        <v>\</v>
      </c>
      <c r="B16" s="282">
        <f t="shared" si="12"/>
        <v>1</v>
      </c>
      <c r="C16" s="618">
        <f>IF(AND($S16="",$U16="",$W16="",$AA16="",$AE16="",$AG16="",$AI16=""),"",MAX($C$10:$C15)+1)</f>
        <v>6</v>
      </c>
      <c r="D16" s="619" t="str">
        <f t="shared" si="1"/>
        <v>140002</v>
      </c>
      <c r="E16" s="619">
        <f t="shared" si="2"/>
        <v>14000207006</v>
      </c>
      <c r="F16" s="619" t="str">
        <f t="shared" si="3"/>
        <v>14000241</v>
      </c>
      <c r="G16" s="619" t="str">
        <f t="shared" si="4"/>
        <v>1400021</v>
      </c>
      <c r="H16" s="620" t="str">
        <f t="shared" si="5"/>
        <v>40002</v>
      </c>
      <c r="I16" s="316" t="s">
        <v>225</v>
      </c>
      <c r="J16" s="254">
        <v>43160</v>
      </c>
      <c r="K16" s="50">
        <f>IF($W16="","",IF($W16=1,IF(VLOOKUP($S16,ﾏｽﾀ!$E$8:$K$124,ﾏｽﾀ!$J$4-ﾏｽﾀ!$D$4,0)="E",DAY($J$4),ABS(VLOOKUP($S16,ﾏｽﾀ!$E$8:$K$124,ﾏｽﾀ!$J$4-ﾏｽﾀ!$D$4,0))),IF(VLOOKUP($S16,ﾏｽﾀ!$E$8:$K$124,ﾏｽﾀ!$K$4-ﾏｽﾀ!$D$4,0)="E",DAY($J$4),ABS(VLOOKUP($S16,ﾏｽﾀ!$E$8:$K$124,ﾏｽﾀ!$K$4-ﾏｽﾀ!$D$4,0)))))</f>
        <v>15</v>
      </c>
      <c r="L16" s="255"/>
      <c r="M16" s="255"/>
      <c r="N16" s="255"/>
      <c r="O16" s="50">
        <f>IF($S16="","",IF($M16="",IF($J16="","ERR",IF(VLOOKUP($S16,ﾏｽﾀ!$E$8:$K$124,ﾏｽﾀ!$J$4-ﾏｽﾀ!$D$4,0)="E",MONTH($J16),IF(MONTH($J16)-1=0,12,MONTH($J16)-1))),MONTH($M16)))</f>
        <v>2</v>
      </c>
      <c r="P16" s="50">
        <f>IF($S16="","",IF($M16="",IF($K16="","ERR",IF(VLOOKUP($S16,ﾏｽﾀ!$E$8:$K$124,ﾏｽﾀ!$J$4-ﾏｽﾀ!$D$4,0)="E",1,$K16+1)),DAY($M16)))</f>
        <v>16</v>
      </c>
      <c r="Q16" s="50">
        <f t="shared" si="13"/>
        <v>3</v>
      </c>
      <c r="R16" s="50">
        <f t="shared" si="14"/>
        <v>15</v>
      </c>
      <c r="S16" s="601" t="str">
        <f>IF($T16="","",INDEX(ﾏｽﾀ!$E$8:$E$124,MATCH(INDEX(ﾏｽﾀ!$N$8:$N$124,MATCH($T16,ﾏｽﾀ!$O$8:$O$124,0)),ﾏｽﾀ!$B$8:$B$124,0))&amp;"")</f>
        <v>400</v>
      </c>
      <c r="T16" s="535" t="s">
        <v>614</v>
      </c>
      <c r="U16" s="601" t="str">
        <f>IF($T16="","",INDEX(ﾏｽﾀ!$G$8:$G$124,MATCH(INDEX(ﾏｽﾀ!$N$8:$N$124,MATCH($T16,ﾏｽﾀ!$O$8:$O$124,0)),ﾏｽﾀ!$B$8:$B$124,0))&amp;"")</f>
        <v>02</v>
      </c>
      <c r="V16" s="257"/>
      <c r="W16" s="602" t="str">
        <f>IF($X16="","",INDEX(ﾏｽﾀ!$T$8:$T$16,MATCH($X16,ﾏｽﾀ!$U$8:$U$16,0))&amp;"")</f>
        <v>4</v>
      </c>
      <c r="X16" s="248" t="s">
        <v>621</v>
      </c>
      <c r="Y16" s="260"/>
      <c r="Z16" s="260"/>
      <c r="AA16" s="256" t="s">
        <v>561</v>
      </c>
      <c r="AB16" s="492" t="str">
        <f>IF($W16="","",IF($AA16="","ERR",IF($AA16="1",IF($AE16="","ERR",VLOOKUP($AA16,ﾏｽﾀ!$W$8:$X$10,ﾏｽﾀ!$X$4,0)),IF($AA16="2",IF($AG16="","ERR",VLOOKUP($AA16,ﾏｽﾀ!$W$8:$X$10,ﾏｽﾀ!$X$4,0)),IF($AA16="3",IF($AI16="","ERR",VLOOKUP($AA16,ﾏｽﾀ!$W$8:$X$10,ﾏｽﾀ!$X$4,0)),"ERR")))))</f>
        <v>合計請求</v>
      </c>
      <c r="AC16" s="261" t="s">
        <v>550</v>
      </c>
      <c r="AD16" s="321">
        <f>IF($AA16="1",COUNTIF('納品書明細16-E'!$D$9:$D$206,$AN16)+COUNTIF('納品書明細F-15'!$D$9:$D$297,$AN16)-IF(ISNA(MATCH(CONCATENATE(VLOOKUP($AC16,$AB$1:$AC$4,2,FALSE),$S16,IF($U16="","00",$U16),$W16,2),$F$11:$F$160,0)),0,SUMIF($F$11:$F$160,CONCATENATE(VLOOKUP($AC16,$AB$1:$AC$4,2,FALSE),$S16,IF($U16="","00",$U16),$W16,2),$AF$11:$AF$160)),"")</f>
        <v>1</v>
      </c>
      <c r="AE16" s="319">
        <f>IF($AA16="1",SUMIF('納品書明細16-E'!$C$9:$C$206,$AO16,'納品書明細16-E'!$Q$9:$Q$206)+SUMIF('納品書明細F-15'!$C$9:$C$297,$AO16,'納品書明細F-15'!$Q$9:$Q$297)-IF(ISNA(MATCH(CONCATENATE(VLOOKUP($AC16,$AB$1:$AC$4,2,FALSE),$S16,IF($U16="","00",$U16),$W16,2),$F$11:$F$160,0)),0,SUMIF($F$11:$F$160,CONCATENATE(VLOOKUP($AC16,$AB$1:$AC$4,2,FALSE),$S16,IF($U16="","00",$U16),$W16,2),$AG$11:$AG$160)),"")</f>
        <v>190600</v>
      </c>
      <c r="AF16" s="322"/>
      <c r="AG16" s="327"/>
      <c r="AH16" s="57"/>
      <c r="AI16" s="319" t="str">
        <f>IF($AH16="","",IF(ISNA(MATCH($AH16,'納品書明細16-E'!$H$9:$H$206,0)),IF(ISNA(MATCH($AH16,'納品書明細F-15'!$H$9:$H$297,0)),"ERR",SUMIF('納品書明細F-15'!$H$9:$H$297,$AH16,'納品書明細F-15'!$Q$9:$Q$297)),SUMIF('納品書明細16-E'!$H$9:$H$206,$AH16,'納品書明細16-E'!$Q$9:$Q$206)))</f>
        <v/>
      </c>
      <c r="AK16" s="328" t="str">
        <f t="shared" si="6"/>
        <v/>
      </c>
      <c r="AL16" s="269" t="str">
        <f t="shared" si="7"/>
        <v/>
      </c>
      <c r="AM16" s="270" t="str">
        <f t="shared" si="8"/>
        <v/>
      </c>
      <c r="AN16" s="244" t="str">
        <f t="shared" si="9"/>
        <v>140002114</v>
      </c>
      <c r="AO16" s="244" t="str">
        <f t="shared" si="10"/>
        <v>14000214</v>
      </c>
      <c r="AP16" s="271">
        <f t="shared" si="11"/>
        <v>190600</v>
      </c>
      <c r="AQ16" s="262" t="s">
        <v>370</v>
      </c>
      <c r="AR16" s="263"/>
      <c r="AS16" s="84"/>
      <c r="AT16" s="86"/>
      <c r="AU16" s="87"/>
    </row>
    <row r="17" spans="1:47" ht="15" customHeight="1">
      <c r="A17" s="281" t="str">
        <f t="shared" si="0"/>
        <v>\</v>
      </c>
      <c r="B17" s="282">
        <f t="shared" si="12"/>
        <v>1</v>
      </c>
      <c r="C17" s="618">
        <f>IF(AND($S17="",$U17="",$W17="",$AA17="",$AE17="",$AG17="",$AI17=""),"",MAX($C$10:$C16)+1)</f>
        <v>7</v>
      </c>
      <c r="D17" s="619" t="str">
        <f t="shared" si="1"/>
        <v>110010</v>
      </c>
      <c r="E17" s="619">
        <f t="shared" si="2"/>
        <v>11001007007</v>
      </c>
      <c r="F17" s="619" t="str">
        <f t="shared" si="3"/>
        <v>11001041</v>
      </c>
      <c r="G17" s="619" t="str">
        <f t="shared" si="4"/>
        <v>1100101</v>
      </c>
      <c r="H17" s="620" t="str">
        <f t="shared" si="5"/>
        <v>10010</v>
      </c>
      <c r="I17" s="316" t="s">
        <v>226</v>
      </c>
      <c r="J17" s="254">
        <v>43160</v>
      </c>
      <c r="K17" s="50">
        <f>IF($W17="","",IF($W17=1,IF(VLOOKUP($S17,ﾏｽﾀ!$E$8:$K$124,ﾏｽﾀ!$J$4-ﾏｽﾀ!$D$4,0)="E",DAY($J$4),ABS(VLOOKUP($S17,ﾏｽﾀ!$E$8:$K$124,ﾏｽﾀ!$J$4-ﾏｽﾀ!$D$4,0))),IF(VLOOKUP($S17,ﾏｽﾀ!$E$8:$K$124,ﾏｽﾀ!$K$4-ﾏｽﾀ!$D$4,0)="E",DAY($J$4),ABS(VLOOKUP($S17,ﾏｽﾀ!$E$8:$K$124,ﾏｽﾀ!$K$4-ﾏｽﾀ!$D$4,0)))))</f>
        <v>20</v>
      </c>
      <c r="L17" s="255"/>
      <c r="M17" s="255"/>
      <c r="N17" s="255"/>
      <c r="O17" s="50">
        <f>IF($S17="","",IF($M17="",IF($J17="","ERR",IF(VLOOKUP($S17,ﾏｽﾀ!$E$8:$K$124,ﾏｽﾀ!$J$4-ﾏｽﾀ!$D$4,0)="E",MONTH($J17),IF(MONTH($J17)-1=0,12,MONTH($J17)-1))),MONTH($M17)))</f>
        <v>2</v>
      </c>
      <c r="P17" s="50">
        <f>IF($S17="","",IF($M17="",IF($K17="","ERR",IF(VLOOKUP($S17,ﾏｽﾀ!$E$8:$K$124,ﾏｽﾀ!$J$4-ﾏｽﾀ!$D$4,0)="E",1,$K17+1)),DAY($M17)))</f>
        <v>21</v>
      </c>
      <c r="Q17" s="50">
        <f t="shared" si="13"/>
        <v>3</v>
      </c>
      <c r="R17" s="50">
        <f t="shared" si="14"/>
        <v>20</v>
      </c>
      <c r="S17" s="601" t="str">
        <f>IF($T17="","",INDEX(ﾏｽﾀ!$E$8:$E$124,MATCH(INDEX(ﾏｽﾀ!$N$8:$N$124,MATCH($T17,ﾏｽﾀ!$O$8:$O$124,0)),ﾏｽﾀ!$B$8:$B$124,0))&amp;"")</f>
        <v>100</v>
      </c>
      <c r="T17" s="535" t="s">
        <v>584</v>
      </c>
      <c r="U17" s="601" t="str">
        <f>IF($T17="","",INDEX(ﾏｽﾀ!$G$8:$G$124,MATCH(INDEX(ﾏｽﾀ!$N$8:$N$124,MATCH($T17,ﾏｽﾀ!$O$8:$O$124,0)),ﾏｽﾀ!$B$8:$B$124,0))&amp;"")</f>
        <v>10</v>
      </c>
      <c r="V17" s="257"/>
      <c r="W17" s="602" t="str">
        <f>IF($X17="","",INDEX(ﾏｽﾀ!$T$8:$T$16,MATCH($X17,ﾏｽﾀ!$U$8:$U$16,0))&amp;"")</f>
        <v>4</v>
      </c>
      <c r="X17" s="248" t="s">
        <v>621</v>
      </c>
      <c r="Y17" s="260"/>
      <c r="Z17" s="260"/>
      <c r="AA17" s="256" t="s">
        <v>561</v>
      </c>
      <c r="AB17" s="492" t="str">
        <f>IF($W17="","",IF($AA17="","ERR",IF($AA17="1",IF($AE17="","ERR",VLOOKUP($AA17,ﾏｽﾀ!$W$8:$X$10,ﾏｽﾀ!$X$4,0)),IF($AA17="2",IF($AG17="","ERR",VLOOKUP($AA17,ﾏｽﾀ!$W$8:$X$10,ﾏｽﾀ!$X$4,0)),IF($AA17="3",IF($AI17="","ERR",VLOOKUP($AA17,ﾏｽﾀ!$W$8:$X$10,ﾏｽﾀ!$X$4,0)),"ERR")))))</f>
        <v>合計請求</v>
      </c>
      <c r="AC17" s="261" t="s">
        <v>550</v>
      </c>
      <c r="AD17" s="321">
        <f>IF($AA17="1",COUNTIF('納品書明細16-E'!$D$9:$D$206,$AN17)+COUNTIF('納品書明細F-15'!$D$9:$D$297,$AN17)-IF(ISNA(MATCH(CONCATENATE(VLOOKUP($AC17,$AB$1:$AC$4,2,FALSE),$S17,IF($U17="","00",$U17),$W17,2),$F$11:$F$160,0)),0,SUMIF($F$11:$F$160,CONCATENATE(VLOOKUP($AC17,$AB$1:$AC$4,2,FALSE),$S17,IF($U17="","00",$U17),$W17,2),$AF$11:$AF$160)),"")</f>
        <v>1</v>
      </c>
      <c r="AE17" s="319">
        <f>IF($AA17="1",SUMIF('納品書明細16-E'!$C$9:$C$206,$AO17,'納品書明細16-E'!$Q$9:$Q$206)+SUMIF('納品書明細F-15'!$C$9:$C$297,$AO17,'納品書明細F-15'!$Q$9:$Q$297)-IF(ISNA(MATCH(CONCATENATE(VLOOKUP($AC17,$AB$1:$AC$4,2,FALSE),$S17,IF($U17="","00",$U17),$W17,2),$F$11:$F$160,0)),0,SUMIF($F$11:$F$160,CONCATENATE(VLOOKUP($AC17,$AB$1:$AC$4,2,FALSE),$S17,IF($U17="","00",$U17),$W17,2),$AG$11:$AG$160)),"")</f>
        <v>29544</v>
      </c>
      <c r="AF17" s="322"/>
      <c r="AG17" s="327"/>
      <c r="AH17" s="57"/>
      <c r="AI17" s="319" t="str">
        <f>IF($AH17="","",IF(ISNA(MATCH($AH17,'納品書明細16-E'!$H$9:$H$206,0)),IF(ISNA(MATCH($AH17,'納品書明細F-15'!$H$9:$H$297,0)),"ERR",SUMIF('納品書明細F-15'!$H$9:$H$297,$AH17,'納品書明細F-15'!$Q$9:$Q$297)),SUMIF('納品書明細16-E'!$H$9:$H$206,$AH17,'納品書明細16-E'!$Q$9:$Q$206)))</f>
        <v/>
      </c>
      <c r="AK17" s="328" t="str">
        <f t="shared" si="6"/>
        <v/>
      </c>
      <c r="AL17" s="269" t="str">
        <f t="shared" si="7"/>
        <v/>
      </c>
      <c r="AM17" s="270" t="str">
        <f t="shared" si="8"/>
        <v/>
      </c>
      <c r="AN17" s="244" t="str">
        <f t="shared" si="9"/>
        <v>110010114</v>
      </c>
      <c r="AO17" s="244" t="str">
        <f t="shared" si="10"/>
        <v>11001014</v>
      </c>
      <c r="AP17" s="271">
        <f t="shared" si="11"/>
        <v>29544</v>
      </c>
      <c r="AQ17" s="262"/>
      <c r="AR17" s="263"/>
      <c r="AS17" s="84"/>
      <c r="AT17" s="86"/>
      <c r="AU17" s="87"/>
    </row>
    <row r="18" spans="1:47" ht="15" customHeight="1">
      <c r="A18" s="281" t="str">
        <f t="shared" si="0"/>
        <v>\</v>
      </c>
      <c r="B18" s="282">
        <f t="shared" si="12"/>
        <v>1</v>
      </c>
      <c r="C18" s="618">
        <f>IF(AND($S18="",$U18="",$W18="",$AA18="",$AE18="",$AG18="",$AI18=""),"",MAX($C$10:$C17)+1)</f>
        <v>8</v>
      </c>
      <c r="D18" s="619" t="str">
        <f t="shared" si="1"/>
        <v>110001</v>
      </c>
      <c r="E18" s="619">
        <f t="shared" si="2"/>
        <v>11000107008</v>
      </c>
      <c r="F18" s="619" t="str">
        <f t="shared" si="3"/>
        <v>11000111</v>
      </c>
      <c r="G18" s="619" t="str">
        <f t="shared" si="4"/>
        <v>1100011</v>
      </c>
      <c r="H18" s="620" t="str">
        <f t="shared" si="5"/>
        <v>10001</v>
      </c>
      <c r="I18" s="316" t="s">
        <v>227</v>
      </c>
      <c r="J18" s="254">
        <v>43160</v>
      </c>
      <c r="K18" s="50">
        <f>IF($W18="","",IF($W18=1,IF(VLOOKUP($S18,ﾏｽﾀ!$E$8:$K$124,ﾏｽﾀ!$J$4-ﾏｽﾀ!$D$4,0)="E",DAY($J$4),ABS(VLOOKUP($S18,ﾏｽﾀ!$E$8:$K$124,ﾏｽﾀ!$J$4-ﾏｽﾀ!$D$4,0))),IF(VLOOKUP($S18,ﾏｽﾀ!$E$8:$K$124,ﾏｽﾀ!$K$4-ﾏｽﾀ!$D$4,0)="E",DAY($J$4),ABS(VLOOKUP($S18,ﾏｽﾀ!$E$8:$K$124,ﾏｽﾀ!$K$4-ﾏｽﾀ!$D$4,0)))))</f>
        <v>20</v>
      </c>
      <c r="L18" s="255"/>
      <c r="M18" s="255"/>
      <c r="N18" s="255"/>
      <c r="O18" s="50">
        <f>IF($S18="","",IF($M18="",IF($J18="","ERR",IF(VLOOKUP($S18,ﾏｽﾀ!$E$8:$K$124,ﾏｽﾀ!$J$4-ﾏｽﾀ!$D$4,0)="E",MONTH($J18),IF(MONTH($J18)-1=0,12,MONTH($J18)-1))),MONTH($M18)))</f>
        <v>2</v>
      </c>
      <c r="P18" s="50">
        <f>IF($S18="","",IF($M18="",IF($K18="","ERR",IF(VLOOKUP($S18,ﾏｽﾀ!$E$8:$K$124,ﾏｽﾀ!$J$4-ﾏｽﾀ!$D$4,0)="E",1,$K18+1)),DAY($M18)))</f>
        <v>21</v>
      </c>
      <c r="Q18" s="50">
        <f t="shared" si="13"/>
        <v>3</v>
      </c>
      <c r="R18" s="50">
        <f t="shared" si="14"/>
        <v>20</v>
      </c>
      <c r="S18" s="601" t="str">
        <f>IF($T18="","",INDEX(ﾏｽﾀ!$E$8:$E$124,MATCH(INDEX(ﾏｽﾀ!$N$8:$N$124,MATCH($T18,ﾏｽﾀ!$O$8:$O$124,0)),ﾏｽﾀ!$B$8:$B$124,0))&amp;"")</f>
        <v>100</v>
      </c>
      <c r="T18" s="535" t="s">
        <v>582</v>
      </c>
      <c r="U18" s="601" t="str">
        <f>IF($T18="","",INDEX(ﾏｽﾀ!$G$8:$G$124,MATCH(INDEX(ﾏｽﾀ!$N$8:$N$124,MATCH($T18,ﾏｽﾀ!$O$8:$O$124,0)),ﾏｽﾀ!$B$8:$B$124,0))&amp;"")</f>
        <v>01</v>
      </c>
      <c r="V18" s="257"/>
      <c r="W18" s="602" t="str">
        <f>IF($X18="","",INDEX(ﾏｽﾀ!$T$8:$T$16,MATCH($X18,ﾏｽﾀ!$U$8:$U$16,0))&amp;"")</f>
        <v>1</v>
      </c>
      <c r="X18" s="248" t="s">
        <v>622</v>
      </c>
      <c r="Y18" s="260"/>
      <c r="Z18" s="260"/>
      <c r="AA18" s="256" t="s">
        <v>561</v>
      </c>
      <c r="AB18" s="492" t="str">
        <f>IF($W18="","",IF($AA18="","ERR",IF($AA18="1",IF($AE18="","ERR",VLOOKUP($AA18,ﾏｽﾀ!$W$8:$X$10,ﾏｽﾀ!$X$4,0)),IF($AA18="2",IF($AG18="","ERR",VLOOKUP($AA18,ﾏｽﾀ!$W$8:$X$10,ﾏｽﾀ!$X$4,0)),IF($AA18="3",IF($AI18="","ERR",VLOOKUP($AA18,ﾏｽﾀ!$W$8:$X$10,ﾏｽﾀ!$X$4,0)),"ERR")))))</f>
        <v>合計請求</v>
      </c>
      <c r="AC18" s="261" t="s">
        <v>550</v>
      </c>
      <c r="AD18" s="321">
        <f>IF($AA18="1",COUNTIF('納品書明細16-E'!$D$9:$D$206,$AN18)+COUNTIF('納品書明細F-15'!$D$9:$D$297,$AN18)-IF(ISNA(MATCH(CONCATENATE(VLOOKUP($AC18,$AB$1:$AC$4,2,FALSE),$S18,IF($U18="","00",$U18),$W18,2),$F$11:$F$160,0)),0,SUMIF($F$11:$F$160,CONCATENATE(VLOOKUP($AC18,$AB$1:$AC$4,2,FALSE),$S18,IF($U18="","00",$U18),$W18,2),$AF$11:$AF$160)),"")</f>
        <v>1</v>
      </c>
      <c r="AE18" s="319">
        <f>IF($AA18="1",SUMIF('納品書明細16-E'!$C$9:$C$206,$AO18,'納品書明細16-E'!$Q$9:$Q$206)+SUMIF('納品書明細F-15'!$C$9:$C$297,$AO18,'納品書明細F-15'!$Q$9:$Q$297)-IF(ISNA(MATCH(CONCATENATE(VLOOKUP($AC18,$AB$1:$AC$4,2,FALSE),$S18,IF($U18="","00",$U18),$W18,2),$F$11:$F$160,0)),0,SUMIF($F$11:$F$160,CONCATENATE(VLOOKUP($AC18,$AB$1:$AC$4,2,FALSE),$S18,IF($U18="","00",$U18),$W18,2),$AG$11:$AG$160)),"")</f>
        <v>6219276</v>
      </c>
      <c r="AF18" s="322"/>
      <c r="AG18" s="327"/>
      <c r="AH18" s="57"/>
      <c r="AI18" s="319" t="str">
        <f>IF($AH18="","",IF(ISNA(MATCH($AH18,'納品書明細16-E'!$H$9:$H$206,0)),IF(ISNA(MATCH($AH18,'納品書明細F-15'!$H$9:$H$297,0)),"ERR",SUMIF('納品書明細F-15'!$H$9:$H$297,$AH18,'納品書明細F-15'!$Q$9:$Q$297)),SUMIF('納品書明細16-E'!$H$9:$H$206,$AH18,'納品書明細16-E'!$Q$9:$Q$206)))</f>
        <v/>
      </c>
      <c r="AK18" s="328" t="str">
        <f t="shared" si="6"/>
        <v/>
      </c>
      <c r="AL18" s="269" t="str">
        <f t="shared" si="7"/>
        <v/>
      </c>
      <c r="AM18" s="270" t="str">
        <f t="shared" si="8"/>
        <v/>
      </c>
      <c r="AN18" s="244" t="str">
        <f t="shared" si="9"/>
        <v>110001111</v>
      </c>
      <c r="AO18" s="244" t="str">
        <f t="shared" si="10"/>
        <v>11000111</v>
      </c>
      <c r="AP18" s="271">
        <f t="shared" si="11"/>
        <v>6219276</v>
      </c>
      <c r="AQ18" s="262"/>
      <c r="AR18" s="263"/>
      <c r="AS18" s="84"/>
      <c r="AT18" s="86"/>
      <c r="AU18" s="87"/>
    </row>
    <row r="19" spans="1:47" ht="15" customHeight="1">
      <c r="A19" s="281" t="str">
        <f t="shared" si="0"/>
        <v>\</v>
      </c>
      <c r="B19" s="282">
        <f t="shared" si="12"/>
        <v>1</v>
      </c>
      <c r="C19" s="618">
        <f>IF(AND($S19="",$U19="",$W19="",$AA19="",$AE19="",$AG19="",$AI19=""),"",MAX($C$10:$C18)+1)</f>
        <v>9</v>
      </c>
      <c r="D19" s="619" t="str">
        <f t="shared" si="1"/>
        <v>110015</v>
      </c>
      <c r="E19" s="619">
        <f t="shared" si="2"/>
        <v>11001507009</v>
      </c>
      <c r="F19" s="619" t="str">
        <f t="shared" si="3"/>
        <v>11001531</v>
      </c>
      <c r="G19" s="619" t="str">
        <f t="shared" si="4"/>
        <v>1100151</v>
      </c>
      <c r="H19" s="620" t="str">
        <f t="shared" si="5"/>
        <v>10015</v>
      </c>
      <c r="I19" s="316" t="s">
        <v>228</v>
      </c>
      <c r="J19" s="254">
        <v>43160</v>
      </c>
      <c r="K19" s="50">
        <f>IF($W19="","",IF($W19=1,IF(VLOOKUP($S19,ﾏｽﾀ!$E$8:$K$124,ﾏｽﾀ!$J$4-ﾏｽﾀ!$D$4,0)="E",DAY($J$4),ABS(VLOOKUP($S19,ﾏｽﾀ!$E$8:$K$124,ﾏｽﾀ!$J$4-ﾏｽﾀ!$D$4,0))),IF(VLOOKUP($S19,ﾏｽﾀ!$E$8:$K$124,ﾏｽﾀ!$K$4-ﾏｽﾀ!$D$4,0)="E",DAY($J$4),ABS(VLOOKUP($S19,ﾏｽﾀ!$E$8:$K$124,ﾏｽﾀ!$K$4-ﾏｽﾀ!$D$4,0)))))</f>
        <v>20</v>
      </c>
      <c r="L19" s="255"/>
      <c r="M19" s="255"/>
      <c r="N19" s="255"/>
      <c r="O19" s="50">
        <f>IF($S19="","",IF($M19="",IF($J19="","ERR",IF(VLOOKUP($S19,ﾏｽﾀ!$E$8:$K$124,ﾏｽﾀ!$J$4-ﾏｽﾀ!$D$4,0)="E",MONTH($J19),IF(MONTH($J19)-1=0,12,MONTH($J19)-1))),MONTH($M19)))</f>
        <v>2</v>
      </c>
      <c r="P19" s="50">
        <f>IF($S19="","",IF($M19="",IF($K19="","ERR",IF(VLOOKUP($S19,ﾏｽﾀ!$E$8:$K$124,ﾏｽﾀ!$J$4-ﾏｽﾀ!$D$4,0)="E",1,$K19+1)),DAY($M19)))</f>
        <v>21</v>
      </c>
      <c r="Q19" s="50">
        <f t="shared" si="13"/>
        <v>3</v>
      </c>
      <c r="R19" s="50">
        <f t="shared" si="14"/>
        <v>20</v>
      </c>
      <c r="S19" s="601" t="str">
        <f>IF($T19="","",INDEX(ﾏｽﾀ!$E$8:$E$124,MATCH(INDEX(ﾏｽﾀ!$N$8:$N$124,MATCH($T19,ﾏｽﾀ!$O$8:$O$124,0)),ﾏｽﾀ!$B$8:$B$124,0))&amp;"")</f>
        <v>100</v>
      </c>
      <c r="T19" s="535" t="s">
        <v>611</v>
      </c>
      <c r="U19" s="601" t="str">
        <f>IF($T19="","",INDEX(ﾏｽﾀ!$G$8:$G$124,MATCH(INDEX(ﾏｽﾀ!$N$8:$N$124,MATCH($T19,ﾏｽﾀ!$O$8:$O$124,0)),ﾏｽﾀ!$B$8:$B$124,0))&amp;"")</f>
        <v>15</v>
      </c>
      <c r="V19" s="257"/>
      <c r="W19" s="602" t="str">
        <f>IF($X19="","",INDEX(ﾏｽﾀ!$T$8:$T$16,MATCH($X19,ﾏｽﾀ!$U$8:$U$16,0))&amp;"")</f>
        <v>3</v>
      </c>
      <c r="X19" s="248" t="s">
        <v>620</v>
      </c>
      <c r="Y19" s="260"/>
      <c r="Z19" s="260"/>
      <c r="AA19" s="256" t="s">
        <v>561</v>
      </c>
      <c r="AB19" s="492" t="str">
        <f>IF($W19="","",IF($AA19="","ERR",IF($AA19="1",IF($AE19="","ERR",VLOOKUP($AA19,ﾏｽﾀ!$W$8:$X$10,ﾏｽﾀ!$X$4,0)),IF($AA19="2",IF($AG19="","ERR",VLOOKUP($AA19,ﾏｽﾀ!$W$8:$X$10,ﾏｽﾀ!$X$4,0)),IF($AA19="3",IF($AI19="","ERR",VLOOKUP($AA19,ﾏｽﾀ!$W$8:$X$10,ﾏｽﾀ!$X$4,0)),"ERR")))))</f>
        <v>合計請求</v>
      </c>
      <c r="AC19" s="261" t="s">
        <v>550</v>
      </c>
      <c r="AD19" s="321">
        <f>IF($AA19="1",COUNTIF('納品書明細16-E'!$D$9:$D$206,$AN19)+COUNTIF('納品書明細F-15'!$D$9:$D$297,$AN19)-IF(ISNA(MATCH(CONCATENATE(VLOOKUP($AC19,$AB$1:$AC$4,2,FALSE),$S19,IF($U19="","00",$U19),$W19,2),$F$11:$F$160,0)),0,SUMIF($F$11:$F$160,CONCATENATE(VLOOKUP($AC19,$AB$1:$AC$4,2,FALSE),$S19,IF($U19="","00",$U19),$W19,2),$AF$11:$AF$160)),"")</f>
        <v>1</v>
      </c>
      <c r="AE19" s="319">
        <f>IF($AA19="1",SUMIF('納品書明細16-E'!$C$9:$C$206,$AO19,'納品書明細16-E'!$Q$9:$Q$206)+SUMIF('納品書明細F-15'!$C$9:$C$297,$AO19,'納品書明細F-15'!$Q$9:$Q$297)-IF(ISNA(MATCH(CONCATENATE(VLOOKUP($AC19,$AB$1:$AC$4,2,FALSE),$S19,IF($U19="","00",$U19),$W19,2),$F$11:$F$160,0)),0,SUMIF($F$11:$F$160,CONCATENATE(VLOOKUP($AC19,$AB$1:$AC$4,2,FALSE),$S19,IF($U19="","00",$U19),$W19,2),$AG$11:$AG$160)),"")</f>
        <v>19107</v>
      </c>
      <c r="AF19" s="322"/>
      <c r="AG19" s="327"/>
      <c r="AH19" s="57"/>
      <c r="AI19" s="319" t="str">
        <f>IF($AH19="","",IF(ISNA(MATCH($AH19,'納品書明細16-E'!$H$9:$H$206,0)),IF(ISNA(MATCH($AH19,'納品書明細F-15'!$H$9:$H$297,0)),"ERR",SUMIF('納品書明細F-15'!$H$9:$H$297,$AH19,'納品書明細F-15'!$Q$9:$Q$297)),SUMIF('納品書明細16-E'!$H$9:$H$206,$AH19,'納品書明細16-E'!$Q$9:$Q$206)))</f>
        <v/>
      </c>
      <c r="AK19" s="328" t="str">
        <f t="shared" si="6"/>
        <v/>
      </c>
      <c r="AL19" s="269" t="str">
        <f t="shared" si="7"/>
        <v/>
      </c>
      <c r="AM19" s="270" t="str">
        <f t="shared" si="8"/>
        <v/>
      </c>
      <c r="AN19" s="244" t="str">
        <f t="shared" si="9"/>
        <v>110015113</v>
      </c>
      <c r="AO19" s="244" t="str">
        <f t="shared" si="10"/>
        <v>11001513</v>
      </c>
      <c r="AP19" s="271">
        <f t="shared" si="11"/>
        <v>19107</v>
      </c>
      <c r="AQ19" s="262" t="s">
        <v>370</v>
      </c>
      <c r="AR19" s="264"/>
      <c r="AS19" s="84"/>
      <c r="AT19" s="86"/>
      <c r="AU19" s="87"/>
    </row>
    <row r="20" spans="1:47" ht="15" customHeight="1">
      <c r="A20" s="281" t="str">
        <f t="shared" si="0"/>
        <v>\</v>
      </c>
      <c r="B20" s="282">
        <f t="shared" si="12"/>
        <v>1</v>
      </c>
      <c r="C20" s="618">
        <f>IF(AND($S20="",$U20="",$W20="",$AA20="",$AE20="",$AG20="",$AI20=""),"",MAX($C$10:$C19)+1)</f>
        <v>10</v>
      </c>
      <c r="D20" s="619" t="str">
        <f t="shared" si="1"/>
        <v>112001</v>
      </c>
      <c r="E20" s="619">
        <f t="shared" si="2"/>
        <v>11200107010</v>
      </c>
      <c r="F20" s="619" t="str">
        <f t="shared" si="3"/>
        <v>11200143</v>
      </c>
      <c r="G20" s="619" t="str">
        <f t="shared" si="4"/>
        <v>1120013</v>
      </c>
      <c r="H20" s="620" t="str">
        <f t="shared" si="5"/>
        <v>12001</v>
      </c>
      <c r="I20" s="316" t="s">
        <v>229</v>
      </c>
      <c r="J20" s="254">
        <v>43160</v>
      </c>
      <c r="K20" s="50">
        <f>IF($W20="","",IF($W20=1,IF(VLOOKUP($S20,ﾏｽﾀ!$E$8:$K$124,ﾏｽﾀ!$J$4-ﾏｽﾀ!$D$4,0)="E",DAY($J$4),ABS(VLOOKUP($S20,ﾏｽﾀ!$E$8:$K$124,ﾏｽﾀ!$J$4-ﾏｽﾀ!$D$4,0))),IF(VLOOKUP($S20,ﾏｽﾀ!$E$8:$K$124,ﾏｽﾀ!$K$4-ﾏｽﾀ!$D$4,0)="E",DAY($J$4),ABS(VLOOKUP($S20,ﾏｽﾀ!$E$8:$K$124,ﾏｽﾀ!$K$4-ﾏｽﾀ!$D$4,0)))))</f>
        <v>20</v>
      </c>
      <c r="L20" s="255"/>
      <c r="M20" s="255"/>
      <c r="N20" s="255"/>
      <c r="O20" s="50">
        <f>IF($S20="","",IF($M20="",IF($J20="","ERR",IF(VLOOKUP($S20,ﾏｽﾀ!$E$8:$K$124,ﾏｽﾀ!$J$4-ﾏｽﾀ!$D$4,0)="E",MONTH($J20),IF(MONTH($J20)-1=0,12,MONTH($J20)-1))),MONTH($M20)))</f>
        <v>2</v>
      </c>
      <c r="P20" s="50">
        <f>IF($S20="","",IF($M20="",IF($K20="","ERR",IF(VLOOKUP($S20,ﾏｽﾀ!$E$8:$K$124,ﾏｽﾀ!$J$4-ﾏｽﾀ!$D$4,0)="E",1,$K20+1)),DAY($M20)))</f>
        <v>21</v>
      </c>
      <c r="Q20" s="50">
        <f t="shared" si="13"/>
        <v>3</v>
      </c>
      <c r="R20" s="50">
        <f t="shared" si="14"/>
        <v>20</v>
      </c>
      <c r="S20" s="601" t="str">
        <f>IF($T20="","",INDEX(ﾏｽﾀ!$E$8:$E$124,MATCH(INDEX(ﾏｽﾀ!$N$8:$N$124,MATCH($T20,ﾏｽﾀ!$O$8:$O$124,0)),ﾏｽﾀ!$B$8:$B$124,0))&amp;"")</f>
        <v>120</v>
      </c>
      <c r="T20" s="535" t="s">
        <v>655</v>
      </c>
      <c r="U20" s="601" t="str">
        <f>IF($T20="","",INDEX(ﾏｽﾀ!$G$8:$G$124,MATCH(INDEX(ﾏｽﾀ!$N$8:$N$124,MATCH($T20,ﾏｽﾀ!$O$8:$O$124,0)),ﾏｽﾀ!$B$8:$B$124,0))&amp;"")</f>
        <v>01</v>
      </c>
      <c r="V20" s="257"/>
      <c r="W20" s="602" t="str">
        <f>IF($X20="","",INDEX(ﾏｽﾀ!$T$8:$T$16,MATCH($X20,ﾏｽﾀ!$U$8:$U$16,0))&amp;"")</f>
        <v>4</v>
      </c>
      <c r="X20" s="248" t="s">
        <v>621</v>
      </c>
      <c r="Y20" s="260"/>
      <c r="Z20" s="260"/>
      <c r="AA20" s="256" t="s">
        <v>562</v>
      </c>
      <c r="AB20" s="492" t="str">
        <f>IF($W20="","",IF($AA20="","ERR",IF($AA20="1",IF($AE20="","ERR",VLOOKUP($AA20,ﾏｽﾀ!$W$8:$X$10,ﾏｽﾀ!$X$4,0)),IF($AA20="2",IF($AG20="","ERR",VLOOKUP($AA20,ﾏｽﾀ!$W$8:$X$10,ﾏｽﾀ!$X$4,0)),IF($AA20="3",IF($AI20="","ERR",VLOOKUP($AA20,ﾏｽﾀ!$W$8:$X$10,ﾏｽﾀ!$X$4,0)),"ERR")))))</f>
        <v>個別請求</v>
      </c>
      <c r="AC20" s="261" t="s">
        <v>550</v>
      </c>
      <c r="AD20" s="321" t="str">
        <f>IF($AA20="1",COUNTIF('納品書明細16-E'!$D$9:$D$206,$AN20)+COUNTIF('納品書明細F-15'!$D$9:$D$297,$AN20)-IF(ISNA(MATCH(CONCATENATE(VLOOKUP($AC20,$AB$1:$AC$4,2,FALSE),$S20,IF($U20="","00",$U20),$W20,2),$F$11:$F$160,0)),0,SUMIF($F$11:$F$160,CONCATENATE(VLOOKUP($AC20,$AB$1:$AC$4,2,FALSE),$S20,IF($U20="","00",$U20),$W20,2),$AF$11:$AF$160)),"")</f>
        <v/>
      </c>
      <c r="AE20" s="319" t="str">
        <f>IF($AA20="1",SUMIF('納品書明細16-E'!$C$9:$C$206,$AO20,'納品書明細16-E'!$Q$9:$Q$206)+SUMIF('納品書明細F-15'!$C$9:$C$297,$AO20,'納品書明細F-15'!$Q$9:$Q$297)-IF(ISNA(MATCH(CONCATENATE(VLOOKUP($AC20,$AB$1:$AC$4,2,FALSE),$S20,IF($U20="","00",$U20),$W20,2),$F$11:$F$160,0)),0,SUMIF($F$11:$F$160,CONCATENATE(VLOOKUP($AC20,$AB$1:$AC$4,2,FALSE),$S20,IF($U20="","00",$U20),$W20,2),$AG$11:$AG$160)),"")</f>
        <v/>
      </c>
      <c r="AF20" s="322"/>
      <c r="AG20" s="327"/>
      <c r="AH20" s="57" t="s">
        <v>564</v>
      </c>
      <c r="AI20" s="319">
        <f>IF($AH20="","",IF(ISNA(MATCH($AH20,'納品書明細16-E'!$H$9:$H$206,0)),IF(ISNA(MATCH($AH20,'納品書明細F-15'!$H$9:$H$297,0)),"ERR",SUMIF('納品書明細F-15'!$H$9:$H$297,$AH20,'納品書明細F-15'!$Q$9:$Q$297)),SUMIF('納品書明細16-E'!$H$9:$H$206,$AH20,'納品書明細16-E'!$Q$9:$Q$206)))</f>
        <v>8766</v>
      </c>
      <c r="AK20" s="328" t="str">
        <f t="shared" si="6"/>
        <v>39-B07010</v>
      </c>
      <c r="AL20" s="269">
        <f t="shared" si="7"/>
        <v>43160</v>
      </c>
      <c r="AM20" s="270">
        <f t="shared" si="8"/>
        <v>20</v>
      </c>
      <c r="AN20" s="244" t="str">
        <f t="shared" si="9"/>
        <v>112001114</v>
      </c>
      <c r="AO20" s="244" t="str">
        <f t="shared" si="10"/>
        <v>11200114</v>
      </c>
      <c r="AP20" s="271">
        <f t="shared" si="11"/>
        <v>8766</v>
      </c>
      <c r="AQ20" s="262"/>
      <c r="AR20" s="263"/>
      <c r="AS20" s="84"/>
      <c r="AT20" s="86"/>
      <c r="AU20" s="87"/>
    </row>
    <row r="21" spans="1:47" ht="15" customHeight="1">
      <c r="A21" s="281" t="str">
        <f t="shared" si="0"/>
        <v>\</v>
      </c>
      <c r="B21" s="282">
        <f t="shared" si="12"/>
        <v>1</v>
      </c>
      <c r="C21" s="618">
        <f>IF(AND($S21="",$U21="",$W21="",$AA21="",$AE21="",$AG21="",$AI21=""),"",MAX($C$10:$C20)+1)</f>
        <v>11</v>
      </c>
      <c r="D21" s="619" t="str">
        <f t="shared" si="1"/>
        <v>110019</v>
      </c>
      <c r="E21" s="619">
        <f t="shared" si="2"/>
        <v>11001907011</v>
      </c>
      <c r="F21" s="619" t="str">
        <f t="shared" si="3"/>
        <v>11001911</v>
      </c>
      <c r="G21" s="619" t="str">
        <f t="shared" si="4"/>
        <v>1100191</v>
      </c>
      <c r="H21" s="620" t="str">
        <f t="shared" si="5"/>
        <v>10019</v>
      </c>
      <c r="I21" s="316" t="s">
        <v>230</v>
      </c>
      <c r="J21" s="254">
        <v>43160</v>
      </c>
      <c r="K21" s="50">
        <f>IF($W21="","",IF($W21=1,IF(VLOOKUP($S21,ﾏｽﾀ!$E$8:$K$124,ﾏｽﾀ!$J$4-ﾏｽﾀ!$D$4,0)="E",DAY($J$4),ABS(VLOOKUP($S21,ﾏｽﾀ!$E$8:$K$124,ﾏｽﾀ!$J$4-ﾏｽﾀ!$D$4,0))),IF(VLOOKUP($S21,ﾏｽﾀ!$E$8:$K$124,ﾏｽﾀ!$K$4-ﾏｽﾀ!$D$4,0)="E",DAY($J$4),ABS(VLOOKUP($S21,ﾏｽﾀ!$E$8:$K$124,ﾏｽﾀ!$K$4-ﾏｽﾀ!$D$4,0)))))</f>
        <v>20</v>
      </c>
      <c r="L21" s="255"/>
      <c r="M21" s="255"/>
      <c r="N21" s="255"/>
      <c r="O21" s="50">
        <f>IF($S21="","",IF($M21="",IF($J21="","ERR",IF(VLOOKUP($S21,ﾏｽﾀ!$E$8:$K$124,ﾏｽﾀ!$J$4-ﾏｽﾀ!$D$4,0)="E",MONTH($J21),IF(MONTH($J21)-1=0,12,MONTH($J21)-1))),MONTH($M21)))</f>
        <v>2</v>
      </c>
      <c r="P21" s="50">
        <f>IF($S21="","",IF($M21="",IF($K21="","ERR",IF(VLOOKUP($S21,ﾏｽﾀ!$E$8:$K$124,ﾏｽﾀ!$J$4-ﾏｽﾀ!$D$4,0)="E",1,$K21+1)),DAY($M21)))</f>
        <v>21</v>
      </c>
      <c r="Q21" s="50">
        <f t="shared" si="13"/>
        <v>3</v>
      </c>
      <c r="R21" s="50">
        <f t="shared" si="14"/>
        <v>20</v>
      </c>
      <c r="S21" s="601" t="str">
        <f>IF($T21="","",INDEX(ﾏｽﾀ!$E$8:$E$124,MATCH(INDEX(ﾏｽﾀ!$N$8:$N$124,MATCH($T21,ﾏｽﾀ!$O$8:$O$124,0)),ﾏｽﾀ!$B$8:$B$124,0))&amp;"")</f>
        <v>100</v>
      </c>
      <c r="T21" s="535" t="s">
        <v>613</v>
      </c>
      <c r="U21" s="601" t="str">
        <f>IF($T21="","",INDEX(ﾏｽﾀ!$G$8:$G$124,MATCH(INDEX(ﾏｽﾀ!$N$8:$N$124,MATCH($T21,ﾏｽﾀ!$O$8:$O$124,0)),ﾏｽﾀ!$B$8:$B$124,0))&amp;"")</f>
        <v>19</v>
      </c>
      <c r="V21" s="257"/>
      <c r="W21" s="602" t="str">
        <f>IF($X21="","",INDEX(ﾏｽﾀ!$T$8:$T$16,MATCH($X21,ﾏｽﾀ!$U$8:$U$16,0))&amp;"")</f>
        <v>1</v>
      </c>
      <c r="X21" s="248" t="s">
        <v>622</v>
      </c>
      <c r="Y21" s="260"/>
      <c r="Z21" s="260"/>
      <c r="AA21" s="256" t="s">
        <v>561</v>
      </c>
      <c r="AB21" s="492" t="str">
        <f>IF($W21="","",IF($AA21="","ERR",IF($AA21="1",IF($AE21="","ERR",VLOOKUP($AA21,ﾏｽﾀ!$W$8:$X$10,ﾏｽﾀ!$X$4,0)),IF($AA21="2",IF($AG21="","ERR",VLOOKUP($AA21,ﾏｽﾀ!$W$8:$X$10,ﾏｽﾀ!$X$4,0)),IF($AA21="3",IF($AI21="","ERR",VLOOKUP($AA21,ﾏｽﾀ!$W$8:$X$10,ﾏｽﾀ!$X$4,0)),"ERR")))))</f>
        <v>合計請求</v>
      </c>
      <c r="AC21" s="261" t="s">
        <v>550</v>
      </c>
      <c r="AD21" s="321">
        <f>IF($AA21="1",COUNTIF('納品書明細16-E'!$D$9:$D$206,$AN21)+COUNTIF('納品書明細F-15'!$D$9:$D$297,$AN21)-IF(ISNA(MATCH(CONCATENATE(VLOOKUP($AC21,$AB$1:$AC$4,2,FALSE),$S21,IF($U21="","00",$U21),$W21,2),$F$11:$F$160,0)),0,SUMIF($F$11:$F$160,CONCATENATE(VLOOKUP($AC21,$AB$1:$AC$4,2,FALSE),$S21,IF($U21="","00",$U21),$W21,2),$AF$11:$AF$160)),"")</f>
        <v>1</v>
      </c>
      <c r="AE21" s="319">
        <f>IF($AA21="1",SUMIF('納品書明細16-E'!$C$9:$C$206,$AO21,'納品書明細16-E'!$Q$9:$Q$206)+SUMIF('納品書明細F-15'!$C$9:$C$297,$AO21,'納品書明細F-15'!$Q$9:$Q$297)-IF(ISNA(MATCH(CONCATENATE(VLOOKUP($AC21,$AB$1:$AC$4,2,FALSE),$S21,IF($U21="","00",$U21),$W21,2),$F$11:$F$160,0)),0,SUMIF($F$11:$F$160,CONCATENATE(VLOOKUP($AC21,$AB$1:$AC$4,2,FALSE),$S21,IF($U21="","00",$U21),$W21,2),$AG$11:$AG$160)),"")</f>
        <v>24383928</v>
      </c>
      <c r="AF21" s="322"/>
      <c r="AG21" s="327"/>
      <c r="AH21" s="57"/>
      <c r="AI21" s="319" t="str">
        <f>IF($AH21="","",IF(ISNA(MATCH($AH21,'納品書明細16-E'!$H$9:$H$206,0)),IF(ISNA(MATCH($AH21,'納品書明細F-15'!$H$9:$H$297,0)),"ERR",SUMIF('納品書明細F-15'!$H$9:$H$297,$AH21,'納品書明細F-15'!$Q$9:$Q$297)),SUMIF('納品書明細16-E'!$H$9:$H$206,$AH21,'納品書明細16-E'!$Q$9:$Q$206)))</f>
        <v/>
      </c>
      <c r="AK21" s="328" t="str">
        <f t="shared" si="6"/>
        <v/>
      </c>
      <c r="AL21" s="269" t="str">
        <f t="shared" si="7"/>
        <v/>
      </c>
      <c r="AM21" s="270" t="str">
        <f t="shared" si="8"/>
        <v/>
      </c>
      <c r="AN21" s="244" t="str">
        <f t="shared" si="9"/>
        <v>110019111</v>
      </c>
      <c r="AO21" s="244" t="str">
        <f t="shared" si="10"/>
        <v>11001911</v>
      </c>
      <c r="AP21" s="271">
        <f t="shared" si="11"/>
        <v>24383928</v>
      </c>
      <c r="AQ21" s="262" t="s">
        <v>372</v>
      </c>
      <c r="AR21" s="263"/>
      <c r="AS21" s="84"/>
      <c r="AT21" s="86"/>
      <c r="AU21" s="87"/>
    </row>
    <row r="22" spans="1:47" ht="15" customHeight="1">
      <c r="A22" s="281" t="str">
        <f t="shared" si="0"/>
        <v>$</v>
      </c>
      <c r="B22" s="282">
        <f t="shared" si="12"/>
        <v>1</v>
      </c>
      <c r="C22" s="618">
        <f>IF(AND($S22="",$U22="",$W22="",$AA22="",$AE22="",$AG22="",$AI22=""),"",MAX($C$10:$C21)+1)</f>
        <v>12</v>
      </c>
      <c r="D22" s="619" t="str">
        <f t="shared" si="1"/>
        <v>210005</v>
      </c>
      <c r="E22" s="619">
        <f t="shared" si="2"/>
        <v>21000507012</v>
      </c>
      <c r="F22" s="619" t="str">
        <f t="shared" si="3"/>
        <v>21000591</v>
      </c>
      <c r="G22" s="619" t="str">
        <f t="shared" si="4"/>
        <v>2100051</v>
      </c>
      <c r="H22" s="620" t="str">
        <f t="shared" si="5"/>
        <v>10005</v>
      </c>
      <c r="I22" s="316" t="s">
        <v>231</v>
      </c>
      <c r="J22" s="254">
        <v>43160</v>
      </c>
      <c r="K22" s="50">
        <f>IF($W22="","",IF($W22=1,IF(VLOOKUP($S22,ﾏｽﾀ!$E$8:$K$124,ﾏｽﾀ!$J$4-ﾏｽﾀ!$D$4,0)="E",DAY($J$4),ABS(VLOOKUP($S22,ﾏｽﾀ!$E$8:$K$124,ﾏｽﾀ!$J$4-ﾏｽﾀ!$D$4,0))),IF(VLOOKUP($S22,ﾏｽﾀ!$E$8:$K$124,ﾏｽﾀ!$K$4-ﾏｽﾀ!$D$4,0)="E",DAY($J$4),ABS(VLOOKUP($S22,ﾏｽﾀ!$E$8:$K$124,ﾏｽﾀ!$K$4-ﾏｽﾀ!$D$4,0)))))</f>
        <v>20</v>
      </c>
      <c r="L22" s="255"/>
      <c r="M22" s="255"/>
      <c r="N22" s="255"/>
      <c r="O22" s="50">
        <f>IF($S22="","",IF($M22="",IF($J22="","ERR",IF(VLOOKUP($S22,ﾏｽﾀ!$E$8:$K$124,ﾏｽﾀ!$J$4-ﾏｽﾀ!$D$4,0)="E",MONTH($J22),IF(MONTH($J22)-1=0,12,MONTH($J22)-1))),MONTH($M22)))</f>
        <v>2</v>
      </c>
      <c r="P22" s="50">
        <f>IF($S22="","",IF($M22="",IF($K22="","ERR",IF(VLOOKUP($S22,ﾏｽﾀ!$E$8:$K$124,ﾏｽﾀ!$J$4-ﾏｽﾀ!$D$4,0)="E",1,$K22+1)),DAY($M22)))</f>
        <v>21</v>
      </c>
      <c r="Q22" s="50">
        <f t="shared" si="13"/>
        <v>3</v>
      </c>
      <c r="R22" s="50">
        <f t="shared" si="14"/>
        <v>20</v>
      </c>
      <c r="S22" s="601" t="str">
        <f>IF($T22="","",INDEX(ﾏｽﾀ!$E$8:$E$124,MATCH(INDEX(ﾏｽﾀ!$N$8:$N$124,MATCH($T22,ﾏｽﾀ!$O$8:$O$124,0)),ﾏｽﾀ!$B$8:$B$124,0))&amp;"")</f>
        <v>100</v>
      </c>
      <c r="T22" s="535" t="s">
        <v>583</v>
      </c>
      <c r="U22" s="601" t="str">
        <f>IF($T22="","",INDEX(ﾏｽﾀ!$G$8:$G$124,MATCH(INDEX(ﾏｽﾀ!$N$8:$N$124,MATCH($T22,ﾏｽﾀ!$O$8:$O$124,0)),ﾏｽﾀ!$B$8:$B$124,0))&amp;"")</f>
        <v>05</v>
      </c>
      <c r="V22" s="257"/>
      <c r="W22" s="602" t="str">
        <f>IF($X22="","",INDEX(ﾏｽﾀ!$T$8:$T$16,MATCH($X22,ﾏｽﾀ!$U$8:$U$16,0))&amp;"")</f>
        <v>9</v>
      </c>
      <c r="X22" s="248" t="s">
        <v>624</v>
      </c>
      <c r="Y22" s="260"/>
      <c r="Z22" s="260"/>
      <c r="AA22" s="256" t="s">
        <v>561</v>
      </c>
      <c r="AB22" s="492" t="str">
        <f>IF($W22="","",IF($AA22="","ERR",IF($AA22="1",IF($AE22="","ERR",VLOOKUP($AA22,ﾏｽﾀ!$W$8:$X$10,ﾏｽﾀ!$X$4,0)),IF($AA22="2",IF($AG22="","ERR",VLOOKUP($AA22,ﾏｽﾀ!$W$8:$X$10,ﾏｽﾀ!$X$4,0)),IF($AA22="3",IF($AI22="","ERR",VLOOKUP($AA22,ﾏｽﾀ!$W$8:$X$10,ﾏｽﾀ!$X$4,0)),"ERR")))))</f>
        <v>合計請求</v>
      </c>
      <c r="AC22" s="261" t="s">
        <v>563</v>
      </c>
      <c r="AD22" s="321">
        <f>IF($AA22="1",COUNTIF('納品書明細16-E'!$D$9:$D$206,$AN22)+COUNTIF('納品書明細F-15'!$D$9:$D$297,$AN22)-IF(ISNA(MATCH(CONCATENATE(VLOOKUP($AC22,$AB$1:$AC$4,2,FALSE),$S22,IF($U22="","00",$U22),$W22,2),$F$11:$F$160,0)),0,SUMIF($F$11:$F$160,CONCATENATE(VLOOKUP($AC22,$AB$1:$AC$4,2,FALSE),$S22,IF($U22="","00",$U22),$W22,2),$AF$11:$AF$160)),"")</f>
        <v>1</v>
      </c>
      <c r="AE22" s="319">
        <f>IF($AA22="1",SUMIF('納品書明細16-E'!$C$9:$C$206,$AO22,'納品書明細16-E'!$Q$9:$Q$206)+SUMIF('納品書明細F-15'!$C$9:$C$297,$AO22,'納品書明細F-15'!$Q$9:$Q$297)-IF(ISNA(MATCH(CONCATENATE(VLOOKUP($AC22,$AB$1:$AC$4,2,FALSE),$S22,IF($U22="","00",$U22),$W22,2),$F$11:$F$160,0)),0,SUMIF($F$11:$F$160,CONCATENATE(VLOOKUP($AC22,$AB$1:$AC$4,2,FALSE),$S22,IF($U22="","00",$U22),$W22,2),$AG$11:$AG$160)),"")</f>
        <v>661000</v>
      </c>
      <c r="AF22" s="322"/>
      <c r="AG22" s="327"/>
      <c r="AH22" s="57"/>
      <c r="AI22" s="319" t="str">
        <f>IF($AH22="","",IF(ISNA(MATCH($AH22,'納品書明細16-E'!$H$9:$H$206,0)),IF(ISNA(MATCH($AH22,'納品書明細F-15'!$H$9:$H$297,0)),"ERR",SUMIF('納品書明細F-15'!$H$9:$H$297,$AH22,'納品書明細F-15'!$Q$9:$Q$297)),SUMIF('納品書明細16-E'!$H$9:$H$206,$AH22,'納品書明細16-E'!$Q$9:$Q$206)))</f>
        <v/>
      </c>
      <c r="AK22" s="328" t="str">
        <f t="shared" si="6"/>
        <v/>
      </c>
      <c r="AL22" s="269" t="str">
        <f t="shared" si="7"/>
        <v/>
      </c>
      <c r="AM22" s="270" t="str">
        <f t="shared" si="8"/>
        <v/>
      </c>
      <c r="AN22" s="244" t="str">
        <f t="shared" si="9"/>
        <v>210005119</v>
      </c>
      <c r="AO22" s="244" t="str">
        <f t="shared" si="10"/>
        <v>21000519</v>
      </c>
      <c r="AP22" s="271">
        <f t="shared" si="11"/>
        <v>661000</v>
      </c>
      <c r="AQ22" s="265"/>
      <c r="AR22" s="263"/>
      <c r="AS22" s="84"/>
      <c r="AT22" s="86"/>
      <c r="AU22" s="87"/>
    </row>
    <row r="23" spans="1:47" ht="15" customHeight="1">
      <c r="A23" s="281" t="str">
        <f t="shared" si="0"/>
        <v>\</v>
      </c>
      <c r="B23" s="282">
        <f t="shared" si="12"/>
        <v>1</v>
      </c>
      <c r="C23" s="618">
        <f>IF(AND($S23="",$U23="",$W23="",$AA23="",$AE23="",$AG23="",$AI23=""),"",MAX($C$10:$C22)+1)</f>
        <v>13</v>
      </c>
      <c r="D23" s="619" t="str">
        <f t="shared" si="1"/>
        <v>112001</v>
      </c>
      <c r="E23" s="619">
        <f t="shared" si="2"/>
        <v>11200107013</v>
      </c>
      <c r="F23" s="619" t="str">
        <f t="shared" si="3"/>
        <v>11200111</v>
      </c>
      <c r="G23" s="619" t="str">
        <f t="shared" si="4"/>
        <v>1120011</v>
      </c>
      <c r="H23" s="620" t="str">
        <f t="shared" si="5"/>
        <v>12001</v>
      </c>
      <c r="I23" s="316" t="s">
        <v>232</v>
      </c>
      <c r="J23" s="254">
        <v>43160</v>
      </c>
      <c r="K23" s="50">
        <f>IF($W23="","",IF($W23=1,IF(VLOOKUP($S23,ﾏｽﾀ!$E$8:$K$124,ﾏｽﾀ!$J$4-ﾏｽﾀ!$D$4,0)="E",DAY($J$4),ABS(VLOOKUP($S23,ﾏｽﾀ!$E$8:$K$124,ﾏｽﾀ!$J$4-ﾏｽﾀ!$D$4,0))),IF(VLOOKUP($S23,ﾏｽﾀ!$E$8:$K$124,ﾏｽﾀ!$K$4-ﾏｽﾀ!$D$4,0)="E",DAY($J$4),ABS(VLOOKUP($S23,ﾏｽﾀ!$E$8:$K$124,ﾏｽﾀ!$K$4-ﾏｽﾀ!$D$4,0)))))</f>
        <v>20</v>
      </c>
      <c r="L23" s="255"/>
      <c r="M23" s="255"/>
      <c r="N23" s="255"/>
      <c r="O23" s="50">
        <f>IF($S23="","",IF($M23="",IF($J23="","ERR",IF(VLOOKUP($S23,ﾏｽﾀ!$E$8:$K$124,ﾏｽﾀ!$J$4-ﾏｽﾀ!$D$4,0)="E",MONTH($J23),IF(MONTH($J23)-1=0,12,MONTH($J23)-1))),MONTH($M23)))</f>
        <v>2</v>
      </c>
      <c r="P23" s="50">
        <f>IF($S23="","",IF($M23="",IF($K23="","ERR",IF(VLOOKUP($S23,ﾏｽﾀ!$E$8:$K$124,ﾏｽﾀ!$J$4-ﾏｽﾀ!$D$4,0)="E",1,$K23+1)),DAY($M23)))</f>
        <v>21</v>
      </c>
      <c r="Q23" s="50">
        <f t="shared" si="13"/>
        <v>3</v>
      </c>
      <c r="R23" s="50">
        <f t="shared" si="14"/>
        <v>20</v>
      </c>
      <c r="S23" s="601" t="str">
        <f>IF($T23="","",INDEX(ﾏｽﾀ!$E$8:$E$124,MATCH(INDEX(ﾏｽﾀ!$N$8:$N$124,MATCH($T23,ﾏｽﾀ!$O$8:$O$124,0)),ﾏｽﾀ!$B$8:$B$124,0))&amp;"")</f>
        <v>120</v>
      </c>
      <c r="T23" s="535" t="s">
        <v>655</v>
      </c>
      <c r="U23" s="601" t="str">
        <f>IF($T23="","",INDEX(ﾏｽﾀ!$G$8:$G$124,MATCH(INDEX(ﾏｽﾀ!$N$8:$N$124,MATCH($T23,ﾏｽﾀ!$O$8:$O$124,0)),ﾏｽﾀ!$B$8:$B$124,0))&amp;"")</f>
        <v>01</v>
      </c>
      <c r="V23" s="257"/>
      <c r="W23" s="602" t="str">
        <f>IF($X23="","",INDEX(ﾏｽﾀ!$T$8:$T$16,MATCH($X23,ﾏｽﾀ!$U$8:$U$16,0))&amp;"")</f>
        <v>1</v>
      </c>
      <c r="X23" s="248" t="s">
        <v>622</v>
      </c>
      <c r="Y23" s="260"/>
      <c r="Z23" s="260"/>
      <c r="AA23" s="256" t="s">
        <v>561</v>
      </c>
      <c r="AB23" s="492" t="str">
        <f>IF($W23="","",IF($AA23="","ERR",IF($AA23="1",IF($AE23="","ERR",VLOOKUP($AA23,ﾏｽﾀ!$W$8:$X$10,ﾏｽﾀ!$X$4,0)),IF($AA23="2",IF($AG23="","ERR",VLOOKUP($AA23,ﾏｽﾀ!$W$8:$X$10,ﾏｽﾀ!$X$4,0)),IF($AA23="3",IF($AI23="","ERR",VLOOKUP($AA23,ﾏｽﾀ!$W$8:$X$10,ﾏｽﾀ!$X$4,0)),"ERR")))))</f>
        <v>合計請求</v>
      </c>
      <c r="AC23" s="261" t="s">
        <v>550</v>
      </c>
      <c r="AD23" s="321">
        <f>IF($AA23="1",COUNTIF('納品書明細16-E'!$D$9:$D$206,$AN23)+COUNTIF('納品書明細F-15'!$D$9:$D$297,$AN23)-IF(ISNA(MATCH(CONCATENATE(VLOOKUP($AC23,$AB$1:$AC$4,2,FALSE),$S23,IF($U23="","00",$U23),$W23,2),$F$11:$F$160,0)),0,SUMIF($F$11:$F$160,CONCATENATE(VLOOKUP($AC23,$AB$1:$AC$4,2,FALSE),$S23,IF($U23="","00",$U23),$W23,2),$AF$11:$AF$160)),"")</f>
        <v>1</v>
      </c>
      <c r="AE23" s="319">
        <f>IF($AA23="1",SUMIF('納品書明細16-E'!$C$9:$C$206,$AO23,'納品書明細16-E'!$Q$9:$Q$206)+SUMIF('納品書明細F-15'!$C$9:$C$297,$AO23,'納品書明細F-15'!$Q$9:$Q$297)-IF(ISNA(MATCH(CONCATENATE(VLOOKUP($AC23,$AB$1:$AC$4,2,FALSE),$S23,IF($U23="","00",$U23),$W23,2),$F$11:$F$160,0)),0,SUMIF($F$11:$F$160,CONCATENATE(VLOOKUP($AC23,$AB$1:$AC$4,2,FALSE),$S23,IF($U23="","00",$U23),$W23,2),$AG$11:$AG$160)),"")</f>
        <v>5935680</v>
      </c>
      <c r="AF23" s="322"/>
      <c r="AG23" s="327"/>
      <c r="AH23" s="57"/>
      <c r="AI23" s="319" t="str">
        <f>IF($AH23="","",IF(ISNA(MATCH($AH23,'納品書明細16-E'!$H$9:$H$206,0)),IF(ISNA(MATCH($AH23,'納品書明細F-15'!$H$9:$H$297,0)),"ERR",SUMIF('納品書明細F-15'!$H$9:$H$297,$AH23,'納品書明細F-15'!$Q$9:$Q$297)),SUMIF('納品書明細16-E'!$H$9:$H$206,$AH23,'納品書明細16-E'!$Q$9:$Q$206)))</f>
        <v/>
      </c>
      <c r="AK23" s="328" t="str">
        <f t="shared" si="6"/>
        <v/>
      </c>
      <c r="AL23" s="269" t="str">
        <f t="shared" si="7"/>
        <v/>
      </c>
      <c r="AM23" s="270" t="str">
        <f t="shared" si="8"/>
        <v/>
      </c>
      <c r="AN23" s="244" t="str">
        <f t="shared" si="9"/>
        <v>112001111</v>
      </c>
      <c r="AO23" s="244" t="str">
        <f t="shared" si="10"/>
        <v>11200111</v>
      </c>
      <c r="AP23" s="271">
        <f t="shared" si="11"/>
        <v>5935680</v>
      </c>
      <c r="AQ23" s="262" t="s">
        <v>373</v>
      </c>
      <c r="AR23" s="263"/>
      <c r="AS23" s="84"/>
      <c r="AT23" s="86"/>
      <c r="AU23" s="87"/>
    </row>
    <row r="24" spans="1:47" ht="15" customHeight="1">
      <c r="A24" s="281" t="str">
        <f t="shared" si="0"/>
        <v>\</v>
      </c>
      <c r="B24" s="282">
        <f t="shared" si="12"/>
        <v>1</v>
      </c>
      <c r="C24" s="618">
        <f>IF(AND($S24="",$U24="",$W24="",$AA24="",$AE24="",$AG24="",$AI24=""),"",MAX($C$10:$C23)+1)</f>
        <v>14</v>
      </c>
      <c r="D24" s="619" t="str">
        <f t="shared" si="1"/>
        <v>156000</v>
      </c>
      <c r="E24" s="619">
        <f t="shared" si="2"/>
        <v>15600007014</v>
      </c>
      <c r="F24" s="619" t="str">
        <f t="shared" si="3"/>
        <v>15600011</v>
      </c>
      <c r="G24" s="619" t="str">
        <f t="shared" si="4"/>
        <v>1560001</v>
      </c>
      <c r="H24" s="620" t="str">
        <f t="shared" si="5"/>
        <v>560</v>
      </c>
      <c r="I24" s="316" t="s">
        <v>233</v>
      </c>
      <c r="J24" s="254">
        <v>43160</v>
      </c>
      <c r="K24" s="50">
        <f>IF($W24="","",IF($W24=1,IF(VLOOKUP($S24,ﾏｽﾀ!$E$8:$K$124,ﾏｽﾀ!$J$4-ﾏｽﾀ!$D$4,0)="E",DAY($J$4),ABS(VLOOKUP($S24,ﾏｽﾀ!$E$8:$K$124,ﾏｽﾀ!$J$4-ﾏｽﾀ!$D$4,0))),IF(VLOOKUP($S24,ﾏｽﾀ!$E$8:$K$124,ﾏｽﾀ!$K$4-ﾏｽﾀ!$D$4,0)="E",DAY($J$4),ABS(VLOOKUP($S24,ﾏｽﾀ!$E$8:$K$124,ﾏｽﾀ!$K$4-ﾏｽﾀ!$D$4,0)))))</f>
        <v>31</v>
      </c>
      <c r="L24" s="255"/>
      <c r="M24" s="255"/>
      <c r="N24" s="255"/>
      <c r="O24" s="50">
        <f>IF($S24="","",IF($M24="",IF($J24="","ERR",IF(VLOOKUP($S24,ﾏｽﾀ!$E$8:$K$124,ﾏｽﾀ!$J$4-ﾏｽﾀ!$D$4,0)="E",MONTH($J24),IF(MONTH($J24)-1=0,12,MONTH($J24)-1))),MONTH($M24)))</f>
        <v>3</v>
      </c>
      <c r="P24" s="50">
        <f>IF($S24="","",IF($M24="",IF($K24="","ERR",IF(VLOOKUP($S24,ﾏｽﾀ!$E$8:$K$124,ﾏｽﾀ!$J$4-ﾏｽﾀ!$D$4,0)="E",1,$K24+1)),DAY($M24)))</f>
        <v>1</v>
      </c>
      <c r="Q24" s="50">
        <f t="shared" si="13"/>
        <v>3</v>
      </c>
      <c r="R24" s="50">
        <f t="shared" si="14"/>
        <v>31</v>
      </c>
      <c r="S24" s="601" t="str">
        <f>IF($T24="","",INDEX(ﾏｽﾀ!$E$8:$E$124,MATCH(INDEX(ﾏｽﾀ!$N$8:$N$124,MATCH($T24,ﾏｽﾀ!$O$8:$O$124,0)),ﾏｽﾀ!$B$8:$B$124,0))&amp;"")</f>
        <v>560</v>
      </c>
      <c r="T24" s="535" t="s">
        <v>615</v>
      </c>
      <c r="U24" s="601" t="str">
        <f>IF($T24="","",INDEX(ﾏｽﾀ!$G$8:$G$124,MATCH(INDEX(ﾏｽﾀ!$N$8:$N$124,MATCH($T24,ﾏｽﾀ!$O$8:$O$124,0)),ﾏｽﾀ!$B$8:$B$124,0))&amp;"")</f>
        <v/>
      </c>
      <c r="V24" s="257"/>
      <c r="W24" s="602" t="str">
        <f>IF($X24="","",INDEX(ﾏｽﾀ!$T$8:$T$16,MATCH($X24,ﾏｽﾀ!$U$8:$U$16,0))&amp;"")</f>
        <v>1</v>
      </c>
      <c r="X24" s="248" t="s">
        <v>622</v>
      </c>
      <c r="Y24" s="260" t="s">
        <v>573</v>
      </c>
      <c r="Z24" s="260"/>
      <c r="AA24" s="256" t="s">
        <v>561</v>
      </c>
      <c r="AB24" s="492" t="str">
        <f>IF($W24="","",IF($AA24="","ERR",IF($AA24="1",IF($AE24="","ERR",VLOOKUP($AA24,ﾏｽﾀ!$W$8:$X$10,ﾏｽﾀ!$X$4,0)),IF($AA24="2",IF($AG24="","ERR",VLOOKUP($AA24,ﾏｽﾀ!$W$8:$X$10,ﾏｽﾀ!$X$4,0)),IF($AA24="3",IF($AI24="","ERR",VLOOKUP($AA24,ﾏｽﾀ!$W$8:$X$10,ﾏｽﾀ!$X$4,0)),"ERR")))))</f>
        <v>合計請求</v>
      </c>
      <c r="AC24" s="261" t="s">
        <v>550</v>
      </c>
      <c r="AD24" s="321">
        <f>IF($AA24="1",COUNTIF('納品書明細16-E'!$D$9:$D$206,$AN24)+COUNTIF('納品書明細F-15'!$D$9:$D$297,$AN24)-IF(ISNA(MATCH(CONCATENATE(VLOOKUP($AC24,$AB$1:$AC$4,2,FALSE),$S24,IF($U24="","00",$U24),$W24,2),$F$11:$F$160,0)),0,SUMIF($F$11:$F$160,CONCATENATE(VLOOKUP($AC24,$AB$1:$AC$4,2,FALSE),$S24,IF($U24="","00",$U24),$W24,2),$AF$11:$AF$160)),"")</f>
        <v>1</v>
      </c>
      <c r="AE24" s="319">
        <f>IF($AA24="1",SUMIF('納品書明細16-E'!$C$9:$C$206,$AO24,'納品書明細16-E'!$Q$9:$Q$206)+SUMIF('納品書明細F-15'!$C$9:$C$297,$AO24,'納品書明細F-15'!$Q$9:$Q$297)-IF(ISNA(MATCH(CONCATENATE(VLOOKUP($AC24,$AB$1:$AC$4,2,FALSE),$S24,IF($U24="","00",$U24),$W24,2),$F$11:$F$160,0)),0,SUMIF($F$11:$F$160,CONCATENATE(VLOOKUP($AC24,$AB$1:$AC$4,2,FALSE),$S24,IF($U24="","00",$U24),$W24,2),$AG$11:$AG$160)),"")</f>
        <v>1056000</v>
      </c>
      <c r="AF24" s="322"/>
      <c r="AG24" s="327"/>
      <c r="AH24" s="57"/>
      <c r="AI24" s="319" t="str">
        <f>IF($AH24="","",IF(ISNA(MATCH($AH24,'納品書明細16-E'!$H$9:$H$206,0)),IF(ISNA(MATCH($AH24,'納品書明細F-15'!$H$9:$H$297,0)),"ERR",SUMIF('納品書明細F-15'!$H$9:$H$297,$AH24,'納品書明細F-15'!$Q$9:$Q$297)),SUMIF('納品書明細16-E'!$H$9:$H$206,$AH24,'納品書明細16-E'!$Q$9:$Q$206)))</f>
        <v/>
      </c>
      <c r="AK24" s="328" t="str">
        <f t="shared" si="6"/>
        <v/>
      </c>
      <c r="AL24" s="269" t="str">
        <f t="shared" si="7"/>
        <v/>
      </c>
      <c r="AM24" s="270" t="str">
        <f t="shared" si="8"/>
        <v/>
      </c>
      <c r="AN24" s="244" t="str">
        <f t="shared" si="9"/>
        <v>156000111</v>
      </c>
      <c r="AO24" s="244" t="str">
        <f t="shared" si="10"/>
        <v>15600011</v>
      </c>
      <c r="AP24" s="271">
        <f t="shared" si="11"/>
        <v>1056000</v>
      </c>
      <c r="AQ24" s="262" t="s">
        <v>373</v>
      </c>
      <c r="AR24" s="263"/>
      <c r="AS24" s="84"/>
      <c r="AT24" s="86"/>
      <c r="AU24" s="87"/>
    </row>
    <row r="25" spans="1:47" ht="15" customHeight="1">
      <c r="A25" s="281" t="str">
        <f t="shared" si="0"/>
        <v>\</v>
      </c>
      <c r="B25" s="282">
        <f t="shared" si="12"/>
        <v>1</v>
      </c>
      <c r="C25" s="618">
        <f>IF(AND($S25="",$U25="",$W25="",$AA25="",$AE25="",$AG25="",$AI25=""),"",MAX($C$10:$C24)+1)</f>
        <v>15</v>
      </c>
      <c r="D25" s="619" t="str">
        <f t="shared" si="1"/>
        <v>111002</v>
      </c>
      <c r="E25" s="619">
        <f t="shared" si="2"/>
        <v>11100207015</v>
      </c>
      <c r="F25" s="619" t="str">
        <f t="shared" si="3"/>
        <v>11100211</v>
      </c>
      <c r="G25" s="619" t="str">
        <f t="shared" si="4"/>
        <v>1110021</v>
      </c>
      <c r="H25" s="620" t="str">
        <f t="shared" si="5"/>
        <v>11002</v>
      </c>
      <c r="I25" s="316" t="s">
        <v>234</v>
      </c>
      <c r="J25" s="254">
        <v>43160</v>
      </c>
      <c r="K25" s="50">
        <f>IF($W25="","",IF($W25=1,IF(VLOOKUP($S25,ﾏｽﾀ!$E$8:$K$124,ﾏｽﾀ!$J$4-ﾏｽﾀ!$D$4,0)="E",DAY($J$4),ABS(VLOOKUP($S25,ﾏｽﾀ!$E$8:$K$124,ﾏｽﾀ!$J$4-ﾏｽﾀ!$D$4,0))),IF(VLOOKUP($S25,ﾏｽﾀ!$E$8:$K$124,ﾏｽﾀ!$K$4-ﾏｽﾀ!$D$4,0)="E",DAY($J$4),ABS(VLOOKUP($S25,ﾏｽﾀ!$E$8:$K$124,ﾏｽﾀ!$K$4-ﾏｽﾀ!$D$4,0)))))</f>
        <v>15</v>
      </c>
      <c r="L25" s="255"/>
      <c r="M25" s="255"/>
      <c r="N25" s="255"/>
      <c r="O25" s="50">
        <f>IF($S25="","",IF($M25="",IF($J25="","ERR",IF(VLOOKUP($S25,ﾏｽﾀ!$E$8:$K$124,ﾏｽﾀ!$J$4-ﾏｽﾀ!$D$4,0)="E",MONTH($J25),IF(MONTH($J25)-1=0,12,MONTH($J25)-1))),MONTH($M25)))</f>
        <v>2</v>
      </c>
      <c r="P25" s="50">
        <f>IF($S25="","",IF($M25="",IF($K25="","ERR",IF(VLOOKUP($S25,ﾏｽﾀ!$E$8:$K$124,ﾏｽﾀ!$J$4-ﾏｽﾀ!$D$4,0)="E",1,$K25+1)),DAY($M25)))</f>
        <v>16</v>
      </c>
      <c r="Q25" s="50">
        <f t="shared" si="13"/>
        <v>3</v>
      </c>
      <c r="R25" s="50">
        <f t="shared" si="14"/>
        <v>15</v>
      </c>
      <c r="S25" s="601" t="str">
        <f>IF($T25="","",INDEX(ﾏｽﾀ!$E$8:$E$124,MATCH(INDEX(ﾏｽﾀ!$N$8:$N$124,MATCH($T25,ﾏｽﾀ!$O$8:$O$124,0)),ﾏｽﾀ!$B$8:$B$124,0))&amp;"")</f>
        <v>110</v>
      </c>
      <c r="T25" s="535" t="s">
        <v>513</v>
      </c>
      <c r="U25" s="601" t="str">
        <f>IF($T25="","",INDEX(ﾏｽﾀ!$G$8:$G$124,MATCH(INDEX(ﾏｽﾀ!$N$8:$N$124,MATCH($T25,ﾏｽﾀ!$O$8:$O$124,0)),ﾏｽﾀ!$B$8:$B$124,0))&amp;"")</f>
        <v>02</v>
      </c>
      <c r="V25" s="257"/>
      <c r="W25" s="602" t="str">
        <f>IF($X25="","",INDEX(ﾏｽﾀ!$T$8:$T$16,MATCH($X25,ﾏｽﾀ!$U$8:$U$16,0))&amp;"")</f>
        <v>1</v>
      </c>
      <c r="X25" s="248" t="s">
        <v>622</v>
      </c>
      <c r="Y25" s="260"/>
      <c r="Z25" s="260"/>
      <c r="AA25" s="256" t="s">
        <v>561</v>
      </c>
      <c r="AB25" s="492" t="str">
        <f>IF($W25="","",IF($AA25="","ERR",IF($AA25="1",IF($AE25="","ERR",VLOOKUP($AA25,ﾏｽﾀ!$W$8:$X$10,ﾏｽﾀ!$X$4,0)),IF($AA25="2",IF($AG25="","ERR",VLOOKUP($AA25,ﾏｽﾀ!$W$8:$X$10,ﾏｽﾀ!$X$4,0)),IF($AA25="3",IF($AI25="","ERR",VLOOKUP($AA25,ﾏｽﾀ!$W$8:$X$10,ﾏｽﾀ!$X$4,0)),"ERR")))))</f>
        <v>合計請求</v>
      </c>
      <c r="AC25" s="261" t="s">
        <v>550</v>
      </c>
      <c r="AD25" s="321">
        <f>IF($AA25="1",COUNTIF('納品書明細16-E'!$D$9:$D$206,$AN25)+COUNTIF('納品書明細F-15'!$D$9:$D$297,$AN25)-IF(ISNA(MATCH(CONCATENATE(VLOOKUP($AC25,$AB$1:$AC$4,2,FALSE),$S25,IF($U25="","00",$U25),$W25,2),$F$11:$F$160,0)),0,SUMIF($F$11:$F$160,CONCATENATE(VLOOKUP($AC25,$AB$1:$AC$4,2,FALSE),$S25,IF($U25="","00",$U25),$W25,2),$AF$11:$AF$160)),"")</f>
        <v>1</v>
      </c>
      <c r="AE25" s="319">
        <f>IF($AA25="1",SUMIF('納品書明細16-E'!$C$9:$C$206,$AO25,'納品書明細16-E'!$Q$9:$Q$206)+SUMIF('納品書明細F-15'!$C$9:$C$297,$AO25,'納品書明細F-15'!$Q$9:$Q$297)-IF(ISNA(MATCH(CONCATENATE(VLOOKUP($AC25,$AB$1:$AC$4,2,FALSE),$S25,IF($U25="","00",$U25),$W25,2),$F$11:$F$160,0)),0,SUMIF($F$11:$F$160,CONCATENATE(VLOOKUP($AC25,$AB$1:$AC$4,2,FALSE),$S25,IF($U25="","00",$U25),$W25,2),$AG$11:$AG$160)),"")</f>
        <v>3300000</v>
      </c>
      <c r="AF25" s="322"/>
      <c r="AG25" s="327"/>
      <c r="AH25" s="57"/>
      <c r="AI25" s="319" t="str">
        <f>IF($AH25="","",IF(ISNA(MATCH($AH25,'納品書明細16-E'!$H$9:$H$206,0)),IF(ISNA(MATCH($AH25,'納品書明細F-15'!$H$9:$H$297,0)),"ERR",SUMIF('納品書明細F-15'!$H$9:$H$297,$AH25,'納品書明細F-15'!$Q$9:$Q$297)),SUMIF('納品書明細16-E'!$H$9:$H$206,$AH25,'納品書明細16-E'!$Q$9:$Q$206)))</f>
        <v/>
      </c>
      <c r="AK25" s="328" t="str">
        <f t="shared" si="6"/>
        <v/>
      </c>
      <c r="AL25" s="269" t="str">
        <f t="shared" si="7"/>
        <v/>
      </c>
      <c r="AM25" s="270" t="str">
        <f t="shared" si="8"/>
        <v/>
      </c>
      <c r="AN25" s="244" t="str">
        <f t="shared" si="9"/>
        <v>111002111</v>
      </c>
      <c r="AO25" s="244" t="str">
        <f t="shared" si="10"/>
        <v>11100211</v>
      </c>
      <c r="AP25" s="271">
        <f t="shared" si="11"/>
        <v>3300000</v>
      </c>
      <c r="AQ25" s="262"/>
      <c r="AR25" s="263"/>
      <c r="AS25" s="84"/>
      <c r="AT25" s="86"/>
      <c r="AU25" s="87"/>
    </row>
    <row r="26" spans="1:47" ht="15" customHeight="1">
      <c r="A26" s="281" t="str">
        <f t="shared" si="0"/>
        <v>HK$</v>
      </c>
      <c r="B26" s="282">
        <f t="shared" si="12"/>
        <v>1</v>
      </c>
      <c r="C26" s="618">
        <f>IF(AND($S26="",$U26="",$W26="",$AA26="",$AE26="",$AG26="",$AI26=""),"",MAX($C$10:$C25)+1)</f>
        <v>16</v>
      </c>
      <c r="D26" s="619" t="str">
        <f t="shared" si="1"/>
        <v>311002</v>
      </c>
      <c r="E26" s="619">
        <f t="shared" si="2"/>
        <v>31100207016</v>
      </c>
      <c r="F26" s="619" t="str">
        <f t="shared" si="3"/>
        <v>31100211</v>
      </c>
      <c r="G26" s="619" t="str">
        <f t="shared" si="4"/>
        <v>3110021</v>
      </c>
      <c r="H26" s="620" t="str">
        <f t="shared" si="5"/>
        <v>11002</v>
      </c>
      <c r="I26" s="316" t="s">
        <v>235</v>
      </c>
      <c r="J26" s="254">
        <v>43160</v>
      </c>
      <c r="K26" s="50">
        <f>IF($W26="","",IF($W26=1,IF(VLOOKUP($S26,ﾏｽﾀ!$E$8:$K$124,ﾏｽﾀ!$J$4-ﾏｽﾀ!$D$4,0)="E",DAY($J$4),ABS(VLOOKUP($S26,ﾏｽﾀ!$E$8:$K$124,ﾏｽﾀ!$J$4-ﾏｽﾀ!$D$4,0))),IF(VLOOKUP($S26,ﾏｽﾀ!$E$8:$K$124,ﾏｽﾀ!$K$4-ﾏｽﾀ!$D$4,0)="E",DAY($J$4),ABS(VLOOKUP($S26,ﾏｽﾀ!$E$8:$K$124,ﾏｽﾀ!$K$4-ﾏｽﾀ!$D$4,0)))))</f>
        <v>15</v>
      </c>
      <c r="L26" s="255"/>
      <c r="M26" s="255"/>
      <c r="N26" s="255"/>
      <c r="O26" s="50">
        <f>IF($S26="","",IF($M26="",IF($J26="","ERR",IF(VLOOKUP($S26,ﾏｽﾀ!$E$8:$K$124,ﾏｽﾀ!$J$4-ﾏｽﾀ!$D$4,0)="E",MONTH($J26),IF(MONTH($J26)-1=0,12,MONTH($J26)-1))),MONTH($M26)))</f>
        <v>2</v>
      </c>
      <c r="P26" s="50">
        <f>IF($S26="","",IF($M26="",IF($K26="","ERR",IF(VLOOKUP($S26,ﾏｽﾀ!$E$8:$K$124,ﾏｽﾀ!$J$4-ﾏｽﾀ!$D$4,0)="E",1,$K26+1)),DAY($M26)))</f>
        <v>16</v>
      </c>
      <c r="Q26" s="50">
        <f t="shared" si="13"/>
        <v>3</v>
      </c>
      <c r="R26" s="50">
        <f t="shared" si="14"/>
        <v>15</v>
      </c>
      <c r="S26" s="601" t="str">
        <f>IF($T26="","",INDEX(ﾏｽﾀ!$E$8:$E$124,MATCH(INDEX(ﾏｽﾀ!$N$8:$N$124,MATCH($T26,ﾏｽﾀ!$O$8:$O$124,0)),ﾏｽﾀ!$B$8:$B$124,0))&amp;"")</f>
        <v>110</v>
      </c>
      <c r="T26" s="535" t="s">
        <v>513</v>
      </c>
      <c r="U26" s="601" t="str">
        <f>IF($T26="","",INDEX(ﾏｽﾀ!$G$8:$G$124,MATCH(INDEX(ﾏｽﾀ!$N$8:$N$124,MATCH($T26,ﾏｽﾀ!$O$8:$O$124,0)),ﾏｽﾀ!$B$8:$B$124,0))&amp;"")</f>
        <v>02</v>
      </c>
      <c r="V26" s="257"/>
      <c r="W26" s="602" t="str">
        <f>IF($X26="","",INDEX(ﾏｽﾀ!$T$8:$T$16,MATCH($X26,ﾏｽﾀ!$U$8:$U$16,0))&amp;"")</f>
        <v>1</v>
      </c>
      <c r="X26" s="248" t="s">
        <v>622</v>
      </c>
      <c r="Y26" s="260"/>
      <c r="Z26" s="260"/>
      <c r="AA26" s="256" t="s">
        <v>561</v>
      </c>
      <c r="AB26" s="492" t="str">
        <f>IF($W26="","",IF($AA26="","ERR",IF($AA26="1",IF($AE26="","ERR",VLOOKUP($AA26,ﾏｽﾀ!$W$8:$X$10,ﾏｽﾀ!$X$4,0)),IF($AA26="2",IF($AG26="","ERR",VLOOKUP($AA26,ﾏｽﾀ!$W$8:$X$10,ﾏｽﾀ!$X$4,0)),IF($AA26="3",IF($AI26="","ERR",VLOOKUP($AA26,ﾏｽﾀ!$W$8:$X$10,ﾏｽﾀ!$X$4,0)),"ERR")))))</f>
        <v>合計請求</v>
      </c>
      <c r="AC26" s="261" t="s">
        <v>393</v>
      </c>
      <c r="AD26" s="321">
        <f>IF($AA26="1",COUNTIF('納品書明細16-E'!$D$9:$D$206,$AN26)+COUNTIF('納品書明細F-15'!$D$9:$D$297,$AN26)-IF(ISNA(MATCH(CONCATENATE(VLOOKUP($AC26,$AB$1:$AC$4,2,FALSE),$S26,IF($U26="","00",$U26),$W26,2),$F$11:$F$160,0)),0,SUMIF($F$11:$F$160,CONCATENATE(VLOOKUP($AC26,$AB$1:$AC$4,2,FALSE),$S26,IF($U26="","00",$U26),$W26,2),$AF$11:$AF$160)),"")</f>
        <v>1</v>
      </c>
      <c r="AE26" s="319">
        <f>IF($AA26="1",SUMIF('納品書明細16-E'!$C$9:$C$206,$AO26,'納品書明細16-E'!$Q$9:$Q$206)+SUMIF('納品書明細F-15'!$C$9:$C$297,$AO26,'納品書明細F-15'!$Q$9:$Q$297)-IF(ISNA(MATCH(CONCATENATE(VLOOKUP($AC26,$AB$1:$AC$4,2,FALSE),$S26,IF($U26="","00",$U26),$W26,2),$F$11:$F$160,0)),0,SUMIF($F$11:$F$160,CONCATENATE(VLOOKUP($AC26,$AB$1:$AC$4,2,FALSE),$S26,IF($U26="","00",$U26),$W26,2),$AG$11:$AG$160)),"")</f>
        <v>221400</v>
      </c>
      <c r="AF26" s="322"/>
      <c r="AG26" s="327"/>
      <c r="AH26" s="57"/>
      <c r="AI26" s="319" t="str">
        <f>IF($AH26="","",IF(ISNA(MATCH($AH26,'納品書明細16-E'!$H$9:$H$206,0)),IF(ISNA(MATCH($AH26,'納品書明細F-15'!$H$9:$H$297,0)),"ERR",SUMIF('納品書明細F-15'!$H$9:$H$297,$AH26,'納品書明細F-15'!$Q$9:$Q$297)),SUMIF('納品書明細16-E'!$H$9:$H$206,$AH26,'納品書明細16-E'!$Q$9:$Q$206)))</f>
        <v/>
      </c>
      <c r="AK26" s="328" t="str">
        <f t="shared" si="6"/>
        <v/>
      </c>
      <c r="AL26" s="269" t="str">
        <f t="shared" si="7"/>
        <v/>
      </c>
      <c r="AM26" s="270" t="str">
        <f t="shared" si="8"/>
        <v/>
      </c>
      <c r="AN26" s="244" t="str">
        <f t="shared" si="9"/>
        <v>311002111</v>
      </c>
      <c r="AO26" s="244" t="str">
        <f t="shared" si="10"/>
        <v>31100211</v>
      </c>
      <c r="AP26" s="271">
        <f t="shared" si="11"/>
        <v>221400</v>
      </c>
      <c r="AQ26" s="262" t="s">
        <v>374</v>
      </c>
      <c r="AR26" s="263"/>
      <c r="AS26" s="84"/>
      <c r="AT26" s="86"/>
      <c r="AU26" s="87"/>
    </row>
    <row r="27" spans="1:47" ht="15" customHeight="1">
      <c r="A27" s="281" t="str">
        <f t="shared" si="0"/>
        <v>\</v>
      </c>
      <c r="B27" s="282">
        <f t="shared" si="12"/>
        <v>1</v>
      </c>
      <c r="C27" s="618">
        <f>IF(AND($S27="",$U27="",$W27="",$AA27="",$AE27="",$AG27="",$AI27=""),"",MAX($C$10:$C26)+1)</f>
        <v>17</v>
      </c>
      <c r="D27" s="619" t="str">
        <f t="shared" si="1"/>
        <v>110010</v>
      </c>
      <c r="E27" s="619">
        <f t="shared" si="2"/>
        <v>11001007017</v>
      </c>
      <c r="F27" s="619" t="str">
        <f t="shared" si="3"/>
        <v>11001071</v>
      </c>
      <c r="G27" s="619" t="str">
        <f t="shared" si="4"/>
        <v>1100101</v>
      </c>
      <c r="H27" s="620" t="str">
        <f t="shared" si="5"/>
        <v>10010</v>
      </c>
      <c r="I27" s="316" t="s">
        <v>236</v>
      </c>
      <c r="J27" s="254">
        <v>43160</v>
      </c>
      <c r="K27" s="50">
        <f>IF($W27="","",IF($W27=1,IF(VLOOKUP($S27,ﾏｽﾀ!$E$8:$K$124,ﾏｽﾀ!$J$4-ﾏｽﾀ!$D$4,0)="E",DAY($J$4),ABS(VLOOKUP($S27,ﾏｽﾀ!$E$8:$K$124,ﾏｽﾀ!$J$4-ﾏｽﾀ!$D$4,0))),IF(VLOOKUP($S27,ﾏｽﾀ!$E$8:$K$124,ﾏｽﾀ!$K$4-ﾏｽﾀ!$D$4,0)="E",DAY($J$4),ABS(VLOOKUP($S27,ﾏｽﾀ!$E$8:$K$124,ﾏｽﾀ!$K$4-ﾏｽﾀ!$D$4,0)))))</f>
        <v>20</v>
      </c>
      <c r="L27" s="255"/>
      <c r="M27" s="255"/>
      <c r="N27" s="255"/>
      <c r="O27" s="50">
        <f>IF($S27="","",IF($M27="",IF($J27="","ERR",IF(VLOOKUP($S27,ﾏｽﾀ!$E$8:$K$124,ﾏｽﾀ!$J$4-ﾏｽﾀ!$D$4,0)="E",MONTH($J27),IF(MONTH($J27)-1=0,12,MONTH($J27)-1))),MONTH($M27)))</f>
        <v>2</v>
      </c>
      <c r="P27" s="50">
        <f>IF($S27="","",IF($M27="",IF($K27="","ERR",IF(VLOOKUP($S27,ﾏｽﾀ!$E$8:$K$124,ﾏｽﾀ!$J$4-ﾏｽﾀ!$D$4,0)="E",1,$K27+1)),DAY($M27)))</f>
        <v>21</v>
      </c>
      <c r="Q27" s="50">
        <f t="shared" si="13"/>
        <v>3</v>
      </c>
      <c r="R27" s="50">
        <f t="shared" si="14"/>
        <v>20</v>
      </c>
      <c r="S27" s="601" t="str">
        <f>IF($T27="","",INDEX(ﾏｽﾀ!$E$8:$E$124,MATCH(INDEX(ﾏｽﾀ!$N$8:$N$124,MATCH($T27,ﾏｽﾀ!$O$8:$O$124,0)),ﾏｽﾀ!$B$8:$B$124,0))&amp;"")</f>
        <v>100</v>
      </c>
      <c r="T27" s="535" t="s">
        <v>584</v>
      </c>
      <c r="U27" s="601" t="str">
        <f>IF($T27="","",INDEX(ﾏｽﾀ!$G$8:$G$124,MATCH(INDEX(ﾏｽﾀ!$N$8:$N$124,MATCH($T27,ﾏｽﾀ!$O$8:$O$124,0)),ﾏｽﾀ!$B$8:$B$124,0))&amp;"")</f>
        <v>10</v>
      </c>
      <c r="V27" s="257"/>
      <c r="W27" s="602" t="str">
        <f>IF($X27="","",INDEX(ﾏｽﾀ!$T$8:$T$16,MATCH($X27,ﾏｽﾀ!$U$8:$U$16,0))&amp;"")</f>
        <v>7</v>
      </c>
      <c r="X27" s="248" t="s">
        <v>623</v>
      </c>
      <c r="Y27" s="260"/>
      <c r="Z27" s="260"/>
      <c r="AA27" s="256" t="s">
        <v>561</v>
      </c>
      <c r="AB27" s="492" t="str">
        <f>IF($W27="","",IF($AA27="","ERR",IF($AA27="1",IF($AE27="","ERR",VLOOKUP($AA27,ﾏｽﾀ!$W$8:$X$10,ﾏｽﾀ!$X$4,0)),IF($AA27="2",IF($AG27="","ERR",VLOOKUP($AA27,ﾏｽﾀ!$W$8:$X$10,ﾏｽﾀ!$X$4,0)),IF($AA27="3",IF($AI27="","ERR",VLOOKUP($AA27,ﾏｽﾀ!$W$8:$X$10,ﾏｽﾀ!$X$4,0)),"ERR")))))</f>
        <v>合計請求</v>
      </c>
      <c r="AC27" s="261" t="s">
        <v>550</v>
      </c>
      <c r="AD27" s="321">
        <f>IF($AA27="1",COUNTIF('納品書明細16-E'!$D$9:$D$206,$AN27)+COUNTIF('納品書明細F-15'!$D$9:$D$297,$AN27)-IF(ISNA(MATCH(CONCATENATE(VLOOKUP($AC27,$AB$1:$AC$4,2,FALSE),$S27,IF($U27="","00",$U27),$W27,2),$F$11:$F$160,0)),0,SUMIF($F$11:$F$160,CONCATENATE(VLOOKUP($AC27,$AB$1:$AC$4,2,FALSE),$S27,IF($U27="","00",$U27),$W27,2),$AF$11:$AF$160)),"")</f>
        <v>1</v>
      </c>
      <c r="AE27" s="319">
        <f>IF($AA27="1",SUMIF('納品書明細16-E'!$C$9:$C$206,$AO27,'納品書明細16-E'!$Q$9:$Q$206)+SUMIF('納品書明細F-15'!$C$9:$C$297,$AO27,'納品書明細F-15'!$Q$9:$Q$297)-IF(ISNA(MATCH(CONCATENATE(VLOOKUP($AC27,$AB$1:$AC$4,2,FALSE),$S27,IF($U27="","00",$U27),$W27,2),$F$11:$F$160,0)),0,SUMIF($F$11:$F$160,CONCATENATE(VLOOKUP($AC27,$AB$1:$AC$4,2,FALSE),$S27,IF($U27="","00",$U27),$W27,2),$AG$11:$AG$160)),"")</f>
        <v>3505000</v>
      </c>
      <c r="AF27" s="322"/>
      <c r="AG27" s="327"/>
      <c r="AH27" s="57"/>
      <c r="AI27" s="319" t="str">
        <f>IF($AH27="","",IF(ISNA(MATCH($AH27,'納品書明細16-E'!$H$9:$H$206,0)),IF(ISNA(MATCH($AH27,'納品書明細F-15'!$H$9:$H$297,0)),"ERR",SUMIF('納品書明細F-15'!$H$9:$H$297,$AH27,'納品書明細F-15'!$Q$9:$Q$297)),SUMIF('納品書明細16-E'!$H$9:$H$206,$AH27,'納品書明細16-E'!$Q$9:$Q$206)))</f>
        <v/>
      </c>
      <c r="AK27" s="328" t="str">
        <f t="shared" si="6"/>
        <v/>
      </c>
      <c r="AL27" s="269" t="str">
        <f t="shared" si="7"/>
        <v/>
      </c>
      <c r="AM27" s="270" t="str">
        <f t="shared" si="8"/>
        <v/>
      </c>
      <c r="AN27" s="244" t="str">
        <f t="shared" si="9"/>
        <v>110010117</v>
      </c>
      <c r="AO27" s="244" t="str">
        <f t="shared" si="10"/>
        <v>11001017</v>
      </c>
      <c r="AP27" s="271">
        <f t="shared" si="11"/>
        <v>3505000</v>
      </c>
      <c r="AQ27" s="262"/>
      <c r="AR27" s="263"/>
      <c r="AS27" s="84"/>
      <c r="AT27" s="86"/>
      <c r="AU27" s="87"/>
    </row>
    <row r="28" spans="1:47" ht="15" customHeight="1">
      <c r="A28" s="281" t="str">
        <f t="shared" si="0"/>
        <v>\</v>
      </c>
      <c r="B28" s="282">
        <f t="shared" si="12"/>
        <v>1</v>
      </c>
      <c r="C28" s="618">
        <f>IF(AND($S28="",$U28="",$W28="",$AA28="",$AE28="",$AG28="",$AI28=""),"",MAX($C$10:$C27)+1)</f>
        <v>18</v>
      </c>
      <c r="D28" s="619" t="str">
        <f t="shared" si="1"/>
        <v>110016</v>
      </c>
      <c r="E28" s="619">
        <f t="shared" si="2"/>
        <v>11001607018</v>
      </c>
      <c r="F28" s="619" t="str">
        <f t="shared" si="3"/>
        <v>11001611</v>
      </c>
      <c r="G28" s="619" t="str">
        <f t="shared" si="4"/>
        <v>1100161</v>
      </c>
      <c r="H28" s="620" t="str">
        <f t="shared" si="5"/>
        <v>10016</v>
      </c>
      <c r="I28" s="316" t="s">
        <v>237</v>
      </c>
      <c r="J28" s="254">
        <v>43160</v>
      </c>
      <c r="K28" s="50">
        <f>IF($W28="","",IF($W28=1,IF(VLOOKUP($S28,ﾏｽﾀ!$E$8:$K$124,ﾏｽﾀ!$J$4-ﾏｽﾀ!$D$4,0)="E",DAY($J$4),ABS(VLOOKUP($S28,ﾏｽﾀ!$E$8:$K$124,ﾏｽﾀ!$J$4-ﾏｽﾀ!$D$4,0))),IF(VLOOKUP($S28,ﾏｽﾀ!$E$8:$K$124,ﾏｽﾀ!$K$4-ﾏｽﾀ!$D$4,0)="E",DAY($J$4),ABS(VLOOKUP($S28,ﾏｽﾀ!$E$8:$K$124,ﾏｽﾀ!$K$4-ﾏｽﾀ!$D$4,0)))))</f>
        <v>20</v>
      </c>
      <c r="L28" s="255"/>
      <c r="M28" s="255"/>
      <c r="N28" s="255"/>
      <c r="O28" s="50">
        <f>IF($S28="","",IF($M28="",IF($J28="","ERR",IF(VLOOKUP($S28,ﾏｽﾀ!$E$8:$K$124,ﾏｽﾀ!$J$4-ﾏｽﾀ!$D$4,0)="E",MONTH($J28),IF(MONTH($J28)-1=0,12,MONTH($J28)-1))),MONTH($M28)))</f>
        <v>2</v>
      </c>
      <c r="P28" s="50">
        <f>IF($S28="","",IF($M28="",IF($K28="","ERR",IF(VLOOKUP($S28,ﾏｽﾀ!$E$8:$K$124,ﾏｽﾀ!$J$4-ﾏｽﾀ!$D$4,0)="E",1,$K28+1)),DAY($M28)))</f>
        <v>21</v>
      </c>
      <c r="Q28" s="50">
        <f t="shared" si="13"/>
        <v>3</v>
      </c>
      <c r="R28" s="50">
        <f t="shared" si="14"/>
        <v>20</v>
      </c>
      <c r="S28" s="601" t="str">
        <f>IF($T28="","",INDEX(ﾏｽﾀ!$E$8:$E$124,MATCH(INDEX(ﾏｽﾀ!$N$8:$N$124,MATCH($T28,ﾏｽﾀ!$O$8:$O$124,0)),ﾏｽﾀ!$B$8:$B$124,0))&amp;"")</f>
        <v>100</v>
      </c>
      <c r="T28" s="535" t="s">
        <v>612</v>
      </c>
      <c r="U28" s="601" t="str">
        <f>IF($T28="","",INDEX(ﾏｽﾀ!$G$8:$G$124,MATCH(INDEX(ﾏｽﾀ!$N$8:$N$124,MATCH($T28,ﾏｽﾀ!$O$8:$O$124,0)),ﾏｽﾀ!$B$8:$B$124,0))&amp;"")</f>
        <v>16</v>
      </c>
      <c r="V28" s="257"/>
      <c r="W28" s="602" t="str">
        <f>IF($X28="","",INDEX(ﾏｽﾀ!$T$8:$T$16,MATCH($X28,ﾏｽﾀ!$U$8:$U$16,0))&amp;"")</f>
        <v>1</v>
      </c>
      <c r="X28" s="248" t="s">
        <v>622</v>
      </c>
      <c r="Y28" s="260"/>
      <c r="Z28" s="260"/>
      <c r="AA28" s="256" t="s">
        <v>561</v>
      </c>
      <c r="AB28" s="492" t="str">
        <f>IF($W28="","",IF($AA28="","ERR",IF($AA28="1",IF($AE28="","ERR",VLOOKUP($AA28,ﾏｽﾀ!$W$8:$X$10,ﾏｽﾀ!$X$4,0)),IF($AA28="2",IF($AG28="","ERR",VLOOKUP($AA28,ﾏｽﾀ!$W$8:$X$10,ﾏｽﾀ!$X$4,0)),IF($AA28="3",IF($AI28="","ERR",VLOOKUP($AA28,ﾏｽﾀ!$W$8:$X$10,ﾏｽﾀ!$X$4,0)),"ERR")))))</f>
        <v>合計請求</v>
      </c>
      <c r="AC28" s="261" t="s">
        <v>550</v>
      </c>
      <c r="AD28" s="321">
        <f>IF($AA28="1",COUNTIF('納品書明細16-E'!$D$9:$D$206,$AN28)+COUNTIF('納品書明細F-15'!$D$9:$D$297,$AN28)-IF(ISNA(MATCH(CONCATENATE(VLOOKUP($AC28,$AB$1:$AC$4,2,FALSE),$S28,IF($U28="","00",$U28),$W28,2),$F$11:$F$160,0)),0,SUMIF($F$11:$F$160,CONCATENATE(VLOOKUP($AC28,$AB$1:$AC$4,2,FALSE),$S28,IF($U28="","00",$U28),$W28,2),$AF$11:$AF$160)),"")</f>
        <v>1</v>
      </c>
      <c r="AE28" s="319">
        <f>IF($AA28="1",SUMIF('納品書明細16-E'!$C$9:$C$206,$AO28,'納品書明細16-E'!$Q$9:$Q$206)+SUMIF('納品書明細F-15'!$C$9:$C$297,$AO28,'納品書明細F-15'!$Q$9:$Q$297)-IF(ISNA(MATCH(CONCATENATE(VLOOKUP($AC28,$AB$1:$AC$4,2,FALSE),$S28,IF($U28="","00",$U28),$W28,2),$F$11:$F$160,0)),0,SUMIF($F$11:$F$160,CONCATENATE(VLOOKUP($AC28,$AB$1:$AC$4,2,FALSE),$S28,IF($U28="","00",$U28),$W28,2),$AG$11:$AG$160)),"")</f>
        <v>3474936</v>
      </c>
      <c r="AF28" s="322"/>
      <c r="AG28" s="327"/>
      <c r="AH28" s="57"/>
      <c r="AI28" s="319" t="str">
        <f>IF($AH28="","",IF(ISNA(MATCH($AH28,'納品書明細16-E'!$H$9:$H$206,0)),IF(ISNA(MATCH($AH28,'納品書明細F-15'!$H$9:$H$297,0)),"ERR",SUMIF('納品書明細F-15'!$H$9:$H$297,$AH28,'納品書明細F-15'!$Q$9:$Q$297)),SUMIF('納品書明細16-E'!$H$9:$H$206,$AH28,'納品書明細16-E'!$Q$9:$Q$206)))</f>
        <v/>
      </c>
      <c r="AK28" s="328" t="str">
        <f t="shared" si="6"/>
        <v/>
      </c>
      <c r="AL28" s="269" t="str">
        <f t="shared" si="7"/>
        <v/>
      </c>
      <c r="AM28" s="270" t="str">
        <f t="shared" si="8"/>
        <v/>
      </c>
      <c r="AN28" s="244" t="str">
        <f t="shared" si="9"/>
        <v>110016111</v>
      </c>
      <c r="AO28" s="244" t="str">
        <f t="shared" si="10"/>
        <v>11001611</v>
      </c>
      <c r="AP28" s="271">
        <f t="shared" si="11"/>
        <v>3474936</v>
      </c>
      <c r="AQ28" s="262" t="s">
        <v>374</v>
      </c>
      <c r="AR28" s="263"/>
      <c r="AS28" s="84"/>
      <c r="AT28" s="86"/>
      <c r="AU28" s="87"/>
    </row>
    <row r="29" spans="1:47" ht="15" customHeight="1">
      <c r="A29" s="281" t="str">
        <f t="shared" si="0"/>
        <v>$</v>
      </c>
      <c r="B29" s="282">
        <f t="shared" si="12"/>
        <v>1</v>
      </c>
      <c r="C29" s="618">
        <f>IF(AND($S29="",$U29="",$W29="",$AA29="",$AE29="",$AG29="",$AI29=""),"",MAX($C$10:$C28)+1)</f>
        <v>19</v>
      </c>
      <c r="D29" s="619" t="str">
        <f t="shared" si="1"/>
        <v>270000</v>
      </c>
      <c r="E29" s="619">
        <f t="shared" si="2"/>
        <v>27000007019</v>
      </c>
      <c r="F29" s="619" t="str">
        <f t="shared" si="3"/>
        <v>27000011</v>
      </c>
      <c r="G29" s="619" t="str">
        <f t="shared" si="4"/>
        <v>2700001</v>
      </c>
      <c r="H29" s="620" t="str">
        <f t="shared" si="5"/>
        <v>700</v>
      </c>
      <c r="I29" s="316" t="s">
        <v>238</v>
      </c>
      <c r="J29" s="254">
        <v>43160</v>
      </c>
      <c r="K29" s="50">
        <f>IF($W29="","",IF($W29=1,IF(VLOOKUP($S29,ﾏｽﾀ!$E$8:$K$124,ﾏｽﾀ!$J$4-ﾏｽﾀ!$D$4,0)="E",DAY($J$4),ABS(VLOOKUP($S29,ﾏｽﾀ!$E$8:$K$124,ﾏｽﾀ!$J$4-ﾏｽﾀ!$D$4,0))),IF(VLOOKUP($S29,ﾏｽﾀ!$E$8:$K$124,ﾏｽﾀ!$K$4-ﾏｽﾀ!$D$4,0)="E",DAY($J$4),ABS(VLOOKUP($S29,ﾏｽﾀ!$E$8:$K$124,ﾏｽﾀ!$K$4-ﾏｽﾀ!$D$4,0)))))</f>
        <v>31</v>
      </c>
      <c r="L29" s="255"/>
      <c r="M29" s="255"/>
      <c r="N29" s="255"/>
      <c r="O29" s="50">
        <f>IF($S29="","",IF($M29="",IF($J29="","ERR",IF(VLOOKUP($S29,ﾏｽﾀ!$E$8:$K$124,ﾏｽﾀ!$J$4-ﾏｽﾀ!$D$4,0)="E",MONTH($J29),IF(MONTH($J29)-1=0,12,MONTH($J29)-1))),MONTH($M29)))</f>
        <v>3</v>
      </c>
      <c r="P29" s="50">
        <f>IF($S29="","",IF($M29="",IF($K29="","ERR",IF(VLOOKUP($S29,ﾏｽﾀ!$E$8:$K$124,ﾏｽﾀ!$J$4-ﾏｽﾀ!$D$4,0)="E",1,$K29+1)),DAY($M29)))</f>
        <v>1</v>
      </c>
      <c r="Q29" s="50">
        <f t="shared" si="13"/>
        <v>3</v>
      </c>
      <c r="R29" s="50">
        <f t="shared" si="14"/>
        <v>31</v>
      </c>
      <c r="S29" s="601" t="str">
        <f>IF($T29="","",INDEX(ﾏｽﾀ!$E$8:$E$124,MATCH(INDEX(ﾏｽﾀ!$N$8:$N$124,MATCH($T29,ﾏｽﾀ!$O$8:$O$124,0)),ﾏｽﾀ!$B$8:$B$124,0))&amp;"")</f>
        <v>700</v>
      </c>
      <c r="T29" s="535" t="s">
        <v>616</v>
      </c>
      <c r="U29" s="601" t="str">
        <f>IF($T29="","",INDEX(ﾏｽﾀ!$G$8:$G$124,MATCH(INDEX(ﾏｽﾀ!$N$8:$N$124,MATCH($T29,ﾏｽﾀ!$O$8:$O$124,0)),ﾏｽﾀ!$B$8:$B$124,0))&amp;"")</f>
        <v/>
      </c>
      <c r="V29" s="257"/>
      <c r="W29" s="602" t="str">
        <f>IF($X29="","",INDEX(ﾏｽﾀ!$T$8:$T$16,MATCH($X29,ﾏｽﾀ!$U$8:$U$16,0))&amp;"")</f>
        <v>1</v>
      </c>
      <c r="X29" s="248" t="s">
        <v>622</v>
      </c>
      <c r="Y29" s="260"/>
      <c r="Z29" s="260"/>
      <c r="AA29" s="256" t="s">
        <v>561</v>
      </c>
      <c r="AB29" s="492" t="str">
        <f>IF($W29="","",IF($AA29="","ERR",IF($AA29="1",IF($AE29="","ERR",VLOOKUP($AA29,ﾏｽﾀ!$W$8:$X$10,ﾏｽﾀ!$X$4,0)),IF($AA29="2",IF($AG29="","ERR",VLOOKUP($AA29,ﾏｽﾀ!$W$8:$X$10,ﾏｽﾀ!$X$4,0)),IF($AA29="3",IF($AI29="","ERR",VLOOKUP($AA29,ﾏｽﾀ!$W$8:$X$10,ﾏｽﾀ!$X$4,0)),"ERR")))))</f>
        <v>合計請求</v>
      </c>
      <c r="AC29" s="261" t="s">
        <v>559</v>
      </c>
      <c r="AD29" s="321">
        <f>IF($AA29="1",COUNTIF('納品書明細16-E'!$D$9:$D$206,$AN29)+COUNTIF('納品書明細F-15'!$D$9:$D$297,$AN29)-IF(ISNA(MATCH(CONCATENATE(VLOOKUP($AC29,$AB$1:$AC$4,2,FALSE),$S29,IF($U29="","00",$U29),$W29,2),$F$11:$F$160,0)),0,SUMIF($F$11:$F$160,CONCATENATE(VLOOKUP($AC29,$AB$1:$AC$4,2,FALSE),$S29,IF($U29="","00",$U29),$W29,2),$AF$11:$AF$160)),"")</f>
        <v>1</v>
      </c>
      <c r="AE29" s="319">
        <f>IF($AA29="1",SUMIF('納品書明細16-E'!$C$9:$C$206,$AO29,'納品書明細16-E'!$Q$9:$Q$206)+SUMIF('納品書明細F-15'!$C$9:$C$297,$AO29,'納品書明細F-15'!$Q$9:$Q$297)-IF(ISNA(MATCH(CONCATENATE(VLOOKUP($AC29,$AB$1:$AC$4,2,FALSE),$S29,IF($U29="","00",$U29),$W29,2),$F$11:$F$160,0)),0,SUMIF($F$11:$F$160,CONCATENATE(VLOOKUP($AC29,$AB$1:$AC$4,2,FALSE),$S29,IF($U29="","00",$U29),$W29,2),$AG$11:$AG$160)),"")</f>
        <v>55505.55</v>
      </c>
      <c r="AF29" s="322"/>
      <c r="AG29" s="327"/>
      <c r="AH29" s="57"/>
      <c r="AI29" s="319" t="str">
        <f>IF($AH29="","",IF(ISNA(MATCH($AH29,'納品書明細16-E'!$H$9:$H$206,0)),IF(ISNA(MATCH($AH29,'納品書明細F-15'!$H$9:$H$297,0)),"ERR",SUMIF('納品書明細F-15'!$H$9:$H$297,$AH29,'納品書明細F-15'!$Q$9:$Q$297)),SUMIF('納品書明細16-E'!$H$9:$H$206,$AH29,'納品書明細16-E'!$Q$9:$Q$206)))</f>
        <v/>
      </c>
      <c r="AK29" s="328" t="str">
        <f t="shared" si="6"/>
        <v/>
      </c>
      <c r="AL29" s="269" t="str">
        <f t="shared" si="7"/>
        <v/>
      </c>
      <c r="AM29" s="270" t="str">
        <f t="shared" si="8"/>
        <v/>
      </c>
      <c r="AN29" s="244" t="str">
        <f t="shared" si="9"/>
        <v>270000111</v>
      </c>
      <c r="AO29" s="244" t="str">
        <f t="shared" si="10"/>
        <v>27000011</v>
      </c>
      <c r="AP29" s="271">
        <f t="shared" si="11"/>
        <v>55505.55</v>
      </c>
      <c r="AQ29" s="262"/>
      <c r="AR29" s="263"/>
      <c r="AS29" s="84" t="s">
        <v>375</v>
      </c>
      <c r="AT29" s="86"/>
      <c r="AU29" s="87"/>
    </row>
    <row r="30" spans="1:47" ht="15" customHeight="1">
      <c r="A30" s="281" t="str">
        <f t="shared" si="0"/>
        <v>HK$</v>
      </c>
      <c r="B30" s="282">
        <f t="shared" si="12"/>
        <v>1</v>
      </c>
      <c r="C30" s="618">
        <f>IF(AND($S30="",$U30="",$W30="",$AA30="",$AE30="",$AG30="",$AI30=""),"",MAX($C$10:$C29)+1)</f>
        <v>20</v>
      </c>
      <c r="D30" s="619" t="str">
        <f t="shared" si="1"/>
        <v>310001</v>
      </c>
      <c r="E30" s="619">
        <f t="shared" si="2"/>
        <v>31000107020</v>
      </c>
      <c r="F30" s="619" t="str">
        <f t="shared" si="3"/>
        <v>31000111</v>
      </c>
      <c r="G30" s="619" t="str">
        <f t="shared" si="4"/>
        <v>3100011</v>
      </c>
      <c r="H30" s="620" t="str">
        <f t="shared" si="5"/>
        <v>10001</v>
      </c>
      <c r="I30" s="316" t="s">
        <v>239</v>
      </c>
      <c r="J30" s="254">
        <v>43160</v>
      </c>
      <c r="K30" s="50">
        <f>IF($W30="","",IF($W30=1,IF(VLOOKUP($S30,ﾏｽﾀ!$E$8:$K$124,ﾏｽﾀ!$J$4-ﾏｽﾀ!$D$4,0)="E",DAY($J$4),ABS(VLOOKUP($S30,ﾏｽﾀ!$E$8:$K$124,ﾏｽﾀ!$J$4-ﾏｽﾀ!$D$4,0))),IF(VLOOKUP($S30,ﾏｽﾀ!$E$8:$K$124,ﾏｽﾀ!$K$4-ﾏｽﾀ!$D$4,0)="E",DAY($J$4),ABS(VLOOKUP($S30,ﾏｽﾀ!$E$8:$K$124,ﾏｽﾀ!$K$4-ﾏｽﾀ!$D$4,0)))))</f>
        <v>20</v>
      </c>
      <c r="L30" s="255"/>
      <c r="M30" s="255"/>
      <c r="N30" s="255"/>
      <c r="O30" s="50">
        <f>IF($S30="","",IF($M30="",IF($J30="","ERR",IF(VLOOKUP($S30,ﾏｽﾀ!$E$8:$K$124,ﾏｽﾀ!$J$4-ﾏｽﾀ!$D$4,0)="E",MONTH($J30),IF(MONTH($J30)-1=0,12,MONTH($J30)-1))),MONTH($M30)))</f>
        <v>2</v>
      </c>
      <c r="P30" s="50">
        <f>IF($S30="","",IF($M30="",IF($K30="","ERR",IF(VLOOKUP($S30,ﾏｽﾀ!$E$8:$K$124,ﾏｽﾀ!$J$4-ﾏｽﾀ!$D$4,0)="E",1,$K30+1)),DAY($M30)))</f>
        <v>21</v>
      </c>
      <c r="Q30" s="50">
        <f t="shared" si="13"/>
        <v>3</v>
      </c>
      <c r="R30" s="50">
        <f t="shared" si="14"/>
        <v>20</v>
      </c>
      <c r="S30" s="601" t="str">
        <f>IF($T30="","",INDEX(ﾏｽﾀ!$E$8:$E$124,MATCH(INDEX(ﾏｽﾀ!$N$8:$N$124,MATCH($T30,ﾏｽﾀ!$O$8:$O$124,0)),ﾏｽﾀ!$B$8:$B$124,0))&amp;"")</f>
        <v>100</v>
      </c>
      <c r="T30" s="535" t="s">
        <v>582</v>
      </c>
      <c r="U30" s="601" t="str">
        <f>IF($T30="","",INDEX(ﾏｽﾀ!$G$8:$G$124,MATCH(INDEX(ﾏｽﾀ!$N$8:$N$124,MATCH($T30,ﾏｽﾀ!$O$8:$O$124,0)),ﾏｽﾀ!$B$8:$B$124,0))&amp;"")</f>
        <v>01</v>
      </c>
      <c r="V30" s="257"/>
      <c r="W30" s="602" t="str">
        <f>IF($X30="","",INDEX(ﾏｽﾀ!$T$8:$T$16,MATCH($X30,ﾏｽﾀ!$U$8:$U$16,0))&amp;"")</f>
        <v>1</v>
      </c>
      <c r="X30" s="248" t="s">
        <v>622</v>
      </c>
      <c r="Y30" s="260"/>
      <c r="Z30" s="260"/>
      <c r="AA30" s="256" t="s">
        <v>572</v>
      </c>
      <c r="AB30" s="492" t="str">
        <f>IF($W30="","",IF($AA30="","ERR",IF($AA30="1",IF($AE30="","ERR",VLOOKUP($AA30,ﾏｽﾀ!$W$8:$X$10,ﾏｽﾀ!$X$4,0)),IF($AA30="2",IF($AG30="","ERR",VLOOKUP($AA30,ﾏｽﾀ!$W$8:$X$10,ﾏｽﾀ!$X$4,0)),IF($AA30="3",IF($AI30="","ERR",VLOOKUP($AA30,ﾏｽﾀ!$W$8:$X$10,ﾏｽﾀ!$X$4,0)),"ERR")))))</f>
        <v>合計請求</v>
      </c>
      <c r="AC30" s="261" t="s">
        <v>393</v>
      </c>
      <c r="AD30" s="321">
        <f>IF($AA30="1",COUNTIF('納品書明細16-E'!$D$9:$D$206,$AN30)+COUNTIF('納品書明細F-15'!$D$9:$D$297,$AN30)-IF(ISNA(MATCH(CONCATENATE(VLOOKUP($AC30,$AB$1:$AC$4,2,FALSE),$S30,IF($U30="","00",$U30),$W30,2),$F$11:$F$160,0)),0,SUMIF($F$11:$F$160,CONCATENATE(VLOOKUP($AC30,$AB$1:$AC$4,2,FALSE),$S30,IF($U30="","00",$U30),$W30,2),$AF$11:$AF$160)),"")</f>
        <v>1</v>
      </c>
      <c r="AE30" s="319">
        <f>IF($AA30="1",SUMIF('納品書明細16-E'!$C$9:$C$206,$AO30,'納品書明細16-E'!$Q$9:$Q$206)+SUMIF('納品書明細F-15'!$C$9:$C$297,$AO30,'納品書明細F-15'!$Q$9:$Q$297)-IF(ISNA(MATCH(CONCATENATE(VLOOKUP($AC30,$AB$1:$AC$4,2,FALSE),$S30,IF($U30="","00",$U30),$W30,2),$F$11:$F$160,0)),0,SUMIF($F$11:$F$160,CONCATENATE(VLOOKUP($AC30,$AB$1:$AC$4,2,FALSE),$S30,IF($U30="","00",$U30),$W30,2),$AG$11:$AG$160)),"")</f>
        <v>15497.73</v>
      </c>
      <c r="AF30" s="322"/>
      <c r="AG30" s="327"/>
      <c r="AH30" s="57"/>
      <c r="AI30" s="319" t="str">
        <f>IF($AH30="","",IF(ISNA(MATCH($AH30,'納品書明細16-E'!$H$9:$H$206,0)),IF(ISNA(MATCH($AH30,'納品書明細F-15'!$H$9:$H$297,0)),"ERR",SUMIF('納品書明細F-15'!$H$9:$H$297,$AH30,'納品書明細F-15'!$Q$9:$Q$297)),SUMIF('納品書明細16-E'!$H$9:$H$206,$AH30,'納品書明細16-E'!$Q$9:$Q$206)))</f>
        <v/>
      </c>
      <c r="AK30" s="328" t="str">
        <f t="shared" si="6"/>
        <v/>
      </c>
      <c r="AL30" s="269" t="str">
        <f t="shared" si="7"/>
        <v/>
      </c>
      <c r="AM30" s="270" t="str">
        <f t="shared" si="8"/>
        <v/>
      </c>
      <c r="AN30" s="244" t="str">
        <f t="shared" si="9"/>
        <v>310001111</v>
      </c>
      <c r="AO30" s="244" t="str">
        <f t="shared" si="10"/>
        <v>31000111</v>
      </c>
      <c r="AP30" s="271">
        <f t="shared" si="11"/>
        <v>15497.73</v>
      </c>
      <c r="AQ30" s="265"/>
      <c r="AR30" s="263"/>
      <c r="AS30" s="84" t="s">
        <v>628</v>
      </c>
      <c r="AT30" s="86" t="s">
        <v>629</v>
      </c>
      <c r="AU30" s="87" t="s">
        <v>630</v>
      </c>
    </row>
    <row r="31" spans="1:47" ht="15" customHeight="1">
      <c r="A31" s="281" t="str">
        <f t="shared" si="0"/>
        <v>\</v>
      </c>
      <c r="B31" s="282">
        <f t="shared" si="12"/>
        <v>1</v>
      </c>
      <c r="C31" s="618">
        <f>IF(AND($S31="",$U31="",$W31="",$AA31="",$AE31="",$AG31="",$AI31=""),"",MAX($C$10:$C30)+1)</f>
        <v>21</v>
      </c>
      <c r="D31" s="619" t="str">
        <f t="shared" si="1"/>
        <v>110010</v>
      </c>
      <c r="E31" s="619">
        <f t="shared" si="2"/>
        <v>11001007021</v>
      </c>
      <c r="F31" s="619" t="str">
        <f t="shared" si="3"/>
        <v>11001011</v>
      </c>
      <c r="G31" s="619" t="str">
        <f t="shared" si="4"/>
        <v>1100101</v>
      </c>
      <c r="H31" s="620" t="str">
        <f t="shared" si="5"/>
        <v>10010</v>
      </c>
      <c r="I31" s="316" t="s">
        <v>240</v>
      </c>
      <c r="J31" s="254">
        <v>43160</v>
      </c>
      <c r="K31" s="50">
        <f>IF($W31="","",IF($W31=1,IF(VLOOKUP($S31,ﾏｽﾀ!$E$8:$K$124,ﾏｽﾀ!$J$4-ﾏｽﾀ!$D$4,0)="E",DAY($J$4),ABS(VLOOKUP($S31,ﾏｽﾀ!$E$8:$K$124,ﾏｽﾀ!$J$4-ﾏｽﾀ!$D$4,0))),IF(VLOOKUP($S31,ﾏｽﾀ!$E$8:$K$124,ﾏｽﾀ!$K$4-ﾏｽﾀ!$D$4,0)="E",DAY($J$4),ABS(VLOOKUP($S31,ﾏｽﾀ!$E$8:$K$124,ﾏｽﾀ!$K$4-ﾏｽﾀ!$D$4,0)))))</f>
        <v>20</v>
      </c>
      <c r="L31" s="255"/>
      <c r="M31" s="255"/>
      <c r="N31" s="255"/>
      <c r="O31" s="50">
        <f>IF($S31="","",IF($M31="",IF($J31="","ERR",IF(VLOOKUP($S31,ﾏｽﾀ!$E$8:$K$124,ﾏｽﾀ!$J$4-ﾏｽﾀ!$D$4,0)="E",MONTH($J31),IF(MONTH($J31)-1=0,12,MONTH($J31)-1))),MONTH($M31)))</f>
        <v>2</v>
      </c>
      <c r="P31" s="50">
        <f>IF($S31="","",IF($M31="",IF($K31="","ERR",IF(VLOOKUP($S31,ﾏｽﾀ!$E$8:$K$124,ﾏｽﾀ!$J$4-ﾏｽﾀ!$D$4,0)="E",1,$K31+1)),DAY($M31)))</f>
        <v>21</v>
      </c>
      <c r="Q31" s="50">
        <f t="shared" si="13"/>
        <v>3</v>
      </c>
      <c r="R31" s="50">
        <f t="shared" si="14"/>
        <v>20</v>
      </c>
      <c r="S31" s="601" t="str">
        <f>IF($T31="","",INDEX(ﾏｽﾀ!$E$8:$E$124,MATCH(INDEX(ﾏｽﾀ!$N$8:$N$124,MATCH($T31,ﾏｽﾀ!$O$8:$O$124,0)),ﾏｽﾀ!$B$8:$B$124,0))&amp;"")</f>
        <v>100</v>
      </c>
      <c r="T31" s="535" t="s">
        <v>584</v>
      </c>
      <c r="U31" s="601" t="str">
        <f>IF($T31="","",INDEX(ﾏｽﾀ!$G$8:$G$124,MATCH(INDEX(ﾏｽﾀ!$N$8:$N$124,MATCH($T31,ﾏｽﾀ!$O$8:$O$124,0)),ﾏｽﾀ!$B$8:$B$124,0))&amp;"")</f>
        <v>10</v>
      </c>
      <c r="V31" s="257"/>
      <c r="W31" s="602" t="str">
        <f>IF($X31="","",INDEX(ﾏｽﾀ!$T$8:$T$16,MATCH($X31,ﾏｽﾀ!$U$8:$U$16,0))&amp;"")</f>
        <v>1</v>
      </c>
      <c r="X31" s="248" t="s">
        <v>622</v>
      </c>
      <c r="Y31" s="260"/>
      <c r="Z31" s="260"/>
      <c r="AA31" s="256" t="s">
        <v>572</v>
      </c>
      <c r="AB31" s="492" t="str">
        <f>IF($W31="","",IF($AA31="","ERR",IF($AA31="1",IF($AE31="","ERR",VLOOKUP($AA31,ﾏｽﾀ!$W$8:$X$10,ﾏｽﾀ!$X$4,0)),IF($AA31="2",IF($AG31="","ERR",VLOOKUP($AA31,ﾏｽﾀ!$W$8:$X$10,ﾏｽﾀ!$X$4,0)),IF($AA31="3",IF($AI31="","ERR",VLOOKUP($AA31,ﾏｽﾀ!$W$8:$X$10,ﾏｽﾀ!$X$4,0)),"ERR")))))</f>
        <v>合計請求</v>
      </c>
      <c r="AC31" s="261" t="s">
        <v>550</v>
      </c>
      <c r="AD31" s="321">
        <f>IF($AA31="1",COUNTIF('納品書明細16-E'!$D$9:$D$206,$AN31)+COUNTIF('納品書明細F-15'!$D$9:$D$297,$AN31)-IF(ISNA(MATCH(CONCATENATE(VLOOKUP($AC31,$AB$1:$AC$4,2,FALSE),$S31,IF($U31="","00",$U31),$W31,2),$F$11:$F$160,0)),0,SUMIF($F$11:$F$160,CONCATENATE(VLOOKUP($AC31,$AB$1:$AC$4,2,FALSE),$S31,IF($U31="","00",$U31),$W31,2),$AF$11:$AF$160)),"")</f>
        <v>1</v>
      </c>
      <c r="AE31" s="319">
        <f>IF($AA31="1",SUMIF('納品書明細16-E'!$C$9:$C$206,$AO31,'納品書明細16-E'!$Q$9:$Q$206)+SUMIF('納品書明細F-15'!$C$9:$C$297,$AO31,'納品書明細F-15'!$Q$9:$Q$297)-IF(ISNA(MATCH(CONCATENATE(VLOOKUP($AC31,$AB$1:$AC$4,2,FALSE),$S31,IF($U31="","00",$U31),$W31,2),$F$11:$F$160,0)),0,SUMIF($F$11:$F$160,CONCATENATE(VLOOKUP($AC31,$AB$1:$AC$4,2,FALSE),$S31,IF($U31="","00",$U31),$W31,2),$AG$11:$AG$160)),"")</f>
        <v>2030516</v>
      </c>
      <c r="AF31" s="322"/>
      <c r="AG31" s="327"/>
      <c r="AH31" s="57"/>
      <c r="AI31" s="319" t="str">
        <f>IF($AH31="","",IF(ISNA(MATCH($AH31,'納品書明細16-E'!$H$9:$H$206,0)),IF(ISNA(MATCH($AH31,'納品書明細F-15'!$H$9:$H$297,0)),"ERR",SUMIF('納品書明細F-15'!$H$9:$H$297,$AH31,'納品書明細F-15'!$Q$9:$Q$297)),SUMIF('納品書明細16-E'!$H$9:$H$206,$AH31,'納品書明細16-E'!$Q$9:$Q$206)))</f>
        <v/>
      </c>
      <c r="AK31" s="328" t="str">
        <f t="shared" si="6"/>
        <v/>
      </c>
      <c r="AL31" s="269" t="str">
        <f t="shared" si="7"/>
        <v/>
      </c>
      <c r="AM31" s="270" t="str">
        <f t="shared" si="8"/>
        <v/>
      </c>
      <c r="AN31" s="244" t="str">
        <f t="shared" si="9"/>
        <v>110010111</v>
      </c>
      <c r="AO31" s="244" t="str">
        <f t="shared" si="10"/>
        <v>11001011</v>
      </c>
      <c r="AP31" s="271">
        <f t="shared" si="11"/>
        <v>2030516</v>
      </c>
      <c r="AQ31" s="262" t="s">
        <v>373</v>
      </c>
      <c r="AR31" s="263"/>
      <c r="AS31" s="84"/>
      <c r="AT31" s="86"/>
      <c r="AU31" s="87"/>
    </row>
    <row r="32" spans="1:47" ht="15" customHeight="1">
      <c r="A32" s="281" t="str">
        <f t="shared" si="0"/>
        <v>\</v>
      </c>
      <c r="B32" s="282">
        <f t="shared" si="12"/>
        <v>1</v>
      </c>
      <c r="C32" s="618">
        <f>IF(AND($S32="",$U32="",$W32="",$AA32="",$AE32="",$AG32="",$AI32=""),"",MAX($C$10:$C31)+1)</f>
        <v>22</v>
      </c>
      <c r="D32" s="619" t="str">
        <f t="shared" si="1"/>
        <v>110001</v>
      </c>
      <c r="E32" s="619">
        <f t="shared" si="2"/>
        <v>11000107022</v>
      </c>
      <c r="F32" s="619" t="str">
        <f t="shared" si="3"/>
        <v>11000131</v>
      </c>
      <c r="G32" s="619" t="str">
        <f t="shared" si="4"/>
        <v>1100011</v>
      </c>
      <c r="H32" s="620" t="str">
        <f t="shared" si="5"/>
        <v>10001</v>
      </c>
      <c r="I32" s="316" t="s">
        <v>241</v>
      </c>
      <c r="J32" s="254">
        <v>43160</v>
      </c>
      <c r="K32" s="50">
        <f>IF($W32="","",IF($W32=1,IF(VLOOKUP($S32,ﾏｽﾀ!$E$8:$K$124,ﾏｽﾀ!$J$4-ﾏｽﾀ!$D$4,0)="E",DAY($J$4),ABS(VLOOKUP($S32,ﾏｽﾀ!$E$8:$K$124,ﾏｽﾀ!$J$4-ﾏｽﾀ!$D$4,0))),IF(VLOOKUP($S32,ﾏｽﾀ!$E$8:$K$124,ﾏｽﾀ!$K$4-ﾏｽﾀ!$D$4,0)="E",DAY($J$4),ABS(VLOOKUP($S32,ﾏｽﾀ!$E$8:$K$124,ﾏｽﾀ!$K$4-ﾏｽﾀ!$D$4,0)))))</f>
        <v>20</v>
      </c>
      <c r="L32" s="255"/>
      <c r="M32" s="255"/>
      <c r="N32" s="255"/>
      <c r="O32" s="50">
        <f>IF($S32="","",IF($M32="",IF($J32="","ERR",IF(VLOOKUP($S32,ﾏｽﾀ!$E$8:$K$124,ﾏｽﾀ!$J$4-ﾏｽﾀ!$D$4,0)="E",MONTH($J32),IF(MONTH($J32)-1=0,12,MONTH($J32)-1))),MONTH($M32)))</f>
        <v>2</v>
      </c>
      <c r="P32" s="50">
        <f>IF($S32="","",IF($M32="",IF($K32="","ERR",IF(VLOOKUP($S32,ﾏｽﾀ!$E$8:$K$124,ﾏｽﾀ!$J$4-ﾏｽﾀ!$D$4,0)="E",1,$K32+1)),DAY($M32)))</f>
        <v>21</v>
      </c>
      <c r="Q32" s="50">
        <f t="shared" si="13"/>
        <v>3</v>
      </c>
      <c r="R32" s="50">
        <f t="shared" si="14"/>
        <v>20</v>
      </c>
      <c r="S32" s="601" t="str">
        <f>IF($T32="","",INDEX(ﾏｽﾀ!$E$8:$E$124,MATCH(INDEX(ﾏｽﾀ!$N$8:$N$124,MATCH($T32,ﾏｽﾀ!$O$8:$O$124,0)),ﾏｽﾀ!$B$8:$B$124,0))&amp;"")</f>
        <v>100</v>
      </c>
      <c r="T32" s="535" t="s">
        <v>582</v>
      </c>
      <c r="U32" s="601" t="str">
        <f>IF($T32="","",INDEX(ﾏｽﾀ!$G$8:$G$124,MATCH(INDEX(ﾏｽﾀ!$N$8:$N$124,MATCH($T32,ﾏｽﾀ!$O$8:$O$124,0)),ﾏｽﾀ!$B$8:$B$124,0))&amp;"")</f>
        <v>01</v>
      </c>
      <c r="V32" s="257"/>
      <c r="W32" s="602" t="str">
        <f>IF($X32="","",INDEX(ﾏｽﾀ!$T$8:$T$16,MATCH($X32,ﾏｽﾀ!$U$8:$U$16,0))&amp;"")</f>
        <v>3</v>
      </c>
      <c r="X32" s="248" t="s">
        <v>620</v>
      </c>
      <c r="Y32" s="260"/>
      <c r="Z32" s="260"/>
      <c r="AA32" s="256" t="s">
        <v>572</v>
      </c>
      <c r="AB32" s="492" t="str">
        <f>IF($W32="","",IF($AA32="","ERR",IF($AA32="1",IF($AE32="","ERR",VLOOKUP($AA32,ﾏｽﾀ!$W$8:$X$10,ﾏｽﾀ!$X$4,0)),IF($AA32="2",IF($AG32="","ERR",VLOOKUP($AA32,ﾏｽﾀ!$W$8:$X$10,ﾏｽﾀ!$X$4,0)),IF($AA32="3",IF($AI32="","ERR",VLOOKUP($AA32,ﾏｽﾀ!$W$8:$X$10,ﾏｽﾀ!$X$4,0)),"ERR")))))</f>
        <v>合計請求</v>
      </c>
      <c r="AC32" s="261" t="s">
        <v>550</v>
      </c>
      <c r="AD32" s="321">
        <f>IF($AA32="1",COUNTIF('納品書明細16-E'!$D$9:$D$206,$AN32)+COUNTIF('納品書明細F-15'!$D$9:$D$297,$AN32)-IF(ISNA(MATCH(CONCATENATE(VLOOKUP($AC32,$AB$1:$AC$4,2,FALSE),$S32,IF($U32="","00",$U32),$W32,2),$F$11:$F$160,0)),0,SUMIF($F$11:$F$160,CONCATENATE(VLOOKUP($AC32,$AB$1:$AC$4,2,FALSE),$S32,IF($U32="","00",$U32),$W32,2),$AF$11:$AF$160)),"")</f>
        <v>1</v>
      </c>
      <c r="AE32" s="319">
        <f>IF($AA32="1",SUMIF('納品書明細16-E'!$C$9:$C$206,$AO32,'納品書明細16-E'!$Q$9:$Q$206)+SUMIF('納品書明細F-15'!$C$9:$C$297,$AO32,'納品書明細F-15'!$Q$9:$Q$297)-IF(ISNA(MATCH(CONCATENATE(VLOOKUP($AC32,$AB$1:$AC$4,2,FALSE),$S32,IF($U32="","00",$U32),$W32,2),$F$11:$F$160,0)),0,SUMIF($F$11:$F$160,CONCATENATE(VLOOKUP($AC32,$AB$1:$AC$4,2,FALSE),$S32,IF($U32="","00",$U32),$W32,2),$AG$11:$AG$160)),"")</f>
        <v>6311</v>
      </c>
      <c r="AF32" s="322"/>
      <c r="AG32" s="327"/>
      <c r="AH32" s="57"/>
      <c r="AI32" s="319" t="str">
        <f>IF($AH32="","",IF(ISNA(MATCH($AH32,'納品書明細16-E'!$H$9:$H$206,0)),IF(ISNA(MATCH($AH32,'納品書明細F-15'!$H$9:$H$297,0)),"ERR",SUMIF('納品書明細F-15'!$H$9:$H$297,$AH32,'納品書明細F-15'!$Q$9:$Q$297)),SUMIF('納品書明細16-E'!$H$9:$H$206,$AH32,'納品書明細16-E'!$Q$9:$Q$206)))</f>
        <v/>
      </c>
      <c r="AK32" s="328" t="str">
        <f t="shared" si="6"/>
        <v/>
      </c>
      <c r="AL32" s="269" t="str">
        <f t="shared" si="7"/>
        <v/>
      </c>
      <c r="AM32" s="270" t="str">
        <f t="shared" si="8"/>
        <v/>
      </c>
      <c r="AN32" s="244" t="str">
        <f t="shared" si="9"/>
        <v>110001113</v>
      </c>
      <c r="AO32" s="244" t="str">
        <f t="shared" si="10"/>
        <v>11000113</v>
      </c>
      <c r="AP32" s="271">
        <f t="shared" si="11"/>
        <v>6311</v>
      </c>
      <c r="AQ32" s="262" t="s">
        <v>373</v>
      </c>
      <c r="AR32" s="263"/>
      <c r="AS32" s="84" t="s">
        <v>377</v>
      </c>
      <c r="AT32" s="86" t="s">
        <v>376</v>
      </c>
      <c r="AU32" s="87"/>
    </row>
    <row r="33" spans="1:47" ht="15" customHeight="1">
      <c r="A33" s="281" t="str">
        <f t="shared" si="0"/>
        <v/>
      </c>
      <c r="B33" s="282" t="str">
        <f t="shared" si="12"/>
        <v/>
      </c>
      <c r="C33" s="618" t="str">
        <f>IF(AND($S33="",$U33="",$W33="",$AA33="",$AE33="",$AG33="",$AI33=""),"",MAX($C$10:$C32)+1)</f>
        <v/>
      </c>
      <c r="D33" s="619" t="str">
        <f t="shared" si="1"/>
        <v/>
      </c>
      <c r="E33" s="619" t="str">
        <f t="shared" si="2"/>
        <v/>
      </c>
      <c r="F33" s="619" t="str">
        <f t="shared" si="3"/>
        <v/>
      </c>
      <c r="G33" s="619" t="str">
        <f t="shared" si="4"/>
        <v/>
      </c>
      <c r="H33" s="620" t="str">
        <f t="shared" si="5"/>
        <v/>
      </c>
      <c r="I33" s="316" t="s">
        <v>242</v>
      </c>
      <c r="J33" s="254"/>
      <c r="K33" s="50" t="str">
        <f>IF($W33="","",IF($W33=1,IF(VLOOKUP($S33,ﾏｽﾀ!$E$8:$K$124,ﾏｽﾀ!$J$4-ﾏｽﾀ!$D$4,0)="E",DAY($J$4),ABS(VLOOKUP($S33,ﾏｽﾀ!$E$8:$K$124,ﾏｽﾀ!$J$4-ﾏｽﾀ!$D$4,0))),IF(VLOOKUP($S33,ﾏｽﾀ!$E$8:$K$124,ﾏｽﾀ!$K$4-ﾏｽﾀ!$D$4,0)="E",DAY($J$4),ABS(VLOOKUP($S33,ﾏｽﾀ!$E$8:$K$124,ﾏｽﾀ!$K$4-ﾏｽﾀ!$D$4,0)))))</f>
        <v/>
      </c>
      <c r="L33" s="255"/>
      <c r="M33" s="255"/>
      <c r="N33" s="255"/>
      <c r="O33" s="50" t="str">
        <f>IF($S33="","",IF($M33="",IF($J33="","ERR",IF(VLOOKUP($S33,ﾏｽﾀ!$E$8:$K$124,ﾏｽﾀ!$J$4-ﾏｽﾀ!$D$4,0)="E",MONTH($J33),IF(MONTH($J33)-1=0,12,MONTH($J33)-1))),MONTH($M33)))</f>
        <v/>
      </c>
      <c r="P33" s="50" t="str">
        <f>IF($S33="","",IF($M33="",IF($K33="","ERR",IF(VLOOKUP($S33,ﾏｽﾀ!$E$8:$K$124,ﾏｽﾀ!$J$4-ﾏｽﾀ!$D$4,0)="E",1,$K33+1)),DAY($M33)))</f>
        <v/>
      </c>
      <c r="Q33" s="50" t="str">
        <f t="shared" si="13"/>
        <v/>
      </c>
      <c r="R33" s="50" t="str">
        <f t="shared" si="14"/>
        <v/>
      </c>
      <c r="S33" s="601" t="str">
        <f>IF($T33="","",INDEX(ﾏｽﾀ!$E$8:$E$124,MATCH(INDEX(ﾏｽﾀ!$N$8:$N$124,MATCH($T33,ﾏｽﾀ!$O$8:$O$124,0)),ﾏｽﾀ!$B$8:$B$124,0))&amp;"")</f>
        <v/>
      </c>
      <c r="T33" s="535"/>
      <c r="U33" s="601" t="str">
        <f>IF($T33="","",INDEX(ﾏｽﾀ!$G$8:$G$124,MATCH(INDEX(ﾏｽﾀ!$N$8:$N$124,MATCH($T33,ﾏｽﾀ!$O$8:$O$124,0)),ﾏｽﾀ!$B$8:$B$124,0))&amp;"")</f>
        <v/>
      </c>
      <c r="V33" s="257"/>
      <c r="W33" s="602" t="str">
        <f>IF($X33="","",INDEX(ﾏｽﾀ!$T$8:$T$16,MATCH($X33,ﾏｽﾀ!$U$8:$U$16,0))&amp;"")</f>
        <v/>
      </c>
      <c r="X33" s="248"/>
      <c r="Y33" s="260"/>
      <c r="Z33" s="260"/>
      <c r="AA33" s="256"/>
      <c r="AB33" s="492" t="str">
        <f>IF($W33="","",IF($AA33="","ERR",IF($AA33="1",IF($AE33="","ERR",VLOOKUP($AA33,ﾏｽﾀ!$W$8:$X$10,ﾏｽﾀ!$X$4,0)),IF($AA33="2",IF($AG33="","ERR",VLOOKUP($AA33,ﾏｽﾀ!$W$8:$X$10,ﾏｽﾀ!$X$4,0)),IF($AA33="3",IF($AI33="","ERR",VLOOKUP($AA33,ﾏｽﾀ!$W$8:$X$10,ﾏｽﾀ!$X$4,0)),"ERR")))))</f>
        <v/>
      </c>
      <c r="AC33" s="261"/>
      <c r="AD33" s="321" t="str">
        <f>IF($AA33="1",COUNTIF('納品書明細16-E'!$D$9:$D$206,$AN33)+COUNTIF('納品書明細F-15'!$D$9:$D$297,$AN33)-IF(ISNA(MATCH(CONCATENATE(VLOOKUP($AC33,$AB$1:$AC$4,2,FALSE),$S33,IF($U33="","00",$U33),$W33,2),$F$11:$F$160,0)),0,SUMIF($F$11:$F$160,CONCATENATE(VLOOKUP($AC33,$AB$1:$AC$4,2,FALSE),$S33,IF($U33="","00",$U33),$W33,2),$AF$11:$AF$160)),"")</f>
        <v/>
      </c>
      <c r="AE33" s="319" t="str">
        <f>IF($AA33="1",SUMIF('納品書明細16-E'!$C$9:$C$206,$AO33,'納品書明細16-E'!$Q$9:$Q$206)+SUMIF('納品書明細F-15'!$C$9:$C$297,$AO33,'納品書明細F-15'!$Q$9:$Q$297)-IF(ISNA(MATCH(CONCATENATE(VLOOKUP($AC33,$AB$1:$AC$4,2,FALSE),$S33,IF($U33="","00",$U33),$W33,2),$F$11:$F$160,0)),0,SUMIF($F$11:$F$160,CONCATENATE(VLOOKUP($AC33,$AB$1:$AC$4,2,FALSE),$S33,IF($U33="","00",$U33),$W33,2),$AG$11:$AG$160)),"")</f>
        <v/>
      </c>
      <c r="AF33" s="322"/>
      <c r="AG33" s="327"/>
      <c r="AH33" s="57"/>
      <c r="AI33" s="319" t="str">
        <f>IF($AH33="","",IF(ISNA(MATCH($AH33,'納品書明細16-E'!$H$9:$H$206,0)),IF(ISNA(MATCH($AH33,'納品書明細F-15'!$H$9:$H$297,0)),"ERR",SUMIF('納品書明細F-15'!$H$9:$H$297,$AH33,'納品書明細F-15'!$Q$9:$Q$297)),SUMIF('納品書明細16-E'!$H$9:$H$206,$AH33,'納品書明細16-E'!$Q$9:$Q$206)))</f>
        <v/>
      </c>
      <c r="AK33" s="328" t="str">
        <f t="shared" si="6"/>
        <v/>
      </c>
      <c r="AL33" s="269" t="str">
        <f t="shared" si="7"/>
        <v/>
      </c>
      <c r="AM33" s="270" t="str">
        <f t="shared" si="8"/>
        <v/>
      </c>
      <c r="AN33" s="244" t="str">
        <f t="shared" si="9"/>
        <v/>
      </c>
      <c r="AO33" s="244" t="str">
        <f t="shared" si="10"/>
        <v/>
      </c>
      <c r="AP33" s="271" t="str">
        <f t="shared" si="11"/>
        <v/>
      </c>
      <c r="AQ33" s="262"/>
      <c r="AR33" s="263"/>
      <c r="AS33" s="84"/>
      <c r="AT33" s="86"/>
      <c r="AU33" s="87"/>
    </row>
    <row r="34" spans="1:47" ht="15" customHeight="1">
      <c r="A34" s="281" t="str">
        <f t="shared" si="0"/>
        <v/>
      </c>
      <c r="B34" s="282" t="str">
        <f t="shared" si="12"/>
        <v/>
      </c>
      <c r="C34" s="618" t="str">
        <f>IF(AND($S34="",$U34="",$W34="",$AA34="",$AE34="",$AG34="",$AI34=""),"",MAX($C$10:$C33)+1)</f>
        <v/>
      </c>
      <c r="D34" s="619" t="str">
        <f t="shared" si="1"/>
        <v/>
      </c>
      <c r="E34" s="619" t="str">
        <f t="shared" si="2"/>
        <v/>
      </c>
      <c r="F34" s="619" t="str">
        <f t="shared" si="3"/>
        <v/>
      </c>
      <c r="G34" s="619" t="str">
        <f t="shared" si="4"/>
        <v/>
      </c>
      <c r="H34" s="620" t="str">
        <f t="shared" si="5"/>
        <v/>
      </c>
      <c r="I34" s="316" t="s">
        <v>243</v>
      </c>
      <c r="J34" s="254"/>
      <c r="K34" s="50" t="str">
        <f>IF($W34="","",IF($W34=1,IF(VLOOKUP($S34,ﾏｽﾀ!$E$8:$K$124,ﾏｽﾀ!$J$4-ﾏｽﾀ!$D$4,0)="E",DAY($J$4),ABS(VLOOKUP($S34,ﾏｽﾀ!$E$8:$K$124,ﾏｽﾀ!$J$4-ﾏｽﾀ!$D$4,0))),IF(VLOOKUP($S34,ﾏｽﾀ!$E$8:$K$124,ﾏｽﾀ!$K$4-ﾏｽﾀ!$D$4,0)="E",DAY($J$4),ABS(VLOOKUP($S34,ﾏｽﾀ!$E$8:$K$124,ﾏｽﾀ!$K$4-ﾏｽﾀ!$D$4,0)))))</f>
        <v/>
      </c>
      <c r="L34" s="255"/>
      <c r="M34" s="255"/>
      <c r="N34" s="255"/>
      <c r="O34" s="50" t="str">
        <f>IF($S34="","",IF($M34="",IF($J34="","ERR",IF(VLOOKUP($S34,ﾏｽﾀ!$E$8:$K$124,ﾏｽﾀ!$J$4-ﾏｽﾀ!$D$4,0)="E",MONTH($J34),IF(MONTH($J34)-1=0,12,MONTH($J34)-1))),MONTH($M34)))</f>
        <v/>
      </c>
      <c r="P34" s="50" t="str">
        <f>IF($S34="","",IF($M34="",IF($K34="","ERR",IF(VLOOKUP($S34,ﾏｽﾀ!$E$8:$K$124,ﾏｽﾀ!$J$4-ﾏｽﾀ!$D$4,0)="E",1,$K34+1)),DAY($M34)))</f>
        <v/>
      </c>
      <c r="Q34" s="50" t="str">
        <f t="shared" si="13"/>
        <v/>
      </c>
      <c r="R34" s="50" t="str">
        <f t="shared" si="14"/>
        <v/>
      </c>
      <c r="S34" s="601" t="str">
        <f>IF($T34="","",INDEX(ﾏｽﾀ!$E$8:$E$124,MATCH(INDEX(ﾏｽﾀ!$N$8:$N$124,MATCH($T34,ﾏｽﾀ!$O$8:$O$124,0)),ﾏｽﾀ!$B$8:$B$124,0))&amp;"")</f>
        <v/>
      </c>
      <c r="T34" s="535"/>
      <c r="U34" s="601" t="str">
        <f>IF($T34="","",INDEX(ﾏｽﾀ!$G$8:$G$124,MATCH(INDEX(ﾏｽﾀ!$N$8:$N$124,MATCH($T34,ﾏｽﾀ!$O$8:$O$124,0)),ﾏｽﾀ!$B$8:$B$124,0))&amp;"")</f>
        <v/>
      </c>
      <c r="V34" s="257"/>
      <c r="W34" s="602" t="str">
        <f>IF($X34="","",INDEX(ﾏｽﾀ!$T$8:$T$16,MATCH($X34,ﾏｽﾀ!$U$8:$U$16,0))&amp;"")</f>
        <v/>
      </c>
      <c r="X34" s="248"/>
      <c r="Y34" s="260"/>
      <c r="Z34" s="260"/>
      <c r="AA34" s="256"/>
      <c r="AB34" s="492" t="str">
        <f>IF($W34="","",IF($AA34="","ERR",IF($AA34="1",IF($AE34="","ERR",VLOOKUP($AA34,ﾏｽﾀ!$W$8:$X$10,ﾏｽﾀ!$X$4,0)),IF($AA34="2",IF($AG34="","ERR",VLOOKUP($AA34,ﾏｽﾀ!$W$8:$X$10,ﾏｽﾀ!$X$4,0)),IF($AA34="3",IF($AI34="","ERR",VLOOKUP($AA34,ﾏｽﾀ!$W$8:$X$10,ﾏｽﾀ!$X$4,0)),"ERR")))))</f>
        <v/>
      </c>
      <c r="AC34" s="261"/>
      <c r="AD34" s="321" t="str">
        <f>IF($AA34="1",COUNTIF('納品書明細16-E'!$D$9:$D$206,$AN34)+COUNTIF('納品書明細F-15'!$D$9:$D$297,$AN34)-IF(ISNA(MATCH(CONCATENATE(VLOOKUP($AC34,$AB$1:$AC$4,2,FALSE),$S34,IF($U34="","00",$U34),$W34,2),$F$11:$F$160,0)),0,SUMIF($F$11:$F$160,CONCATENATE(VLOOKUP($AC34,$AB$1:$AC$4,2,FALSE),$S34,IF($U34="","00",$U34),$W34,2),$AF$11:$AF$160)),"")</f>
        <v/>
      </c>
      <c r="AE34" s="319" t="str">
        <f>IF($AA34="1",SUMIF('納品書明細16-E'!$C$9:$C$206,$AO34,'納品書明細16-E'!$Q$9:$Q$206)+SUMIF('納品書明細F-15'!$C$9:$C$297,$AO34,'納品書明細F-15'!$Q$9:$Q$297)-IF(ISNA(MATCH(CONCATENATE(VLOOKUP($AC34,$AB$1:$AC$4,2,FALSE),$S34,IF($U34="","00",$U34),$W34,2),$F$11:$F$160,0)),0,SUMIF($F$11:$F$160,CONCATENATE(VLOOKUP($AC34,$AB$1:$AC$4,2,FALSE),$S34,IF($U34="","00",$U34),$W34,2),$AG$11:$AG$160)),"")</f>
        <v/>
      </c>
      <c r="AF34" s="322"/>
      <c r="AG34" s="327"/>
      <c r="AH34" s="57"/>
      <c r="AI34" s="319" t="str">
        <f>IF($AH34="","",IF(ISNA(MATCH($AH34,'納品書明細16-E'!$H$9:$H$206,0)),IF(ISNA(MATCH($AH34,'納品書明細F-15'!$H$9:$H$297,0)),"ERR",SUMIF('納品書明細F-15'!$H$9:$H$297,$AH34,'納品書明細F-15'!$Q$9:$Q$297)),SUMIF('納品書明細16-E'!$H$9:$H$206,$AH34,'納品書明細16-E'!$Q$9:$Q$206)))</f>
        <v/>
      </c>
      <c r="AK34" s="328" t="str">
        <f t="shared" si="6"/>
        <v/>
      </c>
      <c r="AL34" s="269" t="str">
        <f t="shared" si="7"/>
        <v/>
      </c>
      <c r="AM34" s="270" t="str">
        <f t="shared" si="8"/>
        <v/>
      </c>
      <c r="AN34" s="244" t="str">
        <f t="shared" si="9"/>
        <v/>
      </c>
      <c r="AO34" s="244" t="str">
        <f t="shared" si="10"/>
        <v/>
      </c>
      <c r="AP34" s="271" t="str">
        <f t="shared" ref="AP34:AP97" si="15">IF($AE34="",IF($AG34="",$AI34,$AG34),$AE34)</f>
        <v/>
      </c>
      <c r="AQ34" s="262"/>
      <c r="AR34" s="263"/>
      <c r="AS34" s="84"/>
      <c r="AT34" s="86"/>
      <c r="AU34" s="87"/>
    </row>
    <row r="35" spans="1:47" ht="15" customHeight="1">
      <c r="A35" s="281" t="str">
        <f t="shared" si="0"/>
        <v/>
      </c>
      <c r="B35" s="282" t="str">
        <f t="shared" si="12"/>
        <v/>
      </c>
      <c r="C35" s="618" t="str">
        <f>IF(AND($S35="",$U35="",$W35="",$AA35="",$AE35="",$AG35="",$AI35=""),"",MAX($C$10:$C34)+1)</f>
        <v/>
      </c>
      <c r="D35" s="619" t="str">
        <f t="shared" si="1"/>
        <v/>
      </c>
      <c r="E35" s="619" t="str">
        <f t="shared" si="2"/>
        <v/>
      </c>
      <c r="F35" s="619" t="str">
        <f t="shared" si="3"/>
        <v/>
      </c>
      <c r="G35" s="619" t="str">
        <f t="shared" si="4"/>
        <v/>
      </c>
      <c r="H35" s="620" t="str">
        <f t="shared" si="5"/>
        <v/>
      </c>
      <c r="I35" s="316" t="s">
        <v>244</v>
      </c>
      <c r="J35" s="254"/>
      <c r="K35" s="50" t="str">
        <f>IF($W35="","",IF($W35=1,IF(VLOOKUP($S35,ﾏｽﾀ!$E$8:$K$124,ﾏｽﾀ!$J$4-ﾏｽﾀ!$D$4,0)="E",DAY($J$4),ABS(VLOOKUP($S35,ﾏｽﾀ!$E$8:$K$124,ﾏｽﾀ!$J$4-ﾏｽﾀ!$D$4,0))),IF(VLOOKUP($S35,ﾏｽﾀ!$E$8:$K$124,ﾏｽﾀ!$K$4-ﾏｽﾀ!$D$4,0)="E",DAY($J$4),ABS(VLOOKUP($S35,ﾏｽﾀ!$E$8:$K$124,ﾏｽﾀ!$K$4-ﾏｽﾀ!$D$4,0)))))</f>
        <v/>
      </c>
      <c r="L35" s="255"/>
      <c r="M35" s="255"/>
      <c r="N35" s="255"/>
      <c r="O35" s="50" t="str">
        <f>IF($S35="","",IF($M35="",IF($J35="","ERR",IF(VLOOKUP($S35,ﾏｽﾀ!$E$8:$K$124,ﾏｽﾀ!$J$4-ﾏｽﾀ!$D$4,0)="E",MONTH($J35),IF(MONTH($J35)-1=0,12,MONTH($J35)-1))),MONTH($M35)))</f>
        <v/>
      </c>
      <c r="P35" s="50" t="str">
        <f>IF($S35="","",IF($M35="",IF($K35="","ERR",IF(VLOOKUP($S35,ﾏｽﾀ!$E$8:$K$124,ﾏｽﾀ!$J$4-ﾏｽﾀ!$D$4,0)="E",1,$K35+1)),DAY($M35)))</f>
        <v/>
      </c>
      <c r="Q35" s="50" t="str">
        <f t="shared" si="13"/>
        <v/>
      </c>
      <c r="R35" s="50" t="str">
        <f t="shared" si="14"/>
        <v/>
      </c>
      <c r="S35" s="601" t="str">
        <f>IF($T35="","",INDEX(ﾏｽﾀ!$E$8:$E$124,MATCH(INDEX(ﾏｽﾀ!$N$8:$N$124,MATCH($T35,ﾏｽﾀ!$O$8:$O$124,0)),ﾏｽﾀ!$B$8:$B$124,0))&amp;"")</f>
        <v/>
      </c>
      <c r="T35" s="535"/>
      <c r="U35" s="601" t="str">
        <f>IF($T35="","",INDEX(ﾏｽﾀ!$G$8:$G$124,MATCH(INDEX(ﾏｽﾀ!$N$8:$N$124,MATCH($T35,ﾏｽﾀ!$O$8:$O$124,0)),ﾏｽﾀ!$B$8:$B$124,0))&amp;"")</f>
        <v/>
      </c>
      <c r="V35" s="257"/>
      <c r="W35" s="602" t="str">
        <f>IF($X35="","",INDEX(ﾏｽﾀ!$T$8:$T$16,MATCH($X35,ﾏｽﾀ!$U$8:$U$16,0))&amp;"")</f>
        <v/>
      </c>
      <c r="X35" s="248"/>
      <c r="Y35" s="260"/>
      <c r="Z35" s="260"/>
      <c r="AA35" s="256"/>
      <c r="AB35" s="492" t="str">
        <f>IF($W35="","",IF($AA35="","ERR",IF($AA35="1",IF($AE35="","ERR",VLOOKUP($AA35,ﾏｽﾀ!$W$8:$X$10,ﾏｽﾀ!$X$4,0)),IF($AA35="2",IF($AG35="","ERR",VLOOKUP($AA35,ﾏｽﾀ!$W$8:$X$10,ﾏｽﾀ!$X$4,0)),IF($AA35="3",IF($AI35="","ERR",VLOOKUP($AA35,ﾏｽﾀ!$W$8:$X$10,ﾏｽﾀ!$X$4,0)),"ERR")))))</f>
        <v/>
      </c>
      <c r="AC35" s="261"/>
      <c r="AD35" s="321" t="str">
        <f>IF($AA35="1",COUNTIF('納品書明細16-E'!$D$9:$D$206,$AN35)+COUNTIF('納品書明細F-15'!$D$9:$D$297,$AN35)-IF(ISNA(MATCH(CONCATENATE(VLOOKUP($AC35,$AB$1:$AC$4,2,FALSE),$S35,IF($U35="","00",$U35),$W35,2),$F$11:$F$160,0)),0,SUMIF($F$11:$F$160,CONCATENATE(VLOOKUP($AC35,$AB$1:$AC$4,2,FALSE),$S35,IF($U35="","00",$U35),$W35,2),$AF$11:$AF$160)),"")</f>
        <v/>
      </c>
      <c r="AE35" s="319" t="str">
        <f>IF($AA35="1",SUMIF('納品書明細16-E'!$C$9:$C$206,$AO35,'納品書明細16-E'!$Q$9:$Q$206)+SUMIF('納品書明細F-15'!$C$9:$C$297,$AO35,'納品書明細F-15'!$Q$9:$Q$297)-IF(ISNA(MATCH(CONCATENATE(VLOOKUP($AC35,$AB$1:$AC$4,2,FALSE),$S35,IF($U35="","00",$U35),$W35,2),$F$11:$F$160,0)),0,SUMIF($F$11:$F$160,CONCATENATE(VLOOKUP($AC35,$AB$1:$AC$4,2,FALSE),$S35,IF($U35="","00",$U35),$W35,2),$AG$11:$AG$160)),"")</f>
        <v/>
      </c>
      <c r="AF35" s="322"/>
      <c r="AG35" s="327"/>
      <c r="AH35" s="57"/>
      <c r="AI35" s="319" t="str">
        <f>IF($AH35="","",IF(ISNA(MATCH($AH35,'納品書明細16-E'!$H$9:$H$206,0)),IF(ISNA(MATCH($AH35,'納品書明細F-15'!$H$9:$H$297,0)),"ERR",SUMIF('納品書明細F-15'!$H$9:$H$297,$AH35,'納品書明細F-15'!$Q$9:$Q$297)),SUMIF('納品書明細16-E'!$H$9:$H$206,$AH35,'納品書明細16-E'!$Q$9:$Q$206)))</f>
        <v/>
      </c>
      <c r="AK35" s="328" t="str">
        <f t="shared" si="6"/>
        <v/>
      </c>
      <c r="AL35" s="269" t="str">
        <f t="shared" si="7"/>
        <v/>
      </c>
      <c r="AM35" s="270" t="str">
        <f t="shared" si="8"/>
        <v/>
      </c>
      <c r="AN35" s="244" t="str">
        <f t="shared" si="9"/>
        <v/>
      </c>
      <c r="AO35" s="244" t="str">
        <f t="shared" si="10"/>
        <v/>
      </c>
      <c r="AP35" s="271" t="str">
        <f t="shared" si="15"/>
        <v/>
      </c>
      <c r="AQ35" s="262"/>
      <c r="AR35" s="263"/>
      <c r="AS35" s="84"/>
      <c r="AT35" s="86"/>
      <c r="AU35" s="87"/>
    </row>
    <row r="36" spans="1:47" ht="15" customHeight="1">
      <c r="A36" s="281" t="str">
        <f t="shared" si="0"/>
        <v/>
      </c>
      <c r="B36" s="282" t="str">
        <f t="shared" si="12"/>
        <v/>
      </c>
      <c r="C36" s="618" t="str">
        <f>IF(AND($S36="",$U36="",$W36="",$AA36="",$AE36="",$AG36="",$AI36=""),"",MAX($C$10:$C35)+1)</f>
        <v/>
      </c>
      <c r="D36" s="619" t="str">
        <f t="shared" si="1"/>
        <v/>
      </c>
      <c r="E36" s="619" t="str">
        <f t="shared" si="2"/>
        <v/>
      </c>
      <c r="F36" s="619" t="str">
        <f t="shared" si="3"/>
        <v/>
      </c>
      <c r="G36" s="619" t="str">
        <f t="shared" si="4"/>
        <v/>
      </c>
      <c r="H36" s="620" t="str">
        <f t="shared" si="5"/>
        <v/>
      </c>
      <c r="I36" s="316" t="s">
        <v>245</v>
      </c>
      <c r="J36" s="254"/>
      <c r="K36" s="50" t="str">
        <f>IF($W36="","",IF($W36=1,IF(VLOOKUP($S36,ﾏｽﾀ!$E$8:$K$124,ﾏｽﾀ!$J$4-ﾏｽﾀ!$D$4,0)="E",DAY($J$4),ABS(VLOOKUP($S36,ﾏｽﾀ!$E$8:$K$124,ﾏｽﾀ!$J$4-ﾏｽﾀ!$D$4,0))),IF(VLOOKUP($S36,ﾏｽﾀ!$E$8:$K$124,ﾏｽﾀ!$K$4-ﾏｽﾀ!$D$4,0)="E",DAY($J$4),ABS(VLOOKUP($S36,ﾏｽﾀ!$E$8:$K$124,ﾏｽﾀ!$K$4-ﾏｽﾀ!$D$4,0)))))</f>
        <v/>
      </c>
      <c r="L36" s="255"/>
      <c r="M36" s="255"/>
      <c r="N36" s="255"/>
      <c r="O36" s="50" t="str">
        <f>IF($S36="","",IF($M36="",IF($J36="","ERR",IF(VLOOKUP($S36,ﾏｽﾀ!$E$8:$K$124,ﾏｽﾀ!$J$4-ﾏｽﾀ!$D$4,0)="E",MONTH($J36),IF(MONTH($J36)-1=0,12,MONTH($J36)-1))),MONTH($M36)))</f>
        <v/>
      </c>
      <c r="P36" s="50" t="str">
        <f>IF($S36="","",IF($M36="",IF($K36="","ERR",IF(VLOOKUP($S36,ﾏｽﾀ!$E$8:$K$124,ﾏｽﾀ!$J$4-ﾏｽﾀ!$D$4,0)="E",1,$K36+1)),DAY($M36)))</f>
        <v/>
      </c>
      <c r="Q36" s="50" t="str">
        <f t="shared" si="13"/>
        <v/>
      </c>
      <c r="R36" s="50" t="str">
        <f t="shared" si="14"/>
        <v/>
      </c>
      <c r="S36" s="601" t="str">
        <f>IF($T36="","",INDEX(ﾏｽﾀ!$E$8:$E$124,MATCH(INDEX(ﾏｽﾀ!$N$8:$N$124,MATCH($T36,ﾏｽﾀ!$O$8:$O$124,0)),ﾏｽﾀ!$B$8:$B$124,0))&amp;"")</f>
        <v/>
      </c>
      <c r="T36" s="535"/>
      <c r="U36" s="601" t="str">
        <f>IF($T36="","",INDEX(ﾏｽﾀ!$G$8:$G$124,MATCH(INDEX(ﾏｽﾀ!$N$8:$N$124,MATCH($T36,ﾏｽﾀ!$O$8:$O$124,0)),ﾏｽﾀ!$B$8:$B$124,0))&amp;"")</f>
        <v/>
      </c>
      <c r="V36" s="257"/>
      <c r="W36" s="602" t="str">
        <f>IF($X36="","",INDEX(ﾏｽﾀ!$T$8:$T$16,MATCH($X36,ﾏｽﾀ!$U$8:$U$16,0))&amp;"")</f>
        <v/>
      </c>
      <c r="X36" s="248"/>
      <c r="Y36" s="260"/>
      <c r="Z36" s="260"/>
      <c r="AA36" s="256"/>
      <c r="AB36" s="492" t="str">
        <f>IF($W36="","",IF($AA36="","ERR",IF($AA36="1",IF($AE36="","ERR",VLOOKUP($AA36,ﾏｽﾀ!$W$8:$X$10,ﾏｽﾀ!$X$4,0)),IF($AA36="2",IF($AG36="","ERR",VLOOKUP($AA36,ﾏｽﾀ!$W$8:$X$10,ﾏｽﾀ!$X$4,0)),IF($AA36="3",IF($AI36="","ERR",VLOOKUP($AA36,ﾏｽﾀ!$W$8:$X$10,ﾏｽﾀ!$X$4,0)),"ERR")))))</f>
        <v/>
      </c>
      <c r="AC36" s="261"/>
      <c r="AD36" s="321" t="str">
        <f>IF($AA36="1",COUNTIF('納品書明細16-E'!$D$9:$D$206,$AN36)+COUNTIF('納品書明細F-15'!$D$9:$D$297,$AN36)-IF(ISNA(MATCH(CONCATENATE(VLOOKUP($AC36,$AB$1:$AC$4,2,FALSE),$S36,IF($U36="","00",$U36),$W36,2),$F$11:$F$160,0)),0,SUMIF($F$11:$F$160,CONCATENATE(VLOOKUP($AC36,$AB$1:$AC$4,2,FALSE),$S36,IF($U36="","00",$U36),$W36,2),$AF$11:$AF$160)),"")</f>
        <v/>
      </c>
      <c r="AE36" s="319" t="str">
        <f>IF($AA36="1",SUMIF('納品書明細16-E'!$C$9:$C$206,$AO36,'納品書明細16-E'!$Q$9:$Q$206)+SUMIF('納品書明細F-15'!$C$9:$C$297,$AO36,'納品書明細F-15'!$Q$9:$Q$297)-IF(ISNA(MATCH(CONCATENATE(VLOOKUP($AC36,$AB$1:$AC$4,2,FALSE),$S36,IF($U36="","00",$U36),$W36,2),$F$11:$F$160,0)),0,SUMIF($F$11:$F$160,CONCATENATE(VLOOKUP($AC36,$AB$1:$AC$4,2,FALSE),$S36,IF($U36="","00",$U36),$W36,2),$AG$11:$AG$160)),"")</f>
        <v/>
      </c>
      <c r="AF36" s="322"/>
      <c r="AG36" s="327"/>
      <c r="AH36" s="57"/>
      <c r="AI36" s="319" t="str">
        <f>IF($AH36="","",IF(ISNA(MATCH($AH36,'納品書明細16-E'!$H$9:$H$206,0)),IF(ISNA(MATCH($AH36,'納品書明細F-15'!$H$9:$H$297,0)),"ERR",SUMIF('納品書明細F-15'!$H$9:$H$297,$AH36,'納品書明細F-15'!$Q$9:$Q$297)),SUMIF('納品書明細16-E'!$H$9:$H$206,$AH36,'納品書明細16-E'!$Q$9:$Q$206)))</f>
        <v/>
      </c>
      <c r="AK36" s="328" t="str">
        <f t="shared" si="6"/>
        <v/>
      </c>
      <c r="AL36" s="269" t="str">
        <f t="shared" si="7"/>
        <v/>
      </c>
      <c r="AM36" s="270" t="str">
        <f t="shared" si="8"/>
        <v/>
      </c>
      <c r="AN36" s="244" t="str">
        <f t="shared" si="9"/>
        <v/>
      </c>
      <c r="AO36" s="244" t="str">
        <f t="shared" si="10"/>
        <v/>
      </c>
      <c r="AP36" s="271" t="str">
        <f t="shared" si="15"/>
        <v/>
      </c>
      <c r="AQ36" s="262"/>
      <c r="AR36" s="263"/>
      <c r="AS36" s="84"/>
      <c r="AT36" s="86"/>
      <c r="AU36" s="87"/>
    </row>
    <row r="37" spans="1:47" ht="15" customHeight="1">
      <c r="A37" s="281" t="str">
        <f t="shared" si="0"/>
        <v/>
      </c>
      <c r="B37" s="282" t="str">
        <f t="shared" si="12"/>
        <v/>
      </c>
      <c r="C37" s="618" t="str">
        <f>IF(AND($S37="",$U37="",$W37="",$AA37="",$AE37="",$AG37="",$AI37=""),"",MAX($C$10:$C36)+1)</f>
        <v/>
      </c>
      <c r="D37" s="619" t="str">
        <f t="shared" si="1"/>
        <v/>
      </c>
      <c r="E37" s="619" t="str">
        <f t="shared" si="2"/>
        <v/>
      </c>
      <c r="F37" s="619" t="str">
        <f t="shared" si="3"/>
        <v/>
      </c>
      <c r="G37" s="619" t="str">
        <f t="shared" si="4"/>
        <v/>
      </c>
      <c r="H37" s="620" t="str">
        <f t="shared" si="5"/>
        <v/>
      </c>
      <c r="I37" s="316" t="s">
        <v>246</v>
      </c>
      <c r="J37" s="254"/>
      <c r="K37" s="50" t="str">
        <f>IF($W37="","",IF($W37=1,IF(VLOOKUP($S37,ﾏｽﾀ!$E$8:$K$124,ﾏｽﾀ!$J$4-ﾏｽﾀ!$D$4,0)="E",DAY($J$4),ABS(VLOOKUP($S37,ﾏｽﾀ!$E$8:$K$124,ﾏｽﾀ!$J$4-ﾏｽﾀ!$D$4,0))),IF(VLOOKUP($S37,ﾏｽﾀ!$E$8:$K$124,ﾏｽﾀ!$K$4-ﾏｽﾀ!$D$4,0)="E",DAY($J$4),ABS(VLOOKUP($S37,ﾏｽﾀ!$E$8:$K$124,ﾏｽﾀ!$K$4-ﾏｽﾀ!$D$4,0)))))</f>
        <v/>
      </c>
      <c r="L37" s="255"/>
      <c r="M37" s="255"/>
      <c r="N37" s="255"/>
      <c r="O37" s="50" t="str">
        <f>IF($S37="","",IF($M37="",IF($J37="","ERR",IF(VLOOKUP($S37,ﾏｽﾀ!$E$8:$K$124,ﾏｽﾀ!$J$4-ﾏｽﾀ!$D$4,0)="E",MONTH($J37),IF(MONTH($J37)-1=0,12,MONTH($J37)-1))),MONTH($M37)))</f>
        <v/>
      </c>
      <c r="P37" s="50" t="str">
        <f>IF($S37="","",IF($M37="",IF($K37="","ERR",IF(VLOOKUP($S37,ﾏｽﾀ!$E$8:$K$124,ﾏｽﾀ!$J$4-ﾏｽﾀ!$D$4,0)="E",1,$K37+1)),DAY($M37)))</f>
        <v/>
      </c>
      <c r="Q37" s="50" t="str">
        <f t="shared" si="13"/>
        <v/>
      </c>
      <c r="R37" s="50" t="str">
        <f t="shared" si="14"/>
        <v/>
      </c>
      <c r="S37" s="601" t="str">
        <f>IF($T37="","",INDEX(ﾏｽﾀ!$E$8:$E$124,MATCH(INDEX(ﾏｽﾀ!$N$8:$N$124,MATCH($T37,ﾏｽﾀ!$O$8:$O$124,0)),ﾏｽﾀ!$B$8:$B$124,0))&amp;"")</f>
        <v/>
      </c>
      <c r="T37" s="535"/>
      <c r="U37" s="601" t="str">
        <f>IF($T37="","",INDEX(ﾏｽﾀ!$G$8:$G$124,MATCH(INDEX(ﾏｽﾀ!$N$8:$N$124,MATCH($T37,ﾏｽﾀ!$O$8:$O$124,0)),ﾏｽﾀ!$B$8:$B$124,0))&amp;"")</f>
        <v/>
      </c>
      <c r="V37" s="257"/>
      <c r="W37" s="602" t="str">
        <f>IF($X37="","",INDEX(ﾏｽﾀ!$T$8:$T$16,MATCH($X37,ﾏｽﾀ!$U$8:$U$16,0))&amp;"")</f>
        <v/>
      </c>
      <c r="X37" s="248"/>
      <c r="Y37" s="260"/>
      <c r="Z37" s="260"/>
      <c r="AA37" s="256"/>
      <c r="AB37" s="492" t="str">
        <f>IF($W37="","",IF($AA37="","ERR",IF($AA37="1",IF($AE37="","ERR",VLOOKUP($AA37,ﾏｽﾀ!$W$8:$X$10,ﾏｽﾀ!$X$4,0)),IF($AA37="2",IF($AG37="","ERR",VLOOKUP($AA37,ﾏｽﾀ!$W$8:$X$10,ﾏｽﾀ!$X$4,0)),IF($AA37="3",IF($AI37="","ERR",VLOOKUP($AA37,ﾏｽﾀ!$W$8:$X$10,ﾏｽﾀ!$X$4,0)),"ERR")))))</f>
        <v/>
      </c>
      <c r="AC37" s="261"/>
      <c r="AD37" s="321" t="str">
        <f>IF($AA37="1",COUNTIF('納品書明細16-E'!$D$9:$D$206,$AN37)+COUNTIF('納品書明細F-15'!$D$9:$D$297,$AN37)-IF(ISNA(MATCH(CONCATENATE(VLOOKUP($AC37,$AB$1:$AC$4,2,FALSE),$S37,IF($U37="","00",$U37),$W37,2),$F$11:$F$160,0)),0,SUMIF($F$11:$F$160,CONCATENATE(VLOOKUP($AC37,$AB$1:$AC$4,2,FALSE),$S37,IF($U37="","00",$U37),$W37,2),$AF$11:$AF$160)),"")</f>
        <v/>
      </c>
      <c r="AE37" s="319" t="str">
        <f>IF($AA37="1",SUMIF('納品書明細16-E'!$C$9:$C$206,$AO37,'納品書明細16-E'!$Q$9:$Q$206)+SUMIF('納品書明細F-15'!$C$9:$C$297,$AO37,'納品書明細F-15'!$Q$9:$Q$297)-IF(ISNA(MATCH(CONCATENATE(VLOOKUP($AC37,$AB$1:$AC$4,2,FALSE),$S37,IF($U37="","00",$U37),$W37,2),$F$11:$F$160,0)),0,SUMIF($F$11:$F$160,CONCATENATE(VLOOKUP($AC37,$AB$1:$AC$4,2,FALSE),$S37,IF($U37="","00",$U37),$W37,2),$AG$11:$AG$160)),"")</f>
        <v/>
      </c>
      <c r="AF37" s="322"/>
      <c r="AG37" s="327"/>
      <c r="AH37" s="57"/>
      <c r="AI37" s="319" t="str">
        <f>IF($AH37="","",IF(ISNA(MATCH($AH37,'納品書明細16-E'!$H$9:$H$206,0)),IF(ISNA(MATCH($AH37,'納品書明細F-15'!$H$9:$H$297,0)),"ERR",SUMIF('納品書明細F-15'!$H$9:$H$297,$AH37,'納品書明細F-15'!$Q$9:$Q$297)),SUMIF('納品書明細16-E'!$H$9:$H$206,$AH37,'納品書明細16-E'!$Q$9:$Q$206)))</f>
        <v/>
      </c>
      <c r="AK37" s="328" t="str">
        <f t="shared" si="6"/>
        <v/>
      </c>
      <c r="AL37" s="269" t="str">
        <f t="shared" si="7"/>
        <v/>
      </c>
      <c r="AM37" s="270" t="str">
        <f t="shared" si="8"/>
        <v/>
      </c>
      <c r="AN37" s="244" t="str">
        <f t="shared" si="9"/>
        <v/>
      </c>
      <c r="AO37" s="244" t="str">
        <f t="shared" si="10"/>
        <v/>
      </c>
      <c r="AP37" s="271" t="str">
        <f t="shared" si="15"/>
        <v/>
      </c>
      <c r="AQ37" s="262"/>
      <c r="AR37" s="263"/>
      <c r="AS37" s="84"/>
      <c r="AT37" s="86"/>
      <c r="AU37" s="87"/>
    </row>
    <row r="38" spans="1:47" ht="15" customHeight="1">
      <c r="A38" s="281" t="str">
        <f t="shared" si="0"/>
        <v/>
      </c>
      <c r="B38" s="282" t="str">
        <f t="shared" si="12"/>
        <v/>
      </c>
      <c r="C38" s="618" t="str">
        <f>IF(AND($S38="",$U38="",$W38="",$AA38="",$AE38="",$AG38="",$AI38=""),"",MAX($C$10:$C37)+1)</f>
        <v/>
      </c>
      <c r="D38" s="619" t="str">
        <f t="shared" si="1"/>
        <v/>
      </c>
      <c r="E38" s="619" t="str">
        <f t="shared" si="2"/>
        <v/>
      </c>
      <c r="F38" s="619" t="str">
        <f t="shared" si="3"/>
        <v/>
      </c>
      <c r="G38" s="619" t="str">
        <f t="shared" si="4"/>
        <v/>
      </c>
      <c r="H38" s="620" t="str">
        <f t="shared" si="5"/>
        <v/>
      </c>
      <c r="I38" s="316" t="s">
        <v>247</v>
      </c>
      <c r="J38" s="254"/>
      <c r="K38" s="50" t="str">
        <f>IF($W38="","",IF($W38=1,IF(VLOOKUP($S38,ﾏｽﾀ!$E$8:$K$124,ﾏｽﾀ!$J$4-ﾏｽﾀ!$D$4,0)="E",DAY($J$4),ABS(VLOOKUP($S38,ﾏｽﾀ!$E$8:$K$124,ﾏｽﾀ!$J$4-ﾏｽﾀ!$D$4,0))),IF(VLOOKUP($S38,ﾏｽﾀ!$E$8:$K$124,ﾏｽﾀ!$K$4-ﾏｽﾀ!$D$4,0)="E",DAY($J$4),ABS(VLOOKUP($S38,ﾏｽﾀ!$E$8:$K$124,ﾏｽﾀ!$K$4-ﾏｽﾀ!$D$4,0)))))</f>
        <v/>
      </c>
      <c r="L38" s="255"/>
      <c r="M38" s="255"/>
      <c r="N38" s="255"/>
      <c r="O38" s="50" t="str">
        <f>IF($S38="","",IF($M38="",IF($J38="","ERR",IF(VLOOKUP($S38,ﾏｽﾀ!$E$8:$K$124,ﾏｽﾀ!$J$4-ﾏｽﾀ!$D$4,0)="E",MONTH($J38),IF(MONTH($J38)-1=0,12,MONTH($J38)-1))),MONTH($M38)))</f>
        <v/>
      </c>
      <c r="P38" s="50" t="str">
        <f>IF($S38="","",IF($M38="",IF($K38="","ERR",IF(VLOOKUP($S38,ﾏｽﾀ!$E$8:$K$124,ﾏｽﾀ!$J$4-ﾏｽﾀ!$D$4,0)="E",1,$K38+1)),DAY($M38)))</f>
        <v/>
      </c>
      <c r="Q38" s="50" t="str">
        <f t="shared" si="13"/>
        <v/>
      </c>
      <c r="R38" s="50" t="str">
        <f t="shared" si="14"/>
        <v/>
      </c>
      <c r="S38" s="601" t="str">
        <f>IF($T38="","",INDEX(ﾏｽﾀ!$E$8:$E$124,MATCH(INDEX(ﾏｽﾀ!$N$8:$N$124,MATCH($T38,ﾏｽﾀ!$O$8:$O$124,0)),ﾏｽﾀ!$B$8:$B$124,0))&amp;"")</f>
        <v/>
      </c>
      <c r="T38" s="535"/>
      <c r="U38" s="601" t="str">
        <f>IF($T38="","",INDEX(ﾏｽﾀ!$G$8:$G$124,MATCH(INDEX(ﾏｽﾀ!$N$8:$N$124,MATCH($T38,ﾏｽﾀ!$O$8:$O$124,0)),ﾏｽﾀ!$B$8:$B$124,0))&amp;"")</f>
        <v/>
      </c>
      <c r="V38" s="257"/>
      <c r="W38" s="602" t="str">
        <f>IF($X38="","",INDEX(ﾏｽﾀ!$T$8:$T$16,MATCH($X38,ﾏｽﾀ!$U$8:$U$16,0))&amp;"")</f>
        <v/>
      </c>
      <c r="X38" s="248"/>
      <c r="Y38" s="260"/>
      <c r="Z38" s="260"/>
      <c r="AA38" s="256"/>
      <c r="AB38" s="492" t="str">
        <f>IF($W38="","",IF($AA38="","ERR",IF($AA38="1",IF($AE38="","ERR",VLOOKUP($AA38,ﾏｽﾀ!$W$8:$X$10,ﾏｽﾀ!$X$4,0)),IF($AA38="2",IF($AG38="","ERR",VLOOKUP($AA38,ﾏｽﾀ!$W$8:$X$10,ﾏｽﾀ!$X$4,0)),IF($AA38="3",IF($AI38="","ERR",VLOOKUP($AA38,ﾏｽﾀ!$W$8:$X$10,ﾏｽﾀ!$X$4,0)),"ERR")))))</f>
        <v/>
      </c>
      <c r="AC38" s="261"/>
      <c r="AD38" s="321" t="str">
        <f>IF($AA38="1",COUNTIF('納品書明細16-E'!$D$9:$D$206,$AN38)+COUNTIF('納品書明細F-15'!$D$9:$D$297,$AN38)-IF(ISNA(MATCH(CONCATENATE(VLOOKUP($AC38,$AB$1:$AC$4,2,FALSE),$S38,IF($U38="","00",$U38),$W38,2),$F$11:$F$160,0)),0,SUMIF($F$11:$F$160,CONCATENATE(VLOOKUP($AC38,$AB$1:$AC$4,2,FALSE),$S38,IF($U38="","00",$U38),$W38,2),$AF$11:$AF$160)),"")</f>
        <v/>
      </c>
      <c r="AE38" s="319" t="str">
        <f>IF($AA38="1",SUMIF('納品書明細16-E'!$C$9:$C$206,$AO38,'納品書明細16-E'!$Q$9:$Q$206)+SUMIF('納品書明細F-15'!$C$9:$C$297,$AO38,'納品書明細F-15'!$Q$9:$Q$297)-IF(ISNA(MATCH(CONCATENATE(VLOOKUP($AC38,$AB$1:$AC$4,2,FALSE),$S38,IF($U38="","00",$U38),$W38,2),$F$11:$F$160,0)),0,SUMIF($F$11:$F$160,CONCATENATE(VLOOKUP($AC38,$AB$1:$AC$4,2,FALSE),$S38,IF($U38="","00",$U38),$W38,2),$AG$11:$AG$160)),"")</f>
        <v/>
      </c>
      <c r="AF38" s="322"/>
      <c r="AG38" s="327"/>
      <c r="AH38" s="57"/>
      <c r="AI38" s="319" t="str">
        <f>IF($AH38="","",IF(ISNA(MATCH($AH38,'納品書明細16-E'!$H$9:$H$206,0)),IF(ISNA(MATCH($AH38,'納品書明細F-15'!$H$9:$H$297,0)),"ERR",SUMIF('納品書明細F-15'!$H$9:$H$297,$AH38,'納品書明細F-15'!$Q$9:$Q$297)),SUMIF('納品書明細16-E'!$H$9:$H$206,$AH38,'納品書明細16-E'!$Q$9:$Q$206)))</f>
        <v/>
      </c>
      <c r="AK38" s="328" t="str">
        <f t="shared" si="6"/>
        <v/>
      </c>
      <c r="AL38" s="269" t="str">
        <f t="shared" si="7"/>
        <v/>
      </c>
      <c r="AM38" s="270" t="str">
        <f t="shared" si="8"/>
        <v/>
      </c>
      <c r="AN38" s="244" t="str">
        <f t="shared" si="9"/>
        <v/>
      </c>
      <c r="AO38" s="244" t="str">
        <f t="shared" si="10"/>
        <v/>
      </c>
      <c r="AP38" s="271" t="str">
        <f t="shared" si="15"/>
        <v/>
      </c>
      <c r="AQ38" s="262"/>
      <c r="AR38" s="263"/>
      <c r="AS38" s="84"/>
      <c r="AT38" s="86"/>
      <c r="AU38" s="87"/>
    </row>
    <row r="39" spans="1:47" ht="15" customHeight="1">
      <c r="A39" s="281" t="str">
        <f t="shared" si="0"/>
        <v/>
      </c>
      <c r="B39" s="282" t="str">
        <f t="shared" si="12"/>
        <v/>
      </c>
      <c r="C39" s="618" t="str">
        <f>IF(AND($S39="",$U39="",$W39="",$AA39="",$AE39="",$AG39="",$AI39=""),"",MAX($C$10:$C38)+1)</f>
        <v/>
      </c>
      <c r="D39" s="619" t="str">
        <f t="shared" si="1"/>
        <v/>
      </c>
      <c r="E39" s="619" t="str">
        <f t="shared" si="2"/>
        <v/>
      </c>
      <c r="F39" s="619" t="str">
        <f t="shared" si="3"/>
        <v/>
      </c>
      <c r="G39" s="619" t="str">
        <f t="shared" si="4"/>
        <v/>
      </c>
      <c r="H39" s="620" t="str">
        <f t="shared" si="5"/>
        <v/>
      </c>
      <c r="I39" s="316" t="s">
        <v>248</v>
      </c>
      <c r="J39" s="254"/>
      <c r="K39" s="50" t="str">
        <f>IF($W39="","",IF($W39=1,IF(VLOOKUP($S39,ﾏｽﾀ!$E$8:$K$124,ﾏｽﾀ!$J$4-ﾏｽﾀ!$D$4,0)="E",DAY($J$4),ABS(VLOOKUP($S39,ﾏｽﾀ!$E$8:$K$124,ﾏｽﾀ!$J$4-ﾏｽﾀ!$D$4,0))),IF(VLOOKUP($S39,ﾏｽﾀ!$E$8:$K$124,ﾏｽﾀ!$K$4-ﾏｽﾀ!$D$4,0)="E",DAY($J$4),ABS(VLOOKUP($S39,ﾏｽﾀ!$E$8:$K$124,ﾏｽﾀ!$K$4-ﾏｽﾀ!$D$4,0)))))</f>
        <v/>
      </c>
      <c r="L39" s="255"/>
      <c r="M39" s="255"/>
      <c r="N39" s="255"/>
      <c r="O39" s="50" t="str">
        <f>IF($S39="","",IF($M39="",IF($J39="","ERR",IF(VLOOKUP($S39,ﾏｽﾀ!$E$8:$K$124,ﾏｽﾀ!$J$4-ﾏｽﾀ!$D$4,0)="E",MONTH($J39),IF(MONTH($J39)-1=0,12,MONTH($J39)-1))),MONTH($M39)))</f>
        <v/>
      </c>
      <c r="P39" s="50" t="str">
        <f>IF($S39="","",IF($M39="",IF($K39="","ERR",IF(VLOOKUP($S39,ﾏｽﾀ!$E$8:$K$124,ﾏｽﾀ!$J$4-ﾏｽﾀ!$D$4,0)="E",1,$K39+1)),DAY($M39)))</f>
        <v/>
      </c>
      <c r="Q39" s="50" t="str">
        <f t="shared" si="13"/>
        <v/>
      </c>
      <c r="R39" s="50" t="str">
        <f t="shared" si="14"/>
        <v/>
      </c>
      <c r="S39" s="601" t="str">
        <f>IF($T39="","",INDEX(ﾏｽﾀ!$E$8:$E$124,MATCH(INDEX(ﾏｽﾀ!$N$8:$N$124,MATCH($T39,ﾏｽﾀ!$O$8:$O$124,0)),ﾏｽﾀ!$B$8:$B$124,0))&amp;"")</f>
        <v/>
      </c>
      <c r="T39" s="535"/>
      <c r="U39" s="601" t="str">
        <f>IF($T39="","",INDEX(ﾏｽﾀ!$G$8:$G$124,MATCH(INDEX(ﾏｽﾀ!$N$8:$N$124,MATCH($T39,ﾏｽﾀ!$O$8:$O$124,0)),ﾏｽﾀ!$B$8:$B$124,0))&amp;"")</f>
        <v/>
      </c>
      <c r="V39" s="257"/>
      <c r="W39" s="602" t="str">
        <f>IF($X39="","",INDEX(ﾏｽﾀ!$T$8:$T$16,MATCH($X39,ﾏｽﾀ!$U$8:$U$16,0))&amp;"")</f>
        <v/>
      </c>
      <c r="X39" s="248"/>
      <c r="Y39" s="260"/>
      <c r="Z39" s="260"/>
      <c r="AA39" s="256"/>
      <c r="AB39" s="492" t="str">
        <f>IF($W39="","",IF($AA39="","ERR",IF($AA39="1",IF($AE39="","ERR",VLOOKUP($AA39,ﾏｽﾀ!$W$8:$X$10,ﾏｽﾀ!$X$4,0)),IF($AA39="2",IF($AG39="","ERR",VLOOKUP($AA39,ﾏｽﾀ!$W$8:$X$10,ﾏｽﾀ!$X$4,0)),IF($AA39="3",IF($AI39="","ERR",VLOOKUP($AA39,ﾏｽﾀ!$W$8:$X$10,ﾏｽﾀ!$X$4,0)),"ERR")))))</f>
        <v/>
      </c>
      <c r="AC39" s="261"/>
      <c r="AD39" s="321" t="str">
        <f>IF($AA39="1",COUNTIF('納品書明細16-E'!$D$9:$D$206,$AN39)+COUNTIF('納品書明細F-15'!$D$9:$D$297,$AN39)-IF(ISNA(MATCH(CONCATENATE(VLOOKUP($AC39,$AB$1:$AC$4,2,FALSE),$S39,IF($U39="","00",$U39),$W39,2),$F$11:$F$160,0)),0,SUMIF($F$11:$F$160,CONCATENATE(VLOOKUP($AC39,$AB$1:$AC$4,2,FALSE),$S39,IF($U39="","00",$U39),$W39,2),$AF$11:$AF$160)),"")</f>
        <v/>
      </c>
      <c r="AE39" s="319" t="str">
        <f>IF($AA39="1",SUMIF('納品書明細16-E'!$C$9:$C$206,$AO39,'納品書明細16-E'!$Q$9:$Q$206)+SUMIF('納品書明細F-15'!$C$9:$C$297,$AO39,'納品書明細F-15'!$Q$9:$Q$297)-IF(ISNA(MATCH(CONCATENATE(VLOOKUP($AC39,$AB$1:$AC$4,2,FALSE),$S39,IF($U39="","00",$U39),$W39,2),$F$11:$F$160,0)),0,SUMIF($F$11:$F$160,CONCATENATE(VLOOKUP($AC39,$AB$1:$AC$4,2,FALSE),$S39,IF($U39="","00",$U39),$W39,2),$AG$11:$AG$160)),"")</f>
        <v/>
      </c>
      <c r="AF39" s="322"/>
      <c r="AG39" s="327"/>
      <c r="AH39" s="57"/>
      <c r="AI39" s="319" t="str">
        <f>IF($AH39="","",IF(ISNA(MATCH($AH39,'納品書明細16-E'!$H$9:$H$206,0)),IF(ISNA(MATCH($AH39,'納品書明細F-15'!$H$9:$H$297,0)),"ERR",SUMIF('納品書明細F-15'!$H$9:$H$297,$AH39,'納品書明細F-15'!$Q$9:$Q$297)),SUMIF('納品書明細16-E'!$H$9:$H$206,$AH39,'納品書明細16-E'!$Q$9:$Q$206)))</f>
        <v/>
      </c>
      <c r="AK39" s="328" t="str">
        <f t="shared" si="6"/>
        <v/>
      </c>
      <c r="AL39" s="269" t="str">
        <f t="shared" si="7"/>
        <v/>
      </c>
      <c r="AM39" s="270" t="str">
        <f t="shared" si="8"/>
        <v/>
      </c>
      <c r="AN39" s="244" t="str">
        <f t="shared" si="9"/>
        <v/>
      </c>
      <c r="AO39" s="244" t="str">
        <f t="shared" si="10"/>
        <v/>
      </c>
      <c r="AP39" s="271" t="str">
        <f t="shared" si="15"/>
        <v/>
      </c>
      <c r="AQ39" s="262"/>
      <c r="AR39" s="263"/>
      <c r="AS39" s="84"/>
      <c r="AT39" s="86"/>
      <c r="AU39" s="87"/>
    </row>
    <row r="40" spans="1:47" ht="15" customHeight="1">
      <c r="A40" s="281" t="str">
        <f t="shared" si="0"/>
        <v/>
      </c>
      <c r="B40" s="282" t="str">
        <f t="shared" si="12"/>
        <v/>
      </c>
      <c r="C40" s="618" t="str">
        <f>IF(AND($S40="",$U40="",$W40="",$AA40="",$AE40="",$AG40="",$AI40=""),"",MAX($C$10:$C39)+1)</f>
        <v/>
      </c>
      <c r="D40" s="619" t="str">
        <f t="shared" si="1"/>
        <v/>
      </c>
      <c r="E40" s="619" t="str">
        <f t="shared" si="2"/>
        <v/>
      </c>
      <c r="F40" s="619" t="str">
        <f t="shared" si="3"/>
        <v/>
      </c>
      <c r="G40" s="619" t="str">
        <f t="shared" si="4"/>
        <v/>
      </c>
      <c r="H40" s="620" t="str">
        <f t="shared" si="5"/>
        <v/>
      </c>
      <c r="I40" s="316" t="s">
        <v>249</v>
      </c>
      <c r="J40" s="254"/>
      <c r="K40" s="50" t="str">
        <f>IF($W40="","",IF($W40=1,IF(VLOOKUP($S40,ﾏｽﾀ!$E$8:$K$124,ﾏｽﾀ!$J$4-ﾏｽﾀ!$D$4,0)="E",DAY($J$4),ABS(VLOOKUP($S40,ﾏｽﾀ!$E$8:$K$124,ﾏｽﾀ!$J$4-ﾏｽﾀ!$D$4,0))),IF(VLOOKUP($S40,ﾏｽﾀ!$E$8:$K$124,ﾏｽﾀ!$K$4-ﾏｽﾀ!$D$4,0)="E",DAY($J$4),ABS(VLOOKUP($S40,ﾏｽﾀ!$E$8:$K$124,ﾏｽﾀ!$K$4-ﾏｽﾀ!$D$4,0)))))</f>
        <v/>
      </c>
      <c r="L40" s="255"/>
      <c r="M40" s="255"/>
      <c r="N40" s="255"/>
      <c r="O40" s="50" t="str">
        <f>IF($S40="","",IF($M40="",IF($J40="","ERR",IF(VLOOKUP($S40,ﾏｽﾀ!$E$8:$K$124,ﾏｽﾀ!$J$4-ﾏｽﾀ!$D$4,0)="E",MONTH($J40),IF(MONTH($J40)-1=0,12,MONTH($J40)-1))),MONTH($M40)))</f>
        <v/>
      </c>
      <c r="P40" s="50" t="str">
        <f>IF($S40="","",IF($M40="",IF($K40="","ERR",IF(VLOOKUP($S40,ﾏｽﾀ!$E$8:$K$124,ﾏｽﾀ!$J$4-ﾏｽﾀ!$D$4,0)="E",1,$K40+1)),DAY($M40)))</f>
        <v/>
      </c>
      <c r="Q40" s="50" t="str">
        <f t="shared" si="13"/>
        <v/>
      </c>
      <c r="R40" s="50" t="str">
        <f t="shared" si="14"/>
        <v/>
      </c>
      <c r="S40" s="601" t="str">
        <f>IF($T40="","",INDEX(ﾏｽﾀ!$E$8:$E$124,MATCH(INDEX(ﾏｽﾀ!$N$8:$N$124,MATCH($T40,ﾏｽﾀ!$O$8:$O$124,0)),ﾏｽﾀ!$B$8:$B$124,0))&amp;"")</f>
        <v/>
      </c>
      <c r="T40" s="535"/>
      <c r="U40" s="601" t="str">
        <f>IF($T40="","",INDEX(ﾏｽﾀ!$G$8:$G$124,MATCH(INDEX(ﾏｽﾀ!$N$8:$N$124,MATCH($T40,ﾏｽﾀ!$O$8:$O$124,0)),ﾏｽﾀ!$B$8:$B$124,0))&amp;"")</f>
        <v/>
      </c>
      <c r="V40" s="257"/>
      <c r="W40" s="602" t="str">
        <f>IF($X40="","",INDEX(ﾏｽﾀ!$T$8:$T$16,MATCH($X40,ﾏｽﾀ!$U$8:$U$16,0))&amp;"")</f>
        <v/>
      </c>
      <c r="X40" s="248"/>
      <c r="Y40" s="260"/>
      <c r="Z40" s="260"/>
      <c r="AA40" s="256"/>
      <c r="AB40" s="492" t="str">
        <f>IF($W40="","",IF($AA40="","ERR",IF($AA40="1",IF($AE40="","ERR",VLOOKUP($AA40,ﾏｽﾀ!$W$8:$X$10,ﾏｽﾀ!$X$4,0)),IF($AA40="2",IF($AG40="","ERR",VLOOKUP($AA40,ﾏｽﾀ!$W$8:$X$10,ﾏｽﾀ!$X$4,0)),IF($AA40="3",IF($AI40="","ERR",VLOOKUP($AA40,ﾏｽﾀ!$W$8:$X$10,ﾏｽﾀ!$X$4,0)),"ERR")))))</f>
        <v/>
      </c>
      <c r="AC40" s="261"/>
      <c r="AD40" s="321" t="str">
        <f>IF($AA40="1",COUNTIF('納品書明細16-E'!$D$9:$D$206,$AN40)+COUNTIF('納品書明細F-15'!$D$9:$D$297,$AN40)-IF(ISNA(MATCH(CONCATENATE(VLOOKUP($AC40,$AB$1:$AC$4,2,FALSE),$S40,IF($U40="","00",$U40),$W40,2),$F$11:$F$160,0)),0,SUMIF($F$11:$F$160,CONCATENATE(VLOOKUP($AC40,$AB$1:$AC$4,2,FALSE),$S40,IF($U40="","00",$U40),$W40,2),$AF$11:$AF$160)),"")</f>
        <v/>
      </c>
      <c r="AE40" s="319" t="str">
        <f>IF($AA40="1",SUMIF('納品書明細16-E'!$C$9:$C$206,$AO40,'納品書明細16-E'!$Q$9:$Q$206)+SUMIF('納品書明細F-15'!$C$9:$C$297,$AO40,'納品書明細F-15'!$Q$9:$Q$297)-IF(ISNA(MATCH(CONCATENATE(VLOOKUP($AC40,$AB$1:$AC$4,2,FALSE),$S40,IF($U40="","00",$U40),$W40,2),$F$11:$F$160,0)),0,SUMIF($F$11:$F$160,CONCATENATE(VLOOKUP($AC40,$AB$1:$AC$4,2,FALSE),$S40,IF($U40="","00",$U40),$W40,2),$AG$11:$AG$160)),"")</f>
        <v/>
      </c>
      <c r="AF40" s="322"/>
      <c r="AG40" s="327"/>
      <c r="AH40" s="57"/>
      <c r="AI40" s="319" t="str">
        <f>IF($AH40="","",IF(ISNA(MATCH($AH40,'納品書明細16-E'!$H$9:$H$206,0)),IF(ISNA(MATCH($AH40,'納品書明細F-15'!$H$9:$H$297,0)),"ERR",SUMIF('納品書明細F-15'!$H$9:$H$297,$AH40,'納品書明細F-15'!$Q$9:$Q$297)),SUMIF('納品書明細16-E'!$H$9:$H$206,$AH40,'納品書明細16-E'!$Q$9:$Q$206)))</f>
        <v/>
      </c>
      <c r="AK40" s="328" t="str">
        <f t="shared" si="6"/>
        <v/>
      </c>
      <c r="AL40" s="269" t="str">
        <f t="shared" si="7"/>
        <v/>
      </c>
      <c r="AM40" s="270" t="str">
        <f t="shared" si="8"/>
        <v/>
      </c>
      <c r="AN40" s="244" t="str">
        <f t="shared" si="9"/>
        <v/>
      </c>
      <c r="AO40" s="244" t="str">
        <f t="shared" si="10"/>
        <v/>
      </c>
      <c r="AP40" s="271" t="str">
        <f t="shared" si="15"/>
        <v/>
      </c>
      <c r="AQ40" s="262"/>
      <c r="AR40" s="263"/>
      <c r="AS40" s="84"/>
      <c r="AT40" s="86"/>
      <c r="AU40" s="87"/>
    </row>
    <row r="41" spans="1:47" ht="15" customHeight="1">
      <c r="A41" s="281" t="str">
        <f t="shared" si="0"/>
        <v/>
      </c>
      <c r="B41" s="282" t="str">
        <f t="shared" si="12"/>
        <v/>
      </c>
      <c r="C41" s="618" t="str">
        <f>IF(AND($S41="",$U41="",$W41="",$AA41="",$AE41="",$AG41="",$AI41=""),"",MAX($C$10:$C40)+1)</f>
        <v/>
      </c>
      <c r="D41" s="619" t="str">
        <f t="shared" si="1"/>
        <v/>
      </c>
      <c r="E41" s="619" t="str">
        <f t="shared" si="2"/>
        <v/>
      </c>
      <c r="F41" s="619" t="str">
        <f t="shared" si="3"/>
        <v/>
      </c>
      <c r="G41" s="619" t="str">
        <f t="shared" si="4"/>
        <v/>
      </c>
      <c r="H41" s="620" t="str">
        <f t="shared" si="5"/>
        <v/>
      </c>
      <c r="I41" s="316" t="s">
        <v>250</v>
      </c>
      <c r="J41" s="254"/>
      <c r="K41" s="50" t="str">
        <f>IF($W41="","",IF($W41=1,IF(VLOOKUP($S41,ﾏｽﾀ!$E$8:$K$124,ﾏｽﾀ!$J$4-ﾏｽﾀ!$D$4,0)="E",DAY($J$4),ABS(VLOOKUP($S41,ﾏｽﾀ!$E$8:$K$124,ﾏｽﾀ!$J$4-ﾏｽﾀ!$D$4,0))),IF(VLOOKUP($S41,ﾏｽﾀ!$E$8:$K$124,ﾏｽﾀ!$K$4-ﾏｽﾀ!$D$4,0)="E",DAY($J$4),ABS(VLOOKUP($S41,ﾏｽﾀ!$E$8:$K$124,ﾏｽﾀ!$K$4-ﾏｽﾀ!$D$4,0)))))</f>
        <v/>
      </c>
      <c r="L41" s="255"/>
      <c r="M41" s="255"/>
      <c r="N41" s="255"/>
      <c r="O41" s="50" t="str">
        <f>IF($S41="","",IF($M41="",IF($J41="","ERR",IF(VLOOKUP($S41,ﾏｽﾀ!$E$8:$K$124,ﾏｽﾀ!$J$4-ﾏｽﾀ!$D$4,0)="E",MONTH($J41),IF(MONTH($J41)-1=0,12,MONTH($J41)-1))),MONTH($M41)))</f>
        <v/>
      </c>
      <c r="P41" s="50" t="str">
        <f>IF($S41="","",IF($M41="",IF($K41="","ERR",IF(VLOOKUP($S41,ﾏｽﾀ!$E$8:$K$124,ﾏｽﾀ!$J$4-ﾏｽﾀ!$D$4,0)="E",1,$K41+1)),DAY($M41)))</f>
        <v/>
      </c>
      <c r="Q41" s="50" t="str">
        <f t="shared" si="13"/>
        <v/>
      </c>
      <c r="R41" s="50" t="str">
        <f t="shared" si="14"/>
        <v/>
      </c>
      <c r="S41" s="601" t="str">
        <f>IF($T41="","",INDEX(ﾏｽﾀ!$E$8:$E$124,MATCH(INDEX(ﾏｽﾀ!$N$8:$N$124,MATCH($T41,ﾏｽﾀ!$O$8:$O$124,0)),ﾏｽﾀ!$B$8:$B$124,0))&amp;"")</f>
        <v/>
      </c>
      <c r="T41" s="535"/>
      <c r="U41" s="601" t="str">
        <f>IF($T41="","",INDEX(ﾏｽﾀ!$G$8:$G$124,MATCH(INDEX(ﾏｽﾀ!$N$8:$N$124,MATCH($T41,ﾏｽﾀ!$O$8:$O$124,0)),ﾏｽﾀ!$B$8:$B$124,0))&amp;"")</f>
        <v/>
      </c>
      <c r="V41" s="257"/>
      <c r="W41" s="602" t="str">
        <f>IF($X41="","",INDEX(ﾏｽﾀ!$T$8:$T$16,MATCH($X41,ﾏｽﾀ!$U$8:$U$16,0))&amp;"")</f>
        <v/>
      </c>
      <c r="X41" s="248"/>
      <c r="Y41" s="260"/>
      <c r="Z41" s="260"/>
      <c r="AA41" s="256"/>
      <c r="AB41" s="492" t="str">
        <f>IF($W41="","",IF($AA41="","ERR",IF($AA41="1",IF($AE41="","ERR",VLOOKUP($AA41,ﾏｽﾀ!$W$8:$X$10,ﾏｽﾀ!$X$4,0)),IF($AA41="2",IF($AG41="","ERR",VLOOKUP($AA41,ﾏｽﾀ!$W$8:$X$10,ﾏｽﾀ!$X$4,0)),IF($AA41="3",IF($AI41="","ERR",VLOOKUP($AA41,ﾏｽﾀ!$W$8:$X$10,ﾏｽﾀ!$X$4,0)),"ERR")))))</f>
        <v/>
      </c>
      <c r="AC41" s="261"/>
      <c r="AD41" s="321" t="str">
        <f>IF($AA41="1",COUNTIF('納品書明細16-E'!$D$9:$D$206,$AN41)+COUNTIF('納品書明細F-15'!$D$9:$D$297,$AN41)-IF(ISNA(MATCH(CONCATENATE(VLOOKUP($AC41,$AB$1:$AC$4,2,FALSE),$S41,IF($U41="","00",$U41),$W41,2),$F$11:$F$160,0)),0,SUMIF($F$11:$F$160,CONCATENATE(VLOOKUP($AC41,$AB$1:$AC$4,2,FALSE),$S41,IF($U41="","00",$U41),$W41,2),$AF$11:$AF$160)),"")</f>
        <v/>
      </c>
      <c r="AE41" s="319" t="str">
        <f>IF($AA41="1",SUMIF('納品書明細16-E'!$C$9:$C$206,$AO41,'納品書明細16-E'!$Q$9:$Q$206)+SUMIF('納品書明細F-15'!$C$9:$C$297,$AO41,'納品書明細F-15'!$Q$9:$Q$297)-IF(ISNA(MATCH(CONCATENATE(VLOOKUP($AC41,$AB$1:$AC$4,2,FALSE),$S41,IF($U41="","00",$U41),$W41,2),$F$11:$F$160,0)),0,SUMIF($F$11:$F$160,CONCATENATE(VLOOKUP($AC41,$AB$1:$AC$4,2,FALSE),$S41,IF($U41="","00",$U41),$W41,2),$AG$11:$AG$160)),"")</f>
        <v/>
      </c>
      <c r="AF41" s="322"/>
      <c r="AG41" s="327"/>
      <c r="AH41" s="57"/>
      <c r="AI41" s="319" t="str">
        <f>IF($AH41="","",IF(ISNA(MATCH($AH41,'納品書明細16-E'!$H$9:$H$206,0)),IF(ISNA(MATCH($AH41,'納品書明細F-15'!$H$9:$H$297,0)),"ERR",SUMIF('納品書明細F-15'!$H$9:$H$297,$AH41,'納品書明細F-15'!$Q$9:$Q$297)),SUMIF('納品書明細16-E'!$H$9:$H$206,$AH41,'納品書明細16-E'!$Q$9:$Q$206)))</f>
        <v/>
      </c>
      <c r="AK41" s="328" t="str">
        <f t="shared" si="6"/>
        <v/>
      </c>
      <c r="AL41" s="269" t="str">
        <f t="shared" si="7"/>
        <v/>
      </c>
      <c r="AM41" s="270" t="str">
        <f t="shared" si="8"/>
        <v/>
      </c>
      <c r="AN41" s="244" t="str">
        <f t="shared" si="9"/>
        <v/>
      </c>
      <c r="AO41" s="244" t="str">
        <f t="shared" si="10"/>
        <v/>
      </c>
      <c r="AP41" s="271" t="str">
        <f t="shared" si="15"/>
        <v/>
      </c>
      <c r="AQ41" s="262"/>
      <c r="AR41" s="263"/>
      <c r="AS41" s="84"/>
      <c r="AT41" s="86"/>
      <c r="AU41" s="87"/>
    </row>
    <row r="42" spans="1:47" ht="15" customHeight="1">
      <c r="A42" s="281" t="str">
        <f t="shared" si="0"/>
        <v/>
      </c>
      <c r="B42" s="282" t="str">
        <f t="shared" si="12"/>
        <v/>
      </c>
      <c r="C42" s="618" t="str">
        <f>IF(AND($S42="",$U42="",$W42="",$AA42="",$AE42="",$AG42="",$AI42=""),"",MAX($C$10:$C41)+1)</f>
        <v/>
      </c>
      <c r="D42" s="619" t="str">
        <f t="shared" si="1"/>
        <v/>
      </c>
      <c r="E42" s="619" t="str">
        <f t="shared" si="2"/>
        <v/>
      </c>
      <c r="F42" s="619" t="str">
        <f t="shared" si="3"/>
        <v/>
      </c>
      <c r="G42" s="619" t="str">
        <f t="shared" si="4"/>
        <v/>
      </c>
      <c r="H42" s="620" t="str">
        <f t="shared" si="5"/>
        <v/>
      </c>
      <c r="I42" s="316" t="s">
        <v>251</v>
      </c>
      <c r="J42" s="254"/>
      <c r="K42" s="50" t="str">
        <f>IF($W42="","",IF($W42=1,IF(VLOOKUP($S42,ﾏｽﾀ!$E$8:$K$124,ﾏｽﾀ!$J$4-ﾏｽﾀ!$D$4,0)="E",DAY($J$4),ABS(VLOOKUP($S42,ﾏｽﾀ!$E$8:$K$124,ﾏｽﾀ!$J$4-ﾏｽﾀ!$D$4,0))),IF(VLOOKUP($S42,ﾏｽﾀ!$E$8:$K$124,ﾏｽﾀ!$K$4-ﾏｽﾀ!$D$4,0)="E",DAY($J$4),ABS(VLOOKUP($S42,ﾏｽﾀ!$E$8:$K$124,ﾏｽﾀ!$K$4-ﾏｽﾀ!$D$4,0)))))</f>
        <v/>
      </c>
      <c r="L42" s="255"/>
      <c r="M42" s="255"/>
      <c r="N42" s="255"/>
      <c r="O42" s="50" t="str">
        <f>IF($S42="","",IF($M42="",IF($J42="","ERR",IF(VLOOKUP($S42,ﾏｽﾀ!$E$8:$K$124,ﾏｽﾀ!$J$4-ﾏｽﾀ!$D$4,0)="E",MONTH($J42),IF(MONTH($J42)-1=0,12,MONTH($J42)-1))),MONTH($M42)))</f>
        <v/>
      </c>
      <c r="P42" s="50" t="str">
        <f>IF($S42="","",IF($M42="",IF($K42="","ERR",IF(VLOOKUP($S42,ﾏｽﾀ!$E$8:$K$124,ﾏｽﾀ!$J$4-ﾏｽﾀ!$D$4,0)="E",1,$K42+1)),DAY($M42)))</f>
        <v/>
      </c>
      <c r="Q42" s="50" t="str">
        <f t="shared" si="13"/>
        <v/>
      </c>
      <c r="R42" s="50" t="str">
        <f t="shared" si="14"/>
        <v/>
      </c>
      <c r="S42" s="601" t="str">
        <f>IF($T42="","",INDEX(ﾏｽﾀ!$E$8:$E$124,MATCH(INDEX(ﾏｽﾀ!$N$8:$N$124,MATCH($T42,ﾏｽﾀ!$O$8:$O$124,0)),ﾏｽﾀ!$B$8:$B$124,0))&amp;"")</f>
        <v/>
      </c>
      <c r="T42" s="535"/>
      <c r="U42" s="601" t="str">
        <f>IF($T42="","",INDEX(ﾏｽﾀ!$G$8:$G$124,MATCH(INDEX(ﾏｽﾀ!$N$8:$N$124,MATCH($T42,ﾏｽﾀ!$O$8:$O$124,0)),ﾏｽﾀ!$B$8:$B$124,0))&amp;"")</f>
        <v/>
      </c>
      <c r="V42" s="257"/>
      <c r="W42" s="602" t="str">
        <f>IF($X42="","",INDEX(ﾏｽﾀ!$T$8:$T$16,MATCH($X42,ﾏｽﾀ!$U$8:$U$16,0))&amp;"")</f>
        <v/>
      </c>
      <c r="X42" s="248"/>
      <c r="Y42" s="260"/>
      <c r="Z42" s="260"/>
      <c r="AA42" s="256"/>
      <c r="AB42" s="492" t="str">
        <f>IF($W42="","",IF($AA42="","ERR",IF($AA42="1",IF($AE42="","ERR",VLOOKUP($AA42,ﾏｽﾀ!$W$8:$X$10,ﾏｽﾀ!$X$4,0)),IF($AA42="2",IF($AG42="","ERR",VLOOKUP($AA42,ﾏｽﾀ!$W$8:$X$10,ﾏｽﾀ!$X$4,0)),IF($AA42="3",IF($AI42="","ERR",VLOOKUP($AA42,ﾏｽﾀ!$W$8:$X$10,ﾏｽﾀ!$X$4,0)),"ERR")))))</f>
        <v/>
      </c>
      <c r="AC42" s="261"/>
      <c r="AD42" s="321" t="str">
        <f>IF($AA42="1",COUNTIF('納品書明細16-E'!$D$9:$D$206,$AN42)+COUNTIF('納品書明細F-15'!$D$9:$D$297,$AN42)-IF(ISNA(MATCH(CONCATENATE(VLOOKUP($AC42,$AB$1:$AC$4,2,FALSE),$S42,IF($U42="","00",$U42),$W42,2),$F$11:$F$160,0)),0,SUMIF($F$11:$F$160,CONCATENATE(VLOOKUP($AC42,$AB$1:$AC$4,2,FALSE),$S42,IF($U42="","00",$U42),$W42,2),$AF$11:$AF$160)),"")</f>
        <v/>
      </c>
      <c r="AE42" s="319" t="str">
        <f>IF($AA42="1",SUMIF('納品書明細16-E'!$C$9:$C$206,$AO42,'納品書明細16-E'!$Q$9:$Q$206)+SUMIF('納品書明細F-15'!$C$9:$C$297,$AO42,'納品書明細F-15'!$Q$9:$Q$297)-IF(ISNA(MATCH(CONCATENATE(VLOOKUP($AC42,$AB$1:$AC$4,2,FALSE),$S42,IF($U42="","00",$U42),$W42,2),$F$11:$F$160,0)),0,SUMIF($F$11:$F$160,CONCATENATE(VLOOKUP($AC42,$AB$1:$AC$4,2,FALSE),$S42,IF($U42="","00",$U42),$W42,2),$AG$11:$AG$160)),"")</f>
        <v/>
      </c>
      <c r="AF42" s="322"/>
      <c r="AG42" s="327"/>
      <c r="AH42" s="57"/>
      <c r="AI42" s="319" t="str">
        <f>IF($AH42="","",IF(ISNA(MATCH($AH42,'納品書明細16-E'!$H$9:$H$206,0)),IF(ISNA(MATCH($AH42,'納品書明細F-15'!$H$9:$H$297,0)),"ERR",SUMIF('納品書明細F-15'!$H$9:$H$297,$AH42,'納品書明細F-15'!$Q$9:$Q$297)),SUMIF('納品書明細16-E'!$H$9:$H$206,$AH42,'納品書明細16-E'!$Q$9:$Q$206)))</f>
        <v/>
      </c>
      <c r="AK42" s="328" t="str">
        <f t="shared" si="6"/>
        <v/>
      </c>
      <c r="AL42" s="269" t="str">
        <f t="shared" si="7"/>
        <v/>
      </c>
      <c r="AM42" s="270" t="str">
        <f t="shared" si="8"/>
        <v/>
      </c>
      <c r="AN42" s="244" t="str">
        <f t="shared" si="9"/>
        <v/>
      </c>
      <c r="AO42" s="244" t="str">
        <f t="shared" si="10"/>
        <v/>
      </c>
      <c r="AP42" s="271" t="str">
        <f t="shared" si="15"/>
        <v/>
      </c>
      <c r="AQ42" s="262"/>
      <c r="AR42" s="263"/>
      <c r="AS42" s="84"/>
      <c r="AT42" s="86"/>
      <c r="AU42" s="87"/>
    </row>
    <row r="43" spans="1:47" ht="15" customHeight="1">
      <c r="A43" s="281" t="str">
        <f t="shared" si="0"/>
        <v/>
      </c>
      <c r="B43" s="282" t="str">
        <f t="shared" si="12"/>
        <v/>
      </c>
      <c r="C43" s="618" t="str">
        <f>IF(AND($S43="",$U43="",$W43="",$AA43="",$AE43="",$AG43="",$AI43=""),"",MAX($C$10:$C42)+1)</f>
        <v/>
      </c>
      <c r="D43" s="619" t="str">
        <f t="shared" ref="D43:D74" si="16">IF($C43="","",CONCATENATE(VLOOKUP($AC43,$AB$1:$AC$4,2,FALSE),$S43,IF($U43="","00",$U43)))</f>
        <v/>
      </c>
      <c r="E43" s="619" t="str">
        <f t="shared" ref="E43:E74" si="17">IF($C43="","",ABS(CONCATENATE(VLOOKUP($AC43,$AB$1:$AC$4,2,FALSE),$S43,IF($U43="","00",$U43),MID($I43,FIND("B",$I43)+1,5))))</f>
        <v/>
      </c>
      <c r="F43" s="619" t="str">
        <f t="shared" ref="F43:F74" si="18">IF($S43="","",CONCATENATE(VLOOKUP($AC43,$AB$1:$AC$4,2,FALSE),$S43,IF($U43="","00",$U43),$W43,$AA43))</f>
        <v/>
      </c>
      <c r="G43" s="619" t="str">
        <f t="shared" ref="G43:G74" si="19">IF($S43="","",CONCATENATE(VLOOKUP($AC43,$AB$1:$AC$4,2,FALSE),$S43,IF($U43="","00",$U43),$AA43))</f>
        <v/>
      </c>
      <c r="H43" s="620" t="str">
        <f t="shared" si="5"/>
        <v/>
      </c>
      <c r="I43" s="316" t="s">
        <v>252</v>
      </c>
      <c r="J43" s="254"/>
      <c r="K43" s="50" t="str">
        <f>IF($W43="","",IF($W43=1,IF(VLOOKUP($S43,ﾏｽﾀ!$E$8:$K$124,ﾏｽﾀ!$J$4-ﾏｽﾀ!$D$4,0)="E",DAY($J$4),ABS(VLOOKUP($S43,ﾏｽﾀ!$E$8:$K$124,ﾏｽﾀ!$J$4-ﾏｽﾀ!$D$4,0))),IF(VLOOKUP($S43,ﾏｽﾀ!$E$8:$K$124,ﾏｽﾀ!$K$4-ﾏｽﾀ!$D$4,0)="E",DAY($J$4),ABS(VLOOKUP($S43,ﾏｽﾀ!$E$8:$K$124,ﾏｽﾀ!$K$4-ﾏｽﾀ!$D$4,0)))))</f>
        <v/>
      </c>
      <c r="L43" s="255"/>
      <c r="M43" s="255"/>
      <c r="N43" s="255"/>
      <c r="O43" s="50" t="str">
        <f>IF($S43="","",IF($M43="",IF($J43="","ERR",IF(VLOOKUP($S43,ﾏｽﾀ!$E$8:$K$124,ﾏｽﾀ!$J$4-ﾏｽﾀ!$D$4,0)="E",MONTH($J43),IF(MONTH($J43)-1=0,12,MONTH($J43)-1))),MONTH($M43)))</f>
        <v/>
      </c>
      <c r="P43" s="50" t="str">
        <f>IF($S43="","",IF($M43="",IF($K43="","ERR",IF(VLOOKUP($S43,ﾏｽﾀ!$E$8:$K$124,ﾏｽﾀ!$J$4-ﾏｽﾀ!$D$4,0)="E",1,$K43+1)),DAY($M43)))</f>
        <v/>
      </c>
      <c r="Q43" s="50" t="str">
        <f t="shared" si="13"/>
        <v/>
      </c>
      <c r="R43" s="50" t="str">
        <f t="shared" si="14"/>
        <v/>
      </c>
      <c r="S43" s="601" t="str">
        <f>IF($T43="","",INDEX(ﾏｽﾀ!$E$8:$E$124,MATCH(INDEX(ﾏｽﾀ!$N$8:$N$124,MATCH($T43,ﾏｽﾀ!$O$8:$O$124,0)),ﾏｽﾀ!$B$8:$B$124,0))&amp;"")</f>
        <v/>
      </c>
      <c r="T43" s="535"/>
      <c r="U43" s="601" t="str">
        <f>IF($T43="","",INDEX(ﾏｽﾀ!$G$8:$G$124,MATCH(INDEX(ﾏｽﾀ!$N$8:$N$124,MATCH($T43,ﾏｽﾀ!$O$8:$O$124,0)),ﾏｽﾀ!$B$8:$B$124,0))&amp;"")</f>
        <v/>
      </c>
      <c r="V43" s="257"/>
      <c r="W43" s="602" t="str">
        <f>IF($X43="","",INDEX(ﾏｽﾀ!$T$8:$T$16,MATCH($X43,ﾏｽﾀ!$U$8:$U$16,0))&amp;"")</f>
        <v/>
      </c>
      <c r="X43" s="248"/>
      <c r="Y43" s="260"/>
      <c r="Z43" s="260"/>
      <c r="AA43" s="256"/>
      <c r="AB43" s="492" t="str">
        <f>IF($W43="","",IF($AA43="","ERR",IF($AA43="1",IF($AE43="","ERR",VLOOKUP($AA43,ﾏｽﾀ!$W$8:$X$10,ﾏｽﾀ!$X$4,0)),IF($AA43="2",IF($AG43="","ERR",VLOOKUP($AA43,ﾏｽﾀ!$W$8:$X$10,ﾏｽﾀ!$X$4,0)),IF($AA43="3",IF($AI43="","ERR",VLOOKUP($AA43,ﾏｽﾀ!$W$8:$X$10,ﾏｽﾀ!$X$4,0)),"ERR")))))</f>
        <v/>
      </c>
      <c r="AC43" s="261"/>
      <c r="AD43" s="321" t="str">
        <f>IF($AA43="1",COUNTIF('納品書明細16-E'!$D$9:$D$206,$AN43)+COUNTIF('納品書明細F-15'!$D$9:$D$297,$AN43)-IF(ISNA(MATCH(CONCATENATE(VLOOKUP($AC43,$AB$1:$AC$4,2,FALSE),$S43,IF($U43="","00",$U43),$W43,2),$F$11:$F$160,0)),0,SUMIF($F$11:$F$160,CONCATENATE(VLOOKUP($AC43,$AB$1:$AC$4,2,FALSE),$S43,IF($U43="","00",$U43),$W43,2),$AF$11:$AF$160)),"")</f>
        <v/>
      </c>
      <c r="AE43" s="319" t="str">
        <f>IF($AA43="1",SUMIF('納品書明細16-E'!$C$9:$C$206,$AO43,'納品書明細16-E'!$Q$9:$Q$206)+SUMIF('納品書明細F-15'!$C$9:$C$297,$AO43,'納品書明細F-15'!$Q$9:$Q$297)-IF(ISNA(MATCH(CONCATENATE(VLOOKUP($AC43,$AB$1:$AC$4,2,FALSE),$S43,IF($U43="","00",$U43),$W43,2),$F$11:$F$160,0)),0,SUMIF($F$11:$F$160,CONCATENATE(VLOOKUP($AC43,$AB$1:$AC$4,2,FALSE),$S43,IF($U43="","00",$U43),$W43,2),$AG$11:$AG$160)),"")</f>
        <v/>
      </c>
      <c r="AF43" s="322"/>
      <c r="AG43" s="327"/>
      <c r="AH43" s="57"/>
      <c r="AI43" s="319" t="str">
        <f>IF($AH43="","",IF(ISNA(MATCH($AH43,'納品書明細16-E'!$H$9:$H$206,0)),IF(ISNA(MATCH($AH43,'納品書明細F-15'!$H$9:$H$297,0)),"ERR",SUMIF('納品書明細F-15'!$H$9:$H$297,$AH43,'納品書明細F-15'!$Q$9:$Q$297)),SUMIF('納品書明細16-E'!$H$9:$H$206,$AH43,'納品書明細16-E'!$Q$9:$Q$206)))</f>
        <v/>
      </c>
      <c r="AK43" s="328" t="str">
        <f t="shared" ref="AK43:AK74" si="20">IF($AH43="","",$I43)</f>
        <v/>
      </c>
      <c r="AL43" s="269" t="str">
        <f t="shared" ref="AL43:AL74" si="21">IF($AH43="","",$J43)</f>
        <v/>
      </c>
      <c r="AM43" s="270" t="str">
        <f t="shared" ref="AM43:AM74" si="22">IF($AH43="","",IF($L43="",$K43,$L43))</f>
        <v/>
      </c>
      <c r="AN43" s="244" t="str">
        <f t="shared" ref="AN43:AN74" si="23">IF($AC43="","",CONCATENATE(VLOOKUP($AC43,$AB$1:$AC$4,2,FALSE),$S43,IF($U43="","00",$U43),"1","1",$W43))</f>
        <v/>
      </c>
      <c r="AO43" s="244" t="str">
        <f t="shared" ref="AO43:AO74" si="24">IF($AC43="","",CONCATENATE(VLOOKUP($AC43,$AB$1:$AC$4,2,FALSE),$S43,IF($U43="","00",$U43),"1",$W43))</f>
        <v/>
      </c>
      <c r="AP43" s="271" t="str">
        <f t="shared" si="15"/>
        <v/>
      </c>
      <c r="AQ43" s="262"/>
      <c r="AR43" s="263"/>
      <c r="AS43" s="84"/>
      <c r="AT43" s="86"/>
      <c r="AU43" s="87"/>
    </row>
    <row r="44" spans="1:47" ht="15" customHeight="1">
      <c r="A44" s="281" t="str">
        <f t="shared" si="0"/>
        <v/>
      </c>
      <c r="B44" s="282" t="str">
        <f t="shared" si="12"/>
        <v/>
      </c>
      <c r="C44" s="618" t="str">
        <f>IF(AND($S44="",$U44="",$W44="",$AA44="",$AE44="",$AG44="",$AI44=""),"",MAX($C$10:$C43)+1)</f>
        <v/>
      </c>
      <c r="D44" s="619" t="str">
        <f t="shared" si="16"/>
        <v/>
      </c>
      <c r="E44" s="619" t="str">
        <f t="shared" si="17"/>
        <v/>
      </c>
      <c r="F44" s="619" t="str">
        <f t="shared" si="18"/>
        <v/>
      </c>
      <c r="G44" s="619" t="str">
        <f t="shared" si="19"/>
        <v/>
      </c>
      <c r="H44" s="620" t="str">
        <f t="shared" si="5"/>
        <v/>
      </c>
      <c r="I44" s="316" t="s">
        <v>253</v>
      </c>
      <c r="J44" s="254"/>
      <c r="K44" s="50" t="str">
        <f>IF($W44="","",IF($W44=1,IF(VLOOKUP($S44,ﾏｽﾀ!$E$8:$K$124,ﾏｽﾀ!$J$4-ﾏｽﾀ!$D$4,0)="E",DAY($J$4),ABS(VLOOKUP($S44,ﾏｽﾀ!$E$8:$K$124,ﾏｽﾀ!$J$4-ﾏｽﾀ!$D$4,0))),IF(VLOOKUP($S44,ﾏｽﾀ!$E$8:$K$124,ﾏｽﾀ!$K$4-ﾏｽﾀ!$D$4,0)="E",DAY($J$4),ABS(VLOOKUP($S44,ﾏｽﾀ!$E$8:$K$124,ﾏｽﾀ!$K$4-ﾏｽﾀ!$D$4,0)))))</f>
        <v/>
      </c>
      <c r="L44" s="255"/>
      <c r="M44" s="255"/>
      <c r="N44" s="255"/>
      <c r="O44" s="50" t="str">
        <f>IF($S44="","",IF($M44="",IF($J44="","ERR",IF(VLOOKUP($S44,ﾏｽﾀ!$E$8:$K$124,ﾏｽﾀ!$J$4-ﾏｽﾀ!$D$4,0)="E",MONTH($J44),IF(MONTH($J44)-1=0,12,MONTH($J44)-1))),MONTH($M44)))</f>
        <v/>
      </c>
      <c r="P44" s="50" t="str">
        <f>IF($S44="","",IF($M44="",IF($K44="","ERR",IF(VLOOKUP($S44,ﾏｽﾀ!$E$8:$K$124,ﾏｽﾀ!$J$4-ﾏｽﾀ!$D$4,0)="E",1,$K44+1)),DAY($M44)))</f>
        <v/>
      </c>
      <c r="Q44" s="50" t="str">
        <f t="shared" si="13"/>
        <v/>
      </c>
      <c r="R44" s="50" t="str">
        <f t="shared" si="14"/>
        <v/>
      </c>
      <c r="S44" s="601" t="str">
        <f>IF($T44="","",INDEX(ﾏｽﾀ!$E$8:$E$124,MATCH(INDEX(ﾏｽﾀ!$N$8:$N$124,MATCH($T44,ﾏｽﾀ!$O$8:$O$124,0)),ﾏｽﾀ!$B$8:$B$124,0))&amp;"")</f>
        <v/>
      </c>
      <c r="T44" s="535"/>
      <c r="U44" s="601" t="str">
        <f>IF($T44="","",INDEX(ﾏｽﾀ!$G$8:$G$124,MATCH(INDEX(ﾏｽﾀ!$N$8:$N$124,MATCH($T44,ﾏｽﾀ!$O$8:$O$124,0)),ﾏｽﾀ!$B$8:$B$124,0))&amp;"")</f>
        <v/>
      </c>
      <c r="V44" s="257"/>
      <c r="W44" s="602" t="str">
        <f>IF($X44="","",INDEX(ﾏｽﾀ!$T$8:$T$16,MATCH($X44,ﾏｽﾀ!$U$8:$U$16,0))&amp;"")</f>
        <v/>
      </c>
      <c r="X44" s="248"/>
      <c r="Y44" s="260"/>
      <c r="Z44" s="260"/>
      <c r="AA44" s="256"/>
      <c r="AB44" s="492" t="str">
        <f>IF($W44="","",IF($AA44="","ERR",IF($AA44="1",IF($AE44="","ERR",VLOOKUP($AA44,ﾏｽﾀ!$W$8:$X$10,ﾏｽﾀ!$X$4,0)),IF($AA44="2",IF($AG44="","ERR",VLOOKUP($AA44,ﾏｽﾀ!$W$8:$X$10,ﾏｽﾀ!$X$4,0)),IF($AA44="3",IF($AI44="","ERR",VLOOKUP($AA44,ﾏｽﾀ!$W$8:$X$10,ﾏｽﾀ!$X$4,0)),"ERR")))))</f>
        <v/>
      </c>
      <c r="AC44" s="261"/>
      <c r="AD44" s="321" t="str">
        <f>IF($AA44="1",COUNTIF('納品書明細16-E'!$D$9:$D$206,$AN44)+COUNTIF('納品書明細F-15'!$D$9:$D$297,$AN44)-IF(ISNA(MATCH(CONCATENATE(VLOOKUP($AC44,$AB$1:$AC$4,2,FALSE),$S44,IF($U44="","00",$U44),$W44,2),$F$11:$F$160,0)),0,SUMIF($F$11:$F$160,CONCATENATE(VLOOKUP($AC44,$AB$1:$AC$4,2,FALSE),$S44,IF($U44="","00",$U44),$W44,2),$AF$11:$AF$160)),"")</f>
        <v/>
      </c>
      <c r="AE44" s="319" t="str">
        <f>IF($AA44="1",SUMIF('納品書明細16-E'!$C$9:$C$206,$AO44,'納品書明細16-E'!$Q$9:$Q$206)+SUMIF('納品書明細F-15'!$C$9:$C$297,$AO44,'納品書明細F-15'!$Q$9:$Q$297)-IF(ISNA(MATCH(CONCATENATE(VLOOKUP($AC44,$AB$1:$AC$4,2,FALSE),$S44,IF($U44="","00",$U44),$W44,2),$F$11:$F$160,0)),0,SUMIF($F$11:$F$160,CONCATENATE(VLOOKUP($AC44,$AB$1:$AC$4,2,FALSE),$S44,IF($U44="","00",$U44),$W44,2),$AG$11:$AG$160)),"")</f>
        <v/>
      </c>
      <c r="AF44" s="322"/>
      <c r="AG44" s="327"/>
      <c r="AH44" s="57"/>
      <c r="AI44" s="319" t="str">
        <f>IF($AH44="","",IF(ISNA(MATCH($AH44,'納品書明細16-E'!$H$9:$H$206,0)),IF(ISNA(MATCH($AH44,'納品書明細F-15'!$H$9:$H$297,0)),"ERR",SUMIF('納品書明細F-15'!$H$9:$H$297,$AH44,'納品書明細F-15'!$Q$9:$Q$297)),SUMIF('納品書明細16-E'!$H$9:$H$206,$AH44,'納品書明細16-E'!$Q$9:$Q$206)))</f>
        <v/>
      </c>
      <c r="AK44" s="328" t="str">
        <f t="shared" si="20"/>
        <v/>
      </c>
      <c r="AL44" s="269" t="str">
        <f t="shared" si="21"/>
        <v/>
      </c>
      <c r="AM44" s="270" t="str">
        <f t="shared" si="22"/>
        <v/>
      </c>
      <c r="AN44" s="244" t="str">
        <f t="shared" si="23"/>
        <v/>
      </c>
      <c r="AO44" s="244" t="str">
        <f t="shared" si="24"/>
        <v/>
      </c>
      <c r="AP44" s="271" t="str">
        <f t="shared" si="15"/>
        <v/>
      </c>
      <c r="AQ44" s="262"/>
      <c r="AR44" s="263"/>
      <c r="AS44" s="84"/>
      <c r="AT44" s="86"/>
      <c r="AU44" s="87"/>
    </row>
    <row r="45" spans="1:47" ht="15" customHeight="1">
      <c r="A45" s="281" t="str">
        <f t="shared" si="0"/>
        <v/>
      </c>
      <c r="B45" s="282" t="str">
        <f t="shared" si="12"/>
        <v/>
      </c>
      <c r="C45" s="618" t="str">
        <f>IF(AND($S45="",$U45="",$W45="",$AA45="",$AE45="",$AG45="",$AI45=""),"",MAX($C$10:$C44)+1)</f>
        <v/>
      </c>
      <c r="D45" s="619" t="str">
        <f t="shared" si="16"/>
        <v/>
      </c>
      <c r="E45" s="619" t="str">
        <f t="shared" si="17"/>
        <v/>
      </c>
      <c r="F45" s="619" t="str">
        <f t="shared" si="18"/>
        <v/>
      </c>
      <c r="G45" s="619" t="str">
        <f t="shared" si="19"/>
        <v/>
      </c>
      <c r="H45" s="620" t="str">
        <f t="shared" si="5"/>
        <v/>
      </c>
      <c r="I45" s="316" t="s">
        <v>254</v>
      </c>
      <c r="J45" s="254"/>
      <c r="K45" s="50" t="str">
        <f>IF($W45="","",IF($W45=1,IF(VLOOKUP($S45,ﾏｽﾀ!$E$8:$K$124,ﾏｽﾀ!$J$4-ﾏｽﾀ!$D$4,0)="E",DAY($J$4),ABS(VLOOKUP($S45,ﾏｽﾀ!$E$8:$K$124,ﾏｽﾀ!$J$4-ﾏｽﾀ!$D$4,0))),IF(VLOOKUP($S45,ﾏｽﾀ!$E$8:$K$124,ﾏｽﾀ!$K$4-ﾏｽﾀ!$D$4,0)="E",DAY($J$4),ABS(VLOOKUP($S45,ﾏｽﾀ!$E$8:$K$124,ﾏｽﾀ!$K$4-ﾏｽﾀ!$D$4,0)))))</f>
        <v/>
      </c>
      <c r="L45" s="255"/>
      <c r="M45" s="255"/>
      <c r="N45" s="255"/>
      <c r="O45" s="50" t="str">
        <f>IF($S45="","",IF($M45="",IF($J45="","ERR",IF(VLOOKUP($S45,ﾏｽﾀ!$E$8:$K$124,ﾏｽﾀ!$J$4-ﾏｽﾀ!$D$4,0)="E",MONTH($J45),IF(MONTH($J45)-1=0,12,MONTH($J45)-1))),MONTH($M45)))</f>
        <v/>
      </c>
      <c r="P45" s="50" t="str">
        <f>IF($S45="","",IF($M45="",IF($K45="","ERR",IF(VLOOKUP($S45,ﾏｽﾀ!$E$8:$K$124,ﾏｽﾀ!$J$4-ﾏｽﾀ!$D$4,0)="E",1,$K45+1)),DAY($M45)))</f>
        <v/>
      </c>
      <c r="Q45" s="50" t="str">
        <f t="shared" si="13"/>
        <v/>
      </c>
      <c r="R45" s="50" t="str">
        <f t="shared" si="14"/>
        <v/>
      </c>
      <c r="S45" s="601" t="str">
        <f>IF($T45="","",INDEX(ﾏｽﾀ!$E$8:$E$124,MATCH(INDEX(ﾏｽﾀ!$N$8:$N$124,MATCH($T45,ﾏｽﾀ!$O$8:$O$124,0)),ﾏｽﾀ!$B$8:$B$124,0))&amp;"")</f>
        <v/>
      </c>
      <c r="T45" s="535"/>
      <c r="U45" s="601" t="str">
        <f>IF($T45="","",INDEX(ﾏｽﾀ!$G$8:$G$124,MATCH(INDEX(ﾏｽﾀ!$N$8:$N$124,MATCH($T45,ﾏｽﾀ!$O$8:$O$124,0)),ﾏｽﾀ!$B$8:$B$124,0))&amp;"")</f>
        <v/>
      </c>
      <c r="V45" s="257"/>
      <c r="W45" s="602" t="str">
        <f>IF($X45="","",INDEX(ﾏｽﾀ!$T$8:$T$16,MATCH($X45,ﾏｽﾀ!$U$8:$U$16,0))&amp;"")</f>
        <v/>
      </c>
      <c r="X45" s="248"/>
      <c r="Y45" s="260"/>
      <c r="Z45" s="260"/>
      <c r="AA45" s="256"/>
      <c r="AB45" s="492" t="str">
        <f>IF($W45="","",IF($AA45="","ERR",IF($AA45="1",IF($AE45="","ERR",VLOOKUP($AA45,ﾏｽﾀ!$W$8:$X$10,ﾏｽﾀ!$X$4,0)),IF($AA45="2",IF($AG45="","ERR",VLOOKUP($AA45,ﾏｽﾀ!$W$8:$X$10,ﾏｽﾀ!$X$4,0)),IF($AA45="3",IF($AI45="","ERR",VLOOKUP($AA45,ﾏｽﾀ!$W$8:$X$10,ﾏｽﾀ!$X$4,0)),"ERR")))))</f>
        <v/>
      </c>
      <c r="AC45" s="261"/>
      <c r="AD45" s="321" t="str">
        <f>IF($AA45="1",COUNTIF('納品書明細16-E'!$D$9:$D$206,$AN45)+COUNTIF('納品書明細F-15'!$D$9:$D$297,$AN45)-IF(ISNA(MATCH(CONCATENATE(VLOOKUP($AC45,$AB$1:$AC$4,2,FALSE),$S45,IF($U45="","00",$U45),$W45,2),$F$11:$F$160,0)),0,SUMIF($F$11:$F$160,CONCATENATE(VLOOKUP($AC45,$AB$1:$AC$4,2,FALSE),$S45,IF($U45="","00",$U45),$W45,2),$AF$11:$AF$160)),"")</f>
        <v/>
      </c>
      <c r="AE45" s="319" t="str">
        <f>IF($AA45="1",SUMIF('納品書明細16-E'!$C$9:$C$206,$AO45,'納品書明細16-E'!$Q$9:$Q$206)+SUMIF('納品書明細F-15'!$C$9:$C$297,$AO45,'納品書明細F-15'!$Q$9:$Q$297)-IF(ISNA(MATCH(CONCATENATE(VLOOKUP($AC45,$AB$1:$AC$4,2,FALSE),$S45,IF($U45="","00",$U45),$W45,2),$F$11:$F$160,0)),0,SUMIF($F$11:$F$160,CONCATENATE(VLOOKUP($AC45,$AB$1:$AC$4,2,FALSE),$S45,IF($U45="","00",$U45),$W45,2),$AG$11:$AG$160)),"")</f>
        <v/>
      </c>
      <c r="AF45" s="322"/>
      <c r="AG45" s="327"/>
      <c r="AH45" s="57"/>
      <c r="AI45" s="319" t="str">
        <f>IF($AH45="","",IF(ISNA(MATCH($AH45,'納品書明細16-E'!$H$9:$H$206,0)),IF(ISNA(MATCH($AH45,'納品書明細F-15'!$H$9:$H$297,0)),"ERR",SUMIF('納品書明細F-15'!$H$9:$H$297,$AH45,'納品書明細F-15'!$Q$9:$Q$297)),SUMIF('納品書明細16-E'!$H$9:$H$206,$AH45,'納品書明細16-E'!$Q$9:$Q$206)))</f>
        <v/>
      </c>
      <c r="AK45" s="328" t="str">
        <f t="shared" si="20"/>
        <v/>
      </c>
      <c r="AL45" s="269" t="str">
        <f t="shared" si="21"/>
        <v/>
      </c>
      <c r="AM45" s="270" t="str">
        <f t="shared" si="22"/>
        <v/>
      </c>
      <c r="AN45" s="244" t="str">
        <f t="shared" si="23"/>
        <v/>
      </c>
      <c r="AO45" s="244" t="str">
        <f t="shared" si="24"/>
        <v/>
      </c>
      <c r="AP45" s="271" t="str">
        <f t="shared" si="15"/>
        <v/>
      </c>
      <c r="AQ45" s="262"/>
      <c r="AR45" s="263"/>
      <c r="AS45" s="84"/>
      <c r="AT45" s="86"/>
      <c r="AU45" s="87"/>
    </row>
    <row r="46" spans="1:47" ht="15" customHeight="1">
      <c r="A46" s="281" t="str">
        <f t="shared" si="0"/>
        <v/>
      </c>
      <c r="B46" s="282" t="str">
        <f t="shared" si="12"/>
        <v/>
      </c>
      <c r="C46" s="618" t="str">
        <f>IF(AND($S46="",$U46="",$W46="",$AA46="",$AE46="",$AG46="",$AI46=""),"",MAX($C$10:$C45)+1)</f>
        <v/>
      </c>
      <c r="D46" s="619" t="str">
        <f t="shared" si="16"/>
        <v/>
      </c>
      <c r="E46" s="619" t="str">
        <f t="shared" si="17"/>
        <v/>
      </c>
      <c r="F46" s="619" t="str">
        <f t="shared" si="18"/>
        <v/>
      </c>
      <c r="G46" s="619" t="str">
        <f t="shared" si="19"/>
        <v/>
      </c>
      <c r="H46" s="620" t="str">
        <f t="shared" si="5"/>
        <v/>
      </c>
      <c r="I46" s="316" t="s">
        <v>255</v>
      </c>
      <c r="J46" s="254"/>
      <c r="K46" s="50" t="str">
        <f>IF($W46="","",IF($W46=1,IF(VLOOKUP($S46,ﾏｽﾀ!$E$8:$K$124,ﾏｽﾀ!$J$4-ﾏｽﾀ!$D$4,0)="E",DAY($J$4),ABS(VLOOKUP($S46,ﾏｽﾀ!$E$8:$K$124,ﾏｽﾀ!$J$4-ﾏｽﾀ!$D$4,0))),IF(VLOOKUP($S46,ﾏｽﾀ!$E$8:$K$124,ﾏｽﾀ!$K$4-ﾏｽﾀ!$D$4,0)="E",DAY($J$4),ABS(VLOOKUP($S46,ﾏｽﾀ!$E$8:$K$124,ﾏｽﾀ!$K$4-ﾏｽﾀ!$D$4,0)))))</f>
        <v/>
      </c>
      <c r="L46" s="255"/>
      <c r="M46" s="255"/>
      <c r="N46" s="255"/>
      <c r="O46" s="50" t="str">
        <f>IF($S46="","",IF($M46="",IF($J46="","ERR",IF(VLOOKUP($S46,ﾏｽﾀ!$E$8:$K$124,ﾏｽﾀ!$J$4-ﾏｽﾀ!$D$4,0)="E",MONTH($J46),IF(MONTH($J46)-1=0,12,MONTH($J46)-1))),MONTH($M46)))</f>
        <v/>
      </c>
      <c r="P46" s="50" t="str">
        <f>IF($S46="","",IF($M46="",IF($K46="","ERR",IF(VLOOKUP($S46,ﾏｽﾀ!$E$8:$K$124,ﾏｽﾀ!$J$4-ﾏｽﾀ!$D$4,0)="E",1,$K46+1)),DAY($M46)))</f>
        <v/>
      </c>
      <c r="Q46" s="50" t="str">
        <f t="shared" si="13"/>
        <v/>
      </c>
      <c r="R46" s="50" t="str">
        <f t="shared" si="14"/>
        <v/>
      </c>
      <c r="S46" s="601" t="str">
        <f>IF($T46="","",INDEX(ﾏｽﾀ!$E$8:$E$124,MATCH(INDEX(ﾏｽﾀ!$N$8:$N$124,MATCH($T46,ﾏｽﾀ!$O$8:$O$124,0)),ﾏｽﾀ!$B$8:$B$124,0))&amp;"")</f>
        <v/>
      </c>
      <c r="T46" s="535"/>
      <c r="U46" s="601" t="str">
        <f>IF($T46="","",INDEX(ﾏｽﾀ!$G$8:$G$124,MATCH(INDEX(ﾏｽﾀ!$N$8:$N$124,MATCH($T46,ﾏｽﾀ!$O$8:$O$124,0)),ﾏｽﾀ!$B$8:$B$124,0))&amp;"")</f>
        <v/>
      </c>
      <c r="V46" s="257"/>
      <c r="W46" s="602" t="str">
        <f>IF($X46="","",INDEX(ﾏｽﾀ!$T$8:$T$16,MATCH($X46,ﾏｽﾀ!$U$8:$U$16,0))&amp;"")</f>
        <v/>
      </c>
      <c r="X46" s="248"/>
      <c r="Y46" s="260"/>
      <c r="Z46" s="260"/>
      <c r="AA46" s="256"/>
      <c r="AB46" s="492" t="str">
        <f>IF($W46="","",IF($AA46="","ERR",IF($AA46="1",IF($AE46="","ERR",VLOOKUP($AA46,ﾏｽﾀ!$W$8:$X$10,ﾏｽﾀ!$X$4,0)),IF($AA46="2",IF($AG46="","ERR",VLOOKUP($AA46,ﾏｽﾀ!$W$8:$X$10,ﾏｽﾀ!$X$4,0)),IF($AA46="3",IF($AI46="","ERR",VLOOKUP($AA46,ﾏｽﾀ!$W$8:$X$10,ﾏｽﾀ!$X$4,0)),"ERR")))))</f>
        <v/>
      </c>
      <c r="AC46" s="261"/>
      <c r="AD46" s="321" t="str">
        <f>IF($AA46="1",COUNTIF('納品書明細16-E'!$D$9:$D$206,$AN46)+COUNTIF('納品書明細F-15'!$D$9:$D$297,$AN46)-IF(ISNA(MATCH(CONCATENATE(VLOOKUP($AC46,$AB$1:$AC$4,2,FALSE),$S46,IF($U46="","00",$U46),$W46,2),$F$11:$F$160,0)),0,SUMIF($F$11:$F$160,CONCATENATE(VLOOKUP($AC46,$AB$1:$AC$4,2,FALSE),$S46,IF($U46="","00",$U46),$W46,2),$AF$11:$AF$160)),"")</f>
        <v/>
      </c>
      <c r="AE46" s="319" t="str">
        <f>IF($AA46="1",SUMIF('納品書明細16-E'!$C$9:$C$206,$AO46,'納品書明細16-E'!$Q$9:$Q$206)+SUMIF('納品書明細F-15'!$C$9:$C$297,$AO46,'納品書明細F-15'!$Q$9:$Q$297)-IF(ISNA(MATCH(CONCATENATE(VLOOKUP($AC46,$AB$1:$AC$4,2,FALSE),$S46,IF($U46="","00",$U46),$W46,2),$F$11:$F$160,0)),0,SUMIF($F$11:$F$160,CONCATENATE(VLOOKUP($AC46,$AB$1:$AC$4,2,FALSE),$S46,IF($U46="","00",$U46),$W46,2),$AG$11:$AG$160)),"")</f>
        <v/>
      </c>
      <c r="AF46" s="322"/>
      <c r="AG46" s="327"/>
      <c r="AH46" s="57"/>
      <c r="AI46" s="319" t="str">
        <f>IF($AH46="","",IF(ISNA(MATCH($AH46,'納品書明細16-E'!$H$9:$H$206,0)),IF(ISNA(MATCH($AH46,'納品書明細F-15'!$H$9:$H$297,0)),"ERR",SUMIF('納品書明細F-15'!$H$9:$H$297,$AH46,'納品書明細F-15'!$Q$9:$Q$297)),SUMIF('納品書明細16-E'!$H$9:$H$206,$AH46,'納品書明細16-E'!$Q$9:$Q$206)))</f>
        <v/>
      </c>
      <c r="AK46" s="328" t="str">
        <f t="shared" si="20"/>
        <v/>
      </c>
      <c r="AL46" s="269" t="str">
        <f t="shared" si="21"/>
        <v/>
      </c>
      <c r="AM46" s="270" t="str">
        <f t="shared" si="22"/>
        <v/>
      </c>
      <c r="AN46" s="244" t="str">
        <f t="shared" si="23"/>
        <v/>
      </c>
      <c r="AO46" s="244" t="str">
        <f t="shared" si="24"/>
        <v/>
      </c>
      <c r="AP46" s="271" t="str">
        <f t="shared" si="15"/>
        <v/>
      </c>
      <c r="AQ46" s="262"/>
      <c r="AR46" s="263"/>
      <c r="AS46" s="84"/>
      <c r="AT46" s="86"/>
      <c r="AU46" s="87"/>
    </row>
    <row r="47" spans="1:47" ht="15" customHeight="1">
      <c r="A47" s="281" t="str">
        <f t="shared" si="0"/>
        <v/>
      </c>
      <c r="B47" s="282" t="str">
        <f t="shared" si="12"/>
        <v/>
      </c>
      <c r="C47" s="618" t="str">
        <f>IF(AND($S47="",$U47="",$W47="",$AA47="",$AE47="",$AG47="",$AI47=""),"",MAX($C$10:$C46)+1)</f>
        <v/>
      </c>
      <c r="D47" s="619" t="str">
        <f t="shared" si="16"/>
        <v/>
      </c>
      <c r="E47" s="619" t="str">
        <f t="shared" si="17"/>
        <v/>
      </c>
      <c r="F47" s="619" t="str">
        <f t="shared" si="18"/>
        <v/>
      </c>
      <c r="G47" s="619" t="str">
        <f t="shared" si="19"/>
        <v/>
      </c>
      <c r="H47" s="620" t="str">
        <f t="shared" si="5"/>
        <v/>
      </c>
      <c r="I47" s="316" t="s">
        <v>256</v>
      </c>
      <c r="J47" s="254"/>
      <c r="K47" s="50" t="str">
        <f>IF($W47="","",IF($W47=1,IF(VLOOKUP($S47,ﾏｽﾀ!$E$8:$K$124,ﾏｽﾀ!$J$4-ﾏｽﾀ!$D$4,0)="E",DAY($J$4),ABS(VLOOKUP($S47,ﾏｽﾀ!$E$8:$K$124,ﾏｽﾀ!$J$4-ﾏｽﾀ!$D$4,0))),IF(VLOOKUP($S47,ﾏｽﾀ!$E$8:$K$124,ﾏｽﾀ!$K$4-ﾏｽﾀ!$D$4,0)="E",DAY($J$4),ABS(VLOOKUP($S47,ﾏｽﾀ!$E$8:$K$124,ﾏｽﾀ!$K$4-ﾏｽﾀ!$D$4,0)))))</f>
        <v/>
      </c>
      <c r="L47" s="255"/>
      <c r="M47" s="255"/>
      <c r="N47" s="255"/>
      <c r="O47" s="50" t="str">
        <f>IF($S47="","",IF($M47="",IF($J47="","ERR",IF(VLOOKUP($S47,ﾏｽﾀ!$E$8:$K$124,ﾏｽﾀ!$J$4-ﾏｽﾀ!$D$4,0)="E",MONTH($J47),IF(MONTH($J47)-1=0,12,MONTH($J47)-1))),MONTH($M47)))</f>
        <v/>
      </c>
      <c r="P47" s="50" t="str">
        <f>IF($S47="","",IF($M47="",IF($K47="","ERR",IF(VLOOKUP($S47,ﾏｽﾀ!$E$8:$K$124,ﾏｽﾀ!$J$4-ﾏｽﾀ!$D$4,0)="E",1,$K47+1)),DAY($M47)))</f>
        <v/>
      </c>
      <c r="Q47" s="50" t="str">
        <f t="shared" si="13"/>
        <v/>
      </c>
      <c r="R47" s="50" t="str">
        <f t="shared" si="14"/>
        <v/>
      </c>
      <c r="S47" s="601" t="str">
        <f>IF($T47="","",INDEX(ﾏｽﾀ!$E$8:$E$124,MATCH(INDEX(ﾏｽﾀ!$N$8:$N$124,MATCH($T47,ﾏｽﾀ!$O$8:$O$124,0)),ﾏｽﾀ!$B$8:$B$124,0))&amp;"")</f>
        <v/>
      </c>
      <c r="T47" s="535"/>
      <c r="U47" s="601" t="str">
        <f>IF($T47="","",INDEX(ﾏｽﾀ!$G$8:$G$124,MATCH(INDEX(ﾏｽﾀ!$N$8:$N$124,MATCH($T47,ﾏｽﾀ!$O$8:$O$124,0)),ﾏｽﾀ!$B$8:$B$124,0))&amp;"")</f>
        <v/>
      </c>
      <c r="V47" s="257"/>
      <c r="W47" s="602" t="str">
        <f>IF($X47="","",INDEX(ﾏｽﾀ!$T$8:$T$16,MATCH($X47,ﾏｽﾀ!$U$8:$U$16,0))&amp;"")</f>
        <v/>
      </c>
      <c r="X47" s="248"/>
      <c r="Y47" s="260"/>
      <c r="Z47" s="260"/>
      <c r="AA47" s="256"/>
      <c r="AB47" s="492" t="str">
        <f>IF($W47="","",IF($AA47="","ERR",IF($AA47="1",IF($AE47="","ERR",VLOOKUP($AA47,ﾏｽﾀ!$W$8:$X$10,ﾏｽﾀ!$X$4,0)),IF($AA47="2",IF($AG47="","ERR",VLOOKUP($AA47,ﾏｽﾀ!$W$8:$X$10,ﾏｽﾀ!$X$4,0)),IF($AA47="3",IF($AI47="","ERR",VLOOKUP($AA47,ﾏｽﾀ!$W$8:$X$10,ﾏｽﾀ!$X$4,0)),"ERR")))))</f>
        <v/>
      </c>
      <c r="AC47" s="261"/>
      <c r="AD47" s="321" t="str">
        <f>IF($AA47="1",COUNTIF('納品書明細16-E'!$D$9:$D$206,$AN47)+COUNTIF('納品書明細F-15'!$D$9:$D$297,$AN47)-IF(ISNA(MATCH(CONCATENATE(VLOOKUP($AC47,$AB$1:$AC$4,2,FALSE),$S47,IF($U47="","00",$U47),$W47,2),$F$11:$F$160,0)),0,SUMIF($F$11:$F$160,CONCATENATE(VLOOKUP($AC47,$AB$1:$AC$4,2,FALSE),$S47,IF($U47="","00",$U47),$W47,2),$AF$11:$AF$160)),"")</f>
        <v/>
      </c>
      <c r="AE47" s="319" t="str">
        <f>IF($AA47="1",SUMIF('納品書明細16-E'!$C$9:$C$206,$AO47,'納品書明細16-E'!$Q$9:$Q$206)+SUMIF('納品書明細F-15'!$C$9:$C$297,$AO47,'納品書明細F-15'!$Q$9:$Q$297)-IF(ISNA(MATCH(CONCATENATE(VLOOKUP($AC47,$AB$1:$AC$4,2,FALSE),$S47,IF($U47="","00",$U47),$W47,2),$F$11:$F$160,0)),0,SUMIF($F$11:$F$160,CONCATENATE(VLOOKUP($AC47,$AB$1:$AC$4,2,FALSE),$S47,IF($U47="","00",$U47),$W47,2),$AG$11:$AG$160)),"")</f>
        <v/>
      </c>
      <c r="AF47" s="322"/>
      <c r="AG47" s="327"/>
      <c r="AH47" s="57"/>
      <c r="AI47" s="319" t="str">
        <f>IF($AH47="","",IF(ISNA(MATCH($AH47,'納品書明細16-E'!$H$9:$H$206,0)),IF(ISNA(MATCH($AH47,'納品書明細F-15'!$H$9:$H$297,0)),"ERR",SUMIF('納品書明細F-15'!$H$9:$H$297,$AH47,'納品書明細F-15'!$Q$9:$Q$297)),SUMIF('納品書明細16-E'!$H$9:$H$206,$AH47,'納品書明細16-E'!$Q$9:$Q$206)))</f>
        <v/>
      </c>
      <c r="AK47" s="328" t="str">
        <f t="shared" si="20"/>
        <v/>
      </c>
      <c r="AL47" s="269" t="str">
        <f t="shared" si="21"/>
        <v/>
      </c>
      <c r="AM47" s="270" t="str">
        <f t="shared" si="22"/>
        <v/>
      </c>
      <c r="AN47" s="244" t="str">
        <f t="shared" si="23"/>
        <v/>
      </c>
      <c r="AO47" s="244" t="str">
        <f t="shared" si="24"/>
        <v/>
      </c>
      <c r="AP47" s="271" t="str">
        <f t="shared" si="15"/>
        <v/>
      </c>
      <c r="AQ47" s="262"/>
      <c r="AR47" s="263"/>
      <c r="AS47" s="84"/>
      <c r="AT47" s="86"/>
      <c r="AU47" s="87"/>
    </row>
    <row r="48" spans="1:47" ht="15" customHeight="1">
      <c r="A48" s="281" t="str">
        <f t="shared" si="0"/>
        <v/>
      </c>
      <c r="B48" s="282" t="str">
        <f t="shared" si="12"/>
        <v/>
      </c>
      <c r="C48" s="618" t="str">
        <f>IF(AND($S48="",$U48="",$W48="",$AA48="",$AE48="",$AG48="",$AI48=""),"",MAX($C$10:$C47)+1)</f>
        <v/>
      </c>
      <c r="D48" s="619" t="str">
        <f t="shared" si="16"/>
        <v/>
      </c>
      <c r="E48" s="619" t="str">
        <f t="shared" si="17"/>
        <v/>
      </c>
      <c r="F48" s="619" t="str">
        <f t="shared" si="18"/>
        <v/>
      </c>
      <c r="G48" s="619" t="str">
        <f t="shared" si="19"/>
        <v/>
      </c>
      <c r="H48" s="620" t="str">
        <f t="shared" si="5"/>
        <v/>
      </c>
      <c r="I48" s="316" t="s">
        <v>257</v>
      </c>
      <c r="J48" s="254"/>
      <c r="K48" s="50" t="str">
        <f>IF($W48="","",IF($W48=1,IF(VLOOKUP($S48,ﾏｽﾀ!$E$8:$K$124,ﾏｽﾀ!$J$4-ﾏｽﾀ!$D$4,0)="E",DAY($J$4),ABS(VLOOKUP($S48,ﾏｽﾀ!$E$8:$K$124,ﾏｽﾀ!$J$4-ﾏｽﾀ!$D$4,0))),IF(VLOOKUP($S48,ﾏｽﾀ!$E$8:$K$124,ﾏｽﾀ!$K$4-ﾏｽﾀ!$D$4,0)="E",DAY($J$4),ABS(VLOOKUP($S48,ﾏｽﾀ!$E$8:$K$124,ﾏｽﾀ!$K$4-ﾏｽﾀ!$D$4,0)))))</f>
        <v/>
      </c>
      <c r="L48" s="255"/>
      <c r="M48" s="255"/>
      <c r="N48" s="255"/>
      <c r="O48" s="50" t="str">
        <f>IF($S48="","",IF($M48="",IF($J48="","ERR",IF(VLOOKUP($S48,ﾏｽﾀ!$E$8:$K$124,ﾏｽﾀ!$J$4-ﾏｽﾀ!$D$4,0)="E",MONTH($J48),IF(MONTH($J48)-1=0,12,MONTH($J48)-1))),MONTH($M48)))</f>
        <v/>
      </c>
      <c r="P48" s="50" t="str">
        <f>IF($S48="","",IF($M48="",IF($K48="","ERR",IF(VLOOKUP($S48,ﾏｽﾀ!$E$8:$K$124,ﾏｽﾀ!$J$4-ﾏｽﾀ!$D$4,0)="E",1,$K48+1)),DAY($M48)))</f>
        <v/>
      </c>
      <c r="Q48" s="50" t="str">
        <f t="shared" si="13"/>
        <v/>
      </c>
      <c r="R48" s="50" t="str">
        <f t="shared" si="14"/>
        <v/>
      </c>
      <c r="S48" s="601" t="str">
        <f>IF($T48="","",INDEX(ﾏｽﾀ!$E$8:$E$124,MATCH(INDEX(ﾏｽﾀ!$N$8:$N$124,MATCH($T48,ﾏｽﾀ!$O$8:$O$124,0)),ﾏｽﾀ!$B$8:$B$124,0))&amp;"")</f>
        <v/>
      </c>
      <c r="T48" s="535"/>
      <c r="U48" s="601" t="str">
        <f>IF($T48="","",INDEX(ﾏｽﾀ!$G$8:$G$124,MATCH(INDEX(ﾏｽﾀ!$N$8:$N$124,MATCH($T48,ﾏｽﾀ!$O$8:$O$124,0)),ﾏｽﾀ!$B$8:$B$124,0))&amp;"")</f>
        <v/>
      </c>
      <c r="V48" s="257"/>
      <c r="W48" s="602" t="str">
        <f>IF($X48="","",INDEX(ﾏｽﾀ!$T$8:$T$16,MATCH($X48,ﾏｽﾀ!$U$8:$U$16,0))&amp;"")</f>
        <v/>
      </c>
      <c r="X48" s="248"/>
      <c r="Y48" s="260"/>
      <c r="Z48" s="260"/>
      <c r="AA48" s="256"/>
      <c r="AB48" s="492" t="str">
        <f>IF($W48="","",IF($AA48="","ERR",IF($AA48="1",IF($AE48="","ERR",VLOOKUP($AA48,ﾏｽﾀ!$W$8:$X$10,ﾏｽﾀ!$X$4,0)),IF($AA48="2",IF($AG48="","ERR",VLOOKUP($AA48,ﾏｽﾀ!$W$8:$X$10,ﾏｽﾀ!$X$4,0)),IF($AA48="3",IF($AI48="","ERR",VLOOKUP($AA48,ﾏｽﾀ!$W$8:$X$10,ﾏｽﾀ!$X$4,0)),"ERR")))))</f>
        <v/>
      </c>
      <c r="AC48" s="261"/>
      <c r="AD48" s="321" t="str">
        <f>IF($AA48="1",COUNTIF('納品書明細16-E'!$D$9:$D$206,$AN48)+COUNTIF('納品書明細F-15'!$D$9:$D$297,$AN48)-IF(ISNA(MATCH(CONCATENATE(VLOOKUP($AC48,$AB$1:$AC$4,2,FALSE),$S48,IF($U48="","00",$U48),$W48,2),$F$11:$F$160,0)),0,SUMIF($F$11:$F$160,CONCATENATE(VLOOKUP($AC48,$AB$1:$AC$4,2,FALSE),$S48,IF($U48="","00",$U48),$W48,2),$AF$11:$AF$160)),"")</f>
        <v/>
      </c>
      <c r="AE48" s="319" t="str">
        <f>IF($AA48="1",SUMIF('納品書明細16-E'!$C$9:$C$206,$AO48,'納品書明細16-E'!$Q$9:$Q$206)+SUMIF('納品書明細F-15'!$C$9:$C$297,$AO48,'納品書明細F-15'!$Q$9:$Q$297)-IF(ISNA(MATCH(CONCATENATE(VLOOKUP($AC48,$AB$1:$AC$4,2,FALSE),$S48,IF($U48="","00",$U48),$W48,2),$F$11:$F$160,0)),0,SUMIF($F$11:$F$160,CONCATENATE(VLOOKUP($AC48,$AB$1:$AC$4,2,FALSE),$S48,IF($U48="","00",$U48),$W48,2),$AG$11:$AG$160)),"")</f>
        <v/>
      </c>
      <c r="AF48" s="322"/>
      <c r="AG48" s="327"/>
      <c r="AH48" s="57"/>
      <c r="AI48" s="319" t="str">
        <f>IF($AH48="","",IF(ISNA(MATCH($AH48,'納品書明細16-E'!$H$9:$H$206,0)),IF(ISNA(MATCH($AH48,'納品書明細F-15'!$H$9:$H$297,0)),"ERR",SUMIF('納品書明細F-15'!$H$9:$H$297,$AH48,'納品書明細F-15'!$Q$9:$Q$297)),SUMIF('納品書明細16-E'!$H$9:$H$206,$AH48,'納品書明細16-E'!$Q$9:$Q$206)))</f>
        <v/>
      </c>
      <c r="AK48" s="328" t="str">
        <f t="shared" si="20"/>
        <v/>
      </c>
      <c r="AL48" s="269" t="str">
        <f t="shared" si="21"/>
        <v/>
      </c>
      <c r="AM48" s="270" t="str">
        <f t="shared" si="22"/>
        <v/>
      </c>
      <c r="AN48" s="244" t="str">
        <f t="shared" si="23"/>
        <v/>
      </c>
      <c r="AO48" s="244" t="str">
        <f t="shared" si="24"/>
        <v/>
      </c>
      <c r="AP48" s="271" t="str">
        <f t="shared" si="15"/>
        <v/>
      </c>
      <c r="AQ48" s="262"/>
      <c r="AR48" s="263"/>
      <c r="AS48" s="84"/>
      <c r="AT48" s="86"/>
      <c r="AU48" s="87"/>
    </row>
    <row r="49" spans="1:47" ht="15" customHeight="1">
      <c r="A49" s="281" t="str">
        <f t="shared" si="0"/>
        <v/>
      </c>
      <c r="B49" s="282" t="str">
        <f t="shared" si="12"/>
        <v/>
      </c>
      <c r="C49" s="618" t="str">
        <f>IF(AND($S49="",$U49="",$W49="",$AA49="",$AE49="",$AG49="",$AI49=""),"",MAX($C$10:$C48)+1)</f>
        <v/>
      </c>
      <c r="D49" s="619" t="str">
        <f t="shared" si="16"/>
        <v/>
      </c>
      <c r="E49" s="619" t="str">
        <f t="shared" si="17"/>
        <v/>
      </c>
      <c r="F49" s="619" t="str">
        <f t="shared" si="18"/>
        <v/>
      </c>
      <c r="G49" s="619" t="str">
        <f t="shared" si="19"/>
        <v/>
      </c>
      <c r="H49" s="620" t="str">
        <f t="shared" si="5"/>
        <v/>
      </c>
      <c r="I49" s="316" t="s">
        <v>258</v>
      </c>
      <c r="J49" s="254"/>
      <c r="K49" s="50" t="str">
        <f>IF($W49="","",IF($W49=1,IF(VLOOKUP($S49,ﾏｽﾀ!$E$8:$K$124,ﾏｽﾀ!$J$4-ﾏｽﾀ!$D$4,0)="E",DAY($J$4),ABS(VLOOKUP($S49,ﾏｽﾀ!$E$8:$K$124,ﾏｽﾀ!$J$4-ﾏｽﾀ!$D$4,0))),IF(VLOOKUP($S49,ﾏｽﾀ!$E$8:$K$124,ﾏｽﾀ!$K$4-ﾏｽﾀ!$D$4,0)="E",DAY($J$4),ABS(VLOOKUP($S49,ﾏｽﾀ!$E$8:$K$124,ﾏｽﾀ!$K$4-ﾏｽﾀ!$D$4,0)))))</f>
        <v/>
      </c>
      <c r="L49" s="255"/>
      <c r="M49" s="255"/>
      <c r="N49" s="255"/>
      <c r="O49" s="50" t="str">
        <f>IF($S49="","",IF($M49="",IF($J49="","ERR",IF(VLOOKUP($S49,ﾏｽﾀ!$E$8:$K$124,ﾏｽﾀ!$J$4-ﾏｽﾀ!$D$4,0)="E",MONTH($J49),IF(MONTH($J49)-1=0,12,MONTH($J49)-1))),MONTH($M49)))</f>
        <v/>
      </c>
      <c r="P49" s="50" t="str">
        <f>IF($S49="","",IF($M49="",IF($K49="","ERR",IF(VLOOKUP($S49,ﾏｽﾀ!$E$8:$K$124,ﾏｽﾀ!$J$4-ﾏｽﾀ!$D$4,0)="E",1,$K49+1)),DAY($M49)))</f>
        <v/>
      </c>
      <c r="Q49" s="50" t="str">
        <f t="shared" si="13"/>
        <v/>
      </c>
      <c r="R49" s="50" t="str">
        <f t="shared" si="14"/>
        <v/>
      </c>
      <c r="S49" s="601" t="str">
        <f>IF($T49="","",INDEX(ﾏｽﾀ!$E$8:$E$124,MATCH(INDEX(ﾏｽﾀ!$N$8:$N$124,MATCH($T49,ﾏｽﾀ!$O$8:$O$124,0)),ﾏｽﾀ!$B$8:$B$124,0))&amp;"")</f>
        <v/>
      </c>
      <c r="T49" s="535"/>
      <c r="U49" s="601" t="str">
        <f>IF($T49="","",INDEX(ﾏｽﾀ!$G$8:$G$124,MATCH(INDEX(ﾏｽﾀ!$N$8:$N$124,MATCH($T49,ﾏｽﾀ!$O$8:$O$124,0)),ﾏｽﾀ!$B$8:$B$124,0))&amp;"")</f>
        <v/>
      </c>
      <c r="V49" s="257"/>
      <c r="W49" s="602" t="str">
        <f>IF($X49="","",INDEX(ﾏｽﾀ!$T$8:$T$16,MATCH($X49,ﾏｽﾀ!$U$8:$U$16,0))&amp;"")</f>
        <v/>
      </c>
      <c r="X49" s="248"/>
      <c r="Y49" s="260"/>
      <c r="Z49" s="260"/>
      <c r="AA49" s="256"/>
      <c r="AB49" s="492" t="str">
        <f>IF($W49="","",IF($AA49="","ERR",IF($AA49="1",IF($AE49="","ERR",VLOOKUP($AA49,ﾏｽﾀ!$W$8:$X$10,ﾏｽﾀ!$X$4,0)),IF($AA49="2",IF($AG49="","ERR",VLOOKUP($AA49,ﾏｽﾀ!$W$8:$X$10,ﾏｽﾀ!$X$4,0)),IF($AA49="3",IF($AI49="","ERR",VLOOKUP($AA49,ﾏｽﾀ!$W$8:$X$10,ﾏｽﾀ!$X$4,0)),"ERR")))))</f>
        <v/>
      </c>
      <c r="AC49" s="261"/>
      <c r="AD49" s="321" t="str">
        <f>IF($AA49="1",COUNTIF('納品書明細16-E'!$D$9:$D$206,$AN49)+COUNTIF('納品書明細F-15'!$D$9:$D$297,$AN49)-IF(ISNA(MATCH(CONCATENATE(VLOOKUP($AC49,$AB$1:$AC$4,2,FALSE),$S49,IF($U49="","00",$U49),$W49,2),$F$11:$F$160,0)),0,SUMIF($F$11:$F$160,CONCATENATE(VLOOKUP($AC49,$AB$1:$AC$4,2,FALSE),$S49,IF($U49="","00",$U49),$W49,2),$AF$11:$AF$160)),"")</f>
        <v/>
      </c>
      <c r="AE49" s="319" t="str">
        <f>IF($AA49="1",SUMIF('納品書明細16-E'!$C$9:$C$206,$AO49,'納品書明細16-E'!$Q$9:$Q$206)+SUMIF('納品書明細F-15'!$C$9:$C$297,$AO49,'納品書明細F-15'!$Q$9:$Q$297)-IF(ISNA(MATCH(CONCATENATE(VLOOKUP($AC49,$AB$1:$AC$4,2,FALSE),$S49,IF($U49="","00",$U49),$W49,2),$F$11:$F$160,0)),0,SUMIF($F$11:$F$160,CONCATENATE(VLOOKUP($AC49,$AB$1:$AC$4,2,FALSE),$S49,IF($U49="","00",$U49),$W49,2),$AG$11:$AG$160)),"")</f>
        <v/>
      </c>
      <c r="AF49" s="322"/>
      <c r="AG49" s="327"/>
      <c r="AH49" s="57"/>
      <c r="AI49" s="319" t="str">
        <f>IF($AH49="","",IF(ISNA(MATCH($AH49,'納品書明細16-E'!$H$9:$H$206,0)),IF(ISNA(MATCH($AH49,'納品書明細F-15'!$H$9:$H$297,0)),"ERR",SUMIF('納品書明細F-15'!$H$9:$H$297,$AH49,'納品書明細F-15'!$Q$9:$Q$297)),SUMIF('納品書明細16-E'!$H$9:$H$206,$AH49,'納品書明細16-E'!$Q$9:$Q$206)))</f>
        <v/>
      </c>
      <c r="AK49" s="328" t="str">
        <f t="shared" si="20"/>
        <v/>
      </c>
      <c r="AL49" s="269" t="str">
        <f t="shared" si="21"/>
        <v/>
      </c>
      <c r="AM49" s="270" t="str">
        <f t="shared" si="22"/>
        <v/>
      </c>
      <c r="AN49" s="244" t="str">
        <f t="shared" si="23"/>
        <v/>
      </c>
      <c r="AO49" s="244" t="str">
        <f t="shared" si="24"/>
        <v/>
      </c>
      <c r="AP49" s="271" t="str">
        <f t="shared" si="15"/>
        <v/>
      </c>
      <c r="AQ49" s="262"/>
      <c r="AR49" s="263"/>
      <c r="AS49" s="84"/>
      <c r="AT49" s="86"/>
      <c r="AU49" s="87"/>
    </row>
    <row r="50" spans="1:47" ht="15" customHeight="1">
      <c r="A50" s="281" t="str">
        <f t="shared" si="0"/>
        <v/>
      </c>
      <c r="B50" s="282" t="str">
        <f t="shared" si="12"/>
        <v/>
      </c>
      <c r="C50" s="618" t="str">
        <f>IF(AND($S50="",$U50="",$W50="",$AA50="",$AE50="",$AG50="",$AI50=""),"",MAX($C$10:$C49)+1)</f>
        <v/>
      </c>
      <c r="D50" s="619" t="str">
        <f t="shared" si="16"/>
        <v/>
      </c>
      <c r="E50" s="619" t="str">
        <f t="shared" si="17"/>
        <v/>
      </c>
      <c r="F50" s="619" t="str">
        <f t="shared" si="18"/>
        <v/>
      </c>
      <c r="G50" s="619" t="str">
        <f t="shared" si="19"/>
        <v/>
      </c>
      <c r="H50" s="620" t="str">
        <f t="shared" si="5"/>
        <v/>
      </c>
      <c r="I50" s="316" t="s">
        <v>259</v>
      </c>
      <c r="J50" s="254"/>
      <c r="K50" s="50" t="str">
        <f>IF($W50="","",IF($W50=1,IF(VLOOKUP($S50,ﾏｽﾀ!$E$8:$K$124,ﾏｽﾀ!$J$4-ﾏｽﾀ!$D$4,0)="E",DAY($J$4),ABS(VLOOKUP($S50,ﾏｽﾀ!$E$8:$K$124,ﾏｽﾀ!$J$4-ﾏｽﾀ!$D$4,0))),IF(VLOOKUP($S50,ﾏｽﾀ!$E$8:$K$124,ﾏｽﾀ!$K$4-ﾏｽﾀ!$D$4,0)="E",DAY($J$4),ABS(VLOOKUP($S50,ﾏｽﾀ!$E$8:$K$124,ﾏｽﾀ!$K$4-ﾏｽﾀ!$D$4,0)))))</f>
        <v/>
      </c>
      <c r="L50" s="255"/>
      <c r="M50" s="255"/>
      <c r="N50" s="255"/>
      <c r="O50" s="50" t="str">
        <f>IF($S50="","",IF($M50="",IF($J50="","ERR",IF(VLOOKUP($S50,ﾏｽﾀ!$E$8:$K$124,ﾏｽﾀ!$J$4-ﾏｽﾀ!$D$4,0)="E",MONTH($J50),IF(MONTH($J50)-1=0,12,MONTH($J50)-1))),MONTH($M50)))</f>
        <v/>
      </c>
      <c r="P50" s="50" t="str">
        <f>IF($S50="","",IF($M50="",IF($K50="","ERR",IF(VLOOKUP($S50,ﾏｽﾀ!$E$8:$K$124,ﾏｽﾀ!$J$4-ﾏｽﾀ!$D$4,0)="E",1,$K50+1)),DAY($M50)))</f>
        <v/>
      </c>
      <c r="Q50" s="50" t="str">
        <f t="shared" si="13"/>
        <v/>
      </c>
      <c r="R50" s="50" t="str">
        <f t="shared" si="14"/>
        <v/>
      </c>
      <c r="S50" s="601" t="str">
        <f>IF($T50="","",INDEX(ﾏｽﾀ!$E$8:$E$124,MATCH(INDEX(ﾏｽﾀ!$N$8:$N$124,MATCH($T50,ﾏｽﾀ!$O$8:$O$124,0)),ﾏｽﾀ!$B$8:$B$124,0))&amp;"")</f>
        <v/>
      </c>
      <c r="T50" s="535"/>
      <c r="U50" s="601" t="str">
        <f>IF($T50="","",INDEX(ﾏｽﾀ!$G$8:$G$124,MATCH(INDEX(ﾏｽﾀ!$N$8:$N$124,MATCH($T50,ﾏｽﾀ!$O$8:$O$124,0)),ﾏｽﾀ!$B$8:$B$124,0))&amp;"")</f>
        <v/>
      </c>
      <c r="V50" s="257"/>
      <c r="W50" s="602" t="str">
        <f>IF($X50="","",INDEX(ﾏｽﾀ!$T$8:$T$16,MATCH($X50,ﾏｽﾀ!$U$8:$U$16,0))&amp;"")</f>
        <v/>
      </c>
      <c r="X50" s="248"/>
      <c r="Y50" s="260"/>
      <c r="Z50" s="260"/>
      <c r="AA50" s="256"/>
      <c r="AB50" s="492" t="str">
        <f>IF($W50="","",IF($AA50="","ERR",IF($AA50="1",IF($AE50="","ERR",VLOOKUP($AA50,ﾏｽﾀ!$W$8:$X$10,ﾏｽﾀ!$X$4,0)),IF($AA50="2",IF($AG50="","ERR",VLOOKUP($AA50,ﾏｽﾀ!$W$8:$X$10,ﾏｽﾀ!$X$4,0)),IF($AA50="3",IF($AI50="","ERR",VLOOKUP($AA50,ﾏｽﾀ!$W$8:$X$10,ﾏｽﾀ!$X$4,0)),"ERR")))))</f>
        <v/>
      </c>
      <c r="AC50" s="261"/>
      <c r="AD50" s="321" t="str">
        <f>IF($AA50="1",COUNTIF('納品書明細16-E'!$D$9:$D$206,$AN50)+COUNTIF('納品書明細F-15'!$D$9:$D$297,$AN50)-IF(ISNA(MATCH(CONCATENATE(VLOOKUP($AC50,$AB$1:$AC$4,2,FALSE),$S50,IF($U50="","00",$U50),$W50,2),$F$11:$F$160,0)),0,SUMIF($F$11:$F$160,CONCATENATE(VLOOKUP($AC50,$AB$1:$AC$4,2,FALSE),$S50,IF($U50="","00",$U50),$W50,2),$AF$11:$AF$160)),"")</f>
        <v/>
      </c>
      <c r="AE50" s="319" t="str">
        <f>IF($AA50="1",SUMIF('納品書明細16-E'!$C$9:$C$206,$AO50,'納品書明細16-E'!$Q$9:$Q$206)+SUMIF('納品書明細F-15'!$C$9:$C$297,$AO50,'納品書明細F-15'!$Q$9:$Q$297)-IF(ISNA(MATCH(CONCATENATE(VLOOKUP($AC50,$AB$1:$AC$4,2,FALSE),$S50,IF($U50="","00",$U50),$W50,2),$F$11:$F$160,0)),0,SUMIF($F$11:$F$160,CONCATENATE(VLOOKUP($AC50,$AB$1:$AC$4,2,FALSE),$S50,IF($U50="","00",$U50),$W50,2),$AG$11:$AG$160)),"")</f>
        <v/>
      </c>
      <c r="AF50" s="322"/>
      <c r="AG50" s="327"/>
      <c r="AH50" s="57"/>
      <c r="AI50" s="319" t="str">
        <f>IF($AH50="","",IF(ISNA(MATCH($AH50,'納品書明細16-E'!$H$9:$H$206,0)),IF(ISNA(MATCH($AH50,'納品書明細F-15'!$H$9:$H$297,0)),"ERR",SUMIF('納品書明細F-15'!$H$9:$H$297,$AH50,'納品書明細F-15'!$Q$9:$Q$297)),SUMIF('納品書明細16-E'!$H$9:$H$206,$AH50,'納品書明細16-E'!$Q$9:$Q$206)))</f>
        <v/>
      </c>
      <c r="AK50" s="328" t="str">
        <f t="shared" si="20"/>
        <v/>
      </c>
      <c r="AL50" s="269" t="str">
        <f t="shared" si="21"/>
        <v/>
      </c>
      <c r="AM50" s="270" t="str">
        <f t="shared" si="22"/>
        <v/>
      </c>
      <c r="AN50" s="244" t="str">
        <f t="shared" si="23"/>
        <v/>
      </c>
      <c r="AO50" s="244" t="str">
        <f t="shared" si="24"/>
        <v/>
      </c>
      <c r="AP50" s="271" t="str">
        <f t="shared" si="15"/>
        <v/>
      </c>
      <c r="AQ50" s="262"/>
      <c r="AR50" s="263"/>
      <c r="AS50" s="84"/>
      <c r="AT50" s="86"/>
      <c r="AU50" s="87"/>
    </row>
    <row r="51" spans="1:47" ht="15" customHeight="1">
      <c r="A51" s="281" t="str">
        <f t="shared" si="0"/>
        <v/>
      </c>
      <c r="B51" s="282" t="str">
        <f t="shared" si="12"/>
        <v/>
      </c>
      <c r="C51" s="618" t="str">
        <f>IF(AND($S51="",$U51="",$W51="",$AA51="",$AE51="",$AG51="",$AI51=""),"",MAX($C$10:$C50)+1)</f>
        <v/>
      </c>
      <c r="D51" s="619" t="str">
        <f t="shared" si="16"/>
        <v/>
      </c>
      <c r="E51" s="619" t="str">
        <f t="shared" si="17"/>
        <v/>
      </c>
      <c r="F51" s="619" t="str">
        <f t="shared" si="18"/>
        <v/>
      </c>
      <c r="G51" s="619" t="str">
        <f t="shared" si="19"/>
        <v/>
      </c>
      <c r="H51" s="620" t="str">
        <f t="shared" si="5"/>
        <v/>
      </c>
      <c r="I51" s="316" t="s">
        <v>260</v>
      </c>
      <c r="J51" s="254"/>
      <c r="K51" s="50" t="str">
        <f>IF($W51="","",IF($W51=1,IF(VLOOKUP($S51,ﾏｽﾀ!$E$8:$K$124,ﾏｽﾀ!$J$4-ﾏｽﾀ!$D$4,0)="E",DAY($J$4),ABS(VLOOKUP($S51,ﾏｽﾀ!$E$8:$K$124,ﾏｽﾀ!$J$4-ﾏｽﾀ!$D$4,0))),IF(VLOOKUP($S51,ﾏｽﾀ!$E$8:$K$124,ﾏｽﾀ!$K$4-ﾏｽﾀ!$D$4,0)="E",DAY($J$4),ABS(VLOOKUP($S51,ﾏｽﾀ!$E$8:$K$124,ﾏｽﾀ!$K$4-ﾏｽﾀ!$D$4,0)))))</f>
        <v/>
      </c>
      <c r="L51" s="255"/>
      <c r="M51" s="255"/>
      <c r="N51" s="255"/>
      <c r="O51" s="50" t="str">
        <f>IF($S51="","",IF($M51="",IF($J51="","ERR",IF(VLOOKUP($S51,ﾏｽﾀ!$E$8:$K$124,ﾏｽﾀ!$J$4-ﾏｽﾀ!$D$4,0)="E",MONTH($J51),IF(MONTH($J51)-1=0,12,MONTH($J51)-1))),MONTH($M51)))</f>
        <v/>
      </c>
      <c r="P51" s="50" t="str">
        <f>IF($S51="","",IF($M51="",IF($K51="","ERR",IF(VLOOKUP($S51,ﾏｽﾀ!$E$8:$K$124,ﾏｽﾀ!$J$4-ﾏｽﾀ!$D$4,0)="E",1,$K51+1)),DAY($M51)))</f>
        <v/>
      </c>
      <c r="Q51" s="50" t="str">
        <f t="shared" si="13"/>
        <v/>
      </c>
      <c r="R51" s="50" t="str">
        <f t="shared" si="14"/>
        <v/>
      </c>
      <c r="S51" s="601" t="str">
        <f>IF($T51="","",INDEX(ﾏｽﾀ!$E$8:$E$124,MATCH(INDEX(ﾏｽﾀ!$N$8:$N$124,MATCH($T51,ﾏｽﾀ!$O$8:$O$124,0)),ﾏｽﾀ!$B$8:$B$124,0))&amp;"")</f>
        <v/>
      </c>
      <c r="T51" s="535"/>
      <c r="U51" s="601" t="str">
        <f>IF($T51="","",INDEX(ﾏｽﾀ!$G$8:$G$124,MATCH(INDEX(ﾏｽﾀ!$N$8:$N$124,MATCH($T51,ﾏｽﾀ!$O$8:$O$124,0)),ﾏｽﾀ!$B$8:$B$124,0))&amp;"")</f>
        <v/>
      </c>
      <c r="V51" s="257"/>
      <c r="W51" s="602" t="str">
        <f>IF($X51="","",INDEX(ﾏｽﾀ!$T$8:$T$16,MATCH($X51,ﾏｽﾀ!$U$8:$U$16,0))&amp;"")</f>
        <v/>
      </c>
      <c r="X51" s="248"/>
      <c r="Y51" s="260"/>
      <c r="Z51" s="260"/>
      <c r="AA51" s="256"/>
      <c r="AB51" s="492" t="str">
        <f>IF($W51="","",IF($AA51="","ERR",IF($AA51="1",IF($AE51="","ERR",VLOOKUP($AA51,ﾏｽﾀ!$W$8:$X$10,ﾏｽﾀ!$X$4,0)),IF($AA51="2",IF($AG51="","ERR",VLOOKUP($AA51,ﾏｽﾀ!$W$8:$X$10,ﾏｽﾀ!$X$4,0)),IF($AA51="3",IF($AI51="","ERR",VLOOKUP($AA51,ﾏｽﾀ!$W$8:$X$10,ﾏｽﾀ!$X$4,0)),"ERR")))))</f>
        <v/>
      </c>
      <c r="AC51" s="261"/>
      <c r="AD51" s="321" t="str">
        <f>IF($AA51="1",COUNTIF('納品書明細16-E'!$D$9:$D$206,$AN51)+COUNTIF('納品書明細F-15'!$D$9:$D$297,$AN51)-IF(ISNA(MATCH(CONCATENATE(VLOOKUP($AC51,$AB$1:$AC$4,2,FALSE),$S51,IF($U51="","00",$U51),$W51,2),$F$11:$F$160,0)),0,SUMIF($F$11:$F$160,CONCATENATE(VLOOKUP($AC51,$AB$1:$AC$4,2,FALSE),$S51,IF($U51="","00",$U51),$W51,2),$AF$11:$AF$160)),"")</f>
        <v/>
      </c>
      <c r="AE51" s="319" t="str">
        <f>IF($AA51="1",SUMIF('納品書明細16-E'!$C$9:$C$206,$AO51,'納品書明細16-E'!$Q$9:$Q$206)+SUMIF('納品書明細F-15'!$C$9:$C$297,$AO51,'納品書明細F-15'!$Q$9:$Q$297)-IF(ISNA(MATCH(CONCATENATE(VLOOKUP($AC51,$AB$1:$AC$4,2,FALSE),$S51,IF($U51="","00",$U51),$W51,2),$F$11:$F$160,0)),0,SUMIF($F$11:$F$160,CONCATENATE(VLOOKUP($AC51,$AB$1:$AC$4,2,FALSE),$S51,IF($U51="","00",$U51),$W51,2),$AG$11:$AG$160)),"")</f>
        <v/>
      </c>
      <c r="AF51" s="322"/>
      <c r="AG51" s="327"/>
      <c r="AH51" s="57"/>
      <c r="AI51" s="319" t="str">
        <f>IF($AH51="","",IF(ISNA(MATCH($AH51,'納品書明細16-E'!$H$9:$H$206,0)),IF(ISNA(MATCH($AH51,'納品書明細F-15'!$H$9:$H$297,0)),"ERR",SUMIF('納品書明細F-15'!$H$9:$H$297,$AH51,'納品書明細F-15'!$Q$9:$Q$297)),SUMIF('納品書明細16-E'!$H$9:$H$206,$AH51,'納品書明細16-E'!$Q$9:$Q$206)))</f>
        <v/>
      </c>
      <c r="AK51" s="328" t="str">
        <f t="shared" si="20"/>
        <v/>
      </c>
      <c r="AL51" s="269" t="str">
        <f t="shared" si="21"/>
        <v/>
      </c>
      <c r="AM51" s="270" t="str">
        <f t="shared" si="22"/>
        <v/>
      </c>
      <c r="AN51" s="244" t="str">
        <f t="shared" si="23"/>
        <v/>
      </c>
      <c r="AO51" s="244" t="str">
        <f t="shared" si="24"/>
        <v/>
      </c>
      <c r="AP51" s="271" t="str">
        <f t="shared" si="15"/>
        <v/>
      </c>
      <c r="AQ51" s="262"/>
      <c r="AR51" s="263"/>
      <c r="AS51" s="84"/>
      <c r="AT51" s="86"/>
      <c r="AU51" s="87"/>
    </row>
    <row r="52" spans="1:47" ht="15" customHeight="1">
      <c r="A52" s="281" t="str">
        <f t="shared" si="0"/>
        <v/>
      </c>
      <c r="B52" s="282" t="str">
        <f t="shared" si="12"/>
        <v/>
      </c>
      <c r="C52" s="618" t="str">
        <f>IF(AND($S52="",$U52="",$W52="",$AA52="",$AE52="",$AG52="",$AI52=""),"",MAX($C$10:$C51)+1)</f>
        <v/>
      </c>
      <c r="D52" s="619" t="str">
        <f t="shared" si="16"/>
        <v/>
      </c>
      <c r="E52" s="619" t="str">
        <f t="shared" si="17"/>
        <v/>
      </c>
      <c r="F52" s="619" t="str">
        <f t="shared" si="18"/>
        <v/>
      </c>
      <c r="G52" s="619" t="str">
        <f t="shared" si="19"/>
        <v/>
      </c>
      <c r="H52" s="620" t="str">
        <f t="shared" si="5"/>
        <v/>
      </c>
      <c r="I52" s="316" t="s">
        <v>261</v>
      </c>
      <c r="J52" s="254"/>
      <c r="K52" s="50" t="str">
        <f>IF($W52="","",IF($W52=1,IF(VLOOKUP($S52,ﾏｽﾀ!$E$8:$K$124,ﾏｽﾀ!$J$4-ﾏｽﾀ!$D$4,0)="E",DAY($J$4),ABS(VLOOKUP($S52,ﾏｽﾀ!$E$8:$K$124,ﾏｽﾀ!$J$4-ﾏｽﾀ!$D$4,0))),IF(VLOOKUP($S52,ﾏｽﾀ!$E$8:$K$124,ﾏｽﾀ!$K$4-ﾏｽﾀ!$D$4,0)="E",DAY($J$4),ABS(VLOOKUP($S52,ﾏｽﾀ!$E$8:$K$124,ﾏｽﾀ!$K$4-ﾏｽﾀ!$D$4,0)))))</f>
        <v/>
      </c>
      <c r="L52" s="255"/>
      <c r="M52" s="255"/>
      <c r="N52" s="255"/>
      <c r="O52" s="50" t="str">
        <f>IF($S52="","",IF($M52="",IF($J52="","ERR",IF(VLOOKUP($S52,ﾏｽﾀ!$E$8:$K$124,ﾏｽﾀ!$J$4-ﾏｽﾀ!$D$4,0)="E",MONTH($J52),IF(MONTH($J52)-1=0,12,MONTH($J52)-1))),MONTH($M52)))</f>
        <v/>
      </c>
      <c r="P52" s="50" t="str">
        <f>IF($S52="","",IF($M52="",IF($K52="","ERR",IF(VLOOKUP($S52,ﾏｽﾀ!$E$8:$K$124,ﾏｽﾀ!$J$4-ﾏｽﾀ!$D$4,0)="E",1,$K52+1)),DAY($M52)))</f>
        <v/>
      </c>
      <c r="Q52" s="50" t="str">
        <f t="shared" si="13"/>
        <v/>
      </c>
      <c r="R52" s="50" t="str">
        <f t="shared" si="14"/>
        <v/>
      </c>
      <c r="S52" s="601" t="str">
        <f>IF($T52="","",INDEX(ﾏｽﾀ!$E$8:$E$124,MATCH(INDEX(ﾏｽﾀ!$N$8:$N$124,MATCH($T52,ﾏｽﾀ!$O$8:$O$124,0)),ﾏｽﾀ!$B$8:$B$124,0))&amp;"")</f>
        <v/>
      </c>
      <c r="T52" s="535"/>
      <c r="U52" s="601" t="str">
        <f>IF($T52="","",INDEX(ﾏｽﾀ!$G$8:$G$124,MATCH(INDEX(ﾏｽﾀ!$N$8:$N$124,MATCH($T52,ﾏｽﾀ!$O$8:$O$124,0)),ﾏｽﾀ!$B$8:$B$124,0))&amp;"")</f>
        <v/>
      </c>
      <c r="V52" s="257"/>
      <c r="W52" s="602" t="str">
        <f>IF($X52="","",INDEX(ﾏｽﾀ!$T$8:$T$16,MATCH($X52,ﾏｽﾀ!$U$8:$U$16,0))&amp;"")</f>
        <v/>
      </c>
      <c r="X52" s="248"/>
      <c r="Y52" s="260"/>
      <c r="Z52" s="260"/>
      <c r="AA52" s="256"/>
      <c r="AB52" s="492" t="str">
        <f>IF($W52="","",IF($AA52="","ERR",IF($AA52="1",IF($AE52="","ERR",VLOOKUP($AA52,ﾏｽﾀ!$W$8:$X$10,ﾏｽﾀ!$X$4,0)),IF($AA52="2",IF($AG52="","ERR",VLOOKUP($AA52,ﾏｽﾀ!$W$8:$X$10,ﾏｽﾀ!$X$4,0)),IF($AA52="3",IF($AI52="","ERR",VLOOKUP($AA52,ﾏｽﾀ!$W$8:$X$10,ﾏｽﾀ!$X$4,0)),"ERR")))))</f>
        <v/>
      </c>
      <c r="AC52" s="261"/>
      <c r="AD52" s="321" t="str">
        <f>IF($AA52="1",COUNTIF('納品書明細16-E'!$D$9:$D$206,$AN52)+COUNTIF('納品書明細F-15'!$D$9:$D$297,$AN52)-IF(ISNA(MATCH(CONCATENATE(VLOOKUP($AC52,$AB$1:$AC$4,2,FALSE),$S52,IF($U52="","00",$U52),$W52,2),$F$11:$F$160,0)),0,SUMIF($F$11:$F$160,CONCATENATE(VLOOKUP($AC52,$AB$1:$AC$4,2,FALSE),$S52,IF($U52="","00",$U52),$W52,2),$AF$11:$AF$160)),"")</f>
        <v/>
      </c>
      <c r="AE52" s="319" t="str">
        <f>IF($AA52="1",SUMIF('納品書明細16-E'!$C$9:$C$206,$AO52,'納品書明細16-E'!$Q$9:$Q$206)+SUMIF('納品書明細F-15'!$C$9:$C$297,$AO52,'納品書明細F-15'!$Q$9:$Q$297)-IF(ISNA(MATCH(CONCATENATE(VLOOKUP($AC52,$AB$1:$AC$4,2,FALSE),$S52,IF($U52="","00",$U52),$W52,2),$F$11:$F$160,0)),0,SUMIF($F$11:$F$160,CONCATENATE(VLOOKUP($AC52,$AB$1:$AC$4,2,FALSE),$S52,IF($U52="","00",$U52),$W52,2),$AG$11:$AG$160)),"")</f>
        <v/>
      </c>
      <c r="AF52" s="322"/>
      <c r="AG52" s="327"/>
      <c r="AH52" s="57"/>
      <c r="AI52" s="319" t="str">
        <f>IF($AH52="","",IF(ISNA(MATCH($AH52,'納品書明細16-E'!$H$9:$H$206,0)),IF(ISNA(MATCH($AH52,'納品書明細F-15'!$H$9:$H$297,0)),"ERR",SUMIF('納品書明細F-15'!$H$9:$H$297,$AH52,'納品書明細F-15'!$Q$9:$Q$297)),SUMIF('納品書明細16-E'!$H$9:$H$206,$AH52,'納品書明細16-E'!$Q$9:$Q$206)))</f>
        <v/>
      </c>
      <c r="AK52" s="328" t="str">
        <f t="shared" si="20"/>
        <v/>
      </c>
      <c r="AL52" s="269" t="str">
        <f t="shared" si="21"/>
        <v/>
      </c>
      <c r="AM52" s="270" t="str">
        <f t="shared" si="22"/>
        <v/>
      </c>
      <c r="AN52" s="244" t="str">
        <f t="shared" si="23"/>
        <v/>
      </c>
      <c r="AO52" s="244" t="str">
        <f t="shared" si="24"/>
        <v/>
      </c>
      <c r="AP52" s="271" t="str">
        <f t="shared" si="15"/>
        <v/>
      </c>
      <c r="AQ52" s="262"/>
      <c r="AR52" s="263"/>
      <c r="AS52" s="84"/>
      <c r="AT52" s="86"/>
      <c r="AU52" s="87"/>
    </row>
    <row r="53" spans="1:47" ht="15" customHeight="1">
      <c r="A53" s="281" t="str">
        <f t="shared" si="0"/>
        <v/>
      </c>
      <c r="B53" s="282" t="str">
        <f t="shared" si="12"/>
        <v/>
      </c>
      <c r="C53" s="618" t="str">
        <f>IF(AND($S53="",$U53="",$W53="",$AA53="",$AE53="",$AG53="",$AI53=""),"",MAX($C$10:$C52)+1)</f>
        <v/>
      </c>
      <c r="D53" s="619" t="str">
        <f t="shared" si="16"/>
        <v/>
      </c>
      <c r="E53" s="619" t="str">
        <f t="shared" si="17"/>
        <v/>
      </c>
      <c r="F53" s="619" t="str">
        <f t="shared" si="18"/>
        <v/>
      </c>
      <c r="G53" s="619" t="str">
        <f t="shared" si="19"/>
        <v/>
      </c>
      <c r="H53" s="620" t="str">
        <f t="shared" si="5"/>
        <v/>
      </c>
      <c r="I53" s="316" t="s">
        <v>262</v>
      </c>
      <c r="J53" s="254"/>
      <c r="K53" s="50" t="str">
        <f>IF($W53="","",IF($W53=1,IF(VLOOKUP($S53,ﾏｽﾀ!$E$8:$K$124,ﾏｽﾀ!$J$4-ﾏｽﾀ!$D$4,0)="E",DAY($J$4),ABS(VLOOKUP($S53,ﾏｽﾀ!$E$8:$K$124,ﾏｽﾀ!$J$4-ﾏｽﾀ!$D$4,0))),IF(VLOOKUP($S53,ﾏｽﾀ!$E$8:$K$124,ﾏｽﾀ!$K$4-ﾏｽﾀ!$D$4,0)="E",DAY($J$4),ABS(VLOOKUP($S53,ﾏｽﾀ!$E$8:$K$124,ﾏｽﾀ!$K$4-ﾏｽﾀ!$D$4,0)))))</f>
        <v/>
      </c>
      <c r="L53" s="255"/>
      <c r="M53" s="255"/>
      <c r="N53" s="255"/>
      <c r="O53" s="50" t="str">
        <f>IF($S53="","",IF($M53="",IF($J53="","ERR",IF(VLOOKUP($S53,ﾏｽﾀ!$E$8:$K$124,ﾏｽﾀ!$J$4-ﾏｽﾀ!$D$4,0)="E",MONTH($J53),IF(MONTH($J53)-1=0,12,MONTH($J53)-1))),MONTH($M53)))</f>
        <v/>
      </c>
      <c r="P53" s="50" t="str">
        <f>IF($S53="","",IF($M53="",IF($K53="","ERR",IF(VLOOKUP($S53,ﾏｽﾀ!$E$8:$K$124,ﾏｽﾀ!$J$4-ﾏｽﾀ!$D$4,0)="E",1,$K53+1)),DAY($M53)))</f>
        <v/>
      </c>
      <c r="Q53" s="50" t="str">
        <f t="shared" si="13"/>
        <v/>
      </c>
      <c r="R53" s="50" t="str">
        <f t="shared" si="14"/>
        <v/>
      </c>
      <c r="S53" s="601" t="str">
        <f>IF($T53="","",INDEX(ﾏｽﾀ!$E$8:$E$124,MATCH(INDEX(ﾏｽﾀ!$N$8:$N$124,MATCH($T53,ﾏｽﾀ!$O$8:$O$124,0)),ﾏｽﾀ!$B$8:$B$124,0))&amp;"")</f>
        <v/>
      </c>
      <c r="T53" s="535"/>
      <c r="U53" s="601" t="str">
        <f>IF($T53="","",INDEX(ﾏｽﾀ!$G$8:$G$124,MATCH(INDEX(ﾏｽﾀ!$N$8:$N$124,MATCH($T53,ﾏｽﾀ!$O$8:$O$124,0)),ﾏｽﾀ!$B$8:$B$124,0))&amp;"")</f>
        <v/>
      </c>
      <c r="V53" s="257"/>
      <c r="W53" s="602" t="str">
        <f>IF($X53="","",INDEX(ﾏｽﾀ!$T$8:$T$16,MATCH($X53,ﾏｽﾀ!$U$8:$U$16,0))&amp;"")</f>
        <v/>
      </c>
      <c r="X53" s="248"/>
      <c r="Y53" s="260"/>
      <c r="Z53" s="260"/>
      <c r="AA53" s="256"/>
      <c r="AB53" s="492" t="str">
        <f>IF($W53="","",IF($AA53="","ERR",IF($AA53="1",IF($AE53="","ERR",VLOOKUP($AA53,ﾏｽﾀ!$W$8:$X$10,ﾏｽﾀ!$X$4,0)),IF($AA53="2",IF($AG53="","ERR",VLOOKUP($AA53,ﾏｽﾀ!$W$8:$X$10,ﾏｽﾀ!$X$4,0)),IF($AA53="3",IF($AI53="","ERR",VLOOKUP($AA53,ﾏｽﾀ!$W$8:$X$10,ﾏｽﾀ!$X$4,0)),"ERR")))))</f>
        <v/>
      </c>
      <c r="AC53" s="261"/>
      <c r="AD53" s="321" t="str">
        <f>IF($AA53="1",COUNTIF('納品書明細16-E'!$D$9:$D$206,$AN53)+COUNTIF('納品書明細F-15'!$D$9:$D$297,$AN53)-IF(ISNA(MATCH(CONCATENATE(VLOOKUP($AC53,$AB$1:$AC$4,2,FALSE),$S53,IF($U53="","00",$U53),$W53,2),$F$11:$F$160,0)),0,SUMIF($F$11:$F$160,CONCATENATE(VLOOKUP($AC53,$AB$1:$AC$4,2,FALSE),$S53,IF($U53="","00",$U53),$W53,2),$AF$11:$AF$160)),"")</f>
        <v/>
      </c>
      <c r="AE53" s="319" t="str">
        <f>IF($AA53="1",SUMIF('納品書明細16-E'!$C$9:$C$206,$AO53,'納品書明細16-E'!$Q$9:$Q$206)+SUMIF('納品書明細F-15'!$C$9:$C$297,$AO53,'納品書明細F-15'!$Q$9:$Q$297)-IF(ISNA(MATCH(CONCATENATE(VLOOKUP($AC53,$AB$1:$AC$4,2,FALSE),$S53,IF($U53="","00",$U53),$W53,2),$F$11:$F$160,0)),0,SUMIF($F$11:$F$160,CONCATENATE(VLOOKUP($AC53,$AB$1:$AC$4,2,FALSE),$S53,IF($U53="","00",$U53),$W53,2),$AG$11:$AG$160)),"")</f>
        <v/>
      </c>
      <c r="AF53" s="322"/>
      <c r="AG53" s="327"/>
      <c r="AH53" s="57"/>
      <c r="AI53" s="319" t="str">
        <f>IF($AH53="","",IF(ISNA(MATCH($AH53,'納品書明細16-E'!$H$9:$H$206,0)),IF(ISNA(MATCH($AH53,'納品書明細F-15'!$H$9:$H$297,0)),"ERR",SUMIF('納品書明細F-15'!$H$9:$H$297,$AH53,'納品書明細F-15'!$Q$9:$Q$297)),SUMIF('納品書明細16-E'!$H$9:$H$206,$AH53,'納品書明細16-E'!$Q$9:$Q$206)))</f>
        <v/>
      </c>
      <c r="AK53" s="328" t="str">
        <f t="shared" si="20"/>
        <v/>
      </c>
      <c r="AL53" s="269" t="str">
        <f t="shared" si="21"/>
        <v/>
      </c>
      <c r="AM53" s="270" t="str">
        <f t="shared" si="22"/>
        <v/>
      </c>
      <c r="AN53" s="244" t="str">
        <f t="shared" si="23"/>
        <v/>
      </c>
      <c r="AO53" s="244" t="str">
        <f t="shared" si="24"/>
        <v/>
      </c>
      <c r="AP53" s="271" t="str">
        <f t="shared" si="15"/>
        <v/>
      </c>
      <c r="AQ53" s="262"/>
      <c r="AR53" s="263"/>
      <c r="AS53" s="84"/>
      <c r="AT53" s="86"/>
      <c r="AU53" s="87"/>
    </row>
    <row r="54" spans="1:47" ht="15" customHeight="1">
      <c r="A54" s="281" t="str">
        <f t="shared" si="0"/>
        <v/>
      </c>
      <c r="B54" s="282" t="str">
        <f t="shared" si="12"/>
        <v/>
      </c>
      <c r="C54" s="618" t="str">
        <f>IF(AND($S54="",$U54="",$W54="",$AA54="",$AE54="",$AG54="",$AI54=""),"",MAX($C$10:$C53)+1)</f>
        <v/>
      </c>
      <c r="D54" s="619" t="str">
        <f t="shared" si="16"/>
        <v/>
      </c>
      <c r="E54" s="619" t="str">
        <f t="shared" si="17"/>
        <v/>
      </c>
      <c r="F54" s="619" t="str">
        <f t="shared" si="18"/>
        <v/>
      </c>
      <c r="G54" s="619" t="str">
        <f t="shared" si="19"/>
        <v/>
      </c>
      <c r="H54" s="620" t="str">
        <f t="shared" si="5"/>
        <v/>
      </c>
      <c r="I54" s="316" t="s">
        <v>263</v>
      </c>
      <c r="J54" s="254"/>
      <c r="K54" s="50" t="str">
        <f>IF($W54="","",IF($W54=1,IF(VLOOKUP($S54,ﾏｽﾀ!$E$8:$K$124,ﾏｽﾀ!$J$4-ﾏｽﾀ!$D$4,0)="E",DAY($J$4),ABS(VLOOKUP($S54,ﾏｽﾀ!$E$8:$K$124,ﾏｽﾀ!$J$4-ﾏｽﾀ!$D$4,0))),IF(VLOOKUP($S54,ﾏｽﾀ!$E$8:$K$124,ﾏｽﾀ!$K$4-ﾏｽﾀ!$D$4,0)="E",DAY($J$4),ABS(VLOOKUP($S54,ﾏｽﾀ!$E$8:$K$124,ﾏｽﾀ!$K$4-ﾏｽﾀ!$D$4,0)))))</f>
        <v/>
      </c>
      <c r="L54" s="255"/>
      <c r="M54" s="255"/>
      <c r="N54" s="255"/>
      <c r="O54" s="50" t="str">
        <f>IF($S54="","",IF($M54="",IF($J54="","ERR",IF(VLOOKUP($S54,ﾏｽﾀ!$E$8:$K$124,ﾏｽﾀ!$J$4-ﾏｽﾀ!$D$4,0)="E",MONTH($J54),IF(MONTH($J54)-1=0,12,MONTH($J54)-1))),MONTH($M54)))</f>
        <v/>
      </c>
      <c r="P54" s="50" t="str">
        <f>IF($S54="","",IF($M54="",IF($K54="","ERR",IF(VLOOKUP($S54,ﾏｽﾀ!$E$8:$K$124,ﾏｽﾀ!$J$4-ﾏｽﾀ!$D$4,0)="E",1,$K54+1)),DAY($M54)))</f>
        <v/>
      </c>
      <c r="Q54" s="50" t="str">
        <f t="shared" si="13"/>
        <v/>
      </c>
      <c r="R54" s="50" t="str">
        <f t="shared" si="14"/>
        <v/>
      </c>
      <c r="S54" s="601" t="str">
        <f>IF($T54="","",INDEX(ﾏｽﾀ!$E$8:$E$124,MATCH(INDEX(ﾏｽﾀ!$N$8:$N$124,MATCH($T54,ﾏｽﾀ!$O$8:$O$124,0)),ﾏｽﾀ!$B$8:$B$124,0))&amp;"")</f>
        <v/>
      </c>
      <c r="T54" s="535"/>
      <c r="U54" s="601" t="str">
        <f>IF($T54="","",INDEX(ﾏｽﾀ!$G$8:$G$124,MATCH(INDEX(ﾏｽﾀ!$N$8:$N$124,MATCH($T54,ﾏｽﾀ!$O$8:$O$124,0)),ﾏｽﾀ!$B$8:$B$124,0))&amp;"")</f>
        <v/>
      </c>
      <c r="V54" s="257"/>
      <c r="W54" s="602" t="str">
        <f>IF($X54="","",INDEX(ﾏｽﾀ!$T$8:$T$16,MATCH($X54,ﾏｽﾀ!$U$8:$U$16,0))&amp;"")</f>
        <v/>
      </c>
      <c r="X54" s="248"/>
      <c r="Y54" s="260"/>
      <c r="Z54" s="260"/>
      <c r="AA54" s="256"/>
      <c r="AB54" s="492" t="str">
        <f>IF($W54="","",IF($AA54="","ERR",IF($AA54="1",IF($AE54="","ERR",VLOOKUP($AA54,ﾏｽﾀ!$W$8:$X$10,ﾏｽﾀ!$X$4,0)),IF($AA54="2",IF($AG54="","ERR",VLOOKUP($AA54,ﾏｽﾀ!$W$8:$X$10,ﾏｽﾀ!$X$4,0)),IF($AA54="3",IF($AI54="","ERR",VLOOKUP($AA54,ﾏｽﾀ!$W$8:$X$10,ﾏｽﾀ!$X$4,0)),"ERR")))))</f>
        <v/>
      </c>
      <c r="AC54" s="261"/>
      <c r="AD54" s="321" t="str">
        <f>IF($AA54="1",COUNTIF('納品書明細16-E'!$D$9:$D$206,$AN54)+COUNTIF('納品書明細F-15'!$D$9:$D$297,$AN54)-IF(ISNA(MATCH(CONCATENATE(VLOOKUP($AC54,$AB$1:$AC$4,2,FALSE),$S54,IF($U54="","00",$U54),$W54,2),$F$11:$F$160,0)),0,SUMIF($F$11:$F$160,CONCATENATE(VLOOKUP($AC54,$AB$1:$AC$4,2,FALSE),$S54,IF($U54="","00",$U54),$W54,2),$AF$11:$AF$160)),"")</f>
        <v/>
      </c>
      <c r="AE54" s="319" t="str">
        <f>IF($AA54="1",SUMIF('納品書明細16-E'!$C$9:$C$206,$AO54,'納品書明細16-E'!$Q$9:$Q$206)+SUMIF('納品書明細F-15'!$C$9:$C$297,$AO54,'納品書明細F-15'!$Q$9:$Q$297)-IF(ISNA(MATCH(CONCATENATE(VLOOKUP($AC54,$AB$1:$AC$4,2,FALSE),$S54,IF($U54="","00",$U54),$W54,2),$F$11:$F$160,0)),0,SUMIF($F$11:$F$160,CONCATENATE(VLOOKUP($AC54,$AB$1:$AC$4,2,FALSE),$S54,IF($U54="","00",$U54),$W54,2),$AG$11:$AG$160)),"")</f>
        <v/>
      </c>
      <c r="AF54" s="322"/>
      <c r="AG54" s="327"/>
      <c r="AH54" s="57"/>
      <c r="AI54" s="319" t="str">
        <f>IF($AH54="","",IF(ISNA(MATCH($AH54,'納品書明細16-E'!$H$9:$H$206,0)),IF(ISNA(MATCH($AH54,'納品書明細F-15'!$H$9:$H$297,0)),"ERR",SUMIF('納品書明細F-15'!$H$9:$H$297,$AH54,'納品書明細F-15'!$Q$9:$Q$297)),SUMIF('納品書明細16-E'!$H$9:$H$206,$AH54,'納品書明細16-E'!$Q$9:$Q$206)))</f>
        <v/>
      </c>
      <c r="AK54" s="328" t="str">
        <f t="shared" si="20"/>
        <v/>
      </c>
      <c r="AL54" s="269" t="str">
        <f t="shared" si="21"/>
        <v/>
      </c>
      <c r="AM54" s="270" t="str">
        <f t="shared" si="22"/>
        <v/>
      </c>
      <c r="AN54" s="244" t="str">
        <f t="shared" si="23"/>
        <v/>
      </c>
      <c r="AO54" s="244" t="str">
        <f t="shared" si="24"/>
        <v/>
      </c>
      <c r="AP54" s="271" t="str">
        <f t="shared" si="15"/>
        <v/>
      </c>
      <c r="AQ54" s="262"/>
      <c r="AR54" s="266"/>
      <c r="AS54" s="84"/>
      <c r="AT54" s="86"/>
      <c r="AU54" s="87"/>
    </row>
    <row r="55" spans="1:47" ht="15" customHeight="1">
      <c r="A55" s="281" t="str">
        <f t="shared" si="0"/>
        <v/>
      </c>
      <c r="B55" s="282" t="str">
        <f t="shared" si="12"/>
        <v/>
      </c>
      <c r="C55" s="618" t="str">
        <f>IF(AND($S55="",$U55="",$W55="",$AA55="",$AE55="",$AG55="",$AI55=""),"",MAX($C$10:$C54)+1)</f>
        <v/>
      </c>
      <c r="D55" s="619" t="str">
        <f t="shared" si="16"/>
        <v/>
      </c>
      <c r="E55" s="619" t="str">
        <f t="shared" si="17"/>
        <v/>
      </c>
      <c r="F55" s="619" t="str">
        <f t="shared" si="18"/>
        <v/>
      </c>
      <c r="G55" s="619" t="str">
        <f t="shared" si="19"/>
        <v/>
      </c>
      <c r="H55" s="620" t="str">
        <f t="shared" si="5"/>
        <v/>
      </c>
      <c r="I55" s="316" t="s">
        <v>264</v>
      </c>
      <c r="J55" s="254"/>
      <c r="K55" s="50" t="str">
        <f>IF($W55="","",IF($W55=1,IF(VLOOKUP($S55,ﾏｽﾀ!$E$8:$K$124,ﾏｽﾀ!$J$4-ﾏｽﾀ!$D$4,0)="E",DAY($J$4),ABS(VLOOKUP($S55,ﾏｽﾀ!$E$8:$K$124,ﾏｽﾀ!$J$4-ﾏｽﾀ!$D$4,0))),IF(VLOOKUP($S55,ﾏｽﾀ!$E$8:$K$124,ﾏｽﾀ!$K$4-ﾏｽﾀ!$D$4,0)="E",DAY($J$4),ABS(VLOOKUP($S55,ﾏｽﾀ!$E$8:$K$124,ﾏｽﾀ!$K$4-ﾏｽﾀ!$D$4,0)))))</f>
        <v/>
      </c>
      <c r="L55" s="255"/>
      <c r="M55" s="255"/>
      <c r="N55" s="255"/>
      <c r="O55" s="50" t="str">
        <f>IF($S55="","",IF($M55="",IF($J55="","ERR",IF(VLOOKUP($S55,ﾏｽﾀ!$E$8:$K$124,ﾏｽﾀ!$J$4-ﾏｽﾀ!$D$4,0)="E",MONTH($J55),IF(MONTH($J55)-1=0,12,MONTH($J55)-1))),MONTH($M55)))</f>
        <v/>
      </c>
      <c r="P55" s="50" t="str">
        <f>IF($S55="","",IF($M55="",IF($K55="","ERR",IF(VLOOKUP($S55,ﾏｽﾀ!$E$8:$K$124,ﾏｽﾀ!$J$4-ﾏｽﾀ!$D$4,0)="E",1,$K55+1)),DAY($M55)))</f>
        <v/>
      </c>
      <c r="Q55" s="50" t="str">
        <f t="shared" si="13"/>
        <v/>
      </c>
      <c r="R55" s="50" t="str">
        <f t="shared" si="14"/>
        <v/>
      </c>
      <c r="S55" s="601" t="str">
        <f>IF($T55="","",INDEX(ﾏｽﾀ!$E$8:$E$124,MATCH(INDEX(ﾏｽﾀ!$N$8:$N$124,MATCH($T55,ﾏｽﾀ!$O$8:$O$124,0)),ﾏｽﾀ!$B$8:$B$124,0))&amp;"")</f>
        <v/>
      </c>
      <c r="T55" s="535"/>
      <c r="U55" s="601" t="str">
        <f>IF($T55="","",INDEX(ﾏｽﾀ!$G$8:$G$124,MATCH(INDEX(ﾏｽﾀ!$N$8:$N$124,MATCH($T55,ﾏｽﾀ!$O$8:$O$124,0)),ﾏｽﾀ!$B$8:$B$124,0))&amp;"")</f>
        <v/>
      </c>
      <c r="V55" s="257"/>
      <c r="W55" s="602" t="str">
        <f>IF($X55="","",INDEX(ﾏｽﾀ!$T$8:$T$16,MATCH($X55,ﾏｽﾀ!$U$8:$U$16,0))&amp;"")</f>
        <v/>
      </c>
      <c r="X55" s="248"/>
      <c r="Y55" s="260"/>
      <c r="Z55" s="260"/>
      <c r="AA55" s="256"/>
      <c r="AB55" s="492" t="str">
        <f>IF($W55="","",IF($AA55="","ERR",IF($AA55="1",IF($AE55="","ERR",VLOOKUP($AA55,ﾏｽﾀ!$W$8:$X$10,ﾏｽﾀ!$X$4,0)),IF($AA55="2",IF($AG55="","ERR",VLOOKUP($AA55,ﾏｽﾀ!$W$8:$X$10,ﾏｽﾀ!$X$4,0)),IF($AA55="3",IF($AI55="","ERR",VLOOKUP($AA55,ﾏｽﾀ!$W$8:$X$10,ﾏｽﾀ!$X$4,0)),"ERR")))))</f>
        <v/>
      </c>
      <c r="AC55" s="261"/>
      <c r="AD55" s="321" t="str">
        <f>IF($AA55="1",COUNTIF('納品書明細16-E'!$D$9:$D$206,$AN55)+COUNTIF('納品書明細F-15'!$D$9:$D$297,$AN55)-IF(ISNA(MATCH(CONCATENATE(VLOOKUP($AC55,$AB$1:$AC$4,2,FALSE),$S55,IF($U55="","00",$U55),$W55,2),$F$11:$F$160,0)),0,SUMIF($F$11:$F$160,CONCATENATE(VLOOKUP($AC55,$AB$1:$AC$4,2,FALSE),$S55,IF($U55="","00",$U55),$W55,2),$AF$11:$AF$160)),"")</f>
        <v/>
      </c>
      <c r="AE55" s="319" t="str">
        <f>IF($AA55="1",SUMIF('納品書明細16-E'!$C$9:$C$206,$AO55,'納品書明細16-E'!$Q$9:$Q$206)+SUMIF('納品書明細F-15'!$C$9:$C$297,$AO55,'納品書明細F-15'!$Q$9:$Q$297)-IF(ISNA(MATCH(CONCATENATE(VLOOKUP($AC55,$AB$1:$AC$4,2,FALSE),$S55,IF($U55="","00",$U55),$W55,2),$F$11:$F$160,0)),0,SUMIF($F$11:$F$160,CONCATENATE(VLOOKUP($AC55,$AB$1:$AC$4,2,FALSE),$S55,IF($U55="","00",$U55),$W55,2),$AG$11:$AG$160)),"")</f>
        <v/>
      </c>
      <c r="AF55" s="322"/>
      <c r="AG55" s="327"/>
      <c r="AH55" s="57"/>
      <c r="AI55" s="319" t="str">
        <f>IF($AH55="","",IF(ISNA(MATCH($AH55,'納品書明細16-E'!$H$9:$H$206,0)),IF(ISNA(MATCH($AH55,'納品書明細F-15'!$H$9:$H$297,0)),"ERR",SUMIF('納品書明細F-15'!$H$9:$H$297,$AH55,'納品書明細F-15'!$Q$9:$Q$297)),SUMIF('納品書明細16-E'!$H$9:$H$206,$AH55,'納品書明細16-E'!$Q$9:$Q$206)))</f>
        <v/>
      </c>
      <c r="AK55" s="328" t="str">
        <f t="shared" si="20"/>
        <v/>
      </c>
      <c r="AL55" s="269" t="str">
        <f t="shared" si="21"/>
        <v/>
      </c>
      <c r="AM55" s="270" t="str">
        <f t="shared" si="22"/>
        <v/>
      </c>
      <c r="AN55" s="244" t="str">
        <f t="shared" si="23"/>
        <v/>
      </c>
      <c r="AO55" s="244" t="str">
        <f t="shared" si="24"/>
        <v/>
      </c>
      <c r="AP55" s="271" t="str">
        <f t="shared" si="15"/>
        <v/>
      </c>
      <c r="AQ55" s="262"/>
      <c r="AR55" s="263"/>
      <c r="AS55" s="84"/>
      <c r="AT55" s="86"/>
      <c r="AU55" s="87"/>
    </row>
    <row r="56" spans="1:47" ht="15" customHeight="1">
      <c r="A56" s="281" t="str">
        <f t="shared" si="0"/>
        <v/>
      </c>
      <c r="B56" s="282" t="str">
        <f t="shared" si="12"/>
        <v/>
      </c>
      <c r="C56" s="618" t="str">
        <f>IF(AND($S56="",$U56="",$W56="",$AA56="",$AE56="",$AG56="",$AI56=""),"",MAX($C$10:$C55)+1)</f>
        <v/>
      </c>
      <c r="D56" s="619" t="str">
        <f t="shared" si="16"/>
        <v/>
      </c>
      <c r="E56" s="619" t="str">
        <f t="shared" si="17"/>
        <v/>
      </c>
      <c r="F56" s="619" t="str">
        <f t="shared" si="18"/>
        <v/>
      </c>
      <c r="G56" s="619" t="str">
        <f t="shared" si="19"/>
        <v/>
      </c>
      <c r="H56" s="620" t="str">
        <f t="shared" si="5"/>
        <v/>
      </c>
      <c r="I56" s="316" t="s">
        <v>265</v>
      </c>
      <c r="J56" s="254"/>
      <c r="K56" s="50" t="str">
        <f>IF($W56="","",IF($W56=1,IF(VLOOKUP($S56,ﾏｽﾀ!$E$8:$K$124,ﾏｽﾀ!$J$4-ﾏｽﾀ!$D$4,0)="E",DAY($J$4),ABS(VLOOKUP($S56,ﾏｽﾀ!$E$8:$K$124,ﾏｽﾀ!$J$4-ﾏｽﾀ!$D$4,0))),IF(VLOOKUP($S56,ﾏｽﾀ!$E$8:$K$124,ﾏｽﾀ!$K$4-ﾏｽﾀ!$D$4,0)="E",DAY($J$4),ABS(VLOOKUP($S56,ﾏｽﾀ!$E$8:$K$124,ﾏｽﾀ!$K$4-ﾏｽﾀ!$D$4,0)))))</f>
        <v/>
      </c>
      <c r="L56" s="255"/>
      <c r="M56" s="255"/>
      <c r="N56" s="255"/>
      <c r="O56" s="50" t="str">
        <f>IF($S56="","",IF($M56="",IF($J56="","ERR",IF(VLOOKUP($S56,ﾏｽﾀ!$E$8:$K$124,ﾏｽﾀ!$J$4-ﾏｽﾀ!$D$4,0)="E",MONTH($J56),IF(MONTH($J56)-1=0,12,MONTH($J56)-1))),MONTH($M56)))</f>
        <v/>
      </c>
      <c r="P56" s="50" t="str">
        <f>IF($S56="","",IF($M56="",IF($K56="","ERR",IF(VLOOKUP($S56,ﾏｽﾀ!$E$8:$K$124,ﾏｽﾀ!$J$4-ﾏｽﾀ!$D$4,0)="E",1,$K56+1)),DAY($M56)))</f>
        <v/>
      </c>
      <c r="Q56" s="50" t="str">
        <f t="shared" si="13"/>
        <v/>
      </c>
      <c r="R56" s="50" t="str">
        <f t="shared" si="14"/>
        <v/>
      </c>
      <c r="S56" s="601" t="str">
        <f>IF($T56="","",INDEX(ﾏｽﾀ!$E$8:$E$124,MATCH(INDEX(ﾏｽﾀ!$N$8:$N$124,MATCH($T56,ﾏｽﾀ!$O$8:$O$124,0)),ﾏｽﾀ!$B$8:$B$124,0))&amp;"")</f>
        <v/>
      </c>
      <c r="T56" s="535"/>
      <c r="U56" s="601" t="str">
        <f>IF($T56="","",INDEX(ﾏｽﾀ!$G$8:$G$124,MATCH(INDEX(ﾏｽﾀ!$N$8:$N$124,MATCH($T56,ﾏｽﾀ!$O$8:$O$124,0)),ﾏｽﾀ!$B$8:$B$124,0))&amp;"")</f>
        <v/>
      </c>
      <c r="V56" s="257"/>
      <c r="W56" s="602" t="str">
        <f>IF($X56="","",INDEX(ﾏｽﾀ!$T$8:$T$16,MATCH($X56,ﾏｽﾀ!$U$8:$U$16,0))&amp;"")</f>
        <v/>
      </c>
      <c r="X56" s="248"/>
      <c r="Y56" s="260"/>
      <c r="Z56" s="260"/>
      <c r="AA56" s="256"/>
      <c r="AB56" s="492" t="str">
        <f>IF($W56="","",IF($AA56="","ERR",IF($AA56="1",IF($AE56="","ERR",VLOOKUP($AA56,ﾏｽﾀ!$W$8:$X$10,ﾏｽﾀ!$X$4,0)),IF($AA56="2",IF($AG56="","ERR",VLOOKUP($AA56,ﾏｽﾀ!$W$8:$X$10,ﾏｽﾀ!$X$4,0)),IF($AA56="3",IF($AI56="","ERR",VLOOKUP($AA56,ﾏｽﾀ!$W$8:$X$10,ﾏｽﾀ!$X$4,0)),"ERR")))))</f>
        <v/>
      </c>
      <c r="AC56" s="261"/>
      <c r="AD56" s="321" t="str">
        <f>IF($AA56="1",COUNTIF('納品書明細16-E'!$D$9:$D$206,$AN56)+COUNTIF('納品書明細F-15'!$D$9:$D$297,$AN56)-IF(ISNA(MATCH(CONCATENATE(VLOOKUP($AC56,$AB$1:$AC$4,2,FALSE),$S56,IF($U56="","00",$U56),$W56,2),$F$11:$F$160,0)),0,SUMIF($F$11:$F$160,CONCATENATE(VLOOKUP($AC56,$AB$1:$AC$4,2,FALSE),$S56,IF($U56="","00",$U56),$W56,2),$AF$11:$AF$160)),"")</f>
        <v/>
      </c>
      <c r="AE56" s="319" t="str">
        <f>IF($AA56="1",SUMIF('納品書明細16-E'!$C$9:$C$206,$AO56,'納品書明細16-E'!$Q$9:$Q$206)+SUMIF('納品書明細F-15'!$C$9:$C$297,$AO56,'納品書明細F-15'!$Q$9:$Q$297)-IF(ISNA(MATCH(CONCATENATE(VLOOKUP($AC56,$AB$1:$AC$4,2,FALSE),$S56,IF($U56="","00",$U56),$W56,2),$F$11:$F$160,0)),0,SUMIF($F$11:$F$160,CONCATENATE(VLOOKUP($AC56,$AB$1:$AC$4,2,FALSE),$S56,IF($U56="","00",$U56),$W56,2),$AG$11:$AG$160)),"")</f>
        <v/>
      </c>
      <c r="AF56" s="322"/>
      <c r="AG56" s="327"/>
      <c r="AH56" s="57"/>
      <c r="AI56" s="319" t="str">
        <f>IF($AH56="","",IF(ISNA(MATCH($AH56,'納品書明細16-E'!$H$9:$H$206,0)),IF(ISNA(MATCH($AH56,'納品書明細F-15'!$H$9:$H$297,0)),"ERR",SUMIF('納品書明細F-15'!$H$9:$H$297,$AH56,'納品書明細F-15'!$Q$9:$Q$297)),SUMIF('納品書明細16-E'!$H$9:$H$206,$AH56,'納品書明細16-E'!$Q$9:$Q$206)))</f>
        <v/>
      </c>
      <c r="AK56" s="328" t="str">
        <f t="shared" si="20"/>
        <v/>
      </c>
      <c r="AL56" s="269" t="str">
        <f t="shared" si="21"/>
        <v/>
      </c>
      <c r="AM56" s="270" t="str">
        <f t="shared" si="22"/>
        <v/>
      </c>
      <c r="AN56" s="244" t="str">
        <f t="shared" si="23"/>
        <v/>
      </c>
      <c r="AO56" s="244" t="str">
        <f t="shared" si="24"/>
        <v/>
      </c>
      <c r="AP56" s="271" t="str">
        <f t="shared" si="15"/>
        <v/>
      </c>
      <c r="AQ56" s="262"/>
      <c r="AR56" s="263"/>
      <c r="AS56" s="84"/>
      <c r="AT56" s="86"/>
      <c r="AU56" s="87"/>
    </row>
    <row r="57" spans="1:47" ht="15" customHeight="1">
      <c r="A57" s="281" t="str">
        <f t="shared" si="0"/>
        <v/>
      </c>
      <c r="B57" s="282" t="str">
        <f t="shared" si="12"/>
        <v/>
      </c>
      <c r="C57" s="618" t="str">
        <f>IF(AND($S57="",$U57="",$W57="",$AA57="",$AE57="",$AG57="",$AI57=""),"",MAX($C$10:$C56)+1)</f>
        <v/>
      </c>
      <c r="D57" s="619" t="str">
        <f t="shared" si="16"/>
        <v/>
      </c>
      <c r="E57" s="619" t="str">
        <f t="shared" si="17"/>
        <v/>
      </c>
      <c r="F57" s="619" t="str">
        <f t="shared" si="18"/>
        <v/>
      </c>
      <c r="G57" s="619" t="str">
        <f t="shared" si="19"/>
        <v/>
      </c>
      <c r="H57" s="620" t="str">
        <f t="shared" si="5"/>
        <v/>
      </c>
      <c r="I57" s="316" t="s">
        <v>266</v>
      </c>
      <c r="J57" s="254"/>
      <c r="K57" s="50" t="str">
        <f>IF($W57="","",IF($W57=1,IF(VLOOKUP($S57,ﾏｽﾀ!$E$8:$K$124,ﾏｽﾀ!$J$4-ﾏｽﾀ!$D$4,0)="E",DAY($J$4),ABS(VLOOKUP($S57,ﾏｽﾀ!$E$8:$K$124,ﾏｽﾀ!$J$4-ﾏｽﾀ!$D$4,0))),IF(VLOOKUP($S57,ﾏｽﾀ!$E$8:$K$124,ﾏｽﾀ!$K$4-ﾏｽﾀ!$D$4,0)="E",DAY($J$4),ABS(VLOOKUP($S57,ﾏｽﾀ!$E$8:$K$124,ﾏｽﾀ!$K$4-ﾏｽﾀ!$D$4,0)))))</f>
        <v/>
      </c>
      <c r="L57" s="255"/>
      <c r="M57" s="255"/>
      <c r="N57" s="255"/>
      <c r="O57" s="50" t="str">
        <f>IF($S57="","",IF($M57="",IF($J57="","ERR",IF(VLOOKUP($S57,ﾏｽﾀ!$E$8:$K$124,ﾏｽﾀ!$J$4-ﾏｽﾀ!$D$4,0)="E",MONTH($J57),IF(MONTH($J57)-1=0,12,MONTH($J57)-1))),MONTH($M57)))</f>
        <v/>
      </c>
      <c r="P57" s="50" t="str">
        <f>IF($S57="","",IF($M57="",IF($K57="","ERR",IF(VLOOKUP($S57,ﾏｽﾀ!$E$8:$K$124,ﾏｽﾀ!$J$4-ﾏｽﾀ!$D$4,0)="E",1,$K57+1)),DAY($M57)))</f>
        <v/>
      </c>
      <c r="Q57" s="50" t="str">
        <f t="shared" si="13"/>
        <v/>
      </c>
      <c r="R57" s="50" t="str">
        <f t="shared" si="14"/>
        <v/>
      </c>
      <c r="S57" s="601" t="str">
        <f>IF($T57="","",INDEX(ﾏｽﾀ!$E$8:$E$124,MATCH(INDEX(ﾏｽﾀ!$N$8:$N$124,MATCH($T57,ﾏｽﾀ!$O$8:$O$124,0)),ﾏｽﾀ!$B$8:$B$124,0))&amp;"")</f>
        <v/>
      </c>
      <c r="T57" s="535"/>
      <c r="U57" s="601" t="str">
        <f>IF($T57="","",INDEX(ﾏｽﾀ!$G$8:$G$124,MATCH(INDEX(ﾏｽﾀ!$N$8:$N$124,MATCH($T57,ﾏｽﾀ!$O$8:$O$124,0)),ﾏｽﾀ!$B$8:$B$124,0))&amp;"")</f>
        <v/>
      </c>
      <c r="V57" s="257"/>
      <c r="W57" s="602" t="str">
        <f>IF($X57="","",INDEX(ﾏｽﾀ!$T$8:$T$16,MATCH($X57,ﾏｽﾀ!$U$8:$U$16,0))&amp;"")</f>
        <v/>
      </c>
      <c r="X57" s="248"/>
      <c r="Y57" s="260"/>
      <c r="Z57" s="260"/>
      <c r="AA57" s="256"/>
      <c r="AB57" s="492" t="str">
        <f>IF($W57="","",IF($AA57="","ERR",IF($AA57="1",IF($AE57="","ERR",VLOOKUP($AA57,ﾏｽﾀ!$W$8:$X$10,ﾏｽﾀ!$X$4,0)),IF($AA57="2",IF($AG57="","ERR",VLOOKUP($AA57,ﾏｽﾀ!$W$8:$X$10,ﾏｽﾀ!$X$4,0)),IF($AA57="3",IF($AI57="","ERR",VLOOKUP($AA57,ﾏｽﾀ!$W$8:$X$10,ﾏｽﾀ!$X$4,0)),"ERR")))))</f>
        <v/>
      </c>
      <c r="AC57" s="261"/>
      <c r="AD57" s="321" t="str">
        <f>IF($AA57="1",COUNTIF('納品書明細16-E'!$D$9:$D$206,$AN57)+COUNTIF('納品書明細F-15'!$D$9:$D$297,$AN57)-IF(ISNA(MATCH(CONCATENATE(VLOOKUP($AC57,$AB$1:$AC$4,2,FALSE),$S57,IF($U57="","00",$U57),$W57,2),$F$11:$F$160,0)),0,SUMIF($F$11:$F$160,CONCATENATE(VLOOKUP($AC57,$AB$1:$AC$4,2,FALSE),$S57,IF($U57="","00",$U57),$W57,2),$AF$11:$AF$160)),"")</f>
        <v/>
      </c>
      <c r="AE57" s="319" t="str">
        <f>IF($AA57="1",SUMIF('納品書明細16-E'!$C$9:$C$206,$AO57,'納品書明細16-E'!$Q$9:$Q$206)+SUMIF('納品書明細F-15'!$C$9:$C$297,$AO57,'納品書明細F-15'!$Q$9:$Q$297)-IF(ISNA(MATCH(CONCATENATE(VLOOKUP($AC57,$AB$1:$AC$4,2,FALSE),$S57,IF($U57="","00",$U57),$W57,2),$F$11:$F$160,0)),0,SUMIF($F$11:$F$160,CONCATENATE(VLOOKUP($AC57,$AB$1:$AC$4,2,FALSE),$S57,IF($U57="","00",$U57),$W57,2),$AG$11:$AG$160)),"")</f>
        <v/>
      </c>
      <c r="AF57" s="322"/>
      <c r="AG57" s="327"/>
      <c r="AH57" s="57"/>
      <c r="AI57" s="319" t="str">
        <f>IF($AH57="","",IF(ISNA(MATCH($AH57,'納品書明細16-E'!$H$9:$H$206,0)),IF(ISNA(MATCH($AH57,'納品書明細F-15'!$H$9:$H$297,0)),"ERR",SUMIF('納品書明細F-15'!$H$9:$H$297,$AH57,'納品書明細F-15'!$Q$9:$Q$297)),SUMIF('納品書明細16-E'!$H$9:$H$206,$AH57,'納品書明細16-E'!$Q$9:$Q$206)))</f>
        <v/>
      </c>
      <c r="AK57" s="328" t="str">
        <f t="shared" si="20"/>
        <v/>
      </c>
      <c r="AL57" s="269" t="str">
        <f t="shared" si="21"/>
        <v/>
      </c>
      <c r="AM57" s="270" t="str">
        <f t="shared" si="22"/>
        <v/>
      </c>
      <c r="AN57" s="244" t="str">
        <f t="shared" si="23"/>
        <v/>
      </c>
      <c r="AO57" s="244" t="str">
        <f t="shared" si="24"/>
        <v/>
      </c>
      <c r="AP57" s="271" t="str">
        <f t="shared" si="15"/>
        <v/>
      </c>
      <c r="AQ57" s="262"/>
      <c r="AR57" s="263"/>
      <c r="AS57" s="84"/>
      <c r="AT57" s="86"/>
      <c r="AU57" s="87"/>
    </row>
    <row r="58" spans="1:47" ht="15" customHeight="1">
      <c r="A58" s="281" t="str">
        <f t="shared" si="0"/>
        <v/>
      </c>
      <c r="B58" s="282" t="str">
        <f t="shared" si="12"/>
        <v/>
      </c>
      <c r="C58" s="618" t="str">
        <f>IF(AND($S58="",$U58="",$W58="",$AA58="",$AE58="",$AG58="",$AI58=""),"",MAX($C$10:$C57)+1)</f>
        <v/>
      </c>
      <c r="D58" s="619" t="str">
        <f t="shared" si="16"/>
        <v/>
      </c>
      <c r="E58" s="619" t="str">
        <f t="shared" si="17"/>
        <v/>
      </c>
      <c r="F58" s="619" t="str">
        <f t="shared" si="18"/>
        <v/>
      </c>
      <c r="G58" s="619" t="str">
        <f t="shared" si="19"/>
        <v/>
      </c>
      <c r="H58" s="620" t="str">
        <f t="shared" si="5"/>
        <v/>
      </c>
      <c r="I58" s="316" t="s">
        <v>267</v>
      </c>
      <c r="J58" s="254"/>
      <c r="K58" s="50" t="str">
        <f>IF($W58="","",IF($W58=1,IF(VLOOKUP($S58,ﾏｽﾀ!$E$8:$K$124,ﾏｽﾀ!$J$4-ﾏｽﾀ!$D$4,0)="E",DAY($J$4),ABS(VLOOKUP($S58,ﾏｽﾀ!$E$8:$K$124,ﾏｽﾀ!$J$4-ﾏｽﾀ!$D$4,0))),IF(VLOOKUP($S58,ﾏｽﾀ!$E$8:$K$124,ﾏｽﾀ!$K$4-ﾏｽﾀ!$D$4,0)="E",DAY($J$4),ABS(VLOOKUP($S58,ﾏｽﾀ!$E$8:$K$124,ﾏｽﾀ!$K$4-ﾏｽﾀ!$D$4,0)))))</f>
        <v/>
      </c>
      <c r="L58" s="255"/>
      <c r="M58" s="255"/>
      <c r="N58" s="255"/>
      <c r="O58" s="50" t="str">
        <f>IF($S58="","",IF($M58="",IF($J58="","ERR",IF(VLOOKUP($S58,ﾏｽﾀ!$E$8:$K$124,ﾏｽﾀ!$J$4-ﾏｽﾀ!$D$4,0)="E",MONTH($J58),IF(MONTH($J58)-1=0,12,MONTH($J58)-1))),MONTH($M58)))</f>
        <v/>
      </c>
      <c r="P58" s="50" t="str">
        <f>IF($S58="","",IF($M58="",IF($K58="","ERR",IF(VLOOKUP($S58,ﾏｽﾀ!$E$8:$K$124,ﾏｽﾀ!$J$4-ﾏｽﾀ!$D$4,0)="E",1,$K58+1)),DAY($M58)))</f>
        <v/>
      </c>
      <c r="Q58" s="50" t="str">
        <f t="shared" si="13"/>
        <v/>
      </c>
      <c r="R58" s="50" t="str">
        <f t="shared" si="14"/>
        <v/>
      </c>
      <c r="S58" s="601" t="str">
        <f>IF($T58="","",INDEX(ﾏｽﾀ!$E$8:$E$124,MATCH(INDEX(ﾏｽﾀ!$N$8:$N$124,MATCH($T58,ﾏｽﾀ!$O$8:$O$124,0)),ﾏｽﾀ!$B$8:$B$124,0))&amp;"")</f>
        <v/>
      </c>
      <c r="T58" s="535"/>
      <c r="U58" s="601" t="str">
        <f>IF($T58="","",INDEX(ﾏｽﾀ!$G$8:$G$124,MATCH(INDEX(ﾏｽﾀ!$N$8:$N$124,MATCH($T58,ﾏｽﾀ!$O$8:$O$124,0)),ﾏｽﾀ!$B$8:$B$124,0))&amp;"")</f>
        <v/>
      </c>
      <c r="V58" s="257"/>
      <c r="W58" s="602" t="str">
        <f>IF($X58="","",INDEX(ﾏｽﾀ!$T$8:$T$16,MATCH($X58,ﾏｽﾀ!$U$8:$U$16,0))&amp;"")</f>
        <v/>
      </c>
      <c r="X58" s="248"/>
      <c r="Y58" s="260"/>
      <c r="Z58" s="260"/>
      <c r="AA58" s="256"/>
      <c r="AB58" s="492" t="str">
        <f>IF($W58="","",IF($AA58="","ERR",IF($AA58="1",IF($AE58="","ERR",VLOOKUP($AA58,ﾏｽﾀ!$W$8:$X$10,ﾏｽﾀ!$X$4,0)),IF($AA58="2",IF($AG58="","ERR",VLOOKUP($AA58,ﾏｽﾀ!$W$8:$X$10,ﾏｽﾀ!$X$4,0)),IF($AA58="3",IF($AI58="","ERR",VLOOKUP($AA58,ﾏｽﾀ!$W$8:$X$10,ﾏｽﾀ!$X$4,0)),"ERR")))))</f>
        <v/>
      </c>
      <c r="AC58" s="261"/>
      <c r="AD58" s="321" t="str">
        <f>IF($AA58="1",COUNTIF('納品書明細16-E'!$D$9:$D$206,$AN58)+COUNTIF('納品書明細F-15'!$D$9:$D$297,$AN58)-IF(ISNA(MATCH(CONCATENATE(VLOOKUP($AC58,$AB$1:$AC$4,2,FALSE),$S58,IF($U58="","00",$U58),$W58,2),$F$11:$F$160,0)),0,SUMIF($F$11:$F$160,CONCATENATE(VLOOKUP($AC58,$AB$1:$AC$4,2,FALSE),$S58,IF($U58="","00",$U58),$W58,2),$AF$11:$AF$160)),"")</f>
        <v/>
      </c>
      <c r="AE58" s="319" t="str">
        <f>IF($AA58="1",SUMIF('納品書明細16-E'!$C$9:$C$206,$AO58,'納品書明細16-E'!$Q$9:$Q$206)+SUMIF('納品書明細F-15'!$C$9:$C$297,$AO58,'納品書明細F-15'!$Q$9:$Q$297)-IF(ISNA(MATCH(CONCATENATE(VLOOKUP($AC58,$AB$1:$AC$4,2,FALSE),$S58,IF($U58="","00",$U58),$W58,2),$F$11:$F$160,0)),0,SUMIF($F$11:$F$160,CONCATENATE(VLOOKUP($AC58,$AB$1:$AC$4,2,FALSE),$S58,IF($U58="","00",$U58),$W58,2),$AG$11:$AG$160)),"")</f>
        <v/>
      </c>
      <c r="AF58" s="322"/>
      <c r="AG58" s="327"/>
      <c r="AH58" s="57"/>
      <c r="AI58" s="319" t="str">
        <f>IF($AH58="","",IF(ISNA(MATCH($AH58,'納品書明細16-E'!$H$9:$H$206,0)),IF(ISNA(MATCH($AH58,'納品書明細F-15'!$H$9:$H$297,0)),"ERR",SUMIF('納品書明細F-15'!$H$9:$H$297,$AH58,'納品書明細F-15'!$Q$9:$Q$297)),SUMIF('納品書明細16-E'!$H$9:$H$206,$AH58,'納品書明細16-E'!$Q$9:$Q$206)))</f>
        <v/>
      </c>
      <c r="AK58" s="328" t="str">
        <f t="shared" si="20"/>
        <v/>
      </c>
      <c r="AL58" s="269" t="str">
        <f t="shared" si="21"/>
        <v/>
      </c>
      <c r="AM58" s="270" t="str">
        <f t="shared" si="22"/>
        <v/>
      </c>
      <c r="AN58" s="244" t="str">
        <f t="shared" si="23"/>
        <v/>
      </c>
      <c r="AO58" s="244" t="str">
        <f t="shared" si="24"/>
        <v/>
      </c>
      <c r="AP58" s="271" t="str">
        <f t="shared" si="15"/>
        <v/>
      </c>
      <c r="AQ58" s="262"/>
      <c r="AR58" s="263"/>
      <c r="AS58" s="84"/>
      <c r="AT58" s="86"/>
      <c r="AU58" s="87"/>
    </row>
    <row r="59" spans="1:47" ht="15" customHeight="1">
      <c r="A59" s="281" t="str">
        <f t="shared" si="0"/>
        <v/>
      </c>
      <c r="B59" s="282" t="str">
        <f t="shared" si="12"/>
        <v/>
      </c>
      <c r="C59" s="618" t="str">
        <f>IF(AND($S59="",$U59="",$W59="",$AA59="",$AE59="",$AG59="",$AI59=""),"",MAX($C$10:$C58)+1)</f>
        <v/>
      </c>
      <c r="D59" s="619" t="str">
        <f t="shared" si="16"/>
        <v/>
      </c>
      <c r="E59" s="619" t="str">
        <f t="shared" si="17"/>
        <v/>
      </c>
      <c r="F59" s="619" t="str">
        <f t="shared" si="18"/>
        <v/>
      </c>
      <c r="G59" s="619" t="str">
        <f t="shared" si="19"/>
        <v/>
      </c>
      <c r="H59" s="620" t="str">
        <f t="shared" si="5"/>
        <v/>
      </c>
      <c r="I59" s="316" t="s">
        <v>268</v>
      </c>
      <c r="J59" s="254"/>
      <c r="K59" s="50" t="str">
        <f>IF($W59="","",IF($W59=1,IF(VLOOKUP($S59,ﾏｽﾀ!$E$8:$K$124,ﾏｽﾀ!$J$4-ﾏｽﾀ!$D$4,0)="E",DAY($J$4),ABS(VLOOKUP($S59,ﾏｽﾀ!$E$8:$K$124,ﾏｽﾀ!$J$4-ﾏｽﾀ!$D$4,0))),IF(VLOOKUP($S59,ﾏｽﾀ!$E$8:$K$124,ﾏｽﾀ!$K$4-ﾏｽﾀ!$D$4,0)="E",DAY($J$4),ABS(VLOOKUP($S59,ﾏｽﾀ!$E$8:$K$124,ﾏｽﾀ!$K$4-ﾏｽﾀ!$D$4,0)))))</f>
        <v/>
      </c>
      <c r="L59" s="255"/>
      <c r="M59" s="255"/>
      <c r="N59" s="255"/>
      <c r="O59" s="50" t="str">
        <f>IF($S59="","",IF($M59="",IF($J59="","ERR",IF(VLOOKUP($S59,ﾏｽﾀ!$E$8:$K$124,ﾏｽﾀ!$J$4-ﾏｽﾀ!$D$4,0)="E",MONTH($J59),IF(MONTH($J59)-1=0,12,MONTH($J59)-1))),MONTH($M59)))</f>
        <v/>
      </c>
      <c r="P59" s="50" t="str">
        <f>IF($S59="","",IF($M59="",IF($K59="","ERR",IF(VLOOKUP($S59,ﾏｽﾀ!$E$8:$K$124,ﾏｽﾀ!$J$4-ﾏｽﾀ!$D$4,0)="E",1,$K59+1)),DAY($M59)))</f>
        <v/>
      </c>
      <c r="Q59" s="50" t="str">
        <f t="shared" si="13"/>
        <v/>
      </c>
      <c r="R59" s="50" t="str">
        <f t="shared" si="14"/>
        <v/>
      </c>
      <c r="S59" s="601" t="str">
        <f>IF($T59="","",INDEX(ﾏｽﾀ!$E$8:$E$124,MATCH(INDEX(ﾏｽﾀ!$N$8:$N$124,MATCH($T59,ﾏｽﾀ!$O$8:$O$124,0)),ﾏｽﾀ!$B$8:$B$124,0))&amp;"")</f>
        <v/>
      </c>
      <c r="T59" s="535"/>
      <c r="U59" s="601" t="str">
        <f>IF($T59="","",INDEX(ﾏｽﾀ!$G$8:$G$124,MATCH(INDEX(ﾏｽﾀ!$N$8:$N$124,MATCH($T59,ﾏｽﾀ!$O$8:$O$124,0)),ﾏｽﾀ!$B$8:$B$124,0))&amp;"")</f>
        <v/>
      </c>
      <c r="V59" s="257"/>
      <c r="W59" s="602" t="str">
        <f>IF($X59="","",INDEX(ﾏｽﾀ!$T$8:$T$16,MATCH($X59,ﾏｽﾀ!$U$8:$U$16,0))&amp;"")</f>
        <v/>
      </c>
      <c r="X59" s="248"/>
      <c r="Y59" s="260"/>
      <c r="Z59" s="260"/>
      <c r="AA59" s="256"/>
      <c r="AB59" s="492" t="str">
        <f>IF($W59="","",IF($AA59="","ERR",IF($AA59="1",IF($AE59="","ERR",VLOOKUP($AA59,ﾏｽﾀ!$W$8:$X$10,ﾏｽﾀ!$X$4,0)),IF($AA59="2",IF($AG59="","ERR",VLOOKUP($AA59,ﾏｽﾀ!$W$8:$X$10,ﾏｽﾀ!$X$4,0)),IF($AA59="3",IF($AI59="","ERR",VLOOKUP($AA59,ﾏｽﾀ!$W$8:$X$10,ﾏｽﾀ!$X$4,0)),"ERR")))))</f>
        <v/>
      </c>
      <c r="AC59" s="261"/>
      <c r="AD59" s="321" t="str">
        <f>IF($AA59="1",COUNTIF('納品書明細16-E'!$D$9:$D$206,$AN59)+COUNTIF('納品書明細F-15'!$D$9:$D$297,$AN59)-IF(ISNA(MATCH(CONCATENATE(VLOOKUP($AC59,$AB$1:$AC$4,2,FALSE),$S59,IF($U59="","00",$U59),$W59,2),$F$11:$F$160,0)),0,SUMIF($F$11:$F$160,CONCATENATE(VLOOKUP($AC59,$AB$1:$AC$4,2,FALSE),$S59,IF($U59="","00",$U59),$W59,2),$AF$11:$AF$160)),"")</f>
        <v/>
      </c>
      <c r="AE59" s="319" t="str">
        <f>IF($AA59="1",SUMIF('納品書明細16-E'!$C$9:$C$206,$AO59,'納品書明細16-E'!$Q$9:$Q$206)+SUMIF('納品書明細F-15'!$C$9:$C$297,$AO59,'納品書明細F-15'!$Q$9:$Q$297)-IF(ISNA(MATCH(CONCATENATE(VLOOKUP($AC59,$AB$1:$AC$4,2,FALSE),$S59,IF($U59="","00",$U59),$W59,2),$F$11:$F$160,0)),0,SUMIF($F$11:$F$160,CONCATENATE(VLOOKUP($AC59,$AB$1:$AC$4,2,FALSE),$S59,IF($U59="","00",$U59),$W59,2),$AG$11:$AG$160)),"")</f>
        <v/>
      </c>
      <c r="AF59" s="322"/>
      <c r="AG59" s="327"/>
      <c r="AH59" s="57"/>
      <c r="AI59" s="319" t="str">
        <f>IF($AH59="","",IF(ISNA(MATCH($AH59,'納品書明細16-E'!$H$9:$H$206,0)),IF(ISNA(MATCH($AH59,'納品書明細F-15'!$H$9:$H$297,0)),"ERR",SUMIF('納品書明細F-15'!$H$9:$H$297,$AH59,'納品書明細F-15'!$Q$9:$Q$297)),SUMIF('納品書明細16-E'!$H$9:$H$206,$AH59,'納品書明細16-E'!$Q$9:$Q$206)))</f>
        <v/>
      </c>
      <c r="AK59" s="328" t="str">
        <f t="shared" si="20"/>
        <v/>
      </c>
      <c r="AL59" s="269" t="str">
        <f t="shared" si="21"/>
        <v/>
      </c>
      <c r="AM59" s="270" t="str">
        <f t="shared" si="22"/>
        <v/>
      </c>
      <c r="AN59" s="244" t="str">
        <f t="shared" si="23"/>
        <v/>
      </c>
      <c r="AO59" s="244" t="str">
        <f t="shared" si="24"/>
        <v/>
      </c>
      <c r="AP59" s="271" t="str">
        <f t="shared" si="15"/>
        <v/>
      </c>
      <c r="AQ59" s="265"/>
      <c r="AR59" s="263"/>
      <c r="AS59" s="84"/>
      <c r="AT59" s="86"/>
      <c r="AU59" s="87"/>
    </row>
    <row r="60" spans="1:47" ht="15" customHeight="1">
      <c r="A60" s="281" t="str">
        <f t="shared" si="0"/>
        <v/>
      </c>
      <c r="B60" s="282" t="str">
        <f t="shared" si="12"/>
        <v/>
      </c>
      <c r="C60" s="618" t="str">
        <f>IF(AND($S60="",$U60="",$W60="",$AA60="",$AE60="",$AG60="",$AI60=""),"",MAX($C$10:$C59)+1)</f>
        <v/>
      </c>
      <c r="D60" s="619" t="str">
        <f t="shared" si="16"/>
        <v/>
      </c>
      <c r="E60" s="619" t="str">
        <f t="shared" si="17"/>
        <v/>
      </c>
      <c r="F60" s="619" t="str">
        <f t="shared" si="18"/>
        <v/>
      </c>
      <c r="G60" s="619" t="str">
        <f t="shared" si="19"/>
        <v/>
      </c>
      <c r="H60" s="620" t="str">
        <f t="shared" si="5"/>
        <v/>
      </c>
      <c r="I60" s="316" t="s">
        <v>269</v>
      </c>
      <c r="J60" s="254"/>
      <c r="K60" s="50" t="str">
        <f>IF($W60="","",IF($W60=1,IF(VLOOKUP($S60,ﾏｽﾀ!$E$8:$K$124,ﾏｽﾀ!$J$4-ﾏｽﾀ!$D$4,0)="E",DAY($J$4),ABS(VLOOKUP($S60,ﾏｽﾀ!$E$8:$K$124,ﾏｽﾀ!$J$4-ﾏｽﾀ!$D$4,0))),IF(VLOOKUP($S60,ﾏｽﾀ!$E$8:$K$124,ﾏｽﾀ!$K$4-ﾏｽﾀ!$D$4,0)="E",DAY($J$4),ABS(VLOOKUP($S60,ﾏｽﾀ!$E$8:$K$124,ﾏｽﾀ!$K$4-ﾏｽﾀ!$D$4,0)))))</f>
        <v/>
      </c>
      <c r="L60" s="255"/>
      <c r="M60" s="255"/>
      <c r="N60" s="255"/>
      <c r="O60" s="50" t="str">
        <f>IF($S60="","",IF($M60="",IF($J60="","ERR",IF(VLOOKUP($S60,ﾏｽﾀ!$E$8:$K$124,ﾏｽﾀ!$J$4-ﾏｽﾀ!$D$4,0)="E",MONTH($J60),IF(MONTH($J60)-1=0,12,MONTH($J60)-1))),MONTH($M60)))</f>
        <v/>
      </c>
      <c r="P60" s="50" t="str">
        <f>IF($S60="","",IF($M60="",IF($K60="","ERR",IF(VLOOKUP($S60,ﾏｽﾀ!$E$8:$K$124,ﾏｽﾀ!$J$4-ﾏｽﾀ!$D$4,0)="E",1,$K60+1)),DAY($M60)))</f>
        <v/>
      </c>
      <c r="Q60" s="50" t="str">
        <f t="shared" si="13"/>
        <v/>
      </c>
      <c r="R60" s="50" t="str">
        <f t="shared" si="14"/>
        <v/>
      </c>
      <c r="S60" s="601" t="str">
        <f>IF($T60="","",INDEX(ﾏｽﾀ!$E$8:$E$124,MATCH(INDEX(ﾏｽﾀ!$N$8:$N$124,MATCH($T60,ﾏｽﾀ!$O$8:$O$124,0)),ﾏｽﾀ!$B$8:$B$124,0))&amp;"")</f>
        <v/>
      </c>
      <c r="T60" s="535"/>
      <c r="U60" s="601" t="str">
        <f>IF($T60="","",INDEX(ﾏｽﾀ!$G$8:$G$124,MATCH(INDEX(ﾏｽﾀ!$N$8:$N$124,MATCH($T60,ﾏｽﾀ!$O$8:$O$124,0)),ﾏｽﾀ!$B$8:$B$124,0))&amp;"")</f>
        <v/>
      </c>
      <c r="V60" s="257"/>
      <c r="W60" s="602" t="str">
        <f>IF($X60="","",INDEX(ﾏｽﾀ!$T$8:$T$16,MATCH($X60,ﾏｽﾀ!$U$8:$U$16,0))&amp;"")</f>
        <v/>
      </c>
      <c r="X60" s="248"/>
      <c r="Y60" s="260"/>
      <c r="Z60" s="260"/>
      <c r="AA60" s="256"/>
      <c r="AB60" s="492" t="str">
        <f>IF($W60="","",IF($AA60="","ERR",IF($AA60="1",IF($AE60="","ERR",VLOOKUP($AA60,ﾏｽﾀ!$W$8:$X$10,ﾏｽﾀ!$X$4,0)),IF($AA60="2",IF($AG60="","ERR",VLOOKUP($AA60,ﾏｽﾀ!$W$8:$X$10,ﾏｽﾀ!$X$4,0)),IF($AA60="3",IF($AI60="","ERR",VLOOKUP($AA60,ﾏｽﾀ!$W$8:$X$10,ﾏｽﾀ!$X$4,0)),"ERR")))))</f>
        <v/>
      </c>
      <c r="AC60" s="261"/>
      <c r="AD60" s="321" t="str">
        <f>IF($AA60="1",COUNTIF('納品書明細16-E'!$D$9:$D$206,$AN60)+COUNTIF('納品書明細F-15'!$D$9:$D$297,$AN60)-IF(ISNA(MATCH(CONCATENATE(VLOOKUP($AC60,$AB$1:$AC$4,2,FALSE),$S60,IF($U60="","00",$U60),$W60,2),$F$11:$F$160,0)),0,SUMIF($F$11:$F$160,CONCATENATE(VLOOKUP($AC60,$AB$1:$AC$4,2,FALSE),$S60,IF($U60="","00",$U60),$W60,2),$AF$11:$AF$160)),"")</f>
        <v/>
      </c>
      <c r="AE60" s="319" t="str">
        <f>IF($AA60="1",SUMIF('納品書明細16-E'!$C$9:$C$206,$AO60,'納品書明細16-E'!$Q$9:$Q$206)+SUMIF('納品書明細F-15'!$C$9:$C$297,$AO60,'納品書明細F-15'!$Q$9:$Q$297)-IF(ISNA(MATCH(CONCATENATE(VLOOKUP($AC60,$AB$1:$AC$4,2,FALSE),$S60,IF($U60="","00",$U60),$W60,2),$F$11:$F$160,0)),0,SUMIF($F$11:$F$160,CONCATENATE(VLOOKUP($AC60,$AB$1:$AC$4,2,FALSE),$S60,IF($U60="","00",$U60),$W60,2),$AG$11:$AG$160)),"")</f>
        <v/>
      </c>
      <c r="AF60" s="322"/>
      <c r="AG60" s="327"/>
      <c r="AH60" s="57"/>
      <c r="AI60" s="319" t="str">
        <f>IF($AH60="","",IF(ISNA(MATCH($AH60,'納品書明細16-E'!$H$9:$H$206,0)),IF(ISNA(MATCH($AH60,'納品書明細F-15'!$H$9:$H$297,0)),"ERR",SUMIF('納品書明細F-15'!$H$9:$H$297,$AH60,'納品書明細F-15'!$Q$9:$Q$297)),SUMIF('納品書明細16-E'!$H$9:$H$206,$AH60,'納品書明細16-E'!$Q$9:$Q$206)))</f>
        <v/>
      </c>
      <c r="AK60" s="328" t="str">
        <f t="shared" si="20"/>
        <v/>
      </c>
      <c r="AL60" s="269" t="str">
        <f t="shared" si="21"/>
        <v/>
      </c>
      <c r="AM60" s="270" t="str">
        <f t="shared" si="22"/>
        <v/>
      </c>
      <c r="AN60" s="244" t="str">
        <f t="shared" si="23"/>
        <v/>
      </c>
      <c r="AO60" s="244" t="str">
        <f t="shared" si="24"/>
        <v/>
      </c>
      <c r="AP60" s="271" t="str">
        <f t="shared" si="15"/>
        <v/>
      </c>
      <c r="AQ60" s="262"/>
      <c r="AR60" s="263"/>
      <c r="AS60" s="84"/>
      <c r="AT60" s="86"/>
      <c r="AU60" s="87"/>
    </row>
    <row r="61" spans="1:47" ht="15" customHeight="1">
      <c r="A61" s="281" t="str">
        <f t="shared" si="0"/>
        <v/>
      </c>
      <c r="B61" s="282" t="str">
        <f t="shared" si="12"/>
        <v/>
      </c>
      <c r="C61" s="618" t="str">
        <f>IF(AND($S61="",$U61="",$W61="",$AA61="",$AE61="",$AG61="",$AI61=""),"",MAX($C$10:$C60)+1)</f>
        <v/>
      </c>
      <c r="D61" s="619" t="str">
        <f t="shared" si="16"/>
        <v/>
      </c>
      <c r="E61" s="619" t="str">
        <f t="shared" si="17"/>
        <v/>
      </c>
      <c r="F61" s="619" t="str">
        <f t="shared" si="18"/>
        <v/>
      </c>
      <c r="G61" s="619" t="str">
        <f t="shared" si="19"/>
        <v/>
      </c>
      <c r="H61" s="620" t="str">
        <f t="shared" si="5"/>
        <v/>
      </c>
      <c r="I61" s="316" t="s">
        <v>270</v>
      </c>
      <c r="J61" s="254"/>
      <c r="K61" s="50" t="str">
        <f>IF($W61="","",IF($W61=1,IF(VLOOKUP($S61,ﾏｽﾀ!$E$8:$K$124,ﾏｽﾀ!$J$4-ﾏｽﾀ!$D$4,0)="E",DAY($J$4),ABS(VLOOKUP($S61,ﾏｽﾀ!$E$8:$K$124,ﾏｽﾀ!$J$4-ﾏｽﾀ!$D$4,0))),IF(VLOOKUP($S61,ﾏｽﾀ!$E$8:$K$124,ﾏｽﾀ!$K$4-ﾏｽﾀ!$D$4,0)="E",DAY($J$4),ABS(VLOOKUP($S61,ﾏｽﾀ!$E$8:$K$124,ﾏｽﾀ!$K$4-ﾏｽﾀ!$D$4,0)))))</f>
        <v/>
      </c>
      <c r="L61" s="255"/>
      <c r="M61" s="255"/>
      <c r="N61" s="255"/>
      <c r="O61" s="50" t="str">
        <f>IF($S61="","",IF($M61="",IF($J61="","ERR",IF(VLOOKUP($S61,ﾏｽﾀ!$E$8:$K$124,ﾏｽﾀ!$J$4-ﾏｽﾀ!$D$4,0)="E",MONTH($J61),IF(MONTH($J61)-1=0,12,MONTH($J61)-1))),MONTH($M61)))</f>
        <v/>
      </c>
      <c r="P61" s="50" t="str">
        <f>IF($S61="","",IF($M61="",IF($K61="","ERR",IF(VLOOKUP($S61,ﾏｽﾀ!$E$8:$K$124,ﾏｽﾀ!$J$4-ﾏｽﾀ!$D$4,0)="E",1,$K61+1)),DAY($M61)))</f>
        <v/>
      </c>
      <c r="Q61" s="50" t="str">
        <f t="shared" si="13"/>
        <v/>
      </c>
      <c r="R61" s="50" t="str">
        <f t="shared" si="14"/>
        <v/>
      </c>
      <c r="S61" s="601" t="str">
        <f>IF($T61="","",INDEX(ﾏｽﾀ!$E$8:$E$124,MATCH(INDEX(ﾏｽﾀ!$N$8:$N$124,MATCH($T61,ﾏｽﾀ!$O$8:$O$124,0)),ﾏｽﾀ!$B$8:$B$124,0))&amp;"")</f>
        <v/>
      </c>
      <c r="T61" s="535"/>
      <c r="U61" s="601" t="str">
        <f>IF($T61="","",INDEX(ﾏｽﾀ!$G$8:$G$124,MATCH(INDEX(ﾏｽﾀ!$N$8:$N$124,MATCH($T61,ﾏｽﾀ!$O$8:$O$124,0)),ﾏｽﾀ!$B$8:$B$124,0))&amp;"")</f>
        <v/>
      </c>
      <c r="V61" s="257"/>
      <c r="W61" s="602" t="str">
        <f>IF($X61="","",INDEX(ﾏｽﾀ!$T$8:$T$16,MATCH($X61,ﾏｽﾀ!$U$8:$U$16,0))&amp;"")</f>
        <v/>
      </c>
      <c r="X61" s="248"/>
      <c r="Y61" s="260"/>
      <c r="Z61" s="260"/>
      <c r="AA61" s="256"/>
      <c r="AB61" s="492" t="str">
        <f>IF($W61="","",IF($AA61="","ERR",IF($AA61="1",IF($AE61="","ERR",VLOOKUP($AA61,ﾏｽﾀ!$W$8:$X$10,ﾏｽﾀ!$X$4,0)),IF($AA61="2",IF($AG61="","ERR",VLOOKUP($AA61,ﾏｽﾀ!$W$8:$X$10,ﾏｽﾀ!$X$4,0)),IF($AA61="3",IF($AI61="","ERR",VLOOKUP($AA61,ﾏｽﾀ!$W$8:$X$10,ﾏｽﾀ!$X$4,0)),"ERR")))))</f>
        <v/>
      </c>
      <c r="AC61" s="261"/>
      <c r="AD61" s="321" t="str">
        <f>IF($AA61="1",COUNTIF('納品書明細16-E'!$D$9:$D$206,$AN61)+COUNTIF('納品書明細F-15'!$D$9:$D$297,$AN61)-IF(ISNA(MATCH(CONCATENATE(VLOOKUP($AC61,$AB$1:$AC$4,2,FALSE),$S61,IF($U61="","00",$U61),$W61,2),$F$11:$F$160,0)),0,SUMIF($F$11:$F$160,CONCATENATE(VLOOKUP($AC61,$AB$1:$AC$4,2,FALSE),$S61,IF($U61="","00",$U61),$W61,2),$AF$11:$AF$160)),"")</f>
        <v/>
      </c>
      <c r="AE61" s="319" t="str">
        <f>IF($AA61="1",SUMIF('納品書明細16-E'!$C$9:$C$206,$AO61,'納品書明細16-E'!$Q$9:$Q$206)+SUMIF('納品書明細F-15'!$C$9:$C$297,$AO61,'納品書明細F-15'!$Q$9:$Q$297)-IF(ISNA(MATCH(CONCATENATE(VLOOKUP($AC61,$AB$1:$AC$4,2,FALSE),$S61,IF($U61="","00",$U61),$W61,2),$F$11:$F$160,0)),0,SUMIF($F$11:$F$160,CONCATENATE(VLOOKUP($AC61,$AB$1:$AC$4,2,FALSE),$S61,IF($U61="","00",$U61),$W61,2),$AG$11:$AG$160)),"")</f>
        <v/>
      </c>
      <c r="AF61" s="322"/>
      <c r="AG61" s="327"/>
      <c r="AH61" s="57"/>
      <c r="AI61" s="319" t="str">
        <f>IF($AH61="","",IF(ISNA(MATCH($AH61,'納品書明細16-E'!$H$9:$H$206,0)),IF(ISNA(MATCH($AH61,'納品書明細F-15'!$H$9:$H$297,0)),"ERR",SUMIF('納品書明細F-15'!$H$9:$H$297,$AH61,'納品書明細F-15'!$Q$9:$Q$297)),SUMIF('納品書明細16-E'!$H$9:$H$206,$AH61,'納品書明細16-E'!$Q$9:$Q$206)))</f>
        <v/>
      </c>
      <c r="AK61" s="328" t="str">
        <f t="shared" si="20"/>
        <v/>
      </c>
      <c r="AL61" s="269" t="str">
        <f t="shared" si="21"/>
        <v/>
      </c>
      <c r="AM61" s="270" t="str">
        <f t="shared" si="22"/>
        <v/>
      </c>
      <c r="AN61" s="244" t="str">
        <f t="shared" si="23"/>
        <v/>
      </c>
      <c r="AO61" s="244" t="str">
        <f t="shared" si="24"/>
        <v/>
      </c>
      <c r="AP61" s="271" t="str">
        <f t="shared" si="15"/>
        <v/>
      </c>
      <c r="AQ61" s="262"/>
      <c r="AR61" s="263"/>
      <c r="AS61" s="84"/>
      <c r="AT61" s="86"/>
      <c r="AU61" s="87"/>
    </row>
    <row r="62" spans="1:47" ht="15" customHeight="1">
      <c r="A62" s="281" t="str">
        <f t="shared" si="0"/>
        <v/>
      </c>
      <c r="B62" s="282" t="str">
        <f t="shared" si="12"/>
        <v/>
      </c>
      <c r="C62" s="618" t="str">
        <f>IF(AND($S62="",$U62="",$W62="",$AA62="",$AE62="",$AG62="",$AI62=""),"",MAX($C$10:$C61)+1)</f>
        <v/>
      </c>
      <c r="D62" s="619" t="str">
        <f t="shared" si="16"/>
        <v/>
      </c>
      <c r="E62" s="619" t="str">
        <f t="shared" si="17"/>
        <v/>
      </c>
      <c r="F62" s="619" t="str">
        <f t="shared" si="18"/>
        <v/>
      </c>
      <c r="G62" s="619" t="str">
        <f t="shared" si="19"/>
        <v/>
      </c>
      <c r="H62" s="620" t="str">
        <f t="shared" si="5"/>
        <v/>
      </c>
      <c r="I62" s="316" t="s">
        <v>271</v>
      </c>
      <c r="J62" s="254"/>
      <c r="K62" s="50" t="str">
        <f>IF($W62="","",IF($W62=1,IF(VLOOKUP($S62,ﾏｽﾀ!$E$8:$K$124,ﾏｽﾀ!$J$4-ﾏｽﾀ!$D$4,0)="E",DAY($J$4),ABS(VLOOKUP($S62,ﾏｽﾀ!$E$8:$K$124,ﾏｽﾀ!$J$4-ﾏｽﾀ!$D$4,0))),IF(VLOOKUP($S62,ﾏｽﾀ!$E$8:$K$124,ﾏｽﾀ!$K$4-ﾏｽﾀ!$D$4,0)="E",DAY($J$4),ABS(VLOOKUP($S62,ﾏｽﾀ!$E$8:$K$124,ﾏｽﾀ!$K$4-ﾏｽﾀ!$D$4,0)))))</f>
        <v/>
      </c>
      <c r="L62" s="255"/>
      <c r="M62" s="255"/>
      <c r="N62" s="255"/>
      <c r="O62" s="50" t="str">
        <f>IF($S62="","",IF($M62="",IF($J62="","ERR",IF(VLOOKUP($S62,ﾏｽﾀ!$E$8:$K$124,ﾏｽﾀ!$J$4-ﾏｽﾀ!$D$4,0)="E",MONTH($J62),IF(MONTH($J62)-1=0,12,MONTH($J62)-1))),MONTH($M62)))</f>
        <v/>
      </c>
      <c r="P62" s="50" t="str">
        <f>IF($S62="","",IF($M62="",IF($K62="","ERR",IF(VLOOKUP($S62,ﾏｽﾀ!$E$8:$K$124,ﾏｽﾀ!$J$4-ﾏｽﾀ!$D$4,0)="E",1,$K62+1)),DAY($M62)))</f>
        <v/>
      </c>
      <c r="Q62" s="50" t="str">
        <f t="shared" si="13"/>
        <v/>
      </c>
      <c r="R62" s="50" t="str">
        <f t="shared" si="14"/>
        <v/>
      </c>
      <c r="S62" s="601" t="str">
        <f>IF($T62="","",INDEX(ﾏｽﾀ!$E$8:$E$124,MATCH(INDEX(ﾏｽﾀ!$N$8:$N$124,MATCH($T62,ﾏｽﾀ!$O$8:$O$124,0)),ﾏｽﾀ!$B$8:$B$124,0))&amp;"")</f>
        <v/>
      </c>
      <c r="T62" s="535"/>
      <c r="U62" s="601" t="str">
        <f>IF($T62="","",INDEX(ﾏｽﾀ!$G$8:$G$124,MATCH(INDEX(ﾏｽﾀ!$N$8:$N$124,MATCH($T62,ﾏｽﾀ!$O$8:$O$124,0)),ﾏｽﾀ!$B$8:$B$124,0))&amp;"")</f>
        <v/>
      </c>
      <c r="V62" s="257"/>
      <c r="W62" s="602" t="str">
        <f>IF($X62="","",INDEX(ﾏｽﾀ!$T$8:$T$16,MATCH($X62,ﾏｽﾀ!$U$8:$U$16,0))&amp;"")</f>
        <v/>
      </c>
      <c r="X62" s="248"/>
      <c r="Y62" s="260"/>
      <c r="Z62" s="260"/>
      <c r="AA62" s="256"/>
      <c r="AB62" s="492" t="str">
        <f>IF($W62="","",IF($AA62="","ERR",IF($AA62="1",IF($AE62="","ERR",VLOOKUP($AA62,ﾏｽﾀ!$W$8:$X$10,ﾏｽﾀ!$X$4,0)),IF($AA62="2",IF($AG62="","ERR",VLOOKUP($AA62,ﾏｽﾀ!$W$8:$X$10,ﾏｽﾀ!$X$4,0)),IF($AA62="3",IF($AI62="","ERR",VLOOKUP($AA62,ﾏｽﾀ!$W$8:$X$10,ﾏｽﾀ!$X$4,0)),"ERR")))))</f>
        <v/>
      </c>
      <c r="AC62" s="261"/>
      <c r="AD62" s="321" t="str">
        <f>IF($AA62="1",COUNTIF('納品書明細16-E'!$D$9:$D$206,$AN62)+COUNTIF('納品書明細F-15'!$D$9:$D$297,$AN62)-IF(ISNA(MATCH(CONCATENATE(VLOOKUP($AC62,$AB$1:$AC$4,2,FALSE),$S62,IF($U62="","00",$U62),$W62,2),$F$11:$F$160,0)),0,SUMIF($F$11:$F$160,CONCATENATE(VLOOKUP($AC62,$AB$1:$AC$4,2,FALSE),$S62,IF($U62="","00",$U62),$W62,2),$AF$11:$AF$160)),"")</f>
        <v/>
      </c>
      <c r="AE62" s="319" t="str">
        <f>IF($AA62="1",SUMIF('納品書明細16-E'!$C$9:$C$206,$AO62,'納品書明細16-E'!$Q$9:$Q$206)+SUMIF('納品書明細F-15'!$C$9:$C$297,$AO62,'納品書明細F-15'!$Q$9:$Q$297)-IF(ISNA(MATCH(CONCATENATE(VLOOKUP($AC62,$AB$1:$AC$4,2,FALSE),$S62,IF($U62="","00",$U62),$W62,2),$F$11:$F$160,0)),0,SUMIF($F$11:$F$160,CONCATENATE(VLOOKUP($AC62,$AB$1:$AC$4,2,FALSE),$S62,IF($U62="","00",$U62),$W62,2),$AG$11:$AG$160)),"")</f>
        <v/>
      </c>
      <c r="AF62" s="322"/>
      <c r="AG62" s="327"/>
      <c r="AH62" s="57"/>
      <c r="AI62" s="319" t="str">
        <f>IF($AH62="","",IF(ISNA(MATCH($AH62,'納品書明細16-E'!$H$9:$H$206,0)),IF(ISNA(MATCH($AH62,'納品書明細F-15'!$H$9:$H$297,0)),"ERR",SUMIF('納品書明細F-15'!$H$9:$H$297,$AH62,'納品書明細F-15'!$Q$9:$Q$297)),SUMIF('納品書明細16-E'!$H$9:$H$206,$AH62,'納品書明細16-E'!$Q$9:$Q$206)))</f>
        <v/>
      </c>
      <c r="AK62" s="328" t="str">
        <f t="shared" si="20"/>
        <v/>
      </c>
      <c r="AL62" s="269" t="str">
        <f t="shared" si="21"/>
        <v/>
      </c>
      <c r="AM62" s="270" t="str">
        <f t="shared" si="22"/>
        <v/>
      </c>
      <c r="AN62" s="244" t="str">
        <f t="shared" si="23"/>
        <v/>
      </c>
      <c r="AO62" s="244" t="str">
        <f t="shared" si="24"/>
        <v/>
      </c>
      <c r="AP62" s="271" t="str">
        <f t="shared" si="15"/>
        <v/>
      </c>
      <c r="AQ62" s="262"/>
      <c r="AR62" s="263"/>
      <c r="AS62" s="84"/>
      <c r="AT62" s="86"/>
      <c r="AU62" s="87"/>
    </row>
    <row r="63" spans="1:47" ht="15" customHeight="1">
      <c r="A63" s="281" t="str">
        <f t="shared" si="0"/>
        <v/>
      </c>
      <c r="B63" s="282" t="str">
        <f t="shared" si="12"/>
        <v/>
      </c>
      <c r="C63" s="618" t="str">
        <f>IF(AND($S63="",$U63="",$W63="",$AA63="",$AE63="",$AG63="",$AI63=""),"",MAX($C$10:$C62)+1)</f>
        <v/>
      </c>
      <c r="D63" s="619" t="str">
        <f t="shared" si="16"/>
        <v/>
      </c>
      <c r="E63" s="619" t="str">
        <f t="shared" si="17"/>
        <v/>
      </c>
      <c r="F63" s="619" t="str">
        <f t="shared" si="18"/>
        <v/>
      </c>
      <c r="G63" s="619" t="str">
        <f t="shared" si="19"/>
        <v/>
      </c>
      <c r="H63" s="620" t="str">
        <f t="shared" si="5"/>
        <v/>
      </c>
      <c r="I63" s="316" t="s">
        <v>272</v>
      </c>
      <c r="J63" s="254"/>
      <c r="K63" s="50" t="str">
        <f>IF($W63="","",IF($W63=1,IF(VLOOKUP($S63,ﾏｽﾀ!$E$8:$K$124,ﾏｽﾀ!$J$4-ﾏｽﾀ!$D$4,0)="E",DAY($J$4),ABS(VLOOKUP($S63,ﾏｽﾀ!$E$8:$K$124,ﾏｽﾀ!$J$4-ﾏｽﾀ!$D$4,0))),IF(VLOOKUP($S63,ﾏｽﾀ!$E$8:$K$124,ﾏｽﾀ!$K$4-ﾏｽﾀ!$D$4,0)="E",DAY($J$4),ABS(VLOOKUP($S63,ﾏｽﾀ!$E$8:$K$124,ﾏｽﾀ!$K$4-ﾏｽﾀ!$D$4,0)))))</f>
        <v/>
      </c>
      <c r="L63" s="255"/>
      <c r="M63" s="255"/>
      <c r="N63" s="255"/>
      <c r="O63" s="50" t="str">
        <f>IF($S63="","",IF($M63="",IF($J63="","ERR",IF(VLOOKUP($S63,ﾏｽﾀ!$E$8:$K$124,ﾏｽﾀ!$J$4-ﾏｽﾀ!$D$4,0)="E",MONTH($J63),IF(MONTH($J63)-1=0,12,MONTH($J63)-1))),MONTH($M63)))</f>
        <v/>
      </c>
      <c r="P63" s="50" t="str">
        <f>IF($S63="","",IF($M63="",IF($K63="","ERR",IF(VLOOKUP($S63,ﾏｽﾀ!$E$8:$K$124,ﾏｽﾀ!$J$4-ﾏｽﾀ!$D$4,0)="E",1,$K63+1)),DAY($M63)))</f>
        <v/>
      </c>
      <c r="Q63" s="50" t="str">
        <f t="shared" si="13"/>
        <v/>
      </c>
      <c r="R63" s="50" t="str">
        <f t="shared" si="14"/>
        <v/>
      </c>
      <c r="S63" s="601" t="str">
        <f>IF($T63="","",INDEX(ﾏｽﾀ!$E$8:$E$124,MATCH(INDEX(ﾏｽﾀ!$N$8:$N$124,MATCH($T63,ﾏｽﾀ!$O$8:$O$124,0)),ﾏｽﾀ!$B$8:$B$124,0))&amp;"")</f>
        <v/>
      </c>
      <c r="T63" s="535"/>
      <c r="U63" s="601" t="str">
        <f>IF($T63="","",INDEX(ﾏｽﾀ!$G$8:$G$124,MATCH(INDEX(ﾏｽﾀ!$N$8:$N$124,MATCH($T63,ﾏｽﾀ!$O$8:$O$124,0)),ﾏｽﾀ!$B$8:$B$124,0))&amp;"")</f>
        <v/>
      </c>
      <c r="V63" s="257"/>
      <c r="W63" s="602" t="str">
        <f>IF($X63="","",INDEX(ﾏｽﾀ!$T$8:$T$16,MATCH($X63,ﾏｽﾀ!$U$8:$U$16,0))&amp;"")</f>
        <v/>
      </c>
      <c r="X63" s="248"/>
      <c r="Y63" s="260"/>
      <c r="Z63" s="260"/>
      <c r="AA63" s="256"/>
      <c r="AB63" s="492" t="str">
        <f>IF($W63="","",IF($AA63="","ERR",IF($AA63="1",IF($AE63="","ERR",VLOOKUP($AA63,ﾏｽﾀ!$W$8:$X$10,ﾏｽﾀ!$X$4,0)),IF($AA63="2",IF($AG63="","ERR",VLOOKUP($AA63,ﾏｽﾀ!$W$8:$X$10,ﾏｽﾀ!$X$4,0)),IF($AA63="3",IF($AI63="","ERR",VLOOKUP($AA63,ﾏｽﾀ!$W$8:$X$10,ﾏｽﾀ!$X$4,0)),"ERR")))))</f>
        <v/>
      </c>
      <c r="AC63" s="261"/>
      <c r="AD63" s="321" t="str">
        <f>IF($AA63="1",COUNTIF('納品書明細16-E'!$D$9:$D$206,$AN63)+COUNTIF('納品書明細F-15'!$D$9:$D$297,$AN63)-IF(ISNA(MATCH(CONCATENATE(VLOOKUP($AC63,$AB$1:$AC$4,2,FALSE),$S63,IF($U63="","00",$U63),$W63,2),$F$11:$F$160,0)),0,SUMIF($F$11:$F$160,CONCATENATE(VLOOKUP($AC63,$AB$1:$AC$4,2,FALSE),$S63,IF($U63="","00",$U63),$W63,2),$AF$11:$AF$160)),"")</f>
        <v/>
      </c>
      <c r="AE63" s="319" t="str">
        <f>IF($AA63="1",SUMIF('納品書明細16-E'!$C$9:$C$206,$AO63,'納品書明細16-E'!$Q$9:$Q$206)+SUMIF('納品書明細F-15'!$C$9:$C$297,$AO63,'納品書明細F-15'!$Q$9:$Q$297)-IF(ISNA(MATCH(CONCATENATE(VLOOKUP($AC63,$AB$1:$AC$4,2,FALSE),$S63,IF($U63="","00",$U63),$W63,2),$F$11:$F$160,0)),0,SUMIF($F$11:$F$160,CONCATENATE(VLOOKUP($AC63,$AB$1:$AC$4,2,FALSE),$S63,IF($U63="","00",$U63),$W63,2),$AG$11:$AG$160)),"")</f>
        <v/>
      </c>
      <c r="AF63" s="322"/>
      <c r="AG63" s="327"/>
      <c r="AH63" s="57"/>
      <c r="AI63" s="319" t="str">
        <f>IF($AH63="","",IF(ISNA(MATCH($AH63,'納品書明細16-E'!$H$9:$H$206,0)),IF(ISNA(MATCH($AH63,'納品書明細F-15'!$H$9:$H$297,0)),"ERR",SUMIF('納品書明細F-15'!$H$9:$H$297,$AH63,'納品書明細F-15'!$Q$9:$Q$297)),SUMIF('納品書明細16-E'!$H$9:$H$206,$AH63,'納品書明細16-E'!$Q$9:$Q$206)))</f>
        <v/>
      </c>
      <c r="AK63" s="328" t="str">
        <f t="shared" si="20"/>
        <v/>
      </c>
      <c r="AL63" s="269" t="str">
        <f t="shared" si="21"/>
        <v/>
      </c>
      <c r="AM63" s="270" t="str">
        <f t="shared" si="22"/>
        <v/>
      </c>
      <c r="AN63" s="244" t="str">
        <f t="shared" si="23"/>
        <v/>
      </c>
      <c r="AO63" s="244" t="str">
        <f t="shared" si="24"/>
        <v/>
      </c>
      <c r="AP63" s="271" t="str">
        <f t="shared" si="15"/>
        <v/>
      </c>
      <c r="AQ63" s="262"/>
      <c r="AR63" s="263"/>
      <c r="AS63" s="84"/>
      <c r="AT63" s="86"/>
      <c r="AU63" s="87"/>
    </row>
    <row r="64" spans="1:47" ht="15" customHeight="1">
      <c r="A64" s="281" t="str">
        <f t="shared" si="0"/>
        <v/>
      </c>
      <c r="B64" s="282" t="str">
        <f t="shared" si="12"/>
        <v/>
      </c>
      <c r="C64" s="618" t="str">
        <f>IF(AND($S64="",$U64="",$W64="",$AA64="",$AE64="",$AG64="",$AI64=""),"",MAX($C$10:$C63)+1)</f>
        <v/>
      </c>
      <c r="D64" s="619" t="str">
        <f t="shared" si="16"/>
        <v/>
      </c>
      <c r="E64" s="619" t="str">
        <f t="shared" si="17"/>
        <v/>
      </c>
      <c r="F64" s="619" t="str">
        <f t="shared" si="18"/>
        <v/>
      </c>
      <c r="G64" s="619" t="str">
        <f t="shared" si="19"/>
        <v/>
      </c>
      <c r="H64" s="620" t="str">
        <f t="shared" si="5"/>
        <v/>
      </c>
      <c r="I64" s="316" t="s">
        <v>273</v>
      </c>
      <c r="J64" s="254"/>
      <c r="K64" s="50" t="str">
        <f>IF($W64="","",IF($W64=1,IF(VLOOKUP($S64,ﾏｽﾀ!$E$8:$K$124,ﾏｽﾀ!$J$4-ﾏｽﾀ!$D$4,0)="E",DAY($J$4),ABS(VLOOKUP($S64,ﾏｽﾀ!$E$8:$K$124,ﾏｽﾀ!$J$4-ﾏｽﾀ!$D$4,0))),IF(VLOOKUP($S64,ﾏｽﾀ!$E$8:$K$124,ﾏｽﾀ!$K$4-ﾏｽﾀ!$D$4,0)="E",DAY($J$4),ABS(VLOOKUP($S64,ﾏｽﾀ!$E$8:$K$124,ﾏｽﾀ!$K$4-ﾏｽﾀ!$D$4,0)))))</f>
        <v/>
      </c>
      <c r="L64" s="255"/>
      <c r="M64" s="255"/>
      <c r="N64" s="255"/>
      <c r="O64" s="50" t="str">
        <f>IF($S64="","",IF($M64="",IF($J64="","ERR",IF(VLOOKUP($S64,ﾏｽﾀ!$E$8:$K$124,ﾏｽﾀ!$J$4-ﾏｽﾀ!$D$4,0)="E",MONTH($J64),IF(MONTH($J64)-1=0,12,MONTH($J64)-1))),MONTH($M64)))</f>
        <v/>
      </c>
      <c r="P64" s="50" t="str">
        <f>IF($S64="","",IF($M64="",IF($K64="","ERR",IF(VLOOKUP($S64,ﾏｽﾀ!$E$8:$K$124,ﾏｽﾀ!$J$4-ﾏｽﾀ!$D$4,0)="E",1,$K64+1)),DAY($M64)))</f>
        <v/>
      </c>
      <c r="Q64" s="50" t="str">
        <f t="shared" si="13"/>
        <v/>
      </c>
      <c r="R64" s="50" t="str">
        <f t="shared" si="14"/>
        <v/>
      </c>
      <c r="S64" s="601" t="str">
        <f>IF($T64="","",INDEX(ﾏｽﾀ!$E$8:$E$124,MATCH(INDEX(ﾏｽﾀ!$N$8:$N$124,MATCH($T64,ﾏｽﾀ!$O$8:$O$124,0)),ﾏｽﾀ!$B$8:$B$124,0))&amp;"")</f>
        <v/>
      </c>
      <c r="T64" s="535"/>
      <c r="U64" s="601" t="str">
        <f>IF($T64="","",INDEX(ﾏｽﾀ!$G$8:$G$124,MATCH(INDEX(ﾏｽﾀ!$N$8:$N$124,MATCH($T64,ﾏｽﾀ!$O$8:$O$124,0)),ﾏｽﾀ!$B$8:$B$124,0))&amp;"")</f>
        <v/>
      </c>
      <c r="V64" s="257"/>
      <c r="W64" s="602" t="str">
        <f>IF($X64="","",INDEX(ﾏｽﾀ!$T$8:$T$16,MATCH($X64,ﾏｽﾀ!$U$8:$U$16,0))&amp;"")</f>
        <v/>
      </c>
      <c r="X64" s="248"/>
      <c r="Y64" s="260"/>
      <c r="Z64" s="260"/>
      <c r="AA64" s="256"/>
      <c r="AB64" s="492" t="str">
        <f>IF($W64="","",IF($AA64="","ERR",IF($AA64="1",IF($AE64="","ERR",VLOOKUP($AA64,ﾏｽﾀ!$W$8:$X$10,ﾏｽﾀ!$X$4,0)),IF($AA64="2",IF($AG64="","ERR",VLOOKUP($AA64,ﾏｽﾀ!$W$8:$X$10,ﾏｽﾀ!$X$4,0)),IF($AA64="3",IF($AI64="","ERR",VLOOKUP($AA64,ﾏｽﾀ!$W$8:$X$10,ﾏｽﾀ!$X$4,0)),"ERR")))))</f>
        <v/>
      </c>
      <c r="AC64" s="261"/>
      <c r="AD64" s="321" t="str">
        <f>IF($AA64="1",COUNTIF('納品書明細16-E'!$D$9:$D$206,$AN64)+COUNTIF('納品書明細F-15'!$D$9:$D$297,$AN64)-IF(ISNA(MATCH(CONCATENATE(VLOOKUP($AC64,$AB$1:$AC$4,2,FALSE),$S64,IF($U64="","00",$U64),$W64,2),$F$11:$F$160,0)),0,SUMIF($F$11:$F$160,CONCATENATE(VLOOKUP($AC64,$AB$1:$AC$4,2,FALSE),$S64,IF($U64="","00",$U64),$W64,2),$AF$11:$AF$160)),"")</f>
        <v/>
      </c>
      <c r="AE64" s="319" t="str">
        <f>IF($AA64="1",SUMIF('納品書明細16-E'!$C$9:$C$206,$AO64,'納品書明細16-E'!$Q$9:$Q$206)+SUMIF('納品書明細F-15'!$C$9:$C$297,$AO64,'納品書明細F-15'!$Q$9:$Q$297)-IF(ISNA(MATCH(CONCATENATE(VLOOKUP($AC64,$AB$1:$AC$4,2,FALSE),$S64,IF($U64="","00",$U64),$W64,2),$F$11:$F$160,0)),0,SUMIF($F$11:$F$160,CONCATENATE(VLOOKUP($AC64,$AB$1:$AC$4,2,FALSE),$S64,IF($U64="","00",$U64),$W64,2),$AG$11:$AG$160)),"")</f>
        <v/>
      </c>
      <c r="AF64" s="322"/>
      <c r="AG64" s="327"/>
      <c r="AH64" s="57"/>
      <c r="AI64" s="319" t="str">
        <f>IF($AH64="","",IF(ISNA(MATCH($AH64,'納品書明細16-E'!$H$9:$H$206,0)),IF(ISNA(MATCH($AH64,'納品書明細F-15'!$H$9:$H$297,0)),"ERR",SUMIF('納品書明細F-15'!$H$9:$H$297,$AH64,'納品書明細F-15'!$Q$9:$Q$297)),SUMIF('納品書明細16-E'!$H$9:$H$206,$AH64,'納品書明細16-E'!$Q$9:$Q$206)))</f>
        <v/>
      </c>
      <c r="AK64" s="328" t="str">
        <f t="shared" si="20"/>
        <v/>
      </c>
      <c r="AL64" s="269" t="str">
        <f t="shared" si="21"/>
        <v/>
      </c>
      <c r="AM64" s="270" t="str">
        <f t="shared" si="22"/>
        <v/>
      </c>
      <c r="AN64" s="244" t="str">
        <f t="shared" si="23"/>
        <v/>
      </c>
      <c r="AO64" s="244" t="str">
        <f t="shared" si="24"/>
        <v/>
      </c>
      <c r="AP64" s="271" t="str">
        <f t="shared" si="15"/>
        <v/>
      </c>
      <c r="AQ64" s="262"/>
      <c r="AR64" s="263"/>
      <c r="AS64" s="84"/>
      <c r="AT64" s="86"/>
      <c r="AU64" s="87"/>
    </row>
    <row r="65" spans="1:47" ht="15" customHeight="1">
      <c r="A65" s="281" t="str">
        <f t="shared" si="0"/>
        <v/>
      </c>
      <c r="B65" s="282" t="str">
        <f t="shared" si="12"/>
        <v/>
      </c>
      <c r="C65" s="618" t="str">
        <f>IF(AND($S65="",$U65="",$W65="",$AA65="",$AE65="",$AG65="",$AI65=""),"",MAX($C$10:$C64)+1)</f>
        <v/>
      </c>
      <c r="D65" s="619" t="str">
        <f t="shared" si="16"/>
        <v/>
      </c>
      <c r="E65" s="619" t="str">
        <f t="shared" si="17"/>
        <v/>
      </c>
      <c r="F65" s="619" t="str">
        <f t="shared" si="18"/>
        <v/>
      </c>
      <c r="G65" s="619" t="str">
        <f t="shared" si="19"/>
        <v/>
      </c>
      <c r="H65" s="620" t="str">
        <f t="shared" si="5"/>
        <v/>
      </c>
      <c r="I65" s="316" t="s">
        <v>274</v>
      </c>
      <c r="J65" s="254"/>
      <c r="K65" s="50" t="str">
        <f>IF($W65="","",IF($W65=1,IF(VLOOKUP($S65,ﾏｽﾀ!$E$8:$K$124,ﾏｽﾀ!$J$4-ﾏｽﾀ!$D$4,0)="E",DAY($J$4),ABS(VLOOKUP($S65,ﾏｽﾀ!$E$8:$K$124,ﾏｽﾀ!$J$4-ﾏｽﾀ!$D$4,0))),IF(VLOOKUP($S65,ﾏｽﾀ!$E$8:$K$124,ﾏｽﾀ!$K$4-ﾏｽﾀ!$D$4,0)="E",DAY($J$4),ABS(VLOOKUP($S65,ﾏｽﾀ!$E$8:$K$124,ﾏｽﾀ!$K$4-ﾏｽﾀ!$D$4,0)))))</f>
        <v/>
      </c>
      <c r="L65" s="255"/>
      <c r="M65" s="255"/>
      <c r="N65" s="255"/>
      <c r="O65" s="50" t="str">
        <f>IF($S65="","",IF($M65="",IF($J65="","ERR",IF(VLOOKUP($S65,ﾏｽﾀ!$E$8:$K$124,ﾏｽﾀ!$J$4-ﾏｽﾀ!$D$4,0)="E",MONTH($J65),IF(MONTH($J65)-1=0,12,MONTH($J65)-1))),MONTH($M65)))</f>
        <v/>
      </c>
      <c r="P65" s="50" t="str">
        <f>IF($S65="","",IF($M65="",IF($K65="","ERR",IF(VLOOKUP($S65,ﾏｽﾀ!$E$8:$K$124,ﾏｽﾀ!$J$4-ﾏｽﾀ!$D$4,0)="E",1,$K65+1)),DAY($M65)))</f>
        <v/>
      </c>
      <c r="Q65" s="50" t="str">
        <f t="shared" si="13"/>
        <v/>
      </c>
      <c r="R65" s="50" t="str">
        <f t="shared" si="14"/>
        <v/>
      </c>
      <c r="S65" s="601" t="str">
        <f>IF($T65="","",INDEX(ﾏｽﾀ!$E$8:$E$124,MATCH(INDEX(ﾏｽﾀ!$N$8:$N$124,MATCH($T65,ﾏｽﾀ!$O$8:$O$124,0)),ﾏｽﾀ!$B$8:$B$124,0))&amp;"")</f>
        <v/>
      </c>
      <c r="T65" s="535"/>
      <c r="U65" s="601" t="str">
        <f>IF($T65="","",INDEX(ﾏｽﾀ!$G$8:$G$124,MATCH(INDEX(ﾏｽﾀ!$N$8:$N$124,MATCH($T65,ﾏｽﾀ!$O$8:$O$124,0)),ﾏｽﾀ!$B$8:$B$124,0))&amp;"")</f>
        <v/>
      </c>
      <c r="V65" s="257"/>
      <c r="W65" s="602" t="str">
        <f>IF($X65="","",INDEX(ﾏｽﾀ!$T$8:$T$16,MATCH($X65,ﾏｽﾀ!$U$8:$U$16,0))&amp;"")</f>
        <v/>
      </c>
      <c r="X65" s="248"/>
      <c r="Y65" s="260"/>
      <c r="Z65" s="260"/>
      <c r="AA65" s="256"/>
      <c r="AB65" s="492" t="str">
        <f>IF($W65="","",IF($AA65="","ERR",IF($AA65="1",IF($AE65="","ERR",VLOOKUP($AA65,ﾏｽﾀ!$W$8:$X$10,ﾏｽﾀ!$X$4,0)),IF($AA65="2",IF($AG65="","ERR",VLOOKUP($AA65,ﾏｽﾀ!$W$8:$X$10,ﾏｽﾀ!$X$4,0)),IF($AA65="3",IF($AI65="","ERR",VLOOKUP($AA65,ﾏｽﾀ!$W$8:$X$10,ﾏｽﾀ!$X$4,0)),"ERR")))))</f>
        <v/>
      </c>
      <c r="AC65" s="261"/>
      <c r="AD65" s="321" t="str">
        <f>IF($AA65="1",COUNTIF('納品書明細16-E'!$D$9:$D$206,$AN65)+COUNTIF('納品書明細F-15'!$D$9:$D$297,$AN65)-IF(ISNA(MATCH(CONCATENATE(VLOOKUP($AC65,$AB$1:$AC$4,2,FALSE),$S65,IF($U65="","00",$U65),$W65,2),$F$11:$F$160,0)),0,SUMIF($F$11:$F$160,CONCATENATE(VLOOKUP($AC65,$AB$1:$AC$4,2,FALSE),$S65,IF($U65="","00",$U65),$W65,2),$AF$11:$AF$160)),"")</f>
        <v/>
      </c>
      <c r="AE65" s="319" t="str">
        <f>IF($AA65="1",SUMIF('納品書明細16-E'!$C$9:$C$206,$AO65,'納品書明細16-E'!$Q$9:$Q$206)+SUMIF('納品書明細F-15'!$C$9:$C$297,$AO65,'納品書明細F-15'!$Q$9:$Q$297)-IF(ISNA(MATCH(CONCATENATE(VLOOKUP($AC65,$AB$1:$AC$4,2,FALSE),$S65,IF($U65="","00",$U65),$W65,2),$F$11:$F$160,0)),0,SUMIF($F$11:$F$160,CONCATENATE(VLOOKUP($AC65,$AB$1:$AC$4,2,FALSE),$S65,IF($U65="","00",$U65),$W65,2),$AG$11:$AG$160)),"")</f>
        <v/>
      </c>
      <c r="AF65" s="322"/>
      <c r="AG65" s="327"/>
      <c r="AH65" s="57"/>
      <c r="AI65" s="319" t="str">
        <f>IF($AH65="","",IF(ISNA(MATCH($AH65,'納品書明細16-E'!$H$9:$H$206,0)),IF(ISNA(MATCH($AH65,'納品書明細F-15'!$H$9:$H$297,0)),"ERR",SUMIF('納品書明細F-15'!$H$9:$H$297,$AH65,'納品書明細F-15'!$Q$9:$Q$297)),SUMIF('納品書明細16-E'!$H$9:$H$206,$AH65,'納品書明細16-E'!$Q$9:$Q$206)))</f>
        <v/>
      </c>
      <c r="AK65" s="328" t="str">
        <f t="shared" si="20"/>
        <v/>
      </c>
      <c r="AL65" s="269" t="str">
        <f t="shared" si="21"/>
        <v/>
      </c>
      <c r="AM65" s="270" t="str">
        <f t="shared" si="22"/>
        <v/>
      </c>
      <c r="AN65" s="244" t="str">
        <f t="shared" si="23"/>
        <v/>
      </c>
      <c r="AO65" s="244" t="str">
        <f t="shared" si="24"/>
        <v/>
      </c>
      <c r="AP65" s="271" t="str">
        <f t="shared" si="15"/>
        <v/>
      </c>
      <c r="AQ65" s="262"/>
      <c r="AR65" s="263"/>
      <c r="AS65" s="84"/>
      <c r="AT65" s="86"/>
      <c r="AU65" s="87"/>
    </row>
    <row r="66" spans="1:47" ht="15" customHeight="1">
      <c r="A66" s="281" t="str">
        <f t="shared" si="0"/>
        <v/>
      </c>
      <c r="B66" s="282" t="str">
        <f t="shared" si="12"/>
        <v/>
      </c>
      <c r="C66" s="618" t="str">
        <f>IF(AND($S66="",$U66="",$W66="",$AA66="",$AE66="",$AG66="",$AI66=""),"",MAX($C$10:$C65)+1)</f>
        <v/>
      </c>
      <c r="D66" s="619" t="str">
        <f t="shared" si="16"/>
        <v/>
      </c>
      <c r="E66" s="619" t="str">
        <f t="shared" si="17"/>
        <v/>
      </c>
      <c r="F66" s="619" t="str">
        <f t="shared" si="18"/>
        <v/>
      </c>
      <c r="G66" s="619" t="str">
        <f t="shared" si="19"/>
        <v/>
      </c>
      <c r="H66" s="620" t="str">
        <f t="shared" si="5"/>
        <v/>
      </c>
      <c r="I66" s="316" t="s">
        <v>275</v>
      </c>
      <c r="J66" s="254"/>
      <c r="K66" s="50" t="str">
        <f>IF($W66="","",IF($W66=1,IF(VLOOKUP($S66,ﾏｽﾀ!$E$8:$K$124,ﾏｽﾀ!$J$4-ﾏｽﾀ!$D$4,0)="E",DAY($J$4),ABS(VLOOKUP($S66,ﾏｽﾀ!$E$8:$K$124,ﾏｽﾀ!$J$4-ﾏｽﾀ!$D$4,0))),IF(VLOOKUP($S66,ﾏｽﾀ!$E$8:$K$124,ﾏｽﾀ!$K$4-ﾏｽﾀ!$D$4,0)="E",DAY($J$4),ABS(VLOOKUP($S66,ﾏｽﾀ!$E$8:$K$124,ﾏｽﾀ!$K$4-ﾏｽﾀ!$D$4,0)))))</f>
        <v/>
      </c>
      <c r="L66" s="255"/>
      <c r="M66" s="255"/>
      <c r="N66" s="255"/>
      <c r="O66" s="50" t="str">
        <f>IF($S66="","",IF($M66="",IF($J66="","ERR",IF(VLOOKUP($S66,ﾏｽﾀ!$E$8:$K$124,ﾏｽﾀ!$J$4-ﾏｽﾀ!$D$4,0)="E",MONTH($J66),IF(MONTH($J66)-1=0,12,MONTH($J66)-1))),MONTH($M66)))</f>
        <v/>
      </c>
      <c r="P66" s="50" t="str">
        <f>IF($S66="","",IF($M66="",IF($K66="","ERR",IF(VLOOKUP($S66,ﾏｽﾀ!$E$8:$K$124,ﾏｽﾀ!$J$4-ﾏｽﾀ!$D$4,0)="E",1,$K66+1)),DAY($M66)))</f>
        <v/>
      </c>
      <c r="Q66" s="50" t="str">
        <f t="shared" si="13"/>
        <v/>
      </c>
      <c r="R66" s="50" t="str">
        <f t="shared" si="14"/>
        <v/>
      </c>
      <c r="S66" s="601" t="str">
        <f>IF($T66="","",INDEX(ﾏｽﾀ!$E$8:$E$124,MATCH(INDEX(ﾏｽﾀ!$N$8:$N$124,MATCH($T66,ﾏｽﾀ!$O$8:$O$124,0)),ﾏｽﾀ!$B$8:$B$124,0))&amp;"")</f>
        <v/>
      </c>
      <c r="T66" s="535"/>
      <c r="U66" s="601" t="str">
        <f>IF($T66="","",INDEX(ﾏｽﾀ!$G$8:$G$124,MATCH(INDEX(ﾏｽﾀ!$N$8:$N$124,MATCH($T66,ﾏｽﾀ!$O$8:$O$124,0)),ﾏｽﾀ!$B$8:$B$124,0))&amp;"")</f>
        <v/>
      </c>
      <c r="V66" s="257"/>
      <c r="W66" s="602" t="str">
        <f>IF($X66="","",INDEX(ﾏｽﾀ!$T$8:$T$16,MATCH($X66,ﾏｽﾀ!$U$8:$U$16,0))&amp;"")</f>
        <v/>
      </c>
      <c r="X66" s="248"/>
      <c r="Y66" s="260"/>
      <c r="Z66" s="260"/>
      <c r="AA66" s="256"/>
      <c r="AB66" s="492" t="str">
        <f>IF($W66="","",IF($AA66="","ERR",IF($AA66="1",IF($AE66="","ERR",VLOOKUP($AA66,ﾏｽﾀ!$W$8:$X$10,ﾏｽﾀ!$X$4,0)),IF($AA66="2",IF($AG66="","ERR",VLOOKUP($AA66,ﾏｽﾀ!$W$8:$X$10,ﾏｽﾀ!$X$4,0)),IF($AA66="3",IF($AI66="","ERR",VLOOKUP($AA66,ﾏｽﾀ!$W$8:$X$10,ﾏｽﾀ!$X$4,0)),"ERR")))))</f>
        <v/>
      </c>
      <c r="AC66" s="261"/>
      <c r="AD66" s="321" t="str">
        <f>IF($AA66="1",COUNTIF('納品書明細16-E'!$D$9:$D$206,$AN66)+COUNTIF('納品書明細F-15'!$D$9:$D$297,$AN66)-IF(ISNA(MATCH(CONCATENATE(VLOOKUP($AC66,$AB$1:$AC$4,2,FALSE),$S66,IF($U66="","00",$U66),$W66,2),$F$11:$F$160,0)),0,SUMIF($F$11:$F$160,CONCATENATE(VLOOKUP($AC66,$AB$1:$AC$4,2,FALSE),$S66,IF($U66="","00",$U66),$W66,2),$AF$11:$AF$160)),"")</f>
        <v/>
      </c>
      <c r="AE66" s="319" t="str">
        <f>IF($AA66="1",SUMIF('納品書明細16-E'!$C$9:$C$206,$AO66,'納品書明細16-E'!$Q$9:$Q$206)+SUMIF('納品書明細F-15'!$C$9:$C$297,$AO66,'納品書明細F-15'!$Q$9:$Q$297)-IF(ISNA(MATCH(CONCATENATE(VLOOKUP($AC66,$AB$1:$AC$4,2,FALSE),$S66,IF($U66="","00",$U66),$W66,2),$F$11:$F$160,0)),0,SUMIF($F$11:$F$160,CONCATENATE(VLOOKUP($AC66,$AB$1:$AC$4,2,FALSE),$S66,IF($U66="","00",$U66),$W66,2),$AG$11:$AG$160)),"")</f>
        <v/>
      </c>
      <c r="AF66" s="322"/>
      <c r="AG66" s="327"/>
      <c r="AH66" s="57"/>
      <c r="AI66" s="319" t="str">
        <f>IF($AH66="","",IF(ISNA(MATCH($AH66,'納品書明細16-E'!$H$9:$H$206,0)),IF(ISNA(MATCH($AH66,'納品書明細F-15'!$H$9:$H$297,0)),"ERR",SUMIF('納品書明細F-15'!$H$9:$H$297,$AH66,'納品書明細F-15'!$Q$9:$Q$297)),SUMIF('納品書明細16-E'!$H$9:$H$206,$AH66,'納品書明細16-E'!$Q$9:$Q$206)))</f>
        <v/>
      </c>
      <c r="AK66" s="328" t="str">
        <f t="shared" si="20"/>
        <v/>
      </c>
      <c r="AL66" s="269" t="str">
        <f t="shared" si="21"/>
        <v/>
      </c>
      <c r="AM66" s="270" t="str">
        <f t="shared" si="22"/>
        <v/>
      </c>
      <c r="AN66" s="244" t="str">
        <f t="shared" si="23"/>
        <v/>
      </c>
      <c r="AO66" s="244" t="str">
        <f t="shared" si="24"/>
        <v/>
      </c>
      <c r="AP66" s="271" t="str">
        <f t="shared" si="15"/>
        <v/>
      </c>
      <c r="AQ66" s="265"/>
      <c r="AR66" s="263"/>
      <c r="AS66" s="84"/>
      <c r="AT66" s="86"/>
      <c r="AU66" s="87"/>
    </row>
    <row r="67" spans="1:47" ht="15" customHeight="1">
      <c r="A67" s="281" t="str">
        <f t="shared" si="0"/>
        <v/>
      </c>
      <c r="B67" s="282" t="str">
        <f t="shared" si="12"/>
        <v/>
      </c>
      <c r="C67" s="618" t="str">
        <f>IF(AND($S67="",$U67="",$W67="",$AA67="",$AE67="",$AG67="",$AI67=""),"",MAX($C$10:$C66)+1)</f>
        <v/>
      </c>
      <c r="D67" s="619" t="str">
        <f t="shared" si="16"/>
        <v/>
      </c>
      <c r="E67" s="619" t="str">
        <f t="shared" si="17"/>
        <v/>
      </c>
      <c r="F67" s="619" t="str">
        <f t="shared" si="18"/>
        <v/>
      </c>
      <c r="G67" s="619" t="str">
        <f t="shared" si="19"/>
        <v/>
      </c>
      <c r="H67" s="620" t="str">
        <f t="shared" si="5"/>
        <v/>
      </c>
      <c r="I67" s="316" t="s">
        <v>276</v>
      </c>
      <c r="J67" s="254"/>
      <c r="K67" s="50" t="str">
        <f>IF($W67="","",IF($W67=1,IF(VLOOKUP($S67,ﾏｽﾀ!$E$8:$K$124,ﾏｽﾀ!$J$4-ﾏｽﾀ!$D$4,0)="E",DAY($J$4),ABS(VLOOKUP($S67,ﾏｽﾀ!$E$8:$K$124,ﾏｽﾀ!$J$4-ﾏｽﾀ!$D$4,0))),IF(VLOOKUP($S67,ﾏｽﾀ!$E$8:$K$124,ﾏｽﾀ!$K$4-ﾏｽﾀ!$D$4,0)="E",DAY($J$4),ABS(VLOOKUP($S67,ﾏｽﾀ!$E$8:$K$124,ﾏｽﾀ!$K$4-ﾏｽﾀ!$D$4,0)))))</f>
        <v/>
      </c>
      <c r="L67" s="255"/>
      <c r="M67" s="255"/>
      <c r="N67" s="255"/>
      <c r="O67" s="50" t="str">
        <f>IF($S67="","",IF($M67="",IF($J67="","ERR",IF(VLOOKUP($S67,ﾏｽﾀ!$E$8:$K$124,ﾏｽﾀ!$J$4-ﾏｽﾀ!$D$4,0)="E",MONTH($J67),IF(MONTH($J67)-1=0,12,MONTH($J67)-1))),MONTH($M67)))</f>
        <v/>
      </c>
      <c r="P67" s="50" t="str">
        <f>IF($S67="","",IF($M67="",IF($K67="","ERR",IF(VLOOKUP($S67,ﾏｽﾀ!$E$8:$K$124,ﾏｽﾀ!$J$4-ﾏｽﾀ!$D$4,0)="E",1,$K67+1)),DAY($M67)))</f>
        <v/>
      </c>
      <c r="Q67" s="50" t="str">
        <f t="shared" si="13"/>
        <v/>
      </c>
      <c r="R67" s="50" t="str">
        <f t="shared" si="14"/>
        <v/>
      </c>
      <c r="S67" s="601" t="str">
        <f>IF($T67="","",INDEX(ﾏｽﾀ!$E$8:$E$124,MATCH(INDEX(ﾏｽﾀ!$N$8:$N$124,MATCH($T67,ﾏｽﾀ!$O$8:$O$124,0)),ﾏｽﾀ!$B$8:$B$124,0))&amp;"")</f>
        <v/>
      </c>
      <c r="T67" s="535"/>
      <c r="U67" s="601" t="str">
        <f>IF($T67="","",INDEX(ﾏｽﾀ!$G$8:$G$124,MATCH(INDEX(ﾏｽﾀ!$N$8:$N$124,MATCH($T67,ﾏｽﾀ!$O$8:$O$124,0)),ﾏｽﾀ!$B$8:$B$124,0))&amp;"")</f>
        <v/>
      </c>
      <c r="V67" s="257"/>
      <c r="W67" s="602" t="str">
        <f>IF($X67="","",INDEX(ﾏｽﾀ!$T$8:$T$16,MATCH($X67,ﾏｽﾀ!$U$8:$U$16,0))&amp;"")</f>
        <v/>
      </c>
      <c r="X67" s="248"/>
      <c r="Y67" s="260"/>
      <c r="Z67" s="260"/>
      <c r="AA67" s="256"/>
      <c r="AB67" s="492" t="str">
        <f>IF($W67="","",IF($AA67="","ERR",IF($AA67="1",IF($AE67="","ERR",VLOOKUP($AA67,ﾏｽﾀ!$W$8:$X$10,ﾏｽﾀ!$X$4,0)),IF($AA67="2",IF($AG67="","ERR",VLOOKUP($AA67,ﾏｽﾀ!$W$8:$X$10,ﾏｽﾀ!$X$4,0)),IF($AA67="3",IF($AI67="","ERR",VLOOKUP($AA67,ﾏｽﾀ!$W$8:$X$10,ﾏｽﾀ!$X$4,0)),"ERR")))))</f>
        <v/>
      </c>
      <c r="AC67" s="261"/>
      <c r="AD67" s="321" t="str">
        <f>IF($AA67="1",COUNTIF('納品書明細16-E'!$D$9:$D$206,$AN67)+COUNTIF('納品書明細F-15'!$D$9:$D$297,$AN67)-IF(ISNA(MATCH(CONCATENATE(VLOOKUP($AC67,$AB$1:$AC$4,2,FALSE),$S67,IF($U67="","00",$U67),$W67,2),$F$11:$F$160,0)),0,SUMIF($F$11:$F$160,CONCATENATE(VLOOKUP($AC67,$AB$1:$AC$4,2,FALSE),$S67,IF($U67="","00",$U67),$W67,2),$AF$11:$AF$160)),"")</f>
        <v/>
      </c>
      <c r="AE67" s="319" t="str">
        <f>IF($AA67="1",SUMIF('納品書明細16-E'!$C$9:$C$206,$AO67,'納品書明細16-E'!$Q$9:$Q$206)+SUMIF('納品書明細F-15'!$C$9:$C$297,$AO67,'納品書明細F-15'!$Q$9:$Q$297)-IF(ISNA(MATCH(CONCATENATE(VLOOKUP($AC67,$AB$1:$AC$4,2,FALSE),$S67,IF($U67="","00",$U67),$W67,2),$F$11:$F$160,0)),0,SUMIF($F$11:$F$160,CONCATENATE(VLOOKUP($AC67,$AB$1:$AC$4,2,FALSE),$S67,IF($U67="","00",$U67),$W67,2),$AG$11:$AG$160)),"")</f>
        <v/>
      </c>
      <c r="AF67" s="322"/>
      <c r="AG67" s="327"/>
      <c r="AH67" s="57"/>
      <c r="AI67" s="319" t="str">
        <f>IF($AH67="","",IF(ISNA(MATCH($AH67,'納品書明細16-E'!$H$9:$H$206,0)),IF(ISNA(MATCH($AH67,'納品書明細F-15'!$H$9:$H$297,0)),"ERR",SUMIF('納品書明細F-15'!$H$9:$H$297,$AH67,'納品書明細F-15'!$Q$9:$Q$297)),SUMIF('納品書明細16-E'!$H$9:$H$206,$AH67,'納品書明細16-E'!$Q$9:$Q$206)))</f>
        <v/>
      </c>
      <c r="AK67" s="328" t="str">
        <f t="shared" si="20"/>
        <v/>
      </c>
      <c r="AL67" s="269" t="str">
        <f t="shared" si="21"/>
        <v/>
      </c>
      <c r="AM67" s="270" t="str">
        <f t="shared" si="22"/>
        <v/>
      </c>
      <c r="AN67" s="244" t="str">
        <f t="shared" si="23"/>
        <v/>
      </c>
      <c r="AO67" s="244" t="str">
        <f t="shared" si="24"/>
        <v/>
      </c>
      <c r="AP67" s="271" t="str">
        <f t="shared" si="15"/>
        <v/>
      </c>
      <c r="AQ67" s="262"/>
      <c r="AR67" s="263"/>
      <c r="AS67" s="84"/>
      <c r="AT67" s="86"/>
      <c r="AU67" s="87"/>
    </row>
    <row r="68" spans="1:47" ht="15" customHeight="1">
      <c r="A68" s="281" t="str">
        <f t="shared" si="0"/>
        <v/>
      </c>
      <c r="B68" s="282" t="str">
        <f t="shared" si="12"/>
        <v/>
      </c>
      <c r="C68" s="618" t="str">
        <f>IF(AND($S68="",$U68="",$W68="",$AA68="",$AE68="",$AG68="",$AI68=""),"",MAX($C$10:$C67)+1)</f>
        <v/>
      </c>
      <c r="D68" s="619" t="str">
        <f t="shared" si="16"/>
        <v/>
      </c>
      <c r="E68" s="619" t="str">
        <f t="shared" si="17"/>
        <v/>
      </c>
      <c r="F68" s="619" t="str">
        <f t="shared" si="18"/>
        <v/>
      </c>
      <c r="G68" s="619" t="str">
        <f t="shared" si="19"/>
        <v/>
      </c>
      <c r="H68" s="620" t="str">
        <f t="shared" si="5"/>
        <v/>
      </c>
      <c r="I68" s="316" t="s">
        <v>277</v>
      </c>
      <c r="J68" s="254"/>
      <c r="K68" s="50" t="str">
        <f>IF($W68="","",IF($W68=1,IF(VLOOKUP($S68,ﾏｽﾀ!$E$8:$K$124,ﾏｽﾀ!$J$4-ﾏｽﾀ!$D$4,0)="E",DAY($J$4),ABS(VLOOKUP($S68,ﾏｽﾀ!$E$8:$K$124,ﾏｽﾀ!$J$4-ﾏｽﾀ!$D$4,0))),IF(VLOOKUP($S68,ﾏｽﾀ!$E$8:$K$124,ﾏｽﾀ!$K$4-ﾏｽﾀ!$D$4,0)="E",DAY($J$4),ABS(VLOOKUP($S68,ﾏｽﾀ!$E$8:$K$124,ﾏｽﾀ!$K$4-ﾏｽﾀ!$D$4,0)))))</f>
        <v/>
      </c>
      <c r="L68" s="255"/>
      <c r="M68" s="255"/>
      <c r="N68" s="255"/>
      <c r="O68" s="50" t="str">
        <f>IF($S68="","",IF($M68="",IF($J68="","ERR",IF(VLOOKUP($S68,ﾏｽﾀ!$E$8:$K$124,ﾏｽﾀ!$J$4-ﾏｽﾀ!$D$4,0)="E",MONTH($J68),IF(MONTH($J68)-1=0,12,MONTH($J68)-1))),MONTH($M68)))</f>
        <v/>
      </c>
      <c r="P68" s="50" t="str">
        <f>IF($S68="","",IF($M68="",IF($K68="","ERR",IF(VLOOKUP($S68,ﾏｽﾀ!$E$8:$K$124,ﾏｽﾀ!$J$4-ﾏｽﾀ!$D$4,0)="E",1,$K68+1)),DAY($M68)))</f>
        <v/>
      </c>
      <c r="Q68" s="50" t="str">
        <f t="shared" si="13"/>
        <v/>
      </c>
      <c r="R68" s="50" t="str">
        <f t="shared" si="14"/>
        <v/>
      </c>
      <c r="S68" s="601" t="str">
        <f>IF($T68="","",INDEX(ﾏｽﾀ!$E$8:$E$124,MATCH(INDEX(ﾏｽﾀ!$N$8:$N$124,MATCH($T68,ﾏｽﾀ!$O$8:$O$124,0)),ﾏｽﾀ!$B$8:$B$124,0))&amp;"")</f>
        <v/>
      </c>
      <c r="T68" s="535"/>
      <c r="U68" s="601" t="str">
        <f>IF($T68="","",INDEX(ﾏｽﾀ!$G$8:$G$124,MATCH(INDEX(ﾏｽﾀ!$N$8:$N$124,MATCH($T68,ﾏｽﾀ!$O$8:$O$124,0)),ﾏｽﾀ!$B$8:$B$124,0))&amp;"")</f>
        <v/>
      </c>
      <c r="V68" s="257"/>
      <c r="W68" s="602" t="str">
        <f>IF($X68="","",INDEX(ﾏｽﾀ!$T$8:$T$16,MATCH($X68,ﾏｽﾀ!$U$8:$U$16,0))&amp;"")</f>
        <v/>
      </c>
      <c r="X68" s="248"/>
      <c r="Y68" s="260"/>
      <c r="Z68" s="260"/>
      <c r="AA68" s="256"/>
      <c r="AB68" s="492" t="str">
        <f>IF($W68="","",IF($AA68="","ERR",IF($AA68="1",IF($AE68="","ERR",VLOOKUP($AA68,ﾏｽﾀ!$W$8:$X$10,ﾏｽﾀ!$X$4,0)),IF($AA68="2",IF($AG68="","ERR",VLOOKUP($AA68,ﾏｽﾀ!$W$8:$X$10,ﾏｽﾀ!$X$4,0)),IF($AA68="3",IF($AI68="","ERR",VLOOKUP($AA68,ﾏｽﾀ!$W$8:$X$10,ﾏｽﾀ!$X$4,0)),"ERR")))))</f>
        <v/>
      </c>
      <c r="AC68" s="261"/>
      <c r="AD68" s="321" t="str">
        <f>IF($AA68="1",COUNTIF('納品書明細16-E'!$D$9:$D$206,$AN68)+COUNTIF('納品書明細F-15'!$D$9:$D$297,$AN68)-IF(ISNA(MATCH(CONCATENATE(VLOOKUP($AC68,$AB$1:$AC$4,2,FALSE),$S68,IF($U68="","00",$U68),$W68,2),$F$11:$F$160,0)),0,SUMIF($F$11:$F$160,CONCATENATE(VLOOKUP($AC68,$AB$1:$AC$4,2,FALSE),$S68,IF($U68="","00",$U68),$W68,2),$AF$11:$AF$160)),"")</f>
        <v/>
      </c>
      <c r="AE68" s="319" t="str">
        <f>IF($AA68="1",SUMIF('納品書明細16-E'!$C$9:$C$206,$AO68,'納品書明細16-E'!$Q$9:$Q$206)+SUMIF('納品書明細F-15'!$C$9:$C$297,$AO68,'納品書明細F-15'!$Q$9:$Q$297)-IF(ISNA(MATCH(CONCATENATE(VLOOKUP($AC68,$AB$1:$AC$4,2,FALSE),$S68,IF($U68="","00",$U68),$W68,2),$F$11:$F$160,0)),0,SUMIF($F$11:$F$160,CONCATENATE(VLOOKUP($AC68,$AB$1:$AC$4,2,FALSE),$S68,IF($U68="","00",$U68),$W68,2),$AG$11:$AG$160)),"")</f>
        <v/>
      </c>
      <c r="AF68" s="323"/>
      <c r="AG68" s="327"/>
      <c r="AH68" s="57"/>
      <c r="AI68" s="319" t="str">
        <f>IF($AH68="","",IF(ISNA(MATCH($AH68,'納品書明細16-E'!$H$9:$H$206,0)),IF(ISNA(MATCH($AH68,'納品書明細F-15'!$H$9:$H$297,0)),"ERR",SUMIF('納品書明細F-15'!$H$9:$H$297,$AH68,'納品書明細F-15'!$Q$9:$Q$297)),SUMIF('納品書明細16-E'!$H$9:$H$206,$AH68,'納品書明細16-E'!$Q$9:$Q$206)))</f>
        <v/>
      </c>
      <c r="AK68" s="328" t="str">
        <f t="shared" si="20"/>
        <v/>
      </c>
      <c r="AL68" s="269" t="str">
        <f t="shared" si="21"/>
        <v/>
      </c>
      <c r="AM68" s="270" t="str">
        <f t="shared" si="22"/>
        <v/>
      </c>
      <c r="AN68" s="244" t="str">
        <f t="shared" si="23"/>
        <v/>
      </c>
      <c r="AO68" s="244" t="str">
        <f t="shared" si="24"/>
        <v/>
      </c>
      <c r="AP68" s="271" t="str">
        <f t="shared" si="15"/>
        <v/>
      </c>
      <c r="AQ68" s="262"/>
      <c r="AR68" s="263"/>
      <c r="AS68" s="84"/>
      <c r="AT68" s="86"/>
      <c r="AU68" s="87"/>
    </row>
    <row r="69" spans="1:47" ht="15" customHeight="1">
      <c r="A69" s="281" t="str">
        <f t="shared" si="0"/>
        <v/>
      </c>
      <c r="B69" s="282" t="str">
        <f t="shared" si="12"/>
        <v/>
      </c>
      <c r="C69" s="618" t="str">
        <f>IF(AND($S69="",$U69="",$W69="",$AA69="",$AE69="",$AG69="",$AI69=""),"",MAX($C$10:$C68)+1)</f>
        <v/>
      </c>
      <c r="D69" s="619" t="str">
        <f t="shared" si="16"/>
        <v/>
      </c>
      <c r="E69" s="619" t="str">
        <f t="shared" si="17"/>
        <v/>
      </c>
      <c r="F69" s="619" t="str">
        <f t="shared" si="18"/>
        <v/>
      </c>
      <c r="G69" s="619" t="str">
        <f t="shared" si="19"/>
        <v/>
      </c>
      <c r="H69" s="620" t="str">
        <f t="shared" si="5"/>
        <v/>
      </c>
      <c r="I69" s="316" t="s">
        <v>278</v>
      </c>
      <c r="J69" s="254"/>
      <c r="K69" s="50" t="str">
        <f>IF($W69="","",IF($W69=1,IF(VLOOKUP($S69,ﾏｽﾀ!$E$8:$K$124,ﾏｽﾀ!$J$4-ﾏｽﾀ!$D$4,0)="E",DAY($J$4),ABS(VLOOKUP($S69,ﾏｽﾀ!$E$8:$K$124,ﾏｽﾀ!$J$4-ﾏｽﾀ!$D$4,0))),IF(VLOOKUP($S69,ﾏｽﾀ!$E$8:$K$124,ﾏｽﾀ!$K$4-ﾏｽﾀ!$D$4,0)="E",DAY($J$4),ABS(VLOOKUP($S69,ﾏｽﾀ!$E$8:$K$124,ﾏｽﾀ!$K$4-ﾏｽﾀ!$D$4,0)))))</f>
        <v/>
      </c>
      <c r="L69" s="255"/>
      <c r="M69" s="255"/>
      <c r="N69" s="255"/>
      <c r="O69" s="50" t="str">
        <f>IF($S69="","",IF($M69="",IF($J69="","ERR",IF(VLOOKUP($S69,ﾏｽﾀ!$E$8:$K$124,ﾏｽﾀ!$J$4-ﾏｽﾀ!$D$4,0)="E",MONTH($J69),IF(MONTH($J69)-1=0,12,MONTH($J69)-1))),MONTH($M69)))</f>
        <v/>
      </c>
      <c r="P69" s="50" t="str">
        <f>IF($S69="","",IF($M69="",IF($K69="","ERR",IF(VLOOKUP($S69,ﾏｽﾀ!$E$8:$K$124,ﾏｽﾀ!$J$4-ﾏｽﾀ!$D$4,0)="E",1,$K69+1)),DAY($M69)))</f>
        <v/>
      </c>
      <c r="Q69" s="50" t="str">
        <f t="shared" si="13"/>
        <v/>
      </c>
      <c r="R69" s="50" t="str">
        <f t="shared" si="14"/>
        <v/>
      </c>
      <c r="S69" s="601" t="str">
        <f>IF($T69="","",INDEX(ﾏｽﾀ!$E$8:$E$124,MATCH(INDEX(ﾏｽﾀ!$N$8:$N$124,MATCH($T69,ﾏｽﾀ!$O$8:$O$124,0)),ﾏｽﾀ!$B$8:$B$124,0))&amp;"")</f>
        <v/>
      </c>
      <c r="T69" s="535"/>
      <c r="U69" s="601" t="str">
        <f>IF($T69="","",INDEX(ﾏｽﾀ!$G$8:$G$124,MATCH(INDEX(ﾏｽﾀ!$N$8:$N$124,MATCH($T69,ﾏｽﾀ!$O$8:$O$124,0)),ﾏｽﾀ!$B$8:$B$124,0))&amp;"")</f>
        <v/>
      </c>
      <c r="V69" s="257"/>
      <c r="W69" s="602" t="str">
        <f>IF($X69="","",INDEX(ﾏｽﾀ!$T$8:$T$16,MATCH($X69,ﾏｽﾀ!$U$8:$U$16,0))&amp;"")</f>
        <v/>
      </c>
      <c r="X69" s="248"/>
      <c r="Y69" s="260"/>
      <c r="Z69" s="260"/>
      <c r="AA69" s="256"/>
      <c r="AB69" s="492" t="str">
        <f>IF($W69="","",IF($AA69="","ERR",IF($AA69="1",IF($AE69="","ERR",VLOOKUP($AA69,ﾏｽﾀ!$W$8:$X$10,ﾏｽﾀ!$X$4,0)),IF($AA69="2",IF($AG69="","ERR",VLOOKUP($AA69,ﾏｽﾀ!$W$8:$X$10,ﾏｽﾀ!$X$4,0)),IF($AA69="3",IF($AI69="","ERR",VLOOKUP($AA69,ﾏｽﾀ!$W$8:$X$10,ﾏｽﾀ!$X$4,0)),"ERR")))))</f>
        <v/>
      </c>
      <c r="AC69" s="261"/>
      <c r="AD69" s="321" t="str">
        <f>IF($AA69="1",COUNTIF('納品書明細16-E'!$D$9:$D$206,$AN69)+COUNTIF('納品書明細F-15'!$D$9:$D$297,$AN69)-IF(ISNA(MATCH(CONCATENATE(VLOOKUP($AC69,$AB$1:$AC$4,2,FALSE),$S69,IF($U69="","00",$U69),$W69,2),$F$11:$F$160,0)),0,SUMIF($F$11:$F$160,CONCATENATE(VLOOKUP($AC69,$AB$1:$AC$4,2,FALSE),$S69,IF($U69="","00",$U69),$W69,2),$AF$11:$AF$160)),"")</f>
        <v/>
      </c>
      <c r="AE69" s="319" t="str">
        <f>IF($AA69="1",SUMIF('納品書明細16-E'!$C$9:$C$206,$AO69,'納品書明細16-E'!$Q$9:$Q$206)+SUMIF('納品書明細F-15'!$C$9:$C$297,$AO69,'納品書明細F-15'!$Q$9:$Q$297)-IF(ISNA(MATCH(CONCATENATE(VLOOKUP($AC69,$AB$1:$AC$4,2,FALSE),$S69,IF($U69="","00",$U69),$W69,2),$F$11:$F$160,0)),0,SUMIF($F$11:$F$160,CONCATENATE(VLOOKUP($AC69,$AB$1:$AC$4,2,FALSE),$S69,IF($U69="","00",$U69),$W69,2),$AG$11:$AG$160)),"")</f>
        <v/>
      </c>
      <c r="AF69" s="322"/>
      <c r="AG69" s="327"/>
      <c r="AH69" s="57"/>
      <c r="AI69" s="319" t="str">
        <f>IF($AH69="","",IF(ISNA(MATCH($AH69,'納品書明細16-E'!$H$9:$H$206,0)),IF(ISNA(MATCH($AH69,'納品書明細F-15'!$H$9:$H$297,0)),"ERR",SUMIF('納品書明細F-15'!$H$9:$H$297,$AH69,'納品書明細F-15'!$Q$9:$Q$297)),SUMIF('納品書明細16-E'!$H$9:$H$206,$AH69,'納品書明細16-E'!$Q$9:$Q$206)))</f>
        <v/>
      </c>
      <c r="AK69" s="328" t="str">
        <f t="shared" si="20"/>
        <v/>
      </c>
      <c r="AL69" s="269" t="str">
        <f t="shared" si="21"/>
        <v/>
      </c>
      <c r="AM69" s="270" t="str">
        <f t="shared" si="22"/>
        <v/>
      </c>
      <c r="AN69" s="244" t="str">
        <f t="shared" si="23"/>
        <v/>
      </c>
      <c r="AO69" s="244" t="str">
        <f t="shared" si="24"/>
        <v/>
      </c>
      <c r="AP69" s="271" t="str">
        <f t="shared" si="15"/>
        <v/>
      </c>
      <c r="AQ69" s="262"/>
      <c r="AR69" s="263"/>
      <c r="AS69" s="84"/>
      <c r="AT69" s="86"/>
      <c r="AU69" s="87"/>
    </row>
    <row r="70" spans="1:47" ht="15" customHeight="1">
      <c r="A70" s="281" t="str">
        <f t="shared" si="0"/>
        <v/>
      </c>
      <c r="B70" s="282" t="str">
        <f t="shared" si="12"/>
        <v/>
      </c>
      <c r="C70" s="618" t="str">
        <f>IF(AND($S70="",$U70="",$W70="",$AA70="",$AE70="",$AG70="",$AI70=""),"",MAX($C$10:$C69)+1)</f>
        <v/>
      </c>
      <c r="D70" s="619" t="str">
        <f t="shared" si="16"/>
        <v/>
      </c>
      <c r="E70" s="619" t="str">
        <f t="shared" si="17"/>
        <v/>
      </c>
      <c r="F70" s="619" t="str">
        <f t="shared" si="18"/>
        <v/>
      </c>
      <c r="G70" s="619" t="str">
        <f t="shared" si="19"/>
        <v/>
      </c>
      <c r="H70" s="620" t="str">
        <f t="shared" si="5"/>
        <v/>
      </c>
      <c r="I70" s="316" t="s">
        <v>279</v>
      </c>
      <c r="J70" s="254"/>
      <c r="K70" s="50" t="str">
        <f>IF($W70="","",IF($W70=1,IF(VLOOKUP($S70,ﾏｽﾀ!$E$8:$K$124,ﾏｽﾀ!$J$4-ﾏｽﾀ!$D$4,0)="E",DAY($J$4),ABS(VLOOKUP($S70,ﾏｽﾀ!$E$8:$K$124,ﾏｽﾀ!$J$4-ﾏｽﾀ!$D$4,0))),IF(VLOOKUP($S70,ﾏｽﾀ!$E$8:$K$124,ﾏｽﾀ!$K$4-ﾏｽﾀ!$D$4,0)="E",DAY($J$4),ABS(VLOOKUP($S70,ﾏｽﾀ!$E$8:$K$124,ﾏｽﾀ!$K$4-ﾏｽﾀ!$D$4,0)))))</f>
        <v/>
      </c>
      <c r="L70" s="255"/>
      <c r="M70" s="255"/>
      <c r="N70" s="255"/>
      <c r="O70" s="50" t="str">
        <f>IF($S70="","",IF($M70="",IF($J70="","ERR",IF(VLOOKUP($S70,ﾏｽﾀ!$E$8:$K$124,ﾏｽﾀ!$J$4-ﾏｽﾀ!$D$4,0)="E",MONTH($J70),IF(MONTH($J70)-1=0,12,MONTH($J70)-1))),MONTH($M70)))</f>
        <v/>
      </c>
      <c r="P70" s="50" t="str">
        <f>IF($S70="","",IF($M70="",IF($K70="","ERR",IF(VLOOKUP($S70,ﾏｽﾀ!$E$8:$K$124,ﾏｽﾀ!$J$4-ﾏｽﾀ!$D$4,0)="E",1,$K70+1)),DAY($M70)))</f>
        <v/>
      </c>
      <c r="Q70" s="50" t="str">
        <f t="shared" si="13"/>
        <v/>
      </c>
      <c r="R70" s="50" t="str">
        <f t="shared" si="14"/>
        <v/>
      </c>
      <c r="S70" s="601" t="str">
        <f>IF($T70="","",INDEX(ﾏｽﾀ!$E$8:$E$124,MATCH(INDEX(ﾏｽﾀ!$N$8:$N$124,MATCH($T70,ﾏｽﾀ!$O$8:$O$124,0)),ﾏｽﾀ!$B$8:$B$124,0))&amp;"")</f>
        <v/>
      </c>
      <c r="T70" s="535"/>
      <c r="U70" s="601" t="str">
        <f>IF($T70="","",INDEX(ﾏｽﾀ!$G$8:$G$124,MATCH(INDEX(ﾏｽﾀ!$N$8:$N$124,MATCH($T70,ﾏｽﾀ!$O$8:$O$124,0)),ﾏｽﾀ!$B$8:$B$124,0))&amp;"")</f>
        <v/>
      </c>
      <c r="V70" s="257"/>
      <c r="W70" s="602" t="str">
        <f>IF($X70="","",INDEX(ﾏｽﾀ!$T$8:$T$16,MATCH($X70,ﾏｽﾀ!$U$8:$U$16,0))&amp;"")</f>
        <v/>
      </c>
      <c r="X70" s="248"/>
      <c r="Y70" s="260"/>
      <c r="Z70" s="260"/>
      <c r="AA70" s="256"/>
      <c r="AB70" s="492" t="str">
        <f>IF($W70="","",IF($AA70="","ERR",IF($AA70="1",IF($AE70="","ERR",VLOOKUP($AA70,ﾏｽﾀ!$W$8:$X$10,ﾏｽﾀ!$X$4,0)),IF($AA70="2",IF($AG70="","ERR",VLOOKUP($AA70,ﾏｽﾀ!$W$8:$X$10,ﾏｽﾀ!$X$4,0)),IF($AA70="3",IF($AI70="","ERR",VLOOKUP($AA70,ﾏｽﾀ!$W$8:$X$10,ﾏｽﾀ!$X$4,0)),"ERR")))))</f>
        <v/>
      </c>
      <c r="AC70" s="261"/>
      <c r="AD70" s="321" t="str">
        <f>IF($AA70="1",COUNTIF('納品書明細16-E'!$D$9:$D$206,$AN70)+COUNTIF('納品書明細F-15'!$D$9:$D$297,$AN70)-IF(ISNA(MATCH(CONCATENATE(VLOOKUP($AC70,$AB$1:$AC$4,2,FALSE),$S70,IF($U70="","00",$U70),$W70,2),$F$11:$F$160,0)),0,SUMIF($F$11:$F$160,CONCATENATE(VLOOKUP($AC70,$AB$1:$AC$4,2,FALSE),$S70,IF($U70="","00",$U70),$W70,2),$AF$11:$AF$160)),"")</f>
        <v/>
      </c>
      <c r="AE70" s="319" t="str">
        <f>IF($AA70="1",SUMIF('納品書明細16-E'!$C$9:$C$206,$AO70,'納品書明細16-E'!$Q$9:$Q$206)+SUMIF('納品書明細F-15'!$C$9:$C$297,$AO70,'納品書明細F-15'!$Q$9:$Q$297)-IF(ISNA(MATCH(CONCATENATE(VLOOKUP($AC70,$AB$1:$AC$4,2,FALSE),$S70,IF($U70="","00",$U70),$W70,2),$F$11:$F$160,0)),0,SUMIF($F$11:$F$160,CONCATENATE(VLOOKUP($AC70,$AB$1:$AC$4,2,FALSE),$S70,IF($U70="","00",$U70),$W70,2),$AG$11:$AG$160)),"")</f>
        <v/>
      </c>
      <c r="AF70" s="322"/>
      <c r="AG70" s="327"/>
      <c r="AH70" s="57"/>
      <c r="AI70" s="319" t="str">
        <f>IF($AH70="","",IF(ISNA(MATCH($AH70,'納品書明細16-E'!$H$9:$H$206,0)),IF(ISNA(MATCH($AH70,'納品書明細F-15'!$H$9:$H$297,0)),"ERR",SUMIF('納品書明細F-15'!$H$9:$H$297,$AH70,'納品書明細F-15'!$Q$9:$Q$297)),SUMIF('納品書明細16-E'!$H$9:$H$206,$AH70,'納品書明細16-E'!$Q$9:$Q$206)))</f>
        <v/>
      </c>
      <c r="AK70" s="328" t="str">
        <f t="shared" si="20"/>
        <v/>
      </c>
      <c r="AL70" s="269" t="str">
        <f t="shared" si="21"/>
        <v/>
      </c>
      <c r="AM70" s="270" t="str">
        <f t="shared" si="22"/>
        <v/>
      </c>
      <c r="AN70" s="244" t="str">
        <f t="shared" si="23"/>
        <v/>
      </c>
      <c r="AO70" s="244" t="str">
        <f t="shared" si="24"/>
        <v/>
      </c>
      <c r="AP70" s="271" t="str">
        <f t="shared" si="15"/>
        <v/>
      </c>
      <c r="AQ70" s="265"/>
      <c r="AR70" s="263"/>
      <c r="AS70" s="84"/>
      <c r="AT70" s="86"/>
      <c r="AU70" s="87"/>
    </row>
    <row r="71" spans="1:47" ht="15" customHeight="1">
      <c r="A71" s="281" t="str">
        <f t="shared" si="0"/>
        <v/>
      </c>
      <c r="B71" s="282" t="str">
        <f t="shared" si="12"/>
        <v/>
      </c>
      <c r="C71" s="618" t="str">
        <f>IF(AND($S71="",$U71="",$W71="",$AA71="",$AE71="",$AG71="",$AI71=""),"",MAX($C$10:$C70)+1)</f>
        <v/>
      </c>
      <c r="D71" s="619" t="str">
        <f t="shared" si="16"/>
        <v/>
      </c>
      <c r="E71" s="619" t="str">
        <f t="shared" si="17"/>
        <v/>
      </c>
      <c r="F71" s="619" t="str">
        <f t="shared" si="18"/>
        <v/>
      </c>
      <c r="G71" s="619" t="str">
        <f t="shared" si="19"/>
        <v/>
      </c>
      <c r="H71" s="620" t="str">
        <f t="shared" si="5"/>
        <v/>
      </c>
      <c r="I71" s="316" t="s">
        <v>280</v>
      </c>
      <c r="J71" s="254"/>
      <c r="K71" s="50" t="str">
        <f>IF($W71="","",IF($W71=1,IF(VLOOKUP($S71,ﾏｽﾀ!$E$8:$K$124,ﾏｽﾀ!$J$4-ﾏｽﾀ!$D$4,0)="E",DAY($J$4),ABS(VLOOKUP($S71,ﾏｽﾀ!$E$8:$K$124,ﾏｽﾀ!$J$4-ﾏｽﾀ!$D$4,0))),IF(VLOOKUP($S71,ﾏｽﾀ!$E$8:$K$124,ﾏｽﾀ!$K$4-ﾏｽﾀ!$D$4,0)="E",DAY($J$4),ABS(VLOOKUP($S71,ﾏｽﾀ!$E$8:$K$124,ﾏｽﾀ!$K$4-ﾏｽﾀ!$D$4,0)))))</f>
        <v/>
      </c>
      <c r="L71" s="255"/>
      <c r="M71" s="255"/>
      <c r="N71" s="255"/>
      <c r="O71" s="50" t="str">
        <f>IF($S71="","",IF($M71="",IF($J71="","ERR",IF(VLOOKUP($S71,ﾏｽﾀ!$E$8:$K$124,ﾏｽﾀ!$J$4-ﾏｽﾀ!$D$4,0)="E",MONTH($J71),IF(MONTH($J71)-1=0,12,MONTH($J71)-1))),MONTH($M71)))</f>
        <v/>
      </c>
      <c r="P71" s="50" t="str">
        <f>IF($S71="","",IF($M71="",IF($K71="","ERR",IF(VLOOKUP($S71,ﾏｽﾀ!$E$8:$K$124,ﾏｽﾀ!$J$4-ﾏｽﾀ!$D$4,0)="E",1,$K71+1)),DAY($M71)))</f>
        <v/>
      </c>
      <c r="Q71" s="50" t="str">
        <f t="shared" si="13"/>
        <v/>
      </c>
      <c r="R71" s="50" t="str">
        <f t="shared" si="14"/>
        <v/>
      </c>
      <c r="S71" s="601" t="str">
        <f>IF($T71="","",INDEX(ﾏｽﾀ!$E$8:$E$124,MATCH(INDEX(ﾏｽﾀ!$N$8:$N$124,MATCH($T71,ﾏｽﾀ!$O$8:$O$124,0)),ﾏｽﾀ!$B$8:$B$124,0))&amp;"")</f>
        <v/>
      </c>
      <c r="T71" s="535"/>
      <c r="U71" s="601" t="str">
        <f>IF($T71="","",INDEX(ﾏｽﾀ!$G$8:$G$124,MATCH(INDEX(ﾏｽﾀ!$N$8:$N$124,MATCH($T71,ﾏｽﾀ!$O$8:$O$124,0)),ﾏｽﾀ!$B$8:$B$124,0))&amp;"")</f>
        <v/>
      </c>
      <c r="V71" s="257"/>
      <c r="W71" s="602" t="str">
        <f>IF($X71="","",INDEX(ﾏｽﾀ!$T$8:$T$16,MATCH($X71,ﾏｽﾀ!$U$8:$U$16,0))&amp;"")</f>
        <v/>
      </c>
      <c r="X71" s="248"/>
      <c r="Y71" s="260"/>
      <c r="Z71" s="260"/>
      <c r="AA71" s="256"/>
      <c r="AB71" s="492" t="str">
        <f>IF($W71="","",IF($AA71="","ERR",IF($AA71="1",IF($AE71="","ERR",VLOOKUP($AA71,ﾏｽﾀ!$W$8:$X$10,ﾏｽﾀ!$X$4,0)),IF($AA71="2",IF($AG71="","ERR",VLOOKUP($AA71,ﾏｽﾀ!$W$8:$X$10,ﾏｽﾀ!$X$4,0)),IF($AA71="3",IF($AI71="","ERR",VLOOKUP($AA71,ﾏｽﾀ!$W$8:$X$10,ﾏｽﾀ!$X$4,0)),"ERR")))))</f>
        <v/>
      </c>
      <c r="AC71" s="261"/>
      <c r="AD71" s="321" t="str">
        <f>IF($AA71="1",COUNTIF('納品書明細16-E'!$D$9:$D$206,$AN71)+COUNTIF('納品書明細F-15'!$D$9:$D$297,$AN71)-IF(ISNA(MATCH(CONCATENATE(VLOOKUP($AC71,$AB$1:$AC$4,2,FALSE),$S71,IF($U71="","00",$U71),$W71,2),$F$11:$F$160,0)),0,SUMIF($F$11:$F$160,CONCATENATE(VLOOKUP($AC71,$AB$1:$AC$4,2,FALSE),$S71,IF($U71="","00",$U71),$W71,2),$AF$11:$AF$160)),"")</f>
        <v/>
      </c>
      <c r="AE71" s="319" t="str">
        <f>IF($AA71="1",SUMIF('納品書明細16-E'!$C$9:$C$206,$AO71,'納品書明細16-E'!$Q$9:$Q$206)+SUMIF('納品書明細F-15'!$C$9:$C$297,$AO71,'納品書明細F-15'!$Q$9:$Q$297)-IF(ISNA(MATCH(CONCATENATE(VLOOKUP($AC71,$AB$1:$AC$4,2,FALSE),$S71,IF($U71="","00",$U71),$W71,2),$F$11:$F$160,0)),0,SUMIF($F$11:$F$160,CONCATENATE(VLOOKUP($AC71,$AB$1:$AC$4,2,FALSE),$S71,IF($U71="","00",$U71),$W71,2),$AG$11:$AG$160)),"")</f>
        <v/>
      </c>
      <c r="AF71" s="322"/>
      <c r="AG71" s="327"/>
      <c r="AH71" s="57"/>
      <c r="AI71" s="319" t="str">
        <f>IF($AH71="","",IF(ISNA(MATCH($AH71,'納品書明細16-E'!$H$9:$H$206,0)),IF(ISNA(MATCH($AH71,'納品書明細F-15'!$H$9:$H$297,0)),"ERR",SUMIF('納品書明細F-15'!$H$9:$H$297,$AH71,'納品書明細F-15'!$Q$9:$Q$297)),SUMIF('納品書明細16-E'!$H$9:$H$206,$AH71,'納品書明細16-E'!$Q$9:$Q$206)))</f>
        <v/>
      </c>
      <c r="AK71" s="328" t="str">
        <f t="shared" si="20"/>
        <v/>
      </c>
      <c r="AL71" s="269" t="str">
        <f t="shared" si="21"/>
        <v/>
      </c>
      <c r="AM71" s="270" t="str">
        <f t="shared" si="22"/>
        <v/>
      </c>
      <c r="AN71" s="244" t="str">
        <f t="shared" si="23"/>
        <v/>
      </c>
      <c r="AO71" s="244" t="str">
        <f t="shared" si="24"/>
        <v/>
      </c>
      <c r="AP71" s="271" t="str">
        <f t="shared" si="15"/>
        <v/>
      </c>
      <c r="AQ71" s="265"/>
      <c r="AR71" s="263"/>
      <c r="AS71" s="84"/>
      <c r="AT71" s="86"/>
      <c r="AU71" s="87"/>
    </row>
    <row r="72" spans="1:47" ht="15" customHeight="1">
      <c r="A72" s="281" t="str">
        <f t="shared" si="0"/>
        <v/>
      </c>
      <c r="B72" s="282" t="str">
        <f t="shared" si="12"/>
        <v/>
      </c>
      <c r="C72" s="618" t="str">
        <f>IF(AND($S72="",$U72="",$W72="",$AA72="",$AE72="",$AG72="",$AI72=""),"",MAX($C$10:$C71)+1)</f>
        <v/>
      </c>
      <c r="D72" s="619" t="str">
        <f t="shared" si="16"/>
        <v/>
      </c>
      <c r="E72" s="619" t="str">
        <f t="shared" si="17"/>
        <v/>
      </c>
      <c r="F72" s="619" t="str">
        <f t="shared" si="18"/>
        <v/>
      </c>
      <c r="G72" s="619" t="str">
        <f t="shared" si="19"/>
        <v/>
      </c>
      <c r="H72" s="620" t="str">
        <f t="shared" si="5"/>
        <v/>
      </c>
      <c r="I72" s="316" t="s">
        <v>281</v>
      </c>
      <c r="J72" s="254"/>
      <c r="K72" s="50" t="str">
        <f>IF($W72="","",IF($W72=1,IF(VLOOKUP($S72,ﾏｽﾀ!$E$8:$K$124,ﾏｽﾀ!$J$4-ﾏｽﾀ!$D$4,0)="E",DAY($J$4),ABS(VLOOKUP($S72,ﾏｽﾀ!$E$8:$K$124,ﾏｽﾀ!$J$4-ﾏｽﾀ!$D$4,0))),IF(VLOOKUP($S72,ﾏｽﾀ!$E$8:$K$124,ﾏｽﾀ!$K$4-ﾏｽﾀ!$D$4,0)="E",DAY($J$4),ABS(VLOOKUP($S72,ﾏｽﾀ!$E$8:$K$124,ﾏｽﾀ!$K$4-ﾏｽﾀ!$D$4,0)))))</f>
        <v/>
      </c>
      <c r="L72" s="255"/>
      <c r="M72" s="255"/>
      <c r="N72" s="255"/>
      <c r="O72" s="50" t="str">
        <f>IF($S72="","",IF($M72="",IF($J72="","ERR",IF(VLOOKUP($S72,ﾏｽﾀ!$E$8:$K$124,ﾏｽﾀ!$J$4-ﾏｽﾀ!$D$4,0)="E",MONTH($J72),IF(MONTH($J72)-1=0,12,MONTH($J72)-1))),MONTH($M72)))</f>
        <v/>
      </c>
      <c r="P72" s="50" t="str">
        <f>IF($S72="","",IF($M72="",IF($K72="","ERR",IF(VLOOKUP($S72,ﾏｽﾀ!$E$8:$K$124,ﾏｽﾀ!$J$4-ﾏｽﾀ!$D$4,0)="E",1,$K72+1)),DAY($M72)))</f>
        <v/>
      </c>
      <c r="Q72" s="50" t="str">
        <f t="shared" si="13"/>
        <v/>
      </c>
      <c r="R72" s="50" t="str">
        <f t="shared" si="14"/>
        <v/>
      </c>
      <c r="S72" s="601" t="str">
        <f>IF($T72="","",INDEX(ﾏｽﾀ!$E$8:$E$124,MATCH(INDEX(ﾏｽﾀ!$N$8:$N$124,MATCH($T72,ﾏｽﾀ!$O$8:$O$124,0)),ﾏｽﾀ!$B$8:$B$124,0))&amp;"")</f>
        <v/>
      </c>
      <c r="T72" s="535"/>
      <c r="U72" s="601" t="str">
        <f>IF($T72="","",INDEX(ﾏｽﾀ!$G$8:$G$124,MATCH(INDEX(ﾏｽﾀ!$N$8:$N$124,MATCH($T72,ﾏｽﾀ!$O$8:$O$124,0)),ﾏｽﾀ!$B$8:$B$124,0))&amp;"")</f>
        <v/>
      </c>
      <c r="V72" s="257"/>
      <c r="W72" s="602" t="str">
        <f>IF($X72="","",INDEX(ﾏｽﾀ!$T$8:$T$16,MATCH($X72,ﾏｽﾀ!$U$8:$U$16,0))&amp;"")</f>
        <v/>
      </c>
      <c r="X72" s="248"/>
      <c r="Y72" s="260"/>
      <c r="Z72" s="260"/>
      <c r="AA72" s="256"/>
      <c r="AB72" s="492" t="str">
        <f>IF($W72="","",IF($AA72="","ERR",IF($AA72="1",IF($AE72="","ERR",VLOOKUP($AA72,ﾏｽﾀ!$W$8:$X$10,ﾏｽﾀ!$X$4,0)),IF($AA72="2",IF($AG72="","ERR",VLOOKUP($AA72,ﾏｽﾀ!$W$8:$X$10,ﾏｽﾀ!$X$4,0)),IF($AA72="3",IF($AI72="","ERR",VLOOKUP($AA72,ﾏｽﾀ!$W$8:$X$10,ﾏｽﾀ!$X$4,0)),"ERR")))))</f>
        <v/>
      </c>
      <c r="AC72" s="261"/>
      <c r="AD72" s="321" t="str">
        <f>IF($AA72="1",COUNTIF('納品書明細16-E'!$D$9:$D$206,$AN72)+COUNTIF('納品書明細F-15'!$D$9:$D$297,$AN72)-IF(ISNA(MATCH(CONCATENATE(VLOOKUP($AC72,$AB$1:$AC$4,2,FALSE),$S72,IF($U72="","00",$U72),$W72,2),$F$11:$F$160,0)),0,SUMIF($F$11:$F$160,CONCATENATE(VLOOKUP($AC72,$AB$1:$AC$4,2,FALSE),$S72,IF($U72="","00",$U72),$W72,2),$AF$11:$AF$160)),"")</f>
        <v/>
      </c>
      <c r="AE72" s="319" t="str">
        <f>IF($AA72="1",SUMIF('納品書明細16-E'!$C$9:$C$206,$AO72,'納品書明細16-E'!$Q$9:$Q$206)+SUMIF('納品書明細F-15'!$C$9:$C$297,$AO72,'納品書明細F-15'!$Q$9:$Q$297)-IF(ISNA(MATCH(CONCATENATE(VLOOKUP($AC72,$AB$1:$AC$4,2,FALSE),$S72,IF($U72="","00",$U72),$W72,2),$F$11:$F$160,0)),0,SUMIF($F$11:$F$160,CONCATENATE(VLOOKUP($AC72,$AB$1:$AC$4,2,FALSE),$S72,IF($U72="","00",$U72),$W72,2),$AG$11:$AG$160)),"")</f>
        <v/>
      </c>
      <c r="AF72" s="322"/>
      <c r="AG72" s="327"/>
      <c r="AH72" s="57"/>
      <c r="AI72" s="319" t="str">
        <f>IF($AH72="","",IF(ISNA(MATCH($AH72,'納品書明細16-E'!$H$9:$H$206,0)),IF(ISNA(MATCH($AH72,'納品書明細F-15'!$H$9:$H$297,0)),"ERR",SUMIF('納品書明細F-15'!$H$9:$H$297,$AH72,'納品書明細F-15'!$Q$9:$Q$297)),SUMIF('納品書明細16-E'!$H$9:$H$206,$AH72,'納品書明細16-E'!$Q$9:$Q$206)))</f>
        <v/>
      </c>
      <c r="AK72" s="328" t="str">
        <f t="shared" si="20"/>
        <v/>
      </c>
      <c r="AL72" s="269" t="str">
        <f t="shared" si="21"/>
        <v/>
      </c>
      <c r="AM72" s="270" t="str">
        <f t="shared" si="22"/>
        <v/>
      </c>
      <c r="AN72" s="244" t="str">
        <f t="shared" si="23"/>
        <v/>
      </c>
      <c r="AO72" s="244" t="str">
        <f t="shared" si="24"/>
        <v/>
      </c>
      <c r="AP72" s="271" t="str">
        <f t="shared" si="15"/>
        <v/>
      </c>
      <c r="AQ72" s="265"/>
      <c r="AR72" s="263"/>
      <c r="AS72" s="84"/>
      <c r="AT72" s="86"/>
      <c r="AU72" s="87"/>
    </row>
    <row r="73" spans="1:47" ht="15" customHeight="1">
      <c r="A73" s="281" t="str">
        <f t="shared" si="0"/>
        <v/>
      </c>
      <c r="B73" s="282" t="str">
        <f t="shared" si="12"/>
        <v/>
      </c>
      <c r="C73" s="618" t="str">
        <f>IF(AND($S73="",$U73="",$W73="",$AA73="",$AE73="",$AG73="",$AI73=""),"",MAX($C$10:$C72)+1)</f>
        <v/>
      </c>
      <c r="D73" s="619" t="str">
        <f t="shared" si="16"/>
        <v/>
      </c>
      <c r="E73" s="619" t="str">
        <f t="shared" si="17"/>
        <v/>
      </c>
      <c r="F73" s="619" t="str">
        <f t="shared" si="18"/>
        <v/>
      </c>
      <c r="G73" s="619" t="str">
        <f t="shared" si="19"/>
        <v/>
      </c>
      <c r="H73" s="620" t="str">
        <f t="shared" si="5"/>
        <v/>
      </c>
      <c r="I73" s="316" t="s">
        <v>282</v>
      </c>
      <c r="J73" s="254"/>
      <c r="K73" s="50" t="str">
        <f>IF($W73="","",IF($W73=1,IF(VLOOKUP($S73,ﾏｽﾀ!$E$8:$K$124,ﾏｽﾀ!$J$4-ﾏｽﾀ!$D$4,0)="E",DAY($J$4),ABS(VLOOKUP($S73,ﾏｽﾀ!$E$8:$K$124,ﾏｽﾀ!$J$4-ﾏｽﾀ!$D$4,0))),IF(VLOOKUP($S73,ﾏｽﾀ!$E$8:$K$124,ﾏｽﾀ!$K$4-ﾏｽﾀ!$D$4,0)="E",DAY($J$4),ABS(VLOOKUP($S73,ﾏｽﾀ!$E$8:$K$124,ﾏｽﾀ!$K$4-ﾏｽﾀ!$D$4,0)))))</f>
        <v/>
      </c>
      <c r="L73" s="255"/>
      <c r="M73" s="255"/>
      <c r="N73" s="255"/>
      <c r="O73" s="50" t="str">
        <f>IF($S73="","",IF($M73="",IF($J73="","ERR",IF(VLOOKUP($S73,ﾏｽﾀ!$E$8:$K$124,ﾏｽﾀ!$J$4-ﾏｽﾀ!$D$4,0)="E",MONTH($J73),IF(MONTH($J73)-1=0,12,MONTH($J73)-1))),MONTH($M73)))</f>
        <v/>
      </c>
      <c r="P73" s="50" t="str">
        <f>IF($S73="","",IF($M73="",IF($K73="","ERR",IF(VLOOKUP($S73,ﾏｽﾀ!$E$8:$K$124,ﾏｽﾀ!$J$4-ﾏｽﾀ!$D$4,0)="E",1,$K73+1)),DAY($M73)))</f>
        <v/>
      </c>
      <c r="Q73" s="50" t="str">
        <f t="shared" si="13"/>
        <v/>
      </c>
      <c r="R73" s="50" t="str">
        <f t="shared" si="14"/>
        <v/>
      </c>
      <c r="S73" s="601" t="str">
        <f>IF($T73="","",INDEX(ﾏｽﾀ!$E$8:$E$124,MATCH(INDEX(ﾏｽﾀ!$N$8:$N$124,MATCH($T73,ﾏｽﾀ!$O$8:$O$124,0)),ﾏｽﾀ!$B$8:$B$124,0))&amp;"")</f>
        <v/>
      </c>
      <c r="T73" s="535"/>
      <c r="U73" s="601" t="str">
        <f>IF($T73="","",INDEX(ﾏｽﾀ!$G$8:$G$124,MATCH(INDEX(ﾏｽﾀ!$N$8:$N$124,MATCH($T73,ﾏｽﾀ!$O$8:$O$124,0)),ﾏｽﾀ!$B$8:$B$124,0))&amp;"")</f>
        <v/>
      </c>
      <c r="V73" s="257"/>
      <c r="W73" s="602" t="str">
        <f>IF($X73="","",INDEX(ﾏｽﾀ!$T$8:$T$16,MATCH($X73,ﾏｽﾀ!$U$8:$U$16,0))&amp;"")</f>
        <v/>
      </c>
      <c r="X73" s="248"/>
      <c r="Y73" s="260"/>
      <c r="Z73" s="260"/>
      <c r="AA73" s="256"/>
      <c r="AB73" s="492" t="str">
        <f>IF($W73="","",IF($AA73="","ERR",IF($AA73="1",IF($AE73="","ERR",VLOOKUP($AA73,ﾏｽﾀ!$W$8:$X$10,ﾏｽﾀ!$X$4,0)),IF($AA73="2",IF($AG73="","ERR",VLOOKUP($AA73,ﾏｽﾀ!$W$8:$X$10,ﾏｽﾀ!$X$4,0)),IF($AA73="3",IF($AI73="","ERR",VLOOKUP($AA73,ﾏｽﾀ!$W$8:$X$10,ﾏｽﾀ!$X$4,0)),"ERR")))))</f>
        <v/>
      </c>
      <c r="AC73" s="261"/>
      <c r="AD73" s="321" t="str">
        <f>IF($AA73="1",COUNTIF('納品書明細16-E'!$D$9:$D$206,$AN73)+COUNTIF('納品書明細F-15'!$D$9:$D$297,$AN73)-IF(ISNA(MATCH(CONCATENATE(VLOOKUP($AC73,$AB$1:$AC$4,2,FALSE),$S73,IF($U73="","00",$U73),$W73,2),$F$11:$F$160,0)),0,SUMIF($F$11:$F$160,CONCATENATE(VLOOKUP($AC73,$AB$1:$AC$4,2,FALSE),$S73,IF($U73="","00",$U73),$W73,2),$AF$11:$AF$160)),"")</f>
        <v/>
      </c>
      <c r="AE73" s="319" t="str">
        <f>IF($AA73="1",SUMIF('納品書明細16-E'!$C$9:$C$206,$AO73,'納品書明細16-E'!$Q$9:$Q$206)+SUMIF('納品書明細F-15'!$C$9:$C$297,$AO73,'納品書明細F-15'!$Q$9:$Q$297)-IF(ISNA(MATCH(CONCATENATE(VLOOKUP($AC73,$AB$1:$AC$4,2,FALSE),$S73,IF($U73="","00",$U73),$W73,2),$F$11:$F$160,0)),0,SUMIF($F$11:$F$160,CONCATENATE(VLOOKUP($AC73,$AB$1:$AC$4,2,FALSE),$S73,IF($U73="","00",$U73),$W73,2),$AG$11:$AG$160)),"")</f>
        <v/>
      </c>
      <c r="AF73" s="322"/>
      <c r="AG73" s="327"/>
      <c r="AH73" s="57"/>
      <c r="AI73" s="319" t="str">
        <f>IF($AH73="","",IF(ISNA(MATCH($AH73,'納品書明細16-E'!$H$9:$H$206,0)),IF(ISNA(MATCH($AH73,'納品書明細F-15'!$H$9:$H$297,0)),"ERR",SUMIF('納品書明細F-15'!$H$9:$H$297,$AH73,'納品書明細F-15'!$Q$9:$Q$297)),SUMIF('納品書明細16-E'!$H$9:$H$206,$AH73,'納品書明細16-E'!$Q$9:$Q$206)))</f>
        <v/>
      </c>
      <c r="AK73" s="328" t="str">
        <f t="shared" si="20"/>
        <v/>
      </c>
      <c r="AL73" s="269" t="str">
        <f t="shared" si="21"/>
        <v/>
      </c>
      <c r="AM73" s="270" t="str">
        <f t="shared" si="22"/>
        <v/>
      </c>
      <c r="AN73" s="244" t="str">
        <f t="shared" si="23"/>
        <v/>
      </c>
      <c r="AO73" s="244" t="str">
        <f t="shared" si="24"/>
        <v/>
      </c>
      <c r="AP73" s="271" t="str">
        <f t="shared" si="15"/>
        <v/>
      </c>
      <c r="AQ73" s="262"/>
      <c r="AR73" s="263"/>
      <c r="AS73" s="84"/>
      <c r="AT73" s="86"/>
      <c r="AU73" s="87"/>
    </row>
    <row r="74" spans="1:47" ht="15" customHeight="1">
      <c r="A74" s="281" t="str">
        <f t="shared" si="0"/>
        <v/>
      </c>
      <c r="B74" s="282" t="str">
        <f t="shared" si="12"/>
        <v/>
      </c>
      <c r="C74" s="618" t="str">
        <f>IF(AND($S74="",$U74="",$W74="",$AA74="",$AE74="",$AG74="",$AI74=""),"",MAX($C$10:$C73)+1)</f>
        <v/>
      </c>
      <c r="D74" s="619" t="str">
        <f t="shared" si="16"/>
        <v/>
      </c>
      <c r="E74" s="619" t="str">
        <f t="shared" si="17"/>
        <v/>
      </c>
      <c r="F74" s="619" t="str">
        <f t="shared" si="18"/>
        <v/>
      </c>
      <c r="G74" s="619" t="str">
        <f t="shared" si="19"/>
        <v/>
      </c>
      <c r="H74" s="620" t="str">
        <f t="shared" si="5"/>
        <v/>
      </c>
      <c r="I74" s="316" t="s">
        <v>283</v>
      </c>
      <c r="J74" s="254"/>
      <c r="K74" s="50" t="str">
        <f>IF($W74="","",IF($W74=1,IF(VLOOKUP($S74,ﾏｽﾀ!$E$8:$K$124,ﾏｽﾀ!$J$4-ﾏｽﾀ!$D$4,0)="E",DAY($J$4),ABS(VLOOKUP($S74,ﾏｽﾀ!$E$8:$K$124,ﾏｽﾀ!$J$4-ﾏｽﾀ!$D$4,0))),IF(VLOOKUP($S74,ﾏｽﾀ!$E$8:$K$124,ﾏｽﾀ!$K$4-ﾏｽﾀ!$D$4,0)="E",DAY($J$4),ABS(VLOOKUP($S74,ﾏｽﾀ!$E$8:$K$124,ﾏｽﾀ!$K$4-ﾏｽﾀ!$D$4,0)))))</f>
        <v/>
      </c>
      <c r="L74" s="255"/>
      <c r="M74" s="255"/>
      <c r="N74" s="255"/>
      <c r="O74" s="50" t="str">
        <f>IF($S74="","",IF($M74="",IF($J74="","ERR",IF(VLOOKUP($S74,ﾏｽﾀ!$E$8:$K$124,ﾏｽﾀ!$J$4-ﾏｽﾀ!$D$4,0)="E",MONTH($J74),IF(MONTH($J74)-1=0,12,MONTH($J74)-1))),MONTH($M74)))</f>
        <v/>
      </c>
      <c r="P74" s="50" t="str">
        <f>IF($S74="","",IF($M74="",IF($K74="","ERR",IF(VLOOKUP($S74,ﾏｽﾀ!$E$8:$K$124,ﾏｽﾀ!$J$4-ﾏｽﾀ!$D$4,0)="E",1,$K74+1)),DAY($M74)))</f>
        <v/>
      </c>
      <c r="Q74" s="50" t="str">
        <f t="shared" si="13"/>
        <v/>
      </c>
      <c r="R74" s="50" t="str">
        <f t="shared" si="14"/>
        <v/>
      </c>
      <c r="S74" s="601" t="str">
        <f>IF($T74="","",INDEX(ﾏｽﾀ!$E$8:$E$124,MATCH(INDEX(ﾏｽﾀ!$N$8:$N$124,MATCH($T74,ﾏｽﾀ!$O$8:$O$124,0)),ﾏｽﾀ!$B$8:$B$124,0))&amp;"")</f>
        <v/>
      </c>
      <c r="T74" s="535"/>
      <c r="U74" s="601" t="str">
        <f>IF($T74="","",INDEX(ﾏｽﾀ!$G$8:$G$124,MATCH(INDEX(ﾏｽﾀ!$N$8:$N$124,MATCH($T74,ﾏｽﾀ!$O$8:$O$124,0)),ﾏｽﾀ!$B$8:$B$124,0))&amp;"")</f>
        <v/>
      </c>
      <c r="V74" s="257"/>
      <c r="W74" s="602" t="str">
        <f>IF($X74="","",INDEX(ﾏｽﾀ!$T$8:$T$16,MATCH($X74,ﾏｽﾀ!$U$8:$U$16,0))&amp;"")</f>
        <v/>
      </c>
      <c r="X74" s="248"/>
      <c r="Y74" s="260"/>
      <c r="Z74" s="260"/>
      <c r="AA74" s="256"/>
      <c r="AB74" s="492" t="str">
        <f>IF($W74="","",IF($AA74="","ERR",IF($AA74="1",IF($AE74="","ERR",VLOOKUP($AA74,ﾏｽﾀ!$W$8:$X$10,ﾏｽﾀ!$X$4,0)),IF($AA74="2",IF($AG74="","ERR",VLOOKUP($AA74,ﾏｽﾀ!$W$8:$X$10,ﾏｽﾀ!$X$4,0)),IF($AA74="3",IF($AI74="","ERR",VLOOKUP($AA74,ﾏｽﾀ!$W$8:$X$10,ﾏｽﾀ!$X$4,0)),"ERR")))))</f>
        <v/>
      </c>
      <c r="AC74" s="261"/>
      <c r="AD74" s="321" t="str">
        <f>IF($AA74="1",COUNTIF('納品書明細16-E'!$D$9:$D$206,$AN74)+COUNTIF('納品書明細F-15'!$D$9:$D$297,$AN74)-IF(ISNA(MATCH(CONCATENATE(VLOOKUP($AC74,$AB$1:$AC$4,2,FALSE),$S74,IF($U74="","00",$U74),$W74,2),$F$11:$F$160,0)),0,SUMIF($F$11:$F$160,CONCATENATE(VLOOKUP($AC74,$AB$1:$AC$4,2,FALSE),$S74,IF($U74="","00",$U74),$W74,2),$AF$11:$AF$160)),"")</f>
        <v/>
      </c>
      <c r="AE74" s="319" t="str">
        <f>IF($AA74="1",SUMIF('納品書明細16-E'!$C$9:$C$206,$AO74,'納品書明細16-E'!$Q$9:$Q$206)+SUMIF('納品書明細F-15'!$C$9:$C$297,$AO74,'納品書明細F-15'!$Q$9:$Q$297)-IF(ISNA(MATCH(CONCATENATE(VLOOKUP($AC74,$AB$1:$AC$4,2,FALSE),$S74,IF($U74="","00",$U74),$W74,2),$F$11:$F$160,0)),0,SUMIF($F$11:$F$160,CONCATENATE(VLOOKUP($AC74,$AB$1:$AC$4,2,FALSE),$S74,IF($U74="","00",$U74),$W74,2),$AG$11:$AG$160)),"")</f>
        <v/>
      </c>
      <c r="AF74" s="322"/>
      <c r="AG74" s="327"/>
      <c r="AH74" s="57"/>
      <c r="AI74" s="319" t="str">
        <f>IF($AH74="","",IF(ISNA(MATCH($AH74,'納品書明細16-E'!$H$9:$H$206,0)),IF(ISNA(MATCH($AH74,'納品書明細F-15'!$H$9:$H$297,0)),"ERR",SUMIF('納品書明細F-15'!$H$9:$H$297,$AH74,'納品書明細F-15'!$Q$9:$Q$297)),SUMIF('納品書明細16-E'!$H$9:$H$206,$AH74,'納品書明細16-E'!$Q$9:$Q$206)))</f>
        <v/>
      </c>
      <c r="AK74" s="328" t="str">
        <f t="shared" si="20"/>
        <v/>
      </c>
      <c r="AL74" s="269" t="str">
        <f t="shared" si="21"/>
        <v/>
      </c>
      <c r="AM74" s="270" t="str">
        <f t="shared" si="22"/>
        <v/>
      </c>
      <c r="AN74" s="244" t="str">
        <f t="shared" si="23"/>
        <v/>
      </c>
      <c r="AO74" s="244" t="str">
        <f t="shared" si="24"/>
        <v/>
      </c>
      <c r="AP74" s="271" t="str">
        <f t="shared" si="15"/>
        <v/>
      </c>
      <c r="AQ74" s="265"/>
      <c r="AR74" s="263"/>
      <c r="AS74" s="84"/>
      <c r="AT74" s="86"/>
      <c r="AU74" s="87"/>
    </row>
    <row r="75" spans="1:47" ht="15" customHeight="1">
      <c r="A75" s="281" t="str">
        <f t="shared" ref="A75:A94" si="25">IF($AC75="","",$AC75)</f>
        <v/>
      </c>
      <c r="B75" s="282" t="str">
        <f t="shared" si="12"/>
        <v/>
      </c>
      <c r="C75" s="618" t="str">
        <f>IF(AND($S75="",$U75="",$W75="",$AA75="",$AE75="",$AG75="",$AI75=""),"",MAX($C$10:$C74)+1)</f>
        <v/>
      </c>
      <c r="D75" s="619" t="str">
        <f t="shared" ref="D75:D106" si="26">IF($C75="","",CONCATENATE(VLOOKUP($AC75,$AB$1:$AC$4,2,FALSE),$S75,IF($U75="","00",$U75)))</f>
        <v/>
      </c>
      <c r="E75" s="619" t="str">
        <f t="shared" ref="E75:E106" si="27">IF($C75="","",ABS(CONCATENATE(VLOOKUP($AC75,$AB$1:$AC$4,2,FALSE),$S75,IF($U75="","00",$U75),MID($I75,FIND("B",$I75)+1,5))))</f>
        <v/>
      </c>
      <c r="F75" s="619" t="str">
        <f t="shared" ref="F75:F106" si="28">IF($S75="","",CONCATENATE(VLOOKUP($AC75,$AB$1:$AC$4,2,FALSE),$S75,IF($U75="","00",$U75),$W75,$AA75))</f>
        <v/>
      </c>
      <c r="G75" s="619" t="str">
        <f t="shared" ref="G75:G106" si="29">IF($S75="","",CONCATENATE(VLOOKUP($AC75,$AB$1:$AC$4,2,FALSE),$S75,IF($U75="","00",$U75),$AA75))</f>
        <v/>
      </c>
      <c r="H75" s="620" t="str">
        <f t="shared" si="5"/>
        <v/>
      </c>
      <c r="I75" s="316" t="s">
        <v>284</v>
      </c>
      <c r="J75" s="254"/>
      <c r="K75" s="50" t="str">
        <f>IF($W75="","",IF($W75=1,IF(VLOOKUP($S75,ﾏｽﾀ!$E$8:$K$124,ﾏｽﾀ!$J$4-ﾏｽﾀ!$D$4,0)="E",DAY($J$4),ABS(VLOOKUP($S75,ﾏｽﾀ!$E$8:$K$124,ﾏｽﾀ!$J$4-ﾏｽﾀ!$D$4,0))),IF(VLOOKUP($S75,ﾏｽﾀ!$E$8:$K$124,ﾏｽﾀ!$K$4-ﾏｽﾀ!$D$4,0)="E",DAY($J$4),ABS(VLOOKUP($S75,ﾏｽﾀ!$E$8:$K$124,ﾏｽﾀ!$K$4-ﾏｽﾀ!$D$4,0)))))</f>
        <v/>
      </c>
      <c r="L75" s="255"/>
      <c r="M75" s="255"/>
      <c r="N75" s="255"/>
      <c r="O75" s="50" t="str">
        <f>IF($S75="","",IF($M75="",IF($J75="","ERR",IF(VLOOKUP($S75,ﾏｽﾀ!$E$8:$K$124,ﾏｽﾀ!$J$4-ﾏｽﾀ!$D$4,0)="E",MONTH($J75),IF(MONTH($J75)-1=0,12,MONTH($J75)-1))),MONTH($M75)))</f>
        <v/>
      </c>
      <c r="P75" s="50" t="str">
        <f>IF($S75="","",IF($M75="",IF($K75="","ERR",IF(VLOOKUP($S75,ﾏｽﾀ!$E$8:$K$124,ﾏｽﾀ!$J$4-ﾏｽﾀ!$D$4,0)="E",1,$K75+1)),DAY($M75)))</f>
        <v/>
      </c>
      <c r="Q75" s="50" t="str">
        <f t="shared" si="13"/>
        <v/>
      </c>
      <c r="R75" s="50" t="str">
        <f t="shared" si="14"/>
        <v/>
      </c>
      <c r="S75" s="601" t="str">
        <f>IF($T75="","",INDEX(ﾏｽﾀ!$E$8:$E$124,MATCH(INDEX(ﾏｽﾀ!$N$8:$N$124,MATCH($T75,ﾏｽﾀ!$O$8:$O$124,0)),ﾏｽﾀ!$B$8:$B$124,0))&amp;"")</f>
        <v/>
      </c>
      <c r="T75" s="535"/>
      <c r="U75" s="601" t="str">
        <f>IF($T75="","",INDEX(ﾏｽﾀ!$G$8:$G$124,MATCH(INDEX(ﾏｽﾀ!$N$8:$N$124,MATCH($T75,ﾏｽﾀ!$O$8:$O$124,0)),ﾏｽﾀ!$B$8:$B$124,0))&amp;"")</f>
        <v/>
      </c>
      <c r="V75" s="257"/>
      <c r="W75" s="602" t="str">
        <f>IF($X75="","",INDEX(ﾏｽﾀ!$T$8:$T$16,MATCH($X75,ﾏｽﾀ!$U$8:$U$16,0))&amp;"")</f>
        <v/>
      </c>
      <c r="X75" s="248"/>
      <c r="Y75" s="260"/>
      <c r="Z75" s="260"/>
      <c r="AA75" s="256"/>
      <c r="AB75" s="492" t="str">
        <f>IF($W75="","",IF($AA75="","ERR",IF($AA75="1",IF($AE75="","ERR",VLOOKUP($AA75,ﾏｽﾀ!$W$8:$X$10,ﾏｽﾀ!$X$4,0)),IF($AA75="2",IF($AG75="","ERR",VLOOKUP($AA75,ﾏｽﾀ!$W$8:$X$10,ﾏｽﾀ!$X$4,0)),IF($AA75="3",IF($AI75="","ERR",VLOOKUP($AA75,ﾏｽﾀ!$W$8:$X$10,ﾏｽﾀ!$X$4,0)),"ERR")))))</f>
        <v/>
      </c>
      <c r="AC75" s="261"/>
      <c r="AD75" s="321" t="str">
        <f>IF($AA75="1",COUNTIF('納品書明細16-E'!$D$9:$D$206,$AN75)+COUNTIF('納品書明細F-15'!$D$9:$D$297,$AN75)-IF(ISNA(MATCH(CONCATENATE(VLOOKUP($AC75,$AB$1:$AC$4,2,FALSE),$S75,IF($U75="","00",$U75),$W75,2),$F$11:$F$160,0)),0,SUMIF($F$11:$F$160,CONCATENATE(VLOOKUP($AC75,$AB$1:$AC$4,2,FALSE),$S75,IF($U75="","00",$U75),$W75,2),$AF$11:$AF$160)),"")</f>
        <v/>
      </c>
      <c r="AE75" s="319" t="str">
        <f>IF($AA75="1",SUMIF('納品書明細16-E'!$C$9:$C$206,$AO75,'納品書明細16-E'!$Q$9:$Q$206)+SUMIF('納品書明細F-15'!$C$9:$C$297,$AO75,'納品書明細F-15'!$Q$9:$Q$297)-IF(ISNA(MATCH(CONCATENATE(VLOOKUP($AC75,$AB$1:$AC$4,2,FALSE),$S75,IF($U75="","00",$U75),$W75,2),$F$11:$F$160,0)),0,SUMIF($F$11:$F$160,CONCATENATE(VLOOKUP($AC75,$AB$1:$AC$4,2,FALSE),$S75,IF($U75="","00",$U75),$W75,2),$AG$11:$AG$160)),"")</f>
        <v/>
      </c>
      <c r="AF75" s="322"/>
      <c r="AG75" s="327"/>
      <c r="AH75" s="57"/>
      <c r="AI75" s="319" t="str">
        <f>IF($AH75="","",IF(ISNA(MATCH($AH75,'納品書明細16-E'!$H$9:$H$206,0)),IF(ISNA(MATCH($AH75,'納品書明細F-15'!$H$9:$H$297,0)),"ERR",SUMIF('納品書明細F-15'!$H$9:$H$297,$AH75,'納品書明細F-15'!$Q$9:$Q$297)),SUMIF('納品書明細16-E'!$H$9:$H$206,$AH75,'納品書明細16-E'!$Q$9:$Q$206)))</f>
        <v/>
      </c>
      <c r="AK75" s="328" t="str">
        <f t="shared" ref="AK75:AK106" si="30">IF($AH75="","",$I75)</f>
        <v/>
      </c>
      <c r="AL75" s="269" t="str">
        <f t="shared" ref="AL75:AL106" si="31">IF($AH75="","",$J75)</f>
        <v/>
      </c>
      <c r="AM75" s="270" t="str">
        <f t="shared" ref="AM75:AM106" si="32">IF($AH75="","",IF($L75="",$K75,$L75))</f>
        <v/>
      </c>
      <c r="AN75" s="244" t="str">
        <f t="shared" ref="AN75:AN106" si="33">IF($AC75="","",CONCATENATE(VLOOKUP($AC75,$AB$1:$AC$4,2,FALSE),$S75,IF($U75="","00",$U75),"1","1",$W75))</f>
        <v/>
      </c>
      <c r="AO75" s="244" t="str">
        <f t="shared" ref="AO75:AO106" si="34">IF($AC75="","",CONCATENATE(VLOOKUP($AC75,$AB$1:$AC$4,2,FALSE),$S75,IF($U75="","00",$U75),"1",$W75))</f>
        <v/>
      </c>
      <c r="AP75" s="271" t="str">
        <f t="shared" si="15"/>
        <v/>
      </c>
      <c r="AQ75" s="262"/>
      <c r="AR75" s="263"/>
      <c r="AS75" s="84"/>
      <c r="AT75" s="86"/>
      <c r="AU75" s="87"/>
    </row>
    <row r="76" spans="1:47" ht="15" customHeight="1">
      <c r="A76" s="281" t="str">
        <f t="shared" si="25"/>
        <v/>
      </c>
      <c r="B76" s="282" t="str">
        <f t="shared" ref="B76:B139" si="35">IF($S76="","",1)</f>
        <v/>
      </c>
      <c r="C76" s="618" t="str">
        <f>IF(AND($S76="",$U76="",$W76="",$AA76="",$AE76="",$AG76="",$AI76=""),"",MAX($C$10:$C75)+1)</f>
        <v/>
      </c>
      <c r="D76" s="619" t="str">
        <f t="shared" si="26"/>
        <v/>
      </c>
      <c r="E76" s="619" t="str">
        <f t="shared" si="27"/>
        <v/>
      </c>
      <c r="F76" s="619" t="str">
        <f t="shared" si="28"/>
        <v/>
      </c>
      <c r="G76" s="619" t="str">
        <f t="shared" si="29"/>
        <v/>
      </c>
      <c r="H76" s="620" t="str">
        <f t="shared" ref="H76:H108" si="36">CONCATENATE($S76,$U76)</f>
        <v/>
      </c>
      <c r="I76" s="316" t="s">
        <v>285</v>
      </c>
      <c r="J76" s="254"/>
      <c r="K76" s="50" t="str">
        <f>IF($W76="","",IF($W76=1,IF(VLOOKUP($S76,ﾏｽﾀ!$E$8:$K$124,ﾏｽﾀ!$J$4-ﾏｽﾀ!$D$4,0)="E",DAY($J$4),ABS(VLOOKUP($S76,ﾏｽﾀ!$E$8:$K$124,ﾏｽﾀ!$J$4-ﾏｽﾀ!$D$4,0))),IF(VLOOKUP($S76,ﾏｽﾀ!$E$8:$K$124,ﾏｽﾀ!$K$4-ﾏｽﾀ!$D$4,0)="E",DAY($J$4),ABS(VLOOKUP($S76,ﾏｽﾀ!$E$8:$K$124,ﾏｽﾀ!$K$4-ﾏｽﾀ!$D$4,0)))))</f>
        <v/>
      </c>
      <c r="L76" s="255"/>
      <c r="M76" s="255"/>
      <c r="N76" s="255"/>
      <c r="O76" s="50" t="str">
        <f>IF($S76="","",IF($M76="",IF($J76="","ERR",IF(VLOOKUP($S76,ﾏｽﾀ!$E$8:$K$124,ﾏｽﾀ!$J$4-ﾏｽﾀ!$D$4,0)="E",MONTH($J76),IF(MONTH($J76)-1=0,12,MONTH($J76)-1))),MONTH($M76)))</f>
        <v/>
      </c>
      <c r="P76" s="50" t="str">
        <f>IF($S76="","",IF($M76="",IF($K76="","ERR",IF(VLOOKUP($S76,ﾏｽﾀ!$E$8:$K$124,ﾏｽﾀ!$J$4-ﾏｽﾀ!$D$4,0)="E",1,$K76+1)),DAY($M76)))</f>
        <v/>
      </c>
      <c r="Q76" s="50" t="str">
        <f t="shared" ref="Q76:Q139" si="37">IF($S76="","",IF($N76="",IF($J76="","ERR",MONTH($J76)),MONTH($N76)))</f>
        <v/>
      </c>
      <c r="R76" s="50" t="str">
        <f t="shared" ref="R76:R139" si="38">IF($S76="","",IF($N76="",IF($K76="","ERR",$K76),DAY($N76)))</f>
        <v/>
      </c>
      <c r="S76" s="601" t="str">
        <f>IF($T76="","",INDEX(ﾏｽﾀ!$E$8:$E$124,MATCH(INDEX(ﾏｽﾀ!$N$8:$N$124,MATCH($T76,ﾏｽﾀ!$O$8:$O$124,0)),ﾏｽﾀ!$B$8:$B$124,0))&amp;"")</f>
        <v/>
      </c>
      <c r="T76" s="535"/>
      <c r="U76" s="601" t="str">
        <f>IF($T76="","",INDEX(ﾏｽﾀ!$G$8:$G$124,MATCH(INDEX(ﾏｽﾀ!$N$8:$N$124,MATCH($T76,ﾏｽﾀ!$O$8:$O$124,0)),ﾏｽﾀ!$B$8:$B$124,0))&amp;"")</f>
        <v/>
      </c>
      <c r="V76" s="257"/>
      <c r="W76" s="602" t="str">
        <f>IF($X76="","",INDEX(ﾏｽﾀ!$T$8:$T$16,MATCH($X76,ﾏｽﾀ!$U$8:$U$16,0))&amp;"")</f>
        <v/>
      </c>
      <c r="X76" s="248"/>
      <c r="Y76" s="260"/>
      <c r="Z76" s="260"/>
      <c r="AA76" s="256"/>
      <c r="AB76" s="492" t="str">
        <f>IF($W76="","",IF($AA76="","ERR",IF($AA76="1",IF($AE76="","ERR",VLOOKUP($AA76,ﾏｽﾀ!$W$8:$X$10,ﾏｽﾀ!$X$4,0)),IF($AA76="2",IF($AG76="","ERR",VLOOKUP($AA76,ﾏｽﾀ!$W$8:$X$10,ﾏｽﾀ!$X$4,0)),IF($AA76="3",IF($AI76="","ERR",VLOOKUP($AA76,ﾏｽﾀ!$W$8:$X$10,ﾏｽﾀ!$X$4,0)),"ERR")))))</f>
        <v/>
      </c>
      <c r="AC76" s="261"/>
      <c r="AD76" s="321" t="str">
        <f>IF($AA76="1",COUNTIF('納品書明細16-E'!$D$9:$D$206,$AN76)+COUNTIF('納品書明細F-15'!$D$9:$D$297,$AN76)-IF(ISNA(MATCH(CONCATENATE(VLOOKUP($AC76,$AB$1:$AC$4,2,FALSE),$S76,IF($U76="","00",$U76),$W76,2),$F$11:$F$160,0)),0,SUMIF($F$11:$F$160,CONCATENATE(VLOOKUP($AC76,$AB$1:$AC$4,2,FALSE),$S76,IF($U76="","00",$U76),$W76,2),$AF$11:$AF$160)),"")</f>
        <v/>
      </c>
      <c r="AE76" s="319" t="str">
        <f>IF($AA76="1",SUMIF('納品書明細16-E'!$C$9:$C$206,$AO76,'納品書明細16-E'!$Q$9:$Q$206)+SUMIF('納品書明細F-15'!$C$9:$C$297,$AO76,'納品書明細F-15'!$Q$9:$Q$297)-IF(ISNA(MATCH(CONCATENATE(VLOOKUP($AC76,$AB$1:$AC$4,2,FALSE),$S76,IF($U76="","00",$U76),$W76,2),$F$11:$F$160,0)),0,SUMIF($F$11:$F$160,CONCATENATE(VLOOKUP($AC76,$AB$1:$AC$4,2,FALSE),$S76,IF($U76="","00",$U76),$W76,2),$AG$11:$AG$160)),"")</f>
        <v/>
      </c>
      <c r="AF76" s="322"/>
      <c r="AG76" s="327"/>
      <c r="AH76" s="57"/>
      <c r="AI76" s="319" t="str">
        <f>IF($AH76="","",IF(ISNA(MATCH($AH76,'納品書明細16-E'!$H$9:$H$206,0)),IF(ISNA(MATCH($AH76,'納品書明細F-15'!$H$9:$H$297,0)),"ERR",SUMIF('納品書明細F-15'!$H$9:$H$297,$AH76,'納品書明細F-15'!$Q$9:$Q$297)),SUMIF('納品書明細16-E'!$H$9:$H$206,$AH76,'納品書明細16-E'!$Q$9:$Q$206)))</f>
        <v/>
      </c>
      <c r="AK76" s="328" t="str">
        <f t="shared" si="30"/>
        <v/>
      </c>
      <c r="AL76" s="269" t="str">
        <f t="shared" si="31"/>
        <v/>
      </c>
      <c r="AM76" s="270" t="str">
        <f t="shared" si="32"/>
        <v/>
      </c>
      <c r="AN76" s="244" t="str">
        <f t="shared" si="33"/>
        <v/>
      </c>
      <c r="AO76" s="244" t="str">
        <f t="shared" si="34"/>
        <v/>
      </c>
      <c r="AP76" s="271" t="str">
        <f t="shared" si="15"/>
        <v/>
      </c>
      <c r="AQ76" s="262"/>
      <c r="AR76" s="263"/>
      <c r="AS76" s="84"/>
      <c r="AT76" s="86"/>
      <c r="AU76" s="87"/>
    </row>
    <row r="77" spans="1:47" ht="15" customHeight="1">
      <c r="A77" s="281" t="str">
        <f t="shared" si="25"/>
        <v/>
      </c>
      <c r="B77" s="282" t="str">
        <f t="shared" si="35"/>
        <v/>
      </c>
      <c r="C77" s="618" t="str">
        <f>IF(AND($S77="",$U77="",$W77="",$AA77="",$AE77="",$AG77="",$AI77=""),"",MAX($C$10:$C76)+1)</f>
        <v/>
      </c>
      <c r="D77" s="619" t="str">
        <f t="shared" si="26"/>
        <v/>
      </c>
      <c r="E77" s="619" t="str">
        <f t="shared" si="27"/>
        <v/>
      </c>
      <c r="F77" s="619" t="str">
        <f t="shared" si="28"/>
        <v/>
      </c>
      <c r="G77" s="619" t="str">
        <f t="shared" si="29"/>
        <v/>
      </c>
      <c r="H77" s="620" t="str">
        <f t="shared" si="36"/>
        <v/>
      </c>
      <c r="I77" s="316" t="s">
        <v>286</v>
      </c>
      <c r="J77" s="254"/>
      <c r="K77" s="50" t="str">
        <f>IF($W77="","",IF($W77=1,IF(VLOOKUP($S77,ﾏｽﾀ!$E$8:$K$124,ﾏｽﾀ!$J$4-ﾏｽﾀ!$D$4,0)="E",DAY($J$4),ABS(VLOOKUP($S77,ﾏｽﾀ!$E$8:$K$124,ﾏｽﾀ!$J$4-ﾏｽﾀ!$D$4,0))),IF(VLOOKUP($S77,ﾏｽﾀ!$E$8:$K$124,ﾏｽﾀ!$K$4-ﾏｽﾀ!$D$4,0)="E",DAY($J$4),ABS(VLOOKUP($S77,ﾏｽﾀ!$E$8:$K$124,ﾏｽﾀ!$K$4-ﾏｽﾀ!$D$4,0)))))</f>
        <v/>
      </c>
      <c r="L77" s="255"/>
      <c r="M77" s="255"/>
      <c r="N77" s="255"/>
      <c r="O77" s="50" t="str">
        <f>IF($S77="","",IF($M77="",IF($J77="","ERR",IF(VLOOKUP($S77,ﾏｽﾀ!$E$8:$K$124,ﾏｽﾀ!$J$4-ﾏｽﾀ!$D$4,0)="E",MONTH($J77),IF(MONTH($J77)-1=0,12,MONTH($J77)-1))),MONTH($M77)))</f>
        <v/>
      </c>
      <c r="P77" s="50" t="str">
        <f>IF($S77="","",IF($M77="",IF($K77="","ERR",IF(VLOOKUP($S77,ﾏｽﾀ!$E$8:$K$124,ﾏｽﾀ!$J$4-ﾏｽﾀ!$D$4,0)="E",1,$K77+1)),DAY($M77)))</f>
        <v/>
      </c>
      <c r="Q77" s="50" t="str">
        <f t="shared" si="37"/>
        <v/>
      </c>
      <c r="R77" s="50" t="str">
        <f t="shared" si="38"/>
        <v/>
      </c>
      <c r="S77" s="601" t="str">
        <f>IF($T77="","",INDEX(ﾏｽﾀ!$E$8:$E$124,MATCH(INDEX(ﾏｽﾀ!$N$8:$N$124,MATCH($T77,ﾏｽﾀ!$O$8:$O$124,0)),ﾏｽﾀ!$B$8:$B$124,0))&amp;"")</f>
        <v/>
      </c>
      <c r="T77" s="535"/>
      <c r="U77" s="601" t="str">
        <f>IF($T77="","",INDEX(ﾏｽﾀ!$G$8:$G$124,MATCH(INDEX(ﾏｽﾀ!$N$8:$N$124,MATCH($T77,ﾏｽﾀ!$O$8:$O$124,0)),ﾏｽﾀ!$B$8:$B$124,0))&amp;"")</f>
        <v/>
      </c>
      <c r="V77" s="257"/>
      <c r="W77" s="602" t="str">
        <f>IF($X77="","",INDEX(ﾏｽﾀ!$T$8:$T$16,MATCH($X77,ﾏｽﾀ!$U$8:$U$16,0))&amp;"")</f>
        <v/>
      </c>
      <c r="X77" s="248"/>
      <c r="Y77" s="260"/>
      <c r="Z77" s="260"/>
      <c r="AA77" s="256"/>
      <c r="AB77" s="492" t="str">
        <f>IF($W77="","",IF($AA77="","ERR",IF($AA77="1",IF($AE77="","ERR",VLOOKUP($AA77,ﾏｽﾀ!$W$8:$X$10,ﾏｽﾀ!$X$4,0)),IF($AA77="2",IF($AG77="","ERR",VLOOKUP($AA77,ﾏｽﾀ!$W$8:$X$10,ﾏｽﾀ!$X$4,0)),IF($AA77="3",IF($AI77="","ERR",VLOOKUP($AA77,ﾏｽﾀ!$W$8:$X$10,ﾏｽﾀ!$X$4,0)),"ERR")))))</f>
        <v/>
      </c>
      <c r="AC77" s="261"/>
      <c r="AD77" s="321" t="str">
        <f>IF($AA77="1",COUNTIF('納品書明細16-E'!$D$9:$D$206,$AN77)+COUNTIF('納品書明細F-15'!$D$9:$D$297,$AN77)-IF(ISNA(MATCH(CONCATENATE(VLOOKUP($AC77,$AB$1:$AC$4,2,FALSE),$S77,IF($U77="","00",$U77),$W77,2),$F$11:$F$160,0)),0,SUMIF($F$11:$F$160,CONCATENATE(VLOOKUP($AC77,$AB$1:$AC$4,2,FALSE),$S77,IF($U77="","00",$U77),$W77,2),$AF$11:$AF$160)),"")</f>
        <v/>
      </c>
      <c r="AE77" s="319" t="str">
        <f>IF($AA77="1",SUMIF('納品書明細16-E'!$C$9:$C$206,$AO77,'納品書明細16-E'!$Q$9:$Q$206)+SUMIF('納品書明細F-15'!$C$9:$C$297,$AO77,'納品書明細F-15'!$Q$9:$Q$297)-IF(ISNA(MATCH(CONCATENATE(VLOOKUP($AC77,$AB$1:$AC$4,2,FALSE),$S77,IF($U77="","00",$U77),$W77,2),$F$11:$F$160,0)),0,SUMIF($F$11:$F$160,CONCATENATE(VLOOKUP($AC77,$AB$1:$AC$4,2,FALSE),$S77,IF($U77="","00",$U77),$W77,2),$AG$11:$AG$160)),"")</f>
        <v/>
      </c>
      <c r="AF77" s="322"/>
      <c r="AG77" s="327"/>
      <c r="AH77" s="57"/>
      <c r="AI77" s="319" t="str">
        <f>IF($AH77="","",IF(ISNA(MATCH($AH77,'納品書明細16-E'!$H$9:$H$206,0)),IF(ISNA(MATCH($AH77,'納品書明細F-15'!$H$9:$H$297,0)),"ERR",SUMIF('納品書明細F-15'!$H$9:$H$297,$AH77,'納品書明細F-15'!$Q$9:$Q$297)),SUMIF('納品書明細16-E'!$H$9:$H$206,$AH77,'納品書明細16-E'!$Q$9:$Q$206)))</f>
        <v/>
      </c>
      <c r="AK77" s="328" t="str">
        <f t="shared" si="30"/>
        <v/>
      </c>
      <c r="AL77" s="269" t="str">
        <f t="shared" si="31"/>
        <v/>
      </c>
      <c r="AM77" s="270" t="str">
        <f t="shared" si="32"/>
        <v/>
      </c>
      <c r="AN77" s="244" t="str">
        <f t="shared" si="33"/>
        <v/>
      </c>
      <c r="AO77" s="244" t="str">
        <f t="shared" si="34"/>
        <v/>
      </c>
      <c r="AP77" s="271" t="str">
        <f t="shared" si="15"/>
        <v/>
      </c>
      <c r="AQ77" s="262"/>
      <c r="AR77" s="263"/>
      <c r="AS77" s="84"/>
      <c r="AT77" s="86"/>
      <c r="AU77" s="87"/>
    </row>
    <row r="78" spans="1:47" ht="15" customHeight="1">
      <c r="A78" s="281" t="str">
        <f t="shared" si="25"/>
        <v/>
      </c>
      <c r="B78" s="282" t="str">
        <f t="shared" si="35"/>
        <v/>
      </c>
      <c r="C78" s="618" t="str">
        <f>IF(AND($S78="",$U78="",$W78="",$AA78="",$AE78="",$AG78="",$AI78=""),"",MAX($C$10:$C77)+1)</f>
        <v/>
      </c>
      <c r="D78" s="619" t="str">
        <f t="shared" si="26"/>
        <v/>
      </c>
      <c r="E78" s="619" t="str">
        <f t="shared" si="27"/>
        <v/>
      </c>
      <c r="F78" s="619" t="str">
        <f t="shared" si="28"/>
        <v/>
      </c>
      <c r="G78" s="619" t="str">
        <f t="shared" si="29"/>
        <v/>
      </c>
      <c r="H78" s="620" t="str">
        <f t="shared" si="36"/>
        <v/>
      </c>
      <c r="I78" s="316" t="s">
        <v>287</v>
      </c>
      <c r="J78" s="254"/>
      <c r="K78" s="50" t="str">
        <f>IF($W78="","",IF($W78=1,IF(VLOOKUP($S78,ﾏｽﾀ!$E$8:$K$124,ﾏｽﾀ!$J$4-ﾏｽﾀ!$D$4,0)="E",DAY($J$4),ABS(VLOOKUP($S78,ﾏｽﾀ!$E$8:$K$124,ﾏｽﾀ!$J$4-ﾏｽﾀ!$D$4,0))),IF(VLOOKUP($S78,ﾏｽﾀ!$E$8:$K$124,ﾏｽﾀ!$K$4-ﾏｽﾀ!$D$4,0)="E",DAY($J$4),ABS(VLOOKUP($S78,ﾏｽﾀ!$E$8:$K$124,ﾏｽﾀ!$K$4-ﾏｽﾀ!$D$4,0)))))</f>
        <v/>
      </c>
      <c r="L78" s="255"/>
      <c r="M78" s="255"/>
      <c r="N78" s="255"/>
      <c r="O78" s="50" t="str">
        <f>IF($S78="","",IF($M78="",IF($J78="","ERR",IF(VLOOKUP($S78,ﾏｽﾀ!$E$8:$K$124,ﾏｽﾀ!$J$4-ﾏｽﾀ!$D$4,0)="E",MONTH($J78),IF(MONTH($J78)-1=0,12,MONTH($J78)-1))),MONTH($M78)))</f>
        <v/>
      </c>
      <c r="P78" s="50" t="str">
        <f>IF($S78="","",IF($M78="",IF($K78="","ERR",IF(VLOOKUP($S78,ﾏｽﾀ!$E$8:$K$124,ﾏｽﾀ!$J$4-ﾏｽﾀ!$D$4,0)="E",1,$K78+1)),DAY($M78)))</f>
        <v/>
      </c>
      <c r="Q78" s="50" t="str">
        <f t="shared" si="37"/>
        <v/>
      </c>
      <c r="R78" s="50" t="str">
        <f t="shared" si="38"/>
        <v/>
      </c>
      <c r="S78" s="601" t="str">
        <f>IF($T78="","",INDEX(ﾏｽﾀ!$E$8:$E$124,MATCH(INDEX(ﾏｽﾀ!$N$8:$N$124,MATCH($T78,ﾏｽﾀ!$O$8:$O$124,0)),ﾏｽﾀ!$B$8:$B$124,0))&amp;"")</f>
        <v/>
      </c>
      <c r="T78" s="535"/>
      <c r="U78" s="601" t="str">
        <f>IF($T78="","",INDEX(ﾏｽﾀ!$G$8:$G$124,MATCH(INDEX(ﾏｽﾀ!$N$8:$N$124,MATCH($T78,ﾏｽﾀ!$O$8:$O$124,0)),ﾏｽﾀ!$B$8:$B$124,0))&amp;"")</f>
        <v/>
      </c>
      <c r="V78" s="257"/>
      <c r="W78" s="602" t="str">
        <f>IF($X78="","",INDEX(ﾏｽﾀ!$T$8:$T$16,MATCH($X78,ﾏｽﾀ!$U$8:$U$16,0))&amp;"")</f>
        <v/>
      </c>
      <c r="X78" s="248"/>
      <c r="Y78" s="260"/>
      <c r="Z78" s="260"/>
      <c r="AA78" s="256"/>
      <c r="AB78" s="492" t="str">
        <f>IF($W78="","",IF($AA78="","ERR",IF($AA78="1",IF($AE78="","ERR",VLOOKUP($AA78,ﾏｽﾀ!$W$8:$X$10,ﾏｽﾀ!$X$4,0)),IF($AA78="2",IF($AG78="","ERR",VLOOKUP($AA78,ﾏｽﾀ!$W$8:$X$10,ﾏｽﾀ!$X$4,0)),IF($AA78="3",IF($AI78="","ERR",VLOOKUP($AA78,ﾏｽﾀ!$W$8:$X$10,ﾏｽﾀ!$X$4,0)),"ERR")))))</f>
        <v/>
      </c>
      <c r="AC78" s="261"/>
      <c r="AD78" s="321" t="str">
        <f>IF($AA78="1",COUNTIF('納品書明細16-E'!$D$9:$D$206,$AN78)+COUNTIF('納品書明細F-15'!$D$9:$D$297,$AN78)-IF(ISNA(MATCH(CONCATENATE(VLOOKUP($AC78,$AB$1:$AC$4,2,FALSE),$S78,IF($U78="","00",$U78),$W78,2),$F$11:$F$160,0)),0,SUMIF($F$11:$F$160,CONCATENATE(VLOOKUP($AC78,$AB$1:$AC$4,2,FALSE),$S78,IF($U78="","00",$U78),$W78,2),$AF$11:$AF$160)),"")</f>
        <v/>
      </c>
      <c r="AE78" s="319" t="str">
        <f>IF($AA78="1",SUMIF('納品書明細16-E'!$C$9:$C$206,$AO78,'納品書明細16-E'!$Q$9:$Q$206)+SUMIF('納品書明細F-15'!$C$9:$C$297,$AO78,'納品書明細F-15'!$Q$9:$Q$297)-IF(ISNA(MATCH(CONCATENATE(VLOOKUP($AC78,$AB$1:$AC$4,2,FALSE),$S78,IF($U78="","00",$U78),$W78,2),$F$11:$F$160,0)),0,SUMIF($F$11:$F$160,CONCATENATE(VLOOKUP($AC78,$AB$1:$AC$4,2,FALSE),$S78,IF($U78="","00",$U78),$W78,2),$AG$11:$AG$160)),"")</f>
        <v/>
      </c>
      <c r="AF78" s="322"/>
      <c r="AG78" s="327"/>
      <c r="AH78" s="57"/>
      <c r="AI78" s="319" t="str">
        <f>IF($AH78="","",IF(ISNA(MATCH($AH78,'納品書明細16-E'!$H$9:$H$206,0)),IF(ISNA(MATCH($AH78,'納品書明細F-15'!$H$9:$H$297,0)),"ERR",SUMIF('納品書明細F-15'!$H$9:$H$297,$AH78,'納品書明細F-15'!$Q$9:$Q$297)),SUMIF('納品書明細16-E'!$H$9:$H$206,$AH78,'納品書明細16-E'!$Q$9:$Q$206)))</f>
        <v/>
      </c>
      <c r="AK78" s="328" t="str">
        <f t="shared" si="30"/>
        <v/>
      </c>
      <c r="AL78" s="269" t="str">
        <f t="shared" si="31"/>
        <v/>
      </c>
      <c r="AM78" s="270" t="str">
        <f t="shared" si="32"/>
        <v/>
      </c>
      <c r="AN78" s="244" t="str">
        <f t="shared" si="33"/>
        <v/>
      </c>
      <c r="AO78" s="244" t="str">
        <f t="shared" si="34"/>
        <v/>
      </c>
      <c r="AP78" s="271" t="str">
        <f t="shared" si="15"/>
        <v/>
      </c>
      <c r="AQ78" s="262"/>
      <c r="AR78" s="263"/>
      <c r="AS78" s="84"/>
      <c r="AT78" s="86"/>
      <c r="AU78" s="87"/>
    </row>
    <row r="79" spans="1:47" ht="15" customHeight="1">
      <c r="A79" s="281" t="str">
        <f t="shared" si="25"/>
        <v/>
      </c>
      <c r="B79" s="282" t="str">
        <f t="shared" si="35"/>
        <v/>
      </c>
      <c r="C79" s="618" t="str">
        <f>IF(AND($S79="",$U79="",$W79="",$AA79="",$AE79="",$AG79="",$AI79=""),"",MAX($C$10:$C78)+1)</f>
        <v/>
      </c>
      <c r="D79" s="619" t="str">
        <f t="shared" si="26"/>
        <v/>
      </c>
      <c r="E79" s="619" t="str">
        <f t="shared" si="27"/>
        <v/>
      </c>
      <c r="F79" s="619" t="str">
        <f t="shared" si="28"/>
        <v/>
      </c>
      <c r="G79" s="619" t="str">
        <f t="shared" si="29"/>
        <v/>
      </c>
      <c r="H79" s="620" t="str">
        <f t="shared" si="36"/>
        <v/>
      </c>
      <c r="I79" s="316" t="s">
        <v>288</v>
      </c>
      <c r="J79" s="254"/>
      <c r="K79" s="50" t="str">
        <f>IF($W79="","",IF($W79=1,IF(VLOOKUP($S79,ﾏｽﾀ!$E$8:$K$124,ﾏｽﾀ!$J$4-ﾏｽﾀ!$D$4,0)="E",DAY($J$4),ABS(VLOOKUP($S79,ﾏｽﾀ!$E$8:$K$124,ﾏｽﾀ!$J$4-ﾏｽﾀ!$D$4,0))),IF(VLOOKUP($S79,ﾏｽﾀ!$E$8:$K$124,ﾏｽﾀ!$K$4-ﾏｽﾀ!$D$4,0)="E",DAY($J$4),ABS(VLOOKUP($S79,ﾏｽﾀ!$E$8:$K$124,ﾏｽﾀ!$K$4-ﾏｽﾀ!$D$4,0)))))</f>
        <v/>
      </c>
      <c r="L79" s="255"/>
      <c r="M79" s="255"/>
      <c r="N79" s="255"/>
      <c r="O79" s="50" t="str">
        <f>IF($S79="","",IF($M79="",IF($J79="","ERR",IF(VLOOKUP($S79,ﾏｽﾀ!$E$8:$K$124,ﾏｽﾀ!$J$4-ﾏｽﾀ!$D$4,0)="E",MONTH($J79),IF(MONTH($J79)-1=0,12,MONTH($J79)-1))),MONTH($M79)))</f>
        <v/>
      </c>
      <c r="P79" s="50" t="str">
        <f>IF($S79="","",IF($M79="",IF($K79="","ERR",IF(VLOOKUP($S79,ﾏｽﾀ!$E$8:$K$124,ﾏｽﾀ!$J$4-ﾏｽﾀ!$D$4,0)="E",1,$K79+1)),DAY($M79)))</f>
        <v/>
      </c>
      <c r="Q79" s="50" t="str">
        <f t="shared" si="37"/>
        <v/>
      </c>
      <c r="R79" s="50" t="str">
        <f t="shared" si="38"/>
        <v/>
      </c>
      <c r="S79" s="601" t="str">
        <f>IF($T79="","",INDEX(ﾏｽﾀ!$E$8:$E$124,MATCH(INDEX(ﾏｽﾀ!$N$8:$N$124,MATCH($T79,ﾏｽﾀ!$O$8:$O$124,0)),ﾏｽﾀ!$B$8:$B$124,0))&amp;"")</f>
        <v/>
      </c>
      <c r="T79" s="535"/>
      <c r="U79" s="601" t="str">
        <f>IF($T79="","",INDEX(ﾏｽﾀ!$G$8:$G$124,MATCH(INDEX(ﾏｽﾀ!$N$8:$N$124,MATCH($T79,ﾏｽﾀ!$O$8:$O$124,0)),ﾏｽﾀ!$B$8:$B$124,0))&amp;"")</f>
        <v/>
      </c>
      <c r="V79" s="257"/>
      <c r="W79" s="602" t="str">
        <f>IF($X79="","",INDEX(ﾏｽﾀ!$T$8:$T$16,MATCH($X79,ﾏｽﾀ!$U$8:$U$16,0))&amp;"")</f>
        <v/>
      </c>
      <c r="X79" s="248"/>
      <c r="Y79" s="260"/>
      <c r="Z79" s="260"/>
      <c r="AA79" s="256"/>
      <c r="AB79" s="492" t="str">
        <f>IF($W79="","",IF($AA79="","ERR",IF($AA79="1",IF($AE79="","ERR",VLOOKUP($AA79,ﾏｽﾀ!$W$8:$X$10,ﾏｽﾀ!$X$4,0)),IF($AA79="2",IF($AG79="","ERR",VLOOKUP($AA79,ﾏｽﾀ!$W$8:$X$10,ﾏｽﾀ!$X$4,0)),IF($AA79="3",IF($AI79="","ERR",VLOOKUP($AA79,ﾏｽﾀ!$W$8:$X$10,ﾏｽﾀ!$X$4,0)),"ERR")))))</f>
        <v/>
      </c>
      <c r="AC79" s="261"/>
      <c r="AD79" s="321" t="str">
        <f>IF($AA79="1",COUNTIF('納品書明細16-E'!$D$9:$D$206,$AN79)+COUNTIF('納品書明細F-15'!$D$9:$D$297,$AN79)-IF(ISNA(MATCH(CONCATENATE(VLOOKUP($AC79,$AB$1:$AC$4,2,FALSE),$S79,IF($U79="","00",$U79),$W79,2),$F$11:$F$160,0)),0,SUMIF($F$11:$F$160,CONCATENATE(VLOOKUP($AC79,$AB$1:$AC$4,2,FALSE),$S79,IF($U79="","00",$U79),$W79,2),$AF$11:$AF$160)),"")</f>
        <v/>
      </c>
      <c r="AE79" s="319" t="str">
        <f>IF($AA79="1",SUMIF('納品書明細16-E'!$C$9:$C$206,$AO79,'納品書明細16-E'!$Q$9:$Q$206)+SUMIF('納品書明細F-15'!$C$9:$C$297,$AO79,'納品書明細F-15'!$Q$9:$Q$297)-IF(ISNA(MATCH(CONCATENATE(VLOOKUP($AC79,$AB$1:$AC$4,2,FALSE),$S79,IF($U79="","00",$U79),$W79,2),$F$11:$F$160,0)),0,SUMIF($F$11:$F$160,CONCATENATE(VLOOKUP($AC79,$AB$1:$AC$4,2,FALSE),$S79,IF($U79="","00",$U79),$W79,2),$AG$11:$AG$160)),"")</f>
        <v/>
      </c>
      <c r="AF79" s="322"/>
      <c r="AG79" s="327"/>
      <c r="AH79" s="57"/>
      <c r="AI79" s="319" t="str">
        <f>IF($AH79="","",IF(ISNA(MATCH($AH79,'納品書明細16-E'!$H$9:$H$206,0)),IF(ISNA(MATCH($AH79,'納品書明細F-15'!$H$9:$H$297,0)),"ERR",SUMIF('納品書明細F-15'!$H$9:$H$297,$AH79,'納品書明細F-15'!$Q$9:$Q$297)),SUMIF('納品書明細16-E'!$H$9:$H$206,$AH79,'納品書明細16-E'!$Q$9:$Q$206)))</f>
        <v/>
      </c>
      <c r="AK79" s="328" t="str">
        <f t="shared" si="30"/>
        <v/>
      </c>
      <c r="AL79" s="269" t="str">
        <f t="shared" si="31"/>
        <v/>
      </c>
      <c r="AM79" s="270" t="str">
        <f t="shared" si="32"/>
        <v/>
      </c>
      <c r="AN79" s="244" t="str">
        <f t="shared" si="33"/>
        <v/>
      </c>
      <c r="AO79" s="244" t="str">
        <f t="shared" si="34"/>
        <v/>
      </c>
      <c r="AP79" s="271" t="str">
        <f t="shared" si="15"/>
        <v/>
      </c>
      <c r="AQ79" s="262"/>
      <c r="AR79" s="263"/>
      <c r="AS79" s="84"/>
      <c r="AT79" s="86"/>
      <c r="AU79" s="87"/>
    </row>
    <row r="80" spans="1:47" ht="15" customHeight="1">
      <c r="A80" s="281" t="str">
        <f t="shared" si="25"/>
        <v/>
      </c>
      <c r="B80" s="282" t="str">
        <f t="shared" si="35"/>
        <v/>
      </c>
      <c r="C80" s="618" t="str">
        <f>IF(AND($S80="",$U80="",$W80="",$AA80="",$AE80="",$AG80="",$AI80=""),"",MAX($C$10:$C79)+1)</f>
        <v/>
      </c>
      <c r="D80" s="619" t="str">
        <f t="shared" si="26"/>
        <v/>
      </c>
      <c r="E80" s="619" t="str">
        <f t="shared" si="27"/>
        <v/>
      </c>
      <c r="F80" s="619" t="str">
        <f t="shared" si="28"/>
        <v/>
      </c>
      <c r="G80" s="619" t="str">
        <f t="shared" si="29"/>
        <v/>
      </c>
      <c r="H80" s="620" t="str">
        <f t="shared" si="36"/>
        <v/>
      </c>
      <c r="I80" s="316" t="s">
        <v>289</v>
      </c>
      <c r="J80" s="254"/>
      <c r="K80" s="50" t="str">
        <f>IF($W80="","",IF($W80=1,IF(VLOOKUP($S80,ﾏｽﾀ!$E$8:$K$124,ﾏｽﾀ!$J$4-ﾏｽﾀ!$D$4,0)="E",DAY($J$4),ABS(VLOOKUP($S80,ﾏｽﾀ!$E$8:$K$124,ﾏｽﾀ!$J$4-ﾏｽﾀ!$D$4,0))),IF(VLOOKUP($S80,ﾏｽﾀ!$E$8:$K$124,ﾏｽﾀ!$K$4-ﾏｽﾀ!$D$4,0)="E",DAY($J$4),ABS(VLOOKUP($S80,ﾏｽﾀ!$E$8:$K$124,ﾏｽﾀ!$K$4-ﾏｽﾀ!$D$4,0)))))</f>
        <v/>
      </c>
      <c r="L80" s="255"/>
      <c r="M80" s="255"/>
      <c r="N80" s="255"/>
      <c r="O80" s="50" t="str">
        <f>IF($S80="","",IF($M80="",IF($J80="","ERR",IF(VLOOKUP($S80,ﾏｽﾀ!$E$8:$K$124,ﾏｽﾀ!$J$4-ﾏｽﾀ!$D$4,0)="E",MONTH($J80),IF(MONTH($J80)-1=0,12,MONTH($J80)-1))),MONTH($M80)))</f>
        <v/>
      </c>
      <c r="P80" s="50" t="str">
        <f>IF($S80="","",IF($M80="",IF($K80="","ERR",IF(VLOOKUP($S80,ﾏｽﾀ!$E$8:$K$124,ﾏｽﾀ!$J$4-ﾏｽﾀ!$D$4,0)="E",1,$K80+1)),DAY($M80)))</f>
        <v/>
      </c>
      <c r="Q80" s="50" t="str">
        <f t="shared" si="37"/>
        <v/>
      </c>
      <c r="R80" s="50" t="str">
        <f t="shared" si="38"/>
        <v/>
      </c>
      <c r="S80" s="601" t="str">
        <f>IF($T80="","",INDEX(ﾏｽﾀ!$E$8:$E$124,MATCH(INDEX(ﾏｽﾀ!$N$8:$N$124,MATCH($T80,ﾏｽﾀ!$O$8:$O$124,0)),ﾏｽﾀ!$B$8:$B$124,0))&amp;"")</f>
        <v/>
      </c>
      <c r="T80" s="535"/>
      <c r="U80" s="601" t="str">
        <f>IF($T80="","",INDEX(ﾏｽﾀ!$G$8:$G$124,MATCH(INDEX(ﾏｽﾀ!$N$8:$N$124,MATCH($T80,ﾏｽﾀ!$O$8:$O$124,0)),ﾏｽﾀ!$B$8:$B$124,0))&amp;"")</f>
        <v/>
      </c>
      <c r="V80" s="257"/>
      <c r="W80" s="602" t="str">
        <f>IF($X80="","",INDEX(ﾏｽﾀ!$T$8:$T$16,MATCH($X80,ﾏｽﾀ!$U$8:$U$16,0))&amp;"")</f>
        <v/>
      </c>
      <c r="X80" s="248"/>
      <c r="Y80" s="260"/>
      <c r="Z80" s="260"/>
      <c r="AA80" s="256"/>
      <c r="AB80" s="492" t="str">
        <f>IF($W80="","",IF($AA80="","ERR",IF($AA80="1",IF($AE80="","ERR",VLOOKUP($AA80,ﾏｽﾀ!$W$8:$X$10,ﾏｽﾀ!$X$4,0)),IF($AA80="2",IF($AG80="","ERR",VLOOKUP($AA80,ﾏｽﾀ!$W$8:$X$10,ﾏｽﾀ!$X$4,0)),IF($AA80="3",IF($AI80="","ERR",VLOOKUP($AA80,ﾏｽﾀ!$W$8:$X$10,ﾏｽﾀ!$X$4,0)),"ERR")))))</f>
        <v/>
      </c>
      <c r="AC80" s="261"/>
      <c r="AD80" s="321" t="str">
        <f>IF($AA80="1",COUNTIF('納品書明細16-E'!$D$9:$D$206,$AN80)+COUNTIF('納品書明細F-15'!$D$9:$D$297,$AN80)-IF(ISNA(MATCH(CONCATENATE(VLOOKUP($AC80,$AB$1:$AC$4,2,FALSE),$S80,IF($U80="","00",$U80),$W80,2),$F$11:$F$160,0)),0,SUMIF($F$11:$F$160,CONCATENATE(VLOOKUP($AC80,$AB$1:$AC$4,2,FALSE),$S80,IF($U80="","00",$U80),$W80,2),$AF$11:$AF$160)),"")</f>
        <v/>
      </c>
      <c r="AE80" s="319" t="str">
        <f>IF($AA80="1",SUMIF('納品書明細16-E'!$C$9:$C$206,$AO80,'納品書明細16-E'!$Q$9:$Q$206)+SUMIF('納品書明細F-15'!$C$9:$C$297,$AO80,'納品書明細F-15'!$Q$9:$Q$297)-IF(ISNA(MATCH(CONCATENATE(VLOOKUP($AC80,$AB$1:$AC$4,2,FALSE),$S80,IF($U80="","00",$U80),$W80,2),$F$11:$F$160,0)),0,SUMIF($F$11:$F$160,CONCATENATE(VLOOKUP($AC80,$AB$1:$AC$4,2,FALSE),$S80,IF($U80="","00",$U80),$W80,2),$AG$11:$AG$160)),"")</f>
        <v/>
      </c>
      <c r="AF80" s="322"/>
      <c r="AG80" s="327"/>
      <c r="AH80" s="57"/>
      <c r="AI80" s="319" t="str">
        <f>IF($AH80="","",IF(ISNA(MATCH($AH80,'納品書明細16-E'!$H$9:$H$206,0)),IF(ISNA(MATCH($AH80,'納品書明細F-15'!$H$9:$H$297,0)),"ERR",SUMIF('納品書明細F-15'!$H$9:$H$297,$AH80,'納品書明細F-15'!$Q$9:$Q$297)),SUMIF('納品書明細16-E'!$H$9:$H$206,$AH80,'納品書明細16-E'!$Q$9:$Q$206)))</f>
        <v/>
      </c>
      <c r="AK80" s="328" t="str">
        <f t="shared" si="30"/>
        <v/>
      </c>
      <c r="AL80" s="269" t="str">
        <f t="shared" si="31"/>
        <v/>
      </c>
      <c r="AM80" s="270" t="str">
        <f t="shared" si="32"/>
        <v/>
      </c>
      <c r="AN80" s="244" t="str">
        <f t="shared" si="33"/>
        <v/>
      </c>
      <c r="AO80" s="244" t="str">
        <f t="shared" si="34"/>
        <v/>
      </c>
      <c r="AP80" s="271" t="str">
        <f t="shared" si="15"/>
        <v/>
      </c>
      <c r="AQ80" s="262"/>
      <c r="AR80" s="263"/>
      <c r="AS80" s="84"/>
      <c r="AT80" s="86"/>
      <c r="AU80" s="87"/>
    </row>
    <row r="81" spans="1:47" ht="15" customHeight="1">
      <c r="A81" s="281" t="str">
        <f t="shared" si="25"/>
        <v/>
      </c>
      <c r="B81" s="282" t="str">
        <f t="shared" si="35"/>
        <v/>
      </c>
      <c r="C81" s="618" t="str">
        <f>IF(AND($S81="",$U81="",$W81="",$AA81="",$AE81="",$AG81="",$AI81=""),"",MAX($C$10:$C80)+1)</f>
        <v/>
      </c>
      <c r="D81" s="619" t="str">
        <f t="shared" si="26"/>
        <v/>
      </c>
      <c r="E81" s="619" t="str">
        <f t="shared" si="27"/>
        <v/>
      </c>
      <c r="F81" s="619" t="str">
        <f t="shared" si="28"/>
        <v/>
      </c>
      <c r="G81" s="619" t="str">
        <f t="shared" si="29"/>
        <v/>
      </c>
      <c r="H81" s="620" t="str">
        <f t="shared" si="36"/>
        <v/>
      </c>
      <c r="I81" s="316" t="s">
        <v>290</v>
      </c>
      <c r="J81" s="254"/>
      <c r="K81" s="50" t="str">
        <f>IF($W81="","",IF($W81=1,IF(VLOOKUP($S81,ﾏｽﾀ!$E$8:$K$124,ﾏｽﾀ!$J$4-ﾏｽﾀ!$D$4,0)="E",DAY($J$4),ABS(VLOOKUP($S81,ﾏｽﾀ!$E$8:$K$124,ﾏｽﾀ!$J$4-ﾏｽﾀ!$D$4,0))),IF(VLOOKUP($S81,ﾏｽﾀ!$E$8:$K$124,ﾏｽﾀ!$K$4-ﾏｽﾀ!$D$4,0)="E",DAY($J$4),ABS(VLOOKUP($S81,ﾏｽﾀ!$E$8:$K$124,ﾏｽﾀ!$K$4-ﾏｽﾀ!$D$4,0)))))</f>
        <v/>
      </c>
      <c r="L81" s="255"/>
      <c r="M81" s="255"/>
      <c r="N81" s="255"/>
      <c r="O81" s="50" t="str">
        <f>IF($S81="","",IF($M81="",IF($J81="","ERR",IF(VLOOKUP($S81,ﾏｽﾀ!$E$8:$K$124,ﾏｽﾀ!$J$4-ﾏｽﾀ!$D$4,0)="E",MONTH($J81),IF(MONTH($J81)-1=0,12,MONTH($J81)-1))),MONTH($M81)))</f>
        <v/>
      </c>
      <c r="P81" s="50" t="str">
        <f>IF($S81="","",IF($M81="",IF($K81="","ERR",IF(VLOOKUP($S81,ﾏｽﾀ!$E$8:$K$124,ﾏｽﾀ!$J$4-ﾏｽﾀ!$D$4,0)="E",1,$K81+1)),DAY($M81)))</f>
        <v/>
      </c>
      <c r="Q81" s="50" t="str">
        <f t="shared" si="37"/>
        <v/>
      </c>
      <c r="R81" s="50" t="str">
        <f t="shared" si="38"/>
        <v/>
      </c>
      <c r="S81" s="601" t="str">
        <f>IF($T81="","",INDEX(ﾏｽﾀ!$E$8:$E$124,MATCH(INDEX(ﾏｽﾀ!$N$8:$N$124,MATCH($T81,ﾏｽﾀ!$O$8:$O$124,0)),ﾏｽﾀ!$B$8:$B$124,0))&amp;"")</f>
        <v/>
      </c>
      <c r="T81" s="535"/>
      <c r="U81" s="601" t="str">
        <f>IF($T81="","",INDEX(ﾏｽﾀ!$G$8:$G$124,MATCH(INDEX(ﾏｽﾀ!$N$8:$N$124,MATCH($T81,ﾏｽﾀ!$O$8:$O$124,0)),ﾏｽﾀ!$B$8:$B$124,0))&amp;"")</f>
        <v/>
      </c>
      <c r="V81" s="257"/>
      <c r="W81" s="602" t="str">
        <f>IF($X81="","",INDEX(ﾏｽﾀ!$T$8:$T$16,MATCH($X81,ﾏｽﾀ!$U$8:$U$16,0))&amp;"")</f>
        <v/>
      </c>
      <c r="X81" s="248"/>
      <c r="Y81" s="260"/>
      <c r="Z81" s="260"/>
      <c r="AA81" s="256"/>
      <c r="AB81" s="492" t="str">
        <f>IF($W81="","",IF($AA81="","ERR",IF($AA81="1",IF($AE81="","ERR",VLOOKUP($AA81,ﾏｽﾀ!$W$8:$X$10,ﾏｽﾀ!$X$4,0)),IF($AA81="2",IF($AG81="","ERR",VLOOKUP($AA81,ﾏｽﾀ!$W$8:$X$10,ﾏｽﾀ!$X$4,0)),IF($AA81="3",IF($AI81="","ERR",VLOOKUP($AA81,ﾏｽﾀ!$W$8:$X$10,ﾏｽﾀ!$X$4,0)),"ERR")))))</f>
        <v/>
      </c>
      <c r="AC81" s="261"/>
      <c r="AD81" s="321" t="str">
        <f>IF($AA81="1",COUNTIF('納品書明細16-E'!$D$9:$D$206,$AN81)+COUNTIF('納品書明細F-15'!$D$9:$D$297,$AN81)-IF(ISNA(MATCH(CONCATENATE(VLOOKUP($AC81,$AB$1:$AC$4,2,FALSE),$S81,IF($U81="","00",$U81),$W81,2),$F$11:$F$160,0)),0,SUMIF($F$11:$F$160,CONCATENATE(VLOOKUP($AC81,$AB$1:$AC$4,2,FALSE),$S81,IF($U81="","00",$U81),$W81,2),$AF$11:$AF$160)),"")</f>
        <v/>
      </c>
      <c r="AE81" s="319" t="str">
        <f>IF($AA81="1",SUMIF('納品書明細16-E'!$C$9:$C$206,$AO81,'納品書明細16-E'!$Q$9:$Q$206)+SUMIF('納品書明細F-15'!$C$9:$C$297,$AO81,'納品書明細F-15'!$Q$9:$Q$297)-IF(ISNA(MATCH(CONCATENATE(VLOOKUP($AC81,$AB$1:$AC$4,2,FALSE),$S81,IF($U81="","00",$U81),$W81,2),$F$11:$F$160,0)),0,SUMIF($F$11:$F$160,CONCATENATE(VLOOKUP($AC81,$AB$1:$AC$4,2,FALSE),$S81,IF($U81="","00",$U81),$W81,2),$AG$11:$AG$160)),"")</f>
        <v/>
      </c>
      <c r="AF81" s="322"/>
      <c r="AG81" s="327"/>
      <c r="AH81" s="57"/>
      <c r="AI81" s="319" t="str">
        <f>IF($AH81="","",IF(ISNA(MATCH($AH81,'納品書明細16-E'!$H$9:$H$206,0)),IF(ISNA(MATCH($AH81,'納品書明細F-15'!$H$9:$H$297,0)),"ERR",SUMIF('納品書明細F-15'!$H$9:$H$297,$AH81,'納品書明細F-15'!$Q$9:$Q$297)),SUMIF('納品書明細16-E'!$H$9:$H$206,$AH81,'納品書明細16-E'!$Q$9:$Q$206)))</f>
        <v/>
      </c>
      <c r="AK81" s="328" t="str">
        <f t="shared" si="30"/>
        <v/>
      </c>
      <c r="AL81" s="269" t="str">
        <f t="shared" si="31"/>
        <v/>
      </c>
      <c r="AM81" s="270" t="str">
        <f t="shared" si="32"/>
        <v/>
      </c>
      <c r="AN81" s="244" t="str">
        <f t="shared" si="33"/>
        <v/>
      </c>
      <c r="AO81" s="244" t="str">
        <f t="shared" si="34"/>
        <v/>
      </c>
      <c r="AP81" s="271" t="str">
        <f t="shared" si="15"/>
        <v/>
      </c>
      <c r="AQ81" s="262"/>
      <c r="AR81" s="263"/>
      <c r="AS81" s="84"/>
      <c r="AT81" s="86"/>
      <c r="AU81" s="87"/>
    </row>
    <row r="82" spans="1:47" ht="15" customHeight="1">
      <c r="A82" s="281" t="str">
        <f t="shared" si="25"/>
        <v/>
      </c>
      <c r="B82" s="282" t="str">
        <f t="shared" si="35"/>
        <v/>
      </c>
      <c r="C82" s="618" t="str">
        <f>IF(AND($S82="",$U82="",$W82="",$AA82="",$AE82="",$AG82="",$AI82=""),"",MAX($C$10:$C81)+1)</f>
        <v/>
      </c>
      <c r="D82" s="619" t="str">
        <f t="shared" si="26"/>
        <v/>
      </c>
      <c r="E82" s="619" t="str">
        <f t="shared" si="27"/>
        <v/>
      </c>
      <c r="F82" s="619" t="str">
        <f t="shared" si="28"/>
        <v/>
      </c>
      <c r="G82" s="619" t="str">
        <f t="shared" si="29"/>
        <v/>
      </c>
      <c r="H82" s="620" t="str">
        <f t="shared" si="36"/>
        <v/>
      </c>
      <c r="I82" s="316" t="s">
        <v>291</v>
      </c>
      <c r="J82" s="254"/>
      <c r="K82" s="50" t="str">
        <f>IF($W82="","",IF($W82=1,IF(VLOOKUP($S82,ﾏｽﾀ!$E$8:$K$124,ﾏｽﾀ!$J$4-ﾏｽﾀ!$D$4,0)="E",DAY($J$4),ABS(VLOOKUP($S82,ﾏｽﾀ!$E$8:$K$124,ﾏｽﾀ!$J$4-ﾏｽﾀ!$D$4,0))),IF(VLOOKUP($S82,ﾏｽﾀ!$E$8:$K$124,ﾏｽﾀ!$K$4-ﾏｽﾀ!$D$4,0)="E",DAY($J$4),ABS(VLOOKUP($S82,ﾏｽﾀ!$E$8:$K$124,ﾏｽﾀ!$K$4-ﾏｽﾀ!$D$4,0)))))</f>
        <v/>
      </c>
      <c r="L82" s="255"/>
      <c r="M82" s="255"/>
      <c r="N82" s="255"/>
      <c r="O82" s="50" t="str">
        <f>IF($S82="","",IF($M82="",IF($J82="","ERR",IF(VLOOKUP($S82,ﾏｽﾀ!$E$8:$K$124,ﾏｽﾀ!$J$4-ﾏｽﾀ!$D$4,0)="E",MONTH($J82),IF(MONTH($J82)-1=0,12,MONTH($J82)-1))),MONTH($M82)))</f>
        <v/>
      </c>
      <c r="P82" s="50" t="str">
        <f>IF($S82="","",IF($M82="",IF($K82="","ERR",IF(VLOOKUP($S82,ﾏｽﾀ!$E$8:$K$124,ﾏｽﾀ!$J$4-ﾏｽﾀ!$D$4,0)="E",1,$K82+1)),DAY($M82)))</f>
        <v/>
      </c>
      <c r="Q82" s="50" t="str">
        <f t="shared" si="37"/>
        <v/>
      </c>
      <c r="R82" s="50" t="str">
        <f t="shared" si="38"/>
        <v/>
      </c>
      <c r="S82" s="601" t="str">
        <f>IF($T82="","",INDEX(ﾏｽﾀ!$E$8:$E$124,MATCH(INDEX(ﾏｽﾀ!$N$8:$N$124,MATCH($T82,ﾏｽﾀ!$O$8:$O$124,0)),ﾏｽﾀ!$B$8:$B$124,0))&amp;"")</f>
        <v/>
      </c>
      <c r="T82" s="535"/>
      <c r="U82" s="601" t="str">
        <f>IF($T82="","",INDEX(ﾏｽﾀ!$G$8:$G$124,MATCH(INDEX(ﾏｽﾀ!$N$8:$N$124,MATCH($T82,ﾏｽﾀ!$O$8:$O$124,0)),ﾏｽﾀ!$B$8:$B$124,0))&amp;"")</f>
        <v/>
      </c>
      <c r="V82" s="257"/>
      <c r="W82" s="602" t="str">
        <f>IF($X82="","",INDEX(ﾏｽﾀ!$T$8:$T$16,MATCH($X82,ﾏｽﾀ!$U$8:$U$16,0))&amp;"")</f>
        <v/>
      </c>
      <c r="X82" s="248"/>
      <c r="Y82" s="260"/>
      <c r="Z82" s="260"/>
      <c r="AA82" s="256"/>
      <c r="AB82" s="492" t="str">
        <f>IF($W82="","",IF($AA82="","ERR",IF($AA82="1",IF($AE82="","ERR",VLOOKUP($AA82,ﾏｽﾀ!$W$8:$X$10,ﾏｽﾀ!$X$4,0)),IF($AA82="2",IF($AG82="","ERR",VLOOKUP($AA82,ﾏｽﾀ!$W$8:$X$10,ﾏｽﾀ!$X$4,0)),IF($AA82="3",IF($AI82="","ERR",VLOOKUP($AA82,ﾏｽﾀ!$W$8:$X$10,ﾏｽﾀ!$X$4,0)),"ERR")))))</f>
        <v/>
      </c>
      <c r="AC82" s="261"/>
      <c r="AD82" s="321" t="str">
        <f>IF($AA82="1",COUNTIF('納品書明細16-E'!$D$9:$D$206,$AN82)+COUNTIF('納品書明細F-15'!$D$9:$D$297,$AN82)-IF(ISNA(MATCH(CONCATENATE(VLOOKUP($AC82,$AB$1:$AC$4,2,FALSE),$S82,IF($U82="","00",$U82),$W82,2),$F$11:$F$160,0)),0,SUMIF($F$11:$F$160,CONCATENATE(VLOOKUP($AC82,$AB$1:$AC$4,2,FALSE),$S82,IF($U82="","00",$U82),$W82,2),$AF$11:$AF$160)),"")</f>
        <v/>
      </c>
      <c r="AE82" s="319" t="str">
        <f>IF($AA82="1",SUMIF('納品書明細16-E'!$C$9:$C$206,$AO82,'納品書明細16-E'!$Q$9:$Q$206)+SUMIF('納品書明細F-15'!$C$9:$C$297,$AO82,'納品書明細F-15'!$Q$9:$Q$297)-IF(ISNA(MATCH(CONCATENATE(VLOOKUP($AC82,$AB$1:$AC$4,2,FALSE),$S82,IF($U82="","00",$U82),$W82,2),$F$11:$F$160,0)),0,SUMIF($F$11:$F$160,CONCATENATE(VLOOKUP($AC82,$AB$1:$AC$4,2,FALSE),$S82,IF($U82="","00",$U82),$W82,2),$AG$11:$AG$160)),"")</f>
        <v/>
      </c>
      <c r="AF82" s="322"/>
      <c r="AG82" s="327"/>
      <c r="AH82" s="57"/>
      <c r="AI82" s="319" t="str">
        <f>IF($AH82="","",IF(ISNA(MATCH($AH82,'納品書明細16-E'!$H$9:$H$206,0)),IF(ISNA(MATCH($AH82,'納品書明細F-15'!$H$9:$H$297,0)),"ERR",SUMIF('納品書明細F-15'!$H$9:$H$297,$AH82,'納品書明細F-15'!$Q$9:$Q$297)),SUMIF('納品書明細16-E'!$H$9:$H$206,$AH82,'納品書明細16-E'!$Q$9:$Q$206)))</f>
        <v/>
      </c>
      <c r="AK82" s="328" t="str">
        <f t="shared" si="30"/>
        <v/>
      </c>
      <c r="AL82" s="269" t="str">
        <f t="shared" si="31"/>
        <v/>
      </c>
      <c r="AM82" s="270" t="str">
        <f t="shared" si="32"/>
        <v/>
      </c>
      <c r="AN82" s="244" t="str">
        <f t="shared" si="33"/>
        <v/>
      </c>
      <c r="AO82" s="244" t="str">
        <f t="shared" si="34"/>
        <v/>
      </c>
      <c r="AP82" s="271" t="str">
        <f t="shared" si="15"/>
        <v/>
      </c>
      <c r="AQ82" s="262"/>
      <c r="AR82" s="263"/>
      <c r="AS82" s="84"/>
      <c r="AT82" s="86"/>
      <c r="AU82" s="87"/>
    </row>
    <row r="83" spans="1:47" ht="15" customHeight="1">
      <c r="A83" s="281" t="str">
        <f t="shared" si="25"/>
        <v/>
      </c>
      <c r="B83" s="282" t="str">
        <f t="shared" si="35"/>
        <v/>
      </c>
      <c r="C83" s="618" t="str">
        <f>IF(AND($S83="",$U83="",$W83="",$AA83="",$AE83="",$AG83="",$AI83=""),"",MAX($C$10:$C82)+1)</f>
        <v/>
      </c>
      <c r="D83" s="619" t="str">
        <f t="shared" si="26"/>
        <v/>
      </c>
      <c r="E83" s="619" t="str">
        <f t="shared" si="27"/>
        <v/>
      </c>
      <c r="F83" s="619" t="str">
        <f t="shared" si="28"/>
        <v/>
      </c>
      <c r="G83" s="619" t="str">
        <f t="shared" si="29"/>
        <v/>
      </c>
      <c r="H83" s="620" t="str">
        <f t="shared" si="36"/>
        <v/>
      </c>
      <c r="I83" s="316" t="s">
        <v>292</v>
      </c>
      <c r="J83" s="254"/>
      <c r="K83" s="50" t="str">
        <f>IF($W83="","",IF($W83=1,IF(VLOOKUP($S83,ﾏｽﾀ!$E$8:$K$124,ﾏｽﾀ!$J$4-ﾏｽﾀ!$D$4,0)="E",DAY($J$4),ABS(VLOOKUP($S83,ﾏｽﾀ!$E$8:$K$124,ﾏｽﾀ!$J$4-ﾏｽﾀ!$D$4,0))),IF(VLOOKUP($S83,ﾏｽﾀ!$E$8:$K$124,ﾏｽﾀ!$K$4-ﾏｽﾀ!$D$4,0)="E",DAY($J$4),ABS(VLOOKUP($S83,ﾏｽﾀ!$E$8:$K$124,ﾏｽﾀ!$K$4-ﾏｽﾀ!$D$4,0)))))</f>
        <v/>
      </c>
      <c r="L83" s="255"/>
      <c r="M83" s="255"/>
      <c r="N83" s="255"/>
      <c r="O83" s="50" t="str">
        <f>IF($S83="","",IF($M83="",IF($J83="","ERR",IF(VLOOKUP($S83,ﾏｽﾀ!$E$8:$K$124,ﾏｽﾀ!$J$4-ﾏｽﾀ!$D$4,0)="E",MONTH($J83),IF(MONTH($J83)-1=0,12,MONTH($J83)-1))),MONTH($M83)))</f>
        <v/>
      </c>
      <c r="P83" s="50" t="str">
        <f>IF($S83="","",IF($M83="",IF($K83="","ERR",IF(VLOOKUP($S83,ﾏｽﾀ!$E$8:$K$124,ﾏｽﾀ!$J$4-ﾏｽﾀ!$D$4,0)="E",1,$K83+1)),DAY($M83)))</f>
        <v/>
      </c>
      <c r="Q83" s="50" t="str">
        <f t="shared" si="37"/>
        <v/>
      </c>
      <c r="R83" s="50" t="str">
        <f t="shared" si="38"/>
        <v/>
      </c>
      <c r="S83" s="601" t="str">
        <f>IF($T83="","",INDEX(ﾏｽﾀ!$E$8:$E$124,MATCH(INDEX(ﾏｽﾀ!$N$8:$N$124,MATCH($T83,ﾏｽﾀ!$O$8:$O$124,0)),ﾏｽﾀ!$B$8:$B$124,0))&amp;"")</f>
        <v/>
      </c>
      <c r="T83" s="535"/>
      <c r="U83" s="601" t="str">
        <f>IF($T83="","",INDEX(ﾏｽﾀ!$G$8:$G$124,MATCH(INDEX(ﾏｽﾀ!$N$8:$N$124,MATCH($T83,ﾏｽﾀ!$O$8:$O$124,0)),ﾏｽﾀ!$B$8:$B$124,0))&amp;"")</f>
        <v/>
      </c>
      <c r="V83" s="257"/>
      <c r="W83" s="602" t="str">
        <f>IF($X83="","",INDEX(ﾏｽﾀ!$T$8:$T$16,MATCH($X83,ﾏｽﾀ!$U$8:$U$16,0))&amp;"")</f>
        <v/>
      </c>
      <c r="X83" s="248"/>
      <c r="Y83" s="260"/>
      <c r="Z83" s="260"/>
      <c r="AA83" s="256"/>
      <c r="AB83" s="492" t="str">
        <f>IF($W83="","",IF($AA83="","ERR",IF($AA83="1",IF($AE83="","ERR",VLOOKUP($AA83,ﾏｽﾀ!$W$8:$X$10,ﾏｽﾀ!$X$4,0)),IF($AA83="2",IF($AG83="","ERR",VLOOKUP($AA83,ﾏｽﾀ!$W$8:$X$10,ﾏｽﾀ!$X$4,0)),IF($AA83="3",IF($AI83="","ERR",VLOOKUP($AA83,ﾏｽﾀ!$W$8:$X$10,ﾏｽﾀ!$X$4,0)),"ERR")))))</f>
        <v/>
      </c>
      <c r="AC83" s="261"/>
      <c r="AD83" s="321" t="str">
        <f>IF($AA83="1",COUNTIF('納品書明細16-E'!$D$9:$D$206,$AN83)+COUNTIF('納品書明細F-15'!$D$9:$D$297,$AN83)-IF(ISNA(MATCH(CONCATENATE(VLOOKUP($AC83,$AB$1:$AC$4,2,FALSE),$S83,IF($U83="","00",$U83),$W83,2),$F$11:$F$160,0)),0,SUMIF($F$11:$F$160,CONCATENATE(VLOOKUP($AC83,$AB$1:$AC$4,2,FALSE),$S83,IF($U83="","00",$U83),$W83,2),$AF$11:$AF$160)),"")</f>
        <v/>
      </c>
      <c r="AE83" s="319" t="str">
        <f>IF($AA83="1",SUMIF('納品書明細16-E'!$C$9:$C$206,$AO83,'納品書明細16-E'!$Q$9:$Q$206)+SUMIF('納品書明細F-15'!$C$9:$C$297,$AO83,'納品書明細F-15'!$Q$9:$Q$297)-IF(ISNA(MATCH(CONCATENATE(VLOOKUP($AC83,$AB$1:$AC$4,2,FALSE),$S83,IF($U83="","00",$U83),$W83,2),$F$11:$F$160,0)),0,SUMIF($F$11:$F$160,CONCATENATE(VLOOKUP($AC83,$AB$1:$AC$4,2,FALSE),$S83,IF($U83="","00",$U83),$W83,2),$AG$11:$AG$160)),"")</f>
        <v/>
      </c>
      <c r="AF83" s="322"/>
      <c r="AG83" s="327"/>
      <c r="AH83" s="57"/>
      <c r="AI83" s="319" t="str">
        <f>IF($AH83="","",IF(ISNA(MATCH($AH83,'納品書明細16-E'!$H$9:$H$206,0)),IF(ISNA(MATCH($AH83,'納品書明細F-15'!$H$9:$H$297,0)),"ERR",SUMIF('納品書明細F-15'!$H$9:$H$297,$AH83,'納品書明細F-15'!$Q$9:$Q$297)),SUMIF('納品書明細16-E'!$H$9:$H$206,$AH83,'納品書明細16-E'!$Q$9:$Q$206)))</f>
        <v/>
      </c>
      <c r="AK83" s="328" t="str">
        <f t="shared" si="30"/>
        <v/>
      </c>
      <c r="AL83" s="269" t="str">
        <f t="shared" si="31"/>
        <v/>
      </c>
      <c r="AM83" s="270" t="str">
        <f t="shared" si="32"/>
        <v/>
      </c>
      <c r="AN83" s="244" t="str">
        <f t="shared" si="33"/>
        <v/>
      </c>
      <c r="AO83" s="244" t="str">
        <f t="shared" si="34"/>
        <v/>
      </c>
      <c r="AP83" s="271" t="str">
        <f t="shared" si="15"/>
        <v/>
      </c>
      <c r="AQ83" s="262"/>
      <c r="AR83" s="263"/>
      <c r="AS83" s="84"/>
      <c r="AT83" s="86"/>
      <c r="AU83" s="87"/>
    </row>
    <row r="84" spans="1:47" ht="15" customHeight="1">
      <c r="A84" s="281" t="str">
        <f t="shared" si="25"/>
        <v/>
      </c>
      <c r="B84" s="282" t="str">
        <f t="shared" si="35"/>
        <v/>
      </c>
      <c r="C84" s="618" t="str">
        <f>IF(AND($S84="",$U84="",$W84="",$AA84="",$AE84="",$AG84="",$AI84=""),"",MAX($C$10:$C83)+1)</f>
        <v/>
      </c>
      <c r="D84" s="619" t="str">
        <f t="shared" si="26"/>
        <v/>
      </c>
      <c r="E84" s="619" t="str">
        <f t="shared" si="27"/>
        <v/>
      </c>
      <c r="F84" s="619" t="str">
        <f t="shared" si="28"/>
        <v/>
      </c>
      <c r="G84" s="619" t="str">
        <f t="shared" si="29"/>
        <v/>
      </c>
      <c r="H84" s="620" t="str">
        <f t="shared" si="36"/>
        <v/>
      </c>
      <c r="I84" s="316" t="s">
        <v>293</v>
      </c>
      <c r="J84" s="254"/>
      <c r="K84" s="50" t="str">
        <f>IF($W84="","",IF($W84=1,IF(VLOOKUP($S84,ﾏｽﾀ!$E$8:$K$124,ﾏｽﾀ!$J$4-ﾏｽﾀ!$D$4,0)="E",DAY($J$4),ABS(VLOOKUP($S84,ﾏｽﾀ!$E$8:$K$124,ﾏｽﾀ!$J$4-ﾏｽﾀ!$D$4,0))),IF(VLOOKUP($S84,ﾏｽﾀ!$E$8:$K$124,ﾏｽﾀ!$K$4-ﾏｽﾀ!$D$4,0)="E",DAY($J$4),ABS(VLOOKUP($S84,ﾏｽﾀ!$E$8:$K$124,ﾏｽﾀ!$K$4-ﾏｽﾀ!$D$4,0)))))</f>
        <v/>
      </c>
      <c r="L84" s="255"/>
      <c r="M84" s="255"/>
      <c r="N84" s="255"/>
      <c r="O84" s="50" t="str">
        <f>IF($S84="","",IF($M84="",IF($J84="","ERR",IF(VLOOKUP($S84,ﾏｽﾀ!$E$8:$K$124,ﾏｽﾀ!$J$4-ﾏｽﾀ!$D$4,0)="E",MONTH($J84),IF(MONTH($J84)-1=0,12,MONTH($J84)-1))),MONTH($M84)))</f>
        <v/>
      </c>
      <c r="P84" s="50" t="str">
        <f>IF($S84="","",IF($M84="",IF($K84="","ERR",IF(VLOOKUP($S84,ﾏｽﾀ!$E$8:$K$124,ﾏｽﾀ!$J$4-ﾏｽﾀ!$D$4,0)="E",1,$K84+1)),DAY($M84)))</f>
        <v/>
      </c>
      <c r="Q84" s="50" t="str">
        <f t="shared" si="37"/>
        <v/>
      </c>
      <c r="R84" s="50" t="str">
        <f t="shared" si="38"/>
        <v/>
      </c>
      <c r="S84" s="601" t="str">
        <f>IF($T84="","",INDEX(ﾏｽﾀ!$E$8:$E$124,MATCH(INDEX(ﾏｽﾀ!$N$8:$N$124,MATCH($T84,ﾏｽﾀ!$O$8:$O$124,0)),ﾏｽﾀ!$B$8:$B$124,0))&amp;"")</f>
        <v/>
      </c>
      <c r="T84" s="535"/>
      <c r="U84" s="601" t="str">
        <f>IF($T84="","",INDEX(ﾏｽﾀ!$G$8:$G$124,MATCH(INDEX(ﾏｽﾀ!$N$8:$N$124,MATCH($T84,ﾏｽﾀ!$O$8:$O$124,0)),ﾏｽﾀ!$B$8:$B$124,0))&amp;"")</f>
        <v/>
      </c>
      <c r="V84" s="257"/>
      <c r="W84" s="602" t="str">
        <f>IF($X84="","",INDEX(ﾏｽﾀ!$T$8:$T$16,MATCH($X84,ﾏｽﾀ!$U$8:$U$16,0))&amp;"")</f>
        <v/>
      </c>
      <c r="X84" s="248"/>
      <c r="Y84" s="260"/>
      <c r="Z84" s="260"/>
      <c r="AA84" s="256"/>
      <c r="AB84" s="492" t="str">
        <f>IF($W84="","",IF($AA84="","ERR",IF($AA84="1",IF($AE84="","ERR",VLOOKUP($AA84,ﾏｽﾀ!$W$8:$X$10,ﾏｽﾀ!$X$4,0)),IF($AA84="2",IF($AG84="","ERR",VLOOKUP($AA84,ﾏｽﾀ!$W$8:$X$10,ﾏｽﾀ!$X$4,0)),IF($AA84="3",IF($AI84="","ERR",VLOOKUP($AA84,ﾏｽﾀ!$W$8:$X$10,ﾏｽﾀ!$X$4,0)),"ERR")))))</f>
        <v/>
      </c>
      <c r="AC84" s="261"/>
      <c r="AD84" s="321" t="str">
        <f>IF($AA84="1",COUNTIF('納品書明細16-E'!$D$9:$D$206,$AN84)+COUNTIF('納品書明細F-15'!$D$9:$D$297,$AN84)-IF(ISNA(MATCH(CONCATENATE(VLOOKUP($AC84,$AB$1:$AC$4,2,FALSE),$S84,IF($U84="","00",$U84),$W84,2),$F$11:$F$160,0)),0,SUMIF($F$11:$F$160,CONCATENATE(VLOOKUP($AC84,$AB$1:$AC$4,2,FALSE),$S84,IF($U84="","00",$U84),$W84,2),$AF$11:$AF$160)),"")</f>
        <v/>
      </c>
      <c r="AE84" s="319" t="str">
        <f>IF($AA84="1",SUMIF('納品書明細16-E'!$C$9:$C$206,$AO84,'納品書明細16-E'!$Q$9:$Q$206)+SUMIF('納品書明細F-15'!$C$9:$C$297,$AO84,'納品書明細F-15'!$Q$9:$Q$297)-IF(ISNA(MATCH(CONCATENATE(VLOOKUP($AC84,$AB$1:$AC$4,2,FALSE),$S84,IF($U84="","00",$U84),$W84,2),$F$11:$F$160,0)),0,SUMIF($F$11:$F$160,CONCATENATE(VLOOKUP($AC84,$AB$1:$AC$4,2,FALSE),$S84,IF($U84="","00",$U84),$W84,2),$AG$11:$AG$160)),"")</f>
        <v/>
      </c>
      <c r="AF84" s="322"/>
      <c r="AG84" s="327"/>
      <c r="AH84" s="57"/>
      <c r="AI84" s="319" t="str">
        <f>IF($AH84="","",IF(ISNA(MATCH($AH84,'納品書明細16-E'!$H$9:$H$206,0)),IF(ISNA(MATCH($AH84,'納品書明細F-15'!$H$9:$H$297,0)),"ERR",SUMIF('納品書明細F-15'!$H$9:$H$297,$AH84,'納品書明細F-15'!$Q$9:$Q$297)),SUMIF('納品書明細16-E'!$H$9:$H$206,$AH84,'納品書明細16-E'!$Q$9:$Q$206)))</f>
        <v/>
      </c>
      <c r="AK84" s="328" t="str">
        <f t="shared" si="30"/>
        <v/>
      </c>
      <c r="AL84" s="269" t="str">
        <f t="shared" si="31"/>
        <v/>
      </c>
      <c r="AM84" s="270" t="str">
        <f t="shared" si="32"/>
        <v/>
      </c>
      <c r="AN84" s="244" t="str">
        <f t="shared" si="33"/>
        <v/>
      </c>
      <c r="AO84" s="244" t="str">
        <f t="shared" si="34"/>
        <v/>
      </c>
      <c r="AP84" s="271" t="str">
        <f t="shared" si="15"/>
        <v/>
      </c>
      <c r="AQ84" s="262"/>
      <c r="AR84" s="263"/>
      <c r="AS84" s="84"/>
      <c r="AT84" s="86"/>
      <c r="AU84" s="87"/>
    </row>
    <row r="85" spans="1:47" ht="15" customHeight="1">
      <c r="A85" s="281" t="str">
        <f t="shared" si="25"/>
        <v/>
      </c>
      <c r="B85" s="282" t="str">
        <f t="shared" si="35"/>
        <v/>
      </c>
      <c r="C85" s="618" t="str">
        <f>IF(AND($S85="",$U85="",$W85="",$AA85="",$AE85="",$AG85="",$AI85=""),"",MAX($C$10:$C84)+1)</f>
        <v/>
      </c>
      <c r="D85" s="619" t="str">
        <f t="shared" si="26"/>
        <v/>
      </c>
      <c r="E85" s="619" t="str">
        <f t="shared" si="27"/>
        <v/>
      </c>
      <c r="F85" s="619" t="str">
        <f t="shared" si="28"/>
        <v/>
      </c>
      <c r="G85" s="619" t="str">
        <f t="shared" si="29"/>
        <v/>
      </c>
      <c r="H85" s="620" t="str">
        <f t="shared" si="36"/>
        <v/>
      </c>
      <c r="I85" s="316" t="s">
        <v>294</v>
      </c>
      <c r="J85" s="254"/>
      <c r="K85" s="50" t="str">
        <f>IF($W85="","",IF($W85=1,IF(VLOOKUP($S85,ﾏｽﾀ!$E$8:$K$124,ﾏｽﾀ!$J$4-ﾏｽﾀ!$D$4,0)="E",DAY($J$4),ABS(VLOOKUP($S85,ﾏｽﾀ!$E$8:$K$124,ﾏｽﾀ!$J$4-ﾏｽﾀ!$D$4,0))),IF(VLOOKUP($S85,ﾏｽﾀ!$E$8:$K$124,ﾏｽﾀ!$K$4-ﾏｽﾀ!$D$4,0)="E",DAY($J$4),ABS(VLOOKUP($S85,ﾏｽﾀ!$E$8:$K$124,ﾏｽﾀ!$K$4-ﾏｽﾀ!$D$4,0)))))</f>
        <v/>
      </c>
      <c r="L85" s="255"/>
      <c r="M85" s="255"/>
      <c r="N85" s="255"/>
      <c r="O85" s="50" t="str">
        <f>IF($S85="","",IF($M85="",IF($J85="","ERR",IF(VLOOKUP($S85,ﾏｽﾀ!$E$8:$K$124,ﾏｽﾀ!$J$4-ﾏｽﾀ!$D$4,0)="E",MONTH($J85),IF(MONTH($J85)-1=0,12,MONTH($J85)-1))),MONTH($M85)))</f>
        <v/>
      </c>
      <c r="P85" s="50" t="str">
        <f>IF($S85="","",IF($M85="",IF($K85="","ERR",IF(VLOOKUP($S85,ﾏｽﾀ!$E$8:$K$124,ﾏｽﾀ!$J$4-ﾏｽﾀ!$D$4,0)="E",1,$K85+1)),DAY($M85)))</f>
        <v/>
      </c>
      <c r="Q85" s="50" t="str">
        <f t="shared" si="37"/>
        <v/>
      </c>
      <c r="R85" s="50" t="str">
        <f t="shared" si="38"/>
        <v/>
      </c>
      <c r="S85" s="601" t="str">
        <f>IF($T85="","",INDEX(ﾏｽﾀ!$E$8:$E$124,MATCH(INDEX(ﾏｽﾀ!$N$8:$N$124,MATCH($T85,ﾏｽﾀ!$O$8:$O$124,0)),ﾏｽﾀ!$B$8:$B$124,0))&amp;"")</f>
        <v/>
      </c>
      <c r="T85" s="535"/>
      <c r="U85" s="601" t="str">
        <f>IF($T85="","",INDEX(ﾏｽﾀ!$G$8:$G$124,MATCH(INDEX(ﾏｽﾀ!$N$8:$N$124,MATCH($T85,ﾏｽﾀ!$O$8:$O$124,0)),ﾏｽﾀ!$B$8:$B$124,0))&amp;"")</f>
        <v/>
      </c>
      <c r="V85" s="257"/>
      <c r="W85" s="602" t="str">
        <f>IF($X85="","",INDEX(ﾏｽﾀ!$T$8:$T$16,MATCH($X85,ﾏｽﾀ!$U$8:$U$16,0))&amp;"")</f>
        <v/>
      </c>
      <c r="X85" s="248"/>
      <c r="Y85" s="260"/>
      <c r="Z85" s="260"/>
      <c r="AA85" s="256"/>
      <c r="AB85" s="492" t="str">
        <f>IF($W85="","",IF($AA85="","ERR",IF($AA85="1",IF($AE85="","ERR",VLOOKUP($AA85,ﾏｽﾀ!$W$8:$X$10,ﾏｽﾀ!$X$4,0)),IF($AA85="2",IF($AG85="","ERR",VLOOKUP($AA85,ﾏｽﾀ!$W$8:$X$10,ﾏｽﾀ!$X$4,0)),IF($AA85="3",IF($AI85="","ERR",VLOOKUP($AA85,ﾏｽﾀ!$W$8:$X$10,ﾏｽﾀ!$X$4,0)),"ERR")))))</f>
        <v/>
      </c>
      <c r="AC85" s="261"/>
      <c r="AD85" s="321" t="str">
        <f>IF($AA85="1",COUNTIF('納品書明細16-E'!$D$9:$D$206,$AN85)+COUNTIF('納品書明細F-15'!$D$9:$D$297,$AN85)-IF(ISNA(MATCH(CONCATENATE(VLOOKUP($AC85,$AB$1:$AC$4,2,FALSE),$S85,IF($U85="","00",$U85),$W85,2),$F$11:$F$160,0)),0,SUMIF($F$11:$F$160,CONCATENATE(VLOOKUP($AC85,$AB$1:$AC$4,2,FALSE),$S85,IF($U85="","00",$U85),$W85,2),$AF$11:$AF$160)),"")</f>
        <v/>
      </c>
      <c r="AE85" s="319" t="str">
        <f>IF($AA85="1",SUMIF('納品書明細16-E'!$C$9:$C$206,$AO85,'納品書明細16-E'!$Q$9:$Q$206)+SUMIF('納品書明細F-15'!$C$9:$C$297,$AO85,'納品書明細F-15'!$Q$9:$Q$297)-IF(ISNA(MATCH(CONCATENATE(VLOOKUP($AC85,$AB$1:$AC$4,2,FALSE),$S85,IF($U85="","00",$U85),$W85,2),$F$11:$F$160,0)),0,SUMIF($F$11:$F$160,CONCATENATE(VLOOKUP($AC85,$AB$1:$AC$4,2,FALSE),$S85,IF($U85="","00",$U85),$W85,2),$AG$11:$AG$160)),"")</f>
        <v/>
      </c>
      <c r="AF85" s="322"/>
      <c r="AG85" s="327"/>
      <c r="AH85" s="57"/>
      <c r="AI85" s="319" t="str">
        <f>IF($AH85="","",IF(ISNA(MATCH($AH85,'納品書明細16-E'!$H$9:$H$206,0)),IF(ISNA(MATCH($AH85,'納品書明細F-15'!$H$9:$H$297,0)),"ERR",SUMIF('納品書明細F-15'!$H$9:$H$297,$AH85,'納品書明細F-15'!$Q$9:$Q$297)),SUMIF('納品書明細16-E'!$H$9:$H$206,$AH85,'納品書明細16-E'!$Q$9:$Q$206)))</f>
        <v/>
      </c>
      <c r="AK85" s="328" t="str">
        <f t="shared" si="30"/>
        <v/>
      </c>
      <c r="AL85" s="269" t="str">
        <f t="shared" si="31"/>
        <v/>
      </c>
      <c r="AM85" s="270" t="str">
        <f t="shared" si="32"/>
        <v/>
      </c>
      <c r="AN85" s="244" t="str">
        <f t="shared" si="33"/>
        <v/>
      </c>
      <c r="AO85" s="244" t="str">
        <f t="shared" si="34"/>
        <v/>
      </c>
      <c r="AP85" s="271" t="str">
        <f t="shared" si="15"/>
        <v/>
      </c>
      <c r="AQ85" s="262"/>
      <c r="AR85" s="263"/>
      <c r="AS85" s="84"/>
      <c r="AT85" s="86"/>
      <c r="AU85" s="87"/>
    </row>
    <row r="86" spans="1:47" ht="15" customHeight="1">
      <c r="A86" s="281" t="str">
        <f t="shared" si="25"/>
        <v/>
      </c>
      <c r="B86" s="282" t="str">
        <f t="shared" si="35"/>
        <v/>
      </c>
      <c r="C86" s="618" t="str">
        <f>IF(AND($S86="",$U86="",$W86="",$AA86="",$AE86="",$AG86="",$AI86=""),"",MAX($C$10:$C85)+1)</f>
        <v/>
      </c>
      <c r="D86" s="619" t="str">
        <f t="shared" si="26"/>
        <v/>
      </c>
      <c r="E86" s="619" t="str">
        <f t="shared" si="27"/>
        <v/>
      </c>
      <c r="F86" s="619" t="str">
        <f t="shared" si="28"/>
        <v/>
      </c>
      <c r="G86" s="619" t="str">
        <f t="shared" si="29"/>
        <v/>
      </c>
      <c r="H86" s="620" t="str">
        <f t="shared" si="36"/>
        <v/>
      </c>
      <c r="I86" s="316" t="s">
        <v>295</v>
      </c>
      <c r="J86" s="254"/>
      <c r="K86" s="50" t="str">
        <f>IF($W86="","",IF($W86=1,IF(VLOOKUP($S86,ﾏｽﾀ!$E$8:$K$124,ﾏｽﾀ!$J$4-ﾏｽﾀ!$D$4,0)="E",DAY($J$4),ABS(VLOOKUP($S86,ﾏｽﾀ!$E$8:$K$124,ﾏｽﾀ!$J$4-ﾏｽﾀ!$D$4,0))),IF(VLOOKUP($S86,ﾏｽﾀ!$E$8:$K$124,ﾏｽﾀ!$K$4-ﾏｽﾀ!$D$4,0)="E",DAY($J$4),ABS(VLOOKUP($S86,ﾏｽﾀ!$E$8:$K$124,ﾏｽﾀ!$K$4-ﾏｽﾀ!$D$4,0)))))</f>
        <v/>
      </c>
      <c r="L86" s="255"/>
      <c r="M86" s="255"/>
      <c r="N86" s="255"/>
      <c r="O86" s="50" t="str">
        <f>IF($S86="","",IF($M86="",IF($J86="","ERR",IF(VLOOKUP($S86,ﾏｽﾀ!$E$8:$K$124,ﾏｽﾀ!$J$4-ﾏｽﾀ!$D$4,0)="E",MONTH($J86),IF(MONTH($J86)-1=0,12,MONTH($J86)-1))),MONTH($M86)))</f>
        <v/>
      </c>
      <c r="P86" s="50" t="str">
        <f>IF($S86="","",IF($M86="",IF($K86="","ERR",IF(VLOOKUP($S86,ﾏｽﾀ!$E$8:$K$124,ﾏｽﾀ!$J$4-ﾏｽﾀ!$D$4,0)="E",1,$K86+1)),DAY($M86)))</f>
        <v/>
      </c>
      <c r="Q86" s="50" t="str">
        <f t="shared" si="37"/>
        <v/>
      </c>
      <c r="R86" s="50" t="str">
        <f t="shared" si="38"/>
        <v/>
      </c>
      <c r="S86" s="601" t="str">
        <f>IF($T86="","",INDEX(ﾏｽﾀ!$E$8:$E$124,MATCH(INDEX(ﾏｽﾀ!$N$8:$N$124,MATCH($T86,ﾏｽﾀ!$O$8:$O$124,0)),ﾏｽﾀ!$B$8:$B$124,0))&amp;"")</f>
        <v/>
      </c>
      <c r="T86" s="535"/>
      <c r="U86" s="601" t="str">
        <f>IF($T86="","",INDEX(ﾏｽﾀ!$G$8:$G$124,MATCH(INDEX(ﾏｽﾀ!$N$8:$N$124,MATCH($T86,ﾏｽﾀ!$O$8:$O$124,0)),ﾏｽﾀ!$B$8:$B$124,0))&amp;"")</f>
        <v/>
      </c>
      <c r="V86" s="257"/>
      <c r="W86" s="602" t="str">
        <f>IF($X86="","",INDEX(ﾏｽﾀ!$T$8:$T$16,MATCH($X86,ﾏｽﾀ!$U$8:$U$16,0))&amp;"")</f>
        <v/>
      </c>
      <c r="X86" s="248"/>
      <c r="Y86" s="260"/>
      <c r="Z86" s="260"/>
      <c r="AA86" s="256"/>
      <c r="AB86" s="492" t="str">
        <f>IF($W86="","",IF($AA86="","ERR",IF($AA86="1",IF($AE86="","ERR",VLOOKUP($AA86,ﾏｽﾀ!$W$8:$X$10,ﾏｽﾀ!$X$4,0)),IF($AA86="2",IF($AG86="","ERR",VLOOKUP($AA86,ﾏｽﾀ!$W$8:$X$10,ﾏｽﾀ!$X$4,0)),IF($AA86="3",IF($AI86="","ERR",VLOOKUP($AA86,ﾏｽﾀ!$W$8:$X$10,ﾏｽﾀ!$X$4,0)),"ERR")))))</f>
        <v/>
      </c>
      <c r="AC86" s="261"/>
      <c r="AD86" s="321" t="str">
        <f>IF($AA86="1",COUNTIF('納品書明細16-E'!$D$9:$D$206,$AN86)+COUNTIF('納品書明細F-15'!$D$9:$D$297,$AN86)-IF(ISNA(MATCH(CONCATENATE(VLOOKUP($AC86,$AB$1:$AC$4,2,FALSE),$S86,IF($U86="","00",$U86),$W86,2),$F$11:$F$160,0)),0,SUMIF($F$11:$F$160,CONCATENATE(VLOOKUP($AC86,$AB$1:$AC$4,2,FALSE),$S86,IF($U86="","00",$U86),$W86,2),$AF$11:$AF$160)),"")</f>
        <v/>
      </c>
      <c r="AE86" s="319" t="str">
        <f>IF($AA86="1",SUMIF('納品書明細16-E'!$C$9:$C$206,$AO86,'納品書明細16-E'!$Q$9:$Q$206)+SUMIF('納品書明細F-15'!$C$9:$C$297,$AO86,'納品書明細F-15'!$Q$9:$Q$297)-IF(ISNA(MATCH(CONCATENATE(VLOOKUP($AC86,$AB$1:$AC$4,2,FALSE),$S86,IF($U86="","00",$U86),$W86,2),$F$11:$F$160,0)),0,SUMIF($F$11:$F$160,CONCATENATE(VLOOKUP($AC86,$AB$1:$AC$4,2,FALSE),$S86,IF($U86="","00",$U86),$W86,2),$AG$11:$AG$160)),"")</f>
        <v/>
      </c>
      <c r="AF86" s="322"/>
      <c r="AG86" s="327"/>
      <c r="AH86" s="57"/>
      <c r="AI86" s="319" t="str">
        <f>IF($AH86="","",IF(ISNA(MATCH($AH86,'納品書明細16-E'!$H$9:$H$206,0)),IF(ISNA(MATCH($AH86,'納品書明細F-15'!$H$9:$H$297,0)),"ERR",SUMIF('納品書明細F-15'!$H$9:$H$297,$AH86,'納品書明細F-15'!$Q$9:$Q$297)),SUMIF('納品書明細16-E'!$H$9:$H$206,$AH86,'納品書明細16-E'!$Q$9:$Q$206)))</f>
        <v/>
      </c>
      <c r="AK86" s="328" t="str">
        <f t="shared" si="30"/>
        <v/>
      </c>
      <c r="AL86" s="269" t="str">
        <f t="shared" si="31"/>
        <v/>
      </c>
      <c r="AM86" s="270" t="str">
        <f t="shared" si="32"/>
        <v/>
      </c>
      <c r="AN86" s="244" t="str">
        <f t="shared" si="33"/>
        <v/>
      </c>
      <c r="AO86" s="244" t="str">
        <f t="shared" si="34"/>
        <v/>
      </c>
      <c r="AP86" s="271" t="str">
        <f t="shared" si="15"/>
        <v/>
      </c>
      <c r="AQ86" s="262"/>
      <c r="AR86" s="263"/>
      <c r="AS86" s="84"/>
      <c r="AT86" s="86"/>
      <c r="AU86" s="87"/>
    </row>
    <row r="87" spans="1:47" ht="15" customHeight="1">
      <c r="A87" s="281" t="str">
        <f t="shared" si="25"/>
        <v/>
      </c>
      <c r="B87" s="282" t="str">
        <f t="shared" si="35"/>
        <v/>
      </c>
      <c r="C87" s="618" t="str">
        <f>IF(AND($S87="",$U87="",$W87="",$AA87="",$AE87="",$AG87="",$AI87=""),"",MAX($C$10:$C86)+1)</f>
        <v/>
      </c>
      <c r="D87" s="619" t="str">
        <f t="shared" si="26"/>
        <v/>
      </c>
      <c r="E87" s="619" t="str">
        <f t="shared" si="27"/>
        <v/>
      </c>
      <c r="F87" s="619" t="str">
        <f t="shared" si="28"/>
        <v/>
      </c>
      <c r="G87" s="619" t="str">
        <f t="shared" si="29"/>
        <v/>
      </c>
      <c r="H87" s="620" t="str">
        <f t="shared" si="36"/>
        <v/>
      </c>
      <c r="I87" s="316" t="s">
        <v>296</v>
      </c>
      <c r="J87" s="254"/>
      <c r="K87" s="50" t="str">
        <f>IF($W87="","",IF($W87=1,IF(VLOOKUP($S87,ﾏｽﾀ!$E$8:$K$124,ﾏｽﾀ!$J$4-ﾏｽﾀ!$D$4,0)="E",DAY($J$4),ABS(VLOOKUP($S87,ﾏｽﾀ!$E$8:$K$124,ﾏｽﾀ!$J$4-ﾏｽﾀ!$D$4,0))),IF(VLOOKUP($S87,ﾏｽﾀ!$E$8:$K$124,ﾏｽﾀ!$K$4-ﾏｽﾀ!$D$4,0)="E",DAY($J$4),ABS(VLOOKUP($S87,ﾏｽﾀ!$E$8:$K$124,ﾏｽﾀ!$K$4-ﾏｽﾀ!$D$4,0)))))</f>
        <v/>
      </c>
      <c r="L87" s="255"/>
      <c r="M87" s="255"/>
      <c r="N87" s="255"/>
      <c r="O87" s="50" t="str">
        <f>IF($S87="","",IF($M87="",IF($J87="","ERR",IF(VLOOKUP($S87,ﾏｽﾀ!$E$8:$K$124,ﾏｽﾀ!$J$4-ﾏｽﾀ!$D$4,0)="E",MONTH($J87),IF(MONTH($J87)-1=0,12,MONTH($J87)-1))),MONTH($M87)))</f>
        <v/>
      </c>
      <c r="P87" s="50" t="str">
        <f>IF($S87="","",IF($M87="",IF($K87="","ERR",IF(VLOOKUP($S87,ﾏｽﾀ!$E$8:$K$124,ﾏｽﾀ!$J$4-ﾏｽﾀ!$D$4,0)="E",1,$K87+1)),DAY($M87)))</f>
        <v/>
      </c>
      <c r="Q87" s="50" t="str">
        <f t="shared" si="37"/>
        <v/>
      </c>
      <c r="R87" s="50" t="str">
        <f t="shared" si="38"/>
        <v/>
      </c>
      <c r="S87" s="601" t="str">
        <f>IF($T87="","",INDEX(ﾏｽﾀ!$E$8:$E$124,MATCH(INDEX(ﾏｽﾀ!$N$8:$N$124,MATCH($T87,ﾏｽﾀ!$O$8:$O$124,0)),ﾏｽﾀ!$B$8:$B$124,0))&amp;"")</f>
        <v/>
      </c>
      <c r="T87" s="535"/>
      <c r="U87" s="601" t="str">
        <f>IF($T87="","",INDEX(ﾏｽﾀ!$G$8:$G$124,MATCH(INDEX(ﾏｽﾀ!$N$8:$N$124,MATCH($T87,ﾏｽﾀ!$O$8:$O$124,0)),ﾏｽﾀ!$B$8:$B$124,0))&amp;"")</f>
        <v/>
      </c>
      <c r="V87" s="257"/>
      <c r="W87" s="602" t="str">
        <f>IF($X87="","",INDEX(ﾏｽﾀ!$T$8:$T$16,MATCH($X87,ﾏｽﾀ!$U$8:$U$16,0))&amp;"")</f>
        <v/>
      </c>
      <c r="X87" s="248"/>
      <c r="Y87" s="260"/>
      <c r="Z87" s="260"/>
      <c r="AA87" s="256"/>
      <c r="AB87" s="492" t="str">
        <f>IF($W87="","",IF($AA87="","ERR",IF($AA87="1",IF($AE87="","ERR",VLOOKUP($AA87,ﾏｽﾀ!$W$8:$X$10,ﾏｽﾀ!$X$4,0)),IF($AA87="2",IF($AG87="","ERR",VLOOKUP($AA87,ﾏｽﾀ!$W$8:$X$10,ﾏｽﾀ!$X$4,0)),IF($AA87="3",IF($AI87="","ERR",VLOOKUP($AA87,ﾏｽﾀ!$W$8:$X$10,ﾏｽﾀ!$X$4,0)),"ERR")))))</f>
        <v/>
      </c>
      <c r="AC87" s="261"/>
      <c r="AD87" s="321" t="str">
        <f>IF($AA87="1",COUNTIF('納品書明細16-E'!$D$9:$D$206,$AN87)+COUNTIF('納品書明細F-15'!$D$9:$D$297,$AN87)-IF(ISNA(MATCH(CONCATENATE(VLOOKUP($AC87,$AB$1:$AC$4,2,FALSE),$S87,IF($U87="","00",$U87),$W87,2),$F$11:$F$160,0)),0,SUMIF($F$11:$F$160,CONCATENATE(VLOOKUP($AC87,$AB$1:$AC$4,2,FALSE),$S87,IF($U87="","00",$U87),$W87,2),$AF$11:$AF$160)),"")</f>
        <v/>
      </c>
      <c r="AE87" s="319" t="str">
        <f>IF($AA87="1",SUMIF('納品書明細16-E'!$C$9:$C$206,$AO87,'納品書明細16-E'!$Q$9:$Q$206)+SUMIF('納品書明細F-15'!$C$9:$C$297,$AO87,'納品書明細F-15'!$Q$9:$Q$297)-IF(ISNA(MATCH(CONCATENATE(VLOOKUP($AC87,$AB$1:$AC$4,2,FALSE),$S87,IF($U87="","00",$U87),$W87,2),$F$11:$F$160,0)),0,SUMIF($F$11:$F$160,CONCATENATE(VLOOKUP($AC87,$AB$1:$AC$4,2,FALSE),$S87,IF($U87="","00",$U87),$W87,2),$AG$11:$AG$160)),"")</f>
        <v/>
      </c>
      <c r="AF87" s="322"/>
      <c r="AG87" s="327"/>
      <c r="AH87" s="57"/>
      <c r="AI87" s="319" t="str">
        <f>IF($AH87="","",IF(ISNA(MATCH($AH87,'納品書明細16-E'!$H$9:$H$206,0)),IF(ISNA(MATCH($AH87,'納品書明細F-15'!$H$9:$H$297,0)),"ERR",SUMIF('納品書明細F-15'!$H$9:$H$297,$AH87,'納品書明細F-15'!$Q$9:$Q$297)),SUMIF('納品書明細16-E'!$H$9:$H$206,$AH87,'納品書明細16-E'!$Q$9:$Q$206)))</f>
        <v/>
      </c>
      <c r="AK87" s="328" t="str">
        <f t="shared" si="30"/>
        <v/>
      </c>
      <c r="AL87" s="269" t="str">
        <f t="shared" si="31"/>
        <v/>
      </c>
      <c r="AM87" s="270" t="str">
        <f t="shared" si="32"/>
        <v/>
      </c>
      <c r="AN87" s="244" t="str">
        <f t="shared" si="33"/>
        <v/>
      </c>
      <c r="AO87" s="244" t="str">
        <f t="shared" si="34"/>
        <v/>
      </c>
      <c r="AP87" s="271" t="str">
        <f t="shared" si="15"/>
        <v/>
      </c>
      <c r="AQ87" s="262"/>
      <c r="AR87" s="263"/>
      <c r="AS87" s="84"/>
      <c r="AT87" s="86"/>
      <c r="AU87" s="87"/>
    </row>
    <row r="88" spans="1:47" ht="15" customHeight="1">
      <c r="A88" s="281" t="str">
        <f t="shared" si="25"/>
        <v/>
      </c>
      <c r="B88" s="282" t="str">
        <f t="shared" si="35"/>
        <v/>
      </c>
      <c r="C88" s="618" t="str">
        <f>IF(AND($S88="",$U88="",$W88="",$AA88="",$AE88="",$AG88="",$AI88=""),"",MAX($C$10:$C87)+1)</f>
        <v/>
      </c>
      <c r="D88" s="619" t="str">
        <f t="shared" si="26"/>
        <v/>
      </c>
      <c r="E88" s="619" t="str">
        <f t="shared" si="27"/>
        <v/>
      </c>
      <c r="F88" s="619" t="str">
        <f t="shared" si="28"/>
        <v/>
      </c>
      <c r="G88" s="619" t="str">
        <f t="shared" si="29"/>
        <v/>
      </c>
      <c r="H88" s="620" t="str">
        <f t="shared" si="36"/>
        <v/>
      </c>
      <c r="I88" s="316" t="s">
        <v>297</v>
      </c>
      <c r="J88" s="254"/>
      <c r="K88" s="50" t="str">
        <f>IF($W88="","",IF($W88=1,IF(VLOOKUP($S88,ﾏｽﾀ!$E$8:$K$124,ﾏｽﾀ!$J$4-ﾏｽﾀ!$D$4,0)="E",DAY($J$4),ABS(VLOOKUP($S88,ﾏｽﾀ!$E$8:$K$124,ﾏｽﾀ!$J$4-ﾏｽﾀ!$D$4,0))),IF(VLOOKUP($S88,ﾏｽﾀ!$E$8:$K$124,ﾏｽﾀ!$K$4-ﾏｽﾀ!$D$4,0)="E",DAY($J$4),ABS(VLOOKUP($S88,ﾏｽﾀ!$E$8:$K$124,ﾏｽﾀ!$K$4-ﾏｽﾀ!$D$4,0)))))</f>
        <v/>
      </c>
      <c r="L88" s="255"/>
      <c r="M88" s="255"/>
      <c r="N88" s="255"/>
      <c r="O88" s="50" t="str">
        <f>IF($S88="","",IF($M88="",IF($J88="","ERR",IF(VLOOKUP($S88,ﾏｽﾀ!$E$8:$K$124,ﾏｽﾀ!$J$4-ﾏｽﾀ!$D$4,0)="E",MONTH($J88),IF(MONTH($J88)-1=0,12,MONTH($J88)-1))),MONTH($M88)))</f>
        <v/>
      </c>
      <c r="P88" s="50" t="str">
        <f>IF($S88="","",IF($M88="",IF($K88="","ERR",IF(VLOOKUP($S88,ﾏｽﾀ!$E$8:$K$124,ﾏｽﾀ!$J$4-ﾏｽﾀ!$D$4,0)="E",1,$K88+1)),DAY($M88)))</f>
        <v/>
      </c>
      <c r="Q88" s="50" t="str">
        <f t="shared" si="37"/>
        <v/>
      </c>
      <c r="R88" s="50" t="str">
        <f t="shared" si="38"/>
        <v/>
      </c>
      <c r="S88" s="601" t="str">
        <f>IF($T88="","",INDEX(ﾏｽﾀ!$E$8:$E$124,MATCH(INDEX(ﾏｽﾀ!$N$8:$N$124,MATCH($T88,ﾏｽﾀ!$O$8:$O$124,0)),ﾏｽﾀ!$B$8:$B$124,0))&amp;"")</f>
        <v/>
      </c>
      <c r="T88" s="535"/>
      <c r="U88" s="601" t="str">
        <f>IF($T88="","",INDEX(ﾏｽﾀ!$G$8:$G$124,MATCH(INDEX(ﾏｽﾀ!$N$8:$N$124,MATCH($T88,ﾏｽﾀ!$O$8:$O$124,0)),ﾏｽﾀ!$B$8:$B$124,0))&amp;"")</f>
        <v/>
      </c>
      <c r="V88" s="257"/>
      <c r="W88" s="602" t="str">
        <f>IF($X88="","",INDEX(ﾏｽﾀ!$T$8:$T$16,MATCH($X88,ﾏｽﾀ!$U$8:$U$16,0))&amp;"")</f>
        <v/>
      </c>
      <c r="X88" s="248"/>
      <c r="Y88" s="260"/>
      <c r="Z88" s="260"/>
      <c r="AA88" s="256"/>
      <c r="AB88" s="492" t="str">
        <f>IF($W88="","",IF($AA88="","ERR",IF($AA88="1",IF($AE88="","ERR",VLOOKUP($AA88,ﾏｽﾀ!$W$8:$X$10,ﾏｽﾀ!$X$4,0)),IF($AA88="2",IF($AG88="","ERR",VLOOKUP($AA88,ﾏｽﾀ!$W$8:$X$10,ﾏｽﾀ!$X$4,0)),IF($AA88="3",IF($AI88="","ERR",VLOOKUP($AA88,ﾏｽﾀ!$W$8:$X$10,ﾏｽﾀ!$X$4,0)),"ERR")))))</f>
        <v/>
      </c>
      <c r="AC88" s="261"/>
      <c r="AD88" s="321" t="str">
        <f>IF($AA88="1",COUNTIF('納品書明細16-E'!$D$9:$D$206,$AN88)+COUNTIF('納品書明細F-15'!$D$9:$D$297,$AN88)-IF(ISNA(MATCH(CONCATENATE(VLOOKUP($AC88,$AB$1:$AC$4,2,FALSE),$S88,IF($U88="","00",$U88),$W88,2),$F$11:$F$160,0)),0,SUMIF($F$11:$F$160,CONCATENATE(VLOOKUP($AC88,$AB$1:$AC$4,2,FALSE),$S88,IF($U88="","00",$U88),$W88,2),$AF$11:$AF$160)),"")</f>
        <v/>
      </c>
      <c r="AE88" s="319" t="str">
        <f>IF($AA88="1",SUMIF('納品書明細16-E'!$C$9:$C$206,$AO88,'納品書明細16-E'!$Q$9:$Q$206)+SUMIF('納品書明細F-15'!$C$9:$C$297,$AO88,'納品書明細F-15'!$Q$9:$Q$297)-IF(ISNA(MATCH(CONCATENATE(VLOOKUP($AC88,$AB$1:$AC$4,2,FALSE),$S88,IF($U88="","00",$U88),$W88,2),$F$11:$F$160,0)),0,SUMIF($F$11:$F$160,CONCATENATE(VLOOKUP($AC88,$AB$1:$AC$4,2,FALSE),$S88,IF($U88="","00",$U88),$W88,2),$AG$11:$AG$160)),"")</f>
        <v/>
      </c>
      <c r="AF88" s="322"/>
      <c r="AG88" s="327"/>
      <c r="AH88" s="57"/>
      <c r="AI88" s="319" t="str">
        <f>IF($AH88="","",IF(ISNA(MATCH($AH88,'納品書明細16-E'!$H$9:$H$206,0)),IF(ISNA(MATCH($AH88,'納品書明細F-15'!$H$9:$H$297,0)),"ERR",SUMIF('納品書明細F-15'!$H$9:$H$297,$AH88,'納品書明細F-15'!$Q$9:$Q$297)),SUMIF('納品書明細16-E'!$H$9:$H$206,$AH88,'納品書明細16-E'!$Q$9:$Q$206)))</f>
        <v/>
      </c>
      <c r="AK88" s="328" t="str">
        <f t="shared" si="30"/>
        <v/>
      </c>
      <c r="AL88" s="269" t="str">
        <f t="shared" si="31"/>
        <v/>
      </c>
      <c r="AM88" s="270" t="str">
        <f t="shared" si="32"/>
        <v/>
      </c>
      <c r="AN88" s="244" t="str">
        <f t="shared" si="33"/>
        <v/>
      </c>
      <c r="AO88" s="244" t="str">
        <f t="shared" si="34"/>
        <v/>
      </c>
      <c r="AP88" s="271" t="str">
        <f t="shared" si="15"/>
        <v/>
      </c>
      <c r="AQ88" s="265"/>
      <c r="AR88" s="263"/>
      <c r="AS88" s="84"/>
      <c r="AT88" s="86"/>
      <c r="AU88" s="87"/>
    </row>
    <row r="89" spans="1:47" ht="15" customHeight="1">
      <c r="A89" s="281" t="str">
        <f t="shared" si="25"/>
        <v/>
      </c>
      <c r="B89" s="282" t="str">
        <f t="shared" si="35"/>
        <v/>
      </c>
      <c r="C89" s="618" t="str">
        <f>IF(AND($S89="",$U89="",$W89="",$AA89="",$AE89="",$AG89="",$AI89=""),"",MAX($C$10:$C88)+1)</f>
        <v/>
      </c>
      <c r="D89" s="619" t="str">
        <f t="shared" si="26"/>
        <v/>
      </c>
      <c r="E89" s="619" t="str">
        <f t="shared" si="27"/>
        <v/>
      </c>
      <c r="F89" s="619" t="str">
        <f t="shared" si="28"/>
        <v/>
      </c>
      <c r="G89" s="619" t="str">
        <f t="shared" si="29"/>
        <v/>
      </c>
      <c r="H89" s="620" t="str">
        <f t="shared" si="36"/>
        <v/>
      </c>
      <c r="I89" s="316" t="s">
        <v>298</v>
      </c>
      <c r="J89" s="254"/>
      <c r="K89" s="50" t="str">
        <f>IF($W89="","",IF($W89=1,IF(VLOOKUP($S89,ﾏｽﾀ!$E$8:$K$124,ﾏｽﾀ!$J$4-ﾏｽﾀ!$D$4,0)="E",DAY($J$4),ABS(VLOOKUP($S89,ﾏｽﾀ!$E$8:$K$124,ﾏｽﾀ!$J$4-ﾏｽﾀ!$D$4,0))),IF(VLOOKUP($S89,ﾏｽﾀ!$E$8:$K$124,ﾏｽﾀ!$K$4-ﾏｽﾀ!$D$4,0)="E",DAY($J$4),ABS(VLOOKUP($S89,ﾏｽﾀ!$E$8:$K$124,ﾏｽﾀ!$K$4-ﾏｽﾀ!$D$4,0)))))</f>
        <v/>
      </c>
      <c r="L89" s="255"/>
      <c r="M89" s="255"/>
      <c r="N89" s="255"/>
      <c r="O89" s="50" t="str">
        <f>IF($S89="","",IF($M89="",IF($J89="","ERR",IF(VLOOKUP($S89,ﾏｽﾀ!$E$8:$K$124,ﾏｽﾀ!$J$4-ﾏｽﾀ!$D$4,0)="E",MONTH($J89),IF(MONTH($J89)-1=0,12,MONTH($J89)-1))),MONTH($M89)))</f>
        <v/>
      </c>
      <c r="P89" s="50" t="str">
        <f>IF($S89="","",IF($M89="",IF($K89="","ERR",IF(VLOOKUP($S89,ﾏｽﾀ!$E$8:$K$124,ﾏｽﾀ!$J$4-ﾏｽﾀ!$D$4,0)="E",1,$K89+1)),DAY($M89)))</f>
        <v/>
      </c>
      <c r="Q89" s="50" t="str">
        <f t="shared" si="37"/>
        <v/>
      </c>
      <c r="R89" s="50" t="str">
        <f t="shared" si="38"/>
        <v/>
      </c>
      <c r="S89" s="601" t="str">
        <f>IF($T89="","",INDEX(ﾏｽﾀ!$E$8:$E$124,MATCH(INDEX(ﾏｽﾀ!$N$8:$N$124,MATCH($T89,ﾏｽﾀ!$O$8:$O$124,0)),ﾏｽﾀ!$B$8:$B$124,0))&amp;"")</f>
        <v/>
      </c>
      <c r="T89" s="535"/>
      <c r="U89" s="601" t="str">
        <f>IF($T89="","",INDEX(ﾏｽﾀ!$G$8:$G$124,MATCH(INDEX(ﾏｽﾀ!$N$8:$N$124,MATCH($T89,ﾏｽﾀ!$O$8:$O$124,0)),ﾏｽﾀ!$B$8:$B$124,0))&amp;"")</f>
        <v/>
      </c>
      <c r="V89" s="257"/>
      <c r="W89" s="602" t="str">
        <f>IF($X89="","",INDEX(ﾏｽﾀ!$T$8:$T$16,MATCH($X89,ﾏｽﾀ!$U$8:$U$16,0))&amp;"")</f>
        <v/>
      </c>
      <c r="X89" s="248"/>
      <c r="Y89" s="260"/>
      <c r="Z89" s="260"/>
      <c r="AA89" s="256"/>
      <c r="AB89" s="492" t="str">
        <f>IF($W89="","",IF($AA89="","ERR",IF($AA89="1",IF($AE89="","ERR",VLOOKUP($AA89,ﾏｽﾀ!$W$8:$X$10,ﾏｽﾀ!$X$4,0)),IF($AA89="2",IF($AG89="","ERR",VLOOKUP($AA89,ﾏｽﾀ!$W$8:$X$10,ﾏｽﾀ!$X$4,0)),IF($AA89="3",IF($AI89="","ERR",VLOOKUP($AA89,ﾏｽﾀ!$W$8:$X$10,ﾏｽﾀ!$X$4,0)),"ERR")))))</f>
        <v/>
      </c>
      <c r="AC89" s="261"/>
      <c r="AD89" s="321" t="str">
        <f>IF($AA89="1",COUNTIF('納品書明細16-E'!$D$9:$D$206,$AN89)+COUNTIF('納品書明細F-15'!$D$9:$D$297,$AN89)-IF(ISNA(MATCH(CONCATENATE(VLOOKUP($AC89,$AB$1:$AC$4,2,FALSE),$S89,IF($U89="","00",$U89),$W89,2),$F$11:$F$160,0)),0,SUMIF($F$11:$F$160,CONCATENATE(VLOOKUP($AC89,$AB$1:$AC$4,2,FALSE),$S89,IF($U89="","00",$U89),$W89,2),$AF$11:$AF$160)),"")</f>
        <v/>
      </c>
      <c r="AE89" s="319" t="str">
        <f>IF($AA89="1",SUMIF('納品書明細16-E'!$C$9:$C$206,$AO89,'納品書明細16-E'!$Q$9:$Q$206)+SUMIF('納品書明細F-15'!$C$9:$C$297,$AO89,'納品書明細F-15'!$Q$9:$Q$297)-IF(ISNA(MATCH(CONCATENATE(VLOOKUP($AC89,$AB$1:$AC$4,2,FALSE),$S89,IF($U89="","00",$U89),$W89,2),$F$11:$F$160,0)),0,SUMIF($F$11:$F$160,CONCATENATE(VLOOKUP($AC89,$AB$1:$AC$4,2,FALSE),$S89,IF($U89="","00",$U89),$W89,2),$AG$11:$AG$160)),"")</f>
        <v/>
      </c>
      <c r="AF89" s="322"/>
      <c r="AG89" s="327"/>
      <c r="AH89" s="57"/>
      <c r="AI89" s="319" t="str">
        <f>IF($AH89="","",IF(ISNA(MATCH($AH89,'納品書明細16-E'!$H$9:$H$206,0)),IF(ISNA(MATCH($AH89,'納品書明細F-15'!$H$9:$H$297,0)),"ERR",SUMIF('納品書明細F-15'!$H$9:$H$297,$AH89,'納品書明細F-15'!$Q$9:$Q$297)),SUMIF('納品書明細16-E'!$H$9:$H$206,$AH89,'納品書明細16-E'!$Q$9:$Q$206)))</f>
        <v/>
      </c>
      <c r="AK89" s="328" t="str">
        <f t="shared" si="30"/>
        <v/>
      </c>
      <c r="AL89" s="269" t="str">
        <f t="shared" si="31"/>
        <v/>
      </c>
      <c r="AM89" s="270" t="str">
        <f t="shared" si="32"/>
        <v/>
      </c>
      <c r="AN89" s="244" t="str">
        <f t="shared" si="33"/>
        <v/>
      </c>
      <c r="AO89" s="244" t="str">
        <f t="shared" si="34"/>
        <v/>
      </c>
      <c r="AP89" s="271" t="str">
        <f t="shared" si="15"/>
        <v/>
      </c>
      <c r="AQ89" s="262"/>
      <c r="AR89" s="263"/>
      <c r="AS89" s="84"/>
      <c r="AT89" s="86"/>
      <c r="AU89" s="87"/>
    </row>
    <row r="90" spans="1:47" ht="15" customHeight="1">
      <c r="A90" s="281" t="str">
        <f t="shared" si="25"/>
        <v/>
      </c>
      <c r="B90" s="282" t="str">
        <f t="shared" si="35"/>
        <v/>
      </c>
      <c r="C90" s="618" t="str">
        <f>IF(AND($S90="",$U90="",$W90="",$AA90="",$AE90="",$AG90="",$AI90=""),"",MAX($C$10:$C89)+1)</f>
        <v/>
      </c>
      <c r="D90" s="619" t="str">
        <f t="shared" si="26"/>
        <v/>
      </c>
      <c r="E90" s="619" t="str">
        <f t="shared" si="27"/>
        <v/>
      </c>
      <c r="F90" s="619" t="str">
        <f t="shared" si="28"/>
        <v/>
      </c>
      <c r="G90" s="619" t="str">
        <f t="shared" si="29"/>
        <v/>
      </c>
      <c r="H90" s="620" t="str">
        <f t="shared" si="36"/>
        <v/>
      </c>
      <c r="I90" s="316" t="s">
        <v>299</v>
      </c>
      <c r="J90" s="254"/>
      <c r="K90" s="50" t="str">
        <f>IF($W90="","",IF($W90=1,IF(VLOOKUP($S90,ﾏｽﾀ!$E$8:$K$124,ﾏｽﾀ!$J$4-ﾏｽﾀ!$D$4,0)="E",DAY($J$4),ABS(VLOOKUP($S90,ﾏｽﾀ!$E$8:$K$124,ﾏｽﾀ!$J$4-ﾏｽﾀ!$D$4,0))),IF(VLOOKUP($S90,ﾏｽﾀ!$E$8:$K$124,ﾏｽﾀ!$K$4-ﾏｽﾀ!$D$4,0)="E",DAY($J$4),ABS(VLOOKUP($S90,ﾏｽﾀ!$E$8:$K$124,ﾏｽﾀ!$K$4-ﾏｽﾀ!$D$4,0)))))</f>
        <v/>
      </c>
      <c r="L90" s="255"/>
      <c r="M90" s="255"/>
      <c r="N90" s="255"/>
      <c r="O90" s="50" t="str">
        <f>IF($S90="","",IF($M90="",IF($J90="","ERR",IF(VLOOKUP($S90,ﾏｽﾀ!$E$8:$K$124,ﾏｽﾀ!$J$4-ﾏｽﾀ!$D$4,0)="E",MONTH($J90),IF(MONTH($J90)-1=0,12,MONTH($J90)-1))),MONTH($M90)))</f>
        <v/>
      </c>
      <c r="P90" s="50" t="str">
        <f>IF($S90="","",IF($M90="",IF($K90="","ERR",IF(VLOOKUP($S90,ﾏｽﾀ!$E$8:$K$124,ﾏｽﾀ!$J$4-ﾏｽﾀ!$D$4,0)="E",1,$K90+1)),DAY($M90)))</f>
        <v/>
      </c>
      <c r="Q90" s="50" t="str">
        <f t="shared" si="37"/>
        <v/>
      </c>
      <c r="R90" s="50" t="str">
        <f t="shared" si="38"/>
        <v/>
      </c>
      <c r="S90" s="601" t="str">
        <f>IF($T90="","",INDEX(ﾏｽﾀ!$E$8:$E$124,MATCH(INDEX(ﾏｽﾀ!$N$8:$N$124,MATCH($T90,ﾏｽﾀ!$O$8:$O$124,0)),ﾏｽﾀ!$B$8:$B$124,0))&amp;"")</f>
        <v/>
      </c>
      <c r="T90" s="535"/>
      <c r="U90" s="601" t="str">
        <f>IF($T90="","",INDEX(ﾏｽﾀ!$G$8:$G$124,MATCH(INDEX(ﾏｽﾀ!$N$8:$N$124,MATCH($T90,ﾏｽﾀ!$O$8:$O$124,0)),ﾏｽﾀ!$B$8:$B$124,0))&amp;"")</f>
        <v/>
      </c>
      <c r="V90" s="257"/>
      <c r="W90" s="602" t="str">
        <f>IF($X90="","",INDEX(ﾏｽﾀ!$T$8:$T$16,MATCH($X90,ﾏｽﾀ!$U$8:$U$16,0))&amp;"")</f>
        <v/>
      </c>
      <c r="X90" s="248"/>
      <c r="Y90" s="260"/>
      <c r="Z90" s="260"/>
      <c r="AA90" s="256"/>
      <c r="AB90" s="492" t="str">
        <f>IF($W90="","",IF($AA90="","ERR",IF($AA90="1",IF($AE90="","ERR",VLOOKUP($AA90,ﾏｽﾀ!$W$8:$X$10,ﾏｽﾀ!$X$4,0)),IF($AA90="2",IF($AG90="","ERR",VLOOKUP($AA90,ﾏｽﾀ!$W$8:$X$10,ﾏｽﾀ!$X$4,0)),IF($AA90="3",IF($AI90="","ERR",VLOOKUP($AA90,ﾏｽﾀ!$W$8:$X$10,ﾏｽﾀ!$X$4,0)),"ERR")))))</f>
        <v/>
      </c>
      <c r="AC90" s="261"/>
      <c r="AD90" s="321" t="str">
        <f>IF($AA90="1",COUNTIF('納品書明細16-E'!$D$9:$D$206,$AN90)+COUNTIF('納品書明細F-15'!$D$9:$D$297,$AN90)-IF(ISNA(MATCH(CONCATENATE(VLOOKUP($AC90,$AB$1:$AC$4,2,FALSE),$S90,IF($U90="","00",$U90),$W90,2),$F$11:$F$160,0)),0,SUMIF($F$11:$F$160,CONCATENATE(VLOOKUP($AC90,$AB$1:$AC$4,2,FALSE),$S90,IF($U90="","00",$U90),$W90,2),$AF$11:$AF$160)),"")</f>
        <v/>
      </c>
      <c r="AE90" s="319" t="str">
        <f>IF($AA90="1",SUMIF('納品書明細16-E'!$C$9:$C$206,$AO90,'納品書明細16-E'!$Q$9:$Q$206)+SUMIF('納品書明細F-15'!$C$9:$C$297,$AO90,'納品書明細F-15'!$Q$9:$Q$297)-IF(ISNA(MATCH(CONCATENATE(VLOOKUP($AC90,$AB$1:$AC$4,2,FALSE),$S90,IF($U90="","00",$U90),$W90,2),$F$11:$F$160,0)),0,SUMIF($F$11:$F$160,CONCATENATE(VLOOKUP($AC90,$AB$1:$AC$4,2,FALSE),$S90,IF($U90="","00",$U90),$W90,2),$AG$11:$AG$160)),"")</f>
        <v/>
      </c>
      <c r="AF90" s="322"/>
      <c r="AG90" s="327"/>
      <c r="AH90" s="57"/>
      <c r="AI90" s="319" t="str">
        <f>IF($AH90="","",IF(ISNA(MATCH($AH90,'納品書明細16-E'!$H$9:$H$206,0)),IF(ISNA(MATCH($AH90,'納品書明細F-15'!$H$9:$H$297,0)),"ERR",SUMIF('納品書明細F-15'!$H$9:$H$297,$AH90,'納品書明細F-15'!$Q$9:$Q$297)),SUMIF('納品書明細16-E'!$H$9:$H$206,$AH90,'納品書明細16-E'!$Q$9:$Q$206)))</f>
        <v/>
      </c>
      <c r="AK90" s="328" t="str">
        <f t="shared" si="30"/>
        <v/>
      </c>
      <c r="AL90" s="269" t="str">
        <f t="shared" si="31"/>
        <v/>
      </c>
      <c r="AM90" s="270" t="str">
        <f t="shared" si="32"/>
        <v/>
      </c>
      <c r="AN90" s="244" t="str">
        <f t="shared" si="33"/>
        <v/>
      </c>
      <c r="AO90" s="244" t="str">
        <f t="shared" si="34"/>
        <v/>
      </c>
      <c r="AP90" s="271" t="str">
        <f t="shared" si="15"/>
        <v/>
      </c>
      <c r="AQ90" s="265"/>
      <c r="AR90" s="263"/>
      <c r="AS90" s="84"/>
      <c r="AT90" s="86"/>
      <c r="AU90" s="87"/>
    </row>
    <row r="91" spans="1:47" ht="15" customHeight="1">
      <c r="A91" s="281" t="str">
        <f t="shared" si="25"/>
        <v/>
      </c>
      <c r="B91" s="282" t="str">
        <f t="shared" si="35"/>
        <v/>
      </c>
      <c r="C91" s="618" t="str">
        <f>IF(AND($S91="",$U91="",$W91="",$AA91="",$AE91="",$AG91="",$AI91=""),"",MAX($C$10:$C90)+1)</f>
        <v/>
      </c>
      <c r="D91" s="619" t="str">
        <f t="shared" si="26"/>
        <v/>
      </c>
      <c r="E91" s="619" t="str">
        <f t="shared" si="27"/>
        <v/>
      </c>
      <c r="F91" s="619" t="str">
        <f t="shared" si="28"/>
        <v/>
      </c>
      <c r="G91" s="619" t="str">
        <f t="shared" si="29"/>
        <v/>
      </c>
      <c r="H91" s="620" t="str">
        <f t="shared" si="36"/>
        <v/>
      </c>
      <c r="I91" s="316" t="s">
        <v>300</v>
      </c>
      <c r="J91" s="254"/>
      <c r="K91" s="50" t="str">
        <f>IF($W91="","",IF($W91=1,IF(VLOOKUP($S91,ﾏｽﾀ!$E$8:$K$124,ﾏｽﾀ!$J$4-ﾏｽﾀ!$D$4,0)="E",DAY($J$4),ABS(VLOOKUP($S91,ﾏｽﾀ!$E$8:$K$124,ﾏｽﾀ!$J$4-ﾏｽﾀ!$D$4,0))),IF(VLOOKUP($S91,ﾏｽﾀ!$E$8:$K$124,ﾏｽﾀ!$K$4-ﾏｽﾀ!$D$4,0)="E",DAY($J$4),ABS(VLOOKUP($S91,ﾏｽﾀ!$E$8:$K$124,ﾏｽﾀ!$K$4-ﾏｽﾀ!$D$4,0)))))</f>
        <v/>
      </c>
      <c r="L91" s="255"/>
      <c r="M91" s="255"/>
      <c r="N91" s="255"/>
      <c r="O91" s="50" t="str">
        <f>IF($S91="","",IF($M91="",IF($J91="","ERR",IF(VLOOKUP($S91,ﾏｽﾀ!$E$8:$K$124,ﾏｽﾀ!$J$4-ﾏｽﾀ!$D$4,0)="E",MONTH($J91),IF(MONTH($J91)-1=0,12,MONTH($J91)-1))),MONTH($M91)))</f>
        <v/>
      </c>
      <c r="P91" s="50" t="str">
        <f>IF($S91="","",IF($M91="",IF($K91="","ERR",IF(VLOOKUP($S91,ﾏｽﾀ!$E$8:$K$124,ﾏｽﾀ!$J$4-ﾏｽﾀ!$D$4,0)="E",1,$K91+1)),DAY($M91)))</f>
        <v/>
      </c>
      <c r="Q91" s="50" t="str">
        <f t="shared" si="37"/>
        <v/>
      </c>
      <c r="R91" s="50" t="str">
        <f t="shared" si="38"/>
        <v/>
      </c>
      <c r="S91" s="601" t="str">
        <f>IF($T91="","",INDEX(ﾏｽﾀ!$E$8:$E$124,MATCH(INDEX(ﾏｽﾀ!$N$8:$N$124,MATCH($T91,ﾏｽﾀ!$O$8:$O$124,0)),ﾏｽﾀ!$B$8:$B$124,0))&amp;"")</f>
        <v/>
      </c>
      <c r="T91" s="535"/>
      <c r="U91" s="601" t="str">
        <f>IF($T91="","",INDEX(ﾏｽﾀ!$G$8:$G$124,MATCH(INDEX(ﾏｽﾀ!$N$8:$N$124,MATCH($T91,ﾏｽﾀ!$O$8:$O$124,0)),ﾏｽﾀ!$B$8:$B$124,0))&amp;"")</f>
        <v/>
      </c>
      <c r="V91" s="257"/>
      <c r="W91" s="602" t="str">
        <f>IF($X91="","",INDEX(ﾏｽﾀ!$T$8:$T$16,MATCH($X91,ﾏｽﾀ!$U$8:$U$16,0))&amp;"")</f>
        <v/>
      </c>
      <c r="X91" s="248"/>
      <c r="Y91" s="260"/>
      <c r="Z91" s="260"/>
      <c r="AA91" s="256"/>
      <c r="AB91" s="492" t="str">
        <f>IF($W91="","",IF($AA91="","ERR",IF($AA91="1",IF($AE91="","ERR",VLOOKUP($AA91,ﾏｽﾀ!$W$8:$X$10,ﾏｽﾀ!$X$4,0)),IF($AA91="2",IF($AG91="","ERR",VLOOKUP($AA91,ﾏｽﾀ!$W$8:$X$10,ﾏｽﾀ!$X$4,0)),IF($AA91="3",IF($AI91="","ERR",VLOOKUP($AA91,ﾏｽﾀ!$W$8:$X$10,ﾏｽﾀ!$X$4,0)),"ERR")))))</f>
        <v/>
      </c>
      <c r="AC91" s="261"/>
      <c r="AD91" s="321" t="str">
        <f>IF($AA91="1",COUNTIF('納品書明細16-E'!$D$9:$D$206,$AN91)+COUNTIF('納品書明細F-15'!$D$9:$D$297,$AN91)-IF(ISNA(MATCH(CONCATENATE(VLOOKUP($AC91,$AB$1:$AC$4,2,FALSE),$S91,IF($U91="","00",$U91),$W91,2),$F$11:$F$160,0)),0,SUMIF($F$11:$F$160,CONCATENATE(VLOOKUP($AC91,$AB$1:$AC$4,2,FALSE),$S91,IF($U91="","00",$U91),$W91,2),$AF$11:$AF$160)),"")</f>
        <v/>
      </c>
      <c r="AE91" s="319" t="str">
        <f>IF($AA91="1",SUMIF('納品書明細16-E'!$C$9:$C$206,$AO91,'納品書明細16-E'!$Q$9:$Q$206)+SUMIF('納品書明細F-15'!$C$9:$C$297,$AO91,'納品書明細F-15'!$Q$9:$Q$297)-IF(ISNA(MATCH(CONCATENATE(VLOOKUP($AC91,$AB$1:$AC$4,2,FALSE),$S91,IF($U91="","00",$U91),$W91,2),$F$11:$F$160,0)),0,SUMIF($F$11:$F$160,CONCATENATE(VLOOKUP($AC91,$AB$1:$AC$4,2,FALSE),$S91,IF($U91="","00",$U91),$W91,2),$AG$11:$AG$160)),"")</f>
        <v/>
      </c>
      <c r="AF91" s="322"/>
      <c r="AG91" s="327"/>
      <c r="AH91" s="57"/>
      <c r="AI91" s="319" t="str">
        <f>IF($AH91="","",IF(ISNA(MATCH($AH91,'納品書明細16-E'!$H$9:$H$206,0)),IF(ISNA(MATCH($AH91,'納品書明細F-15'!$H$9:$H$297,0)),"ERR",SUMIF('納品書明細F-15'!$H$9:$H$297,$AH91,'納品書明細F-15'!$Q$9:$Q$297)),SUMIF('納品書明細16-E'!$H$9:$H$206,$AH91,'納品書明細16-E'!$Q$9:$Q$206)))</f>
        <v/>
      </c>
      <c r="AK91" s="328" t="str">
        <f t="shared" si="30"/>
        <v/>
      </c>
      <c r="AL91" s="269" t="str">
        <f t="shared" si="31"/>
        <v/>
      </c>
      <c r="AM91" s="270" t="str">
        <f t="shared" si="32"/>
        <v/>
      </c>
      <c r="AN91" s="244" t="str">
        <f t="shared" si="33"/>
        <v/>
      </c>
      <c r="AO91" s="244" t="str">
        <f t="shared" si="34"/>
        <v/>
      </c>
      <c r="AP91" s="271" t="str">
        <f t="shared" si="15"/>
        <v/>
      </c>
      <c r="AQ91" s="265"/>
      <c r="AR91" s="263"/>
      <c r="AS91" s="84"/>
      <c r="AT91" s="86"/>
      <c r="AU91" s="87"/>
    </row>
    <row r="92" spans="1:47" ht="15" customHeight="1">
      <c r="A92" s="281" t="str">
        <f t="shared" si="25"/>
        <v/>
      </c>
      <c r="B92" s="282" t="str">
        <f t="shared" si="35"/>
        <v/>
      </c>
      <c r="C92" s="618" t="str">
        <f>IF(AND($S92="",$U92="",$W92="",$AA92="",$AE92="",$AG92="",$AI92=""),"",MAX($C$10:$C91)+1)</f>
        <v/>
      </c>
      <c r="D92" s="619" t="str">
        <f t="shared" si="26"/>
        <v/>
      </c>
      <c r="E92" s="619" t="str">
        <f t="shared" si="27"/>
        <v/>
      </c>
      <c r="F92" s="619" t="str">
        <f t="shared" si="28"/>
        <v/>
      </c>
      <c r="G92" s="619" t="str">
        <f t="shared" si="29"/>
        <v/>
      </c>
      <c r="H92" s="620" t="str">
        <f t="shared" si="36"/>
        <v/>
      </c>
      <c r="I92" s="316" t="s">
        <v>301</v>
      </c>
      <c r="J92" s="254"/>
      <c r="K92" s="50" t="str">
        <f>IF($W92="","",IF($W92=1,IF(VLOOKUP($S92,ﾏｽﾀ!$E$8:$K$124,ﾏｽﾀ!$J$4-ﾏｽﾀ!$D$4,0)="E",DAY($J$4),ABS(VLOOKUP($S92,ﾏｽﾀ!$E$8:$K$124,ﾏｽﾀ!$J$4-ﾏｽﾀ!$D$4,0))),IF(VLOOKUP($S92,ﾏｽﾀ!$E$8:$K$124,ﾏｽﾀ!$K$4-ﾏｽﾀ!$D$4,0)="E",DAY($J$4),ABS(VLOOKUP($S92,ﾏｽﾀ!$E$8:$K$124,ﾏｽﾀ!$K$4-ﾏｽﾀ!$D$4,0)))))</f>
        <v/>
      </c>
      <c r="L92" s="255"/>
      <c r="M92" s="255"/>
      <c r="N92" s="255"/>
      <c r="O92" s="50" t="str">
        <f>IF($S92="","",IF($M92="",IF($J92="","ERR",IF(VLOOKUP($S92,ﾏｽﾀ!$E$8:$K$124,ﾏｽﾀ!$J$4-ﾏｽﾀ!$D$4,0)="E",MONTH($J92),IF(MONTH($J92)-1=0,12,MONTH($J92)-1))),MONTH($M92)))</f>
        <v/>
      </c>
      <c r="P92" s="50" t="str">
        <f>IF($S92="","",IF($M92="",IF($K92="","ERR",IF(VLOOKUP($S92,ﾏｽﾀ!$E$8:$K$124,ﾏｽﾀ!$J$4-ﾏｽﾀ!$D$4,0)="E",1,$K92+1)),DAY($M92)))</f>
        <v/>
      </c>
      <c r="Q92" s="50" t="str">
        <f t="shared" si="37"/>
        <v/>
      </c>
      <c r="R92" s="50" t="str">
        <f t="shared" si="38"/>
        <v/>
      </c>
      <c r="S92" s="601" t="str">
        <f>IF($T92="","",INDEX(ﾏｽﾀ!$E$8:$E$124,MATCH(INDEX(ﾏｽﾀ!$N$8:$N$124,MATCH($T92,ﾏｽﾀ!$O$8:$O$124,0)),ﾏｽﾀ!$B$8:$B$124,0))&amp;"")</f>
        <v/>
      </c>
      <c r="T92" s="535"/>
      <c r="U92" s="601" t="str">
        <f>IF($T92="","",INDEX(ﾏｽﾀ!$G$8:$G$124,MATCH(INDEX(ﾏｽﾀ!$N$8:$N$124,MATCH($T92,ﾏｽﾀ!$O$8:$O$124,0)),ﾏｽﾀ!$B$8:$B$124,0))&amp;"")</f>
        <v/>
      </c>
      <c r="V92" s="257"/>
      <c r="W92" s="602" t="str">
        <f>IF($X92="","",INDEX(ﾏｽﾀ!$T$8:$T$16,MATCH($X92,ﾏｽﾀ!$U$8:$U$16,0))&amp;"")</f>
        <v/>
      </c>
      <c r="X92" s="248"/>
      <c r="Y92" s="260"/>
      <c r="Z92" s="260"/>
      <c r="AA92" s="256"/>
      <c r="AB92" s="492" t="str">
        <f>IF($W92="","",IF($AA92="","ERR",IF($AA92="1",IF($AE92="","ERR",VLOOKUP($AA92,ﾏｽﾀ!$W$8:$X$10,ﾏｽﾀ!$X$4,0)),IF($AA92="2",IF($AG92="","ERR",VLOOKUP($AA92,ﾏｽﾀ!$W$8:$X$10,ﾏｽﾀ!$X$4,0)),IF($AA92="3",IF($AI92="","ERR",VLOOKUP($AA92,ﾏｽﾀ!$W$8:$X$10,ﾏｽﾀ!$X$4,0)),"ERR")))))</f>
        <v/>
      </c>
      <c r="AC92" s="261"/>
      <c r="AD92" s="321" t="str">
        <f>IF($AA92="1",COUNTIF('納品書明細16-E'!$D$9:$D$206,$AN92)+COUNTIF('納品書明細F-15'!$D$9:$D$297,$AN92)-IF(ISNA(MATCH(CONCATENATE(VLOOKUP($AC92,$AB$1:$AC$4,2,FALSE),$S92,IF($U92="","00",$U92),$W92,2),$F$11:$F$160,0)),0,SUMIF($F$11:$F$160,CONCATENATE(VLOOKUP($AC92,$AB$1:$AC$4,2,FALSE),$S92,IF($U92="","00",$U92),$W92,2),$AF$11:$AF$160)),"")</f>
        <v/>
      </c>
      <c r="AE92" s="319" t="str">
        <f>IF($AA92="1",SUMIF('納品書明細16-E'!$C$9:$C$206,$AO92,'納品書明細16-E'!$Q$9:$Q$206)+SUMIF('納品書明細F-15'!$C$9:$C$297,$AO92,'納品書明細F-15'!$Q$9:$Q$297)-IF(ISNA(MATCH(CONCATENATE(VLOOKUP($AC92,$AB$1:$AC$4,2,FALSE),$S92,IF($U92="","00",$U92),$W92,2),$F$11:$F$160,0)),0,SUMIF($F$11:$F$160,CONCATENATE(VLOOKUP($AC92,$AB$1:$AC$4,2,FALSE),$S92,IF($U92="","00",$U92),$W92,2),$AG$11:$AG$160)),"")</f>
        <v/>
      </c>
      <c r="AF92" s="322"/>
      <c r="AG92" s="327"/>
      <c r="AH92" s="57"/>
      <c r="AI92" s="319" t="str">
        <f>IF($AH92="","",IF(ISNA(MATCH($AH92,'納品書明細16-E'!$H$9:$H$206,0)),IF(ISNA(MATCH($AH92,'納品書明細F-15'!$H$9:$H$297,0)),"ERR",SUMIF('納品書明細F-15'!$H$9:$H$297,$AH92,'納品書明細F-15'!$Q$9:$Q$297)),SUMIF('納品書明細16-E'!$H$9:$H$206,$AH92,'納品書明細16-E'!$Q$9:$Q$206)))</f>
        <v/>
      </c>
      <c r="AK92" s="328" t="str">
        <f t="shared" si="30"/>
        <v/>
      </c>
      <c r="AL92" s="269" t="str">
        <f t="shared" si="31"/>
        <v/>
      </c>
      <c r="AM92" s="270" t="str">
        <f t="shared" si="32"/>
        <v/>
      </c>
      <c r="AN92" s="244" t="str">
        <f t="shared" si="33"/>
        <v/>
      </c>
      <c r="AO92" s="244" t="str">
        <f t="shared" si="34"/>
        <v/>
      </c>
      <c r="AP92" s="271" t="str">
        <f t="shared" si="15"/>
        <v/>
      </c>
      <c r="AQ92" s="265"/>
      <c r="AR92" s="263"/>
      <c r="AS92" s="84"/>
      <c r="AT92" s="86"/>
      <c r="AU92" s="87"/>
    </row>
    <row r="93" spans="1:47" ht="15" customHeight="1">
      <c r="A93" s="281" t="str">
        <f t="shared" si="25"/>
        <v/>
      </c>
      <c r="B93" s="282" t="str">
        <f t="shared" si="35"/>
        <v/>
      </c>
      <c r="C93" s="618" t="str">
        <f>IF(AND($S93="",$U93="",$W93="",$AA93="",$AE93="",$AG93="",$AI93=""),"",MAX($C$10:$C92)+1)</f>
        <v/>
      </c>
      <c r="D93" s="619" t="str">
        <f t="shared" si="26"/>
        <v/>
      </c>
      <c r="E93" s="619" t="str">
        <f t="shared" si="27"/>
        <v/>
      </c>
      <c r="F93" s="619" t="str">
        <f t="shared" si="28"/>
        <v/>
      </c>
      <c r="G93" s="619" t="str">
        <f t="shared" si="29"/>
        <v/>
      </c>
      <c r="H93" s="620" t="str">
        <f t="shared" si="36"/>
        <v/>
      </c>
      <c r="I93" s="316" t="s">
        <v>302</v>
      </c>
      <c r="J93" s="254"/>
      <c r="K93" s="50" t="str">
        <f>IF($W93="","",IF($W93=1,IF(VLOOKUP($S93,ﾏｽﾀ!$E$8:$K$124,ﾏｽﾀ!$J$4-ﾏｽﾀ!$D$4,0)="E",DAY($J$4),ABS(VLOOKUP($S93,ﾏｽﾀ!$E$8:$K$124,ﾏｽﾀ!$J$4-ﾏｽﾀ!$D$4,0))),IF(VLOOKUP($S93,ﾏｽﾀ!$E$8:$K$124,ﾏｽﾀ!$K$4-ﾏｽﾀ!$D$4,0)="E",DAY($J$4),ABS(VLOOKUP($S93,ﾏｽﾀ!$E$8:$K$124,ﾏｽﾀ!$K$4-ﾏｽﾀ!$D$4,0)))))</f>
        <v/>
      </c>
      <c r="L93" s="255"/>
      <c r="M93" s="255"/>
      <c r="N93" s="255"/>
      <c r="O93" s="50" t="str">
        <f>IF($S93="","",IF($M93="",IF($J93="","ERR",IF(VLOOKUP($S93,ﾏｽﾀ!$E$8:$K$124,ﾏｽﾀ!$J$4-ﾏｽﾀ!$D$4,0)="E",MONTH($J93),IF(MONTH($J93)-1=0,12,MONTH($J93)-1))),MONTH($M93)))</f>
        <v/>
      </c>
      <c r="P93" s="50" t="str">
        <f>IF($S93="","",IF($M93="",IF($K93="","ERR",IF(VLOOKUP($S93,ﾏｽﾀ!$E$8:$K$124,ﾏｽﾀ!$J$4-ﾏｽﾀ!$D$4,0)="E",1,$K93+1)),DAY($M93)))</f>
        <v/>
      </c>
      <c r="Q93" s="50" t="str">
        <f t="shared" si="37"/>
        <v/>
      </c>
      <c r="R93" s="50" t="str">
        <f t="shared" si="38"/>
        <v/>
      </c>
      <c r="S93" s="601" t="str">
        <f>IF($T93="","",INDEX(ﾏｽﾀ!$E$8:$E$124,MATCH(INDEX(ﾏｽﾀ!$N$8:$N$124,MATCH($T93,ﾏｽﾀ!$O$8:$O$124,0)),ﾏｽﾀ!$B$8:$B$124,0))&amp;"")</f>
        <v/>
      </c>
      <c r="T93" s="535"/>
      <c r="U93" s="601" t="str">
        <f>IF($T93="","",INDEX(ﾏｽﾀ!$G$8:$G$124,MATCH(INDEX(ﾏｽﾀ!$N$8:$N$124,MATCH($T93,ﾏｽﾀ!$O$8:$O$124,0)),ﾏｽﾀ!$B$8:$B$124,0))&amp;"")</f>
        <v/>
      </c>
      <c r="V93" s="257"/>
      <c r="W93" s="602" t="str">
        <f>IF($X93="","",INDEX(ﾏｽﾀ!$T$8:$T$16,MATCH($X93,ﾏｽﾀ!$U$8:$U$16,0))&amp;"")</f>
        <v/>
      </c>
      <c r="X93" s="248"/>
      <c r="Y93" s="260"/>
      <c r="Z93" s="260"/>
      <c r="AA93" s="256"/>
      <c r="AB93" s="492" t="str">
        <f>IF($W93="","",IF($AA93="","ERR",IF($AA93="1",IF($AE93="","ERR",VLOOKUP($AA93,ﾏｽﾀ!$W$8:$X$10,ﾏｽﾀ!$X$4,0)),IF($AA93="2",IF($AG93="","ERR",VLOOKUP($AA93,ﾏｽﾀ!$W$8:$X$10,ﾏｽﾀ!$X$4,0)),IF($AA93="3",IF($AI93="","ERR",VLOOKUP($AA93,ﾏｽﾀ!$W$8:$X$10,ﾏｽﾀ!$X$4,0)),"ERR")))))</f>
        <v/>
      </c>
      <c r="AC93" s="261"/>
      <c r="AD93" s="321" t="str">
        <f>IF($AA93="1",COUNTIF('納品書明細16-E'!$D$9:$D$206,$AN93)+COUNTIF('納品書明細F-15'!$D$9:$D$297,$AN93)-IF(ISNA(MATCH(CONCATENATE(VLOOKUP($AC93,$AB$1:$AC$4,2,FALSE),$S93,IF($U93="","00",$U93),$W93,2),$F$11:$F$160,0)),0,SUMIF($F$11:$F$160,CONCATENATE(VLOOKUP($AC93,$AB$1:$AC$4,2,FALSE),$S93,IF($U93="","00",$U93),$W93,2),$AF$11:$AF$160)),"")</f>
        <v/>
      </c>
      <c r="AE93" s="319" t="str">
        <f>IF($AA93="1",SUMIF('納品書明細16-E'!$C$9:$C$206,$AO93,'納品書明細16-E'!$Q$9:$Q$206)+SUMIF('納品書明細F-15'!$C$9:$C$297,$AO93,'納品書明細F-15'!$Q$9:$Q$297)-IF(ISNA(MATCH(CONCATENATE(VLOOKUP($AC93,$AB$1:$AC$4,2,FALSE),$S93,IF($U93="","00",$U93),$W93,2),$F$11:$F$160,0)),0,SUMIF($F$11:$F$160,CONCATENATE(VLOOKUP($AC93,$AB$1:$AC$4,2,FALSE),$S93,IF($U93="","00",$U93),$W93,2),$AG$11:$AG$160)),"")</f>
        <v/>
      </c>
      <c r="AF93" s="322"/>
      <c r="AG93" s="327"/>
      <c r="AH93" s="57"/>
      <c r="AI93" s="319" t="str">
        <f>IF($AH93="","",IF(ISNA(MATCH($AH93,'納品書明細16-E'!$H$9:$H$206,0)),IF(ISNA(MATCH($AH93,'納品書明細F-15'!$H$9:$H$297,0)),"ERR",SUMIF('納品書明細F-15'!$H$9:$H$297,$AH93,'納品書明細F-15'!$Q$9:$Q$297)),SUMIF('納品書明細16-E'!$H$9:$H$206,$AH93,'納品書明細16-E'!$Q$9:$Q$206)))</f>
        <v/>
      </c>
      <c r="AK93" s="328" t="str">
        <f t="shared" si="30"/>
        <v/>
      </c>
      <c r="AL93" s="269" t="str">
        <f t="shared" si="31"/>
        <v/>
      </c>
      <c r="AM93" s="270" t="str">
        <f t="shared" si="32"/>
        <v/>
      </c>
      <c r="AN93" s="244" t="str">
        <f t="shared" si="33"/>
        <v/>
      </c>
      <c r="AO93" s="244" t="str">
        <f t="shared" si="34"/>
        <v/>
      </c>
      <c r="AP93" s="271" t="str">
        <f t="shared" si="15"/>
        <v/>
      </c>
      <c r="AQ93" s="265"/>
      <c r="AR93" s="263"/>
      <c r="AS93" s="84"/>
      <c r="AT93" s="86"/>
      <c r="AU93" s="87"/>
    </row>
    <row r="94" spans="1:47" ht="15" customHeight="1">
      <c r="A94" s="281" t="str">
        <f t="shared" si="25"/>
        <v/>
      </c>
      <c r="B94" s="282" t="str">
        <f t="shared" si="35"/>
        <v/>
      </c>
      <c r="C94" s="618" t="str">
        <f>IF(AND($S94="",$U94="",$W94="",$AA94="",$AE94="",$AG94="",$AI94=""),"",MAX($C$10:$C93)+1)</f>
        <v/>
      </c>
      <c r="D94" s="619" t="str">
        <f t="shared" si="26"/>
        <v/>
      </c>
      <c r="E94" s="619" t="str">
        <f t="shared" si="27"/>
        <v/>
      </c>
      <c r="F94" s="619" t="str">
        <f t="shared" si="28"/>
        <v/>
      </c>
      <c r="G94" s="619" t="str">
        <f t="shared" si="29"/>
        <v/>
      </c>
      <c r="H94" s="620" t="str">
        <f t="shared" si="36"/>
        <v/>
      </c>
      <c r="I94" s="317" t="s">
        <v>303</v>
      </c>
      <c r="J94" s="254"/>
      <c r="K94" s="50" t="str">
        <f>IF($W94="","",IF($W94=1,IF(VLOOKUP($S94,ﾏｽﾀ!$E$8:$K$124,ﾏｽﾀ!$J$4-ﾏｽﾀ!$D$4,0)="E",DAY($J$4),ABS(VLOOKUP($S94,ﾏｽﾀ!$E$8:$K$124,ﾏｽﾀ!$J$4-ﾏｽﾀ!$D$4,0))),IF(VLOOKUP($S94,ﾏｽﾀ!$E$8:$K$124,ﾏｽﾀ!$K$4-ﾏｽﾀ!$D$4,0)="E",DAY($J$4),ABS(VLOOKUP($S94,ﾏｽﾀ!$E$8:$K$124,ﾏｽﾀ!$K$4-ﾏｽﾀ!$D$4,0)))))</f>
        <v/>
      </c>
      <c r="L94" s="255"/>
      <c r="M94" s="255"/>
      <c r="N94" s="255"/>
      <c r="O94" s="50" t="str">
        <f>IF($S94="","",IF($M94="",IF($J94="","ERR",IF(VLOOKUP($S94,ﾏｽﾀ!$E$8:$K$124,ﾏｽﾀ!$J$4-ﾏｽﾀ!$D$4,0)="E",MONTH($J94),IF(MONTH($J94)-1=0,12,MONTH($J94)-1))),MONTH($M94)))</f>
        <v/>
      </c>
      <c r="P94" s="50" t="str">
        <f>IF($S94="","",IF($M94="",IF($K94="","ERR",IF(VLOOKUP($S94,ﾏｽﾀ!$E$8:$K$124,ﾏｽﾀ!$J$4-ﾏｽﾀ!$D$4,0)="E",1,$K94+1)),DAY($M94)))</f>
        <v/>
      </c>
      <c r="Q94" s="50" t="str">
        <f t="shared" si="37"/>
        <v/>
      </c>
      <c r="R94" s="50" t="str">
        <f t="shared" si="38"/>
        <v/>
      </c>
      <c r="S94" s="601" t="str">
        <f>IF($T94="","",INDEX(ﾏｽﾀ!$E$8:$E$124,MATCH(INDEX(ﾏｽﾀ!$N$8:$N$124,MATCH($T94,ﾏｽﾀ!$O$8:$O$124,0)),ﾏｽﾀ!$B$8:$B$124,0))&amp;"")</f>
        <v/>
      </c>
      <c r="T94" s="535"/>
      <c r="U94" s="601" t="str">
        <f>IF($T94="","",INDEX(ﾏｽﾀ!$G$8:$G$124,MATCH(INDEX(ﾏｽﾀ!$N$8:$N$124,MATCH($T94,ﾏｽﾀ!$O$8:$O$124,0)),ﾏｽﾀ!$B$8:$B$124,0))&amp;"")</f>
        <v/>
      </c>
      <c r="V94" s="258"/>
      <c r="W94" s="602" t="str">
        <f>IF($X94="","",INDEX(ﾏｽﾀ!$T$8:$T$16,MATCH($X94,ﾏｽﾀ!$U$8:$U$16,0))&amp;"")</f>
        <v/>
      </c>
      <c r="X94" s="248"/>
      <c r="Y94" s="260"/>
      <c r="Z94" s="260"/>
      <c r="AA94" s="256"/>
      <c r="AB94" s="492" t="str">
        <f>IF($W94="","",IF($AA94="","ERR",IF($AA94="1",IF($AE94="","ERR",VLOOKUP($AA94,ﾏｽﾀ!$W$8:$X$10,ﾏｽﾀ!$X$4,0)),IF($AA94="2",IF($AG94="","ERR",VLOOKUP($AA94,ﾏｽﾀ!$W$8:$X$10,ﾏｽﾀ!$X$4,0)),IF($AA94="3",IF($AI94="","ERR",VLOOKUP($AA94,ﾏｽﾀ!$W$8:$X$10,ﾏｽﾀ!$X$4,0)),"ERR")))))</f>
        <v/>
      </c>
      <c r="AC94" s="261"/>
      <c r="AD94" s="321" t="str">
        <f>IF($AA94="1",COUNTIF('納品書明細16-E'!$D$9:$D$206,$AN94)+COUNTIF('納品書明細F-15'!$D$9:$D$297,$AN94)-IF(ISNA(MATCH(CONCATENATE(VLOOKUP($AC94,$AB$1:$AC$4,2,FALSE),$S94,IF($U94="","00",$U94),$W94,2),$F$11:$F$160,0)),0,SUMIF($F$11:$F$160,CONCATENATE(VLOOKUP($AC94,$AB$1:$AC$4,2,FALSE),$S94,IF($U94="","00",$U94),$W94,2),$AF$11:$AF$160)),"")</f>
        <v/>
      </c>
      <c r="AE94" s="319" t="str">
        <f>IF($AA94="1",SUMIF('納品書明細16-E'!$C$9:$C$206,$AO94,'納品書明細16-E'!$Q$9:$Q$206)+SUMIF('納品書明細F-15'!$C$9:$C$297,$AO94,'納品書明細F-15'!$Q$9:$Q$297)-IF(ISNA(MATCH(CONCATENATE(VLOOKUP($AC94,$AB$1:$AC$4,2,FALSE),$S94,IF($U94="","00",$U94),$W94,2),$F$11:$F$160,0)),0,SUMIF($F$11:$F$160,CONCATENATE(VLOOKUP($AC94,$AB$1:$AC$4,2,FALSE),$S94,IF($U94="","00",$U94),$W94,2),$AG$11:$AG$160)),"")</f>
        <v/>
      </c>
      <c r="AF94" s="324"/>
      <c r="AG94" s="327"/>
      <c r="AH94" s="96"/>
      <c r="AI94" s="319" t="str">
        <f>IF($AH94="","",IF(ISNA(MATCH($AH94,'納品書明細16-E'!$H$9:$H$206,0)),IF(ISNA(MATCH($AH94,'納品書明細F-15'!$H$9:$H$297,0)),"ERR",SUMIF('納品書明細F-15'!$H$9:$H$297,$AH94,'納品書明細F-15'!$Q$9:$Q$297)),SUMIF('納品書明細16-E'!$H$9:$H$206,$AH94,'納品書明細16-E'!$Q$9:$Q$206)))</f>
        <v/>
      </c>
      <c r="AK94" s="328" t="str">
        <f t="shared" si="30"/>
        <v/>
      </c>
      <c r="AL94" s="269" t="str">
        <f t="shared" si="31"/>
        <v/>
      </c>
      <c r="AM94" s="270" t="str">
        <f t="shared" si="32"/>
        <v/>
      </c>
      <c r="AN94" s="244" t="str">
        <f t="shared" si="33"/>
        <v/>
      </c>
      <c r="AO94" s="244" t="str">
        <f t="shared" si="34"/>
        <v/>
      </c>
      <c r="AP94" s="271" t="str">
        <f t="shared" si="15"/>
        <v/>
      </c>
      <c r="AQ94" s="265"/>
      <c r="AR94" s="263"/>
      <c r="AS94" s="84"/>
      <c r="AT94" s="86"/>
      <c r="AU94" s="87"/>
    </row>
    <row r="95" spans="1:47" ht="15" customHeight="1">
      <c r="A95" s="281" t="str">
        <f>IF($AC95="","",$AC95)</f>
        <v/>
      </c>
      <c r="B95" s="282" t="str">
        <f t="shared" si="35"/>
        <v/>
      </c>
      <c r="C95" s="618" t="str">
        <f>IF(AND($S95="",$U95="",$W95="",$AA95="",$AE95="",$AG95="",$AI95=""),"",MAX($C$10:$C94)+1)</f>
        <v/>
      </c>
      <c r="D95" s="619" t="str">
        <f t="shared" si="26"/>
        <v/>
      </c>
      <c r="E95" s="619" t="str">
        <f t="shared" si="27"/>
        <v/>
      </c>
      <c r="F95" s="619" t="str">
        <f t="shared" si="28"/>
        <v/>
      </c>
      <c r="G95" s="619" t="str">
        <f t="shared" si="29"/>
        <v/>
      </c>
      <c r="H95" s="620" t="str">
        <f t="shared" si="36"/>
        <v/>
      </c>
      <c r="I95" s="316" t="s">
        <v>304</v>
      </c>
      <c r="J95" s="254"/>
      <c r="K95" s="50" t="str">
        <f>IF($W95="","",IF($W95=1,IF(VLOOKUP($S95,ﾏｽﾀ!$E$8:$K$124,ﾏｽﾀ!$J$4-ﾏｽﾀ!$D$4,0)="E",DAY($J$4),ABS(VLOOKUP($S95,ﾏｽﾀ!$E$8:$K$124,ﾏｽﾀ!$J$4-ﾏｽﾀ!$D$4,0))),IF(VLOOKUP($S95,ﾏｽﾀ!$E$8:$K$124,ﾏｽﾀ!$K$4-ﾏｽﾀ!$D$4,0)="E",DAY($J$4),ABS(VLOOKUP($S95,ﾏｽﾀ!$E$8:$K$124,ﾏｽﾀ!$K$4-ﾏｽﾀ!$D$4,0)))))</f>
        <v/>
      </c>
      <c r="L95" s="255"/>
      <c r="M95" s="255"/>
      <c r="N95" s="255"/>
      <c r="O95" s="50" t="str">
        <f>IF($S95="","",IF($M95="",IF($J95="","ERR",IF(VLOOKUP($S95,ﾏｽﾀ!$E$8:$K$124,ﾏｽﾀ!$J$4-ﾏｽﾀ!$D$4,0)="E",MONTH($J95),IF(MONTH($J95)-1=0,12,MONTH($J95)-1))),MONTH($M95)))</f>
        <v/>
      </c>
      <c r="P95" s="50" t="str">
        <f>IF($S95="","",IF($M95="",IF($K95="","ERR",IF(VLOOKUP($S95,ﾏｽﾀ!$E$8:$K$124,ﾏｽﾀ!$J$4-ﾏｽﾀ!$D$4,0)="E",1,$K95+1)),DAY($M95)))</f>
        <v/>
      </c>
      <c r="Q95" s="50" t="str">
        <f t="shared" si="37"/>
        <v/>
      </c>
      <c r="R95" s="50" t="str">
        <f t="shared" si="38"/>
        <v/>
      </c>
      <c r="S95" s="601" t="str">
        <f>IF($T95="","",INDEX(ﾏｽﾀ!$E$8:$E$124,MATCH(INDEX(ﾏｽﾀ!$N$8:$N$124,MATCH($T95,ﾏｽﾀ!$O$8:$O$124,0)),ﾏｽﾀ!$B$8:$B$124,0))&amp;"")</f>
        <v/>
      </c>
      <c r="T95" s="535"/>
      <c r="U95" s="601" t="str">
        <f>IF($T95="","",INDEX(ﾏｽﾀ!$G$8:$G$124,MATCH(INDEX(ﾏｽﾀ!$N$8:$N$124,MATCH($T95,ﾏｽﾀ!$O$8:$O$124,0)),ﾏｽﾀ!$B$8:$B$124,0))&amp;"")</f>
        <v/>
      </c>
      <c r="V95" s="257"/>
      <c r="W95" s="602" t="str">
        <f>IF($X95="","",INDEX(ﾏｽﾀ!$T$8:$T$16,MATCH($X95,ﾏｽﾀ!$U$8:$U$16,0))&amp;"")</f>
        <v/>
      </c>
      <c r="X95" s="248"/>
      <c r="Y95" s="260"/>
      <c r="Z95" s="260"/>
      <c r="AA95" s="256"/>
      <c r="AB95" s="492" t="str">
        <f>IF($W95="","",IF($AA95="","ERR",IF($AA95="1",IF($AE95="","ERR",VLOOKUP($AA95,ﾏｽﾀ!$W$8:$X$10,ﾏｽﾀ!$X$4,0)),IF($AA95="2",IF($AG95="","ERR",VLOOKUP($AA95,ﾏｽﾀ!$W$8:$X$10,ﾏｽﾀ!$X$4,0)),IF($AA95="3",IF($AI95="","ERR",VLOOKUP($AA95,ﾏｽﾀ!$W$8:$X$10,ﾏｽﾀ!$X$4,0)),"ERR")))))</f>
        <v/>
      </c>
      <c r="AC95" s="261"/>
      <c r="AD95" s="321" t="str">
        <f>IF($AA95="1",COUNTIF('納品書明細16-E'!$D$9:$D$206,$AN95)+COUNTIF('納品書明細F-15'!$D$9:$D$297,$AN95)-IF(ISNA(MATCH(CONCATENATE(VLOOKUP($AC95,$AB$1:$AC$4,2,FALSE),$S95,IF($U95="","00",$U95),$W95,2),$F$11:$F$160,0)),0,SUMIF($F$11:$F$160,CONCATENATE(VLOOKUP($AC95,$AB$1:$AC$4,2,FALSE),$S95,IF($U95="","00",$U95),$W95,2),$AF$11:$AF$160)),"")</f>
        <v/>
      </c>
      <c r="AE95" s="319" t="str">
        <f>IF($AA95="1",SUMIF('納品書明細16-E'!$C$9:$C$206,$AO95,'納品書明細16-E'!$Q$9:$Q$206)+SUMIF('納品書明細F-15'!$C$9:$C$297,$AO95,'納品書明細F-15'!$Q$9:$Q$297)-IF(ISNA(MATCH(CONCATENATE(VLOOKUP($AC95,$AB$1:$AC$4,2,FALSE),$S95,IF($U95="","00",$U95),$W95,2),$F$11:$F$160,0)),0,SUMIF($F$11:$F$160,CONCATENATE(VLOOKUP($AC95,$AB$1:$AC$4,2,FALSE),$S95,IF($U95="","00",$U95),$W95,2),$AG$11:$AG$160)),"")</f>
        <v/>
      </c>
      <c r="AF95" s="322"/>
      <c r="AG95" s="327"/>
      <c r="AH95" s="57"/>
      <c r="AI95" s="319" t="str">
        <f>IF($AH95="","",IF(ISNA(MATCH($AH95,'納品書明細16-E'!$H$9:$H$206,0)),IF(ISNA(MATCH($AH95,'納品書明細F-15'!$H$9:$H$297,0)),"ERR",SUMIF('納品書明細F-15'!$H$9:$H$297,$AH95,'納品書明細F-15'!$Q$9:$Q$297)),SUMIF('納品書明細16-E'!$H$9:$H$206,$AH95,'納品書明細16-E'!$Q$9:$Q$206)))</f>
        <v/>
      </c>
      <c r="AJ95" s="116"/>
      <c r="AK95" s="329" t="str">
        <f t="shared" si="30"/>
        <v/>
      </c>
      <c r="AL95" s="272" t="str">
        <f t="shared" si="31"/>
        <v/>
      </c>
      <c r="AM95" s="273" t="str">
        <f t="shared" si="32"/>
        <v/>
      </c>
      <c r="AN95" s="244" t="str">
        <f t="shared" si="33"/>
        <v/>
      </c>
      <c r="AO95" s="244" t="str">
        <f t="shared" si="34"/>
        <v/>
      </c>
      <c r="AP95" s="271" t="str">
        <f t="shared" si="15"/>
        <v/>
      </c>
      <c r="AQ95" s="265"/>
      <c r="AR95" s="263"/>
      <c r="AS95" s="84"/>
      <c r="AT95" s="117"/>
      <c r="AU95" s="118"/>
    </row>
    <row r="96" spans="1:47" ht="15" customHeight="1">
      <c r="A96" s="281" t="str">
        <f t="shared" ref="A96:A159" si="39">IF($AC96="","",$AC96)</f>
        <v/>
      </c>
      <c r="B96" s="282" t="str">
        <f t="shared" si="35"/>
        <v/>
      </c>
      <c r="C96" s="618" t="str">
        <f>IF(AND($S96="",$U96="",$W96="",$AA96="",$AE96="",$AG96="",$AI96=""),"",MAX($C$10:$C95)+1)</f>
        <v/>
      </c>
      <c r="D96" s="619" t="str">
        <f t="shared" si="26"/>
        <v/>
      </c>
      <c r="E96" s="619" t="str">
        <f t="shared" si="27"/>
        <v/>
      </c>
      <c r="F96" s="619" t="str">
        <f t="shared" si="28"/>
        <v/>
      </c>
      <c r="G96" s="619" t="str">
        <f t="shared" si="29"/>
        <v/>
      </c>
      <c r="H96" s="620" t="str">
        <f t="shared" si="36"/>
        <v/>
      </c>
      <c r="I96" s="318" t="s">
        <v>305</v>
      </c>
      <c r="J96" s="254"/>
      <c r="K96" s="50" t="str">
        <f>IF($W96="","",IF($W96=1,IF(VLOOKUP($S96,ﾏｽﾀ!$E$8:$K$124,ﾏｽﾀ!$J$4-ﾏｽﾀ!$D$4,0)="E",DAY($J$4),ABS(VLOOKUP($S96,ﾏｽﾀ!$E$8:$K$124,ﾏｽﾀ!$J$4-ﾏｽﾀ!$D$4,0))),IF(VLOOKUP($S96,ﾏｽﾀ!$E$8:$K$124,ﾏｽﾀ!$K$4-ﾏｽﾀ!$D$4,0)="E",DAY($J$4),ABS(VLOOKUP($S96,ﾏｽﾀ!$E$8:$K$124,ﾏｽﾀ!$K$4-ﾏｽﾀ!$D$4,0)))))</f>
        <v/>
      </c>
      <c r="L96" s="255"/>
      <c r="M96" s="255"/>
      <c r="N96" s="255"/>
      <c r="O96" s="50" t="str">
        <f>IF($S96="","",IF($M96="",IF($J96="","ERR",IF(VLOOKUP($S96,ﾏｽﾀ!$E$8:$K$124,ﾏｽﾀ!$J$4-ﾏｽﾀ!$D$4,0)="E",MONTH($J96),IF(MONTH($J96)-1=0,12,MONTH($J96)-1))),MONTH($M96)))</f>
        <v/>
      </c>
      <c r="P96" s="50" t="str">
        <f>IF($S96="","",IF($M96="",IF($K96="","ERR",IF(VLOOKUP($S96,ﾏｽﾀ!$E$8:$K$124,ﾏｽﾀ!$J$4-ﾏｽﾀ!$D$4,0)="E",1,$K96+1)),DAY($M96)))</f>
        <v/>
      </c>
      <c r="Q96" s="50" t="str">
        <f t="shared" si="37"/>
        <v/>
      </c>
      <c r="R96" s="50" t="str">
        <f t="shared" si="38"/>
        <v/>
      </c>
      <c r="S96" s="601" t="str">
        <f>IF($T96="","",INDEX(ﾏｽﾀ!$E$8:$E$124,MATCH(INDEX(ﾏｽﾀ!$N$8:$N$124,MATCH($T96,ﾏｽﾀ!$O$8:$O$124,0)),ﾏｽﾀ!$B$8:$B$124,0))&amp;"")</f>
        <v/>
      </c>
      <c r="T96" s="535"/>
      <c r="U96" s="601" t="str">
        <f>IF($T96="","",INDEX(ﾏｽﾀ!$G$8:$G$124,MATCH(INDEX(ﾏｽﾀ!$N$8:$N$124,MATCH($T96,ﾏｽﾀ!$O$8:$O$124,0)),ﾏｽﾀ!$B$8:$B$124,0))&amp;"")</f>
        <v/>
      </c>
      <c r="V96" s="259"/>
      <c r="W96" s="602" t="str">
        <f>IF($X96="","",INDEX(ﾏｽﾀ!$T$8:$T$16,MATCH($X96,ﾏｽﾀ!$U$8:$U$16,0))&amp;"")</f>
        <v/>
      </c>
      <c r="X96" s="248"/>
      <c r="Y96" s="260"/>
      <c r="Z96" s="260"/>
      <c r="AA96" s="256"/>
      <c r="AB96" s="492" t="str">
        <f>IF($W96="","",IF($AA96="","ERR",IF($AA96="1",IF($AE96="","ERR",VLOOKUP($AA96,ﾏｽﾀ!$W$8:$X$10,ﾏｽﾀ!$X$4,0)),IF($AA96="2",IF($AG96="","ERR",VLOOKUP($AA96,ﾏｽﾀ!$W$8:$X$10,ﾏｽﾀ!$X$4,0)),IF($AA96="3",IF($AI96="","ERR",VLOOKUP($AA96,ﾏｽﾀ!$W$8:$X$10,ﾏｽﾀ!$X$4,0)),"ERR")))))</f>
        <v/>
      </c>
      <c r="AC96" s="261"/>
      <c r="AD96" s="321" t="str">
        <f>IF($AA96="1",COUNTIF('納品書明細16-E'!$D$9:$D$206,$AN96)+COUNTIF('納品書明細F-15'!$D$9:$D$297,$AN96)-IF(ISNA(MATCH(CONCATENATE(VLOOKUP($AC96,$AB$1:$AC$4,2,FALSE),$S96,IF($U96="","00",$U96),$W96,2),$F$11:$F$160,0)),0,SUMIF($F$11:$F$160,CONCATENATE(VLOOKUP($AC96,$AB$1:$AC$4,2,FALSE),$S96,IF($U96="","00",$U96),$W96,2),$AF$11:$AF$160)),"")</f>
        <v/>
      </c>
      <c r="AE96" s="319" t="str">
        <f>IF($AA96="1",SUMIF('納品書明細16-E'!$C$9:$C$206,$AO96,'納品書明細16-E'!$Q$9:$Q$206)+SUMIF('納品書明細F-15'!$C$9:$C$297,$AO96,'納品書明細F-15'!$Q$9:$Q$297)-IF(ISNA(MATCH(CONCATENATE(VLOOKUP($AC96,$AB$1:$AC$4,2,FALSE),$S96,IF($U96="","00",$U96),$W96,2),$F$11:$F$160,0)),0,SUMIF($F$11:$F$160,CONCATENATE(VLOOKUP($AC96,$AB$1:$AC$4,2,FALSE),$S96,IF($U96="","00",$U96),$W96,2),$AG$11:$AG$160)),"")</f>
        <v/>
      </c>
      <c r="AF96" s="325"/>
      <c r="AG96" s="327"/>
      <c r="AH96" s="57"/>
      <c r="AI96" s="319" t="str">
        <f>IF($AH96="","",IF(ISNA(MATCH($AH96,'納品書明細16-E'!$H$9:$H$206,0)),IF(ISNA(MATCH($AH96,'納品書明細F-15'!$H$9:$H$297,0)),"ERR",SUMIF('納品書明細F-15'!$H$9:$H$297,$AH96,'納品書明細F-15'!$Q$9:$Q$297)),SUMIF('納品書明細16-E'!$H$9:$H$206,$AH96,'納品書明細16-E'!$Q$9:$Q$206)))</f>
        <v/>
      </c>
      <c r="AK96" s="328" t="str">
        <f t="shared" si="30"/>
        <v/>
      </c>
      <c r="AL96" s="269" t="str">
        <f t="shared" si="31"/>
        <v/>
      </c>
      <c r="AM96" s="270" t="str">
        <f t="shared" si="32"/>
        <v/>
      </c>
      <c r="AN96" s="244" t="str">
        <f t="shared" si="33"/>
        <v/>
      </c>
      <c r="AO96" s="244" t="str">
        <f t="shared" si="34"/>
        <v/>
      </c>
      <c r="AP96" s="271" t="str">
        <f t="shared" si="15"/>
        <v/>
      </c>
      <c r="AQ96" s="265"/>
      <c r="AR96" s="263"/>
      <c r="AS96" s="84"/>
      <c r="AT96" s="86"/>
      <c r="AU96" s="87"/>
    </row>
    <row r="97" spans="1:47" ht="15" customHeight="1">
      <c r="A97" s="281" t="str">
        <f t="shared" si="39"/>
        <v/>
      </c>
      <c r="B97" s="282" t="str">
        <f t="shared" si="35"/>
        <v/>
      </c>
      <c r="C97" s="618" t="str">
        <f>IF(AND($S97="",$U97="",$W97="",$AA97="",$AE97="",$AG97="",$AI97=""),"",MAX($C$10:$C96)+1)</f>
        <v/>
      </c>
      <c r="D97" s="619" t="str">
        <f t="shared" si="26"/>
        <v/>
      </c>
      <c r="E97" s="619" t="str">
        <f t="shared" si="27"/>
        <v/>
      </c>
      <c r="F97" s="619" t="str">
        <f t="shared" si="28"/>
        <v/>
      </c>
      <c r="G97" s="619" t="str">
        <f t="shared" si="29"/>
        <v/>
      </c>
      <c r="H97" s="620" t="str">
        <f t="shared" si="36"/>
        <v/>
      </c>
      <c r="I97" s="316" t="s">
        <v>306</v>
      </c>
      <c r="J97" s="254"/>
      <c r="K97" s="50" t="str">
        <f>IF($W97="","",IF($W97=1,IF(VLOOKUP($S97,ﾏｽﾀ!$E$8:$K$124,ﾏｽﾀ!$J$4-ﾏｽﾀ!$D$4,0)="E",DAY($J$4),ABS(VLOOKUP($S97,ﾏｽﾀ!$E$8:$K$124,ﾏｽﾀ!$J$4-ﾏｽﾀ!$D$4,0))),IF(VLOOKUP($S97,ﾏｽﾀ!$E$8:$K$124,ﾏｽﾀ!$K$4-ﾏｽﾀ!$D$4,0)="E",DAY($J$4),ABS(VLOOKUP($S97,ﾏｽﾀ!$E$8:$K$124,ﾏｽﾀ!$K$4-ﾏｽﾀ!$D$4,0)))))</f>
        <v/>
      </c>
      <c r="L97" s="255"/>
      <c r="M97" s="255"/>
      <c r="N97" s="255"/>
      <c r="O97" s="50" t="str">
        <f>IF($S97="","",IF($M97="",IF($J97="","ERR",IF(VLOOKUP($S97,ﾏｽﾀ!$E$8:$K$124,ﾏｽﾀ!$J$4-ﾏｽﾀ!$D$4,0)="E",MONTH($J97),IF(MONTH($J97)-1=0,12,MONTH($J97)-1))),MONTH($M97)))</f>
        <v/>
      </c>
      <c r="P97" s="50" t="str">
        <f>IF($S97="","",IF($M97="",IF($K97="","ERR",IF(VLOOKUP($S97,ﾏｽﾀ!$E$8:$K$124,ﾏｽﾀ!$J$4-ﾏｽﾀ!$D$4,0)="E",1,$K97+1)),DAY($M97)))</f>
        <v/>
      </c>
      <c r="Q97" s="50" t="str">
        <f t="shared" si="37"/>
        <v/>
      </c>
      <c r="R97" s="50" t="str">
        <f t="shared" si="38"/>
        <v/>
      </c>
      <c r="S97" s="601" t="str">
        <f>IF($T97="","",INDEX(ﾏｽﾀ!$E$8:$E$124,MATCH(INDEX(ﾏｽﾀ!$N$8:$N$124,MATCH($T97,ﾏｽﾀ!$O$8:$O$124,0)),ﾏｽﾀ!$B$8:$B$124,0))&amp;"")</f>
        <v/>
      </c>
      <c r="T97" s="535"/>
      <c r="U97" s="601" t="str">
        <f>IF($T97="","",INDEX(ﾏｽﾀ!$G$8:$G$124,MATCH(INDEX(ﾏｽﾀ!$N$8:$N$124,MATCH($T97,ﾏｽﾀ!$O$8:$O$124,0)),ﾏｽﾀ!$B$8:$B$124,0))&amp;"")</f>
        <v/>
      </c>
      <c r="V97" s="257"/>
      <c r="W97" s="602" t="str">
        <f>IF($X97="","",INDEX(ﾏｽﾀ!$T$8:$T$16,MATCH($X97,ﾏｽﾀ!$U$8:$U$16,0))&amp;"")</f>
        <v/>
      </c>
      <c r="X97" s="248"/>
      <c r="Y97" s="260"/>
      <c r="Z97" s="260"/>
      <c r="AA97" s="256"/>
      <c r="AB97" s="492" t="str">
        <f>IF($W97="","",IF($AA97="","ERR",IF($AA97="1",IF($AE97="","ERR",VLOOKUP($AA97,ﾏｽﾀ!$W$8:$X$10,ﾏｽﾀ!$X$4,0)),IF($AA97="2",IF($AG97="","ERR",VLOOKUP($AA97,ﾏｽﾀ!$W$8:$X$10,ﾏｽﾀ!$X$4,0)),IF($AA97="3",IF($AI97="","ERR",VLOOKUP($AA97,ﾏｽﾀ!$W$8:$X$10,ﾏｽﾀ!$X$4,0)),"ERR")))))</f>
        <v/>
      </c>
      <c r="AC97" s="261"/>
      <c r="AD97" s="321" t="str">
        <f>IF($AA97="1",COUNTIF('納品書明細16-E'!$D$9:$D$206,$AN97)+COUNTIF('納品書明細F-15'!$D$9:$D$297,$AN97)-IF(ISNA(MATCH(CONCATENATE(VLOOKUP($AC97,$AB$1:$AC$4,2,FALSE),$S97,IF($U97="","00",$U97),$W97,2),$F$11:$F$160,0)),0,SUMIF($F$11:$F$160,CONCATENATE(VLOOKUP($AC97,$AB$1:$AC$4,2,FALSE),$S97,IF($U97="","00",$U97),$W97,2),$AF$11:$AF$160)),"")</f>
        <v/>
      </c>
      <c r="AE97" s="319" t="str">
        <f>IF($AA97="1",SUMIF('納品書明細16-E'!$C$9:$C$206,$AO97,'納品書明細16-E'!$Q$9:$Q$206)+SUMIF('納品書明細F-15'!$C$9:$C$297,$AO97,'納品書明細F-15'!$Q$9:$Q$297)-IF(ISNA(MATCH(CONCATENATE(VLOOKUP($AC97,$AB$1:$AC$4,2,FALSE),$S97,IF($U97="","00",$U97),$W97,2),$F$11:$F$160,0)),0,SUMIF($F$11:$F$160,CONCATENATE(VLOOKUP($AC97,$AB$1:$AC$4,2,FALSE),$S97,IF($U97="","00",$U97),$W97,2),$AG$11:$AG$160)),"")</f>
        <v/>
      </c>
      <c r="AF97" s="322"/>
      <c r="AG97" s="327"/>
      <c r="AH97" s="57"/>
      <c r="AI97" s="319" t="str">
        <f>IF($AH97="","",IF(ISNA(MATCH($AH97,'納品書明細16-E'!$H$9:$H$206,0)),IF(ISNA(MATCH($AH97,'納品書明細F-15'!$H$9:$H$297,0)),"ERR",SUMIF('納品書明細F-15'!$H$9:$H$297,$AH97,'納品書明細F-15'!$Q$9:$Q$297)),SUMIF('納品書明細16-E'!$H$9:$H$206,$AH97,'納品書明細16-E'!$Q$9:$Q$206)))</f>
        <v/>
      </c>
      <c r="AK97" s="328" t="str">
        <f t="shared" si="30"/>
        <v/>
      </c>
      <c r="AL97" s="269" t="str">
        <f t="shared" si="31"/>
        <v/>
      </c>
      <c r="AM97" s="270" t="str">
        <f t="shared" si="32"/>
        <v/>
      </c>
      <c r="AN97" s="244" t="str">
        <f t="shared" si="33"/>
        <v/>
      </c>
      <c r="AO97" s="244" t="str">
        <f t="shared" si="34"/>
        <v/>
      </c>
      <c r="AP97" s="271" t="str">
        <f t="shared" si="15"/>
        <v/>
      </c>
      <c r="AQ97" s="265"/>
      <c r="AR97" s="263"/>
      <c r="AS97" s="84"/>
      <c r="AT97" s="86"/>
      <c r="AU97" s="87"/>
    </row>
    <row r="98" spans="1:47" ht="15" customHeight="1">
      <c r="A98" s="281" t="str">
        <f t="shared" si="39"/>
        <v/>
      </c>
      <c r="B98" s="282" t="str">
        <f t="shared" si="35"/>
        <v/>
      </c>
      <c r="C98" s="618" t="str">
        <f>IF(AND($S98="",$U98="",$W98="",$AA98="",$AE98="",$AG98="",$AI98=""),"",MAX($C$10:$C97)+1)</f>
        <v/>
      </c>
      <c r="D98" s="619" t="str">
        <f t="shared" si="26"/>
        <v/>
      </c>
      <c r="E98" s="619" t="str">
        <f t="shared" si="27"/>
        <v/>
      </c>
      <c r="F98" s="619" t="str">
        <f t="shared" si="28"/>
        <v/>
      </c>
      <c r="G98" s="619" t="str">
        <f t="shared" si="29"/>
        <v/>
      </c>
      <c r="H98" s="620" t="str">
        <f t="shared" si="36"/>
        <v/>
      </c>
      <c r="I98" s="316" t="s">
        <v>307</v>
      </c>
      <c r="J98" s="254"/>
      <c r="K98" s="50" t="str">
        <f>IF($W98="","",IF($W98=1,IF(VLOOKUP($S98,ﾏｽﾀ!$E$8:$K$124,ﾏｽﾀ!$J$4-ﾏｽﾀ!$D$4,0)="E",DAY($J$4),ABS(VLOOKUP($S98,ﾏｽﾀ!$E$8:$K$124,ﾏｽﾀ!$J$4-ﾏｽﾀ!$D$4,0))),IF(VLOOKUP($S98,ﾏｽﾀ!$E$8:$K$124,ﾏｽﾀ!$K$4-ﾏｽﾀ!$D$4,0)="E",DAY($J$4),ABS(VLOOKUP($S98,ﾏｽﾀ!$E$8:$K$124,ﾏｽﾀ!$K$4-ﾏｽﾀ!$D$4,0)))))</f>
        <v/>
      </c>
      <c r="L98" s="255"/>
      <c r="M98" s="255"/>
      <c r="N98" s="255"/>
      <c r="O98" s="50" t="str">
        <f>IF($S98="","",IF($M98="",IF($J98="","ERR",IF(VLOOKUP($S98,ﾏｽﾀ!$E$8:$K$124,ﾏｽﾀ!$J$4-ﾏｽﾀ!$D$4,0)="E",MONTH($J98),IF(MONTH($J98)-1=0,12,MONTH($J98)-1))),MONTH($M98)))</f>
        <v/>
      </c>
      <c r="P98" s="50" t="str">
        <f>IF($S98="","",IF($M98="",IF($K98="","ERR",IF(VLOOKUP($S98,ﾏｽﾀ!$E$8:$K$124,ﾏｽﾀ!$J$4-ﾏｽﾀ!$D$4,0)="E",1,$K98+1)),DAY($M98)))</f>
        <v/>
      </c>
      <c r="Q98" s="50" t="str">
        <f t="shared" si="37"/>
        <v/>
      </c>
      <c r="R98" s="50" t="str">
        <f t="shared" si="38"/>
        <v/>
      </c>
      <c r="S98" s="601" t="str">
        <f>IF($T98="","",INDEX(ﾏｽﾀ!$E$8:$E$124,MATCH(INDEX(ﾏｽﾀ!$N$8:$N$124,MATCH($T98,ﾏｽﾀ!$O$8:$O$124,0)),ﾏｽﾀ!$B$8:$B$124,0))&amp;"")</f>
        <v/>
      </c>
      <c r="T98" s="535"/>
      <c r="U98" s="601" t="str">
        <f>IF($T98="","",INDEX(ﾏｽﾀ!$G$8:$G$124,MATCH(INDEX(ﾏｽﾀ!$N$8:$N$124,MATCH($T98,ﾏｽﾀ!$O$8:$O$124,0)),ﾏｽﾀ!$B$8:$B$124,0))&amp;"")</f>
        <v/>
      </c>
      <c r="V98" s="257"/>
      <c r="W98" s="602" t="str">
        <f>IF($X98="","",INDEX(ﾏｽﾀ!$T$8:$T$16,MATCH($X98,ﾏｽﾀ!$U$8:$U$16,0))&amp;"")</f>
        <v/>
      </c>
      <c r="X98" s="248"/>
      <c r="Y98" s="260"/>
      <c r="Z98" s="260"/>
      <c r="AA98" s="256"/>
      <c r="AB98" s="492" t="str">
        <f>IF($W98="","",IF($AA98="","ERR",IF($AA98="1",IF($AE98="","ERR",VLOOKUP($AA98,ﾏｽﾀ!$W$8:$X$10,ﾏｽﾀ!$X$4,0)),IF($AA98="2",IF($AG98="","ERR",VLOOKUP($AA98,ﾏｽﾀ!$W$8:$X$10,ﾏｽﾀ!$X$4,0)),IF($AA98="3",IF($AI98="","ERR",VLOOKUP($AA98,ﾏｽﾀ!$W$8:$X$10,ﾏｽﾀ!$X$4,0)),"ERR")))))</f>
        <v/>
      </c>
      <c r="AC98" s="261"/>
      <c r="AD98" s="321" t="str">
        <f>IF($AA98="1",COUNTIF('納品書明細16-E'!$D$9:$D$206,$AN98)+COUNTIF('納品書明細F-15'!$D$9:$D$297,$AN98)-IF(ISNA(MATCH(CONCATENATE(VLOOKUP($AC98,$AB$1:$AC$4,2,FALSE),$S98,IF($U98="","00",$U98),$W98,2),$F$11:$F$160,0)),0,SUMIF($F$11:$F$160,CONCATENATE(VLOOKUP($AC98,$AB$1:$AC$4,2,FALSE),$S98,IF($U98="","00",$U98),$W98,2),$AF$11:$AF$160)),"")</f>
        <v/>
      </c>
      <c r="AE98" s="319" t="str">
        <f>IF($AA98="1",SUMIF('納品書明細16-E'!$C$9:$C$206,$AO98,'納品書明細16-E'!$Q$9:$Q$206)+SUMIF('納品書明細F-15'!$C$9:$C$297,$AO98,'納品書明細F-15'!$Q$9:$Q$297)-IF(ISNA(MATCH(CONCATENATE(VLOOKUP($AC98,$AB$1:$AC$4,2,FALSE),$S98,IF($U98="","00",$U98),$W98,2),$F$11:$F$160,0)),0,SUMIF($F$11:$F$160,CONCATENATE(VLOOKUP($AC98,$AB$1:$AC$4,2,FALSE),$S98,IF($U98="","00",$U98),$W98,2),$AG$11:$AG$160)),"")</f>
        <v/>
      </c>
      <c r="AF98" s="322"/>
      <c r="AG98" s="327"/>
      <c r="AH98" s="57"/>
      <c r="AI98" s="319" t="str">
        <f>IF($AH98="","",IF(ISNA(MATCH($AH98,'納品書明細16-E'!$H$9:$H$206,0)),IF(ISNA(MATCH($AH98,'納品書明細F-15'!$H$9:$H$297,0)),"ERR",SUMIF('納品書明細F-15'!$H$9:$H$297,$AH98,'納品書明細F-15'!$Q$9:$Q$297)),SUMIF('納品書明細16-E'!$H$9:$H$206,$AH98,'納品書明細16-E'!$Q$9:$Q$206)))</f>
        <v/>
      </c>
      <c r="AK98" s="328" t="str">
        <f t="shared" si="30"/>
        <v/>
      </c>
      <c r="AL98" s="269" t="str">
        <f t="shared" si="31"/>
        <v/>
      </c>
      <c r="AM98" s="270" t="str">
        <f t="shared" si="32"/>
        <v/>
      </c>
      <c r="AN98" s="244" t="str">
        <f t="shared" si="33"/>
        <v/>
      </c>
      <c r="AO98" s="244" t="str">
        <f t="shared" si="34"/>
        <v/>
      </c>
      <c r="AP98" s="271" t="str">
        <f t="shared" ref="AP98:AP160" si="40">IF($AE98="",IF($AG98="",$AI98,$AG98),$AE98)</f>
        <v/>
      </c>
      <c r="AQ98" s="265"/>
      <c r="AR98" s="263"/>
      <c r="AS98" s="84"/>
      <c r="AT98" s="86"/>
      <c r="AU98" s="87"/>
    </row>
    <row r="99" spans="1:47" ht="15" customHeight="1">
      <c r="A99" s="281" t="str">
        <f t="shared" si="39"/>
        <v/>
      </c>
      <c r="B99" s="282" t="str">
        <f t="shared" si="35"/>
        <v/>
      </c>
      <c r="C99" s="618" t="str">
        <f>IF(AND($S99="",$U99="",$W99="",$AA99="",$AE99="",$AG99="",$AI99=""),"",MAX($C$10:$C98)+1)</f>
        <v/>
      </c>
      <c r="D99" s="619" t="str">
        <f t="shared" si="26"/>
        <v/>
      </c>
      <c r="E99" s="619" t="str">
        <f t="shared" si="27"/>
        <v/>
      </c>
      <c r="F99" s="619" t="str">
        <f t="shared" si="28"/>
        <v/>
      </c>
      <c r="G99" s="619" t="str">
        <f t="shared" si="29"/>
        <v/>
      </c>
      <c r="H99" s="620" t="str">
        <f t="shared" si="36"/>
        <v/>
      </c>
      <c r="I99" s="316" t="s">
        <v>308</v>
      </c>
      <c r="J99" s="254"/>
      <c r="K99" s="50" t="str">
        <f>IF($W99="","",IF($W99=1,IF(VLOOKUP($S99,ﾏｽﾀ!$E$8:$K$124,ﾏｽﾀ!$J$4-ﾏｽﾀ!$D$4,0)="E",DAY($J$4),ABS(VLOOKUP($S99,ﾏｽﾀ!$E$8:$K$124,ﾏｽﾀ!$J$4-ﾏｽﾀ!$D$4,0))),IF(VLOOKUP($S99,ﾏｽﾀ!$E$8:$K$124,ﾏｽﾀ!$K$4-ﾏｽﾀ!$D$4,0)="E",DAY($J$4),ABS(VLOOKUP($S99,ﾏｽﾀ!$E$8:$K$124,ﾏｽﾀ!$K$4-ﾏｽﾀ!$D$4,0)))))</f>
        <v/>
      </c>
      <c r="L99" s="255"/>
      <c r="M99" s="255"/>
      <c r="N99" s="255"/>
      <c r="O99" s="50" t="str">
        <f>IF($S99="","",IF($M99="",IF($J99="","ERR",IF(VLOOKUP($S99,ﾏｽﾀ!$E$8:$K$124,ﾏｽﾀ!$J$4-ﾏｽﾀ!$D$4,0)="E",MONTH($J99),IF(MONTH($J99)-1=0,12,MONTH($J99)-1))),MONTH($M99)))</f>
        <v/>
      </c>
      <c r="P99" s="50" t="str">
        <f>IF($S99="","",IF($M99="",IF($K99="","ERR",IF(VLOOKUP($S99,ﾏｽﾀ!$E$8:$K$124,ﾏｽﾀ!$J$4-ﾏｽﾀ!$D$4,0)="E",1,$K99+1)),DAY($M99)))</f>
        <v/>
      </c>
      <c r="Q99" s="50" t="str">
        <f t="shared" si="37"/>
        <v/>
      </c>
      <c r="R99" s="50" t="str">
        <f t="shared" si="38"/>
        <v/>
      </c>
      <c r="S99" s="601" t="str">
        <f>IF($T99="","",INDEX(ﾏｽﾀ!$E$8:$E$124,MATCH(INDEX(ﾏｽﾀ!$N$8:$N$124,MATCH($T99,ﾏｽﾀ!$O$8:$O$124,0)),ﾏｽﾀ!$B$8:$B$124,0))&amp;"")</f>
        <v/>
      </c>
      <c r="T99" s="535"/>
      <c r="U99" s="601" t="str">
        <f>IF($T99="","",INDEX(ﾏｽﾀ!$G$8:$G$124,MATCH(INDEX(ﾏｽﾀ!$N$8:$N$124,MATCH($T99,ﾏｽﾀ!$O$8:$O$124,0)),ﾏｽﾀ!$B$8:$B$124,0))&amp;"")</f>
        <v/>
      </c>
      <c r="V99" s="257"/>
      <c r="W99" s="602" t="str">
        <f>IF($X99="","",INDEX(ﾏｽﾀ!$T$8:$T$16,MATCH($X99,ﾏｽﾀ!$U$8:$U$16,0))&amp;"")</f>
        <v/>
      </c>
      <c r="X99" s="248"/>
      <c r="Y99" s="260"/>
      <c r="Z99" s="260"/>
      <c r="AA99" s="256"/>
      <c r="AB99" s="492" t="str">
        <f>IF($W99="","",IF($AA99="","ERR",IF($AA99="1",IF($AE99="","ERR",VLOOKUP($AA99,ﾏｽﾀ!$W$8:$X$10,ﾏｽﾀ!$X$4,0)),IF($AA99="2",IF($AG99="","ERR",VLOOKUP($AA99,ﾏｽﾀ!$W$8:$X$10,ﾏｽﾀ!$X$4,0)),IF($AA99="3",IF($AI99="","ERR",VLOOKUP($AA99,ﾏｽﾀ!$W$8:$X$10,ﾏｽﾀ!$X$4,0)),"ERR")))))</f>
        <v/>
      </c>
      <c r="AC99" s="261"/>
      <c r="AD99" s="321" t="str">
        <f>IF($AA99="1",COUNTIF('納品書明細16-E'!$D$9:$D$206,$AN99)+COUNTIF('納品書明細F-15'!$D$9:$D$297,$AN99)-IF(ISNA(MATCH(CONCATENATE(VLOOKUP($AC99,$AB$1:$AC$4,2,FALSE),$S99,IF($U99="","00",$U99),$W99,2),$F$11:$F$160,0)),0,SUMIF($F$11:$F$160,CONCATENATE(VLOOKUP($AC99,$AB$1:$AC$4,2,FALSE),$S99,IF($U99="","00",$U99),$W99,2),$AF$11:$AF$160)),"")</f>
        <v/>
      </c>
      <c r="AE99" s="319" t="str">
        <f>IF($AA99="1",SUMIF('納品書明細16-E'!$C$9:$C$206,$AO99,'納品書明細16-E'!$Q$9:$Q$206)+SUMIF('納品書明細F-15'!$C$9:$C$297,$AO99,'納品書明細F-15'!$Q$9:$Q$297)-IF(ISNA(MATCH(CONCATENATE(VLOOKUP($AC99,$AB$1:$AC$4,2,FALSE),$S99,IF($U99="","00",$U99),$W99,2),$F$11:$F$160,0)),0,SUMIF($F$11:$F$160,CONCATENATE(VLOOKUP($AC99,$AB$1:$AC$4,2,FALSE),$S99,IF($U99="","00",$U99),$W99,2),$AG$11:$AG$160)),"")</f>
        <v/>
      </c>
      <c r="AF99" s="322"/>
      <c r="AG99" s="327"/>
      <c r="AH99" s="57"/>
      <c r="AI99" s="319" t="str">
        <f>IF($AH99="","",IF(ISNA(MATCH($AH99,'納品書明細16-E'!$H$9:$H$206,0)),IF(ISNA(MATCH($AH99,'納品書明細F-15'!$H$9:$H$297,0)),"ERR",SUMIF('納品書明細F-15'!$H$9:$H$297,$AH99,'納品書明細F-15'!$Q$9:$Q$297)),SUMIF('納品書明細16-E'!$H$9:$H$206,$AH99,'納品書明細16-E'!$Q$9:$Q$206)))</f>
        <v/>
      </c>
      <c r="AK99" s="328" t="str">
        <f t="shared" si="30"/>
        <v/>
      </c>
      <c r="AL99" s="269" t="str">
        <f t="shared" si="31"/>
        <v/>
      </c>
      <c r="AM99" s="270" t="str">
        <f t="shared" si="32"/>
        <v/>
      </c>
      <c r="AN99" s="244" t="str">
        <f t="shared" si="33"/>
        <v/>
      </c>
      <c r="AO99" s="244" t="str">
        <f t="shared" si="34"/>
        <v/>
      </c>
      <c r="AP99" s="271" t="str">
        <f t="shared" si="40"/>
        <v/>
      </c>
      <c r="AQ99" s="265"/>
      <c r="AR99" s="263"/>
      <c r="AS99" s="84"/>
      <c r="AT99" s="86"/>
      <c r="AU99" s="87"/>
    </row>
    <row r="100" spans="1:47" ht="15" customHeight="1">
      <c r="A100" s="281" t="str">
        <f t="shared" si="39"/>
        <v/>
      </c>
      <c r="B100" s="282" t="str">
        <f t="shared" si="35"/>
        <v/>
      </c>
      <c r="C100" s="618" t="str">
        <f>IF(AND($S100="",$U100="",$W100="",$AA100="",$AE100="",$AG100="",$AI100=""),"",MAX($C$10:$C99)+1)</f>
        <v/>
      </c>
      <c r="D100" s="619" t="str">
        <f t="shared" si="26"/>
        <v/>
      </c>
      <c r="E100" s="619" t="str">
        <f t="shared" si="27"/>
        <v/>
      </c>
      <c r="F100" s="619" t="str">
        <f t="shared" si="28"/>
        <v/>
      </c>
      <c r="G100" s="619" t="str">
        <f t="shared" si="29"/>
        <v/>
      </c>
      <c r="H100" s="620" t="str">
        <f t="shared" si="36"/>
        <v/>
      </c>
      <c r="I100" s="316" t="s">
        <v>309</v>
      </c>
      <c r="J100" s="254"/>
      <c r="K100" s="50" t="str">
        <f>IF($W100="","",IF($W100=1,IF(VLOOKUP($S100,ﾏｽﾀ!$E$8:$K$124,ﾏｽﾀ!$J$4-ﾏｽﾀ!$D$4,0)="E",DAY($J$4),ABS(VLOOKUP($S100,ﾏｽﾀ!$E$8:$K$124,ﾏｽﾀ!$J$4-ﾏｽﾀ!$D$4,0))),IF(VLOOKUP($S100,ﾏｽﾀ!$E$8:$K$124,ﾏｽﾀ!$K$4-ﾏｽﾀ!$D$4,0)="E",DAY($J$4),ABS(VLOOKUP($S100,ﾏｽﾀ!$E$8:$K$124,ﾏｽﾀ!$K$4-ﾏｽﾀ!$D$4,0)))))</f>
        <v/>
      </c>
      <c r="L100" s="255"/>
      <c r="M100" s="255"/>
      <c r="N100" s="255"/>
      <c r="O100" s="50" t="str">
        <f>IF($S100="","",IF($M100="",IF($J100="","ERR",IF(VLOOKUP($S100,ﾏｽﾀ!$E$8:$K$124,ﾏｽﾀ!$J$4-ﾏｽﾀ!$D$4,0)="E",MONTH($J100),IF(MONTH($J100)-1=0,12,MONTH($J100)-1))),MONTH($M100)))</f>
        <v/>
      </c>
      <c r="P100" s="50" t="str">
        <f>IF($S100="","",IF($M100="",IF($K100="","ERR",IF(VLOOKUP($S100,ﾏｽﾀ!$E$8:$K$124,ﾏｽﾀ!$J$4-ﾏｽﾀ!$D$4,0)="E",1,$K100+1)),DAY($M100)))</f>
        <v/>
      </c>
      <c r="Q100" s="50" t="str">
        <f t="shared" si="37"/>
        <v/>
      </c>
      <c r="R100" s="50" t="str">
        <f t="shared" si="38"/>
        <v/>
      </c>
      <c r="S100" s="601" t="str">
        <f>IF($T100="","",INDEX(ﾏｽﾀ!$E$8:$E$124,MATCH(INDEX(ﾏｽﾀ!$N$8:$N$124,MATCH($T100,ﾏｽﾀ!$O$8:$O$124,0)),ﾏｽﾀ!$B$8:$B$124,0))&amp;"")</f>
        <v/>
      </c>
      <c r="T100" s="535"/>
      <c r="U100" s="601" t="str">
        <f>IF($T100="","",INDEX(ﾏｽﾀ!$G$8:$G$124,MATCH(INDEX(ﾏｽﾀ!$N$8:$N$124,MATCH($T100,ﾏｽﾀ!$O$8:$O$124,0)),ﾏｽﾀ!$B$8:$B$124,0))&amp;"")</f>
        <v/>
      </c>
      <c r="V100" s="257"/>
      <c r="W100" s="602" t="str">
        <f>IF($X100="","",INDEX(ﾏｽﾀ!$T$8:$T$16,MATCH($X100,ﾏｽﾀ!$U$8:$U$16,0))&amp;"")</f>
        <v/>
      </c>
      <c r="X100" s="248"/>
      <c r="Y100" s="260"/>
      <c r="Z100" s="260"/>
      <c r="AA100" s="256"/>
      <c r="AB100" s="492" t="str">
        <f>IF($W100="","",IF($AA100="","ERR",IF($AA100="1",IF($AE100="","ERR",VLOOKUP($AA100,ﾏｽﾀ!$W$8:$X$10,ﾏｽﾀ!$X$4,0)),IF($AA100="2",IF($AG100="","ERR",VLOOKUP($AA100,ﾏｽﾀ!$W$8:$X$10,ﾏｽﾀ!$X$4,0)),IF($AA100="3",IF($AI100="","ERR",VLOOKUP($AA100,ﾏｽﾀ!$W$8:$X$10,ﾏｽﾀ!$X$4,0)),"ERR")))))</f>
        <v/>
      </c>
      <c r="AC100" s="261"/>
      <c r="AD100" s="321" t="str">
        <f>IF($AA100="1",COUNTIF('納品書明細16-E'!$D$9:$D$206,$AN100)+COUNTIF('納品書明細F-15'!$D$9:$D$297,$AN100)-IF(ISNA(MATCH(CONCATENATE(VLOOKUP($AC100,$AB$1:$AC$4,2,FALSE),$S100,IF($U100="","00",$U100),$W100,2),$F$11:$F$160,0)),0,SUMIF($F$11:$F$160,CONCATENATE(VLOOKUP($AC100,$AB$1:$AC$4,2,FALSE),$S100,IF($U100="","00",$U100),$W100,2),$AF$11:$AF$160)),"")</f>
        <v/>
      </c>
      <c r="AE100" s="319" t="str">
        <f>IF($AA100="1",SUMIF('納品書明細16-E'!$C$9:$C$206,$AO100,'納品書明細16-E'!$Q$9:$Q$206)+SUMIF('納品書明細F-15'!$C$9:$C$297,$AO100,'納品書明細F-15'!$Q$9:$Q$297)-IF(ISNA(MATCH(CONCATENATE(VLOOKUP($AC100,$AB$1:$AC$4,2,FALSE),$S100,IF($U100="","00",$U100),$W100,2),$F$11:$F$160,0)),0,SUMIF($F$11:$F$160,CONCATENATE(VLOOKUP($AC100,$AB$1:$AC$4,2,FALSE),$S100,IF($U100="","00",$U100),$W100,2),$AG$11:$AG$160)),"")</f>
        <v/>
      </c>
      <c r="AF100" s="322"/>
      <c r="AG100" s="327"/>
      <c r="AH100" s="57"/>
      <c r="AI100" s="319" t="str">
        <f>IF($AH100="","",IF(ISNA(MATCH($AH100,'納品書明細16-E'!$H$9:$H$206,0)),IF(ISNA(MATCH($AH100,'納品書明細F-15'!$H$9:$H$297,0)),"ERR",SUMIF('納品書明細F-15'!$H$9:$H$297,$AH100,'納品書明細F-15'!$Q$9:$Q$297)),SUMIF('納品書明細16-E'!$H$9:$H$206,$AH100,'納品書明細16-E'!$Q$9:$Q$206)))</f>
        <v/>
      </c>
      <c r="AK100" s="328" t="str">
        <f t="shared" si="30"/>
        <v/>
      </c>
      <c r="AL100" s="269" t="str">
        <f t="shared" si="31"/>
        <v/>
      </c>
      <c r="AM100" s="270" t="str">
        <f t="shared" si="32"/>
        <v/>
      </c>
      <c r="AN100" s="244" t="str">
        <f t="shared" si="33"/>
        <v/>
      </c>
      <c r="AO100" s="244" t="str">
        <f t="shared" si="34"/>
        <v/>
      </c>
      <c r="AP100" s="271" t="str">
        <f t="shared" si="40"/>
        <v/>
      </c>
      <c r="AQ100" s="265"/>
      <c r="AR100" s="263"/>
      <c r="AS100" s="84"/>
      <c r="AT100" s="86"/>
      <c r="AU100" s="87"/>
    </row>
    <row r="101" spans="1:47" ht="15" customHeight="1">
      <c r="A101" s="281" t="str">
        <f t="shared" si="39"/>
        <v/>
      </c>
      <c r="B101" s="282" t="str">
        <f t="shared" si="35"/>
        <v/>
      </c>
      <c r="C101" s="618" t="str">
        <f>IF(AND($S101="",$U101="",$W101="",$AA101="",$AE101="",$AG101="",$AI101=""),"",MAX($C$10:$C100)+1)</f>
        <v/>
      </c>
      <c r="D101" s="619" t="str">
        <f t="shared" si="26"/>
        <v/>
      </c>
      <c r="E101" s="619" t="str">
        <f t="shared" si="27"/>
        <v/>
      </c>
      <c r="F101" s="619" t="str">
        <f t="shared" si="28"/>
        <v/>
      </c>
      <c r="G101" s="619" t="str">
        <f t="shared" si="29"/>
        <v/>
      </c>
      <c r="H101" s="620" t="str">
        <f t="shared" si="36"/>
        <v/>
      </c>
      <c r="I101" s="316" t="s">
        <v>310</v>
      </c>
      <c r="J101" s="254"/>
      <c r="K101" s="50" t="str">
        <f>IF($W101="","",IF($W101=1,IF(VLOOKUP($S101,ﾏｽﾀ!$E$8:$K$124,ﾏｽﾀ!$J$4-ﾏｽﾀ!$D$4,0)="E",DAY($J$4),ABS(VLOOKUP($S101,ﾏｽﾀ!$E$8:$K$124,ﾏｽﾀ!$J$4-ﾏｽﾀ!$D$4,0))),IF(VLOOKUP($S101,ﾏｽﾀ!$E$8:$K$124,ﾏｽﾀ!$K$4-ﾏｽﾀ!$D$4,0)="E",DAY($J$4),ABS(VLOOKUP($S101,ﾏｽﾀ!$E$8:$K$124,ﾏｽﾀ!$K$4-ﾏｽﾀ!$D$4,0)))))</f>
        <v/>
      </c>
      <c r="L101" s="255"/>
      <c r="M101" s="255"/>
      <c r="N101" s="255"/>
      <c r="O101" s="50" t="str">
        <f>IF($S101="","",IF($M101="",IF($J101="","ERR",IF(VLOOKUP($S101,ﾏｽﾀ!$E$8:$K$124,ﾏｽﾀ!$J$4-ﾏｽﾀ!$D$4,0)="E",MONTH($J101),IF(MONTH($J101)-1=0,12,MONTH($J101)-1))),MONTH($M101)))</f>
        <v/>
      </c>
      <c r="P101" s="50" t="str">
        <f>IF($S101="","",IF($M101="",IF($K101="","ERR",IF(VLOOKUP($S101,ﾏｽﾀ!$E$8:$K$124,ﾏｽﾀ!$J$4-ﾏｽﾀ!$D$4,0)="E",1,$K101+1)),DAY($M101)))</f>
        <v/>
      </c>
      <c r="Q101" s="50" t="str">
        <f t="shared" si="37"/>
        <v/>
      </c>
      <c r="R101" s="50" t="str">
        <f t="shared" si="38"/>
        <v/>
      </c>
      <c r="S101" s="601" t="str">
        <f>IF($T101="","",INDEX(ﾏｽﾀ!$E$8:$E$124,MATCH(INDEX(ﾏｽﾀ!$N$8:$N$124,MATCH($T101,ﾏｽﾀ!$O$8:$O$124,0)),ﾏｽﾀ!$B$8:$B$124,0))&amp;"")</f>
        <v/>
      </c>
      <c r="T101" s="535"/>
      <c r="U101" s="601" t="str">
        <f>IF($T101="","",INDEX(ﾏｽﾀ!$G$8:$G$124,MATCH(INDEX(ﾏｽﾀ!$N$8:$N$124,MATCH($T101,ﾏｽﾀ!$O$8:$O$124,0)),ﾏｽﾀ!$B$8:$B$124,0))&amp;"")</f>
        <v/>
      </c>
      <c r="V101" s="257"/>
      <c r="W101" s="602" t="str">
        <f>IF($X101="","",INDEX(ﾏｽﾀ!$T$8:$T$16,MATCH($X101,ﾏｽﾀ!$U$8:$U$16,0))&amp;"")</f>
        <v/>
      </c>
      <c r="X101" s="248"/>
      <c r="Y101" s="260"/>
      <c r="Z101" s="260"/>
      <c r="AA101" s="256"/>
      <c r="AB101" s="492" t="str">
        <f>IF($W101="","",IF($AA101="","ERR",IF($AA101="1",IF($AE101="","ERR",VLOOKUP($AA101,ﾏｽﾀ!$W$8:$X$10,ﾏｽﾀ!$X$4,0)),IF($AA101="2",IF($AG101="","ERR",VLOOKUP($AA101,ﾏｽﾀ!$W$8:$X$10,ﾏｽﾀ!$X$4,0)),IF($AA101="3",IF($AI101="","ERR",VLOOKUP($AA101,ﾏｽﾀ!$W$8:$X$10,ﾏｽﾀ!$X$4,0)),"ERR")))))</f>
        <v/>
      </c>
      <c r="AC101" s="261"/>
      <c r="AD101" s="321" t="str">
        <f>IF($AA101="1",COUNTIF('納品書明細16-E'!$D$9:$D$206,$AN101)+COUNTIF('納品書明細F-15'!$D$9:$D$297,$AN101)-IF(ISNA(MATCH(CONCATENATE(VLOOKUP($AC101,$AB$1:$AC$4,2,FALSE),$S101,IF($U101="","00",$U101),$W101,2),$F$11:$F$160,0)),0,SUMIF($F$11:$F$160,CONCATENATE(VLOOKUP($AC101,$AB$1:$AC$4,2,FALSE),$S101,IF($U101="","00",$U101),$W101,2),$AF$11:$AF$160)),"")</f>
        <v/>
      </c>
      <c r="AE101" s="319" t="str">
        <f>IF($AA101="1",SUMIF('納品書明細16-E'!$C$9:$C$206,$AO101,'納品書明細16-E'!$Q$9:$Q$206)+SUMIF('納品書明細F-15'!$C$9:$C$297,$AO101,'納品書明細F-15'!$Q$9:$Q$297)-IF(ISNA(MATCH(CONCATENATE(VLOOKUP($AC101,$AB$1:$AC$4,2,FALSE),$S101,IF($U101="","00",$U101),$W101,2),$F$11:$F$160,0)),0,SUMIF($F$11:$F$160,CONCATENATE(VLOOKUP($AC101,$AB$1:$AC$4,2,FALSE),$S101,IF($U101="","00",$U101),$W101,2),$AG$11:$AG$160)),"")</f>
        <v/>
      </c>
      <c r="AF101" s="322"/>
      <c r="AG101" s="327"/>
      <c r="AH101" s="57"/>
      <c r="AI101" s="319" t="str">
        <f>IF($AH101="","",IF(ISNA(MATCH($AH101,'納品書明細16-E'!$H$9:$H$206,0)),IF(ISNA(MATCH($AH101,'納品書明細F-15'!$H$9:$H$297,0)),"ERR",SUMIF('納品書明細F-15'!$H$9:$H$297,$AH101,'納品書明細F-15'!$Q$9:$Q$297)),SUMIF('納品書明細16-E'!$H$9:$H$206,$AH101,'納品書明細16-E'!$Q$9:$Q$206)))</f>
        <v/>
      </c>
      <c r="AK101" s="328" t="str">
        <f t="shared" si="30"/>
        <v/>
      </c>
      <c r="AL101" s="269" t="str">
        <f t="shared" si="31"/>
        <v/>
      </c>
      <c r="AM101" s="270" t="str">
        <f t="shared" si="32"/>
        <v/>
      </c>
      <c r="AN101" s="244" t="str">
        <f t="shared" si="33"/>
        <v/>
      </c>
      <c r="AO101" s="244" t="str">
        <f t="shared" si="34"/>
        <v/>
      </c>
      <c r="AP101" s="271" t="str">
        <f t="shared" si="40"/>
        <v/>
      </c>
      <c r="AQ101" s="265"/>
      <c r="AR101" s="263"/>
      <c r="AS101" s="84"/>
      <c r="AT101" s="86"/>
      <c r="AU101" s="87"/>
    </row>
    <row r="102" spans="1:47" ht="15" customHeight="1">
      <c r="A102" s="281" t="str">
        <f t="shared" si="39"/>
        <v/>
      </c>
      <c r="B102" s="282" t="str">
        <f t="shared" si="35"/>
        <v/>
      </c>
      <c r="C102" s="618" t="str">
        <f>IF(AND($S102="",$U102="",$W102="",$AA102="",$AE102="",$AG102="",$AI102=""),"",MAX($C$10:$C101)+1)</f>
        <v/>
      </c>
      <c r="D102" s="619" t="str">
        <f t="shared" si="26"/>
        <v/>
      </c>
      <c r="E102" s="619" t="str">
        <f t="shared" si="27"/>
        <v/>
      </c>
      <c r="F102" s="619" t="str">
        <f t="shared" si="28"/>
        <v/>
      </c>
      <c r="G102" s="619" t="str">
        <f t="shared" si="29"/>
        <v/>
      </c>
      <c r="H102" s="620" t="str">
        <f t="shared" si="36"/>
        <v/>
      </c>
      <c r="I102" s="316" t="s">
        <v>311</v>
      </c>
      <c r="J102" s="254"/>
      <c r="K102" s="50" t="str">
        <f>IF($W102="","",IF($W102=1,IF(VLOOKUP($S102,ﾏｽﾀ!$E$8:$K$124,ﾏｽﾀ!$J$4-ﾏｽﾀ!$D$4,0)="E",DAY($J$4),ABS(VLOOKUP($S102,ﾏｽﾀ!$E$8:$K$124,ﾏｽﾀ!$J$4-ﾏｽﾀ!$D$4,0))),IF(VLOOKUP($S102,ﾏｽﾀ!$E$8:$K$124,ﾏｽﾀ!$K$4-ﾏｽﾀ!$D$4,0)="E",DAY($J$4),ABS(VLOOKUP($S102,ﾏｽﾀ!$E$8:$K$124,ﾏｽﾀ!$K$4-ﾏｽﾀ!$D$4,0)))))</f>
        <v/>
      </c>
      <c r="L102" s="255"/>
      <c r="M102" s="255"/>
      <c r="N102" s="255"/>
      <c r="O102" s="50" t="str">
        <f>IF($S102="","",IF($M102="",IF($J102="","ERR",IF(VLOOKUP($S102,ﾏｽﾀ!$E$8:$K$124,ﾏｽﾀ!$J$4-ﾏｽﾀ!$D$4,0)="E",MONTH($J102),IF(MONTH($J102)-1=0,12,MONTH($J102)-1))),MONTH($M102)))</f>
        <v/>
      </c>
      <c r="P102" s="50" t="str">
        <f>IF($S102="","",IF($M102="",IF($K102="","ERR",IF(VLOOKUP($S102,ﾏｽﾀ!$E$8:$K$124,ﾏｽﾀ!$J$4-ﾏｽﾀ!$D$4,0)="E",1,$K102+1)),DAY($M102)))</f>
        <v/>
      </c>
      <c r="Q102" s="50" t="str">
        <f t="shared" si="37"/>
        <v/>
      </c>
      <c r="R102" s="50" t="str">
        <f t="shared" si="38"/>
        <v/>
      </c>
      <c r="S102" s="601" t="str">
        <f>IF($T102="","",INDEX(ﾏｽﾀ!$E$8:$E$124,MATCH(INDEX(ﾏｽﾀ!$N$8:$N$124,MATCH($T102,ﾏｽﾀ!$O$8:$O$124,0)),ﾏｽﾀ!$B$8:$B$124,0))&amp;"")</f>
        <v/>
      </c>
      <c r="T102" s="535"/>
      <c r="U102" s="601" t="str">
        <f>IF($T102="","",INDEX(ﾏｽﾀ!$G$8:$G$124,MATCH(INDEX(ﾏｽﾀ!$N$8:$N$124,MATCH($T102,ﾏｽﾀ!$O$8:$O$124,0)),ﾏｽﾀ!$B$8:$B$124,0))&amp;"")</f>
        <v/>
      </c>
      <c r="V102" s="257"/>
      <c r="W102" s="602" t="str">
        <f>IF($X102="","",INDEX(ﾏｽﾀ!$T$8:$T$16,MATCH($X102,ﾏｽﾀ!$U$8:$U$16,0))&amp;"")</f>
        <v/>
      </c>
      <c r="X102" s="248"/>
      <c r="Y102" s="260"/>
      <c r="Z102" s="260"/>
      <c r="AA102" s="256"/>
      <c r="AB102" s="492" t="str">
        <f>IF($W102="","",IF($AA102="","ERR",IF($AA102="1",IF($AE102="","ERR",VLOOKUP($AA102,ﾏｽﾀ!$W$8:$X$10,ﾏｽﾀ!$X$4,0)),IF($AA102="2",IF($AG102="","ERR",VLOOKUP($AA102,ﾏｽﾀ!$W$8:$X$10,ﾏｽﾀ!$X$4,0)),IF($AA102="3",IF($AI102="","ERR",VLOOKUP($AA102,ﾏｽﾀ!$W$8:$X$10,ﾏｽﾀ!$X$4,0)),"ERR")))))</f>
        <v/>
      </c>
      <c r="AC102" s="261"/>
      <c r="AD102" s="321" t="str">
        <f>IF($AA102="1",COUNTIF('納品書明細16-E'!$D$9:$D$206,$AN102)+COUNTIF('納品書明細F-15'!$D$9:$D$297,$AN102)-IF(ISNA(MATCH(CONCATENATE(VLOOKUP($AC102,$AB$1:$AC$4,2,FALSE),$S102,IF($U102="","00",$U102),$W102,2),$F$11:$F$160,0)),0,SUMIF($F$11:$F$160,CONCATENATE(VLOOKUP($AC102,$AB$1:$AC$4,2,FALSE),$S102,IF($U102="","00",$U102),$W102,2),$AF$11:$AF$160)),"")</f>
        <v/>
      </c>
      <c r="AE102" s="319" t="str">
        <f>IF($AA102="1",SUMIF('納品書明細16-E'!$C$9:$C$206,$AO102,'納品書明細16-E'!$Q$9:$Q$206)+SUMIF('納品書明細F-15'!$C$9:$C$297,$AO102,'納品書明細F-15'!$Q$9:$Q$297)-IF(ISNA(MATCH(CONCATENATE(VLOOKUP($AC102,$AB$1:$AC$4,2,FALSE),$S102,IF($U102="","00",$U102),$W102,2),$F$11:$F$160,0)),0,SUMIF($F$11:$F$160,CONCATENATE(VLOOKUP($AC102,$AB$1:$AC$4,2,FALSE),$S102,IF($U102="","00",$U102),$W102,2),$AG$11:$AG$160)),"")</f>
        <v/>
      </c>
      <c r="AF102" s="322"/>
      <c r="AG102" s="327"/>
      <c r="AH102" s="57"/>
      <c r="AI102" s="319" t="str">
        <f>IF($AH102="","",IF(ISNA(MATCH($AH102,'納品書明細16-E'!$H$9:$H$206,0)),IF(ISNA(MATCH($AH102,'納品書明細F-15'!$H$9:$H$297,0)),"ERR",SUMIF('納品書明細F-15'!$H$9:$H$297,$AH102,'納品書明細F-15'!$Q$9:$Q$297)),SUMIF('納品書明細16-E'!$H$9:$H$206,$AH102,'納品書明細16-E'!$Q$9:$Q$206)))</f>
        <v/>
      </c>
      <c r="AK102" s="328" t="str">
        <f t="shared" si="30"/>
        <v/>
      </c>
      <c r="AL102" s="269" t="str">
        <f t="shared" si="31"/>
        <v/>
      </c>
      <c r="AM102" s="270" t="str">
        <f t="shared" si="32"/>
        <v/>
      </c>
      <c r="AN102" s="244" t="str">
        <f t="shared" si="33"/>
        <v/>
      </c>
      <c r="AO102" s="244" t="str">
        <f t="shared" si="34"/>
        <v/>
      </c>
      <c r="AP102" s="271" t="str">
        <f t="shared" si="40"/>
        <v/>
      </c>
      <c r="AQ102" s="265"/>
      <c r="AR102" s="263"/>
      <c r="AS102" s="84"/>
      <c r="AT102" s="86"/>
      <c r="AU102" s="87"/>
    </row>
    <row r="103" spans="1:47" ht="15" customHeight="1">
      <c r="A103" s="281" t="str">
        <f t="shared" si="39"/>
        <v/>
      </c>
      <c r="B103" s="282" t="str">
        <f t="shared" si="35"/>
        <v/>
      </c>
      <c r="C103" s="618" t="str">
        <f>IF(AND($S103="",$U103="",$W103="",$AA103="",$AE103="",$AG103="",$AI103=""),"",MAX($C$10:$C102)+1)</f>
        <v/>
      </c>
      <c r="D103" s="619" t="str">
        <f t="shared" si="26"/>
        <v/>
      </c>
      <c r="E103" s="619" t="str">
        <f t="shared" si="27"/>
        <v/>
      </c>
      <c r="F103" s="619" t="str">
        <f t="shared" si="28"/>
        <v/>
      </c>
      <c r="G103" s="619" t="str">
        <f t="shared" si="29"/>
        <v/>
      </c>
      <c r="H103" s="620" t="str">
        <f t="shared" si="36"/>
        <v/>
      </c>
      <c r="I103" s="316" t="s">
        <v>312</v>
      </c>
      <c r="J103" s="254"/>
      <c r="K103" s="50" t="str">
        <f>IF($W103="","",IF($W103=1,IF(VLOOKUP($S103,ﾏｽﾀ!$E$8:$K$124,ﾏｽﾀ!$J$4-ﾏｽﾀ!$D$4,0)="E",DAY($J$4),ABS(VLOOKUP($S103,ﾏｽﾀ!$E$8:$K$124,ﾏｽﾀ!$J$4-ﾏｽﾀ!$D$4,0))),IF(VLOOKUP($S103,ﾏｽﾀ!$E$8:$K$124,ﾏｽﾀ!$K$4-ﾏｽﾀ!$D$4,0)="E",DAY($J$4),ABS(VLOOKUP($S103,ﾏｽﾀ!$E$8:$K$124,ﾏｽﾀ!$K$4-ﾏｽﾀ!$D$4,0)))))</f>
        <v/>
      </c>
      <c r="L103" s="255"/>
      <c r="M103" s="255"/>
      <c r="N103" s="255"/>
      <c r="O103" s="50" t="str">
        <f>IF($S103="","",IF($M103="",IF($J103="","ERR",IF(VLOOKUP($S103,ﾏｽﾀ!$E$8:$K$124,ﾏｽﾀ!$J$4-ﾏｽﾀ!$D$4,0)="E",MONTH($J103),IF(MONTH($J103)-1=0,12,MONTH($J103)-1))),MONTH($M103)))</f>
        <v/>
      </c>
      <c r="P103" s="50" t="str">
        <f>IF($S103="","",IF($M103="",IF($K103="","ERR",IF(VLOOKUP($S103,ﾏｽﾀ!$E$8:$K$124,ﾏｽﾀ!$J$4-ﾏｽﾀ!$D$4,0)="E",1,$K103+1)),DAY($M103)))</f>
        <v/>
      </c>
      <c r="Q103" s="50" t="str">
        <f t="shared" si="37"/>
        <v/>
      </c>
      <c r="R103" s="50" t="str">
        <f t="shared" si="38"/>
        <v/>
      </c>
      <c r="S103" s="601" t="str">
        <f>IF($T103="","",INDEX(ﾏｽﾀ!$E$8:$E$124,MATCH(INDEX(ﾏｽﾀ!$N$8:$N$124,MATCH($T103,ﾏｽﾀ!$O$8:$O$124,0)),ﾏｽﾀ!$B$8:$B$124,0))&amp;"")</f>
        <v/>
      </c>
      <c r="T103" s="535"/>
      <c r="U103" s="601" t="str">
        <f>IF($T103="","",INDEX(ﾏｽﾀ!$G$8:$G$124,MATCH(INDEX(ﾏｽﾀ!$N$8:$N$124,MATCH($T103,ﾏｽﾀ!$O$8:$O$124,0)),ﾏｽﾀ!$B$8:$B$124,0))&amp;"")</f>
        <v/>
      </c>
      <c r="V103" s="257"/>
      <c r="W103" s="602" t="str">
        <f>IF($X103="","",INDEX(ﾏｽﾀ!$T$8:$T$16,MATCH($X103,ﾏｽﾀ!$U$8:$U$16,0))&amp;"")</f>
        <v/>
      </c>
      <c r="X103" s="248"/>
      <c r="Y103" s="260"/>
      <c r="Z103" s="260"/>
      <c r="AA103" s="256"/>
      <c r="AB103" s="492" t="str">
        <f>IF($W103="","",IF($AA103="","ERR",IF($AA103="1",IF($AE103="","ERR",VLOOKUP($AA103,ﾏｽﾀ!$W$8:$X$10,ﾏｽﾀ!$X$4,0)),IF($AA103="2",IF($AG103="","ERR",VLOOKUP($AA103,ﾏｽﾀ!$W$8:$X$10,ﾏｽﾀ!$X$4,0)),IF($AA103="3",IF($AI103="","ERR",VLOOKUP($AA103,ﾏｽﾀ!$W$8:$X$10,ﾏｽﾀ!$X$4,0)),"ERR")))))</f>
        <v/>
      </c>
      <c r="AC103" s="261"/>
      <c r="AD103" s="321" t="str">
        <f>IF($AA103="1",COUNTIF('納品書明細16-E'!$D$9:$D$206,$AN103)+COUNTIF('納品書明細F-15'!$D$9:$D$297,$AN103)-IF(ISNA(MATCH(CONCATENATE(VLOOKUP($AC103,$AB$1:$AC$4,2,FALSE),$S103,IF($U103="","00",$U103),$W103,2),$F$11:$F$160,0)),0,SUMIF($F$11:$F$160,CONCATENATE(VLOOKUP($AC103,$AB$1:$AC$4,2,FALSE),$S103,IF($U103="","00",$U103),$W103,2),$AF$11:$AF$160)),"")</f>
        <v/>
      </c>
      <c r="AE103" s="319" t="str">
        <f>IF($AA103="1",SUMIF('納品書明細16-E'!$C$9:$C$206,$AO103,'納品書明細16-E'!$Q$9:$Q$206)+SUMIF('納品書明細F-15'!$C$9:$C$297,$AO103,'納品書明細F-15'!$Q$9:$Q$297)-IF(ISNA(MATCH(CONCATENATE(VLOOKUP($AC103,$AB$1:$AC$4,2,FALSE),$S103,IF($U103="","00",$U103),$W103,2),$F$11:$F$160,0)),0,SUMIF($F$11:$F$160,CONCATENATE(VLOOKUP($AC103,$AB$1:$AC$4,2,FALSE),$S103,IF($U103="","00",$U103),$W103,2),$AG$11:$AG$160)),"")</f>
        <v/>
      </c>
      <c r="AF103" s="322"/>
      <c r="AG103" s="327"/>
      <c r="AH103" s="57"/>
      <c r="AI103" s="319" t="str">
        <f>IF($AH103="","",IF(ISNA(MATCH($AH103,'納品書明細16-E'!$H$9:$H$206,0)),IF(ISNA(MATCH($AH103,'納品書明細F-15'!$H$9:$H$297,0)),"ERR",SUMIF('納品書明細F-15'!$H$9:$H$297,$AH103,'納品書明細F-15'!$Q$9:$Q$297)),SUMIF('納品書明細16-E'!$H$9:$H$206,$AH103,'納品書明細16-E'!$Q$9:$Q$206)))</f>
        <v/>
      </c>
      <c r="AK103" s="328" t="str">
        <f t="shared" si="30"/>
        <v/>
      </c>
      <c r="AL103" s="269" t="str">
        <f t="shared" si="31"/>
        <v/>
      </c>
      <c r="AM103" s="270" t="str">
        <f t="shared" si="32"/>
        <v/>
      </c>
      <c r="AN103" s="244" t="str">
        <f t="shared" si="33"/>
        <v/>
      </c>
      <c r="AO103" s="244" t="str">
        <f t="shared" si="34"/>
        <v/>
      </c>
      <c r="AP103" s="271" t="str">
        <f t="shared" si="40"/>
        <v/>
      </c>
      <c r="AQ103" s="265"/>
      <c r="AR103" s="263"/>
      <c r="AS103" s="84"/>
      <c r="AT103" s="86"/>
      <c r="AU103" s="87"/>
    </row>
    <row r="104" spans="1:47" ht="15" customHeight="1">
      <c r="A104" s="281" t="str">
        <f t="shared" si="39"/>
        <v/>
      </c>
      <c r="B104" s="282" t="str">
        <f t="shared" si="35"/>
        <v/>
      </c>
      <c r="C104" s="618" t="str">
        <f>IF(AND($S104="",$U104="",$W104="",$AA104="",$AE104="",$AG104="",$AI104=""),"",MAX($C$10:$C103)+1)</f>
        <v/>
      </c>
      <c r="D104" s="619" t="str">
        <f t="shared" si="26"/>
        <v/>
      </c>
      <c r="E104" s="619" t="str">
        <f t="shared" si="27"/>
        <v/>
      </c>
      <c r="F104" s="619" t="str">
        <f t="shared" si="28"/>
        <v/>
      </c>
      <c r="G104" s="619" t="str">
        <f t="shared" si="29"/>
        <v/>
      </c>
      <c r="H104" s="620" t="str">
        <f t="shared" si="36"/>
        <v/>
      </c>
      <c r="I104" s="316" t="s">
        <v>313</v>
      </c>
      <c r="J104" s="254"/>
      <c r="K104" s="50" t="str">
        <f>IF($W104="","",IF($W104=1,IF(VLOOKUP($S104,ﾏｽﾀ!$E$8:$K$124,ﾏｽﾀ!$J$4-ﾏｽﾀ!$D$4,0)="E",DAY($J$4),ABS(VLOOKUP($S104,ﾏｽﾀ!$E$8:$K$124,ﾏｽﾀ!$J$4-ﾏｽﾀ!$D$4,0))),IF(VLOOKUP($S104,ﾏｽﾀ!$E$8:$K$124,ﾏｽﾀ!$K$4-ﾏｽﾀ!$D$4,0)="E",DAY($J$4),ABS(VLOOKUP($S104,ﾏｽﾀ!$E$8:$K$124,ﾏｽﾀ!$K$4-ﾏｽﾀ!$D$4,0)))))</f>
        <v/>
      </c>
      <c r="L104" s="255"/>
      <c r="M104" s="255"/>
      <c r="N104" s="255"/>
      <c r="O104" s="50" t="str">
        <f>IF($S104="","",IF($M104="",IF($J104="","ERR",IF(VLOOKUP($S104,ﾏｽﾀ!$E$8:$K$124,ﾏｽﾀ!$J$4-ﾏｽﾀ!$D$4,0)="E",MONTH($J104),IF(MONTH($J104)-1=0,12,MONTH($J104)-1))),MONTH($M104)))</f>
        <v/>
      </c>
      <c r="P104" s="50" t="str">
        <f>IF($S104="","",IF($M104="",IF($K104="","ERR",IF(VLOOKUP($S104,ﾏｽﾀ!$E$8:$K$124,ﾏｽﾀ!$J$4-ﾏｽﾀ!$D$4,0)="E",1,$K104+1)),DAY($M104)))</f>
        <v/>
      </c>
      <c r="Q104" s="50" t="str">
        <f t="shared" si="37"/>
        <v/>
      </c>
      <c r="R104" s="50" t="str">
        <f t="shared" si="38"/>
        <v/>
      </c>
      <c r="S104" s="601" t="str">
        <f>IF($T104="","",INDEX(ﾏｽﾀ!$E$8:$E$124,MATCH(INDEX(ﾏｽﾀ!$N$8:$N$124,MATCH($T104,ﾏｽﾀ!$O$8:$O$124,0)),ﾏｽﾀ!$B$8:$B$124,0))&amp;"")</f>
        <v/>
      </c>
      <c r="T104" s="535"/>
      <c r="U104" s="601" t="str">
        <f>IF($T104="","",INDEX(ﾏｽﾀ!$G$8:$G$124,MATCH(INDEX(ﾏｽﾀ!$N$8:$N$124,MATCH($T104,ﾏｽﾀ!$O$8:$O$124,0)),ﾏｽﾀ!$B$8:$B$124,0))&amp;"")</f>
        <v/>
      </c>
      <c r="V104" s="257"/>
      <c r="W104" s="602" t="str">
        <f>IF($X104="","",INDEX(ﾏｽﾀ!$T$8:$T$16,MATCH($X104,ﾏｽﾀ!$U$8:$U$16,0))&amp;"")</f>
        <v/>
      </c>
      <c r="X104" s="248"/>
      <c r="Y104" s="260"/>
      <c r="Z104" s="260"/>
      <c r="AA104" s="256"/>
      <c r="AB104" s="492" t="str">
        <f>IF($W104="","",IF($AA104="","ERR",IF($AA104="1",IF($AE104="","ERR",VLOOKUP($AA104,ﾏｽﾀ!$W$8:$X$10,ﾏｽﾀ!$X$4,0)),IF($AA104="2",IF($AG104="","ERR",VLOOKUP($AA104,ﾏｽﾀ!$W$8:$X$10,ﾏｽﾀ!$X$4,0)),IF($AA104="3",IF($AI104="","ERR",VLOOKUP($AA104,ﾏｽﾀ!$W$8:$X$10,ﾏｽﾀ!$X$4,0)),"ERR")))))</f>
        <v/>
      </c>
      <c r="AC104" s="261"/>
      <c r="AD104" s="321" t="str">
        <f>IF($AA104="1",COUNTIF('納品書明細16-E'!$D$9:$D$206,$AN104)+COUNTIF('納品書明細F-15'!$D$9:$D$297,$AN104)-IF(ISNA(MATCH(CONCATENATE(VLOOKUP($AC104,$AB$1:$AC$4,2,FALSE),$S104,IF($U104="","00",$U104),$W104,2),$F$11:$F$160,0)),0,SUMIF($F$11:$F$160,CONCATENATE(VLOOKUP($AC104,$AB$1:$AC$4,2,FALSE),$S104,IF($U104="","00",$U104),$W104,2),$AF$11:$AF$160)),"")</f>
        <v/>
      </c>
      <c r="AE104" s="319" t="str">
        <f>IF($AA104="1",SUMIF('納品書明細16-E'!$C$9:$C$206,$AO104,'納品書明細16-E'!$Q$9:$Q$206)+SUMIF('納品書明細F-15'!$C$9:$C$297,$AO104,'納品書明細F-15'!$Q$9:$Q$297)-IF(ISNA(MATCH(CONCATENATE(VLOOKUP($AC104,$AB$1:$AC$4,2,FALSE),$S104,IF($U104="","00",$U104),$W104,2),$F$11:$F$160,0)),0,SUMIF($F$11:$F$160,CONCATENATE(VLOOKUP($AC104,$AB$1:$AC$4,2,FALSE),$S104,IF($U104="","00",$U104),$W104,2),$AG$11:$AG$160)),"")</f>
        <v/>
      </c>
      <c r="AF104" s="322"/>
      <c r="AG104" s="327"/>
      <c r="AH104" s="57"/>
      <c r="AI104" s="319" t="str">
        <f>IF($AH104="","",IF(ISNA(MATCH($AH104,'納品書明細16-E'!$H$9:$H$206,0)),IF(ISNA(MATCH($AH104,'納品書明細F-15'!$H$9:$H$297,0)),"ERR",SUMIF('納品書明細F-15'!$H$9:$H$297,$AH104,'納品書明細F-15'!$Q$9:$Q$297)),SUMIF('納品書明細16-E'!$H$9:$H$206,$AH104,'納品書明細16-E'!$Q$9:$Q$206)))</f>
        <v/>
      </c>
      <c r="AK104" s="328" t="str">
        <f t="shared" si="30"/>
        <v/>
      </c>
      <c r="AL104" s="269" t="str">
        <f t="shared" si="31"/>
        <v/>
      </c>
      <c r="AM104" s="270" t="str">
        <f t="shared" si="32"/>
        <v/>
      </c>
      <c r="AN104" s="244" t="str">
        <f t="shared" si="33"/>
        <v/>
      </c>
      <c r="AO104" s="244" t="str">
        <f t="shared" si="34"/>
        <v/>
      </c>
      <c r="AP104" s="271" t="str">
        <f t="shared" si="40"/>
        <v/>
      </c>
      <c r="AQ104" s="265"/>
      <c r="AR104" s="263"/>
      <c r="AS104" s="84"/>
      <c r="AT104" s="86"/>
      <c r="AU104" s="87"/>
    </row>
    <row r="105" spans="1:47" ht="15" customHeight="1">
      <c r="A105" s="281" t="str">
        <f t="shared" si="39"/>
        <v/>
      </c>
      <c r="B105" s="282" t="str">
        <f t="shared" si="35"/>
        <v/>
      </c>
      <c r="C105" s="618" t="str">
        <f>IF(AND($S105="",$U105="",$W105="",$AA105="",$AE105="",$AG105="",$AI105=""),"",MAX($C$10:$C104)+1)</f>
        <v/>
      </c>
      <c r="D105" s="619" t="str">
        <f t="shared" si="26"/>
        <v/>
      </c>
      <c r="E105" s="619" t="str">
        <f t="shared" si="27"/>
        <v/>
      </c>
      <c r="F105" s="619" t="str">
        <f t="shared" si="28"/>
        <v/>
      </c>
      <c r="G105" s="619" t="str">
        <f t="shared" si="29"/>
        <v/>
      </c>
      <c r="H105" s="620" t="str">
        <f t="shared" si="36"/>
        <v/>
      </c>
      <c r="I105" s="316" t="s">
        <v>314</v>
      </c>
      <c r="J105" s="254"/>
      <c r="K105" s="50" t="str">
        <f>IF($W105="","",IF($W105=1,IF(VLOOKUP($S105,ﾏｽﾀ!$E$8:$K$124,ﾏｽﾀ!$J$4-ﾏｽﾀ!$D$4,0)="E",DAY($J$4),ABS(VLOOKUP($S105,ﾏｽﾀ!$E$8:$K$124,ﾏｽﾀ!$J$4-ﾏｽﾀ!$D$4,0))),IF(VLOOKUP($S105,ﾏｽﾀ!$E$8:$K$124,ﾏｽﾀ!$K$4-ﾏｽﾀ!$D$4,0)="E",DAY($J$4),ABS(VLOOKUP($S105,ﾏｽﾀ!$E$8:$K$124,ﾏｽﾀ!$K$4-ﾏｽﾀ!$D$4,0)))))</f>
        <v/>
      </c>
      <c r="L105" s="255"/>
      <c r="M105" s="255"/>
      <c r="N105" s="255"/>
      <c r="O105" s="50" t="str">
        <f>IF($S105="","",IF($M105="",IF($J105="","ERR",IF(VLOOKUP($S105,ﾏｽﾀ!$E$8:$K$124,ﾏｽﾀ!$J$4-ﾏｽﾀ!$D$4,0)="E",MONTH($J105),IF(MONTH($J105)-1=0,12,MONTH($J105)-1))),MONTH($M105)))</f>
        <v/>
      </c>
      <c r="P105" s="50" t="str">
        <f>IF($S105="","",IF($M105="",IF($K105="","ERR",IF(VLOOKUP($S105,ﾏｽﾀ!$E$8:$K$124,ﾏｽﾀ!$J$4-ﾏｽﾀ!$D$4,0)="E",1,$K105+1)),DAY($M105)))</f>
        <v/>
      </c>
      <c r="Q105" s="50" t="str">
        <f t="shared" si="37"/>
        <v/>
      </c>
      <c r="R105" s="50" t="str">
        <f t="shared" si="38"/>
        <v/>
      </c>
      <c r="S105" s="601" t="str">
        <f>IF($T105="","",INDEX(ﾏｽﾀ!$E$8:$E$124,MATCH(INDEX(ﾏｽﾀ!$N$8:$N$124,MATCH($T105,ﾏｽﾀ!$O$8:$O$124,0)),ﾏｽﾀ!$B$8:$B$124,0))&amp;"")</f>
        <v/>
      </c>
      <c r="T105" s="535"/>
      <c r="U105" s="601" t="str">
        <f>IF($T105="","",INDEX(ﾏｽﾀ!$G$8:$G$124,MATCH(INDEX(ﾏｽﾀ!$N$8:$N$124,MATCH($T105,ﾏｽﾀ!$O$8:$O$124,0)),ﾏｽﾀ!$B$8:$B$124,0))&amp;"")</f>
        <v/>
      </c>
      <c r="V105" s="257"/>
      <c r="W105" s="602" t="str">
        <f>IF($X105="","",INDEX(ﾏｽﾀ!$T$8:$T$16,MATCH($X105,ﾏｽﾀ!$U$8:$U$16,0))&amp;"")</f>
        <v/>
      </c>
      <c r="X105" s="248"/>
      <c r="Y105" s="260"/>
      <c r="Z105" s="260"/>
      <c r="AA105" s="256"/>
      <c r="AB105" s="492" t="str">
        <f>IF($W105="","",IF($AA105="","ERR",IF($AA105="1",IF($AE105="","ERR",VLOOKUP($AA105,ﾏｽﾀ!$W$8:$X$10,ﾏｽﾀ!$X$4,0)),IF($AA105="2",IF($AG105="","ERR",VLOOKUP($AA105,ﾏｽﾀ!$W$8:$X$10,ﾏｽﾀ!$X$4,0)),IF($AA105="3",IF($AI105="","ERR",VLOOKUP($AA105,ﾏｽﾀ!$W$8:$X$10,ﾏｽﾀ!$X$4,0)),"ERR")))))</f>
        <v/>
      </c>
      <c r="AC105" s="261"/>
      <c r="AD105" s="321" t="str">
        <f>IF($AA105="1",COUNTIF('納品書明細16-E'!$D$9:$D$206,$AN105)+COUNTIF('納品書明細F-15'!$D$9:$D$297,$AN105)-IF(ISNA(MATCH(CONCATENATE(VLOOKUP($AC105,$AB$1:$AC$4,2,FALSE),$S105,IF($U105="","00",$U105),$W105,2),$F$11:$F$160,0)),0,SUMIF($F$11:$F$160,CONCATENATE(VLOOKUP($AC105,$AB$1:$AC$4,2,FALSE),$S105,IF($U105="","00",$U105),$W105,2),$AF$11:$AF$160)),"")</f>
        <v/>
      </c>
      <c r="AE105" s="319" t="str">
        <f>IF($AA105="1",SUMIF('納品書明細16-E'!$C$9:$C$206,$AO105,'納品書明細16-E'!$Q$9:$Q$206)+SUMIF('納品書明細F-15'!$C$9:$C$297,$AO105,'納品書明細F-15'!$Q$9:$Q$297)-IF(ISNA(MATCH(CONCATENATE(VLOOKUP($AC105,$AB$1:$AC$4,2,FALSE),$S105,IF($U105="","00",$U105),$W105,2),$F$11:$F$160,0)),0,SUMIF($F$11:$F$160,CONCATENATE(VLOOKUP($AC105,$AB$1:$AC$4,2,FALSE),$S105,IF($U105="","00",$U105),$W105,2),$AG$11:$AG$160)),"")</f>
        <v/>
      </c>
      <c r="AF105" s="322"/>
      <c r="AG105" s="327"/>
      <c r="AH105" s="57"/>
      <c r="AI105" s="319" t="str">
        <f>IF($AH105="","",IF(ISNA(MATCH($AH105,'納品書明細16-E'!$H$9:$H$206,0)),IF(ISNA(MATCH($AH105,'納品書明細F-15'!$H$9:$H$297,0)),"ERR",SUMIF('納品書明細F-15'!$H$9:$H$297,$AH105,'納品書明細F-15'!$Q$9:$Q$297)),SUMIF('納品書明細16-E'!$H$9:$H$206,$AH105,'納品書明細16-E'!$Q$9:$Q$206)))</f>
        <v/>
      </c>
      <c r="AK105" s="328" t="str">
        <f t="shared" si="30"/>
        <v/>
      </c>
      <c r="AL105" s="269" t="str">
        <f t="shared" si="31"/>
        <v/>
      </c>
      <c r="AM105" s="270" t="str">
        <f t="shared" si="32"/>
        <v/>
      </c>
      <c r="AN105" s="244" t="str">
        <f t="shared" si="33"/>
        <v/>
      </c>
      <c r="AO105" s="244" t="str">
        <f t="shared" si="34"/>
        <v/>
      </c>
      <c r="AP105" s="271" t="str">
        <f t="shared" si="40"/>
        <v/>
      </c>
      <c r="AQ105" s="265"/>
      <c r="AR105" s="263"/>
      <c r="AS105" s="84"/>
      <c r="AT105" s="86"/>
      <c r="AU105" s="87"/>
    </row>
    <row r="106" spans="1:47" ht="15" customHeight="1">
      <c r="A106" s="281" t="str">
        <f t="shared" si="39"/>
        <v/>
      </c>
      <c r="B106" s="282" t="str">
        <f t="shared" si="35"/>
        <v/>
      </c>
      <c r="C106" s="618" t="str">
        <f>IF(AND($S106="",$U106="",$W106="",$AA106="",$AE106="",$AG106="",$AI106=""),"",MAX($C$10:$C105)+1)</f>
        <v/>
      </c>
      <c r="D106" s="619" t="str">
        <f t="shared" si="26"/>
        <v/>
      </c>
      <c r="E106" s="619" t="str">
        <f t="shared" si="27"/>
        <v/>
      </c>
      <c r="F106" s="619" t="str">
        <f t="shared" si="28"/>
        <v/>
      </c>
      <c r="G106" s="619" t="str">
        <f t="shared" si="29"/>
        <v/>
      </c>
      <c r="H106" s="620" t="str">
        <f t="shared" si="36"/>
        <v/>
      </c>
      <c r="I106" s="316" t="s">
        <v>315</v>
      </c>
      <c r="J106" s="254"/>
      <c r="K106" s="50" t="str">
        <f>IF($W106="","",IF($W106=1,IF(VLOOKUP($S106,ﾏｽﾀ!$E$8:$K$124,ﾏｽﾀ!$J$4-ﾏｽﾀ!$D$4,0)="E",DAY($J$4),ABS(VLOOKUP($S106,ﾏｽﾀ!$E$8:$K$124,ﾏｽﾀ!$J$4-ﾏｽﾀ!$D$4,0))),IF(VLOOKUP($S106,ﾏｽﾀ!$E$8:$K$124,ﾏｽﾀ!$K$4-ﾏｽﾀ!$D$4,0)="E",DAY($J$4),ABS(VLOOKUP($S106,ﾏｽﾀ!$E$8:$K$124,ﾏｽﾀ!$K$4-ﾏｽﾀ!$D$4,0)))))</f>
        <v/>
      </c>
      <c r="L106" s="255"/>
      <c r="M106" s="255"/>
      <c r="N106" s="255"/>
      <c r="O106" s="50" t="str">
        <f>IF($S106="","",IF($M106="",IF($J106="","ERR",IF(VLOOKUP($S106,ﾏｽﾀ!$E$8:$K$124,ﾏｽﾀ!$J$4-ﾏｽﾀ!$D$4,0)="E",MONTH($J106),IF(MONTH($J106)-1=0,12,MONTH($J106)-1))),MONTH($M106)))</f>
        <v/>
      </c>
      <c r="P106" s="50" t="str">
        <f>IF($S106="","",IF($M106="",IF($K106="","ERR",IF(VLOOKUP($S106,ﾏｽﾀ!$E$8:$K$124,ﾏｽﾀ!$J$4-ﾏｽﾀ!$D$4,0)="E",1,$K106+1)),DAY($M106)))</f>
        <v/>
      </c>
      <c r="Q106" s="50" t="str">
        <f t="shared" si="37"/>
        <v/>
      </c>
      <c r="R106" s="50" t="str">
        <f t="shared" si="38"/>
        <v/>
      </c>
      <c r="S106" s="601" t="str">
        <f>IF($T106="","",INDEX(ﾏｽﾀ!$E$8:$E$124,MATCH(INDEX(ﾏｽﾀ!$N$8:$N$124,MATCH($T106,ﾏｽﾀ!$O$8:$O$124,0)),ﾏｽﾀ!$B$8:$B$124,0))&amp;"")</f>
        <v/>
      </c>
      <c r="T106" s="535"/>
      <c r="U106" s="601" t="str">
        <f>IF($T106="","",INDEX(ﾏｽﾀ!$G$8:$G$124,MATCH(INDEX(ﾏｽﾀ!$N$8:$N$124,MATCH($T106,ﾏｽﾀ!$O$8:$O$124,0)),ﾏｽﾀ!$B$8:$B$124,0))&amp;"")</f>
        <v/>
      </c>
      <c r="V106" s="257"/>
      <c r="W106" s="602" t="str">
        <f>IF($X106="","",INDEX(ﾏｽﾀ!$T$8:$T$16,MATCH($X106,ﾏｽﾀ!$U$8:$U$16,0))&amp;"")</f>
        <v/>
      </c>
      <c r="X106" s="248"/>
      <c r="Y106" s="260"/>
      <c r="Z106" s="260"/>
      <c r="AA106" s="256"/>
      <c r="AB106" s="492" t="str">
        <f>IF($W106="","",IF($AA106="","ERR",IF($AA106="1",IF($AE106="","ERR",VLOOKUP($AA106,ﾏｽﾀ!$W$8:$X$10,ﾏｽﾀ!$X$4,0)),IF($AA106="2",IF($AG106="","ERR",VLOOKUP($AA106,ﾏｽﾀ!$W$8:$X$10,ﾏｽﾀ!$X$4,0)),IF($AA106="3",IF($AI106="","ERR",VLOOKUP($AA106,ﾏｽﾀ!$W$8:$X$10,ﾏｽﾀ!$X$4,0)),"ERR")))))</f>
        <v/>
      </c>
      <c r="AC106" s="261"/>
      <c r="AD106" s="321" t="str">
        <f>IF($AA106="1",COUNTIF('納品書明細16-E'!$D$9:$D$206,$AN106)+COUNTIF('納品書明細F-15'!$D$9:$D$297,$AN106)-IF(ISNA(MATCH(CONCATENATE(VLOOKUP($AC106,$AB$1:$AC$4,2,FALSE),$S106,IF($U106="","00",$U106),$W106,2),$F$11:$F$160,0)),0,SUMIF($F$11:$F$160,CONCATENATE(VLOOKUP($AC106,$AB$1:$AC$4,2,FALSE),$S106,IF($U106="","00",$U106),$W106,2),$AF$11:$AF$160)),"")</f>
        <v/>
      </c>
      <c r="AE106" s="319" t="str">
        <f>IF($AA106="1",SUMIF('納品書明細16-E'!$C$9:$C$206,$AO106,'納品書明細16-E'!$Q$9:$Q$206)+SUMIF('納品書明細F-15'!$C$9:$C$297,$AO106,'納品書明細F-15'!$Q$9:$Q$297)-IF(ISNA(MATCH(CONCATENATE(VLOOKUP($AC106,$AB$1:$AC$4,2,FALSE),$S106,IF($U106="","00",$U106),$W106,2),$F$11:$F$160,0)),0,SUMIF($F$11:$F$160,CONCATENATE(VLOOKUP($AC106,$AB$1:$AC$4,2,FALSE),$S106,IF($U106="","00",$U106),$W106,2),$AG$11:$AG$160)),"")</f>
        <v/>
      </c>
      <c r="AF106" s="322"/>
      <c r="AG106" s="327"/>
      <c r="AH106" s="57"/>
      <c r="AI106" s="319" t="str">
        <f>IF($AH106="","",IF(ISNA(MATCH($AH106,'納品書明細16-E'!$H$9:$H$206,0)),IF(ISNA(MATCH($AH106,'納品書明細F-15'!$H$9:$H$297,0)),"ERR",SUMIF('納品書明細F-15'!$H$9:$H$297,$AH106,'納品書明細F-15'!$Q$9:$Q$297)),SUMIF('納品書明細16-E'!$H$9:$H$206,$AH106,'納品書明細16-E'!$Q$9:$Q$206)))</f>
        <v/>
      </c>
      <c r="AK106" s="328" t="str">
        <f t="shared" si="30"/>
        <v/>
      </c>
      <c r="AL106" s="269" t="str">
        <f t="shared" si="31"/>
        <v/>
      </c>
      <c r="AM106" s="270" t="str">
        <f t="shared" si="32"/>
        <v/>
      </c>
      <c r="AN106" s="244" t="str">
        <f t="shared" si="33"/>
        <v/>
      </c>
      <c r="AO106" s="244" t="str">
        <f t="shared" si="34"/>
        <v/>
      </c>
      <c r="AP106" s="271" t="str">
        <f t="shared" si="40"/>
        <v/>
      </c>
      <c r="AQ106" s="265"/>
      <c r="AR106" s="267"/>
      <c r="AS106" s="84"/>
      <c r="AT106" s="86"/>
      <c r="AU106" s="87"/>
    </row>
    <row r="107" spans="1:47" ht="15" customHeight="1">
      <c r="A107" s="281" t="str">
        <f t="shared" si="39"/>
        <v/>
      </c>
      <c r="B107" s="282" t="str">
        <f t="shared" si="35"/>
        <v/>
      </c>
      <c r="C107" s="618" t="str">
        <f>IF(AND($S107="",$U107="",$W107="",$AA107="",$AE107="",$AG107="",$AI107=""),"",MAX($C$10:$C106)+1)</f>
        <v/>
      </c>
      <c r="D107" s="619" t="str">
        <f t="shared" ref="D107:D138" si="41">IF($C107="","",CONCATENATE(VLOOKUP($AC107,$AB$1:$AC$4,2,FALSE),$S107,IF($U107="","00",$U107)))</f>
        <v/>
      </c>
      <c r="E107" s="619" t="str">
        <f t="shared" ref="E107:E138" si="42">IF($C107="","",ABS(CONCATENATE(VLOOKUP($AC107,$AB$1:$AC$4,2,FALSE),$S107,IF($U107="","00",$U107),MID($I107,FIND("B",$I107)+1,5))))</f>
        <v/>
      </c>
      <c r="F107" s="619" t="str">
        <f t="shared" ref="F107:F138" si="43">IF($S107="","",CONCATENATE(VLOOKUP($AC107,$AB$1:$AC$4,2,FALSE),$S107,IF($U107="","00",$U107),$W107,$AA107))</f>
        <v/>
      </c>
      <c r="G107" s="619" t="str">
        <f t="shared" ref="G107:G138" si="44">IF($S107="","",CONCATENATE(VLOOKUP($AC107,$AB$1:$AC$4,2,FALSE),$S107,IF($U107="","00",$U107),$AA107))</f>
        <v/>
      </c>
      <c r="H107" s="620" t="str">
        <f t="shared" si="36"/>
        <v/>
      </c>
      <c r="I107" s="316" t="s">
        <v>316</v>
      </c>
      <c r="J107" s="254"/>
      <c r="K107" s="50" t="str">
        <f>IF($W107="","",IF($W107=1,IF(VLOOKUP($S107,ﾏｽﾀ!$E$8:$K$124,ﾏｽﾀ!$J$4-ﾏｽﾀ!$D$4,0)="E",DAY($J$4),ABS(VLOOKUP($S107,ﾏｽﾀ!$E$8:$K$124,ﾏｽﾀ!$J$4-ﾏｽﾀ!$D$4,0))),IF(VLOOKUP($S107,ﾏｽﾀ!$E$8:$K$124,ﾏｽﾀ!$K$4-ﾏｽﾀ!$D$4,0)="E",DAY($J$4),ABS(VLOOKUP($S107,ﾏｽﾀ!$E$8:$K$124,ﾏｽﾀ!$K$4-ﾏｽﾀ!$D$4,0)))))</f>
        <v/>
      </c>
      <c r="L107" s="255"/>
      <c r="M107" s="255"/>
      <c r="N107" s="255"/>
      <c r="O107" s="50" t="str">
        <f>IF($S107="","",IF($M107="",IF($J107="","ERR",IF(VLOOKUP($S107,ﾏｽﾀ!$E$8:$K$124,ﾏｽﾀ!$J$4-ﾏｽﾀ!$D$4,0)="E",MONTH($J107),IF(MONTH($J107)-1=0,12,MONTH($J107)-1))),MONTH($M107)))</f>
        <v/>
      </c>
      <c r="P107" s="50" t="str">
        <f>IF($S107="","",IF($M107="",IF($K107="","ERR",IF(VLOOKUP($S107,ﾏｽﾀ!$E$8:$K$124,ﾏｽﾀ!$J$4-ﾏｽﾀ!$D$4,0)="E",1,$K107+1)),DAY($M107)))</f>
        <v/>
      </c>
      <c r="Q107" s="50" t="str">
        <f t="shared" si="37"/>
        <v/>
      </c>
      <c r="R107" s="50" t="str">
        <f t="shared" si="38"/>
        <v/>
      </c>
      <c r="S107" s="601" t="str">
        <f>IF($T107="","",INDEX(ﾏｽﾀ!$E$8:$E$124,MATCH(INDEX(ﾏｽﾀ!$N$8:$N$124,MATCH($T107,ﾏｽﾀ!$O$8:$O$124,0)),ﾏｽﾀ!$B$8:$B$124,0))&amp;"")</f>
        <v/>
      </c>
      <c r="T107" s="535"/>
      <c r="U107" s="601" t="str">
        <f>IF($T107="","",INDEX(ﾏｽﾀ!$G$8:$G$124,MATCH(INDEX(ﾏｽﾀ!$N$8:$N$124,MATCH($T107,ﾏｽﾀ!$O$8:$O$124,0)),ﾏｽﾀ!$B$8:$B$124,0))&amp;"")</f>
        <v/>
      </c>
      <c r="V107" s="257"/>
      <c r="W107" s="602" t="str">
        <f>IF($X107="","",INDEX(ﾏｽﾀ!$T$8:$T$16,MATCH($X107,ﾏｽﾀ!$U$8:$U$16,0))&amp;"")</f>
        <v/>
      </c>
      <c r="X107" s="248"/>
      <c r="Y107" s="260"/>
      <c r="Z107" s="260"/>
      <c r="AA107" s="256"/>
      <c r="AB107" s="492" t="str">
        <f>IF($W107="","",IF($AA107="","ERR",IF($AA107="1",IF($AE107="","ERR",VLOOKUP($AA107,ﾏｽﾀ!$W$8:$X$10,ﾏｽﾀ!$X$4,0)),IF($AA107="2",IF($AG107="","ERR",VLOOKUP($AA107,ﾏｽﾀ!$W$8:$X$10,ﾏｽﾀ!$X$4,0)),IF($AA107="3",IF($AI107="","ERR",VLOOKUP($AA107,ﾏｽﾀ!$W$8:$X$10,ﾏｽﾀ!$X$4,0)),"ERR")))))</f>
        <v/>
      </c>
      <c r="AC107" s="261"/>
      <c r="AD107" s="321" t="str">
        <f>IF($AA107="1",COUNTIF('納品書明細16-E'!$D$9:$D$206,$AN107)+COUNTIF('納品書明細F-15'!$D$9:$D$297,$AN107)-IF(ISNA(MATCH(CONCATENATE(VLOOKUP($AC107,$AB$1:$AC$4,2,FALSE),$S107,IF($U107="","00",$U107),$W107,2),$F$11:$F$160,0)),0,SUMIF($F$11:$F$160,CONCATENATE(VLOOKUP($AC107,$AB$1:$AC$4,2,FALSE),$S107,IF($U107="","00",$U107),$W107,2),$AF$11:$AF$160)),"")</f>
        <v/>
      </c>
      <c r="AE107" s="319" t="str">
        <f>IF($AA107="1",SUMIF('納品書明細16-E'!$C$9:$C$206,$AO107,'納品書明細16-E'!$Q$9:$Q$206)+SUMIF('納品書明細F-15'!$C$9:$C$297,$AO107,'納品書明細F-15'!$Q$9:$Q$297)-IF(ISNA(MATCH(CONCATENATE(VLOOKUP($AC107,$AB$1:$AC$4,2,FALSE),$S107,IF($U107="","00",$U107),$W107,2),$F$11:$F$160,0)),0,SUMIF($F$11:$F$160,CONCATENATE(VLOOKUP($AC107,$AB$1:$AC$4,2,FALSE),$S107,IF($U107="","00",$U107),$W107,2),$AG$11:$AG$160)),"")</f>
        <v/>
      </c>
      <c r="AF107" s="322"/>
      <c r="AG107" s="327"/>
      <c r="AH107" s="57"/>
      <c r="AI107" s="319" t="str">
        <f>IF($AH107="","",IF(ISNA(MATCH($AH107,'納品書明細16-E'!$H$9:$H$206,0)),IF(ISNA(MATCH($AH107,'納品書明細F-15'!$H$9:$H$297,0)),"ERR",SUMIF('納品書明細F-15'!$H$9:$H$297,$AH107,'納品書明細F-15'!$Q$9:$Q$297)),SUMIF('納品書明細16-E'!$H$9:$H$206,$AH107,'納品書明細16-E'!$Q$9:$Q$206)))</f>
        <v/>
      </c>
      <c r="AK107" s="328" t="str">
        <f t="shared" ref="AK107:AK138" si="45">IF($AH107="","",$I107)</f>
        <v/>
      </c>
      <c r="AL107" s="269" t="str">
        <f t="shared" ref="AL107:AL138" si="46">IF($AH107="","",$J107)</f>
        <v/>
      </c>
      <c r="AM107" s="270" t="str">
        <f t="shared" ref="AM107:AM138" si="47">IF($AH107="","",IF($L107="",$K107,$L107))</f>
        <v/>
      </c>
      <c r="AN107" s="244" t="str">
        <f t="shared" ref="AN107:AN138" si="48">IF($AC107="","",CONCATENATE(VLOOKUP($AC107,$AB$1:$AC$4,2,FALSE),$S107,IF($U107="","00",$U107),"1","1",$W107))</f>
        <v/>
      </c>
      <c r="AO107" s="244" t="str">
        <f t="shared" ref="AO107:AO138" si="49">IF($AC107="","",CONCATENATE(VLOOKUP($AC107,$AB$1:$AC$4,2,FALSE),$S107,IF($U107="","00",$U107),"1",$W107))</f>
        <v/>
      </c>
      <c r="AP107" s="271" t="str">
        <f t="shared" si="40"/>
        <v/>
      </c>
      <c r="AQ107" s="265"/>
      <c r="AR107" s="263"/>
      <c r="AS107" s="84"/>
      <c r="AT107" s="86"/>
      <c r="AU107" s="87"/>
    </row>
    <row r="108" spans="1:47" ht="15" customHeight="1">
      <c r="A108" s="281" t="str">
        <f t="shared" si="39"/>
        <v/>
      </c>
      <c r="B108" s="282" t="str">
        <f t="shared" si="35"/>
        <v/>
      </c>
      <c r="C108" s="618" t="str">
        <f>IF(AND($S108="",$U108="",$W108="",$AA108="",$AE108="",$AG108="",$AI108=""),"",MAX($C$10:$C107)+1)</f>
        <v/>
      </c>
      <c r="D108" s="619" t="str">
        <f t="shared" si="41"/>
        <v/>
      </c>
      <c r="E108" s="619" t="str">
        <f t="shared" si="42"/>
        <v/>
      </c>
      <c r="F108" s="619" t="str">
        <f t="shared" si="43"/>
        <v/>
      </c>
      <c r="G108" s="619" t="str">
        <f t="shared" si="44"/>
        <v/>
      </c>
      <c r="H108" s="620" t="str">
        <f t="shared" si="36"/>
        <v/>
      </c>
      <c r="I108" s="316" t="s">
        <v>317</v>
      </c>
      <c r="J108" s="254"/>
      <c r="K108" s="50" t="str">
        <f>IF($W108="","",IF($W108=1,IF(VLOOKUP($S108,ﾏｽﾀ!$E$8:$K$124,ﾏｽﾀ!$J$4-ﾏｽﾀ!$D$4,0)="E",DAY($J$4),ABS(VLOOKUP($S108,ﾏｽﾀ!$E$8:$K$124,ﾏｽﾀ!$J$4-ﾏｽﾀ!$D$4,0))),IF(VLOOKUP($S108,ﾏｽﾀ!$E$8:$K$124,ﾏｽﾀ!$K$4-ﾏｽﾀ!$D$4,0)="E",DAY($J$4),ABS(VLOOKUP($S108,ﾏｽﾀ!$E$8:$K$124,ﾏｽﾀ!$K$4-ﾏｽﾀ!$D$4,0)))))</f>
        <v/>
      </c>
      <c r="L108" s="255"/>
      <c r="M108" s="255"/>
      <c r="N108" s="255"/>
      <c r="O108" s="50" t="str">
        <f>IF($S108="","",IF($M108="",IF($J108="","ERR",IF(VLOOKUP($S108,ﾏｽﾀ!$E$8:$K$124,ﾏｽﾀ!$J$4-ﾏｽﾀ!$D$4,0)="E",MONTH($J108),IF(MONTH($J108)-1=0,12,MONTH($J108)-1))),MONTH($M108)))</f>
        <v/>
      </c>
      <c r="P108" s="50" t="str">
        <f>IF($S108="","",IF($M108="",IF($K108="","ERR",IF(VLOOKUP($S108,ﾏｽﾀ!$E$8:$K$124,ﾏｽﾀ!$J$4-ﾏｽﾀ!$D$4,0)="E",1,$K108+1)),DAY($M108)))</f>
        <v/>
      </c>
      <c r="Q108" s="50" t="str">
        <f t="shared" si="37"/>
        <v/>
      </c>
      <c r="R108" s="50" t="str">
        <f t="shared" si="38"/>
        <v/>
      </c>
      <c r="S108" s="601" t="str">
        <f>IF($T108="","",INDEX(ﾏｽﾀ!$E$8:$E$124,MATCH(INDEX(ﾏｽﾀ!$N$8:$N$124,MATCH($T108,ﾏｽﾀ!$O$8:$O$124,0)),ﾏｽﾀ!$B$8:$B$124,0))&amp;"")</f>
        <v/>
      </c>
      <c r="T108" s="535"/>
      <c r="U108" s="601" t="str">
        <f>IF($T108="","",INDEX(ﾏｽﾀ!$G$8:$G$124,MATCH(INDEX(ﾏｽﾀ!$N$8:$N$124,MATCH($T108,ﾏｽﾀ!$O$8:$O$124,0)),ﾏｽﾀ!$B$8:$B$124,0))&amp;"")</f>
        <v/>
      </c>
      <c r="V108" s="257"/>
      <c r="W108" s="602" t="str">
        <f>IF($X108="","",INDEX(ﾏｽﾀ!$T$8:$T$16,MATCH($X108,ﾏｽﾀ!$U$8:$U$16,0))&amp;"")</f>
        <v/>
      </c>
      <c r="X108" s="248"/>
      <c r="Y108" s="260"/>
      <c r="Z108" s="260"/>
      <c r="AA108" s="256"/>
      <c r="AB108" s="492" t="str">
        <f>IF($W108="","",IF($AA108="","ERR",IF($AA108="1",IF($AE108="","ERR",VLOOKUP($AA108,ﾏｽﾀ!$W$8:$X$10,ﾏｽﾀ!$X$4,0)),IF($AA108="2",IF($AG108="","ERR",VLOOKUP($AA108,ﾏｽﾀ!$W$8:$X$10,ﾏｽﾀ!$X$4,0)),IF($AA108="3",IF($AI108="","ERR",VLOOKUP($AA108,ﾏｽﾀ!$W$8:$X$10,ﾏｽﾀ!$X$4,0)),"ERR")))))</f>
        <v/>
      </c>
      <c r="AC108" s="261"/>
      <c r="AD108" s="321" t="str">
        <f>IF($AA108="1",COUNTIF('納品書明細16-E'!$D$9:$D$206,$AN108)+COUNTIF('納品書明細F-15'!$D$9:$D$297,$AN108)-IF(ISNA(MATCH(CONCATENATE(VLOOKUP($AC108,$AB$1:$AC$4,2,FALSE),$S108,IF($U108="","00",$U108),$W108,2),$F$11:$F$160,0)),0,SUMIF($F$11:$F$160,CONCATENATE(VLOOKUP($AC108,$AB$1:$AC$4,2,FALSE),$S108,IF($U108="","00",$U108),$W108,2),$AF$11:$AF$160)),"")</f>
        <v/>
      </c>
      <c r="AE108" s="319" t="str">
        <f>IF($AA108="1",SUMIF('納品書明細16-E'!$C$9:$C$206,$AO108,'納品書明細16-E'!$Q$9:$Q$206)+SUMIF('納品書明細F-15'!$C$9:$C$297,$AO108,'納品書明細F-15'!$Q$9:$Q$297)-IF(ISNA(MATCH(CONCATENATE(VLOOKUP($AC108,$AB$1:$AC$4,2,FALSE),$S108,IF($U108="","00",$U108),$W108,2),$F$11:$F$160,0)),0,SUMIF($F$11:$F$160,CONCATENATE(VLOOKUP($AC108,$AB$1:$AC$4,2,FALSE),$S108,IF($U108="","00",$U108),$W108,2),$AG$11:$AG$160)),"")</f>
        <v/>
      </c>
      <c r="AF108" s="322"/>
      <c r="AG108" s="327"/>
      <c r="AH108" s="57"/>
      <c r="AI108" s="319" t="str">
        <f>IF($AH108="","",IF(ISNA(MATCH($AH108,'納品書明細16-E'!$H$9:$H$206,0)),IF(ISNA(MATCH($AH108,'納品書明細F-15'!$H$9:$H$297,0)),"ERR",SUMIF('納品書明細F-15'!$H$9:$H$297,$AH108,'納品書明細F-15'!$Q$9:$Q$297)),SUMIF('納品書明細16-E'!$H$9:$H$206,$AH108,'納品書明細16-E'!$Q$9:$Q$206)))</f>
        <v/>
      </c>
      <c r="AK108" s="328" t="str">
        <f t="shared" si="45"/>
        <v/>
      </c>
      <c r="AL108" s="269" t="str">
        <f t="shared" si="46"/>
        <v/>
      </c>
      <c r="AM108" s="270" t="str">
        <f t="shared" si="47"/>
        <v/>
      </c>
      <c r="AN108" s="244" t="str">
        <f t="shared" si="48"/>
        <v/>
      </c>
      <c r="AO108" s="244" t="str">
        <f t="shared" si="49"/>
        <v/>
      </c>
      <c r="AP108" s="271" t="str">
        <f t="shared" si="40"/>
        <v/>
      </c>
      <c r="AQ108" s="265"/>
      <c r="AR108" s="263"/>
      <c r="AS108" s="84"/>
      <c r="AT108" s="86"/>
      <c r="AU108" s="87"/>
    </row>
    <row r="109" spans="1:47" ht="15" customHeight="1">
      <c r="A109" s="281" t="str">
        <f t="shared" si="39"/>
        <v/>
      </c>
      <c r="B109" s="282" t="str">
        <f t="shared" si="35"/>
        <v/>
      </c>
      <c r="C109" s="618" t="str">
        <f>IF(AND($S109="",$U109="",$W109="",$AA109="",$AE109="",$AG109="",$AI109=""),"",MAX($C$10:$C108)+1)</f>
        <v/>
      </c>
      <c r="D109" s="619" t="str">
        <f t="shared" si="41"/>
        <v/>
      </c>
      <c r="E109" s="619" t="str">
        <f t="shared" si="42"/>
        <v/>
      </c>
      <c r="F109" s="619" t="str">
        <f t="shared" si="43"/>
        <v/>
      </c>
      <c r="G109" s="619" t="str">
        <f t="shared" si="44"/>
        <v/>
      </c>
      <c r="H109" s="620" t="str">
        <f t="shared" ref="H109:H140" si="50">CONCATENATE($S109,$U109)</f>
        <v/>
      </c>
      <c r="I109" s="316" t="s">
        <v>318</v>
      </c>
      <c r="J109" s="254"/>
      <c r="K109" s="50" t="str">
        <f>IF($W109="","",IF($W109=1,IF(VLOOKUP($S109,ﾏｽﾀ!$E$8:$K$124,ﾏｽﾀ!$J$4-ﾏｽﾀ!$D$4,0)="E",DAY($J$4),ABS(VLOOKUP($S109,ﾏｽﾀ!$E$8:$K$124,ﾏｽﾀ!$J$4-ﾏｽﾀ!$D$4,0))),IF(VLOOKUP($S109,ﾏｽﾀ!$E$8:$K$124,ﾏｽﾀ!$K$4-ﾏｽﾀ!$D$4,0)="E",DAY($J$4),ABS(VLOOKUP($S109,ﾏｽﾀ!$E$8:$K$124,ﾏｽﾀ!$K$4-ﾏｽﾀ!$D$4,0)))))</f>
        <v/>
      </c>
      <c r="L109" s="255"/>
      <c r="M109" s="255"/>
      <c r="N109" s="255"/>
      <c r="O109" s="50" t="str">
        <f>IF($S109="","",IF($M109="",IF($J109="","ERR",IF(VLOOKUP($S109,ﾏｽﾀ!$E$8:$K$124,ﾏｽﾀ!$J$4-ﾏｽﾀ!$D$4,0)="E",MONTH($J109),IF(MONTH($J109)-1=0,12,MONTH($J109)-1))),MONTH($M109)))</f>
        <v/>
      </c>
      <c r="P109" s="50" t="str">
        <f>IF($S109="","",IF($M109="",IF($K109="","ERR",IF(VLOOKUP($S109,ﾏｽﾀ!$E$8:$K$124,ﾏｽﾀ!$J$4-ﾏｽﾀ!$D$4,0)="E",1,$K109+1)),DAY($M109)))</f>
        <v/>
      </c>
      <c r="Q109" s="50" t="str">
        <f t="shared" si="37"/>
        <v/>
      </c>
      <c r="R109" s="50" t="str">
        <f t="shared" si="38"/>
        <v/>
      </c>
      <c r="S109" s="601" t="str">
        <f>IF($T109="","",INDEX(ﾏｽﾀ!$E$8:$E$124,MATCH(INDEX(ﾏｽﾀ!$N$8:$N$124,MATCH($T109,ﾏｽﾀ!$O$8:$O$124,0)),ﾏｽﾀ!$B$8:$B$124,0))&amp;"")</f>
        <v/>
      </c>
      <c r="T109" s="535"/>
      <c r="U109" s="601" t="str">
        <f>IF($T109="","",INDEX(ﾏｽﾀ!$G$8:$G$124,MATCH(INDEX(ﾏｽﾀ!$N$8:$N$124,MATCH($T109,ﾏｽﾀ!$O$8:$O$124,0)),ﾏｽﾀ!$B$8:$B$124,0))&amp;"")</f>
        <v/>
      </c>
      <c r="V109" s="257"/>
      <c r="W109" s="602" t="str">
        <f>IF($X109="","",INDEX(ﾏｽﾀ!$T$8:$T$16,MATCH($X109,ﾏｽﾀ!$U$8:$U$16,0))&amp;"")</f>
        <v/>
      </c>
      <c r="X109" s="248"/>
      <c r="Y109" s="260"/>
      <c r="Z109" s="260"/>
      <c r="AA109" s="256"/>
      <c r="AB109" s="492" t="str">
        <f>IF($W109="","",IF($AA109="","ERR",IF($AA109="1",IF($AE109="","ERR",VLOOKUP($AA109,ﾏｽﾀ!$W$8:$X$10,ﾏｽﾀ!$X$4,0)),IF($AA109="2",IF($AG109="","ERR",VLOOKUP($AA109,ﾏｽﾀ!$W$8:$X$10,ﾏｽﾀ!$X$4,0)),IF($AA109="3",IF($AI109="","ERR",VLOOKUP($AA109,ﾏｽﾀ!$W$8:$X$10,ﾏｽﾀ!$X$4,0)),"ERR")))))</f>
        <v/>
      </c>
      <c r="AC109" s="261"/>
      <c r="AD109" s="321" t="str">
        <f>IF($AA109="1",COUNTIF('納品書明細16-E'!$D$9:$D$206,$AN109)+COUNTIF('納品書明細F-15'!$D$9:$D$297,$AN109)-IF(ISNA(MATCH(CONCATENATE(VLOOKUP($AC109,$AB$1:$AC$4,2,FALSE),$S109,IF($U109="","00",$U109),$W109,2),$F$11:$F$160,0)),0,SUMIF($F$11:$F$160,CONCATENATE(VLOOKUP($AC109,$AB$1:$AC$4,2,FALSE),$S109,IF($U109="","00",$U109),$W109,2),$AF$11:$AF$160)),"")</f>
        <v/>
      </c>
      <c r="AE109" s="319" t="str">
        <f>IF($AA109="1",SUMIF('納品書明細16-E'!$C$9:$C$206,$AO109,'納品書明細16-E'!$Q$9:$Q$206)+SUMIF('納品書明細F-15'!$C$9:$C$297,$AO109,'納品書明細F-15'!$Q$9:$Q$297)-IF(ISNA(MATCH(CONCATENATE(VLOOKUP($AC109,$AB$1:$AC$4,2,FALSE),$S109,IF($U109="","00",$U109),$W109,2),$F$11:$F$160,0)),0,SUMIF($F$11:$F$160,CONCATENATE(VLOOKUP($AC109,$AB$1:$AC$4,2,FALSE),$S109,IF($U109="","00",$U109),$W109,2),$AG$11:$AG$160)),"")</f>
        <v/>
      </c>
      <c r="AF109" s="324"/>
      <c r="AG109" s="327"/>
      <c r="AH109" s="57"/>
      <c r="AI109" s="319" t="str">
        <f>IF($AH109="","",IF(ISNA(MATCH($AH109,'納品書明細16-E'!$H$9:$H$206,0)),IF(ISNA(MATCH($AH109,'納品書明細F-15'!$H$9:$H$297,0)),"ERR",SUMIF('納品書明細F-15'!$H$9:$H$297,$AH109,'納品書明細F-15'!$Q$9:$Q$297)),SUMIF('納品書明細16-E'!$H$9:$H$206,$AH109,'納品書明細16-E'!$Q$9:$Q$206)))</f>
        <v/>
      </c>
      <c r="AK109" s="328" t="str">
        <f t="shared" si="45"/>
        <v/>
      </c>
      <c r="AL109" s="269" t="str">
        <f t="shared" si="46"/>
        <v/>
      </c>
      <c r="AM109" s="270" t="str">
        <f t="shared" si="47"/>
        <v/>
      </c>
      <c r="AN109" s="244" t="str">
        <f t="shared" si="48"/>
        <v/>
      </c>
      <c r="AO109" s="244" t="str">
        <f t="shared" si="49"/>
        <v/>
      </c>
      <c r="AP109" s="271" t="str">
        <f t="shared" si="40"/>
        <v/>
      </c>
      <c r="AQ109" s="265"/>
      <c r="AR109" s="263"/>
      <c r="AS109" s="84"/>
      <c r="AT109" s="86"/>
      <c r="AU109" s="87"/>
    </row>
    <row r="110" spans="1:47" ht="15" customHeight="1">
      <c r="A110" s="281" t="str">
        <f t="shared" si="39"/>
        <v/>
      </c>
      <c r="B110" s="282" t="str">
        <f t="shared" si="35"/>
        <v/>
      </c>
      <c r="C110" s="618" t="str">
        <f>IF(AND($S110="",$U110="",$W110="",$AA110="",$AE110="",$AG110="",$AI110=""),"",MAX($C$10:$C109)+1)</f>
        <v/>
      </c>
      <c r="D110" s="619" t="str">
        <f t="shared" si="41"/>
        <v/>
      </c>
      <c r="E110" s="619" t="str">
        <f t="shared" si="42"/>
        <v/>
      </c>
      <c r="F110" s="619" t="str">
        <f t="shared" si="43"/>
        <v/>
      </c>
      <c r="G110" s="619" t="str">
        <f t="shared" si="44"/>
        <v/>
      </c>
      <c r="H110" s="620" t="str">
        <f t="shared" si="50"/>
        <v/>
      </c>
      <c r="I110" s="316" t="s">
        <v>319</v>
      </c>
      <c r="J110" s="254"/>
      <c r="K110" s="50" t="str">
        <f>IF($W110="","",IF($W110=1,IF(VLOOKUP($S110,ﾏｽﾀ!$E$8:$K$124,ﾏｽﾀ!$J$4-ﾏｽﾀ!$D$4,0)="E",DAY($J$4),ABS(VLOOKUP($S110,ﾏｽﾀ!$E$8:$K$124,ﾏｽﾀ!$J$4-ﾏｽﾀ!$D$4,0))),IF(VLOOKUP($S110,ﾏｽﾀ!$E$8:$K$124,ﾏｽﾀ!$K$4-ﾏｽﾀ!$D$4,0)="E",DAY($J$4),ABS(VLOOKUP($S110,ﾏｽﾀ!$E$8:$K$124,ﾏｽﾀ!$K$4-ﾏｽﾀ!$D$4,0)))))</f>
        <v/>
      </c>
      <c r="L110" s="255"/>
      <c r="M110" s="255"/>
      <c r="N110" s="255"/>
      <c r="O110" s="50" t="str">
        <f>IF($S110="","",IF($M110="",IF($J110="","ERR",IF(VLOOKUP($S110,ﾏｽﾀ!$E$8:$K$124,ﾏｽﾀ!$J$4-ﾏｽﾀ!$D$4,0)="E",MONTH($J110),IF(MONTH($J110)-1=0,12,MONTH($J110)-1))),MONTH($M110)))</f>
        <v/>
      </c>
      <c r="P110" s="50" t="str">
        <f>IF($S110="","",IF($M110="",IF($K110="","ERR",IF(VLOOKUP($S110,ﾏｽﾀ!$E$8:$K$124,ﾏｽﾀ!$J$4-ﾏｽﾀ!$D$4,0)="E",1,$K110+1)),DAY($M110)))</f>
        <v/>
      </c>
      <c r="Q110" s="50" t="str">
        <f t="shared" si="37"/>
        <v/>
      </c>
      <c r="R110" s="50" t="str">
        <f t="shared" si="38"/>
        <v/>
      </c>
      <c r="S110" s="601" t="str">
        <f>IF($T110="","",INDEX(ﾏｽﾀ!$E$8:$E$124,MATCH(INDEX(ﾏｽﾀ!$N$8:$N$124,MATCH($T110,ﾏｽﾀ!$O$8:$O$124,0)),ﾏｽﾀ!$B$8:$B$124,0))&amp;"")</f>
        <v/>
      </c>
      <c r="T110" s="535"/>
      <c r="U110" s="601" t="str">
        <f>IF($T110="","",INDEX(ﾏｽﾀ!$G$8:$G$124,MATCH(INDEX(ﾏｽﾀ!$N$8:$N$124,MATCH($T110,ﾏｽﾀ!$O$8:$O$124,0)),ﾏｽﾀ!$B$8:$B$124,0))&amp;"")</f>
        <v/>
      </c>
      <c r="V110" s="257"/>
      <c r="W110" s="602" t="str">
        <f>IF($X110="","",INDEX(ﾏｽﾀ!$T$8:$T$16,MATCH($X110,ﾏｽﾀ!$U$8:$U$16,0))&amp;"")</f>
        <v/>
      </c>
      <c r="X110" s="248"/>
      <c r="Y110" s="260"/>
      <c r="Z110" s="260"/>
      <c r="AA110" s="256"/>
      <c r="AB110" s="492" t="str">
        <f>IF($W110="","",IF($AA110="","ERR",IF($AA110="1",IF($AE110="","ERR",VLOOKUP($AA110,ﾏｽﾀ!$W$8:$X$10,ﾏｽﾀ!$X$4,0)),IF($AA110="2",IF($AG110="","ERR",VLOOKUP($AA110,ﾏｽﾀ!$W$8:$X$10,ﾏｽﾀ!$X$4,0)),IF($AA110="3",IF($AI110="","ERR",VLOOKUP($AA110,ﾏｽﾀ!$W$8:$X$10,ﾏｽﾀ!$X$4,0)),"ERR")))))</f>
        <v/>
      </c>
      <c r="AC110" s="261"/>
      <c r="AD110" s="321" t="str">
        <f>IF($AA110="1",COUNTIF('納品書明細16-E'!$D$9:$D$206,$AN110)+COUNTIF('納品書明細F-15'!$D$9:$D$297,$AN110)-IF(ISNA(MATCH(CONCATENATE(VLOOKUP($AC110,$AB$1:$AC$4,2,FALSE),$S110,IF($U110="","00",$U110),$W110,2),$F$11:$F$160,0)),0,SUMIF($F$11:$F$160,CONCATENATE(VLOOKUP($AC110,$AB$1:$AC$4,2,FALSE),$S110,IF($U110="","00",$U110),$W110,2),$AF$11:$AF$160)),"")</f>
        <v/>
      </c>
      <c r="AE110" s="319" t="str">
        <f>IF($AA110="1",SUMIF('納品書明細16-E'!$C$9:$C$206,$AO110,'納品書明細16-E'!$Q$9:$Q$206)+SUMIF('納品書明細F-15'!$C$9:$C$297,$AO110,'納品書明細F-15'!$Q$9:$Q$297)-IF(ISNA(MATCH(CONCATENATE(VLOOKUP($AC110,$AB$1:$AC$4,2,FALSE),$S110,IF($U110="","00",$U110),$W110,2),$F$11:$F$160,0)),0,SUMIF($F$11:$F$160,CONCATENATE(VLOOKUP($AC110,$AB$1:$AC$4,2,FALSE),$S110,IF($U110="","00",$U110),$W110,2),$AG$11:$AG$160)),"")</f>
        <v/>
      </c>
      <c r="AF110" s="324"/>
      <c r="AG110" s="327"/>
      <c r="AH110" s="57"/>
      <c r="AI110" s="319" t="str">
        <f>IF($AH110="","",IF(ISNA(MATCH($AH110,'納品書明細16-E'!$H$9:$H$206,0)),IF(ISNA(MATCH($AH110,'納品書明細F-15'!$H$9:$H$297,0)),"ERR",SUMIF('納品書明細F-15'!$H$9:$H$297,$AH110,'納品書明細F-15'!$Q$9:$Q$297)),SUMIF('納品書明細16-E'!$H$9:$H$206,$AH110,'納品書明細16-E'!$Q$9:$Q$206)))</f>
        <v/>
      </c>
      <c r="AK110" s="328" t="str">
        <f t="shared" si="45"/>
        <v/>
      </c>
      <c r="AL110" s="269" t="str">
        <f t="shared" si="46"/>
        <v/>
      </c>
      <c r="AM110" s="270" t="str">
        <f t="shared" si="47"/>
        <v/>
      </c>
      <c r="AN110" s="244" t="str">
        <f t="shared" si="48"/>
        <v/>
      </c>
      <c r="AO110" s="244" t="str">
        <f t="shared" si="49"/>
        <v/>
      </c>
      <c r="AP110" s="271" t="str">
        <f t="shared" si="40"/>
        <v/>
      </c>
      <c r="AQ110" s="265"/>
      <c r="AR110" s="263"/>
      <c r="AS110" s="84"/>
      <c r="AT110" s="86"/>
      <c r="AU110" s="87"/>
    </row>
    <row r="111" spans="1:47" ht="15" customHeight="1">
      <c r="A111" s="281" t="str">
        <f t="shared" si="39"/>
        <v/>
      </c>
      <c r="B111" s="282" t="str">
        <f t="shared" si="35"/>
        <v/>
      </c>
      <c r="C111" s="618" t="str">
        <f>IF(AND($S111="",$U111="",$W111="",$AA111="",$AE111="",$AG111="",$AI111=""),"",MAX($C$10:$C110)+1)</f>
        <v/>
      </c>
      <c r="D111" s="619" t="str">
        <f t="shared" si="41"/>
        <v/>
      </c>
      <c r="E111" s="619" t="str">
        <f t="shared" si="42"/>
        <v/>
      </c>
      <c r="F111" s="619" t="str">
        <f t="shared" si="43"/>
        <v/>
      </c>
      <c r="G111" s="619" t="str">
        <f t="shared" si="44"/>
        <v/>
      </c>
      <c r="H111" s="620" t="str">
        <f t="shared" si="50"/>
        <v/>
      </c>
      <c r="I111" s="316" t="s">
        <v>320</v>
      </c>
      <c r="J111" s="254"/>
      <c r="K111" s="50" t="str">
        <f>IF($W111="","",IF($W111=1,IF(VLOOKUP($S111,ﾏｽﾀ!$E$8:$K$124,ﾏｽﾀ!$J$4-ﾏｽﾀ!$D$4,0)="E",DAY($J$4),ABS(VLOOKUP($S111,ﾏｽﾀ!$E$8:$K$124,ﾏｽﾀ!$J$4-ﾏｽﾀ!$D$4,0))),IF(VLOOKUP($S111,ﾏｽﾀ!$E$8:$K$124,ﾏｽﾀ!$K$4-ﾏｽﾀ!$D$4,0)="E",DAY($J$4),ABS(VLOOKUP($S111,ﾏｽﾀ!$E$8:$K$124,ﾏｽﾀ!$K$4-ﾏｽﾀ!$D$4,0)))))</f>
        <v/>
      </c>
      <c r="L111" s="255"/>
      <c r="M111" s="255"/>
      <c r="N111" s="255"/>
      <c r="O111" s="50" t="str">
        <f>IF($S111="","",IF($M111="",IF($J111="","ERR",IF(VLOOKUP($S111,ﾏｽﾀ!$E$8:$K$124,ﾏｽﾀ!$J$4-ﾏｽﾀ!$D$4,0)="E",MONTH($J111),IF(MONTH($J111)-1=0,12,MONTH($J111)-1))),MONTH($M111)))</f>
        <v/>
      </c>
      <c r="P111" s="50" t="str">
        <f>IF($S111="","",IF($M111="",IF($K111="","ERR",IF(VLOOKUP($S111,ﾏｽﾀ!$E$8:$K$124,ﾏｽﾀ!$J$4-ﾏｽﾀ!$D$4,0)="E",1,$K111+1)),DAY($M111)))</f>
        <v/>
      </c>
      <c r="Q111" s="50" t="str">
        <f t="shared" si="37"/>
        <v/>
      </c>
      <c r="R111" s="50" t="str">
        <f t="shared" si="38"/>
        <v/>
      </c>
      <c r="S111" s="601" t="str">
        <f>IF($T111="","",INDEX(ﾏｽﾀ!$E$8:$E$124,MATCH(INDEX(ﾏｽﾀ!$N$8:$N$124,MATCH($T111,ﾏｽﾀ!$O$8:$O$124,0)),ﾏｽﾀ!$B$8:$B$124,0))&amp;"")</f>
        <v/>
      </c>
      <c r="T111" s="535"/>
      <c r="U111" s="601" t="str">
        <f>IF($T111="","",INDEX(ﾏｽﾀ!$G$8:$G$124,MATCH(INDEX(ﾏｽﾀ!$N$8:$N$124,MATCH($T111,ﾏｽﾀ!$O$8:$O$124,0)),ﾏｽﾀ!$B$8:$B$124,0))&amp;"")</f>
        <v/>
      </c>
      <c r="V111" s="257"/>
      <c r="W111" s="602" t="str">
        <f>IF($X111="","",INDEX(ﾏｽﾀ!$T$8:$T$16,MATCH($X111,ﾏｽﾀ!$U$8:$U$16,0))&amp;"")</f>
        <v/>
      </c>
      <c r="X111" s="248"/>
      <c r="Y111" s="260"/>
      <c r="Z111" s="260"/>
      <c r="AA111" s="256"/>
      <c r="AB111" s="492" t="str">
        <f>IF($W111="","",IF($AA111="","ERR",IF($AA111="1",IF($AE111="","ERR",VLOOKUP($AA111,ﾏｽﾀ!$W$8:$X$10,ﾏｽﾀ!$X$4,0)),IF($AA111="2",IF($AG111="","ERR",VLOOKUP($AA111,ﾏｽﾀ!$W$8:$X$10,ﾏｽﾀ!$X$4,0)),IF($AA111="3",IF($AI111="","ERR",VLOOKUP($AA111,ﾏｽﾀ!$W$8:$X$10,ﾏｽﾀ!$X$4,0)),"ERR")))))</f>
        <v/>
      </c>
      <c r="AC111" s="261"/>
      <c r="AD111" s="321" t="str">
        <f>IF($AA111="1",COUNTIF('納品書明細16-E'!$D$9:$D$206,$AN111)+COUNTIF('納品書明細F-15'!$D$9:$D$297,$AN111)-IF(ISNA(MATCH(CONCATENATE(VLOOKUP($AC111,$AB$1:$AC$4,2,FALSE),$S111,IF($U111="","00",$U111),$W111,2),$F$11:$F$160,0)),0,SUMIF($F$11:$F$160,CONCATENATE(VLOOKUP($AC111,$AB$1:$AC$4,2,FALSE),$S111,IF($U111="","00",$U111),$W111,2),$AF$11:$AF$160)),"")</f>
        <v/>
      </c>
      <c r="AE111" s="319" t="str">
        <f>IF($AA111="1",SUMIF('納品書明細16-E'!$C$9:$C$206,$AO111,'納品書明細16-E'!$Q$9:$Q$206)+SUMIF('納品書明細F-15'!$C$9:$C$297,$AO111,'納品書明細F-15'!$Q$9:$Q$297)-IF(ISNA(MATCH(CONCATENATE(VLOOKUP($AC111,$AB$1:$AC$4,2,FALSE),$S111,IF($U111="","00",$U111),$W111,2),$F$11:$F$160,0)),0,SUMIF($F$11:$F$160,CONCATENATE(VLOOKUP($AC111,$AB$1:$AC$4,2,FALSE),$S111,IF($U111="","00",$U111),$W111,2),$AG$11:$AG$160)),"")</f>
        <v/>
      </c>
      <c r="AF111" s="324"/>
      <c r="AG111" s="327"/>
      <c r="AH111" s="57"/>
      <c r="AI111" s="319" t="str">
        <f>IF($AH111="","",IF(ISNA(MATCH($AH111,'納品書明細16-E'!$H$9:$H$206,0)),IF(ISNA(MATCH($AH111,'納品書明細F-15'!$H$9:$H$297,0)),"ERR",SUMIF('納品書明細F-15'!$H$9:$H$297,$AH111,'納品書明細F-15'!$Q$9:$Q$297)),SUMIF('納品書明細16-E'!$H$9:$H$206,$AH111,'納品書明細16-E'!$Q$9:$Q$206)))</f>
        <v/>
      </c>
      <c r="AK111" s="328" t="str">
        <f t="shared" si="45"/>
        <v/>
      </c>
      <c r="AL111" s="269" t="str">
        <f t="shared" si="46"/>
        <v/>
      </c>
      <c r="AM111" s="270" t="str">
        <f t="shared" si="47"/>
        <v/>
      </c>
      <c r="AN111" s="244" t="str">
        <f t="shared" si="48"/>
        <v/>
      </c>
      <c r="AO111" s="244" t="str">
        <f t="shared" si="49"/>
        <v/>
      </c>
      <c r="AP111" s="271" t="str">
        <f t="shared" si="40"/>
        <v/>
      </c>
      <c r="AQ111" s="265"/>
      <c r="AR111" s="263"/>
      <c r="AS111" s="84"/>
      <c r="AT111" s="86"/>
      <c r="AU111" s="87"/>
    </row>
    <row r="112" spans="1:47" ht="15" customHeight="1">
      <c r="A112" s="281" t="str">
        <f t="shared" si="39"/>
        <v/>
      </c>
      <c r="B112" s="282" t="str">
        <f t="shared" si="35"/>
        <v/>
      </c>
      <c r="C112" s="618" t="str">
        <f>IF(AND($S112="",$U112="",$W112="",$AA112="",$AE112="",$AG112="",$AI112=""),"",MAX($C$10:$C111)+1)</f>
        <v/>
      </c>
      <c r="D112" s="619" t="str">
        <f t="shared" si="41"/>
        <v/>
      </c>
      <c r="E112" s="619" t="str">
        <f t="shared" si="42"/>
        <v/>
      </c>
      <c r="F112" s="619" t="str">
        <f t="shared" si="43"/>
        <v/>
      </c>
      <c r="G112" s="619" t="str">
        <f t="shared" si="44"/>
        <v/>
      </c>
      <c r="H112" s="620" t="str">
        <f t="shared" si="50"/>
        <v/>
      </c>
      <c r="I112" s="316" t="s">
        <v>321</v>
      </c>
      <c r="J112" s="254"/>
      <c r="K112" s="50" t="str">
        <f>IF($W112="","",IF($W112=1,IF(VLOOKUP($S112,ﾏｽﾀ!$E$8:$K$124,ﾏｽﾀ!$J$4-ﾏｽﾀ!$D$4,0)="E",DAY($J$4),ABS(VLOOKUP($S112,ﾏｽﾀ!$E$8:$K$124,ﾏｽﾀ!$J$4-ﾏｽﾀ!$D$4,0))),IF(VLOOKUP($S112,ﾏｽﾀ!$E$8:$K$124,ﾏｽﾀ!$K$4-ﾏｽﾀ!$D$4,0)="E",DAY($J$4),ABS(VLOOKUP($S112,ﾏｽﾀ!$E$8:$K$124,ﾏｽﾀ!$K$4-ﾏｽﾀ!$D$4,0)))))</f>
        <v/>
      </c>
      <c r="L112" s="255"/>
      <c r="M112" s="255"/>
      <c r="N112" s="255"/>
      <c r="O112" s="50" t="str">
        <f>IF($S112="","",IF($M112="",IF($J112="","ERR",IF(VLOOKUP($S112,ﾏｽﾀ!$E$8:$K$124,ﾏｽﾀ!$J$4-ﾏｽﾀ!$D$4,0)="E",MONTH($J112),IF(MONTH($J112)-1=0,12,MONTH($J112)-1))),MONTH($M112)))</f>
        <v/>
      </c>
      <c r="P112" s="50" t="str">
        <f>IF($S112="","",IF($M112="",IF($K112="","ERR",IF(VLOOKUP($S112,ﾏｽﾀ!$E$8:$K$124,ﾏｽﾀ!$J$4-ﾏｽﾀ!$D$4,0)="E",1,$K112+1)),DAY($M112)))</f>
        <v/>
      </c>
      <c r="Q112" s="50" t="str">
        <f t="shared" si="37"/>
        <v/>
      </c>
      <c r="R112" s="50" t="str">
        <f t="shared" si="38"/>
        <v/>
      </c>
      <c r="S112" s="601" t="str">
        <f>IF($T112="","",INDEX(ﾏｽﾀ!$E$8:$E$124,MATCH(INDEX(ﾏｽﾀ!$N$8:$N$124,MATCH($T112,ﾏｽﾀ!$O$8:$O$124,0)),ﾏｽﾀ!$B$8:$B$124,0))&amp;"")</f>
        <v/>
      </c>
      <c r="T112" s="535"/>
      <c r="U112" s="601" t="str">
        <f>IF($T112="","",INDEX(ﾏｽﾀ!$G$8:$G$124,MATCH(INDEX(ﾏｽﾀ!$N$8:$N$124,MATCH($T112,ﾏｽﾀ!$O$8:$O$124,0)),ﾏｽﾀ!$B$8:$B$124,0))&amp;"")</f>
        <v/>
      </c>
      <c r="V112" s="257"/>
      <c r="W112" s="602" t="str">
        <f>IF($X112="","",INDEX(ﾏｽﾀ!$T$8:$T$16,MATCH($X112,ﾏｽﾀ!$U$8:$U$16,0))&amp;"")</f>
        <v/>
      </c>
      <c r="X112" s="248"/>
      <c r="Y112" s="260"/>
      <c r="Z112" s="260"/>
      <c r="AA112" s="256"/>
      <c r="AB112" s="492" t="str">
        <f>IF($W112="","",IF($AA112="","ERR",IF($AA112="1",IF($AE112="","ERR",VLOOKUP($AA112,ﾏｽﾀ!$W$8:$X$10,ﾏｽﾀ!$X$4,0)),IF($AA112="2",IF($AG112="","ERR",VLOOKUP($AA112,ﾏｽﾀ!$W$8:$X$10,ﾏｽﾀ!$X$4,0)),IF($AA112="3",IF($AI112="","ERR",VLOOKUP($AA112,ﾏｽﾀ!$W$8:$X$10,ﾏｽﾀ!$X$4,0)),"ERR")))))</f>
        <v/>
      </c>
      <c r="AC112" s="261"/>
      <c r="AD112" s="321" t="str">
        <f>IF($AA112="1",COUNTIF('納品書明細16-E'!$D$9:$D$206,$AN112)+COUNTIF('納品書明細F-15'!$D$9:$D$297,$AN112)-IF(ISNA(MATCH(CONCATENATE(VLOOKUP($AC112,$AB$1:$AC$4,2,FALSE),$S112,IF($U112="","00",$U112),$W112,2),$F$11:$F$160,0)),0,SUMIF($F$11:$F$160,CONCATENATE(VLOOKUP($AC112,$AB$1:$AC$4,2,FALSE),$S112,IF($U112="","00",$U112),$W112,2),$AF$11:$AF$160)),"")</f>
        <v/>
      </c>
      <c r="AE112" s="319" t="str">
        <f>IF($AA112="1",SUMIF('納品書明細16-E'!$C$9:$C$206,$AO112,'納品書明細16-E'!$Q$9:$Q$206)+SUMIF('納品書明細F-15'!$C$9:$C$297,$AO112,'納品書明細F-15'!$Q$9:$Q$297)-IF(ISNA(MATCH(CONCATENATE(VLOOKUP($AC112,$AB$1:$AC$4,2,FALSE),$S112,IF($U112="","00",$U112),$W112,2),$F$11:$F$160,0)),0,SUMIF($F$11:$F$160,CONCATENATE(VLOOKUP($AC112,$AB$1:$AC$4,2,FALSE),$S112,IF($U112="","00",$U112),$W112,2),$AG$11:$AG$160)),"")</f>
        <v/>
      </c>
      <c r="AF112" s="324"/>
      <c r="AG112" s="327"/>
      <c r="AH112" s="57"/>
      <c r="AI112" s="319" t="str">
        <f>IF($AH112="","",IF(ISNA(MATCH($AH112,'納品書明細16-E'!$H$9:$H$206,0)),IF(ISNA(MATCH($AH112,'納品書明細F-15'!$H$9:$H$297,0)),"ERR",SUMIF('納品書明細F-15'!$H$9:$H$297,$AH112,'納品書明細F-15'!$Q$9:$Q$297)),SUMIF('納品書明細16-E'!$H$9:$H$206,$AH112,'納品書明細16-E'!$Q$9:$Q$206)))</f>
        <v/>
      </c>
      <c r="AK112" s="328" t="str">
        <f t="shared" si="45"/>
        <v/>
      </c>
      <c r="AL112" s="269" t="str">
        <f t="shared" si="46"/>
        <v/>
      </c>
      <c r="AM112" s="270" t="str">
        <f t="shared" si="47"/>
        <v/>
      </c>
      <c r="AN112" s="244" t="str">
        <f t="shared" si="48"/>
        <v/>
      </c>
      <c r="AO112" s="244" t="str">
        <f t="shared" si="49"/>
        <v/>
      </c>
      <c r="AP112" s="271" t="str">
        <f t="shared" si="40"/>
        <v/>
      </c>
      <c r="AQ112" s="265"/>
      <c r="AR112" s="263"/>
      <c r="AS112" s="84"/>
      <c r="AT112" s="86"/>
      <c r="AU112" s="87"/>
    </row>
    <row r="113" spans="1:47" ht="15" customHeight="1">
      <c r="A113" s="281" t="str">
        <f t="shared" si="39"/>
        <v/>
      </c>
      <c r="B113" s="282" t="str">
        <f t="shared" si="35"/>
        <v/>
      </c>
      <c r="C113" s="618" t="str">
        <f>IF(AND($S113="",$U113="",$W113="",$AA113="",$AE113="",$AG113="",$AI113=""),"",MAX($C$10:$C112)+1)</f>
        <v/>
      </c>
      <c r="D113" s="619" t="str">
        <f t="shared" si="41"/>
        <v/>
      </c>
      <c r="E113" s="619" t="str">
        <f t="shared" si="42"/>
        <v/>
      </c>
      <c r="F113" s="619" t="str">
        <f t="shared" si="43"/>
        <v/>
      </c>
      <c r="G113" s="619" t="str">
        <f t="shared" si="44"/>
        <v/>
      </c>
      <c r="H113" s="620" t="str">
        <f t="shared" si="50"/>
        <v/>
      </c>
      <c r="I113" s="316" t="s">
        <v>322</v>
      </c>
      <c r="J113" s="254"/>
      <c r="K113" s="50" t="str">
        <f>IF($W113="","",IF($W113=1,IF(VLOOKUP($S113,ﾏｽﾀ!$E$8:$K$124,ﾏｽﾀ!$J$4-ﾏｽﾀ!$D$4,0)="E",DAY($J$4),ABS(VLOOKUP($S113,ﾏｽﾀ!$E$8:$K$124,ﾏｽﾀ!$J$4-ﾏｽﾀ!$D$4,0))),IF(VLOOKUP($S113,ﾏｽﾀ!$E$8:$K$124,ﾏｽﾀ!$K$4-ﾏｽﾀ!$D$4,0)="E",DAY($J$4),ABS(VLOOKUP($S113,ﾏｽﾀ!$E$8:$K$124,ﾏｽﾀ!$K$4-ﾏｽﾀ!$D$4,0)))))</f>
        <v/>
      </c>
      <c r="L113" s="255"/>
      <c r="M113" s="255"/>
      <c r="N113" s="255"/>
      <c r="O113" s="50" t="str">
        <f>IF($S113="","",IF($M113="",IF($J113="","ERR",IF(VLOOKUP($S113,ﾏｽﾀ!$E$8:$K$124,ﾏｽﾀ!$J$4-ﾏｽﾀ!$D$4,0)="E",MONTH($J113),IF(MONTH($J113)-1=0,12,MONTH($J113)-1))),MONTH($M113)))</f>
        <v/>
      </c>
      <c r="P113" s="50" t="str">
        <f>IF($S113="","",IF($M113="",IF($K113="","ERR",IF(VLOOKUP($S113,ﾏｽﾀ!$E$8:$K$124,ﾏｽﾀ!$J$4-ﾏｽﾀ!$D$4,0)="E",1,$K113+1)),DAY($M113)))</f>
        <v/>
      </c>
      <c r="Q113" s="50" t="str">
        <f t="shared" si="37"/>
        <v/>
      </c>
      <c r="R113" s="50" t="str">
        <f t="shared" si="38"/>
        <v/>
      </c>
      <c r="S113" s="601" t="str">
        <f>IF($T113="","",INDEX(ﾏｽﾀ!$E$8:$E$124,MATCH(INDEX(ﾏｽﾀ!$N$8:$N$124,MATCH($T113,ﾏｽﾀ!$O$8:$O$124,0)),ﾏｽﾀ!$B$8:$B$124,0))&amp;"")</f>
        <v/>
      </c>
      <c r="T113" s="535"/>
      <c r="U113" s="601" t="str">
        <f>IF($T113="","",INDEX(ﾏｽﾀ!$G$8:$G$124,MATCH(INDEX(ﾏｽﾀ!$N$8:$N$124,MATCH($T113,ﾏｽﾀ!$O$8:$O$124,0)),ﾏｽﾀ!$B$8:$B$124,0))&amp;"")</f>
        <v/>
      </c>
      <c r="V113" s="257"/>
      <c r="W113" s="602" t="str">
        <f>IF($X113="","",INDEX(ﾏｽﾀ!$T$8:$T$16,MATCH($X113,ﾏｽﾀ!$U$8:$U$16,0))&amp;"")</f>
        <v/>
      </c>
      <c r="X113" s="248"/>
      <c r="Y113" s="260"/>
      <c r="Z113" s="260"/>
      <c r="AA113" s="256"/>
      <c r="AB113" s="492" t="str">
        <f>IF($W113="","",IF($AA113="","ERR",IF($AA113="1",IF($AE113="","ERR",VLOOKUP($AA113,ﾏｽﾀ!$W$8:$X$10,ﾏｽﾀ!$X$4,0)),IF($AA113="2",IF($AG113="","ERR",VLOOKUP($AA113,ﾏｽﾀ!$W$8:$X$10,ﾏｽﾀ!$X$4,0)),IF($AA113="3",IF($AI113="","ERR",VLOOKUP($AA113,ﾏｽﾀ!$W$8:$X$10,ﾏｽﾀ!$X$4,0)),"ERR")))))</f>
        <v/>
      </c>
      <c r="AC113" s="261"/>
      <c r="AD113" s="321" t="str">
        <f>IF($AA113="1",COUNTIF('納品書明細16-E'!$D$9:$D$206,$AN113)+COUNTIF('納品書明細F-15'!$D$9:$D$297,$AN113)-IF(ISNA(MATCH(CONCATENATE(VLOOKUP($AC113,$AB$1:$AC$4,2,FALSE),$S113,IF($U113="","00",$U113),$W113,2),$F$11:$F$160,0)),0,SUMIF($F$11:$F$160,CONCATENATE(VLOOKUP($AC113,$AB$1:$AC$4,2,FALSE),$S113,IF($U113="","00",$U113),$W113,2),$AF$11:$AF$160)),"")</f>
        <v/>
      </c>
      <c r="AE113" s="319" t="str">
        <f>IF($AA113="1",SUMIF('納品書明細16-E'!$C$9:$C$206,$AO113,'納品書明細16-E'!$Q$9:$Q$206)+SUMIF('納品書明細F-15'!$C$9:$C$297,$AO113,'納品書明細F-15'!$Q$9:$Q$297)-IF(ISNA(MATCH(CONCATENATE(VLOOKUP($AC113,$AB$1:$AC$4,2,FALSE),$S113,IF($U113="","00",$U113),$W113,2),$F$11:$F$160,0)),0,SUMIF($F$11:$F$160,CONCATENATE(VLOOKUP($AC113,$AB$1:$AC$4,2,FALSE),$S113,IF($U113="","00",$U113),$W113,2),$AG$11:$AG$160)),"")</f>
        <v/>
      </c>
      <c r="AF113" s="324"/>
      <c r="AG113" s="327"/>
      <c r="AH113" s="57"/>
      <c r="AI113" s="319" t="str">
        <f>IF($AH113="","",IF(ISNA(MATCH($AH113,'納品書明細16-E'!$H$9:$H$206,0)),IF(ISNA(MATCH($AH113,'納品書明細F-15'!$H$9:$H$297,0)),"ERR",SUMIF('納品書明細F-15'!$H$9:$H$297,$AH113,'納品書明細F-15'!$Q$9:$Q$297)),SUMIF('納品書明細16-E'!$H$9:$H$206,$AH113,'納品書明細16-E'!$Q$9:$Q$206)))</f>
        <v/>
      </c>
      <c r="AK113" s="328" t="str">
        <f t="shared" si="45"/>
        <v/>
      </c>
      <c r="AL113" s="269" t="str">
        <f t="shared" si="46"/>
        <v/>
      </c>
      <c r="AM113" s="270" t="str">
        <f t="shared" si="47"/>
        <v/>
      </c>
      <c r="AN113" s="244" t="str">
        <f t="shared" si="48"/>
        <v/>
      </c>
      <c r="AO113" s="244" t="str">
        <f t="shared" si="49"/>
        <v/>
      </c>
      <c r="AP113" s="271" t="str">
        <f t="shared" si="40"/>
        <v/>
      </c>
      <c r="AQ113" s="265"/>
      <c r="AR113" s="263"/>
      <c r="AS113" s="84"/>
      <c r="AT113" s="86"/>
      <c r="AU113" s="87"/>
    </row>
    <row r="114" spans="1:47" ht="15" customHeight="1">
      <c r="A114" s="281" t="str">
        <f t="shared" si="39"/>
        <v/>
      </c>
      <c r="B114" s="282" t="str">
        <f t="shared" si="35"/>
        <v/>
      </c>
      <c r="C114" s="618" t="str">
        <f>IF(AND($S114="",$U114="",$W114="",$AA114="",$AE114="",$AG114="",$AI114=""),"",MAX($C$10:$C113)+1)</f>
        <v/>
      </c>
      <c r="D114" s="619" t="str">
        <f t="shared" si="41"/>
        <v/>
      </c>
      <c r="E114" s="619" t="str">
        <f t="shared" si="42"/>
        <v/>
      </c>
      <c r="F114" s="619" t="str">
        <f t="shared" si="43"/>
        <v/>
      </c>
      <c r="G114" s="619" t="str">
        <f t="shared" si="44"/>
        <v/>
      </c>
      <c r="H114" s="620" t="str">
        <f t="shared" si="50"/>
        <v/>
      </c>
      <c r="I114" s="316" t="s">
        <v>323</v>
      </c>
      <c r="J114" s="254"/>
      <c r="K114" s="50" t="str">
        <f>IF($W114="","",IF($W114=1,IF(VLOOKUP($S114,ﾏｽﾀ!$E$8:$K$124,ﾏｽﾀ!$J$4-ﾏｽﾀ!$D$4,0)="E",DAY($J$4),ABS(VLOOKUP($S114,ﾏｽﾀ!$E$8:$K$124,ﾏｽﾀ!$J$4-ﾏｽﾀ!$D$4,0))),IF(VLOOKUP($S114,ﾏｽﾀ!$E$8:$K$124,ﾏｽﾀ!$K$4-ﾏｽﾀ!$D$4,0)="E",DAY($J$4),ABS(VLOOKUP($S114,ﾏｽﾀ!$E$8:$K$124,ﾏｽﾀ!$K$4-ﾏｽﾀ!$D$4,0)))))</f>
        <v/>
      </c>
      <c r="L114" s="255"/>
      <c r="M114" s="255"/>
      <c r="N114" s="255"/>
      <c r="O114" s="50" t="str">
        <f>IF($S114="","",IF($M114="",IF($J114="","ERR",IF(VLOOKUP($S114,ﾏｽﾀ!$E$8:$K$124,ﾏｽﾀ!$J$4-ﾏｽﾀ!$D$4,0)="E",MONTH($J114),IF(MONTH($J114)-1=0,12,MONTH($J114)-1))),MONTH($M114)))</f>
        <v/>
      </c>
      <c r="P114" s="50" t="str">
        <f>IF($S114="","",IF($M114="",IF($K114="","ERR",IF(VLOOKUP($S114,ﾏｽﾀ!$E$8:$K$124,ﾏｽﾀ!$J$4-ﾏｽﾀ!$D$4,0)="E",1,$K114+1)),DAY($M114)))</f>
        <v/>
      </c>
      <c r="Q114" s="50" t="str">
        <f t="shared" si="37"/>
        <v/>
      </c>
      <c r="R114" s="50" t="str">
        <f t="shared" si="38"/>
        <v/>
      </c>
      <c r="S114" s="601" t="str">
        <f>IF($T114="","",INDEX(ﾏｽﾀ!$E$8:$E$124,MATCH(INDEX(ﾏｽﾀ!$N$8:$N$124,MATCH($T114,ﾏｽﾀ!$O$8:$O$124,0)),ﾏｽﾀ!$B$8:$B$124,0))&amp;"")</f>
        <v/>
      </c>
      <c r="T114" s="535"/>
      <c r="U114" s="601" t="str">
        <f>IF($T114="","",INDEX(ﾏｽﾀ!$G$8:$G$124,MATCH(INDEX(ﾏｽﾀ!$N$8:$N$124,MATCH($T114,ﾏｽﾀ!$O$8:$O$124,0)),ﾏｽﾀ!$B$8:$B$124,0))&amp;"")</f>
        <v/>
      </c>
      <c r="V114" s="257"/>
      <c r="W114" s="602" t="str">
        <f>IF($X114="","",INDEX(ﾏｽﾀ!$T$8:$T$16,MATCH($X114,ﾏｽﾀ!$U$8:$U$16,0))&amp;"")</f>
        <v/>
      </c>
      <c r="X114" s="248"/>
      <c r="Y114" s="260"/>
      <c r="Z114" s="260"/>
      <c r="AA114" s="256"/>
      <c r="AB114" s="492" t="str">
        <f>IF($W114="","",IF($AA114="","ERR",IF($AA114="1",IF($AE114="","ERR",VLOOKUP($AA114,ﾏｽﾀ!$W$8:$X$10,ﾏｽﾀ!$X$4,0)),IF($AA114="2",IF($AG114="","ERR",VLOOKUP($AA114,ﾏｽﾀ!$W$8:$X$10,ﾏｽﾀ!$X$4,0)),IF($AA114="3",IF($AI114="","ERR",VLOOKUP($AA114,ﾏｽﾀ!$W$8:$X$10,ﾏｽﾀ!$X$4,0)),"ERR")))))</f>
        <v/>
      </c>
      <c r="AC114" s="261"/>
      <c r="AD114" s="321" t="str">
        <f>IF($AA114="1",COUNTIF('納品書明細16-E'!$D$9:$D$206,$AN114)+COUNTIF('納品書明細F-15'!$D$9:$D$297,$AN114)-IF(ISNA(MATCH(CONCATENATE(VLOOKUP($AC114,$AB$1:$AC$4,2,FALSE),$S114,IF($U114="","00",$U114),$W114,2),$F$11:$F$160,0)),0,SUMIF($F$11:$F$160,CONCATENATE(VLOOKUP($AC114,$AB$1:$AC$4,2,FALSE),$S114,IF($U114="","00",$U114),$W114,2),$AF$11:$AF$160)),"")</f>
        <v/>
      </c>
      <c r="AE114" s="319" t="str">
        <f>IF($AA114="1",SUMIF('納品書明細16-E'!$C$9:$C$206,$AO114,'納品書明細16-E'!$Q$9:$Q$206)+SUMIF('納品書明細F-15'!$C$9:$C$297,$AO114,'納品書明細F-15'!$Q$9:$Q$297)-IF(ISNA(MATCH(CONCATENATE(VLOOKUP($AC114,$AB$1:$AC$4,2,FALSE),$S114,IF($U114="","00",$U114),$W114,2),$F$11:$F$160,0)),0,SUMIF($F$11:$F$160,CONCATENATE(VLOOKUP($AC114,$AB$1:$AC$4,2,FALSE),$S114,IF($U114="","00",$U114),$W114,2),$AG$11:$AG$160)),"")</f>
        <v/>
      </c>
      <c r="AF114" s="324"/>
      <c r="AG114" s="327"/>
      <c r="AH114" s="57"/>
      <c r="AI114" s="319" t="str">
        <f>IF($AH114="","",IF(ISNA(MATCH($AH114,'納品書明細16-E'!$H$9:$H$206,0)),IF(ISNA(MATCH($AH114,'納品書明細F-15'!$H$9:$H$297,0)),"ERR",SUMIF('納品書明細F-15'!$H$9:$H$297,$AH114,'納品書明細F-15'!$Q$9:$Q$297)),SUMIF('納品書明細16-E'!$H$9:$H$206,$AH114,'納品書明細16-E'!$Q$9:$Q$206)))</f>
        <v/>
      </c>
      <c r="AK114" s="328" t="str">
        <f t="shared" si="45"/>
        <v/>
      </c>
      <c r="AL114" s="269" t="str">
        <f t="shared" si="46"/>
        <v/>
      </c>
      <c r="AM114" s="270" t="str">
        <f t="shared" si="47"/>
        <v/>
      </c>
      <c r="AN114" s="244" t="str">
        <f t="shared" si="48"/>
        <v/>
      </c>
      <c r="AO114" s="244" t="str">
        <f t="shared" si="49"/>
        <v/>
      </c>
      <c r="AP114" s="271" t="str">
        <f t="shared" si="40"/>
        <v/>
      </c>
      <c r="AQ114" s="265"/>
      <c r="AR114" s="263"/>
      <c r="AS114" s="84"/>
      <c r="AT114" s="86"/>
      <c r="AU114" s="87"/>
    </row>
    <row r="115" spans="1:47" ht="15" customHeight="1">
      <c r="A115" s="281" t="str">
        <f t="shared" si="39"/>
        <v/>
      </c>
      <c r="B115" s="282" t="str">
        <f t="shared" si="35"/>
        <v/>
      </c>
      <c r="C115" s="618" t="str">
        <f>IF(AND($S115="",$U115="",$W115="",$AA115="",$AE115="",$AG115="",$AI115=""),"",MAX($C$10:$C114)+1)</f>
        <v/>
      </c>
      <c r="D115" s="619" t="str">
        <f t="shared" si="41"/>
        <v/>
      </c>
      <c r="E115" s="619" t="str">
        <f t="shared" si="42"/>
        <v/>
      </c>
      <c r="F115" s="619" t="str">
        <f t="shared" si="43"/>
        <v/>
      </c>
      <c r="G115" s="619" t="str">
        <f t="shared" si="44"/>
        <v/>
      </c>
      <c r="H115" s="620" t="str">
        <f t="shared" si="50"/>
        <v/>
      </c>
      <c r="I115" s="316" t="s">
        <v>324</v>
      </c>
      <c r="J115" s="254"/>
      <c r="K115" s="50" t="str">
        <f>IF($W115="","",IF($W115=1,IF(VLOOKUP($S115,ﾏｽﾀ!$E$8:$K$124,ﾏｽﾀ!$J$4-ﾏｽﾀ!$D$4,0)="E",DAY($J$4),ABS(VLOOKUP($S115,ﾏｽﾀ!$E$8:$K$124,ﾏｽﾀ!$J$4-ﾏｽﾀ!$D$4,0))),IF(VLOOKUP($S115,ﾏｽﾀ!$E$8:$K$124,ﾏｽﾀ!$K$4-ﾏｽﾀ!$D$4,0)="E",DAY($J$4),ABS(VLOOKUP($S115,ﾏｽﾀ!$E$8:$K$124,ﾏｽﾀ!$K$4-ﾏｽﾀ!$D$4,0)))))</f>
        <v/>
      </c>
      <c r="L115" s="255"/>
      <c r="M115" s="255"/>
      <c r="N115" s="255"/>
      <c r="O115" s="50" t="str">
        <f>IF($S115="","",IF($M115="",IF($J115="","ERR",IF(VLOOKUP($S115,ﾏｽﾀ!$E$8:$K$124,ﾏｽﾀ!$J$4-ﾏｽﾀ!$D$4,0)="E",MONTH($J115),IF(MONTH($J115)-1=0,12,MONTH($J115)-1))),MONTH($M115)))</f>
        <v/>
      </c>
      <c r="P115" s="50" t="str">
        <f>IF($S115="","",IF($M115="",IF($K115="","ERR",IF(VLOOKUP($S115,ﾏｽﾀ!$E$8:$K$124,ﾏｽﾀ!$J$4-ﾏｽﾀ!$D$4,0)="E",1,$K115+1)),DAY($M115)))</f>
        <v/>
      </c>
      <c r="Q115" s="50" t="str">
        <f t="shared" si="37"/>
        <v/>
      </c>
      <c r="R115" s="50" t="str">
        <f t="shared" si="38"/>
        <v/>
      </c>
      <c r="S115" s="601" t="str">
        <f>IF($T115="","",INDEX(ﾏｽﾀ!$E$8:$E$124,MATCH(INDEX(ﾏｽﾀ!$N$8:$N$124,MATCH($T115,ﾏｽﾀ!$O$8:$O$124,0)),ﾏｽﾀ!$B$8:$B$124,0))&amp;"")</f>
        <v/>
      </c>
      <c r="T115" s="535"/>
      <c r="U115" s="601" t="str">
        <f>IF($T115="","",INDEX(ﾏｽﾀ!$G$8:$G$124,MATCH(INDEX(ﾏｽﾀ!$N$8:$N$124,MATCH($T115,ﾏｽﾀ!$O$8:$O$124,0)),ﾏｽﾀ!$B$8:$B$124,0))&amp;"")</f>
        <v/>
      </c>
      <c r="V115" s="257"/>
      <c r="W115" s="602" t="str">
        <f>IF($X115="","",INDEX(ﾏｽﾀ!$T$8:$T$16,MATCH($X115,ﾏｽﾀ!$U$8:$U$16,0))&amp;"")</f>
        <v/>
      </c>
      <c r="X115" s="248"/>
      <c r="Y115" s="260"/>
      <c r="Z115" s="260"/>
      <c r="AA115" s="256"/>
      <c r="AB115" s="492" t="str">
        <f>IF($W115="","",IF($AA115="","ERR",IF($AA115="1",IF($AE115="","ERR",VLOOKUP($AA115,ﾏｽﾀ!$W$8:$X$10,ﾏｽﾀ!$X$4,0)),IF($AA115="2",IF($AG115="","ERR",VLOOKUP($AA115,ﾏｽﾀ!$W$8:$X$10,ﾏｽﾀ!$X$4,0)),IF($AA115="3",IF($AI115="","ERR",VLOOKUP($AA115,ﾏｽﾀ!$W$8:$X$10,ﾏｽﾀ!$X$4,0)),"ERR")))))</f>
        <v/>
      </c>
      <c r="AC115" s="261"/>
      <c r="AD115" s="321" t="str">
        <f>IF($AA115="1",COUNTIF('納品書明細16-E'!$D$9:$D$206,$AN115)+COUNTIF('納品書明細F-15'!$D$9:$D$297,$AN115)-IF(ISNA(MATCH(CONCATENATE(VLOOKUP($AC115,$AB$1:$AC$4,2,FALSE),$S115,IF($U115="","00",$U115),$W115,2),$F$11:$F$160,0)),0,SUMIF($F$11:$F$160,CONCATENATE(VLOOKUP($AC115,$AB$1:$AC$4,2,FALSE),$S115,IF($U115="","00",$U115),$W115,2),$AF$11:$AF$160)),"")</f>
        <v/>
      </c>
      <c r="AE115" s="319" t="str">
        <f>IF($AA115="1",SUMIF('納品書明細16-E'!$C$9:$C$206,$AO115,'納品書明細16-E'!$Q$9:$Q$206)+SUMIF('納品書明細F-15'!$C$9:$C$297,$AO115,'納品書明細F-15'!$Q$9:$Q$297)-IF(ISNA(MATCH(CONCATENATE(VLOOKUP($AC115,$AB$1:$AC$4,2,FALSE),$S115,IF($U115="","00",$U115),$W115,2),$F$11:$F$160,0)),0,SUMIF($F$11:$F$160,CONCATENATE(VLOOKUP($AC115,$AB$1:$AC$4,2,FALSE),$S115,IF($U115="","00",$U115),$W115,2),$AG$11:$AG$160)),"")</f>
        <v/>
      </c>
      <c r="AF115" s="324"/>
      <c r="AG115" s="327"/>
      <c r="AH115" s="57"/>
      <c r="AI115" s="319" t="str">
        <f>IF($AH115="","",IF(ISNA(MATCH($AH115,'納品書明細16-E'!$H$9:$H$206,0)),IF(ISNA(MATCH($AH115,'納品書明細F-15'!$H$9:$H$297,0)),"ERR",SUMIF('納品書明細F-15'!$H$9:$H$297,$AH115,'納品書明細F-15'!$Q$9:$Q$297)),SUMIF('納品書明細16-E'!$H$9:$H$206,$AH115,'納品書明細16-E'!$Q$9:$Q$206)))</f>
        <v/>
      </c>
      <c r="AK115" s="328" t="str">
        <f t="shared" si="45"/>
        <v/>
      </c>
      <c r="AL115" s="269" t="str">
        <f t="shared" si="46"/>
        <v/>
      </c>
      <c r="AM115" s="270" t="str">
        <f t="shared" si="47"/>
        <v/>
      </c>
      <c r="AN115" s="244" t="str">
        <f t="shared" si="48"/>
        <v/>
      </c>
      <c r="AO115" s="244" t="str">
        <f t="shared" si="49"/>
        <v/>
      </c>
      <c r="AP115" s="271" t="str">
        <f t="shared" si="40"/>
        <v/>
      </c>
      <c r="AQ115" s="265"/>
      <c r="AR115" s="263"/>
      <c r="AS115" s="84"/>
      <c r="AT115" s="86"/>
      <c r="AU115" s="87"/>
    </row>
    <row r="116" spans="1:47" ht="15" customHeight="1">
      <c r="A116" s="281" t="str">
        <f t="shared" si="39"/>
        <v/>
      </c>
      <c r="B116" s="282" t="str">
        <f t="shared" si="35"/>
        <v/>
      </c>
      <c r="C116" s="618" t="str">
        <f>IF(AND($S116="",$U116="",$W116="",$AA116="",$AE116="",$AG116="",$AI116=""),"",MAX($C$10:$C115)+1)</f>
        <v/>
      </c>
      <c r="D116" s="619" t="str">
        <f t="shared" si="41"/>
        <v/>
      </c>
      <c r="E116" s="619" t="str">
        <f t="shared" si="42"/>
        <v/>
      </c>
      <c r="F116" s="619" t="str">
        <f t="shared" si="43"/>
        <v/>
      </c>
      <c r="G116" s="619" t="str">
        <f t="shared" si="44"/>
        <v/>
      </c>
      <c r="H116" s="620" t="str">
        <f t="shared" si="50"/>
        <v/>
      </c>
      <c r="I116" s="316" t="s">
        <v>325</v>
      </c>
      <c r="J116" s="254"/>
      <c r="K116" s="50" t="str">
        <f>IF($W116="","",IF($W116=1,IF(VLOOKUP($S116,ﾏｽﾀ!$E$8:$K$124,ﾏｽﾀ!$J$4-ﾏｽﾀ!$D$4,0)="E",DAY($J$4),ABS(VLOOKUP($S116,ﾏｽﾀ!$E$8:$K$124,ﾏｽﾀ!$J$4-ﾏｽﾀ!$D$4,0))),IF(VLOOKUP($S116,ﾏｽﾀ!$E$8:$K$124,ﾏｽﾀ!$K$4-ﾏｽﾀ!$D$4,0)="E",DAY($J$4),ABS(VLOOKUP($S116,ﾏｽﾀ!$E$8:$K$124,ﾏｽﾀ!$K$4-ﾏｽﾀ!$D$4,0)))))</f>
        <v/>
      </c>
      <c r="L116" s="255"/>
      <c r="M116" s="255"/>
      <c r="N116" s="255"/>
      <c r="O116" s="50" t="str">
        <f>IF($S116="","",IF($M116="",IF($J116="","ERR",IF(VLOOKUP($S116,ﾏｽﾀ!$E$8:$K$124,ﾏｽﾀ!$J$4-ﾏｽﾀ!$D$4,0)="E",MONTH($J116),IF(MONTH($J116)-1=0,12,MONTH($J116)-1))),MONTH($M116)))</f>
        <v/>
      </c>
      <c r="P116" s="50" t="str">
        <f>IF($S116="","",IF($M116="",IF($K116="","ERR",IF(VLOOKUP($S116,ﾏｽﾀ!$E$8:$K$124,ﾏｽﾀ!$J$4-ﾏｽﾀ!$D$4,0)="E",1,$K116+1)),DAY($M116)))</f>
        <v/>
      </c>
      <c r="Q116" s="50" t="str">
        <f t="shared" si="37"/>
        <v/>
      </c>
      <c r="R116" s="50" t="str">
        <f t="shared" si="38"/>
        <v/>
      </c>
      <c r="S116" s="601" t="str">
        <f>IF($T116="","",INDEX(ﾏｽﾀ!$E$8:$E$124,MATCH(INDEX(ﾏｽﾀ!$N$8:$N$124,MATCH($T116,ﾏｽﾀ!$O$8:$O$124,0)),ﾏｽﾀ!$B$8:$B$124,0))&amp;"")</f>
        <v/>
      </c>
      <c r="T116" s="535"/>
      <c r="U116" s="601" t="str">
        <f>IF($T116="","",INDEX(ﾏｽﾀ!$G$8:$G$124,MATCH(INDEX(ﾏｽﾀ!$N$8:$N$124,MATCH($T116,ﾏｽﾀ!$O$8:$O$124,0)),ﾏｽﾀ!$B$8:$B$124,0))&amp;"")</f>
        <v/>
      </c>
      <c r="V116" s="257"/>
      <c r="W116" s="602" t="str">
        <f>IF($X116="","",INDEX(ﾏｽﾀ!$T$8:$T$16,MATCH($X116,ﾏｽﾀ!$U$8:$U$16,0))&amp;"")</f>
        <v/>
      </c>
      <c r="X116" s="248"/>
      <c r="Y116" s="260"/>
      <c r="Z116" s="260"/>
      <c r="AA116" s="256"/>
      <c r="AB116" s="492" t="str">
        <f>IF($W116="","",IF($AA116="","ERR",IF($AA116="1",IF($AE116="","ERR",VLOOKUP($AA116,ﾏｽﾀ!$W$8:$X$10,ﾏｽﾀ!$X$4,0)),IF($AA116="2",IF($AG116="","ERR",VLOOKUP($AA116,ﾏｽﾀ!$W$8:$X$10,ﾏｽﾀ!$X$4,0)),IF($AA116="3",IF($AI116="","ERR",VLOOKUP($AA116,ﾏｽﾀ!$W$8:$X$10,ﾏｽﾀ!$X$4,0)),"ERR")))))</f>
        <v/>
      </c>
      <c r="AC116" s="261"/>
      <c r="AD116" s="321" t="str">
        <f>IF($AA116="1",COUNTIF('納品書明細16-E'!$D$9:$D$206,$AN116)+COUNTIF('納品書明細F-15'!$D$9:$D$297,$AN116)-IF(ISNA(MATCH(CONCATENATE(VLOOKUP($AC116,$AB$1:$AC$4,2,FALSE),$S116,IF($U116="","00",$U116),$W116,2),$F$11:$F$160,0)),0,SUMIF($F$11:$F$160,CONCATENATE(VLOOKUP($AC116,$AB$1:$AC$4,2,FALSE),$S116,IF($U116="","00",$U116),$W116,2),$AF$11:$AF$160)),"")</f>
        <v/>
      </c>
      <c r="AE116" s="319" t="str">
        <f>IF($AA116="1",SUMIF('納品書明細16-E'!$C$9:$C$206,$AO116,'納品書明細16-E'!$Q$9:$Q$206)+SUMIF('納品書明細F-15'!$C$9:$C$297,$AO116,'納品書明細F-15'!$Q$9:$Q$297)-IF(ISNA(MATCH(CONCATENATE(VLOOKUP($AC116,$AB$1:$AC$4,2,FALSE),$S116,IF($U116="","00",$U116),$W116,2),$F$11:$F$160,0)),0,SUMIF($F$11:$F$160,CONCATENATE(VLOOKUP($AC116,$AB$1:$AC$4,2,FALSE),$S116,IF($U116="","00",$U116),$W116,2),$AG$11:$AG$160)),"")</f>
        <v/>
      </c>
      <c r="AF116" s="324"/>
      <c r="AG116" s="327"/>
      <c r="AH116" s="57"/>
      <c r="AI116" s="319" t="str">
        <f>IF($AH116="","",IF(ISNA(MATCH($AH116,'納品書明細16-E'!$H$9:$H$206,0)),IF(ISNA(MATCH($AH116,'納品書明細F-15'!$H$9:$H$297,0)),"ERR",SUMIF('納品書明細F-15'!$H$9:$H$297,$AH116,'納品書明細F-15'!$Q$9:$Q$297)),SUMIF('納品書明細16-E'!$H$9:$H$206,$AH116,'納品書明細16-E'!$Q$9:$Q$206)))</f>
        <v/>
      </c>
      <c r="AK116" s="328" t="str">
        <f t="shared" si="45"/>
        <v/>
      </c>
      <c r="AL116" s="269" t="str">
        <f t="shared" si="46"/>
        <v/>
      </c>
      <c r="AM116" s="270" t="str">
        <f t="shared" si="47"/>
        <v/>
      </c>
      <c r="AN116" s="244" t="str">
        <f t="shared" si="48"/>
        <v/>
      </c>
      <c r="AO116" s="244" t="str">
        <f t="shared" si="49"/>
        <v/>
      </c>
      <c r="AP116" s="271" t="str">
        <f t="shared" si="40"/>
        <v/>
      </c>
      <c r="AQ116" s="265"/>
      <c r="AR116" s="263"/>
      <c r="AS116" s="84"/>
      <c r="AT116" s="86"/>
      <c r="AU116" s="87"/>
    </row>
    <row r="117" spans="1:47" ht="15" customHeight="1">
      <c r="A117" s="281" t="str">
        <f t="shared" si="39"/>
        <v/>
      </c>
      <c r="B117" s="282" t="str">
        <f t="shared" si="35"/>
        <v/>
      </c>
      <c r="C117" s="618" t="str">
        <f>IF(AND($S117="",$U117="",$W117="",$AA117="",$AE117="",$AG117="",$AI117=""),"",MAX($C$10:$C116)+1)</f>
        <v/>
      </c>
      <c r="D117" s="619" t="str">
        <f t="shared" si="41"/>
        <v/>
      </c>
      <c r="E117" s="619" t="str">
        <f t="shared" si="42"/>
        <v/>
      </c>
      <c r="F117" s="619" t="str">
        <f t="shared" si="43"/>
        <v/>
      </c>
      <c r="G117" s="619" t="str">
        <f t="shared" si="44"/>
        <v/>
      </c>
      <c r="H117" s="620" t="str">
        <f t="shared" si="50"/>
        <v/>
      </c>
      <c r="I117" s="316" t="s">
        <v>326</v>
      </c>
      <c r="J117" s="254"/>
      <c r="K117" s="50" t="str">
        <f>IF($W117="","",IF($W117=1,IF(VLOOKUP($S117,ﾏｽﾀ!$E$8:$K$124,ﾏｽﾀ!$J$4-ﾏｽﾀ!$D$4,0)="E",DAY($J$4),ABS(VLOOKUP($S117,ﾏｽﾀ!$E$8:$K$124,ﾏｽﾀ!$J$4-ﾏｽﾀ!$D$4,0))),IF(VLOOKUP($S117,ﾏｽﾀ!$E$8:$K$124,ﾏｽﾀ!$K$4-ﾏｽﾀ!$D$4,0)="E",DAY($J$4),ABS(VLOOKUP($S117,ﾏｽﾀ!$E$8:$K$124,ﾏｽﾀ!$K$4-ﾏｽﾀ!$D$4,0)))))</f>
        <v/>
      </c>
      <c r="L117" s="255"/>
      <c r="M117" s="255"/>
      <c r="N117" s="255"/>
      <c r="O117" s="50" t="str">
        <f>IF($S117="","",IF($M117="",IF($J117="","ERR",IF(VLOOKUP($S117,ﾏｽﾀ!$E$8:$K$124,ﾏｽﾀ!$J$4-ﾏｽﾀ!$D$4,0)="E",MONTH($J117),IF(MONTH($J117)-1=0,12,MONTH($J117)-1))),MONTH($M117)))</f>
        <v/>
      </c>
      <c r="P117" s="50" t="str">
        <f>IF($S117="","",IF($M117="",IF($K117="","ERR",IF(VLOOKUP($S117,ﾏｽﾀ!$E$8:$K$124,ﾏｽﾀ!$J$4-ﾏｽﾀ!$D$4,0)="E",1,$K117+1)),DAY($M117)))</f>
        <v/>
      </c>
      <c r="Q117" s="50" t="str">
        <f t="shared" si="37"/>
        <v/>
      </c>
      <c r="R117" s="50" t="str">
        <f t="shared" si="38"/>
        <v/>
      </c>
      <c r="S117" s="601" t="str">
        <f>IF($T117="","",INDEX(ﾏｽﾀ!$E$8:$E$124,MATCH(INDEX(ﾏｽﾀ!$N$8:$N$124,MATCH($T117,ﾏｽﾀ!$O$8:$O$124,0)),ﾏｽﾀ!$B$8:$B$124,0))&amp;"")</f>
        <v/>
      </c>
      <c r="T117" s="535"/>
      <c r="U117" s="601" t="str">
        <f>IF($T117="","",INDEX(ﾏｽﾀ!$G$8:$G$124,MATCH(INDEX(ﾏｽﾀ!$N$8:$N$124,MATCH($T117,ﾏｽﾀ!$O$8:$O$124,0)),ﾏｽﾀ!$B$8:$B$124,0))&amp;"")</f>
        <v/>
      </c>
      <c r="V117" s="257"/>
      <c r="W117" s="602" t="str">
        <f>IF($X117="","",INDEX(ﾏｽﾀ!$T$8:$T$16,MATCH($X117,ﾏｽﾀ!$U$8:$U$16,0))&amp;"")</f>
        <v/>
      </c>
      <c r="X117" s="248"/>
      <c r="Y117" s="260"/>
      <c r="Z117" s="260"/>
      <c r="AA117" s="256"/>
      <c r="AB117" s="492" t="str">
        <f>IF($W117="","",IF($AA117="","ERR",IF($AA117="1",IF($AE117="","ERR",VLOOKUP($AA117,ﾏｽﾀ!$W$8:$X$10,ﾏｽﾀ!$X$4,0)),IF($AA117="2",IF($AG117="","ERR",VLOOKUP($AA117,ﾏｽﾀ!$W$8:$X$10,ﾏｽﾀ!$X$4,0)),IF($AA117="3",IF($AI117="","ERR",VLOOKUP($AA117,ﾏｽﾀ!$W$8:$X$10,ﾏｽﾀ!$X$4,0)),"ERR")))))</f>
        <v/>
      </c>
      <c r="AC117" s="261"/>
      <c r="AD117" s="321" t="str">
        <f>IF($AA117="1",COUNTIF('納品書明細16-E'!$D$9:$D$206,$AN117)+COUNTIF('納品書明細F-15'!$D$9:$D$297,$AN117)-IF(ISNA(MATCH(CONCATENATE(VLOOKUP($AC117,$AB$1:$AC$4,2,FALSE),$S117,IF($U117="","00",$U117),$W117,2),$F$11:$F$160,0)),0,SUMIF($F$11:$F$160,CONCATENATE(VLOOKUP($AC117,$AB$1:$AC$4,2,FALSE),$S117,IF($U117="","00",$U117),$W117,2),$AF$11:$AF$160)),"")</f>
        <v/>
      </c>
      <c r="AE117" s="319" t="str">
        <f>IF($AA117="1",SUMIF('納品書明細16-E'!$C$9:$C$206,$AO117,'納品書明細16-E'!$Q$9:$Q$206)+SUMIF('納品書明細F-15'!$C$9:$C$297,$AO117,'納品書明細F-15'!$Q$9:$Q$297)-IF(ISNA(MATCH(CONCATENATE(VLOOKUP($AC117,$AB$1:$AC$4,2,FALSE),$S117,IF($U117="","00",$U117),$W117,2),$F$11:$F$160,0)),0,SUMIF($F$11:$F$160,CONCATENATE(VLOOKUP($AC117,$AB$1:$AC$4,2,FALSE),$S117,IF($U117="","00",$U117),$W117,2),$AG$11:$AG$160)),"")</f>
        <v/>
      </c>
      <c r="AF117" s="324"/>
      <c r="AG117" s="327"/>
      <c r="AH117" s="57"/>
      <c r="AI117" s="319" t="str">
        <f>IF($AH117="","",IF(ISNA(MATCH($AH117,'納品書明細16-E'!$H$9:$H$206,0)),IF(ISNA(MATCH($AH117,'納品書明細F-15'!$H$9:$H$297,0)),"ERR",SUMIF('納品書明細F-15'!$H$9:$H$297,$AH117,'納品書明細F-15'!$Q$9:$Q$297)),SUMIF('納品書明細16-E'!$H$9:$H$206,$AH117,'納品書明細16-E'!$Q$9:$Q$206)))</f>
        <v/>
      </c>
      <c r="AK117" s="328" t="str">
        <f t="shared" si="45"/>
        <v/>
      </c>
      <c r="AL117" s="269" t="str">
        <f t="shared" si="46"/>
        <v/>
      </c>
      <c r="AM117" s="270" t="str">
        <f t="shared" si="47"/>
        <v/>
      </c>
      <c r="AN117" s="244" t="str">
        <f t="shared" si="48"/>
        <v/>
      </c>
      <c r="AO117" s="244" t="str">
        <f t="shared" si="49"/>
        <v/>
      </c>
      <c r="AP117" s="271" t="str">
        <f t="shared" si="40"/>
        <v/>
      </c>
      <c r="AQ117" s="265"/>
      <c r="AR117" s="263"/>
      <c r="AS117" s="84"/>
      <c r="AT117" s="86"/>
      <c r="AU117" s="87"/>
    </row>
    <row r="118" spans="1:47" ht="15" customHeight="1">
      <c r="A118" s="281" t="str">
        <f t="shared" si="39"/>
        <v/>
      </c>
      <c r="B118" s="282" t="str">
        <f t="shared" si="35"/>
        <v/>
      </c>
      <c r="C118" s="618" t="str">
        <f>IF(AND($S118="",$U118="",$W118="",$AA118="",$AE118="",$AG118="",$AI118=""),"",MAX($C$10:$C117)+1)</f>
        <v/>
      </c>
      <c r="D118" s="619" t="str">
        <f t="shared" si="41"/>
        <v/>
      </c>
      <c r="E118" s="619" t="str">
        <f t="shared" si="42"/>
        <v/>
      </c>
      <c r="F118" s="619" t="str">
        <f t="shared" si="43"/>
        <v/>
      </c>
      <c r="G118" s="619" t="str">
        <f t="shared" si="44"/>
        <v/>
      </c>
      <c r="H118" s="620" t="str">
        <f t="shared" si="50"/>
        <v/>
      </c>
      <c r="I118" s="316" t="s">
        <v>327</v>
      </c>
      <c r="J118" s="254"/>
      <c r="K118" s="50" t="str">
        <f>IF($W118="","",IF($W118=1,IF(VLOOKUP($S118,ﾏｽﾀ!$E$8:$K$124,ﾏｽﾀ!$J$4-ﾏｽﾀ!$D$4,0)="E",DAY($J$4),ABS(VLOOKUP($S118,ﾏｽﾀ!$E$8:$K$124,ﾏｽﾀ!$J$4-ﾏｽﾀ!$D$4,0))),IF(VLOOKUP($S118,ﾏｽﾀ!$E$8:$K$124,ﾏｽﾀ!$K$4-ﾏｽﾀ!$D$4,0)="E",DAY($J$4),ABS(VLOOKUP($S118,ﾏｽﾀ!$E$8:$K$124,ﾏｽﾀ!$K$4-ﾏｽﾀ!$D$4,0)))))</f>
        <v/>
      </c>
      <c r="L118" s="255"/>
      <c r="M118" s="255"/>
      <c r="N118" s="255"/>
      <c r="O118" s="50" t="str">
        <f>IF($S118="","",IF($M118="",IF($J118="","ERR",IF(VLOOKUP($S118,ﾏｽﾀ!$E$8:$K$124,ﾏｽﾀ!$J$4-ﾏｽﾀ!$D$4,0)="E",MONTH($J118),IF(MONTH($J118)-1=0,12,MONTH($J118)-1))),MONTH($M118)))</f>
        <v/>
      </c>
      <c r="P118" s="50" t="str">
        <f>IF($S118="","",IF($M118="",IF($K118="","ERR",IF(VLOOKUP($S118,ﾏｽﾀ!$E$8:$K$124,ﾏｽﾀ!$J$4-ﾏｽﾀ!$D$4,0)="E",1,$K118+1)),DAY($M118)))</f>
        <v/>
      </c>
      <c r="Q118" s="50" t="str">
        <f t="shared" si="37"/>
        <v/>
      </c>
      <c r="R118" s="50" t="str">
        <f t="shared" si="38"/>
        <v/>
      </c>
      <c r="S118" s="601" t="str">
        <f>IF($T118="","",INDEX(ﾏｽﾀ!$E$8:$E$124,MATCH(INDEX(ﾏｽﾀ!$N$8:$N$124,MATCH($T118,ﾏｽﾀ!$O$8:$O$124,0)),ﾏｽﾀ!$B$8:$B$124,0))&amp;"")</f>
        <v/>
      </c>
      <c r="T118" s="535"/>
      <c r="U118" s="601" t="str">
        <f>IF($T118="","",INDEX(ﾏｽﾀ!$G$8:$G$124,MATCH(INDEX(ﾏｽﾀ!$N$8:$N$124,MATCH($T118,ﾏｽﾀ!$O$8:$O$124,0)),ﾏｽﾀ!$B$8:$B$124,0))&amp;"")</f>
        <v/>
      </c>
      <c r="V118" s="257"/>
      <c r="W118" s="602" t="str">
        <f>IF($X118="","",INDEX(ﾏｽﾀ!$T$8:$T$16,MATCH($X118,ﾏｽﾀ!$U$8:$U$16,0))&amp;"")</f>
        <v/>
      </c>
      <c r="X118" s="248"/>
      <c r="Y118" s="260"/>
      <c r="Z118" s="260"/>
      <c r="AA118" s="256"/>
      <c r="AB118" s="492" t="str">
        <f>IF($W118="","",IF($AA118="","ERR",IF($AA118="1",IF($AE118="","ERR",VLOOKUP($AA118,ﾏｽﾀ!$W$8:$X$10,ﾏｽﾀ!$X$4,0)),IF($AA118="2",IF($AG118="","ERR",VLOOKUP($AA118,ﾏｽﾀ!$W$8:$X$10,ﾏｽﾀ!$X$4,0)),IF($AA118="3",IF($AI118="","ERR",VLOOKUP($AA118,ﾏｽﾀ!$W$8:$X$10,ﾏｽﾀ!$X$4,0)),"ERR")))))</f>
        <v/>
      </c>
      <c r="AC118" s="261"/>
      <c r="AD118" s="321" t="str">
        <f>IF($AA118="1",COUNTIF('納品書明細16-E'!$D$9:$D$206,$AN118)+COUNTIF('納品書明細F-15'!$D$9:$D$297,$AN118)-IF(ISNA(MATCH(CONCATENATE(VLOOKUP($AC118,$AB$1:$AC$4,2,FALSE),$S118,IF($U118="","00",$U118),$W118,2),$F$11:$F$160,0)),0,SUMIF($F$11:$F$160,CONCATENATE(VLOOKUP($AC118,$AB$1:$AC$4,2,FALSE),$S118,IF($U118="","00",$U118),$W118,2),$AF$11:$AF$160)),"")</f>
        <v/>
      </c>
      <c r="AE118" s="319" t="str">
        <f>IF($AA118="1",SUMIF('納品書明細16-E'!$C$9:$C$206,$AO118,'納品書明細16-E'!$Q$9:$Q$206)+SUMIF('納品書明細F-15'!$C$9:$C$297,$AO118,'納品書明細F-15'!$Q$9:$Q$297)-IF(ISNA(MATCH(CONCATENATE(VLOOKUP($AC118,$AB$1:$AC$4,2,FALSE),$S118,IF($U118="","00",$U118),$W118,2),$F$11:$F$160,0)),0,SUMIF($F$11:$F$160,CONCATENATE(VLOOKUP($AC118,$AB$1:$AC$4,2,FALSE),$S118,IF($U118="","00",$U118),$W118,2),$AG$11:$AG$160)),"")</f>
        <v/>
      </c>
      <c r="AF118" s="324"/>
      <c r="AG118" s="327"/>
      <c r="AH118" s="57"/>
      <c r="AI118" s="319" t="str">
        <f>IF($AH118="","",IF(ISNA(MATCH($AH118,'納品書明細16-E'!$H$9:$H$206,0)),IF(ISNA(MATCH($AH118,'納品書明細F-15'!$H$9:$H$297,0)),"ERR",SUMIF('納品書明細F-15'!$H$9:$H$297,$AH118,'納品書明細F-15'!$Q$9:$Q$297)),SUMIF('納品書明細16-E'!$H$9:$H$206,$AH118,'納品書明細16-E'!$Q$9:$Q$206)))</f>
        <v/>
      </c>
      <c r="AK118" s="328" t="str">
        <f t="shared" si="45"/>
        <v/>
      </c>
      <c r="AL118" s="269" t="str">
        <f t="shared" si="46"/>
        <v/>
      </c>
      <c r="AM118" s="270" t="str">
        <f t="shared" si="47"/>
        <v/>
      </c>
      <c r="AN118" s="244" t="str">
        <f t="shared" si="48"/>
        <v/>
      </c>
      <c r="AO118" s="244" t="str">
        <f t="shared" si="49"/>
        <v/>
      </c>
      <c r="AP118" s="271" t="str">
        <f t="shared" si="40"/>
        <v/>
      </c>
      <c r="AQ118" s="265"/>
      <c r="AR118" s="263"/>
      <c r="AS118" s="84"/>
      <c r="AT118" s="86"/>
      <c r="AU118" s="87"/>
    </row>
    <row r="119" spans="1:47" ht="15" customHeight="1">
      <c r="A119" s="281" t="str">
        <f t="shared" si="39"/>
        <v/>
      </c>
      <c r="B119" s="282" t="str">
        <f t="shared" si="35"/>
        <v/>
      </c>
      <c r="C119" s="618" t="str">
        <f>IF(AND($S119="",$U119="",$W119="",$AA119="",$AE119="",$AG119="",$AI119=""),"",MAX($C$10:$C118)+1)</f>
        <v/>
      </c>
      <c r="D119" s="619" t="str">
        <f t="shared" si="41"/>
        <v/>
      </c>
      <c r="E119" s="619" t="str">
        <f t="shared" si="42"/>
        <v/>
      </c>
      <c r="F119" s="619" t="str">
        <f t="shared" si="43"/>
        <v/>
      </c>
      <c r="G119" s="619" t="str">
        <f t="shared" si="44"/>
        <v/>
      </c>
      <c r="H119" s="620" t="str">
        <f t="shared" si="50"/>
        <v/>
      </c>
      <c r="I119" s="316" t="s">
        <v>328</v>
      </c>
      <c r="J119" s="254"/>
      <c r="K119" s="50" t="str">
        <f>IF($W119="","",IF($W119=1,IF(VLOOKUP($S119,ﾏｽﾀ!$E$8:$K$124,ﾏｽﾀ!$J$4-ﾏｽﾀ!$D$4,0)="E",DAY($J$4),ABS(VLOOKUP($S119,ﾏｽﾀ!$E$8:$K$124,ﾏｽﾀ!$J$4-ﾏｽﾀ!$D$4,0))),IF(VLOOKUP($S119,ﾏｽﾀ!$E$8:$K$124,ﾏｽﾀ!$K$4-ﾏｽﾀ!$D$4,0)="E",DAY($J$4),ABS(VLOOKUP($S119,ﾏｽﾀ!$E$8:$K$124,ﾏｽﾀ!$K$4-ﾏｽﾀ!$D$4,0)))))</f>
        <v/>
      </c>
      <c r="L119" s="255"/>
      <c r="M119" s="255"/>
      <c r="N119" s="255"/>
      <c r="O119" s="50" t="str">
        <f>IF($S119="","",IF($M119="",IF($J119="","ERR",IF(VLOOKUP($S119,ﾏｽﾀ!$E$8:$K$124,ﾏｽﾀ!$J$4-ﾏｽﾀ!$D$4,0)="E",MONTH($J119),IF(MONTH($J119)-1=0,12,MONTH($J119)-1))),MONTH($M119)))</f>
        <v/>
      </c>
      <c r="P119" s="50" t="str">
        <f>IF($S119="","",IF($M119="",IF($K119="","ERR",IF(VLOOKUP($S119,ﾏｽﾀ!$E$8:$K$124,ﾏｽﾀ!$J$4-ﾏｽﾀ!$D$4,0)="E",1,$K119+1)),DAY($M119)))</f>
        <v/>
      </c>
      <c r="Q119" s="50" t="str">
        <f t="shared" si="37"/>
        <v/>
      </c>
      <c r="R119" s="50" t="str">
        <f t="shared" si="38"/>
        <v/>
      </c>
      <c r="S119" s="601" t="str">
        <f>IF($T119="","",INDEX(ﾏｽﾀ!$E$8:$E$124,MATCH(INDEX(ﾏｽﾀ!$N$8:$N$124,MATCH($T119,ﾏｽﾀ!$O$8:$O$124,0)),ﾏｽﾀ!$B$8:$B$124,0))&amp;"")</f>
        <v/>
      </c>
      <c r="T119" s="535"/>
      <c r="U119" s="601" t="str">
        <f>IF($T119="","",INDEX(ﾏｽﾀ!$G$8:$G$124,MATCH(INDEX(ﾏｽﾀ!$N$8:$N$124,MATCH($T119,ﾏｽﾀ!$O$8:$O$124,0)),ﾏｽﾀ!$B$8:$B$124,0))&amp;"")</f>
        <v/>
      </c>
      <c r="V119" s="257"/>
      <c r="W119" s="602" t="str">
        <f>IF($X119="","",INDEX(ﾏｽﾀ!$T$8:$T$16,MATCH($X119,ﾏｽﾀ!$U$8:$U$16,0))&amp;"")</f>
        <v/>
      </c>
      <c r="X119" s="248"/>
      <c r="Y119" s="260"/>
      <c r="Z119" s="260"/>
      <c r="AA119" s="256"/>
      <c r="AB119" s="492" t="str">
        <f>IF($W119="","",IF($AA119="","ERR",IF($AA119="1",IF($AE119="","ERR",VLOOKUP($AA119,ﾏｽﾀ!$W$8:$X$10,ﾏｽﾀ!$X$4,0)),IF($AA119="2",IF($AG119="","ERR",VLOOKUP($AA119,ﾏｽﾀ!$W$8:$X$10,ﾏｽﾀ!$X$4,0)),IF($AA119="3",IF($AI119="","ERR",VLOOKUP($AA119,ﾏｽﾀ!$W$8:$X$10,ﾏｽﾀ!$X$4,0)),"ERR")))))</f>
        <v/>
      </c>
      <c r="AC119" s="261"/>
      <c r="AD119" s="321" t="str">
        <f>IF($AA119="1",COUNTIF('納品書明細16-E'!$D$9:$D$206,$AN119)+COUNTIF('納品書明細F-15'!$D$9:$D$297,$AN119)-IF(ISNA(MATCH(CONCATENATE(VLOOKUP($AC119,$AB$1:$AC$4,2,FALSE),$S119,IF($U119="","00",$U119),$W119,2),$F$11:$F$160,0)),0,SUMIF($F$11:$F$160,CONCATENATE(VLOOKUP($AC119,$AB$1:$AC$4,2,FALSE),$S119,IF($U119="","00",$U119),$W119,2),$AF$11:$AF$160)),"")</f>
        <v/>
      </c>
      <c r="AE119" s="319" t="str">
        <f>IF($AA119="1",SUMIF('納品書明細16-E'!$C$9:$C$206,$AO119,'納品書明細16-E'!$Q$9:$Q$206)+SUMIF('納品書明細F-15'!$C$9:$C$297,$AO119,'納品書明細F-15'!$Q$9:$Q$297)-IF(ISNA(MATCH(CONCATENATE(VLOOKUP($AC119,$AB$1:$AC$4,2,FALSE),$S119,IF($U119="","00",$U119),$W119,2),$F$11:$F$160,0)),0,SUMIF($F$11:$F$160,CONCATENATE(VLOOKUP($AC119,$AB$1:$AC$4,2,FALSE),$S119,IF($U119="","00",$U119),$W119,2),$AG$11:$AG$160)),"")</f>
        <v/>
      </c>
      <c r="AF119" s="324"/>
      <c r="AG119" s="327"/>
      <c r="AH119" s="57"/>
      <c r="AI119" s="319" t="str">
        <f>IF($AH119="","",IF(ISNA(MATCH($AH119,'納品書明細16-E'!$H$9:$H$206,0)),IF(ISNA(MATCH($AH119,'納品書明細F-15'!$H$9:$H$297,0)),"ERR",SUMIF('納品書明細F-15'!$H$9:$H$297,$AH119,'納品書明細F-15'!$Q$9:$Q$297)),SUMIF('納品書明細16-E'!$H$9:$H$206,$AH119,'納品書明細16-E'!$Q$9:$Q$206)))</f>
        <v/>
      </c>
      <c r="AK119" s="328" t="str">
        <f t="shared" si="45"/>
        <v/>
      </c>
      <c r="AL119" s="269" t="str">
        <f t="shared" si="46"/>
        <v/>
      </c>
      <c r="AM119" s="270" t="str">
        <f t="shared" si="47"/>
        <v/>
      </c>
      <c r="AN119" s="244" t="str">
        <f t="shared" si="48"/>
        <v/>
      </c>
      <c r="AO119" s="244" t="str">
        <f t="shared" si="49"/>
        <v/>
      </c>
      <c r="AP119" s="271" t="str">
        <f t="shared" si="40"/>
        <v/>
      </c>
      <c r="AQ119" s="265"/>
      <c r="AR119" s="263"/>
      <c r="AS119" s="84"/>
      <c r="AT119" s="86"/>
      <c r="AU119" s="87"/>
    </row>
    <row r="120" spans="1:47" ht="15" customHeight="1">
      <c r="A120" s="281" t="str">
        <f t="shared" si="39"/>
        <v/>
      </c>
      <c r="B120" s="282" t="str">
        <f t="shared" si="35"/>
        <v/>
      </c>
      <c r="C120" s="618" t="str">
        <f>IF(AND($S120="",$U120="",$W120="",$AA120="",$AE120="",$AG120="",$AI120=""),"",MAX($C$10:$C119)+1)</f>
        <v/>
      </c>
      <c r="D120" s="619" t="str">
        <f t="shared" si="41"/>
        <v/>
      </c>
      <c r="E120" s="619" t="str">
        <f t="shared" si="42"/>
        <v/>
      </c>
      <c r="F120" s="619" t="str">
        <f t="shared" si="43"/>
        <v/>
      </c>
      <c r="G120" s="619" t="str">
        <f t="shared" si="44"/>
        <v/>
      </c>
      <c r="H120" s="620" t="str">
        <f t="shared" si="50"/>
        <v/>
      </c>
      <c r="I120" s="316" t="s">
        <v>329</v>
      </c>
      <c r="J120" s="254"/>
      <c r="K120" s="50" t="str">
        <f>IF($W120="","",IF($W120=1,IF(VLOOKUP($S120,ﾏｽﾀ!$E$8:$K$124,ﾏｽﾀ!$J$4-ﾏｽﾀ!$D$4,0)="E",DAY($J$4),ABS(VLOOKUP($S120,ﾏｽﾀ!$E$8:$K$124,ﾏｽﾀ!$J$4-ﾏｽﾀ!$D$4,0))),IF(VLOOKUP($S120,ﾏｽﾀ!$E$8:$K$124,ﾏｽﾀ!$K$4-ﾏｽﾀ!$D$4,0)="E",DAY($J$4),ABS(VLOOKUP($S120,ﾏｽﾀ!$E$8:$K$124,ﾏｽﾀ!$K$4-ﾏｽﾀ!$D$4,0)))))</f>
        <v/>
      </c>
      <c r="L120" s="255"/>
      <c r="M120" s="255"/>
      <c r="N120" s="255"/>
      <c r="O120" s="50" t="str">
        <f>IF($S120="","",IF($M120="",IF($J120="","ERR",IF(VLOOKUP($S120,ﾏｽﾀ!$E$8:$K$124,ﾏｽﾀ!$J$4-ﾏｽﾀ!$D$4,0)="E",MONTH($J120),IF(MONTH($J120)-1=0,12,MONTH($J120)-1))),MONTH($M120)))</f>
        <v/>
      </c>
      <c r="P120" s="50" t="str">
        <f>IF($S120="","",IF($M120="",IF($K120="","ERR",IF(VLOOKUP($S120,ﾏｽﾀ!$E$8:$K$124,ﾏｽﾀ!$J$4-ﾏｽﾀ!$D$4,0)="E",1,$K120+1)),DAY($M120)))</f>
        <v/>
      </c>
      <c r="Q120" s="50" t="str">
        <f t="shared" si="37"/>
        <v/>
      </c>
      <c r="R120" s="50" t="str">
        <f t="shared" si="38"/>
        <v/>
      </c>
      <c r="S120" s="601" t="str">
        <f>IF($T120="","",INDEX(ﾏｽﾀ!$E$8:$E$124,MATCH(INDEX(ﾏｽﾀ!$N$8:$N$124,MATCH($T120,ﾏｽﾀ!$O$8:$O$124,0)),ﾏｽﾀ!$B$8:$B$124,0))&amp;"")</f>
        <v/>
      </c>
      <c r="T120" s="535"/>
      <c r="U120" s="601" t="str">
        <f>IF($T120="","",INDEX(ﾏｽﾀ!$G$8:$G$124,MATCH(INDEX(ﾏｽﾀ!$N$8:$N$124,MATCH($T120,ﾏｽﾀ!$O$8:$O$124,0)),ﾏｽﾀ!$B$8:$B$124,0))&amp;"")</f>
        <v/>
      </c>
      <c r="V120" s="257"/>
      <c r="W120" s="602" t="str">
        <f>IF($X120="","",INDEX(ﾏｽﾀ!$T$8:$T$16,MATCH($X120,ﾏｽﾀ!$U$8:$U$16,0))&amp;"")</f>
        <v/>
      </c>
      <c r="X120" s="248"/>
      <c r="Y120" s="260"/>
      <c r="Z120" s="260"/>
      <c r="AA120" s="256"/>
      <c r="AB120" s="492" t="str">
        <f>IF($W120="","",IF($AA120="","ERR",IF($AA120="1",IF($AE120="","ERR",VLOOKUP($AA120,ﾏｽﾀ!$W$8:$X$10,ﾏｽﾀ!$X$4,0)),IF($AA120="2",IF($AG120="","ERR",VLOOKUP($AA120,ﾏｽﾀ!$W$8:$X$10,ﾏｽﾀ!$X$4,0)),IF($AA120="3",IF($AI120="","ERR",VLOOKUP($AA120,ﾏｽﾀ!$W$8:$X$10,ﾏｽﾀ!$X$4,0)),"ERR")))))</f>
        <v/>
      </c>
      <c r="AC120" s="261"/>
      <c r="AD120" s="321" t="str">
        <f>IF($AA120="1",COUNTIF('納品書明細16-E'!$D$9:$D$206,$AN120)+COUNTIF('納品書明細F-15'!$D$9:$D$297,$AN120)-IF(ISNA(MATCH(CONCATENATE(VLOOKUP($AC120,$AB$1:$AC$4,2,FALSE),$S120,IF($U120="","00",$U120),$W120,2),$F$11:$F$160,0)),0,SUMIF($F$11:$F$160,CONCATENATE(VLOOKUP($AC120,$AB$1:$AC$4,2,FALSE),$S120,IF($U120="","00",$U120),$W120,2),$AF$11:$AF$160)),"")</f>
        <v/>
      </c>
      <c r="AE120" s="319" t="str">
        <f>IF($AA120="1",SUMIF('納品書明細16-E'!$C$9:$C$206,$AO120,'納品書明細16-E'!$Q$9:$Q$206)+SUMIF('納品書明細F-15'!$C$9:$C$297,$AO120,'納品書明細F-15'!$Q$9:$Q$297)-IF(ISNA(MATCH(CONCATENATE(VLOOKUP($AC120,$AB$1:$AC$4,2,FALSE),$S120,IF($U120="","00",$U120),$W120,2),$F$11:$F$160,0)),0,SUMIF($F$11:$F$160,CONCATENATE(VLOOKUP($AC120,$AB$1:$AC$4,2,FALSE),$S120,IF($U120="","00",$U120),$W120,2),$AG$11:$AG$160)),"")</f>
        <v/>
      </c>
      <c r="AF120" s="324"/>
      <c r="AG120" s="327"/>
      <c r="AH120" s="57"/>
      <c r="AI120" s="319" t="str">
        <f>IF($AH120="","",IF(ISNA(MATCH($AH120,'納品書明細16-E'!$H$9:$H$206,0)),IF(ISNA(MATCH($AH120,'納品書明細F-15'!$H$9:$H$297,0)),"ERR",SUMIF('納品書明細F-15'!$H$9:$H$297,$AH120,'納品書明細F-15'!$Q$9:$Q$297)),SUMIF('納品書明細16-E'!$H$9:$H$206,$AH120,'納品書明細16-E'!$Q$9:$Q$206)))</f>
        <v/>
      </c>
      <c r="AK120" s="328" t="str">
        <f t="shared" si="45"/>
        <v/>
      </c>
      <c r="AL120" s="269" t="str">
        <f t="shared" si="46"/>
        <v/>
      </c>
      <c r="AM120" s="270" t="str">
        <f t="shared" si="47"/>
        <v/>
      </c>
      <c r="AN120" s="244" t="str">
        <f t="shared" si="48"/>
        <v/>
      </c>
      <c r="AO120" s="244" t="str">
        <f t="shared" si="49"/>
        <v/>
      </c>
      <c r="AP120" s="271" t="str">
        <f t="shared" si="40"/>
        <v/>
      </c>
      <c r="AQ120" s="265"/>
      <c r="AR120" s="263"/>
      <c r="AS120" s="84"/>
      <c r="AT120" s="86"/>
      <c r="AU120" s="87"/>
    </row>
    <row r="121" spans="1:47" ht="15" customHeight="1">
      <c r="A121" s="281" t="str">
        <f t="shared" si="39"/>
        <v/>
      </c>
      <c r="B121" s="282" t="str">
        <f t="shared" si="35"/>
        <v/>
      </c>
      <c r="C121" s="618" t="str">
        <f>IF(AND($S121="",$U121="",$W121="",$AA121="",$AE121="",$AG121="",$AI121=""),"",MAX($C$10:$C120)+1)</f>
        <v/>
      </c>
      <c r="D121" s="619" t="str">
        <f t="shared" si="41"/>
        <v/>
      </c>
      <c r="E121" s="619" t="str">
        <f t="shared" si="42"/>
        <v/>
      </c>
      <c r="F121" s="619" t="str">
        <f t="shared" si="43"/>
        <v/>
      </c>
      <c r="G121" s="619" t="str">
        <f t="shared" si="44"/>
        <v/>
      </c>
      <c r="H121" s="620" t="str">
        <f t="shared" si="50"/>
        <v/>
      </c>
      <c r="I121" s="316" t="s">
        <v>330</v>
      </c>
      <c r="J121" s="254"/>
      <c r="K121" s="50" t="str">
        <f>IF($W121="","",IF($W121=1,IF(VLOOKUP($S121,ﾏｽﾀ!$E$8:$K$124,ﾏｽﾀ!$J$4-ﾏｽﾀ!$D$4,0)="E",DAY($J$4),ABS(VLOOKUP($S121,ﾏｽﾀ!$E$8:$K$124,ﾏｽﾀ!$J$4-ﾏｽﾀ!$D$4,0))),IF(VLOOKUP($S121,ﾏｽﾀ!$E$8:$K$124,ﾏｽﾀ!$K$4-ﾏｽﾀ!$D$4,0)="E",DAY($J$4),ABS(VLOOKUP($S121,ﾏｽﾀ!$E$8:$K$124,ﾏｽﾀ!$K$4-ﾏｽﾀ!$D$4,0)))))</f>
        <v/>
      </c>
      <c r="L121" s="255"/>
      <c r="M121" s="255"/>
      <c r="N121" s="255"/>
      <c r="O121" s="50" t="str">
        <f>IF($S121="","",IF($M121="",IF($J121="","ERR",IF(VLOOKUP($S121,ﾏｽﾀ!$E$8:$K$124,ﾏｽﾀ!$J$4-ﾏｽﾀ!$D$4,0)="E",MONTH($J121),IF(MONTH($J121)-1=0,12,MONTH($J121)-1))),MONTH($M121)))</f>
        <v/>
      </c>
      <c r="P121" s="50" t="str">
        <f>IF($S121="","",IF($M121="",IF($K121="","ERR",IF(VLOOKUP($S121,ﾏｽﾀ!$E$8:$K$124,ﾏｽﾀ!$J$4-ﾏｽﾀ!$D$4,0)="E",1,$K121+1)),DAY($M121)))</f>
        <v/>
      </c>
      <c r="Q121" s="50" t="str">
        <f t="shared" si="37"/>
        <v/>
      </c>
      <c r="R121" s="50" t="str">
        <f t="shared" si="38"/>
        <v/>
      </c>
      <c r="S121" s="601" t="str">
        <f>IF($T121="","",INDEX(ﾏｽﾀ!$E$8:$E$124,MATCH(INDEX(ﾏｽﾀ!$N$8:$N$124,MATCH($T121,ﾏｽﾀ!$O$8:$O$124,0)),ﾏｽﾀ!$B$8:$B$124,0))&amp;"")</f>
        <v/>
      </c>
      <c r="T121" s="535"/>
      <c r="U121" s="601" t="str">
        <f>IF($T121="","",INDEX(ﾏｽﾀ!$G$8:$G$124,MATCH(INDEX(ﾏｽﾀ!$N$8:$N$124,MATCH($T121,ﾏｽﾀ!$O$8:$O$124,0)),ﾏｽﾀ!$B$8:$B$124,0))&amp;"")</f>
        <v/>
      </c>
      <c r="V121" s="257"/>
      <c r="W121" s="602" t="str">
        <f>IF($X121="","",INDEX(ﾏｽﾀ!$T$8:$T$16,MATCH($X121,ﾏｽﾀ!$U$8:$U$16,0))&amp;"")</f>
        <v/>
      </c>
      <c r="X121" s="248"/>
      <c r="Y121" s="260"/>
      <c r="Z121" s="260"/>
      <c r="AA121" s="256"/>
      <c r="AB121" s="492" t="str">
        <f>IF($W121="","",IF($AA121="","ERR",IF($AA121="1",IF($AE121="","ERR",VLOOKUP($AA121,ﾏｽﾀ!$W$8:$X$10,ﾏｽﾀ!$X$4,0)),IF($AA121="2",IF($AG121="","ERR",VLOOKUP($AA121,ﾏｽﾀ!$W$8:$X$10,ﾏｽﾀ!$X$4,0)),IF($AA121="3",IF($AI121="","ERR",VLOOKUP($AA121,ﾏｽﾀ!$W$8:$X$10,ﾏｽﾀ!$X$4,0)),"ERR")))))</f>
        <v/>
      </c>
      <c r="AC121" s="261"/>
      <c r="AD121" s="321" t="str">
        <f>IF($AA121="1",COUNTIF('納品書明細16-E'!$D$9:$D$206,$AN121)+COUNTIF('納品書明細F-15'!$D$9:$D$297,$AN121)-IF(ISNA(MATCH(CONCATENATE(VLOOKUP($AC121,$AB$1:$AC$4,2,FALSE),$S121,IF($U121="","00",$U121),$W121,2),$F$11:$F$160,0)),0,SUMIF($F$11:$F$160,CONCATENATE(VLOOKUP($AC121,$AB$1:$AC$4,2,FALSE),$S121,IF($U121="","00",$U121),$W121,2),$AF$11:$AF$160)),"")</f>
        <v/>
      </c>
      <c r="AE121" s="319" t="str">
        <f>IF($AA121="1",SUMIF('納品書明細16-E'!$C$9:$C$206,$AO121,'納品書明細16-E'!$Q$9:$Q$206)+SUMIF('納品書明細F-15'!$C$9:$C$297,$AO121,'納品書明細F-15'!$Q$9:$Q$297)-IF(ISNA(MATCH(CONCATENATE(VLOOKUP($AC121,$AB$1:$AC$4,2,FALSE),$S121,IF($U121="","00",$U121),$W121,2),$F$11:$F$160,0)),0,SUMIF($F$11:$F$160,CONCATENATE(VLOOKUP($AC121,$AB$1:$AC$4,2,FALSE),$S121,IF($U121="","00",$U121),$W121,2),$AG$11:$AG$160)),"")</f>
        <v/>
      </c>
      <c r="AF121" s="324"/>
      <c r="AG121" s="327"/>
      <c r="AH121" s="57"/>
      <c r="AI121" s="319" t="str">
        <f>IF($AH121="","",IF(ISNA(MATCH($AH121,'納品書明細16-E'!$H$9:$H$206,0)),IF(ISNA(MATCH($AH121,'納品書明細F-15'!$H$9:$H$297,0)),"ERR",SUMIF('納品書明細F-15'!$H$9:$H$297,$AH121,'納品書明細F-15'!$Q$9:$Q$297)),SUMIF('納品書明細16-E'!$H$9:$H$206,$AH121,'納品書明細16-E'!$Q$9:$Q$206)))</f>
        <v/>
      </c>
      <c r="AK121" s="328" t="str">
        <f t="shared" si="45"/>
        <v/>
      </c>
      <c r="AL121" s="269" t="str">
        <f t="shared" si="46"/>
        <v/>
      </c>
      <c r="AM121" s="270" t="str">
        <f t="shared" si="47"/>
        <v/>
      </c>
      <c r="AN121" s="244" t="str">
        <f t="shared" si="48"/>
        <v/>
      </c>
      <c r="AO121" s="244" t="str">
        <f t="shared" si="49"/>
        <v/>
      </c>
      <c r="AP121" s="271" t="str">
        <f t="shared" si="40"/>
        <v/>
      </c>
      <c r="AQ121" s="265"/>
      <c r="AR121" s="263"/>
      <c r="AS121" s="84"/>
      <c r="AT121" s="86"/>
      <c r="AU121" s="87"/>
    </row>
    <row r="122" spans="1:47" ht="15" customHeight="1">
      <c r="A122" s="281" t="str">
        <f t="shared" si="39"/>
        <v/>
      </c>
      <c r="B122" s="282" t="str">
        <f t="shared" si="35"/>
        <v/>
      </c>
      <c r="C122" s="618" t="str">
        <f>IF(AND($S122="",$U122="",$W122="",$AA122="",$AE122="",$AG122="",$AI122=""),"",MAX($C$10:$C121)+1)</f>
        <v/>
      </c>
      <c r="D122" s="619" t="str">
        <f t="shared" si="41"/>
        <v/>
      </c>
      <c r="E122" s="619" t="str">
        <f t="shared" si="42"/>
        <v/>
      </c>
      <c r="F122" s="619" t="str">
        <f t="shared" si="43"/>
        <v/>
      </c>
      <c r="G122" s="619" t="str">
        <f t="shared" si="44"/>
        <v/>
      </c>
      <c r="H122" s="620" t="str">
        <f t="shared" si="50"/>
        <v/>
      </c>
      <c r="I122" s="316" t="s">
        <v>331</v>
      </c>
      <c r="J122" s="254"/>
      <c r="K122" s="50" t="str">
        <f>IF($W122="","",IF($W122=1,IF(VLOOKUP($S122,ﾏｽﾀ!$E$8:$K$124,ﾏｽﾀ!$J$4-ﾏｽﾀ!$D$4,0)="E",DAY($J$4),ABS(VLOOKUP($S122,ﾏｽﾀ!$E$8:$K$124,ﾏｽﾀ!$J$4-ﾏｽﾀ!$D$4,0))),IF(VLOOKUP($S122,ﾏｽﾀ!$E$8:$K$124,ﾏｽﾀ!$K$4-ﾏｽﾀ!$D$4,0)="E",DAY($J$4),ABS(VLOOKUP($S122,ﾏｽﾀ!$E$8:$K$124,ﾏｽﾀ!$K$4-ﾏｽﾀ!$D$4,0)))))</f>
        <v/>
      </c>
      <c r="L122" s="255"/>
      <c r="M122" s="255"/>
      <c r="N122" s="255"/>
      <c r="O122" s="50" t="str">
        <f>IF($S122="","",IF($M122="",IF($J122="","ERR",IF(VLOOKUP($S122,ﾏｽﾀ!$E$8:$K$124,ﾏｽﾀ!$J$4-ﾏｽﾀ!$D$4,0)="E",MONTH($J122),IF(MONTH($J122)-1=0,12,MONTH($J122)-1))),MONTH($M122)))</f>
        <v/>
      </c>
      <c r="P122" s="50" t="str">
        <f>IF($S122="","",IF($M122="",IF($K122="","ERR",IF(VLOOKUP($S122,ﾏｽﾀ!$E$8:$K$124,ﾏｽﾀ!$J$4-ﾏｽﾀ!$D$4,0)="E",1,$K122+1)),DAY($M122)))</f>
        <v/>
      </c>
      <c r="Q122" s="50" t="str">
        <f t="shared" si="37"/>
        <v/>
      </c>
      <c r="R122" s="50" t="str">
        <f t="shared" si="38"/>
        <v/>
      </c>
      <c r="S122" s="601" t="str">
        <f>IF($T122="","",INDEX(ﾏｽﾀ!$E$8:$E$124,MATCH(INDEX(ﾏｽﾀ!$N$8:$N$124,MATCH($T122,ﾏｽﾀ!$O$8:$O$124,0)),ﾏｽﾀ!$B$8:$B$124,0))&amp;"")</f>
        <v/>
      </c>
      <c r="T122" s="535"/>
      <c r="U122" s="601" t="str">
        <f>IF($T122="","",INDEX(ﾏｽﾀ!$G$8:$G$124,MATCH(INDEX(ﾏｽﾀ!$N$8:$N$124,MATCH($T122,ﾏｽﾀ!$O$8:$O$124,0)),ﾏｽﾀ!$B$8:$B$124,0))&amp;"")</f>
        <v/>
      </c>
      <c r="V122" s="257"/>
      <c r="W122" s="602" t="str">
        <f>IF($X122="","",INDEX(ﾏｽﾀ!$T$8:$T$16,MATCH($X122,ﾏｽﾀ!$U$8:$U$16,0))&amp;"")</f>
        <v/>
      </c>
      <c r="X122" s="248"/>
      <c r="Y122" s="260"/>
      <c r="Z122" s="260"/>
      <c r="AA122" s="256"/>
      <c r="AB122" s="492" t="str">
        <f>IF($W122="","",IF($AA122="","ERR",IF($AA122="1",IF($AE122="","ERR",VLOOKUP($AA122,ﾏｽﾀ!$W$8:$X$10,ﾏｽﾀ!$X$4,0)),IF($AA122="2",IF($AG122="","ERR",VLOOKUP($AA122,ﾏｽﾀ!$W$8:$X$10,ﾏｽﾀ!$X$4,0)),IF($AA122="3",IF($AI122="","ERR",VLOOKUP($AA122,ﾏｽﾀ!$W$8:$X$10,ﾏｽﾀ!$X$4,0)),"ERR")))))</f>
        <v/>
      </c>
      <c r="AC122" s="261"/>
      <c r="AD122" s="321" t="str">
        <f>IF($AA122="1",COUNTIF('納品書明細16-E'!$D$9:$D$206,$AN122)+COUNTIF('納品書明細F-15'!$D$9:$D$297,$AN122)-IF(ISNA(MATCH(CONCATENATE(VLOOKUP($AC122,$AB$1:$AC$4,2,FALSE),$S122,IF($U122="","00",$U122),$W122,2),$F$11:$F$160,0)),0,SUMIF($F$11:$F$160,CONCATENATE(VLOOKUP($AC122,$AB$1:$AC$4,2,FALSE),$S122,IF($U122="","00",$U122),$W122,2),$AF$11:$AF$160)),"")</f>
        <v/>
      </c>
      <c r="AE122" s="319" t="str">
        <f>IF($AA122="1",SUMIF('納品書明細16-E'!$C$9:$C$206,$AO122,'納品書明細16-E'!$Q$9:$Q$206)+SUMIF('納品書明細F-15'!$C$9:$C$297,$AO122,'納品書明細F-15'!$Q$9:$Q$297)-IF(ISNA(MATCH(CONCATENATE(VLOOKUP($AC122,$AB$1:$AC$4,2,FALSE),$S122,IF($U122="","00",$U122),$W122,2),$F$11:$F$160,0)),0,SUMIF($F$11:$F$160,CONCATENATE(VLOOKUP($AC122,$AB$1:$AC$4,2,FALSE),$S122,IF($U122="","00",$U122),$W122,2),$AG$11:$AG$160)),"")</f>
        <v/>
      </c>
      <c r="AF122" s="324"/>
      <c r="AG122" s="327"/>
      <c r="AH122" s="57"/>
      <c r="AI122" s="319" t="str">
        <f>IF($AH122="","",IF(ISNA(MATCH($AH122,'納品書明細16-E'!$H$9:$H$206,0)),IF(ISNA(MATCH($AH122,'納品書明細F-15'!$H$9:$H$297,0)),"ERR",SUMIF('納品書明細F-15'!$H$9:$H$297,$AH122,'納品書明細F-15'!$Q$9:$Q$297)),SUMIF('納品書明細16-E'!$H$9:$H$206,$AH122,'納品書明細16-E'!$Q$9:$Q$206)))</f>
        <v/>
      </c>
      <c r="AK122" s="328" t="str">
        <f t="shared" si="45"/>
        <v/>
      </c>
      <c r="AL122" s="269" t="str">
        <f t="shared" si="46"/>
        <v/>
      </c>
      <c r="AM122" s="270" t="str">
        <f t="shared" si="47"/>
        <v/>
      </c>
      <c r="AN122" s="244" t="str">
        <f t="shared" si="48"/>
        <v/>
      </c>
      <c r="AO122" s="244" t="str">
        <f t="shared" si="49"/>
        <v/>
      </c>
      <c r="AP122" s="271" t="str">
        <f t="shared" si="40"/>
        <v/>
      </c>
      <c r="AQ122" s="265"/>
      <c r="AR122" s="263"/>
      <c r="AS122" s="84"/>
      <c r="AT122" s="86"/>
      <c r="AU122" s="87"/>
    </row>
    <row r="123" spans="1:47" ht="15" customHeight="1">
      <c r="A123" s="281" t="str">
        <f t="shared" si="39"/>
        <v/>
      </c>
      <c r="B123" s="282" t="str">
        <f t="shared" si="35"/>
        <v/>
      </c>
      <c r="C123" s="618" t="str">
        <f>IF(AND($S123="",$U123="",$W123="",$AA123="",$AE123="",$AG123="",$AI123=""),"",MAX($C$10:$C122)+1)</f>
        <v/>
      </c>
      <c r="D123" s="619" t="str">
        <f t="shared" si="41"/>
        <v/>
      </c>
      <c r="E123" s="619" t="str">
        <f t="shared" si="42"/>
        <v/>
      </c>
      <c r="F123" s="619" t="str">
        <f t="shared" si="43"/>
        <v/>
      </c>
      <c r="G123" s="619" t="str">
        <f t="shared" si="44"/>
        <v/>
      </c>
      <c r="H123" s="620" t="str">
        <f t="shared" si="50"/>
        <v/>
      </c>
      <c r="I123" s="316" t="s">
        <v>332</v>
      </c>
      <c r="J123" s="254"/>
      <c r="K123" s="50" t="str">
        <f>IF($W123="","",IF($W123=1,IF(VLOOKUP($S123,ﾏｽﾀ!$E$8:$K$124,ﾏｽﾀ!$J$4-ﾏｽﾀ!$D$4,0)="E",DAY($J$4),ABS(VLOOKUP($S123,ﾏｽﾀ!$E$8:$K$124,ﾏｽﾀ!$J$4-ﾏｽﾀ!$D$4,0))),IF(VLOOKUP($S123,ﾏｽﾀ!$E$8:$K$124,ﾏｽﾀ!$K$4-ﾏｽﾀ!$D$4,0)="E",DAY($J$4),ABS(VLOOKUP($S123,ﾏｽﾀ!$E$8:$K$124,ﾏｽﾀ!$K$4-ﾏｽﾀ!$D$4,0)))))</f>
        <v/>
      </c>
      <c r="L123" s="255"/>
      <c r="M123" s="255"/>
      <c r="N123" s="255"/>
      <c r="O123" s="50" t="str">
        <f>IF($S123="","",IF($M123="",IF($J123="","ERR",IF(VLOOKUP($S123,ﾏｽﾀ!$E$8:$K$124,ﾏｽﾀ!$J$4-ﾏｽﾀ!$D$4,0)="E",MONTH($J123),IF(MONTH($J123)-1=0,12,MONTH($J123)-1))),MONTH($M123)))</f>
        <v/>
      </c>
      <c r="P123" s="50" t="str">
        <f>IF($S123="","",IF($M123="",IF($K123="","ERR",IF(VLOOKUP($S123,ﾏｽﾀ!$E$8:$K$124,ﾏｽﾀ!$J$4-ﾏｽﾀ!$D$4,0)="E",1,$K123+1)),DAY($M123)))</f>
        <v/>
      </c>
      <c r="Q123" s="50" t="str">
        <f t="shared" si="37"/>
        <v/>
      </c>
      <c r="R123" s="50" t="str">
        <f t="shared" si="38"/>
        <v/>
      </c>
      <c r="S123" s="601" t="str">
        <f>IF($T123="","",INDEX(ﾏｽﾀ!$E$8:$E$124,MATCH(INDEX(ﾏｽﾀ!$N$8:$N$124,MATCH($T123,ﾏｽﾀ!$O$8:$O$124,0)),ﾏｽﾀ!$B$8:$B$124,0))&amp;"")</f>
        <v/>
      </c>
      <c r="T123" s="535"/>
      <c r="U123" s="601" t="str">
        <f>IF($T123="","",INDEX(ﾏｽﾀ!$G$8:$G$124,MATCH(INDEX(ﾏｽﾀ!$N$8:$N$124,MATCH($T123,ﾏｽﾀ!$O$8:$O$124,0)),ﾏｽﾀ!$B$8:$B$124,0))&amp;"")</f>
        <v/>
      </c>
      <c r="V123" s="257"/>
      <c r="W123" s="602" t="str">
        <f>IF($X123="","",INDEX(ﾏｽﾀ!$T$8:$T$16,MATCH($X123,ﾏｽﾀ!$U$8:$U$16,0))&amp;"")</f>
        <v/>
      </c>
      <c r="X123" s="248"/>
      <c r="Y123" s="260"/>
      <c r="Z123" s="260"/>
      <c r="AA123" s="256"/>
      <c r="AB123" s="492" t="str">
        <f>IF($W123="","",IF($AA123="","ERR",IF($AA123="1",IF($AE123="","ERR",VLOOKUP($AA123,ﾏｽﾀ!$W$8:$X$10,ﾏｽﾀ!$X$4,0)),IF($AA123="2",IF($AG123="","ERR",VLOOKUP($AA123,ﾏｽﾀ!$W$8:$X$10,ﾏｽﾀ!$X$4,0)),IF($AA123="3",IF($AI123="","ERR",VLOOKUP($AA123,ﾏｽﾀ!$W$8:$X$10,ﾏｽﾀ!$X$4,0)),"ERR")))))</f>
        <v/>
      </c>
      <c r="AC123" s="261"/>
      <c r="AD123" s="321" t="str">
        <f>IF($AA123="1",COUNTIF('納品書明細16-E'!$D$9:$D$206,$AN123)+COUNTIF('納品書明細F-15'!$D$9:$D$297,$AN123)-IF(ISNA(MATCH(CONCATENATE(VLOOKUP($AC123,$AB$1:$AC$4,2,FALSE),$S123,IF($U123="","00",$U123),$W123,2),$F$11:$F$160,0)),0,SUMIF($F$11:$F$160,CONCATENATE(VLOOKUP($AC123,$AB$1:$AC$4,2,FALSE),$S123,IF($U123="","00",$U123),$W123,2),$AF$11:$AF$160)),"")</f>
        <v/>
      </c>
      <c r="AE123" s="319" t="str">
        <f>IF($AA123="1",SUMIF('納品書明細16-E'!$C$9:$C$206,$AO123,'納品書明細16-E'!$Q$9:$Q$206)+SUMIF('納品書明細F-15'!$C$9:$C$297,$AO123,'納品書明細F-15'!$Q$9:$Q$297)-IF(ISNA(MATCH(CONCATENATE(VLOOKUP($AC123,$AB$1:$AC$4,2,FALSE),$S123,IF($U123="","00",$U123),$W123,2),$F$11:$F$160,0)),0,SUMIF($F$11:$F$160,CONCATENATE(VLOOKUP($AC123,$AB$1:$AC$4,2,FALSE),$S123,IF($U123="","00",$U123),$W123,2),$AG$11:$AG$160)),"")</f>
        <v/>
      </c>
      <c r="AF123" s="324"/>
      <c r="AG123" s="327"/>
      <c r="AH123" s="57"/>
      <c r="AI123" s="319" t="str">
        <f>IF($AH123="","",IF(ISNA(MATCH($AH123,'納品書明細16-E'!$H$9:$H$206,0)),IF(ISNA(MATCH($AH123,'納品書明細F-15'!$H$9:$H$297,0)),"ERR",SUMIF('納品書明細F-15'!$H$9:$H$297,$AH123,'納品書明細F-15'!$Q$9:$Q$297)),SUMIF('納品書明細16-E'!$H$9:$H$206,$AH123,'納品書明細16-E'!$Q$9:$Q$206)))</f>
        <v/>
      </c>
      <c r="AK123" s="328" t="str">
        <f t="shared" si="45"/>
        <v/>
      </c>
      <c r="AL123" s="269" t="str">
        <f t="shared" si="46"/>
        <v/>
      </c>
      <c r="AM123" s="270" t="str">
        <f t="shared" si="47"/>
        <v/>
      </c>
      <c r="AN123" s="244" t="str">
        <f t="shared" si="48"/>
        <v/>
      </c>
      <c r="AO123" s="244" t="str">
        <f t="shared" si="49"/>
        <v/>
      </c>
      <c r="AP123" s="271" t="str">
        <f t="shared" si="40"/>
        <v/>
      </c>
      <c r="AQ123" s="265"/>
      <c r="AR123" s="263"/>
      <c r="AS123" s="84"/>
      <c r="AT123" s="86"/>
      <c r="AU123" s="87"/>
    </row>
    <row r="124" spans="1:47" ht="15" customHeight="1">
      <c r="A124" s="281" t="str">
        <f t="shared" si="39"/>
        <v/>
      </c>
      <c r="B124" s="282" t="str">
        <f t="shared" si="35"/>
        <v/>
      </c>
      <c r="C124" s="618" t="str">
        <f>IF(AND($S124="",$U124="",$W124="",$AA124="",$AE124="",$AG124="",$AI124=""),"",MAX($C$10:$C123)+1)</f>
        <v/>
      </c>
      <c r="D124" s="619" t="str">
        <f t="shared" si="41"/>
        <v/>
      </c>
      <c r="E124" s="619" t="str">
        <f t="shared" si="42"/>
        <v/>
      </c>
      <c r="F124" s="619" t="str">
        <f t="shared" si="43"/>
        <v/>
      </c>
      <c r="G124" s="619" t="str">
        <f t="shared" si="44"/>
        <v/>
      </c>
      <c r="H124" s="620" t="str">
        <f t="shared" si="50"/>
        <v/>
      </c>
      <c r="I124" s="316" t="s">
        <v>333</v>
      </c>
      <c r="J124" s="254"/>
      <c r="K124" s="50" t="str">
        <f>IF($W124="","",IF($W124=1,IF(VLOOKUP($S124,ﾏｽﾀ!$E$8:$K$124,ﾏｽﾀ!$J$4-ﾏｽﾀ!$D$4,0)="E",DAY($J$4),ABS(VLOOKUP($S124,ﾏｽﾀ!$E$8:$K$124,ﾏｽﾀ!$J$4-ﾏｽﾀ!$D$4,0))),IF(VLOOKUP($S124,ﾏｽﾀ!$E$8:$K$124,ﾏｽﾀ!$K$4-ﾏｽﾀ!$D$4,0)="E",DAY($J$4),ABS(VLOOKUP($S124,ﾏｽﾀ!$E$8:$K$124,ﾏｽﾀ!$K$4-ﾏｽﾀ!$D$4,0)))))</f>
        <v/>
      </c>
      <c r="L124" s="255"/>
      <c r="M124" s="255"/>
      <c r="N124" s="255"/>
      <c r="O124" s="50" t="str">
        <f>IF($S124="","",IF($M124="",IF($J124="","ERR",IF(VLOOKUP($S124,ﾏｽﾀ!$E$8:$K$124,ﾏｽﾀ!$J$4-ﾏｽﾀ!$D$4,0)="E",MONTH($J124),IF(MONTH($J124)-1=0,12,MONTH($J124)-1))),MONTH($M124)))</f>
        <v/>
      </c>
      <c r="P124" s="50" t="str">
        <f>IF($S124="","",IF($M124="",IF($K124="","ERR",IF(VLOOKUP($S124,ﾏｽﾀ!$E$8:$K$124,ﾏｽﾀ!$J$4-ﾏｽﾀ!$D$4,0)="E",1,$K124+1)),DAY($M124)))</f>
        <v/>
      </c>
      <c r="Q124" s="50" t="str">
        <f t="shared" si="37"/>
        <v/>
      </c>
      <c r="R124" s="50" t="str">
        <f t="shared" si="38"/>
        <v/>
      </c>
      <c r="S124" s="601" t="str">
        <f>IF($T124="","",INDEX(ﾏｽﾀ!$E$8:$E$124,MATCH(INDEX(ﾏｽﾀ!$N$8:$N$124,MATCH($T124,ﾏｽﾀ!$O$8:$O$124,0)),ﾏｽﾀ!$B$8:$B$124,0))&amp;"")</f>
        <v/>
      </c>
      <c r="T124" s="535"/>
      <c r="U124" s="601" t="str">
        <f>IF($T124="","",INDEX(ﾏｽﾀ!$G$8:$G$124,MATCH(INDEX(ﾏｽﾀ!$N$8:$N$124,MATCH($T124,ﾏｽﾀ!$O$8:$O$124,0)),ﾏｽﾀ!$B$8:$B$124,0))&amp;"")</f>
        <v/>
      </c>
      <c r="V124" s="257"/>
      <c r="W124" s="602" t="str">
        <f>IF($X124="","",INDEX(ﾏｽﾀ!$T$8:$T$16,MATCH($X124,ﾏｽﾀ!$U$8:$U$16,0))&amp;"")</f>
        <v/>
      </c>
      <c r="X124" s="248"/>
      <c r="Y124" s="260"/>
      <c r="Z124" s="260"/>
      <c r="AA124" s="256"/>
      <c r="AB124" s="492" t="str">
        <f>IF($W124="","",IF($AA124="","ERR",IF($AA124="1",IF($AE124="","ERR",VLOOKUP($AA124,ﾏｽﾀ!$W$8:$X$10,ﾏｽﾀ!$X$4,0)),IF($AA124="2",IF($AG124="","ERR",VLOOKUP($AA124,ﾏｽﾀ!$W$8:$X$10,ﾏｽﾀ!$X$4,0)),IF($AA124="3",IF($AI124="","ERR",VLOOKUP($AA124,ﾏｽﾀ!$W$8:$X$10,ﾏｽﾀ!$X$4,0)),"ERR")))))</f>
        <v/>
      </c>
      <c r="AC124" s="261"/>
      <c r="AD124" s="321" t="str">
        <f>IF($AA124="1",COUNTIF('納品書明細16-E'!$D$9:$D$206,$AN124)+COUNTIF('納品書明細F-15'!$D$9:$D$297,$AN124)-IF(ISNA(MATCH(CONCATENATE(VLOOKUP($AC124,$AB$1:$AC$4,2,FALSE),$S124,IF($U124="","00",$U124),$W124,2),$F$11:$F$160,0)),0,SUMIF($F$11:$F$160,CONCATENATE(VLOOKUP($AC124,$AB$1:$AC$4,2,FALSE),$S124,IF($U124="","00",$U124),$W124,2),$AF$11:$AF$160)),"")</f>
        <v/>
      </c>
      <c r="AE124" s="319" t="str">
        <f>IF($AA124="1",SUMIF('納品書明細16-E'!$C$9:$C$206,$AO124,'納品書明細16-E'!$Q$9:$Q$206)+SUMIF('納品書明細F-15'!$C$9:$C$297,$AO124,'納品書明細F-15'!$Q$9:$Q$297)-IF(ISNA(MATCH(CONCATENATE(VLOOKUP($AC124,$AB$1:$AC$4,2,FALSE),$S124,IF($U124="","00",$U124),$W124,2),$F$11:$F$160,0)),0,SUMIF($F$11:$F$160,CONCATENATE(VLOOKUP($AC124,$AB$1:$AC$4,2,FALSE),$S124,IF($U124="","00",$U124),$W124,2),$AG$11:$AG$160)),"")</f>
        <v/>
      </c>
      <c r="AF124" s="324"/>
      <c r="AG124" s="327"/>
      <c r="AH124" s="57"/>
      <c r="AI124" s="319" t="str">
        <f>IF($AH124="","",IF(ISNA(MATCH($AH124,'納品書明細16-E'!$H$9:$H$206,0)),IF(ISNA(MATCH($AH124,'納品書明細F-15'!$H$9:$H$297,0)),"ERR",SUMIF('納品書明細F-15'!$H$9:$H$297,$AH124,'納品書明細F-15'!$Q$9:$Q$297)),SUMIF('納品書明細16-E'!$H$9:$H$206,$AH124,'納品書明細16-E'!$Q$9:$Q$206)))</f>
        <v/>
      </c>
      <c r="AK124" s="328" t="str">
        <f t="shared" si="45"/>
        <v/>
      </c>
      <c r="AL124" s="269" t="str">
        <f t="shared" si="46"/>
        <v/>
      </c>
      <c r="AM124" s="270" t="str">
        <f t="shared" si="47"/>
        <v/>
      </c>
      <c r="AN124" s="244" t="str">
        <f t="shared" si="48"/>
        <v/>
      </c>
      <c r="AO124" s="244" t="str">
        <f t="shared" si="49"/>
        <v/>
      </c>
      <c r="AP124" s="271" t="str">
        <f t="shared" si="40"/>
        <v/>
      </c>
      <c r="AQ124" s="265"/>
      <c r="AR124" s="263"/>
      <c r="AS124" s="84"/>
      <c r="AT124" s="86"/>
      <c r="AU124" s="87"/>
    </row>
    <row r="125" spans="1:47" ht="15" customHeight="1">
      <c r="A125" s="281" t="str">
        <f t="shared" si="39"/>
        <v/>
      </c>
      <c r="B125" s="282" t="str">
        <f t="shared" si="35"/>
        <v/>
      </c>
      <c r="C125" s="618" t="str">
        <f>IF(AND($S125="",$U125="",$W125="",$AA125="",$AE125="",$AG125="",$AI125=""),"",MAX($C$10:$C124)+1)</f>
        <v/>
      </c>
      <c r="D125" s="619" t="str">
        <f t="shared" si="41"/>
        <v/>
      </c>
      <c r="E125" s="619" t="str">
        <f t="shared" si="42"/>
        <v/>
      </c>
      <c r="F125" s="619" t="str">
        <f t="shared" si="43"/>
        <v/>
      </c>
      <c r="G125" s="619" t="str">
        <f t="shared" si="44"/>
        <v/>
      </c>
      <c r="H125" s="620" t="str">
        <f t="shared" si="50"/>
        <v/>
      </c>
      <c r="I125" s="316" t="s">
        <v>334</v>
      </c>
      <c r="J125" s="254"/>
      <c r="K125" s="50" t="str">
        <f>IF($W125="","",IF($W125=1,IF(VLOOKUP($S125,ﾏｽﾀ!$E$8:$K$124,ﾏｽﾀ!$J$4-ﾏｽﾀ!$D$4,0)="E",DAY($J$4),ABS(VLOOKUP($S125,ﾏｽﾀ!$E$8:$K$124,ﾏｽﾀ!$J$4-ﾏｽﾀ!$D$4,0))),IF(VLOOKUP($S125,ﾏｽﾀ!$E$8:$K$124,ﾏｽﾀ!$K$4-ﾏｽﾀ!$D$4,0)="E",DAY($J$4),ABS(VLOOKUP($S125,ﾏｽﾀ!$E$8:$K$124,ﾏｽﾀ!$K$4-ﾏｽﾀ!$D$4,0)))))</f>
        <v/>
      </c>
      <c r="L125" s="255"/>
      <c r="M125" s="255"/>
      <c r="N125" s="255"/>
      <c r="O125" s="50" t="str">
        <f>IF($S125="","",IF($M125="",IF($J125="","ERR",IF(VLOOKUP($S125,ﾏｽﾀ!$E$8:$K$124,ﾏｽﾀ!$J$4-ﾏｽﾀ!$D$4,0)="E",MONTH($J125),IF(MONTH($J125)-1=0,12,MONTH($J125)-1))),MONTH($M125)))</f>
        <v/>
      </c>
      <c r="P125" s="50" t="str">
        <f>IF($S125="","",IF($M125="",IF($K125="","ERR",IF(VLOOKUP($S125,ﾏｽﾀ!$E$8:$K$124,ﾏｽﾀ!$J$4-ﾏｽﾀ!$D$4,0)="E",1,$K125+1)),DAY($M125)))</f>
        <v/>
      </c>
      <c r="Q125" s="50" t="str">
        <f t="shared" si="37"/>
        <v/>
      </c>
      <c r="R125" s="50" t="str">
        <f t="shared" si="38"/>
        <v/>
      </c>
      <c r="S125" s="601" t="str">
        <f>IF($T125="","",INDEX(ﾏｽﾀ!$E$8:$E$124,MATCH(INDEX(ﾏｽﾀ!$N$8:$N$124,MATCH($T125,ﾏｽﾀ!$O$8:$O$124,0)),ﾏｽﾀ!$B$8:$B$124,0))&amp;"")</f>
        <v/>
      </c>
      <c r="T125" s="535"/>
      <c r="U125" s="601" t="str">
        <f>IF($T125="","",INDEX(ﾏｽﾀ!$G$8:$G$124,MATCH(INDEX(ﾏｽﾀ!$N$8:$N$124,MATCH($T125,ﾏｽﾀ!$O$8:$O$124,0)),ﾏｽﾀ!$B$8:$B$124,0))&amp;"")</f>
        <v/>
      </c>
      <c r="V125" s="257"/>
      <c r="W125" s="602" t="str">
        <f>IF($X125="","",INDEX(ﾏｽﾀ!$T$8:$T$16,MATCH($X125,ﾏｽﾀ!$U$8:$U$16,0))&amp;"")</f>
        <v/>
      </c>
      <c r="X125" s="248"/>
      <c r="Y125" s="260"/>
      <c r="Z125" s="260"/>
      <c r="AA125" s="256"/>
      <c r="AB125" s="492" t="str">
        <f>IF($W125="","",IF($AA125="","ERR",IF($AA125="1",IF($AE125="","ERR",VLOOKUP($AA125,ﾏｽﾀ!$W$8:$X$10,ﾏｽﾀ!$X$4,0)),IF($AA125="2",IF($AG125="","ERR",VLOOKUP($AA125,ﾏｽﾀ!$W$8:$X$10,ﾏｽﾀ!$X$4,0)),IF($AA125="3",IF($AI125="","ERR",VLOOKUP($AA125,ﾏｽﾀ!$W$8:$X$10,ﾏｽﾀ!$X$4,0)),"ERR")))))</f>
        <v/>
      </c>
      <c r="AC125" s="261"/>
      <c r="AD125" s="321" t="str">
        <f>IF($AA125="1",COUNTIF('納品書明細16-E'!$D$9:$D$206,$AN125)+COUNTIF('納品書明細F-15'!$D$9:$D$297,$AN125)-IF(ISNA(MATCH(CONCATENATE(VLOOKUP($AC125,$AB$1:$AC$4,2,FALSE),$S125,IF($U125="","00",$U125),$W125,2),$F$11:$F$160,0)),0,SUMIF($F$11:$F$160,CONCATENATE(VLOOKUP($AC125,$AB$1:$AC$4,2,FALSE),$S125,IF($U125="","00",$U125),$W125,2),$AF$11:$AF$160)),"")</f>
        <v/>
      </c>
      <c r="AE125" s="319" t="str">
        <f>IF($AA125="1",SUMIF('納品書明細16-E'!$C$9:$C$206,$AO125,'納品書明細16-E'!$Q$9:$Q$206)+SUMIF('納品書明細F-15'!$C$9:$C$297,$AO125,'納品書明細F-15'!$Q$9:$Q$297)-IF(ISNA(MATCH(CONCATENATE(VLOOKUP($AC125,$AB$1:$AC$4,2,FALSE),$S125,IF($U125="","00",$U125),$W125,2),$F$11:$F$160,0)),0,SUMIF($F$11:$F$160,CONCATENATE(VLOOKUP($AC125,$AB$1:$AC$4,2,FALSE),$S125,IF($U125="","00",$U125),$W125,2),$AG$11:$AG$160)),"")</f>
        <v/>
      </c>
      <c r="AF125" s="324"/>
      <c r="AG125" s="327"/>
      <c r="AH125" s="57"/>
      <c r="AI125" s="319" t="str">
        <f>IF($AH125="","",IF(ISNA(MATCH($AH125,'納品書明細16-E'!$H$9:$H$206,0)),IF(ISNA(MATCH($AH125,'納品書明細F-15'!$H$9:$H$297,0)),"ERR",SUMIF('納品書明細F-15'!$H$9:$H$297,$AH125,'納品書明細F-15'!$Q$9:$Q$297)),SUMIF('納品書明細16-E'!$H$9:$H$206,$AH125,'納品書明細16-E'!$Q$9:$Q$206)))</f>
        <v/>
      </c>
      <c r="AK125" s="328" t="str">
        <f t="shared" si="45"/>
        <v/>
      </c>
      <c r="AL125" s="269" t="str">
        <f t="shared" si="46"/>
        <v/>
      </c>
      <c r="AM125" s="270" t="str">
        <f t="shared" si="47"/>
        <v/>
      </c>
      <c r="AN125" s="244" t="str">
        <f t="shared" si="48"/>
        <v/>
      </c>
      <c r="AO125" s="244" t="str">
        <f t="shared" si="49"/>
        <v/>
      </c>
      <c r="AP125" s="271" t="str">
        <f t="shared" si="40"/>
        <v/>
      </c>
      <c r="AQ125" s="265"/>
      <c r="AR125" s="263"/>
      <c r="AS125" s="84"/>
      <c r="AT125" s="86"/>
      <c r="AU125" s="87"/>
    </row>
    <row r="126" spans="1:47" ht="15" customHeight="1">
      <c r="A126" s="281" t="str">
        <f t="shared" si="39"/>
        <v/>
      </c>
      <c r="B126" s="282" t="str">
        <f t="shared" si="35"/>
        <v/>
      </c>
      <c r="C126" s="618" t="str">
        <f>IF(AND($S126="",$U126="",$W126="",$AA126="",$AE126="",$AG126="",$AI126=""),"",MAX($C$10:$C125)+1)</f>
        <v/>
      </c>
      <c r="D126" s="619" t="str">
        <f t="shared" si="41"/>
        <v/>
      </c>
      <c r="E126" s="619" t="str">
        <f t="shared" si="42"/>
        <v/>
      </c>
      <c r="F126" s="619" t="str">
        <f t="shared" si="43"/>
        <v/>
      </c>
      <c r="G126" s="619" t="str">
        <f t="shared" si="44"/>
        <v/>
      </c>
      <c r="H126" s="620" t="str">
        <f t="shared" si="50"/>
        <v/>
      </c>
      <c r="I126" s="316" t="s">
        <v>335</v>
      </c>
      <c r="J126" s="254"/>
      <c r="K126" s="50" t="str">
        <f>IF($W126="","",IF($W126=1,IF(VLOOKUP($S126,ﾏｽﾀ!$E$8:$K$124,ﾏｽﾀ!$J$4-ﾏｽﾀ!$D$4,0)="E",DAY($J$4),ABS(VLOOKUP($S126,ﾏｽﾀ!$E$8:$K$124,ﾏｽﾀ!$J$4-ﾏｽﾀ!$D$4,0))),IF(VLOOKUP($S126,ﾏｽﾀ!$E$8:$K$124,ﾏｽﾀ!$K$4-ﾏｽﾀ!$D$4,0)="E",DAY($J$4),ABS(VLOOKUP($S126,ﾏｽﾀ!$E$8:$K$124,ﾏｽﾀ!$K$4-ﾏｽﾀ!$D$4,0)))))</f>
        <v/>
      </c>
      <c r="L126" s="255"/>
      <c r="M126" s="255"/>
      <c r="N126" s="255"/>
      <c r="O126" s="50" t="str">
        <f>IF($S126="","",IF($M126="",IF($J126="","ERR",IF(VLOOKUP($S126,ﾏｽﾀ!$E$8:$K$124,ﾏｽﾀ!$J$4-ﾏｽﾀ!$D$4,0)="E",MONTH($J126),IF(MONTH($J126)-1=0,12,MONTH($J126)-1))),MONTH($M126)))</f>
        <v/>
      </c>
      <c r="P126" s="50" t="str">
        <f>IF($S126="","",IF($M126="",IF($K126="","ERR",IF(VLOOKUP($S126,ﾏｽﾀ!$E$8:$K$124,ﾏｽﾀ!$J$4-ﾏｽﾀ!$D$4,0)="E",1,$K126+1)),DAY($M126)))</f>
        <v/>
      </c>
      <c r="Q126" s="50" t="str">
        <f t="shared" si="37"/>
        <v/>
      </c>
      <c r="R126" s="50" t="str">
        <f t="shared" si="38"/>
        <v/>
      </c>
      <c r="S126" s="601" t="str">
        <f>IF($T126="","",INDEX(ﾏｽﾀ!$E$8:$E$124,MATCH(INDEX(ﾏｽﾀ!$N$8:$N$124,MATCH($T126,ﾏｽﾀ!$O$8:$O$124,0)),ﾏｽﾀ!$B$8:$B$124,0))&amp;"")</f>
        <v/>
      </c>
      <c r="T126" s="535"/>
      <c r="U126" s="601" t="str">
        <f>IF($T126="","",INDEX(ﾏｽﾀ!$G$8:$G$124,MATCH(INDEX(ﾏｽﾀ!$N$8:$N$124,MATCH($T126,ﾏｽﾀ!$O$8:$O$124,0)),ﾏｽﾀ!$B$8:$B$124,0))&amp;"")</f>
        <v/>
      </c>
      <c r="V126" s="257"/>
      <c r="W126" s="602" t="str">
        <f>IF($X126="","",INDEX(ﾏｽﾀ!$T$8:$T$16,MATCH($X126,ﾏｽﾀ!$U$8:$U$16,0))&amp;"")</f>
        <v/>
      </c>
      <c r="X126" s="248"/>
      <c r="Y126" s="260"/>
      <c r="Z126" s="260"/>
      <c r="AA126" s="256"/>
      <c r="AB126" s="492" t="str">
        <f>IF($W126="","",IF($AA126="","ERR",IF($AA126="1",IF($AE126="","ERR",VLOOKUP($AA126,ﾏｽﾀ!$W$8:$X$10,ﾏｽﾀ!$X$4,0)),IF($AA126="2",IF($AG126="","ERR",VLOOKUP($AA126,ﾏｽﾀ!$W$8:$X$10,ﾏｽﾀ!$X$4,0)),IF($AA126="3",IF($AI126="","ERR",VLOOKUP($AA126,ﾏｽﾀ!$W$8:$X$10,ﾏｽﾀ!$X$4,0)),"ERR")))))</f>
        <v/>
      </c>
      <c r="AC126" s="261"/>
      <c r="AD126" s="321" t="str">
        <f>IF($AA126="1",COUNTIF('納品書明細16-E'!$D$9:$D$206,$AN126)+COUNTIF('納品書明細F-15'!$D$9:$D$297,$AN126)-IF(ISNA(MATCH(CONCATENATE(VLOOKUP($AC126,$AB$1:$AC$4,2,FALSE),$S126,IF($U126="","00",$U126),$W126,2),$F$11:$F$160,0)),0,SUMIF($F$11:$F$160,CONCATENATE(VLOOKUP($AC126,$AB$1:$AC$4,2,FALSE),$S126,IF($U126="","00",$U126),$W126,2),$AF$11:$AF$160)),"")</f>
        <v/>
      </c>
      <c r="AE126" s="319" t="str">
        <f>IF($AA126="1",SUMIF('納品書明細16-E'!$C$9:$C$206,$AO126,'納品書明細16-E'!$Q$9:$Q$206)+SUMIF('納品書明細F-15'!$C$9:$C$297,$AO126,'納品書明細F-15'!$Q$9:$Q$297)-IF(ISNA(MATCH(CONCATENATE(VLOOKUP($AC126,$AB$1:$AC$4,2,FALSE),$S126,IF($U126="","00",$U126),$W126,2),$F$11:$F$160,0)),0,SUMIF($F$11:$F$160,CONCATENATE(VLOOKUP($AC126,$AB$1:$AC$4,2,FALSE),$S126,IF($U126="","00",$U126),$W126,2),$AG$11:$AG$160)),"")</f>
        <v/>
      </c>
      <c r="AF126" s="324"/>
      <c r="AG126" s="327"/>
      <c r="AH126" s="57"/>
      <c r="AI126" s="319" t="str">
        <f>IF($AH126="","",IF(ISNA(MATCH($AH126,'納品書明細16-E'!$H$9:$H$206,0)),IF(ISNA(MATCH($AH126,'納品書明細F-15'!$H$9:$H$297,0)),"ERR",SUMIF('納品書明細F-15'!$H$9:$H$297,$AH126,'納品書明細F-15'!$Q$9:$Q$297)),SUMIF('納品書明細16-E'!$H$9:$H$206,$AH126,'納品書明細16-E'!$Q$9:$Q$206)))</f>
        <v/>
      </c>
      <c r="AK126" s="328" t="str">
        <f t="shared" si="45"/>
        <v/>
      </c>
      <c r="AL126" s="269" t="str">
        <f t="shared" si="46"/>
        <v/>
      </c>
      <c r="AM126" s="270" t="str">
        <f t="shared" si="47"/>
        <v/>
      </c>
      <c r="AN126" s="244" t="str">
        <f t="shared" si="48"/>
        <v/>
      </c>
      <c r="AO126" s="244" t="str">
        <f t="shared" si="49"/>
        <v/>
      </c>
      <c r="AP126" s="271" t="str">
        <f t="shared" si="40"/>
        <v/>
      </c>
      <c r="AQ126" s="265"/>
      <c r="AR126" s="263"/>
      <c r="AS126" s="84"/>
      <c r="AT126" s="86"/>
      <c r="AU126" s="87"/>
    </row>
    <row r="127" spans="1:47" ht="15" customHeight="1">
      <c r="A127" s="281" t="str">
        <f t="shared" si="39"/>
        <v/>
      </c>
      <c r="B127" s="282" t="str">
        <f t="shared" si="35"/>
        <v/>
      </c>
      <c r="C127" s="618" t="str">
        <f>IF(AND($S127="",$U127="",$W127="",$AA127="",$AE127="",$AG127="",$AI127=""),"",MAX($C$10:$C126)+1)</f>
        <v/>
      </c>
      <c r="D127" s="619" t="str">
        <f t="shared" si="41"/>
        <v/>
      </c>
      <c r="E127" s="619" t="str">
        <f t="shared" si="42"/>
        <v/>
      </c>
      <c r="F127" s="619" t="str">
        <f t="shared" si="43"/>
        <v/>
      </c>
      <c r="G127" s="619" t="str">
        <f t="shared" si="44"/>
        <v/>
      </c>
      <c r="H127" s="620" t="str">
        <f t="shared" si="50"/>
        <v/>
      </c>
      <c r="I127" s="316" t="s">
        <v>336</v>
      </c>
      <c r="J127" s="254"/>
      <c r="K127" s="50" t="str">
        <f>IF($W127="","",IF($W127=1,IF(VLOOKUP($S127,ﾏｽﾀ!$E$8:$K$124,ﾏｽﾀ!$J$4-ﾏｽﾀ!$D$4,0)="E",DAY($J$4),ABS(VLOOKUP($S127,ﾏｽﾀ!$E$8:$K$124,ﾏｽﾀ!$J$4-ﾏｽﾀ!$D$4,0))),IF(VLOOKUP($S127,ﾏｽﾀ!$E$8:$K$124,ﾏｽﾀ!$K$4-ﾏｽﾀ!$D$4,0)="E",DAY($J$4),ABS(VLOOKUP($S127,ﾏｽﾀ!$E$8:$K$124,ﾏｽﾀ!$K$4-ﾏｽﾀ!$D$4,0)))))</f>
        <v/>
      </c>
      <c r="L127" s="255"/>
      <c r="M127" s="255"/>
      <c r="N127" s="255"/>
      <c r="O127" s="50" t="str">
        <f>IF($S127="","",IF($M127="",IF($J127="","ERR",IF(VLOOKUP($S127,ﾏｽﾀ!$E$8:$K$124,ﾏｽﾀ!$J$4-ﾏｽﾀ!$D$4,0)="E",MONTH($J127),IF(MONTH($J127)-1=0,12,MONTH($J127)-1))),MONTH($M127)))</f>
        <v/>
      </c>
      <c r="P127" s="50" t="str">
        <f>IF($S127="","",IF($M127="",IF($K127="","ERR",IF(VLOOKUP($S127,ﾏｽﾀ!$E$8:$K$124,ﾏｽﾀ!$J$4-ﾏｽﾀ!$D$4,0)="E",1,$K127+1)),DAY($M127)))</f>
        <v/>
      </c>
      <c r="Q127" s="50" t="str">
        <f t="shared" si="37"/>
        <v/>
      </c>
      <c r="R127" s="50" t="str">
        <f t="shared" si="38"/>
        <v/>
      </c>
      <c r="S127" s="601" t="str">
        <f>IF($T127="","",INDEX(ﾏｽﾀ!$E$8:$E$124,MATCH(INDEX(ﾏｽﾀ!$N$8:$N$124,MATCH($T127,ﾏｽﾀ!$O$8:$O$124,0)),ﾏｽﾀ!$B$8:$B$124,0))&amp;"")</f>
        <v/>
      </c>
      <c r="T127" s="535"/>
      <c r="U127" s="601" t="str">
        <f>IF($T127="","",INDEX(ﾏｽﾀ!$G$8:$G$124,MATCH(INDEX(ﾏｽﾀ!$N$8:$N$124,MATCH($T127,ﾏｽﾀ!$O$8:$O$124,0)),ﾏｽﾀ!$B$8:$B$124,0))&amp;"")</f>
        <v/>
      </c>
      <c r="V127" s="257"/>
      <c r="W127" s="602" t="str">
        <f>IF($X127="","",INDEX(ﾏｽﾀ!$T$8:$T$16,MATCH($X127,ﾏｽﾀ!$U$8:$U$16,0))&amp;"")</f>
        <v/>
      </c>
      <c r="X127" s="248"/>
      <c r="Y127" s="260"/>
      <c r="Z127" s="260"/>
      <c r="AA127" s="256"/>
      <c r="AB127" s="492" t="str">
        <f>IF($W127="","",IF($AA127="","ERR",IF($AA127="1",IF($AE127="","ERR",VLOOKUP($AA127,ﾏｽﾀ!$W$8:$X$10,ﾏｽﾀ!$X$4,0)),IF($AA127="2",IF($AG127="","ERR",VLOOKUP($AA127,ﾏｽﾀ!$W$8:$X$10,ﾏｽﾀ!$X$4,0)),IF($AA127="3",IF($AI127="","ERR",VLOOKUP($AA127,ﾏｽﾀ!$W$8:$X$10,ﾏｽﾀ!$X$4,0)),"ERR")))))</f>
        <v/>
      </c>
      <c r="AC127" s="261"/>
      <c r="AD127" s="321" t="str">
        <f>IF($AA127="1",COUNTIF('納品書明細16-E'!$D$9:$D$206,$AN127)+COUNTIF('納品書明細F-15'!$D$9:$D$297,$AN127)-IF(ISNA(MATCH(CONCATENATE(VLOOKUP($AC127,$AB$1:$AC$4,2,FALSE),$S127,IF($U127="","00",$U127),$W127,2),$F$11:$F$160,0)),0,SUMIF($F$11:$F$160,CONCATENATE(VLOOKUP($AC127,$AB$1:$AC$4,2,FALSE),$S127,IF($U127="","00",$U127),$W127,2),$AF$11:$AF$160)),"")</f>
        <v/>
      </c>
      <c r="AE127" s="319" t="str">
        <f>IF($AA127="1",SUMIF('納品書明細16-E'!$C$9:$C$206,$AO127,'納品書明細16-E'!$Q$9:$Q$206)+SUMIF('納品書明細F-15'!$C$9:$C$297,$AO127,'納品書明細F-15'!$Q$9:$Q$297)-IF(ISNA(MATCH(CONCATENATE(VLOOKUP($AC127,$AB$1:$AC$4,2,FALSE),$S127,IF($U127="","00",$U127),$W127,2),$F$11:$F$160,0)),0,SUMIF($F$11:$F$160,CONCATENATE(VLOOKUP($AC127,$AB$1:$AC$4,2,FALSE),$S127,IF($U127="","00",$U127),$W127,2),$AG$11:$AG$160)),"")</f>
        <v/>
      </c>
      <c r="AF127" s="324"/>
      <c r="AG127" s="327"/>
      <c r="AH127" s="57"/>
      <c r="AI127" s="319" t="str">
        <f>IF($AH127="","",IF(ISNA(MATCH($AH127,'納品書明細16-E'!$H$9:$H$206,0)),IF(ISNA(MATCH($AH127,'納品書明細F-15'!$H$9:$H$297,0)),"ERR",SUMIF('納品書明細F-15'!$H$9:$H$297,$AH127,'納品書明細F-15'!$Q$9:$Q$297)),SUMIF('納品書明細16-E'!$H$9:$H$206,$AH127,'納品書明細16-E'!$Q$9:$Q$206)))</f>
        <v/>
      </c>
      <c r="AK127" s="328" t="str">
        <f t="shared" si="45"/>
        <v/>
      </c>
      <c r="AL127" s="269" t="str">
        <f t="shared" si="46"/>
        <v/>
      </c>
      <c r="AM127" s="270" t="str">
        <f t="shared" si="47"/>
        <v/>
      </c>
      <c r="AN127" s="244" t="str">
        <f t="shared" si="48"/>
        <v/>
      </c>
      <c r="AO127" s="244" t="str">
        <f t="shared" si="49"/>
        <v/>
      </c>
      <c r="AP127" s="271" t="str">
        <f t="shared" si="40"/>
        <v/>
      </c>
      <c r="AQ127" s="265"/>
      <c r="AR127" s="263"/>
      <c r="AS127" s="84"/>
      <c r="AT127" s="86"/>
      <c r="AU127" s="87"/>
    </row>
    <row r="128" spans="1:47" ht="15" customHeight="1">
      <c r="A128" s="281" t="str">
        <f t="shared" si="39"/>
        <v/>
      </c>
      <c r="B128" s="282" t="str">
        <f t="shared" si="35"/>
        <v/>
      </c>
      <c r="C128" s="618" t="str">
        <f>IF(AND($S128="",$U128="",$W128="",$AA128="",$AE128="",$AG128="",$AI128=""),"",MAX($C$10:$C127)+1)</f>
        <v/>
      </c>
      <c r="D128" s="619" t="str">
        <f t="shared" si="41"/>
        <v/>
      </c>
      <c r="E128" s="619" t="str">
        <f t="shared" si="42"/>
        <v/>
      </c>
      <c r="F128" s="619" t="str">
        <f t="shared" si="43"/>
        <v/>
      </c>
      <c r="G128" s="619" t="str">
        <f t="shared" si="44"/>
        <v/>
      </c>
      <c r="H128" s="620" t="str">
        <f t="shared" si="50"/>
        <v/>
      </c>
      <c r="I128" s="316" t="s">
        <v>337</v>
      </c>
      <c r="J128" s="254"/>
      <c r="K128" s="50" t="str">
        <f>IF($W128="","",IF($W128=1,IF(VLOOKUP($S128,ﾏｽﾀ!$E$8:$K$124,ﾏｽﾀ!$J$4-ﾏｽﾀ!$D$4,0)="E",DAY($J$4),ABS(VLOOKUP($S128,ﾏｽﾀ!$E$8:$K$124,ﾏｽﾀ!$J$4-ﾏｽﾀ!$D$4,0))),IF(VLOOKUP($S128,ﾏｽﾀ!$E$8:$K$124,ﾏｽﾀ!$K$4-ﾏｽﾀ!$D$4,0)="E",DAY($J$4),ABS(VLOOKUP($S128,ﾏｽﾀ!$E$8:$K$124,ﾏｽﾀ!$K$4-ﾏｽﾀ!$D$4,0)))))</f>
        <v/>
      </c>
      <c r="L128" s="255"/>
      <c r="M128" s="255"/>
      <c r="N128" s="255"/>
      <c r="O128" s="50" t="str">
        <f>IF($S128="","",IF($M128="",IF($J128="","ERR",IF(VLOOKUP($S128,ﾏｽﾀ!$E$8:$K$124,ﾏｽﾀ!$J$4-ﾏｽﾀ!$D$4,0)="E",MONTH($J128),IF(MONTH($J128)-1=0,12,MONTH($J128)-1))),MONTH($M128)))</f>
        <v/>
      </c>
      <c r="P128" s="50" t="str">
        <f>IF($S128="","",IF($M128="",IF($K128="","ERR",IF(VLOOKUP($S128,ﾏｽﾀ!$E$8:$K$124,ﾏｽﾀ!$J$4-ﾏｽﾀ!$D$4,0)="E",1,$K128+1)),DAY($M128)))</f>
        <v/>
      </c>
      <c r="Q128" s="50" t="str">
        <f t="shared" si="37"/>
        <v/>
      </c>
      <c r="R128" s="50" t="str">
        <f t="shared" si="38"/>
        <v/>
      </c>
      <c r="S128" s="601" t="str">
        <f>IF($T128="","",INDEX(ﾏｽﾀ!$E$8:$E$124,MATCH(INDEX(ﾏｽﾀ!$N$8:$N$124,MATCH($T128,ﾏｽﾀ!$O$8:$O$124,0)),ﾏｽﾀ!$B$8:$B$124,0))&amp;"")</f>
        <v/>
      </c>
      <c r="T128" s="535"/>
      <c r="U128" s="601" t="str">
        <f>IF($T128="","",INDEX(ﾏｽﾀ!$G$8:$G$124,MATCH(INDEX(ﾏｽﾀ!$N$8:$N$124,MATCH($T128,ﾏｽﾀ!$O$8:$O$124,0)),ﾏｽﾀ!$B$8:$B$124,0))&amp;"")</f>
        <v/>
      </c>
      <c r="V128" s="257"/>
      <c r="W128" s="602" t="str">
        <f>IF($X128="","",INDEX(ﾏｽﾀ!$T$8:$T$16,MATCH($X128,ﾏｽﾀ!$U$8:$U$16,0))&amp;"")</f>
        <v/>
      </c>
      <c r="X128" s="248"/>
      <c r="Y128" s="260"/>
      <c r="Z128" s="260"/>
      <c r="AA128" s="256"/>
      <c r="AB128" s="492" t="str">
        <f>IF($W128="","",IF($AA128="","ERR",IF($AA128="1",IF($AE128="","ERR",VLOOKUP($AA128,ﾏｽﾀ!$W$8:$X$10,ﾏｽﾀ!$X$4,0)),IF($AA128="2",IF($AG128="","ERR",VLOOKUP($AA128,ﾏｽﾀ!$W$8:$X$10,ﾏｽﾀ!$X$4,0)),IF($AA128="3",IF($AI128="","ERR",VLOOKUP($AA128,ﾏｽﾀ!$W$8:$X$10,ﾏｽﾀ!$X$4,0)),"ERR")))))</f>
        <v/>
      </c>
      <c r="AC128" s="261"/>
      <c r="AD128" s="321" t="str">
        <f>IF($AA128="1",COUNTIF('納品書明細16-E'!$D$9:$D$206,$AN128)+COUNTIF('納品書明細F-15'!$D$9:$D$297,$AN128)-IF(ISNA(MATCH(CONCATENATE(VLOOKUP($AC128,$AB$1:$AC$4,2,FALSE),$S128,IF($U128="","00",$U128),$W128,2),$F$11:$F$160,0)),0,SUMIF($F$11:$F$160,CONCATENATE(VLOOKUP($AC128,$AB$1:$AC$4,2,FALSE),$S128,IF($U128="","00",$U128),$W128,2),$AF$11:$AF$160)),"")</f>
        <v/>
      </c>
      <c r="AE128" s="319" t="str">
        <f>IF($AA128="1",SUMIF('納品書明細16-E'!$C$9:$C$206,$AO128,'納品書明細16-E'!$Q$9:$Q$206)+SUMIF('納品書明細F-15'!$C$9:$C$297,$AO128,'納品書明細F-15'!$Q$9:$Q$297)-IF(ISNA(MATCH(CONCATENATE(VLOOKUP($AC128,$AB$1:$AC$4,2,FALSE),$S128,IF($U128="","00",$U128),$W128,2),$F$11:$F$160,0)),0,SUMIF($F$11:$F$160,CONCATENATE(VLOOKUP($AC128,$AB$1:$AC$4,2,FALSE),$S128,IF($U128="","00",$U128),$W128,2),$AG$11:$AG$160)),"")</f>
        <v/>
      </c>
      <c r="AF128" s="324"/>
      <c r="AG128" s="327"/>
      <c r="AH128" s="57"/>
      <c r="AI128" s="319" t="str">
        <f>IF($AH128="","",IF(ISNA(MATCH($AH128,'納品書明細16-E'!$H$9:$H$206,0)),IF(ISNA(MATCH($AH128,'納品書明細F-15'!$H$9:$H$297,0)),"ERR",SUMIF('納品書明細F-15'!$H$9:$H$297,$AH128,'納品書明細F-15'!$Q$9:$Q$297)),SUMIF('納品書明細16-E'!$H$9:$H$206,$AH128,'納品書明細16-E'!$Q$9:$Q$206)))</f>
        <v/>
      </c>
      <c r="AK128" s="328" t="str">
        <f t="shared" si="45"/>
        <v/>
      </c>
      <c r="AL128" s="269" t="str">
        <f t="shared" si="46"/>
        <v/>
      </c>
      <c r="AM128" s="270" t="str">
        <f t="shared" si="47"/>
        <v/>
      </c>
      <c r="AN128" s="244" t="str">
        <f t="shared" si="48"/>
        <v/>
      </c>
      <c r="AO128" s="244" t="str">
        <f t="shared" si="49"/>
        <v/>
      </c>
      <c r="AP128" s="271" t="str">
        <f t="shared" si="40"/>
        <v/>
      </c>
      <c r="AQ128" s="265"/>
      <c r="AR128" s="263"/>
      <c r="AS128" s="84"/>
      <c r="AT128" s="86"/>
      <c r="AU128" s="87"/>
    </row>
    <row r="129" spans="1:47" ht="15" customHeight="1">
      <c r="A129" s="281" t="str">
        <f t="shared" si="39"/>
        <v/>
      </c>
      <c r="B129" s="282" t="str">
        <f t="shared" si="35"/>
        <v/>
      </c>
      <c r="C129" s="618" t="str">
        <f>IF(AND($S129="",$U129="",$W129="",$AA129="",$AE129="",$AG129="",$AI129=""),"",MAX($C$10:$C128)+1)</f>
        <v/>
      </c>
      <c r="D129" s="619" t="str">
        <f t="shared" si="41"/>
        <v/>
      </c>
      <c r="E129" s="619" t="str">
        <f t="shared" si="42"/>
        <v/>
      </c>
      <c r="F129" s="619" t="str">
        <f t="shared" si="43"/>
        <v/>
      </c>
      <c r="G129" s="619" t="str">
        <f t="shared" si="44"/>
        <v/>
      </c>
      <c r="H129" s="620" t="str">
        <f t="shared" si="50"/>
        <v/>
      </c>
      <c r="I129" s="316" t="s">
        <v>338</v>
      </c>
      <c r="J129" s="254"/>
      <c r="K129" s="50" t="str">
        <f>IF($W129="","",IF($W129=1,IF(VLOOKUP($S129,ﾏｽﾀ!$E$8:$K$124,ﾏｽﾀ!$J$4-ﾏｽﾀ!$D$4,0)="E",DAY($J$4),ABS(VLOOKUP($S129,ﾏｽﾀ!$E$8:$K$124,ﾏｽﾀ!$J$4-ﾏｽﾀ!$D$4,0))),IF(VLOOKUP($S129,ﾏｽﾀ!$E$8:$K$124,ﾏｽﾀ!$K$4-ﾏｽﾀ!$D$4,0)="E",DAY($J$4),ABS(VLOOKUP($S129,ﾏｽﾀ!$E$8:$K$124,ﾏｽﾀ!$K$4-ﾏｽﾀ!$D$4,0)))))</f>
        <v/>
      </c>
      <c r="L129" s="255"/>
      <c r="M129" s="255"/>
      <c r="N129" s="255"/>
      <c r="O129" s="50" t="str">
        <f>IF($S129="","",IF($M129="",IF($J129="","ERR",IF(VLOOKUP($S129,ﾏｽﾀ!$E$8:$K$124,ﾏｽﾀ!$J$4-ﾏｽﾀ!$D$4,0)="E",MONTH($J129),IF(MONTH($J129)-1=0,12,MONTH($J129)-1))),MONTH($M129)))</f>
        <v/>
      </c>
      <c r="P129" s="50" t="str">
        <f>IF($S129="","",IF($M129="",IF($K129="","ERR",IF(VLOOKUP($S129,ﾏｽﾀ!$E$8:$K$124,ﾏｽﾀ!$J$4-ﾏｽﾀ!$D$4,0)="E",1,$K129+1)),DAY($M129)))</f>
        <v/>
      </c>
      <c r="Q129" s="50" t="str">
        <f t="shared" si="37"/>
        <v/>
      </c>
      <c r="R129" s="50" t="str">
        <f t="shared" si="38"/>
        <v/>
      </c>
      <c r="S129" s="601" t="str">
        <f>IF($T129="","",INDEX(ﾏｽﾀ!$E$8:$E$124,MATCH(INDEX(ﾏｽﾀ!$N$8:$N$124,MATCH($T129,ﾏｽﾀ!$O$8:$O$124,0)),ﾏｽﾀ!$B$8:$B$124,0))&amp;"")</f>
        <v/>
      </c>
      <c r="T129" s="535"/>
      <c r="U129" s="601" t="str">
        <f>IF($T129="","",INDEX(ﾏｽﾀ!$G$8:$G$124,MATCH(INDEX(ﾏｽﾀ!$N$8:$N$124,MATCH($T129,ﾏｽﾀ!$O$8:$O$124,0)),ﾏｽﾀ!$B$8:$B$124,0))&amp;"")</f>
        <v/>
      </c>
      <c r="V129" s="257"/>
      <c r="W129" s="602" t="str">
        <f>IF($X129="","",INDEX(ﾏｽﾀ!$T$8:$T$16,MATCH($X129,ﾏｽﾀ!$U$8:$U$16,0))&amp;"")</f>
        <v/>
      </c>
      <c r="X129" s="248"/>
      <c r="Y129" s="260"/>
      <c r="Z129" s="260"/>
      <c r="AA129" s="256"/>
      <c r="AB129" s="492" t="str">
        <f>IF($W129="","",IF($AA129="","ERR",IF($AA129="1",IF($AE129="","ERR",VLOOKUP($AA129,ﾏｽﾀ!$W$8:$X$10,ﾏｽﾀ!$X$4,0)),IF($AA129="2",IF($AG129="","ERR",VLOOKUP($AA129,ﾏｽﾀ!$W$8:$X$10,ﾏｽﾀ!$X$4,0)),IF($AA129="3",IF($AI129="","ERR",VLOOKUP($AA129,ﾏｽﾀ!$W$8:$X$10,ﾏｽﾀ!$X$4,0)),"ERR")))))</f>
        <v/>
      </c>
      <c r="AC129" s="261"/>
      <c r="AD129" s="321" t="str">
        <f>IF($AA129="1",COUNTIF('納品書明細16-E'!$D$9:$D$206,$AN129)+COUNTIF('納品書明細F-15'!$D$9:$D$297,$AN129)-IF(ISNA(MATCH(CONCATENATE(VLOOKUP($AC129,$AB$1:$AC$4,2,FALSE),$S129,IF($U129="","00",$U129),$W129,2),$F$11:$F$160,0)),0,SUMIF($F$11:$F$160,CONCATENATE(VLOOKUP($AC129,$AB$1:$AC$4,2,FALSE),$S129,IF($U129="","00",$U129),$W129,2),$AF$11:$AF$160)),"")</f>
        <v/>
      </c>
      <c r="AE129" s="319" t="str">
        <f>IF($AA129="1",SUMIF('納品書明細16-E'!$C$9:$C$206,$AO129,'納品書明細16-E'!$Q$9:$Q$206)+SUMIF('納品書明細F-15'!$C$9:$C$297,$AO129,'納品書明細F-15'!$Q$9:$Q$297)-IF(ISNA(MATCH(CONCATENATE(VLOOKUP($AC129,$AB$1:$AC$4,2,FALSE),$S129,IF($U129="","00",$U129),$W129,2),$F$11:$F$160,0)),0,SUMIF($F$11:$F$160,CONCATENATE(VLOOKUP($AC129,$AB$1:$AC$4,2,FALSE),$S129,IF($U129="","00",$U129),$W129,2),$AG$11:$AG$160)),"")</f>
        <v/>
      </c>
      <c r="AF129" s="324"/>
      <c r="AG129" s="327"/>
      <c r="AH129" s="57"/>
      <c r="AI129" s="319" t="str">
        <f>IF($AH129="","",IF(ISNA(MATCH($AH129,'納品書明細16-E'!$H$9:$H$206,0)),IF(ISNA(MATCH($AH129,'納品書明細F-15'!$H$9:$H$297,0)),"ERR",SUMIF('納品書明細F-15'!$H$9:$H$297,$AH129,'納品書明細F-15'!$Q$9:$Q$297)),SUMIF('納品書明細16-E'!$H$9:$H$206,$AH129,'納品書明細16-E'!$Q$9:$Q$206)))</f>
        <v/>
      </c>
      <c r="AK129" s="328" t="str">
        <f t="shared" si="45"/>
        <v/>
      </c>
      <c r="AL129" s="269" t="str">
        <f t="shared" si="46"/>
        <v/>
      </c>
      <c r="AM129" s="270" t="str">
        <f t="shared" si="47"/>
        <v/>
      </c>
      <c r="AN129" s="244" t="str">
        <f t="shared" si="48"/>
        <v/>
      </c>
      <c r="AO129" s="244" t="str">
        <f t="shared" si="49"/>
        <v/>
      </c>
      <c r="AP129" s="271" t="str">
        <f t="shared" si="40"/>
        <v/>
      </c>
      <c r="AQ129" s="265"/>
      <c r="AR129" s="263"/>
      <c r="AS129" s="84"/>
      <c r="AT129" s="86"/>
      <c r="AU129" s="87"/>
    </row>
    <row r="130" spans="1:47" ht="15" customHeight="1">
      <c r="A130" s="281" t="str">
        <f t="shared" si="39"/>
        <v/>
      </c>
      <c r="B130" s="282" t="str">
        <f t="shared" si="35"/>
        <v/>
      </c>
      <c r="C130" s="618" t="str">
        <f>IF(AND($S130="",$U130="",$W130="",$AA130="",$AE130="",$AG130="",$AI130=""),"",MAX($C$10:$C129)+1)</f>
        <v/>
      </c>
      <c r="D130" s="619" t="str">
        <f t="shared" si="41"/>
        <v/>
      </c>
      <c r="E130" s="619" t="str">
        <f t="shared" si="42"/>
        <v/>
      </c>
      <c r="F130" s="619" t="str">
        <f t="shared" si="43"/>
        <v/>
      </c>
      <c r="G130" s="619" t="str">
        <f t="shared" si="44"/>
        <v/>
      </c>
      <c r="H130" s="620" t="str">
        <f t="shared" si="50"/>
        <v/>
      </c>
      <c r="I130" s="316" t="s">
        <v>339</v>
      </c>
      <c r="J130" s="254"/>
      <c r="K130" s="50" t="str">
        <f>IF($W130="","",IF($W130=1,IF(VLOOKUP($S130,ﾏｽﾀ!$E$8:$K$124,ﾏｽﾀ!$J$4-ﾏｽﾀ!$D$4,0)="E",DAY($J$4),ABS(VLOOKUP($S130,ﾏｽﾀ!$E$8:$K$124,ﾏｽﾀ!$J$4-ﾏｽﾀ!$D$4,0))),IF(VLOOKUP($S130,ﾏｽﾀ!$E$8:$K$124,ﾏｽﾀ!$K$4-ﾏｽﾀ!$D$4,0)="E",DAY($J$4),ABS(VLOOKUP($S130,ﾏｽﾀ!$E$8:$K$124,ﾏｽﾀ!$K$4-ﾏｽﾀ!$D$4,0)))))</f>
        <v/>
      </c>
      <c r="L130" s="255"/>
      <c r="M130" s="255"/>
      <c r="N130" s="255"/>
      <c r="O130" s="50" t="str">
        <f>IF($S130="","",IF($M130="",IF($J130="","ERR",IF(VLOOKUP($S130,ﾏｽﾀ!$E$8:$K$124,ﾏｽﾀ!$J$4-ﾏｽﾀ!$D$4,0)="E",MONTH($J130),IF(MONTH($J130)-1=0,12,MONTH($J130)-1))),MONTH($M130)))</f>
        <v/>
      </c>
      <c r="P130" s="50" t="str">
        <f>IF($S130="","",IF($M130="",IF($K130="","ERR",IF(VLOOKUP($S130,ﾏｽﾀ!$E$8:$K$124,ﾏｽﾀ!$J$4-ﾏｽﾀ!$D$4,0)="E",1,$K130+1)),DAY($M130)))</f>
        <v/>
      </c>
      <c r="Q130" s="50" t="str">
        <f t="shared" si="37"/>
        <v/>
      </c>
      <c r="R130" s="50" t="str">
        <f t="shared" si="38"/>
        <v/>
      </c>
      <c r="S130" s="601" t="str">
        <f>IF($T130="","",INDEX(ﾏｽﾀ!$E$8:$E$124,MATCH(INDEX(ﾏｽﾀ!$N$8:$N$124,MATCH($T130,ﾏｽﾀ!$O$8:$O$124,0)),ﾏｽﾀ!$B$8:$B$124,0))&amp;"")</f>
        <v/>
      </c>
      <c r="T130" s="535"/>
      <c r="U130" s="601" t="str">
        <f>IF($T130="","",INDEX(ﾏｽﾀ!$G$8:$G$124,MATCH(INDEX(ﾏｽﾀ!$N$8:$N$124,MATCH($T130,ﾏｽﾀ!$O$8:$O$124,0)),ﾏｽﾀ!$B$8:$B$124,0))&amp;"")</f>
        <v/>
      </c>
      <c r="V130" s="257"/>
      <c r="W130" s="602" t="str">
        <f>IF($X130="","",INDEX(ﾏｽﾀ!$T$8:$T$16,MATCH($X130,ﾏｽﾀ!$U$8:$U$16,0))&amp;"")</f>
        <v/>
      </c>
      <c r="X130" s="248"/>
      <c r="Y130" s="260"/>
      <c r="Z130" s="260"/>
      <c r="AA130" s="256"/>
      <c r="AB130" s="492" t="str">
        <f>IF($W130="","",IF($AA130="","ERR",IF($AA130="1",IF($AE130="","ERR",VLOOKUP($AA130,ﾏｽﾀ!$W$8:$X$10,ﾏｽﾀ!$X$4,0)),IF($AA130="2",IF($AG130="","ERR",VLOOKUP($AA130,ﾏｽﾀ!$W$8:$X$10,ﾏｽﾀ!$X$4,0)),IF($AA130="3",IF($AI130="","ERR",VLOOKUP($AA130,ﾏｽﾀ!$W$8:$X$10,ﾏｽﾀ!$X$4,0)),"ERR")))))</f>
        <v/>
      </c>
      <c r="AC130" s="261"/>
      <c r="AD130" s="321" t="str">
        <f>IF($AA130="1",COUNTIF('納品書明細16-E'!$D$9:$D$206,$AN130)+COUNTIF('納品書明細F-15'!$D$9:$D$297,$AN130)-IF(ISNA(MATCH(CONCATENATE(VLOOKUP($AC130,$AB$1:$AC$4,2,FALSE),$S130,IF($U130="","00",$U130),$W130,2),$F$11:$F$160,0)),0,SUMIF($F$11:$F$160,CONCATENATE(VLOOKUP($AC130,$AB$1:$AC$4,2,FALSE),$S130,IF($U130="","00",$U130),$W130,2),$AF$11:$AF$160)),"")</f>
        <v/>
      </c>
      <c r="AE130" s="319" t="str">
        <f>IF($AA130="1",SUMIF('納品書明細16-E'!$C$9:$C$206,$AO130,'納品書明細16-E'!$Q$9:$Q$206)+SUMIF('納品書明細F-15'!$C$9:$C$297,$AO130,'納品書明細F-15'!$Q$9:$Q$297)-IF(ISNA(MATCH(CONCATENATE(VLOOKUP($AC130,$AB$1:$AC$4,2,FALSE),$S130,IF($U130="","00",$U130),$W130,2),$F$11:$F$160,0)),0,SUMIF($F$11:$F$160,CONCATENATE(VLOOKUP($AC130,$AB$1:$AC$4,2,FALSE),$S130,IF($U130="","00",$U130),$W130,2),$AG$11:$AG$160)),"")</f>
        <v/>
      </c>
      <c r="AF130" s="324"/>
      <c r="AG130" s="327"/>
      <c r="AH130" s="57"/>
      <c r="AI130" s="319" t="str">
        <f>IF($AH130="","",IF(ISNA(MATCH($AH130,'納品書明細16-E'!$H$9:$H$206,0)),IF(ISNA(MATCH($AH130,'納品書明細F-15'!$H$9:$H$297,0)),"ERR",SUMIF('納品書明細F-15'!$H$9:$H$297,$AH130,'納品書明細F-15'!$Q$9:$Q$297)),SUMIF('納品書明細16-E'!$H$9:$H$206,$AH130,'納品書明細16-E'!$Q$9:$Q$206)))</f>
        <v/>
      </c>
      <c r="AK130" s="328" t="str">
        <f t="shared" si="45"/>
        <v/>
      </c>
      <c r="AL130" s="269" t="str">
        <f t="shared" si="46"/>
        <v/>
      </c>
      <c r="AM130" s="270" t="str">
        <f t="shared" si="47"/>
        <v/>
      </c>
      <c r="AN130" s="244" t="str">
        <f t="shared" si="48"/>
        <v/>
      </c>
      <c r="AO130" s="244" t="str">
        <f t="shared" si="49"/>
        <v/>
      </c>
      <c r="AP130" s="271" t="str">
        <f t="shared" si="40"/>
        <v/>
      </c>
      <c r="AQ130" s="265"/>
      <c r="AR130" s="263"/>
      <c r="AS130" s="84"/>
      <c r="AT130" s="86"/>
      <c r="AU130" s="87"/>
    </row>
    <row r="131" spans="1:47" ht="15" customHeight="1">
      <c r="A131" s="281" t="str">
        <f t="shared" si="39"/>
        <v/>
      </c>
      <c r="B131" s="282" t="str">
        <f t="shared" si="35"/>
        <v/>
      </c>
      <c r="C131" s="618" t="str">
        <f>IF(AND($S131="",$U131="",$W131="",$AA131="",$AE131="",$AG131="",$AI131=""),"",MAX($C$10:$C130)+1)</f>
        <v/>
      </c>
      <c r="D131" s="619" t="str">
        <f t="shared" si="41"/>
        <v/>
      </c>
      <c r="E131" s="619" t="str">
        <f t="shared" si="42"/>
        <v/>
      </c>
      <c r="F131" s="619" t="str">
        <f t="shared" si="43"/>
        <v/>
      </c>
      <c r="G131" s="619" t="str">
        <f t="shared" si="44"/>
        <v/>
      </c>
      <c r="H131" s="620" t="str">
        <f t="shared" si="50"/>
        <v/>
      </c>
      <c r="I131" s="316" t="s">
        <v>340</v>
      </c>
      <c r="J131" s="254"/>
      <c r="K131" s="50" t="str">
        <f>IF($W131="","",IF($W131=1,IF(VLOOKUP($S131,ﾏｽﾀ!$E$8:$K$124,ﾏｽﾀ!$J$4-ﾏｽﾀ!$D$4,0)="E",DAY($J$4),ABS(VLOOKUP($S131,ﾏｽﾀ!$E$8:$K$124,ﾏｽﾀ!$J$4-ﾏｽﾀ!$D$4,0))),IF(VLOOKUP($S131,ﾏｽﾀ!$E$8:$K$124,ﾏｽﾀ!$K$4-ﾏｽﾀ!$D$4,0)="E",DAY($J$4),ABS(VLOOKUP($S131,ﾏｽﾀ!$E$8:$K$124,ﾏｽﾀ!$K$4-ﾏｽﾀ!$D$4,0)))))</f>
        <v/>
      </c>
      <c r="L131" s="255"/>
      <c r="M131" s="255"/>
      <c r="N131" s="255"/>
      <c r="O131" s="50" t="str">
        <f>IF($S131="","",IF($M131="",IF($J131="","ERR",IF(VLOOKUP($S131,ﾏｽﾀ!$E$8:$K$124,ﾏｽﾀ!$J$4-ﾏｽﾀ!$D$4,0)="E",MONTH($J131),IF(MONTH($J131)-1=0,12,MONTH($J131)-1))),MONTH($M131)))</f>
        <v/>
      </c>
      <c r="P131" s="50" t="str">
        <f>IF($S131="","",IF($M131="",IF($K131="","ERR",IF(VLOOKUP($S131,ﾏｽﾀ!$E$8:$K$124,ﾏｽﾀ!$J$4-ﾏｽﾀ!$D$4,0)="E",1,$K131+1)),DAY($M131)))</f>
        <v/>
      </c>
      <c r="Q131" s="50" t="str">
        <f t="shared" si="37"/>
        <v/>
      </c>
      <c r="R131" s="50" t="str">
        <f t="shared" si="38"/>
        <v/>
      </c>
      <c r="S131" s="601" t="str">
        <f>IF($T131="","",INDEX(ﾏｽﾀ!$E$8:$E$124,MATCH(INDEX(ﾏｽﾀ!$N$8:$N$124,MATCH($T131,ﾏｽﾀ!$O$8:$O$124,0)),ﾏｽﾀ!$B$8:$B$124,0))&amp;"")</f>
        <v/>
      </c>
      <c r="T131" s="535"/>
      <c r="U131" s="601" t="str">
        <f>IF($T131="","",INDEX(ﾏｽﾀ!$G$8:$G$124,MATCH(INDEX(ﾏｽﾀ!$N$8:$N$124,MATCH($T131,ﾏｽﾀ!$O$8:$O$124,0)),ﾏｽﾀ!$B$8:$B$124,0))&amp;"")</f>
        <v/>
      </c>
      <c r="V131" s="257"/>
      <c r="W131" s="602" t="str">
        <f>IF($X131="","",INDEX(ﾏｽﾀ!$T$8:$T$16,MATCH($X131,ﾏｽﾀ!$U$8:$U$16,0))&amp;"")</f>
        <v/>
      </c>
      <c r="X131" s="248"/>
      <c r="Y131" s="260"/>
      <c r="Z131" s="260"/>
      <c r="AA131" s="256"/>
      <c r="AB131" s="492" t="str">
        <f>IF($W131="","",IF($AA131="","ERR",IF($AA131="1",IF($AE131="","ERR",VLOOKUP($AA131,ﾏｽﾀ!$W$8:$X$10,ﾏｽﾀ!$X$4,0)),IF($AA131="2",IF($AG131="","ERR",VLOOKUP($AA131,ﾏｽﾀ!$W$8:$X$10,ﾏｽﾀ!$X$4,0)),IF($AA131="3",IF($AI131="","ERR",VLOOKUP($AA131,ﾏｽﾀ!$W$8:$X$10,ﾏｽﾀ!$X$4,0)),"ERR")))))</f>
        <v/>
      </c>
      <c r="AC131" s="261"/>
      <c r="AD131" s="321" t="str">
        <f>IF($AA131="1",COUNTIF('納品書明細16-E'!$D$9:$D$206,$AN131)+COUNTIF('納品書明細F-15'!$D$9:$D$297,$AN131)-IF(ISNA(MATCH(CONCATENATE(VLOOKUP($AC131,$AB$1:$AC$4,2,FALSE),$S131,IF($U131="","00",$U131),$W131,2),$F$11:$F$160,0)),0,SUMIF($F$11:$F$160,CONCATENATE(VLOOKUP($AC131,$AB$1:$AC$4,2,FALSE),$S131,IF($U131="","00",$U131),$W131,2),$AF$11:$AF$160)),"")</f>
        <v/>
      </c>
      <c r="AE131" s="319" t="str">
        <f>IF($AA131="1",SUMIF('納品書明細16-E'!$C$9:$C$206,$AO131,'納品書明細16-E'!$Q$9:$Q$206)+SUMIF('納品書明細F-15'!$C$9:$C$297,$AO131,'納品書明細F-15'!$Q$9:$Q$297)-IF(ISNA(MATCH(CONCATENATE(VLOOKUP($AC131,$AB$1:$AC$4,2,FALSE),$S131,IF($U131="","00",$U131),$W131,2),$F$11:$F$160,0)),0,SUMIF($F$11:$F$160,CONCATENATE(VLOOKUP($AC131,$AB$1:$AC$4,2,FALSE),$S131,IF($U131="","00",$U131),$W131,2),$AG$11:$AG$160)),"")</f>
        <v/>
      </c>
      <c r="AF131" s="324"/>
      <c r="AG131" s="327"/>
      <c r="AH131" s="57"/>
      <c r="AI131" s="319" t="str">
        <f>IF($AH131="","",IF(ISNA(MATCH($AH131,'納品書明細16-E'!$H$9:$H$206,0)),IF(ISNA(MATCH($AH131,'納品書明細F-15'!$H$9:$H$297,0)),"ERR",SUMIF('納品書明細F-15'!$H$9:$H$297,$AH131,'納品書明細F-15'!$Q$9:$Q$297)),SUMIF('納品書明細16-E'!$H$9:$H$206,$AH131,'納品書明細16-E'!$Q$9:$Q$206)))</f>
        <v/>
      </c>
      <c r="AK131" s="328" t="str">
        <f t="shared" si="45"/>
        <v/>
      </c>
      <c r="AL131" s="269" t="str">
        <f t="shared" si="46"/>
        <v/>
      </c>
      <c r="AM131" s="270" t="str">
        <f t="shared" si="47"/>
        <v/>
      </c>
      <c r="AN131" s="244" t="str">
        <f t="shared" si="48"/>
        <v/>
      </c>
      <c r="AO131" s="244" t="str">
        <f t="shared" si="49"/>
        <v/>
      </c>
      <c r="AP131" s="271" t="str">
        <f t="shared" si="40"/>
        <v/>
      </c>
      <c r="AQ131" s="265"/>
      <c r="AR131" s="263"/>
      <c r="AS131" s="84"/>
      <c r="AT131" s="86"/>
      <c r="AU131" s="87"/>
    </row>
    <row r="132" spans="1:47" ht="15" customHeight="1">
      <c r="A132" s="281" t="str">
        <f t="shared" si="39"/>
        <v/>
      </c>
      <c r="B132" s="282" t="str">
        <f t="shared" si="35"/>
        <v/>
      </c>
      <c r="C132" s="618" t="str">
        <f>IF(AND($S132="",$U132="",$W132="",$AA132="",$AE132="",$AG132="",$AI132=""),"",MAX($C$10:$C131)+1)</f>
        <v/>
      </c>
      <c r="D132" s="619" t="str">
        <f t="shared" si="41"/>
        <v/>
      </c>
      <c r="E132" s="619" t="str">
        <f t="shared" si="42"/>
        <v/>
      </c>
      <c r="F132" s="619" t="str">
        <f t="shared" si="43"/>
        <v/>
      </c>
      <c r="G132" s="619" t="str">
        <f t="shared" si="44"/>
        <v/>
      </c>
      <c r="H132" s="620" t="str">
        <f t="shared" si="50"/>
        <v/>
      </c>
      <c r="I132" s="316" t="s">
        <v>341</v>
      </c>
      <c r="J132" s="254"/>
      <c r="K132" s="50" t="str">
        <f>IF($W132="","",IF($W132=1,IF(VLOOKUP($S132,ﾏｽﾀ!$E$8:$K$124,ﾏｽﾀ!$J$4-ﾏｽﾀ!$D$4,0)="E",DAY($J$4),ABS(VLOOKUP($S132,ﾏｽﾀ!$E$8:$K$124,ﾏｽﾀ!$J$4-ﾏｽﾀ!$D$4,0))),IF(VLOOKUP($S132,ﾏｽﾀ!$E$8:$K$124,ﾏｽﾀ!$K$4-ﾏｽﾀ!$D$4,0)="E",DAY($J$4),ABS(VLOOKUP($S132,ﾏｽﾀ!$E$8:$K$124,ﾏｽﾀ!$K$4-ﾏｽﾀ!$D$4,0)))))</f>
        <v/>
      </c>
      <c r="L132" s="255"/>
      <c r="M132" s="255"/>
      <c r="N132" s="255"/>
      <c r="O132" s="50" t="str">
        <f>IF($S132="","",IF($M132="",IF($J132="","ERR",IF(VLOOKUP($S132,ﾏｽﾀ!$E$8:$K$124,ﾏｽﾀ!$J$4-ﾏｽﾀ!$D$4,0)="E",MONTH($J132),IF(MONTH($J132)-1=0,12,MONTH($J132)-1))),MONTH($M132)))</f>
        <v/>
      </c>
      <c r="P132" s="50" t="str">
        <f>IF($S132="","",IF($M132="",IF($K132="","ERR",IF(VLOOKUP($S132,ﾏｽﾀ!$E$8:$K$124,ﾏｽﾀ!$J$4-ﾏｽﾀ!$D$4,0)="E",1,$K132+1)),DAY($M132)))</f>
        <v/>
      </c>
      <c r="Q132" s="50" t="str">
        <f t="shared" si="37"/>
        <v/>
      </c>
      <c r="R132" s="50" t="str">
        <f t="shared" si="38"/>
        <v/>
      </c>
      <c r="S132" s="601" t="str">
        <f>IF($T132="","",INDEX(ﾏｽﾀ!$E$8:$E$124,MATCH(INDEX(ﾏｽﾀ!$N$8:$N$124,MATCH($T132,ﾏｽﾀ!$O$8:$O$124,0)),ﾏｽﾀ!$B$8:$B$124,0))&amp;"")</f>
        <v/>
      </c>
      <c r="T132" s="535"/>
      <c r="U132" s="601" t="str">
        <f>IF($T132="","",INDEX(ﾏｽﾀ!$G$8:$G$124,MATCH(INDEX(ﾏｽﾀ!$N$8:$N$124,MATCH($T132,ﾏｽﾀ!$O$8:$O$124,0)),ﾏｽﾀ!$B$8:$B$124,0))&amp;"")</f>
        <v/>
      </c>
      <c r="V132" s="257"/>
      <c r="W132" s="602" t="str">
        <f>IF($X132="","",INDEX(ﾏｽﾀ!$T$8:$T$16,MATCH($X132,ﾏｽﾀ!$U$8:$U$16,0))&amp;"")</f>
        <v/>
      </c>
      <c r="X132" s="248"/>
      <c r="Y132" s="260"/>
      <c r="Z132" s="260"/>
      <c r="AA132" s="256"/>
      <c r="AB132" s="492" t="str">
        <f>IF($W132="","",IF($AA132="","ERR",IF($AA132="1",IF($AE132="","ERR",VLOOKUP($AA132,ﾏｽﾀ!$W$8:$X$10,ﾏｽﾀ!$X$4,0)),IF($AA132="2",IF($AG132="","ERR",VLOOKUP($AA132,ﾏｽﾀ!$W$8:$X$10,ﾏｽﾀ!$X$4,0)),IF($AA132="3",IF($AI132="","ERR",VLOOKUP($AA132,ﾏｽﾀ!$W$8:$X$10,ﾏｽﾀ!$X$4,0)),"ERR")))))</f>
        <v/>
      </c>
      <c r="AC132" s="261"/>
      <c r="AD132" s="321" t="str">
        <f>IF($AA132="1",COUNTIF('納品書明細16-E'!$D$9:$D$206,$AN132)+COUNTIF('納品書明細F-15'!$D$9:$D$297,$AN132)-IF(ISNA(MATCH(CONCATENATE(VLOOKUP($AC132,$AB$1:$AC$4,2,FALSE),$S132,IF($U132="","00",$U132),$W132,2),$F$11:$F$160,0)),0,SUMIF($F$11:$F$160,CONCATENATE(VLOOKUP($AC132,$AB$1:$AC$4,2,FALSE),$S132,IF($U132="","00",$U132),$W132,2),$AF$11:$AF$160)),"")</f>
        <v/>
      </c>
      <c r="AE132" s="319" t="str">
        <f>IF($AA132="1",SUMIF('納品書明細16-E'!$C$9:$C$206,$AO132,'納品書明細16-E'!$Q$9:$Q$206)+SUMIF('納品書明細F-15'!$C$9:$C$297,$AO132,'納品書明細F-15'!$Q$9:$Q$297)-IF(ISNA(MATCH(CONCATENATE(VLOOKUP($AC132,$AB$1:$AC$4,2,FALSE),$S132,IF($U132="","00",$U132),$W132,2),$F$11:$F$160,0)),0,SUMIF($F$11:$F$160,CONCATENATE(VLOOKUP($AC132,$AB$1:$AC$4,2,FALSE),$S132,IF($U132="","00",$U132),$W132,2),$AG$11:$AG$160)),"")</f>
        <v/>
      </c>
      <c r="AF132" s="324"/>
      <c r="AG132" s="327"/>
      <c r="AH132" s="57"/>
      <c r="AI132" s="319" t="str">
        <f>IF($AH132="","",IF(ISNA(MATCH($AH132,'納品書明細16-E'!$H$9:$H$206,0)),IF(ISNA(MATCH($AH132,'納品書明細F-15'!$H$9:$H$297,0)),"ERR",SUMIF('納品書明細F-15'!$H$9:$H$297,$AH132,'納品書明細F-15'!$Q$9:$Q$297)),SUMIF('納品書明細16-E'!$H$9:$H$206,$AH132,'納品書明細16-E'!$Q$9:$Q$206)))</f>
        <v/>
      </c>
      <c r="AK132" s="328" t="str">
        <f t="shared" si="45"/>
        <v/>
      </c>
      <c r="AL132" s="269" t="str">
        <f t="shared" si="46"/>
        <v/>
      </c>
      <c r="AM132" s="270" t="str">
        <f t="shared" si="47"/>
        <v/>
      </c>
      <c r="AN132" s="244" t="str">
        <f t="shared" si="48"/>
        <v/>
      </c>
      <c r="AO132" s="244" t="str">
        <f t="shared" si="49"/>
        <v/>
      </c>
      <c r="AP132" s="271" t="str">
        <f t="shared" si="40"/>
        <v/>
      </c>
      <c r="AQ132" s="265"/>
      <c r="AR132" s="263"/>
      <c r="AS132" s="84"/>
      <c r="AT132" s="86"/>
      <c r="AU132" s="87"/>
    </row>
    <row r="133" spans="1:47" ht="15" customHeight="1">
      <c r="A133" s="281" t="str">
        <f t="shared" si="39"/>
        <v/>
      </c>
      <c r="B133" s="282" t="str">
        <f t="shared" si="35"/>
        <v/>
      </c>
      <c r="C133" s="618" t="str">
        <f>IF(AND($S133="",$U133="",$W133="",$AA133="",$AE133="",$AG133="",$AI133=""),"",MAX($C$10:$C132)+1)</f>
        <v/>
      </c>
      <c r="D133" s="619" t="str">
        <f t="shared" si="41"/>
        <v/>
      </c>
      <c r="E133" s="619" t="str">
        <f t="shared" si="42"/>
        <v/>
      </c>
      <c r="F133" s="619" t="str">
        <f t="shared" si="43"/>
        <v/>
      </c>
      <c r="G133" s="619" t="str">
        <f t="shared" si="44"/>
        <v/>
      </c>
      <c r="H133" s="620" t="str">
        <f t="shared" si="50"/>
        <v/>
      </c>
      <c r="I133" s="316" t="s">
        <v>342</v>
      </c>
      <c r="J133" s="254"/>
      <c r="K133" s="50" t="str">
        <f>IF($W133="","",IF($W133=1,IF(VLOOKUP($S133,ﾏｽﾀ!$E$8:$K$124,ﾏｽﾀ!$J$4-ﾏｽﾀ!$D$4,0)="E",DAY($J$4),ABS(VLOOKUP($S133,ﾏｽﾀ!$E$8:$K$124,ﾏｽﾀ!$J$4-ﾏｽﾀ!$D$4,0))),IF(VLOOKUP($S133,ﾏｽﾀ!$E$8:$K$124,ﾏｽﾀ!$K$4-ﾏｽﾀ!$D$4,0)="E",DAY($J$4),ABS(VLOOKUP($S133,ﾏｽﾀ!$E$8:$K$124,ﾏｽﾀ!$K$4-ﾏｽﾀ!$D$4,0)))))</f>
        <v/>
      </c>
      <c r="L133" s="255"/>
      <c r="M133" s="255"/>
      <c r="N133" s="255"/>
      <c r="O133" s="50" t="str">
        <f>IF($S133="","",IF($M133="",IF($J133="","ERR",IF(VLOOKUP($S133,ﾏｽﾀ!$E$8:$K$124,ﾏｽﾀ!$J$4-ﾏｽﾀ!$D$4,0)="E",MONTH($J133),IF(MONTH($J133)-1=0,12,MONTH($J133)-1))),MONTH($M133)))</f>
        <v/>
      </c>
      <c r="P133" s="50" t="str">
        <f>IF($S133="","",IF($M133="",IF($K133="","ERR",IF(VLOOKUP($S133,ﾏｽﾀ!$E$8:$K$124,ﾏｽﾀ!$J$4-ﾏｽﾀ!$D$4,0)="E",1,$K133+1)),DAY($M133)))</f>
        <v/>
      </c>
      <c r="Q133" s="50" t="str">
        <f t="shared" si="37"/>
        <v/>
      </c>
      <c r="R133" s="50" t="str">
        <f t="shared" si="38"/>
        <v/>
      </c>
      <c r="S133" s="601" t="str">
        <f>IF($T133="","",INDEX(ﾏｽﾀ!$E$8:$E$124,MATCH(INDEX(ﾏｽﾀ!$N$8:$N$124,MATCH($T133,ﾏｽﾀ!$O$8:$O$124,0)),ﾏｽﾀ!$B$8:$B$124,0))&amp;"")</f>
        <v/>
      </c>
      <c r="T133" s="535"/>
      <c r="U133" s="601" t="str">
        <f>IF($T133="","",INDEX(ﾏｽﾀ!$G$8:$G$124,MATCH(INDEX(ﾏｽﾀ!$N$8:$N$124,MATCH($T133,ﾏｽﾀ!$O$8:$O$124,0)),ﾏｽﾀ!$B$8:$B$124,0))&amp;"")</f>
        <v/>
      </c>
      <c r="V133" s="257"/>
      <c r="W133" s="602" t="str">
        <f>IF($X133="","",INDEX(ﾏｽﾀ!$T$8:$T$16,MATCH($X133,ﾏｽﾀ!$U$8:$U$16,0))&amp;"")</f>
        <v/>
      </c>
      <c r="X133" s="248"/>
      <c r="Y133" s="260"/>
      <c r="Z133" s="260"/>
      <c r="AA133" s="256"/>
      <c r="AB133" s="492" t="str">
        <f>IF($W133="","",IF($AA133="","ERR",IF($AA133="1",IF($AE133="","ERR",VLOOKUP($AA133,ﾏｽﾀ!$W$8:$X$10,ﾏｽﾀ!$X$4,0)),IF($AA133="2",IF($AG133="","ERR",VLOOKUP($AA133,ﾏｽﾀ!$W$8:$X$10,ﾏｽﾀ!$X$4,0)),IF($AA133="3",IF($AI133="","ERR",VLOOKUP($AA133,ﾏｽﾀ!$W$8:$X$10,ﾏｽﾀ!$X$4,0)),"ERR")))))</f>
        <v/>
      </c>
      <c r="AC133" s="261"/>
      <c r="AD133" s="321" t="str">
        <f>IF($AA133="1",COUNTIF('納品書明細16-E'!$D$9:$D$206,$AN133)+COUNTIF('納品書明細F-15'!$D$9:$D$297,$AN133)-IF(ISNA(MATCH(CONCATENATE(VLOOKUP($AC133,$AB$1:$AC$4,2,FALSE),$S133,IF($U133="","00",$U133),$W133,2),$F$11:$F$160,0)),0,SUMIF($F$11:$F$160,CONCATENATE(VLOOKUP($AC133,$AB$1:$AC$4,2,FALSE),$S133,IF($U133="","00",$U133),$W133,2),$AF$11:$AF$160)),"")</f>
        <v/>
      </c>
      <c r="AE133" s="319" t="str">
        <f>IF($AA133="1",SUMIF('納品書明細16-E'!$C$9:$C$206,$AO133,'納品書明細16-E'!$Q$9:$Q$206)+SUMIF('納品書明細F-15'!$C$9:$C$297,$AO133,'納品書明細F-15'!$Q$9:$Q$297)-IF(ISNA(MATCH(CONCATENATE(VLOOKUP($AC133,$AB$1:$AC$4,2,FALSE),$S133,IF($U133="","00",$U133),$W133,2),$F$11:$F$160,0)),0,SUMIF($F$11:$F$160,CONCATENATE(VLOOKUP($AC133,$AB$1:$AC$4,2,FALSE),$S133,IF($U133="","00",$U133),$W133,2),$AG$11:$AG$160)),"")</f>
        <v/>
      </c>
      <c r="AF133" s="324"/>
      <c r="AG133" s="327"/>
      <c r="AH133" s="57"/>
      <c r="AI133" s="319" t="str">
        <f>IF($AH133="","",IF(ISNA(MATCH($AH133,'納品書明細16-E'!$H$9:$H$206,0)),IF(ISNA(MATCH($AH133,'納品書明細F-15'!$H$9:$H$297,0)),"ERR",SUMIF('納品書明細F-15'!$H$9:$H$297,$AH133,'納品書明細F-15'!$Q$9:$Q$297)),SUMIF('納品書明細16-E'!$H$9:$H$206,$AH133,'納品書明細16-E'!$Q$9:$Q$206)))</f>
        <v/>
      </c>
      <c r="AK133" s="328" t="str">
        <f t="shared" si="45"/>
        <v/>
      </c>
      <c r="AL133" s="269" t="str">
        <f t="shared" si="46"/>
        <v/>
      </c>
      <c r="AM133" s="270" t="str">
        <f t="shared" si="47"/>
        <v/>
      </c>
      <c r="AN133" s="244" t="str">
        <f t="shared" si="48"/>
        <v/>
      </c>
      <c r="AO133" s="244" t="str">
        <f t="shared" si="49"/>
        <v/>
      </c>
      <c r="AP133" s="271" t="str">
        <f t="shared" si="40"/>
        <v/>
      </c>
      <c r="AQ133" s="265"/>
      <c r="AR133" s="263"/>
      <c r="AS133" s="84"/>
      <c r="AT133" s="86"/>
      <c r="AU133" s="87"/>
    </row>
    <row r="134" spans="1:47" ht="15" customHeight="1">
      <c r="A134" s="281" t="str">
        <f t="shared" si="39"/>
        <v/>
      </c>
      <c r="B134" s="282" t="str">
        <f t="shared" si="35"/>
        <v/>
      </c>
      <c r="C134" s="618" t="str">
        <f>IF(AND($S134="",$U134="",$W134="",$AA134="",$AE134="",$AG134="",$AI134=""),"",MAX($C$10:$C133)+1)</f>
        <v/>
      </c>
      <c r="D134" s="619" t="str">
        <f t="shared" si="41"/>
        <v/>
      </c>
      <c r="E134" s="619" t="str">
        <f t="shared" si="42"/>
        <v/>
      </c>
      <c r="F134" s="619" t="str">
        <f t="shared" si="43"/>
        <v/>
      </c>
      <c r="G134" s="619" t="str">
        <f t="shared" si="44"/>
        <v/>
      </c>
      <c r="H134" s="620" t="str">
        <f t="shared" si="50"/>
        <v/>
      </c>
      <c r="I134" s="316" t="s">
        <v>343</v>
      </c>
      <c r="J134" s="254"/>
      <c r="K134" s="50" t="str">
        <f>IF($W134="","",IF($W134=1,IF(VLOOKUP($S134,ﾏｽﾀ!$E$8:$K$124,ﾏｽﾀ!$J$4-ﾏｽﾀ!$D$4,0)="E",DAY($J$4),ABS(VLOOKUP($S134,ﾏｽﾀ!$E$8:$K$124,ﾏｽﾀ!$J$4-ﾏｽﾀ!$D$4,0))),IF(VLOOKUP($S134,ﾏｽﾀ!$E$8:$K$124,ﾏｽﾀ!$K$4-ﾏｽﾀ!$D$4,0)="E",DAY($J$4),ABS(VLOOKUP($S134,ﾏｽﾀ!$E$8:$K$124,ﾏｽﾀ!$K$4-ﾏｽﾀ!$D$4,0)))))</f>
        <v/>
      </c>
      <c r="L134" s="255"/>
      <c r="M134" s="255"/>
      <c r="N134" s="255"/>
      <c r="O134" s="50" t="str">
        <f>IF($S134="","",IF($M134="",IF($J134="","ERR",IF(VLOOKUP($S134,ﾏｽﾀ!$E$8:$K$124,ﾏｽﾀ!$J$4-ﾏｽﾀ!$D$4,0)="E",MONTH($J134),IF(MONTH($J134)-1=0,12,MONTH($J134)-1))),MONTH($M134)))</f>
        <v/>
      </c>
      <c r="P134" s="50" t="str">
        <f>IF($S134="","",IF($M134="",IF($K134="","ERR",IF(VLOOKUP($S134,ﾏｽﾀ!$E$8:$K$124,ﾏｽﾀ!$J$4-ﾏｽﾀ!$D$4,0)="E",1,$K134+1)),DAY($M134)))</f>
        <v/>
      </c>
      <c r="Q134" s="50" t="str">
        <f t="shared" si="37"/>
        <v/>
      </c>
      <c r="R134" s="50" t="str">
        <f t="shared" si="38"/>
        <v/>
      </c>
      <c r="S134" s="601" t="str">
        <f>IF($T134="","",INDEX(ﾏｽﾀ!$E$8:$E$124,MATCH(INDEX(ﾏｽﾀ!$N$8:$N$124,MATCH($T134,ﾏｽﾀ!$O$8:$O$124,0)),ﾏｽﾀ!$B$8:$B$124,0))&amp;"")</f>
        <v/>
      </c>
      <c r="T134" s="535"/>
      <c r="U134" s="601" t="str">
        <f>IF($T134="","",INDEX(ﾏｽﾀ!$G$8:$G$124,MATCH(INDEX(ﾏｽﾀ!$N$8:$N$124,MATCH($T134,ﾏｽﾀ!$O$8:$O$124,0)),ﾏｽﾀ!$B$8:$B$124,0))&amp;"")</f>
        <v/>
      </c>
      <c r="V134" s="257"/>
      <c r="W134" s="602" t="str">
        <f>IF($X134="","",INDEX(ﾏｽﾀ!$T$8:$T$16,MATCH($X134,ﾏｽﾀ!$U$8:$U$16,0))&amp;"")</f>
        <v/>
      </c>
      <c r="X134" s="248"/>
      <c r="Y134" s="260"/>
      <c r="Z134" s="260"/>
      <c r="AA134" s="256"/>
      <c r="AB134" s="492" t="str">
        <f>IF($W134="","",IF($AA134="","ERR",IF($AA134="1",IF($AE134="","ERR",VLOOKUP($AA134,ﾏｽﾀ!$W$8:$X$10,ﾏｽﾀ!$X$4,0)),IF($AA134="2",IF($AG134="","ERR",VLOOKUP($AA134,ﾏｽﾀ!$W$8:$X$10,ﾏｽﾀ!$X$4,0)),IF($AA134="3",IF($AI134="","ERR",VLOOKUP($AA134,ﾏｽﾀ!$W$8:$X$10,ﾏｽﾀ!$X$4,0)),"ERR")))))</f>
        <v/>
      </c>
      <c r="AC134" s="261"/>
      <c r="AD134" s="321" t="str">
        <f>IF($AA134="1",COUNTIF('納品書明細16-E'!$D$9:$D$206,$AN134)+COUNTIF('納品書明細F-15'!$D$9:$D$297,$AN134)-IF(ISNA(MATCH(CONCATENATE(VLOOKUP($AC134,$AB$1:$AC$4,2,FALSE),$S134,IF($U134="","00",$U134),$W134,2),$F$11:$F$160,0)),0,SUMIF($F$11:$F$160,CONCATENATE(VLOOKUP($AC134,$AB$1:$AC$4,2,FALSE),$S134,IF($U134="","00",$U134),$W134,2),$AF$11:$AF$160)),"")</f>
        <v/>
      </c>
      <c r="AE134" s="319" t="str">
        <f>IF($AA134="1",SUMIF('納品書明細16-E'!$C$9:$C$206,$AO134,'納品書明細16-E'!$Q$9:$Q$206)+SUMIF('納品書明細F-15'!$C$9:$C$297,$AO134,'納品書明細F-15'!$Q$9:$Q$297)-IF(ISNA(MATCH(CONCATENATE(VLOOKUP($AC134,$AB$1:$AC$4,2,FALSE),$S134,IF($U134="","00",$U134),$W134,2),$F$11:$F$160,0)),0,SUMIF($F$11:$F$160,CONCATENATE(VLOOKUP($AC134,$AB$1:$AC$4,2,FALSE),$S134,IF($U134="","00",$U134),$W134,2),$AG$11:$AG$160)),"")</f>
        <v/>
      </c>
      <c r="AF134" s="324"/>
      <c r="AG134" s="327"/>
      <c r="AH134" s="57"/>
      <c r="AI134" s="319" t="str">
        <f>IF($AH134="","",IF(ISNA(MATCH($AH134,'納品書明細16-E'!$H$9:$H$206,0)),IF(ISNA(MATCH($AH134,'納品書明細F-15'!$H$9:$H$297,0)),"ERR",SUMIF('納品書明細F-15'!$H$9:$H$297,$AH134,'納品書明細F-15'!$Q$9:$Q$297)),SUMIF('納品書明細16-E'!$H$9:$H$206,$AH134,'納品書明細16-E'!$Q$9:$Q$206)))</f>
        <v/>
      </c>
      <c r="AK134" s="328" t="str">
        <f t="shared" si="45"/>
        <v/>
      </c>
      <c r="AL134" s="269" t="str">
        <f t="shared" si="46"/>
        <v/>
      </c>
      <c r="AM134" s="270" t="str">
        <f t="shared" si="47"/>
        <v/>
      </c>
      <c r="AN134" s="244" t="str">
        <f t="shared" si="48"/>
        <v/>
      </c>
      <c r="AO134" s="244" t="str">
        <f t="shared" si="49"/>
        <v/>
      </c>
      <c r="AP134" s="271" t="str">
        <f t="shared" si="40"/>
        <v/>
      </c>
      <c r="AQ134" s="265"/>
      <c r="AR134" s="263"/>
      <c r="AS134" s="84"/>
      <c r="AT134" s="86"/>
      <c r="AU134" s="87"/>
    </row>
    <row r="135" spans="1:47" ht="15" customHeight="1">
      <c r="A135" s="281" t="str">
        <f t="shared" si="39"/>
        <v/>
      </c>
      <c r="B135" s="282" t="str">
        <f t="shared" si="35"/>
        <v/>
      </c>
      <c r="C135" s="618" t="str">
        <f>IF(AND($S135="",$U135="",$W135="",$AA135="",$AE135="",$AG135="",$AI135=""),"",MAX($C$10:$C134)+1)</f>
        <v/>
      </c>
      <c r="D135" s="619" t="str">
        <f t="shared" si="41"/>
        <v/>
      </c>
      <c r="E135" s="619" t="str">
        <f t="shared" si="42"/>
        <v/>
      </c>
      <c r="F135" s="619" t="str">
        <f t="shared" si="43"/>
        <v/>
      </c>
      <c r="G135" s="619" t="str">
        <f t="shared" si="44"/>
        <v/>
      </c>
      <c r="H135" s="620" t="str">
        <f t="shared" si="50"/>
        <v/>
      </c>
      <c r="I135" s="316" t="s">
        <v>344</v>
      </c>
      <c r="J135" s="254"/>
      <c r="K135" s="50" t="str">
        <f>IF($W135="","",IF($W135=1,IF(VLOOKUP($S135,ﾏｽﾀ!$E$8:$K$124,ﾏｽﾀ!$J$4-ﾏｽﾀ!$D$4,0)="E",DAY($J$4),ABS(VLOOKUP($S135,ﾏｽﾀ!$E$8:$K$124,ﾏｽﾀ!$J$4-ﾏｽﾀ!$D$4,0))),IF(VLOOKUP($S135,ﾏｽﾀ!$E$8:$K$124,ﾏｽﾀ!$K$4-ﾏｽﾀ!$D$4,0)="E",DAY($J$4),ABS(VLOOKUP($S135,ﾏｽﾀ!$E$8:$K$124,ﾏｽﾀ!$K$4-ﾏｽﾀ!$D$4,0)))))</f>
        <v/>
      </c>
      <c r="L135" s="255"/>
      <c r="M135" s="255"/>
      <c r="N135" s="255"/>
      <c r="O135" s="50" t="str">
        <f>IF($S135="","",IF($M135="",IF($J135="","ERR",IF(VLOOKUP($S135,ﾏｽﾀ!$E$8:$K$124,ﾏｽﾀ!$J$4-ﾏｽﾀ!$D$4,0)="E",MONTH($J135),IF(MONTH($J135)-1=0,12,MONTH($J135)-1))),MONTH($M135)))</f>
        <v/>
      </c>
      <c r="P135" s="50" t="str">
        <f>IF($S135="","",IF($M135="",IF($K135="","ERR",IF(VLOOKUP($S135,ﾏｽﾀ!$E$8:$K$124,ﾏｽﾀ!$J$4-ﾏｽﾀ!$D$4,0)="E",1,$K135+1)),DAY($M135)))</f>
        <v/>
      </c>
      <c r="Q135" s="50" t="str">
        <f t="shared" si="37"/>
        <v/>
      </c>
      <c r="R135" s="50" t="str">
        <f t="shared" si="38"/>
        <v/>
      </c>
      <c r="S135" s="601" t="str">
        <f>IF($T135="","",INDEX(ﾏｽﾀ!$E$8:$E$124,MATCH(INDEX(ﾏｽﾀ!$N$8:$N$124,MATCH($T135,ﾏｽﾀ!$O$8:$O$124,0)),ﾏｽﾀ!$B$8:$B$124,0))&amp;"")</f>
        <v/>
      </c>
      <c r="T135" s="535"/>
      <c r="U135" s="601" t="str">
        <f>IF($T135="","",INDEX(ﾏｽﾀ!$G$8:$G$124,MATCH(INDEX(ﾏｽﾀ!$N$8:$N$124,MATCH($T135,ﾏｽﾀ!$O$8:$O$124,0)),ﾏｽﾀ!$B$8:$B$124,0))&amp;"")</f>
        <v/>
      </c>
      <c r="V135" s="257"/>
      <c r="W135" s="602" t="str">
        <f>IF($X135="","",INDEX(ﾏｽﾀ!$T$8:$T$16,MATCH($X135,ﾏｽﾀ!$U$8:$U$16,0))&amp;"")</f>
        <v/>
      </c>
      <c r="X135" s="248"/>
      <c r="Y135" s="260"/>
      <c r="Z135" s="260"/>
      <c r="AA135" s="256"/>
      <c r="AB135" s="492" t="str">
        <f>IF($W135="","",IF($AA135="","ERR",IF($AA135="1",IF($AE135="","ERR",VLOOKUP($AA135,ﾏｽﾀ!$W$8:$X$10,ﾏｽﾀ!$X$4,0)),IF($AA135="2",IF($AG135="","ERR",VLOOKUP($AA135,ﾏｽﾀ!$W$8:$X$10,ﾏｽﾀ!$X$4,0)),IF($AA135="3",IF($AI135="","ERR",VLOOKUP($AA135,ﾏｽﾀ!$W$8:$X$10,ﾏｽﾀ!$X$4,0)),"ERR")))))</f>
        <v/>
      </c>
      <c r="AC135" s="261"/>
      <c r="AD135" s="321" t="str">
        <f>IF($AA135="1",COUNTIF('納品書明細16-E'!$D$9:$D$206,$AN135)+COUNTIF('納品書明細F-15'!$D$9:$D$297,$AN135)-IF(ISNA(MATCH(CONCATENATE(VLOOKUP($AC135,$AB$1:$AC$4,2,FALSE),$S135,IF($U135="","00",$U135),$W135,2),$F$11:$F$160,0)),0,SUMIF($F$11:$F$160,CONCATENATE(VLOOKUP($AC135,$AB$1:$AC$4,2,FALSE),$S135,IF($U135="","00",$U135),$W135,2),$AF$11:$AF$160)),"")</f>
        <v/>
      </c>
      <c r="AE135" s="319" t="str">
        <f>IF($AA135="1",SUMIF('納品書明細16-E'!$C$9:$C$206,$AO135,'納品書明細16-E'!$Q$9:$Q$206)+SUMIF('納品書明細F-15'!$C$9:$C$297,$AO135,'納品書明細F-15'!$Q$9:$Q$297)-IF(ISNA(MATCH(CONCATENATE(VLOOKUP($AC135,$AB$1:$AC$4,2,FALSE),$S135,IF($U135="","00",$U135),$W135,2),$F$11:$F$160,0)),0,SUMIF($F$11:$F$160,CONCATENATE(VLOOKUP($AC135,$AB$1:$AC$4,2,FALSE),$S135,IF($U135="","00",$U135),$W135,2),$AG$11:$AG$160)),"")</f>
        <v/>
      </c>
      <c r="AF135" s="324"/>
      <c r="AG135" s="327"/>
      <c r="AH135" s="57"/>
      <c r="AI135" s="319" t="str">
        <f>IF($AH135="","",IF(ISNA(MATCH($AH135,'納品書明細16-E'!$H$9:$H$206,0)),IF(ISNA(MATCH($AH135,'納品書明細F-15'!$H$9:$H$297,0)),"ERR",SUMIF('納品書明細F-15'!$H$9:$H$297,$AH135,'納品書明細F-15'!$Q$9:$Q$297)),SUMIF('納品書明細16-E'!$H$9:$H$206,$AH135,'納品書明細16-E'!$Q$9:$Q$206)))</f>
        <v/>
      </c>
      <c r="AK135" s="328" t="str">
        <f t="shared" si="45"/>
        <v/>
      </c>
      <c r="AL135" s="269" t="str">
        <f t="shared" si="46"/>
        <v/>
      </c>
      <c r="AM135" s="270" t="str">
        <f t="shared" si="47"/>
        <v/>
      </c>
      <c r="AN135" s="244" t="str">
        <f t="shared" si="48"/>
        <v/>
      </c>
      <c r="AO135" s="244" t="str">
        <f t="shared" si="49"/>
        <v/>
      </c>
      <c r="AP135" s="271" t="str">
        <f t="shared" si="40"/>
        <v/>
      </c>
      <c r="AQ135" s="265"/>
      <c r="AR135" s="263"/>
      <c r="AS135" s="84"/>
      <c r="AT135" s="86"/>
      <c r="AU135" s="87"/>
    </row>
    <row r="136" spans="1:47" ht="15" customHeight="1">
      <c r="A136" s="281" t="str">
        <f t="shared" si="39"/>
        <v/>
      </c>
      <c r="B136" s="282" t="str">
        <f t="shared" si="35"/>
        <v/>
      </c>
      <c r="C136" s="618" t="str">
        <f>IF(AND($S136="",$U136="",$W136="",$AA136="",$AE136="",$AG136="",$AI136=""),"",MAX($C$10:$C135)+1)</f>
        <v/>
      </c>
      <c r="D136" s="619" t="str">
        <f t="shared" si="41"/>
        <v/>
      </c>
      <c r="E136" s="619" t="str">
        <f t="shared" si="42"/>
        <v/>
      </c>
      <c r="F136" s="619" t="str">
        <f t="shared" si="43"/>
        <v/>
      </c>
      <c r="G136" s="619" t="str">
        <f t="shared" si="44"/>
        <v/>
      </c>
      <c r="H136" s="620" t="str">
        <f t="shared" si="50"/>
        <v/>
      </c>
      <c r="I136" s="316" t="s">
        <v>345</v>
      </c>
      <c r="J136" s="254"/>
      <c r="K136" s="50" t="str">
        <f>IF($W136="","",IF($W136=1,IF(VLOOKUP($S136,ﾏｽﾀ!$E$8:$K$124,ﾏｽﾀ!$J$4-ﾏｽﾀ!$D$4,0)="E",DAY($J$4),ABS(VLOOKUP($S136,ﾏｽﾀ!$E$8:$K$124,ﾏｽﾀ!$J$4-ﾏｽﾀ!$D$4,0))),IF(VLOOKUP($S136,ﾏｽﾀ!$E$8:$K$124,ﾏｽﾀ!$K$4-ﾏｽﾀ!$D$4,0)="E",DAY($J$4),ABS(VLOOKUP($S136,ﾏｽﾀ!$E$8:$K$124,ﾏｽﾀ!$K$4-ﾏｽﾀ!$D$4,0)))))</f>
        <v/>
      </c>
      <c r="L136" s="255"/>
      <c r="M136" s="255"/>
      <c r="N136" s="255"/>
      <c r="O136" s="50" t="str">
        <f>IF($S136="","",IF($M136="",IF($J136="","ERR",IF(VLOOKUP($S136,ﾏｽﾀ!$E$8:$K$124,ﾏｽﾀ!$J$4-ﾏｽﾀ!$D$4,0)="E",MONTH($J136),IF(MONTH($J136)-1=0,12,MONTH($J136)-1))),MONTH($M136)))</f>
        <v/>
      </c>
      <c r="P136" s="50" t="str">
        <f>IF($S136="","",IF($M136="",IF($K136="","ERR",IF(VLOOKUP($S136,ﾏｽﾀ!$E$8:$K$124,ﾏｽﾀ!$J$4-ﾏｽﾀ!$D$4,0)="E",1,$K136+1)),DAY($M136)))</f>
        <v/>
      </c>
      <c r="Q136" s="50" t="str">
        <f t="shared" si="37"/>
        <v/>
      </c>
      <c r="R136" s="50" t="str">
        <f t="shared" si="38"/>
        <v/>
      </c>
      <c r="S136" s="601" t="str">
        <f>IF($T136="","",INDEX(ﾏｽﾀ!$E$8:$E$124,MATCH(INDEX(ﾏｽﾀ!$N$8:$N$124,MATCH($T136,ﾏｽﾀ!$O$8:$O$124,0)),ﾏｽﾀ!$B$8:$B$124,0))&amp;"")</f>
        <v/>
      </c>
      <c r="T136" s="535"/>
      <c r="U136" s="601" t="str">
        <f>IF($T136="","",INDEX(ﾏｽﾀ!$G$8:$G$124,MATCH(INDEX(ﾏｽﾀ!$N$8:$N$124,MATCH($T136,ﾏｽﾀ!$O$8:$O$124,0)),ﾏｽﾀ!$B$8:$B$124,0))&amp;"")</f>
        <v/>
      </c>
      <c r="V136" s="257"/>
      <c r="W136" s="602" t="str">
        <f>IF($X136="","",INDEX(ﾏｽﾀ!$T$8:$T$16,MATCH($X136,ﾏｽﾀ!$U$8:$U$16,0))&amp;"")</f>
        <v/>
      </c>
      <c r="X136" s="248"/>
      <c r="Y136" s="260"/>
      <c r="Z136" s="260"/>
      <c r="AA136" s="256"/>
      <c r="AB136" s="492" t="str">
        <f>IF($W136="","",IF($AA136="","ERR",IF($AA136="1",IF($AE136="","ERR",VLOOKUP($AA136,ﾏｽﾀ!$W$8:$X$10,ﾏｽﾀ!$X$4,0)),IF($AA136="2",IF($AG136="","ERR",VLOOKUP($AA136,ﾏｽﾀ!$W$8:$X$10,ﾏｽﾀ!$X$4,0)),IF($AA136="3",IF($AI136="","ERR",VLOOKUP($AA136,ﾏｽﾀ!$W$8:$X$10,ﾏｽﾀ!$X$4,0)),"ERR")))))</f>
        <v/>
      </c>
      <c r="AC136" s="261"/>
      <c r="AD136" s="321" t="str">
        <f>IF($AA136="1",COUNTIF('納品書明細16-E'!$D$9:$D$206,$AN136)+COUNTIF('納品書明細F-15'!$D$9:$D$297,$AN136)-IF(ISNA(MATCH(CONCATENATE(VLOOKUP($AC136,$AB$1:$AC$4,2,FALSE),$S136,IF($U136="","00",$U136),$W136,2),$F$11:$F$160,0)),0,SUMIF($F$11:$F$160,CONCATENATE(VLOOKUP($AC136,$AB$1:$AC$4,2,FALSE),$S136,IF($U136="","00",$U136),$W136,2),$AF$11:$AF$160)),"")</f>
        <v/>
      </c>
      <c r="AE136" s="319" t="str">
        <f>IF($AA136="1",SUMIF('納品書明細16-E'!$C$9:$C$206,$AO136,'納品書明細16-E'!$Q$9:$Q$206)+SUMIF('納品書明細F-15'!$C$9:$C$297,$AO136,'納品書明細F-15'!$Q$9:$Q$297)-IF(ISNA(MATCH(CONCATENATE(VLOOKUP($AC136,$AB$1:$AC$4,2,FALSE),$S136,IF($U136="","00",$U136),$W136,2),$F$11:$F$160,0)),0,SUMIF($F$11:$F$160,CONCATENATE(VLOOKUP($AC136,$AB$1:$AC$4,2,FALSE),$S136,IF($U136="","00",$U136),$W136,2),$AG$11:$AG$160)),"")</f>
        <v/>
      </c>
      <c r="AF136" s="324"/>
      <c r="AG136" s="327"/>
      <c r="AH136" s="57"/>
      <c r="AI136" s="319" t="str">
        <f>IF($AH136="","",IF(ISNA(MATCH($AH136,'納品書明細16-E'!$H$9:$H$206,0)),IF(ISNA(MATCH($AH136,'納品書明細F-15'!$H$9:$H$297,0)),"ERR",SUMIF('納品書明細F-15'!$H$9:$H$297,$AH136,'納品書明細F-15'!$Q$9:$Q$297)),SUMIF('納品書明細16-E'!$H$9:$H$206,$AH136,'納品書明細16-E'!$Q$9:$Q$206)))</f>
        <v/>
      </c>
      <c r="AK136" s="328" t="str">
        <f t="shared" si="45"/>
        <v/>
      </c>
      <c r="AL136" s="269" t="str">
        <f t="shared" si="46"/>
        <v/>
      </c>
      <c r="AM136" s="270" t="str">
        <f t="shared" si="47"/>
        <v/>
      </c>
      <c r="AN136" s="244" t="str">
        <f t="shared" si="48"/>
        <v/>
      </c>
      <c r="AO136" s="244" t="str">
        <f t="shared" si="49"/>
        <v/>
      </c>
      <c r="AP136" s="271" t="str">
        <f t="shared" si="40"/>
        <v/>
      </c>
      <c r="AQ136" s="265"/>
      <c r="AR136" s="263"/>
      <c r="AS136" s="84"/>
      <c r="AT136" s="86"/>
      <c r="AU136" s="87"/>
    </row>
    <row r="137" spans="1:47" ht="15" customHeight="1">
      <c r="A137" s="281" t="str">
        <f t="shared" si="39"/>
        <v/>
      </c>
      <c r="B137" s="282" t="str">
        <f t="shared" si="35"/>
        <v/>
      </c>
      <c r="C137" s="618" t="str">
        <f>IF(AND($S137="",$U137="",$W137="",$AA137="",$AE137="",$AG137="",$AI137=""),"",MAX($C$10:$C136)+1)</f>
        <v/>
      </c>
      <c r="D137" s="619" t="str">
        <f t="shared" si="41"/>
        <v/>
      </c>
      <c r="E137" s="619" t="str">
        <f t="shared" si="42"/>
        <v/>
      </c>
      <c r="F137" s="619" t="str">
        <f t="shared" si="43"/>
        <v/>
      </c>
      <c r="G137" s="619" t="str">
        <f t="shared" si="44"/>
        <v/>
      </c>
      <c r="H137" s="620" t="str">
        <f t="shared" si="50"/>
        <v/>
      </c>
      <c r="I137" s="316" t="s">
        <v>346</v>
      </c>
      <c r="J137" s="254"/>
      <c r="K137" s="50" t="str">
        <f>IF($W137="","",IF($W137=1,IF(VLOOKUP($S137,ﾏｽﾀ!$E$8:$K$124,ﾏｽﾀ!$J$4-ﾏｽﾀ!$D$4,0)="E",DAY($J$4),ABS(VLOOKUP($S137,ﾏｽﾀ!$E$8:$K$124,ﾏｽﾀ!$J$4-ﾏｽﾀ!$D$4,0))),IF(VLOOKUP($S137,ﾏｽﾀ!$E$8:$K$124,ﾏｽﾀ!$K$4-ﾏｽﾀ!$D$4,0)="E",DAY($J$4),ABS(VLOOKUP($S137,ﾏｽﾀ!$E$8:$K$124,ﾏｽﾀ!$K$4-ﾏｽﾀ!$D$4,0)))))</f>
        <v/>
      </c>
      <c r="L137" s="255"/>
      <c r="M137" s="255"/>
      <c r="N137" s="255"/>
      <c r="O137" s="50" t="str">
        <f>IF($S137="","",IF($M137="",IF($J137="","ERR",IF(VLOOKUP($S137,ﾏｽﾀ!$E$8:$K$124,ﾏｽﾀ!$J$4-ﾏｽﾀ!$D$4,0)="E",MONTH($J137),IF(MONTH($J137)-1=0,12,MONTH($J137)-1))),MONTH($M137)))</f>
        <v/>
      </c>
      <c r="P137" s="50" t="str">
        <f>IF($S137="","",IF($M137="",IF($K137="","ERR",IF(VLOOKUP($S137,ﾏｽﾀ!$E$8:$K$124,ﾏｽﾀ!$J$4-ﾏｽﾀ!$D$4,0)="E",1,$K137+1)),DAY($M137)))</f>
        <v/>
      </c>
      <c r="Q137" s="50" t="str">
        <f t="shared" si="37"/>
        <v/>
      </c>
      <c r="R137" s="50" t="str">
        <f t="shared" si="38"/>
        <v/>
      </c>
      <c r="S137" s="601" t="str">
        <f>IF($T137="","",INDEX(ﾏｽﾀ!$E$8:$E$124,MATCH(INDEX(ﾏｽﾀ!$N$8:$N$124,MATCH($T137,ﾏｽﾀ!$O$8:$O$124,0)),ﾏｽﾀ!$B$8:$B$124,0))&amp;"")</f>
        <v/>
      </c>
      <c r="T137" s="535"/>
      <c r="U137" s="601" t="str">
        <f>IF($T137="","",INDEX(ﾏｽﾀ!$G$8:$G$124,MATCH(INDEX(ﾏｽﾀ!$N$8:$N$124,MATCH($T137,ﾏｽﾀ!$O$8:$O$124,0)),ﾏｽﾀ!$B$8:$B$124,0))&amp;"")</f>
        <v/>
      </c>
      <c r="V137" s="257"/>
      <c r="W137" s="602" t="str">
        <f>IF($X137="","",INDEX(ﾏｽﾀ!$T$8:$T$16,MATCH($X137,ﾏｽﾀ!$U$8:$U$16,0))&amp;"")</f>
        <v/>
      </c>
      <c r="X137" s="248"/>
      <c r="Y137" s="260"/>
      <c r="Z137" s="260"/>
      <c r="AA137" s="256"/>
      <c r="AB137" s="492" t="str">
        <f>IF($W137="","",IF($AA137="","ERR",IF($AA137="1",IF($AE137="","ERR",VLOOKUP($AA137,ﾏｽﾀ!$W$8:$X$10,ﾏｽﾀ!$X$4,0)),IF($AA137="2",IF($AG137="","ERR",VLOOKUP($AA137,ﾏｽﾀ!$W$8:$X$10,ﾏｽﾀ!$X$4,0)),IF($AA137="3",IF($AI137="","ERR",VLOOKUP($AA137,ﾏｽﾀ!$W$8:$X$10,ﾏｽﾀ!$X$4,0)),"ERR")))))</f>
        <v/>
      </c>
      <c r="AC137" s="261"/>
      <c r="AD137" s="321" t="str">
        <f>IF($AA137="1",COUNTIF('納品書明細16-E'!$D$9:$D$206,$AN137)+COUNTIF('納品書明細F-15'!$D$9:$D$297,$AN137)-IF(ISNA(MATCH(CONCATENATE(VLOOKUP($AC137,$AB$1:$AC$4,2,FALSE),$S137,IF($U137="","00",$U137),$W137,2),$F$11:$F$160,0)),0,SUMIF($F$11:$F$160,CONCATENATE(VLOOKUP($AC137,$AB$1:$AC$4,2,FALSE),$S137,IF($U137="","00",$U137),$W137,2),$AF$11:$AF$160)),"")</f>
        <v/>
      </c>
      <c r="AE137" s="319" t="str">
        <f>IF($AA137="1",SUMIF('納品書明細16-E'!$C$9:$C$206,$AO137,'納品書明細16-E'!$Q$9:$Q$206)+SUMIF('納品書明細F-15'!$C$9:$C$297,$AO137,'納品書明細F-15'!$Q$9:$Q$297)-IF(ISNA(MATCH(CONCATENATE(VLOOKUP($AC137,$AB$1:$AC$4,2,FALSE),$S137,IF($U137="","00",$U137),$W137,2),$F$11:$F$160,0)),0,SUMIF($F$11:$F$160,CONCATENATE(VLOOKUP($AC137,$AB$1:$AC$4,2,FALSE),$S137,IF($U137="","00",$U137),$W137,2),$AG$11:$AG$160)),"")</f>
        <v/>
      </c>
      <c r="AF137" s="324"/>
      <c r="AG137" s="327"/>
      <c r="AH137" s="57"/>
      <c r="AI137" s="319" t="str">
        <f>IF($AH137="","",IF(ISNA(MATCH($AH137,'納品書明細16-E'!$H$9:$H$206,0)),IF(ISNA(MATCH($AH137,'納品書明細F-15'!$H$9:$H$297,0)),"ERR",SUMIF('納品書明細F-15'!$H$9:$H$297,$AH137,'納品書明細F-15'!$Q$9:$Q$297)),SUMIF('納品書明細16-E'!$H$9:$H$206,$AH137,'納品書明細16-E'!$Q$9:$Q$206)))</f>
        <v/>
      </c>
      <c r="AK137" s="328" t="str">
        <f t="shared" si="45"/>
        <v/>
      </c>
      <c r="AL137" s="269" t="str">
        <f t="shared" si="46"/>
        <v/>
      </c>
      <c r="AM137" s="270" t="str">
        <f t="shared" si="47"/>
        <v/>
      </c>
      <c r="AN137" s="244" t="str">
        <f t="shared" si="48"/>
        <v/>
      </c>
      <c r="AO137" s="244" t="str">
        <f t="shared" si="49"/>
        <v/>
      </c>
      <c r="AP137" s="271" t="str">
        <f t="shared" si="40"/>
        <v/>
      </c>
      <c r="AQ137" s="265"/>
      <c r="AR137" s="263"/>
      <c r="AS137" s="84"/>
      <c r="AT137" s="86"/>
      <c r="AU137" s="87"/>
    </row>
    <row r="138" spans="1:47" ht="15" customHeight="1">
      <c r="A138" s="281" t="str">
        <f t="shared" si="39"/>
        <v/>
      </c>
      <c r="B138" s="282" t="str">
        <f t="shared" si="35"/>
        <v/>
      </c>
      <c r="C138" s="618" t="str">
        <f>IF(AND($S138="",$U138="",$W138="",$AA138="",$AE138="",$AG138="",$AI138=""),"",MAX($C$10:$C137)+1)</f>
        <v/>
      </c>
      <c r="D138" s="619" t="str">
        <f t="shared" si="41"/>
        <v/>
      </c>
      <c r="E138" s="619" t="str">
        <f t="shared" si="42"/>
        <v/>
      </c>
      <c r="F138" s="619" t="str">
        <f t="shared" si="43"/>
        <v/>
      </c>
      <c r="G138" s="619" t="str">
        <f t="shared" si="44"/>
        <v/>
      </c>
      <c r="H138" s="620" t="str">
        <f t="shared" si="50"/>
        <v/>
      </c>
      <c r="I138" s="316" t="s">
        <v>347</v>
      </c>
      <c r="J138" s="254"/>
      <c r="K138" s="50" t="str">
        <f>IF($W138="","",IF($W138=1,IF(VLOOKUP($S138,ﾏｽﾀ!$E$8:$K$124,ﾏｽﾀ!$J$4-ﾏｽﾀ!$D$4,0)="E",DAY($J$4),ABS(VLOOKUP($S138,ﾏｽﾀ!$E$8:$K$124,ﾏｽﾀ!$J$4-ﾏｽﾀ!$D$4,0))),IF(VLOOKUP($S138,ﾏｽﾀ!$E$8:$K$124,ﾏｽﾀ!$K$4-ﾏｽﾀ!$D$4,0)="E",DAY($J$4),ABS(VLOOKUP($S138,ﾏｽﾀ!$E$8:$K$124,ﾏｽﾀ!$K$4-ﾏｽﾀ!$D$4,0)))))</f>
        <v/>
      </c>
      <c r="L138" s="255"/>
      <c r="M138" s="255"/>
      <c r="N138" s="255"/>
      <c r="O138" s="50" t="str">
        <f>IF($S138="","",IF($M138="",IF($J138="","ERR",IF(VLOOKUP($S138,ﾏｽﾀ!$E$8:$K$124,ﾏｽﾀ!$J$4-ﾏｽﾀ!$D$4,0)="E",MONTH($J138),IF(MONTH($J138)-1=0,12,MONTH($J138)-1))),MONTH($M138)))</f>
        <v/>
      </c>
      <c r="P138" s="50" t="str">
        <f>IF($S138="","",IF($M138="",IF($K138="","ERR",IF(VLOOKUP($S138,ﾏｽﾀ!$E$8:$K$124,ﾏｽﾀ!$J$4-ﾏｽﾀ!$D$4,0)="E",1,$K138+1)),DAY($M138)))</f>
        <v/>
      </c>
      <c r="Q138" s="50" t="str">
        <f t="shared" si="37"/>
        <v/>
      </c>
      <c r="R138" s="50" t="str">
        <f t="shared" si="38"/>
        <v/>
      </c>
      <c r="S138" s="601" t="str">
        <f>IF($T138="","",INDEX(ﾏｽﾀ!$E$8:$E$124,MATCH(INDEX(ﾏｽﾀ!$N$8:$N$124,MATCH($T138,ﾏｽﾀ!$O$8:$O$124,0)),ﾏｽﾀ!$B$8:$B$124,0))&amp;"")</f>
        <v/>
      </c>
      <c r="T138" s="535"/>
      <c r="U138" s="601" t="str">
        <f>IF($T138="","",INDEX(ﾏｽﾀ!$G$8:$G$124,MATCH(INDEX(ﾏｽﾀ!$N$8:$N$124,MATCH($T138,ﾏｽﾀ!$O$8:$O$124,0)),ﾏｽﾀ!$B$8:$B$124,0))&amp;"")</f>
        <v/>
      </c>
      <c r="V138" s="257"/>
      <c r="W138" s="602" t="str">
        <f>IF($X138="","",INDEX(ﾏｽﾀ!$T$8:$T$16,MATCH($X138,ﾏｽﾀ!$U$8:$U$16,0))&amp;"")</f>
        <v/>
      </c>
      <c r="X138" s="248"/>
      <c r="Y138" s="260"/>
      <c r="Z138" s="260"/>
      <c r="AA138" s="256"/>
      <c r="AB138" s="492" t="str">
        <f>IF($W138="","",IF($AA138="","ERR",IF($AA138="1",IF($AE138="","ERR",VLOOKUP($AA138,ﾏｽﾀ!$W$8:$X$10,ﾏｽﾀ!$X$4,0)),IF($AA138="2",IF($AG138="","ERR",VLOOKUP($AA138,ﾏｽﾀ!$W$8:$X$10,ﾏｽﾀ!$X$4,0)),IF($AA138="3",IF($AI138="","ERR",VLOOKUP($AA138,ﾏｽﾀ!$W$8:$X$10,ﾏｽﾀ!$X$4,0)),"ERR")))))</f>
        <v/>
      </c>
      <c r="AC138" s="261"/>
      <c r="AD138" s="321" t="str">
        <f>IF($AA138="1",COUNTIF('納品書明細16-E'!$D$9:$D$206,$AN138)+COUNTIF('納品書明細F-15'!$D$9:$D$297,$AN138)-IF(ISNA(MATCH(CONCATENATE(VLOOKUP($AC138,$AB$1:$AC$4,2,FALSE),$S138,IF($U138="","00",$U138),$W138,2),$F$11:$F$160,0)),0,SUMIF($F$11:$F$160,CONCATENATE(VLOOKUP($AC138,$AB$1:$AC$4,2,FALSE),$S138,IF($U138="","00",$U138),$W138,2),$AF$11:$AF$160)),"")</f>
        <v/>
      </c>
      <c r="AE138" s="319" t="str">
        <f>IF($AA138="1",SUMIF('納品書明細16-E'!$C$9:$C$206,$AO138,'納品書明細16-E'!$Q$9:$Q$206)+SUMIF('納品書明細F-15'!$C$9:$C$297,$AO138,'納品書明細F-15'!$Q$9:$Q$297)-IF(ISNA(MATCH(CONCATENATE(VLOOKUP($AC138,$AB$1:$AC$4,2,FALSE),$S138,IF($U138="","00",$U138),$W138,2),$F$11:$F$160,0)),0,SUMIF($F$11:$F$160,CONCATENATE(VLOOKUP($AC138,$AB$1:$AC$4,2,FALSE),$S138,IF($U138="","00",$U138),$W138,2),$AG$11:$AG$160)),"")</f>
        <v/>
      </c>
      <c r="AF138" s="324"/>
      <c r="AG138" s="327"/>
      <c r="AH138" s="57"/>
      <c r="AI138" s="319" t="str">
        <f>IF($AH138="","",IF(ISNA(MATCH($AH138,'納品書明細16-E'!$H$9:$H$206,0)),IF(ISNA(MATCH($AH138,'納品書明細F-15'!$H$9:$H$297,0)),"ERR",SUMIF('納品書明細F-15'!$H$9:$H$297,$AH138,'納品書明細F-15'!$Q$9:$Q$297)),SUMIF('納品書明細16-E'!$H$9:$H$206,$AH138,'納品書明細16-E'!$Q$9:$Q$206)))</f>
        <v/>
      </c>
      <c r="AK138" s="328" t="str">
        <f t="shared" si="45"/>
        <v/>
      </c>
      <c r="AL138" s="269" t="str">
        <f t="shared" si="46"/>
        <v/>
      </c>
      <c r="AM138" s="270" t="str">
        <f t="shared" si="47"/>
        <v/>
      </c>
      <c r="AN138" s="244" t="str">
        <f t="shared" si="48"/>
        <v/>
      </c>
      <c r="AO138" s="244" t="str">
        <f t="shared" si="49"/>
        <v/>
      </c>
      <c r="AP138" s="271" t="str">
        <f t="shared" si="40"/>
        <v/>
      </c>
      <c r="AQ138" s="265"/>
      <c r="AR138" s="263"/>
      <c r="AS138" s="84"/>
      <c r="AT138" s="86"/>
      <c r="AU138" s="87"/>
    </row>
    <row r="139" spans="1:47" ht="15" customHeight="1">
      <c r="A139" s="281" t="str">
        <f t="shared" si="39"/>
        <v/>
      </c>
      <c r="B139" s="282" t="str">
        <f t="shared" si="35"/>
        <v/>
      </c>
      <c r="C139" s="618" t="str">
        <f>IF(AND($S139="",$U139="",$W139="",$AA139="",$AE139="",$AG139="",$AI139=""),"",MAX($C$10:$C138)+1)</f>
        <v/>
      </c>
      <c r="D139" s="619" t="str">
        <f t="shared" ref="D139:D160" si="51">IF($C139="","",CONCATENATE(VLOOKUP($AC139,$AB$1:$AC$4,2,FALSE),$S139,IF($U139="","00",$U139)))</f>
        <v/>
      </c>
      <c r="E139" s="619" t="str">
        <f t="shared" ref="E139:E160" si="52">IF($C139="","",ABS(CONCATENATE(VLOOKUP($AC139,$AB$1:$AC$4,2,FALSE),$S139,IF($U139="","00",$U139),MID($I139,FIND("B",$I139)+1,5))))</f>
        <v/>
      </c>
      <c r="F139" s="619" t="str">
        <f t="shared" ref="F139:F160" si="53">IF($S139="","",CONCATENATE(VLOOKUP($AC139,$AB$1:$AC$4,2,FALSE),$S139,IF($U139="","00",$U139),$W139,$AA139))</f>
        <v/>
      </c>
      <c r="G139" s="619" t="str">
        <f t="shared" ref="G139:G160" si="54">IF($S139="","",CONCATENATE(VLOOKUP($AC139,$AB$1:$AC$4,2,FALSE),$S139,IF($U139="","00",$U139),$AA139))</f>
        <v/>
      </c>
      <c r="H139" s="620" t="str">
        <f t="shared" si="50"/>
        <v/>
      </c>
      <c r="I139" s="316" t="s">
        <v>348</v>
      </c>
      <c r="J139" s="254"/>
      <c r="K139" s="50" t="str">
        <f>IF($W139="","",IF($W139=1,IF(VLOOKUP($S139,ﾏｽﾀ!$E$8:$K$124,ﾏｽﾀ!$J$4-ﾏｽﾀ!$D$4,0)="E",DAY($J$4),ABS(VLOOKUP($S139,ﾏｽﾀ!$E$8:$K$124,ﾏｽﾀ!$J$4-ﾏｽﾀ!$D$4,0))),IF(VLOOKUP($S139,ﾏｽﾀ!$E$8:$K$124,ﾏｽﾀ!$K$4-ﾏｽﾀ!$D$4,0)="E",DAY($J$4),ABS(VLOOKUP($S139,ﾏｽﾀ!$E$8:$K$124,ﾏｽﾀ!$K$4-ﾏｽﾀ!$D$4,0)))))</f>
        <v/>
      </c>
      <c r="L139" s="255"/>
      <c r="M139" s="255"/>
      <c r="N139" s="255"/>
      <c r="O139" s="50" t="str">
        <f>IF($S139="","",IF($M139="",IF($J139="","ERR",IF(VLOOKUP($S139,ﾏｽﾀ!$E$8:$K$124,ﾏｽﾀ!$J$4-ﾏｽﾀ!$D$4,0)="E",MONTH($J139),IF(MONTH($J139)-1=0,12,MONTH($J139)-1))),MONTH($M139)))</f>
        <v/>
      </c>
      <c r="P139" s="50" t="str">
        <f>IF($S139="","",IF($M139="",IF($K139="","ERR",IF(VLOOKUP($S139,ﾏｽﾀ!$E$8:$K$124,ﾏｽﾀ!$J$4-ﾏｽﾀ!$D$4,0)="E",1,$K139+1)),DAY($M139)))</f>
        <v/>
      </c>
      <c r="Q139" s="50" t="str">
        <f t="shared" si="37"/>
        <v/>
      </c>
      <c r="R139" s="50" t="str">
        <f t="shared" si="38"/>
        <v/>
      </c>
      <c r="S139" s="601" t="str">
        <f>IF($T139="","",INDEX(ﾏｽﾀ!$E$8:$E$124,MATCH(INDEX(ﾏｽﾀ!$N$8:$N$124,MATCH($T139,ﾏｽﾀ!$O$8:$O$124,0)),ﾏｽﾀ!$B$8:$B$124,0))&amp;"")</f>
        <v/>
      </c>
      <c r="T139" s="535"/>
      <c r="U139" s="601" t="str">
        <f>IF($T139="","",INDEX(ﾏｽﾀ!$G$8:$G$124,MATCH(INDEX(ﾏｽﾀ!$N$8:$N$124,MATCH($T139,ﾏｽﾀ!$O$8:$O$124,0)),ﾏｽﾀ!$B$8:$B$124,0))&amp;"")</f>
        <v/>
      </c>
      <c r="V139" s="257"/>
      <c r="W139" s="602" t="str">
        <f>IF($X139="","",INDEX(ﾏｽﾀ!$T$8:$T$16,MATCH($X139,ﾏｽﾀ!$U$8:$U$16,0))&amp;"")</f>
        <v/>
      </c>
      <c r="X139" s="248"/>
      <c r="Y139" s="260"/>
      <c r="Z139" s="260"/>
      <c r="AA139" s="256"/>
      <c r="AB139" s="492" t="str">
        <f>IF($W139="","",IF($AA139="","ERR",IF($AA139="1",IF($AE139="","ERR",VLOOKUP($AA139,ﾏｽﾀ!$W$8:$X$10,ﾏｽﾀ!$X$4,0)),IF($AA139="2",IF($AG139="","ERR",VLOOKUP($AA139,ﾏｽﾀ!$W$8:$X$10,ﾏｽﾀ!$X$4,0)),IF($AA139="3",IF($AI139="","ERR",VLOOKUP($AA139,ﾏｽﾀ!$W$8:$X$10,ﾏｽﾀ!$X$4,0)),"ERR")))))</f>
        <v/>
      </c>
      <c r="AC139" s="261"/>
      <c r="AD139" s="321" t="str">
        <f>IF($AA139="1",COUNTIF('納品書明細16-E'!$D$9:$D$206,$AN139)+COUNTIF('納品書明細F-15'!$D$9:$D$297,$AN139)-IF(ISNA(MATCH(CONCATENATE(VLOOKUP($AC139,$AB$1:$AC$4,2,FALSE),$S139,IF($U139="","00",$U139),$W139,2),$F$11:$F$160,0)),0,SUMIF($F$11:$F$160,CONCATENATE(VLOOKUP($AC139,$AB$1:$AC$4,2,FALSE),$S139,IF($U139="","00",$U139),$W139,2),$AF$11:$AF$160)),"")</f>
        <v/>
      </c>
      <c r="AE139" s="319" t="str">
        <f>IF($AA139="1",SUMIF('納品書明細16-E'!$C$9:$C$206,$AO139,'納品書明細16-E'!$Q$9:$Q$206)+SUMIF('納品書明細F-15'!$C$9:$C$297,$AO139,'納品書明細F-15'!$Q$9:$Q$297)-IF(ISNA(MATCH(CONCATENATE(VLOOKUP($AC139,$AB$1:$AC$4,2,FALSE),$S139,IF($U139="","00",$U139),$W139,2),$F$11:$F$160,0)),0,SUMIF($F$11:$F$160,CONCATENATE(VLOOKUP($AC139,$AB$1:$AC$4,2,FALSE),$S139,IF($U139="","00",$U139),$W139,2),$AG$11:$AG$160)),"")</f>
        <v/>
      </c>
      <c r="AF139" s="324"/>
      <c r="AG139" s="327"/>
      <c r="AH139" s="57"/>
      <c r="AI139" s="319" t="str">
        <f>IF($AH139="","",IF(ISNA(MATCH($AH139,'納品書明細16-E'!$H$9:$H$206,0)),IF(ISNA(MATCH($AH139,'納品書明細F-15'!$H$9:$H$297,0)),"ERR",SUMIF('納品書明細F-15'!$H$9:$H$297,$AH139,'納品書明細F-15'!$Q$9:$Q$297)),SUMIF('納品書明細16-E'!$H$9:$H$206,$AH139,'納品書明細16-E'!$Q$9:$Q$206)))</f>
        <v/>
      </c>
      <c r="AK139" s="328" t="str">
        <f t="shared" ref="AK139:AK160" si="55">IF($AH139="","",$I139)</f>
        <v/>
      </c>
      <c r="AL139" s="269" t="str">
        <f t="shared" ref="AL139:AL160" si="56">IF($AH139="","",$J139)</f>
        <v/>
      </c>
      <c r="AM139" s="270" t="str">
        <f t="shared" ref="AM139:AM160" si="57">IF($AH139="","",IF($L139="",$K139,$L139))</f>
        <v/>
      </c>
      <c r="AN139" s="244" t="str">
        <f t="shared" ref="AN139:AN160" si="58">IF($AC139="","",CONCATENATE(VLOOKUP($AC139,$AB$1:$AC$4,2,FALSE),$S139,IF($U139="","00",$U139),"1","1",$W139))</f>
        <v/>
      </c>
      <c r="AO139" s="244" t="str">
        <f t="shared" ref="AO139:AO160" si="59">IF($AC139="","",CONCATENATE(VLOOKUP($AC139,$AB$1:$AC$4,2,FALSE),$S139,IF($U139="","00",$U139),"1",$W139))</f>
        <v/>
      </c>
      <c r="AP139" s="271" t="str">
        <f t="shared" si="40"/>
        <v/>
      </c>
      <c r="AQ139" s="265"/>
      <c r="AR139" s="263"/>
      <c r="AS139" s="84"/>
      <c r="AT139" s="86"/>
      <c r="AU139" s="87"/>
    </row>
    <row r="140" spans="1:47" ht="15" customHeight="1">
      <c r="A140" s="281" t="str">
        <f t="shared" si="39"/>
        <v/>
      </c>
      <c r="B140" s="282" t="str">
        <f t="shared" ref="B140:B160" si="60">IF($S140="","",1)</f>
        <v/>
      </c>
      <c r="C140" s="618" t="str">
        <f>IF(AND($S140="",$U140="",$W140="",$AA140="",$AE140="",$AG140="",$AI140=""),"",MAX($C$10:$C139)+1)</f>
        <v/>
      </c>
      <c r="D140" s="619" t="str">
        <f t="shared" si="51"/>
        <v/>
      </c>
      <c r="E140" s="619" t="str">
        <f t="shared" si="52"/>
        <v/>
      </c>
      <c r="F140" s="619" t="str">
        <f t="shared" si="53"/>
        <v/>
      </c>
      <c r="G140" s="619" t="str">
        <f t="shared" si="54"/>
        <v/>
      </c>
      <c r="H140" s="620" t="str">
        <f t="shared" si="50"/>
        <v/>
      </c>
      <c r="I140" s="316" t="s">
        <v>349</v>
      </c>
      <c r="J140" s="254"/>
      <c r="K140" s="50" t="str">
        <f>IF($W140="","",IF($W140=1,IF(VLOOKUP($S140,ﾏｽﾀ!$E$8:$K$124,ﾏｽﾀ!$J$4-ﾏｽﾀ!$D$4,0)="E",DAY($J$4),ABS(VLOOKUP($S140,ﾏｽﾀ!$E$8:$K$124,ﾏｽﾀ!$J$4-ﾏｽﾀ!$D$4,0))),IF(VLOOKUP($S140,ﾏｽﾀ!$E$8:$K$124,ﾏｽﾀ!$K$4-ﾏｽﾀ!$D$4,0)="E",DAY($J$4),ABS(VLOOKUP($S140,ﾏｽﾀ!$E$8:$K$124,ﾏｽﾀ!$K$4-ﾏｽﾀ!$D$4,0)))))</f>
        <v/>
      </c>
      <c r="L140" s="255"/>
      <c r="M140" s="255"/>
      <c r="N140" s="255"/>
      <c r="O140" s="50" t="str">
        <f>IF($S140="","",IF($M140="",IF($J140="","ERR",IF(VLOOKUP($S140,ﾏｽﾀ!$E$8:$K$124,ﾏｽﾀ!$J$4-ﾏｽﾀ!$D$4,0)="E",MONTH($J140),IF(MONTH($J140)-1=0,12,MONTH($J140)-1))),MONTH($M140)))</f>
        <v/>
      </c>
      <c r="P140" s="50" t="str">
        <f>IF($S140="","",IF($M140="",IF($K140="","ERR",IF(VLOOKUP($S140,ﾏｽﾀ!$E$8:$K$124,ﾏｽﾀ!$J$4-ﾏｽﾀ!$D$4,0)="E",1,$K140+1)),DAY($M140)))</f>
        <v/>
      </c>
      <c r="Q140" s="50" t="str">
        <f t="shared" ref="Q140:Q160" si="61">IF($S140="","",IF($N140="",IF($J140="","ERR",MONTH($J140)),MONTH($N140)))</f>
        <v/>
      </c>
      <c r="R140" s="50" t="str">
        <f t="shared" ref="R140:R160" si="62">IF($S140="","",IF($N140="",IF($K140="","ERR",$K140),DAY($N140)))</f>
        <v/>
      </c>
      <c r="S140" s="601" t="str">
        <f>IF($T140="","",INDEX(ﾏｽﾀ!$E$8:$E$124,MATCH(INDEX(ﾏｽﾀ!$N$8:$N$124,MATCH($T140,ﾏｽﾀ!$O$8:$O$124,0)),ﾏｽﾀ!$B$8:$B$124,0))&amp;"")</f>
        <v/>
      </c>
      <c r="T140" s="535"/>
      <c r="U140" s="601" t="str">
        <f>IF($T140="","",INDEX(ﾏｽﾀ!$G$8:$G$124,MATCH(INDEX(ﾏｽﾀ!$N$8:$N$124,MATCH($T140,ﾏｽﾀ!$O$8:$O$124,0)),ﾏｽﾀ!$B$8:$B$124,0))&amp;"")</f>
        <v/>
      </c>
      <c r="V140" s="257"/>
      <c r="W140" s="602" t="str">
        <f>IF($X140="","",INDEX(ﾏｽﾀ!$T$8:$T$16,MATCH($X140,ﾏｽﾀ!$U$8:$U$16,0))&amp;"")</f>
        <v/>
      </c>
      <c r="X140" s="248"/>
      <c r="Y140" s="260"/>
      <c r="Z140" s="260"/>
      <c r="AA140" s="256"/>
      <c r="AB140" s="492" t="str">
        <f>IF($W140="","",IF($AA140="","ERR",IF($AA140="1",IF($AE140="","ERR",VLOOKUP($AA140,ﾏｽﾀ!$W$8:$X$10,ﾏｽﾀ!$X$4,0)),IF($AA140="2",IF($AG140="","ERR",VLOOKUP($AA140,ﾏｽﾀ!$W$8:$X$10,ﾏｽﾀ!$X$4,0)),IF($AA140="3",IF($AI140="","ERR",VLOOKUP($AA140,ﾏｽﾀ!$W$8:$X$10,ﾏｽﾀ!$X$4,0)),"ERR")))))</f>
        <v/>
      </c>
      <c r="AC140" s="261"/>
      <c r="AD140" s="321" t="str">
        <f>IF($AA140="1",COUNTIF('納品書明細16-E'!$D$9:$D$206,$AN140)+COUNTIF('納品書明細F-15'!$D$9:$D$297,$AN140)-IF(ISNA(MATCH(CONCATENATE(VLOOKUP($AC140,$AB$1:$AC$4,2,FALSE),$S140,IF($U140="","00",$U140),$W140,2),$F$11:$F$160,0)),0,SUMIF($F$11:$F$160,CONCATENATE(VLOOKUP($AC140,$AB$1:$AC$4,2,FALSE),$S140,IF($U140="","00",$U140),$W140,2),$AF$11:$AF$160)),"")</f>
        <v/>
      </c>
      <c r="AE140" s="319" t="str">
        <f>IF($AA140="1",SUMIF('納品書明細16-E'!$C$9:$C$206,$AO140,'納品書明細16-E'!$Q$9:$Q$206)+SUMIF('納品書明細F-15'!$C$9:$C$297,$AO140,'納品書明細F-15'!$Q$9:$Q$297)-IF(ISNA(MATCH(CONCATENATE(VLOOKUP($AC140,$AB$1:$AC$4,2,FALSE),$S140,IF($U140="","00",$U140),$W140,2),$F$11:$F$160,0)),0,SUMIF($F$11:$F$160,CONCATENATE(VLOOKUP($AC140,$AB$1:$AC$4,2,FALSE),$S140,IF($U140="","00",$U140),$W140,2),$AG$11:$AG$160)),"")</f>
        <v/>
      </c>
      <c r="AF140" s="324"/>
      <c r="AG140" s="327"/>
      <c r="AH140" s="57"/>
      <c r="AI140" s="319" t="str">
        <f>IF($AH140="","",IF(ISNA(MATCH($AH140,'納品書明細16-E'!$H$9:$H$206,0)),IF(ISNA(MATCH($AH140,'納品書明細F-15'!$H$9:$H$297,0)),"ERR",SUMIF('納品書明細F-15'!$H$9:$H$297,$AH140,'納品書明細F-15'!$Q$9:$Q$297)),SUMIF('納品書明細16-E'!$H$9:$H$206,$AH140,'納品書明細16-E'!$Q$9:$Q$206)))</f>
        <v/>
      </c>
      <c r="AK140" s="328" t="str">
        <f t="shared" si="55"/>
        <v/>
      </c>
      <c r="AL140" s="269" t="str">
        <f t="shared" si="56"/>
        <v/>
      </c>
      <c r="AM140" s="270" t="str">
        <f t="shared" si="57"/>
        <v/>
      </c>
      <c r="AN140" s="244" t="str">
        <f t="shared" si="58"/>
        <v/>
      </c>
      <c r="AO140" s="244" t="str">
        <f t="shared" si="59"/>
        <v/>
      </c>
      <c r="AP140" s="271" t="str">
        <f t="shared" si="40"/>
        <v/>
      </c>
      <c r="AQ140" s="265"/>
      <c r="AR140" s="263"/>
      <c r="AS140" s="84"/>
      <c r="AT140" s="86"/>
      <c r="AU140" s="87"/>
    </row>
    <row r="141" spans="1:47" ht="15" customHeight="1">
      <c r="A141" s="281" t="str">
        <f t="shared" si="39"/>
        <v/>
      </c>
      <c r="B141" s="282" t="str">
        <f t="shared" si="60"/>
        <v/>
      </c>
      <c r="C141" s="618" t="str">
        <f>IF(AND($S141="",$U141="",$W141="",$AA141="",$AE141="",$AG141="",$AI141=""),"",MAX($C$10:$C140)+1)</f>
        <v/>
      </c>
      <c r="D141" s="619" t="str">
        <f t="shared" si="51"/>
        <v/>
      </c>
      <c r="E141" s="619" t="str">
        <f t="shared" si="52"/>
        <v/>
      </c>
      <c r="F141" s="619" t="str">
        <f t="shared" si="53"/>
        <v/>
      </c>
      <c r="G141" s="619" t="str">
        <f t="shared" si="54"/>
        <v/>
      </c>
      <c r="H141" s="620" t="str">
        <f t="shared" ref="H141:H160" si="63">CONCATENATE($S141,$U141)</f>
        <v/>
      </c>
      <c r="I141" s="316" t="s">
        <v>350</v>
      </c>
      <c r="J141" s="254"/>
      <c r="K141" s="50" t="str">
        <f>IF($W141="","",IF($W141=1,IF(VLOOKUP($S141,ﾏｽﾀ!$E$8:$K$124,ﾏｽﾀ!$J$4-ﾏｽﾀ!$D$4,0)="E",DAY($J$4),ABS(VLOOKUP($S141,ﾏｽﾀ!$E$8:$K$124,ﾏｽﾀ!$J$4-ﾏｽﾀ!$D$4,0))),IF(VLOOKUP($S141,ﾏｽﾀ!$E$8:$K$124,ﾏｽﾀ!$K$4-ﾏｽﾀ!$D$4,0)="E",DAY($J$4),ABS(VLOOKUP($S141,ﾏｽﾀ!$E$8:$K$124,ﾏｽﾀ!$K$4-ﾏｽﾀ!$D$4,0)))))</f>
        <v/>
      </c>
      <c r="L141" s="255"/>
      <c r="M141" s="255"/>
      <c r="N141" s="255"/>
      <c r="O141" s="50" t="str">
        <f>IF($S141="","",IF($M141="",IF($J141="","ERR",IF(VLOOKUP($S141,ﾏｽﾀ!$E$8:$K$124,ﾏｽﾀ!$J$4-ﾏｽﾀ!$D$4,0)="E",MONTH($J141),IF(MONTH($J141)-1=0,12,MONTH($J141)-1))),MONTH($M141)))</f>
        <v/>
      </c>
      <c r="P141" s="50" t="str">
        <f>IF($S141="","",IF($M141="",IF($K141="","ERR",IF(VLOOKUP($S141,ﾏｽﾀ!$E$8:$K$124,ﾏｽﾀ!$J$4-ﾏｽﾀ!$D$4,0)="E",1,$K141+1)),DAY($M141)))</f>
        <v/>
      </c>
      <c r="Q141" s="50" t="str">
        <f t="shared" si="61"/>
        <v/>
      </c>
      <c r="R141" s="50" t="str">
        <f t="shared" si="62"/>
        <v/>
      </c>
      <c r="S141" s="601" t="str">
        <f>IF($T141="","",INDEX(ﾏｽﾀ!$E$8:$E$124,MATCH(INDEX(ﾏｽﾀ!$N$8:$N$124,MATCH($T141,ﾏｽﾀ!$O$8:$O$124,0)),ﾏｽﾀ!$B$8:$B$124,0))&amp;"")</f>
        <v/>
      </c>
      <c r="T141" s="535"/>
      <c r="U141" s="601" t="str">
        <f>IF($T141="","",INDEX(ﾏｽﾀ!$G$8:$G$124,MATCH(INDEX(ﾏｽﾀ!$N$8:$N$124,MATCH($T141,ﾏｽﾀ!$O$8:$O$124,0)),ﾏｽﾀ!$B$8:$B$124,0))&amp;"")</f>
        <v/>
      </c>
      <c r="V141" s="257"/>
      <c r="W141" s="602" t="str">
        <f>IF($X141="","",INDEX(ﾏｽﾀ!$T$8:$T$16,MATCH($X141,ﾏｽﾀ!$U$8:$U$16,0))&amp;"")</f>
        <v/>
      </c>
      <c r="X141" s="248"/>
      <c r="Y141" s="260"/>
      <c r="Z141" s="260"/>
      <c r="AA141" s="256"/>
      <c r="AB141" s="492" t="str">
        <f>IF($W141="","",IF($AA141="","ERR",IF($AA141="1",IF($AE141="","ERR",VLOOKUP($AA141,ﾏｽﾀ!$W$8:$X$10,ﾏｽﾀ!$X$4,0)),IF($AA141="2",IF($AG141="","ERR",VLOOKUP($AA141,ﾏｽﾀ!$W$8:$X$10,ﾏｽﾀ!$X$4,0)),IF($AA141="3",IF($AI141="","ERR",VLOOKUP($AA141,ﾏｽﾀ!$W$8:$X$10,ﾏｽﾀ!$X$4,0)),"ERR")))))</f>
        <v/>
      </c>
      <c r="AC141" s="261"/>
      <c r="AD141" s="321" t="str">
        <f>IF($AA141="1",COUNTIF('納品書明細16-E'!$D$9:$D$206,$AN141)+COUNTIF('納品書明細F-15'!$D$9:$D$297,$AN141)-IF(ISNA(MATCH(CONCATENATE(VLOOKUP($AC141,$AB$1:$AC$4,2,FALSE),$S141,IF($U141="","00",$U141),$W141,2),$F$11:$F$160,0)),0,SUMIF($F$11:$F$160,CONCATENATE(VLOOKUP($AC141,$AB$1:$AC$4,2,FALSE),$S141,IF($U141="","00",$U141),$W141,2),$AF$11:$AF$160)),"")</f>
        <v/>
      </c>
      <c r="AE141" s="319" t="str">
        <f>IF($AA141="1",SUMIF('納品書明細16-E'!$C$9:$C$206,$AO141,'納品書明細16-E'!$Q$9:$Q$206)+SUMIF('納品書明細F-15'!$C$9:$C$297,$AO141,'納品書明細F-15'!$Q$9:$Q$297)-IF(ISNA(MATCH(CONCATENATE(VLOOKUP($AC141,$AB$1:$AC$4,2,FALSE),$S141,IF($U141="","00",$U141),$W141,2),$F$11:$F$160,0)),0,SUMIF($F$11:$F$160,CONCATENATE(VLOOKUP($AC141,$AB$1:$AC$4,2,FALSE),$S141,IF($U141="","00",$U141),$W141,2),$AG$11:$AG$160)),"")</f>
        <v/>
      </c>
      <c r="AF141" s="324"/>
      <c r="AG141" s="327"/>
      <c r="AH141" s="57"/>
      <c r="AI141" s="319" t="str">
        <f>IF($AH141="","",IF(ISNA(MATCH($AH141,'納品書明細16-E'!$H$9:$H$206,0)),IF(ISNA(MATCH($AH141,'納品書明細F-15'!$H$9:$H$297,0)),"ERR",SUMIF('納品書明細F-15'!$H$9:$H$297,$AH141,'納品書明細F-15'!$Q$9:$Q$297)),SUMIF('納品書明細16-E'!$H$9:$H$206,$AH141,'納品書明細16-E'!$Q$9:$Q$206)))</f>
        <v/>
      </c>
      <c r="AK141" s="328" t="str">
        <f t="shared" si="55"/>
        <v/>
      </c>
      <c r="AL141" s="269" t="str">
        <f t="shared" si="56"/>
        <v/>
      </c>
      <c r="AM141" s="270" t="str">
        <f t="shared" si="57"/>
        <v/>
      </c>
      <c r="AN141" s="244" t="str">
        <f t="shared" si="58"/>
        <v/>
      </c>
      <c r="AO141" s="244" t="str">
        <f t="shared" si="59"/>
        <v/>
      </c>
      <c r="AP141" s="271" t="str">
        <f t="shared" si="40"/>
        <v/>
      </c>
      <c r="AQ141" s="265"/>
      <c r="AR141" s="263"/>
      <c r="AS141" s="84"/>
      <c r="AT141" s="86"/>
      <c r="AU141" s="87"/>
    </row>
    <row r="142" spans="1:47" ht="15" customHeight="1">
      <c r="A142" s="281" t="str">
        <f t="shared" si="39"/>
        <v/>
      </c>
      <c r="B142" s="282" t="str">
        <f t="shared" si="60"/>
        <v/>
      </c>
      <c r="C142" s="618" t="str">
        <f>IF(AND($S142="",$U142="",$W142="",$AA142="",$AE142="",$AG142="",$AI142=""),"",MAX($C$10:$C141)+1)</f>
        <v/>
      </c>
      <c r="D142" s="619" t="str">
        <f t="shared" si="51"/>
        <v/>
      </c>
      <c r="E142" s="619" t="str">
        <f t="shared" si="52"/>
        <v/>
      </c>
      <c r="F142" s="619" t="str">
        <f t="shared" si="53"/>
        <v/>
      </c>
      <c r="G142" s="619" t="str">
        <f t="shared" si="54"/>
        <v/>
      </c>
      <c r="H142" s="620" t="str">
        <f t="shared" si="63"/>
        <v/>
      </c>
      <c r="I142" s="316" t="s">
        <v>351</v>
      </c>
      <c r="J142" s="254"/>
      <c r="K142" s="50" t="str">
        <f>IF($W142="","",IF($W142=1,IF(VLOOKUP($S142,ﾏｽﾀ!$E$8:$K$124,ﾏｽﾀ!$J$4-ﾏｽﾀ!$D$4,0)="E",DAY($J$4),ABS(VLOOKUP($S142,ﾏｽﾀ!$E$8:$K$124,ﾏｽﾀ!$J$4-ﾏｽﾀ!$D$4,0))),IF(VLOOKUP($S142,ﾏｽﾀ!$E$8:$K$124,ﾏｽﾀ!$K$4-ﾏｽﾀ!$D$4,0)="E",DAY($J$4),ABS(VLOOKUP($S142,ﾏｽﾀ!$E$8:$K$124,ﾏｽﾀ!$K$4-ﾏｽﾀ!$D$4,0)))))</f>
        <v/>
      </c>
      <c r="L142" s="255"/>
      <c r="M142" s="255"/>
      <c r="N142" s="255"/>
      <c r="O142" s="50" t="str">
        <f>IF($S142="","",IF($M142="",IF($J142="","ERR",IF(VLOOKUP($S142,ﾏｽﾀ!$E$8:$K$124,ﾏｽﾀ!$J$4-ﾏｽﾀ!$D$4,0)="E",MONTH($J142),IF(MONTH($J142)-1=0,12,MONTH($J142)-1))),MONTH($M142)))</f>
        <v/>
      </c>
      <c r="P142" s="50" t="str">
        <f>IF($S142="","",IF($M142="",IF($K142="","ERR",IF(VLOOKUP($S142,ﾏｽﾀ!$E$8:$K$124,ﾏｽﾀ!$J$4-ﾏｽﾀ!$D$4,0)="E",1,$K142+1)),DAY($M142)))</f>
        <v/>
      </c>
      <c r="Q142" s="50" t="str">
        <f t="shared" si="61"/>
        <v/>
      </c>
      <c r="R142" s="50" t="str">
        <f t="shared" si="62"/>
        <v/>
      </c>
      <c r="S142" s="601" t="str">
        <f>IF($T142="","",INDEX(ﾏｽﾀ!$E$8:$E$124,MATCH(INDEX(ﾏｽﾀ!$N$8:$N$124,MATCH($T142,ﾏｽﾀ!$O$8:$O$124,0)),ﾏｽﾀ!$B$8:$B$124,0))&amp;"")</f>
        <v/>
      </c>
      <c r="T142" s="535"/>
      <c r="U142" s="601" t="str">
        <f>IF($T142="","",INDEX(ﾏｽﾀ!$G$8:$G$124,MATCH(INDEX(ﾏｽﾀ!$N$8:$N$124,MATCH($T142,ﾏｽﾀ!$O$8:$O$124,0)),ﾏｽﾀ!$B$8:$B$124,0))&amp;"")</f>
        <v/>
      </c>
      <c r="V142" s="257"/>
      <c r="W142" s="602" t="str">
        <f>IF($X142="","",INDEX(ﾏｽﾀ!$T$8:$T$16,MATCH($X142,ﾏｽﾀ!$U$8:$U$16,0))&amp;"")</f>
        <v/>
      </c>
      <c r="X142" s="248"/>
      <c r="Y142" s="260"/>
      <c r="Z142" s="260"/>
      <c r="AA142" s="256"/>
      <c r="AB142" s="492" t="str">
        <f>IF($W142="","",IF($AA142="","ERR",IF($AA142="1",IF($AE142="","ERR",VLOOKUP($AA142,ﾏｽﾀ!$W$8:$X$10,ﾏｽﾀ!$X$4,0)),IF($AA142="2",IF($AG142="","ERR",VLOOKUP($AA142,ﾏｽﾀ!$W$8:$X$10,ﾏｽﾀ!$X$4,0)),IF($AA142="3",IF($AI142="","ERR",VLOOKUP($AA142,ﾏｽﾀ!$W$8:$X$10,ﾏｽﾀ!$X$4,0)),"ERR")))))</f>
        <v/>
      </c>
      <c r="AC142" s="261"/>
      <c r="AD142" s="321" t="str">
        <f>IF($AA142="1",COUNTIF('納品書明細16-E'!$D$9:$D$206,$AN142)+COUNTIF('納品書明細F-15'!$D$9:$D$297,$AN142)-IF(ISNA(MATCH(CONCATENATE(VLOOKUP($AC142,$AB$1:$AC$4,2,FALSE),$S142,IF($U142="","00",$U142),$W142,2),$F$11:$F$160,0)),0,SUMIF($F$11:$F$160,CONCATENATE(VLOOKUP($AC142,$AB$1:$AC$4,2,FALSE),$S142,IF($U142="","00",$U142),$W142,2),$AF$11:$AF$160)),"")</f>
        <v/>
      </c>
      <c r="AE142" s="319" t="str">
        <f>IF($AA142="1",SUMIF('納品書明細16-E'!$C$9:$C$206,$AO142,'納品書明細16-E'!$Q$9:$Q$206)+SUMIF('納品書明細F-15'!$C$9:$C$297,$AO142,'納品書明細F-15'!$Q$9:$Q$297)-IF(ISNA(MATCH(CONCATENATE(VLOOKUP($AC142,$AB$1:$AC$4,2,FALSE),$S142,IF($U142="","00",$U142),$W142,2),$F$11:$F$160,0)),0,SUMIF($F$11:$F$160,CONCATENATE(VLOOKUP($AC142,$AB$1:$AC$4,2,FALSE),$S142,IF($U142="","00",$U142),$W142,2),$AG$11:$AG$160)),"")</f>
        <v/>
      </c>
      <c r="AF142" s="324"/>
      <c r="AG142" s="327"/>
      <c r="AH142" s="57"/>
      <c r="AI142" s="319" t="str">
        <f>IF($AH142="","",IF(ISNA(MATCH($AH142,'納品書明細16-E'!$H$9:$H$206,0)),IF(ISNA(MATCH($AH142,'納品書明細F-15'!$H$9:$H$297,0)),"ERR",SUMIF('納品書明細F-15'!$H$9:$H$297,$AH142,'納品書明細F-15'!$Q$9:$Q$297)),SUMIF('納品書明細16-E'!$H$9:$H$206,$AH142,'納品書明細16-E'!$Q$9:$Q$206)))</f>
        <v/>
      </c>
      <c r="AK142" s="328" t="str">
        <f t="shared" si="55"/>
        <v/>
      </c>
      <c r="AL142" s="269" t="str">
        <f t="shared" si="56"/>
        <v/>
      </c>
      <c r="AM142" s="270" t="str">
        <f t="shared" si="57"/>
        <v/>
      </c>
      <c r="AN142" s="244" t="str">
        <f t="shared" si="58"/>
        <v/>
      </c>
      <c r="AO142" s="244" t="str">
        <f t="shared" si="59"/>
        <v/>
      </c>
      <c r="AP142" s="271" t="str">
        <f t="shared" si="40"/>
        <v/>
      </c>
      <c r="AQ142" s="265"/>
      <c r="AR142" s="263"/>
      <c r="AS142" s="84"/>
      <c r="AT142" s="86"/>
      <c r="AU142" s="87"/>
    </row>
    <row r="143" spans="1:47" ht="15" customHeight="1">
      <c r="A143" s="281" t="str">
        <f t="shared" si="39"/>
        <v/>
      </c>
      <c r="B143" s="282" t="str">
        <f t="shared" si="60"/>
        <v/>
      </c>
      <c r="C143" s="618" t="str">
        <f>IF(AND($S143="",$U143="",$W143="",$AA143="",$AE143="",$AG143="",$AI143=""),"",MAX($C$10:$C142)+1)</f>
        <v/>
      </c>
      <c r="D143" s="619" t="str">
        <f t="shared" si="51"/>
        <v/>
      </c>
      <c r="E143" s="619" t="str">
        <f t="shared" si="52"/>
        <v/>
      </c>
      <c r="F143" s="619" t="str">
        <f t="shared" si="53"/>
        <v/>
      </c>
      <c r="G143" s="619" t="str">
        <f t="shared" si="54"/>
        <v/>
      </c>
      <c r="H143" s="620" t="str">
        <f t="shared" si="63"/>
        <v/>
      </c>
      <c r="I143" s="316" t="s">
        <v>352</v>
      </c>
      <c r="J143" s="254"/>
      <c r="K143" s="50" t="str">
        <f>IF($W143="","",IF($W143=1,IF(VLOOKUP($S143,ﾏｽﾀ!$E$8:$K$124,ﾏｽﾀ!$J$4-ﾏｽﾀ!$D$4,0)="E",DAY($J$4),ABS(VLOOKUP($S143,ﾏｽﾀ!$E$8:$K$124,ﾏｽﾀ!$J$4-ﾏｽﾀ!$D$4,0))),IF(VLOOKUP($S143,ﾏｽﾀ!$E$8:$K$124,ﾏｽﾀ!$K$4-ﾏｽﾀ!$D$4,0)="E",DAY($J$4),ABS(VLOOKUP($S143,ﾏｽﾀ!$E$8:$K$124,ﾏｽﾀ!$K$4-ﾏｽﾀ!$D$4,0)))))</f>
        <v/>
      </c>
      <c r="L143" s="255"/>
      <c r="M143" s="255"/>
      <c r="N143" s="255"/>
      <c r="O143" s="50" t="str">
        <f>IF($S143="","",IF($M143="",IF($J143="","ERR",IF(VLOOKUP($S143,ﾏｽﾀ!$E$8:$K$124,ﾏｽﾀ!$J$4-ﾏｽﾀ!$D$4,0)="E",MONTH($J143),IF(MONTH($J143)-1=0,12,MONTH($J143)-1))),MONTH($M143)))</f>
        <v/>
      </c>
      <c r="P143" s="50" t="str">
        <f>IF($S143="","",IF($M143="",IF($K143="","ERR",IF(VLOOKUP($S143,ﾏｽﾀ!$E$8:$K$124,ﾏｽﾀ!$J$4-ﾏｽﾀ!$D$4,0)="E",1,$K143+1)),DAY($M143)))</f>
        <v/>
      </c>
      <c r="Q143" s="50" t="str">
        <f t="shared" si="61"/>
        <v/>
      </c>
      <c r="R143" s="50" t="str">
        <f t="shared" si="62"/>
        <v/>
      </c>
      <c r="S143" s="601" t="str">
        <f>IF($T143="","",INDEX(ﾏｽﾀ!$E$8:$E$124,MATCH(INDEX(ﾏｽﾀ!$N$8:$N$124,MATCH($T143,ﾏｽﾀ!$O$8:$O$124,0)),ﾏｽﾀ!$B$8:$B$124,0))&amp;"")</f>
        <v/>
      </c>
      <c r="T143" s="535"/>
      <c r="U143" s="601" t="str">
        <f>IF($T143="","",INDEX(ﾏｽﾀ!$G$8:$G$124,MATCH(INDEX(ﾏｽﾀ!$N$8:$N$124,MATCH($T143,ﾏｽﾀ!$O$8:$O$124,0)),ﾏｽﾀ!$B$8:$B$124,0))&amp;"")</f>
        <v/>
      </c>
      <c r="V143" s="257"/>
      <c r="W143" s="602" t="str">
        <f>IF($X143="","",INDEX(ﾏｽﾀ!$T$8:$T$16,MATCH($X143,ﾏｽﾀ!$U$8:$U$16,0))&amp;"")</f>
        <v/>
      </c>
      <c r="X143" s="248"/>
      <c r="Y143" s="260"/>
      <c r="Z143" s="260"/>
      <c r="AA143" s="256"/>
      <c r="AB143" s="492" t="str">
        <f>IF($W143="","",IF($AA143="","ERR",IF($AA143="1",IF($AE143="","ERR",VLOOKUP($AA143,ﾏｽﾀ!$W$8:$X$10,ﾏｽﾀ!$X$4,0)),IF($AA143="2",IF($AG143="","ERR",VLOOKUP($AA143,ﾏｽﾀ!$W$8:$X$10,ﾏｽﾀ!$X$4,0)),IF($AA143="3",IF($AI143="","ERR",VLOOKUP($AA143,ﾏｽﾀ!$W$8:$X$10,ﾏｽﾀ!$X$4,0)),"ERR")))))</f>
        <v/>
      </c>
      <c r="AC143" s="261"/>
      <c r="AD143" s="321" t="str">
        <f>IF($AA143="1",COUNTIF('納品書明細16-E'!$D$9:$D$206,$AN143)+COUNTIF('納品書明細F-15'!$D$9:$D$297,$AN143)-IF(ISNA(MATCH(CONCATENATE(VLOOKUP($AC143,$AB$1:$AC$4,2,FALSE),$S143,IF($U143="","00",$U143),$W143,2),$F$11:$F$160,0)),0,SUMIF($F$11:$F$160,CONCATENATE(VLOOKUP($AC143,$AB$1:$AC$4,2,FALSE),$S143,IF($U143="","00",$U143),$W143,2),$AF$11:$AF$160)),"")</f>
        <v/>
      </c>
      <c r="AE143" s="319" t="str">
        <f>IF($AA143="1",SUMIF('納品書明細16-E'!$C$9:$C$206,$AO143,'納品書明細16-E'!$Q$9:$Q$206)+SUMIF('納品書明細F-15'!$C$9:$C$297,$AO143,'納品書明細F-15'!$Q$9:$Q$297)-IF(ISNA(MATCH(CONCATENATE(VLOOKUP($AC143,$AB$1:$AC$4,2,FALSE),$S143,IF($U143="","00",$U143),$W143,2),$F$11:$F$160,0)),0,SUMIF($F$11:$F$160,CONCATENATE(VLOOKUP($AC143,$AB$1:$AC$4,2,FALSE),$S143,IF($U143="","00",$U143),$W143,2),$AG$11:$AG$160)),"")</f>
        <v/>
      </c>
      <c r="AF143" s="324"/>
      <c r="AG143" s="327"/>
      <c r="AH143" s="57"/>
      <c r="AI143" s="319" t="str">
        <f>IF($AH143="","",IF(ISNA(MATCH($AH143,'納品書明細16-E'!$H$9:$H$206,0)),IF(ISNA(MATCH($AH143,'納品書明細F-15'!$H$9:$H$297,0)),"ERR",SUMIF('納品書明細F-15'!$H$9:$H$297,$AH143,'納品書明細F-15'!$Q$9:$Q$297)),SUMIF('納品書明細16-E'!$H$9:$H$206,$AH143,'納品書明細16-E'!$Q$9:$Q$206)))</f>
        <v/>
      </c>
      <c r="AK143" s="328" t="str">
        <f t="shared" si="55"/>
        <v/>
      </c>
      <c r="AL143" s="269" t="str">
        <f t="shared" si="56"/>
        <v/>
      </c>
      <c r="AM143" s="270" t="str">
        <f t="shared" si="57"/>
        <v/>
      </c>
      <c r="AN143" s="244" t="str">
        <f t="shared" si="58"/>
        <v/>
      </c>
      <c r="AO143" s="244" t="str">
        <f t="shared" si="59"/>
        <v/>
      </c>
      <c r="AP143" s="271" t="str">
        <f t="shared" si="40"/>
        <v/>
      </c>
      <c r="AQ143" s="265"/>
      <c r="AR143" s="263"/>
      <c r="AS143" s="84"/>
      <c r="AT143" s="86"/>
      <c r="AU143" s="87"/>
    </row>
    <row r="144" spans="1:47" ht="15" customHeight="1">
      <c r="A144" s="281" t="str">
        <f t="shared" si="39"/>
        <v/>
      </c>
      <c r="B144" s="282" t="str">
        <f t="shared" si="60"/>
        <v/>
      </c>
      <c r="C144" s="618" t="str">
        <f>IF(AND($S144="",$U144="",$W144="",$AA144="",$AE144="",$AG144="",$AI144=""),"",MAX($C$10:$C143)+1)</f>
        <v/>
      </c>
      <c r="D144" s="619" t="str">
        <f t="shared" si="51"/>
        <v/>
      </c>
      <c r="E144" s="619" t="str">
        <f t="shared" si="52"/>
        <v/>
      </c>
      <c r="F144" s="619" t="str">
        <f t="shared" si="53"/>
        <v/>
      </c>
      <c r="G144" s="619" t="str">
        <f t="shared" si="54"/>
        <v/>
      </c>
      <c r="H144" s="620" t="str">
        <f t="shared" si="63"/>
        <v/>
      </c>
      <c r="I144" s="316" t="s">
        <v>353</v>
      </c>
      <c r="J144" s="254"/>
      <c r="K144" s="50" t="str">
        <f>IF($W144="","",IF($W144=1,IF(VLOOKUP($S144,ﾏｽﾀ!$E$8:$K$124,ﾏｽﾀ!$J$4-ﾏｽﾀ!$D$4,0)="E",DAY($J$4),ABS(VLOOKUP($S144,ﾏｽﾀ!$E$8:$K$124,ﾏｽﾀ!$J$4-ﾏｽﾀ!$D$4,0))),IF(VLOOKUP($S144,ﾏｽﾀ!$E$8:$K$124,ﾏｽﾀ!$K$4-ﾏｽﾀ!$D$4,0)="E",DAY($J$4),ABS(VLOOKUP($S144,ﾏｽﾀ!$E$8:$K$124,ﾏｽﾀ!$K$4-ﾏｽﾀ!$D$4,0)))))</f>
        <v/>
      </c>
      <c r="L144" s="255"/>
      <c r="M144" s="255"/>
      <c r="N144" s="255"/>
      <c r="O144" s="50" t="str">
        <f>IF($S144="","",IF($M144="",IF($J144="","ERR",IF(VLOOKUP($S144,ﾏｽﾀ!$E$8:$K$124,ﾏｽﾀ!$J$4-ﾏｽﾀ!$D$4,0)="E",MONTH($J144),IF(MONTH($J144)-1=0,12,MONTH($J144)-1))),MONTH($M144)))</f>
        <v/>
      </c>
      <c r="P144" s="50" t="str">
        <f>IF($S144="","",IF($M144="",IF($K144="","ERR",IF(VLOOKUP($S144,ﾏｽﾀ!$E$8:$K$124,ﾏｽﾀ!$J$4-ﾏｽﾀ!$D$4,0)="E",1,$K144+1)),DAY($M144)))</f>
        <v/>
      </c>
      <c r="Q144" s="50" t="str">
        <f t="shared" si="61"/>
        <v/>
      </c>
      <c r="R144" s="50" t="str">
        <f t="shared" si="62"/>
        <v/>
      </c>
      <c r="S144" s="601" t="str">
        <f>IF($T144="","",INDEX(ﾏｽﾀ!$E$8:$E$124,MATCH(INDEX(ﾏｽﾀ!$N$8:$N$124,MATCH($T144,ﾏｽﾀ!$O$8:$O$124,0)),ﾏｽﾀ!$B$8:$B$124,0))&amp;"")</f>
        <v/>
      </c>
      <c r="T144" s="535"/>
      <c r="U144" s="601" t="str">
        <f>IF($T144="","",INDEX(ﾏｽﾀ!$G$8:$G$124,MATCH(INDEX(ﾏｽﾀ!$N$8:$N$124,MATCH($T144,ﾏｽﾀ!$O$8:$O$124,0)),ﾏｽﾀ!$B$8:$B$124,0))&amp;"")</f>
        <v/>
      </c>
      <c r="V144" s="257"/>
      <c r="W144" s="602" t="str">
        <f>IF($X144="","",INDEX(ﾏｽﾀ!$T$8:$T$16,MATCH($X144,ﾏｽﾀ!$U$8:$U$16,0))&amp;"")</f>
        <v/>
      </c>
      <c r="X144" s="248"/>
      <c r="Y144" s="260"/>
      <c r="Z144" s="260"/>
      <c r="AA144" s="256"/>
      <c r="AB144" s="492" t="str">
        <f>IF($W144="","",IF($AA144="","ERR",IF($AA144="1",IF($AE144="","ERR",VLOOKUP($AA144,ﾏｽﾀ!$W$8:$X$10,ﾏｽﾀ!$X$4,0)),IF($AA144="2",IF($AG144="","ERR",VLOOKUP($AA144,ﾏｽﾀ!$W$8:$X$10,ﾏｽﾀ!$X$4,0)),IF($AA144="3",IF($AI144="","ERR",VLOOKUP($AA144,ﾏｽﾀ!$W$8:$X$10,ﾏｽﾀ!$X$4,0)),"ERR")))))</f>
        <v/>
      </c>
      <c r="AC144" s="261"/>
      <c r="AD144" s="321" t="str">
        <f>IF($AA144="1",COUNTIF('納品書明細16-E'!$D$9:$D$206,$AN144)+COUNTIF('納品書明細F-15'!$D$9:$D$297,$AN144)-IF(ISNA(MATCH(CONCATENATE(VLOOKUP($AC144,$AB$1:$AC$4,2,FALSE),$S144,IF($U144="","00",$U144),$W144,2),$F$11:$F$160,0)),0,SUMIF($F$11:$F$160,CONCATENATE(VLOOKUP($AC144,$AB$1:$AC$4,2,FALSE),$S144,IF($U144="","00",$U144),$W144,2),$AF$11:$AF$160)),"")</f>
        <v/>
      </c>
      <c r="AE144" s="319" t="str">
        <f>IF($AA144="1",SUMIF('納品書明細16-E'!$C$9:$C$206,$AO144,'納品書明細16-E'!$Q$9:$Q$206)+SUMIF('納品書明細F-15'!$C$9:$C$297,$AO144,'納品書明細F-15'!$Q$9:$Q$297)-IF(ISNA(MATCH(CONCATENATE(VLOOKUP($AC144,$AB$1:$AC$4,2,FALSE),$S144,IF($U144="","00",$U144),$W144,2),$F$11:$F$160,0)),0,SUMIF($F$11:$F$160,CONCATENATE(VLOOKUP($AC144,$AB$1:$AC$4,2,FALSE),$S144,IF($U144="","00",$U144),$W144,2),$AG$11:$AG$160)),"")</f>
        <v/>
      </c>
      <c r="AF144" s="324"/>
      <c r="AG144" s="327"/>
      <c r="AH144" s="57"/>
      <c r="AI144" s="319" t="str">
        <f>IF($AH144="","",IF(ISNA(MATCH($AH144,'納品書明細16-E'!$H$9:$H$206,0)),IF(ISNA(MATCH($AH144,'納品書明細F-15'!$H$9:$H$297,0)),"ERR",SUMIF('納品書明細F-15'!$H$9:$H$297,$AH144,'納品書明細F-15'!$Q$9:$Q$297)),SUMIF('納品書明細16-E'!$H$9:$H$206,$AH144,'納品書明細16-E'!$Q$9:$Q$206)))</f>
        <v/>
      </c>
      <c r="AK144" s="328" t="str">
        <f t="shared" si="55"/>
        <v/>
      </c>
      <c r="AL144" s="269" t="str">
        <f t="shared" si="56"/>
        <v/>
      </c>
      <c r="AM144" s="270" t="str">
        <f t="shared" si="57"/>
        <v/>
      </c>
      <c r="AN144" s="244" t="str">
        <f t="shared" si="58"/>
        <v/>
      </c>
      <c r="AO144" s="244" t="str">
        <f t="shared" si="59"/>
        <v/>
      </c>
      <c r="AP144" s="271" t="str">
        <f t="shared" si="40"/>
        <v/>
      </c>
      <c r="AQ144" s="265"/>
      <c r="AR144" s="263"/>
      <c r="AS144" s="84"/>
      <c r="AT144" s="86"/>
      <c r="AU144" s="87"/>
    </row>
    <row r="145" spans="1:47" ht="15" customHeight="1">
      <c r="A145" s="281" t="str">
        <f t="shared" si="39"/>
        <v/>
      </c>
      <c r="B145" s="282" t="str">
        <f t="shared" si="60"/>
        <v/>
      </c>
      <c r="C145" s="618" t="str">
        <f>IF(AND($S145="",$U145="",$W145="",$AA145="",$AE145="",$AG145="",$AI145=""),"",MAX($C$10:$C144)+1)</f>
        <v/>
      </c>
      <c r="D145" s="619" t="str">
        <f t="shared" si="51"/>
        <v/>
      </c>
      <c r="E145" s="619" t="str">
        <f t="shared" si="52"/>
        <v/>
      </c>
      <c r="F145" s="619" t="str">
        <f t="shared" si="53"/>
        <v/>
      </c>
      <c r="G145" s="619" t="str">
        <f t="shared" si="54"/>
        <v/>
      </c>
      <c r="H145" s="620" t="str">
        <f t="shared" si="63"/>
        <v/>
      </c>
      <c r="I145" s="316" t="s">
        <v>354</v>
      </c>
      <c r="J145" s="254"/>
      <c r="K145" s="50" t="str">
        <f>IF($W145="","",IF($W145=1,IF(VLOOKUP($S145,ﾏｽﾀ!$E$8:$K$124,ﾏｽﾀ!$J$4-ﾏｽﾀ!$D$4,0)="E",DAY($J$4),ABS(VLOOKUP($S145,ﾏｽﾀ!$E$8:$K$124,ﾏｽﾀ!$J$4-ﾏｽﾀ!$D$4,0))),IF(VLOOKUP($S145,ﾏｽﾀ!$E$8:$K$124,ﾏｽﾀ!$K$4-ﾏｽﾀ!$D$4,0)="E",DAY($J$4),ABS(VLOOKUP($S145,ﾏｽﾀ!$E$8:$K$124,ﾏｽﾀ!$K$4-ﾏｽﾀ!$D$4,0)))))</f>
        <v/>
      </c>
      <c r="L145" s="255"/>
      <c r="M145" s="255"/>
      <c r="N145" s="255"/>
      <c r="O145" s="50" t="str">
        <f>IF($S145="","",IF($M145="",IF($J145="","ERR",IF(VLOOKUP($S145,ﾏｽﾀ!$E$8:$K$124,ﾏｽﾀ!$J$4-ﾏｽﾀ!$D$4,0)="E",MONTH($J145),IF(MONTH($J145)-1=0,12,MONTH($J145)-1))),MONTH($M145)))</f>
        <v/>
      </c>
      <c r="P145" s="50" t="str">
        <f>IF($S145="","",IF($M145="",IF($K145="","ERR",IF(VLOOKUP($S145,ﾏｽﾀ!$E$8:$K$124,ﾏｽﾀ!$J$4-ﾏｽﾀ!$D$4,0)="E",1,$K145+1)),DAY($M145)))</f>
        <v/>
      </c>
      <c r="Q145" s="50" t="str">
        <f t="shared" si="61"/>
        <v/>
      </c>
      <c r="R145" s="50" t="str">
        <f t="shared" si="62"/>
        <v/>
      </c>
      <c r="S145" s="601" t="str">
        <f>IF($T145="","",INDEX(ﾏｽﾀ!$E$8:$E$124,MATCH(INDEX(ﾏｽﾀ!$N$8:$N$124,MATCH($T145,ﾏｽﾀ!$O$8:$O$124,0)),ﾏｽﾀ!$B$8:$B$124,0))&amp;"")</f>
        <v/>
      </c>
      <c r="T145" s="535"/>
      <c r="U145" s="601" t="str">
        <f>IF($T145="","",INDEX(ﾏｽﾀ!$G$8:$G$124,MATCH(INDEX(ﾏｽﾀ!$N$8:$N$124,MATCH($T145,ﾏｽﾀ!$O$8:$O$124,0)),ﾏｽﾀ!$B$8:$B$124,0))&amp;"")</f>
        <v/>
      </c>
      <c r="V145" s="257"/>
      <c r="W145" s="602" t="str">
        <f>IF($X145="","",INDEX(ﾏｽﾀ!$T$8:$T$16,MATCH($X145,ﾏｽﾀ!$U$8:$U$16,0))&amp;"")</f>
        <v/>
      </c>
      <c r="X145" s="248"/>
      <c r="Y145" s="260"/>
      <c r="Z145" s="260"/>
      <c r="AA145" s="256"/>
      <c r="AB145" s="492" t="str">
        <f>IF($W145="","",IF($AA145="","ERR",IF($AA145="1",IF($AE145="","ERR",VLOOKUP($AA145,ﾏｽﾀ!$W$8:$X$10,ﾏｽﾀ!$X$4,0)),IF($AA145="2",IF($AG145="","ERR",VLOOKUP($AA145,ﾏｽﾀ!$W$8:$X$10,ﾏｽﾀ!$X$4,0)),IF($AA145="3",IF($AI145="","ERR",VLOOKUP($AA145,ﾏｽﾀ!$W$8:$X$10,ﾏｽﾀ!$X$4,0)),"ERR")))))</f>
        <v/>
      </c>
      <c r="AC145" s="261"/>
      <c r="AD145" s="321" t="str">
        <f>IF($AA145="1",COUNTIF('納品書明細16-E'!$D$9:$D$206,$AN145)+COUNTIF('納品書明細F-15'!$D$9:$D$297,$AN145)-IF(ISNA(MATCH(CONCATENATE(VLOOKUP($AC145,$AB$1:$AC$4,2,FALSE),$S145,IF($U145="","00",$U145),$W145,2),$F$11:$F$160,0)),0,SUMIF($F$11:$F$160,CONCATENATE(VLOOKUP($AC145,$AB$1:$AC$4,2,FALSE),$S145,IF($U145="","00",$U145),$W145,2),$AF$11:$AF$160)),"")</f>
        <v/>
      </c>
      <c r="AE145" s="319" t="str">
        <f>IF($AA145="1",SUMIF('納品書明細16-E'!$C$9:$C$206,$AO145,'納品書明細16-E'!$Q$9:$Q$206)+SUMIF('納品書明細F-15'!$C$9:$C$297,$AO145,'納品書明細F-15'!$Q$9:$Q$297)-IF(ISNA(MATCH(CONCATENATE(VLOOKUP($AC145,$AB$1:$AC$4,2,FALSE),$S145,IF($U145="","00",$U145),$W145,2),$F$11:$F$160,0)),0,SUMIF($F$11:$F$160,CONCATENATE(VLOOKUP($AC145,$AB$1:$AC$4,2,FALSE),$S145,IF($U145="","00",$U145),$W145,2),$AG$11:$AG$160)),"")</f>
        <v/>
      </c>
      <c r="AF145" s="324"/>
      <c r="AG145" s="327"/>
      <c r="AH145" s="57"/>
      <c r="AI145" s="319" t="str">
        <f>IF($AH145="","",IF(ISNA(MATCH($AH145,'納品書明細16-E'!$H$9:$H$206,0)),IF(ISNA(MATCH($AH145,'納品書明細F-15'!$H$9:$H$297,0)),"ERR",SUMIF('納品書明細F-15'!$H$9:$H$297,$AH145,'納品書明細F-15'!$Q$9:$Q$297)),SUMIF('納品書明細16-E'!$H$9:$H$206,$AH145,'納品書明細16-E'!$Q$9:$Q$206)))</f>
        <v/>
      </c>
      <c r="AK145" s="328" t="str">
        <f t="shared" si="55"/>
        <v/>
      </c>
      <c r="AL145" s="269" t="str">
        <f t="shared" si="56"/>
        <v/>
      </c>
      <c r="AM145" s="270" t="str">
        <f t="shared" si="57"/>
        <v/>
      </c>
      <c r="AN145" s="244" t="str">
        <f t="shared" si="58"/>
        <v/>
      </c>
      <c r="AO145" s="244" t="str">
        <f t="shared" si="59"/>
        <v/>
      </c>
      <c r="AP145" s="271" t="str">
        <f t="shared" si="40"/>
        <v/>
      </c>
      <c r="AQ145" s="265"/>
      <c r="AR145" s="263"/>
      <c r="AS145" s="84"/>
      <c r="AT145" s="86"/>
      <c r="AU145" s="87"/>
    </row>
    <row r="146" spans="1:47" ht="15" customHeight="1">
      <c r="A146" s="281" t="str">
        <f t="shared" si="39"/>
        <v/>
      </c>
      <c r="B146" s="282" t="str">
        <f t="shared" si="60"/>
        <v/>
      </c>
      <c r="C146" s="618" t="str">
        <f>IF(AND($S146="",$U146="",$W146="",$AA146="",$AE146="",$AG146="",$AI146=""),"",MAX($C$10:$C145)+1)</f>
        <v/>
      </c>
      <c r="D146" s="619" t="str">
        <f t="shared" si="51"/>
        <v/>
      </c>
      <c r="E146" s="619" t="str">
        <f t="shared" si="52"/>
        <v/>
      </c>
      <c r="F146" s="619" t="str">
        <f t="shared" si="53"/>
        <v/>
      </c>
      <c r="G146" s="619" t="str">
        <f t="shared" si="54"/>
        <v/>
      </c>
      <c r="H146" s="620" t="str">
        <f t="shared" si="63"/>
        <v/>
      </c>
      <c r="I146" s="316" t="s">
        <v>355</v>
      </c>
      <c r="J146" s="254"/>
      <c r="K146" s="50" t="str">
        <f>IF($W146="","",IF($W146=1,IF(VLOOKUP($S146,ﾏｽﾀ!$E$8:$K$124,ﾏｽﾀ!$J$4-ﾏｽﾀ!$D$4,0)="E",DAY($J$4),ABS(VLOOKUP($S146,ﾏｽﾀ!$E$8:$K$124,ﾏｽﾀ!$J$4-ﾏｽﾀ!$D$4,0))),IF(VLOOKUP($S146,ﾏｽﾀ!$E$8:$K$124,ﾏｽﾀ!$K$4-ﾏｽﾀ!$D$4,0)="E",DAY($J$4),ABS(VLOOKUP($S146,ﾏｽﾀ!$E$8:$K$124,ﾏｽﾀ!$K$4-ﾏｽﾀ!$D$4,0)))))</f>
        <v/>
      </c>
      <c r="L146" s="255"/>
      <c r="M146" s="255"/>
      <c r="N146" s="255"/>
      <c r="O146" s="50" t="str">
        <f>IF($S146="","",IF($M146="",IF($J146="","ERR",IF(VLOOKUP($S146,ﾏｽﾀ!$E$8:$K$124,ﾏｽﾀ!$J$4-ﾏｽﾀ!$D$4,0)="E",MONTH($J146),IF(MONTH($J146)-1=0,12,MONTH($J146)-1))),MONTH($M146)))</f>
        <v/>
      </c>
      <c r="P146" s="50" t="str">
        <f>IF($S146="","",IF($M146="",IF($K146="","ERR",IF(VLOOKUP($S146,ﾏｽﾀ!$E$8:$K$124,ﾏｽﾀ!$J$4-ﾏｽﾀ!$D$4,0)="E",1,$K146+1)),DAY($M146)))</f>
        <v/>
      </c>
      <c r="Q146" s="50" t="str">
        <f t="shared" si="61"/>
        <v/>
      </c>
      <c r="R146" s="50" t="str">
        <f t="shared" si="62"/>
        <v/>
      </c>
      <c r="S146" s="601" t="str">
        <f>IF($T146="","",INDEX(ﾏｽﾀ!$E$8:$E$124,MATCH(INDEX(ﾏｽﾀ!$N$8:$N$124,MATCH($T146,ﾏｽﾀ!$O$8:$O$124,0)),ﾏｽﾀ!$B$8:$B$124,0))&amp;"")</f>
        <v/>
      </c>
      <c r="T146" s="535"/>
      <c r="U146" s="601" t="str">
        <f>IF($T146="","",INDEX(ﾏｽﾀ!$G$8:$G$124,MATCH(INDEX(ﾏｽﾀ!$N$8:$N$124,MATCH($T146,ﾏｽﾀ!$O$8:$O$124,0)),ﾏｽﾀ!$B$8:$B$124,0))&amp;"")</f>
        <v/>
      </c>
      <c r="V146" s="257"/>
      <c r="W146" s="602" t="str">
        <f>IF($X146="","",INDEX(ﾏｽﾀ!$T$8:$T$16,MATCH($X146,ﾏｽﾀ!$U$8:$U$16,0))&amp;"")</f>
        <v/>
      </c>
      <c r="X146" s="248"/>
      <c r="Y146" s="260"/>
      <c r="Z146" s="260"/>
      <c r="AA146" s="256"/>
      <c r="AB146" s="492" t="str">
        <f>IF($W146="","",IF($AA146="","ERR",IF($AA146="1",IF($AE146="","ERR",VLOOKUP($AA146,ﾏｽﾀ!$W$8:$X$10,ﾏｽﾀ!$X$4,0)),IF($AA146="2",IF($AG146="","ERR",VLOOKUP($AA146,ﾏｽﾀ!$W$8:$X$10,ﾏｽﾀ!$X$4,0)),IF($AA146="3",IF($AI146="","ERR",VLOOKUP($AA146,ﾏｽﾀ!$W$8:$X$10,ﾏｽﾀ!$X$4,0)),"ERR")))))</f>
        <v/>
      </c>
      <c r="AC146" s="261"/>
      <c r="AD146" s="321" t="str">
        <f>IF($AA146="1",COUNTIF('納品書明細16-E'!$D$9:$D$206,$AN146)+COUNTIF('納品書明細F-15'!$D$9:$D$297,$AN146)-IF(ISNA(MATCH(CONCATENATE(VLOOKUP($AC146,$AB$1:$AC$4,2,FALSE),$S146,IF($U146="","00",$U146),$W146,2),$F$11:$F$160,0)),0,SUMIF($F$11:$F$160,CONCATENATE(VLOOKUP($AC146,$AB$1:$AC$4,2,FALSE),$S146,IF($U146="","00",$U146),$W146,2),$AF$11:$AF$160)),"")</f>
        <v/>
      </c>
      <c r="AE146" s="319" t="str">
        <f>IF($AA146="1",SUMIF('納品書明細16-E'!$C$9:$C$206,$AO146,'納品書明細16-E'!$Q$9:$Q$206)+SUMIF('納品書明細F-15'!$C$9:$C$297,$AO146,'納品書明細F-15'!$Q$9:$Q$297)-IF(ISNA(MATCH(CONCATENATE(VLOOKUP($AC146,$AB$1:$AC$4,2,FALSE),$S146,IF($U146="","00",$U146),$W146,2),$F$11:$F$160,0)),0,SUMIF($F$11:$F$160,CONCATENATE(VLOOKUP($AC146,$AB$1:$AC$4,2,FALSE),$S146,IF($U146="","00",$U146),$W146,2),$AG$11:$AG$160)),"")</f>
        <v/>
      </c>
      <c r="AF146" s="324"/>
      <c r="AG146" s="327"/>
      <c r="AH146" s="57"/>
      <c r="AI146" s="319" t="str">
        <f>IF($AH146="","",IF(ISNA(MATCH($AH146,'納品書明細16-E'!$H$9:$H$206,0)),IF(ISNA(MATCH($AH146,'納品書明細F-15'!$H$9:$H$297,0)),"ERR",SUMIF('納品書明細F-15'!$H$9:$H$297,$AH146,'納品書明細F-15'!$Q$9:$Q$297)),SUMIF('納品書明細16-E'!$H$9:$H$206,$AH146,'納品書明細16-E'!$Q$9:$Q$206)))</f>
        <v/>
      </c>
      <c r="AK146" s="328" t="str">
        <f t="shared" si="55"/>
        <v/>
      </c>
      <c r="AL146" s="269" t="str">
        <f t="shared" si="56"/>
        <v/>
      </c>
      <c r="AM146" s="270" t="str">
        <f t="shared" si="57"/>
        <v/>
      </c>
      <c r="AN146" s="244" t="str">
        <f t="shared" si="58"/>
        <v/>
      </c>
      <c r="AO146" s="244" t="str">
        <f t="shared" si="59"/>
        <v/>
      </c>
      <c r="AP146" s="271" t="str">
        <f t="shared" si="40"/>
        <v/>
      </c>
      <c r="AQ146" s="265"/>
      <c r="AR146" s="263"/>
      <c r="AS146" s="84"/>
      <c r="AT146" s="86"/>
      <c r="AU146" s="87"/>
    </row>
    <row r="147" spans="1:47" ht="15" customHeight="1">
      <c r="A147" s="281" t="str">
        <f t="shared" si="39"/>
        <v/>
      </c>
      <c r="B147" s="282" t="str">
        <f t="shared" si="60"/>
        <v/>
      </c>
      <c r="C147" s="618" t="str">
        <f>IF(AND($S147="",$U147="",$W147="",$AA147="",$AE147="",$AG147="",$AI147=""),"",MAX($C$10:$C146)+1)</f>
        <v/>
      </c>
      <c r="D147" s="619" t="str">
        <f t="shared" si="51"/>
        <v/>
      </c>
      <c r="E147" s="619" t="str">
        <f t="shared" si="52"/>
        <v/>
      </c>
      <c r="F147" s="619" t="str">
        <f t="shared" si="53"/>
        <v/>
      </c>
      <c r="G147" s="619" t="str">
        <f t="shared" si="54"/>
        <v/>
      </c>
      <c r="H147" s="620" t="str">
        <f t="shared" si="63"/>
        <v/>
      </c>
      <c r="I147" s="316" t="s">
        <v>356</v>
      </c>
      <c r="J147" s="254"/>
      <c r="K147" s="50" t="str">
        <f>IF($W147="","",IF($W147=1,IF(VLOOKUP($S147,ﾏｽﾀ!$E$8:$K$124,ﾏｽﾀ!$J$4-ﾏｽﾀ!$D$4,0)="E",DAY($J$4),ABS(VLOOKUP($S147,ﾏｽﾀ!$E$8:$K$124,ﾏｽﾀ!$J$4-ﾏｽﾀ!$D$4,0))),IF(VLOOKUP($S147,ﾏｽﾀ!$E$8:$K$124,ﾏｽﾀ!$K$4-ﾏｽﾀ!$D$4,0)="E",DAY($J$4),ABS(VLOOKUP($S147,ﾏｽﾀ!$E$8:$K$124,ﾏｽﾀ!$K$4-ﾏｽﾀ!$D$4,0)))))</f>
        <v/>
      </c>
      <c r="L147" s="255"/>
      <c r="M147" s="255"/>
      <c r="N147" s="255"/>
      <c r="O147" s="50" t="str">
        <f>IF($S147="","",IF($M147="",IF($J147="","ERR",IF(VLOOKUP($S147,ﾏｽﾀ!$E$8:$K$124,ﾏｽﾀ!$J$4-ﾏｽﾀ!$D$4,0)="E",MONTH($J147),IF(MONTH($J147)-1=0,12,MONTH($J147)-1))),MONTH($M147)))</f>
        <v/>
      </c>
      <c r="P147" s="50" t="str">
        <f>IF($S147="","",IF($M147="",IF($K147="","ERR",IF(VLOOKUP($S147,ﾏｽﾀ!$E$8:$K$124,ﾏｽﾀ!$J$4-ﾏｽﾀ!$D$4,0)="E",1,$K147+1)),DAY($M147)))</f>
        <v/>
      </c>
      <c r="Q147" s="50" t="str">
        <f t="shared" si="61"/>
        <v/>
      </c>
      <c r="R147" s="50" t="str">
        <f t="shared" si="62"/>
        <v/>
      </c>
      <c r="S147" s="601" t="str">
        <f>IF($T147="","",INDEX(ﾏｽﾀ!$E$8:$E$124,MATCH(INDEX(ﾏｽﾀ!$N$8:$N$124,MATCH($T147,ﾏｽﾀ!$O$8:$O$124,0)),ﾏｽﾀ!$B$8:$B$124,0))&amp;"")</f>
        <v/>
      </c>
      <c r="T147" s="535"/>
      <c r="U147" s="601" t="str">
        <f>IF($T147="","",INDEX(ﾏｽﾀ!$G$8:$G$124,MATCH(INDEX(ﾏｽﾀ!$N$8:$N$124,MATCH($T147,ﾏｽﾀ!$O$8:$O$124,0)),ﾏｽﾀ!$B$8:$B$124,0))&amp;"")</f>
        <v/>
      </c>
      <c r="V147" s="257"/>
      <c r="W147" s="602" t="str">
        <f>IF($X147="","",INDEX(ﾏｽﾀ!$T$8:$T$16,MATCH($X147,ﾏｽﾀ!$U$8:$U$16,0))&amp;"")</f>
        <v/>
      </c>
      <c r="X147" s="248"/>
      <c r="Y147" s="260"/>
      <c r="Z147" s="260"/>
      <c r="AA147" s="256"/>
      <c r="AB147" s="492" t="str">
        <f>IF($W147="","",IF($AA147="","ERR",IF($AA147="1",IF($AE147="","ERR",VLOOKUP($AA147,ﾏｽﾀ!$W$8:$X$10,ﾏｽﾀ!$X$4,0)),IF($AA147="2",IF($AG147="","ERR",VLOOKUP($AA147,ﾏｽﾀ!$W$8:$X$10,ﾏｽﾀ!$X$4,0)),IF($AA147="3",IF($AI147="","ERR",VLOOKUP($AA147,ﾏｽﾀ!$W$8:$X$10,ﾏｽﾀ!$X$4,0)),"ERR")))))</f>
        <v/>
      </c>
      <c r="AC147" s="261"/>
      <c r="AD147" s="321" t="str">
        <f>IF($AA147="1",COUNTIF('納品書明細16-E'!$D$9:$D$206,$AN147)+COUNTIF('納品書明細F-15'!$D$9:$D$297,$AN147)-IF(ISNA(MATCH(CONCATENATE(VLOOKUP($AC147,$AB$1:$AC$4,2,FALSE),$S147,IF($U147="","00",$U147),$W147,2),$F$11:$F$160,0)),0,SUMIF($F$11:$F$160,CONCATENATE(VLOOKUP($AC147,$AB$1:$AC$4,2,FALSE),$S147,IF($U147="","00",$U147),$W147,2),$AF$11:$AF$160)),"")</f>
        <v/>
      </c>
      <c r="AE147" s="319" t="str">
        <f>IF($AA147="1",SUMIF('納品書明細16-E'!$C$9:$C$206,$AO147,'納品書明細16-E'!$Q$9:$Q$206)+SUMIF('納品書明細F-15'!$C$9:$C$297,$AO147,'納品書明細F-15'!$Q$9:$Q$297)-IF(ISNA(MATCH(CONCATENATE(VLOOKUP($AC147,$AB$1:$AC$4,2,FALSE),$S147,IF($U147="","00",$U147),$W147,2),$F$11:$F$160,0)),0,SUMIF($F$11:$F$160,CONCATENATE(VLOOKUP($AC147,$AB$1:$AC$4,2,FALSE),$S147,IF($U147="","00",$U147),$W147,2),$AG$11:$AG$160)),"")</f>
        <v/>
      </c>
      <c r="AF147" s="324"/>
      <c r="AG147" s="327"/>
      <c r="AH147" s="57"/>
      <c r="AI147" s="319" t="str">
        <f>IF($AH147="","",IF(ISNA(MATCH($AH147,'納品書明細16-E'!$H$9:$H$206,0)),IF(ISNA(MATCH($AH147,'納品書明細F-15'!$H$9:$H$297,0)),"ERR",SUMIF('納品書明細F-15'!$H$9:$H$297,$AH147,'納品書明細F-15'!$Q$9:$Q$297)),SUMIF('納品書明細16-E'!$H$9:$H$206,$AH147,'納品書明細16-E'!$Q$9:$Q$206)))</f>
        <v/>
      </c>
      <c r="AK147" s="328" t="str">
        <f t="shared" si="55"/>
        <v/>
      </c>
      <c r="AL147" s="269" t="str">
        <f t="shared" si="56"/>
        <v/>
      </c>
      <c r="AM147" s="270" t="str">
        <f t="shared" si="57"/>
        <v/>
      </c>
      <c r="AN147" s="244" t="str">
        <f t="shared" si="58"/>
        <v/>
      </c>
      <c r="AO147" s="244" t="str">
        <f t="shared" si="59"/>
        <v/>
      </c>
      <c r="AP147" s="271" t="str">
        <f t="shared" si="40"/>
        <v/>
      </c>
      <c r="AQ147" s="265"/>
      <c r="AR147" s="263"/>
      <c r="AS147" s="84"/>
      <c r="AT147" s="86"/>
      <c r="AU147" s="87"/>
    </row>
    <row r="148" spans="1:47" ht="15" customHeight="1">
      <c r="A148" s="281" t="str">
        <f t="shared" si="39"/>
        <v/>
      </c>
      <c r="B148" s="282" t="str">
        <f t="shared" si="60"/>
        <v/>
      </c>
      <c r="C148" s="618" t="str">
        <f>IF(AND($S148="",$U148="",$W148="",$AA148="",$AE148="",$AG148="",$AI148=""),"",MAX($C$10:$C147)+1)</f>
        <v/>
      </c>
      <c r="D148" s="619" t="str">
        <f t="shared" si="51"/>
        <v/>
      </c>
      <c r="E148" s="619" t="str">
        <f t="shared" si="52"/>
        <v/>
      </c>
      <c r="F148" s="619" t="str">
        <f t="shared" si="53"/>
        <v/>
      </c>
      <c r="G148" s="619" t="str">
        <f t="shared" si="54"/>
        <v/>
      </c>
      <c r="H148" s="620" t="str">
        <f t="shared" si="63"/>
        <v/>
      </c>
      <c r="I148" s="316" t="s">
        <v>357</v>
      </c>
      <c r="J148" s="254"/>
      <c r="K148" s="50" t="str">
        <f>IF($W148="","",IF($W148=1,IF(VLOOKUP($S148,ﾏｽﾀ!$E$8:$K$124,ﾏｽﾀ!$J$4-ﾏｽﾀ!$D$4,0)="E",DAY($J$4),ABS(VLOOKUP($S148,ﾏｽﾀ!$E$8:$K$124,ﾏｽﾀ!$J$4-ﾏｽﾀ!$D$4,0))),IF(VLOOKUP($S148,ﾏｽﾀ!$E$8:$K$124,ﾏｽﾀ!$K$4-ﾏｽﾀ!$D$4,0)="E",DAY($J$4),ABS(VLOOKUP($S148,ﾏｽﾀ!$E$8:$K$124,ﾏｽﾀ!$K$4-ﾏｽﾀ!$D$4,0)))))</f>
        <v/>
      </c>
      <c r="L148" s="255"/>
      <c r="M148" s="255"/>
      <c r="N148" s="255"/>
      <c r="O148" s="50" t="str">
        <f>IF($S148="","",IF($M148="",IF($J148="","ERR",IF(VLOOKUP($S148,ﾏｽﾀ!$E$8:$K$124,ﾏｽﾀ!$J$4-ﾏｽﾀ!$D$4,0)="E",MONTH($J148),IF(MONTH($J148)-1=0,12,MONTH($J148)-1))),MONTH($M148)))</f>
        <v/>
      </c>
      <c r="P148" s="50" t="str">
        <f>IF($S148="","",IF($M148="",IF($K148="","ERR",IF(VLOOKUP($S148,ﾏｽﾀ!$E$8:$K$124,ﾏｽﾀ!$J$4-ﾏｽﾀ!$D$4,0)="E",1,$K148+1)),DAY($M148)))</f>
        <v/>
      </c>
      <c r="Q148" s="50" t="str">
        <f t="shared" si="61"/>
        <v/>
      </c>
      <c r="R148" s="50" t="str">
        <f t="shared" si="62"/>
        <v/>
      </c>
      <c r="S148" s="601" t="str">
        <f>IF($T148="","",INDEX(ﾏｽﾀ!$E$8:$E$124,MATCH(INDEX(ﾏｽﾀ!$N$8:$N$124,MATCH($T148,ﾏｽﾀ!$O$8:$O$124,0)),ﾏｽﾀ!$B$8:$B$124,0))&amp;"")</f>
        <v/>
      </c>
      <c r="T148" s="535"/>
      <c r="U148" s="601" t="str">
        <f>IF($T148="","",INDEX(ﾏｽﾀ!$G$8:$G$124,MATCH(INDEX(ﾏｽﾀ!$N$8:$N$124,MATCH($T148,ﾏｽﾀ!$O$8:$O$124,0)),ﾏｽﾀ!$B$8:$B$124,0))&amp;"")</f>
        <v/>
      </c>
      <c r="V148" s="257"/>
      <c r="W148" s="602" t="str">
        <f>IF($X148="","",INDEX(ﾏｽﾀ!$T$8:$T$16,MATCH($X148,ﾏｽﾀ!$U$8:$U$16,0))&amp;"")</f>
        <v/>
      </c>
      <c r="X148" s="248"/>
      <c r="Y148" s="260"/>
      <c r="Z148" s="260"/>
      <c r="AA148" s="256"/>
      <c r="AB148" s="492" t="str">
        <f>IF($W148="","",IF($AA148="","ERR",IF($AA148="1",IF($AE148="","ERR",VLOOKUP($AA148,ﾏｽﾀ!$W$8:$X$10,ﾏｽﾀ!$X$4,0)),IF($AA148="2",IF($AG148="","ERR",VLOOKUP($AA148,ﾏｽﾀ!$W$8:$X$10,ﾏｽﾀ!$X$4,0)),IF($AA148="3",IF($AI148="","ERR",VLOOKUP($AA148,ﾏｽﾀ!$W$8:$X$10,ﾏｽﾀ!$X$4,0)),"ERR")))))</f>
        <v/>
      </c>
      <c r="AC148" s="261"/>
      <c r="AD148" s="321" t="str">
        <f>IF($AA148="1",COUNTIF('納品書明細16-E'!$D$9:$D$206,$AN148)+COUNTIF('納品書明細F-15'!$D$9:$D$297,$AN148)-IF(ISNA(MATCH(CONCATENATE(VLOOKUP($AC148,$AB$1:$AC$4,2,FALSE),$S148,IF($U148="","00",$U148),$W148,2),$F$11:$F$160,0)),0,SUMIF($F$11:$F$160,CONCATENATE(VLOOKUP($AC148,$AB$1:$AC$4,2,FALSE),$S148,IF($U148="","00",$U148),$W148,2),$AF$11:$AF$160)),"")</f>
        <v/>
      </c>
      <c r="AE148" s="319" t="str">
        <f>IF($AA148="1",SUMIF('納品書明細16-E'!$C$9:$C$206,$AO148,'納品書明細16-E'!$Q$9:$Q$206)+SUMIF('納品書明細F-15'!$C$9:$C$297,$AO148,'納品書明細F-15'!$Q$9:$Q$297)-IF(ISNA(MATCH(CONCATENATE(VLOOKUP($AC148,$AB$1:$AC$4,2,FALSE),$S148,IF($U148="","00",$U148),$W148,2),$F$11:$F$160,0)),0,SUMIF($F$11:$F$160,CONCATENATE(VLOOKUP($AC148,$AB$1:$AC$4,2,FALSE),$S148,IF($U148="","00",$U148),$W148,2),$AG$11:$AG$160)),"")</f>
        <v/>
      </c>
      <c r="AF148" s="324"/>
      <c r="AG148" s="327"/>
      <c r="AH148" s="57"/>
      <c r="AI148" s="319" t="str">
        <f>IF($AH148="","",IF(ISNA(MATCH($AH148,'納品書明細16-E'!$H$9:$H$206,0)),IF(ISNA(MATCH($AH148,'納品書明細F-15'!$H$9:$H$297,0)),"ERR",SUMIF('納品書明細F-15'!$H$9:$H$297,$AH148,'納品書明細F-15'!$Q$9:$Q$297)),SUMIF('納品書明細16-E'!$H$9:$H$206,$AH148,'納品書明細16-E'!$Q$9:$Q$206)))</f>
        <v/>
      </c>
      <c r="AK148" s="328" t="str">
        <f t="shared" si="55"/>
        <v/>
      </c>
      <c r="AL148" s="269" t="str">
        <f t="shared" si="56"/>
        <v/>
      </c>
      <c r="AM148" s="270" t="str">
        <f t="shared" si="57"/>
        <v/>
      </c>
      <c r="AN148" s="244" t="str">
        <f t="shared" si="58"/>
        <v/>
      </c>
      <c r="AO148" s="244" t="str">
        <f t="shared" si="59"/>
        <v/>
      </c>
      <c r="AP148" s="271" t="str">
        <f t="shared" si="40"/>
        <v/>
      </c>
      <c r="AQ148" s="265"/>
      <c r="AR148" s="263"/>
      <c r="AS148" s="84"/>
      <c r="AT148" s="86"/>
      <c r="AU148" s="87"/>
    </row>
    <row r="149" spans="1:47" ht="15" customHeight="1">
      <c r="A149" s="281" t="str">
        <f t="shared" si="39"/>
        <v/>
      </c>
      <c r="B149" s="282" t="str">
        <f t="shared" si="60"/>
        <v/>
      </c>
      <c r="C149" s="618" t="str">
        <f>IF(AND($S149="",$U149="",$W149="",$AA149="",$AE149="",$AG149="",$AI149=""),"",MAX($C$10:$C148)+1)</f>
        <v/>
      </c>
      <c r="D149" s="619" t="str">
        <f t="shared" si="51"/>
        <v/>
      </c>
      <c r="E149" s="619" t="str">
        <f t="shared" si="52"/>
        <v/>
      </c>
      <c r="F149" s="619" t="str">
        <f t="shared" si="53"/>
        <v/>
      </c>
      <c r="G149" s="619" t="str">
        <f t="shared" si="54"/>
        <v/>
      </c>
      <c r="H149" s="620" t="str">
        <f t="shared" si="63"/>
        <v/>
      </c>
      <c r="I149" s="316" t="s">
        <v>358</v>
      </c>
      <c r="J149" s="254"/>
      <c r="K149" s="50" t="str">
        <f>IF($W149="","",IF($W149=1,IF(VLOOKUP($S149,ﾏｽﾀ!$E$8:$K$124,ﾏｽﾀ!$J$4-ﾏｽﾀ!$D$4,0)="E",DAY($J$4),ABS(VLOOKUP($S149,ﾏｽﾀ!$E$8:$K$124,ﾏｽﾀ!$J$4-ﾏｽﾀ!$D$4,0))),IF(VLOOKUP($S149,ﾏｽﾀ!$E$8:$K$124,ﾏｽﾀ!$K$4-ﾏｽﾀ!$D$4,0)="E",DAY($J$4),ABS(VLOOKUP($S149,ﾏｽﾀ!$E$8:$K$124,ﾏｽﾀ!$K$4-ﾏｽﾀ!$D$4,0)))))</f>
        <v/>
      </c>
      <c r="L149" s="255"/>
      <c r="M149" s="255"/>
      <c r="N149" s="255"/>
      <c r="O149" s="50" t="str">
        <f>IF($S149="","",IF($M149="",IF($J149="","ERR",IF(VLOOKUP($S149,ﾏｽﾀ!$E$8:$K$124,ﾏｽﾀ!$J$4-ﾏｽﾀ!$D$4,0)="E",MONTH($J149),IF(MONTH($J149)-1=0,12,MONTH($J149)-1))),MONTH($M149)))</f>
        <v/>
      </c>
      <c r="P149" s="50" t="str">
        <f>IF($S149="","",IF($M149="",IF($K149="","ERR",IF(VLOOKUP($S149,ﾏｽﾀ!$E$8:$K$124,ﾏｽﾀ!$J$4-ﾏｽﾀ!$D$4,0)="E",1,$K149+1)),DAY($M149)))</f>
        <v/>
      </c>
      <c r="Q149" s="50" t="str">
        <f t="shared" si="61"/>
        <v/>
      </c>
      <c r="R149" s="50" t="str">
        <f t="shared" si="62"/>
        <v/>
      </c>
      <c r="S149" s="601" t="str">
        <f>IF($T149="","",INDEX(ﾏｽﾀ!$E$8:$E$124,MATCH(INDEX(ﾏｽﾀ!$N$8:$N$124,MATCH($T149,ﾏｽﾀ!$O$8:$O$124,0)),ﾏｽﾀ!$B$8:$B$124,0))&amp;"")</f>
        <v/>
      </c>
      <c r="T149" s="535"/>
      <c r="U149" s="601" t="str">
        <f>IF($T149="","",INDEX(ﾏｽﾀ!$G$8:$G$124,MATCH(INDEX(ﾏｽﾀ!$N$8:$N$124,MATCH($T149,ﾏｽﾀ!$O$8:$O$124,0)),ﾏｽﾀ!$B$8:$B$124,0))&amp;"")</f>
        <v/>
      </c>
      <c r="V149" s="257"/>
      <c r="W149" s="602" t="str">
        <f>IF($X149="","",INDEX(ﾏｽﾀ!$T$8:$T$16,MATCH($X149,ﾏｽﾀ!$U$8:$U$16,0))&amp;"")</f>
        <v/>
      </c>
      <c r="X149" s="248"/>
      <c r="Y149" s="260"/>
      <c r="Z149" s="260"/>
      <c r="AA149" s="256"/>
      <c r="AB149" s="492" t="str">
        <f>IF($W149="","",IF($AA149="","ERR",IF($AA149="1",IF($AE149="","ERR",VLOOKUP($AA149,ﾏｽﾀ!$W$8:$X$10,ﾏｽﾀ!$X$4,0)),IF($AA149="2",IF($AG149="","ERR",VLOOKUP($AA149,ﾏｽﾀ!$W$8:$X$10,ﾏｽﾀ!$X$4,0)),IF($AA149="3",IF($AI149="","ERR",VLOOKUP($AA149,ﾏｽﾀ!$W$8:$X$10,ﾏｽﾀ!$X$4,0)),"ERR")))))</f>
        <v/>
      </c>
      <c r="AC149" s="261"/>
      <c r="AD149" s="321" t="str">
        <f>IF($AA149="1",COUNTIF('納品書明細16-E'!$D$9:$D$206,$AN149)+COUNTIF('納品書明細F-15'!$D$9:$D$297,$AN149)-IF(ISNA(MATCH(CONCATENATE(VLOOKUP($AC149,$AB$1:$AC$4,2,FALSE),$S149,IF($U149="","00",$U149),$W149,2),$F$11:$F$160,0)),0,SUMIF($F$11:$F$160,CONCATENATE(VLOOKUP($AC149,$AB$1:$AC$4,2,FALSE),$S149,IF($U149="","00",$U149),$W149,2),$AF$11:$AF$160)),"")</f>
        <v/>
      </c>
      <c r="AE149" s="319" t="str">
        <f>IF($AA149="1",SUMIF('納品書明細16-E'!$C$9:$C$206,$AO149,'納品書明細16-E'!$Q$9:$Q$206)+SUMIF('納品書明細F-15'!$C$9:$C$297,$AO149,'納品書明細F-15'!$Q$9:$Q$297)-IF(ISNA(MATCH(CONCATENATE(VLOOKUP($AC149,$AB$1:$AC$4,2,FALSE),$S149,IF($U149="","00",$U149),$W149,2),$F$11:$F$160,0)),0,SUMIF($F$11:$F$160,CONCATENATE(VLOOKUP($AC149,$AB$1:$AC$4,2,FALSE),$S149,IF($U149="","00",$U149),$W149,2),$AG$11:$AG$160)),"")</f>
        <v/>
      </c>
      <c r="AF149" s="324"/>
      <c r="AG149" s="327"/>
      <c r="AH149" s="57"/>
      <c r="AI149" s="319" t="str">
        <f>IF($AH149="","",IF(ISNA(MATCH($AH149,'納品書明細16-E'!$H$9:$H$206,0)),IF(ISNA(MATCH($AH149,'納品書明細F-15'!$H$9:$H$297,0)),"ERR",SUMIF('納品書明細F-15'!$H$9:$H$297,$AH149,'納品書明細F-15'!$Q$9:$Q$297)),SUMIF('納品書明細16-E'!$H$9:$H$206,$AH149,'納品書明細16-E'!$Q$9:$Q$206)))</f>
        <v/>
      </c>
      <c r="AK149" s="328" t="str">
        <f t="shared" si="55"/>
        <v/>
      </c>
      <c r="AL149" s="269" t="str">
        <f t="shared" si="56"/>
        <v/>
      </c>
      <c r="AM149" s="270" t="str">
        <f t="shared" si="57"/>
        <v/>
      </c>
      <c r="AN149" s="244" t="str">
        <f t="shared" si="58"/>
        <v/>
      </c>
      <c r="AO149" s="244" t="str">
        <f t="shared" si="59"/>
        <v/>
      </c>
      <c r="AP149" s="271" t="str">
        <f t="shared" si="40"/>
        <v/>
      </c>
      <c r="AQ149" s="265"/>
      <c r="AR149" s="263"/>
      <c r="AS149" s="84"/>
      <c r="AT149" s="86"/>
      <c r="AU149" s="87"/>
    </row>
    <row r="150" spans="1:47" ht="15" customHeight="1">
      <c r="A150" s="281" t="str">
        <f t="shared" si="39"/>
        <v/>
      </c>
      <c r="B150" s="282" t="str">
        <f t="shared" si="60"/>
        <v/>
      </c>
      <c r="C150" s="618" t="str">
        <f>IF(AND($S150="",$U150="",$W150="",$AA150="",$AE150="",$AG150="",$AI150=""),"",MAX($C$10:$C149)+1)</f>
        <v/>
      </c>
      <c r="D150" s="619" t="str">
        <f t="shared" si="51"/>
        <v/>
      </c>
      <c r="E150" s="619" t="str">
        <f t="shared" si="52"/>
        <v/>
      </c>
      <c r="F150" s="619" t="str">
        <f t="shared" si="53"/>
        <v/>
      </c>
      <c r="G150" s="619" t="str">
        <f t="shared" si="54"/>
        <v/>
      </c>
      <c r="H150" s="620" t="str">
        <f t="shared" si="63"/>
        <v/>
      </c>
      <c r="I150" s="316" t="s">
        <v>359</v>
      </c>
      <c r="J150" s="254"/>
      <c r="K150" s="50" t="str">
        <f>IF($W150="","",IF($W150=1,IF(VLOOKUP($S150,ﾏｽﾀ!$E$8:$K$124,ﾏｽﾀ!$J$4-ﾏｽﾀ!$D$4,0)="E",DAY($J$4),ABS(VLOOKUP($S150,ﾏｽﾀ!$E$8:$K$124,ﾏｽﾀ!$J$4-ﾏｽﾀ!$D$4,0))),IF(VLOOKUP($S150,ﾏｽﾀ!$E$8:$K$124,ﾏｽﾀ!$K$4-ﾏｽﾀ!$D$4,0)="E",DAY($J$4),ABS(VLOOKUP($S150,ﾏｽﾀ!$E$8:$K$124,ﾏｽﾀ!$K$4-ﾏｽﾀ!$D$4,0)))))</f>
        <v/>
      </c>
      <c r="L150" s="255"/>
      <c r="M150" s="255"/>
      <c r="N150" s="255"/>
      <c r="O150" s="50" t="str">
        <f>IF($S150="","",IF($M150="",IF($J150="","ERR",IF(VLOOKUP($S150,ﾏｽﾀ!$E$8:$K$124,ﾏｽﾀ!$J$4-ﾏｽﾀ!$D$4,0)="E",MONTH($J150),IF(MONTH($J150)-1=0,12,MONTH($J150)-1))),MONTH($M150)))</f>
        <v/>
      </c>
      <c r="P150" s="50" t="str">
        <f>IF($S150="","",IF($M150="",IF($K150="","ERR",IF(VLOOKUP($S150,ﾏｽﾀ!$E$8:$K$124,ﾏｽﾀ!$J$4-ﾏｽﾀ!$D$4,0)="E",1,$K150+1)),DAY($M150)))</f>
        <v/>
      </c>
      <c r="Q150" s="50" t="str">
        <f t="shared" si="61"/>
        <v/>
      </c>
      <c r="R150" s="50" t="str">
        <f t="shared" si="62"/>
        <v/>
      </c>
      <c r="S150" s="601" t="str">
        <f>IF($T150="","",INDEX(ﾏｽﾀ!$E$8:$E$124,MATCH(INDEX(ﾏｽﾀ!$N$8:$N$124,MATCH($T150,ﾏｽﾀ!$O$8:$O$124,0)),ﾏｽﾀ!$B$8:$B$124,0))&amp;"")</f>
        <v/>
      </c>
      <c r="T150" s="535"/>
      <c r="U150" s="601" t="str">
        <f>IF($T150="","",INDEX(ﾏｽﾀ!$G$8:$G$124,MATCH(INDEX(ﾏｽﾀ!$N$8:$N$124,MATCH($T150,ﾏｽﾀ!$O$8:$O$124,0)),ﾏｽﾀ!$B$8:$B$124,0))&amp;"")</f>
        <v/>
      </c>
      <c r="V150" s="257"/>
      <c r="W150" s="602" t="str">
        <f>IF($X150="","",INDEX(ﾏｽﾀ!$T$8:$T$16,MATCH($X150,ﾏｽﾀ!$U$8:$U$16,0))&amp;"")</f>
        <v/>
      </c>
      <c r="X150" s="248"/>
      <c r="Y150" s="260"/>
      <c r="Z150" s="260"/>
      <c r="AA150" s="256"/>
      <c r="AB150" s="492" t="str">
        <f>IF($W150="","",IF($AA150="","ERR",IF($AA150="1",IF($AE150="","ERR",VLOOKUP($AA150,ﾏｽﾀ!$W$8:$X$10,ﾏｽﾀ!$X$4,0)),IF($AA150="2",IF($AG150="","ERR",VLOOKUP($AA150,ﾏｽﾀ!$W$8:$X$10,ﾏｽﾀ!$X$4,0)),IF($AA150="3",IF($AI150="","ERR",VLOOKUP($AA150,ﾏｽﾀ!$W$8:$X$10,ﾏｽﾀ!$X$4,0)),"ERR")))))</f>
        <v/>
      </c>
      <c r="AC150" s="261"/>
      <c r="AD150" s="321" t="str">
        <f>IF($AA150="1",COUNTIF('納品書明細16-E'!$D$9:$D$206,$AN150)+COUNTIF('納品書明細F-15'!$D$9:$D$297,$AN150)-IF(ISNA(MATCH(CONCATENATE(VLOOKUP($AC150,$AB$1:$AC$4,2,FALSE),$S150,IF($U150="","00",$U150),$W150,2),$F$11:$F$160,0)),0,SUMIF($F$11:$F$160,CONCATENATE(VLOOKUP($AC150,$AB$1:$AC$4,2,FALSE),$S150,IF($U150="","00",$U150),$W150,2),$AF$11:$AF$160)),"")</f>
        <v/>
      </c>
      <c r="AE150" s="319" t="str">
        <f>IF($AA150="1",SUMIF('納品書明細16-E'!$C$9:$C$206,$AO150,'納品書明細16-E'!$Q$9:$Q$206)+SUMIF('納品書明細F-15'!$C$9:$C$297,$AO150,'納品書明細F-15'!$Q$9:$Q$297)-IF(ISNA(MATCH(CONCATENATE(VLOOKUP($AC150,$AB$1:$AC$4,2,FALSE),$S150,IF($U150="","00",$U150),$W150,2),$F$11:$F$160,0)),0,SUMIF($F$11:$F$160,CONCATENATE(VLOOKUP($AC150,$AB$1:$AC$4,2,FALSE),$S150,IF($U150="","00",$U150),$W150,2),$AG$11:$AG$160)),"")</f>
        <v/>
      </c>
      <c r="AF150" s="324"/>
      <c r="AG150" s="327"/>
      <c r="AH150" s="57"/>
      <c r="AI150" s="319" t="str">
        <f>IF($AH150="","",IF(ISNA(MATCH($AH150,'納品書明細16-E'!$H$9:$H$206,0)),IF(ISNA(MATCH($AH150,'納品書明細F-15'!$H$9:$H$297,0)),"ERR",SUMIF('納品書明細F-15'!$H$9:$H$297,$AH150,'納品書明細F-15'!$Q$9:$Q$297)),SUMIF('納品書明細16-E'!$H$9:$H$206,$AH150,'納品書明細16-E'!$Q$9:$Q$206)))</f>
        <v/>
      </c>
      <c r="AK150" s="328" t="str">
        <f t="shared" si="55"/>
        <v/>
      </c>
      <c r="AL150" s="269" t="str">
        <f t="shared" si="56"/>
        <v/>
      </c>
      <c r="AM150" s="270" t="str">
        <f t="shared" si="57"/>
        <v/>
      </c>
      <c r="AN150" s="244" t="str">
        <f t="shared" si="58"/>
        <v/>
      </c>
      <c r="AO150" s="244" t="str">
        <f t="shared" si="59"/>
        <v/>
      </c>
      <c r="AP150" s="271" t="str">
        <f t="shared" si="40"/>
        <v/>
      </c>
      <c r="AQ150" s="265"/>
      <c r="AR150" s="263"/>
      <c r="AS150" s="84"/>
      <c r="AT150" s="86"/>
      <c r="AU150" s="87"/>
    </row>
    <row r="151" spans="1:47" ht="15" customHeight="1">
      <c r="A151" s="281" t="str">
        <f t="shared" si="39"/>
        <v/>
      </c>
      <c r="B151" s="282" t="str">
        <f t="shared" si="60"/>
        <v/>
      </c>
      <c r="C151" s="618" t="str">
        <f>IF(AND($S151="",$U151="",$W151="",$AA151="",$AE151="",$AG151="",$AI151=""),"",MAX($C$10:$C150)+1)</f>
        <v/>
      </c>
      <c r="D151" s="619" t="str">
        <f t="shared" si="51"/>
        <v/>
      </c>
      <c r="E151" s="619" t="str">
        <f t="shared" si="52"/>
        <v/>
      </c>
      <c r="F151" s="619" t="str">
        <f t="shared" si="53"/>
        <v/>
      </c>
      <c r="G151" s="619" t="str">
        <f t="shared" si="54"/>
        <v/>
      </c>
      <c r="H151" s="620" t="str">
        <f t="shared" si="63"/>
        <v/>
      </c>
      <c r="I151" s="316" t="s">
        <v>360</v>
      </c>
      <c r="J151" s="254"/>
      <c r="K151" s="50" t="str">
        <f>IF($W151="","",IF($W151=1,IF(VLOOKUP($S151,ﾏｽﾀ!$E$8:$K$124,ﾏｽﾀ!$J$4-ﾏｽﾀ!$D$4,0)="E",DAY($J$4),ABS(VLOOKUP($S151,ﾏｽﾀ!$E$8:$K$124,ﾏｽﾀ!$J$4-ﾏｽﾀ!$D$4,0))),IF(VLOOKUP($S151,ﾏｽﾀ!$E$8:$K$124,ﾏｽﾀ!$K$4-ﾏｽﾀ!$D$4,0)="E",DAY($J$4),ABS(VLOOKUP($S151,ﾏｽﾀ!$E$8:$K$124,ﾏｽﾀ!$K$4-ﾏｽﾀ!$D$4,0)))))</f>
        <v/>
      </c>
      <c r="L151" s="255"/>
      <c r="M151" s="255"/>
      <c r="N151" s="255"/>
      <c r="O151" s="50" t="str">
        <f>IF($S151="","",IF($M151="",IF($J151="","ERR",IF(VLOOKUP($S151,ﾏｽﾀ!$E$8:$K$124,ﾏｽﾀ!$J$4-ﾏｽﾀ!$D$4,0)="E",MONTH($J151),IF(MONTH($J151)-1=0,12,MONTH($J151)-1))),MONTH($M151)))</f>
        <v/>
      </c>
      <c r="P151" s="50" t="str">
        <f>IF($S151="","",IF($M151="",IF($K151="","ERR",IF(VLOOKUP($S151,ﾏｽﾀ!$E$8:$K$124,ﾏｽﾀ!$J$4-ﾏｽﾀ!$D$4,0)="E",1,$K151+1)),DAY($M151)))</f>
        <v/>
      </c>
      <c r="Q151" s="50" t="str">
        <f t="shared" si="61"/>
        <v/>
      </c>
      <c r="R151" s="50" t="str">
        <f t="shared" si="62"/>
        <v/>
      </c>
      <c r="S151" s="601" t="str">
        <f>IF($T151="","",INDEX(ﾏｽﾀ!$E$8:$E$124,MATCH(INDEX(ﾏｽﾀ!$N$8:$N$124,MATCH($T151,ﾏｽﾀ!$O$8:$O$124,0)),ﾏｽﾀ!$B$8:$B$124,0))&amp;"")</f>
        <v/>
      </c>
      <c r="T151" s="535"/>
      <c r="U151" s="601" t="str">
        <f>IF($T151="","",INDEX(ﾏｽﾀ!$G$8:$G$124,MATCH(INDEX(ﾏｽﾀ!$N$8:$N$124,MATCH($T151,ﾏｽﾀ!$O$8:$O$124,0)),ﾏｽﾀ!$B$8:$B$124,0))&amp;"")</f>
        <v/>
      </c>
      <c r="V151" s="257"/>
      <c r="W151" s="602" t="str">
        <f>IF($X151="","",INDEX(ﾏｽﾀ!$T$8:$T$16,MATCH($X151,ﾏｽﾀ!$U$8:$U$16,0))&amp;"")</f>
        <v/>
      </c>
      <c r="X151" s="248"/>
      <c r="Y151" s="260"/>
      <c r="Z151" s="260"/>
      <c r="AA151" s="256"/>
      <c r="AB151" s="492" t="str">
        <f>IF($W151="","",IF($AA151="","ERR",IF($AA151="1",IF($AE151="","ERR",VLOOKUP($AA151,ﾏｽﾀ!$W$8:$X$10,ﾏｽﾀ!$X$4,0)),IF($AA151="2",IF($AG151="","ERR",VLOOKUP($AA151,ﾏｽﾀ!$W$8:$X$10,ﾏｽﾀ!$X$4,0)),IF($AA151="3",IF($AI151="","ERR",VLOOKUP($AA151,ﾏｽﾀ!$W$8:$X$10,ﾏｽﾀ!$X$4,0)),"ERR")))))</f>
        <v/>
      </c>
      <c r="AC151" s="261"/>
      <c r="AD151" s="321" t="str">
        <f>IF($AA151="1",COUNTIF('納品書明細16-E'!$D$9:$D$206,$AN151)+COUNTIF('納品書明細F-15'!$D$9:$D$297,$AN151)-IF(ISNA(MATCH(CONCATENATE(VLOOKUP($AC151,$AB$1:$AC$4,2,FALSE),$S151,IF($U151="","00",$U151),$W151,2),$F$11:$F$160,0)),0,SUMIF($F$11:$F$160,CONCATENATE(VLOOKUP($AC151,$AB$1:$AC$4,2,FALSE),$S151,IF($U151="","00",$U151),$W151,2),$AF$11:$AF$160)),"")</f>
        <v/>
      </c>
      <c r="AE151" s="319" t="str">
        <f>IF($AA151="1",SUMIF('納品書明細16-E'!$C$9:$C$206,$AO151,'納品書明細16-E'!$Q$9:$Q$206)+SUMIF('納品書明細F-15'!$C$9:$C$297,$AO151,'納品書明細F-15'!$Q$9:$Q$297)-IF(ISNA(MATCH(CONCATENATE(VLOOKUP($AC151,$AB$1:$AC$4,2,FALSE),$S151,IF($U151="","00",$U151),$W151,2),$F$11:$F$160,0)),0,SUMIF($F$11:$F$160,CONCATENATE(VLOOKUP($AC151,$AB$1:$AC$4,2,FALSE),$S151,IF($U151="","00",$U151),$W151,2),$AG$11:$AG$160)),"")</f>
        <v/>
      </c>
      <c r="AF151" s="324"/>
      <c r="AG151" s="327"/>
      <c r="AH151" s="57"/>
      <c r="AI151" s="319" t="str">
        <f>IF($AH151="","",IF(ISNA(MATCH($AH151,'納品書明細16-E'!$H$9:$H$206,0)),IF(ISNA(MATCH($AH151,'納品書明細F-15'!$H$9:$H$297,0)),"ERR",SUMIF('納品書明細F-15'!$H$9:$H$297,$AH151,'納品書明細F-15'!$Q$9:$Q$297)),SUMIF('納品書明細16-E'!$H$9:$H$206,$AH151,'納品書明細16-E'!$Q$9:$Q$206)))</f>
        <v/>
      </c>
      <c r="AK151" s="328" t="str">
        <f t="shared" si="55"/>
        <v/>
      </c>
      <c r="AL151" s="269" t="str">
        <f t="shared" si="56"/>
        <v/>
      </c>
      <c r="AM151" s="270" t="str">
        <f t="shared" si="57"/>
        <v/>
      </c>
      <c r="AN151" s="244" t="str">
        <f t="shared" si="58"/>
        <v/>
      </c>
      <c r="AO151" s="244" t="str">
        <f t="shared" si="59"/>
        <v/>
      </c>
      <c r="AP151" s="271" t="str">
        <f t="shared" si="40"/>
        <v/>
      </c>
      <c r="AQ151" s="265"/>
      <c r="AR151" s="263"/>
      <c r="AS151" s="84"/>
      <c r="AT151" s="86"/>
      <c r="AU151" s="87"/>
    </row>
    <row r="152" spans="1:47" ht="15" customHeight="1">
      <c r="A152" s="281" t="str">
        <f t="shared" si="39"/>
        <v/>
      </c>
      <c r="B152" s="282" t="str">
        <f t="shared" si="60"/>
        <v/>
      </c>
      <c r="C152" s="618" t="str">
        <f>IF(AND($S152="",$U152="",$W152="",$AA152="",$AE152="",$AG152="",$AI152=""),"",MAX($C$10:$C151)+1)</f>
        <v/>
      </c>
      <c r="D152" s="619" t="str">
        <f t="shared" si="51"/>
        <v/>
      </c>
      <c r="E152" s="619" t="str">
        <f t="shared" si="52"/>
        <v/>
      </c>
      <c r="F152" s="619" t="str">
        <f t="shared" si="53"/>
        <v/>
      </c>
      <c r="G152" s="619" t="str">
        <f t="shared" si="54"/>
        <v/>
      </c>
      <c r="H152" s="620" t="str">
        <f t="shared" si="63"/>
        <v/>
      </c>
      <c r="I152" s="316" t="s">
        <v>361</v>
      </c>
      <c r="J152" s="254"/>
      <c r="K152" s="50" t="str">
        <f>IF($W152="","",IF($W152=1,IF(VLOOKUP($S152,ﾏｽﾀ!$E$8:$K$124,ﾏｽﾀ!$J$4-ﾏｽﾀ!$D$4,0)="E",DAY($J$4),ABS(VLOOKUP($S152,ﾏｽﾀ!$E$8:$K$124,ﾏｽﾀ!$J$4-ﾏｽﾀ!$D$4,0))),IF(VLOOKUP($S152,ﾏｽﾀ!$E$8:$K$124,ﾏｽﾀ!$K$4-ﾏｽﾀ!$D$4,0)="E",DAY($J$4),ABS(VLOOKUP($S152,ﾏｽﾀ!$E$8:$K$124,ﾏｽﾀ!$K$4-ﾏｽﾀ!$D$4,0)))))</f>
        <v/>
      </c>
      <c r="L152" s="255"/>
      <c r="M152" s="255"/>
      <c r="N152" s="255"/>
      <c r="O152" s="50" t="str">
        <f>IF($S152="","",IF($M152="",IF($J152="","ERR",IF(VLOOKUP($S152,ﾏｽﾀ!$E$8:$K$124,ﾏｽﾀ!$J$4-ﾏｽﾀ!$D$4,0)="E",MONTH($J152),IF(MONTH($J152)-1=0,12,MONTH($J152)-1))),MONTH($M152)))</f>
        <v/>
      </c>
      <c r="P152" s="50" t="str">
        <f>IF($S152="","",IF($M152="",IF($K152="","ERR",IF(VLOOKUP($S152,ﾏｽﾀ!$E$8:$K$124,ﾏｽﾀ!$J$4-ﾏｽﾀ!$D$4,0)="E",1,$K152+1)),DAY($M152)))</f>
        <v/>
      </c>
      <c r="Q152" s="50" t="str">
        <f t="shared" si="61"/>
        <v/>
      </c>
      <c r="R152" s="50" t="str">
        <f t="shared" si="62"/>
        <v/>
      </c>
      <c r="S152" s="601" t="str">
        <f>IF($T152="","",INDEX(ﾏｽﾀ!$E$8:$E$124,MATCH(INDEX(ﾏｽﾀ!$N$8:$N$124,MATCH($T152,ﾏｽﾀ!$O$8:$O$124,0)),ﾏｽﾀ!$B$8:$B$124,0))&amp;"")</f>
        <v/>
      </c>
      <c r="T152" s="535"/>
      <c r="U152" s="601" t="str">
        <f>IF($T152="","",INDEX(ﾏｽﾀ!$G$8:$G$124,MATCH(INDEX(ﾏｽﾀ!$N$8:$N$124,MATCH($T152,ﾏｽﾀ!$O$8:$O$124,0)),ﾏｽﾀ!$B$8:$B$124,0))&amp;"")</f>
        <v/>
      </c>
      <c r="V152" s="257"/>
      <c r="W152" s="602" t="str">
        <f>IF($X152="","",INDEX(ﾏｽﾀ!$T$8:$T$16,MATCH($X152,ﾏｽﾀ!$U$8:$U$16,0))&amp;"")</f>
        <v/>
      </c>
      <c r="X152" s="248"/>
      <c r="Y152" s="260"/>
      <c r="Z152" s="260"/>
      <c r="AA152" s="256"/>
      <c r="AB152" s="492" t="str">
        <f>IF($W152="","",IF($AA152="","ERR",IF($AA152="1",IF($AE152="","ERR",VLOOKUP($AA152,ﾏｽﾀ!$W$8:$X$10,ﾏｽﾀ!$X$4,0)),IF($AA152="2",IF($AG152="","ERR",VLOOKUP($AA152,ﾏｽﾀ!$W$8:$X$10,ﾏｽﾀ!$X$4,0)),IF($AA152="3",IF($AI152="","ERR",VLOOKUP($AA152,ﾏｽﾀ!$W$8:$X$10,ﾏｽﾀ!$X$4,0)),"ERR")))))</f>
        <v/>
      </c>
      <c r="AC152" s="261"/>
      <c r="AD152" s="321" t="str">
        <f>IF($AA152="1",COUNTIF('納品書明細16-E'!$D$9:$D$206,$AN152)+COUNTIF('納品書明細F-15'!$D$9:$D$297,$AN152)-IF(ISNA(MATCH(CONCATENATE(VLOOKUP($AC152,$AB$1:$AC$4,2,FALSE),$S152,IF($U152="","00",$U152),$W152,2),$F$11:$F$160,0)),0,SUMIF($F$11:$F$160,CONCATENATE(VLOOKUP($AC152,$AB$1:$AC$4,2,FALSE),$S152,IF($U152="","00",$U152),$W152,2),$AF$11:$AF$160)),"")</f>
        <v/>
      </c>
      <c r="AE152" s="319" t="str">
        <f>IF($AA152="1",SUMIF('納品書明細16-E'!$C$9:$C$206,$AO152,'納品書明細16-E'!$Q$9:$Q$206)+SUMIF('納品書明細F-15'!$C$9:$C$297,$AO152,'納品書明細F-15'!$Q$9:$Q$297)-IF(ISNA(MATCH(CONCATENATE(VLOOKUP($AC152,$AB$1:$AC$4,2,FALSE),$S152,IF($U152="","00",$U152),$W152,2),$F$11:$F$160,0)),0,SUMIF($F$11:$F$160,CONCATENATE(VLOOKUP($AC152,$AB$1:$AC$4,2,FALSE),$S152,IF($U152="","00",$U152),$W152,2),$AG$11:$AG$160)),"")</f>
        <v/>
      </c>
      <c r="AF152" s="324"/>
      <c r="AG152" s="327"/>
      <c r="AH152" s="57"/>
      <c r="AI152" s="319" t="str">
        <f>IF($AH152="","",IF(ISNA(MATCH($AH152,'納品書明細16-E'!$H$9:$H$206,0)),IF(ISNA(MATCH($AH152,'納品書明細F-15'!$H$9:$H$297,0)),"ERR",SUMIF('納品書明細F-15'!$H$9:$H$297,$AH152,'納品書明細F-15'!$Q$9:$Q$297)),SUMIF('納品書明細16-E'!$H$9:$H$206,$AH152,'納品書明細16-E'!$Q$9:$Q$206)))</f>
        <v/>
      </c>
      <c r="AK152" s="328" t="str">
        <f t="shared" si="55"/>
        <v/>
      </c>
      <c r="AL152" s="269" t="str">
        <f t="shared" si="56"/>
        <v/>
      </c>
      <c r="AM152" s="270" t="str">
        <f t="shared" si="57"/>
        <v/>
      </c>
      <c r="AN152" s="244" t="str">
        <f t="shared" si="58"/>
        <v/>
      </c>
      <c r="AO152" s="244" t="str">
        <f t="shared" si="59"/>
        <v/>
      </c>
      <c r="AP152" s="271" t="str">
        <f t="shared" si="40"/>
        <v/>
      </c>
      <c r="AQ152" s="265"/>
      <c r="AR152" s="263"/>
      <c r="AS152" s="84"/>
      <c r="AT152" s="86"/>
      <c r="AU152" s="87"/>
    </row>
    <row r="153" spans="1:47" ht="15" customHeight="1">
      <c r="A153" s="281" t="str">
        <f t="shared" si="39"/>
        <v/>
      </c>
      <c r="B153" s="282" t="str">
        <f t="shared" si="60"/>
        <v/>
      </c>
      <c r="C153" s="618" t="str">
        <f>IF(AND($S153="",$U153="",$W153="",$AA153="",$AE153="",$AG153="",$AI153=""),"",MAX($C$10:$C152)+1)</f>
        <v/>
      </c>
      <c r="D153" s="619" t="str">
        <f t="shared" si="51"/>
        <v/>
      </c>
      <c r="E153" s="619" t="str">
        <f t="shared" si="52"/>
        <v/>
      </c>
      <c r="F153" s="619" t="str">
        <f t="shared" si="53"/>
        <v/>
      </c>
      <c r="G153" s="619" t="str">
        <f t="shared" si="54"/>
        <v/>
      </c>
      <c r="H153" s="620" t="str">
        <f t="shared" si="63"/>
        <v/>
      </c>
      <c r="I153" s="316" t="s">
        <v>362</v>
      </c>
      <c r="J153" s="254"/>
      <c r="K153" s="50" t="str">
        <f>IF($W153="","",IF($W153=1,IF(VLOOKUP($S153,ﾏｽﾀ!$E$8:$K$124,ﾏｽﾀ!$J$4-ﾏｽﾀ!$D$4,0)="E",DAY($J$4),ABS(VLOOKUP($S153,ﾏｽﾀ!$E$8:$K$124,ﾏｽﾀ!$J$4-ﾏｽﾀ!$D$4,0))),IF(VLOOKUP($S153,ﾏｽﾀ!$E$8:$K$124,ﾏｽﾀ!$K$4-ﾏｽﾀ!$D$4,0)="E",DAY($J$4),ABS(VLOOKUP($S153,ﾏｽﾀ!$E$8:$K$124,ﾏｽﾀ!$K$4-ﾏｽﾀ!$D$4,0)))))</f>
        <v/>
      </c>
      <c r="L153" s="255"/>
      <c r="M153" s="255"/>
      <c r="N153" s="255"/>
      <c r="O153" s="50" t="str">
        <f>IF($S153="","",IF($M153="",IF($J153="","ERR",IF(VLOOKUP($S153,ﾏｽﾀ!$E$8:$K$124,ﾏｽﾀ!$J$4-ﾏｽﾀ!$D$4,0)="E",MONTH($J153),IF(MONTH($J153)-1=0,12,MONTH($J153)-1))),MONTH($M153)))</f>
        <v/>
      </c>
      <c r="P153" s="50" t="str">
        <f>IF($S153="","",IF($M153="",IF($K153="","ERR",IF(VLOOKUP($S153,ﾏｽﾀ!$E$8:$K$124,ﾏｽﾀ!$J$4-ﾏｽﾀ!$D$4,0)="E",1,$K153+1)),DAY($M153)))</f>
        <v/>
      </c>
      <c r="Q153" s="50" t="str">
        <f t="shared" si="61"/>
        <v/>
      </c>
      <c r="R153" s="50" t="str">
        <f t="shared" si="62"/>
        <v/>
      </c>
      <c r="S153" s="601" t="str">
        <f>IF($T153="","",INDEX(ﾏｽﾀ!$E$8:$E$124,MATCH(INDEX(ﾏｽﾀ!$N$8:$N$124,MATCH($T153,ﾏｽﾀ!$O$8:$O$124,0)),ﾏｽﾀ!$B$8:$B$124,0))&amp;"")</f>
        <v/>
      </c>
      <c r="T153" s="535"/>
      <c r="U153" s="601" t="str">
        <f>IF($T153="","",INDEX(ﾏｽﾀ!$G$8:$G$124,MATCH(INDEX(ﾏｽﾀ!$N$8:$N$124,MATCH($T153,ﾏｽﾀ!$O$8:$O$124,0)),ﾏｽﾀ!$B$8:$B$124,0))&amp;"")</f>
        <v/>
      </c>
      <c r="V153" s="257"/>
      <c r="W153" s="602" t="str">
        <f>IF($X153="","",INDEX(ﾏｽﾀ!$T$8:$T$16,MATCH($X153,ﾏｽﾀ!$U$8:$U$16,0))&amp;"")</f>
        <v/>
      </c>
      <c r="X153" s="248"/>
      <c r="Y153" s="260"/>
      <c r="Z153" s="260"/>
      <c r="AA153" s="256"/>
      <c r="AB153" s="492" t="str">
        <f>IF($W153="","",IF($AA153="","ERR",IF($AA153="1",IF($AE153="","ERR",VLOOKUP($AA153,ﾏｽﾀ!$W$8:$X$10,ﾏｽﾀ!$X$4,0)),IF($AA153="2",IF($AG153="","ERR",VLOOKUP($AA153,ﾏｽﾀ!$W$8:$X$10,ﾏｽﾀ!$X$4,0)),IF($AA153="3",IF($AI153="","ERR",VLOOKUP($AA153,ﾏｽﾀ!$W$8:$X$10,ﾏｽﾀ!$X$4,0)),"ERR")))))</f>
        <v/>
      </c>
      <c r="AC153" s="261"/>
      <c r="AD153" s="321" t="str">
        <f>IF($AA153="1",COUNTIF('納品書明細16-E'!$D$9:$D$206,$AN153)+COUNTIF('納品書明細F-15'!$D$9:$D$297,$AN153)-IF(ISNA(MATCH(CONCATENATE(VLOOKUP($AC153,$AB$1:$AC$4,2,FALSE),$S153,IF($U153="","00",$U153),$W153,2),$F$11:$F$160,0)),0,SUMIF($F$11:$F$160,CONCATENATE(VLOOKUP($AC153,$AB$1:$AC$4,2,FALSE),$S153,IF($U153="","00",$U153),$W153,2),$AF$11:$AF$160)),"")</f>
        <v/>
      </c>
      <c r="AE153" s="319" t="str">
        <f>IF($AA153="1",SUMIF('納品書明細16-E'!$C$9:$C$206,$AO153,'納品書明細16-E'!$Q$9:$Q$206)+SUMIF('納品書明細F-15'!$C$9:$C$297,$AO153,'納品書明細F-15'!$Q$9:$Q$297)-IF(ISNA(MATCH(CONCATENATE(VLOOKUP($AC153,$AB$1:$AC$4,2,FALSE),$S153,IF($U153="","00",$U153),$W153,2),$F$11:$F$160,0)),0,SUMIF($F$11:$F$160,CONCATENATE(VLOOKUP($AC153,$AB$1:$AC$4,2,FALSE),$S153,IF($U153="","00",$U153),$W153,2),$AG$11:$AG$160)),"")</f>
        <v/>
      </c>
      <c r="AF153" s="324"/>
      <c r="AG153" s="327"/>
      <c r="AH153" s="57"/>
      <c r="AI153" s="319" t="str">
        <f>IF($AH153="","",IF(ISNA(MATCH($AH153,'納品書明細16-E'!$H$9:$H$206,0)),IF(ISNA(MATCH($AH153,'納品書明細F-15'!$H$9:$H$297,0)),"ERR",SUMIF('納品書明細F-15'!$H$9:$H$297,$AH153,'納品書明細F-15'!$Q$9:$Q$297)),SUMIF('納品書明細16-E'!$H$9:$H$206,$AH153,'納品書明細16-E'!$Q$9:$Q$206)))</f>
        <v/>
      </c>
      <c r="AK153" s="328" t="str">
        <f t="shared" si="55"/>
        <v/>
      </c>
      <c r="AL153" s="269" t="str">
        <f t="shared" si="56"/>
        <v/>
      </c>
      <c r="AM153" s="270" t="str">
        <f t="shared" si="57"/>
        <v/>
      </c>
      <c r="AN153" s="244" t="str">
        <f t="shared" si="58"/>
        <v/>
      </c>
      <c r="AO153" s="244" t="str">
        <f t="shared" si="59"/>
        <v/>
      </c>
      <c r="AP153" s="271" t="str">
        <f t="shared" si="40"/>
        <v/>
      </c>
      <c r="AQ153" s="265"/>
      <c r="AR153" s="263"/>
      <c r="AS153" s="84"/>
      <c r="AT153" s="86"/>
      <c r="AU153" s="87"/>
    </row>
    <row r="154" spans="1:47" ht="15" customHeight="1">
      <c r="A154" s="281" t="str">
        <f t="shared" si="39"/>
        <v/>
      </c>
      <c r="B154" s="282" t="str">
        <f t="shared" si="60"/>
        <v/>
      </c>
      <c r="C154" s="618" t="str">
        <f>IF(AND($S154="",$U154="",$W154="",$AA154="",$AE154="",$AG154="",$AI154=""),"",MAX($C$10:$C153)+1)</f>
        <v/>
      </c>
      <c r="D154" s="619" t="str">
        <f t="shared" si="51"/>
        <v/>
      </c>
      <c r="E154" s="619" t="str">
        <f t="shared" si="52"/>
        <v/>
      </c>
      <c r="F154" s="619" t="str">
        <f t="shared" si="53"/>
        <v/>
      </c>
      <c r="G154" s="619" t="str">
        <f t="shared" si="54"/>
        <v/>
      </c>
      <c r="H154" s="620" t="str">
        <f t="shared" si="63"/>
        <v/>
      </c>
      <c r="I154" s="316" t="s">
        <v>363</v>
      </c>
      <c r="J154" s="254"/>
      <c r="K154" s="50" t="str">
        <f>IF($W154="","",IF($W154=1,IF(VLOOKUP($S154,ﾏｽﾀ!$E$8:$K$124,ﾏｽﾀ!$J$4-ﾏｽﾀ!$D$4,0)="E",DAY($J$4),ABS(VLOOKUP($S154,ﾏｽﾀ!$E$8:$K$124,ﾏｽﾀ!$J$4-ﾏｽﾀ!$D$4,0))),IF(VLOOKUP($S154,ﾏｽﾀ!$E$8:$K$124,ﾏｽﾀ!$K$4-ﾏｽﾀ!$D$4,0)="E",DAY($J$4),ABS(VLOOKUP($S154,ﾏｽﾀ!$E$8:$K$124,ﾏｽﾀ!$K$4-ﾏｽﾀ!$D$4,0)))))</f>
        <v/>
      </c>
      <c r="L154" s="255"/>
      <c r="M154" s="255"/>
      <c r="N154" s="255"/>
      <c r="O154" s="50" t="str">
        <f>IF($S154="","",IF($M154="",IF($J154="","ERR",IF(VLOOKUP($S154,ﾏｽﾀ!$E$8:$K$124,ﾏｽﾀ!$J$4-ﾏｽﾀ!$D$4,0)="E",MONTH($J154),IF(MONTH($J154)-1=0,12,MONTH($J154)-1))),MONTH($M154)))</f>
        <v/>
      </c>
      <c r="P154" s="50" t="str">
        <f>IF($S154="","",IF($M154="",IF($K154="","ERR",IF(VLOOKUP($S154,ﾏｽﾀ!$E$8:$K$124,ﾏｽﾀ!$J$4-ﾏｽﾀ!$D$4,0)="E",1,$K154+1)),DAY($M154)))</f>
        <v/>
      </c>
      <c r="Q154" s="50" t="str">
        <f t="shared" si="61"/>
        <v/>
      </c>
      <c r="R154" s="50" t="str">
        <f t="shared" si="62"/>
        <v/>
      </c>
      <c r="S154" s="601" t="str">
        <f>IF($T154="","",INDEX(ﾏｽﾀ!$E$8:$E$124,MATCH(INDEX(ﾏｽﾀ!$N$8:$N$124,MATCH($T154,ﾏｽﾀ!$O$8:$O$124,0)),ﾏｽﾀ!$B$8:$B$124,0))&amp;"")</f>
        <v/>
      </c>
      <c r="T154" s="535"/>
      <c r="U154" s="601" t="str">
        <f>IF($T154="","",INDEX(ﾏｽﾀ!$G$8:$G$124,MATCH(INDEX(ﾏｽﾀ!$N$8:$N$124,MATCH($T154,ﾏｽﾀ!$O$8:$O$124,0)),ﾏｽﾀ!$B$8:$B$124,0))&amp;"")</f>
        <v/>
      </c>
      <c r="V154" s="257"/>
      <c r="W154" s="602" t="str">
        <f>IF($X154="","",INDEX(ﾏｽﾀ!$T$8:$T$16,MATCH($X154,ﾏｽﾀ!$U$8:$U$16,0))&amp;"")</f>
        <v/>
      </c>
      <c r="X154" s="248"/>
      <c r="Y154" s="260"/>
      <c r="Z154" s="260"/>
      <c r="AA154" s="256"/>
      <c r="AB154" s="492" t="str">
        <f>IF($W154="","",IF($AA154="","ERR",IF($AA154="1",IF($AE154="","ERR",VLOOKUP($AA154,ﾏｽﾀ!$W$8:$X$10,ﾏｽﾀ!$X$4,0)),IF($AA154="2",IF($AG154="","ERR",VLOOKUP($AA154,ﾏｽﾀ!$W$8:$X$10,ﾏｽﾀ!$X$4,0)),IF($AA154="3",IF($AI154="","ERR",VLOOKUP($AA154,ﾏｽﾀ!$W$8:$X$10,ﾏｽﾀ!$X$4,0)),"ERR")))))</f>
        <v/>
      </c>
      <c r="AC154" s="261"/>
      <c r="AD154" s="321" t="str">
        <f>IF($AA154="1",COUNTIF('納品書明細16-E'!$D$9:$D$206,$AN154)+COUNTIF('納品書明細F-15'!$D$9:$D$297,$AN154)-IF(ISNA(MATCH(CONCATENATE(VLOOKUP($AC154,$AB$1:$AC$4,2,FALSE),$S154,IF($U154="","00",$U154),$W154,2),$F$11:$F$160,0)),0,SUMIF($F$11:$F$160,CONCATENATE(VLOOKUP($AC154,$AB$1:$AC$4,2,FALSE),$S154,IF($U154="","00",$U154),$W154,2),$AF$11:$AF$160)),"")</f>
        <v/>
      </c>
      <c r="AE154" s="319" t="str">
        <f>IF($AA154="1",SUMIF('納品書明細16-E'!$C$9:$C$206,$AO154,'納品書明細16-E'!$Q$9:$Q$206)+SUMIF('納品書明細F-15'!$C$9:$C$297,$AO154,'納品書明細F-15'!$Q$9:$Q$297)-IF(ISNA(MATCH(CONCATENATE(VLOOKUP($AC154,$AB$1:$AC$4,2,FALSE),$S154,IF($U154="","00",$U154),$W154,2),$F$11:$F$160,0)),0,SUMIF($F$11:$F$160,CONCATENATE(VLOOKUP($AC154,$AB$1:$AC$4,2,FALSE),$S154,IF($U154="","00",$U154),$W154,2),$AG$11:$AG$160)),"")</f>
        <v/>
      </c>
      <c r="AF154" s="324"/>
      <c r="AG154" s="327"/>
      <c r="AH154" s="57"/>
      <c r="AI154" s="319" t="str">
        <f>IF($AH154="","",IF(ISNA(MATCH($AH154,'納品書明細16-E'!$H$9:$H$206,0)),IF(ISNA(MATCH($AH154,'納品書明細F-15'!$H$9:$H$297,0)),"ERR",SUMIF('納品書明細F-15'!$H$9:$H$297,$AH154,'納品書明細F-15'!$Q$9:$Q$297)),SUMIF('納品書明細16-E'!$H$9:$H$206,$AH154,'納品書明細16-E'!$Q$9:$Q$206)))</f>
        <v/>
      </c>
      <c r="AK154" s="328" t="str">
        <f t="shared" si="55"/>
        <v/>
      </c>
      <c r="AL154" s="269" t="str">
        <f t="shared" si="56"/>
        <v/>
      </c>
      <c r="AM154" s="270" t="str">
        <f t="shared" si="57"/>
        <v/>
      </c>
      <c r="AN154" s="244" t="str">
        <f t="shared" si="58"/>
        <v/>
      </c>
      <c r="AO154" s="244" t="str">
        <f t="shared" si="59"/>
        <v/>
      </c>
      <c r="AP154" s="271" t="str">
        <f t="shared" si="40"/>
        <v/>
      </c>
      <c r="AQ154" s="265"/>
      <c r="AR154" s="263"/>
      <c r="AS154" s="84"/>
      <c r="AT154" s="86"/>
      <c r="AU154" s="87"/>
    </row>
    <row r="155" spans="1:47" ht="15" customHeight="1">
      <c r="A155" s="281" t="str">
        <f t="shared" si="39"/>
        <v/>
      </c>
      <c r="B155" s="282" t="str">
        <f t="shared" si="60"/>
        <v/>
      </c>
      <c r="C155" s="618" t="str">
        <f>IF(AND($S155="",$U155="",$W155="",$AA155="",$AE155="",$AG155="",$AI155=""),"",MAX($C$10:$C154)+1)</f>
        <v/>
      </c>
      <c r="D155" s="619" t="str">
        <f t="shared" si="51"/>
        <v/>
      </c>
      <c r="E155" s="619" t="str">
        <f t="shared" si="52"/>
        <v/>
      </c>
      <c r="F155" s="619" t="str">
        <f t="shared" si="53"/>
        <v/>
      </c>
      <c r="G155" s="619" t="str">
        <f t="shared" si="54"/>
        <v/>
      </c>
      <c r="H155" s="620" t="str">
        <f t="shared" si="63"/>
        <v/>
      </c>
      <c r="I155" s="316" t="s">
        <v>364</v>
      </c>
      <c r="J155" s="254"/>
      <c r="K155" s="50" t="str">
        <f>IF($W155="","",IF($W155=1,IF(VLOOKUP($S155,ﾏｽﾀ!$E$8:$K$124,ﾏｽﾀ!$J$4-ﾏｽﾀ!$D$4,0)="E",DAY($J$4),ABS(VLOOKUP($S155,ﾏｽﾀ!$E$8:$K$124,ﾏｽﾀ!$J$4-ﾏｽﾀ!$D$4,0))),IF(VLOOKUP($S155,ﾏｽﾀ!$E$8:$K$124,ﾏｽﾀ!$K$4-ﾏｽﾀ!$D$4,0)="E",DAY($J$4),ABS(VLOOKUP($S155,ﾏｽﾀ!$E$8:$K$124,ﾏｽﾀ!$K$4-ﾏｽﾀ!$D$4,0)))))</f>
        <v/>
      </c>
      <c r="L155" s="255"/>
      <c r="M155" s="255"/>
      <c r="N155" s="255"/>
      <c r="O155" s="50" t="str">
        <f>IF($S155="","",IF($M155="",IF($J155="","ERR",IF(VLOOKUP($S155,ﾏｽﾀ!$E$8:$K$124,ﾏｽﾀ!$J$4-ﾏｽﾀ!$D$4,0)="E",MONTH($J155),IF(MONTH($J155)-1=0,12,MONTH($J155)-1))),MONTH($M155)))</f>
        <v/>
      </c>
      <c r="P155" s="50" t="str">
        <f>IF($S155="","",IF($M155="",IF($K155="","ERR",IF(VLOOKUP($S155,ﾏｽﾀ!$E$8:$K$124,ﾏｽﾀ!$J$4-ﾏｽﾀ!$D$4,0)="E",1,$K155+1)),DAY($M155)))</f>
        <v/>
      </c>
      <c r="Q155" s="50" t="str">
        <f t="shared" si="61"/>
        <v/>
      </c>
      <c r="R155" s="50" t="str">
        <f t="shared" si="62"/>
        <v/>
      </c>
      <c r="S155" s="601" t="str">
        <f>IF($T155="","",INDEX(ﾏｽﾀ!$E$8:$E$124,MATCH(INDEX(ﾏｽﾀ!$N$8:$N$124,MATCH($T155,ﾏｽﾀ!$O$8:$O$124,0)),ﾏｽﾀ!$B$8:$B$124,0))&amp;"")</f>
        <v/>
      </c>
      <c r="T155" s="535"/>
      <c r="U155" s="601" t="str">
        <f>IF($T155="","",INDEX(ﾏｽﾀ!$G$8:$G$124,MATCH(INDEX(ﾏｽﾀ!$N$8:$N$124,MATCH($T155,ﾏｽﾀ!$O$8:$O$124,0)),ﾏｽﾀ!$B$8:$B$124,0))&amp;"")</f>
        <v/>
      </c>
      <c r="V155" s="257"/>
      <c r="W155" s="602" t="str">
        <f>IF($X155="","",INDEX(ﾏｽﾀ!$T$8:$T$16,MATCH($X155,ﾏｽﾀ!$U$8:$U$16,0))&amp;"")</f>
        <v/>
      </c>
      <c r="X155" s="248"/>
      <c r="Y155" s="260"/>
      <c r="Z155" s="260"/>
      <c r="AA155" s="256"/>
      <c r="AB155" s="492" t="str">
        <f>IF($W155="","",IF($AA155="","ERR",IF($AA155="1",IF($AE155="","ERR",VLOOKUP($AA155,ﾏｽﾀ!$W$8:$X$10,ﾏｽﾀ!$X$4,0)),IF($AA155="2",IF($AG155="","ERR",VLOOKUP($AA155,ﾏｽﾀ!$W$8:$X$10,ﾏｽﾀ!$X$4,0)),IF($AA155="3",IF($AI155="","ERR",VLOOKUP($AA155,ﾏｽﾀ!$W$8:$X$10,ﾏｽﾀ!$X$4,0)),"ERR")))))</f>
        <v/>
      </c>
      <c r="AC155" s="261"/>
      <c r="AD155" s="321" t="str">
        <f>IF($AA155="1",COUNTIF('納品書明細16-E'!$D$9:$D$206,$AN155)+COUNTIF('納品書明細F-15'!$D$9:$D$297,$AN155)-IF(ISNA(MATCH(CONCATENATE(VLOOKUP($AC155,$AB$1:$AC$4,2,FALSE),$S155,IF($U155="","00",$U155),$W155,2),$F$11:$F$160,0)),0,SUMIF($F$11:$F$160,CONCATENATE(VLOOKUP($AC155,$AB$1:$AC$4,2,FALSE),$S155,IF($U155="","00",$U155),$W155,2),$AF$11:$AF$160)),"")</f>
        <v/>
      </c>
      <c r="AE155" s="319" t="str">
        <f>IF($AA155="1",SUMIF('納品書明細16-E'!$C$9:$C$206,$AO155,'納品書明細16-E'!$Q$9:$Q$206)+SUMIF('納品書明細F-15'!$C$9:$C$297,$AO155,'納品書明細F-15'!$Q$9:$Q$297)-IF(ISNA(MATCH(CONCATENATE(VLOOKUP($AC155,$AB$1:$AC$4,2,FALSE),$S155,IF($U155="","00",$U155),$W155,2),$F$11:$F$160,0)),0,SUMIF($F$11:$F$160,CONCATENATE(VLOOKUP($AC155,$AB$1:$AC$4,2,FALSE),$S155,IF($U155="","00",$U155),$W155,2),$AG$11:$AG$160)),"")</f>
        <v/>
      </c>
      <c r="AF155" s="324"/>
      <c r="AG155" s="327"/>
      <c r="AH155" s="57"/>
      <c r="AI155" s="319" t="str">
        <f>IF($AH155="","",IF(ISNA(MATCH($AH155,'納品書明細16-E'!$H$9:$H$206,0)),IF(ISNA(MATCH($AH155,'納品書明細F-15'!$H$9:$H$297,0)),"ERR",SUMIF('納品書明細F-15'!$H$9:$H$297,$AH155,'納品書明細F-15'!$Q$9:$Q$297)),SUMIF('納品書明細16-E'!$H$9:$H$206,$AH155,'納品書明細16-E'!$Q$9:$Q$206)))</f>
        <v/>
      </c>
      <c r="AK155" s="328" t="str">
        <f t="shared" si="55"/>
        <v/>
      </c>
      <c r="AL155" s="269" t="str">
        <f t="shared" si="56"/>
        <v/>
      </c>
      <c r="AM155" s="270" t="str">
        <f t="shared" si="57"/>
        <v/>
      </c>
      <c r="AN155" s="244" t="str">
        <f t="shared" si="58"/>
        <v/>
      </c>
      <c r="AO155" s="244" t="str">
        <f t="shared" si="59"/>
        <v/>
      </c>
      <c r="AP155" s="271" t="str">
        <f t="shared" si="40"/>
        <v/>
      </c>
      <c r="AQ155" s="265"/>
      <c r="AR155" s="263"/>
      <c r="AS155" s="84"/>
      <c r="AT155" s="86"/>
      <c r="AU155" s="87"/>
    </row>
    <row r="156" spans="1:47" ht="15" customHeight="1">
      <c r="A156" s="281" t="str">
        <f t="shared" si="39"/>
        <v/>
      </c>
      <c r="B156" s="282" t="str">
        <f t="shared" si="60"/>
        <v/>
      </c>
      <c r="C156" s="618" t="str">
        <f>IF(AND($S156="",$U156="",$W156="",$AA156="",$AE156="",$AG156="",$AI156=""),"",MAX($C$10:$C155)+1)</f>
        <v/>
      </c>
      <c r="D156" s="619" t="str">
        <f t="shared" si="51"/>
        <v/>
      </c>
      <c r="E156" s="619" t="str">
        <f t="shared" si="52"/>
        <v/>
      </c>
      <c r="F156" s="619" t="str">
        <f t="shared" si="53"/>
        <v/>
      </c>
      <c r="G156" s="619" t="str">
        <f t="shared" si="54"/>
        <v/>
      </c>
      <c r="H156" s="620" t="str">
        <f t="shared" si="63"/>
        <v/>
      </c>
      <c r="I156" s="316" t="s">
        <v>365</v>
      </c>
      <c r="J156" s="254"/>
      <c r="K156" s="50" t="str">
        <f>IF($W156="","",IF($W156=1,IF(VLOOKUP($S156,ﾏｽﾀ!$E$8:$K$124,ﾏｽﾀ!$J$4-ﾏｽﾀ!$D$4,0)="E",DAY($J$4),ABS(VLOOKUP($S156,ﾏｽﾀ!$E$8:$K$124,ﾏｽﾀ!$J$4-ﾏｽﾀ!$D$4,0))),IF(VLOOKUP($S156,ﾏｽﾀ!$E$8:$K$124,ﾏｽﾀ!$K$4-ﾏｽﾀ!$D$4,0)="E",DAY($J$4),ABS(VLOOKUP($S156,ﾏｽﾀ!$E$8:$K$124,ﾏｽﾀ!$K$4-ﾏｽﾀ!$D$4,0)))))</f>
        <v/>
      </c>
      <c r="L156" s="255"/>
      <c r="M156" s="255"/>
      <c r="N156" s="255"/>
      <c r="O156" s="50" t="str">
        <f>IF($S156="","",IF($M156="",IF($J156="","ERR",IF(VLOOKUP($S156,ﾏｽﾀ!$E$8:$K$124,ﾏｽﾀ!$J$4-ﾏｽﾀ!$D$4,0)="E",MONTH($J156),IF(MONTH($J156)-1=0,12,MONTH($J156)-1))),MONTH($M156)))</f>
        <v/>
      </c>
      <c r="P156" s="50" t="str">
        <f>IF($S156="","",IF($M156="",IF($K156="","ERR",IF(VLOOKUP($S156,ﾏｽﾀ!$E$8:$K$124,ﾏｽﾀ!$J$4-ﾏｽﾀ!$D$4,0)="E",1,$K156+1)),DAY($M156)))</f>
        <v/>
      </c>
      <c r="Q156" s="50" t="str">
        <f t="shared" si="61"/>
        <v/>
      </c>
      <c r="R156" s="50" t="str">
        <f t="shared" si="62"/>
        <v/>
      </c>
      <c r="S156" s="601" t="str">
        <f>IF($T156="","",INDEX(ﾏｽﾀ!$E$8:$E$124,MATCH(INDEX(ﾏｽﾀ!$N$8:$N$124,MATCH($T156,ﾏｽﾀ!$O$8:$O$124,0)),ﾏｽﾀ!$B$8:$B$124,0))&amp;"")</f>
        <v/>
      </c>
      <c r="T156" s="535"/>
      <c r="U156" s="601" t="str">
        <f>IF($T156="","",INDEX(ﾏｽﾀ!$G$8:$G$124,MATCH(INDEX(ﾏｽﾀ!$N$8:$N$124,MATCH($T156,ﾏｽﾀ!$O$8:$O$124,0)),ﾏｽﾀ!$B$8:$B$124,0))&amp;"")</f>
        <v/>
      </c>
      <c r="V156" s="257"/>
      <c r="W156" s="602" t="str">
        <f>IF($X156="","",INDEX(ﾏｽﾀ!$T$8:$T$16,MATCH($X156,ﾏｽﾀ!$U$8:$U$16,0))&amp;"")</f>
        <v/>
      </c>
      <c r="X156" s="248"/>
      <c r="Y156" s="260"/>
      <c r="Z156" s="260"/>
      <c r="AA156" s="256"/>
      <c r="AB156" s="492" t="str">
        <f>IF($W156="","",IF($AA156="","ERR",IF($AA156="1",IF($AE156="","ERR",VLOOKUP($AA156,ﾏｽﾀ!$W$8:$X$10,ﾏｽﾀ!$X$4,0)),IF($AA156="2",IF($AG156="","ERR",VLOOKUP($AA156,ﾏｽﾀ!$W$8:$X$10,ﾏｽﾀ!$X$4,0)),IF($AA156="3",IF($AI156="","ERR",VLOOKUP($AA156,ﾏｽﾀ!$W$8:$X$10,ﾏｽﾀ!$X$4,0)),"ERR")))))</f>
        <v/>
      </c>
      <c r="AC156" s="261"/>
      <c r="AD156" s="321" t="str">
        <f>IF($AA156="1",COUNTIF('納品書明細16-E'!$D$9:$D$206,$AN156)+COUNTIF('納品書明細F-15'!$D$9:$D$297,$AN156)-IF(ISNA(MATCH(CONCATENATE(VLOOKUP($AC156,$AB$1:$AC$4,2,FALSE),$S156,IF($U156="","00",$U156),$W156,2),$F$11:$F$160,0)),0,SUMIF($F$11:$F$160,CONCATENATE(VLOOKUP($AC156,$AB$1:$AC$4,2,FALSE),$S156,IF($U156="","00",$U156),$W156,2),$AF$11:$AF$160)),"")</f>
        <v/>
      </c>
      <c r="AE156" s="319" t="str">
        <f>IF($AA156="1",SUMIF('納品書明細16-E'!$C$9:$C$206,$AO156,'納品書明細16-E'!$Q$9:$Q$206)+SUMIF('納品書明細F-15'!$C$9:$C$297,$AO156,'納品書明細F-15'!$Q$9:$Q$297)-IF(ISNA(MATCH(CONCATENATE(VLOOKUP($AC156,$AB$1:$AC$4,2,FALSE),$S156,IF($U156="","00",$U156),$W156,2),$F$11:$F$160,0)),0,SUMIF($F$11:$F$160,CONCATENATE(VLOOKUP($AC156,$AB$1:$AC$4,2,FALSE),$S156,IF($U156="","00",$U156),$W156,2),$AG$11:$AG$160)),"")</f>
        <v/>
      </c>
      <c r="AF156" s="324"/>
      <c r="AG156" s="327"/>
      <c r="AH156" s="57"/>
      <c r="AI156" s="319" t="str">
        <f>IF($AH156="","",IF(ISNA(MATCH($AH156,'納品書明細16-E'!$H$9:$H$206,0)),IF(ISNA(MATCH($AH156,'納品書明細F-15'!$H$9:$H$297,0)),"ERR",SUMIF('納品書明細F-15'!$H$9:$H$297,$AH156,'納品書明細F-15'!$Q$9:$Q$297)),SUMIF('納品書明細16-E'!$H$9:$H$206,$AH156,'納品書明細16-E'!$Q$9:$Q$206)))</f>
        <v/>
      </c>
      <c r="AK156" s="328" t="str">
        <f t="shared" si="55"/>
        <v/>
      </c>
      <c r="AL156" s="269" t="str">
        <f t="shared" si="56"/>
        <v/>
      </c>
      <c r="AM156" s="270" t="str">
        <f t="shared" si="57"/>
        <v/>
      </c>
      <c r="AN156" s="244" t="str">
        <f t="shared" si="58"/>
        <v/>
      </c>
      <c r="AO156" s="244" t="str">
        <f t="shared" si="59"/>
        <v/>
      </c>
      <c r="AP156" s="271" t="str">
        <f t="shared" si="40"/>
        <v/>
      </c>
      <c r="AQ156" s="265"/>
      <c r="AR156" s="263"/>
      <c r="AS156" s="84"/>
      <c r="AT156" s="86"/>
      <c r="AU156" s="87"/>
    </row>
    <row r="157" spans="1:47" ht="15" customHeight="1">
      <c r="A157" s="281" t="str">
        <f t="shared" si="39"/>
        <v/>
      </c>
      <c r="B157" s="282" t="str">
        <f t="shared" si="60"/>
        <v/>
      </c>
      <c r="C157" s="618" t="str">
        <f>IF(AND($S157="",$U157="",$W157="",$AA157="",$AE157="",$AG157="",$AI157=""),"",MAX($C$10:$C156)+1)</f>
        <v/>
      </c>
      <c r="D157" s="619" t="str">
        <f t="shared" si="51"/>
        <v/>
      </c>
      <c r="E157" s="619" t="str">
        <f t="shared" si="52"/>
        <v/>
      </c>
      <c r="F157" s="619" t="str">
        <f t="shared" si="53"/>
        <v/>
      </c>
      <c r="G157" s="619" t="str">
        <f t="shared" si="54"/>
        <v/>
      </c>
      <c r="H157" s="620" t="str">
        <f t="shared" si="63"/>
        <v/>
      </c>
      <c r="I157" s="316" t="s">
        <v>366</v>
      </c>
      <c r="J157" s="254"/>
      <c r="K157" s="50" t="str">
        <f>IF($W157="","",IF($W157=1,IF(VLOOKUP($S157,ﾏｽﾀ!$E$8:$K$124,ﾏｽﾀ!$J$4-ﾏｽﾀ!$D$4,0)="E",DAY($J$4),ABS(VLOOKUP($S157,ﾏｽﾀ!$E$8:$K$124,ﾏｽﾀ!$J$4-ﾏｽﾀ!$D$4,0))),IF(VLOOKUP($S157,ﾏｽﾀ!$E$8:$K$124,ﾏｽﾀ!$K$4-ﾏｽﾀ!$D$4,0)="E",DAY($J$4),ABS(VLOOKUP($S157,ﾏｽﾀ!$E$8:$K$124,ﾏｽﾀ!$K$4-ﾏｽﾀ!$D$4,0)))))</f>
        <v/>
      </c>
      <c r="L157" s="255"/>
      <c r="M157" s="255"/>
      <c r="N157" s="255"/>
      <c r="O157" s="50" t="str">
        <f>IF($S157="","",IF($M157="",IF($J157="","ERR",IF(VLOOKUP($S157,ﾏｽﾀ!$E$8:$K$124,ﾏｽﾀ!$J$4-ﾏｽﾀ!$D$4,0)="E",MONTH($J157),IF(MONTH($J157)-1=0,12,MONTH($J157)-1))),MONTH($M157)))</f>
        <v/>
      </c>
      <c r="P157" s="50" t="str">
        <f>IF($S157="","",IF($M157="",IF($K157="","ERR",IF(VLOOKUP($S157,ﾏｽﾀ!$E$8:$K$124,ﾏｽﾀ!$J$4-ﾏｽﾀ!$D$4,0)="E",1,$K157+1)),DAY($M157)))</f>
        <v/>
      </c>
      <c r="Q157" s="50" t="str">
        <f t="shared" si="61"/>
        <v/>
      </c>
      <c r="R157" s="50" t="str">
        <f t="shared" si="62"/>
        <v/>
      </c>
      <c r="S157" s="601" t="str">
        <f>IF($T157="","",INDEX(ﾏｽﾀ!$E$8:$E$124,MATCH(INDEX(ﾏｽﾀ!$N$8:$N$124,MATCH($T157,ﾏｽﾀ!$O$8:$O$124,0)),ﾏｽﾀ!$B$8:$B$124,0))&amp;"")</f>
        <v/>
      </c>
      <c r="T157" s="535"/>
      <c r="U157" s="601" t="str">
        <f>IF($T157="","",INDEX(ﾏｽﾀ!$G$8:$G$124,MATCH(INDEX(ﾏｽﾀ!$N$8:$N$124,MATCH($T157,ﾏｽﾀ!$O$8:$O$124,0)),ﾏｽﾀ!$B$8:$B$124,0))&amp;"")</f>
        <v/>
      </c>
      <c r="V157" s="257"/>
      <c r="W157" s="602" t="str">
        <f>IF($X157="","",INDEX(ﾏｽﾀ!$T$8:$T$16,MATCH($X157,ﾏｽﾀ!$U$8:$U$16,0))&amp;"")</f>
        <v/>
      </c>
      <c r="X157" s="248"/>
      <c r="Y157" s="260"/>
      <c r="Z157" s="260"/>
      <c r="AA157" s="256"/>
      <c r="AB157" s="492" t="str">
        <f>IF($W157="","",IF($AA157="","ERR",IF($AA157="1",IF($AE157="","ERR",VLOOKUP($AA157,ﾏｽﾀ!$W$8:$X$10,ﾏｽﾀ!$X$4,0)),IF($AA157="2",IF($AG157="","ERR",VLOOKUP($AA157,ﾏｽﾀ!$W$8:$X$10,ﾏｽﾀ!$X$4,0)),IF($AA157="3",IF($AI157="","ERR",VLOOKUP($AA157,ﾏｽﾀ!$W$8:$X$10,ﾏｽﾀ!$X$4,0)),"ERR")))))</f>
        <v/>
      </c>
      <c r="AC157" s="261"/>
      <c r="AD157" s="321" t="str">
        <f>IF($AA157="1",COUNTIF('納品書明細16-E'!$D$9:$D$206,$AN157)+COUNTIF('納品書明細F-15'!$D$9:$D$297,$AN157)-IF(ISNA(MATCH(CONCATENATE(VLOOKUP($AC157,$AB$1:$AC$4,2,FALSE),$S157,IF($U157="","00",$U157),$W157,2),$F$11:$F$160,0)),0,SUMIF($F$11:$F$160,CONCATENATE(VLOOKUP($AC157,$AB$1:$AC$4,2,FALSE),$S157,IF($U157="","00",$U157),$W157,2),$AF$11:$AF$160)),"")</f>
        <v/>
      </c>
      <c r="AE157" s="319" t="str">
        <f>IF($AA157="1",SUMIF('納品書明細16-E'!$C$9:$C$206,$AO157,'納品書明細16-E'!$Q$9:$Q$206)+SUMIF('納品書明細F-15'!$C$9:$C$297,$AO157,'納品書明細F-15'!$Q$9:$Q$297)-IF(ISNA(MATCH(CONCATENATE(VLOOKUP($AC157,$AB$1:$AC$4,2,FALSE),$S157,IF($U157="","00",$U157),$W157,2),$F$11:$F$160,0)),0,SUMIF($F$11:$F$160,CONCATENATE(VLOOKUP($AC157,$AB$1:$AC$4,2,FALSE),$S157,IF($U157="","00",$U157),$W157,2),$AG$11:$AG$160)),"")</f>
        <v/>
      </c>
      <c r="AF157" s="324"/>
      <c r="AG157" s="327"/>
      <c r="AH157" s="57"/>
      <c r="AI157" s="319" t="str">
        <f>IF($AH157="","",IF(ISNA(MATCH($AH157,'納品書明細16-E'!$H$9:$H$206,0)),IF(ISNA(MATCH($AH157,'納品書明細F-15'!$H$9:$H$297,0)),"ERR",SUMIF('納品書明細F-15'!$H$9:$H$297,$AH157,'納品書明細F-15'!$Q$9:$Q$297)),SUMIF('納品書明細16-E'!$H$9:$H$206,$AH157,'納品書明細16-E'!$Q$9:$Q$206)))</f>
        <v/>
      </c>
      <c r="AK157" s="328" t="str">
        <f t="shared" si="55"/>
        <v/>
      </c>
      <c r="AL157" s="269" t="str">
        <f t="shared" si="56"/>
        <v/>
      </c>
      <c r="AM157" s="270" t="str">
        <f t="shared" si="57"/>
        <v/>
      </c>
      <c r="AN157" s="244" t="str">
        <f t="shared" si="58"/>
        <v/>
      </c>
      <c r="AO157" s="244" t="str">
        <f t="shared" si="59"/>
        <v/>
      </c>
      <c r="AP157" s="271" t="str">
        <f t="shared" si="40"/>
        <v/>
      </c>
      <c r="AQ157" s="265"/>
      <c r="AR157" s="263"/>
      <c r="AS157" s="84"/>
      <c r="AT157" s="86"/>
      <c r="AU157" s="87"/>
    </row>
    <row r="158" spans="1:47" ht="15" customHeight="1">
      <c r="A158" s="281" t="str">
        <f t="shared" si="39"/>
        <v/>
      </c>
      <c r="B158" s="282" t="str">
        <f t="shared" si="60"/>
        <v/>
      </c>
      <c r="C158" s="618" t="str">
        <f>IF(AND($S158="",$U158="",$W158="",$AA158="",$AE158="",$AG158="",$AI158=""),"",MAX($C$10:$C157)+1)</f>
        <v/>
      </c>
      <c r="D158" s="619" t="str">
        <f t="shared" si="51"/>
        <v/>
      </c>
      <c r="E158" s="619" t="str">
        <f t="shared" si="52"/>
        <v/>
      </c>
      <c r="F158" s="619" t="str">
        <f t="shared" si="53"/>
        <v/>
      </c>
      <c r="G158" s="619" t="str">
        <f t="shared" si="54"/>
        <v/>
      </c>
      <c r="H158" s="620" t="str">
        <f t="shared" si="63"/>
        <v/>
      </c>
      <c r="I158" s="316" t="s">
        <v>367</v>
      </c>
      <c r="J158" s="254"/>
      <c r="K158" s="50" t="str">
        <f>IF($W158="","",IF($W158=1,IF(VLOOKUP($S158,ﾏｽﾀ!$E$8:$K$124,ﾏｽﾀ!$J$4-ﾏｽﾀ!$D$4,0)="E",DAY($J$4),ABS(VLOOKUP($S158,ﾏｽﾀ!$E$8:$K$124,ﾏｽﾀ!$J$4-ﾏｽﾀ!$D$4,0))),IF(VLOOKUP($S158,ﾏｽﾀ!$E$8:$K$124,ﾏｽﾀ!$K$4-ﾏｽﾀ!$D$4,0)="E",DAY($J$4),ABS(VLOOKUP($S158,ﾏｽﾀ!$E$8:$K$124,ﾏｽﾀ!$K$4-ﾏｽﾀ!$D$4,0)))))</f>
        <v/>
      </c>
      <c r="L158" s="255"/>
      <c r="M158" s="255"/>
      <c r="N158" s="255"/>
      <c r="O158" s="50" t="str">
        <f>IF($S158="","",IF($M158="",IF($J158="","ERR",IF(VLOOKUP($S158,ﾏｽﾀ!$E$8:$K$124,ﾏｽﾀ!$J$4-ﾏｽﾀ!$D$4,0)="E",MONTH($J158),IF(MONTH($J158)-1=0,12,MONTH($J158)-1))),MONTH($M158)))</f>
        <v/>
      </c>
      <c r="P158" s="50" t="str">
        <f>IF($S158="","",IF($M158="",IF($K158="","ERR",IF(VLOOKUP($S158,ﾏｽﾀ!$E$8:$K$124,ﾏｽﾀ!$J$4-ﾏｽﾀ!$D$4,0)="E",1,$K158+1)),DAY($M158)))</f>
        <v/>
      </c>
      <c r="Q158" s="50" t="str">
        <f t="shared" si="61"/>
        <v/>
      </c>
      <c r="R158" s="50" t="str">
        <f t="shared" si="62"/>
        <v/>
      </c>
      <c r="S158" s="601" t="str">
        <f>IF($T158="","",INDEX(ﾏｽﾀ!$E$8:$E$124,MATCH(INDEX(ﾏｽﾀ!$N$8:$N$124,MATCH($T158,ﾏｽﾀ!$O$8:$O$124,0)),ﾏｽﾀ!$B$8:$B$124,0))&amp;"")</f>
        <v/>
      </c>
      <c r="T158" s="535"/>
      <c r="U158" s="601" t="str">
        <f>IF($T158="","",INDEX(ﾏｽﾀ!$G$8:$G$124,MATCH(INDEX(ﾏｽﾀ!$N$8:$N$124,MATCH($T158,ﾏｽﾀ!$O$8:$O$124,0)),ﾏｽﾀ!$B$8:$B$124,0))&amp;"")</f>
        <v/>
      </c>
      <c r="V158" s="257"/>
      <c r="W158" s="602" t="str">
        <f>IF($X158="","",INDEX(ﾏｽﾀ!$T$8:$T$16,MATCH($X158,ﾏｽﾀ!$U$8:$U$16,0))&amp;"")</f>
        <v/>
      </c>
      <c r="X158" s="248"/>
      <c r="Y158" s="260"/>
      <c r="Z158" s="260"/>
      <c r="AA158" s="256"/>
      <c r="AB158" s="492" t="str">
        <f>IF($W158="","",IF($AA158="","ERR",IF($AA158="1",IF($AE158="","ERR",VLOOKUP($AA158,ﾏｽﾀ!$W$8:$X$10,ﾏｽﾀ!$X$4,0)),IF($AA158="2",IF($AG158="","ERR",VLOOKUP($AA158,ﾏｽﾀ!$W$8:$X$10,ﾏｽﾀ!$X$4,0)),IF($AA158="3",IF($AI158="","ERR",VLOOKUP($AA158,ﾏｽﾀ!$W$8:$X$10,ﾏｽﾀ!$X$4,0)),"ERR")))))</f>
        <v/>
      </c>
      <c r="AC158" s="261"/>
      <c r="AD158" s="321" t="str">
        <f>IF($AA158="1",COUNTIF('納品書明細16-E'!$D$9:$D$206,$AN158)+COUNTIF('納品書明細F-15'!$D$9:$D$297,$AN158)-IF(ISNA(MATCH(CONCATENATE(VLOOKUP($AC158,$AB$1:$AC$4,2,FALSE),$S158,IF($U158="","00",$U158),$W158,2),$F$11:$F$160,0)),0,SUMIF($F$11:$F$160,CONCATENATE(VLOOKUP($AC158,$AB$1:$AC$4,2,FALSE),$S158,IF($U158="","00",$U158),$W158,2),$AF$11:$AF$160)),"")</f>
        <v/>
      </c>
      <c r="AE158" s="319" t="str">
        <f>IF($AA158="1",SUMIF('納品書明細16-E'!$C$9:$C$206,$AO158,'納品書明細16-E'!$Q$9:$Q$206)+SUMIF('納品書明細F-15'!$C$9:$C$297,$AO158,'納品書明細F-15'!$Q$9:$Q$297)-IF(ISNA(MATCH(CONCATENATE(VLOOKUP($AC158,$AB$1:$AC$4,2,FALSE),$S158,IF($U158="","00",$U158),$W158,2),$F$11:$F$160,0)),0,SUMIF($F$11:$F$160,CONCATENATE(VLOOKUP($AC158,$AB$1:$AC$4,2,FALSE),$S158,IF($U158="","00",$U158),$W158,2),$AG$11:$AG$160)),"")</f>
        <v/>
      </c>
      <c r="AF158" s="324"/>
      <c r="AG158" s="327"/>
      <c r="AH158" s="57"/>
      <c r="AI158" s="319" t="str">
        <f>IF($AH158="","",IF(ISNA(MATCH($AH158,'納品書明細16-E'!$H$9:$H$206,0)),IF(ISNA(MATCH($AH158,'納品書明細F-15'!$H$9:$H$297,0)),"ERR",SUMIF('納品書明細F-15'!$H$9:$H$297,$AH158,'納品書明細F-15'!$Q$9:$Q$297)),SUMIF('納品書明細16-E'!$H$9:$H$206,$AH158,'納品書明細16-E'!$Q$9:$Q$206)))</f>
        <v/>
      </c>
      <c r="AK158" s="328" t="str">
        <f t="shared" si="55"/>
        <v/>
      </c>
      <c r="AL158" s="269" t="str">
        <f t="shared" si="56"/>
        <v/>
      </c>
      <c r="AM158" s="270" t="str">
        <f t="shared" si="57"/>
        <v/>
      </c>
      <c r="AN158" s="244" t="str">
        <f t="shared" si="58"/>
        <v/>
      </c>
      <c r="AO158" s="244" t="str">
        <f t="shared" si="59"/>
        <v/>
      </c>
      <c r="AP158" s="271" t="str">
        <f t="shared" si="40"/>
        <v/>
      </c>
      <c r="AQ158" s="265"/>
      <c r="AR158" s="263"/>
      <c r="AS158" s="84"/>
      <c r="AT158" s="86"/>
      <c r="AU158" s="87"/>
    </row>
    <row r="159" spans="1:47" ht="15" customHeight="1">
      <c r="A159" s="281" t="str">
        <f t="shared" si="39"/>
        <v/>
      </c>
      <c r="B159" s="282" t="str">
        <f t="shared" si="60"/>
        <v/>
      </c>
      <c r="C159" s="618" t="str">
        <f>IF(AND($S159="",$U159="",$W159="",$AA159="",$AE159="",$AG159="",$AI159=""),"",MAX($C$10:$C158)+1)</f>
        <v/>
      </c>
      <c r="D159" s="619" t="str">
        <f t="shared" si="51"/>
        <v/>
      </c>
      <c r="E159" s="619" t="str">
        <f t="shared" si="52"/>
        <v/>
      </c>
      <c r="F159" s="619" t="str">
        <f t="shared" si="53"/>
        <v/>
      </c>
      <c r="G159" s="619" t="str">
        <f t="shared" si="54"/>
        <v/>
      </c>
      <c r="H159" s="620" t="str">
        <f t="shared" si="63"/>
        <v/>
      </c>
      <c r="I159" s="316" t="s">
        <v>368</v>
      </c>
      <c r="J159" s="254"/>
      <c r="K159" s="50" t="str">
        <f>IF($W159="","",IF($W159=1,IF(VLOOKUP($S159,ﾏｽﾀ!$E$8:$K$124,ﾏｽﾀ!$J$4-ﾏｽﾀ!$D$4,0)="E",DAY($J$4),ABS(VLOOKUP($S159,ﾏｽﾀ!$E$8:$K$124,ﾏｽﾀ!$J$4-ﾏｽﾀ!$D$4,0))),IF(VLOOKUP($S159,ﾏｽﾀ!$E$8:$K$124,ﾏｽﾀ!$K$4-ﾏｽﾀ!$D$4,0)="E",DAY($J$4),ABS(VLOOKUP($S159,ﾏｽﾀ!$E$8:$K$124,ﾏｽﾀ!$K$4-ﾏｽﾀ!$D$4,0)))))</f>
        <v/>
      </c>
      <c r="L159" s="255"/>
      <c r="M159" s="255"/>
      <c r="N159" s="255"/>
      <c r="O159" s="50" t="str">
        <f>IF($S159="","",IF($M159="",IF($J159="","ERR",IF(VLOOKUP($S159,ﾏｽﾀ!$E$8:$K$124,ﾏｽﾀ!$J$4-ﾏｽﾀ!$D$4,0)="E",MONTH($J159),IF(MONTH($J159)-1=0,12,MONTH($J159)-1))),MONTH($M159)))</f>
        <v/>
      </c>
      <c r="P159" s="50" t="str">
        <f>IF($S159="","",IF($M159="",IF($K159="","ERR",IF(VLOOKUP($S159,ﾏｽﾀ!$E$8:$K$124,ﾏｽﾀ!$J$4-ﾏｽﾀ!$D$4,0)="E",1,$K159+1)),DAY($M159)))</f>
        <v/>
      </c>
      <c r="Q159" s="50" t="str">
        <f t="shared" si="61"/>
        <v/>
      </c>
      <c r="R159" s="50" t="str">
        <f t="shared" si="62"/>
        <v/>
      </c>
      <c r="S159" s="601" t="str">
        <f>IF($T159="","",INDEX(ﾏｽﾀ!$E$8:$E$124,MATCH(INDEX(ﾏｽﾀ!$N$8:$N$124,MATCH($T159,ﾏｽﾀ!$O$8:$O$124,0)),ﾏｽﾀ!$B$8:$B$124,0))&amp;"")</f>
        <v/>
      </c>
      <c r="T159" s="535"/>
      <c r="U159" s="601" t="str">
        <f>IF($T159="","",INDEX(ﾏｽﾀ!$G$8:$G$124,MATCH(INDEX(ﾏｽﾀ!$N$8:$N$124,MATCH($T159,ﾏｽﾀ!$O$8:$O$124,0)),ﾏｽﾀ!$B$8:$B$124,0))&amp;"")</f>
        <v/>
      </c>
      <c r="V159" s="257"/>
      <c r="W159" s="602" t="str">
        <f>IF($X159="","",INDEX(ﾏｽﾀ!$T$8:$T$16,MATCH($X159,ﾏｽﾀ!$U$8:$U$16,0))&amp;"")</f>
        <v/>
      </c>
      <c r="X159" s="248"/>
      <c r="Y159" s="260"/>
      <c r="Z159" s="260"/>
      <c r="AA159" s="256"/>
      <c r="AB159" s="492" t="str">
        <f>IF($W159="","",IF($AA159="","ERR",IF($AA159="1",IF($AE159="","ERR",VLOOKUP($AA159,ﾏｽﾀ!$W$8:$X$10,ﾏｽﾀ!$X$4,0)),IF($AA159="2",IF($AG159="","ERR",VLOOKUP($AA159,ﾏｽﾀ!$W$8:$X$10,ﾏｽﾀ!$X$4,0)),IF($AA159="3",IF($AI159="","ERR",VLOOKUP($AA159,ﾏｽﾀ!$W$8:$X$10,ﾏｽﾀ!$X$4,0)),"ERR")))))</f>
        <v/>
      </c>
      <c r="AC159" s="261"/>
      <c r="AD159" s="321" t="str">
        <f>IF($AA159="1",COUNTIF('納品書明細16-E'!$D$9:$D$206,$AN159)+COUNTIF('納品書明細F-15'!$D$9:$D$297,$AN159)-IF(ISNA(MATCH(CONCATENATE(VLOOKUP($AC159,$AB$1:$AC$4,2,FALSE),$S159,IF($U159="","00",$U159),$W159,2),$F$11:$F$160,0)),0,SUMIF($F$11:$F$160,CONCATENATE(VLOOKUP($AC159,$AB$1:$AC$4,2,FALSE),$S159,IF($U159="","00",$U159),$W159,2),$AF$11:$AF$160)),"")</f>
        <v/>
      </c>
      <c r="AE159" s="319" t="str">
        <f>IF($AA159="1",SUMIF('納品書明細16-E'!$C$9:$C$206,$AO159,'納品書明細16-E'!$Q$9:$Q$206)+SUMIF('納品書明細F-15'!$C$9:$C$297,$AO159,'納品書明細F-15'!$Q$9:$Q$297)-IF(ISNA(MATCH(CONCATENATE(VLOOKUP($AC159,$AB$1:$AC$4,2,FALSE),$S159,IF($U159="","00",$U159),$W159,2),$F$11:$F$160,0)),0,SUMIF($F$11:$F$160,CONCATENATE(VLOOKUP($AC159,$AB$1:$AC$4,2,FALSE),$S159,IF($U159="","00",$U159),$W159,2),$AG$11:$AG$160)),"")</f>
        <v/>
      </c>
      <c r="AF159" s="324"/>
      <c r="AG159" s="327"/>
      <c r="AH159" s="57"/>
      <c r="AI159" s="319" t="str">
        <f>IF($AH159="","",IF(ISNA(MATCH($AH159,'納品書明細16-E'!$H$9:$H$206,0)),IF(ISNA(MATCH($AH159,'納品書明細F-15'!$H$9:$H$297,0)),"ERR",SUMIF('納品書明細F-15'!$H$9:$H$297,$AH159,'納品書明細F-15'!$Q$9:$Q$297)),SUMIF('納品書明細16-E'!$H$9:$H$206,$AH159,'納品書明細16-E'!$Q$9:$Q$206)))</f>
        <v/>
      </c>
      <c r="AK159" s="328" t="str">
        <f t="shared" si="55"/>
        <v/>
      </c>
      <c r="AL159" s="269" t="str">
        <f t="shared" si="56"/>
        <v/>
      </c>
      <c r="AM159" s="270" t="str">
        <f t="shared" si="57"/>
        <v/>
      </c>
      <c r="AN159" s="244" t="str">
        <f t="shared" si="58"/>
        <v/>
      </c>
      <c r="AO159" s="244" t="str">
        <f t="shared" si="59"/>
        <v/>
      </c>
      <c r="AP159" s="271" t="str">
        <f t="shared" si="40"/>
        <v/>
      </c>
      <c r="AQ159" s="265"/>
      <c r="AR159" s="263"/>
      <c r="AS159" s="84"/>
      <c r="AT159" s="86"/>
      <c r="AU159" s="87"/>
    </row>
    <row r="160" spans="1:47" ht="15" customHeight="1" thickBot="1">
      <c r="A160" s="281" t="str">
        <f>IF($AC160="","",$AC160)</f>
        <v/>
      </c>
      <c r="B160" s="282" t="str">
        <f t="shared" si="60"/>
        <v/>
      </c>
      <c r="C160" s="618" t="str">
        <f>IF(AND($S160="",$U160="",$W160="",$AA160="",$AE160="",$AG160="",$AI160=""),"",MAX($C$10:$C159)+1)</f>
        <v/>
      </c>
      <c r="D160" s="619" t="str">
        <f t="shared" si="51"/>
        <v/>
      </c>
      <c r="E160" s="619" t="str">
        <f t="shared" si="52"/>
        <v/>
      </c>
      <c r="F160" s="619" t="str">
        <f t="shared" si="53"/>
        <v/>
      </c>
      <c r="G160" s="619" t="str">
        <f t="shared" si="54"/>
        <v/>
      </c>
      <c r="H160" s="620" t="str">
        <f t="shared" si="63"/>
        <v/>
      </c>
      <c r="I160" s="316" t="s">
        <v>369</v>
      </c>
      <c r="J160" s="254"/>
      <c r="K160" s="50" t="str">
        <f>IF($W160="","",IF($W160=1,IF(VLOOKUP($S160,ﾏｽﾀ!$E$8:$K$124,ﾏｽﾀ!$J$4-ﾏｽﾀ!$D$4,0)="E",DAY($J$4),ABS(VLOOKUP($S160,ﾏｽﾀ!$E$8:$K$124,ﾏｽﾀ!$J$4-ﾏｽﾀ!$D$4,0))),IF(VLOOKUP($S160,ﾏｽﾀ!$E$8:$K$124,ﾏｽﾀ!$K$4-ﾏｽﾀ!$D$4,0)="E",DAY($J$4),ABS(VLOOKUP($S160,ﾏｽﾀ!$E$8:$K$124,ﾏｽﾀ!$K$4-ﾏｽﾀ!$D$4,0)))))</f>
        <v/>
      </c>
      <c r="L160" s="255"/>
      <c r="M160" s="255"/>
      <c r="N160" s="255"/>
      <c r="O160" s="50" t="str">
        <f>IF($S160="","",IF($M160="",IF($J160="","ERR",IF(VLOOKUP($S160,ﾏｽﾀ!$E$8:$K$124,ﾏｽﾀ!$J$4-ﾏｽﾀ!$D$4,0)="E",MONTH($J160),IF(MONTH($J160)-1=0,12,MONTH($J160)-1))),MONTH($M160)))</f>
        <v/>
      </c>
      <c r="P160" s="50" t="str">
        <f>IF($S160="","",IF($M160="",IF($K160="","ERR",IF(VLOOKUP($S160,ﾏｽﾀ!$E$8:$K$124,ﾏｽﾀ!$J$4-ﾏｽﾀ!$D$4,0)="E",1,$K160+1)),DAY($M160)))</f>
        <v/>
      </c>
      <c r="Q160" s="50" t="str">
        <f t="shared" si="61"/>
        <v/>
      </c>
      <c r="R160" s="50" t="str">
        <f t="shared" si="62"/>
        <v/>
      </c>
      <c r="S160" s="601" t="str">
        <f>IF($T160="","",INDEX(ﾏｽﾀ!$E$8:$E$124,MATCH(INDEX(ﾏｽﾀ!$N$8:$N$124,MATCH($T160,ﾏｽﾀ!$O$8:$O$124,0)),ﾏｽﾀ!$B$8:$B$124,0))&amp;"")</f>
        <v/>
      </c>
      <c r="T160" s="535"/>
      <c r="U160" s="601" t="str">
        <f>IF($T160="","",INDEX(ﾏｽﾀ!$G$8:$G$124,MATCH(INDEX(ﾏｽﾀ!$N$8:$N$124,MATCH($T160,ﾏｽﾀ!$O$8:$O$124,0)),ﾏｽﾀ!$B$8:$B$124,0))&amp;"")</f>
        <v/>
      </c>
      <c r="V160" s="257"/>
      <c r="W160" s="602" t="str">
        <f>IF($X160="","",INDEX(ﾏｽﾀ!$T$8:$T$16,MATCH($X160,ﾏｽﾀ!$U$8:$U$16,0))&amp;"")</f>
        <v/>
      </c>
      <c r="X160" s="248"/>
      <c r="Y160" s="260"/>
      <c r="Z160" s="260"/>
      <c r="AA160" s="256"/>
      <c r="AB160" s="492" t="str">
        <f>IF($W160="","",IF($AA160="","ERR",IF($AA160="1",IF($AE160="","ERR",VLOOKUP($AA160,ﾏｽﾀ!$W$8:$X$10,ﾏｽﾀ!$X$4,0)),IF($AA160="2",IF($AG160="","ERR",VLOOKUP($AA160,ﾏｽﾀ!$W$8:$X$10,ﾏｽﾀ!$X$4,0)),IF($AA160="3",IF($AI160="","ERR",VLOOKUP($AA160,ﾏｽﾀ!$W$8:$X$10,ﾏｽﾀ!$X$4,0)),"ERR")))))</f>
        <v/>
      </c>
      <c r="AC160" s="261"/>
      <c r="AD160" s="321" t="str">
        <f>IF($AA160="1",COUNTIF('納品書明細16-E'!$D$9:$D$206,$AN160)+COUNTIF('納品書明細F-15'!$D$9:$D$297,$AN160)-IF(ISNA(MATCH(CONCATENATE(VLOOKUP($AC160,$AB$1:$AC$4,2,FALSE),$S160,IF($U160="","00",$U160),$W160,2),$F$11:$F$160,0)),0,SUMIF($F$11:$F$160,CONCATENATE(VLOOKUP($AC160,$AB$1:$AC$4,2,FALSE),$S160,IF($U160="","00",$U160),$W160,2),$AF$11:$AF$160)),"")</f>
        <v/>
      </c>
      <c r="AE160" s="319" t="str">
        <f>IF($AA160="1",SUMIF('納品書明細16-E'!$C$9:$C$206,$AO160,'納品書明細16-E'!$Q$9:$Q$206)+SUMIF('納品書明細F-15'!$C$9:$C$297,$AO160,'納品書明細F-15'!$Q$9:$Q$297)-IF(ISNA(MATCH(CONCATENATE(VLOOKUP($AC160,$AB$1:$AC$4,2,FALSE),$S160,IF($U160="","00",$U160),$W160,2),$F$11:$F$160,0)),0,SUMIF($F$11:$F$160,CONCATENATE(VLOOKUP($AC160,$AB$1:$AC$4,2,FALSE),$S160,IF($U160="","00",$U160),$W160,2),$AG$11:$AG$160)),"")</f>
        <v/>
      </c>
      <c r="AF160" s="324"/>
      <c r="AG160" s="327"/>
      <c r="AH160" s="57"/>
      <c r="AI160" s="319" t="str">
        <f>IF($AH160="","",IF(ISNA(MATCH($AH160,'納品書明細16-E'!$H$9:$H$206,0)),IF(ISNA(MATCH($AH160,'納品書明細F-15'!$H$9:$H$297,0)),"ERR",SUMIF('納品書明細F-15'!$H$9:$H$297,$AH160,'納品書明細F-15'!$Q$9:$Q$297)),SUMIF('納品書明細16-E'!$H$9:$H$206,$AH160,'納品書明細16-E'!$Q$9:$Q$206)))</f>
        <v/>
      </c>
      <c r="AK160" s="328" t="str">
        <f t="shared" si="55"/>
        <v/>
      </c>
      <c r="AL160" s="269" t="str">
        <f t="shared" si="56"/>
        <v/>
      </c>
      <c r="AM160" s="270" t="str">
        <f t="shared" si="57"/>
        <v/>
      </c>
      <c r="AN160" s="244" t="str">
        <f t="shared" si="58"/>
        <v/>
      </c>
      <c r="AO160" s="244" t="str">
        <f t="shared" si="59"/>
        <v/>
      </c>
      <c r="AP160" s="271" t="str">
        <f t="shared" si="40"/>
        <v/>
      </c>
      <c r="AQ160" s="265"/>
      <c r="AR160" s="263"/>
      <c r="AS160" s="84"/>
      <c r="AT160" s="86"/>
      <c r="AU160" s="87"/>
    </row>
    <row r="161" spans="2:35" ht="15" customHeight="1" thickBot="1">
      <c r="B161" s="624">
        <v>1</v>
      </c>
      <c r="AD161" s="320">
        <f>SUM($AD$11:$AD$160)</f>
        <v>18</v>
      </c>
      <c r="AE161" s="137">
        <f>SUM($AE$11:$AE$160)</f>
        <v>51336510.489999995</v>
      </c>
      <c r="AF161" s="326">
        <f>SUM($AF$11:$AF$160)</f>
        <v>1</v>
      </c>
      <c r="AG161" s="137">
        <f>SUM($AG$11:$AG$160)</f>
        <v>9099000</v>
      </c>
      <c r="AH161" s="307">
        <f>COUNTIF($AH$11:$AH$160,"&lt;&gt;")</f>
        <v>3</v>
      </c>
      <c r="AI161" s="138">
        <f>SUM($AI$11:$AI$160)</f>
        <v>1098766</v>
      </c>
    </row>
    <row r="162" spans="2:35" ht="15" customHeight="1" thickBot="1">
      <c r="B162" s="624">
        <v>1</v>
      </c>
      <c r="AE162" s="136"/>
      <c r="AG162" s="136"/>
      <c r="AI162" s="157">
        <f>$AE$161+$AG$161+$AI$161</f>
        <v>61534276.489999995</v>
      </c>
    </row>
  </sheetData>
  <autoFilter ref="A10:AU10" xr:uid="{00000000-0009-0000-0000-000002000000}"/>
  <mergeCells count="20">
    <mergeCell ref="B7:B9"/>
    <mergeCell ref="AH7:AI8"/>
    <mergeCell ref="AA7:AB8"/>
    <mergeCell ref="I7:I9"/>
    <mergeCell ref="K7:L8"/>
    <mergeCell ref="M7:N8"/>
    <mergeCell ref="J7:J9"/>
    <mergeCell ref="AD7:AE8"/>
    <mergeCell ref="AF7:AG8"/>
    <mergeCell ref="Y8:Z8"/>
    <mergeCell ref="W8:X8"/>
    <mergeCell ref="AC7:AC9"/>
    <mergeCell ref="S7:Z7"/>
    <mergeCell ref="U8:U9"/>
    <mergeCell ref="J4:K4"/>
    <mergeCell ref="O7:R8"/>
    <mergeCell ref="S8:T8"/>
    <mergeCell ref="V8:V9"/>
    <mergeCell ref="O9:P9"/>
    <mergeCell ref="Q9:R9"/>
  </mergeCells>
  <phoneticPr fontId="3"/>
  <conditionalFormatting sqref="J11:J160">
    <cfRule type="expression" dxfId="23" priority="115" stopIfTrue="1">
      <formula>YEAR($J11)&gt;YEAR($J$4)</formula>
    </cfRule>
  </conditionalFormatting>
  <conditionalFormatting sqref="L11:L160">
    <cfRule type="expression" dxfId="22" priority="116" stopIfTrue="1">
      <formula>YEAR($L11)&gt;YEAR($J$4)</formula>
    </cfRule>
  </conditionalFormatting>
  <conditionalFormatting sqref="M11:N160">
    <cfRule type="expression" dxfId="21" priority="117" stopIfTrue="1">
      <formula>YEAR($M11)&gt;YEAR($J$4)</formula>
    </cfRule>
  </conditionalFormatting>
  <conditionalFormatting sqref="AE11:AE160">
    <cfRule type="expression" dxfId="20" priority="7">
      <formula>OR($AC11="$",$AC11="HK$")</formula>
    </cfRule>
    <cfRule type="expression" dxfId="19" priority="8">
      <formula>$AC11="\"</formula>
    </cfRule>
  </conditionalFormatting>
  <conditionalFormatting sqref="AG11:AG160">
    <cfRule type="expression" dxfId="18" priority="5">
      <formula>OR($AC11="$",$AC11="HK$")</formula>
    </cfRule>
    <cfRule type="expression" dxfId="17" priority="6">
      <formula>$AC11="\"</formula>
    </cfRule>
  </conditionalFormatting>
  <conditionalFormatting sqref="AI11:AI160">
    <cfRule type="expression" dxfId="16" priority="3">
      <formula>OR($AC11="$",$AC11="HK$")</formula>
    </cfRule>
    <cfRule type="expression" dxfId="15" priority="4">
      <formula>$AC11="\"</formula>
    </cfRule>
  </conditionalFormatting>
  <conditionalFormatting sqref="V11:V160">
    <cfRule type="expression" dxfId="14" priority="1">
      <formula>$AC11="\"</formula>
    </cfRule>
    <cfRule type="expression" dxfId="13" priority="2">
      <formula>OR($AC11="$",$AC11="HK$")</formula>
    </cfRule>
  </conditionalFormatting>
  <dataValidations count="1">
    <dataValidation type="list" allowBlank="1" showInputMessage="1" showErrorMessage="1" sqref="AC11:AC160" xr:uid="{00000000-0002-0000-0200-000000000000}">
      <formula1>$AB$1:$AB$4</formula1>
    </dataValidation>
  </dataValidations>
  <pageMargins left="0.39370078740157483" right="0" top="0.59055118110236227" bottom="0.19685039370078741" header="0.51181102362204722" footer="0.51181102362204722"/>
  <pageSetup paperSize="9" scale="75" orientation="landscape" horizontalDpi="300" verticalDpi="300" r:id="rId1"/>
  <headerFooter alignWithMargins="0"/>
  <ignoredErrors>
    <ignoredError sqref="S12:U19 S33:U160 W11:W160 S21:U22 S20 U20 S24:U32 S23 U23 S11 U1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OFFSET(ﾏｽﾀ!$R$8,0,0,COUNTA(ﾏｽﾀ!$R$8:$R$124),1)</xm:f>
          </x14:formula1>
          <xm:sqref>T11:T160</xm:sqref>
        </x14:dataValidation>
        <x14:dataValidation type="list" allowBlank="1" showInputMessage="1" showErrorMessage="1" xr:uid="{00000000-0002-0000-0200-000002000000}">
          <x14:formula1>
            <xm:f>ﾏｽﾀ!$U$8:$U$16</xm:f>
          </x14:formula1>
          <xm:sqref>X11:X160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U54"/>
  <sheetViews>
    <sheetView tabSelected="1" topLeftCell="A31" zoomScale="75" zoomScaleNormal="75" zoomScaleSheetLayoutView="85" workbookViewId="0">
      <selection activeCell="T45" sqref="T45"/>
    </sheetView>
  </sheetViews>
  <sheetFormatPr defaultColWidth="9" defaultRowHeight="13.2"/>
  <cols>
    <col min="1" max="1" width="6.6640625" style="16" customWidth="1"/>
    <col min="2" max="2" width="4.6640625" style="16" customWidth="1"/>
    <col min="3" max="3" width="21.33203125" style="16" customWidth="1"/>
    <col min="4" max="4" width="8.6640625" style="16" customWidth="1"/>
    <col min="5" max="5" width="10.6640625" style="16" customWidth="1"/>
    <col min="6" max="6" width="4.6640625" style="16" customWidth="1"/>
    <col min="7" max="7" width="2.6640625" style="16" customWidth="1"/>
    <col min="8" max="8" width="5.21875" style="16" customWidth="1"/>
    <col min="9" max="9" width="8.6640625" style="16" customWidth="1"/>
    <col min="10" max="10" width="5" style="16" customWidth="1"/>
    <col min="11" max="11" width="8.21875" style="16" customWidth="1"/>
    <col min="12" max="13" width="7.6640625" style="16" customWidth="1"/>
    <col min="14" max="14" width="8.33203125" style="16" customWidth="1"/>
    <col min="15" max="15" width="5.6640625" style="16" customWidth="1"/>
    <col min="16" max="17" width="9" style="16"/>
    <col min="18" max="18" width="4.6640625" style="16" customWidth="1"/>
    <col min="19" max="16384" width="9" style="16"/>
  </cols>
  <sheetData>
    <row r="1" spans="1:21">
      <c r="A1" s="93" t="str">
        <f ca="1">RIGHT(CELL("filename",A1),LEN(CELL("filename",A1))-FIND("]",CELL("filename",A1)))</f>
        <v>請求書出力</v>
      </c>
      <c r="O1" s="479"/>
      <c r="P1" t="s">
        <v>456</v>
      </c>
      <c r="R1" s="460" t="s">
        <v>545</v>
      </c>
      <c r="T1" s="78"/>
      <c r="U1" s="342" t="s">
        <v>551</v>
      </c>
    </row>
    <row r="2" spans="1:21">
      <c r="K2" s="17" t="s">
        <v>72</v>
      </c>
      <c r="L2" s="713" t="s">
        <v>581</v>
      </c>
      <c r="M2" s="714"/>
      <c r="R2" s="343" t="s">
        <v>546</v>
      </c>
      <c r="U2" s="472" t="s">
        <v>695</v>
      </c>
    </row>
    <row r="3" spans="1:21" ht="24" customHeight="1">
      <c r="A3" s="715" t="s">
        <v>106</v>
      </c>
      <c r="B3" s="715"/>
      <c r="C3" s="715"/>
      <c r="D3" s="715"/>
      <c r="E3" s="715"/>
      <c r="F3" s="715"/>
      <c r="G3" s="715"/>
      <c r="H3" s="715"/>
      <c r="I3" s="715"/>
      <c r="J3" s="715"/>
      <c r="K3" s="715"/>
      <c r="L3" s="715"/>
      <c r="M3" s="715"/>
    </row>
    <row r="4" spans="1:21" ht="24" customHeight="1">
      <c r="A4" s="18"/>
      <c r="B4" s="716" t="str">
        <f>IF($O$4="*","【再発行】","")</f>
        <v/>
      </c>
      <c r="C4" s="716"/>
      <c r="D4" s="717">
        <f>IF($L$2="","",IF(VLOOKUP($L$2,請求Data!$I$11:$AR$160,請求Data!$L$10-請求Data!$H$10,FALSE)="",VLOOKUP($L$2,請求Data!$I$11:$AR$160,請求Data!$J$10-請求Data!$H$10,FALSE),VLOOKUP($L$2,請求Data!$I$11:$AR$160,請求Data!$L$10-請求Data!$H$10,FALSE)))</f>
        <v>43160</v>
      </c>
      <c r="E4" s="717"/>
      <c r="F4" s="718">
        <f>IF($L$2="","",IF(VLOOKUP($L$2,請求Data!$I$11:$AR$160,請求Data!$L$10-請求Data!$H$10,FALSE)="",VLOOKUP($L$2,請求Data!$I$11:$AR$160,請求Data!$K$10-請求Data!$H$10,FALSE),VLOOKUP($L$2,請求Data!$I$11:$AR$160,請求Data!$L$10-請求Data!$H$10,FALSE)))</f>
        <v>20</v>
      </c>
      <c r="G4" s="718"/>
      <c r="H4" s="18"/>
      <c r="I4" s="18"/>
      <c r="J4" s="18"/>
      <c r="K4" s="18"/>
      <c r="L4" s="90"/>
      <c r="M4" s="18"/>
      <c r="O4" s="61"/>
      <c r="P4" s="60" t="s">
        <v>174</v>
      </c>
    </row>
    <row r="5" spans="1:21" ht="14.1" customHeight="1">
      <c r="A5" s="18"/>
      <c r="B5" s="716"/>
      <c r="C5" s="716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21" ht="23.25" customHeight="1">
      <c r="B6" s="710" t="str">
        <f>IF($L$2="","",CONCATENATE(INDEX(ﾏｽﾀ!$F$8:$F$124,MATCH(MID(INDEX(請求Data!$G$11:$G$160,MATCH($L2,請求Data!$I$11:$I$160,0)),2,5),ﾏｽﾀ!$D$8:$D$124,0))&amp;"","　　御中"))</f>
        <v>株式会社 バンダイ　　御中</v>
      </c>
      <c r="C6" s="711"/>
      <c r="D6" s="711"/>
      <c r="E6" s="712"/>
      <c r="F6" s="19"/>
      <c r="O6" s="612" t="str">
        <f>IF($L$2="","",VLOOKUP($L$2,請求Data!$I$11:$AR$160,請求Data!$AC$10-請求Data!$H$10,FALSE))</f>
        <v>HK$</v>
      </c>
      <c r="P6" s="141" t="s">
        <v>424</v>
      </c>
    </row>
    <row r="7" spans="1:21" ht="23.25" customHeight="1">
      <c r="B7" s="719" t="str">
        <f>IF($L$2="","",INDEX(ﾏｽﾀ!$I$8:$I$124,MATCH(MID(INDEX(請求Data!$G$11:$G$160,MATCH($L2,請求Data!$I$11:$I$160,0)),2,5),ﾏｽﾀ!$D$8:$D$124,0))&amp;"")</f>
        <v>ベンダー事業部</v>
      </c>
      <c r="C7" s="720"/>
      <c r="D7" s="720"/>
      <c r="E7" s="89"/>
      <c r="I7" s="721" t="s">
        <v>17</v>
      </c>
      <c r="J7" s="721"/>
      <c r="K7" s="721"/>
      <c r="L7" s="721"/>
      <c r="M7" s="721"/>
    </row>
    <row r="8" spans="1:21" ht="17.25" customHeight="1">
      <c r="I8" s="722" t="s">
        <v>211</v>
      </c>
      <c r="J8" s="722"/>
      <c r="K8" s="722"/>
      <c r="L8" s="722"/>
      <c r="M8" s="722"/>
    </row>
    <row r="9" spans="1:21" ht="13.8" thickBot="1">
      <c r="I9" s="722" t="s">
        <v>13</v>
      </c>
      <c r="J9" s="722"/>
      <c r="K9" s="722"/>
      <c r="L9" s="722"/>
      <c r="M9" s="722"/>
    </row>
    <row r="10" spans="1:21" ht="35.1" customHeight="1" thickBot="1">
      <c r="B10" s="723" t="s">
        <v>15</v>
      </c>
      <c r="C10" s="724"/>
      <c r="D10" s="725" t="str">
        <f>IF($O$6="","",IF($O$6="\",CONCATENATE($O$6,TEXT($D$13+$D$19,"#,##0")),IF(OR($O$6="$",$O$6="HK$"),CONCATENATE($O$6,TEXT($D$13+$D$19,"#,##0.00")),"ERR")))</f>
        <v>HK$16,737.55</v>
      </c>
      <c r="E10" s="726"/>
      <c r="F10" s="726"/>
      <c r="G10" s="727"/>
      <c r="H10" s="305"/>
      <c r="I10" s="728" t="s">
        <v>696</v>
      </c>
      <c r="J10" s="728"/>
      <c r="K10" s="728"/>
      <c r="L10" s="728"/>
      <c r="M10" s="728"/>
    </row>
    <row r="11" spans="1:21" ht="15" customHeight="1" thickBot="1">
      <c r="P11" s="304"/>
    </row>
    <row r="12" spans="1:21" ht="20.100000000000001" customHeight="1">
      <c r="C12" s="732" t="s">
        <v>16</v>
      </c>
      <c r="D12" s="733"/>
      <c r="E12" s="733"/>
      <c r="F12" s="734"/>
      <c r="J12" s="735">
        <f>IF($L$2="","",IF(VLOOKUP($L$2,請求Data!$I$11:$AR$160,請求Data!$J$10-請求Data!$H$10,FALSE)="","ERR",VLOOKUP($L$2,請求Data!$I$11:$AR$160,請求Data!$J$10-請求Data!$H$10,FALSE)))</f>
        <v>43160</v>
      </c>
      <c r="K12" s="736"/>
      <c r="L12" s="737" t="s">
        <v>18</v>
      </c>
      <c r="M12" s="738"/>
    </row>
    <row r="13" spans="1:21" ht="19.5" customHeight="1">
      <c r="C13" s="739" t="s">
        <v>85</v>
      </c>
      <c r="D13" s="741" t="str">
        <f>IF($L$2="",0,IF($O$6="\",TEXT(VLOOKUP($L$2,請求Data!$I$11:$AR$160,請求Data!$V$10-請求Data!$H$10,FALSE),"#,##0"),IF(OR($O$6="$",$O$6="HK$"),TEXT(VLOOKUP($L$2,請求Data!$I$11:$AR$160,請求Data!$V$10-請求Data!$H$10,FALSE),"#,##0.00"),"通貨エラー別シートを！")))</f>
        <v>0.00</v>
      </c>
      <c r="E13" s="742"/>
      <c r="F13" s="743"/>
      <c r="J13" s="21" t="s">
        <v>19</v>
      </c>
      <c r="K13" s="613">
        <f>IF($L$2="","",VLOOKUP($L$2,請求Data!$I$11:$AR$160,請求Data!$O$10-請求Data!$H$10,FALSE))</f>
        <v>2</v>
      </c>
      <c r="L13" s="747">
        <f>IF($L$2="","",VLOOKUP($L$2,請求Data!$I$11:$AR$160,請求Data!$P$10-請求Data!$H$10,FALSE))</f>
        <v>21</v>
      </c>
      <c r="M13" s="748"/>
    </row>
    <row r="14" spans="1:21" ht="6" customHeight="1">
      <c r="C14" s="740"/>
      <c r="D14" s="744"/>
      <c r="E14" s="745"/>
      <c r="F14" s="746"/>
      <c r="J14" s="749" t="s">
        <v>20</v>
      </c>
      <c r="K14" s="751">
        <f>IF($L$2="","",VLOOKUP($L$2,請求Data!$I$11:$AR$160,請求Data!$Q$10-請求Data!$H$10,FALSE))</f>
        <v>3</v>
      </c>
      <c r="L14" s="753">
        <f>IF($L$2="","",VLOOKUP($L$2,請求Data!$I$11:$AR$160,請求Data!$R$10-請求Data!$H$10,FALSE))</f>
        <v>20</v>
      </c>
      <c r="M14" s="754"/>
    </row>
    <row r="15" spans="1:21" ht="14.1" customHeight="1">
      <c r="C15" s="739" t="s">
        <v>78</v>
      </c>
      <c r="D15" s="757" t="str">
        <f>IF($L$2="",0,IF(ISNA(MATCH($L$2,Sheet1!$I$7:$I$133,0)),"ERR",IF($O$6="\",TEXT(VLOOKUP($L$2,Sheet1!$I$7:$U$133,Sheet1!$L$5-Sheet1!$H$5,FALSE),"#,##0"),IF(OR($O$6="$",$O$6="HK$"),TEXT(VLOOKUP($L$2,Sheet1!$I$7:$U$133,Sheet1!$L$5-Sheet1!$H$5,FALSE),"#,##0.00"),"通貨エラー別シートを！"))))</f>
        <v>15,497.73</v>
      </c>
      <c r="E15" s="758"/>
      <c r="F15" s="759"/>
      <c r="G15" s="306"/>
      <c r="J15" s="750"/>
      <c r="K15" s="752"/>
      <c r="L15" s="755"/>
      <c r="M15" s="756"/>
    </row>
    <row r="16" spans="1:21" ht="12" customHeight="1">
      <c r="C16" s="740"/>
      <c r="D16" s="760"/>
      <c r="E16" s="761"/>
      <c r="F16" s="762"/>
      <c r="G16" s="306"/>
      <c r="I16" s="306"/>
      <c r="J16" s="763" t="str">
        <f>IF($L$2="","",IF(VLOOKUP($L$2,請求Data!$I$11:$AR$160,請求Data!$AA$10-請求Data!$H$10,0)="3","請求書№","請求明細枚数"))</f>
        <v>請求明細枚数</v>
      </c>
      <c r="K16" s="764"/>
      <c r="L16" s="764" t="str">
        <f>IF($L$2="","",IF(VLOOKUP($L$2,請求Data!$I$11:$AR$160,請求Data!$AI$10-請求Data!$H$10,FALSE)="",IF(VLOOKUP($L$2,請求Data!$I$11:$AR$160,請求Data!$AG$10-請求Data!$H$10,FALSE)="",IF(VLOOKUP($L$2,請求Data!$I$11:$AR$160,請求Data!$AE$10-請求Data!$H$10,FALSE)="","ERR",CONCATENATE(VLOOKUP($L$2,請求Data!$I$11:$AR$160,請求Data!$AD$10-請求Data!$H$10,FALSE),"枚")),CONCATENATE(VLOOKUP($L$2,請求Data!$I$11:$AR$160,請求Data!$AF$10-請求Data!$H$10,FALSE),"枚")),VLOOKUP($L$2,請求Data!$I$11:$AR$160,請求Data!$AH$10-請求Data!$H$10,FALSE)))</f>
        <v>1枚</v>
      </c>
      <c r="M16" s="767"/>
    </row>
    <row r="17" spans="1:13" ht="8.1" customHeight="1" thickBot="1">
      <c r="C17" s="739" t="s">
        <v>697</v>
      </c>
      <c r="D17" s="769" t="str">
        <f>IF($L$2="",0,IF(ISNA(MATCH($L$2,Sheet1!$I$7:$I$133,0)),"ERR",IF($O$6="\",TEXT(VLOOKUP($L$2,Sheet1!$I$7:$U$133,Sheet1!$M$5-Sheet1!$H$5,FALSE),"#,##0"),IF(OR($O$6="$",$O$6="HK$"),TEXT(VLOOKUP($L$2,Sheet1!$I$7:$U$133,Sheet1!$M$5-Sheet1!$H$5,FALSE),"#,##0.00"),"通貨エラー別シートを！"))))</f>
        <v>1,239.82</v>
      </c>
      <c r="E17" s="758"/>
      <c r="F17" s="759"/>
      <c r="G17" s="306"/>
      <c r="I17" s="306"/>
      <c r="J17" s="765"/>
      <c r="K17" s="766"/>
      <c r="L17" s="766"/>
      <c r="M17" s="768"/>
    </row>
    <row r="18" spans="1:13" ht="18" customHeight="1">
      <c r="C18" s="740"/>
      <c r="D18" s="760"/>
      <c r="E18" s="761"/>
      <c r="F18" s="762"/>
      <c r="G18" s="306"/>
    </row>
    <row r="19" spans="1:13" ht="24" customHeight="1" thickBot="1">
      <c r="C19" s="22" t="s">
        <v>14</v>
      </c>
      <c r="D19" s="729" t="str">
        <f>IF($L$2="",0,IF(ISNA(MATCH($L$2,Sheet1!$I$7:$I$133,0)),"請求№該当なし",IF(VLOOKUP($L$2,Sheet1!$I$7:$U$133,Sheet1!$N$5-Sheet1!$H$5,FALSE)=($D$15+$D$17),IF($O$6="\",TEXT(VLOOKUP($L$2,Sheet1!$I$7:$U$133,Sheet1!$N$5-Sheet1!$H$5,FALSE),"#,##0"),IF(OR($O$6="$",$O$6="HK$"),TEXT(VLOOKUP($L$2,Sheet1!$I$7:$U$133,Sheet1!$N$5-Sheet1!$H$5,FALSE),"#,##0.00"),"通貨エラー別シートを！")),"合計ERR")))</f>
        <v>16,737.55</v>
      </c>
      <c r="E19" s="730"/>
      <c r="F19" s="731"/>
    </row>
    <row r="20" spans="1:13" ht="11.25" customHeight="1"/>
    <row r="21" spans="1:13" ht="12" customHeight="1">
      <c r="C21" s="770" t="s">
        <v>105</v>
      </c>
      <c r="D21" s="770"/>
      <c r="E21" s="770"/>
      <c r="F21" s="770"/>
      <c r="G21" s="770"/>
      <c r="H21" s="770"/>
      <c r="L21" s="23" t="s">
        <v>71</v>
      </c>
      <c r="M21" s="24"/>
    </row>
    <row r="22" spans="1:13" ht="39.9" customHeight="1">
      <c r="C22" s="770"/>
      <c r="D22" s="770"/>
      <c r="E22" s="770"/>
      <c r="F22" s="770"/>
      <c r="G22" s="770"/>
      <c r="H22" s="770"/>
      <c r="L22" s="24"/>
      <c r="M22" s="24"/>
    </row>
    <row r="23" spans="1:13" ht="20.100000000000001" customHeight="1">
      <c r="C23" s="771" t="str">
        <f>IF($L$2="","",IF(VLOOKUP($L$2,請求Data!$I$11:$AR$160,請求Data!$AQ$10-請求Data!$H$10,FALSE)="",IF(VLOOKUP($L$2,請求Data!$I$11:$AR$160,請求Data!$X$10-請求Data!$H$10,FALSE)="","",CONCATENATE("但し、　 ",VLOOKUP($L$2,請求Data!$I$11:$AR$160,請求Data!$X$10-請求Data!$H$10,FALSE),"　代として")),CONCATENATE("但し、　 ",VLOOKUP($L$2,請求Data!$I$11:$AR$160,請求Data!$AQ$10-請求Data!$H$10,FALSE),"　代として")))</f>
        <v>但し、　 本荷　代として</v>
      </c>
      <c r="D23" s="771"/>
      <c r="E23" s="771"/>
      <c r="F23" s="771"/>
      <c r="G23" s="771"/>
      <c r="H23" s="771"/>
      <c r="I23" s="771"/>
      <c r="J23" s="771"/>
      <c r="K23" s="771"/>
      <c r="L23" s="771"/>
    </row>
    <row r="24" spans="1:13" ht="20.100000000000001" customHeight="1">
      <c r="C24" s="772"/>
      <c r="D24" s="772"/>
      <c r="E24" s="772"/>
      <c r="F24" s="772"/>
      <c r="G24" s="772"/>
      <c r="H24" s="772"/>
      <c r="I24" s="772"/>
      <c r="J24" s="772"/>
      <c r="K24" s="772"/>
      <c r="L24" s="772"/>
    </row>
    <row r="25" spans="1:13" ht="69.900000000000006" customHeight="1"/>
    <row r="26" spans="1:13">
      <c r="K26" s="17" t="s">
        <v>72</v>
      </c>
      <c r="L26" s="773" t="str">
        <f>$L$2</f>
        <v>39-B07020</v>
      </c>
      <c r="M26" s="773"/>
    </row>
    <row r="27" spans="1:13" ht="24" customHeight="1">
      <c r="A27" s="715" t="str">
        <f>IF($A$3="","",CONCATENATE($A$3,"（控）"))</f>
        <v>御　　請　　求　　書（控）</v>
      </c>
      <c r="B27" s="715"/>
      <c r="C27" s="715"/>
      <c r="D27" s="715"/>
      <c r="E27" s="715"/>
      <c r="F27" s="715"/>
      <c r="G27" s="715"/>
      <c r="H27" s="715"/>
      <c r="I27" s="715"/>
      <c r="J27" s="715"/>
      <c r="K27" s="715"/>
      <c r="L27" s="715"/>
      <c r="M27" s="715"/>
    </row>
    <row r="28" spans="1:13" ht="24" customHeight="1">
      <c r="A28" s="18"/>
      <c r="B28" s="716" t="str">
        <f>$B$4</f>
        <v/>
      </c>
      <c r="C28" s="716"/>
      <c r="D28" s="717">
        <f>$D$4</f>
        <v>43160</v>
      </c>
      <c r="E28" s="717"/>
      <c r="F28" s="718">
        <f>$F$4</f>
        <v>20</v>
      </c>
      <c r="G28" s="718"/>
      <c r="H28" s="18"/>
      <c r="I28" s="18"/>
      <c r="J28" s="18"/>
      <c r="K28" s="18"/>
      <c r="L28" s="18"/>
      <c r="M28" s="18"/>
    </row>
    <row r="29" spans="1:13" ht="14.1" customHeight="1">
      <c r="A29" s="18"/>
      <c r="B29" s="716"/>
      <c r="C29" s="716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1:13" ht="23.25" customHeight="1">
      <c r="B30" s="774" t="str">
        <f>$B$6</f>
        <v>株式会社 バンダイ　　御中</v>
      </c>
      <c r="C30" s="774"/>
      <c r="D30" s="774"/>
      <c r="E30" s="775"/>
      <c r="F30" s="19"/>
    </row>
    <row r="31" spans="1:13" ht="23.25" customHeight="1">
      <c r="B31" s="776" t="str">
        <f>$B$7</f>
        <v>ベンダー事業部</v>
      </c>
      <c r="C31" s="776"/>
      <c r="D31" s="776"/>
      <c r="E31" s="89"/>
      <c r="I31" s="721" t="s">
        <v>17</v>
      </c>
      <c r="J31" s="721"/>
      <c r="K31" s="721"/>
      <c r="L31" s="721"/>
      <c r="M31" s="721"/>
    </row>
    <row r="32" spans="1:13" ht="17.25" customHeight="1">
      <c r="I32" s="722" t="s">
        <v>211</v>
      </c>
      <c r="J32" s="722"/>
      <c r="K32" s="722"/>
      <c r="L32" s="722"/>
      <c r="M32" s="722"/>
    </row>
    <row r="33" spans="2:20" ht="13.8" thickBot="1">
      <c r="I33" s="722" t="s">
        <v>13</v>
      </c>
      <c r="J33" s="722"/>
      <c r="K33" s="722"/>
      <c r="L33" s="722"/>
      <c r="M33" s="722"/>
    </row>
    <row r="34" spans="2:20" ht="35.1" customHeight="1" thickBot="1">
      <c r="B34" s="723" t="s">
        <v>15</v>
      </c>
      <c r="C34" s="724"/>
      <c r="D34" s="725" t="str">
        <f>$D$10</f>
        <v>HK$16,737.55</v>
      </c>
      <c r="E34" s="726"/>
      <c r="F34" s="726"/>
      <c r="G34" s="727"/>
      <c r="H34" s="20"/>
      <c r="I34" s="728" t="s">
        <v>696</v>
      </c>
      <c r="J34" s="728"/>
      <c r="K34" s="728"/>
      <c r="L34" s="728"/>
      <c r="M34" s="728"/>
    </row>
    <row r="35" spans="2:20" ht="15" customHeight="1" thickBot="1"/>
    <row r="36" spans="2:20" ht="20.100000000000001" customHeight="1">
      <c r="C36" s="732" t="s">
        <v>16</v>
      </c>
      <c r="D36" s="733"/>
      <c r="E36" s="733"/>
      <c r="F36" s="734"/>
      <c r="J36" s="777">
        <f>$J$12</f>
        <v>43160</v>
      </c>
      <c r="K36" s="778"/>
      <c r="L36" s="737" t="s">
        <v>18</v>
      </c>
      <c r="M36" s="738"/>
    </row>
    <row r="37" spans="2:20" ht="19.5" customHeight="1">
      <c r="C37" s="739" t="s">
        <v>85</v>
      </c>
      <c r="D37" s="769" t="str">
        <f>$D$13</f>
        <v>0.00</v>
      </c>
      <c r="E37" s="758"/>
      <c r="F37" s="759"/>
      <c r="J37" s="21" t="s">
        <v>19</v>
      </c>
      <c r="K37" s="59">
        <f>$K$13</f>
        <v>2</v>
      </c>
      <c r="L37" s="779">
        <f>$L$13</f>
        <v>21</v>
      </c>
      <c r="M37" s="780"/>
    </row>
    <row r="38" spans="2:20" ht="6" customHeight="1">
      <c r="C38" s="740"/>
      <c r="D38" s="760"/>
      <c r="E38" s="761"/>
      <c r="F38" s="762"/>
      <c r="J38" s="749" t="s">
        <v>20</v>
      </c>
      <c r="K38" s="781">
        <f>$K$14</f>
        <v>3</v>
      </c>
      <c r="L38" s="783">
        <f>$L$14</f>
        <v>20</v>
      </c>
      <c r="M38" s="784"/>
    </row>
    <row r="39" spans="2:20" ht="14.1" customHeight="1">
      <c r="C39" s="739" t="s">
        <v>78</v>
      </c>
      <c r="D39" s="769" t="str">
        <f>$D$15</f>
        <v>15,497.73</v>
      </c>
      <c r="E39" s="758"/>
      <c r="F39" s="759"/>
      <c r="J39" s="750"/>
      <c r="K39" s="782"/>
      <c r="L39" s="785"/>
      <c r="M39" s="786"/>
    </row>
    <row r="40" spans="2:20" ht="12" customHeight="1">
      <c r="C40" s="740"/>
      <c r="D40" s="760"/>
      <c r="E40" s="761"/>
      <c r="F40" s="762"/>
      <c r="J40" s="749" t="str">
        <f>J16</f>
        <v>請求明細枚数</v>
      </c>
      <c r="K40" s="789"/>
      <c r="L40" s="789" t="str">
        <f>$L$16</f>
        <v>1枚</v>
      </c>
      <c r="M40" s="792"/>
    </row>
    <row r="41" spans="2:20" ht="8.1" customHeight="1" thickBot="1">
      <c r="C41" s="739" t="s">
        <v>697</v>
      </c>
      <c r="D41" s="769" t="str">
        <f>$D$17</f>
        <v>1,239.82</v>
      </c>
      <c r="E41" s="758"/>
      <c r="F41" s="759"/>
      <c r="J41" s="790"/>
      <c r="K41" s="791"/>
      <c r="L41" s="791"/>
      <c r="M41" s="793"/>
    </row>
    <row r="42" spans="2:20" ht="18" customHeight="1">
      <c r="C42" s="740"/>
      <c r="D42" s="760"/>
      <c r="E42" s="761"/>
      <c r="F42" s="762"/>
      <c r="I42" s="863" t="s">
        <v>699</v>
      </c>
      <c r="J42" s="863"/>
      <c r="K42" s="654" t="s">
        <v>700</v>
      </c>
      <c r="L42" s="656" t="s">
        <v>699</v>
      </c>
      <c r="M42" s="654" t="s">
        <v>700</v>
      </c>
    </row>
    <row r="43" spans="2:20" ht="24" customHeight="1" thickBot="1">
      <c r="C43" s="22" t="s">
        <v>14</v>
      </c>
      <c r="D43" s="729" t="str">
        <f>$D$19</f>
        <v>16,737.55</v>
      </c>
      <c r="E43" s="730"/>
      <c r="F43" s="731"/>
      <c r="I43" s="864">
        <v>2</v>
      </c>
      <c r="J43" s="864"/>
      <c r="K43" s="655"/>
      <c r="L43" s="655"/>
      <c r="M43" s="657"/>
      <c r="T43" s="16" t="s">
        <v>701</v>
      </c>
    </row>
    <row r="44" spans="2:20" ht="11.25" customHeight="1">
      <c r="I44" s="864">
        <v>3</v>
      </c>
      <c r="J44" s="864"/>
      <c r="K44" s="655"/>
      <c r="L44" s="865"/>
      <c r="M44" s="866"/>
      <c r="T44" s="16" t="s">
        <v>702</v>
      </c>
    </row>
    <row r="45" spans="2:20" ht="12" customHeight="1">
      <c r="C45" s="770" t="s">
        <v>105</v>
      </c>
      <c r="D45" s="770"/>
      <c r="E45" s="770"/>
      <c r="F45" s="770"/>
      <c r="G45" s="770"/>
      <c r="H45" s="770"/>
      <c r="I45" s="863">
        <v>4</v>
      </c>
      <c r="J45" s="863"/>
      <c r="K45" s="655"/>
      <c r="L45" s="862"/>
      <c r="M45" s="861"/>
    </row>
    <row r="46" spans="2:20">
      <c r="C46" s="770"/>
      <c r="D46" s="770"/>
      <c r="E46" s="770"/>
      <c r="F46" s="770"/>
      <c r="G46" s="770"/>
      <c r="H46" s="770"/>
      <c r="I46" s="864">
        <v>5</v>
      </c>
      <c r="J46" s="864"/>
      <c r="K46" s="655"/>
      <c r="L46" s="861"/>
      <c r="M46" s="861"/>
    </row>
    <row r="47" spans="2:20">
      <c r="C47" s="770"/>
      <c r="D47" s="770"/>
      <c r="E47" s="770"/>
      <c r="F47" s="770"/>
      <c r="G47" s="770"/>
      <c r="H47" s="770"/>
      <c r="I47" s="864">
        <v>6</v>
      </c>
      <c r="J47" s="864"/>
      <c r="K47" s="655"/>
      <c r="L47" s="861"/>
      <c r="M47" s="861"/>
    </row>
    <row r="48" spans="2:20">
      <c r="C48" s="770"/>
      <c r="D48" s="770"/>
      <c r="E48" s="770"/>
      <c r="F48" s="770"/>
      <c r="G48" s="770"/>
      <c r="H48" s="770"/>
      <c r="I48" s="863">
        <v>7</v>
      </c>
      <c r="J48" s="863"/>
      <c r="K48" s="655"/>
      <c r="L48" s="861"/>
      <c r="M48" s="861"/>
    </row>
    <row r="49" spans="3:13">
      <c r="C49" s="658"/>
      <c r="D49" s="658"/>
      <c r="E49" s="658"/>
      <c r="F49" s="658"/>
      <c r="G49" s="658"/>
      <c r="H49" s="658"/>
      <c r="I49" s="864">
        <v>8</v>
      </c>
      <c r="J49" s="864"/>
      <c r="K49" s="655"/>
      <c r="L49" s="861"/>
      <c r="M49" s="861"/>
    </row>
    <row r="50" spans="3:13">
      <c r="C50" s="658"/>
      <c r="D50" s="658"/>
      <c r="E50" s="658"/>
      <c r="F50" s="658"/>
      <c r="G50" s="658"/>
      <c r="H50" s="658"/>
      <c r="I50" s="864">
        <v>9</v>
      </c>
      <c r="J50" s="864"/>
      <c r="K50" s="655"/>
      <c r="L50" s="861"/>
      <c r="M50" s="861"/>
    </row>
    <row r="51" spans="3:13">
      <c r="C51" s="658"/>
      <c r="D51" s="658"/>
      <c r="E51" s="658"/>
      <c r="F51" s="658"/>
      <c r="G51" s="658"/>
      <c r="H51" s="658"/>
      <c r="I51" s="863">
        <v>10</v>
      </c>
      <c r="J51" s="863"/>
      <c r="K51" s="655"/>
      <c r="L51" s="861"/>
      <c r="M51" s="861"/>
    </row>
    <row r="52" spans="3:13" ht="20.100000000000001" customHeight="1">
      <c r="C52" s="787" t="str">
        <f>IF($C23="","",$C23)</f>
        <v>但し、　 本荷　代として</v>
      </c>
      <c r="D52" s="787"/>
      <c r="E52" s="787"/>
      <c r="F52" s="787"/>
      <c r="G52" s="787"/>
      <c r="H52" s="787"/>
      <c r="I52" s="787"/>
      <c r="J52" s="787"/>
      <c r="K52" s="787"/>
      <c r="L52" s="787"/>
    </row>
    <row r="53" spans="3:13" ht="20.100000000000001" customHeight="1">
      <c r="C53" s="788" t="str">
        <f>IF($C24="","",$C24)</f>
        <v/>
      </c>
      <c r="D53" s="788"/>
      <c r="E53" s="788"/>
      <c r="F53" s="788"/>
      <c r="G53" s="788"/>
      <c r="H53" s="788"/>
      <c r="I53" s="788"/>
      <c r="J53" s="788"/>
      <c r="K53" s="788"/>
      <c r="L53" s="788"/>
    </row>
    <row r="54" spans="3:13">
      <c r="L54" s="76" t="s">
        <v>173</v>
      </c>
      <c r="M54" s="76">
        <f ca="1">TODAY()</f>
        <v>43917</v>
      </c>
    </row>
  </sheetData>
  <mergeCells count="74">
    <mergeCell ref="I50:J50"/>
    <mergeCell ref="I51:J51"/>
    <mergeCell ref="I45:J45"/>
    <mergeCell ref="I46:J46"/>
    <mergeCell ref="I47:J47"/>
    <mergeCell ref="I48:J48"/>
    <mergeCell ref="I49:J49"/>
    <mergeCell ref="C52:L52"/>
    <mergeCell ref="C53:L53"/>
    <mergeCell ref="D39:F40"/>
    <mergeCell ref="J40:K41"/>
    <mergeCell ref="L40:M41"/>
    <mergeCell ref="C41:C42"/>
    <mergeCell ref="D41:F42"/>
    <mergeCell ref="D43:F43"/>
    <mergeCell ref="C45:H48"/>
    <mergeCell ref="I42:J42"/>
    <mergeCell ref="I43:J43"/>
    <mergeCell ref="I44:J44"/>
    <mergeCell ref="C36:F36"/>
    <mergeCell ref="J36:K36"/>
    <mergeCell ref="L36:M36"/>
    <mergeCell ref="C37:C38"/>
    <mergeCell ref="D37:F38"/>
    <mergeCell ref="L37:M37"/>
    <mergeCell ref="J38:J39"/>
    <mergeCell ref="K38:K39"/>
    <mergeCell ref="L38:M39"/>
    <mergeCell ref="C39:C40"/>
    <mergeCell ref="B34:C34"/>
    <mergeCell ref="D34:G34"/>
    <mergeCell ref="C21:H22"/>
    <mergeCell ref="C23:L23"/>
    <mergeCell ref="C24:L24"/>
    <mergeCell ref="L26:M26"/>
    <mergeCell ref="A27:M27"/>
    <mergeCell ref="B28:C29"/>
    <mergeCell ref="D28:E28"/>
    <mergeCell ref="F28:G28"/>
    <mergeCell ref="B30:E30"/>
    <mergeCell ref="B31:D31"/>
    <mergeCell ref="I31:M31"/>
    <mergeCell ref="I32:M32"/>
    <mergeCell ref="I33:M33"/>
    <mergeCell ref="I34:M34"/>
    <mergeCell ref="D19:F19"/>
    <mergeCell ref="C12:F12"/>
    <mergeCell ref="J12:K12"/>
    <mergeCell ref="L12:M12"/>
    <mergeCell ref="C13:C14"/>
    <mergeCell ref="D13:F14"/>
    <mergeCell ref="L13:M13"/>
    <mergeCell ref="J14:J15"/>
    <mergeCell ref="K14:K15"/>
    <mergeCell ref="L14:M15"/>
    <mergeCell ref="C15:C16"/>
    <mergeCell ref="D15:F16"/>
    <mergeCell ref="J16:K17"/>
    <mergeCell ref="L16:M17"/>
    <mergeCell ref="C17:C18"/>
    <mergeCell ref="D17:F18"/>
    <mergeCell ref="B7:D7"/>
    <mergeCell ref="I7:M7"/>
    <mergeCell ref="I8:M8"/>
    <mergeCell ref="I9:M9"/>
    <mergeCell ref="B10:C10"/>
    <mergeCell ref="D10:G10"/>
    <mergeCell ref="I10:M10"/>
    <mergeCell ref="B6:E6"/>
    <mergeCell ref="L2:M2"/>
    <mergeCell ref="A3:M3"/>
    <mergeCell ref="B4:C5"/>
    <mergeCell ref="D4:E4"/>
    <mergeCell ref="F4:G4"/>
  </mergeCells>
  <phoneticPr fontId="3"/>
  <conditionalFormatting sqref="D13:F16">
    <cfRule type="expression" dxfId="12" priority="1">
      <formula>$D$15="通貨エラー別シートを！"</formula>
    </cfRule>
  </conditionalFormatting>
  <pageMargins left="0.39370078740157483" right="0" top="0.43307086614173229" bottom="0" header="0.31496062992125984" footer="0.62992125984251968"/>
  <pageSetup paperSize="9" scale="92" firstPageNumber="2" orientation="portrait" horizontalDpi="300" verticalDpi="30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9"/>
  </sheetPr>
  <dimension ref="A1:AF186"/>
  <sheetViews>
    <sheetView zoomScale="70" zoomScaleNormal="70" workbookViewId="0">
      <pane xSplit="6" ySplit="8" topLeftCell="G9" activePane="bottomRight" state="frozen"/>
      <selection pane="topRight" activeCell="F1" sqref="F1"/>
      <selection pane="bottomLeft" activeCell="A9" sqref="A9"/>
      <selection pane="bottomRight" activeCell="P9" sqref="P9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customWidth="1" outlineLevel="1"/>
    <col min="4" max="4" width="3.88671875" style="299" customWidth="1" outlineLevel="1"/>
    <col min="5" max="5" width="6.44140625" style="45" bestFit="1" customWidth="1"/>
    <col min="6" max="6" width="41" style="5" bestFit="1" customWidth="1"/>
    <col min="7" max="7" width="5.6640625" customWidth="1"/>
    <col min="8" max="8" width="13.6640625" style="2" customWidth="1"/>
    <col min="9" max="9" width="2.6640625" style="348" customWidth="1"/>
    <col min="10" max="10" width="5.6640625" customWidth="1"/>
    <col min="11" max="11" width="12.6640625" style="2" customWidth="1"/>
    <col min="12" max="12" width="2.6640625" style="348" customWidth="1"/>
    <col min="13" max="13" width="5.6640625" customWidth="1"/>
    <col min="14" max="14" width="13.6640625" customWidth="1"/>
    <col min="15" max="15" width="5.6640625" style="348" customWidth="1"/>
    <col min="16" max="16" width="5.6640625" customWidth="1"/>
    <col min="17" max="17" width="13.6640625" style="2" customWidth="1"/>
    <col min="18" max="18" width="2.6640625" style="348" customWidth="1"/>
    <col min="19" max="19" width="5.6640625" customWidth="1"/>
    <col min="20" max="20" width="12.6640625" style="2" customWidth="1"/>
    <col min="21" max="21" width="2.6640625" style="348" customWidth="1"/>
    <col min="22" max="22" width="5.6640625" customWidth="1"/>
    <col min="23" max="23" width="13.6640625" customWidth="1"/>
    <col min="24" max="24" width="5.6640625" style="348" customWidth="1"/>
    <col min="25" max="25" width="5.6640625" customWidth="1"/>
    <col min="26" max="26" width="15.6640625" style="2" customWidth="1"/>
    <col min="27" max="27" width="2.6640625" style="348" customWidth="1"/>
    <col min="28" max="28" width="5.6640625" customWidth="1"/>
    <col min="29" max="29" width="15.6640625" style="2" customWidth="1"/>
    <col min="30" max="30" width="2.6640625" style="348" customWidth="1"/>
    <col min="31" max="31" width="5.6640625" customWidth="1"/>
    <col min="32" max="32" width="15.6640625" customWidth="1"/>
  </cols>
  <sheetData>
    <row r="1" spans="1:32" ht="14.4">
      <c r="A1" s="93"/>
      <c r="C1" s="92"/>
      <c r="E1" s="93" t="str">
        <f ca="1">RIGHT(CELL("filename",E1),LEN(CELL("filename",E1))-FIND("]",CELL("filename",E1)))</f>
        <v>集計合計</v>
      </c>
      <c r="G1" s="106" t="str">
        <f>IF('納品書明細16-E'!$N$2="","",'納品書明細16-E'!$N$2)</f>
        <v>\</v>
      </c>
      <c r="H1" s="107" t="str">
        <f>IF('納品書明細16-E'!$O$2="","",'納品書明細16-E'!$O$2)</f>
        <v>1</v>
      </c>
      <c r="M1" s="343" t="s">
        <v>580</v>
      </c>
    </row>
    <row r="2" spans="1:32" ht="14.4">
      <c r="B2" s="5"/>
      <c r="C2" s="105"/>
      <c r="E2" s="52"/>
      <c r="F2" s="16" t="s">
        <v>82</v>
      </c>
      <c r="G2" s="108" t="str">
        <f>IF('納品書明細16-E'!$N$3="","",'納品書明細16-E'!$N$3)</f>
        <v>$</v>
      </c>
      <c r="H2" s="109" t="str">
        <f>IF('納品書明細16-E'!$O$3="","",'納品書明細16-E'!$O$3)</f>
        <v>2</v>
      </c>
      <c r="J2" s="78"/>
      <c r="M2" s="342" t="s">
        <v>577</v>
      </c>
    </row>
    <row r="3" spans="1:32" ht="14.4">
      <c r="B3" s="5"/>
      <c r="C3" s="105"/>
      <c r="E3" s="250"/>
      <c r="F3" s="16" t="s">
        <v>83</v>
      </c>
      <c r="G3" s="108" t="str">
        <f>IF('納品書明細16-E'!$N$4="","",'納品書明細16-E'!$N$4)</f>
        <v>HK$</v>
      </c>
      <c r="H3" s="109" t="str">
        <f>IF('納品書明細16-E'!$O$4="","",'納品書明細16-E'!$O$4)</f>
        <v>3</v>
      </c>
      <c r="M3" s="472" t="s">
        <v>695</v>
      </c>
    </row>
    <row r="4" spans="1:32" ht="15" thickBot="1">
      <c r="B4" s="5"/>
      <c r="C4" s="105"/>
      <c r="E4" s="479"/>
      <c r="F4" t="s">
        <v>456</v>
      </c>
      <c r="G4" s="110" t="str">
        <f>IF('納品書明細16-E'!$N$5="","",'納品書明細16-E'!$N$5)</f>
        <v/>
      </c>
      <c r="H4" s="111" t="str">
        <f>IF('納品書明細16-E'!$O$5="","",'納品書明細16-E'!$O$5)</f>
        <v>4</v>
      </c>
    </row>
    <row r="5" spans="1:32" ht="15" thickBot="1">
      <c r="C5" s="91"/>
      <c r="E5" s="91"/>
      <c r="F5" s="92" t="s">
        <v>10</v>
      </c>
      <c r="G5" s="167" t="s">
        <v>395</v>
      </c>
      <c r="H5" s="92"/>
      <c r="I5" s="349"/>
      <c r="J5" s="92"/>
      <c r="K5" s="92"/>
      <c r="L5" s="349"/>
      <c r="M5" s="92"/>
      <c r="N5" s="92"/>
      <c r="P5" s="167" t="s">
        <v>392</v>
      </c>
      <c r="Q5" s="105"/>
      <c r="R5" s="349"/>
      <c r="S5" s="105"/>
      <c r="T5" s="105"/>
      <c r="U5" s="349"/>
      <c r="V5" s="105"/>
      <c r="W5" s="105"/>
      <c r="Y5" s="167" t="s">
        <v>393</v>
      </c>
      <c r="Z5" s="105"/>
      <c r="AA5" s="349"/>
      <c r="AB5" s="105"/>
      <c r="AC5" s="105"/>
      <c r="AD5" s="349"/>
      <c r="AE5" s="105"/>
      <c r="AF5" s="105"/>
    </row>
    <row r="6" spans="1:32" s="348" customFormat="1" ht="13.5" customHeight="1">
      <c r="A6" s="51"/>
      <c r="B6" s="579"/>
      <c r="C6" s="51"/>
      <c r="D6" s="51"/>
      <c r="E6" s="367" t="s">
        <v>440</v>
      </c>
      <c r="F6" s="368" t="s">
        <v>439</v>
      </c>
      <c r="G6" s="797" t="s">
        <v>92</v>
      </c>
      <c r="H6" s="798"/>
      <c r="I6" s="350"/>
      <c r="J6" s="798" t="s">
        <v>93</v>
      </c>
      <c r="K6" s="798"/>
      <c r="L6" s="350"/>
      <c r="M6" s="798" t="s">
        <v>6</v>
      </c>
      <c r="N6" s="799"/>
      <c r="O6" s="350"/>
      <c r="P6" s="800" t="s">
        <v>92</v>
      </c>
      <c r="Q6" s="798"/>
      <c r="R6" s="350"/>
      <c r="S6" s="798" t="s">
        <v>93</v>
      </c>
      <c r="T6" s="798"/>
      <c r="U6" s="350"/>
      <c r="V6" s="798" t="s">
        <v>6</v>
      </c>
      <c r="W6" s="799"/>
      <c r="X6" s="350"/>
      <c r="Y6" s="800" t="s">
        <v>92</v>
      </c>
      <c r="Z6" s="798"/>
      <c r="AA6" s="350"/>
      <c r="AB6" s="798" t="s">
        <v>93</v>
      </c>
      <c r="AC6" s="798"/>
      <c r="AD6" s="350"/>
      <c r="AE6" s="798" t="s">
        <v>6</v>
      </c>
      <c r="AF6" s="799"/>
    </row>
    <row r="7" spans="1:32" s="374" customFormat="1" ht="13.5" hidden="1" customHeight="1" outlineLevel="1">
      <c r="A7" s="369">
        <v>1</v>
      </c>
      <c r="B7" s="580">
        <v>2</v>
      </c>
      <c r="C7" s="369">
        <v>3</v>
      </c>
      <c r="D7" s="369">
        <v>4</v>
      </c>
      <c r="E7" s="370">
        <v>5</v>
      </c>
      <c r="F7" s="371">
        <v>6</v>
      </c>
      <c r="G7" s="351">
        <v>7</v>
      </c>
      <c r="H7" s="351">
        <v>8</v>
      </c>
      <c r="I7" s="351">
        <v>9</v>
      </c>
      <c r="J7" s="351">
        <v>10</v>
      </c>
      <c r="K7" s="351">
        <v>11</v>
      </c>
      <c r="L7" s="351">
        <v>12</v>
      </c>
      <c r="M7" s="351">
        <v>13</v>
      </c>
      <c r="N7" s="372">
        <v>14</v>
      </c>
      <c r="O7" s="351">
        <v>15</v>
      </c>
      <c r="P7" s="373">
        <v>16</v>
      </c>
      <c r="Q7" s="351">
        <v>17</v>
      </c>
      <c r="R7" s="351">
        <v>18</v>
      </c>
      <c r="S7" s="351">
        <v>19</v>
      </c>
      <c r="T7" s="351">
        <v>20</v>
      </c>
      <c r="U7" s="351">
        <v>21</v>
      </c>
      <c r="V7" s="351">
        <v>22</v>
      </c>
      <c r="W7" s="372">
        <v>23</v>
      </c>
      <c r="X7" s="351">
        <v>24</v>
      </c>
      <c r="Y7" s="373">
        <v>25</v>
      </c>
      <c r="Z7" s="351">
        <v>26</v>
      </c>
      <c r="AA7" s="351">
        <v>27</v>
      </c>
      <c r="AB7" s="351">
        <v>28</v>
      </c>
      <c r="AC7" s="351">
        <v>29</v>
      </c>
      <c r="AD7" s="351">
        <v>30</v>
      </c>
      <c r="AE7" s="351">
        <v>31</v>
      </c>
      <c r="AF7" s="372">
        <v>32</v>
      </c>
    </row>
    <row r="8" spans="1:32" s="348" customFormat="1" ht="13.8" collapsed="1" thickBot="1">
      <c r="A8" s="51"/>
      <c r="B8" s="581"/>
      <c r="C8" s="51"/>
      <c r="D8" s="51"/>
      <c r="E8" s="375"/>
      <c r="F8" s="376"/>
      <c r="G8" s="377" t="s">
        <v>3</v>
      </c>
      <c r="H8" s="378" t="s">
        <v>2</v>
      </c>
      <c r="I8" s="352"/>
      <c r="J8" s="379" t="s">
        <v>3</v>
      </c>
      <c r="K8" s="379" t="s">
        <v>2</v>
      </c>
      <c r="L8" s="352"/>
      <c r="M8" s="378" t="s">
        <v>3</v>
      </c>
      <c r="N8" s="380" t="s">
        <v>2</v>
      </c>
      <c r="O8" s="352"/>
      <c r="P8" s="381" t="s">
        <v>3</v>
      </c>
      <c r="Q8" s="378" t="s">
        <v>2</v>
      </c>
      <c r="R8" s="352"/>
      <c r="S8" s="379" t="s">
        <v>3</v>
      </c>
      <c r="T8" s="379" t="s">
        <v>2</v>
      </c>
      <c r="U8" s="352"/>
      <c r="V8" s="378" t="s">
        <v>3</v>
      </c>
      <c r="W8" s="380" t="s">
        <v>2</v>
      </c>
      <c r="X8" s="352"/>
      <c r="Y8" s="381" t="s">
        <v>3</v>
      </c>
      <c r="Z8" s="378" t="s">
        <v>2</v>
      </c>
      <c r="AA8" s="352"/>
      <c r="AB8" s="379" t="s">
        <v>3</v>
      </c>
      <c r="AC8" s="379" t="s">
        <v>2</v>
      </c>
      <c r="AD8" s="352"/>
      <c r="AE8" s="378" t="s">
        <v>3</v>
      </c>
      <c r="AF8" s="380" t="s">
        <v>2</v>
      </c>
    </row>
    <row r="9" spans="1:32">
      <c r="A9" s="474">
        <f>IF(SUMIFS($G9:$AF9,$G$8:$AF$8,"金額",$G9:$AF9,"&gt;0")-SUMIFS($G9:$AF9,$G$8:$AF$8,"金額",$G9:$AF9,"&lt;0")&lt;=0,"",MAX($A$8:$A8)+1)</f>
        <v>1</v>
      </c>
      <c r="B9" s="801" t="s">
        <v>4</v>
      </c>
      <c r="C9" s="245" t="str">
        <f t="shared" ref="C9:C40" si="0">CONCATENATE("商品",$A9)</f>
        <v>商品1</v>
      </c>
      <c r="D9" s="245">
        <v>1</v>
      </c>
      <c r="E9" s="590" t="str">
        <f>IF($F9&lt;&gt;"",INDEX(ﾏｽﾀ!$D$8:$D$124,MATCH(INDEX(ﾏｽﾀ!$N$8:$N$124,MATCH($F9,ﾏｽﾀ!$O$8:$O$124,0)),ﾏｽﾀ!$B$8:$B$124,0))&amp;"","")</f>
        <v>10001</v>
      </c>
      <c r="F9" s="589" t="str">
        <f>ﾏｽﾀ!$R8&amp;""</f>
        <v xml:space="preserve">株式会社 バンダイ　3100／ベンダー事業部 </v>
      </c>
      <c r="G9" s="632">
        <f>VLOOKUP($E9,'集計16-E'!$E$9:$AF$90,'集計16-E'!$G$7-$D$7,FALSE)+VLOOKUP($E9,'集計F-15'!$E$9:$AF$90,'集計F-15'!$G$7-$D$7,FALSE)-INDEX($J$9:$J$90,MATCH($E9,$E$9:$E$90,0))</f>
        <v>1</v>
      </c>
      <c r="H9" s="633">
        <f>VLOOKUP($E9,'集計16-E'!$E$9:$AF$90,'集計16-E'!$H$7-$D$7,FALSE)+VLOOKUP($E9,'集計F-15'!$E$9:$AF$90,'集計F-15'!$H$7-$D$7,FALSE)-INDEX($K$9:$K$90,MATCH($E9,$E$9:$E$90,0))</f>
        <v>6219276</v>
      </c>
      <c r="I9" s="345"/>
      <c r="J9" s="175">
        <f>SUMIF(請求Data!$F$11:$F$160,CONCATENATE(VLOOKUP(G$5,$G$1:$H$4,2,FALSE),$E9,1,2),請求Data!$AF$11:$AF$160)</f>
        <v>1</v>
      </c>
      <c r="K9" s="174">
        <f>SUMIF(請求Data!$F$11:$F$160,CONCATENATE(VLOOKUP(G$5,$G$1:$H$4,2,FALSE),$E9,1,2),請求Data!$AG$11:$AG$160)</f>
        <v>9099000</v>
      </c>
      <c r="L9" s="345"/>
      <c r="M9" s="175">
        <f>VLOOKUP($E9,'集計16-E'!$E$9:$AF$90,'集計16-E'!$M$7-$D$7,FALSE)+VLOOKUP($E9,'集計F-15'!$E$9:$AF$90,'集計F-15'!$M$7-$D$7,FALSE)</f>
        <v>1</v>
      </c>
      <c r="N9" s="432">
        <f>VLOOKUP($E9,'集計16-E'!$E$9:$AF$90,'集計16-E'!$N$7-$D$7,FALSE)+VLOOKUP($E9,'集計F-15'!$E$9:$AF$90,'集計F-15'!$N$7-$D$7,FALSE)</f>
        <v>500000</v>
      </c>
      <c r="O9" s="345"/>
      <c r="P9" s="644">
        <f>VLOOKUP($E9,'集計16-E'!$E$9:$AF$90,'集計16-E'!$P$7-$D$7,FALSE)+VLOOKUP($E9,'集計F-15'!$E$9:$AF$90,'集計F-15'!$P$7-$D$7,FALSE)-$S9</f>
        <v>0</v>
      </c>
      <c r="Q9" s="645">
        <f>VLOOKUP($E9,'集計16-E'!$E$9:$AF$90,'集計16-E'!$Q$7-$D$7,FALSE)+VLOOKUP($E9,'集計F-15'!$E$9:$AF$90,'集計F-15'!$Q$7-$D$7,FALSE)-$T9</f>
        <v>0</v>
      </c>
      <c r="R9" s="345"/>
      <c r="S9" s="175">
        <f>SUMIF(請求Data!$F$11:$F$160,CONCATENATE(VLOOKUP(P$5,$G$1:$H$4,2,FALSE),$E9,1,2),請求Data!$AF$11:$AF$160)</f>
        <v>0</v>
      </c>
      <c r="T9" s="177">
        <f>SUMIF(請求Data!$F$11:$F$160,CONCATENATE(VLOOKUP(P$5,$G$1:$H$4,2,FALSE),$E9,1,2),請求Data!$AG$11:$AG$160)</f>
        <v>0</v>
      </c>
      <c r="U9" s="345"/>
      <c r="V9" s="175">
        <f>VLOOKUP($E9,'集計16-E'!$E$9:$AF$90,'集計16-E'!$V$7-$D$7,0)+VLOOKUP($E9,'集計F-15'!$E$9:$AF$90,'集計F-15'!$V$7-$D$7,0)</f>
        <v>0</v>
      </c>
      <c r="W9" s="433">
        <f>VLOOKUP($E9,'集計16-E'!$E$9:$AF$90,'集計16-E'!$W$7-$D$7,0)+VLOOKUP($E9,'集計F-15'!$E$9:$AF$90,'集計F-15'!$W$7-$D$7,0)</f>
        <v>0</v>
      </c>
      <c r="X9" s="345"/>
      <c r="Y9" s="644">
        <f>VLOOKUP($E9,'集計16-E'!$E$9:AF$90,'集計16-E'!$Y$7-$D$7,0)+VLOOKUP($E9,'集計F-15'!$E$9:AF$90,'集計F-15'!$Y$7-$D$7,0)-$AB9</f>
        <v>1</v>
      </c>
      <c r="Z9" s="645">
        <f>VLOOKUP($E9,'集計16-E'!$E$9:AF$90,'集計16-E'!$Z$7-$D$7,0)+VLOOKUP($E9,'集計F-15'!$E$9:AF$90,'集計F-15'!$Z$7-$D$7,0)-$AC9</f>
        <v>15497.73</v>
      </c>
      <c r="AA9" s="345"/>
      <c r="AB9" s="175">
        <f>SUMIF(請求Data!$F$11:$F$160,CONCATENATE(VLOOKUP(Y$5,$G$1:$H$4,2,FALSE),$E9,1,2),請求Data!$AF$11:$AF$160)</f>
        <v>0</v>
      </c>
      <c r="AC9" s="177">
        <f>SUMIF(請求Data!$F$11:$F$160,CONCATENATE(VLOOKUP(Y$5,$G$1:$H$4,2,FALSE),$E9,1,2),請求Data!$AG$11:$AG$160)</f>
        <v>0</v>
      </c>
      <c r="AD9" s="345"/>
      <c r="AE9" s="175">
        <f>VLOOKUP($E9,'集計16-E'!$E$9:AF$90,'集計16-E'!$AE$7-$D$7,0)+VLOOKUP($E9,'集計F-15'!$E$9:AF$90,'集計F-15'!$AE$7-$D$7,0)</f>
        <v>0</v>
      </c>
      <c r="AF9" s="433">
        <f>VLOOKUP($E9,'集計16-E'!$E$9:AF$90,'集計16-E'!$AF$7-$D$7,0)+VLOOKUP($E9,'集計F-15'!$E$9:AF$90,'集計F-15'!$AF$7-$D$7,0)</f>
        <v>0</v>
      </c>
    </row>
    <row r="10" spans="1:32">
      <c r="A10" s="474" t="str">
        <f>IF(SUMIFS($G10:$AF10,$G$8:$AF$8,"金額",$G10:$AF10,"&gt;0")-SUMIFS($G10:$AF10,$G$8:$AF$8,"金額",$G10:$AF10,"&lt;0")&lt;=0,"",MAX($A$8:$A9)+1)</f>
        <v/>
      </c>
      <c r="B10" s="802"/>
      <c r="C10" s="245" t="str">
        <f t="shared" si="0"/>
        <v>商品</v>
      </c>
      <c r="D10" s="245">
        <v>2</v>
      </c>
      <c r="E10" s="590" t="str">
        <f>IF($F10&lt;&gt;"",INDEX(ﾏｽﾀ!$D$8:$D$124,MATCH(INDEX(ﾏｽﾀ!$N$8:$N$124,MATCH($F10,ﾏｽﾀ!$O$8:$O$124,0)),ﾏｽﾀ!$B$8:$B$124,0))&amp;"","")</f>
        <v>10002</v>
      </c>
      <c r="F10" s="589" t="str">
        <f>ﾏｽﾀ!$R9&amp;""</f>
        <v>株式会社 バンダイ</v>
      </c>
      <c r="G10" s="632">
        <f>VLOOKUP($E10,'集計16-E'!$E$9:$AF$90,'集計16-E'!$G$7-$D$7,FALSE)+VLOOKUP($E10,'集計F-15'!$E$9:$AF$90,'集計F-15'!$G$7-$D$7,FALSE)-INDEX($J$9:$J$90,MATCH($E10,$E$9:$E$90,0))</f>
        <v>0</v>
      </c>
      <c r="H10" s="633">
        <f>VLOOKUP($E10,'集計16-E'!$E$9:$AF$90,'集計16-E'!$H$7-$D$7,FALSE)+VLOOKUP($E10,'集計F-15'!$E$9:$AF$90,'集計F-15'!$H$7-$D$7,FALSE)-INDEX($K$9:$K$90,MATCH($E10,$E$9:$E$90,0))</f>
        <v>0</v>
      </c>
      <c r="I10" s="345"/>
      <c r="J10" s="126">
        <f>SUMIF(請求Data!$F$11:$F$160,CONCATENATE(VLOOKUP(G$5,$G$1:$H$4,2,FALSE),$E10,1,2),請求Data!$AF$11:$AF$160)</f>
        <v>0</v>
      </c>
      <c r="K10" s="127">
        <f>SUMIF(請求Data!$F$11:$F$160,CONCATENATE(VLOOKUP(G$5,$G$1:$H$4,2,FALSE),$E10,1,2),請求Data!$AG$11:$AG$160)</f>
        <v>0</v>
      </c>
      <c r="L10" s="345"/>
      <c r="M10" s="175">
        <f>VLOOKUP($E10,'集計16-E'!$E$9:$AF$90,'集計16-E'!$M$7-$D$7,FALSE)+VLOOKUP($E10,'集計F-15'!$E$9:$AF$90,'集計F-15'!$M$7-$D$7,FALSE)</f>
        <v>0</v>
      </c>
      <c r="N10" s="432">
        <f>VLOOKUP($E10,'集計16-E'!$E$9:$AF$90,'集計16-E'!$N$7-$D$7,FALSE)+VLOOKUP($E10,'集計F-15'!$E$9:$AF$90,'集計F-15'!$N$7-$D$7,FALSE)</f>
        <v>0</v>
      </c>
      <c r="O10" s="345"/>
      <c r="P10" s="644">
        <f>VLOOKUP($E10,'集計16-E'!$E$9:$AF$90,'集計16-E'!$P$7-$D$7,FALSE)+VLOOKUP($E10,'集計F-15'!$E$9:$AF$90,'集計F-15'!$P$7-$D$7,FALSE)-$S10</f>
        <v>0</v>
      </c>
      <c r="Q10" s="645">
        <f>VLOOKUP($E10,'集計16-E'!$E$9:$AF$90,'集計16-E'!$Q$7-$D$7,FALSE)+VLOOKUP($E10,'集計F-15'!$E$9:$AF$90,'集計F-15'!$Q$7-$D$7,FALSE)-$T10</f>
        <v>0</v>
      </c>
      <c r="R10" s="345"/>
      <c r="S10" s="175">
        <f>SUMIF(請求Data!$F$11:$F$160,CONCATENATE(VLOOKUP(P$5,$G$1:$H$4,2,FALSE),$E10,1,2),請求Data!$AF$11:$AF$160)</f>
        <v>0</v>
      </c>
      <c r="T10" s="177">
        <f>SUMIF(請求Data!$F$11:$F$160,CONCATENATE(VLOOKUP(P$5,$G$1:$H$4,2,FALSE),$E10,1,2),請求Data!$AG$11:$AG$160)</f>
        <v>0</v>
      </c>
      <c r="U10" s="345"/>
      <c r="V10" s="175">
        <f>VLOOKUP($E10,'集計16-E'!$E$9:$AF$90,'集計16-E'!$V$7-$D$7,0)+VLOOKUP($E10,'集計F-15'!$E$9:$AF$90,'集計F-15'!$V$7-$D$7,0)</f>
        <v>0</v>
      </c>
      <c r="W10" s="433">
        <f>VLOOKUP($E10,'集計16-E'!$E$9:$AF$90,'集計16-E'!$W$7-$D$7,0)+VLOOKUP($E10,'集計F-15'!$E$9:$AF$90,'集計F-15'!$W$7-$D$7,0)</f>
        <v>0</v>
      </c>
      <c r="X10" s="345"/>
      <c r="Y10" s="644">
        <f>VLOOKUP($E10,'集計16-E'!$E$9:AF$90,'集計16-E'!$Y$7-$D$7,0)+VLOOKUP($E10,'集計F-15'!$E$9:AF$90,'集計F-15'!$Y$7-$D$7,0)-$AB10</f>
        <v>0</v>
      </c>
      <c r="Z10" s="645">
        <f>VLOOKUP($E10,'集計16-E'!$E$9:AF$90,'集計16-E'!$Z$7-$D$7,0)+VLOOKUP($E10,'集計F-15'!$E$9:AF$90,'集計F-15'!$Z$7-$D$7,0)-$AC10</f>
        <v>0</v>
      </c>
      <c r="AA10" s="345"/>
      <c r="AB10" s="175">
        <f>SUMIF(請求Data!$F$11:$F$160,CONCATENATE(VLOOKUP(Y$5,$G$1:$H$4,2,FALSE),$E10,1,2),請求Data!$AF$11:$AF$160)</f>
        <v>0</v>
      </c>
      <c r="AC10" s="177">
        <f>SUMIF(請求Data!$F$11:$F$160,CONCATENATE(VLOOKUP(Y$5,$G$1:$H$4,2,FALSE),$E10,1,2),請求Data!$AG$11:$AG$160)</f>
        <v>0</v>
      </c>
      <c r="AD10" s="345"/>
      <c r="AE10" s="175">
        <f>VLOOKUP($E10,'集計16-E'!$E$9:AF$90,'集計16-E'!$AE$7-$D$7,0)+VLOOKUP($E10,'集計F-15'!$E$9:AF$90,'集計F-15'!$AE$7-$D$7,0)</f>
        <v>0</v>
      </c>
      <c r="AF10" s="433">
        <f>VLOOKUP($E10,'集計16-E'!$E$9:AF$90,'集計16-E'!$AF$7-$D$7,0)+VLOOKUP($E10,'集計F-15'!$E$9:AF$90,'集計F-15'!$AF$7-$D$7,0)</f>
        <v>0</v>
      </c>
    </row>
    <row r="11" spans="1:32">
      <c r="A11" s="474" t="str">
        <f>IF(SUMIFS($G11:$AF11,$G$8:$AF$8,"金額",$G11:$AF11,"&gt;0")-SUMIFS($G11:$AF11,$G$8:$AF$8,"金額",$G11:$AF11,"&lt;0")&lt;=0,"",MAX($A$8:$A10)+1)</f>
        <v/>
      </c>
      <c r="B11" s="802"/>
      <c r="C11" s="245" t="str">
        <f t="shared" si="0"/>
        <v>商品</v>
      </c>
      <c r="D11" s="245">
        <v>3</v>
      </c>
      <c r="E11" s="590" t="str">
        <f>IF($F11&lt;&gt;"",INDEX(ﾏｽﾀ!$D$8:$D$124,MATCH(INDEX(ﾏｽﾀ!$N$8:$N$124,MATCH($F11,ﾏｽﾀ!$O$8:$O$124,0)),ﾏｽﾀ!$B$8:$B$124,0))&amp;"","")</f>
        <v>10005</v>
      </c>
      <c r="F11" s="589" t="str">
        <f>ﾏｽﾀ!$R10&amp;""</f>
        <v>株式会社 バンダイ　3200／キャンディ事業部</v>
      </c>
      <c r="G11" s="632">
        <f>VLOOKUP($E11,'集計16-E'!$E$9:$AF$90,'集計16-E'!$G$7-$D$7,FALSE)+VLOOKUP($E11,'集計F-15'!$E$9:$AF$90,'集計F-15'!$G$7-$D$7,FALSE)-INDEX($J$9:$J$90,MATCH($E11,$E$9:$E$90,0))</f>
        <v>0</v>
      </c>
      <c r="H11" s="633">
        <f>VLOOKUP($E11,'集計16-E'!$E$9:$AF$90,'集計16-E'!$H$7-$D$7,FALSE)+VLOOKUP($E11,'集計F-15'!$E$9:$AF$90,'集計F-15'!$H$7-$D$7,FALSE)-INDEX($K$9:$K$90,MATCH($E11,$E$9:$E$90,0))</f>
        <v>0</v>
      </c>
      <c r="I11" s="345"/>
      <c r="J11" s="126">
        <f>SUMIF(請求Data!$F$11:$F$160,CONCATENATE(VLOOKUP(G$5,$G$1:$H$4,2,FALSE),$E11,1,2),請求Data!$AF$11:$AF$160)</f>
        <v>0</v>
      </c>
      <c r="K11" s="127">
        <f>SUMIF(請求Data!$F$11:$F$160,CONCATENATE(VLOOKUP(G$5,$G$1:$H$4,2,FALSE),$E11,1,2),請求Data!$AG$11:$AG$160)</f>
        <v>0</v>
      </c>
      <c r="L11" s="345"/>
      <c r="M11" s="175">
        <f>VLOOKUP($E11,'集計16-E'!$E$9:$AF$90,'集計16-E'!$M$7-$D$7,FALSE)+VLOOKUP($E11,'集計F-15'!$E$9:$AF$90,'集計F-15'!$M$7-$D$7,FALSE)</f>
        <v>0</v>
      </c>
      <c r="N11" s="432">
        <f>VLOOKUP($E11,'集計16-E'!$E$9:$AF$90,'集計16-E'!$N$7-$D$7,FALSE)+VLOOKUP($E11,'集計F-15'!$E$9:$AF$90,'集計F-15'!$N$7-$D$7,FALSE)</f>
        <v>0</v>
      </c>
      <c r="O11" s="345"/>
      <c r="P11" s="644">
        <f>VLOOKUP($E11,'集計16-E'!$E$9:$AF$90,'集計16-E'!$P$7-$D$7,FALSE)+VLOOKUP($E11,'集計F-15'!$E$9:$AF$90,'集計F-15'!$P$7-$D$7,FALSE)-$S11</f>
        <v>0</v>
      </c>
      <c r="Q11" s="645">
        <f>VLOOKUP($E11,'集計16-E'!$E$9:$AF$90,'集計16-E'!$Q$7-$D$7,FALSE)+VLOOKUP($E11,'集計F-15'!$E$9:$AF$90,'集計F-15'!$Q$7-$D$7,FALSE)-$T11</f>
        <v>0</v>
      </c>
      <c r="R11" s="345"/>
      <c r="S11" s="175">
        <f>SUMIF(請求Data!$F$11:$F$160,CONCATENATE(VLOOKUP(P$5,$G$1:$H$4,2,FALSE),$E11,1,2),請求Data!$AF$11:$AF$160)</f>
        <v>0</v>
      </c>
      <c r="T11" s="177">
        <f>SUMIF(請求Data!$F$11:$F$160,CONCATENATE(VLOOKUP(P$5,$G$1:$H$4,2,FALSE),$E11,1,2),請求Data!$AG$11:$AG$160)</f>
        <v>0</v>
      </c>
      <c r="U11" s="345"/>
      <c r="V11" s="175">
        <f>VLOOKUP($E11,'集計16-E'!$E$9:$AF$90,'集計16-E'!$V$7-$D$7,0)+VLOOKUP($E11,'集計F-15'!$E$9:$AF$90,'集計F-15'!$V$7-$D$7,0)</f>
        <v>0</v>
      </c>
      <c r="W11" s="433">
        <f>VLOOKUP($E11,'集計16-E'!$E$9:$AF$90,'集計16-E'!$W$7-$D$7,0)+VLOOKUP($E11,'集計F-15'!$E$9:$AF$90,'集計F-15'!$W$7-$D$7,0)</f>
        <v>0</v>
      </c>
      <c r="X11" s="345"/>
      <c r="Y11" s="644">
        <f>VLOOKUP($E11,'集計16-E'!$E$9:AF$90,'集計16-E'!$Y$7-$D$7,0)+VLOOKUP($E11,'集計F-15'!$E$9:AF$90,'集計F-15'!$Y$7-$D$7,0)-$AB11</f>
        <v>0</v>
      </c>
      <c r="Z11" s="645">
        <f>VLOOKUP($E11,'集計16-E'!$E$9:AF$90,'集計16-E'!$Z$7-$D$7,0)+VLOOKUP($E11,'集計F-15'!$E$9:AF$90,'集計F-15'!$Z$7-$D$7,0)-$AC11</f>
        <v>0</v>
      </c>
      <c r="AA11" s="345"/>
      <c r="AB11" s="175">
        <f>SUMIF(請求Data!$F$11:$F$160,CONCATENATE(VLOOKUP(Y$5,$G$1:$H$4,2,FALSE),$E11,1,2),請求Data!$AF$11:$AF$160)</f>
        <v>0</v>
      </c>
      <c r="AC11" s="177">
        <f>SUMIF(請求Data!$F$11:$F$160,CONCATENATE(VLOOKUP(Y$5,$G$1:$H$4,2,FALSE),$E11,1,2),請求Data!$AG$11:$AG$160)</f>
        <v>0</v>
      </c>
      <c r="AD11" s="345"/>
      <c r="AE11" s="175">
        <f>VLOOKUP($E11,'集計16-E'!$E$9:AF$90,'集計16-E'!$AE$7-$D$7,0)+VLOOKUP($E11,'集計F-15'!$E$9:AF$90,'集計F-15'!$AE$7-$D$7,0)</f>
        <v>0</v>
      </c>
      <c r="AF11" s="433">
        <f>VLOOKUP($E11,'集計16-E'!$E$9:AF$90,'集計16-E'!$AF$7-$D$7,0)+VLOOKUP($E11,'集計F-15'!$E$9:AF$90,'集計F-15'!$AF$7-$D$7,0)</f>
        <v>0</v>
      </c>
    </row>
    <row r="12" spans="1:32">
      <c r="A12" s="474" t="str">
        <f>IF(SUMIFS($G12:$AF12,$G$8:$AF$8,"金額",$G12:$AF12,"&gt;0")-SUMIFS($G12:$AF12,$G$8:$AF$8,"金額",$G12:$AF12,"&lt;0")&lt;=0,"",MAX($A$8:$A11)+1)</f>
        <v/>
      </c>
      <c r="B12" s="802"/>
      <c r="C12" s="245" t="str">
        <f t="shared" si="0"/>
        <v>商品</v>
      </c>
      <c r="D12" s="245">
        <v>4</v>
      </c>
      <c r="E12" s="590" t="str">
        <f>IF($F12&lt;&gt;"",INDEX(ﾏｽﾀ!$D$8:$D$124,MATCH(INDEX(ﾏｽﾀ!$N$8:$N$124,MATCH($F12,ﾏｽﾀ!$O$8:$O$124,0)),ﾏｽﾀ!$B$8:$B$124,0))&amp;"","")</f>
        <v>10006</v>
      </c>
      <c r="F12" s="589" t="str">
        <f>ﾏｽﾀ!$R11&amp;""</f>
        <v>株式会社 バンダイ　4200／キャンディ事業部</v>
      </c>
      <c r="G12" s="632">
        <f>VLOOKUP($E12,'集計16-E'!$E$9:$AF$90,'集計16-E'!$G$7-$D$7,FALSE)+VLOOKUP($E12,'集計F-15'!$E$9:$AF$90,'集計F-15'!$G$7-$D$7,FALSE)-INDEX($J$9:$J$90,MATCH($E12,$E$9:$E$90,0))</f>
        <v>0</v>
      </c>
      <c r="H12" s="633">
        <f>VLOOKUP($E12,'集計16-E'!$E$9:$AF$90,'集計16-E'!$H$7-$D$7,FALSE)+VLOOKUP($E12,'集計F-15'!$E$9:$AF$90,'集計F-15'!$H$7-$D$7,FALSE)-INDEX($K$9:$K$90,MATCH($E12,$E$9:$E$90,0))</f>
        <v>0</v>
      </c>
      <c r="I12" s="345"/>
      <c r="J12" s="126">
        <f>SUMIF(請求Data!$F$11:$F$160,CONCATENATE(VLOOKUP(G$5,$G$1:$H$4,2,FALSE),$E12,1,2),請求Data!$AF$11:$AF$160)</f>
        <v>0</v>
      </c>
      <c r="K12" s="127">
        <f>SUMIF(請求Data!$F$11:$F$160,CONCATENATE(VLOOKUP(G$5,$G$1:$H$4,2,FALSE),$E12,1,2),請求Data!$AG$11:$AG$160)</f>
        <v>0</v>
      </c>
      <c r="L12" s="345"/>
      <c r="M12" s="175">
        <f>VLOOKUP($E12,'集計16-E'!$E$9:$AF$90,'集計16-E'!$M$7-$D$7,FALSE)+VLOOKUP($E12,'集計F-15'!$E$9:$AF$90,'集計F-15'!$M$7-$D$7,FALSE)</f>
        <v>0</v>
      </c>
      <c r="N12" s="432">
        <f>VLOOKUP($E12,'集計16-E'!$E$9:$AF$90,'集計16-E'!$N$7-$D$7,FALSE)+VLOOKUP($E12,'集計F-15'!$E$9:$AF$90,'集計F-15'!$N$7-$D$7,FALSE)</f>
        <v>0</v>
      </c>
      <c r="O12" s="345"/>
      <c r="P12" s="644">
        <f>VLOOKUP($E12,'集計16-E'!$E$9:$AF$90,'集計16-E'!$P$7-$D$7,FALSE)+VLOOKUP($E12,'集計F-15'!$E$9:$AF$90,'集計F-15'!$P$7-$D$7,FALSE)-$S12</f>
        <v>0</v>
      </c>
      <c r="Q12" s="645">
        <f>VLOOKUP($E12,'集計16-E'!$E$9:$AF$90,'集計16-E'!$Q$7-$D$7,FALSE)+VLOOKUP($E12,'集計F-15'!$E$9:$AF$90,'集計F-15'!$Q$7-$D$7,FALSE)-$T12</f>
        <v>0</v>
      </c>
      <c r="R12" s="345"/>
      <c r="S12" s="175">
        <f>SUMIF(請求Data!$F$11:$F$160,CONCATENATE(VLOOKUP(P$5,$G$1:$H$4,2,FALSE),$E12,1,2),請求Data!$AF$11:$AF$160)</f>
        <v>0</v>
      </c>
      <c r="T12" s="177">
        <f>SUMIF(請求Data!$F$11:$F$160,CONCATENATE(VLOOKUP(P$5,$G$1:$H$4,2,FALSE),$E12,1,2),請求Data!$AG$11:$AG$160)</f>
        <v>0</v>
      </c>
      <c r="U12" s="345"/>
      <c r="V12" s="175">
        <f>VLOOKUP($E12,'集計16-E'!$E$9:$AF$90,'集計16-E'!$V$7-$D$7,0)+VLOOKUP($E12,'集計F-15'!$E$9:$AF$90,'集計F-15'!$V$7-$D$7,0)</f>
        <v>0</v>
      </c>
      <c r="W12" s="433">
        <f>VLOOKUP($E12,'集計16-E'!$E$9:$AF$90,'集計16-E'!$W$7-$D$7,0)+VLOOKUP($E12,'集計F-15'!$E$9:$AF$90,'集計F-15'!$W$7-$D$7,0)</f>
        <v>0</v>
      </c>
      <c r="X12" s="345"/>
      <c r="Y12" s="644">
        <f>VLOOKUP($E12,'集計16-E'!$E$9:AF$90,'集計16-E'!$Y$7-$D$7,0)+VLOOKUP($E12,'集計F-15'!$E$9:AF$90,'集計F-15'!$Y$7-$D$7,0)-$AB12</f>
        <v>0</v>
      </c>
      <c r="Z12" s="645">
        <f>VLOOKUP($E12,'集計16-E'!$E$9:AF$90,'集計16-E'!$Z$7-$D$7,0)+VLOOKUP($E12,'集計F-15'!$E$9:AF$90,'集計F-15'!$Z$7-$D$7,0)-$AC12</f>
        <v>0</v>
      </c>
      <c r="AA12" s="345"/>
      <c r="AB12" s="175">
        <f>SUMIF(請求Data!$F$11:$F$160,CONCATENATE(VLOOKUP(Y$5,$G$1:$H$4,2,FALSE),$E12,1,2),請求Data!$AF$11:$AF$160)</f>
        <v>0</v>
      </c>
      <c r="AC12" s="177">
        <f>SUMIF(請求Data!$F$11:$F$160,CONCATENATE(VLOOKUP(Y$5,$G$1:$H$4,2,FALSE),$E12,1,2),請求Data!$AG$11:$AG$160)</f>
        <v>0</v>
      </c>
      <c r="AD12" s="345"/>
      <c r="AE12" s="175">
        <f>VLOOKUP($E12,'集計16-E'!$E$9:AF$90,'集計16-E'!$AE$7-$D$7,0)+VLOOKUP($E12,'集計F-15'!$E$9:AF$90,'集計F-15'!$AE$7-$D$7,0)</f>
        <v>0</v>
      </c>
      <c r="AF12" s="433">
        <f>VLOOKUP($E12,'集計16-E'!$E$9:AF$90,'集計16-E'!$AF$7-$D$7,0)+VLOOKUP($E12,'集計F-15'!$E$9:AF$90,'集計F-15'!$AF$7-$D$7,0)</f>
        <v>0</v>
      </c>
    </row>
    <row r="13" spans="1:32">
      <c r="A13" s="474">
        <f>IF(SUMIFS($G13:$AF13,$G$8:$AF$8,"金額",$G13:$AF13,"&gt;0")-SUMIFS($G13:$AF13,$G$8:$AF$8,"金額",$G13:$AF13,"&lt;0")&lt;=0,"",MAX($A$8:$A12)+1)</f>
        <v>2</v>
      </c>
      <c r="B13" s="802"/>
      <c r="C13" s="245" t="str">
        <f t="shared" si="0"/>
        <v>商品2</v>
      </c>
      <c r="D13" s="245">
        <v>5</v>
      </c>
      <c r="E13" s="590" t="str">
        <f>IF($F13&lt;&gt;"",INDEX(ﾏｽﾀ!$D$8:$D$124,MATCH(INDEX(ﾏｽﾀ!$N$8:$N$124,MATCH($F13,ﾏｽﾀ!$O$8:$O$124,0)),ﾏｽﾀ!$B$8:$B$124,0))&amp;"","")</f>
        <v>10010</v>
      </c>
      <c r="F13" s="589" t="str">
        <f>ﾏｽﾀ!$R12&amp;""</f>
        <v>株式会社 バンダイ　4100／コレクターズ事業部</v>
      </c>
      <c r="G13" s="632">
        <f>VLOOKUP($E13,'集計16-E'!$E$9:$AF$90,'集計16-E'!$G$7-$D$7,FALSE)+VLOOKUP($E13,'集計F-15'!$E$9:$AF$90,'集計F-15'!$G$7-$D$7,FALSE)-INDEX($J$9:$J$90,MATCH($E13,$E$9:$E$90,0))</f>
        <v>1</v>
      </c>
      <c r="H13" s="633">
        <f>VLOOKUP($E13,'集計16-E'!$E$9:$AF$90,'集計16-E'!$H$7-$D$7,FALSE)+VLOOKUP($E13,'集計F-15'!$E$9:$AF$90,'集計F-15'!$H$7-$D$7,FALSE)-INDEX($K$9:$K$90,MATCH($E13,$E$9:$E$90,0))</f>
        <v>2030516</v>
      </c>
      <c r="I13" s="345"/>
      <c r="J13" s="126">
        <f>SUMIF(請求Data!$F$11:$F$160,CONCATENATE(VLOOKUP(G$5,$G$1:$H$4,2,FALSE),$E13,1,2),請求Data!$AF$11:$AF$160)</f>
        <v>0</v>
      </c>
      <c r="K13" s="127">
        <f>SUMIF(請求Data!$F$11:$F$160,CONCATENATE(VLOOKUP(G$5,$G$1:$H$4,2,FALSE),$E13,1,2),請求Data!$AG$11:$AG$160)</f>
        <v>0</v>
      </c>
      <c r="L13" s="345"/>
      <c r="M13" s="175">
        <f>VLOOKUP($E13,'集計16-E'!$E$9:$AF$90,'集計16-E'!$M$7-$D$7,FALSE)+VLOOKUP($E13,'集計F-15'!$E$9:$AF$90,'集計F-15'!$M$7-$D$7,FALSE)</f>
        <v>0</v>
      </c>
      <c r="N13" s="432">
        <f>VLOOKUP($E13,'集計16-E'!$E$9:$AF$90,'集計16-E'!$N$7-$D$7,FALSE)+VLOOKUP($E13,'集計F-15'!$E$9:$AF$90,'集計F-15'!$N$7-$D$7,FALSE)</f>
        <v>0</v>
      </c>
      <c r="O13" s="345"/>
      <c r="P13" s="644">
        <f>VLOOKUP($E13,'集計16-E'!$E$9:$AF$90,'集計16-E'!$P$7-$D$7,FALSE)+VLOOKUP($E13,'集計F-15'!$E$9:$AF$90,'集計F-15'!$P$7-$D$7,FALSE)-$S13</f>
        <v>0</v>
      </c>
      <c r="Q13" s="645">
        <f>VLOOKUP($E13,'集計16-E'!$E$9:$AF$90,'集計16-E'!$Q$7-$D$7,FALSE)+VLOOKUP($E13,'集計F-15'!$E$9:$AF$90,'集計F-15'!$Q$7-$D$7,FALSE)-$T13</f>
        <v>0</v>
      </c>
      <c r="R13" s="345"/>
      <c r="S13" s="175">
        <f>SUMIF(請求Data!$F$11:$F$160,CONCATENATE(VLOOKUP(P$5,$G$1:$H$4,2,FALSE),$E13,1,2),請求Data!$AF$11:$AF$160)</f>
        <v>0</v>
      </c>
      <c r="T13" s="177">
        <f>SUMIF(請求Data!$F$11:$F$160,CONCATENATE(VLOOKUP(P$5,$G$1:$H$4,2,FALSE),$E13,1,2),請求Data!$AG$11:$AG$160)</f>
        <v>0</v>
      </c>
      <c r="U13" s="345"/>
      <c r="V13" s="175">
        <f>VLOOKUP($E13,'集計16-E'!$E$9:$AF$90,'集計16-E'!$V$7-$D$7,0)+VLOOKUP($E13,'集計F-15'!$E$9:$AF$90,'集計F-15'!$V$7-$D$7,0)</f>
        <v>0</v>
      </c>
      <c r="W13" s="433">
        <f>VLOOKUP($E13,'集計16-E'!$E$9:$AF$90,'集計16-E'!$W$7-$D$7,0)+VLOOKUP($E13,'集計F-15'!$E$9:$AF$90,'集計F-15'!$W$7-$D$7,0)</f>
        <v>0</v>
      </c>
      <c r="X13" s="345"/>
      <c r="Y13" s="644">
        <f>VLOOKUP($E13,'集計16-E'!$E$9:AF$90,'集計16-E'!$Y$7-$D$7,0)+VLOOKUP($E13,'集計F-15'!$E$9:AF$90,'集計F-15'!$Y$7-$D$7,0)-$AB13</f>
        <v>0</v>
      </c>
      <c r="Z13" s="645">
        <f>VLOOKUP($E13,'集計16-E'!$E$9:AF$90,'集計16-E'!$Z$7-$D$7,0)+VLOOKUP($E13,'集計F-15'!$E$9:AF$90,'集計F-15'!$Z$7-$D$7,0)-$AC13</f>
        <v>0</v>
      </c>
      <c r="AA13" s="345"/>
      <c r="AB13" s="175">
        <f>SUMIF(請求Data!$F$11:$F$160,CONCATENATE(VLOOKUP(Y$5,$G$1:$H$4,2,FALSE),$E13,1,2),請求Data!$AF$11:$AF$160)</f>
        <v>0</v>
      </c>
      <c r="AC13" s="177">
        <f>SUMIF(請求Data!$F$11:$F$160,CONCATENATE(VLOOKUP(Y$5,$G$1:$H$4,2,FALSE),$E13,1,2),請求Data!$AG$11:$AG$160)</f>
        <v>0</v>
      </c>
      <c r="AD13" s="345"/>
      <c r="AE13" s="175">
        <f>VLOOKUP($E13,'集計16-E'!$E$9:AF$90,'集計16-E'!$AE$7-$D$7,0)+VLOOKUP($E13,'集計F-15'!$E$9:AF$90,'集計F-15'!$AE$7-$D$7,0)</f>
        <v>0</v>
      </c>
      <c r="AF13" s="433">
        <f>VLOOKUP($E13,'集計16-E'!$E$9:AF$90,'集計16-E'!$AF$7-$D$7,0)+VLOOKUP($E13,'集計F-15'!$E$9:AF$90,'集計F-15'!$AF$7-$D$7,0)</f>
        <v>0</v>
      </c>
    </row>
    <row r="14" spans="1:32">
      <c r="A14" s="474" t="str">
        <f>IF(SUMIFS($G14:$AF14,$G$8:$AF$8,"金額",$G14:$AF14,"&gt;0")-SUMIFS($G14:$AF14,$G$8:$AF$8,"金額",$G14:$AF14,"&lt;0")&lt;=0,"",MAX($A$8:$A13)+1)</f>
        <v/>
      </c>
      <c r="B14" s="802"/>
      <c r="C14" s="245" t="str">
        <f t="shared" si="0"/>
        <v>商品</v>
      </c>
      <c r="D14" s="245">
        <v>6</v>
      </c>
      <c r="E14" s="590" t="str">
        <f>IF($F14&lt;&gt;"",INDEX(ﾏｽﾀ!$D$8:$D$124,MATCH(INDEX(ﾏｽﾀ!$N$8:$N$124,MATCH($F14,ﾏｽﾀ!$O$8:$O$124,0)),ﾏｽﾀ!$B$8:$B$124,0))&amp;"","")</f>
        <v>10015</v>
      </c>
      <c r="F14" s="589" t="str">
        <f>ﾏｽﾀ!$R13&amp;""</f>
        <v>株式会社 バンダイ　4200／ボーイズトイ事業部</v>
      </c>
      <c r="G14" s="632">
        <f>VLOOKUP($E14,'集計16-E'!$E$9:$AF$90,'集計16-E'!$G$7-$D$7,FALSE)+VLOOKUP($E14,'集計F-15'!$E$9:$AF$90,'集計F-15'!$G$7-$D$7,FALSE)-INDEX($J$9:$J$90,MATCH($E14,$E$9:$E$90,0))</f>
        <v>0</v>
      </c>
      <c r="H14" s="633">
        <f>VLOOKUP($E14,'集計16-E'!$E$9:$AF$90,'集計16-E'!$H$7-$D$7,FALSE)+VLOOKUP($E14,'集計F-15'!$E$9:$AF$90,'集計F-15'!$H$7-$D$7,FALSE)-INDEX($K$9:$K$90,MATCH($E14,$E$9:$E$90,0))</f>
        <v>0</v>
      </c>
      <c r="I14" s="345"/>
      <c r="J14" s="126">
        <f>SUMIF(請求Data!$F$11:$F$160,CONCATENATE(VLOOKUP(G$5,$G$1:$H$4,2,FALSE),$E14,1,2),請求Data!$AF$11:$AF$160)</f>
        <v>0</v>
      </c>
      <c r="K14" s="127">
        <f>SUMIF(請求Data!$F$11:$F$160,CONCATENATE(VLOOKUP(G$5,$G$1:$H$4,2,FALSE),$E14,1,2),請求Data!$AG$11:$AG$160)</f>
        <v>0</v>
      </c>
      <c r="L14" s="345"/>
      <c r="M14" s="175">
        <f>VLOOKUP($E14,'集計16-E'!$E$9:$AF$90,'集計16-E'!$M$7-$D$7,FALSE)+VLOOKUP($E14,'集計F-15'!$E$9:$AF$90,'集計F-15'!$M$7-$D$7,FALSE)</f>
        <v>0</v>
      </c>
      <c r="N14" s="432">
        <f>VLOOKUP($E14,'集計16-E'!$E$9:$AF$90,'集計16-E'!$N$7-$D$7,FALSE)+VLOOKUP($E14,'集計F-15'!$E$9:$AF$90,'集計F-15'!$N$7-$D$7,FALSE)</f>
        <v>0</v>
      </c>
      <c r="O14" s="345"/>
      <c r="P14" s="644">
        <f>VLOOKUP($E14,'集計16-E'!$E$9:$AF$90,'集計16-E'!$P$7-$D$7,FALSE)+VLOOKUP($E14,'集計F-15'!$E$9:$AF$90,'集計F-15'!$P$7-$D$7,FALSE)-$S14</f>
        <v>0</v>
      </c>
      <c r="Q14" s="645">
        <f>VLOOKUP($E14,'集計16-E'!$E$9:$AF$90,'集計16-E'!$Q$7-$D$7,FALSE)+VLOOKUP($E14,'集計F-15'!$E$9:$AF$90,'集計F-15'!$Q$7-$D$7,FALSE)-$T14</f>
        <v>0</v>
      </c>
      <c r="R14" s="345"/>
      <c r="S14" s="175">
        <f>SUMIF(請求Data!$F$11:$F$160,CONCATENATE(VLOOKUP(P$5,$G$1:$H$4,2,FALSE),$E14,1,2),請求Data!$AF$11:$AF$160)</f>
        <v>0</v>
      </c>
      <c r="T14" s="177">
        <f>SUMIF(請求Data!$F$11:$F$160,CONCATENATE(VLOOKUP(P$5,$G$1:$H$4,2,FALSE),$E14,1,2),請求Data!$AG$11:$AG$160)</f>
        <v>0</v>
      </c>
      <c r="U14" s="345"/>
      <c r="V14" s="175">
        <f>VLOOKUP($E14,'集計16-E'!$E$9:$AF$90,'集計16-E'!$V$7-$D$7,0)+VLOOKUP($E14,'集計F-15'!$E$9:$AF$90,'集計F-15'!$V$7-$D$7,0)</f>
        <v>0</v>
      </c>
      <c r="W14" s="433">
        <f>VLOOKUP($E14,'集計16-E'!$E$9:$AF$90,'集計16-E'!$W$7-$D$7,0)+VLOOKUP($E14,'集計F-15'!$E$9:$AF$90,'集計F-15'!$W$7-$D$7,0)</f>
        <v>0</v>
      </c>
      <c r="X14" s="345"/>
      <c r="Y14" s="644">
        <f>VLOOKUP($E14,'集計16-E'!$E$9:AF$90,'集計16-E'!$Y$7-$D$7,0)+VLOOKUP($E14,'集計F-15'!$E$9:AF$90,'集計F-15'!$Y$7-$D$7,0)-$AB14</f>
        <v>0</v>
      </c>
      <c r="Z14" s="645">
        <f>VLOOKUP($E14,'集計16-E'!$E$9:AF$90,'集計16-E'!$Z$7-$D$7,0)+VLOOKUP($E14,'集計F-15'!$E$9:AF$90,'集計F-15'!$Z$7-$D$7,0)-$AC14</f>
        <v>0</v>
      </c>
      <c r="AA14" s="345"/>
      <c r="AB14" s="175">
        <f>SUMIF(請求Data!$F$11:$F$160,CONCATENATE(VLOOKUP(Y$5,$G$1:$H$4,2,FALSE),$E14,1,2),請求Data!$AF$11:$AF$160)</f>
        <v>0</v>
      </c>
      <c r="AC14" s="177">
        <f>SUMIF(請求Data!$F$11:$F$160,CONCATENATE(VLOOKUP(Y$5,$G$1:$H$4,2,FALSE),$E14,1,2),請求Data!$AG$11:$AG$160)</f>
        <v>0</v>
      </c>
      <c r="AD14" s="345"/>
      <c r="AE14" s="175">
        <f>VLOOKUP($E14,'集計16-E'!$E$9:AF$90,'集計16-E'!$AE$7-$D$7,0)+VLOOKUP($E14,'集計F-15'!$E$9:AF$90,'集計F-15'!$AE$7-$D$7,0)</f>
        <v>0</v>
      </c>
      <c r="AF14" s="433">
        <f>VLOOKUP($E14,'集計16-E'!$E$9:AF$90,'集計16-E'!$AF$7-$D$7,0)+VLOOKUP($E14,'集計F-15'!$E$9:AF$90,'集計F-15'!$AF$7-$D$7,0)</f>
        <v>0</v>
      </c>
    </row>
    <row r="15" spans="1:32">
      <c r="A15" s="474">
        <f>IF(SUMIFS($G15:$AF15,$G$8:$AF$8,"金額",$G15:$AF15,"&gt;0")-SUMIFS($G15:$AF15,$G$8:$AF$8,"金額",$G15:$AF15,"&lt;0")&lt;=0,"",MAX($A$8:$A14)+1)</f>
        <v>3</v>
      </c>
      <c r="B15" s="802"/>
      <c r="C15" s="245" t="str">
        <f t="shared" si="0"/>
        <v>商品3</v>
      </c>
      <c r="D15" s="245">
        <v>7</v>
      </c>
      <c r="E15" s="590" t="str">
        <f>IF($F15&lt;&gt;"",INDEX(ﾏｽﾀ!$D$8:$D$124,MATCH(INDEX(ﾏｽﾀ!$N$8:$N$124,MATCH($F15,ﾏｽﾀ!$O$8:$O$124,0)),ﾏｽﾀ!$B$8:$B$124,0))&amp;"","")</f>
        <v>10016</v>
      </c>
      <c r="F15" s="589" t="str">
        <f>ﾏｽﾀ!$R14&amp;""</f>
        <v>株式会社 バンダイ　5000／ボーイズトイ事業部</v>
      </c>
      <c r="G15" s="632">
        <f>VLOOKUP($E15,'集計16-E'!$E$9:$AF$90,'集計16-E'!$G$7-$D$7,FALSE)+VLOOKUP($E15,'集計F-15'!$E$9:$AF$90,'集計F-15'!$G$7-$D$7,FALSE)-INDEX($J$9:$J$90,MATCH($E15,$E$9:$E$90,0))</f>
        <v>1</v>
      </c>
      <c r="H15" s="633">
        <f>VLOOKUP($E15,'集計16-E'!$E$9:$AF$90,'集計16-E'!$H$7-$D$7,FALSE)+VLOOKUP($E15,'集計F-15'!$E$9:$AF$90,'集計F-15'!$H$7-$D$7,FALSE)-INDEX($K$9:$K$90,MATCH($E15,$E$9:$E$90,0))</f>
        <v>3474936</v>
      </c>
      <c r="I15" s="345"/>
      <c r="J15" s="126">
        <f>SUMIF(請求Data!$F$11:$F$160,CONCATENATE(VLOOKUP(G$5,$G$1:$H$4,2,FALSE),$E15,1,2),請求Data!$AF$11:$AF$160)</f>
        <v>0</v>
      </c>
      <c r="K15" s="127">
        <f>SUMIF(請求Data!$F$11:$F$160,CONCATENATE(VLOOKUP(G$5,$G$1:$H$4,2,FALSE),$E15,1,2),請求Data!$AG$11:$AG$160)</f>
        <v>0</v>
      </c>
      <c r="L15" s="345"/>
      <c r="M15" s="175">
        <f>VLOOKUP($E15,'集計16-E'!$E$9:$AF$90,'集計16-E'!$M$7-$D$7,FALSE)+VLOOKUP($E15,'集計F-15'!$E$9:$AF$90,'集計F-15'!$M$7-$D$7,FALSE)</f>
        <v>0</v>
      </c>
      <c r="N15" s="432">
        <f>VLOOKUP($E15,'集計16-E'!$E$9:$AF$90,'集計16-E'!$N$7-$D$7,FALSE)+VLOOKUP($E15,'集計F-15'!$E$9:$AF$90,'集計F-15'!$N$7-$D$7,FALSE)</f>
        <v>0</v>
      </c>
      <c r="O15" s="345"/>
      <c r="P15" s="644">
        <f>VLOOKUP($E15,'集計16-E'!$E$9:$AF$90,'集計16-E'!$P$7-$D$7,FALSE)+VLOOKUP($E15,'集計F-15'!$E$9:$AF$90,'集計F-15'!$P$7-$D$7,FALSE)-$S15</f>
        <v>0</v>
      </c>
      <c r="Q15" s="645">
        <f>VLOOKUP($E15,'集計16-E'!$E$9:$AF$90,'集計16-E'!$Q$7-$D$7,FALSE)+VLOOKUP($E15,'集計F-15'!$E$9:$AF$90,'集計F-15'!$Q$7-$D$7,FALSE)-$T15</f>
        <v>0</v>
      </c>
      <c r="R15" s="345"/>
      <c r="S15" s="175">
        <f>SUMIF(請求Data!$F$11:$F$160,CONCATENATE(VLOOKUP(P$5,$G$1:$H$4,2,FALSE),$E15,1,2),請求Data!$AF$11:$AF$160)</f>
        <v>0</v>
      </c>
      <c r="T15" s="177">
        <f>SUMIF(請求Data!$F$11:$F$160,CONCATENATE(VLOOKUP(P$5,$G$1:$H$4,2,FALSE),$E15,1,2),請求Data!$AG$11:$AG$160)</f>
        <v>0</v>
      </c>
      <c r="U15" s="345"/>
      <c r="V15" s="175">
        <f>VLOOKUP($E15,'集計16-E'!$E$9:$AF$90,'集計16-E'!$V$7-$D$7,0)+VLOOKUP($E15,'集計F-15'!$E$9:$AF$90,'集計F-15'!$V$7-$D$7,0)</f>
        <v>0</v>
      </c>
      <c r="W15" s="433">
        <f>VLOOKUP($E15,'集計16-E'!$E$9:$AF$90,'集計16-E'!$W$7-$D$7,0)+VLOOKUP($E15,'集計F-15'!$E$9:$AF$90,'集計F-15'!$W$7-$D$7,0)</f>
        <v>0</v>
      </c>
      <c r="X15" s="345"/>
      <c r="Y15" s="644">
        <f>VLOOKUP($E15,'集計16-E'!$E$9:AF$90,'集計16-E'!$Y$7-$D$7,0)+VLOOKUP($E15,'集計F-15'!$E$9:AF$90,'集計F-15'!$Y$7-$D$7,0)-$AB15</f>
        <v>0</v>
      </c>
      <c r="Z15" s="645">
        <f>VLOOKUP($E15,'集計16-E'!$E$9:AF$90,'集計16-E'!$Z$7-$D$7,0)+VLOOKUP($E15,'集計F-15'!$E$9:AF$90,'集計F-15'!$Z$7-$D$7,0)-$AC15</f>
        <v>0</v>
      </c>
      <c r="AA15" s="345"/>
      <c r="AB15" s="175">
        <f>SUMIF(請求Data!$F$11:$F$160,CONCATENATE(VLOOKUP(Y$5,$G$1:$H$4,2,FALSE),$E15,1,2),請求Data!$AF$11:$AF$160)</f>
        <v>0</v>
      </c>
      <c r="AC15" s="177">
        <f>SUMIF(請求Data!$F$11:$F$160,CONCATENATE(VLOOKUP(Y$5,$G$1:$H$4,2,FALSE),$E15,1,2),請求Data!$AG$11:$AG$160)</f>
        <v>0</v>
      </c>
      <c r="AD15" s="345"/>
      <c r="AE15" s="175">
        <f>VLOOKUP($E15,'集計16-E'!$E$9:AF$90,'集計16-E'!$AE$7-$D$7,0)+VLOOKUP($E15,'集計F-15'!$E$9:AF$90,'集計F-15'!$AE$7-$D$7,0)</f>
        <v>0</v>
      </c>
      <c r="AF15" s="433">
        <f>VLOOKUP($E15,'集計16-E'!$E$9:AF$90,'集計16-E'!$AF$7-$D$7,0)+VLOOKUP($E15,'集計F-15'!$E$9:AF$90,'集計F-15'!$AF$7-$D$7,0)</f>
        <v>0</v>
      </c>
    </row>
    <row r="16" spans="1:32">
      <c r="A16" s="474">
        <f>IF(SUMIFS($G16:$AF16,$G$8:$AF$8,"金額",$G16:$AF16,"&gt;0")-SUMIFS($G16:$AF16,$G$8:$AF$8,"金額",$G16:$AF16,"&lt;0")&lt;=0,"",MAX($A$8:$A15)+1)</f>
        <v>4</v>
      </c>
      <c r="B16" s="802"/>
      <c r="C16" s="245" t="str">
        <f t="shared" si="0"/>
        <v>商品4</v>
      </c>
      <c r="D16" s="245">
        <v>8</v>
      </c>
      <c r="E16" s="590" t="str">
        <f>IF($F16&lt;&gt;"",INDEX(ﾏｽﾀ!$D$8:$D$124,MATCH(INDEX(ﾏｽﾀ!$N$8:$N$124,MATCH($F16,ﾏｽﾀ!$O$8:$O$124,0)),ﾏｽﾀ!$B$8:$B$124,0))&amp;"","")</f>
        <v>10019</v>
      </c>
      <c r="F16" s="589" t="str">
        <f>ﾏｽﾀ!$R15&amp;""</f>
        <v>株式会社 バンダイ　4200／ガールズトイ事業部</v>
      </c>
      <c r="G16" s="632">
        <f>VLOOKUP($E16,'集計16-E'!$E$9:$AF$90,'集計16-E'!$G$7-$D$7,FALSE)+VLOOKUP($E16,'集計F-15'!$E$9:$AF$90,'集計F-15'!$G$7-$D$7,FALSE)-INDEX($J$9:$J$90,MATCH($E16,$E$9:$E$90,0))</f>
        <v>1</v>
      </c>
      <c r="H16" s="633">
        <f>VLOOKUP($E16,'集計16-E'!$E$9:$AF$90,'集計16-E'!$H$7-$D$7,FALSE)+VLOOKUP($E16,'集計F-15'!$E$9:$AF$90,'集計F-15'!$H$7-$D$7,FALSE)-INDEX($K$9:$K$90,MATCH($E16,$E$9:$E$90,0))</f>
        <v>24383928</v>
      </c>
      <c r="I16" s="345"/>
      <c r="J16" s="126">
        <f>SUMIF(請求Data!$F$11:$F$160,CONCATENATE(VLOOKUP(G$5,$G$1:$H$4,2,FALSE),$E16,1,2),請求Data!$AF$11:$AF$160)</f>
        <v>0</v>
      </c>
      <c r="K16" s="127">
        <f>SUMIF(請求Data!$F$11:$F$160,CONCATENATE(VLOOKUP(G$5,$G$1:$H$4,2,FALSE),$E16,1,2),請求Data!$AG$11:$AG$160)</f>
        <v>0</v>
      </c>
      <c r="L16" s="345"/>
      <c r="M16" s="175">
        <f>VLOOKUP($E16,'集計16-E'!$E$9:$AF$90,'集計16-E'!$M$7-$D$7,FALSE)+VLOOKUP($E16,'集計F-15'!$E$9:$AF$90,'集計F-15'!$M$7-$D$7,FALSE)</f>
        <v>0</v>
      </c>
      <c r="N16" s="432">
        <f>VLOOKUP($E16,'集計16-E'!$E$9:$AF$90,'集計16-E'!$N$7-$D$7,FALSE)+VLOOKUP($E16,'集計F-15'!$E$9:$AF$90,'集計F-15'!$N$7-$D$7,FALSE)</f>
        <v>0</v>
      </c>
      <c r="O16" s="345"/>
      <c r="P16" s="644">
        <f>VLOOKUP($E16,'集計16-E'!$E$9:$AF$90,'集計16-E'!$P$7-$D$7,FALSE)+VLOOKUP($E16,'集計F-15'!$E$9:$AF$90,'集計F-15'!$P$7-$D$7,FALSE)-$S16</f>
        <v>0</v>
      </c>
      <c r="Q16" s="645">
        <f>VLOOKUP($E16,'集計16-E'!$E$9:$AF$90,'集計16-E'!$Q$7-$D$7,FALSE)+VLOOKUP($E16,'集計F-15'!$E$9:$AF$90,'集計F-15'!$Q$7-$D$7,FALSE)-$T16</f>
        <v>0</v>
      </c>
      <c r="R16" s="345"/>
      <c r="S16" s="175">
        <f>SUMIF(請求Data!$F$11:$F$160,CONCATENATE(VLOOKUP(P$5,$G$1:$H$4,2,FALSE),$E16,1,2),請求Data!$AF$11:$AF$160)</f>
        <v>0</v>
      </c>
      <c r="T16" s="177">
        <f>SUMIF(請求Data!$F$11:$F$160,CONCATENATE(VLOOKUP(P$5,$G$1:$H$4,2,FALSE),$E16,1,2),請求Data!$AG$11:$AG$160)</f>
        <v>0</v>
      </c>
      <c r="U16" s="345"/>
      <c r="V16" s="175">
        <f>VLOOKUP($E16,'集計16-E'!$E$9:$AF$90,'集計16-E'!$V$7-$D$7,0)+VLOOKUP($E16,'集計F-15'!$E$9:$AF$90,'集計F-15'!$V$7-$D$7,0)</f>
        <v>0</v>
      </c>
      <c r="W16" s="433">
        <f>VLOOKUP($E16,'集計16-E'!$E$9:$AF$90,'集計16-E'!$W$7-$D$7,0)+VLOOKUP($E16,'集計F-15'!$E$9:$AF$90,'集計F-15'!$W$7-$D$7,0)</f>
        <v>0</v>
      </c>
      <c r="X16" s="345"/>
      <c r="Y16" s="644">
        <f>VLOOKUP($E16,'集計16-E'!$E$9:AF$90,'集計16-E'!$Y$7-$D$7,0)+VLOOKUP($E16,'集計F-15'!$E$9:AF$90,'集計F-15'!$Y$7-$D$7,0)-$AB16</f>
        <v>0</v>
      </c>
      <c r="Z16" s="645">
        <f>VLOOKUP($E16,'集計16-E'!$E$9:AF$90,'集計16-E'!$Z$7-$D$7,0)+VLOOKUP($E16,'集計F-15'!$E$9:AF$90,'集計F-15'!$Z$7-$D$7,0)-$AC16</f>
        <v>0</v>
      </c>
      <c r="AA16" s="345"/>
      <c r="AB16" s="175">
        <f>SUMIF(請求Data!$F$11:$F$160,CONCATENATE(VLOOKUP(Y$5,$G$1:$H$4,2,FALSE),$E16,1,2),請求Data!$AF$11:$AF$160)</f>
        <v>0</v>
      </c>
      <c r="AC16" s="177">
        <f>SUMIF(請求Data!$F$11:$F$160,CONCATENATE(VLOOKUP(Y$5,$G$1:$H$4,2,FALSE),$E16,1,2),請求Data!$AG$11:$AG$160)</f>
        <v>0</v>
      </c>
      <c r="AD16" s="345"/>
      <c r="AE16" s="175">
        <f>VLOOKUP($E16,'集計16-E'!$E$9:AF$90,'集計16-E'!$AE$7-$D$7,0)+VLOOKUP($E16,'集計F-15'!$E$9:AF$90,'集計F-15'!$AE$7-$D$7,0)</f>
        <v>0</v>
      </c>
      <c r="AF16" s="433">
        <f>VLOOKUP($E16,'集計16-E'!$E$9:AF$90,'集計16-E'!$AF$7-$D$7,0)+VLOOKUP($E16,'集計F-15'!$E$9:AF$90,'集計F-15'!$AF$7-$D$7,0)</f>
        <v>0</v>
      </c>
    </row>
    <row r="17" spans="1:32">
      <c r="A17" s="474" t="str">
        <f>IF(SUMIFS($G17:$AF17,$G$8:$AF$8,"金額",$G17:$AF17,"&gt;0")-SUMIFS($G17:$AF17,$G$8:$AF$8,"金額",$G17:$AF17,"&lt;0")&lt;=0,"",MAX($A$8:$A16)+1)</f>
        <v/>
      </c>
      <c r="B17" s="802"/>
      <c r="C17" s="245" t="str">
        <f t="shared" si="0"/>
        <v>商品</v>
      </c>
      <c r="D17" s="245">
        <v>9</v>
      </c>
      <c r="E17" s="590" t="str">
        <f>IF($F17&lt;&gt;"",INDEX(ﾏｽﾀ!$D$8:$D$124,MATCH(INDEX(ﾏｽﾀ!$N$8:$N$124,MATCH($F17,ﾏｽﾀ!$O$8:$O$124,0)),ﾏｽﾀ!$B$8:$B$124,0))&amp;"","")</f>
        <v>10020</v>
      </c>
      <c r="F17" s="589" t="str">
        <f>ﾏｽﾀ!$R16&amp;""</f>
        <v>株式会社 バンダイ　5000／ガールズトイ事業部</v>
      </c>
      <c r="G17" s="632">
        <f>VLOOKUP($E17,'集計16-E'!$E$9:$AF$90,'集計16-E'!$G$7-$D$7,FALSE)+VLOOKUP($E17,'集計F-15'!$E$9:$AF$90,'集計F-15'!$G$7-$D$7,FALSE)-INDEX($J$9:$J$90,MATCH($E17,$E$9:$E$90,0))</f>
        <v>0</v>
      </c>
      <c r="H17" s="633">
        <f>VLOOKUP($E17,'集計16-E'!$E$9:$AF$90,'集計16-E'!$H$7-$D$7,FALSE)+VLOOKUP($E17,'集計F-15'!$E$9:$AF$90,'集計F-15'!$H$7-$D$7,FALSE)-INDEX($K$9:$K$90,MATCH($E17,$E$9:$E$90,0))</f>
        <v>0</v>
      </c>
      <c r="I17" s="345"/>
      <c r="J17" s="126">
        <f>SUMIF(請求Data!$F$11:$F$160,CONCATENATE(VLOOKUP(G$5,$G$1:$H$4,2,FALSE),$E17,1,2),請求Data!$AF$11:$AF$160)</f>
        <v>0</v>
      </c>
      <c r="K17" s="127">
        <f>SUMIF(請求Data!$F$11:$F$160,CONCATENATE(VLOOKUP(G$5,$G$1:$H$4,2,FALSE),$E17,1,2),請求Data!$AG$11:$AG$160)</f>
        <v>0</v>
      </c>
      <c r="L17" s="345"/>
      <c r="M17" s="175">
        <f>VLOOKUP($E17,'集計16-E'!$E$9:$AF$90,'集計16-E'!$M$7-$D$7,FALSE)+VLOOKUP($E17,'集計F-15'!$E$9:$AF$90,'集計F-15'!$M$7-$D$7,FALSE)</f>
        <v>0</v>
      </c>
      <c r="N17" s="432">
        <f>VLOOKUP($E17,'集計16-E'!$E$9:$AF$90,'集計16-E'!$N$7-$D$7,FALSE)+VLOOKUP($E17,'集計F-15'!$E$9:$AF$90,'集計F-15'!$N$7-$D$7,FALSE)</f>
        <v>0</v>
      </c>
      <c r="O17" s="345"/>
      <c r="P17" s="644">
        <f>VLOOKUP($E17,'集計16-E'!$E$9:$AF$90,'集計16-E'!$P$7-$D$7,FALSE)+VLOOKUP($E17,'集計F-15'!$E$9:$AF$90,'集計F-15'!$P$7-$D$7,FALSE)-$S17</f>
        <v>0</v>
      </c>
      <c r="Q17" s="645">
        <f>VLOOKUP($E17,'集計16-E'!$E$9:$AF$90,'集計16-E'!$Q$7-$D$7,FALSE)+VLOOKUP($E17,'集計F-15'!$E$9:$AF$90,'集計F-15'!$Q$7-$D$7,FALSE)-$T17</f>
        <v>0</v>
      </c>
      <c r="R17" s="345"/>
      <c r="S17" s="175">
        <f>SUMIF(請求Data!$F$11:$F$160,CONCATENATE(VLOOKUP(P$5,$G$1:$H$4,2,FALSE),$E17,1,2),請求Data!$AF$11:$AF$160)</f>
        <v>0</v>
      </c>
      <c r="T17" s="177">
        <f>SUMIF(請求Data!$F$11:$F$160,CONCATENATE(VLOOKUP(P$5,$G$1:$H$4,2,FALSE),$E17,1,2),請求Data!$AG$11:$AG$160)</f>
        <v>0</v>
      </c>
      <c r="U17" s="345"/>
      <c r="V17" s="175">
        <f>VLOOKUP($E17,'集計16-E'!$E$9:$AF$90,'集計16-E'!$V$7-$D$7,0)+VLOOKUP($E17,'集計F-15'!$E$9:$AF$90,'集計F-15'!$V$7-$D$7,0)</f>
        <v>0</v>
      </c>
      <c r="W17" s="433">
        <f>VLOOKUP($E17,'集計16-E'!$E$9:$AF$90,'集計16-E'!$W$7-$D$7,0)+VLOOKUP($E17,'集計F-15'!$E$9:$AF$90,'集計F-15'!$W$7-$D$7,0)</f>
        <v>0</v>
      </c>
      <c r="X17" s="345"/>
      <c r="Y17" s="644">
        <f>VLOOKUP($E17,'集計16-E'!$E$9:AF$90,'集計16-E'!$Y$7-$D$7,0)+VLOOKUP($E17,'集計F-15'!$E$9:AF$90,'集計F-15'!$Y$7-$D$7,0)-$AB17</f>
        <v>0</v>
      </c>
      <c r="Z17" s="645">
        <f>VLOOKUP($E17,'集計16-E'!$E$9:AF$90,'集計16-E'!$Z$7-$D$7,0)+VLOOKUP($E17,'集計F-15'!$E$9:AF$90,'集計F-15'!$Z$7-$D$7,0)-$AC17</f>
        <v>0</v>
      </c>
      <c r="AA17" s="345"/>
      <c r="AB17" s="175">
        <f>SUMIF(請求Data!$F$11:$F$160,CONCATENATE(VLOOKUP(Y$5,$G$1:$H$4,2,FALSE),$E17,1,2),請求Data!$AF$11:$AF$160)</f>
        <v>0</v>
      </c>
      <c r="AC17" s="177">
        <f>SUMIF(請求Data!$F$11:$F$160,CONCATENATE(VLOOKUP(Y$5,$G$1:$H$4,2,FALSE),$E17,1,2),請求Data!$AG$11:$AG$160)</f>
        <v>0</v>
      </c>
      <c r="AD17" s="345"/>
      <c r="AE17" s="175">
        <f>VLOOKUP($E17,'集計16-E'!$E$9:AF$90,'集計16-E'!$AE$7-$D$7,0)+VLOOKUP($E17,'集計F-15'!$E$9:AF$90,'集計F-15'!$AE$7-$D$7,0)</f>
        <v>0</v>
      </c>
      <c r="AF17" s="433">
        <f>VLOOKUP($E17,'集計16-E'!$E$9:AF$90,'集計16-E'!$AF$7-$D$7,0)+VLOOKUP($E17,'集計F-15'!$E$9:AF$90,'集計F-15'!$AF$7-$D$7,0)</f>
        <v>0</v>
      </c>
    </row>
    <row r="18" spans="1:32">
      <c r="A18" s="474" t="str">
        <f>IF(SUMIFS($G18:$AF18,$G$8:$AF$8,"金額",$G18:$AF18,"&gt;0")-SUMIFS($G18:$AF18,$G$8:$AF$8,"金額",$G18:$AF18,"&lt;0")&lt;=0,"",MAX($A$8:$A17)+1)</f>
        <v/>
      </c>
      <c r="B18" s="802"/>
      <c r="C18" s="245" t="str">
        <f t="shared" si="0"/>
        <v>商品</v>
      </c>
      <c r="D18" s="245">
        <v>10</v>
      </c>
      <c r="E18" s="590" t="str">
        <f>IF($F18&lt;&gt;"",INDEX(ﾏｽﾀ!$D$8:$D$124,MATCH(INDEX(ﾏｽﾀ!$N$8:$N$124,MATCH($F18,ﾏｽﾀ!$O$8:$O$124,0)),ﾏｽﾀ!$B$8:$B$124,0))&amp;"","")</f>
        <v>10023</v>
      </c>
      <c r="F18" s="589" t="str">
        <f>ﾏｽﾀ!$R17&amp;""</f>
        <v>株式会社 バンダイ　3100／プロダクトマネジメント部</v>
      </c>
      <c r="G18" s="632">
        <f>VLOOKUP($E18,'集計16-E'!$E$9:$AF$90,'集計16-E'!$G$7-$D$7,FALSE)+VLOOKUP($E18,'集計F-15'!$E$9:$AF$90,'集計F-15'!$G$7-$D$7,FALSE)-INDEX($J$9:$J$90,MATCH($E18,$E$9:$E$90,0))</f>
        <v>0</v>
      </c>
      <c r="H18" s="633">
        <f>VLOOKUP($E18,'集計16-E'!$E$9:$AF$90,'集計16-E'!$H$7-$D$7,FALSE)+VLOOKUP($E18,'集計F-15'!$E$9:$AF$90,'集計F-15'!$H$7-$D$7,FALSE)-INDEX($K$9:$K$90,MATCH($E18,$E$9:$E$90,0))</f>
        <v>0</v>
      </c>
      <c r="I18" s="345"/>
      <c r="J18" s="126">
        <f>SUMIF(請求Data!$F$11:$F$160,CONCATENATE(VLOOKUP(G$5,$G$1:$H$4,2,FALSE),$E18,1,2),請求Data!$AF$11:$AF$160)</f>
        <v>0</v>
      </c>
      <c r="K18" s="127">
        <f>SUMIF(請求Data!$F$11:$F$160,CONCATENATE(VLOOKUP(G$5,$G$1:$H$4,2,FALSE),$E18,1,2),請求Data!$AG$11:$AG$160)</f>
        <v>0</v>
      </c>
      <c r="L18" s="345"/>
      <c r="M18" s="175">
        <f>VLOOKUP($E18,'集計16-E'!$E$9:$AF$90,'集計16-E'!$M$7-$D$7,FALSE)+VLOOKUP($E18,'集計F-15'!$E$9:$AF$90,'集計F-15'!$M$7-$D$7,FALSE)</f>
        <v>0</v>
      </c>
      <c r="N18" s="432">
        <f>VLOOKUP($E18,'集計16-E'!$E$9:$AF$90,'集計16-E'!$N$7-$D$7,FALSE)+VLOOKUP($E18,'集計F-15'!$E$9:$AF$90,'集計F-15'!$N$7-$D$7,FALSE)</f>
        <v>0</v>
      </c>
      <c r="O18" s="345"/>
      <c r="P18" s="644">
        <f>VLOOKUP($E18,'集計16-E'!$E$9:$AF$90,'集計16-E'!$P$7-$D$7,FALSE)+VLOOKUP($E18,'集計F-15'!$E$9:$AF$90,'集計F-15'!$P$7-$D$7,FALSE)-$S18</f>
        <v>0</v>
      </c>
      <c r="Q18" s="645">
        <f>VLOOKUP($E18,'集計16-E'!$E$9:$AF$90,'集計16-E'!$Q$7-$D$7,FALSE)+VLOOKUP($E18,'集計F-15'!$E$9:$AF$90,'集計F-15'!$Q$7-$D$7,FALSE)-$T18</f>
        <v>0</v>
      </c>
      <c r="R18" s="345"/>
      <c r="S18" s="175">
        <f>SUMIF(請求Data!$F$11:$F$160,CONCATENATE(VLOOKUP(P$5,$G$1:$H$4,2,FALSE),$E18,1,2),請求Data!$AF$11:$AF$160)</f>
        <v>0</v>
      </c>
      <c r="T18" s="177">
        <f>SUMIF(請求Data!$F$11:$F$160,CONCATENATE(VLOOKUP(P$5,$G$1:$H$4,2,FALSE),$E18,1,2),請求Data!$AG$11:$AG$160)</f>
        <v>0</v>
      </c>
      <c r="U18" s="345"/>
      <c r="V18" s="175">
        <f>VLOOKUP($E18,'集計16-E'!$E$9:$AF$90,'集計16-E'!$V$7-$D$7,0)+VLOOKUP($E18,'集計F-15'!$E$9:$AF$90,'集計F-15'!$V$7-$D$7,0)</f>
        <v>0</v>
      </c>
      <c r="W18" s="433">
        <f>VLOOKUP($E18,'集計16-E'!$E$9:$AF$90,'集計16-E'!$W$7-$D$7,0)+VLOOKUP($E18,'集計F-15'!$E$9:$AF$90,'集計F-15'!$W$7-$D$7,0)</f>
        <v>0</v>
      </c>
      <c r="X18" s="345"/>
      <c r="Y18" s="644">
        <f>VLOOKUP($E18,'集計16-E'!$E$9:AF$90,'集計16-E'!$Y$7-$D$7,0)+VLOOKUP($E18,'集計F-15'!$E$9:AF$90,'集計F-15'!$Y$7-$D$7,0)-$AB18</f>
        <v>0</v>
      </c>
      <c r="Z18" s="645">
        <f>VLOOKUP($E18,'集計16-E'!$E$9:AF$90,'集計16-E'!$Z$7-$D$7,0)+VLOOKUP($E18,'集計F-15'!$E$9:AF$90,'集計F-15'!$Z$7-$D$7,0)-$AC18</f>
        <v>0</v>
      </c>
      <c r="AA18" s="345"/>
      <c r="AB18" s="175">
        <f>SUMIF(請求Data!$F$11:$F$160,CONCATENATE(VLOOKUP(Y$5,$G$1:$H$4,2,FALSE),$E18,1,2),請求Data!$AF$11:$AF$160)</f>
        <v>0</v>
      </c>
      <c r="AC18" s="177">
        <f>SUMIF(請求Data!$F$11:$F$160,CONCATENATE(VLOOKUP(Y$5,$G$1:$H$4,2,FALSE),$E18,1,2),請求Data!$AG$11:$AG$160)</f>
        <v>0</v>
      </c>
      <c r="AD18" s="345"/>
      <c r="AE18" s="175">
        <f>VLOOKUP($E18,'集計16-E'!$E$9:AF$90,'集計16-E'!$AE$7-$D$7,0)+VLOOKUP($E18,'集計F-15'!$E$9:AF$90,'集計F-15'!$AE$7-$D$7,0)</f>
        <v>0</v>
      </c>
      <c r="AF18" s="433">
        <f>VLOOKUP($E18,'集計16-E'!$E$9:AF$90,'集計16-E'!$AF$7-$D$7,0)+VLOOKUP($E18,'集計F-15'!$E$9:AF$90,'集計F-15'!$AF$7-$D$7,0)</f>
        <v>0</v>
      </c>
    </row>
    <row r="19" spans="1:32">
      <c r="A19" s="474" t="str">
        <f>IF(SUMIFS($G19:$AF19,$G$8:$AF$8,"金額",$G19:$AF19,"&gt;0")-SUMIFS($G19:$AF19,$G$8:$AF$8,"金額",$G19:$AF19,"&lt;0")&lt;=0,"",MAX($A$8:$A18)+1)</f>
        <v/>
      </c>
      <c r="B19" s="802"/>
      <c r="C19" s="245" t="str">
        <f t="shared" si="0"/>
        <v>商品</v>
      </c>
      <c r="D19" s="245">
        <v>11</v>
      </c>
      <c r="E19" s="590" t="str">
        <f>IF($F19&lt;&gt;"",INDEX(ﾏｽﾀ!$D$8:$D$124,MATCH(INDEX(ﾏｽﾀ!$N$8:$N$124,MATCH($F19,ﾏｽﾀ!$O$8:$O$124,0)),ﾏｽﾀ!$B$8:$B$124,0))&amp;"","")</f>
        <v>10000</v>
      </c>
      <c r="F19" s="589" t="str">
        <f>ﾏｽﾀ!$R18&amp;""</f>
        <v>株式会社 バンダイ部</v>
      </c>
      <c r="G19" s="632">
        <f>VLOOKUP($E19,'集計16-E'!$E$9:$AF$90,'集計16-E'!$G$7-$D$7,FALSE)+VLOOKUP($E19,'集計F-15'!$E$9:$AF$90,'集計F-15'!$G$7-$D$7,FALSE)-INDEX($J$9:$J$90,MATCH($E19,$E$9:$E$90,0))</f>
        <v>0</v>
      </c>
      <c r="H19" s="633">
        <f>VLOOKUP($E19,'集計16-E'!$E$9:$AF$90,'集計16-E'!$H$7-$D$7,FALSE)+VLOOKUP($E19,'集計F-15'!$E$9:$AF$90,'集計F-15'!$H$7-$D$7,FALSE)-INDEX($K$9:$K$90,MATCH($E19,$E$9:$E$90,0))</f>
        <v>0</v>
      </c>
      <c r="I19" s="345"/>
      <c r="J19" s="126">
        <f>SUMIF(請求Data!$F$11:$F$160,CONCATENATE(VLOOKUP(G$5,$G$1:$H$4,2,FALSE),$E19,1,2),請求Data!$AF$11:$AF$160)</f>
        <v>0</v>
      </c>
      <c r="K19" s="127">
        <f>SUMIF(請求Data!$F$11:$F$160,CONCATENATE(VLOOKUP(G$5,$G$1:$H$4,2,FALSE),$E19,1,2),請求Data!$AG$11:$AG$160)</f>
        <v>0</v>
      </c>
      <c r="L19" s="345"/>
      <c r="M19" s="175">
        <f>VLOOKUP($E19,'集計16-E'!$E$9:$AF$90,'集計16-E'!$M$7-$D$7,FALSE)+VLOOKUP($E19,'集計F-15'!$E$9:$AF$90,'集計F-15'!$M$7-$D$7,FALSE)</f>
        <v>0</v>
      </c>
      <c r="N19" s="432">
        <f>VLOOKUP($E19,'集計16-E'!$E$9:$AF$90,'集計16-E'!$N$7-$D$7,FALSE)+VLOOKUP($E19,'集計F-15'!$E$9:$AF$90,'集計F-15'!$N$7-$D$7,FALSE)</f>
        <v>0</v>
      </c>
      <c r="O19" s="345"/>
      <c r="P19" s="644">
        <f>VLOOKUP($E19,'集計16-E'!$E$9:$AF$90,'集計16-E'!$P$7-$D$7,FALSE)+VLOOKUP($E19,'集計F-15'!$E$9:$AF$90,'集計F-15'!$P$7-$D$7,FALSE)-$S19</f>
        <v>0</v>
      </c>
      <c r="Q19" s="645">
        <f>VLOOKUP($E19,'集計16-E'!$E$9:$AF$90,'集計16-E'!$Q$7-$D$7,FALSE)+VLOOKUP($E19,'集計F-15'!$E$9:$AF$90,'集計F-15'!$Q$7-$D$7,FALSE)-$T19</f>
        <v>0</v>
      </c>
      <c r="R19" s="345"/>
      <c r="S19" s="175">
        <f>SUMIF(請求Data!$F$11:$F$160,CONCATENATE(VLOOKUP(P$5,$G$1:$H$4,2,FALSE),$E19,1,2),請求Data!$AF$11:$AF$160)</f>
        <v>0</v>
      </c>
      <c r="T19" s="177">
        <f>SUMIF(請求Data!$F$11:$F$160,CONCATENATE(VLOOKUP(P$5,$G$1:$H$4,2,FALSE),$E19,1,2),請求Data!$AG$11:$AG$160)</f>
        <v>0</v>
      </c>
      <c r="U19" s="345"/>
      <c r="V19" s="175">
        <f>VLOOKUP($E19,'集計16-E'!$E$9:$AF$90,'集計16-E'!$V$7-$D$7,0)+VLOOKUP($E19,'集計F-15'!$E$9:$AF$90,'集計F-15'!$V$7-$D$7,0)</f>
        <v>0</v>
      </c>
      <c r="W19" s="433">
        <f>VLOOKUP($E19,'集計16-E'!$E$9:$AF$90,'集計16-E'!$W$7-$D$7,0)+VLOOKUP($E19,'集計F-15'!$E$9:$AF$90,'集計F-15'!$W$7-$D$7,0)</f>
        <v>0</v>
      </c>
      <c r="X19" s="345"/>
      <c r="Y19" s="644">
        <f>VLOOKUP($E19,'集計16-E'!$E$9:AF$90,'集計16-E'!$Y$7-$D$7,0)+VLOOKUP($E19,'集計F-15'!$E$9:AF$90,'集計F-15'!$Y$7-$D$7,0)-$AB19</f>
        <v>0</v>
      </c>
      <c r="Z19" s="645">
        <f>VLOOKUP($E19,'集計16-E'!$E$9:AF$90,'集計16-E'!$Z$7-$D$7,0)+VLOOKUP($E19,'集計F-15'!$E$9:AF$90,'集計F-15'!$Z$7-$D$7,0)-$AC19</f>
        <v>0</v>
      </c>
      <c r="AA19" s="345"/>
      <c r="AB19" s="175">
        <f>SUMIF(請求Data!$F$11:$F$160,CONCATENATE(VLOOKUP(Y$5,$G$1:$H$4,2,FALSE),$E19,1,2),請求Data!$AF$11:$AF$160)</f>
        <v>0</v>
      </c>
      <c r="AC19" s="177">
        <f>SUMIF(請求Data!$F$11:$F$160,CONCATENATE(VLOOKUP(Y$5,$G$1:$H$4,2,FALSE),$E19,1,2),請求Data!$AG$11:$AG$160)</f>
        <v>0</v>
      </c>
      <c r="AD19" s="345"/>
      <c r="AE19" s="175">
        <f>VLOOKUP($E19,'集計16-E'!$E$9:AF$90,'集計16-E'!$AE$7-$D$7,0)+VLOOKUP($E19,'集計F-15'!$E$9:AF$90,'集計F-15'!$AE$7-$D$7,0)</f>
        <v>0</v>
      </c>
      <c r="AF19" s="433">
        <f>VLOOKUP($E19,'集計16-E'!$E$9:AF$90,'集計16-E'!$AF$7-$D$7,0)+VLOOKUP($E19,'集計F-15'!$E$9:AF$90,'集計F-15'!$AF$7-$D$7,0)</f>
        <v>0</v>
      </c>
    </row>
    <row r="20" spans="1:32">
      <c r="A20" s="474" t="str">
        <f>IF(SUMIFS($G20:$AF20,$G$8:$AF$8,"金額",$G20:$AF20,"&gt;0")-SUMIFS($G20:$AF20,$G$8:$AF$8,"金額",$G20:$AF20,"&lt;0")&lt;=0,"",MAX($A$8:$A19)+1)</f>
        <v/>
      </c>
      <c r="B20" s="802"/>
      <c r="C20" s="245" t="str">
        <f t="shared" si="0"/>
        <v>商品</v>
      </c>
      <c r="D20" s="245">
        <v>12</v>
      </c>
      <c r="E20" s="590" t="str">
        <f>IF($F20&lt;&gt;"",INDEX(ﾏｽﾀ!$D$8:$D$124,MATCH(INDEX(ﾏｽﾀ!$N$8:$N$124,MATCH($F20,ﾏｽﾀ!$O$8:$O$124,0)),ﾏｽﾀ!$B$8:$B$124,0))&amp;"","")</f>
        <v>11001</v>
      </c>
      <c r="F20" s="589" t="str">
        <f>ﾏｽﾀ!$R19&amp;""</f>
        <v>株式会社BANDAI SPIRITS　4100／コレクターズ事業部</v>
      </c>
      <c r="G20" s="632">
        <f>VLOOKUP($E20,'集計16-E'!$E$9:$AF$90,'集計16-E'!$G$7-$D$7,FALSE)+VLOOKUP($E20,'集計F-15'!$E$9:$AF$90,'集計F-15'!$G$7-$D$7,FALSE)-INDEX($J$9:$J$90,MATCH($E20,$E$9:$E$90,0))</f>
        <v>0</v>
      </c>
      <c r="H20" s="633">
        <f>VLOOKUP($E20,'集計16-E'!$E$9:$AF$90,'集計16-E'!$H$7-$D$7,FALSE)+VLOOKUP($E20,'集計F-15'!$E$9:$AF$90,'集計F-15'!$H$7-$D$7,FALSE)-INDEX($K$9:$K$90,MATCH($E20,$E$9:$E$90,0))</f>
        <v>0</v>
      </c>
      <c r="I20" s="345"/>
      <c r="J20" s="126">
        <f>SUMIF(請求Data!$F$11:$F$160,CONCATENATE(VLOOKUP(G$5,$G$1:$H$4,2,FALSE),$E20,1,2),請求Data!$AF$11:$AF$160)</f>
        <v>0</v>
      </c>
      <c r="K20" s="127">
        <f>SUMIF(請求Data!$F$11:$F$160,CONCATENATE(VLOOKUP(G$5,$G$1:$H$4,2,FALSE),$E20,1,2),請求Data!$AG$11:$AG$160)</f>
        <v>0</v>
      </c>
      <c r="L20" s="345"/>
      <c r="M20" s="175">
        <f>VLOOKUP($E20,'集計16-E'!$E$9:$AF$90,'集計16-E'!$M$7-$D$7,FALSE)+VLOOKUP($E20,'集計F-15'!$E$9:$AF$90,'集計F-15'!$M$7-$D$7,FALSE)</f>
        <v>0</v>
      </c>
      <c r="N20" s="432">
        <f>VLOOKUP($E20,'集計16-E'!$E$9:$AF$90,'集計16-E'!$N$7-$D$7,FALSE)+VLOOKUP($E20,'集計F-15'!$E$9:$AF$90,'集計F-15'!$N$7-$D$7,FALSE)</f>
        <v>0</v>
      </c>
      <c r="O20" s="345"/>
      <c r="P20" s="644">
        <f>VLOOKUP($E20,'集計16-E'!$E$9:$AF$90,'集計16-E'!$P$7-$D$7,FALSE)+VLOOKUP($E20,'集計F-15'!$E$9:$AF$90,'集計F-15'!$P$7-$D$7,FALSE)-$S20</f>
        <v>0</v>
      </c>
      <c r="Q20" s="645">
        <f>VLOOKUP($E20,'集計16-E'!$E$9:$AF$90,'集計16-E'!$Q$7-$D$7,FALSE)+VLOOKUP($E20,'集計F-15'!$E$9:$AF$90,'集計F-15'!$Q$7-$D$7,FALSE)-$T20</f>
        <v>0</v>
      </c>
      <c r="R20" s="345"/>
      <c r="S20" s="175">
        <f>SUMIF(請求Data!$F$11:$F$160,CONCATENATE(VLOOKUP(P$5,$G$1:$H$4,2,FALSE),$E20,1,2),請求Data!$AF$11:$AF$160)</f>
        <v>0</v>
      </c>
      <c r="T20" s="177">
        <f>SUMIF(請求Data!$F$11:$F$160,CONCATENATE(VLOOKUP(P$5,$G$1:$H$4,2,FALSE),$E20,1,2),請求Data!$AG$11:$AG$160)</f>
        <v>0</v>
      </c>
      <c r="U20" s="345"/>
      <c r="V20" s="175">
        <f>VLOOKUP($E20,'集計16-E'!$E$9:$AF$90,'集計16-E'!$V$7-$D$7,0)+VLOOKUP($E20,'集計F-15'!$E$9:$AF$90,'集計F-15'!$V$7-$D$7,0)</f>
        <v>0</v>
      </c>
      <c r="W20" s="433">
        <f>VLOOKUP($E20,'集計16-E'!$E$9:$AF$90,'集計16-E'!$W$7-$D$7,0)+VLOOKUP($E20,'集計F-15'!$E$9:$AF$90,'集計F-15'!$W$7-$D$7,0)</f>
        <v>0</v>
      </c>
      <c r="X20" s="345"/>
      <c r="Y20" s="644">
        <f>VLOOKUP($E20,'集計16-E'!$E$9:AF$90,'集計16-E'!$Y$7-$D$7,0)+VLOOKUP($E20,'集計F-15'!$E$9:AF$90,'集計F-15'!$Y$7-$D$7,0)-$AB20</f>
        <v>0</v>
      </c>
      <c r="Z20" s="645">
        <f>VLOOKUP($E20,'集計16-E'!$E$9:AF$90,'集計16-E'!$Z$7-$D$7,0)+VLOOKUP($E20,'集計F-15'!$E$9:AF$90,'集計F-15'!$Z$7-$D$7,0)-$AC20</f>
        <v>0</v>
      </c>
      <c r="AA20" s="345"/>
      <c r="AB20" s="175">
        <f>SUMIF(請求Data!$F$11:$F$160,CONCATENATE(VLOOKUP(Y$5,$G$1:$H$4,2,FALSE),$E20,1,2),請求Data!$AF$11:$AF$160)</f>
        <v>0</v>
      </c>
      <c r="AC20" s="177">
        <f>SUMIF(請求Data!$F$11:$F$160,CONCATENATE(VLOOKUP(Y$5,$G$1:$H$4,2,FALSE),$E20,1,2),請求Data!$AG$11:$AG$160)</f>
        <v>0</v>
      </c>
      <c r="AD20" s="345"/>
      <c r="AE20" s="175">
        <f>VLOOKUP($E20,'集計16-E'!$E$9:AF$90,'集計16-E'!$AE$7-$D$7,0)+VLOOKUP($E20,'集計F-15'!$E$9:AF$90,'集計F-15'!$AE$7-$D$7,0)</f>
        <v>0</v>
      </c>
      <c r="AF20" s="433">
        <f>VLOOKUP($E20,'集計16-E'!$E$9:AF$90,'集計16-E'!$AF$7-$D$7,0)+VLOOKUP($E20,'集計F-15'!$E$9:AF$90,'集計F-15'!$AF$7-$D$7,0)</f>
        <v>0</v>
      </c>
    </row>
    <row r="21" spans="1:32">
      <c r="A21" s="474">
        <f>IF(SUMIFS($G21:$AF21,$G$8:$AF$8,"金額",$G21:$AF21,"&gt;0")-SUMIFS($G21:$AF21,$G$8:$AF$8,"金額",$G21:$AF21,"&lt;0")&lt;=0,"",MAX($A$8:$A20)+1)</f>
        <v>5</v>
      </c>
      <c r="B21" s="802"/>
      <c r="C21" s="245" t="str">
        <f t="shared" si="0"/>
        <v>商品5</v>
      </c>
      <c r="D21" s="245">
        <v>13</v>
      </c>
      <c r="E21" s="590" t="str">
        <f>IF($F21&lt;&gt;"",INDEX(ﾏｽﾀ!$D$8:$D$124,MATCH(INDEX(ﾏｽﾀ!$N$8:$N$124,MATCH($F21,ﾏｽﾀ!$O$8:$O$124,0)),ﾏｽﾀ!$B$8:$B$124,0))&amp;"","")</f>
        <v>11002</v>
      </c>
      <c r="F21" s="589" t="str">
        <f>ﾏｽﾀ!$R20&amp;""</f>
        <v>株式会社BANDAI SPIRITS</v>
      </c>
      <c r="G21" s="632">
        <f>VLOOKUP($E21,'集計16-E'!$E$9:$AF$90,'集計16-E'!$G$7-$D$7,FALSE)+VLOOKUP($E21,'集計F-15'!$E$9:$AF$90,'集計F-15'!$G$7-$D$7,FALSE)-INDEX($J$9:$J$90,MATCH($E21,$E$9:$E$90,0))</f>
        <v>1</v>
      </c>
      <c r="H21" s="633">
        <f>VLOOKUP($E21,'集計16-E'!$E$9:$AF$90,'集計16-E'!$H$7-$D$7,FALSE)+VLOOKUP($E21,'集計F-15'!$E$9:$AF$90,'集計F-15'!$H$7-$D$7,FALSE)-INDEX($K$9:$K$90,MATCH($E21,$E$9:$E$90,0))</f>
        <v>3300000</v>
      </c>
      <c r="I21" s="345"/>
      <c r="J21" s="126">
        <f>SUMIF(請求Data!$F$11:$F$160,CONCATENATE(VLOOKUP(G$5,$G$1:$H$4,2,FALSE),$E21,1,2),請求Data!$AF$11:$AF$160)</f>
        <v>0</v>
      </c>
      <c r="K21" s="127">
        <f>SUMIF(請求Data!$F$11:$F$160,CONCATENATE(VLOOKUP(G$5,$G$1:$H$4,2,FALSE),$E21,1,2),請求Data!$AG$11:$AG$160)</f>
        <v>0</v>
      </c>
      <c r="L21" s="345"/>
      <c r="M21" s="175">
        <f>VLOOKUP($E21,'集計16-E'!$E$9:$AF$90,'集計16-E'!$M$7-$D$7,FALSE)+VLOOKUP($E21,'集計F-15'!$E$9:$AF$90,'集計F-15'!$M$7-$D$7,FALSE)</f>
        <v>0</v>
      </c>
      <c r="N21" s="432">
        <f>VLOOKUP($E21,'集計16-E'!$E$9:$AF$90,'集計16-E'!$N$7-$D$7,FALSE)+VLOOKUP($E21,'集計F-15'!$E$9:$AF$90,'集計F-15'!$N$7-$D$7,FALSE)</f>
        <v>0</v>
      </c>
      <c r="O21" s="345"/>
      <c r="P21" s="644">
        <f>VLOOKUP($E21,'集計16-E'!$E$9:$AF$90,'集計16-E'!$P$7-$D$7,FALSE)+VLOOKUP($E21,'集計F-15'!$E$9:$AF$90,'集計F-15'!$P$7-$D$7,FALSE)-$S21</f>
        <v>0</v>
      </c>
      <c r="Q21" s="645">
        <f>VLOOKUP($E21,'集計16-E'!$E$9:$AF$90,'集計16-E'!$Q$7-$D$7,FALSE)+VLOOKUP($E21,'集計F-15'!$E$9:$AF$90,'集計F-15'!$Q$7-$D$7,FALSE)-$T21</f>
        <v>0</v>
      </c>
      <c r="R21" s="345"/>
      <c r="S21" s="175">
        <f>SUMIF(請求Data!$F$11:$F$160,CONCATENATE(VLOOKUP(P$5,$G$1:$H$4,2,FALSE),$E21,1,2),請求Data!$AF$11:$AF$160)</f>
        <v>0</v>
      </c>
      <c r="T21" s="177">
        <f>SUMIF(請求Data!$F$11:$F$160,CONCATENATE(VLOOKUP(P$5,$G$1:$H$4,2,FALSE),$E21,1,2),請求Data!$AG$11:$AG$160)</f>
        <v>0</v>
      </c>
      <c r="U21" s="345"/>
      <c r="V21" s="175">
        <f>VLOOKUP($E21,'集計16-E'!$E$9:$AF$90,'集計16-E'!$V$7-$D$7,0)+VLOOKUP($E21,'集計F-15'!$E$9:$AF$90,'集計F-15'!$V$7-$D$7,0)</f>
        <v>0</v>
      </c>
      <c r="W21" s="433">
        <f>VLOOKUP($E21,'集計16-E'!$E$9:$AF$90,'集計16-E'!$W$7-$D$7,0)+VLOOKUP($E21,'集計F-15'!$E$9:$AF$90,'集計F-15'!$W$7-$D$7,0)</f>
        <v>0</v>
      </c>
      <c r="X21" s="345"/>
      <c r="Y21" s="644">
        <f>VLOOKUP($E21,'集計16-E'!$E$9:AF$90,'集計16-E'!$Y$7-$D$7,0)+VLOOKUP($E21,'集計F-15'!$E$9:AF$90,'集計F-15'!$Y$7-$D$7,0)-$AB21</f>
        <v>1</v>
      </c>
      <c r="Z21" s="645">
        <f>VLOOKUP($E21,'集計16-E'!$E$9:AF$90,'集計16-E'!$Z$7-$D$7,0)+VLOOKUP($E21,'集計F-15'!$E$9:AF$90,'集計F-15'!$Z$7-$D$7,0)-$AC21</f>
        <v>221400</v>
      </c>
      <c r="AA21" s="345"/>
      <c r="AB21" s="175">
        <f>SUMIF(請求Data!$F$11:$F$160,CONCATENATE(VLOOKUP(Y$5,$G$1:$H$4,2,FALSE),$E21,1,2),請求Data!$AF$11:$AF$160)</f>
        <v>0</v>
      </c>
      <c r="AC21" s="177">
        <f>SUMIF(請求Data!$F$11:$F$160,CONCATENATE(VLOOKUP(Y$5,$G$1:$H$4,2,FALSE),$E21,1,2),請求Data!$AG$11:$AG$160)</f>
        <v>0</v>
      </c>
      <c r="AD21" s="345"/>
      <c r="AE21" s="175">
        <f>VLOOKUP($E21,'集計16-E'!$E$9:AF$90,'集計16-E'!$AE$7-$D$7,0)+VLOOKUP($E21,'集計F-15'!$E$9:AF$90,'集計F-15'!$AE$7-$D$7,0)</f>
        <v>0</v>
      </c>
      <c r="AF21" s="433">
        <f>VLOOKUP($E21,'集計16-E'!$E$9:AF$90,'集計16-E'!$AF$7-$D$7,0)+VLOOKUP($E21,'集計F-15'!$E$9:AF$90,'集計F-15'!$AF$7-$D$7,0)</f>
        <v>0</v>
      </c>
    </row>
    <row r="22" spans="1:32">
      <c r="A22" s="474">
        <f>IF(SUMIFS($G22:$AF22,$G$8:$AF$8,"金額",$G22:$AF22,"&gt;0")-SUMIFS($G22:$AF22,$G$8:$AF$8,"金額",$G22:$AF22,"&lt;0")&lt;=0,"",MAX($A$8:$A21)+1)</f>
        <v>6</v>
      </c>
      <c r="B22" s="802"/>
      <c r="C22" s="245" t="str">
        <f t="shared" si="0"/>
        <v>商品6</v>
      </c>
      <c r="D22" s="245">
        <v>14</v>
      </c>
      <c r="E22" s="590" t="str">
        <f>IF($F22&lt;&gt;"",INDEX(ﾏｽﾀ!$D$8:$D$124,MATCH(INDEX(ﾏｽﾀ!$N$8:$N$124,MATCH($F22,ﾏｽﾀ!$O$8:$O$124,0)),ﾏｽﾀ!$B$8:$B$124,0))&amp;"","")</f>
        <v>12001</v>
      </c>
      <c r="F22" s="589" t="str">
        <f>ﾏｽﾀ!$R21&amp;""</f>
        <v>株式会社バンダイナムコアミューズメント</v>
      </c>
      <c r="G22" s="632">
        <f>VLOOKUP($E22,'集計16-E'!$E$9:$AF$90,'集計16-E'!$G$7-$D$7,FALSE)+VLOOKUP($E22,'集計F-15'!$E$9:$AF$90,'集計F-15'!$G$7-$D$7,FALSE)-INDEX($J$9:$J$90,MATCH($E22,$E$9:$E$90,0))</f>
        <v>1</v>
      </c>
      <c r="H22" s="633">
        <f>VLOOKUP($E22,'集計16-E'!$E$9:$AF$90,'集計16-E'!$H$7-$D$7,FALSE)+VLOOKUP($E22,'集計F-15'!$E$9:$AF$90,'集計F-15'!$H$7-$D$7,FALSE)-INDEX($K$9:$K$90,MATCH($E22,$E$9:$E$90,0))</f>
        <v>5935680</v>
      </c>
      <c r="I22" s="345"/>
      <c r="J22" s="126">
        <f>SUMIF(請求Data!$F$11:$F$160,CONCATENATE(VLOOKUP(G$5,$G$1:$H$4,2,FALSE),$E22,1,2),請求Data!$AF$11:$AF$160)</f>
        <v>0</v>
      </c>
      <c r="K22" s="127">
        <f>SUMIF(請求Data!$F$11:$F$160,CONCATENATE(VLOOKUP(G$5,$G$1:$H$4,2,FALSE),$E22,1,2),請求Data!$AG$11:$AG$160)</f>
        <v>0</v>
      </c>
      <c r="L22" s="345"/>
      <c r="M22" s="175">
        <f>VLOOKUP($E22,'集計16-E'!$E$9:$AF$90,'集計16-E'!$M$7-$D$7,FALSE)+VLOOKUP($E22,'集計F-15'!$E$9:$AF$90,'集計F-15'!$M$7-$D$7,FALSE)</f>
        <v>0</v>
      </c>
      <c r="N22" s="432">
        <f>VLOOKUP($E22,'集計16-E'!$E$9:$AF$90,'集計16-E'!$N$7-$D$7,FALSE)+VLOOKUP($E22,'集計F-15'!$E$9:$AF$90,'集計F-15'!$N$7-$D$7,FALSE)</f>
        <v>0</v>
      </c>
      <c r="O22" s="345"/>
      <c r="P22" s="644">
        <f>VLOOKUP($E22,'集計16-E'!$E$9:$AF$90,'集計16-E'!$P$7-$D$7,FALSE)+VLOOKUP($E22,'集計F-15'!$E$9:$AF$90,'集計F-15'!$P$7-$D$7,FALSE)-$S22</f>
        <v>0</v>
      </c>
      <c r="Q22" s="645">
        <f>VLOOKUP($E22,'集計16-E'!$E$9:$AF$90,'集計16-E'!$Q$7-$D$7,FALSE)+VLOOKUP($E22,'集計F-15'!$E$9:$AF$90,'集計F-15'!$Q$7-$D$7,FALSE)-$T22</f>
        <v>0</v>
      </c>
      <c r="R22" s="345"/>
      <c r="S22" s="175">
        <f>SUMIF(請求Data!$F$11:$F$160,CONCATENATE(VLOOKUP(P$5,$G$1:$H$4,2,FALSE),$E22,1,2),請求Data!$AF$11:$AF$160)</f>
        <v>0</v>
      </c>
      <c r="T22" s="177">
        <f>SUMIF(請求Data!$F$11:$F$160,CONCATENATE(VLOOKUP(P$5,$G$1:$H$4,2,FALSE),$E22,1,2),請求Data!$AG$11:$AG$160)</f>
        <v>0</v>
      </c>
      <c r="U22" s="345"/>
      <c r="V22" s="175">
        <f>VLOOKUP($E22,'集計16-E'!$E$9:$AF$90,'集計16-E'!$V$7-$D$7,0)+VLOOKUP($E22,'集計F-15'!$E$9:$AF$90,'集計F-15'!$V$7-$D$7,0)</f>
        <v>0</v>
      </c>
      <c r="W22" s="433">
        <f>VLOOKUP($E22,'集計16-E'!$E$9:$AF$90,'集計16-E'!$W$7-$D$7,0)+VLOOKUP($E22,'集計F-15'!$E$9:$AF$90,'集計F-15'!$W$7-$D$7,0)</f>
        <v>0</v>
      </c>
      <c r="X22" s="345"/>
      <c r="Y22" s="644">
        <f>VLOOKUP($E22,'集計16-E'!$E$9:AF$90,'集計16-E'!$Y$7-$D$7,0)+VLOOKUP($E22,'集計F-15'!$E$9:AF$90,'集計F-15'!$Y$7-$D$7,0)-$AB22</f>
        <v>0</v>
      </c>
      <c r="Z22" s="645">
        <f>VLOOKUP($E22,'集計16-E'!$E$9:AF$90,'集計16-E'!$Z$7-$D$7,0)+VLOOKUP($E22,'集計F-15'!$E$9:AF$90,'集計F-15'!$Z$7-$D$7,0)-$AC22</f>
        <v>0</v>
      </c>
      <c r="AA22" s="345"/>
      <c r="AB22" s="175">
        <f>SUMIF(請求Data!$F$11:$F$160,CONCATENATE(VLOOKUP(Y$5,$G$1:$H$4,2,FALSE),$E22,1,2),請求Data!$AF$11:$AF$160)</f>
        <v>0</v>
      </c>
      <c r="AC22" s="177">
        <f>SUMIF(請求Data!$F$11:$F$160,CONCATENATE(VLOOKUP(Y$5,$G$1:$H$4,2,FALSE),$E22,1,2),請求Data!$AG$11:$AG$160)</f>
        <v>0</v>
      </c>
      <c r="AD22" s="345"/>
      <c r="AE22" s="175">
        <f>VLOOKUP($E22,'集計16-E'!$E$9:AF$90,'集計16-E'!$AE$7-$D$7,0)+VLOOKUP($E22,'集計F-15'!$E$9:AF$90,'集計F-15'!$AE$7-$D$7,0)</f>
        <v>0</v>
      </c>
      <c r="AF22" s="433">
        <f>VLOOKUP($E22,'集計16-E'!$E$9:AF$90,'集計16-E'!$AF$7-$D$7,0)+VLOOKUP($E22,'集計F-15'!$E$9:AF$90,'集計F-15'!$AF$7-$D$7,0)</f>
        <v>0</v>
      </c>
    </row>
    <row r="23" spans="1:32">
      <c r="A23" s="474" t="str">
        <f>IF(SUMIFS($G23:$AF23,$G$8:$AF$8,"金額",$G23:$AF23,"&gt;0")-SUMIFS($G23:$AF23,$G$8:$AF$8,"金額",$G23:$AF23,"&lt;0")&lt;=0,"",MAX($A$8:$A22)+1)</f>
        <v/>
      </c>
      <c r="B23" s="802"/>
      <c r="C23" s="245" t="str">
        <f t="shared" si="0"/>
        <v>商品</v>
      </c>
      <c r="D23" s="245">
        <v>15</v>
      </c>
      <c r="E23" s="590" t="str">
        <f>IF($F23&lt;&gt;"",INDEX(ﾏｽﾀ!$D$8:$D$124,MATCH(INDEX(ﾏｽﾀ!$N$8:$N$124,MATCH($F23,ﾏｽﾀ!$O$8:$O$124,0)),ﾏｽﾀ!$B$8:$B$124,0))&amp;"","")</f>
        <v>40002</v>
      </c>
      <c r="F23" s="589" t="str">
        <f>ﾏｽﾀ!$R22&amp;""</f>
        <v>株式会社 バンプレスト　マーケティング事業部</v>
      </c>
      <c r="G23" s="632">
        <f>VLOOKUP($E23,'集計16-E'!$E$9:$AF$90,'集計16-E'!$G$7-$D$7,FALSE)+VLOOKUP($E23,'集計F-15'!$E$9:$AF$90,'集計F-15'!$G$7-$D$7,FALSE)-INDEX($J$9:$J$90,MATCH($E23,$E$9:$E$90,0))</f>
        <v>0</v>
      </c>
      <c r="H23" s="633">
        <f>VLOOKUP($E23,'集計16-E'!$E$9:$AF$90,'集計16-E'!$H$7-$D$7,FALSE)+VLOOKUP($E23,'集計F-15'!$E$9:$AF$90,'集計F-15'!$H$7-$D$7,FALSE)-INDEX($K$9:$K$90,MATCH($E23,$E$9:$E$90,0))</f>
        <v>0</v>
      </c>
      <c r="I23" s="345"/>
      <c r="J23" s="126">
        <f>SUMIF(請求Data!$F$11:$F$160,CONCATENATE(VLOOKUP(G$5,$G$1:$H$4,2,FALSE),$E23,1,2),請求Data!$AF$11:$AF$160)</f>
        <v>0</v>
      </c>
      <c r="K23" s="127">
        <f>SUMIF(請求Data!$F$11:$F$160,CONCATENATE(VLOOKUP(G$5,$G$1:$H$4,2,FALSE),$E23,1,2),請求Data!$AG$11:$AG$160)</f>
        <v>0</v>
      </c>
      <c r="L23" s="345"/>
      <c r="M23" s="175">
        <f>VLOOKUP($E23,'集計16-E'!$E$9:$AF$90,'集計16-E'!$M$7-$D$7,FALSE)+VLOOKUP($E23,'集計F-15'!$E$9:$AF$90,'集計F-15'!$M$7-$D$7,FALSE)</f>
        <v>0</v>
      </c>
      <c r="N23" s="432">
        <f>VLOOKUP($E23,'集計16-E'!$E$9:$AF$90,'集計16-E'!$N$7-$D$7,FALSE)+VLOOKUP($E23,'集計F-15'!$E$9:$AF$90,'集計F-15'!$N$7-$D$7,FALSE)</f>
        <v>0</v>
      </c>
      <c r="O23" s="345"/>
      <c r="P23" s="644">
        <f>VLOOKUP($E23,'集計16-E'!$E$9:$AF$90,'集計16-E'!$P$7-$D$7,FALSE)+VLOOKUP($E23,'集計F-15'!$E$9:$AF$90,'集計F-15'!$P$7-$D$7,FALSE)-$S23</f>
        <v>0</v>
      </c>
      <c r="Q23" s="645">
        <f>VLOOKUP($E23,'集計16-E'!$E$9:$AF$90,'集計16-E'!$Q$7-$D$7,FALSE)+VLOOKUP($E23,'集計F-15'!$E$9:$AF$90,'集計F-15'!$Q$7-$D$7,FALSE)-$T23</f>
        <v>0</v>
      </c>
      <c r="R23" s="345"/>
      <c r="S23" s="175">
        <f>SUMIF(請求Data!$F$11:$F$160,CONCATENATE(VLOOKUP(P$5,$G$1:$H$4,2,FALSE),$E23,1,2),請求Data!$AF$11:$AF$160)</f>
        <v>0</v>
      </c>
      <c r="T23" s="177">
        <f>SUMIF(請求Data!$F$11:$F$160,CONCATENATE(VLOOKUP(P$5,$G$1:$H$4,2,FALSE),$E23,1,2),請求Data!$AG$11:$AG$160)</f>
        <v>0</v>
      </c>
      <c r="U23" s="345"/>
      <c r="V23" s="175">
        <f>VLOOKUP($E23,'集計16-E'!$E$9:$AF$90,'集計16-E'!$V$7-$D$7,0)+VLOOKUP($E23,'集計F-15'!$E$9:$AF$90,'集計F-15'!$V$7-$D$7,0)</f>
        <v>0</v>
      </c>
      <c r="W23" s="433">
        <f>VLOOKUP($E23,'集計16-E'!$E$9:$AF$90,'集計16-E'!$W$7-$D$7,0)+VLOOKUP($E23,'集計F-15'!$E$9:$AF$90,'集計F-15'!$W$7-$D$7,0)</f>
        <v>0</v>
      </c>
      <c r="X23" s="345"/>
      <c r="Y23" s="644">
        <f>VLOOKUP($E23,'集計16-E'!$E$9:AF$90,'集計16-E'!$Y$7-$D$7,0)+VLOOKUP($E23,'集計F-15'!$E$9:AF$90,'集計F-15'!$Y$7-$D$7,0)-$AB23</f>
        <v>0</v>
      </c>
      <c r="Z23" s="645">
        <f>VLOOKUP($E23,'集計16-E'!$E$9:AF$90,'集計16-E'!$Z$7-$D$7,0)+VLOOKUP($E23,'集計F-15'!$E$9:AF$90,'集計F-15'!$Z$7-$D$7,0)-$AC23</f>
        <v>0</v>
      </c>
      <c r="AA23" s="345"/>
      <c r="AB23" s="175">
        <f>SUMIF(請求Data!$F$11:$F$160,CONCATENATE(VLOOKUP(Y$5,$G$1:$H$4,2,FALSE),$E23,1,2),請求Data!$AF$11:$AF$160)</f>
        <v>0</v>
      </c>
      <c r="AC23" s="177">
        <f>SUMIF(請求Data!$F$11:$F$160,CONCATENATE(VLOOKUP(Y$5,$G$1:$H$4,2,FALSE),$E23,1,2),請求Data!$AG$11:$AG$160)</f>
        <v>0</v>
      </c>
      <c r="AD23" s="345"/>
      <c r="AE23" s="175">
        <f>VLOOKUP($E23,'集計16-E'!$E$9:AF$90,'集計16-E'!$AE$7-$D$7,0)+VLOOKUP($E23,'集計F-15'!$E$9:AF$90,'集計F-15'!$AE$7-$D$7,0)</f>
        <v>0</v>
      </c>
      <c r="AF23" s="433">
        <f>VLOOKUP($E23,'集計16-E'!$E$9:AF$90,'集計16-E'!$AF$7-$D$7,0)+VLOOKUP($E23,'集計F-15'!$E$9:AF$90,'集計F-15'!$AF$7-$D$7,0)</f>
        <v>0</v>
      </c>
    </row>
    <row r="24" spans="1:32">
      <c r="A24" s="474" t="str">
        <f>IF(SUMIFS($G24:$AF24,$G$8:$AF$8,"金額",$G24:$AF24,"&gt;0")-SUMIFS($G24:$AF24,$G$8:$AF$8,"金額",$G24:$AF24,"&lt;0")&lt;=0,"",MAX($A$8:$A23)+1)</f>
        <v/>
      </c>
      <c r="B24" s="802"/>
      <c r="C24" s="245" t="str">
        <f t="shared" si="0"/>
        <v>商品</v>
      </c>
      <c r="D24" s="245">
        <v>16</v>
      </c>
      <c r="E24" s="590" t="str">
        <f>IF($F24&lt;&gt;"",INDEX(ﾏｽﾀ!$D$8:$D$124,MATCH(INDEX(ﾏｽﾀ!$N$8:$N$124,MATCH($F24,ﾏｽﾀ!$O$8:$O$124,0)),ﾏｽﾀ!$B$8:$B$124,0))&amp;"","")</f>
        <v>51000</v>
      </c>
      <c r="F24" s="589" t="str">
        <f>ﾏｽﾀ!$R23&amp;""</f>
        <v>株式会社 アートプレスト　/　3100</v>
      </c>
      <c r="G24" s="632">
        <f>VLOOKUP($E24,'集計16-E'!$E$9:$AF$90,'集計16-E'!$G$7-$D$7,FALSE)+VLOOKUP($E24,'集計F-15'!$E$9:$AF$90,'集計F-15'!$G$7-$D$7,FALSE)-INDEX($J$9:$J$90,MATCH($E24,$E$9:$E$90,0))</f>
        <v>0</v>
      </c>
      <c r="H24" s="633">
        <f>VLOOKUP($E24,'集計16-E'!$E$9:$AF$90,'集計16-E'!$H$7-$D$7,FALSE)+VLOOKUP($E24,'集計F-15'!$E$9:$AF$90,'集計F-15'!$H$7-$D$7,FALSE)-INDEX($K$9:$K$90,MATCH($E24,$E$9:$E$90,0))</f>
        <v>0</v>
      </c>
      <c r="I24" s="345"/>
      <c r="J24" s="126">
        <f>SUMIF(請求Data!$F$11:$F$160,CONCATENATE(VLOOKUP(G$5,$G$1:$H$4,2,FALSE),$E24,1,2),請求Data!$AF$11:$AF$160)</f>
        <v>0</v>
      </c>
      <c r="K24" s="127">
        <f>SUMIF(請求Data!$F$11:$F$160,CONCATENATE(VLOOKUP(G$5,$G$1:$H$4,2,FALSE),$E24,1,2),請求Data!$AG$11:$AG$160)</f>
        <v>0</v>
      </c>
      <c r="L24" s="345"/>
      <c r="M24" s="175">
        <f>VLOOKUP($E24,'集計16-E'!$E$9:$AF$90,'集計16-E'!$M$7-$D$7,FALSE)+VLOOKUP($E24,'集計F-15'!$E$9:$AF$90,'集計F-15'!$M$7-$D$7,FALSE)</f>
        <v>0</v>
      </c>
      <c r="N24" s="432">
        <f>VLOOKUP($E24,'集計16-E'!$E$9:$AF$90,'集計16-E'!$N$7-$D$7,FALSE)+VLOOKUP($E24,'集計F-15'!$E$9:$AF$90,'集計F-15'!$N$7-$D$7,FALSE)</f>
        <v>0</v>
      </c>
      <c r="O24" s="345"/>
      <c r="P24" s="644">
        <f>VLOOKUP($E24,'集計16-E'!$E$9:$AF$90,'集計16-E'!$P$7-$D$7,FALSE)+VLOOKUP($E24,'集計F-15'!$E$9:$AF$90,'集計F-15'!$P$7-$D$7,FALSE)-$S24</f>
        <v>0</v>
      </c>
      <c r="Q24" s="645">
        <f>VLOOKUP($E24,'集計16-E'!$E$9:$AF$90,'集計16-E'!$Q$7-$D$7,FALSE)+VLOOKUP($E24,'集計F-15'!$E$9:$AF$90,'集計F-15'!$Q$7-$D$7,FALSE)-$T24</f>
        <v>0</v>
      </c>
      <c r="R24" s="345"/>
      <c r="S24" s="175">
        <f>SUMIF(請求Data!$F$11:$F$160,CONCATENATE(VLOOKUP(P$5,$G$1:$H$4,2,FALSE),$E24,1,2),請求Data!$AF$11:$AF$160)</f>
        <v>0</v>
      </c>
      <c r="T24" s="177">
        <f>SUMIF(請求Data!$F$11:$F$160,CONCATENATE(VLOOKUP(P$5,$G$1:$H$4,2,FALSE),$E24,1,2),請求Data!$AG$11:$AG$160)</f>
        <v>0</v>
      </c>
      <c r="U24" s="345"/>
      <c r="V24" s="175">
        <f>VLOOKUP($E24,'集計16-E'!$E$9:$AF$90,'集計16-E'!$V$7-$D$7,0)+VLOOKUP($E24,'集計F-15'!$E$9:$AF$90,'集計F-15'!$V$7-$D$7,0)</f>
        <v>0</v>
      </c>
      <c r="W24" s="433">
        <f>VLOOKUP($E24,'集計16-E'!$E$9:$AF$90,'集計16-E'!$W$7-$D$7,0)+VLOOKUP($E24,'集計F-15'!$E$9:$AF$90,'集計F-15'!$W$7-$D$7,0)</f>
        <v>0</v>
      </c>
      <c r="X24" s="345"/>
      <c r="Y24" s="644">
        <f>VLOOKUP($E24,'集計16-E'!$E$9:AF$90,'集計16-E'!$Y$7-$D$7,0)+VLOOKUP($E24,'集計F-15'!$E$9:AF$90,'集計F-15'!$Y$7-$D$7,0)-$AB24</f>
        <v>0</v>
      </c>
      <c r="Z24" s="645">
        <f>VLOOKUP($E24,'集計16-E'!$E$9:AF$90,'集計16-E'!$Z$7-$D$7,0)+VLOOKUP($E24,'集計F-15'!$E$9:AF$90,'集計F-15'!$Z$7-$D$7,0)-$AC24</f>
        <v>0</v>
      </c>
      <c r="AA24" s="345"/>
      <c r="AB24" s="175">
        <f>SUMIF(請求Data!$F$11:$F$160,CONCATENATE(VLOOKUP(Y$5,$G$1:$H$4,2,FALSE),$E24,1,2),請求Data!$AF$11:$AF$160)</f>
        <v>0</v>
      </c>
      <c r="AC24" s="177">
        <f>SUMIF(請求Data!$F$11:$F$160,CONCATENATE(VLOOKUP(Y$5,$G$1:$H$4,2,FALSE),$E24,1,2),請求Data!$AG$11:$AG$160)</f>
        <v>0</v>
      </c>
      <c r="AD24" s="345"/>
      <c r="AE24" s="175">
        <f>VLOOKUP($E24,'集計16-E'!$E$9:AF$90,'集計16-E'!$AE$7-$D$7,0)+VLOOKUP($E24,'集計F-15'!$E$9:AF$90,'集計F-15'!$AE$7-$D$7,0)</f>
        <v>0</v>
      </c>
      <c r="AF24" s="433">
        <f>VLOOKUP($E24,'集計16-E'!$E$9:AF$90,'集計16-E'!$AF$7-$D$7,0)+VLOOKUP($E24,'集計F-15'!$E$9:AF$90,'集計F-15'!$AF$7-$D$7,0)</f>
        <v>0</v>
      </c>
    </row>
    <row r="25" spans="1:32">
      <c r="A25" s="474" t="str">
        <f>IF(SUMIFS($G25:$AF25,$G$8:$AF$8,"金額",$G25:$AF25,"&gt;0")-SUMIFS($G25:$AF25,$G$8:$AF$8,"金額",$G25:$AF25,"&lt;0")&lt;=0,"",MAX($A$8:$A24)+1)</f>
        <v/>
      </c>
      <c r="B25" s="802"/>
      <c r="C25" s="245" t="str">
        <f t="shared" si="0"/>
        <v>商品</v>
      </c>
      <c r="D25" s="245">
        <v>17</v>
      </c>
      <c r="E25" s="590" t="str">
        <f>IF($F25&lt;&gt;"",INDEX(ﾏｽﾀ!$D$8:$D$124,MATCH(INDEX(ﾏｽﾀ!$N$8:$N$124,MATCH($F25,ﾏｽﾀ!$O$8:$O$124,0)),ﾏｽﾀ!$B$8:$B$124,0))&amp;"","")</f>
        <v>53000</v>
      </c>
      <c r="F25" s="589" t="str">
        <f>ﾏｽﾀ!$R24&amp;""</f>
        <v>株式会社エムアイシー</v>
      </c>
      <c r="G25" s="632">
        <f>VLOOKUP($E25,'集計16-E'!$E$9:$AF$90,'集計16-E'!$G$7-$D$7,FALSE)+VLOOKUP($E25,'集計F-15'!$E$9:$AF$90,'集計F-15'!$G$7-$D$7,FALSE)-INDEX($J$9:$J$90,MATCH($E25,$E$9:$E$90,0))</f>
        <v>0</v>
      </c>
      <c r="H25" s="633">
        <f>VLOOKUP($E25,'集計16-E'!$E$9:$AF$90,'集計16-E'!$H$7-$D$7,FALSE)+VLOOKUP($E25,'集計F-15'!$E$9:$AF$90,'集計F-15'!$H$7-$D$7,FALSE)-INDEX($K$9:$K$90,MATCH($E25,$E$9:$E$90,0))</f>
        <v>0</v>
      </c>
      <c r="I25" s="345"/>
      <c r="J25" s="126">
        <f>SUMIF(請求Data!$F$11:$F$160,CONCATENATE(VLOOKUP(G$5,$G$1:$H$4,2,FALSE),$E25,1,2),請求Data!$AF$11:$AF$160)</f>
        <v>0</v>
      </c>
      <c r="K25" s="127">
        <f>SUMIF(請求Data!$F$11:$F$160,CONCATENATE(VLOOKUP(G$5,$G$1:$H$4,2,FALSE),$E25,1,2),請求Data!$AG$11:$AG$160)</f>
        <v>0</v>
      </c>
      <c r="L25" s="345"/>
      <c r="M25" s="175">
        <f>VLOOKUP($E25,'集計16-E'!$E$9:$AF$90,'集計16-E'!$M$7-$D$7,FALSE)+VLOOKUP($E25,'集計F-15'!$E$9:$AF$90,'集計F-15'!$M$7-$D$7,FALSE)</f>
        <v>0</v>
      </c>
      <c r="N25" s="432">
        <f>VLOOKUP($E25,'集計16-E'!$E$9:$AF$90,'集計16-E'!$N$7-$D$7,FALSE)+VLOOKUP($E25,'集計F-15'!$E$9:$AF$90,'集計F-15'!$N$7-$D$7,FALSE)</f>
        <v>0</v>
      </c>
      <c r="O25" s="345"/>
      <c r="P25" s="644">
        <f>VLOOKUP($E25,'集計16-E'!$E$9:$AF$90,'集計16-E'!$P$7-$D$7,FALSE)+VLOOKUP($E25,'集計F-15'!$E$9:$AF$90,'集計F-15'!$P$7-$D$7,FALSE)-$S25</f>
        <v>0</v>
      </c>
      <c r="Q25" s="645">
        <f>VLOOKUP($E25,'集計16-E'!$E$9:$AF$90,'集計16-E'!$Q$7-$D$7,FALSE)+VLOOKUP($E25,'集計F-15'!$E$9:$AF$90,'集計F-15'!$Q$7-$D$7,FALSE)-$T25</f>
        <v>0</v>
      </c>
      <c r="R25" s="345"/>
      <c r="S25" s="175">
        <f>SUMIF(請求Data!$F$11:$F$160,CONCATENATE(VLOOKUP(P$5,$G$1:$H$4,2,FALSE),$E25,1,2),請求Data!$AF$11:$AF$160)</f>
        <v>0</v>
      </c>
      <c r="T25" s="177">
        <f>SUMIF(請求Data!$F$11:$F$160,CONCATENATE(VLOOKUP(P$5,$G$1:$H$4,2,FALSE),$E25,1,2),請求Data!$AG$11:$AG$160)</f>
        <v>0</v>
      </c>
      <c r="U25" s="345"/>
      <c r="V25" s="175">
        <f>VLOOKUP($E25,'集計16-E'!$E$9:$AF$90,'集計16-E'!$V$7-$D$7,0)+VLOOKUP($E25,'集計F-15'!$E$9:$AF$90,'集計F-15'!$V$7-$D$7,0)</f>
        <v>0</v>
      </c>
      <c r="W25" s="433">
        <f>VLOOKUP($E25,'集計16-E'!$E$9:$AF$90,'集計16-E'!$W$7-$D$7,0)+VLOOKUP($E25,'集計F-15'!$E$9:$AF$90,'集計F-15'!$W$7-$D$7,0)</f>
        <v>0</v>
      </c>
      <c r="X25" s="345"/>
      <c r="Y25" s="644">
        <f>VLOOKUP($E25,'集計16-E'!$E$9:AF$90,'集計16-E'!$Y$7-$D$7,0)+VLOOKUP($E25,'集計F-15'!$E$9:AF$90,'集計F-15'!$Y$7-$D$7,0)-$AB25</f>
        <v>0</v>
      </c>
      <c r="Z25" s="645">
        <f>VLOOKUP($E25,'集計16-E'!$E$9:AF$90,'集計16-E'!$Z$7-$D$7,0)+VLOOKUP($E25,'集計F-15'!$E$9:AF$90,'集計F-15'!$Z$7-$D$7,0)-$AC25</f>
        <v>0</v>
      </c>
      <c r="AA25" s="345"/>
      <c r="AB25" s="175">
        <f>SUMIF(請求Data!$F$11:$F$160,CONCATENATE(VLOOKUP(Y$5,$G$1:$H$4,2,FALSE),$E25,1,2),請求Data!$AF$11:$AF$160)</f>
        <v>0</v>
      </c>
      <c r="AC25" s="177">
        <f>SUMIF(請求Data!$F$11:$F$160,CONCATENATE(VLOOKUP(Y$5,$G$1:$H$4,2,FALSE),$E25,1,2),請求Data!$AG$11:$AG$160)</f>
        <v>0</v>
      </c>
      <c r="AD25" s="345"/>
      <c r="AE25" s="175">
        <f>VLOOKUP($E25,'集計16-E'!$E$9:AF$90,'集計16-E'!$AE$7-$D$7,0)+VLOOKUP($E25,'集計F-15'!$E$9:AF$90,'集計F-15'!$AE$7-$D$7,0)</f>
        <v>0</v>
      </c>
      <c r="AF25" s="433">
        <f>VLOOKUP($E25,'集計16-E'!$E$9:AF$90,'集計16-E'!$AF$7-$D$7,0)+VLOOKUP($E25,'集計F-15'!$E$9:AF$90,'集計F-15'!$AF$7-$D$7,0)</f>
        <v>0</v>
      </c>
    </row>
    <row r="26" spans="1:32">
      <c r="A26" s="474" t="str">
        <f>IF(SUMIFS($G26:$AF26,$G$8:$AF$8,"金額",$G26:$AF26,"&gt;0")-SUMIFS($G26:$AF26,$G$8:$AF$8,"金額",$G26:$AF26,"&lt;0")&lt;=0,"",MAX($A$8:$A25)+1)</f>
        <v/>
      </c>
      <c r="B26" s="802"/>
      <c r="C26" s="245" t="str">
        <f t="shared" si="0"/>
        <v>商品</v>
      </c>
      <c r="D26" s="245">
        <v>18</v>
      </c>
      <c r="E26" s="590" t="str">
        <f>IF($F26&lt;&gt;"",INDEX(ﾏｽﾀ!$D$8:$D$124,MATCH(INDEX(ﾏｽﾀ!$N$8:$N$124,MATCH($F26,ﾏｽﾀ!$O$8:$O$124,0)),ﾏｽﾀ!$B$8:$B$124,0))&amp;"","")</f>
        <v>55000</v>
      </c>
      <c r="F26" s="589" t="str">
        <f>ﾏｽﾀ!$R25&amp;""</f>
        <v>株式会社ティーケー・ホールディングス　/　SPチーム</v>
      </c>
      <c r="G26" s="632">
        <f>VLOOKUP($E26,'集計16-E'!$E$9:$AF$90,'集計16-E'!$G$7-$D$7,FALSE)+VLOOKUP($E26,'集計F-15'!$E$9:$AF$90,'集計F-15'!$G$7-$D$7,FALSE)-INDEX($J$9:$J$90,MATCH($E26,$E$9:$E$90,0))</f>
        <v>0</v>
      </c>
      <c r="H26" s="633">
        <f>VLOOKUP($E26,'集計16-E'!$E$9:$AF$90,'集計16-E'!$H$7-$D$7,FALSE)+VLOOKUP($E26,'集計F-15'!$E$9:$AF$90,'集計F-15'!$H$7-$D$7,FALSE)-INDEX($K$9:$K$90,MATCH($E26,$E$9:$E$90,0))</f>
        <v>0</v>
      </c>
      <c r="I26" s="345"/>
      <c r="J26" s="126">
        <f>SUMIF(請求Data!$F$11:$F$160,CONCATENATE(VLOOKUP(G$5,$G$1:$H$4,2,FALSE),$E26,1,2),請求Data!$AF$11:$AF$160)</f>
        <v>0</v>
      </c>
      <c r="K26" s="127">
        <f>SUMIF(請求Data!$F$11:$F$160,CONCATENATE(VLOOKUP(G$5,$G$1:$H$4,2,FALSE),$E26,1,2),請求Data!$AG$11:$AG$160)</f>
        <v>0</v>
      </c>
      <c r="L26" s="345"/>
      <c r="M26" s="175">
        <f>VLOOKUP($E26,'集計16-E'!$E$9:$AF$90,'集計16-E'!$M$7-$D$7,FALSE)+VLOOKUP($E26,'集計F-15'!$E$9:$AF$90,'集計F-15'!$M$7-$D$7,FALSE)</f>
        <v>0</v>
      </c>
      <c r="N26" s="432">
        <f>VLOOKUP($E26,'集計16-E'!$E$9:$AF$90,'集計16-E'!$N$7-$D$7,FALSE)+VLOOKUP($E26,'集計F-15'!$E$9:$AF$90,'集計F-15'!$N$7-$D$7,FALSE)</f>
        <v>0</v>
      </c>
      <c r="O26" s="345"/>
      <c r="P26" s="644">
        <f>VLOOKUP($E26,'集計16-E'!$E$9:$AF$90,'集計16-E'!$P$7-$D$7,FALSE)+VLOOKUP($E26,'集計F-15'!$E$9:$AF$90,'集計F-15'!$P$7-$D$7,FALSE)-$S26</f>
        <v>0</v>
      </c>
      <c r="Q26" s="645">
        <f>VLOOKUP($E26,'集計16-E'!$E$9:$AF$90,'集計16-E'!$Q$7-$D$7,FALSE)+VLOOKUP($E26,'集計F-15'!$E$9:$AF$90,'集計F-15'!$Q$7-$D$7,FALSE)-$T26</f>
        <v>0</v>
      </c>
      <c r="R26" s="345"/>
      <c r="S26" s="175">
        <f>SUMIF(請求Data!$F$11:$F$160,CONCATENATE(VLOOKUP(P$5,$G$1:$H$4,2,FALSE),$E26,1,2),請求Data!$AF$11:$AF$160)</f>
        <v>0</v>
      </c>
      <c r="T26" s="177">
        <f>SUMIF(請求Data!$F$11:$F$160,CONCATENATE(VLOOKUP(P$5,$G$1:$H$4,2,FALSE),$E26,1,2),請求Data!$AG$11:$AG$160)</f>
        <v>0</v>
      </c>
      <c r="U26" s="345"/>
      <c r="V26" s="175">
        <f>VLOOKUP($E26,'集計16-E'!$E$9:$AF$90,'集計16-E'!$V$7-$D$7,0)+VLOOKUP($E26,'集計F-15'!$E$9:$AF$90,'集計F-15'!$V$7-$D$7,0)</f>
        <v>0</v>
      </c>
      <c r="W26" s="433">
        <f>VLOOKUP($E26,'集計16-E'!$E$9:$AF$90,'集計16-E'!$W$7-$D$7,0)+VLOOKUP($E26,'集計F-15'!$E$9:$AF$90,'集計F-15'!$W$7-$D$7,0)</f>
        <v>0</v>
      </c>
      <c r="X26" s="345"/>
      <c r="Y26" s="644">
        <f>VLOOKUP($E26,'集計16-E'!$E$9:AF$90,'集計16-E'!$Y$7-$D$7,0)+VLOOKUP($E26,'集計F-15'!$E$9:AF$90,'集計F-15'!$Y$7-$D$7,0)-$AB26</f>
        <v>0</v>
      </c>
      <c r="Z26" s="645">
        <f>VLOOKUP($E26,'集計16-E'!$E$9:AF$90,'集計16-E'!$Z$7-$D$7,0)+VLOOKUP($E26,'集計F-15'!$E$9:AF$90,'集計F-15'!$Z$7-$D$7,0)-$AC26</f>
        <v>0</v>
      </c>
      <c r="AA26" s="345"/>
      <c r="AB26" s="175">
        <f>SUMIF(請求Data!$F$11:$F$160,CONCATENATE(VLOOKUP(Y$5,$G$1:$H$4,2,FALSE),$E26,1,2),請求Data!$AF$11:$AF$160)</f>
        <v>0</v>
      </c>
      <c r="AC26" s="177">
        <f>SUMIF(請求Data!$F$11:$F$160,CONCATENATE(VLOOKUP(Y$5,$G$1:$H$4,2,FALSE),$E26,1,2),請求Data!$AG$11:$AG$160)</f>
        <v>0</v>
      </c>
      <c r="AD26" s="345"/>
      <c r="AE26" s="175">
        <f>VLOOKUP($E26,'集計16-E'!$E$9:AF$90,'集計16-E'!$AE$7-$D$7,0)+VLOOKUP($E26,'集計F-15'!$E$9:AF$90,'集計F-15'!$AE$7-$D$7,0)</f>
        <v>0</v>
      </c>
      <c r="AF26" s="433">
        <f>VLOOKUP($E26,'集計16-E'!$E$9:AF$90,'集計16-E'!$AF$7-$D$7,0)+VLOOKUP($E26,'集計F-15'!$E$9:AF$90,'集計F-15'!$AF$7-$D$7,0)</f>
        <v>0</v>
      </c>
    </row>
    <row r="27" spans="1:32">
      <c r="A27" s="474">
        <f>IF(SUMIFS($G27:$AF27,$G$8:$AF$8,"金額",$G27:$AF27,"&gt;0")-SUMIFS($G27:$AF27,$G$8:$AF$8,"金額",$G27:$AF27,"&lt;0")&lt;=0,"",MAX($A$8:$A26)+1)</f>
        <v>7</v>
      </c>
      <c r="B27" s="802"/>
      <c r="C27" s="245" t="str">
        <f t="shared" si="0"/>
        <v>商品7</v>
      </c>
      <c r="D27" s="245">
        <v>19</v>
      </c>
      <c r="E27" s="590" t="str">
        <f>IF($F27&lt;&gt;"",INDEX(ﾏｽﾀ!$D$8:$D$124,MATCH(INDEX(ﾏｽﾀ!$N$8:$N$124,MATCH($F27,ﾏｽﾀ!$O$8:$O$124,0)),ﾏｽﾀ!$B$8:$B$124,0))&amp;"","")</f>
        <v>56000</v>
      </c>
      <c r="F27" s="589" t="str">
        <f>ﾏｽﾀ!$R26&amp;""</f>
        <v>株式会社ティーケー・ホールディングス　/　5000</v>
      </c>
      <c r="G27" s="632">
        <f>VLOOKUP($E27,'集計16-E'!$E$9:$AF$90,'集計16-E'!$G$7-$D$7,FALSE)+VLOOKUP($E27,'集計F-15'!$E$9:$AF$90,'集計F-15'!$G$7-$D$7,FALSE)-INDEX($J$9:$J$90,MATCH($E27,$E$9:$E$90,0))</f>
        <v>1</v>
      </c>
      <c r="H27" s="633">
        <f>VLOOKUP($E27,'集計16-E'!$E$9:$AF$90,'集計16-E'!$H$7-$D$7,FALSE)+VLOOKUP($E27,'集計F-15'!$E$9:$AF$90,'集計F-15'!$H$7-$D$7,FALSE)-INDEX($K$9:$K$90,MATCH($E27,$E$9:$E$90,0))</f>
        <v>1056000</v>
      </c>
      <c r="I27" s="345"/>
      <c r="J27" s="126">
        <f>SUMIF(請求Data!$F$11:$F$160,CONCATENATE(VLOOKUP(G$5,$G$1:$H$4,2,FALSE),$E27,1,2),請求Data!$AF$11:$AF$160)</f>
        <v>0</v>
      </c>
      <c r="K27" s="127">
        <f>SUMIF(請求Data!$F$11:$F$160,CONCATENATE(VLOOKUP(G$5,$G$1:$H$4,2,FALSE),$E27,1,2),請求Data!$AG$11:$AG$160)</f>
        <v>0</v>
      </c>
      <c r="L27" s="345"/>
      <c r="M27" s="175">
        <f>VLOOKUP($E27,'集計16-E'!$E$9:$AF$90,'集計16-E'!$M$7-$D$7,FALSE)+VLOOKUP($E27,'集計F-15'!$E$9:$AF$90,'集計F-15'!$M$7-$D$7,FALSE)</f>
        <v>0</v>
      </c>
      <c r="N27" s="432">
        <f>VLOOKUP($E27,'集計16-E'!$E$9:$AF$90,'集計16-E'!$N$7-$D$7,FALSE)+VLOOKUP($E27,'集計F-15'!$E$9:$AF$90,'集計F-15'!$N$7-$D$7,FALSE)</f>
        <v>0</v>
      </c>
      <c r="O27" s="345"/>
      <c r="P27" s="644">
        <f>VLOOKUP($E27,'集計16-E'!$E$9:$AF$90,'集計16-E'!$P$7-$D$7,FALSE)+VLOOKUP($E27,'集計F-15'!$E$9:$AF$90,'集計F-15'!$P$7-$D$7,FALSE)-$S27</f>
        <v>0</v>
      </c>
      <c r="Q27" s="645">
        <f>VLOOKUP($E27,'集計16-E'!$E$9:$AF$90,'集計16-E'!$Q$7-$D$7,FALSE)+VLOOKUP($E27,'集計F-15'!$E$9:$AF$90,'集計F-15'!$Q$7-$D$7,FALSE)-$T27</f>
        <v>0</v>
      </c>
      <c r="R27" s="345"/>
      <c r="S27" s="175">
        <f>SUMIF(請求Data!$F$11:$F$160,CONCATENATE(VLOOKUP(P$5,$G$1:$H$4,2,FALSE),$E27,1,2),請求Data!$AF$11:$AF$160)</f>
        <v>0</v>
      </c>
      <c r="T27" s="177">
        <f>SUMIF(請求Data!$F$11:$F$160,CONCATENATE(VLOOKUP(P$5,$G$1:$H$4,2,FALSE),$E27,1,2),請求Data!$AG$11:$AG$160)</f>
        <v>0</v>
      </c>
      <c r="U27" s="345"/>
      <c r="V27" s="175">
        <f>VLOOKUP($E27,'集計16-E'!$E$9:$AF$90,'集計16-E'!$V$7-$D$7,0)+VLOOKUP($E27,'集計F-15'!$E$9:$AF$90,'集計F-15'!$V$7-$D$7,0)</f>
        <v>0</v>
      </c>
      <c r="W27" s="433">
        <f>VLOOKUP($E27,'集計16-E'!$E$9:$AF$90,'集計16-E'!$W$7-$D$7,0)+VLOOKUP($E27,'集計F-15'!$E$9:$AF$90,'集計F-15'!$W$7-$D$7,0)</f>
        <v>0</v>
      </c>
      <c r="X27" s="345"/>
      <c r="Y27" s="644">
        <f>VLOOKUP($E27,'集計16-E'!$E$9:AF$90,'集計16-E'!$Y$7-$D$7,0)+VLOOKUP($E27,'集計F-15'!$E$9:AF$90,'集計F-15'!$Y$7-$D$7,0)-$AB27</f>
        <v>0</v>
      </c>
      <c r="Z27" s="645">
        <f>VLOOKUP($E27,'集計16-E'!$E$9:AF$90,'集計16-E'!$Z$7-$D$7,0)+VLOOKUP($E27,'集計F-15'!$E$9:AF$90,'集計F-15'!$Z$7-$D$7,0)-$AC27</f>
        <v>0</v>
      </c>
      <c r="AA27" s="345"/>
      <c r="AB27" s="175">
        <f>SUMIF(請求Data!$F$11:$F$160,CONCATENATE(VLOOKUP(Y$5,$G$1:$H$4,2,FALSE),$E27,1,2),請求Data!$AF$11:$AF$160)</f>
        <v>0</v>
      </c>
      <c r="AC27" s="177">
        <f>SUMIF(請求Data!$F$11:$F$160,CONCATENATE(VLOOKUP(Y$5,$G$1:$H$4,2,FALSE),$E27,1,2),請求Data!$AG$11:$AG$160)</f>
        <v>0</v>
      </c>
      <c r="AD27" s="345"/>
      <c r="AE27" s="175">
        <f>VLOOKUP($E27,'集計16-E'!$E$9:AF$90,'集計16-E'!$AE$7-$D$7,0)+VLOOKUP($E27,'集計F-15'!$E$9:AF$90,'集計F-15'!$AE$7-$D$7,0)</f>
        <v>0</v>
      </c>
      <c r="AF27" s="433">
        <f>VLOOKUP($E27,'集計16-E'!$E$9:AF$90,'集計16-E'!$AF$7-$D$7,0)+VLOOKUP($E27,'集計F-15'!$E$9:AF$90,'集計F-15'!$AF$7-$D$7,0)</f>
        <v>0</v>
      </c>
    </row>
    <row r="28" spans="1:32">
      <c r="A28" s="474" t="str">
        <f>IF(SUMIFS($G28:$AF28,$G$8:$AF$8,"金額",$G28:$AF28,"&gt;0")-SUMIFS($G28:$AF28,$G$8:$AF$8,"金額",$G28:$AF28,"&lt;0")&lt;=0,"",MAX($A$8:$A27)+1)</f>
        <v/>
      </c>
      <c r="B28" s="802"/>
      <c r="C28" s="245" t="str">
        <f t="shared" si="0"/>
        <v>商品</v>
      </c>
      <c r="D28" s="245">
        <v>20</v>
      </c>
      <c r="E28" s="590" t="str">
        <f>IF($F28&lt;&gt;"",INDEX(ﾏｽﾀ!$D$8:$D$124,MATCH(INDEX(ﾏｽﾀ!$N$8:$N$124,MATCH($F28,ﾏｽﾀ!$O$8:$O$124,0)),ﾏｽﾀ!$B$8:$B$124,0))&amp;"","")</f>
        <v>57000</v>
      </c>
      <c r="F28" s="589" t="str">
        <f>ﾏｽﾀ!$R27&amp;""</f>
        <v>株式会社ティーケーホールディングス/経費</v>
      </c>
      <c r="G28" s="632">
        <f>VLOOKUP($E28,'集計16-E'!$E$9:$AF$90,'集計16-E'!$G$7-$D$7,FALSE)+VLOOKUP($E28,'集計F-15'!$E$9:$AF$90,'集計F-15'!$G$7-$D$7,FALSE)-INDEX($J$9:$J$90,MATCH($E28,$E$9:$E$90,0))</f>
        <v>0</v>
      </c>
      <c r="H28" s="633">
        <f>VLOOKUP($E28,'集計16-E'!$E$9:$AF$90,'集計16-E'!$H$7-$D$7,FALSE)+VLOOKUP($E28,'集計F-15'!$E$9:$AF$90,'集計F-15'!$H$7-$D$7,FALSE)-INDEX($K$9:$K$90,MATCH($E28,$E$9:$E$90,0))</f>
        <v>0</v>
      </c>
      <c r="I28" s="345"/>
      <c r="J28" s="126">
        <f>SUMIF(請求Data!$F$11:$F$160,CONCATENATE(VLOOKUP(G$5,$G$1:$H$4,2,FALSE),$E28,1,2),請求Data!$AF$11:$AF$160)</f>
        <v>0</v>
      </c>
      <c r="K28" s="127">
        <f>SUMIF(請求Data!$F$11:$F$160,CONCATENATE(VLOOKUP(G$5,$G$1:$H$4,2,FALSE),$E28,1,2),請求Data!$AG$11:$AG$160)</f>
        <v>0</v>
      </c>
      <c r="L28" s="345"/>
      <c r="M28" s="175">
        <f>VLOOKUP($E28,'集計16-E'!$E$9:$AF$90,'集計16-E'!$M$7-$D$7,FALSE)+VLOOKUP($E28,'集計F-15'!$E$9:$AF$90,'集計F-15'!$M$7-$D$7,FALSE)</f>
        <v>0</v>
      </c>
      <c r="N28" s="432">
        <f>VLOOKUP($E28,'集計16-E'!$E$9:$AF$90,'集計16-E'!$N$7-$D$7,FALSE)+VLOOKUP($E28,'集計F-15'!$E$9:$AF$90,'集計F-15'!$N$7-$D$7,FALSE)</f>
        <v>0</v>
      </c>
      <c r="O28" s="345"/>
      <c r="P28" s="644">
        <f>VLOOKUP($E28,'集計16-E'!$E$9:$AF$90,'集計16-E'!$P$7-$D$7,FALSE)+VLOOKUP($E28,'集計F-15'!$E$9:$AF$90,'集計F-15'!$P$7-$D$7,FALSE)-$S28</f>
        <v>0</v>
      </c>
      <c r="Q28" s="645">
        <f>VLOOKUP($E28,'集計16-E'!$E$9:$AF$90,'集計16-E'!$Q$7-$D$7,FALSE)+VLOOKUP($E28,'集計F-15'!$E$9:$AF$90,'集計F-15'!$Q$7-$D$7,FALSE)-$T28</f>
        <v>0</v>
      </c>
      <c r="R28" s="345"/>
      <c r="S28" s="175">
        <f>SUMIF(請求Data!$F$11:$F$160,CONCATENATE(VLOOKUP(P$5,$G$1:$H$4,2,FALSE),$E28,1,2),請求Data!$AF$11:$AF$160)</f>
        <v>0</v>
      </c>
      <c r="T28" s="177">
        <f>SUMIF(請求Data!$F$11:$F$160,CONCATENATE(VLOOKUP(P$5,$G$1:$H$4,2,FALSE),$E28,1,2),請求Data!$AG$11:$AG$160)</f>
        <v>0</v>
      </c>
      <c r="U28" s="345"/>
      <c r="V28" s="175">
        <f>VLOOKUP($E28,'集計16-E'!$E$9:$AF$90,'集計16-E'!$V$7-$D$7,0)+VLOOKUP($E28,'集計F-15'!$E$9:$AF$90,'集計F-15'!$V$7-$D$7,0)</f>
        <v>0</v>
      </c>
      <c r="W28" s="433">
        <f>VLOOKUP($E28,'集計16-E'!$E$9:$AF$90,'集計16-E'!$W$7-$D$7,0)+VLOOKUP($E28,'集計F-15'!$E$9:$AF$90,'集計F-15'!$W$7-$D$7,0)</f>
        <v>0</v>
      </c>
      <c r="X28" s="345"/>
      <c r="Y28" s="644">
        <f>VLOOKUP($E28,'集計16-E'!$E$9:AF$90,'集計16-E'!$Y$7-$D$7,0)+VLOOKUP($E28,'集計F-15'!$E$9:AF$90,'集計F-15'!$Y$7-$D$7,0)-$AB28</f>
        <v>0</v>
      </c>
      <c r="Z28" s="645">
        <f>VLOOKUP($E28,'集計16-E'!$E$9:AF$90,'集計16-E'!$Z$7-$D$7,0)+VLOOKUP($E28,'集計F-15'!$E$9:AF$90,'集計F-15'!$Z$7-$D$7,0)-$AC28</f>
        <v>0</v>
      </c>
      <c r="AA28" s="345"/>
      <c r="AB28" s="175">
        <f>SUMIF(請求Data!$F$11:$F$160,CONCATENATE(VLOOKUP(Y$5,$G$1:$H$4,2,FALSE),$E28,1,2),請求Data!$AF$11:$AF$160)</f>
        <v>0</v>
      </c>
      <c r="AC28" s="177">
        <f>SUMIF(請求Data!$F$11:$F$160,CONCATENATE(VLOOKUP(Y$5,$G$1:$H$4,2,FALSE),$E28,1,2),請求Data!$AG$11:$AG$160)</f>
        <v>0</v>
      </c>
      <c r="AD28" s="345"/>
      <c r="AE28" s="175">
        <f>VLOOKUP($E28,'集計16-E'!$E$9:AF$90,'集計16-E'!$AE$7-$D$7,0)+VLOOKUP($E28,'集計F-15'!$E$9:AF$90,'集計F-15'!$AE$7-$D$7,0)</f>
        <v>0</v>
      </c>
      <c r="AF28" s="433">
        <f>VLOOKUP($E28,'集計16-E'!$E$9:AF$90,'集計16-E'!$AF$7-$D$7,0)+VLOOKUP($E28,'集計F-15'!$E$9:AF$90,'集計F-15'!$AF$7-$D$7,0)</f>
        <v>0</v>
      </c>
    </row>
    <row r="29" spans="1:32">
      <c r="A29" s="474" t="str">
        <f>IF(SUMIFS($G29:$AF29,$G$8:$AF$8,"金額",$G29:$AF29,"&gt;0")-SUMIFS($G29:$AF29,$G$8:$AF$8,"金額",$G29:$AF29,"&lt;0")&lt;=0,"",MAX($A$8:$A28)+1)</f>
        <v/>
      </c>
      <c r="B29" s="802"/>
      <c r="C29" s="245" t="str">
        <f t="shared" si="0"/>
        <v>商品</v>
      </c>
      <c r="D29" s="245">
        <v>21</v>
      </c>
      <c r="E29" s="590" t="str">
        <f>IF($F29&lt;&gt;"",INDEX(ﾏｽﾀ!$D$8:$D$124,MATCH(INDEX(ﾏｽﾀ!$N$8:$N$124,MATCH($F29,ﾏｽﾀ!$O$8:$O$124,0)),ﾏｽﾀ!$B$8:$B$124,0))&amp;"","")</f>
        <v>58000</v>
      </c>
      <c r="F29" s="589" t="str">
        <f>ﾏｽﾀ!$R28&amp;""</f>
        <v>バンダイビジュアル株式会社</v>
      </c>
      <c r="G29" s="632">
        <f>VLOOKUP($E29,'集計16-E'!$E$9:$AF$90,'集計16-E'!$G$7-$D$7,FALSE)+VLOOKUP($E29,'集計F-15'!$E$9:$AF$90,'集計F-15'!$G$7-$D$7,FALSE)-INDEX($J$9:$J$90,MATCH($E29,$E$9:$E$90,0))</f>
        <v>0</v>
      </c>
      <c r="H29" s="633">
        <f>VLOOKUP($E29,'集計16-E'!$E$9:$AF$90,'集計16-E'!$H$7-$D$7,FALSE)+VLOOKUP($E29,'集計F-15'!$E$9:$AF$90,'集計F-15'!$H$7-$D$7,FALSE)-INDEX($K$9:$K$90,MATCH($E29,$E$9:$E$90,0))</f>
        <v>0</v>
      </c>
      <c r="I29" s="345"/>
      <c r="J29" s="126">
        <f>SUMIF(請求Data!$F$11:$F$160,CONCATENATE(VLOOKUP(G$5,$G$1:$H$4,2,FALSE),$E29,1,2),請求Data!$AF$11:$AF$160)</f>
        <v>0</v>
      </c>
      <c r="K29" s="127">
        <f>SUMIF(請求Data!$F$11:$F$160,CONCATENATE(VLOOKUP(G$5,$G$1:$H$4,2,FALSE),$E29,1,2),請求Data!$AG$11:$AG$160)</f>
        <v>0</v>
      </c>
      <c r="L29" s="345"/>
      <c r="M29" s="175">
        <f>VLOOKUP($E29,'集計16-E'!$E$9:$AF$90,'集計16-E'!$M$7-$D$7,FALSE)+VLOOKUP($E29,'集計F-15'!$E$9:$AF$90,'集計F-15'!$M$7-$D$7,FALSE)</f>
        <v>0</v>
      </c>
      <c r="N29" s="432">
        <f>VLOOKUP($E29,'集計16-E'!$E$9:$AF$90,'集計16-E'!$N$7-$D$7,FALSE)+VLOOKUP($E29,'集計F-15'!$E$9:$AF$90,'集計F-15'!$N$7-$D$7,FALSE)</f>
        <v>0</v>
      </c>
      <c r="O29" s="345"/>
      <c r="P29" s="644">
        <f>VLOOKUP($E29,'集計16-E'!$E$9:$AF$90,'集計16-E'!$P$7-$D$7,FALSE)+VLOOKUP($E29,'集計F-15'!$E$9:$AF$90,'集計F-15'!$P$7-$D$7,FALSE)-$S29</f>
        <v>0</v>
      </c>
      <c r="Q29" s="645">
        <f>VLOOKUP($E29,'集計16-E'!$E$9:$AF$90,'集計16-E'!$Q$7-$D$7,FALSE)+VLOOKUP($E29,'集計F-15'!$E$9:$AF$90,'集計F-15'!$Q$7-$D$7,FALSE)-$T29</f>
        <v>0</v>
      </c>
      <c r="R29" s="345"/>
      <c r="S29" s="175">
        <f>SUMIF(請求Data!$F$11:$F$160,CONCATENATE(VLOOKUP(P$5,$G$1:$H$4,2,FALSE),$E29,1,2),請求Data!$AF$11:$AF$160)</f>
        <v>0</v>
      </c>
      <c r="T29" s="177">
        <f>SUMIF(請求Data!$F$11:$F$160,CONCATENATE(VLOOKUP(P$5,$G$1:$H$4,2,FALSE),$E29,1,2),請求Data!$AG$11:$AG$160)</f>
        <v>0</v>
      </c>
      <c r="U29" s="345"/>
      <c r="V29" s="175">
        <f>VLOOKUP($E29,'集計16-E'!$E$9:$AF$90,'集計16-E'!$V$7-$D$7,0)+VLOOKUP($E29,'集計F-15'!$E$9:$AF$90,'集計F-15'!$V$7-$D$7,0)</f>
        <v>0</v>
      </c>
      <c r="W29" s="433">
        <f>VLOOKUP($E29,'集計16-E'!$E$9:$AF$90,'集計16-E'!$W$7-$D$7,0)+VLOOKUP($E29,'集計F-15'!$E$9:$AF$90,'集計F-15'!$W$7-$D$7,0)</f>
        <v>0</v>
      </c>
      <c r="X29" s="345"/>
      <c r="Y29" s="644">
        <f>VLOOKUP($E29,'集計16-E'!$E$9:AF$90,'集計16-E'!$Y$7-$D$7,0)+VLOOKUP($E29,'集計F-15'!$E$9:AF$90,'集計F-15'!$Y$7-$D$7,0)-$AB29</f>
        <v>0</v>
      </c>
      <c r="Z29" s="645">
        <f>VLOOKUP($E29,'集計16-E'!$E$9:AF$90,'集計16-E'!$Z$7-$D$7,0)+VLOOKUP($E29,'集計F-15'!$E$9:AF$90,'集計F-15'!$Z$7-$D$7,0)-$AC29</f>
        <v>0</v>
      </c>
      <c r="AA29" s="345"/>
      <c r="AB29" s="175">
        <f>SUMIF(請求Data!$F$11:$F$160,CONCATENATE(VLOOKUP(Y$5,$G$1:$H$4,2,FALSE),$E29,1,2),請求Data!$AF$11:$AF$160)</f>
        <v>0</v>
      </c>
      <c r="AC29" s="177">
        <f>SUMIF(請求Data!$F$11:$F$160,CONCATENATE(VLOOKUP(Y$5,$G$1:$H$4,2,FALSE),$E29,1,2),請求Data!$AG$11:$AG$160)</f>
        <v>0</v>
      </c>
      <c r="AD29" s="345"/>
      <c r="AE29" s="175">
        <f>VLOOKUP($E29,'集計16-E'!$E$9:AF$90,'集計16-E'!$AE$7-$D$7,0)+VLOOKUP($E29,'集計F-15'!$E$9:AF$90,'集計F-15'!$AE$7-$D$7,0)</f>
        <v>0</v>
      </c>
      <c r="AF29" s="433">
        <f>VLOOKUP($E29,'集計16-E'!$E$9:AF$90,'集計16-E'!$AF$7-$D$7,0)+VLOOKUP($E29,'集計F-15'!$E$9:AF$90,'集計F-15'!$AF$7-$D$7,0)</f>
        <v>0</v>
      </c>
    </row>
    <row r="30" spans="1:32">
      <c r="A30" s="474" t="str">
        <f>IF(SUMIFS($G30:$AF30,$G$8:$AF$8,"金額",$G30:$AF30,"&gt;0")-SUMIFS($G30:$AF30,$G$8:$AF$8,"金額",$G30:$AF30,"&lt;0")&lt;=0,"",MAX($A$8:$A29)+1)</f>
        <v/>
      </c>
      <c r="B30" s="802"/>
      <c r="C30" s="245" t="str">
        <f t="shared" si="0"/>
        <v>商品</v>
      </c>
      <c r="D30" s="245">
        <v>22</v>
      </c>
      <c r="E30" s="590" t="str">
        <f>IF($F30&lt;&gt;"",INDEX(ﾏｽﾀ!$D$8:$D$124,MATCH(INDEX(ﾏｽﾀ!$N$8:$N$124,MATCH($F30,ﾏｽﾀ!$O$8:$O$124,0)),ﾏｽﾀ!$B$8:$B$124,0))&amp;"","")</f>
        <v>59000</v>
      </c>
      <c r="F30" s="589" t="str">
        <f>ﾏｽﾀ!$R29&amp;""</f>
        <v>株式会社フジトーイ</v>
      </c>
      <c r="G30" s="632">
        <f>VLOOKUP($E30,'集計16-E'!$E$9:$AF$90,'集計16-E'!$G$7-$D$7,FALSE)+VLOOKUP($E30,'集計F-15'!$E$9:$AF$90,'集計F-15'!$G$7-$D$7,FALSE)-INDEX($J$9:$J$90,MATCH($E30,$E$9:$E$90,0))</f>
        <v>0</v>
      </c>
      <c r="H30" s="633">
        <f>VLOOKUP($E30,'集計16-E'!$E$9:$AF$90,'集計16-E'!$H$7-$D$7,FALSE)+VLOOKUP($E30,'集計F-15'!$E$9:$AF$90,'集計F-15'!$H$7-$D$7,FALSE)-INDEX($K$9:$K$90,MATCH($E30,$E$9:$E$90,0))</f>
        <v>0</v>
      </c>
      <c r="I30" s="345"/>
      <c r="J30" s="126">
        <f>SUMIF(請求Data!$F$11:$F$160,CONCATENATE(VLOOKUP(G$5,$G$1:$H$4,2,FALSE),$E30,1,2),請求Data!$AF$11:$AF$160)</f>
        <v>0</v>
      </c>
      <c r="K30" s="127">
        <f>SUMIF(請求Data!$F$11:$F$160,CONCATENATE(VLOOKUP(G$5,$G$1:$H$4,2,FALSE),$E30,1,2),請求Data!$AG$11:$AG$160)</f>
        <v>0</v>
      </c>
      <c r="L30" s="345"/>
      <c r="M30" s="175">
        <f>VLOOKUP($E30,'集計16-E'!$E$9:$AF$90,'集計16-E'!$M$7-$D$7,FALSE)+VLOOKUP($E30,'集計F-15'!$E$9:$AF$90,'集計F-15'!$M$7-$D$7,FALSE)</f>
        <v>0</v>
      </c>
      <c r="N30" s="432">
        <f>VLOOKUP($E30,'集計16-E'!$E$9:$AF$90,'集計16-E'!$N$7-$D$7,FALSE)+VLOOKUP($E30,'集計F-15'!$E$9:$AF$90,'集計F-15'!$N$7-$D$7,FALSE)</f>
        <v>0</v>
      </c>
      <c r="O30" s="345"/>
      <c r="P30" s="644">
        <f>VLOOKUP($E30,'集計16-E'!$E$9:$AF$90,'集計16-E'!$P$7-$D$7,FALSE)+VLOOKUP($E30,'集計F-15'!$E$9:$AF$90,'集計F-15'!$P$7-$D$7,FALSE)-$S30</f>
        <v>0</v>
      </c>
      <c r="Q30" s="645">
        <f>VLOOKUP($E30,'集計16-E'!$E$9:$AF$90,'集計16-E'!$Q$7-$D$7,FALSE)+VLOOKUP($E30,'集計F-15'!$E$9:$AF$90,'集計F-15'!$Q$7-$D$7,FALSE)-$T30</f>
        <v>0</v>
      </c>
      <c r="R30" s="345"/>
      <c r="S30" s="175">
        <f>SUMIF(請求Data!$F$11:$F$160,CONCATENATE(VLOOKUP(P$5,$G$1:$H$4,2,FALSE),$E30,1,2),請求Data!$AF$11:$AF$160)</f>
        <v>0</v>
      </c>
      <c r="T30" s="177">
        <f>SUMIF(請求Data!$F$11:$F$160,CONCATENATE(VLOOKUP(P$5,$G$1:$H$4,2,FALSE),$E30,1,2),請求Data!$AG$11:$AG$160)</f>
        <v>0</v>
      </c>
      <c r="U30" s="345"/>
      <c r="V30" s="175">
        <f>VLOOKUP($E30,'集計16-E'!$E$9:$AF$90,'集計16-E'!$V$7-$D$7,0)+VLOOKUP($E30,'集計F-15'!$E$9:$AF$90,'集計F-15'!$V$7-$D$7,0)</f>
        <v>0</v>
      </c>
      <c r="W30" s="433">
        <f>VLOOKUP($E30,'集計16-E'!$E$9:$AF$90,'集計16-E'!$W$7-$D$7,0)+VLOOKUP($E30,'集計F-15'!$E$9:$AF$90,'集計F-15'!$W$7-$D$7,0)</f>
        <v>0</v>
      </c>
      <c r="X30" s="345"/>
      <c r="Y30" s="644">
        <f>VLOOKUP($E30,'集計16-E'!$E$9:AF$90,'集計16-E'!$Y$7-$D$7,0)+VLOOKUP($E30,'集計F-15'!$E$9:AF$90,'集計F-15'!$Y$7-$D$7,0)-$AB30</f>
        <v>0</v>
      </c>
      <c r="Z30" s="645">
        <f>VLOOKUP($E30,'集計16-E'!$E$9:AF$90,'集計16-E'!$Z$7-$D$7,0)+VLOOKUP($E30,'集計F-15'!$E$9:AF$90,'集計F-15'!$Z$7-$D$7,0)-$AC30</f>
        <v>0</v>
      </c>
      <c r="AA30" s="345"/>
      <c r="AB30" s="175">
        <f>SUMIF(請求Data!$F$11:$F$160,CONCATENATE(VLOOKUP(Y$5,$G$1:$H$4,2,FALSE),$E30,1,2),請求Data!$AF$11:$AF$160)</f>
        <v>0</v>
      </c>
      <c r="AC30" s="177">
        <f>SUMIF(請求Data!$F$11:$F$160,CONCATENATE(VLOOKUP(Y$5,$G$1:$H$4,2,FALSE),$E30,1,2),請求Data!$AG$11:$AG$160)</f>
        <v>0</v>
      </c>
      <c r="AD30" s="345"/>
      <c r="AE30" s="175">
        <f>VLOOKUP($E30,'集計16-E'!$E$9:AF$90,'集計16-E'!$AE$7-$D$7,0)+VLOOKUP($E30,'集計F-15'!$E$9:AF$90,'集計F-15'!$AE$7-$D$7,0)</f>
        <v>0</v>
      </c>
      <c r="AF30" s="433">
        <f>VLOOKUP($E30,'集計16-E'!$E$9:AF$90,'集計16-E'!$AF$7-$D$7,0)+VLOOKUP($E30,'集計F-15'!$E$9:AF$90,'集計F-15'!$AF$7-$D$7,0)</f>
        <v>0</v>
      </c>
    </row>
    <row r="31" spans="1:32">
      <c r="A31" s="474" t="str">
        <f>IF(SUMIFS($G31:$AF31,$G$8:$AF$8,"金額",$G31:$AF31,"&gt;0")-SUMIFS($G31:$AF31,$G$8:$AF$8,"金額",$G31:$AF31,"&lt;0")&lt;=0,"",MAX($A$8:$A30)+1)</f>
        <v/>
      </c>
      <c r="B31" s="802"/>
      <c r="C31" s="245" t="str">
        <f t="shared" si="0"/>
        <v>商品</v>
      </c>
      <c r="D31" s="245">
        <v>23</v>
      </c>
      <c r="E31" s="590" t="str">
        <f>IF($F31&lt;&gt;"",INDEX(ﾏｽﾀ!$D$8:$D$124,MATCH(INDEX(ﾏｽﾀ!$N$8:$N$124,MATCH($F31,ﾏｽﾀ!$O$8:$O$124,0)),ﾏｽﾀ!$B$8:$B$124,0))&amp;"","")</f>
        <v>60000</v>
      </c>
      <c r="F31" s="589" t="str">
        <f>ﾏｽﾀ!$R30&amp;""</f>
        <v>株式会社プレジャーキャスト</v>
      </c>
      <c r="G31" s="632">
        <f>VLOOKUP($E31,'集計16-E'!$E$9:$AF$90,'集計16-E'!$G$7-$D$7,FALSE)+VLOOKUP($E31,'集計F-15'!$E$9:$AF$90,'集計F-15'!$G$7-$D$7,FALSE)-INDEX($J$9:$J$90,MATCH($E31,$E$9:$E$90,0))</f>
        <v>0</v>
      </c>
      <c r="H31" s="633">
        <f>VLOOKUP($E31,'集計16-E'!$E$9:$AF$90,'集計16-E'!$H$7-$D$7,FALSE)+VLOOKUP($E31,'集計F-15'!$E$9:$AF$90,'集計F-15'!$H$7-$D$7,FALSE)-INDEX($K$9:$K$90,MATCH($E31,$E$9:$E$90,0))</f>
        <v>0</v>
      </c>
      <c r="I31" s="345"/>
      <c r="J31" s="126">
        <f>SUMIF(請求Data!$F$11:$F$160,CONCATENATE(VLOOKUP(G$5,$G$1:$H$4,2,FALSE),$E31,1,2),請求Data!$AF$11:$AF$160)</f>
        <v>0</v>
      </c>
      <c r="K31" s="127">
        <f>SUMIF(請求Data!$F$11:$F$160,CONCATENATE(VLOOKUP(G$5,$G$1:$H$4,2,FALSE),$E31,1,2),請求Data!$AG$11:$AG$160)</f>
        <v>0</v>
      </c>
      <c r="L31" s="345"/>
      <c r="M31" s="175">
        <f>VLOOKUP($E31,'集計16-E'!$E$9:$AF$90,'集計16-E'!$M$7-$D$7,FALSE)+VLOOKUP($E31,'集計F-15'!$E$9:$AF$90,'集計F-15'!$M$7-$D$7,FALSE)</f>
        <v>0</v>
      </c>
      <c r="N31" s="432">
        <f>VLOOKUP($E31,'集計16-E'!$E$9:$AF$90,'集計16-E'!$N$7-$D$7,FALSE)+VLOOKUP($E31,'集計F-15'!$E$9:$AF$90,'集計F-15'!$N$7-$D$7,FALSE)</f>
        <v>0</v>
      </c>
      <c r="O31" s="345"/>
      <c r="P31" s="644">
        <f>VLOOKUP($E31,'集計16-E'!$E$9:$AF$90,'集計16-E'!$P$7-$D$7,FALSE)+VLOOKUP($E31,'集計F-15'!$E$9:$AF$90,'集計F-15'!$P$7-$D$7,FALSE)-$S31</f>
        <v>0</v>
      </c>
      <c r="Q31" s="645">
        <f>VLOOKUP($E31,'集計16-E'!$E$9:$AF$90,'集計16-E'!$Q$7-$D$7,FALSE)+VLOOKUP($E31,'集計F-15'!$E$9:$AF$90,'集計F-15'!$Q$7-$D$7,FALSE)-$T31</f>
        <v>0</v>
      </c>
      <c r="R31" s="345"/>
      <c r="S31" s="175">
        <f>SUMIF(請求Data!$F$11:$F$160,CONCATENATE(VLOOKUP(P$5,$G$1:$H$4,2,FALSE),$E31,1,2),請求Data!$AF$11:$AF$160)</f>
        <v>0</v>
      </c>
      <c r="T31" s="177">
        <f>SUMIF(請求Data!$F$11:$F$160,CONCATENATE(VLOOKUP(P$5,$G$1:$H$4,2,FALSE),$E31,1,2),請求Data!$AG$11:$AG$160)</f>
        <v>0</v>
      </c>
      <c r="U31" s="345"/>
      <c r="V31" s="175">
        <f>VLOOKUP($E31,'集計16-E'!$E$9:$AF$90,'集計16-E'!$V$7-$D$7,0)+VLOOKUP($E31,'集計F-15'!$E$9:$AF$90,'集計F-15'!$V$7-$D$7,0)</f>
        <v>0</v>
      </c>
      <c r="W31" s="433">
        <f>VLOOKUP($E31,'集計16-E'!$E$9:$AF$90,'集計16-E'!$W$7-$D$7,0)+VLOOKUP($E31,'集計F-15'!$E$9:$AF$90,'集計F-15'!$W$7-$D$7,0)</f>
        <v>0</v>
      </c>
      <c r="X31" s="345"/>
      <c r="Y31" s="644">
        <f>VLOOKUP($E31,'集計16-E'!$E$9:AF$90,'集計16-E'!$Y$7-$D$7,0)+VLOOKUP($E31,'集計F-15'!$E$9:AF$90,'集計F-15'!$Y$7-$D$7,0)-$AB31</f>
        <v>0</v>
      </c>
      <c r="Z31" s="645">
        <f>VLOOKUP($E31,'集計16-E'!$E$9:AF$90,'集計16-E'!$Z$7-$D$7,0)+VLOOKUP($E31,'集計F-15'!$E$9:AF$90,'集計F-15'!$Z$7-$D$7,0)-$AC31</f>
        <v>0</v>
      </c>
      <c r="AA31" s="345"/>
      <c r="AB31" s="175">
        <f>SUMIF(請求Data!$F$11:$F$160,CONCATENATE(VLOOKUP(Y$5,$G$1:$H$4,2,FALSE),$E31,1,2),請求Data!$AF$11:$AF$160)</f>
        <v>0</v>
      </c>
      <c r="AC31" s="177">
        <f>SUMIF(請求Data!$F$11:$F$160,CONCATENATE(VLOOKUP(Y$5,$G$1:$H$4,2,FALSE),$E31,1,2),請求Data!$AG$11:$AG$160)</f>
        <v>0</v>
      </c>
      <c r="AD31" s="345"/>
      <c r="AE31" s="175">
        <f>VLOOKUP($E31,'集計16-E'!$E$9:AF$90,'集計16-E'!$AE$7-$D$7,0)+VLOOKUP($E31,'集計F-15'!$E$9:AF$90,'集計F-15'!$AE$7-$D$7,0)</f>
        <v>0</v>
      </c>
      <c r="AF31" s="433">
        <f>VLOOKUP($E31,'集計16-E'!$E$9:AF$90,'集計16-E'!$AF$7-$D$7,0)+VLOOKUP($E31,'集計F-15'!$E$9:AF$90,'集計F-15'!$AF$7-$D$7,0)</f>
        <v>0</v>
      </c>
    </row>
    <row r="32" spans="1:32">
      <c r="A32" s="474" t="str">
        <f>IF(SUMIFS($G32:$AF32,$G$8:$AF$8,"金額",$G32:$AF32,"&gt;0")-SUMIFS($G32:$AF32,$G$8:$AF$8,"金額",$G32:$AF32,"&lt;0")&lt;=0,"",MAX($A$8:$A31)+1)</f>
        <v/>
      </c>
      <c r="B32" s="802"/>
      <c r="C32" s="245" t="str">
        <f t="shared" si="0"/>
        <v>商品</v>
      </c>
      <c r="D32" s="245">
        <v>24</v>
      </c>
      <c r="E32" s="590" t="str">
        <f>IF($F32&lt;&gt;"",INDEX(ﾏｽﾀ!$D$8:$D$124,MATCH(INDEX(ﾏｽﾀ!$N$8:$N$124,MATCH($F32,ﾏｽﾀ!$O$8:$O$124,0)),ﾏｽﾀ!$B$8:$B$124,0))&amp;"","")</f>
        <v>61000</v>
      </c>
      <c r="F32" s="589" t="str">
        <f>ﾏｽﾀ!$R31&amp;""</f>
        <v>株式会社アスキー・メディアワークス</v>
      </c>
      <c r="G32" s="632">
        <f>VLOOKUP($E32,'集計16-E'!$E$9:$AF$90,'集計16-E'!$G$7-$D$7,FALSE)+VLOOKUP($E32,'集計F-15'!$E$9:$AF$90,'集計F-15'!$G$7-$D$7,FALSE)-INDEX($J$9:$J$90,MATCH($E32,$E$9:$E$90,0))</f>
        <v>0</v>
      </c>
      <c r="H32" s="633">
        <f>VLOOKUP($E32,'集計16-E'!$E$9:$AF$90,'集計16-E'!$H$7-$D$7,FALSE)+VLOOKUP($E32,'集計F-15'!$E$9:$AF$90,'集計F-15'!$H$7-$D$7,FALSE)-INDEX($K$9:$K$90,MATCH($E32,$E$9:$E$90,0))</f>
        <v>0</v>
      </c>
      <c r="I32" s="345"/>
      <c r="J32" s="126">
        <f>SUMIF(請求Data!$F$11:$F$160,CONCATENATE(VLOOKUP(G$5,$G$1:$H$4,2,FALSE),$E32,1,2),請求Data!$AF$11:$AF$160)</f>
        <v>0</v>
      </c>
      <c r="K32" s="127">
        <f>SUMIF(請求Data!$F$11:$F$160,CONCATENATE(VLOOKUP(G$5,$G$1:$H$4,2,FALSE),$E32,1,2),請求Data!$AG$11:$AG$160)</f>
        <v>0</v>
      </c>
      <c r="L32" s="345"/>
      <c r="M32" s="175">
        <f>VLOOKUP($E32,'集計16-E'!$E$9:$AF$90,'集計16-E'!$M$7-$D$7,FALSE)+VLOOKUP($E32,'集計F-15'!$E$9:$AF$90,'集計F-15'!$M$7-$D$7,FALSE)</f>
        <v>0</v>
      </c>
      <c r="N32" s="432">
        <f>VLOOKUP($E32,'集計16-E'!$E$9:$AF$90,'集計16-E'!$N$7-$D$7,FALSE)+VLOOKUP($E32,'集計F-15'!$E$9:$AF$90,'集計F-15'!$N$7-$D$7,FALSE)</f>
        <v>0</v>
      </c>
      <c r="O32" s="345"/>
      <c r="P32" s="644">
        <f>VLOOKUP($E32,'集計16-E'!$E$9:$AF$90,'集計16-E'!$P$7-$D$7,FALSE)+VLOOKUP($E32,'集計F-15'!$E$9:$AF$90,'集計F-15'!$P$7-$D$7,FALSE)-$S32</f>
        <v>0</v>
      </c>
      <c r="Q32" s="645">
        <f>VLOOKUP($E32,'集計16-E'!$E$9:$AF$90,'集計16-E'!$Q$7-$D$7,FALSE)+VLOOKUP($E32,'集計F-15'!$E$9:$AF$90,'集計F-15'!$Q$7-$D$7,FALSE)-$T32</f>
        <v>0</v>
      </c>
      <c r="R32" s="345"/>
      <c r="S32" s="175">
        <f>SUMIF(請求Data!$F$11:$F$160,CONCATENATE(VLOOKUP(P$5,$G$1:$H$4,2,FALSE),$E32,1,2),請求Data!$AF$11:$AF$160)</f>
        <v>0</v>
      </c>
      <c r="T32" s="177">
        <f>SUMIF(請求Data!$F$11:$F$160,CONCATENATE(VLOOKUP(P$5,$G$1:$H$4,2,FALSE),$E32,1,2),請求Data!$AG$11:$AG$160)</f>
        <v>0</v>
      </c>
      <c r="U32" s="345"/>
      <c r="V32" s="175">
        <f>VLOOKUP($E32,'集計16-E'!$E$9:$AF$90,'集計16-E'!$V$7-$D$7,0)+VLOOKUP($E32,'集計F-15'!$E$9:$AF$90,'集計F-15'!$V$7-$D$7,0)</f>
        <v>0</v>
      </c>
      <c r="W32" s="433">
        <f>VLOOKUP($E32,'集計16-E'!$E$9:$AF$90,'集計16-E'!$W$7-$D$7,0)+VLOOKUP($E32,'集計F-15'!$E$9:$AF$90,'集計F-15'!$W$7-$D$7,0)</f>
        <v>0</v>
      </c>
      <c r="X32" s="345"/>
      <c r="Y32" s="644">
        <f>VLOOKUP($E32,'集計16-E'!$E$9:AF$90,'集計16-E'!$Y$7-$D$7,0)+VLOOKUP($E32,'集計F-15'!$E$9:AF$90,'集計F-15'!$Y$7-$D$7,0)-$AB32</f>
        <v>0</v>
      </c>
      <c r="Z32" s="645">
        <f>VLOOKUP($E32,'集計16-E'!$E$9:AF$90,'集計16-E'!$Z$7-$D$7,0)+VLOOKUP($E32,'集計F-15'!$E$9:AF$90,'集計F-15'!$Z$7-$D$7,0)-$AC32</f>
        <v>0</v>
      </c>
      <c r="AA32" s="345"/>
      <c r="AB32" s="175">
        <f>SUMIF(請求Data!$F$11:$F$160,CONCATENATE(VLOOKUP(Y$5,$G$1:$H$4,2,FALSE),$E32,1,2),請求Data!$AF$11:$AF$160)</f>
        <v>0</v>
      </c>
      <c r="AC32" s="177">
        <f>SUMIF(請求Data!$F$11:$F$160,CONCATENATE(VLOOKUP(Y$5,$G$1:$H$4,2,FALSE),$E32,1,2),請求Data!$AG$11:$AG$160)</f>
        <v>0</v>
      </c>
      <c r="AD32" s="345"/>
      <c r="AE32" s="175">
        <f>VLOOKUP($E32,'集計16-E'!$E$9:AF$90,'集計16-E'!$AE$7-$D$7,0)+VLOOKUP($E32,'集計F-15'!$E$9:AF$90,'集計F-15'!$AE$7-$D$7,0)</f>
        <v>0</v>
      </c>
      <c r="AF32" s="433">
        <f>VLOOKUP($E32,'集計16-E'!$E$9:AF$90,'集計16-E'!$AF$7-$D$7,0)+VLOOKUP($E32,'集計F-15'!$E$9:AF$90,'集計F-15'!$AF$7-$D$7,0)</f>
        <v>0</v>
      </c>
    </row>
    <row r="33" spans="1:32">
      <c r="A33" s="474" t="str">
        <f>IF(SUMIFS($G33:$AF33,$G$8:$AF$8,"金額",$G33:$AF33,"&gt;0")-SUMIFS($G33:$AF33,$G$8:$AF$8,"金額",$G33:$AF33,"&lt;0")&lt;=0,"",MAX($A$8:$A32)+1)</f>
        <v/>
      </c>
      <c r="B33" s="802"/>
      <c r="C33" s="245" t="str">
        <f t="shared" si="0"/>
        <v>商品</v>
      </c>
      <c r="D33" s="245">
        <v>25</v>
      </c>
      <c r="E33" s="590" t="str">
        <f>IF($F33&lt;&gt;"",INDEX(ﾏｽﾀ!$D$8:$D$124,MATCH(INDEX(ﾏｽﾀ!$N$8:$N$124,MATCH($F33,ﾏｽﾀ!$O$8:$O$124,0)),ﾏｽﾀ!$B$8:$B$124,0))&amp;"","")</f>
        <v>62000</v>
      </c>
      <c r="F33" s="589" t="str">
        <f>ﾏｽﾀ!$R32&amp;""</f>
        <v>サミー株式会社</v>
      </c>
      <c r="G33" s="632">
        <f>VLOOKUP($E33,'集計16-E'!$E$9:$AF$90,'集計16-E'!$G$7-$D$7,FALSE)+VLOOKUP($E33,'集計F-15'!$E$9:$AF$90,'集計F-15'!$G$7-$D$7,FALSE)-INDEX($J$9:$J$90,MATCH($E33,$E$9:$E$90,0))</f>
        <v>0</v>
      </c>
      <c r="H33" s="633">
        <f>VLOOKUP($E33,'集計16-E'!$E$9:$AF$90,'集計16-E'!$H$7-$D$7,FALSE)+VLOOKUP($E33,'集計F-15'!$E$9:$AF$90,'集計F-15'!$H$7-$D$7,FALSE)-INDEX($K$9:$K$90,MATCH($E33,$E$9:$E$90,0))</f>
        <v>0</v>
      </c>
      <c r="I33" s="345"/>
      <c r="J33" s="126">
        <f>SUMIF(請求Data!$F$11:$F$160,CONCATENATE(VLOOKUP(G$5,$G$1:$H$4,2,FALSE),$E33,1,2),請求Data!$AF$11:$AF$160)</f>
        <v>0</v>
      </c>
      <c r="K33" s="127">
        <f>SUMIF(請求Data!$F$11:$F$160,CONCATENATE(VLOOKUP(G$5,$G$1:$H$4,2,FALSE),$E33,1,2),請求Data!$AG$11:$AG$160)</f>
        <v>0</v>
      </c>
      <c r="L33" s="345"/>
      <c r="M33" s="175">
        <f>VLOOKUP($E33,'集計16-E'!$E$9:$AF$90,'集計16-E'!$M$7-$D$7,FALSE)+VLOOKUP($E33,'集計F-15'!$E$9:$AF$90,'集計F-15'!$M$7-$D$7,FALSE)</f>
        <v>0</v>
      </c>
      <c r="N33" s="432">
        <f>VLOOKUP($E33,'集計16-E'!$E$9:$AF$90,'集計16-E'!$N$7-$D$7,FALSE)+VLOOKUP($E33,'集計F-15'!$E$9:$AF$90,'集計F-15'!$N$7-$D$7,FALSE)</f>
        <v>0</v>
      </c>
      <c r="O33" s="345"/>
      <c r="P33" s="644">
        <f>VLOOKUP($E33,'集計16-E'!$E$9:$AF$90,'集計16-E'!$P$7-$D$7,FALSE)+VLOOKUP($E33,'集計F-15'!$E$9:$AF$90,'集計F-15'!$P$7-$D$7,FALSE)-$S33</f>
        <v>0</v>
      </c>
      <c r="Q33" s="645">
        <f>VLOOKUP($E33,'集計16-E'!$E$9:$AF$90,'集計16-E'!$Q$7-$D$7,FALSE)+VLOOKUP($E33,'集計F-15'!$E$9:$AF$90,'集計F-15'!$Q$7-$D$7,FALSE)-$T33</f>
        <v>0</v>
      </c>
      <c r="R33" s="345"/>
      <c r="S33" s="175">
        <f>SUMIF(請求Data!$F$11:$F$160,CONCATENATE(VLOOKUP(P$5,$G$1:$H$4,2,FALSE),$E33,1,2),請求Data!$AF$11:$AF$160)</f>
        <v>0</v>
      </c>
      <c r="T33" s="177">
        <f>SUMIF(請求Data!$F$11:$F$160,CONCATENATE(VLOOKUP(P$5,$G$1:$H$4,2,FALSE),$E33,1,2),請求Data!$AG$11:$AG$160)</f>
        <v>0</v>
      </c>
      <c r="U33" s="345"/>
      <c r="V33" s="175">
        <f>VLOOKUP($E33,'集計16-E'!$E$9:$AF$90,'集計16-E'!$V$7-$D$7,0)+VLOOKUP($E33,'集計F-15'!$E$9:$AF$90,'集計F-15'!$V$7-$D$7,0)</f>
        <v>0</v>
      </c>
      <c r="W33" s="433">
        <f>VLOOKUP($E33,'集計16-E'!$E$9:$AF$90,'集計16-E'!$W$7-$D$7,0)+VLOOKUP($E33,'集計F-15'!$E$9:$AF$90,'集計F-15'!$W$7-$D$7,0)</f>
        <v>0</v>
      </c>
      <c r="X33" s="345"/>
      <c r="Y33" s="644">
        <f>VLOOKUP($E33,'集計16-E'!$E$9:AF$90,'集計16-E'!$Y$7-$D$7,0)+VLOOKUP($E33,'集計F-15'!$E$9:AF$90,'集計F-15'!$Y$7-$D$7,0)-$AB33</f>
        <v>0</v>
      </c>
      <c r="Z33" s="645">
        <f>VLOOKUP($E33,'集計16-E'!$E$9:AF$90,'集計16-E'!$Z$7-$D$7,0)+VLOOKUP($E33,'集計F-15'!$E$9:AF$90,'集計F-15'!$Z$7-$D$7,0)-$AC33</f>
        <v>0</v>
      </c>
      <c r="AA33" s="345"/>
      <c r="AB33" s="175">
        <f>SUMIF(請求Data!$F$11:$F$160,CONCATENATE(VLOOKUP(Y$5,$G$1:$H$4,2,FALSE),$E33,1,2),請求Data!$AF$11:$AF$160)</f>
        <v>0</v>
      </c>
      <c r="AC33" s="177">
        <f>SUMIF(請求Data!$F$11:$F$160,CONCATENATE(VLOOKUP(Y$5,$G$1:$H$4,2,FALSE),$E33,1,2),請求Data!$AG$11:$AG$160)</f>
        <v>0</v>
      </c>
      <c r="AD33" s="345"/>
      <c r="AE33" s="175">
        <f>VLOOKUP($E33,'集計16-E'!$E$9:AF$90,'集計16-E'!$AE$7-$D$7,0)+VLOOKUP($E33,'集計F-15'!$E$9:AF$90,'集計F-15'!$AE$7-$D$7,0)</f>
        <v>0</v>
      </c>
      <c r="AF33" s="433">
        <f>VLOOKUP($E33,'集計16-E'!$E$9:AF$90,'集計16-E'!$AF$7-$D$7,0)+VLOOKUP($E33,'集計F-15'!$E$9:AF$90,'集計F-15'!$AF$7-$D$7,0)</f>
        <v>0</v>
      </c>
    </row>
    <row r="34" spans="1:32">
      <c r="A34" s="474" t="str">
        <f>IF(SUMIFS($G34:$AF34,$G$8:$AF$8,"金額",$G34:$AF34,"&gt;0")-SUMIFS($G34:$AF34,$G$8:$AF$8,"金額",$G34:$AF34,"&lt;0")&lt;=0,"",MAX($A$8:$A33)+1)</f>
        <v/>
      </c>
      <c r="B34" s="802"/>
      <c r="C34" s="245" t="str">
        <f t="shared" si="0"/>
        <v>商品</v>
      </c>
      <c r="D34" s="245">
        <v>26</v>
      </c>
      <c r="E34" s="590" t="str">
        <f>IF($F34&lt;&gt;"",INDEX(ﾏｽﾀ!$D$8:$D$124,MATCH(INDEX(ﾏｽﾀ!$N$8:$N$124,MATCH($F34,ﾏｽﾀ!$O$8:$O$124,0)),ﾏｽﾀ!$B$8:$B$124,0))&amp;"","")</f>
        <v>63000</v>
      </c>
      <c r="F34" s="589" t="str">
        <f>ﾏｽﾀ!$R33&amp;""</f>
        <v>ボークス株式会社</v>
      </c>
      <c r="G34" s="632">
        <f>VLOOKUP($E34,'集計16-E'!$E$9:$AF$90,'集計16-E'!$G$7-$D$7,FALSE)+VLOOKUP($E34,'集計F-15'!$E$9:$AF$90,'集計F-15'!$G$7-$D$7,FALSE)-INDEX($J$9:$J$90,MATCH($E34,$E$9:$E$90,0))</f>
        <v>0</v>
      </c>
      <c r="H34" s="633">
        <f>VLOOKUP($E34,'集計16-E'!$E$9:$AF$90,'集計16-E'!$H$7-$D$7,FALSE)+VLOOKUP($E34,'集計F-15'!$E$9:$AF$90,'集計F-15'!$H$7-$D$7,FALSE)-INDEX($K$9:$K$90,MATCH($E34,$E$9:$E$90,0))</f>
        <v>0</v>
      </c>
      <c r="I34" s="345"/>
      <c r="J34" s="126">
        <f>SUMIF(請求Data!$F$11:$F$160,CONCATENATE(VLOOKUP(G$5,$G$1:$H$4,2,FALSE),$E34,1,2),請求Data!$AF$11:$AF$160)</f>
        <v>0</v>
      </c>
      <c r="K34" s="127">
        <f>SUMIF(請求Data!$F$11:$F$160,CONCATENATE(VLOOKUP(G$5,$G$1:$H$4,2,FALSE),$E34,1,2),請求Data!$AG$11:$AG$160)</f>
        <v>0</v>
      </c>
      <c r="L34" s="345"/>
      <c r="M34" s="175">
        <f>VLOOKUP($E34,'集計16-E'!$E$9:$AF$90,'集計16-E'!$M$7-$D$7,FALSE)+VLOOKUP($E34,'集計F-15'!$E$9:$AF$90,'集計F-15'!$M$7-$D$7,FALSE)</f>
        <v>0</v>
      </c>
      <c r="N34" s="432">
        <f>VLOOKUP($E34,'集計16-E'!$E$9:$AF$90,'集計16-E'!$N$7-$D$7,FALSE)+VLOOKUP($E34,'集計F-15'!$E$9:$AF$90,'集計F-15'!$N$7-$D$7,FALSE)</f>
        <v>0</v>
      </c>
      <c r="O34" s="345"/>
      <c r="P34" s="644">
        <f>VLOOKUP($E34,'集計16-E'!$E$9:$AF$90,'集計16-E'!$P$7-$D$7,FALSE)+VLOOKUP($E34,'集計F-15'!$E$9:$AF$90,'集計F-15'!$P$7-$D$7,FALSE)-$S34</f>
        <v>0</v>
      </c>
      <c r="Q34" s="645">
        <f>VLOOKUP($E34,'集計16-E'!$E$9:$AF$90,'集計16-E'!$Q$7-$D$7,FALSE)+VLOOKUP($E34,'集計F-15'!$E$9:$AF$90,'集計F-15'!$Q$7-$D$7,FALSE)-$T34</f>
        <v>0</v>
      </c>
      <c r="R34" s="345"/>
      <c r="S34" s="175">
        <f>SUMIF(請求Data!$F$11:$F$160,CONCATENATE(VLOOKUP(P$5,$G$1:$H$4,2,FALSE),$E34,1,2),請求Data!$AF$11:$AF$160)</f>
        <v>0</v>
      </c>
      <c r="T34" s="177">
        <f>SUMIF(請求Data!$F$11:$F$160,CONCATENATE(VLOOKUP(P$5,$G$1:$H$4,2,FALSE),$E34,1,2),請求Data!$AG$11:$AG$160)</f>
        <v>0</v>
      </c>
      <c r="U34" s="345"/>
      <c r="V34" s="175">
        <f>VLOOKUP($E34,'集計16-E'!$E$9:$AF$90,'集計16-E'!$V$7-$D$7,0)+VLOOKUP($E34,'集計F-15'!$E$9:$AF$90,'集計F-15'!$V$7-$D$7,0)</f>
        <v>0</v>
      </c>
      <c r="W34" s="433">
        <f>VLOOKUP($E34,'集計16-E'!$E$9:$AF$90,'集計16-E'!$W$7-$D$7,0)+VLOOKUP($E34,'集計F-15'!$E$9:$AF$90,'集計F-15'!$W$7-$D$7,0)</f>
        <v>0</v>
      </c>
      <c r="X34" s="345"/>
      <c r="Y34" s="644">
        <f>VLOOKUP($E34,'集計16-E'!$E$9:AF$90,'集計16-E'!$Y$7-$D$7,0)+VLOOKUP($E34,'集計F-15'!$E$9:AF$90,'集計F-15'!$Y$7-$D$7,0)-$AB34</f>
        <v>0</v>
      </c>
      <c r="Z34" s="645">
        <f>VLOOKUP($E34,'集計16-E'!$E$9:AF$90,'集計16-E'!$Z$7-$D$7,0)+VLOOKUP($E34,'集計F-15'!$E$9:AF$90,'集計F-15'!$Z$7-$D$7,0)-$AC34</f>
        <v>0</v>
      </c>
      <c r="AA34" s="345"/>
      <c r="AB34" s="175">
        <f>SUMIF(請求Data!$F$11:$F$160,CONCATENATE(VLOOKUP(Y$5,$G$1:$H$4,2,FALSE),$E34,1,2),請求Data!$AF$11:$AF$160)</f>
        <v>0</v>
      </c>
      <c r="AC34" s="177">
        <f>SUMIF(請求Data!$F$11:$F$160,CONCATENATE(VLOOKUP(Y$5,$G$1:$H$4,2,FALSE),$E34,1,2),請求Data!$AG$11:$AG$160)</f>
        <v>0</v>
      </c>
      <c r="AD34" s="345"/>
      <c r="AE34" s="175">
        <f>VLOOKUP($E34,'集計16-E'!$E$9:AF$90,'集計16-E'!$AE$7-$D$7,0)+VLOOKUP($E34,'集計F-15'!$E$9:AF$90,'集計F-15'!$AE$7-$D$7,0)</f>
        <v>0</v>
      </c>
      <c r="AF34" s="433">
        <f>VLOOKUP($E34,'集計16-E'!$E$9:AF$90,'集計16-E'!$AF$7-$D$7,0)+VLOOKUP($E34,'集計F-15'!$E$9:AF$90,'集計F-15'!$AF$7-$D$7,0)</f>
        <v>0</v>
      </c>
    </row>
    <row r="35" spans="1:32">
      <c r="A35" s="474" t="str">
        <f>IF(SUMIFS($G35:$AF35,$G$8:$AF$8,"金額",$G35:$AF35,"&gt;0")-SUMIFS($G35:$AF35,$G$8:$AF$8,"金額",$G35:$AF35,"&lt;0")&lt;=0,"",MAX($A$8:$A34)+1)</f>
        <v/>
      </c>
      <c r="B35" s="802"/>
      <c r="C35" s="245" t="str">
        <f t="shared" si="0"/>
        <v>商品</v>
      </c>
      <c r="D35" s="245">
        <v>27</v>
      </c>
      <c r="E35" s="590" t="str">
        <f>IF($F35&lt;&gt;"",INDEX(ﾏｽﾀ!$D$8:$D$124,MATCH(INDEX(ﾏｽﾀ!$N$8:$N$124,MATCH($F35,ﾏｽﾀ!$O$8:$O$124,0)),ﾏｽﾀ!$B$8:$B$124,0))&amp;"","")</f>
        <v>64000</v>
      </c>
      <c r="F35" s="589" t="str">
        <f>ﾏｽﾀ!$R34&amp;""</f>
        <v>株式会社シービーエー</v>
      </c>
      <c r="G35" s="632">
        <f>VLOOKUP($E35,'集計16-E'!$E$9:$AF$90,'集計16-E'!$G$7-$D$7,FALSE)+VLOOKUP($E35,'集計F-15'!$E$9:$AF$90,'集計F-15'!$G$7-$D$7,FALSE)-INDEX($J$9:$J$90,MATCH($E35,$E$9:$E$90,0))</f>
        <v>0</v>
      </c>
      <c r="H35" s="633">
        <f>VLOOKUP($E35,'集計16-E'!$E$9:$AF$90,'集計16-E'!$H$7-$D$7,FALSE)+VLOOKUP($E35,'集計F-15'!$E$9:$AF$90,'集計F-15'!$H$7-$D$7,FALSE)-INDEX($K$9:$K$90,MATCH($E35,$E$9:$E$90,0))</f>
        <v>0</v>
      </c>
      <c r="I35" s="345"/>
      <c r="J35" s="126">
        <f>SUMIF(請求Data!$F$11:$F$160,CONCATENATE(VLOOKUP(G$5,$G$1:$H$4,2,FALSE),$E35,1,2),請求Data!$AF$11:$AF$160)</f>
        <v>0</v>
      </c>
      <c r="K35" s="127">
        <f>SUMIF(請求Data!$F$11:$F$160,CONCATENATE(VLOOKUP(G$5,$G$1:$H$4,2,FALSE),$E35,1,2),請求Data!$AG$11:$AG$160)</f>
        <v>0</v>
      </c>
      <c r="L35" s="345"/>
      <c r="M35" s="175">
        <f>VLOOKUP($E35,'集計16-E'!$E$9:$AF$90,'集計16-E'!$M$7-$D$7,FALSE)+VLOOKUP($E35,'集計F-15'!$E$9:$AF$90,'集計F-15'!$M$7-$D$7,FALSE)</f>
        <v>0</v>
      </c>
      <c r="N35" s="432">
        <f>VLOOKUP($E35,'集計16-E'!$E$9:$AF$90,'集計16-E'!$N$7-$D$7,FALSE)+VLOOKUP($E35,'集計F-15'!$E$9:$AF$90,'集計F-15'!$N$7-$D$7,FALSE)</f>
        <v>0</v>
      </c>
      <c r="O35" s="345"/>
      <c r="P35" s="644">
        <f>VLOOKUP($E35,'集計16-E'!$E$9:$AF$90,'集計16-E'!$P$7-$D$7,FALSE)+VLOOKUP($E35,'集計F-15'!$E$9:$AF$90,'集計F-15'!$P$7-$D$7,FALSE)-$S35</f>
        <v>0</v>
      </c>
      <c r="Q35" s="645">
        <f>VLOOKUP($E35,'集計16-E'!$E$9:$AF$90,'集計16-E'!$Q$7-$D$7,FALSE)+VLOOKUP($E35,'集計F-15'!$E$9:$AF$90,'集計F-15'!$Q$7-$D$7,FALSE)-$T35</f>
        <v>0</v>
      </c>
      <c r="R35" s="345"/>
      <c r="S35" s="175">
        <f>SUMIF(請求Data!$F$11:$F$160,CONCATENATE(VLOOKUP(P$5,$G$1:$H$4,2,FALSE),$E35,1,2),請求Data!$AF$11:$AF$160)</f>
        <v>0</v>
      </c>
      <c r="T35" s="177">
        <f>SUMIF(請求Data!$F$11:$F$160,CONCATENATE(VLOOKUP(P$5,$G$1:$H$4,2,FALSE),$E35,1,2),請求Data!$AG$11:$AG$160)</f>
        <v>0</v>
      </c>
      <c r="U35" s="345"/>
      <c r="V35" s="175">
        <f>VLOOKUP($E35,'集計16-E'!$E$9:$AF$90,'集計16-E'!$V$7-$D$7,0)+VLOOKUP($E35,'集計F-15'!$E$9:$AF$90,'集計F-15'!$V$7-$D$7,0)</f>
        <v>0</v>
      </c>
      <c r="W35" s="433">
        <f>VLOOKUP($E35,'集計16-E'!$E$9:$AF$90,'集計16-E'!$W$7-$D$7,0)+VLOOKUP($E35,'集計F-15'!$E$9:$AF$90,'集計F-15'!$W$7-$D$7,0)</f>
        <v>0</v>
      </c>
      <c r="X35" s="345"/>
      <c r="Y35" s="644">
        <f>VLOOKUP($E35,'集計16-E'!$E$9:AF$90,'集計16-E'!$Y$7-$D$7,0)+VLOOKUP($E35,'集計F-15'!$E$9:AF$90,'集計F-15'!$Y$7-$D$7,0)-$AB35</f>
        <v>0</v>
      </c>
      <c r="Z35" s="645">
        <f>VLOOKUP($E35,'集計16-E'!$E$9:AF$90,'集計16-E'!$Z$7-$D$7,0)+VLOOKUP($E35,'集計F-15'!$E$9:AF$90,'集計F-15'!$Z$7-$D$7,0)-$AC35</f>
        <v>0</v>
      </c>
      <c r="AA35" s="345"/>
      <c r="AB35" s="175">
        <f>SUMIF(請求Data!$F$11:$F$160,CONCATENATE(VLOOKUP(Y$5,$G$1:$H$4,2,FALSE),$E35,1,2),請求Data!$AF$11:$AF$160)</f>
        <v>0</v>
      </c>
      <c r="AC35" s="177">
        <f>SUMIF(請求Data!$F$11:$F$160,CONCATENATE(VLOOKUP(Y$5,$G$1:$H$4,2,FALSE),$E35,1,2),請求Data!$AG$11:$AG$160)</f>
        <v>0</v>
      </c>
      <c r="AD35" s="345"/>
      <c r="AE35" s="175">
        <f>VLOOKUP($E35,'集計16-E'!$E$9:AF$90,'集計16-E'!$AE$7-$D$7,0)+VLOOKUP($E35,'集計F-15'!$E$9:AF$90,'集計F-15'!$AE$7-$D$7,0)</f>
        <v>0</v>
      </c>
      <c r="AF35" s="433">
        <f>VLOOKUP($E35,'集計16-E'!$E$9:AF$90,'集計16-E'!$AF$7-$D$7,0)+VLOOKUP($E35,'集計F-15'!$E$9:AF$90,'集計F-15'!$AF$7-$D$7,0)</f>
        <v>0</v>
      </c>
    </row>
    <row r="36" spans="1:32">
      <c r="A36" s="474" t="str">
        <f>IF(SUMIFS($G36:$AF36,$G$8:$AF$8,"金額",$G36:$AF36,"&gt;0")-SUMIFS($G36:$AF36,$G$8:$AF$8,"金額",$G36:$AF36,"&lt;0")&lt;=0,"",MAX($A$8:$A35)+1)</f>
        <v/>
      </c>
      <c r="B36" s="802"/>
      <c r="C36" s="245" t="str">
        <f t="shared" si="0"/>
        <v>商品</v>
      </c>
      <c r="D36" s="245">
        <v>28</v>
      </c>
      <c r="E36" s="590" t="str">
        <f>IF($F36&lt;&gt;"",INDEX(ﾏｽﾀ!$D$8:$D$124,MATCH(INDEX(ﾏｽﾀ!$N$8:$N$124,MATCH($F36,ﾏｽﾀ!$O$8:$O$124,0)),ﾏｽﾀ!$B$8:$B$124,0))&amp;"","")</f>
        <v>65000</v>
      </c>
      <c r="F36" s="589" t="str">
        <f>ﾏｽﾀ!$R35&amp;""</f>
        <v>石川玩具株式会社</v>
      </c>
      <c r="G36" s="632">
        <f>VLOOKUP($E36,'集計16-E'!$E$9:$AF$90,'集計16-E'!$G$7-$D$7,FALSE)+VLOOKUP($E36,'集計F-15'!$E$9:$AF$90,'集計F-15'!$G$7-$D$7,FALSE)-INDEX($J$9:$J$90,MATCH($E36,$E$9:$E$90,0))</f>
        <v>0</v>
      </c>
      <c r="H36" s="633">
        <f>VLOOKUP($E36,'集計16-E'!$E$9:$AF$90,'集計16-E'!$H$7-$D$7,FALSE)+VLOOKUP($E36,'集計F-15'!$E$9:$AF$90,'集計F-15'!$H$7-$D$7,FALSE)-INDEX($K$9:$K$90,MATCH($E36,$E$9:$E$90,0))</f>
        <v>0</v>
      </c>
      <c r="I36" s="345"/>
      <c r="J36" s="126">
        <f>SUMIF(請求Data!$F$11:$F$160,CONCATENATE(VLOOKUP(G$5,$G$1:$H$4,2,FALSE),$E36,1,2),請求Data!$AF$11:$AF$160)</f>
        <v>0</v>
      </c>
      <c r="K36" s="127">
        <f>SUMIF(請求Data!$F$11:$F$160,CONCATENATE(VLOOKUP(G$5,$G$1:$H$4,2,FALSE),$E36,1,2),請求Data!$AG$11:$AG$160)</f>
        <v>0</v>
      </c>
      <c r="L36" s="345"/>
      <c r="M36" s="175">
        <f>VLOOKUP($E36,'集計16-E'!$E$9:$AF$90,'集計16-E'!$M$7-$D$7,FALSE)+VLOOKUP($E36,'集計F-15'!$E$9:$AF$90,'集計F-15'!$M$7-$D$7,FALSE)</f>
        <v>0</v>
      </c>
      <c r="N36" s="432">
        <f>VLOOKUP($E36,'集計16-E'!$E$9:$AF$90,'集計16-E'!$N$7-$D$7,FALSE)+VLOOKUP($E36,'集計F-15'!$E$9:$AF$90,'集計F-15'!$N$7-$D$7,FALSE)</f>
        <v>0</v>
      </c>
      <c r="O36" s="345"/>
      <c r="P36" s="644">
        <f>VLOOKUP($E36,'集計16-E'!$E$9:$AF$90,'集計16-E'!$P$7-$D$7,FALSE)+VLOOKUP($E36,'集計F-15'!$E$9:$AF$90,'集計F-15'!$P$7-$D$7,FALSE)-$S36</f>
        <v>0</v>
      </c>
      <c r="Q36" s="645">
        <f>VLOOKUP($E36,'集計16-E'!$E$9:$AF$90,'集計16-E'!$Q$7-$D$7,FALSE)+VLOOKUP($E36,'集計F-15'!$E$9:$AF$90,'集計F-15'!$Q$7-$D$7,FALSE)-$T36</f>
        <v>0</v>
      </c>
      <c r="R36" s="345"/>
      <c r="S36" s="175">
        <f>SUMIF(請求Data!$F$11:$F$160,CONCATENATE(VLOOKUP(P$5,$G$1:$H$4,2,FALSE),$E36,1,2),請求Data!$AF$11:$AF$160)</f>
        <v>0</v>
      </c>
      <c r="T36" s="177">
        <f>SUMIF(請求Data!$F$11:$F$160,CONCATENATE(VLOOKUP(P$5,$G$1:$H$4,2,FALSE),$E36,1,2),請求Data!$AG$11:$AG$160)</f>
        <v>0</v>
      </c>
      <c r="U36" s="345"/>
      <c r="V36" s="175">
        <f>VLOOKUP($E36,'集計16-E'!$E$9:$AF$90,'集計16-E'!$V$7-$D$7,0)+VLOOKUP($E36,'集計F-15'!$E$9:$AF$90,'集計F-15'!$V$7-$D$7,0)</f>
        <v>0</v>
      </c>
      <c r="W36" s="433">
        <f>VLOOKUP($E36,'集計16-E'!$E$9:$AF$90,'集計16-E'!$W$7-$D$7,0)+VLOOKUP($E36,'集計F-15'!$E$9:$AF$90,'集計F-15'!$W$7-$D$7,0)</f>
        <v>0</v>
      </c>
      <c r="X36" s="345"/>
      <c r="Y36" s="644">
        <f>VLOOKUP($E36,'集計16-E'!$E$9:AF$90,'集計16-E'!$Y$7-$D$7,0)+VLOOKUP($E36,'集計F-15'!$E$9:AF$90,'集計F-15'!$Y$7-$D$7,0)-$AB36</f>
        <v>0</v>
      </c>
      <c r="Z36" s="645">
        <f>VLOOKUP($E36,'集計16-E'!$E$9:AF$90,'集計16-E'!$Z$7-$D$7,0)+VLOOKUP($E36,'集計F-15'!$E$9:AF$90,'集計F-15'!$Z$7-$D$7,0)-$AC36</f>
        <v>0</v>
      </c>
      <c r="AA36" s="345"/>
      <c r="AB36" s="175">
        <f>SUMIF(請求Data!$F$11:$F$160,CONCATENATE(VLOOKUP(Y$5,$G$1:$H$4,2,FALSE),$E36,1,2),請求Data!$AF$11:$AF$160)</f>
        <v>0</v>
      </c>
      <c r="AC36" s="177">
        <f>SUMIF(請求Data!$F$11:$F$160,CONCATENATE(VLOOKUP(Y$5,$G$1:$H$4,2,FALSE),$E36,1,2),請求Data!$AG$11:$AG$160)</f>
        <v>0</v>
      </c>
      <c r="AD36" s="345"/>
      <c r="AE36" s="175">
        <f>VLOOKUP($E36,'集計16-E'!$E$9:AF$90,'集計16-E'!$AE$7-$D$7,0)+VLOOKUP($E36,'集計F-15'!$E$9:AF$90,'集計F-15'!$AE$7-$D$7,0)</f>
        <v>0</v>
      </c>
      <c r="AF36" s="433">
        <f>VLOOKUP($E36,'集計16-E'!$E$9:AF$90,'集計16-E'!$AF$7-$D$7,0)+VLOOKUP($E36,'集計F-15'!$E$9:AF$90,'集計F-15'!$AF$7-$D$7,0)</f>
        <v>0</v>
      </c>
    </row>
    <row r="37" spans="1:32">
      <c r="A37" s="474" t="str">
        <f>IF(SUMIFS($G37:$AF37,$G$8:$AF$8,"金額",$G37:$AF37,"&gt;0")-SUMIFS($G37:$AF37,$G$8:$AF$8,"金額",$G37:$AF37,"&lt;0")&lt;=0,"",MAX($A$8:$A36)+1)</f>
        <v/>
      </c>
      <c r="B37" s="802"/>
      <c r="C37" s="245" t="str">
        <f t="shared" si="0"/>
        <v>商品</v>
      </c>
      <c r="D37" s="245">
        <v>29</v>
      </c>
      <c r="E37" s="590" t="str">
        <f>IF($F37&lt;&gt;"",INDEX(ﾏｽﾀ!$D$8:$D$124,MATCH(INDEX(ﾏｽﾀ!$N$8:$N$124,MATCH($F37,ﾏｽﾀ!$O$8:$O$124,0)),ﾏｽﾀ!$B$8:$B$124,0))&amp;"","")</f>
        <v>66000</v>
      </c>
      <c r="F37" s="589" t="str">
        <f>ﾏｽﾀ!$R36&amp;""</f>
        <v>日本食材株式会社</v>
      </c>
      <c r="G37" s="632">
        <f>VLOOKUP($E37,'集計16-E'!$E$9:$AF$90,'集計16-E'!$G$7-$D$7,FALSE)+VLOOKUP($E37,'集計F-15'!$E$9:$AF$90,'集計F-15'!$G$7-$D$7,FALSE)-INDEX($J$9:$J$90,MATCH($E37,$E$9:$E$90,0))</f>
        <v>0</v>
      </c>
      <c r="H37" s="633">
        <f>VLOOKUP($E37,'集計16-E'!$E$9:$AF$90,'集計16-E'!$H$7-$D$7,FALSE)+VLOOKUP($E37,'集計F-15'!$E$9:$AF$90,'集計F-15'!$H$7-$D$7,FALSE)-INDEX($K$9:$K$90,MATCH($E37,$E$9:$E$90,0))</f>
        <v>0</v>
      </c>
      <c r="I37" s="345"/>
      <c r="J37" s="126">
        <f>SUMIF(請求Data!$F$11:$F$160,CONCATENATE(VLOOKUP(G$5,$G$1:$H$4,2,FALSE),$E37,1,2),請求Data!$AF$11:$AF$160)</f>
        <v>0</v>
      </c>
      <c r="K37" s="127">
        <f>SUMIF(請求Data!$F$11:$F$160,CONCATENATE(VLOOKUP(G$5,$G$1:$H$4,2,FALSE),$E37,1,2),請求Data!$AG$11:$AG$160)</f>
        <v>0</v>
      </c>
      <c r="L37" s="345"/>
      <c r="M37" s="175">
        <f>VLOOKUP($E37,'集計16-E'!$E$9:$AF$90,'集計16-E'!$M$7-$D$7,FALSE)+VLOOKUP($E37,'集計F-15'!$E$9:$AF$90,'集計F-15'!$M$7-$D$7,FALSE)</f>
        <v>0</v>
      </c>
      <c r="N37" s="432">
        <f>VLOOKUP($E37,'集計16-E'!$E$9:$AF$90,'集計16-E'!$N$7-$D$7,FALSE)+VLOOKUP($E37,'集計F-15'!$E$9:$AF$90,'集計F-15'!$N$7-$D$7,FALSE)</f>
        <v>0</v>
      </c>
      <c r="O37" s="345"/>
      <c r="P37" s="644">
        <f>VLOOKUP($E37,'集計16-E'!$E$9:$AF$90,'集計16-E'!$P$7-$D$7,FALSE)+VLOOKUP($E37,'集計F-15'!$E$9:$AF$90,'集計F-15'!$P$7-$D$7,FALSE)-$S37</f>
        <v>0</v>
      </c>
      <c r="Q37" s="645">
        <f>VLOOKUP($E37,'集計16-E'!$E$9:$AF$90,'集計16-E'!$Q$7-$D$7,FALSE)+VLOOKUP($E37,'集計F-15'!$E$9:$AF$90,'集計F-15'!$Q$7-$D$7,FALSE)-$T37</f>
        <v>0</v>
      </c>
      <c r="R37" s="345"/>
      <c r="S37" s="175">
        <f>SUMIF(請求Data!$F$11:$F$160,CONCATENATE(VLOOKUP(P$5,$G$1:$H$4,2,FALSE),$E37,1,2),請求Data!$AF$11:$AF$160)</f>
        <v>0</v>
      </c>
      <c r="T37" s="177">
        <f>SUMIF(請求Data!$F$11:$F$160,CONCATENATE(VLOOKUP(P$5,$G$1:$H$4,2,FALSE),$E37,1,2),請求Data!$AG$11:$AG$160)</f>
        <v>0</v>
      </c>
      <c r="U37" s="345"/>
      <c r="V37" s="175">
        <f>VLOOKUP($E37,'集計16-E'!$E$9:$AF$90,'集計16-E'!$V$7-$D$7,0)+VLOOKUP($E37,'集計F-15'!$E$9:$AF$90,'集計F-15'!$V$7-$D$7,0)</f>
        <v>0</v>
      </c>
      <c r="W37" s="433">
        <f>VLOOKUP($E37,'集計16-E'!$E$9:$AF$90,'集計16-E'!$W$7-$D$7,0)+VLOOKUP($E37,'集計F-15'!$E$9:$AF$90,'集計F-15'!$W$7-$D$7,0)</f>
        <v>0</v>
      </c>
      <c r="X37" s="345"/>
      <c r="Y37" s="644">
        <f>VLOOKUP($E37,'集計16-E'!$E$9:AF$90,'集計16-E'!$Y$7-$D$7,0)+VLOOKUP($E37,'集計F-15'!$E$9:AF$90,'集計F-15'!$Y$7-$D$7,0)-$AB37</f>
        <v>0</v>
      </c>
      <c r="Z37" s="645">
        <f>VLOOKUP($E37,'集計16-E'!$E$9:AF$90,'集計16-E'!$Z$7-$D$7,0)+VLOOKUP($E37,'集計F-15'!$E$9:AF$90,'集計F-15'!$Z$7-$D$7,0)-$AC37</f>
        <v>0</v>
      </c>
      <c r="AA37" s="345"/>
      <c r="AB37" s="175">
        <f>SUMIF(請求Data!$F$11:$F$160,CONCATENATE(VLOOKUP(Y$5,$G$1:$H$4,2,FALSE),$E37,1,2),請求Data!$AF$11:$AF$160)</f>
        <v>0</v>
      </c>
      <c r="AC37" s="177">
        <f>SUMIF(請求Data!$F$11:$F$160,CONCATENATE(VLOOKUP(Y$5,$G$1:$H$4,2,FALSE),$E37,1,2),請求Data!$AG$11:$AG$160)</f>
        <v>0</v>
      </c>
      <c r="AD37" s="345"/>
      <c r="AE37" s="175">
        <f>VLOOKUP($E37,'集計16-E'!$E$9:AF$90,'集計16-E'!$AE$7-$D$7,0)+VLOOKUP($E37,'集計F-15'!$E$9:AF$90,'集計F-15'!$AE$7-$D$7,0)</f>
        <v>0</v>
      </c>
      <c r="AF37" s="433">
        <f>VLOOKUP($E37,'集計16-E'!$E$9:AF$90,'集計16-E'!$AF$7-$D$7,0)+VLOOKUP($E37,'集計F-15'!$E$9:AF$90,'集計F-15'!$AF$7-$D$7,0)</f>
        <v>0</v>
      </c>
    </row>
    <row r="38" spans="1:32">
      <c r="A38" s="474" t="str">
        <f>IF(SUMIFS($G38:$AF38,$G$8:$AF$8,"金額",$G38:$AF38,"&gt;0")-SUMIFS($G38:$AF38,$G$8:$AF$8,"金額",$G38:$AF38,"&lt;0")&lt;=0,"",MAX($A$8:$A37)+1)</f>
        <v/>
      </c>
      <c r="B38" s="802"/>
      <c r="C38" s="245" t="str">
        <f t="shared" si="0"/>
        <v>商品</v>
      </c>
      <c r="D38" s="245">
        <v>30</v>
      </c>
      <c r="E38" s="590" t="str">
        <f>IF($F38&lt;&gt;"",INDEX(ﾏｽﾀ!$D$8:$D$124,MATCH(INDEX(ﾏｽﾀ!$N$8:$N$124,MATCH($F38,ﾏｽﾀ!$O$8:$O$124,0)),ﾏｽﾀ!$B$8:$B$124,0))&amp;"","")</f>
        <v>67000</v>
      </c>
      <c r="F38" s="589" t="str">
        <f>ﾏｽﾀ!$R37&amp;""</f>
        <v>加藤製菓株式会社</v>
      </c>
      <c r="G38" s="632">
        <f>VLOOKUP($E38,'集計16-E'!$E$9:$AF$90,'集計16-E'!$G$7-$D$7,FALSE)+VLOOKUP($E38,'集計F-15'!$E$9:$AF$90,'集計F-15'!$G$7-$D$7,FALSE)-INDEX($J$9:$J$90,MATCH($E38,$E$9:$E$90,0))</f>
        <v>0</v>
      </c>
      <c r="H38" s="633">
        <f>VLOOKUP($E38,'集計16-E'!$E$9:$AF$90,'集計16-E'!$H$7-$D$7,FALSE)+VLOOKUP($E38,'集計F-15'!$E$9:$AF$90,'集計F-15'!$H$7-$D$7,FALSE)-INDEX($K$9:$K$90,MATCH($E38,$E$9:$E$90,0))</f>
        <v>0</v>
      </c>
      <c r="I38" s="345"/>
      <c r="J38" s="126">
        <f>SUMIF(請求Data!$F$11:$F$160,CONCATENATE(VLOOKUP(G$5,$G$1:$H$4,2,FALSE),$E38,1,2),請求Data!$AF$11:$AF$160)</f>
        <v>0</v>
      </c>
      <c r="K38" s="127">
        <f>SUMIF(請求Data!$F$11:$F$160,CONCATENATE(VLOOKUP(G$5,$G$1:$H$4,2,FALSE),$E38,1,2),請求Data!$AG$11:$AG$160)</f>
        <v>0</v>
      </c>
      <c r="L38" s="345"/>
      <c r="M38" s="175">
        <f>VLOOKUP($E38,'集計16-E'!$E$9:$AF$90,'集計16-E'!$M$7-$D$7,FALSE)+VLOOKUP($E38,'集計F-15'!$E$9:$AF$90,'集計F-15'!$M$7-$D$7,FALSE)</f>
        <v>0</v>
      </c>
      <c r="N38" s="432">
        <f>VLOOKUP($E38,'集計16-E'!$E$9:$AF$90,'集計16-E'!$N$7-$D$7,FALSE)+VLOOKUP($E38,'集計F-15'!$E$9:$AF$90,'集計F-15'!$N$7-$D$7,FALSE)</f>
        <v>0</v>
      </c>
      <c r="O38" s="345"/>
      <c r="P38" s="644">
        <f>VLOOKUP($E38,'集計16-E'!$E$9:$AF$90,'集計16-E'!$P$7-$D$7,FALSE)+VLOOKUP($E38,'集計F-15'!$E$9:$AF$90,'集計F-15'!$P$7-$D$7,FALSE)-$S38</f>
        <v>0</v>
      </c>
      <c r="Q38" s="645">
        <f>VLOOKUP($E38,'集計16-E'!$E$9:$AF$90,'集計16-E'!$Q$7-$D$7,FALSE)+VLOOKUP($E38,'集計F-15'!$E$9:$AF$90,'集計F-15'!$Q$7-$D$7,FALSE)-$T38</f>
        <v>0</v>
      </c>
      <c r="R38" s="345"/>
      <c r="S38" s="175">
        <f>SUMIF(請求Data!$F$11:$F$160,CONCATENATE(VLOOKUP(P$5,$G$1:$H$4,2,FALSE),$E38,1,2),請求Data!$AF$11:$AF$160)</f>
        <v>0</v>
      </c>
      <c r="T38" s="177">
        <f>SUMIF(請求Data!$F$11:$F$160,CONCATENATE(VLOOKUP(P$5,$G$1:$H$4,2,FALSE),$E38,1,2),請求Data!$AG$11:$AG$160)</f>
        <v>0</v>
      </c>
      <c r="U38" s="345"/>
      <c r="V38" s="175">
        <f>VLOOKUP($E38,'集計16-E'!$E$9:$AF$90,'集計16-E'!$V$7-$D$7,0)+VLOOKUP($E38,'集計F-15'!$E$9:$AF$90,'集計F-15'!$V$7-$D$7,0)</f>
        <v>0</v>
      </c>
      <c r="W38" s="433">
        <f>VLOOKUP($E38,'集計16-E'!$E$9:$AF$90,'集計16-E'!$W$7-$D$7,0)+VLOOKUP($E38,'集計F-15'!$E$9:$AF$90,'集計F-15'!$W$7-$D$7,0)</f>
        <v>0</v>
      </c>
      <c r="X38" s="345"/>
      <c r="Y38" s="644">
        <f>VLOOKUP($E38,'集計16-E'!$E$9:AF$90,'集計16-E'!$Y$7-$D$7,0)+VLOOKUP($E38,'集計F-15'!$E$9:AF$90,'集計F-15'!$Y$7-$D$7,0)-$AB38</f>
        <v>0</v>
      </c>
      <c r="Z38" s="645">
        <f>VLOOKUP($E38,'集計16-E'!$E$9:AF$90,'集計16-E'!$Z$7-$D$7,0)+VLOOKUP($E38,'集計F-15'!$E$9:AF$90,'集計F-15'!$Z$7-$D$7,0)-$AC38</f>
        <v>0</v>
      </c>
      <c r="AA38" s="345"/>
      <c r="AB38" s="175">
        <f>SUMIF(請求Data!$F$11:$F$160,CONCATENATE(VLOOKUP(Y$5,$G$1:$H$4,2,FALSE),$E38,1,2),請求Data!$AF$11:$AF$160)</f>
        <v>0</v>
      </c>
      <c r="AC38" s="177">
        <f>SUMIF(請求Data!$F$11:$F$160,CONCATENATE(VLOOKUP(Y$5,$G$1:$H$4,2,FALSE),$E38,1,2),請求Data!$AG$11:$AG$160)</f>
        <v>0</v>
      </c>
      <c r="AD38" s="345"/>
      <c r="AE38" s="175">
        <f>VLOOKUP($E38,'集計16-E'!$E$9:AF$90,'集計16-E'!$AE$7-$D$7,0)+VLOOKUP($E38,'集計F-15'!$E$9:AF$90,'集計F-15'!$AE$7-$D$7,0)</f>
        <v>0</v>
      </c>
      <c r="AF38" s="433">
        <f>VLOOKUP($E38,'集計16-E'!$E$9:AF$90,'集計16-E'!$AF$7-$D$7,0)+VLOOKUP($E38,'集計F-15'!$E$9:AF$90,'集計F-15'!$AF$7-$D$7,0)</f>
        <v>0</v>
      </c>
    </row>
    <row r="39" spans="1:32">
      <c r="A39" s="474" t="str">
        <f>IF(SUMIFS($G39:$AF39,$G$8:$AF$8,"金額",$G39:$AF39,"&gt;0")-SUMIFS($G39:$AF39,$G$8:$AF$8,"金額",$G39:$AF39,"&lt;0")&lt;=0,"",MAX($A$8:$A38)+1)</f>
        <v/>
      </c>
      <c r="B39" s="802"/>
      <c r="C39" s="245" t="str">
        <f t="shared" si="0"/>
        <v>商品</v>
      </c>
      <c r="D39" s="245">
        <v>31</v>
      </c>
      <c r="E39" s="590" t="str">
        <f>IF($F39&lt;&gt;"",INDEX(ﾏｽﾀ!$D$8:$D$124,MATCH(INDEX(ﾏｽﾀ!$N$8:$N$124,MATCH($F39,ﾏｽﾀ!$O$8:$O$124,0)),ﾏｽﾀ!$B$8:$B$124,0))&amp;"","")</f>
        <v>68000</v>
      </c>
      <c r="F39" s="589" t="str">
        <f>ﾏｽﾀ!$R38&amp;""</f>
        <v>株式会社サンライズ</v>
      </c>
      <c r="G39" s="632">
        <f>VLOOKUP($E39,'集計16-E'!$E$9:$AF$90,'集計16-E'!$G$7-$D$7,FALSE)+VLOOKUP($E39,'集計F-15'!$E$9:$AF$90,'集計F-15'!$G$7-$D$7,FALSE)-INDEX($J$9:$J$90,MATCH($E39,$E$9:$E$90,0))</f>
        <v>0</v>
      </c>
      <c r="H39" s="633">
        <f>VLOOKUP($E39,'集計16-E'!$E$9:$AF$90,'集計16-E'!$H$7-$D$7,FALSE)+VLOOKUP($E39,'集計F-15'!$E$9:$AF$90,'集計F-15'!$H$7-$D$7,FALSE)-INDEX($K$9:$K$90,MATCH($E39,$E$9:$E$90,0))</f>
        <v>0</v>
      </c>
      <c r="I39" s="345"/>
      <c r="J39" s="126">
        <f>SUMIF(請求Data!$F$11:$F$160,CONCATENATE(VLOOKUP(G$5,$G$1:$H$4,2,FALSE),$E39,1,2),請求Data!$AF$11:$AF$160)</f>
        <v>0</v>
      </c>
      <c r="K39" s="127">
        <f>SUMIF(請求Data!$F$11:$F$160,CONCATENATE(VLOOKUP(G$5,$G$1:$H$4,2,FALSE),$E39,1,2),請求Data!$AG$11:$AG$160)</f>
        <v>0</v>
      </c>
      <c r="L39" s="345"/>
      <c r="M39" s="175">
        <f>VLOOKUP($E39,'集計16-E'!$E$9:$AF$90,'集計16-E'!$M$7-$D$7,FALSE)+VLOOKUP($E39,'集計F-15'!$E$9:$AF$90,'集計F-15'!$M$7-$D$7,FALSE)</f>
        <v>0</v>
      </c>
      <c r="N39" s="432">
        <f>VLOOKUP($E39,'集計16-E'!$E$9:$AF$90,'集計16-E'!$N$7-$D$7,FALSE)+VLOOKUP($E39,'集計F-15'!$E$9:$AF$90,'集計F-15'!$N$7-$D$7,FALSE)</f>
        <v>0</v>
      </c>
      <c r="O39" s="345"/>
      <c r="P39" s="644">
        <f>VLOOKUP($E39,'集計16-E'!$E$9:$AF$90,'集計16-E'!$P$7-$D$7,FALSE)+VLOOKUP($E39,'集計F-15'!$E$9:$AF$90,'集計F-15'!$P$7-$D$7,FALSE)-$S39</f>
        <v>0</v>
      </c>
      <c r="Q39" s="645">
        <f>VLOOKUP($E39,'集計16-E'!$E$9:$AF$90,'集計16-E'!$Q$7-$D$7,FALSE)+VLOOKUP($E39,'集計F-15'!$E$9:$AF$90,'集計F-15'!$Q$7-$D$7,FALSE)-$T39</f>
        <v>0</v>
      </c>
      <c r="R39" s="345"/>
      <c r="S39" s="175">
        <f>SUMIF(請求Data!$F$11:$F$160,CONCATENATE(VLOOKUP(P$5,$G$1:$H$4,2,FALSE),$E39,1,2),請求Data!$AF$11:$AF$160)</f>
        <v>0</v>
      </c>
      <c r="T39" s="177">
        <f>SUMIF(請求Data!$F$11:$F$160,CONCATENATE(VLOOKUP(P$5,$G$1:$H$4,2,FALSE),$E39,1,2),請求Data!$AG$11:$AG$160)</f>
        <v>0</v>
      </c>
      <c r="U39" s="345"/>
      <c r="V39" s="175">
        <f>VLOOKUP($E39,'集計16-E'!$E$9:$AF$90,'集計16-E'!$V$7-$D$7,0)+VLOOKUP($E39,'集計F-15'!$E$9:$AF$90,'集計F-15'!$V$7-$D$7,0)</f>
        <v>0</v>
      </c>
      <c r="W39" s="433">
        <f>VLOOKUP($E39,'集計16-E'!$E$9:$AF$90,'集計16-E'!$W$7-$D$7,0)+VLOOKUP($E39,'集計F-15'!$E$9:$AF$90,'集計F-15'!$W$7-$D$7,0)</f>
        <v>0</v>
      </c>
      <c r="X39" s="345"/>
      <c r="Y39" s="644">
        <f>VLOOKUP($E39,'集計16-E'!$E$9:AF$90,'集計16-E'!$Y$7-$D$7,0)+VLOOKUP($E39,'集計F-15'!$E$9:AF$90,'集計F-15'!$Y$7-$D$7,0)-$AB39</f>
        <v>0</v>
      </c>
      <c r="Z39" s="645">
        <f>VLOOKUP($E39,'集計16-E'!$E$9:AF$90,'集計16-E'!$Z$7-$D$7,0)+VLOOKUP($E39,'集計F-15'!$E$9:AF$90,'集計F-15'!$Z$7-$D$7,0)-$AC39</f>
        <v>0</v>
      </c>
      <c r="AA39" s="345"/>
      <c r="AB39" s="175">
        <f>SUMIF(請求Data!$F$11:$F$160,CONCATENATE(VLOOKUP(Y$5,$G$1:$H$4,2,FALSE),$E39,1,2),請求Data!$AF$11:$AF$160)</f>
        <v>0</v>
      </c>
      <c r="AC39" s="177">
        <f>SUMIF(請求Data!$F$11:$F$160,CONCATENATE(VLOOKUP(Y$5,$G$1:$H$4,2,FALSE),$E39,1,2),請求Data!$AG$11:$AG$160)</f>
        <v>0</v>
      </c>
      <c r="AD39" s="345"/>
      <c r="AE39" s="175">
        <f>VLOOKUP($E39,'集計16-E'!$E$9:AF$90,'集計16-E'!$AE$7-$D$7,0)+VLOOKUP($E39,'集計F-15'!$E$9:AF$90,'集計F-15'!$AE$7-$D$7,0)</f>
        <v>0</v>
      </c>
      <c r="AF39" s="433">
        <f>VLOOKUP($E39,'集計16-E'!$E$9:AF$90,'集計16-E'!$AF$7-$D$7,0)+VLOOKUP($E39,'集計F-15'!$E$9:AF$90,'集計F-15'!$AF$7-$D$7,0)</f>
        <v>0</v>
      </c>
    </row>
    <row r="40" spans="1:32">
      <c r="A40" s="474">
        <f>IF(SUMIFS($G40:$AF40,$G$8:$AF$8,"金額",$G40:$AF40,"&gt;0")-SUMIFS($G40:$AF40,$G$8:$AF$8,"金額",$G40:$AF40,"&lt;0")&lt;=0,"",MAX($A$8:$A39)+1)</f>
        <v>8</v>
      </c>
      <c r="B40" s="802"/>
      <c r="C40" s="245" t="str">
        <f t="shared" si="0"/>
        <v>商品8</v>
      </c>
      <c r="D40" s="245">
        <v>32</v>
      </c>
      <c r="E40" s="590" t="str">
        <f>IF($F40&lt;&gt;"",INDEX(ﾏｽﾀ!$D$8:$D$124,MATCH(INDEX(ﾏｽﾀ!$N$8:$N$124,MATCH($F40,ﾏｽﾀ!$O$8:$O$124,0)),ﾏｽﾀ!$B$8:$B$124,0))&amp;"","")</f>
        <v>69000</v>
      </c>
      <c r="F40" s="589" t="str">
        <f>ﾏｽﾀ!$R39&amp;""</f>
        <v>株式会社ナムコ</v>
      </c>
      <c r="G40" s="632">
        <f>VLOOKUP($E40,'集計16-E'!$E$9:$AF$90,'集計16-E'!$G$7-$D$7,FALSE)+VLOOKUP($E40,'集計F-15'!$E$9:$AF$90,'集計F-15'!$G$7-$D$7,FALSE)-INDEX($J$9:$J$90,MATCH($E40,$E$9:$E$90,0))</f>
        <v>0</v>
      </c>
      <c r="H40" s="633">
        <f>VLOOKUP($E40,'集計16-E'!$E$9:$AF$90,'集計16-E'!$H$7-$D$7,FALSE)+VLOOKUP($E40,'集計F-15'!$E$9:$AF$90,'集計F-15'!$H$7-$D$7,FALSE)-INDEX($K$9:$K$90,MATCH($E40,$E$9:$E$90,0))</f>
        <v>0</v>
      </c>
      <c r="I40" s="345"/>
      <c r="J40" s="126">
        <f>SUMIF(請求Data!$F$11:$F$160,CONCATENATE(VLOOKUP(G$5,$G$1:$H$4,2,FALSE),$E40,1,2),請求Data!$AF$11:$AF$160)</f>
        <v>0</v>
      </c>
      <c r="K40" s="127">
        <f>SUMIF(請求Data!$F$11:$F$160,CONCATENATE(VLOOKUP(G$5,$G$1:$H$4,2,FALSE),$E40,1,2),請求Data!$AG$11:$AG$160)</f>
        <v>0</v>
      </c>
      <c r="L40" s="345"/>
      <c r="M40" s="175">
        <f>VLOOKUP($E40,'集計16-E'!$E$9:$AF$90,'集計16-E'!$M$7-$D$7,FALSE)+VLOOKUP($E40,'集計F-15'!$E$9:$AF$90,'集計F-15'!$M$7-$D$7,FALSE)</f>
        <v>0</v>
      </c>
      <c r="N40" s="432">
        <f>VLOOKUP($E40,'集計16-E'!$E$9:$AF$90,'集計16-E'!$N$7-$D$7,FALSE)+VLOOKUP($E40,'集計F-15'!$E$9:$AF$90,'集計F-15'!$N$7-$D$7,FALSE)</f>
        <v>0</v>
      </c>
      <c r="O40" s="345"/>
      <c r="P40" s="644">
        <f>VLOOKUP($E40,'集計16-E'!$E$9:$AF$90,'集計16-E'!$P$7-$D$7,FALSE)+VLOOKUP($E40,'集計F-15'!$E$9:$AF$90,'集計F-15'!$P$7-$D$7,FALSE)-$S40</f>
        <v>1</v>
      </c>
      <c r="Q40" s="645">
        <f>VLOOKUP($E40,'集計16-E'!$E$9:$AF$90,'集計16-E'!$Q$7-$D$7,FALSE)+VLOOKUP($E40,'集計F-15'!$E$9:$AF$90,'集計F-15'!$Q$7-$D$7,FALSE)-$T40</f>
        <v>204210.21</v>
      </c>
      <c r="R40" s="345"/>
      <c r="S40" s="175">
        <f>SUMIF(請求Data!$F$11:$F$160,CONCATENATE(VLOOKUP(P$5,$G$1:$H$4,2,FALSE),$E40,1,2),請求Data!$AF$11:$AF$160)</f>
        <v>0</v>
      </c>
      <c r="T40" s="177">
        <f>SUMIF(請求Data!$F$11:$F$160,CONCATENATE(VLOOKUP(P$5,$G$1:$H$4,2,FALSE),$E40,1,2),請求Data!$AG$11:$AG$160)</f>
        <v>0</v>
      </c>
      <c r="U40" s="345"/>
      <c r="V40" s="175">
        <f>VLOOKUP($E40,'集計16-E'!$E$9:$AF$90,'集計16-E'!$V$7-$D$7,0)+VLOOKUP($E40,'集計F-15'!$E$9:$AF$90,'集計F-15'!$V$7-$D$7,0)</f>
        <v>0</v>
      </c>
      <c r="W40" s="433">
        <f>VLOOKUP($E40,'集計16-E'!$E$9:$AF$90,'集計16-E'!$W$7-$D$7,0)+VLOOKUP($E40,'集計F-15'!$E$9:$AF$90,'集計F-15'!$W$7-$D$7,0)</f>
        <v>0</v>
      </c>
      <c r="X40" s="345"/>
      <c r="Y40" s="644">
        <f>VLOOKUP($E40,'集計16-E'!$E$9:AF$90,'集計16-E'!$Y$7-$D$7,0)+VLOOKUP($E40,'集計F-15'!$E$9:AF$90,'集計F-15'!$Y$7-$D$7,0)-$AB40</f>
        <v>0</v>
      </c>
      <c r="Z40" s="645">
        <f>VLOOKUP($E40,'集計16-E'!$E$9:AF$90,'集計16-E'!$Z$7-$D$7,0)+VLOOKUP($E40,'集計F-15'!$E$9:AF$90,'集計F-15'!$Z$7-$D$7,0)-$AC40</f>
        <v>0</v>
      </c>
      <c r="AA40" s="345"/>
      <c r="AB40" s="175">
        <f>SUMIF(請求Data!$F$11:$F$160,CONCATENATE(VLOOKUP(Y$5,$G$1:$H$4,2,FALSE),$E40,1,2),請求Data!$AF$11:$AF$160)</f>
        <v>0</v>
      </c>
      <c r="AC40" s="177">
        <f>SUMIF(請求Data!$F$11:$F$160,CONCATENATE(VLOOKUP(Y$5,$G$1:$H$4,2,FALSE),$E40,1,2),請求Data!$AG$11:$AG$160)</f>
        <v>0</v>
      </c>
      <c r="AD40" s="345"/>
      <c r="AE40" s="175">
        <f>VLOOKUP($E40,'集計16-E'!$E$9:AF$90,'集計16-E'!$AE$7-$D$7,0)+VLOOKUP($E40,'集計F-15'!$E$9:AF$90,'集計F-15'!$AE$7-$D$7,0)</f>
        <v>0</v>
      </c>
      <c r="AF40" s="433">
        <f>VLOOKUP($E40,'集計16-E'!$E$9:AF$90,'集計16-E'!$AF$7-$D$7,0)+VLOOKUP($E40,'集計F-15'!$E$9:AF$90,'集計F-15'!$AF$7-$D$7,0)</f>
        <v>0</v>
      </c>
    </row>
    <row r="41" spans="1:32">
      <c r="A41" s="474">
        <f>IF(SUMIFS($G41:$AF41,$G$8:$AF$8,"金額",$G41:$AF41,"&gt;0")-SUMIFS($G41:$AF41,$G$8:$AF$8,"金額",$G41:$AF41,"&lt;0")&lt;=0,"",MAX($A$8:$A40)+1)</f>
        <v>9</v>
      </c>
      <c r="B41" s="802"/>
      <c r="C41" s="245" t="str">
        <f t="shared" ref="C41:C72" si="1">CONCATENATE("商品",$A41)</f>
        <v>商品9</v>
      </c>
      <c r="D41" s="245">
        <v>33</v>
      </c>
      <c r="E41" s="590" t="str">
        <f>IF($F41&lt;&gt;"",INDEX(ﾏｽﾀ!$D$8:$D$124,MATCH(INDEX(ﾏｽﾀ!$N$8:$N$124,MATCH($F41,ﾏｽﾀ!$O$8:$O$124,0)),ﾏｽﾀ!$B$8:$B$124,0))&amp;"","")</f>
        <v>70000</v>
      </c>
      <c r="F41" s="589" t="str">
        <f>ﾏｽﾀ!$R40&amp;""</f>
        <v>株式会社ウィンウィンスタイル</v>
      </c>
      <c r="G41" s="632">
        <f>VLOOKUP($E41,'集計16-E'!$E$9:$AF$90,'集計16-E'!$G$7-$D$7,FALSE)+VLOOKUP($E41,'集計F-15'!$E$9:$AF$90,'集計F-15'!$G$7-$D$7,FALSE)-INDEX($J$9:$J$90,MATCH($E41,$E$9:$E$90,0))</f>
        <v>0</v>
      </c>
      <c r="H41" s="633">
        <f>VLOOKUP($E41,'集計16-E'!$E$9:$AF$90,'集計16-E'!$H$7-$D$7,FALSE)+VLOOKUP($E41,'集計F-15'!$E$9:$AF$90,'集計F-15'!$H$7-$D$7,FALSE)-INDEX($K$9:$K$90,MATCH($E41,$E$9:$E$90,0))</f>
        <v>0</v>
      </c>
      <c r="I41" s="345"/>
      <c r="J41" s="126">
        <f>SUMIF(請求Data!$F$11:$F$160,CONCATENATE(VLOOKUP(G$5,$G$1:$H$4,2,FALSE),$E41,1,2),請求Data!$AF$11:$AF$160)</f>
        <v>0</v>
      </c>
      <c r="K41" s="127">
        <f>SUMIF(請求Data!$F$11:$F$160,CONCATENATE(VLOOKUP(G$5,$G$1:$H$4,2,FALSE),$E41,1,2),請求Data!$AG$11:$AG$160)</f>
        <v>0</v>
      </c>
      <c r="L41" s="345"/>
      <c r="M41" s="175">
        <f>VLOOKUP($E41,'集計16-E'!$E$9:$AF$90,'集計16-E'!$M$7-$D$7,FALSE)+VLOOKUP($E41,'集計F-15'!$E$9:$AF$90,'集計F-15'!$M$7-$D$7,FALSE)</f>
        <v>0</v>
      </c>
      <c r="N41" s="432">
        <f>VLOOKUP($E41,'集計16-E'!$E$9:$AF$90,'集計16-E'!$N$7-$D$7,FALSE)+VLOOKUP($E41,'集計F-15'!$E$9:$AF$90,'集計F-15'!$N$7-$D$7,FALSE)</f>
        <v>0</v>
      </c>
      <c r="O41" s="345"/>
      <c r="P41" s="644">
        <f>VLOOKUP($E41,'集計16-E'!$E$9:$AF$90,'集計16-E'!$P$7-$D$7,FALSE)+VLOOKUP($E41,'集計F-15'!$E$9:$AF$90,'集計F-15'!$P$7-$D$7,FALSE)-$S41</f>
        <v>1</v>
      </c>
      <c r="Q41" s="645">
        <f>VLOOKUP($E41,'集計16-E'!$E$9:$AF$90,'集計16-E'!$Q$7-$D$7,FALSE)+VLOOKUP($E41,'集計F-15'!$E$9:$AF$90,'集計F-15'!$Q$7-$D$7,FALSE)-$T41</f>
        <v>55505.55</v>
      </c>
      <c r="R41" s="345"/>
      <c r="S41" s="175">
        <f>SUMIF(請求Data!$F$11:$F$160,CONCATENATE(VLOOKUP(P$5,$G$1:$H$4,2,FALSE),$E41,1,2),請求Data!$AF$11:$AF$160)</f>
        <v>0</v>
      </c>
      <c r="T41" s="177">
        <f>SUMIF(請求Data!$F$11:$F$160,CONCATENATE(VLOOKUP(P$5,$G$1:$H$4,2,FALSE),$E41,1,2),請求Data!$AG$11:$AG$160)</f>
        <v>0</v>
      </c>
      <c r="U41" s="345"/>
      <c r="V41" s="175">
        <f>VLOOKUP($E41,'集計16-E'!$E$9:$AF$90,'集計16-E'!$V$7-$D$7,0)+VLOOKUP($E41,'集計F-15'!$E$9:$AF$90,'集計F-15'!$V$7-$D$7,0)</f>
        <v>0</v>
      </c>
      <c r="W41" s="433">
        <f>VLOOKUP($E41,'集計16-E'!$E$9:$AF$90,'集計16-E'!$W$7-$D$7,0)+VLOOKUP($E41,'集計F-15'!$E$9:$AF$90,'集計F-15'!$W$7-$D$7,0)</f>
        <v>0</v>
      </c>
      <c r="X41" s="345"/>
      <c r="Y41" s="644">
        <f>VLOOKUP($E41,'集計16-E'!$E$9:AF$90,'集計16-E'!$Y$7-$D$7,0)+VLOOKUP($E41,'集計F-15'!$E$9:AF$90,'集計F-15'!$Y$7-$D$7,0)-$AB41</f>
        <v>0</v>
      </c>
      <c r="Z41" s="645">
        <f>VLOOKUP($E41,'集計16-E'!$E$9:AF$90,'集計16-E'!$Z$7-$D$7,0)+VLOOKUP($E41,'集計F-15'!$E$9:AF$90,'集計F-15'!$Z$7-$D$7,0)-$AC41</f>
        <v>0</v>
      </c>
      <c r="AA41" s="345"/>
      <c r="AB41" s="175">
        <f>SUMIF(請求Data!$F$11:$F$160,CONCATENATE(VLOOKUP(Y$5,$G$1:$H$4,2,FALSE),$E41,1,2),請求Data!$AF$11:$AF$160)</f>
        <v>0</v>
      </c>
      <c r="AC41" s="177">
        <f>SUMIF(請求Data!$F$11:$F$160,CONCATENATE(VLOOKUP(Y$5,$G$1:$H$4,2,FALSE),$E41,1,2),請求Data!$AG$11:$AG$160)</f>
        <v>0</v>
      </c>
      <c r="AD41" s="345"/>
      <c r="AE41" s="175">
        <f>VLOOKUP($E41,'集計16-E'!$E$9:AF$90,'集計16-E'!$AE$7-$D$7,0)+VLOOKUP($E41,'集計F-15'!$E$9:AF$90,'集計F-15'!$AE$7-$D$7,0)</f>
        <v>0</v>
      </c>
      <c r="AF41" s="433">
        <f>VLOOKUP($E41,'集計16-E'!$E$9:AF$90,'集計16-E'!$AF$7-$D$7,0)+VLOOKUP($E41,'集計F-15'!$E$9:AF$90,'集計F-15'!$AF$7-$D$7,0)</f>
        <v>0</v>
      </c>
    </row>
    <row r="42" spans="1:32">
      <c r="A42" s="474" t="str">
        <f>IF(SUMIFS($G42:$AF42,$G$8:$AF$8,"金額",$G42:$AF42,"&gt;0")-SUMIFS($G42:$AF42,$G$8:$AF$8,"金額",$G42:$AF42,"&lt;0")&lt;=0,"",MAX($A$8:$A41)+1)</f>
        <v/>
      </c>
      <c r="B42" s="802"/>
      <c r="C42" s="245" t="str">
        <f t="shared" si="1"/>
        <v>商品</v>
      </c>
      <c r="D42" s="245">
        <v>34</v>
      </c>
      <c r="E42" s="590" t="str">
        <f>IF($F42&lt;&gt;"",INDEX(ﾏｽﾀ!$D$8:$D$124,MATCH(INDEX(ﾏｽﾀ!$N$8:$N$124,MATCH($F42,ﾏｽﾀ!$O$8:$O$124,0)),ﾏｽﾀ!$B$8:$B$124,0))&amp;"","")</f>
        <v>71000</v>
      </c>
      <c r="F42" s="589" t="str">
        <f>ﾏｽﾀ!$R41&amp;""</f>
        <v>プラネックスコミュニケーションズ株式会社</v>
      </c>
      <c r="G42" s="632">
        <f>VLOOKUP($E42,'集計16-E'!$E$9:$AF$90,'集計16-E'!$G$7-$D$7,FALSE)+VLOOKUP($E42,'集計F-15'!$E$9:$AF$90,'集計F-15'!$G$7-$D$7,FALSE)-INDEX($J$9:$J$90,MATCH($E42,$E$9:$E$90,0))</f>
        <v>0</v>
      </c>
      <c r="H42" s="633">
        <f>VLOOKUP($E42,'集計16-E'!$E$9:$AF$90,'集計16-E'!$H$7-$D$7,FALSE)+VLOOKUP($E42,'集計F-15'!$E$9:$AF$90,'集計F-15'!$H$7-$D$7,FALSE)-INDEX($K$9:$K$90,MATCH($E42,$E$9:$E$90,0))</f>
        <v>0</v>
      </c>
      <c r="I42" s="345"/>
      <c r="J42" s="126">
        <f>SUMIF(請求Data!$F$11:$F$160,CONCATENATE(VLOOKUP(G$5,$G$1:$H$4,2,FALSE),$E42,1,2),請求Data!$AF$11:$AF$160)</f>
        <v>0</v>
      </c>
      <c r="K42" s="127">
        <f>SUMIF(請求Data!$F$11:$F$160,CONCATENATE(VLOOKUP(G$5,$G$1:$H$4,2,FALSE),$E42,1,2),請求Data!$AG$11:$AG$160)</f>
        <v>0</v>
      </c>
      <c r="L42" s="345"/>
      <c r="M42" s="175">
        <f>VLOOKUP($E42,'集計16-E'!$E$9:$AF$90,'集計16-E'!$M$7-$D$7,FALSE)+VLOOKUP($E42,'集計F-15'!$E$9:$AF$90,'集計F-15'!$M$7-$D$7,FALSE)</f>
        <v>0</v>
      </c>
      <c r="N42" s="432">
        <f>VLOOKUP($E42,'集計16-E'!$E$9:$AF$90,'集計16-E'!$N$7-$D$7,FALSE)+VLOOKUP($E42,'集計F-15'!$E$9:$AF$90,'集計F-15'!$N$7-$D$7,FALSE)</f>
        <v>0</v>
      </c>
      <c r="O42" s="345"/>
      <c r="P42" s="644">
        <f>VLOOKUP($E42,'集計16-E'!$E$9:$AF$90,'集計16-E'!$P$7-$D$7,FALSE)+VLOOKUP($E42,'集計F-15'!$E$9:$AF$90,'集計F-15'!$P$7-$D$7,FALSE)-$S42</f>
        <v>0</v>
      </c>
      <c r="Q42" s="645">
        <f>VLOOKUP($E42,'集計16-E'!$E$9:$AF$90,'集計16-E'!$Q$7-$D$7,FALSE)+VLOOKUP($E42,'集計F-15'!$E$9:$AF$90,'集計F-15'!$Q$7-$D$7,FALSE)-$T42</f>
        <v>0</v>
      </c>
      <c r="R42" s="345"/>
      <c r="S42" s="175">
        <f>SUMIF(請求Data!$F$11:$F$160,CONCATENATE(VLOOKUP(P$5,$G$1:$H$4,2,FALSE),$E42,1,2),請求Data!$AF$11:$AF$160)</f>
        <v>0</v>
      </c>
      <c r="T42" s="177">
        <f>SUMIF(請求Data!$F$11:$F$160,CONCATENATE(VLOOKUP(P$5,$G$1:$H$4,2,FALSE),$E42,1,2),請求Data!$AG$11:$AG$160)</f>
        <v>0</v>
      </c>
      <c r="U42" s="345"/>
      <c r="V42" s="175">
        <f>VLOOKUP($E42,'集計16-E'!$E$9:$AF$90,'集計16-E'!$V$7-$D$7,0)+VLOOKUP($E42,'集計F-15'!$E$9:$AF$90,'集計F-15'!$V$7-$D$7,0)</f>
        <v>0</v>
      </c>
      <c r="W42" s="433">
        <f>VLOOKUP($E42,'集計16-E'!$E$9:$AF$90,'集計16-E'!$W$7-$D$7,0)+VLOOKUP($E42,'集計F-15'!$E$9:$AF$90,'集計F-15'!$W$7-$D$7,0)</f>
        <v>0</v>
      </c>
      <c r="X42" s="345"/>
      <c r="Y42" s="644">
        <f>VLOOKUP($E42,'集計16-E'!$E$9:AF$90,'集計16-E'!$Y$7-$D$7,0)+VLOOKUP($E42,'集計F-15'!$E$9:AF$90,'集計F-15'!$Y$7-$D$7,0)-$AB42</f>
        <v>0</v>
      </c>
      <c r="Z42" s="645">
        <f>VLOOKUP($E42,'集計16-E'!$E$9:AF$90,'集計16-E'!$Z$7-$D$7,0)+VLOOKUP($E42,'集計F-15'!$E$9:AF$90,'集計F-15'!$Z$7-$D$7,0)-$AC42</f>
        <v>0</v>
      </c>
      <c r="AA42" s="345"/>
      <c r="AB42" s="175">
        <f>SUMIF(請求Data!$F$11:$F$160,CONCATENATE(VLOOKUP(Y$5,$G$1:$H$4,2,FALSE),$E42,1,2),請求Data!$AF$11:$AF$160)</f>
        <v>0</v>
      </c>
      <c r="AC42" s="177">
        <f>SUMIF(請求Data!$F$11:$F$160,CONCATENATE(VLOOKUP(Y$5,$G$1:$H$4,2,FALSE),$E42,1,2),請求Data!$AG$11:$AG$160)</f>
        <v>0</v>
      </c>
      <c r="AD42" s="345"/>
      <c r="AE42" s="175">
        <f>VLOOKUP($E42,'集計16-E'!$E$9:AF$90,'集計16-E'!$AE$7-$D$7,0)+VLOOKUP($E42,'集計F-15'!$E$9:AF$90,'集計F-15'!$AE$7-$D$7,0)</f>
        <v>0</v>
      </c>
      <c r="AF42" s="433">
        <f>VLOOKUP($E42,'集計16-E'!$E$9:AF$90,'集計16-E'!$AF$7-$D$7,0)+VLOOKUP($E42,'集計F-15'!$E$9:AF$90,'集計F-15'!$AF$7-$D$7,0)</f>
        <v>0</v>
      </c>
    </row>
    <row r="43" spans="1:32">
      <c r="A43" s="474" t="str">
        <f>IF(SUMIFS($G43:$AF43,$G$8:$AF$8,"金額",$G43:$AF43,"&gt;0")-SUMIFS($G43:$AF43,$G$8:$AF$8,"金額",$G43:$AF43,"&lt;0")&lt;=0,"",MAX($A$8:$A42)+1)</f>
        <v/>
      </c>
      <c r="B43" s="802"/>
      <c r="C43" s="245" t="str">
        <f t="shared" si="1"/>
        <v>商品</v>
      </c>
      <c r="D43" s="245">
        <v>35</v>
      </c>
      <c r="E43" s="590" t="str">
        <f>IF($F43&lt;&gt;"",INDEX(ﾏｽﾀ!$D$8:$D$124,MATCH(INDEX(ﾏｽﾀ!$N$8:$N$124,MATCH($F43,ﾏｽﾀ!$O$8:$O$124,0)),ﾏｽﾀ!$B$8:$B$124,0))&amp;"","")</f>
        <v>72000</v>
      </c>
      <c r="F43" s="589" t="str">
        <f>ﾏｽﾀ!$R42&amp;""</f>
        <v>株式会社ダイワトーイ</v>
      </c>
      <c r="G43" s="632">
        <f>VLOOKUP($E43,'集計16-E'!$E$9:$AF$90,'集計16-E'!$G$7-$D$7,FALSE)+VLOOKUP($E43,'集計F-15'!$E$9:$AF$90,'集計F-15'!$G$7-$D$7,FALSE)-INDEX($J$9:$J$90,MATCH($E43,$E$9:$E$90,0))</f>
        <v>0</v>
      </c>
      <c r="H43" s="633">
        <f>VLOOKUP($E43,'集計16-E'!$E$9:$AF$90,'集計16-E'!$H$7-$D$7,FALSE)+VLOOKUP($E43,'集計F-15'!$E$9:$AF$90,'集計F-15'!$H$7-$D$7,FALSE)-INDEX($K$9:$K$90,MATCH($E43,$E$9:$E$90,0))</f>
        <v>0</v>
      </c>
      <c r="I43" s="345"/>
      <c r="J43" s="126">
        <f>SUMIF(請求Data!$F$11:$F$160,CONCATENATE(VLOOKUP(G$5,$G$1:$H$4,2,FALSE),$E43,1,2),請求Data!$AF$11:$AF$160)</f>
        <v>0</v>
      </c>
      <c r="K43" s="127">
        <f>SUMIF(請求Data!$F$11:$F$160,CONCATENATE(VLOOKUP(G$5,$G$1:$H$4,2,FALSE),$E43,1,2),請求Data!$AG$11:$AG$160)</f>
        <v>0</v>
      </c>
      <c r="L43" s="345"/>
      <c r="M43" s="175">
        <f>VLOOKUP($E43,'集計16-E'!$E$9:$AF$90,'集計16-E'!$M$7-$D$7,FALSE)+VLOOKUP($E43,'集計F-15'!$E$9:$AF$90,'集計F-15'!$M$7-$D$7,FALSE)</f>
        <v>0</v>
      </c>
      <c r="N43" s="432">
        <f>VLOOKUP($E43,'集計16-E'!$E$9:$AF$90,'集計16-E'!$N$7-$D$7,FALSE)+VLOOKUP($E43,'集計F-15'!$E$9:$AF$90,'集計F-15'!$N$7-$D$7,FALSE)</f>
        <v>0</v>
      </c>
      <c r="O43" s="345"/>
      <c r="P43" s="644">
        <f>VLOOKUP($E43,'集計16-E'!$E$9:$AF$90,'集計16-E'!$P$7-$D$7,FALSE)+VLOOKUP($E43,'集計F-15'!$E$9:$AF$90,'集計F-15'!$P$7-$D$7,FALSE)-$S43</f>
        <v>0</v>
      </c>
      <c r="Q43" s="645">
        <f>VLOOKUP($E43,'集計16-E'!$E$9:$AF$90,'集計16-E'!$Q$7-$D$7,FALSE)+VLOOKUP($E43,'集計F-15'!$E$9:$AF$90,'集計F-15'!$Q$7-$D$7,FALSE)-$T43</f>
        <v>0</v>
      </c>
      <c r="R43" s="345"/>
      <c r="S43" s="175">
        <f>SUMIF(請求Data!$F$11:$F$160,CONCATENATE(VLOOKUP(P$5,$G$1:$H$4,2,FALSE),$E43,1,2),請求Data!$AF$11:$AF$160)</f>
        <v>0</v>
      </c>
      <c r="T43" s="177">
        <f>SUMIF(請求Data!$F$11:$F$160,CONCATENATE(VLOOKUP(P$5,$G$1:$H$4,2,FALSE),$E43,1,2),請求Data!$AG$11:$AG$160)</f>
        <v>0</v>
      </c>
      <c r="U43" s="345"/>
      <c r="V43" s="175">
        <f>VLOOKUP($E43,'集計16-E'!$E$9:$AF$90,'集計16-E'!$V$7-$D$7,0)+VLOOKUP($E43,'集計F-15'!$E$9:$AF$90,'集計F-15'!$V$7-$D$7,0)</f>
        <v>0</v>
      </c>
      <c r="W43" s="433">
        <f>VLOOKUP($E43,'集計16-E'!$E$9:$AF$90,'集計16-E'!$W$7-$D$7,0)+VLOOKUP($E43,'集計F-15'!$E$9:$AF$90,'集計F-15'!$W$7-$D$7,0)</f>
        <v>0</v>
      </c>
      <c r="X43" s="345"/>
      <c r="Y43" s="644">
        <f>VLOOKUP($E43,'集計16-E'!$E$9:AF$90,'集計16-E'!$Y$7-$D$7,0)+VLOOKUP($E43,'集計F-15'!$E$9:AF$90,'集計F-15'!$Y$7-$D$7,0)-$AB43</f>
        <v>0</v>
      </c>
      <c r="Z43" s="645">
        <f>VLOOKUP($E43,'集計16-E'!$E$9:AF$90,'集計16-E'!$Z$7-$D$7,0)+VLOOKUP($E43,'集計F-15'!$E$9:AF$90,'集計F-15'!$Z$7-$D$7,0)-$AC43</f>
        <v>0</v>
      </c>
      <c r="AA43" s="345"/>
      <c r="AB43" s="175">
        <f>SUMIF(請求Data!$F$11:$F$160,CONCATENATE(VLOOKUP(Y$5,$G$1:$H$4,2,FALSE),$E43,1,2),請求Data!$AF$11:$AF$160)</f>
        <v>0</v>
      </c>
      <c r="AC43" s="177">
        <f>SUMIF(請求Data!$F$11:$F$160,CONCATENATE(VLOOKUP(Y$5,$G$1:$H$4,2,FALSE),$E43,1,2),請求Data!$AG$11:$AG$160)</f>
        <v>0</v>
      </c>
      <c r="AD43" s="345"/>
      <c r="AE43" s="175">
        <f>VLOOKUP($E43,'集計16-E'!$E$9:AF$90,'集計16-E'!$AE$7-$D$7,0)+VLOOKUP($E43,'集計F-15'!$E$9:AF$90,'集計F-15'!$AE$7-$D$7,0)</f>
        <v>0</v>
      </c>
      <c r="AF43" s="433">
        <f>VLOOKUP($E43,'集計16-E'!$E$9:AF$90,'集計16-E'!$AF$7-$D$7,0)+VLOOKUP($E43,'集計F-15'!$E$9:AF$90,'集計F-15'!$AF$7-$D$7,0)</f>
        <v>0</v>
      </c>
    </row>
    <row r="44" spans="1:32">
      <c r="A44" s="474" t="str">
        <f>IF(SUMIFS($G44:$AF44,$G$8:$AF$8,"金額",$G44:$AF44,"&gt;0")-SUMIFS($G44:$AF44,$G$8:$AF$8,"金額",$G44:$AF44,"&lt;0")&lt;=0,"",MAX($A$8:$A43)+1)</f>
        <v/>
      </c>
      <c r="B44" s="802"/>
      <c r="C44" s="245" t="str">
        <f t="shared" si="1"/>
        <v>商品</v>
      </c>
      <c r="D44" s="245">
        <v>36</v>
      </c>
      <c r="E44" s="590" t="str">
        <f>IF($F44&lt;&gt;"",INDEX(ﾏｽﾀ!$D$8:$D$124,MATCH(INDEX(ﾏｽﾀ!$N$8:$N$124,MATCH($F44,ﾏｽﾀ!$O$8:$O$124,0)),ﾏｽﾀ!$B$8:$B$124,0))&amp;"","")</f>
        <v>73000</v>
      </c>
      <c r="F44" s="589" t="str">
        <f>ﾏｽﾀ!$R43&amp;""</f>
        <v>株式会社プレックス</v>
      </c>
      <c r="G44" s="632">
        <f>VLOOKUP($E44,'集計16-E'!$E$9:$AF$90,'集計16-E'!$G$7-$D$7,FALSE)+VLOOKUP($E44,'集計F-15'!$E$9:$AF$90,'集計F-15'!$G$7-$D$7,FALSE)-INDEX($J$9:$J$90,MATCH($E44,$E$9:$E$90,0))</f>
        <v>0</v>
      </c>
      <c r="H44" s="633">
        <f>VLOOKUP($E44,'集計16-E'!$E$9:$AF$90,'集計16-E'!$H$7-$D$7,FALSE)+VLOOKUP($E44,'集計F-15'!$E$9:$AF$90,'集計F-15'!$H$7-$D$7,FALSE)-INDEX($K$9:$K$90,MATCH($E44,$E$9:$E$90,0))</f>
        <v>0</v>
      </c>
      <c r="I44" s="345"/>
      <c r="J44" s="126">
        <f>SUMIF(請求Data!$F$11:$F$160,CONCATENATE(VLOOKUP(G$5,$G$1:$H$4,2,FALSE),$E44,1,2),請求Data!$AF$11:$AF$160)</f>
        <v>0</v>
      </c>
      <c r="K44" s="127">
        <f>SUMIF(請求Data!$F$11:$F$160,CONCATENATE(VLOOKUP(G$5,$G$1:$H$4,2,FALSE),$E44,1,2),請求Data!$AG$11:$AG$160)</f>
        <v>0</v>
      </c>
      <c r="L44" s="345"/>
      <c r="M44" s="175">
        <f>VLOOKUP($E44,'集計16-E'!$E$9:$AF$90,'集計16-E'!$M$7-$D$7,FALSE)+VLOOKUP($E44,'集計F-15'!$E$9:$AF$90,'集計F-15'!$M$7-$D$7,FALSE)</f>
        <v>0</v>
      </c>
      <c r="N44" s="432">
        <f>VLOOKUP($E44,'集計16-E'!$E$9:$AF$90,'集計16-E'!$N$7-$D$7,FALSE)+VLOOKUP($E44,'集計F-15'!$E$9:$AF$90,'集計F-15'!$N$7-$D$7,FALSE)</f>
        <v>0</v>
      </c>
      <c r="O44" s="345"/>
      <c r="P44" s="644">
        <f>VLOOKUP($E44,'集計16-E'!$E$9:$AF$90,'集計16-E'!$P$7-$D$7,FALSE)+VLOOKUP($E44,'集計F-15'!$E$9:$AF$90,'集計F-15'!$P$7-$D$7,FALSE)-$S44</f>
        <v>0</v>
      </c>
      <c r="Q44" s="645">
        <f>VLOOKUP($E44,'集計16-E'!$E$9:$AF$90,'集計16-E'!$Q$7-$D$7,FALSE)+VLOOKUP($E44,'集計F-15'!$E$9:$AF$90,'集計F-15'!$Q$7-$D$7,FALSE)-$T44</f>
        <v>0</v>
      </c>
      <c r="R44" s="345"/>
      <c r="S44" s="175">
        <f>SUMIF(請求Data!$F$11:$F$160,CONCATENATE(VLOOKUP(P$5,$G$1:$H$4,2,FALSE),$E44,1,2),請求Data!$AF$11:$AF$160)</f>
        <v>0</v>
      </c>
      <c r="T44" s="177">
        <f>SUMIF(請求Data!$F$11:$F$160,CONCATENATE(VLOOKUP(P$5,$G$1:$H$4,2,FALSE),$E44,1,2),請求Data!$AG$11:$AG$160)</f>
        <v>0</v>
      </c>
      <c r="U44" s="345"/>
      <c r="V44" s="175">
        <f>VLOOKUP($E44,'集計16-E'!$E$9:$AF$90,'集計16-E'!$V$7-$D$7,0)+VLOOKUP($E44,'集計F-15'!$E$9:$AF$90,'集計F-15'!$V$7-$D$7,0)</f>
        <v>0</v>
      </c>
      <c r="W44" s="433">
        <f>VLOOKUP($E44,'集計16-E'!$E$9:$AF$90,'集計16-E'!$W$7-$D$7,0)+VLOOKUP($E44,'集計F-15'!$E$9:$AF$90,'集計F-15'!$W$7-$D$7,0)</f>
        <v>0</v>
      </c>
      <c r="X44" s="345"/>
      <c r="Y44" s="644">
        <f>VLOOKUP($E44,'集計16-E'!$E$9:AF$90,'集計16-E'!$Y$7-$D$7,0)+VLOOKUP($E44,'集計F-15'!$E$9:AF$90,'集計F-15'!$Y$7-$D$7,0)-$AB44</f>
        <v>0</v>
      </c>
      <c r="Z44" s="645">
        <f>VLOOKUP($E44,'集計16-E'!$E$9:AF$90,'集計16-E'!$Z$7-$D$7,0)+VLOOKUP($E44,'集計F-15'!$E$9:AF$90,'集計F-15'!$Z$7-$D$7,0)-$AC44</f>
        <v>0</v>
      </c>
      <c r="AA44" s="345"/>
      <c r="AB44" s="175">
        <f>SUMIF(請求Data!$F$11:$F$160,CONCATENATE(VLOOKUP(Y$5,$G$1:$H$4,2,FALSE),$E44,1,2),請求Data!$AF$11:$AF$160)</f>
        <v>0</v>
      </c>
      <c r="AC44" s="177">
        <f>SUMIF(請求Data!$F$11:$F$160,CONCATENATE(VLOOKUP(Y$5,$G$1:$H$4,2,FALSE),$E44,1,2),請求Data!$AG$11:$AG$160)</f>
        <v>0</v>
      </c>
      <c r="AD44" s="345"/>
      <c r="AE44" s="175">
        <f>VLOOKUP($E44,'集計16-E'!$E$9:AF$90,'集計16-E'!$AE$7-$D$7,0)+VLOOKUP($E44,'集計F-15'!$E$9:AF$90,'集計F-15'!$AE$7-$D$7,0)</f>
        <v>0</v>
      </c>
      <c r="AF44" s="433">
        <f>VLOOKUP($E44,'集計16-E'!$E$9:AF$90,'集計16-E'!$AF$7-$D$7,0)+VLOOKUP($E44,'集計F-15'!$E$9:AF$90,'集計F-15'!$AF$7-$D$7,0)</f>
        <v>0</v>
      </c>
    </row>
    <row r="45" spans="1:32">
      <c r="A45" s="474" t="str">
        <f>IF(SUMIFS($G45:$AF45,$G$8:$AF$8,"金額",$G45:$AF45,"&gt;0")-SUMIFS($G45:$AF45,$G$8:$AF$8,"金額",$G45:$AF45,"&lt;0")&lt;=0,"",MAX($A$8:$A44)+1)</f>
        <v/>
      </c>
      <c r="B45" s="802"/>
      <c r="C45" s="245" t="str">
        <f t="shared" si="1"/>
        <v>商品</v>
      </c>
      <c r="D45" s="245">
        <v>37</v>
      </c>
      <c r="E45" s="590" t="str">
        <f>IF($F45&lt;&gt;"",INDEX(ﾏｽﾀ!$D$8:$D$124,MATCH(INDEX(ﾏｽﾀ!$N$8:$N$124,MATCH($F45,ﾏｽﾀ!$O$8:$O$124,0)),ﾏｽﾀ!$B$8:$B$124,0))&amp;"","")</f>
        <v>74000</v>
      </c>
      <c r="F45" s="589" t="str">
        <f>ﾏｽﾀ!$R44&amp;""</f>
        <v>株式会社シーズ</v>
      </c>
      <c r="G45" s="632">
        <f>VLOOKUP($E45,'集計16-E'!$E$9:$AF$90,'集計16-E'!$G$7-$D$7,FALSE)+VLOOKUP($E45,'集計F-15'!$E$9:$AF$90,'集計F-15'!$G$7-$D$7,FALSE)-INDEX($J$9:$J$90,MATCH($E45,$E$9:$E$90,0))</f>
        <v>0</v>
      </c>
      <c r="H45" s="633">
        <f>VLOOKUP($E45,'集計16-E'!$E$9:$AF$90,'集計16-E'!$H$7-$D$7,FALSE)+VLOOKUP($E45,'集計F-15'!$E$9:$AF$90,'集計F-15'!$H$7-$D$7,FALSE)-INDEX($K$9:$K$90,MATCH($E45,$E$9:$E$90,0))</f>
        <v>0</v>
      </c>
      <c r="I45" s="345"/>
      <c r="J45" s="126">
        <f>SUMIF(請求Data!$F$11:$F$160,CONCATENATE(VLOOKUP(G$5,$G$1:$H$4,2,FALSE),$E45,1,2),請求Data!$AF$11:$AF$160)</f>
        <v>0</v>
      </c>
      <c r="K45" s="127">
        <f>SUMIF(請求Data!$F$11:$F$160,CONCATENATE(VLOOKUP(G$5,$G$1:$H$4,2,FALSE),$E45,1,2),請求Data!$AG$11:$AG$160)</f>
        <v>0</v>
      </c>
      <c r="L45" s="345"/>
      <c r="M45" s="175">
        <f>VLOOKUP($E45,'集計16-E'!$E$9:$AF$90,'集計16-E'!$M$7-$D$7,FALSE)+VLOOKUP($E45,'集計F-15'!$E$9:$AF$90,'集計F-15'!$M$7-$D$7,FALSE)</f>
        <v>0</v>
      </c>
      <c r="N45" s="432">
        <f>VLOOKUP($E45,'集計16-E'!$E$9:$AF$90,'集計16-E'!$N$7-$D$7,FALSE)+VLOOKUP($E45,'集計F-15'!$E$9:$AF$90,'集計F-15'!$N$7-$D$7,FALSE)</f>
        <v>0</v>
      </c>
      <c r="O45" s="345"/>
      <c r="P45" s="644">
        <f>VLOOKUP($E45,'集計16-E'!$E$9:$AF$90,'集計16-E'!$P$7-$D$7,FALSE)+VLOOKUP($E45,'集計F-15'!$E$9:$AF$90,'集計F-15'!$P$7-$D$7,FALSE)-$S45</f>
        <v>0</v>
      </c>
      <c r="Q45" s="645">
        <f>VLOOKUP($E45,'集計16-E'!$E$9:$AF$90,'集計16-E'!$Q$7-$D$7,FALSE)+VLOOKUP($E45,'集計F-15'!$E$9:$AF$90,'集計F-15'!$Q$7-$D$7,FALSE)-$T45</f>
        <v>0</v>
      </c>
      <c r="R45" s="345"/>
      <c r="S45" s="175">
        <f>SUMIF(請求Data!$F$11:$F$160,CONCATENATE(VLOOKUP(P$5,$G$1:$H$4,2,FALSE),$E45,1,2),請求Data!$AF$11:$AF$160)</f>
        <v>0</v>
      </c>
      <c r="T45" s="177">
        <f>SUMIF(請求Data!$F$11:$F$160,CONCATENATE(VLOOKUP(P$5,$G$1:$H$4,2,FALSE),$E45,1,2),請求Data!$AG$11:$AG$160)</f>
        <v>0</v>
      </c>
      <c r="U45" s="345"/>
      <c r="V45" s="175">
        <f>VLOOKUP($E45,'集計16-E'!$E$9:$AF$90,'集計16-E'!$V$7-$D$7,0)+VLOOKUP($E45,'集計F-15'!$E$9:$AF$90,'集計F-15'!$V$7-$D$7,0)</f>
        <v>0</v>
      </c>
      <c r="W45" s="433">
        <f>VLOOKUP($E45,'集計16-E'!$E$9:$AF$90,'集計16-E'!$W$7-$D$7,0)+VLOOKUP($E45,'集計F-15'!$E$9:$AF$90,'集計F-15'!$W$7-$D$7,0)</f>
        <v>0</v>
      </c>
      <c r="X45" s="345"/>
      <c r="Y45" s="644">
        <f>VLOOKUP($E45,'集計16-E'!$E$9:AF$90,'集計16-E'!$Y$7-$D$7,0)+VLOOKUP($E45,'集計F-15'!$E$9:AF$90,'集計F-15'!$Y$7-$D$7,0)-$AB45</f>
        <v>0</v>
      </c>
      <c r="Z45" s="645">
        <f>VLOOKUP($E45,'集計16-E'!$E$9:AF$90,'集計16-E'!$Z$7-$D$7,0)+VLOOKUP($E45,'集計F-15'!$E$9:AF$90,'集計F-15'!$Z$7-$D$7,0)-$AC45</f>
        <v>0</v>
      </c>
      <c r="AA45" s="345"/>
      <c r="AB45" s="175">
        <f>SUMIF(請求Data!$F$11:$F$160,CONCATENATE(VLOOKUP(Y$5,$G$1:$H$4,2,FALSE),$E45,1,2),請求Data!$AF$11:$AF$160)</f>
        <v>0</v>
      </c>
      <c r="AC45" s="177">
        <f>SUMIF(請求Data!$F$11:$F$160,CONCATENATE(VLOOKUP(Y$5,$G$1:$H$4,2,FALSE),$E45,1,2),請求Data!$AG$11:$AG$160)</f>
        <v>0</v>
      </c>
      <c r="AD45" s="345"/>
      <c r="AE45" s="175">
        <f>VLOOKUP($E45,'集計16-E'!$E$9:AF$90,'集計16-E'!$AE$7-$D$7,0)+VLOOKUP($E45,'集計F-15'!$E$9:AF$90,'集計F-15'!$AE$7-$D$7,0)</f>
        <v>0</v>
      </c>
      <c r="AF45" s="433">
        <f>VLOOKUP($E45,'集計16-E'!$E$9:AF$90,'集計16-E'!$AF$7-$D$7,0)+VLOOKUP($E45,'集計F-15'!$E$9:AF$90,'集計F-15'!$AF$7-$D$7,0)</f>
        <v>0</v>
      </c>
    </row>
    <row r="46" spans="1:32">
      <c r="A46" s="474" t="str">
        <f>IF(SUMIFS($G46:$AF46,$G$8:$AF$8,"金額",$G46:$AF46,"&gt;0")-SUMIFS($G46:$AF46,$G$8:$AF$8,"金額",$G46:$AF46,"&lt;0")&lt;=0,"",MAX($A$8:$A45)+1)</f>
        <v/>
      </c>
      <c r="B46" s="802"/>
      <c r="C46" s="245" t="str">
        <f t="shared" si="1"/>
        <v>商品</v>
      </c>
      <c r="D46" s="245">
        <v>38</v>
      </c>
      <c r="E46" s="590" t="str">
        <f>IF($F46&lt;&gt;"",INDEX(ﾏｽﾀ!$D$8:$D$124,MATCH(INDEX(ﾏｽﾀ!$N$8:$N$124,MATCH($F46,ﾏｽﾀ!$O$8:$O$124,0)),ﾏｽﾀ!$B$8:$B$124,0))&amp;"","")</f>
        <v>75000</v>
      </c>
      <c r="F46" s="589" t="str">
        <f>ﾏｽﾀ!$R45&amp;""</f>
        <v>株式会社スカイ・ジェイ</v>
      </c>
      <c r="G46" s="632">
        <f>VLOOKUP($E46,'集計16-E'!$E$9:$AF$90,'集計16-E'!$G$7-$D$7,FALSE)+VLOOKUP($E46,'集計F-15'!$E$9:$AF$90,'集計F-15'!$G$7-$D$7,FALSE)-INDEX($J$9:$J$90,MATCH($E46,$E$9:$E$90,0))</f>
        <v>0</v>
      </c>
      <c r="H46" s="633">
        <f>VLOOKUP($E46,'集計16-E'!$E$9:$AF$90,'集計16-E'!$H$7-$D$7,FALSE)+VLOOKUP($E46,'集計F-15'!$E$9:$AF$90,'集計F-15'!$H$7-$D$7,FALSE)-INDEX($K$9:$K$90,MATCH($E46,$E$9:$E$90,0))</f>
        <v>0</v>
      </c>
      <c r="I46" s="345"/>
      <c r="J46" s="126">
        <f>SUMIF(請求Data!$F$11:$F$160,CONCATENATE(VLOOKUP(G$5,$G$1:$H$4,2,FALSE),$E46,1,2),請求Data!$AF$11:$AF$160)</f>
        <v>0</v>
      </c>
      <c r="K46" s="127">
        <f>SUMIF(請求Data!$F$11:$F$160,CONCATENATE(VLOOKUP(G$5,$G$1:$H$4,2,FALSE),$E46,1,2),請求Data!$AG$11:$AG$160)</f>
        <v>0</v>
      </c>
      <c r="L46" s="345"/>
      <c r="M46" s="175">
        <f>VLOOKUP($E46,'集計16-E'!$E$9:$AF$90,'集計16-E'!$M$7-$D$7,FALSE)+VLOOKUP($E46,'集計F-15'!$E$9:$AF$90,'集計F-15'!$M$7-$D$7,FALSE)</f>
        <v>0</v>
      </c>
      <c r="N46" s="432">
        <f>VLOOKUP($E46,'集計16-E'!$E$9:$AF$90,'集計16-E'!$N$7-$D$7,FALSE)+VLOOKUP($E46,'集計F-15'!$E$9:$AF$90,'集計F-15'!$N$7-$D$7,FALSE)</f>
        <v>0</v>
      </c>
      <c r="O46" s="345"/>
      <c r="P46" s="644">
        <f>VLOOKUP($E46,'集計16-E'!$E$9:$AF$90,'集計16-E'!$P$7-$D$7,FALSE)+VLOOKUP($E46,'集計F-15'!$E$9:$AF$90,'集計F-15'!$P$7-$D$7,FALSE)-$S46</f>
        <v>0</v>
      </c>
      <c r="Q46" s="645">
        <f>VLOOKUP($E46,'集計16-E'!$E$9:$AF$90,'集計16-E'!$Q$7-$D$7,FALSE)+VLOOKUP($E46,'集計F-15'!$E$9:$AF$90,'集計F-15'!$Q$7-$D$7,FALSE)-$T46</f>
        <v>0</v>
      </c>
      <c r="R46" s="345"/>
      <c r="S46" s="175">
        <f>SUMIF(請求Data!$F$11:$F$160,CONCATENATE(VLOOKUP(P$5,$G$1:$H$4,2,FALSE),$E46,1,2),請求Data!$AF$11:$AF$160)</f>
        <v>0</v>
      </c>
      <c r="T46" s="177">
        <f>SUMIF(請求Data!$F$11:$F$160,CONCATENATE(VLOOKUP(P$5,$G$1:$H$4,2,FALSE),$E46,1,2),請求Data!$AG$11:$AG$160)</f>
        <v>0</v>
      </c>
      <c r="U46" s="345"/>
      <c r="V46" s="175">
        <f>VLOOKUP($E46,'集計16-E'!$E$9:$AF$90,'集計16-E'!$V$7-$D$7,0)+VLOOKUP($E46,'集計F-15'!$E$9:$AF$90,'集計F-15'!$V$7-$D$7,0)</f>
        <v>0</v>
      </c>
      <c r="W46" s="433">
        <f>VLOOKUP($E46,'集計16-E'!$E$9:$AF$90,'集計16-E'!$W$7-$D$7,0)+VLOOKUP($E46,'集計F-15'!$E$9:$AF$90,'集計F-15'!$W$7-$D$7,0)</f>
        <v>0</v>
      </c>
      <c r="X46" s="345"/>
      <c r="Y46" s="644">
        <f>VLOOKUP($E46,'集計16-E'!$E$9:AF$90,'集計16-E'!$Y$7-$D$7,0)+VLOOKUP($E46,'集計F-15'!$E$9:AF$90,'集計F-15'!$Y$7-$D$7,0)-$AB46</f>
        <v>0</v>
      </c>
      <c r="Z46" s="645">
        <f>VLOOKUP($E46,'集計16-E'!$E$9:AF$90,'集計16-E'!$Z$7-$D$7,0)+VLOOKUP($E46,'集計F-15'!$E$9:AF$90,'集計F-15'!$Z$7-$D$7,0)-$AC46</f>
        <v>0</v>
      </c>
      <c r="AA46" s="345"/>
      <c r="AB46" s="175">
        <f>SUMIF(請求Data!$F$11:$F$160,CONCATENATE(VLOOKUP(Y$5,$G$1:$H$4,2,FALSE),$E46,1,2),請求Data!$AF$11:$AF$160)</f>
        <v>0</v>
      </c>
      <c r="AC46" s="177">
        <f>SUMIF(請求Data!$F$11:$F$160,CONCATENATE(VLOOKUP(Y$5,$G$1:$H$4,2,FALSE),$E46,1,2),請求Data!$AG$11:$AG$160)</f>
        <v>0</v>
      </c>
      <c r="AD46" s="345"/>
      <c r="AE46" s="175">
        <f>VLOOKUP($E46,'集計16-E'!$E$9:AF$90,'集計16-E'!$AE$7-$D$7,0)+VLOOKUP($E46,'集計F-15'!$E$9:AF$90,'集計F-15'!$AE$7-$D$7,0)</f>
        <v>0</v>
      </c>
      <c r="AF46" s="433">
        <f>VLOOKUP($E46,'集計16-E'!$E$9:AF$90,'集計16-E'!$AF$7-$D$7,0)+VLOOKUP($E46,'集計F-15'!$E$9:AF$90,'集計F-15'!$AF$7-$D$7,0)</f>
        <v>0</v>
      </c>
    </row>
    <row r="47" spans="1:32">
      <c r="A47" s="474" t="str">
        <f>IF(SUMIFS($G47:$AF47,$G$8:$AF$8,"金額",$G47:$AF47,"&gt;0")-SUMIFS($G47:$AF47,$G$8:$AF$8,"金額",$G47:$AF47,"&lt;0")&lt;=0,"",MAX($A$8:$A46)+1)</f>
        <v/>
      </c>
      <c r="B47" s="802"/>
      <c r="C47" s="245" t="str">
        <f t="shared" si="1"/>
        <v>商品</v>
      </c>
      <c r="D47" s="245">
        <v>39</v>
      </c>
      <c r="E47" s="590" t="str">
        <f>IF($F47&lt;&gt;"",INDEX(ﾏｽﾀ!$D$8:$D$124,MATCH(INDEX(ﾏｽﾀ!$N$8:$N$124,MATCH($F47,ﾏｽﾀ!$O$8:$O$124,0)),ﾏｽﾀ!$B$8:$B$124,0))&amp;"","")</f>
        <v>76000</v>
      </c>
      <c r="F47" s="589" t="str">
        <f>ﾏｽﾀ!$R46&amp;""</f>
        <v>株式会社カプコン</v>
      </c>
      <c r="G47" s="632">
        <f>VLOOKUP($E47,'集計16-E'!$E$9:$AF$90,'集計16-E'!$G$7-$D$7,FALSE)+VLOOKUP($E47,'集計F-15'!$E$9:$AF$90,'集計F-15'!$G$7-$D$7,FALSE)-INDEX($J$9:$J$90,MATCH($E47,$E$9:$E$90,0))</f>
        <v>0</v>
      </c>
      <c r="H47" s="633">
        <f>VLOOKUP($E47,'集計16-E'!$E$9:$AF$90,'集計16-E'!$H$7-$D$7,FALSE)+VLOOKUP($E47,'集計F-15'!$E$9:$AF$90,'集計F-15'!$H$7-$D$7,FALSE)-INDEX($K$9:$K$90,MATCH($E47,$E$9:$E$90,0))</f>
        <v>0</v>
      </c>
      <c r="I47" s="345"/>
      <c r="J47" s="126">
        <f>SUMIF(請求Data!$F$11:$F$160,CONCATENATE(VLOOKUP(G$5,$G$1:$H$4,2,FALSE),$E47,1,2),請求Data!$AF$11:$AF$160)</f>
        <v>0</v>
      </c>
      <c r="K47" s="127">
        <f>SUMIF(請求Data!$F$11:$F$160,CONCATENATE(VLOOKUP(G$5,$G$1:$H$4,2,FALSE),$E47,1,2),請求Data!$AG$11:$AG$160)</f>
        <v>0</v>
      </c>
      <c r="L47" s="345"/>
      <c r="M47" s="175">
        <f>VLOOKUP($E47,'集計16-E'!$E$9:$AF$90,'集計16-E'!$M$7-$D$7,FALSE)+VLOOKUP($E47,'集計F-15'!$E$9:$AF$90,'集計F-15'!$M$7-$D$7,FALSE)</f>
        <v>0</v>
      </c>
      <c r="N47" s="432">
        <f>VLOOKUP($E47,'集計16-E'!$E$9:$AF$90,'集計16-E'!$N$7-$D$7,FALSE)+VLOOKUP($E47,'集計F-15'!$E$9:$AF$90,'集計F-15'!$N$7-$D$7,FALSE)</f>
        <v>0</v>
      </c>
      <c r="O47" s="345"/>
      <c r="P47" s="644">
        <f>VLOOKUP($E47,'集計16-E'!$E$9:$AF$90,'集計16-E'!$P$7-$D$7,FALSE)+VLOOKUP($E47,'集計F-15'!$E$9:$AF$90,'集計F-15'!$P$7-$D$7,FALSE)-$S47</f>
        <v>0</v>
      </c>
      <c r="Q47" s="645">
        <f>VLOOKUP($E47,'集計16-E'!$E$9:$AF$90,'集計16-E'!$Q$7-$D$7,FALSE)+VLOOKUP($E47,'集計F-15'!$E$9:$AF$90,'集計F-15'!$Q$7-$D$7,FALSE)-$T47</f>
        <v>0</v>
      </c>
      <c r="R47" s="345"/>
      <c r="S47" s="175">
        <f>SUMIF(請求Data!$F$11:$F$160,CONCATENATE(VLOOKUP(P$5,$G$1:$H$4,2,FALSE),$E47,1,2),請求Data!$AF$11:$AF$160)</f>
        <v>0</v>
      </c>
      <c r="T47" s="177">
        <f>SUMIF(請求Data!$F$11:$F$160,CONCATENATE(VLOOKUP(P$5,$G$1:$H$4,2,FALSE),$E47,1,2),請求Data!$AG$11:$AG$160)</f>
        <v>0</v>
      </c>
      <c r="U47" s="345"/>
      <c r="V47" s="175">
        <f>VLOOKUP($E47,'集計16-E'!$E$9:$AF$90,'集計16-E'!$V$7-$D$7,0)+VLOOKUP($E47,'集計F-15'!$E$9:$AF$90,'集計F-15'!$V$7-$D$7,0)</f>
        <v>0</v>
      </c>
      <c r="W47" s="433">
        <f>VLOOKUP($E47,'集計16-E'!$E$9:$AF$90,'集計16-E'!$W$7-$D$7,0)+VLOOKUP($E47,'集計F-15'!$E$9:$AF$90,'集計F-15'!$W$7-$D$7,0)</f>
        <v>0</v>
      </c>
      <c r="X47" s="345"/>
      <c r="Y47" s="644">
        <f>VLOOKUP($E47,'集計16-E'!$E$9:AF$90,'集計16-E'!$Y$7-$D$7,0)+VLOOKUP($E47,'集計F-15'!$E$9:AF$90,'集計F-15'!$Y$7-$D$7,0)-$AB47</f>
        <v>0</v>
      </c>
      <c r="Z47" s="645">
        <f>VLOOKUP($E47,'集計16-E'!$E$9:AF$90,'集計16-E'!$Z$7-$D$7,0)+VLOOKUP($E47,'集計F-15'!$E$9:AF$90,'集計F-15'!$Z$7-$D$7,0)-$AC47</f>
        <v>0</v>
      </c>
      <c r="AA47" s="345"/>
      <c r="AB47" s="175">
        <f>SUMIF(請求Data!$F$11:$F$160,CONCATENATE(VLOOKUP(Y$5,$G$1:$H$4,2,FALSE),$E47,1,2),請求Data!$AF$11:$AF$160)</f>
        <v>0</v>
      </c>
      <c r="AC47" s="177">
        <f>SUMIF(請求Data!$F$11:$F$160,CONCATENATE(VLOOKUP(Y$5,$G$1:$H$4,2,FALSE),$E47,1,2),請求Data!$AG$11:$AG$160)</f>
        <v>0</v>
      </c>
      <c r="AD47" s="345"/>
      <c r="AE47" s="175">
        <f>VLOOKUP($E47,'集計16-E'!$E$9:AF$90,'集計16-E'!$AE$7-$D$7,0)+VLOOKUP($E47,'集計F-15'!$E$9:AF$90,'集計F-15'!$AE$7-$D$7,0)</f>
        <v>0</v>
      </c>
      <c r="AF47" s="433">
        <f>VLOOKUP($E47,'集計16-E'!$E$9:AF$90,'集計16-E'!$AF$7-$D$7,0)+VLOOKUP($E47,'集計F-15'!$E$9:AF$90,'集計F-15'!$AF$7-$D$7,0)</f>
        <v>0</v>
      </c>
    </row>
    <row r="48" spans="1:32">
      <c r="A48" s="474" t="str">
        <f>IF(SUMIFS($G48:$AF48,$G$8:$AF$8,"金額",$G48:$AF48,"&gt;0")-SUMIFS($G48:$AF48,$G$8:$AF$8,"金額",$G48:$AF48,"&lt;0")&lt;=0,"",MAX($A$8:$A47)+1)</f>
        <v/>
      </c>
      <c r="B48" s="802"/>
      <c r="C48" s="245" t="str">
        <f t="shared" si="1"/>
        <v>商品</v>
      </c>
      <c r="D48" s="245">
        <v>40</v>
      </c>
      <c r="E48" s="590" t="str">
        <f>IF($F48&lt;&gt;"",INDEX(ﾏｽﾀ!$D$8:$D$124,MATCH(INDEX(ﾏｽﾀ!$N$8:$N$124,MATCH($F48,ﾏｽﾀ!$O$8:$O$124,0)),ﾏｽﾀ!$B$8:$B$124,0))&amp;"","")</f>
        <v>77000</v>
      </c>
      <c r="F48" s="589" t="str">
        <f>ﾏｽﾀ!$R47&amp;""</f>
        <v>株式会社そごう・西武</v>
      </c>
      <c r="G48" s="632">
        <f>VLOOKUP($E48,'集計16-E'!$E$9:$AF$90,'集計16-E'!$G$7-$D$7,FALSE)+VLOOKUP($E48,'集計F-15'!$E$9:$AF$90,'集計F-15'!$G$7-$D$7,FALSE)-INDEX($J$9:$J$90,MATCH($E48,$E$9:$E$90,0))</f>
        <v>0</v>
      </c>
      <c r="H48" s="633">
        <f>VLOOKUP($E48,'集計16-E'!$E$9:$AF$90,'集計16-E'!$H$7-$D$7,FALSE)+VLOOKUP($E48,'集計F-15'!$E$9:$AF$90,'集計F-15'!$H$7-$D$7,FALSE)-INDEX($K$9:$K$90,MATCH($E48,$E$9:$E$90,0))</f>
        <v>0</v>
      </c>
      <c r="I48" s="345"/>
      <c r="J48" s="126">
        <f>SUMIF(請求Data!$F$11:$F$160,CONCATENATE(VLOOKUP(G$5,$G$1:$H$4,2,FALSE),$E48,1,2),請求Data!$AF$11:$AF$160)</f>
        <v>0</v>
      </c>
      <c r="K48" s="127">
        <f>SUMIF(請求Data!$F$11:$F$160,CONCATENATE(VLOOKUP(G$5,$G$1:$H$4,2,FALSE),$E48,1,2),請求Data!$AG$11:$AG$160)</f>
        <v>0</v>
      </c>
      <c r="L48" s="345"/>
      <c r="M48" s="175">
        <f>VLOOKUP($E48,'集計16-E'!$E$9:$AF$90,'集計16-E'!$M$7-$D$7,FALSE)+VLOOKUP($E48,'集計F-15'!$E$9:$AF$90,'集計F-15'!$M$7-$D$7,FALSE)</f>
        <v>0</v>
      </c>
      <c r="N48" s="432">
        <f>VLOOKUP($E48,'集計16-E'!$E$9:$AF$90,'集計16-E'!$N$7-$D$7,FALSE)+VLOOKUP($E48,'集計F-15'!$E$9:$AF$90,'集計F-15'!$N$7-$D$7,FALSE)</f>
        <v>0</v>
      </c>
      <c r="O48" s="345"/>
      <c r="P48" s="644">
        <f>VLOOKUP($E48,'集計16-E'!$E$9:$AF$90,'集計16-E'!$P$7-$D$7,FALSE)+VLOOKUP($E48,'集計F-15'!$E$9:$AF$90,'集計F-15'!$P$7-$D$7,FALSE)-$S48</f>
        <v>0</v>
      </c>
      <c r="Q48" s="645">
        <f>VLOOKUP($E48,'集計16-E'!$E$9:$AF$90,'集計16-E'!$Q$7-$D$7,FALSE)+VLOOKUP($E48,'集計F-15'!$E$9:$AF$90,'集計F-15'!$Q$7-$D$7,FALSE)-$T48</f>
        <v>0</v>
      </c>
      <c r="R48" s="345"/>
      <c r="S48" s="175">
        <f>SUMIF(請求Data!$F$11:$F$160,CONCATENATE(VLOOKUP(P$5,$G$1:$H$4,2,FALSE),$E48,1,2),請求Data!$AF$11:$AF$160)</f>
        <v>0</v>
      </c>
      <c r="T48" s="177">
        <f>SUMIF(請求Data!$F$11:$F$160,CONCATENATE(VLOOKUP(P$5,$G$1:$H$4,2,FALSE),$E48,1,2),請求Data!$AG$11:$AG$160)</f>
        <v>0</v>
      </c>
      <c r="U48" s="345"/>
      <c r="V48" s="175">
        <f>VLOOKUP($E48,'集計16-E'!$E$9:$AF$90,'集計16-E'!$V$7-$D$7,0)+VLOOKUP($E48,'集計F-15'!$E$9:$AF$90,'集計F-15'!$V$7-$D$7,0)</f>
        <v>0</v>
      </c>
      <c r="W48" s="433">
        <f>VLOOKUP($E48,'集計16-E'!$E$9:$AF$90,'集計16-E'!$W$7-$D$7,0)+VLOOKUP($E48,'集計F-15'!$E$9:$AF$90,'集計F-15'!$W$7-$D$7,0)</f>
        <v>0</v>
      </c>
      <c r="X48" s="345"/>
      <c r="Y48" s="644">
        <f>VLOOKUP($E48,'集計16-E'!$E$9:AF$90,'集計16-E'!$Y$7-$D$7,0)+VLOOKUP($E48,'集計F-15'!$E$9:AF$90,'集計F-15'!$Y$7-$D$7,0)-$AB48</f>
        <v>0</v>
      </c>
      <c r="Z48" s="645">
        <f>VLOOKUP($E48,'集計16-E'!$E$9:AF$90,'集計16-E'!$Z$7-$D$7,0)+VLOOKUP($E48,'集計F-15'!$E$9:AF$90,'集計F-15'!$Z$7-$D$7,0)-$AC48</f>
        <v>0</v>
      </c>
      <c r="AA48" s="345"/>
      <c r="AB48" s="175">
        <f>SUMIF(請求Data!$F$11:$F$160,CONCATENATE(VLOOKUP(Y$5,$G$1:$H$4,2,FALSE),$E48,1,2),請求Data!$AF$11:$AF$160)</f>
        <v>0</v>
      </c>
      <c r="AC48" s="177">
        <f>SUMIF(請求Data!$F$11:$F$160,CONCATENATE(VLOOKUP(Y$5,$G$1:$H$4,2,FALSE),$E48,1,2),請求Data!$AG$11:$AG$160)</f>
        <v>0</v>
      </c>
      <c r="AD48" s="345"/>
      <c r="AE48" s="175">
        <f>VLOOKUP($E48,'集計16-E'!$E$9:AF$90,'集計16-E'!$AE$7-$D$7,0)+VLOOKUP($E48,'集計F-15'!$E$9:AF$90,'集計F-15'!$AE$7-$D$7,0)</f>
        <v>0</v>
      </c>
      <c r="AF48" s="433">
        <f>VLOOKUP($E48,'集計16-E'!$E$9:AF$90,'集計16-E'!$AF$7-$D$7,0)+VLOOKUP($E48,'集計F-15'!$E$9:AF$90,'集計F-15'!$AF$7-$D$7,0)</f>
        <v>0</v>
      </c>
    </row>
    <row r="49" spans="1:32">
      <c r="A49" s="474" t="str">
        <f>IF(SUMIFS($G49:$AF49,$G$8:$AF$8,"金額",$G49:$AF49,"&gt;0")-SUMIFS($G49:$AF49,$G$8:$AF$8,"金額",$G49:$AF49,"&lt;0")&lt;=0,"",MAX($A$8:$A48)+1)</f>
        <v/>
      </c>
      <c r="B49" s="802"/>
      <c r="C49" s="245" t="str">
        <f t="shared" si="1"/>
        <v>商品</v>
      </c>
      <c r="D49" s="245">
        <v>41</v>
      </c>
      <c r="E49" s="590" t="str">
        <f>IF($F49&lt;&gt;"",INDEX(ﾏｽﾀ!$D$8:$D$124,MATCH(INDEX(ﾏｽﾀ!$N$8:$N$124,MATCH($F49,ﾏｽﾀ!$O$8:$O$124,0)),ﾏｽﾀ!$B$8:$B$124,0))&amp;"","")</f>
        <v>78000</v>
      </c>
      <c r="F49" s="589" t="str">
        <f>ﾏｽﾀ!$R48&amp;""</f>
        <v>株式会社ティー・シー・ピー</v>
      </c>
      <c r="G49" s="632">
        <f>VLOOKUP($E49,'集計16-E'!$E$9:$AF$90,'集計16-E'!$G$7-$D$7,FALSE)+VLOOKUP($E49,'集計F-15'!$E$9:$AF$90,'集計F-15'!$G$7-$D$7,FALSE)-INDEX($J$9:$J$90,MATCH($E49,$E$9:$E$90,0))</f>
        <v>0</v>
      </c>
      <c r="H49" s="633">
        <f>VLOOKUP($E49,'集計16-E'!$E$9:$AF$90,'集計16-E'!$H$7-$D$7,FALSE)+VLOOKUP($E49,'集計F-15'!$E$9:$AF$90,'集計F-15'!$H$7-$D$7,FALSE)-INDEX($K$9:$K$90,MATCH($E49,$E$9:$E$90,0))</f>
        <v>0</v>
      </c>
      <c r="I49" s="345"/>
      <c r="J49" s="126">
        <f>SUMIF(請求Data!$F$11:$F$160,CONCATENATE(VLOOKUP(G$5,$G$1:$H$4,2,FALSE),$E49,1,2),請求Data!$AF$11:$AF$160)</f>
        <v>0</v>
      </c>
      <c r="K49" s="127">
        <f>SUMIF(請求Data!$F$11:$F$160,CONCATENATE(VLOOKUP(G$5,$G$1:$H$4,2,FALSE),$E49,1,2),請求Data!$AG$11:$AG$160)</f>
        <v>0</v>
      </c>
      <c r="L49" s="345"/>
      <c r="M49" s="175">
        <f>VLOOKUP($E49,'集計16-E'!$E$9:$AF$90,'集計16-E'!$M$7-$D$7,FALSE)+VLOOKUP($E49,'集計F-15'!$E$9:$AF$90,'集計F-15'!$M$7-$D$7,FALSE)</f>
        <v>0</v>
      </c>
      <c r="N49" s="432">
        <f>VLOOKUP($E49,'集計16-E'!$E$9:$AF$90,'集計16-E'!$N$7-$D$7,FALSE)+VLOOKUP($E49,'集計F-15'!$E$9:$AF$90,'集計F-15'!$N$7-$D$7,FALSE)</f>
        <v>0</v>
      </c>
      <c r="O49" s="345"/>
      <c r="P49" s="644">
        <f>VLOOKUP($E49,'集計16-E'!$E$9:$AF$90,'集計16-E'!$P$7-$D$7,FALSE)+VLOOKUP($E49,'集計F-15'!$E$9:$AF$90,'集計F-15'!$P$7-$D$7,FALSE)-$S49</f>
        <v>0</v>
      </c>
      <c r="Q49" s="645">
        <f>VLOOKUP($E49,'集計16-E'!$E$9:$AF$90,'集計16-E'!$Q$7-$D$7,FALSE)+VLOOKUP($E49,'集計F-15'!$E$9:$AF$90,'集計F-15'!$Q$7-$D$7,FALSE)-$T49</f>
        <v>0</v>
      </c>
      <c r="R49" s="345"/>
      <c r="S49" s="175">
        <f>SUMIF(請求Data!$F$11:$F$160,CONCATENATE(VLOOKUP(P$5,$G$1:$H$4,2,FALSE),$E49,1,2),請求Data!$AF$11:$AF$160)</f>
        <v>0</v>
      </c>
      <c r="T49" s="177">
        <f>SUMIF(請求Data!$F$11:$F$160,CONCATENATE(VLOOKUP(P$5,$G$1:$H$4,2,FALSE),$E49,1,2),請求Data!$AG$11:$AG$160)</f>
        <v>0</v>
      </c>
      <c r="U49" s="345"/>
      <c r="V49" s="175">
        <f>VLOOKUP($E49,'集計16-E'!$E$9:$AF$90,'集計16-E'!$V$7-$D$7,0)+VLOOKUP($E49,'集計F-15'!$E$9:$AF$90,'集計F-15'!$V$7-$D$7,0)</f>
        <v>0</v>
      </c>
      <c r="W49" s="433">
        <f>VLOOKUP($E49,'集計16-E'!$E$9:$AF$90,'集計16-E'!$W$7-$D$7,0)+VLOOKUP($E49,'集計F-15'!$E$9:$AF$90,'集計F-15'!$W$7-$D$7,0)</f>
        <v>0</v>
      </c>
      <c r="X49" s="345"/>
      <c r="Y49" s="644">
        <f>VLOOKUP($E49,'集計16-E'!$E$9:AF$90,'集計16-E'!$Y$7-$D$7,0)+VLOOKUP($E49,'集計F-15'!$E$9:AF$90,'集計F-15'!$Y$7-$D$7,0)-$AB49</f>
        <v>0</v>
      </c>
      <c r="Z49" s="645">
        <f>VLOOKUP($E49,'集計16-E'!$E$9:AF$90,'集計16-E'!$Z$7-$D$7,0)+VLOOKUP($E49,'集計F-15'!$E$9:AF$90,'集計F-15'!$Z$7-$D$7,0)-$AC49</f>
        <v>0</v>
      </c>
      <c r="AA49" s="345"/>
      <c r="AB49" s="175">
        <f>SUMIF(請求Data!$F$11:$F$160,CONCATENATE(VLOOKUP(Y$5,$G$1:$H$4,2,FALSE),$E49,1,2),請求Data!$AF$11:$AF$160)</f>
        <v>0</v>
      </c>
      <c r="AC49" s="177">
        <f>SUMIF(請求Data!$F$11:$F$160,CONCATENATE(VLOOKUP(Y$5,$G$1:$H$4,2,FALSE),$E49,1,2),請求Data!$AG$11:$AG$160)</f>
        <v>0</v>
      </c>
      <c r="AD49" s="345"/>
      <c r="AE49" s="175">
        <f>VLOOKUP($E49,'集計16-E'!$E$9:AF$90,'集計16-E'!$AE$7-$D$7,0)+VLOOKUP($E49,'集計F-15'!$E$9:AF$90,'集計F-15'!$AE$7-$D$7,0)</f>
        <v>0</v>
      </c>
      <c r="AF49" s="433">
        <f>VLOOKUP($E49,'集計16-E'!$E$9:AF$90,'集計16-E'!$AF$7-$D$7,0)+VLOOKUP($E49,'集計F-15'!$E$9:AF$90,'集計F-15'!$AF$7-$D$7,0)</f>
        <v>0</v>
      </c>
    </row>
    <row r="50" spans="1:32">
      <c r="A50" s="474" t="str">
        <f>IF(SUMIFS($G50:$AF50,$G$8:$AF$8,"金額",$G50:$AF50,"&gt;0")-SUMIFS($G50:$AF50,$G$8:$AF$8,"金額",$G50:$AF50,"&lt;0")&lt;=0,"",MAX($A$8:$A49)+1)</f>
        <v/>
      </c>
      <c r="B50" s="802"/>
      <c r="C50" s="245" t="str">
        <f t="shared" si="1"/>
        <v>商品</v>
      </c>
      <c r="D50" s="245">
        <v>42</v>
      </c>
      <c r="E50" s="590" t="str">
        <f>IF($F50&lt;&gt;"",INDEX(ﾏｽﾀ!$D$8:$D$124,MATCH(INDEX(ﾏｽﾀ!$N$8:$N$124,MATCH($F50,ﾏｽﾀ!$O$8:$O$124,0)),ﾏｽﾀ!$B$8:$B$124,0))&amp;"","")</f>
        <v>79000</v>
      </c>
      <c r="F50" s="589" t="str">
        <f>ﾏｽﾀ!$R49&amp;""</f>
        <v>総合商研株式会社</v>
      </c>
      <c r="G50" s="632">
        <f>VLOOKUP($E50,'集計16-E'!$E$9:$AF$90,'集計16-E'!$G$7-$D$7,FALSE)+VLOOKUP($E50,'集計F-15'!$E$9:$AF$90,'集計F-15'!$G$7-$D$7,FALSE)-INDEX($J$9:$J$90,MATCH($E50,$E$9:$E$90,0))</f>
        <v>0</v>
      </c>
      <c r="H50" s="633">
        <f>VLOOKUP($E50,'集計16-E'!$E$9:$AF$90,'集計16-E'!$H$7-$D$7,FALSE)+VLOOKUP($E50,'集計F-15'!$E$9:$AF$90,'集計F-15'!$H$7-$D$7,FALSE)-INDEX($K$9:$K$90,MATCH($E50,$E$9:$E$90,0))</f>
        <v>0</v>
      </c>
      <c r="I50" s="345"/>
      <c r="J50" s="126">
        <f>SUMIF(請求Data!$F$11:$F$160,CONCATENATE(VLOOKUP(G$5,$G$1:$H$4,2,FALSE),$E50,1,2),請求Data!$AF$11:$AF$160)</f>
        <v>0</v>
      </c>
      <c r="K50" s="127">
        <f>SUMIF(請求Data!$F$11:$F$160,CONCATENATE(VLOOKUP(G$5,$G$1:$H$4,2,FALSE),$E50,1,2),請求Data!$AG$11:$AG$160)</f>
        <v>0</v>
      </c>
      <c r="L50" s="345"/>
      <c r="M50" s="175">
        <f>VLOOKUP($E50,'集計16-E'!$E$9:$AF$90,'集計16-E'!$M$7-$D$7,FALSE)+VLOOKUP($E50,'集計F-15'!$E$9:$AF$90,'集計F-15'!$M$7-$D$7,FALSE)</f>
        <v>0</v>
      </c>
      <c r="N50" s="432">
        <f>VLOOKUP($E50,'集計16-E'!$E$9:$AF$90,'集計16-E'!$N$7-$D$7,FALSE)+VLOOKUP($E50,'集計F-15'!$E$9:$AF$90,'集計F-15'!$N$7-$D$7,FALSE)</f>
        <v>0</v>
      </c>
      <c r="O50" s="345"/>
      <c r="P50" s="644">
        <f>VLOOKUP($E50,'集計16-E'!$E$9:$AF$90,'集計16-E'!$P$7-$D$7,FALSE)+VLOOKUP($E50,'集計F-15'!$E$9:$AF$90,'集計F-15'!$P$7-$D$7,FALSE)-$S50</f>
        <v>0</v>
      </c>
      <c r="Q50" s="645">
        <f>VLOOKUP($E50,'集計16-E'!$E$9:$AF$90,'集計16-E'!$Q$7-$D$7,FALSE)+VLOOKUP($E50,'集計F-15'!$E$9:$AF$90,'集計F-15'!$Q$7-$D$7,FALSE)-$T50</f>
        <v>0</v>
      </c>
      <c r="R50" s="345"/>
      <c r="S50" s="175">
        <f>SUMIF(請求Data!$F$11:$F$160,CONCATENATE(VLOOKUP(P$5,$G$1:$H$4,2,FALSE),$E50,1,2),請求Data!$AF$11:$AF$160)</f>
        <v>0</v>
      </c>
      <c r="T50" s="177">
        <f>SUMIF(請求Data!$F$11:$F$160,CONCATENATE(VLOOKUP(P$5,$G$1:$H$4,2,FALSE),$E50,1,2),請求Data!$AG$11:$AG$160)</f>
        <v>0</v>
      </c>
      <c r="U50" s="345"/>
      <c r="V50" s="175">
        <f>VLOOKUP($E50,'集計16-E'!$E$9:$AF$90,'集計16-E'!$V$7-$D$7,0)+VLOOKUP($E50,'集計F-15'!$E$9:$AF$90,'集計F-15'!$V$7-$D$7,0)</f>
        <v>0</v>
      </c>
      <c r="W50" s="433">
        <f>VLOOKUP($E50,'集計16-E'!$E$9:$AF$90,'集計16-E'!$W$7-$D$7,0)+VLOOKUP($E50,'集計F-15'!$E$9:$AF$90,'集計F-15'!$W$7-$D$7,0)</f>
        <v>0</v>
      </c>
      <c r="X50" s="345"/>
      <c r="Y50" s="644">
        <f>VLOOKUP($E50,'集計16-E'!$E$9:AF$90,'集計16-E'!$Y$7-$D$7,0)+VLOOKUP($E50,'集計F-15'!$E$9:AF$90,'集計F-15'!$Y$7-$D$7,0)-$AB50</f>
        <v>0</v>
      </c>
      <c r="Z50" s="645">
        <f>VLOOKUP($E50,'集計16-E'!$E$9:AF$90,'集計16-E'!$Z$7-$D$7,0)+VLOOKUP($E50,'集計F-15'!$E$9:AF$90,'集計F-15'!$Z$7-$D$7,0)-$AC50</f>
        <v>0</v>
      </c>
      <c r="AA50" s="345"/>
      <c r="AB50" s="175">
        <f>SUMIF(請求Data!$F$11:$F$160,CONCATENATE(VLOOKUP(Y$5,$G$1:$H$4,2,FALSE),$E50,1,2),請求Data!$AF$11:$AF$160)</f>
        <v>0</v>
      </c>
      <c r="AC50" s="177">
        <f>SUMIF(請求Data!$F$11:$F$160,CONCATENATE(VLOOKUP(Y$5,$G$1:$H$4,2,FALSE),$E50,1,2),請求Data!$AG$11:$AG$160)</f>
        <v>0</v>
      </c>
      <c r="AD50" s="345"/>
      <c r="AE50" s="175">
        <f>VLOOKUP($E50,'集計16-E'!$E$9:AF$90,'集計16-E'!$AE$7-$D$7,0)+VLOOKUP($E50,'集計F-15'!$E$9:AF$90,'集計F-15'!$AE$7-$D$7,0)</f>
        <v>0</v>
      </c>
      <c r="AF50" s="433">
        <f>VLOOKUP($E50,'集計16-E'!$E$9:AF$90,'集計16-E'!$AF$7-$D$7,0)+VLOOKUP($E50,'集計F-15'!$E$9:AF$90,'集計F-15'!$AF$7-$D$7,0)</f>
        <v>0</v>
      </c>
    </row>
    <row r="51" spans="1:32">
      <c r="A51" s="474" t="str">
        <f>IF(SUMIFS($G51:$AF51,$G$8:$AF$8,"金額",$G51:$AF51,"&gt;0")-SUMIFS($G51:$AF51,$G$8:$AF$8,"金額",$G51:$AF51,"&lt;0")&lt;=0,"",MAX($A$8:$A50)+1)</f>
        <v/>
      </c>
      <c r="B51" s="802"/>
      <c r="C51" s="245" t="str">
        <f t="shared" si="1"/>
        <v>商品</v>
      </c>
      <c r="D51" s="245">
        <v>43</v>
      </c>
      <c r="E51" s="590" t="str">
        <f>IF($F51&lt;&gt;"",INDEX(ﾏｽﾀ!$D$8:$D$124,MATCH(INDEX(ﾏｽﾀ!$N$8:$N$124,MATCH($F51,ﾏｽﾀ!$O$8:$O$124,0)),ﾏｽﾀ!$B$8:$B$124,0))&amp;"","")</f>
        <v>80000</v>
      </c>
      <c r="F51" s="589" t="str">
        <f>ﾏｽﾀ!$R50&amp;""</f>
        <v>株式会社ポリゴン・ピクチュアズ</v>
      </c>
      <c r="G51" s="632">
        <f>VLOOKUP($E51,'集計16-E'!$E$9:$AF$90,'集計16-E'!$G$7-$D$7,FALSE)+VLOOKUP($E51,'集計F-15'!$E$9:$AF$90,'集計F-15'!$G$7-$D$7,FALSE)-INDEX($J$9:$J$90,MATCH($E51,$E$9:$E$90,0))</f>
        <v>0</v>
      </c>
      <c r="H51" s="633">
        <f>VLOOKUP($E51,'集計16-E'!$E$9:$AF$90,'集計16-E'!$H$7-$D$7,FALSE)+VLOOKUP($E51,'集計F-15'!$E$9:$AF$90,'集計F-15'!$H$7-$D$7,FALSE)-INDEX($K$9:$K$90,MATCH($E51,$E$9:$E$90,0))</f>
        <v>0</v>
      </c>
      <c r="I51" s="345"/>
      <c r="J51" s="126">
        <f>SUMIF(請求Data!$F$11:$F$160,CONCATENATE(VLOOKUP(G$5,$G$1:$H$4,2,FALSE),$E51,1,2),請求Data!$AF$11:$AF$160)</f>
        <v>0</v>
      </c>
      <c r="K51" s="127">
        <f>SUMIF(請求Data!$F$11:$F$160,CONCATENATE(VLOOKUP(G$5,$G$1:$H$4,2,FALSE),$E51,1,2),請求Data!$AG$11:$AG$160)</f>
        <v>0</v>
      </c>
      <c r="L51" s="345"/>
      <c r="M51" s="175">
        <f>VLOOKUP($E51,'集計16-E'!$E$9:$AF$90,'集計16-E'!$M$7-$D$7,FALSE)+VLOOKUP($E51,'集計F-15'!$E$9:$AF$90,'集計F-15'!$M$7-$D$7,FALSE)</f>
        <v>0</v>
      </c>
      <c r="N51" s="432">
        <f>VLOOKUP($E51,'集計16-E'!$E$9:$AF$90,'集計16-E'!$N$7-$D$7,FALSE)+VLOOKUP($E51,'集計F-15'!$E$9:$AF$90,'集計F-15'!$N$7-$D$7,FALSE)</f>
        <v>0</v>
      </c>
      <c r="O51" s="345"/>
      <c r="P51" s="644">
        <f>VLOOKUP($E51,'集計16-E'!$E$9:$AF$90,'集計16-E'!$P$7-$D$7,FALSE)+VLOOKUP($E51,'集計F-15'!$E$9:$AF$90,'集計F-15'!$P$7-$D$7,FALSE)-$S51</f>
        <v>0</v>
      </c>
      <c r="Q51" s="645">
        <f>VLOOKUP($E51,'集計16-E'!$E$9:$AF$90,'集計16-E'!$Q$7-$D$7,FALSE)+VLOOKUP($E51,'集計F-15'!$E$9:$AF$90,'集計F-15'!$Q$7-$D$7,FALSE)-$T51</f>
        <v>0</v>
      </c>
      <c r="R51" s="345"/>
      <c r="S51" s="175">
        <f>SUMIF(請求Data!$F$11:$F$160,CONCATENATE(VLOOKUP(P$5,$G$1:$H$4,2,FALSE),$E51,1,2),請求Data!$AF$11:$AF$160)</f>
        <v>0</v>
      </c>
      <c r="T51" s="177">
        <f>SUMIF(請求Data!$F$11:$F$160,CONCATENATE(VLOOKUP(P$5,$G$1:$H$4,2,FALSE),$E51,1,2),請求Data!$AG$11:$AG$160)</f>
        <v>0</v>
      </c>
      <c r="U51" s="345"/>
      <c r="V51" s="175">
        <f>VLOOKUP($E51,'集計16-E'!$E$9:$AF$90,'集計16-E'!$V$7-$D$7,0)+VLOOKUP($E51,'集計F-15'!$E$9:$AF$90,'集計F-15'!$V$7-$D$7,0)</f>
        <v>0</v>
      </c>
      <c r="W51" s="433">
        <f>VLOOKUP($E51,'集計16-E'!$E$9:$AF$90,'集計16-E'!$W$7-$D$7,0)+VLOOKUP($E51,'集計F-15'!$E$9:$AF$90,'集計F-15'!$W$7-$D$7,0)</f>
        <v>0</v>
      </c>
      <c r="X51" s="345"/>
      <c r="Y51" s="644">
        <f>VLOOKUP($E51,'集計16-E'!$E$9:AF$90,'集計16-E'!$Y$7-$D$7,0)+VLOOKUP($E51,'集計F-15'!$E$9:AF$90,'集計F-15'!$Y$7-$D$7,0)-$AB51</f>
        <v>0</v>
      </c>
      <c r="Z51" s="645">
        <f>VLOOKUP($E51,'集計16-E'!$E$9:AF$90,'集計16-E'!$Z$7-$D$7,0)+VLOOKUP($E51,'集計F-15'!$E$9:AF$90,'集計F-15'!$Z$7-$D$7,0)-$AC51</f>
        <v>0</v>
      </c>
      <c r="AA51" s="345"/>
      <c r="AB51" s="175">
        <f>SUMIF(請求Data!$F$11:$F$160,CONCATENATE(VLOOKUP(Y$5,$G$1:$H$4,2,FALSE),$E51,1,2),請求Data!$AF$11:$AF$160)</f>
        <v>0</v>
      </c>
      <c r="AC51" s="177">
        <f>SUMIF(請求Data!$F$11:$F$160,CONCATENATE(VLOOKUP(Y$5,$G$1:$H$4,2,FALSE),$E51,1,2),請求Data!$AG$11:$AG$160)</f>
        <v>0</v>
      </c>
      <c r="AD51" s="345"/>
      <c r="AE51" s="175">
        <f>VLOOKUP($E51,'集計16-E'!$E$9:AF$90,'集計16-E'!$AE$7-$D$7,0)+VLOOKUP($E51,'集計F-15'!$E$9:AF$90,'集計F-15'!$AE$7-$D$7,0)</f>
        <v>0</v>
      </c>
      <c r="AF51" s="433">
        <f>VLOOKUP($E51,'集計16-E'!$E$9:AF$90,'集計16-E'!$AF$7-$D$7,0)+VLOOKUP($E51,'集計F-15'!$E$9:AF$90,'集計F-15'!$AF$7-$D$7,0)</f>
        <v>0</v>
      </c>
    </row>
    <row r="52" spans="1:32">
      <c r="A52" s="474" t="str">
        <f>IF(SUMIFS($G52:$AF52,$G$8:$AF$8,"金額",$G52:$AF52,"&gt;0")-SUMIFS($G52:$AF52,$G$8:$AF$8,"金額",$G52:$AF52,"&lt;0")&lt;=0,"",MAX($A$8:$A51)+1)</f>
        <v/>
      </c>
      <c r="B52" s="802"/>
      <c r="C52" s="245" t="str">
        <f t="shared" si="1"/>
        <v>商品</v>
      </c>
      <c r="D52" s="245">
        <v>44</v>
      </c>
      <c r="E52" s="590" t="str">
        <f>IF($F52&lt;&gt;"",INDEX(ﾏｽﾀ!$D$8:$D$124,MATCH(INDEX(ﾏｽﾀ!$N$8:$N$124,MATCH($F52,ﾏｽﾀ!$O$8:$O$124,0)),ﾏｽﾀ!$B$8:$B$124,0))&amp;"","")</f>
        <v>81000</v>
      </c>
      <c r="F52" s="589" t="str">
        <f>ﾏｽﾀ!$R51&amp;""</f>
        <v>株式会社フォーチュンエンターテイメント</v>
      </c>
      <c r="G52" s="632">
        <f>VLOOKUP($E52,'集計16-E'!$E$9:$AF$90,'集計16-E'!$G$7-$D$7,FALSE)+VLOOKUP($E52,'集計F-15'!$E$9:$AF$90,'集計F-15'!$G$7-$D$7,FALSE)-INDEX($J$9:$J$90,MATCH($E52,$E$9:$E$90,0))</f>
        <v>0</v>
      </c>
      <c r="H52" s="633">
        <f>VLOOKUP($E52,'集計16-E'!$E$9:$AF$90,'集計16-E'!$H$7-$D$7,FALSE)+VLOOKUP($E52,'集計F-15'!$E$9:$AF$90,'集計F-15'!$H$7-$D$7,FALSE)-INDEX($K$9:$K$90,MATCH($E52,$E$9:$E$90,0))</f>
        <v>0</v>
      </c>
      <c r="I52" s="345"/>
      <c r="J52" s="126">
        <f>SUMIF(請求Data!$F$11:$F$160,CONCATENATE(VLOOKUP(G$5,$G$1:$H$4,2,FALSE),$E52,1,2),請求Data!$AF$11:$AF$160)</f>
        <v>0</v>
      </c>
      <c r="K52" s="127">
        <f>SUMIF(請求Data!$F$11:$F$160,CONCATENATE(VLOOKUP(G$5,$G$1:$H$4,2,FALSE),$E52,1,2),請求Data!$AG$11:$AG$160)</f>
        <v>0</v>
      </c>
      <c r="L52" s="345"/>
      <c r="M52" s="175">
        <f>VLOOKUP($E52,'集計16-E'!$E$9:$AF$90,'集計16-E'!$M$7-$D$7,FALSE)+VLOOKUP($E52,'集計F-15'!$E$9:$AF$90,'集計F-15'!$M$7-$D$7,FALSE)</f>
        <v>0</v>
      </c>
      <c r="N52" s="432">
        <f>VLOOKUP($E52,'集計16-E'!$E$9:$AF$90,'集計16-E'!$N$7-$D$7,FALSE)+VLOOKUP($E52,'集計F-15'!$E$9:$AF$90,'集計F-15'!$N$7-$D$7,FALSE)</f>
        <v>0</v>
      </c>
      <c r="O52" s="345"/>
      <c r="P52" s="644">
        <f>VLOOKUP($E52,'集計16-E'!$E$9:$AF$90,'集計16-E'!$P$7-$D$7,FALSE)+VLOOKUP($E52,'集計F-15'!$E$9:$AF$90,'集計F-15'!$P$7-$D$7,FALSE)-$S52</f>
        <v>0</v>
      </c>
      <c r="Q52" s="645">
        <f>VLOOKUP($E52,'集計16-E'!$E$9:$AF$90,'集計16-E'!$Q$7-$D$7,FALSE)+VLOOKUP($E52,'集計F-15'!$E$9:$AF$90,'集計F-15'!$Q$7-$D$7,FALSE)-$T52</f>
        <v>0</v>
      </c>
      <c r="R52" s="345"/>
      <c r="S52" s="175">
        <f>SUMIF(請求Data!$F$11:$F$160,CONCATENATE(VLOOKUP(P$5,$G$1:$H$4,2,FALSE),$E52,1,2),請求Data!$AF$11:$AF$160)</f>
        <v>0</v>
      </c>
      <c r="T52" s="177">
        <f>SUMIF(請求Data!$F$11:$F$160,CONCATENATE(VLOOKUP(P$5,$G$1:$H$4,2,FALSE),$E52,1,2),請求Data!$AG$11:$AG$160)</f>
        <v>0</v>
      </c>
      <c r="U52" s="345"/>
      <c r="V52" s="175">
        <f>VLOOKUP($E52,'集計16-E'!$E$9:$AF$90,'集計16-E'!$V$7-$D$7,0)+VLOOKUP($E52,'集計F-15'!$E$9:$AF$90,'集計F-15'!$V$7-$D$7,0)</f>
        <v>0</v>
      </c>
      <c r="W52" s="433">
        <f>VLOOKUP($E52,'集計16-E'!$E$9:$AF$90,'集計16-E'!$W$7-$D$7,0)+VLOOKUP($E52,'集計F-15'!$E$9:$AF$90,'集計F-15'!$W$7-$D$7,0)</f>
        <v>0</v>
      </c>
      <c r="X52" s="345"/>
      <c r="Y52" s="644">
        <f>VLOOKUP($E52,'集計16-E'!$E$9:AF$90,'集計16-E'!$Y$7-$D$7,0)+VLOOKUP($E52,'集計F-15'!$E$9:AF$90,'集計F-15'!$Y$7-$D$7,0)-$AB52</f>
        <v>0</v>
      </c>
      <c r="Z52" s="645">
        <f>VLOOKUP($E52,'集計16-E'!$E$9:AF$90,'集計16-E'!$Z$7-$D$7,0)+VLOOKUP($E52,'集計F-15'!$E$9:AF$90,'集計F-15'!$Z$7-$D$7,0)-$AC52</f>
        <v>0</v>
      </c>
      <c r="AA52" s="345"/>
      <c r="AB52" s="175">
        <f>SUMIF(請求Data!$F$11:$F$160,CONCATENATE(VLOOKUP(Y$5,$G$1:$H$4,2,FALSE),$E52,1,2),請求Data!$AF$11:$AF$160)</f>
        <v>0</v>
      </c>
      <c r="AC52" s="177">
        <f>SUMIF(請求Data!$F$11:$F$160,CONCATENATE(VLOOKUP(Y$5,$G$1:$H$4,2,FALSE),$E52,1,2),請求Data!$AG$11:$AG$160)</f>
        <v>0</v>
      </c>
      <c r="AD52" s="345"/>
      <c r="AE52" s="175">
        <f>VLOOKUP($E52,'集計16-E'!$E$9:AF$90,'集計16-E'!$AE$7-$D$7,0)+VLOOKUP($E52,'集計F-15'!$E$9:AF$90,'集計F-15'!$AE$7-$D$7,0)</f>
        <v>0</v>
      </c>
      <c r="AF52" s="433">
        <f>VLOOKUP($E52,'集計16-E'!$E$9:AF$90,'集計16-E'!$AF$7-$D$7,0)+VLOOKUP($E52,'集計F-15'!$E$9:AF$90,'集計F-15'!$AF$7-$D$7,0)</f>
        <v>0</v>
      </c>
    </row>
    <row r="53" spans="1:32">
      <c r="A53" s="474" t="str">
        <f>IF(SUMIFS($G53:$AF53,$G$8:$AF$8,"金額",$G53:$AF53,"&gt;0")-SUMIFS($G53:$AF53,$G$8:$AF$8,"金額",$G53:$AF53,"&lt;0")&lt;=0,"",MAX($A$8:$A52)+1)</f>
        <v/>
      </c>
      <c r="B53" s="802"/>
      <c r="C53" s="245" t="str">
        <f t="shared" si="1"/>
        <v>商品</v>
      </c>
      <c r="D53" s="245">
        <v>45</v>
      </c>
      <c r="E53" s="590" t="str">
        <f>IF($F53&lt;&gt;"",INDEX(ﾏｽﾀ!$D$8:$D$124,MATCH(INDEX(ﾏｽﾀ!$N$8:$N$124,MATCH($F53,ﾏｽﾀ!$O$8:$O$124,0)),ﾏｽﾀ!$B$8:$B$124,0))&amp;"","")</f>
        <v>82000</v>
      </c>
      <c r="F53" s="589" t="str">
        <f>ﾏｽﾀ!$R52&amp;""</f>
        <v>キングレコード株式会社</v>
      </c>
      <c r="G53" s="632">
        <f>VLOOKUP($E53,'集計16-E'!$E$9:$AF$90,'集計16-E'!$G$7-$D$7,FALSE)+VLOOKUP($E53,'集計F-15'!$E$9:$AF$90,'集計F-15'!$G$7-$D$7,FALSE)-INDEX($J$9:$J$90,MATCH($E53,$E$9:$E$90,0))</f>
        <v>0</v>
      </c>
      <c r="H53" s="633">
        <f>VLOOKUP($E53,'集計16-E'!$E$9:$AF$90,'集計16-E'!$H$7-$D$7,FALSE)+VLOOKUP($E53,'集計F-15'!$E$9:$AF$90,'集計F-15'!$H$7-$D$7,FALSE)-INDEX($K$9:$K$90,MATCH($E53,$E$9:$E$90,0))</f>
        <v>0</v>
      </c>
      <c r="I53" s="345"/>
      <c r="J53" s="126">
        <f>SUMIF(請求Data!$F$11:$F$160,CONCATENATE(VLOOKUP(G$5,$G$1:$H$4,2,FALSE),$E53,1,2),請求Data!$AF$11:$AF$160)</f>
        <v>0</v>
      </c>
      <c r="K53" s="127">
        <f>SUMIF(請求Data!$F$11:$F$160,CONCATENATE(VLOOKUP(G$5,$G$1:$H$4,2,FALSE),$E53,1,2),請求Data!$AG$11:$AG$160)</f>
        <v>0</v>
      </c>
      <c r="L53" s="345"/>
      <c r="M53" s="175">
        <f>VLOOKUP($E53,'集計16-E'!$E$9:$AF$90,'集計16-E'!$M$7-$D$7,FALSE)+VLOOKUP($E53,'集計F-15'!$E$9:$AF$90,'集計F-15'!$M$7-$D$7,FALSE)</f>
        <v>0</v>
      </c>
      <c r="N53" s="432">
        <f>VLOOKUP($E53,'集計16-E'!$E$9:$AF$90,'集計16-E'!$N$7-$D$7,FALSE)+VLOOKUP($E53,'集計F-15'!$E$9:$AF$90,'集計F-15'!$N$7-$D$7,FALSE)</f>
        <v>0</v>
      </c>
      <c r="O53" s="345"/>
      <c r="P53" s="644">
        <f>VLOOKUP($E53,'集計16-E'!$E$9:$AF$90,'集計16-E'!$P$7-$D$7,FALSE)+VLOOKUP($E53,'集計F-15'!$E$9:$AF$90,'集計F-15'!$P$7-$D$7,FALSE)-$S53</f>
        <v>0</v>
      </c>
      <c r="Q53" s="645">
        <f>VLOOKUP($E53,'集計16-E'!$E$9:$AF$90,'集計16-E'!$Q$7-$D$7,FALSE)+VLOOKUP($E53,'集計F-15'!$E$9:$AF$90,'集計F-15'!$Q$7-$D$7,FALSE)-$T53</f>
        <v>0</v>
      </c>
      <c r="R53" s="345"/>
      <c r="S53" s="175">
        <f>SUMIF(請求Data!$F$11:$F$160,CONCATENATE(VLOOKUP(P$5,$G$1:$H$4,2,FALSE),$E53,1,2),請求Data!$AF$11:$AF$160)</f>
        <v>0</v>
      </c>
      <c r="T53" s="177">
        <f>SUMIF(請求Data!$F$11:$F$160,CONCATENATE(VLOOKUP(P$5,$G$1:$H$4,2,FALSE),$E53,1,2),請求Data!$AG$11:$AG$160)</f>
        <v>0</v>
      </c>
      <c r="U53" s="345"/>
      <c r="V53" s="175">
        <f>VLOOKUP($E53,'集計16-E'!$E$9:$AF$90,'集計16-E'!$V$7-$D$7,0)+VLOOKUP($E53,'集計F-15'!$E$9:$AF$90,'集計F-15'!$V$7-$D$7,0)</f>
        <v>0</v>
      </c>
      <c r="W53" s="433">
        <f>VLOOKUP($E53,'集計16-E'!$E$9:$AF$90,'集計16-E'!$W$7-$D$7,0)+VLOOKUP($E53,'集計F-15'!$E$9:$AF$90,'集計F-15'!$W$7-$D$7,0)</f>
        <v>0</v>
      </c>
      <c r="X53" s="345"/>
      <c r="Y53" s="644">
        <f>VLOOKUP($E53,'集計16-E'!$E$9:AF$90,'集計16-E'!$Y$7-$D$7,0)+VLOOKUP($E53,'集計F-15'!$E$9:AF$90,'集計F-15'!$Y$7-$D$7,0)-$AB53</f>
        <v>0</v>
      </c>
      <c r="Z53" s="645">
        <f>VLOOKUP($E53,'集計16-E'!$E$9:AF$90,'集計16-E'!$Z$7-$D$7,0)+VLOOKUP($E53,'集計F-15'!$E$9:AF$90,'集計F-15'!$Z$7-$D$7,0)-$AC53</f>
        <v>0</v>
      </c>
      <c r="AA53" s="345"/>
      <c r="AB53" s="175">
        <f>SUMIF(請求Data!$F$11:$F$160,CONCATENATE(VLOOKUP(Y$5,$G$1:$H$4,2,FALSE),$E53,1,2),請求Data!$AF$11:$AF$160)</f>
        <v>0</v>
      </c>
      <c r="AC53" s="177">
        <f>SUMIF(請求Data!$F$11:$F$160,CONCATENATE(VLOOKUP(Y$5,$G$1:$H$4,2,FALSE),$E53,1,2),請求Data!$AG$11:$AG$160)</f>
        <v>0</v>
      </c>
      <c r="AD53" s="345"/>
      <c r="AE53" s="175">
        <f>VLOOKUP($E53,'集計16-E'!$E$9:AF$90,'集計16-E'!$AE$7-$D$7,0)+VLOOKUP($E53,'集計F-15'!$E$9:AF$90,'集計F-15'!$AE$7-$D$7,0)</f>
        <v>0</v>
      </c>
      <c r="AF53" s="433">
        <f>VLOOKUP($E53,'集計16-E'!$E$9:AF$90,'集計16-E'!$AF$7-$D$7,0)+VLOOKUP($E53,'集計F-15'!$E$9:AF$90,'集計F-15'!$AF$7-$D$7,0)</f>
        <v>0</v>
      </c>
    </row>
    <row r="54" spans="1:32">
      <c r="A54" s="474" t="str">
        <f>IF(SUMIFS($G54:$AF54,$G$8:$AF$8,"金額",$G54:$AF54,"&gt;0")-SUMIFS($G54:$AF54,$G$8:$AF$8,"金額",$G54:$AF54,"&lt;0")&lt;=0,"",MAX($A$8:$A53)+1)</f>
        <v/>
      </c>
      <c r="B54" s="802"/>
      <c r="C54" s="245" t="str">
        <f t="shared" si="1"/>
        <v>商品</v>
      </c>
      <c r="D54" s="245">
        <v>46</v>
      </c>
      <c r="E54" s="590" t="str">
        <f>IF($F54&lt;&gt;"",INDEX(ﾏｽﾀ!$D$8:$D$124,MATCH(INDEX(ﾏｽﾀ!$N$8:$N$124,MATCH($F54,ﾏｽﾀ!$O$8:$O$124,0)),ﾏｽﾀ!$B$8:$B$124,0))&amp;"","")</f>
        <v>83000</v>
      </c>
      <c r="F54" s="589" t="str">
        <f>ﾏｽﾀ!$R53&amp;""</f>
        <v>ソニー株式会社</v>
      </c>
      <c r="G54" s="632">
        <f>VLOOKUP($E54,'集計16-E'!$E$9:$AF$90,'集計16-E'!$G$7-$D$7,FALSE)+VLOOKUP($E54,'集計F-15'!$E$9:$AF$90,'集計F-15'!$G$7-$D$7,FALSE)-INDEX($J$9:$J$90,MATCH($E54,$E$9:$E$90,0))</f>
        <v>0</v>
      </c>
      <c r="H54" s="633">
        <f>VLOOKUP($E54,'集計16-E'!$E$9:$AF$90,'集計16-E'!$H$7-$D$7,FALSE)+VLOOKUP($E54,'集計F-15'!$E$9:$AF$90,'集計F-15'!$H$7-$D$7,FALSE)-INDEX($K$9:$K$90,MATCH($E54,$E$9:$E$90,0))</f>
        <v>0</v>
      </c>
      <c r="I54" s="345"/>
      <c r="J54" s="126">
        <f>SUMIF(請求Data!$F$11:$F$160,CONCATENATE(VLOOKUP(G$5,$G$1:$H$4,2,FALSE),$E54,1,2),請求Data!$AF$11:$AF$160)</f>
        <v>0</v>
      </c>
      <c r="K54" s="127">
        <f>SUMIF(請求Data!$F$11:$F$160,CONCATENATE(VLOOKUP(G$5,$G$1:$H$4,2,FALSE),$E54,1,2),請求Data!$AG$11:$AG$160)</f>
        <v>0</v>
      </c>
      <c r="L54" s="345"/>
      <c r="M54" s="175">
        <f>VLOOKUP($E54,'集計16-E'!$E$9:$AF$90,'集計16-E'!$M$7-$D$7,FALSE)+VLOOKUP($E54,'集計F-15'!$E$9:$AF$90,'集計F-15'!$M$7-$D$7,FALSE)</f>
        <v>0</v>
      </c>
      <c r="N54" s="432">
        <f>VLOOKUP($E54,'集計16-E'!$E$9:$AF$90,'集計16-E'!$N$7-$D$7,FALSE)+VLOOKUP($E54,'集計F-15'!$E$9:$AF$90,'集計F-15'!$N$7-$D$7,FALSE)</f>
        <v>0</v>
      </c>
      <c r="O54" s="345"/>
      <c r="P54" s="644">
        <f>VLOOKUP($E54,'集計16-E'!$E$9:$AF$90,'集計16-E'!$P$7-$D$7,FALSE)+VLOOKUP($E54,'集計F-15'!$E$9:$AF$90,'集計F-15'!$P$7-$D$7,FALSE)-$S54</f>
        <v>0</v>
      </c>
      <c r="Q54" s="645">
        <f>VLOOKUP($E54,'集計16-E'!$E$9:$AF$90,'集計16-E'!$Q$7-$D$7,FALSE)+VLOOKUP($E54,'集計F-15'!$E$9:$AF$90,'集計F-15'!$Q$7-$D$7,FALSE)-$T54</f>
        <v>0</v>
      </c>
      <c r="R54" s="345"/>
      <c r="S54" s="175">
        <f>SUMIF(請求Data!$F$11:$F$160,CONCATENATE(VLOOKUP(P$5,$G$1:$H$4,2,FALSE),$E54,1,2),請求Data!$AF$11:$AF$160)</f>
        <v>0</v>
      </c>
      <c r="T54" s="177">
        <f>SUMIF(請求Data!$F$11:$F$160,CONCATENATE(VLOOKUP(P$5,$G$1:$H$4,2,FALSE),$E54,1,2),請求Data!$AG$11:$AG$160)</f>
        <v>0</v>
      </c>
      <c r="U54" s="345"/>
      <c r="V54" s="175">
        <f>VLOOKUP($E54,'集計16-E'!$E$9:$AF$90,'集計16-E'!$V$7-$D$7,0)+VLOOKUP($E54,'集計F-15'!$E$9:$AF$90,'集計F-15'!$V$7-$D$7,0)</f>
        <v>0</v>
      </c>
      <c r="W54" s="433">
        <f>VLOOKUP($E54,'集計16-E'!$E$9:$AF$90,'集計16-E'!$W$7-$D$7,0)+VLOOKUP($E54,'集計F-15'!$E$9:$AF$90,'集計F-15'!$W$7-$D$7,0)</f>
        <v>0</v>
      </c>
      <c r="X54" s="345"/>
      <c r="Y54" s="644">
        <f>VLOOKUP($E54,'集計16-E'!$E$9:AF$90,'集計16-E'!$Y$7-$D$7,0)+VLOOKUP($E54,'集計F-15'!$E$9:AF$90,'集計F-15'!$Y$7-$D$7,0)-$AB54</f>
        <v>0</v>
      </c>
      <c r="Z54" s="645">
        <f>VLOOKUP($E54,'集計16-E'!$E$9:AF$90,'集計16-E'!$Z$7-$D$7,0)+VLOOKUP($E54,'集計F-15'!$E$9:AF$90,'集計F-15'!$Z$7-$D$7,0)-$AC54</f>
        <v>0</v>
      </c>
      <c r="AA54" s="345"/>
      <c r="AB54" s="175">
        <f>SUMIF(請求Data!$F$11:$F$160,CONCATENATE(VLOOKUP(Y$5,$G$1:$H$4,2,FALSE),$E54,1,2),請求Data!$AF$11:$AF$160)</f>
        <v>0</v>
      </c>
      <c r="AC54" s="177">
        <f>SUMIF(請求Data!$F$11:$F$160,CONCATENATE(VLOOKUP(Y$5,$G$1:$H$4,2,FALSE),$E54,1,2),請求Data!$AG$11:$AG$160)</f>
        <v>0</v>
      </c>
      <c r="AD54" s="345"/>
      <c r="AE54" s="175">
        <f>VLOOKUP($E54,'集計16-E'!$E$9:AF$90,'集計16-E'!$AE$7-$D$7,0)+VLOOKUP($E54,'集計F-15'!$E$9:AF$90,'集計F-15'!$AE$7-$D$7,0)</f>
        <v>0</v>
      </c>
      <c r="AF54" s="433">
        <f>VLOOKUP($E54,'集計16-E'!$E$9:AF$90,'集計16-E'!$AF$7-$D$7,0)+VLOOKUP($E54,'集計F-15'!$E$9:AF$90,'集計F-15'!$AF$7-$D$7,0)</f>
        <v>0</v>
      </c>
    </row>
    <row r="55" spans="1:32">
      <c r="A55" s="474" t="str">
        <f>IF(SUMIFS($G55:$AF55,$G$8:$AF$8,"金額",$G55:$AF55,"&gt;0")-SUMIFS($G55:$AF55,$G$8:$AF$8,"金額",$G55:$AF55,"&lt;0")&lt;=0,"",MAX($A$8:$A54)+1)</f>
        <v/>
      </c>
      <c r="B55" s="802"/>
      <c r="C55" s="245" t="str">
        <f t="shared" si="1"/>
        <v>商品</v>
      </c>
      <c r="D55" s="245">
        <v>47</v>
      </c>
      <c r="E55" s="590" t="str">
        <f>IF($F55&lt;&gt;"",INDEX(ﾏｽﾀ!$D$8:$D$124,MATCH(INDEX(ﾏｽﾀ!$N$8:$N$124,MATCH($F55,ﾏｽﾀ!$O$8:$O$124,0)),ﾏｽﾀ!$B$8:$B$124,0))&amp;"","")</f>
        <v>84000</v>
      </c>
      <c r="F55" s="589" t="str">
        <f>ﾏｽﾀ!$R54&amp;""</f>
        <v>株式会社ブイシンク</v>
      </c>
      <c r="G55" s="632">
        <f>VLOOKUP($E55,'集計16-E'!$E$9:$AF$90,'集計16-E'!$G$7-$D$7,FALSE)+VLOOKUP($E55,'集計F-15'!$E$9:$AF$90,'集計F-15'!$G$7-$D$7,FALSE)-INDEX($J$9:$J$90,MATCH($E55,$E$9:$E$90,0))</f>
        <v>0</v>
      </c>
      <c r="H55" s="633">
        <f>VLOOKUP($E55,'集計16-E'!$E$9:$AF$90,'集計16-E'!$H$7-$D$7,FALSE)+VLOOKUP($E55,'集計F-15'!$E$9:$AF$90,'集計F-15'!$H$7-$D$7,FALSE)-INDEX($K$9:$K$90,MATCH($E55,$E$9:$E$90,0))</f>
        <v>0</v>
      </c>
      <c r="I55" s="345"/>
      <c r="J55" s="126">
        <f>SUMIF(請求Data!$F$11:$F$160,CONCATENATE(VLOOKUP(G$5,$G$1:$H$4,2,FALSE),$E55,1,2),請求Data!$AF$11:$AF$160)</f>
        <v>0</v>
      </c>
      <c r="K55" s="127">
        <f>SUMIF(請求Data!$F$11:$F$160,CONCATENATE(VLOOKUP(G$5,$G$1:$H$4,2,FALSE),$E55,1,2),請求Data!$AG$11:$AG$160)</f>
        <v>0</v>
      </c>
      <c r="L55" s="345"/>
      <c r="M55" s="175">
        <f>VLOOKUP($E55,'集計16-E'!$E$9:$AF$90,'集計16-E'!$M$7-$D$7,FALSE)+VLOOKUP($E55,'集計F-15'!$E$9:$AF$90,'集計F-15'!$M$7-$D$7,FALSE)</f>
        <v>0</v>
      </c>
      <c r="N55" s="432">
        <f>VLOOKUP($E55,'集計16-E'!$E$9:$AF$90,'集計16-E'!$N$7-$D$7,FALSE)+VLOOKUP($E55,'集計F-15'!$E$9:$AF$90,'集計F-15'!$N$7-$D$7,FALSE)</f>
        <v>0</v>
      </c>
      <c r="O55" s="345"/>
      <c r="P55" s="644">
        <f>VLOOKUP($E55,'集計16-E'!$E$9:$AF$90,'集計16-E'!$P$7-$D$7,FALSE)+VLOOKUP($E55,'集計F-15'!$E$9:$AF$90,'集計F-15'!$P$7-$D$7,FALSE)-$S55</f>
        <v>0</v>
      </c>
      <c r="Q55" s="645">
        <f>VLOOKUP($E55,'集計16-E'!$E$9:$AF$90,'集計16-E'!$Q$7-$D$7,FALSE)+VLOOKUP($E55,'集計F-15'!$E$9:$AF$90,'集計F-15'!$Q$7-$D$7,FALSE)-$T55</f>
        <v>0</v>
      </c>
      <c r="R55" s="345"/>
      <c r="S55" s="175">
        <f>SUMIF(請求Data!$F$11:$F$160,CONCATENATE(VLOOKUP(P$5,$G$1:$H$4,2,FALSE),$E55,1,2),請求Data!$AF$11:$AF$160)</f>
        <v>0</v>
      </c>
      <c r="T55" s="177">
        <f>SUMIF(請求Data!$F$11:$F$160,CONCATENATE(VLOOKUP(P$5,$G$1:$H$4,2,FALSE),$E55,1,2),請求Data!$AG$11:$AG$160)</f>
        <v>0</v>
      </c>
      <c r="U55" s="345"/>
      <c r="V55" s="175">
        <f>VLOOKUP($E55,'集計16-E'!$E$9:$AF$90,'集計16-E'!$V$7-$D$7,0)+VLOOKUP($E55,'集計F-15'!$E$9:$AF$90,'集計F-15'!$V$7-$D$7,0)</f>
        <v>0</v>
      </c>
      <c r="W55" s="433">
        <f>VLOOKUP($E55,'集計16-E'!$E$9:$AF$90,'集計16-E'!$W$7-$D$7,0)+VLOOKUP($E55,'集計F-15'!$E$9:$AF$90,'集計F-15'!$W$7-$D$7,0)</f>
        <v>0</v>
      </c>
      <c r="X55" s="345"/>
      <c r="Y55" s="644">
        <f>VLOOKUP($E55,'集計16-E'!$E$9:AF$90,'集計16-E'!$Y$7-$D$7,0)+VLOOKUP($E55,'集計F-15'!$E$9:AF$90,'集計F-15'!$Y$7-$D$7,0)-$AB55</f>
        <v>0</v>
      </c>
      <c r="Z55" s="645">
        <f>VLOOKUP($E55,'集計16-E'!$E$9:AF$90,'集計16-E'!$Z$7-$D$7,0)+VLOOKUP($E55,'集計F-15'!$E$9:AF$90,'集計F-15'!$Z$7-$D$7,0)-$AC55</f>
        <v>0</v>
      </c>
      <c r="AA55" s="345"/>
      <c r="AB55" s="175">
        <f>SUMIF(請求Data!$F$11:$F$160,CONCATENATE(VLOOKUP(Y$5,$G$1:$H$4,2,FALSE),$E55,1,2),請求Data!$AF$11:$AF$160)</f>
        <v>0</v>
      </c>
      <c r="AC55" s="177">
        <f>SUMIF(請求Data!$F$11:$F$160,CONCATENATE(VLOOKUP(Y$5,$G$1:$H$4,2,FALSE),$E55,1,2),請求Data!$AG$11:$AG$160)</f>
        <v>0</v>
      </c>
      <c r="AD55" s="345"/>
      <c r="AE55" s="175">
        <f>VLOOKUP($E55,'集計16-E'!$E$9:AF$90,'集計16-E'!$AE$7-$D$7,0)+VLOOKUP($E55,'集計F-15'!$E$9:AF$90,'集計F-15'!$AE$7-$D$7,0)</f>
        <v>0</v>
      </c>
      <c r="AF55" s="433">
        <f>VLOOKUP($E55,'集計16-E'!$E$9:AF$90,'集計16-E'!$AF$7-$D$7,0)+VLOOKUP($E55,'集計F-15'!$E$9:AF$90,'集計F-15'!$AF$7-$D$7,0)</f>
        <v>0</v>
      </c>
    </row>
    <row r="56" spans="1:32">
      <c r="A56" s="474" t="str">
        <f>IF(SUMIFS($G56:$AF56,$G$8:$AF$8,"金額",$G56:$AF56,"&gt;0")-SUMIFS($G56:$AF56,$G$8:$AF$8,"金額",$G56:$AF56,"&lt;0")&lt;=0,"",MAX($A$8:$A55)+1)</f>
        <v/>
      </c>
      <c r="B56" s="802"/>
      <c r="C56" s="245" t="str">
        <f t="shared" si="1"/>
        <v>商品</v>
      </c>
      <c r="D56" s="245">
        <v>48</v>
      </c>
      <c r="E56" s="590" t="str">
        <f>IF($F56&lt;&gt;"",INDEX(ﾏｽﾀ!$D$8:$D$124,MATCH(INDEX(ﾏｽﾀ!$N$8:$N$124,MATCH($F56,ﾏｽﾀ!$O$8:$O$124,0)),ﾏｽﾀ!$B$8:$B$124,0))&amp;"","")</f>
        <v>85000</v>
      </c>
      <c r="F56" s="589" t="str">
        <f>ﾏｽﾀ!$R55&amp;""</f>
        <v>有限会社ユハラ・インターナショナル</v>
      </c>
      <c r="G56" s="632">
        <f>VLOOKUP($E56,'集計16-E'!$E$9:$AF$90,'集計16-E'!$G$7-$D$7,FALSE)+VLOOKUP($E56,'集計F-15'!$E$9:$AF$90,'集計F-15'!$G$7-$D$7,FALSE)-INDEX($J$9:$J$90,MATCH($E56,$E$9:$E$90,0))</f>
        <v>0</v>
      </c>
      <c r="H56" s="633">
        <f>VLOOKUP($E56,'集計16-E'!$E$9:$AF$90,'集計16-E'!$H$7-$D$7,FALSE)+VLOOKUP($E56,'集計F-15'!$E$9:$AF$90,'集計F-15'!$H$7-$D$7,FALSE)-INDEX($K$9:$K$90,MATCH($E56,$E$9:$E$90,0))</f>
        <v>0</v>
      </c>
      <c r="I56" s="345"/>
      <c r="J56" s="126">
        <f>SUMIF(請求Data!$F$11:$F$160,CONCATENATE(VLOOKUP(G$5,$G$1:$H$4,2,FALSE),$E56,1,2),請求Data!$AF$11:$AF$160)</f>
        <v>0</v>
      </c>
      <c r="K56" s="127">
        <f>SUMIF(請求Data!$F$11:$F$160,CONCATENATE(VLOOKUP(G$5,$G$1:$H$4,2,FALSE),$E56,1,2),請求Data!$AG$11:$AG$160)</f>
        <v>0</v>
      </c>
      <c r="L56" s="345"/>
      <c r="M56" s="175">
        <f>VLOOKUP($E56,'集計16-E'!$E$9:$AF$90,'集計16-E'!$M$7-$D$7,FALSE)+VLOOKUP($E56,'集計F-15'!$E$9:$AF$90,'集計F-15'!$M$7-$D$7,FALSE)</f>
        <v>0</v>
      </c>
      <c r="N56" s="432">
        <f>VLOOKUP($E56,'集計16-E'!$E$9:$AF$90,'集計16-E'!$N$7-$D$7,FALSE)+VLOOKUP($E56,'集計F-15'!$E$9:$AF$90,'集計F-15'!$N$7-$D$7,FALSE)</f>
        <v>0</v>
      </c>
      <c r="O56" s="345"/>
      <c r="P56" s="644">
        <f>VLOOKUP($E56,'集計16-E'!$E$9:$AF$90,'集計16-E'!$P$7-$D$7,FALSE)+VLOOKUP($E56,'集計F-15'!$E$9:$AF$90,'集計F-15'!$P$7-$D$7,FALSE)-$S56</f>
        <v>0</v>
      </c>
      <c r="Q56" s="645">
        <f>VLOOKUP($E56,'集計16-E'!$E$9:$AF$90,'集計16-E'!$Q$7-$D$7,FALSE)+VLOOKUP($E56,'集計F-15'!$E$9:$AF$90,'集計F-15'!$Q$7-$D$7,FALSE)-$T56</f>
        <v>0</v>
      </c>
      <c r="R56" s="345"/>
      <c r="S56" s="175">
        <f>SUMIF(請求Data!$F$11:$F$160,CONCATENATE(VLOOKUP(P$5,$G$1:$H$4,2,FALSE),$E56,1,2),請求Data!$AF$11:$AF$160)</f>
        <v>0</v>
      </c>
      <c r="T56" s="177">
        <f>SUMIF(請求Data!$F$11:$F$160,CONCATENATE(VLOOKUP(P$5,$G$1:$H$4,2,FALSE),$E56,1,2),請求Data!$AG$11:$AG$160)</f>
        <v>0</v>
      </c>
      <c r="U56" s="345"/>
      <c r="V56" s="175">
        <f>VLOOKUP($E56,'集計16-E'!$E$9:$AF$90,'集計16-E'!$V$7-$D$7,0)+VLOOKUP($E56,'集計F-15'!$E$9:$AF$90,'集計F-15'!$V$7-$D$7,0)</f>
        <v>0</v>
      </c>
      <c r="W56" s="433">
        <f>VLOOKUP($E56,'集計16-E'!$E$9:$AF$90,'集計16-E'!$W$7-$D$7,0)+VLOOKUP($E56,'集計F-15'!$E$9:$AF$90,'集計F-15'!$W$7-$D$7,0)</f>
        <v>0</v>
      </c>
      <c r="X56" s="345"/>
      <c r="Y56" s="644">
        <f>VLOOKUP($E56,'集計16-E'!$E$9:AF$90,'集計16-E'!$Y$7-$D$7,0)+VLOOKUP($E56,'集計F-15'!$E$9:AF$90,'集計F-15'!$Y$7-$D$7,0)-$AB56</f>
        <v>0</v>
      </c>
      <c r="Z56" s="645">
        <f>VLOOKUP($E56,'集計16-E'!$E$9:AF$90,'集計16-E'!$Z$7-$D$7,0)+VLOOKUP($E56,'集計F-15'!$E$9:AF$90,'集計F-15'!$Z$7-$D$7,0)-$AC56</f>
        <v>0</v>
      </c>
      <c r="AA56" s="345"/>
      <c r="AB56" s="175">
        <f>SUMIF(請求Data!$F$11:$F$160,CONCATENATE(VLOOKUP(Y$5,$G$1:$H$4,2,FALSE),$E56,1,2),請求Data!$AF$11:$AF$160)</f>
        <v>0</v>
      </c>
      <c r="AC56" s="177">
        <f>SUMIF(請求Data!$F$11:$F$160,CONCATENATE(VLOOKUP(Y$5,$G$1:$H$4,2,FALSE),$E56,1,2),請求Data!$AG$11:$AG$160)</f>
        <v>0</v>
      </c>
      <c r="AD56" s="345"/>
      <c r="AE56" s="175">
        <f>VLOOKUP($E56,'集計16-E'!$E$9:AF$90,'集計16-E'!$AE$7-$D$7,0)+VLOOKUP($E56,'集計F-15'!$E$9:AF$90,'集計F-15'!$AE$7-$D$7,0)</f>
        <v>0</v>
      </c>
      <c r="AF56" s="433">
        <f>VLOOKUP($E56,'集計16-E'!$E$9:AF$90,'集計16-E'!$AF$7-$D$7,0)+VLOOKUP($E56,'集計F-15'!$E$9:AF$90,'集計F-15'!$AF$7-$D$7,0)</f>
        <v>0</v>
      </c>
    </row>
    <row r="57" spans="1:32">
      <c r="A57" s="474" t="str">
        <f>IF(SUMIFS($G57:$AF57,$G$8:$AF$8,"金額",$G57:$AF57,"&gt;0")-SUMIFS($G57:$AF57,$G$8:$AF$8,"金額",$G57:$AF57,"&lt;0")&lt;=0,"",MAX($A$8:$A56)+1)</f>
        <v/>
      </c>
      <c r="B57" s="802"/>
      <c r="C57" s="245" t="str">
        <f t="shared" si="1"/>
        <v>商品</v>
      </c>
      <c r="D57" s="245">
        <v>49</v>
      </c>
      <c r="E57" s="590" t="str">
        <f>IF($F57&lt;&gt;"",INDEX(ﾏｽﾀ!$D$8:$D$124,MATCH(INDEX(ﾏｽﾀ!$N$8:$N$124,MATCH($F57,ﾏｽﾀ!$O$8:$O$124,0)),ﾏｽﾀ!$B$8:$B$124,0))&amp;"","")</f>
        <v>89000</v>
      </c>
      <c r="F57" s="589" t="str">
        <f>ﾏｽﾀ!$R56&amp;""</f>
        <v>株式会社ライブ・ワークス</v>
      </c>
      <c r="G57" s="632">
        <f>VLOOKUP($E57,'集計16-E'!$E$9:$AF$90,'集計16-E'!$G$7-$D$7,FALSE)+VLOOKUP($E57,'集計F-15'!$E$9:$AF$90,'集計F-15'!$G$7-$D$7,FALSE)-INDEX($J$9:$J$90,MATCH($E57,$E$9:$E$90,0))</f>
        <v>0</v>
      </c>
      <c r="H57" s="633">
        <f>VLOOKUP($E57,'集計16-E'!$E$9:$AF$90,'集計16-E'!$H$7-$D$7,FALSE)+VLOOKUP($E57,'集計F-15'!$E$9:$AF$90,'集計F-15'!$H$7-$D$7,FALSE)-INDEX($K$9:$K$90,MATCH($E57,$E$9:$E$90,0))</f>
        <v>0</v>
      </c>
      <c r="I57" s="345"/>
      <c r="J57" s="126">
        <f>SUMIF(請求Data!$F$11:$F$160,CONCATENATE(VLOOKUP(G$5,$G$1:$H$4,2,FALSE),$E57,1,2),請求Data!$AF$11:$AF$160)</f>
        <v>0</v>
      </c>
      <c r="K57" s="127">
        <f>SUMIF(請求Data!$F$11:$F$160,CONCATENATE(VLOOKUP(G$5,$G$1:$H$4,2,FALSE),$E57,1,2),請求Data!$AG$11:$AG$160)</f>
        <v>0</v>
      </c>
      <c r="L57" s="345"/>
      <c r="M57" s="175">
        <f>VLOOKUP($E57,'集計16-E'!$E$9:$AF$90,'集計16-E'!$M$7-$D$7,FALSE)+VLOOKUP($E57,'集計F-15'!$E$9:$AF$90,'集計F-15'!$M$7-$D$7,FALSE)</f>
        <v>0</v>
      </c>
      <c r="N57" s="432">
        <f>VLOOKUP($E57,'集計16-E'!$E$9:$AF$90,'集計16-E'!$N$7-$D$7,FALSE)+VLOOKUP($E57,'集計F-15'!$E$9:$AF$90,'集計F-15'!$N$7-$D$7,FALSE)</f>
        <v>0</v>
      </c>
      <c r="O57" s="345"/>
      <c r="P57" s="644">
        <f>VLOOKUP($E57,'集計16-E'!$E$9:$AF$90,'集計16-E'!$P$7-$D$7,FALSE)+VLOOKUP($E57,'集計F-15'!$E$9:$AF$90,'集計F-15'!$P$7-$D$7,FALSE)-$S57</f>
        <v>0</v>
      </c>
      <c r="Q57" s="645">
        <f>VLOOKUP($E57,'集計16-E'!$E$9:$AF$90,'集計16-E'!$Q$7-$D$7,FALSE)+VLOOKUP($E57,'集計F-15'!$E$9:$AF$90,'集計F-15'!$Q$7-$D$7,FALSE)-$T57</f>
        <v>0</v>
      </c>
      <c r="R57" s="345"/>
      <c r="S57" s="175">
        <f>SUMIF(請求Data!$F$11:$F$160,CONCATENATE(VLOOKUP(P$5,$G$1:$H$4,2,FALSE),$E57,1,2),請求Data!$AF$11:$AF$160)</f>
        <v>0</v>
      </c>
      <c r="T57" s="177">
        <f>SUMIF(請求Data!$F$11:$F$160,CONCATENATE(VLOOKUP(P$5,$G$1:$H$4,2,FALSE),$E57,1,2),請求Data!$AG$11:$AG$160)</f>
        <v>0</v>
      </c>
      <c r="U57" s="345"/>
      <c r="V57" s="175">
        <f>VLOOKUP($E57,'集計16-E'!$E$9:$AF$90,'集計16-E'!$V$7-$D$7,0)+VLOOKUP($E57,'集計F-15'!$E$9:$AF$90,'集計F-15'!$V$7-$D$7,0)</f>
        <v>0</v>
      </c>
      <c r="W57" s="433">
        <f>VLOOKUP($E57,'集計16-E'!$E$9:$AF$90,'集計16-E'!$W$7-$D$7,0)+VLOOKUP($E57,'集計F-15'!$E$9:$AF$90,'集計F-15'!$W$7-$D$7,0)</f>
        <v>0</v>
      </c>
      <c r="X57" s="345"/>
      <c r="Y57" s="644">
        <f>VLOOKUP($E57,'集計16-E'!$E$9:AF$90,'集計16-E'!$Y$7-$D$7,0)+VLOOKUP($E57,'集計F-15'!$E$9:AF$90,'集計F-15'!$Y$7-$D$7,0)-$AB57</f>
        <v>0</v>
      </c>
      <c r="Z57" s="645">
        <f>VLOOKUP($E57,'集計16-E'!$E$9:AF$90,'集計16-E'!$Z$7-$D$7,0)+VLOOKUP($E57,'集計F-15'!$E$9:AF$90,'集計F-15'!$Z$7-$D$7,0)-$AC57</f>
        <v>0</v>
      </c>
      <c r="AA57" s="345"/>
      <c r="AB57" s="175">
        <f>SUMIF(請求Data!$F$11:$F$160,CONCATENATE(VLOOKUP(Y$5,$G$1:$H$4,2,FALSE),$E57,1,2),請求Data!$AF$11:$AF$160)</f>
        <v>0</v>
      </c>
      <c r="AC57" s="177">
        <f>SUMIF(請求Data!$F$11:$F$160,CONCATENATE(VLOOKUP(Y$5,$G$1:$H$4,2,FALSE),$E57,1,2),請求Data!$AG$11:$AG$160)</f>
        <v>0</v>
      </c>
      <c r="AD57" s="345"/>
      <c r="AE57" s="175">
        <f>VLOOKUP($E57,'集計16-E'!$E$9:AF$90,'集計16-E'!$AE$7-$D$7,0)+VLOOKUP($E57,'集計F-15'!$E$9:AF$90,'集計F-15'!$AE$7-$D$7,0)</f>
        <v>0</v>
      </c>
      <c r="AF57" s="433">
        <f>VLOOKUP($E57,'集計16-E'!$E$9:AF$90,'集計16-E'!$AF$7-$D$7,0)+VLOOKUP($E57,'集計F-15'!$E$9:AF$90,'集計F-15'!$AF$7-$D$7,0)</f>
        <v>0</v>
      </c>
    </row>
    <row r="58" spans="1:32">
      <c r="A58" s="474" t="str">
        <f>IF(SUMIFS($G58:$AF58,$G$8:$AF$8,"金額",$G58:$AF58,"&gt;0")-SUMIFS($G58:$AF58,$G$8:$AF$8,"金額",$G58:$AF58,"&lt;0")&lt;=0,"",MAX($A$8:$A57)+1)</f>
        <v/>
      </c>
      <c r="B58" s="802"/>
      <c r="C58" s="245" t="str">
        <f t="shared" si="1"/>
        <v>商品</v>
      </c>
      <c r="D58" s="245">
        <v>50</v>
      </c>
      <c r="E58" s="590" t="str">
        <f>IF($F58&lt;&gt;"",INDEX(ﾏｽﾀ!$D$8:$D$124,MATCH(INDEX(ﾏｽﾀ!$N$8:$N$124,MATCH($F58,ﾏｽﾀ!$O$8:$O$124,0)),ﾏｽﾀ!$B$8:$B$124,0))&amp;"","")</f>
        <v>90001</v>
      </c>
      <c r="F58" s="589" t="str">
        <f>ﾏｽﾀ!$R57&amp;""</f>
        <v>株式会社ロジパルエクスプレス　3200/川崎営業所</v>
      </c>
      <c r="G58" s="632">
        <f>VLOOKUP($E58,'集計16-E'!$E$9:$AF$90,'集計16-E'!$G$7-$D$7,FALSE)+VLOOKUP($E58,'集計F-15'!$E$9:$AF$90,'集計F-15'!$G$7-$D$7,FALSE)-INDEX($J$9:$J$90,MATCH($E58,$E$9:$E$90,0))</f>
        <v>0</v>
      </c>
      <c r="H58" s="633">
        <f>VLOOKUP($E58,'集計16-E'!$E$9:$AF$90,'集計16-E'!$H$7-$D$7,FALSE)+VLOOKUP($E58,'集計F-15'!$E$9:$AF$90,'集計F-15'!$H$7-$D$7,FALSE)-INDEX($K$9:$K$90,MATCH($E58,$E$9:$E$90,0))</f>
        <v>0</v>
      </c>
      <c r="I58" s="345"/>
      <c r="J58" s="126">
        <f>SUMIF(請求Data!$F$11:$F$160,CONCATENATE(VLOOKUP(G$5,$G$1:$H$4,2,FALSE),$E58,1,2),請求Data!$AF$11:$AF$160)</f>
        <v>0</v>
      </c>
      <c r="K58" s="127">
        <f>SUMIF(請求Data!$F$11:$F$160,CONCATENATE(VLOOKUP(G$5,$G$1:$H$4,2,FALSE),$E58,1,2),請求Data!$AG$11:$AG$160)</f>
        <v>0</v>
      </c>
      <c r="L58" s="345"/>
      <c r="M58" s="175">
        <f>VLOOKUP($E58,'集計16-E'!$E$9:$AF$90,'集計16-E'!$M$7-$D$7,FALSE)+VLOOKUP($E58,'集計F-15'!$E$9:$AF$90,'集計F-15'!$M$7-$D$7,FALSE)</f>
        <v>0</v>
      </c>
      <c r="N58" s="432">
        <f>VLOOKUP($E58,'集計16-E'!$E$9:$AF$90,'集計16-E'!$N$7-$D$7,FALSE)+VLOOKUP($E58,'集計F-15'!$E$9:$AF$90,'集計F-15'!$N$7-$D$7,FALSE)</f>
        <v>0</v>
      </c>
      <c r="O58" s="345"/>
      <c r="P58" s="644">
        <f>VLOOKUP($E58,'集計16-E'!$E$9:$AF$90,'集計16-E'!$P$7-$D$7,FALSE)+VLOOKUP($E58,'集計F-15'!$E$9:$AF$90,'集計F-15'!$P$7-$D$7,FALSE)-$S58</f>
        <v>0</v>
      </c>
      <c r="Q58" s="645">
        <f>VLOOKUP($E58,'集計16-E'!$E$9:$AF$90,'集計16-E'!$Q$7-$D$7,FALSE)+VLOOKUP($E58,'集計F-15'!$E$9:$AF$90,'集計F-15'!$Q$7-$D$7,FALSE)-$T58</f>
        <v>0</v>
      </c>
      <c r="R58" s="345"/>
      <c r="S58" s="175">
        <f>SUMIF(請求Data!$F$11:$F$160,CONCATENATE(VLOOKUP(P$5,$G$1:$H$4,2,FALSE),$E58,1,2),請求Data!$AF$11:$AF$160)</f>
        <v>0</v>
      </c>
      <c r="T58" s="177">
        <f>SUMIF(請求Data!$F$11:$F$160,CONCATENATE(VLOOKUP(P$5,$G$1:$H$4,2,FALSE),$E58,1,2),請求Data!$AG$11:$AG$160)</f>
        <v>0</v>
      </c>
      <c r="U58" s="345"/>
      <c r="V58" s="175">
        <f>VLOOKUP($E58,'集計16-E'!$E$9:$AF$90,'集計16-E'!$V$7-$D$7,0)+VLOOKUP($E58,'集計F-15'!$E$9:$AF$90,'集計F-15'!$V$7-$D$7,0)</f>
        <v>0</v>
      </c>
      <c r="W58" s="433">
        <f>VLOOKUP($E58,'集計16-E'!$E$9:$AF$90,'集計16-E'!$W$7-$D$7,0)+VLOOKUP($E58,'集計F-15'!$E$9:$AF$90,'集計F-15'!$W$7-$D$7,0)</f>
        <v>0</v>
      </c>
      <c r="X58" s="345"/>
      <c r="Y58" s="644">
        <f>VLOOKUP($E58,'集計16-E'!$E$9:AF$90,'集計16-E'!$Y$7-$D$7,0)+VLOOKUP($E58,'集計F-15'!$E$9:AF$90,'集計F-15'!$Y$7-$D$7,0)-$AB58</f>
        <v>0</v>
      </c>
      <c r="Z58" s="645">
        <f>VLOOKUP($E58,'集計16-E'!$E$9:AF$90,'集計16-E'!$Z$7-$D$7,0)+VLOOKUP($E58,'集計F-15'!$E$9:AF$90,'集計F-15'!$Z$7-$D$7,0)-$AC58</f>
        <v>0</v>
      </c>
      <c r="AA58" s="345"/>
      <c r="AB58" s="175">
        <f>SUMIF(請求Data!$F$11:$F$160,CONCATENATE(VLOOKUP(Y$5,$G$1:$H$4,2,FALSE),$E58,1,2),請求Data!$AF$11:$AF$160)</f>
        <v>0</v>
      </c>
      <c r="AC58" s="177">
        <f>SUMIF(請求Data!$F$11:$F$160,CONCATENATE(VLOOKUP(Y$5,$G$1:$H$4,2,FALSE),$E58,1,2),請求Data!$AG$11:$AG$160)</f>
        <v>0</v>
      </c>
      <c r="AD58" s="345"/>
      <c r="AE58" s="175">
        <f>VLOOKUP($E58,'集計16-E'!$E$9:AF$90,'集計16-E'!$AE$7-$D$7,0)+VLOOKUP($E58,'集計F-15'!$E$9:AF$90,'集計F-15'!$AE$7-$D$7,0)</f>
        <v>0</v>
      </c>
      <c r="AF58" s="433">
        <f>VLOOKUP($E58,'集計16-E'!$E$9:AF$90,'集計16-E'!$AF$7-$D$7,0)+VLOOKUP($E58,'集計F-15'!$E$9:AF$90,'集計F-15'!$AF$7-$D$7,0)</f>
        <v>0</v>
      </c>
    </row>
    <row r="59" spans="1:32">
      <c r="A59" s="474" t="str">
        <f>IF(SUMIFS($G59:$AF59,$G$8:$AF$8,"金額",$G59:$AF59,"&gt;0")-SUMIFS($G59:$AF59,$G$8:$AF$8,"金額",$G59:$AF59,"&lt;0")&lt;=0,"",MAX($A$8:$A58)+1)</f>
        <v/>
      </c>
      <c r="B59" s="802"/>
      <c r="C59" s="245" t="str">
        <f t="shared" si="1"/>
        <v>商品</v>
      </c>
      <c r="D59" s="245">
        <v>51</v>
      </c>
      <c r="E59" s="590" t="str">
        <f>IF($F59&lt;&gt;"",INDEX(ﾏｽﾀ!$D$8:$D$124,MATCH(INDEX(ﾏｽﾀ!$N$8:$N$124,MATCH($F59,ﾏｽﾀ!$O$8:$O$124,0)),ﾏｽﾀ!$B$8:$B$124,0))&amp;"","")</f>
        <v>91000</v>
      </c>
      <c r="F59" s="589" t="str">
        <f>ﾏｽﾀ!$R58&amp;""</f>
        <v>株式会社バンジハンエース</v>
      </c>
      <c r="G59" s="632">
        <f>VLOOKUP($E59,'集計16-E'!$E$9:$AF$90,'集計16-E'!$G$7-$D$7,FALSE)+VLOOKUP($E59,'集計F-15'!$E$9:$AF$90,'集計F-15'!$G$7-$D$7,FALSE)-INDEX($J$9:$J$90,MATCH($E59,$E$9:$E$90,0))</f>
        <v>0</v>
      </c>
      <c r="H59" s="633">
        <f>VLOOKUP($E59,'集計16-E'!$E$9:$AF$90,'集計16-E'!$H$7-$D$7,FALSE)+VLOOKUP($E59,'集計F-15'!$E$9:$AF$90,'集計F-15'!$H$7-$D$7,FALSE)-INDEX($K$9:$K$90,MATCH($E59,$E$9:$E$90,0))</f>
        <v>0</v>
      </c>
      <c r="I59" s="345"/>
      <c r="J59" s="126">
        <f>SUMIF(請求Data!$F$11:$F$160,CONCATENATE(VLOOKUP(G$5,$G$1:$H$4,2,FALSE),$E59,1,2),請求Data!$AF$11:$AF$160)</f>
        <v>0</v>
      </c>
      <c r="K59" s="127">
        <f>SUMIF(請求Data!$F$11:$F$160,CONCATENATE(VLOOKUP(G$5,$G$1:$H$4,2,FALSE),$E59,1,2),請求Data!$AG$11:$AG$160)</f>
        <v>0</v>
      </c>
      <c r="L59" s="345"/>
      <c r="M59" s="175">
        <f>VLOOKUP($E59,'集計16-E'!$E$9:$AF$90,'集計16-E'!$M$7-$D$7,FALSE)+VLOOKUP($E59,'集計F-15'!$E$9:$AF$90,'集計F-15'!$M$7-$D$7,FALSE)</f>
        <v>0</v>
      </c>
      <c r="N59" s="432">
        <f>VLOOKUP($E59,'集計16-E'!$E$9:$AF$90,'集計16-E'!$N$7-$D$7,FALSE)+VLOOKUP($E59,'集計F-15'!$E$9:$AF$90,'集計F-15'!$N$7-$D$7,FALSE)</f>
        <v>0</v>
      </c>
      <c r="O59" s="345"/>
      <c r="P59" s="644">
        <f>VLOOKUP($E59,'集計16-E'!$E$9:$AF$90,'集計16-E'!$P$7-$D$7,FALSE)+VLOOKUP($E59,'集計F-15'!$E$9:$AF$90,'集計F-15'!$P$7-$D$7,FALSE)-$S59</f>
        <v>0</v>
      </c>
      <c r="Q59" s="645">
        <f>VLOOKUP($E59,'集計16-E'!$E$9:$AF$90,'集計16-E'!$Q$7-$D$7,FALSE)+VLOOKUP($E59,'集計F-15'!$E$9:$AF$90,'集計F-15'!$Q$7-$D$7,FALSE)-$T59</f>
        <v>0</v>
      </c>
      <c r="R59" s="345"/>
      <c r="S59" s="175">
        <f>SUMIF(請求Data!$F$11:$F$160,CONCATENATE(VLOOKUP(P$5,$G$1:$H$4,2,FALSE),$E59,1,2),請求Data!$AF$11:$AF$160)</f>
        <v>0</v>
      </c>
      <c r="T59" s="177">
        <f>SUMIF(請求Data!$F$11:$F$160,CONCATENATE(VLOOKUP(P$5,$G$1:$H$4,2,FALSE),$E59,1,2),請求Data!$AG$11:$AG$160)</f>
        <v>0</v>
      </c>
      <c r="U59" s="345"/>
      <c r="V59" s="175">
        <f>VLOOKUP($E59,'集計16-E'!$E$9:$AF$90,'集計16-E'!$V$7-$D$7,0)+VLOOKUP($E59,'集計F-15'!$E$9:$AF$90,'集計F-15'!$V$7-$D$7,0)</f>
        <v>0</v>
      </c>
      <c r="W59" s="433">
        <f>VLOOKUP($E59,'集計16-E'!$E$9:$AF$90,'集計16-E'!$W$7-$D$7,0)+VLOOKUP($E59,'集計F-15'!$E$9:$AF$90,'集計F-15'!$W$7-$D$7,0)</f>
        <v>0</v>
      </c>
      <c r="X59" s="345"/>
      <c r="Y59" s="644">
        <f>VLOOKUP($E59,'集計16-E'!$E$9:AF$90,'集計16-E'!$Y$7-$D$7,0)+VLOOKUP($E59,'集計F-15'!$E$9:AF$90,'集計F-15'!$Y$7-$D$7,0)-$AB59</f>
        <v>0</v>
      </c>
      <c r="Z59" s="645">
        <f>VLOOKUP($E59,'集計16-E'!$E$9:AF$90,'集計16-E'!$Z$7-$D$7,0)+VLOOKUP($E59,'集計F-15'!$E$9:AF$90,'集計F-15'!$Z$7-$D$7,0)-$AC59</f>
        <v>0</v>
      </c>
      <c r="AA59" s="345"/>
      <c r="AB59" s="175">
        <f>SUMIF(請求Data!$F$11:$F$160,CONCATENATE(VLOOKUP(Y$5,$G$1:$H$4,2,FALSE),$E59,1,2),請求Data!$AF$11:$AF$160)</f>
        <v>0</v>
      </c>
      <c r="AC59" s="177">
        <f>SUMIF(請求Data!$F$11:$F$160,CONCATENATE(VLOOKUP(Y$5,$G$1:$H$4,2,FALSE),$E59,1,2),請求Data!$AG$11:$AG$160)</f>
        <v>0</v>
      </c>
      <c r="AD59" s="345"/>
      <c r="AE59" s="175">
        <f>VLOOKUP($E59,'集計16-E'!$E$9:AF$90,'集計16-E'!$AE$7-$D$7,0)+VLOOKUP($E59,'集計F-15'!$E$9:AF$90,'集計F-15'!$AE$7-$D$7,0)</f>
        <v>0</v>
      </c>
      <c r="AF59" s="433">
        <f>VLOOKUP($E59,'集計16-E'!$E$9:AF$90,'集計16-E'!$AF$7-$D$7,0)+VLOOKUP($E59,'集計F-15'!$E$9:AF$90,'集計F-15'!$AF$7-$D$7,0)</f>
        <v>0</v>
      </c>
    </row>
    <row r="60" spans="1:32">
      <c r="A60" s="474" t="str">
        <f>IF(SUMIFS($G60:$AF60,$G$8:$AF$8,"金額",$G60:$AF60,"&gt;0")-SUMIFS($G60:$AF60,$G$8:$AF$8,"金額",$G60:$AF60,"&lt;0")&lt;=0,"",MAX($A$8:$A59)+1)</f>
        <v/>
      </c>
      <c r="B60" s="802"/>
      <c r="C60" s="245" t="str">
        <f t="shared" si="1"/>
        <v>商品</v>
      </c>
      <c r="D60" s="245">
        <v>52</v>
      </c>
      <c r="E60" s="590" t="str">
        <f>IF($F60&lt;&gt;"",INDEX(ﾏｽﾀ!$D$8:$D$124,MATCH(INDEX(ﾏｽﾀ!$N$8:$N$124,MATCH($F60,ﾏｽﾀ!$O$8:$O$124,0)),ﾏｽﾀ!$B$8:$B$124,0))&amp;"","")</f>
        <v/>
      </c>
      <c r="F60" s="589" t="str">
        <f>ﾏｽﾀ!$R59&amp;""</f>
        <v/>
      </c>
      <c r="G60" s="632">
        <f>VLOOKUP($E60,'集計16-E'!$E$9:$AF$90,'集計16-E'!$G$7-$D$7,FALSE)+VLOOKUP($E60,'集計F-15'!$E$9:$AF$90,'集計F-15'!$G$7-$D$7,FALSE)-INDEX($J$9:$J$90,MATCH($E60,$E$9:$E$90,0))</f>
        <v>0</v>
      </c>
      <c r="H60" s="633">
        <f>VLOOKUP($E60,'集計16-E'!$E$9:$AF$90,'集計16-E'!$H$7-$D$7,FALSE)+VLOOKUP($E60,'集計F-15'!$E$9:$AF$90,'集計F-15'!$H$7-$D$7,FALSE)-INDEX($K$9:$K$90,MATCH($E60,$E$9:$E$90,0))</f>
        <v>0</v>
      </c>
      <c r="I60" s="345"/>
      <c r="J60" s="126">
        <f>SUMIF(請求Data!$F$11:$F$160,CONCATENATE(VLOOKUP(G$5,$G$1:$H$4,2,FALSE),$E60,1,2),請求Data!$AF$11:$AF$160)</f>
        <v>0</v>
      </c>
      <c r="K60" s="127">
        <f>SUMIF(請求Data!$F$11:$F$160,CONCATENATE(VLOOKUP(G$5,$G$1:$H$4,2,FALSE),$E60,1,2),請求Data!$AG$11:$AG$160)</f>
        <v>0</v>
      </c>
      <c r="L60" s="345"/>
      <c r="M60" s="175">
        <f>VLOOKUP($E60,'集計16-E'!$E$9:$AF$90,'集計16-E'!$M$7-$D$7,FALSE)+VLOOKUP($E60,'集計F-15'!$E$9:$AF$90,'集計F-15'!$M$7-$D$7,FALSE)</f>
        <v>0</v>
      </c>
      <c r="N60" s="432">
        <f>VLOOKUP($E60,'集計16-E'!$E$9:$AF$90,'集計16-E'!$N$7-$D$7,FALSE)+VLOOKUP($E60,'集計F-15'!$E$9:$AF$90,'集計F-15'!$N$7-$D$7,FALSE)</f>
        <v>0</v>
      </c>
      <c r="O60" s="345"/>
      <c r="P60" s="644">
        <f>VLOOKUP($E60,'集計16-E'!$E$9:$AF$90,'集計16-E'!$P$7-$D$7,FALSE)+VLOOKUP($E60,'集計F-15'!$E$9:$AF$90,'集計F-15'!$P$7-$D$7,FALSE)-$S60</f>
        <v>0</v>
      </c>
      <c r="Q60" s="645">
        <f>VLOOKUP($E60,'集計16-E'!$E$9:$AF$90,'集計16-E'!$Q$7-$D$7,FALSE)+VLOOKUP($E60,'集計F-15'!$E$9:$AF$90,'集計F-15'!$Q$7-$D$7,FALSE)-$T60</f>
        <v>0</v>
      </c>
      <c r="R60" s="345"/>
      <c r="S60" s="175">
        <f>SUMIF(請求Data!$F$11:$F$160,CONCATENATE(VLOOKUP(P$5,$G$1:$H$4,2,FALSE),$E60,1,2),請求Data!$AF$11:$AF$160)</f>
        <v>0</v>
      </c>
      <c r="T60" s="177">
        <f>SUMIF(請求Data!$F$11:$F$160,CONCATENATE(VLOOKUP(P$5,$G$1:$H$4,2,FALSE),$E60,1,2),請求Data!$AG$11:$AG$160)</f>
        <v>0</v>
      </c>
      <c r="U60" s="345"/>
      <c r="V60" s="175">
        <f>VLOOKUP($E60,'集計16-E'!$E$9:$AF$90,'集計16-E'!$V$7-$D$7,0)+VLOOKUP($E60,'集計F-15'!$E$9:$AF$90,'集計F-15'!$V$7-$D$7,0)</f>
        <v>0</v>
      </c>
      <c r="W60" s="433">
        <f>VLOOKUP($E60,'集計16-E'!$E$9:$AF$90,'集計16-E'!$W$7-$D$7,0)+VLOOKUP($E60,'集計F-15'!$E$9:$AF$90,'集計F-15'!$W$7-$D$7,0)</f>
        <v>0</v>
      </c>
      <c r="X60" s="345"/>
      <c r="Y60" s="644">
        <f>VLOOKUP($E60,'集計16-E'!$E$9:AF$90,'集計16-E'!$Y$7-$D$7,0)+VLOOKUP($E60,'集計F-15'!$E$9:AF$90,'集計F-15'!$Y$7-$D$7,0)-$AB60</f>
        <v>0</v>
      </c>
      <c r="Z60" s="645">
        <f>VLOOKUP($E60,'集計16-E'!$E$9:AF$90,'集計16-E'!$Z$7-$D$7,0)+VLOOKUP($E60,'集計F-15'!$E$9:AF$90,'集計F-15'!$Z$7-$D$7,0)-$AC60</f>
        <v>0</v>
      </c>
      <c r="AA60" s="345"/>
      <c r="AB60" s="175">
        <f>SUMIF(請求Data!$F$11:$F$160,CONCATENATE(VLOOKUP(Y$5,$G$1:$H$4,2,FALSE),$E60,1,2),請求Data!$AF$11:$AF$160)</f>
        <v>0</v>
      </c>
      <c r="AC60" s="177">
        <f>SUMIF(請求Data!$F$11:$F$160,CONCATENATE(VLOOKUP(Y$5,$G$1:$H$4,2,FALSE),$E60,1,2),請求Data!$AG$11:$AG$160)</f>
        <v>0</v>
      </c>
      <c r="AD60" s="345"/>
      <c r="AE60" s="175">
        <f>VLOOKUP($E60,'集計16-E'!$E$9:AF$90,'集計16-E'!$AE$7-$D$7,0)+VLOOKUP($E60,'集計F-15'!$E$9:AF$90,'集計F-15'!$AE$7-$D$7,0)</f>
        <v>0</v>
      </c>
      <c r="AF60" s="433">
        <f>VLOOKUP($E60,'集計16-E'!$E$9:AF$90,'集計16-E'!$AF$7-$D$7,0)+VLOOKUP($E60,'集計F-15'!$E$9:AF$90,'集計F-15'!$AF$7-$D$7,0)</f>
        <v>0</v>
      </c>
    </row>
    <row r="61" spans="1:32">
      <c r="A61" s="474" t="str">
        <f>IF(SUMIFS($G61:$AF61,$G$8:$AF$8,"金額",$G61:$AF61,"&gt;0")-SUMIFS($G61:$AF61,$G$8:$AF$8,"金額",$G61:$AF61,"&lt;0")&lt;=0,"",MAX($A$8:$A60)+1)</f>
        <v/>
      </c>
      <c r="B61" s="802"/>
      <c r="C61" s="245" t="str">
        <f t="shared" si="1"/>
        <v>商品</v>
      </c>
      <c r="D61" s="245">
        <v>53</v>
      </c>
      <c r="E61" s="590" t="str">
        <f>IF($F61&lt;&gt;"",INDEX(ﾏｽﾀ!$D$8:$D$124,MATCH(INDEX(ﾏｽﾀ!$N$8:$N$124,MATCH($F61,ﾏｽﾀ!$O$8:$O$124,0)),ﾏｽﾀ!$B$8:$B$124,0))&amp;"","")</f>
        <v/>
      </c>
      <c r="F61" s="589" t="str">
        <f>ﾏｽﾀ!$R60&amp;""</f>
        <v/>
      </c>
      <c r="G61" s="632">
        <f>VLOOKUP($E61,'集計16-E'!$E$9:$AF$90,'集計16-E'!$G$7-$D$7,FALSE)+VLOOKUP($E61,'集計F-15'!$E$9:$AF$90,'集計F-15'!$G$7-$D$7,FALSE)-INDEX($J$9:$J$90,MATCH($E61,$E$9:$E$90,0))</f>
        <v>0</v>
      </c>
      <c r="H61" s="633">
        <f>VLOOKUP($E61,'集計16-E'!$E$9:$AF$90,'集計16-E'!$H$7-$D$7,FALSE)+VLOOKUP($E61,'集計F-15'!$E$9:$AF$90,'集計F-15'!$H$7-$D$7,FALSE)-INDEX($K$9:$K$90,MATCH($E61,$E$9:$E$90,0))</f>
        <v>0</v>
      </c>
      <c r="I61" s="345"/>
      <c r="J61" s="126">
        <f>SUMIF(請求Data!$F$11:$F$160,CONCATENATE(VLOOKUP(G$5,$G$1:$H$4,2,FALSE),$E61,1,2),請求Data!$AF$11:$AF$160)</f>
        <v>0</v>
      </c>
      <c r="K61" s="127">
        <f>SUMIF(請求Data!$F$11:$F$160,CONCATENATE(VLOOKUP(G$5,$G$1:$H$4,2,FALSE),$E61,1,2),請求Data!$AG$11:$AG$160)</f>
        <v>0</v>
      </c>
      <c r="L61" s="345"/>
      <c r="M61" s="175">
        <f>VLOOKUP($E61,'集計16-E'!$E$9:$AF$90,'集計16-E'!$M$7-$D$7,FALSE)+VLOOKUP($E61,'集計F-15'!$E$9:$AF$90,'集計F-15'!$M$7-$D$7,FALSE)</f>
        <v>0</v>
      </c>
      <c r="N61" s="432">
        <f>VLOOKUP($E61,'集計16-E'!$E$9:$AF$90,'集計16-E'!$N$7-$D$7,FALSE)+VLOOKUP($E61,'集計F-15'!$E$9:$AF$90,'集計F-15'!$N$7-$D$7,FALSE)</f>
        <v>0</v>
      </c>
      <c r="O61" s="345"/>
      <c r="P61" s="644">
        <f>VLOOKUP($E61,'集計16-E'!$E$9:$AF$90,'集計16-E'!$P$7-$D$7,FALSE)+VLOOKUP($E61,'集計F-15'!$E$9:$AF$90,'集計F-15'!$P$7-$D$7,FALSE)-$S61</f>
        <v>0</v>
      </c>
      <c r="Q61" s="645">
        <f>VLOOKUP($E61,'集計16-E'!$E$9:$AF$90,'集計16-E'!$Q$7-$D$7,FALSE)+VLOOKUP($E61,'集計F-15'!$E$9:$AF$90,'集計F-15'!$Q$7-$D$7,FALSE)-$T61</f>
        <v>0</v>
      </c>
      <c r="R61" s="345"/>
      <c r="S61" s="175">
        <f>SUMIF(請求Data!$F$11:$F$160,CONCATENATE(VLOOKUP(P$5,$G$1:$H$4,2,FALSE),$E61,1,2),請求Data!$AF$11:$AF$160)</f>
        <v>0</v>
      </c>
      <c r="T61" s="177">
        <f>SUMIF(請求Data!$F$11:$F$160,CONCATENATE(VLOOKUP(P$5,$G$1:$H$4,2,FALSE),$E61,1,2),請求Data!$AG$11:$AG$160)</f>
        <v>0</v>
      </c>
      <c r="U61" s="345"/>
      <c r="V61" s="175">
        <f>VLOOKUP($E61,'集計16-E'!$E$9:$AF$90,'集計16-E'!$V$7-$D$7,0)+VLOOKUP($E61,'集計F-15'!$E$9:$AF$90,'集計F-15'!$V$7-$D$7,0)</f>
        <v>0</v>
      </c>
      <c r="W61" s="433">
        <f>VLOOKUP($E61,'集計16-E'!$E$9:$AF$90,'集計16-E'!$W$7-$D$7,0)+VLOOKUP($E61,'集計F-15'!$E$9:$AF$90,'集計F-15'!$W$7-$D$7,0)</f>
        <v>0</v>
      </c>
      <c r="X61" s="345"/>
      <c r="Y61" s="644">
        <f>VLOOKUP($E61,'集計16-E'!$E$9:AF$90,'集計16-E'!$Y$7-$D$7,0)+VLOOKUP($E61,'集計F-15'!$E$9:AF$90,'集計F-15'!$Y$7-$D$7,0)-$AB61</f>
        <v>0</v>
      </c>
      <c r="Z61" s="645">
        <f>VLOOKUP($E61,'集計16-E'!$E$9:AF$90,'集計16-E'!$Z$7-$D$7,0)+VLOOKUP($E61,'集計F-15'!$E$9:AF$90,'集計F-15'!$Z$7-$D$7,0)-$AC61</f>
        <v>0</v>
      </c>
      <c r="AA61" s="345"/>
      <c r="AB61" s="175">
        <f>SUMIF(請求Data!$F$11:$F$160,CONCATENATE(VLOOKUP(Y$5,$G$1:$H$4,2,FALSE),$E61,1,2),請求Data!$AF$11:$AF$160)</f>
        <v>0</v>
      </c>
      <c r="AC61" s="177">
        <f>SUMIF(請求Data!$F$11:$F$160,CONCATENATE(VLOOKUP(Y$5,$G$1:$H$4,2,FALSE),$E61,1,2),請求Data!$AG$11:$AG$160)</f>
        <v>0</v>
      </c>
      <c r="AD61" s="345"/>
      <c r="AE61" s="175">
        <f>VLOOKUP($E61,'集計16-E'!$E$9:AF$90,'集計16-E'!$AE$7-$D$7,0)+VLOOKUP($E61,'集計F-15'!$E$9:AF$90,'集計F-15'!$AE$7-$D$7,0)</f>
        <v>0</v>
      </c>
      <c r="AF61" s="433">
        <f>VLOOKUP($E61,'集計16-E'!$E$9:AF$90,'集計16-E'!$AF$7-$D$7,0)+VLOOKUP($E61,'集計F-15'!$E$9:AF$90,'集計F-15'!$AF$7-$D$7,0)</f>
        <v>0</v>
      </c>
    </row>
    <row r="62" spans="1:32">
      <c r="A62" s="474" t="str">
        <f>IF(SUMIFS($G62:$AF62,$G$8:$AF$8,"金額",$G62:$AF62,"&gt;0")-SUMIFS($G62:$AF62,$G$8:$AF$8,"金額",$G62:$AF62,"&lt;0")&lt;=0,"",MAX($A$8:$A61)+1)</f>
        <v/>
      </c>
      <c r="B62" s="802"/>
      <c r="C62" s="245" t="str">
        <f t="shared" si="1"/>
        <v>商品</v>
      </c>
      <c r="D62" s="245">
        <v>54</v>
      </c>
      <c r="E62" s="590" t="str">
        <f>IF($F62&lt;&gt;"",INDEX(ﾏｽﾀ!$D$8:$D$124,MATCH(INDEX(ﾏｽﾀ!$N$8:$N$124,MATCH($F62,ﾏｽﾀ!$O$8:$O$124,0)),ﾏｽﾀ!$B$8:$B$124,0))&amp;"","")</f>
        <v/>
      </c>
      <c r="F62" s="589" t="str">
        <f>ﾏｽﾀ!$R61&amp;""</f>
        <v/>
      </c>
      <c r="G62" s="632">
        <f>VLOOKUP($E62,'集計16-E'!$E$9:$AF$90,'集計16-E'!$G$7-$D$7,FALSE)+VLOOKUP($E62,'集計F-15'!$E$9:$AF$90,'集計F-15'!$G$7-$D$7,FALSE)-INDEX($J$9:$J$90,MATCH($E62,$E$9:$E$90,0))</f>
        <v>0</v>
      </c>
      <c r="H62" s="633">
        <f>VLOOKUP($E62,'集計16-E'!$E$9:$AF$90,'集計16-E'!$H$7-$D$7,FALSE)+VLOOKUP($E62,'集計F-15'!$E$9:$AF$90,'集計F-15'!$H$7-$D$7,FALSE)-INDEX($K$9:$K$90,MATCH($E62,$E$9:$E$90,0))</f>
        <v>0</v>
      </c>
      <c r="I62" s="345"/>
      <c r="J62" s="126">
        <f>SUMIF(請求Data!$F$11:$F$160,CONCATENATE(VLOOKUP(G$5,$G$1:$H$4,2,FALSE),$E62,1,2),請求Data!$AF$11:$AF$160)</f>
        <v>0</v>
      </c>
      <c r="K62" s="127">
        <f>SUMIF(請求Data!$F$11:$F$160,CONCATENATE(VLOOKUP(G$5,$G$1:$H$4,2,FALSE),$E62,1,2),請求Data!$AG$11:$AG$160)</f>
        <v>0</v>
      </c>
      <c r="L62" s="345"/>
      <c r="M62" s="175">
        <f>VLOOKUP($E62,'集計16-E'!$E$9:$AF$90,'集計16-E'!$M$7-$D$7,FALSE)+VLOOKUP($E62,'集計F-15'!$E$9:$AF$90,'集計F-15'!$M$7-$D$7,FALSE)</f>
        <v>0</v>
      </c>
      <c r="N62" s="432">
        <f>VLOOKUP($E62,'集計16-E'!$E$9:$AF$90,'集計16-E'!$N$7-$D$7,FALSE)+VLOOKUP($E62,'集計F-15'!$E$9:$AF$90,'集計F-15'!$N$7-$D$7,FALSE)</f>
        <v>0</v>
      </c>
      <c r="O62" s="345"/>
      <c r="P62" s="644">
        <f>VLOOKUP($E62,'集計16-E'!$E$9:$AF$90,'集計16-E'!$P$7-$D$7,FALSE)+VLOOKUP($E62,'集計F-15'!$E$9:$AF$90,'集計F-15'!$P$7-$D$7,FALSE)-$S62</f>
        <v>0</v>
      </c>
      <c r="Q62" s="645">
        <f>VLOOKUP($E62,'集計16-E'!$E$9:$AF$90,'集計16-E'!$Q$7-$D$7,FALSE)+VLOOKUP($E62,'集計F-15'!$E$9:$AF$90,'集計F-15'!$Q$7-$D$7,FALSE)-$T62</f>
        <v>0</v>
      </c>
      <c r="R62" s="345"/>
      <c r="S62" s="175">
        <f>SUMIF(請求Data!$F$11:$F$160,CONCATENATE(VLOOKUP(P$5,$G$1:$H$4,2,FALSE),$E62,1,2),請求Data!$AF$11:$AF$160)</f>
        <v>0</v>
      </c>
      <c r="T62" s="177">
        <f>SUMIF(請求Data!$F$11:$F$160,CONCATENATE(VLOOKUP(P$5,$G$1:$H$4,2,FALSE),$E62,1,2),請求Data!$AG$11:$AG$160)</f>
        <v>0</v>
      </c>
      <c r="U62" s="345"/>
      <c r="V62" s="175">
        <f>VLOOKUP($E62,'集計16-E'!$E$9:$AF$90,'集計16-E'!$V$7-$D$7,0)+VLOOKUP($E62,'集計F-15'!$E$9:$AF$90,'集計F-15'!$V$7-$D$7,0)</f>
        <v>0</v>
      </c>
      <c r="W62" s="433">
        <f>VLOOKUP($E62,'集計16-E'!$E$9:$AF$90,'集計16-E'!$W$7-$D$7,0)+VLOOKUP($E62,'集計F-15'!$E$9:$AF$90,'集計F-15'!$W$7-$D$7,0)</f>
        <v>0</v>
      </c>
      <c r="X62" s="345"/>
      <c r="Y62" s="644">
        <f>VLOOKUP($E62,'集計16-E'!$E$9:AF$90,'集計16-E'!$Y$7-$D$7,0)+VLOOKUP($E62,'集計F-15'!$E$9:AF$90,'集計F-15'!$Y$7-$D$7,0)-$AB62</f>
        <v>0</v>
      </c>
      <c r="Z62" s="645">
        <f>VLOOKUP($E62,'集計16-E'!$E$9:AF$90,'集計16-E'!$Z$7-$D$7,0)+VLOOKUP($E62,'集計F-15'!$E$9:AF$90,'集計F-15'!$Z$7-$D$7,0)-$AC62</f>
        <v>0</v>
      </c>
      <c r="AA62" s="345"/>
      <c r="AB62" s="175">
        <f>SUMIF(請求Data!$F$11:$F$160,CONCATENATE(VLOOKUP(Y$5,$G$1:$H$4,2,FALSE),$E62,1,2),請求Data!$AF$11:$AF$160)</f>
        <v>0</v>
      </c>
      <c r="AC62" s="177">
        <f>SUMIF(請求Data!$F$11:$F$160,CONCATENATE(VLOOKUP(Y$5,$G$1:$H$4,2,FALSE),$E62,1,2),請求Data!$AG$11:$AG$160)</f>
        <v>0</v>
      </c>
      <c r="AD62" s="345"/>
      <c r="AE62" s="175">
        <f>VLOOKUP($E62,'集計16-E'!$E$9:AF$90,'集計16-E'!$AE$7-$D$7,0)+VLOOKUP($E62,'集計F-15'!$E$9:AF$90,'集計F-15'!$AE$7-$D$7,0)</f>
        <v>0</v>
      </c>
      <c r="AF62" s="433">
        <f>VLOOKUP($E62,'集計16-E'!$E$9:AF$90,'集計16-E'!$AF$7-$D$7,0)+VLOOKUP($E62,'集計F-15'!$E$9:AF$90,'集計F-15'!$AF$7-$D$7,0)</f>
        <v>0</v>
      </c>
    </row>
    <row r="63" spans="1:32">
      <c r="A63" s="474" t="str">
        <f>IF(SUMIFS($G63:$AF63,$G$8:$AF$8,"金額",$G63:$AF63,"&gt;0")-SUMIFS($G63:$AF63,$G$8:$AF$8,"金額",$G63:$AF63,"&lt;0")&lt;=0,"",MAX($A$8:$A62)+1)</f>
        <v/>
      </c>
      <c r="B63" s="802"/>
      <c r="C63" s="245" t="str">
        <f t="shared" si="1"/>
        <v>商品</v>
      </c>
      <c r="D63" s="245">
        <v>55</v>
      </c>
      <c r="E63" s="590" t="str">
        <f>IF($F63&lt;&gt;"",INDEX(ﾏｽﾀ!$D$8:$D$124,MATCH(INDEX(ﾏｽﾀ!$N$8:$N$124,MATCH($F63,ﾏｽﾀ!$O$8:$O$124,0)),ﾏｽﾀ!$B$8:$B$124,0))&amp;"","")</f>
        <v/>
      </c>
      <c r="F63" s="589" t="str">
        <f>ﾏｽﾀ!$R62&amp;""</f>
        <v/>
      </c>
      <c r="G63" s="632">
        <f>VLOOKUP($E63,'集計16-E'!$E$9:$AF$90,'集計16-E'!$G$7-$D$7,FALSE)+VLOOKUP($E63,'集計F-15'!$E$9:$AF$90,'集計F-15'!$G$7-$D$7,FALSE)-INDEX($J$9:$J$90,MATCH($E63,$E$9:$E$90,0))</f>
        <v>0</v>
      </c>
      <c r="H63" s="633">
        <f>VLOOKUP($E63,'集計16-E'!$E$9:$AF$90,'集計16-E'!$H$7-$D$7,FALSE)+VLOOKUP($E63,'集計F-15'!$E$9:$AF$90,'集計F-15'!$H$7-$D$7,FALSE)-INDEX($K$9:$K$90,MATCH($E63,$E$9:$E$90,0))</f>
        <v>0</v>
      </c>
      <c r="I63" s="345"/>
      <c r="J63" s="126">
        <f>SUMIF(請求Data!$F$11:$F$160,CONCATENATE(VLOOKUP(G$5,$G$1:$H$4,2,FALSE),$E63,1,2),請求Data!$AF$11:$AF$160)</f>
        <v>0</v>
      </c>
      <c r="K63" s="127">
        <f>SUMIF(請求Data!$F$11:$F$160,CONCATENATE(VLOOKUP(G$5,$G$1:$H$4,2,FALSE),$E63,1,2),請求Data!$AG$11:$AG$160)</f>
        <v>0</v>
      </c>
      <c r="L63" s="345"/>
      <c r="M63" s="175">
        <f>VLOOKUP($E63,'集計16-E'!$E$9:$AF$90,'集計16-E'!$M$7-$D$7,FALSE)+VLOOKUP($E63,'集計F-15'!$E$9:$AF$90,'集計F-15'!$M$7-$D$7,FALSE)</f>
        <v>0</v>
      </c>
      <c r="N63" s="432">
        <f>VLOOKUP($E63,'集計16-E'!$E$9:$AF$90,'集計16-E'!$N$7-$D$7,FALSE)+VLOOKUP($E63,'集計F-15'!$E$9:$AF$90,'集計F-15'!$N$7-$D$7,FALSE)</f>
        <v>0</v>
      </c>
      <c r="O63" s="345"/>
      <c r="P63" s="644">
        <f>VLOOKUP($E63,'集計16-E'!$E$9:$AF$90,'集計16-E'!$P$7-$D$7,FALSE)+VLOOKUP($E63,'集計F-15'!$E$9:$AF$90,'集計F-15'!$P$7-$D$7,FALSE)-$S63</f>
        <v>0</v>
      </c>
      <c r="Q63" s="645">
        <f>VLOOKUP($E63,'集計16-E'!$E$9:$AF$90,'集計16-E'!$Q$7-$D$7,FALSE)+VLOOKUP($E63,'集計F-15'!$E$9:$AF$90,'集計F-15'!$Q$7-$D$7,FALSE)-$T63</f>
        <v>0</v>
      </c>
      <c r="R63" s="345"/>
      <c r="S63" s="175">
        <f>SUMIF(請求Data!$F$11:$F$160,CONCATENATE(VLOOKUP(P$5,$G$1:$H$4,2,FALSE),$E63,1,2),請求Data!$AF$11:$AF$160)</f>
        <v>0</v>
      </c>
      <c r="T63" s="177">
        <f>SUMIF(請求Data!$F$11:$F$160,CONCATENATE(VLOOKUP(P$5,$G$1:$H$4,2,FALSE),$E63,1,2),請求Data!$AG$11:$AG$160)</f>
        <v>0</v>
      </c>
      <c r="U63" s="345"/>
      <c r="V63" s="175">
        <f>VLOOKUP($E63,'集計16-E'!$E$9:$AF$90,'集計16-E'!$V$7-$D$7,0)+VLOOKUP($E63,'集計F-15'!$E$9:$AF$90,'集計F-15'!$V$7-$D$7,0)</f>
        <v>0</v>
      </c>
      <c r="W63" s="433">
        <f>VLOOKUP($E63,'集計16-E'!$E$9:$AF$90,'集計16-E'!$W$7-$D$7,0)+VLOOKUP($E63,'集計F-15'!$E$9:$AF$90,'集計F-15'!$W$7-$D$7,0)</f>
        <v>0</v>
      </c>
      <c r="X63" s="345"/>
      <c r="Y63" s="644">
        <f>VLOOKUP($E63,'集計16-E'!$E$9:AF$90,'集計16-E'!$Y$7-$D$7,0)+VLOOKUP($E63,'集計F-15'!$E$9:AF$90,'集計F-15'!$Y$7-$D$7,0)-$AB63</f>
        <v>0</v>
      </c>
      <c r="Z63" s="645">
        <f>VLOOKUP($E63,'集計16-E'!$E$9:AF$90,'集計16-E'!$Z$7-$D$7,0)+VLOOKUP($E63,'集計F-15'!$E$9:AF$90,'集計F-15'!$Z$7-$D$7,0)-$AC63</f>
        <v>0</v>
      </c>
      <c r="AA63" s="345"/>
      <c r="AB63" s="175">
        <f>SUMIF(請求Data!$F$11:$F$160,CONCATENATE(VLOOKUP(Y$5,$G$1:$H$4,2,FALSE),$E63,1,2),請求Data!$AF$11:$AF$160)</f>
        <v>0</v>
      </c>
      <c r="AC63" s="177">
        <f>SUMIF(請求Data!$F$11:$F$160,CONCATENATE(VLOOKUP(Y$5,$G$1:$H$4,2,FALSE),$E63,1,2),請求Data!$AG$11:$AG$160)</f>
        <v>0</v>
      </c>
      <c r="AD63" s="345"/>
      <c r="AE63" s="175">
        <f>VLOOKUP($E63,'集計16-E'!$E$9:AF$90,'集計16-E'!$AE$7-$D$7,0)+VLOOKUP($E63,'集計F-15'!$E$9:AF$90,'集計F-15'!$AE$7-$D$7,0)</f>
        <v>0</v>
      </c>
      <c r="AF63" s="433">
        <f>VLOOKUP($E63,'集計16-E'!$E$9:AF$90,'集計16-E'!$AF$7-$D$7,0)+VLOOKUP($E63,'集計F-15'!$E$9:AF$90,'集計F-15'!$AF$7-$D$7,0)</f>
        <v>0</v>
      </c>
    </row>
    <row r="64" spans="1:32">
      <c r="A64" s="474" t="str">
        <f>IF(SUMIFS($G64:$AF64,$G$8:$AF$8,"金額",$G64:$AF64,"&gt;0")-SUMIFS($G64:$AF64,$G$8:$AF$8,"金額",$G64:$AF64,"&lt;0")&lt;=0,"",MAX($A$8:$A63)+1)</f>
        <v/>
      </c>
      <c r="B64" s="802"/>
      <c r="C64" s="245" t="str">
        <f t="shared" si="1"/>
        <v>商品</v>
      </c>
      <c r="D64" s="245">
        <v>56</v>
      </c>
      <c r="E64" s="590" t="str">
        <f>IF($F64&lt;&gt;"",INDEX(ﾏｽﾀ!$D$8:$D$124,MATCH(INDEX(ﾏｽﾀ!$N$8:$N$124,MATCH($F64,ﾏｽﾀ!$O$8:$O$124,0)),ﾏｽﾀ!$B$8:$B$124,0))&amp;"","")</f>
        <v/>
      </c>
      <c r="F64" s="589" t="str">
        <f>ﾏｽﾀ!$R63&amp;""</f>
        <v/>
      </c>
      <c r="G64" s="632">
        <f>VLOOKUP($E64,'集計16-E'!$E$9:$AF$90,'集計16-E'!$G$7-$D$7,FALSE)+VLOOKUP($E64,'集計F-15'!$E$9:$AF$90,'集計F-15'!$G$7-$D$7,FALSE)-INDEX($J$9:$J$90,MATCH($E64,$E$9:$E$90,0))</f>
        <v>0</v>
      </c>
      <c r="H64" s="633">
        <f>VLOOKUP($E64,'集計16-E'!$E$9:$AF$90,'集計16-E'!$H$7-$D$7,FALSE)+VLOOKUP($E64,'集計F-15'!$E$9:$AF$90,'集計F-15'!$H$7-$D$7,FALSE)-INDEX($K$9:$K$90,MATCH($E64,$E$9:$E$90,0))</f>
        <v>0</v>
      </c>
      <c r="I64" s="345"/>
      <c r="J64" s="126">
        <f>SUMIF(請求Data!$F$11:$F$160,CONCATENATE(VLOOKUP(G$5,$G$1:$H$4,2,FALSE),$E64,1,2),請求Data!$AF$11:$AF$160)</f>
        <v>0</v>
      </c>
      <c r="K64" s="127">
        <f>SUMIF(請求Data!$F$11:$F$160,CONCATENATE(VLOOKUP(G$5,$G$1:$H$4,2,FALSE),$E64,1,2),請求Data!$AG$11:$AG$160)</f>
        <v>0</v>
      </c>
      <c r="L64" s="345"/>
      <c r="M64" s="175">
        <f>VLOOKUP($E64,'集計16-E'!$E$9:$AF$90,'集計16-E'!$M$7-$D$7,FALSE)+VLOOKUP($E64,'集計F-15'!$E$9:$AF$90,'集計F-15'!$M$7-$D$7,FALSE)</f>
        <v>0</v>
      </c>
      <c r="N64" s="432">
        <f>VLOOKUP($E64,'集計16-E'!$E$9:$AF$90,'集計16-E'!$N$7-$D$7,FALSE)+VLOOKUP($E64,'集計F-15'!$E$9:$AF$90,'集計F-15'!$N$7-$D$7,FALSE)</f>
        <v>0</v>
      </c>
      <c r="O64" s="345"/>
      <c r="P64" s="644">
        <f>VLOOKUP($E64,'集計16-E'!$E$9:$AF$90,'集計16-E'!$P$7-$D$7,FALSE)+VLOOKUP($E64,'集計F-15'!$E$9:$AF$90,'集計F-15'!$P$7-$D$7,FALSE)-$S64</f>
        <v>0</v>
      </c>
      <c r="Q64" s="645">
        <f>VLOOKUP($E64,'集計16-E'!$E$9:$AF$90,'集計16-E'!$Q$7-$D$7,FALSE)+VLOOKUP($E64,'集計F-15'!$E$9:$AF$90,'集計F-15'!$Q$7-$D$7,FALSE)-$T64</f>
        <v>0</v>
      </c>
      <c r="R64" s="345"/>
      <c r="S64" s="175">
        <f>SUMIF(請求Data!$F$11:$F$160,CONCATENATE(VLOOKUP(P$5,$G$1:$H$4,2,FALSE),$E64,1,2),請求Data!$AF$11:$AF$160)</f>
        <v>0</v>
      </c>
      <c r="T64" s="177">
        <f>SUMIF(請求Data!$F$11:$F$160,CONCATENATE(VLOOKUP(P$5,$G$1:$H$4,2,FALSE),$E64,1,2),請求Data!$AG$11:$AG$160)</f>
        <v>0</v>
      </c>
      <c r="U64" s="345"/>
      <c r="V64" s="175">
        <f>VLOOKUP($E64,'集計16-E'!$E$9:$AF$90,'集計16-E'!$V$7-$D$7,0)+VLOOKUP($E64,'集計F-15'!$E$9:$AF$90,'集計F-15'!$V$7-$D$7,0)</f>
        <v>0</v>
      </c>
      <c r="W64" s="433">
        <f>VLOOKUP($E64,'集計16-E'!$E$9:$AF$90,'集計16-E'!$W$7-$D$7,0)+VLOOKUP($E64,'集計F-15'!$E$9:$AF$90,'集計F-15'!$W$7-$D$7,0)</f>
        <v>0</v>
      </c>
      <c r="X64" s="345"/>
      <c r="Y64" s="644">
        <f>VLOOKUP($E64,'集計16-E'!$E$9:AF$90,'集計16-E'!$Y$7-$D$7,0)+VLOOKUP($E64,'集計F-15'!$E$9:AF$90,'集計F-15'!$Y$7-$D$7,0)-$AB64</f>
        <v>0</v>
      </c>
      <c r="Z64" s="645">
        <f>VLOOKUP($E64,'集計16-E'!$E$9:AF$90,'集計16-E'!$Z$7-$D$7,0)+VLOOKUP($E64,'集計F-15'!$E$9:AF$90,'集計F-15'!$Z$7-$D$7,0)-$AC64</f>
        <v>0</v>
      </c>
      <c r="AA64" s="345"/>
      <c r="AB64" s="175">
        <f>SUMIF(請求Data!$F$11:$F$160,CONCATENATE(VLOOKUP(Y$5,$G$1:$H$4,2,FALSE),$E64,1,2),請求Data!$AF$11:$AF$160)</f>
        <v>0</v>
      </c>
      <c r="AC64" s="177">
        <f>SUMIF(請求Data!$F$11:$F$160,CONCATENATE(VLOOKUP(Y$5,$G$1:$H$4,2,FALSE),$E64,1,2),請求Data!$AG$11:$AG$160)</f>
        <v>0</v>
      </c>
      <c r="AD64" s="345"/>
      <c r="AE64" s="175">
        <f>VLOOKUP($E64,'集計16-E'!$E$9:AF$90,'集計16-E'!$AE$7-$D$7,0)+VLOOKUP($E64,'集計F-15'!$E$9:AF$90,'集計F-15'!$AE$7-$D$7,0)</f>
        <v>0</v>
      </c>
      <c r="AF64" s="433">
        <f>VLOOKUP($E64,'集計16-E'!$E$9:AF$90,'集計16-E'!$AF$7-$D$7,0)+VLOOKUP($E64,'集計F-15'!$E$9:AF$90,'集計F-15'!$AF$7-$D$7,0)</f>
        <v>0</v>
      </c>
    </row>
    <row r="65" spans="1:32">
      <c r="A65" s="474" t="str">
        <f>IF(SUMIFS($G65:$AF65,$G$8:$AF$8,"金額",$G65:$AF65,"&gt;0")-SUMIFS($G65:$AF65,$G$8:$AF$8,"金額",$G65:$AF65,"&lt;0")&lt;=0,"",MAX($A$8:$A64)+1)</f>
        <v/>
      </c>
      <c r="B65" s="802"/>
      <c r="C65" s="245" t="str">
        <f t="shared" si="1"/>
        <v>商品</v>
      </c>
      <c r="D65" s="245">
        <v>57</v>
      </c>
      <c r="E65" s="590" t="str">
        <f>IF($F65&lt;&gt;"",INDEX(ﾏｽﾀ!$D$8:$D$124,MATCH(INDEX(ﾏｽﾀ!$N$8:$N$124,MATCH($F65,ﾏｽﾀ!$O$8:$O$124,0)),ﾏｽﾀ!$B$8:$B$124,0))&amp;"","")</f>
        <v/>
      </c>
      <c r="F65" s="589" t="str">
        <f>ﾏｽﾀ!$R64&amp;""</f>
        <v/>
      </c>
      <c r="G65" s="632">
        <f>VLOOKUP($E65,'集計16-E'!$E$9:$AF$90,'集計16-E'!$G$7-$D$7,FALSE)+VLOOKUP($E65,'集計F-15'!$E$9:$AF$90,'集計F-15'!$G$7-$D$7,FALSE)-INDEX($J$9:$J$90,MATCH($E65,$E$9:$E$90,0))</f>
        <v>0</v>
      </c>
      <c r="H65" s="633">
        <f>VLOOKUP($E65,'集計16-E'!$E$9:$AF$90,'集計16-E'!$H$7-$D$7,FALSE)+VLOOKUP($E65,'集計F-15'!$E$9:$AF$90,'集計F-15'!$H$7-$D$7,FALSE)-INDEX($K$9:$K$90,MATCH($E65,$E$9:$E$90,0))</f>
        <v>0</v>
      </c>
      <c r="I65" s="345"/>
      <c r="J65" s="126">
        <f>SUMIF(請求Data!$F$11:$F$160,CONCATENATE(VLOOKUP(G$5,$G$1:$H$4,2,FALSE),$E65,1,2),請求Data!$AF$11:$AF$160)</f>
        <v>0</v>
      </c>
      <c r="K65" s="127">
        <f>SUMIF(請求Data!$F$11:$F$160,CONCATENATE(VLOOKUP(G$5,$G$1:$H$4,2,FALSE),$E65,1,2),請求Data!$AG$11:$AG$160)</f>
        <v>0</v>
      </c>
      <c r="L65" s="345"/>
      <c r="M65" s="175">
        <f>VLOOKUP($E65,'集計16-E'!$E$9:$AF$90,'集計16-E'!$M$7-$D$7,FALSE)+VLOOKUP($E65,'集計F-15'!$E$9:$AF$90,'集計F-15'!$M$7-$D$7,FALSE)</f>
        <v>0</v>
      </c>
      <c r="N65" s="432">
        <f>VLOOKUP($E65,'集計16-E'!$E$9:$AF$90,'集計16-E'!$N$7-$D$7,FALSE)+VLOOKUP($E65,'集計F-15'!$E$9:$AF$90,'集計F-15'!$N$7-$D$7,FALSE)</f>
        <v>0</v>
      </c>
      <c r="O65" s="345"/>
      <c r="P65" s="644">
        <f>VLOOKUP($E65,'集計16-E'!$E$9:$AF$90,'集計16-E'!$P$7-$D$7,FALSE)+VLOOKUP($E65,'集計F-15'!$E$9:$AF$90,'集計F-15'!$P$7-$D$7,FALSE)-$S65</f>
        <v>0</v>
      </c>
      <c r="Q65" s="645">
        <f>VLOOKUP($E65,'集計16-E'!$E$9:$AF$90,'集計16-E'!$Q$7-$D$7,FALSE)+VLOOKUP($E65,'集計F-15'!$E$9:$AF$90,'集計F-15'!$Q$7-$D$7,FALSE)-$T65</f>
        <v>0</v>
      </c>
      <c r="R65" s="345"/>
      <c r="S65" s="175">
        <f>SUMIF(請求Data!$F$11:$F$160,CONCATENATE(VLOOKUP(P$5,$G$1:$H$4,2,FALSE),$E65,1,2),請求Data!$AF$11:$AF$160)</f>
        <v>0</v>
      </c>
      <c r="T65" s="177">
        <f>SUMIF(請求Data!$F$11:$F$160,CONCATENATE(VLOOKUP(P$5,$G$1:$H$4,2,FALSE),$E65,1,2),請求Data!$AG$11:$AG$160)</f>
        <v>0</v>
      </c>
      <c r="U65" s="345"/>
      <c r="V65" s="175">
        <f>VLOOKUP($E65,'集計16-E'!$E$9:$AF$90,'集計16-E'!$V$7-$D$7,0)+VLOOKUP($E65,'集計F-15'!$E$9:$AF$90,'集計F-15'!$V$7-$D$7,0)</f>
        <v>0</v>
      </c>
      <c r="W65" s="433">
        <f>VLOOKUP($E65,'集計16-E'!$E$9:$AF$90,'集計16-E'!$W$7-$D$7,0)+VLOOKUP($E65,'集計F-15'!$E$9:$AF$90,'集計F-15'!$W$7-$D$7,0)</f>
        <v>0</v>
      </c>
      <c r="X65" s="345"/>
      <c r="Y65" s="644">
        <f>VLOOKUP($E65,'集計16-E'!$E$9:AF$90,'集計16-E'!$Y$7-$D$7,0)+VLOOKUP($E65,'集計F-15'!$E$9:AF$90,'集計F-15'!$Y$7-$D$7,0)-$AB65</f>
        <v>0</v>
      </c>
      <c r="Z65" s="645">
        <f>VLOOKUP($E65,'集計16-E'!$E$9:AF$90,'集計16-E'!$Z$7-$D$7,0)+VLOOKUP($E65,'集計F-15'!$E$9:AF$90,'集計F-15'!$Z$7-$D$7,0)-$AC65</f>
        <v>0</v>
      </c>
      <c r="AA65" s="345"/>
      <c r="AB65" s="175">
        <f>SUMIF(請求Data!$F$11:$F$160,CONCATENATE(VLOOKUP(Y$5,$G$1:$H$4,2,FALSE),$E65,1,2),請求Data!$AF$11:$AF$160)</f>
        <v>0</v>
      </c>
      <c r="AC65" s="177">
        <f>SUMIF(請求Data!$F$11:$F$160,CONCATENATE(VLOOKUP(Y$5,$G$1:$H$4,2,FALSE),$E65,1,2),請求Data!$AG$11:$AG$160)</f>
        <v>0</v>
      </c>
      <c r="AD65" s="345"/>
      <c r="AE65" s="175">
        <f>VLOOKUP($E65,'集計16-E'!$E$9:AF$90,'集計16-E'!$AE$7-$D$7,0)+VLOOKUP($E65,'集計F-15'!$E$9:AF$90,'集計F-15'!$AE$7-$D$7,0)</f>
        <v>0</v>
      </c>
      <c r="AF65" s="433">
        <f>VLOOKUP($E65,'集計16-E'!$E$9:AF$90,'集計16-E'!$AF$7-$D$7,0)+VLOOKUP($E65,'集計F-15'!$E$9:AF$90,'集計F-15'!$AF$7-$D$7,0)</f>
        <v>0</v>
      </c>
    </row>
    <row r="66" spans="1:32">
      <c r="A66" s="474" t="str">
        <f>IF(SUMIFS($G66:$AF66,$G$8:$AF$8,"金額",$G66:$AF66,"&gt;0")-SUMIFS($G66:$AF66,$G$8:$AF$8,"金額",$G66:$AF66,"&lt;0")&lt;=0,"",MAX($A$8:$A65)+1)</f>
        <v/>
      </c>
      <c r="B66" s="802"/>
      <c r="C66" s="245" t="str">
        <f t="shared" si="1"/>
        <v>商品</v>
      </c>
      <c r="D66" s="245">
        <v>58</v>
      </c>
      <c r="E66" s="590" t="str">
        <f>IF($F66&lt;&gt;"",INDEX(ﾏｽﾀ!$D$8:$D$124,MATCH(INDEX(ﾏｽﾀ!$N$8:$N$124,MATCH($F66,ﾏｽﾀ!$O$8:$O$124,0)),ﾏｽﾀ!$B$8:$B$124,0))&amp;"","")</f>
        <v/>
      </c>
      <c r="F66" s="589" t="str">
        <f>ﾏｽﾀ!$R65&amp;""</f>
        <v/>
      </c>
      <c r="G66" s="632">
        <f>VLOOKUP($E66,'集計16-E'!$E$9:$AF$90,'集計16-E'!$G$7-$D$7,FALSE)+VLOOKUP($E66,'集計F-15'!$E$9:$AF$90,'集計F-15'!$G$7-$D$7,FALSE)-INDEX($J$9:$J$90,MATCH($E66,$E$9:$E$90,0))</f>
        <v>0</v>
      </c>
      <c r="H66" s="633">
        <f>VLOOKUP($E66,'集計16-E'!$E$9:$AF$90,'集計16-E'!$H$7-$D$7,FALSE)+VLOOKUP($E66,'集計F-15'!$E$9:$AF$90,'集計F-15'!$H$7-$D$7,FALSE)-INDEX($K$9:$K$90,MATCH($E66,$E$9:$E$90,0))</f>
        <v>0</v>
      </c>
      <c r="I66" s="345"/>
      <c r="J66" s="126">
        <f>SUMIF(請求Data!$F$11:$F$160,CONCATENATE(VLOOKUP(G$5,$G$1:$H$4,2,FALSE),$E66,1,2),請求Data!$AF$11:$AF$160)</f>
        <v>0</v>
      </c>
      <c r="K66" s="127">
        <f>SUMIF(請求Data!$F$11:$F$160,CONCATENATE(VLOOKUP(G$5,$G$1:$H$4,2,FALSE),$E66,1,2),請求Data!$AG$11:$AG$160)</f>
        <v>0</v>
      </c>
      <c r="L66" s="345"/>
      <c r="M66" s="175">
        <f>VLOOKUP($E66,'集計16-E'!$E$9:$AF$90,'集計16-E'!$M$7-$D$7,FALSE)+VLOOKUP($E66,'集計F-15'!$E$9:$AF$90,'集計F-15'!$M$7-$D$7,FALSE)</f>
        <v>0</v>
      </c>
      <c r="N66" s="432">
        <f>VLOOKUP($E66,'集計16-E'!$E$9:$AF$90,'集計16-E'!$N$7-$D$7,FALSE)+VLOOKUP($E66,'集計F-15'!$E$9:$AF$90,'集計F-15'!$N$7-$D$7,FALSE)</f>
        <v>0</v>
      </c>
      <c r="O66" s="345"/>
      <c r="P66" s="644">
        <f>VLOOKUP($E66,'集計16-E'!$E$9:$AF$90,'集計16-E'!$P$7-$D$7,FALSE)+VLOOKUP($E66,'集計F-15'!$E$9:$AF$90,'集計F-15'!$P$7-$D$7,FALSE)-$S66</f>
        <v>0</v>
      </c>
      <c r="Q66" s="645">
        <f>VLOOKUP($E66,'集計16-E'!$E$9:$AF$90,'集計16-E'!$Q$7-$D$7,FALSE)+VLOOKUP($E66,'集計F-15'!$E$9:$AF$90,'集計F-15'!$Q$7-$D$7,FALSE)-$T66</f>
        <v>0</v>
      </c>
      <c r="R66" s="345"/>
      <c r="S66" s="175">
        <f>SUMIF(請求Data!$F$11:$F$160,CONCATENATE(VLOOKUP(P$5,$G$1:$H$4,2,FALSE),$E66,1,2),請求Data!$AF$11:$AF$160)</f>
        <v>0</v>
      </c>
      <c r="T66" s="177">
        <f>SUMIF(請求Data!$F$11:$F$160,CONCATENATE(VLOOKUP(P$5,$G$1:$H$4,2,FALSE),$E66,1,2),請求Data!$AG$11:$AG$160)</f>
        <v>0</v>
      </c>
      <c r="U66" s="345"/>
      <c r="V66" s="175">
        <f>VLOOKUP($E66,'集計16-E'!$E$9:$AF$90,'集計16-E'!$V$7-$D$7,0)+VLOOKUP($E66,'集計F-15'!$E$9:$AF$90,'集計F-15'!$V$7-$D$7,0)</f>
        <v>0</v>
      </c>
      <c r="W66" s="433">
        <f>VLOOKUP($E66,'集計16-E'!$E$9:$AF$90,'集計16-E'!$W$7-$D$7,0)+VLOOKUP($E66,'集計F-15'!$E$9:$AF$90,'集計F-15'!$W$7-$D$7,0)</f>
        <v>0</v>
      </c>
      <c r="X66" s="345"/>
      <c r="Y66" s="644">
        <f>VLOOKUP($E66,'集計16-E'!$E$9:AF$90,'集計16-E'!$Y$7-$D$7,0)+VLOOKUP($E66,'集計F-15'!$E$9:AF$90,'集計F-15'!$Y$7-$D$7,0)-$AB66</f>
        <v>0</v>
      </c>
      <c r="Z66" s="645">
        <f>VLOOKUP($E66,'集計16-E'!$E$9:AF$90,'集計16-E'!$Z$7-$D$7,0)+VLOOKUP($E66,'集計F-15'!$E$9:AF$90,'集計F-15'!$Z$7-$D$7,0)-$AC66</f>
        <v>0</v>
      </c>
      <c r="AA66" s="345"/>
      <c r="AB66" s="175">
        <f>SUMIF(請求Data!$F$11:$F$160,CONCATENATE(VLOOKUP(Y$5,$G$1:$H$4,2,FALSE),$E66,1,2),請求Data!$AF$11:$AF$160)</f>
        <v>0</v>
      </c>
      <c r="AC66" s="177">
        <f>SUMIF(請求Data!$F$11:$F$160,CONCATENATE(VLOOKUP(Y$5,$G$1:$H$4,2,FALSE),$E66,1,2),請求Data!$AG$11:$AG$160)</f>
        <v>0</v>
      </c>
      <c r="AD66" s="345"/>
      <c r="AE66" s="175">
        <f>VLOOKUP($E66,'集計16-E'!$E$9:AF$90,'集計16-E'!$AE$7-$D$7,0)+VLOOKUP($E66,'集計F-15'!$E$9:AF$90,'集計F-15'!$AE$7-$D$7,0)</f>
        <v>0</v>
      </c>
      <c r="AF66" s="433">
        <f>VLOOKUP($E66,'集計16-E'!$E$9:AF$90,'集計16-E'!$AF$7-$D$7,0)+VLOOKUP($E66,'集計F-15'!$E$9:AF$90,'集計F-15'!$AF$7-$D$7,0)</f>
        <v>0</v>
      </c>
    </row>
    <row r="67" spans="1:32">
      <c r="A67" s="474" t="str">
        <f>IF(SUMIFS($G67:$AF67,$G$8:$AF$8,"金額",$G67:$AF67,"&gt;0")-SUMIFS($G67:$AF67,$G$8:$AF$8,"金額",$G67:$AF67,"&lt;0")&lt;=0,"",MAX($A$8:$A66)+1)</f>
        <v/>
      </c>
      <c r="B67" s="802"/>
      <c r="C67" s="245" t="str">
        <f t="shared" si="1"/>
        <v>商品</v>
      </c>
      <c r="D67" s="245">
        <v>59</v>
      </c>
      <c r="E67" s="590" t="str">
        <f>IF($F67&lt;&gt;"",INDEX(ﾏｽﾀ!$D$8:$D$124,MATCH(INDEX(ﾏｽﾀ!$N$8:$N$124,MATCH($F67,ﾏｽﾀ!$O$8:$O$124,0)),ﾏｽﾀ!$B$8:$B$124,0))&amp;"","")</f>
        <v/>
      </c>
      <c r="F67" s="589" t="str">
        <f>ﾏｽﾀ!$R66&amp;""</f>
        <v/>
      </c>
      <c r="G67" s="632">
        <f>VLOOKUP($E67,'集計16-E'!$E$9:$AF$90,'集計16-E'!$G$7-$D$7,FALSE)+VLOOKUP($E67,'集計F-15'!$E$9:$AF$90,'集計F-15'!$G$7-$D$7,FALSE)-INDEX($J$9:$J$90,MATCH($E67,$E$9:$E$90,0))</f>
        <v>0</v>
      </c>
      <c r="H67" s="633">
        <f>VLOOKUP($E67,'集計16-E'!$E$9:$AF$90,'集計16-E'!$H$7-$D$7,FALSE)+VLOOKUP($E67,'集計F-15'!$E$9:$AF$90,'集計F-15'!$H$7-$D$7,FALSE)-INDEX($K$9:$K$90,MATCH($E67,$E$9:$E$90,0))</f>
        <v>0</v>
      </c>
      <c r="I67" s="345"/>
      <c r="J67" s="126">
        <f>SUMIF(請求Data!$F$11:$F$160,CONCATENATE(VLOOKUP(G$5,$G$1:$H$4,2,FALSE),$E67,1,2),請求Data!$AF$11:$AF$160)</f>
        <v>0</v>
      </c>
      <c r="K67" s="127">
        <f>SUMIF(請求Data!$F$11:$F$160,CONCATENATE(VLOOKUP(G$5,$G$1:$H$4,2,FALSE),$E67,1,2),請求Data!$AG$11:$AG$160)</f>
        <v>0</v>
      </c>
      <c r="L67" s="345"/>
      <c r="M67" s="175">
        <f>VLOOKUP($E67,'集計16-E'!$E$9:$AF$90,'集計16-E'!$M$7-$D$7,FALSE)+VLOOKUP($E67,'集計F-15'!$E$9:$AF$90,'集計F-15'!$M$7-$D$7,FALSE)</f>
        <v>0</v>
      </c>
      <c r="N67" s="432">
        <f>VLOOKUP($E67,'集計16-E'!$E$9:$AF$90,'集計16-E'!$N$7-$D$7,FALSE)+VLOOKUP($E67,'集計F-15'!$E$9:$AF$90,'集計F-15'!$N$7-$D$7,FALSE)</f>
        <v>0</v>
      </c>
      <c r="O67" s="345"/>
      <c r="P67" s="644">
        <f>VLOOKUP($E67,'集計16-E'!$E$9:$AF$90,'集計16-E'!$P$7-$D$7,FALSE)+VLOOKUP($E67,'集計F-15'!$E$9:$AF$90,'集計F-15'!$P$7-$D$7,FALSE)-$S67</f>
        <v>0</v>
      </c>
      <c r="Q67" s="645">
        <f>VLOOKUP($E67,'集計16-E'!$E$9:$AF$90,'集計16-E'!$Q$7-$D$7,FALSE)+VLOOKUP($E67,'集計F-15'!$E$9:$AF$90,'集計F-15'!$Q$7-$D$7,FALSE)-$T67</f>
        <v>0</v>
      </c>
      <c r="R67" s="345"/>
      <c r="S67" s="175">
        <f>SUMIF(請求Data!$F$11:$F$160,CONCATENATE(VLOOKUP(P$5,$G$1:$H$4,2,FALSE),$E67,1,2),請求Data!$AF$11:$AF$160)</f>
        <v>0</v>
      </c>
      <c r="T67" s="177">
        <f>SUMIF(請求Data!$F$11:$F$160,CONCATENATE(VLOOKUP(P$5,$G$1:$H$4,2,FALSE),$E67,1,2),請求Data!$AG$11:$AG$160)</f>
        <v>0</v>
      </c>
      <c r="U67" s="345"/>
      <c r="V67" s="175">
        <f>VLOOKUP($E67,'集計16-E'!$E$9:$AF$90,'集計16-E'!$V$7-$D$7,0)+VLOOKUP($E67,'集計F-15'!$E$9:$AF$90,'集計F-15'!$V$7-$D$7,0)</f>
        <v>0</v>
      </c>
      <c r="W67" s="433">
        <f>VLOOKUP($E67,'集計16-E'!$E$9:$AF$90,'集計16-E'!$W$7-$D$7,0)+VLOOKUP($E67,'集計F-15'!$E$9:$AF$90,'集計F-15'!$W$7-$D$7,0)</f>
        <v>0</v>
      </c>
      <c r="X67" s="345"/>
      <c r="Y67" s="644">
        <f>VLOOKUP($E67,'集計16-E'!$E$9:AF$90,'集計16-E'!$Y$7-$D$7,0)+VLOOKUP($E67,'集計F-15'!$E$9:AF$90,'集計F-15'!$Y$7-$D$7,0)-$AB67</f>
        <v>0</v>
      </c>
      <c r="Z67" s="645">
        <f>VLOOKUP($E67,'集計16-E'!$E$9:AF$90,'集計16-E'!$Z$7-$D$7,0)+VLOOKUP($E67,'集計F-15'!$E$9:AF$90,'集計F-15'!$Z$7-$D$7,0)-$AC67</f>
        <v>0</v>
      </c>
      <c r="AA67" s="345"/>
      <c r="AB67" s="175">
        <f>SUMIF(請求Data!$F$11:$F$160,CONCATENATE(VLOOKUP(Y$5,$G$1:$H$4,2,FALSE),$E67,1,2),請求Data!$AF$11:$AF$160)</f>
        <v>0</v>
      </c>
      <c r="AC67" s="177">
        <f>SUMIF(請求Data!$F$11:$F$160,CONCATENATE(VLOOKUP(Y$5,$G$1:$H$4,2,FALSE),$E67,1,2),請求Data!$AG$11:$AG$160)</f>
        <v>0</v>
      </c>
      <c r="AD67" s="345"/>
      <c r="AE67" s="175">
        <f>VLOOKUP($E67,'集計16-E'!$E$9:AF$90,'集計16-E'!$AE$7-$D$7,0)+VLOOKUP($E67,'集計F-15'!$E$9:AF$90,'集計F-15'!$AE$7-$D$7,0)</f>
        <v>0</v>
      </c>
      <c r="AF67" s="433">
        <f>VLOOKUP($E67,'集計16-E'!$E$9:AF$90,'集計16-E'!$AF$7-$D$7,0)+VLOOKUP($E67,'集計F-15'!$E$9:AF$90,'集計F-15'!$AF$7-$D$7,0)</f>
        <v>0</v>
      </c>
    </row>
    <row r="68" spans="1:32">
      <c r="A68" s="474" t="str">
        <f>IF(SUMIFS($G68:$AF68,$G$8:$AF$8,"金額",$G68:$AF68,"&gt;0")-SUMIFS($G68:$AF68,$G$8:$AF$8,"金額",$G68:$AF68,"&lt;0")&lt;=0,"",MAX($A$8:$A67)+1)</f>
        <v/>
      </c>
      <c r="B68" s="802"/>
      <c r="C68" s="245" t="str">
        <f t="shared" si="1"/>
        <v>商品</v>
      </c>
      <c r="D68" s="245">
        <v>60</v>
      </c>
      <c r="E68" s="590" t="str">
        <f>IF($F68&lt;&gt;"",INDEX(ﾏｽﾀ!$D$8:$D$124,MATCH(INDEX(ﾏｽﾀ!$N$8:$N$124,MATCH($F68,ﾏｽﾀ!$O$8:$O$124,0)),ﾏｽﾀ!$B$8:$B$124,0))&amp;"","")</f>
        <v/>
      </c>
      <c r="F68" s="589" t="str">
        <f>ﾏｽﾀ!$R67&amp;""</f>
        <v/>
      </c>
      <c r="G68" s="632">
        <f>VLOOKUP($E68,'集計16-E'!$E$9:$AF$90,'集計16-E'!$G$7-$D$7,FALSE)+VLOOKUP($E68,'集計F-15'!$E$9:$AF$90,'集計F-15'!$G$7-$D$7,FALSE)-INDEX($J$9:$J$90,MATCH($E68,$E$9:$E$90,0))</f>
        <v>0</v>
      </c>
      <c r="H68" s="633">
        <f>VLOOKUP($E68,'集計16-E'!$E$9:$AF$90,'集計16-E'!$H$7-$D$7,FALSE)+VLOOKUP($E68,'集計F-15'!$E$9:$AF$90,'集計F-15'!$H$7-$D$7,FALSE)-INDEX($K$9:$K$90,MATCH($E68,$E$9:$E$90,0))</f>
        <v>0</v>
      </c>
      <c r="I68" s="345"/>
      <c r="J68" s="126">
        <f>SUMIF(請求Data!$F$11:$F$160,CONCATENATE(VLOOKUP(G$5,$G$1:$H$4,2,FALSE),$E68,1,2),請求Data!$AF$11:$AF$160)</f>
        <v>0</v>
      </c>
      <c r="K68" s="127">
        <f>SUMIF(請求Data!$F$11:$F$160,CONCATENATE(VLOOKUP(G$5,$G$1:$H$4,2,FALSE),$E68,1,2),請求Data!$AG$11:$AG$160)</f>
        <v>0</v>
      </c>
      <c r="L68" s="345"/>
      <c r="M68" s="175">
        <f>VLOOKUP($E68,'集計16-E'!$E$9:$AF$90,'集計16-E'!$M$7-$D$7,FALSE)+VLOOKUP($E68,'集計F-15'!$E$9:$AF$90,'集計F-15'!$M$7-$D$7,FALSE)</f>
        <v>0</v>
      </c>
      <c r="N68" s="432">
        <f>VLOOKUP($E68,'集計16-E'!$E$9:$AF$90,'集計16-E'!$N$7-$D$7,FALSE)+VLOOKUP($E68,'集計F-15'!$E$9:$AF$90,'集計F-15'!$N$7-$D$7,FALSE)</f>
        <v>0</v>
      </c>
      <c r="O68" s="345"/>
      <c r="P68" s="644">
        <f>VLOOKUP($E68,'集計16-E'!$E$9:$AF$90,'集計16-E'!$P$7-$D$7,FALSE)+VLOOKUP($E68,'集計F-15'!$E$9:$AF$90,'集計F-15'!$P$7-$D$7,FALSE)-$S68</f>
        <v>0</v>
      </c>
      <c r="Q68" s="645">
        <f>VLOOKUP($E68,'集計16-E'!$E$9:$AF$90,'集計16-E'!$Q$7-$D$7,FALSE)+VLOOKUP($E68,'集計F-15'!$E$9:$AF$90,'集計F-15'!$Q$7-$D$7,FALSE)-$T68</f>
        <v>0</v>
      </c>
      <c r="R68" s="345"/>
      <c r="S68" s="175">
        <f>SUMIF(請求Data!$F$11:$F$160,CONCATENATE(VLOOKUP(P$5,$G$1:$H$4,2,FALSE),$E68,1,2),請求Data!$AF$11:$AF$160)</f>
        <v>0</v>
      </c>
      <c r="T68" s="177">
        <f>SUMIF(請求Data!$F$11:$F$160,CONCATENATE(VLOOKUP(P$5,$G$1:$H$4,2,FALSE),$E68,1,2),請求Data!$AG$11:$AG$160)</f>
        <v>0</v>
      </c>
      <c r="U68" s="345"/>
      <c r="V68" s="175">
        <f>VLOOKUP($E68,'集計16-E'!$E$9:$AF$90,'集計16-E'!$V$7-$D$7,0)+VLOOKUP($E68,'集計F-15'!$E$9:$AF$90,'集計F-15'!$V$7-$D$7,0)</f>
        <v>0</v>
      </c>
      <c r="W68" s="433">
        <f>VLOOKUP($E68,'集計16-E'!$E$9:$AF$90,'集計16-E'!$W$7-$D$7,0)+VLOOKUP($E68,'集計F-15'!$E$9:$AF$90,'集計F-15'!$W$7-$D$7,0)</f>
        <v>0</v>
      </c>
      <c r="X68" s="345"/>
      <c r="Y68" s="644">
        <f>VLOOKUP($E68,'集計16-E'!$E$9:AF$90,'集計16-E'!$Y$7-$D$7,0)+VLOOKUP($E68,'集計F-15'!$E$9:AF$90,'集計F-15'!$Y$7-$D$7,0)-$AB68</f>
        <v>0</v>
      </c>
      <c r="Z68" s="645">
        <f>VLOOKUP($E68,'集計16-E'!$E$9:AF$90,'集計16-E'!$Z$7-$D$7,0)+VLOOKUP($E68,'集計F-15'!$E$9:AF$90,'集計F-15'!$Z$7-$D$7,0)-$AC68</f>
        <v>0</v>
      </c>
      <c r="AA68" s="345"/>
      <c r="AB68" s="175">
        <f>SUMIF(請求Data!$F$11:$F$160,CONCATENATE(VLOOKUP(Y$5,$G$1:$H$4,2,FALSE),$E68,1,2),請求Data!$AF$11:$AF$160)</f>
        <v>0</v>
      </c>
      <c r="AC68" s="177">
        <f>SUMIF(請求Data!$F$11:$F$160,CONCATENATE(VLOOKUP(Y$5,$G$1:$H$4,2,FALSE),$E68,1,2),請求Data!$AG$11:$AG$160)</f>
        <v>0</v>
      </c>
      <c r="AD68" s="345"/>
      <c r="AE68" s="175">
        <f>VLOOKUP($E68,'集計16-E'!$E$9:AF$90,'集計16-E'!$AE$7-$D$7,0)+VLOOKUP($E68,'集計F-15'!$E$9:AF$90,'集計F-15'!$AE$7-$D$7,0)</f>
        <v>0</v>
      </c>
      <c r="AF68" s="433">
        <f>VLOOKUP($E68,'集計16-E'!$E$9:AF$90,'集計16-E'!$AF$7-$D$7,0)+VLOOKUP($E68,'集計F-15'!$E$9:AF$90,'集計F-15'!$AF$7-$D$7,0)</f>
        <v>0</v>
      </c>
    </row>
    <row r="69" spans="1:32">
      <c r="A69" s="474" t="str">
        <f>IF(SUMIFS($G69:$AF69,$G$8:$AF$8,"金額",$G69:$AF69,"&gt;0")-SUMIFS($G69:$AF69,$G$8:$AF$8,"金額",$G69:$AF69,"&lt;0")&lt;=0,"",MAX($A$8:$A68)+1)</f>
        <v/>
      </c>
      <c r="B69" s="802"/>
      <c r="C69" s="245" t="str">
        <f t="shared" si="1"/>
        <v>商品</v>
      </c>
      <c r="D69" s="245">
        <v>61</v>
      </c>
      <c r="E69" s="590" t="str">
        <f>IF($F69&lt;&gt;"",INDEX(ﾏｽﾀ!$D$8:$D$124,MATCH(INDEX(ﾏｽﾀ!$N$8:$N$124,MATCH($F69,ﾏｽﾀ!$O$8:$O$124,0)),ﾏｽﾀ!$B$8:$B$124,0))&amp;"","")</f>
        <v/>
      </c>
      <c r="F69" s="589" t="str">
        <f>ﾏｽﾀ!$R68&amp;""</f>
        <v/>
      </c>
      <c r="G69" s="632">
        <f>VLOOKUP($E69,'集計16-E'!$E$9:$AF$90,'集計16-E'!$G$7-$D$7,FALSE)+VLOOKUP($E69,'集計F-15'!$E$9:$AF$90,'集計F-15'!$G$7-$D$7,FALSE)-INDEX($J$9:$J$90,MATCH($E69,$E$9:$E$90,0))</f>
        <v>0</v>
      </c>
      <c r="H69" s="633">
        <f>VLOOKUP($E69,'集計16-E'!$E$9:$AF$90,'集計16-E'!$H$7-$D$7,FALSE)+VLOOKUP($E69,'集計F-15'!$E$9:$AF$90,'集計F-15'!$H$7-$D$7,FALSE)-INDEX($K$9:$K$90,MATCH($E69,$E$9:$E$90,0))</f>
        <v>0</v>
      </c>
      <c r="I69" s="345"/>
      <c r="J69" s="126">
        <f>SUMIF(請求Data!$F$11:$F$160,CONCATENATE(VLOOKUP(G$5,$G$1:$H$4,2,FALSE),$E69,1,2),請求Data!$AF$11:$AF$160)</f>
        <v>0</v>
      </c>
      <c r="K69" s="127">
        <f>SUMIF(請求Data!$F$11:$F$160,CONCATENATE(VLOOKUP(G$5,$G$1:$H$4,2,FALSE),$E69,1,2),請求Data!$AG$11:$AG$160)</f>
        <v>0</v>
      </c>
      <c r="L69" s="345"/>
      <c r="M69" s="175">
        <f>VLOOKUP($E69,'集計16-E'!$E$9:$AF$90,'集計16-E'!$M$7-$D$7,FALSE)+VLOOKUP($E69,'集計F-15'!$E$9:$AF$90,'集計F-15'!$M$7-$D$7,FALSE)</f>
        <v>0</v>
      </c>
      <c r="N69" s="432">
        <f>VLOOKUP($E69,'集計16-E'!$E$9:$AF$90,'集計16-E'!$N$7-$D$7,FALSE)+VLOOKUP($E69,'集計F-15'!$E$9:$AF$90,'集計F-15'!$N$7-$D$7,FALSE)</f>
        <v>0</v>
      </c>
      <c r="O69" s="345"/>
      <c r="P69" s="644">
        <f>VLOOKUP($E69,'集計16-E'!$E$9:$AF$90,'集計16-E'!$P$7-$D$7,FALSE)+VLOOKUP($E69,'集計F-15'!$E$9:$AF$90,'集計F-15'!$P$7-$D$7,FALSE)-$S69</f>
        <v>0</v>
      </c>
      <c r="Q69" s="645">
        <f>VLOOKUP($E69,'集計16-E'!$E$9:$AF$90,'集計16-E'!$Q$7-$D$7,FALSE)+VLOOKUP($E69,'集計F-15'!$E$9:$AF$90,'集計F-15'!$Q$7-$D$7,FALSE)-$T69</f>
        <v>0</v>
      </c>
      <c r="R69" s="345"/>
      <c r="S69" s="175">
        <f>SUMIF(請求Data!$F$11:$F$160,CONCATENATE(VLOOKUP(P$5,$G$1:$H$4,2,FALSE),$E69,1,2),請求Data!$AF$11:$AF$160)</f>
        <v>0</v>
      </c>
      <c r="T69" s="177">
        <f>SUMIF(請求Data!$F$11:$F$160,CONCATENATE(VLOOKUP(P$5,$G$1:$H$4,2,FALSE),$E69,1,2),請求Data!$AG$11:$AG$160)</f>
        <v>0</v>
      </c>
      <c r="U69" s="345"/>
      <c r="V69" s="175">
        <f>VLOOKUP($E69,'集計16-E'!$E$9:$AF$90,'集計16-E'!$V$7-$D$7,0)+VLOOKUP($E69,'集計F-15'!$E$9:$AF$90,'集計F-15'!$V$7-$D$7,0)</f>
        <v>0</v>
      </c>
      <c r="W69" s="433">
        <f>VLOOKUP($E69,'集計16-E'!$E$9:$AF$90,'集計16-E'!$W$7-$D$7,0)+VLOOKUP($E69,'集計F-15'!$E$9:$AF$90,'集計F-15'!$W$7-$D$7,0)</f>
        <v>0</v>
      </c>
      <c r="X69" s="345"/>
      <c r="Y69" s="644">
        <f>VLOOKUP($E69,'集計16-E'!$E$9:AF$90,'集計16-E'!$Y$7-$D$7,0)+VLOOKUP($E69,'集計F-15'!$E$9:AF$90,'集計F-15'!$Y$7-$D$7,0)-$AB69</f>
        <v>0</v>
      </c>
      <c r="Z69" s="645">
        <f>VLOOKUP($E69,'集計16-E'!$E$9:AF$90,'集計16-E'!$Z$7-$D$7,0)+VLOOKUP($E69,'集計F-15'!$E$9:AF$90,'集計F-15'!$Z$7-$D$7,0)-$AC69</f>
        <v>0</v>
      </c>
      <c r="AA69" s="345"/>
      <c r="AB69" s="175">
        <f>SUMIF(請求Data!$F$11:$F$160,CONCATENATE(VLOOKUP(Y$5,$G$1:$H$4,2,FALSE),$E69,1,2),請求Data!$AF$11:$AF$160)</f>
        <v>0</v>
      </c>
      <c r="AC69" s="177">
        <f>SUMIF(請求Data!$F$11:$F$160,CONCATENATE(VLOOKUP(Y$5,$G$1:$H$4,2,FALSE),$E69,1,2),請求Data!$AG$11:$AG$160)</f>
        <v>0</v>
      </c>
      <c r="AD69" s="345"/>
      <c r="AE69" s="175">
        <f>VLOOKUP($E69,'集計16-E'!$E$9:AF$90,'集計16-E'!$AE$7-$D$7,0)+VLOOKUP($E69,'集計F-15'!$E$9:AF$90,'集計F-15'!$AE$7-$D$7,0)</f>
        <v>0</v>
      </c>
      <c r="AF69" s="433">
        <f>VLOOKUP($E69,'集計16-E'!$E$9:AF$90,'集計16-E'!$AF$7-$D$7,0)+VLOOKUP($E69,'集計F-15'!$E$9:AF$90,'集計F-15'!$AF$7-$D$7,0)</f>
        <v>0</v>
      </c>
    </row>
    <row r="70" spans="1:32">
      <c r="A70" s="474" t="str">
        <f>IF(SUMIFS($G70:$AF70,$G$8:$AF$8,"金額",$G70:$AF70,"&gt;0")-SUMIFS($G70:$AF70,$G$8:$AF$8,"金額",$G70:$AF70,"&lt;0")&lt;=0,"",MAX($A$8:$A69)+1)</f>
        <v/>
      </c>
      <c r="B70" s="802"/>
      <c r="C70" s="245" t="str">
        <f t="shared" si="1"/>
        <v>商品</v>
      </c>
      <c r="D70" s="245">
        <v>62</v>
      </c>
      <c r="E70" s="590" t="str">
        <f>IF($F70&lt;&gt;"",INDEX(ﾏｽﾀ!$D$8:$D$124,MATCH(INDEX(ﾏｽﾀ!$N$8:$N$124,MATCH($F70,ﾏｽﾀ!$O$8:$O$124,0)),ﾏｽﾀ!$B$8:$B$124,0))&amp;"","")</f>
        <v/>
      </c>
      <c r="F70" s="589" t="str">
        <f>ﾏｽﾀ!$R69&amp;""</f>
        <v/>
      </c>
      <c r="G70" s="632">
        <f>VLOOKUP($E70,'集計16-E'!$E$9:$AF$90,'集計16-E'!$G$7-$D$7,FALSE)+VLOOKUP($E70,'集計F-15'!$E$9:$AF$90,'集計F-15'!$G$7-$D$7,FALSE)-INDEX($J$9:$J$90,MATCH($E70,$E$9:$E$90,0))</f>
        <v>0</v>
      </c>
      <c r="H70" s="633">
        <f>VLOOKUP($E70,'集計16-E'!$E$9:$AF$90,'集計16-E'!$H$7-$D$7,FALSE)+VLOOKUP($E70,'集計F-15'!$E$9:$AF$90,'集計F-15'!$H$7-$D$7,FALSE)-INDEX($K$9:$K$90,MATCH($E70,$E$9:$E$90,0))</f>
        <v>0</v>
      </c>
      <c r="I70" s="345"/>
      <c r="J70" s="126">
        <f>SUMIF(請求Data!$F$11:$F$160,CONCATENATE(VLOOKUP(G$5,$G$1:$H$4,2,FALSE),$E70,1,2),請求Data!$AF$11:$AF$160)</f>
        <v>0</v>
      </c>
      <c r="K70" s="127">
        <f>SUMIF(請求Data!$F$11:$F$160,CONCATENATE(VLOOKUP(G$5,$G$1:$H$4,2,FALSE),$E70,1,2),請求Data!$AG$11:$AG$160)</f>
        <v>0</v>
      </c>
      <c r="L70" s="345"/>
      <c r="M70" s="175">
        <f>VLOOKUP($E70,'集計16-E'!$E$9:$AF$90,'集計16-E'!$M$7-$D$7,FALSE)+VLOOKUP($E70,'集計F-15'!$E$9:$AF$90,'集計F-15'!$M$7-$D$7,FALSE)</f>
        <v>0</v>
      </c>
      <c r="N70" s="432">
        <f>VLOOKUP($E70,'集計16-E'!$E$9:$AF$90,'集計16-E'!$N$7-$D$7,FALSE)+VLOOKUP($E70,'集計F-15'!$E$9:$AF$90,'集計F-15'!$N$7-$D$7,FALSE)</f>
        <v>0</v>
      </c>
      <c r="O70" s="345"/>
      <c r="P70" s="644">
        <f>VLOOKUP($E70,'集計16-E'!$E$9:$AF$90,'集計16-E'!$P$7-$D$7,FALSE)+VLOOKUP($E70,'集計F-15'!$E$9:$AF$90,'集計F-15'!$P$7-$D$7,FALSE)-$S70</f>
        <v>0</v>
      </c>
      <c r="Q70" s="645">
        <f>VLOOKUP($E70,'集計16-E'!$E$9:$AF$90,'集計16-E'!$Q$7-$D$7,FALSE)+VLOOKUP($E70,'集計F-15'!$E$9:$AF$90,'集計F-15'!$Q$7-$D$7,FALSE)-$T70</f>
        <v>0</v>
      </c>
      <c r="R70" s="345"/>
      <c r="S70" s="175">
        <f>SUMIF(請求Data!$F$11:$F$160,CONCATENATE(VLOOKUP(P$5,$G$1:$H$4,2,FALSE),$E70,1,2),請求Data!$AF$11:$AF$160)</f>
        <v>0</v>
      </c>
      <c r="T70" s="177">
        <f>SUMIF(請求Data!$F$11:$F$160,CONCATENATE(VLOOKUP(P$5,$G$1:$H$4,2,FALSE),$E70,1,2),請求Data!$AG$11:$AG$160)</f>
        <v>0</v>
      </c>
      <c r="U70" s="345"/>
      <c r="V70" s="175">
        <f>VLOOKUP($E70,'集計16-E'!$E$9:$AF$90,'集計16-E'!$V$7-$D$7,0)+VLOOKUP($E70,'集計F-15'!$E$9:$AF$90,'集計F-15'!$V$7-$D$7,0)</f>
        <v>0</v>
      </c>
      <c r="W70" s="433">
        <f>VLOOKUP($E70,'集計16-E'!$E$9:$AF$90,'集計16-E'!$W$7-$D$7,0)+VLOOKUP($E70,'集計F-15'!$E$9:$AF$90,'集計F-15'!$W$7-$D$7,0)</f>
        <v>0</v>
      </c>
      <c r="X70" s="345"/>
      <c r="Y70" s="644">
        <f>VLOOKUP($E70,'集計16-E'!$E$9:AF$90,'集計16-E'!$Y$7-$D$7,0)+VLOOKUP($E70,'集計F-15'!$E$9:AF$90,'集計F-15'!$Y$7-$D$7,0)-$AB70</f>
        <v>0</v>
      </c>
      <c r="Z70" s="645">
        <f>VLOOKUP($E70,'集計16-E'!$E$9:AF$90,'集計16-E'!$Z$7-$D$7,0)+VLOOKUP($E70,'集計F-15'!$E$9:AF$90,'集計F-15'!$Z$7-$D$7,0)-$AC70</f>
        <v>0</v>
      </c>
      <c r="AA70" s="345"/>
      <c r="AB70" s="175">
        <f>SUMIF(請求Data!$F$11:$F$160,CONCATENATE(VLOOKUP(Y$5,$G$1:$H$4,2,FALSE),$E70,1,2),請求Data!$AF$11:$AF$160)</f>
        <v>0</v>
      </c>
      <c r="AC70" s="177">
        <f>SUMIF(請求Data!$F$11:$F$160,CONCATENATE(VLOOKUP(Y$5,$G$1:$H$4,2,FALSE),$E70,1,2),請求Data!$AG$11:$AG$160)</f>
        <v>0</v>
      </c>
      <c r="AD70" s="345"/>
      <c r="AE70" s="175">
        <f>VLOOKUP($E70,'集計16-E'!$E$9:AF$90,'集計16-E'!$AE$7-$D$7,0)+VLOOKUP($E70,'集計F-15'!$E$9:AF$90,'集計F-15'!$AE$7-$D$7,0)</f>
        <v>0</v>
      </c>
      <c r="AF70" s="433">
        <f>VLOOKUP($E70,'集計16-E'!$E$9:AF$90,'集計16-E'!$AF$7-$D$7,0)+VLOOKUP($E70,'集計F-15'!$E$9:AF$90,'集計F-15'!$AF$7-$D$7,0)</f>
        <v>0</v>
      </c>
    </row>
    <row r="71" spans="1:32">
      <c r="A71" s="474" t="str">
        <f>IF(SUMIFS($G71:$AF71,$G$8:$AF$8,"金額",$G71:$AF71,"&gt;0")-SUMIFS($G71:$AF71,$G$8:$AF$8,"金額",$G71:$AF71,"&lt;0")&lt;=0,"",MAX($A$8:$A70)+1)</f>
        <v/>
      </c>
      <c r="B71" s="802"/>
      <c r="C71" s="245" t="str">
        <f t="shared" si="1"/>
        <v>商品</v>
      </c>
      <c r="D71" s="245">
        <v>63</v>
      </c>
      <c r="E71" s="590" t="str">
        <f>IF($F71&lt;&gt;"",INDEX(ﾏｽﾀ!$D$8:$D$124,MATCH(INDEX(ﾏｽﾀ!$N$8:$N$124,MATCH($F71,ﾏｽﾀ!$O$8:$O$124,0)),ﾏｽﾀ!$B$8:$B$124,0))&amp;"","")</f>
        <v/>
      </c>
      <c r="F71" s="589" t="str">
        <f>ﾏｽﾀ!$R70&amp;""</f>
        <v/>
      </c>
      <c r="G71" s="632">
        <f>VLOOKUP($E71,'集計16-E'!$E$9:$AF$90,'集計16-E'!$G$7-$D$7,FALSE)+VLOOKUP($E71,'集計F-15'!$E$9:$AF$90,'集計F-15'!$G$7-$D$7,FALSE)-INDEX($J$9:$J$90,MATCH($E71,$E$9:$E$90,0))</f>
        <v>0</v>
      </c>
      <c r="H71" s="633">
        <f>VLOOKUP($E71,'集計16-E'!$E$9:$AF$90,'集計16-E'!$H$7-$D$7,FALSE)+VLOOKUP($E71,'集計F-15'!$E$9:$AF$90,'集計F-15'!$H$7-$D$7,FALSE)-INDEX($K$9:$K$90,MATCH($E71,$E$9:$E$90,0))</f>
        <v>0</v>
      </c>
      <c r="I71" s="345"/>
      <c r="J71" s="126">
        <f>SUMIF(請求Data!$F$11:$F$160,CONCATENATE(VLOOKUP(G$5,$G$1:$H$4,2,FALSE),$E71,1,2),請求Data!$AF$11:$AF$160)</f>
        <v>0</v>
      </c>
      <c r="K71" s="127">
        <f>SUMIF(請求Data!$F$11:$F$160,CONCATENATE(VLOOKUP(G$5,$G$1:$H$4,2,FALSE),$E71,1,2),請求Data!$AG$11:$AG$160)</f>
        <v>0</v>
      </c>
      <c r="L71" s="345"/>
      <c r="M71" s="175">
        <f>VLOOKUP($E71,'集計16-E'!$E$9:$AF$90,'集計16-E'!$M$7-$D$7,FALSE)+VLOOKUP($E71,'集計F-15'!$E$9:$AF$90,'集計F-15'!$M$7-$D$7,FALSE)</f>
        <v>0</v>
      </c>
      <c r="N71" s="432">
        <f>VLOOKUP($E71,'集計16-E'!$E$9:$AF$90,'集計16-E'!$N$7-$D$7,FALSE)+VLOOKUP($E71,'集計F-15'!$E$9:$AF$90,'集計F-15'!$N$7-$D$7,FALSE)</f>
        <v>0</v>
      </c>
      <c r="O71" s="345"/>
      <c r="P71" s="644">
        <f>VLOOKUP($E71,'集計16-E'!$E$9:$AF$90,'集計16-E'!$P$7-$D$7,FALSE)+VLOOKUP($E71,'集計F-15'!$E$9:$AF$90,'集計F-15'!$P$7-$D$7,FALSE)-$S71</f>
        <v>0</v>
      </c>
      <c r="Q71" s="645">
        <f>VLOOKUP($E71,'集計16-E'!$E$9:$AF$90,'集計16-E'!$Q$7-$D$7,FALSE)+VLOOKUP($E71,'集計F-15'!$E$9:$AF$90,'集計F-15'!$Q$7-$D$7,FALSE)-$T71</f>
        <v>0</v>
      </c>
      <c r="R71" s="345"/>
      <c r="S71" s="175">
        <f>SUMIF(請求Data!$F$11:$F$160,CONCATENATE(VLOOKUP(P$5,$G$1:$H$4,2,FALSE),$E71,1,2),請求Data!$AF$11:$AF$160)</f>
        <v>0</v>
      </c>
      <c r="T71" s="177">
        <f>SUMIF(請求Data!$F$11:$F$160,CONCATENATE(VLOOKUP(P$5,$G$1:$H$4,2,FALSE),$E71,1,2),請求Data!$AG$11:$AG$160)</f>
        <v>0</v>
      </c>
      <c r="U71" s="345"/>
      <c r="V71" s="175">
        <f>VLOOKUP($E71,'集計16-E'!$E$9:$AF$90,'集計16-E'!$V$7-$D$7,0)+VLOOKUP($E71,'集計F-15'!$E$9:$AF$90,'集計F-15'!$V$7-$D$7,0)</f>
        <v>0</v>
      </c>
      <c r="W71" s="433">
        <f>VLOOKUP($E71,'集計16-E'!$E$9:$AF$90,'集計16-E'!$W$7-$D$7,0)+VLOOKUP($E71,'集計F-15'!$E$9:$AF$90,'集計F-15'!$W$7-$D$7,0)</f>
        <v>0</v>
      </c>
      <c r="X71" s="345"/>
      <c r="Y71" s="644">
        <f>VLOOKUP($E71,'集計16-E'!$E$9:AF$90,'集計16-E'!$Y$7-$D$7,0)+VLOOKUP($E71,'集計F-15'!$E$9:AF$90,'集計F-15'!$Y$7-$D$7,0)-$AB71</f>
        <v>0</v>
      </c>
      <c r="Z71" s="645">
        <f>VLOOKUP($E71,'集計16-E'!$E$9:AF$90,'集計16-E'!$Z$7-$D$7,0)+VLOOKUP($E71,'集計F-15'!$E$9:AF$90,'集計F-15'!$Z$7-$D$7,0)-$AC71</f>
        <v>0</v>
      </c>
      <c r="AA71" s="345"/>
      <c r="AB71" s="175">
        <f>SUMIF(請求Data!$F$11:$F$160,CONCATENATE(VLOOKUP(Y$5,$G$1:$H$4,2,FALSE),$E71,1,2),請求Data!$AF$11:$AF$160)</f>
        <v>0</v>
      </c>
      <c r="AC71" s="177">
        <f>SUMIF(請求Data!$F$11:$F$160,CONCATENATE(VLOOKUP(Y$5,$G$1:$H$4,2,FALSE),$E71,1,2),請求Data!$AG$11:$AG$160)</f>
        <v>0</v>
      </c>
      <c r="AD71" s="345"/>
      <c r="AE71" s="175">
        <f>VLOOKUP($E71,'集計16-E'!$E$9:AF$90,'集計16-E'!$AE$7-$D$7,0)+VLOOKUP($E71,'集計F-15'!$E$9:AF$90,'集計F-15'!$AE$7-$D$7,0)</f>
        <v>0</v>
      </c>
      <c r="AF71" s="433">
        <f>VLOOKUP($E71,'集計16-E'!$E$9:AF$90,'集計16-E'!$AF$7-$D$7,0)+VLOOKUP($E71,'集計F-15'!$E$9:AF$90,'集計F-15'!$AF$7-$D$7,0)</f>
        <v>0</v>
      </c>
    </row>
    <row r="72" spans="1:32">
      <c r="A72" s="474" t="str">
        <f>IF(SUMIFS($G72:$AF72,$G$8:$AF$8,"金額",$G72:$AF72,"&gt;0")-SUMIFS($G72:$AF72,$G$8:$AF$8,"金額",$G72:$AF72,"&lt;0")&lt;=0,"",MAX($A$8:$A71)+1)</f>
        <v/>
      </c>
      <c r="B72" s="802"/>
      <c r="C72" s="245" t="str">
        <f t="shared" si="1"/>
        <v>商品</v>
      </c>
      <c r="D72" s="245">
        <v>64</v>
      </c>
      <c r="E72" s="590" t="str">
        <f>IF($F72&lt;&gt;"",INDEX(ﾏｽﾀ!$D$8:$D$124,MATCH(INDEX(ﾏｽﾀ!$N$8:$N$124,MATCH($F72,ﾏｽﾀ!$O$8:$O$124,0)),ﾏｽﾀ!$B$8:$B$124,0))&amp;"","")</f>
        <v/>
      </c>
      <c r="F72" s="589" t="str">
        <f>ﾏｽﾀ!$R71&amp;""</f>
        <v/>
      </c>
      <c r="G72" s="632">
        <f>VLOOKUP($E72,'集計16-E'!$E$9:$AF$90,'集計16-E'!$G$7-$D$7,FALSE)+VLOOKUP($E72,'集計F-15'!$E$9:$AF$90,'集計F-15'!$G$7-$D$7,FALSE)-INDEX($J$9:$J$90,MATCH($E72,$E$9:$E$90,0))</f>
        <v>0</v>
      </c>
      <c r="H72" s="633">
        <f>VLOOKUP($E72,'集計16-E'!$E$9:$AF$90,'集計16-E'!$H$7-$D$7,FALSE)+VLOOKUP($E72,'集計F-15'!$E$9:$AF$90,'集計F-15'!$H$7-$D$7,FALSE)-INDEX($K$9:$K$90,MATCH($E72,$E$9:$E$90,0))</f>
        <v>0</v>
      </c>
      <c r="I72" s="345"/>
      <c r="J72" s="126">
        <f>SUMIF(請求Data!$F$11:$F$160,CONCATENATE(VLOOKUP(G$5,$G$1:$H$4,2,FALSE),$E72,1,2),請求Data!$AF$11:$AF$160)</f>
        <v>0</v>
      </c>
      <c r="K72" s="127">
        <f>SUMIF(請求Data!$F$11:$F$160,CONCATENATE(VLOOKUP(G$5,$G$1:$H$4,2,FALSE),$E72,1,2),請求Data!$AG$11:$AG$160)</f>
        <v>0</v>
      </c>
      <c r="L72" s="345"/>
      <c r="M72" s="175">
        <f>VLOOKUP($E72,'集計16-E'!$E$9:$AF$90,'集計16-E'!$M$7-$D$7,FALSE)+VLOOKUP($E72,'集計F-15'!$E$9:$AF$90,'集計F-15'!$M$7-$D$7,FALSE)</f>
        <v>0</v>
      </c>
      <c r="N72" s="432">
        <f>VLOOKUP($E72,'集計16-E'!$E$9:$AF$90,'集計16-E'!$N$7-$D$7,FALSE)+VLOOKUP($E72,'集計F-15'!$E$9:$AF$90,'集計F-15'!$N$7-$D$7,FALSE)</f>
        <v>0</v>
      </c>
      <c r="O72" s="345"/>
      <c r="P72" s="644">
        <f>VLOOKUP($E72,'集計16-E'!$E$9:$AF$90,'集計16-E'!$P$7-$D$7,FALSE)+VLOOKUP($E72,'集計F-15'!$E$9:$AF$90,'集計F-15'!$P$7-$D$7,FALSE)-$S72</f>
        <v>0</v>
      </c>
      <c r="Q72" s="645">
        <f>VLOOKUP($E72,'集計16-E'!$E$9:$AF$90,'集計16-E'!$Q$7-$D$7,FALSE)+VLOOKUP($E72,'集計F-15'!$E$9:$AF$90,'集計F-15'!$Q$7-$D$7,FALSE)-$T72</f>
        <v>0</v>
      </c>
      <c r="R72" s="345"/>
      <c r="S72" s="175">
        <f>SUMIF(請求Data!$F$11:$F$160,CONCATENATE(VLOOKUP(P$5,$G$1:$H$4,2,FALSE),$E72,1,2),請求Data!$AF$11:$AF$160)</f>
        <v>0</v>
      </c>
      <c r="T72" s="177">
        <f>SUMIF(請求Data!$F$11:$F$160,CONCATENATE(VLOOKUP(P$5,$G$1:$H$4,2,FALSE),$E72,1,2),請求Data!$AG$11:$AG$160)</f>
        <v>0</v>
      </c>
      <c r="U72" s="345"/>
      <c r="V72" s="175">
        <f>VLOOKUP($E72,'集計16-E'!$E$9:$AF$90,'集計16-E'!$V$7-$D$7,0)+VLOOKUP($E72,'集計F-15'!$E$9:$AF$90,'集計F-15'!$V$7-$D$7,0)</f>
        <v>0</v>
      </c>
      <c r="W72" s="433">
        <f>VLOOKUP($E72,'集計16-E'!$E$9:$AF$90,'集計16-E'!$W$7-$D$7,0)+VLOOKUP($E72,'集計F-15'!$E$9:$AF$90,'集計F-15'!$W$7-$D$7,0)</f>
        <v>0</v>
      </c>
      <c r="X72" s="345"/>
      <c r="Y72" s="644">
        <f>VLOOKUP($E72,'集計16-E'!$E$9:AF$90,'集計16-E'!$Y$7-$D$7,0)+VLOOKUP($E72,'集計F-15'!$E$9:AF$90,'集計F-15'!$Y$7-$D$7,0)-$AB72</f>
        <v>0</v>
      </c>
      <c r="Z72" s="645">
        <f>VLOOKUP($E72,'集計16-E'!$E$9:AF$90,'集計16-E'!$Z$7-$D$7,0)+VLOOKUP($E72,'集計F-15'!$E$9:AF$90,'集計F-15'!$Z$7-$D$7,0)-$AC72</f>
        <v>0</v>
      </c>
      <c r="AA72" s="345"/>
      <c r="AB72" s="175">
        <f>SUMIF(請求Data!$F$11:$F$160,CONCATENATE(VLOOKUP(Y$5,$G$1:$H$4,2,FALSE),$E72,1,2),請求Data!$AF$11:$AF$160)</f>
        <v>0</v>
      </c>
      <c r="AC72" s="177">
        <f>SUMIF(請求Data!$F$11:$F$160,CONCATENATE(VLOOKUP(Y$5,$G$1:$H$4,2,FALSE),$E72,1,2),請求Data!$AG$11:$AG$160)</f>
        <v>0</v>
      </c>
      <c r="AD72" s="345"/>
      <c r="AE72" s="175">
        <f>VLOOKUP($E72,'集計16-E'!$E$9:AF$90,'集計16-E'!$AE$7-$D$7,0)+VLOOKUP($E72,'集計F-15'!$E$9:AF$90,'集計F-15'!$AE$7-$D$7,0)</f>
        <v>0</v>
      </c>
      <c r="AF72" s="433">
        <f>VLOOKUP($E72,'集計16-E'!$E$9:AF$90,'集計16-E'!$AF$7-$D$7,0)+VLOOKUP($E72,'集計F-15'!$E$9:AF$90,'集計F-15'!$AF$7-$D$7,0)</f>
        <v>0</v>
      </c>
    </row>
    <row r="73" spans="1:32">
      <c r="A73" s="474" t="str">
        <f>IF(SUMIFS($G73:$AF73,$G$8:$AF$8,"金額",$G73:$AF73,"&gt;0")-SUMIFS($G73:$AF73,$G$8:$AF$8,"金額",$G73:$AF73,"&lt;0")&lt;=0,"",MAX($A$8:$A72)+1)</f>
        <v/>
      </c>
      <c r="B73" s="802"/>
      <c r="C73" s="245" t="str">
        <f t="shared" ref="C73:C90" si="2">CONCATENATE("商品",$A73)</f>
        <v>商品</v>
      </c>
      <c r="D73" s="245">
        <v>65</v>
      </c>
      <c r="E73" s="590" t="str">
        <f>IF($F73&lt;&gt;"",INDEX(ﾏｽﾀ!$D$8:$D$124,MATCH(INDEX(ﾏｽﾀ!$N$8:$N$124,MATCH($F73,ﾏｽﾀ!$O$8:$O$124,0)),ﾏｽﾀ!$B$8:$B$124,0))&amp;"","")</f>
        <v/>
      </c>
      <c r="F73" s="589" t="str">
        <f>ﾏｽﾀ!$R72&amp;""</f>
        <v/>
      </c>
      <c r="G73" s="632">
        <f>VLOOKUP($E73,'集計16-E'!$E$9:$AF$90,'集計16-E'!$G$7-$D$7,FALSE)+VLOOKUP($E73,'集計F-15'!$E$9:$AF$90,'集計F-15'!$G$7-$D$7,FALSE)-INDEX($J$9:$J$90,MATCH($E73,$E$9:$E$90,0))</f>
        <v>0</v>
      </c>
      <c r="H73" s="633">
        <f>VLOOKUP($E73,'集計16-E'!$E$9:$AF$90,'集計16-E'!$H$7-$D$7,FALSE)+VLOOKUP($E73,'集計F-15'!$E$9:$AF$90,'集計F-15'!$H$7-$D$7,FALSE)-INDEX($K$9:$K$90,MATCH($E73,$E$9:$E$90,0))</f>
        <v>0</v>
      </c>
      <c r="I73" s="345"/>
      <c r="J73" s="126">
        <f>SUMIF(請求Data!$F$11:$F$160,CONCATENATE(VLOOKUP(G$5,$G$1:$H$4,2,FALSE),$E73,1,2),請求Data!$AF$11:$AF$160)</f>
        <v>0</v>
      </c>
      <c r="K73" s="127">
        <f>SUMIF(請求Data!$F$11:$F$160,CONCATENATE(VLOOKUP(G$5,$G$1:$H$4,2,FALSE),$E73,1,2),請求Data!$AG$11:$AG$160)</f>
        <v>0</v>
      </c>
      <c r="L73" s="345"/>
      <c r="M73" s="175">
        <f>VLOOKUP($E73,'集計16-E'!$E$9:$AF$90,'集計16-E'!$M$7-$D$7,FALSE)+VLOOKUP($E73,'集計F-15'!$E$9:$AF$90,'集計F-15'!$M$7-$D$7,FALSE)</f>
        <v>0</v>
      </c>
      <c r="N73" s="432">
        <f>VLOOKUP($E73,'集計16-E'!$E$9:$AF$90,'集計16-E'!$N$7-$D$7,FALSE)+VLOOKUP($E73,'集計F-15'!$E$9:$AF$90,'集計F-15'!$N$7-$D$7,FALSE)</f>
        <v>0</v>
      </c>
      <c r="O73" s="345"/>
      <c r="P73" s="644">
        <f>VLOOKUP($E73,'集計16-E'!$E$9:$AF$90,'集計16-E'!$P$7-$D$7,FALSE)+VLOOKUP($E73,'集計F-15'!$E$9:$AF$90,'集計F-15'!$P$7-$D$7,FALSE)-$S73</f>
        <v>0</v>
      </c>
      <c r="Q73" s="645">
        <f>VLOOKUP($E73,'集計16-E'!$E$9:$AF$90,'集計16-E'!$Q$7-$D$7,FALSE)+VLOOKUP($E73,'集計F-15'!$E$9:$AF$90,'集計F-15'!$Q$7-$D$7,FALSE)-$T73</f>
        <v>0</v>
      </c>
      <c r="R73" s="345"/>
      <c r="S73" s="175">
        <f>SUMIF(請求Data!$F$11:$F$160,CONCATENATE(VLOOKUP(P$5,$G$1:$H$4,2,FALSE),$E73,1,2),請求Data!$AF$11:$AF$160)</f>
        <v>0</v>
      </c>
      <c r="T73" s="177">
        <f>SUMIF(請求Data!$F$11:$F$160,CONCATENATE(VLOOKUP(P$5,$G$1:$H$4,2,FALSE),$E73,1,2),請求Data!$AG$11:$AG$160)</f>
        <v>0</v>
      </c>
      <c r="U73" s="345"/>
      <c r="V73" s="175">
        <f>VLOOKUP($E73,'集計16-E'!$E$9:$AF$90,'集計16-E'!$V$7-$D$7,0)+VLOOKUP($E73,'集計F-15'!$E$9:$AF$90,'集計F-15'!$V$7-$D$7,0)</f>
        <v>0</v>
      </c>
      <c r="W73" s="433">
        <f>VLOOKUP($E73,'集計16-E'!$E$9:$AF$90,'集計16-E'!$W$7-$D$7,0)+VLOOKUP($E73,'集計F-15'!$E$9:$AF$90,'集計F-15'!$W$7-$D$7,0)</f>
        <v>0</v>
      </c>
      <c r="X73" s="345"/>
      <c r="Y73" s="644">
        <f>VLOOKUP($E73,'集計16-E'!$E$9:AF$90,'集計16-E'!$Y$7-$D$7,0)+VLOOKUP($E73,'集計F-15'!$E$9:AF$90,'集計F-15'!$Y$7-$D$7,0)-$AB73</f>
        <v>0</v>
      </c>
      <c r="Z73" s="645">
        <f>VLOOKUP($E73,'集計16-E'!$E$9:AF$90,'集計16-E'!$Z$7-$D$7,0)+VLOOKUP($E73,'集計F-15'!$E$9:AF$90,'集計F-15'!$Z$7-$D$7,0)-$AC73</f>
        <v>0</v>
      </c>
      <c r="AA73" s="345"/>
      <c r="AB73" s="175">
        <f>SUMIF(請求Data!$F$11:$F$160,CONCATENATE(VLOOKUP(Y$5,$G$1:$H$4,2,FALSE),$E73,1,2),請求Data!$AF$11:$AF$160)</f>
        <v>0</v>
      </c>
      <c r="AC73" s="177">
        <f>SUMIF(請求Data!$F$11:$F$160,CONCATENATE(VLOOKUP(Y$5,$G$1:$H$4,2,FALSE),$E73,1,2),請求Data!$AG$11:$AG$160)</f>
        <v>0</v>
      </c>
      <c r="AD73" s="345"/>
      <c r="AE73" s="175">
        <f>VLOOKUP($E73,'集計16-E'!$E$9:AF$90,'集計16-E'!$AE$7-$D$7,0)+VLOOKUP($E73,'集計F-15'!$E$9:AF$90,'集計F-15'!$AE$7-$D$7,0)</f>
        <v>0</v>
      </c>
      <c r="AF73" s="433">
        <f>VLOOKUP($E73,'集計16-E'!$E$9:AF$90,'集計16-E'!$AF$7-$D$7,0)+VLOOKUP($E73,'集計F-15'!$E$9:AF$90,'集計F-15'!$AF$7-$D$7,0)</f>
        <v>0</v>
      </c>
    </row>
    <row r="74" spans="1:32">
      <c r="A74" s="474" t="str">
        <f>IF(SUMIFS($G74:$AF74,$G$8:$AF$8,"金額",$G74:$AF74,"&gt;0")-SUMIFS($G74:$AF74,$G$8:$AF$8,"金額",$G74:$AF74,"&lt;0")&lt;=0,"",MAX($A$8:$A73)+1)</f>
        <v/>
      </c>
      <c r="B74" s="802"/>
      <c r="C74" s="245" t="str">
        <f t="shared" si="2"/>
        <v>商品</v>
      </c>
      <c r="D74" s="245">
        <v>66</v>
      </c>
      <c r="E74" s="590" t="str">
        <f>IF($F74&lt;&gt;"",INDEX(ﾏｽﾀ!$D$8:$D$124,MATCH(INDEX(ﾏｽﾀ!$N$8:$N$124,MATCH($F74,ﾏｽﾀ!$O$8:$O$124,0)),ﾏｽﾀ!$B$8:$B$124,0))&amp;"","")</f>
        <v/>
      </c>
      <c r="F74" s="589" t="str">
        <f>ﾏｽﾀ!$R73&amp;""</f>
        <v/>
      </c>
      <c r="G74" s="632">
        <f>VLOOKUP($E74,'集計16-E'!$E$9:$AF$90,'集計16-E'!$G$7-$D$7,FALSE)+VLOOKUP($E74,'集計F-15'!$E$9:$AF$90,'集計F-15'!$G$7-$D$7,FALSE)-INDEX($J$9:$J$90,MATCH($E74,$E$9:$E$90,0))</f>
        <v>0</v>
      </c>
      <c r="H74" s="633">
        <f>VLOOKUP($E74,'集計16-E'!$E$9:$AF$90,'集計16-E'!$H$7-$D$7,FALSE)+VLOOKUP($E74,'集計F-15'!$E$9:$AF$90,'集計F-15'!$H$7-$D$7,FALSE)-INDEX($K$9:$K$90,MATCH($E74,$E$9:$E$90,0))</f>
        <v>0</v>
      </c>
      <c r="I74" s="345"/>
      <c r="J74" s="126">
        <f>SUMIF(請求Data!$F$11:$F$160,CONCATENATE(VLOOKUP(G$5,$G$1:$H$4,2,FALSE),$E74,1,2),請求Data!$AF$11:$AF$160)</f>
        <v>0</v>
      </c>
      <c r="K74" s="127">
        <f>SUMIF(請求Data!$F$11:$F$160,CONCATENATE(VLOOKUP(G$5,$G$1:$H$4,2,FALSE),$E74,1,2),請求Data!$AG$11:$AG$160)</f>
        <v>0</v>
      </c>
      <c r="L74" s="345"/>
      <c r="M74" s="175">
        <f>VLOOKUP($E74,'集計16-E'!$E$9:$AF$90,'集計16-E'!$M$7-$D$7,FALSE)+VLOOKUP($E74,'集計F-15'!$E$9:$AF$90,'集計F-15'!$M$7-$D$7,FALSE)</f>
        <v>0</v>
      </c>
      <c r="N74" s="432">
        <f>VLOOKUP($E74,'集計16-E'!$E$9:$AF$90,'集計16-E'!$N$7-$D$7,FALSE)+VLOOKUP($E74,'集計F-15'!$E$9:$AF$90,'集計F-15'!$N$7-$D$7,FALSE)</f>
        <v>0</v>
      </c>
      <c r="O74" s="345"/>
      <c r="P74" s="644">
        <f>VLOOKUP($E74,'集計16-E'!$E$9:$AF$90,'集計16-E'!$P$7-$D$7,FALSE)+VLOOKUP($E74,'集計F-15'!$E$9:$AF$90,'集計F-15'!$P$7-$D$7,FALSE)-$S74</f>
        <v>0</v>
      </c>
      <c r="Q74" s="645">
        <f>VLOOKUP($E74,'集計16-E'!$E$9:$AF$90,'集計16-E'!$Q$7-$D$7,FALSE)+VLOOKUP($E74,'集計F-15'!$E$9:$AF$90,'集計F-15'!$Q$7-$D$7,FALSE)-$T74</f>
        <v>0</v>
      </c>
      <c r="R74" s="345"/>
      <c r="S74" s="175">
        <f>SUMIF(請求Data!$F$11:$F$160,CONCATENATE(VLOOKUP(P$5,$G$1:$H$4,2,FALSE),$E74,1,2),請求Data!$AF$11:$AF$160)</f>
        <v>0</v>
      </c>
      <c r="T74" s="177">
        <f>SUMIF(請求Data!$F$11:$F$160,CONCATENATE(VLOOKUP(P$5,$G$1:$H$4,2,FALSE),$E74,1,2),請求Data!$AG$11:$AG$160)</f>
        <v>0</v>
      </c>
      <c r="U74" s="345"/>
      <c r="V74" s="175">
        <f>VLOOKUP($E74,'集計16-E'!$E$9:$AF$90,'集計16-E'!$V$7-$D$7,0)+VLOOKUP($E74,'集計F-15'!$E$9:$AF$90,'集計F-15'!$V$7-$D$7,0)</f>
        <v>0</v>
      </c>
      <c r="W74" s="433">
        <f>VLOOKUP($E74,'集計16-E'!$E$9:$AF$90,'集計16-E'!$W$7-$D$7,0)+VLOOKUP($E74,'集計F-15'!$E$9:$AF$90,'集計F-15'!$W$7-$D$7,0)</f>
        <v>0</v>
      </c>
      <c r="X74" s="345"/>
      <c r="Y74" s="644">
        <f>VLOOKUP($E74,'集計16-E'!$E$9:AF$90,'集計16-E'!$Y$7-$D$7,0)+VLOOKUP($E74,'集計F-15'!$E$9:AF$90,'集計F-15'!$Y$7-$D$7,0)-$AB74</f>
        <v>0</v>
      </c>
      <c r="Z74" s="645">
        <f>VLOOKUP($E74,'集計16-E'!$E$9:AF$90,'集計16-E'!$Z$7-$D$7,0)+VLOOKUP($E74,'集計F-15'!$E$9:AF$90,'集計F-15'!$Z$7-$D$7,0)-$AC74</f>
        <v>0</v>
      </c>
      <c r="AA74" s="345"/>
      <c r="AB74" s="175">
        <f>SUMIF(請求Data!$F$11:$F$160,CONCATENATE(VLOOKUP(Y$5,$G$1:$H$4,2,FALSE),$E74,1,2),請求Data!$AF$11:$AF$160)</f>
        <v>0</v>
      </c>
      <c r="AC74" s="177">
        <f>SUMIF(請求Data!$F$11:$F$160,CONCATENATE(VLOOKUP(Y$5,$G$1:$H$4,2,FALSE),$E74,1,2),請求Data!$AG$11:$AG$160)</f>
        <v>0</v>
      </c>
      <c r="AD74" s="345"/>
      <c r="AE74" s="175">
        <f>VLOOKUP($E74,'集計16-E'!$E$9:AF$90,'集計16-E'!$AE$7-$D$7,0)+VLOOKUP($E74,'集計F-15'!$E$9:AF$90,'集計F-15'!$AE$7-$D$7,0)</f>
        <v>0</v>
      </c>
      <c r="AF74" s="433">
        <f>VLOOKUP($E74,'集計16-E'!$E$9:AF$90,'集計16-E'!$AF$7-$D$7,0)+VLOOKUP($E74,'集計F-15'!$E$9:AF$90,'集計F-15'!$AF$7-$D$7,0)</f>
        <v>0</v>
      </c>
    </row>
    <row r="75" spans="1:32">
      <c r="A75" s="474" t="str">
        <f>IF(SUMIFS($G75:$AF75,$G$8:$AF$8,"金額",$G75:$AF75,"&gt;0")-SUMIFS($G75:$AF75,$G$8:$AF$8,"金額",$G75:$AF75,"&lt;0")&lt;=0,"",MAX($A$8:$A74)+1)</f>
        <v/>
      </c>
      <c r="B75" s="802"/>
      <c r="C75" s="245" t="str">
        <f t="shared" si="2"/>
        <v>商品</v>
      </c>
      <c r="D75" s="245">
        <v>67</v>
      </c>
      <c r="E75" s="590" t="str">
        <f>IF($F75&lt;&gt;"",INDEX(ﾏｽﾀ!$D$8:$D$124,MATCH(INDEX(ﾏｽﾀ!$N$8:$N$124,MATCH($F75,ﾏｽﾀ!$O$8:$O$124,0)),ﾏｽﾀ!$B$8:$B$124,0))&amp;"","")</f>
        <v/>
      </c>
      <c r="F75" s="589" t="str">
        <f>ﾏｽﾀ!$R74&amp;""</f>
        <v/>
      </c>
      <c r="G75" s="632">
        <f>VLOOKUP($E75,'集計16-E'!$E$9:$AF$90,'集計16-E'!$G$7-$D$7,FALSE)+VLOOKUP($E75,'集計F-15'!$E$9:$AF$90,'集計F-15'!$G$7-$D$7,FALSE)-INDEX($J$9:$J$90,MATCH($E75,$E$9:$E$90,0))</f>
        <v>0</v>
      </c>
      <c r="H75" s="633">
        <f>VLOOKUP($E75,'集計16-E'!$E$9:$AF$90,'集計16-E'!$H$7-$D$7,FALSE)+VLOOKUP($E75,'集計F-15'!$E$9:$AF$90,'集計F-15'!$H$7-$D$7,FALSE)-INDEX($K$9:$K$90,MATCH($E75,$E$9:$E$90,0))</f>
        <v>0</v>
      </c>
      <c r="I75" s="345"/>
      <c r="J75" s="126">
        <f>SUMIF(請求Data!$F$11:$F$160,CONCATENATE(VLOOKUP(G$5,$G$1:$H$4,2,FALSE),$E75,1,2),請求Data!$AF$11:$AF$160)</f>
        <v>0</v>
      </c>
      <c r="K75" s="127">
        <f>SUMIF(請求Data!$F$11:$F$160,CONCATENATE(VLOOKUP(G$5,$G$1:$H$4,2,FALSE),$E75,1,2),請求Data!$AG$11:$AG$160)</f>
        <v>0</v>
      </c>
      <c r="L75" s="345"/>
      <c r="M75" s="175">
        <f>VLOOKUP($E75,'集計16-E'!$E$9:$AF$90,'集計16-E'!$M$7-$D$7,FALSE)+VLOOKUP($E75,'集計F-15'!$E$9:$AF$90,'集計F-15'!$M$7-$D$7,FALSE)</f>
        <v>0</v>
      </c>
      <c r="N75" s="432">
        <f>VLOOKUP($E75,'集計16-E'!$E$9:$AF$90,'集計16-E'!$N$7-$D$7,FALSE)+VLOOKUP($E75,'集計F-15'!$E$9:$AF$90,'集計F-15'!$N$7-$D$7,FALSE)</f>
        <v>0</v>
      </c>
      <c r="O75" s="345"/>
      <c r="P75" s="644">
        <f>VLOOKUP($E75,'集計16-E'!$E$9:$AF$90,'集計16-E'!$P$7-$D$7,FALSE)+VLOOKUP($E75,'集計F-15'!$E$9:$AF$90,'集計F-15'!$P$7-$D$7,FALSE)-$S75</f>
        <v>0</v>
      </c>
      <c r="Q75" s="645">
        <f>VLOOKUP($E75,'集計16-E'!$E$9:$AF$90,'集計16-E'!$Q$7-$D$7,FALSE)+VLOOKUP($E75,'集計F-15'!$E$9:$AF$90,'集計F-15'!$Q$7-$D$7,FALSE)-$T75</f>
        <v>0</v>
      </c>
      <c r="R75" s="345"/>
      <c r="S75" s="175">
        <f>SUMIF(請求Data!$F$11:$F$160,CONCATENATE(VLOOKUP(P$5,$G$1:$H$4,2,FALSE),$E75,1,2),請求Data!$AF$11:$AF$160)</f>
        <v>0</v>
      </c>
      <c r="T75" s="177">
        <f>SUMIF(請求Data!$F$11:$F$160,CONCATENATE(VLOOKUP(P$5,$G$1:$H$4,2,FALSE),$E75,1,2),請求Data!$AG$11:$AG$160)</f>
        <v>0</v>
      </c>
      <c r="U75" s="345"/>
      <c r="V75" s="175">
        <f>VLOOKUP($E75,'集計16-E'!$E$9:$AF$90,'集計16-E'!$V$7-$D$7,0)+VLOOKUP($E75,'集計F-15'!$E$9:$AF$90,'集計F-15'!$V$7-$D$7,0)</f>
        <v>0</v>
      </c>
      <c r="W75" s="433">
        <f>VLOOKUP($E75,'集計16-E'!$E$9:$AF$90,'集計16-E'!$W$7-$D$7,0)+VLOOKUP($E75,'集計F-15'!$E$9:$AF$90,'集計F-15'!$W$7-$D$7,0)</f>
        <v>0</v>
      </c>
      <c r="X75" s="345"/>
      <c r="Y75" s="644">
        <f>VLOOKUP($E75,'集計16-E'!$E$9:AF$90,'集計16-E'!$Y$7-$D$7,0)+VLOOKUP($E75,'集計F-15'!$E$9:AF$90,'集計F-15'!$Y$7-$D$7,0)-$AB75</f>
        <v>0</v>
      </c>
      <c r="Z75" s="645">
        <f>VLOOKUP($E75,'集計16-E'!$E$9:AF$90,'集計16-E'!$Z$7-$D$7,0)+VLOOKUP($E75,'集計F-15'!$E$9:AF$90,'集計F-15'!$Z$7-$D$7,0)-$AC75</f>
        <v>0</v>
      </c>
      <c r="AA75" s="345"/>
      <c r="AB75" s="175">
        <f>SUMIF(請求Data!$F$11:$F$160,CONCATENATE(VLOOKUP(Y$5,$G$1:$H$4,2,FALSE),$E75,1,2),請求Data!$AF$11:$AF$160)</f>
        <v>0</v>
      </c>
      <c r="AC75" s="177">
        <f>SUMIF(請求Data!$F$11:$F$160,CONCATENATE(VLOOKUP(Y$5,$G$1:$H$4,2,FALSE),$E75,1,2),請求Data!$AG$11:$AG$160)</f>
        <v>0</v>
      </c>
      <c r="AD75" s="345"/>
      <c r="AE75" s="175">
        <f>VLOOKUP($E75,'集計16-E'!$E$9:AF$90,'集計16-E'!$AE$7-$D$7,0)+VLOOKUP($E75,'集計F-15'!$E$9:AF$90,'集計F-15'!$AE$7-$D$7,0)</f>
        <v>0</v>
      </c>
      <c r="AF75" s="433">
        <f>VLOOKUP($E75,'集計16-E'!$E$9:AF$90,'集計16-E'!$AF$7-$D$7,0)+VLOOKUP($E75,'集計F-15'!$E$9:AF$90,'集計F-15'!$AF$7-$D$7,0)</f>
        <v>0</v>
      </c>
    </row>
    <row r="76" spans="1:32">
      <c r="A76" s="474" t="str">
        <f>IF(SUMIFS($G76:$AF76,$G$8:$AF$8,"金額",$G76:$AF76,"&gt;0")-SUMIFS($G76:$AF76,$G$8:$AF$8,"金額",$G76:$AF76,"&lt;0")&lt;=0,"",MAX($A$8:$A75)+1)</f>
        <v/>
      </c>
      <c r="B76" s="802"/>
      <c r="C76" s="245" t="str">
        <f t="shared" si="2"/>
        <v>商品</v>
      </c>
      <c r="D76" s="245">
        <v>68</v>
      </c>
      <c r="E76" s="590" t="str">
        <f>IF($F76&lt;&gt;"",INDEX(ﾏｽﾀ!$D$8:$D$124,MATCH(INDEX(ﾏｽﾀ!$N$8:$N$124,MATCH($F76,ﾏｽﾀ!$O$8:$O$124,0)),ﾏｽﾀ!$B$8:$B$124,0))&amp;"","")</f>
        <v/>
      </c>
      <c r="F76" s="589" t="str">
        <f>ﾏｽﾀ!$R75&amp;""</f>
        <v/>
      </c>
      <c r="G76" s="632">
        <f>VLOOKUP($E76,'集計16-E'!$E$9:$AF$90,'集計16-E'!$G$7-$D$7,FALSE)+VLOOKUP($E76,'集計F-15'!$E$9:$AF$90,'集計F-15'!$G$7-$D$7,FALSE)-INDEX($J$9:$J$90,MATCH($E76,$E$9:$E$90,0))</f>
        <v>0</v>
      </c>
      <c r="H76" s="633">
        <f>VLOOKUP($E76,'集計16-E'!$E$9:$AF$90,'集計16-E'!$H$7-$D$7,FALSE)+VLOOKUP($E76,'集計F-15'!$E$9:$AF$90,'集計F-15'!$H$7-$D$7,FALSE)-INDEX($K$9:$K$90,MATCH($E76,$E$9:$E$90,0))</f>
        <v>0</v>
      </c>
      <c r="I76" s="345"/>
      <c r="J76" s="126">
        <f>SUMIF(請求Data!$F$11:$F$160,CONCATENATE(VLOOKUP(G$5,$G$1:$H$4,2,FALSE),$E76,1,2),請求Data!$AF$11:$AF$160)</f>
        <v>0</v>
      </c>
      <c r="K76" s="127">
        <f>SUMIF(請求Data!$F$11:$F$160,CONCATENATE(VLOOKUP(G$5,$G$1:$H$4,2,FALSE),$E76,1,2),請求Data!$AG$11:$AG$160)</f>
        <v>0</v>
      </c>
      <c r="L76" s="345"/>
      <c r="M76" s="175">
        <f>VLOOKUP($E76,'集計16-E'!$E$9:$AF$90,'集計16-E'!$M$7-$D$7,FALSE)+VLOOKUP($E76,'集計F-15'!$E$9:$AF$90,'集計F-15'!$M$7-$D$7,FALSE)</f>
        <v>0</v>
      </c>
      <c r="N76" s="432">
        <f>VLOOKUP($E76,'集計16-E'!$E$9:$AF$90,'集計16-E'!$N$7-$D$7,FALSE)+VLOOKUP($E76,'集計F-15'!$E$9:$AF$90,'集計F-15'!$N$7-$D$7,FALSE)</f>
        <v>0</v>
      </c>
      <c r="O76" s="345"/>
      <c r="P76" s="644">
        <f>VLOOKUP($E76,'集計16-E'!$E$9:$AF$90,'集計16-E'!$P$7-$D$7,FALSE)+VLOOKUP($E76,'集計F-15'!$E$9:$AF$90,'集計F-15'!$P$7-$D$7,FALSE)-$S76</f>
        <v>0</v>
      </c>
      <c r="Q76" s="645">
        <f>VLOOKUP($E76,'集計16-E'!$E$9:$AF$90,'集計16-E'!$Q$7-$D$7,FALSE)+VLOOKUP($E76,'集計F-15'!$E$9:$AF$90,'集計F-15'!$Q$7-$D$7,FALSE)-$T76</f>
        <v>0</v>
      </c>
      <c r="R76" s="345"/>
      <c r="S76" s="175">
        <f>SUMIF(請求Data!$F$11:$F$160,CONCATENATE(VLOOKUP(P$5,$G$1:$H$4,2,FALSE),$E76,1,2),請求Data!$AF$11:$AF$160)</f>
        <v>0</v>
      </c>
      <c r="T76" s="177">
        <f>SUMIF(請求Data!$F$11:$F$160,CONCATENATE(VLOOKUP(P$5,$G$1:$H$4,2,FALSE),$E76,1,2),請求Data!$AG$11:$AG$160)</f>
        <v>0</v>
      </c>
      <c r="U76" s="345"/>
      <c r="V76" s="175">
        <f>VLOOKUP($E76,'集計16-E'!$E$9:$AF$90,'集計16-E'!$V$7-$D$7,0)+VLOOKUP($E76,'集計F-15'!$E$9:$AF$90,'集計F-15'!$V$7-$D$7,0)</f>
        <v>0</v>
      </c>
      <c r="W76" s="433">
        <f>VLOOKUP($E76,'集計16-E'!$E$9:$AF$90,'集計16-E'!$W$7-$D$7,0)+VLOOKUP($E76,'集計F-15'!$E$9:$AF$90,'集計F-15'!$W$7-$D$7,0)</f>
        <v>0</v>
      </c>
      <c r="X76" s="345"/>
      <c r="Y76" s="644">
        <f>VLOOKUP($E76,'集計16-E'!$E$9:AF$90,'集計16-E'!$Y$7-$D$7,0)+VLOOKUP($E76,'集計F-15'!$E$9:AF$90,'集計F-15'!$Y$7-$D$7,0)-$AB76</f>
        <v>0</v>
      </c>
      <c r="Z76" s="645">
        <f>VLOOKUP($E76,'集計16-E'!$E$9:AF$90,'集計16-E'!$Z$7-$D$7,0)+VLOOKUP($E76,'集計F-15'!$E$9:AF$90,'集計F-15'!$Z$7-$D$7,0)-$AC76</f>
        <v>0</v>
      </c>
      <c r="AA76" s="345"/>
      <c r="AB76" s="175">
        <f>SUMIF(請求Data!$F$11:$F$160,CONCATENATE(VLOOKUP(Y$5,$G$1:$H$4,2,FALSE),$E76,1,2),請求Data!$AF$11:$AF$160)</f>
        <v>0</v>
      </c>
      <c r="AC76" s="177">
        <f>SUMIF(請求Data!$F$11:$F$160,CONCATENATE(VLOOKUP(Y$5,$G$1:$H$4,2,FALSE),$E76,1,2),請求Data!$AG$11:$AG$160)</f>
        <v>0</v>
      </c>
      <c r="AD76" s="345"/>
      <c r="AE76" s="175">
        <f>VLOOKUP($E76,'集計16-E'!$E$9:AF$90,'集計16-E'!$AE$7-$D$7,0)+VLOOKUP($E76,'集計F-15'!$E$9:AF$90,'集計F-15'!$AE$7-$D$7,0)</f>
        <v>0</v>
      </c>
      <c r="AF76" s="433">
        <f>VLOOKUP($E76,'集計16-E'!$E$9:AF$90,'集計16-E'!$AF$7-$D$7,0)+VLOOKUP($E76,'集計F-15'!$E$9:AF$90,'集計F-15'!$AF$7-$D$7,0)</f>
        <v>0</v>
      </c>
    </row>
    <row r="77" spans="1:32">
      <c r="A77" s="474" t="str">
        <f>IF(SUMIFS($G77:$AF77,$G$8:$AF$8,"金額",$G77:$AF77,"&gt;0")-SUMIFS($G77:$AF77,$G$8:$AF$8,"金額",$G77:$AF77,"&lt;0")&lt;=0,"",MAX($A$8:$A76)+1)</f>
        <v/>
      </c>
      <c r="B77" s="802"/>
      <c r="C77" s="245" t="str">
        <f t="shared" si="2"/>
        <v>商品</v>
      </c>
      <c r="D77" s="245">
        <v>69</v>
      </c>
      <c r="E77" s="590" t="str">
        <f>IF($F77&lt;&gt;"",INDEX(ﾏｽﾀ!$D$8:$D$124,MATCH(INDEX(ﾏｽﾀ!$N$8:$N$124,MATCH($F77,ﾏｽﾀ!$O$8:$O$124,0)),ﾏｽﾀ!$B$8:$B$124,0))&amp;"","")</f>
        <v/>
      </c>
      <c r="F77" s="589" t="str">
        <f>ﾏｽﾀ!$R76&amp;""</f>
        <v/>
      </c>
      <c r="G77" s="632">
        <f>VLOOKUP($E77,'集計16-E'!$E$9:$AF$90,'集計16-E'!$G$7-$D$7,FALSE)+VLOOKUP($E77,'集計F-15'!$E$9:$AF$90,'集計F-15'!$G$7-$D$7,FALSE)-INDEX($J$9:$J$90,MATCH($E77,$E$9:$E$90,0))</f>
        <v>0</v>
      </c>
      <c r="H77" s="633">
        <f>VLOOKUP($E77,'集計16-E'!$E$9:$AF$90,'集計16-E'!$H$7-$D$7,FALSE)+VLOOKUP($E77,'集計F-15'!$E$9:$AF$90,'集計F-15'!$H$7-$D$7,FALSE)-INDEX($K$9:$K$90,MATCH($E77,$E$9:$E$90,0))</f>
        <v>0</v>
      </c>
      <c r="I77" s="345"/>
      <c r="J77" s="126">
        <f>SUMIF(請求Data!$F$11:$F$160,CONCATENATE(VLOOKUP(G$5,$G$1:$H$4,2,FALSE),$E77,1,2),請求Data!$AF$11:$AF$160)</f>
        <v>0</v>
      </c>
      <c r="K77" s="127">
        <f>SUMIF(請求Data!$F$11:$F$160,CONCATENATE(VLOOKUP(G$5,$G$1:$H$4,2,FALSE),$E77,1,2),請求Data!$AG$11:$AG$160)</f>
        <v>0</v>
      </c>
      <c r="L77" s="345"/>
      <c r="M77" s="175">
        <f>VLOOKUP($E77,'集計16-E'!$E$9:$AF$90,'集計16-E'!$M$7-$D$7,FALSE)+VLOOKUP($E77,'集計F-15'!$E$9:$AF$90,'集計F-15'!$M$7-$D$7,FALSE)</f>
        <v>0</v>
      </c>
      <c r="N77" s="432">
        <f>VLOOKUP($E77,'集計16-E'!$E$9:$AF$90,'集計16-E'!$N$7-$D$7,FALSE)+VLOOKUP($E77,'集計F-15'!$E$9:$AF$90,'集計F-15'!$N$7-$D$7,FALSE)</f>
        <v>0</v>
      </c>
      <c r="O77" s="345"/>
      <c r="P77" s="644">
        <f>VLOOKUP($E77,'集計16-E'!$E$9:$AF$90,'集計16-E'!$P$7-$D$7,FALSE)+VLOOKUP($E77,'集計F-15'!$E$9:$AF$90,'集計F-15'!$P$7-$D$7,FALSE)-$S77</f>
        <v>0</v>
      </c>
      <c r="Q77" s="645">
        <f>VLOOKUP($E77,'集計16-E'!$E$9:$AF$90,'集計16-E'!$Q$7-$D$7,FALSE)+VLOOKUP($E77,'集計F-15'!$E$9:$AF$90,'集計F-15'!$Q$7-$D$7,FALSE)-$T77</f>
        <v>0</v>
      </c>
      <c r="R77" s="345"/>
      <c r="S77" s="175">
        <f>SUMIF(請求Data!$F$11:$F$160,CONCATENATE(VLOOKUP(P$5,$G$1:$H$4,2,FALSE),$E77,1,2),請求Data!$AF$11:$AF$160)</f>
        <v>0</v>
      </c>
      <c r="T77" s="177">
        <f>SUMIF(請求Data!$F$11:$F$160,CONCATENATE(VLOOKUP(P$5,$G$1:$H$4,2,FALSE),$E77,1,2),請求Data!$AG$11:$AG$160)</f>
        <v>0</v>
      </c>
      <c r="U77" s="345"/>
      <c r="V77" s="175">
        <f>VLOOKUP($E77,'集計16-E'!$E$9:$AF$90,'集計16-E'!$V$7-$D$7,0)+VLOOKUP($E77,'集計F-15'!$E$9:$AF$90,'集計F-15'!$V$7-$D$7,0)</f>
        <v>0</v>
      </c>
      <c r="W77" s="433">
        <f>VLOOKUP($E77,'集計16-E'!$E$9:$AF$90,'集計16-E'!$W$7-$D$7,0)+VLOOKUP($E77,'集計F-15'!$E$9:$AF$90,'集計F-15'!$W$7-$D$7,0)</f>
        <v>0</v>
      </c>
      <c r="X77" s="345"/>
      <c r="Y77" s="644">
        <f>VLOOKUP($E77,'集計16-E'!$E$9:AF$90,'集計16-E'!$Y$7-$D$7,0)+VLOOKUP($E77,'集計F-15'!$E$9:AF$90,'集計F-15'!$Y$7-$D$7,0)-$AB77</f>
        <v>0</v>
      </c>
      <c r="Z77" s="645">
        <f>VLOOKUP($E77,'集計16-E'!$E$9:AF$90,'集計16-E'!$Z$7-$D$7,0)+VLOOKUP($E77,'集計F-15'!$E$9:AF$90,'集計F-15'!$Z$7-$D$7,0)-$AC77</f>
        <v>0</v>
      </c>
      <c r="AA77" s="345"/>
      <c r="AB77" s="175">
        <f>SUMIF(請求Data!$F$11:$F$160,CONCATENATE(VLOOKUP(Y$5,$G$1:$H$4,2,FALSE),$E77,1,2),請求Data!$AF$11:$AF$160)</f>
        <v>0</v>
      </c>
      <c r="AC77" s="177">
        <f>SUMIF(請求Data!$F$11:$F$160,CONCATENATE(VLOOKUP(Y$5,$G$1:$H$4,2,FALSE),$E77,1,2),請求Data!$AG$11:$AG$160)</f>
        <v>0</v>
      </c>
      <c r="AD77" s="345"/>
      <c r="AE77" s="175">
        <f>VLOOKUP($E77,'集計16-E'!$E$9:AF$90,'集計16-E'!$AE$7-$D$7,0)+VLOOKUP($E77,'集計F-15'!$E$9:AF$90,'集計F-15'!$AE$7-$D$7,0)</f>
        <v>0</v>
      </c>
      <c r="AF77" s="433">
        <f>VLOOKUP($E77,'集計16-E'!$E$9:AF$90,'集計16-E'!$AF$7-$D$7,0)+VLOOKUP($E77,'集計F-15'!$E$9:AF$90,'集計F-15'!$AF$7-$D$7,0)</f>
        <v>0</v>
      </c>
    </row>
    <row r="78" spans="1:32">
      <c r="A78" s="474" t="str">
        <f>IF(SUMIFS($G78:$AF78,$G$8:$AF$8,"金額",$G78:$AF78,"&gt;0")-SUMIFS($G78:$AF78,$G$8:$AF$8,"金額",$G78:$AF78,"&lt;0")&lt;=0,"",MAX($A$8:$A77)+1)</f>
        <v/>
      </c>
      <c r="B78" s="802"/>
      <c r="C78" s="245" t="str">
        <f t="shared" si="2"/>
        <v>商品</v>
      </c>
      <c r="D78" s="245">
        <v>70</v>
      </c>
      <c r="E78" s="590" t="str">
        <f>IF($F78&lt;&gt;"",INDEX(ﾏｽﾀ!$D$8:$D$124,MATCH(INDEX(ﾏｽﾀ!$N$8:$N$124,MATCH($F78,ﾏｽﾀ!$O$8:$O$124,0)),ﾏｽﾀ!$B$8:$B$124,0))&amp;"","")</f>
        <v/>
      </c>
      <c r="F78" s="589" t="str">
        <f>ﾏｽﾀ!$R77&amp;""</f>
        <v/>
      </c>
      <c r="G78" s="632">
        <f>VLOOKUP($E78,'集計16-E'!$E$9:$AF$90,'集計16-E'!$G$7-$D$7,FALSE)+VLOOKUP($E78,'集計F-15'!$E$9:$AF$90,'集計F-15'!$G$7-$D$7,FALSE)-INDEX($J$9:$J$90,MATCH($E78,$E$9:$E$90,0))</f>
        <v>0</v>
      </c>
      <c r="H78" s="633">
        <f>VLOOKUP($E78,'集計16-E'!$E$9:$AF$90,'集計16-E'!$H$7-$D$7,FALSE)+VLOOKUP($E78,'集計F-15'!$E$9:$AF$90,'集計F-15'!$H$7-$D$7,FALSE)-INDEX($K$9:$K$90,MATCH($E78,$E$9:$E$90,0))</f>
        <v>0</v>
      </c>
      <c r="I78" s="345"/>
      <c r="J78" s="126">
        <f>SUMIF(請求Data!$F$11:$F$160,CONCATENATE(VLOOKUP(G$5,$G$1:$H$4,2,FALSE),$E78,1,2),請求Data!$AF$11:$AF$160)</f>
        <v>0</v>
      </c>
      <c r="K78" s="127">
        <f>SUMIF(請求Data!$F$11:$F$160,CONCATENATE(VLOOKUP(G$5,$G$1:$H$4,2,FALSE),$E78,1,2),請求Data!$AG$11:$AG$160)</f>
        <v>0</v>
      </c>
      <c r="L78" s="345"/>
      <c r="M78" s="175">
        <f>VLOOKUP($E78,'集計16-E'!$E$9:$AF$90,'集計16-E'!$M$7-$D$7,FALSE)+VLOOKUP($E78,'集計F-15'!$E$9:$AF$90,'集計F-15'!$M$7-$D$7,FALSE)</f>
        <v>0</v>
      </c>
      <c r="N78" s="432">
        <f>VLOOKUP($E78,'集計16-E'!$E$9:$AF$90,'集計16-E'!$N$7-$D$7,FALSE)+VLOOKUP($E78,'集計F-15'!$E$9:$AF$90,'集計F-15'!$N$7-$D$7,FALSE)</f>
        <v>0</v>
      </c>
      <c r="O78" s="345"/>
      <c r="P78" s="644">
        <f>VLOOKUP($E78,'集計16-E'!$E$9:$AF$90,'集計16-E'!$P$7-$D$7,FALSE)+VLOOKUP($E78,'集計F-15'!$E$9:$AF$90,'集計F-15'!$P$7-$D$7,FALSE)-$S78</f>
        <v>0</v>
      </c>
      <c r="Q78" s="645">
        <f>VLOOKUP($E78,'集計16-E'!$E$9:$AF$90,'集計16-E'!$Q$7-$D$7,FALSE)+VLOOKUP($E78,'集計F-15'!$E$9:$AF$90,'集計F-15'!$Q$7-$D$7,FALSE)-$T78</f>
        <v>0</v>
      </c>
      <c r="R78" s="345"/>
      <c r="S78" s="175">
        <f>SUMIF(請求Data!$F$11:$F$160,CONCATENATE(VLOOKUP(P$5,$G$1:$H$4,2,FALSE),$E78,1,2),請求Data!$AF$11:$AF$160)</f>
        <v>0</v>
      </c>
      <c r="T78" s="177">
        <f>SUMIF(請求Data!$F$11:$F$160,CONCATENATE(VLOOKUP(P$5,$G$1:$H$4,2,FALSE),$E78,1,2),請求Data!$AG$11:$AG$160)</f>
        <v>0</v>
      </c>
      <c r="U78" s="345"/>
      <c r="V78" s="175">
        <f>VLOOKUP($E78,'集計16-E'!$E$9:$AF$90,'集計16-E'!$V$7-$D$7,0)+VLOOKUP($E78,'集計F-15'!$E$9:$AF$90,'集計F-15'!$V$7-$D$7,0)</f>
        <v>0</v>
      </c>
      <c r="W78" s="433">
        <f>VLOOKUP($E78,'集計16-E'!$E$9:$AF$90,'集計16-E'!$W$7-$D$7,0)+VLOOKUP($E78,'集計F-15'!$E$9:$AF$90,'集計F-15'!$W$7-$D$7,0)</f>
        <v>0</v>
      </c>
      <c r="X78" s="345"/>
      <c r="Y78" s="644">
        <f>VLOOKUP($E78,'集計16-E'!$E$9:AF$90,'集計16-E'!$Y$7-$D$7,0)+VLOOKUP($E78,'集計F-15'!$E$9:AF$90,'集計F-15'!$Y$7-$D$7,0)-$AB78</f>
        <v>0</v>
      </c>
      <c r="Z78" s="645">
        <f>VLOOKUP($E78,'集計16-E'!$E$9:AF$90,'集計16-E'!$Z$7-$D$7,0)+VLOOKUP($E78,'集計F-15'!$E$9:AF$90,'集計F-15'!$Z$7-$D$7,0)-$AC78</f>
        <v>0</v>
      </c>
      <c r="AA78" s="345"/>
      <c r="AB78" s="175">
        <f>SUMIF(請求Data!$F$11:$F$160,CONCATENATE(VLOOKUP(Y$5,$G$1:$H$4,2,FALSE),$E78,1,2),請求Data!$AF$11:$AF$160)</f>
        <v>0</v>
      </c>
      <c r="AC78" s="177">
        <f>SUMIF(請求Data!$F$11:$F$160,CONCATENATE(VLOOKUP(Y$5,$G$1:$H$4,2,FALSE),$E78,1,2),請求Data!$AG$11:$AG$160)</f>
        <v>0</v>
      </c>
      <c r="AD78" s="345"/>
      <c r="AE78" s="175">
        <f>VLOOKUP($E78,'集計16-E'!$E$9:AF$90,'集計16-E'!$AE$7-$D$7,0)+VLOOKUP($E78,'集計F-15'!$E$9:AF$90,'集計F-15'!$AE$7-$D$7,0)</f>
        <v>0</v>
      </c>
      <c r="AF78" s="433">
        <f>VLOOKUP($E78,'集計16-E'!$E$9:AF$90,'集計16-E'!$AF$7-$D$7,0)+VLOOKUP($E78,'集計F-15'!$E$9:AF$90,'集計F-15'!$AF$7-$D$7,0)</f>
        <v>0</v>
      </c>
    </row>
    <row r="79" spans="1:32">
      <c r="A79" s="474" t="str">
        <f>IF(SUMIFS($G79:$AF79,$G$8:$AF$8,"金額",$G79:$AF79,"&gt;0")-SUMIFS($G79:$AF79,$G$8:$AF$8,"金額",$G79:$AF79,"&lt;0")&lt;=0,"",MAX($A$8:$A78)+1)</f>
        <v/>
      </c>
      <c r="B79" s="802"/>
      <c r="C79" s="245" t="str">
        <f t="shared" si="2"/>
        <v>商品</v>
      </c>
      <c r="D79" s="245">
        <v>71</v>
      </c>
      <c r="E79" s="590" t="str">
        <f>IF($F79&lt;&gt;"",INDEX(ﾏｽﾀ!$D$8:$D$124,MATCH(INDEX(ﾏｽﾀ!$N$8:$N$124,MATCH($F79,ﾏｽﾀ!$O$8:$O$124,0)),ﾏｽﾀ!$B$8:$B$124,0))&amp;"","")</f>
        <v/>
      </c>
      <c r="F79" s="589" t="str">
        <f>ﾏｽﾀ!$R78&amp;""</f>
        <v/>
      </c>
      <c r="G79" s="632">
        <f>VLOOKUP($E79,'集計16-E'!$E$9:$AF$90,'集計16-E'!$G$7-$D$7,FALSE)+VLOOKUP($E79,'集計F-15'!$E$9:$AF$90,'集計F-15'!$G$7-$D$7,FALSE)-INDEX($J$9:$J$90,MATCH($E79,$E$9:$E$90,0))</f>
        <v>0</v>
      </c>
      <c r="H79" s="633">
        <f>VLOOKUP($E79,'集計16-E'!$E$9:$AF$90,'集計16-E'!$H$7-$D$7,FALSE)+VLOOKUP($E79,'集計F-15'!$E$9:$AF$90,'集計F-15'!$H$7-$D$7,FALSE)-INDEX($K$9:$K$90,MATCH($E79,$E$9:$E$90,0))</f>
        <v>0</v>
      </c>
      <c r="I79" s="345"/>
      <c r="J79" s="126">
        <f>SUMIF(請求Data!$F$11:$F$160,CONCATENATE(VLOOKUP(G$5,$G$1:$H$4,2,FALSE),$E79,1,2),請求Data!$AF$11:$AF$160)</f>
        <v>0</v>
      </c>
      <c r="K79" s="127">
        <f>SUMIF(請求Data!$F$11:$F$160,CONCATENATE(VLOOKUP(G$5,$G$1:$H$4,2,FALSE),$E79,1,2),請求Data!$AG$11:$AG$160)</f>
        <v>0</v>
      </c>
      <c r="L79" s="345"/>
      <c r="M79" s="175">
        <f>VLOOKUP($E79,'集計16-E'!$E$9:$AF$90,'集計16-E'!$M$7-$D$7,FALSE)+VLOOKUP($E79,'集計F-15'!$E$9:$AF$90,'集計F-15'!$M$7-$D$7,FALSE)</f>
        <v>0</v>
      </c>
      <c r="N79" s="432">
        <f>VLOOKUP($E79,'集計16-E'!$E$9:$AF$90,'集計16-E'!$N$7-$D$7,FALSE)+VLOOKUP($E79,'集計F-15'!$E$9:$AF$90,'集計F-15'!$N$7-$D$7,FALSE)</f>
        <v>0</v>
      </c>
      <c r="O79" s="345"/>
      <c r="P79" s="644">
        <f>VLOOKUP($E79,'集計16-E'!$E$9:$AF$90,'集計16-E'!$P$7-$D$7,FALSE)+VLOOKUP($E79,'集計F-15'!$E$9:$AF$90,'集計F-15'!$P$7-$D$7,FALSE)-$S79</f>
        <v>0</v>
      </c>
      <c r="Q79" s="645">
        <f>VLOOKUP($E79,'集計16-E'!$E$9:$AF$90,'集計16-E'!$Q$7-$D$7,FALSE)+VLOOKUP($E79,'集計F-15'!$E$9:$AF$90,'集計F-15'!$Q$7-$D$7,FALSE)-$T79</f>
        <v>0</v>
      </c>
      <c r="R79" s="345"/>
      <c r="S79" s="175">
        <f>SUMIF(請求Data!$F$11:$F$160,CONCATENATE(VLOOKUP(P$5,$G$1:$H$4,2,FALSE),$E79,1,2),請求Data!$AF$11:$AF$160)</f>
        <v>0</v>
      </c>
      <c r="T79" s="177">
        <f>SUMIF(請求Data!$F$11:$F$160,CONCATENATE(VLOOKUP(P$5,$G$1:$H$4,2,FALSE),$E79,1,2),請求Data!$AG$11:$AG$160)</f>
        <v>0</v>
      </c>
      <c r="U79" s="345"/>
      <c r="V79" s="175">
        <f>VLOOKUP($E79,'集計16-E'!$E$9:$AF$90,'集計16-E'!$V$7-$D$7,0)+VLOOKUP($E79,'集計F-15'!$E$9:$AF$90,'集計F-15'!$V$7-$D$7,0)</f>
        <v>0</v>
      </c>
      <c r="W79" s="433">
        <f>VLOOKUP($E79,'集計16-E'!$E$9:$AF$90,'集計16-E'!$W$7-$D$7,0)+VLOOKUP($E79,'集計F-15'!$E$9:$AF$90,'集計F-15'!$W$7-$D$7,0)</f>
        <v>0</v>
      </c>
      <c r="X79" s="345"/>
      <c r="Y79" s="644">
        <f>VLOOKUP($E79,'集計16-E'!$E$9:AF$90,'集計16-E'!$Y$7-$D$7,0)+VLOOKUP($E79,'集計F-15'!$E$9:AF$90,'集計F-15'!$Y$7-$D$7,0)-$AB79</f>
        <v>0</v>
      </c>
      <c r="Z79" s="645">
        <f>VLOOKUP($E79,'集計16-E'!$E$9:AF$90,'集計16-E'!$Z$7-$D$7,0)+VLOOKUP($E79,'集計F-15'!$E$9:AF$90,'集計F-15'!$Z$7-$D$7,0)-$AC79</f>
        <v>0</v>
      </c>
      <c r="AA79" s="345"/>
      <c r="AB79" s="175">
        <f>SUMIF(請求Data!$F$11:$F$160,CONCATENATE(VLOOKUP(Y$5,$G$1:$H$4,2,FALSE),$E79,1,2),請求Data!$AF$11:$AF$160)</f>
        <v>0</v>
      </c>
      <c r="AC79" s="177">
        <f>SUMIF(請求Data!$F$11:$F$160,CONCATENATE(VLOOKUP(Y$5,$G$1:$H$4,2,FALSE),$E79,1,2),請求Data!$AG$11:$AG$160)</f>
        <v>0</v>
      </c>
      <c r="AD79" s="345"/>
      <c r="AE79" s="175">
        <f>VLOOKUP($E79,'集計16-E'!$E$9:AF$90,'集計16-E'!$AE$7-$D$7,0)+VLOOKUP($E79,'集計F-15'!$E$9:AF$90,'集計F-15'!$AE$7-$D$7,0)</f>
        <v>0</v>
      </c>
      <c r="AF79" s="433">
        <f>VLOOKUP($E79,'集計16-E'!$E$9:AF$90,'集計16-E'!$AF$7-$D$7,0)+VLOOKUP($E79,'集計F-15'!$E$9:AF$90,'集計F-15'!$AF$7-$D$7,0)</f>
        <v>0</v>
      </c>
    </row>
    <row r="80" spans="1:32">
      <c r="A80" s="474" t="str">
        <f>IF(SUMIFS($G80:$AF80,$G$8:$AF$8,"金額",$G80:$AF80,"&gt;0")-SUMIFS($G80:$AF80,$G$8:$AF$8,"金額",$G80:$AF80,"&lt;0")&lt;=0,"",MAX($A$8:$A79)+1)</f>
        <v/>
      </c>
      <c r="B80" s="802"/>
      <c r="C80" s="245" t="str">
        <f t="shared" si="2"/>
        <v>商品</v>
      </c>
      <c r="D80" s="245">
        <v>72</v>
      </c>
      <c r="E80" s="590" t="str">
        <f>IF($F80&lt;&gt;"",INDEX(ﾏｽﾀ!$D$8:$D$124,MATCH(INDEX(ﾏｽﾀ!$N$8:$N$124,MATCH($F80,ﾏｽﾀ!$O$8:$O$124,0)),ﾏｽﾀ!$B$8:$B$124,0))&amp;"","")</f>
        <v/>
      </c>
      <c r="F80" s="589" t="str">
        <f>ﾏｽﾀ!$R79&amp;""</f>
        <v/>
      </c>
      <c r="G80" s="632">
        <f>VLOOKUP($E80,'集計16-E'!$E$9:$AF$90,'集計16-E'!$G$7-$D$7,FALSE)+VLOOKUP($E80,'集計F-15'!$E$9:$AF$90,'集計F-15'!$G$7-$D$7,FALSE)-INDEX($J$9:$J$90,MATCH($E80,$E$9:$E$90,0))</f>
        <v>0</v>
      </c>
      <c r="H80" s="633">
        <f>VLOOKUP($E80,'集計16-E'!$E$9:$AF$90,'集計16-E'!$H$7-$D$7,FALSE)+VLOOKUP($E80,'集計F-15'!$E$9:$AF$90,'集計F-15'!$H$7-$D$7,FALSE)-INDEX($K$9:$K$90,MATCH($E80,$E$9:$E$90,0))</f>
        <v>0</v>
      </c>
      <c r="I80" s="345"/>
      <c r="J80" s="126">
        <f>SUMIF(請求Data!$F$11:$F$160,CONCATENATE(VLOOKUP(G$5,$G$1:$H$4,2,FALSE),$E80,1,2),請求Data!$AF$11:$AF$160)</f>
        <v>0</v>
      </c>
      <c r="K80" s="127">
        <f>SUMIF(請求Data!$F$11:$F$160,CONCATENATE(VLOOKUP(G$5,$G$1:$H$4,2,FALSE),$E80,1,2),請求Data!$AG$11:$AG$160)</f>
        <v>0</v>
      </c>
      <c r="L80" s="345"/>
      <c r="M80" s="175">
        <f>VLOOKUP($E80,'集計16-E'!$E$9:$AF$90,'集計16-E'!$M$7-$D$7,FALSE)+VLOOKUP($E80,'集計F-15'!$E$9:$AF$90,'集計F-15'!$M$7-$D$7,FALSE)</f>
        <v>0</v>
      </c>
      <c r="N80" s="432">
        <f>VLOOKUP($E80,'集計16-E'!$E$9:$AF$90,'集計16-E'!$N$7-$D$7,FALSE)+VLOOKUP($E80,'集計F-15'!$E$9:$AF$90,'集計F-15'!$N$7-$D$7,FALSE)</f>
        <v>0</v>
      </c>
      <c r="O80" s="345"/>
      <c r="P80" s="644">
        <f>VLOOKUP($E80,'集計16-E'!$E$9:$AF$90,'集計16-E'!$P$7-$D$7,FALSE)+VLOOKUP($E80,'集計F-15'!$E$9:$AF$90,'集計F-15'!$P$7-$D$7,FALSE)-$S80</f>
        <v>0</v>
      </c>
      <c r="Q80" s="645">
        <f>VLOOKUP($E80,'集計16-E'!$E$9:$AF$90,'集計16-E'!$Q$7-$D$7,FALSE)+VLOOKUP($E80,'集計F-15'!$E$9:$AF$90,'集計F-15'!$Q$7-$D$7,FALSE)-$T80</f>
        <v>0</v>
      </c>
      <c r="R80" s="345"/>
      <c r="S80" s="175">
        <f>SUMIF(請求Data!$F$11:$F$160,CONCATENATE(VLOOKUP(P$5,$G$1:$H$4,2,FALSE),$E80,1,2),請求Data!$AF$11:$AF$160)</f>
        <v>0</v>
      </c>
      <c r="T80" s="177">
        <f>SUMIF(請求Data!$F$11:$F$160,CONCATENATE(VLOOKUP(P$5,$G$1:$H$4,2,FALSE),$E80,1,2),請求Data!$AG$11:$AG$160)</f>
        <v>0</v>
      </c>
      <c r="U80" s="345"/>
      <c r="V80" s="175">
        <f>VLOOKUP($E80,'集計16-E'!$E$9:$AF$90,'集計16-E'!$V$7-$D$7,0)+VLOOKUP($E80,'集計F-15'!$E$9:$AF$90,'集計F-15'!$V$7-$D$7,0)</f>
        <v>0</v>
      </c>
      <c r="W80" s="433">
        <f>VLOOKUP($E80,'集計16-E'!$E$9:$AF$90,'集計16-E'!$W$7-$D$7,0)+VLOOKUP($E80,'集計F-15'!$E$9:$AF$90,'集計F-15'!$W$7-$D$7,0)</f>
        <v>0</v>
      </c>
      <c r="X80" s="345"/>
      <c r="Y80" s="644">
        <f>VLOOKUP($E80,'集計16-E'!$E$9:AF$90,'集計16-E'!$Y$7-$D$7,0)+VLOOKUP($E80,'集計F-15'!$E$9:AF$90,'集計F-15'!$Y$7-$D$7,0)-$AB80</f>
        <v>0</v>
      </c>
      <c r="Z80" s="645">
        <f>VLOOKUP($E80,'集計16-E'!$E$9:AF$90,'集計16-E'!$Z$7-$D$7,0)+VLOOKUP($E80,'集計F-15'!$E$9:AF$90,'集計F-15'!$Z$7-$D$7,0)-$AC80</f>
        <v>0</v>
      </c>
      <c r="AA80" s="345"/>
      <c r="AB80" s="175">
        <f>SUMIF(請求Data!$F$11:$F$160,CONCATENATE(VLOOKUP(Y$5,$G$1:$H$4,2,FALSE),$E80,1,2),請求Data!$AF$11:$AF$160)</f>
        <v>0</v>
      </c>
      <c r="AC80" s="177">
        <f>SUMIF(請求Data!$F$11:$F$160,CONCATENATE(VLOOKUP(Y$5,$G$1:$H$4,2,FALSE),$E80,1,2),請求Data!$AG$11:$AG$160)</f>
        <v>0</v>
      </c>
      <c r="AD80" s="345"/>
      <c r="AE80" s="175">
        <f>VLOOKUP($E80,'集計16-E'!$E$9:AF$90,'集計16-E'!$AE$7-$D$7,0)+VLOOKUP($E80,'集計F-15'!$E$9:AF$90,'集計F-15'!$AE$7-$D$7,0)</f>
        <v>0</v>
      </c>
      <c r="AF80" s="433">
        <f>VLOOKUP($E80,'集計16-E'!$E$9:AF$90,'集計16-E'!$AF$7-$D$7,0)+VLOOKUP($E80,'集計F-15'!$E$9:AF$90,'集計F-15'!$AF$7-$D$7,0)</f>
        <v>0</v>
      </c>
    </row>
    <row r="81" spans="1:32">
      <c r="A81" s="474" t="str">
        <f>IF(SUMIFS($G81:$AF81,$G$8:$AF$8,"金額",$G81:$AF81,"&gt;0")-SUMIFS($G81:$AF81,$G$8:$AF$8,"金額",$G81:$AF81,"&lt;0")&lt;=0,"",MAX($A$8:$A80)+1)</f>
        <v/>
      </c>
      <c r="B81" s="802"/>
      <c r="C81" s="245" t="str">
        <f t="shared" si="2"/>
        <v>商品</v>
      </c>
      <c r="D81" s="245">
        <v>73</v>
      </c>
      <c r="E81" s="590" t="str">
        <f>IF($F81&lt;&gt;"",INDEX(ﾏｽﾀ!$D$8:$D$124,MATCH(INDEX(ﾏｽﾀ!$N$8:$N$124,MATCH($F81,ﾏｽﾀ!$O$8:$O$124,0)),ﾏｽﾀ!$B$8:$B$124,0))&amp;"","")</f>
        <v/>
      </c>
      <c r="F81" s="589" t="str">
        <f>ﾏｽﾀ!$R80&amp;""</f>
        <v/>
      </c>
      <c r="G81" s="632">
        <f>VLOOKUP($E81,'集計16-E'!$E$9:$AF$90,'集計16-E'!$G$7-$D$7,FALSE)+VLOOKUP($E81,'集計F-15'!$E$9:$AF$90,'集計F-15'!$G$7-$D$7,FALSE)-INDEX($J$9:$J$90,MATCH($E81,$E$9:$E$90,0))</f>
        <v>0</v>
      </c>
      <c r="H81" s="633">
        <f>VLOOKUP($E81,'集計16-E'!$E$9:$AF$90,'集計16-E'!$H$7-$D$7,FALSE)+VLOOKUP($E81,'集計F-15'!$E$9:$AF$90,'集計F-15'!$H$7-$D$7,FALSE)-INDEX($K$9:$K$90,MATCH($E81,$E$9:$E$90,0))</f>
        <v>0</v>
      </c>
      <c r="I81" s="345"/>
      <c r="J81" s="126">
        <f>SUMIF(請求Data!$F$11:$F$160,CONCATENATE(VLOOKUP(G$5,$G$1:$H$4,2,FALSE),$E81,1,2),請求Data!$AF$11:$AF$160)</f>
        <v>0</v>
      </c>
      <c r="K81" s="127">
        <f>SUMIF(請求Data!$F$11:$F$160,CONCATENATE(VLOOKUP(G$5,$G$1:$H$4,2,FALSE),$E81,1,2),請求Data!$AG$11:$AG$160)</f>
        <v>0</v>
      </c>
      <c r="L81" s="345"/>
      <c r="M81" s="175">
        <f>VLOOKUP($E81,'集計16-E'!$E$9:$AF$90,'集計16-E'!$M$7-$D$7,FALSE)+VLOOKUP($E81,'集計F-15'!$E$9:$AF$90,'集計F-15'!$M$7-$D$7,FALSE)</f>
        <v>0</v>
      </c>
      <c r="N81" s="432">
        <f>VLOOKUP($E81,'集計16-E'!$E$9:$AF$90,'集計16-E'!$N$7-$D$7,FALSE)+VLOOKUP($E81,'集計F-15'!$E$9:$AF$90,'集計F-15'!$N$7-$D$7,FALSE)</f>
        <v>0</v>
      </c>
      <c r="O81" s="345"/>
      <c r="P81" s="644">
        <f>VLOOKUP($E81,'集計16-E'!$E$9:$AF$90,'集計16-E'!$P$7-$D$7,FALSE)+VLOOKUP($E81,'集計F-15'!$E$9:$AF$90,'集計F-15'!$P$7-$D$7,FALSE)-$S81</f>
        <v>0</v>
      </c>
      <c r="Q81" s="645">
        <f>VLOOKUP($E81,'集計16-E'!$E$9:$AF$90,'集計16-E'!$Q$7-$D$7,FALSE)+VLOOKUP($E81,'集計F-15'!$E$9:$AF$90,'集計F-15'!$Q$7-$D$7,FALSE)-$T81</f>
        <v>0</v>
      </c>
      <c r="R81" s="345"/>
      <c r="S81" s="175">
        <f>SUMIF(請求Data!$F$11:$F$160,CONCATENATE(VLOOKUP(P$5,$G$1:$H$4,2,FALSE),$E81,1,2),請求Data!$AF$11:$AF$160)</f>
        <v>0</v>
      </c>
      <c r="T81" s="177">
        <f>SUMIF(請求Data!$F$11:$F$160,CONCATENATE(VLOOKUP(P$5,$G$1:$H$4,2,FALSE),$E81,1,2),請求Data!$AG$11:$AG$160)</f>
        <v>0</v>
      </c>
      <c r="U81" s="345"/>
      <c r="V81" s="175">
        <f>VLOOKUP($E81,'集計16-E'!$E$9:$AF$90,'集計16-E'!$V$7-$D$7,0)+VLOOKUP($E81,'集計F-15'!$E$9:$AF$90,'集計F-15'!$V$7-$D$7,0)</f>
        <v>0</v>
      </c>
      <c r="W81" s="433">
        <f>VLOOKUP($E81,'集計16-E'!$E$9:$AF$90,'集計16-E'!$W$7-$D$7,0)+VLOOKUP($E81,'集計F-15'!$E$9:$AF$90,'集計F-15'!$W$7-$D$7,0)</f>
        <v>0</v>
      </c>
      <c r="X81" s="345"/>
      <c r="Y81" s="644">
        <f>VLOOKUP($E81,'集計16-E'!$E$9:AF$90,'集計16-E'!$Y$7-$D$7,0)+VLOOKUP($E81,'集計F-15'!$E$9:AF$90,'集計F-15'!$Y$7-$D$7,0)-$AB81</f>
        <v>0</v>
      </c>
      <c r="Z81" s="645">
        <f>VLOOKUP($E81,'集計16-E'!$E$9:AF$90,'集計16-E'!$Z$7-$D$7,0)+VLOOKUP($E81,'集計F-15'!$E$9:AF$90,'集計F-15'!$Z$7-$D$7,0)-$AC81</f>
        <v>0</v>
      </c>
      <c r="AA81" s="345"/>
      <c r="AB81" s="175">
        <f>SUMIF(請求Data!$F$11:$F$160,CONCATENATE(VLOOKUP(Y$5,$G$1:$H$4,2,FALSE),$E81,1,2),請求Data!$AF$11:$AF$160)</f>
        <v>0</v>
      </c>
      <c r="AC81" s="177">
        <f>SUMIF(請求Data!$F$11:$F$160,CONCATENATE(VLOOKUP(Y$5,$G$1:$H$4,2,FALSE),$E81,1,2),請求Data!$AG$11:$AG$160)</f>
        <v>0</v>
      </c>
      <c r="AD81" s="345"/>
      <c r="AE81" s="175">
        <f>VLOOKUP($E81,'集計16-E'!$E$9:AF$90,'集計16-E'!$AE$7-$D$7,0)+VLOOKUP($E81,'集計F-15'!$E$9:AF$90,'集計F-15'!$AE$7-$D$7,0)</f>
        <v>0</v>
      </c>
      <c r="AF81" s="433">
        <f>VLOOKUP($E81,'集計16-E'!$E$9:AF$90,'集計16-E'!$AF$7-$D$7,0)+VLOOKUP($E81,'集計F-15'!$E$9:AF$90,'集計F-15'!$AF$7-$D$7,0)</f>
        <v>0</v>
      </c>
    </row>
    <row r="82" spans="1:32">
      <c r="A82" s="474" t="str">
        <f>IF(SUMIFS($G82:$AF82,$G$8:$AF$8,"金額",$G82:$AF82,"&gt;0")-SUMIFS($G82:$AF82,$G$8:$AF$8,"金額",$G82:$AF82,"&lt;0")&lt;=0,"",MAX($A$8:$A81)+1)</f>
        <v/>
      </c>
      <c r="B82" s="802"/>
      <c r="C82" s="245" t="str">
        <f t="shared" si="2"/>
        <v>商品</v>
      </c>
      <c r="D82" s="245">
        <v>74</v>
      </c>
      <c r="E82" s="590" t="str">
        <f>IF($F82&lt;&gt;"",INDEX(ﾏｽﾀ!$D$8:$D$124,MATCH(INDEX(ﾏｽﾀ!$N$8:$N$124,MATCH($F82,ﾏｽﾀ!$O$8:$O$124,0)),ﾏｽﾀ!$B$8:$B$124,0))&amp;"","")</f>
        <v/>
      </c>
      <c r="F82" s="589" t="str">
        <f>ﾏｽﾀ!$R81&amp;""</f>
        <v/>
      </c>
      <c r="G82" s="632">
        <f>VLOOKUP($E82,'集計16-E'!$E$9:$AF$90,'集計16-E'!$G$7-$D$7,FALSE)+VLOOKUP($E82,'集計F-15'!$E$9:$AF$90,'集計F-15'!$G$7-$D$7,FALSE)-INDEX($J$9:$J$90,MATCH($E82,$E$9:$E$90,0))</f>
        <v>0</v>
      </c>
      <c r="H82" s="633">
        <f>VLOOKUP($E82,'集計16-E'!$E$9:$AF$90,'集計16-E'!$H$7-$D$7,FALSE)+VLOOKUP($E82,'集計F-15'!$E$9:$AF$90,'集計F-15'!$H$7-$D$7,FALSE)-INDEX($K$9:$K$90,MATCH($E82,$E$9:$E$90,0))</f>
        <v>0</v>
      </c>
      <c r="I82" s="345"/>
      <c r="J82" s="126">
        <f>SUMIF(請求Data!$F$11:$F$160,CONCATENATE(VLOOKUP(G$5,$G$1:$H$4,2,FALSE),$E82,1,2),請求Data!$AF$11:$AF$160)</f>
        <v>0</v>
      </c>
      <c r="K82" s="127">
        <f>SUMIF(請求Data!$F$11:$F$160,CONCATENATE(VLOOKUP(G$5,$G$1:$H$4,2,FALSE),$E82,1,2),請求Data!$AG$11:$AG$160)</f>
        <v>0</v>
      </c>
      <c r="L82" s="345"/>
      <c r="M82" s="175">
        <f>VLOOKUP($E82,'集計16-E'!$E$9:$AF$90,'集計16-E'!$M$7-$D$7,FALSE)+VLOOKUP($E82,'集計F-15'!$E$9:$AF$90,'集計F-15'!$M$7-$D$7,FALSE)</f>
        <v>0</v>
      </c>
      <c r="N82" s="432">
        <f>VLOOKUP($E82,'集計16-E'!$E$9:$AF$90,'集計16-E'!$N$7-$D$7,FALSE)+VLOOKUP($E82,'集計F-15'!$E$9:$AF$90,'集計F-15'!$N$7-$D$7,FALSE)</f>
        <v>0</v>
      </c>
      <c r="O82" s="345"/>
      <c r="P82" s="644">
        <f>VLOOKUP($E82,'集計16-E'!$E$9:$AF$90,'集計16-E'!$P$7-$D$7,FALSE)+VLOOKUP($E82,'集計F-15'!$E$9:$AF$90,'集計F-15'!$P$7-$D$7,FALSE)-$S82</f>
        <v>0</v>
      </c>
      <c r="Q82" s="645">
        <f>VLOOKUP($E82,'集計16-E'!$E$9:$AF$90,'集計16-E'!$Q$7-$D$7,FALSE)+VLOOKUP($E82,'集計F-15'!$E$9:$AF$90,'集計F-15'!$Q$7-$D$7,FALSE)-$T82</f>
        <v>0</v>
      </c>
      <c r="R82" s="345"/>
      <c r="S82" s="175">
        <f>SUMIF(請求Data!$F$11:$F$160,CONCATENATE(VLOOKUP(P$5,$G$1:$H$4,2,FALSE),$E82,1,2),請求Data!$AF$11:$AF$160)</f>
        <v>0</v>
      </c>
      <c r="T82" s="177">
        <f>SUMIF(請求Data!$F$11:$F$160,CONCATENATE(VLOOKUP(P$5,$G$1:$H$4,2,FALSE),$E82,1,2),請求Data!$AG$11:$AG$160)</f>
        <v>0</v>
      </c>
      <c r="U82" s="345"/>
      <c r="V82" s="175">
        <f>VLOOKUP($E82,'集計16-E'!$E$9:$AF$90,'集計16-E'!$V$7-$D$7,0)+VLOOKUP($E82,'集計F-15'!$E$9:$AF$90,'集計F-15'!$V$7-$D$7,0)</f>
        <v>0</v>
      </c>
      <c r="W82" s="433">
        <f>VLOOKUP($E82,'集計16-E'!$E$9:$AF$90,'集計16-E'!$W$7-$D$7,0)+VLOOKUP($E82,'集計F-15'!$E$9:$AF$90,'集計F-15'!$W$7-$D$7,0)</f>
        <v>0</v>
      </c>
      <c r="X82" s="345"/>
      <c r="Y82" s="644">
        <f>VLOOKUP($E82,'集計16-E'!$E$9:AF$90,'集計16-E'!$Y$7-$D$7,0)+VLOOKUP($E82,'集計F-15'!$E$9:AF$90,'集計F-15'!$Y$7-$D$7,0)-$AB82</f>
        <v>0</v>
      </c>
      <c r="Z82" s="645">
        <f>VLOOKUP($E82,'集計16-E'!$E$9:AF$90,'集計16-E'!$Z$7-$D$7,0)+VLOOKUP($E82,'集計F-15'!$E$9:AF$90,'集計F-15'!$Z$7-$D$7,0)-$AC82</f>
        <v>0</v>
      </c>
      <c r="AA82" s="345"/>
      <c r="AB82" s="175">
        <f>SUMIF(請求Data!$F$11:$F$160,CONCATENATE(VLOOKUP(Y$5,$G$1:$H$4,2,FALSE),$E82,1,2),請求Data!$AF$11:$AF$160)</f>
        <v>0</v>
      </c>
      <c r="AC82" s="177">
        <f>SUMIF(請求Data!$F$11:$F$160,CONCATENATE(VLOOKUP(Y$5,$G$1:$H$4,2,FALSE),$E82,1,2),請求Data!$AG$11:$AG$160)</f>
        <v>0</v>
      </c>
      <c r="AD82" s="345"/>
      <c r="AE82" s="175">
        <f>VLOOKUP($E82,'集計16-E'!$E$9:AF$90,'集計16-E'!$AE$7-$D$7,0)+VLOOKUP($E82,'集計F-15'!$E$9:AF$90,'集計F-15'!$AE$7-$D$7,0)</f>
        <v>0</v>
      </c>
      <c r="AF82" s="433">
        <f>VLOOKUP($E82,'集計16-E'!$E$9:AF$90,'集計16-E'!$AF$7-$D$7,0)+VLOOKUP($E82,'集計F-15'!$E$9:AF$90,'集計F-15'!$AF$7-$D$7,0)</f>
        <v>0</v>
      </c>
    </row>
    <row r="83" spans="1:32">
      <c r="A83" s="474" t="str">
        <f>IF(SUMIFS($G83:$AF83,$G$8:$AF$8,"金額",$G83:$AF83,"&gt;0")-SUMIFS($G83:$AF83,$G$8:$AF$8,"金額",$G83:$AF83,"&lt;0")&lt;=0,"",MAX($A$8:$A82)+1)</f>
        <v/>
      </c>
      <c r="B83" s="802"/>
      <c r="C83" s="245" t="str">
        <f t="shared" si="2"/>
        <v>商品</v>
      </c>
      <c r="D83" s="245">
        <v>75</v>
      </c>
      <c r="E83" s="590" t="str">
        <f>IF($F83&lt;&gt;"",INDEX(ﾏｽﾀ!$D$8:$D$124,MATCH(INDEX(ﾏｽﾀ!$N$8:$N$124,MATCH($F83,ﾏｽﾀ!$O$8:$O$124,0)),ﾏｽﾀ!$B$8:$B$124,0))&amp;"","")</f>
        <v/>
      </c>
      <c r="F83" s="589" t="str">
        <f>ﾏｽﾀ!$R82&amp;""</f>
        <v/>
      </c>
      <c r="G83" s="632">
        <f>VLOOKUP($E83,'集計16-E'!$E$9:$AF$90,'集計16-E'!$G$7-$D$7,FALSE)+VLOOKUP($E83,'集計F-15'!$E$9:$AF$90,'集計F-15'!$G$7-$D$7,FALSE)-INDEX($J$9:$J$90,MATCH($E83,$E$9:$E$90,0))</f>
        <v>0</v>
      </c>
      <c r="H83" s="633">
        <f>VLOOKUP($E83,'集計16-E'!$E$9:$AF$90,'集計16-E'!$H$7-$D$7,FALSE)+VLOOKUP($E83,'集計F-15'!$E$9:$AF$90,'集計F-15'!$H$7-$D$7,FALSE)-INDEX($K$9:$K$90,MATCH($E83,$E$9:$E$90,0))</f>
        <v>0</v>
      </c>
      <c r="I83" s="345"/>
      <c r="J83" s="126">
        <f>SUMIF(請求Data!$F$11:$F$160,CONCATENATE(VLOOKUP(G$5,$G$1:$H$4,2,FALSE),$E83,1,2),請求Data!$AF$11:$AF$160)</f>
        <v>0</v>
      </c>
      <c r="K83" s="127">
        <f>SUMIF(請求Data!$F$11:$F$160,CONCATENATE(VLOOKUP(G$5,$G$1:$H$4,2,FALSE),$E83,1,2),請求Data!$AG$11:$AG$160)</f>
        <v>0</v>
      </c>
      <c r="L83" s="345"/>
      <c r="M83" s="175">
        <f>VLOOKUP($E83,'集計16-E'!$E$9:$AF$90,'集計16-E'!$M$7-$D$7,FALSE)+VLOOKUP($E83,'集計F-15'!$E$9:$AF$90,'集計F-15'!$M$7-$D$7,FALSE)</f>
        <v>0</v>
      </c>
      <c r="N83" s="432">
        <f>VLOOKUP($E83,'集計16-E'!$E$9:$AF$90,'集計16-E'!$N$7-$D$7,FALSE)+VLOOKUP($E83,'集計F-15'!$E$9:$AF$90,'集計F-15'!$N$7-$D$7,FALSE)</f>
        <v>0</v>
      </c>
      <c r="O83" s="345"/>
      <c r="P83" s="644">
        <f>VLOOKUP($E83,'集計16-E'!$E$9:$AF$90,'集計16-E'!$P$7-$D$7,FALSE)+VLOOKUP($E83,'集計F-15'!$E$9:$AF$90,'集計F-15'!$P$7-$D$7,FALSE)-$S83</f>
        <v>0</v>
      </c>
      <c r="Q83" s="645">
        <f>VLOOKUP($E83,'集計16-E'!$E$9:$AF$90,'集計16-E'!$Q$7-$D$7,FALSE)+VLOOKUP($E83,'集計F-15'!$E$9:$AF$90,'集計F-15'!$Q$7-$D$7,FALSE)-$T83</f>
        <v>0</v>
      </c>
      <c r="R83" s="345"/>
      <c r="S83" s="175">
        <f>SUMIF(請求Data!$F$11:$F$160,CONCATENATE(VLOOKUP(P$5,$G$1:$H$4,2,FALSE),$E83,1,2),請求Data!$AF$11:$AF$160)</f>
        <v>0</v>
      </c>
      <c r="T83" s="177">
        <f>SUMIF(請求Data!$F$11:$F$160,CONCATENATE(VLOOKUP(P$5,$G$1:$H$4,2,FALSE),$E83,1,2),請求Data!$AG$11:$AG$160)</f>
        <v>0</v>
      </c>
      <c r="U83" s="345"/>
      <c r="V83" s="175">
        <f>VLOOKUP($E83,'集計16-E'!$E$9:$AF$90,'集計16-E'!$V$7-$D$7,0)+VLOOKUP($E83,'集計F-15'!$E$9:$AF$90,'集計F-15'!$V$7-$D$7,0)</f>
        <v>0</v>
      </c>
      <c r="W83" s="433">
        <f>VLOOKUP($E83,'集計16-E'!$E$9:$AF$90,'集計16-E'!$W$7-$D$7,0)+VLOOKUP($E83,'集計F-15'!$E$9:$AF$90,'集計F-15'!$W$7-$D$7,0)</f>
        <v>0</v>
      </c>
      <c r="X83" s="345"/>
      <c r="Y83" s="644">
        <f>VLOOKUP($E83,'集計16-E'!$E$9:AF$90,'集計16-E'!$Y$7-$D$7,0)+VLOOKUP($E83,'集計F-15'!$E$9:AF$90,'集計F-15'!$Y$7-$D$7,0)-$AB83</f>
        <v>0</v>
      </c>
      <c r="Z83" s="645">
        <f>VLOOKUP($E83,'集計16-E'!$E$9:AF$90,'集計16-E'!$Z$7-$D$7,0)+VLOOKUP($E83,'集計F-15'!$E$9:AF$90,'集計F-15'!$Z$7-$D$7,0)-$AC83</f>
        <v>0</v>
      </c>
      <c r="AA83" s="345"/>
      <c r="AB83" s="175">
        <f>SUMIF(請求Data!$F$11:$F$160,CONCATENATE(VLOOKUP(Y$5,$G$1:$H$4,2,FALSE),$E83,1,2),請求Data!$AF$11:$AF$160)</f>
        <v>0</v>
      </c>
      <c r="AC83" s="177">
        <f>SUMIF(請求Data!$F$11:$F$160,CONCATENATE(VLOOKUP(Y$5,$G$1:$H$4,2,FALSE),$E83,1,2),請求Data!$AG$11:$AG$160)</f>
        <v>0</v>
      </c>
      <c r="AD83" s="345"/>
      <c r="AE83" s="175">
        <f>VLOOKUP($E83,'集計16-E'!$E$9:AF$90,'集計16-E'!$AE$7-$D$7,0)+VLOOKUP($E83,'集計F-15'!$E$9:AF$90,'集計F-15'!$AE$7-$D$7,0)</f>
        <v>0</v>
      </c>
      <c r="AF83" s="433">
        <f>VLOOKUP($E83,'集計16-E'!$E$9:AF$90,'集計16-E'!$AF$7-$D$7,0)+VLOOKUP($E83,'集計F-15'!$E$9:AF$90,'集計F-15'!$AF$7-$D$7,0)</f>
        <v>0</v>
      </c>
    </row>
    <row r="84" spans="1:32">
      <c r="A84" s="474" t="str">
        <f>IF(SUMIFS($G84:$AF84,$G$8:$AF$8,"金額",$G84:$AF84,"&gt;0")-SUMIFS($G84:$AF84,$G$8:$AF$8,"金額",$G84:$AF84,"&lt;0")&lt;=0,"",MAX($A$8:$A83)+1)</f>
        <v/>
      </c>
      <c r="B84" s="802"/>
      <c r="C84" s="245" t="str">
        <f t="shared" si="2"/>
        <v>商品</v>
      </c>
      <c r="D84" s="245">
        <v>76</v>
      </c>
      <c r="E84" s="590" t="str">
        <f>IF($F84&lt;&gt;"",INDEX(ﾏｽﾀ!$D$8:$D$124,MATCH(INDEX(ﾏｽﾀ!$N$8:$N$124,MATCH($F84,ﾏｽﾀ!$O$8:$O$124,0)),ﾏｽﾀ!$B$8:$B$124,0))&amp;"","")</f>
        <v/>
      </c>
      <c r="F84" s="589" t="str">
        <f>ﾏｽﾀ!$R83&amp;""</f>
        <v/>
      </c>
      <c r="G84" s="632">
        <f>VLOOKUP($E84,'集計16-E'!$E$9:$AF$90,'集計16-E'!$G$7-$D$7,FALSE)+VLOOKUP($E84,'集計F-15'!$E$9:$AF$90,'集計F-15'!$G$7-$D$7,FALSE)-INDEX($J$9:$J$90,MATCH($E84,$E$9:$E$90,0))</f>
        <v>0</v>
      </c>
      <c r="H84" s="633">
        <f>VLOOKUP($E84,'集計16-E'!$E$9:$AF$90,'集計16-E'!$H$7-$D$7,FALSE)+VLOOKUP($E84,'集計F-15'!$E$9:$AF$90,'集計F-15'!$H$7-$D$7,FALSE)-INDEX($K$9:$K$90,MATCH($E84,$E$9:$E$90,0))</f>
        <v>0</v>
      </c>
      <c r="I84" s="345"/>
      <c r="J84" s="126">
        <f>SUMIF(請求Data!$F$11:$F$160,CONCATENATE(VLOOKUP(G$5,$G$1:$H$4,2,FALSE),$E84,1,2),請求Data!$AF$11:$AF$160)</f>
        <v>0</v>
      </c>
      <c r="K84" s="127">
        <f>SUMIF(請求Data!$F$11:$F$160,CONCATENATE(VLOOKUP(G$5,$G$1:$H$4,2,FALSE),$E84,1,2),請求Data!$AG$11:$AG$160)</f>
        <v>0</v>
      </c>
      <c r="L84" s="345"/>
      <c r="M84" s="175">
        <f>VLOOKUP($E84,'集計16-E'!$E$9:$AF$90,'集計16-E'!$M$7-$D$7,FALSE)+VLOOKUP($E84,'集計F-15'!$E$9:$AF$90,'集計F-15'!$M$7-$D$7,FALSE)</f>
        <v>0</v>
      </c>
      <c r="N84" s="432">
        <f>VLOOKUP($E84,'集計16-E'!$E$9:$AF$90,'集計16-E'!$N$7-$D$7,FALSE)+VLOOKUP($E84,'集計F-15'!$E$9:$AF$90,'集計F-15'!$N$7-$D$7,FALSE)</f>
        <v>0</v>
      </c>
      <c r="O84" s="345"/>
      <c r="P84" s="644">
        <f>VLOOKUP($E84,'集計16-E'!$E$9:$AF$90,'集計16-E'!$P$7-$D$7,FALSE)+VLOOKUP($E84,'集計F-15'!$E$9:$AF$90,'集計F-15'!$P$7-$D$7,FALSE)-$S84</f>
        <v>0</v>
      </c>
      <c r="Q84" s="645">
        <f>VLOOKUP($E84,'集計16-E'!$E$9:$AF$90,'集計16-E'!$Q$7-$D$7,FALSE)+VLOOKUP($E84,'集計F-15'!$E$9:$AF$90,'集計F-15'!$Q$7-$D$7,FALSE)-$T84</f>
        <v>0</v>
      </c>
      <c r="R84" s="345"/>
      <c r="S84" s="175">
        <f>SUMIF(請求Data!$F$11:$F$160,CONCATENATE(VLOOKUP(P$5,$G$1:$H$4,2,FALSE),$E84,1,2),請求Data!$AF$11:$AF$160)</f>
        <v>0</v>
      </c>
      <c r="T84" s="177">
        <f>SUMIF(請求Data!$F$11:$F$160,CONCATENATE(VLOOKUP(P$5,$G$1:$H$4,2,FALSE),$E84,1,2),請求Data!$AG$11:$AG$160)</f>
        <v>0</v>
      </c>
      <c r="U84" s="345"/>
      <c r="V84" s="175">
        <f>VLOOKUP($E84,'集計16-E'!$E$9:$AF$90,'集計16-E'!$V$7-$D$7,0)+VLOOKUP($E84,'集計F-15'!$E$9:$AF$90,'集計F-15'!$V$7-$D$7,0)</f>
        <v>0</v>
      </c>
      <c r="W84" s="433">
        <f>VLOOKUP($E84,'集計16-E'!$E$9:$AF$90,'集計16-E'!$W$7-$D$7,0)+VLOOKUP($E84,'集計F-15'!$E$9:$AF$90,'集計F-15'!$W$7-$D$7,0)</f>
        <v>0</v>
      </c>
      <c r="X84" s="345"/>
      <c r="Y84" s="644">
        <f>VLOOKUP($E84,'集計16-E'!$E$9:AF$90,'集計16-E'!$Y$7-$D$7,0)+VLOOKUP($E84,'集計F-15'!$E$9:AF$90,'集計F-15'!$Y$7-$D$7,0)-$AB84</f>
        <v>0</v>
      </c>
      <c r="Z84" s="645">
        <f>VLOOKUP($E84,'集計16-E'!$E$9:AF$90,'集計16-E'!$Z$7-$D$7,0)+VLOOKUP($E84,'集計F-15'!$E$9:AF$90,'集計F-15'!$Z$7-$D$7,0)-$AC84</f>
        <v>0</v>
      </c>
      <c r="AA84" s="345"/>
      <c r="AB84" s="175">
        <f>SUMIF(請求Data!$F$11:$F$160,CONCATENATE(VLOOKUP(Y$5,$G$1:$H$4,2,FALSE),$E84,1,2),請求Data!$AF$11:$AF$160)</f>
        <v>0</v>
      </c>
      <c r="AC84" s="177">
        <f>SUMIF(請求Data!$F$11:$F$160,CONCATENATE(VLOOKUP(Y$5,$G$1:$H$4,2,FALSE),$E84,1,2),請求Data!$AG$11:$AG$160)</f>
        <v>0</v>
      </c>
      <c r="AD84" s="345"/>
      <c r="AE84" s="175">
        <f>VLOOKUP($E84,'集計16-E'!$E$9:AF$90,'集計16-E'!$AE$7-$D$7,0)+VLOOKUP($E84,'集計F-15'!$E$9:AF$90,'集計F-15'!$AE$7-$D$7,0)</f>
        <v>0</v>
      </c>
      <c r="AF84" s="433">
        <f>VLOOKUP($E84,'集計16-E'!$E$9:AF$90,'集計16-E'!$AF$7-$D$7,0)+VLOOKUP($E84,'集計F-15'!$E$9:AF$90,'集計F-15'!$AF$7-$D$7,0)</f>
        <v>0</v>
      </c>
    </row>
    <row r="85" spans="1:32">
      <c r="A85" s="474" t="str">
        <f>IF(SUMIFS($G85:$AF85,$G$8:$AF$8,"金額",$G85:$AF85,"&gt;0")-SUMIFS($G85:$AF85,$G$8:$AF$8,"金額",$G85:$AF85,"&lt;0")&lt;=0,"",MAX($A$8:$A84)+1)</f>
        <v/>
      </c>
      <c r="B85" s="802"/>
      <c r="C85" s="245" t="str">
        <f t="shared" si="2"/>
        <v>商品</v>
      </c>
      <c r="D85" s="245">
        <v>77</v>
      </c>
      <c r="E85" s="590" t="str">
        <f>IF($F85&lt;&gt;"",INDEX(ﾏｽﾀ!$D$8:$D$124,MATCH(INDEX(ﾏｽﾀ!$N$8:$N$124,MATCH($F85,ﾏｽﾀ!$O$8:$O$124,0)),ﾏｽﾀ!$B$8:$B$124,0))&amp;"","")</f>
        <v/>
      </c>
      <c r="F85" s="589" t="str">
        <f>ﾏｽﾀ!$R84&amp;""</f>
        <v/>
      </c>
      <c r="G85" s="632">
        <f>VLOOKUP($E85,'集計16-E'!$E$9:$AF$90,'集計16-E'!$G$7-$D$7,FALSE)+VLOOKUP($E85,'集計F-15'!$E$9:$AF$90,'集計F-15'!$G$7-$D$7,FALSE)-INDEX($J$9:$J$90,MATCH($E85,$E$9:$E$90,0))</f>
        <v>0</v>
      </c>
      <c r="H85" s="633">
        <f>VLOOKUP($E85,'集計16-E'!$E$9:$AF$90,'集計16-E'!$H$7-$D$7,FALSE)+VLOOKUP($E85,'集計F-15'!$E$9:$AF$90,'集計F-15'!$H$7-$D$7,FALSE)-INDEX($K$9:$K$90,MATCH($E85,$E$9:$E$90,0))</f>
        <v>0</v>
      </c>
      <c r="I85" s="345"/>
      <c r="J85" s="126">
        <f>SUMIF(請求Data!$F$11:$F$160,CONCATENATE(VLOOKUP(G$5,$G$1:$H$4,2,FALSE),$E85,1,2),請求Data!$AF$11:$AF$160)</f>
        <v>0</v>
      </c>
      <c r="K85" s="127">
        <f>SUMIF(請求Data!$F$11:$F$160,CONCATENATE(VLOOKUP(G$5,$G$1:$H$4,2,FALSE),$E85,1,2),請求Data!$AG$11:$AG$160)</f>
        <v>0</v>
      </c>
      <c r="L85" s="345"/>
      <c r="M85" s="175">
        <f>VLOOKUP($E85,'集計16-E'!$E$9:$AF$90,'集計16-E'!$M$7-$D$7,FALSE)+VLOOKUP($E85,'集計F-15'!$E$9:$AF$90,'集計F-15'!$M$7-$D$7,FALSE)</f>
        <v>0</v>
      </c>
      <c r="N85" s="432">
        <f>VLOOKUP($E85,'集計16-E'!$E$9:$AF$90,'集計16-E'!$N$7-$D$7,FALSE)+VLOOKUP($E85,'集計F-15'!$E$9:$AF$90,'集計F-15'!$N$7-$D$7,FALSE)</f>
        <v>0</v>
      </c>
      <c r="O85" s="345"/>
      <c r="P85" s="644">
        <f>VLOOKUP($E85,'集計16-E'!$E$9:$AF$90,'集計16-E'!$P$7-$D$7,FALSE)+VLOOKUP($E85,'集計F-15'!$E$9:$AF$90,'集計F-15'!$P$7-$D$7,FALSE)-$S85</f>
        <v>0</v>
      </c>
      <c r="Q85" s="645">
        <f>VLOOKUP($E85,'集計16-E'!$E$9:$AF$90,'集計16-E'!$Q$7-$D$7,FALSE)+VLOOKUP($E85,'集計F-15'!$E$9:$AF$90,'集計F-15'!$Q$7-$D$7,FALSE)-$T85</f>
        <v>0</v>
      </c>
      <c r="R85" s="345"/>
      <c r="S85" s="175">
        <f>SUMIF(請求Data!$F$11:$F$160,CONCATENATE(VLOOKUP(P$5,$G$1:$H$4,2,FALSE),$E85,1,2),請求Data!$AF$11:$AF$160)</f>
        <v>0</v>
      </c>
      <c r="T85" s="177">
        <f>SUMIF(請求Data!$F$11:$F$160,CONCATENATE(VLOOKUP(P$5,$G$1:$H$4,2,FALSE),$E85,1,2),請求Data!$AG$11:$AG$160)</f>
        <v>0</v>
      </c>
      <c r="U85" s="345"/>
      <c r="V85" s="175">
        <f>VLOOKUP($E85,'集計16-E'!$E$9:$AF$90,'集計16-E'!$V$7-$D$7,0)+VLOOKUP($E85,'集計F-15'!$E$9:$AF$90,'集計F-15'!$V$7-$D$7,0)</f>
        <v>0</v>
      </c>
      <c r="W85" s="433">
        <f>VLOOKUP($E85,'集計16-E'!$E$9:$AF$90,'集計16-E'!$W$7-$D$7,0)+VLOOKUP($E85,'集計F-15'!$E$9:$AF$90,'集計F-15'!$W$7-$D$7,0)</f>
        <v>0</v>
      </c>
      <c r="X85" s="345"/>
      <c r="Y85" s="644">
        <f>VLOOKUP($E85,'集計16-E'!$E$9:AF$90,'集計16-E'!$Y$7-$D$7,0)+VLOOKUP($E85,'集計F-15'!$E$9:AF$90,'集計F-15'!$Y$7-$D$7,0)-$AB85</f>
        <v>0</v>
      </c>
      <c r="Z85" s="645">
        <f>VLOOKUP($E85,'集計16-E'!$E$9:AF$90,'集計16-E'!$Z$7-$D$7,0)+VLOOKUP($E85,'集計F-15'!$E$9:AF$90,'集計F-15'!$Z$7-$D$7,0)-$AC85</f>
        <v>0</v>
      </c>
      <c r="AA85" s="345"/>
      <c r="AB85" s="175">
        <f>SUMIF(請求Data!$F$11:$F$160,CONCATENATE(VLOOKUP(Y$5,$G$1:$H$4,2,FALSE),$E85,1,2),請求Data!$AF$11:$AF$160)</f>
        <v>0</v>
      </c>
      <c r="AC85" s="177">
        <f>SUMIF(請求Data!$F$11:$F$160,CONCATENATE(VLOOKUP(Y$5,$G$1:$H$4,2,FALSE),$E85,1,2),請求Data!$AG$11:$AG$160)</f>
        <v>0</v>
      </c>
      <c r="AD85" s="345"/>
      <c r="AE85" s="175">
        <f>VLOOKUP($E85,'集計16-E'!$E$9:AF$90,'集計16-E'!$AE$7-$D$7,0)+VLOOKUP($E85,'集計F-15'!$E$9:AF$90,'集計F-15'!$AE$7-$D$7,0)</f>
        <v>0</v>
      </c>
      <c r="AF85" s="433">
        <f>VLOOKUP($E85,'集計16-E'!$E$9:AF$90,'集計16-E'!$AF$7-$D$7,0)+VLOOKUP($E85,'集計F-15'!$E$9:AF$90,'集計F-15'!$AF$7-$D$7,0)</f>
        <v>0</v>
      </c>
    </row>
    <row r="86" spans="1:32">
      <c r="A86" s="474" t="str">
        <f>IF(SUMIFS($G86:$AF86,$G$8:$AF$8,"金額",$G86:$AF86,"&gt;0")-SUMIFS($G86:$AF86,$G$8:$AF$8,"金額",$G86:$AF86,"&lt;0")&lt;=0,"",MAX($A$8:$A85)+1)</f>
        <v/>
      </c>
      <c r="B86" s="802"/>
      <c r="C86" s="245" t="str">
        <f t="shared" si="2"/>
        <v>商品</v>
      </c>
      <c r="D86" s="245">
        <v>78</v>
      </c>
      <c r="E86" s="590" t="str">
        <f>IF($F86&lt;&gt;"",INDEX(ﾏｽﾀ!$D$8:$D$124,MATCH(INDEX(ﾏｽﾀ!$N$8:$N$124,MATCH($F86,ﾏｽﾀ!$O$8:$O$124,0)),ﾏｽﾀ!$B$8:$B$124,0))&amp;"","")</f>
        <v/>
      </c>
      <c r="F86" s="589" t="str">
        <f>ﾏｽﾀ!$R85&amp;""</f>
        <v/>
      </c>
      <c r="G86" s="632">
        <f>VLOOKUP($E86,'集計16-E'!$E$9:$AF$90,'集計16-E'!$G$7-$D$7,FALSE)+VLOOKUP($E86,'集計F-15'!$E$9:$AF$90,'集計F-15'!$G$7-$D$7,FALSE)-INDEX($J$9:$J$90,MATCH($E86,$E$9:$E$90,0))</f>
        <v>0</v>
      </c>
      <c r="H86" s="633">
        <f>VLOOKUP($E86,'集計16-E'!$E$9:$AF$90,'集計16-E'!$H$7-$D$7,FALSE)+VLOOKUP($E86,'集計F-15'!$E$9:$AF$90,'集計F-15'!$H$7-$D$7,FALSE)-INDEX($K$9:$K$90,MATCH($E86,$E$9:$E$90,0))</f>
        <v>0</v>
      </c>
      <c r="I86" s="345"/>
      <c r="J86" s="126">
        <f>SUMIF(請求Data!$F$11:$F$160,CONCATENATE(VLOOKUP(G$5,$G$1:$H$4,2,FALSE),$E86,1,2),請求Data!$AF$11:$AF$160)</f>
        <v>0</v>
      </c>
      <c r="K86" s="127">
        <f>SUMIF(請求Data!$F$11:$F$160,CONCATENATE(VLOOKUP(G$5,$G$1:$H$4,2,FALSE),$E86,1,2),請求Data!$AG$11:$AG$160)</f>
        <v>0</v>
      </c>
      <c r="L86" s="345"/>
      <c r="M86" s="175">
        <f>VLOOKUP($E86,'集計16-E'!$E$9:$AF$90,'集計16-E'!$M$7-$D$7,FALSE)+VLOOKUP($E86,'集計F-15'!$E$9:$AF$90,'集計F-15'!$M$7-$D$7,FALSE)</f>
        <v>0</v>
      </c>
      <c r="N86" s="432">
        <f>VLOOKUP($E86,'集計16-E'!$E$9:$AF$90,'集計16-E'!$N$7-$D$7,FALSE)+VLOOKUP($E86,'集計F-15'!$E$9:$AF$90,'集計F-15'!$N$7-$D$7,FALSE)</f>
        <v>0</v>
      </c>
      <c r="O86" s="345"/>
      <c r="P86" s="644">
        <f>VLOOKUP($E86,'集計16-E'!$E$9:$AF$90,'集計16-E'!$P$7-$D$7,FALSE)+VLOOKUP($E86,'集計F-15'!$E$9:$AF$90,'集計F-15'!$P$7-$D$7,FALSE)-$S86</f>
        <v>0</v>
      </c>
      <c r="Q86" s="645">
        <f>VLOOKUP($E86,'集計16-E'!$E$9:$AF$90,'集計16-E'!$Q$7-$D$7,FALSE)+VLOOKUP($E86,'集計F-15'!$E$9:$AF$90,'集計F-15'!$Q$7-$D$7,FALSE)-$T86</f>
        <v>0</v>
      </c>
      <c r="R86" s="345"/>
      <c r="S86" s="175">
        <f>SUMIF(請求Data!$F$11:$F$160,CONCATENATE(VLOOKUP(P$5,$G$1:$H$4,2,FALSE),$E86,1,2),請求Data!$AF$11:$AF$160)</f>
        <v>0</v>
      </c>
      <c r="T86" s="177">
        <f>SUMIF(請求Data!$F$11:$F$160,CONCATENATE(VLOOKUP(P$5,$G$1:$H$4,2,FALSE),$E86,1,2),請求Data!$AG$11:$AG$160)</f>
        <v>0</v>
      </c>
      <c r="U86" s="345"/>
      <c r="V86" s="175">
        <f>VLOOKUP($E86,'集計16-E'!$E$9:$AF$90,'集計16-E'!$V$7-$D$7,0)+VLOOKUP($E86,'集計F-15'!$E$9:$AF$90,'集計F-15'!$V$7-$D$7,0)</f>
        <v>0</v>
      </c>
      <c r="W86" s="433">
        <f>VLOOKUP($E86,'集計16-E'!$E$9:$AF$90,'集計16-E'!$W$7-$D$7,0)+VLOOKUP($E86,'集計F-15'!$E$9:$AF$90,'集計F-15'!$W$7-$D$7,0)</f>
        <v>0</v>
      </c>
      <c r="X86" s="345"/>
      <c r="Y86" s="644">
        <f>VLOOKUP($E86,'集計16-E'!$E$9:AF$90,'集計16-E'!$Y$7-$D$7,0)+VLOOKUP($E86,'集計F-15'!$E$9:AF$90,'集計F-15'!$Y$7-$D$7,0)-$AB86</f>
        <v>0</v>
      </c>
      <c r="Z86" s="645">
        <f>VLOOKUP($E86,'集計16-E'!$E$9:AF$90,'集計16-E'!$Z$7-$D$7,0)+VLOOKUP($E86,'集計F-15'!$E$9:AF$90,'集計F-15'!$Z$7-$D$7,0)-$AC86</f>
        <v>0</v>
      </c>
      <c r="AA86" s="345"/>
      <c r="AB86" s="175">
        <f>SUMIF(請求Data!$F$11:$F$160,CONCATENATE(VLOOKUP(Y$5,$G$1:$H$4,2,FALSE),$E86,1,2),請求Data!$AF$11:$AF$160)</f>
        <v>0</v>
      </c>
      <c r="AC86" s="177">
        <f>SUMIF(請求Data!$F$11:$F$160,CONCATENATE(VLOOKUP(Y$5,$G$1:$H$4,2,FALSE),$E86,1,2),請求Data!$AG$11:$AG$160)</f>
        <v>0</v>
      </c>
      <c r="AD86" s="345"/>
      <c r="AE86" s="175">
        <f>VLOOKUP($E86,'集計16-E'!$E$9:AF$90,'集計16-E'!$AE$7-$D$7,0)+VLOOKUP($E86,'集計F-15'!$E$9:AF$90,'集計F-15'!$AE$7-$D$7,0)</f>
        <v>0</v>
      </c>
      <c r="AF86" s="433">
        <f>VLOOKUP($E86,'集計16-E'!$E$9:AF$90,'集計16-E'!$AF$7-$D$7,0)+VLOOKUP($E86,'集計F-15'!$E$9:AF$90,'集計F-15'!$AF$7-$D$7,0)</f>
        <v>0</v>
      </c>
    </row>
    <row r="87" spans="1:32">
      <c r="A87" s="474" t="str">
        <f>IF(SUMIFS($G87:$AF87,$G$8:$AF$8,"金額",$G87:$AF87,"&gt;0")-SUMIFS($G87:$AF87,$G$8:$AF$8,"金額",$G87:$AF87,"&lt;0")&lt;=0,"",MAX($A$8:$A86)+1)</f>
        <v/>
      </c>
      <c r="B87" s="802"/>
      <c r="C87" s="245" t="str">
        <f t="shared" si="2"/>
        <v>商品</v>
      </c>
      <c r="D87" s="245">
        <v>79</v>
      </c>
      <c r="E87" s="590" t="str">
        <f>IF($F87&lt;&gt;"",INDEX(ﾏｽﾀ!$D$8:$D$124,MATCH(INDEX(ﾏｽﾀ!$N$8:$N$124,MATCH($F87,ﾏｽﾀ!$O$8:$O$124,0)),ﾏｽﾀ!$B$8:$B$124,0))&amp;"","")</f>
        <v/>
      </c>
      <c r="F87" s="589" t="str">
        <f>ﾏｽﾀ!$R86&amp;""</f>
        <v/>
      </c>
      <c r="G87" s="632">
        <f>VLOOKUP($E87,'集計16-E'!$E$9:$AF$90,'集計16-E'!$G$7-$D$7,FALSE)+VLOOKUP($E87,'集計F-15'!$E$9:$AF$90,'集計F-15'!$G$7-$D$7,FALSE)-INDEX($J$9:$J$90,MATCH($E87,$E$9:$E$90,0))</f>
        <v>0</v>
      </c>
      <c r="H87" s="633">
        <f>VLOOKUP($E87,'集計16-E'!$E$9:$AF$90,'集計16-E'!$H$7-$D$7,FALSE)+VLOOKUP($E87,'集計F-15'!$E$9:$AF$90,'集計F-15'!$H$7-$D$7,FALSE)-INDEX($K$9:$K$90,MATCH($E87,$E$9:$E$90,0))</f>
        <v>0</v>
      </c>
      <c r="I87" s="345"/>
      <c r="J87" s="126">
        <f>SUMIF(請求Data!$F$11:$F$160,CONCATENATE(VLOOKUP(G$5,$G$1:$H$4,2,FALSE),$E87,1,2),請求Data!$AF$11:$AF$160)</f>
        <v>0</v>
      </c>
      <c r="K87" s="127">
        <f>SUMIF(請求Data!$F$11:$F$160,CONCATENATE(VLOOKUP(G$5,$G$1:$H$4,2,FALSE),$E87,1,2),請求Data!$AG$11:$AG$160)</f>
        <v>0</v>
      </c>
      <c r="L87" s="345"/>
      <c r="M87" s="175">
        <f>VLOOKUP($E87,'集計16-E'!$E$9:$AF$90,'集計16-E'!$M$7-$D$7,FALSE)+VLOOKUP($E87,'集計F-15'!$E$9:$AF$90,'集計F-15'!$M$7-$D$7,FALSE)</f>
        <v>0</v>
      </c>
      <c r="N87" s="432">
        <f>VLOOKUP($E87,'集計16-E'!$E$9:$AF$90,'集計16-E'!$N$7-$D$7,FALSE)+VLOOKUP($E87,'集計F-15'!$E$9:$AF$90,'集計F-15'!$N$7-$D$7,FALSE)</f>
        <v>0</v>
      </c>
      <c r="O87" s="345"/>
      <c r="P87" s="644">
        <f>VLOOKUP($E87,'集計16-E'!$E$9:$AF$90,'集計16-E'!$P$7-$D$7,FALSE)+VLOOKUP($E87,'集計F-15'!$E$9:$AF$90,'集計F-15'!$P$7-$D$7,FALSE)-$S87</f>
        <v>0</v>
      </c>
      <c r="Q87" s="645">
        <f>VLOOKUP($E87,'集計16-E'!$E$9:$AF$90,'集計16-E'!$Q$7-$D$7,FALSE)+VLOOKUP($E87,'集計F-15'!$E$9:$AF$90,'集計F-15'!$Q$7-$D$7,FALSE)-$T87</f>
        <v>0</v>
      </c>
      <c r="R87" s="345"/>
      <c r="S87" s="175">
        <f>SUMIF(請求Data!$F$11:$F$160,CONCATENATE(VLOOKUP(P$5,$G$1:$H$4,2,FALSE),$E87,1,2),請求Data!$AF$11:$AF$160)</f>
        <v>0</v>
      </c>
      <c r="T87" s="177">
        <f>SUMIF(請求Data!$F$11:$F$160,CONCATENATE(VLOOKUP(P$5,$G$1:$H$4,2,FALSE),$E87,1,2),請求Data!$AG$11:$AG$160)</f>
        <v>0</v>
      </c>
      <c r="U87" s="345"/>
      <c r="V87" s="175">
        <f>VLOOKUP($E87,'集計16-E'!$E$9:$AF$90,'集計16-E'!$V$7-$D$7,0)+VLOOKUP($E87,'集計F-15'!$E$9:$AF$90,'集計F-15'!$V$7-$D$7,0)</f>
        <v>0</v>
      </c>
      <c r="W87" s="433">
        <f>VLOOKUP($E87,'集計16-E'!$E$9:$AF$90,'集計16-E'!$W$7-$D$7,0)+VLOOKUP($E87,'集計F-15'!$E$9:$AF$90,'集計F-15'!$W$7-$D$7,0)</f>
        <v>0</v>
      </c>
      <c r="X87" s="345"/>
      <c r="Y87" s="644">
        <f>VLOOKUP($E87,'集計16-E'!$E$9:AF$90,'集計16-E'!$Y$7-$D$7,0)+VLOOKUP($E87,'集計F-15'!$E$9:AF$90,'集計F-15'!$Y$7-$D$7,0)-$AB87</f>
        <v>0</v>
      </c>
      <c r="Z87" s="645">
        <f>VLOOKUP($E87,'集計16-E'!$E$9:AF$90,'集計16-E'!$Z$7-$D$7,0)+VLOOKUP($E87,'集計F-15'!$E$9:AF$90,'集計F-15'!$Z$7-$D$7,0)-$AC87</f>
        <v>0</v>
      </c>
      <c r="AA87" s="345"/>
      <c r="AB87" s="175">
        <f>SUMIF(請求Data!$F$11:$F$160,CONCATENATE(VLOOKUP(Y$5,$G$1:$H$4,2,FALSE),$E87,1,2),請求Data!$AF$11:$AF$160)</f>
        <v>0</v>
      </c>
      <c r="AC87" s="177">
        <f>SUMIF(請求Data!$F$11:$F$160,CONCATENATE(VLOOKUP(Y$5,$G$1:$H$4,2,FALSE),$E87,1,2),請求Data!$AG$11:$AG$160)</f>
        <v>0</v>
      </c>
      <c r="AD87" s="345"/>
      <c r="AE87" s="175">
        <f>VLOOKUP($E87,'集計16-E'!$E$9:AF$90,'集計16-E'!$AE$7-$D$7,0)+VLOOKUP($E87,'集計F-15'!$E$9:AF$90,'集計F-15'!$AE$7-$D$7,0)</f>
        <v>0</v>
      </c>
      <c r="AF87" s="433">
        <f>VLOOKUP($E87,'集計16-E'!$E$9:AF$90,'集計16-E'!$AF$7-$D$7,0)+VLOOKUP($E87,'集計F-15'!$E$9:AF$90,'集計F-15'!$AF$7-$D$7,0)</f>
        <v>0</v>
      </c>
    </row>
    <row r="88" spans="1:32">
      <c r="A88" s="474" t="str">
        <f>IF(SUMIFS($G88:$AF88,$G$8:$AF$8,"金額",$G88:$AF88,"&gt;0")-SUMIFS($G88:$AF88,$G$8:$AF$8,"金額",$G88:$AF88,"&lt;0")&lt;=0,"",MAX($A$8:$A87)+1)</f>
        <v/>
      </c>
      <c r="B88" s="802"/>
      <c r="C88" s="245" t="str">
        <f t="shared" si="2"/>
        <v>商品</v>
      </c>
      <c r="D88" s="245">
        <v>80</v>
      </c>
      <c r="E88" s="590" t="str">
        <f>IF($F88&lt;&gt;"",INDEX(ﾏｽﾀ!$D$8:$D$124,MATCH(INDEX(ﾏｽﾀ!$N$8:$N$124,MATCH($F88,ﾏｽﾀ!$O$8:$O$124,0)),ﾏｽﾀ!$B$8:$B$124,0))&amp;"","")</f>
        <v/>
      </c>
      <c r="F88" s="589" t="str">
        <f>ﾏｽﾀ!$R87&amp;""</f>
        <v/>
      </c>
      <c r="G88" s="632">
        <f>VLOOKUP($E88,'集計16-E'!$E$9:$AF$90,'集計16-E'!$G$7-$D$7,FALSE)+VLOOKUP($E88,'集計F-15'!$E$9:$AF$90,'集計F-15'!$G$7-$D$7,FALSE)-INDEX($J$9:$J$90,MATCH($E88,$E$9:$E$90,0))</f>
        <v>0</v>
      </c>
      <c r="H88" s="633">
        <f>VLOOKUP($E88,'集計16-E'!$E$9:$AF$90,'集計16-E'!$H$7-$D$7,FALSE)+VLOOKUP($E88,'集計F-15'!$E$9:$AF$90,'集計F-15'!$H$7-$D$7,FALSE)-INDEX($K$9:$K$90,MATCH($E88,$E$9:$E$90,0))</f>
        <v>0</v>
      </c>
      <c r="I88" s="345"/>
      <c r="J88" s="126">
        <f>SUMIF(請求Data!$F$11:$F$160,CONCATENATE(VLOOKUP(G$5,$G$1:$H$4,2,FALSE),$E88,1,2),請求Data!$AF$11:$AF$160)</f>
        <v>0</v>
      </c>
      <c r="K88" s="127">
        <f>SUMIF(請求Data!$F$11:$F$160,CONCATENATE(VLOOKUP(G$5,$G$1:$H$4,2,FALSE),$E88,1,2),請求Data!$AG$11:$AG$160)</f>
        <v>0</v>
      </c>
      <c r="L88" s="345"/>
      <c r="M88" s="175">
        <f>VLOOKUP($E88,'集計16-E'!$E$9:$AF$90,'集計16-E'!$M$7-$D$7,FALSE)+VLOOKUP($E88,'集計F-15'!$E$9:$AF$90,'集計F-15'!$M$7-$D$7,FALSE)</f>
        <v>0</v>
      </c>
      <c r="N88" s="432">
        <f>VLOOKUP($E88,'集計16-E'!$E$9:$AF$90,'集計16-E'!$N$7-$D$7,FALSE)+VLOOKUP($E88,'集計F-15'!$E$9:$AF$90,'集計F-15'!$N$7-$D$7,FALSE)</f>
        <v>0</v>
      </c>
      <c r="O88" s="345"/>
      <c r="P88" s="644">
        <f>VLOOKUP($E88,'集計16-E'!$E$9:$AF$90,'集計16-E'!$P$7-$D$7,FALSE)+VLOOKUP($E88,'集計F-15'!$E$9:$AF$90,'集計F-15'!$P$7-$D$7,FALSE)-$S88</f>
        <v>0</v>
      </c>
      <c r="Q88" s="645">
        <f>VLOOKUP($E88,'集計16-E'!$E$9:$AF$90,'集計16-E'!$Q$7-$D$7,FALSE)+VLOOKUP($E88,'集計F-15'!$E$9:$AF$90,'集計F-15'!$Q$7-$D$7,FALSE)-$T88</f>
        <v>0</v>
      </c>
      <c r="R88" s="345"/>
      <c r="S88" s="175">
        <f>SUMIF(請求Data!$F$11:$F$160,CONCATENATE(VLOOKUP(P$5,$G$1:$H$4,2,FALSE),$E88,1,2),請求Data!$AF$11:$AF$160)</f>
        <v>0</v>
      </c>
      <c r="T88" s="177">
        <f>SUMIF(請求Data!$F$11:$F$160,CONCATENATE(VLOOKUP(P$5,$G$1:$H$4,2,FALSE),$E88,1,2),請求Data!$AG$11:$AG$160)</f>
        <v>0</v>
      </c>
      <c r="U88" s="345"/>
      <c r="V88" s="175">
        <f>VLOOKUP($E88,'集計16-E'!$E$9:$AF$90,'集計16-E'!$V$7-$D$7,0)+VLOOKUP($E88,'集計F-15'!$E$9:$AF$90,'集計F-15'!$V$7-$D$7,0)</f>
        <v>0</v>
      </c>
      <c r="W88" s="433">
        <f>VLOOKUP($E88,'集計16-E'!$E$9:$AF$90,'集計16-E'!$W$7-$D$7,0)+VLOOKUP($E88,'集計F-15'!$E$9:$AF$90,'集計F-15'!$W$7-$D$7,0)</f>
        <v>0</v>
      </c>
      <c r="X88" s="345"/>
      <c r="Y88" s="644">
        <f>VLOOKUP($E88,'集計16-E'!$E$9:AF$90,'集計16-E'!$Y$7-$D$7,0)+VLOOKUP($E88,'集計F-15'!$E$9:AF$90,'集計F-15'!$Y$7-$D$7,0)-$AB88</f>
        <v>0</v>
      </c>
      <c r="Z88" s="645">
        <f>VLOOKUP($E88,'集計16-E'!$E$9:AF$90,'集計16-E'!$Z$7-$D$7,0)+VLOOKUP($E88,'集計F-15'!$E$9:AF$90,'集計F-15'!$Z$7-$D$7,0)-$AC88</f>
        <v>0</v>
      </c>
      <c r="AA88" s="345"/>
      <c r="AB88" s="175">
        <f>SUMIF(請求Data!$F$11:$F$160,CONCATENATE(VLOOKUP(Y$5,$G$1:$H$4,2,FALSE),$E88,1,2),請求Data!$AF$11:$AF$160)</f>
        <v>0</v>
      </c>
      <c r="AC88" s="177">
        <f>SUMIF(請求Data!$F$11:$F$160,CONCATENATE(VLOOKUP(Y$5,$G$1:$H$4,2,FALSE),$E88,1,2),請求Data!$AG$11:$AG$160)</f>
        <v>0</v>
      </c>
      <c r="AD88" s="345"/>
      <c r="AE88" s="175">
        <f>VLOOKUP($E88,'集計16-E'!$E$9:AF$90,'集計16-E'!$AE$7-$D$7,0)+VLOOKUP($E88,'集計F-15'!$E$9:AF$90,'集計F-15'!$AE$7-$D$7,0)</f>
        <v>0</v>
      </c>
      <c r="AF88" s="433">
        <f>VLOOKUP($E88,'集計16-E'!$E$9:AF$90,'集計16-E'!$AF$7-$D$7,0)+VLOOKUP($E88,'集計F-15'!$E$9:AF$90,'集計F-15'!$AF$7-$D$7,0)</f>
        <v>0</v>
      </c>
    </row>
    <row r="89" spans="1:32">
      <c r="A89" s="474" t="str">
        <f>IF(SUMIFS($G89:$AF89,$G$8:$AF$8,"金額",$G89:$AF89,"&gt;0")-SUMIFS($G89:$AF89,$G$8:$AF$8,"金額",$G89:$AF89,"&lt;0")&lt;=0,"",MAX($A$8:$A88)+1)</f>
        <v/>
      </c>
      <c r="B89" s="802"/>
      <c r="C89" s="245" t="str">
        <f t="shared" si="2"/>
        <v>商品</v>
      </c>
      <c r="D89" s="245">
        <v>81</v>
      </c>
      <c r="E89" s="590" t="str">
        <f>IF($F89&lt;&gt;"",INDEX(ﾏｽﾀ!$D$8:$D$124,MATCH(INDEX(ﾏｽﾀ!$N$8:$N$124,MATCH($F89,ﾏｽﾀ!$O$8:$O$124,0)),ﾏｽﾀ!$B$8:$B$124,0))&amp;"","")</f>
        <v/>
      </c>
      <c r="F89" s="589" t="str">
        <f>ﾏｽﾀ!$R88&amp;""</f>
        <v/>
      </c>
      <c r="G89" s="632">
        <f>VLOOKUP($E89,'集計16-E'!$E$9:$AF$90,'集計16-E'!$G$7-$D$7,FALSE)+VLOOKUP($E89,'集計F-15'!$E$9:$AF$90,'集計F-15'!$G$7-$D$7,FALSE)-INDEX($J$9:$J$90,MATCH($E89,$E$9:$E$90,0))</f>
        <v>0</v>
      </c>
      <c r="H89" s="633">
        <f>VLOOKUP($E89,'集計16-E'!$E$9:$AF$90,'集計16-E'!$H$7-$D$7,FALSE)+VLOOKUP($E89,'集計F-15'!$E$9:$AF$90,'集計F-15'!$H$7-$D$7,FALSE)-INDEX($K$9:$K$90,MATCH($E89,$E$9:$E$90,0))</f>
        <v>0</v>
      </c>
      <c r="I89" s="345"/>
      <c r="J89" s="126">
        <f>SUMIF(請求Data!$F$11:$F$160,CONCATENATE(VLOOKUP(G$5,$G$1:$H$4,2,FALSE),$E89,1,2),請求Data!$AF$11:$AF$160)</f>
        <v>0</v>
      </c>
      <c r="K89" s="127">
        <f>SUMIF(請求Data!$F$11:$F$160,CONCATENATE(VLOOKUP(G$5,$G$1:$H$4,2,FALSE),$E89,1,2),請求Data!$AG$11:$AG$160)</f>
        <v>0</v>
      </c>
      <c r="L89" s="345"/>
      <c r="M89" s="175">
        <f>VLOOKUP($E89,'集計16-E'!$E$9:$AF$90,'集計16-E'!$M$7-$D$7,FALSE)+VLOOKUP($E89,'集計F-15'!$E$9:$AF$90,'集計F-15'!$M$7-$D$7,FALSE)</f>
        <v>0</v>
      </c>
      <c r="N89" s="432">
        <f>VLOOKUP($E89,'集計16-E'!$E$9:$AF$90,'集計16-E'!$N$7-$D$7,FALSE)+VLOOKUP($E89,'集計F-15'!$E$9:$AF$90,'集計F-15'!$N$7-$D$7,FALSE)</f>
        <v>0</v>
      </c>
      <c r="O89" s="345"/>
      <c r="P89" s="644">
        <f>VLOOKUP($E89,'集計16-E'!$E$9:$AF$90,'集計16-E'!$P$7-$D$7,FALSE)+VLOOKUP($E89,'集計F-15'!$E$9:$AF$90,'集計F-15'!$P$7-$D$7,FALSE)-$S89</f>
        <v>0</v>
      </c>
      <c r="Q89" s="645">
        <f>VLOOKUP($E89,'集計16-E'!$E$9:$AF$90,'集計16-E'!$Q$7-$D$7,FALSE)+VLOOKUP($E89,'集計F-15'!$E$9:$AF$90,'集計F-15'!$Q$7-$D$7,FALSE)-$T89</f>
        <v>0</v>
      </c>
      <c r="R89" s="345"/>
      <c r="S89" s="175">
        <f>SUMIF(請求Data!$F$11:$F$160,CONCATENATE(VLOOKUP(P$5,$G$1:$H$4,2,FALSE),$E89,1,2),請求Data!$AF$11:$AF$160)</f>
        <v>0</v>
      </c>
      <c r="T89" s="177">
        <f>SUMIF(請求Data!$F$11:$F$160,CONCATENATE(VLOOKUP(P$5,$G$1:$H$4,2,FALSE),$E89,1,2),請求Data!$AG$11:$AG$160)</f>
        <v>0</v>
      </c>
      <c r="U89" s="345"/>
      <c r="V89" s="175">
        <f>VLOOKUP($E89,'集計16-E'!$E$9:$AF$90,'集計16-E'!$V$7-$D$7,0)+VLOOKUP($E89,'集計F-15'!$E$9:$AF$90,'集計F-15'!$V$7-$D$7,0)</f>
        <v>0</v>
      </c>
      <c r="W89" s="433">
        <f>VLOOKUP($E89,'集計16-E'!$E$9:$AF$90,'集計16-E'!$W$7-$D$7,0)+VLOOKUP($E89,'集計F-15'!$E$9:$AF$90,'集計F-15'!$W$7-$D$7,0)</f>
        <v>0</v>
      </c>
      <c r="X89" s="345"/>
      <c r="Y89" s="644">
        <f>VLOOKUP($E89,'集計16-E'!$E$9:AF$90,'集計16-E'!$Y$7-$D$7,0)+VLOOKUP($E89,'集計F-15'!$E$9:AF$90,'集計F-15'!$Y$7-$D$7,0)-$AB89</f>
        <v>0</v>
      </c>
      <c r="Z89" s="645">
        <f>VLOOKUP($E89,'集計16-E'!$E$9:AF$90,'集計16-E'!$Z$7-$D$7,0)+VLOOKUP($E89,'集計F-15'!$E$9:AF$90,'集計F-15'!$Z$7-$D$7,0)-$AC89</f>
        <v>0</v>
      </c>
      <c r="AA89" s="345"/>
      <c r="AB89" s="175">
        <f>SUMIF(請求Data!$F$11:$F$160,CONCATENATE(VLOOKUP(Y$5,$G$1:$H$4,2,FALSE),$E89,1,2),請求Data!$AF$11:$AF$160)</f>
        <v>0</v>
      </c>
      <c r="AC89" s="177">
        <f>SUMIF(請求Data!$F$11:$F$160,CONCATENATE(VLOOKUP(Y$5,$G$1:$H$4,2,FALSE),$E89,1,2),請求Data!$AG$11:$AG$160)</f>
        <v>0</v>
      </c>
      <c r="AD89" s="345"/>
      <c r="AE89" s="175">
        <f>VLOOKUP($E89,'集計16-E'!$E$9:AF$90,'集計16-E'!$AE$7-$D$7,0)+VLOOKUP($E89,'集計F-15'!$E$9:AF$90,'集計F-15'!$AE$7-$D$7,0)</f>
        <v>0</v>
      </c>
      <c r="AF89" s="433">
        <f>VLOOKUP($E89,'集計16-E'!$E$9:AF$90,'集計16-E'!$AF$7-$D$7,0)+VLOOKUP($E89,'集計F-15'!$E$9:AF$90,'集計F-15'!$AF$7-$D$7,0)</f>
        <v>0</v>
      </c>
    </row>
    <row r="90" spans="1:32" ht="13.8" thickBot="1">
      <c r="A90" s="474" t="str">
        <f>IF(SUMIFS($G90:$AF90,$G$8:$AF$8,"金額",$G90:$AF90,"&gt;0")-SUMIFS($G90:$AF90,$G$8:$AF$8,"金額",$G90:$AF90,"&lt;0")&lt;=0,"",MAX($A$8:$A89)+1)</f>
        <v/>
      </c>
      <c r="B90" s="803"/>
      <c r="C90" s="245" t="str">
        <f t="shared" si="2"/>
        <v>商品</v>
      </c>
      <c r="D90" s="245">
        <v>82</v>
      </c>
      <c r="E90" s="590" t="str">
        <f>IF($F90&lt;&gt;"",INDEX(ﾏｽﾀ!$D$8:$D$124,MATCH(INDEX(ﾏｽﾀ!$N$8:$N$124,MATCH($F90,ﾏｽﾀ!$O$8:$O$124,0)),ﾏｽﾀ!$B$8:$B$124,0))&amp;"","")</f>
        <v/>
      </c>
      <c r="F90" s="589" t="str">
        <f>ﾏｽﾀ!$R89&amp;""</f>
        <v/>
      </c>
      <c r="G90" s="632">
        <f>VLOOKUP($E90,'集計16-E'!$E$9:$AF$90,'集計16-E'!$G$7-$D$7,FALSE)+VLOOKUP($E90,'集計F-15'!$E$9:$AF$90,'集計F-15'!$G$7-$D$7,FALSE)-INDEX($J$9:$J$90,MATCH($E90,$E$9:$E$90,0))</f>
        <v>0</v>
      </c>
      <c r="H90" s="633">
        <f>VLOOKUP($E90,'集計16-E'!$E$9:$AF$90,'集計16-E'!$H$7-$D$7,FALSE)+VLOOKUP($E90,'集計F-15'!$E$9:$AF$90,'集計F-15'!$H$7-$D$7,FALSE)-INDEX($K$9:$K$90,MATCH($E90,$E$9:$E$90,0))</f>
        <v>0</v>
      </c>
      <c r="I90" s="345"/>
      <c r="J90" s="126">
        <f>SUMIF(請求Data!$F$11:$F$160,CONCATENATE(VLOOKUP(G$5,$G$1:$H$4,2,FALSE),$E90,1,2),請求Data!$AF$11:$AF$160)</f>
        <v>0</v>
      </c>
      <c r="K90" s="127">
        <f>SUMIF(請求Data!$F$11:$F$160,CONCATENATE(VLOOKUP(G$5,$G$1:$H$4,2,FALSE),$E90,1,2),請求Data!$AG$11:$AG$160)</f>
        <v>0</v>
      </c>
      <c r="L90" s="345"/>
      <c r="M90" s="175">
        <f>VLOOKUP($E90,'集計16-E'!$E$9:$AF$90,'集計16-E'!$M$7-$D$7,FALSE)+VLOOKUP($E90,'集計F-15'!$E$9:$AF$90,'集計F-15'!$M$7-$D$7,FALSE)</f>
        <v>0</v>
      </c>
      <c r="N90" s="432">
        <f>VLOOKUP($E90,'集計16-E'!$E$9:$AF$90,'集計16-E'!$N$7-$D$7,FALSE)+VLOOKUP($E90,'集計F-15'!$E$9:$AF$90,'集計F-15'!$N$7-$D$7,FALSE)</f>
        <v>0</v>
      </c>
      <c r="O90" s="345"/>
      <c r="P90" s="644">
        <f>VLOOKUP($E90,'集計16-E'!$E$9:$AF$90,'集計16-E'!$P$7-$D$7,FALSE)+VLOOKUP($E90,'集計F-15'!$E$9:$AF$90,'集計F-15'!$P$7-$D$7,FALSE)-$S90</f>
        <v>0</v>
      </c>
      <c r="Q90" s="645">
        <f>VLOOKUP($E90,'集計16-E'!$E$9:$AF$90,'集計16-E'!$Q$7-$D$7,FALSE)+VLOOKUP($E90,'集計F-15'!$E$9:$AF$90,'集計F-15'!$Q$7-$D$7,FALSE)-$T90</f>
        <v>0</v>
      </c>
      <c r="R90" s="345"/>
      <c r="S90" s="175">
        <f>SUMIF(請求Data!$F$11:$F$160,CONCATENATE(VLOOKUP(P$5,$G$1:$H$4,2,FALSE),$E90,1,2),請求Data!$AF$11:$AF$160)</f>
        <v>0</v>
      </c>
      <c r="T90" s="177">
        <f>SUMIF(請求Data!$F$11:$F$160,CONCATENATE(VLOOKUP(P$5,$G$1:$H$4,2,FALSE),$E90,1,2),請求Data!$AG$11:$AG$160)</f>
        <v>0</v>
      </c>
      <c r="U90" s="345"/>
      <c r="V90" s="175">
        <f>VLOOKUP($E90,'集計16-E'!$E$9:$AF$90,'集計16-E'!$V$7-$D$7,0)+VLOOKUP($E90,'集計F-15'!$E$9:$AF$90,'集計F-15'!$V$7-$D$7,0)</f>
        <v>0</v>
      </c>
      <c r="W90" s="433">
        <f>VLOOKUP($E90,'集計16-E'!$E$9:$AF$90,'集計16-E'!$W$7-$D$7,0)+VLOOKUP($E90,'集計F-15'!$E$9:$AF$90,'集計F-15'!$W$7-$D$7,0)</f>
        <v>0</v>
      </c>
      <c r="X90" s="345"/>
      <c r="Y90" s="644">
        <f>VLOOKUP($E90,'集計16-E'!$E$9:AF$90,'集計16-E'!$Y$7-$D$7,0)+VLOOKUP($E90,'集計F-15'!$E$9:AF$90,'集計F-15'!$Y$7-$D$7,0)-$AB90</f>
        <v>0</v>
      </c>
      <c r="Z90" s="645">
        <f>VLOOKUP($E90,'集計16-E'!$E$9:AF$90,'集計16-E'!$Z$7-$D$7,0)+VLOOKUP($E90,'集計F-15'!$E$9:AF$90,'集計F-15'!$Z$7-$D$7,0)-$AC90</f>
        <v>0</v>
      </c>
      <c r="AA90" s="345"/>
      <c r="AB90" s="175">
        <f>SUMIF(請求Data!$F$11:$F$160,CONCATENATE(VLOOKUP(Y$5,$G$1:$H$4,2,FALSE),$E90,1,2),請求Data!$AF$11:$AF$160)</f>
        <v>0</v>
      </c>
      <c r="AC90" s="177">
        <f>SUMIF(請求Data!$F$11:$F$160,CONCATENATE(VLOOKUP(Y$5,$G$1:$H$4,2,FALSE),$E90,1,2),請求Data!$AG$11:$AG$160)</f>
        <v>0</v>
      </c>
      <c r="AD90" s="345"/>
      <c r="AE90" s="175">
        <f>VLOOKUP($E90,'集計16-E'!$E$9:AF$90,'集計16-E'!$AE$7-$D$7,0)+VLOOKUP($E90,'集計F-15'!$E$9:AF$90,'集計F-15'!$AE$7-$D$7,0)</f>
        <v>0</v>
      </c>
      <c r="AF90" s="433">
        <f>VLOOKUP($E90,'集計16-E'!$E$9:AF$90,'集計16-E'!$AF$7-$D$7,0)+VLOOKUP($E90,'集計F-15'!$E$9:AF$90,'集計F-15'!$AF$7-$D$7,0)</f>
        <v>0</v>
      </c>
    </row>
    <row r="91" spans="1:32">
      <c r="A91" s="474" t="s">
        <v>430</v>
      </c>
      <c r="B91" s="621"/>
      <c r="C91" s="245"/>
      <c r="D91" s="245"/>
      <c r="E91" s="366"/>
      <c r="F91" s="286"/>
      <c r="G91" s="122"/>
      <c r="H91" s="121"/>
      <c r="I91" s="345"/>
      <c r="J91" s="122"/>
      <c r="K91" s="121"/>
      <c r="L91" s="345"/>
      <c r="M91" s="122"/>
      <c r="N91" s="123"/>
      <c r="O91" s="345"/>
      <c r="P91" s="120"/>
      <c r="Q91" s="128"/>
      <c r="R91" s="345"/>
      <c r="S91" s="122"/>
      <c r="T91" s="128"/>
      <c r="U91" s="345"/>
      <c r="V91" s="122"/>
      <c r="W91" s="129"/>
      <c r="X91" s="345"/>
      <c r="Y91" s="120"/>
      <c r="Z91" s="128"/>
      <c r="AA91" s="345"/>
      <c r="AB91" s="122"/>
      <c r="AC91" s="128"/>
      <c r="AD91" s="345"/>
      <c r="AE91" s="122"/>
      <c r="AF91" s="129"/>
    </row>
    <row r="92" spans="1:32" ht="13.8" thickBot="1">
      <c r="A92" s="474" t="s">
        <v>430</v>
      </c>
      <c r="B92" s="622"/>
      <c r="C92" s="246"/>
      <c r="D92" s="246"/>
      <c r="E92" s="431"/>
      <c r="F92" s="287"/>
      <c r="G92" s="131"/>
      <c r="H92" s="125"/>
      <c r="I92" s="346"/>
      <c r="J92" s="131"/>
      <c r="K92" s="125"/>
      <c r="L92" s="346"/>
      <c r="M92" s="131"/>
      <c r="N92" s="134"/>
      <c r="O92" s="345"/>
      <c r="P92" s="124"/>
      <c r="Q92" s="130"/>
      <c r="R92" s="346"/>
      <c r="S92" s="131"/>
      <c r="T92" s="130"/>
      <c r="U92" s="346"/>
      <c r="V92" s="131"/>
      <c r="W92" s="132"/>
      <c r="X92" s="345"/>
      <c r="Y92" s="124"/>
      <c r="Z92" s="130"/>
      <c r="AA92" s="346"/>
      <c r="AB92" s="131"/>
      <c r="AC92" s="130"/>
      <c r="AD92" s="346"/>
      <c r="AE92" s="131"/>
      <c r="AF92" s="132"/>
    </row>
    <row r="93" spans="1:32">
      <c r="A93" s="475">
        <f>IF(SUMIFS($G93:$AF93,$G$8:$AF$8,"金額",$G93:$AF93,"&gt;0")-SUMIFS($G93:$AF93,$G$8:$AF$8,"金額",$G93:$AF93,"&lt;0")&lt;=0,"",MAX($A$92:$A92)+1)</f>
        <v>1</v>
      </c>
      <c r="B93" s="794" t="s">
        <v>5</v>
      </c>
      <c r="C93" s="245" t="str">
        <f t="shared" ref="C93:C124" si="3">CONCATENATE("経費",$A93)</f>
        <v>経費1</v>
      </c>
      <c r="D93" s="245">
        <v>1</v>
      </c>
      <c r="E93" s="593" t="str">
        <f>IF($F93&lt;&gt;"",INDEX(ﾏｽﾀ!$D$8:$D$124,MATCH(INDEX(ﾏｽﾀ!$N$8:$N$124,MATCH($F93,ﾏｽﾀ!$O$8:$O$124,0)),ﾏｽﾀ!$B$8:$B$124,0))&amp;"","")</f>
        <v>10001</v>
      </c>
      <c r="F93" s="594" t="str">
        <f>ﾏｽﾀ!$R8&amp;""</f>
        <v xml:space="preserve">株式会社 バンダイ　3100／ベンダー事業部 </v>
      </c>
      <c r="G93" s="634">
        <f>VLOOKUP($E93,'集計16-E'!$E$93:N$174,'集計16-E'!$G$7-$D$7,FALSE)+VLOOKUP($E93,'集計F-15'!$E$93:N$174,'集計F-15'!$G$7-$D$7,FALSE)-INDEX($J$93:$J$174,MATCH($E93,$E$93:$E$174,0))</f>
        <v>1</v>
      </c>
      <c r="H93" s="629">
        <f>VLOOKUP($E93,'集計16-E'!$E$93:N$174,'集計16-E'!$H$7-$D$7,FALSE)+VLOOKUP($E93,'集計F-15'!$E$93:N$174,'集計F-15'!$H$7-$D$7,FALSE)-INDEX($K$93:$K$174,MATCH($E93,$E$93:$E$174,0))</f>
        <v>6311</v>
      </c>
      <c r="I93" s="345"/>
      <c r="J93" s="628">
        <f>SUMIF(請求Data!$G$11:$G$160,CONCATENATE(VLOOKUP(G$5,$G$1:$H$4,2,FALSE),$E93,2),請求Data!$AF$11:$AF$160)-INDEX($J$9:$J$90,MATCH($E93,$E$9:$E$90,0))</f>
        <v>0</v>
      </c>
      <c r="K93" s="629">
        <f>SUMIF(請求Data!$G$11:$G$160,CONCATENATE(VLOOKUP(G$5,$G$1:$H$4,2,FALSE),$E93,2),請求Data!$AG$11:$AG$160)-INDEX($K$9:$K$90,MATCH($E93,$E$9:$E$90,0))</f>
        <v>0</v>
      </c>
      <c r="L93" s="345"/>
      <c r="M93" s="126">
        <f>VLOOKUP($E93,'集計16-E'!$E$93:N$175,'集計16-E'!$M$7-$D$7,FALSE)+VLOOKUP($E93,'集計F-15'!$E$93:N$175,'集計F-15'!$M$7-$D$7,FALSE)</f>
        <v>0</v>
      </c>
      <c r="N93" s="434">
        <f>VLOOKUP($E93,'集計16-E'!$E$93:N$175,'集計16-E'!$N$7-$D$7,FALSE)+VLOOKUP($E93,'集計F-15'!$E$93:N$175,'集計F-15'!$N$7-$D$7,FALSE)</f>
        <v>0</v>
      </c>
      <c r="O93" s="345"/>
      <c r="P93" s="646">
        <f>VLOOKUP($E93,'集計16-E'!$E$93:W$175,'集計16-E'!$P$7-$D$7,0)+VLOOKUP($E93,'集計F-15'!$E$93:W$175,'集計F-15'!$P$7-$D$7,0)-$S93</f>
        <v>0</v>
      </c>
      <c r="Q93" s="647">
        <f>VLOOKUP($E93,'集計16-E'!$E$93:W$175,'集計16-E'!$Q$7-$D$7,0)+VLOOKUP($E93,'集計F-15'!$E$93:W$175,'集計F-15'!$Q$7-$D$7,0)-$T93</f>
        <v>0</v>
      </c>
      <c r="R93" s="345"/>
      <c r="S93" s="638">
        <f>SUMIF(請求Data!$G$11:$G$160,CONCATENATE(VLOOKUP(P$5,$G$1:$H$4,2,FALSE),$E93,2),請求Data!$AF$11:$AF$160)-S9</f>
        <v>0</v>
      </c>
      <c r="T93" s="647">
        <f>SUMIF(請求Data!$G$11:$G$160,CONCATENATE(VLOOKUP(P$5,$G$1:$H$4,2,FALSE),$E93,2),請求Data!$AG$11:$AG$160)-T9</f>
        <v>0</v>
      </c>
      <c r="U93" s="345"/>
      <c r="V93" s="126">
        <f>VLOOKUP($E93,'集計16-E'!$E$93:W$175,'集計16-E'!$V$7-$D$7,0)+VLOOKUP($E93,'集計F-15'!$E$93:W$175,'集計F-15'!$V$7-$D$7,0)</f>
        <v>0</v>
      </c>
      <c r="W93" s="435">
        <f>VLOOKUP($E93,'集計16-E'!$E$93:W$175,'集計16-E'!$W$7-$D$7,0)+VLOOKUP($E93,'集計F-15'!$E$93:W$175,'集計F-15'!$W$7-$D$7,0)</f>
        <v>0</v>
      </c>
      <c r="X93" s="345"/>
      <c r="Y93" s="646">
        <f>VLOOKUP($E93,'集計16-E'!$E$93:AF$175,'集計16-E'!$Y$7-$D$7,0)+VLOOKUP($E93,'集計F-15'!$E$93:AF$175,'集計F-15'!$Y$7-$D$7,0)-$AB93</f>
        <v>0</v>
      </c>
      <c r="Z93" s="647">
        <f>VLOOKUP($E93,'集計16-E'!$E$93:AF$175,'集計16-E'!$Z$7-$D$7,0)+VLOOKUP($E93,'集計F-15'!$E$93:AF$175,'集計F-15'!$Z$7-$D$7,0)-$AC93</f>
        <v>0</v>
      </c>
      <c r="AA93" s="345"/>
      <c r="AB93" s="638">
        <f>SUMIF(請求Data!$G$11:$G$160,CONCATENATE(VLOOKUP(Y$5,$G$1:$H$4,2,FALSE),$E93,2),請求Data!$AF$11:$AF$160)-AB9</f>
        <v>0</v>
      </c>
      <c r="AC93" s="647">
        <f>SUMIF(請求Data!$G$11:$G$160,CONCATENATE(VLOOKUP(Y$5,$G$1:$H$4,2,FALSE),$E93,2),請求Data!$AG$11:$AG$160)-AC9</f>
        <v>0</v>
      </c>
      <c r="AD93" s="345"/>
      <c r="AE93" s="126">
        <f>VLOOKUP($E93,'集計16-E'!$E$93:AF$175,'集計16-E'!$AE$7-$D$7,0)+VLOOKUP($E93,'集計F-15'!$E$93:AF$175,'集計F-15'!$AE$7-$D$7,0)</f>
        <v>0</v>
      </c>
      <c r="AF93" s="435">
        <f>VLOOKUP($E93,'集計16-E'!$E$93:AF$175,'集計16-E'!$AF$7-$D$7,0)+VLOOKUP($E93,'集計F-15'!$E$93:AF$175,'集計F-15'!$AF$7-$D$7,0)</f>
        <v>0</v>
      </c>
    </row>
    <row r="94" spans="1:32">
      <c r="A94" s="475" t="str">
        <f>IF(SUMIFS($G94:$AF94,$G$8:$AF$8,"金額",$G94:$AF94,"&gt;0")-SUMIFS($G94:$AF94,$G$8:$AF$8,"金額",$G94:$AF94,"&lt;0")&lt;=0,"",MAX($A$92:$A93)+1)</f>
        <v/>
      </c>
      <c r="B94" s="795"/>
      <c r="C94" s="245" t="str">
        <f t="shared" si="3"/>
        <v>経費</v>
      </c>
      <c r="D94" s="245">
        <v>2</v>
      </c>
      <c r="E94" s="593" t="str">
        <f>IF($F94&lt;&gt;"",INDEX(ﾏｽﾀ!$D$8:$D$124,MATCH(INDEX(ﾏｽﾀ!$N$8:$N$124,MATCH($F94,ﾏｽﾀ!$O$8:$O$124,0)),ﾏｽﾀ!$B$8:$B$124,0))&amp;"","")</f>
        <v>10002</v>
      </c>
      <c r="F94" s="594" t="str">
        <f>ﾏｽﾀ!$R9&amp;""</f>
        <v>株式会社 バンダイ</v>
      </c>
      <c r="G94" s="634">
        <f>VLOOKUP($E94,'集計16-E'!$E$93:N$174,'集計16-E'!$G$7-$D$7,FALSE)+VLOOKUP($E94,'集計F-15'!$E$93:N$174,'集計F-15'!$G$7-$D$7,FALSE)-INDEX($J$93:$J$174,MATCH($E94,$E$93:$E$174,0))</f>
        <v>0</v>
      </c>
      <c r="H94" s="629">
        <f>VLOOKUP($E94,'集計16-E'!$E$93:N$174,'集計16-E'!$H$7-$D$7,FALSE)+VLOOKUP($E94,'集計F-15'!$E$93:N$174,'集計F-15'!$H$7-$D$7,FALSE)-INDEX($K$93:$K$174,MATCH($E94,$E$93:$E$174,0))</f>
        <v>0</v>
      </c>
      <c r="I94" s="345"/>
      <c r="J94" s="628">
        <f>SUMIF(請求Data!$G$11:$G$160,CONCATENATE(VLOOKUP(G$5,$G$1:$H$4,2,FALSE),$E94,2),請求Data!$AF$11:$AF$160)-INDEX($J$9:$J$90,MATCH($E94,$E$9:$E$90,0))</f>
        <v>0</v>
      </c>
      <c r="K94" s="629">
        <f>SUMIF(請求Data!$G$11:$G$160,CONCATENATE(VLOOKUP(G$5,$G$1:$H$4,2,FALSE),$E94,2),請求Data!$AG$11:$AG$160)-INDEX($K$9:$K$90,MATCH($E94,$E$9:$E$90,0))</f>
        <v>0</v>
      </c>
      <c r="L94" s="345"/>
      <c r="M94" s="126">
        <f>VLOOKUP($E94,'集計16-E'!$E$93:N$175,'集計16-E'!$M$7-$D$7,FALSE)+VLOOKUP($E94,'集計F-15'!$E$93:N$175,'集計F-15'!$M$7-$D$7,FALSE)</f>
        <v>0</v>
      </c>
      <c r="N94" s="434">
        <f>VLOOKUP($E94,'集計16-E'!$E$93:N$175,'集計16-E'!$N$7-$D$7,FALSE)+VLOOKUP($E94,'集計F-15'!$E$93:N$175,'集計F-15'!$N$7-$D$7,FALSE)</f>
        <v>0</v>
      </c>
      <c r="O94" s="345"/>
      <c r="P94" s="646">
        <f>VLOOKUP($E94,'集計16-E'!$E$93:W$175,'集計16-E'!$P$7-$D$7,0)+VLOOKUP($E94,'集計F-15'!$E$93:W$175,'集計F-15'!$P$7-$D$7,0)-$S94</f>
        <v>0</v>
      </c>
      <c r="Q94" s="647">
        <f>VLOOKUP($E94,'集計16-E'!$E$93:W$175,'集計16-E'!$Q$7-$D$7,0)+VLOOKUP($E94,'集計F-15'!$E$93:W$175,'集計F-15'!$Q$7-$D$7,0)-$T94</f>
        <v>0</v>
      </c>
      <c r="R94" s="345"/>
      <c r="S94" s="638">
        <f>SUMIF(請求Data!$G$11:$G$160,CONCATENATE(VLOOKUP(P$5,$G$1:$H$4,2,FALSE),$E94,2),請求Data!$AF$11:$AF$160)-S10</f>
        <v>0</v>
      </c>
      <c r="T94" s="647">
        <f>SUMIF(請求Data!$G$11:$G$160,CONCATENATE(VLOOKUP(P$5,$G$1:$H$4,2,FALSE),$E94,2),請求Data!$AG$11:$AG$160)-T10</f>
        <v>0</v>
      </c>
      <c r="U94" s="345"/>
      <c r="V94" s="126">
        <f>VLOOKUP($E94,'集計16-E'!$E$93:W$175,'集計16-E'!$V$7-$D$7,0)+VLOOKUP($E94,'集計F-15'!$E$93:W$175,'集計F-15'!$V$7-$D$7,0)</f>
        <v>0</v>
      </c>
      <c r="W94" s="435">
        <f>VLOOKUP($E94,'集計16-E'!$E$93:W$175,'集計16-E'!$W$7-$D$7,0)+VLOOKUP($E94,'集計F-15'!$E$93:W$175,'集計F-15'!$W$7-$D$7,0)</f>
        <v>0</v>
      </c>
      <c r="X94" s="345"/>
      <c r="Y94" s="646">
        <f>VLOOKUP($E94,'集計16-E'!$E$93:AF$175,'集計16-E'!$Y$7-$D$7,0)+VLOOKUP($E94,'集計F-15'!$E$93:AF$175,'集計F-15'!$Y$7-$D$7,0)-$AB94</f>
        <v>0</v>
      </c>
      <c r="Z94" s="647">
        <f>VLOOKUP($E94,'集計16-E'!$E$93:AF$175,'集計16-E'!$Z$7-$D$7,0)+VLOOKUP($E94,'集計F-15'!$E$93:AF$175,'集計F-15'!$Z$7-$D$7,0)-$AC94</f>
        <v>0</v>
      </c>
      <c r="AA94" s="345"/>
      <c r="AB94" s="638">
        <f>SUMIF(請求Data!$G$11:$G$160,CONCATENATE(VLOOKUP(Y$5,$G$1:$H$4,2,FALSE),$E94,2),請求Data!$AF$11:$AF$160)-AB10</f>
        <v>0</v>
      </c>
      <c r="AC94" s="647">
        <f>SUMIF(請求Data!$G$11:$G$160,CONCATENATE(VLOOKUP(Y$5,$G$1:$H$4,2,FALSE),$E94,2),請求Data!$AG$11:$AG$160)-AC10</f>
        <v>0</v>
      </c>
      <c r="AD94" s="345"/>
      <c r="AE94" s="126">
        <f>VLOOKUP($E94,'集計16-E'!$E$93:AF$175,'集計16-E'!$AE$7-$D$7,0)+VLOOKUP($E94,'集計F-15'!$E$93:AF$175,'集計F-15'!$AE$7-$D$7,0)</f>
        <v>0</v>
      </c>
      <c r="AF94" s="435">
        <f>VLOOKUP($E94,'集計16-E'!$E$93:AF$175,'集計16-E'!$AF$7-$D$7,0)+VLOOKUP($E94,'集計F-15'!$E$93:AF$175,'集計F-15'!$AF$7-$D$7,0)</f>
        <v>0</v>
      </c>
    </row>
    <row r="95" spans="1:32">
      <c r="A95" s="475">
        <f>IF(SUMIFS($G95:$AF95,$G$8:$AF$8,"金額",$G95:$AF95,"&gt;0")-SUMIFS($G95:$AF95,$G$8:$AF$8,"金額",$G95:$AF95,"&lt;0")&lt;=0,"",MAX($A$92:$A94)+1)</f>
        <v>2</v>
      </c>
      <c r="B95" s="795"/>
      <c r="C95" s="245" t="str">
        <f t="shared" si="3"/>
        <v>経費2</v>
      </c>
      <c r="D95" s="245">
        <v>3</v>
      </c>
      <c r="E95" s="593" t="str">
        <f>IF($F95&lt;&gt;"",INDEX(ﾏｽﾀ!$D$8:$D$124,MATCH(INDEX(ﾏｽﾀ!$N$8:$N$124,MATCH($F95,ﾏｽﾀ!$O$8:$O$124,0)),ﾏｽﾀ!$B$8:$B$124,0))&amp;"","")</f>
        <v>10005</v>
      </c>
      <c r="F95" s="594" t="str">
        <f>ﾏｽﾀ!$R10&amp;""</f>
        <v>株式会社 バンダイ　3200／キャンディ事業部</v>
      </c>
      <c r="G95" s="634">
        <f>VLOOKUP($E95,'集計16-E'!$E$93:N$174,'集計16-E'!$G$7-$D$7,FALSE)+VLOOKUP($E95,'集計F-15'!$E$93:N$174,'集計F-15'!$G$7-$D$7,FALSE)-INDEX($J$93:$J$174,MATCH($E95,$E$93:$E$174,0))</f>
        <v>1</v>
      </c>
      <c r="H95" s="629">
        <f>VLOOKUP($E95,'集計16-E'!$E$93:N$174,'集計16-E'!$H$7-$D$7,FALSE)+VLOOKUP($E95,'集計F-15'!$E$93:N$174,'集計F-15'!$H$7-$D$7,FALSE)-INDEX($K$93:$K$174,MATCH($E95,$E$93:$E$174,0))</f>
        <v>27999</v>
      </c>
      <c r="I95" s="345"/>
      <c r="J95" s="628">
        <f>SUMIF(請求Data!$G$11:$G$160,CONCATENATE(VLOOKUP(G$5,$G$1:$H$4,2,FALSE),$E95,2),請求Data!$AF$11:$AF$160)-INDEX($J$9:$J$90,MATCH($E95,$E$9:$E$90,0))</f>
        <v>0</v>
      </c>
      <c r="K95" s="629">
        <f>SUMIF(請求Data!$G$11:$G$160,CONCATENATE(VLOOKUP(G$5,$G$1:$H$4,2,FALSE),$E95,2),請求Data!$AG$11:$AG$160)-INDEX($K$9:$K$90,MATCH($E95,$E$9:$E$90,0))</f>
        <v>0</v>
      </c>
      <c r="L95" s="345"/>
      <c r="M95" s="126">
        <f>VLOOKUP($E95,'集計16-E'!$E$93:N$175,'集計16-E'!$M$7-$D$7,FALSE)+VLOOKUP($E95,'集計F-15'!$E$93:N$175,'集計F-15'!$M$7-$D$7,FALSE)</f>
        <v>0</v>
      </c>
      <c r="N95" s="434">
        <f>VLOOKUP($E95,'集計16-E'!$E$93:N$175,'集計16-E'!$N$7-$D$7,FALSE)+VLOOKUP($E95,'集計F-15'!$E$93:N$175,'集計F-15'!$N$7-$D$7,FALSE)</f>
        <v>0</v>
      </c>
      <c r="O95" s="345"/>
      <c r="P95" s="646">
        <f>VLOOKUP($E95,'集計16-E'!$E$93:W$175,'集計16-E'!$P$7-$D$7,0)+VLOOKUP($E95,'集計F-15'!$E$93:W$175,'集計F-15'!$P$7-$D$7,0)-$S95</f>
        <v>1</v>
      </c>
      <c r="Q95" s="647">
        <f>VLOOKUP($E95,'集計16-E'!$E$93:W$175,'集計16-E'!$Q$7-$D$7,0)+VLOOKUP($E95,'集計F-15'!$E$93:W$175,'集計F-15'!$Q$7-$D$7,0)-$T95</f>
        <v>661000</v>
      </c>
      <c r="R95" s="345"/>
      <c r="S95" s="638">
        <f>SUMIF(請求Data!$G$11:$G$160,CONCATENATE(VLOOKUP(P$5,$G$1:$H$4,2,FALSE),$E95,2),請求Data!$AF$11:$AF$160)-S11</f>
        <v>0</v>
      </c>
      <c r="T95" s="647">
        <f>SUMIF(請求Data!$G$11:$G$160,CONCATENATE(VLOOKUP(P$5,$G$1:$H$4,2,FALSE),$E95,2),請求Data!$AG$11:$AG$160)-T11</f>
        <v>0</v>
      </c>
      <c r="U95" s="345"/>
      <c r="V95" s="126">
        <f>VLOOKUP($E95,'集計16-E'!$E$93:W$175,'集計16-E'!$V$7-$D$7,0)+VLOOKUP($E95,'集計F-15'!$E$93:W$175,'集計F-15'!$V$7-$D$7,0)</f>
        <v>0</v>
      </c>
      <c r="W95" s="435">
        <f>VLOOKUP($E95,'集計16-E'!$E$93:W$175,'集計16-E'!$W$7-$D$7,0)+VLOOKUP($E95,'集計F-15'!$E$93:W$175,'集計F-15'!$W$7-$D$7,0)</f>
        <v>0</v>
      </c>
      <c r="X95" s="345"/>
      <c r="Y95" s="646">
        <f>VLOOKUP($E95,'集計16-E'!$E$93:AF$175,'集計16-E'!$Y$7-$D$7,0)+VLOOKUP($E95,'集計F-15'!$E$93:AF$175,'集計F-15'!$Y$7-$D$7,0)-$AB95</f>
        <v>0</v>
      </c>
      <c r="Z95" s="647">
        <f>VLOOKUP($E95,'集計16-E'!$E$93:AF$175,'集計16-E'!$Z$7-$D$7,0)+VLOOKUP($E95,'集計F-15'!$E$93:AF$175,'集計F-15'!$Z$7-$D$7,0)-$AC95</f>
        <v>0</v>
      </c>
      <c r="AA95" s="345"/>
      <c r="AB95" s="638">
        <f>SUMIF(請求Data!$G$11:$G$160,CONCATENATE(VLOOKUP(Y$5,$G$1:$H$4,2,FALSE),$E95,2),請求Data!$AF$11:$AF$160)-AB11</f>
        <v>0</v>
      </c>
      <c r="AC95" s="647">
        <f>SUMIF(請求Data!$G$11:$G$160,CONCATENATE(VLOOKUP(Y$5,$G$1:$H$4,2,FALSE),$E95,2),請求Data!$AG$11:$AG$160)-AC11</f>
        <v>0</v>
      </c>
      <c r="AD95" s="345"/>
      <c r="AE95" s="126">
        <f>VLOOKUP($E95,'集計16-E'!$E$93:AF$175,'集計16-E'!$AE$7-$D$7,0)+VLOOKUP($E95,'集計F-15'!$E$93:AF$175,'集計F-15'!$AE$7-$D$7,0)</f>
        <v>0</v>
      </c>
      <c r="AF95" s="435">
        <f>VLOOKUP($E95,'集計16-E'!$E$93:AF$175,'集計16-E'!$AF$7-$D$7,0)+VLOOKUP($E95,'集計F-15'!$E$93:AF$175,'集計F-15'!$AF$7-$D$7,0)</f>
        <v>0</v>
      </c>
    </row>
    <row r="96" spans="1:32">
      <c r="A96" s="475" t="str">
        <f>IF(SUMIFS($G96:$AF96,$G$8:$AF$8,"金額",$G96:$AF96,"&gt;0")-SUMIFS($G96:$AF96,$G$8:$AF$8,"金額",$G96:$AF96,"&lt;0")&lt;=0,"",MAX($A$92:$A95)+1)</f>
        <v/>
      </c>
      <c r="B96" s="795"/>
      <c r="C96" s="245" t="str">
        <f t="shared" si="3"/>
        <v>経費</v>
      </c>
      <c r="D96" s="245">
        <v>4</v>
      </c>
      <c r="E96" s="593" t="str">
        <f>IF($F96&lt;&gt;"",INDEX(ﾏｽﾀ!$D$8:$D$124,MATCH(INDEX(ﾏｽﾀ!$N$8:$N$124,MATCH($F96,ﾏｽﾀ!$O$8:$O$124,0)),ﾏｽﾀ!$B$8:$B$124,0))&amp;"","")</f>
        <v>10006</v>
      </c>
      <c r="F96" s="594" t="str">
        <f>ﾏｽﾀ!$R11&amp;""</f>
        <v>株式会社 バンダイ　4200／キャンディ事業部</v>
      </c>
      <c r="G96" s="634">
        <f>VLOOKUP($E96,'集計16-E'!$E$93:N$174,'集計16-E'!$G$7-$D$7,FALSE)+VLOOKUP($E96,'集計F-15'!$E$93:N$174,'集計F-15'!$G$7-$D$7,FALSE)-INDEX($J$93:$J$174,MATCH($E96,$E$93:$E$174,0))</f>
        <v>0</v>
      </c>
      <c r="H96" s="629">
        <f>VLOOKUP($E96,'集計16-E'!$E$93:N$174,'集計16-E'!$H$7-$D$7,FALSE)+VLOOKUP($E96,'集計F-15'!$E$93:N$174,'集計F-15'!$H$7-$D$7,FALSE)-INDEX($K$93:$K$174,MATCH($E96,$E$93:$E$174,0))</f>
        <v>0</v>
      </c>
      <c r="I96" s="345"/>
      <c r="J96" s="628">
        <f>SUMIF(請求Data!$G$11:$G$160,CONCATENATE(VLOOKUP(G$5,$G$1:$H$4,2,FALSE),$E96,2),請求Data!$AF$11:$AF$160)-INDEX($J$9:$J$90,MATCH($E96,$E$9:$E$90,0))</f>
        <v>0</v>
      </c>
      <c r="K96" s="629">
        <f>SUMIF(請求Data!$G$11:$G$160,CONCATENATE(VLOOKUP(G$5,$G$1:$H$4,2,FALSE),$E96,2),請求Data!$AG$11:$AG$160)-INDEX($K$9:$K$90,MATCH($E96,$E$9:$E$90,0))</f>
        <v>0</v>
      </c>
      <c r="L96" s="345"/>
      <c r="M96" s="126">
        <f>VLOOKUP($E96,'集計16-E'!$E$93:N$175,'集計16-E'!$M$7-$D$7,FALSE)+VLOOKUP($E96,'集計F-15'!$E$93:N$175,'集計F-15'!$M$7-$D$7,FALSE)</f>
        <v>0</v>
      </c>
      <c r="N96" s="434">
        <f>VLOOKUP($E96,'集計16-E'!$E$93:N$175,'集計16-E'!$N$7-$D$7,FALSE)+VLOOKUP($E96,'集計F-15'!$E$93:N$175,'集計F-15'!$N$7-$D$7,FALSE)</f>
        <v>0</v>
      </c>
      <c r="O96" s="345"/>
      <c r="P96" s="646">
        <f>VLOOKUP($E96,'集計16-E'!$E$93:W$175,'集計16-E'!$P$7-$D$7,0)+VLOOKUP($E96,'集計F-15'!$E$93:W$175,'集計F-15'!$P$7-$D$7,0)-$S96</f>
        <v>0</v>
      </c>
      <c r="Q96" s="647">
        <f>VLOOKUP($E96,'集計16-E'!$E$93:W$175,'集計16-E'!$Q$7-$D$7,0)+VLOOKUP($E96,'集計F-15'!$E$93:W$175,'集計F-15'!$Q$7-$D$7,0)-$T96</f>
        <v>0</v>
      </c>
      <c r="R96" s="345"/>
      <c r="S96" s="638">
        <f>SUMIF(請求Data!$G$11:$G$160,CONCATENATE(VLOOKUP(P$5,$G$1:$H$4,2,FALSE),$E96,2),請求Data!$AF$11:$AF$160)-S12</f>
        <v>0</v>
      </c>
      <c r="T96" s="647">
        <f>SUMIF(請求Data!$G$11:$G$160,CONCATENATE(VLOOKUP(P$5,$G$1:$H$4,2,FALSE),$E96,2),請求Data!$AG$11:$AG$160)-T12</f>
        <v>0</v>
      </c>
      <c r="U96" s="345"/>
      <c r="V96" s="126">
        <f>VLOOKUP($E96,'集計16-E'!$E$93:W$175,'集計16-E'!$V$7-$D$7,0)+VLOOKUP($E96,'集計F-15'!$E$93:W$175,'集計F-15'!$V$7-$D$7,0)</f>
        <v>0</v>
      </c>
      <c r="W96" s="435">
        <f>VLOOKUP($E96,'集計16-E'!$E$93:W$175,'集計16-E'!$W$7-$D$7,0)+VLOOKUP($E96,'集計F-15'!$E$93:W$175,'集計F-15'!$W$7-$D$7,0)</f>
        <v>0</v>
      </c>
      <c r="X96" s="345"/>
      <c r="Y96" s="646">
        <f>VLOOKUP($E96,'集計16-E'!$E$93:AF$175,'集計16-E'!$Y$7-$D$7,0)+VLOOKUP($E96,'集計F-15'!$E$93:AF$175,'集計F-15'!$Y$7-$D$7,0)-$AB96</f>
        <v>0</v>
      </c>
      <c r="Z96" s="647">
        <f>VLOOKUP($E96,'集計16-E'!$E$93:AF$175,'集計16-E'!$Z$7-$D$7,0)+VLOOKUP($E96,'集計F-15'!$E$93:AF$175,'集計F-15'!$Z$7-$D$7,0)-$AC96</f>
        <v>0</v>
      </c>
      <c r="AA96" s="345"/>
      <c r="AB96" s="638">
        <f>SUMIF(請求Data!$G$11:$G$160,CONCATENATE(VLOOKUP(Y$5,$G$1:$H$4,2,FALSE),$E96,2),請求Data!$AF$11:$AF$160)-AB12</f>
        <v>0</v>
      </c>
      <c r="AC96" s="647">
        <f>SUMIF(請求Data!$G$11:$G$160,CONCATENATE(VLOOKUP(Y$5,$G$1:$H$4,2,FALSE),$E96,2),請求Data!$AG$11:$AG$160)-AC12</f>
        <v>0</v>
      </c>
      <c r="AD96" s="345"/>
      <c r="AE96" s="126">
        <f>VLOOKUP($E96,'集計16-E'!$E$93:AF$175,'集計16-E'!$AE$7-$D$7,0)+VLOOKUP($E96,'集計F-15'!$E$93:AF$175,'集計F-15'!$AE$7-$D$7,0)</f>
        <v>0</v>
      </c>
      <c r="AF96" s="435">
        <f>VLOOKUP($E96,'集計16-E'!$E$93:AF$175,'集計16-E'!$AF$7-$D$7,0)+VLOOKUP($E96,'集計F-15'!$E$93:AF$175,'集計F-15'!$AF$7-$D$7,0)</f>
        <v>0</v>
      </c>
    </row>
    <row r="97" spans="1:32">
      <c r="A97" s="475">
        <f>IF(SUMIFS($G97:$AF97,$G$8:$AF$8,"金額",$G97:$AF97,"&gt;0")-SUMIFS($G97:$AF97,$G$8:$AF$8,"金額",$G97:$AF97,"&lt;0")&lt;=0,"",MAX($A$92:$A96)+1)</f>
        <v>3</v>
      </c>
      <c r="B97" s="795"/>
      <c r="C97" s="245" t="str">
        <f t="shared" si="3"/>
        <v>経費3</v>
      </c>
      <c r="D97" s="245">
        <v>5</v>
      </c>
      <c r="E97" s="593" t="str">
        <f>IF($F97&lt;&gt;"",INDEX(ﾏｽﾀ!$D$8:$D$124,MATCH(INDEX(ﾏｽﾀ!$N$8:$N$124,MATCH($F97,ﾏｽﾀ!$O$8:$O$124,0)),ﾏｽﾀ!$B$8:$B$124,0))&amp;"","")</f>
        <v>10010</v>
      </c>
      <c r="F97" s="594" t="str">
        <f>ﾏｽﾀ!$R12&amp;""</f>
        <v>株式会社 バンダイ　4100／コレクターズ事業部</v>
      </c>
      <c r="G97" s="634">
        <f>VLOOKUP($E97,'集計16-E'!$E$93:N$174,'集計16-E'!$G$7-$D$7,FALSE)+VLOOKUP($E97,'集計F-15'!$E$93:N$174,'集計F-15'!$G$7-$D$7,FALSE)-INDEX($J$93:$J$174,MATCH($E97,$E$93:$E$174,0))</f>
        <v>2</v>
      </c>
      <c r="H97" s="629">
        <f>VLOOKUP($E97,'集計16-E'!$E$93:N$174,'集計16-E'!$H$7-$D$7,FALSE)+VLOOKUP($E97,'集計F-15'!$E$93:N$174,'集計F-15'!$H$7-$D$7,FALSE)-INDEX($K$93:$K$174,MATCH($E97,$E$93:$E$174,0))</f>
        <v>3534544</v>
      </c>
      <c r="I97" s="345"/>
      <c r="J97" s="628">
        <f>SUMIF(請求Data!$G$11:$G$160,CONCATENATE(VLOOKUP(G$5,$G$1:$H$4,2,FALSE),$E97,2),請求Data!$AF$11:$AF$160)-INDEX($J$9:$J$90,MATCH($E97,$E$9:$E$90,0))</f>
        <v>0</v>
      </c>
      <c r="K97" s="629">
        <f>SUMIF(請求Data!$G$11:$G$160,CONCATENATE(VLOOKUP(G$5,$G$1:$H$4,2,FALSE),$E97,2),請求Data!$AG$11:$AG$160)-INDEX($K$9:$K$90,MATCH($E97,$E$9:$E$90,0))</f>
        <v>0</v>
      </c>
      <c r="L97" s="345"/>
      <c r="M97" s="126">
        <f>VLOOKUP($E97,'集計16-E'!$E$93:N$175,'集計16-E'!$M$7-$D$7,FALSE)+VLOOKUP($E97,'集計F-15'!$E$93:N$175,'集計F-15'!$M$7-$D$7,FALSE)</f>
        <v>1</v>
      </c>
      <c r="N97" s="434">
        <f>VLOOKUP($E97,'集計16-E'!$E$93:N$175,'集計16-E'!$N$7-$D$7,FALSE)+VLOOKUP($E97,'集計F-15'!$E$93:N$175,'集計F-15'!$N$7-$D$7,FALSE)</f>
        <v>590000</v>
      </c>
      <c r="O97" s="345"/>
      <c r="P97" s="646">
        <f>VLOOKUP($E97,'集計16-E'!$E$93:W$175,'集計16-E'!$P$7-$D$7,0)+VLOOKUP($E97,'集計F-15'!$E$93:W$175,'集計F-15'!$P$7-$D$7,0)-$S97</f>
        <v>0</v>
      </c>
      <c r="Q97" s="647">
        <f>VLOOKUP($E97,'集計16-E'!$E$93:W$175,'集計16-E'!$Q$7-$D$7,0)+VLOOKUP($E97,'集計F-15'!$E$93:W$175,'集計F-15'!$Q$7-$D$7,0)-$T97</f>
        <v>0</v>
      </c>
      <c r="R97" s="345"/>
      <c r="S97" s="638">
        <f>SUMIF(請求Data!$G$11:$G$160,CONCATENATE(VLOOKUP(P$5,$G$1:$H$4,2,FALSE),$E97,2),請求Data!$AF$11:$AF$160)-S13</f>
        <v>0</v>
      </c>
      <c r="T97" s="647">
        <f>SUMIF(請求Data!$G$11:$G$160,CONCATENATE(VLOOKUP(P$5,$G$1:$H$4,2,FALSE),$E97,2),請求Data!$AG$11:$AG$160)-T13</f>
        <v>0</v>
      </c>
      <c r="U97" s="345"/>
      <c r="V97" s="126">
        <f>VLOOKUP($E97,'集計16-E'!$E$93:W$175,'集計16-E'!$V$7-$D$7,0)+VLOOKUP($E97,'集計F-15'!$E$93:W$175,'集計F-15'!$V$7-$D$7,0)</f>
        <v>0</v>
      </c>
      <c r="W97" s="435">
        <f>VLOOKUP($E97,'集計16-E'!$E$93:W$175,'集計16-E'!$W$7-$D$7,0)+VLOOKUP($E97,'集計F-15'!$E$93:W$175,'集計F-15'!$W$7-$D$7,0)</f>
        <v>0</v>
      </c>
      <c r="X97" s="345"/>
      <c r="Y97" s="646">
        <f>VLOOKUP($E97,'集計16-E'!$E$93:AF$175,'集計16-E'!$Y$7-$D$7,0)+VLOOKUP($E97,'集計F-15'!$E$93:AF$175,'集計F-15'!$Y$7-$D$7,0)-$AB97</f>
        <v>0</v>
      </c>
      <c r="Z97" s="647">
        <f>VLOOKUP($E97,'集計16-E'!$E$93:AF$175,'集計16-E'!$Z$7-$D$7,0)+VLOOKUP($E97,'集計F-15'!$E$93:AF$175,'集計F-15'!$Z$7-$D$7,0)-$AC97</f>
        <v>0</v>
      </c>
      <c r="AA97" s="345"/>
      <c r="AB97" s="638">
        <f>SUMIF(請求Data!$G$11:$G$160,CONCATENATE(VLOOKUP(Y$5,$G$1:$H$4,2,FALSE),$E97,2),請求Data!$AF$11:$AF$160)-AB13</f>
        <v>0</v>
      </c>
      <c r="AC97" s="647">
        <f>SUMIF(請求Data!$G$11:$G$160,CONCATENATE(VLOOKUP(Y$5,$G$1:$H$4,2,FALSE),$E97,2),請求Data!$AG$11:$AG$160)-AC13</f>
        <v>0</v>
      </c>
      <c r="AD97" s="345"/>
      <c r="AE97" s="126">
        <f>VLOOKUP($E97,'集計16-E'!$E$93:AF$175,'集計16-E'!$AE$7-$D$7,0)+VLOOKUP($E97,'集計F-15'!$E$93:AF$175,'集計F-15'!$AE$7-$D$7,0)</f>
        <v>0</v>
      </c>
      <c r="AF97" s="435">
        <f>VLOOKUP($E97,'集計16-E'!$E$93:AF$175,'集計16-E'!$AF$7-$D$7,0)+VLOOKUP($E97,'集計F-15'!$E$93:AF$175,'集計F-15'!$AF$7-$D$7,0)</f>
        <v>0</v>
      </c>
    </row>
    <row r="98" spans="1:32">
      <c r="A98" s="475">
        <f>IF(SUMIFS($G98:$AF98,$G$8:$AF$8,"金額",$G98:$AF98,"&gt;0")-SUMIFS($G98:$AF98,$G$8:$AF$8,"金額",$G98:$AF98,"&lt;0")&lt;=0,"",MAX($A$92:$A97)+1)</f>
        <v>4</v>
      </c>
      <c r="B98" s="795"/>
      <c r="C98" s="245" t="str">
        <f t="shared" si="3"/>
        <v>経費4</v>
      </c>
      <c r="D98" s="245">
        <v>6</v>
      </c>
      <c r="E98" s="593" t="str">
        <f>IF($F98&lt;&gt;"",INDEX(ﾏｽﾀ!$D$8:$D$124,MATCH(INDEX(ﾏｽﾀ!$N$8:$N$124,MATCH($F98,ﾏｽﾀ!$O$8:$O$124,0)),ﾏｽﾀ!$B$8:$B$124,0))&amp;"","")</f>
        <v>10015</v>
      </c>
      <c r="F98" s="594" t="str">
        <f>ﾏｽﾀ!$R13&amp;""</f>
        <v>株式会社 バンダイ　4200／ボーイズトイ事業部</v>
      </c>
      <c r="G98" s="634">
        <f>VLOOKUP($E98,'集計16-E'!$E$93:N$174,'集計16-E'!$G$7-$D$7,FALSE)+VLOOKUP($E98,'集計F-15'!$E$93:N$174,'集計F-15'!$G$7-$D$7,FALSE)-INDEX($J$93:$J$174,MATCH($E98,$E$93:$E$174,0))</f>
        <v>1</v>
      </c>
      <c r="H98" s="629">
        <f>VLOOKUP($E98,'集計16-E'!$E$93:N$174,'集計16-E'!$H$7-$D$7,FALSE)+VLOOKUP($E98,'集計F-15'!$E$93:N$174,'集計F-15'!$H$7-$D$7,FALSE)-INDEX($K$93:$K$174,MATCH($E98,$E$93:$E$174,0))</f>
        <v>19107</v>
      </c>
      <c r="I98" s="345"/>
      <c r="J98" s="628">
        <f>SUMIF(請求Data!$G$11:$G$160,CONCATENATE(VLOOKUP(G$5,$G$1:$H$4,2,FALSE),$E98,2),請求Data!$AF$11:$AF$160)-INDEX($J$9:$J$90,MATCH($E98,$E$9:$E$90,0))</f>
        <v>0</v>
      </c>
      <c r="K98" s="629">
        <f>SUMIF(請求Data!$G$11:$G$160,CONCATENATE(VLOOKUP(G$5,$G$1:$H$4,2,FALSE),$E98,2),請求Data!$AG$11:$AG$160)-INDEX($K$9:$K$90,MATCH($E98,$E$9:$E$90,0))</f>
        <v>0</v>
      </c>
      <c r="L98" s="345"/>
      <c r="M98" s="126">
        <f>VLOOKUP($E98,'集計16-E'!$E$93:N$175,'集計16-E'!$M$7-$D$7,FALSE)+VLOOKUP($E98,'集計F-15'!$E$93:N$175,'集計F-15'!$M$7-$D$7,FALSE)</f>
        <v>0</v>
      </c>
      <c r="N98" s="434">
        <f>VLOOKUP($E98,'集計16-E'!$E$93:N$175,'集計16-E'!$N$7-$D$7,FALSE)+VLOOKUP($E98,'集計F-15'!$E$93:N$175,'集計F-15'!$N$7-$D$7,FALSE)</f>
        <v>0</v>
      </c>
      <c r="O98" s="345"/>
      <c r="P98" s="646">
        <f>VLOOKUP($E98,'集計16-E'!$E$93:W$175,'集計16-E'!$P$7-$D$7,0)+VLOOKUP($E98,'集計F-15'!$E$93:W$175,'集計F-15'!$P$7-$D$7,0)-$S98</f>
        <v>0</v>
      </c>
      <c r="Q98" s="647">
        <f>VLOOKUP($E98,'集計16-E'!$E$93:W$175,'集計16-E'!$Q$7-$D$7,0)+VLOOKUP($E98,'集計F-15'!$E$93:W$175,'集計F-15'!$Q$7-$D$7,0)-$T98</f>
        <v>0</v>
      </c>
      <c r="R98" s="345"/>
      <c r="S98" s="638">
        <f>SUMIF(請求Data!$G$11:$G$160,CONCATENATE(VLOOKUP(P$5,$G$1:$H$4,2,FALSE),$E98,2),請求Data!$AF$11:$AF$160)-S14</f>
        <v>0</v>
      </c>
      <c r="T98" s="647">
        <f>SUMIF(請求Data!$G$11:$G$160,CONCATENATE(VLOOKUP(P$5,$G$1:$H$4,2,FALSE),$E98,2),請求Data!$AG$11:$AG$160)-T14</f>
        <v>0</v>
      </c>
      <c r="U98" s="345"/>
      <c r="V98" s="126">
        <f>VLOOKUP($E98,'集計16-E'!$E$93:W$175,'集計16-E'!$V$7-$D$7,0)+VLOOKUP($E98,'集計F-15'!$E$93:W$175,'集計F-15'!$V$7-$D$7,0)</f>
        <v>0</v>
      </c>
      <c r="W98" s="435">
        <f>VLOOKUP($E98,'集計16-E'!$E$93:W$175,'集計16-E'!$W$7-$D$7,0)+VLOOKUP($E98,'集計F-15'!$E$93:W$175,'集計F-15'!$W$7-$D$7,0)</f>
        <v>0</v>
      </c>
      <c r="X98" s="345"/>
      <c r="Y98" s="646">
        <f>VLOOKUP($E98,'集計16-E'!$E$93:AF$175,'集計16-E'!$Y$7-$D$7,0)+VLOOKUP($E98,'集計F-15'!$E$93:AF$175,'集計F-15'!$Y$7-$D$7,0)-$AB98</f>
        <v>0</v>
      </c>
      <c r="Z98" s="647">
        <f>VLOOKUP($E98,'集計16-E'!$E$93:AF$175,'集計16-E'!$Z$7-$D$7,0)+VLOOKUP($E98,'集計F-15'!$E$93:AF$175,'集計F-15'!$Z$7-$D$7,0)-$AC98</f>
        <v>0</v>
      </c>
      <c r="AA98" s="345"/>
      <c r="AB98" s="638">
        <f>SUMIF(請求Data!$G$11:$G$160,CONCATENATE(VLOOKUP(Y$5,$G$1:$H$4,2,FALSE),$E98,2),請求Data!$AF$11:$AF$160)-AB14</f>
        <v>0</v>
      </c>
      <c r="AC98" s="647">
        <f>SUMIF(請求Data!$G$11:$G$160,CONCATENATE(VLOOKUP(Y$5,$G$1:$H$4,2,FALSE),$E98,2),請求Data!$AG$11:$AG$160)-AC14</f>
        <v>0</v>
      </c>
      <c r="AD98" s="345"/>
      <c r="AE98" s="126">
        <f>VLOOKUP($E98,'集計16-E'!$E$93:AF$175,'集計16-E'!$AE$7-$D$7,0)+VLOOKUP($E98,'集計F-15'!$E$93:AF$175,'集計F-15'!$AE$7-$D$7,0)</f>
        <v>0</v>
      </c>
      <c r="AF98" s="435">
        <f>VLOOKUP($E98,'集計16-E'!$E$93:AF$175,'集計16-E'!$AF$7-$D$7,0)+VLOOKUP($E98,'集計F-15'!$E$93:AF$175,'集計F-15'!$AF$7-$D$7,0)</f>
        <v>0</v>
      </c>
    </row>
    <row r="99" spans="1:32">
      <c r="A99" s="475" t="str">
        <f>IF(SUMIFS($G99:$AF99,$G$8:$AF$8,"金額",$G99:$AF99,"&gt;0")-SUMIFS($G99:$AF99,$G$8:$AF$8,"金額",$G99:$AF99,"&lt;0")&lt;=0,"",MAX($A$92:$A98)+1)</f>
        <v/>
      </c>
      <c r="B99" s="795"/>
      <c r="C99" s="245" t="str">
        <f t="shared" si="3"/>
        <v>経費</v>
      </c>
      <c r="D99" s="245">
        <v>7</v>
      </c>
      <c r="E99" s="593" t="str">
        <f>IF($F99&lt;&gt;"",INDEX(ﾏｽﾀ!$D$8:$D$124,MATCH(INDEX(ﾏｽﾀ!$N$8:$N$124,MATCH($F99,ﾏｽﾀ!$O$8:$O$124,0)),ﾏｽﾀ!$B$8:$B$124,0))&amp;"","")</f>
        <v>10016</v>
      </c>
      <c r="F99" s="594" t="str">
        <f>ﾏｽﾀ!$R14&amp;""</f>
        <v>株式会社 バンダイ　5000／ボーイズトイ事業部</v>
      </c>
      <c r="G99" s="634">
        <f>VLOOKUP($E99,'集計16-E'!$E$93:N$174,'集計16-E'!$G$7-$D$7,FALSE)+VLOOKUP($E99,'集計F-15'!$E$93:N$174,'集計F-15'!$G$7-$D$7,FALSE)-INDEX($J$93:$J$174,MATCH($E99,$E$93:$E$174,0))</f>
        <v>0</v>
      </c>
      <c r="H99" s="629">
        <f>VLOOKUP($E99,'集計16-E'!$E$93:N$174,'集計16-E'!$H$7-$D$7,FALSE)+VLOOKUP($E99,'集計F-15'!$E$93:N$174,'集計F-15'!$H$7-$D$7,FALSE)-INDEX($K$93:$K$174,MATCH($E99,$E$93:$E$174,0))</f>
        <v>0</v>
      </c>
      <c r="I99" s="345"/>
      <c r="J99" s="628">
        <f>SUMIF(請求Data!$G$11:$G$160,CONCATENATE(VLOOKUP(G$5,$G$1:$H$4,2,FALSE),$E99,2),請求Data!$AF$11:$AF$160)-INDEX($J$9:$J$90,MATCH($E99,$E$9:$E$90,0))</f>
        <v>0</v>
      </c>
      <c r="K99" s="629">
        <f>SUMIF(請求Data!$G$11:$G$160,CONCATENATE(VLOOKUP(G$5,$G$1:$H$4,2,FALSE),$E99,2),請求Data!$AG$11:$AG$160)-INDEX($K$9:$K$90,MATCH($E99,$E$9:$E$90,0))</f>
        <v>0</v>
      </c>
      <c r="L99" s="345"/>
      <c r="M99" s="126">
        <f>VLOOKUP($E99,'集計16-E'!$E$93:N$175,'集計16-E'!$M$7-$D$7,FALSE)+VLOOKUP($E99,'集計F-15'!$E$93:N$175,'集計F-15'!$M$7-$D$7,FALSE)</f>
        <v>0</v>
      </c>
      <c r="N99" s="434">
        <f>VLOOKUP($E99,'集計16-E'!$E$93:N$175,'集計16-E'!$N$7-$D$7,FALSE)+VLOOKUP($E99,'集計F-15'!$E$93:N$175,'集計F-15'!$N$7-$D$7,FALSE)</f>
        <v>0</v>
      </c>
      <c r="O99" s="345"/>
      <c r="P99" s="646">
        <f>VLOOKUP($E99,'集計16-E'!$E$93:W$175,'集計16-E'!$P$7-$D$7,0)+VLOOKUP($E99,'集計F-15'!$E$93:W$175,'集計F-15'!$P$7-$D$7,0)-$S99</f>
        <v>0</v>
      </c>
      <c r="Q99" s="647">
        <f>VLOOKUP($E99,'集計16-E'!$E$93:W$175,'集計16-E'!$Q$7-$D$7,0)+VLOOKUP($E99,'集計F-15'!$E$93:W$175,'集計F-15'!$Q$7-$D$7,0)-$T99</f>
        <v>0</v>
      </c>
      <c r="R99" s="345"/>
      <c r="S99" s="638">
        <f>SUMIF(請求Data!$G$11:$G$160,CONCATENATE(VLOOKUP(P$5,$G$1:$H$4,2,FALSE),$E99,2),請求Data!$AF$11:$AF$160)-S15</f>
        <v>0</v>
      </c>
      <c r="T99" s="647">
        <f>SUMIF(請求Data!$G$11:$G$160,CONCATENATE(VLOOKUP(P$5,$G$1:$H$4,2,FALSE),$E99,2),請求Data!$AG$11:$AG$160)-T15</f>
        <v>0</v>
      </c>
      <c r="U99" s="345"/>
      <c r="V99" s="126">
        <f>VLOOKUP($E99,'集計16-E'!$E$93:W$175,'集計16-E'!$V$7-$D$7,0)+VLOOKUP($E99,'集計F-15'!$E$93:W$175,'集計F-15'!$V$7-$D$7,0)</f>
        <v>0</v>
      </c>
      <c r="W99" s="435">
        <f>VLOOKUP($E99,'集計16-E'!$E$93:W$175,'集計16-E'!$W$7-$D$7,0)+VLOOKUP($E99,'集計F-15'!$E$93:W$175,'集計F-15'!$W$7-$D$7,0)</f>
        <v>0</v>
      </c>
      <c r="X99" s="345"/>
      <c r="Y99" s="646">
        <f>VLOOKUP($E99,'集計16-E'!$E$93:AF$175,'集計16-E'!$Y$7-$D$7,0)+VLOOKUP($E99,'集計F-15'!$E$93:AF$175,'集計F-15'!$Y$7-$D$7,0)-$AB99</f>
        <v>0</v>
      </c>
      <c r="Z99" s="647">
        <f>VLOOKUP($E99,'集計16-E'!$E$93:AF$175,'集計16-E'!$Z$7-$D$7,0)+VLOOKUP($E99,'集計F-15'!$E$93:AF$175,'集計F-15'!$Z$7-$D$7,0)-$AC99</f>
        <v>0</v>
      </c>
      <c r="AA99" s="345"/>
      <c r="AB99" s="638">
        <f>SUMIF(請求Data!$G$11:$G$160,CONCATENATE(VLOOKUP(Y$5,$G$1:$H$4,2,FALSE),$E99,2),請求Data!$AF$11:$AF$160)-AB15</f>
        <v>0</v>
      </c>
      <c r="AC99" s="647">
        <f>SUMIF(請求Data!$G$11:$G$160,CONCATENATE(VLOOKUP(Y$5,$G$1:$H$4,2,FALSE),$E99,2),請求Data!$AG$11:$AG$160)-AC15</f>
        <v>0</v>
      </c>
      <c r="AD99" s="345"/>
      <c r="AE99" s="126">
        <f>VLOOKUP($E99,'集計16-E'!$E$93:AF$175,'集計16-E'!$AE$7-$D$7,0)+VLOOKUP($E99,'集計F-15'!$E$93:AF$175,'集計F-15'!$AE$7-$D$7,0)</f>
        <v>0</v>
      </c>
      <c r="AF99" s="435">
        <f>VLOOKUP($E99,'集計16-E'!$E$93:AF$175,'集計16-E'!$AF$7-$D$7,0)+VLOOKUP($E99,'集計F-15'!$E$93:AF$175,'集計F-15'!$AF$7-$D$7,0)</f>
        <v>0</v>
      </c>
    </row>
    <row r="100" spans="1:32">
      <c r="A100" s="475" t="str">
        <f>IF(SUMIFS($G100:$AF100,$G$8:$AF$8,"金額",$G100:$AF100,"&gt;0")-SUMIFS($G100:$AF100,$G$8:$AF$8,"金額",$G100:$AF100,"&lt;0")&lt;=0,"",MAX($A$92:$A99)+1)</f>
        <v/>
      </c>
      <c r="B100" s="795"/>
      <c r="C100" s="245" t="str">
        <f t="shared" si="3"/>
        <v>経費</v>
      </c>
      <c r="D100" s="245">
        <v>8</v>
      </c>
      <c r="E100" s="593" t="str">
        <f>IF($F100&lt;&gt;"",INDEX(ﾏｽﾀ!$D$8:$D$124,MATCH(INDEX(ﾏｽﾀ!$N$8:$N$124,MATCH($F100,ﾏｽﾀ!$O$8:$O$124,0)),ﾏｽﾀ!$B$8:$B$124,0))&amp;"","")</f>
        <v>10019</v>
      </c>
      <c r="F100" s="594" t="str">
        <f>ﾏｽﾀ!$R15&amp;""</f>
        <v>株式会社 バンダイ　4200／ガールズトイ事業部</v>
      </c>
      <c r="G100" s="634">
        <f>VLOOKUP($E100,'集計16-E'!$E$93:N$174,'集計16-E'!$G$7-$D$7,FALSE)+VLOOKUP($E100,'集計F-15'!$E$93:N$174,'集計F-15'!$G$7-$D$7,FALSE)-INDEX($J$93:$J$174,MATCH($E100,$E$93:$E$174,0))</f>
        <v>0</v>
      </c>
      <c r="H100" s="629">
        <f>VLOOKUP($E100,'集計16-E'!$E$93:N$174,'集計16-E'!$H$7-$D$7,FALSE)+VLOOKUP($E100,'集計F-15'!$E$93:N$174,'集計F-15'!$H$7-$D$7,FALSE)-INDEX($K$93:$K$174,MATCH($E100,$E$93:$E$174,0))</f>
        <v>0</v>
      </c>
      <c r="I100" s="345"/>
      <c r="J100" s="628">
        <f>SUMIF(請求Data!$G$11:$G$160,CONCATENATE(VLOOKUP(G$5,$G$1:$H$4,2,FALSE),$E100,2),請求Data!$AF$11:$AF$160)-INDEX($J$9:$J$90,MATCH($E100,$E$9:$E$90,0))</f>
        <v>0</v>
      </c>
      <c r="K100" s="629">
        <f>SUMIF(請求Data!$G$11:$G$160,CONCATENATE(VLOOKUP(G$5,$G$1:$H$4,2,FALSE),$E100,2),請求Data!$AG$11:$AG$160)-INDEX($K$9:$K$90,MATCH($E100,$E$9:$E$90,0))</f>
        <v>0</v>
      </c>
      <c r="L100" s="345"/>
      <c r="M100" s="126">
        <f>VLOOKUP($E100,'集計16-E'!$E$93:N$175,'集計16-E'!$M$7-$D$7,FALSE)+VLOOKUP($E100,'集計F-15'!$E$93:N$175,'集計F-15'!$M$7-$D$7,FALSE)</f>
        <v>0</v>
      </c>
      <c r="N100" s="434">
        <f>VLOOKUP($E100,'集計16-E'!$E$93:N$175,'集計16-E'!$N$7-$D$7,FALSE)+VLOOKUP($E100,'集計F-15'!$E$93:N$175,'集計F-15'!$N$7-$D$7,FALSE)</f>
        <v>0</v>
      </c>
      <c r="O100" s="345"/>
      <c r="P100" s="646">
        <f>VLOOKUP($E100,'集計16-E'!$E$93:W$175,'集計16-E'!$P$7-$D$7,0)+VLOOKUP($E100,'集計F-15'!$E$93:W$175,'集計F-15'!$P$7-$D$7,0)-$S100</f>
        <v>0</v>
      </c>
      <c r="Q100" s="647">
        <f>VLOOKUP($E100,'集計16-E'!$E$93:W$175,'集計16-E'!$Q$7-$D$7,0)+VLOOKUP($E100,'集計F-15'!$E$93:W$175,'集計F-15'!$Q$7-$D$7,0)-$T100</f>
        <v>0</v>
      </c>
      <c r="R100" s="345"/>
      <c r="S100" s="638">
        <f>SUMIF(請求Data!$G$11:$G$160,CONCATENATE(VLOOKUP(P$5,$G$1:$H$4,2,FALSE),$E100,2),請求Data!$AF$11:$AF$160)-S16</f>
        <v>0</v>
      </c>
      <c r="T100" s="647">
        <f>SUMIF(請求Data!$G$11:$G$160,CONCATENATE(VLOOKUP(P$5,$G$1:$H$4,2,FALSE),$E100,2),請求Data!$AG$11:$AG$160)-T16</f>
        <v>0</v>
      </c>
      <c r="U100" s="345"/>
      <c r="V100" s="126">
        <f>VLOOKUP($E100,'集計16-E'!$E$93:W$175,'集計16-E'!$V$7-$D$7,0)+VLOOKUP($E100,'集計F-15'!$E$93:W$175,'集計F-15'!$V$7-$D$7,0)</f>
        <v>0</v>
      </c>
      <c r="W100" s="435">
        <f>VLOOKUP($E100,'集計16-E'!$E$93:W$175,'集計16-E'!$W$7-$D$7,0)+VLOOKUP($E100,'集計F-15'!$E$93:W$175,'集計F-15'!$W$7-$D$7,0)</f>
        <v>0</v>
      </c>
      <c r="X100" s="345"/>
      <c r="Y100" s="646">
        <f>VLOOKUP($E100,'集計16-E'!$E$93:AF$175,'集計16-E'!$Y$7-$D$7,0)+VLOOKUP($E100,'集計F-15'!$E$93:AF$175,'集計F-15'!$Y$7-$D$7,0)-$AB100</f>
        <v>0</v>
      </c>
      <c r="Z100" s="647">
        <f>VLOOKUP($E100,'集計16-E'!$E$93:AF$175,'集計16-E'!$Z$7-$D$7,0)+VLOOKUP($E100,'集計F-15'!$E$93:AF$175,'集計F-15'!$Z$7-$D$7,0)-$AC100</f>
        <v>0</v>
      </c>
      <c r="AA100" s="345"/>
      <c r="AB100" s="638">
        <f>SUMIF(請求Data!$G$11:$G$160,CONCATENATE(VLOOKUP(Y$5,$G$1:$H$4,2,FALSE),$E100,2),請求Data!$AF$11:$AF$160)-AB16</f>
        <v>0</v>
      </c>
      <c r="AC100" s="647">
        <f>SUMIF(請求Data!$G$11:$G$160,CONCATENATE(VLOOKUP(Y$5,$G$1:$H$4,2,FALSE),$E100,2),請求Data!$AG$11:$AG$160)-AC16</f>
        <v>0</v>
      </c>
      <c r="AD100" s="345"/>
      <c r="AE100" s="126">
        <f>VLOOKUP($E100,'集計16-E'!$E$93:AF$175,'集計16-E'!$AE$7-$D$7,0)+VLOOKUP($E100,'集計F-15'!$E$93:AF$175,'集計F-15'!$AE$7-$D$7,0)</f>
        <v>0</v>
      </c>
      <c r="AF100" s="435">
        <f>VLOOKUP($E100,'集計16-E'!$E$93:AF$175,'集計16-E'!$AF$7-$D$7,0)+VLOOKUP($E100,'集計F-15'!$E$93:AF$175,'集計F-15'!$AF$7-$D$7,0)</f>
        <v>0</v>
      </c>
    </row>
    <row r="101" spans="1:32">
      <c r="A101" s="475" t="str">
        <f>IF(SUMIFS($G101:$AF101,$G$8:$AF$8,"金額",$G101:$AF101,"&gt;0")-SUMIFS($G101:$AF101,$G$8:$AF$8,"金額",$G101:$AF101,"&lt;0")&lt;=0,"",MAX($A$92:$A100)+1)</f>
        <v/>
      </c>
      <c r="B101" s="795"/>
      <c r="C101" s="245" t="str">
        <f t="shared" si="3"/>
        <v>経費</v>
      </c>
      <c r="D101" s="245">
        <v>9</v>
      </c>
      <c r="E101" s="593" t="str">
        <f>IF($F101&lt;&gt;"",INDEX(ﾏｽﾀ!$D$8:$D$124,MATCH(INDEX(ﾏｽﾀ!$N$8:$N$124,MATCH($F101,ﾏｽﾀ!$O$8:$O$124,0)),ﾏｽﾀ!$B$8:$B$124,0))&amp;"","")</f>
        <v>10020</v>
      </c>
      <c r="F101" s="594" t="str">
        <f>ﾏｽﾀ!$R16&amp;""</f>
        <v>株式会社 バンダイ　5000／ガールズトイ事業部</v>
      </c>
      <c r="G101" s="634">
        <f>VLOOKUP($E101,'集計16-E'!$E$93:N$174,'集計16-E'!$G$7-$D$7,FALSE)+VLOOKUP($E101,'集計F-15'!$E$93:N$174,'集計F-15'!$G$7-$D$7,FALSE)-INDEX($J$93:$J$174,MATCH($E101,$E$93:$E$174,0))</f>
        <v>0</v>
      </c>
      <c r="H101" s="629">
        <f>VLOOKUP($E101,'集計16-E'!$E$93:N$174,'集計16-E'!$H$7-$D$7,FALSE)+VLOOKUP($E101,'集計F-15'!$E$93:N$174,'集計F-15'!$H$7-$D$7,FALSE)-INDEX($K$93:$K$174,MATCH($E101,$E$93:$E$174,0))</f>
        <v>0</v>
      </c>
      <c r="I101" s="345"/>
      <c r="J101" s="628">
        <f>SUMIF(請求Data!$G$11:$G$160,CONCATENATE(VLOOKUP(G$5,$G$1:$H$4,2,FALSE),$E101,2),請求Data!$AF$11:$AF$160)-INDEX($J$9:$J$90,MATCH($E101,$E$9:$E$90,0))</f>
        <v>0</v>
      </c>
      <c r="K101" s="629">
        <f>SUMIF(請求Data!$G$11:$G$160,CONCATENATE(VLOOKUP(G$5,$G$1:$H$4,2,FALSE),$E101,2),請求Data!$AG$11:$AG$160)-INDEX($K$9:$K$90,MATCH($E101,$E$9:$E$90,0))</f>
        <v>0</v>
      </c>
      <c r="L101" s="345"/>
      <c r="M101" s="126">
        <f>VLOOKUP($E101,'集計16-E'!$E$93:N$175,'集計16-E'!$M$7-$D$7,FALSE)+VLOOKUP($E101,'集計F-15'!$E$93:N$175,'集計F-15'!$M$7-$D$7,FALSE)</f>
        <v>0</v>
      </c>
      <c r="N101" s="434">
        <f>VLOOKUP($E101,'集計16-E'!$E$93:N$175,'集計16-E'!$N$7-$D$7,FALSE)+VLOOKUP($E101,'集計F-15'!$E$93:N$175,'集計F-15'!$N$7-$D$7,FALSE)</f>
        <v>0</v>
      </c>
      <c r="O101" s="345"/>
      <c r="P101" s="646">
        <f>VLOOKUP($E101,'集計16-E'!$E$93:W$175,'集計16-E'!$P$7-$D$7,0)+VLOOKUP($E101,'集計F-15'!$E$93:W$175,'集計F-15'!$P$7-$D$7,0)-$S101</f>
        <v>0</v>
      </c>
      <c r="Q101" s="647">
        <f>VLOOKUP($E101,'集計16-E'!$E$93:W$175,'集計16-E'!$Q$7-$D$7,0)+VLOOKUP($E101,'集計F-15'!$E$93:W$175,'集計F-15'!$Q$7-$D$7,0)-$T101</f>
        <v>0</v>
      </c>
      <c r="R101" s="345"/>
      <c r="S101" s="638">
        <f>SUMIF(請求Data!$G$11:$G$160,CONCATENATE(VLOOKUP(P$5,$G$1:$H$4,2,FALSE),$E101,2),請求Data!$AF$11:$AF$160)-S17</f>
        <v>0</v>
      </c>
      <c r="T101" s="647">
        <f>SUMIF(請求Data!$G$11:$G$160,CONCATENATE(VLOOKUP(P$5,$G$1:$H$4,2,FALSE),$E101,2),請求Data!$AG$11:$AG$160)-T17</f>
        <v>0</v>
      </c>
      <c r="U101" s="345"/>
      <c r="V101" s="126">
        <f>VLOOKUP($E101,'集計16-E'!$E$93:W$175,'集計16-E'!$V$7-$D$7,0)+VLOOKUP($E101,'集計F-15'!$E$93:W$175,'集計F-15'!$V$7-$D$7,0)</f>
        <v>0</v>
      </c>
      <c r="W101" s="435">
        <f>VLOOKUP($E101,'集計16-E'!$E$93:W$175,'集計16-E'!$W$7-$D$7,0)+VLOOKUP($E101,'集計F-15'!$E$93:W$175,'集計F-15'!$W$7-$D$7,0)</f>
        <v>0</v>
      </c>
      <c r="X101" s="345"/>
      <c r="Y101" s="646">
        <f>VLOOKUP($E101,'集計16-E'!$E$93:AF$175,'集計16-E'!$Y$7-$D$7,0)+VLOOKUP($E101,'集計F-15'!$E$93:AF$175,'集計F-15'!$Y$7-$D$7,0)-$AB101</f>
        <v>0</v>
      </c>
      <c r="Z101" s="647">
        <f>VLOOKUP($E101,'集計16-E'!$E$93:AF$175,'集計16-E'!$Z$7-$D$7,0)+VLOOKUP($E101,'集計F-15'!$E$93:AF$175,'集計F-15'!$Z$7-$D$7,0)-$AC101</f>
        <v>0</v>
      </c>
      <c r="AA101" s="345"/>
      <c r="AB101" s="638">
        <f>SUMIF(請求Data!$G$11:$G$160,CONCATENATE(VLOOKUP(Y$5,$G$1:$H$4,2,FALSE),$E101,2),請求Data!$AF$11:$AF$160)-AB17</f>
        <v>0</v>
      </c>
      <c r="AC101" s="647">
        <f>SUMIF(請求Data!$G$11:$G$160,CONCATENATE(VLOOKUP(Y$5,$G$1:$H$4,2,FALSE),$E101,2),請求Data!$AG$11:$AG$160)-AC17</f>
        <v>0</v>
      </c>
      <c r="AD101" s="345"/>
      <c r="AE101" s="126">
        <f>VLOOKUP($E101,'集計16-E'!$E$93:AF$175,'集計16-E'!$AE$7-$D$7,0)+VLOOKUP($E101,'集計F-15'!$E$93:AF$175,'集計F-15'!$AE$7-$D$7,0)</f>
        <v>0</v>
      </c>
      <c r="AF101" s="435">
        <f>VLOOKUP($E101,'集計16-E'!$E$93:AF$175,'集計16-E'!$AF$7-$D$7,0)+VLOOKUP($E101,'集計F-15'!$E$93:AF$175,'集計F-15'!$AF$7-$D$7,0)</f>
        <v>0</v>
      </c>
    </row>
    <row r="102" spans="1:32">
      <c r="A102" s="475" t="str">
        <f>IF(SUMIFS($G102:$AF102,$G$8:$AF$8,"金額",$G102:$AF102,"&gt;0")-SUMIFS($G102:$AF102,$G$8:$AF$8,"金額",$G102:$AF102,"&lt;0")&lt;=0,"",MAX($A$92:$A101)+1)</f>
        <v/>
      </c>
      <c r="B102" s="795"/>
      <c r="C102" s="245" t="str">
        <f t="shared" si="3"/>
        <v>経費</v>
      </c>
      <c r="D102" s="245">
        <v>10</v>
      </c>
      <c r="E102" s="593" t="str">
        <f>IF($F102&lt;&gt;"",INDEX(ﾏｽﾀ!$D$8:$D$124,MATCH(INDEX(ﾏｽﾀ!$N$8:$N$124,MATCH($F102,ﾏｽﾀ!$O$8:$O$124,0)),ﾏｽﾀ!$B$8:$B$124,0))&amp;"","")</f>
        <v>10023</v>
      </c>
      <c r="F102" s="594" t="str">
        <f>ﾏｽﾀ!$R17&amp;""</f>
        <v>株式会社 バンダイ　3100／プロダクトマネジメント部</v>
      </c>
      <c r="G102" s="634">
        <f>VLOOKUP($E102,'集計16-E'!$E$93:N$174,'集計16-E'!$G$7-$D$7,FALSE)+VLOOKUP($E102,'集計F-15'!$E$93:N$174,'集計F-15'!$G$7-$D$7,FALSE)-INDEX($J$93:$J$174,MATCH($E102,$E$93:$E$174,0))</f>
        <v>0</v>
      </c>
      <c r="H102" s="629">
        <f>VLOOKUP($E102,'集計16-E'!$E$93:N$174,'集計16-E'!$H$7-$D$7,FALSE)+VLOOKUP($E102,'集計F-15'!$E$93:N$174,'集計F-15'!$H$7-$D$7,FALSE)-INDEX($K$93:$K$174,MATCH($E102,$E$93:$E$174,0))</f>
        <v>0</v>
      </c>
      <c r="I102" s="345"/>
      <c r="J102" s="628">
        <f>SUMIF(請求Data!$G$11:$G$160,CONCATENATE(VLOOKUP(G$5,$G$1:$H$4,2,FALSE),$E102,2),請求Data!$AF$11:$AF$160)-INDEX($J$9:$J$90,MATCH($E102,$E$9:$E$90,0))</f>
        <v>0</v>
      </c>
      <c r="K102" s="629">
        <f>SUMIF(請求Data!$G$11:$G$160,CONCATENATE(VLOOKUP(G$5,$G$1:$H$4,2,FALSE),$E102,2),請求Data!$AG$11:$AG$160)-INDEX($K$9:$K$90,MATCH($E102,$E$9:$E$90,0))</f>
        <v>0</v>
      </c>
      <c r="L102" s="345"/>
      <c r="M102" s="126">
        <f>VLOOKUP($E102,'集計16-E'!$E$93:N$175,'集計16-E'!$M$7-$D$7,FALSE)+VLOOKUP($E102,'集計F-15'!$E$93:N$175,'集計F-15'!$M$7-$D$7,FALSE)</f>
        <v>0</v>
      </c>
      <c r="N102" s="434">
        <f>VLOOKUP($E102,'集計16-E'!$E$93:N$175,'集計16-E'!$N$7-$D$7,FALSE)+VLOOKUP($E102,'集計F-15'!$E$93:N$175,'集計F-15'!$N$7-$D$7,FALSE)</f>
        <v>0</v>
      </c>
      <c r="O102" s="345"/>
      <c r="P102" s="646">
        <f>VLOOKUP($E102,'集計16-E'!$E$93:W$175,'集計16-E'!$P$7-$D$7,0)+VLOOKUP($E102,'集計F-15'!$E$93:W$175,'集計F-15'!$P$7-$D$7,0)-$S102</f>
        <v>0</v>
      </c>
      <c r="Q102" s="647">
        <f>VLOOKUP($E102,'集計16-E'!$E$93:W$175,'集計16-E'!$Q$7-$D$7,0)+VLOOKUP($E102,'集計F-15'!$E$93:W$175,'集計F-15'!$Q$7-$D$7,0)-$T102</f>
        <v>0</v>
      </c>
      <c r="R102" s="345"/>
      <c r="S102" s="638">
        <f>SUMIF(請求Data!$G$11:$G$160,CONCATENATE(VLOOKUP(P$5,$G$1:$H$4,2,FALSE),$E102,2),請求Data!$AF$11:$AF$160)-S18</f>
        <v>0</v>
      </c>
      <c r="T102" s="647">
        <f>SUMIF(請求Data!$G$11:$G$160,CONCATENATE(VLOOKUP(P$5,$G$1:$H$4,2,FALSE),$E102,2),請求Data!$AG$11:$AG$160)-T18</f>
        <v>0</v>
      </c>
      <c r="U102" s="345"/>
      <c r="V102" s="126">
        <f>VLOOKUP($E102,'集計16-E'!$E$93:W$175,'集計16-E'!$V$7-$D$7,0)+VLOOKUP($E102,'集計F-15'!$E$93:W$175,'集計F-15'!$V$7-$D$7,0)</f>
        <v>0</v>
      </c>
      <c r="W102" s="435">
        <f>VLOOKUP($E102,'集計16-E'!$E$93:W$175,'集計16-E'!$W$7-$D$7,0)+VLOOKUP($E102,'集計F-15'!$E$93:W$175,'集計F-15'!$W$7-$D$7,0)</f>
        <v>0</v>
      </c>
      <c r="X102" s="345"/>
      <c r="Y102" s="646">
        <f>VLOOKUP($E102,'集計16-E'!$E$93:AF$175,'集計16-E'!$Y$7-$D$7,0)+VLOOKUP($E102,'集計F-15'!$E$93:AF$175,'集計F-15'!$Y$7-$D$7,0)-$AB102</f>
        <v>0</v>
      </c>
      <c r="Z102" s="647">
        <f>VLOOKUP($E102,'集計16-E'!$E$93:AF$175,'集計16-E'!$Z$7-$D$7,0)+VLOOKUP($E102,'集計F-15'!$E$93:AF$175,'集計F-15'!$Z$7-$D$7,0)-$AC102</f>
        <v>0</v>
      </c>
      <c r="AA102" s="345"/>
      <c r="AB102" s="638">
        <f>SUMIF(請求Data!$G$11:$G$160,CONCATENATE(VLOOKUP(Y$5,$G$1:$H$4,2,FALSE),$E102,2),請求Data!$AF$11:$AF$160)-AB18</f>
        <v>0</v>
      </c>
      <c r="AC102" s="647">
        <f>SUMIF(請求Data!$G$11:$G$160,CONCATENATE(VLOOKUP(Y$5,$G$1:$H$4,2,FALSE),$E102,2),請求Data!$AG$11:$AG$160)-AC18</f>
        <v>0</v>
      </c>
      <c r="AD102" s="345"/>
      <c r="AE102" s="126">
        <f>VLOOKUP($E102,'集計16-E'!$E$93:AF$175,'集計16-E'!$AE$7-$D$7,0)+VLOOKUP($E102,'集計F-15'!$E$93:AF$175,'集計F-15'!$AE$7-$D$7,0)</f>
        <v>0</v>
      </c>
      <c r="AF102" s="435">
        <f>VLOOKUP($E102,'集計16-E'!$E$93:AF$175,'集計16-E'!$AF$7-$D$7,0)+VLOOKUP($E102,'集計F-15'!$E$93:AF$175,'集計F-15'!$AF$7-$D$7,0)</f>
        <v>0</v>
      </c>
    </row>
    <row r="103" spans="1:32">
      <c r="A103" s="475" t="str">
        <f>IF(SUMIFS($G103:$AF103,$G$8:$AF$8,"金額",$G103:$AF103,"&gt;0")-SUMIFS($G103:$AF103,$G$8:$AF$8,"金額",$G103:$AF103,"&lt;0")&lt;=0,"",MAX($A$92:$A102)+1)</f>
        <v/>
      </c>
      <c r="B103" s="795"/>
      <c r="C103" s="245" t="str">
        <f t="shared" si="3"/>
        <v>経費</v>
      </c>
      <c r="D103" s="245">
        <v>11</v>
      </c>
      <c r="E103" s="593" t="str">
        <f>IF($F103&lt;&gt;"",INDEX(ﾏｽﾀ!$D$8:$D$124,MATCH(INDEX(ﾏｽﾀ!$N$8:$N$124,MATCH($F103,ﾏｽﾀ!$O$8:$O$124,0)),ﾏｽﾀ!$B$8:$B$124,0))&amp;"","")</f>
        <v>10000</v>
      </c>
      <c r="F103" s="594" t="str">
        <f>ﾏｽﾀ!$R18&amp;""</f>
        <v>株式会社 バンダイ部</v>
      </c>
      <c r="G103" s="634">
        <f>VLOOKUP($E103,'集計16-E'!$E$93:N$174,'集計16-E'!$G$7-$D$7,FALSE)+VLOOKUP($E103,'集計F-15'!$E$93:N$174,'集計F-15'!$G$7-$D$7,FALSE)-INDEX($J$93:$J$174,MATCH($E103,$E$93:$E$174,0))</f>
        <v>0</v>
      </c>
      <c r="H103" s="629">
        <f>VLOOKUP($E103,'集計16-E'!$E$93:N$174,'集計16-E'!$H$7-$D$7,FALSE)+VLOOKUP($E103,'集計F-15'!$E$93:N$174,'集計F-15'!$H$7-$D$7,FALSE)-INDEX($K$93:$K$174,MATCH($E103,$E$93:$E$174,0))</f>
        <v>0</v>
      </c>
      <c r="I103" s="345"/>
      <c r="J103" s="628">
        <f>SUMIF(請求Data!$G$11:$G$160,CONCATENATE(VLOOKUP(G$5,$G$1:$H$4,2,FALSE),$E103,2),請求Data!$AF$11:$AF$160)-INDEX($J$9:$J$90,MATCH($E103,$E$9:$E$90,0))</f>
        <v>0</v>
      </c>
      <c r="K103" s="629">
        <f>SUMIF(請求Data!$G$11:$G$160,CONCATENATE(VLOOKUP(G$5,$G$1:$H$4,2,FALSE),$E103,2),請求Data!$AG$11:$AG$160)-INDEX($K$9:$K$90,MATCH($E103,$E$9:$E$90,0))</f>
        <v>0</v>
      </c>
      <c r="L103" s="345"/>
      <c r="M103" s="126">
        <f>VLOOKUP($E103,'集計16-E'!$E$93:N$175,'集計16-E'!$M$7-$D$7,FALSE)+VLOOKUP($E103,'集計F-15'!$E$93:N$175,'集計F-15'!$M$7-$D$7,FALSE)</f>
        <v>0</v>
      </c>
      <c r="N103" s="434">
        <f>VLOOKUP($E103,'集計16-E'!$E$93:N$175,'集計16-E'!$N$7-$D$7,FALSE)+VLOOKUP($E103,'集計F-15'!$E$93:N$175,'集計F-15'!$N$7-$D$7,FALSE)</f>
        <v>0</v>
      </c>
      <c r="O103" s="345"/>
      <c r="P103" s="646">
        <f>VLOOKUP($E103,'集計16-E'!$E$93:W$175,'集計16-E'!$P$7-$D$7,0)+VLOOKUP($E103,'集計F-15'!$E$93:W$175,'集計F-15'!$P$7-$D$7,0)-$S103</f>
        <v>0</v>
      </c>
      <c r="Q103" s="647">
        <f>VLOOKUP($E103,'集計16-E'!$E$93:W$175,'集計16-E'!$Q$7-$D$7,0)+VLOOKUP($E103,'集計F-15'!$E$93:W$175,'集計F-15'!$Q$7-$D$7,0)-$T103</f>
        <v>0</v>
      </c>
      <c r="R103" s="345"/>
      <c r="S103" s="638">
        <f>SUMIF(請求Data!$G$11:$G$160,CONCATENATE(VLOOKUP(P$5,$G$1:$H$4,2,FALSE),$E103,2),請求Data!$AF$11:$AF$160)-S19</f>
        <v>0</v>
      </c>
      <c r="T103" s="647">
        <f>SUMIF(請求Data!$G$11:$G$160,CONCATENATE(VLOOKUP(P$5,$G$1:$H$4,2,FALSE),$E103,2),請求Data!$AG$11:$AG$160)-T19</f>
        <v>0</v>
      </c>
      <c r="U103" s="345"/>
      <c r="V103" s="126">
        <f>VLOOKUP($E103,'集計16-E'!$E$93:W$175,'集計16-E'!$V$7-$D$7,0)+VLOOKUP($E103,'集計F-15'!$E$93:W$175,'集計F-15'!$V$7-$D$7,0)</f>
        <v>0</v>
      </c>
      <c r="W103" s="435">
        <f>VLOOKUP($E103,'集計16-E'!$E$93:W$175,'集計16-E'!$W$7-$D$7,0)+VLOOKUP($E103,'集計F-15'!$E$93:W$175,'集計F-15'!$W$7-$D$7,0)</f>
        <v>0</v>
      </c>
      <c r="X103" s="345"/>
      <c r="Y103" s="646">
        <f>VLOOKUP($E103,'集計16-E'!$E$93:AF$175,'集計16-E'!$Y$7-$D$7,0)+VLOOKUP($E103,'集計F-15'!$E$93:AF$175,'集計F-15'!$Y$7-$D$7,0)-$AB103</f>
        <v>0</v>
      </c>
      <c r="Z103" s="647">
        <f>VLOOKUP($E103,'集計16-E'!$E$93:AF$175,'集計16-E'!$Z$7-$D$7,0)+VLOOKUP($E103,'集計F-15'!$E$93:AF$175,'集計F-15'!$Z$7-$D$7,0)-$AC103</f>
        <v>0</v>
      </c>
      <c r="AA103" s="345"/>
      <c r="AB103" s="638">
        <f>SUMIF(請求Data!$G$11:$G$160,CONCATENATE(VLOOKUP(Y$5,$G$1:$H$4,2,FALSE),$E103,2),請求Data!$AF$11:$AF$160)-AB19</f>
        <v>0</v>
      </c>
      <c r="AC103" s="647">
        <f>SUMIF(請求Data!$G$11:$G$160,CONCATENATE(VLOOKUP(Y$5,$G$1:$H$4,2,FALSE),$E103,2),請求Data!$AG$11:$AG$160)-AC19</f>
        <v>0</v>
      </c>
      <c r="AD103" s="345"/>
      <c r="AE103" s="126">
        <f>VLOOKUP($E103,'集計16-E'!$E$93:AF$175,'集計16-E'!$AE$7-$D$7,0)+VLOOKUP($E103,'集計F-15'!$E$93:AF$175,'集計F-15'!$AE$7-$D$7,0)</f>
        <v>0</v>
      </c>
      <c r="AF103" s="435">
        <f>VLOOKUP($E103,'集計16-E'!$E$93:AF$175,'集計16-E'!$AF$7-$D$7,0)+VLOOKUP($E103,'集計F-15'!$E$93:AF$175,'集計F-15'!$AF$7-$D$7,0)</f>
        <v>0</v>
      </c>
    </row>
    <row r="104" spans="1:32">
      <c r="A104" s="475" t="str">
        <f>IF(SUMIFS($G104:$AF104,$G$8:$AF$8,"金額",$G104:$AF104,"&gt;0")-SUMIFS($G104:$AF104,$G$8:$AF$8,"金額",$G104:$AF104,"&lt;0")&lt;=0,"",MAX($A$92:$A103)+1)</f>
        <v/>
      </c>
      <c r="B104" s="795"/>
      <c r="C104" s="245" t="str">
        <f t="shared" si="3"/>
        <v>経費</v>
      </c>
      <c r="D104" s="245">
        <v>12</v>
      </c>
      <c r="E104" s="593" t="str">
        <f>IF($F104&lt;&gt;"",INDEX(ﾏｽﾀ!$D$8:$D$124,MATCH(INDEX(ﾏｽﾀ!$N$8:$N$124,MATCH($F104,ﾏｽﾀ!$O$8:$O$124,0)),ﾏｽﾀ!$B$8:$B$124,0))&amp;"","")</f>
        <v>11001</v>
      </c>
      <c r="F104" s="594" t="str">
        <f>ﾏｽﾀ!$R19&amp;""</f>
        <v>株式会社BANDAI SPIRITS　4100／コレクターズ事業部</v>
      </c>
      <c r="G104" s="634">
        <f>VLOOKUP($E104,'集計16-E'!$E$93:N$174,'集計16-E'!$G$7-$D$7,FALSE)+VLOOKUP($E104,'集計F-15'!$E$93:N$174,'集計F-15'!$G$7-$D$7,FALSE)-INDEX($J$93:$J$174,MATCH($E104,$E$93:$E$174,0))</f>
        <v>0</v>
      </c>
      <c r="H104" s="629">
        <f>VLOOKUP($E104,'集計16-E'!$E$93:N$174,'集計16-E'!$H$7-$D$7,FALSE)+VLOOKUP($E104,'集計F-15'!$E$93:N$174,'集計F-15'!$H$7-$D$7,FALSE)-INDEX($K$93:$K$174,MATCH($E104,$E$93:$E$174,0))</f>
        <v>0</v>
      </c>
      <c r="I104" s="345"/>
      <c r="J104" s="628">
        <f>SUMIF(請求Data!$G$11:$G$160,CONCATENATE(VLOOKUP(G$5,$G$1:$H$4,2,FALSE),$E104,2),請求Data!$AF$11:$AF$160)-INDEX($J$9:$J$90,MATCH($E104,$E$9:$E$90,0))</f>
        <v>0</v>
      </c>
      <c r="K104" s="629">
        <f>SUMIF(請求Data!$G$11:$G$160,CONCATENATE(VLOOKUP(G$5,$G$1:$H$4,2,FALSE),$E104,2),請求Data!$AG$11:$AG$160)-INDEX($K$9:$K$90,MATCH($E104,$E$9:$E$90,0))</f>
        <v>0</v>
      </c>
      <c r="L104" s="345"/>
      <c r="M104" s="126">
        <f>VLOOKUP($E104,'集計16-E'!$E$93:N$175,'集計16-E'!$M$7-$D$7,FALSE)+VLOOKUP($E104,'集計F-15'!$E$93:N$175,'集計F-15'!$M$7-$D$7,FALSE)</f>
        <v>0</v>
      </c>
      <c r="N104" s="434">
        <f>VLOOKUP($E104,'集計16-E'!$E$93:N$175,'集計16-E'!$N$7-$D$7,FALSE)+VLOOKUP($E104,'集計F-15'!$E$93:N$175,'集計F-15'!$N$7-$D$7,FALSE)</f>
        <v>0</v>
      </c>
      <c r="O104" s="345"/>
      <c r="P104" s="646">
        <f>VLOOKUP($E104,'集計16-E'!$E$93:W$175,'集計16-E'!$P$7-$D$7,0)+VLOOKUP($E104,'集計F-15'!$E$93:W$175,'集計F-15'!$P$7-$D$7,0)-$S104</f>
        <v>0</v>
      </c>
      <c r="Q104" s="647">
        <f>VLOOKUP($E104,'集計16-E'!$E$93:W$175,'集計16-E'!$Q$7-$D$7,0)+VLOOKUP($E104,'集計F-15'!$E$93:W$175,'集計F-15'!$Q$7-$D$7,0)-$T104</f>
        <v>0</v>
      </c>
      <c r="R104" s="345"/>
      <c r="S104" s="638">
        <f>SUMIF(請求Data!$G$11:$G$160,CONCATENATE(VLOOKUP(P$5,$G$1:$H$4,2,FALSE),$E104,2),請求Data!$AF$11:$AF$160)-S20</f>
        <v>0</v>
      </c>
      <c r="T104" s="647">
        <f>SUMIF(請求Data!$G$11:$G$160,CONCATENATE(VLOOKUP(P$5,$G$1:$H$4,2,FALSE),$E104,2),請求Data!$AG$11:$AG$160)-T20</f>
        <v>0</v>
      </c>
      <c r="U104" s="345"/>
      <c r="V104" s="126">
        <f>VLOOKUP($E104,'集計16-E'!$E$93:W$175,'集計16-E'!$V$7-$D$7,0)+VLOOKUP($E104,'集計F-15'!$E$93:W$175,'集計F-15'!$V$7-$D$7,0)</f>
        <v>0</v>
      </c>
      <c r="W104" s="435">
        <f>VLOOKUP($E104,'集計16-E'!$E$93:W$175,'集計16-E'!$W$7-$D$7,0)+VLOOKUP($E104,'集計F-15'!$E$93:W$175,'集計F-15'!$W$7-$D$7,0)</f>
        <v>0</v>
      </c>
      <c r="X104" s="345"/>
      <c r="Y104" s="646">
        <f>VLOOKUP($E104,'集計16-E'!$E$93:AF$175,'集計16-E'!$Y$7-$D$7,0)+VLOOKUP($E104,'集計F-15'!$E$93:AF$175,'集計F-15'!$Y$7-$D$7,0)-$AB104</f>
        <v>0</v>
      </c>
      <c r="Z104" s="647">
        <f>VLOOKUP($E104,'集計16-E'!$E$93:AF$175,'集計16-E'!$Z$7-$D$7,0)+VLOOKUP($E104,'集計F-15'!$E$93:AF$175,'集計F-15'!$Z$7-$D$7,0)-$AC104</f>
        <v>0</v>
      </c>
      <c r="AA104" s="345"/>
      <c r="AB104" s="638">
        <f>SUMIF(請求Data!$G$11:$G$160,CONCATENATE(VLOOKUP(Y$5,$G$1:$H$4,2,FALSE),$E104,2),請求Data!$AF$11:$AF$160)-AB20</f>
        <v>0</v>
      </c>
      <c r="AC104" s="647">
        <f>SUMIF(請求Data!$G$11:$G$160,CONCATENATE(VLOOKUP(Y$5,$G$1:$H$4,2,FALSE),$E104,2),請求Data!$AG$11:$AG$160)-AC20</f>
        <v>0</v>
      </c>
      <c r="AD104" s="345"/>
      <c r="AE104" s="126">
        <f>VLOOKUP($E104,'集計16-E'!$E$93:AF$175,'集計16-E'!$AE$7-$D$7,0)+VLOOKUP($E104,'集計F-15'!$E$93:AF$175,'集計F-15'!$AE$7-$D$7,0)</f>
        <v>0</v>
      </c>
      <c r="AF104" s="435">
        <f>VLOOKUP($E104,'集計16-E'!$E$93:AF$175,'集計16-E'!$AF$7-$D$7,0)+VLOOKUP($E104,'集計F-15'!$E$93:AF$175,'集計F-15'!$AF$7-$D$7,0)</f>
        <v>0</v>
      </c>
    </row>
    <row r="105" spans="1:32">
      <c r="A105" s="475" t="str">
        <f>IF(SUMIFS($G105:$AF105,$G$8:$AF$8,"金額",$G105:$AF105,"&gt;0")-SUMIFS($G105:$AF105,$G$8:$AF$8,"金額",$G105:$AF105,"&lt;0")&lt;=0,"",MAX($A$92:$A104)+1)</f>
        <v/>
      </c>
      <c r="B105" s="795"/>
      <c r="C105" s="245" t="str">
        <f t="shared" si="3"/>
        <v>経費</v>
      </c>
      <c r="D105" s="245">
        <v>13</v>
      </c>
      <c r="E105" s="593" t="str">
        <f>IF($F105&lt;&gt;"",INDEX(ﾏｽﾀ!$D$8:$D$124,MATCH(INDEX(ﾏｽﾀ!$N$8:$N$124,MATCH($F105,ﾏｽﾀ!$O$8:$O$124,0)),ﾏｽﾀ!$B$8:$B$124,0))&amp;"","")</f>
        <v>11002</v>
      </c>
      <c r="F105" s="594" t="str">
        <f>ﾏｽﾀ!$R20&amp;""</f>
        <v>株式会社BANDAI SPIRITS</v>
      </c>
      <c r="G105" s="634">
        <f>VLOOKUP($E105,'集計16-E'!$E$93:N$174,'集計16-E'!$G$7-$D$7,FALSE)+VLOOKUP($E105,'集計F-15'!$E$93:N$174,'集計F-15'!$G$7-$D$7,FALSE)-INDEX($J$93:$J$174,MATCH($E105,$E$93:$E$174,0))</f>
        <v>0</v>
      </c>
      <c r="H105" s="629">
        <f>VLOOKUP($E105,'集計16-E'!$E$93:N$174,'集計16-E'!$H$7-$D$7,FALSE)+VLOOKUP($E105,'集計F-15'!$E$93:N$174,'集計F-15'!$H$7-$D$7,FALSE)-INDEX($K$93:$K$174,MATCH($E105,$E$93:$E$174,0))</f>
        <v>0</v>
      </c>
      <c r="I105" s="345"/>
      <c r="J105" s="628">
        <f>SUMIF(請求Data!$G$11:$G$160,CONCATENATE(VLOOKUP(G$5,$G$1:$H$4,2,FALSE),$E105,2),請求Data!$AF$11:$AF$160)-INDEX($J$9:$J$90,MATCH($E105,$E$9:$E$90,0))</f>
        <v>0</v>
      </c>
      <c r="K105" s="629">
        <f>SUMIF(請求Data!$G$11:$G$160,CONCATENATE(VLOOKUP(G$5,$G$1:$H$4,2,FALSE),$E105,2),請求Data!$AG$11:$AG$160)-INDEX($K$9:$K$90,MATCH($E105,$E$9:$E$90,0))</f>
        <v>0</v>
      </c>
      <c r="L105" s="345"/>
      <c r="M105" s="126">
        <f>VLOOKUP($E105,'集計16-E'!$E$93:N$175,'集計16-E'!$M$7-$D$7,FALSE)+VLOOKUP($E105,'集計F-15'!$E$93:N$175,'集計F-15'!$M$7-$D$7,FALSE)</f>
        <v>0</v>
      </c>
      <c r="N105" s="434">
        <f>VLOOKUP($E105,'集計16-E'!$E$93:N$175,'集計16-E'!$N$7-$D$7,FALSE)+VLOOKUP($E105,'集計F-15'!$E$93:N$175,'集計F-15'!$N$7-$D$7,FALSE)</f>
        <v>0</v>
      </c>
      <c r="O105" s="345"/>
      <c r="P105" s="646">
        <f>VLOOKUP($E105,'集計16-E'!$E$93:W$175,'集計16-E'!$P$7-$D$7,0)+VLOOKUP($E105,'集計F-15'!$E$93:W$175,'集計F-15'!$P$7-$D$7,0)-$S105</f>
        <v>0</v>
      </c>
      <c r="Q105" s="647">
        <f>VLOOKUP($E105,'集計16-E'!$E$93:W$175,'集計16-E'!$Q$7-$D$7,0)+VLOOKUP($E105,'集計F-15'!$E$93:W$175,'集計F-15'!$Q$7-$D$7,0)-$T105</f>
        <v>0</v>
      </c>
      <c r="R105" s="345"/>
      <c r="S105" s="638">
        <f>SUMIF(請求Data!$G$11:$G$160,CONCATENATE(VLOOKUP(P$5,$G$1:$H$4,2,FALSE),$E105,2),請求Data!$AF$11:$AF$160)-S21</f>
        <v>0</v>
      </c>
      <c r="T105" s="647">
        <f>SUMIF(請求Data!$G$11:$G$160,CONCATENATE(VLOOKUP(P$5,$G$1:$H$4,2,FALSE),$E105,2),請求Data!$AG$11:$AG$160)-T21</f>
        <v>0</v>
      </c>
      <c r="U105" s="345"/>
      <c r="V105" s="126">
        <f>VLOOKUP($E105,'集計16-E'!$E$93:W$175,'集計16-E'!$V$7-$D$7,0)+VLOOKUP($E105,'集計F-15'!$E$93:W$175,'集計F-15'!$V$7-$D$7,0)</f>
        <v>0</v>
      </c>
      <c r="W105" s="435">
        <f>VLOOKUP($E105,'集計16-E'!$E$93:W$175,'集計16-E'!$W$7-$D$7,0)+VLOOKUP($E105,'集計F-15'!$E$93:W$175,'集計F-15'!$W$7-$D$7,0)</f>
        <v>0</v>
      </c>
      <c r="X105" s="345"/>
      <c r="Y105" s="646">
        <f>VLOOKUP($E105,'集計16-E'!$E$93:AF$175,'集計16-E'!$Y$7-$D$7,0)+VLOOKUP($E105,'集計F-15'!$E$93:AF$175,'集計F-15'!$Y$7-$D$7,0)-$AB105</f>
        <v>0</v>
      </c>
      <c r="Z105" s="647">
        <f>VLOOKUP($E105,'集計16-E'!$E$93:AF$175,'集計16-E'!$Z$7-$D$7,0)+VLOOKUP($E105,'集計F-15'!$E$93:AF$175,'集計F-15'!$Z$7-$D$7,0)-$AC105</f>
        <v>0</v>
      </c>
      <c r="AA105" s="345"/>
      <c r="AB105" s="638">
        <f>SUMIF(請求Data!$G$11:$G$160,CONCATENATE(VLOOKUP(Y$5,$G$1:$H$4,2,FALSE),$E105,2),請求Data!$AF$11:$AF$160)-AB21</f>
        <v>0</v>
      </c>
      <c r="AC105" s="647">
        <f>SUMIF(請求Data!$G$11:$G$160,CONCATENATE(VLOOKUP(Y$5,$G$1:$H$4,2,FALSE),$E105,2),請求Data!$AG$11:$AG$160)-AC21</f>
        <v>0</v>
      </c>
      <c r="AD105" s="345"/>
      <c r="AE105" s="126">
        <f>VLOOKUP($E105,'集計16-E'!$E$93:AF$175,'集計16-E'!$AE$7-$D$7,0)+VLOOKUP($E105,'集計F-15'!$E$93:AF$175,'集計F-15'!$AE$7-$D$7,0)</f>
        <v>0</v>
      </c>
      <c r="AF105" s="435">
        <f>VLOOKUP($E105,'集計16-E'!$E$93:AF$175,'集計16-E'!$AF$7-$D$7,0)+VLOOKUP($E105,'集計F-15'!$E$93:AF$175,'集計F-15'!$AF$7-$D$7,0)</f>
        <v>0</v>
      </c>
    </row>
    <row r="106" spans="1:32">
      <c r="A106" s="475">
        <f>IF(SUMIFS($G106:$AF106,$G$8:$AF$8,"金額",$G106:$AF106,"&gt;0")-SUMIFS($G106:$AF106,$G$8:$AF$8,"金額",$G106:$AF106,"&lt;0")&lt;=0,"",MAX($A$92:$A105)+1)</f>
        <v>5</v>
      </c>
      <c r="B106" s="795"/>
      <c r="C106" s="245" t="str">
        <f t="shared" si="3"/>
        <v>経費5</v>
      </c>
      <c r="D106" s="245">
        <v>14</v>
      </c>
      <c r="E106" s="593" t="str">
        <f>IF($F106&lt;&gt;"",INDEX(ﾏｽﾀ!$D$8:$D$124,MATCH(INDEX(ﾏｽﾀ!$N$8:$N$124,MATCH($F106,ﾏｽﾀ!$O$8:$O$124,0)),ﾏｽﾀ!$B$8:$B$124,0))&amp;"","")</f>
        <v>12001</v>
      </c>
      <c r="F106" s="594" t="str">
        <f>ﾏｽﾀ!$R21&amp;""</f>
        <v>株式会社バンダイナムコアミューズメント</v>
      </c>
      <c r="G106" s="634">
        <f>VLOOKUP($E106,'集計16-E'!$E$93:N$174,'集計16-E'!$G$7-$D$7,FALSE)+VLOOKUP($E106,'集計F-15'!$E$93:N$174,'集計F-15'!$G$7-$D$7,FALSE)-INDEX($J$93:$J$174,MATCH($E106,$E$93:$E$174,0))</f>
        <v>0</v>
      </c>
      <c r="H106" s="629">
        <f>VLOOKUP($E106,'集計16-E'!$E$93:N$174,'集計16-E'!$H$7-$D$7,FALSE)+VLOOKUP($E106,'集計F-15'!$E$93:N$174,'集計F-15'!$H$7-$D$7,FALSE)-INDEX($K$93:$K$174,MATCH($E106,$E$93:$E$174,0))</f>
        <v>0</v>
      </c>
      <c r="I106" s="345"/>
      <c r="J106" s="628">
        <f>SUMIF(請求Data!$G$11:$G$160,CONCATENATE(VLOOKUP(G$5,$G$1:$H$4,2,FALSE),$E106,2),請求Data!$AF$11:$AF$160)-INDEX($J$9:$J$90,MATCH($E106,$E$9:$E$90,0))</f>
        <v>0</v>
      </c>
      <c r="K106" s="629">
        <f>SUMIF(請求Data!$G$11:$G$160,CONCATENATE(VLOOKUP(G$5,$G$1:$H$4,2,FALSE),$E106,2),請求Data!$AG$11:$AG$160)-INDEX($K$9:$K$90,MATCH($E106,$E$9:$E$90,0))</f>
        <v>0</v>
      </c>
      <c r="L106" s="345"/>
      <c r="M106" s="126">
        <f>VLOOKUP($E106,'集計16-E'!$E$93:N$175,'集計16-E'!$M$7-$D$7,FALSE)+VLOOKUP($E106,'集計F-15'!$E$93:N$175,'集計F-15'!$M$7-$D$7,FALSE)</f>
        <v>1</v>
      </c>
      <c r="N106" s="434">
        <f>VLOOKUP($E106,'集計16-E'!$E$93:N$175,'集計16-E'!$N$7-$D$7,FALSE)+VLOOKUP($E106,'集計F-15'!$E$93:N$175,'集計F-15'!$N$7-$D$7,FALSE)</f>
        <v>8766</v>
      </c>
      <c r="O106" s="345"/>
      <c r="P106" s="646">
        <f>VLOOKUP($E106,'集計16-E'!$E$93:W$175,'集計16-E'!$P$7-$D$7,0)+VLOOKUP($E106,'集計F-15'!$E$93:W$175,'集計F-15'!$P$7-$D$7,0)-$S106</f>
        <v>0</v>
      </c>
      <c r="Q106" s="647">
        <f>VLOOKUP($E106,'集計16-E'!$E$93:W$175,'集計16-E'!$Q$7-$D$7,0)+VLOOKUP($E106,'集計F-15'!$E$93:W$175,'集計F-15'!$Q$7-$D$7,0)-$T106</f>
        <v>0</v>
      </c>
      <c r="R106" s="345"/>
      <c r="S106" s="638">
        <f>SUMIF(請求Data!$G$11:$G$160,CONCATENATE(VLOOKUP(P$5,$G$1:$H$4,2,FALSE),$E106,2),請求Data!$AF$11:$AF$160)-S22</f>
        <v>0</v>
      </c>
      <c r="T106" s="647">
        <f>SUMIF(請求Data!$G$11:$G$160,CONCATENATE(VLOOKUP(P$5,$G$1:$H$4,2,FALSE),$E106,2),請求Data!$AG$11:$AG$160)-T22</f>
        <v>0</v>
      </c>
      <c r="U106" s="345"/>
      <c r="V106" s="126">
        <f>VLOOKUP($E106,'集計16-E'!$E$93:W$175,'集計16-E'!$V$7-$D$7,0)+VLOOKUP($E106,'集計F-15'!$E$93:W$175,'集計F-15'!$V$7-$D$7,0)</f>
        <v>0</v>
      </c>
      <c r="W106" s="435">
        <f>VLOOKUP($E106,'集計16-E'!$E$93:W$175,'集計16-E'!$W$7-$D$7,0)+VLOOKUP($E106,'集計F-15'!$E$93:W$175,'集計F-15'!$W$7-$D$7,0)</f>
        <v>0</v>
      </c>
      <c r="X106" s="345"/>
      <c r="Y106" s="646">
        <f>VLOOKUP($E106,'集計16-E'!$E$93:AF$175,'集計16-E'!$Y$7-$D$7,0)+VLOOKUP($E106,'集計F-15'!$E$93:AF$175,'集計F-15'!$Y$7-$D$7,0)-$AB106</f>
        <v>0</v>
      </c>
      <c r="Z106" s="647">
        <f>VLOOKUP($E106,'集計16-E'!$E$93:AF$175,'集計16-E'!$Z$7-$D$7,0)+VLOOKUP($E106,'集計F-15'!$E$93:AF$175,'集計F-15'!$Z$7-$D$7,0)-$AC106</f>
        <v>0</v>
      </c>
      <c r="AA106" s="345"/>
      <c r="AB106" s="638">
        <f>SUMIF(請求Data!$G$11:$G$160,CONCATENATE(VLOOKUP(Y$5,$G$1:$H$4,2,FALSE),$E106,2),請求Data!$AF$11:$AF$160)-AB22</f>
        <v>0</v>
      </c>
      <c r="AC106" s="647">
        <f>SUMIF(請求Data!$G$11:$G$160,CONCATENATE(VLOOKUP(Y$5,$G$1:$H$4,2,FALSE),$E106,2),請求Data!$AG$11:$AG$160)-AC22</f>
        <v>0</v>
      </c>
      <c r="AD106" s="345"/>
      <c r="AE106" s="126">
        <f>VLOOKUP($E106,'集計16-E'!$E$93:AF$175,'集計16-E'!$AE$7-$D$7,0)+VLOOKUP($E106,'集計F-15'!$E$93:AF$175,'集計F-15'!$AE$7-$D$7,0)</f>
        <v>0</v>
      </c>
      <c r="AF106" s="435">
        <f>VLOOKUP($E106,'集計16-E'!$E$93:AF$175,'集計16-E'!$AF$7-$D$7,0)+VLOOKUP($E106,'集計F-15'!$E$93:AF$175,'集計F-15'!$AF$7-$D$7,0)</f>
        <v>0</v>
      </c>
    </row>
    <row r="107" spans="1:32">
      <c r="A107" s="475">
        <f>IF(SUMIFS($G107:$AF107,$G$8:$AF$8,"金額",$G107:$AF107,"&gt;0")-SUMIFS($G107:$AF107,$G$8:$AF$8,"金額",$G107:$AF107,"&lt;0")&lt;=0,"",MAX($A$92:$A106)+1)</f>
        <v>6</v>
      </c>
      <c r="B107" s="795"/>
      <c r="C107" s="245" t="str">
        <f t="shared" si="3"/>
        <v>経費6</v>
      </c>
      <c r="D107" s="245">
        <v>15</v>
      </c>
      <c r="E107" s="593" t="str">
        <f>IF($F107&lt;&gt;"",INDEX(ﾏｽﾀ!$D$8:$D$124,MATCH(INDEX(ﾏｽﾀ!$N$8:$N$124,MATCH($F107,ﾏｽﾀ!$O$8:$O$124,0)),ﾏｽﾀ!$B$8:$B$124,0))&amp;"","")</f>
        <v>40002</v>
      </c>
      <c r="F107" s="594" t="str">
        <f>ﾏｽﾀ!$R22&amp;""</f>
        <v>株式会社 バンプレスト　マーケティング事業部</v>
      </c>
      <c r="G107" s="634">
        <f>VLOOKUP($E107,'集計16-E'!$E$93:N$174,'集計16-E'!$G$7-$D$7,FALSE)+VLOOKUP($E107,'集計F-15'!$E$93:N$174,'集計F-15'!$G$7-$D$7,FALSE)-INDEX($J$93:$J$174,MATCH($E107,$E$93:$E$174,0))</f>
        <v>1</v>
      </c>
      <c r="H107" s="629">
        <f>VLOOKUP($E107,'集計16-E'!$E$93:N$174,'集計16-E'!$H$7-$D$7,FALSE)+VLOOKUP($E107,'集計F-15'!$E$93:N$174,'集計F-15'!$H$7-$D$7,FALSE)-INDEX($K$93:$K$174,MATCH($E107,$E$93:$E$174,0))</f>
        <v>190600</v>
      </c>
      <c r="I107" s="345"/>
      <c r="J107" s="628">
        <f>SUMIF(請求Data!$G$11:$G$160,CONCATENATE(VLOOKUP(G$5,$G$1:$H$4,2,FALSE),$E107,2),請求Data!$AF$11:$AF$160)-INDEX($J$9:$J$90,MATCH($E107,$E$9:$E$90,0))</f>
        <v>0</v>
      </c>
      <c r="K107" s="629">
        <f>SUMIF(請求Data!$G$11:$G$160,CONCATENATE(VLOOKUP(G$5,$G$1:$H$4,2,FALSE),$E107,2),請求Data!$AG$11:$AG$160)-INDEX($K$9:$K$90,MATCH($E107,$E$9:$E$90,0))</f>
        <v>0</v>
      </c>
      <c r="L107" s="345"/>
      <c r="M107" s="126">
        <f>VLOOKUP($E107,'集計16-E'!$E$93:N$175,'集計16-E'!$M$7-$D$7,FALSE)+VLOOKUP($E107,'集計F-15'!$E$93:N$175,'集計F-15'!$M$7-$D$7,FALSE)</f>
        <v>0</v>
      </c>
      <c r="N107" s="434">
        <f>VLOOKUP($E107,'集計16-E'!$E$93:N$175,'集計16-E'!$N$7-$D$7,FALSE)+VLOOKUP($E107,'集計F-15'!$E$93:N$175,'集計F-15'!$N$7-$D$7,FALSE)</f>
        <v>0</v>
      </c>
      <c r="O107" s="345"/>
      <c r="P107" s="646">
        <f>VLOOKUP($E107,'集計16-E'!$E$93:W$175,'集計16-E'!$P$7-$D$7,0)+VLOOKUP($E107,'集計F-15'!$E$93:W$175,'集計F-15'!$P$7-$D$7,0)-$S107</f>
        <v>0</v>
      </c>
      <c r="Q107" s="647">
        <f>VLOOKUP($E107,'集計16-E'!$E$93:W$175,'集計16-E'!$Q$7-$D$7,0)+VLOOKUP($E107,'集計F-15'!$E$93:W$175,'集計F-15'!$Q$7-$D$7,0)-$T107</f>
        <v>0</v>
      </c>
      <c r="R107" s="345"/>
      <c r="S107" s="638">
        <f>SUMIF(請求Data!$G$11:$G$160,CONCATENATE(VLOOKUP(P$5,$G$1:$H$4,2,FALSE),$E107,2),請求Data!$AF$11:$AF$160)-S23</f>
        <v>0</v>
      </c>
      <c r="T107" s="647">
        <f>SUMIF(請求Data!$G$11:$G$160,CONCATENATE(VLOOKUP(P$5,$G$1:$H$4,2,FALSE),$E107,2),請求Data!$AG$11:$AG$160)-T23</f>
        <v>0</v>
      </c>
      <c r="U107" s="345"/>
      <c r="V107" s="126">
        <f>VLOOKUP($E107,'集計16-E'!$E$93:W$175,'集計16-E'!$V$7-$D$7,0)+VLOOKUP($E107,'集計F-15'!$E$93:W$175,'集計F-15'!$V$7-$D$7,0)</f>
        <v>0</v>
      </c>
      <c r="W107" s="435">
        <f>VLOOKUP($E107,'集計16-E'!$E$93:W$175,'集計16-E'!$W$7-$D$7,0)+VLOOKUP($E107,'集計F-15'!$E$93:W$175,'集計F-15'!$W$7-$D$7,0)</f>
        <v>0</v>
      </c>
      <c r="X107" s="345"/>
      <c r="Y107" s="646">
        <f>VLOOKUP($E107,'集計16-E'!$E$93:AF$175,'集計16-E'!$Y$7-$D$7,0)+VLOOKUP($E107,'集計F-15'!$E$93:AF$175,'集計F-15'!$Y$7-$D$7,0)-$AB107</f>
        <v>0</v>
      </c>
      <c r="Z107" s="647">
        <f>VLOOKUP($E107,'集計16-E'!$E$93:AF$175,'集計16-E'!$Z$7-$D$7,0)+VLOOKUP($E107,'集計F-15'!$E$93:AF$175,'集計F-15'!$Z$7-$D$7,0)-$AC107</f>
        <v>0</v>
      </c>
      <c r="AA107" s="345"/>
      <c r="AB107" s="638">
        <f>SUMIF(請求Data!$G$11:$G$160,CONCATENATE(VLOOKUP(Y$5,$G$1:$H$4,2,FALSE),$E107,2),請求Data!$AF$11:$AF$160)-AB23</f>
        <v>0</v>
      </c>
      <c r="AC107" s="647">
        <f>SUMIF(請求Data!$G$11:$G$160,CONCATENATE(VLOOKUP(Y$5,$G$1:$H$4,2,FALSE),$E107,2),請求Data!$AG$11:$AG$160)-AC23</f>
        <v>0</v>
      </c>
      <c r="AD107" s="345"/>
      <c r="AE107" s="126">
        <f>VLOOKUP($E107,'集計16-E'!$E$93:AF$175,'集計16-E'!$AE$7-$D$7,0)+VLOOKUP($E107,'集計F-15'!$E$93:AF$175,'集計F-15'!$AE$7-$D$7,0)</f>
        <v>0</v>
      </c>
      <c r="AF107" s="435">
        <f>VLOOKUP($E107,'集計16-E'!$E$93:AF$175,'集計16-E'!$AF$7-$D$7,0)+VLOOKUP($E107,'集計F-15'!$E$93:AF$175,'集計F-15'!$AF$7-$D$7,0)</f>
        <v>0</v>
      </c>
    </row>
    <row r="108" spans="1:32">
      <c r="A108" s="475" t="str">
        <f>IF(SUMIFS($G108:$AF108,$G$8:$AF$8,"金額",$G108:$AF108,"&gt;0")-SUMIFS($G108:$AF108,$G$8:$AF$8,"金額",$G108:$AF108,"&lt;0")&lt;=0,"",MAX($A$92:$A107)+1)</f>
        <v/>
      </c>
      <c r="B108" s="795"/>
      <c r="C108" s="245" t="str">
        <f t="shared" si="3"/>
        <v>経費</v>
      </c>
      <c r="D108" s="245">
        <v>16</v>
      </c>
      <c r="E108" s="593" t="str">
        <f>IF($F108&lt;&gt;"",INDEX(ﾏｽﾀ!$D$8:$D$124,MATCH(INDEX(ﾏｽﾀ!$N$8:$N$124,MATCH($F108,ﾏｽﾀ!$O$8:$O$124,0)),ﾏｽﾀ!$B$8:$B$124,0))&amp;"","")</f>
        <v>51000</v>
      </c>
      <c r="F108" s="594" t="str">
        <f>ﾏｽﾀ!$R23&amp;""</f>
        <v>株式会社 アートプレスト　/　3100</v>
      </c>
      <c r="G108" s="634">
        <f>VLOOKUP($E108,'集計16-E'!$E$93:N$174,'集計16-E'!$G$7-$D$7,FALSE)+VLOOKUP($E108,'集計F-15'!$E$93:N$174,'集計F-15'!$G$7-$D$7,FALSE)-INDEX($J$93:$J$174,MATCH($E108,$E$93:$E$174,0))</f>
        <v>0</v>
      </c>
      <c r="H108" s="629">
        <f>VLOOKUP($E108,'集計16-E'!$E$93:N$174,'集計16-E'!$H$7-$D$7,FALSE)+VLOOKUP($E108,'集計F-15'!$E$93:N$174,'集計F-15'!$H$7-$D$7,FALSE)-INDEX($K$93:$K$174,MATCH($E108,$E$93:$E$174,0))</f>
        <v>0</v>
      </c>
      <c r="I108" s="345"/>
      <c r="J108" s="628">
        <f>SUMIF(請求Data!$G$11:$G$160,CONCATENATE(VLOOKUP(G$5,$G$1:$H$4,2,FALSE),$E108,2),請求Data!$AF$11:$AF$160)-INDEX($J$9:$J$90,MATCH($E108,$E$9:$E$90,0))</f>
        <v>0</v>
      </c>
      <c r="K108" s="629">
        <f>SUMIF(請求Data!$G$11:$G$160,CONCATENATE(VLOOKUP(G$5,$G$1:$H$4,2,FALSE),$E108,2),請求Data!$AG$11:$AG$160)-INDEX($K$9:$K$90,MATCH($E108,$E$9:$E$90,0))</f>
        <v>0</v>
      </c>
      <c r="L108" s="345"/>
      <c r="M108" s="126">
        <f>VLOOKUP($E108,'集計16-E'!$E$93:N$175,'集計16-E'!$M$7-$D$7,FALSE)+VLOOKUP($E108,'集計F-15'!$E$93:N$175,'集計F-15'!$M$7-$D$7,FALSE)</f>
        <v>0</v>
      </c>
      <c r="N108" s="434">
        <f>VLOOKUP($E108,'集計16-E'!$E$93:N$175,'集計16-E'!$N$7-$D$7,FALSE)+VLOOKUP($E108,'集計F-15'!$E$93:N$175,'集計F-15'!$N$7-$D$7,FALSE)</f>
        <v>0</v>
      </c>
      <c r="O108" s="345"/>
      <c r="P108" s="646">
        <f>VLOOKUP($E108,'集計16-E'!$E$93:W$175,'集計16-E'!$P$7-$D$7,0)+VLOOKUP($E108,'集計F-15'!$E$93:W$175,'集計F-15'!$P$7-$D$7,0)-$S108</f>
        <v>0</v>
      </c>
      <c r="Q108" s="647">
        <f>VLOOKUP($E108,'集計16-E'!$E$93:W$175,'集計16-E'!$Q$7-$D$7,0)+VLOOKUP($E108,'集計F-15'!$E$93:W$175,'集計F-15'!$Q$7-$D$7,0)-$T108</f>
        <v>0</v>
      </c>
      <c r="R108" s="345"/>
      <c r="S108" s="638">
        <f>SUMIF(請求Data!$G$11:$G$160,CONCATENATE(VLOOKUP(P$5,$G$1:$H$4,2,FALSE),$E108,2),請求Data!$AF$11:$AF$160)-S24</f>
        <v>0</v>
      </c>
      <c r="T108" s="647">
        <f>SUMIF(請求Data!$G$11:$G$160,CONCATENATE(VLOOKUP(P$5,$G$1:$H$4,2,FALSE),$E108,2),請求Data!$AG$11:$AG$160)-T24</f>
        <v>0</v>
      </c>
      <c r="U108" s="345"/>
      <c r="V108" s="126">
        <f>VLOOKUP($E108,'集計16-E'!$E$93:W$175,'集計16-E'!$V$7-$D$7,0)+VLOOKUP($E108,'集計F-15'!$E$93:W$175,'集計F-15'!$V$7-$D$7,0)</f>
        <v>0</v>
      </c>
      <c r="W108" s="435">
        <f>VLOOKUP($E108,'集計16-E'!$E$93:W$175,'集計16-E'!$W$7-$D$7,0)+VLOOKUP($E108,'集計F-15'!$E$93:W$175,'集計F-15'!$W$7-$D$7,0)</f>
        <v>0</v>
      </c>
      <c r="X108" s="345"/>
      <c r="Y108" s="646">
        <f>VLOOKUP($E108,'集計16-E'!$E$93:AF$175,'集計16-E'!$Y$7-$D$7,0)+VLOOKUP($E108,'集計F-15'!$E$93:AF$175,'集計F-15'!$Y$7-$D$7,0)-$AB108</f>
        <v>0</v>
      </c>
      <c r="Z108" s="647">
        <f>VLOOKUP($E108,'集計16-E'!$E$93:AF$175,'集計16-E'!$Z$7-$D$7,0)+VLOOKUP($E108,'集計F-15'!$E$93:AF$175,'集計F-15'!$Z$7-$D$7,0)-$AC108</f>
        <v>0</v>
      </c>
      <c r="AA108" s="345"/>
      <c r="AB108" s="638">
        <f>SUMIF(請求Data!$G$11:$G$160,CONCATENATE(VLOOKUP(Y$5,$G$1:$H$4,2,FALSE),$E108,2),請求Data!$AF$11:$AF$160)-AB24</f>
        <v>0</v>
      </c>
      <c r="AC108" s="647">
        <f>SUMIF(請求Data!$G$11:$G$160,CONCATENATE(VLOOKUP(Y$5,$G$1:$H$4,2,FALSE),$E108,2),請求Data!$AG$11:$AG$160)-AC24</f>
        <v>0</v>
      </c>
      <c r="AD108" s="345"/>
      <c r="AE108" s="126">
        <f>VLOOKUP($E108,'集計16-E'!$E$93:AF$175,'集計16-E'!$AE$7-$D$7,0)+VLOOKUP($E108,'集計F-15'!$E$93:AF$175,'集計F-15'!$AE$7-$D$7,0)</f>
        <v>0</v>
      </c>
      <c r="AF108" s="435">
        <f>VLOOKUP($E108,'集計16-E'!$E$93:AF$175,'集計16-E'!$AF$7-$D$7,0)+VLOOKUP($E108,'集計F-15'!$E$93:AF$175,'集計F-15'!$AF$7-$D$7,0)</f>
        <v>0</v>
      </c>
    </row>
    <row r="109" spans="1:32">
      <c r="A109" s="475" t="str">
        <f>IF(SUMIFS($G109:$AF109,$G$8:$AF$8,"金額",$G109:$AF109,"&gt;0")-SUMIFS($G109:$AF109,$G$8:$AF$8,"金額",$G109:$AF109,"&lt;0")&lt;=0,"",MAX($A$92:$A108)+1)</f>
        <v/>
      </c>
      <c r="B109" s="795"/>
      <c r="C109" s="245" t="str">
        <f t="shared" si="3"/>
        <v>経費</v>
      </c>
      <c r="D109" s="245">
        <v>17</v>
      </c>
      <c r="E109" s="593" t="str">
        <f>IF($F109&lt;&gt;"",INDEX(ﾏｽﾀ!$D$8:$D$124,MATCH(INDEX(ﾏｽﾀ!$N$8:$N$124,MATCH($F109,ﾏｽﾀ!$O$8:$O$124,0)),ﾏｽﾀ!$B$8:$B$124,0))&amp;"","")</f>
        <v>53000</v>
      </c>
      <c r="F109" s="594" t="str">
        <f>ﾏｽﾀ!$R24&amp;""</f>
        <v>株式会社エムアイシー</v>
      </c>
      <c r="G109" s="634">
        <f>VLOOKUP($E109,'集計16-E'!$E$93:N$174,'集計16-E'!$G$7-$D$7,FALSE)+VLOOKUP($E109,'集計F-15'!$E$93:N$174,'集計F-15'!$G$7-$D$7,FALSE)-INDEX($J$93:$J$174,MATCH($E109,$E$93:$E$174,0))</f>
        <v>0</v>
      </c>
      <c r="H109" s="629">
        <f>VLOOKUP($E109,'集計16-E'!$E$93:N$174,'集計16-E'!$H$7-$D$7,FALSE)+VLOOKUP($E109,'集計F-15'!$E$93:N$174,'集計F-15'!$H$7-$D$7,FALSE)-INDEX($K$93:$K$174,MATCH($E109,$E$93:$E$174,0))</f>
        <v>0</v>
      </c>
      <c r="I109" s="345"/>
      <c r="J109" s="628">
        <f>SUMIF(請求Data!$G$11:$G$160,CONCATENATE(VLOOKUP(G$5,$G$1:$H$4,2,FALSE),$E109,2),請求Data!$AF$11:$AF$160)-INDEX($J$9:$J$90,MATCH($E109,$E$9:$E$90,0))</f>
        <v>0</v>
      </c>
      <c r="K109" s="629">
        <f>SUMIF(請求Data!$G$11:$G$160,CONCATENATE(VLOOKUP(G$5,$G$1:$H$4,2,FALSE),$E109,2),請求Data!$AG$11:$AG$160)-INDEX($K$9:$K$90,MATCH($E109,$E$9:$E$90,0))</f>
        <v>0</v>
      </c>
      <c r="L109" s="345"/>
      <c r="M109" s="126">
        <f>VLOOKUP($E109,'集計16-E'!$E$93:N$175,'集計16-E'!$M$7-$D$7,FALSE)+VLOOKUP($E109,'集計F-15'!$E$93:N$175,'集計F-15'!$M$7-$D$7,FALSE)</f>
        <v>0</v>
      </c>
      <c r="N109" s="434">
        <f>VLOOKUP($E109,'集計16-E'!$E$93:N$175,'集計16-E'!$N$7-$D$7,FALSE)+VLOOKUP($E109,'集計F-15'!$E$93:N$175,'集計F-15'!$N$7-$D$7,FALSE)</f>
        <v>0</v>
      </c>
      <c r="O109" s="345"/>
      <c r="P109" s="646">
        <f>VLOOKUP($E109,'集計16-E'!$E$93:W$175,'集計16-E'!$P$7-$D$7,0)+VLOOKUP($E109,'集計F-15'!$E$93:W$175,'集計F-15'!$P$7-$D$7,0)-$S109</f>
        <v>0</v>
      </c>
      <c r="Q109" s="647">
        <f>VLOOKUP($E109,'集計16-E'!$E$93:W$175,'集計16-E'!$Q$7-$D$7,0)+VLOOKUP($E109,'集計F-15'!$E$93:W$175,'集計F-15'!$Q$7-$D$7,0)-$T109</f>
        <v>0</v>
      </c>
      <c r="R109" s="345"/>
      <c r="S109" s="638">
        <f>SUMIF(請求Data!$G$11:$G$160,CONCATENATE(VLOOKUP(P$5,$G$1:$H$4,2,FALSE),$E109,2),請求Data!$AF$11:$AF$160)-S25</f>
        <v>0</v>
      </c>
      <c r="T109" s="647">
        <f>SUMIF(請求Data!$G$11:$G$160,CONCATENATE(VLOOKUP(P$5,$G$1:$H$4,2,FALSE),$E109,2),請求Data!$AG$11:$AG$160)-T25</f>
        <v>0</v>
      </c>
      <c r="U109" s="345"/>
      <c r="V109" s="126">
        <f>VLOOKUP($E109,'集計16-E'!$E$93:W$175,'集計16-E'!$V$7-$D$7,0)+VLOOKUP($E109,'集計F-15'!$E$93:W$175,'集計F-15'!$V$7-$D$7,0)</f>
        <v>0</v>
      </c>
      <c r="W109" s="435">
        <f>VLOOKUP($E109,'集計16-E'!$E$93:W$175,'集計16-E'!$W$7-$D$7,0)+VLOOKUP($E109,'集計F-15'!$E$93:W$175,'集計F-15'!$W$7-$D$7,0)</f>
        <v>0</v>
      </c>
      <c r="X109" s="345"/>
      <c r="Y109" s="646">
        <f>VLOOKUP($E109,'集計16-E'!$E$93:AF$175,'集計16-E'!$Y$7-$D$7,0)+VLOOKUP($E109,'集計F-15'!$E$93:AF$175,'集計F-15'!$Y$7-$D$7,0)-$AB109</f>
        <v>0</v>
      </c>
      <c r="Z109" s="647">
        <f>VLOOKUP($E109,'集計16-E'!$E$93:AF$175,'集計16-E'!$Z$7-$D$7,0)+VLOOKUP($E109,'集計F-15'!$E$93:AF$175,'集計F-15'!$Z$7-$D$7,0)-$AC109</f>
        <v>0</v>
      </c>
      <c r="AA109" s="345"/>
      <c r="AB109" s="638">
        <f>SUMIF(請求Data!$G$11:$G$160,CONCATENATE(VLOOKUP(Y$5,$G$1:$H$4,2,FALSE),$E109,2),請求Data!$AF$11:$AF$160)-AB25</f>
        <v>0</v>
      </c>
      <c r="AC109" s="647">
        <f>SUMIF(請求Data!$G$11:$G$160,CONCATENATE(VLOOKUP(Y$5,$G$1:$H$4,2,FALSE),$E109,2),請求Data!$AG$11:$AG$160)-AC25</f>
        <v>0</v>
      </c>
      <c r="AD109" s="345"/>
      <c r="AE109" s="126">
        <f>VLOOKUP($E109,'集計16-E'!$E$93:AF$175,'集計16-E'!$AE$7-$D$7,0)+VLOOKUP($E109,'集計F-15'!$E$93:AF$175,'集計F-15'!$AE$7-$D$7,0)</f>
        <v>0</v>
      </c>
      <c r="AF109" s="435">
        <f>VLOOKUP($E109,'集計16-E'!$E$93:AF$175,'集計16-E'!$AF$7-$D$7,0)+VLOOKUP($E109,'集計F-15'!$E$93:AF$175,'集計F-15'!$AF$7-$D$7,0)</f>
        <v>0</v>
      </c>
    </row>
    <row r="110" spans="1:32">
      <c r="A110" s="475" t="str">
        <f>IF(SUMIFS($G110:$AF110,$G$8:$AF$8,"金額",$G110:$AF110,"&gt;0")-SUMIFS($G110:$AF110,$G$8:$AF$8,"金額",$G110:$AF110,"&lt;0")&lt;=0,"",MAX($A$92:$A109)+1)</f>
        <v/>
      </c>
      <c r="B110" s="795"/>
      <c r="C110" s="245" t="str">
        <f t="shared" si="3"/>
        <v>経費</v>
      </c>
      <c r="D110" s="245">
        <v>18</v>
      </c>
      <c r="E110" s="593" t="str">
        <f>IF($F110&lt;&gt;"",INDEX(ﾏｽﾀ!$D$8:$D$124,MATCH(INDEX(ﾏｽﾀ!$N$8:$N$124,MATCH($F110,ﾏｽﾀ!$O$8:$O$124,0)),ﾏｽﾀ!$B$8:$B$124,0))&amp;"","")</f>
        <v>55000</v>
      </c>
      <c r="F110" s="594" t="str">
        <f>ﾏｽﾀ!$R25&amp;""</f>
        <v>株式会社ティーケー・ホールディングス　/　SPチーム</v>
      </c>
      <c r="G110" s="634">
        <f>VLOOKUP($E110,'集計16-E'!$E$93:N$174,'集計16-E'!$G$7-$D$7,FALSE)+VLOOKUP($E110,'集計F-15'!$E$93:N$174,'集計F-15'!$G$7-$D$7,FALSE)-INDEX($J$93:$J$174,MATCH($E110,$E$93:$E$174,0))</f>
        <v>0</v>
      </c>
      <c r="H110" s="629">
        <f>VLOOKUP($E110,'集計16-E'!$E$93:N$174,'集計16-E'!$H$7-$D$7,FALSE)+VLOOKUP($E110,'集計F-15'!$E$93:N$174,'集計F-15'!$H$7-$D$7,FALSE)-INDEX($K$93:$K$174,MATCH($E110,$E$93:$E$174,0))</f>
        <v>0</v>
      </c>
      <c r="I110" s="345"/>
      <c r="J110" s="628">
        <f>SUMIF(請求Data!$G$11:$G$160,CONCATENATE(VLOOKUP(G$5,$G$1:$H$4,2,FALSE),$E110,2),請求Data!$AF$11:$AF$160)-INDEX($J$9:$J$90,MATCH($E110,$E$9:$E$90,0))</f>
        <v>0</v>
      </c>
      <c r="K110" s="629">
        <f>SUMIF(請求Data!$G$11:$G$160,CONCATENATE(VLOOKUP(G$5,$G$1:$H$4,2,FALSE),$E110,2),請求Data!$AG$11:$AG$160)-INDEX($K$9:$K$90,MATCH($E110,$E$9:$E$90,0))</f>
        <v>0</v>
      </c>
      <c r="L110" s="345"/>
      <c r="M110" s="126">
        <f>VLOOKUP($E110,'集計16-E'!$E$93:N$175,'集計16-E'!$M$7-$D$7,FALSE)+VLOOKUP($E110,'集計F-15'!$E$93:N$175,'集計F-15'!$M$7-$D$7,FALSE)</f>
        <v>0</v>
      </c>
      <c r="N110" s="434">
        <f>VLOOKUP($E110,'集計16-E'!$E$93:N$175,'集計16-E'!$N$7-$D$7,FALSE)+VLOOKUP($E110,'集計F-15'!$E$93:N$175,'集計F-15'!$N$7-$D$7,FALSE)</f>
        <v>0</v>
      </c>
      <c r="O110" s="345"/>
      <c r="P110" s="646">
        <f>VLOOKUP($E110,'集計16-E'!$E$93:W$175,'集計16-E'!$P$7-$D$7,0)+VLOOKUP($E110,'集計F-15'!$E$93:W$175,'集計F-15'!$P$7-$D$7,0)-$S110</f>
        <v>0</v>
      </c>
      <c r="Q110" s="647">
        <f>VLOOKUP($E110,'集計16-E'!$E$93:W$175,'集計16-E'!$Q$7-$D$7,0)+VLOOKUP($E110,'集計F-15'!$E$93:W$175,'集計F-15'!$Q$7-$D$7,0)-$T110</f>
        <v>0</v>
      </c>
      <c r="R110" s="345"/>
      <c r="S110" s="638">
        <f>SUMIF(請求Data!$G$11:$G$160,CONCATENATE(VLOOKUP(P$5,$G$1:$H$4,2,FALSE),$E110,2),請求Data!$AF$11:$AF$160)-S26</f>
        <v>0</v>
      </c>
      <c r="T110" s="647">
        <f>SUMIF(請求Data!$G$11:$G$160,CONCATENATE(VLOOKUP(P$5,$G$1:$H$4,2,FALSE),$E110,2),請求Data!$AG$11:$AG$160)-T26</f>
        <v>0</v>
      </c>
      <c r="U110" s="345"/>
      <c r="V110" s="126">
        <f>VLOOKUP($E110,'集計16-E'!$E$93:W$175,'集計16-E'!$V$7-$D$7,0)+VLOOKUP($E110,'集計F-15'!$E$93:W$175,'集計F-15'!$V$7-$D$7,0)</f>
        <v>0</v>
      </c>
      <c r="W110" s="435">
        <f>VLOOKUP($E110,'集計16-E'!$E$93:W$175,'集計16-E'!$W$7-$D$7,0)+VLOOKUP($E110,'集計F-15'!$E$93:W$175,'集計F-15'!$W$7-$D$7,0)</f>
        <v>0</v>
      </c>
      <c r="X110" s="345"/>
      <c r="Y110" s="646">
        <f>VLOOKUP($E110,'集計16-E'!$E$93:AF$175,'集計16-E'!$Y$7-$D$7,0)+VLOOKUP($E110,'集計F-15'!$E$93:AF$175,'集計F-15'!$Y$7-$D$7,0)-$AB110</f>
        <v>0</v>
      </c>
      <c r="Z110" s="647">
        <f>VLOOKUP($E110,'集計16-E'!$E$93:AF$175,'集計16-E'!$Z$7-$D$7,0)+VLOOKUP($E110,'集計F-15'!$E$93:AF$175,'集計F-15'!$Z$7-$D$7,0)-$AC110</f>
        <v>0</v>
      </c>
      <c r="AA110" s="345"/>
      <c r="AB110" s="638">
        <f>SUMIF(請求Data!$G$11:$G$160,CONCATENATE(VLOOKUP(Y$5,$G$1:$H$4,2,FALSE),$E110,2),請求Data!$AF$11:$AF$160)-AB26</f>
        <v>0</v>
      </c>
      <c r="AC110" s="647">
        <f>SUMIF(請求Data!$G$11:$G$160,CONCATENATE(VLOOKUP(Y$5,$G$1:$H$4,2,FALSE),$E110,2),請求Data!$AG$11:$AG$160)-AC26</f>
        <v>0</v>
      </c>
      <c r="AD110" s="345"/>
      <c r="AE110" s="126">
        <f>VLOOKUP($E110,'集計16-E'!$E$93:AF$175,'集計16-E'!$AE$7-$D$7,0)+VLOOKUP($E110,'集計F-15'!$E$93:AF$175,'集計F-15'!$AE$7-$D$7,0)</f>
        <v>0</v>
      </c>
      <c r="AF110" s="435">
        <f>VLOOKUP($E110,'集計16-E'!$E$93:AF$175,'集計16-E'!$AF$7-$D$7,0)+VLOOKUP($E110,'集計F-15'!$E$93:AF$175,'集計F-15'!$AF$7-$D$7,0)</f>
        <v>0</v>
      </c>
    </row>
    <row r="111" spans="1:32">
      <c r="A111" s="475" t="str">
        <f>IF(SUMIFS($G111:$AF111,$G$8:$AF$8,"金額",$G111:$AF111,"&gt;0")-SUMIFS($G111:$AF111,$G$8:$AF$8,"金額",$G111:$AF111,"&lt;0")&lt;=0,"",MAX($A$92:$A110)+1)</f>
        <v/>
      </c>
      <c r="B111" s="795"/>
      <c r="C111" s="245" t="str">
        <f t="shared" si="3"/>
        <v>経費</v>
      </c>
      <c r="D111" s="245">
        <v>19</v>
      </c>
      <c r="E111" s="593" t="str">
        <f>IF($F111&lt;&gt;"",INDEX(ﾏｽﾀ!$D$8:$D$124,MATCH(INDEX(ﾏｽﾀ!$N$8:$N$124,MATCH($F111,ﾏｽﾀ!$O$8:$O$124,0)),ﾏｽﾀ!$B$8:$B$124,0))&amp;"","")</f>
        <v>56000</v>
      </c>
      <c r="F111" s="594" t="str">
        <f>ﾏｽﾀ!$R26&amp;""</f>
        <v>株式会社ティーケー・ホールディングス　/　5000</v>
      </c>
      <c r="G111" s="634">
        <f>VLOOKUP($E111,'集計16-E'!$E$93:N$174,'集計16-E'!$G$7-$D$7,FALSE)+VLOOKUP($E111,'集計F-15'!$E$93:N$174,'集計F-15'!$G$7-$D$7,FALSE)-INDEX($J$93:$J$174,MATCH($E111,$E$93:$E$174,0))</f>
        <v>0</v>
      </c>
      <c r="H111" s="629">
        <f>VLOOKUP($E111,'集計16-E'!$E$93:N$174,'集計16-E'!$H$7-$D$7,FALSE)+VLOOKUP($E111,'集計F-15'!$E$93:N$174,'集計F-15'!$H$7-$D$7,FALSE)-INDEX($K$93:$K$174,MATCH($E111,$E$93:$E$174,0))</f>
        <v>0</v>
      </c>
      <c r="I111" s="345"/>
      <c r="J111" s="628">
        <f>SUMIF(請求Data!$G$11:$G$160,CONCATENATE(VLOOKUP(G$5,$G$1:$H$4,2,FALSE),$E111,2),請求Data!$AF$11:$AF$160)-INDEX($J$9:$J$90,MATCH($E111,$E$9:$E$90,0))</f>
        <v>0</v>
      </c>
      <c r="K111" s="629">
        <f>SUMIF(請求Data!$G$11:$G$160,CONCATENATE(VLOOKUP(G$5,$G$1:$H$4,2,FALSE),$E111,2),請求Data!$AG$11:$AG$160)-INDEX($K$9:$K$90,MATCH($E111,$E$9:$E$90,0))</f>
        <v>0</v>
      </c>
      <c r="L111" s="345"/>
      <c r="M111" s="126">
        <f>VLOOKUP($E111,'集計16-E'!$E$93:N$175,'集計16-E'!$M$7-$D$7,FALSE)+VLOOKUP($E111,'集計F-15'!$E$93:N$175,'集計F-15'!$M$7-$D$7,FALSE)</f>
        <v>0</v>
      </c>
      <c r="N111" s="434">
        <f>VLOOKUP($E111,'集計16-E'!$E$93:N$175,'集計16-E'!$N$7-$D$7,FALSE)+VLOOKUP($E111,'集計F-15'!$E$93:N$175,'集計F-15'!$N$7-$D$7,FALSE)</f>
        <v>0</v>
      </c>
      <c r="O111" s="345"/>
      <c r="P111" s="646">
        <f>VLOOKUP($E111,'集計16-E'!$E$93:W$175,'集計16-E'!$P$7-$D$7,0)+VLOOKUP($E111,'集計F-15'!$E$93:W$175,'集計F-15'!$P$7-$D$7,0)-$S111</f>
        <v>0</v>
      </c>
      <c r="Q111" s="647">
        <f>VLOOKUP($E111,'集計16-E'!$E$93:W$175,'集計16-E'!$Q$7-$D$7,0)+VLOOKUP($E111,'集計F-15'!$E$93:W$175,'集計F-15'!$Q$7-$D$7,0)-$T111</f>
        <v>0</v>
      </c>
      <c r="R111" s="345"/>
      <c r="S111" s="638">
        <f>SUMIF(請求Data!$G$11:$G$160,CONCATENATE(VLOOKUP(P$5,$G$1:$H$4,2,FALSE),$E111,2),請求Data!$AF$11:$AF$160)-S27</f>
        <v>0</v>
      </c>
      <c r="T111" s="647">
        <f>SUMIF(請求Data!$G$11:$G$160,CONCATENATE(VLOOKUP(P$5,$G$1:$H$4,2,FALSE),$E111,2),請求Data!$AG$11:$AG$160)-T27</f>
        <v>0</v>
      </c>
      <c r="U111" s="345"/>
      <c r="V111" s="126">
        <f>VLOOKUP($E111,'集計16-E'!$E$93:W$175,'集計16-E'!$V$7-$D$7,0)+VLOOKUP($E111,'集計F-15'!$E$93:W$175,'集計F-15'!$V$7-$D$7,0)</f>
        <v>0</v>
      </c>
      <c r="W111" s="435">
        <f>VLOOKUP($E111,'集計16-E'!$E$93:W$175,'集計16-E'!$W$7-$D$7,0)+VLOOKUP($E111,'集計F-15'!$E$93:W$175,'集計F-15'!$W$7-$D$7,0)</f>
        <v>0</v>
      </c>
      <c r="X111" s="345"/>
      <c r="Y111" s="646">
        <f>VLOOKUP($E111,'集計16-E'!$E$93:AF$175,'集計16-E'!$Y$7-$D$7,0)+VLOOKUP($E111,'集計F-15'!$E$93:AF$175,'集計F-15'!$Y$7-$D$7,0)-$AB111</f>
        <v>0</v>
      </c>
      <c r="Z111" s="647">
        <f>VLOOKUP($E111,'集計16-E'!$E$93:AF$175,'集計16-E'!$Z$7-$D$7,0)+VLOOKUP($E111,'集計F-15'!$E$93:AF$175,'集計F-15'!$Z$7-$D$7,0)-$AC111</f>
        <v>0</v>
      </c>
      <c r="AA111" s="345"/>
      <c r="AB111" s="638">
        <f>SUMIF(請求Data!$G$11:$G$160,CONCATENATE(VLOOKUP(Y$5,$G$1:$H$4,2,FALSE),$E111,2),請求Data!$AF$11:$AF$160)-AB27</f>
        <v>0</v>
      </c>
      <c r="AC111" s="647">
        <f>SUMIF(請求Data!$G$11:$G$160,CONCATENATE(VLOOKUP(Y$5,$G$1:$H$4,2,FALSE),$E111,2),請求Data!$AG$11:$AG$160)-AC27</f>
        <v>0</v>
      </c>
      <c r="AD111" s="345"/>
      <c r="AE111" s="126">
        <f>VLOOKUP($E111,'集計16-E'!$E$93:AF$175,'集計16-E'!$AE$7-$D$7,0)+VLOOKUP($E111,'集計F-15'!$E$93:AF$175,'集計F-15'!$AE$7-$D$7,0)</f>
        <v>0</v>
      </c>
      <c r="AF111" s="435">
        <f>VLOOKUP($E111,'集計16-E'!$E$93:AF$175,'集計16-E'!$AF$7-$D$7,0)+VLOOKUP($E111,'集計F-15'!$E$93:AF$175,'集計F-15'!$AF$7-$D$7,0)</f>
        <v>0</v>
      </c>
    </row>
    <row r="112" spans="1:32">
      <c r="A112" s="475" t="str">
        <f>IF(SUMIFS($G112:$AF112,$G$8:$AF$8,"金額",$G112:$AF112,"&gt;0")-SUMIFS($G112:$AF112,$G$8:$AF$8,"金額",$G112:$AF112,"&lt;0")&lt;=0,"",MAX($A$92:$A111)+1)</f>
        <v/>
      </c>
      <c r="B112" s="795"/>
      <c r="C112" s="245" t="str">
        <f t="shared" si="3"/>
        <v>経費</v>
      </c>
      <c r="D112" s="245">
        <v>20</v>
      </c>
      <c r="E112" s="593" t="str">
        <f>IF($F112&lt;&gt;"",INDEX(ﾏｽﾀ!$D$8:$D$124,MATCH(INDEX(ﾏｽﾀ!$N$8:$N$124,MATCH($F112,ﾏｽﾀ!$O$8:$O$124,0)),ﾏｽﾀ!$B$8:$B$124,0))&amp;"","")</f>
        <v>57000</v>
      </c>
      <c r="F112" s="594" t="str">
        <f>ﾏｽﾀ!$R27&amp;""</f>
        <v>株式会社ティーケーホールディングス/経費</v>
      </c>
      <c r="G112" s="634">
        <f>VLOOKUP($E112,'集計16-E'!$E$93:N$174,'集計16-E'!$G$7-$D$7,FALSE)+VLOOKUP($E112,'集計F-15'!$E$93:N$174,'集計F-15'!$G$7-$D$7,FALSE)-INDEX($J$93:$J$174,MATCH($E112,$E$93:$E$174,0))</f>
        <v>0</v>
      </c>
      <c r="H112" s="629">
        <f>VLOOKUP($E112,'集計16-E'!$E$93:N$174,'集計16-E'!$H$7-$D$7,FALSE)+VLOOKUP($E112,'集計F-15'!$E$93:N$174,'集計F-15'!$H$7-$D$7,FALSE)-INDEX($K$93:$K$174,MATCH($E112,$E$93:$E$174,0))</f>
        <v>0</v>
      </c>
      <c r="I112" s="345"/>
      <c r="J112" s="628">
        <f>SUMIF(請求Data!$G$11:$G$160,CONCATENATE(VLOOKUP(G$5,$G$1:$H$4,2,FALSE),$E112,2),請求Data!$AF$11:$AF$160)-INDEX($J$9:$J$90,MATCH($E112,$E$9:$E$90,0))</f>
        <v>0</v>
      </c>
      <c r="K112" s="629">
        <f>SUMIF(請求Data!$G$11:$G$160,CONCATENATE(VLOOKUP(G$5,$G$1:$H$4,2,FALSE),$E112,2),請求Data!$AG$11:$AG$160)-INDEX($K$9:$K$90,MATCH($E112,$E$9:$E$90,0))</f>
        <v>0</v>
      </c>
      <c r="L112" s="345"/>
      <c r="M112" s="126">
        <f>VLOOKUP($E112,'集計16-E'!$E$93:N$175,'集計16-E'!$M$7-$D$7,FALSE)+VLOOKUP($E112,'集計F-15'!$E$93:N$175,'集計F-15'!$M$7-$D$7,FALSE)</f>
        <v>0</v>
      </c>
      <c r="N112" s="434">
        <f>VLOOKUP($E112,'集計16-E'!$E$93:N$175,'集計16-E'!$N$7-$D$7,FALSE)+VLOOKUP($E112,'集計F-15'!$E$93:N$175,'集計F-15'!$N$7-$D$7,FALSE)</f>
        <v>0</v>
      </c>
      <c r="O112" s="345"/>
      <c r="P112" s="646">
        <f>VLOOKUP($E112,'集計16-E'!$E$93:W$175,'集計16-E'!$P$7-$D$7,0)+VLOOKUP($E112,'集計F-15'!$E$93:W$175,'集計F-15'!$P$7-$D$7,0)-$S112</f>
        <v>0</v>
      </c>
      <c r="Q112" s="647">
        <f>VLOOKUP($E112,'集計16-E'!$E$93:W$175,'集計16-E'!$Q$7-$D$7,0)+VLOOKUP($E112,'集計F-15'!$E$93:W$175,'集計F-15'!$Q$7-$D$7,0)-$T112</f>
        <v>0</v>
      </c>
      <c r="R112" s="345"/>
      <c r="S112" s="638">
        <f>SUMIF(請求Data!$G$11:$G$160,CONCATENATE(VLOOKUP(P$5,$G$1:$H$4,2,FALSE),$E112,2),請求Data!$AF$11:$AF$160)-S28</f>
        <v>0</v>
      </c>
      <c r="T112" s="647">
        <f>SUMIF(請求Data!$G$11:$G$160,CONCATENATE(VLOOKUP(P$5,$G$1:$H$4,2,FALSE),$E112,2),請求Data!$AG$11:$AG$160)-T28</f>
        <v>0</v>
      </c>
      <c r="U112" s="345"/>
      <c r="V112" s="126">
        <f>VLOOKUP($E112,'集計16-E'!$E$93:W$175,'集計16-E'!$V$7-$D$7,0)+VLOOKUP($E112,'集計F-15'!$E$93:W$175,'集計F-15'!$V$7-$D$7,0)</f>
        <v>0</v>
      </c>
      <c r="W112" s="435">
        <f>VLOOKUP($E112,'集計16-E'!$E$93:W$175,'集計16-E'!$W$7-$D$7,0)+VLOOKUP($E112,'集計F-15'!$E$93:W$175,'集計F-15'!$W$7-$D$7,0)</f>
        <v>0</v>
      </c>
      <c r="X112" s="345"/>
      <c r="Y112" s="646">
        <f>VLOOKUP($E112,'集計16-E'!$E$93:AF$175,'集計16-E'!$Y$7-$D$7,0)+VLOOKUP($E112,'集計F-15'!$E$93:AF$175,'集計F-15'!$Y$7-$D$7,0)-$AB112</f>
        <v>0</v>
      </c>
      <c r="Z112" s="647">
        <f>VLOOKUP($E112,'集計16-E'!$E$93:AF$175,'集計16-E'!$Z$7-$D$7,0)+VLOOKUP($E112,'集計F-15'!$E$93:AF$175,'集計F-15'!$Z$7-$D$7,0)-$AC112</f>
        <v>0</v>
      </c>
      <c r="AA112" s="345"/>
      <c r="AB112" s="638">
        <f>SUMIF(請求Data!$G$11:$G$160,CONCATENATE(VLOOKUP(Y$5,$G$1:$H$4,2,FALSE),$E112,2),請求Data!$AF$11:$AF$160)-AB28</f>
        <v>0</v>
      </c>
      <c r="AC112" s="647">
        <f>SUMIF(請求Data!$G$11:$G$160,CONCATENATE(VLOOKUP(Y$5,$G$1:$H$4,2,FALSE),$E112,2),請求Data!$AG$11:$AG$160)-AC28</f>
        <v>0</v>
      </c>
      <c r="AD112" s="345"/>
      <c r="AE112" s="126">
        <f>VLOOKUP($E112,'集計16-E'!$E$93:AF$175,'集計16-E'!$AE$7-$D$7,0)+VLOOKUP($E112,'集計F-15'!$E$93:AF$175,'集計F-15'!$AE$7-$D$7,0)</f>
        <v>0</v>
      </c>
      <c r="AF112" s="435">
        <f>VLOOKUP($E112,'集計16-E'!$E$93:AF$175,'集計16-E'!$AF$7-$D$7,0)+VLOOKUP($E112,'集計F-15'!$E$93:AF$175,'集計F-15'!$AF$7-$D$7,0)</f>
        <v>0</v>
      </c>
    </row>
    <row r="113" spans="1:32">
      <c r="A113" s="475" t="str">
        <f>IF(SUMIFS($G113:$AF113,$G$8:$AF$8,"金額",$G113:$AF113,"&gt;0")-SUMIFS($G113:$AF113,$G$8:$AF$8,"金額",$G113:$AF113,"&lt;0")&lt;=0,"",MAX($A$92:$A112)+1)</f>
        <v/>
      </c>
      <c r="B113" s="795"/>
      <c r="C113" s="245" t="str">
        <f t="shared" si="3"/>
        <v>経費</v>
      </c>
      <c r="D113" s="245">
        <v>21</v>
      </c>
      <c r="E113" s="593" t="str">
        <f>IF($F113&lt;&gt;"",INDEX(ﾏｽﾀ!$D$8:$D$124,MATCH(INDEX(ﾏｽﾀ!$N$8:$N$124,MATCH($F113,ﾏｽﾀ!$O$8:$O$124,0)),ﾏｽﾀ!$B$8:$B$124,0))&amp;"","")</f>
        <v>58000</v>
      </c>
      <c r="F113" s="594" t="str">
        <f>ﾏｽﾀ!$R28&amp;""</f>
        <v>バンダイビジュアル株式会社</v>
      </c>
      <c r="G113" s="634">
        <f>VLOOKUP($E113,'集計16-E'!$E$93:N$174,'集計16-E'!$G$7-$D$7,FALSE)+VLOOKUP($E113,'集計F-15'!$E$93:N$174,'集計F-15'!$G$7-$D$7,FALSE)-INDEX($J$93:$J$174,MATCH($E113,$E$93:$E$174,0))</f>
        <v>0</v>
      </c>
      <c r="H113" s="629">
        <f>VLOOKUP($E113,'集計16-E'!$E$93:N$174,'集計16-E'!$H$7-$D$7,FALSE)+VLOOKUP($E113,'集計F-15'!$E$93:N$174,'集計F-15'!$H$7-$D$7,FALSE)-INDEX($K$93:$K$174,MATCH($E113,$E$93:$E$174,0))</f>
        <v>0</v>
      </c>
      <c r="I113" s="345"/>
      <c r="J113" s="628">
        <f>SUMIF(請求Data!$G$11:$G$160,CONCATENATE(VLOOKUP(G$5,$G$1:$H$4,2,FALSE),$E113,2),請求Data!$AF$11:$AF$160)-INDEX($J$9:$J$90,MATCH($E113,$E$9:$E$90,0))</f>
        <v>0</v>
      </c>
      <c r="K113" s="629">
        <f>SUMIF(請求Data!$G$11:$G$160,CONCATENATE(VLOOKUP(G$5,$G$1:$H$4,2,FALSE),$E113,2),請求Data!$AG$11:$AG$160)-INDEX($K$9:$K$90,MATCH($E113,$E$9:$E$90,0))</f>
        <v>0</v>
      </c>
      <c r="L113" s="345"/>
      <c r="M113" s="126">
        <f>VLOOKUP($E113,'集計16-E'!$E$93:N$175,'集計16-E'!$M$7-$D$7,FALSE)+VLOOKUP($E113,'集計F-15'!$E$93:N$175,'集計F-15'!$M$7-$D$7,FALSE)</f>
        <v>0</v>
      </c>
      <c r="N113" s="434">
        <f>VLOOKUP($E113,'集計16-E'!$E$93:N$175,'集計16-E'!$N$7-$D$7,FALSE)+VLOOKUP($E113,'集計F-15'!$E$93:N$175,'集計F-15'!$N$7-$D$7,FALSE)</f>
        <v>0</v>
      </c>
      <c r="O113" s="345"/>
      <c r="P113" s="646">
        <f>VLOOKUP($E113,'集計16-E'!$E$93:W$175,'集計16-E'!$P$7-$D$7,0)+VLOOKUP($E113,'集計F-15'!$E$93:W$175,'集計F-15'!$P$7-$D$7,0)-$S113</f>
        <v>0</v>
      </c>
      <c r="Q113" s="647">
        <f>VLOOKUP($E113,'集計16-E'!$E$93:W$175,'集計16-E'!$Q$7-$D$7,0)+VLOOKUP($E113,'集計F-15'!$E$93:W$175,'集計F-15'!$Q$7-$D$7,0)-$T113</f>
        <v>0</v>
      </c>
      <c r="R113" s="345"/>
      <c r="S113" s="638">
        <f>SUMIF(請求Data!$G$11:$G$160,CONCATENATE(VLOOKUP(P$5,$G$1:$H$4,2,FALSE),$E113,2),請求Data!$AF$11:$AF$160)-S29</f>
        <v>0</v>
      </c>
      <c r="T113" s="647">
        <f>SUMIF(請求Data!$G$11:$G$160,CONCATENATE(VLOOKUP(P$5,$G$1:$H$4,2,FALSE),$E113,2),請求Data!$AG$11:$AG$160)-T29</f>
        <v>0</v>
      </c>
      <c r="U113" s="345"/>
      <c r="V113" s="126">
        <f>VLOOKUP($E113,'集計16-E'!$E$93:W$175,'集計16-E'!$V$7-$D$7,0)+VLOOKUP($E113,'集計F-15'!$E$93:W$175,'集計F-15'!$V$7-$D$7,0)</f>
        <v>0</v>
      </c>
      <c r="W113" s="435">
        <f>VLOOKUP($E113,'集計16-E'!$E$93:W$175,'集計16-E'!$W$7-$D$7,0)+VLOOKUP($E113,'集計F-15'!$E$93:W$175,'集計F-15'!$W$7-$D$7,0)</f>
        <v>0</v>
      </c>
      <c r="X113" s="345"/>
      <c r="Y113" s="646">
        <f>VLOOKUP($E113,'集計16-E'!$E$93:AF$175,'集計16-E'!$Y$7-$D$7,0)+VLOOKUP($E113,'集計F-15'!$E$93:AF$175,'集計F-15'!$Y$7-$D$7,0)-$AB113</f>
        <v>0</v>
      </c>
      <c r="Z113" s="647">
        <f>VLOOKUP($E113,'集計16-E'!$E$93:AF$175,'集計16-E'!$Z$7-$D$7,0)+VLOOKUP($E113,'集計F-15'!$E$93:AF$175,'集計F-15'!$Z$7-$D$7,0)-$AC113</f>
        <v>0</v>
      </c>
      <c r="AA113" s="345"/>
      <c r="AB113" s="638">
        <f>SUMIF(請求Data!$G$11:$G$160,CONCATENATE(VLOOKUP(Y$5,$G$1:$H$4,2,FALSE),$E113,2),請求Data!$AF$11:$AF$160)-AB29</f>
        <v>0</v>
      </c>
      <c r="AC113" s="647">
        <f>SUMIF(請求Data!$G$11:$G$160,CONCATENATE(VLOOKUP(Y$5,$G$1:$H$4,2,FALSE),$E113,2),請求Data!$AG$11:$AG$160)-AC29</f>
        <v>0</v>
      </c>
      <c r="AD113" s="345"/>
      <c r="AE113" s="126">
        <f>VLOOKUP($E113,'集計16-E'!$E$93:AF$175,'集計16-E'!$AE$7-$D$7,0)+VLOOKUP($E113,'集計F-15'!$E$93:AF$175,'集計F-15'!$AE$7-$D$7,0)</f>
        <v>0</v>
      </c>
      <c r="AF113" s="435">
        <f>VLOOKUP($E113,'集計16-E'!$E$93:AF$175,'集計16-E'!$AF$7-$D$7,0)+VLOOKUP($E113,'集計F-15'!$E$93:AF$175,'集計F-15'!$AF$7-$D$7,0)</f>
        <v>0</v>
      </c>
    </row>
    <row r="114" spans="1:32">
      <c r="A114" s="475" t="str">
        <f>IF(SUMIFS($G114:$AF114,$G$8:$AF$8,"金額",$G114:$AF114,"&gt;0")-SUMIFS($G114:$AF114,$G$8:$AF$8,"金額",$G114:$AF114,"&lt;0")&lt;=0,"",MAX($A$92:$A113)+1)</f>
        <v/>
      </c>
      <c r="B114" s="795"/>
      <c r="C114" s="245" t="str">
        <f t="shared" si="3"/>
        <v>経費</v>
      </c>
      <c r="D114" s="245">
        <v>22</v>
      </c>
      <c r="E114" s="593" t="str">
        <f>IF($F114&lt;&gt;"",INDEX(ﾏｽﾀ!$D$8:$D$124,MATCH(INDEX(ﾏｽﾀ!$N$8:$N$124,MATCH($F114,ﾏｽﾀ!$O$8:$O$124,0)),ﾏｽﾀ!$B$8:$B$124,0))&amp;"","")</f>
        <v>59000</v>
      </c>
      <c r="F114" s="594" t="str">
        <f>ﾏｽﾀ!$R29&amp;""</f>
        <v>株式会社フジトーイ</v>
      </c>
      <c r="G114" s="634">
        <f>VLOOKUP($E114,'集計16-E'!$E$93:N$174,'集計16-E'!$G$7-$D$7,FALSE)+VLOOKUP($E114,'集計F-15'!$E$93:N$174,'集計F-15'!$G$7-$D$7,FALSE)-INDEX($J$93:$J$174,MATCH($E114,$E$93:$E$174,0))</f>
        <v>0</v>
      </c>
      <c r="H114" s="629">
        <f>VLOOKUP($E114,'集計16-E'!$E$93:N$174,'集計16-E'!$H$7-$D$7,FALSE)+VLOOKUP($E114,'集計F-15'!$E$93:N$174,'集計F-15'!$H$7-$D$7,FALSE)-INDEX($K$93:$K$174,MATCH($E114,$E$93:$E$174,0))</f>
        <v>0</v>
      </c>
      <c r="I114" s="345"/>
      <c r="J114" s="628">
        <f>SUMIF(請求Data!$G$11:$G$160,CONCATENATE(VLOOKUP(G$5,$G$1:$H$4,2,FALSE),$E114,2),請求Data!$AF$11:$AF$160)-INDEX($J$9:$J$90,MATCH($E114,$E$9:$E$90,0))</f>
        <v>0</v>
      </c>
      <c r="K114" s="629">
        <f>SUMIF(請求Data!$G$11:$G$160,CONCATENATE(VLOOKUP(G$5,$G$1:$H$4,2,FALSE),$E114,2),請求Data!$AG$11:$AG$160)-INDEX($K$9:$K$90,MATCH($E114,$E$9:$E$90,0))</f>
        <v>0</v>
      </c>
      <c r="L114" s="345"/>
      <c r="M114" s="126">
        <f>VLOOKUP($E114,'集計16-E'!$E$93:N$175,'集計16-E'!$M$7-$D$7,FALSE)+VLOOKUP($E114,'集計F-15'!$E$93:N$175,'集計F-15'!$M$7-$D$7,FALSE)</f>
        <v>0</v>
      </c>
      <c r="N114" s="434">
        <f>VLOOKUP($E114,'集計16-E'!$E$93:N$175,'集計16-E'!$N$7-$D$7,FALSE)+VLOOKUP($E114,'集計F-15'!$E$93:N$175,'集計F-15'!$N$7-$D$7,FALSE)</f>
        <v>0</v>
      </c>
      <c r="O114" s="345"/>
      <c r="P114" s="646">
        <f>VLOOKUP($E114,'集計16-E'!$E$93:W$175,'集計16-E'!$P$7-$D$7,0)+VLOOKUP($E114,'集計F-15'!$E$93:W$175,'集計F-15'!$P$7-$D$7,0)-$S114</f>
        <v>0</v>
      </c>
      <c r="Q114" s="647">
        <f>VLOOKUP($E114,'集計16-E'!$E$93:W$175,'集計16-E'!$Q$7-$D$7,0)+VLOOKUP($E114,'集計F-15'!$E$93:W$175,'集計F-15'!$Q$7-$D$7,0)-$T114</f>
        <v>0</v>
      </c>
      <c r="R114" s="345"/>
      <c r="S114" s="638">
        <f>SUMIF(請求Data!$G$11:$G$160,CONCATENATE(VLOOKUP(P$5,$G$1:$H$4,2,FALSE),$E114,2),請求Data!$AF$11:$AF$160)-S30</f>
        <v>0</v>
      </c>
      <c r="T114" s="647">
        <f>SUMIF(請求Data!$G$11:$G$160,CONCATENATE(VLOOKUP(P$5,$G$1:$H$4,2,FALSE),$E114,2),請求Data!$AG$11:$AG$160)-T30</f>
        <v>0</v>
      </c>
      <c r="U114" s="345"/>
      <c r="V114" s="126">
        <f>VLOOKUP($E114,'集計16-E'!$E$93:W$175,'集計16-E'!$V$7-$D$7,0)+VLOOKUP($E114,'集計F-15'!$E$93:W$175,'集計F-15'!$V$7-$D$7,0)</f>
        <v>0</v>
      </c>
      <c r="W114" s="435">
        <f>VLOOKUP($E114,'集計16-E'!$E$93:W$175,'集計16-E'!$W$7-$D$7,0)+VLOOKUP($E114,'集計F-15'!$E$93:W$175,'集計F-15'!$W$7-$D$7,0)</f>
        <v>0</v>
      </c>
      <c r="X114" s="345"/>
      <c r="Y114" s="646">
        <f>VLOOKUP($E114,'集計16-E'!$E$93:AF$175,'集計16-E'!$Y$7-$D$7,0)+VLOOKUP($E114,'集計F-15'!$E$93:AF$175,'集計F-15'!$Y$7-$D$7,0)-$AB114</f>
        <v>0</v>
      </c>
      <c r="Z114" s="647">
        <f>VLOOKUP($E114,'集計16-E'!$E$93:AF$175,'集計16-E'!$Z$7-$D$7,0)+VLOOKUP($E114,'集計F-15'!$E$93:AF$175,'集計F-15'!$Z$7-$D$7,0)-$AC114</f>
        <v>0</v>
      </c>
      <c r="AA114" s="345"/>
      <c r="AB114" s="638">
        <f>SUMIF(請求Data!$G$11:$G$160,CONCATENATE(VLOOKUP(Y$5,$G$1:$H$4,2,FALSE),$E114,2),請求Data!$AF$11:$AF$160)-AB30</f>
        <v>0</v>
      </c>
      <c r="AC114" s="647">
        <f>SUMIF(請求Data!$G$11:$G$160,CONCATENATE(VLOOKUP(Y$5,$G$1:$H$4,2,FALSE),$E114,2),請求Data!$AG$11:$AG$160)-AC30</f>
        <v>0</v>
      </c>
      <c r="AD114" s="345"/>
      <c r="AE114" s="126">
        <f>VLOOKUP($E114,'集計16-E'!$E$93:AF$175,'集計16-E'!$AE$7-$D$7,0)+VLOOKUP($E114,'集計F-15'!$E$93:AF$175,'集計F-15'!$AE$7-$D$7,0)</f>
        <v>0</v>
      </c>
      <c r="AF114" s="435">
        <f>VLOOKUP($E114,'集計16-E'!$E$93:AF$175,'集計16-E'!$AF$7-$D$7,0)+VLOOKUP($E114,'集計F-15'!$E$93:AF$175,'集計F-15'!$AF$7-$D$7,0)</f>
        <v>0</v>
      </c>
    </row>
    <row r="115" spans="1:32">
      <c r="A115" s="475" t="str">
        <f>IF(SUMIFS($G115:$AF115,$G$8:$AF$8,"金額",$G115:$AF115,"&gt;0")-SUMIFS($G115:$AF115,$G$8:$AF$8,"金額",$G115:$AF115,"&lt;0")&lt;=0,"",MAX($A$92:$A114)+1)</f>
        <v/>
      </c>
      <c r="B115" s="795"/>
      <c r="C115" s="245" t="str">
        <f t="shared" si="3"/>
        <v>経費</v>
      </c>
      <c r="D115" s="245">
        <v>23</v>
      </c>
      <c r="E115" s="593" t="str">
        <f>IF($F115&lt;&gt;"",INDEX(ﾏｽﾀ!$D$8:$D$124,MATCH(INDEX(ﾏｽﾀ!$N$8:$N$124,MATCH($F115,ﾏｽﾀ!$O$8:$O$124,0)),ﾏｽﾀ!$B$8:$B$124,0))&amp;"","")</f>
        <v>60000</v>
      </c>
      <c r="F115" s="594" t="str">
        <f>ﾏｽﾀ!$R30&amp;""</f>
        <v>株式会社プレジャーキャスト</v>
      </c>
      <c r="G115" s="634">
        <f>VLOOKUP($E115,'集計16-E'!$E$93:N$174,'集計16-E'!$G$7-$D$7,FALSE)+VLOOKUP($E115,'集計F-15'!$E$93:N$174,'集計F-15'!$G$7-$D$7,FALSE)-INDEX($J$93:$J$174,MATCH($E115,$E$93:$E$174,0))</f>
        <v>0</v>
      </c>
      <c r="H115" s="629">
        <f>VLOOKUP($E115,'集計16-E'!$E$93:N$174,'集計16-E'!$H$7-$D$7,FALSE)+VLOOKUP($E115,'集計F-15'!$E$93:N$174,'集計F-15'!$H$7-$D$7,FALSE)-INDEX($K$93:$K$174,MATCH($E115,$E$93:$E$174,0))</f>
        <v>0</v>
      </c>
      <c r="I115" s="345"/>
      <c r="J115" s="628">
        <f>SUMIF(請求Data!$G$11:$G$160,CONCATENATE(VLOOKUP(G$5,$G$1:$H$4,2,FALSE),$E115,2),請求Data!$AF$11:$AF$160)-INDEX($J$9:$J$90,MATCH($E115,$E$9:$E$90,0))</f>
        <v>0</v>
      </c>
      <c r="K115" s="629">
        <f>SUMIF(請求Data!$G$11:$G$160,CONCATENATE(VLOOKUP(G$5,$G$1:$H$4,2,FALSE),$E115,2),請求Data!$AG$11:$AG$160)-INDEX($K$9:$K$90,MATCH($E115,$E$9:$E$90,0))</f>
        <v>0</v>
      </c>
      <c r="L115" s="345"/>
      <c r="M115" s="126">
        <f>VLOOKUP($E115,'集計16-E'!$E$93:N$175,'集計16-E'!$M$7-$D$7,FALSE)+VLOOKUP($E115,'集計F-15'!$E$93:N$175,'集計F-15'!$M$7-$D$7,FALSE)</f>
        <v>0</v>
      </c>
      <c r="N115" s="434">
        <f>VLOOKUP($E115,'集計16-E'!$E$93:N$175,'集計16-E'!$N$7-$D$7,FALSE)+VLOOKUP($E115,'集計F-15'!$E$93:N$175,'集計F-15'!$N$7-$D$7,FALSE)</f>
        <v>0</v>
      </c>
      <c r="O115" s="345"/>
      <c r="P115" s="646">
        <f>VLOOKUP($E115,'集計16-E'!$E$93:W$175,'集計16-E'!$P$7-$D$7,0)+VLOOKUP($E115,'集計F-15'!$E$93:W$175,'集計F-15'!$P$7-$D$7,0)-$S115</f>
        <v>0</v>
      </c>
      <c r="Q115" s="647">
        <f>VLOOKUP($E115,'集計16-E'!$E$93:W$175,'集計16-E'!$Q$7-$D$7,0)+VLOOKUP($E115,'集計F-15'!$E$93:W$175,'集計F-15'!$Q$7-$D$7,0)-$T115</f>
        <v>0</v>
      </c>
      <c r="R115" s="345"/>
      <c r="S115" s="638">
        <f>SUMIF(請求Data!$G$11:$G$160,CONCATENATE(VLOOKUP(P$5,$G$1:$H$4,2,FALSE),$E115,2),請求Data!$AF$11:$AF$160)-S31</f>
        <v>0</v>
      </c>
      <c r="T115" s="647">
        <f>SUMIF(請求Data!$G$11:$G$160,CONCATENATE(VLOOKUP(P$5,$G$1:$H$4,2,FALSE),$E115,2),請求Data!$AG$11:$AG$160)-T31</f>
        <v>0</v>
      </c>
      <c r="U115" s="345"/>
      <c r="V115" s="126">
        <f>VLOOKUP($E115,'集計16-E'!$E$93:W$175,'集計16-E'!$V$7-$D$7,0)+VLOOKUP($E115,'集計F-15'!$E$93:W$175,'集計F-15'!$V$7-$D$7,0)</f>
        <v>0</v>
      </c>
      <c r="W115" s="435">
        <f>VLOOKUP($E115,'集計16-E'!$E$93:W$175,'集計16-E'!$W$7-$D$7,0)+VLOOKUP($E115,'集計F-15'!$E$93:W$175,'集計F-15'!$W$7-$D$7,0)</f>
        <v>0</v>
      </c>
      <c r="X115" s="345"/>
      <c r="Y115" s="646">
        <f>VLOOKUP($E115,'集計16-E'!$E$93:AF$175,'集計16-E'!$Y$7-$D$7,0)+VLOOKUP($E115,'集計F-15'!$E$93:AF$175,'集計F-15'!$Y$7-$D$7,0)-$AB115</f>
        <v>0</v>
      </c>
      <c r="Z115" s="647">
        <f>VLOOKUP($E115,'集計16-E'!$E$93:AF$175,'集計16-E'!$Z$7-$D$7,0)+VLOOKUP($E115,'集計F-15'!$E$93:AF$175,'集計F-15'!$Z$7-$D$7,0)-$AC115</f>
        <v>0</v>
      </c>
      <c r="AA115" s="345"/>
      <c r="AB115" s="638">
        <f>SUMIF(請求Data!$G$11:$G$160,CONCATENATE(VLOOKUP(Y$5,$G$1:$H$4,2,FALSE),$E115,2),請求Data!$AF$11:$AF$160)-AB31</f>
        <v>0</v>
      </c>
      <c r="AC115" s="647">
        <f>SUMIF(請求Data!$G$11:$G$160,CONCATENATE(VLOOKUP(Y$5,$G$1:$H$4,2,FALSE),$E115,2),請求Data!$AG$11:$AG$160)-AC31</f>
        <v>0</v>
      </c>
      <c r="AD115" s="345"/>
      <c r="AE115" s="126">
        <f>VLOOKUP($E115,'集計16-E'!$E$93:AF$175,'集計16-E'!$AE$7-$D$7,0)+VLOOKUP($E115,'集計F-15'!$E$93:AF$175,'集計F-15'!$AE$7-$D$7,0)</f>
        <v>0</v>
      </c>
      <c r="AF115" s="435">
        <f>VLOOKUP($E115,'集計16-E'!$E$93:AF$175,'集計16-E'!$AF$7-$D$7,0)+VLOOKUP($E115,'集計F-15'!$E$93:AF$175,'集計F-15'!$AF$7-$D$7,0)</f>
        <v>0</v>
      </c>
    </row>
    <row r="116" spans="1:32">
      <c r="A116" s="475" t="str">
        <f>IF(SUMIFS($G116:$AF116,$G$8:$AF$8,"金額",$G116:$AF116,"&gt;0")-SUMIFS($G116:$AF116,$G$8:$AF$8,"金額",$G116:$AF116,"&lt;0")&lt;=0,"",MAX($A$92:$A115)+1)</f>
        <v/>
      </c>
      <c r="B116" s="795"/>
      <c r="C116" s="245" t="str">
        <f t="shared" si="3"/>
        <v>経費</v>
      </c>
      <c r="D116" s="245">
        <v>24</v>
      </c>
      <c r="E116" s="593" t="str">
        <f>IF($F116&lt;&gt;"",INDEX(ﾏｽﾀ!$D$8:$D$124,MATCH(INDEX(ﾏｽﾀ!$N$8:$N$124,MATCH($F116,ﾏｽﾀ!$O$8:$O$124,0)),ﾏｽﾀ!$B$8:$B$124,0))&amp;"","")</f>
        <v>61000</v>
      </c>
      <c r="F116" s="594" t="str">
        <f>ﾏｽﾀ!$R31&amp;""</f>
        <v>株式会社アスキー・メディアワークス</v>
      </c>
      <c r="G116" s="634">
        <f>VLOOKUP($E116,'集計16-E'!$E$93:N$174,'集計16-E'!$G$7-$D$7,FALSE)+VLOOKUP($E116,'集計F-15'!$E$93:N$174,'集計F-15'!$G$7-$D$7,FALSE)-INDEX($J$93:$J$174,MATCH($E116,$E$93:$E$174,0))</f>
        <v>0</v>
      </c>
      <c r="H116" s="629">
        <f>VLOOKUP($E116,'集計16-E'!$E$93:N$174,'集計16-E'!$H$7-$D$7,FALSE)+VLOOKUP($E116,'集計F-15'!$E$93:N$174,'集計F-15'!$H$7-$D$7,FALSE)-INDEX($K$93:$K$174,MATCH($E116,$E$93:$E$174,0))</f>
        <v>0</v>
      </c>
      <c r="I116" s="345"/>
      <c r="J116" s="628">
        <f>SUMIF(請求Data!$G$11:$G$160,CONCATENATE(VLOOKUP(G$5,$G$1:$H$4,2,FALSE),$E116,2),請求Data!$AF$11:$AF$160)-INDEX($J$9:$J$90,MATCH($E116,$E$9:$E$90,0))</f>
        <v>0</v>
      </c>
      <c r="K116" s="629">
        <f>SUMIF(請求Data!$G$11:$G$160,CONCATENATE(VLOOKUP(G$5,$G$1:$H$4,2,FALSE),$E116,2),請求Data!$AG$11:$AG$160)-INDEX($K$9:$K$90,MATCH($E116,$E$9:$E$90,0))</f>
        <v>0</v>
      </c>
      <c r="L116" s="345"/>
      <c r="M116" s="126">
        <f>VLOOKUP($E116,'集計16-E'!$E$93:N$175,'集計16-E'!$M$7-$D$7,FALSE)+VLOOKUP($E116,'集計F-15'!$E$93:N$175,'集計F-15'!$M$7-$D$7,FALSE)</f>
        <v>0</v>
      </c>
      <c r="N116" s="434">
        <f>VLOOKUP($E116,'集計16-E'!$E$93:N$175,'集計16-E'!$N$7-$D$7,FALSE)+VLOOKUP($E116,'集計F-15'!$E$93:N$175,'集計F-15'!$N$7-$D$7,FALSE)</f>
        <v>0</v>
      </c>
      <c r="O116" s="345"/>
      <c r="P116" s="646">
        <f>VLOOKUP($E116,'集計16-E'!$E$93:W$175,'集計16-E'!$P$7-$D$7,0)+VLOOKUP($E116,'集計F-15'!$E$93:W$175,'集計F-15'!$P$7-$D$7,0)-$S116</f>
        <v>0</v>
      </c>
      <c r="Q116" s="647">
        <f>VLOOKUP($E116,'集計16-E'!$E$93:W$175,'集計16-E'!$Q$7-$D$7,0)+VLOOKUP($E116,'集計F-15'!$E$93:W$175,'集計F-15'!$Q$7-$D$7,0)-$T116</f>
        <v>0</v>
      </c>
      <c r="R116" s="345"/>
      <c r="S116" s="638">
        <f>SUMIF(請求Data!$G$11:$G$160,CONCATENATE(VLOOKUP(P$5,$G$1:$H$4,2,FALSE),$E116,2),請求Data!$AF$11:$AF$160)-S32</f>
        <v>0</v>
      </c>
      <c r="T116" s="647">
        <f>SUMIF(請求Data!$G$11:$G$160,CONCATENATE(VLOOKUP(P$5,$G$1:$H$4,2,FALSE),$E116,2),請求Data!$AG$11:$AG$160)-T32</f>
        <v>0</v>
      </c>
      <c r="U116" s="345"/>
      <c r="V116" s="126">
        <f>VLOOKUP($E116,'集計16-E'!$E$93:W$175,'集計16-E'!$V$7-$D$7,0)+VLOOKUP($E116,'集計F-15'!$E$93:W$175,'集計F-15'!$V$7-$D$7,0)</f>
        <v>0</v>
      </c>
      <c r="W116" s="435">
        <f>VLOOKUP($E116,'集計16-E'!$E$93:W$175,'集計16-E'!$W$7-$D$7,0)+VLOOKUP($E116,'集計F-15'!$E$93:W$175,'集計F-15'!$W$7-$D$7,0)</f>
        <v>0</v>
      </c>
      <c r="X116" s="345"/>
      <c r="Y116" s="646">
        <f>VLOOKUP($E116,'集計16-E'!$E$93:AF$175,'集計16-E'!$Y$7-$D$7,0)+VLOOKUP($E116,'集計F-15'!$E$93:AF$175,'集計F-15'!$Y$7-$D$7,0)-$AB116</f>
        <v>0</v>
      </c>
      <c r="Z116" s="647">
        <f>VLOOKUP($E116,'集計16-E'!$E$93:AF$175,'集計16-E'!$Z$7-$D$7,0)+VLOOKUP($E116,'集計F-15'!$E$93:AF$175,'集計F-15'!$Z$7-$D$7,0)-$AC116</f>
        <v>0</v>
      </c>
      <c r="AA116" s="345"/>
      <c r="AB116" s="638">
        <f>SUMIF(請求Data!$G$11:$G$160,CONCATENATE(VLOOKUP(Y$5,$G$1:$H$4,2,FALSE),$E116,2),請求Data!$AF$11:$AF$160)-AB32</f>
        <v>0</v>
      </c>
      <c r="AC116" s="647">
        <f>SUMIF(請求Data!$G$11:$G$160,CONCATENATE(VLOOKUP(Y$5,$G$1:$H$4,2,FALSE),$E116,2),請求Data!$AG$11:$AG$160)-AC32</f>
        <v>0</v>
      </c>
      <c r="AD116" s="345"/>
      <c r="AE116" s="126">
        <f>VLOOKUP($E116,'集計16-E'!$E$93:AF$175,'集計16-E'!$AE$7-$D$7,0)+VLOOKUP($E116,'集計F-15'!$E$93:AF$175,'集計F-15'!$AE$7-$D$7,0)</f>
        <v>0</v>
      </c>
      <c r="AF116" s="435">
        <f>VLOOKUP($E116,'集計16-E'!$E$93:AF$175,'集計16-E'!$AF$7-$D$7,0)+VLOOKUP($E116,'集計F-15'!$E$93:AF$175,'集計F-15'!$AF$7-$D$7,0)</f>
        <v>0</v>
      </c>
    </row>
    <row r="117" spans="1:32">
      <c r="A117" s="475" t="str">
        <f>IF(SUMIFS($G117:$AF117,$G$8:$AF$8,"金額",$G117:$AF117,"&gt;0")-SUMIFS($G117:$AF117,$G$8:$AF$8,"金額",$G117:$AF117,"&lt;0")&lt;=0,"",MAX($A$92:$A116)+1)</f>
        <v/>
      </c>
      <c r="B117" s="795"/>
      <c r="C117" s="245" t="str">
        <f t="shared" si="3"/>
        <v>経費</v>
      </c>
      <c r="D117" s="245">
        <v>25</v>
      </c>
      <c r="E117" s="593" t="str">
        <f>IF($F117&lt;&gt;"",INDEX(ﾏｽﾀ!$D$8:$D$124,MATCH(INDEX(ﾏｽﾀ!$N$8:$N$124,MATCH($F117,ﾏｽﾀ!$O$8:$O$124,0)),ﾏｽﾀ!$B$8:$B$124,0))&amp;"","")</f>
        <v>62000</v>
      </c>
      <c r="F117" s="594" t="str">
        <f>ﾏｽﾀ!$R32&amp;""</f>
        <v>サミー株式会社</v>
      </c>
      <c r="G117" s="634">
        <f>VLOOKUP($E117,'集計16-E'!$E$93:N$174,'集計16-E'!$G$7-$D$7,FALSE)+VLOOKUP($E117,'集計F-15'!$E$93:N$174,'集計F-15'!$G$7-$D$7,FALSE)-INDEX($J$93:$J$174,MATCH($E117,$E$93:$E$174,0))</f>
        <v>0</v>
      </c>
      <c r="H117" s="629">
        <f>VLOOKUP($E117,'集計16-E'!$E$93:N$174,'集計16-E'!$H$7-$D$7,FALSE)+VLOOKUP($E117,'集計F-15'!$E$93:N$174,'集計F-15'!$H$7-$D$7,FALSE)-INDEX($K$93:$K$174,MATCH($E117,$E$93:$E$174,0))</f>
        <v>0</v>
      </c>
      <c r="I117" s="345"/>
      <c r="J117" s="628">
        <f>SUMIF(請求Data!$G$11:$G$160,CONCATENATE(VLOOKUP(G$5,$G$1:$H$4,2,FALSE),$E117,2),請求Data!$AF$11:$AF$160)-INDEX($J$9:$J$90,MATCH($E117,$E$9:$E$90,0))</f>
        <v>0</v>
      </c>
      <c r="K117" s="629">
        <f>SUMIF(請求Data!$G$11:$G$160,CONCATENATE(VLOOKUP(G$5,$G$1:$H$4,2,FALSE),$E117,2),請求Data!$AG$11:$AG$160)-INDEX($K$9:$K$90,MATCH($E117,$E$9:$E$90,0))</f>
        <v>0</v>
      </c>
      <c r="L117" s="345"/>
      <c r="M117" s="126">
        <f>VLOOKUP($E117,'集計16-E'!$E$93:N$175,'集計16-E'!$M$7-$D$7,FALSE)+VLOOKUP($E117,'集計F-15'!$E$93:N$175,'集計F-15'!$M$7-$D$7,FALSE)</f>
        <v>0</v>
      </c>
      <c r="N117" s="434">
        <f>VLOOKUP($E117,'集計16-E'!$E$93:N$175,'集計16-E'!$N$7-$D$7,FALSE)+VLOOKUP($E117,'集計F-15'!$E$93:N$175,'集計F-15'!$N$7-$D$7,FALSE)</f>
        <v>0</v>
      </c>
      <c r="O117" s="345"/>
      <c r="P117" s="646">
        <f>VLOOKUP($E117,'集計16-E'!$E$93:W$175,'集計16-E'!$P$7-$D$7,0)+VLOOKUP($E117,'集計F-15'!$E$93:W$175,'集計F-15'!$P$7-$D$7,0)-$S117</f>
        <v>0</v>
      </c>
      <c r="Q117" s="647">
        <f>VLOOKUP($E117,'集計16-E'!$E$93:W$175,'集計16-E'!$Q$7-$D$7,0)+VLOOKUP($E117,'集計F-15'!$E$93:W$175,'集計F-15'!$Q$7-$D$7,0)-$T117</f>
        <v>0</v>
      </c>
      <c r="R117" s="345"/>
      <c r="S117" s="638">
        <f>SUMIF(請求Data!$G$11:$G$160,CONCATENATE(VLOOKUP(P$5,$G$1:$H$4,2,FALSE),$E117,2),請求Data!$AF$11:$AF$160)-S33</f>
        <v>0</v>
      </c>
      <c r="T117" s="647">
        <f>SUMIF(請求Data!$G$11:$G$160,CONCATENATE(VLOOKUP(P$5,$G$1:$H$4,2,FALSE),$E117,2),請求Data!$AG$11:$AG$160)-T33</f>
        <v>0</v>
      </c>
      <c r="U117" s="345"/>
      <c r="V117" s="126">
        <f>VLOOKUP($E117,'集計16-E'!$E$93:W$175,'集計16-E'!$V$7-$D$7,0)+VLOOKUP($E117,'集計F-15'!$E$93:W$175,'集計F-15'!$V$7-$D$7,0)</f>
        <v>0</v>
      </c>
      <c r="W117" s="435">
        <f>VLOOKUP($E117,'集計16-E'!$E$93:W$175,'集計16-E'!$W$7-$D$7,0)+VLOOKUP($E117,'集計F-15'!$E$93:W$175,'集計F-15'!$W$7-$D$7,0)</f>
        <v>0</v>
      </c>
      <c r="X117" s="345"/>
      <c r="Y117" s="646">
        <f>VLOOKUP($E117,'集計16-E'!$E$93:AF$175,'集計16-E'!$Y$7-$D$7,0)+VLOOKUP($E117,'集計F-15'!$E$93:AF$175,'集計F-15'!$Y$7-$D$7,0)-$AB117</f>
        <v>0</v>
      </c>
      <c r="Z117" s="647">
        <f>VLOOKUP($E117,'集計16-E'!$E$93:AF$175,'集計16-E'!$Z$7-$D$7,0)+VLOOKUP($E117,'集計F-15'!$E$93:AF$175,'集計F-15'!$Z$7-$D$7,0)-$AC117</f>
        <v>0</v>
      </c>
      <c r="AA117" s="345"/>
      <c r="AB117" s="638">
        <f>SUMIF(請求Data!$G$11:$G$160,CONCATENATE(VLOOKUP(Y$5,$G$1:$H$4,2,FALSE),$E117,2),請求Data!$AF$11:$AF$160)-AB33</f>
        <v>0</v>
      </c>
      <c r="AC117" s="647">
        <f>SUMIF(請求Data!$G$11:$G$160,CONCATENATE(VLOOKUP(Y$5,$G$1:$H$4,2,FALSE),$E117,2),請求Data!$AG$11:$AG$160)-AC33</f>
        <v>0</v>
      </c>
      <c r="AD117" s="345"/>
      <c r="AE117" s="126">
        <f>VLOOKUP($E117,'集計16-E'!$E$93:AF$175,'集計16-E'!$AE$7-$D$7,0)+VLOOKUP($E117,'集計F-15'!$E$93:AF$175,'集計F-15'!$AE$7-$D$7,0)</f>
        <v>0</v>
      </c>
      <c r="AF117" s="435">
        <f>VLOOKUP($E117,'集計16-E'!$E$93:AF$175,'集計16-E'!$AF$7-$D$7,0)+VLOOKUP($E117,'集計F-15'!$E$93:AF$175,'集計F-15'!$AF$7-$D$7,0)</f>
        <v>0</v>
      </c>
    </row>
    <row r="118" spans="1:32">
      <c r="A118" s="475" t="str">
        <f>IF(SUMIFS($G118:$AF118,$G$8:$AF$8,"金額",$G118:$AF118,"&gt;0")-SUMIFS($G118:$AF118,$G$8:$AF$8,"金額",$G118:$AF118,"&lt;0")&lt;=0,"",MAX($A$92:$A117)+1)</f>
        <v/>
      </c>
      <c r="B118" s="795"/>
      <c r="C118" s="245" t="str">
        <f t="shared" si="3"/>
        <v>経費</v>
      </c>
      <c r="D118" s="245">
        <v>26</v>
      </c>
      <c r="E118" s="593" t="str">
        <f>IF($F118&lt;&gt;"",INDEX(ﾏｽﾀ!$D$8:$D$124,MATCH(INDEX(ﾏｽﾀ!$N$8:$N$124,MATCH($F118,ﾏｽﾀ!$O$8:$O$124,0)),ﾏｽﾀ!$B$8:$B$124,0))&amp;"","")</f>
        <v>63000</v>
      </c>
      <c r="F118" s="594" t="str">
        <f>ﾏｽﾀ!$R33&amp;""</f>
        <v>ボークス株式会社</v>
      </c>
      <c r="G118" s="634">
        <f>VLOOKUP($E118,'集計16-E'!$E$93:N$174,'集計16-E'!$G$7-$D$7,FALSE)+VLOOKUP($E118,'集計F-15'!$E$93:N$174,'集計F-15'!$G$7-$D$7,FALSE)-INDEX($J$93:$J$174,MATCH($E118,$E$93:$E$174,0))</f>
        <v>0</v>
      </c>
      <c r="H118" s="629">
        <f>VLOOKUP($E118,'集計16-E'!$E$93:N$174,'集計16-E'!$H$7-$D$7,FALSE)+VLOOKUP($E118,'集計F-15'!$E$93:N$174,'集計F-15'!$H$7-$D$7,FALSE)-INDEX($K$93:$K$174,MATCH($E118,$E$93:$E$174,0))</f>
        <v>0</v>
      </c>
      <c r="I118" s="345"/>
      <c r="J118" s="628">
        <f>SUMIF(請求Data!$G$11:$G$160,CONCATENATE(VLOOKUP(G$5,$G$1:$H$4,2,FALSE),$E118,2),請求Data!$AF$11:$AF$160)-INDEX($J$9:$J$90,MATCH($E118,$E$9:$E$90,0))</f>
        <v>0</v>
      </c>
      <c r="K118" s="629">
        <f>SUMIF(請求Data!$G$11:$G$160,CONCATENATE(VLOOKUP(G$5,$G$1:$H$4,2,FALSE),$E118,2),請求Data!$AG$11:$AG$160)-INDEX($K$9:$K$90,MATCH($E118,$E$9:$E$90,0))</f>
        <v>0</v>
      </c>
      <c r="L118" s="345"/>
      <c r="M118" s="126">
        <f>VLOOKUP($E118,'集計16-E'!$E$93:N$175,'集計16-E'!$M$7-$D$7,FALSE)+VLOOKUP($E118,'集計F-15'!$E$93:N$175,'集計F-15'!$M$7-$D$7,FALSE)</f>
        <v>0</v>
      </c>
      <c r="N118" s="434">
        <f>VLOOKUP($E118,'集計16-E'!$E$93:N$175,'集計16-E'!$N$7-$D$7,FALSE)+VLOOKUP($E118,'集計F-15'!$E$93:N$175,'集計F-15'!$N$7-$D$7,FALSE)</f>
        <v>0</v>
      </c>
      <c r="O118" s="345"/>
      <c r="P118" s="646">
        <f>VLOOKUP($E118,'集計16-E'!$E$93:W$175,'集計16-E'!$P$7-$D$7,0)+VLOOKUP($E118,'集計F-15'!$E$93:W$175,'集計F-15'!$P$7-$D$7,0)-$S118</f>
        <v>0</v>
      </c>
      <c r="Q118" s="647">
        <f>VLOOKUP($E118,'集計16-E'!$E$93:W$175,'集計16-E'!$Q$7-$D$7,0)+VLOOKUP($E118,'集計F-15'!$E$93:W$175,'集計F-15'!$Q$7-$D$7,0)-$T118</f>
        <v>0</v>
      </c>
      <c r="R118" s="345"/>
      <c r="S118" s="638">
        <f>SUMIF(請求Data!$G$11:$G$160,CONCATENATE(VLOOKUP(P$5,$G$1:$H$4,2,FALSE),$E118,2),請求Data!$AF$11:$AF$160)-S34</f>
        <v>0</v>
      </c>
      <c r="T118" s="647">
        <f>SUMIF(請求Data!$G$11:$G$160,CONCATENATE(VLOOKUP(P$5,$G$1:$H$4,2,FALSE),$E118,2),請求Data!$AG$11:$AG$160)-T34</f>
        <v>0</v>
      </c>
      <c r="U118" s="345"/>
      <c r="V118" s="126">
        <f>VLOOKUP($E118,'集計16-E'!$E$93:W$175,'集計16-E'!$V$7-$D$7,0)+VLOOKUP($E118,'集計F-15'!$E$93:W$175,'集計F-15'!$V$7-$D$7,0)</f>
        <v>0</v>
      </c>
      <c r="W118" s="435">
        <f>VLOOKUP($E118,'集計16-E'!$E$93:W$175,'集計16-E'!$W$7-$D$7,0)+VLOOKUP($E118,'集計F-15'!$E$93:W$175,'集計F-15'!$W$7-$D$7,0)</f>
        <v>0</v>
      </c>
      <c r="X118" s="345"/>
      <c r="Y118" s="646">
        <f>VLOOKUP($E118,'集計16-E'!$E$93:AF$175,'集計16-E'!$Y$7-$D$7,0)+VLOOKUP($E118,'集計F-15'!$E$93:AF$175,'集計F-15'!$Y$7-$D$7,0)-$AB118</f>
        <v>0</v>
      </c>
      <c r="Z118" s="647">
        <f>VLOOKUP($E118,'集計16-E'!$E$93:AF$175,'集計16-E'!$Z$7-$D$7,0)+VLOOKUP($E118,'集計F-15'!$E$93:AF$175,'集計F-15'!$Z$7-$D$7,0)-$AC118</f>
        <v>0</v>
      </c>
      <c r="AA118" s="345"/>
      <c r="AB118" s="638">
        <f>SUMIF(請求Data!$G$11:$G$160,CONCATENATE(VLOOKUP(Y$5,$G$1:$H$4,2,FALSE),$E118,2),請求Data!$AF$11:$AF$160)-AB34</f>
        <v>0</v>
      </c>
      <c r="AC118" s="647">
        <f>SUMIF(請求Data!$G$11:$G$160,CONCATENATE(VLOOKUP(Y$5,$G$1:$H$4,2,FALSE),$E118,2),請求Data!$AG$11:$AG$160)-AC34</f>
        <v>0</v>
      </c>
      <c r="AD118" s="345"/>
      <c r="AE118" s="126">
        <f>VLOOKUP($E118,'集計16-E'!$E$93:AF$175,'集計16-E'!$AE$7-$D$7,0)+VLOOKUP($E118,'集計F-15'!$E$93:AF$175,'集計F-15'!$AE$7-$D$7,0)</f>
        <v>0</v>
      </c>
      <c r="AF118" s="435">
        <f>VLOOKUP($E118,'集計16-E'!$E$93:AF$175,'集計16-E'!$AF$7-$D$7,0)+VLOOKUP($E118,'集計F-15'!$E$93:AF$175,'集計F-15'!$AF$7-$D$7,0)</f>
        <v>0</v>
      </c>
    </row>
    <row r="119" spans="1:32">
      <c r="A119" s="475" t="str">
        <f>IF(SUMIFS($G119:$AF119,$G$8:$AF$8,"金額",$G119:$AF119,"&gt;0")-SUMIFS($G119:$AF119,$G$8:$AF$8,"金額",$G119:$AF119,"&lt;0")&lt;=0,"",MAX($A$92:$A118)+1)</f>
        <v/>
      </c>
      <c r="B119" s="795"/>
      <c r="C119" s="245" t="str">
        <f t="shared" si="3"/>
        <v>経費</v>
      </c>
      <c r="D119" s="245">
        <v>27</v>
      </c>
      <c r="E119" s="593" t="str">
        <f>IF($F119&lt;&gt;"",INDEX(ﾏｽﾀ!$D$8:$D$124,MATCH(INDEX(ﾏｽﾀ!$N$8:$N$124,MATCH($F119,ﾏｽﾀ!$O$8:$O$124,0)),ﾏｽﾀ!$B$8:$B$124,0))&amp;"","")</f>
        <v>64000</v>
      </c>
      <c r="F119" s="594" t="str">
        <f>ﾏｽﾀ!$R34&amp;""</f>
        <v>株式会社シービーエー</v>
      </c>
      <c r="G119" s="634">
        <f>VLOOKUP($E119,'集計16-E'!$E$93:N$174,'集計16-E'!$G$7-$D$7,FALSE)+VLOOKUP($E119,'集計F-15'!$E$93:N$174,'集計F-15'!$G$7-$D$7,FALSE)-INDEX($J$93:$J$174,MATCH($E119,$E$93:$E$174,0))</f>
        <v>0</v>
      </c>
      <c r="H119" s="629">
        <f>VLOOKUP($E119,'集計16-E'!$E$93:N$174,'集計16-E'!$H$7-$D$7,FALSE)+VLOOKUP($E119,'集計F-15'!$E$93:N$174,'集計F-15'!$H$7-$D$7,FALSE)-INDEX($K$93:$K$174,MATCH($E119,$E$93:$E$174,0))</f>
        <v>0</v>
      </c>
      <c r="I119" s="345"/>
      <c r="J119" s="628">
        <f>SUMIF(請求Data!$G$11:$G$160,CONCATENATE(VLOOKUP(G$5,$G$1:$H$4,2,FALSE),$E119,2),請求Data!$AF$11:$AF$160)-INDEX($J$9:$J$90,MATCH($E119,$E$9:$E$90,0))</f>
        <v>0</v>
      </c>
      <c r="K119" s="629">
        <f>SUMIF(請求Data!$G$11:$G$160,CONCATENATE(VLOOKUP(G$5,$G$1:$H$4,2,FALSE),$E119,2),請求Data!$AG$11:$AG$160)-INDEX($K$9:$K$90,MATCH($E119,$E$9:$E$90,0))</f>
        <v>0</v>
      </c>
      <c r="L119" s="345"/>
      <c r="M119" s="126">
        <f>VLOOKUP($E119,'集計16-E'!$E$93:N$175,'集計16-E'!$M$7-$D$7,FALSE)+VLOOKUP($E119,'集計F-15'!$E$93:N$175,'集計F-15'!$M$7-$D$7,FALSE)</f>
        <v>0</v>
      </c>
      <c r="N119" s="434">
        <f>VLOOKUP($E119,'集計16-E'!$E$93:N$175,'集計16-E'!$N$7-$D$7,FALSE)+VLOOKUP($E119,'集計F-15'!$E$93:N$175,'集計F-15'!$N$7-$D$7,FALSE)</f>
        <v>0</v>
      </c>
      <c r="O119" s="345"/>
      <c r="P119" s="646">
        <f>VLOOKUP($E119,'集計16-E'!$E$93:W$175,'集計16-E'!$P$7-$D$7,0)+VLOOKUP($E119,'集計F-15'!$E$93:W$175,'集計F-15'!$P$7-$D$7,0)-$S119</f>
        <v>0</v>
      </c>
      <c r="Q119" s="647">
        <f>VLOOKUP($E119,'集計16-E'!$E$93:W$175,'集計16-E'!$Q$7-$D$7,0)+VLOOKUP($E119,'集計F-15'!$E$93:W$175,'集計F-15'!$Q$7-$D$7,0)-$T119</f>
        <v>0</v>
      </c>
      <c r="R119" s="345"/>
      <c r="S119" s="638">
        <f>SUMIF(請求Data!$G$11:$G$160,CONCATENATE(VLOOKUP(P$5,$G$1:$H$4,2,FALSE),$E119,2),請求Data!$AF$11:$AF$160)-S35</f>
        <v>0</v>
      </c>
      <c r="T119" s="647">
        <f>SUMIF(請求Data!$G$11:$G$160,CONCATENATE(VLOOKUP(P$5,$G$1:$H$4,2,FALSE),$E119,2),請求Data!$AG$11:$AG$160)-T35</f>
        <v>0</v>
      </c>
      <c r="U119" s="345"/>
      <c r="V119" s="126">
        <f>VLOOKUP($E119,'集計16-E'!$E$93:W$175,'集計16-E'!$V$7-$D$7,0)+VLOOKUP($E119,'集計F-15'!$E$93:W$175,'集計F-15'!$V$7-$D$7,0)</f>
        <v>0</v>
      </c>
      <c r="W119" s="435">
        <f>VLOOKUP($E119,'集計16-E'!$E$93:W$175,'集計16-E'!$W$7-$D$7,0)+VLOOKUP($E119,'集計F-15'!$E$93:W$175,'集計F-15'!$W$7-$D$7,0)</f>
        <v>0</v>
      </c>
      <c r="X119" s="345"/>
      <c r="Y119" s="646">
        <f>VLOOKUP($E119,'集計16-E'!$E$93:AF$175,'集計16-E'!$Y$7-$D$7,0)+VLOOKUP($E119,'集計F-15'!$E$93:AF$175,'集計F-15'!$Y$7-$D$7,0)-$AB119</f>
        <v>0</v>
      </c>
      <c r="Z119" s="647">
        <f>VLOOKUP($E119,'集計16-E'!$E$93:AF$175,'集計16-E'!$Z$7-$D$7,0)+VLOOKUP($E119,'集計F-15'!$E$93:AF$175,'集計F-15'!$Z$7-$D$7,0)-$AC119</f>
        <v>0</v>
      </c>
      <c r="AA119" s="345"/>
      <c r="AB119" s="638">
        <f>SUMIF(請求Data!$G$11:$G$160,CONCATENATE(VLOOKUP(Y$5,$G$1:$H$4,2,FALSE),$E119,2),請求Data!$AF$11:$AF$160)-AB35</f>
        <v>0</v>
      </c>
      <c r="AC119" s="647">
        <f>SUMIF(請求Data!$G$11:$G$160,CONCATENATE(VLOOKUP(Y$5,$G$1:$H$4,2,FALSE),$E119,2),請求Data!$AG$11:$AG$160)-AC35</f>
        <v>0</v>
      </c>
      <c r="AD119" s="345"/>
      <c r="AE119" s="126">
        <f>VLOOKUP($E119,'集計16-E'!$E$93:AF$175,'集計16-E'!$AE$7-$D$7,0)+VLOOKUP($E119,'集計F-15'!$E$93:AF$175,'集計F-15'!$AE$7-$D$7,0)</f>
        <v>0</v>
      </c>
      <c r="AF119" s="435">
        <f>VLOOKUP($E119,'集計16-E'!$E$93:AF$175,'集計16-E'!$AF$7-$D$7,0)+VLOOKUP($E119,'集計F-15'!$E$93:AF$175,'集計F-15'!$AF$7-$D$7,0)</f>
        <v>0</v>
      </c>
    </row>
    <row r="120" spans="1:32">
      <c r="A120" s="475" t="str">
        <f>IF(SUMIFS($G120:$AF120,$G$8:$AF$8,"金額",$G120:$AF120,"&gt;0")-SUMIFS($G120:$AF120,$G$8:$AF$8,"金額",$G120:$AF120,"&lt;0")&lt;=0,"",MAX($A$92:$A119)+1)</f>
        <v/>
      </c>
      <c r="B120" s="795"/>
      <c r="C120" s="245" t="str">
        <f t="shared" si="3"/>
        <v>経費</v>
      </c>
      <c r="D120" s="245">
        <v>28</v>
      </c>
      <c r="E120" s="593" t="str">
        <f>IF($F120&lt;&gt;"",INDEX(ﾏｽﾀ!$D$8:$D$124,MATCH(INDEX(ﾏｽﾀ!$N$8:$N$124,MATCH($F120,ﾏｽﾀ!$O$8:$O$124,0)),ﾏｽﾀ!$B$8:$B$124,0))&amp;"","")</f>
        <v>65000</v>
      </c>
      <c r="F120" s="594" t="str">
        <f>ﾏｽﾀ!$R35&amp;""</f>
        <v>石川玩具株式会社</v>
      </c>
      <c r="G120" s="634">
        <f>VLOOKUP($E120,'集計16-E'!$E$93:N$174,'集計16-E'!$G$7-$D$7,FALSE)+VLOOKUP($E120,'集計F-15'!$E$93:N$174,'集計F-15'!$G$7-$D$7,FALSE)-INDEX($J$93:$J$174,MATCH($E120,$E$93:$E$174,0))</f>
        <v>0</v>
      </c>
      <c r="H120" s="629">
        <f>VLOOKUP($E120,'集計16-E'!$E$93:N$174,'集計16-E'!$H$7-$D$7,FALSE)+VLOOKUP($E120,'集計F-15'!$E$93:N$174,'集計F-15'!$H$7-$D$7,FALSE)-INDEX($K$93:$K$174,MATCH($E120,$E$93:$E$174,0))</f>
        <v>0</v>
      </c>
      <c r="I120" s="345"/>
      <c r="J120" s="628">
        <f>SUMIF(請求Data!$G$11:$G$160,CONCATENATE(VLOOKUP(G$5,$G$1:$H$4,2,FALSE),$E120,2),請求Data!$AF$11:$AF$160)-INDEX($J$9:$J$90,MATCH($E120,$E$9:$E$90,0))</f>
        <v>0</v>
      </c>
      <c r="K120" s="629">
        <f>SUMIF(請求Data!$G$11:$G$160,CONCATENATE(VLOOKUP(G$5,$G$1:$H$4,2,FALSE),$E120,2),請求Data!$AG$11:$AG$160)-INDEX($K$9:$K$90,MATCH($E120,$E$9:$E$90,0))</f>
        <v>0</v>
      </c>
      <c r="L120" s="345"/>
      <c r="M120" s="126">
        <f>VLOOKUP($E120,'集計16-E'!$E$93:N$175,'集計16-E'!$M$7-$D$7,FALSE)+VLOOKUP($E120,'集計F-15'!$E$93:N$175,'集計F-15'!$M$7-$D$7,FALSE)</f>
        <v>0</v>
      </c>
      <c r="N120" s="434">
        <f>VLOOKUP($E120,'集計16-E'!$E$93:N$175,'集計16-E'!$N$7-$D$7,FALSE)+VLOOKUP($E120,'集計F-15'!$E$93:N$175,'集計F-15'!$N$7-$D$7,FALSE)</f>
        <v>0</v>
      </c>
      <c r="O120" s="345"/>
      <c r="P120" s="646">
        <f>VLOOKUP($E120,'集計16-E'!$E$93:W$175,'集計16-E'!$P$7-$D$7,0)+VLOOKUP($E120,'集計F-15'!$E$93:W$175,'集計F-15'!$P$7-$D$7,0)-$S120</f>
        <v>0</v>
      </c>
      <c r="Q120" s="647">
        <f>VLOOKUP($E120,'集計16-E'!$E$93:W$175,'集計16-E'!$Q$7-$D$7,0)+VLOOKUP($E120,'集計F-15'!$E$93:W$175,'集計F-15'!$Q$7-$D$7,0)-$T120</f>
        <v>0</v>
      </c>
      <c r="R120" s="345"/>
      <c r="S120" s="638">
        <f>SUMIF(請求Data!$G$11:$G$160,CONCATENATE(VLOOKUP(P$5,$G$1:$H$4,2,FALSE),$E120,2),請求Data!$AF$11:$AF$160)-S36</f>
        <v>0</v>
      </c>
      <c r="T120" s="647">
        <f>SUMIF(請求Data!$G$11:$G$160,CONCATENATE(VLOOKUP(P$5,$G$1:$H$4,2,FALSE),$E120,2),請求Data!$AG$11:$AG$160)-T36</f>
        <v>0</v>
      </c>
      <c r="U120" s="345"/>
      <c r="V120" s="126">
        <f>VLOOKUP($E120,'集計16-E'!$E$93:W$175,'集計16-E'!$V$7-$D$7,0)+VLOOKUP($E120,'集計F-15'!$E$93:W$175,'集計F-15'!$V$7-$D$7,0)</f>
        <v>0</v>
      </c>
      <c r="W120" s="435">
        <f>VLOOKUP($E120,'集計16-E'!$E$93:W$175,'集計16-E'!$W$7-$D$7,0)+VLOOKUP($E120,'集計F-15'!$E$93:W$175,'集計F-15'!$W$7-$D$7,0)</f>
        <v>0</v>
      </c>
      <c r="X120" s="345"/>
      <c r="Y120" s="646">
        <f>VLOOKUP($E120,'集計16-E'!$E$93:AF$175,'集計16-E'!$Y$7-$D$7,0)+VLOOKUP($E120,'集計F-15'!$E$93:AF$175,'集計F-15'!$Y$7-$D$7,0)-$AB120</f>
        <v>0</v>
      </c>
      <c r="Z120" s="647">
        <f>VLOOKUP($E120,'集計16-E'!$E$93:AF$175,'集計16-E'!$Z$7-$D$7,0)+VLOOKUP($E120,'集計F-15'!$E$93:AF$175,'集計F-15'!$Z$7-$D$7,0)-$AC120</f>
        <v>0</v>
      </c>
      <c r="AA120" s="345"/>
      <c r="AB120" s="638">
        <f>SUMIF(請求Data!$G$11:$G$160,CONCATENATE(VLOOKUP(Y$5,$G$1:$H$4,2,FALSE),$E120,2),請求Data!$AF$11:$AF$160)-AB36</f>
        <v>0</v>
      </c>
      <c r="AC120" s="647">
        <f>SUMIF(請求Data!$G$11:$G$160,CONCATENATE(VLOOKUP(Y$5,$G$1:$H$4,2,FALSE),$E120,2),請求Data!$AG$11:$AG$160)-AC36</f>
        <v>0</v>
      </c>
      <c r="AD120" s="345"/>
      <c r="AE120" s="126">
        <f>VLOOKUP($E120,'集計16-E'!$E$93:AF$175,'集計16-E'!$AE$7-$D$7,0)+VLOOKUP($E120,'集計F-15'!$E$93:AF$175,'集計F-15'!$AE$7-$D$7,0)</f>
        <v>0</v>
      </c>
      <c r="AF120" s="435">
        <f>VLOOKUP($E120,'集計16-E'!$E$93:AF$175,'集計16-E'!$AF$7-$D$7,0)+VLOOKUP($E120,'集計F-15'!$E$93:AF$175,'集計F-15'!$AF$7-$D$7,0)</f>
        <v>0</v>
      </c>
    </row>
    <row r="121" spans="1:32">
      <c r="A121" s="475" t="str">
        <f>IF(SUMIFS($G121:$AF121,$G$8:$AF$8,"金額",$G121:$AF121,"&gt;0")-SUMIFS($G121:$AF121,$G$8:$AF$8,"金額",$G121:$AF121,"&lt;0")&lt;=0,"",MAX($A$92:$A120)+1)</f>
        <v/>
      </c>
      <c r="B121" s="795"/>
      <c r="C121" s="245" t="str">
        <f t="shared" si="3"/>
        <v>経費</v>
      </c>
      <c r="D121" s="245">
        <v>29</v>
      </c>
      <c r="E121" s="593" t="str">
        <f>IF($F121&lt;&gt;"",INDEX(ﾏｽﾀ!$D$8:$D$124,MATCH(INDEX(ﾏｽﾀ!$N$8:$N$124,MATCH($F121,ﾏｽﾀ!$O$8:$O$124,0)),ﾏｽﾀ!$B$8:$B$124,0))&amp;"","")</f>
        <v>66000</v>
      </c>
      <c r="F121" s="594" t="str">
        <f>ﾏｽﾀ!$R36&amp;""</f>
        <v>日本食材株式会社</v>
      </c>
      <c r="G121" s="634">
        <f>VLOOKUP($E121,'集計16-E'!$E$93:N$174,'集計16-E'!$G$7-$D$7,FALSE)+VLOOKUP($E121,'集計F-15'!$E$93:N$174,'集計F-15'!$G$7-$D$7,FALSE)-INDEX($J$93:$J$174,MATCH($E121,$E$93:$E$174,0))</f>
        <v>0</v>
      </c>
      <c r="H121" s="629">
        <f>VLOOKUP($E121,'集計16-E'!$E$93:N$174,'集計16-E'!$H$7-$D$7,FALSE)+VLOOKUP($E121,'集計F-15'!$E$93:N$174,'集計F-15'!$H$7-$D$7,FALSE)-INDEX($K$93:$K$174,MATCH($E121,$E$93:$E$174,0))</f>
        <v>0</v>
      </c>
      <c r="I121" s="345"/>
      <c r="J121" s="628">
        <f>SUMIF(請求Data!$G$11:$G$160,CONCATENATE(VLOOKUP(G$5,$G$1:$H$4,2,FALSE),$E121,2),請求Data!$AF$11:$AF$160)-INDEX($J$9:$J$90,MATCH($E121,$E$9:$E$90,0))</f>
        <v>0</v>
      </c>
      <c r="K121" s="629">
        <f>SUMIF(請求Data!$G$11:$G$160,CONCATENATE(VLOOKUP(G$5,$G$1:$H$4,2,FALSE),$E121,2),請求Data!$AG$11:$AG$160)-INDEX($K$9:$K$90,MATCH($E121,$E$9:$E$90,0))</f>
        <v>0</v>
      </c>
      <c r="L121" s="345"/>
      <c r="M121" s="126">
        <f>VLOOKUP($E121,'集計16-E'!$E$93:N$175,'集計16-E'!$M$7-$D$7,FALSE)+VLOOKUP($E121,'集計F-15'!$E$93:N$175,'集計F-15'!$M$7-$D$7,FALSE)</f>
        <v>0</v>
      </c>
      <c r="N121" s="434">
        <f>VLOOKUP($E121,'集計16-E'!$E$93:N$175,'集計16-E'!$N$7-$D$7,FALSE)+VLOOKUP($E121,'集計F-15'!$E$93:N$175,'集計F-15'!$N$7-$D$7,FALSE)</f>
        <v>0</v>
      </c>
      <c r="O121" s="345"/>
      <c r="P121" s="646">
        <f>VLOOKUP($E121,'集計16-E'!$E$93:W$175,'集計16-E'!$P$7-$D$7,0)+VLOOKUP($E121,'集計F-15'!$E$93:W$175,'集計F-15'!$P$7-$D$7,0)-$S121</f>
        <v>0</v>
      </c>
      <c r="Q121" s="647">
        <f>VLOOKUP($E121,'集計16-E'!$E$93:W$175,'集計16-E'!$Q$7-$D$7,0)+VLOOKUP($E121,'集計F-15'!$E$93:W$175,'集計F-15'!$Q$7-$D$7,0)-$T121</f>
        <v>0</v>
      </c>
      <c r="R121" s="345"/>
      <c r="S121" s="638">
        <f>SUMIF(請求Data!$G$11:$G$160,CONCATENATE(VLOOKUP(P$5,$G$1:$H$4,2,FALSE),$E121,2),請求Data!$AF$11:$AF$160)-S37</f>
        <v>0</v>
      </c>
      <c r="T121" s="647">
        <f>SUMIF(請求Data!$G$11:$G$160,CONCATENATE(VLOOKUP(P$5,$G$1:$H$4,2,FALSE),$E121,2),請求Data!$AG$11:$AG$160)-T37</f>
        <v>0</v>
      </c>
      <c r="U121" s="345"/>
      <c r="V121" s="126">
        <f>VLOOKUP($E121,'集計16-E'!$E$93:W$175,'集計16-E'!$V$7-$D$7,0)+VLOOKUP($E121,'集計F-15'!$E$93:W$175,'集計F-15'!$V$7-$D$7,0)</f>
        <v>0</v>
      </c>
      <c r="W121" s="435">
        <f>VLOOKUP($E121,'集計16-E'!$E$93:W$175,'集計16-E'!$W$7-$D$7,0)+VLOOKUP($E121,'集計F-15'!$E$93:W$175,'集計F-15'!$W$7-$D$7,0)</f>
        <v>0</v>
      </c>
      <c r="X121" s="345"/>
      <c r="Y121" s="646">
        <f>VLOOKUP($E121,'集計16-E'!$E$93:AF$175,'集計16-E'!$Y$7-$D$7,0)+VLOOKUP($E121,'集計F-15'!$E$93:AF$175,'集計F-15'!$Y$7-$D$7,0)-$AB121</f>
        <v>0</v>
      </c>
      <c r="Z121" s="647">
        <f>VLOOKUP($E121,'集計16-E'!$E$93:AF$175,'集計16-E'!$Z$7-$D$7,0)+VLOOKUP($E121,'集計F-15'!$E$93:AF$175,'集計F-15'!$Z$7-$D$7,0)-$AC121</f>
        <v>0</v>
      </c>
      <c r="AA121" s="345"/>
      <c r="AB121" s="638">
        <f>SUMIF(請求Data!$G$11:$G$160,CONCATENATE(VLOOKUP(Y$5,$G$1:$H$4,2,FALSE),$E121,2),請求Data!$AF$11:$AF$160)-AB37</f>
        <v>0</v>
      </c>
      <c r="AC121" s="647">
        <f>SUMIF(請求Data!$G$11:$G$160,CONCATENATE(VLOOKUP(Y$5,$G$1:$H$4,2,FALSE),$E121,2),請求Data!$AG$11:$AG$160)-AC37</f>
        <v>0</v>
      </c>
      <c r="AD121" s="345"/>
      <c r="AE121" s="126">
        <f>VLOOKUP($E121,'集計16-E'!$E$93:AF$175,'集計16-E'!$AE$7-$D$7,0)+VLOOKUP($E121,'集計F-15'!$E$93:AF$175,'集計F-15'!$AE$7-$D$7,0)</f>
        <v>0</v>
      </c>
      <c r="AF121" s="435">
        <f>VLOOKUP($E121,'集計16-E'!$E$93:AF$175,'集計16-E'!$AF$7-$D$7,0)+VLOOKUP($E121,'集計F-15'!$E$93:AF$175,'集計F-15'!$AF$7-$D$7,0)</f>
        <v>0</v>
      </c>
    </row>
    <row r="122" spans="1:32">
      <c r="A122" s="475" t="str">
        <f>IF(SUMIFS($G122:$AF122,$G$8:$AF$8,"金額",$G122:$AF122,"&gt;0")-SUMIFS($G122:$AF122,$G$8:$AF$8,"金額",$G122:$AF122,"&lt;0")&lt;=0,"",MAX($A$92:$A121)+1)</f>
        <v/>
      </c>
      <c r="B122" s="795"/>
      <c r="C122" s="245" t="str">
        <f t="shared" si="3"/>
        <v>経費</v>
      </c>
      <c r="D122" s="245">
        <v>30</v>
      </c>
      <c r="E122" s="593" t="str">
        <f>IF($F122&lt;&gt;"",INDEX(ﾏｽﾀ!$D$8:$D$124,MATCH(INDEX(ﾏｽﾀ!$N$8:$N$124,MATCH($F122,ﾏｽﾀ!$O$8:$O$124,0)),ﾏｽﾀ!$B$8:$B$124,0))&amp;"","")</f>
        <v>67000</v>
      </c>
      <c r="F122" s="594" t="str">
        <f>ﾏｽﾀ!$R37&amp;""</f>
        <v>加藤製菓株式会社</v>
      </c>
      <c r="G122" s="634">
        <f>VLOOKUP($E122,'集計16-E'!$E$93:N$174,'集計16-E'!$G$7-$D$7,FALSE)+VLOOKUP($E122,'集計F-15'!$E$93:N$174,'集計F-15'!$G$7-$D$7,FALSE)-INDEX($J$93:$J$174,MATCH($E122,$E$93:$E$174,0))</f>
        <v>0</v>
      </c>
      <c r="H122" s="629">
        <f>VLOOKUP($E122,'集計16-E'!$E$93:N$174,'集計16-E'!$H$7-$D$7,FALSE)+VLOOKUP($E122,'集計F-15'!$E$93:N$174,'集計F-15'!$H$7-$D$7,FALSE)-INDEX($K$93:$K$174,MATCH($E122,$E$93:$E$174,0))</f>
        <v>0</v>
      </c>
      <c r="I122" s="345"/>
      <c r="J122" s="628">
        <f>SUMIF(請求Data!$G$11:$G$160,CONCATENATE(VLOOKUP(G$5,$G$1:$H$4,2,FALSE),$E122,2),請求Data!$AF$11:$AF$160)-INDEX($J$9:$J$90,MATCH($E122,$E$9:$E$90,0))</f>
        <v>0</v>
      </c>
      <c r="K122" s="629">
        <f>SUMIF(請求Data!$G$11:$G$160,CONCATENATE(VLOOKUP(G$5,$G$1:$H$4,2,FALSE),$E122,2),請求Data!$AG$11:$AG$160)-INDEX($K$9:$K$90,MATCH($E122,$E$9:$E$90,0))</f>
        <v>0</v>
      </c>
      <c r="L122" s="345"/>
      <c r="M122" s="126">
        <f>VLOOKUP($E122,'集計16-E'!$E$93:N$175,'集計16-E'!$M$7-$D$7,FALSE)+VLOOKUP($E122,'集計F-15'!$E$93:N$175,'集計F-15'!$M$7-$D$7,FALSE)</f>
        <v>0</v>
      </c>
      <c r="N122" s="434">
        <f>VLOOKUP($E122,'集計16-E'!$E$93:N$175,'集計16-E'!$N$7-$D$7,FALSE)+VLOOKUP($E122,'集計F-15'!$E$93:N$175,'集計F-15'!$N$7-$D$7,FALSE)</f>
        <v>0</v>
      </c>
      <c r="O122" s="345"/>
      <c r="P122" s="646">
        <f>VLOOKUP($E122,'集計16-E'!$E$93:W$175,'集計16-E'!$P$7-$D$7,0)+VLOOKUP($E122,'集計F-15'!$E$93:W$175,'集計F-15'!$P$7-$D$7,0)-$S122</f>
        <v>0</v>
      </c>
      <c r="Q122" s="647">
        <f>VLOOKUP($E122,'集計16-E'!$E$93:W$175,'集計16-E'!$Q$7-$D$7,0)+VLOOKUP($E122,'集計F-15'!$E$93:W$175,'集計F-15'!$Q$7-$D$7,0)-$T122</f>
        <v>0</v>
      </c>
      <c r="R122" s="345"/>
      <c r="S122" s="638">
        <f>SUMIF(請求Data!$G$11:$G$160,CONCATENATE(VLOOKUP(P$5,$G$1:$H$4,2,FALSE),$E122,2),請求Data!$AF$11:$AF$160)-S38</f>
        <v>0</v>
      </c>
      <c r="T122" s="647">
        <f>SUMIF(請求Data!$G$11:$G$160,CONCATENATE(VLOOKUP(P$5,$G$1:$H$4,2,FALSE),$E122,2),請求Data!$AG$11:$AG$160)-T38</f>
        <v>0</v>
      </c>
      <c r="U122" s="345"/>
      <c r="V122" s="126">
        <f>VLOOKUP($E122,'集計16-E'!$E$93:W$175,'集計16-E'!$V$7-$D$7,0)+VLOOKUP($E122,'集計F-15'!$E$93:W$175,'集計F-15'!$V$7-$D$7,0)</f>
        <v>0</v>
      </c>
      <c r="W122" s="435">
        <f>VLOOKUP($E122,'集計16-E'!$E$93:W$175,'集計16-E'!$W$7-$D$7,0)+VLOOKUP($E122,'集計F-15'!$E$93:W$175,'集計F-15'!$W$7-$D$7,0)</f>
        <v>0</v>
      </c>
      <c r="X122" s="345"/>
      <c r="Y122" s="646">
        <f>VLOOKUP($E122,'集計16-E'!$E$93:AF$175,'集計16-E'!$Y$7-$D$7,0)+VLOOKUP($E122,'集計F-15'!$E$93:AF$175,'集計F-15'!$Y$7-$D$7,0)-$AB122</f>
        <v>0</v>
      </c>
      <c r="Z122" s="647">
        <f>VLOOKUP($E122,'集計16-E'!$E$93:AF$175,'集計16-E'!$Z$7-$D$7,0)+VLOOKUP($E122,'集計F-15'!$E$93:AF$175,'集計F-15'!$Z$7-$D$7,0)-$AC122</f>
        <v>0</v>
      </c>
      <c r="AA122" s="345"/>
      <c r="AB122" s="638">
        <f>SUMIF(請求Data!$G$11:$G$160,CONCATENATE(VLOOKUP(Y$5,$G$1:$H$4,2,FALSE),$E122,2),請求Data!$AF$11:$AF$160)-AB38</f>
        <v>0</v>
      </c>
      <c r="AC122" s="647">
        <f>SUMIF(請求Data!$G$11:$G$160,CONCATENATE(VLOOKUP(Y$5,$G$1:$H$4,2,FALSE),$E122,2),請求Data!$AG$11:$AG$160)-AC38</f>
        <v>0</v>
      </c>
      <c r="AD122" s="345"/>
      <c r="AE122" s="126">
        <f>VLOOKUP($E122,'集計16-E'!$E$93:AF$175,'集計16-E'!$AE$7-$D$7,0)+VLOOKUP($E122,'集計F-15'!$E$93:AF$175,'集計F-15'!$AE$7-$D$7,0)</f>
        <v>0</v>
      </c>
      <c r="AF122" s="435">
        <f>VLOOKUP($E122,'集計16-E'!$E$93:AF$175,'集計16-E'!$AF$7-$D$7,0)+VLOOKUP($E122,'集計F-15'!$E$93:AF$175,'集計F-15'!$AF$7-$D$7,0)</f>
        <v>0</v>
      </c>
    </row>
    <row r="123" spans="1:32">
      <c r="A123" s="475" t="str">
        <f>IF(SUMIFS($G123:$AF123,$G$8:$AF$8,"金額",$G123:$AF123,"&gt;0")-SUMIFS($G123:$AF123,$G$8:$AF$8,"金額",$G123:$AF123,"&lt;0")&lt;=0,"",MAX($A$92:$A122)+1)</f>
        <v/>
      </c>
      <c r="B123" s="795"/>
      <c r="C123" s="245" t="str">
        <f t="shared" si="3"/>
        <v>経費</v>
      </c>
      <c r="D123" s="245">
        <v>31</v>
      </c>
      <c r="E123" s="593" t="str">
        <f>IF($F123&lt;&gt;"",INDEX(ﾏｽﾀ!$D$8:$D$124,MATCH(INDEX(ﾏｽﾀ!$N$8:$N$124,MATCH($F123,ﾏｽﾀ!$O$8:$O$124,0)),ﾏｽﾀ!$B$8:$B$124,0))&amp;"","")</f>
        <v>68000</v>
      </c>
      <c r="F123" s="594" t="str">
        <f>ﾏｽﾀ!$R38&amp;""</f>
        <v>株式会社サンライズ</v>
      </c>
      <c r="G123" s="634">
        <f>VLOOKUP($E123,'集計16-E'!$E$93:N$174,'集計16-E'!$G$7-$D$7,FALSE)+VLOOKUP($E123,'集計F-15'!$E$93:N$174,'集計F-15'!$G$7-$D$7,FALSE)-INDEX($J$93:$J$174,MATCH($E123,$E$93:$E$174,0))</f>
        <v>0</v>
      </c>
      <c r="H123" s="629">
        <f>VLOOKUP($E123,'集計16-E'!$E$93:N$174,'集計16-E'!$H$7-$D$7,FALSE)+VLOOKUP($E123,'集計F-15'!$E$93:N$174,'集計F-15'!$H$7-$D$7,FALSE)-INDEX($K$93:$K$174,MATCH($E123,$E$93:$E$174,0))</f>
        <v>0</v>
      </c>
      <c r="I123" s="345"/>
      <c r="J123" s="628">
        <f>SUMIF(請求Data!$G$11:$G$160,CONCATENATE(VLOOKUP(G$5,$G$1:$H$4,2,FALSE),$E123,2),請求Data!$AF$11:$AF$160)-INDEX($J$9:$J$90,MATCH($E123,$E$9:$E$90,0))</f>
        <v>0</v>
      </c>
      <c r="K123" s="629">
        <f>SUMIF(請求Data!$G$11:$G$160,CONCATENATE(VLOOKUP(G$5,$G$1:$H$4,2,FALSE),$E123,2),請求Data!$AG$11:$AG$160)-INDEX($K$9:$K$90,MATCH($E123,$E$9:$E$90,0))</f>
        <v>0</v>
      </c>
      <c r="L123" s="345"/>
      <c r="M123" s="126">
        <f>VLOOKUP($E123,'集計16-E'!$E$93:N$175,'集計16-E'!$M$7-$D$7,FALSE)+VLOOKUP($E123,'集計F-15'!$E$93:N$175,'集計F-15'!$M$7-$D$7,FALSE)</f>
        <v>0</v>
      </c>
      <c r="N123" s="434">
        <f>VLOOKUP($E123,'集計16-E'!$E$93:N$175,'集計16-E'!$N$7-$D$7,FALSE)+VLOOKUP($E123,'集計F-15'!$E$93:N$175,'集計F-15'!$N$7-$D$7,FALSE)</f>
        <v>0</v>
      </c>
      <c r="O123" s="345"/>
      <c r="P123" s="646">
        <f>VLOOKUP($E123,'集計16-E'!$E$93:W$175,'集計16-E'!$P$7-$D$7,0)+VLOOKUP($E123,'集計F-15'!$E$93:W$175,'集計F-15'!$P$7-$D$7,0)-$S123</f>
        <v>0</v>
      </c>
      <c r="Q123" s="647">
        <f>VLOOKUP($E123,'集計16-E'!$E$93:W$175,'集計16-E'!$Q$7-$D$7,0)+VLOOKUP($E123,'集計F-15'!$E$93:W$175,'集計F-15'!$Q$7-$D$7,0)-$T123</f>
        <v>0</v>
      </c>
      <c r="R123" s="345"/>
      <c r="S123" s="638">
        <f>SUMIF(請求Data!$G$11:$G$160,CONCATENATE(VLOOKUP(P$5,$G$1:$H$4,2,FALSE),$E123,2),請求Data!$AF$11:$AF$160)-S39</f>
        <v>0</v>
      </c>
      <c r="T123" s="647">
        <f>SUMIF(請求Data!$G$11:$G$160,CONCATENATE(VLOOKUP(P$5,$G$1:$H$4,2,FALSE),$E123,2),請求Data!$AG$11:$AG$160)-T39</f>
        <v>0</v>
      </c>
      <c r="U123" s="345"/>
      <c r="V123" s="126">
        <f>VLOOKUP($E123,'集計16-E'!$E$93:W$175,'集計16-E'!$V$7-$D$7,0)+VLOOKUP($E123,'集計F-15'!$E$93:W$175,'集計F-15'!$V$7-$D$7,0)</f>
        <v>0</v>
      </c>
      <c r="W123" s="435">
        <f>VLOOKUP($E123,'集計16-E'!$E$93:W$175,'集計16-E'!$W$7-$D$7,0)+VLOOKUP($E123,'集計F-15'!$E$93:W$175,'集計F-15'!$W$7-$D$7,0)</f>
        <v>0</v>
      </c>
      <c r="X123" s="345"/>
      <c r="Y123" s="646">
        <f>VLOOKUP($E123,'集計16-E'!$E$93:AF$175,'集計16-E'!$Y$7-$D$7,0)+VLOOKUP($E123,'集計F-15'!$E$93:AF$175,'集計F-15'!$Y$7-$D$7,0)-$AB123</f>
        <v>0</v>
      </c>
      <c r="Z123" s="647">
        <f>VLOOKUP($E123,'集計16-E'!$E$93:AF$175,'集計16-E'!$Z$7-$D$7,0)+VLOOKUP($E123,'集計F-15'!$E$93:AF$175,'集計F-15'!$Z$7-$D$7,0)-$AC123</f>
        <v>0</v>
      </c>
      <c r="AA123" s="345"/>
      <c r="AB123" s="638">
        <f>SUMIF(請求Data!$G$11:$G$160,CONCATENATE(VLOOKUP(Y$5,$G$1:$H$4,2,FALSE),$E123,2),請求Data!$AF$11:$AF$160)-AB39</f>
        <v>0</v>
      </c>
      <c r="AC123" s="647">
        <f>SUMIF(請求Data!$G$11:$G$160,CONCATENATE(VLOOKUP(Y$5,$G$1:$H$4,2,FALSE),$E123,2),請求Data!$AG$11:$AG$160)-AC39</f>
        <v>0</v>
      </c>
      <c r="AD123" s="345"/>
      <c r="AE123" s="126">
        <f>VLOOKUP($E123,'集計16-E'!$E$93:AF$175,'集計16-E'!$AE$7-$D$7,0)+VLOOKUP($E123,'集計F-15'!$E$93:AF$175,'集計F-15'!$AE$7-$D$7,0)</f>
        <v>0</v>
      </c>
      <c r="AF123" s="435">
        <f>VLOOKUP($E123,'集計16-E'!$E$93:AF$175,'集計16-E'!$AF$7-$D$7,0)+VLOOKUP($E123,'集計F-15'!$E$93:AF$175,'集計F-15'!$AF$7-$D$7,0)</f>
        <v>0</v>
      </c>
    </row>
    <row r="124" spans="1:32">
      <c r="A124" s="475" t="str">
        <f>IF(SUMIFS($G124:$AF124,$G$8:$AF$8,"金額",$G124:$AF124,"&gt;0")-SUMIFS($G124:$AF124,$G$8:$AF$8,"金額",$G124:$AF124,"&lt;0")&lt;=0,"",MAX($A$92:$A123)+1)</f>
        <v/>
      </c>
      <c r="B124" s="795"/>
      <c r="C124" s="245" t="str">
        <f t="shared" si="3"/>
        <v>経費</v>
      </c>
      <c r="D124" s="245">
        <v>32</v>
      </c>
      <c r="E124" s="593" t="str">
        <f>IF($F124&lt;&gt;"",INDEX(ﾏｽﾀ!$D$8:$D$124,MATCH(INDEX(ﾏｽﾀ!$N$8:$N$124,MATCH($F124,ﾏｽﾀ!$O$8:$O$124,0)),ﾏｽﾀ!$B$8:$B$124,0))&amp;"","")</f>
        <v>69000</v>
      </c>
      <c r="F124" s="594" t="str">
        <f>ﾏｽﾀ!$R39&amp;""</f>
        <v>株式会社ナムコ</v>
      </c>
      <c r="G124" s="634">
        <f>VLOOKUP($E124,'集計16-E'!$E$93:N$174,'集計16-E'!$G$7-$D$7,FALSE)+VLOOKUP($E124,'集計F-15'!$E$93:N$174,'集計F-15'!$G$7-$D$7,FALSE)-INDEX($J$93:$J$174,MATCH($E124,$E$93:$E$174,0))</f>
        <v>0</v>
      </c>
      <c r="H124" s="629">
        <f>VLOOKUP($E124,'集計16-E'!$E$93:N$174,'集計16-E'!$H$7-$D$7,FALSE)+VLOOKUP($E124,'集計F-15'!$E$93:N$174,'集計F-15'!$H$7-$D$7,FALSE)-INDEX($K$93:$K$174,MATCH($E124,$E$93:$E$174,0))</f>
        <v>0</v>
      </c>
      <c r="I124" s="345"/>
      <c r="J124" s="628">
        <f>SUMIF(請求Data!$G$11:$G$160,CONCATENATE(VLOOKUP(G$5,$G$1:$H$4,2,FALSE),$E124,2),請求Data!$AF$11:$AF$160)-INDEX($J$9:$J$90,MATCH($E124,$E$9:$E$90,0))</f>
        <v>0</v>
      </c>
      <c r="K124" s="629">
        <f>SUMIF(請求Data!$G$11:$G$160,CONCATENATE(VLOOKUP(G$5,$G$1:$H$4,2,FALSE),$E124,2),請求Data!$AG$11:$AG$160)-INDEX($K$9:$K$90,MATCH($E124,$E$9:$E$90,0))</f>
        <v>0</v>
      </c>
      <c r="L124" s="345"/>
      <c r="M124" s="126">
        <f>VLOOKUP($E124,'集計16-E'!$E$93:N$175,'集計16-E'!$M$7-$D$7,FALSE)+VLOOKUP($E124,'集計F-15'!$E$93:N$175,'集計F-15'!$M$7-$D$7,FALSE)</f>
        <v>0</v>
      </c>
      <c r="N124" s="434">
        <f>VLOOKUP($E124,'集計16-E'!$E$93:N$175,'集計16-E'!$N$7-$D$7,FALSE)+VLOOKUP($E124,'集計F-15'!$E$93:N$175,'集計F-15'!$N$7-$D$7,FALSE)</f>
        <v>0</v>
      </c>
      <c r="O124" s="345"/>
      <c r="P124" s="646">
        <f>VLOOKUP($E124,'集計16-E'!$E$93:W$175,'集計16-E'!$P$7-$D$7,0)+VLOOKUP($E124,'集計F-15'!$E$93:W$175,'集計F-15'!$P$7-$D$7,0)-$S124</f>
        <v>0</v>
      </c>
      <c r="Q124" s="647">
        <f>VLOOKUP($E124,'集計16-E'!$E$93:W$175,'集計16-E'!$Q$7-$D$7,0)+VLOOKUP($E124,'集計F-15'!$E$93:W$175,'集計F-15'!$Q$7-$D$7,0)-$T124</f>
        <v>0</v>
      </c>
      <c r="R124" s="345"/>
      <c r="S124" s="638">
        <f>SUMIF(請求Data!$G$11:$G$160,CONCATENATE(VLOOKUP(P$5,$G$1:$H$4,2,FALSE),$E124,2),請求Data!$AF$11:$AF$160)-S40</f>
        <v>0</v>
      </c>
      <c r="T124" s="647">
        <f>SUMIF(請求Data!$G$11:$G$160,CONCATENATE(VLOOKUP(P$5,$G$1:$H$4,2,FALSE),$E124,2),請求Data!$AG$11:$AG$160)-T40</f>
        <v>0</v>
      </c>
      <c r="U124" s="345"/>
      <c r="V124" s="126">
        <f>VLOOKUP($E124,'集計16-E'!$E$93:W$175,'集計16-E'!$V$7-$D$7,0)+VLOOKUP($E124,'集計F-15'!$E$93:W$175,'集計F-15'!$V$7-$D$7,0)</f>
        <v>0</v>
      </c>
      <c r="W124" s="435">
        <f>VLOOKUP($E124,'集計16-E'!$E$93:W$175,'集計16-E'!$W$7-$D$7,0)+VLOOKUP($E124,'集計F-15'!$E$93:W$175,'集計F-15'!$W$7-$D$7,0)</f>
        <v>0</v>
      </c>
      <c r="X124" s="345"/>
      <c r="Y124" s="646">
        <f>VLOOKUP($E124,'集計16-E'!$E$93:AF$175,'集計16-E'!$Y$7-$D$7,0)+VLOOKUP($E124,'集計F-15'!$E$93:AF$175,'集計F-15'!$Y$7-$D$7,0)-$AB124</f>
        <v>0</v>
      </c>
      <c r="Z124" s="647">
        <f>VLOOKUP($E124,'集計16-E'!$E$93:AF$175,'集計16-E'!$Z$7-$D$7,0)+VLOOKUP($E124,'集計F-15'!$E$93:AF$175,'集計F-15'!$Z$7-$D$7,0)-$AC124</f>
        <v>0</v>
      </c>
      <c r="AA124" s="345"/>
      <c r="AB124" s="638">
        <f>SUMIF(請求Data!$G$11:$G$160,CONCATENATE(VLOOKUP(Y$5,$G$1:$H$4,2,FALSE),$E124,2),請求Data!$AF$11:$AF$160)-AB40</f>
        <v>0</v>
      </c>
      <c r="AC124" s="647">
        <f>SUMIF(請求Data!$G$11:$G$160,CONCATENATE(VLOOKUP(Y$5,$G$1:$H$4,2,FALSE),$E124,2),請求Data!$AG$11:$AG$160)-AC40</f>
        <v>0</v>
      </c>
      <c r="AD124" s="345"/>
      <c r="AE124" s="126">
        <f>VLOOKUP($E124,'集計16-E'!$E$93:AF$175,'集計16-E'!$AE$7-$D$7,0)+VLOOKUP($E124,'集計F-15'!$E$93:AF$175,'集計F-15'!$AE$7-$D$7,0)</f>
        <v>0</v>
      </c>
      <c r="AF124" s="435">
        <f>VLOOKUP($E124,'集計16-E'!$E$93:AF$175,'集計16-E'!$AF$7-$D$7,0)+VLOOKUP($E124,'集計F-15'!$E$93:AF$175,'集計F-15'!$AF$7-$D$7,0)</f>
        <v>0</v>
      </c>
    </row>
    <row r="125" spans="1:32">
      <c r="A125" s="475" t="str">
        <f>IF(SUMIFS($G125:$AF125,$G$8:$AF$8,"金額",$G125:$AF125,"&gt;0")-SUMIFS($G125:$AF125,$G$8:$AF$8,"金額",$G125:$AF125,"&lt;0")&lt;=0,"",MAX($A$92:$A124)+1)</f>
        <v/>
      </c>
      <c r="B125" s="795"/>
      <c r="C125" s="245" t="str">
        <f t="shared" ref="C125:C156" si="4">CONCATENATE("経費",$A125)</f>
        <v>経費</v>
      </c>
      <c r="D125" s="245">
        <v>33</v>
      </c>
      <c r="E125" s="593" t="str">
        <f>IF($F125&lt;&gt;"",INDEX(ﾏｽﾀ!$D$8:$D$124,MATCH(INDEX(ﾏｽﾀ!$N$8:$N$124,MATCH($F125,ﾏｽﾀ!$O$8:$O$124,0)),ﾏｽﾀ!$B$8:$B$124,0))&amp;"","")</f>
        <v>70000</v>
      </c>
      <c r="F125" s="594" t="str">
        <f>ﾏｽﾀ!$R40&amp;""</f>
        <v>株式会社ウィンウィンスタイル</v>
      </c>
      <c r="G125" s="634">
        <f>VLOOKUP($E125,'集計16-E'!$E$93:N$174,'集計16-E'!$G$7-$D$7,FALSE)+VLOOKUP($E125,'集計F-15'!$E$93:N$174,'集計F-15'!$G$7-$D$7,FALSE)-INDEX($J$93:$J$174,MATCH($E125,$E$93:$E$174,0))</f>
        <v>0</v>
      </c>
      <c r="H125" s="629">
        <f>VLOOKUP($E125,'集計16-E'!$E$93:N$174,'集計16-E'!$H$7-$D$7,FALSE)+VLOOKUP($E125,'集計F-15'!$E$93:N$174,'集計F-15'!$H$7-$D$7,FALSE)-INDEX($K$93:$K$174,MATCH($E125,$E$93:$E$174,0))</f>
        <v>0</v>
      </c>
      <c r="I125" s="345"/>
      <c r="J125" s="628">
        <f>SUMIF(請求Data!$G$11:$G$160,CONCATENATE(VLOOKUP(G$5,$G$1:$H$4,2,FALSE),$E125,2),請求Data!$AF$11:$AF$160)-INDEX($J$9:$J$90,MATCH($E125,$E$9:$E$90,0))</f>
        <v>0</v>
      </c>
      <c r="K125" s="629">
        <f>SUMIF(請求Data!$G$11:$G$160,CONCATENATE(VLOOKUP(G$5,$G$1:$H$4,2,FALSE),$E125,2),請求Data!$AG$11:$AG$160)-INDEX($K$9:$K$90,MATCH($E125,$E$9:$E$90,0))</f>
        <v>0</v>
      </c>
      <c r="L125" s="345"/>
      <c r="M125" s="126">
        <f>VLOOKUP($E125,'集計16-E'!$E$93:N$175,'集計16-E'!$M$7-$D$7,FALSE)+VLOOKUP($E125,'集計F-15'!$E$93:N$175,'集計F-15'!$M$7-$D$7,FALSE)</f>
        <v>0</v>
      </c>
      <c r="N125" s="434">
        <f>VLOOKUP($E125,'集計16-E'!$E$93:N$175,'集計16-E'!$N$7-$D$7,FALSE)+VLOOKUP($E125,'集計F-15'!$E$93:N$175,'集計F-15'!$N$7-$D$7,FALSE)</f>
        <v>0</v>
      </c>
      <c r="O125" s="345"/>
      <c r="P125" s="646">
        <f>VLOOKUP($E125,'集計16-E'!$E$93:W$175,'集計16-E'!$P$7-$D$7,0)+VLOOKUP($E125,'集計F-15'!$E$93:W$175,'集計F-15'!$P$7-$D$7,0)-$S125</f>
        <v>0</v>
      </c>
      <c r="Q125" s="647">
        <f>VLOOKUP($E125,'集計16-E'!$E$93:W$175,'集計16-E'!$Q$7-$D$7,0)+VLOOKUP($E125,'集計F-15'!$E$93:W$175,'集計F-15'!$Q$7-$D$7,0)-$T125</f>
        <v>0</v>
      </c>
      <c r="R125" s="345"/>
      <c r="S125" s="638">
        <f>SUMIF(請求Data!$G$11:$G$160,CONCATENATE(VLOOKUP(P$5,$G$1:$H$4,2,FALSE),$E125,2),請求Data!$AF$11:$AF$160)-S41</f>
        <v>0</v>
      </c>
      <c r="T125" s="647">
        <f>SUMIF(請求Data!$G$11:$G$160,CONCATENATE(VLOOKUP(P$5,$G$1:$H$4,2,FALSE),$E125,2),請求Data!$AG$11:$AG$160)-T41</f>
        <v>0</v>
      </c>
      <c r="U125" s="345"/>
      <c r="V125" s="126">
        <f>VLOOKUP($E125,'集計16-E'!$E$93:W$175,'集計16-E'!$V$7-$D$7,0)+VLOOKUP($E125,'集計F-15'!$E$93:W$175,'集計F-15'!$V$7-$D$7,0)</f>
        <v>0</v>
      </c>
      <c r="W125" s="435">
        <f>VLOOKUP($E125,'集計16-E'!$E$93:W$175,'集計16-E'!$W$7-$D$7,0)+VLOOKUP($E125,'集計F-15'!$E$93:W$175,'集計F-15'!$W$7-$D$7,0)</f>
        <v>0</v>
      </c>
      <c r="X125" s="345"/>
      <c r="Y125" s="646">
        <f>VLOOKUP($E125,'集計16-E'!$E$93:AF$175,'集計16-E'!$Y$7-$D$7,0)+VLOOKUP($E125,'集計F-15'!$E$93:AF$175,'集計F-15'!$Y$7-$D$7,0)-$AB125</f>
        <v>0</v>
      </c>
      <c r="Z125" s="647">
        <f>VLOOKUP($E125,'集計16-E'!$E$93:AF$175,'集計16-E'!$Z$7-$D$7,0)+VLOOKUP($E125,'集計F-15'!$E$93:AF$175,'集計F-15'!$Z$7-$D$7,0)-$AC125</f>
        <v>0</v>
      </c>
      <c r="AA125" s="345"/>
      <c r="AB125" s="638">
        <f>SUMIF(請求Data!$G$11:$G$160,CONCATENATE(VLOOKUP(Y$5,$G$1:$H$4,2,FALSE),$E125,2),請求Data!$AF$11:$AF$160)-AB41</f>
        <v>0</v>
      </c>
      <c r="AC125" s="647">
        <f>SUMIF(請求Data!$G$11:$G$160,CONCATENATE(VLOOKUP(Y$5,$G$1:$H$4,2,FALSE),$E125,2),請求Data!$AG$11:$AG$160)-AC41</f>
        <v>0</v>
      </c>
      <c r="AD125" s="345"/>
      <c r="AE125" s="126">
        <f>VLOOKUP($E125,'集計16-E'!$E$93:AF$175,'集計16-E'!$AE$7-$D$7,0)+VLOOKUP($E125,'集計F-15'!$E$93:AF$175,'集計F-15'!$AE$7-$D$7,0)</f>
        <v>0</v>
      </c>
      <c r="AF125" s="435">
        <f>VLOOKUP($E125,'集計16-E'!$E$93:AF$175,'集計16-E'!$AF$7-$D$7,0)+VLOOKUP($E125,'集計F-15'!$E$93:AF$175,'集計F-15'!$AF$7-$D$7,0)</f>
        <v>0</v>
      </c>
    </row>
    <row r="126" spans="1:32">
      <c r="A126" s="475" t="str">
        <f>IF(SUMIFS($G126:$AF126,$G$8:$AF$8,"金額",$G126:$AF126,"&gt;0")-SUMIFS($G126:$AF126,$G$8:$AF$8,"金額",$G126:$AF126,"&lt;0")&lt;=0,"",MAX($A$92:$A125)+1)</f>
        <v/>
      </c>
      <c r="B126" s="795"/>
      <c r="C126" s="245" t="str">
        <f t="shared" si="4"/>
        <v>経費</v>
      </c>
      <c r="D126" s="245">
        <v>34</v>
      </c>
      <c r="E126" s="593" t="str">
        <f>IF($F126&lt;&gt;"",INDEX(ﾏｽﾀ!$D$8:$D$124,MATCH(INDEX(ﾏｽﾀ!$N$8:$N$124,MATCH($F126,ﾏｽﾀ!$O$8:$O$124,0)),ﾏｽﾀ!$B$8:$B$124,0))&amp;"","")</f>
        <v>71000</v>
      </c>
      <c r="F126" s="594" t="str">
        <f>ﾏｽﾀ!$R41&amp;""</f>
        <v>プラネックスコミュニケーションズ株式会社</v>
      </c>
      <c r="G126" s="634">
        <f>VLOOKUP($E126,'集計16-E'!$E$93:N$174,'集計16-E'!$G$7-$D$7,FALSE)+VLOOKUP($E126,'集計F-15'!$E$93:N$174,'集計F-15'!$G$7-$D$7,FALSE)-INDEX($J$93:$J$174,MATCH($E126,$E$93:$E$174,0))</f>
        <v>0</v>
      </c>
      <c r="H126" s="629">
        <f>VLOOKUP($E126,'集計16-E'!$E$93:N$174,'集計16-E'!$H$7-$D$7,FALSE)+VLOOKUP($E126,'集計F-15'!$E$93:N$174,'集計F-15'!$H$7-$D$7,FALSE)-INDEX($K$93:$K$174,MATCH($E126,$E$93:$E$174,0))</f>
        <v>0</v>
      </c>
      <c r="I126" s="345"/>
      <c r="J126" s="628">
        <f>SUMIF(請求Data!$G$11:$G$160,CONCATENATE(VLOOKUP(G$5,$G$1:$H$4,2,FALSE),$E126,2),請求Data!$AF$11:$AF$160)-INDEX($J$9:$J$90,MATCH($E126,$E$9:$E$90,0))</f>
        <v>0</v>
      </c>
      <c r="K126" s="629">
        <f>SUMIF(請求Data!$G$11:$G$160,CONCATENATE(VLOOKUP(G$5,$G$1:$H$4,2,FALSE),$E126,2),請求Data!$AG$11:$AG$160)-INDEX($K$9:$K$90,MATCH($E126,$E$9:$E$90,0))</f>
        <v>0</v>
      </c>
      <c r="L126" s="345"/>
      <c r="M126" s="126">
        <f>VLOOKUP($E126,'集計16-E'!$E$93:N$175,'集計16-E'!$M$7-$D$7,FALSE)+VLOOKUP($E126,'集計F-15'!$E$93:N$175,'集計F-15'!$M$7-$D$7,FALSE)</f>
        <v>0</v>
      </c>
      <c r="N126" s="434">
        <f>VLOOKUP($E126,'集計16-E'!$E$93:N$175,'集計16-E'!$N$7-$D$7,FALSE)+VLOOKUP($E126,'集計F-15'!$E$93:N$175,'集計F-15'!$N$7-$D$7,FALSE)</f>
        <v>0</v>
      </c>
      <c r="O126" s="345"/>
      <c r="P126" s="646">
        <f>VLOOKUP($E126,'集計16-E'!$E$93:W$175,'集計16-E'!$P$7-$D$7,0)+VLOOKUP($E126,'集計F-15'!$E$93:W$175,'集計F-15'!$P$7-$D$7,0)-$S126</f>
        <v>0</v>
      </c>
      <c r="Q126" s="647">
        <f>VLOOKUP($E126,'集計16-E'!$E$93:W$175,'集計16-E'!$Q$7-$D$7,0)+VLOOKUP($E126,'集計F-15'!$E$93:W$175,'集計F-15'!$Q$7-$D$7,0)-$T126</f>
        <v>0</v>
      </c>
      <c r="R126" s="345"/>
      <c r="S126" s="638">
        <f>SUMIF(請求Data!$G$11:$G$160,CONCATENATE(VLOOKUP(P$5,$G$1:$H$4,2,FALSE),$E126,2),請求Data!$AF$11:$AF$160)-S42</f>
        <v>0</v>
      </c>
      <c r="T126" s="647">
        <f>SUMIF(請求Data!$G$11:$G$160,CONCATENATE(VLOOKUP(P$5,$G$1:$H$4,2,FALSE),$E126,2),請求Data!$AG$11:$AG$160)-T42</f>
        <v>0</v>
      </c>
      <c r="U126" s="345"/>
      <c r="V126" s="126">
        <f>VLOOKUP($E126,'集計16-E'!$E$93:W$175,'集計16-E'!$V$7-$D$7,0)+VLOOKUP($E126,'集計F-15'!$E$93:W$175,'集計F-15'!$V$7-$D$7,0)</f>
        <v>0</v>
      </c>
      <c r="W126" s="435">
        <f>VLOOKUP($E126,'集計16-E'!$E$93:W$175,'集計16-E'!$W$7-$D$7,0)+VLOOKUP($E126,'集計F-15'!$E$93:W$175,'集計F-15'!$W$7-$D$7,0)</f>
        <v>0</v>
      </c>
      <c r="X126" s="345"/>
      <c r="Y126" s="646">
        <f>VLOOKUP($E126,'集計16-E'!$E$93:AF$175,'集計16-E'!$Y$7-$D$7,0)+VLOOKUP($E126,'集計F-15'!$E$93:AF$175,'集計F-15'!$Y$7-$D$7,0)-$AB126</f>
        <v>0</v>
      </c>
      <c r="Z126" s="647">
        <f>VLOOKUP($E126,'集計16-E'!$E$93:AF$175,'集計16-E'!$Z$7-$D$7,0)+VLOOKUP($E126,'集計F-15'!$E$93:AF$175,'集計F-15'!$Z$7-$D$7,0)-$AC126</f>
        <v>0</v>
      </c>
      <c r="AA126" s="345"/>
      <c r="AB126" s="638">
        <f>SUMIF(請求Data!$G$11:$G$160,CONCATENATE(VLOOKUP(Y$5,$G$1:$H$4,2,FALSE),$E126,2),請求Data!$AF$11:$AF$160)-AB42</f>
        <v>0</v>
      </c>
      <c r="AC126" s="647">
        <f>SUMIF(請求Data!$G$11:$G$160,CONCATENATE(VLOOKUP(Y$5,$G$1:$H$4,2,FALSE),$E126,2),請求Data!$AG$11:$AG$160)-AC42</f>
        <v>0</v>
      </c>
      <c r="AD126" s="345"/>
      <c r="AE126" s="126">
        <f>VLOOKUP($E126,'集計16-E'!$E$93:AF$175,'集計16-E'!$AE$7-$D$7,0)+VLOOKUP($E126,'集計F-15'!$E$93:AF$175,'集計F-15'!$AE$7-$D$7,0)</f>
        <v>0</v>
      </c>
      <c r="AF126" s="435">
        <f>VLOOKUP($E126,'集計16-E'!$E$93:AF$175,'集計16-E'!$AF$7-$D$7,0)+VLOOKUP($E126,'集計F-15'!$E$93:AF$175,'集計F-15'!$AF$7-$D$7,0)</f>
        <v>0</v>
      </c>
    </row>
    <row r="127" spans="1:32">
      <c r="A127" s="475" t="str">
        <f>IF(SUMIFS($G127:$AF127,$G$8:$AF$8,"金額",$G127:$AF127,"&gt;0")-SUMIFS($G127:$AF127,$G$8:$AF$8,"金額",$G127:$AF127,"&lt;0")&lt;=0,"",MAX($A$92:$A126)+1)</f>
        <v/>
      </c>
      <c r="B127" s="795"/>
      <c r="C127" s="245" t="str">
        <f t="shared" si="4"/>
        <v>経費</v>
      </c>
      <c r="D127" s="245">
        <v>35</v>
      </c>
      <c r="E127" s="593" t="str">
        <f>IF($F127&lt;&gt;"",INDEX(ﾏｽﾀ!$D$8:$D$124,MATCH(INDEX(ﾏｽﾀ!$N$8:$N$124,MATCH($F127,ﾏｽﾀ!$O$8:$O$124,0)),ﾏｽﾀ!$B$8:$B$124,0))&amp;"","")</f>
        <v>72000</v>
      </c>
      <c r="F127" s="594" t="str">
        <f>ﾏｽﾀ!$R42&amp;""</f>
        <v>株式会社ダイワトーイ</v>
      </c>
      <c r="G127" s="634">
        <f>VLOOKUP($E127,'集計16-E'!$E$93:N$174,'集計16-E'!$G$7-$D$7,FALSE)+VLOOKUP($E127,'集計F-15'!$E$93:N$174,'集計F-15'!$G$7-$D$7,FALSE)-INDEX($J$93:$J$174,MATCH($E127,$E$93:$E$174,0))</f>
        <v>0</v>
      </c>
      <c r="H127" s="629">
        <f>VLOOKUP($E127,'集計16-E'!$E$93:N$174,'集計16-E'!$H$7-$D$7,FALSE)+VLOOKUP($E127,'集計F-15'!$E$93:N$174,'集計F-15'!$H$7-$D$7,FALSE)-INDEX($K$93:$K$174,MATCH($E127,$E$93:$E$174,0))</f>
        <v>0</v>
      </c>
      <c r="I127" s="345"/>
      <c r="J127" s="628">
        <f>SUMIF(請求Data!$G$11:$G$160,CONCATENATE(VLOOKUP(G$5,$G$1:$H$4,2,FALSE),$E127,2),請求Data!$AF$11:$AF$160)-INDEX($J$9:$J$90,MATCH($E127,$E$9:$E$90,0))</f>
        <v>0</v>
      </c>
      <c r="K127" s="629">
        <f>SUMIF(請求Data!$G$11:$G$160,CONCATENATE(VLOOKUP(G$5,$G$1:$H$4,2,FALSE),$E127,2),請求Data!$AG$11:$AG$160)-INDEX($K$9:$K$90,MATCH($E127,$E$9:$E$90,0))</f>
        <v>0</v>
      </c>
      <c r="L127" s="345"/>
      <c r="M127" s="126">
        <f>VLOOKUP($E127,'集計16-E'!$E$93:N$175,'集計16-E'!$M$7-$D$7,FALSE)+VLOOKUP($E127,'集計F-15'!$E$93:N$175,'集計F-15'!$M$7-$D$7,FALSE)</f>
        <v>0</v>
      </c>
      <c r="N127" s="434">
        <f>VLOOKUP($E127,'集計16-E'!$E$93:N$175,'集計16-E'!$N$7-$D$7,FALSE)+VLOOKUP($E127,'集計F-15'!$E$93:N$175,'集計F-15'!$N$7-$D$7,FALSE)</f>
        <v>0</v>
      </c>
      <c r="O127" s="345"/>
      <c r="P127" s="646">
        <f>VLOOKUP($E127,'集計16-E'!$E$93:W$175,'集計16-E'!$P$7-$D$7,0)+VLOOKUP($E127,'集計F-15'!$E$93:W$175,'集計F-15'!$P$7-$D$7,0)-$S127</f>
        <v>0</v>
      </c>
      <c r="Q127" s="647">
        <f>VLOOKUP($E127,'集計16-E'!$E$93:W$175,'集計16-E'!$Q$7-$D$7,0)+VLOOKUP($E127,'集計F-15'!$E$93:W$175,'集計F-15'!$Q$7-$D$7,0)-$T127</f>
        <v>0</v>
      </c>
      <c r="R127" s="345"/>
      <c r="S127" s="638">
        <f>SUMIF(請求Data!$G$11:$G$160,CONCATENATE(VLOOKUP(P$5,$G$1:$H$4,2,FALSE),$E127,2),請求Data!$AF$11:$AF$160)-S43</f>
        <v>0</v>
      </c>
      <c r="T127" s="647">
        <f>SUMIF(請求Data!$G$11:$G$160,CONCATENATE(VLOOKUP(P$5,$G$1:$H$4,2,FALSE),$E127,2),請求Data!$AG$11:$AG$160)-T43</f>
        <v>0</v>
      </c>
      <c r="U127" s="345"/>
      <c r="V127" s="126">
        <f>VLOOKUP($E127,'集計16-E'!$E$93:W$175,'集計16-E'!$V$7-$D$7,0)+VLOOKUP($E127,'集計F-15'!$E$93:W$175,'集計F-15'!$V$7-$D$7,0)</f>
        <v>0</v>
      </c>
      <c r="W127" s="435">
        <f>VLOOKUP($E127,'集計16-E'!$E$93:W$175,'集計16-E'!$W$7-$D$7,0)+VLOOKUP($E127,'集計F-15'!$E$93:W$175,'集計F-15'!$W$7-$D$7,0)</f>
        <v>0</v>
      </c>
      <c r="X127" s="345"/>
      <c r="Y127" s="646">
        <f>VLOOKUP($E127,'集計16-E'!$E$93:AF$175,'集計16-E'!$Y$7-$D$7,0)+VLOOKUP($E127,'集計F-15'!$E$93:AF$175,'集計F-15'!$Y$7-$D$7,0)-$AB127</f>
        <v>0</v>
      </c>
      <c r="Z127" s="647">
        <f>VLOOKUP($E127,'集計16-E'!$E$93:AF$175,'集計16-E'!$Z$7-$D$7,0)+VLOOKUP($E127,'集計F-15'!$E$93:AF$175,'集計F-15'!$Z$7-$D$7,0)-$AC127</f>
        <v>0</v>
      </c>
      <c r="AA127" s="345"/>
      <c r="AB127" s="638">
        <f>SUMIF(請求Data!$G$11:$G$160,CONCATENATE(VLOOKUP(Y$5,$G$1:$H$4,2,FALSE),$E127,2),請求Data!$AF$11:$AF$160)-AB43</f>
        <v>0</v>
      </c>
      <c r="AC127" s="647">
        <f>SUMIF(請求Data!$G$11:$G$160,CONCATENATE(VLOOKUP(Y$5,$G$1:$H$4,2,FALSE),$E127,2),請求Data!$AG$11:$AG$160)-AC43</f>
        <v>0</v>
      </c>
      <c r="AD127" s="345"/>
      <c r="AE127" s="126">
        <f>VLOOKUP($E127,'集計16-E'!$E$93:AF$175,'集計16-E'!$AE$7-$D$7,0)+VLOOKUP($E127,'集計F-15'!$E$93:AF$175,'集計F-15'!$AE$7-$D$7,0)</f>
        <v>0</v>
      </c>
      <c r="AF127" s="435">
        <f>VLOOKUP($E127,'集計16-E'!$E$93:AF$175,'集計16-E'!$AF$7-$D$7,0)+VLOOKUP($E127,'集計F-15'!$E$93:AF$175,'集計F-15'!$AF$7-$D$7,0)</f>
        <v>0</v>
      </c>
    </row>
    <row r="128" spans="1:32">
      <c r="A128" s="475" t="str">
        <f>IF(SUMIFS($G128:$AF128,$G$8:$AF$8,"金額",$G128:$AF128,"&gt;0")-SUMIFS($G128:$AF128,$G$8:$AF$8,"金額",$G128:$AF128,"&lt;0")&lt;=0,"",MAX($A$92:$A127)+1)</f>
        <v/>
      </c>
      <c r="B128" s="795"/>
      <c r="C128" s="245" t="str">
        <f t="shared" si="4"/>
        <v>経費</v>
      </c>
      <c r="D128" s="245">
        <v>36</v>
      </c>
      <c r="E128" s="593" t="str">
        <f>IF($F128&lt;&gt;"",INDEX(ﾏｽﾀ!$D$8:$D$124,MATCH(INDEX(ﾏｽﾀ!$N$8:$N$124,MATCH($F128,ﾏｽﾀ!$O$8:$O$124,0)),ﾏｽﾀ!$B$8:$B$124,0))&amp;"","")</f>
        <v>73000</v>
      </c>
      <c r="F128" s="594" t="str">
        <f>ﾏｽﾀ!$R43&amp;""</f>
        <v>株式会社プレックス</v>
      </c>
      <c r="G128" s="634">
        <f>VLOOKUP($E128,'集計16-E'!$E$93:N$174,'集計16-E'!$G$7-$D$7,FALSE)+VLOOKUP($E128,'集計F-15'!$E$93:N$174,'集計F-15'!$G$7-$D$7,FALSE)-INDEX($J$93:$J$174,MATCH($E128,$E$93:$E$174,0))</f>
        <v>0</v>
      </c>
      <c r="H128" s="629">
        <f>VLOOKUP($E128,'集計16-E'!$E$93:N$174,'集計16-E'!$H$7-$D$7,FALSE)+VLOOKUP($E128,'集計F-15'!$E$93:N$174,'集計F-15'!$H$7-$D$7,FALSE)-INDEX($K$93:$K$174,MATCH($E128,$E$93:$E$174,0))</f>
        <v>0</v>
      </c>
      <c r="I128" s="345"/>
      <c r="J128" s="628">
        <f>SUMIF(請求Data!$G$11:$G$160,CONCATENATE(VLOOKUP(G$5,$G$1:$H$4,2,FALSE),$E128,2),請求Data!$AF$11:$AF$160)-INDEX($J$9:$J$90,MATCH($E128,$E$9:$E$90,0))</f>
        <v>0</v>
      </c>
      <c r="K128" s="629">
        <f>SUMIF(請求Data!$G$11:$G$160,CONCATENATE(VLOOKUP(G$5,$G$1:$H$4,2,FALSE),$E128,2),請求Data!$AG$11:$AG$160)-INDEX($K$9:$K$90,MATCH($E128,$E$9:$E$90,0))</f>
        <v>0</v>
      </c>
      <c r="L128" s="345"/>
      <c r="M128" s="126">
        <f>VLOOKUP($E128,'集計16-E'!$E$93:N$175,'集計16-E'!$M$7-$D$7,FALSE)+VLOOKUP($E128,'集計F-15'!$E$93:N$175,'集計F-15'!$M$7-$D$7,FALSE)</f>
        <v>0</v>
      </c>
      <c r="N128" s="434">
        <f>VLOOKUP($E128,'集計16-E'!$E$93:N$175,'集計16-E'!$N$7-$D$7,FALSE)+VLOOKUP($E128,'集計F-15'!$E$93:N$175,'集計F-15'!$N$7-$D$7,FALSE)</f>
        <v>0</v>
      </c>
      <c r="O128" s="345"/>
      <c r="P128" s="646">
        <f>VLOOKUP($E128,'集計16-E'!$E$93:W$175,'集計16-E'!$P$7-$D$7,0)+VLOOKUP($E128,'集計F-15'!$E$93:W$175,'集計F-15'!$P$7-$D$7,0)-$S128</f>
        <v>0</v>
      </c>
      <c r="Q128" s="647">
        <f>VLOOKUP($E128,'集計16-E'!$E$93:W$175,'集計16-E'!$Q$7-$D$7,0)+VLOOKUP($E128,'集計F-15'!$E$93:W$175,'集計F-15'!$Q$7-$D$7,0)-$T128</f>
        <v>0</v>
      </c>
      <c r="R128" s="345"/>
      <c r="S128" s="638">
        <f>SUMIF(請求Data!$G$11:$G$160,CONCATENATE(VLOOKUP(P$5,$G$1:$H$4,2,FALSE),$E128,2),請求Data!$AF$11:$AF$160)-S44</f>
        <v>0</v>
      </c>
      <c r="T128" s="647">
        <f>SUMIF(請求Data!$G$11:$G$160,CONCATENATE(VLOOKUP(P$5,$G$1:$H$4,2,FALSE),$E128,2),請求Data!$AG$11:$AG$160)-T44</f>
        <v>0</v>
      </c>
      <c r="U128" s="345"/>
      <c r="V128" s="126">
        <f>VLOOKUP($E128,'集計16-E'!$E$93:W$175,'集計16-E'!$V$7-$D$7,0)+VLOOKUP($E128,'集計F-15'!$E$93:W$175,'集計F-15'!$V$7-$D$7,0)</f>
        <v>0</v>
      </c>
      <c r="W128" s="435">
        <f>VLOOKUP($E128,'集計16-E'!$E$93:W$175,'集計16-E'!$W$7-$D$7,0)+VLOOKUP($E128,'集計F-15'!$E$93:W$175,'集計F-15'!$W$7-$D$7,0)</f>
        <v>0</v>
      </c>
      <c r="X128" s="345"/>
      <c r="Y128" s="646">
        <f>VLOOKUP($E128,'集計16-E'!$E$93:AF$175,'集計16-E'!$Y$7-$D$7,0)+VLOOKUP($E128,'集計F-15'!$E$93:AF$175,'集計F-15'!$Y$7-$D$7,0)-$AB128</f>
        <v>0</v>
      </c>
      <c r="Z128" s="647">
        <f>VLOOKUP($E128,'集計16-E'!$E$93:AF$175,'集計16-E'!$Z$7-$D$7,0)+VLOOKUP($E128,'集計F-15'!$E$93:AF$175,'集計F-15'!$Z$7-$D$7,0)-$AC128</f>
        <v>0</v>
      </c>
      <c r="AA128" s="345"/>
      <c r="AB128" s="638">
        <f>SUMIF(請求Data!$G$11:$G$160,CONCATENATE(VLOOKUP(Y$5,$G$1:$H$4,2,FALSE),$E128,2),請求Data!$AF$11:$AF$160)-AB44</f>
        <v>0</v>
      </c>
      <c r="AC128" s="647">
        <f>SUMIF(請求Data!$G$11:$G$160,CONCATENATE(VLOOKUP(Y$5,$G$1:$H$4,2,FALSE),$E128,2),請求Data!$AG$11:$AG$160)-AC44</f>
        <v>0</v>
      </c>
      <c r="AD128" s="345"/>
      <c r="AE128" s="126">
        <f>VLOOKUP($E128,'集計16-E'!$E$93:AF$175,'集計16-E'!$AE$7-$D$7,0)+VLOOKUP($E128,'集計F-15'!$E$93:AF$175,'集計F-15'!$AE$7-$D$7,0)</f>
        <v>0</v>
      </c>
      <c r="AF128" s="435">
        <f>VLOOKUP($E128,'集計16-E'!$E$93:AF$175,'集計16-E'!$AF$7-$D$7,0)+VLOOKUP($E128,'集計F-15'!$E$93:AF$175,'集計F-15'!$AF$7-$D$7,0)</f>
        <v>0</v>
      </c>
    </row>
    <row r="129" spans="1:32">
      <c r="A129" s="475" t="str">
        <f>IF(SUMIFS($G129:$AF129,$G$8:$AF$8,"金額",$G129:$AF129,"&gt;0")-SUMIFS($G129:$AF129,$G$8:$AF$8,"金額",$G129:$AF129,"&lt;0")&lt;=0,"",MAX($A$92:$A128)+1)</f>
        <v/>
      </c>
      <c r="B129" s="795"/>
      <c r="C129" s="245" t="str">
        <f t="shared" si="4"/>
        <v>経費</v>
      </c>
      <c r="D129" s="245">
        <v>37</v>
      </c>
      <c r="E129" s="593" t="str">
        <f>IF($F129&lt;&gt;"",INDEX(ﾏｽﾀ!$D$8:$D$124,MATCH(INDEX(ﾏｽﾀ!$N$8:$N$124,MATCH($F129,ﾏｽﾀ!$O$8:$O$124,0)),ﾏｽﾀ!$B$8:$B$124,0))&amp;"","")</f>
        <v>74000</v>
      </c>
      <c r="F129" s="594" t="str">
        <f>ﾏｽﾀ!$R44&amp;""</f>
        <v>株式会社シーズ</v>
      </c>
      <c r="G129" s="634">
        <f>VLOOKUP($E129,'集計16-E'!$E$93:N$174,'集計16-E'!$G$7-$D$7,FALSE)+VLOOKUP($E129,'集計F-15'!$E$93:N$174,'集計F-15'!$G$7-$D$7,FALSE)-INDEX($J$93:$J$174,MATCH($E129,$E$93:$E$174,0))</f>
        <v>0</v>
      </c>
      <c r="H129" s="629">
        <f>VLOOKUP($E129,'集計16-E'!$E$93:N$174,'集計16-E'!$H$7-$D$7,FALSE)+VLOOKUP($E129,'集計F-15'!$E$93:N$174,'集計F-15'!$H$7-$D$7,FALSE)-INDEX($K$93:$K$174,MATCH($E129,$E$93:$E$174,0))</f>
        <v>0</v>
      </c>
      <c r="I129" s="345"/>
      <c r="J129" s="628">
        <f>SUMIF(請求Data!$G$11:$G$160,CONCATENATE(VLOOKUP(G$5,$G$1:$H$4,2,FALSE),$E129,2),請求Data!$AF$11:$AF$160)-INDEX($J$9:$J$90,MATCH($E129,$E$9:$E$90,0))</f>
        <v>0</v>
      </c>
      <c r="K129" s="629">
        <f>SUMIF(請求Data!$G$11:$G$160,CONCATENATE(VLOOKUP(G$5,$G$1:$H$4,2,FALSE),$E129,2),請求Data!$AG$11:$AG$160)-INDEX($K$9:$K$90,MATCH($E129,$E$9:$E$90,0))</f>
        <v>0</v>
      </c>
      <c r="L129" s="345"/>
      <c r="M129" s="126">
        <f>VLOOKUP($E129,'集計16-E'!$E$93:N$175,'集計16-E'!$M$7-$D$7,FALSE)+VLOOKUP($E129,'集計F-15'!$E$93:N$175,'集計F-15'!$M$7-$D$7,FALSE)</f>
        <v>0</v>
      </c>
      <c r="N129" s="434">
        <f>VLOOKUP($E129,'集計16-E'!$E$93:N$175,'集計16-E'!$N$7-$D$7,FALSE)+VLOOKUP($E129,'集計F-15'!$E$93:N$175,'集計F-15'!$N$7-$D$7,FALSE)</f>
        <v>0</v>
      </c>
      <c r="O129" s="345"/>
      <c r="P129" s="646">
        <f>VLOOKUP($E129,'集計16-E'!$E$93:W$175,'集計16-E'!$P$7-$D$7,0)+VLOOKUP($E129,'集計F-15'!$E$93:W$175,'集計F-15'!$P$7-$D$7,0)-$S129</f>
        <v>0</v>
      </c>
      <c r="Q129" s="647">
        <f>VLOOKUP($E129,'集計16-E'!$E$93:W$175,'集計16-E'!$Q$7-$D$7,0)+VLOOKUP($E129,'集計F-15'!$E$93:W$175,'集計F-15'!$Q$7-$D$7,0)-$T129</f>
        <v>0</v>
      </c>
      <c r="R129" s="345"/>
      <c r="S129" s="638">
        <f>SUMIF(請求Data!$G$11:$G$160,CONCATENATE(VLOOKUP(P$5,$G$1:$H$4,2,FALSE),$E129,2),請求Data!$AF$11:$AF$160)-S45</f>
        <v>0</v>
      </c>
      <c r="T129" s="647">
        <f>SUMIF(請求Data!$G$11:$G$160,CONCATENATE(VLOOKUP(P$5,$G$1:$H$4,2,FALSE),$E129,2),請求Data!$AG$11:$AG$160)-T45</f>
        <v>0</v>
      </c>
      <c r="U129" s="345"/>
      <c r="V129" s="126">
        <f>VLOOKUP($E129,'集計16-E'!$E$93:W$175,'集計16-E'!$V$7-$D$7,0)+VLOOKUP($E129,'集計F-15'!$E$93:W$175,'集計F-15'!$V$7-$D$7,0)</f>
        <v>0</v>
      </c>
      <c r="W129" s="435">
        <f>VLOOKUP($E129,'集計16-E'!$E$93:W$175,'集計16-E'!$W$7-$D$7,0)+VLOOKUP($E129,'集計F-15'!$E$93:W$175,'集計F-15'!$W$7-$D$7,0)</f>
        <v>0</v>
      </c>
      <c r="X129" s="345"/>
      <c r="Y129" s="646">
        <f>VLOOKUP($E129,'集計16-E'!$E$93:AF$175,'集計16-E'!$Y$7-$D$7,0)+VLOOKUP($E129,'集計F-15'!$E$93:AF$175,'集計F-15'!$Y$7-$D$7,0)-$AB129</f>
        <v>0</v>
      </c>
      <c r="Z129" s="647">
        <f>VLOOKUP($E129,'集計16-E'!$E$93:AF$175,'集計16-E'!$Z$7-$D$7,0)+VLOOKUP($E129,'集計F-15'!$E$93:AF$175,'集計F-15'!$Z$7-$D$7,0)-$AC129</f>
        <v>0</v>
      </c>
      <c r="AA129" s="345"/>
      <c r="AB129" s="638">
        <f>SUMIF(請求Data!$G$11:$G$160,CONCATENATE(VLOOKUP(Y$5,$G$1:$H$4,2,FALSE),$E129,2),請求Data!$AF$11:$AF$160)-AB45</f>
        <v>0</v>
      </c>
      <c r="AC129" s="647">
        <f>SUMIF(請求Data!$G$11:$G$160,CONCATENATE(VLOOKUP(Y$5,$G$1:$H$4,2,FALSE),$E129,2),請求Data!$AG$11:$AG$160)-AC45</f>
        <v>0</v>
      </c>
      <c r="AD129" s="345"/>
      <c r="AE129" s="126">
        <f>VLOOKUP($E129,'集計16-E'!$E$93:AF$175,'集計16-E'!$AE$7-$D$7,0)+VLOOKUP($E129,'集計F-15'!$E$93:AF$175,'集計F-15'!$AE$7-$D$7,0)</f>
        <v>0</v>
      </c>
      <c r="AF129" s="435">
        <f>VLOOKUP($E129,'集計16-E'!$E$93:AF$175,'集計16-E'!$AF$7-$D$7,0)+VLOOKUP($E129,'集計F-15'!$E$93:AF$175,'集計F-15'!$AF$7-$D$7,0)</f>
        <v>0</v>
      </c>
    </row>
    <row r="130" spans="1:32">
      <c r="A130" s="475" t="str">
        <f>IF(SUMIFS($G130:$AF130,$G$8:$AF$8,"金額",$G130:$AF130,"&gt;0")-SUMIFS($G130:$AF130,$G$8:$AF$8,"金額",$G130:$AF130,"&lt;0")&lt;=0,"",MAX($A$92:$A129)+1)</f>
        <v/>
      </c>
      <c r="B130" s="795"/>
      <c r="C130" s="245" t="str">
        <f t="shared" si="4"/>
        <v>経費</v>
      </c>
      <c r="D130" s="245">
        <v>38</v>
      </c>
      <c r="E130" s="593" t="str">
        <f>IF($F130&lt;&gt;"",INDEX(ﾏｽﾀ!$D$8:$D$124,MATCH(INDEX(ﾏｽﾀ!$N$8:$N$124,MATCH($F130,ﾏｽﾀ!$O$8:$O$124,0)),ﾏｽﾀ!$B$8:$B$124,0))&amp;"","")</f>
        <v>75000</v>
      </c>
      <c r="F130" s="594" t="str">
        <f>ﾏｽﾀ!$R45&amp;""</f>
        <v>株式会社スカイ・ジェイ</v>
      </c>
      <c r="G130" s="634">
        <f>VLOOKUP($E130,'集計16-E'!$E$93:N$174,'集計16-E'!$G$7-$D$7,FALSE)+VLOOKUP($E130,'集計F-15'!$E$93:N$174,'集計F-15'!$G$7-$D$7,FALSE)-INDEX($J$93:$J$174,MATCH($E130,$E$93:$E$174,0))</f>
        <v>0</v>
      </c>
      <c r="H130" s="629">
        <f>VLOOKUP($E130,'集計16-E'!$E$93:N$174,'集計16-E'!$H$7-$D$7,FALSE)+VLOOKUP($E130,'集計F-15'!$E$93:N$174,'集計F-15'!$H$7-$D$7,FALSE)-INDEX($K$93:$K$174,MATCH($E130,$E$93:$E$174,0))</f>
        <v>0</v>
      </c>
      <c r="I130" s="345"/>
      <c r="J130" s="628">
        <f>SUMIF(請求Data!$G$11:$G$160,CONCATENATE(VLOOKUP(G$5,$G$1:$H$4,2,FALSE),$E130,2),請求Data!$AF$11:$AF$160)-INDEX($J$9:$J$90,MATCH($E130,$E$9:$E$90,0))</f>
        <v>0</v>
      </c>
      <c r="K130" s="629">
        <f>SUMIF(請求Data!$G$11:$G$160,CONCATENATE(VLOOKUP(G$5,$G$1:$H$4,2,FALSE),$E130,2),請求Data!$AG$11:$AG$160)-INDEX($K$9:$K$90,MATCH($E130,$E$9:$E$90,0))</f>
        <v>0</v>
      </c>
      <c r="L130" s="345"/>
      <c r="M130" s="126">
        <f>VLOOKUP($E130,'集計16-E'!$E$93:N$175,'集計16-E'!$M$7-$D$7,FALSE)+VLOOKUP($E130,'集計F-15'!$E$93:N$175,'集計F-15'!$M$7-$D$7,FALSE)</f>
        <v>0</v>
      </c>
      <c r="N130" s="434">
        <f>VLOOKUP($E130,'集計16-E'!$E$93:N$175,'集計16-E'!$N$7-$D$7,FALSE)+VLOOKUP($E130,'集計F-15'!$E$93:N$175,'集計F-15'!$N$7-$D$7,FALSE)</f>
        <v>0</v>
      </c>
      <c r="O130" s="345"/>
      <c r="P130" s="646">
        <f>VLOOKUP($E130,'集計16-E'!$E$93:W$175,'集計16-E'!$P$7-$D$7,0)+VLOOKUP($E130,'集計F-15'!$E$93:W$175,'集計F-15'!$P$7-$D$7,0)-$S130</f>
        <v>0</v>
      </c>
      <c r="Q130" s="647">
        <f>VLOOKUP($E130,'集計16-E'!$E$93:W$175,'集計16-E'!$Q$7-$D$7,0)+VLOOKUP($E130,'集計F-15'!$E$93:W$175,'集計F-15'!$Q$7-$D$7,0)-$T130</f>
        <v>0</v>
      </c>
      <c r="R130" s="345"/>
      <c r="S130" s="638">
        <f>SUMIF(請求Data!$G$11:$G$160,CONCATENATE(VLOOKUP(P$5,$G$1:$H$4,2,FALSE),$E130,2),請求Data!$AF$11:$AF$160)-S46</f>
        <v>0</v>
      </c>
      <c r="T130" s="647">
        <f>SUMIF(請求Data!$G$11:$G$160,CONCATENATE(VLOOKUP(P$5,$G$1:$H$4,2,FALSE),$E130,2),請求Data!$AG$11:$AG$160)-T46</f>
        <v>0</v>
      </c>
      <c r="U130" s="345"/>
      <c r="V130" s="126">
        <f>VLOOKUP($E130,'集計16-E'!$E$93:W$175,'集計16-E'!$V$7-$D$7,0)+VLOOKUP($E130,'集計F-15'!$E$93:W$175,'集計F-15'!$V$7-$D$7,0)</f>
        <v>0</v>
      </c>
      <c r="W130" s="435">
        <f>VLOOKUP($E130,'集計16-E'!$E$93:W$175,'集計16-E'!$W$7-$D$7,0)+VLOOKUP($E130,'集計F-15'!$E$93:W$175,'集計F-15'!$W$7-$D$7,0)</f>
        <v>0</v>
      </c>
      <c r="X130" s="345"/>
      <c r="Y130" s="646">
        <f>VLOOKUP($E130,'集計16-E'!$E$93:AF$175,'集計16-E'!$Y$7-$D$7,0)+VLOOKUP($E130,'集計F-15'!$E$93:AF$175,'集計F-15'!$Y$7-$D$7,0)-$AB130</f>
        <v>0</v>
      </c>
      <c r="Z130" s="647">
        <f>VLOOKUP($E130,'集計16-E'!$E$93:AF$175,'集計16-E'!$Z$7-$D$7,0)+VLOOKUP($E130,'集計F-15'!$E$93:AF$175,'集計F-15'!$Z$7-$D$7,0)-$AC130</f>
        <v>0</v>
      </c>
      <c r="AA130" s="345"/>
      <c r="AB130" s="638">
        <f>SUMIF(請求Data!$G$11:$G$160,CONCATENATE(VLOOKUP(Y$5,$G$1:$H$4,2,FALSE),$E130,2),請求Data!$AF$11:$AF$160)-AB46</f>
        <v>0</v>
      </c>
      <c r="AC130" s="647">
        <f>SUMIF(請求Data!$G$11:$G$160,CONCATENATE(VLOOKUP(Y$5,$G$1:$H$4,2,FALSE),$E130,2),請求Data!$AG$11:$AG$160)-AC46</f>
        <v>0</v>
      </c>
      <c r="AD130" s="345"/>
      <c r="AE130" s="126">
        <f>VLOOKUP($E130,'集計16-E'!$E$93:AF$175,'集計16-E'!$AE$7-$D$7,0)+VLOOKUP($E130,'集計F-15'!$E$93:AF$175,'集計F-15'!$AE$7-$D$7,0)</f>
        <v>0</v>
      </c>
      <c r="AF130" s="435">
        <f>VLOOKUP($E130,'集計16-E'!$E$93:AF$175,'集計16-E'!$AF$7-$D$7,0)+VLOOKUP($E130,'集計F-15'!$E$93:AF$175,'集計F-15'!$AF$7-$D$7,0)</f>
        <v>0</v>
      </c>
    </row>
    <row r="131" spans="1:32">
      <c r="A131" s="475" t="str">
        <f>IF(SUMIFS($G131:$AF131,$G$8:$AF$8,"金額",$G131:$AF131,"&gt;0")-SUMIFS($G131:$AF131,$G$8:$AF$8,"金額",$G131:$AF131,"&lt;0")&lt;=0,"",MAX($A$92:$A130)+1)</f>
        <v/>
      </c>
      <c r="B131" s="795"/>
      <c r="C131" s="245" t="str">
        <f t="shared" si="4"/>
        <v>経費</v>
      </c>
      <c r="D131" s="245">
        <v>39</v>
      </c>
      <c r="E131" s="593" t="str">
        <f>IF($F131&lt;&gt;"",INDEX(ﾏｽﾀ!$D$8:$D$124,MATCH(INDEX(ﾏｽﾀ!$N$8:$N$124,MATCH($F131,ﾏｽﾀ!$O$8:$O$124,0)),ﾏｽﾀ!$B$8:$B$124,0))&amp;"","")</f>
        <v>76000</v>
      </c>
      <c r="F131" s="594" t="str">
        <f>ﾏｽﾀ!$R46&amp;""</f>
        <v>株式会社カプコン</v>
      </c>
      <c r="G131" s="634">
        <f>VLOOKUP($E131,'集計16-E'!$E$93:N$174,'集計16-E'!$G$7-$D$7,FALSE)+VLOOKUP($E131,'集計F-15'!$E$93:N$174,'集計F-15'!$G$7-$D$7,FALSE)-INDEX($J$93:$J$174,MATCH($E131,$E$93:$E$174,0))</f>
        <v>0</v>
      </c>
      <c r="H131" s="629">
        <f>VLOOKUP($E131,'集計16-E'!$E$93:N$174,'集計16-E'!$H$7-$D$7,FALSE)+VLOOKUP($E131,'集計F-15'!$E$93:N$174,'集計F-15'!$H$7-$D$7,FALSE)-INDEX($K$93:$K$174,MATCH($E131,$E$93:$E$174,0))</f>
        <v>0</v>
      </c>
      <c r="I131" s="345"/>
      <c r="J131" s="628">
        <f>SUMIF(請求Data!$G$11:$G$160,CONCATENATE(VLOOKUP(G$5,$G$1:$H$4,2,FALSE),$E131,2),請求Data!$AF$11:$AF$160)-INDEX($J$9:$J$90,MATCH($E131,$E$9:$E$90,0))</f>
        <v>0</v>
      </c>
      <c r="K131" s="629">
        <f>SUMIF(請求Data!$G$11:$G$160,CONCATENATE(VLOOKUP(G$5,$G$1:$H$4,2,FALSE),$E131,2),請求Data!$AG$11:$AG$160)-INDEX($K$9:$K$90,MATCH($E131,$E$9:$E$90,0))</f>
        <v>0</v>
      </c>
      <c r="L131" s="345"/>
      <c r="M131" s="126">
        <f>VLOOKUP($E131,'集計16-E'!$E$93:N$175,'集計16-E'!$M$7-$D$7,FALSE)+VLOOKUP($E131,'集計F-15'!$E$93:N$175,'集計F-15'!$M$7-$D$7,FALSE)</f>
        <v>0</v>
      </c>
      <c r="N131" s="434">
        <f>VLOOKUP($E131,'集計16-E'!$E$93:N$175,'集計16-E'!$N$7-$D$7,FALSE)+VLOOKUP($E131,'集計F-15'!$E$93:N$175,'集計F-15'!$N$7-$D$7,FALSE)</f>
        <v>0</v>
      </c>
      <c r="O131" s="345"/>
      <c r="P131" s="646">
        <f>VLOOKUP($E131,'集計16-E'!$E$93:W$175,'集計16-E'!$P$7-$D$7,0)+VLOOKUP($E131,'集計F-15'!$E$93:W$175,'集計F-15'!$P$7-$D$7,0)-$S131</f>
        <v>0</v>
      </c>
      <c r="Q131" s="647">
        <f>VLOOKUP($E131,'集計16-E'!$E$93:W$175,'集計16-E'!$Q$7-$D$7,0)+VLOOKUP($E131,'集計F-15'!$E$93:W$175,'集計F-15'!$Q$7-$D$7,0)-$T131</f>
        <v>0</v>
      </c>
      <c r="R131" s="345"/>
      <c r="S131" s="638">
        <f>SUMIF(請求Data!$G$11:$G$160,CONCATENATE(VLOOKUP(P$5,$G$1:$H$4,2,FALSE),$E131,2),請求Data!$AF$11:$AF$160)-S47</f>
        <v>0</v>
      </c>
      <c r="T131" s="647">
        <f>SUMIF(請求Data!$G$11:$G$160,CONCATENATE(VLOOKUP(P$5,$G$1:$H$4,2,FALSE),$E131,2),請求Data!$AG$11:$AG$160)-T47</f>
        <v>0</v>
      </c>
      <c r="U131" s="345"/>
      <c r="V131" s="126">
        <f>VLOOKUP($E131,'集計16-E'!$E$93:W$175,'集計16-E'!$V$7-$D$7,0)+VLOOKUP($E131,'集計F-15'!$E$93:W$175,'集計F-15'!$V$7-$D$7,0)</f>
        <v>0</v>
      </c>
      <c r="W131" s="435">
        <f>VLOOKUP($E131,'集計16-E'!$E$93:W$175,'集計16-E'!$W$7-$D$7,0)+VLOOKUP($E131,'集計F-15'!$E$93:W$175,'集計F-15'!$W$7-$D$7,0)</f>
        <v>0</v>
      </c>
      <c r="X131" s="345"/>
      <c r="Y131" s="646">
        <f>VLOOKUP($E131,'集計16-E'!$E$93:AF$175,'集計16-E'!$Y$7-$D$7,0)+VLOOKUP($E131,'集計F-15'!$E$93:AF$175,'集計F-15'!$Y$7-$D$7,0)-$AB131</f>
        <v>0</v>
      </c>
      <c r="Z131" s="647">
        <f>VLOOKUP($E131,'集計16-E'!$E$93:AF$175,'集計16-E'!$Z$7-$D$7,0)+VLOOKUP($E131,'集計F-15'!$E$93:AF$175,'集計F-15'!$Z$7-$D$7,0)-$AC131</f>
        <v>0</v>
      </c>
      <c r="AA131" s="345"/>
      <c r="AB131" s="638">
        <f>SUMIF(請求Data!$G$11:$G$160,CONCATENATE(VLOOKUP(Y$5,$G$1:$H$4,2,FALSE),$E131,2),請求Data!$AF$11:$AF$160)-AB47</f>
        <v>0</v>
      </c>
      <c r="AC131" s="647">
        <f>SUMIF(請求Data!$G$11:$G$160,CONCATENATE(VLOOKUP(Y$5,$G$1:$H$4,2,FALSE),$E131,2),請求Data!$AG$11:$AG$160)-AC47</f>
        <v>0</v>
      </c>
      <c r="AD131" s="345"/>
      <c r="AE131" s="126">
        <f>VLOOKUP($E131,'集計16-E'!$E$93:AF$175,'集計16-E'!$AE$7-$D$7,0)+VLOOKUP($E131,'集計F-15'!$E$93:AF$175,'集計F-15'!$AE$7-$D$7,0)</f>
        <v>0</v>
      </c>
      <c r="AF131" s="435">
        <f>VLOOKUP($E131,'集計16-E'!$E$93:AF$175,'集計16-E'!$AF$7-$D$7,0)+VLOOKUP($E131,'集計F-15'!$E$93:AF$175,'集計F-15'!$AF$7-$D$7,0)</f>
        <v>0</v>
      </c>
    </row>
    <row r="132" spans="1:32">
      <c r="A132" s="475" t="str">
        <f>IF(SUMIFS($G132:$AF132,$G$8:$AF$8,"金額",$G132:$AF132,"&gt;0")-SUMIFS($G132:$AF132,$G$8:$AF$8,"金額",$G132:$AF132,"&lt;0")&lt;=0,"",MAX($A$92:$A131)+1)</f>
        <v/>
      </c>
      <c r="B132" s="795"/>
      <c r="C132" s="245" t="str">
        <f t="shared" si="4"/>
        <v>経費</v>
      </c>
      <c r="D132" s="245">
        <v>40</v>
      </c>
      <c r="E132" s="593" t="str">
        <f>IF($F132&lt;&gt;"",INDEX(ﾏｽﾀ!$D$8:$D$124,MATCH(INDEX(ﾏｽﾀ!$N$8:$N$124,MATCH($F132,ﾏｽﾀ!$O$8:$O$124,0)),ﾏｽﾀ!$B$8:$B$124,0))&amp;"","")</f>
        <v>77000</v>
      </c>
      <c r="F132" s="594" t="str">
        <f>ﾏｽﾀ!$R47&amp;""</f>
        <v>株式会社そごう・西武</v>
      </c>
      <c r="G132" s="634">
        <f>VLOOKUP($E132,'集計16-E'!$E$93:N$174,'集計16-E'!$G$7-$D$7,FALSE)+VLOOKUP($E132,'集計F-15'!$E$93:N$174,'集計F-15'!$G$7-$D$7,FALSE)-INDEX($J$93:$J$174,MATCH($E132,$E$93:$E$174,0))</f>
        <v>0</v>
      </c>
      <c r="H132" s="629">
        <f>VLOOKUP($E132,'集計16-E'!$E$93:N$174,'集計16-E'!$H$7-$D$7,FALSE)+VLOOKUP($E132,'集計F-15'!$E$93:N$174,'集計F-15'!$H$7-$D$7,FALSE)-INDEX($K$93:$K$174,MATCH($E132,$E$93:$E$174,0))</f>
        <v>0</v>
      </c>
      <c r="I132" s="345"/>
      <c r="J132" s="628">
        <f>SUMIF(請求Data!$G$11:$G$160,CONCATENATE(VLOOKUP(G$5,$G$1:$H$4,2,FALSE),$E132,2),請求Data!$AF$11:$AF$160)-INDEX($J$9:$J$90,MATCH($E132,$E$9:$E$90,0))</f>
        <v>0</v>
      </c>
      <c r="K132" s="629">
        <f>SUMIF(請求Data!$G$11:$G$160,CONCATENATE(VLOOKUP(G$5,$G$1:$H$4,2,FALSE),$E132,2),請求Data!$AG$11:$AG$160)-INDEX($K$9:$K$90,MATCH($E132,$E$9:$E$90,0))</f>
        <v>0</v>
      </c>
      <c r="L132" s="345"/>
      <c r="M132" s="126">
        <f>VLOOKUP($E132,'集計16-E'!$E$93:N$175,'集計16-E'!$M$7-$D$7,FALSE)+VLOOKUP($E132,'集計F-15'!$E$93:N$175,'集計F-15'!$M$7-$D$7,FALSE)</f>
        <v>0</v>
      </c>
      <c r="N132" s="434">
        <f>VLOOKUP($E132,'集計16-E'!$E$93:N$175,'集計16-E'!$N$7-$D$7,FALSE)+VLOOKUP($E132,'集計F-15'!$E$93:N$175,'集計F-15'!$N$7-$D$7,FALSE)</f>
        <v>0</v>
      </c>
      <c r="O132" s="345"/>
      <c r="P132" s="646">
        <f>VLOOKUP($E132,'集計16-E'!$E$93:W$175,'集計16-E'!$P$7-$D$7,0)+VLOOKUP($E132,'集計F-15'!$E$93:W$175,'集計F-15'!$P$7-$D$7,0)-$S132</f>
        <v>0</v>
      </c>
      <c r="Q132" s="647">
        <f>VLOOKUP($E132,'集計16-E'!$E$93:W$175,'集計16-E'!$Q$7-$D$7,0)+VLOOKUP($E132,'集計F-15'!$E$93:W$175,'集計F-15'!$Q$7-$D$7,0)-$T132</f>
        <v>0</v>
      </c>
      <c r="R132" s="345"/>
      <c r="S132" s="638">
        <f>SUMIF(請求Data!$G$11:$G$160,CONCATENATE(VLOOKUP(P$5,$G$1:$H$4,2,FALSE),$E132,2),請求Data!$AF$11:$AF$160)-S48</f>
        <v>0</v>
      </c>
      <c r="T132" s="647">
        <f>SUMIF(請求Data!$G$11:$G$160,CONCATENATE(VLOOKUP(P$5,$G$1:$H$4,2,FALSE),$E132,2),請求Data!$AG$11:$AG$160)-T48</f>
        <v>0</v>
      </c>
      <c r="U132" s="345"/>
      <c r="V132" s="126">
        <f>VLOOKUP($E132,'集計16-E'!$E$93:W$175,'集計16-E'!$V$7-$D$7,0)+VLOOKUP($E132,'集計F-15'!$E$93:W$175,'集計F-15'!$V$7-$D$7,0)</f>
        <v>0</v>
      </c>
      <c r="W132" s="435">
        <f>VLOOKUP($E132,'集計16-E'!$E$93:W$175,'集計16-E'!$W$7-$D$7,0)+VLOOKUP($E132,'集計F-15'!$E$93:W$175,'集計F-15'!$W$7-$D$7,0)</f>
        <v>0</v>
      </c>
      <c r="X132" s="345"/>
      <c r="Y132" s="646">
        <f>VLOOKUP($E132,'集計16-E'!$E$93:AF$175,'集計16-E'!$Y$7-$D$7,0)+VLOOKUP($E132,'集計F-15'!$E$93:AF$175,'集計F-15'!$Y$7-$D$7,0)-$AB132</f>
        <v>0</v>
      </c>
      <c r="Z132" s="647">
        <f>VLOOKUP($E132,'集計16-E'!$E$93:AF$175,'集計16-E'!$Z$7-$D$7,0)+VLOOKUP($E132,'集計F-15'!$E$93:AF$175,'集計F-15'!$Z$7-$D$7,0)-$AC132</f>
        <v>0</v>
      </c>
      <c r="AA132" s="345"/>
      <c r="AB132" s="638">
        <f>SUMIF(請求Data!$G$11:$G$160,CONCATENATE(VLOOKUP(Y$5,$G$1:$H$4,2,FALSE),$E132,2),請求Data!$AF$11:$AF$160)-AB48</f>
        <v>0</v>
      </c>
      <c r="AC132" s="647">
        <f>SUMIF(請求Data!$G$11:$G$160,CONCATENATE(VLOOKUP(Y$5,$G$1:$H$4,2,FALSE),$E132,2),請求Data!$AG$11:$AG$160)-AC48</f>
        <v>0</v>
      </c>
      <c r="AD132" s="345"/>
      <c r="AE132" s="126">
        <f>VLOOKUP($E132,'集計16-E'!$E$93:AF$175,'集計16-E'!$AE$7-$D$7,0)+VLOOKUP($E132,'集計F-15'!$E$93:AF$175,'集計F-15'!$AE$7-$D$7,0)</f>
        <v>0</v>
      </c>
      <c r="AF132" s="435">
        <f>VLOOKUP($E132,'集計16-E'!$E$93:AF$175,'集計16-E'!$AF$7-$D$7,0)+VLOOKUP($E132,'集計F-15'!$E$93:AF$175,'集計F-15'!$AF$7-$D$7,0)</f>
        <v>0</v>
      </c>
    </row>
    <row r="133" spans="1:32">
      <c r="A133" s="475" t="str">
        <f>IF(SUMIFS($G133:$AF133,$G$8:$AF$8,"金額",$G133:$AF133,"&gt;0")-SUMIFS($G133:$AF133,$G$8:$AF$8,"金額",$G133:$AF133,"&lt;0")&lt;=0,"",MAX($A$92:$A132)+1)</f>
        <v/>
      </c>
      <c r="B133" s="795"/>
      <c r="C133" s="245" t="str">
        <f t="shared" si="4"/>
        <v>経費</v>
      </c>
      <c r="D133" s="245">
        <v>41</v>
      </c>
      <c r="E133" s="593" t="str">
        <f>IF($F133&lt;&gt;"",INDEX(ﾏｽﾀ!$D$8:$D$124,MATCH(INDEX(ﾏｽﾀ!$N$8:$N$124,MATCH($F133,ﾏｽﾀ!$O$8:$O$124,0)),ﾏｽﾀ!$B$8:$B$124,0))&amp;"","")</f>
        <v>78000</v>
      </c>
      <c r="F133" s="594" t="str">
        <f>ﾏｽﾀ!$R48&amp;""</f>
        <v>株式会社ティー・シー・ピー</v>
      </c>
      <c r="G133" s="634">
        <f>VLOOKUP($E133,'集計16-E'!$E$93:N$174,'集計16-E'!$G$7-$D$7,FALSE)+VLOOKUP($E133,'集計F-15'!$E$93:N$174,'集計F-15'!$G$7-$D$7,FALSE)-INDEX($J$93:$J$174,MATCH($E133,$E$93:$E$174,0))</f>
        <v>0</v>
      </c>
      <c r="H133" s="629">
        <f>VLOOKUP($E133,'集計16-E'!$E$93:N$174,'集計16-E'!$H$7-$D$7,FALSE)+VLOOKUP($E133,'集計F-15'!$E$93:N$174,'集計F-15'!$H$7-$D$7,FALSE)-INDEX($K$93:$K$174,MATCH($E133,$E$93:$E$174,0))</f>
        <v>0</v>
      </c>
      <c r="I133" s="345"/>
      <c r="J133" s="628">
        <f>SUMIF(請求Data!$G$11:$G$160,CONCATENATE(VLOOKUP(G$5,$G$1:$H$4,2,FALSE),$E133,2),請求Data!$AF$11:$AF$160)-INDEX($J$9:$J$90,MATCH($E133,$E$9:$E$90,0))</f>
        <v>0</v>
      </c>
      <c r="K133" s="629">
        <f>SUMIF(請求Data!$G$11:$G$160,CONCATENATE(VLOOKUP(G$5,$G$1:$H$4,2,FALSE),$E133,2),請求Data!$AG$11:$AG$160)-INDEX($K$9:$K$90,MATCH($E133,$E$9:$E$90,0))</f>
        <v>0</v>
      </c>
      <c r="L133" s="345"/>
      <c r="M133" s="126">
        <f>VLOOKUP($E133,'集計16-E'!$E$93:N$175,'集計16-E'!$M$7-$D$7,FALSE)+VLOOKUP($E133,'集計F-15'!$E$93:N$175,'集計F-15'!$M$7-$D$7,FALSE)</f>
        <v>0</v>
      </c>
      <c r="N133" s="434">
        <f>VLOOKUP($E133,'集計16-E'!$E$93:N$175,'集計16-E'!$N$7-$D$7,FALSE)+VLOOKUP($E133,'集計F-15'!$E$93:N$175,'集計F-15'!$N$7-$D$7,FALSE)</f>
        <v>0</v>
      </c>
      <c r="O133" s="345"/>
      <c r="P133" s="646">
        <f>VLOOKUP($E133,'集計16-E'!$E$93:W$175,'集計16-E'!$P$7-$D$7,0)+VLOOKUP($E133,'集計F-15'!$E$93:W$175,'集計F-15'!$P$7-$D$7,0)-$S133</f>
        <v>0</v>
      </c>
      <c r="Q133" s="647">
        <f>VLOOKUP($E133,'集計16-E'!$E$93:W$175,'集計16-E'!$Q$7-$D$7,0)+VLOOKUP($E133,'集計F-15'!$E$93:W$175,'集計F-15'!$Q$7-$D$7,0)-$T133</f>
        <v>0</v>
      </c>
      <c r="R133" s="345"/>
      <c r="S133" s="638">
        <f>SUMIF(請求Data!$G$11:$G$160,CONCATENATE(VLOOKUP(P$5,$G$1:$H$4,2,FALSE),$E133,2),請求Data!$AF$11:$AF$160)-S49</f>
        <v>0</v>
      </c>
      <c r="T133" s="647">
        <f>SUMIF(請求Data!$G$11:$G$160,CONCATENATE(VLOOKUP(P$5,$G$1:$H$4,2,FALSE),$E133,2),請求Data!$AG$11:$AG$160)-T49</f>
        <v>0</v>
      </c>
      <c r="U133" s="345"/>
      <c r="V133" s="126">
        <f>VLOOKUP($E133,'集計16-E'!$E$93:W$175,'集計16-E'!$V$7-$D$7,0)+VLOOKUP($E133,'集計F-15'!$E$93:W$175,'集計F-15'!$V$7-$D$7,0)</f>
        <v>0</v>
      </c>
      <c r="W133" s="435">
        <f>VLOOKUP($E133,'集計16-E'!$E$93:W$175,'集計16-E'!$W$7-$D$7,0)+VLOOKUP($E133,'集計F-15'!$E$93:W$175,'集計F-15'!$W$7-$D$7,0)</f>
        <v>0</v>
      </c>
      <c r="X133" s="345"/>
      <c r="Y133" s="646">
        <f>VLOOKUP($E133,'集計16-E'!$E$93:AF$175,'集計16-E'!$Y$7-$D$7,0)+VLOOKUP($E133,'集計F-15'!$E$93:AF$175,'集計F-15'!$Y$7-$D$7,0)-$AB133</f>
        <v>0</v>
      </c>
      <c r="Z133" s="647">
        <f>VLOOKUP($E133,'集計16-E'!$E$93:AF$175,'集計16-E'!$Z$7-$D$7,0)+VLOOKUP($E133,'集計F-15'!$E$93:AF$175,'集計F-15'!$Z$7-$D$7,0)-$AC133</f>
        <v>0</v>
      </c>
      <c r="AA133" s="345"/>
      <c r="AB133" s="638">
        <f>SUMIF(請求Data!$G$11:$G$160,CONCATENATE(VLOOKUP(Y$5,$G$1:$H$4,2,FALSE),$E133,2),請求Data!$AF$11:$AF$160)-AB49</f>
        <v>0</v>
      </c>
      <c r="AC133" s="647">
        <f>SUMIF(請求Data!$G$11:$G$160,CONCATENATE(VLOOKUP(Y$5,$G$1:$H$4,2,FALSE),$E133,2),請求Data!$AG$11:$AG$160)-AC49</f>
        <v>0</v>
      </c>
      <c r="AD133" s="345"/>
      <c r="AE133" s="126">
        <f>VLOOKUP($E133,'集計16-E'!$E$93:AF$175,'集計16-E'!$AE$7-$D$7,0)+VLOOKUP($E133,'集計F-15'!$E$93:AF$175,'集計F-15'!$AE$7-$D$7,0)</f>
        <v>0</v>
      </c>
      <c r="AF133" s="435">
        <f>VLOOKUP($E133,'集計16-E'!$E$93:AF$175,'集計16-E'!$AF$7-$D$7,0)+VLOOKUP($E133,'集計F-15'!$E$93:AF$175,'集計F-15'!$AF$7-$D$7,0)</f>
        <v>0</v>
      </c>
    </row>
    <row r="134" spans="1:32">
      <c r="A134" s="475" t="str">
        <f>IF(SUMIFS($G134:$AF134,$G$8:$AF$8,"金額",$G134:$AF134,"&gt;0")-SUMIFS($G134:$AF134,$G$8:$AF$8,"金額",$G134:$AF134,"&lt;0")&lt;=0,"",MAX($A$92:$A133)+1)</f>
        <v/>
      </c>
      <c r="B134" s="795"/>
      <c r="C134" s="245" t="str">
        <f t="shared" si="4"/>
        <v>経費</v>
      </c>
      <c r="D134" s="245">
        <v>42</v>
      </c>
      <c r="E134" s="593" t="str">
        <f>IF($F134&lt;&gt;"",INDEX(ﾏｽﾀ!$D$8:$D$124,MATCH(INDEX(ﾏｽﾀ!$N$8:$N$124,MATCH($F134,ﾏｽﾀ!$O$8:$O$124,0)),ﾏｽﾀ!$B$8:$B$124,0))&amp;"","")</f>
        <v>79000</v>
      </c>
      <c r="F134" s="594" t="str">
        <f>ﾏｽﾀ!$R49&amp;""</f>
        <v>総合商研株式会社</v>
      </c>
      <c r="G134" s="634">
        <f>VLOOKUP($E134,'集計16-E'!$E$93:N$174,'集計16-E'!$G$7-$D$7,FALSE)+VLOOKUP($E134,'集計F-15'!$E$93:N$174,'集計F-15'!$G$7-$D$7,FALSE)-INDEX($J$93:$J$174,MATCH($E134,$E$93:$E$174,0))</f>
        <v>0</v>
      </c>
      <c r="H134" s="629">
        <f>VLOOKUP($E134,'集計16-E'!$E$93:N$174,'集計16-E'!$H$7-$D$7,FALSE)+VLOOKUP($E134,'集計F-15'!$E$93:N$174,'集計F-15'!$H$7-$D$7,FALSE)-INDEX($K$93:$K$174,MATCH($E134,$E$93:$E$174,0))</f>
        <v>0</v>
      </c>
      <c r="I134" s="345"/>
      <c r="J134" s="628">
        <f>SUMIF(請求Data!$G$11:$G$160,CONCATENATE(VLOOKUP(G$5,$G$1:$H$4,2,FALSE),$E134,2),請求Data!$AF$11:$AF$160)-INDEX($J$9:$J$90,MATCH($E134,$E$9:$E$90,0))</f>
        <v>0</v>
      </c>
      <c r="K134" s="629">
        <f>SUMIF(請求Data!$G$11:$G$160,CONCATENATE(VLOOKUP(G$5,$G$1:$H$4,2,FALSE),$E134,2),請求Data!$AG$11:$AG$160)-INDEX($K$9:$K$90,MATCH($E134,$E$9:$E$90,0))</f>
        <v>0</v>
      </c>
      <c r="L134" s="345"/>
      <c r="M134" s="126">
        <f>VLOOKUP($E134,'集計16-E'!$E$93:N$175,'集計16-E'!$M$7-$D$7,FALSE)+VLOOKUP($E134,'集計F-15'!$E$93:N$175,'集計F-15'!$M$7-$D$7,FALSE)</f>
        <v>0</v>
      </c>
      <c r="N134" s="434">
        <f>VLOOKUP($E134,'集計16-E'!$E$93:N$175,'集計16-E'!$N$7-$D$7,FALSE)+VLOOKUP($E134,'集計F-15'!$E$93:N$175,'集計F-15'!$N$7-$D$7,FALSE)</f>
        <v>0</v>
      </c>
      <c r="O134" s="345"/>
      <c r="P134" s="646">
        <f>VLOOKUP($E134,'集計16-E'!$E$93:W$175,'集計16-E'!$P$7-$D$7,0)+VLOOKUP($E134,'集計F-15'!$E$93:W$175,'集計F-15'!$P$7-$D$7,0)-$S134</f>
        <v>0</v>
      </c>
      <c r="Q134" s="647">
        <f>VLOOKUP($E134,'集計16-E'!$E$93:W$175,'集計16-E'!$Q$7-$D$7,0)+VLOOKUP($E134,'集計F-15'!$E$93:W$175,'集計F-15'!$Q$7-$D$7,0)-$T134</f>
        <v>0</v>
      </c>
      <c r="R134" s="345"/>
      <c r="S134" s="638">
        <f>SUMIF(請求Data!$G$11:$G$160,CONCATENATE(VLOOKUP(P$5,$G$1:$H$4,2,FALSE),$E134,2),請求Data!$AF$11:$AF$160)-S50</f>
        <v>0</v>
      </c>
      <c r="T134" s="647">
        <f>SUMIF(請求Data!$G$11:$G$160,CONCATENATE(VLOOKUP(P$5,$G$1:$H$4,2,FALSE),$E134,2),請求Data!$AG$11:$AG$160)-T50</f>
        <v>0</v>
      </c>
      <c r="U134" s="345"/>
      <c r="V134" s="126">
        <f>VLOOKUP($E134,'集計16-E'!$E$93:W$175,'集計16-E'!$V$7-$D$7,0)+VLOOKUP($E134,'集計F-15'!$E$93:W$175,'集計F-15'!$V$7-$D$7,0)</f>
        <v>0</v>
      </c>
      <c r="W134" s="435">
        <f>VLOOKUP($E134,'集計16-E'!$E$93:W$175,'集計16-E'!$W$7-$D$7,0)+VLOOKUP($E134,'集計F-15'!$E$93:W$175,'集計F-15'!$W$7-$D$7,0)</f>
        <v>0</v>
      </c>
      <c r="X134" s="345"/>
      <c r="Y134" s="646">
        <f>VLOOKUP($E134,'集計16-E'!$E$93:AF$175,'集計16-E'!$Y$7-$D$7,0)+VLOOKUP($E134,'集計F-15'!$E$93:AF$175,'集計F-15'!$Y$7-$D$7,0)-$AB134</f>
        <v>0</v>
      </c>
      <c r="Z134" s="647">
        <f>VLOOKUP($E134,'集計16-E'!$E$93:AF$175,'集計16-E'!$Z$7-$D$7,0)+VLOOKUP($E134,'集計F-15'!$E$93:AF$175,'集計F-15'!$Z$7-$D$7,0)-$AC134</f>
        <v>0</v>
      </c>
      <c r="AA134" s="345"/>
      <c r="AB134" s="638">
        <f>SUMIF(請求Data!$G$11:$G$160,CONCATENATE(VLOOKUP(Y$5,$G$1:$H$4,2,FALSE),$E134,2),請求Data!$AF$11:$AF$160)-AB50</f>
        <v>0</v>
      </c>
      <c r="AC134" s="647">
        <f>SUMIF(請求Data!$G$11:$G$160,CONCATENATE(VLOOKUP(Y$5,$G$1:$H$4,2,FALSE),$E134,2),請求Data!$AG$11:$AG$160)-AC50</f>
        <v>0</v>
      </c>
      <c r="AD134" s="345"/>
      <c r="AE134" s="126">
        <f>VLOOKUP($E134,'集計16-E'!$E$93:AF$175,'集計16-E'!$AE$7-$D$7,0)+VLOOKUP($E134,'集計F-15'!$E$93:AF$175,'集計F-15'!$AE$7-$D$7,0)</f>
        <v>0</v>
      </c>
      <c r="AF134" s="435">
        <f>VLOOKUP($E134,'集計16-E'!$E$93:AF$175,'集計16-E'!$AF$7-$D$7,0)+VLOOKUP($E134,'集計F-15'!$E$93:AF$175,'集計F-15'!$AF$7-$D$7,0)</f>
        <v>0</v>
      </c>
    </row>
    <row r="135" spans="1:32">
      <c r="A135" s="475" t="str">
        <f>IF(SUMIFS($G135:$AF135,$G$8:$AF$8,"金額",$G135:$AF135,"&gt;0")-SUMIFS($G135:$AF135,$G$8:$AF$8,"金額",$G135:$AF135,"&lt;0")&lt;=0,"",MAX($A$92:$A134)+1)</f>
        <v/>
      </c>
      <c r="B135" s="795"/>
      <c r="C135" s="245" t="str">
        <f t="shared" si="4"/>
        <v>経費</v>
      </c>
      <c r="D135" s="245">
        <v>43</v>
      </c>
      <c r="E135" s="593" t="str">
        <f>IF($F135&lt;&gt;"",INDEX(ﾏｽﾀ!$D$8:$D$124,MATCH(INDEX(ﾏｽﾀ!$N$8:$N$124,MATCH($F135,ﾏｽﾀ!$O$8:$O$124,0)),ﾏｽﾀ!$B$8:$B$124,0))&amp;"","")</f>
        <v>80000</v>
      </c>
      <c r="F135" s="594" t="str">
        <f>ﾏｽﾀ!$R50&amp;""</f>
        <v>株式会社ポリゴン・ピクチュアズ</v>
      </c>
      <c r="G135" s="634">
        <f>VLOOKUP($E135,'集計16-E'!$E$93:N$174,'集計16-E'!$G$7-$D$7,FALSE)+VLOOKUP($E135,'集計F-15'!$E$93:N$174,'集計F-15'!$G$7-$D$7,FALSE)-INDEX($J$93:$J$174,MATCH($E135,$E$93:$E$174,0))</f>
        <v>0</v>
      </c>
      <c r="H135" s="629">
        <f>VLOOKUP($E135,'集計16-E'!$E$93:N$174,'集計16-E'!$H$7-$D$7,FALSE)+VLOOKUP($E135,'集計F-15'!$E$93:N$174,'集計F-15'!$H$7-$D$7,FALSE)-INDEX($K$93:$K$174,MATCH($E135,$E$93:$E$174,0))</f>
        <v>0</v>
      </c>
      <c r="I135" s="345"/>
      <c r="J135" s="628">
        <f>SUMIF(請求Data!$G$11:$G$160,CONCATENATE(VLOOKUP(G$5,$G$1:$H$4,2,FALSE),$E135,2),請求Data!$AF$11:$AF$160)-INDEX($J$9:$J$90,MATCH($E135,$E$9:$E$90,0))</f>
        <v>0</v>
      </c>
      <c r="K135" s="629">
        <f>SUMIF(請求Data!$G$11:$G$160,CONCATENATE(VLOOKUP(G$5,$G$1:$H$4,2,FALSE),$E135,2),請求Data!$AG$11:$AG$160)-INDEX($K$9:$K$90,MATCH($E135,$E$9:$E$90,0))</f>
        <v>0</v>
      </c>
      <c r="L135" s="345"/>
      <c r="M135" s="126">
        <f>VLOOKUP($E135,'集計16-E'!$E$93:N$175,'集計16-E'!$M$7-$D$7,FALSE)+VLOOKUP($E135,'集計F-15'!$E$93:N$175,'集計F-15'!$M$7-$D$7,FALSE)</f>
        <v>0</v>
      </c>
      <c r="N135" s="434">
        <f>VLOOKUP($E135,'集計16-E'!$E$93:N$175,'集計16-E'!$N$7-$D$7,FALSE)+VLOOKUP($E135,'集計F-15'!$E$93:N$175,'集計F-15'!$N$7-$D$7,FALSE)</f>
        <v>0</v>
      </c>
      <c r="O135" s="345"/>
      <c r="P135" s="646">
        <f>VLOOKUP($E135,'集計16-E'!$E$93:W$175,'集計16-E'!$P$7-$D$7,0)+VLOOKUP($E135,'集計F-15'!$E$93:W$175,'集計F-15'!$P$7-$D$7,0)-$S135</f>
        <v>0</v>
      </c>
      <c r="Q135" s="647">
        <f>VLOOKUP($E135,'集計16-E'!$E$93:W$175,'集計16-E'!$Q$7-$D$7,0)+VLOOKUP($E135,'集計F-15'!$E$93:W$175,'集計F-15'!$Q$7-$D$7,0)-$T135</f>
        <v>0</v>
      </c>
      <c r="R135" s="345"/>
      <c r="S135" s="638">
        <f>SUMIF(請求Data!$G$11:$G$160,CONCATENATE(VLOOKUP(P$5,$G$1:$H$4,2,FALSE),$E135,2),請求Data!$AF$11:$AF$160)-S51</f>
        <v>0</v>
      </c>
      <c r="T135" s="647">
        <f>SUMIF(請求Data!$G$11:$G$160,CONCATENATE(VLOOKUP(P$5,$G$1:$H$4,2,FALSE),$E135,2),請求Data!$AG$11:$AG$160)-T51</f>
        <v>0</v>
      </c>
      <c r="U135" s="345"/>
      <c r="V135" s="126">
        <f>VLOOKUP($E135,'集計16-E'!$E$93:W$175,'集計16-E'!$V$7-$D$7,0)+VLOOKUP($E135,'集計F-15'!$E$93:W$175,'集計F-15'!$V$7-$D$7,0)</f>
        <v>0</v>
      </c>
      <c r="W135" s="435">
        <f>VLOOKUP($E135,'集計16-E'!$E$93:W$175,'集計16-E'!$W$7-$D$7,0)+VLOOKUP($E135,'集計F-15'!$E$93:W$175,'集計F-15'!$W$7-$D$7,0)</f>
        <v>0</v>
      </c>
      <c r="X135" s="345"/>
      <c r="Y135" s="646">
        <f>VLOOKUP($E135,'集計16-E'!$E$93:AF$175,'集計16-E'!$Y$7-$D$7,0)+VLOOKUP($E135,'集計F-15'!$E$93:AF$175,'集計F-15'!$Y$7-$D$7,0)-$AB135</f>
        <v>0</v>
      </c>
      <c r="Z135" s="647">
        <f>VLOOKUP($E135,'集計16-E'!$E$93:AF$175,'集計16-E'!$Z$7-$D$7,0)+VLOOKUP($E135,'集計F-15'!$E$93:AF$175,'集計F-15'!$Z$7-$D$7,0)-$AC135</f>
        <v>0</v>
      </c>
      <c r="AA135" s="345"/>
      <c r="AB135" s="638">
        <f>SUMIF(請求Data!$G$11:$G$160,CONCATENATE(VLOOKUP(Y$5,$G$1:$H$4,2,FALSE),$E135,2),請求Data!$AF$11:$AF$160)-AB51</f>
        <v>0</v>
      </c>
      <c r="AC135" s="647">
        <f>SUMIF(請求Data!$G$11:$G$160,CONCATENATE(VLOOKUP(Y$5,$G$1:$H$4,2,FALSE),$E135,2),請求Data!$AG$11:$AG$160)-AC51</f>
        <v>0</v>
      </c>
      <c r="AD135" s="345"/>
      <c r="AE135" s="126">
        <f>VLOOKUP($E135,'集計16-E'!$E$93:AF$175,'集計16-E'!$AE$7-$D$7,0)+VLOOKUP($E135,'集計F-15'!$E$93:AF$175,'集計F-15'!$AE$7-$D$7,0)</f>
        <v>0</v>
      </c>
      <c r="AF135" s="435">
        <f>VLOOKUP($E135,'集計16-E'!$E$93:AF$175,'集計16-E'!$AF$7-$D$7,0)+VLOOKUP($E135,'集計F-15'!$E$93:AF$175,'集計F-15'!$AF$7-$D$7,0)</f>
        <v>0</v>
      </c>
    </row>
    <row r="136" spans="1:32">
      <c r="A136" s="475" t="str">
        <f>IF(SUMIFS($G136:$AF136,$G$8:$AF$8,"金額",$G136:$AF136,"&gt;0")-SUMIFS($G136:$AF136,$G$8:$AF$8,"金額",$G136:$AF136,"&lt;0")&lt;=0,"",MAX($A$92:$A135)+1)</f>
        <v/>
      </c>
      <c r="B136" s="795"/>
      <c r="C136" s="245" t="str">
        <f t="shared" si="4"/>
        <v>経費</v>
      </c>
      <c r="D136" s="245">
        <v>44</v>
      </c>
      <c r="E136" s="593" t="str">
        <f>IF($F136&lt;&gt;"",INDEX(ﾏｽﾀ!$D$8:$D$124,MATCH(INDEX(ﾏｽﾀ!$N$8:$N$124,MATCH($F136,ﾏｽﾀ!$O$8:$O$124,0)),ﾏｽﾀ!$B$8:$B$124,0))&amp;"","")</f>
        <v>81000</v>
      </c>
      <c r="F136" s="594" t="str">
        <f>ﾏｽﾀ!$R51&amp;""</f>
        <v>株式会社フォーチュンエンターテイメント</v>
      </c>
      <c r="G136" s="634">
        <f>VLOOKUP($E136,'集計16-E'!$E$93:N$174,'集計16-E'!$G$7-$D$7,FALSE)+VLOOKUP($E136,'集計F-15'!$E$93:N$174,'集計F-15'!$G$7-$D$7,FALSE)-INDEX($J$93:$J$174,MATCH($E136,$E$93:$E$174,0))</f>
        <v>0</v>
      </c>
      <c r="H136" s="629">
        <f>VLOOKUP($E136,'集計16-E'!$E$93:N$174,'集計16-E'!$H$7-$D$7,FALSE)+VLOOKUP($E136,'集計F-15'!$E$93:N$174,'集計F-15'!$H$7-$D$7,FALSE)-INDEX($K$93:$K$174,MATCH($E136,$E$93:$E$174,0))</f>
        <v>0</v>
      </c>
      <c r="I136" s="345"/>
      <c r="J136" s="628">
        <f>SUMIF(請求Data!$G$11:$G$160,CONCATENATE(VLOOKUP(G$5,$G$1:$H$4,2,FALSE),$E136,2),請求Data!$AF$11:$AF$160)-INDEX($J$9:$J$90,MATCH($E136,$E$9:$E$90,0))</f>
        <v>0</v>
      </c>
      <c r="K136" s="629">
        <f>SUMIF(請求Data!$G$11:$G$160,CONCATENATE(VLOOKUP(G$5,$G$1:$H$4,2,FALSE),$E136,2),請求Data!$AG$11:$AG$160)-INDEX($K$9:$K$90,MATCH($E136,$E$9:$E$90,0))</f>
        <v>0</v>
      </c>
      <c r="L136" s="345"/>
      <c r="M136" s="126">
        <f>VLOOKUP($E136,'集計16-E'!$E$93:N$175,'集計16-E'!$M$7-$D$7,FALSE)+VLOOKUP($E136,'集計F-15'!$E$93:N$175,'集計F-15'!$M$7-$D$7,FALSE)</f>
        <v>0</v>
      </c>
      <c r="N136" s="434">
        <f>VLOOKUP($E136,'集計16-E'!$E$93:N$175,'集計16-E'!$N$7-$D$7,FALSE)+VLOOKUP($E136,'集計F-15'!$E$93:N$175,'集計F-15'!$N$7-$D$7,FALSE)</f>
        <v>0</v>
      </c>
      <c r="O136" s="345"/>
      <c r="P136" s="646">
        <f>VLOOKUP($E136,'集計16-E'!$E$93:W$175,'集計16-E'!$P$7-$D$7,0)+VLOOKUP($E136,'集計F-15'!$E$93:W$175,'集計F-15'!$P$7-$D$7,0)-$S136</f>
        <v>0</v>
      </c>
      <c r="Q136" s="647">
        <f>VLOOKUP($E136,'集計16-E'!$E$93:W$175,'集計16-E'!$Q$7-$D$7,0)+VLOOKUP($E136,'集計F-15'!$E$93:W$175,'集計F-15'!$Q$7-$D$7,0)-$T136</f>
        <v>0</v>
      </c>
      <c r="R136" s="345"/>
      <c r="S136" s="638">
        <f>SUMIF(請求Data!$G$11:$G$160,CONCATENATE(VLOOKUP(P$5,$G$1:$H$4,2,FALSE),$E136,2),請求Data!$AF$11:$AF$160)-S52</f>
        <v>0</v>
      </c>
      <c r="T136" s="647">
        <f>SUMIF(請求Data!$G$11:$G$160,CONCATENATE(VLOOKUP(P$5,$G$1:$H$4,2,FALSE),$E136,2),請求Data!$AG$11:$AG$160)-T52</f>
        <v>0</v>
      </c>
      <c r="U136" s="345"/>
      <c r="V136" s="126">
        <f>VLOOKUP($E136,'集計16-E'!$E$93:W$175,'集計16-E'!$V$7-$D$7,0)+VLOOKUP($E136,'集計F-15'!$E$93:W$175,'集計F-15'!$V$7-$D$7,0)</f>
        <v>0</v>
      </c>
      <c r="W136" s="435">
        <f>VLOOKUP($E136,'集計16-E'!$E$93:W$175,'集計16-E'!$W$7-$D$7,0)+VLOOKUP($E136,'集計F-15'!$E$93:W$175,'集計F-15'!$W$7-$D$7,0)</f>
        <v>0</v>
      </c>
      <c r="X136" s="345"/>
      <c r="Y136" s="646">
        <f>VLOOKUP($E136,'集計16-E'!$E$93:AF$175,'集計16-E'!$Y$7-$D$7,0)+VLOOKUP($E136,'集計F-15'!$E$93:AF$175,'集計F-15'!$Y$7-$D$7,0)-$AB136</f>
        <v>0</v>
      </c>
      <c r="Z136" s="647">
        <f>VLOOKUP($E136,'集計16-E'!$E$93:AF$175,'集計16-E'!$Z$7-$D$7,0)+VLOOKUP($E136,'集計F-15'!$E$93:AF$175,'集計F-15'!$Z$7-$D$7,0)-$AC136</f>
        <v>0</v>
      </c>
      <c r="AA136" s="345"/>
      <c r="AB136" s="638">
        <f>SUMIF(請求Data!$G$11:$G$160,CONCATENATE(VLOOKUP(Y$5,$G$1:$H$4,2,FALSE),$E136,2),請求Data!$AF$11:$AF$160)-AB52</f>
        <v>0</v>
      </c>
      <c r="AC136" s="647">
        <f>SUMIF(請求Data!$G$11:$G$160,CONCATENATE(VLOOKUP(Y$5,$G$1:$H$4,2,FALSE),$E136,2),請求Data!$AG$11:$AG$160)-AC52</f>
        <v>0</v>
      </c>
      <c r="AD136" s="345"/>
      <c r="AE136" s="126">
        <f>VLOOKUP($E136,'集計16-E'!$E$93:AF$175,'集計16-E'!$AE$7-$D$7,0)+VLOOKUP($E136,'集計F-15'!$E$93:AF$175,'集計F-15'!$AE$7-$D$7,0)</f>
        <v>0</v>
      </c>
      <c r="AF136" s="435">
        <f>VLOOKUP($E136,'集計16-E'!$E$93:AF$175,'集計16-E'!$AF$7-$D$7,0)+VLOOKUP($E136,'集計F-15'!$E$93:AF$175,'集計F-15'!$AF$7-$D$7,0)</f>
        <v>0</v>
      </c>
    </row>
    <row r="137" spans="1:32">
      <c r="A137" s="475" t="str">
        <f>IF(SUMIFS($G137:$AF137,$G$8:$AF$8,"金額",$G137:$AF137,"&gt;0")-SUMIFS($G137:$AF137,$G$8:$AF$8,"金額",$G137:$AF137,"&lt;0")&lt;=0,"",MAX($A$92:$A136)+1)</f>
        <v/>
      </c>
      <c r="B137" s="795"/>
      <c r="C137" s="245" t="str">
        <f t="shared" si="4"/>
        <v>経費</v>
      </c>
      <c r="D137" s="245">
        <v>45</v>
      </c>
      <c r="E137" s="593" t="str">
        <f>IF($F137&lt;&gt;"",INDEX(ﾏｽﾀ!$D$8:$D$124,MATCH(INDEX(ﾏｽﾀ!$N$8:$N$124,MATCH($F137,ﾏｽﾀ!$O$8:$O$124,0)),ﾏｽﾀ!$B$8:$B$124,0))&amp;"","")</f>
        <v>82000</v>
      </c>
      <c r="F137" s="594" t="str">
        <f>ﾏｽﾀ!$R52&amp;""</f>
        <v>キングレコード株式会社</v>
      </c>
      <c r="G137" s="634">
        <f>VLOOKUP($E137,'集計16-E'!$E$93:N$174,'集計16-E'!$G$7-$D$7,FALSE)+VLOOKUP($E137,'集計F-15'!$E$93:N$174,'集計F-15'!$G$7-$D$7,FALSE)-INDEX($J$93:$J$174,MATCH($E137,$E$93:$E$174,0))</f>
        <v>0</v>
      </c>
      <c r="H137" s="629">
        <f>VLOOKUP($E137,'集計16-E'!$E$93:N$174,'集計16-E'!$H$7-$D$7,FALSE)+VLOOKUP($E137,'集計F-15'!$E$93:N$174,'集計F-15'!$H$7-$D$7,FALSE)-INDEX($K$93:$K$174,MATCH($E137,$E$93:$E$174,0))</f>
        <v>0</v>
      </c>
      <c r="I137" s="345"/>
      <c r="J137" s="628">
        <f>SUMIF(請求Data!$G$11:$G$160,CONCATENATE(VLOOKUP(G$5,$G$1:$H$4,2,FALSE),$E137,2),請求Data!$AF$11:$AF$160)-INDEX($J$9:$J$90,MATCH($E137,$E$9:$E$90,0))</f>
        <v>0</v>
      </c>
      <c r="K137" s="629">
        <f>SUMIF(請求Data!$G$11:$G$160,CONCATENATE(VLOOKUP(G$5,$G$1:$H$4,2,FALSE),$E137,2),請求Data!$AG$11:$AG$160)-INDEX($K$9:$K$90,MATCH($E137,$E$9:$E$90,0))</f>
        <v>0</v>
      </c>
      <c r="L137" s="345"/>
      <c r="M137" s="126">
        <f>VLOOKUP($E137,'集計16-E'!$E$93:N$175,'集計16-E'!$M$7-$D$7,FALSE)+VLOOKUP($E137,'集計F-15'!$E$93:N$175,'集計F-15'!$M$7-$D$7,FALSE)</f>
        <v>0</v>
      </c>
      <c r="N137" s="434">
        <f>VLOOKUP($E137,'集計16-E'!$E$93:N$175,'集計16-E'!$N$7-$D$7,FALSE)+VLOOKUP($E137,'集計F-15'!$E$93:N$175,'集計F-15'!$N$7-$D$7,FALSE)</f>
        <v>0</v>
      </c>
      <c r="O137" s="345"/>
      <c r="P137" s="646">
        <f>VLOOKUP($E137,'集計16-E'!$E$93:W$175,'集計16-E'!$P$7-$D$7,0)+VLOOKUP($E137,'集計F-15'!$E$93:W$175,'集計F-15'!$P$7-$D$7,0)-$S137</f>
        <v>0</v>
      </c>
      <c r="Q137" s="647">
        <f>VLOOKUP($E137,'集計16-E'!$E$93:W$175,'集計16-E'!$Q$7-$D$7,0)+VLOOKUP($E137,'集計F-15'!$E$93:W$175,'集計F-15'!$Q$7-$D$7,0)-$T137</f>
        <v>0</v>
      </c>
      <c r="R137" s="345"/>
      <c r="S137" s="638">
        <f>SUMIF(請求Data!$G$11:$G$160,CONCATENATE(VLOOKUP(P$5,$G$1:$H$4,2,FALSE),$E137,2),請求Data!$AF$11:$AF$160)-S53</f>
        <v>0</v>
      </c>
      <c r="T137" s="647">
        <f>SUMIF(請求Data!$G$11:$G$160,CONCATENATE(VLOOKUP(P$5,$G$1:$H$4,2,FALSE),$E137,2),請求Data!$AG$11:$AG$160)-T53</f>
        <v>0</v>
      </c>
      <c r="U137" s="345"/>
      <c r="V137" s="126">
        <f>VLOOKUP($E137,'集計16-E'!$E$93:W$175,'集計16-E'!$V$7-$D$7,0)+VLOOKUP($E137,'集計F-15'!$E$93:W$175,'集計F-15'!$V$7-$D$7,0)</f>
        <v>0</v>
      </c>
      <c r="W137" s="435">
        <f>VLOOKUP($E137,'集計16-E'!$E$93:W$175,'集計16-E'!$W$7-$D$7,0)+VLOOKUP($E137,'集計F-15'!$E$93:W$175,'集計F-15'!$W$7-$D$7,0)</f>
        <v>0</v>
      </c>
      <c r="X137" s="345"/>
      <c r="Y137" s="646">
        <f>VLOOKUP($E137,'集計16-E'!$E$93:AF$175,'集計16-E'!$Y$7-$D$7,0)+VLOOKUP($E137,'集計F-15'!$E$93:AF$175,'集計F-15'!$Y$7-$D$7,0)-$AB137</f>
        <v>0</v>
      </c>
      <c r="Z137" s="647">
        <f>VLOOKUP($E137,'集計16-E'!$E$93:AF$175,'集計16-E'!$Z$7-$D$7,0)+VLOOKUP($E137,'集計F-15'!$E$93:AF$175,'集計F-15'!$Z$7-$D$7,0)-$AC137</f>
        <v>0</v>
      </c>
      <c r="AA137" s="345"/>
      <c r="AB137" s="638">
        <f>SUMIF(請求Data!$G$11:$G$160,CONCATENATE(VLOOKUP(Y$5,$G$1:$H$4,2,FALSE),$E137,2),請求Data!$AF$11:$AF$160)-AB53</f>
        <v>0</v>
      </c>
      <c r="AC137" s="647">
        <f>SUMIF(請求Data!$G$11:$G$160,CONCATENATE(VLOOKUP(Y$5,$G$1:$H$4,2,FALSE),$E137,2),請求Data!$AG$11:$AG$160)-AC53</f>
        <v>0</v>
      </c>
      <c r="AD137" s="345"/>
      <c r="AE137" s="126">
        <f>VLOOKUP($E137,'集計16-E'!$E$93:AF$175,'集計16-E'!$AE$7-$D$7,0)+VLOOKUP($E137,'集計F-15'!$E$93:AF$175,'集計F-15'!$AE$7-$D$7,0)</f>
        <v>0</v>
      </c>
      <c r="AF137" s="435">
        <f>VLOOKUP($E137,'集計16-E'!$E$93:AF$175,'集計16-E'!$AF$7-$D$7,0)+VLOOKUP($E137,'集計F-15'!$E$93:AF$175,'集計F-15'!$AF$7-$D$7,0)</f>
        <v>0</v>
      </c>
    </row>
    <row r="138" spans="1:32">
      <c r="A138" s="475" t="str">
        <f>IF(SUMIFS($G138:$AF138,$G$8:$AF$8,"金額",$G138:$AF138,"&gt;0")-SUMIFS($G138:$AF138,$G$8:$AF$8,"金額",$G138:$AF138,"&lt;0")&lt;=0,"",MAX($A$92:$A137)+1)</f>
        <v/>
      </c>
      <c r="B138" s="795"/>
      <c r="C138" s="245" t="str">
        <f t="shared" si="4"/>
        <v>経費</v>
      </c>
      <c r="D138" s="245">
        <v>46</v>
      </c>
      <c r="E138" s="593" t="str">
        <f>IF($F138&lt;&gt;"",INDEX(ﾏｽﾀ!$D$8:$D$124,MATCH(INDEX(ﾏｽﾀ!$N$8:$N$124,MATCH($F138,ﾏｽﾀ!$O$8:$O$124,0)),ﾏｽﾀ!$B$8:$B$124,0))&amp;"","")</f>
        <v>83000</v>
      </c>
      <c r="F138" s="594" t="str">
        <f>ﾏｽﾀ!$R53&amp;""</f>
        <v>ソニー株式会社</v>
      </c>
      <c r="G138" s="634">
        <f>VLOOKUP($E138,'集計16-E'!$E$93:N$174,'集計16-E'!$G$7-$D$7,FALSE)+VLOOKUP($E138,'集計F-15'!$E$93:N$174,'集計F-15'!$G$7-$D$7,FALSE)-INDEX($J$93:$J$174,MATCH($E138,$E$93:$E$174,0))</f>
        <v>0</v>
      </c>
      <c r="H138" s="629">
        <f>VLOOKUP($E138,'集計16-E'!$E$93:N$174,'集計16-E'!$H$7-$D$7,FALSE)+VLOOKUP($E138,'集計F-15'!$E$93:N$174,'集計F-15'!$H$7-$D$7,FALSE)-INDEX($K$93:$K$174,MATCH($E138,$E$93:$E$174,0))</f>
        <v>0</v>
      </c>
      <c r="I138" s="345"/>
      <c r="J138" s="628">
        <f>SUMIF(請求Data!$G$11:$G$160,CONCATENATE(VLOOKUP(G$5,$G$1:$H$4,2,FALSE),$E138,2),請求Data!$AF$11:$AF$160)-INDEX($J$9:$J$90,MATCH($E138,$E$9:$E$90,0))</f>
        <v>0</v>
      </c>
      <c r="K138" s="629">
        <f>SUMIF(請求Data!$G$11:$G$160,CONCATENATE(VLOOKUP(G$5,$G$1:$H$4,2,FALSE),$E138,2),請求Data!$AG$11:$AG$160)-INDEX($K$9:$K$90,MATCH($E138,$E$9:$E$90,0))</f>
        <v>0</v>
      </c>
      <c r="L138" s="345"/>
      <c r="M138" s="126">
        <f>VLOOKUP($E138,'集計16-E'!$E$93:N$175,'集計16-E'!$M$7-$D$7,FALSE)+VLOOKUP($E138,'集計F-15'!$E$93:N$175,'集計F-15'!$M$7-$D$7,FALSE)</f>
        <v>0</v>
      </c>
      <c r="N138" s="434">
        <f>VLOOKUP($E138,'集計16-E'!$E$93:N$175,'集計16-E'!$N$7-$D$7,FALSE)+VLOOKUP($E138,'集計F-15'!$E$93:N$175,'集計F-15'!$N$7-$D$7,FALSE)</f>
        <v>0</v>
      </c>
      <c r="O138" s="345"/>
      <c r="P138" s="646">
        <f>VLOOKUP($E138,'集計16-E'!$E$93:W$175,'集計16-E'!$P$7-$D$7,0)+VLOOKUP($E138,'集計F-15'!$E$93:W$175,'集計F-15'!$P$7-$D$7,0)-$S138</f>
        <v>0</v>
      </c>
      <c r="Q138" s="647">
        <f>VLOOKUP($E138,'集計16-E'!$E$93:W$175,'集計16-E'!$Q$7-$D$7,0)+VLOOKUP($E138,'集計F-15'!$E$93:W$175,'集計F-15'!$Q$7-$D$7,0)-$T138</f>
        <v>0</v>
      </c>
      <c r="R138" s="345"/>
      <c r="S138" s="638">
        <f>SUMIF(請求Data!$G$11:$G$160,CONCATENATE(VLOOKUP(P$5,$G$1:$H$4,2,FALSE),$E138,2),請求Data!$AF$11:$AF$160)-S54</f>
        <v>0</v>
      </c>
      <c r="T138" s="647">
        <f>SUMIF(請求Data!$G$11:$G$160,CONCATENATE(VLOOKUP(P$5,$G$1:$H$4,2,FALSE),$E138,2),請求Data!$AG$11:$AG$160)-T54</f>
        <v>0</v>
      </c>
      <c r="U138" s="345"/>
      <c r="V138" s="126">
        <f>VLOOKUP($E138,'集計16-E'!$E$93:W$175,'集計16-E'!$V$7-$D$7,0)+VLOOKUP($E138,'集計F-15'!$E$93:W$175,'集計F-15'!$V$7-$D$7,0)</f>
        <v>0</v>
      </c>
      <c r="W138" s="435">
        <f>VLOOKUP($E138,'集計16-E'!$E$93:W$175,'集計16-E'!$W$7-$D$7,0)+VLOOKUP($E138,'集計F-15'!$E$93:W$175,'集計F-15'!$W$7-$D$7,0)</f>
        <v>0</v>
      </c>
      <c r="X138" s="345"/>
      <c r="Y138" s="646">
        <f>VLOOKUP($E138,'集計16-E'!$E$93:AF$175,'集計16-E'!$Y$7-$D$7,0)+VLOOKUP($E138,'集計F-15'!$E$93:AF$175,'集計F-15'!$Y$7-$D$7,0)-$AB138</f>
        <v>0</v>
      </c>
      <c r="Z138" s="647">
        <f>VLOOKUP($E138,'集計16-E'!$E$93:AF$175,'集計16-E'!$Z$7-$D$7,0)+VLOOKUP($E138,'集計F-15'!$E$93:AF$175,'集計F-15'!$Z$7-$D$7,0)-$AC138</f>
        <v>0</v>
      </c>
      <c r="AA138" s="345"/>
      <c r="AB138" s="638">
        <f>SUMIF(請求Data!$G$11:$G$160,CONCATENATE(VLOOKUP(Y$5,$G$1:$H$4,2,FALSE),$E138,2),請求Data!$AF$11:$AF$160)-AB54</f>
        <v>0</v>
      </c>
      <c r="AC138" s="647">
        <f>SUMIF(請求Data!$G$11:$G$160,CONCATENATE(VLOOKUP(Y$5,$G$1:$H$4,2,FALSE),$E138,2),請求Data!$AG$11:$AG$160)-AC54</f>
        <v>0</v>
      </c>
      <c r="AD138" s="345"/>
      <c r="AE138" s="126">
        <f>VLOOKUP($E138,'集計16-E'!$E$93:AF$175,'集計16-E'!$AE$7-$D$7,0)+VLOOKUP($E138,'集計F-15'!$E$93:AF$175,'集計F-15'!$AE$7-$D$7,0)</f>
        <v>0</v>
      </c>
      <c r="AF138" s="435">
        <f>VLOOKUP($E138,'集計16-E'!$E$93:AF$175,'集計16-E'!$AF$7-$D$7,0)+VLOOKUP($E138,'集計F-15'!$E$93:AF$175,'集計F-15'!$AF$7-$D$7,0)</f>
        <v>0</v>
      </c>
    </row>
    <row r="139" spans="1:32">
      <c r="A139" s="475" t="str">
        <f>IF(SUMIFS($G139:$AF139,$G$8:$AF$8,"金額",$G139:$AF139,"&gt;0")-SUMIFS($G139:$AF139,$G$8:$AF$8,"金額",$G139:$AF139,"&lt;0")&lt;=0,"",MAX($A$92:$A138)+1)</f>
        <v/>
      </c>
      <c r="B139" s="795"/>
      <c r="C139" s="245" t="str">
        <f t="shared" si="4"/>
        <v>経費</v>
      </c>
      <c r="D139" s="245">
        <v>47</v>
      </c>
      <c r="E139" s="593" t="str">
        <f>IF($F139&lt;&gt;"",INDEX(ﾏｽﾀ!$D$8:$D$124,MATCH(INDEX(ﾏｽﾀ!$N$8:$N$124,MATCH($F139,ﾏｽﾀ!$O$8:$O$124,0)),ﾏｽﾀ!$B$8:$B$124,0))&amp;"","")</f>
        <v>84000</v>
      </c>
      <c r="F139" s="594" t="str">
        <f>ﾏｽﾀ!$R54&amp;""</f>
        <v>株式会社ブイシンク</v>
      </c>
      <c r="G139" s="634">
        <f>VLOOKUP($E139,'集計16-E'!$E$93:N$174,'集計16-E'!$G$7-$D$7,FALSE)+VLOOKUP($E139,'集計F-15'!$E$93:N$174,'集計F-15'!$G$7-$D$7,FALSE)-INDEX($J$93:$J$174,MATCH($E139,$E$93:$E$174,0))</f>
        <v>0</v>
      </c>
      <c r="H139" s="629">
        <f>VLOOKUP($E139,'集計16-E'!$E$93:N$174,'集計16-E'!$H$7-$D$7,FALSE)+VLOOKUP($E139,'集計F-15'!$E$93:N$174,'集計F-15'!$H$7-$D$7,FALSE)-INDEX($K$93:$K$174,MATCH($E139,$E$93:$E$174,0))</f>
        <v>0</v>
      </c>
      <c r="I139" s="345"/>
      <c r="J139" s="628">
        <f>SUMIF(請求Data!$G$11:$G$160,CONCATENATE(VLOOKUP(G$5,$G$1:$H$4,2,FALSE),$E139,2),請求Data!$AF$11:$AF$160)-INDEX($J$9:$J$90,MATCH($E139,$E$9:$E$90,0))</f>
        <v>0</v>
      </c>
      <c r="K139" s="629">
        <f>SUMIF(請求Data!$G$11:$G$160,CONCATENATE(VLOOKUP(G$5,$G$1:$H$4,2,FALSE),$E139,2),請求Data!$AG$11:$AG$160)-INDEX($K$9:$K$90,MATCH($E139,$E$9:$E$90,0))</f>
        <v>0</v>
      </c>
      <c r="L139" s="345"/>
      <c r="M139" s="126">
        <f>VLOOKUP($E139,'集計16-E'!$E$93:N$175,'集計16-E'!$M$7-$D$7,FALSE)+VLOOKUP($E139,'集計F-15'!$E$93:N$175,'集計F-15'!$M$7-$D$7,FALSE)</f>
        <v>0</v>
      </c>
      <c r="N139" s="434">
        <f>VLOOKUP($E139,'集計16-E'!$E$93:N$175,'集計16-E'!$N$7-$D$7,FALSE)+VLOOKUP($E139,'集計F-15'!$E$93:N$175,'集計F-15'!$N$7-$D$7,FALSE)</f>
        <v>0</v>
      </c>
      <c r="O139" s="345"/>
      <c r="P139" s="646">
        <f>VLOOKUP($E139,'集計16-E'!$E$93:W$175,'集計16-E'!$P$7-$D$7,0)+VLOOKUP($E139,'集計F-15'!$E$93:W$175,'集計F-15'!$P$7-$D$7,0)-$S139</f>
        <v>0</v>
      </c>
      <c r="Q139" s="647">
        <f>VLOOKUP($E139,'集計16-E'!$E$93:W$175,'集計16-E'!$Q$7-$D$7,0)+VLOOKUP($E139,'集計F-15'!$E$93:W$175,'集計F-15'!$Q$7-$D$7,0)-$T139</f>
        <v>0</v>
      </c>
      <c r="R139" s="345"/>
      <c r="S139" s="638">
        <f>SUMIF(請求Data!$G$11:$G$160,CONCATENATE(VLOOKUP(P$5,$G$1:$H$4,2,FALSE),$E139,2),請求Data!$AF$11:$AF$160)-S55</f>
        <v>0</v>
      </c>
      <c r="T139" s="647">
        <f>SUMIF(請求Data!$G$11:$G$160,CONCATENATE(VLOOKUP(P$5,$G$1:$H$4,2,FALSE),$E139,2),請求Data!$AG$11:$AG$160)-T55</f>
        <v>0</v>
      </c>
      <c r="U139" s="345"/>
      <c r="V139" s="126">
        <f>VLOOKUP($E139,'集計16-E'!$E$93:W$175,'集計16-E'!$V$7-$D$7,0)+VLOOKUP($E139,'集計F-15'!$E$93:W$175,'集計F-15'!$V$7-$D$7,0)</f>
        <v>0</v>
      </c>
      <c r="W139" s="435">
        <f>VLOOKUP($E139,'集計16-E'!$E$93:W$175,'集計16-E'!$W$7-$D$7,0)+VLOOKUP($E139,'集計F-15'!$E$93:W$175,'集計F-15'!$W$7-$D$7,0)</f>
        <v>0</v>
      </c>
      <c r="X139" s="345"/>
      <c r="Y139" s="646">
        <f>VLOOKUP($E139,'集計16-E'!$E$93:AF$175,'集計16-E'!$Y$7-$D$7,0)+VLOOKUP($E139,'集計F-15'!$E$93:AF$175,'集計F-15'!$Y$7-$D$7,0)-$AB139</f>
        <v>0</v>
      </c>
      <c r="Z139" s="647">
        <f>VLOOKUP($E139,'集計16-E'!$E$93:AF$175,'集計16-E'!$Z$7-$D$7,0)+VLOOKUP($E139,'集計F-15'!$E$93:AF$175,'集計F-15'!$Z$7-$D$7,0)-$AC139</f>
        <v>0</v>
      </c>
      <c r="AA139" s="345"/>
      <c r="AB139" s="638">
        <f>SUMIF(請求Data!$G$11:$G$160,CONCATENATE(VLOOKUP(Y$5,$G$1:$H$4,2,FALSE),$E139,2),請求Data!$AF$11:$AF$160)-AB55</f>
        <v>0</v>
      </c>
      <c r="AC139" s="647">
        <f>SUMIF(請求Data!$G$11:$G$160,CONCATENATE(VLOOKUP(Y$5,$G$1:$H$4,2,FALSE),$E139,2),請求Data!$AG$11:$AG$160)-AC55</f>
        <v>0</v>
      </c>
      <c r="AD139" s="345"/>
      <c r="AE139" s="126">
        <f>VLOOKUP($E139,'集計16-E'!$E$93:AF$175,'集計16-E'!$AE$7-$D$7,0)+VLOOKUP($E139,'集計F-15'!$E$93:AF$175,'集計F-15'!$AE$7-$D$7,0)</f>
        <v>0</v>
      </c>
      <c r="AF139" s="435">
        <f>VLOOKUP($E139,'集計16-E'!$E$93:AF$175,'集計16-E'!$AF$7-$D$7,0)+VLOOKUP($E139,'集計F-15'!$E$93:AF$175,'集計F-15'!$AF$7-$D$7,0)</f>
        <v>0</v>
      </c>
    </row>
    <row r="140" spans="1:32">
      <c r="A140" s="475" t="str">
        <f>IF(SUMIFS($G140:$AF140,$G$8:$AF$8,"金額",$G140:$AF140,"&gt;0")-SUMIFS($G140:$AF140,$G$8:$AF$8,"金額",$G140:$AF140,"&lt;0")&lt;=0,"",MAX($A$92:$A139)+1)</f>
        <v/>
      </c>
      <c r="B140" s="795"/>
      <c r="C140" s="245" t="str">
        <f t="shared" si="4"/>
        <v>経費</v>
      </c>
      <c r="D140" s="245">
        <v>48</v>
      </c>
      <c r="E140" s="593" t="str">
        <f>IF($F140&lt;&gt;"",INDEX(ﾏｽﾀ!$D$8:$D$124,MATCH(INDEX(ﾏｽﾀ!$N$8:$N$124,MATCH($F140,ﾏｽﾀ!$O$8:$O$124,0)),ﾏｽﾀ!$B$8:$B$124,0))&amp;"","")</f>
        <v>85000</v>
      </c>
      <c r="F140" s="594" t="str">
        <f>ﾏｽﾀ!$R55&amp;""</f>
        <v>有限会社ユハラ・インターナショナル</v>
      </c>
      <c r="G140" s="634">
        <f>VLOOKUP($E140,'集計16-E'!$E$93:N$174,'集計16-E'!$G$7-$D$7,FALSE)+VLOOKUP($E140,'集計F-15'!$E$93:N$174,'集計F-15'!$G$7-$D$7,FALSE)-INDEX($J$93:$J$174,MATCH($E140,$E$93:$E$174,0))</f>
        <v>0</v>
      </c>
      <c r="H140" s="629">
        <f>VLOOKUP($E140,'集計16-E'!$E$93:N$174,'集計16-E'!$H$7-$D$7,FALSE)+VLOOKUP($E140,'集計F-15'!$E$93:N$174,'集計F-15'!$H$7-$D$7,FALSE)-INDEX($K$93:$K$174,MATCH($E140,$E$93:$E$174,0))</f>
        <v>0</v>
      </c>
      <c r="I140" s="345"/>
      <c r="J140" s="628">
        <f>SUMIF(請求Data!$G$11:$G$160,CONCATENATE(VLOOKUP(G$5,$G$1:$H$4,2,FALSE),$E140,2),請求Data!$AF$11:$AF$160)-INDEX($J$9:$J$90,MATCH($E140,$E$9:$E$90,0))</f>
        <v>0</v>
      </c>
      <c r="K140" s="629">
        <f>SUMIF(請求Data!$G$11:$G$160,CONCATENATE(VLOOKUP(G$5,$G$1:$H$4,2,FALSE),$E140,2),請求Data!$AG$11:$AG$160)-INDEX($K$9:$K$90,MATCH($E140,$E$9:$E$90,0))</f>
        <v>0</v>
      </c>
      <c r="L140" s="345"/>
      <c r="M140" s="126">
        <f>VLOOKUP($E140,'集計16-E'!$E$93:N$175,'集計16-E'!$M$7-$D$7,FALSE)+VLOOKUP($E140,'集計F-15'!$E$93:N$175,'集計F-15'!$M$7-$D$7,FALSE)</f>
        <v>0</v>
      </c>
      <c r="N140" s="434">
        <f>VLOOKUP($E140,'集計16-E'!$E$93:N$175,'集計16-E'!$N$7-$D$7,FALSE)+VLOOKUP($E140,'集計F-15'!$E$93:N$175,'集計F-15'!$N$7-$D$7,FALSE)</f>
        <v>0</v>
      </c>
      <c r="O140" s="345"/>
      <c r="P140" s="646">
        <f>VLOOKUP($E140,'集計16-E'!$E$93:W$175,'集計16-E'!$P$7-$D$7,0)+VLOOKUP($E140,'集計F-15'!$E$93:W$175,'集計F-15'!$P$7-$D$7,0)-$S140</f>
        <v>0</v>
      </c>
      <c r="Q140" s="647">
        <f>VLOOKUP($E140,'集計16-E'!$E$93:W$175,'集計16-E'!$Q$7-$D$7,0)+VLOOKUP($E140,'集計F-15'!$E$93:W$175,'集計F-15'!$Q$7-$D$7,0)-$T140</f>
        <v>0</v>
      </c>
      <c r="R140" s="345"/>
      <c r="S140" s="638">
        <f>SUMIF(請求Data!$G$11:$G$160,CONCATENATE(VLOOKUP(P$5,$G$1:$H$4,2,FALSE),$E140,2),請求Data!$AF$11:$AF$160)-S56</f>
        <v>0</v>
      </c>
      <c r="T140" s="647">
        <f>SUMIF(請求Data!$G$11:$G$160,CONCATENATE(VLOOKUP(P$5,$G$1:$H$4,2,FALSE),$E140,2),請求Data!$AG$11:$AG$160)-T56</f>
        <v>0</v>
      </c>
      <c r="U140" s="345"/>
      <c r="V140" s="126">
        <f>VLOOKUP($E140,'集計16-E'!$E$93:W$175,'集計16-E'!$V$7-$D$7,0)+VLOOKUP($E140,'集計F-15'!$E$93:W$175,'集計F-15'!$V$7-$D$7,0)</f>
        <v>0</v>
      </c>
      <c r="W140" s="435">
        <f>VLOOKUP($E140,'集計16-E'!$E$93:W$175,'集計16-E'!$W$7-$D$7,0)+VLOOKUP($E140,'集計F-15'!$E$93:W$175,'集計F-15'!$W$7-$D$7,0)</f>
        <v>0</v>
      </c>
      <c r="X140" s="345"/>
      <c r="Y140" s="646">
        <f>VLOOKUP($E140,'集計16-E'!$E$93:AF$175,'集計16-E'!$Y$7-$D$7,0)+VLOOKUP($E140,'集計F-15'!$E$93:AF$175,'集計F-15'!$Y$7-$D$7,0)-$AB140</f>
        <v>0</v>
      </c>
      <c r="Z140" s="647">
        <f>VLOOKUP($E140,'集計16-E'!$E$93:AF$175,'集計16-E'!$Z$7-$D$7,0)+VLOOKUP($E140,'集計F-15'!$E$93:AF$175,'集計F-15'!$Z$7-$D$7,0)-$AC140</f>
        <v>0</v>
      </c>
      <c r="AA140" s="345"/>
      <c r="AB140" s="638">
        <f>SUMIF(請求Data!$G$11:$G$160,CONCATENATE(VLOOKUP(Y$5,$G$1:$H$4,2,FALSE),$E140,2),請求Data!$AF$11:$AF$160)-AB56</f>
        <v>0</v>
      </c>
      <c r="AC140" s="647">
        <f>SUMIF(請求Data!$G$11:$G$160,CONCATENATE(VLOOKUP(Y$5,$G$1:$H$4,2,FALSE),$E140,2),請求Data!$AG$11:$AG$160)-AC56</f>
        <v>0</v>
      </c>
      <c r="AD140" s="345"/>
      <c r="AE140" s="126">
        <f>VLOOKUP($E140,'集計16-E'!$E$93:AF$175,'集計16-E'!$AE$7-$D$7,0)+VLOOKUP($E140,'集計F-15'!$E$93:AF$175,'集計F-15'!$AE$7-$D$7,0)</f>
        <v>0</v>
      </c>
      <c r="AF140" s="435">
        <f>VLOOKUP($E140,'集計16-E'!$E$93:AF$175,'集計16-E'!$AF$7-$D$7,0)+VLOOKUP($E140,'集計F-15'!$E$93:AF$175,'集計F-15'!$AF$7-$D$7,0)</f>
        <v>0</v>
      </c>
    </row>
    <row r="141" spans="1:32">
      <c r="A141" s="475" t="str">
        <f>IF(SUMIFS($G141:$AF141,$G$8:$AF$8,"金額",$G141:$AF141,"&gt;0")-SUMIFS($G141:$AF141,$G$8:$AF$8,"金額",$G141:$AF141,"&lt;0")&lt;=0,"",MAX($A$92:$A140)+1)</f>
        <v/>
      </c>
      <c r="B141" s="795"/>
      <c r="C141" s="245" t="str">
        <f t="shared" si="4"/>
        <v>経費</v>
      </c>
      <c r="D141" s="245">
        <v>49</v>
      </c>
      <c r="E141" s="593" t="str">
        <f>IF($F141&lt;&gt;"",INDEX(ﾏｽﾀ!$D$8:$D$124,MATCH(INDEX(ﾏｽﾀ!$N$8:$N$124,MATCH($F141,ﾏｽﾀ!$O$8:$O$124,0)),ﾏｽﾀ!$B$8:$B$124,0))&amp;"","")</f>
        <v>89000</v>
      </c>
      <c r="F141" s="594" t="str">
        <f>ﾏｽﾀ!$R56&amp;""</f>
        <v>株式会社ライブ・ワークス</v>
      </c>
      <c r="G141" s="634">
        <f>VLOOKUP($E141,'集計16-E'!$E$93:N$174,'集計16-E'!$G$7-$D$7,FALSE)+VLOOKUP($E141,'集計F-15'!$E$93:N$174,'集計F-15'!$G$7-$D$7,FALSE)-INDEX($J$93:$J$174,MATCH($E141,$E$93:$E$174,0))</f>
        <v>0</v>
      </c>
      <c r="H141" s="629">
        <f>VLOOKUP($E141,'集計16-E'!$E$93:N$174,'集計16-E'!$H$7-$D$7,FALSE)+VLOOKUP($E141,'集計F-15'!$E$93:N$174,'集計F-15'!$H$7-$D$7,FALSE)-INDEX($K$93:$K$174,MATCH($E141,$E$93:$E$174,0))</f>
        <v>0</v>
      </c>
      <c r="I141" s="345"/>
      <c r="J141" s="628">
        <f>SUMIF(請求Data!$G$11:$G$160,CONCATENATE(VLOOKUP(G$5,$G$1:$H$4,2,FALSE),$E141,2),請求Data!$AF$11:$AF$160)-INDEX($J$9:$J$90,MATCH($E141,$E$9:$E$90,0))</f>
        <v>0</v>
      </c>
      <c r="K141" s="629">
        <f>SUMIF(請求Data!$G$11:$G$160,CONCATENATE(VLOOKUP(G$5,$G$1:$H$4,2,FALSE),$E141,2),請求Data!$AG$11:$AG$160)-INDEX($K$9:$K$90,MATCH($E141,$E$9:$E$90,0))</f>
        <v>0</v>
      </c>
      <c r="L141" s="345"/>
      <c r="M141" s="126">
        <f>VLOOKUP($E141,'集計16-E'!$E$93:N$175,'集計16-E'!$M$7-$D$7,FALSE)+VLOOKUP($E141,'集計F-15'!$E$93:N$175,'集計F-15'!$M$7-$D$7,FALSE)</f>
        <v>0</v>
      </c>
      <c r="N141" s="434">
        <f>VLOOKUP($E141,'集計16-E'!$E$93:N$175,'集計16-E'!$N$7-$D$7,FALSE)+VLOOKUP($E141,'集計F-15'!$E$93:N$175,'集計F-15'!$N$7-$D$7,FALSE)</f>
        <v>0</v>
      </c>
      <c r="O141" s="345"/>
      <c r="P141" s="646">
        <f>VLOOKUP($E141,'集計16-E'!$E$93:W$175,'集計16-E'!$P$7-$D$7,0)+VLOOKUP($E141,'集計F-15'!$E$93:W$175,'集計F-15'!$P$7-$D$7,0)-$S141</f>
        <v>0</v>
      </c>
      <c r="Q141" s="647">
        <f>VLOOKUP($E141,'集計16-E'!$E$93:W$175,'集計16-E'!$Q$7-$D$7,0)+VLOOKUP($E141,'集計F-15'!$E$93:W$175,'集計F-15'!$Q$7-$D$7,0)-$T141</f>
        <v>0</v>
      </c>
      <c r="R141" s="345"/>
      <c r="S141" s="638">
        <f>SUMIF(請求Data!$G$11:$G$160,CONCATENATE(VLOOKUP(P$5,$G$1:$H$4,2,FALSE),$E141,2),請求Data!$AF$11:$AF$160)-S57</f>
        <v>0</v>
      </c>
      <c r="T141" s="647">
        <f>SUMIF(請求Data!$G$11:$G$160,CONCATENATE(VLOOKUP(P$5,$G$1:$H$4,2,FALSE),$E141,2),請求Data!$AG$11:$AG$160)-T57</f>
        <v>0</v>
      </c>
      <c r="U141" s="345"/>
      <c r="V141" s="126">
        <f>VLOOKUP($E141,'集計16-E'!$E$93:W$175,'集計16-E'!$V$7-$D$7,0)+VLOOKUP($E141,'集計F-15'!$E$93:W$175,'集計F-15'!$V$7-$D$7,0)</f>
        <v>0</v>
      </c>
      <c r="W141" s="435">
        <f>VLOOKUP($E141,'集計16-E'!$E$93:W$175,'集計16-E'!$W$7-$D$7,0)+VLOOKUP($E141,'集計F-15'!$E$93:W$175,'集計F-15'!$W$7-$D$7,0)</f>
        <v>0</v>
      </c>
      <c r="X141" s="345"/>
      <c r="Y141" s="646">
        <f>VLOOKUP($E141,'集計16-E'!$E$93:AF$175,'集計16-E'!$Y$7-$D$7,0)+VLOOKUP($E141,'集計F-15'!$E$93:AF$175,'集計F-15'!$Y$7-$D$7,0)-$AB141</f>
        <v>0</v>
      </c>
      <c r="Z141" s="647">
        <f>VLOOKUP($E141,'集計16-E'!$E$93:AF$175,'集計16-E'!$Z$7-$D$7,0)+VLOOKUP($E141,'集計F-15'!$E$93:AF$175,'集計F-15'!$Z$7-$D$7,0)-$AC141</f>
        <v>0</v>
      </c>
      <c r="AA141" s="345"/>
      <c r="AB141" s="638">
        <f>SUMIF(請求Data!$G$11:$G$160,CONCATENATE(VLOOKUP(Y$5,$G$1:$H$4,2,FALSE),$E141,2),請求Data!$AF$11:$AF$160)-AB57</f>
        <v>0</v>
      </c>
      <c r="AC141" s="647">
        <f>SUMIF(請求Data!$G$11:$G$160,CONCATENATE(VLOOKUP(Y$5,$G$1:$H$4,2,FALSE),$E141,2),請求Data!$AG$11:$AG$160)-AC57</f>
        <v>0</v>
      </c>
      <c r="AD141" s="345"/>
      <c r="AE141" s="126">
        <f>VLOOKUP($E141,'集計16-E'!$E$93:AF$175,'集計16-E'!$AE$7-$D$7,0)+VLOOKUP($E141,'集計F-15'!$E$93:AF$175,'集計F-15'!$AE$7-$D$7,0)</f>
        <v>0</v>
      </c>
      <c r="AF141" s="435">
        <f>VLOOKUP($E141,'集計16-E'!$E$93:AF$175,'集計16-E'!$AF$7-$D$7,0)+VLOOKUP($E141,'集計F-15'!$E$93:AF$175,'集計F-15'!$AF$7-$D$7,0)</f>
        <v>0</v>
      </c>
    </row>
    <row r="142" spans="1:32">
      <c r="A142" s="475" t="str">
        <f>IF(SUMIFS($G142:$AF142,$G$8:$AF$8,"金額",$G142:$AF142,"&gt;0")-SUMIFS($G142:$AF142,$G$8:$AF$8,"金額",$G142:$AF142,"&lt;0")&lt;=0,"",MAX($A$92:$A141)+1)</f>
        <v/>
      </c>
      <c r="B142" s="795"/>
      <c r="C142" s="245" t="str">
        <f t="shared" si="4"/>
        <v>経費</v>
      </c>
      <c r="D142" s="245">
        <v>50</v>
      </c>
      <c r="E142" s="593" t="str">
        <f>IF($F142&lt;&gt;"",INDEX(ﾏｽﾀ!$D$8:$D$124,MATCH(INDEX(ﾏｽﾀ!$N$8:$N$124,MATCH($F142,ﾏｽﾀ!$O$8:$O$124,0)),ﾏｽﾀ!$B$8:$B$124,0))&amp;"","")</f>
        <v>90001</v>
      </c>
      <c r="F142" s="594" t="str">
        <f>ﾏｽﾀ!$R57&amp;""</f>
        <v>株式会社ロジパルエクスプレス　3200/川崎営業所</v>
      </c>
      <c r="G142" s="634">
        <f>VLOOKUP($E142,'集計16-E'!$E$93:N$174,'集計16-E'!$G$7-$D$7,FALSE)+VLOOKUP($E142,'集計F-15'!$E$93:N$174,'集計F-15'!$G$7-$D$7,FALSE)-INDEX($J$93:$J$174,MATCH($E142,$E$93:$E$174,0))</f>
        <v>0</v>
      </c>
      <c r="H142" s="629">
        <f>VLOOKUP($E142,'集計16-E'!$E$93:N$174,'集計16-E'!$H$7-$D$7,FALSE)+VLOOKUP($E142,'集計F-15'!$E$93:N$174,'集計F-15'!$H$7-$D$7,FALSE)-INDEX($K$93:$K$174,MATCH($E142,$E$93:$E$174,0))</f>
        <v>0</v>
      </c>
      <c r="I142" s="345"/>
      <c r="J142" s="628">
        <f>SUMIF(請求Data!$G$11:$G$160,CONCATENATE(VLOOKUP(G$5,$G$1:$H$4,2,FALSE),$E142,2),請求Data!$AF$11:$AF$160)-INDEX($J$9:$J$90,MATCH($E142,$E$9:$E$90,0))</f>
        <v>0</v>
      </c>
      <c r="K142" s="629">
        <f>SUMIF(請求Data!$G$11:$G$160,CONCATENATE(VLOOKUP(G$5,$G$1:$H$4,2,FALSE),$E142,2),請求Data!$AG$11:$AG$160)-INDEX($K$9:$K$90,MATCH($E142,$E$9:$E$90,0))</f>
        <v>0</v>
      </c>
      <c r="L142" s="345"/>
      <c r="M142" s="126">
        <f>VLOOKUP($E142,'集計16-E'!$E$93:N$175,'集計16-E'!$M$7-$D$7,FALSE)+VLOOKUP($E142,'集計F-15'!$E$93:N$175,'集計F-15'!$M$7-$D$7,FALSE)</f>
        <v>0</v>
      </c>
      <c r="N142" s="434">
        <f>VLOOKUP($E142,'集計16-E'!$E$93:N$175,'集計16-E'!$N$7-$D$7,FALSE)+VLOOKUP($E142,'集計F-15'!$E$93:N$175,'集計F-15'!$N$7-$D$7,FALSE)</f>
        <v>0</v>
      </c>
      <c r="O142" s="345"/>
      <c r="P142" s="646">
        <f>VLOOKUP($E142,'集計16-E'!$E$93:W$175,'集計16-E'!$P$7-$D$7,0)+VLOOKUP($E142,'集計F-15'!$E$93:W$175,'集計F-15'!$P$7-$D$7,0)-$S142</f>
        <v>0</v>
      </c>
      <c r="Q142" s="647">
        <f>VLOOKUP($E142,'集計16-E'!$E$93:W$175,'集計16-E'!$Q$7-$D$7,0)+VLOOKUP($E142,'集計F-15'!$E$93:W$175,'集計F-15'!$Q$7-$D$7,0)-$T142</f>
        <v>0</v>
      </c>
      <c r="R142" s="345"/>
      <c r="S142" s="638">
        <f>SUMIF(請求Data!$G$11:$G$160,CONCATENATE(VLOOKUP(P$5,$G$1:$H$4,2,FALSE),$E142,2),請求Data!$AF$11:$AF$160)-S58</f>
        <v>0</v>
      </c>
      <c r="T142" s="647">
        <f>SUMIF(請求Data!$G$11:$G$160,CONCATENATE(VLOOKUP(P$5,$G$1:$H$4,2,FALSE),$E142,2),請求Data!$AG$11:$AG$160)-T58</f>
        <v>0</v>
      </c>
      <c r="U142" s="345"/>
      <c r="V142" s="126">
        <f>VLOOKUP($E142,'集計16-E'!$E$93:W$175,'集計16-E'!$V$7-$D$7,0)+VLOOKUP($E142,'集計F-15'!$E$93:W$175,'集計F-15'!$V$7-$D$7,0)</f>
        <v>0</v>
      </c>
      <c r="W142" s="435">
        <f>VLOOKUP($E142,'集計16-E'!$E$93:W$175,'集計16-E'!$W$7-$D$7,0)+VLOOKUP($E142,'集計F-15'!$E$93:W$175,'集計F-15'!$W$7-$D$7,0)</f>
        <v>0</v>
      </c>
      <c r="X142" s="345"/>
      <c r="Y142" s="646">
        <f>VLOOKUP($E142,'集計16-E'!$E$93:AF$175,'集計16-E'!$Y$7-$D$7,0)+VLOOKUP($E142,'集計F-15'!$E$93:AF$175,'集計F-15'!$Y$7-$D$7,0)-$AB142</f>
        <v>0</v>
      </c>
      <c r="Z142" s="647">
        <f>VLOOKUP($E142,'集計16-E'!$E$93:AF$175,'集計16-E'!$Z$7-$D$7,0)+VLOOKUP($E142,'集計F-15'!$E$93:AF$175,'集計F-15'!$Z$7-$D$7,0)-$AC142</f>
        <v>0</v>
      </c>
      <c r="AA142" s="345"/>
      <c r="AB142" s="638">
        <f>SUMIF(請求Data!$G$11:$G$160,CONCATENATE(VLOOKUP(Y$5,$G$1:$H$4,2,FALSE),$E142,2),請求Data!$AF$11:$AF$160)-AB58</f>
        <v>0</v>
      </c>
      <c r="AC142" s="647">
        <f>SUMIF(請求Data!$G$11:$G$160,CONCATENATE(VLOOKUP(Y$5,$G$1:$H$4,2,FALSE),$E142,2),請求Data!$AG$11:$AG$160)-AC58</f>
        <v>0</v>
      </c>
      <c r="AD142" s="345"/>
      <c r="AE142" s="126">
        <f>VLOOKUP($E142,'集計16-E'!$E$93:AF$175,'集計16-E'!$AE$7-$D$7,0)+VLOOKUP($E142,'集計F-15'!$E$93:AF$175,'集計F-15'!$AE$7-$D$7,0)</f>
        <v>0</v>
      </c>
      <c r="AF142" s="435">
        <f>VLOOKUP($E142,'集計16-E'!$E$93:AF$175,'集計16-E'!$AF$7-$D$7,0)+VLOOKUP($E142,'集計F-15'!$E$93:AF$175,'集計F-15'!$AF$7-$D$7,0)</f>
        <v>0</v>
      </c>
    </row>
    <row r="143" spans="1:32">
      <c r="A143" s="475" t="str">
        <f>IF(SUMIFS($G143:$AF143,$G$8:$AF$8,"金額",$G143:$AF143,"&gt;0")-SUMIFS($G143:$AF143,$G$8:$AF$8,"金額",$G143:$AF143,"&lt;0")&lt;=0,"",MAX($A$92:$A142)+1)</f>
        <v/>
      </c>
      <c r="B143" s="795"/>
      <c r="C143" s="245" t="str">
        <f t="shared" si="4"/>
        <v>経費</v>
      </c>
      <c r="D143" s="245">
        <v>51</v>
      </c>
      <c r="E143" s="593" t="str">
        <f>IF($F143&lt;&gt;"",INDEX(ﾏｽﾀ!$D$8:$D$124,MATCH(INDEX(ﾏｽﾀ!$N$8:$N$124,MATCH($F143,ﾏｽﾀ!$O$8:$O$124,0)),ﾏｽﾀ!$B$8:$B$124,0))&amp;"","")</f>
        <v>91000</v>
      </c>
      <c r="F143" s="594" t="str">
        <f>ﾏｽﾀ!$R58&amp;""</f>
        <v>株式会社バンジハンエース</v>
      </c>
      <c r="G143" s="634">
        <f>VLOOKUP($E143,'集計16-E'!$E$93:N$174,'集計16-E'!$G$7-$D$7,FALSE)+VLOOKUP($E143,'集計F-15'!$E$93:N$174,'集計F-15'!$G$7-$D$7,FALSE)-INDEX($J$93:$J$174,MATCH($E143,$E$93:$E$174,0))</f>
        <v>0</v>
      </c>
      <c r="H143" s="629">
        <f>VLOOKUP($E143,'集計16-E'!$E$93:N$174,'集計16-E'!$H$7-$D$7,FALSE)+VLOOKUP($E143,'集計F-15'!$E$93:N$174,'集計F-15'!$H$7-$D$7,FALSE)-INDEX($K$93:$K$174,MATCH($E143,$E$93:$E$174,0))</f>
        <v>0</v>
      </c>
      <c r="I143" s="345"/>
      <c r="J143" s="628">
        <f>SUMIF(請求Data!$G$11:$G$160,CONCATENATE(VLOOKUP(G$5,$G$1:$H$4,2,FALSE),$E143,2),請求Data!$AF$11:$AF$160)-INDEX($J$9:$J$90,MATCH($E143,$E$9:$E$90,0))</f>
        <v>0</v>
      </c>
      <c r="K143" s="629">
        <f>SUMIF(請求Data!$G$11:$G$160,CONCATENATE(VLOOKUP(G$5,$G$1:$H$4,2,FALSE),$E143,2),請求Data!$AG$11:$AG$160)-INDEX($K$9:$K$90,MATCH($E143,$E$9:$E$90,0))</f>
        <v>0</v>
      </c>
      <c r="L143" s="345"/>
      <c r="M143" s="126">
        <f>VLOOKUP($E143,'集計16-E'!$E$93:N$175,'集計16-E'!$M$7-$D$7,FALSE)+VLOOKUP($E143,'集計F-15'!$E$93:N$175,'集計F-15'!$M$7-$D$7,FALSE)</f>
        <v>0</v>
      </c>
      <c r="N143" s="434">
        <f>VLOOKUP($E143,'集計16-E'!$E$93:N$175,'集計16-E'!$N$7-$D$7,FALSE)+VLOOKUP($E143,'集計F-15'!$E$93:N$175,'集計F-15'!$N$7-$D$7,FALSE)</f>
        <v>0</v>
      </c>
      <c r="O143" s="345"/>
      <c r="P143" s="646">
        <f>VLOOKUP($E143,'集計16-E'!$E$93:W$175,'集計16-E'!$P$7-$D$7,0)+VLOOKUP($E143,'集計F-15'!$E$93:W$175,'集計F-15'!$P$7-$D$7,0)-$S143</f>
        <v>0</v>
      </c>
      <c r="Q143" s="647">
        <f>VLOOKUP($E143,'集計16-E'!$E$93:W$175,'集計16-E'!$Q$7-$D$7,0)+VLOOKUP($E143,'集計F-15'!$E$93:W$175,'集計F-15'!$Q$7-$D$7,0)-$T143</f>
        <v>0</v>
      </c>
      <c r="R143" s="345"/>
      <c r="S143" s="638">
        <f>SUMIF(請求Data!$G$11:$G$160,CONCATENATE(VLOOKUP(P$5,$G$1:$H$4,2,FALSE),$E143,2),請求Data!$AF$11:$AF$160)-S59</f>
        <v>0</v>
      </c>
      <c r="T143" s="647">
        <f>SUMIF(請求Data!$G$11:$G$160,CONCATENATE(VLOOKUP(P$5,$G$1:$H$4,2,FALSE),$E143,2),請求Data!$AG$11:$AG$160)-T59</f>
        <v>0</v>
      </c>
      <c r="U143" s="345"/>
      <c r="V143" s="126">
        <f>VLOOKUP($E143,'集計16-E'!$E$93:W$175,'集計16-E'!$V$7-$D$7,0)+VLOOKUP($E143,'集計F-15'!$E$93:W$175,'集計F-15'!$V$7-$D$7,0)</f>
        <v>0</v>
      </c>
      <c r="W143" s="435">
        <f>VLOOKUP($E143,'集計16-E'!$E$93:W$175,'集計16-E'!$W$7-$D$7,0)+VLOOKUP($E143,'集計F-15'!$E$93:W$175,'集計F-15'!$W$7-$D$7,0)</f>
        <v>0</v>
      </c>
      <c r="X143" s="345"/>
      <c r="Y143" s="646">
        <f>VLOOKUP($E143,'集計16-E'!$E$93:AF$175,'集計16-E'!$Y$7-$D$7,0)+VLOOKUP($E143,'集計F-15'!$E$93:AF$175,'集計F-15'!$Y$7-$D$7,0)-$AB143</f>
        <v>0</v>
      </c>
      <c r="Z143" s="647">
        <f>VLOOKUP($E143,'集計16-E'!$E$93:AF$175,'集計16-E'!$Z$7-$D$7,0)+VLOOKUP($E143,'集計F-15'!$E$93:AF$175,'集計F-15'!$Z$7-$D$7,0)-$AC143</f>
        <v>0</v>
      </c>
      <c r="AA143" s="345"/>
      <c r="AB143" s="638">
        <f>SUMIF(請求Data!$G$11:$G$160,CONCATENATE(VLOOKUP(Y$5,$G$1:$H$4,2,FALSE),$E143,2),請求Data!$AF$11:$AF$160)-AB59</f>
        <v>0</v>
      </c>
      <c r="AC143" s="647">
        <f>SUMIF(請求Data!$G$11:$G$160,CONCATENATE(VLOOKUP(Y$5,$G$1:$H$4,2,FALSE),$E143,2),請求Data!$AG$11:$AG$160)-AC59</f>
        <v>0</v>
      </c>
      <c r="AD143" s="345"/>
      <c r="AE143" s="126">
        <f>VLOOKUP($E143,'集計16-E'!$E$93:AF$175,'集計16-E'!$AE$7-$D$7,0)+VLOOKUP($E143,'集計F-15'!$E$93:AF$175,'集計F-15'!$AE$7-$D$7,0)</f>
        <v>0</v>
      </c>
      <c r="AF143" s="435">
        <f>VLOOKUP($E143,'集計16-E'!$E$93:AF$175,'集計16-E'!$AF$7-$D$7,0)+VLOOKUP($E143,'集計F-15'!$E$93:AF$175,'集計F-15'!$AF$7-$D$7,0)</f>
        <v>0</v>
      </c>
    </row>
    <row r="144" spans="1:32">
      <c r="A144" s="475" t="str">
        <f>IF(SUMIFS($G144:$AF144,$G$8:$AF$8,"金額",$G144:$AF144,"&gt;0")-SUMIFS($G144:$AF144,$G$8:$AF$8,"金額",$G144:$AF144,"&lt;0")&lt;=0,"",MAX($A$92:$A143)+1)</f>
        <v/>
      </c>
      <c r="B144" s="795"/>
      <c r="C144" s="245" t="str">
        <f t="shared" si="4"/>
        <v>経費</v>
      </c>
      <c r="D144" s="245">
        <v>52</v>
      </c>
      <c r="E144" s="593" t="str">
        <f>IF($F144&lt;&gt;"",INDEX(ﾏｽﾀ!$D$8:$D$124,MATCH(INDEX(ﾏｽﾀ!$N$8:$N$124,MATCH($F144,ﾏｽﾀ!$O$8:$O$124,0)),ﾏｽﾀ!$B$8:$B$124,0))&amp;"","")</f>
        <v/>
      </c>
      <c r="F144" s="594" t="str">
        <f>ﾏｽﾀ!$R59&amp;""</f>
        <v/>
      </c>
      <c r="G144" s="634">
        <f>VLOOKUP($E144,'集計16-E'!$E$93:N$174,'集計16-E'!$G$7-$D$7,FALSE)+VLOOKUP($E144,'集計F-15'!$E$93:N$174,'集計F-15'!$G$7-$D$7,FALSE)-INDEX($J$93:$J$174,MATCH($E144,$E$93:$E$174,0))</f>
        <v>0</v>
      </c>
      <c r="H144" s="629">
        <f>VLOOKUP($E144,'集計16-E'!$E$93:N$174,'集計16-E'!$H$7-$D$7,FALSE)+VLOOKUP($E144,'集計F-15'!$E$93:N$174,'集計F-15'!$H$7-$D$7,FALSE)-INDEX($K$93:$K$174,MATCH($E144,$E$93:$E$174,0))</f>
        <v>0</v>
      </c>
      <c r="I144" s="345"/>
      <c r="J144" s="628">
        <f>SUMIF(請求Data!$G$11:$G$160,CONCATENATE(VLOOKUP(G$5,$G$1:$H$4,2,FALSE),$E144,2),請求Data!$AF$11:$AF$160)-INDEX($J$9:$J$90,MATCH($E144,$E$9:$E$90,0))</f>
        <v>0</v>
      </c>
      <c r="K144" s="629">
        <f>SUMIF(請求Data!$G$11:$G$160,CONCATENATE(VLOOKUP(G$5,$G$1:$H$4,2,FALSE),$E144,2),請求Data!$AG$11:$AG$160)-INDEX($K$9:$K$90,MATCH($E144,$E$9:$E$90,0))</f>
        <v>0</v>
      </c>
      <c r="L144" s="345"/>
      <c r="M144" s="126">
        <f>VLOOKUP($E144,'集計16-E'!$E$93:N$175,'集計16-E'!$M$7-$D$7,FALSE)+VLOOKUP($E144,'集計F-15'!$E$93:N$175,'集計F-15'!$M$7-$D$7,FALSE)</f>
        <v>0</v>
      </c>
      <c r="N144" s="434">
        <f>VLOOKUP($E144,'集計16-E'!$E$93:N$175,'集計16-E'!$N$7-$D$7,FALSE)+VLOOKUP($E144,'集計F-15'!$E$93:N$175,'集計F-15'!$N$7-$D$7,FALSE)</f>
        <v>0</v>
      </c>
      <c r="O144" s="345"/>
      <c r="P144" s="646">
        <f>VLOOKUP($E144,'集計16-E'!$E$93:W$175,'集計16-E'!$P$7-$D$7,0)+VLOOKUP($E144,'集計F-15'!$E$93:W$175,'集計F-15'!$P$7-$D$7,0)-$S144</f>
        <v>0</v>
      </c>
      <c r="Q144" s="647">
        <f>VLOOKUP($E144,'集計16-E'!$E$93:W$175,'集計16-E'!$Q$7-$D$7,0)+VLOOKUP($E144,'集計F-15'!$E$93:W$175,'集計F-15'!$Q$7-$D$7,0)-$T144</f>
        <v>0</v>
      </c>
      <c r="R144" s="345"/>
      <c r="S144" s="638">
        <f>SUMIF(請求Data!$G$11:$G$160,CONCATENATE(VLOOKUP(P$5,$G$1:$H$4,2,FALSE),$E144,2),請求Data!$AF$11:$AF$160)-S60</f>
        <v>0</v>
      </c>
      <c r="T144" s="647">
        <f>SUMIF(請求Data!$G$11:$G$160,CONCATENATE(VLOOKUP(P$5,$G$1:$H$4,2,FALSE),$E144,2),請求Data!$AG$11:$AG$160)-T60</f>
        <v>0</v>
      </c>
      <c r="U144" s="345"/>
      <c r="V144" s="126">
        <f>VLOOKUP($E144,'集計16-E'!$E$93:W$175,'集計16-E'!$V$7-$D$7,0)+VLOOKUP($E144,'集計F-15'!$E$93:W$175,'集計F-15'!$V$7-$D$7,0)</f>
        <v>0</v>
      </c>
      <c r="W144" s="435">
        <f>VLOOKUP($E144,'集計16-E'!$E$93:W$175,'集計16-E'!$W$7-$D$7,0)+VLOOKUP($E144,'集計F-15'!$E$93:W$175,'集計F-15'!$W$7-$D$7,0)</f>
        <v>0</v>
      </c>
      <c r="X144" s="345"/>
      <c r="Y144" s="646">
        <f>VLOOKUP($E144,'集計16-E'!$E$93:AF$175,'集計16-E'!$Y$7-$D$7,0)+VLOOKUP($E144,'集計F-15'!$E$93:AF$175,'集計F-15'!$Y$7-$D$7,0)-$AB144</f>
        <v>0</v>
      </c>
      <c r="Z144" s="647">
        <f>VLOOKUP($E144,'集計16-E'!$E$93:AF$175,'集計16-E'!$Z$7-$D$7,0)+VLOOKUP($E144,'集計F-15'!$E$93:AF$175,'集計F-15'!$Z$7-$D$7,0)-$AC144</f>
        <v>0</v>
      </c>
      <c r="AA144" s="345"/>
      <c r="AB144" s="638">
        <f>SUMIF(請求Data!$G$11:$G$160,CONCATENATE(VLOOKUP(Y$5,$G$1:$H$4,2,FALSE),$E144,2),請求Data!$AF$11:$AF$160)-AB60</f>
        <v>0</v>
      </c>
      <c r="AC144" s="647">
        <f>SUMIF(請求Data!$G$11:$G$160,CONCATENATE(VLOOKUP(Y$5,$G$1:$H$4,2,FALSE),$E144,2),請求Data!$AG$11:$AG$160)-AC60</f>
        <v>0</v>
      </c>
      <c r="AD144" s="345"/>
      <c r="AE144" s="126">
        <f>VLOOKUP($E144,'集計16-E'!$E$93:AF$175,'集計16-E'!$AE$7-$D$7,0)+VLOOKUP($E144,'集計F-15'!$E$93:AF$175,'集計F-15'!$AE$7-$D$7,0)</f>
        <v>0</v>
      </c>
      <c r="AF144" s="435">
        <f>VLOOKUP($E144,'集計16-E'!$E$93:AF$175,'集計16-E'!$AF$7-$D$7,0)+VLOOKUP($E144,'集計F-15'!$E$93:AF$175,'集計F-15'!$AF$7-$D$7,0)</f>
        <v>0</v>
      </c>
    </row>
    <row r="145" spans="1:32">
      <c r="A145" s="475" t="str">
        <f>IF(SUMIFS($G145:$AF145,$G$8:$AF$8,"金額",$G145:$AF145,"&gt;0")-SUMIFS($G145:$AF145,$G$8:$AF$8,"金額",$G145:$AF145,"&lt;0")&lt;=0,"",MAX($A$92:$A144)+1)</f>
        <v/>
      </c>
      <c r="B145" s="795"/>
      <c r="C145" s="245" t="str">
        <f t="shared" si="4"/>
        <v>経費</v>
      </c>
      <c r="D145" s="245">
        <v>53</v>
      </c>
      <c r="E145" s="593" t="str">
        <f>IF($F145&lt;&gt;"",INDEX(ﾏｽﾀ!$D$8:$D$124,MATCH(INDEX(ﾏｽﾀ!$N$8:$N$124,MATCH($F145,ﾏｽﾀ!$O$8:$O$124,0)),ﾏｽﾀ!$B$8:$B$124,0))&amp;"","")</f>
        <v/>
      </c>
      <c r="F145" s="594" t="str">
        <f>ﾏｽﾀ!$R60&amp;""</f>
        <v/>
      </c>
      <c r="G145" s="634">
        <f>VLOOKUP($E145,'集計16-E'!$E$93:N$174,'集計16-E'!$G$7-$D$7,FALSE)+VLOOKUP($E145,'集計F-15'!$E$93:N$174,'集計F-15'!$G$7-$D$7,FALSE)-INDEX($J$93:$J$174,MATCH($E145,$E$93:$E$174,0))</f>
        <v>0</v>
      </c>
      <c r="H145" s="629">
        <f>VLOOKUP($E145,'集計16-E'!$E$93:N$174,'集計16-E'!$H$7-$D$7,FALSE)+VLOOKUP($E145,'集計F-15'!$E$93:N$174,'集計F-15'!$H$7-$D$7,FALSE)-INDEX($K$93:$K$174,MATCH($E145,$E$93:$E$174,0))</f>
        <v>0</v>
      </c>
      <c r="I145" s="345"/>
      <c r="J145" s="628">
        <f>SUMIF(請求Data!$G$11:$G$160,CONCATENATE(VLOOKUP(G$5,$G$1:$H$4,2,FALSE),$E145,2),請求Data!$AF$11:$AF$160)-INDEX($J$9:$J$90,MATCH($E145,$E$9:$E$90,0))</f>
        <v>0</v>
      </c>
      <c r="K145" s="629">
        <f>SUMIF(請求Data!$G$11:$G$160,CONCATENATE(VLOOKUP(G$5,$G$1:$H$4,2,FALSE),$E145,2),請求Data!$AG$11:$AG$160)-INDEX($K$9:$K$90,MATCH($E145,$E$9:$E$90,0))</f>
        <v>0</v>
      </c>
      <c r="L145" s="345"/>
      <c r="M145" s="126">
        <f>VLOOKUP($E145,'集計16-E'!$E$93:N$175,'集計16-E'!$M$7-$D$7,FALSE)+VLOOKUP($E145,'集計F-15'!$E$93:N$175,'集計F-15'!$M$7-$D$7,FALSE)</f>
        <v>0</v>
      </c>
      <c r="N145" s="434">
        <f>VLOOKUP($E145,'集計16-E'!$E$93:N$175,'集計16-E'!$N$7-$D$7,FALSE)+VLOOKUP($E145,'集計F-15'!$E$93:N$175,'集計F-15'!$N$7-$D$7,FALSE)</f>
        <v>0</v>
      </c>
      <c r="O145" s="345"/>
      <c r="P145" s="646">
        <f>VLOOKUP($E145,'集計16-E'!$E$93:W$175,'集計16-E'!$P$7-$D$7,0)+VLOOKUP($E145,'集計F-15'!$E$93:W$175,'集計F-15'!$P$7-$D$7,0)-$S145</f>
        <v>0</v>
      </c>
      <c r="Q145" s="647">
        <f>VLOOKUP($E145,'集計16-E'!$E$93:W$175,'集計16-E'!$Q$7-$D$7,0)+VLOOKUP($E145,'集計F-15'!$E$93:W$175,'集計F-15'!$Q$7-$D$7,0)-$T145</f>
        <v>0</v>
      </c>
      <c r="R145" s="345"/>
      <c r="S145" s="638">
        <f>SUMIF(請求Data!$G$11:$G$160,CONCATENATE(VLOOKUP(P$5,$G$1:$H$4,2,FALSE),$E145,2),請求Data!$AF$11:$AF$160)-S61</f>
        <v>0</v>
      </c>
      <c r="T145" s="647">
        <f>SUMIF(請求Data!$G$11:$G$160,CONCATENATE(VLOOKUP(P$5,$G$1:$H$4,2,FALSE),$E145,2),請求Data!$AG$11:$AG$160)-T61</f>
        <v>0</v>
      </c>
      <c r="U145" s="345"/>
      <c r="V145" s="126">
        <f>VLOOKUP($E145,'集計16-E'!$E$93:W$175,'集計16-E'!$V$7-$D$7,0)+VLOOKUP($E145,'集計F-15'!$E$93:W$175,'集計F-15'!$V$7-$D$7,0)</f>
        <v>0</v>
      </c>
      <c r="W145" s="435">
        <f>VLOOKUP($E145,'集計16-E'!$E$93:W$175,'集計16-E'!$W$7-$D$7,0)+VLOOKUP($E145,'集計F-15'!$E$93:W$175,'集計F-15'!$W$7-$D$7,0)</f>
        <v>0</v>
      </c>
      <c r="X145" s="345"/>
      <c r="Y145" s="646">
        <f>VLOOKUP($E145,'集計16-E'!$E$93:AF$175,'集計16-E'!$Y$7-$D$7,0)+VLOOKUP($E145,'集計F-15'!$E$93:AF$175,'集計F-15'!$Y$7-$D$7,0)-$AB145</f>
        <v>0</v>
      </c>
      <c r="Z145" s="647">
        <f>VLOOKUP($E145,'集計16-E'!$E$93:AF$175,'集計16-E'!$Z$7-$D$7,0)+VLOOKUP($E145,'集計F-15'!$E$93:AF$175,'集計F-15'!$Z$7-$D$7,0)-$AC145</f>
        <v>0</v>
      </c>
      <c r="AA145" s="345"/>
      <c r="AB145" s="638">
        <f>SUMIF(請求Data!$G$11:$G$160,CONCATENATE(VLOOKUP(Y$5,$G$1:$H$4,2,FALSE),$E145,2),請求Data!$AF$11:$AF$160)-AB61</f>
        <v>0</v>
      </c>
      <c r="AC145" s="647">
        <f>SUMIF(請求Data!$G$11:$G$160,CONCATENATE(VLOOKUP(Y$5,$G$1:$H$4,2,FALSE),$E145,2),請求Data!$AG$11:$AG$160)-AC61</f>
        <v>0</v>
      </c>
      <c r="AD145" s="345"/>
      <c r="AE145" s="126">
        <f>VLOOKUP($E145,'集計16-E'!$E$93:AF$175,'集計16-E'!$AE$7-$D$7,0)+VLOOKUP($E145,'集計F-15'!$E$93:AF$175,'集計F-15'!$AE$7-$D$7,0)</f>
        <v>0</v>
      </c>
      <c r="AF145" s="435">
        <f>VLOOKUP($E145,'集計16-E'!$E$93:AF$175,'集計16-E'!$AF$7-$D$7,0)+VLOOKUP($E145,'集計F-15'!$E$93:AF$175,'集計F-15'!$AF$7-$D$7,0)</f>
        <v>0</v>
      </c>
    </row>
    <row r="146" spans="1:32">
      <c r="A146" s="475" t="str">
        <f>IF(SUMIFS($G146:$AF146,$G$8:$AF$8,"金額",$G146:$AF146,"&gt;0")-SUMIFS($G146:$AF146,$G$8:$AF$8,"金額",$G146:$AF146,"&lt;0")&lt;=0,"",MAX($A$92:$A145)+1)</f>
        <v/>
      </c>
      <c r="B146" s="795"/>
      <c r="C146" s="245" t="str">
        <f t="shared" si="4"/>
        <v>経費</v>
      </c>
      <c r="D146" s="245">
        <v>54</v>
      </c>
      <c r="E146" s="593" t="str">
        <f>IF($F146&lt;&gt;"",INDEX(ﾏｽﾀ!$D$8:$D$124,MATCH(INDEX(ﾏｽﾀ!$N$8:$N$124,MATCH($F146,ﾏｽﾀ!$O$8:$O$124,0)),ﾏｽﾀ!$B$8:$B$124,0))&amp;"","")</f>
        <v/>
      </c>
      <c r="F146" s="594" t="str">
        <f>ﾏｽﾀ!$R61&amp;""</f>
        <v/>
      </c>
      <c r="G146" s="634">
        <f>VLOOKUP($E146,'集計16-E'!$E$93:N$174,'集計16-E'!$G$7-$D$7,FALSE)+VLOOKUP($E146,'集計F-15'!$E$93:N$174,'集計F-15'!$G$7-$D$7,FALSE)-INDEX($J$93:$J$174,MATCH($E146,$E$93:$E$174,0))</f>
        <v>0</v>
      </c>
      <c r="H146" s="629">
        <f>VLOOKUP($E146,'集計16-E'!$E$93:N$174,'集計16-E'!$H$7-$D$7,FALSE)+VLOOKUP($E146,'集計F-15'!$E$93:N$174,'集計F-15'!$H$7-$D$7,FALSE)-INDEX($K$93:$K$174,MATCH($E146,$E$93:$E$174,0))</f>
        <v>0</v>
      </c>
      <c r="I146" s="345"/>
      <c r="J146" s="628">
        <f>SUMIF(請求Data!$G$11:$G$160,CONCATENATE(VLOOKUP(G$5,$G$1:$H$4,2,FALSE),$E146,2),請求Data!$AF$11:$AF$160)-INDEX($J$9:$J$90,MATCH($E146,$E$9:$E$90,0))</f>
        <v>0</v>
      </c>
      <c r="K146" s="629">
        <f>SUMIF(請求Data!$G$11:$G$160,CONCATENATE(VLOOKUP(G$5,$G$1:$H$4,2,FALSE),$E146,2),請求Data!$AG$11:$AG$160)-INDEX($K$9:$K$90,MATCH($E146,$E$9:$E$90,0))</f>
        <v>0</v>
      </c>
      <c r="L146" s="345"/>
      <c r="M146" s="126">
        <f>VLOOKUP($E146,'集計16-E'!$E$93:N$175,'集計16-E'!$M$7-$D$7,FALSE)+VLOOKUP($E146,'集計F-15'!$E$93:N$175,'集計F-15'!$M$7-$D$7,FALSE)</f>
        <v>0</v>
      </c>
      <c r="N146" s="434">
        <f>VLOOKUP($E146,'集計16-E'!$E$93:N$175,'集計16-E'!$N$7-$D$7,FALSE)+VLOOKUP($E146,'集計F-15'!$E$93:N$175,'集計F-15'!$N$7-$D$7,FALSE)</f>
        <v>0</v>
      </c>
      <c r="O146" s="345"/>
      <c r="P146" s="646">
        <f>VLOOKUP($E146,'集計16-E'!$E$93:W$175,'集計16-E'!$P$7-$D$7,0)+VLOOKUP($E146,'集計F-15'!$E$93:W$175,'集計F-15'!$P$7-$D$7,0)-$S146</f>
        <v>0</v>
      </c>
      <c r="Q146" s="647">
        <f>VLOOKUP($E146,'集計16-E'!$E$93:W$175,'集計16-E'!$Q$7-$D$7,0)+VLOOKUP($E146,'集計F-15'!$E$93:W$175,'集計F-15'!$Q$7-$D$7,0)-$T146</f>
        <v>0</v>
      </c>
      <c r="R146" s="345"/>
      <c r="S146" s="638">
        <f>SUMIF(請求Data!$G$11:$G$160,CONCATENATE(VLOOKUP(P$5,$G$1:$H$4,2,FALSE),$E146,2),請求Data!$AF$11:$AF$160)-S62</f>
        <v>0</v>
      </c>
      <c r="T146" s="647">
        <f>SUMIF(請求Data!$G$11:$G$160,CONCATENATE(VLOOKUP(P$5,$G$1:$H$4,2,FALSE),$E146,2),請求Data!$AG$11:$AG$160)-T62</f>
        <v>0</v>
      </c>
      <c r="U146" s="345"/>
      <c r="V146" s="126">
        <f>VLOOKUP($E146,'集計16-E'!$E$93:W$175,'集計16-E'!$V$7-$D$7,0)+VLOOKUP($E146,'集計F-15'!$E$93:W$175,'集計F-15'!$V$7-$D$7,0)</f>
        <v>0</v>
      </c>
      <c r="W146" s="435">
        <f>VLOOKUP($E146,'集計16-E'!$E$93:W$175,'集計16-E'!$W$7-$D$7,0)+VLOOKUP($E146,'集計F-15'!$E$93:W$175,'集計F-15'!$W$7-$D$7,0)</f>
        <v>0</v>
      </c>
      <c r="X146" s="345"/>
      <c r="Y146" s="646">
        <f>VLOOKUP($E146,'集計16-E'!$E$93:AF$175,'集計16-E'!$Y$7-$D$7,0)+VLOOKUP($E146,'集計F-15'!$E$93:AF$175,'集計F-15'!$Y$7-$D$7,0)-$AB146</f>
        <v>0</v>
      </c>
      <c r="Z146" s="647">
        <f>VLOOKUP($E146,'集計16-E'!$E$93:AF$175,'集計16-E'!$Z$7-$D$7,0)+VLOOKUP($E146,'集計F-15'!$E$93:AF$175,'集計F-15'!$Z$7-$D$7,0)-$AC146</f>
        <v>0</v>
      </c>
      <c r="AA146" s="345"/>
      <c r="AB146" s="638">
        <f>SUMIF(請求Data!$G$11:$G$160,CONCATENATE(VLOOKUP(Y$5,$G$1:$H$4,2,FALSE),$E146,2),請求Data!$AF$11:$AF$160)-AB62</f>
        <v>0</v>
      </c>
      <c r="AC146" s="647">
        <f>SUMIF(請求Data!$G$11:$G$160,CONCATENATE(VLOOKUP(Y$5,$G$1:$H$4,2,FALSE),$E146,2),請求Data!$AG$11:$AG$160)-AC62</f>
        <v>0</v>
      </c>
      <c r="AD146" s="345"/>
      <c r="AE146" s="126">
        <f>VLOOKUP($E146,'集計16-E'!$E$93:AF$175,'集計16-E'!$AE$7-$D$7,0)+VLOOKUP($E146,'集計F-15'!$E$93:AF$175,'集計F-15'!$AE$7-$D$7,0)</f>
        <v>0</v>
      </c>
      <c r="AF146" s="435">
        <f>VLOOKUP($E146,'集計16-E'!$E$93:AF$175,'集計16-E'!$AF$7-$D$7,0)+VLOOKUP($E146,'集計F-15'!$E$93:AF$175,'集計F-15'!$AF$7-$D$7,0)</f>
        <v>0</v>
      </c>
    </row>
    <row r="147" spans="1:32">
      <c r="A147" s="475" t="str">
        <f>IF(SUMIFS($G147:$AF147,$G$8:$AF$8,"金額",$G147:$AF147,"&gt;0")-SUMIFS($G147:$AF147,$G$8:$AF$8,"金額",$G147:$AF147,"&lt;0")&lt;=0,"",MAX($A$92:$A146)+1)</f>
        <v/>
      </c>
      <c r="B147" s="795"/>
      <c r="C147" s="245" t="str">
        <f t="shared" si="4"/>
        <v>経費</v>
      </c>
      <c r="D147" s="245">
        <v>55</v>
      </c>
      <c r="E147" s="593" t="str">
        <f>IF($F147&lt;&gt;"",INDEX(ﾏｽﾀ!$D$8:$D$124,MATCH(INDEX(ﾏｽﾀ!$N$8:$N$124,MATCH($F147,ﾏｽﾀ!$O$8:$O$124,0)),ﾏｽﾀ!$B$8:$B$124,0))&amp;"","")</f>
        <v/>
      </c>
      <c r="F147" s="594" t="str">
        <f>ﾏｽﾀ!$R62&amp;""</f>
        <v/>
      </c>
      <c r="G147" s="634">
        <f>VLOOKUP($E147,'集計16-E'!$E$93:N$174,'集計16-E'!$G$7-$D$7,FALSE)+VLOOKUP($E147,'集計F-15'!$E$93:N$174,'集計F-15'!$G$7-$D$7,FALSE)-INDEX($J$93:$J$174,MATCH($E147,$E$93:$E$174,0))</f>
        <v>0</v>
      </c>
      <c r="H147" s="629">
        <f>VLOOKUP($E147,'集計16-E'!$E$93:N$174,'集計16-E'!$H$7-$D$7,FALSE)+VLOOKUP($E147,'集計F-15'!$E$93:N$174,'集計F-15'!$H$7-$D$7,FALSE)-INDEX($K$93:$K$174,MATCH($E147,$E$93:$E$174,0))</f>
        <v>0</v>
      </c>
      <c r="I147" s="345"/>
      <c r="J147" s="628">
        <f>SUMIF(請求Data!$G$11:$G$160,CONCATENATE(VLOOKUP(G$5,$G$1:$H$4,2,FALSE),$E147,2),請求Data!$AF$11:$AF$160)-INDEX($J$9:$J$90,MATCH($E147,$E$9:$E$90,0))</f>
        <v>0</v>
      </c>
      <c r="K147" s="629">
        <f>SUMIF(請求Data!$G$11:$G$160,CONCATENATE(VLOOKUP(G$5,$G$1:$H$4,2,FALSE),$E147,2),請求Data!$AG$11:$AG$160)-INDEX($K$9:$K$90,MATCH($E147,$E$9:$E$90,0))</f>
        <v>0</v>
      </c>
      <c r="L147" s="345"/>
      <c r="M147" s="126">
        <f>VLOOKUP($E147,'集計16-E'!$E$93:N$175,'集計16-E'!$M$7-$D$7,FALSE)+VLOOKUP($E147,'集計F-15'!$E$93:N$175,'集計F-15'!$M$7-$D$7,FALSE)</f>
        <v>0</v>
      </c>
      <c r="N147" s="434">
        <f>VLOOKUP($E147,'集計16-E'!$E$93:N$175,'集計16-E'!$N$7-$D$7,FALSE)+VLOOKUP($E147,'集計F-15'!$E$93:N$175,'集計F-15'!$N$7-$D$7,FALSE)</f>
        <v>0</v>
      </c>
      <c r="O147" s="345"/>
      <c r="P147" s="646">
        <f>VLOOKUP($E147,'集計16-E'!$E$93:W$175,'集計16-E'!$P$7-$D$7,0)+VLOOKUP($E147,'集計F-15'!$E$93:W$175,'集計F-15'!$P$7-$D$7,0)-$S147</f>
        <v>0</v>
      </c>
      <c r="Q147" s="647">
        <f>VLOOKUP($E147,'集計16-E'!$E$93:W$175,'集計16-E'!$Q$7-$D$7,0)+VLOOKUP($E147,'集計F-15'!$E$93:W$175,'集計F-15'!$Q$7-$D$7,0)-$T147</f>
        <v>0</v>
      </c>
      <c r="R147" s="345"/>
      <c r="S147" s="638">
        <f>SUMIF(請求Data!$G$11:$G$160,CONCATENATE(VLOOKUP(P$5,$G$1:$H$4,2,FALSE),$E147,2),請求Data!$AF$11:$AF$160)-S63</f>
        <v>0</v>
      </c>
      <c r="T147" s="647">
        <f>SUMIF(請求Data!$G$11:$G$160,CONCATENATE(VLOOKUP(P$5,$G$1:$H$4,2,FALSE),$E147,2),請求Data!$AG$11:$AG$160)-T63</f>
        <v>0</v>
      </c>
      <c r="U147" s="345"/>
      <c r="V147" s="126">
        <f>VLOOKUP($E147,'集計16-E'!$E$93:W$175,'集計16-E'!$V$7-$D$7,0)+VLOOKUP($E147,'集計F-15'!$E$93:W$175,'集計F-15'!$V$7-$D$7,0)</f>
        <v>0</v>
      </c>
      <c r="W147" s="435">
        <f>VLOOKUP($E147,'集計16-E'!$E$93:W$175,'集計16-E'!$W$7-$D$7,0)+VLOOKUP($E147,'集計F-15'!$E$93:W$175,'集計F-15'!$W$7-$D$7,0)</f>
        <v>0</v>
      </c>
      <c r="X147" s="345"/>
      <c r="Y147" s="646">
        <f>VLOOKUP($E147,'集計16-E'!$E$93:AF$175,'集計16-E'!$Y$7-$D$7,0)+VLOOKUP($E147,'集計F-15'!$E$93:AF$175,'集計F-15'!$Y$7-$D$7,0)-$AB147</f>
        <v>0</v>
      </c>
      <c r="Z147" s="647">
        <f>VLOOKUP($E147,'集計16-E'!$E$93:AF$175,'集計16-E'!$Z$7-$D$7,0)+VLOOKUP($E147,'集計F-15'!$E$93:AF$175,'集計F-15'!$Z$7-$D$7,0)-$AC147</f>
        <v>0</v>
      </c>
      <c r="AA147" s="345"/>
      <c r="AB147" s="638">
        <f>SUMIF(請求Data!$G$11:$G$160,CONCATENATE(VLOOKUP(Y$5,$G$1:$H$4,2,FALSE),$E147,2),請求Data!$AF$11:$AF$160)-AB63</f>
        <v>0</v>
      </c>
      <c r="AC147" s="647">
        <f>SUMIF(請求Data!$G$11:$G$160,CONCATENATE(VLOOKUP(Y$5,$G$1:$H$4,2,FALSE),$E147,2),請求Data!$AG$11:$AG$160)-AC63</f>
        <v>0</v>
      </c>
      <c r="AD147" s="345"/>
      <c r="AE147" s="126">
        <f>VLOOKUP($E147,'集計16-E'!$E$93:AF$175,'集計16-E'!$AE$7-$D$7,0)+VLOOKUP($E147,'集計F-15'!$E$93:AF$175,'集計F-15'!$AE$7-$D$7,0)</f>
        <v>0</v>
      </c>
      <c r="AF147" s="435">
        <f>VLOOKUP($E147,'集計16-E'!$E$93:AF$175,'集計16-E'!$AF$7-$D$7,0)+VLOOKUP($E147,'集計F-15'!$E$93:AF$175,'集計F-15'!$AF$7-$D$7,0)</f>
        <v>0</v>
      </c>
    </row>
    <row r="148" spans="1:32">
      <c r="A148" s="475" t="str">
        <f>IF(SUMIFS($G148:$AF148,$G$8:$AF$8,"金額",$G148:$AF148,"&gt;0")-SUMIFS($G148:$AF148,$G$8:$AF$8,"金額",$G148:$AF148,"&lt;0")&lt;=0,"",MAX($A$92:$A147)+1)</f>
        <v/>
      </c>
      <c r="B148" s="795"/>
      <c r="C148" s="245" t="str">
        <f t="shared" si="4"/>
        <v>経費</v>
      </c>
      <c r="D148" s="245">
        <v>56</v>
      </c>
      <c r="E148" s="593" t="str">
        <f>IF($F148&lt;&gt;"",INDEX(ﾏｽﾀ!$D$8:$D$124,MATCH(INDEX(ﾏｽﾀ!$N$8:$N$124,MATCH($F148,ﾏｽﾀ!$O$8:$O$124,0)),ﾏｽﾀ!$B$8:$B$124,0))&amp;"","")</f>
        <v/>
      </c>
      <c r="F148" s="594" t="str">
        <f>ﾏｽﾀ!$R63&amp;""</f>
        <v/>
      </c>
      <c r="G148" s="634">
        <f>VLOOKUP($E148,'集計16-E'!$E$93:N$174,'集計16-E'!$G$7-$D$7,FALSE)+VLOOKUP($E148,'集計F-15'!$E$93:N$174,'集計F-15'!$G$7-$D$7,FALSE)-INDEX($J$93:$J$174,MATCH($E148,$E$93:$E$174,0))</f>
        <v>0</v>
      </c>
      <c r="H148" s="629">
        <f>VLOOKUP($E148,'集計16-E'!$E$93:N$174,'集計16-E'!$H$7-$D$7,FALSE)+VLOOKUP($E148,'集計F-15'!$E$93:N$174,'集計F-15'!$H$7-$D$7,FALSE)-INDEX($K$93:$K$174,MATCH($E148,$E$93:$E$174,0))</f>
        <v>0</v>
      </c>
      <c r="I148" s="345"/>
      <c r="J148" s="628">
        <f>SUMIF(請求Data!$G$11:$G$160,CONCATENATE(VLOOKUP(G$5,$G$1:$H$4,2,FALSE),$E148,2),請求Data!$AF$11:$AF$160)-INDEX($J$9:$J$90,MATCH($E148,$E$9:$E$90,0))</f>
        <v>0</v>
      </c>
      <c r="K148" s="629">
        <f>SUMIF(請求Data!$G$11:$G$160,CONCATENATE(VLOOKUP(G$5,$G$1:$H$4,2,FALSE),$E148,2),請求Data!$AG$11:$AG$160)-INDEX($K$9:$K$90,MATCH($E148,$E$9:$E$90,0))</f>
        <v>0</v>
      </c>
      <c r="L148" s="345"/>
      <c r="M148" s="126">
        <f>VLOOKUP($E148,'集計16-E'!$E$93:N$175,'集計16-E'!$M$7-$D$7,FALSE)+VLOOKUP($E148,'集計F-15'!$E$93:N$175,'集計F-15'!$M$7-$D$7,FALSE)</f>
        <v>0</v>
      </c>
      <c r="N148" s="434">
        <f>VLOOKUP($E148,'集計16-E'!$E$93:N$175,'集計16-E'!$N$7-$D$7,FALSE)+VLOOKUP($E148,'集計F-15'!$E$93:N$175,'集計F-15'!$N$7-$D$7,FALSE)</f>
        <v>0</v>
      </c>
      <c r="O148" s="345"/>
      <c r="P148" s="646">
        <f>VLOOKUP($E148,'集計16-E'!$E$93:W$175,'集計16-E'!$P$7-$D$7,0)+VLOOKUP($E148,'集計F-15'!$E$93:W$175,'集計F-15'!$P$7-$D$7,0)-$S148</f>
        <v>0</v>
      </c>
      <c r="Q148" s="647">
        <f>VLOOKUP($E148,'集計16-E'!$E$93:W$175,'集計16-E'!$Q$7-$D$7,0)+VLOOKUP($E148,'集計F-15'!$E$93:W$175,'集計F-15'!$Q$7-$D$7,0)-$T148</f>
        <v>0</v>
      </c>
      <c r="R148" s="345"/>
      <c r="S148" s="638">
        <f>SUMIF(請求Data!$G$11:$G$160,CONCATENATE(VLOOKUP(P$5,$G$1:$H$4,2,FALSE),$E148,2),請求Data!$AF$11:$AF$160)-S64</f>
        <v>0</v>
      </c>
      <c r="T148" s="647">
        <f>SUMIF(請求Data!$G$11:$G$160,CONCATENATE(VLOOKUP(P$5,$G$1:$H$4,2,FALSE),$E148,2),請求Data!$AG$11:$AG$160)-T64</f>
        <v>0</v>
      </c>
      <c r="U148" s="345"/>
      <c r="V148" s="126">
        <f>VLOOKUP($E148,'集計16-E'!$E$93:W$175,'集計16-E'!$V$7-$D$7,0)+VLOOKUP($E148,'集計F-15'!$E$93:W$175,'集計F-15'!$V$7-$D$7,0)</f>
        <v>0</v>
      </c>
      <c r="W148" s="435">
        <f>VLOOKUP($E148,'集計16-E'!$E$93:W$175,'集計16-E'!$W$7-$D$7,0)+VLOOKUP($E148,'集計F-15'!$E$93:W$175,'集計F-15'!$W$7-$D$7,0)</f>
        <v>0</v>
      </c>
      <c r="X148" s="345"/>
      <c r="Y148" s="646">
        <f>VLOOKUP($E148,'集計16-E'!$E$93:AF$175,'集計16-E'!$Y$7-$D$7,0)+VLOOKUP($E148,'集計F-15'!$E$93:AF$175,'集計F-15'!$Y$7-$D$7,0)-$AB148</f>
        <v>0</v>
      </c>
      <c r="Z148" s="647">
        <f>VLOOKUP($E148,'集計16-E'!$E$93:AF$175,'集計16-E'!$Z$7-$D$7,0)+VLOOKUP($E148,'集計F-15'!$E$93:AF$175,'集計F-15'!$Z$7-$D$7,0)-$AC148</f>
        <v>0</v>
      </c>
      <c r="AA148" s="345"/>
      <c r="AB148" s="638">
        <f>SUMIF(請求Data!$G$11:$G$160,CONCATENATE(VLOOKUP(Y$5,$G$1:$H$4,2,FALSE),$E148,2),請求Data!$AF$11:$AF$160)-AB64</f>
        <v>0</v>
      </c>
      <c r="AC148" s="647">
        <f>SUMIF(請求Data!$G$11:$G$160,CONCATENATE(VLOOKUP(Y$5,$G$1:$H$4,2,FALSE),$E148,2),請求Data!$AG$11:$AG$160)-AC64</f>
        <v>0</v>
      </c>
      <c r="AD148" s="345"/>
      <c r="AE148" s="126">
        <f>VLOOKUP($E148,'集計16-E'!$E$93:AF$175,'集計16-E'!$AE$7-$D$7,0)+VLOOKUP($E148,'集計F-15'!$E$93:AF$175,'集計F-15'!$AE$7-$D$7,0)</f>
        <v>0</v>
      </c>
      <c r="AF148" s="435">
        <f>VLOOKUP($E148,'集計16-E'!$E$93:AF$175,'集計16-E'!$AF$7-$D$7,0)+VLOOKUP($E148,'集計F-15'!$E$93:AF$175,'集計F-15'!$AF$7-$D$7,0)</f>
        <v>0</v>
      </c>
    </row>
    <row r="149" spans="1:32">
      <c r="A149" s="475" t="str">
        <f>IF(SUMIFS($G149:$AF149,$G$8:$AF$8,"金額",$G149:$AF149,"&gt;0")-SUMIFS($G149:$AF149,$G$8:$AF$8,"金額",$G149:$AF149,"&lt;0")&lt;=0,"",MAX($A$92:$A148)+1)</f>
        <v/>
      </c>
      <c r="B149" s="795"/>
      <c r="C149" s="245" t="str">
        <f t="shared" si="4"/>
        <v>経費</v>
      </c>
      <c r="D149" s="245">
        <v>57</v>
      </c>
      <c r="E149" s="593" t="str">
        <f>IF($F149&lt;&gt;"",INDEX(ﾏｽﾀ!$D$8:$D$124,MATCH(INDEX(ﾏｽﾀ!$N$8:$N$124,MATCH($F149,ﾏｽﾀ!$O$8:$O$124,0)),ﾏｽﾀ!$B$8:$B$124,0))&amp;"","")</f>
        <v/>
      </c>
      <c r="F149" s="594" t="str">
        <f>ﾏｽﾀ!$R64&amp;""</f>
        <v/>
      </c>
      <c r="G149" s="634">
        <f>VLOOKUP($E149,'集計16-E'!$E$93:N$174,'集計16-E'!$G$7-$D$7,FALSE)+VLOOKUP($E149,'集計F-15'!$E$93:N$174,'集計F-15'!$G$7-$D$7,FALSE)-INDEX($J$93:$J$174,MATCH($E149,$E$93:$E$174,0))</f>
        <v>0</v>
      </c>
      <c r="H149" s="629">
        <f>VLOOKUP($E149,'集計16-E'!$E$93:N$174,'集計16-E'!$H$7-$D$7,FALSE)+VLOOKUP($E149,'集計F-15'!$E$93:N$174,'集計F-15'!$H$7-$D$7,FALSE)-INDEX($K$93:$K$174,MATCH($E149,$E$93:$E$174,0))</f>
        <v>0</v>
      </c>
      <c r="I149" s="345"/>
      <c r="J149" s="628">
        <f>SUMIF(請求Data!$G$11:$G$160,CONCATENATE(VLOOKUP(G$5,$G$1:$H$4,2,FALSE),$E149,2),請求Data!$AF$11:$AF$160)-INDEX($J$9:$J$90,MATCH($E149,$E$9:$E$90,0))</f>
        <v>0</v>
      </c>
      <c r="K149" s="629">
        <f>SUMIF(請求Data!$G$11:$G$160,CONCATENATE(VLOOKUP(G$5,$G$1:$H$4,2,FALSE),$E149,2),請求Data!$AG$11:$AG$160)-INDEX($K$9:$K$90,MATCH($E149,$E$9:$E$90,0))</f>
        <v>0</v>
      </c>
      <c r="L149" s="345"/>
      <c r="M149" s="126">
        <f>VLOOKUP($E149,'集計16-E'!$E$93:N$175,'集計16-E'!$M$7-$D$7,FALSE)+VLOOKUP($E149,'集計F-15'!$E$93:N$175,'集計F-15'!$M$7-$D$7,FALSE)</f>
        <v>0</v>
      </c>
      <c r="N149" s="434">
        <f>VLOOKUP($E149,'集計16-E'!$E$93:N$175,'集計16-E'!$N$7-$D$7,FALSE)+VLOOKUP($E149,'集計F-15'!$E$93:N$175,'集計F-15'!$N$7-$D$7,FALSE)</f>
        <v>0</v>
      </c>
      <c r="O149" s="345"/>
      <c r="P149" s="646">
        <f>VLOOKUP($E149,'集計16-E'!$E$93:W$175,'集計16-E'!$P$7-$D$7,0)+VLOOKUP($E149,'集計F-15'!$E$93:W$175,'集計F-15'!$P$7-$D$7,0)-$S149</f>
        <v>0</v>
      </c>
      <c r="Q149" s="647">
        <f>VLOOKUP($E149,'集計16-E'!$E$93:W$175,'集計16-E'!$Q$7-$D$7,0)+VLOOKUP($E149,'集計F-15'!$E$93:W$175,'集計F-15'!$Q$7-$D$7,0)-$T149</f>
        <v>0</v>
      </c>
      <c r="R149" s="345"/>
      <c r="S149" s="638">
        <f>SUMIF(請求Data!$G$11:$G$160,CONCATENATE(VLOOKUP(P$5,$G$1:$H$4,2,FALSE),$E149,2),請求Data!$AF$11:$AF$160)-S65</f>
        <v>0</v>
      </c>
      <c r="T149" s="647">
        <f>SUMIF(請求Data!$G$11:$G$160,CONCATENATE(VLOOKUP(P$5,$G$1:$H$4,2,FALSE),$E149,2),請求Data!$AG$11:$AG$160)-T65</f>
        <v>0</v>
      </c>
      <c r="U149" s="345"/>
      <c r="V149" s="126">
        <f>VLOOKUP($E149,'集計16-E'!$E$93:W$175,'集計16-E'!$V$7-$D$7,0)+VLOOKUP($E149,'集計F-15'!$E$93:W$175,'集計F-15'!$V$7-$D$7,0)</f>
        <v>0</v>
      </c>
      <c r="W149" s="435">
        <f>VLOOKUP($E149,'集計16-E'!$E$93:W$175,'集計16-E'!$W$7-$D$7,0)+VLOOKUP($E149,'集計F-15'!$E$93:W$175,'集計F-15'!$W$7-$D$7,0)</f>
        <v>0</v>
      </c>
      <c r="X149" s="345"/>
      <c r="Y149" s="646">
        <f>VLOOKUP($E149,'集計16-E'!$E$93:AF$175,'集計16-E'!$Y$7-$D$7,0)+VLOOKUP($E149,'集計F-15'!$E$93:AF$175,'集計F-15'!$Y$7-$D$7,0)-$AB149</f>
        <v>0</v>
      </c>
      <c r="Z149" s="647">
        <f>VLOOKUP($E149,'集計16-E'!$E$93:AF$175,'集計16-E'!$Z$7-$D$7,0)+VLOOKUP($E149,'集計F-15'!$E$93:AF$175,'集計F-15'!$Z$7-$D$7,0)-$AC149</f>
        <v>0</v>
      </c>
      <c r="AA149" s="345"/>
      <c r="AB149" s="638">
        <f>SUMIF(請求Data!$G$11:$G$160,CONCATENATE(VLOOKUP(Y$5,$G$1:$H$4,2,FALSE),$E149,2),請求Data!$AF$11:$AF$160)-AB65</f>
        <v>0</v>
      </c>
      <c r="AC149" s="647">
        <f>SUMIF(請求Data!$G$11:$G$160,CONCATENATE(VLOOKUP(Y$5,$G$1:$H$4,2,FALSE),$E149,2),請求Data!$AG$11:$AG$160)-AC65</f>
        <v>0</v>
      </c>
      <c r="AD149" s="345"/>
      <c r="AE149" s="126">
        <f>VLOOKUP($E149,'集計16-E'!$E$93:AF$175,'集計16-E'!$AE$7-$D$7,0)+VLOOKUP($E149,'集計F-15'!$E$93:AF$175,'集計F-15'!$AE$7-$D$7,0)</f>
        <v>0</v>
      </c>
      <c r="AF149" s="435">
        <f>VLOOKUP($E149,'集計16-E'!$E$93:AF$175,'集計16-E'!$AF$7-$D$7,0)+VLOOKUP($E149,'集計F-15'!$E$93:AF$175,'集計F-15'!$AF$7-$D$7,0)</f>
        <v>0</v>
      </c>
    </row>
    <row r="150" spans="1:32">
      <c r="A150" s="475" t="str">
        <f>IF(SUMIFS($G150:$AF150,$G$8:$AF$8,"金額",$G150:$AF150,"&gt;0")-SUMIFS($G150:$AF150,$G$8:$AF$8,"金額",$G150:$AF150,"&lt;0")&lt;=0,"",MAX($A$92:$A149)+1)</f>
        <v/>
      </c>
      <c r="B150" s="795"/>
      <c r="C150" s="245" t="str">
        <f t="shared" si="4"/>
        <v>経費</v>
      </c>
      <c r="D150" s="245">
        <v>58</v>
      </c>
      <c r="E150" s="593" t="str">
        <f>IF($F150&lt;&gt;"",INDEX(ﾏｽﾀ!$D$8:$D$124,MATCH(INDEX(ﾏｽﾀ!$N$8:$N$124,MATCH($F150,ﾏｽﾀ!$O$8:$O$124,0)),ﾏｽﾀ!$B$8:$B$124,0))&amp;"","")</f>
        <v/>
      </c>
      <c r="F150" s="594" t="str">
        <f>ﾏｽﾀ!$R65&amp;""</f>
        <v/>
      </c>
      <c r="G150" s="634">
        <f>VLOOKUP($E150,'集計16-E'!$E$93:N$174,'集計16-E'!$G$7-$D$7,FALSE)+VLOOKUP($E150,'集計F-15'!$E$93:N$174,'集計F-15'!$G$7-$D$7,FALSE)-INDEX($J$93:$J$174,MATCH($E150,$E$93:$E$174,0))</f>
        <v>0</v>
      </c>
      <c r="H150" s="629">
        <f>VLOOKUP($E150,'集計16-E'!$E$93:N$174,'集計16-E'!$H$7-$D$7,FALSE)+VLOOKUP($E150,'集計F-15'!$E$93:N$174,'集計F-15'!$H$7-$D$7,FALSE)-INDEX($K$93:$K$174,MATCH($E150,$E$93:$E$174,0))</f>
        <v>0</v>
      </c>
      <c r="I150" s="345"/>
      <c r="J150" s="628">
        <f>SUMIF(請求Data!$G$11:$G$160,CONCATENATE(VLOOKUP(G$5,$G$1:$H$4,2,FALSE),$E150,2),請求Data!$AF$11:$AF$160)-INDEX($J$9:$J$90,MATCH($E150,$E$9:$E$90,0))</f>
        <v>0</v>
      </c>
      <c r="K150" s="629">
        <f>SUMIF(請求Data!$G$11:$G$160,CONCATENATE(VLOOKUP(G$5,$G$1:$H$4,2,FALSE),$E150,2),請求Data!$AG$11:$AG$160)-INDEX($K$9:$K$90,MATCH($E150,$E$9:$E$90,0))</f>
        <v>0</v>
      </c>
      <c r="L150" s="345"/>
      <c r="M150" s="126">
        <f>VLOOKUP($E150,'集計16-E'!$E$93:N$175,'集計16-E'!$M$7-$D$7,FALSE)+VLOOKUP($E150,'集計F-15'!$E$93:N$175,'集計F-15'!$M$7-$D$7,FALSE)</f>
        <v>0</v>
      </c>
      <c r="N150" s="434">
        <f>VLOOKUP($E150,'集計16-E'!$E$93:N$175,'集計16-E'!$N$7-$D$7,FALSE)+VLOOKUP($E150,'集計F-15'!$E$93:N$175,'集計F-15'!$N$7-$D$7,FALSE)</f>
        <v>0</v>
      </c>
      <c r="O150" s="345"/>
      <c r="P150" s="646">
        <f>VLOOKUP($E150,'集計16-E'!$E$93:W$175,'集計16-E'!$P$7-$D$7,0)+VLOOKUP($E150,'集計F-15'!$E$93:W$175,'集計F-15'!$P$7-$D$7,0)-$S150</f>
        <v>0</v>
      </c>
      <c r="Q150" s="647">
        <f>VLOOKUP($E150,'集計16-E'!$E$93:W$175,'集計16-E'!$Q$7-$D$7,0)+VLOOKUP($E150,'集計F-15'!$E$93:W$175,'集計F-15'!$Q$7-$D$7,0)-$T150</f>
        <v>0</v>
      </c>
      <c r="R150" s="345"/>
      <c r="S150" s="638">
        <f>SUMIF(請求Data!$G$11:$G$160,CONCATENATE(VLOOKUP(P$5,$G$1:$H$4,2,FALSE),$E150,2),請求Data!$AF$11:$AF$160)-S66</f>
        <v>0</v>
      </c>
      <c r="T150" s="647">
        <f>SUMIF(請求Data!$G$11:$G$160,CONCATENATE(VLOOKUP(P$5,$G$1:$H$4,2,FALSE),$E150,2),請求Data!$AG$11:$AG$160)-T66</f>
        <v>0</v>
      </c>
      <c r="U150" s="345"/>
      <c r="V150" s="126">
        <f>VLOOKUP($E150,'集計16-E'!$E$93:W$175,'集計16-E'!$V$7-$D$7,0)+VLOOKUP($E150,'集計F-15'!$E$93:W$175,'集計F-15'!$V$7-$D$7,0)</f>
        <v>0</v>
      </c>
      <c r="W150" s="435">
        <f>VLOOKUP($E150,'集計16-E'!$E$93:W$175,'集計16-E'!$W$7-$D$7,0)+VLOOKUP($E150,'集計F-15'!$E$93:W$175,'集計F-15'!$W$7-$D$7,0)</f>
        <v>0</v>
      </c>
      <c r="X150" s="345"/>
      <c r="Y150" s="646">
        <f>VLOOKUP($E150,'集計16-E'!$E$93:AF$175,'集計16-E'!$Y$7-$D$7,0)+VLOOKUP($E150,'集計F-15'!$E$93:AF$175,'集計F-15'!$Y$7-$D$7,0)-$AB150</f>
        <v>0</v>
      </c>
      <c r="Z150" s="647">
        <f>VLOOKUP($E150,'集計16-E'!$E$93:AF$175,'集計16-E'!$Z$7-$D$7,0)+VLOOKUP($E150,'集計F-15'!$E$93:AF$175,'集計F-15'!$Z$7-$D$7,0)-$AC150</f>
        <v>0</v>
      </c>
      <c r="AA150" s="345"/>
      <c r="AB150" s="638">
        <f>SUMIF(請求Data!$G$11:$G$160,CONCATENATE(VLOOKUP(Y$5,$G$1:$H$4,2,FALSE),$E150,2),請求Data!$AF$11:$AF$160)-AB66</f>
        <v>0</v>
      </c>
      <c r="AC150" s="647">
        <f>SUMIF(請求Data!$G$11:$G$160,CONCATENATE(VLOOKUP(Y$5,$G$1:$H$4,2,FALSE),$E150,2),請求Data!$AG$11:$AG$160)-AC66</f>
        <v>0</v>
      </c>
      <c r="AD150" s="345"/>
      <c r="AE150" s="126">
        <f>VLOOKUP($E150,'集計16-E'!$E$93:AF$175,'集計16-E'!$AE$7-$D$7,0)+VLOOKUP($E150,'集計F-15'!$E$93:AF$175,'集計F-15'!$AE$7-$D$7,0)</f>
        <v>0</v>
      </c>
      <c r="AF150" s="435">
        <f>VLOOKUP($E150,'集計16-E'!$E$93:AF$175,'集計16-E'!$AF$7-$D$7,0)+VLOOKUP($E150,'集計F-15'!$E$93:AF$175,'集計F-15'!$AF$7-$D$7,0)</f>
        <v>0</v>
      </c>
    </row>
    <row r="151" spans="1:32">
      <c r="A151" s="475" t="str">
        <f>IF(SUMIFS($G151:$AF151,$G$8:$AF$8,"金額",$G151:$AF151,"&gt;0")-SUMIFS($G151:$AF151,$G$8:$AF$8,"金額",$G151:$AF151,"&lt;0")&lt;=0,"",MAX($A$92:$A150)+1)</f>
        <v/>
      </c>
      <c r="B151" s="795"/>
      <c r="C151" s="245" t="str">
        <f t="shared" si="4"/>
        <v>経費</v>
      </c>
      <c r="D151" s="245">
        <v>59</v>
      </c>
      <c r="E151" s="593" t="str">
        <f>IF($F151&lt;&gt;"",INDEX(ﾏｽﾀ!$D$8:$D$124,MATCH(INDEX(ﾏｽﾀ!$N$8:$N$124,MATCH($F151,ﾏｽﾀ!$O$8:$O$124,0)),ﾏｽﾀ!$B$8:$B$124,0))&amp;"","")</f>
        <v/>
      </c>
      <c r="F151" s="594" t="str">
        <f>ﾏｽﾀ!$R66&amp;""</f>
        <v/>
      </c>
      <c r="G151" s="634">
        <f>VLOOKUP($E151,'集計16-E'!$E$93:N$174,'集計16-E'!$G$7-$D$7,FALSE)+VLOOKUP($E151,'集計F-15'!$E$93:N$174,'集計F-15'!$G$7-$D$7,FALSE)-INDEX($J$93:$J$174,MATCH($E151,$E$93:$E$174,0))</f>
        <v>0</v>
      </c>
      <c r="H151" s="629">
        <f>VLOOKUP($E151,'集計16-E'!$E$93:N$174,'集計16-E'!$H$7-$D$7,FALSE)+VLOOKUP($E151,'集計F-15'!$E$93:N$174,'集計F-15'!$H$7-$D$7,FALSE)-INDEX($K$93:$K$174,MATCH($E151,$E$93:$E$174,0))</f>
        <v>0</v>
      </c>
      <c r="I151" s="345"/>
      <c r="J151" s="628">
        <f>SUMIF(請求Data!$G$11:$G$160,CONCATENATE(VLOOKUP(G$5,$G$1:$H$4,2,FALSE),$E151,2),請求Data!$AF$11:$AF$160)-INDEX($J$9:$J$90,MATCH($E151,$E$9:$E$90,0))</f>
        <v>0</v>
      </c>
      <c r="K151" s="629">
        <f>SUMIF(請求Data!$G$11:$G$160,CONCATENATE(VLOOKUP(G$5,$G$1:$H$4,2,FALSE),$E151,2),請求Data!$AG$11:$AG$160)-INDEX($K$9:$K$90,MATCH($E151,$E$9:$E$90,0))</f>
        <v>0</v>
      </c>
      <c r="L151" s="345"/>
      <c r="M151" s="126">
        <f>VLOOKUP($E151,'集計16-E'!$E$93:N$175,'集計16-E'!$M$7-$D$7,FALSE)+VLOOKUP($E151,'集計F-15'!$E$93:N$175,'集計F-15'!$M$7-$D$7,FALSE)</f>
        <v>0</v>
      </c>
      <c r="N151" s="434">
        <f>VLOOKUP($E151,'集計16-E'!$E$93:N$175,'集計16-E'!$N$7-$D$7,FALSE)+VLOOKUP($E151,'集計F-15'!$E$93:N$175,'集計F-15'!$N$7-$D$7,FALSE)</f>
        <v>0</v>
      </c>
      <c r="O151" s="345"/>
      <c r="P151" s="646">
        <f>VLOOKUP($E151,'集計16-E'!$E$93:W$175,'集計16-E'!$P$7-$D$7,0)+VLOOKUP($E151,'集計F-15'!$E$93:W$175,'集計F-15'!$P$7-$D$7,0)-$S151</f>
        <v>0</v>
      </c>
      <c r="Q151" s="647">
        <f>VLOOKUP($E151,'集計16-E'!$E$93:W$175,'集計16-E'!$Q$7-$D$7,0)+VLOOKUP($E151,'集計F-15'!$E$93:W$175,'集計F-15'!$Q$7-$D$7,0)-$T151</f>
        <v>0</v>
      </c>
      <c r="R151" s="345"/>
      <c r="S151" s="638">
        <f>SUMIF(請求Data!$G$11:$G$160,CONCATENATE(VLOOKUP(P$5,$G$1:$H$4,2,FALSE),$E151,2),請求Data!$AF$11:$AF$160)-S67</f>
        <v>0</v>
      </c>
      <c r="T151" s="647">
        <f>SUMIF(請求Data!$G$11:$G$160,CONCATENATE(VLOOKUP(P$5,$G$1:$H$4,2,FALSE),$E151,2),請求Data!$AG$11:$AG$160)-T67</f>
        <v>0</v>
      </c>
      <c r="U151" s="345"/>
      <c r="V151" s="126">
        <f>VLOOKUP($E151,'集計16-E'!$E$93:W$175,'集計16-E'!$V$7-$D$7,0)+VLOOKUP($E151,'集計F-15'!$E$93:W$175,'集計F-15'!$V$7-$D$7,0)</f>
        <v>0</v>
      </c>
      <c r="W151" s="435">
        <f>VLOOKUP($E151,'集計16-E'!$E$93:W$175,'集計16-E'!$W$7-$D$7,0)+VLOOKUP($E151,'集計F-15'!$E$93:W$175,'集計F-15'!$W$7-$D$7,0)</f>
        <v>0</v>
      </c>
      <c r="X151" s="345"/>
      <c r="Y151" s="646">
        <f>VLOOKUP($E151,'集計16-E'!$E$93:AF$175,'集計16-E'!$Y$7-$D$7,0)+VLOOKUP($E151,'集計F-15'!$E$93:AF$175,'集計F-15'!$Y$7-$D$7,0)-$AB151</f>
        <v>0</v>
      </c>
      <c r="Z151" s="647">
        <f>VLOOKUP($E151,'集計16-E'!$E$93:AF$175,'集計16-E'!$Z$7-$D$7,0)+VLOOKUP($E151,'集計F-15'!$E$93:AF$175,'集計F-15'!$Z$7-$D$7,0)-$AC151</f>
        <v>0</v>
      </c>
      <c r="AA151" s="345"/>
      <c r="AB151" s="638">
        <f>SUMIF(請求Data!$G$11:$G$160,CONCATENATE(VLOOKUP(Y$5,$G$1:$H$4,2,FALSE),$E151,2),請求Data!$AF$11:$AF$160)-AB67</f>
        <v>0</v>
      </c>
      <c r="AC151" s="647">
        <f>SUMIF(請求Data!$G$11:$G$160,CONCATENATE(VLOOKUP(Y$5,$G$1:$H$4,2,FALSE),$E151,2),請求Data!$AG$11:$AG$160)-AC67</f>
        <v>0</v>
      </c>
      <c r="AD151" s="345"/>
      <c r="AE151" s="126">
        <f>VLOOKUP($E151,'集計16-E'!$E$93:AF$175,'集計16-E'!$AE$7-$D$7,0)+VLOOKUP($E151,'集計F-15'!$E$93:AF$175,'集計F-15'!$AE$7-$D$7,0)</f>
        <v>0</v>
      </c>
      <c r="AF151" s="435">
        <f>VLOOKUP($E151,'集計16-E'!$E$93:AF$175,'集計16-E'!$AF$7-$D$7,0)+VLOOKUP($E151,'集計F-15'!$E$93:AF$175,'集計F-15'!$AF$7-$D$7,0)</f>
        <v>0</v>
      </c>
    </row>
    <row r="152" spans="1:32">
      <c r="A152" s="475" t="str">
        <f>IF(SUMIFS($G152:$AF152,$G$8:$AF$8,"金額",$G152:$AF152,"&gt;0")-SUMIFS($G152:$AF152,$G$8:$AF$8,"金額",$G152:$AF152,"&lt;0")&lt;=0,"",MAX($A$92:$A151)+1)</f>
        <v/>
      </c>
      <c r="B152" s="795"/>
      <c r="C152" s="245" t="str">
        <f t="shared" si="4"/>
        <v>経費</v>
      </c>
      <c r="D152" s="245">
        <v>60</v>
      </c>
      <c r="E152" s="593" t="str">
        <f>IF($F152&lt;&gt;"",INDEX(ﾏｽﾀ!$D$8:$D$124,MATCH(INDEX(ﾏｽﾀ!$N$8:$N$124,MATCH($F152,ﾏｽﾀ!$O$8:$O$124,0)),ﾏｽﾀ!$B$8:$B$124,0))&amp;"","")</f>
        <v/>
      </c>
      <c r="F152" s="594" t="str">
        <f>ﾏｽﾀ!$R67&amp;""</f>
        <v/>
      </c>
      <c r="G152" s="634">
        <f>VLOOKUP($E152,'集計16-E'!$E$93:N$174,'集計16-E'!$G$7-$D$7,FALSE)+VLOOKUP($E152,'集計F-15'!$E$93:N$174,'集計F-15'!$G$7-$D$7,FALSE)-INDEX($J$93:$J$174,MATCH($E152,$E$93:$E$174,0))</f>
        <v>0</v>
      </c>
      <c r="H152" s="629">
        <f>VLOOKUP($E152,'集計16-E'!$E$93:N$174,'集計16-E'!$H$7-$D$7,FALSE)+VLOOKUP($E152,'集計F-15'!$E$93:N$174,'集計F-15'!$H$7-$D$7,FALSE)-INDEX($K$93:$K$174,MATCH($E152,$E$93:$E$174,0))</f>
        <v>0</v>
      </c>
      <c r="I152" s="345"/>
      <c r="J152" s="628">
        <f>SUMIF(請求Data!$G$11:$G$160,CONCATENATE(VLOOKUP(G$5,$G$1:$H$4,2,FALSE),$E152,2),請求Data!$AF$11:$AF$160)-INDEX($J$9:$J$90,MATCH($E152,$E$9:$E$90,0))</f>
        <v>0</v>
      </c>
      <c r="K152" s="629">
        <f>SUMIF(請求Data!$G$11:$G$160,CONCATENATE(VLOOKUP(G$5,$G$1:$H$4,2,FALSE),$E152,2),請求Data!$AG$11:$AG$160)-INDEX($K$9:$K$90,MATCH($E152,$E$9:$E$90,0))</f>
        <v>0</v>
      </c>
      <c r="L152" s="345"/>
      <c r="M152" s="126">
        <f>VLOOKUP($E152,'集計16-E'!$E$93:N$175,'集計16-E'!$M$7-$D$7,FALSE)+VLOOKUP($E152,'集計F-15'!$E$93:N$175,'集計F-15'!$M$7-$D$7,FALSE)</f>
        <v>0</v>
      </c>
      <c r="N152" s="434">
        <f>VLOOKUP($E152,'集計16-E'!$E$93:N$175,'集計16-E'!$N$7-$D$7,FALSE)+VLOOKUP($E152,'集計F-15'!$E$93:N$175,'集計F-15'!$N$7-$D$7,FALSE)</f>
        <v>0</v>
      </c>
      <c r="O152" s="345"/>
      <c r="P152" s="646">
        <f>VLOOKUP($E152,'集計16-E'!$E$93:W$175,'集計16-E'!$P$7-$D$7,0)+VLOOKUP($E152,'集計F-15'!$E$93:W$175,'集計F-15'!$P$7-$D$7,0)-$S152</f>
        <v>0</v>
      </c>
      <c r="Q152" s="647">
        <f>VLOOKUP($E152,'集計16-E'!$E$93:W$175,'集計16-E'!$Q$7-$D$7,0)+VLOOKUP($E152,'集計F-15'!$E$93:W$175,'集計F-15'!$Q$7-$D$7,0)-$T152</f>
        <v>0</v>
      </c>
      <c r="R152" s="345"/>
      <c r="S152" s="638">
        <f>SUMIF(請求Data!$G$11:$G$160,CONCATENATE(VLOOKUP(P$5,$G$1:$H$4,2,FALSE),$E152,2),請求Data!$AF$11:$AF$160)-S68</f>
        <v>0</v>
      </c>
      <c r="T152" s="647">
        <f>SUMIF(請求Data!$G$11:$G$160,CONCATENATE(VLOOKUP(P$5,$G$1:$H$4,2,FALSE),$E152,2),請求Data!$AG$11:$AG$160)-T68</f>
        <v>0</v>
      </c>
      <c r="U152" s="345"/>
      <c r="V152" s="126">
        <f>VLOOKUP($E152,'集計16-E'!$E$93:W$175,'集計16-E'!$V$7-$D$7,0)+VLOOKUP($E152,'集計F-15'!$E$93:W$175,'集計F-15'!$V$7-$D$7,0)</f>
        <v>0</v>
      </c>
      <c r="W152" s="435">
        <f>VLOOKUP($E152,'集計16-E'!$E$93:W$175,'集計16-E'!$W$7-$D$7,0)+VLOOKUP($E152,'集計F-15'!$E$93:W$175,'集計F-15'!$W$7-$D$7,0)</f>
        <v>0</v>
      </c>
      <c r="X152" s="345"/>
      <c r="Y152" s="646">
        <f>VLOOKUP($E152,'集計16-E'!$E$93:AF$175,'集計16-E'!$Y$7-$D$7,0)+VLOOKUP($E152,'集計F-15'!$E$93:AF$175,'集計F-15'!$Y$7-$D$7,0)-$AB152</f>
        <v>0</v>
      </c>
      <c r="Z152" s="647">
        <f>VLOOKUP($E152,'集計16-E'!$E$93:AF$175,'集計16-E'!$Z$7-$D$7,0)+VLOOKUP($E152,'集計F-15'!$E$93:AF$175,'集計F-15'!$Z$7-$D$7,0)-$AC152</f>
        <v>0</v>
      </c>
      <c r="AA152" s="345"/>
      <c r="AB152" s="638">
        <f>SUMIF(請求Data!$G$11:$G$160,CONCATENATE(VLOOKUP(Y$5,$G$1:$H$4,2,FALSE),$E152,2),請求Data!$AF$11:$AF$160)-AB68</f>
        <v>0</v>
      </c>
      <c r="AC152" s="647">
        <f>SUMIF(請求Data!$G$11:$G$160,CONCATENATE(VLOOKUP(Y$5,$G$1:$H$4,2,FALSE),$E152,2),請求Data!$AG$11:$AG$160)-AC68</f>
        <v>0</v>
      </c>
      <c r="AD152" s="345"/>
      <c r="AE152" s="126">
        <f>VLOOKUP($E152,'集計16-E'!$E$93:AF$175,'集計16-E'!$AE$7-$D$7,0)+VLOOKUP($E152,'集計F-15'!$E$93:AF$175,'集計F-15'!$AE$7-$D$7,0)</f>
        <v>0</v>
      </c>
      <c r="AF152" s="435">
        <f>VLOOKUP($E152,'集計16-E'!$E$93:AF$175,'集計16-E'!$AF$7-$D$7,0)+VLOOKUP($E152,'集計F-15'!$E$93:AF$175,'集計F-15'!$AF$7-$D$7,0)</f>
        <v>0</v>
      </c>
    </row>
    <row r="153" spans="1:32">
      <c r="A153" s="475" t="str">
        <f>IF(SUMIFS($G153:$AF153,$G$8:$AF$8,"金額",$G153:$AF153,"&gt;0")-SUMIFS($G153:$AF153,$G$8:$AF$8,"金額",$G153:$AF153,"&lt;0")&lt;=0,"",MAX($A$92:$A152)+1)</f>
        <v/>
      </c>
      <c r="B153" s="795"/>
      <c r="C153" s="245" t="str">
        <f t="shared" si="4"/>
        <v>経費</v>
      </c>
      <c r="D153" s="245">
        <v>61</v>
      </c>
      <c r="E153" s="593" t="str">
        <f>IF($F153&lt;&gt;"",INDEX(ﾏｽﾀ!$D$8:$D$124,MATCH(INDEX(ﾏｽﾀ!$N$8:$N$124,MATCH($F153,ﾏｽﾀ!$O$8:$O$124,0)),ﾏｽﾀ!$B$8:$B$124,0))&amp;"","")</f>
        <v/>
      </c>
      <c r="F153" s="594" t="str">
        <f>ﾏｽﾀ!$R68&amp;""</f>
        <v/>
      </c>
      <c r="G153" s="634">
        <f>VLOOKUP($E153,'集計16-E'!$E$93:N$174,'集計16-E'!$G$7-$D$7,FALSE)+VLOOKUP($E153,'集計F-15'!$E$93:N$174,'集計F-15'!$G$7-$D$7,FALSE)-INDEX($J$93:$J$174,MATCH($E153,$E$93:$E$174,0))</f>
        <v>0</v>
      </c>
      <c r="H153" s="629">
        <f>VLOOKUP($E153,'集計16-E'!$E$93:N$174,'集計16-E'!$H$7-$D$7,FALSE)+VLOOKUP($E153,'集計F-15'!$E$93:N$174,'集計F-15'!$H$7-$D$7,FALSE)-INDEX($K$93:$K$174,MATCH($E153,$E$93:$E$174,0))</f>
        <v>0</v>
      </c>
      <c r="I153" s="345"/>
      <c r="J153" s="628">
        <f>SUMIF(請求Data!$G$11:$G$160,CONCATENATE(VLOOKUP(G$5,$G$1:$H$4,2,FALSE),$E153,2),請求Data!$AF$11:$AF$160)-INDEX($J$9:$J$90,MATCH($E153,$E$9:$E$90,0))</f>
        <v>0</v>
      </c>
      <c r="K153" s="629">
        <f>SUMIF(請求Data!$G$11:$G$160,CONCATENATE(VLOOKUP(G$5,$G$1:$H$4,2,FALSE),$E153,2),請求Data!$AG$11:$AG$160)-INDEX($K$9:$K$90,MATCH($E153,$E$9:$E$90,0))</f>
        <v>0</v>
      </c>
      <c r="L153" s="345"/>
      <c r="M153" s="126">
        <f>VLOOKUP($E153,'集計16-E'!$E$93:N$175,'集計16-E'!$M$7-$D$7,FALSE)+VLOOKUP($E153,'集計F-15'!$E$93:N$175,'集計F-15'!$M$7-$D$7,FALSE)</f>
        <v>0</v>
      </c>
      <c r="N153" s="434">
        <f>VLOOKUP($E153,'集計16-E'!$E$93:N$175,'集計16-E'!$N$7-$D$7,FALSE)+VLOOKUP($E153,'集計F-15'!$E$93:N$175,'集計F-15'!$N$7-$D$7,FALSE)</f>
        <v>0</v>
      </c>
      <c r="O153" s="345"/>
      <c r="P153" s="646">
        <f>VLOOKUP($E153,'集計16-E'!$E$93:W$175,'集計16-E'!$P$7-$D$7,0)+VLOOKUP($E153,'集計F-15'!$E$93:W$175,'集計F-15'!$P$7-$D$7,0)-$S153</f>
        <v>0</v>
      </c>
      <c r="Q153" s="647">
        <f>VLOOKUP($E153,'集計16-E'!$E$93:W$175,'集計16-E'!$Q$7-$D$7,0)+VLOOKUP($E153,'集計F-15'!$E$93:W$175,'集計F-15'!$Q$7-$D$7,0)-$T153</f>
        <v>0</v>
      </c>
      <c r="R153" s="345"/>
      <c r="S153" s="638">
        <f>SUMIF(請求Data!$G$11:$G$160,CONCATENATE(VLOOKUP(P$5,$G$1:$H$4,2,FALSE),$E153,2),請求Data!$AF$11:$AF$160)-S69</f>
        <v>0</v>
      </c>
      <c r="T153" s="647">
        <f>SUMIF(請求Data!$G$11:$G$160,CONCATENATE(VLOOKUP(P$5,$G$1:$H$4,2,FALSE),$E153,2),請求Data!$AG$11:$AG$160)-T69</f>
        <v>0</v>
      </c>
      <c r="U153" s="345"/>
      <c r="V153" s="126">
        <f>VLOOKUP($E153,'集計16-E'!$E$93:W$175,'集計16-E'!$V$7-$D$7,0)+VLOOKUP($E153,'集計F-15'!$E$93:W$175,'集計F-15'!$V$7-$D$7,0)</f>
        <v>0</v>
      </c>
      <c r="W153" s="435">
        <f>VLOOKUP($E153,'集計16-E'!$E$93:W$175,'集計16-E'!$W$7-$D$7,0)+VLOOKUP($E153,'集計F-15'!$E$93:W$175,'集計F-15'!$W$7-$D$7,0)</f>
        <v>0</v>
      </c>
      <c r="X153" s="345"/>
      <c r="Y153" s="646">
        <f>VLOOKUP($E153,'集計16-E'!$E$93:AF$175,'集計16-E'!$Y$7-$D$7,0)+VLOOKUP($E153,'集計F-15'!$E$93:AF$175,'集計F-15'!$Y$7-$D$7,0)-$AB153</f>
        <v>0</v>
      </c>
      <c r="Z153" s="647">
        <f>VLOOKUP($E153,'集計16-E'!$E$93:AF$175,'集計16-E'!$Z$7-$D$7,0)+VLOOKUP($E153,'集計F-15'!$E$93:AF$175,'集計F-15'!$Z$7-$D$7,0)-$AC153</f>
        <v>0</v>
      </c>
      <c r="AA153" s="345"/>
      <c r="AB153" s="638">
        <f>SUMIF(請求Data!$G$11:$G$160,CONCATENATE(VLOOKUP(Y$5,$G$1:$H$4,2,FALSE),$E153,2),請求Data!$AF$11:$AF$160)-AB69</f>
        <v>0</v>
      </c>
      <c r="AC153" s="647">
        <f>SUMIF(請求Data!$G$11:$G$160,CONCATENATE(VLOOKUP(Y$5,$G$1:$H$4,2,FALSE),$E153,2),請求Data!$AG$11:$AG$160)-AC69</f>
        <v>0</v>
      </c>
      <c r="AD153" s="345"/>
      <c r="AE153" s="126">
        <f>VLOOKUP($E153,'集計16-E'!$E$93:AF$175,'集計16-E'!$AE$7-$D$7,0)+VLOOKUP($E153,'集計F-15'!$E$93:AF$175,'集計F-15'!$AE$7-$D$7,0)</f>
        <v>0</v>
      </c>
      <c r="AF153" s="435">
        <f>VLOOKUP($E153,'集計16-E'!$E$93:AF$175,'集計16-E'!$AF$7-$D$7,0)+VLOOKUP($E153,'集計F-15'!$E$93:AF$175,'集計F-15'!$AF$7-$D$7,0)</f>
        <v>0</v>
      </c>
    </row>
    <row r="154" spans="1:32">
      <c r="A154" s="475" t="str">
        <f>IF(SUMIFS($G154:$AF154,$G$8:$AF$8,"金額",$G154:$AF154,"&gt;0")-SUMIFS($G154:$AF154,$G$8:$AF$8,"金額",$G154:$AF154,"&lt;0")&lt;=0,"",MAX($A$92:$A153)+1)</f>
        <v/>
      </c>
      <c r="B154" s="795"/>
      <c r="C154" s="245" t="str">
        <f t="shared" si="4"/>
        <v>経費</v>
      </c>
      <c r="D154" s="245">
        <v>62</v>
      </c>
      <c r="E154" s="593" t="str">
        <f>IF($F154&lt;&gt;"",INDEX(ﾏｽﾀ!$D$8:$D$124,MATCH(INDEX(ﾏｽﾀ!$N$8:$N$124,MATCH($F154,ﾏｽﾀ!$O$8:$O$124,0)),ﾏｽﾀ!$B$8:$B$124,0))&amp;"","")</f>
        <v/>
      </c>
      <c r="F154" s="594" t="str">
        <f>ﾏｽﾀ!$R69&amp;""</f>
        <v/>
      </c>
      <c r="G154" s="634">
        <f>VLOOKUP($E154,'集計16-E'!$E$93:N$174,'集計16-E'!$G$7-$D$7,FALSE)+VLOOKUP($E154,'集計F-15'!$E$93:N$174,'集計F-15'!$G$7-$D$7,FALSE)-INDEX($J$93:$J$174,MATCH($E154,$E$93:$E$174,0))</f>
        <v>0</v>
      </c>
      <c r="H154" s="629">
        <f>VLOOKUP($E154,'集計16-E'!$E$93:N$174,'集計16-E'!$H$7-$D$7,FALSE)+VLOOKUP($E154,'集計F-15'!$E$93:N$174,'集計F-15'!$H$7-$D$7,FALSE)-INDEX($K$93:$K$174,MATCH($E154,$E$93:$E$174,0))</f>
        <v>0</v>
      </c>
      <c r="I154" s="345"/>
      <c r="J154" s="628">
        <f>SUMIF(請求Data!$G$11:$G$160,CONCATENATE(VLOOKUP(G$5,$G$1:$H$4,2,FALSE),$E154,2),請求Data!$AF$11:$AF$160)-INDEX($J$9:$J$90,MATCH($E154,$E$9:$E$90,0))</f>
        <v>0</v>
      </c>
      <c r="K154" s="629">
        <f>SUMIF(請求Data!$G$11:$G$160,CONCATENATE(VLOOKUP(G$5,$G$1:$H$4,2,FALSE),$E154,2),請求Data!$AG$11:$AG$160)-INDEX($K$9:$K$90,MATCH($E154,$E$9:$E$90,0))</f>
        <v>0</v>
      </c>
      <c r="L154" s="345"/>
      <c r="M154" s="126">
        <f>VLOOKUP($E154,'集計16-E'!$E$93:N$175,'集計16-E'!$M$7-$D$7,FALSE)+VLOOKUP($E154,'集計F-15'!$E$93:N$175,'集計F-15'!$M$7-$D$7,FALSE)</f>
        <v>0</v>
      </c>
      <c r="N154" s="434">
        <f>VLOOKUP($E154,'集計16-E'!$E$93:N$175,'集計16-E'!$N$7-$D$7,FALSE)+VLOOKUP($E154,'集計F-15'!$E$93:N$175,'集計F-15'!$N$7-$D$7,FALSE)</f>
        <v>0</v>
      </c>
      <c r="O154" s="345"/>
      <c r="P154" s="646">
        <f>VLOOKUP($E154,'集計16-E'!$E$93:W$175,'集計16-E'!$P$7-$D$7,0)+VLOOKUP($E154,'集計F-15'!$E$93:W$175,'集計F-15'!$P$7-$D$7,0)-$S154</f>
        <v>0</v>
      </c>
      <c r="Q154" s="647">
        <f>VLOOKUP($E154,'集計16-E'!$E$93:W$175,'集計16-E'!$Q$7-$D$7,0)+VLOOKUP($E154,'集計F-15'!$E$93:W$175,'集計F-15'!$Q$7-$D$7,0)-$T154</f>
        <v>0</v>
      </c>
      <c r="R154" s="345"/>
      <c r="S154" s="638">
        <f>SUMIF(請求Data!$G$11:$G$160,CONCATENATE(VLOOKUP(P$5,$G$1:$H$4,2,FALSE),$E154,2),請求Data!$AF$11:$AF$160)-S70</f>
        <v>0</v>
      </c>
      <c r="T154" s="647">
        <f>SUMIF(請求Data!$G$11:$G$160,CONCATENATE(VLOOKUP(P$5,$G$1:$H$4,2,FALSE),$E154,2),請求Data!$AG$11:$AG$160)-T70</f>
        <v>0</v>
      </c>
      <c r="U154" s="345"/>
      <c r="V154" s="126">
        <f>VLOOKUP($E154,'集計16-E'!$E$93:W$175,'集計16-E'!$V$7-$D$7,0)+VLOOKUP($E154,'集計F-15'!$E$93:W$175,'集計F-15'!$V$7-$D$7,0)</f>
        <v>0</v>
      </c>
      <c r="W154" s="435">
        <f>VLOOKUP($E154,'集計16-E'!$E$93:W$175,'集計16-E'!$W$7-$D$7,0)+VLOOKUP($E154,'集計F-15'!$E$93:W$175,'集計F-15'!$W$7-$D$7,0)</f>
        <v>0</v>
      </c>
      <c r="X154" s="345"/>
      <c r="Y154" s="646">
        <f>VLOOKUP($E154,'集計16-E'!$E$93:AF$175,'集計16-E'!$Y$7-$D$7,0)+VLOOKUP($E154,'集計F-15'!$E$93:AF$175,'集計F-15'!$Y$7-$D$7,0)-$AB154</f>
        <v>0</v>
      </c>
      <c r="Z154" s="647">
        <f>VLOOKUP($E154,'集計16-E'!$E$93:AF$175,'集計16-E'!$Z$7-$D$7,0)+VLOOKUP($E154,'集計F-15'!$E$93:AF$175,'集計F-15'!$Z$7-$D$7,0)-$AC154</f>
        <v>0</v>
      </c>
      <c r="AA154" s="345"/>
      <c r="AB154" s="638">
        <f>SUMIF(請求Data!$G$11:$G$160,CONCATENATE(VLOOKUP(Y$5,$G$1:$H$4,2,FALSE),$E154,2),請求Data!$AF$11:$AF$160)-AB70</f>
        <v>0</v>
      </c>
      <c r="AC154" s="647">
        <f>SUMIF(請求Data!$G$11:$G$160,CONCATENATE(VLOOKUP(Y$5,$G$1:$H$4,2,FALSE),$E154,2),請求Data!$AG$11:$AG$160)-AC70</f>
        <v>0</v>
      </c>
      <c r="AD154" s="345"/>
      <c r="AE154" s="126">
        <f>VLOOKUP($E154,'集計16-E'!$E$93:AF$175,'集計16-E'!$AE$7-$D$7,0)+VLOOKUP($E154,'集計F-15'!$E$93:AF$175,'集計F-15'!$AE$7-$D$7,0)</f>
        <v>0</v>
      </c>
      <c r="AF154" s="435">
        <f>VLOOKUP($E154,'集計16-E'!$E$93:AF$175,'集計16-E'!$AF$7-$D$7,0)+VLOOKUP($E154,'集計F-15'!$E$93:AF$175,'集計F-15'!$AF$7-$D$7,0)</f>
        <v>0</v>
      </c>
    </row>
    <row r="155" spans="1:32">
      <c r="A155" s="475" t="str">
        <f>IF(SUMIFS($G155:$AF155,$G$8:$AF$8,"金額",$G155:$AF155,"&gt;0")-SUMIFS($G155:$AF155,$G$8:$AF$8,"金額",$G155:$AF155,"&lt;0")&lt;=0,"",MAX($A$92:$A154)+1)</f>
        <v/>
      </c>
      <c r="B155" s="795"/>
      <c r="C155" s="245" t="str">
        <f t="shared" si="4"/>
        <v>経費</v>
      </c>
      <c r="D155" s="245">
        <v>63</v>
      </c>
      <c r="E155" s="593" t="str">
        <f>IF($F155&lt;&gt;"",INDEX(ﾏｽﾀ!$D$8:$D$124,MATCH(INDEX(ﾏｽﾀ!$N$8:$N$124,MATCH($F155,ﾏｽﾀ!$O$8:$O$124,0)),ﾏｽﾀ!$B$8:$B$124,0))&amp;"","")</f>
        <v/>
      </c>
      <c r="F155" s="594" t="str">
        <f>ﾏｽﾀ!$R70&amp;""</f>
        <v/>
      </c>
      <c r="G155" s="634">
        <f>VLOOKUP($E155,'集計16-E'!$E$93:N$174,'集計16-E'!$G$7-$D$7,FALSE)+VLOOKUP($E155,'集計F-15'!$E$93:N$174,'集計F-15'!$G$7-$D$7,FALSE)-INDEX($J$93:$J$174,MATCH($E155,$E$93:$E$174,0))</f>
        <v>0</v>
      </c>
      <c r="H155" s="629">
        <f>VLOOKUP($E155,'集計16-E'!$E$93:N$174,'集計16-E'!$H$7-$D$7,FALSE)+VLOOKUP($E155,'集計F-15'!$E$93:N$174,'集計F-15'!$H$7-$D$7,FALSE)-INDEX($K$93:$K$174,MATCH($E155,$E$93:$E$174,0))</f>
        <v>0</v>
      </c>
      <c r="I155" s="345"/>
      <c r="J155" s="628">
        <f>SUMIF(請求Data!$G$11:$G$160,CONCATENATE(VLOOKUP(G$5,$G$1:$H$4,2,FALSE),$E155,2),請求Data!$AF$11:$AF$160)-INDEX($J$9:$J$90,MATCH($E155,$E$9:$E$90,0))</f>
        <v>0</v>
      </c>
      <c r="K155" s="629">
        <f>SUMIF(請求Data!$G$11:$G$160,CONCATENATE(VLOOKUP(G$5,$G$1:$H$4,2,FALSE),$E155,2),請求Data!$AG$11:$AG$160)-INDEX($K$9:$K$90,MATCH($E155,$E$9:$E$90,0))</f>
        <v>0</v>
      </c>
      <c r="L155" s="345"/>
      <c r="M155" s="126">
        <f>VLOOKUP($E155,'集計16-E'!$E$93:N$175,'集計16-E'!$M$7-$D$7,FALSE)+VLOOKUP($E155,'集計F-15'!$E$93:N$175,'集計F-15'!$M$7-$D$7,FALSE)</f>
        <v>0</v>
      </c>
      <c r="N155" s="434">
        <f>VLOOKUP($E155,'集計16-E'!$E$93:N$175,'集計16-E'!$N$7-$D$7,FALSE)+VLOOKUP($E155,'集計F-15'!$E$93:N$175,'集計F-15'!$N$7-$D$7,FALSE)</f>
        <v>0</v>
      </c>
      <c r="O155" s="345"/>
      <c r="P155" s="646">
        <f>VLOOKUP($E155,'集計16-E'!$E$93:W$175,'集計16-E'!$P$7-$D$7,0)+VLOOKUP($E155,'集計F-15'!$E$93:W$175,'集計F-15'!$P$7-$D$7,0)-$S155</f>
        <v>0</v>
      </c>
      <c r="Q155" s="647">
        <f>VLOOKUP($E155,'集計16-E'!$E$93:W$175,'集計16-E'!$Q$7-$D$7,0)+VLOOKUP($E155,'集計F-15'!$E$93:W$175,'集計F-15'!$Q$7-$D$7,0)-$T155</f>
        <v>0</v>
      </c>
      <c r="R155" s="345"/>
      <c r="S155" s="638">
        <f>SUMIF(請求Data!$G$11:$G$160,CONCATENATE(VLOOKUP(P$5,$G$1:$H$4,2,FALSE),$E155,2),請求Data!$AF$11:$AF$160)-S71</f>
        <v>0</v>
      </c>
      <c r="T155" s="647">
        <f>SUMIF(請求Data!$G$11:$G$160,CONCATENATE(VLOOKUP(P$5,$G$1:$H$4,2,FALSE),$E155,2),請求Data!$AG$11:$AG$160)-T71</f>
        <v>0</v>
      </c>
      <c r="U155" s="345"/>
      <c r="V155" s="126">
        <f>VLOOKUP($E155,'集計16-E'!$E$93:W$175,'集計16-E'!$V$7-$D$7,0)+VLOOKUP($E155,'集計F-15'!$E$93:W$175,'集計F-15'!$V$7-$D$7,0)</f>
        <v>0</v>
      </c>
      <c r="W155" s="435">
        <f>VLOOKUP($E155,'集計16-E'!$E$93:W$175,'集計16-E'!$W$7-$D$7,0)+VLOOKUP($E155,'集計F-15'!$E$93:W$175,'集計F-15'!$W$7-$D$7,0)</f>
        <v>0</v>
      </c>
      <c r="X155" s="345"/>
      <c r="Y155" s="646">
        <f>VLOOKUP($E155,'集計16-E'!$E$93:AF$175,'集計16-E'!$Y$7-$D$7,0)+VLOOKUP($E155,'集計F-15'!$E$93:AF$175,'集計F-15'!$Y$7-$D$7,0)-$AB155</f>
        <v>0</v>
      </c>
      <c r="Z155" s="647">
        <f>VLOOKUP($E155,'集計16-E'!$E$93:AF$175,'集計16-E'!$Z$7-$D$7,0)+VLOOKUP($E155,'集計F-15'!$E$93:AF$175,'集計F-15'!$Z$7-$D$7,0)-$AC155</f>
        <v>0</v>
      </c>
      <c r="AA155" s="345"/>
      <c r="AB155" s="638">
        <f>SUMIF(請求Data!$G$11:$G$160,CONCATENATE(VLOOKUP(Y$5,$G$1:$H$4,2,FALSE),$E155,2),請求Data!$AF$11:$AF$160)-AB71</f>
        <v>0</v>
      </c>
      <c r="AC155" s="647">
        <f>SUMIF(請求Data!$G$11:$G$160,CONCATENATE(VLOOKUP(Y$5,$G$1:$H$4,2,FALSE),$E155,2),請求Data!$AG$11:$AG$160)-AC71</f>
        <v>0</v>
      </c>
      <c r="AD155" s="345"/>
      <c r="AE155" s="126">
        <f>VLOOKUP($E155,'集計16-E'!$E$93:AF$175,'集計16-E'!$AE$7-$D$7,0)+VLOOKUP($E155,'集計F-15'!$E$93:AF$175,'集計F-15'!$AE$7-$D$7,0)</f>
        <v>0</v>
      </c>
      <c r="AF155" s="435">
        <f>VLOOKUP($E155,'集計16-E'!$E$93:AF$175,'集計16-E'!$AF$7-$D$7,0)+VLOOKUP($E155,'集計F-15'!$E$93:AF$175,'集計F-15'!$AF$7-$D$7,0)</f>
        <v>0</v>
      </c>
    </row>
    <row r="156" spans="1:32">
      <c r="A156" s="475" t="str">
        <f>IF(SUMIFS($G156:$AF156,$G$8:$AF$8,"金額",$G156:$AF156,"&gt;0")-SUMIFS($G156:$AF156,$G$8:$AF$8,"金額",$G156:$AF156,"&lt;0")&lt;=0,"",MAX($A$92:$A155)+1)</f>
        <v/>
      </c>
      <c r="B156" s="795"/>
      <c r="C156" s="245" t="str">
        <f t="shared" si="4"/>
        <v>経費</v>
      </c>
      <c r="D156" s="245">
        <v>64</v>
      </c>
      <c r="E156" s="593" t="str">
        <f>IF($F156&lt;&gt;"",INDEX(ﾏｽﾀ!$D$8:$D$124,MATCH(INDEX(ﾏｽﾀ!$N$8:$N$124,MATCH($F156,ﾏｽﾀ!$O$8:$O$124,0)),ﾏｽﾀ!$B$8:$B$124,0))&amp;"","")</f>
        <v/>
      </c>
      <c r="F156" s="594" t="str">
        <f>ﾏｽﾀ!$R71&amp;""</f>
        <v/>
      </c>
      <c r="G156" s="634">
        <f>VLOOKUP($E156,'集計16-E'!$E$93:N$174,'集計16-E'!$G$7-$D$7,FALSE)+VLOOKUP($E156,'集計F-15'!$E$93:N$174,'集計F-15'!$G$7-$D$7,FALSE)-INDEX($J$93:$J$174,MATCH($E156,$E$93:$E$174,0))</f>
        <v>0</v>
      </c>
      <c r="H156" s="629">
        <f>VLOOKUP($E156,'集計16-E'!$E$93:N$174,'集計16-E'!$H$7-$D$7,FALSE)+VLOOKUP($E156,'集計F-15'!$E$93:N$174,'集計F-15'!$H$7-$D$7,FALSE)-INDEX($K$93:$K$174,MATCH($E156,$E$93:$E$174,0))</f>
        <v>0</v>
      </c>
      <c r="I156" s="345"/>
      <c r="J156" s="628">
        <f>SUMIF(請求Data!$G$11:$G$160,CONCATENATE(VLOOKUP(G$5,$G$1:$H$4,2,FALSE),$E156,2),請求Data!$AF$11:$AF$160)-INDEX($J$9:$J$90,MATCH($E156,$E$9:$E$90,0))</f>
        <v>0</v>
      </c>
      <c r="K156" s="629">
        <f>SUMIF(請求Data!$G$11:$G$160,CONCATENATE(VLOOKUP(G$5,$G$1:$H$4,2,FALSE),$E156,2),請求Data!$AG$11:$AG$160)-INDEX($K$9:$K$90,MATCH($E156,$E$9:$E$90,0))</f>
        <v>0</v>
      </c>
      <c r="L156" s="345"/>
      <c r="M156" s="126">
        <f>VLOOKUP($E156,'集計16-E'!$E$93:N$175,'集計16-E'!$M$7-$D$7,FALSE)+VLOOKUP($E156,'集計F-15'!$E$93:N$175,'集計F-15'!$M$7-$D$7,FALSE)</f>
        <v>0</v>
      </c>
      <c r="N156" s="434">
        <f>VLOOKUP($E156,'集計16-E'!$E$93:N$175,'集計16-E'!$N$7-$D$7,FALSE)+VLOOKUP($E156,'集計F-15'!$E$93:N$175,'集計F-15'!$N$7-$D$7,FALSE)</f>
        <v>0</v>
      </c>
      <c r="O156" s="345"/>
      <c r="P156" s="646">
        <f>VLOOKUP($E156,'集計16-E'!$E$93:W$175,'集計16-E'!$P$7-$D$7,0)+VLOOKUP($E156,'集計F-15'!$E$93:W$175,'集計F-15'!$P$7-$D$7,0)-$S156</f>
        <v>0</v>
      </c>
      <c r="Q156" s="647">
        <f>VLOOKUP($E156,'集計16-E'!$E$93:W$175,'集計16-E'!$Q$7-$D$7,0)+VLOOKUP($E156,'集計F-15'!$E$93:W$175,'集計F-15'!$Q$7-$D$7,0)-$T156</f>
        <v>0</v>
      </c>
      <c r="R156" s="345"/>
      <c r="S156" s="638">
        <f>SUMIF(請求Data!$G$11:$G$160,CONCATENATE(VLOOKUP(P$5,$G$1:$H$4,2,FALSE),$E156,2),請求Data!$AF$11:$AF$160)-S72</f>
        <v>0</v>
      </c>
      <c r="T156" s="647">
        <f>SUMIF(請求Data!$G$11:$G$160,CONCATENATE(VLOOKUP(P$5,$G$1:$H$4,2,FALSE),$E156,2),請求Data!$AG$11:$AG$160)-T72</f>
        <v>0</v>
      </c>
      <c r="U156" s="345"/>
      <c r="V156" s="126">
        <f>VLOOKUP($E156,'集計16-E'!$E$93:W$175,'集計16-E'!$V$7-$D$7,0)+VLOOKUP($E156,'集計F-15'!$E$93:W$175,'集計F-15'!$V$7-$D$7,0)</f>
        <v>0</v>
      </c>
      <c r="W156" s="435">
        <f>VLOOKUP($E156,'集計16-E'!$E$93:W$175,'集計16-E'!$W$7-$D$7,0)+VLOOKUP($E156,'集計F-15'!$E$93:W$175,'集計F-15'!$W$7-$D$7,0)</f>
        <v>0</v>
      </c>
      <c r="X156" s="345"/>
      <c r="Y156" s="646">
        <f>VLOOKUP($E156,'集計16-E'!$E$93:AF$175,'集計16-E'!$Y$7-$D$7,0)+VLOOKUP($E156,'集計F-15'!$E$93:AF$175,'集計F-15'!$Y$7-$D$7,0)-$AB156</f>
        <v>0</v>
      </c>
      <c r="Z156" s="647">
        <f>VLOOKUP($E156,'集計16-E'!$E$93:AF$175,'集計16-E'!$Z$7-$D$7,0)+VLOOKUP($E156,'集計F-15'!$E$93:AF$175,'集計F-15'!$Z$7-$D$7,0)-$AC156</f>
        <v>0</v>
      </c>
      <c r="AA156" s="345"/>
      <c r="AB156" s="638">
        <f>SUMIF(請求Data!$G$11:$G$160,CONCATENATE(VLOOKUP(Y$5,$G$1:$H$4,2,FALSE),$E156,2),請求Data!$AF$11:$AF$160)-AB72</f>
        <v>0</v>
      </c>
      <c r="AC156" s="647">
        <f>SUMIF(請求Data!$G$11:$G$160,CONCATENATE(VLOOKUP(Y$5,$G$1:$H$4,2,FALSE),$E156,2),請求Data!$AG$11:$AG$160)-AC72</f>
        <v>0</v>
      </c>
      <c r="AD156" s="345"/>
      <c r="AE156" s="126">
        <f>VLOOKUP($E156,'集計16-E'!$E$93:AF$175,'集計16-E'!$AE$7-$D$7,0)+VLOOKUP($E156,'集計F-15'!$E$93:AF$175,'集計F-15'!$AE$7-$D$7,0)</f>
        <v>0</v>
      </c>
      <c r="AF156" s="435">
        <f>VLOOKUP($E156,'集計16-E'!$E$93:AF$175,'集計16-E'!$AF$7-$D$7,0)+VLOOKUP($E156,'集計F-15'!$E$93:AF$175,'集計F-15'!$AF$7-$D$7,0)</f>
        <v>0</v>
      </c>
    </row>
    <row r="157" spans="1:32">
      <c r="A157" s="475" t="str">
        <f>IF(SUMIFS($G157:$AF157,$G$8:$AF$8,"金額",$G157:$AF157,"&gt;0")-SUMIFS($G157:$AF157,$G$8:$AF$8,"金額",$G157:$AF157,"&lt;0")&lt;=0,"",MAX($A$92:$A156)+1)</f>
        <v/>
      </c>
      <c r="B157" s="795"/>
      <c r="C157" s="245" t="str">
        <f t="shared" ref="C157:C174" si="5">CONCATENATE("経費",$A157)</f>
        <v>経費</v>
      </c>
      <c r="D157" s="245">
        <v>65</v>
      </c>
      <c r="E157" s="593" t="str">
        <f>IF($F157&lt;&gt;"",INDEX(ﾏｽﾀ!$D$8:$D$124,MATCH(INDEX(ﾏｽﾀ!$N$8:$N$124,MATCH($F157,ﾏｽﾀ!$O$8:$O$124,0)),ﾏｽﾀ!$B$8:$B$124,0))&amp;"","")</f>
        <v/>
      </c>
      <c r="F157" s="594" t="str">
        <f>ﾏｽﾀ!$R72&amp;""</f>
        <v/>
      </c>
      <c r="G157" s="634">
        <f>VLOOKUP($E157,'集計16-E'!$E$93:N$174,'集計16-E'!$G$7-$D$7,FALSE)+VLOOKUP($E157,'集計F-15'!$E$93:N$174,'集計F-15'!$G$7-$D$7,FALSE)-INDEX($J$93:$J$174,MATCH($E157,$E$93:$E$174,0))</f>
        <v>0</v>
      </c>
      <c r="H157" s="629">
        <f>VLOOKUP($E157,'集計16-E'!$E$93:N$174,'集計16-E'!$H$7-$D$7,FALSE)+VLOOKUP($E157,'集計F-15'!$E$93:N$174,'集計F-15'!$H$7-$D$7,FALSE)-INDEX($K$93:$K$174,MATCH($E157,$E$93:$E$174,0))</f>
        <v>0</v>
      </c>
      <c r="I157" s="345"/>
      <c r="J157" s="628">
        <f>SUMIF(請求Data!$G$11:$G$160,CONCATENATE(VLOOKUP(G$5,$G$1:$H$4,2,FALSE),$E157,2),請求Data!$AF$11:$AF$160)-INDEX($J$9:$J$90,MATCH($E157,$E$9:$E$90,0))</f>
        <v>0</v>
      </c>
      <c r="K157" s="629">
        <f>SUMIF(請求Data!$G$11:$G$160,CONCATENATE(VLOOKUP(G$5,$G$1:$H$4,2,FALSE),$E157,2),請求Data!$AG$11:$AG$160)-INDEX($K$9:$K$90,MATCH($E157,$E$9:$E$90,0))</f>
        <v>0</v>
      </c>
      <c r="L157" s="345"/>
      <c r="M157" s="126">
        <f>VLOOKUP($E157,'集計16-E'!$E$93:N$175,'集計16-E'!$M$7-$D$7,FALSE)+VLOOKUP($E157,'集計F-15'!$E$93:N$175,'集計F-15'!$M$7-$D$7,FALSE)</f>
        <v>0</v>
      </c>
      <c r="N157" s="434">
        <f>VLOOKUP($E157,'集計16-E'!$E$93:N$175,'集計16-E'!$N$7-$D$7,FALSE)+VLOOKUP($E157,'集計F-15'!$E$93:N$175,'集計F-15'!$N$7-$D$7,FALSE)</f>
        <v>0</v>
      </c>
      <c r="O157" s="345"/>
      <c r="P157" s="646">
        <f>VLOOKUP($E157,'集計16-E'!$E$93:W$175,'集計16-E'!$P$7-$D$7,0)+VLOOKUP($E157,'集計F-15'!$E$93:W$175,'集計F-15'!$P$7-$D$7,0)-$S157</f>
        <v>0</v>
      </c>
      <c r="Q157" s="647">
        <f>VLOOKUP($E157,'集計16-E'!$E$93:W$175,'集計16-E'!$Q$7-$D$7,0)+VLOOKUP($E157,'集計F-15'!$E$93:W$175,'集計F-15'!$Q$7-$D$7,0)-$T157</f>
        <v>0</v>
      </c>
      <c r="R157" s="345"/>
      <c r="S157" s="638">
        <f>SUMIF(請求Data!$G$11:$G$160,CONCATENATE(VLOOKUP(P$5,$G$1:$H$4,2,FALSE),$E157,2),請求Data!$AF$11:$AF$160)-S73</f>
        <v>0</v>
      </c>
      <c r="T157" s="647">
        <f>SUMIF(請求Data!$G$11:$G$160,CONCATENATE(VLOOKUP(P$5,$G$1:$H$4,2,FALSE),$E157,2),請求Data!$AG$11:$AG$160)-T73</f>
        <v>0</v>
      </c>
      <c r="U157" s="345"/>
      <c r="V157" s="126">
        <f>VLOOKUP($E157,'集計16-E'!$E$93:W$175,'集計16-E'!$V$7-$D$7,0)+VLOOKUP($E157,'集計F-15'!$E$93:W$175,'集計F-15'!$V$7-$D$7,0)</f>
        <v>0</v>
      </c>
      <c r="W157" s="435">
        <f>VLOOKUP($E157,'集計16-E'!$E$93:W$175,'集計16-E'!$W$7-$D$7,0)+VLOOKUP($E157,'集計F-15'!$E$93:W$175,'集計F-15'!$W$7-$D$7,0)</f>
        <v>0</v>
      </c>
      <c r="X157" s="345"/>
      <c r="Y157" s="646">
        <f>VLOOKUP($E157,'集計16-E'!$E$93:AF$175,'集計16-E'!$Y$7-$D$7,0)+VLOOKUP($E157,'集計F-15'!$E$93:AF$175,'集計F-15'!$Y$7-$D$7,0)-$AB157</f>
        <v>0</v>
      </c>
      <c r="Z157" s="647">
        <f>VLOOKUP($E157,'集計16-E'!$E$93:AF$175,'集計16-E'!$Z$7-$D$7,0)+VLOOKUP($E157,'集計F-15'!$E$93:AF$175,'集計F-15'!$Z$7-$D$7,0)-$AC157</f>
        <v>0</v>
      </c>
      <c r="AA157" s="345"/>
      <c r="AB157" s="638">
        <f>SUMIF(請求Data!$G$11:$G$160,CONCATENATE(VLOOKUP(Y$5,$G$1:$H$4,2,FALSE),$E157,2),請求Data!$AF$11:$AF$160)-AB73</f>
        <v>0</v>
      </c>
      <c r="AC157" s="647">
        <f>SUMIF(請求Data!$G$11:$G$160,CONCATENATE(VLOOKUP(Y$5,$G$1:$H$4,2,FALSE),$E157,2),請求Data!$AG$11:$AG$160)-AC73</f>
        <v>0</v>
      </c>
      <c r="AD157" s="345"/>
      <c r="AE157" s="126">
        <f>VLOOKUP($E157,'集計16-E'!$E$93:AF$175,'集計16-E'!$AE$7-$D$7,0)+VLOOKUP($E157,'集計F-15'!$E$93:AF$175,'集計F-15'!$AE$7-$D$7,0)</f>
        <v>0</v>
      </c>
      <c r="AF157" s="435">
        <f>VLOOKUP($E157,'集計16-E'!$E$93:AF$175,'集計16-E'!$AF$7-$D$7,0)+VLOOKUP($E157,'集計F-15'!$E$93:AF$175,'集計F-15'!$AF$7-$D$7,0)</f>
        <v>0</v>
      </c>
    </row>
    <row r="158" spans="1:32">
      <c r="A158" s="475" t="str">
        <f>IF(SUMIFS($G158:$AF158,$G$8:$AF$8,"金額",$G158:$AF158,"&gt;0")-SUMIFS($G158:$AF158,$G$8:$AF$8,"金額",$G158:$AF158,"&lt;0")&lt;=0,"",MAX($A$92:$A157)+1)</f>
        <v/>
      </c>
      <c r="B158" s="795"/>
      <c r="C158" s="245" t="str">
        <f t="shared" si="5"/>
        <v>経費</v>
      </c>
      <c r="D158" s="245">
        <v>66</v>
      </c>
      <c r="E158" s="593" t="str">
        <f>IF($F158&lt;&gt;"",INDEX(ﾏｽﾀ!$D$8:$D$124,MATCH(INDEX(ﾏｽﾀ!$N$8:$N$124,MATCH($F158,ﾏｽﾀ!$O$8:$O$124,0)),ﾏｽﾀ!$B$8:$B$124,0))&amp;"","")</f>
        <v/>
      </c>
      <c r="F158" s="594" t="str">
        <f>ﾏｽﾀ!$R73&amp;""</f>
        <v/>
      </c>
      <c r="G158" s="634">
        <f>VLOOKUP($E158,'集計16-E'!$E$93:N$174,'集計16-E'!$G$7-$D$7,FALSE)+VLOOKUP($E158,'集計F-15'!$E$93:N$174,'集計F-15'!$G$7-$D$7,FALSE)-INDEX($J$93:$J$174,MATCH($E158,$E$93:$E$174,0))</f>
        <v>0</v>
      </c>
      <c r="H158" s="629">
        <f>VLOOKUP($E158,'集計16-E'!$E$93:N$174,'集計16-E'!$H$7-$D$7,FALSE)+VLOOKUP($E158,'集計F-15'!$E$93:N$174,'集計F-15'!$H$7-$D$7,FALSE)-INDEX($K$93:$K$174,MATCH($E158,$E$93:$E$174,0))</f>
        <v>0</v>
      </c>
      <c r="I158" s="345"/>
      <c r="J158" s="628">
        <f>SUMIF(請求Data!$G$11:$G$160,CONCATENATE(VLOOKUP(G$5,$G$1:$H$4,2,FALSE),$E158,2),請求Data!$AF$11:$AF$160)-INDEX($J$9:$J$90,MATCH($E158,$E$9:$E$90,0))</f>
        <v>0</v>
      </c>
      <c r="K158" s="629">
        <f>SUMIF(請求Data!$G$11:$G$160,CONCATENATE(VLOOKUP(G$5,$G$1:$H$4,2,FALSE),$E158,2),請求Data!$AG$11:$AG$160)-INDEX($K$9:$K$90,MATCH($E158,$E$9:$E$90,0))</f>
        <v>0</v>
      </c>
      <c r="L158" s="345"/>
      <c r="M158" s="126">
        <f>VLOOKUP($E158,'集計16-E'!$E$93:N$175,'集計16-E'!$M$7-$D$7,FALSE)+VLOOKUP($E158,'集計F-15'!$E$93:N$175,'集計F-15'!$M$7-$D$7,FALSE)</f>
        <v>0</v>
      </c>
      <c r="N158" s="434">
        <f>VLOOKUP($E158,'集計16-E'!$E$93:N$175,'集計16-E'!$N$7-$D$7,FALSE)+VLOOKUP($E158,'集計F-15'!$E$93:N$175,'集計F-15'!$N$7-$D$7,FALSE)</f>
        <v>0</v>
      </c>
      <c r="O158" s="345"/>
      <c r="P158" s="646">
        <f>VLOOKUP($E158,'集計16-E'!$E$93:W$175,'集計16-E'!$P$7-$D$7,0)+VLOOKUP($E158,'集計F-15'!$E$93:W$175,'集計F-15'!$P$7-$D$7,0)-$S158</f>
        <v>0</v>
      </c>
      <c r="Q158" s="647">
        <f>VLOOKUP($E158,'集計16-E'!$E$93:W$175,'集計16-E'!$Q$7-$D$7,0)+VLOOKUP($E158,'集計F-15'!$E$93:W$175,'集計F-15'!$Q$7-$D$7,0)-$T158</f>
        <v>0</v>
      </c>
      <c r="R158" s="345"/>
      <c r="S158" s="638">
        <f>SUMIF(請求Data!$G$11:$G$160,CONCATENATE(VLOOKUP(P$5,$G$1:$H$4,2,FALSE),$E158,2),請求Data!$AF$11:$AF$160)-S74</f>
        <v>0</v>
      </c>
      <c r="T158" s="647">
        <f>SUMIF(請求Data!$G$11:$G$160,CONCATENATE(VLOOKUP(P$5,$G$1:$H$4,2,FALSE),$E158,2),請求Data!$AG$11:$AG$160)-T74</f>
        <v>0</v>
      </c>
      <c r="U158" s="345"/>
      <c r="V158" s="126">
        <f>VLOOKUP($E158,'集計16-E'!$E$93:W$175,'集計16-E'!$V$7-$D$7,0)+VLOOKUP($E158,'集計F-15'!$E$93:W$175,'集計F-15'!$V$7-$D$7,0)</f>
        <v>0</v>
      </c>
      <c r="W158" s="435">
        <f>VLOOKUP($E158,'集計16-E'!$E$93:W$175,'集計16-E'!$W$7-$D$7,0)+VLOOKUP($E158,'集計F-15'!$E$93:W$175,'集計F-15'!$W$7-$D$7,0)</f>
        <v>0</v>
      </c>
      <c r="X158" s="345"/>
      <c r="Y158" s="646">
        <f>VLOOKUP($E158,'集計16-E'!$E$93:AF$175,'集計16-E'!$Y$7-$D$7,0)+VLOOKUP($E158,'集計F-15'!$E$93:AF$175,'集計F-15'!$Y$7-$D$7,0)-$AB158</f>
        <v>0</v>
      </c>
      <c r="Z158" s="647">
        <f>VLOOKUP($E158,'集計16-E'!$E$93:AF$175,'集計16-E'!$Z$7-$D$7,0)+VLOOKUP($E158,'集計F-15'!$E$93:AF$175,'集計F-15'!$Z$7-$D$7,0)-$AC158</f>
        <v>0</v>
      </c>
      <c r="AA158" s="345"/>
      <c r="AB158" s="638">
        <f>SUMIF(請求Data!$G$11:$G$160,CONCATENATE(VLOOKUP(Y$5,$G$1:$H$4,2,FALSE),$E158,2),請求Data!$AF$11:$AF$160)-AB74</f>
        <v>0</v>
      </c>
      <c r="AC158" s="647">
        <f>SUMIF(請求Data!$G$11:$G$160,CONCATENATE(VLOOKUP(Y$5,$G$1:$H$4,2,FALSE),$E158,2),請求Data!$AG$11:$AG$160)-AC74</f>
        <v>0</v>
      </c>
      <c r="AD158" s="345"/>
      <c r="AE158" s="126">
        <f>VLOOKUP($E158,'集計16-E'!$E$93:AF$175,'集計16-E'!$AE$7-$D$7,0)+VLOOKUP($E158,'集計F-15'!$E$93:AF$175,'集計F-15'!$AE$7-$D$7,0)</f>
        <v>0</v>
      </c>
      <c r="AF158" s="435">
        <f>VLOOKUP($E158,'集計16-E'!$E$93:AF$175,'集計16-E'!$AF$7-$D$7,0)+VLOOKUP($E158,'集計F-15'!$E$93:AF$175,'集計F-15'!$AF$7-$D$7,0)</f>
        <v>0</v>
      </c>
    </row>
    <row r="159" spans="1:32">
      <c r="A159" s="475" t="str">
        <f>IF(SUMIFS($G159:$AF159,$G$8:$AF$8,"金額",$G159:$AF159,"&gt;0")-SUMIFS($G159:$AF159,$G$8:$AF$8,"金額",$G159:$AF159,"&lt;0")&lt;=0,"",MAX($A$92:$A158)+1)</f>
        <v/>
      </c>
      <c r="B159" s="795"/>
      <c r="C159" s="245" t="str">
        <f t="shared" si="5"/>
        <v>経費</v>
      </c>
      <c r="D159" s="245">
        <v>67</v>
      </c>
      <c r="E159" s="593" t="str">
        <f>IF($F159&lt;&gt;"",INDEX(ﾏｽﾀ!$D$8:$D$124,MATCH(INDEX(ﾏｽﾀ!$N$8:$N$124,MATCH($F159,ﾏｽﾀ!$O$8:$O$124,0)),ﾏｽﾀ!$B$8:$B$124,0))&amp;"","")</f>
        <v/>
      </c>
      <c r="F159" s="594" t="str">
        <f>ﾏｽﾀ!$R74&amp;""</f>
        <v/>
      </c>
      <c r="G159" s="634">
        <f>VLOOKUP($E159,'集計16-E'!$E$93:N$174,'集計16-E'!$G$7-$D$7,FALSE)+VLOOKUP($E159,'集計F-15'!$E$93:N$174,'集計F-15'!$G$7-$D$7,FALSE)-INDEX($J$93:$J$174,MATCH($E159,$E$93:$E$174,0))</f>
        <v>0</v>
      </c>
      <c r="H159" s="629">
        <f>VLOOKUP($E159,'集計16-E'!$E$93:N$174,'集計16-E'!$H$7-$D$7,FALSE)+VLOOKUP($E159,'集計F-15'!$E$93:N$174,'集計F-15'!$H$7-$D$7,FALSE)-INDEX($K$93:$K$174,MATCH($E159,$E$93:$E$174,0))</f>
        <v>0</v>
      </c>
      <c r="I159" s="345"/>
      <c r="J159" s="628">
        <f>SUMIF(請求Data!$G$11:$G$160,CONCATENATE(VLOOKUP(G$5,$G$1:$H$4,2,FALSE),$E159,2),請求Data!$AF$11:$AF$160)-INDEX($J$9:$J$90,MATCH($E159,$E$9:$E$90,0))</f>
        <v>0</v>
      </c>
      <c r="K159" s="629">
        <f>SUMIF(請求Data!$G$11:$G$160,CONCATENATE(VLOOKUP(G$5,$G$1:$H$4,2,FALSE),$E159,2),請求Data!$AG$11:$AG$160)-INDEX($K$9:$K$90,MATCH($E159,$E$9:$E$90,0))</f>
        <v>0</v>
      </c>
      <c r="L159" s="345"/>
      <c r="M159" s="126">
        <f>VLOOKUP($E159,'集計16-E'!$E$93:N$175,'集計16-E'!$M$7-$D$7,FALSE)+VLOOKUP($E159,'集計F-15'!$E$93:N$175,'集計F-15'!$M$7-$D$7,FALSE)</f>
        <v>0</v>
      </c>
      <c r="N159" s="434">
        <f>VLOOKUP($E159,'集計16-E'!$E$93:N$175,'集計16-E'!$N$7-$D$7,FALSE)+VLOOKUP($E159,'集計F-15'!$E$93:N$175,'集計F-15'!$N$7-$D$7,FALSE)</f>
        <v>0</v>
      </c>
      <c r="O159" s="345"/>
      <c r="P159" s="646">
        <f>VLOOKUP($E159,'集計16-E'!$E$93:W$175,'集計16-E'!$P$7-$D$7,0)+VLOOKUP($E159,'集計F-15'!$E$93:W$175,'集計F-15'!$P$7-$D$7,0)-$S159</f>
        <v>0</v>
      </c>
      <c r="Q159" s="647">
        <f>VLOOKUP($E159,'集計16-E'!$E$93:W$175,'集計16-E'!$Q$7-$D$7,0)+VLOOKUP($E159,'集計F-15'!$E$93:W$175,'集計F-15'!$Q$7-$D$7,0)-$T159</f>
        <v>0</v>
      </c>
      <c r="R159" s="345"/>
      <c r="S159" s="638">
        <f>SUMIF(請求Data!$G$11:$G$160,CONCATENATE(VLOOKUP(P$5,$G$1:$H$4,2,FALSE),$E159,2),請求Data!$AF$11:$AF$160)-S75</f>
        <v>0</v>
      </c>
      <c r="T159" s="647">
        <f>SUMIF(請求Data!$G$11:$G$160,CONCATENATE(VLOOKUP(P$5,$G$1:$H$4,2,FALSE),$E159,2),請求Data!$AG$11:$AG$160)-T75</f>
        <v>0</v>
      </c>
      <c r="U159" s="345"/>
      <c r="V159" s="126">
        <f>VLOOKUP($E159,'集計16-E'!$E$93:W$175,'集計16-E'!$V$7-$D$7,0)+VLOOKUP($E159,'集計F-15'!$E$93:W$175,'集計F-15'!$V$7-$D$7,0)</f>
        <v>0</v>
      </c>
      <c r="W159" s="435">
        <f>VLOOKUP($E159,'集計16-E'!$E$93:W$175,'集計16-E'!$W$7-$D$7,0)+VLOOKUP($E159,'集計F-15'!$E$93:W$175,'集計F-15'!$W$7-$D$7,0)</f>
        <v>0</v>
      </c>
      <c r="X159" s="345"/>
      <c r="Y159" s="646">
        <f>VLOOKUP($E159,'集計16-E'!$E$93:AF$175,'集計16-E'!$Y$7-$D$7,0)+VLOOKUP($E159,'集計F-15'!$E$93:AF$175,'集計F-15'!$Y$7-$D$7,0)-$AB159</f>
        <v>0</v>
      </c>
      <c r="Z159" s="647">
        <f>VLOOKUP($E159,'集計16-E'!$E$93:AF$175,'集計16-E'!$Z$7-$D$7,0)+VLOOKUP($E159,'集計F-15'!$E$93:AF$175,'集計F-15'!$Z$7-$D$7,0)-$AC159</f>
        <v>0</v>
      </c>
      <c r="AA159" s="345"/>
      <c r="AB159" s="638">
        <f>SUMIF(請求Data!$G$11:$G$160,CONCATENATE(VLOOKUP(Y$5,$G$1:$H$4,2,FALSE),$E159,2),請求Data!$AF$11:$AF$160)-AB75</f>
        <v>0</v>
      </c>
      <c r="AC159" s="647">
        <f>SUMIF(請求Data!$G$11:$G$160,CONCATENATE(VLOOKUP(Y$5,$G$1:$H$4,2,FALSE),$E159,2),請求Data!$AG$11:$AG$160)-AC75</f>
        <v>0</v>
      </c>
      <c r="AD159" s="345"/>
      <c r="AE159" s="126">
        <f>VLOOKUP($E159,'集計16-E'!$E$93:AF$175,'集計16-E'!$AE$7-$D$7,0)+VLOOKUP($E159,'集計F-15'!$E$93:AF$175,'集計F-15'!$AE$7-$D$7,0)</f>
        <v>0</v>
      </c>
      <c r="AF159" s="435">
        <f>VLOOKUP($E159,'集計16-E'!$E$93:AF$175,'集計16-E'!$AF$7-$D$7,0)+VLOOKUP($E159,'集計F-15'!$E$93:AF$175,'集計F-15'!$AF$7-$D$7,0)</f>
        <v>0</v>
      </c>
    </row>
    <row r="160" spans="1:32">
      <c r="A160" s="475" t="str">
        <f>IF(SUMIFS($G160:$AF160,$G$8:$AF$8,"金額",$G160:$AF160,"&gt;0")-SUMIFS($G160:$AF160,$G$8:$AF$8,"金額",$G160:$AF160,"&lt;0")&lt;=0,"",MAX($A$92:$A159)+1)</f>
        <v/>
      </c>
      <c r="B160" s="795"/>
      <c r="C160" s="245" t="str">
        <f t="shared" si="5"/>
        <v>経費</v>
      </c>
      <c r="D160" s="245">
        <v>68</v>
      </c>
      <c r="E160" s="593" t="str">
        <f>IF($F160&lt;&gt;"",INDEX(ﾏｽﾀ!$D$8:$D$124,MATCH(INDEX(ﾏｽﾀ!$N$8:$N$124,MATCH($F160,ﾏｽﾀ!$O$8:$O$124,0)),ﾏｽﾀ!$B$8:$B$124,0))&amp;"","")</f>
        <v/>
      </c>
      <c r="F160" s="594" t="str">
        <f>ﾏｽﾀ!$R75&amp;""</f>
        <v/>
      </c>
      <c r="G160" s="634">
        <f>VLOOKUP($E160,'集計16-E'!$E$93:N$174,'集計16-E'!$G$7-$D$7,FALSE)+VLOOKUP($E160,'集計F-15'!$E$93:N$174,'集計F-15'!$G$7-$D$7,FALSE)-INDEX($J$93:$J$174,MATCH($E160,$E$93:$E$174,0))</f>
        <v>0</v>
      </c>
      <c r="H160" s="629">
        <f>VLOOKUP($E160,'集計16-E'!$E$93:N$174,'集計16-E'!$H$7-$D$7,FALSE)+VLOOKUP($E160,'集計F-15'!$E$93:N$174,'集計F-15'!$H$7-$D$7,FALSE)-INDEX($K$93:$K$174,MATCH($E160,$E$93:$E$174,0))</f>
        <v>0</v>
      </c>
      <c r="I160" s="345"/>
      <c r="J160" s="628">
        <f>SUMIF(請求Data!$G$11:$G$160,CONCATENATE(VLOOKUP(G$5,$G$1:$H$4,2,FALSE),$E160,2),請求Data!$AF$11:$AF$160)-INDEX($J$9:$J$90,MATCH($E160,$E$9:$E$90,0))</f>
        <v>0</v>
      </c>
      <c r="K160" s="629">
        <f>SUMIF(請求Data!$G$11:$G$160,CONCATENATE(VLOOKUP(G$5,$G$1:$H$4,2,FALSE),$E160,2),請求Data!$AG$11:$AG$160)-INDEX($K$9:$K$90,MATCH($E160,$E$9:$E$90,0))</f>
        <v>0</v>
      </c>
      <c r="L160" s="345"/>
      <c r="M160" s="126">
        <f>VLOOKUP($E160,'集計16-E'!$E$93:N$175,'集計16-E'!$M$7-$D$7,FALSE)+VLOOKUP($E160,'集計F-15'!$E$93:N$175,'集計F-15'!$M$7-$D$7,FALSE)</f>
        <v>0</v>
      </c>
      <c r="N160" s="434">
        <f>VLOOKUP($E160,'集計16-E'!$E$93:N$175,'集計16-E'!$N$7-$D$7,FALSE)+VLOOKUP($E160,'集計F-15'!$E$93:N$175,'集計F-15'!$N$7-$D$7,FALSE)</f>
        <v>0</v>
      </c>
      <c r="O160" s="345"/>
      <c r="P160" s="646">
        <f>VLOOKUP($E160,'集計16-E'!$E$93:W$175,'集計16-E'!$P$7-$D$7,0)+VLOOKUP($E160,'集計F-15'!$E$93:W$175,'集計F-15'!$P$7-$D$7,0)-$S160</f>
        <v>0</v>
      </c>
      <c r="Q160" s="647">
        <f>VLOOKUP($E160,'集計16-E'!$E$93:W$175,'集計16-E'!$Q$7-$D$7,0)+VLOOKUP($E160,'集計F-15'!$E$93:W$175,'集計F-15'!$Q$7-$D$7,0)-$T160</f>
        <v>0</v>
      </c>
      <c r="R160" s="345"/>
      <c r="S160" s="638">
        <f>SUMIF(請求Data!$G$11:$G$160,CONCATENATE(VLOOKUP(P$5,$G$1:$H$4,2,FALSE),$E160,2),請求Data!$AF$11:$AF$160)-S76</f>
        <v>0</v>
      </c>
      <c r="T160" s="647">
        <f>SUMIF(請求Data!$G$11:$G$160,CONCATENATE(VLOOKUP(P$5,$G$1:$H$4,2,FALSE),$E160,2),請求Data!$AG$11:$AG$160)-T76</f>
        <v>0</v>
      </c>
      <c r="U160" s="345"/>
      <c r="V160" s="126">
        <f>VLOOKUP($E160,'集計16-E'!$E$93:W$175,'集計16-E'!$V$7-$D$7,0)+VLOOKUP($E160,'集計F-15'!$E$93:W$175,'集計F-15'!$V$7-$D$7,0)</f>
        <v>0</v>
      </c>
      <c r="W160" s="435">
        <f>VLOOKUP($E160,'集計16-E'!$E$93:W$175,'集計16-E'!$W$7-$D$7,0)+VLOOKUP($E160,'集計F-15'!$E$93:W$175,'集計F-15'!$W$7-$D$7,0)</f>
        <v>0</v>
      </c>
      <c r="X160" s="345"/>
      <c r="Y160" s="646">
        <f>VLOOKUP($E160,'集計16-E'!$E$93:AF$175,'集計16-E'!$Y$7-$D$7,0)+VLOOKUP($E160,'集計F-15'!$E$93:AF$175,'集計F-15'!$Y$7-$D$7,0)-$AB160</f>
        <v>0</v>
      </c>
      <c r="Z160" s="647">
        <f>VLOOKUP($E160,'集計16-E'!$E$93:AF$175,'集計16-E'!$Z$7-$D$7,0)+VLOOKUP($E160,'集計F-15'!$E$93:AF$175,'集計F-15'!$Z$7-$D$7,0)-$AC160</f>
        <v>0</v>
      </c>
      <c r="AA160" s="345"/>
      <c r="AB160" s="638">
        <f>SUMIF(請求Data!$G$11:$G$160,CONCATENATE(VLOOKUP(Y$5,$G$1:$H$4,2,FALSE),$E160,2),請求Data!$AF$11:$AF$160)-AB76</f>
        <v>0</v>
      </c>
      <c r="AC160" s="647">
        <f>SUMIF(請求Data!$G$11:$G$160,CONCATENATE(VLOOKUP(Y$5,$G$1:$H$4,2,FALSE),$E160,2),請求Data!$AG$11:$AG$160)-AC76</f>
        <v>0</v>
      </c>
      <c r="AD160" s="345"/>
      <c r="AE160" s="126">
        <f>VLOOKUP($E160,'集計16-E'!$E$93:AF$175,'集計16-E'!$AE$7-$D$7,0)+VLOOKUP($E160,'集計F-15'!$E$93:AF$175,'集計F-15'!$AE$7-$D$7,0)</f>
        <v>0</v>
      </c>
      <c r="AF160" s="435">
        <f>VLOOKUP($E160,'集計16-E'!$E$93:AF$175,'集計16-E'!$AF$7-$D$7,0)+VLOOKUP($E160,'集計F-15'!$E$93:AF$175,'集計F-15'!$AF$7-$D$7,0)</f>
        <v>0</v>
      </c>
    </row>
    <row r="161" spans="1:32">
      <c r="A161" s="475" t="str">
        <f>IF(SUMIFS($G161:$AF161,$G$8:$AF$8,"金額",$G161:$AF161,"&gt;0")-SUMIFS($G161:$AF161,$G$8:$AF$8,"金額",$G161:$AF161,"&lt;0")&lt;=0,"",MAX($A$92:$A160)+1)</f>
        <v/>
      </c>
      <c r="B161" s="795"/>
      <c r="C161" s="245" t="str">
        <f t="shared" si="5"/>
        <v>経費</v>
      </c>
      <c r="D161" s="245">
        <v>69</v>
      </c>
      <c r="E161" s="593" t="str">
        <f>IF($F161&lt;&gt;"",INDEX(ﾏｽﾀ!$D$8:$D$124,MATCH(INDEX(ﾏｽﾀ!$N$8:$N$124,MATCH($F161,ﾏｽﾀ!$O$8:$O$124,0)),ﾏｽﾀ!$B$8:$B$124,0))&amp;"","")</f>
        <v/>
      </c>
      <c r="F161" s="594" t="str">
        <f>ﾏｽﾀ!$R76&amp;""</f>
        <v/>
      </c>
      <c r="G161" s="634">
        <f>VLOOKUP($E161,'集計16-E'!$E$93:N$174,'集計16-E'!$G$7-$D$7,FALSE)+VLOOKUP($E161,'集計F-15'!$E$93:N$174,'集計F-15'!$G$7-$D$7,FALSE)-INDEX($J$93:$J$174,MATCH($E161,$E$93:$E$174,0))</f>
        <v>0</v>
      </c>
      <c r="H161" s="629">
        <f>VLOOKUP($E161,'集計16-E'!$E$93:N$174,'集計16-E'!$H$7-$D$7,FALSE)+VLOOKUP($E161,'集計F-15'!$E$93:N$174,'集計F-15'!$H$7-$D$7,FALSE)-INDEX($K$93:$K$174,MATCH($E161,$E$93:$E$174,0))</f>
        <v>0</v>
      </c>
      <c r="I161" s="345"/>
      <c r="J161" s="628">
        <f>SUMIF(請求Data!$G$11:$G$160,CONCATENATE(VLOOKUP(G$5,$G$1:$H$4,2,FALSE),$E161,2),請求Data!$AF$11:$AF$160)-INDEX($J$9:$J$90,MATCH($E161,$E$9:$E$90,0))</f>
        <v>0</v>
      </c>
      <c r="K161" s="629">
        <f>SUMIF(請求Data!$G$11:$G$160,CONCATENATE(VLOOKUP(G$5,$G$1:$H$4,2,FALSE),$E161,2),請求Data!$AG$11:$AG$160)-INDEX($K$9:$K$90,MATCH($E161,$E$9:$E$90,0))</f>
        <v>0</v>
      </c>
      <c r="L161" s="345"/>
      <c r="M161" s="126">
        <f>VLOOKUP($E161,'集計16-E'!$E$93:N$175,'集計16-E'!$M$7-$D$7,FALSE)+VLOOKUP($E161,'集計F-15'!$E$93:N$175,'集計F-15'!$M$7-$D$7,FALSE)</f>
        <v>0</v>
      </c>
      <c r="N161" s="434">
        <f>VLOOKUP($E161,'集計16-E'!$E$93:N$175,'集計16-E'!$N$7-$D$7,FALSE)+VLOOKUP($E161,'集計F-15'!$E$93:N$175,'集計F-15'!$N$7-$D$7,FALSE)</f>
        <v>0</v>
      </c>
      <c r="O161" s="345"/>
      <c r="P161" s="646">
        <f>VLOOKUP($E161,'集計16-E'!$E$93:W$175,'集計16-E'!$P$7-$D$7,0)+VLOOKUP($E161,'集計F-15'!$E$93:W$175,'集計F-15'!$P$7-$D$7,0)-$S161</f>
        <v>0</v>
      </c>
      <c r="Q161" s="647">
        <f>VLOOKUP($E161,'集計16-E'!$E$93:W$175,'集計16-E'!$Q$7-$D$7,0)+VLOOKUP($E161,'集計F-15'!$E$93:W$175,'集計F-15'!$Q$7-$D$7,0)-$T161</f>
        <v>0</v>
      </c>
      <c r="R161" s="345"/>
      <c r="S161" s="638">
        <f>SUMIF(請求Data!$G$11:$G$160,CONCATENATE(VLOOKUP(P$5,$G$1:$H$4,2,FALSE),$E161,2),請求Data!$AF$11:$AF$160)-S77</f>
        <v>0</v>
      </c>
      <c r="T161" s="647">
        <f>SUMIF(請求Data!$G$11:$G$160,CONCATENATE(VLOOKUP(P$5,$G$1:$H$4,2,FALSE),$E161,2),請求Data!$AG$11:$AG$160)-T77</f>
        <v>0</v>
      </c>
      <c r="U161" s="345"/>
      <c r="V161" s="126">
        <f>VLOOKUP($E161,'集計16-E'!$E$93:W$175,'集計16-E'!$V$7-$D$7,0)+VLOOKUP($E161,'集計F-15'!$E$93:W$175,'集計F-15'!$V$7-$D$7,0)</f>
        <v>0</v>
      </c>
      <c r="W161" s="435">
        <f>VLOOKUP($E161,'集計16-E'!$E$93:W$175,'集計16-E'!$W$7-$D$7,0)+VLOOKUP($E161,'集計F-15'!$E$93:W$175,'集計F-15'!$W$7-$D$7,0)</f>
        <v>0</v>
      </c>
      <c r="X161" s="345"/>
      <c r="Y161" s="646">
        <f>VLOOKUP($E161,'集計16-E'!$E$93:AF$175,'集計16-E'!$Y$7-$D$7,0)+VLOOKUP($E161,'集計F-15'!$E$93:AF$175,'集計F-15'!$Y$7-$D$7,0)-$AB161</f>
        <v>0</v>
      </c>
      <c r="Z161" s="647">
        <f>VLOOKUP($E161,'集計16-E'!$E$93:AF$175,'集計16-E'!$Z$7-$D$7,0)+VLOOKUP($E161,'集計F-15'!$E$93:AF$175,'集計F-15'!$Z$7-$D$7,0)-$AC161</f>
        <v>0</v>
      </c>
      <c r="AA161" s="345"/>
      <c r="AB161" s="638">
        <f>SUMIF(請求Data!$G$11:$G$160,CONCATENATE(VLOOKUP(Y$5,$G$1:$H$4,2,FALSE),$E161,2),請求Data!$AF$11:$AF$160)-AB77</f>
        <v>0</v>
      </c>
      <c r="AC161" s="647">
        <f>SUMIF(請求Data!$G$11:$G$160,CONCATENATE(VLOOKUP(Y$5,$G$1:$H$4,2,FALSE),$E161,2),請求Data!$AG$11:$AG$160)-AC77</f>
        <v>0</v>
      </c>
      <c r="AD161" s="345"/>
      <c r="AE161" s="126">
        <f>VLOOKUP($E161,'集計16-E'!$E$93:AF$175,'集計16-E'!$AE$7-$D$7,0)+VLOOKUP($E161,'集計F-15'!$E$93:AF$175,'集計F-15'!$AE$7-$D$7,0)</f>
        <v>0</v>
      </c>
      <c r="AF161" s="435">
        <f>VLOOKUP($E161,'集計16-E'!$E$93:AF$175,'集計16-E'!$AF$7-$D$7,0)+VLOOKUP($E161,'集計F-15'!$E$93:AF$175,'集計F-15'!$AF$7-$D$7,0)</f>
        <v>0</v>
      </c>
    </row>
    <row r="162" spans="1:32">
      <c r="A162" s="475" t="str">
        <f>IF(SUMIFS($G162:$AF162,$G$8:$AF$8,"金額",$G162:$AF162,"&gt;0")-SUMIFS($G162:$AF162,$G$8:$AF$8,"金額",$G162:$AF162,"&lt;0")&lt;=0,"",MAX($A$92:$A161)+1)</f>
        <v/>
      </c>
      <c r="B162" s="795"/>
      <c r="C162" s="245" t="str">
        <f t="shared" si="5"/>
        <v>経費</v>
      </c>
      <c r="D162" s="245">
        <v>70</v>
      </c>
      <c r="E162" s="593" t="str">
        <f>IF($F162&lt;&gt;"",INDEX(ﾏｽﾀ!$D$8:$D$124,MATCH(INDEX(ﾏｽﾀ!$N$8:$N$124,MATCH($F162,ﾏｽﾀ!$O$8:$O$124,0)),ﾏｽﾀ!$B$8:$B$124,0))&amp;"","")</f>
        <v/>
      </c>
      <c r="F162" s="594" t="str">
        <f>ﾏｽﾀ!$R77&amp;""</f>
        <v/>
      </c>
      <c r="G162" s="634">
        <f>VLOOKUP($E162,'集計16-E'!$E$93:N$174,'集計16-E'!$G$7-$D$7,FALSE)+VLOOKUP($E162,'集計F-15'!$E$93:N$174,'集計F-15'!$G$7-$D$7,FALSE)-INDEX($J$93:$J$174,MATCH($E162,$E$93:$E$174,0))</f>
        <v>0</v>
      </c>
      <c r="H162" s="629">
        <f>VLOOKUP($E162,'集計16-E'!$E$93:N$174,'集計16-E'!$H$7-$D$7,FALSE)+VLOOKUP($E162,'集計F-15'!$E$93:N$174,'集計F-15'!$H$7-$D$7,FALSE)-INDEX($K$93:$K$174,MATCH($E162,$E$93:$E$174,0))</f>
        <v>0</v>
      </c>
      <c r="I162" s="345"/>
      <c r="J162" s="628">
        <f>SUMIF(請求Data!$G$11:$G$160,CONCATENATE(VLOOKUP(G$5,$G$1:$H$4,2,FALSE),$E162,2),請求Data!$AF$11:$AF$160)-INDEX($J$9:$J$90,MATCH($E162,$E$9:$E$90,0))</f>
        <v>0</v>
      </c>
      <c r="K162" s="629">
        <f>SUMIF(請求Data!$G$11:$G$160,CONCATENATE(VLOOKUP(G$5,$G$1:$H$4,2,FALSE),$E162,2),請求Data!$AG$11:$AG$160)-INDEX($K$9:$K$90,MATCH($E162,$E$9:$E$90,0))</f>
        <v>0</v>
      </c>
      <c r="L162" s="345"/>
      <c r="M162" s="126">
        <f>VLOOKUP($E162,'集計16-E'!$E$93:N$175,'集計16-E'!$M$7-$D$7,FALSE)+VLOOKUP($E162,'集計F-15'!$E$93:N$175,'集計F-15'!$M$7-$D$7,FALSE)</f>
        <v>0</v>
      </c>
      <c r="N162" s="434">
        <f>VLOOKUP($E162,'集計16-E'!$E$93:N$175,'集計16-E'!$N$7-$D$7,FALSE)+VLOOKUP($E162,'集計F-15'!$E$93:N$175,'集計F-15'!$N$7-$D$7,FALSE)</f>
        <v>0</v>
      </c>
      <c r="O162" s="345"/>
      <c r="P162" s="646">
        <f>VLOOKUP($E162,'集計16-E'!$E$93:W$175,'集計16-E'!$P$7-$D$7,0)+VLOOKUP($E162,'集計F-15'!$E$93:W$175,'集計F-15'!$P$7-$D$7,0)-$S162</f>
        <v>0</v>
      </c>
      <c r="Q162" s="647">
        <f>VLOOKUP($E162,'集計16-E'!$E$93:W$175,'集計16-E'!$Q$7-$D$7,0)+VLOOKUP($E162,'集計F-15'!$E$93:W$175,'集計F-15'!$Q$7-$D$7,0)-$T162</f>
        <v>0</v>
      </c>
      <c r="R162" s="345"/>
      <c r="S162" s="638">
        <f>SUMIF(請求Data!$G$11:$G$160,CONCATENATE(VLOOKUP(P$5,$G$1:$H$4,2,FALSE),$E162,2),請求Data!$AF$11:$AF$160)-S78</f>
        <v>0</v>
      </c>
      <c r="T162" s="647">
        <f>SUMIF(請求Data!$G$11:$G$160,CONCATENATE(VLOOKUP(P$5,$G$1:$H$4,2,FALSE),$E162,2),請求Data!$AG$11:$AG$160)-T78</f>
        <v>0</v>
      </c>
      <c r="U162" s="345"/>
      <c r="V162" s="126">
        <f>VLOOKUP($E162,'集計16-E'!$E$93:W$175,'集計16-E'!$V$7-$D$7,0)+VLOOKUP($E162,'集計F-15'!$E$93:W$175,'集計F-15'!$V$7-$D$7,0)</f>
        <v>0</v>
      </c>
      <c r="W162" s="435">
        <f>VLOOKUP($E162,'集計16-E'!$E$93:W$175,'集計16-E'!$W$7-$D$7,0)+VLOOKUP($E162,'集計F-15'!$E$93:W$175,'集計F-15'!$W$7-$D$7,0)</f>
        <v>0</v>
      </c>
      <c r="X162" s="345"/>
      <c r="Y162" s="646">
        <f>VLOOKUP($E162,'集計16-E'!$E$93:AF$175,'集計16-E'!$Y$7-$D$7,0)+VLOOKUP($E162,'集計F-15'!$E$93:AF$175,'集計F-15'!$Y$7-$D$7,0)-$AB162</f>
        <v>0</v>
      </c>
      <c r="Z162" s="647">
        <f>VLOOKUP($E162,'集計16-E'!$E$93:AF$175,'集計16-E'!$Z$7-$D$7,0)+VLOOKUP($E162,'集計F-15'!$E$93:AF$175,'集計F-15'!$Z$7-$D$7,0)-$AC162</f>
        <v>0</v>
      </c>
      <c r="AA162" s="345"/>
      <c r="AB162" s="638">
        <f>SUMIF(請求Data!$G$11:$G$160,CONCATENATE(VLOOKUP(Y$5,$G$1:$H$4,2,FALSE),$E162,2),請求Data!$AF$11:$AF$160)-AB78</f>
        <v>0</v>
      </c>
      <c r="AC162" s="647">
        <f>SUMIF(請求Data!$G$11:$G$160,CONCATENATE(VLOOKUP(Y$5,$G$1:$H$4,2,FALSE),$E162,2),請求Data!$AG$11:$AG$160)-AC78</f>
        <v>0</v>
      </c>
      <c r="AD162" s="345"/>
      <c r="AE162" s="126">
        <f>VLOOKUP($E162,'集計16-E'!$E$93:AF$175,'集計16-E'!$AE$7-$D$7,0)+VLOOKUP($E162,'集計F-15'!$E$93:AF$175,'集計F-15'!$AE$7-$D$7,0)</f>
        <v>0</v>
      </c>
      <c r="AF162" s="435">
        <f>VLOOKUP($E162,'集計16-E'!$E$93:AF$175,'集計16-E'!$AF$7-$D$7,0)+VLOOKUP($E162,'集計F-15'!$E$93:AF$175,'集計F-15'!$AF$7-$D$7,0)</f>
        <v>0</v>
      </c>
    </row>
    <row r="163" spans="1:32">
      <c r="A163" s="475" t="str">
        <f>IF(SUMIFS($G163:$AF163,$G$8:$AF$8,"金額",$G163:$AF163,"&gt;0")-SUMIFS($G163:$AF163,$G$8:$AF$8,"金額",$G163:$AF163,"&lt;0")&lt;=0,"",MAX($A$92:$A162)+1)</f>
        <v/>
      </c>
      <c r="B163" s="795"/>
      <c r="C163" s="245" t="str">
        <f t="shared" si="5"/>
        <v>経費</v>
      </c>
      <c r="D163" s="245">
        <v>71</v>
      </c>
      <c r="E163" s="593" t="str">
        <f>IF($F163&lt;&gt;"",INDEX(ﾏｽﾀ!$D$8:$D$124,MATCH(INDEX(ﾏｽﾀ!$N$8:$N$124,MATCH($F163,ﾏｽﾀ!$O$8:$O$124,0)),ﾏｽﾀ!$B$8:$B$124,0))&amp;"","")</f>
        <v/>
      </c>
      <c r="F163" s="594" t="str">
        <f>ﾏｽﾀ!$R78&amp;""</f>
        <v/>
      </c>
      <c r="G163" s="634">
        <f>VLOOKUP($E163,'集計16-E'!$E$93:N$174,'集計16-E'!$G$7-$D$7,FALSE)+VLOOKUP($E163,'集計F-15'!$E$93:N$174,'集計F-15'!$G$7-$D$7,FALSE)-INDEX($J$93:$J$174,MATCH($E163,$E$93:$E$174,0))</f>
        <v>0</v>
      </c>
      <c r="H163" s="629">
        <f>VLOOKUP($E163,'集計16-E'!$E$93:N$174,'集計16-E'!$H$7-$D$7,FALSE)+VLOOKUP($E163,'集計F-15'!$E$93:N$174,'集計F-15'!$H$7-$D$7,FALSE)-INDEX($K$93:$K$174,MATCH($E163,$E$93:$E$174,0))</f>
        <v>0</v>
      </c>
      <c r="I163" s="345"/>
      <c r="J163" s="628">
        <f>SUMIF(請求Data!$G$11:$G$160,CONCATENATE(VLOOKUP(G$5,$G$1:$H$4,2,FALSE),$E163,2),請求Data!$AF$11:$AF$160)-INDEX($J$9:$J$90,MATCH($E163,$E$9:$E$90,0))</f>
        <v>0</v>
      </c>
      <c r="K163" s="629">
        <f>SUMIF(請求Data!$G$11:$G$160,CONCATENATE(VLOOKUP(G$5,$G$1:$H$4,2,FALSE),$E163,2),請求Data!$AG$11:$AG$160)-INDEX($K$9:$K$90,MATCH($E163,$E$9:$E$90,0))</f>
        <v>0</v>
      </c>
      <c r="L163" s="345"/>
      <c r="M163" s="126">
        <f>VLOOKUP($E163,'集計16-E'!$E$93:N$175,'集計16-E'!$M$7-$D$7,FALSE)+VLOOKUP($E163,'集計F-15'!$E$93:N$175,'集計F-15'!$M$7-$D$7,FALSE)</f>
        <v>0</v>
      </c>
      <c r="N163" s="434">
        <f>VLOOKUP($E163,'集計16-E'!$E$93:N$175,'集計16-E'!$N$7-$D$7,FALSE)+VLOOKUP($E163,'集計F-15'!$E$93:N$175,'集計F-15'!$N$7-$D$7,FALSE)</f>
        <v>0</v>
      </c>
      <c r="O163" s="345"/>
      <c r="P163" s="646">
        <f>VLOOKUP($E163,'集計16-E'!$E$93:W$175,'集計16-E'!$P$7-$D$7,0)+VLOOKUP($E163,'集計F-15'!$E$93:W$175,'集計F-15'!$P$7-$D$7,0)-$S163</f>
        <v>0</v>
      </c>
      <c r="Q163" s="647">
        <f>VLOOKUP($E163,'集計16-E'!$E$93:W$175,'集計16-E'!$Q$7-$D$7,0)+VLOOKUP($E163,'集計F-15'!$E$93:W$175,'集計F-15'!$Q$7-$D$7,0)-$T163</f>
        <v>0</v>
      </c>
      <c r="R163" s="345"/>
      <c r="S163" s="638">
        <f>SUMIF(請求Data!$G$11:$G$160,CONCATENATE(VLOOKUP(P$5,$G$1:$H$4,2,FALSE),$E163,2),請求Data!$AF$11:$AF$160)-S79</f>
        <v>0</v>
      </c>
      <c r="T163" s="647">
        <f>SUMIF(請求Data!$G$11:$G$160,CONCATENATE(VLOOKUP(P$5,$G$1:$H$4,2,FALSE),$E163,2),請求Data!$AG$11:$AG$160)-T79</f>
        <v>0</v>
      </c>
      <c r="U163" s="345"/>
      <c r="V163" s="126">
        <f>VLOOKUP($E163,'集計16-E'!$E$93:W$175,'集計16-E'!$V$7-$D$7,0)+VLOOKUP($E163,'集計F-15'!$E$93:W$175,'集計F-15'!$V$7-$D$7,0)</f>
        <v>0</v>
      </c>
      <c r="W163" s="435">
        <f>VLOOKUP($E163,'集計16-E'!$E$93:W$175,'集計16-E'!$W$7-$D$7,0)+VLOOKUP($E163,'集計F-15'!$E$93:W$175,'集計F-15'!$W$7-$D$7,0)</f>
        <v>0</v>
      </c>
      <c r="X163" s="345"/>
      <c r="Y163" s="646">
        <f>VLOOKUP($E163,'集計16-E'!$E$93:AF$175,'集計16-E'!$Y$7-$D$7,0)+VLOOKUP($E163,'集計F-15'!$E$93:AF$175,'集計F-15'!$Y$7-$D$7,0)-$AB163</f>
        <v>0</v>
      </c>
      <c r="Z163" s="647">
        <f>VLOOKUP($E163,'集計16-E'!$E$93:AF$175,'集計16-E'!$Z$7-$D$7,0)+VLOOKUP($E163,'集計F-15'!$E$93:AF$175,'集計F-15'!$Z$7-$D$7,0)-$AC163</f>
        <v>0</v>
      </c>
      <c r="AA163" s="345"/>
      <c r="AB163" s="638">
        <f>SUMIF(請求Data!$G$11:$G$160,CONCATENATE(VLOOKUP(Y$5,$G$1:$H$4,2,FALSE),$E163,2),請求Data!$AF$11:$AF$160)-AB79</f>
        <v>0</v>
      </c>
      <c r="AC163" s="647">
        <f>SUMIF(請求Data!$G$11:$G$160,CONCATENATE(VLOOKUP(Y$5,$G$1:$H$4,2,FALSE),$E163,2),請求Data!$AG$11:$AG$160)-AC79</f>
        <v>0</v>
      </c>
      <c r="AD163" s="345"/>
      <c r="AE163" s="126">
        <f>VLOOKUP($E163,'集計16-E'!$E$93:AF$175,'集計16-E'!$AE$7-$D$7,0)+VLOOKUP($E163,'集計F-15'!$E$93:AF$175,'集計F-15'!$AE$7-$D$7,0)</f>
        <v>0</v>
      </c>
      <c r="AF163" s="435">
        <f>VLOOKUP($E163,'集計16-E'!$E$93:AF$175,'集計16-E'!$AF$7-$D$7,0)+VLOOKUP($E163,'集計F-15'!$E$93:AF$175,'集計F-15'!$AF$7-$D$7,0)</f>
        <v>0</v>
      </c>
    </row>
    <row r="164" spans="1:32">
      <c r="A164" s="475" t="str">
        <f>IF(SUMIFS($G164:$AF164,$G$8:$AF$8,"金額",$G164:$AF164,"&gt;0")-SUMIFS($G164:$AF164,$G$8:$AF$8,"金額",$G164:$AF164,"&lt;0")&lt;=0,"",MAX($A$92:$A163)+1)</f>
        <v/>
      </c>
      <c r="B164" s="795"/>
      <c r="C164" s="245" t="str">
        <f t="shared" si="5"/>
        <v>経費</v>
      </c>
      <c r="D164" s="245">
        <v>72</v>
      </c>
      <c r="E164" s="593" t="str">
        <f>IF($F164&lt;&gt;"",INDEX(ﾏｽﾀ!$D$8:$D$124,MATCH(INDEX(ﾏｽﾀ!$N$8:$N$124,MATCH($F164,ﾏｽﾀ!$O$8:$O$124,0)),ﾏｽﾀ!$B$8:$B$124,0))&amp;"","")</f>
        <v/>
      </c>
      <c r="F164" s="594" t="str">
        <f>ﾏｽﾀ!$R79&amp;""</f>
        <v/>
      </c>
      <c r="G164" s="634">
        <f>VLOOKUP($E164,'集計16-E'!$E$93:N$174,'集計16-E'!$G$7-$D$7,FALSE)+VLOOKUP($E164,'集計F-15'!$E$93:N$174,'集計F-15'!$G$7-$D$7,FALSE)-INDEX($J$93:$J$174,MATCH($E164,$E$93:$E$174,0))</f>
        <v>0</v>
      </c>
      <c r="H164" s="629">
        <f>VLOOKUP($E164,'集計16-E'!$E$93:N$174,'集計16-E'!$H$7-$D$7,FALSE)+VLOOKUP($E164,'集計F-15'!$E$93:N$174,'集計F-15'!$H$7-$D$7,FALSE)-INDEX($K$93:$K$174,MATCH($E164,$E$93:$E$174,0))</f>
        <v>0</v>
      </c>
      <c r="I164" s="345"/>
      <c r="J164" s="628">
        <f>SUMIF(請求Data!$G$11:$G$160,CONCATENATE(VLOOKUP(G$5,$G$1:$H$4,2,FALSE),$E164,2),請求Data!$AF$11:$AF$160)-INDEX($J$9:$J$90,MATCH($E164,$E$9:$E$90,0))</f>
        <v>0</v>
      </c>
      <c r="K164" s="629">
        <f>SUMIF(請求Data!$G$11:$G$160,CONCATENATE(VLOOKUP(G$5,$G$1:$H$4,2,FALSE),$E164,2),請求Data!$AG$11:$AG$160)-INDEX($K$9:$K$90,MATCH($E164,$E$9:$E$90,0))</f>
        <v>0</v>
      </c>
      <c r="L164" s="345"/>
      <c r="M164" s="126">
        <f>VLOOKUP($E164,'集計16-E'!$E$93:N$175,'集計16-E'!$M$7-$D$7,FALSE)+VLOOKUP($E164,'集計F-15'!$E$93:N$175,'集計F-15'!$M$7-$D$7,FALSE)</f>
        <v>0</v>
      </c>
      <c r="N164" s="434">
        <f>VLOOKUP($E164,'集計16-E'!$E$93:N$175,'集計16-E'!$N$7-$D$7,FALSE)+VLOOKUP($E164,'集計F-15'!$E$93:N$175,'集計F-15'!$N$7-$D$7,FALSE)</f>
        <v>0</v>
      </c>
      <c r="O164" s="345"/>
      <c r="P164" s="646">
        <f>VLOOKUP($E164,'集計16-E'!$E$93:W$175,'集計16-E'!$P$7-$D$7,0)+VLOOKUP($E164,'集計F-15'!$E$93:W$175,'集計F-15'!$P$7-$D$7,0)-$S164</f>
        <v>0</v>
      </c>
      <c r="Q164" s="647">
        <f>VLOOKUP($E164,'集計16-E'!$E$93:W$175,'集計16-E'!$Q$7-$D$7,0)+VLOOKUP($E164,'集計F-15'!$E$93:W$175,'集計F-15'!$Q$7-$D$7,0)-$T164</f>
        <v>0</v>
      </c>
      <c r="R164" s="345"/>
      <c r="S164" s="638">
        <f>SUMIF(請求Data!$G$11:$G$160,CONCATENATE(VLOOKUP(P$5,$G$1:$H$4,2,FALSE),$E164,2),請求Data!$AF$11:$AF$160)-S80</f>
        <v>0</v>
      </c>
      <c r="T164" s="647">
        <f>SUMIF(請求Data!$G$11:$G$160,CONCATENATE(VLOOKUP(P$5,$G$1:$H$4,2,FALSE),$E164,2),請求Data!$AG$11:$AG$160)-T80</f>
        <v>0</v>
      </c>
      <c r="U164" s="345"/>
      <c r="V164" s="126">
        <f>VLOOKUP($E164,'集計16-E'!$E$93:W$175,'集計16-E'!$V$7-$D$7,0)+VLOOKUP($E164,'集計F-15'!$E$93:W$175,'集計F-15'!$V$7-$D$7,0)</f>
        <v>0</v>
      </c>
      <c r="W164" s="435">
        <f>VLOOKUP($E164,'集計16-E'!$E$93:W$175,'集計16-E'!$W$7-$D$7,0)+VLOOKUP($E164,'集計F-15'!$E$93:W$175,'集計F-15'!$W$7-$D$7,0)</f>
        <v>0</v>
      </c>
      <c r="X164" s="345"/>
      <c r="Y164" s="646">
        <f>VLOOKUP($E164,'集計16-E'!$E$93:AF$175,'集計16-E'!$Y$7-$D$7,0)+VLOOKUP($E164,'集計F-15'!$E$93:AF$175,'集計F-15'!$Y$7-$D$7,0)-$AB164</f>
        <v>0</v>
      </c>
      <c r="Z164" s="647">
        <f>VLOOKUP($E164,'集計16-E'!$E$93:AF$175,'集計16-E'!$Z$7-$D$7,0)+VLOOKUP($E164,'集計F-15'!$E$93:AF$175,'集計F-15'!$Z$7-$D$7,0)-$AC164</f>
        <v>0</v>
      </c>
      <c r="AA164" s="345"/>
      <c r="AB164" s="638">
        <f>SUMIF(請求Data!$G$11:$G$160,CONCATENATE(VLOOKUP(Y$5,$G$1:$H$4,2,FALSE),$E164,2),請求Data!$AF$11:$AF$160)-AB80</f>
        <v>0</v>
      </c>
      <c r="AC164" s="647">
        <f>SUMIF(請求Data!$G$11:$G$160,CONCATENATE(VLOOKUP(Y$5,$G$1:$H$4,2,FALSE),$E164,2),請求Data!$AG$11:$AG$160)-AC80</f>
        <v>0</v>
      </c>
      <c r="AD164" s="345"/>
      <c r="AE164" s="126">
        <f>VLOOKUP($E164,'集計16-E'!$E$93:AF$175,'集計16-E'!$AE$7-$D$7,0)+VLOOKUP($E164,'集計F-15'!$E$93:AF$175,'集計F-15'!$AE$7-$D$7,0)</f>
        <v>0</v>
      </c>
      <c r="AF164" s="435">
        <f>VLOOKUP($E164,'集計16-E'!$E$93:AF$175,'集計16-E'!$AF$7-$D$7,0)+VLOOKUP($E164,'集計F-15'!$E$93:AF$175,'集計F-15'!$AF$7-$D$7,0)</f>
        <v>0</v>
      </c>
    </row>
    <row r="165" spans="1:32">
      <c r="A165" s="475" t="str">
        <f>IF(SUMIFS($G165:$AF165,$G$8:$AF$8,"金額",$G165:$AF165,"&gt;0")-SUMIFS($G165:$AF165,$G$8:$AF$8,"金額",$G165:$AF165,"&lt;0")&lt;=0,"",MAX($A$92:$A164)+1)</f>
        <v/>
      </c>
      <c r="B165" s="795"/>
      <c r="C165" s="245" t="str">
        <f t="shared" si="5"/>
        <v>経費</v>
      </c>
      <c r="D165" s="245">
        <v>73</v>
      </c>
      <c r="E165" s="593" t="str">
        <f>IF($F165&lt;&gt;"",INDEX(ﾏｽﾀ!$D$8:$D$124,MATCH(INDEX(ﾏｽﾀ!$N$8:$N$124,MATCH($F165,ﾏｽﾀ!$O$8:$O$124,0)),ﾏｽﾀ!$B$8:$B$124,0))&amp;"","")</f>
        <v/>
      </c>
      <c r="F165" s="594" t="str">
        <f>ﾏｽﾀ!$R80&amp;""</f>
        <v/>
      </c>
      <c r="G165" s="634">
        <f>VLOOKUP($E165,'集計16-E'!$E$93:N$174,'集計16-E'!$G$7-$D$7,FALSE)+VLOOKUP($E165,'集計F-15'!$E$93:N$174,'集計F-15'!$G$7-$D$7,FALSE)-INDEX($J$93:$J$174,MATCH($E165,$E$93:$E$174,0))</f>
        <v>0</v>
      </c>
      <c r="H165" s="629">
        <f>VLOOKUP($E165,'集計16-E'!$E$93:N$174,'集計16-E'!$H$7-$D$7,FALSE)+VLOOKUP($E165,'集計F-15'!$E$93:N$174,'集計F-15'!$H$7-$D$7,FALSE)-INDEX($K$93:$K$174,MATCH($E165,$E$93:$E$174,0))</f>
        <v>0</v>
      </c>
      <c r="I165" s="345"/>
      <c r="J165" s="628">
        <f>SUMIF(請求Data!$G$11:$G$160,CONCATENATE(VLOOKUP(G$5,$G$1:$H$4,2,FALSE),$E165,2),請求Data!$AF$11:$AF$160)-INDEX($J$9:$J$90,MATCH($E165,$E$9:$E$90,0))</f>
        <v>0</v>
      </c>
      <c r="K165" s="629">
        <f>SUMIF(請求Data!$G$11:$G$160,CONCATENATE(VLOOKUP(G$5,$G$1:$H$4,2,FALSE),$E165,2),請求Data!$AG$11:$AG$160)-INDEX($K$9:$K$90,MATCH($E165,$E$9:$E$90,0))</f>
        <v>0</v>
      </c>
      <c r="L165" s="345"/>
      <c r="M165" s="126">
        <f>VLOOKUP($E165,'集計16-E'!$E$93:N$175,'集計16-E'!$M$7-$D$7,FALSE)+VLOOKUP($E165,'集計F-15'!$E$93:N$175,'集計F-15'!$M$7-$D$7,FALSE)</f>
        <v>0</v>
      </c>
      <c r="N165" s="434">
        <f>VLOOKUP($E165,'集計16-E'!$E$93:N$175,'集計16-E'!$N$7-$D$7,FALSE)+VLOOKUP($E165,'集計F-15'!$E$93:N$175,'集計F-15'!$N$7-$D$7,FALSE)</f>
        <v>0</v>
      </c>
      <c r="O165" s="345"/>
      <c r="P165" s="646">
        <f>VLOOKUP($E165,'集計16-E'!$E$93:W$175,'集計16-E'!$P$7-$D$7,0)+VLOOKUP($E165,'集計F-15'!$E$93:W$175,'集計F-15'!$P$7-$D$7,0)-$S165</f>
        <v>0</v>
      </c>
      <c r="Q165" s="647">
        <f>VLOOKUP($E165,'集計16-E'!$E$93:W$175,'集計16-E'!$Q$7-$D$7,0)+VLOOKUP($E165,'集計F-15'!$E$93:W$175,'集計F-15'!$Q$7-$D$7,0)-$T165</f>
        <v>0</v>
      </c>
      <c r="R165" s="345"/>
      <c r="S165" s="638">
        <f>SUMIF(請求Data!$G$11:$G$160,CONCATENATE(VLOOKUP(P$5,$G$1:$H$4,2,FALSE),$E165,2),請求Data!$AF$11:$AF$160)-S81</f>
        <v>0</v>
      </c>
      <c r="T165" s="647">
        <f>SUMIF(請求Data!$G$11:$G$160,CONCATENATE(VLOOKUP(P$5,$G$1:$H$4,2,FALSE),$E165,2),請求Data!$AG$11:$AG$160)-T81</f>
        <v>0</v>
      </c>
      <c r="U165" s="345"/>
      <c r="V165" s="126">
        <f>VLOOKUP($E165,'集計16-E'!$E$93:W$175,'集計16-E'!$V$7-$D$7,0)+VLOOKUP($E165,'集計F-15'!$E$93:W$175,'集計F-15'!$V$7-$D$7,0)</f>
        <v>0</v>
      </c>
      <c r="W165" s="435">
        <f>VLOOKUP($E165,'集計16-E'!$E$93:W$175,'集計16-E'!$W$7-$D$7,0)+VLOOKUP($E165,'集計F-15'!$E$93:W$175,'集計F-15'!$W$7-$D$7,0)</f>
        <v>0</v>
      </c>
      <c r="X165" s="345"/>
      <c r="Y165" s="646">
        <f>VLOOKUP($E165,'集計16-E'!$E$93:AF$175,'集計16-E'!$Y$7-$D$7,0)+VLOOKUP($E165,'集計F-15'!$E$93:AF$175,'集計F-15'!$Y$7-$D$7,0)-$AB165</f>
        <v>0</v>
      </c>
      <c r="Z165" s="647">
        <f>VLOOKUP($E165,'集計16-E'!$E$93:AF$175,'集計16-E'!$Z$7-$D$7,0)+VLOOKUP($E165,'集計F-15'!$E$93:AF$175,'集計F-15'!$Z$7-$D$7,0)-$AC165</f>
        <v>0</v>
      </c>
      <c r="AA165" s="345"/>
      <c r="AB165" s="638">
        <f>SUMIF(請求Data!$G$11:$G$160,CONCATENATE(VLOOKUP(Y$5,$G$1:$H$4,2,FALSE),$E165,2),請求Data!$AF$11:$AF$160)-AB81</f>
        <v>0</v>
      </c>
      <c r="AC165" s="647">
        <f>SUMIF(請求Data!$G$11:$G$160,CONCATENATE(VLOOKUP(Y$5,$G$1:$H$4,2,FALSE),$E165,2),請求Data!$AG$11:$AG$160)-AC81</f>
        <v>0</v>
      </c>
      <c r="AD165" s="345"/>
      <c r="AE165" s="126">
        <f>VLOOKUP($E165,'集計16-E'!$E$93:AF$175,'集計16-E'!$AE$7-$D$7,0)+VLOOKUP($E165,'集計F-15'!$E$93:AF$175,'集計F-15'!$AE$7-$D$7,0)</f>
        <v>0</v>
      </c>
      <c r="AF165" s="435">
        <f>VLOOKUP($E165,'集計16-E'!$E$93:AF$175,'集計16-E'!$AF$7-$D$7,0)+VLOOKUP($E165,'集計F-15'!$E$93:AF$175,'集計F-15'!$AF$7-$D$7,0)</f>
        <v>0</v>
      </c>
    </row>
    <row r="166" spans="1:32">
      <c r="A166" s="475" t="str">
        <f>IF(SUMIFS($G166:$AF166,$G$8:$AF$8,"金額",$G166:$AF166,"&gt;0")-SUMIFS($G166:$AF166,$G$8:$AF$8,"金額",$G166:$AF166,"&lt;0")&lt;=0,"",MAX($A$92:$A165)+1)</f>
        <v/>
      </c>
      <c r="B166" s="795"/>
      <c r="C166" s="245" t="str">
        <f t="shared" si="5"/>
        <v>経費</v>
      </c>
      <c r="D166" s="245">
        <v>74</v>
      </c>
      <c r="E166" s="593" t="str">
        <f>IF($F166&lt;&gt;"",INDEX(ﾏｽﾀ!$D$8:$D$124,MATCH(INDEX(ﾏｽﾀ!$N$8:$N$124,MATCH($F166,ﾏｽﾀ!$O$8:$O$124,0)),ﾏｽﾀ!$B$8:$B$124,0))&amp;"","")</f>
        <v/>
      </c>
      <c r="F166" s="594" t="str">
        <f>ﾏｽﾀ!$R81&amp;""</f>
        <v/>
      </c>
      <c r="G166" s="634">
        <f>VLOOKUP($E166,'集計16-E'!$E$93:N$174,'集計16-E'!$G$7-$D$7,FALSE)+VLOOKUP($E166,'集計F-15'!$E$93:N$174,'集計F-15'!$G$7-$D$7,FALSE)-INDEX($J$93:$J$174,MATCH($E166,$E$93:$E$174,0))</f>
        <v>0</v>
      </c>
      <c r="H166" s="629">
        <f>VLOOKUP($E166,'集計16-E'!$E$93:N$174,'集計16-E'!$H$7-$D$7,FALSE)+VLOOKUP($E166,'集計F-15'!$E$93:N$174,'集計F-15'!$H$7-$D$7,FALSE)-INDEX($K$93:$K$174,MATCH($E166,$E$93:$E$174,0))</f>
        <v>0</v>
      </c>
      <c r="I166" s="345"/>
      <c r="J166" s="628">
        <f>SUMIF(請求Data!$G$11:$G$160,CONCATENATE(VLOOKUP(G$5,$G$1:$H$4,2,FALSE),$E166,2),請求Data!$AF$11:$AF$160)-INDEX($J$9:$J$90,MATCH($E166,$E$9:$E$90,0))</f>
        <v>0</v>
      </c>
      <c r="K166" s="629">
        <f>SUMIF(請求Data!$G$11:$G$160,CONCATENATE(VLOOKUP(G$5,$G$1:$H$4,2,FALSE),$E166,2),請求Data!$AG$11:$AG$160)-INDEX($K$9:$K$90,MATCH($E166,$E$9:$E$90,0))</f>
        <v>0</v>
      </c>
      <c r="L166" s="345"/>
      <c r="M166" s="126">
        <f>VLOOKUP($E166,'集計16-E'!$E$93:N$175,'集計16-E'!$M$7-$D$7,FALSE)+VLOOKUP($E166,'集計F-15'!$E$93:N$175,'集計F-15'!$M$7-$D$7,FALSE)</f>
        <v>0</v>
      </c>
      <c r="N166" s="434">
        <f>VLOOKUP($E166,'集計16-E'!$E$93:N$175,'集計16-E'!$N$7-$D$7,FALSE)+VLOOKUP($E166,'集計F-15'!$E$93:N$175,'集計F-15'!$N$7-$D$7,FALSE)</f>
        <v>0</v>
      </c>
      <c r="O166" s="345"/>
      <c r="P166" s="646">
        <f>VLOOKUP($E166,'集計16-E'!$E$93:W$175,'集計16-E'!$P$7-$D$7,0)+VLOOKUP($E166,'集計F-15'!$E$93:W$175,'集計F-15'!$P$7-$D$7,0)-$S166</f>
        <v>0</v>
      </c>
      <c r="Q166" s="647">
        <f>VLOOKUP($E166,'集計16-E'!$E$93:W$175,'集計16-E'!$Q$7-$D$7,0)+VLOOKUP($E166,'集計F-15'!$E$93:W$175,'集計F-15'!$Q$7-$D$7,0)-$T166</f>
        <v>0</v>
      </c>
      <c r="R166" s="345"/>
      <c r="S166" s="638">
        <f>SUMIF(請求Data!$G$11:$G$160,CONCATENATE(VLOOKUP(P$5,$G$1:$H$4,2,FALSE),$E166,2),請求Data!$AF$11:$AF$160)-S82</f>
        <v>0</v>
      </c>
      <c r="T166" s="647">
        <f>SUMIF(請求Data!$G$11:$G$160,CONCATENATE(VLOOKUP(P$5,$G$1:$H$4,2,FALSE),$E166,2),請求Data!$AG$11:$AG$160)-T82</f>
        <v>0</v>
      </c>
      <c r="U166" s="345"/>
      <c r="V166" s="126">
        <f>VLOOKUP($E166,'集計16-E'!$E$93:W$175,'集計16-E'!$V$7-$D$7,0)+VLOOKUP($E166,'集計F-15'!$E$93:W$175,'集計F-15'!$V$7-$D$7,0)</f>
        <v>0</v>
      </c>
      <c r="W166" s="435">
        <f>VLOOKUP($E166,'集計16-E'!$E$93:W$175,'集計16-E'!$W$7-$D$7,0)+VLOOKUP($E166,'集計F-15'!$E$93:W$175,'集計F-15'!$W$7-$D$7,0)</f>
        <v>0</v>
      </c>
      <c r="X166" s="345"/>
      <c r="Y166" s="646">
        <f>VLOOKUP($E166,'集計16-E'!$E$93:AF$175,'集計16-E'!$Y$7-$D$7,0)+VLOOKUP($E166,'集計F-15'!$E$93:AF$175,'集計F-15'!$Y$7-$D$7,0)-$AB166</f>
        <v>0</v>
      </c>
      <c r="Z166" s="647">
        <f>VLOOKUP($E166,'集計16-E'!$E$93:AF$175,'集計16-E'!$Z$7-$D$7,0)+VLOOKUP($E166,'集計F-15'!$E$93:AF$175,'集計F-15'!$Z$7-$D$7,0)-$AC166</f>
        <v>0</v>
      </c>
      <c r="AA166" s="345"/>
      <c r="AB166" s="638">
        <f>SUMIF(請求Data!$G$11:$G$160,CONCATENATE(VLOOKUP(Y$5,$G$1:$H$4,2,FALSE),$E166,2),請求Data!$AF$11:$AF$160)-AB82</f>
        <v>0</v>
      </c>
      <c r="AC166" s="647">
        <f>SUMIF(請求Data!$G$11:$G$160,CONCATENATE(VLOOKUP(Y$5,$G$1:$H$4,2,FALSE),$E166,2),請求Data!$AG$11:$AG$160)-AC82</f>
        <v>0</v>
      </c>
      <c r="AD166" s="345"/>
      <c r="AE166" s="126">
        <f>VLOOKUP($E166,'集計16-E'!$E$93:AF$175,'集計16-E'!$AE$7-$D$7,0)+VLOOKUP($E166,'集計F-15'!$E$93:AF$175,'集計F-15'!$AE$7-$D$7,0)</f>
        <v>0</v>
      </c>
      <c r="AF166" s="435">
        <f>VLOOKUP($E166,'集計16-E'!$E$93:AF$175,'集計16-E'!$AF$7-$D$7,0)+VLOOKUP($E166,'集計F-15'!$E$93:AF$175,'集計F-15'!$AF$7-$D$7,0)</f>
        <v>0</v>
      </c>
    </row>
    <row r="167" spans="1:32">
      <c r="A167" s="475" t="str">
        <f>IF(SUMIFS($G167:$AF167,$G$8:$AF$8,"金額",$G167:$AF167,"&gt;0")-SUMIFS($G167:$AF167,$G$8:$AF$8,"金額",$G167:$AF167,"&lt;0")&lt;=0,"",MAX($A$92:$A166)+1)</f>
        <v/>
      </c>
      <c r="B167" s="795"/>
      <c r="C167" s="245" t="str">
        <f t="shared" si="5"/>
        <v>経費</v>
      </c>
      <c r="D167" s="245">
        <v>75</v>
      </c>
      <c r="E167" s="593" t="str">
        <f>IF($F167&lt;&gt;"",INDEX(ﾏｽﾀ!$D$8:$D$124,MATCH(INDEX(ﾏｽﾀ!$N$8:$N$124,MATCH($F167,ﾏｽﾀ!$O$8:$O$124,0)),ﾏｽﾀ!$B$8:$B$124,0))&amp;"","")</f>
        <v/>
      </c>
      <c r="F167" s="594" t="str">
        <f>ﾏｽﾀ!$R82&amp;""</f>
        <v/>
      </c>
      <c r="G167" s="634">
        <f>VLOOKUP($E167,'集計16-E'!$E$93:N$174,'集計16-E'!$G$7-$D$7,FALSE)+VLOOKUP($E167,'集計F-15'!$E$93:N$174,'集計F-15'!$G$7-$D$7,FALSE)-INDEX($J$93:$J$174,MATCH($E167,$E$93:$E$174,0))</f>
        <v>0</v>
      </c>
      <c r="H167" s="629">
        <f>VLOOKUP($E167,'集計16-E'!$E$93:N$174,'集計16-E'!$H$7-$D$7,FALSE)+VLOOKUP($E167,'集計F-15'!$E$93:N$174,'集計F-15'!$H$7-$D$7,FALSE)-INDEX($K$93:$K$174,MATCH($E167,$E$93:$E$174,0))</f>
        <v>0</v>
      </c>
      <c r="I167" s="345"/>
      <c r="J167" s="628">
        <f>SUMIF(請求Data!$G$11:$G$160,CONCATENATE(VLOOKUP(G$5,$G$1:$H$4,2,FALSE),$E167,2),請求Data!$AF$11:$AF$160)-INDEX($J$9:$J$90,MATCH($E167,$E$9:$E$90,0))</f>
        <v>0</v>
      </c>
      <c r="K167" s="629">
        <f>SUMIF(請求Data!$G$11:$G$160,CONCATENATE(VLOOKUP(G$5,$G$1:$H$4,2,FALSE),$E167,2),請求Data!$AG$11:$AG$160)-INDEX($K$9:$K$90,MATCH($E167,$E$9:$E$90,0))</f>
        <v>0</v>
      </c>
      <c r="L167" s="345"/>
      <c r="M167" s="126">
        <f>VLOOKUP($E167,'集計16-E'!$E$93:N$175,'集計16-E'!$M$7-$D$7,FALSE)+VLOOKUP($E167,'集計F-15'!$E$93:N$175,'集計F-15'!$M$7-$D$7,FALSE)</f>
        <v>0</v>
      </c>
      <c r="N167" s="434">
        <f>VLOOKUP($E167,'集計16-E'!$E$93:N$175,'集計16-E'!$N$7-$D$7,FALSE)+VLOOKUP($E167,'集計F-15'!$E$93:N$175,'集計F-15'!$N$7-$D$7,FALSE)</f>
        <v>0</v>
      </c>
      <c r="O167" s="345"/>
      <c r="P167" s="646">
        <f>VLOOKUP($E167,'集計16-E'!$E$93:W$175,'集計16-E'!$P$7-$D$7,0)+VLOOKUP($E167,'集計F-15'!$E$93:W$175,'集計F-15'!$P$7-$D$7,0)-$S167</f>
        <v>0</v>
      </c>
      <c r="Q167" s="647">
        <f>VLOOKUP($E167,'集計16-E'!$E$93:W$175,'集計16-E'!$Q$7-$D$7,0)+VLOOKUP($E167,'集計F-15'!$E$93:W$175,'集計F-15'!$Q$7-$D$7,0)-$T167</f>
        <v>0</v>
      </c>
      <c r="R167" s="345"/>
      <c r="S167" s="638">
        <f>SUMIF(請求Data!$G$11:$G$160,CONCATENATE(VLOOKUP(P$5,$G$1:$H$4,2,FALSE),$E167,2),請求Data!$AF$11:$AF$160)-S83</f>
        <v>0</v>
      </c>
      <c r="T167" s="647">
        <f>SUMIF(請求Data!$G$11:$G$160,CONCATENATE(VLOOKUP(P$5,$G$1:$H$4,2,FALSE),$E167,2),請求Data!$AG$11:$AG$160)-T83</f>
        <v>0</v>
      </c>
      <c r="U167" s="345"/>
      <c r="V167" s="126">
        <f>VLOOKUP($E167,'集計16-E'!$E$93:W$175,'集計16-E'!$V$7-$D$7,0)+VLOOKUP($E167,'集計F-15'!$E$93:W$175,'集計F-15'!$V$7-$D$7,0)</f>
        <v>0</v>
      </c>
      <c r="W167" s="435">
        <f>VLOOKUP($E167,'集計16-E'!$E$93:W$175,'集計16-E'!$W$7-$D$7,0)+VLOOKUP($E167,'集計F-15'!$E$93:W$175,'集計F-15'!$W$7-$D$7,0)</f>
        <v>0</v>
      </c>
      <c r="X167" s="345"/>
      <c r="Y167" s="646">
        <f>VLOOKUP($E167,'集計16-E'!$E$93:AF$175,'集計16-E'!$Y$7-$D$7,0)+VLOOKUP($E167,'集計F-15'!$E$93:AF$175,'集計F-15'!$Y$7-$D$7,0)-$AB167</f>
        <v>0</v>
      </c>
      <c r="Z167" s="647">
        <f>VLOOKUP($E167,'集計16-E'!$E$93:AF$175,'集計16-E'!$Z$7-$D$7,0)+VLOOKUP($E167,'集計F-15'!$E$93:AF$175,'集計F-15'!$Z$7-$D$7,0)-$AC167</f>
        <v>0</v>
      </c>
      <c r="AA167" s="345"/>
      <c r="AB167" s="638">
        <f>SUMIF(請求Data!$G$11:$G$160,CONCATENATE(VLOOKUP(Y$5,$G$1:$H$4,2,FALSE),$E167,2),請求Data!$AF$11:$AF$160)-AB83</f>
        <v>0</v>
      </c>
      <c r="AC167" s="647">
        <f>SUMIF(請求Data!$G$11:$G$160,CONCATENATE(VLOOKUP(Y$5,$G$1:$H$4,2,FALSE),$E167,2),請求Data!$AG$11:$AG$160)-AC83</f>
        <v>0</v>
      </c>
      <c r="AD167" s="345"/>
      <c r="AE167" s="126">
        <f>VLOOKUP($E167,'集計16-E'!$E$93:AF$175,'集計16-E'!$AE$7-$D$7,0)+VLOOKUP($E167,'集計F-15'!$E$93:AF$175,'集計F-15'!$AE$7-$D$7,0)</f>
        <v>0</v>
      </c>
      <c r="AF167" s="435">
        <f>VLOOKUP($E167,'集計16-E'!$E$93:AF$175,'集計16-E'!$AF$7-$D$7,0)+VLOOKUP($E167,'集計F-15'!$E$93:AF$175,'集計F-15'!$AF$7-$D$7,0)</f>
        <v>0</v>
      </c>
    </row>
    <row r="168" spans="1:32">
      <c r="A168" s="475" t="str">
        <f>IF(SUMIFS($G168:$AF168,$G$8:$AF$8,"金額",$G168:$AF168,"&gt;0")-SUMIFS($G168:$AF168,$G$8:$AF$8,"金額",$G168:$AF168,"&lt;0")&lt;=0,"",MAX($A$92:$A167)+1)</f>
        <v/>
      </c>
      <c r="B168" s="795"/>
      <c r="C168" s="245" t="str">
        <f t="shared" si="5"/>
        <v>経費</v>
      </c>
      <c r="D168" s="245">
        <v>76</v>
      </c>
      <c r="E168" s="593" t="str">
        <f>IF($F168&lt;&gt;"",INDEX(ﾏｽﾀ!$D$8:$D$124,MATCH(INDEX(ﾏｽﾀ!$N$8:$N$124,MATCH($F168,ﾏｽﾀ!$O$8:$O$124,0)),ﾏｽﾀ!$B$8:$B$124,0))&amp;"","")</f>
        <v/>
      </c>
      <c r="F168" s="594" t="str">
        <f>ﾏｽﾀ!$R83&amp;""</f>
        <v/>
      </c>
      <c r="G168" s="634">
        <f>VLOOKUP($E168,'集計16-E'!$E$93:N$174,'集計16-E'!$G$7-$D$7,FALSE)+VLOOKUP($E168,'集計F-15'!$E$93:N$174,'集計F-15'!$G$7-$D$7,FALSE)-INDEX($J$93:$J$174,MATCH($E168,$E$93:$E$174,0))</f>
        <v>0</v>
      </c>
      <c r="H168" s="629">
        <f>VLOOKUP($E168,'集計16-E'!$E$93:N$174,'集計16-E'!$H$7-$D$7,FALSE)+VLOOKUP($E168,'集計F-15'!$E$93:N$174,'集計F-15'!$H$7-$D$7,FALSE)-INDEX($K$93:$K$174,MATCH($E168,$E$93:$E$174,0))</f>
        <v>0</v>
      </c>
      <c r="I168" s="345"/>
      <c r="J168" s="628">
        <f>SUMIF(請求Data!$G$11:$G$160,CONCATENATE(VLOOKUP(G$5,$G$1:$H$4,2,FALSE),$E168,2),請求Data!$AF$11:$AF$160)-INDEX($J$9:$J$90,MATCH($E168,$E$9:$E$90,0))</f>
        <v>0</v>
      </c>
      <c r="K168" s="629">
        <f>SUMIF(請求Data!$G$11:$G$160,CONCATENATE(VLOOKUP(G$5,$G$1:$H$4,2,FALSE),$E168,2),請求Data!$AG$11:$AG$160)-INDEX($K$9:$K$90,MATCH($E168,$E$9:$E$90,0))</f>
        <v>0</v>
      </c>
      <c r="L168" s="345"/>
      <c r="M168" s="126">
        <f>VLOOKUP($E168,'集計16-E'!$E$93:N$175,'集計16-E'!$M$7-$D$7,FALSE)+VLOOKUP($E168,'集計F-15'!$E$93:N$175,'集計F-15'!$M$7-$D$7,FALSE)</f>
        <v>0</v>
      </c>
      <c r="N168" s="434">
        <f>VLOOKUP($E168,'集計16-E'!$E$93:N$175,'集計16-E'!$N$7-$D$7,FALSE)+VLOOKUP($E168,'集計F-15'!$E$93:N$175,'集計F-15'!$N$7-$D$7,FALSE)</f>
        <v>0</v>
      </c>
      <c r="O168" s="345"/>
      <c r="P168" s="646">
        <f>VLOOKUP($E168,'集計16-E'!$E$93:W$175,'集計16-E'!$P$7-$D$7,0)+VLOOKUP($E168,'集計F-15'!$E$93:W$175,'集計F-15'!$P$7-$D$7,0)-$S168</f>
        <v>0</v>
      </c>
      <c r="Q168" s="647">
        <f>VLOOKUP($E168,'集計16-E'!$E$93:W$175,'集計16-E'!$Q$7-$D$7,0)+VLOOKUP($E168,'集計F-15'!$E$93:W$175,'集計F-15'!$Q$7-$D$7,0)-$T168</f>
        <v>0</v>
      </c>
      <c r="R168" s="345"/>
      <c r="S168" s="638">
        <f>SUMIF(請求Data!$G$11:$G$160,CONCATENATE(VLOOKUP(P$5,$G$1:$H$4,2,FALSE),$E168,2),請求Data!$AF$11:$AF$160)-S84</f>
        <v>0</v>
      </c>
      <c r="T168" s="647">
        <f>SUMIF(請求Data!$G$11:$G$160,CONCATENATE(VLOOKUP(P$5,$G$1:$H$4,2,FALSE),$E168,2),請求Data!$AG$11:$AG$160)-T84</f>
        <v>0</v>
      </c>
      <c r="U168" s="345"/>
      <c r="V168" s="126">
        <f>VLOOKUP($E168,'集計16-E'!$E$93:W$175,'集計16-E'!$V$7-$D$7,0)+VLOOKUP($E168,'集計F-15'!$E$93:W$175,'集計F-15'!$V$7-$D$7,0)</f>
        <v>0</v>
      </c>
      <c r="W168" s="435">
        <f>VLOOKUP($E168,'集計16-E'!$E$93:W$175,'集計16-E'!$W$7-$D$7,0)+VLOOKUP($E168,'集計F-15'!$E$93:W$175,'集計F-15'!$W$7-$D$7,0)</f>
        <v>0</v>
      </c>
      <c r="X168" s="345"/>
      <c r="Y168" s="646">
        <f>VLOOKUP($E168,'集計16-E'!$E$93:AF$175,'集計16-E'!$Y$7-$D$7,0)+VLOOKUP($E168,'集計F-15'!$E$93:AF$175,'集計F-15'!$Y$7-$D$7,0)-$AB168</f>
        <v>0</v>
      </c>
      <c r="Z168" s="647">
        <f>VLOOKUP($E168,'集計16-E'!$E$93:AF$175,'集計16-E'!$Z$7-$D$7,0)+VLOOKUP($E168,'集計F-15'!$E$93:AF$175,'集計F-15'!$Z$7-$D$7,0)-$AC168</f>
        <v>0</v>
      </c>
      <c r="AA168" s="345"/>
      <c r="AB168" s="638">
        <f>SUMIF(請求Data!$G$11:$G$160,CONCATENATE(VLOOKUP(Y$5,$G$1:$H$4,2,FALSE),$E168,2),請求Data!$AF$11:$AF$160)-AB84</f>
        <v>0</v>
      </c>
      <c r="AC168" s="647">
        <f>SUMIF(請求Data!$G$11:$G$160,CONCATENATE(VLOOKUP(Y$5,$G$1:$H$4,2,FALSE),$E168,2),請求Data!$AG$11:$AG$160)-AC84</f>
        <v>0</v>
      </c>
      <c r="AD168" s="345"/>
      <c r="AE168" s="126">
        <f>VLOOKUP($E168,'集計16-E'!$E$93:AF$175,'集計16-E'!$AE$7-$D$7,0)+VLOOKUP($E168,'集計F-15'!$E$93:AF$175,'集計F-15'!$AE$7-$D$7,0)</f>
        <v>0</v>
      </c>
      <c r="AF168" s="435">
        <f>VLOOKUP($E168,'集計16-E'!$E$93:AF$175,'集計16-E'!$AF$7-$D$7,0)+VLOOKUP($E168,'集計F-15'!$E$93:AF$175,'集計F-15'!$AF$7-$D$7,0)</f>
        <v>0</v>
      </c>
    </row>
    <row r="169" spans="1:32">
      <c r="A169" s="475" t="str">
        <f>IF(SUMIFS($G169:$AF169,$G$8:$AF$8,"金額",$G169:$AF169,"&gt;0")-SUMIFS($G169:$AF169,$G$8:$AF$8,"金額",$G169:$AF169,"&lt;0")&lt;=0,"",MAX($A$92:$A168)+1)</f>
        <v/>
      </c>
      <c r="B169" s="795"/>
      <c r="C169" s="245" t="str">
        <f t="shared" si="5"/>
        <v>経費</v>
      </c>
      <c r="D169" s="245">
        <v>77</v>
      </c>
      <c r="E169" s="593" t="str">
        <f>IF($F169&lt;&gt;"",INDEX(ﾏｽﾀ!$D$8:$D$124,MATCH(INDEX(ﾏｽﾀ!$N$8:$N$124,MATCH($F169,ﾏｽﾀ!$O$8:$O$124,0)),ﾏｽﾀ!$B$8:$B$124,0))&amp;"","")</f>
        <v/>
      </c>
      <c r="F169" s="594" t="str">
        <f>ﾏｽﾀ!$R84&amp;""</f>
        <v/>
      </c>
      <c r="G169" s="634">
        <f>VLOOKUP($E169,'集計16-E'!$E$93:N$174,'集計16-E'!$G$7-$D$7,FALSE)+VLOOKUP($E169,'集計F-15'!$E$93:N$174,'集計F-15'!$G$7-$D$7,FALSE)-INDEX($J$93:$J$174,MATCH($E169,$E$93:$E$174,0))</f>
        <v>0</v>
      </c>
      <c r="H169" s="629">
        <f>VLOOKUP($E169,'集計16-E'!$E$93:N$174,'集計16-E'!$H$7-$D$7,FALSE)+VLOOKUP($E169,'集計F-15'!$E$93:N$174,'集計F-15'!$H$7-$D$7,FALSE)-INDEX($K$93:$K$174,MATCH($E169,$E$93:$E$174,0))</f>
        <v>0</v>
      </c>
      <c r="I169" s="345"/>
      <c r="J169" s="628">
        <f>SUMIF(請求Data!$G$11:$G$160,CONCATENATE(VLOOKUP(G$5,$G$1:$H$4,2,FALSE),$E169,2),請求Data!$AF$11:$AF$160)-INDEX($J$9:$J$90,MATCH($E169,$E$9:$E$90,0))</f>
        <v>0</v>
      </c>
      <c r="K169" s="629">
        <f>SUMIF(請求Data!$G$11:$G$160,CONCATENATE(VLOOKUP(G$5,$G$1:$H$4,2,FALSE),$E169,2),請求Data!$AG$11:$AG$160)-INDEX($K$9:$K$90,MATCH($E169,$E$9:$E$90,0))</f>
        <v>0</v>
      </c>
      <c r="L169" s="345"/>
      <c r="M169" s="126">
        <f>VLOOKUP($E169,'集計16-E'!$E$93:N$175,'集計16-E'!$M$7-$D$7,FALSE)+VLOOKUP($E169,'集計F-15'!$E$93:N$175,'集計F-15'!$M$7-$D$7,FALSE)</f>
        <v>0</v>
      </c>
      <c r="N169" s="434">
        <f>VLOOKUP($E169,'集計16-E'!$E$93:N$175,'集計16-E'!$N$7-$D$7,FALSE)+VLOOKUP($E169,'集計F-15'!$E$93:N$175,'集計F-15'!$N$7-$D$7,FALSE)</f>
        <v>0</v>
      </c>
      <c r="O169" s="345"/>
      <c r="P169" s="646">
        <f>VLOOKUP($E169,'集計16-E'!$E$93:W$175,'集計16-E'!$P$7-$D$7,0)+VLOOKUP($E169,'集計F-15'!$E$93:W$175,'集計F-15'!$P$7-$D$7,0)-$S169</f>
        <v>0</v>
      </c>
      <c r="Q169" s="647">
        <f>VLOOKUP($E169,'集計16-E'!$E$93:W$175,'集計16-E'!$Q$7-$D$7,0)+VLOOKUP($E169,'集計F-15'!$E$93:W$175,'集計F-15'!$Q$7-$D$7,0)-$T169</f>
        <v>0</v>
      </c>
      <c r="R169" s="345"/>
      <c r="S169" s="638">
        <f>SUMIF(請求Data!$G$11:$G$160,CONCATENATE(VLOOKUP(P$5,$G$1:$H$4,2,FALSE),$E169,2),請求Data!$AF$11:$AF$160)-S85</f>
        <v>0</v>
      </c>
      <c r="T169" s="647">
        <f>SUMIF(請求Data!$G$11:$G$160,CONCATENATE(VLOOKUP(P$5,$G$1:$H$4,2,FALSE),$E169,2),請求Data!$AG$11:$AG$160)-T85</f>
        <v>0</v>
      </c>
      <c r="U169" s="345"/>
      <c r="V169" s="126">
        <f>VLOOKUP($E169,'集計16-E'!$E$93:W$175,'集計16-E'!$V$7-$D$7,0)+VLOOKUP($E169,'集計F-15'!$E$93:W$175,'集計F-15'!$V$7-$D$7,0)</f>
        <v>0</v>
      </c>
      <c r="W169" s="435">
        <f>VLOOKUP($E169,'集計16-E'!$E$93:W$175,'集計16-E'!$W$7-$D$7,0)+VLOOKUP($E169,'集計F-15'!$E$93:W$175,'集計F-15'!$W$7-$D$7,0)</f>
        <v>0</v>
      </c>
      <c r="X169" s="345"/>
      <c r="Y169" s="646">
        <f>VLOOKUP($E169,'集計16-E'!$E$93:AF$175,'集計16-E'!$Y$7-$D$7,0)+VLOOKUP($E169,'集計F-15'!$E$93:AF$175,'集計F-15'!$Y$7-$D$7,0)-$AB169</f>
        <v>0</v>
      </c>
      <c r="Z169" s="647">
        <f>VLOOKUP($E169,'集計16-E'!$E$93:AF$175,'集計16-E'!$Z$7-$D$7,0)+VLOOKUP($E169,'集計F-15'!$E$93:AF$175,'集計F-15'!$Z$7-$D$7,0)-$AC169</f>
        <v>0</v>
      </c>
      <c r="AA169" s="345"/>
      <c r="AB169" s="638">
        <f>SUMIF(請求Data!$G$11:$G$160,CONCATENATE(VLOOKUP(Y$5,$G$1:$H$4,2,FALSE),$E169,2),請求Data!$AF$11:$AF$160)-AB85</f>
        <v>0</v>
      </c>
      <c r="AC169" s="647">
        <f>SUMIF(請求Data!$G$11:$G$160,CONCATENATE(VLOOKUP(Y$5,$G$1:$H$4,2,FALSE),$E169,2),請求Data!$AG$11:$AG$160)-AC85</f>
        <v>0</v>
      </c>
      <c r="AD169" s="345"/>
      <c r="AE169" s="126">
        <f>VLOOKUP($E169,'集計16-E'!$E$93:AF$175,'集計16-E'!$AE$7-$D$7,0)+VLOOKUP($E169,'集計F-15'!$E$93:AF$175,'集計F-15'!$AE$7-$D$7,0)</f>
        <v>0</v>
      </c>
      <c r="AF169" s="435">
        <f>VLOOKUP($E169,'集計16-E'!$E$93:AF$175,'集計16-E'!$AF$7-$D$7,0)+VLOOKUP($E169,'集計F-15'!$E$93:AF$175,'集計F-15'!$AF$7-$D$7,0)</f>
        <v>0</v>
      </c>
    </row>
    <row r="170" spans="1:32">
      <c r="A170" s="475" t="str">
        <f>IF(SUMIFS($G170:$AF170,$G$8:$AF$8,"金額",$G170:$AF170,"&gt;0")-SUMIFS($G170:$AF170,$G$8:$AF$8,"金額",$G170:$AF170,"&lt;0")&lt;=0,"",MAX($A$92:$A169)+1)</f>
        <v/>
      </c>
      <c r="B170" s="795"/>
      <c r="C170" s="245" t="str">
        <f t="shared" si="5"/>
        <v>経費</v>
      </c>
      <c r="D170" s="245">
        <v>78</v>
      </c>
      <c r="E170" s="593" t="str">
        <f>IF($F170&lt;&gt;"",INDEX(ﾏｽﾀ!$D$8:$D$124,MATCH(INDEX(ﾏｽﾀ!$N$8:$N$124,MATCH($F170,ﾏｽﾀ!$O$8:$O$124,0)),ﾏｽﾀ!$B$8:$B$124,0))&amp;"","")</f>
        <v/>
      </c>
      <c r="F170" s="594" t="str">
        <f>ﾏｽﾀ!$R85&amp;""</f>
        <v/>
      </c>
      <c r="G170" s="634">
        <f>VLOOKUP($E170,'集計16-E'!$E$93:N$174,'集計16-E'!$G$7-$D$7,FALSE)+VLOOKUP($E170,'集計F-15'!$E$93:N$174,'集計F-15'!$G$7-$D$7,FALSE)-INDEX($J$93:$J$174,MATCH($E170,$E$93:$E$174,0))</f>
        <v>0</v>
      </c>
      <c r="H170" s="629">
        <f>VLOOKUP($E170,'集計16-E'!$E$93:N$174,'集計16-E'!$H$7-$D$7,FALSE)+VLOOKUP($E170,'集計F-15'!$E$93:N$174,'集計F-15'!$H$7-$D$7,FALSE)-INDEX($K$93:$K$174,MATCH($E170,$E$93:$E$174,0))</f>
        <v>0</v>
      </c>
      <c r="I170" s="345"/>
      <c r="J170" s="628">
        <f>SUMIF(請求Data!$G$11:$G$160,CONCATENATE(VLOOKUP(G$5,$G$1:$H$4,2,FALSE),$E170,2),請求Data!$AF$11:$AF$160)-INDEX($J$9:$J$90,MATCH($E170,$E$9:$E$90,0))</f>
        <v>0</v>
      </c>
      <c r="K170" s="629">
        <f>SUMIF(請求Data!$G$11:$G$160,CONCATENATE(VLOOKUP(G$5,$G$1:$H$4,2,FALSE),$E170,2),請求Data!$AG$11:$AG$160)-INDEX($K$9:$K$90,MATCH($E170,$E$9:$E$90,0))</f>
        <v>0</v>
      </c>
      <c r="L170" s="345"/>
      <c r="M170" s="126">
        <f>VLOOKUP($E170,'集計16-E'!$E$93:N$175,'集計16-E'!$M$7-$D$7,FALSE)+VLOOKUP($E170,'集計F-15'!$E$93:N$175,'集計F-15'!$M$7-$D$7,FALSE)</f>
        <v>0</v>
      </c>
      <c r="N170" s="434">
        <f>VLOOKUP($E170,'集計16-E'!$E$93:N$175,'集計16-E'!$N$7-$D$7,FALSE)+VLOOKUP($E170,'集計F-15'!$E$93:N$175,'集計F-15'!$N$7-$D$7,FALSE)</f>
        <v>0</v>
      </c>
      <c r="O170" s="345"/>
      <c r="P170" s="646">
        <f>VLOOKUP($E170,'集計16-E'!$E$93:W$175,'集計16-E'!$P$7-$D$7,0)+VLOOKUP($E170,'集計F-15'!$E$93:W$175,'集計F-15'!$P$7-$D$7,0)-$S170</f>
        <v>0</v>
      </c>
      <c r="Q170" s="647">
        <f>VLOOKUP($E170,'集計16-E'!$E$93:W$175,'集計16-E'!$Q$7-$D$7,0)+VLOOKUP($E170,'集計F-15'!$E$93:W$175,'集計F-15'!$Q$7-$D$7,0)-$T170</f>
        <v>0</v>
      </c>
      <c r="R170" s="345"/>
      <c r="S170" s="638">
        <f>SUMIF(請求Data!$G$11:$G$160,CONCATENATE(VLOOKUP(P$5,$G$1:$H$4,2,FALSE),$E170,2),請求Data!$AF$11:$AF$160)-S86</f>
        <v>0</v>
      </c>
      <c r="T170" s="647">
        <f>SUMIF(請求Data!$G$11:$G$160,CONCATENATE(VLOOKUP(P$5,$G$1:$H$4,2,FALSE),$E170,2),請求Data!$AG$11:$AG$160)-T86</f>
        <v>0</v>
      </c>
      <c r="U170" s="345"/>
      <c r="V170" s="126">
        <f>VLOOKUP($E170,'集計16-E'!$E$93:W$175,'集計16-E'!$V$7-$D$7,0)+VLOOKUP($E170,'集計F-15'!$E$93:W$175,'集計F-15'!$V$7-$D$7,0)</f>
        <v>0</v>
      </c>
      <c r="W170" s="435">
        <f>VLOOKUP($E170,'集計16-E'!$E$93:W$175,'集計16-E'!$W$7-$D$7,0)+VLOOKUP($E170,'集計F-15'!$E$93:W$175,'集計F-15'!$W$7-$D$7,0)</f>
        <v>0</v>
      </c>
      <c r="X170" s="345"/>
      <c r="Y170" s="646">
        <f>VLOOKUP($E170,'集計16-E'!$E$93:AF$175,'集計16-E'!$Y$7-$D$7,0)+VLOOKUP($E170,'集計F-15'!$E$93:AF$175,'集計F-15'!$Y$7-$D$7,0)-$AB170</f>
        <v>0</v>
      </c>
      <c r="Z170" s="647">
        <f>VLOOKUP($E170,'集計16-E'!$E$93:AF$175,'集計16-E'!$Z$7-$D$7,0)+VLOOKUP($E170,'集計F-15'!$E$93:AF$175,'集計F-15'!$Z$7-$D$7,0)-$AC170</f>
        <v>0</v>
      </c>
      <c r="AA170" s="345"/>
      <c r="AB170" s="638">
        <f>SUMIF(請求Data!$G$11:$G$160,CONCATENATE(VLOOKUP(Y$5,$G$1:$H$4,2,FALSE),$E170,2),請求Data!$AF$11:$AF$160)-AB86</f>
        <v>0</v>
      </c>
      <c r="AC170" s="647">
        <f>SUMIF(請求Data!$G$11:$G$160,CONCATENATE(VLOOKUP(Y$5,$G$1:$H$4,2,FALSE),$E170,2),請求Data!$AG$11:$AG$160)-AC86</f>
        <v>0</v>
      </c>
      <c r="AD170" s="345"/>
      <c r="AE170" s="126">
        <f>VLOOKUP($E170,'集計16-E'!$E$93:AF$175,'集計16-E'!$AE$7-$D$7,0)+VLOOKUP($E170,'集計F-15'!$E$93:AF$175,'集計F-15'!$AE$7-$D$7,0)</f>
        <v>0</v>
      </c>
      <c r="AF170" s="435">
        <f>VLOOKUP($E170,'集計16-E'!$E$93:AF$175,'集計16-E'!$AF$7-$D$7,0)+VLOOKUP($E170,'集計F-15'!$E$93:AF$175,'集計F-15'!$AF$7-$D$7,0)</f>
        <v>0</v>
      </c>
    </row>
    <row r="171" spans="1:32">
      <c r="A171" s="475" t="str">
        <f>IF(SUMIFS($G171:$AF171,$G$8:$AF$8,"金額",$G171:$AF171,"&gt;0")-SUMIFS($G171:$AF171,$G$8:$AF$8,"金額",$G171:$AF171,"&lt;0")&lt;=0,"",MAX($A$92:$A170)+1)</f>
        <v/>
      </c>
      <c r="B171" s="795"/>
      <c r="C171" s="245" t="str">
        <f t="shared" si="5"/>
        <v>経費</v>
      </c>
      <c r="D171" s="245">
        <v>79</v>
      </c>
      <c r="E171" s="593" t="str">
        <f>IF($F171&lt;&gt;"",INDEX(ﾏｽﾀ!$D$8:$D$124,MATCH(INDEX(ﾏｽﾀ!$N$8:$N$124,MATCH($F171,ﾏｽﾀ!$O$8:$O$124,0)),ﾏｽﾀ!$B$8:$B$124,0))&amp;"","")</f>
        <v/>
      </c>
      <c r="F171" s="594" t="str">
        <f>ﾏｽﾀ!$R86&amp;""</f>
        <v/>
      </c>
      <c r="G171" s="634">
        <f>VLOOKUP($E171,'集計16-E'!$E$93:N$174,'集計16-E'!$G$7-$D$7,FALSE)+VLOOKUP($E171,'集計F-15'!$E$93:N$174,'集計F-15'!$G$7-$D$7,FALSE)-INDEX($J$93:$J$174,MATCH($E171,$E$93:$E$174,0))</f>
        <v>0</v>
      </c>
      <c r="H171" s="629">
        <f>VLOOKUP($E171,'集計16-E'!$E$93:N$174,'集計16-E'!$H$7-$D$7,FALSE)+VLOOKUP($E171,'集計F-15'!$E$93:N$174,'集計F-15'!$H$7-$D$7,FALSE)-INDEX($K$93:$K$174,MATCH($E171,$E$93:$E$174,0))</f>
        <v>0</v>
      </c>
      <c r="I171" s="345"/>
      <c r="J171" s="628">
        <f>SUMIF(請求Data!$G$11:$G$160,CONCATENATE(VLOOKUP(G$5,$G$1:$H$4,2,FALSE),$E171,2),請求Data!$AF$11:$AF$160)-INDEX($J$9:$J$90,MATCH($E171,$E$9:$E$90,0))</f>
        <v>0</v>
      </c>
      <c r="K171" s="629">
        <f>SUMIF(請求Data!$G$11:$G$160,CONCATENATE(VLOOKUP(G$5,$G$1:$H$4,2,FALSE),$E171,2),請求Data!$AG$11:$AG$160)-INDEX($K$9:$K$90,MATCH($E171,$E$9:$E$90,0))</f>
        <v>0</v>
      </c>
      <c r="L171" s="345"/>
      <c r="M171" s="126">
        <f>VLOOKUP($E171,'集計16-E'!$E$93:N$175,'集計16-E'!$M$7-$D$7,FALSE)+VLOOKUP($E171,'集計F-15'!$E$93:N$175,'集計F-15'!$M$7-$D$7,FALSE)</f>
        <v>0</v>
      </c>
      <c r="N171" s="434">
        <f>VLOOKUP($E171,'集計16-E'!$E$93:N$175,'集計16-E'!$N$7-$D$7,FALSE)+VLOOKUP($E171,'集計F-15'!$E$93:N$175,'集計F-15'!$N$7-$D$7,FALSE)</f>
        <v>0</v>
      </c>
      <c r="O171" s="345"/>
      <c r="P171" s="646">
        <f>VLOOKUP($E171,'集計16-E'!$E$93:W$175,'集計16-E'!$P$7-$D$7,0)+VLOOKUP($E171,'集計F-15'!$E$93:W$175,'集計F-15'!$P$7-$D$7,0)-$S171</f>
        <v>0</v>
      </c>
      <c r="Q171" s="647">
        <f>VLOOKUP($E171,'集計16-E'!$E$93:W$175,'集計16-E'!$Q$7-$D$7,0)+VLOOKUP($E171,'集計F-15'!$E$93:W$175,'集計F-15'!$Q$7-$D$7,0)-$T171</f>
        <v>0</v>
      </c>
      <c r="R171" s="345"/>
      <c r="S171" s="638">
        <f>SUMIF(請求Data!$G$11:$G$160,CONCATENATE(VLOOKUP(P$5,$G$1:$H$4,2,FALSE),$E171,2),請求Data!$AF$11:$AF$160)-S87</f>
        <v>0</v>
      </c>
      <c r="T171" s="647">
        <f>SUMIF(請求Data!$G$11:$G$160,CONCATENATE(VLOOKUP(P$5,$G$1:$H$4,2,FALSE),$E171,2),請求Data!$AG$11:$AG$160)-T87</f>
        <v>0</v>
      </c>
      <c r="U171" s="345"/>
      <c r="V171" s="126">
        <f>VLOOKUP($E171,'集計16-E'!$E$93:W$175,'集計16-E'!$V$7-$D$7,0)+VLOOKUP($E171,'集計F-15'!$E$93:W$175,'集計F-15'!$V$7-$D$7,0)</f>
        <v>0</v>
      </c>
      <c r="W171" s="435">
        <f>VLOOKUP($E171,'集計16-E'!$E$93:W$175,'集計16-E'!$W$7-$D$7,0)+VLOOKUP($E171,'集計F-15'!$E$93:W$175,'集計F-15'!$W$7-$D$7,0)</f>
        <v>0</v>
      </c>
      <c r="X171" s="345"/>
      <c r="Y171" s="646">
        <f>VLOOKUP($E171,'集計16-E'!$E$93:AF$175,'集計16-E'!$Y$7-$D$7,0)+VLOOKUP($E171,'集計F-15'!$E$93:AF$175,'集計F-15'!$Y$7-$D$7,0)-$AB171</f>
        <v>0</v>
      </c>
      <c r="Z171" s="647">
        <f>VLOOKUP($E171,'集計16-E'!$E$93:AF$175,'集計16-E'!$Z$7-$D$7,0)+VLOOKUP($E171,'集計F-15'!$E$93:AF$175,'集計F-15'!$Z$7-$D$7,0)-$AC171</f>
        <v>0</v>
      </c>
      <c r="AA171" s="345"/>
      <c r="AB171" s="638">
        <f>SUMIF(請求Data!$G$11:$G$160,CONCATENATE(VLOOKUP(Y$5,$G$1:$H$4,2,FALSE),$E171,2),請求Data!$AF$11:$AF$160)-AB87</f>
        <v>0</v>
      </c>
      <c r="AC171" s="647">
        <f>SUMIF(請求Data!$G$11:$G$160,CONCATENATE(VLOOKUP(Y$5,$G$1:$H$4,2,FALSE),$E171,2),請求Data!$AG$11:$AG$160)-AC87</f>
        <v>0</v>
      </c>
      <c r="AD171" s="345"/>
      <c r="AE171" s="126">
        <f>VLOOKUP($E171,'集計16-E'!$E$93:AF$175,'集計16-E'!$AE$7-$D$7,0)+VLOOKUP($E171,'集計F-15'!$E$93:AF$175,'集計F-15'!$AE$7-$D$7,0)</f>
        <v>0</v>
      </c>
      <c r="AF171" s="435">
        <f>VLOOKUP($E171,'集計16-E'!$E$93:AF$175,'集計16-E'!$AF$7-$D$7,0)+VLOOKUP($E171,'集計F-15'!$E$93:AF$175,'集計F-15'!$AF$7-$D$7,0)</f>
        <v>0</v>
      </c>
    </row>
    <row r="172" spans="1:32">
      <c r="A172" s="475" t="str">
        <f>IF(SUMIFS($G172:$AF172,$G$8:$AF$8,"金額",$G172:$AF172,"&gt;0")-SUMIFS($G172:$AF172,$G$8:$AF$8,"金額",$G172:$AF172,"&lt;0")&lt;=0,"",MAX($A$92:$A171)+1)</f>
        <v/>
      </c>
      <c r="B172" s="795"/>
      <c r="C172" s="245" t="str">
        <f t="shared" si="5"/>
        <v>経費</v>
      </c>
      <c r="D172" s="245">
        <v>80</v>
      </c>
      <c r="E172" s="593" t="str">
        <f>IF($F172&lt;&gt;"",INDEX(ﾏｽﾀ!$D$8:$D$124,MATCH(INDEX(ﾏｽﾀ!$N$8:$N$124,MATCH($F172,ﾏｽﾀ!$O$8:$O$124,0)),ﾏｽﾀ!$B$8:$B$124,0))&amp;"","")</f>
        <v/>
      </c>
      <c r="F172" s="594" t="str">
        <f>ﾏｽﾀ!$R87&amp;""</f>
        <v/>
      </c>
      <c r="G172" s="634">
        <f>VLOOKUP($E172,'集計16-E'!$E$93:N$174,'集計16-E'!$G$7-$D$7,FALSE)+VLOOKUP($E172,'集計F-15'!$E$93:N$174,'集計F-15'!$G$7-$D$7,FALSE)-INDEX($J$93:$J$174,MATCH($E172,$E$93:$E$174,0))</f>
        <v>0</v>
      </c>
      <c r="H172" s="629">
        <f>VLOOKUP($E172,'集計16-E'!$E$93:N$174,'集計16-E'!$H$7-$D$7,FALSE)+VLOOKUP($E172,'集計F-15'!$E$93:N$174,'集計F-15'!$H$7-$D$7,FALSE)-INDEX($K$93:$K$174,MATCH($E172,$E$93:$E$174,0))</f>
        <v>0</v>
      </c>
      <c r="I172" s="345"/>
      <c r="J172" s="628">
        <f>SUMIF(請求Data!$G$11:$G$160,CONCATENATE(VLOOKUP(G$5,$G$1:$H$4,2,FALSE),$E172,2),請求Data!$AF$11:$AF$160)-INDEX($J$9:$J$90,MATCH($E172,$E$9:$E$90,0))</f>
        <v>0</v>
      </c>
      <c r="K172" s="629">
        <f>SUMIF(請求Data!$G$11:$G$160,CONCATENATE(VLOOKUP(G$5,$G$1:$H$4,2,FALSE),$E172,2),請求Data!$AG$11:$AG$160)-INDEX($K$9:$K$90,MATCH($E172,$E$9:$E$90,0))</f>
        <v>0</v>
      </c>
      <c r="L172" s="345"/>
      <c r="M172" s="126">
        <f>VLOOKUP($E172,'集計16-E'!$E$93:N$175,'集計16-E'!$M$7-$D$7,FALSE)+VLOOKUP($E172,'集計F-15'!$E$93:N$175,'集計F-15'!$M$7-$D$7,FALSE)</f>
        <v>0</v>
      </c>
      <c r="N172" s="434">
        <f>VLOOKUP($E172,'集計16-E'!$E$93:N$175,'集計16-E'!$N$7-$D$7,FALSE)+VLOOKUP($E172,'集計F-15'!$E$93:N$175,'集計F-15'!$N$7-$D$7,FALSE)</f>
        <v>0</v>
      </c>
      <c r="O172" s="345"/>
      <c r="P172" s="646">
        <f>VLOOKUP($E172,'集計16-E'!$E$93:W$175,'集計16-E'!$P$7-$D$7,0)+VLOOKUP($E172,'集計F-15'!$E$93:W$175,'集計F-15'!$P$7-$D$7,0)-$S172</f>
        <v>0</v>
      </c>
      <c r="Q172" s="647">
        <f>VLOOKUP($E172,'集計16-E'!$E$93:W$175,'集計16-E'!$Q$7-$D$7,0)+VLOOKUP($E172,'集計F-15'!$E$93:W$175,'集計F-15'!$Q$7-$D$7,0)-$T172</f>
        <v>0</v>
      </c>
      <c r="R172" s="345"/>
      <c r="S172" s="638">
        <f>SUMIF(請求Data!$G$11:$G$160,CONCATENATE(VLOOKUP(P$5,$G$1:$H$4,2,FALSE),$E172,2),請求Data!$AF$11:$AF$160)-S88</f>
        <v>0</v>
      </c>
      <c r="T172" s="647">
        <f>SUMIF(請求Data!$G$11:$G$160,CONCATENATE(VLOOKUP(P$5,$G$1:$H$4,2,FALSE),$E172,2),請求Data!$AG$11:$AG$160)-T88</f>
        <v>0</v>
      </c>
      <c r="U172" s="345"/>
      <c r="V172" s="126">
        <f>VLOOKUP($E172,'集計16-E'!$E$93:W$175,'集計16-E'!$V$7-$D$7,0)+VLOOKUP($E172,'集計F-15'!$E$93:W$175,'集計F-15'!$V$7-$D$7,0)</f>
        <v>0</v>
      </c>
      <c r="W172" s="435">
        <f>VLOOKUP($E172,'集計16-E'!$E$93:W$175,'集計16-E'!$W$7-$D$7,0)+VLOOKUP($E172,'集計F-15'!$E$93:W$175,'集計F-15'!$W$7-$D$7,0)</f>
        <v>0</v>
      </c>
      <c r="X172" s="345"/>
      <c r="Y172" s="646">
        <f>VLOOKUP($E172,'集計16-E'!$E$93:AF$175,'集計16-E'!$Y$7-$D$7,0)+VLOOKUP($E172,'集計F-15'!$E$93:AF$175,'集計F-15'!$Y$7-$D$7,0)-$AB172</f>
        <v>0</v>
      </c>
      <c r="Z172" s="647">
        <f>VLOOKUP($E172,'集計16-E'!$E$93:AF$175,'集計16-E'!$Z$7-$D$7,0)+VLOOKUP($E172,'集計F-15'!$E$93:AF$175,'集計F-15'!$Z$7-$D$7,0)-$AC172</f>
        <v>0</v>
      </c>
      <c r="AA172" s="345"/>
      <c r="AB172" s="638">
        <f>SUMIF(請求Data!$G$11:$G$160,CONCATENATE(VLOOKUP(Y$5,$G$1:$H$4,2,FALSE),$E172,2),請求Data!$AF$11:$AF$160)-AB88</f>
        <v>0</v>
      </c>
      <c r="AC172" s="647">
        <f>SUMIF(請求Data!$G$11:$G$160,CONCATENATE(VLOOKUP(Y$5,$G$1:$H$4,2,FALSE),$E172,2),請求Data!$AG$11:$AG$160)-AC88</f>
        <v>0</v>
      </c>
      <c r="AD172" s="345"/>
      <c r="AE172" s="126">
        <f>VLOOKUP($E172,'集計16-E'!$E$93:AF$175,'集計16-E'!$AE$7-$D$7,0)+VLOOKUP($E172,'集計F-15'!$E$93:AF$175,'集計F-15'!$AE$7-$D$7,0)</f>
        <v>0</v>
      </c>
      <c r="AF172" s="435">
        <f>VLOOKUP($E172,'集計16-E'!$E$93:AF$175,'集計16-E'!$AF$7-$D$7,0)+VLOOKUP($E172,'集計F-15'!$E$93:AF$175,'集計F-15'!$AF$7-$D$7,0)</f>
        <v>0</v>
      </c>
    </row>
    <row r="173" spans="1:32">
      <c r="A173" s="475" t="str">
        <f>IF(SUMIFS($G173:$AF173,$G$8:$AF$8,"金額",$G173:$AF173,"&gt;0")-SUMIFS($G173:$AF173,$G$8:$AF$8,"金額",$G173:$AF173,"&lt;0")&lt;=0,"",MAX($A$92:$A172)+1)</f>
        <v/>
      </c>
      <c r="B173" s="795"/>
      <c r="C173" s="245" t="str">
        <f t="shared" si="5"/>
        <v>経費</v>
      </c>
      <c r="D173" s="245">
        <v>81</v>
      </c>
      <c r="E173" s="593" t="str">
        <f>IF($F173&lt;&gt;"",INDEX(ﾏｽﾀ!$D$8:$D$124,MATCH(INDEX(ﾏｽﾀ!$N$8:$N$124,MATCH($F173,ﾏｽﾀ!$O$8:$O$124,0)),ﾏｽﾀ!$B$8:$B$124,0))&amp;"","")</f>
        <v/>
      </c>
      <c r="F173" s="594" t="str">
        <f>ﾏｽﾀ!$R88&amp;""</f>
        <v/>
      </c>
      <c r="G173" s="634">
        <f>VLOOKUP($E173,'集計16-E'!$E$93:N$174,'集計16-E'!$G$7-$D$7,FALSE)+VLOOKUP($E173,'集計F-15'!$E$93:N$174,'集計F-15'!$G$7-$D$7,FALSE)-INDEX($J$93:$J$174,MATCH($E173,$E$93:$E$174,0))</f>
        <v>0</v>
      </c>
      <c r="H173" s="629">
        <f>VLOOKUP($E173,'集計16-E'!$E$93:N$174,'集計16-E'!$H$7-$D$7,FALSE)+VLOOKUP($E173,'集計F-15'!$E$93:N$174,'集計F-15'!$H$7-$D$7,FALSE)-INDEX($K$93:$K$174,MATCH($E173,$E$93:$E$174,0))</f>
        <v>0</v>
      </c>
      <c r="I173" s="345"/>
      <c r="J173" s="628">
        <f>SUMIF(請求Data!$G$11:$G$160,CONCATENATE(VLOOKUP(G$5,$G$1:$H$4,2,FALSE),$E173,2),請求Data!$AF$11:$AF$160)-INDEX($J$9:$J$90,MATCH($E173,$E$9:$E$90,0))</f>
        <v>0</v>
      </c>
      <c r="K173" s="629">
        <f>SUMIF(請求Data!$G$11:$G$160,CONCATENATE(VLOOKUP(G$5,$G$1:$H$4,2,FALSE),$E173,2),請求Data!$AG$11:$AG$160)-INDEX($K$9:$K$90,MATCH($E173,$E$9:$E$90,0))</f>
        <v>0</v>
      </c>
      <c r="L173" s="345"/>
      <c r="M173" s="126">
        <f>VLOOKUP($E173,'集計16-E'!$E$93:N$175,'集計16-E'!$M$7-$D$7,FALSE)+VLOOKUP($E173,'集計F-15'!$E$93:N$175,'集計F-15'!$M$7-$D$7,FALSE)</f>
        <v>0</v>
      </c>
      <c r="N173" s="434">
        <f>VLOOKUP($E173,'集計16-E'!$E$93:N$175,'集計16-E'!$N$7-$D$7,FALSE)+VLOOKUP($E173,'集計F-15'!$E$93:N$175,'集計F-15'!$N$7-$D$7,FALSE)</f>
        <v>0</v>
      </c>
      <c r="O173" s="345"/>
      <c r="P173" s="646">
        <f>VLOOKUP($E173,'集計16-E'!$E$93:W$175,'集計16-E'!$P$7-$D$7,0)+VLOOKUP($E173,'集計F-15'!$E$93:W$175,'集計F-15'!$P$7-$D$7,0)-$S173</f>
        <v>0</v>
      </c>
      <c r="Q173" s="647">
        <f>VLOOKUP($E173,'集計16-E'!$E$93:W$175,'集計16-E'!$Q$7-$D$7,0)+VLOOKUP($E173,'集計F-15'!$E$93:W$175,'集計F-15'!$Q$7-$D$7,0)-$T173</f>
        <v>0</v>
      </c>
      <c r="R173" s="345"/>
      <c r="S173" s="638">
        <f>SUMIF(請求Data!$G$11:$G$160,CONCATENATE(VLOOKUP(P$5,$G$1:$H$4,2,FALSE),$E173,2),請求Data!$AF$11:$AF$160)-S89</f>
        <v>0</v>
      </c>
      <c r="T173" s="647">
        <f>SUMIF(請求Data!$G$11:$G$160,CONCATENATE(VLOOKUP(P$5,$G$1:$H$4,2,FALSE),$E173,2),請求Data!$AG$11:$AG$160)-T89</f>
        <v>0</v>
      </c>
      <c r="U173" s="345"/>
      <c r="V173" s="126">
        <f>VLOOKUP($E173,'集計16-E'!$E$93:W$175,'集計16-E'!$V$7-$D$7,0)+VLOOKUP($E173,'集計F-15'!$E$93:W$175,'集計F-15'!$V$7-$D$7,0)</f>
        <v>0</v>
      </c>
      <c r="W173" s="435">
        <f>VLOOKUP($E173,'集計16-E'!$E$93:W$175,'集計16-E'!$W$7-$D$7,0)+VLOOKUP($E173,'集計F-15'!$E$93:W$175,'集計F-15'!$W$7-$D$7,0)</f>
        <v>0</v>
      </c>
      <c r="X173" s="345"/>
      <c r="Y173" s="646">
        <f>VLOOKUP($E173,'集計16-E'!$E$93:AF$175,'集計16-E'!$Y$7-$D$7,0)+VLOOKUP($E173,'集計F-15'!$E$93:AF$175,'集計F-15'!$Y$7-$D$7,0)-$AB173</f>
        <v>0</v>
      </c>
      <c r="Z173" s="647">
        <f>VLOOKUP($E173,'集計16-E'!$E$93:AF$175,'集計16-E'!$Z$7-$D$7,0)+VLOOKUP($E173,'集計F-15'!$E$93:AF$175,'集計F-15'!$Z$7-$D$7,0)-$AC173</f>
        <v>0</v>
      </c>
      <c r="AA173" s="345"/>
      <c r="AB173" s="638">
        <f>SUMIF(請求Data!$G$11:$G$160,CONCATENATE(VLOOKUP(Y$5,$G$1:$H$4,2,FALSE),$E173,2),請求Data!$AF$11:$AF$160)-AB89</f>
        <v>0</v>
      </c>
      <c r="AC173" s="647">
        <f>SUMIF(請求Data!$G$11:$G$160,CONCATENATE(VLOOKUP(Y$5,$G$1:$H$4,2,FALSE),$E173,2),請求Data!$AG$11:$AG$160)-AC89</f>
        <v>0</v>
      </c>
      <c r="AD173" s="345"/>
      <c r="AE173" s="126">
        <f>VLOOKUP($E173,'集計16-E'!$E$93:AF$175,'集計16-E'!$AE$7-$D$7,0)+VLOOKUP($E173,'集計F-15'!$E$93:AF$175,'集計F-15'!$AE$7-$D$7,0)</f>
        <v>0</v>
      </c>
      <c r="AF173" s="435">
        <f>VLOOKUP($E173,'集計16-E'!$E$93:AF$175,'集計16-E'!$AF$7-$D$7,0)+VLOOKUP($E173,'集計F-15'!$E$93:AF$175,'集計F-15'!$AF$7-$D$7,0)</f>
        <v>0</v>
      </c>
    </row>
    <row r="174" spans="1:32" ht="13.8" thickBot="1">
      <c r="A174" s="475" t="str">
        <f>IF(SUMIFS($G174:$AF174,$G$8:$AF$8,"金額",$G174:$AF174,"&gt;0")-SUMIFS($G174:$AF174,$G$8:$AF$8,"金額",$G174:$AF174,"&lt;0")&lt;=0,"",MAX($A$92:$A173)+1)</f>
        <v/>
      </c>
      <c r="B174" s="796"/>
      <c r="C174" s="245" t="str">
        <f t="shared" si="5"/>
        <v>経費</v>
      </c>
      <c r="D174" s="245">
        <v>82</v>
      </c>
      <c r="E174" s="595" t="str">
        <f>IF($F174&lt;&gt;"",INDEX(ﾏｽﾀ!$D$8:$D$124,MATCH(INDEX(ﾏｽﾀ!$N$8:$N$124,MATCH($F174,ﾏｽﾀ!$O$8:$O$124,0)),ﾏｽﾀ!$B$8:$B$124,0))&amp;"","")</f>
        <v/>
      </c>
      <c r="F174" s="596" t="str">
        <f>ﾏｽﾀ!$R89&amp;""</f>
        <v/>
      </c>
      <c r="G174" s="635">
        <f>VLOOKUP($E174,'集計16-E'!$E$93:N$174,'集計16-E'!$G$7-$D$7,FALSE)+VLOOKUP($E174,'集計F-15'!$E$93:N$174,'集計F-15'!$G$7-$D$7,FALSE)-INDEX($J$93:$J$174,MATCH($E174,$E$93:$E$174,0))</f>
        <v>0</v>
      </c>
      <c r="H174" s="631">
        <f>VLOOKUP($E174,'集計16-E'!$E$93:N$174,'集計16-E'!$H$7-$D$7,FALSE)+VLOOKUP($E174,'集計F-15'!$E$93:N$174,'集計F-15'!$H$7-$D$7,FALSE)-INDEX($K$93:$K$174,MATCH($E174,$E$93:$E$174,0))</f>
        <v>0</v>
      </c>
      <c r="I174" s="347"/>
      <c r="J174" s="630">
        <f>SUMIF(請求Data!$G$11:$G$160,CONCATENATE(VLOOKUP(G$5,$G$1:$H$4,2,FALSE),$E174,2),請求Data!$AF$11:$AF$160)-INDEX($J$9:$J$90,MATCH($E174,$E$9:$E$90,0))</f>
        <v>0</v>
      </c>
      <c r="K174" s="631">
        <f>SUMIF(請求Data!$G$11:$G$160,CONCATENATE(VLOOKUP(G$5,$G$1:$H$4,2,FALSE),$E174,2),請求Data!$AG$11:$AG$160)-INDEX($K$9:$K$90,MATCH($E174,$E$9:$E$90,0))</f>
        <v>0</v>
      </c>
      <c r="L174" s="347"/>
      <c r="M174" s="135">
        <f>VLOOKUP($E174,'集計16-E'!$E$93:N$175,'集計16-E'!$M$7-$D$7,FALSE)+VLOOKUP($E174,'集計F-15'!$E$93:N$175,'集計F-15'!$M$7-$D$7,FALSE)</f>
        <v>0</v>
      </c>
      <c r="N174" s="436">
        <f>VLOOKUP($E174,'集計16-E'!$E$93:N$175,'集計16-E'!$N$7-$D$7,FALSE)+VLOOKUP($E174,'集計F-15'!$E$93:N$175,'集計F-15'!$N$7-$D$7,FALSE)</f>
        <v>0</v>
      </c>
      <c r="O174" s="347"/>
      <c r="P174" s="648">
        <f>VLOOKUP($E174,'集計16-E'!$E$93:W$175,'集計16-E'!$P$7-$D$7,0)+VLOOKUP($E174,'集計F-15'!$E$93:W$175,'集計F-15'!$P$7-$D$7,0)-$S174</f>
        <v>0</v>
      </c>
      <c r="Q174" s="649">
        <f>VLOOKUP($E174,'集計16-E'!$E$93:W$175,'集計16-E'!$Q$7-$D$7,0)+VLOOKUP($E174,'集計F-15'!$E$93:W$175,'集計F-15'!$Q$7-$D$7,0)-$T174</f>
        <v>0</v>
      </c>
      <c r="R174" s="347"/>
      <c r="S174" s="639">
        <f>SUMIF(請求Data!$G$11:$G$160,CONCATENATE(VLOOKUP(P$5,$G$1:$H$4,2,FALSE),$E174,2),請求Data!$AF$11:$AF$160)-S90</f>
        <v>0</v>
      </c>
      <c r="T174" s="649">
        <f>SUMIF(請求Data!$G$11:$G$160,CONCATENATE(VLOOKUP(P$5,$G$1:$H$4,2,FALSE),$E174,2),請求Data!$AG$11:$AG$160)-T90</f>
        <v>0</v>
      </c>
      <c r="U174" s="347"/>
      <c r="V174" s="135">
        <f>VLOOKUP($E174,'集計16-E'!$E$93:W$175,'集計16-E'!$V$7-$D$7,0)+VLOOKUP($E174,'集計F-15'!$E$93:W$175,'集計F-15'!$V$7-$D$7,0)</f>
        <v>0</v>
      </c>
      <c r="W174" s="437">
        <f>VLOOKUP($E174,'集計16-E'!$E$93:W$175,'集計16-E'!$W$7-$D$7,0)+VLOOKUP($E174,'集計F-15'!$E$93:W$175,'集計F-15'!$W$7-$D$7,0)</f>
        <v>0</v>
      </c>
      <c r="X174" s="347"/>
      <c r="Y174" s="648">
        <f>VLOOKUP($E174,'集計16-E'!$E$93:AF$175,'集計16-E'!$Y$7-$D$7,0)+VLOOKUP($E174,'集計F-15'!$E$93:AF$175,'集計F-15'!$Y$7-$D$7,0)-$AB174</f>
        <v>0</v>
      </c>
      <c r="Z174" s="649">
        <f>VLOOKUP($E174,'集計16-E'!$E$93:AF$175,'集計16-E'!$Z$7-$D$7,0)+VLOOKUP($E174,'集計F-15'!$E$93:AF$175,'集計F-15'!$Z$7-$D$7,0)-$AC174</f>
        <v>0</v>
      </c>
      <c r="AA174" s="347"/>
      <c r="AB174" s="639">
        <f>SUMIF(請求Data!$G$11:$G$160,CONCATENATE(VLOOKUP(Y$5,$G$1:$H$4,2,FALSE),$E174,2),請求Data!$AF$11:$AF$160)-AB90</f>
        <v>0</v>
      </c>
      <c r="AC174" s="649">
        <f>SUMIF(請求Data!$G$11:$G$160,CONCATENATE(VLOOKUP(Y$5,$G$1:$H$4,2,FALSE),$E174,2),請求Data!$AG$11:$AG$160)-AC90</f>
        <v>0</v>
      </c>
      <c r="AD174" s="347"/>
      <c r="AE174" s="135">
        <f>VLOOKUP($E174,'集計16-E'!$E$93:AF$175,'集計16-E'!$AE$7-$D$7,0)+VLOOKUP($E174,'集計F-15'!$E$93:AF$175,'集計F-15'!$AE$7-$D$7,0)</f>
        <v>0</v>
      </c>
      <c r="AF174" s="437">
        <f>VLOOKUP($E174,'集計16-E'!$E$93:AF$175,'集計16-E'!$AF$7-$D$7,0)+VLOOKUP($E174,'集計F-15'!$E$93:AF$175,'集計F-15'!$AF$7-$D$7,0)</f>
        <v>0</v>
      </c>
    </row>
    <row r="175" spans="1:32" ht="13.8" thickBot="1">
      <c r="C175" s="1"/>
      <c r="D175" s="1"/>
      <c r="E175" s="15"/>
      <c r="F175" s="4"/>
      <c r="G175" s="112"/>
      <c r="H175" s="114"/>
      <c r="J175" s="112"/>
      <c r="K175" s="114"/>
      <c r="M175" s="112"/>
      <c r="N175" s="114"/>
      <c r="P175" s="112"/>
      <c r="Q175" s="113"/>
      <c r="S175" s="112"/>
      <c r="T175" s="113"/>
      <c r="V175" s="112"/>
      <c r="W175" s="113"/>
      <c r="Y175" s="112"/>
      <c r="Z175" s="113"/>
      <c r="AB175" s="112"/>
      <c r="AC175" s="113"/>
      <c r="AE175" s="112"/>
      <c r="AF175" s="113"/>
    </row>
    <row r="176" spans="1:32" s="7" customFormat="1">
      <c r="A176" s="148"/>
      <c r="B176" s="8"/>
      <c r="C176" s="8"/>
      <c r="D176" s="8"/>
      <c r="E176" s="46"/>
      <c r="F176" s="9"/>
      <c r="G176" s="178">
        <f>SUM(G9:G175)</f>
        <v>13</v>
      </c>
      <c r="H176" s="179">
        <f>SUM(H9:H175)</f>
        <v>50178897</v>
      </c>
      <c r="I176" s="353"/>
      <c r="J176" s="182">
        <f>SUM(J9:J175)</f>
        <v>1</v>
      </c>
      <c r="K176" s="179">
        <f>SUM(K9:K175)</f>
        <v>9099000</v>
      </c>
      <c r="L176" s="353"/>
      <c r="M176" s="182">
        <f>SUM(M9:M175)</f>
        <v>3</v>
      </c>
      <c r="N176" s="179">
        <f>SUM(N9:N175)</f>
        <v>1098766</v>
      </c>
      <c r="O176" s="353"/>
      <c r="P176" s="182">
        <f>SUM(P9:P175)</f>
        <v>3</v>
      </c>
      <c r="Q176" s="183">
        <f>SUM(Q9:Q175)</f>
        <v>920715.76</v>
      </c>
      <c r="R176" s="353"/>
      <c r="S176" s="182">
        <f>SUM(S9:S175)</f>
        <v>0</v>
      </c>
      <c r="T176" s="183">
        <f>SUM(T9:T175)</f>
        <v>0</v>
      </c>
      <c r="U176" s="353"/>
      <c r="V176" s="182">
        <f>SUM(V9:V175)</f>
        <v>0</v>
      </c>
      <c r="W176" s="183">
        <f>SUM(W9:W175)</f>
        <v>0</v>
      </c>
      <c r="X176" s="353"/>
      <c r="Y176" s="182">
        <f>SUM(Y9:Y175)</f>
        <v>2</v>
      </c>
      <c r="Z176" s="311">
        <f>SUM(Z9:Z175)</f>
        <v>236897.73</v>
      </c>
      <c r="AA176" s="353"/>
      <c r="AB176" s="182">
        <f>SUM(AB9:AB175)</f>
        <v>0</v>
      </c>
      <c r="AC176" s="311">
        <f>SUM(AC9:AC175)</f>
        <v>0</v>
      </c>
      <c r="AD176" s="353"/>
      <c r="AE176" s="182">
        <f>SUM(AE9:AE175)</f>
        <v>0</v>
      </c>
      <c r="AF176" s="309">
        <f>SUM(AF9:AF175)</f>
        <v>0</v>
      </c>
    </row>
    <row r="177" spans="2:32" ht="13.8" thickBot="1">
      <c r="G177" s="184"/>
      <c r="H177" s="185"/>
      <c r="I177" s="352"/>
      <c r="J177" s="186"/>
      <c r="K177" s="185"/>
      <c r="L177" s="352"/>
      <c r="M177" s="187">
        <f>G176+J176+M176</f>
        <v>17</v>
      </c>
      <c r="N177" s="188">
        <f>H176+K176+N176</f>
        <v>60376663</v>
      </c>
      <c r="O177" s="352"/>
      <c r="P177" s="186"/>
      <c r="Q177" s="185"/>
      <c r="R177" s="352"/>
      <c r="S177" s="186"/>
      <c r="T177" s="185"/>
      <c r="U177" s="352"/>
      <c r="V177" s="187">
        <f>P176+S176+V176</f>
        <v>3</v>
      </c>
      <c r="W177" s="189">
        <f>Q176+T176+W176</f>
        <v>920715.76</v>
      </c>
      <c r="X177" s="352"/>
      <c r="Y177" s="186"/>
      <c r="Z177" s="185"/>
      <c r="AA177" s="352"/>
      <c r="AB177" s="186"/>
      <c r="AC177" s="185"/>
      <c r="AD177" s="352"/>
      <c r="AE177" s="187">
        <f>Y176+AB176+AE176</f>
        <v>2</v>
      </c>
      <c r="AF177" s="310">
        <f>Z176+AC176+AF176</f>
        <v>236897.73</v>
      </c>
    </row>
    <row r="179" spans="2:32">
      <c r="F179" s="67" t="s">
        <v>443</v>
      </c>
      <c r="N179" s="115">
        <f>'納品書明細16-E'!Q2</f>
        <v>7343586</v>
      </c>
      <c r="W179" s="231">
        <f>'納品書明細16-E'!Q3</f>
        <v>204210.21</v>
      </c>
      <c r="AF179" s="210">
        <f>'納品書明細16-E'!Q4</f>
        <v>15497.73</v>
      </c>
    </row>
    <row r="180" spans="2:32">
      <c r="F180" s="67" t="s">
        <v>444</v>
      </c>
      <c r="N180" s="115">
        <f>'納品書明細F-15'!Q2</f>
        <v>53033077</v>
      </c>
      <c r="W180" s="231">
        <f>'納品書明細F-15'!Q3</f>
        <v>716505.55</v>
      </c>
      <c r="AF180" s="210">
        <f>'納品書明細F-15'!Q4</f>
        <v>221400</v>
      </c>
    </row>
    <row r="181" spans="2:32">
      <c r="F181" s="226" t="s">
        <v>445</v>
      </c>
      <c r="G181" s="227"/>
      <c r="H181" s="228"/>
      <c r="I181" s="354"/>
      <c r="J181" s="227"/>
      <c r="K181" s="228"/>
      <c r="L181" s="354"/>
      <c r="M181" s="227"/>
      <c r="N181" s="229">
        <f>SUM(N179:N180)</f>
        <v>60376663</v>
      </c>
      <c r="O181" s="354"/>
      <c r="P181" s="227"/>
      <c r="Q181" s="228"/>
      <c r="R181" s="354"/>
      <c r="S181" s="227"/>
      <c r="T181" s="228"/>
      <c r="U181" s="354"/>
      <c r="V181" s="227"/>
      <c r="W181" s="232">
        <f>SUM(W179:W180)</f>
        <v>920715.76</v>
      </c>
      <c r="X181" s="354"/>
      <c r="Y181" s="227"/>
      <c r="Z181" s="228"/>
      <c r="AA181" s="354"/>
      <c r="AB181" s="227"/>
      <c r="AC181" s="228"/>
      <c r="AD181" s="354"/>
      <c r="AE181" s="227"/>
      <c r="AF181" s="230">
        <f>SUM(AF179:AF180)</f>
        <v>236897.73</v>
      </c>
    </row>
    <row r="183" spans="2:32">
      <c r="B183" s="166"/>
      <c r="C183" s="166"/>
      <c r="F183" s="5" t="s">
        <v>470</v>
      </c>
      <c r="H183" s="115">
        <f>請求Data!AE1</f>
        <v>50178897</v>
      </c>
      <c r="J183" s="115"/>
      <c r="K183" s="115">
        <f>請求Data!AG1</f>
        <v>9099000</v>
      </c>
      <c r="M183" s="115"/>
      <c r="N183" s="115">
        <f>請求Data!AI1</f>
        <v>1098766</v>
      </c>
      <c r="Q183" s="231">
        <f>請求Data!AE2</f>
        <v>920715.76</v>
      </c>
      <c r="S183" s="231"/>
      <c r="T183" s="231">
        <f>請求Data!AG2</f>
        <v>0</v>
      </c>
      <c r="V183" s="231"/>
      <c r="W183" s="231">
        <f>請求Data!AI2</f>
        <v>0</v>
      </c>
      <c r="Z183" s="210">
        <f>請求Data!AE3</f>
        <v>236897.73</v>
      </c>
      <c r="AB183" s="210"/>
      <c r="AC183" s="210">
        <f>請求Data!AG3</f>
        <v>0</v>
      </c>
      <c r="AE183" s="210"/>
      <c r="AF183" s="210">
        <f>請求Data!AI3</f>
        <v>0</v>
      </c>
    </row>
    <row r="184" spans="2:32">
      <c r="F184" s="218" t="s">
        <v>446</v>
      </c>
      <c r="G184" s="219"/>
      <c r="H184" s="220"/>
      <c r="I184" s="355"/>
      <c r="J184" s="219"/>
      <c r="K184" s="220"/>
      <c r="L184" s="355"/>
      <c r="M184" s="219"/>
      <c r="N184" s="221">
        <f>SUM(H183:N183)</f>
        <v>60376663</v>
      </c>
      <c r="O184" s="355"/>
      <c r="P184" s="219"/>
      <c r="Q184" s="220"/>
      <c r="R184" s="355"/>
      <c r="S184" s="219"/>
      <c r="T184" s="220"/>
      <c r="U184" s="355"/>
      <c r="V184" s="219"/>
      <c r="W184" s="233">
        <f>SUM(Q183:W183)</f>
        <v>920715.76</v>
      </c>
      <c r="X184" s="355"/>
      <c r="Y184" s="219"/>
      <c r="Z184" s="220"/>
      <c r="AA184" s="355"/>
      <c r="AB184" s="219"/>
      <c r="AC184" s="220"/>
      <c r="AD184" s="355"/>
      <c r="AE184" s="219"/>
      <c r="AF184" s="222">
        <f>SUM(Z183:AF183)</f>
        <v>236897.73</v>
      </c>
    </row>
    <row r="185" spans="2:32">
      <c r="F185" s="223" t="s">
        <v>447</v>
      </c>
      <c r="G185" s="103"/>
      <c r="H185" s="268"/>
      <c r="I185" s="356"/>
      <c r="J185" s="103"/>
      <c r="K185" s="268"/>
      <c r="L185" s="356"/>
      <c r="M185" s="103"/>
      <c r="N185" s="224">
        <v>0</v>
      </c>
      <c r="O185" s="356"/>
      <c r="P185" s="103"/>
      <c r="Q185" s="268"/>
      <c r="R185" s="356"/>
      <c r="S185" s="103"/>
      <c r="T185" s="268"/>
      <c r="U185" s="356"/>
      <c r="V185" s="103"/>
      <c r="W185" s="234">
        <v>0</v>
      </c>
      <c r="X185" s="356"/>
      <c r="Y185" s="103"/>
      <c r="Z185" s="268"/>
      <c r="AA185" s="356"/>
      <c r="AB185" s="103"/>
      <c r="AC185" s="268"/>
      <c r="AD185" s="356"/>
      <c r="AE185" s="103"/>
      <c r="AF185" s="225">
        <v>0</v>
      </c>
    </row>
    <row r="186" spans="2:32">
      <c r="F186" s="165" t="s">
        <v>448</v>
      </c>
      <c r="G186" s="7"/>
      <c r="H186" s="6"/>
      <c r="I186" s="357"/>
      <c r="J186" s="7"/>
      <c r="K186" s="6"/>
      <c r="L186" s="357"/>
      <c r="M186" s="7"/>
      <c r="N186" s="209">
        <f>N184-N185</f>
        <v>60376663</v>
      </c>
      <c r="O186" s="357"/>
      <c r="P186" s="7"/>
      <c r="Q186" s="6"/>
      <c r="R186" s="357"/>
      <c r="S186" s="7"/>
      <c r="T186" s="6"/>
      <c r="U186" s="357"/>
      <c r="V186" s="7"/>
      <c r="W186" s="235">
        <f>W184-W185</f>
        <v>920715.76</v>
      </c>
      <c r="X186" s="357"/>
      <c r="Y186" s="7"/>
      <c r="Z186" s="6"/>
      <c r="AA186" s="357"/>
      <c r="AB186" s="7"/>
      <c r="AC186" s="6"/>
      <c r="AD186" s="357"/>
      <c r="AE186" s="7"/>
      <c r="AF186" s="211">
        <f>AF184-AF185</f>
        <v>236897.73</v>
      </c>
    </row>
  </sheetData>
  <autoFilter ref="A8:AG174" xr:uid="{00000000-0009-0000-0000-000004000000}"/>
  <mergeCells count="11">
    <mergeCell ref="B93:B174"/>
    <mergeCell ref="G6:H6"/>
    <mergeCell ref="M6:N6"/>
    <mergeCell ref="J6:K6"/>
    <mergeCell ref="AE6:AF6"/>
    <mergeCell ref="S6:T6"/>
    <mergeCell ref="V6:W6"/>
    <mergeCell ref="P6:Q6"/>
    <mergeCell ref="Y6:Z6"/>
    <mergeCell ref="AB6:AC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P93" sqref="P93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customWidth="1" outlineLevel="1"/>
    <col min="4" max="4" width="3.88671875" style="299" customWidth="1" outlineLevel="1"/>
    <col min="5" max="5" width="6.44140625" style="45" customWidth="1"/>
    <col min="6" max="6" width="41" style="5" bestFit="1" customWidth="1"/>
    <col min="7" max="7" width="5.6640625" customWidth="1"/>
    <col min="8" max="8" width="13.6640625" style="2" customWidth="1"/>
    <col min="9" max="9" width="2.6640625" customWidth="1"/>
    <col min="10" max="10" width="5.6640625" customWidth="1"/>
    <col min="11" max="11" width="12.6640625" style="2" customWidth="1"/>
    <col min="12" max="12" width="2.6640625" customWidth="1"/>
    <col min="13" max="13" width="5.6640625" customWidth="1"/>
    <col min="14" max="14" width="13.6640625" customWidth="1"/>
    <col min="15" max="16" width="5.6640625" customWidth="1"/>
    <col min="17" max="17" width="13.6640625" style="2" customWidth="1"/>
    <col min="18" max="18" width="2.6640625" customWidth="1"/>
    <col min="19" max="19" width="5.6640625" customWidth="1"/>
    <col min="20" max="20" width="12.6640625" style="2" customWidth="1"/>
    <col min="21" max="21" width="2.6640625" customWidth="1"/>
    <col min="22" max="22" width="5.6640625" customWidth="1"/>
    <col min="23" max="23" width="13.6640625" customWidth="1"/>
    <col min="24" max="25" width="5.6640625" customWidth="1"/>
    <col min="26" max="26" width="15.6640625" style="2" customWidth="1"/>
    <col min="27" max="27" width="2.6640625" customWidth="1"/>
    <col min="28" max="28" width="5.6640625" customWidth="1"/>
    <col min="29" max="29" width="12.6640625" style="2" customWidth="1"/>
    <col min="30" max="30" width="2.6640625" customWidth="1"/>
    <col min="31" max="31" width="5.6640625" customWidth="1"/>
    <col min="32" max="32" width="15.6640625" customWidth="1"/>
  </cols>
  <sheetData>
    <row r="1" spans="1:32" ht="14.4">
      <c r="C1" s="92"/>
      <c r="E1" s="93" t="str">
        <f ca="1">RIGHT(CELL("filename",E1),LEN(CELL("filename",E1))-FIND("]",CELL("filename",E1)))</f>
        <v>集計16-E</v>
      </c>
      <c r="G1" s="106" t="str">
        <f>IF('納品書明細16-E'!$N$2="","",'納品書明細16-E'!$N$2)</f>
        <v>\</v>
      </c>
      <c r="H1" s="107" t="str">
        <f>IF('納品書明細16-E'!$O$2="","",'納品書明細16-E'!$O$2)</f>
        <v>1</v>
      </c>
      <c r="M1" s="343" t="s">
        <v>580</v>
      </c>
    </row>
    <row r="2" spans="1:32" ht="14.4">
      <c r="B2" s="5"/>
      <c r="C2" s="104"/>
      <c r="E2" s="52"/>
      <c r="F2" s="16" t="s">
        <v>82</v>
      </c>
      <c r="G2" s="108" t="str">
        <f>IF('納品書明細16-E'!$N$3="","",'納品書明細16-E'!$N$3)</f>
        <v>$</v>
      </c>
      <c r="H2" s="109" t="str">
        <f>IF('納品書明細16-E'!$O$3="","",'納品書明細16-E'!$O$3)</f>
        <v>2</v>
      </c>
      <c r="J2" s="78"/>
      <c r="M2" s="342" t="s">
        <v>578</v>
      </c>
    </row>
    <row r="3" spans="1:32" ht="14.4">
      <c r="B3" s="5"/>
      <c r="C3" s="104"/>
      <c r="E3" s="250"/>
      <c r="F3" s="16" t="s">
        <v>83</v>
      </c>
      <c r="G3" s="108" t="str">
        <f>IF('納品書明細16-E'!$N$4="","",'納品書明細16-E'!$N$4)</f>
        <v>HK$</v>
      </c>
      <c r="H3" s="109" t="str">
        <f>IF('納品書明細16-E'!$O$4="","",'納品書明細16-E'!$O$4)</f>
        <v>3</v>
      </c>
      <c r="M3" s="472" t="s">
        <v>695</v>
      </c>
      <c r="N3" s="16"/>
    </row>
    <row r="4" spans="1:32" ht="15" thickBot="1">
      <c r="B4" s="5"/>
      <c r="C4" s="104"/>
      <c r="E4" s="479"/>
      <c r="F4" t="s">
        <v>456</v>
      </c>
      <c r="G4" s="110" t="str">
        <f>IF('納品書明細16-E'!$N$5="","",'納品書明細16-E'!$N$5)</f>
        <v/>
      </c>
      <c r="H4" s="111" t="str">
        <f>IF('納品書明細16-E'!$O$5="","",'納品書明細16-E'!$O$5)</f>
        <v>4</v>
      </c>
    </row>
    <row r="5" spans="1:32" ht="15" thickBot="1">
      <c r="C5" s="91"/>
      <c r="E5" s="91"/>
      <c r="F5" s="92" t="s">
        <v>87</v>
      </c>
      <c r="G5" s="167" t="s">
        <v>395</v>
      </c>
      <c r="H5" s="102"/>
      <c r="I5" s="102"/>
      <c r="J5" s="102"/>
      <c r="K5" s="102"/>
      <c r="L5" s="102"/>
      <c r="M5" s="102"/>
      <c r="N5" s="102"/>
      <c r="O5" s="64"/>
      <c r="P5" s="167" t="s">
        <v>386</v>
      </c>
      <c r="Q5" s="102"/>
      <c r="R5" s="102"/>
      <c r="S5" s="102"/>
      <c r="T5" s="102"/>
      <c r="U5" s="102"/>
      <c r="V5" s="102"/>
      <c r="W5" s="102"/>
      <c r="X5" s="64"/>
      <c r="Y5" s="167" t="s">
        <v>393</v>
      </c>
      <c r="Z5" s="102"/>
      <c r="AA5" s="102"/>
      <c r="AB5" s="102"/>
      <c r="AC5" s="102"/>
      <c r="AD5" s="102"/>
      <c r="AE5" s="102"/>
      <c r="AF5" s="102"/>
    </row>
    <row r="6" spans="1:32" s="348" customFormat="1" ht="13.5" customHeight="1">
      <c r="A6" s="51"/>
      <c r="B6" s="579"/>
      <c r="C6" s="51"/>
      <c r="D6" s="51"/>
      <c r="E6" s="367" t="s">
        <v>440</v>
      </c>
      <c r="F6" s="368" t="s">
        <v>439</v>
      </c>
      <c r="G6" s="804" t="s">
        <v>92</v>
      </c>
      <c r="H6" s="805"/>
      <c r="I6" s="382"/>
      <c r="J6" s="808" t="s">
        <v>93</v>
      </c>
      <c r="K6" s="808"/>
      <c r="L6" s="382"/>
      <c r="M6" s="805" t="s">
        <v>6</v>
      </c>
      <c r="N6" s="807"/>
      <c r="O6" s="382"/>
      <c r="P6" s="804" t="s">
        <v>92</v>
      </c>
      <c r="Q6" s="805"/>
      <c r="R6" s="382"/>
      <c r="S6" s="808" t="s">
        <v>93</v>
      </c>
      <c r="T6" s="808"/>
      <c r="U6" s="382"/>
      <c r="V6" s="805" t="s">
        <v>6</v>
      </c>
      <c r="W6" s="807"/>
      <c r="X6" s="382"/>
      <c r="Y6" s="804" t="s">
        <v>92</v>
      </c>
      <c r="Z6" s="805"/>
      <c r="AA6" s="382"/>
      <c r="AB6" s="806" t="s">
        <v>93</v>
      </c>
      <c r="AC6" s="806"/>
      <c r="AD6" s="382"/>
      <c r="AE6" s="805" t="s">
        <v>6</v>
      </c>
      <c r="AF6" s="807"/>
    </row>
    <row r="7" spans="1:32" s="374" customFormat="1" outlineLevel="1">
      <c r="A7" s="369">
        <v>1</v>
      </c>
      <c r="B7" s="580">
        <v>2</v>
      </c>
      <c r="C7" s="369">
        <v>3</v>
      </c>
      <c r="D7" s="369">
        <v>4</v>
      </c>
      <c r="E7" s="370">
        <v>5</v>
      </c>
      <c r="F7" s="371">
        <v>6</v>
      </c>
      <c r="G7" s="351">
        <v>7</v>
      </c>
      <c r="H7" s="351">
        <v>8</v>
      </c>
      <c r="I7" s="351">
        <v>9</v>
      </c>
      <c r="J7" s="351">
        <v>10</v>
      </c>
      <c r="K7" s="351">
        <v>11</v>
      </c>
      <c r="L7" s="351">
        <v>12</v>
      </c>
      <c r="M7" s="351">
        <v>13</v>
      </c>
      <c r="N7" s="372">
        <v>14</v>
      </c>
      <c r="O7" s="351">
        <v>15</v>
      </c>
      <c r="P7" s="373">
        <v>16</v>
      </c>
      <c r="Q7" s="351">
        <v>17</v>
      </c>
      <c r="R7" s="351">
        <v>18</v>
      </c>
      <c r="S7" s="351">
        <v>19</v>
      </c>
      <c r="T7" s="351">
        <v>20</v>
      </c>
      <c r="U7" s="351">
        <v>21</v>
      </c>
      <c r="V7" s="351">
        <v>22</v>
      </c>
      <c r="W7" s="372">
        <v>23</v>
      </c>
      <c r="X7" s="351">
        <v>24</v>
      </c>
      <c r="Y7" s="373">
        <v>25</v>
      </c>
      <c r="Z7" s="351">
        <v>26</v>
      </c>
      <c r="AA7" s="351">
        <v>27</v>
      </c>
      <c r="AB7" s="351">
        <v>28</v>
      </c>
      <c r="AC7" s="351">
        <v>29</v>
      </c>
      <c r="AD7" s="351">
        <v>30</v>
      </c>
      <c r="AE7" s="351">
        <v>31</v>
      </c>
      <c r="AF7" s="372">
        <v>32</v>
      </c>
    </row>
    <row r="8" spans="1:32" s="348" customFormat="1" ht="13.8" thickBot="1">
      <c r="A8" s="51"/>
      <c r="B8" s="581"/>
      <c r="C8" s="51"/>
      <c r="D8" s="51"/>
      <c r="E8" s="375"/>
      <c r="F8" s="376"/>
      <c r="G8" s="383" t="s">
        <v>3</v>
      </c>
      <c r="H8" s="384" t="s">
        <v>2</v>
      </c>
      <c r="I8" s="347"/>
      <c r="J8" s="384" t="s">
        <v>3</v>
      </c>
      <c r="K8" s="384" t="s">
        <v>2</v>
      </c>
      <c r="L8" s="347"/>
      <c r="M8" s="384" t="s">
        <v>3</v>
      </c>
      <c r="N8" s="442" t="s">
        <v>2</v>
      </c>
      <c r="O8" s="347"/>
      <c r="P8" s="383" t="s">
        <v>3</v>
      </c>
      <c r="Q8" s="384" t="s">
        <v>2</v>
      </c>
      <c r="R8" s="347"/>
      <c r="S8" s="384" t="s">
        <v>3</v>
      </c>
      <c r="T8" s="384" t="s">
        <v>2</v>
      </c>
      <c r="U8" s="347"/>
      <c r="V8" s="384" t="s">
        <v>3</v>
      </c>
      <c r="W8" s="442" t="s">
        <v>2</v>
      </c>
      <c r="X8" s="347"/>
      <c r="Y8" s="383" t="s">
        <v>3</v>
      </c>
      <c r="Z8" s="384" t="s">
        <v>2</v>
      </c>
      <c r="AA8" s="347"/>
      <c r="AB8" s="385" t="s">
        <v>3</v>
      </c>
      <c r="AC8" s="385" t="s">
        <v>2</v>
      </c>
      <c r="AD8" s="347"/>
      <c r="AE8" s="384" t="s">
        <v>3</v>
      </c>
      <c r="AF8" s="442" t="s">
        <v>2</v>
      </c>
    </row>
    <row r="9" spans="1:32">
      <c r="A9" s="474">
        <f>IF(SUMIFS($G9:$AF9,$G$8:$AF$8,"金額",$G9:$AF9,"&gt;0")-SUMIFS($G9:$AF9,$G$8:$AF$8,"金額",$G9:$AF9,"&lt;0")&lt;=0,"",MAX($A$8:$A8)+1)</f>
        <v>1</v>
      </c>
      <c r="B9" s="801" t="s">
        <v>4</v>
      </c>
      <c r="C9" s="245" t="str">
        <f t="shared" ref="C9:C40" si="0">CONCATENATE("商品",$A9)</f>
        <v>商品1</v>
      </c>
      <c r="D9" s="245">
        <v>1</v>
      </c>
      <c r="E9" s="590" t="str">
        <f>IF($F9&lt;&gt;"",INDEX(ﾏｽﾀ!$D$8:$D$124,MATCH(INDEX(ﾏｽﾀ!$N$8:$N$124,MATCH($F9,ﾏｽﾀ!$O$8:$O$124,0)),ﾏｽﾀ!$B$8:$B$124,0))&amp;"","")</f>
        <v>10001</v>
      </c>
      <c r="F9" s="589" t="str">
        <f>ﾏｽﾀ!$R8&amp;""</f>
        <v xml:space="preserve">株式会社 バンダイ　3100／ベンダー事業部 </v>
      </c>
      <c r="G9" s="173">
        <f>COUNTIF('納品書明細16-E'!$D$9:$D$206,CONCATENATE(VLOOKUP(G$5,$G$1:$H$4,2,FALSE),$E9,1,1,1))</f>
        <v>1</v>
      </c>
      <c r="H9" s="174">
        <f>SUMIF('納品書明細16-E'!$C$9:$C$206,CONCATENATE(VLOOKUP(G$5,$G$1:$H$4,2,FALSE),$E9,1,1),'納品書明細16-E'!$Q$9:$Q$206)</f>
        <v>6219276</v>
      </c>
      <c r="I9" s="345"/>
      <c r="J9" s="119"/>
      <c r="K9" s="359"/>
      <c r="L9" s="345"/>
      <c r="M9" s="175">
        <f>COUNTIF('納品書明細16-E'!$D$9:$D$206,CONCATENATE(VLOOKUP(G$5,$G$1:$H$4,2,FALSE),$E9,9,1,1))</f>
        <v>1</v>
      </c>
      <c r="N9" s="434">
        <f>SUMIF('納品書明細16-E'!$C$9:$C$206,CONCATENATE(VLOOKUP(G$5,$G$1:$H$4,2,FALSE),$E9,9,1),'納品書明細16-E'!$Q$9:$Q$206)</f>
        <v>500000</v>
      </c>
      <c r="O9" s="64"/>
      <c r="P9" s="173">
        <f>COUNTIF('納品書明細16-E'!$D$9:$D$206,CONCATENATE(VLOOKUP(P$5,$G$1:$H$4,2,FALSE),$E9,1,1,1))</f>
        <v>0</v>
      </c>
      <c r="Q9" s="177">
        <f>SUMIF('納品書明細16-E'!$C$9:$C$206,CONCATENATE(VLOOKUP(P$5,$G$1:$H$4,2,FALSE),$E9,1,1),'納品書明細16-E'!$Q$9:$Q$206)</f>
        <v>0</v>
      </c>
      <c r="R9" s="345"/>
      <c r="S9" s="122"/>
      <c r="T9" s="128"/>
      <c r="U9" s="345"/>
      <c r="V9" s="175">
        <f>COUNTIF('納品書明細16-E'!$D$9:$D$206,CONCATENATE(VLOOKUP(P$5,$G$1:$H$4,2,FALSE),$E9,9,1,1))</f>
        <v>0</v>
      </c>
      <c r="W9" s="433">
        <f>SUMIF('納品書明細16-E'!$C$9:$C$206,CONCATENATE(VLOOKUP(P$5,$G$1:$H$4,2,FALSE),$E9,9,1),'納品書明細16-E'!$Q$9:$Q$206)</f>
        <v>0</v>
      </c>
      <c r="X9" s="64"/>
      <c r="Y9" s="173">
        <f>COUNTIF('納品書明細16-E'!$D$9:$D$206,CONCATENATE(VLOOKUP(Y$5,$G$1:$H$4,2,FALSE),$E9,1,1,1))</f>
        <v>1</v>
      </c>
      <c r="Z9" s="177">
        <f>SUMIF('納品書明細16-E'!$C$9:$C$206,CONCATENATE(VLOOKUP(Y$5,$G$1:$H$4,2,FALSE),$E9,1,1),'納品書明細16-E'!$Q$9:$Q$206)</f>
        <v>15497.73</v>
      </c>
      <c r="AA9" s="345"/>
      <c r="AB9" s="122"/>
      <c r="AC9" s="128"/>
      <c r="AD9" s="345"/>
      <c r="AE9" s="175">
        <f>COUNTIF('納品書明細16-E'!$D$9:$D$206,CONCATENATE(VLOOKUP(Y$5,$G$1:$H$4,2,FALSE),$E9,9,1,1))</f>
        <v>0</v>
      </c>
      <c r="AF9" s="433">
        <f>SUMIF('納品書明細16-E'!$C$9:$C$206,CONCATENATE(VLOOKUP(Y$5,$G$1:$H$4,2,FALSE),$E9,9,1),'納品書明細16-E'!$Q$9:$Q$206)</f>
        <v>0</v>
      </c>
    </row>
    <row r="10" spans="1:32">
      <c r="A10" s="474" t="str">
        <f>IF(SUMIFS($G10:$AF10,$G$8:$AF$8,"金額",$G10:$AF10,"&gt;0")-SUMIFS($G10:$AF10,$G$8:$AF$8,"金額",$G10:$AF10,"&lt;0")&lt;=0,"",MAX($A$8:$A9)+1)</f>
        <v/>
      </c>
      <c r="B10" s="802"/>
      <c r="C10" s="245" t="str">
        <f t="shared" si="0"/>
        <v>商品</v>
      </c>
      <c r="D10" s="245">
        <v>2</v>
      </c>
      <c r="E10" s="590" t="str">
        <f>IF($F10&lt;&gt;"",INDEX(ﾏｽﾀ!$D$8:$D$124,MATCH(INDEX(ﾏｽﾀ!$N$8:$N$124,MATCH($F10,ﾏｽﾀ!$O$8:$O$124,0)),ﾏｽﾀ!$B$8:$B$124,0))&amp;"","")</f>
        <v>10002</v>
      </c>
      <c r="F10" s="589" t="str">
        <f>ﾏｽﾀ!$R9&amp;""</f>
        <v>株式会社 バンダイ</v>
      </c>
      <c r="G10" s="133">
        <f>COUNTIF('納品書明細16-E'!$D$9:$D$206,CONCATENATE(VLOOKUP(G$5,$G$1:$H$4,2,FALSE),$E10,1,1,1))</f>
        <v>0</v>
      </c>
      <c r="H10" s="127">
        <f>SUMIF('納品書明細16-E'!$C$9:$C$206,CONCATENATE(VLOOKUP(G$5,$G$1:$H$4,2,FALSE),$E10,1,1),'納品書明細16-E'!$Q$9:$Q$206)</f>
        <v>0</v>
      </c>
      <c r="I10" s="345"/>
      <c r="J10" s="119"/>
      <c r="K10" s="359"/>
      <c r="L10" s="345"/>
      <c r="M10" s="126">
        <f>COUNTIF('納品書明細16-E'!$D$9:$D$206,CONCATENATE(VLOOKUP(G$5,$G$1:$H$4,2,FALSE),$E10,9,1,1))</f>
        <v>0</v>
      </c>
      <c r="N10" s="434">
        <f>SUMIF('納品書明細16-E'!$C$9:$C$206,CONCATENATE(VLOOKUP(G$5,$G$1:$H$4,2,FALSE),$E10,9,1),'納品書明細16-E'!$Q$9:$Q$206)</f>
        <v>0</v>
      </c>
      <c r="O10" s="64"/>
      <c r="P10" s="133">
        <f>COUNTIF('納品書明細16-E'!$D$9:$D$206,CONCATENATE(VLOOKUP(P$5,$G$1:$H$4,2,FALSE),$E10,1,1,1))</f>
        <v>0</v>
      </c>
      <c r="Q10" s="161">
        <f>SUMIF('納品書明細16-E'!$C$9:$C$206,CONCATENATE(VLOOKUP(P$5,$G$1:$H$4,2,FALSE),$E10,1,1),'納品書明細16-E'!$Q$9:$Q$206)</f>
        <v>0</v>
      </c>
      <c r="R10" s="345"/>
      <c r="S10" s="122"/>
      <c r="T10" s="128"/>
      <c r="U10" s="345"/>
      <c r="V10" s="126">
        <f>COUNTIF('納品書明細16-E'!$D$9:$D$206,CONCATENATE(VLOOKUP(P$5,$G$1:$H$4,2,FALSE),$E10,9,1,1))</f>
        <v>0</v>
      </c>
      <c r="W10" s="433">
        <f>SUMIF('納品書明細16-E'!$C$9:$C$206,CONCATENATE(VLOOKUP(P$5,$G$1:$H$4,2,FALSE),$E10,9,1),'納品書明細16-E'!$Q$9:$Q$206)</f>
        <v>0</v>
      </c>
      <c r="X10" s="64"/>
      <c r="Y10" s="133">
        <f>COUNTIF('納品書明細16-E'!$D$9:$D$206,CONCATENATE(VLOOKUP(Y$5,$G$1:$H$4,2,FALSE),$E10,1,1,1))</f>
        <v>0</v>
      </c>
      <c r="Z10" s="161">
        <f>SUMIF('納品書明細16-E'!$C$9:$C$206,CONCATENATE(VLOOKUP(Y$5,$G$1:$H$4,2,FALSE),$E10,1,1),'納品書明細16-E'!$Q$9:$Q$206)</f>
        <v>0</v>
      </c>
      <c r="AA10" s="345"/>
      <c r="AB10" s="122"/>
      <c r="AC10" s="128"/>
      <c r="AD10" s="345"/>
      <c r="AE10" s="126">
        <f>COUNTIF('納品書明細16-E'!$D$9:$D$206,CONCATENATE(VLOOKUP(Y$5,$G$1:$H$4,2,FALSE),$E10,9,1,1))</f>
        <v>0</v>
      </c>
      <c r="AF10" s="433">
        <f>SUMIF('納品書明細16-E'!$C$9:$C$206,CONCATENATE(VLOOKUP(Y$5,$G$1:$H$4,2,FALSE),$E10,9,1),'納品書明細16-E'!$Q$9:$Q$206)</f>
        <v>0</v>
      </c>
    </row>
    <row r="11" spans="1:32">
      <c r="A11" s="474" t="str">
        <f>IF(SUMIFS($G11:$AF11,$G$8:$AF$8,"金額",$G11:$AF11,"&gt;0")-SUMIFS($G11:$AF11,$G$8:$AF$8,"金額",$G11:$AF11,"&lt;0")&lt;=0,"",MAX($A$8:$A10)+1)</f>
        <v/>
      </c>
      <c r="B11" s="802"/>
      <c r="C11" s="245" t="str">
        <f t="shared" si="0"/>
        <v>商品</v>
      </c>
      <c r="D11" s="245">
        <v>3</v>
      </c>
      <c r="E11" s="590" t="str">
        <f>IF($F11&lt;&gt;"",INDEX(ﾏｽﾀ!$D$8:$D$124,MATCH(INDEX(ﾏｽﾀ!$N$8:$N$124,MATCH($F11,ﾏｽﾀ!$O$8:$O$124,0)),ﾏｽﾀ!$B$8:$B$124,0))&amp;"","")</f>
        <v>10005</v>
      </c>
      <c r="F11" s="589" t="str">
        <f>ﾏｽﾀ!$R10&amp;""</f>
        <v>株式会社 バンダイ　3200／キャンディ事業部</v>
      </c>
      <c r="G11" s="133">
        <f>COUNTIF('納品書明細16-E'!$D$9:$D$206,CONCATENATE(VLOOKUP(G$5,$G$1:$H$4,2,FALSE),$E11,1,1,1))</f>
        <v>0</v>
      </c>
      <c r="H11" s="127">
        <f>SUMIF('納品書明細16-E'!$C$9:$C$206,CONCATENATE(VLOOKUP(G$5,$G$1:$H$4,2,FALSE),$E11,1,1),'納品書明細16-E'!$Q$9:$Q$206)</f>
        <v>0</v>
      </c>
      <c r="I11" s="345"/>
      <c r="J11" s="119"/>
      <c r="K11" s="359"/>
      <c r="L11" s="345"/>
      <c r="M11" s="126">
        <f>COUNTIF('納品書明細16-E'!$D$9:$D$206,CONCATENATE(VLOOKUP(G$5,$G$1:$H$4,2,FALSE),$E11,9,1,1))</f>
        <v>0</v>
      </c>
      <c r="N11" s="434">
        <f>SUMIF('納品書明細16-E'!$C$9:$C$206,CONCATENATE(VLOOKUP(G$5,$G$1:$H$4,2,FALSE),$E11,9,1),'納品書明細16-E'!$Q$9:$Q$206)</f>
        <v>0</v>
      </c>
      <c r="O11" s="64"/>
      <c r="P11" s="133">
        <f>COUNTIF('納品書明細16-E'!$D$9:$D$206,CONCATENATE(VLOOKUP(P$5,$G$1:$H$4,2,FALSE),$E11,1,1,1))</f>
        <v>0</v>
      </c>
      <c r="Q11" s="161">
        <f>SUMIF('納品書明細16-E'!$C$9:$C$206,CONCATENATE(VLOOKUP(P$5,$G$1:$H$4,2,FALSE),$E11,1,1),'納品書明細16-E'!$Q$9:$Q$206)</f>
        <v>0</v>
      </c>
      <c r="R11" s="345"/>
      <c r="S11" s="122"/>
      <c r="T11" s="128"/>
      <c r="U11" s="345"/>
      <c r="V11" s="126">
        <f>COUNTIF('納品書明細16-E'!$D$9:$D$206,CONCATENATE(VLOOKUP(P$5,$G$1:$H$4,2,FALSE),$E11,9,1,1))</f>
        <v>0</v>
      </c>
      <c r="W11" s="433">
        <f>SUMIF('納品書明細16-E'!$C$9:$C$206,CONCATENATE(VLOOKUP(P$5,$G$1:$H$4,2,FALSE),$E11,9,1),'納品書明細16-E'!$Q$9:$Q$206)</f>
        <v>0</v>
      </c>
      <c r="X11" s="64"/>
      <c r="Y11" s="133">
        <f>COUNTIF('納品書明細16-E'!$D$9:$D$206,CONCATENATE(VLOOKUP(Y$5,$G$1:$H$4,2,FALSE),$E11,1,1,1))</f>
        <v>0</v>
      </c>
      <c r="Z11" s="161">
        <f>SUMIF('納品書明細16-E'!$C$9:$C$206,CONCATENATE(VLOOKUP(Y$5,$G$1:$H$4,2,FALSE),$E11,1,1),'納品書明細16-E'!$Q$9:$Q$206)</f>
        <v>0</v>
      </c>
      <c r="AA11" s="345"/>
      <c r="AB11" s="122"/>
      <c r="AC11" s="128"/>
      <c r="AD11" s="345"/>
      <c r="AE11" s="126">
        <f>COUNTIF('納品書明細16-E'!$D$9:$D$206,CONCATENATE(VLOOKUP(Y$5,$G$1:$H$4,2,FALSE),$E11,9,1,1))</f>
        <v>0</v>
      </c>
      <c r="AF11" s="433">
        <f>SUMIF('納品書明細16-E'!$C$9:$C$206,CONCATENATE(VLOOKUP(Y$5,$G$1:$H$4,2,FALSE),$E11,9,1),'納品書明細16-E'!$Q$9:$Q$206)</f>
        <v>0</v>
      </c>
    </row>
    <row r="12" spans="1:32">
      <c r="A12" s="474" t="str">
        <f>IF(SUMIFS($G12:$AF12,$G$8:$AF$8,"金額",$G12:$AF12,"&gt;0")-SUMIFS($G12:$AF12,$G$8:$AF$8,"金額",$G12:$AF12,"&lt;0")&lt;=0,"",MAX($A$8:$A11)+1)</f>
        <v/>
      </c>
      <c r="B12" s="802"/>
      <c r="C12" s="245" t="str">
        <f t="shared" si="0"/>
        <v>商品</v>
      </c>
      <c r="D12" s="245">
        <v>4</v>
      </c>
      <c r="E12" s="590" t="str">
        <f>IF($F12&lt;&gt;"",INDEX(ﾏｽﾀ!$D$8:$D$124,MATCH(INDEX(ﾏｽﾀ!$N$8:$N$124,MATCH($F12,ﾏｽﾀ!$O$8:$O$124,0)),ﾏｽﾀ!$B$8:$B$124,0))&amp;"","")</f>
        <v>10006</v>
      </c>
      <c r="F12" s="589" t="str">
        <f>ﾏｽﾀ!$R11&amp;""</f>
        <v>株式会社 バンダイ　4200／キャンディ事業部</v>
      </c>
      <c r="G12" s="133">
        <f>COUNTIF('納品書明細16-E'!$D$9:$D$206,CONCATENATE(VLOOKUP(G$5,$G$1:$H$4,2,FALSE),$E12,1,1,1))</f>
        <v>0</v>
      </c>
      <c r="H12" s="127">
        <f>SUMIF('納品書明細16-E'!$C$9:$C$206,CONCATENATE(VLOOKUP(G$5,$G$1:$H$4,2,FALSE),$E12,1,1),'納品書明細16-E'!$Q$9:$Q$206)</f>
        <v>0</v>
      </c>
      <c r="I12" s="345"/>
      <c r="J12" s="119"/>
      <c r="K12" s="359"/>
      <c r="L12" s="345"/>
      <c r="M12" s="126">
        <f>COUNTIF('納品書明細16-E'!$D$9:$D$206,CONCATENATE(VLOOKUP(G$5,$G$1:$H$4,2,FALSE),$E12,9,1,1))</f>
        <v>0</v>
      </c>
      <c r="N12" s="434">
        <f>SUMIF('納品書明細16-E'!$C$9:$C$206,CONCATENATE(VLOOKUP(G$5,$G$1:$H$4,2,FALSE),$E12,9,1),'納品書明細16-E'!$Q$9:$Q$206)</f>
        <v>0</v>
      </c>
      <c r="O12" s="64"/>
      <c r="P12" s="133">
        <f>COUNTIF('納品書明細16-E'!$D$9:$D$206,CONCATENATE(VLOOKUP(P$5,$G$1:$H$4,2,FALSE),$E12,1,1,1))</f>
        <v>0</v>
      </c>
      <c r="Q12" s="161">
        <f>SUMIF('納品書明細16-E'!$C$9:$C$206,CONCATENATE(VLOOKUP(P$5,$G$1:$H$4,2,FALSE),$E12,1,1),'納品書明細16-E'!$Q$9:$Q$206)</f>
        <v>0</v>
      </c>
      <c r="R12" s="345"/>
      <c r="S12" s="122"/>
      <c r="T12" s="128"/>
      <c r="U12" s="345"/>
      <c r="V12" s="126">
        <f>COUNTIF('納品書明細16-E'!$D$9:$D$206,CONCATENATE(VLOOKUP(P$5,$G$1:$H$4,2,FALSE),$E12,9,1,1))</f>
        <v>0</v>
      </c>
      <c r="W12" s="433">
        <f>SUMIF('納品書明細16-E'!$C$9:$C$206,CONCATENATE(VLOOKUP(P$5,$G$1:$H$4,2,FALSE),$E12,9,1),'納品書明細16-E'!$Q$9:$Q$206)</f>
        <v>0</v>
      </c>
      <c r="X12" s="64"/>
      <c r="Y12" s="133">
        <f>COUNTIF('納品書明細16-E'!$D$9:$D$206,CONCATENATE(VLOOKUP(Y$5,$G$1:$H$4,2,FALSE),$E12,1,1,1))</f>
        <v>0</v>
      </c>
      <c r="Z12" s="161">
        <f>SUMIF('納品書明細16-E'!$C$9:$C$206,CONCATENATE(VLOOKUP(Y$5,$G$1:$H$4,2,FALSE),$E12,1,1),'納品書明細16-E'!$Q$9:$Q$206)</f>
        <v>0</v>
      </c>
      <c r="AA12" s="345"/>
      <c r="AB12" s="122"/>
      <c r="AC12" s="128"/>
      <c r="AD12" s="345"/>
      <c r="AE12" s="126">
        <f>COUNTIF('納品書明細16-E'!$D$9:$D$206,CONCATENATE(VLOOKUP(Y$5,$G$1:$H$4,2,FALSE),$E12,9,1,1))</f>
        <v>0</v>
      </c>
      <c r="AF12" s="433">
        <f>SUMIF('納品書明細16-E'!$C$9:$C$206,CONCATENATE(VLOOKUP(Y$5,$G$1:$H$4,2,FALSE),$E12,9,1),'納品書明細16-E'!$Q$9:$Q$206)</f>
        <v>0</v>
      </c>
    </row>
    <row r="13" spans="1:32">
      <c r="A13" s="474" t="str">
        <f>IF(SUMIFS($G13:$AF13,$G$8:$AF$8,"金額",$G13:$AF13,"&gt;0")-SUMIFS($G13:$AF13,$G$8:$AF$8,"金額",$G13:$AF13,"&lt;0")&lt;=0,"",MAX($A$8:$A12)+1)</f>
        <v/>
      </c>
      <c r="B13" s="802"/>
      <c r="C13" s="245" t="str">
        <f t="shared" si="0"/>
        <v>商品</v>
      </c>
      <c r="D13" s="245">
        <v>5</v>
      </c>
      <c r="E13" s="590" t="str">
        <f>IF($F13&lt;&gt;"",INDEX(ﾏｽﾀ!$D$8:$D$124,MATCH(INDEX(ﾏｽﾀ!$N$8:$N$124,MATCH($F13,ﾏｽﾀ!$O$8:$O$124,0)),ﾏｽﾀ!$B$8:$B$124,0))&amp;"","")</f>
        <v>10010</v>
      </c>
      <c r="F13" s="589" t="str">
        <f>ﾏｽﾀ!$R12&amp;""</f>
        <v>株式会社 バンダイ　4100／コレクターズ事業部</v>
      </c>
      <c r="G13" s="133">
        <f>COUNTIF('納品書明細16-E'!$D$9:$D$206,CONCATENATE(VLOOKUP(G$5,$G$1:$H$4,2,FALSE),$E13,1,1,1))</f>
        <v>0</v>
      </c>
      <c r="H13" s="127">
        <f>SUMIF('納品書明細16-E'!$C$9:$C$206,CONCATENATE(VLOOKUP(G$5,$G$1:$H$4,2,FALSE),$E13,1,1),'納品書明細16-E'!$Q$9:$Q$206)</f>
        <v>0</v>
      </c>
      <c r="I13" s="345"/>
      <c r="J13" s="119"/>
      <c r="K13" s="359"/>
      <c r="L13" s="345"/>
      <c r="M13" s="126">
        <f>COUNTIF('納品書明細16-E'!$D$9:$D$206,CONCATENATE(VLOOKUP(G$5,$G$1:$H$4,2,FALSE),$E13,9,1,1))</f>
        <v>0</v>
      </c>
      <c r="N13" s="434">
        <f>SUMIF('納品書明細16-E'!$C$9:$C$206,CONCATENATE(VLOOKUP(G$5,$G$1:$H$4,2,FALSE),$E13,9,1),'納品書明細16-E'!$Q$9:$Q$206)</f>
        <v>0</v>
      </c>
      <c r="O13" s="64"/>
      <c r="P13" s="133">
        <f>COUNTIF('納品書明細16-E'!$D$9:$D$206,CONCATENATE(VLOOKUP(P$5,$G$1:$H$4,2,FALSE),$E13,1,1,1))</f>
        <v>0</v>
      </c>
      <c r="Q13" s="161">
        <f>SUMIF('納品書明細16-E'!$C$9:$C$206,CONCATENATE(VLOOKUP(P$5,$G$1:$H$4,2,FALSE),$E13,1,1),'納品書明細16-E'!$Q$9:$Q$206)</f>
        <v>0</v>
      </c>
      <c r="R13" s="345"/>
      <c r="S13" s="122"/>
      <c r="T13" s="128"/>
      <c r="U13" s="345"/>
      <c r="V13" s="126">
        <f>COUNTIF('納品書明細16-E'!$D$9:$D$206,CONCATENATE(VLOOKUP(P$5,$G$1:$H$4,2,FALSE),$E13,9,1,1))</f>
        <v>0</v>
      </c>
      <c r="W13" s="433">
        <f>SUMIF('納品書明細16-E'!$C$9:$C$206,CONCATENATE(VLOOKUP(P$5,$G$1:$H$4,2,FALSE),$E13,9,1),'納品書明細16-E'!$Q$9:$Q$206)</f>
        <v>0</v>
      </c>
      <c r="X13" s="64"/>
      <c r="Y13" s="133">
        <f>COUNTIF('納品書明細16-E'!$D$9:$D$206,CONCATENATE(VLOOKUP(Y$5,$G$1:$H$4,2,FALSE),$E13,1,1,1))</f>
        <v>0</v>
      </c>
      <c r="Z13" s="161">
        <f>SUMIF('納品書明細16-E'!$C$9:$C$206,CONCATENATE(VLOOKUP(Y$5,$G$1:$H$4,2,FALSE),$E13,1,1),'納品書明細16-E'!$Q$9:$Q$206)</f>
        <v>0</v>
      </c>
      <c r="AA13" s="345"/>
      <c r="AB13" s="122"/>
      <c r="AC13" s="128"/>
      <c r="AD13" s="345"/>
      <c r="AE13" s="126">
        <f>COUNTIF('納品書明細16-E'!$D$9:$D$206,CONCATENATE(VLOOKUP(Y$5,$G$1:$H$4,2,FALSE),$E13,9,1,1))</f>
        <v>0</v>
      </c>
      <c r="AF13" s="433">
        <f>SUMIF('納品書明細16-E'!$C$9:$C$206,CONCATENATE(VLOOKUP(Y$5,$G$1:$H$4,2,FALSE),$E13,9,1),'納品書明細16-E'!$Q$9:$Q$206)</f>
        <v>0</v>
      </c>
    </row>
    <row r="14" spans="1:32">
      <c r="A14" s="474" t="str">
        <f>IF(SUMIFS($G14:$AF14,$G$8:$AF$8,"金額",$G14:$AF14,"&gt;0")-SUMIFS($G14:$AF14,$G$8:$AF$8,"金額",$G14:$AF14,"&lt;0")&lt;=0,"",MAX($A$8:$A13)+1)</f>
        <v/>
      </c>
      <c r="B14" s="802"/>
      <c r="C14" s="245" t="str">
        <f t="shared" si="0"/>
        <v>商品</v>
      </c>
      <c r="D14" s="245">
        <v>6</v>
      </c>
      <c r="E14" s="590" t="str">
        <f>IF($F14&lt;&gt;"",INDEX(ﾏｽﾀ!$D$8:$D$124,MATCH(INDEX(ﾏｽﾀ!$N$8:$N$124,MATCH($F14,ﾏｽﾀ!$O$8:$O$124,0)),ﾏｽﾀ!$B$8:$B$124,0))&amp;"","")</f>
        <v>10015</v>
      </c>
      <c r="F14" s="589" t="str">
        <f>ﾏｽﾀ!$R13&amp;""</f>
        <v>株式会社 バンダイ　4200／ボーイズトイ事業部</v>
      </c>
      <c r="G14" s="133">
        <f>COUNTIF('納品書明細16-E'!$D$9:$D$206,CONCATENATE(VLOOKUP(G$5,$G$1:$H$4,2,FALSE),$E14,1,1,1))</f>
        <v>0</v>
      </c>
      <c r="H14" s="127">
        <f>SUMIF('納品書明細16-E'!$C$9:$C$206,CONCATENATE(VLOOKUP(G$5,$G$1:$H$4,2,FALSE),$E14,1,1),'納品書明細16-E'!$Q$9:$Q$206)</f>
        <v>0</v>
      </c>
      <c r="I14" s="345"/>
      <c r="J14" s="119"/>
      <c r="K14" s="359"/>
      <c r="L14" s="345"/>
      <c r="M14" s="126">
        <f>COUNTIF('納品書明細16-E'!$D$9:$D$206,CONCATENATE(VLOOKUP(G$5,$G$1:$H$4,2,FALSE),$E14,9,1,1))</f>
        <v>0</v>
      </c>
      <c r="N14" s="434">
        <f>SUMIF('納品書明細16-E'!$C$9:$C$206,CONCATENATE(VLOOKUP(G$5,$G$1:$H$4,2,FALSE),$E14,9,1),'納品書明細16-E'!$Q$9:$Q$206)</f>
        <v>0</v>
      </c>
      <c r="O14" s="64"/>
      <c r="P14" s="133">
        <f>COUNTIF('納品書明細16-E'!$D$9:$D$206,CONCATENATE(VLOOKUP(P$5,$G$1:$H$4,2,FALSE),$E14,1,1,1))</f>
        <v>0</v>
      </c>
      <c r="Q14" s="161">
        <f>SUMIF('納品書明細16-E'!$C$9:$C$206,CONCATENATE(VLOOKUP(P$5,$G$1:$H$4,2,FALSE),$E14,1,1),'納品書明細16-E'!$Q$9:$Q$206)</f>
        <v>0</v>
      </c>
      <c r="R14" s="345"/>
      <c r="S14" s="122"/>
      <c r="T14" s="128"/>
      <c r="U14" s="345"/>
      <c r="V14" s="126">
        <f>COUNTIF('納品書明細16-E'!$D$9:$D$206,CONCATENATE(VLOOKUP(P$5,$G$1:$H$4,2,FALSE),$E14,9,1,1))</f>
        <v>0</v>
      </c>
      <c r="W14" s="433">
        <f>SUMIF('納品書明細16-E'!$C$9:$C$206,CONCATENATE(VLOOKUP(P$5,$G$1:$H$4,2,FALSE),$E14,9,1),'納品書明細16-E'!$Q$9:$Q$206)</f>
        <v>0</v>
      </c>
      <c r="X14" s="64"/>
      <c r="Y14" s="133">
        <f>COUNTIF('納品書明細16-E'!$D$9:$D$206,CONCATENATE(VLOOKUP(Y$5,$G$1:$H$4,2,FALSE),$E14,1,1,1))</f>
        <v>0</v>
      </c>
      <c r="Z14" s="161">
        <f>SUMIF('納品書明細16-E'!$C$9:$C$206,CONCATENATE(VLOOKUP(Y$5,$G$1:$H$4,2,FALSE),$E14,1,1),'納品書明細16-E'!$Q$9:$Q$206)</f>
        <v>0</v>
      </c>
      <c r="AA14" s="345"/>
      <c r="AB14" s="122"/>
      <c r="AC14" s="128"/>
      <c r="AD14" s="345"/>
      <c r="AE14" s="126">
        <f>COUNTIF('納品書明細16-E'!$D$9:$D$206,CONCATENATE(VLOOKUP(Y$5,$G$1:$H$4,2,FALSE),$E14,9,1,1))</f>
        <v>0</v>
      </c>
      <c r="AF14" s="433">
        <f>SUMIF('納品書明細16-E'!$C$9:$C$206,CONCATENATE(VLOOKUP(Y$5,$G$1:$H$4,2,FALSE),$E14,9,1),'納品書明細16-E'!$Q$9:$Q$206)</f>
        <v>0</v>
      </c>
    </row>
    <row r="15" spans="1:32">
      <c r="A15" s="474" t="str">
        <f>IF(SUMIFS($G15:$AF15,$G$8:$AF$8,"金額",$G15:$AF15,"&gt;0")-SUMIFS($G15:$AF15,$G$8:$AF$8,"金額",$G15:$AF15,"&lt;0")&lt;=0,"",MAX($A$8:$A14)+1)</f>
        <v/>
      </c>
      <c r="B15" s="802"/>
      <c r="C15" s="245" t="str">
        <f t="shared" si="0"/>
        <v>商品</v>
      </c>
      <c r="D15" s="245">
        <v>7</v>
      </c>
      <c r="E15" s="590" t="str">
        <f>IF($F15&lt;&gt;"",INDEX(ﾏｽﾀ!$D$8:$D$124,MATCH(INDEX(ﾏｽﾀ!$N$8:$N$124,MATCH($F15,ﾏｽﾀ!$O$8:$O$124,0)),ﾏｽﾀ!$B$8:$B$124,0))&amp;"","")</f>
        <v>10016</v>
      </c>
      <c r="F15" s="589" t="str">
        <f>ﾏｽﾀ!$R14&amp;""</f>
        <v>株式会社 バンダイ　5000／ボーイズトイ事業部</v>
      </c>
      <c r="G15" s="133">
        <f>COUNTIF('納品書明細16-E'!$D$9:$D$206,CONCATENATE(VLOOKUP(G$5,$G$1:$H$4,2,FALSE),$E15,1,1,1))</f>
        <v>0</v>
      </c>
      <c r="H15" s="127">
        <f>SUMIF('納品書明細16-E'!$C$9:$C$206,CONCATENATE(VLOOKUP(G$5,$G$1:$H$4,2,FALSE),$E15,1,1),'納品書明細16-E'!$Q$9:$Q$206)</f>
        <v>0</v>
      </c>
      <c r="I15" s="345"/>
      <c r="J15" s="119"/>
      <c r="K15" s="359"/>
      <c r="L15" s="345"/>
      <c r="M15" s="126">
        <f>COUNTIF('納品書明細16-E'!$D$9:$D$206,CONCATENATE(VLOOKUP(G$5,$G$1:$H$4,2,FALSE),$E15,9,1,1))</f>
        <v>0</v>
      </c>
      <c r="N15" s="434">
        <f>SUMIF('納品書明細16-E'!$C$9:$C$206,CONCATENATE(VLOOKUP(G$5,$G$1:$H$4,2,FALSE),$E15,9,1),'納品書明細16-E'!$Q$9:$Q$206)</f>
        <v>0</v>
      </c>
      <c r="O15" s="64"/>
      <c r="P15" s="133">
        <f>COUNTIF('納品書明細16-E'!$D$9:$D$206,CONCATENATE(VLOOKUP(P$5,$G$1:$H$4,2,FALSE),$E15,1,1,1))</f>
        <v>0</v>
      </c>
      <c r="Q15" s="161">
        <f>SUMIF('納品書明細16-E'!$C$9:$C$206,CONCATENATE(VLOOKUP(P$5,$G$1:$H$4,2,FALSE),$E15,1,1),'納品書明細16-E'!$Q$9:$Q$206)</f>
        <v>0</v>
      </c>
      <c r="R15" s="345"/>
      <c r="S15" s="122"/>
      <c r="T15" s="128"/>
      <c r="U15" s="345"/>
      <c r="V15" s="126">
        <f>COUNTIF('納品書明細16-E'!$D$9:$D$206,CONCATENATE(VLOOKUP(P$5,$G$1:$H$4,2,FALSE),$E15,9,1,1))</f>
        <v>0</v>
      </c>
      <c r="W15" s="433">
        <f>SUMIF('納品書明細16-E'!$C$9:$C$206,CONCATENATE(VLOOKUP(P$5,$G$1:$H$4,2,FALSE),$E15,9,1),'納品書明細16-E'!$Q$9:$Q$206)</f>
        <v>0</v>
      </c>
      <c r="X15" s="64"/>
      <c r="Y15" s="133">
        <f>COUNTIF('納品書明細16-E'!$D$9:$D$206,CONCATENATE(VLOOKUP(Y$5,$G$1:$H$4,2,FALSE),$E15,1,1,1))</f>
        <v>0</v>
      </c>
      <c r="Z15" s="161">
        <f>SUMIF('納品書明細16-E'!$C$9:$C$206,CONCATENATE(VLOOKUP(Y$5,$G$1:$H$4,2,FALSE),$E15,1,1),'納品書明細16-E'!$Q$9:$Q$206)</f>
        <v>0</v>
      </c>
      <c r="AA15" s="345"/>
      <c r="AB15" s="122"/>
      <c r="AC15" s="128"/>
      <c r="AD15" s="345"/>
      <c r="AE15" s="126">
        <f>COUNTIF('納品書明細16-E'!$D$9:$D$206,CONCATENATE(VLOOKUP(Y$5,$G$1:$H$4,2,FALSE),$E15,9,1,1))</f>
        <v>0</v>
      </c>
      <c r="AF15" s="433">
        <f>SUMIF('納品書明細16-E'!$C$9:$C$206,CONCATENATE(VLOOKUP(Y$5,$G$1:$H$4,2,FALSE),$E15,9,1),'納品書明細16-E'!$Q$9:$Q$206)</f>
        <v>0</v>
      </c>
    </row>
    <row r="16" spans="1:32">
      <c r="A16" s="474" t="str">
        <f>IF(SUMIFS($G16:$AF16,$G$8:$AF$8,"金額",$G16:$AF16,"&gt;0")-SUMIFS($G16:$AF16,$G$8:$AF$8,"金額",$G16:$AF16,"&lt;0")&lt;=0,"",MAX($A$8:$A15)+1)</f>
        <v/>
      </c>
      <c r="B16" s="802"/>
      <c r="C16" s="245" t="str">
        <f t="shared" si="0"/>
        <v>商品</v>
      </c>
      <c r="D16" s="245">
        <v>8</v>
      </c>
      <c r="E16" s="590" t="str">
        <f>IF($F16&lt;&gt;"",INDEX(ﾏｽﾀ!$D$8:$D$124,MATCH(INDEX(ﾏｽﾀ!$N$8:$N$124,MATCH($F16,ﾏｽﾀ!$O$8:$O$124,0)),ﾏｽﾀ!$B$8:$B$124,0))&amp;"","")</f>
        <v>10019</v>
      </c>
      <c r="F16" s="589" t="str">
        <f>ﾏｽﾀ!$R15&amp;""</f>
        <v>株式会社 バンダイ　4200／ガールズトイ事業部</v>
      </c>
      <c r="G16" s="133">
        <f>COUNTIF('納品書明細16-E'!$D$9:$D$206,CONCATENATE(VLOOKUP(G$5,$G$1:$H$4,2,FALSE),$E16,1,1,1))</f>
        <v>0</v>
      </c>
      <c r="H16" s="127">
        <f>SUMIF('納品書明細16-E'!$C$9:$C$206,CONCATENATE(VLOOKUP(G$5,$G$1:$H$4,2,FALSE),$E16,1,1),'納品書明細16-E'!$Q$9:$Q$206)</f>
        <v>0</v>
      </c>
      <c r="I16" s="345"/>
      <c r="J16" s="119"/>
      <c r="K16" s="359"/>
      <c r="L16" s="345"/>
      <c r="M16" s="126">
        <f>COUNTIF('納品書明細16-E'!$D$9:$D$206,CONCATENATE(VLOOKUP(G$5,$G$1:$H$4,2,FALSE),$E16,9,1,1))</f>
        <v>0</v>
      </c>
      <c r="N16" s="434">
        <f>SUMIF('納品書明細16-E'!$C$9:$C$206,CONCATENATE(VLOOKUP(G$5,$G$1:$H$4,2,FALSE),$E16,9,1),'納品書明細16-E'!$Q$9:$Q$206)</f>
        <v>0</v>
      </c>
      <c r="O16" s="64"/>
      <c r="P16" s="133">
        <f>COUNTIF('納品書明細16-E'!$D$9:$D$206,CONCATENATE(VLOOKUP(P$5,$G$1:$H$4,2,FALSE),$E16,1,1,1))</f>
        <v>0</v>
      </c>
      <c r="Q16" s="161">
        <f>SUMIF('納品書明細16-E'!$C$9:$C$206,CONCATENATE(VLOOKUP(P$5,$G$1:$H$4,2,FALSE),$E16,1,1),'納品書明細16-E'!$Q$9:$Q$206)</f>
        <v>0</v>
      </c>
      <c r="R16" s="345"/>
      <c r="S16" s="122"/>
      <c r="T16" s="128"/>
      <c r="U16" s="345"/>
      <c r="V16" s="126">
        <f>COUNTIF('納品書明細16-E'!$D$9:$D$206,CONCATENATE(VLOOKUP(P$5,$G$1:$H$4,2,FALSE),$E16,9,1,1))</f>
        <v>0</v>
      </c>
      <c r="W16" s="433">
        <f>SUMIF('納品書明細16-E'!$C$9:$C$206,CONCATENATE(VLOOKUP(P$5,$G$1:$H$4,2,FALSE),$E16,9,1),'納品書明細16-E'!$Q$9:$Q$206)</f>
        <v>0</v>
      </c>
      <c r="X16" s="64"/>
      <c r="Y16" s="133">
        <f>COUNTIF('納品書明細16-E'!$D$9:$D$206,CONCATENATE(VLOOKUP(Y$5,$G$1:$H$4,2,FALSE),$E16,1,1,1))</f>
        <v>0</v>
      </c>
      <c r="Z16" s="161">
        <f>SUMIF('納品書明細16-E'!$C$9:$C$206,CONCATENATE(VLOOKUP(Y$5,$G$1:$H$4,2,FALSE),$E16,1,1),'納品書明細16-E'!$Q$9:$Q$206)</f>
        <v>0</v>
      </c>
      <c r="AA16" s="345"/>
      <c r="AB16" s="122"/>
      <c r="AC16" s="128"/>
      <c r="AD16" s="345"/>
      <c r="AE16" s="126">
        <f>COUNTIF('納品書明細16-E'!$D$9:$D$206,CONCATENATE(VLOOKUP(Y$5,$G$1:$H$4,2,FALSE),$E16,9,1,1))</f>
        <v>0</v>
      </c>
      <c r="AF16" s="433">
        <f>SUMIF('納品書明細16-E'!$C$9:$C$206,CONCATENATE(VLOOKUP(Y$5,$G$1:$H$4,2,FALSE),$E16,9,1),'納品書明細16-E'!$Q$9:$Q$206)</f>
        <v>0</v>
      </c>
    </row>
    <row r="17" spans="1:32">
      <c r="A17" s="474" t="str">
        <f>IF(SUMIFS($G17:$AF17,$G$8:$AF$8,"金額",$G17:$AF17,"&gt;0")-SUMIFS($G17:$AF17,$G$8:$AF$8,"金額",$G17:$AF17,"&lt;0")&lt;=0,"",MAX($A$8:$A16)+1)</f>
        <v/>
      </c>
      <c r="B17" s="802"/>
      <c r="C17" s="245" t="str">
        <f t="shared" si="0"/>
        <v>商品</v>
      </c>
      <c r="D17" s="245">
        <v>9</v>
      </c>
      <c r="E17" s="590" t="str">
        <f>IF($F17&lt;&gt;"",INDEX(ﾏｽﾀ!$D$8:$D$124,MATCH(INDEX(ﾏｽﾀ!$N$8:$N$124,MATCH($F17,ﾏｽﾀ!$O$8:$O$124,0)),ﾏｽﾀ!$B$8:$B$124,0))&amp;"","")</f>
        <v>10020</v>
      </c>
      <c r="F17" s="589" t="str">
        <f>ﾏｽﾀ!$R16&amp;""</f>
        <v>株式会社 バンダイ　5000／ガールズトイ事業部</v>
      </c>
      <c r="G17" s="133">
        <f>COUNTIF('納品書明細16-E'!$D$9:$D$206,CONCATENATE(VLOOKUP(G$5,$G$1:$H$4,2,FALSE),$E17,1,1,1))</f>
        <v>0</v>
      </c>
      <c r="H17" s="127">
        <f>SUMIF('納品書明細16-E'!$C$9:$C$206,CONCATENATE(VLOOKUP(G$5,$G$1:$H$4,2,FALSE),$E17,1,1),'納品書明細16-E'!$Q$9:$Q$206)</f>
        <v>0</v>
      </c>
      <c r="I17" s="345"/>
      <c r="J17" s="119"/>
      <c r="K17" s="359"/>
      <c r="L17" s="345"/>
      <c r="M17" s="126">
        <f>COUNTIF('納品書明細16-E'!$D$9:$D$206,CONCATENATE(VLOOKUP(G$5,$G$1:$H$4,2,FALSE),$E17,9,1,1))</f>
        <v>0</v>
      </c>
      <c r="N17" s="434">
        <f>SUMIF('納品書明細16-E'!$C$9:$C$206,CONCATENATE(VLOOKUP(G$5,$G$1:$H$4,2,FALSE),$E17,9,1),'納品書明細16-E'!$Q$9:$Q$206)</f>
        <v>0</v>
      </c>
      <c r="O17" s="64"/>
      <c r="P17" s="133">
        <f>COUNTIF('納品書明細16-E'!$D$9:$D$206,CONCATENATE(VLOOKUP(P$5,$G$1:$H$4,2,FALSE),$E17,1,1,1))</f>
        <v>0</v>
      </c>
      <c r="Q17" s="161">
        <f>SUMIF('納品書明細16-E'!$C$9:$C$206,CONCATENATE(VLOOKUP(P$5,$G$1:$H$4,2,FALSE),$E17,1,1),'納品書明細16-E'!$Q$9:$Q$206)</f>
        <v>0</v>
      </c>
      <c r="R17" s="345"/>
      <c r="S17" s="122"/>
      <c r="T17" s="128"/>
      <c r="U17" s="345"/>
      <c r="V17" s="126">
        <f>COUNTIF('納品書明細16-E'!$D$9:$D$206,CONCATENATE(VLOOKUP(P$5,$G$1:$H$4,2,FALSE),$E17,9,1,1))</f>
        <v>0</v>
      </c>
      <c r="W17" s="433">
        <f>SUMIF('納品書明細16-E'!$C$9:$C$206,CONCATENATE(VLOOKUP(P$5,$G$1:$H$4,2,FALSE),$E17,9,1),'納品書明細16-E'!$Q$9:$Q$206)</f>
        <v>0</v>
      </c>
      <c r="X17" s="64"/>
      <c r="Y17" s="133">
        <f>COUNTIF('納品書明細16-E'!$D$9:$D$206,CONCATENATE(VLOOKUP(Y$5,$G$1:$H$4,2,FALSE),$E17,1,1,1))</f>
        <v>0</v>
      </c>
      <c r="Z17" s="161">
        <f>SUMIF('納品書明細16-E'!$C$9:$C$206,CONCATENATE(VLOOKUP(Y$5,$G$1:$H$4,2,FALSE),$E17,1,1),'納品書明細16-E'!$Q$9:$Q$206)</f>
        <v>0</v>
      </c>
      <c r="AA17" s="345"/>
      <c r="AB17" s="122"/>
      <c r="AC17" s="128"/>
      <c r="AD17" s="345"/>
      <c r="AE17" s="126">
        <f>COUNTIF('納品書明細16-E'!$D$9:$D$206,CONCATENATE(VLOOKUP(Y$5,$G$1:$H$4,2,FALSE),$E17,9,1,1))</f>
        <v>0</v>
      </c>
      <c r="AF17" s="433">
        <f>SUMIF('納品書明細16-E'!$C$9:$C$206,CONCATENATE(VLOOKUP(Y$5,$G$1:$H$4,2,FALSE),$E17,9,1),'納品書明細16-E'!$Q$9:$Q$206)</f>
        <v>0</v>
      </c>
    </row>
    <row r="18" spans="1:32">
      <c r="A18" s="474" t="str">
        <f>IF(SUMIFS($G18:$AF18,$G$8:$AF$8,"金額",$G18:$AF18,"&gt;0")-SUMIFS($G18:$AF18,$G$8:$AF$8,"金額",$G18:$AF18,"&lt;0")&lt;=0,"",MAX($A$8:$A17)+1)</f>
        <v/>
      </c>
      <c r="B18" s="802"/>
      <c r="C18" s="245" t="str">
        <f t="shared" si="0"/>
        <v>商品</v>
      </c>
      <c r="D18" s="245">
        <v>10</v>
      </c>
      <c r="E18" s="590" t="str">
        <f>IF($F18&lt;&gt;"",INDEX(ﾏｽﾀ!$D$8:$D$124,MATCH(INDEX(ﾏｽﾀ!$N$8:$N$124,MATCH($F18,ﾏｽﾀ!$O$8:$O$124,0)),ﾏｽﾀ!$B$8:$B$124,0))&amp;"","")</f>
        <v>10023</v>
      </c>
      <c r="F18" s="589" t="str">
        <f>ﾏｽﾀ!$R17&amp;""</f>
        <v>株式会社 バンダイ　3100／プロダクトマネジメント部</v>
      </c>
      <c r="G18" s="133">
        <f>COUNTIF('納品書明細16-E'!$D$9:$D$206,CONCATENATE(VLOOKUP(G$5,$G$1:$H$4,2,FALSE),$E18,1,1,1))</f>
        <v>0</v>
      </c>
      <c r="H18" s="127">
        <f>SUMIF('納品書明細16-E'!$C$9:$C$206,CONCATENATE(VLOOKUP(G$5,$G$1:$H$4,2,FALSE),$E18,1,1),'納品書明細16-E'!$Q$9:$Q$206)</f>
        <v>0</v>
      </c>
      <c r="I18" s="345"/>
      <c r="J18" s="119"/>
      <c r="K18" s="359"/>
      <c r="L18" s="345"/>
      <c r="M18" s="126">
        <f>COUNTIF('納品書明細16-E'!$D$9:$D$206,CONCATENATE(VLOOKUP(G$5,$G$1:$H$4,2,FALSE),$E18,9,1,1))</f>
        <v>0</v>
      </c>
      <c r="N18" s="434">
        <f>SUMIF('納品書明細16-E'!$C$9:$C$206,CONCATENATE(VLOOKUP(G$5,$G$1:$H$4,2,FALSE),$E18,9,1),'納品書明細16-E'!$Q$9:$Q$206)</f>
        <v>0</v>
      </c>
      <c r="O18" s="64"/>
      <c r="P18" s="133">
        <f>COUNTIF('納品書明細16-E'!$D$9:$D$206,CONCATENATE(VLOOKUP(P$5,$G$1:$H$4,2,FALSE),$E18,1,1,1))</f>
        <v>0</v>
      </c>
      <c r="Q18" s="161">
        <f>SUMIF('納品書明細16-E'!$C$9:$C$206,CONCATENATE(VLOOKUP(P$5,$G$1:$H$4,2,FALSE),$E18,1,1),'納品書明細16-E'!$Q$9:$Q$206)</f>
        <v>0</v>
      </c>
      <c r="R18" s="345"/>
      <c r="S18" s="122"/>
      <c r="T18" s="128"/>
      <c r="U18" s="345"/>
      <c r="V18" s="126">
        <f>COUNTIF('納品書明細16-E'!$D$9:$D$206,CONCATENATE(VLOOKUP(P$5,$G$1:$H$4,2,FALSE),$E18,9,1,1))</f>
        <v>0</v>
      </c>
      <c r="W18" s="433">
        <f>SUMIF('納品書明細16-E'!$C$9:$C$206,CONCATENATE(VLOOKUP(P$5,$G$1:$H$4,2,FALSE),$E18,9,1),'納品書明細16-E'!$Q$9:$Q$206)</f>
        <v>0</v>
      </c>
      <c r="X18" s="64"/>
      <c r="Y18" s="133">
        <f>COUNTIF('納品書明細16-E'!$D$9:$D$206,CONCATENATE(VLOOKUP(Y$5,$G$1:$H$4,2,FALSE),$E18,1,1,1))</f>
        <v>0</v>
      </c>
      <c r="Z18" s="161">
        <f>SUMIF('納品書明細16-E'!$C$9:$C$206,CONCATENATE(VLOOKUP(Y$5,$G$1:$H$4,2,FALSE),$E18,1,1),'納品書明細16-E'!$Q$9:$Q$206)</f>
        <v>0</v>
      </c>
      <c r="AA18" s="345"/>
      <c r="AB18" s="122"/>
      <c r="AC18" s="128"/>
      <c r="AD18" s="345"/>
      <c r="AE18" s="126">
        <f>COUNTIF('納品書明細16-E'!$D$9:$D$206,CONCATENATE(VLOOKUP(Y$5,$G$1:$H$4,2,FALSE),$E18,9,1,1))</f>
        <v>0</v>
      </c>
      <c r="AF18" s="433">
        <f>SUMIF('納品書明細16-E'!$C$9:$C$206,CONCATENATE(VLOOKUP(Y$5,$G$1:$H$4,2,FALSE),$E18,9,1),'納品書明細16-E'!$Q$9:$Q$206)</f>
        <v>0</v>
      </c>
    </row>
    <row r="19" spans="1:32">
      <c r="A19" s="474" t="str">
        <f>IF(SUMIFS($G19:$AF19,$G$8:$AF$8,"金額",$G19:$AF19,"&gt;0")-SUMIFS($G19:$AF19,$G$8:$AF$8,"金額",$G19:$AF19,"&lt;0")&lt;=0,"",MAX($A$8:$A18)+1)</f>
        <v/>
      </c>
      <c r="B19" s="802"/>
      <c r="C19" s="245" t="str">
        <f t="shared" si="0"/>
        <v>商品</v>
      </c>
      <c r="D19" s="245">
        <v>11</v>
      </c>
      <c r="E19" s="590" t="str">
        <f>IF($F19&lt;&gt;"",INDEX(ﾏｽﾀ!$D$8:$D$124,MATCH(INDEX(ﾏｽﾀ!$N$8:$N$124,MATCH($F19,ﾏｽﾀ!$O$8:$O$124,0)),ﾏｽﾀ!$B$8:$B$124,0))&amp;"","")</f>
        <v>10000</v>
      </c>
      <c r="F19" s="589" t="str">
        <f>ﾏｽﾀ!$R18&amp;""</f>
        <v>株式会社 バンダイ部</v>
      </c>
      <c r="G19" s="133">
        <f>COUNTIF('納品書明細16-E'!$D$9:$D$206,CONCATENATE(VLOOKUP(G$5,$G$1:$H$4,2,FALSE),$E19,1,1,1))</f>
        <v>0</v>
      </c>
      <c r="H19" s="127">
        <f>SUMIF('納品書明細16-E'!$C$9:$C$206,CONCATENATE(VLOOKUP(G$5,$G$1:$H$4,2,FALSE),$E19,1,1),'納品書明細16-E'!$Q$9:$Q$206)</f>
        <v>0</v>
      </c>
      <c r="I19" s="345"/>
      <c r="J19" s="119"/>
      <c r="K19" s="359"/>
      <c r="L19" s="345"/>
      <c r="M19" s="126">
        <f>COUNTIF('納品書明細16-E'!$D$9:$D$206,CONCATENATE(VLOOKUP(G$5,$G$1:$H$4,2,FALSE),$E19,9,1,1))</f>
        <v>0</v>
      </c>
      <c r="N19" s="434">
        <f>SUMIF('納品書明細16-E'!$C$9:$C$206,CONCATENATE(VLOOKUP(G$5,$G$1:$H$4,2,FALSE),$E19,9,1),'納品書明細16-E'!$Q$9:$Q$206)</f>
        <v>0</v>
      </c>
      <c r="O19" s="64"/>
      <c r="P19" s="133">
        <f>COUNTIF('納品書明細16-E'!$D$9:$D$206,CONCATENATE(VLOOKUP(P$5,$G$1:$H$4,2,FALSE),$E19,1,1,1))</f>
        <v>0</v>
      </c>
      <c r="Q19" s="161">
        <f>SUMIF('納品書明細16-E'!$C$9:$C$206,CONCATENATE(VLOOKUP(P$5,$G$1:$H$4,2,FALSE),$E19,1,1),'納品書明細16-E'!$Q$9:$Q$206)</f>
        <v>0</v>
      </c>
      <c r="R19" s="345"/>
      <c r="S19" s="122"/>
      <c r="T19" s="128"/>
      <c r="U19" s="345"/>
      <c r="V19" s="126">
        <f>COUNTIF('納品書明細16-E'!$D$9:$D$206,CONCATENATE(VLOOKUP(P$5,$G$1:$H$4,2,FALSE),$E19,9,1,1))</f>
        <v>0</v>
      </c>
      <c r="W19" s="433">
        <f>SUMIF('納品書明細16-E'!$C$9:$C$206,CONCATENATE(VLOOKUP(P$5,$G$1:$H$4,2,FALSE),$E19,9,1),'納品書明細16-E'!$Q$9:$Q$206)</f>
        <v>0</v>
      </c>
      <c r="X19" s="64"/>
      <c r="Y19" s="133">
        <f>COUNTIF('納品書明細16-E'!$D$9:$D$206,CONCATENATE(VLOOKUP(Y$5,$G$1:$H$4,2,FALSE),$E19,1,1,1))</f>
        <v>0</v>
      </c>
      <c r="Z19" s="161">
        <f>SUMIF('納品書明細16-E'!$C$9:$C$206,CONCATENATE(VLOOKUP(Y$5,$G$1:$H$4,2,FALSE),$E19,1,1),'納品書明細16-E'!$Q$9:$Q$206)</f>
        <v>0</v>
      </c>
      <c r="AA19" s="345"/>
      <c r="AB19" s="122"/>
      <c r="AC19" s="128"/>
      <c r="AD19" s="345"/>
      <c r="AE19" s="126">
        <f>COUNTIF('納品書明細16-E'!$D$9:$D$206,CONCATENATE(VLOOKUP(Y$5,$G$1:$H$4,2,FALSE),$E19,9,1,1))</f>
        <v>0</v>
      </c>
      <c r="AF19" s="433">
        <f>SUMIF('納品書明細16-E'!$C$9:$C$206,CONCATENATE(VLOOKUP(Y$5,$G$1:$H$4,2,FALSE),$E19,9,1),'納品書明細16-E'!$Q$9:$Q$206)</f>
        <v>0</v>
      </c>
    </row>
    <row r="20" spans="1:32">
      <c r="A20" s="474" t="str">
        <f>IF(SUMIFS($G20:$AF20,$G$8:$AF$8,"金額",$G20:$AF20,"&gt;0")-SUMIFS($G20:$AF20,$G$8:$AF$8,"金額",$G20:$AF20,"&lt;0")&lt;=0,"",MAX($A$8:$A19)+1)</f>
        <v/>
      </c>
      <c r="B20" s="802"/>
      <c r="C20" s="245" t="str">
        <f t="shared" si="0"/>
        <v>商品</v>
      </c>
      <c r="D20" s="245">
        <v>12</v>
      </c>
      <c r="E20" s="590" t="str">
        <f>IF($F20&lt;&gt;"",INDEX(ﾏｽﾀ!$D$8:$D$124,MATCH(INDEX(ﾏｽﾀ!$N$8:$N$124,MATCH($F20,ﾏｽﾀ!$O$8:$O$124,0)),ﾏｽﾀ!$B$8:$B$124,0))&amp;"","")</f>
        <v>11001</v>
      </c>
      <c r="F20" s="589" t="str">
        <f>ﾏｽﾀ!$R19&amp;""</f>
        <v>株式会社BANDAI SPIRITS　4100／コレクターズ事業部</v>
      </c>
      <c r="G20" s="133">
        <f>COUNTIF('納品書明細16-E'!$D$9:$D$206,CONCATENATE(VLOOKUP(G$5,$G$1:$H$4,2,FALSE),$E20,1,1,1))</f>
        <v>0</v>
      </c>
      <c r="H20" s="127">
        <f>SUMIF('納品書明細16-E'!$C$9:$C$206,CONCATENATE(VLOOKUP(G$5,$G$1:$H$4,2,FALSE),$E20,1,1),'納品書明細16-E'!$Q$9:$Q$206)</f>
        <v>0</v>
      </c>
      <c r="I20" s="345"/>
      <c r="J20" s="119"/>
      <c r="K20" s="359"/>
      <c r="L20" s="345"/>
      <c r="M20" s="126">
        <f>COUNTIF('納品書明細16-E'!$D$9:$D$206,CONCATENATE(VLOOKUP(G$5,$G$1:$H$4,2,FALSE),$E20,9,1,1))</f>
        <v>0</v>
      </c>
      <c r="N20" s="434">
        <f>SUMIF('納品書明細16-E'!$C$9:$C$206,CONCATENATE(VLOOKUP(G$5,$G$1:$H$4,2,FALSE),$E20,9,1),'納品書明細16-E'!$Q$9:$Q$206)</f>
        <v>0</v>
      </c>
      <c r="O20" s="64"/>
      <c r="P20" s="133">
        <f>COUNTIF('納品書明細16-E'!$D$9:$D$206,CONCATENATE(VLOOKUP(P$5,$G$1:$H$4,2,FALSE),$E20,1,1,1))</f>
        <v>0</v>
      </c>
      <c r="Q20" s="161">
        <f>SUMIF('納品書明細16-E'!$C$9:$C$206,CONCATENATE(VLOOKUP(P$5,$G$1:$H$4,2,FALSE),$E20,1,1),'納品書明細16-E'!$Q$9:$Q$206)</f>
        <v>0</v>
      </c>
      <c r="R20" s="345"/>
      <c r="S20" s="122"/>
      <c r="T20" s="128"/>
      <c r="U20" s="345"/>
      <c r="V20" s="126">
        <f>COUNTIF('納品書明細16-E'!$D$9:$D$206,CONCATENATE(VLOOKUP(P$5,$G$1:$H$4,2,FALSE),$E20,9,1,1))</f>
        <v>0</v>
      </c>
      <c r="W20" s="433">
        <f>SUMIF('納品書明細16-E'!$C$9:$C$206,CONCATENATE(VLOOKUP(P$5,$G$1:$H$4,2,FALSE),$E20,9,1),'納品書明細16-E'!$Q$9:$Q$206)</f>
        <v>0</v>
      </c>
      <c r="X20" s="64"/>
      <c r="Y20" s="133">
        <f>COUNTIF('納品書明細16-E'!$D$9:$D$206,CONCATENATE(VLOOKUP(Y$5,$G$1:$H$4,2,FALSE),$E20,1,1,1))</f>
        <v>0</v>
      </c>
      <c r="Z20" s="161">
        <f>SUMIF('納品書明細16-E'!$C$9:$C$206,CONCATENATE(VLOOKUP(Y$5,$G$1:$H$4,2,FALSE),$E20,1,1),'納品書明細16-E'!$Q$9:$Q$206)</f>
        <v>0</v>
      </c>
      <c r="AA20" s="345"/>
      <c r="AB20" s="122"/>
      <c r="AC20" s="128"/>
      <c r="AD20" s="345"/>
      <c r="AE20" s="126">
        <f>COUNTIF('納品書明細16-E'!$D$9:$D$206,CONCATENATE(VLOOKUP(Y$5,$G$1:$H$4,2,FALSE),$E20,9,1,1))</f>
        <v>0</v>
      </c>
      <c r="AF20" s="433">
        <f>SUMIF('納品書明細16-E'!$C$9:$C$206,CONCATENATE(VLOOKUP(Y$5,$G$1:$H$4,2,FALSE),$E20,9,1),'納品書明細16-E'!$Q$9:$Q$206)</f>
        <v>0</v>
      </c>
    </row>
    <row r="21" spans="1:32">
      <c r="A21" s="474" t="str">
        <f>IF(SUMIFS($G21:$AF21,$G$8:$AF$8,"金額",$G21:$AF21,"&gt;0")-SUMIFS($G21:$AF21,$G$8:$AF$8,"金額",$G21:$AF21,"&lt;0")&lt;=0,"",MAX($A$8:$A20)+1)</f>
        <v/>
      </c>
      <c r="B21" s="802"/>
      <c r="C21" s="245" t="str">
        <f t="shared" si="0"/>
        <v>商品</v>
      </c>
      <c r="D21" s="245">
        <v>13</v>
      </c>
      <c r="E21" s="590" t="str">
        <f>IF($F21&lt;&gt;"",INDEX(ﾏｽﾀ!$D$8:$D$124,MATCH(INDEX(ﾏｽﾀ!$N$8:$N$124,MATCH($F21,ﾏｽﾀ!$O$8:$O$124,0)),ﾏｽﾀ!$B$8:$B$124,0))&amp;"","")</f>
        <v>11002</v>
      </c>
      <c r="F21" s="589" t="str">
        <f>ﾏｽﾀ!$R20&amp;""</f>
        <v>株式会社BANDAI SPIRITS</v>
      </c>
      <c r="G21" s="133">
        <f>COUNTIF('納品書明細16-E'!$D$9:$D$206,CONCATENATE(VLOOKUP(G$5,$G$1:$H$4,2,FALSE),$E21,1,1,1))</f>
        <v>0</v>
      </c>
      <c r="H21" s="127">
        <f>SUMIF('納品書明細16-E'!$C$9:$C$206,CONCATENATE(VLOOKUP(G$5,$G$1:$H$4,2,FALSE),$E21,1,1),'納品書明細16-E'!$Q$9:$Q$206)</f>
        <v>0</v>
      </c>
      <c r="I21" s="345"/>
      <c r="J21" s="119"/>
      <c r="K21" s="359"/>
      <c r="L21" s="345"/>
      <c r="M21" s="126">
        <f>COUNTIF('納品書明細16-E'!$D$9:$D$206,CONCATENATE(VLOOKUP(G$5,$G$1:$H$4,2,FALSE),$E21,9,1,1))</f>
        <v>0</v>
      </c>
      <c r="N21" s="434">
        <f>SUMIF('納品書明細16-E'!$C$9:$C$206,CONCATENATE(VLOOKUP(G$5,$G$1:$H$4,2,FALSE),$E21,9,1),'納品書明細16-E'!$Q$9:$Q$206)</f>
        <v>0</v>
      </c>
      <c r="O21" s="64"/>
      <c r="P21" s="133">
        <f>COUNTIF('納品書明細16-E'!$D$9:$D$206,CONCATENATE(VLOOKUP(P$5,$G$1:$H$4,2,FALSE),$E21,1,1,1))</f>
        <v>0</v>
      </c>
      <c r="Q21" s="161">
        <f>SUMIF('納品書明細16-E'!$C$9:$C$206,CONCATENATE(VLOOKUP(P$5,$G$1:$H$4,2,FALSE),$E21,1,1),'納品書明細16-E'!$Q$9:$Q$206)</f>
        <v>0</v>
      </c>
      <c r="R21" s="345"/>
      <c r="S21" s="122"/>
      <c r="T21" s="128"/>
      <c r="U21" s="345"/>
      <c r="V21" s="126">
        <f>COUNTIF('納品書明細16-E'!$D$9:$D$206,CONCATENATE(VLOOKUP(P$5,$G$1:$H$4,2,FALSE),$E21,9,1,1))</f>
        <v>0</v>
      </c>
      <c r="W21" s="433">
        <f>SUMIF('納品書明細16-E'!$C$9:$C$206,CONCATENATE(VLOOKUP(P$5,$G$1:$H$4,2,FALSE),$E21,9,1),'納品書明細16-E'!$Q$9:$Q$206)</f>
        <v>0</v>
      </c>
      <c r="X21" s="64"/>
      <c r="Y21" s="133">
        <f>COUNTIF('納品書明細16-E'!$D$9:$D$206,CONCATENATE(VLOOKUP(Y$5,$G$1:$H$4,2,FALSE),$E21,1,1,1))</f>
        <v>0</v>
      </c>
      <c r="Z21" s="161">
        <f>SUMIF('納品書明細16-E'!$C$9:$C$206,CONCATENATE(VLOOKUP(Y$5,$G$1:$H$4,2,FALSE),$E21,1,1),'納品書明細16-E'!$Q$9:$Q$206)</f>
        <v>0</v>
      </c>
      <c r="AA21" s="345"/>
      <c r="AB21" s="122"/>
      <c r="AC21" s="128"/>
      <c r="AD21" s="345"/>
      <c r="AE21" s="126">
        <f>COUNTIF('納品書明細16-E'!$D$9:$D$206,CONCATENATE(VLOOKUP(Y$5,$G$1:$H$4,2,FALSE),$E21,9,1,1))</f>
        <v>0</v>
      </c>
      <c r="AF21" s="433">
        <f>SUMIF('納品書明細16-E'!$C$9:$C$206,CONCATENATE(VLOOKUP(Y$5,$G$1:$H$4,2,FALSE),$E21,9,1),'納品書明細16-E'!$Q$9:$Q$206)</f>
        <v>0</v>
      </c>
    </row>
    <row r="22" spans="1:32">
      <c r="A22" s="474" t="str">
        <f>IF(SUMIFS($G22:$AF22,$G$8:$AF$8,"金額",$G22:$AF22,"&gt;0")-SUMIFS($G22:$AF22,$G$8:$AF$8,"金額",$G22:$AF22,"&lt;0")&lt;=0,"",MAX($A$8:$A21)+1)</f>
        <v/>
      </c>
      <c r="B22" s="802"/>
      <c r="C22" s="245" t="str">
        <f t="shared" si="0"/>
        <v>商品</v>
      </c>
      <c r="D22" s="245">
        <v>14</v>
      </c>
      <c r="E22" s="590" t="str">
        <f>IF($F22&lt;&gt;"",INDEX(ﾏｽﾀ!$D$8:$D$124,MATCH(INDEX(ﾏｽﾀ!$N$8:$N$124,MATCH($F22,ﾏｽﾀ!$O$8:$O$124,0)),ﾏｽﾀ!$B$8:$B$124,0))&amp;"","")</f>
        <v>12001</v>
      </c>
      <c r="F22" s="589" t="str">
        <f>ﾏｽﾀ!$R21&amp;""</f>
        <v>株式会社バンダイナムコアミューズメント</v>
      </c>
      <c r="G22" s="133">
        <f>COUNTIF('納品書明細16-E'!$D$9:$D$206,CONCATENATE(VLOOKUP(G$5,$G$1:$H$4,2,FALSE),$E22,1,1,1))</f>
        <v>0</v>
      </c>
      <c r="H22" s="127">
        <f>SUMIF('納品書明細16-E'!$C$9:$C$206,CONCATENATE(VLOOKUP(G$5,$G$1:$H$4,2,FALSE),$E22,1,1),'納品書明細16-E'!$Q$9:$Q$206)</f>
        <v>0</v>
      </c>
      <c r="I22" s="345"/>
      <c r="J22" s="119"/>
      <c r="K22" s="359"/>
      <c r="L22" s="345"/>
      <c r="M22" s="126">
        <f>COUNTIF('納品書明細16-E'!$D$9:$D$206,CONCATENATE(VLOOKUP(G$5,$G$1:$H$4,2,FALSE),$E22,9,1,1))</f>
        <v>0</v>
      </c>
      <c r="N22" s="434">
        <f>SUMIF('納品書明細16-E'!$C$9:$C$206,CONCATENATE(VLOOKUP(G$5,$G$1:$H$4,2,FALSE),$E22,9,1),'納品書明細16-E'!$Q$9:$Q$206)</f>
        <v>0</v>
      </c>
      <c r="O22" s="64"/>
      <c r="P22" s="133">
        <f>COUNTIF('納品書明細16-E'!$D$9:$D$206,CONCATENATE(VLOOKUP(P$5,$G$1:$H$4,2,FALSE),$E22,1,1,1))</f>
        <v>0</v>
      </c>
      <c r="Q22" s="161">
        <f>SUMIF('納品書明細16-E'!$C$9:$C$206,CONCATENATE(VLOOKUP(P$5,$G$1:$H$4,2,FALSE),$E22,1,1),'納品書明細16-E'!$Q$9:$Q$206)</f>
        <v>0</v>
      </c>
      <c r="R22" s="345"/>
      <c r="S22" s="122"/>
      <c r="T22" s="128"/>
      <c r="U22" s="345"/>
      <c r="V22" s="126">
        <f>COUNTIF('納品書明細16-E'!$D$9:$D$206,CONCATENATE(VLOOKUP(P$5,$G$1:$H$4,2,FALSE),$E22,9,1,1))</f>
        <v>0</v>
      </c>
      <c r="W22" s="433">
        <f>SUMIF('納品書明細16-E'!$C$9:$C$206,CONCATENATE(VLOOKUP(P$5,$G$1:$H$4,2,FALSE),$E22,9,1),'納品書明細16-E'!$Q$9:$Q$206)</f>
        <v>0</v>
      </c>
      <c r="X22" s="64"/>
      <c r="Y22" s="133">
        <f>COUNTIF('納品書明細16-E'!$D$9:$D$206,CONCATENATE(VLOOKUP(Y$5,$G$1:$H$4,2,FALSE),$E22,1,1,1))</f>
        <v>0</v>
      </c>
      <c r="Z22" s="161">
        <f>SUMIF('納品書明細16-E'!$C$9:$C$206,CONCATENATE(VLOOKUP(Y$5,$G$1:$H$4,2,FALSE),$E22,1,1),'納品書明細16-E'!$Q$9:$Q$206)</f>
        <v>0</v>
      </c>
      <c r="AA22" s="345"/>
      <c r="AB22" s="122"/>
      <c r="AC22" s="128"/>
      <c r="AD22" s="345"/>
      <c r="AE22" s="126">
        <f>COUNTIF('納品書明細16-E'!$D$9:$D$206,CONCATENATE(VLOOKUP(Y$5,$G$1:$H$4,2,FALSE),$E22,9,1,1))</f>
        <v>0</v>
      </c>
      <c r="AF22" s="433">
        <f>SUMIF('納品書明細16-E'!$C$9:$C$206,CONCATENATE(VLOOKUP(Y$5,$G$1:$H$4,2,FALSE),$E22,9,1),'納品書明細16-E'!$Q$9:$Q$206)</f>
        <v>0</v>
      </c>
    </row>
    <row r="23" spans="1:32">
      <c r="A23" s="474" t="str">
        <f>IF(SUMIFS($G23:$AF23,$G$8:$AF$8,"金額",$G23:$AF23,"&gt;0")-SUMIFS($G23:$AF23,$G$8:$AF$8,"金額",$G23:$AF23,"&lt;0")&lt;=0,"",MAX($A$8:$A22)+1)</f>
        <v/>
      </c>
      <c r="B23" s="802"/>
      <c r="C23" s="245" t="str">
        <f t="shared" si="0"/>
        <v>商品</v>
      </c>
      <c r="D23" s="245">
        <v>15</v>
      </c>
      <c r="E23" s="590" t="str">
        <f>IF($F23&lt;&gt;"",INDEX(ﾏｽﾀ!$D$8:$D$124,MATCH(INDEX(ﾏｽﾀ!$N$8:$N$124,MATCH($F23,ﾏｽﾀ!$O$8:$O$124,0)),ﾏｽﾀ!$B$8:$B$124,0))&amp;"","")</f>
        <v>40002</v>
      </c>
      <c r="F23" s="589" t="str">
        <f>ﾏｽﾀ!$R22&amp;""</f>
        <v>株式会社 バンプレスト　マーケティング事業部</v>
      </c>
      <c r="G23" s="133">
        <f>COUNTIF('納品書明細16-E'!$D$9:$D$206,CONCATENATE(VLOOKUP(G$5,$G$1:$H$4,2,FALSE),$E23,1,1,1))</f>
        <v>0</v>
      </c>
      <c r="H23" s="127">
        <f>SUMIF('納品書明細16-E'!$C$9:$C$206,CONCATENATE(VLOOKUP(G$5,$G$1:$H$4,2,FALSE),$E23,1,1),'納品書明細16-E'!$Q$9:$Q$206)</f>
        <v>0</v>
      </c>
      <c r="I23" s="345"/>
      <c r="J23" s="119"/>
      <c r="K23" s="359"/>
      <c r="L23" s="345"/>
      <c r="M23" s="126">
        <f>COUNTIF('納品書明細16-E'!$D$9:$D$206,CONCATENATE(VLOOKUP(G$5,$G$1:$H$4,2,FALSE),$E23,9,1,1))</f>
        <v>0</v>
      </c>
      <c r="N23" s="434">
        <f>SUMIF('納品書明細16-E'!$C$9:$C$206,CONCATENATE(VLOOKUP(G$5,$G$1:$H$4,2,FALSE),$E23,9,1),'納品書明細16-E'!$Q$9:$Q$206)</f>
        <v>0</v>
      </c>
      <c r="O23" s="64"/>
      <c r="P23" s="133">
        <f>COUNTIF('納品書明細16-E'!$D$9:$D$206,CONCATENATE(VLOOKUP(P$5,$G$1:$H$4,2,FALSE),$E23,1,1,1))</f>
        <v>0</v>
      </c>
      <c r="Q23" s="161">
        <f>SUMIF('納品書明細16-E'!$C$9:$C$206,CONCATENATE(VLOOKUP(P$5,$G$1:$H$4,2,FALSE),$E23,1,1),'納品書明細16-E'!$Q$9:$Q$206)</f>
        <v>0</v>
      </c>
      <c r="R23" s="345"/>
      <c r="S23" s="122"/>
      <c r="T23" s="128"/>
      <c r="U23" s="345"/>
      <c r="V23" s="126">
        <f>COUNTIF('納品書明細16-E'!$D$9:$D$206,CONCATENATE(VLOOKUP(P$5,$G$1:$H$4,2,FALSE),$E23,9,1,1))</f>
        <v>0</v>
      </c>
      <c r="W23" s="433">
        <f>SUMIF('納品書明細16-E'!$C$9:$C$206,CONCATENATE(VLOOKUP(P$5,$G$1:$H$4,2,FALSE),$E23,9,1),'納品書明細16-E'!$Q$9:$Q$206)</f>
        <v>0</v>
      </c>
      <c r="X23" s="64"/>
      <c r="Y23" s="133">
        <f>COUNTIF('納品書明細16-E'!$D$9:$D$206,CONCATENATE(VLOOKUP(Y$5,$G$1:$H$4,2,FALSE),$E23,1,1,1))</f>
        <v>0</v>
      </c>
      <c r="Z23" s="161">
        <f>SUMIF('納品書明細16-E'!$C$9:$C$206,CONCATENATE(VLOOKUP(Y$5,$G$1:$H$4,2,FALSE),$E23,1,1),'納品書明細16-E'!$Q$9:$Q$206)</f>
        <v>0</v>
      </c>
      <c r="AA23" s="345"/>
      <c r="AB23" s="122"/>
      <c r="AC23" s="128"/>
      <c r="AD23" s="345"/>
      <c r="AE23" s="126">
        <f>COUNTIF('納品書明細16-E'!$D$9:$D$206,CONCATENATE(VLOOKUP(Y$5,$G$1:$H$4,2,FALSE),$E23,9,1,1))</f>
        <v>0</v>
      </c>
      <c r="AF23" s="433">
        <f>SUMIF('納品書明細16-E'!$C$9:$C$206,CONCATENATE(VLOOKUP(Y$5,$G$1:$H$4,2,FALSE),$E23,9,1),'納品書明細16-E'!$Q$9:$Q$206)</f>
        <v>0</v>
      </c>
    </row>
    <row r="24" spans="1:32">
      <c r="A24" s="474" t="str">
        <f>IF(SUMIFS($G24:$AF24,$G$8:$AF$8,"金額",$G24:$AF24,"&gt;0")-SUMIFS($G24:$AF24,$G$8:$AF$8,"金額",$G24:$AF24,"&lt;0")&lt;=0,"",MAX($A$8:$A23)+1)</f>
        <v/>
      </c>
      <c r="B24" s="802"/>
      <c r="C24" s="245" t="str">
        <f t="shared" si="0"/>
        <v>商品</v>
      </c>
      <c r="D24" s="245">
        <v>16</v>
      </c>
      <c r="E24" s="590" t="str">
        <f>IF($F24&lt;&gt;"",INDEX(ﾏｽﾀ!$D$8:$D$124,MATCH(INDEX(ﾏｽﾀ!$N$8:$N$124,MATCH($F24,ﾏｽﾀ!$O$8:$O$124,0)),ﾏｽﾀ!$B$8:$B$124,0))&amp;"","")</f>
        <v>51000</v>
      </c>
      <c r="F24" s="589" t="str">
        <f>ﾏｽﾀ!$R23&amp;""</f>
        <v>株式会社 アートプレスト　/　3100</v>
      </c>
      <c r="G24" s="133">
        <f>COUNTIF('納品書明細16-E'!$D$9:$D$206,CONCATENATE(VLOOKUP(G$5,$G$1:$H$4,2,FALSE),$E24,1,1,1))</f>
        <v>0</v>
      </c>
      <c r="H24" s="127">
        <f>SUMIF('納品書明細16-E'!$C$9:$C$206,CONCATENATE(VLOOKUP(G$5,$G$1:$H$4,2,FALSE),$E24,1,1),'納品書明細16-E'!$Q$9:$Q$206)</f>
        <v>0</v>
      </c>
      <c r="I24" s="345"/>
      <c r="J24" s="122"/>
      <c r="K24" s="359"/>
      <c r="L24" s="345"/>
      <c r="M24" s="126">
        <f>COUNTIF('納品書明細16-E'!$D$9:$D$206,CONCATENATE(VLOOKUP(G$5,$G$1:$H$4,2,FALSE),$E24,9,1,1))</f>
        <v>0</v>
      </c>
      <c r="N24" s="434">
        <f>SUMIF('納品書明細16-E'!$C$9:$C$206,CONCATENATE(VLOOKUP(G$5,$G$1:$H$4,2,FALSE),$E24,9,1),'納品書明細16-E'!$Q$9:$Q$206)</f>
        <v>0</v>
      </c>
      <c r="O24" s="64"/>
      <c r="P24" s="133">
        <f>COUNTIF('納品書明細16-E'!$D$9:$D$206,CONCATENATE(VLOOKUP(P$5,$G$1:$H$4,2,FALSE),$E24,1,1,1))</f>
        <v>0</v>
      </c>
      <c r="Q24" s="161">
        <f>SUMIF('納品書明細16-E'!$C$9:$C$206,CONCATENATE(VLOOKUP(P$5,$G$1:$H$4,2,FALSE),$E24,1,1),'納品書明細16-E'!$Q$9:$Q$206)</f>
        <v>0</v>
      </c>
      <c r="R24" s="345"/>
      <c r="S24" s="122"/>
      <c r="T24" s="128"/>
      <c r="U24" s="345"/>
      <c r="V24" s="126">
        <f>COUNTIF('納品書明細16-E'!$D$9:$D$206,CONCATENATE(VLOOKUP(P$5,$G$1:$H$4,2,FALSE),$E24,9,1,1))</f>
        <v>0</v>
      </c>
      <c r="W24" s="433">
        <f>SUMIF('納品書明細16-E'!$C$9:$C$206,CONCATENATE(VLOOKUP(P$5,$G$1:$H$4,2,FALSE),$E24,9,1),'納品書明細16-E'!$Q$9:$Q$206)</f>
        <v>0</v>
      </c>
      <c r="X24" s="64"/>
      <c r="Y24" s="133">
        <f>COUNTIF('納品書明細16-E'!$D$9:$D$206,CONCATENATE(VLOOKUP(Y$5,$G$1:$H$4,2,FALSE),$E24,1,1,1))</f>
        <v>0</v>
      </c>
      <c r="Z24" s="161">
        <f>SUMIF('納品書明細16-E'!$C$9:$C$206,CONCATENATE(VLOOKUP(Y$5,$G$1:$H$4,2,FALSE),$E24,1,1),'納品書明細16-E'!$Q$9:$Q$206)</f>
        <v>0</v>
      </c>
      <c r="AA24" s="345"/>
      <c r="AB24" s="122"/>
      <c r="AC24" s="128"/>
      <c r="AD24" s="345"/>
      <c r="AE24" s="126">
        <f>COUNTIF('納品書明細16-E'!$D$9:$D$206,CONCATENATE(VLOOKUP(Y$5,$G$1:$H$4,2,FALSE),$E24,9,1,1))</f>
        <v>0</v>
      </c>
      <c r="AF24" s="433">
        <f>SUMIF('納品書明細16-E'!$C$9:$C$206,CONCATENATE(VLOOKUP(Y$5,$G$1:$H$4,2,FALSE),$E24,9,1),'納品書明細16-E'!$Q$9:$Q$206)</f>
        <v>0</v>
      </c>
    </row>
    <row r="25" spans="1:32">
      <c r="A25" s="474" t="str">
        <f>IF(SUMIFS($G25:$AF25,$G$8:$AF$8,"金額",$G25:$AF25,"&gt;0")-SUMIFS($G25:$AF25,$G$8:$AF$8,"金額",$G25:$AF25,"&lt;0")&lt;=0,"",MAX($A$8:$A24)+1)</f>
        <v/>
      </c>
      <c r="B25" s="802"/>
      <c r="C25" s="245" t="str">
        <f t="shared" si="0"/>
        <v>商品</v>
      </c>
      <c r="D25" s="245">
        <v>17</v>
      </c>
      <c r="E25" s="590" t="str">
        <f>IF($F25&lt;&gt;"",INDEX(ﾏｽﾀ!$D$8:$D$124,MATCH(INDEX(ﾏｽﾀ!$N$8:$N$124,MATCH($F25,ﾏｽﾀ!$O$8:$O$124,0)),ﾏｽﾀ!$B$8:$B$124,0))&amp;"","")</f>
        <v>53000</v>
      </c>
      <c r="F25" s="589" t="str">
        <f>ﾏｽﾀ!$R24&amp;""</f>
        <v>株式会社エムアイシー</v>
      </c>
      <c r="G25" s="133">
        <f>COUNTIF('納品書明細16-E'!$D$9:$D$206,CONCATENATE(VLOOKUP(G$5,$G$1:$H$4,2,FALSE),$E25,1,1,1))</f>
        <v>0</v>
      </c>
      <c r="H25" s="127">
        <f>SUMIF('納品書明細16-E'!$C$9:$C$206,CONCATENATE(VLOOKUP(G$5,$G$1:$H$4,2,FALSE),$E25,1,1),'納品書明細16-E'!$Q$9:$Q$206)</f>
        <v>0</v>
      </c>
      <c r="I25" s="345"/>
      <c r="J25" s="122"/>
      <c r="K25" s="359"/>
      <c r="L25" s="345"/>
      <c r="M25" s="126">
        <f>COUNTIF('納品書明細16-E'!$D$9:$D$206,CONCATENATE(VLOOKUP(G$5,$G$1:$H$4,2,FALSE),$E25,9,1,1))</f>
        <v>0</v>
      </c>
      <c r="N25" s="434">
        <f>SUMIF('納品書明細16-E'!$C$9:$C$206,CONCATENATE(VLOOKUP(G$5,$G$1:$H$4,2,FALSE),$E25,9,1),'納品書明細16-E'!$Q$9:$Q$206)</f>
        <v>0</v>
      </c>
      <c r="O25" s="64"/>
      <c r="P25" s="133">
        <f>COUNTIF('納品書明細16-E'!$D$9:$D$206,CONCATENATE(VLOOKUP(P$5,$G$1:$H$4,2,FALSE),$E25,1,1,1))</f>
        <v>0</v>
      </c>
      <c r="Q25" s="161">
        <f>SUMIF('納品書明細16-E'!$C$9:$C$206,CONCATENATE(VLOOKUP(P$5,$G$1:$H$4,2,FALSE),$E25,1,1),'納品書明細16-E'!$Q$9:$Q$206)</f>
        <v>0</v>
      </c>
      <c r="R25" s="345"/>
      <c r="S25" s="122"/>
      <c r="T25" s="128"/>
      <c r="U25" s="345"/>
      <c r="V25" s="126">
        <f>COUNTIF('納品書明細16-E'!$D$9:$D$206,CONCATENATE(VLOOKUP(P$5,$G$1:$H$4,2,FALSE),$E25,9,1,1))</f>
        <v>0</v>
      </c>
      <c r="W25" s="433">
        <f>SUMIF('納品書明細16-E'!$C$9:$C$206,CONCATENATE(VLOOKUP(P$5,$G$1:$H$4,2,FALSE),$E25,9,1),'納品書明細16-E'!$Q$9:$Q$206)</f>
        <v>0</v>
      </c>
      <c r="X25" s="64"/>
      <c r="Y25" s="133">
        <f>COUNTIF('納品書明細16-E'!$D$9:$D$206,CONCATENATE(VLOOKUP(Y$5,$G$1:$H$4,2,FALSE),$E25,1,1,1))</f>
        <v>0</v>
      </c>
      <c r="Z25" s="161">
        <f>SUMIF('納品書明細16-E'!$C$9:$C$206,CONCATENATE(VLOOKUP(Y$5,$G$1:$H$4,2,FALSE),$E25,1,1),'納品書明細16-E'!$Q$9:$Q$206)</f>
        <v>0</v>
      </c>
      <c r="AA25" s="345"/>
      <c r="AB25" s="122"/>
      <c r="AC25" s="128"/>
      <c r="AD25" s="345"/>
      <c r="AE25" s="126">
        <f>COUNTIF('納品書明細16-E'!$D$9:$D$206,CONCATENATE(VLOOKUP(Y$5,$G$1:$H$4,2,FALSE),$E25,9,1,1))</f>
        <v>0</v>
      </c>
      <c r="AF25" s="433">
        <f>SUMIF('納品書明細16-E'!$C$9:$C$206,CONCATENATE(VLOOKUP(Y$5,$G$1:$H$4,2,FALSE),$E25,9,1),'納品書明細16-E'!$Q$9:$Q$206)</f>
        <v>0</v>
      </c>
    </row>
    <row r="26" spans="1:32">
      <c r="A26" s="474" t="str">
        <f>IF(SUMIFS($G26:$AF26,$G$8:$AF$8,"金額",$G26:$AF26,"&gt;0")-SUMIFS($G26:$AF26,$G$8:$AF$8,"金額",$G26:$AF26,"&lt;0")&lt;=0,"",MAX($A$8:$A25)+1)</f>
        <v/>
      </c>
      <c r="B26" s="802"/>
      <c r="C26" s="245" t="str">
        <f t="shared" si="0"/>
        <v>商品</v>
      </c>
      <c r="D26" s="245">
        <v>18</v>
      </c>
      <c r="E26" s="590" t="str">
        <f>IF($F26&lt;&gt;"",INDEX(ﾏｽﾀ!$D$8:$D$124,MATCH(INDEX(ﾏｽﾀ!$N$8:$N$124,MATCH($F26,ﾏｽﾀ!$O$8:$O$124,0)),ﾏｽﾀ!$B$8:$B$124,0))&amp;"","")</f>
        <v>55000</v>
      </c>
      <c r="F26" s="589" t="str">
        <f>ﾏｽﾀ!$R25&amp;""</f>
        <v>株式会社ティーケー・ホールディングス　/　SPチーム</v>
      </c>
      <c r="G26" s="133">
        <f>COUNTIF('納品書明細16-E'!$D$9:$D$206,CONCATENATE(VLOOKUP(G$5,$G$1:$H$4,2,FALSE),$E26,1,1,1))</f>
        <v>0</v>
      </c>
      <c r="H26" s="127">
        <f>SUMIF('納品書明細16-E'!$C$9:$C$206,CONCATENATE(VLOOKUP(G$5,$G$1:$H$4,2,FALSE),$E26,1,1),'納品書明細16-E'!$Q$9:$Q$206)</f>
        <v>0</v>
      </c>
      <c r="I26" s="345"/>
      <c r="J26" s="122"/>
      <c r="K26" s="359"/>
      <c r="L26" s="345"/>
      <c r="M26" s="126">
        <f>COUNTIF('納品書明細16-E'!$D$9:$D$206,CONCATENATE(VLOOKUP(G$5,$G$1:$H$4,2,FALSE),$E26,9,1,1))</f>
        <v>0</v>
      </c>
      <c r="N26" s="434">
        <f>SUMIF('納品書明細16-E'!$C$9:$C$206,CONCATENATE(VLOOKUP(G$5,$G$1:$H$4,2,FALSE),$E26,9,1),'納品書明細16-E'!$Q$9:$Q$206)</f>
        <v>0</v>
      </c>
      <c r="O26" s="64"/>
      <c r="P26" s="133">
        <f>COUNTIF('納品書明細16-E'!$D$9:$D$206,CONCATENATE(VLOOKUP(P$5,$G$1:$H$4,2,FALSE),$E26,1,1,1))</f>
        <v>0</v>
      </c>
      <c r="Q26" s="161">
        <f>SUMIF('納品書明細16-E'!$C$9:$C$206,CONCATENATE(VLOOKUP(P$5,$G$1:$H$4,2,FALSE),$E26,1,1),'納品書明細16-E'!$Q$9:$Q$206)</f>
        <v>0</v>
      </c>
      <c r="R26" s="345"/>
      <c r="S26" s="122"/>
      <c r="T26" s="128"/>
      <c r="U26" s="345"/>
      <c r="V26" s="126">
        <f>COUNTIF('納品書明細16-E'!$D$9:$D$206,CONCATENATE(VLOOKUP(P$5,$G$1:$H$4,2,FALSE),$E26,9,1,1))</f>
        <v>0</v>
      </c>
      <c r="W26" s="433">
        <f>SUMIF('納品書明細16-E'!$C$9:$C$206,CONCATENATE(VLOOKUP(P$5,$G$1:$H$4,2,FALSE),$E26,9,1),'納品書明細16-E'!$Q$9:$Q$206)</f>
        <v>0</v>
      </c>
      <c r="X26" s="64"/>
      <c r="Y26" s="133">
        <f>COUNTIF('納品書明細16-E'!$D$9:$D$206,CONCATENATE(VLOOKUP(Y$5,$G$1:$H$4,2,FALSE),$E26,1,1,1))</f>
        <v>0</v>
      </c>
      <c r="Z26" s="161">
        <f>SUMIF('納品書明細16-E'!$C$9:$C$206,CONCATENATE(VLOOKUP(Y$5,$G$1:$H$4,2,FALSE),$E26,1,1),'納品書明細16-E'!$Q$9:$Q$206)</f>
        <v>0</v>
      </c>
      <c r="AA26" s="345"/>
      <c r="AB26" s="122"/>
      <c r="AC26" s="128"/>
      <c r="AD26" s="345"/>
      <c r="AE26" s="126">
        <f>COUNTIF('納品書明細16-E'!$D$9:$D$206,CONCATENATE(VLOOKUP(Y$5,$G$1:$H$4,2,FALSE),$E26,9,1,1))</f>
        <v>0</v>
      </c>
      <c r="AF26" s="433">
        <f>SUMIF('納品書明細16-E'!$C$9:$C$206,CONCATENATE(VLOOKUP(Y$5,$G$1:$H$4,2,FALSE),$E26,9,1),'納品書明細16-E'!$Q$9:$Q$206)</f>
        <v>0</v>
      </c>
    </row>
    <row r="27" spans="1:32">
      <c r="A27" s="474" t="str">
        <f>IF(SUMIFS($G27:$AF27,$G$8:$AF$8,"金額",$G27:$AF27,"&gt;0")-SUMIFS($G27:$AF27,$G$8:$AF$8,"金額",$G27:$AF27,"&lt;0")&lt;=0,"",MAX($A$8:$A26)+1)</f>
        <v/>
      </c>
      <c r="B27" s="802"/>
      <c r="C27" s="245" t="str">
        <f t="shared" si="0"/>
        <v>商品</v>
      </c>
      <c r="D27" s="245">
        <v>19</v>
      </c>
      <c r="E27" s="590" t="str">
        <f>IF($F27&lt;&gt;"",INDEX(ﾏｽﾀ!$D$8:$D$124,MATCH(INDEX(ﾏｽﾀ!$N$8:$N$124,MATCH($F27,ﾏｽﾀ!$O$8:$O$124,0)),ﾏｽﾀ!$B$8:$B$124,0))&amp;"","")</f>
        <v>56000</v>
      </c>
      <c r="F27" s="589" t="str">
        <f>ﾏｽﾀ!$R26&amp;""</f>
        <v>株式会社ティーケー・ホールディングス　/　5000</v>
      </c>
      <c r="G27" s="133">
        <f>COUNTIF('納品書明細16-E'!$D$9:$D$206,CONCATENATE(VLOOKUP(G$5,$G$1:$H$4,2,FALSE),$E27,1,1,1))</f>
        <v>0</v>
      </c>
      <c r="H27" s="127">
        <f>SUMIF('納品書明細16-E'!$C$9:$C$206,CONCATENATE(VLOOKUP(G$5,$G$1:$H$4,2,FALSE),$E27,1,1),'納品書明細16-E'!$Q$9:$Q$206)</f>
        <v>0</v>
      </c>
      <c r="I27" s="345"/>
      <c r="J27" s="122"/>
      <c r="K27" s="359"/>
      <c r="L27" s="345"/>
      <c r="M27" s="126">
        <f>COUNTIF('納品書明細16-E'!$D$9:$D$206,CONCATENATE(VLOOKUP(G$5,$G$1:$H$4,2,FALSE),$E27,9,1,1))</f>
        <v>0</v>
      </c>
      <c r="N27" s="434">
        <f>SUMIF('納品書明細16-E'!$C$9:$C$206,CONCATENATE(VLOOKUP(G$5,$G$1:$H$4,2,FALSE),$E27,9,1),'納品書明細16-E'!$Q$9:$Q$206)</f>
        <v>0</v>
      </c>
      <c r="O27" s="64"/>
      <c r="P27" s="133">
        <f>COUNTIF('納品書明細16-E'!$D$9:$D$206,CONCATENATE(VLOOKUP(P$5,$G$1:$H$4,2,FALSE),$E27,1,1,1))</f>
        <v>0</v>
      </c>
      <c r="Q27" s="161">
        <f>SUMIF('納品書明細16-E'!$C$9:$C$206,CONCATENATE(VLOOKUP(P$5,$G$1:$H$4,2,FALSE),$E27,1,1),'納品書明細16-E'!$Q$9:$Q$206)</f>
        <v>0</v>
      </c>
      <c r="R27" s="345"/>
      <c r="S27" s="122"/>
      <c r="T27" s="128"/>
      <c r="U27" s="345"/>
      <c r="V27" s="126">
        <f>COUNTIF('納品書明細16-E'!$D$9:$D$206,CONCATENATE(VLOOKUP(P$5,$G$1:$H$4,2,FALSE),$E27,9,1,1))</f>
        <v>0</v>
      </c>
      <c r="W27" s="433">
        <f>SUMIF('納品書明細16-E'!$C$9:$C$206,CONCATENATE(VLOOKUP(P$5,$G$1:$H$4,2,FALSE),$E27,9,1),'納品書明細16-E'!$Q$9:$Q$206)</f>
        <v>0</v>
      </c>
      <c r="X27" s="64"/>
      <c r="Y27" s="133">
        <f>COUNTIF('納品書明細16-E'!$D$9:$D$206,CONCATENATE(VLOOKUP(Y$5,$G$1:$H$4,2,FALSE),$E27,1,1,1))</f>
        <v>0</v>
      </c>
      <c r="Z27" s="161">
        <f>SUMIF('納品書明細16-E'!$C$9:$C$206,CONCATENATE(VLOOKUP(Y$5,$G$1:$H$4,2,FALSE),$E27,1,1),'納品書明細16-E'!$Q$9:$Q$206)</f>
        <v>0</v>
      </c>
      <c r="AA27" s="345"/>
      <c r="AB27" s="122"/>
      <c r="AC27" s="128"/>
      <c r="AD27" s="345"/>
      <c r="AE27" s="126">
        <f>COUNTIF('納品書明細16-E'!$D$9:$D$206,CONCATENATE(VLOOKUP(Y$5,$G$1:$H$4,2,FALSE),$E27,9,1,1))</f>
        <v>0</v>
      </c>
      <c r="AF27" s="433">
        <f>SUMIF('納品書明細16-E'!$C$9:$C$206,CONCATENATE(VLOOKUP(Y$5,$G$1:$H$4,2,FALSE),$E27,9,1),'納品書明細16-E'!$Q$9:$Q$206)</f>
        <v>0</v>
      </c>
    </row>
    <row r="28" spans="1:32">
      <c r="A28" s="474" t="str">
        <f>IF(SUMIFS($G28:$AF28,$G$8:$AF$8,"金額",$G28:$AF28,"&gt;0")-SUMIFS($G28:$AF28,$G$8:$AF$8,"金額",$G28:$AF28,"&lt;0")&lt;=0,"",MAX($A$8:$A27)+1)</f>
        <v/>
      </c>
      <c r="B28" s="802"/>
      <c r="C28" s="245" t="str">
        <f t="shared" si="0"/>
        <v>商品</v>
      </c>
      <c r="D28" s="245">
        <v>20</v>
      </c>
      <c r="E28" s="590" t="str">
        <f>IF($F28&lt;&gt;"",INDEX(ﾏｽﾀ!$D$8:$D$124,MATCH(INDEX(ﾏｽﾀ!$N$8:$N$124,MATCH($F28,ﾏｽﾀ!$O$8:$O$124,0)),ﾏｽﾀ!$B$8:$B$124,0))&amp;"","")</f>
        <v>57000</v>
      </c>
      <c r="F28" s="589" t="str">
        <f>ﾏｽﾀ!$R27&amp;""</f>
        <v>株式会社ティーケーホールディングス/経費</v>
      </c>
      <c r="G28" s="133">
        <f>COUNTIF('納品書明細16-E'!$D$9:$D$206,CONCATENATE(VLOOKUP(G$5,$G$1:$H$4,2,FALSE),$E28,1,1,1))</f>
        <v>0</v>
      </c>
      <c r="H28" s="127">
        <f>SUMIF('納品書明細16-E'!$C$9:$C$206,CONCATENATE(VLOOKUP(G$5,$G$1:$H$4,2,FALSE),$E28,1,1),'納品書明細16-E'!$Q$9:$Q$206)</f>
        <v>0</v>
      </c>
      <c r="I28" s="345"/>
      <c r="J28" s="122"/>
      <c r="K28" s="359"/>
      <c r="L28" s="345"/>
      <c r="M28" s="126">
        <f>COUNTIF('納品書明細16-E'!$D$9:$D$206,CONCATENATE(VLOOKUP(G$5,$G$1:$H$4,2,FALSE),$E28,9,1,1))</f>
        <v>0</v>
      </c>
      <c r="N28" s="434">
        <f>SUMIF('納品書明細16-E'!$C$9:$C$206,CONCATENATE(VLOOKUP(G$5,$G$1:$H$4,2,FALSE),$E28,9,1),'納品書明細16-E'!$Q$9:$Q$206)</f>
        <v>0</v>
      </c>
      <c r="O28" s="64"/>
      <c r="P28" s="133">
        <f>COUNTIF('納品書明細16-E'!$D$9:$D$206,CONCATENATE(VLOOKUP(P$5,$G$1:$H$4,2,FALSE),$E28,1,1,1))</f>
        <v>0</v>
      </c>
      <c r="Q28" s="161">
        <f>SUMIF('納品書明細16-E'!$C$9:$C$206,CONCATENATE(VLOOKUP(P$5,$G$1:$H$4,2,FALSE),$E28,1,1),'納品書明細16-E'!$Q$9:$Q$206)</f>
        <v>0</v>
      </c>
      <c r="R28" s="345"/>
      <c r="S28" s="122"/>
      <c r="T28" s="128"/>
      <c r="U28" s="345"/>
      <c r="V28" s="126">
        <f>COUNTIF('納品書明細16-E'!$D$9:$D$206,CONCATENATE(VLOOKUP(P$5,$G$1:$H$4,2,FALSE),$E28,9,1,1))</f>
        <v>0</v>
      </c>
      <c r="W28" s="433">
        <f>SUMIF('納品書明細16-E'!$C$9:$C$206,CONCATENATE(VLOOKUP(P$5,$G$1:$H$4,2,FALSE),$E28,9,1),'納品書明細16-E'!$Q$9:$Q$206)</f>
        <v>0</v>
      </c>
      <c r="X28" s="64"/>
      <c r="Y28" s="133">
        <f>COUNTIF('納品書明細16-E'!$D$9:$D$206,CONCATENATE(VLOOKUP(Y$5,$G$1:$H$4,2,FALSE),$E28,1,1,1))</f>
        <v>0</v>
      </c>
      <c r="Z28" s="161">
        <f>SUMIF('納品書明細16-E'!$C$9:$C$206,CONCATENATE(VLOOKUP(Y$5,$G$1:$H$4,2,FALSE),$E28,1,1),'納品書明細16-E'!$Q$9:$Q$206)</f>
        <v>0</v>
      </c>
      <c r="AA28" s="345"/>
      <c r="AB28" s="122"/>
      <c r="AC28" s="128"/>
      <c r="AD28" s="345"/>
      <c r="AE28" s="126">
        <f>COUNTIF('納品書明細16-E'!$D$9:$D$206,CONCATENATE(VLOOKUP(Y$5,$G$1:$H$4,2,FALSE),$E28,9,1,1))</f>
        <v>0</v>
      </c>
      <c r="AF28" s="433">
        <f>SUMIF('納品書明細16-E'!$C$9:$C$206,CONCATENATE(VLOOKUP(Y$5,$G$1:$H$4,2,FALSE),$E28,9,1),'納品書明細16-E'!$Q$9:$Q$206)</f>
        <v>0</v>
      </c>
    </row>
    <row r="29" spans="1:32">
      <c r="A29" s="474" t="str">
        <f>IF(SUMIFS($G29:$AF29,$G$8:$AF$8,"金額",$G29:$AF29,"&gt;0")-SUMIFS($G29:$AF29,$G$8:$AF$8,"金額",$G29:$AF29,"&lt;0")&lt;=0,"",MAX($A$8:$A28)+1)</f>
        <v/>
      </c>
      <c r="B29" s="802"/>
      <c r="C29" s="245" t="str">
        <f t="shared" si="0"/>
        <v>商品</v>
      </c>
      <c r="D29" s="245">
        <v>21</v>
      </c>
      <c r="E29" s="590" t="str">
        <f>IF($F29&lt;&gt;"",INDEX(ﾏｽﾀ!$D$8:$D$124,MATCH(INDEX(ﾏｽﾀ!$N$8:$N$124,MATCH($F29,ﾏｽﾀ!$O$8:$O$124,0)),ﾏｽﾀ!$B$8:$B$124,0))&amp;"","")</f>
        <v>58000</v>
      </c>
      <c r="F29" s="589" t="str">
        <f>ﾏｽﾀ!$R28&amp;""</f>
        <v>バンダイビジュアル株式会社</v>
      </c>
      <c r="G29" s="133">
        <f>COUNTIF('納品書明細16-E'!$D$9:$D$206,CONCATENATE(VLOOKUP(G$5,$G$1:$H$4,2,FALSE),$E29,1,1,1))</f>
        <v>0</v>
      </c>
      <c r="H29" s="127">
        <f>SUMIF('納品書明細16-E'!$C$9:$C$206,CONCATENATE(VLOOKUP(G$5,$G$1:$H$4,2,FALSE),$E29,1,1),'納品書明細16-E'!$Q$9:$Q$206)</f>
        <v>0</v>
      </c>
      <c r="I29" s="345"/>
      <c r="J29" s="122"/>
      <c r="K29" s="359"/>
      <c r="L29" s="345"/>
      <c r="M29" s="126">
        <f>COUNTIF('納品書明細16-E'!$D$9:$D$206,CONCATENATE(VLOOKUP(G$5,$G$1:$H$4,2,FALSE),$E29,9,1,1))</f>
        <v>0</v>
      </c>
      <c r="N29" s="434">
        <f>SUMIF('納品書明細16-E'!$C$9:$C$206,CONCATENATE(VLOOKUP(G$5,$G$1:$H$4,2,FALSE),$E29,9,1),'納品書明細16-E'!$Q$9:$Q$206)</f>
        <v>0</v>
      </c>
      <c r="O29" s="64"/>
      <c r="P29" s="133">
        <f>COUNTIF('納品書明細16-E'!$D$9:$D$206,CONCATENATE(VLOOKUP(P$5,$G$1:$H$4,2,FALSE),$E29,1,1,1))</f>
        <v>0</v>
      </c>
      <c r="Q29" s="161">
        <f>SUMIF('納品書明細16-E'!$C$9:$C$206,CONCATENATE(VLOOKUP(P$5,$G$1:$H$4,2,FALSE),$E29,1,1),'納品書明細16-E'!$Q$9:$Q$206)</f>
        <v>0</v>
      </c>
      <c r="R29" s="345"/>
      <c r="S29" s="122"/>
      <c r="T29" s="128"/>
      <c r="U29" s="345"/>
      <c r="V29" s="126">
        <f>COUNTIF('納品書明細16-E'!$D$9:$D$206,CONCATENATE(VLOOKUP(P$5,$G$1:$H$4,2,FALSE),$E29,9,1,1))</f>
        <v>0</v>
      </c>
      <c r="W29" s="433">
        <f>SUMIF('納品書明細16-E'!$C$9:$C$206,CONCATENATE(VLOOKUP(P$5,$G$1:$H$4,2,FALSE),$E29,9,1),'納品書明細16-E'!$Q$9:$Q$206)</f>
        <v>0</v>
      </c>
      <c r="X29" s="64"/>
      <c r="Y29" s="133">
        <f>COUNTIF('納品書明細16-E'!$D$9:$D$206,CONCATENATE(VLOOKUP(Y$5,$G$1:$H$4,2,FALSE),$E29,1,1,1))</f>
        <v>0</v>
      </c>
      <c r="Z29" s="161">
        <f>SUMIF('納品書明細16-E'!$C$9:$C$206,CONCATENATE(VLOOKUP(Y$5,$G$1:$H$4,2,FALSE),$E29,1,1),'納品書明細16-E'!$Q$9:$Q$206)</f>
        <v>0</v>
      </c>
      <c r="AA29" s="345"/>
      <c r="AB29" s="122"/>
      <c r="AC29" s="128"/>
      <c r="AD29" s="345"/>
      <c r="AE29" s="126">
        <f>COUNTIF('納品書明細16-E'!$D$9:$D$206,CONCATENATE(VLOOKUP(Y$5,$G$1:$H$4,2,FALSE),$E29,9,1,1))</f>
        <v>0</v>
      </c>
      <c r="AF29" s="433">
        <f>SUMIF('納品書明細16-E'!$C$9:$C$206,CONCATENATE(VLOOKUP(Y$5,$G$1:$H$4,2,FALSE),$E29,9,1),'納品書明細16-E'!$Q$9:$Q$206)</f>
        <v>0</v>
      </c>
    </row>
    <row r="30" spans="1:32">
      <c r="A30" s="474" t="str">
        <f>IF(SUMIFS($G30:$AF30,$G$8:$AF$8,"金額",$G30:$AF30,"&gt;0")-SUMIFS($G30:$AF30,$G$8:$AF$8,"金額",$G30:$AF30,"&lt;0")&lt;=0,"",MAX($A$8:$A29)+1)</f>
        <v/>
      </c>
      <c r="B30" s="802"/>
      <c r="C30" s="245" t="str">
        <f t="shared" si="0"/>
        <v>商品</v>
      </c>
      <c r="D30" s="245">
        <v>22</v>
      </c>
      <c r="E30" s="590" t="str">
        <f>IF($F30&lt;&gt;"",INDEX(ﾏｽﾀ!$D$8:$D$124,MATCH(INDEX(ﾏｽﾀ!$N$8:$N$124,MATCH($F30,ﾏｽﾀ!$O$8:$O$124,0)),ﾏｽﾀ!$B$8:$B$124,0))&amp;"","")</f>
        <v>59000</v>
      </c>
      <c r="F30" s="589" t="str">
        <f>ﾏｽﾀ!$R29&amp;""</f>
        <v>株式会社フジトーイ</v>
      </c>
      <c r="G30" s="133">
        <f>COUNTIF('納品書明細16-E'!$D$9:$D$206,CONCATENATE(VLOOKUP(G$5,$G$1:$H$4,2,FALSE),$E30,1,1,1))</f>
        <v>0</v>
      </c>
      <c r="H30" s="127">
        <f>SUMIF('納品書明細16-E'!$C$9:$C$206,CONCATENATE(VLOOKUP(G$5,$G$1:$H$4,2,FALSE),$E30,1,1),'納品書明細16-E'!$Q$9:$Q$206)</f>
        <v>0</v>
      </c>
      <c r="I30" s="345"/>
      <c r="J30" s="122"/>
      <c r="K30" s="359"/>
      <c r="L30" s="345"/>
      <c r="M30" s="126">
        <f>COUNTIF('納品書明細16-E'!$D$9:$D$206,CONCATENATE(VLOOKUP(G$5,$G$1:$H$4,2,FALSE),$E30,9,1,1))</f>
        <v>0</v>
      </c>
      <c r="N30" s="434">
        <f>SUMIF('納品書明細16-E'!$C$9:$C$206,CONCATENATE(VLOOKUP(G$5,$G$1:$H$4,2,FALSE),$E30,9,1),'納品書明細16-E'!$Q$9:$Q$206)</f>
        <v>0</v>
      </c>
      <c r="O30" s="64"/>
      <c r="P30" s="133">
        <f>COUNTIF('納品書明細16-E'!$D$9:$D$206,CONCATENATE(VLOOKUP(P$5,$G$1:$H$4,2,FALSE),$E30,1,1,1))</f>
        <v>0</v>
      </c>
      <c r="Q30" s="161">
        <f>SUMIF('納品書明細16-E'!$C$9:$C$206,CONCATENATE(VLOOKUP(P$5,$G$1:$H$4,2,FALSE),$E30,1,1),'納品書明細16-E'!$Q$9:$Q$206)</f>
        <v>0</v>
      </c>
      <c r="R30" s="345"/>
      <c r="S30" s="122"/>
      <c r="T30" s="128"/>
      <c r="U30" s="345"/>
      <c r="V30" s="126">
        <f>COUNTIF('納品書明細16-E'!$D$9:$D$206,CONCATENATE(VLOOKUP(P$5,$G$1:$H$4,2,FALSE),$E30,9,1,1))</f>
        <v>0</v>
      </c>
      <c r="W30" s="433">
        <f>SUMIF('納品書明細16-E'!$C$9:$C$206,CONCATENATE(VLOOKUP(P$5,$G$1:$H$4,2,FALSE),$E30,9,1),'納品書明細16-E'!$Q$9:$Q$206)</f>
        <v>0</v>
      </c>
      <c r="X30" s="64"/>
      <c r="Y30" s="133">
        <f>COUNTIF('納品書明細16-E'!$D$9:$D$206,CONCATENATE(VLOOKUP(Y$5,$G$1:$H$4,2,FALSE),$E30,1,1,1))</f>
        <v>0</v>
      </c>
      <c r="Z30" s="161">
        <f>SUMIF('納品書明細16-E'!$C$9:$C$206,CONCATENATE(VLOOKUP(Y$5,$G$1:$H$4,2,FALSE),$E30,1,1),'納品書明細16-E'!$Q$9:$Q$206)</f>
        <v>0</v>
      </c>
      <c r="AA30" s="345"/>
      <c r="AB30" s="122"/>
      <c r="AC30" s="128"/>
      <c r="AD30" s="345"/>
      <c r="AE30" s="126">
        <f>COUNTIF('納品書明細16-E'!$D$9:$D$206,CONCATENATE(VLOOKUP(Y$5,$G$1:$H$4,2,FALSE),$E30,9,1,1))</f>
        <v>0</v>
      </c>
      <c r="AF30" s="433">
        <f>SUMIF('納品書明細16-E'!$C$9:$C$206,CONCATENATE(VLOOKUP(Y$5,$G$1:$H$4,2,FALSE),$E30,9,1),'納品書明細16-E'!$Q$9:$Q$206)</f>
        <v>0</v>
      </c>
    </row>
    <row r="31" spans="1:32">
      <c r="A31" s="474" t="str">
        <f>IF(SUMIFS($G31:$AF31,$G$8:$AF$8,"金額",$G31:$AF31,"&gt;0")-SUMIFS($G31:$AF31,$G$8:$AF$8,"金額",$G31:$AF31,"&lt;0")&lt;=0,"",MAX($A$8:$A30)+1)</f>
        <v/>
      </c>
      <c r="B31" s="802"/>
      <c r="C31" s="245" t="str">
        <f t="shared" si="0"/>
        <v>商品</v>
      </c>
      <c r="D31" s="245">
        <v>23</v>
      </c>
      <c r="E31" s="590" t="str">
        <f>IF($F31&lt;&gt;"",INDEX(ﾏｽﾀ!$D$8:$D$124,MATCH(INDEX(ﾏｽﾀ!$N$8:$N$124,MATCH($F31,ﾏｽﾀ!$O$8:$O$124,0)),ﾏｽﾀ!$B$8:$B$124,0))&amp;"","")</f>
        <v>60000</v>
      </c>
      <c r="F31" s="589" t="str">
        <f>ﾏｽﾀ!$R30&amp;""</f>
        <v>株式会社プレジャーキャスト</v>
      </c>
      <c r="G31" s="133">
        <f>COUNTIF('納品書明細16-E'!$D$9:$D$206,CONCATENATE(VLOOKUP(G$5,$G$1:$H$4,2,FALSE),$E31,1,1,1))</f>
        <v>0</v>
      </c>
      <c r="H31" s="127">
        <f>SUMIF('納品書明細16-E'!$C$9:$C$206,CONCATENATE(VLOOKUP(G$5,$G$1:$H$4,2,FALSE),$E31,1,1),'納品書明細16-E'!$Q$9:$Q$206)</f>
        <v>0</v>
      </c>
      <c r="I31" s="345"/>
      <c r="J31" s="122"/>
      <c r="K31" s="359"/>
      <c r="L31" s="345"/>
      <c r="M31" s="126">
        <f>COUNTIF('納品書明細16-E'!$D$9:$D$206,CONCATENATE(VLOOKUP(G$5,$G$1:$H$4,2,FALSE),$E31,9,1,1))</f>
        <v>0</v>
      </c>
      <c r="N31" s="434">
        <f>SUMIF('納品書明細16-E'!$C$9:$C$206,CONCATENATE(VLOOKUP(G$5,$G$1:$H$4,2,FALSE),$E31,9,1),'納品書明細16-E'!$Q$9:$Q$206)</f>
        <v>0</v>
      </c>
      <c r="O31" s="64"/>
      <c r="P31" s="133">
        <f>COUNTIF('納品書明細16-E'!$D$9:$D$206,CONCATENATE(VLOOKUP(P$5,$G$1:$H$4,2,FALSE),$E31,1,1,1))</f>
        <v>0</v>
      </c>
      <c r="Q31" s="161">
        <f>SUMIF('納品書明細16-E'!$C$9:$C$206,CONCATENATE(VLOOKUP(P$5,$G$1:$H$4,2,FALSE),$E31,1,1),'納品書明細16-E'!$Q$9:$Q$206)</f>
        <v>0</v>
      </c>
      <c r="R31" s="345"/>
      <c r="S31" s="122"/>
      <c r="T31" s="128"/>
      <c r="U31" s="345"/>
      <c r="V31" s="126">
        <f>COUNTIF('納品書明細16-E'!$D$9:$D$206,CONCATENATE(VLOOKUP(P$5,$G$1:$H$4,2,FALSE),$E31,9,1,1))</f>
        <v>0</v>
      </c>
      <c r="W31" s="433">
        <f>SUMIF('納品書明細16-E'!$C$9:$C$206,CONCATENATE(VLOOKUP(P$5,$G$1:$H$4,2,FALSE),$E31,9,1),'納品書明細16-E'!$Q$9:$Q$206)</f>
        <v>0</v>
      </c>
      <c r="X31" s="64"/>
      <c r="Y31" s="133">
        <f>COUNTIF('納品書明細16-E'!$D$9:$D$206,CONCATENATE(VLOOKUP(Y$5,$G$1:$H$4,2,FALSE),$E31,1,1,1))</f>
        <v>0</v>
      </c>
      <c r="Z31" s="161">
        <f>SUMIF('納品書明細16-E'!$C$9:$C$206,CONCATENATE(VLOOKUP(Y$5,$G$1:$H$4,2,FALSE),$E31,1,1),'納品書明細16-E'!$Q$9:$Q$206)</f>
        <v>0</v>
      </c>
      <c r="AA31" s="345"/>
      <c r="AB31" s="122"/>
      <c r="AC31" s="128"/>
      <c r="AD31" s="345"/>
      <c r="AE31" s="126">
        <f>COUNTIF('納品書明細16-E'!$D$9:$D$206,CONCATENATE(VLOOKUP(Y$5,$G$1:$H$4,2,FALSE),$E31,9,1,1))</f>
        <v>0</v>
      </c>
      <c r="AF31" s="433">
        <f>SUMIF('納品書明細16-E'!$C$9:$C$206,CONCATENATE(VLOOKUP(Y$5,$G$1:$H$4,2,FALSE),$E31,9,1),'納品書明細16-E'!$Q$9:$Q$206)</f>
        <v>0</v>
      </c>
    </row>
    <row r="32" spans="1:32">
      <c r="A32" s="474" t="str">
        <f>IF(SUMIFS($G32:$AF32,$G$8:$AF$8,"金額",$G32:$AF32,"&gt;0")-SUMIFS($G32:$AF32,$G$8:$AF$8,"金額",$G32:$AF32,"&lt;0")&lt;=0,"",MAX($A$8:$A31)+1)</f>
        <v/>
      </c>
      <c r="B32" s="802"/>
      <c r="C32" s="245" t="str">
        <f t="shared" si="0"/>
        <v>商品</v>
      </c>
      <c r="D32" s="245">
        <v>24</v>
      </c>
      <c r="E32" s="590" t="str">
        <f>IF($F32&lt;&gt;"",INDEX(ﾏｽﾀ!$D$8:$D$124,MATCH(INDEX(ﾏｽﾀ!$N$8:$N$124,MATCH($F32,ﾏｽﾀ!$O$8:$O$124,0)),ﾏｽﾀ!$B$8:$B$124,0))&amp;"","")</f>
        <v>61000</v>
      </c>
      <c r="F32" s="589" t="str">
        <f>ﾏｽﾀ!$R31&amp;""</f>
        <v>株式会社アスキー・メディアワークス</v>
      </c>
      <c r="G32" s="133">
        <f>COUNTIF('納品書明細16-E'!$D$9:$D$206,CONCATENATE(VLOOKUP(G$5,$G$1:$H$4,2,FALSE),$E32,1,1,1))</f>
        <v>0</v>
      </c>
      <c r="H32" s="127">
        <f>SUMIF('納品書明細16-E'!$C$9:$C$206,CONCATENATE(VLOOKUP(G$5,$G$1:$H$4,2,FALSE),$E32,1,1),'納品書明細16-E'!$Q$9:$Q$206)</f>
        <v>0</v>
      </c>
      <c r="I32" s="345"/>
      <c r="J32" s="122"/>
      <c r="K32" s="359"/>
      <c r="L32" s="345"/>
      <c r="M32" s="126">
        <f>COUNTIF('納品書明細16-E'!$D$9:$D$206,CONCATENATE(VLOOKUP(G$5,$G$1:$H$4,2,FALSE),$E32,9,1,1))</f>
        <v>0</v>
      </c>
      <c r="N32" s="434">
        <f>SUMIF('納品書明細16-E'!$C$9:$C$206,CONCATENATE(VLOOKUP(G$5,$G$1:$H$4,2,FALSE),$E32,9,1),'納品書明細16-E'!$Q$9:$Q$206)</f>
        <v>0</v>
      </c>
      <c r="O32" s="64"/>
      <c r="P32" s="133">
        <f>COUNTIF('納品書明細16-E'!$D$9:$D$206,CONCATENATE(VLOOKUP(P$5,$G$1:$H$4,2,FALSE),$E32,1,1,1))</f>
        <v>0</v>
      </c>
      <c r="Q32" s="161">
        <f>SUMIF('納品書明細16-E'!$C$9:$C$206,CONCATENATE(VLOOKUP(P$5,$G$1:$H$4,2,FALSE),$E32,1,1),'納品書明細16-E'!$Q$9:$Q$206)</f>
        <v>0</v>
      </c>
      <c r="R32" s="345"/>
      <c r="S32" s="122"/>
      <c r="T32" s="128"/>
      <c r="U32" s="345"/>
      <c r="V32" s="126">
        <f>COUNTIF('納品書明細16-E'!$D$9:$D$206,CONCATENATE(VLOOKUP(P$5,$G$1:$H$4,2,FALSE),$E32,9,1,1))</f>
        <v>0</v>
      </c>
      <c r="W32" s="433">
        <f>SUMIF('納品書明細16-E'!$C$9:$C$206,CONCATENATE(VLOOKUP(P$5,$G$1:$H$4,2,FALSE),$E32,9,1),'納品書明細16-E'!$Q$9:$Q$206)</f>
        <v>0</v>
      </c>
      <c r="X32" s="64"/>
      <c r="Y32" s="133">
        <f>COUNTIF('納品書明細16-E'!$D$9:$D$206,CONCATENATE(VLOOKUP(Y$5,$G$1:$H$4,2,FALSE),$E32,1,1,1))</f>
        <v>0</v>
      </c>
      <c r="Z32" s="161">
        <f>SUMIF('納品書明細16-E'!$C$9:$C$206,CONCATENATE(VLOOKUP(Y$5,$G$1:$H$4,2,FALSE),$E32,1,1),'納品書明細16-E'!$Q$9:$Q$206)</f>
        <v>0</v>
      </c>
      <c r="AA32" s="345"/>
      <c r="AB32" s="122"/>
      <c r="AC32" s="128"/>
      <c r="AD32" s="345"/>
      <c r="AE32" s="126">
        <f>COUNTIF('納品書明細16-E'!$D$9:$D$206,CONCATENATE(VLOOKUP(Y$5,$G$1:$H$4,2,FALSE),$E32,9,1,1))</f>
        <v>0</v>
      </c>
      <c r="AF32" s="433">
        <f>SUMIF('納品書明細16-E'!$C$9:$C$206,CONCATENATE(VLOOKUP(Y$5,$G$1:$H$4,2,FALSE),$E32,9,1),'納品書明細16-E'!$Q$9:$Q$206)</f>
        <v>0</v>
      </c>
    </row>
    <row r="33" spans="1:32">
      <c r="A33" s="474" t="str">
        <f>IF(SUMIFS($G33:$AF33,$G$8:$AF$8,"金額",$G33:$AF33,"&gt;0")-SUMIFS($G33:$AF33,$G$8:$AF$8,"金額",$G33:$AF33,"&lt;0")&lt;=0,"",MAX($A$8:$A32)+1)</f>
        <v/>
      </c>
      <c r="B33" s="802"/>
      <c r="C33" s="245" t="str">
        <f t="shared" si="0"/>
        <v>商品</v>
      </c>
      <c r="D33" s="245">
        <v>25</v>
      </c>
      <c r="E33" s="590" t="str">
        <f>IF($F33&lt;&gt;"",INDEX(ﾏｽﾀ!$D$8:$D$124,MATCH(INDEX(ﾏｽﾀ!$N$8:$N$124,MATCH($F33,ﾏｽﾀ!$O$8:$O$124,0)),ﾏｽﾀ!$B$8:$B$124,0))&amp;"","")</f>
        <v>62000</v>
      </c>
      <c r="F33" s="589" t="str">
        <f>ﾏｽﾀ!$R32&amp;""</f>
        <v>サミー株式会社</v>
      </c>
      <c r="G33" s="133">
        <f>COUNTIF('納品書明細16-E'!$D$9:$D$206,CONCATENATE(VLOOKUP(G$5,$G$1:$H$4,2,FALSE),$E33,1,1,1))</f>
        <v>0</v>
      </c>
      <c r="H33" s="127">
        <f>SUMIF('納品書明細16-E'!$C$9:$C$206,CONCATENATE(VLOOKUP(G$5,$G$1:$H$4,2,FALSE),$E33,1,1),'納品書明細16-E'!$Q$9:$Q$206)</f>
        <v>0</v>
      </c>
      <c r="I33" s="345"/>
      <c r="J33" s="122"/>
      <c r="K33" s="359"/>
      <c r="L33" s="345"/>
      <c r="M33" s="126">
        <f>COUNTIF('納品書明細16-E'!$D$9:$D$206,CONCATENATE(VLOOKUP(G$5,$G$1:$H$4,2,FALSE),$E33,9,1,1))</f>
        <v>0</v>
      </c>
      <c r="N33" s="434">
        <f>SUMIF('納品書明細16-E'!$C$9:$C$206,CONCATENATE(VLOOKUP(G$5,$G$1:$H$4,2,FALSE),$E33,9,1),'納品書明細16-E'!$Q$9:$Q$206)</f>
        <v>0</v>
      </c>
      <c r="O33" s="64"/>
      <c r="P33" s="133">
        <f>COUNTIF('納品書明細16-E'!$D$9:$D$206,CONCATENATE(VLOOKUP(P$5,$G$1:$H$4,2,FALSE),$E33,1,1,1))</f>
        <v>0</v>
      </c>
      <c r="Q33" s="161">
        <f>SUMIF('納品書明細16-E'!$C$9:$C$206,CONCATENATE(VLOOKUP(P$5,$G$1:$H$4,2,FALSE),$E33,1,1),'納品書明細16-E'!$Q$9:$Q$206)</f>
        <v>0</v>
      </c>
      <c r="R33" s="345"/>
      <c r="S33" s="122"/>
      <c r="T33" s="128"/>
      <c r="U33" s="345"/>
      <c r="V33" s="126">
        <f>COUNTIF('納品書明細16-E'!$D$9:$D$206,CONCATENATE(VLOOKUP(P$5,$G$1:$H$4,2,FALSE),$E33,9,1,1))</f>
        <v>0</v>
      </c>
      <c r="W33" s="433">
        <f>SUMIF('納品書明細16-E'!$C$9:$C$206,CONCATENATE(VLOOKUP(P$5,$G$1:$H$4,2,FALSE),$E33,9,1),'納品書明細16-E'!$Q$9:$Q$206)</f>
        <v>0</v>
      </c>
      <c r="X33" s="64"/>
      <c r="Y33" s="133">
        <f>COUNTIF('納品書明細16-E'!$D$9:$D$206,CONCATENATE(VLOOKUP(Y$5,$G$1:$H$4,2,FALSE),$E33,1,1,1))</f>
        <v>0</v>
      </c>
      <c r="Z33" s="161">
        <f>SUMIF('納品書明細16-E'!$C$9:$C$206,CONCATENATE(VLOOKUP(Y$5,$G$1:$H$4,2,FALSE),$E33,1,1),'納品書明細16-E'!$Q$9:$Q$206)</f>
        <v>0</v>
      </c>
      <c r="AA33" s="345"/>
      <c r="AB33" s="122"/>
      <c r="AC33" s="128"/>
      <c r="AD33" s="345"/>
      <c r="AE33" s="126">
        <f>COUNTIF('納品書明細16-E'!$D$9:$D$206,CONCATENATE(VLOOKUP(Y$5,$G$1:$H$4,2,FALSE),$E33,9,1,1))</f>
        <v>0</v>
      </c>
      <c r="AF33" s="433">
        <f>SUMIF('納品書明細16-E'!$C$9:$C$206,CONCATENATE(VLOOKUP(Y$5,$G$1:$H$4,2,FALSE),$E33,9,1),'納品書明細16-E'!$Q$9:$Q$206)</f>
        <v>0</v>
      </c>
    </row>
    <row r="34" spans="1:32">
      <c r="A34" s="474" t="str">
        <f>IF(SUMIFS($G34:$AF34,$G$8:$AF$8,"金額",$G34:$AF34,"&gt;0")-SUMIFS($G34:$AF34,$G$8:$AF$8,"金額",$G34:$AF34,"&lt;0")&lt;=0,"",MAX($A$8:$A33)+1)</f>
        <v/>
      </c>
      <c r="B34" s="802"/>
      <c r="C34" s="245" t="str">
        <f t="shared" si="0"/>
        <v>商品</v>
      </c>
      <c r="D34" s="245">
        <v>26</v>
      </c>
      <c r="E34" s="590" t="str">
        <f>IF($F34&lt;&gt;"",INDEX(ﾏｽﾀ!$D$8:$D$124,MATCH(INDEX(ﾏｽﾀ!$N$8:$N$124,MATCH($F34,ﾏｽﾀ!$O$8:$O$124,0)),ﾏｽﾀ!$B$8:$B$124,0))&amp;"","")</f>
        <v>63000</v>
      </c>
      <c r="F34" s="589" t="str">
        <f>ﾏｽﾀ!$R33&amp;""</f>
        <v>ボークス株式会社</v>
      </c>
      <c r="G34" s="133">
        <f>COUNTIF('納品書明細16-E'!$D$9:$D$206,CONCATENATE(VLOOKUP(G$5,$G$1:$H$4,2,FALSE),$E34,1,1,1))</f>
        <v>0</v>
      </c>
      <c r="H34" s="127">
        <f>SUMIF('納品書明細16-E'!$C$9:$C$206,CONCATENATE(VLOOKUP(G$5,$G$1:$H$4,2,FALSE),$E34,1,1),'納品書明細16-E'!$Q$9:$Q$206)</f>
        <v>0</v>
      </c>
      <c r="I34" s="345"/>
      <c r="J34" s="122"/>
      <c r="K34" s="359"/>
      <c r="L34" s="345"/>
      <c r="M34" s="126">
        <f>COUNTIF('納品書明細16-E'!$D$9:$D$206,CONCATENATE(VLOOKUP(G$5,$G$1:$H$4,2,FALSE),$E34,9,1,1))</f>
        <v>0</v>
      </c>
      <c r="N34" s="434">
        <f>SUMIF('納品書明細16-E'!$C$9:$C$206,CONCATENATE(VLOOKUP(G$5,$G$1:$H$4,2,FALSE),$E34,9,1),'納品書明細16-E'!$Q$9:$Q$206)</f>
        <v>0</v>
      </c>
      <c r="O34" s="64"/>
      <c r="P34" s="133">
        <f>COUNTIF('納品書明細16-E'!$D$9:$D$206,CONCATENATE(VLOOKUP(P$5,$G$1:$H$4,2,FALSE),$E34,1,1,1))</f>
        <v>0</v>
      </c>
      <c r="Q34" s="161">
        <f>SUMIF('納品書明細16-E'!$C$9:$C$206,CONCATENATE(VLOOKUP(P$5,$G$1:$H$4,2,FALSE),$E34,1,1),'納品書明細16-E'!$Q$9:$Q$206)</f>
        <v>0</v>
      </c>
      <c r="R34" s="345"/>
      <c r="S34" s="122"/>
      <c r="T34" s="128"/>
      <c r="U34" s="345"/>
      <c r="V34" s="126">
        <f>COUNTIF('納品書明細16-E'!$D$9:$D$206,CONCATENATE(VLOOKUP(P$5,$G$1:$H$4,2,FALSE),$E34,9,1,1))</f>
        <v>0</v>
      </c>
      <c r="W34" s="433">
        <f>SUMIF('納品書明細16-E'!$C$9:$C$206,CONCATENATE(VLOOKUP(P$5,$G$1:$H$4,2,FALSE),$E34,9,1),'納品書明細16-E'!$Q$9:$Q$206)</f>
        <v>0</v>
      </c>
      <c r="X34" s="64"/>
      <c r="Y34" s="133">
        <f>COUNTIF('納品書明細16-E'!$D$9:$D$206,CONCATENATE(VLOOKUP(Y$5,$G$1:$H$4,2,FALSE),$E34,1,1,1))</f>
        <v>0</v>
      </c>
      <c r="Z34" s="161">
        <f>SUMIF('納品書明細16-E'!$C$9:$C$206,CONCATENATE(VLOOKUP(Y$5,$G$1:$H$4,2,FALSE),$E34,1,1),'納品書明細16-E'!$Q$9:$Q$206)</f>
        <v>0</v>
      </c>
      <c r="AA34" s="345"/>
      <c r="AB34" s="122"/>
      <c r="AC34" s="128"/>
      <c r="AD34" s="345"/>
      <c r="AE34" s="126">
        <f>COUNTIF('納品書明細16-E'!$D$9:$D$206,CONCATENATE(VLOOKUP(Y$5,$G$1:$H$4,2,FALSE),$E34,9,1,1))</f>
        <v>0</v>
      </c>
      <c r="AF34" s="433">
        <f>SUMIF('納品書明細16-E'!$C$9:$C$206,CONCATENATE(VLOOKUP(Y$5,$G$1:$H$4,2,FALSE),$E34,9,1),'納品書明細16-E'!$Q$9:$Q$206)</f>
        <v>0</v>
      </c>
    </row>
    <row r="35" spans="1:32">
      <c r="A35" s="474" t="str">
        <f>IF(SUMIFS($G35:$AF35,$G$8:$AF$8,"金額",$G35:$AF35,"&gt;0")-SUMIFS($G35:$AF35,$G$8:$AF$8,"金額",$G35:$AF35,"&lt;0")&lt;=0,"",MAX($A$8:$A34)+1)</f>
        <v/>
      </c>
      <c r="B35" s="802"/>
      <c r="C35" s="245" t="str">
        <f t="shared" si="0"/>
        <v>商品</v>
      </c>
      <c r="D35" s="245">
        <v>27</v>
      </c>
      <c r="E35" s="590" t="str">
        <f>IF($F35&lt;&gt;"",INDEX(ﾏｽﾀ!$D$8:$D$124,MATCH(INDEX(ﾏｽﾀ!$N$8:$N$124,MATCH($F35,ﾏｽﾀ!$O$8:$O$124,0)),ﾏｽﾀ!$B$8:$B$124,0))&amp;"","")</f>
        <v>64000</v>
      </c>
      <c r="F35" s="589" t="str">
        <f>ﾏｽﾀ!$R34&amp;""</f>
        <v>株式会社シービーエー</v>
      </c>
      <c r="G35" s="133">
        <f>COUNTIF('納品書明細16-E'!$D$9:$D$206,CONCATENATE(VLOOKUP(G$5,$G$1:$H$4,2,FALSE),$E35,1,1,1))</f>
        <v>0</v>
      </c>
      <c r="H35" s="127">
        <f>SUMIF('納品書明細16-E'!$C$9:$C$206,CONCATENATE(VLOOKUP(G$5,$G$1:$H$4,2,FALSE),$E35,1,1),'納品書明細16-E'!$Q$9:$Q$206)</f>
        <v>0</v>
      </c>
      <c r="I35" s="345"/>
      <c r="J35" s="122"/>
      <c r="K35" s="359"/>
      <c r="L35" s="345"/>
      <c r="M35" s="126">
        <f>COUNTIF('納品書明細16-E'!$D$9:$D$206,CONCATENATE(VLOOKUP(G$5,$G$1:$H$4,2,FALSE),$E35,9,1,1))</f>
        <v>0</v>
      </c>
      <c r="N35" s="434">
        <f>SUMIF('納品書明細16-E'!$C$9:$C$206,CONCATENATE(VLOOKUP(G$5,$G$1:$H$4,2,FALSE),$E35,9,1),'納品書明細16-E'!$Q$9:$Q$206)</f>
        <v>0</v>
      </c>
      <c r="O35" s="64"/>
      <c r="P35" s="133">
        <f>COUNTIF('納品書明細16-E'!$D$9:$D$206,CONCATENATE(VLOOKUP(P$5,$G$1:$H$4,2,FALSE),$E35,1,1,1))</f>
        <v>0</v>
      </c>
      <c r="Q35" s="161">
        <f>SUMIF('納品書明細16-E'!$C$9:$C$206,CONCATENATE(VLOOKUP(P$5,$G$1:$H$4,2,FALSE),$E35,1,1),'納品書明細16-E'!$Q$9:$Q$206)</f>
        <v>0</v>
      </c>
      <c r="R35" s="345"/>
      <c r="S35" s="122"/>
      <c r="T35" s="128"/>
      <c r="U35" s="345"/>
      <c r="V35" s="126">
        <f>COUNTIF('納品書明細16-E'!$D$9:$D$206,CONCATENATE(VLOOKUP(P$5,$G$1:$H$4,2,FALSE),$E35,9,1,1))</f>
        <v>0</v>
      </c>
      <c r="W35" s="433">
        <f>SUMIF('納品書明細16-E'!$C$9:$C$206,CONCATENATE(VLOOKUP(P$5,$G$1:$H$4,2,FALSE),$E35,9,1),'納品書明細16-E'!$Q$9:$Q$206)</f>
        <v>0</v>
      </c>
      <c r="X35" s="64"/>
      <c r="Y35" s="133">
        <f>COUNTIF('納品書明細16-E'!$D$9:$D$206,CONCATENATE(VLOOKUP(Y$5,$G$1:$H$4,2,FALSE),$E35,1,1,1))</f>
        <v>0</v>
      </c>
      <c r="Z35" s="161">
        <f>SUMIF('納品書明細16-E'!$C$9:$C$206,CONCATENATE(VLOOKUP(Y$5,$G$1:$H$4,2,FALSE),$E35,1,1),'納品書明細16-E'!$Q$9:$Q$206)</f>
        <v>0</v>
      </c>
      <c r="AA35" s="345"/>
      <c r="AB35" s="122"/>
      <c r="AC35" s="128"/>
      <c r="AD35" s="345"/>
      <c r="AE35" s="126">
        <f>COUNTIF('納品書明細16-E'!$D$9:$D$206,CONCATENATE(VLOOKUP(Y$5,$G$1:$H$4,2,FALSE),$E35,9,1,1))</f>
        <v>0</v>
      </c>
      <c r="AF35" s="433">
        <f>SUMIF('納品書明細16-E'!$C$9:$C$206,CONCATENATE(VLOOKUP(Y$5,$G$1:$H$4,2,FALSE),$E35,9,1),'納品書明細16-E'!$Q$9:$Q$206)</f>
        <v>0</v>
      </c>
    </row>
    <row r="36" spans="1:32">
      <c r="A36" s="474" t="str">
        <f>IF(SUMIFS($G36:$AF36,$G$8:$AF$8,"金額",$G36:$AF36,"&gt;0")-SUMIFS($G36:$AF36,$G$8:$AF$8,"金額",$G36:$AF36,"&lt;0")&lt;=0,"",MAX($A$8:$A35)+1)</f>
        <v/>
      </c>
      <c r="B36" s="802"/>
      <c r="C36" s="245" t="str">
        <f t="shared" si="0"/>
        <v>商品</v>
      </c>
      <c r="D36" s="245">
        <v>28</v>
      </c>
      <c r="E36" s="590" t="str">
        <f>IF($F36&lt;&gt;"",INDEX(ﾏｽﾀ!$D$8:$D$124,MATCH(INDEX(ﾏｽﾀ!$N$8:$N$124,MATCH($F36,ﾏｽﾀ!$O$8:$O$124,0)),ﾏｽﾀ!$B$8:$B$124,0))&amp;"","")</f>
        <v>65000</v>
      </c>
      <c r="F36" s="589" t="str">
        <f>ﾏｽﾀ!$R35&amp;""</f>
        <v>石川玩具株式会社</v>
      </c>
      <c r="G36" s="133">
        <f>COUNTIF('納品書明細16-E'!$D$9:$D$206,CONCATENATE(VLOOKUP(G$5,$G$1:$H$4,2,FALSE),$E36,1,1,1))</f>
        <v>0</v>
      </c>
      <c r="H36" s="127">
        <f>SUMIF('納品書明細16-E'!$C$9:$C$206,CONCATENATE(VLOOKUP(G$5,$G$1:$H$4,2,FALSE),$E36,1,1),'納品書明細16-E'!$Q$9:$Q$206)</f>
        <v>0</v>
      </c>
      <c r="I36" s="345"/>
      <c r="J36" s="122"/>
      <c r="K36" s="359"/>
      <c r="L36" s="345"/>
      <c r="M36" s="126">
        <f>COUNTIF('納品書明細16-E'!$D$9:$D$206,CONCATENATE(VLOOKUP(G$5,$G$1:$H$4,2,FALSE),$E36,9,1,1))</f>
        <v>0</v>
      </c>
      <c r="N36" s="434">
        <f>SUMIF('納品書明細16-E'!$C$9:$C$206,CONCATENATE(VLOOKUP(G$5,$G$1:$H$4,2,FALSE),$E36,9,1),'納品書明細16-E'!$Q$9:$Q$206)</f>
        <v>0</v>
      </c>
      <c r="O36" s="64"/>
      <c r="P36" s="133">
        <f>COUNTIF('納品書明細16-E'!$D$9:$D$206,CONCATENATE(VLOOKUP(P$5,$G$1:$H$4,2,FALSE),$E36,1,1,1))</f>
        <v>0</v>
      </c>
      <c r="Q36" s="161">
        <f>SUMIF('納品書明細16-E'!$C$9:$C$206,CONCATENATE(VLOOKUP(P$5,$G$1:$H$4,2,FALSE),$E36,1,1),'納品書明細16-E'!$Q$9:$Q$206)</f>
        <v>0</v>
      </c>
      <c r="R36" s="345"/>
      <c r="S36" s="122"/>
      <c r="T36" s="128"/>
      <c r="U36" s="345"/>
      <c r="V36" s="126">
        <f>COUNTIF('納品書明細16-E'!$D$9:$D$206,CONCATENATE(VLOOKUP(P$5,$G$1:$H$4,2,FALSE),$E36,9,1,1))</f>
        <v>0</v>
      </c>
      <c r="W36" s="433">
        <f>SUMIF('納品書明細16-E'!$C$9:$C$206,CONCATENATE(VLOOKUP(P$5,$G$1:$H$4,2,FALSE),$E36,9,1),'納品書明細16-E'!$Q$9:$Q$206)</f>
        <v>0</v>
      </c>
      <c r="X36" s="64"/>
      <c r="Y36" s="133">
        <f>COUNTIF('納品書明細16-E'!$D$9:$D$206,CONCATENATE(VLOOKUP(Y$5,$G$1:$H$4,2,FALSE),$E36,1,1,1))</f>
        <v>0</v>
      </c>
      <c r="Z36" s="161">
        <f>SUMIF('納品書明細16-E'!$C$9:$C$206,CONCATENATE(VLOOKUP(Y$5,$G$1:$H$4,2,FALSE),$E36,1,1),'納品書明細16-E'!$Q$9:$Q$206)</f>
        <v>0</v>
      </c>
      <c r="AA36" s="345"/>
      <c r="AB36" s="122"/>
      <c r="AC36" s="128"/>
      <c r="AD36" s="345"/>
      <c r="AE36" s="126">
        <f>COUNTIF('納品書明細16-E'!$D$9:$D$206,CONCATENATE(VLOOKUP(Y$5,$G$1:$H$4,2,FALSE),$E36,9,1,1))</f>
        <v>0</v>
      </c>
      <c r="AF36" s="433">
        <f>SUMIF('納品書明細16-E'!$C$9:$C$206,CONCATENATE(VLOOKUP(Y$5,$G$1:$H$4,2,FALSE),$E36,9,1),'納品書明細16-E'!$Q$9:$Q$206)</f>
        <v>0</v>
      </c>
    </row>
    <row r="37" spans="1:32">
      <c r="A37" s="474" t="str">
        <f>IF(SUMIFS($G37:$AF37,$G$8:$AF$8,"金額",$G37:$AF37,"&gt;0")-SUMIFS($G37:$AF37,$G$8:$AF$8,"金額",$G37:$AF37,"&lt;0")&lt;=0,"",MAX($A$8:$A36)+1)</f>
        <v/>
      </c>
      <c r="B37" s="802"/>
      <c r="C37" s="245" t="str">
        <f t="shared" si="0"/>
        <v>商品</v>
      </c>
      <c r="D37" s="245">
        <v>29</v>
      </c>
      <c r="E37" s="590" t="str">
        <f>IF($F37&lt;&gt;"",INDEX(ﾏｽﾀ!$D$8:$D$124,MATCH(INDEX(ﾏｽﾀ!$N$8:$N$124,MATCH($F37,ﾏｽﾀ!$O$8:$O$124,0)),ﾏｽﾀ!$B$8:$B$124,0))&amp;"","")</f>
        <v>66000</v>
      </c>
      <c r="F37" s="589" t="str">
        <f>ﾏｽﾀ!$R36&amp;""</f>
        <v>日本食材株式会社</v>
      </c>
      <c r="G37" s="133">
        <f>COUNTIF('納品書明細16-E'!$D$9:$D$206,CONCATENATE(VLOOKUP(G$5,$G$1:$H$4,2,FALSE),$E37,1,1,1))</f>
        <v>0</v>
      </c>
      <c r="H37" s="127">
        <f>SUMIF('納品書明細16-E'!$C$9:$C$206,CONCATENATE(VLOOKUP(G$5,$G$1:$H$4,2,FALSE),$E37,1,1),'納品書明細16-E'!$Q$9:$Q$206)</f>
        <v>0</v>
      </c>
      <c r="I37" s="345"/>
      <c r="J37" s="122"/>
      <c r="K37" s="359"/>
      <c r="L37" s="345"/>
      <c r="M37" s="126">
        <f>COUNTIF('納品書明細16-E'!$D$9:$D$206,CONCATENATE(VLOOKUP(G$5,$G$1:$H$4,2,FALSE),$E37,9,1,1))</f>
        <v>0</v>
      </c>
      <c r="N37" s="434">
        <f>SUMIF('納品書明細16-E'!$C$9:$C$206,CONCATENATE(VLOOKUP(G$5,$G$1:$H$4,2,FALSE),$E37,9,1),'納品書明細16-E'!$Q$9:$Q$206)</f>
        <v>0</v>
      </c>
      <c r="O37" s="64"/>
      <c r="P37" s="133">
        <f>COUNTIF('納品書明細16-E'!$D$9:$D$206,CONCATENATE(VLOOKUP(P$5,$G$1:$H$4,2,FALSE),$E37,1,1,1))</f>
        <v>0</v>
      </c>
      <c r="Q37" s="161">
        <f>SUMIF('納品書明細16-E'!$C$9:$C$206,CONCATENATE(VLOOKUP(P$5,$G$1:$H$4,2,FALSE),$E37,1,1),'納品書明細16-E'!$Q$9:$Q$206)</f>
        <v>0</v>
      </c>
      <c r="R37" s="345"/>
      <c r="S37" s="122"/>
      <c r="T37" s="128"/>
      <c r="U37" s="345"/>
      <c r="V37" s="126">
        <f>COUNTIF('納品書明細16-E'!$D$9:$D$206,CONCATENATE(VLOOKUP(P$5,$G$1:$H$4,2,FALSE),$E37,9,1,1))</f>
        <v>0</v>
      </c>
      <c r="W37" s="433">
        <f>SUMIF('納品書明細16-E'!$C$9:$C$206,CONCATENATE(VLOOKUP(P$5,$G$1:$H$4,2,FALSE),$E37,9,1),'納品書明細16-E'!$Q$9:$Q$206)</f>
        <v>0</v>
      </c>
      <c r="X37" s="64"/>
      <c r="Y37" s="133">
        <f>COUNTIF('納品書明細16-E'!$D$9:$D$206,CONCATENATE(VLOOKUP(Y$5,$G$1:$H$4,2,FALSE),$E37,1,1,1))</f>
        <v>0</v>
      </c>
      <c r="Z37" s="161">
        <f>SUMIF('納品書明細16-E'!$C$9:$C$206,CONCATENATE(VLOOKUP(Y$5,$G$1:$H$4,2,FALSE),$E37,1,1),'納品書明細16-E'!$Q$9:$Q$206)</f>
        <v>0</v>
      </c>
      <c r="AA37" s="345"/>
      <c r="AB37" s="122"/>
      <c r="AC37" s="128"/>
      <c r="AD37" s="345"/>
      <c r="AE37" s="126">
        <f>COUNTIF('納品書明細16-E'!$D$9:$D$206,CONCATENATE(VLOOKUP(Y$5,$G$1:$H$4,2,FALSE),$E37,9,1,1))</f>
        <v>0</v>
      </c>
      <c r="AF37" s="433">
        <f>SUMIF('納品書明細16-E'!$C$9:$C$206,CONCATENATE(VLOOKUP(Y$5,$G$1:$H$4,2,FALSE),$E37,9,1),'納品書明細16-E'!$Q$9:$Q$206)</f>
        <v>0</v>
      </c>
    </row>
    <row r="38" spans="1:32">
      <c r="A38" s="474" t="str">
        <f>IF(SUMIFS($G38:$AF38,$G$8:$AF$8,"金額",$G38:$AF38,"&gt;0")-SUMIFS($G38:$AF38,$G$8:$AF$8,"金額",$G38:$AF38,"&lt;0")&lt;=0,"",MAX($A$8:$A37)+1)</f>
        <v/>
      </c>
      <c r="B38" s="802"/>
      <c r="C38" s="245" t="str">
        <f t="shared" si="0"/>
        <v>商品</v>
      </c>
      <c r="D38" s="245">
        <v>30</v>
      </c>
      <c r="E38" s="590" t="str">
        <f>IF($F38&lt;&gt;"",INDEX(ﾏｽﾀ!$D$8:$D$124,MATCH(INDEX(ﾏｽﾀ!$N$8:$N$124,MATCH($F38,ﾏｽﾀ!$O$8:$O$124,0)),ﾏｽﾀ!$B$8:$B$124,0))&amp;"","")</f>
        <v>67000</v>
      </c>
      <c r="F38" s="589" t="str">
        <f>ﾏｽﾀ!$R37&amp;""</f>
        <v>加藤製菓株式会社</v>
      </c>
      <c r="G38" s="133">
        <f>COUNTIF('納品書明細16-E'!$D$9:$D$206,CONCATENATE(VLOOKUP(G$5,$G$1:$H$4,2,FALSE),$E38,1,1,1))</f>
        <v>0</v>
      </c>
      <c r="H38" s="127">
        <f>SUMIF('納品書明細16-E'!$C$9:$C$206,CONCATENATE(VLOOKUP(G$5,$G$1:$H$4,2,FALSE),$E38,1,1),'納品書明細16-E'!$Q$9:$Q$206)</f>
        <v>0</v>
      </c>
      <c r="I38" s="345"/>
      <c r="J38" s="122"/>
      <c r="K38" s="359"/>
      <c r="L38" s="345"/>
      <c r="M38" s="126">
        <f>COUNTIF('納品書明細16-E'!$D$9:$D$206,CONCATENATE(VLOOKUP(G$5,$G$1:$H$4,2,FALSE),$E38,9,1,1))</f>
        <v>0</v>
      </c>
      <c r="N38" s="434">
        <f>SUMIF('納品書明細16-E'!$C$9:$C$206,CONCATENATE(VLOOKUP(G$5,$G$1:$H$4,2,FALSE),$E38,9,1),'納品書明細16-E'!$Q$9:$Q$206)</f>
        <v>0</v>
      </c>
      <c r="O38" s="64"/>
      <c r="P38" s="133">
        <f>COUNTIF('納品書明細16-E'!$D$9:$D$206,CONCATENATE(VLOOKUP(P$5,$G$1:$H$4,2,FALSE),$E38,1,1,1))</f>
        <v>0</v>
      </c>
      <c r="Q38" s="161">
        <f>SUMIF('納品書明細16-E'!$C$9:$C$206,CONCATENATE(VLOOKUP(P$5,$G$1:$H$4,2,FALSE),$E38,1,1),'納品書明細16-E'!$Q$9:$Q$206)</f>
        <v>0</v>
      </c>
      <c r="R38" s="345"/>
      <c r="S38" s="122"/>
      <c r="T38" s="128"/>
      <c r="U38" s="345"/>
      <c r="V38" s="126">
        <f>COUNTIF('納品書明細16-E'!$D$9:$D$206,CONCATENATE(VLOOKUP(P$5,$G$1:$H$4,2,FALSE),$E38,9,1,1))</f>
        <v>0</v>
      </c>
      <c r="W38" s="433">
        <f>SUMIF('納品書明細16-E'!$C$9:$C$206,CONCATENATE(VLOOKUP(P$5,$G$1:$H$4,2,FALSE),$E38,9,1),'納品書明細16-E'!$Q$9:$Q$206)</f>
        <v>0</v>
      </c>
      <c r="X38" s="64"/>
      <c r="Y38" s="133">
        <f>COUNTIF('納品書明細16-E'!$D$9:$D$206,CONCATENATE(VLOOKUP(Y$5,$G$1:$H$4,2,FALSE),$E38,1,1,1))</f>
        <v>0</v>
      </c>
      <c r="Z38" s="161">
        <f>SUMIF('納品書明細16-E'!$C$9:$C$206,CONCATENATE(VLOOKUP(Y$5,$G$1:$H$4,2,FALSE),$E38,1,1),'納品書明細16-E'!$Q$9:$Q$206)</f>
        <v>0</v>
      </c>
      <c r="AA38" s="345"/>
      <c r="AB38" s="122"/>
      <c r="AC38" s="128"/>
      <c r="AD38" s="345"/>
      <c r="AE38" s="126">
        <f>COUNTIF('納品書明細16-E'!$D$9:$D$206,CONCATENATE(VLOOKUP(Y$5,$G$1:$H$4,2,FALSE),$E38,9,1,1))</f>
        <v>0</v>
      </c>
      <c r="AF38" s="433">
        <f>SUMIF('納品書明細16-E'!$C$9:$C$206,CONCATENATE(VLOOKUP(Y$5,$G$1:$H$4,2,FALSE),$E38,9,1),'納品書明細16-E'!$Q$9:$Q$206)</f>
        <v>0</v>
      </c>
    </row>
    <row r="39" spans="1:32">
      <c r="A39" s="474" t="str">
        <f>IF(SUMIFS($G39:$AF39,$G$8:$AF$8,"金額",$G39:$AF39,"&gt;0")-SUMIFS($G39:$AF39,$G$8:$AF$8,"金額",$G39:$AF39,"&lt;0")&lt;=0,"",MAX($A$8:$A38)+1)</f>
        <v/>
      </c>
      <c r="B39" s="802"/>
      <c r="C39" s="245" t="str">
        <f t="shared" si="0"/>
        <v>商品</v>
      </c>
      <c r="D39" s="245">
        <v>31</v>
      </c>
      <c r="E39" s="590" t="str">
        <f>IF($F39&lt;&gt;"",INDEX(ﾏｽﾀ!$D$8:$D$124,MATCH(INDEX(ﾏｽﾀ!$N$8:$N$124,MATCH($F39,ﾏｽﾀ!$O$8:$O$124,0)),ﾏｽﾀ!$B$8:$B$124,0))&amp;"","")</f>
        <v>68000</v>
      </c>
      <c r="F39" s="589" t="str">
        <f>ﾏｽﾀ!$R38&amp;""</f>
        <v>株式会社サンライズ</v>
      </c>
      <c r="G39" s="133">
        <f>COUNTIF('納品書明細16-E'!$D$9:$D$206,CONCATENATE(VLOOKUP(G$5,$G$1:$H$4,2,FALSE),$E39,1,1,1))</f>
        <v>0</v>
      </c>
      <c r="H39" s="127">
        <f>SUMIF('納品書明細16-E'!$C$9:$C$206,CONCATENATE(VLOOKUP(G$5,$G$1:$H$4,2,FALSE),$E39,1,1),'納品書明細16-E'!$Q$9:$Q$206)</f>
        <v>0</v>
      </c>
      <c r="I39" s="345"/>
      <c r="J39" s="122"/>
      <c r="K39" s="359"/>
      <c r="L39" s="345"/>
      <c r="M39" s="126">
        <f>COUNTIF('納品書明細16-E'!$D$9:$D$206,CONCATENATE(VLOOKUP(G$5,$G$1:$H$4,2,FALSE),$E39,9,1,1))</f>
        <v>0</v>
      </c>
      <c r="N39" s="434">
        <f>SUMIF('納品書明細16-E'!$C$9:$C$206,CONCATENATE(VLOOKUP(G$5,$G$1:$H$4,2,FALSE),$E39,9,1),'納品書明細16-E'!$Q$9:$Q$206)</f>
        <v>0</v>
      </c>
      <c r="O39" s="64"/>
      <c r="P39" s="133">
        <f>COUNTIF('納品書明細16-E'!$D$9:$D$206,CONCATENATE(VLOOKUP(P$5,$G$1:$H$4,2,FALSE),$E39,1,1,1))</f>
        <v>0</v>
      </c>
      <c r="Q39" s="161">
        <f>SUMIF('納品書明細16-E'!$C$9:$C$206,CONCATENATE(VLOOKUP(P$5,$G$1:$H$4,2,FALSE),$E39,1,1),'納品書明細16-E'!$Q$9:$Q$206)</f>
        <v>0</v>
      </c>
      <c r="R39" s="345"/>
      <c r="S39" s="122"/>
      <c r="T39" s="128"/>
      <c r="U39" s="345"/>
      <c r="V39" s="126">
        <f>COUNTIF('納品書明細16-E'!$D$9:$D$206,CONCATENATE(VLOOKUP(P$5,$G$1:$H$4,2,FALSE),$E39,9,1,1))</f>
        <v>0</v>
      </c>
      <c r="W39" s="433">
        <f>SUMIF('納品書明細16-E'!$C$9:$C$206,CONCATENATE(VLOOKUP(P$5,$G$1:$H$4,2,FALSE),$E39,9,1),'納品書明細16-E'!$Q$9:$Q$206)</f>
        <v>0</v>
      </c>
      <c r="X39" s="64"/>
      <c r="Y39" s="133">
        <f>COUNTIF('納品書明細16-E'!$D$9:$D$206,CONCATENATE(VLOOKUP(Y$5,$G$1:$H$4,2,FALSE),$E39,1,1,1))</f>
        <v>0</v>
      </c>
      <c r="Z39" s="161">
        <f>SUMIF('納品書明細16-E'!$C$9:$C$206,CONCATENATE(VLOOKUP(Y$5,$G$1:$H$4,2,FALSE),$E39,1,1),'納品書明細16-E'!$Q$9:$Q$206)</f>
        <v>0</v>
      </c>
      <c r="AA39" s="345"/>
      <c r="AB39" s="122"/>
      <c r="AC39" s="128"/>
      <c r="AD39" s="345"/>
      <c r="AE39" s="126">
        <f>COUNTIF('納品書明細16-E'!$D$9:$D$206,CONCATENATE(VLOOKUP(Y$5,$G$1:$H$4,2,FALSE),$E39,9,1,1))</f>
        <v>0</v>
      </c>
      <c r="AF39" s="433">
        <f>SUMIF('納品書明細16-E'!$C$9:$C$206,CONCATENATE(VLOOKUP(Y$5,$G$1:$H$4,2,FALSE),$E39,9,1),'納品書明細16-E'!$Q$9:$Q$206)</f>
        <v>0</v>
      </c>
    </row>
    <row r="40" spans="1:32">
      <c r="A40" s="474">
        <f>IF(SUMIFS($G40:$AF40,$G$8:$AF$8,"金額",$G40:$AF40,"&gt;0")-SUMIFS($G40:$AF40,$G$8:$AF$8,"金額",$G40:$AF40,"&lt;0")&lt;=0,"",MAX($A$8:$A39)+1)</f>
        <v>2</v>
      </c>
      <c r="B40" s="802"/>
      <c r="C40" s="245" t="str">
        <f t="shared" si="0"/>
        <v>商品2</v>
      </c>
      <c r="D40" s="245">
        <v>32</v>
      </c>
      <c r="E40" s="590" t="str">
        <f>IF($F40&lt;&gt;"",INDEX(ﾏｽﾀ!$D$8:$D$124,MATCH(INDEX(ﾏｽﾀ!$N$8:$N$124,MATCH($F40,ﾏｽﾀ!$O$8:$O$124,0)),ﾏｽﾀ!$B$8:$B$124,0))&amp;"","")</f>
        <v>69000</v>
      </c>
      <c r="F40" s="589" t="str">
        <f>ﾏｽﾀ!$R39&amp;""</f>
        <v>株式会社ナムコ</v>
      </c>
      <c r="G40" s="133">
        <f>COUNTIF('納品書明細16-E'!$D$9:$D$206,CONCATENATE(VLOOKUP(G$5,$G$1:$H$4,2,FALSE),$E40,1,1,1))</f>
        <v>0</v>
      </c>
      <c r="H40" s="127">
        <f>SUMIF('納品書明細16-E'!$C$9:$C$206,CONCATENATE(VLOOKUP(G$5,$G$1:$H$4,2,FALSE),$E40,1,1),'納品書明細16-E'!$Q$9:$Q$206)</f>
        <v>0</v>
      </c>
      <c r="I40" s="345"/>
      <c r="J40" s="122"/>
      <c r="K40" s="359"/>
      <c r="L40" s="345"/>
      <c r="M40" s="126">
        <f>COUNTIF('納品書明細16-E'!$D$9:$D$206,CONCATENATE(VLOOKUP(G$5,$G$1:$H$4,2,FALSE),$E40,9,1,1))</f>
        <v>0</v>
      </c>
      <c r="N40" s="434">
        <f>SUMIF('納品書明細16-E'!$C$9:$C$206,CONCATENATE(VLOOKUP(G$5,$G$1:$H$4,2,FALSE),$E40,9,1),'納品書明細16-E'!$Q$9:$Q$206)</f>
        <v>0</v>
      </c>
      <c r="O40" s="64"/>
      <c r="P40" s="133">
        <f>COUNTIF('納品書明細16-E'!$D$9:$D$206,CONCATENATE(VLOOKUP(P$5,$G$1:$H$4,2,FALSE),$E40,1,1,1))</f>
        <v>1</v>
      </c>
      <c r="Q40" s="161">
        <f>SUMIF('納品書明細16-E'!$C$9:$C$206,CONCATENATE(VLOOKUP(P$5,$G$1:$H$4,2,FALSE),$E40,1,1),'納品書明細16-E'!$Q$9:$Q$206)</f>
        <v>204210.21</v>
      </c>
      <c r="R40" s="345"/>
      <c r="S40" s="122"/>
      <c r="T40" s="128"/>
      <c r="U40" s="345"/>
      <c r="V40" s="126">
        <f>COUNTIF('納品書明細16-E'!$D$9:$D$206,CONCATENATE(VLOOKUP(P$5,$G$1:$H$4,2,FALSE),$E40,9,1,1))</f>
        <v>0</v>
      </c>
      <c r="W40" s="433">
        <f>SUMIF('納品書明細16-E'!$C$9:$C$206,CONCATENATE(VLOOKUP(P$5,$G$1:$H$4,2,FALSE),$E40,9,1),'納品書明細16-E'!$Q$9:$Q$206)</f>
        <v>0</v>
      </c>
      <c r="X40" s="64"/>
      <c r="Y40" s="133">
        <f>COUNTIF('納品書明細16-E'!$D$9:$D$206,CONCATENATE(VLOOKUP(Y$5,$G$1:$H$4,2,FALSE),$E40,1,1,1))</f>
        <v>0</v>
      </c>
      <c r="Z40" s="161">
        <f>SUMIF('納品書明細16-E'!$C$9:$C$206,CONCATENATE(VLOOKUP(Y$5,$G$1:$H$4,2,FALSE),$E40,1,1),'納品書明細16-E'!$Q$9:$Q$206)</f>
        <v>0</v>
      </c>
      <c r="AA40" s="345"/>
      <c r="AB40" s="122"/>
      <c r="AC40" s="128"/>
      <c r="AD40" s="345"/>
      <c r="AE40" s="126">
        <f>COUNTIF('納品書明細16-E'!$D$9:$D$206,CONCATENATE(VLOOKUP(Y$5,$G$1:$H$4,2,FALSE),$E40,9,1,1))</f>
        <v>0</v>
      </c>
      <c r="AF40" s="433">
        <f>SUMIF('納品書明細16-E'!$C$9:$C$206,CONCATENATE(VLOOKUP(Y$5,$G$1:$H$4,2,FALSE),$E40,9,1),'納品書明細16-E'!$Q$9:$Q$206)</f>
        <v>0</v>
      </c>
    </row>
    <row r="41" spans="1:32">
      <c r="A41" s="474" t="str">
        <f>IF(SUMIFS($G41:$AF41,$G$8:$AF$8,"金額",$G41:$AF41,"&gt;0")-SUMIFS($G41:$AF41,$G$8:$AF$8,"金額",$G41:$AF41,"&lt;0")&lt;=0,"",MAX($A$8:$A40)+1)</f>
        <v/>
      </c>
      <c r="B41" s="802"/>
      <c r="C41" s="245" t="str">
        <f t="shared" ref="C41:C72" si="1">CONCATENATE("商品",$A41)</f>
        <v>商品</v>
      </c>
      <c r="D41" s="245">
        <v>33</v>
      </c>
      <c r="E41" s="590" t="str">
        <f>IF($F41&lt;&gt;"",INDEX(ﾏｽﾀ!$D$8:$D$124,MATCH(INDEX(ﾏｽﾀ!$N$8:$N$124,MATCH($F41,ﾏｽﾀ!$O$8:$O$124,0)),ﾏｽﾀ!$B$8:$B$124,0))&amp;"","")</f>
        <v>70000</v>
      </c>
      <c r="F41" s="589" t="str">
        <f>ﾏｽﾀ!$R40&amp;""</f>
        <v>株式会社ウィンウィンスタイル</v>
      </c>
      <c r="G41" s="133">
        <f>COUNTIF('納品書明細16-E'!$D$9:$D$206,CONCATENATE(VLOOKUP(G$5,$G$1:$H$4,2,FALSE),$E41,1,1,1))</f>
        <v>0</v>
      </c>
      <c r="H41" s="127">
        <f>SUMIF('納品書明細16-E'!$C$9:$C$206,CONCATENATE(VLOOKUP(G$5,$G$1:$H$4,2,FALSE),$E41,1,1),'納品書明細16-E'!$Q$9:$Q$206)</f>
        <v>0</v>
      </c>
      <c r="I41" s="345"/>
      <c r="J41" s="122"/>
      <c r="K41" s="359"/>
      <c r="L41" s="345"/>
      <c r="M41" s="126">
        <f>COUNTIF('納品書明細16-E'!$D$9:$D$206,CONCATENATE(VLOOKUP(G$5,$G$1:$H$4,2,FALSE),$E41,9,1,1))</f>
        <v>0</v>
      </c>
      <c r="N41" s="434">
        <f>SUMIF('納品書明細16-E'!$C$9:$C$206,CONCATENATE(VLOOKUP(G$5,$G$1:$H$4,2,FALSE),$E41,9,1),'納品書明細16-E'!$Q$9:$Q$206)</f>
        <v>0</v>
      </c>
      <c r="O41" s="64"/>
      <c r="P41" s="133">
        <f>COUNTIF('納品書明細16-E'!$D$9:$D$206,CONCATENATE(VLOOKUP(P$5,$G$1:$H$4,2,FALSE),$E41,1,1,1))</f>
        <v>0</v>
      </c>
      <c r="Q41" s="161">
        <f>SUMIF('納品書明細16-E'!$C$9:$C$206,CONCATENATE(VLOOKUP(P$5,$G$1:$H$4,2,FALSE),$E41,1,1),'納品書明細16-E'!$Q$9:$Q$206)</f>
        <v>0</v>
      </c>
      <c r="R41" s="345"/>
      <c r="S41" s="122"/>
      <c r="T41" s="128"/>
      <c r="U41" s="345"/>
      <c r="V41" s="126">
        <f>COUNTIF('納品書明細16-E'!$D$9:$D$206,CONCATENATE(VLOOKUP(P$5,$G$1:$H$4,2,FALSE),$E41,9,1,1))</f>
        <v>0</v>
      </c>
      <c r="W41" s="433">
        <f>SUMIF('納品書明細16-E'!$C$9:$C$206,CONCATENATE(VLOOKUP(P$5,$G$1:$H$4,2,FALSE),$E41,9,1),'納品書明細16-E'!$Q$9:$Q$206)</f>
        <v>0</v>
      </c>
      <c r="X41" s="64"/>
      <c r="Y41" s="133">
        <f>COUNTIF('納品書明細16-E'!$D$9:$D$206,CONCATENATE(VLOOKUP(Y$5,$G$1:$H$4,2,FALSE),$E41,1,1,1))</f>
        <v>0</v>
      </c>
      <c r="Z41" s="161">
        <f>SUMIF('納品書明細16-E'!$C$9:$C$206,CONCATENATE(VLOOKUP(Y$5,$G$1:$H$4,2,FALSE),$E41,1,1),'納品書明細16-E'!$Q$9:$Q$206)</f>
        <v>0</v>
      </c>
      <c r="AA41" s="345"/>
      <c r="AB41" s="122"/>
      <c r="AC41" s="128"/>
      <c r="AD41" s="345"/>
      <c r="AE41" s="126">
        <f>COUNTIF('納品書明細16-E'!$D$9:$D$206,CONCATENATE(VLOOKUP(Y$5,$G$1:$H$4,2,FALSE),$E41,9,1,1))</f>
        <v>0</v>
      </c>
      <c r="AF41" s="433">
        <f>SUMIF('納品書明細16-E'!$C$9:$C$206,CONCATENATE(VLOOKUP(Y$5,$G$1:$H$4,2,FALSE),$E41,9,1),'納品書明細16-E'!$Q$9:$Q$206)</f>
        <v>0</v>
      </c>
    </row>
    <row r="42" spans="1:32">
      <c r="A42" s="474" t="str">
        <f>IF(SUMIFS($G42:$AF42,$G$8:$AF$8,"金額",$G42:$AF42,"&gt;0")-SUMIFS($G42:$AF42,$G$8:$AF$8,"金額",$G42:$AF42,"&lt;0")&lt;=0,"",MAX($A$8:$A41)+1)</f>
        <v/>
      </c>
      <c r="B42" s="802"/>
      <c r="C42" s="245" t="str">
        <f t="shared" si="1"/>
        <v>商品</v>
      </c>
      <c r="D42" s="245">
        <v>34</v>
      </c>
      <c r="E42" s="590" t="str">
        <f>IF($F42&lt;&gt;"",INDEX(ﾏｽﾀ!$D$8:$D$124,MATCH(INDEX(ﾏｽﾀ!$N$8:$N$124,MATCH($F42,ﾏｽﾀ!$O$8:$O$124,0)),ﾏｽﾀ!$B$8:$B$124,0))&amp;"","")</f>
        <v>71000</v>
      </c>
      <c r="F42" s="589" t="str">
        <f>ﾏｽﾀ!$R41&amp;""</f>
        <v>プラネックスコミュニケーションズ株式会社</v>
      </c>
      <c r="G42" s="133">
        <f>COUNTIF('納品書明細16-E'!$D$9:$D$206,CONCATENATE(VLOOKUP(G$5,$G$1:$H$4,2,FALSE),$E42,1,1,1))</f>
        <v>0</v>
      </c>
      <c r="H42" s="127">
        <f>SUMIF('納品書明細16-E'!$C$9:$C$206,CONCATENATE(VLOOKUP(G$5,$G$1:$H$4,2,FALSE),$E42,1,1),'納品書明細16-E'!$Q$9:$Q$206)</f>
        <v>0</v>
      </c>
      <c r="I42" s="345"/>
      <c r="J42" s="122"/>
      <c r="K42" s="359"/>
      <c r="L42" s="345"/>
      <c r="M42" s="126">
        <f>COUNTIF('納品書明細16-E'!$D$9:$D$206,CONCATENATE(VLOOKUP(G$5,$G$1:$H$4,2,FALSE),$E42,9,1,1))</f>
        <v>0</v>
      </c>
      <c r="N42" s="434">
        <f>SUMIF('納品書明細16-E'!$C$9:$C$206,CONCATENATE(VLOOKUP(G$5,$G$1:$H$4,2,FALSE),$E42,9,1),'納品書明細16-E'!$Q$9:$Q$206)</f>
        <v>0</v>
      </c>
      <c r="O42" s="64"/>
      <c r="P42" s="133">
        <f>COUNTIF('納品書明細16-E'!$D$9:$D$206,CONCATENATE(VLOOKUP(P$5,$G$1:$H$4,2,FALSE),$E42,1,1,1))</f>
        <v>0</v>
      </c>
      <c r="Q42" s="161">
        <f>SUMIF('納品書明細16-E'!$C$9:$C$206,CONCATENATE(VLOOKUP(P$5,$G$1:$H$4,2,FALSE),$E42,1,1),'納品書明細16-E'!$Q$9:$Q$206)</f>
        <v>0</v>
      </c>
      <c r="R42" s="345"/>
      <c r="S42" s="122"/>
      <c r="T42" s="128"/>
      <c r="U42" s="345"/>
      <c r="V42" s="126">
        <f>COUNTIF('納品書明細16-E'!$D$9:$D$206,CONCATENATE(VLOOKUP(P$5,$G$1:$H$4,2,FALSE),$E42,9,1,1))</f>
        <v>0</v>
      </c>
      <c r="W42" s="433">
        <f>SUMIF('納品書明細16-E'!$C$9:$C$206,CONCATENATE(VLOOKUP(P$5,$G$1:$H$4,2,FALSE),$E42,9,1),'納品書明細16-E'!$Q$9:$Q$206)</f>
        <v>0</v>
      </c>
      <c r="X42" s="64"/>
      <c r="Y42" s="133">
        <f>COUNTIF('納品書明細16-E'!$D$9:$D$206,CONCATENATE(VLOOKUP(Y$5,$G$1:$H$4,2,FALSE),$E42,1,1,1))</f>
        <v>0</v>
      </c>
      <c r="Z42" s="161">
        <f>SUMIF('納品書明細16-E'!$C$9:$C$206,CONCATENATE(VLOOKUP(Y$5,$G$1:$H$4,2,FALSE),$E42,1,1),'納品書明細16-E'!$Q$9:$Q$206)</f>
        <v>0</v>
      </c>
      <c r="AA42" s="345"/>
      <c r="AB42" s="122"/>
      <c r="AC42" s="128"/>
      <c r="AD42" s="345"/>
      <c r="AE42" s="126">
        <f>COUNTIF('納品書明細16-E'!$D$9:$D$206,CONCATENATE(VLOOKUP(Y$5,$G$1:$H$4,2,FALSE),$E42,9,1,1))</f>
        <v>0</v>
      </c>
      <c r="AF42" s="433">
        <f>SUMIF('納品書明細16-E'!$C$9:$C$206,CONCATENATE(VLOOKUP(Y$5,$G$1:$H$4,2,FALSE),$E42,9,1),'納品書明細16-E'!$Q$9:$Q$206)</f>
        <v>0</v>
      </c>
    </row>
    <row r="43" spans="1:32">
      <c r="A43" s="474" t="str">
        <f>IF(SUMIFS($G43:$AF43,$G$8:$AF$8,"金額",$G43:$AF43,"&gt;0")-SUMIFS($G43:$AF43,$G$8:$AF$8,"金額",$G43:$AF43,"&lt;0")&lt;=0,"",MAX($A$8:$A42)+1)</f>
        <v/>
      </c>
      <c r="B43" s="802"/>
      <c r="C43" s="245" t="str">
        <f t="shared" si="1"/>
        <v>商品</v>
      </c>
      <c r="D43" s="245">
        <v>35</v>
      </c>
      <c r="E43" s="590" t="str">
        <f>IF($F43&lt;&gt;"",INDEX(ﾏｽﾀ!$D$8:$D$124,MATCH(INDEX(ﾏｽﾀ!$N$8:$N$124,MATCH($F43,ﾏｽﾀ!$O$8:$O$124,0)),ﾏｽﾀ!$B$8:$B$124,0))&amp;"","")</f>
        <v>72000</v>
      </c>
      <c r="F43" s="589" t="str">
        <f>ﾏｽﾀ!$R42&amp;""</f>
        <v>株式会社ダイワトーイ</v>
      </c>
      <c r="G43" s="133">
        <f>COUNTIF('納品書明細16-E'!$D$9:$D$206,CONCATENATE(VLOOKUP(G$5,$G$1:$H$4,2,FALSE),$E43,1,1,1))</f>
        <v>0</v>
      </c>
      <c r="H43" s="127">
        <f>SUMIF('納品書明細16-E'!$C$9:$C$206,CONCATENATE(VLOOKUP(G$5,$G$1:$H$4,2,FALSE),$E43,1,1),'納品書明細16-E'!$Q$9:$Q$206)</f>
        <v>0</v>
      </c>
      <c r="I43" s="345"/>
      <c r="J43" s="122"/>
      <c r="K43" s="359"/>
      <c r="L43" s="345"/>
      <c r="M43" s="126">
        <f>COUNTIF('納品書明細16-E'!$D$9:$D$206,CONCATENATE(VLOOKUP(G$5,$G$1:$H$4,2,FALSE),$E43,9,1,1))</f>
        <v>0</v>
      </c>
      <c r="N43" s="434">
        <f>SUMIF('納品書明細16-E'!$C$9:$C$206,CONCATENATE(VLOOKUP(G$5,$G$1:$H$4,2,FALSE),$E43,9,1),'納品書明細16-E'!$Q$9:$Q$206)</f>
        <v>0</v>
      </c>
      <c r="O43" s="64"/>
      <c r="P43" s="133">
        <f>COUNTIF('納品書明細16-E'!$D$9:$D$206,CONCATENATE(VLOOKUP(P$5,$G$1:$H$4,2,FALSE),$E43,1,1,1))</f>
        <v>0</v>
      </c>
      <c r="Q43" s="161">
        <f>SUMIF('納品書明細16-E'!$C$9:$C$206,CONCATENATE(VLOOKUP(P$5,$G$1:$H$4,2,FALSE),$E43,1,1),'納品書明細16-E'!$Q$9:$Q$206)</f>
        <v>0</v>
      </c>
      <c r="R43" s="345"/>
      <c r="S43" s="122"/>
      <c r="T43" s="128"/>
      <c r="U43" s="345"/>
      <c r="V43" s="126">
        <f>COUNTIF('納品書明細16-E'!$D$9:$D$206,CONCATENATE(VLOOKUP(P$5,$G$1:$H$4,2,FALSE),$E43,9,1,1))</f>
        <v>0</v>
      </c>
      <c r="W43" s="433">
        <f>SUMIF('納品書明細16-E'!$C$9:$C$206,CONCATENATE(VLOOKUP(P$5,$G$1:$H$4,2,FALSE),$E43,9,1),'納品書明細16-E'!$Q$9:$Q$206)</f>
        <v>0</v>
      </c>
      <c r="X43" s="64"/>
      <c r="Y43" s="133">
        <f>COUNTIF('納品書明細16-E'!$D$9:$D$206,CONCATENATE(VLOOKUP(Y$5,$G$1:$H$4,2,FALSE),$E43,1,1,1))</f>
        <v>0</v>
      </c>
      <c r="Z43" s="161">
        <f>SUMIF('納品書明細16-E'!$C$9:$C$206,CONCATENATE(VLOOKUP(Y$5,$G$1:$H$4,2,FALSE),$E43,1,1),'納品書明細16-E'!$Q$9:$Q$206)</f>
        <v>0</v>
      </c>
      <c r="AA43" s="345"/>
      <c r="AB43" s="122"/>
      <c r="AC43" s="128"/>
      <c r="AD43" s="345"/>
      <c r="AE43" s="126">
        <f>COUNTIF('納品書明細16-E'!$D$9:$D$206,CONCATENATE(VLOOKUP(Y$5,$G$1:$H$4,2,FALSE),$E43,9,1,1))</f>
        <v>0</v>
      </c>
      <c r="AF43" s="433">
        <f>SUMIF('納品書明細16-E'!$C$9:$C$206,CONCATENATE(VLOOKUP(Y$5,$G$1:$H$4,2,FALSE),$E43,9,1),'納品書明細16-E'!$Q$9:$Q$206)</f>
        <v>0</v>
      </c>
    </row>
    <row r="44" spans="1:32">
      <c r="A44" s="474" t="str">
        <f>IF(SUMIFS($G44:$AF44,$G$8:$AF$8,"金額",$G44:$AF44,"&gt;0")-SUMIFS($G44:$AF44,$G$8:$AF$8,"金額",$G44:$AF44,"&lt;0")&lt;=0,"",MAX($A$8:$A43)+1)</f>
        <v/>
      </c>
      <c r="B44" s="802"/>
      <c r="C44" s="245" t="str">
        <f t="shared" si="1"/>
        <v>商品</v>
      </c>
      <c r="D44" s="245">
        <v>36</v>
      </c>
      <c r="E44" s="590" t="str">
        <f>IF($F44&lt;&gt;"",INDEX(ﾏｽﾀ!$D$8:$D$124,MATCH(INDEX(ﾏｽﾀ!$N$8:$N$124,MATCH($F44,ﾏｽﾀ!$O$8:$O$124,0)),ﾏｽﾀ!$B$8:$B$124,0))&amp;"","")</f>
        <v>73000</v>
      </c>
      <c r="F44" s="589" t="str">
        <f>ﾏｽﾀ!$R43&amp;""</f>
        <v>株式会社プレックス</v>
      </c>
      <c r="G44" s="133">
        <f>COUNTIF('納品書明細16-E'!$D$9:$D$206,CONCATENATE(VLOOKUP(G$5,$G$1:$H$4,2,FALSE),$E44,1,1,1))</f>
        <v>0</v>
      </c>
      <c r="H44" s="127">
        <f>SUMIF('納品書明細16-E'!$C$9:$C$206,CONCATENATE(VLOOKUP(G$5,$G$1:$H$4,2,FALSE),$E44,1,1),'納品書明細16-E'!$Q$9:$Q$206)</f>
        <v>0</v>
      </c>
      <c r="I44" s="345"/>
      <c r="J44" s="122"/>
      <c r="K44" s="359"/>
      <c r="L44" s="345"/>
      <c r="M44" s="126">
        <f>COUNTIF('納品書明細16-E'!$D$9:$D$206,CONCATENATE(VLOOKUP(G$5,$G$1:$H$4,2,FALSE),$E44,9,1,1))</f>
        <v>0</v>
      </c>
      <c r="N44" s="434">
        <f>SUMIF('納品書明細16-E'!$C$9:$C$206,CONCATENATE(VLOOKUP(G$5,$G$1:$H$4,2,FALSE),$E44,9,1),'納品書明細16-E'!$Q$9:$Q$206)</f>
        <v>0</v>
      </c>
      <c r="O44" s="64"/>
      <c r="P44" s="133">
        <f>COUNTIF('納品書明細16-E'!$D$9:$D$206,CONCATENATE(VLOOKUP(P$5,$G$1:$H$4,2,FALSE),$E44,1,1,1))</f>
        <v>0</v>
      </c>
      <c r="Q44" s="161">
        <f>SUMIF('納品書明細16-E'!$C$9:$C$206,CONCATENATE(VLOOKUP(P$5,$G$1:$H$4,2,FALSE),$E44,1,1),'納品書明細16-E'!$Q$9:$Q$206)</f>
        <v>0</v>
      </c>
      <c r="R44" s="345"/>
      <c r="S44" s="122"/>
      <c r="T44" s="128"/>
      <c r="U44" s="345"/>
      <c r="V44" s="126">
        <f>COUNTIF('納品書明細16-E'!$D$9:$D$206,CONCATENATE(VLOOKUP(P$5,$G$1:$H$4,2,FALSE),$E44,9,1,1))</f>
        <v>0</v>
      </c>
      <c r="W44" s="433">
        <f>SUMIF('納品書明細16-E'!$C$9:$C$206,CONCATENATE(VLOOKUP(P$5,$G$1:$H$4,2,FALSE),$E44,9,1),'納品書明細16-E'!$Q$9:$Q$206)</f>
        <v>0</v>
      </c>
      <c r="X44" s="64"/>
      <c r="Y44" s="133">
        <f>COUNTIF('納品書明細16-E'!$D$9:$D$206,CONCATENATE(VLOOKUP(Y$5,$G$1:$H$4,2,FALSE),$E44,1,1,1))</f>
        <v>0</v>
      </c>
      <c r="Z44" s="161">
        <f>SUMIF('納品書明細16-E'!$C$9:$C$206,CONCATENATE(VLOOKUP(Y$5,$G$1:$H$4,2,FALSE),$E44,1,1),'納品書明細16-E'!$Q$9:$Q$206)</f>
        <v>0</v>
      </c>
      <c r="AA44" s="345"/>
      <c r="AB44" s="122"/>
      <c r="AC44" s="128"/>
      <c r="AD44" s="345"/>
      <c r="AE44" s="126">
        <f>COUNTIF('納品書明細16-E'!$D$9:$D$206,CONCATENATE(VLOOKUP(Y$5,$G$1:$H$4,2,FALSE),$E44,9,1,1))</f>
        <v>0</v>
      </c>
      <c r="AF44" s="433">
        <f>SUMIF('納品書明細16-E'!$C$9:$C$206,CONCATENATE(VLOOKUP(Y$5,$G$1:$H$4,2,FALSE),$E44,9,1),'納品書明細16-E'!$Q$9:$Q$206)</f>
        <v>0</v>
      </c>
    </row>
    <row r="45" spans="1:32">
      <c r="A45" s="474" t="str">
        <f>IF(SUMIFS($G45:$AF45,$G$8:$AF$8,"金額",$G45:$AF45,"&gt;0")-SUMIFS($G45:$AF45,$G$8:$AF$8,"金額",$G45:$AF45,"&lt;0")&lt;=0,"",MAX($A$8:$A44)+1)</f>
        <v/>
      </c>
      <c r="B45" s="802"/>
      <c r="C45" s="245" t="str">
        <f t="shared" si="1"/>
        <v>商品</v>
      </c>
      <c r="D45" s="245">
        <v>37</v>
      </c>
      <c r="E45" s="590" t="str">
        <f>IF($F45&lt;&gt;"",INDEX(ﾏｽﾀ!$D$8:$D$124,MATCH(INDEX(ﾏｽﾀ!$N$8:$N$124,MATCH($F45,ﾏｽﾀ!$O$8:$O$124,0)),ﾏｽﾀ!$B$8:$B$124,0))&amp;"","")</f>
        <v>74000</v>
      </c>
      <c r="F45" s="589" t="str">
        <f>ﾏｽﾀ!$R44&amp;""</f>
        <v>株式会社シーズ</v>
      </c>
      <c r="G45" s="133">
        <f>COUNTIF('納品書明細16-E'!$D$9:$D$206,CONCATENATE(VLOOKUP(G$5,$G$1:$H$4,2,FALSE),$E45,1,1,1))</f>
        <v>0</v>
      </c>
      <c r="H45" s="127">
        <f>SUMIF('納品書明細16-E'!$C$9:$C$206,CONCATENATE(VLOOKUP(G$5,$G$1:$H$4,2,FALSE),$E45,1,1),'納品書明細16-E'!$Q$9:$Q$206)</f>
        <v>0</v>
      </c>
      <c r="I45" s="345"/>
      <c r="J45" s="122"/>
      <c r="K45" s="359"/>
      <c r="L45" s="345"/>
      <c r="M45" s="126">
        <f>COUNTIF('納品書明細16-E'!$D$9:$D$206,CONCATENATE(VLOOKUP(G$5,$G$1:$H$4,2,FALSE),$E45,9,1,1))</f>
        <v>0</v>
      </c>
      <c r="N45" s="434">
        <f>SUMIF('納品書明細16-E'!$C$9:$C$206,CONCATENATE(VLOOKUP(G$5,$G$1:$H$4,2,FALSE),$E45,9,1),'納品書明細16-E'!$Q$9:$Q$206)</f>
        <v>0</v>
      </c>
      <c r="O45" s="64"/>
      <c r="P45" s="133">
        <f>COUNTIF('納品書明細16-E'!$D$9:$D$206,CONCATENATE(VLOOKUP(P$5,$G$1:$H$4,2,FALSE),$E45,1,1,1))</f>
        <v>0</v>
      </c>
      <c r="Q45" s="161">
        <f>SUMIF('納品書明細16-E'!$C$9:$C$206,CONCATENATE(VLOOKUP(P$5,$G$1:$H$4,2,FALSE),$E45,1,1),'納品書明細16-E'!$Q$9:$Q$206)</f>
        <v>0</v>
      </c>
      <c r="R45" s="345"/>
      <c r="S45" s="122"/>
      <c r="T45" s="128"/>
      <c r="U45" s="345"/>
      <c r="V45" s="126">
        <f>COUNTIF('納品書明細16-E'!$D$9:$D$206,CONCATENATE(VLOOKUP(P$5,$G$1:$H$4,2,FALSE),$E45,9,1,1))</f>
        <v>0</v>
      </c>
      <c r="W45" s="433">
        <f>SUMIF('納品書明細16-E'!$C$9:$C$206,CONCATENATE(VLOOKUP(P$5,$G$1:$H$4,2,FALSE),$E45,9,1),'納品書明細16-E'!$Q$9:$Q$206)</f>
        <v>0</v>
      </c>
      <c r="X45" s="64"/>
      <c r="Y45" s="133">
        <f>COUNTIF('納品書明細16-E'!$D$9:$D$206,CONCATENATE(VLOOKUP(Y$5,$G$1:$H$4,2,FALSE),$E45,1,1,1))</f>
        <v>0</v>
      </c>
      <c r="Z45" s="161">
        <f>SUMIF('納品書明細16-E'!$C$9:$C$206,CONCATENATE(VLOOKUP(Y$5,$G$1:$H$4,2,FALSE),$E45,1,1),'納品書明細16-E'!$Q$9:$Q$206)</f>
        <v>0</v>
      </c>
      <c r="AA45" s="345"/>
      <c r="AB45" s="122"/>
      <c r="AC45" s="128"/>
      <c r="AD45" s="345"/>
      <c r="AE45" s="126">
        <f>COUNTIF('納品書明細16-E'!$D$9:$D$206,CONCATENATE(VLOOKUP(Y$5,$G$1:$H$4,2,FALSE),$E45,9,1,1))</f>
        <v>0</v>
      </c>
      <c r="AF45" s="433">
        <f>SUMIF('納品書明細16-E'!$C$9:$C$206,CONCATENATE(VLOOKUP(Y$5,$G$1:$H$4,2,FALSE),$E45,9,1),'納品書明細16-E'!$Q$9:$Q$206)</f>
        <v>0</v>
      </c>
    </row>
    <row r="46" spans="1:32">
      <c r="A46" s="474" t="str">
        <f>IF(SUMIFS($G46:$AF46,$G$8:$AF$8,"金額",$G46:$AF46,"&gt;0")-SUMIFS($G46:$AF46,$G$8:$AF$8,"金額",$G46:$AF46,"&lt;0")&lt;=0,"",MAX($A$8:$A45)+1)</f>
        <v/>
      </c>
      <c r="B46" s="802"/>
      <c r="C46" s="245" t="str">
        <f t="shared" si="1"/>
        <v>商品</v>
      </c>
      <c r="D46" s="245">
        <v>38</v>
      </c>
      <c r="E46" s="590" t="str">
        <f>IF($F46&lt;&gt;"",INDEX(ﾏｽﾀ!$D$8:$D$124,MATCH(INDEX(ﾏｽﾀ!$N$8:$N$124,MATCH($F46,ﾏｽﾀ!$O$8:$O$124,0)),ﾏｽﾀ!$B$8:$B$124,0))&amp;"","")</f>
        <v>75000</v>
      </c>
      <c r="F46" s="589" t="str">
        <f>ﾏｽﾀ!$R45&amp;""</f>
        <v>株式会社スカイ・ジェイ</v>
      </c>
      <c r="G46" s="133">
        <f>COUNTIF('納品書明細16-E'!$D$9:$D$206,CONCATENATE(VLOOKUP(G$5,$G$1:$H$4,2,FALSE),$E46,1,1,1))</f>
        <v>0</v>
      </c>
      <c r="H46" s="127">
        <f>SUMIF('納品書明細16-E'!$C$9:$C$206,CONCATENATE(VLOOKUP(G$5,$G$1:$H$4,2,FALSE),$E46,1,1),'納品書明細16-E'!$Q$9:$Q$206)</f>
        <v>0</v>
      </c>
      <c r="I46" s="345"/>
      <c r="J46" s="122"/>
      <c r="K46" s="359"/>
      <c r="L46" s="345"/>
      <c r="M46" s="126">
        <f>COUNTIF('納品書明細16-E'!$D$9:$D$206,CONCATENATE(VLOOKUP(G$5,$G$1:$H$4,2,FALSE),$E46,9,1,1))</f>
        <v>0</v>
      </c>
      <c r="N46" s="434">
        <f>SUMIF('納品書明細16-E'!$C$9:$C$206,CONCATENATE(VLOOKUP(G$5,$G$1:$H$4,2,FALSE),$E46,9,1),'納品書明細16-E'!$Q$9:$Q$206)</f>
        <v>0</v>
      </c>
      <c r="O46" s="64"/>
      <c r="P46" s="133">
        <f>COUNTIF('納品書明細16-E'!$D$9:$D$206,CONCATENATE(VLOOKUP(P$5,$G$1:$H$4,2,FALSE),$E46,1,1,1))</f>
        <v>0</v>
      </c>
      <c r="Q46" s="161">
        <f>SUMIF('納品書明細16-E'!$C$9:$C$206,CONCATENATE(VLOOKUP(P$5,$G$1:$H$4,2,FALSE),$E46,1,1),'納品書明細16-E'!$Q$9:$Q$206)</f>
        <v>0</v>
      </c>
      <c r="R46" s="345"/>
      <c r="S46" s="122"/>
      <c r="T46" s="128"/>
      <c r="U46" s="345"/>
      <c r="V46" s="126">
        <f>COUNTIF('納品書明細16-E'!$D$9:$D$206,CONCATENATE(VLOOKUP(P$5,$G$1:$H$4,2,FALSE),$E46,9,1,1))</f>
        <v>0</v>
      </c>
      <c r="W46" s="433">
        <f>SUMIF('納品書明細16-E'!$C$9:$C$206,CONCATENATE(VLOOKUP(P$5,$G$1:$H$4,2,FALSE),$E46,9,1),'納品書明細16-E'!$Q$9:$Q$206)</f>
        <v>0</v>
      </c>
      <c r="X46" s="64"/>
      <c r="Y46" s="133">
        <f>COUNTIF('納品書明細16-E'!$D$9:$D$206,CONCATENATE(VLOOKUP(Y$5,$G$1:$H$4,2,FALSE),$E46,1,1,1))</f>
        <v>0</v>
      </c>
      <c r="Z46" s="161">
        <f>SUMIF('納品書明細16-E'!$C$9:$C$206,CONCATENATE(VLOOKUP(Y$5,$G$1:$H$4,2,FALSE),$E46,1,1),'納品書明細16-E'!$Q$9:$Q$206)</f>
        <v>0</v>
      </c>
      <c r="AA46" s="345"/>
      <c r="AB46" s="122"/>
      <c r="AC46" s="128"/>
      <c r="AD46" s="345"/>
      <c r="AE46" s="126">
        <f>COUNTIF('納品書明細16-E'!$D$9:$D$206,CONCATENATE(VLOOKUP(Y$5,$G$1:$H$4,2,FALSE),$E46,9,1,1))</f>
        <v>0</v>
      </c>
      <c r="AF46" s="433">
        <f>SUMIF('納品書明細16-E'!$C$9:$C$206,CONCATENATE(VLOOKUP(Y$5,$G$1:$H$4,2,FALSE),$E46,9,1),'納品書明細16-E'!$Q$9:$Q$206)</f>
        <v>0</v>
      </c>
    </row>
    <row r="47" spans="1:32">
      <c r="A47" s="474" t="str">
        <f>IF(SUMIFS($G47:$AF47,$G$8:$AF$8,"金額",$G47:$AF47,"&gt;0")-SUMIFS($G47:$AF47,$G$8:$AF$8,"金額",$G47:$AF47,"&lt;0")&lt;=0,"",MAX($A$8:$A46)+1)</f>
        <v/>
      </c>
      <c r="B47" s="802"/>
      <c r="C47" s="245" t="str">
        <f t="shared" si="1"/>
        <v>商品</v>
      </c>
      <c r="D47" s="245">
        <v>39</v>
      </c>
      <c r="E47" s="590" t="str">
        <f>IF($F47&lt;&gt;"",INDEX(ﾏｽﾀ!$D$8:$D$124,MATCH(INDEX(ﾏｽﾀ!$N$8:$N$124,MATCH($F47,ﾏｽﾀ!$O$8:$O$124,0)),ﾏｽﾀ!$B$8:$B$124,0))&amp;"","")</f>
        <v>76000</v>
      </c>
      <c r="F47" s="589" t="str">
        <f>ﾏｽﾀ!$R46&amp;""</f>
        <v>株式会社カプコン</v>
      </c>
      <c r="G47" s="133">
        <f>COUNTIF('納品書明細16-E'!$D$9:$D$206,CONCATENATE(VLOOKUP(G$5,$G$1:$H$4,2,FALSE),$E47,1,1,1))</f>
        <v>0</v>
      </c>
      <c r="H47" s="127">
        <f>SUMIF('納品書明細16-E'!$C$9:$C$206,CONCATENATE(VLOOKUP(G$5,$G$1:$H$4,2,FALSE),$E47,1,1),'納品書明細16-E'!$Q$9:$Q$206)</f>
        <v>0</v>
      </c>
      <c r="I47" s="345"/>
      <c r="J47" s="122"/>
      <c r="K47" s="359"/>
      <c r="L47" s="345"/>
      <c r="M47" s="126">
        <f>COUNTIF('納品書明細16-E'!$D$9:$D$206,CONCATENATE(VLOOKUP(G$5,$G$1:$H$4,2,FALSE),$E47,9,1,1))</f>
        <v>0</v>
      </c>
      <c r="N47" s="434">
        <f>SUMIF('納品書明細16-E'!$C$9:$C$206,CONCATENATE(VLOOKUP(G$5,$G$1:$H$4,2,FALSE),$E47,9,1),'納品書明細16-E'!$Q$9:$Q$206)</f>
        <v>0</v>
      </c>
      <c r="O47" s="64"/>
      <c r="P47" s="133">
        <f>COUNTIF('納品書明細16-E'!$D$9:$D$206,CONCATENATE(VLOOKUP(P$5,$G$1:$H$4,2,FALSE),$E47,1,1,1))</f>
        <v>0</v>
      </c>
      <c r="Q47" s="161">
        <f>SUMIF('納品書明細16-E'!$C$9:$C$206,CONCATENATE(VLOOKUP(P$5,$G$1:$H$4,2,FALSE),$E47,1,1),'納品書明細16-E'!$Q$9:$Q$206)</f>
        <v>0</v>
      </c>
      <c r="R47" s="345"/>
      <c r="S47" s="122"/>
      <c r="T47" s="128"/>
      <c r="U47" s="345"/>
      <c r="V47" s="126">
        <f>COUNTIF('納品書明細16-E'!$D$9:$D$206,CONCATENATE(VLOOKUP(P$5,$G$1:$H$4,2,FALSE),$E47,9,1,1))</f>
        <v>0</v>
      </c>
      <c r="W47" s="433">
        <f>SUMIF('納品書明細16-E'!$C$9:$C$206,CONCATENATE(VLOOKUP(P$5,$G$1:$H$4,2,FALSE),$E47,9,1),'納品書明細16-E'!$Q$9:$Q$206)</f>
        <v>0</v>
      </c>
      <c r="X47" s="64"/>
      <c r="Y47" s="133">
        <f>COUNTIF('納品書明細16-E'!$D$9:$D$206,CONCATENATE(VLOOKUP(Y$5,$G$1:$H$4,2,FALSE),$E47,1,1,1))</f>
        <v>0</v>
      </c>
      <c r="Z47" s="161">
        <f>SUMIF('納品書明細16-E'!$C$9:$C$206,CONCATENATE(VLOOKUP(Y$5,$G$1:$H$4,2,FALSE),$E47,1,1),'納品書明細16-E'!$Q$9:$Q$206)</f>
        <v>0</v>
      </c>
      <c r="AA47" s="345"/>
      <c r="AB47" s="122"/>
      <c r="AC47" s="128"/>
      <c r="AD47" s="345"/>
      <c r="AE47" s="126">
        <f>COUNTIF('納品書明細16-E'!$D$9:$D$206,CONCATENATE(VLOOKUP(Y$5,$G$1:$H$4,2,FALSE),$E47,9,1,1))</f>
        <v>0</v>
      </c>
      <c r="AF47" s="433">
        <f>SUMIF('納品書明細16-E'!$C$9:$C$206,CONCATENATE(VLOOKUP(Y$5,$G$1:$H$4,2,FALSE),$E47,9,1),'納品書明細16-E'!$Q$9:$Q$206)</f>
        <v>0</v>
      </c>
    </row>
    <row r="48" spans="1:32">
      <c r="A48" s="474" t="str">
        <f>IF(SUMIFS($G48:$AF48,$G$8:$AF$8,"金額",$G48:$AF48,"&gt;0")-SUMIFS($G48:$AF48,$G$8:$AF$8,"金額",$G48:$AF48,"&lt;0")&lt;=0,"",MAX($A$8:$A47)+1)</f>
        <v/>
      </c>
      <c r="B48" s="802"/>
      <c r="C48" s="245" t="str">
        <f t="shared" si="1"/>
        <v>商品</v>
      </c>
      <c r="D48" s="245">
        <v>40</v>
      </c>
      <c r="E48" s="590" t="str">
        <f>IF($F48&lt;&gt;"",INDEX(ﾏｽﾀ!$D$8:$D$124,MATCH(INDEX(ﾏｽﾀ!$N$8:$N$124,MATCH($F48,ﾏｽﾀ!$O$8:$O$124,0)),ﾏｽﾀ!$B$8:$B$124,0))&amp;"","")</f>
        <v>77000</v>
      </c>
      <c r="F48" s="589" t="str">
        <f>ﾏｽﾀ!$R47&amp;""</f>
        <v>株式会社そごう・西武</v>
      </c>
      <c r="G48" s="133">
        <f>COUNTIF('納品書明細16-E'!$D$9:$D$206,CONCATENATE(VLOOKUP(G$5,$G$1:$H$4,2,FALSE),$E48,1,1,1))</f>
        <v>0</v>
      </c>
      <c r="H48" s="127">
        <f>SUMIF('納品書明細16-E'!$C$9:$C$206,CONCATENATE(VLOOKUP(G$5,$G$1:$H$4,2,FALSE),$E48,1,1),'納品書明細16-E'!$Q$9:$Q$206)</f>
        <v>0</v>
      </c>
      <c r="I48" s="345"/>
      <c r="J48" s="122"/>
      <c r="K48" s="359"/>
      <c r="L48" s="345"/>
      <c r="M48" s="126">
        <f>COUNTIF('納品書明細16-E'!$D$9:$D$206,CONCATENATE(VLOOKUP(G$5,$G$1:$H$4,2,FALSE),$E48,9,1,1))</f>
        <v>0</v>
      </c>
      <c r="N48" s="434">
        <f>SUMIF('納品書明細16-E'!$C$9:$C$206,CONCATENATE(VLOOKUP(G$5,$G$1:$H$4,2,FALSE),$E48,9,1),'納品書明細16-E'!$Q$9:$Q$206)</f>
        <v>0</v>
      </c>
      <c r="O48" s="64"/>
      <c r="P48" s="133">
        <f>COUNTIF('納品書明細16-E'!$D$9:$D$206,CONCATENATE(VLOOKUP(P$5,$G$1:$H$4,2,FALSE),$E48,1,1,1))</f>
        <v>0</v>
      </c>
      <c r="Q48" s="161">
        <f>SUMIF('納品書明細16-E'!$C$9:$C$206,CONCATENATE(VLOOKUP(P$5,$G$1:$H$4,2,FALSE),$E48,1,1),'納品書明細16-E'!$Q$9:$Q$206)</f>
        <v>0</v>
      </c>
      <c r="R48" s="345"/>
      <c r="S48" s="122"/>
      <c r="T48" s="128"/>
      <c r="U48" s="345"/>
      <c r="V48" s="126">
        <f>COUNTIF('納品書明細16-E'!$D$9:$D$206,CONCATENATE(VLOOKUP(P$5,$G$1:$H$4,2,FALSE),$E48,9,1,1))</f>
        <v>0</v>
      </c>
      <c r="W48" s="433">
        <f>SUMIF('納品書明細16-E'!$C$9:$C$206,CONCATENATE(VLOOKUP(P$5,$G$1:$H$4,2,FALSE),$E48,9,1),'納品書明細16-E'!$Q$9:$Q$206)</f>
        <v>0</v>
      </c>
      <c r="X48" s="64"/>
      <c r="Y48" s="133">
        <f>COUNTIF('納品書明細16-E'!$D$9:$D$206,CONCATENATE(VLOOKUP(Y$5,$G$1:$H$4,2,FALSE),$E48,1,1,1))</f>
        <v>0</v>
      </c>
      <c r="Z48" s="161">
        <f>SUMIF('納品書明細16-E'!$C$9:$C$206,CONCATENATE(VLOOKUP(Y$5,$G$1:$H$4,2,FALSE),$E48,1,1),'納品書明細16-E'!$Q$9:$Q$206)</f>
        <v>0</v>
      </c>
      <c r="AA48" s="345"/>
      <c r="AB48" s="122"/>
      <c r="AC48" s="128"/>
      <c r="AD48" s="345"/>
      <c r="AE48" s="126">
        <f>COUNTIF('納品書明細16-E'!$D$9:$D$206,CONCATENATE(VLOOKUP(Y$5,$G$1:$H$4,2,FALSE),$E48,9,1,1))</f>
        <v>0</v>
      </c>
      <c r="AF48" s="433">
        <f>SUMIF('納品書明細16-E'!$C$9:$C$206,CONCATENATE(VLOOKUP(Y$5,$G$1:$H$4,2,FALSE),$E48,9,1),'納品書明細16-E'!$Q$9:$Q$206)</f>
        <v>0</v>
      </c>
    </row>
    <row r="49" spans="1:32">
      <c r="A49" s="474" t="str">
        <f>IF(SUMIFS($G49:$AF49,$G$8:$AF$8,"金額",$G49:$AF49,"&gt;0")-SUMIFS($G49:$AF49,$G$8:$AF$8,"金額",$G49:$AF49,"&lt;0")&lt;=0,"",MAX($A$8:$A48)+1)</f>
        <v/>
      </c>
      <c r="B49" s="802"/>
      <c r="C49" s="245" t="str">
        <f t="shared" si="1"/>
        <v>商品</v>
      </c>
      <c r="D49" s="245">
        <v>41</v>
      </c>
      <c r="E49" s="590" t="str">
        <f>IF($F49&lt;&gt;"",INDEX(ﾏｽﾀ!$D$8:$D$124,MATCH(INDEX(ﾏｽﾀ!$N$8:$N$124,MATCH($F49,ﾏｽﾀ!$O$8:$O$124,0)),ﾏｽﾀ!$B$8:$B$124,0))&amp;"","")</f>
        <v>78000</v>
      </c>
      <c r="F49" s="589" t="str">
        <f>ﾏｽﾀ!$R48&amp;""</f>
        <v>株式会社ティー・シー・ピー</v>
      </c>
      <c r="G49" s="133">
        <f>COUNTIF('納品書明細16-E'!$D$9:$D$206,CONCATENATE(VLOOKUP(G$5,$G$1:$H$4,2,FALSE),$E49,1,1,1))</f>
        <v>0</v>
      </c>
      <c r="H49" s="127">
        <f>SUMIF('納品書明細16-E'!$C$9:$C$206,CONCATENATE(VLOOKUP(G$5,$G$1:$H$4,2,FALSE),$E49,1,1),'納品書明細16-E'!$Q$9:$Q$206)</f>
        <v>0</v>
      </c>
      <c r="I49" s="345"/>
      <c r="J49" s="122"/>
      <c r="K49" s="359"/>
      <c r="L49" s="345"/>
      <c r="M49" s="126">
        <f>COUNTIF('納品書明細16-E'!$D$9:$D$206,CONCATENATE(VLOOKUP(G$5,$G$1:$H$4,2,FALSE),$E49,9,1,1))</f>
        <v>0</v>
      </c>
      <c r="N49" s="434">
        <f>SUMIF('納品書明細16-E'!$C$9:$C$206,CONCATENATE(VLOOKUP(G$5,$G$1:$H$4,2,FALSE),$E49,9,1),'納品書明細16-E'!$Q$9:$Q$206)</f>
        <v>0</v>
      </c>
      <c r="O49" s="64"/>
      <c r="P49" s="133">
        <f>COUNTIF('納品書明細16-E'!$D$9:$D$206,CONCATENATE(VLOOKUP(P$5,$G$1:$H$4,2,FALSE),$E49,1,1,1))</f>
        <v>0</v>
      </c>
      <c r="Q49" s="161">
        <f>SUMIF('納品書明細16-E'!$C$9:$C$206,CONCATENATE(VLOOKUP(P$5,$G$1:$H$4,2,FALSE),$E49,1,1),'納品書明細16-E'!$Q$9:$Q$206)</f>
        <v>0</v>
      </c>
      <c r="R49" s="345"/>
      <c r="S49" s="122"/>
      <c r="T49" s="128"/>
      <c r="U49" s="345"/>
      <c r="V49" s="126">
        <f>COUNTIF('納品書明細16-E'!$D$9:$D$206,CONCATENATE(VLOOKUP(P$5,$G$1:$H$4,2,FALSE),$E49,9,1,1))</f>
        <v>0</v>
      </c>
      <c r="W49" s="433">
        <f>SUMIF('納品書明細16-E'!$C$9:$C$206,CONCATENATE(VLOOKUP(P$5,$G$1:$H$4,2,FALSE),$E49,9,1),'納品書明細16-E'!$Q$9:$Q$206)</f>
        <v>0</v>
      </c>
      <c r="X49" s="64"/>
      <c r="Y49" s="133">
        <f>COUNTIF('納品書明細16-E'!$D$9:$D$206,CONCATENATE(VLOOKUP(Y$5,$G$1:$H$4,2,FALSE),$E49,1,1,1))</f>
        <v>0</v>
      </c>
      <c r="Z49" s="161">
        <f>SUMIF('納品書明細16-E'!$C$9:$C$206,CONCATENATE(VLOOKUP(Y$5,$G$1:$H$4,2,FALSE),$E49,1,1),'納品書明細16-E'!$Q$9:$Q$206)</f>
        <v>0</v>
      </c>
      <c r="AA49" s="345"/>
      <c r="AB49" s="122"/>
      <c r="AC49" s="128"/>
      <c r="AD49" s="345"/>
      <c r="AE49" s="126">
        <f>COUNTIF('納品書明細16-E'!$D$9:$D$206,CONCATENATE(VLOOKUP(Y$5,$G$1:$H$4,2,FALSE),$E49,9,1,1))</f>
        <v>0</v>
      </c>
      <c r="AF49" s="433">
        <f>SUMIF('納品書明細16-E'!$C$9:$C$206,CONCATENATE(VLOOKUP(Y$5,$G$1:$H$4,2,FALSE),$E49,9,1),'納品書明細16-E'!$Q$9:$Q$206)</f>
        <v>0</v>
      </c>
    </row>
    <row r="50" spans="1:32">
      <c r="A50" s="474" t="str">
        <f>IF(SUMIFS($G50:$AF50,$G$8:$AF$8,"金額",$G50:$AF50,"&gt;0")-SUMIFS($G50:$AF50,$G$8:$AF$8,"金額",$G50:$AF50,"&lt;0")&lt;=0,"",MAX($A$8:$A49)+1)</f>
        <v/>
      </c>
      <c r="B50" s="802"/>
      <c r="C50" s="245" t="str">
        <f t="shared" si="1"/>
        <v>商品</v>
      </c>
      <c r="D50" s="245">
        <v>42</v>
      </c>
      <c r="E50" s="590" t="str">
        <f>IF($F50&lt;&gt;"",INDEX(ﾏｽﾀ!$D$8:$D$124,MATCH(INDEX(ﾏｽﾀ!$N$8:$N$124,MATCH($F50,ﾏｽﾀ!$O$8:$O$124,0)),ﾏｽﾀ!$B$8:$B$124,0))&amp;"","")</f>
        <v>79000</v>
      </c>
      <c r="F50" s="589" t="str">
        <f>ﾏｽﾀ!$R49&amp;""</f>
        <v>総合商研株式会社</v>
      </c>
      <c r="G50" s="133">
        <f>COUNTIF('納品書明細16-E'!$D$9:$D$206,CONCATENATE(VLOOKUP(G$5,$G$1:$H$4,2,FALSE),$E50,1,1,1))</f>
        <v>0</v>
      </c>
      <c r="H50" s="127">
        <f>SUMIF('納品書明細16-E'!$C$9:$C$206,CONCATENATE(VLOOKUP(G$5,$G$1:$H$4,2,FALSE),$E50,1,1),'納品書明細16-E'!$Q$9:$Q$206)</f>
        <v>0</v>
      </c>
      <c r="I50" s="345"/>
      <c r="J50" s="122"/>
      <c r="K50" s="359"/>
      <c r="L50" s="345"/>
      <c r="M50" s="126">
        <f>COUNTIF('納品書明細16-E'!$D$9:$D$206,CONCATENATE(VLOOKUP(G$5,$G$1:$H$4,2,FALSE),$E50,9,1,1))</f>
        <v>0</v>
      </c>
      <c r="N50" s="434">
        <f>SUMIF('納品書明細16-E'!$C$9:$C$206,CONCATENATE(VLOOKUP(G$5,$G$1:$H$4,2,FALSE),$E50,9,1),'納品書明細16-E'!$Q$9:$Q$206)</f>
        <v>0</v>
      </c>
      <c r="O50" s="64"/>
      <c r="P50" s="133">
        <f>COUNTIF('納品書明細16-E'!$D$9:$D$206,CONCATENATE(VLOOKUP(P$5,$G$1:$H$4,2,FALSE),$E50,1,1,1))</f>
        <v>0</v>
      </c>
      <c r="Q50" s="161">
        <f>SUMIF('納品書明細16-E'!$C$9:$C$206,CONCATENATE(VLOOKUP(P$5,$G$1:$H$4,2,FALSE),$E50,1,1),'納品書明細16-E'!$Q$9:$Q$206)</f>
        <v>0</v>
      </c>
      <c r="R50" s="345"/>
      <c r="S50" s="122"/>
      <c r="T50" s="128"/>
      <c r="U50" s="345"/>
      <c r="V50" s="126">
        <f>COUNTIF('納品書明細16-E'!$D$9:$D$206,CONCATENATE(VLOOKUP(P$5,$G$1:$H$4,2,FALSE),$E50,9,1,1))</f>
        <v>0</v>
      </c>
      <c r="W50" s="433">
        <f>SUMIF('納品書明細16-E'!$C$9:$C$206,CONCATENATE(VLOOKUP(P$5,$G$1:$H$4,2,FALSE),$E50,9,1),'納品書明細16-E'!$Q$9:$Q$206)</f>
        <v>0</v>
      </c>
      <c r="X50" s="64"/>
      <c r="Y50" s="133">
        <f>COUNTIF('納品書明細16-E'!$D$9:$D$206,CONCATENATE(VLOOKUP(Y$5,$G$1:$H$4,2,FALSE),$E50,1,1,1))</f>
        <v>0</v>
      </c>
      <c r="Z50" s="161">
        <f>SUMIF('納品書明細16-E'!$C$9:$C$206,CONCATENATE(VLOOKUP(Y$5,$G$1:$H$4,2,FALSE),$E50,1,1),'納品書明細16-E'!$Q$9:$Q$206)</f>
        <v>0</v>
      </c>
      <c r="AA50" s="345"/>
      <c r="AB50" s="122"/>
      <c r="AC50" s="128"/>
      <c r="AD50" s="345"/>
      <c r="AE50" s="126">
        <f>COUNTIF('納品書明細16-E'!$D$9:$D$206,CONCATENATE(VLOOKUP(Y$5,$G$1:$H$4,2,FALSE),$E50,9,1,1))</f>
        <v>0</v>
      </c>
      <c r="AF50" s="433">
        <f>SUMIF('納品書明細16-E'!$C$9:$C$206,CONCATENATE(VLOOKUP(Y$5,$G$1:$H$4,2,FALSE),$E50,9,1),'納品書明細16-E'!$Q$9:$Q$206)</f>
        <v>0</v>
      </c>
    </row>
    <row r="51" spans="1:32">
      <c r="A51" s="474" t="str">
        <f>IF(SUMIFS($G51:$AF51,$G$8:$AF$8,"金額",$G51:$AF51,"&gt;0")-SUMIFS($G51:$AF51,$G$8:$AF$8,"金額",$G51:$AF51,"&lt;0")&lt;=0,"",MAX($A$8:$A50)+1)</f>
        <v/>
      </c>
      <c r="B51" s="802"/>
      <c r="C51" s="245" t="str">
        <f t="shared" si="1"/>
        <v>商品</v>
      </c>
      <c r="D51" s="245">
        <v>43</v>
      </c>
      <c r="E51" s="590" t="str">
        <f>IF($F51&lt;&gt;"",INDEX(ﾏｽﾀ!$D$8:$D$124,MATCH(INDEX(ﾏｽﾀ!$N$8:$N$124,MATCH($F51,ﾏｽﾀ!$O$8:$O$124,0)),ﾏｽﾀ!$B$8:$B$124,0))&amp;"","")</f>
        <v>80000</v>
      </c>
      <c r="F51" s="589" t="str">
        <f>ﾏｽﾀ!$R50&amp;""</f>
        <v>株式会社ポリゴン・ピクチュアズ</v>
      </c>
      <c r="G51" s="133">
        <f>COUNTIF('納品書明細16-E'!$D$9:$D$206,CONCATENATE(VLOOKUP(G$5,$G$1:$H$4,2,FALSE),$E51,1,1,1))</f>
        <v>0</v>
      </c>
      <c r="H51" s="127">
        <f>SUMIF('納品書明細16-E'!$C$9:$C$206,CONCATENATE(VLOOKUP(G$5,$G$1:$H$4,2,FALSE),$E51,1,1),'納品書明細16-E'!$Q$9:$Q$206)</f>
        <v>0</v>
      </c>
      <c r="I51" s="345"/>
      <c r="J51" s="122"/>
      <c r="K51" s="359"/>
      <c r="L51" s="345"/>
      <c r="M51" s="126">
        <f>COUNTIF('納品書明細16-E'!$D$9:$D$206,CONCATENATE(VLOOKUP(G$5,$G$1:$H$4,2,FALSE),$E51,9,1,1))</f>
        <v>0</v>
      </c>
      <c r="N51" s="434">
        <f>SUMIF('納品書明細16-E'!$C$9:$C$206,CONCATENATE(VLOOKUP(G$5,$G$1:$H$4,2,FALSE),$E51,9,1),'納品書明細16-E'!$Q$9:$Q$206)</f>
        <v>0</v>
      </c>
      <c r="O51" s="64"/>
      <c r="P51" s="133">
        <f>COUNTIF('納品書明細16-E'!$D$9:$D$206,CONCATENATE(VLOOKUP(P$5,$G$1:$H$4,2,FALSE),$E51,1,1,1))</f>
        <v>0</v>
      </c>
      <c r="Q51" s="161">
        <f>SUMIF('納品書明細16-E'!$C$9:$C$206,CONCATENATE(VLOOKUP(P$5,$G$1:$H$4,2,FALSE),$E51,1,1),'納品書明細16-E'!$Q$9:$Q$206)</f>
        <v>0</v>
      </c>
      <c r="R51" s="345"/>
      <c r="S51" s="122"/>
      <c r="T51" s="128"/>
      <c r="U51" s="345"/>
      <c r="V51" s="126">
        <f>COUNTIF('納品書明細16-E'!$D$9:$D$206,CONCATENATE(VLOOKUP(P$5,$G$1:$H$4,2,FALSE),$E51,9,1,1))</f>
        <v>0</v>
      </c>
      <c r="W51" s="433">
        <f>SUMIF('納品書明細16-E'!$C$9:$C$206,CONCATENATE(VLOOKUP(P$5,$G$1:$H$4,2,FALSE),$E51,9,1),'納品書明細16-E'!$Q$9:$Q$206)</f>
        <v>0</v>
      </c>
      <c r="X51" s="64"/>
      <c r="Y51" s="133">
        <f>COUNTIF('納品書明細16-E'!$D$9:$D$206,CONCATENATE(VLOOKUP(Y$5,$G$1:$H$4,2,FALSE),$E51,1,1,1))</f>
        <v>0</v>
      </c>
      <c r="Z51" s="161">
        <f>SUMIF('納品書明細16-E'!$C$9:$C$206,CONCATENATE(VLOOKUP(Y$5,$G$1:$H$4,2,FALSE),$E51,1,1),'納品書明細16-E'!$Q$9:$Q$206)</f>
        <v>0</v>
      </c>
      <c r="AA51" s="345"/>
      <c r="AB51" s="122"/>
      <c r="AC51" s="128"/>
      <c r="AD51" s="345"/>
      <c r="AE51" s="126">
        <f>COUNTIF('納品書明細16-E'!$D$9:$D$206,CONCATENATE(VLOOKUP(Y$5,$G$1:$H$4,2,FALSE),$E51,9,1,1))</f>
        <v>0</v>
      </c>
      <c r="AF51" s="433">
        <f>SUMIF('納品書明細16-E'!$C$9:$C$206,CONCATENATE(VLOOKUP(Y$5,$G$1:$H$4,2,FALSE),$E51,9,1),'納品書明細16-E'!$Q$9:$Q$206)</f>
        <v>0</v>
      </c>
    </row>
    <row r="52" spans="1:32">
      <c r="A52" s="474" t="str">
        <f>IF(SUMIFS($G52:$AF52,$G$8:$AF$8,"金額",$G52:$AF52,"&gt;0")-SUMIFS($G52:$AF52,$G$8:$AF$8,"金額",$G52:$AF52,"&lt;0")&lt;=0,"",MAX($A$8:$A51)+1)</f>
        <v/>
      </c>
      <c r="B52" s="802"/>
      <c r="C52" s="245" t="str">
        <f t="shared" si="1"/>
        <v>商品</v>
      </c>
      <c r="D52" s="245">
        <v>44</v>
      </c>
      <c r="E52" s="590" t="str">
        <f>IF($F52&lt;&gt;"",INDEX(ﾏｽﾀ!$D$8:$D$124,MATCH(INDEX(ﾏｽﾀ!$N$8:$N$124,MATCH($F52,ﾏｽﾀ!$O$8:$O$124,0)),ﾏｽﾀ!$B$8:$B$124,0))&amp;"","")</f>
        <v>81000</v>
      </c>
      <c r="F52" s="589" t="str">
        <f>ﾏｽﾀ!$R51&amp;""</f>
        <v>株式会社フォーチュンエンターテイメント</v>
      </c>
      <c r="G52" s="133">
        <f>COUNTIF('納品書明細16-E'!$D$9:$D$206,CONCATENATE(VLOOKUP(G$5,$G$1:$H$4,2,FALSE),$E52,1,1,1))</f>
        <v>0</v>
      </c>
      <c r="H52" s="127">
        <f>SUMIF('納品書明細16-E'!$C$9:$C$206,CONCATENATE(VLOOKUP(G$5,$G$1:$H$4,2,FALSE),$E52,1,1),'納品書明細16-E'!$Q$9:$Q$206)</f>
        <v>0</v>
      </c>
      <c r="I52" s="345"/>
      <c r="J52" s="122"/>
      <c r="K52" s="359"/>
      <c r="L52" s="345"/>
      <c r="M52" s="126">
        <f>COUNTIF('納品書明細16-E'!$D$9:$D$206,CONCATENATE(VLOOKUP(G$5,$G$1:$H$4,2,FALSE),$E52,9,1,1))</f>
        <v>0</v>
      </c>
      <c r="N52" s="434">
        <f>SUMIF('納品書明細16-E'!$C$9:$C$206,CONCATENATE(VLOOKUP(G$5,$G$1:$H$4,2,FALSE),$E52,9,1),'納品書明細16-E'!$Q$9:$Q$206)</f>
        <v>0</v>
      </c>
      <c r="O52" s="64"/>
      <c r="P52" s="133">
        <f>COUNTIF('納品書明細16-E'!$D$9:$D$206,CONCATENATE(VLOOKUP(P$5,$G$1:$H$4,2,FALSE),$E52,1,1,1))</f>
        <v>0</v>
      </c>
      <c r="Q52" s="161">
        <f>SUMIF('納品書明細16-E'!$C$9:$C$206,CONCATENATE(VLOOKUP(P$5,$G$1:$H$4,2,FALSE),$E52,1,1),'納品書明細16-E'!$Q$9:$Q$206)</f>
        <v>0</v>
      </c>
      <c r="R52" s="345"/>
      <c r="S52" s="122"/>
      <c r="T52" s="128"/>
      <c r="U52" s="345"/>
      <c r="V52" s="126">
        <f>COUNTIF('納品書明細16-E'!$D$9:$D$206,CONCATENATE(VLOOKUP(P$5,$G$1:$H$4,2,FALSE),$E52,9,1,1))</f>
        <v>0</v>
      </c>
      <c r="W52" s="433">
        <f>SUMIF('納品書明細16-E'!$C$9:$C$206,CONCATENATE(VLOOKUP(P$5,$G$1:$H$4,2,FALSE),$E52,9,1),'納品書明細16-E'!$Q$9:$Q$206)</f>
        <v>0</v>
      </c>
      <c r="X52" s="64"/>
      <c r="Y52" s="133">
        <f>COUNTIF('納品書明細16-E'!$D$9:$D$206,CONCATENATE(VLOOKUP(Y$5,$G$1:$H$4,2,FALSE),$E52,1,1,1))</f>
        <v>0</v>
      </c>
      <c r="Z52" s="161">
        <f>SUMIF('納品書明細16-E'!$C$9:$C$206,CONCATENATE(VLOOKUP(Y$5,$G$1:$H$4,2,FALSE),$E52,1,1),'納品書明細16-E'!$Q$9:$Q$206)</f>
        <v>0</v>
      </c>
      <c r="AA52" s="345"/>
      <c r="AB52" s="122"/>
      <c r="AC52" s="128"/>
      <c r="AD52" s="345"/>
      <c r="AE52" s="126">
        <f>COUNTIF('納品書明細16-E'!$D$9:$D$206,CONCATENATE(VLOOKUP(Y$5,$G$1:$H$4,2,FALSE),$E52,9,1,1))</f>
        <v>0</v>
      </c>
      <c r="AF52" s="433">
        <f>SUMIF('納品書明細16-E'!$C$9:$C$206,CONCATENATE(VLOOKUP(Y$5,$G$1:$H$4,2,FALSE),$E52,9,1),'納品書明細16-E'!$Q$9:$Q$206)</f>
        <v>0</v>
      </c>
    </row>
    <row r="53" spans="1:32">
      <c r="A53" s="474" t="str">
        <f>IF(SUMIFS($G53:$AF53,$G$8:$AF$8,"金額",$G53:$AF53,"&gt;0")-SUMIFS($G53:$AF53,$G$8:$AF$8,"金額",$G53:$AF53,"&lt;0")&lt;=0,"",MAX($A$8:$A52)+1)</f>
        <v/>
      </c>
      <c r="B53" s="802"/>
      <c r="C53" s="245" t="str">
        <f t="shared" si="1"/>
        <v>商品</v>
      </c>
      <c r="D53" s="245">
        <v>45</v>
      </c>
      <c r="E53" s="590" t="str">
        <f>IF($F53&lt;&gt;"",INDEX(ﾏｽﾀ!$D$8:$D$124,MATCH(INDEX(ﾏｽﾀ!$N$8:$N$124,MATCH($F53,ﾏｽﾀ!$O$8:$O$124,0)),ﾏｽﾀ!$B$8:$B$124,0))&amp;"","")</f>
        <v>82000</v>
      </c>
      <c r="F53" s="589" t="str">
        <f>ﾏｽﾀ!$R52&amp;""</f>
        <v>キングレコード株式会社</v>
      </c>
      <c r="G53" s="133">
        <f>COUNTIF('納品書明細16-E'!$D$9:$D$206,CONCATENATE(VLOOKUP(G$5,$G$1:$H$4,2,FALSE),$E53,1,1,1))</f>
        <v>0</v>
      </c>
      <c r="H53" s="127">
        <f>SUMIF('納品書明細16-E'!$C$9:$C$206,CONCATENATE(VLOOKUP(G$5,$G$1:$H$4,2,FALSE),$E53,1,1),'納品書明細16-E'!$Q$9:$Q$206)</f>
        <v>0</v>
      </c>
      <c r="I53" s="345"/>
      <c r="J53" s="122"/>
      <c r="K53" s="359"/>
      <c r="L53" s="345"/>
      <c r="M53" s="126">
        <f>COUNTIF('納品書明細16-E'!$D$9:$D$206,CONCATENATE(VLOOKUP(G$5,$G$1:$H$4,2,FALSE),$E53,9,1,1))</f>
        <v>0</v>
      </c>
      <c r="N53" s="434">
        <f>SUMIF('納品書明細16-E'!$C$9:$C$206,CONCATENATE(VLOOKUP(G$5,$G$1:$H$4,2,FALSE),$E53,9,1),'納品書明細16-E'!$Q$9:$Q$206)</f>
        <v>0</v>
      </c>
      <c r="O53" s="64"/>
      <c r="P53" s="133">
        <f>COUNTIF('納品書明細16-E'!$D$9:$D$206,CONCATENATE(VLOOKUP(P$5,$G$1:$H$4,2,FALSE),$E53,1,1,1))</f>
        <v>0</v>
      </c>
      <c r="Q53" s="161">
        <f>SUMIF('納品書明細16-E'!$C$9:$C$206,CONCATENATE(VLOOKUP(P$5,$G$1:$H$4,2,FALSE),$E53,1,1),'納品書明細16-E'!$Q$9:$Q$206)</f>
        <v>0</v>
      </c>
      <c r="R53" s="345"/>
      <c r="S53" s="122"/>
      <c r="T53" s="128"/>
      <c r="U53" s="345"/>
      <c r="V53" s="126">
        <f>COUNTIF('納品書明細16-E'!$D$9:$D$206,CONCATENATE(VLOOKUP(P$5,$G$1:$H$4,2,FALSE),$E53,9,1,1))</f>
        <v>0</v>
      </c>
      <c r="W53" s="433">
        <f>SUMIF('納品書明細16-E'!$C$9:$C$206,CONCATENATE(VLOOKUP(P$5,$G$1:$H$4,2,FALSE),$E53,9,1),'納品書明細16-E'!$Q$9:$Q$206)</f>
        <v>0</v>
      </c>
      <c r="X53" s="64"/>
      <c r="Y53" s="133">
        <f>COUNTIF('納品書明細16-E'!$D$9:$D$206,CONCATENATE(VLOOKUP(Y$5,$G$1:$H$4,2,FALSE),$E53,1,1,1))</f>
        <v>0</v>
      </c>
      <c r="Z53" s="161">
        <f>SUMIF('納品書明細16-E'!$C$9:$C$206,CONCATENATE(VLOOKUP(Y$5,$G$1:$H$4,2,FALSE),$E53,1,1),'納品書明細16-E'!$Q$9:$Q$206)</f>
        <v>0</v>
      </c>
      <c r="AA53" s="345"/>
      <c r="AB53" s="122"/>
      <c r="AC53" s="128"/>
      <c r="AD53" s="345"/>
      <c r="AE53" s="126">
        <f>COUNTIF('納品書明細16-E'!$D$9:$D$206,CONCATENATE(VLOOKUP(Y$5,$G$1:$H$4,2,FALSE),$E53,9,1,1))</f>
        <v>0</v>
      </c>
      <c r="AF53" s="433">
        <f>SUMIF('納品書明細16-E'!$C$9:$C$206,CONCATENATE(VLOOKUP(Y$5,$G$1:$H$4,2,FALSE),$E53,9,1),'納品書明細16-E'!$Q$9:$Q$206)</f>
        <v>0</v>
      </c>
    </row>
    <row r="54" spans="1:32">
      <c r="A54" s="474" t="str">
        <f>IF(SUMIFS($G54:$AF54,$G$8:$AF$8,"金額",$G54:$AF54,"&gt;0")-SUMIFS($G54:$AF54,$G$8:$AF$8,"金額",$G54:$AF54,"&lt;0")&lt;=0,"",MAX($A$8:$A53)+1)</f>
        <v/>
      </c>
      <c r="B54" s="802"/>
      <c r="C54" s="245" t="str">
        <f t="shared" si="1"/>
        <v>商品</v>
      </c>
      <c r="D54" s="245">
        <v>46</v>
      </c>
      <c r="E54" s="590" t="str">
        <f>IF($F54&lt;&gt;"",INDEX(ﾏｽﾀ!$D$8:$D$124,MATCH(INDEX(ﾏｽﾀ!$N$8:$N$124,MATCH($F54,ﾏｽﾀ!$O$8:$O$124,0)),ﾏｽﾀ!$B$8:$B$124,0))&amp;"","")</f>
        <v>83000</v>
      </c>
      <c r="F54" s="589" t="str">
        <f>ﾏｽﾀ!$R53&amp;""</f>
        <v>ソニー株式会社</v>
      </c>
      <c r="G54" s="133">
        <f>COUNTIF('納品書明細16-E'!$D$9:$D$206,CONCATENATE(VLOOKUP(G$5,$G$1:$H$4,2,FALSE),$E54,1,1,1))</f>
        <v>0</v>
      </c>
      <c r="H54" s="127">
        <f>SUMIF('納品書明細16-E'!$C$9:$C$206,CONCATENATE(VLOOKUP(G$5,$G$1:$H$4,2,FALSE),$E54,1,1),'納品書明細16-E'!$Q$9:$Q$206)</f>
        <v>0</v>
      </c>
      <c r="I54" s="345"/>
      <c r="J54" s="122"/>
      <c r="K54" s="359"/>
      <c r="L54" s="345"/>
      <c r="M54" s="126">
        <f>COUNTIF('納品書明細16-E'!$D$9:$D$206,CONCATENATE(VLOOKUP(G$5,$G$1:$H$4,2,FALSE),$E54,9,1,1))</f>
        <v>0</v>
      </c>
      <c r="N54" s="434">
        <f>SUMIF('納品書明細16-E'!$C$9:$C$206,CONCATENATE(VLOOKUP(G$5,$G$1:$H$4,2,FALSE),$E54,9,1),'納品書明細16-E'!$Q$9:$Q$206)</f>
        <v>0</v>
      </c>
      <c r="O54" s="64"/>
      <c r="P54" s="133">
        <f>COUNTIF('納品書明細16-E'!$D$9:$D$206,CONCATENATE(VLOOKUP(P$5,$G$1:$H$4,2,FALSE),$E54,1,1,1))</f>
        <v>0</v>
      </c>
      <c r="Q54" s="161">
        <f>SUMIF('納品書明細16-E'!$C$9:$C$206,CONCATENATE(VLOOKUP(P$5,$G$1:$H$4,2,FALSE),$E54,1,1),'納品書明細16-E'!$Q$9:$Q$206)</f>
        <v>0</v>
      </c>
      <c r="R54" s="345"/>
      <c r="S54" s="122"/>
      <c r="T54" s="128"/>
      <c r="U54" s="345"/>
      <c r="V54" s="126">
        <f>COUNTIF('納品書明細16-E'!$D$9:$D$206,CONCATENATE(VLOOKUP(P$5,$G$1:$H$4,2,FALSE),$E54,9,1,1))</f>
        <v>0</v>
      </c>
      <c r="W54" s="433">
        <f>SUMIF('納品書明細16-E'!$C$9:$C$206,CONCATENATE(VLOOKUP(P$5,$G$1:$H$4,2,FALSE),$E54,9,1),'納品書明細16-E'!$Q$9:$Q$206)</f>
        <v>0</v>
      </c>
      <c r="X54" s="64"/>
      <c r="Y54" s="133">
        <f>COUNTIF('納品書明細16-E'!$D$9:$D$206,CONCATENATE(VLOOKUP(Y$5,$G$1:$H$4,2,FALSE),$E54,1,1,1))</f>
        <v>0</v>
      </c>
      <c r="Z54" s="161">
        <f>SUMIF('納品書明細16-E'!$C$9:$C$206,CONCATENATE(VLOOKUP(Y$5,$G$1:$H$4,2,FALSE),$E54,1,1),'納品書明細16-E'!$Q$9:$Q$206)</f>
        <v>0</v>
      </c>
      <c r="AA54" s="345"/>
      <c r="AB54" s="122"/>
      <c r="AC54" s="128"/>
      <c r="AD54" s="345"/>
      <c r="AE54" s="126">
        <f>COUNTIF('納品書明細16-E'!$D$9:$D$206,CONCATENATE(VLOOKUP(Y$5,$G$1:$H$4,2,FALSE),$E54,9,1,1))</f>
        <v>0</v>
      </c>
      <c r="AF54" s="433">
        <f>SUMIF('納品書明細16-E'!$C$9:$C$206,CONCATENATE(VLOOKUP(Y$5,$G$1:$H$4,2,FALSE),$E54,9,1),'納品書明細16-E'!$Q$9:$Q$206)</f>
        <v>0</v>
      </c>
    </row>
    <row r="55" spans="1:32">
      <c r="A55" s="474" t="str">
        <f>IF(SUMIFS($G55:$AF55,$G$8:$AF$8,"金額",$G55:$AF55,"&gt;0")-SUMIFS($G55:$AF55,$G$8:$AF$8,"金額",$G55:$AF55,"&lt;0")&lt;=0,"",MAX($A$8:$A54)+1)</f>
        <v/>
      </c>
      <c r="B55" s="802"/>
      <c r="C55" s="245" t="str">
        <f t="shared" si="1"/>
        <v>商品</v>
      </c>
      <c r="D55" s="245">
        <v>47</v>
      </c>
      <c r="E55" s="590" t="str">
        <f>IF($F55&lt;&gt;"",INDEX(ﾏｽﾀ!$D$8:$D$124,MATCH(INDEX(ﾏｽﾀ!$N$8:$N$124,MATCH($F55,ﾏｽﾀ!$O$8:$O$124,0)),ﾏｽﾀ!$B$8:$B$124,0))&amp;"","")</f>
        <v>84000</v>
      </c>
      <c r="F55" s="589" t="str">
        <f>ﾏｽﾀ!$R54&amp;""</f>
        <v>株式会社ブイシンク</v>
      </c>
      <c r="G55" s="133">
        <f>COUNTIF('納品書明細16-E'!$D$9:$D$206,CONCATENATE(VLOOKUP(G$5,$G$1:$H$4,2,FALSE),$E55,1,1,1))</f>
        <v>0</v>
      </c>
      <c r="H55" s="127">
        <f>SUMIF('納品書明細16-E'!$C$9:$C$206,CONCATENATE(VLOOKUP(G$5,$G$1:$H$4,2,FALSE),$E55,1,1),'納品書明細16-E'!$Q$9:$Q$206)</f>
        <v>0</v>
      </c>
      <c r="I55" s="345"/>
      <c r="J55" s="122"/>
      <c r="K55" s="359"/>
      <c r="L55" s="345"/>
      <c r="M55" s="126">
        <f>COUNTIF('納品書明細16-E'!$D$9:$D$206,CONCATENATE(VLOOKUP(G$5,$G$1:$H$4,2,FALSE),$E55,9,1,1))</f>
        <v>0</v>
      </c>
      <c r="N55" s="434">
        <f>SUMIF('納品書明細16-E'!$C$9:$C$206,CONCATENATE(VLOOKUP(G$5,$G$1:$H$4,2,FALSE),$E55,9,1),'納品書明細16-E'!$Q$9:$Q$206)</f>
        <v>0</v>
      </c>
      <c r="O55" s="64"/>
      <c r="P55" s="133">
        <f>COUNTIF('納品書明細16-E'!$D$9:$D$206,CONCATENATE(VLOOKUP(P$5,$G$1:$H$4,2,FALSE),$E55,1,1,1))</f>
        <v>0</v>
      </c>
      <c r="Q55" s="161">
        <f>SUMIF('納品書明細16-E'!$C$9:$C$206,CONCATENATE(VLOOKUP(P$5,$G$1:$H$4,2,FALSE),$E55,1,1),'納品書明細16-E'!$Q$9:$Q$206)</f>
        <v>0</v>
      </c>
      <c r="R55" s="345"/>
      <c r="S55" s="122"/>
      <c r="T55" s="128"/>
      <c r="U55" s="345"/>
      <c r="V55" s="126">
        <f>COUNTIF('納品書明細16-E'!$D$9:$D$206,CONCATENATE(VLOOKUP(P$5,$G$1:$H$4,2,FALSE),$E55,9,1,1))</f>
        <v>0</v>
      </c>
      <c r="W55" s="433">
        <f>SUMIF('納品書明細16-E'!$C$9:$C$206,CONCATENATE(VLOOKUP(P$5,$G$1:$H$4,2,FALSE),$E55,9,1),'納品書明細16-E'!$Q$9:$Q$206)</f>
        <v>0</v>
      </c>
      <c r="X55" s="64"/>
      <c r="Y55" s="133">
        <f>COUNTIF('納品書明細16-E'!$D$9:$D$206,CONCATENATE(VLOOKUP(Y$5,$G$1:$H$4,2,FALSE),$E55,1,1,1))</f>
        <v>0</v>
      </c>
      <c r="Z55" s="161">
        <f>SUMIF('納品書明細16-E'!$C$9:$C$206,CONCATENATE(VLOOKUP(Y$5,$G$1:$H$4,2,FALSE),$E55,1,1),'納品書明細16-E'!$Q$9:$Q$206)</f>
        <v>0</v>
      </c>
      <c r="AA55" s="345"/>
      <c r="AB55" s="122"/>
      <c r="AC55" s="128"/>
      <c r="AD55" s="345"/>
      <c r="AE55" s="126">
        <f>COUNTIF('納品書明細16-E'!$D$9:$D$206,CONCATENATE(VLOOKUP(Y$5,$G$1:$H$4,2,FALSE),$E55,9,1,1))</f>
        <v>0</v>
      </c>
      <c r="AF55" s="433">
        <f>SUMIF('納品書明細16-E'!$C$9:$C$206,CONCATENATE(VLOOKUP(Y$5,$G$1:$H$4,2,FALSE),$E55,9,1),'納品書明細16-E'!$Q$9:$Q$206)</f>
        <v>0</v>
      </c>
    </row>
    <row r="56" spans="1:32">
      <c r="A56" s="474" t="str">
        <f>IF(SUMIFS($G56:$AF56,$G$8:$AF$8,"金額",$G56:$AF56,"&gt;0")-SUMIFS($G56:$AF56,$G$8:$AF$8,"金額",$G56:$AF56,"&lt;0")&lt;=0,"",MAX($A$8:$A55)+1)</f>
        <v/>
      </c>
      <c r="B56" s="802"/>
      <c r="C56" s="245" t="str">
        <f t="shared" si="1"/>
        <v>商品</v>
      </c>
      <c r="D56" s="245">
        <v>48</v>
      </c>
      <c r="E56" s="590" t="str">
        <f>IF($F56&lt;&gt;"",INDEX(ﾏｽﾀ!$D$8:$D$124,MATCH(INDEX(ﾏｽﾀ!$N$8:$N$124,MATCH($F56,ﾏｽﾀ!$O$8:$O$124,0)),ﾏｽﾀ!$B$8:$B$124,0))&amp;"","")</f>
        <v>85000</v>
      </c>
      <c r="F56" s="589" t="str">
        <f>ﾏｽﾀ!$R55&amp;""</f>
        <v>有限会社ユハラ・インターナショナル</v>
      </c>
      <c r="G56" s="133">
        <f>COUNTIF('納品書明細16-E'!$D$9:$D$206,CONCATENATE(VLOOKUP(G$5,$G$1:$H$4,2,FALSE),$E56,1,1,1))</f>
        <v>0</v>
      </c>
      <c r="H56" s="127">
        <f>SUMIF('納品書明細16-E'!$C$9:$C$206,CONCATENATE(VLOOKUP(G$5,$G$1:$H$4,2,FALSE),$E56,1,1),'納品書明細16-E'!$Q$9:$Q$206)</f>
        <v>0</v>
      </c>
      <c r="I56" s="345"/>
      <c r="J56" s="122"/>
      <c r="K56" s="359"/>
      <c r="L56" s="345"/>
      <c r="M56" s="126">
        <f>COUNTIF('納品書明細16-E'!$D$9:$D$206,CONCATENATE(VLOOKUP(G$5,$G$1:$H$4,2,FALSE),$E56,9,1,1))</f>
        <v>0</v>
      </c>
      <c r="N56" s="434">
        <f>SUMIF('納品書明細16-E'!$C$9:$C$206,CONCATENATE(VLOOKUP(G$5,$G$1:$H$4,2,FALSE),$E56,9,1),'納品書明細16-E'!$Q$9:$Q$206)</f>
        <v>0</v>
      </c>
      <c r="O56" s="64"/>
      <c r="P56" s="133">
        <f>COUNTIF('納品書明細16-E'!$D$9:$D$206,CONCATENATE(VLOOKUP(P$5,$G$1:$H$4,2,FALSE),$E56,1,1,1))</f>
        <v>0</v>
      </c>
      <c r="Q56" s="161">
        <f>SUMIF('納品書明細16-E'!$C$9:$C$206,CONCATENATE(VLOOKUP(P$5,$G$1:$H$4,2,FALSE),$E56,1,1),'納品書明細16-E'!$Q$9:$Q$206)</f>
        <v>0</v>
      </c>
      <c r="R56" s="345"/>
      <c r="S56" s="122"/>
      <c r="T56" s="128"/>
      <c r="U56" s="345"/>
      <c r="V56" s="126">
        <f>COUNTIF('納品書明細16-E'!$D$9:$D$206,CONCATENATE(VLOOKUP(P$5,$G$1:$H$4,2,FALSE),$E56,9,1,1))</f>
        <v>0</v>
      </c>
      <c r="W56" s="433">
        <f>SUMIF('納品書明細16-E'!$C$9:$C$206,CONCATENATE(VLOOKUP(P$5,$G$1:$H$4,2,FALSE),$E56,9,1),'納品書明細16-E'!$Q$9:$Q$206)</f>
        <v>0</v>
      </c>
      <c r="X56" s="64"/>
      <c r="Y56" s="133">
        <f>COUNTIF('納品書明細16-E'!$D$9:$D$206,CONCATENATE(VLOOKUP(Y$5,$G$1:$H$4,2,FALSE),$E56,1,1,1))</f>
        <v>0</v>
      </c>
      <c r="Z56" s="161">
        <f>SUMIF('納品書明細16-E'!$C$9:$C$206,CONCATENATE(VLOOKUP(Y$5,$G$1:$H$4,2,FALSE),$E56,1,1),'納品書明細16-E'!$Q$9:$Q$206)</f>
        <v>0</v>
      </c>
      <c r="AA56" s="345"/>
      <c r="AB56" s="122"/>
      <c r="AC56" s="128"/>
      <c r="AD56" s="345"/>
      <c r="AE56" s="126">
        <f>COUNTIF('納品書明細16-E'!$D$9:$D$206,CONCATENATE(VLOOKUP(Y$5,$G$1:$H$4,2,FALSE),$E56,9,1,1))</f>
        <v>0</v>
      </c>
      <c r="AF56" s="433">
        <f>SUMIF('納品書明細16-E'!$C$9:$C$206,CONCATENATE(VLOOKUP(Y$5,$G$1:$H$4,2,FALSE),$E56,9,1),'納品書明細16-E'!$Q$9:$Q$206)</f>
        <v>0</v>
      </c>
    </row>
    <row r="57" spans="1:32">
      <c r="A57" s="474" t="str">
        <f>IF(SUMIFS($G57:$AF57,$G$8:$AF$8,"金額",$G57:$AF57,"&gt;0")-SUMIFS($G57:$AF57,$G$8:$AF$8,"金額",$G57:$AF57,"&lt;0")&lt;=0,"",MAX($A$8:$A56)+1)</f>
        <v/>
      </c>
      <c r="B57" s="802"/>
      <c r="C57" s="245" t="str">
        <f t="shared" si="1"/>
        <v>商品</v>
      </c>
      <c r="D57" s="245">
        <v>49</v>
      </c>
      <c r="E57" s="590" t="str">
        <f>IF($F57&lt;&gt;"",INDEX(ﾏｽﾀ!$D$8:$D$124,MATCH(INDEX(ﾏｽﾀ!$N$8:$N$124,MATCH($F57,ﾏｽﾀ!$O$8:$O$124,0)),ﾏｽﾀ!$B$8:$B$124,0))&amp;"","")</f>
        <v>89000</v>
      </c>
      <c r="F57" s="589" t="str">
        <f>ﾏｽﾀ!$R56&amp;""</f>
        <v>株式会社ライブ・ワークス</v>
      </c>
      <c r="G57" s="133">
        <f>COUNTIF('納品書明細16-E'!$D$9:$D$206,CONCATENATE(VLOOKUP(G$5,$G$1:$H$4,2,FALSE),$E57,1,1,1))</f>
        <v>0</v>
      </c>
      <c r="H57" s="127">
        <f>SUMIF('納品書明細16-E'!$C$9:$C$206,CONCATENATE(VLOOKUP(G$5,$G$1:$H$4,2,FALSE),$E57,1,1),'納品書明細16-E'!$Q$9:$Q$206)</f>
        <v>0</v>
      </c>
      <c r="I57" s="345"/>
      <c r="J57" s="122"/>
      <c r="K57" s="359"/>
      <c r="L57" s="345"/>
      <c r="M57" s="126">
        <f>COUNTIF('納品書明細16-E'!$D$9:$D$206,CONCATENATE(VLOOKUP(G$5,$G$1:$H$4,2,FALSE),$E57,9,1,1))</f>
        <v>0</v>
      </c>
      <c r="N57" s="434">
        <f>SUMIF('納品書明細16-E'!$C$9:$C$206,CONCATENATE(VLOOKUP(G$5,$G$1:$H$4,2,FALSE),$E57,9,1),'納品書明細16-E'!$Q$9:$Q$206)</f>
        <v>0</v>
      </c>
      <c r="O57" s="64"/>
      <c r="P57" s="133">
        <f>COUNTIF('納品書明細16-E'!$D$9:$D$206,CONCATENATE(VLOOKUP(P$5,$G$1:$H$4,2,FALSE),$E57,1,1,1))</f>
        <v>0</v>
      </c>
      <c r="Q57" s="161">
        <f>SUMIF('納品書明細16-E'!$C$9:$C$206,CONCATENATE(VLOOKUP(P$5,$G$1:$H$4,2,FALSE),$E57,1,1),'納品書明細16-E'!$Q$9:$Q$206)</f>
        <v>0</v>
      </c>
      <c r="R57" s="345"/>
      <c r="S57" s="122"/>
      <c r="T57" s="128"/>
      <c r="U57" s="345"/>
      <c r="V57" s="126">
        <f>COUNTIF('納品書明細16-E'!$D$9:$D$206,CONCATENATE(VLOOKUP(P$5,$G$1:$H$4,2,FALSE),$E57,9,1,1))</f>
        <v>0</v>
      </c>
      <c r="W57" s="433">
        <f>SUMIF('納品書明細16-E'!$C$9:$C$206,CONCATENATE(VLOOKUP(P$5,$G$1:$H$4,2,FALSE),$E57,9,1),'納品書明細16-E'!$Q$9:$Q$206)</f>
        <v>0</v>
      </c>
      <c r="X57" s="64"/>
      <c r="Y57" s="133">
        <f>COUNTIF('納品書明細16-E'!$D$9:$D$206,CONCATENATE(VLOOKUP(Y$5,$G$1:$H$4,2,FALSE),$E57,1,1,1))</f>
        <v>0</v>
      </c>
      <c r="Z57" s="161">
        <f>SUMIF('納品書明細16-E'!$C$9:$C$206,CONCATENATE(VLOOKUP(Y$5,$G$1:$H$4,2,FALSE),$E57,1,1),'納品書明細16-E'!$Q$9:$Q$206)</f>
        <v>0</v>
      </c>
      <c r="AA57" s="345"/>
      <c r="AB57" s="122"/>
      <c r="AC57" s="128"/>
      <c r="AD57" s="345"/>
      <c r="AE57" s="126">
        <f>COUNTIF('納品書明細16-E'!$D$9:$D$206,CONCATENATE(VLOOKUP(Y$5,$G$1:$H$4,2,FALSE),$E57,9,1,1))</f>
        <v>0</v>
      </c>
      <c r="AF57" s="433">
        <f>SUMIF('納品書明細16-E'!$C$9:$C$206,CONCATENATE(VLOOKUP(Y$5,$G$1:$H$4,2,FALSE),$E57,9,1),'納品書明細16-E'!$Q$9:$Q$206)</f>
        <v>0</v>
      </c>
    </row>
    <row r="58" spans="1:32">
      <c r="A58" s="474" t="str">
        <f>IF(SUMIFS($G58:$AF58,$G$8:$AF$8,"金額",$G58:$AF58,"&gt;0")-SUMIFS($G58:$AF58,$G$8:$AF$8,"金額",$G58:$AF58,"&lt;0")&lt;=0,"",MAX($A$8:$A57)+1)</f>
        <v/>
      </c>
      <c r="B58" s="802"/>
      <c r="C58" s="245" t="str">
        <f t="shared" si="1"/>
        <v>商品</v>
      </c>
      <c r="D58" s="245">
        <v>50</v>
      </c>
      <c r="E58" s="590" t="str">
        <f>IF($F58&lt;&gt;"",INDEX(ﾏｽﾀ!$D$8:$D$124,MATCH(INDEX(ﾏｽﾀ!$N$8:$N$124,MATCH($F58,ﾏｽﾀ!$O$8:$O$124,0)),ﾏｽﾀ!$B$8:$B$124,0))&amp;"","")</f>
        <v>90001</v>
      </c>
      <c r="F58" s="589" t="str">
        <f>ﾏｽﾀ!$R57&amp;""</f>
        <v>株式会社ロジパルエクスプレス　3200/川崎営業所</v>
      </c>
      <c r="G58" s="133">
        <f>COUNTIF('納品書明細16-E'!$D$9:$D$206,CONCATENATE(VLOOKUP(G$5,$G$1:$H$4,2,FALSE),$E58,1,1,1))</f>
        <v>0</v>
      </c>
      <c r="H58" s="127">
        <f>SUMIF('納品書明細16-E'!$C$9:$C$206,CONCATENATE(VLOOKUP(G$5,$G$1:$H$4,2,FALSE),$E58,1,1),'納品書明細16-E'!$Q$9:$Q$206)</f>
        <v>0</v>
      </c>
      <c r="I58" s="345"/>
      <c r="J58" s="122"/>
      <c r="K58" s="359"/>
      <c r="L58" s="345"/>
      <c r="M58" s="126">
        <f>COUNTIF('納品書明細16-E'!$D$9:$D$206,CONCATENATE(VLOOKUP(G$5,$G$1:$H$4,2,FALSE),$E58,9,1,1))</f>
        <v>0</v>
      </c>
      <c r="N58" s="434">
        <f>SUMIF('納品書明細16-E'!$C$9:$C$206,CONCATENATE(VLOOKUP(G$5,$G$1:$H$4,2,FALSE),$E58,9,1),'納品書明細16-E'!$Q$9:$Q$206)</f>
        <v>0</v>
      </c>
      <c r="O58" s="64"/>
      <c r="P58" s="133">
        <f>COUNTIF('納品書明細16-E'!$D$9:$D$206,CONCATENATE(VLOOKUP(P$5,$G$1:$H$4,2,FALSE),$E58,1,1,1))</f>
        <v>0</v>
      </c>
      <c r="Q58" s="161">
        <f>SUMIF('納品書明細16-E'!$C$9:$C$206,CONCATENATE(VLOOKUP(P$5,$G$1:$H$4,2,FALSE),$E58,1,1),'納品書明細16-E'!$Q$9:$Q$206)</f>
        <v>0</v>
      </c>
      <c r="R58" s="345"/>
      <c r="S58" s="122"/>
      <c r="T58" s="128"/>
      <c r="U58" s="345"/>
      <c r="V58" s="126">
        <f>COUNTIF('納品書明細16-E'!$D$9:$D$206,CONCATENATE(VLOOKUP(P$5,$G$1:$H$4,2,FALSE),$E58,9,1,1))</f>
        <v>0</v>
      </c>
      <c r="W58" s="433">
        <f>SUMIF('納品書明細16-E'!$C$9:$C$206,CONCATENATE(VLOOKUP(P$5,$G$1:$H$4,2,FALSE),$E58,9,1),'納品書明細16-E'!$Q$9:$Q$206)</f>
        <v>0</v>
      </c>
      <c r="X58" s="64"/>
      <c r="Y58" s="133">
        <f>COUNTIF('納品書明細16-E'!$D$9:$D$206,CONCATENATE(VLOOKUP(Y$5,$G$1:$H$4,2,FALSE),$E58,1,1,1))</f>
        <v>0</v>
      </c>
      <c r="Z58" s="161">
        <f>SUMIF('納品書明細16-E'!$C$9:$C$206,CONCATENATE(VLOOKUP(Y$5,$G$1:$H$4,2,FALSE),$E58,1,1),'納品書明細16-E'!$Q$9:$Q$206)</f>
        <v>0</v>
      </c>
      <c r="AA58" s="345"/>
      <c r="AB58" s="122"/>
      <c r="AC58" s="128"/>
      <c r="AD58" s="345"/>
      <c r="AE58" s="126">
        <f>COUNTIF('納品書明細16-E'!$D$9:$D$206,CONCATENATE(VLOOKUP(Y$5,$G$1:$H$4,2,FALSE),$E58,9,1,1))</f>
        <v>0</v>
      </c>
      <c r="AF58" s="433">
        <f>SUMIF('納品書明細16-E'!$C$9:$C$206,CONCATENATE(VLOOKUP(Y$5,$G$1:$H$4,2,FALSE),$E58,9,1),'納品書明細16-E'!$Q$9:$Q$206)</f>
        <v>0</v>
      </c>
    </row>
    <row r="59" spans="1:32">
      <c r="A59" s="474" t="str">
        <f>IF(SUMIFS($G59:$AF59,$G$8:$AF$8,"金額",$G59:$AF59,"&gt;0")-SUMIFS($G59:$AF59,$G$8:$AF$8,"金額",$G59:$AF59,"&lt;0")&lt;=0,"",MAX($A$8:$A58)+1)</f>
        <v/>
      </c>
      <c r="B59" s="802"/>
      <c r="C59" s="245" t="str">
        <f t="shared" si="1"/>
        <v>商品</v>
      </c>
      <c r="D59" s="245">
        <v>51</v>
      </c>
      <c r="E59" s="590" t="str">
        <f>IF($F59&lt;&gt;"",INDEX(ﾏｽﾀ!$D$8:$D$124,MATCH(INDEX(ﾏｽﾀ!$N$8:$N$124,MATCH($F59,ﾏｽﾀ!$O$8:$O$124,0)),ﾏｽﾀ!$B$8:$B$124,0))&amp;"","")</f>
        <v>91000</v>
      </c>
      <c r="F59" s="589" t="str">
        <f>ﾏｽﾀ!$R58&amp;""</f>
        <v>株式会社バンジハンエース</v>
      </c>
      <c r="G59" s="133">
        <f>COUNTIF('納品書明細16-E'!$D$9:$D$206,CONCATENATE(VLOOKUP(G$5,$G$1:$H$4,2,FALSE),$E59,1,1,1))</f>
        <v>0</v>
      </c>
      <c r="H59" s="127">
        <f>SUMIF('納品書明細16-E'!$C$9:$C$206,CONCATENATE(VLOOKUP(G$5,$G$1:$H$4,2,FALSE),$E59,1,1),'納品書明細16-E'!$Q$9:$Q$206)</f>
        <v>0</v>
      </c>
      <c r="I59" s="345"/>
      <c r="J59" s="122"/>
      <c r="K59" s="359"/>
      <c r="L59" s="345"/>
      <c r="M59" s="126">
        <f>COUNTIF('納品書明細16-E'!$D$9:$D$206,CONCATENATE(VLOOKUP(G$5,$G$1:$H$4,2,FALSE),$E59,9,1,1))</f>
        <v>0</v>
      </c>
      <c r="N59" s="434">
        <f>SUMIF('納品書明細16-E'!$C$9:$C$206,CONCATENATE(VLOOKUP(G$5,$G$1:$H$4,2,FALSE),$E59,9,1),'納品書明細16-E'!$Q$9:$Q$206)</f>
        <v>0</v>
      </c>
      <c r="O59" s="64"/>
      <c r="P59" s="133">
        <f>COUNTIF('納品書明細16-E'!$D$9:$D$206,CONCATENATE(VLOOKUP(P$5,$G$1:$H$4,2,FALSE),$E59,1,1,1))</f>
        <v>0</v>
      </c>
      <c r="Q59" s="161">
        <f>SUMIF('納品書明細16-E'!$C$9:$C$206,CONCATENATE(VLOOKUP(P$5,$G$1:$H$4,2,FALSE),$E59,1,1),'納品書明細16-E'!$Q$9:$Q$206)</f>
        <v>0</v>
      </c>
      <c r="R59" s="345"/>
      <c r="S59" s="122"/>
      <c r="T59" s="128"/>
      <c r="U59" s="345"/>
      <c r="V59" s="126">
        <f>COUNTIF('納品書明細16-E'!$D$9:$D$206,CONCATENATE(VLOOKUP(P$5,$G$1:$H$4,2,FALSE),$E59,9,1,1))</f>
        <v>0</v>
      </c>
      <c r="W59" s="433">
        <f>SUMIF('納品書明細16-E'!$C$9:$C$206,CONCATENATE(VLOOKUP(P$5,$G$1:$H$4,2,FALSE),$E59,9,1),'納品書明細16-E'!$Q$9:$Q$206)</f>
        <v>0</v>
      </c>
      <c r="X59" s="64"/>
      <c r="Y59" s="133">
        <f>COUNTIF('納品書明細16-E'!$D$9:$D$206,CONCATENATE(VLOOKUP(Y$5,$G$1:$H$4,2,FALSE),$E59,1,1,1))</f>
        <v>0</v>
      </c>
      <c r="Z59" s="161">
        <f>SUMIF('納品書明細16-E'!$C$9:$C$206,CONCATENATE(VLOOKUP(Y$5,$G$1:$H$4,2,FALSE),$E59,1,1),'納品書明細16-E'!$Q$9:$Q$206)</f>
        <v>0</v>
      </c>
      <c r="AA59" s="345"/>
      <c r="AB59" s="122"/>
      <c r="AC59" s="128"/>
      <c r="AD59" s="345"/>
      <c r="AE59" s="126">
        <f>COUNTIF('納品書明細16-E'!$D$9:$D$206,CONCATENATE(VLOOKUP(Y$5,$G$1:$H$4,2,FALSE),$E59,9,1,1))</f>
        <v>0</v>
      </c>
      <c r="AF59" s="433">
        <f>SUMIF('納品書明細16-E'!$C$9:$C$206,CONCATENATE(VLOOKUP(Y$5,$G$1:$H$4,2,FALSE),$E59,9,1),'納品書明細16-E'!$Q$9:$Q$206)</f>
        <v>0</v>
      </c>
    </row>
    <row r="60" spans="1:32">
      <c r="A60" s="474" t="str">
        <f>IF(SUMIFS($G60:$AF60,$G$8:$AF$8,"金額",$G60:$AF60,"&gt;0")-SUMIFS($G60:$AF60,$G$8:$AF$8,"金額",$G60:$AF60,"&lt;0")&lt;=0,"",MAX($A$8:$A59)+1)</f>
        <v/>
      </c>
      <c r="B60" s="802"/>
      <c r="C60" s="245" t="str">
        <f t="shared" si="1"/>
        <v>商品</v>
      </c>
      <c r="D60" s="245">
        <v>52</v>
      </c>
      <c r="E60" s="590" t="str">
        <f>IF($F60&lt;&gt;"",INDEX(ﾏｽﾀ!$D$8:$D$124,MATCH(INDEX(ﾏｽﾀ!$N$8:$N$124,MATCH($F60,ﾏｽﾀ!$O$8:$O$124,0)),ﾏｽﾀ!$B$8:$B$124,0))&amp;"","")</f>
        <v/>
      </c>
      <c r="F60" s="589" t="str">
        <f>ﾏｽﾀ!$R59&amp;""</f>
        <v/>
      </c>
      <c r="G60" s="133">
        <f>COUNTIF('納品書明細16-E'!$D$9:$D$206,CONCATENATE(VLOOKUP(G$5,$G$1:$H$4,2,FALSE),$E60,1,1,1))</f>
        <v>0</v>
      </c>
      <c r="H60" s="127">
        <f>SUMIF('納品書明細16-E'!$C$9:$C$206,CONCATENATE(VLOOKUP(G$5,$G$1:$H$4,2,FALSE),$E60,1,1),'納品書明細16-E'!$Q$9:$Q$206)</f>
        <v>0</v>
      </c>
      <c r="I60" s="345"/>
      <c r="J60" s="122"/>
      <c r="K60" s="359"/>
      <c r="L60" s="345"/>
      <c r="M60" s="126">
        <f>COUNTIF('納品書明細16-E'!$D$9:$D$206,CONCATENATE(VLOOKUP(G$5,$G$1:$H$4,2,FALSE),$E60,9,1,1))</f>
        <v>0</v>
      </c>
      <c r="N60" s="434">
        <f>SUMIF('納品書明細16-E'!$C$9:$C$206,CONCATENATE(VLOOKUP(G$5,$G$1:$H$4,2,FALSE),$E60,9,1),'納品書明細16-E'!$Q$9:$Q$206)</f>
        <v>0</v>
      </c>
      <c r="O60" s="64"/>
      <c r="P60" s="133">
        <f>COUNTIF('納品書明細16-E'!$D$9:$D$206,CONCATENATE(VLOOKUP(P$5,$G$1:$H$4,2,FALSE),$E60,1,1,1))</f>
        <v>0</v>
      </c>
      <c r="Q60" s="161">
        <f>SUMIF('納品書明細16-E'!$C$9:$C$206,CONCATENATE(VLOOKUP(P$5,$G$1:$H$4,2,FALSE),$E60,1,1),'納品書明細16-E'!$Q$9:$Q$206)</f>
        <v>0</v>
      </c>
      <c r="R60" s="345"/>
      <c r="S60" s="122"/>
      <c r="T60" s="128"/>
      <c r="U60" s="345"/>
      <c r="V60" s="126">
        <f>COUNTIF('納品書明細16-E'!$D$9:$D$206,CONCATENATE(VLOOKUP(P$5,$G$1:$H$4,2,FALSE),$E60,9,1,1))</f>
        <v>0</v>
      </c>
      <c r="W60" s="433">
        <f>SUMIF('納品書明細16-E'!$C$9:$C$206,CONCATENATE(VLOOKUP(P$5,$G$1:$H$4,2,FALSE),$E60,9,1),'納品書明細16-E'!$Q$9:$Q$206)</f>
        <v>0</v>
      </c>
      <c r="X60" s="64"/>
      <c r="Y60" s="133">
        <f>COUNTIF('納品書明細16-E'!$D$9:$D$206,CONCATENATE(VLOOKUP(Y$5,$G$1:$H$4,2,FALSE),$E60,1,1,1))</f>
        <v>0</v>
      </c>
      <c r="Z60" s="161">
        <f>SUMIF('納品書明細16-E'!$C$9:$C$206,CONCATENATE(VLOOKUP(Y$5,$G$1:$H$4,2,FALSE),$E60,1,1),'納品書明細16-E'!$Q$9:$Q$206)</f>
        <v>0</v>
      </c>
      <c r="AA60" s="345"/>
      <c r="AB60" s="122"/>
      <c r="AC60" s="128"/>
      <c r="AD60" s="345"/>
      <c r="AE60" s="126">
        <f>COUNTIF('納品書明細16-E'!$D$9:$D$206,CONCATENATE(VLOOKUP(Y$5,$G$1:$H$4,2,FALSE),$E60,9,1,1))</f>
        <v>0</v>
      </c>
      <c r="AF60" s="433">
        <f>SUMIF('納品書明細16-E'!$C$9:$C$206,CONCATENATE(VLOOKUP(Y$5,$G$1:$H$4,2,FALSE),$E60,9,1),'納品書明細16-E'!$Q$9:$Q$206)</f>
        <v>0</v>
      </c>
    </row>
    <row r="61" spans="1:32">
      <c r="A61" s="474" t="str">
        <f>IF(SUMIFS($G61:$AF61,$G$8:$AF$8,"金額",$G61:$AF61,"&gt;0")-SUMIFS($G61:$AF61,$G$8:$AF$8,"金額",$G61:$AF61,"&lt;0")&lt;=0,"",MAX($A$8:$A60)+1)</f>
        <v/>
      </c>
      <c r="B61" s="802"/>
      <c r="C61" s="245" t="str">
        <f t="shared" si="1"/>
        <v>商品</v>
      </c>
      <c r="D61" s="245">
        <v>53</v>
      </c>
      <c r="E61" s="590" t="str">
        <f>IF($F61&lt;&gt;"",INDEX(ﾏｽﾀ!$D$8:$D$124,MATCH(INDEX(ﾏｽﾀ!$N$8:$N$124,MATCH($F61,ﾏｽﾀ!$O$8:$O$124,0)),ﾏｽﾀ!$B$8:$B$124,0))&amp;"","")</f>
        <v/>
      </c>
      <c r="F61" s="589" t="str">
        <f>ﾏｽﾀ!$R60&amp;""</f>
        <v/>
      </c>
      <c r="G61" s="133">
        <f>COUNTIF('納品書明細16-E'!$D$9:$D$206,CONCATENATE(VLOOKUP(G$5,$G$1:$H$4,2,FALSE),$E61,1,1,1))</f>
        <v>0</v>
      </c>
      <c r="H61" s="127">
        <f>SUMIF('納品書明細16-E'!$C$9:$C$206,CONCATENATE(VLOOKUP(G$5,$G$1:$H$4,2,FALSE),$E61,1,1),'納品書明細16-E'!$Q$9:$Q$206)</f>
        <v>0</v>
      </c>
      <c r="I61" s="345"/>
      <c r="J61" s="122"/>
      <c r="K61" s="359"/>
      <c r="L61" s="345"/>
      <c r="M61" s="126">
        <f>COUNTIF('納品書明細16-E'!$D$9:$D$206,CONCATENATE(VLOOKUP(G$5,$G$1:$H$4,2,FALSE),$E61,9,1,1))</f>
        <v>0</v>
      </c>
      <c r="N61" s="434">
        <f>SUMIF('納品書明細16-E'!$C$9:$C$206,CONCATENATE(VLOOKUP(G$5,$G$1:$H$4,2,FALSE),$E61,9,1),'納品書明細16-E'!$Q$9:$Q$206)</f>
        <v>0</v>
      </c>
      <c r="O61" s="64"/>
      <c r="P61" s="133">
        <f>COUNTIF('納品書明細16-E'!$D$9:$D$206,CONCATENATE(VLOOKUP(P$5,$G$1:$H$4,2,FALSE),$E61,1,1,1))</f>
        <v>0</v>
      </c>
      <c r="Q61" s="161">
        <f>SUMIF('納品書明細16-E'!$C$9:$C$206,CONCATENATE(VLOOKUP(P$5,$G$1:$H$4,2,FALSE),$E61,1,1),'納品書明細16-E'!$Q$9:$Q$206)</f>
        <v>0</v>
      </c>
      <c r="R61" s="345"/>
      <c r="S61" s="122"/>
      <c r="T61" s="128"/>
      <c r="U61" s="345"/>
      <c r="V61" s="126">
        <f>COUNTIF('納品書明細16-E'!$D$9:$D$206,CONCATENATE(VLOOKUP(P$5,$G$1:$H$4,2,FALSE),$E61,9,1,1))</f>
        <v>0</v>
      </c>
      <c r="W61" s="433">
        <f>SUMIF('納品書明細16-E'!$C$9:$C$206,CONCATENATE(VLOOKUP(P$5,$G$1:$H$4,2,FALSE),$E61,9,1),'納品書明細16-E'!$Q$9:$Q$206)</f>
        <v>0</v>
      </c>
      <c r="X61" s="64"/>
      <c r="Y61" s="133">
        <f>COUNTIF('納品書明細16-E'!$D$9:$D$206,CONCATENATE(VLOOKUP(Y$5,$G$1:$H$4,2,FALSE),$E61,1,1,1))</f>
        <v>0</v>
      </c>
      <c r="Z61" s="161">
        <f>SUMIF('納品書明細16-E'!$C$9:$C$206,CONCATENATE(VLOOKUP(Y$5,$G$1:$H$4,2,FALSE),$E61,1,1),'納品書明細16-E'!$Q$9:$Q$206)</f>
        <v>0</v>
      </c>
      <c r="AA61" s="345"/>
      <c r="AB61" s="122"/>
      <c r="AC61" s="128"/>
      <c r="AD61" s="345"/>
      <c r="AE61" s="126">
        <f>COUNTIF('納品書明細16-E'!$D$9:$D$206,CONCATENATE(VLOOKUP(Y$5,$G$1:$H$4,2,FALSE),$E61,9,1,1))</f>
        <v>0</v>
      </c>
      <c r="AF61" s="433">
        <f>SUMIF('納品書明細16-E'!$C$9:$C$206,CONCATENATE(VLOOKUP(Y$5,$G$1:$H$4,2,FALSE),$E61,9,1),'納品書明細16-E'!$Q$9:$Q$206)</f>
        <v>0</v>
      </c>
    </row>
    <row r="62" spans="1:32">
      <c r="A62" s="474" t="str">
        <f>IF(SUMIFS($G62:$AF62,$G$8:$AF$8,"金額",$G62:$AF62,"&gt;0")-SUMIFS($G62:$AF62,$G$8:$AF$8,"金額",$G62:$AF62,"&lt;0")&lt;=0,"",MAX($A$8:$A61)+1)</f>
        <v/>
      </c>
      <c r="B62" s="802"/>
      <c r="C62" s="245" t="str">
        <f t="shared" si="1"/>
        <v>商品</v>
      </c>
      <c r="D62" s="245">
        <v>54</v>
      </c>
      <c r="E62" s="590" t="str">
        <f>IF($F62&lt;&gt;"",INDEX(ﾏｽﾀ!$D$8:$D$124,MATCH(INDEX(ﾏｽﾀ!$N$8:$N$124,MATCH($F62,ﾏｽﾀ!$O$8:$O$124,0)),ﾏｽﾀ!$B$8:$B$124,0))&amp;"","")</f>
        <v/>
      </c>
      <c r="F62" s="589" t="str">
        <f>ﾏｽﾀ!$R61&amp;""</f>
        <v/>
      </c>
      <c r="G62" s="133">
        <f>COUNTIF('納品書明細16-E'!$D$9:$D$206,CONCATENATE(VLOOKUP(G$5,$G$1:$H$4,2,FALSE),$E62,1,1,1))</f>
        <v>0</v>
      </c>
      <c r="H62" s="127">
        <f>SUMIF('納品書明細16-E'!$C$9:$C$206,CONCATENATE(VLOOKUP(G$5,$G$1:$H$4,2,FALSE),$E62,1,1),'納品書明細16-E'!$Q$9:$Q$206)</f>
        <v>0</v>
      </c>
      <c r="I62" s="345"/>
      <c r="J62" s="122"/>
      <c r="K62" s="359"/>
      <c r="L62" s="345"/>
      <c r="M62" s="126">
        <f>COUNTIF('納品書明細16-E'!$D$9:$D$206,CONCATENATE(VLOOKUP(G$5,$G$1:$H$4,2,FALSE),$E62,9,1,1))</f>
        <v>0</v>
      </c>
      <c r="N62" s="434">
        <f>SUMIF('納品書明細16-E'!$C$9:$C$206,CONCATENATE(VLOOKUP(G$5,$G$1:$H$4,2,FALSE),$E62,9,1),'納品書明細16-E'!$Q$9:$Q$206)</f>
        <v>0</v>
      </c>
      <c r="O62" s="64"/>
      <c r="P62" s="133">
        <f>COUNTIF('納品書明細16-E'!$D$9:$D$206,CONCATENATE(VLOOKUP(P$5,$G$1:$H$4,2,FALSE),$E62,1,1,1))</f>
        <v>0</v>
      </c>
      <c r="Q62" s="161">
        <f>SUMIF('納品書明細16-E'!$C$9:$C$206,CONCATENATE(VLOOKUP(P$5,$G$1:$H$4,2,FALSE),$E62,1,1),'納品書明細16-E'!$Q$9:$Q$206)</f>
        <v>0</v>
      </c>
      <c r="R62" s="345"/>
      <c r="S62" s="122"/>
      <c r="T62" s="128"/>
      <c r="U62" s="345"/>
      <c r="V62" s="126">
        <f>COUNTIF('納品書明細16-E'!$D$9:$D$206,CONCATENATE(VLOOKUP(P$5,$G$1:$H$4,2,FALSE),$E62,9,1,1))</f>
        <v>0</v>
      </c>
      <c r="W62" s="433">
        <f>SUMIF('納品書明細16-E'!$C$9:$C$206,CONCATENATE(VLOOKUP(P$5,$G$1:$H$4,2,FALSE),$E62,9,1),'納品書明細16-E'!$Q$9:$Q$206)</f>
        <v>0</v>
      </c>
      <c r="X62" s="64"/>
      <c r="Y62" s="133">
        <f>COUNTIF('納品書明細16-E'!$D$9:$D$206,CONCATENATE(VLOOKUP(Y$5,$G$1:$H$4,2,FALSE),$E62,1,1,1))</f>
        <v>0</v>
      </c>
      <c r="Z62" s="161">
        <f>SUMIF('納品書明細16-E'!$C$9:$C$206,CONCATENATE(VLOOKUP(Y$5,$G$1:$H$4,2,FALSE),$E62,1,1),'納品書明細16-E'!$Q$9:$Q$206)</f>
        <v>0</v>
      </c>
      <c r="AA62" s="345"/>
      <c r="AB62" s="122"/>
      <c r="AC62" s="128"/>
      <c r="AD62" s="345"/>
      <c r="AE62" s="126">
        <f>COUNTIF('納品書明細16-E'!$D$9:$D$206,CONCATENATE(VLOOKUP(Y$5,$G$1:$H$4,2,FALSE),$E62,9,1,1))</f>
        <v>0</v>
      </c>
      <c r="AF62" s="433">
        <f>SUMIF('納品書明細16-E'!$C$9:$C$206,CONCATENATE(VLOOKUP(Y$5,$G$1:$H$4,2,FALSE),$E62,9,1),'納品書明細16-E'!$Q$9:$Q$206)</f>
        <v>0</v>
      </c>
    </row>
    <row r="63" spans="1:32">
      <c r="A63" s="474" t="str">
        <f>IF(SUMIFS($G63:$AF63,$G$8:$AF$8,"金額",$G63:$AF63,"&gt;0")-SUMIFS($G63:$AF63,$G$8:$AF$8,"金額",$G63:$AF63,"&lt;0")&lt;=0,"",MAX($A$8:$A62)+1)</f>
        <v/>
      </c>
      <c r="B63" s="802"/>
      <c r="C63" s="245" t="str">
        <f t="shared" si="1"/>
        <v>商品</v>
      </c>
      <c r="D63" s="245">
        <v>55</v>
      </c>
      <c r="E63" s="590" t="str">
        <f>IF($F63&lt;&gt;"",INDEX(ﾏｽﾀ!$D$8:$D$124,MATCH(INDEX(ﾏｽﾀ!$N$8:$N$124,MATCH($F63,ﾏｽﾀ!$O$8:$O$124,0)),ﾏｽﾀ!$B$8:$B$124,0))&amp;"","")</f>
        <v/>
      </c>
      <c r="F63" s="589" t="str">
        <f>ﾏｽﾀ!$R62&amp;""</f>
        <v/>
      </c>
      <c r="G63" s="133">
        <f>COUNTIF('納品書明細16-E'!$D$9:$D$206,CONCATENATE(VLOOKUP(G$5,$G$1:$H$4,2,FALSE),$E63,1,1,1))</f>
        <v>0</v>
      </c>
      <c r="H63" s="127">
        <f>SUMIF('納品書明細16-E'!$C$9:$C$206,CONCATENATE(VLOOKUP(G$5,$G$1:$H$4,2,FALSE),$E63,1,1),'納品書明細16-E'!$Q$9:$Q$206)</f>
        <v>0</v>
      </c>
      <c r="I63" s="345"/>
      <c r="J63" s="122"/>
      <c r="K63" s="359"/>
      <c r="L63" s="345"/>
      <c r="M63" s="126">
        <f>COUNTIF('納品書明細16-E'!$D$9:$D$206,CONCATENATE(VLOOKUP(G$5,$G$1:$H$4,2,FALSE),$E63,9,1,1))</f>
        <v>0</v>
      </c>
      <c r="N63" s="434">
        <f>SUMIF('納品書明細16-E'!$C$9:$C$206,CONCATENATE(VLOOKUP(G$5,$G$1:$H$4,2,FALSE),$E63,9,1),'納品書明細16-E'!$Q$9:$Q$206)</f>
        <v>0</v>
      </c>
      <c r="O63" s="64"/>
      <c r="P63" s="133">
        <f>COUNTIF('納品書明細16-E'!$D$9:$D$206,CONCATENATE(VLOOKUP(P$5,$G$1:$H$4,2,FALSE),$E63,1,1,1))</f>
        <v>0</v>
      </c>
      <c r="Q63" s="161">
        <f>SUMIF('納品書明細16-E'!$C$9:$C$206,CONCATENATE(VLOOKUP(P$5,$G$1:$H$4,2,FALSE),$E63,1,1),'納品書明細16-E'!$Q$9:$Q$206)</f>
        <v>0</v>
      </c>
      <c r="R63" s="345"/>
      <c r="S63" s="122"/>
      <c r="T63" s="128"/>
      <c r="U63" s="345"/>
      <c r="V63" s="126">
        <f>COUNTIF('納品書明細16-E'!$D$9:$D$206,CONCATENATE(VLOOKUP(P$5,$G$1:$H$4,2,FALSE),$E63,9,1,1))</f>
        <v>0</v>
      </c>
      <c r="W63" s="433">
        <f>SUMIF('納品書明細16-E'!$C$9:$C$206,CONCATENATE(VLOOKUP(P$5,$G$1:$H$4,2,FALSE),$E63,9,1),'納品書明細16-E'!$Q$9:$Q$206)</f>
        <v>0</v>
      </c>
      <c r="X63" s="64"/>
      <c r="Y63" s="133">
        <f>COUNTIF('納品書明細16-E'!$D$9:$D$206,CONCATENATE(VLOOKUP(Y$5,$G$1:$H$4,2,FALSE),$E63,1,1,1))</f>
        <v>0</v>
      </c>
      <c r="Z63" s="161">
        <f>SUMIF('納品書明細16-E'!$C$9:$C$206,CONCATENATE(VLOOKUP(Y$5,$G$1:$H$4,2,FALSE),$E63,1,1),'納品書明細16-E'!$Q$9:$Q$206)</f>
        <v>0</v>
      </c>
      <c r="AA63" s="345"/>
      <c r="AB63" s="122"/>
      <c r="AC63" s="128"/>
      <c r="AD63" s="345"/>
      <c r="AE63" s="126">
        <f>COUNTIF('納品書明細16-E'!$D$9:$D$206,CONCATENATE(VLOOKUP(Y$5,$G$1:$H$4,2,FALSE),$E63,9,1,1))</f>
        <v>0</v>
      </c>
      <c r="AF63" s="433">
        <f>SUMIF('納品書明細16-E'!$C$9:$C$206,CONCATENATE(VLOOKUP(Y$5,$G$1:$H$4,2,FALSE),$E63,9,1),'納品書明細16-E'!$Q$9:$Q$206)</f>
        <v>0</v>
      </c>
    </row>
    <row r="64" spans="1:32">
      <c r="A64" s="474" t="str">
        <f>IF(SUMIFS($G64:$AF64,$G$8:$AF$8,"金額",$G64:$AF64,"&gt;0")-SUMIFS($G64:$AF64,$G$8:$AF$8,"金額",$G64:$AF64,"&lt;0")&lt;=0,"",MAX($A$8:$A63)+1)</f>
        <v/>
      </c>
      <c r="B64" s="802"/>
      <c r="C64" s="245" t="str">
        <f t="shared" si="1"/>
        <v>商品</v>
      </c>
      <c r="D64" s="245">
        <v>56</v>
      </c>
      <c r="E64" s="590" t="str">
        <f>IF($F64&lt;&gt;"",INDEX(ﾏｽﾀ!$D$8:$D$124,MATCH(INDEX(ﾏｽﾀ!$N$8:$N$124,MATCH($F64,ﾏｽﾀ!$O$8:$O$124,0)),ﾏｽﾀ!$B$8:$B$124,0))&amp;"","")</f>
        <v/>
      </c>
      <c r="F64" s="589" t="str">
        <f>ﾏｽﾀ!$R63&amp;""</f>
        <v/>
      </c>
      <c r="G64" s="133">
        <f>COUNTIF('納品書明細16-E'!$D$9:$D$206,CONCATENATE(VLOOKUP(G$5,$G$1:$H$4,2,FALSE),$E64,1,1,1))</f>
        <v>0</v>
      </c>
      <c r="H64" s="127">
        <f>SUMIF('納品書明細16-E'!$C$9:$C$206,CONCATENATE(VLOOKUP(G$5,$G$1:$H$4,2,FALSE),$E64,1,1),'納品書明細16-E'!$Q$9:$Q$206)</f>
        <v>0</v>
      </c>
      <c r="I64" s="345"/>
      <c r="J64" s="122"/>
      <c r="K64" s="359"/>
      <c r="L64" s="345"/>
      <c r="M64" s="126">
        <f>COUNTIF('納品書明細16-E'!$D$9:$D$206,CONCATENATE(VLOOKUP(G$5,$G$1:$H$4,2,FALSE),$E64,9,1,1))</f>
        <v>0</v>
      </c>
      <c r="N64" s="434">
        <f>SUMIF('納品書明細16-E'!$C$9:$C$206,CONCATENATE(VLOOKUP(G$5,$G$1:$H$4,2,FALSE),$E64,9,1),'納品書明細16-E'!$Q$9:$Q$206)</f>
        <v>0</v>
      </c>
      <c r="O64" s="64"/>
      <c r="P64" s="133">
        <f>COUNTIF('納品書明細16-E'!$D$9:$D$206,CONCATENATE(VLOOKUP(P$5,$G$1:$H$4,2,FALSE),$E64,1,1,1))</f>
        <v>0</v>
      </c>
      <c r="Q64" s="161">
        <f>SUMIF('納品書明細16-E'!$C$9:$C$206,CONCATENATE(VLOOKUP(P$5,$G$1:$H$4,2,FALSE),$E64,1,1),'納品書明細16-E'!$Q$9:$Q$206)</f>
        <v>0</v>
      </c>
      <c r="R64" s="345"/>
      <c r="S64" s="122"/>
      <c r="T64" s="128"/>
      <c r="U64" s="345"/>
      <c r="V64" s="126">
        <f>COUNTIF('納品書明細16-E'!$D$9:$D$206,CONCATENATE(VLOOKUP(P$5,$G$1:$H$4,2,FALSE),$E64,9,1,1))</f>
        <v>0</v>
      </c>
      <c r="W64" s="433">
        <f>SUMIF('納品書明細16-E'!$C$9:$C$206,CONCATENATE(VLOOKUP(P$5,$G$1:$H$4,2,FALSE),$E64,9,1),'納品書明細16-E'!$Q$9:$Q$206)</f>
        <v>0</v>
      </c>
      <c r="X64" s="64"/>
      <c r="Y64" s="133">
        <f>COUNTIF('納品書明細16-E'!$D$9:$D$206,CONCATENATE(VLOOKUP(Y$5,$G$1:$H$4,2,FALSE),$E64,1,1,1))</f>
        <v>0</v>
      </c>
      <c r="Z64" s="161">
        <f>SUMIF('納品書明細16-E'!$C$9:$C$206,CONCATENATE(VLOOKUP(Y$5,$G$1:$H$4,2,FALSE),$E64,1,1),'納品書明細16-E'!$Q$9:$Q$206)</f>
        <v>0</v>
      </c>
      <c r="AA64" s="345"/>
      <c r="AB64" s="122"/>
      <c r="AC64" s="128"/>
      <c r="AD64" s="345"/>
      <c r="AE64" s="126">
        <f>COUNTIF('納品書明細16-E'!$D$9:$D$206,CONCATENATE(VLOOKUP(Y$5,$G$1:$H$4,2,FALSE),$E64,9,1,1))</f>
        <v>0</v>
      </c>
      <c r="AF64" s="433">
        <f>SUMIF('納品書明細16-E'!$C$9:$C$206,CONCATENATE(VLOOKUP(Y$5,$G$1:$H$4,2,FALSE),$E64,9,1),'納品書明細16-E'!$Q$9:$Q$206)</f>
        <v>0</v>
      </c>
    </row>
    <row r="65" spans="1:32">
      <c r="A65" s="474" t="str">
        <f>IF(SUMIFS($G65:$AF65,$G$8:$AF$8,"金額",$G65:$AF65,"&gt;0")-SUMIFS($G65:$AF65,$G$8:$AF$8,"金額",$G65:$AF65,"&lt;0")&lt;=0,"",MAX($A$8:$A64)+1)</f>
        <v/>
      </c>
      <c r="B65" s="802"/>
      <c r="C65" s="245" t="str">
        <f t="shared" si="1"/>
        <v>商品</v>
      </c>
      <c r="D65" s="245">
        <v>57</v>
      </c>
      <c r="E65" s="590" t="str">
        <f>IF($F65&lt;&gt;"",INDEX(ﾏｽﾀ!$D$8:$D$124,MATCH(INDEX(ﾏｽﾀ!$N$8:$N$124,MATCH($F65,ﾏｽﾀ!$O$8:$O$124,0)),ﾏｽﾀ!$B$8:$B$124,0))&amp;"","")</f>
        <v/>
      </c>
      <c r="F65" s="589" t="str">
        <f>ﾏｽﾀ!$R64&amp;""</f>
        <v/>
      </c>
      <c r="G65" s="133">
        <f>COUNTIF('納品書明細16-E'!$D$9:$D$206,CONCATENATE(VLOOKUP(G$5,$G$1:$H$4,2,FALSE),$E65,1,1,1))</f>
        <v>0</v>
      </c>
      <c r="H65" s="127">
        <f>SUMIF('納品書明細16-E'!$C$9:$C$206,CONCATENATE(VLOOKUP(G$5,$G$1:$H$4,2,FALSE),$E65,1,1),'納品書明細16-E'!$Q$9:$Q$206)</f>
        <v>0</v>
      </c>
      <c r="I65" s="345"/>
      <c r="J65" s="122"/>
      <c r="K65" s="359"/>
      <c r="L65" s="345"/>
      <c r="M65" s="126">
        <f>COUNTIF('納品書明細16-E'!$D$9:$D$206,CONCATENATE(VLOOKUP(G$5,$G$1:$H$4,2,FALSE),$E65,9,1,1))</f>
        <v>0</v>
      </c>
      <c r="N65" s="434">
        <f>SUMIF('納品書明細16-E'!$C$9:$C$206,CONCATENATE(VLOOKUP(G$5,$G$1:$H$4,2,FALSE),$E65,9,1),'納品書明細16-E'!$Q$9:$Q$206)</f>
        <v>0</v>
      </c>
      <c r="O65" s="64"/>
      <c r="P65" s="133">
        <f>COUNTIF('納品書明細16-E'!$D$9:$D$206,CONCATENATE(VLOOKUP(P$5,$G$1:$H$4,2,FALSE),$E65,1,1,1))</f>
        <v>0</v>
      </c>
      <c r="Q65" s="161">
        <f>SUMIF('納品書明細16-E'!$C$9:$C$206,CONCATENATE(VLOOKUP(P$5,$G$1:$H$4,2,FALSE),$E65,1,1),'納品書明細16-E'!$Q$9:$Q$206)</f>
        <v>0</v>
      </c>
      <c r="R65" s="345"/>
      <c r="S65" s="122"/>
      <c r="T65" s="128"/>
      <c r="U65" s="345"/>
      <c r="V65" s="126">
        <f>COUNTIF('納品書明細16-E'!$D$9:$D$206,CONCATENATE(VLOOKUP(P$5,$G$1:$H$4,2,FALSE),$E65,9,1,1))</f>
        <v>0</v>
      </c>
      <c r="W65" s="433">
        <f>SUMIF('納品書明細16-E'!$C$9:$C$206,CONCATENATE(VLOOKUP(P$5,$G$1:$H$4,2,FALSE),$E65,9,1),'納品書明細16-E'!$Q$9:$Q$206)</f>
        <v>0</v>
      </c>
      <c r="X65" s="64"/>
      <c r="Y65" s="133">
        <f>COUNTIF('納品書明細16-E'!$D$9:$D$206,CONCATENATE(VLOOKUP(Y$5,$G$1:$H$4,2,FALSE),$E65,1,1,1))</f>
        <v>0</v>
      </c>
      <c r="Z65" s="161">
        <f>SUMIF('納品書明細16-E'!$C$9:$C$206,CONCATENATE(VLOOKUP(Y$5,$G$1:$H$4,2,FALSE),$E65,1,1),'納品書明細16-E'!$Q$9:$Q$206)</f>
        <v>0</v>
      </c>
      <c r="AA65" s="345"/>
      <c r="AB65" s="122"/>
      <c r="AC65" s="128"/>
      <c r="AD65" s="345"/>
      <c r="AE65" s="126">
        <f>COUNTIF('納品書明細16-E'!$D$9:$D$206,CONCATENATE(VLOOKUP(Y$5,$G$1:$H$4,2,FALSE),$E65,9,1,1))</f>
        <v>0</v>
      </c>
      <c r="AF65" s="433">
        <f>SUMIF('納品書明細16-E'!$C$9:$C$206,CONCATENATE(VLOOKUP(Y$5,$G$1:$H$4,2,FALSE),$E65,9,1),'納品書明細16-E'!$Q$9:$Q$206)</f>
        <v>0</v>
      </c>
    </row>
    <row r="66" spans="1:32">
      <c r="A66" s="474" t="str">
        <f>IF(SUMIFS($G66:$AF66,$G$8:$AF$8,"金額",$G66:$AF66,"&gt;0")-SUMIFS($G66:$AF66,$G$8:$AF$8,"金額",$G66:$AF66,"&lt;0")&lt;=0,"",MAX($A$8:$A65)+1)</f>
        <v/>
      </c>
      <c r="B66" s="802"/>
      <c r="C66" s="245" t="str">
        <f t="shared" si="1"/>
        <v>商品</v>
      </c>
      <c r="D66" s="245">
        <v>58</v>
      </c>
      <c r="E66" s="590" t="str">
        <f>IF($F66&lt;&gt;"",INDEX(ﾏｽﾀ!$D$8:$D$124,MATCH(INDEX(ﾏｽﾀ!$N$8:$N$124,MATCH($F66,ﾏｽﾀ!$O$8:$O$124,0)),ﾏｽﾀ!$B$8:$B$124,0))&amp;"","")</f>
        <v/>
      </c>
      <c r="F66" s="589" t="str">
        <f>ﾏｽﾀ!$R65&amp;""</f>
        <v/>
      </c>
      <c r="G66" s="133">
        <f>COUNTIF('納品書明細16-E'!$D$9:$D$206,CONCATENATE(VLOOKUP(G$5,$G$1:$H$4,2,FALSE),$E66,1,1,1))</f>
        <v>0</v>
      </c>
      <c r="H66" s="127">
        <f>SUMIF('納品書明細16-E'!$C$9:$C$206,CONCATENATE(VLOOKUP(G$5,$G$1:$H$4,2,FALSE),$E66,1,1),'納品書明細16-E'!$Q$9:$Q$206)</f>
        <v>0</v>
      </c>
      <c r="I66" s="345"/>
      <c r="J66" s="122"/>
      <c r="K66" s="359"/>
      <c r="L66" s="345"/>
      <c r="M66" s="126">
        <f>COUNTIF('納品書明細16-E'!$D$9:$D$206,CONCATENATE(VLOOKUP(G$5,$G$1:$H$4,2,FALSE),$E66,9,1,1))</f>
        <v>0</v>
      </c>
      <c r="N66" s="434">
        <f>SUMIF('納品書明細16-E'!$C$9:$C$206,CONCATENATE(VLOOKUP(G$5,$G$1:$H$4,2,FALSE),$E66,9,1),'納品書明細16-E'!$Q$9:$Q$206)</f>
        <v>0</v>
      </c>
      <c r="O66" s="64"/>
      <c r="P66" s="133">
        <f>COUNTIF('納品書明細16-E'!$D$9:$D$206,CONCATENATE(VLOOKUP(P$5,$G$1:$H$4,2,FALSE),$E66,1,1,1))</f>
        <v>0</v>
      </c>
      <c r="Q66" s="161">
        <f>SUMIF('納品書明細16-E'!$C$9:$C$206,CONCATENATE(VLOOKUP(P$5,$G$1:$H$4,2,FALSE),$E66,1,1),'納品書明細16-E'!$Q$9:$Q$206)</f>
        <v>0</v>
      </c>
      <c r="R66" s="345"/>
      <c r="S66" s="122"/>
      <c r="T66" s="128"/>
      <c r="U66" s="345"/>
      <c r="V66" s="126">
        <f>COUNTIF('納品書明細16-E'!$D$9:$D$206,CONCATENATE(VLOOKUP(P$5,$G$1:$H$4,2,FALSE),$E66,9,1,1))</f>
        <v>0</v>
      </c>
      <c r="W66" s="433">
        <f>SUMIF('納品書明細16-E'!$C$9:$C$206,CONCATENATE(VLOOKUP(P$5,$G$1:$H$4,2,FALSE),$E66,9,1),'納品書明細16-E'!$Q$9:$Q$206)</f>
        <v>0</v>
      </c>
      <c r="X66" s="64"/>
      <c r="Y66" s="133">
        <f>COUNTIF('納品書明細16-E'!$D$9:$D$206,CONCATENATE(VLOOKUP(Y$5,$G$1:$H$4,2,FALSE),$E66,1,1,1))</f>
        <v>0</v>
      </c>
      <c r="Z66" s="161">
        <f>SUMIF('納品書明細16-E'!$C$9:$C$206,CONCATENATE(VLOOKUP(Y$5,$G$1:$H$4,2,FALSE),$E66,1,1),'納品書明細16-E'!$Q$9:$Q$206)</f>
        <v>0</v>
      </c>
      <c r="AA66" s="345"/>
      <c r="AB66" s="122"/>
      <c r="AC66" s="128"/>
      <c r="AD66" s="345"/>
      <c r="AE66" s="126">
        <f>COUNTIF('納品書明細16-E'!$D$9:$D$206,CONCATENATE(VLOOKUP(Y$5,$G$1:$H$4,2,FALSE),$E66,9,1,1))</f>
        <v>0</v>
      </c>
      <c r="AF66" s="433">
        <f>SUMIF('納品書明細16-E'!$C$9:$C$206,CONCATENATE(VLOOKUP(Y$5,$G$1:$H$4,2,FALSE),$E66,9,1),'納品書明細16-E'!$Q$9:$Q$206)</f>
        <v>0</v>
      </c>
    </row>
    <row r="67" spans="1:32">
      <c r="A67" s="474" t="str">
        <f>IF(SUMIFS($G67:$AF67,$G$8:$AF$8,"金額",$G67:$AF67,"&gt;0")-SUMIFS($G67:$AF67,$G$8:$AF$8,"金額",$G67:$AF67,"&lt;0")&lt;=0,"",MAX($A$8:$A66)+1)</f>
        <v/>
      </c>
      <c r="B67" s="802"/>
      <c r="C67" s="245" t="str">
        <f t="shared" si="1"/>
        <v>商品</v>
      </c>
      <c r="D67" s="245">
        <v>59</v>
      </c>
      <c r="E67" s="590" t="str">
        <f>IF($F67&lt;&gt;"",INDEX(ﾏｽﾀ!$D$8:$D$124,MATCH(INDEX(ﾏｽﾀ!$N$8:$N$124,MATCH($F67,ﾏｽﾀ!$O$8:$O$124,0)),ﾏｽﾀ!$B$8:$B$124,0))&amp;"","")</f>
        <v/>
      </c>
      <c r="F67" s="589" t="str">
        <f>ﾏｽﾀ!$R66&amp;""</f>
        <v/>
      </c>
      <c r="G67" s="133">
        <f>COUNTIF('納品書明細16-E'!$D$9:$D$206,CONCATENATE(VLOOKUP(G$5,$G$1:$H$4,2,FALSE),$E67,1,1,1))</f>
        <v>0</v>
      </c>
      <c r="H67" s="127">
        <f>SUMIF('納品書明細16-E'!$C$9:$C$206,CONCATENATE(VLOOKUP(G$5,$G$1:$H$4,2,FALSE),$E67,1,1),'納品書明細16-E'!$Q$9:$Q$206)</f>
        <v>0</v>
      </c>
      <c r="I67" s="345"/>
      <c r="J67" s="122"/>
      <c r="K67" s="359"/>
      <c r="L67" s="345"/>
      <c r="M67" s="126">
        <f>COUNTIF('納品書明細16-E'!$D$9:$D$206,CONCATENATE(VLOOKUP(G$5,$G$1:$H$4,2,FALSE),$E67,9,1,1))</f>
        <v>0</v>
      </c>
      <c r="N67" s="434">
        <f>SUMIF('納品書明細16-E'!$C$9:$C$206,CONCATENATE(VLOOKUP(G$5,$G$1:$H$4,2,FALSE),$E67,9,1),'納品書明細16-E'!$Q$9:$Q$206)</f>
        <v>0</v>
      </c>
      <c r="O67" s="64"/>
      <c r="P67" s="133">
        <f>COUNTIF('納品書明細16-E'!$D$9:$D$206,CONCATENATE(VLOOKUP(P$5,$G$1:$H$4,2,FALSE),$E67,1,1,1))</f>
        <v>0</v>
      </c>
      <c r="Q67" s="161">
        <f>SUMIF('納品書明細16-E'!$C$9:$C$206,CONCATENATE(VLOOKUP(P$5,$G$1:$H$4,2,FALSE),$E67,1,1),'納品書明細16-E'!$Q$9:$Q$206)</f>
        <v>0</v>
      </c>
      <c r="R67" s="345"/>
      <c r="S67" s="122"/>
      <c r="T67" s="128"/>
      <c r="U67" s="345"/>
      <c r="V67" s="126">
        <f>COUNTIF('納品書明細16-E'!$D$9:$D$206,CONCATENATE(VLOOKUP(P$5,$G$1:$H$4,2,FALSE),$E67,9,1,1))</f>
        <v>0</v>
      </c>
      <c r="W67" s="433">
        <f>SUMIF('納品書明細16-E'!$C$9:$C$206,CONCATENATE(VLOOKUP(P$5,$G$1:$H$4,2,FALSE),$E67,9,1),'納品書明細16-E'!$Q$9:$Q$206)</f>
        <v>0</v>
      </c>
      <c r="X67" s="64"/>
      <c r="Y67" s="133">
        <f>COUNTIF('納品書明細16-E'!$D$9:$D$206,CONCATENATE(VLOOKUP(Y$5,$G$1:$H$4,2,FALSE),$E67,1,1,1))</f>
        <v>0</v>
      </c>
      <c r="Z67" s="161">
        <f>SUMIF('納品書明細16-E'!$C$9:$C$206,CONCATENATE(VLOOKUP(Y$5,$G$1:$H$4,2,FALSE),$E67,1,1),'納品書明細16-E'!$Q$9:$Q$206)</f>
        <v>0</v>
      </c>
      <c r="AA67" s="345"/>
      <c r="AB67" s="122"/>
      <c r="AC67" s="128"/>
      <c r="AD67" s="345"/>
      <c r="AE67" s="126">
        <f>COUNTIF('納品書明細16-E'!$D$9:$D$206,CONCATENATE(VLOOKUP(Y$5,$G$1:$H$4,2,FALSE),$E67,9,1,1))</f>
        <v>0</v>
      </c>
      <c r="AF67" s="433">
        <f>SUMIF('納品書明細16-E'!$C$9:$C$206,CONCATENATE(VLOOKUP(Y$5,$G$1:$H$4,2,FALSE),$E67,9,1),'納品書明細16-E'!$Q$9:$Q$206)</f>
        <v>0</v>
      </c>
    </row>
    <row r="68" spans="1:32">
      <c r="A68" s="474" t="str">
        <f>IF(SUMIFS($G68:$AF68,$G$8:$AF$8,"金額",$G68:$AF68,"&gt;0")-SUMIFS($G68:$AF68,$G$8:$AF$8,"金額",$G68:$AF68,"&lt;0")&lt;=0,"",MAX($A$8:$A67)+1)</f>
        <v/>
      </c>
      <c r="B68" s="802"/>
      <c r="C68" s="245" t="str">
        <f t="shared" si="1"/>
        <v>商品</v>
      </c>
      <c r="D68" s="245">
        <v>60</v>
      </c>
      <c r="E68" s="590" t="str">
        <f>IF($F68&lt;&gt;"",INDEX(ﾏｽﾀ!$D$8:$D$124,MATCH(INDEX(ﾏｽﾀ!$N$8:$N$124,MATCH($F68,ﾏｽﾀ!$O$8:$O$124,0)),ﾏｽﾀ!$B$8:$B$124,0))&amp;"","")</f>
        <v/>
      </c>
      <c r="F68" s="589" t="str">
        <f>ﾏｽﾀ!$R67&amp;""</f>
        <v/>
      </c>
      <c r="G68" s="133">
        <f>COUNTIF('納品書明細16-E'!$D$9:$D$206,CONCATENATE(VLOOKUP(G$5,$G$1:$H$4,2,FALSE),$E68,1,1,1))</f>
        <v>0</v>
      </c>
      <c r="H68" s="127">
        <f>SUMIF('納品書明細16-E'!$C$9:$C$206,CONCATENATE(VLOOKUP(G$5,$G$1:$H$4,2,FALSE),$E68,1,1),'納品書明細16-E'!$Q$9:$Q$206)</f>
        <v>0</v>
      </c>
      <c r="I68" s="345"/>
      <c r="J68" s="122"/>
      <c r="K68" s="359"/>
      <c r="L68" s="345"/>
      <c r="M68" s="126">
        <f>COUNTIF('納品書明細16-E'!$D$9:$D$206,CONCATENATE(VLOOKUP(G$5,$G$1:$H$4,2,FALSE),$E68,9,1,1))</f>
        <v>0</v>
      </c>
      <c r="N68" s="434">
        <f>SUMIF('納品書明細16-E'!$C$9:$C$206,CONCATENATE(VLOOKUP(G$5,$G$1:$H$4,2,FALSE),$E68,9,1),'納品書明細16-E'!$Q$9:$Q$206)</f>
        <v>0</v>
      </c>
      <c r="O68" s="64"/>
      <c r="P68" s="133">
        <f>COUNTIF('納品書明細16-E'!$D$9:$D$206,CONCATENATE(VLOOKUP(P$5,$G$1:$H$4,2,FALSE),$E68,1,1,1))</f>
        <v>0</v>
      </c>
      <c r="Q68" s="161">
        <f>SUMIF('納品書明細16-E'!$C$9:$C$206,CONCATENATE(VLOOKUP(P$5,$G$1:$H$4,2,FALSE),$E68,1,1),'納品書明細16-E'!$Q$9:$Q$206)</f>
        <v>0</v>
      </c>
      <c r="R68" s="345"/>
      <c r="S68" s="122"/>
      <c r="T68" s="128"/>
      <c r="U68" s="345"/>
      <c r="V68" s="126">
        <f>COUNTIF('納品書明細16-E'!$D$9:$D$206,CONCATENATE(VLOOKUP(P$5,$G$1:$H$4,2,FALSE),$E68,9,1,1))</f>
        <v>0</v>
      </c>
      <c r="W68" s="433">
        <f>SUMIF('納品書明細16-E'!$C$9:$C$206,CONCATENATE(VLOOKUP(P$5,$G$1:$H$4,2,FALSE),$E68,9,1),'納品書明細16-E'!$Q$9:$Q$206)</f>
        <v>0</v>
      </c>
      <c r="X68" s="64"/>
      <c r="Y68" s="133">
        <f>COUNTIF('納品書明細16-E'!$D$9:$D$206,CONCATENATE(VLOOKUP(Y$5,$G$1:$H$4,2,FALSE),$E68,1,1,1))</f>
        <v>0</v>
      </c>
      <c r="Z68" s="161">
        <f>SUMIF('納品書明細16-E'!$C$9:$C$206,CONCATENATE(VLOOKUP(Y$5,$G$1:$H$4,2,FALSE),$E68,1,1),'納品書明細16-E'!$Q$9:$Q$206)</f>
        <v>0</v>
      </c>
      <c r="AA68" s="345"/>
      <c r="AB68" s="122"/>
      <c r="AC68" s="128"/>
      <c r="AD68" s="345"/>
      <c r="AE68" s="126">
        <f>COUNTIF('納品書明細16-E'!$D$9:$D$206,CONCATENATE(VLOOKUP(Y$5,$G$1:$H$4,2,FALSE),$E68,9,1,1))</f>
        <v>0</v>
      </c>
      <c r="AF68" s="433">
        <f>SUMIF('納品書明細16-E'!$C$9:$C$206,CONCATENATE(VLOOKUP(Y$5,$G$1:$H$4,2,FALSE),$E68,9,1),'納品書明細16-E'!$Q$9:$Q$206)</f>
        <v>0</v>
      </c>
    </row>
    <row r="69" spans="1:32">
      <c r="A69" s="474" t="str">
        <f>IF(SUMIFS($G69:$AF69,$G$8:$AF$8,"金額",$G69:$AF69,"&gt;0")-SUMIFS($G69:$AF69,$G$8:$AF$8,"金額",$G69:$AF69,"&lt;0")&lt;=0,"",MAX($A$8:$A68)+1)</f>
        <v/>
      </c>
      <c r="B69" s="802"/>
      <c r="C69" s="245" t="str">
        <f t="shared" si="1"/>
        <v>商品</v>
      </c>
      <c r="D69" s="245">
        <v>61</v>
      </c>
      <c r="E69" s="590" t="str">
        <f>IF($F69&lt;&gt;"",INDEX(ﾏｽﾀ!$D$8:$D$124,MATCH(INDEX(ﾏｽﾀ!$N$8:$N$124,MATCH($F69,ﾏｽﾀ!$O$8:$O$124,0)),ﾏｽﾀ!$B$8:$B$124,0))&amp;"","")</f>
        <v/>
      </c>
      <c r="F69" s="589" t="str">
        <f>ﾏｽﾀ!$R68&amp;""</f>
        <v/>
      </c>
      <c r="G69" s="133">
        <f>COUNTIF('納品書明細16-E'!$D$9:$D$206,CONCATENATE(VLOOKUP(G$5,$G$1:$H$4,2,FALSE),$E69,1,1,1))</f>
        <v>0</v>
      </c>
      <c r="H69" s="127">
        <f>SUMIF('納品書明細16-E'!$C$9:$C$206,CONCATENATE(VLOOKUP(G$5,$G$1:$H$4,2,FALSE),$E69,1,1),'納品書明細16-E'!$Q$9:$Q$206)</f>
        <v>0</v>
      </c>
      <c r="I69" s="345"/>
      <c r="J69" s="122"/>
      <c r="K69" s="359"/>
      <c r="L69" s="345"/>
      <c r="M69" s="126">
        <f>COUNTIF('納品書明細16-E'!$D$9:$D$206,CONCATENATE(VLOOKUP(G$5,$G$1:$H$4,2,FALSE),$E69,9,1,1))</f>
        <v>0</v>
      </c>
      <c r="N69" s="434">
        <f>SUMIF('納品書明細16-E'!$C$9:$C$206,CONCATENATE(VLOOKUP(G$5,$G$1:$H$4,2,FALSE),$E69,9,1),'納品書明細16-E'!$Q$9:$Q$206)</f>
        <v>0</v>
      </c>
      <c r="O69" s="64"/>
      <c r="P69" s="133">
        <f>COUNTIF('納品書明細16-E'!$D$9:$D$206,CONCATENATE(VLOOKUP(P$5,$G$1:$H$4,2,FALSE),$E69,1,1,1))</f>
        <v>0</v>
      </c>
      <c r="Q69" s="161">
        <f>SUMIF('納品書明細16-E'!$C$9:$C$206,CONCATENATE(VLOOKUP(P$5,$G$1:$H$4,2,FALSE),$E69,1,1),'納品書明細16-E'!$Q$9:$Q$206)</f>
        <v>0</v>
      </c>
      <c r="R69" s="345"/>
      <c r="S69" s="122"/>
      <c r="T69" s="128"/>
      <c r="U69" s="345"/>
      <c r="V69" s="126">
        <f>COUNTIF('納品書明細16-E'!$D$9:$D$206,CONCATENATE(VLOOKUP(P$5,$G$1:$H$4,2,FALSE),$E69,9,1,1))</f>
        <v>0</v>
      </c>
      <c r="W69" s="433">
        <f>SUMIF('納品書明細16-E'!$C$9:$C$206,CONCATENATE(VLOOKUP(P$5,$G$1:$H$4,2,FALSE),$E69,9,1),'納品書明細16-E'!$Q$9:$Q$206)</f>
        <v>0</v>
      </c>
      <c r="X69" s="64"/>
      <c r="Y69" s="133">
        <f>COUNTIF('納品書明細16-E'!$D$9:$D$206,CONCATENATE(VLOOKUP(Y$5,$G$1:$H$4,2,FALSE),$E69,1,1,1))</f>
        <v>0</v>
      </c>
      <c r="Z69" s="161">
        <f>SUMIF('納品書明細16-E'!$C$9:$C$206,CONCATENATE(VLOOKUP(Y$5,$G$1:$H$4,2,FALSE),$E69,1,1),'納品書明細16-E'!$Q$9:$Q$206)</f>
        <v>0</v>
      </c>
      <c r="AA69" s="345"/>
      <c r="AB69" s="122"/>
      <c r="AC69" s="128"/>
      <c r="AD69" s="345"/>
      <c r="AE69" s="126">
        <f>COUNTIF('納品書明細16-E'!$D$9:$D$206,CONCATENATE(VLOOKUP(Y$5,$G$1:$H$4,2,FALSE),$E69,9,1,1))</f>
        <v>0</v>
      </c>
      <c r="AF69" s="433">
        <f>SUMIF('納品書明細16-E'!$C$9:$C$206,CONCATENATE(VLOOKUP(Y$5,$G$1:$H$4,2,FALSE),$E69,9,1),'納品書明細16-E'!$Q$9:$Q$206)</f>
        <v>0</v>
      </c>
    </row>
    <row r="70" spans="1:32">
      <c r="A70" s="474" t="str">
        <f>IF(SUMIFS($G70:$AF70,$G$8:$AF$8,"金額",$G70:$AF70,"&gt;0")-SUMIFS($G70:$AF70,$G$8:$AF$8,"金額",$G70:$AF70,"&lt;0")&lt;=0,"",MAX($A$8:$A69)+1)</f>
        <v/>
      </c>
      <c r="B70" s="802"/>
      <c r="C70" s="245" t="str">
        <f t="shared" si="1"/>
        <v>商品</v>
      </c>
      <c r="D70" s="245">
        <v>62</v>
      </c>
      <c r="E70" s="590" t="str">
        <f>IF($F70&lt;&gt;"",INDEX(ﾏｽﾀ!$D$8:$D$124,MATCH(INDEX(ﾏｽﾀ!$N$8:$N$124,MATCH($F70,ﾏｽﾀ!$O$8:$O$124,0)),ﾏｽﾀ!$B$8:$B$124,0))&amp;"","")</f>
        <v/>
      </c>
      <c r="F70" s="589" t="str">
        <f>ﾏｽﾀ!$R69&amp;""</f>
        <v/>
      </c>
      <c r="G70" s="133">
        <f>COUNTIF('納品書明細16-E'!$D$9:$D$206,CONCATENATE(VLOOKUP(G$5,$G$1:$H$4,2,FALSE),$E70,1,1,1))</f>
        <v>0</v>
      </c>
      <c r="H70" s="127">
        <f>SUMIF('納品書明細16-E'!$C$9:$C$206,CONCATENATE(VLOOKUP(G$5,$G$1:$H$4,2,FALSE),$E70,1,1),'納品書明細16-E'!$Q$9:$Q$206)</f>
        <v>0</v>
      </c>
      <c r="I70" s="345"/>
      <c r="J70" s="122"/>
      <c r="K70" s="359"/>
      <c r="L70" s="345"/>
      <c r="M70" s="126">
        <f>COUNTIF('納品書明細16-E'!$D$9:$D$206,CONCATENATE(VLOOKUP(G$5,$G$1:$H$4,2,FALSE),$E70,9,1,1))</f>
        <v>0</v>
      </c>
      <c r="N70" s="434">
        <f>SUMIF('納品書明細16-E'!$C$9:$C$206,CONCATENATE(VLOOKUP(G$5,$G$1:$H$4,2,FALSE),$E70,9,1),'納品書明細16-E'!$Q$9:$Q$206)</f>
        <v>0</v>
      </c>
      <c r="O70" s="64"/>
      <c r="P70" s="133">
        <f>COUNTIF('納品書明細16-E'!$D$9:$D$206,CONCATENATE(VLOOKUP(P$5,$G$1:$H$4,2,FALSE),$E70,1,1,1))</f>
        <v>0</v>
      </c>
      <c r="Q70" s="161">
        <f>SUMIF('納品書明細16-E'!$C$9:$C$206,CONCATENATE(VLOOKUP(P$5,$G$1:$H$4,2,FALSE),$E70,1,1),'納品書明細16-E'!$Q$9:$Q$206)</f>
        <v>0</v>
      </c>
      <c r="R70" s="345"/>
      <c r="S70" s="122"/>
      <c r="T70" s="128"/>
      <c r="U70" s="345"/>
      <c r="V70" s="126">
        <f>COUNTIF('納品書明細16-E'!$D$9:$D$206,CONCATENATE(VLOOKUP(P$5,$G$1:$H$4,2,FALSE),$E70,9,1,1))</f>
        <v>0</v>
      </c>
      <c r="W70" s="433">
        <f>SUMIF('納品書明細16-E'!$C$9:$C$206,CONCATENATE(VLOOKUP(P$5,$G$1:$H$4,2,FALSE),$E70,9,1),'納品書明細16-E'!$Q$9:$Q$206)</f>
        <v>0</v>
      </c>
      <c r="X70" s="64"/>
      <c r="Y70" s="133">
        <f>COUNTIF('納品書明細16-E'!$D$9:$D$206,CONCATENATE(VLOOKUP(Y$5,$G$1:$H$4,2,FALSE),$E70,1,1,1))</f>
        <v>0</v>
      </c>
      <c r="Z70" s="161">
        <f>SUMIF('納品書明細16-E'!$C$9:$C$206,CONCATENATE(VLOOKUP(Y$5,$G$1:$H$4,2,FALSE),$E70,1,1),'納品書明細16-E'!$Q$9:$Q$206)</f>
        <v>0</v>
      </c>
      <c r="AA70" s="345"/>
      <c r="AB70" s="122"/>
      <c r="AC70" s="128"/>
      <c r="AD70" s="345"/>
      <c r="AE70" s="126">
        <f>COUNTIF('納品書明細16-E'!$D$9:$D$206,CONCATENATE(VLOOKUP(Y$5,$G$1:$H$4,2,FALSE),$E70,9,1,1))</f>
        <v>0</v>
      </c>
      <c r="AF70" s="433">
        <f>SUMIF('納品書明細16-E'!$C$9:$C$206,CONCATENATE(VLOOKUP(Y$5,$G$1:$H$4,2,FALSE),$E70,9,1),'納品書明細16-E'!$Q$9:$Q$206)</f>
        <v>0</v>
      </c>
    </row>
    <row r="71" spans="1:32">
      <c r="A71" s="474" t="str">
        <f>IF(SUMIFS($G71:$AF71,$G$8:$AF$8,"金額",$G71:$AF71,"&gt;0")-SUMIFS($G71:$AF71,$G$8:$AF$8,"金額",$G71:$AF71,"&lt;0")&lt;=0,"",MAX($A$8:$A70)+1)</f>
        <v/>
      </c>
      <c r="B71" s="802"/>
      <c r="C71" s="245" t="str">
        <f t="shared" si="1"/>
        <v>商品</v>
      </c>
      <c r="D71" s="245">
        <v>63</v>
      </c>
      <c r="E71" s="590" t="str">
        <f>IF($F71&lt;&gt;"",INDEX(ﾏｽﾀ!$D$8:$D$124,MATCH(INDEX(ﾏｽﾀ!$N$8:$N$124,MATCH($F71,ﾏｽﾀ!$O$8:$O$124,0)),ﾏｽﾀ!$B$8:$B$124,0))&amp;"","")</f>
        <v/>
      </c>
      <c r="F71" s="589" t="str">
        <f>ﾏｽﾀ!$R70&amp;""</f>
        <v/>
      </c>
      <c r="G71" s="133">
        <f>COUNTIF('納品書明細16-E'!$D$9:$D$206,CONCATENATE(VLOOKUP(G$5,$G$1:$H$4,2,FALSE),$E71,1,1,1))</f>
        <v>0</v>
      </c>
      <c r="H71" s="127">
        <f>SUMIF('納品書明細16-E'!$C$9:$C$206,CONCATENATE(VLOOKUP(G$5,$G$1:$H$4,2,FALSE),$E71,1,1),'納品書明細16-E'!$Q$9:$Q$206)</f>
        <v>0</v>
      </c>
      <c r="I71" s="345"/>
      <c r="J71" s="122"/>
      <c r="K71" s="359"/>
      <c r="L71" s="345"/>
      <c r="M71" s="126">
        <f>COUNTIF('納品書明細16-E'!$D$9:$D$206,CONCATENATE(VLOOKUP(G$5,$G$1:$H$4,2,FALSE),$E71,9,1,1))</f>
        <v>0</v>
      </c>
      <c r="N71" s="434">
        <f>SUMIF('納品書明細16-E'!$C$9:$C$206,CONCATENATE(VLOOKUP(G$5,$G$1:$H$4,2,FALSE),$E71,9,1),'納品書明細16-E'!$Q$9:$Q$206)</f>
        <v>0</v>
      </c>
      <c r="O71" s="64"/>
      <c r="P71" s="133">
        <f>COUNTIF('納品書明細16-E'!$D$9:$D$206,CONCATENATE(VLOOKUP(P$5,$G$1:$H$4,2,FALSE),$E71,1,1,1))</f>
        <v>0</v>
      </c>
      <c r="Q71" s="161">
        <f>SUMIF('納品書明細16-E'!$C$9:$C$206,CONCATENATE(VLOOKUP(P$5,$G$1:$H$4,2,FALSE),$E71,1,1),'納品書明細16-E'!$Q$9:$Q$206)</f>
        <v>0</v>
      </c>
      <c r="R71" s="345"/>
      <c r="S71" s="122"/>
      <c r="T71" s="128"/>
      <c r="U71" s="345"/>
      <c r="V71" s="126">
        <f>COUNTIF('納品書明細16-E'!$D$9:$D$206,CONCATENATE(VLOOKUP(P$5,$G$1:$H$4,2,FALSE),$E71,9,1,1))</f>
        <v>0</v>
      </c>
      <c r="W71" s="433">
        <f>SUMIF('納品書明細16-E'!$C$9:$C$206,CONCATENATE(VLOOKUP(P$5,$G$1:$H$4,2,FALSE),$E71,9,1),'納品書明細16-E'!$Q$9:$Q$206)</f>
        <v>0</v>
      </c>
      <c r="X71" s="64"/>
      <c r="Y71" s="133">
        <f>COUNTIF('納品書明細16-E'!$D$9:$D$206,CONCATENATE(VLOOKUP(Y$5,$G$1:$H$4,2,FALSE),$E71,1,1,1))</f>
        <v>0</v>
      </c>
      <c r="Z71" s="161">
        <f>SUMIF('納品書明細16-E'!$C$9:$C$206,CONCATENATE(VLOOKUP(Y$5,$G$1:$H$4,2,FALSE),$E71,1,1),'納品書明細16-E'!$Q$9:$Q$206)</f>
        <v>0</v>
      </c>
      <c r="AA71" s="345"/>
      <c r="AB71" s="122"/>
      <c r="AC71" s="128"/>
      <c r="AD71" s="345"/>
      <c r="AE71" s="126">
        <f>COUNTIF('納品書明細16-E'!$D$9:$D$206,CONCATENATE(VLOOKUP(Y$5,$G$1:$H$4,2,FALSE),$E71,9,1,1))</f>
        <v>0</v>
      </c>
      <c r="AF71" s="433">
        <f>SUMIF('納品書明細16-E'!$C$9:$C$206,CONCATENATE(VLOOKUP(Y$5,$G$1:$H$4,2,FALSE),$E71,9,1),'納品書明細16-E'!$Q$9:$Q$206)</f>
        <v>0</v>
      </c>
    </row>
    <row r="72" spans="1:32">
      <c r="A72" s="474" t="str">
        <f>IF(SUMIFS($G72:$AF72,$G$8:$AF$8,"金額",$G72:$AF72,"&gt;0")-SUMIFS($G72:$AF72,$G$8:$AF$8,"金額",$G72:$AF72,"&lt;0")&lt;=0,"",MAX($A$8:$A71)+1)</f>
        <v/>
      </c>
      <c r="B72" s="802"/>
      <c r="C72" s="245" t="str">
        <f t="shared" si="1"/>
        <v>商品</v>
      </c>
      <c r="D72" s="245">
        <v>64</v>
      </c>
      <c r="E72" s="590" t="str">
        <f>IF($F72&lt;&gt;"",INDEX(ﾏｽﾀ!$D$8:$D$124,MATCH(INDEX(ﾏｽﾀ!$N$8:$N$124,MATCH($F72,ﾏｽﾀ!$O$8:$O$124,0)),ﾏｽﾀ!$B$8:$B$124,0))&amp;"","")</f>
        <v/>
      </c>
      <c r="F72" s="589" t="str">
        <f>ﾏｽﾀ!$R71&amp;""</f>
        <v/>
      </c>
      <c r="G72" s="133">
        <f>COUNTIF('納品書明細16-E'!$D$9:$D$206,CONCATENATE(VLOOKUP(G$5,$G$1:$H$4,2,FALSE),$E72,1,1,1))</f>
        <v>0</v>
      </c>
      <c r="H72" s="127">
        <f>SUMIF('納品書明細16-E'!$C$9:$C$206,CONCATENATE(VLOOKUP(G$5,$G$1:$H$4,2,FALSE),$E72,1,1),'納品書明細16-E'!$Q$9:$Q$206)</f>
        <v>0</v>
      </c>
      <c r="I72" s="345"/>
      <c r="J72" s="122"/>
      <c r="K72" s="359"/>
      <c r="L72" s="345"/>
      <c r="M72" s="126">
        <f>COUNTIF('納品書明細16-E'!$D$9:$D$206,CONCATENATE(VLOOKUP(G$5,$G$1:$H$4,2,FALSE),$E72,9,1,1))</f>
        <v>0</v>
      </c>
      <c r="N72" s="434">
        <f>SUMIF('納品書明細16-E'!$C$9:$C$206,CONCATENATE(VLOOKUP(G$5,$G$1:$H$4,2,FALSE),$E72,9,1),'納品書明細16-E'!$Q$9:$Q$206)</f>
        <v>0</v>
      </c>
      <c r="O72" s="64"/>
      <c r="P72" s="133">
        <f>COUNTIF('納品書明細16-E'!$D$9:$D$206,CONCATENATE(VLOOKUP(P$5,$G$1:$H$4,2,FALSE),$E72,1,1,1))</f>
        <v>0</v>
      </c>
      <c r="Q72" s="161">
        <f>SUMIF('納品書明細16-E'!$C$9:$C$206,CONCATENATE(VLOOKUP(P$5,$G$1:$H$4,2,FALSE),$E72,1,1),'納品書明細16-E'!$Q$9:$Q$206)</f>
        <v>0</v>
      </c>
      <c r="R72" s="345"/>
      <c r="S72" s="122"/>
      <c r="T72" s="128"/>
      <c r="U72" s="345"/>
      <c r="V72" s="126">
        <f>COUNTIF('納品書明細16-E'!$D$9:$D$206,CONCATENATE(VLOOKUP(P$5,$G$1:$H$4,2,FALSE),$E72,9,1,1))</f>
        <v>0</v>
      </c>
      <c r="W72" s="433">
        <f>SUMIF('納品書明細16-E'!$C$9:$C$206,CONCATENATE(VLOOKUP(P$5,$G$1:$H$4,2,FALSE),$E72,9,1),'納品書明細16-E'!$Q$9:$Q$206)</f>
        <v>0</v>
      </c>
      <c r="X72" s="64"/>
      <c r="Y72" s="133">
        <f>COUNTIF('納品書明細16-E'!$D$9:$D$206,CONCATENATE(VLOOKUP(Y$5,$G$1:$H$4,2,FALSE),$E72,1,1,1))</f>
        <v>0</v>
      </c>
      <c r="Z72" s="161">
        <f>SUMIF('納品書明細16-E'!$C$9:$C$206,CONCATENATE(VLOOKUP(Y$5,$G$1:$H$4,2,FALSE),$E72,1,1),'納品書明細16-E'!$Q$9:$Q$206)</f>
        <v>0</v>
      </c>
      <c r="AA72" s="345"/>
      <c r="AB72" s="122"/>
      <c r="AC72" s="128"/>
      <c r="AD72" s="345"/>
      <c r="AE72" s="126">
        <f>COUNTIF('納品書明細16-E'!$D$9:$D$206,CONCATENATE(VLOOKUP(Y$5,$G$1:$H$4,2,FALSE),$E72,9,1,1))</f>
        <v>0</v>
      </c>
      <c r="AF72" s="433">
        <f>SUMIF('納品書明細16-E'!$C$9:$C$206,CONCATENATE(VLOOKUP(Y$5,$G$1:$H$4,2,FALSE),$E72,9,1),'納品書明細16-E'!$Q$9:$Q$206)</f>
        <v>0</v>
      </c>
    </row>
    <row r="73" spans="1:32">
      <c r="A73" s="474" t="str">
        <f>IF(SUMIFS($G73:$AF73,$G$8:$AF$8,"金額",$G73:$AF73,"&gt;0")-SUMIFS($G73:$AF73,$G$8:$AF$8,"金額",$G73:$AF73,"&lt;0")&lt;=0,"",MAX($A$8:$A72)+1)</f>
        <v/>
      </c>
      <c r="B73" s="802"/>
      <c r="C73" s="245" t="str">
        <f t="shared" ref="C73:C90" si="2">CONCATENATE("商品",$A73)</f>
        <v>商品</v>
      </c>
      <c r="D73" s="245">
        <v>65</v>
      </c>
      <c r="E73" s="590" t="str">
        <f>IF($F73&lt;&gt;"",INDEX(ﾏｽﾀ!$D$8:$D$124,MATCH(INDEX(ﾏｽﾀ!$N$8:$N$124,MATCH($F73,ﾏｽﾀ!$O$8:$O$124,0)),ﾏｽﾀ!$B$8:$B$124,0))&amp;"","")</f>
        <v/>
      </c>
      <c r="F73" s="589" t="str">
        <f>ﾏｽﾀ!$R72&amp;""</f>
        <v/>
      </c>
      <c r="G73" s="133">
        <f>COUNTIF('納品書明細16-E'!$D$9:$D$206,CONCATENATE(VLOOKUP(G$5,$G$1:$H$4,2,FALSE),$E73,1,1,1))</f>
        <v>0</v>
      </c>
      <c r="H73" s="127">
        <f>SUMIF('納品書明細16-E'!$C$9:$C$206,CONCATENATE(VLOOKUP(G$5,$G$1:$H$4,2,FALSE),$E73,1,1),'納品書明細16-E'!$Q$9:$Q$206)</f>
        <v>0</v>
      </c>
      <c r="I73" s="345"/>
      <c r="J73" s="122"/>
      <c r="K73" s="359"/>
      <c r="L73" s="345"/>
      <c r="M73" s="126">
        <f>COUNTIF('納品書明細16-E'!$D$9:$D$206,CONCATENATE(VLOOKUP(G$5,$G$1:$H$4,2,FALSE),$E73,9,1,1))</f>
        <v>0</v>
      </c>
      <c r="N73" s="434">
        <f>SUMIF('納品書明細16-E'!$C$9:$C$206,CONCATENATE(VLOOKUP(G$5,$G$1:$H$4,2,FALSE),$E73,9,1),'納品書明細16-E'!$Q$9:$Q$206)</f>
        <v>0</v>
      </c>
      <c r="O73" s="64"/>
      <c r="P73" s="133">
        <f>COUNTIF('納品書明細16-E'!$D$9:$D$206,CONCATENATE(VLOOKUP(P$5,$G$1:$H$4,2,FALSE),$E73,1,1,1))</f>
        <v>0</v>
      </c>
      <c r="Q73" s="161">
        <f>SUMIF('納品書明細16-E'!$C$9:$C$206,CONCATENATE(VLOOKUP(P$5,$G$1:$H$4,2,FALSE),$E73,1,1),'納品書明細16-E'!$Q$9:$Q$206)</f>
        <v>0</v>
      </c>
      <c r="R73" s="345"/>
      <c r="S73" s="122"/>
      <c r="T73" s="128"/>
      <c r="U73" s="345"/>
      <c r="V73" s="126">
        <f>COUNTIF('納品書明細16-E'!$D$9:$D$206,CONCATENATE(VLOOKUP(P$5,$G$1:$H$4,2,FALSE),$E73,9,1,1))</f>
        <v>0</v>
      </c>
      <c r="W73" s="433">
        <f>SUMIF('納品書明細16-E'!$C$9:$C$206,CONCATENATE(VLOOKUP(P$5,$G$1:$H$4,2,FALSE),$E73,9,1),'納品書明細16-E'!$Q$9:$Q$206)</f>
        <v>0</v>
      </c>
      <c r="X73" s="64"/>
      <c r="Y73" s="133">
        <f>COUNTIF('納品書明細16-E'!$D$9:$D$206,CONCATENATE(VLOOKUP(Y$5,$G$1:$H$4,2,FALSE),$E73,1,1,1))</f>
        <v>0</v>
      </c>
      <c r="Z73" s="161">
        <f>SUMIF('納品書明細16-E'!$C$9:$C$206,CONCATENATE(VLOOKUP(Y$5,$G$1:$H$4,2,FALSE),$E73,1,1),'納品書明細16-E'!$Q$9:$Q$206)</f>
        <v>0</v>
      </c>
      <c r="AA73" s="345"/>
      <c r="AB73" s="122"/>
      <c r="AC73" s="128"/>
      <c r="AD73" s="345"/>
      <c r="AE73" s="126">
        <f>COUNTIF('納品書明細16-E'!$D$9:$D$206,CONCATENATE(VLOOKUP(Y$5,$G$1:$H$4,2,FALSE),$E73,9,1,1))</f>
        <v>0</v>
      </c>
      <c r="AF73" s="433">
        <f>SUMIF('納品書明細16-E'!$C$9:$C$206,CONCATENATE(VLOOKUP(Y$5,$G$1:$H$4,2,FALSE),$E73,9,1),'納品書明細16-E'!$Q$9:$Q$206)</f>
        <v>0</v>
      </c>
    </row>
    <row r="74" spans="1:32">
      <c r="A74" s="474" t="str">
        <f>IF(SUMIFS($G74:$AF74,$G$8:$AF$8,"金額",$G74:$AF74,"&gt;0")-SUMIFS($G74:$AF74,$G$8:$AF$8,"金額",$G74:$AF74,"&lt;0")&lt;=0,"",MAX($A$8:$A73)+1)</f>
        <v/>
      </c>
      <c r="B74" s="802"/>
      <c r="C74" s="245" t="str">
        <f t="shared" si="2"/>
        <v>商品</v>
      </c>
      <c r="D74" s="245">
        <v>66</v>
      </c>
      <c r="E74" s="590" t="str">
        <f>IF($F74&lt;&gt;"",INDEX(ﾏｽﾀ!$D$8:$D$124,MATCH(INDEX(ﾏｽﾀ!$N$8:$N$124,MATCH($F74,ﾏｽﾀ!$O$8:$O$124,0)),ﾏｽﾀ!$B$8:$B$124,0))&amp;"","")</f>
        <v/>
      </c>
      <c r="F74" s="589" t="str">
        <f>ﾏｽﾀ!$R73&amp;""</f>
        <v/>
      </c>
      <c r="G74" s="133">
        <f>COUNTIF('納品書明細16-E'!$D$9:$D$206,CONCATENATE(VLOOKUP(G$5,$G$1:$H$4,2,FALSE),$E74,1,1,1))</f>
        <v>0</v>
      </c>
      <c r="H74" s="127">
        <f>SUMIF('納品書明細16-E'!$C$9:$C$206,CONCATENATE(VLOOKUP(G$5,$G$1:$H$4,2,FALSE),$E74,1,1),'納品書明細16-E'!$Q$9:$Q$206)</f>
        <v>0</v>
      </c>
      <c r="I74" s="345"/>
      <c r="J74" s="122"/>
      <c r="K74" s="359"/>
      <c r="L74" s="345"/>
      <c r="M74" s="126">
        <f>COUNTIF('納品書明細16-E'!$D$9:$D$206,CONCATENATE(VLOOKUP(G$5,$G$1:$H$4,2,FALSE),$E74,9,1,1))</f>
        <v>0</v>
      </c>
      <c r="N74" s="434">
        <f>SUMIF('納品書明細16-E'!$C$9:$C$206,CONCATENATE(VLOOKUP(G$5,$G$1:$H$4,2,FALSE),$E74,9,1),'納品書明細16-E'!$Q$9:$Q$206)</f>
        <v>0</v>
      </c>
      <c r="O74" s="64"/>
      <c r="P74" s="133">
        <f>COUNTIF('納品書明細16-E'!$D$9:$D$206,CONCATENATE(VLOOKUP(P$5,$G$1:$H$4,2,FALSE),$E74,1,1,1))</f>
        <v>0</v>
      </c>
      <c r="Q74" s="161">
        <f>SUMIF('納品書明細16-E'!$C$9:$C$206,CONCATENATE(VLOOKUP(P$5,$G$1:$H$4,2,FALSE),$E74,1,1),'納品書明細16-E'!$Q$9:$Q$206)</f>
        <v>0</v>
      </c>
      <c r="R74" s="345"/>
      <c r="S74" s="122"/>
      <c r="T74" s="128"/>
      <c r="U74" s="345"/>
      <c r="V74" s="126">
        <f>COUNTIF('納品書明細16-E'!$D$9:$D$206,CONCATENATE(VLOOKUP(P$5,$G$1:$H$4,2,FALSE),$E74,9,1,1))</f>
        <v>0</v>
      </c>
      <c r="W74" s="433">
        <f>SUMIF('納品書明細16-E'!$C$9:$C$206,CONCATENATE(VLOOKUP(P$5,$G$1:$H$4,2,FALSE),$E74,9,1),'納品書明細16-E'!$Q$9:$Q$206)</f>
        <v>0</v>
      </c>
      <c r="X74" s="64"/>
      <c r="Y74" s="133">
        <f>COUNTIF('納品書明細16-E'!$D$9:$D$206,CONCATENATE(VLOOKUP(Y$5,$G$1:$H$4,2,FALSE),$E74,1,1,1))</f>
        <v>0</v>
      </c>
      <c r="Z74" s="161">
        <f>SUMIF('納品書明細16-E'!$C$9:$C$206,CONCATENATE(VLOOKUP(Y$5,$G$1:$H$4,2,FALSE),$E74,1,1),'納品書明細16-E'!$Q$9:$Q$206)</f>
        <v>0</v>
      </c>
      <c r="AA74" s="345"/>
      <c r="AB74" s="122"/>
      <c r="AC74" s="128"/>
      <c r="AD74" s="345"/>
      <c r="AE74" s="126">
        <f>COUNTIF('納品書明細16-E'!$D$9:$D$206,CONCATENATE(VLOOKUP(Y$5,$G$1:$H$4,2,FALSE),$E74,9,1,1))</f>
        <v>0</v>
      </c>
      <c r="AF74" s="433">
        <f>SUMIF('納品書明細16-E'!$C$9:$C$206,CONCATENATE(VLOOKUP(Y$5,$G$1:$H$4,2,FALSE),$E74,9,1),'納品書明細16-E'!$Q$9:$Q$206)</f>
        <v>0</v>
      </c>
    </row>
    <row r="75" spans="1:32">
      <c r="A75" s="474" t="str">
        <f>IF(SUMIFS($G75:$AF75,$G$8:$AF$8,"金額",$G75:$AF75,"&gt;0")-SUMIFS($G75:$AF75,$G$8:$AF$8,"金額",$G75:$AF75,"&lt;0")&lt;=0,"",MAX($A$8:$A74)+1)</f>
        <v/>
      </c>
      <c r="B75" s="802"/>
      <c r="C75" s="245" t="str">
        <f t="shared" si="2"/>
        <v>商品</v>
      </c>
      <c r="D75" s="245">
        <v>67</v>
      </c>
      <c r="E75" s="590" t="str">
        <f>IF($F75&lt;&gt;"",INDEX(ﾏｽﾀ!$D$8:$D$124,MATCH(INDEX(ﾏｽﾀ!$N$8:$N$124,MATCH($F75,ﾏｽﾀ!$O$8:$O$124,0)),ﾏｽﾀ!$B$8:$B$124,0))&amp;"","")</f>
        <v/>
      </c>
      <c r="F75" s="589" t="str">
        <f>ﾏｽﾀ!$R74&amp;""</f>
        <v/>
      </c>
      <c r="G75" s="133">
        <f>COUNTIF('納品書明細16-E'!$D$9:$D$206,CONCATENATE(VLOOKUP(G$5,$G$1:$H$4,2,FALSE),$E75,1,1,1))</f>
        <v>0</v>
      </c>
      <c r="H75" s="127">
        <f>SUMIF('納品書明細16-E'!$C$9:$C$206,CONCATENATE(VLOOKUP(G$5,$G$1:$H$4,2,FALSE),$E75,1,1),'納品書明細16-E'!$Q$9:$Q$206)</f>
        <v>0</v>
      </c>
      <c r="I75" s="345"/>
      <c r="J75" s="122"/>
      <c r="K75" s="359"/>
      <c r="L75" s="345"/>
      <c r="M75" s="126">
        <f>COUNTIF('納品書明細16-E'!$D$9:$D$206,CONCATENATE(VLOOKUP(G$5,$G$1:$H$4,2,FALSE),$E75,9,1,1))</f>
        <v>0</v>
      </c>
      <c r="N75" s="434">
        <f>SUMIF('納品書明細16-E'!$C$9:$C$206,CONCATENATE(VLOOKUP(G$5,$G$1:$H$4,2,FALSE),$E75,9,1),'納品書明細16-E'!$Q$9:$Q$206)</f>
        <v>0</v>
      </c>
      <c r="O75" s="64"/>
      <c r="P75" s="133">
        <f>COUNTIF('納品書明細16-E'!$D$9:$D$206,CONCATENATE(VLOOKUP(P$5,$G$1:$H$4,2,FALSE),$E75,1,1,1))</f>
        <v>0</v>
      </c>
      <c r="Q75" s="161">
        <f>SUMIF('納品書明細16-E'!$C$9:$C$206,CONCATENATE(VLOOKUP(P$5,$G$1:$H$4,2,FALSE),$E75,1,1),'納品書明細16-E'!$Q$9:$Q$206)</f>
        <v>0</v>
      </c>
      <c r="R75" s="345"/>
      <c r="S75" s="122"/>
      <c r="T75" s="128"/>
      <c r="U75" s="345"/>
      <c r="V75" s="126">
        <f>COUNTIF('納品書明細16-E'!$D$9:$D$206,CONCATENATE(VLOOKUP(P$5,$G$1:$H$4,2,FALSE),$E75,9,1,1))</f>
        <v>0</v>
      </c>
      <c r="W75" s="433">
        <f>SUMIF('納品書明細16-E'!$C$9:$C$206,CONCATENATE(VLOOKUP(P$5,$G$1:$H$4,2,FALSE),$E75,9,1),'納品書明細16-E'!$Q$9:$Q$206)</f>
        <v>0</v>
      </c>
      <c r="X75" s="64"/>
      <c r="Y75" s="133">
        <f>COUNTIF('納品書明細16-E'!$D$9:$D$206,CONCATENATE(VLOOKUP(Y$5,$G$1:$H$4,2,FALSE),$E75,1,1,1))</f>
        <v>0</v>
      </c>
      <c r="Z75" s="161">
        <f>SUMIF('納品書明細16-E'!$C$9:$C$206,CONCATENATE(VLOOKUP(Y$5,$G$1:$H$4,2,FALSE),$E75,1,1),'納品書明細16-E'!$Q$9:$Q$206)</f>
        <v>0</v>
      </c>
      <c r="AA75" s="345"/>
      <c r="AB75" s="122"/>
      <c r="AC75" s="128"/>
      <c r="AD75" s="345"/>
      <c r="AE75" s="126">
        <f>COUNTIF('納品書明細16-E'!$D$9:$D$206,CONCATENATE(VLOOKUP(Y$5,$G$1:$H$4,2,FALSE),$E75,9,1,1))</f>
        <v>0</v>
      </c>
      <c r="AF75" s="433">
        <f>SUMIF('納品書明細16-E'!$C$9:$C$206,CONCATENATE(VLOOKUP(Y$5,$G$1:$H$4,2,FALSE),$E75,9,1),'納品書明細16-E'!$Q$9:$Q$206)</f>
        <v>0</v>
      </c>
    </row>
    <row r="76" spans="1:32">
      <c r="A76" s="474" t="str">
        <f>IF(SUMIFS($G76:$AF76,$G$8:$AF$8,"金額",$G76:$AF76,"&gt;0")-SUMIFS($G76:$AF76,$G$8:$AF$8,"金額",$G76:$AF76,"&lt;0")&lt;=0,"",MAX($A$8:$A75)+1)</f>
        <v/>
      </c>
      <c r="B76" s="802"/>
      <c r="C76" s="245" t="str">
        <f t="shared" si="2"/>
        <v>商品</v>
      </c>
      <c r="D76" s="245">
        <v>68</v>
      </c>
      <c r="E76" s="590" t="str">
        <f>IF($F76&lt;&gt;"",INDEX(ﾏｽﾀ!$D$8:$D$124,MATCH(INDEX(ﾏｽﾀ!$N$8:$N$124,MATCH($F76,ﾏｽﾀ!$O$8:$O$124,0)),ﾏｽﾀ!$B$8:$B$124,0))&amp;"","")</f>
        <v/>
      </c>
      <c r="F76" s="589" t="str">
        <f>ﾏｽﾀ!$R75&amp;""</f>
        <v/>
      </c>
      <c r="G76" s="133">
        <f>COUNTIF('納品書明細16-E'!$D$9:$D$206,CONCATENATE(VLOOKUP(G$5,$G$1:$H$4,2,FALSE),$E76,1,1,1))</f>
        <v>0</v>
      </c>
      <c r="H76" s="127">
        <f>SUMIF('納品書明細16-E'!$C$9:$C$206,CONCATENATE(VLOOKUP(G$5,$G$1:$H$4,2,FALSE),$E76,1,1),'納品書明細16-E'!$Q$9:$Q$206)</f>
        <v>0</v>
      </c>
      <c r="I76" s="345"/>
      <c r="J76" s="122"/>
      <c r="K76" s="359"/>
      <c r="L76" s="345"/>
      <c r="M76" s="126">
        <f>COUNTIF('納品書明細16-E'!$D$9:$D$206,CONCATENATE(VLOOKUP(G$5,$G$1:$H$4,2,FALSE),$E76,9,1,1))</f>
        <v>0</v>
      </c>
      <c r="N76" s="434">
        <f>SUMIF('納品書明細16-E'!$C$9:$C$206,CONCATENATE(VLOOKUP(G$5,$G$1:$H$4,2,FALSE),$E76,9,1),'納品書明細16-E'!$Q$9:$Q$206)</f>
        <v>0</v>
      </c>
      <c r="O76" s="64"/>
      <c r="P76" s="133">
        <f>COUNTIF('納品書明細16-E'!$D$9:$D$206,CONCATENATE(VLOOKUP(P$5,$G$1:$H$4,2,FALSE),$E76,1,1,1))</f>
        <v>0</v>
      </c>
      <c r="Q76" s="161">
        <f>SUMIF('納品書明細16-E'!$C$9:$C$206,CONCATENATE(VLOOKUP(P$5,$G$1:$H$4,2,FALSE),$E76,1,1),'納品書明細16-E'!$Q$9:$Q$206)</f>
        <v>0</v>
      </c>
      <c r="R76" s="345"/>
      <c r="S76" s="122"/>
      <c r="T76" s="128"/>
      <c r="U76" s="345"/>
      <c r="V76" s="126">
        <f>COUNTIF('納品書明細16-E'!$D$9:$D$206,CONCATENATE(VLOOKUP(P$5,$G$1:$H$4,2,FALSE),$E76,9,1,1))</f>
        <v>0</v>
      </c>
      <c r="W76" s="433">
        <f>SUMIF('納品書明細16-E'!$C$9:$C$206,CONCATENATE(VLOOKUP(P$5,$G$1:$H$4,2,FALSE),$E76,9,1),'納品書明細16-E'!$Q$9:$Q$206)</f>
        <v>0</v>
      </c>
      <c r="X76" s="64"/>
      <c r="Y76" s="133">
        <f>COUNTIF('納品書明細16-E'!$D$9:$D$206,CONCATENATE(VLOOKUP(Y$5,$G$1:$H$4,2,FALSE),$E76,1,1,1))</f>
        <v>0</v>
      </c>
      <c r="Z76" s="161">
        <f>SUMIF('納品書明細16-E'!$C$9:$C$206,CONCATENATE(VLOOKUP(Y$5,$G$1:$H$4,2,FALSE),$E76,1,1),'納品書明細16-E'!$Q$9:$Q$206)</f>
        <v>0</v>
      </c>
      <c r="AA76" s="345"/>
      <c r="AB76" s="122"/>
      <c r="AC76" s="128"/>
      <c r="AD76" s="345"/>
      <c r="AE76" s="126">
        <f>COUNTIF('納品書明細16-E'!$D$9:$D$206,CONCATENATE(VLOOKUP(Y$5,$G$1:$H$4,2,FALSE),$E76,9,1,1))</f>
        <v>0</v>
      </c>
      <c r="AF76" s="433">
        <f>SUMIF('納品書明細16-E'!$C$9:$C$206,CONCATENATE(VLOOKUP(Y$5,$G$1:$H$4,2,FALSE),$E76,9,1),'納品書明細16-E'!$Q$9:$Q$206)</f>
        <v>0</v>
      </c>
    </row>
    <row r="77" spans="1:32">
      <c r="A77" s="474" t="str">
        <f>IF(SUMIFS($G77:$AF77,$G$8:$AF$8,"金額",$G77:$AF77,"&gt;0")-SUMIFS($G77:$AF77,$G$8:$AF$8,"金額",$G77:$AF77,"&lt;0")&lt;=0,"",MAX($A$8:$A76)+1)</f>
        <v/>
      </c>
      <c r="B77" s="802"/>
      <c r="C77" s="245" t="str">
        <f t="shared" si="2"/>
        <v>商品</v>
      </c>
      <c r="D77" s="245">
        <v>69</v>
      </c>
      <c r="E77" s="590" t="str">
        <f>IF($F77&lt;&gt;"",INDEX(ﾏｽﾀ!$D$8:$D$124,MATCH(INDEX(ﾏｽﾀ!$N$8:$N$124,MATCH($F77,ﾏｽﾀ!$O$8:$O$124,0)),ﾏｽﾀ!$B$8:$B$124,0))&amp;"","")</f>
        <v/>
      </c>
      <c r="F77" s="589" t="str">
        <f>ﾏｽﾀ!$R76&amp;""</f>
        <v/>
      </c>
      <c r="G77" s="133">
        <f>COUNTIF('納品書明細16-E'!$D$9:$D$206,CONCATENATE(VLOOKUP(G$5,$G$1:$H$4,2,FALSE),$E77,1,1,1))</f>
        <v>0</v>
      </c>
      <c r="H77" s="127">
        <f>SUMIF('納品書明細16-E'!$C$9:$C$206,CONCATENATE(VLOOKUP(G$5,$G$1:$H$4,2,FALSE),$E77,1,1),'納品書明細16-E'!$Q$9:$Q$206)</f>
        <v>0</v>
      </c>
      <c r="I77" s="345"/>
      <c r="J77" s="122"/>
      <c r="K77" s="359"/>
      <c r="L77" s="345"/>
      <c r="M77" s="126">
        <f>COUNTIF('納品書明細16-E'!$D$9:$D$206,CONCATENATE(VLOOKUP(G$5,$G$1:$H$4,2,FALSE),$E77,9,1,1))</f>
        <v>0</v>
      </c>
      <c r="N77" s="434">
        <f>SUMIF('納品書明細16-E'!$C$9:$C$206,CONCATENATE(VLOOKUP(G$5,$G$1:$H$4,2,FALSE),$E77,9,1),'納品書明細16-E'!$Q$9:$Q$206)</f>
        <v>0</v>
      </c>
      <c r="O77" s="64"/>
      <c r="P77" s="133">
        <f>COUNTIF('納品書明細16-E'!$D$9:$D$206,CONCATENATE(VLOOKUP(P$5,$G$1:$H$4,2,FALSE),$E77,1,1,1))</f>
        <v>0</v>
      </c>
      <c r="Q77" s="161">
        <f>SUMIF('納品書明細16-E'!$C$9:$C$206,CONCATENATE(VLOOKUP(P$5,$G$1:$H$4,2,FALSE),$E77,1,1),'納品書明細16-E'!$Q$9:$Q$206)</f>
        <v>0</v>
      </c>
      <c r="R77" s="345"/>
      <c r="S77" s="122"/>
      <c r="T77" s="128"/>
      <c r="U77" s="345"/>
      <c r="V77" s="126">
        <f>COUNTIF('納品書明細16-E'!$D$9:$D$206,CONCATENATE(VLOOKUP(P$5,$G$1:$H$4,2,FALSE),$E77,9,1,1))</f>
        <v>0</v>
      </c>
      <c r="W77" s="433">
        <f>SUMIF('納品書明細16-E'!$C$9:$C$206,CONCATENATE(VLOOKUP(P$5,$G$1:$H$4,2,FALSE),$E77,9,1),'納品書明細16-E'!$Q$9:$Q$206)</f>
        <v>0</v>
      </c>
      <c r="X77" s="64"/>
      <c r="Y77" s="133">
        <f>COUNTIF('納品書明細16-E'!$D$9:$D$206,CONCATENATE(VLOOKUP(Y$5,$G$1:$H$4,2,FALSE),$E77,1,1,1))</f>
        <v>0</v>
      </c>
      <c r="Z77" s="161">
        <f>SUMIF('納品書明細16-E'!$C$9:$C$206,CONCATENATE(VLOOKUP(Y$5,$G$1:$H$4,2,FALSE),$E77,1,1),'納品書明細16-E'!$Q$9:$Q$206)</f>
        <v>0</v>
      </c>
      <c r="AA77" s="345"/>
      <c r="AB77" s="122"/>
      <c r="AC77" s="128"/>
      <c r="AD77" s="345"/>
      <c r="AE77" s="126">
        <f>COUNTIF('納品書明細16-E'!$D$9:$D$206,CONCATENATE(VLOOKUP(Y$5,$G$1:$H$4,2,FALSE),$E77,9,1,1))</f>
        <v>0</v>
      </c>
      <c r="AF77" s="433">
        <f>SUMIF('納品書明細16-E'!$C$9:$C$206,CONCATENATE(VLOOKUP(Y$5,$G$1:$H$4,2,FALSE),$E77,9,1),'納品書明細16-E'!$Q$9:$Q$206)</f>
        <v>0</v>
      </c>
    </row>
    <row r="78" spans="1:32">
      <c r="A78" s="474" t="str">
        <f>IF(SUMIFS($G78:$AF78,$G$8:$AF$8,"金額",$G78:$AF78,"&gt;0")-SUMIFS($G78:$AF78,$G$8:$AF$8,"金額",$G78:$AF78,"&lt;0")&lt;=0,"",MAX($A$8:$A77)+1)</f>
        <v/>
      </c>
      <c r="B78" s="802"/>
      <c r="C78" s="245" t="str">
        <f t="shared" si="2"/>
        <v>商品</v>
      </c>
      <c r="D78" s="245">
        <v>70</v>
      </c>
      <c r="E78" s="590" t="str">
        <f>IF($F78&lt;&gt;"",INDEX(ﾏｽﾀ!$D$8:$D$124,MATCH(INDEX(ﾏｽﾀ!$N$8:$N$124,MATCH($F78,ﾏｽﾀ!$O$8:$O$124,0)),ﾏｽﾀ!$B$8:$B$124,0))&amp;"","")</f>
        <v/>
      </c>
      <c r="F78" s="589" t="str">
        <f>ﾏｽﾀ!$R77&amp;""</f>
        <v/>
      </c>
      <c r="G78" s="133">
        <f>COUNTIF('納品書明細16-E'!$D$9:$D$206,CONCATENATE(VLOOKUP(G$5,$G$1:$H$4,2,FALSE),$E78,1,1,1))</f>
        <v>0</v>
      </c>
      <c r="H78" s="127">
        <f>SUMIF('納品書明細16-E'!$C$9:$C$206,CONCATENATE(VLOOKUP(G$5,$G$1:$H$4,2,FALSE),$E78,1,1),'納品書明細16-E'!$Q$9:$Q$206)</f>
        <v>0</v>
      </c>
      <c r="I78" s="345"/>
      <c r="J78" s="122"/>
      <c r="K78" s="359"/>
      <c r="L78" s="345"/>
      <c r="M78" s="126">
        <f>COUNTIF('納品書明細16-E'!$D$9:$D$206,CONCATENATE(VLOOKUP(G$5,$G$1:$H$4,2,FALSE),$E78,9,1,1))</f>
        <v>0</v>
      </c>
      <c r="N78" s="434">
        <f>SUMIF('納品書明細16-E'!$C$9:$C$206,CONCATENATE(VLOOKUP(G$5,$G$1:$H$4,2,FALSE),$E78,9,1),'納品書明細16-E'!$Q$9:$Q$206)</f>
        <v>0</v>
      </c>
      <c r="O78" s="64"/>
      <c r="P78" s="133">
        <f>COUNTIF('納品書明細16-E'!$D$9:$D$206,CONCATENATE(VLOOKUP(P$5,$G$1:$H$4,2,FALSE),$E78,1,1,1))</f>
        <v>0</v>
      </c>
      <c r="Q78" s="161">
        <f>SUMIF('納品書明細16-E'!$C$9:$C$206,CONCATENATE(VLOOKUP(P$5,$G$1:$H$4,2,FALSE),$E78,1,1),'納品書明細16-E'!$Q$9:$Q$206)</f>
        <v>0</v>
      </c>
      <c r="R78" s="345"/>
      <c r="S78" s="122"/>
      <c r="T78" s="128"/>
      <c r="U78" s="345"/>
      <c r="V78" s="126">
        <f>COUNTIF('納品書明細16-E'!$D$9:$D$206,CONCATENATE(VLOOKUP(P$5,$G$1:$H$4,2,FALSE),$E78,9,1,1))</f>
        <v>0</v>
      </c>
      <c r="W78" s="433">
        <f>SUMIF('納品書明細16-E'!$C$9:$C$206,CONCATENATE(VLOOKUP(P$5,$G$1:$H$4,2,FALSE),$E78,9,1),'納品書明細16-E'!$Q$9:$Q$206)</f>
        <v>0</v>
      </c>
      <c r="X78" s="64"/>
      <c r="Y78" s="133">
        <f>COUNTIF('納品書明細16-E'!$D$9:$D$206,CONCATENATE(VLOOKUP(Y$5,$G$1:$H$4,2,FALSE),$E78,1,1,1))</f>
        <v>0</v>
      </c>
      <c r="Z78" s="161">
        <f>SUMIF('納品書明細16-E'!$C$9:$C$206,CONCATENATE(VLOOKUP(Y$5,$G$1:$H$4,2,FALSE),$E78,1,1),'納品書明細16-E'!$Q$9:$Q$206)</f>
        <v>0</v>
      </c>
      <c r="AA78" s="345"/>
      <c r="AB78" s="122"/>
      <c r="AC78" s="128"/>
      <c r="AD78" s="345"/>
      <c r="AE78" s="126">
        <f>COUNTIF('納品書明細16-E'!$D$9:$D$206,CONCATENATE(VLOOKUP(Y$5,$G$1:$H$4,2,FALSE),$E78,9,1,1))</f>
        <v>0</v>
      </c>
      <c r="AF78" s="433">
        <f>SUMIF('納品書明細16-E'!$C$9:$C$206,CONCATENATE(VLOOKUP(Y$5,$G$1:$H$4,2,FALSE),$E78,9,1),'納品書明細16-E'!$Q$9:$Q$206)</f>
        <v>0</v>
      </c>
    </row>
    <row r="79" spans="1:32">
      <c r="A79" s="474" t="str">
        <f>IF(SUMIFS($G79:$AF79,$G$8:$AF$8,"金額",$G79:$AF79,"&gt;0")-SUMIFS($G79:$AF79,$G$8:$AF$8,"金額",$G79:$AF79,"&lt;0")&lt;=0,"",MAX($A$8:$A78)+1)</f>
        <v/>
      </c>
      <c r="B79" s="802"/>
      <c r="C79" s="245" t="str">
        <f t="shared" si="2"/>
        <v>商品</v>
      </c>
      <c r="D79" s="245">
        <v>71</v>
      </c>
      <c r="E79" s="590" t="str">
        <f>IF($F79&lt;&gt;"",INDEX(ﾏｽﾀ!$D$8:$D$124,MATCH(INDEX(ﾏｽﾀ!$N$8:$N$124,MATCH($F79,ﾏｽﾀ!$O$8:$O$124,0)),ﾏｽﾀ!$B$8:$B$124,0))&amp;"","")</f>
        <v/>
      </c>
      <c r="F79" s="589" t="str">
        <f>ﾏｽﾀ!$R78&amp;""</f>
        <v/>
      </c>
      <c r="G79" s="133">
        <f>COUNTIF('納品書明細16-E'!$D$9:$D$206,CONCATENATE(VLOOKUP(G$5,$G$1:$H$4,2,FALSE),$E79,1,1,1))</f>
        <v>0</v>
      </c>
      <c r="H79" s="127">
        <f>SUMIF('納品書明細16-E'!$C$9:$C$206,CONCATENATE(VLOOKUP(G$5,$G$1:$H$4,2,FALSE),$E79,1,1),'納品書明細16-E'!$Q$9:$Q$206)</f>
        <v>0</v>
      </c>
      <c r="I79" s="345"/>
      <c r="J79" s="122"/>
      <c r="K79" s="359"/>
      <c r="L79" s="345"/>
      <c r="M79" s="126">
        <f>COUNTIF('納品書明細16-E'!$D$9:$D$206,CONCATENATE(VLOOKUP(G$5,$G$1:$H$4,2,FALSE),$E79,9,1,1))</f>
        <v>0</v>
      </c>
      <c r="N79" s="434">
        <f>SUMIF('納品書明細16-E'!$C$9:$C$206,CONCATENATE(VLOOKUP(G$5,$G$1:$H$4,2,FALSE),$E79,9,1),'納品書明細16-E'!$Q$9:$Q$206)</f>
        <v>0</v>
      </c>
      <c r="O79" s="64"/>
      <c r="P79" s="133">
        <f>COUNTIF('納品書明細16-E'!$D$9:$D$206,CONCATENATE(VLOOKUP(P$5,$G$1:$H$4,2,FALSE),$E79,1,1,1))</f>
        <v>0</v>
      </c>
      <c r="Q79" s="161">
        <f>SUMIF('納品書明細16-E'!$C$9:$C$206,CONCATENATE(VLOOKUP(P$5,$G$1:$H$4,2,FALSE),$E79,1,1),'納品書明細16-E'!$Q$9:$Q$206)</f>
        <v>0</v>
      </c>
      <c r="R79" s="345"/>
      <c r="S79" s="122"/>
      <c r="T79" s="128"/>
      <c r="U79" s="345"/>
      <c r="V79" s="126">
        <f>COUNTIF('納品書明細16-E'!$D$9:$D$206,CONCATENATE(VLOOKUP(P$5,$G$1:$H$4,2,FALSE),$E79,9,1,1))</f>
        <v>0</v>
      </c>
      <c r="W79" s="433">
        <f>SUMIF('納品書明細16-E'!$C$9:$C$206,CONCATENATE(VLOOKUP(P$5,$G$1:$H$4,2,FALSE),$E79,9,1),'納品書明細16-E'!$Q$9:$Q$206)</f>
        <v>0</v>
      </c>
      <c r="X79" s="64"/>
      <c r="Y79" s="133">
        <f>COUNTIF('納品書明細16-E'!$D$9:$D$206,CONCATENATE(VLOOKUP(Y$5,$G$1:$H$4,2,FALSE),$E79,1,1,1))</f>
        <v>0</v>
      </c>
      <c r="Z79" s="161">
        <f>SUMIF('納品書明細16-E'!$C$9:$C$206,CONCATENATE(VLOOKUP(Y$5,$G$1:$H$4,2,FALSE),$E79,1,1),'納品書明細16-E'!$Q$9:$Q$206)</f>
        <v>0</v>
      </c>
      <c r="AA79" s="345"/>
      <c r="AB79" s="122"/>
      <c r="AC79" s="128"/>
      <c r="AD79" s="345"/>
      <c r="AE79" s="126">
        <f>COUNTIF('納品書明細16-E'!$D$9:$D$206,CONCATENATE(VLOOKUP(Y$5,$G$1:$H$4,2,FALSE),$E79,9,1,1))</f>
        <v>0</v>
      </c>
      <c r="AF79" s="433">
        <f>SUMIF('納品書明細16-E'!$C$9:$C$206,CONCATENATE(VLOOKUP(Y$5,$G$1:$H$4,2,FALSE),$E79,9,1),'納品書明細16-E'!$Q$9:$Q$206)</f>
        <v>0</v>
      </c>
    </row>
    <row r="80" spans="1:32">
      <c r="A80" s="474" t="str">
        <f>IF(SUMIFS($G80:$AF80,$G$8:$AF$8,"金額",$G80:$AF80,"&gt;0")-SUMIFS($G80:$AF80,$G$8:$AF$8,"金額",$G80:$AF80,"&lt;0")&lt;=0,"",MAX($A$8:$A79)+1)</f>
        <v/>
      </c>
      <c r="B80" s="802"/>
      <c r="C80" s="245" t="str">
        <f t="shared" si="2"/>
        <v>商品</v>
      </c>
      <c r="D80" s="245">
        <v>72</v>
      </c>
      <c r="E80" s="590" t="str">
        <f>IF($F80&lt;&gt;"",INDEX(ﾏｽﾀ!$D$8:$D$124,MATCH(INDEX(ﾏｽﾀ!$N$8:$N$124,MATCH($F80,ﾏｽﾀ!$O$8:$O$124,0)),ﾏｽﾀ!$B$8:$B$124,0))&amp;"","")</f>
        <v/>
      </c>
      <c r="F80" s="589" t="str">
        <f>ﾏｽﾀ!$R79&amp;""</f>
        <v/>
      </c>
      <c r="G80" s="133">
        <f>COUNTIF('納品書明細16-E'!$D$9:$D$206,CONCATENATE(VLOOKUP(G$5,$G$1:$H$4,2,FALSE),$E80,1,1,1))</f>
        <v>0</v>
      </c>
      <c r="H80" s="127">
        <f>SUMIF('納品書明細16-E'!$C$9:$C$206,CONCATENATE(VLOOKUP(G$5,$G$1:$H$4,2,FALSE),$E80,1,1),'納品書明細16-E'!$Q$9:$Q$206)</f>
        <v>0</v>
      </c>
      <c r="I80" s="345"/>
      <c r="J80" s="122"/>
      <c r="K80" s="359"/>
      <c r="L80" s="345"/>
      <c r="M80" s="126">
        <f>COUNTIF('納品書明細16-E'!$D$9:$D$206,CONCATENATE(VLOOKUP(G$5,$G$1:$H$4,2,FALSE),$E80,9,1,1))</f>
        <v>0</v>
      </c>
      <c r="N80" s="434">
        <f>SUMIF('納品書明細16-E'!$C$9:$C$206,CONCATENATE(VLOOKUP(G$5,$G$1:$H$4,2,FALSE),$E80,9,1),'納品書明細16-E'!$Q$9:$Q$206)</f>
        <v>0</v>
      </c>
      <c r="O80" s="64"/>
      <c r="P80" s="133">
        <f>COUNTIF('納品書明細16-E'!$D$9:$D$206,CONCATENATE(VLOOKUP(P$5,$G$1:$H$4,2,FALSE),$E80,1,1,1))</f>
        <v>0</v>
      </c>
      <c r="Q80" s="161">
        <f>SUMIF('納品書明細16-E'!$C$9:$C$206,CONCATENATE(VLOOKUP(P$5,$G$1:$H$4,2,FALSE),$E80,1,1),'納品書明細16-E'!$Q$9:$Q$206)</f>
        <v>0</v>
      </c>
      <c r="R80" s="345"/>
      <c r="S80" s="122"/>
      <c r="T80" s="128"/>
      <c r="U80" s="345"/>
      <c r="V80" s="126">
        <f>COUNTIF('納品書明細16-E'!$D$9:$D$206,CONCATENATE(VLOOKUP(P$5,$G$1:$H$4,2,FALSE),$E80,9,1,1))</f>
        <v>0</v>
      </c>
      <c r="W80" s="433">
        <f>SUMIF('納品書明細16-E'!$C$9:$C$206,CONCATENATE(VLOOKUP(P$5,$G$1:$H$4,2,FALSE),$E80,9,1),'納品書明細16-E'!$Q$9:$Q$206)</f>
        <v>0</v>
      </c>
      <c r="X80" s="64"/>
      <c r="Y80" s="133">
        <f>COUNTIF('納品書明細16-E'!$D$9:$D$206,CONCATENATE(VLOOKUP(Y$5,$G$1:$H$4,2,FALSE),$E80,1,1,1))</f>
        <v>0</v>
      </c>
      <c r="Z80" s="161">
        <f>SUMIF('納品書明細16-E'!$C$9:$C$206,CONCATENATE(VLOOKUP(Y$5,$G$1:$H$4,2,FALSE),$E80,1,1),'納品書明細16-E'!$Q$9:$Q$206)</f>
        <v>0</v>
      </c>
      <c r="AA80" s="345"/>
      <c r="AB80" s="122"/>
      <c r="AC80" s="128"/>
      <c r="AD80" s="345"/>
      <c r="AE80" s="126">
        <f>COUNTIF('納品書明細16-E'!$D$9:$D$206,CONCATENATE(VLOOKUP(Y$5,$G$1:$H$4,2,FALSE),$E80,9,1,1))</f>
        <v>0</v>
      </c>
      <c r="AF80" s="433">
        <f>SUMIF('納品書明細16-E'!$C$9:$C$206,CONCATENATE(VLOOKUP(Y$5,$G$1:$H$4,2,FALSE),$E80,9,1),'納品書明細16-E'!$Q$9:$Q$206)</f>
        <v>0</v>
      </c>
    </row>
    <row r="81" spans="1:32">
      <c r="A81" s="474" t="str">
        <f>IF(SUMIFS($G81:$AF81,$G$8:$AF$8,"金額",$G81:$AF81,"&gt;0")-SUMIFS($G81:$AF81,$G$8:$AF$8,"金額",$G81:$AF81,"&lt;0")&lt;=0,"",MAX($A$8:$A80)+1)</f>
        <v/>
      </c>
      <c r="B81" s="802"/>
      <c r="C81" s="245" t="str">
        <f t="shared" si="2"/>
        <v>商品</v>
      </c>
      <c r="D81" s="245">
        <v>73</v>
      </c>
      <c r="E81" s="590" t="str">
        <f>IF($F81&lt;&gt;"",INDEX(ﾏｽﾀ!$D$8:$D$124,MATCH(INDEX(ﾏｽﾀ!$N$8:$N$124,MATCH($F81,ﾏｽﾀ!$O$8:$O$124,0)),ﾏｽﾀ!$B$8:$B$124,0))&amp;"","")</f>
        <v/>
      </c>
      <c r="F81" s="589" t="str">
        <f>ﾏｽﾀ!$R80&amp;""</f>
        <v/>
      </c>
      <c r="G81" s="133">
        <f>COUNTIF('納品書明細16-E'!$D$9:$D$206,CONCATENATE(VLOOKUP(G$5,$G$1:$H$4,2,FALSE),$E81,1,1,1))</f>
        <v>0</v>
      </c>
      <c r="H81" s="127">
        <f>SUMIF('納品書明細16-E'!$C$9:$C$206,CONCATENATE(VLOOKUP(G$5,$G$1:$H$4,2,FALSE),$E81,1,1),'納品書明細16-E'!$Q$9:$Q$206)</f>
        <v>0</v>
      </c>
      <c r="I81" s="345"/>
      <c r="J81" s="122"/>
      <c r="K81" s="359"/>
      <c r="L81" s="345"/>
      <c r="M81" s="126">
        <f>COUNTIF('納品書明細16-E'!$D$9:$D$206,CONCATENATE(VLOOKUP(G$5,$G$1:$H$4,2,FALSE),$E81,9,1,1))</f>
        <v>0</v>
      </c>
      <c r="N81" s="434">
        <f>SUMIF('納品書明細16-E'!$C$9:$C$206,CONCATENATE(VLOOKUP(G$5,$G$1:$H$4,2,FALSE),$E81,9,1),'納品書明細16-E'!$Q$9:$Q$206)</f>
        <v>0</v>
      </c>
      <c r="O81" s="64"/>
      <c r="P81" s="133">
        <f>COUNTIF('納品書明細16-E'!$D$9:$D$206,CONCATENATE(VLOOKUP(P$5,$G$1:$H$4,2,FALSE),$E81,1,1,1))</f>
        <v>0</v>
      </c>
      <c r="Q81" s="161">
        <f>SUMIF('納品書明細16-E'!$C$9:$C$206,CONCATENATE(VLOOKUP(P$5,$G$1:$H$4,2,FALSE),$E81,1,1),'納品書明細16-E'!$Q$9:$Q$206)</f>
        <v>0</v>
      </c>
      <c r="R81" s="345"/>
      <c r="S81" s="122"/>
      <c r="T81" s="128"/>
      <c r="U81" s="345"/>
      <c r="V81" s="126">
        <f>COUNTIF('納品書明細16-E'!$D$9:$D$206,CONCATENATE(VLOOKUP(P$5,$G$1:$H$4,2,FALSE),$E81,9,1,1))</f>
        <v>0</v>
      </c>
      <c r="W81" s="433">
        <f>SUMIF('納品書明細16-E'!$C$9:$C$206,CONCATENATE(VLOOKUP(P$5,$G$1:$H$4,2,FALSE),$E81,9,1),'納品書明細16-E'!$Q$9:$Q$206)</f>
        <v>0</v>
      </c>
      <c r="X81" s="64"/>
      <c r="Y81" s="133">
        <f>COUNTIF('納品書明細16-E'!$D$9:$D$206,CONCATENATE(VLOOKUP(Y$5,$G$1:$H$4,2,FALSE),$E81,1,1,1))</f>
        <v>0</v>
      </c>
      <c r="Z81" s="161">
        <f>SUMIF('納品書明細16-E'!$C$9:$C$206,CONCATENATE(VLOOKUP(Y$5,$G$1:$H$4,2,FALSE),$E81,1,1),'納品書明細16-E'!$Q$9:$Q$206)</f>
        <v>0</v>
      </c>
      <c r="AA81" s="345"/>
      <c r="AB81" s="122"/>
      <c r="AC81" s="128"/>
      <c r="AD81" s="345"/>
      <c r="AE81" s="126">
        <f>COUNTIF('納品書明細16-E'!$D$9:$D$206,CONCATENATE(VLOOKUP(Y$5,$G$1:$H$4,2,FALSE),$E81,9,1,1))</f>
        <v>0</v>
      </c>
      <c r="AF81" s="433">
        <f>SUMIF('納品書明細16-E'!$C$9:$C$206,CONCATENATE(VLOOKUP(Y$5,$G$1:$H$4,2,FALSE),$E81,9,1),'納品書明細16-E'!$Q$9:$Q$206)</f>
        <v>0</v>
      </c>
    </row>
    <row r="82" spans="1:32">
      <c r="A82" s="474" t="str">
        <f>IF(SUMIFS($G82:$AF82,$G$8:$AF$8,"金額",$G82:$AF82,"&gt;0")-SUMIFS($G82:$AF82,$G$8:$AF$8,"金額",$G82:$AF82,"&lt;0")&lt;=0,"",MAX($A$8:$A81)+1)</f>
        <v/>
      </c>
      <c r="B82" s="802"/>
      <c r="C82" s="245" t="str">
        <f t="shared" si="2"/>
        <v>商品</v>
      </c>
      <c r="D82" s="245">
        <v>74</v>
      </c>
      <c r="E82" s="590" t="str">
        <f>IF($F82&lt;&gt;"",INDEX(ﾏｽﾀ!$D$8:$D$124,MATCH(INDEX(ﾏｽﾀ!$N$8:$N$124,MATCH($F82,ﾏｽﾀ!$O$8:$O$124,0)),ﾏｽﾀ!$B$8:$B$124,0))&amp;"","")</f>
        <v/>
      </c>
      <c r="F82" s="589" t="str">
        <f>ﾏｽﾀ!$R81&amp;""</f>
        <v/>
      </c>
      <c r="G82" s="133">
        <f>COUNTIF('納品書明細16-E'!$D$9:$D$206,CONCATENATE(VLOOKUP(G$5,$G$1:$H$4,2,FALSE),$E82,1,1,1))</f>
        <v>0</v>
      </c>
      <c r="H82" s="127">
        <f>SUMIF('納品書明細16-E'!$C$9:$C$206,CONCATENATE(VLOOKUP(G$5,$G$1:$H$4,2,FALSE),$E82,1,1),'納品書明細16-E'!$Q$9:$Q$206)</f>
        <v>0</v>
      </c>
      <c r="I82" s="345"/>
      <c r="J82" s="122"/>
      <c r="K82" s="359"/>
      <c r="L82" s="345"/>
      <c r="M82" s="126">
        <f>COUNTIF('納品書明細16-E'!$D$9:$D$206,CONCATENATE(VLOOKUP(G$5,$G$1:$H$4,2,FALSE),$E82,9,1,1))</f>
        <v>0</v>
      </c>
      <c r="N82" s="434">
        <f>SUMIF('納品書明細16-E'!$C$9:$C$206,CONCATENATE(VLOOKUP(G$5,$G$1:$H$4,2,FALSE),$E82,9,1),'納品書明細16-E'!$Q$9:$Q$206)</f>
        <v>0</v>
      </c>
      <c r="O82" s="64"/>
      <c r="P82" s="133">
        <f>COUNTIF('納品書明細16-E'!$D$9:$D$206,CONCATENATE(VLOOKUP(P$5,$G$1:$H$4,2,FALSE),$E82,1,1,1))</f>
        <v>0</v>
      </c>
      <c r="Q82" s="161">
        <f>SUMIF('納品書明細16-E'!$C$9:$C$206,CONCATENATE(VLOOKUP(P$5,$G$1:$H$4,2,FALSE),$E82,1,1),'納品書明細16-E'!$Q$9:$Q$206)</f>
        <v>0</v>
      </c>
      <c r="R82" s="345"/>
      <c r="S82" s="122"/>
      <c r="T82" s="128"/>
      <c r="U82" s="345"/>
      <c r="V82" s="126">
        <f>COUNTIF('納品書明細16-E'!$D$9:$D$206,CONCATENATE(VLOOKUP(P$5,$G$1:$H$4,2,FALSE),$E82,9,1,1))</f>
        <v>0</v>
      </c>
      <c r="W82" s="433">
        <f>SUMIF('納品書明細16-E'!$C$9:$C$206,CONCATENATE(VLOOKUP(P$5,$G$1:$H$4,2,FALSE),$E82,9,1),'納品書明細16-E'!$Q$9:$Q$206)</f>
        <v>0</v>
      </c>
      <c r="X82" s="64"/>
      <c r="Y82" s="133">
        <f>COUNTIF('納品書明細16-E'!$D$9:$D$206,CONCATENATE(VLOOKUP(Y$5,$G$1:$H$4,2,FALSE),$E82,1,1,1))</f>
        <v>0</v>
      </c>
      <c r="Z82" s="161">
        <f>SUMIF('納品書明細16-E'!$C$9:$C$206,CONCATENATE(VLOOKUP(Y$5,$G$1:$H$4,2,FALSE),$E82,1,1),'納品書明細16-E'!$Q$9:$Q$206)</f>
        <v>0</v>
      </c>
      <c r="AA82" s="345"/>
      <c r="AB82" s="122"/>
      <c r="AC82" s="128"/>
      <c r="AD82" s="345"/>
      <c r="AE82" s="126">
        <f>COUNTIF('納品書明細16-E'!$D$9:$D$206,CONCATENATE(VLOOKUP(Y$5,$G$1:$H$4,2,FALSE),$E82,9,1,1))</f>
        <v>0</v>
      </c>
      <c r="AF82" s="433">
        <f>SUMIF('納品書明細16-E'!$C$9:$C$206,CONCATENATE(VLOOKUP(Y$5,$G$1:$H$4,2,FALSE),$E82,9,1),'納品書明細16-E'!$Q$9:$Q$206)</f>
        <v>0</v>
      </c>
    </row>
    <row r="83" spans="1:32">
      <c r="A83" s="474" t="str">
        <f>IF(SUMIFS($G83:$AF83,$G$8:$AF$8,"金額",$G83:$AF83,"&gt;0")-SUMIFS($G83:$AF83,$G$8:$AF$8,"金額",$G83:$AF83,"&lt;0")&lt;=0,"",MAX($A$8:$A82)+1)</f>
        <v/>
      </c>
      <c r="B83" s="802"/>
      <c r="C83" s="245" t="str">
        <f t="shared" si="2"/>
        <v>商品</v>
      </c>
      <c r="D83" s="245">
        <v>75</v>
      </c>
      <c r="E83" s="590" t="str">
        <f>IF($F83&lt;&gt;"",INDEX(ﾏｽﾀ!$D$8:$D$124,MATCH(INDEX(ﾏｽﾀ!$N$8:$N$124,MATCH($F83,ﾏｽﾀ!$O$8:$O$124,0)),ﾏｽﾀ!$B$8:$B$124,0))&amp;"","")</f>
        <v/>
      </c>
      <c r="F83" s="589" t="str">
        <f>ﾏｽﾀ!$R82&amp;""</f>
        <v/>
      </c>
      <c r="G83" s="133">
        <f>COUNTIF('納品書明細16-E'!$D$9:$D$206,CONCATENATE(VLOOKUP(G$5,$G$1:$H$4,2,FALSE),$E83,1,1,1))</f>
        <v>0</v>
      </c>
      <c r="H83" s="127">
        <f>SUMIF('納品書明細16-E'!$C$9:$C$206,CONCATENATE(VLOOKUP(G$5,$G$1:$H$4,2,FALSE),$E83,1,1),'納品書明細16-E'!$Q$9:$Q$206)</f>
        <v>0</v>
      </c>
      <c r="I83" s="345"/>
      <c r="J83" s="122"/>
      <c r="K83" s="359"/>
      <c r="L83" s="345"/>
      <c r="M83" s="126">
        <f>COUNTIF('納品書明細16-E'!$D$9:$D$206,CONCATENATE(VLOOKUP(G$5,$G$1:$H$4,2,FALSE),$E83,9,1,1))</f>
        <v>0</v>
      </c>
      <c r="N83" s="434">
        <f>SUMIF('納品書明細16-E'!$C$9:$C$206,CONCATENATE(VLOOKUP(G$5,$G$1:$H$4,2,FALSE),$E83,9,1),'納品書明細16-E'!$Q$9:$Q$206)</f>
        <v>0</v>
      </c>
      <c r="O83" s="64"/>
      <c r="P83" s="133">
        <f>COUNTIF('納品書明細16-E'!$D$9:$D$206,CONCATENATE(VLOOKUP(P$5,$G$1:$H$4,2,FALSE),$E83,1,1,1))</f>
        <v>0</v>
      </c>
      <c r="Q83" s="161">
        <f>SUMIF('納品書明細16-E'!$C$9:$C$206,CONCATENATE(VLOOKUP(P$5,$G$1:$H$4,2,FALSE),$E83,1,1),'納品書明細16-E'!$Q$9:$Q$206)</f>
        <v>0</v>
      </c>
      <c r="R83" s="345"/>
      <c r="S83" s="122"/>
      <c r="T83" s="128"/>
      <c r="U83" s="345"/>
      <c r="V83" s="126">
        <f>COUNTIF('納品書明細16-E'!$D$9:$D$206,CONCATENATE(VLOOKUP(P$5,$G$1:$H$4,2,FALSE),$E83,9,1,1))</f>
        <v>0</v>
      </c>
      <c r="W83" s="433">
        <f>SUMIF('納品書明細16-E'!$C$9:$C$206,CONCATENATE(VLOOKUP(P$5,$G$1:$H$4,2,FALSE),$E83,9,1),'納品書明細16-E'!$Q$9:$Q$206)</f>
        <v>0</v>
      </c>
      <c r="X83" s="64"/>
      <c r="Y83" s="133">
        <f>COUNTIF('納品書明細16-E'!$D$9:$D$206,CONCATENATE(VLOOKUP(Y$5,$G$1:$H$4,2,FALSE),$E83,1,1,1))</f>
        <v>0</v>
      </c>
      <c r="Z83" s="161">
        <f>SUMIF('納品書明細16-E'!$C$9:$C$206,CONCATENATE(VLOOKUP(Y$5,$G$1:$H$4,2,FALSE),$E83,1,1),'納品書明細16-E'!$Q$9:$Q$206)</f>
        <v>0</v>
      </c>
      <c r="AA83" s="345"/>
      <c r="AB83" s="122"/>
      <c r="AC83" s="128"/>
      <c r="AD83" s="345"/>
      <c r="AE83" s="126">
        <f>COUNTIF('納品書明細16-E'!$D$9:$D$206,CONCATENATE(VLOOKUP(Y$5,$G$1:$H$4,2,FALSE),$E83,9,1,1))</f>
        <v>0</v>
      </c>
      <c r="AF83" s="433">
        <f>SUMIF('納品書明細16-E'!$C$9:$C$206,CONCATENATE(VLOOKUP(Y$5,$G$1:$H$4,2,FALSE),$E83,9,1),'納品書明細16-E'!$Q$9:$Q$206)</f>
        <v>0</v>
      </c>
    </row>
    <row r="84" spans="1:32">
      <c r="A84" s="474" t="str">
        <f>IF(SUMIFS($G84:$AF84,$G$8:$AF$8,"金額",$G84:$AF84,"&gt;0")-SUMIFS($G84:$AF84,$G$8:$AF$8,"金額",$G84:$AF84,"&lt;0")&lt;=0,"",MAX($A$8:$A83)+1)</f>
        <v/>
      </c>
      <c r="B84" s="802"/>
      <c r="C84" s="245" t="str">
        <f t="shared" si="2"/>
        <v>商品</v>
      </c>
      <c r="D84" s="245">
        <v>76</v>
      </c>
      <c r="E84" s="590" t="str">
        <f>IF($F84&lt;&gt;"",INDEX(ﾏｽﾀ!$D$8:$D$124,MATCH(INDEX(ﾏｽﾀ!$N$8:$N$124,MATCH($F84,ﾏｽﾀ!$O$8:$O$124,0)),ﾏｽﾀ!$B$8:$B$124,0))&amp;"","")</f>
        <v/>
      </c>
      <c r="F84" s="589" t="str">
        <f>ﾏｽﾀ!$R83&amp;""</f>
        <v/>
      </c>
      <c r="G84" s="133">
        <f>COUNTIF('納品書明細16-E'!$D$9:$D$206,CONCATENATE(VLOOKUP(G$5,$G$1:$H$4,2,FALSE),$E84,1,1,1))</f>
        <v>0</v>
      </c>
      <c r="H84" s="127">
        <f>SUMIF('納品書明細16-E'!$C$9:$C$206,CONCATENATE(VLOOKUP(G$5,$G$1:$H$4,2,FALSE),$E84,1,1),'納品書明細16-E'!$Q$9:$Q$206)</f>
        <v>0</v>
      </c>
      <c r="I84" s="345"/>
      <c r="J84" s="122"/>
      <c r="K84" s="359"/>
      <c r="L84" s="345"/>
      <c r="M84" s="126">
        <f>COUNTIF('納品書明細16-E'!$D$9:$D$206,CONCATENATE(VLOOKUP(G$5,$G$1:$H$4,2,FALSE),$E84,9,1,1))</f>
        <v>0</v>
      </c>
      <c r="N84" s="434">
        <f>SUMIF('納品書明細16-E'!$C$9:$C$206,CONCATENATE(VLOOKUP(G$5,$G$1:$H$4,2,FALSE),$E84,9,1),'納品書明細16-E'!$Q$9:$Q$206)</f>
        <v>0</v>
      </c>
      <c r="O84" s="64"/>
      <c r="P84" s="133">
        <f>COUNTIF('納品書明細16-E'!$D$9:$D$206,CONCATENATE(VLOOKUP(P$5,$G$1:$H$4,2,FALSE),$E84,1,1,1))</f>
        <v>0</v>
      </c>
      <c r="Q84" s="161">
        <f>SUMIF('納品書明細16-E'!$C$9:$C$206,CONCATENATE(VLOOKUP(P$5,$G$1:$H$4,2,FALSE),$E84,1,1),'納品書明細16-E'!$Q$9:$Q$206)</f>
        <v>0</v>
      </c>
      <c r="R84" s="345"/>
      <c r="S84" s="122"/>
      <c r="T84" s="128"/>
      <c r="U84" s="345"/>
      <c r="V84" s="126">
        <f>COUNTIF('納品書明細16-E'!$D$9:$D$206,CONCATENATE(VLOOKUP(P$5,$G$1:$H$4,2,FALSE),$E84,9,1,1))</f>
        <v>0</v>
      </c>
      <c r="W84" s="433">
        <f>SUMIF('納品書明細16-E'!$C$9:$C$206,CONCATENATE(VLOOKUP(P$5,$G$1:$H$4,2,FALSE),$E84,9,1),'納品書明細16-E'!$Q$9:$Q$206)</f>
        <v>0</v>
      </c>
      <c r="X84" s="64"/>
      <c r="Y84" s="133">
        <f>COUNTIF('納品書明細16-E'!$D$9:$D$206,CONCATENATE(VLOOKUP(Y$5,$G$1:$H$4,2,FALSE),$E84,1,1,1))</f>
        <v>0</v>
      </c>
      <c r="Z84" s="161">
        <f>SUMIF('納品書明細16-E'!$C$9:$C$206,CONCATENATE(VLOOKUP(Y$5,$G$1:$H$4,2,FALSE),$E84,1,1),'納品書明細16-E'!$Q$9:$Q$206)</f>
        <v>0</v>
      </c>
      <c r="AA84" s="345"/>
      <c r="AB84" s="122"/>
      <c r="AC84" s="128"/>
      <c r="AD84" s="345"/>
      <c r="AE84" s="126">
        <f>COUNTIF('納品書明細16-E'!$D$9:$D$206,CONCATENATE(VLOOKUP(Y$5,$G$1:$H$4,2,FALSE),$E84,9,1,1))</f>
        <v>0</v>
      </c>
      <c r="AF84" s="433">
        <f>SUMIF('納品書明細16-E'!$C$9:$C$206,CONCATENATE(VLOOKUP(Y$5,$G$1:$H$4,2,FALSE),$E84,9,1),'納品書明細16-E'!$Q$9:$Q$206)</f>
        <v>0</v>
      </c>
    </row>
    <row r="85" spans="1:32">
      <c r="A85" s="474" t="str">
        <f>IF(SUMIFS($G85:$AF85,$G$8:$AF$8,"金額",$G85:$AF85,"&gt;0")-SUMIFS($G85:$AF85,$G$8:$AF$8,"金額",$G85:$AF85,"&lt;0")&lt;=0,"",MAX($A$8:$A84)+1)</f>
        <v/>
      </c>
      <c r="B85" s="802"/>
      <c r="C85" s="245" t="str">
        <f t="shared" si="2"/>
        <v>商品</v>
      </c>
      <c r="D85" s="245">
        <v>77</v>
      </c>
      <c r="E85" s="590" t="str">
        <f>IF($F85&lt;&gt;"",INDEX(ﾏｽﾀ!$D$8:$D$124,MATCH(INDEX(ﾏｽﾀ!$N$8:$N$124,MATCH($F85,ﾏｽﾀ!$O$8:$O$124,0)),ﾏｽﾀ!$B$8:$B$124,0))&amp;"","")</f>
        <v/>
      </c>
      <c r="F85" s="589" t="str">
        <f>ﾏｽﾀ!$R84&amp;""</f>
        <v/>
      </c>
      <c r="G85" s="133">
        <f>COUNTIF('納品書明細16-E'!$D$9:$D$206,CONCATENATE(VLOOKUP(G$5,$G$1:$H$4,2,FALSE),$E85,1,1,1))</f>
        <v>0</v>
      </c>
      <c r="H85" s="127">
        <f>SUMIF('納品書明細16-E'!$C$9:$C$206,CONCATENATE(VLOOKUP(G$5,$G$1:$H$4,2,FALSE),$E85,1,1),'納品書明細16-E'!$Q$9:$Q$206)</f>
        <v>0</v>
      </c>
      <c r="I85" s="345"/>
      <c r="J85" s="122"/>
      <c r="K85" s="359"/>
      <c r="L85" s="345"/>
      <c r="M85" s="126">
        <f>COUNTIF('納品書明細16-E'!$D$9:$D$206,CONCATENATE(VLOOKUP(G$5,$G$1:$H$4,2,FALSE),$E85,9,1,1))</f>
        <v>0</v>
      </c>
      <c r="N85" s="434">
        <f>SUMIF('納品書明細16-E'!$C$9:$C$206,CONCATENATE(VLOOKUP(G$5,$G$1:$H$4,2,FALSE),$E85,9,1),'納品書明細16-E'!$Q$9:$Q$206)</f>
        <v>0</v>
      </c>
      <c r="O85" s="64"/>
      <c r="P85" s="133">
        <f>COUNTIF('納品書明細16-E'!$D$9:$D$206,CONCATENATE(VLOOKUP(P$5,$G$1:$H$4,2,FALSE),$E85,1,1,1))</f>
        <v>0</v>
      </c>
      <c r="Q85" s="161">
        <f>SUMIF('納品書明細16-E'!$C$9:$C$206,CONCATENATE(VLOOKUP(P$5,$G$1:$H$4,2,FALSE),$E85,1,1),'納品書明細16-E'!$Q$9:$Q$206)</f>
        <v>0</v>
      </c>
      <c r="R85" s="345"/>
      <c r="S85" s="122"/>
      <c r="T85" s="128"/>
      <c r="U85" s="345"/>
      <c r="V85" s="126">
        <f>COUNTIF('納品書明細16-E'!$D$9:$D$206,CONCATENATE(VLOOKUP(P$5,$G$1:$H$4,2,FALSE),$E85,9,1,1))</f>
        <v>0</v>
      </c>
      <c r="W85" s="433">
        <f>SUMIF('納品書明細16-E'!$C$9:$C$206,CONCATENATE(VLOOKUP(P$5,$G$1:$H$4,2,FALSE),$E85,9,1),'納品書明細16-E'!$Q$9:$Q$206)</f>
        <v>0</v>
      </c>
      <c r="X85" s="64"/>
      <c r="Y85" s="133">
        <f>COUNTIF('納品書明細16-E'!$D$9:$D$206,CONCATENATE(VLOOKUP(Y$5,$G$1:$H$4,2,FALSE),$E85,1,1,1))</f>
        <v>0</v>
      </c>
      <c r="Z85" s="161">
        <f>SUMIF('納品書明細16-E'!$C$9:$C$206,CONCATENATE(VLOOKUP(Y$5,$G$1:$H$4,2,FALSE),$E85,1,1),'納品書明細16-E'!$Q$9:$Q$206)</f>
        <v>0</v>
      </c>
      <c r="AA85" s="345"/>
      <c r="AB85" s="122"/>
      <c r="AC85" s="128"/>
      <c r="AD85" s="345"/>
      <c r="AE85" s="126">
        <f>COUNTIF('納品書明細16-E'!$D$9:$D$206,CONCATENATE(VLOOKUP(Y$5,$G$1:$H$4,2,FALSE),$E85,9,1,1))</f>
        <v>0</v>
      </c>
      <c r="AF85" s="433">
        <f>SUMIF('納品書明細16-E'!$C$9:$C$206,CONCATENATE(VLOOKUP(Y$5,$G$1:$H$4,2,FALSE),$E85,9,1),'納品書明細16-E'!$Q$9:$Q$206)</f>
        <v>0</v>
      </c>
    </row>
    <row r="86" spans="1:32">
      <c r="A86" s="474" t="str">
        <f>IF(SUMIFS($G86:$AF86,$G$8:$AF$8,"金額",$G86:$AF86,"&gt;0")-SUMIFS($G86:$AF86,$G$8:$AF$8,"金額",$G86:$AF86,"&lt;0")&lt;=0,"",MAX($A$8:$A85)+1)</f>
        <v/>
      </c>
      <c r="B86" s="802"/>
      <c r="C86" s="245" t="str">
        <f t="shared" si="2"/>
        <v>商品</v>
      </c>
      <c r="D86" s="245">
        <v>78</v>
      </c>
      <c r="E86" s="590" t="str">
        <f>IF($F86&lt;&gt;"",INDEX(ﾏｽﾀ!$D$8:$D$124,MATCH(INDEX(ﾏｽﾀ!$N$8:$N$124,MATCH($F86,ﾏｽﾀ!$O$8:$O$124,0)),ﾏｽﾀ!$B$8:$B$124,0))&amp;"","")</f>
        <v/>
      </c>
      <c r="F86" s="589" t="str">
        <f>ﾏｽﾀ!$R85&amp;""</f>
        <v/>
      </c>
      <c r="G86" s="133">
        <f>COUNTIF('納品書明細16-E'!$D$9:$D$206,CONCATENATE(VLOOKUP(G$5,$G$1:$H$4,2,FALSE),$E86,1,1,1))</f>
        <v>0</v>
      </c>
      <c r="H86" s="127">
        <f>SUMIF('納品書明細16-E'!$C$9:$C$206,CONCATENATE(VLOOKUP(G$5,$G$1:$H$4,2,FALSE),$E86,1,1),'納品書明細16-E'!$Q$9:$Q$206)</f>
        <v>0</v>
      </c>
      <c r="I86" s="345"/>
      <c r="J86" s="122"/>
      <c r="K86" s="359"/>
      <c r="L86" s="345"/>
      <c r="M86" s="126">
        <f>COUNTIF('納品書明細16-E'!$D$9:$D$206,CONCATENATE(VLOOKUP(G$5,$G$1:$H$4,2,FALSE),$E86,9,1,1))</f>
        <v>0</v>
      </c>
      <c r="N86" s="434">
        <f>SUMIF('納品書明細16-E'!$C$9:$C$206,CONCATENATE(VLOOKUP(G$5,$G$1:$H$4,2,FALSE),$E86,9,1),'納品書明細16-E'!$Q$9:$Q$206)</f>
        <v>0</v>
      </c>
      <c r="O86" s="64"/>
      <c r="P86" s="133">
        <f>COUNTIF('納品書明細16-E'!$D$9:$D$206,CONCATENATE(VLOOKUP(P$5,$G$1:$H$4,2,FALSE),$E86,1,1,1))</f>
        <v>0</v>
      </c>
      <c r="Q86" s="161">
        <f>SUMIF('納品書明細16-E'!$C$9:$C$206,CONCATENATE(VLOOKUP(P$5,$G$1:$H$4,2,FALSE),$E86,1,1),'納品書明細16-E'!$Q$9:$Q$206)</f>
        <v>0</v>
      </c>
      <c r="R86" s="345"/>
      <c r="S86" s="122"/>
      <c r="T86" s="128"/>
      <c r="U86" s="345"/>
      <c r="V86" s="126">
        <f>COUNTIF('納品書明細16-E'!$D$9:$D$206,CONCATENATE(VLOOKUP(P$5,$G$1:$H$4,2,FALSE),$E86,9,1,1))</f>
        <v>0</v>
      </c>
      <c r="W86" s="433">
        <f>SUMIF('納品書明細16-E'!$C$9:$C$206,CONCATENATE(VLOOKUP(P$5,$G$1:$H$4,2,FALSE),$E86,9,1),'納品書明細16-E'!$Q$9:$Q$206)</f>
        <v>0</v>
      </c>
      <c r="X86" s="64"/>
      <c r="Y86" s="133">
        <f>COUNTIF('納品書明細16-E'!$D$9:$D$206,CONCATENATE(VLOOKUP(Y$5,$G$1:$H$4,2,FALSE),$E86,1,1,1))</f>
        <v>0</v>
      </c>
      <c r="Z86" s="161">
        <f>SUMIF('納品書明細16-E'!$C$9:$C$206,CONCATENATE(VLOOKUP(Y$5,$G$1:$H$4,2,FALSE),$E86,1,1),'納品書明細16-E'!$Q$9:$Q$206)</f>
        <v>0</v>
      </c>
      <c r="AA86" s="345"/>
      <c r="AB86" s="122"/>
      <c r="AC86" s="128"/>
      <c r="AD86" s="345"/>
      <c r="AE86" s="126">
        <f>COUNTIF('納品書明細16-E'!$D$9:$D$206,CONCATENATE(VLOOKUP(Y$5,$G$1:$H$4,2,FALSE),$E86,9,1,1))</f>
        <v>0</v>
      </c>
      <c r="AF86" s="433">
        <f>SUMIF('納品書明細16-E'!$C$9:$C$206,CONCATENATE(VLOOKUP(Y$5,$G$1:$H$4,2,FALSE),$E86,9,1),'納品書明細16-E'!$Q$9:$Q$206)</f>
        <v>0</v>
      </c>
    </row>
    <row r="87" spans="1:32">
      <c r="A87" s="474" t="str">
        <f>IF(SUMIFS($G87:$AF87,$G$8:$AF$8,"金額",$G87:$AF87,"&gt;0")-SUMIFS($G87:$AF87,$G$8:$AF$8,"金額",$G87:$AF87,"&lt;0")&lt;=0,"",MAX($A$8:$A86)+1)</f>
        <v/>
      </c>
      <c r="B87" s="802"/>
      <c r="C87" s="245" t="str">
        <f t="shared" si="2"/>
        <v>商品</v>
      </c>
      <c r="D87" s="245">
        <v>79</v>
      </c>
      <c r="E87" s="590" t="str">
        <f>IF($F87&lt;&gt;"",INDEX(ﾏｽﾀ!$D$8:$D$124,MATCH(INDEX(ﾏｽﾀ!$N$8:$N$124,MATCH($F87,ﾏｽﾀ!$O$8:$O$124,0)),ﾏｽﾀ!$B$8:$B$124,0))&amp;"","")</f>
        <v/>
      </c>
      <c r="F87" s="589" t="str">
        <f>ﾏｽﾀ!$R86&amp;""</f>
        <v/>
      </c>
      <c r="G87" s="133">
        <f>COUNTIF('納品書明細16-E'!$D$9:$D$206,CONCATENATE(VLOOKUP(G$5,$G$1:$H$4,2,FALSE),$E87,1,1,1))</f>
        <v>0</v>
      </c>
      <c r="H87" s="127">
        <f>SUMIF('納品書明細16-E'!$C$9:$C$206,CONCATENATE(VLOOKUP(G$5,$G$1:$H$4,2,FALSE),$E87,1,1),'納品書明細16-E'!$Q$9:$Q$206)</f>
        <v>0</v>
      </c>
      <c r="I87" s="345"/>
      <c r="J87" s="122"/>
      <c r="K87" s="359"/>
      <c r="L87" s="345"/>
      <c r="M87" s="126">
        <f>COUNTIF('納品書明細16-E'!$D$9:$D$206,CONCATENATE(VLOOKUP(G$5,$G$1:$H$4,2,FALSE),$E87,9,1,1))</f>
        <v>0</v>
      </c>
      <c r="N87" s="434">
        <f>SUMIF('納品書明細16-E'!$C$9:$C$206,CONCATENATE(VLOOKUP(G$5,$G$1:$H$4,2,FALSE),$E87,9,1),'納品書明細16-E'!$Q$9:$Q$206)</f>
        <v>0</v>
      </c>
      <c r="O87" s="64"/>
      <c r="P87" s="133">
        <f>COUNTIF('納品書明細16-E'!$D$9:$D$206,CONCATENATE(VLOOKUP(P$5,$G$1:$H$4,2,FALSE),$E87,1,1,1))</f>
        <v>0</v>
      </c>
      <c r="Q87" s="161">
        <f>SUMIF('納品書明細16-E'!$C$9:$C$206,CONCATENATE(VLOOKUP(P$5,$G$1:$H$4,2,FALSE),$E87,1,1),'納品書明細16-E'!$Q$9:$Q$206)</f>
        <v>0</v>
      </c>
      <c r="R87" s="345"/>
      <c r="S87" s="122"/>
      <c r="T87" s="128"/>
      <c r="U87" s="345"/>
      <c r="V87" s="126">
        <f>COUNTIF('納品書明細16-E'!$D$9:$D$206,CONCATENATE(VLOOKUP(P$5,$G$1:$H$4,2,FALSE),$E87,9,1,1))</f>
        <v>0</v>
      </c>
      <c r="W87" s="433">
        <f>SUMIF('納品書明細16-E'!$C$9:$C$206,CONCATENATE(VLOOKUP(P$5,$G$1:$H$4,2,FALSE),$E87,9,1),'納品書明細16-E'!$Q$9:$Q$206)</f>
        <v>0</v>
      </c>
      <c r="X87" s="64"/>
      <c r="Y87" s="133">
        <f>COUNTIF('納品書明細16-E'!$D$9:$D$206,CONCATENATE(VLOOKUP(Y$5,$G$1:$H$4,2,FALSE),$E87,1,1,1))</f>
        <v>0</v>
      </c>
      <c r="Z87" s="161">
        <f>SUMIF('納品書明細16-E'!$C$9:$C$206,CONCATENATE(VLOOKUP(Y$5,$G$1:$H$4,2,FALSE),$E87,1,1),'納品書明細16-E'!$Q$9:$Q$206)</f>
        <v>0</v>
      </c>
      <c r="AA87" s="345"/>
      <c r="AB87" s="122"/>
      <c r="AC87" s="128"/>
      <c r="AD87" s="345"/>
      <c r="AE87" s="126">
        <f>COUNTIF('納品書明細16-E'!$D$9:$D$206,CONCATENATE(VLOOKUP(Y$5,$G$1:$H$4,2,FALSE),$E87,9,1,1))</f>
        <v>0</v>
      </c>
      <c r="AF87" s="433">
        <f>SUMIF('納品書明細16-E'!$C$9:$C$206,CONCATENATE(VLOOKUP(Y$5,$G$1:$H$4,2,FALSE),$E87,9,1),'納品書明細16-E'!$Q$9:$Q$206)</f>
        <v>0</v>
      </c>
    </row>
    <row r="88" spans="1:32">
      <c r="A88" s="474" t="str">
        <f>IF(SUMIFS($G88:$AF88,$G$8:$AF$8,"金額",$G88:$AF88,"&gt;0")-SUMIFS($G88:$AF88,$G$8:$AF$8,"金額",$G88:$AF88,"&lt;0")&lt;=0,"",MAX($A$8:$A87)+1)</f>
        <v/>
      </c>
      <c r="B88" s="802"/>
      <c r="C88" s="245" t="str">
        <f t="shared" si="2"/>
        <v>商品</v>
      </c>
      <c r="D88" s="245">
        <v>80</v>
      </c>
      <c r="E88" s="590" t="str">
        <f>IF($F88&lt;&gt;"",INDEX(ﾏｽﾀ!$D$8:$D$124,MATCH(INDEX(ﾏｽﾀ!$N$8:$N$124,MATCH($F88,ﾏｽﾀ!$O$8:$O$124,0)),ﾏｽﾀ!$B$8:$B$124,0))&amp;"","")</f>
        <v/>
      </c>
      <c r="F88" s="589" t="str">
        <f>ﾏｽﾀ!$R87&amp;""</f>
        <v/>
      </c>
      <c r="G88" s="133">
        <f>COUNTIF('納品書明細16-E'!$D$9:$D$206,CONCATENATE(VLOOKUP(G$5,$G$1:$H$4,2,FALSE),$E88,1,1,1))</f>
        <v>0</v>
      </c>
      <c r="H88" s="127">
        <f>SUMIF('納品書明細16-E'!$C$9:$C$206,CONCATENATE(VLOOKUP(G$5,$G$1:$H$4,2,FALSE),$E88,1,1),'納品書明細16-E'!$Q$9:$Q$206)</f>
        <v>0</v>
      </c>
      <c r="I88" s="345"/>
      <c r="J88" s="122"/>
      <c r="K88" s="359"/>
      <c r="L88" s="345"/>
      <c r="M88" s="126">
        <f>COUNTIF('納品書明細16-E'!$D$9:$D$206,CONCATENATE(VLOOKUP(G$5,$G$1:$H$4,2,FALSE),$E88,9,1,1))</f>
        <v>0</v>
      </c>
      <c r="N88" s="434">
        <f>SUMIF('納品書明細16-E'!$C$9:$C$206,CONCATENATE(VLOOKUP(G$5,$G$1:$H$4,2,FALSE),$E88,9,1),'納品書明細16-E'!$Q$9:$Q$206)</f>
        <v>0</v>
      </c>
      <c r="O88" s="64"/>
      <c r="P88" s="133">
        <f>COUNTIF('納品書明細16-E'!$D$9:$D$206,CONCATENATE(VLOOKUP(P$5,$G$1:$H$4,2,FALSE),$E88,1,1,1))</f>
        <v>0</v>
      </c>
      <c r="Q88" s="161">
        <f>SUMIF('納品書明細16-E'!$C$9:$C$206,CONCATENATE(VLOOKUP(P$5,$G$1:$H$4,2,FALSE),$E88,1,1),'納品書明細16-E'!$Q$9:$Q$206)</f>
        <v>0</v>
      </c>
      <c r="R88" s="345"/>
      <c r="S88" s="122"/>
      <c r="T88" s="128"/>
      <c r="U88" s="345"/>
      <c r="V88" s="126">
        <f>COUNTIF('納品書明細16-E'!$D$9:$D$206,CONCATENATE(VLOOKUP(P$5,$G$1:$H$4,2,FALSE),$E88,9,1,1))</f>
        <v>0</v>
      </c>
      <c r="W88" s="433">
        <f>SUMIF('納品書明細16-E'!$C$9:$C$206,CONCATENATE(VLOOKUP(P$5,$G$1:$H$4,2,FALSE),$E88,9,1),'納品書明細16-E'!$Q$9:$Q$206)</f>
        <v>0</v>
      </c>
      <c r="X88" s="64"/>
      <c r="Y88" s="133">
        <f>COUNTIF('納品書明細16-E'!$D$9:$D$206,CONCATENATE(VLOOKUP(Y$5,$G$1:$H$4,2,FALSE),$E88,1,1,1))</f>
        <v>0</v>
      </c>
      <c r="Z88" s="161">
        <f>SUMIF('納品書明細16-E'!$C$9:$C$206,CONCATENATE(VLOOKUP(Y$5,$G$1:$H$4,2,FALSE),$E88,1,1),'納品書明細16-E'!$Q$9:$Q$206)</f>
        <v>0</v>
      </c>
      <c r="AA88" s="345"/>
      <c r="AB88" s="122"/>
      <c r="AC88" s="128"/>
      <c r="AD88" s="345"/>
      <c r="AE88" s="126">
        <f>COUNTIF('納品書明細16-E'!$D$9:$D$206,CONCATENATE(VLOOKUP(Y$5,$G$1:$H$4,2,FALSE),$E88,9,1,1))</f>
        <v>0</v>
      </c>
      <c r="AF88" s="433">
        <f>SUMIF('納品書明細16-E'!$C$9:$C$206,CONCATENATE(VLOOKUP(Y$5,$G$1:$H$4,2,FALSE),$E88,9,1),'納品書明細16-E'!$Q$9:$Q$206)</f>
        <v>0</v>
      </c>
    </row>
    <row r="89" spans="1:32">
      <c r="A89" s="474" t="str">
        <f>IF(SUMIFS($G89:$AF89,$G$8:$AF$8,"金額",$G89:$AF89,"&gt;0")-SUMIFS($G89:$AF89,$G$8:$AF$8,"金額",$G89:$AF89,"&lt;0")&lt;=0,"",MAX($A$8:$A88)+1)</f>
        <v/>
      </c>
      <c r="B89" s="802"/>
      <c r="C89" s="245" t="str">
        <f t="shared" si="2"/>
        <v>商品</v>
      </c>
      <c r="D89" s="245">
        <v>81</v>
      </c>
      <c r="E89" s="590" t="str">
        <f>IF($F89&lt;&gt;"",INDEX(ﾏｽﾀ!$D$8:$D$124,MATCH(INDEX(ﾏｽﾀ!$N$8:$N$124,MATCH($F89,ﾏｽﾀ!$O$8:$O$124,0)),ﾏｽﾀ!$B$8:$B$124,0))&amp;"","")</f>
        <v/>
      </c>
      <c r="F89" s="589" t="str">
        <f>ﾏｽﾀ!$R88&amp;""</f>
        <v/>
      </c>
      <c r="G89" s="133">
        <f>COUNTIF('納品書明細16-E'!$D$9:$D$206,CONCATENATE(VLOOKUP(G$5,$G$1:$H$4,2,FALSE),$E89,1,1,1))</f>
        <v>0</v>
      </c>
      <c r="H89" s="127">
        <f>SUMIF('納品書明細16-E'!$C$9:$C$206,CONCATENATE(VLOOKUP(G$5,$G$1:$H$4,2,FALSE),$E89,1,1),'納品書明細16-E'!$Q$9:$Q$206)</f>
        <v>0</v>
      </c>
      <c r="I89" s="345"/>
      <c r="J89" s="122"/>
      <c r="K89" s="359"/>
      <c r="L89" s="345"/>
      <c r="M89" s="126">
        <f>COUNTIF('納品書明細16-E'!$D$9:$D$206,CONCATENATE(VLOOKUP(G$5,$G$1:$H$4,2,FALSE),$E89,9,1,1))</f>
        <v>0</v>
      </c>
      <c r="N89" s="434">
        <f>SUMIF('納品書明細16-E'!$C$9:$C$206,CONCATENATE(VLOOKUP(G$5,$G$1:$H$4,2,FALSE),$E89,9,1),'納品書明細16-E'!$Q$9:$Q$206)</f>
        <v>0</v>
      </c>
      <c r="O89" s="64"/>
      <c r="P89" s="133">
        <f>COUNTIF('納品書明細16-E'!$D$9:$D$206,CONCATENATE(VLOOKUP(P$5,$G$1:$H$4,2,FALSE),$E89,1,1,1))</f>
        <v>0</v>
      </c>
      <c r="Q89" s="161">
        <f>SUMIF('納品書明細16-E'!$C$9:$C$206,CONCATENATE(VLOOKUP(P$5,$G$1:$H$4,2,FALSE),$E89,1,1),'納品書明細16-E'!$Q$9:$Q$206)</f>
        <v>0</v>
      </c>
      <c r="R89" s="345"/>
      <c r="S89" s="122"/>
      <c r="T89" s="128"/>
      <c r="U89" s="345"/>
      <c r="V89" s="126">
        <f>COUNTIF('納品書明細16-E'!$D$9:$D$206,CONCATENATE(VLOOKUP(P$5,$G$1:$H$4,2,FALSE),$E89,9,1,1))</f>
        <v>0</v>
      </c>
      <c r="W89" s="433">
        <f>SUMIF('納品書明細16-E'!$C$9:$C$206,CONCATENATE(VLOOKUP(P$5,$G$1:$H$4,2,FALSE),$E89,9,1),'納品書明細16-E'!$Q$9:$Q$206)</f>
        <v>0</v>
      </c>
      <c r="X89" s="64"/>
      <c r="Y89" s="133">
        <f>COUNTIF('納品書明細16-E'!$D$9:$D$206,CONCATENATE(VLOOKUP(Y$5,$G$1:$H$4,2,FALSE),$E89,1,1,1))</f>
        <v>0</v>
      </c>
      <c r="Z89" s="161">
        <f>SUMIF('納品書明細16-E'!$C$9:$C$206,CONCATENATE(VLOOKUP(Y$5,$G$1:$H$4,2,FALSE),$E89,1,1),'納品書明細16-E'!$Q$9:$Q$206)</f>
        <v>0</v>
      </c>
      <c r="AA89" s="345"/>
      <c r="AB89" s="122"/>
      <c r="AC89" s="128"/>
      <c r="AD89" s="345"/>
      <c r="AE89" s="126">
        <f>COUNTIF('納品書明細16-E'!$D$9:$D$206,CONCATENATE(VLOOKUP(Y$5,$G$1:$H$4,2,FALSE),$E89,9,1,1))</f>
        <v>0</v>
      </c>
      <c r="AF89" s="433">
        <f>SUMIF('納品書明細16-E'!$C$9:$C$206,CONCATENATE(VLOOKUP(Y$5,$G$1:$H$4,2,FALSE),$E89,9,1),'納品書明細16-E'!$Q$9:$Q$206)</f>
        <v>0</v>
      </c>
    </row>
    <row r="90" spans="1:32" ht="13.8" thickBot="1">
      <c r="A90" s="474" t="str">
        <f>IF(SUMIFS($G90:$AF90,$G$8:$AF$8,"金額",$G90:$AF90,"&gt;0")-SUMIFS($G90:$AF90,$G$8:$AF$8,"金額",$G90:$AF90,"&lt;0")&lt;=0,"",MAX($A$8:$A89)+1)</f>
        <v/>
      </c>
      <c r="B90" s="803"/>
      <c r="C90" s="245" t="str">
        <f t="shared" si="2"/>
        <v>商品</v>
      </c>
      <c r="D90" s="245">
        <v>82</v>
      </c>
      <c r="E90" s="590" t="str">
        <f>IF($F90&lt;&gt;"",INDEX(ﾏｽﾀ!$D$8:$D$124,MATCH(INDEX(ﾏｽﾀ!$N$8:$N$124,MATCH($F90,ﾏｽﾀ!$O$8:$O$124,0)),ﾏｽﾀ!$B$8:$B$124,0))&amp;"","")</f>
        <v/>
      </c>
      <c r="F90" s="589" t="str">
        <f>ﾏｽﾀ!$R89&amp;""</f>
        <v/>
      </c>
      <c r="G90" s="133">
        <f>COUNTIF('納品書明細16-E'!$D$9:$D$206,CONCATENATE(VLOOKUP(G$5,$G$1:$H$4,2,FALSE),$E90,1,1,1))</f>
        <v>0</v>
      </c>
      <c r="H90" s="127">
        <f>SUMIF('納品書明細16-E'!$C$9:$C$206,CONCATENATE(VLOOKUP(G$5,$G$1:$H$4,2,FALSE),$E90,1,1),'納品書明細16-E'!$Q$9:$Q$206)</f>
        <v>0</v>
      </c>
      <c r="I90" s="345"/>
      <c r="J90" s="122"/>
      <c r="K90" s="359"/>
      <c r="L90" s="345"/>
      <c r="M90" s="126">
        <f>COUNTIF('納品書明細16-E'!$D$9:$D$206,CONCATENATE(VLOOKUP(G$5,$G$1:$H$4,2,FALSE),$E90,9,1,1))</f>
        <v>0</v>
      </c>
      <c r="N90" s="434">
        <f>SUMIF('納品書明細16-E'!$C$9:$C$206,CONCATENATE(VLOOKUP(G$5,$G$1:$H$4,2,FALSE),$E90,9,1),'納品書明細16-E'!$Q$9:$Q$206)</f>
        <v>0</v>
      </c>
      <c r="O90" s="64"/>
      <c r="P90" s="133">
        <f>COUNTIF('納品書明細16-E'!$D$9:$D$206,CONCATENATE(VLOOKUP(P$5,$G$1:$H$4,2,FALSE),$E90,1,1,1))</f>
        <v>0</v>
      </c>
      <c r="Q90" s="161">
        <f>SUMIF('納品書明細16-E'!$C$9:$C$206,CONCATENATE(VLOOKUP(P$5,$G$1:$H$4,2,FALSE),$E90,1,1),'納品書明細16-E'!$Q$9:$Q$206)</f>
        <v>0</v>
      </c>
      <c r="R90" s="345"/>
      <c r="S90" s="122"/>
      <c r="T90" s="128"/>
      <c r="U90" s="345"/>
      <c r="V90" s="126">
        <f>COUNTIF('納品書明細16-E'!$D$9:$D$206,CONCATENATE(VLOOKUP(P$5,$G$1:$H$4,2,FALSE),$E90,9,1,1))</f>
        <v>0</v>
      </c>
      <c r="W90" s="433">
        <f>SUMIF('納品書明細16-E'!$C$9:$C$206,CONCATENATE(VLOOKUP(P$5,$G$1:$H$4,2,FALSE),$E90,9,1),'納品書明細16-E'!$Q$9:$Q$206)</f>
        <v>0</v>
      </c>
      <c r="X90" s="64"/>
      <c r="Y90" s="133">
        <f>COUNTIF('納品書明細16-E'!$D$9:$D$206,CONCATENATE(VLOOKUP(Y$5,$G$1:$H$4,2,FALSE),$E90,1,1,1))</f>
        <v>0</v>
      </c>
      <c r="Z90" s="161">
        <f>SUMIF('納品書明細16-E'!$C$9:$C$206,CONCATENATE(VLOOKUP(Y$5,$G$1:$H$4,2,FALSE),$E90,1,1),'納品書明細16-E'!$Q$9:$Q$206)</f>
        <v>0</v>
      </c>
      <c r="AA90" s="345"/>
      <c r="AB90" s="122"/>
      <c r="AC90" s="128"/>
      <c r="AD90" s="345"/>
      <c r="AE90" s="126">
        <f>COUNTIF('納品書明細16-E'!$D$9:$D$206,CONCATENATE(VLOOKUP(Y$5,$G$1:$H$4,2,FALSE),$E90,9,1,1))</f>
        <v>0</v>
      </c>
      <c r="AF90" s="433">
        <f>SUMIF('納品書明細16-E'!$C$9:$C$206,CONCATENATE(VLOOKUP(Y$5,$G$1:$H$4,2,FALSE),$E90,9,1),'納品書明細16-E'!$Q$9:$Q$206)</f>
        <v>0</v>
      </c>
    </row>
    <row r="91" spans="1:32">
      <c r="A91" s="474" t="s">
        <v>430</v>
      </c>
      <c r="B91" s="621"/>
      <c r="C91" s="245"/>
      <c r="D91" s="245"/>
      <c r="E91" s="344"/>
      <c r="F91" s="363"/>
      <c r="G91" s="446"/>
      <c r="H91" s="447"/>
      <c r="I91" s="361"/>
      <c r="J91" s="361"/>
      <c r="K91" s="361"/>
      <c r="L91" s="361"/>
      <c r="M91" s="447"/>
      <c r="N91" s="448"/>
      <c r="O91" s="364"/>
      <c r="P91" s="446"/>
      <c r="Q91" s="447"/>
      <c r="R91" s="361"/>
      <c r="S91" s="361"/>
      <c r="T91" s="361"/>
      <c r="U91" s="361"/>
      <c r="V91" s="447"/>
      <c r="W91" s="448"/>
      <c r="X91" s="364"/>
      <c r="Y91" s="446"/>
      <c r="Z91" s="447"/>
      <c r="AA91" s="361"/>
      <c r="AB91" s="361"/>
      <c r="AC91" s="361"/>
      <c r="AD91" s="361"/>
      <c r="AE91" s="452"/>
      <c r="AF91" s="453"/>
    </row>
    <row r="92" spans="1:32" ht="13.8" thickBot="1">
      <c r="A92" s="474" t="s">
        <v>430</v>
      </c>
      <c r="B92" s="622"/>
      <c r="C92" s="246"/>
      <c r="D92" s="246"/>
      <c r="E92" s="441"/>
      <c r="F92" s="439"/>
      <c r="G92" s="440"/>
      <c r="H92" s="438"/>
      <c r="I92" s="346"/>
      <c r="J92" s="346"/>
      <c r="K92" s="346"/>
      <c r="L92" s="346"/>
      <c r="M92" s="438"/>
      <c r="N92" s="439"/>
      <c r="O92" s="365"/>
      <c r="P92" s="440"/>
      <c r="Q92" s="438"/>
      <c r="R92" s="346"/>
      <c r="S92" s="346"/>
      <c r="T92" s="346"/>
      <c r="U92" s="346"/>
      <c r="V92" s="438"/>
      <c r="W92" s="439"/>
      <c r="X92" s="365"/>
      <c r="Y92" s="440"/>
      <c r="Z92" s="438"/>
      <c r="AA92" s="346"/>
      <c r="AB92" s="346"/>
      <c r="AC92" s="346"/>
      <c r="AD92" s="346"/>
      <c r="AE92" s="454"/>
      <c r="AF92" s="455"/>
    </row>
    <row r="93" spans="1:32">
      <c r="A93" s="475">
        <f>IF(SUMIFS($G93:$AF93,$G$8:$AF$8,"金額",$G93:$AF93,"&gt;0")-SUMIFS($G93:$AF93,$G$8:$AF$8,"金額",$G93:$AF93,"&lt;0")&lt;=0,"",MAX($A$92:$A92)+1)</f>
        <v>1</v>
      </c>
      <c r="B93" s="794" t="s">
        <v>5</v>
      </c>
      <c r="C93" s="245" t="str">
        <f t="shared" ref="C93:C124" si="3">CONCATENATE("経費",$A93)</f>
        <v>経費1</v>
      </c>
      <c r="D93" s="245">
        <v>1</v>
      </c>
      <c r="E93" s="593" t="str">
        <f>IF($F93&lt;&gt;"",INDEX(ﾏｽﾀ!$D$8:$D$124,MATCH(INDEX(ﾏｽﾀ!$N$8:$N$124,MATCH($F93,ﾏｽﾀ!$O$8:$O$124,0)),ﾏｽﾀ!$B$8:$B$124,0))&amp;"","")</f>
        <v>10001</v>
      </c>
      <c r="F93" s="594" t="str">
        <f>ﾏｽﾀ!$R8&amp;""</f>
        <v xml:space="preserve">株式会社 バンダイ　3100／ベンダー事業部 </v>
      </c>
      <c r="G93" s="634">
        <f>COUNTIF('納品書明細16-E'!$B$9:$B$206,CONCATENATE(VLOOKUP(G$5,$G$1:$H$4,2,FALSE),$E93,1,1))-INDEX($G$9:$G$90,MATCH($E93,$E$9:$E$90,0))</f>
        <v>1</v>
      </c>
      <c r="H93" s="636">
        <f>SUMIF('納品書明細16-E'!$B$9:$B$206,CONCATENATE(VLOOKUP(G$5,$G$1:$H$4,2,FALSE),$E93,1,1),'納品書明細16-E'!$Q$9:$Q$206)+SUMIF('納品書明細16-E'!$B$9:$B$206,CONCATENATE(VLOOKUP(G$5,$G$1:$H$4,2,FALSE),$E93,1,0),'納品書明細16-E'!$Q$9:$Q$206)-INDEX($H$9:$H$90,MATCH($E93,$E$9:$E$90,0))</f>
        <v>6311</v>
      </c>
      <c r="I93" s="345"/>
      <c r="J93" s="122"/>
      <c r="K93" s="359"/>
      <c r="L93" s="345"/>
      <c r="M93" s="628">
        <f>COUNTIF('納品書明細16-E'!$B$9:$B$206,CONCATENATE(VLOOKUP(G$5,$G$1:$H$4,2,FALSE),$E93,9,1))-INDEX($M$9:$M$90,MATCH($E93,$E$9:$E$90,0))</f>
        <v>0</v>
      </c>
      <c r="N93" s="642">
        <f>SUMIF('納品書明細16-E'!$B$9:$B$206,CONCATENATE(VLOOKUP(G$5,$G$1:$H$4,2,FALSE),$E93,9,1),'納品書明細16-E'!$Q$9:$Q$206)+SUMIF('納品書明細16-E'!$B$9:$B$206,CONCATENATE(VLOOKUP(G$5,$G$1:$H$4,2,FALSE),$E93,9,0),'納品書明細16-E'!$Q$9:$Q$206)-INDEX($N$9:$N$90,MATCH($E93,$E$9:$E$90,0))</f>
        <v>0</v>
      </c>
      <c r="O93" s="64"/>
      <c r="P93" s="646">
        <f>COUNTIF('納品書明細16-E'!$B$9:$B$206,CONCATENATE(VLOOKUP(P$5,$G$1:$H$4,2,FALSE),$E93,1,1))-VLOOKUP($E93,$E$9:$AF$92,$P$7-$D$7,0)</f>
        <v>0</v>
      </c>
      <c r="Q93" s="647">
        <f>SUMIF('納品書明細16-E'!$B$9:$B$206,CONCATENATE(VLOOKUP(P$5,$G$1:$H$4,2,FALSE),$E93,1,1),'納品書明細16-E'!$Q$9:$Q$206)+SUMIF('納品書明細16-E'!$B$9:$B$206,CONCATENATE(VLOOKUP(P$5,$G$1:$H$4,2,FALSE),$E93,1,0),'納品書明細16-E'!$Q$9:$Q$206)-VLOOKUP($E93,$E$9:$AF$92,$Q$7-$D$7,0)</f>
        <v>0</v>
      </c>
      <c r="R93" s="345"/>
      <c r="S93" s="122"/>
      <c r="T93" s="128"/>
      <c r="U93" s="345"/>
      <c r="V93" s="638">
        <f>COUNTIF('納品書明細16-E'!$B$9:$B$206,CONCATENATE(VLOOKUP(P$5,$G$1:$H$4,2,FALSE),$E93,9,1))-VLOOKUP($E93,$E$9:$AF$92,$V$7-$D$7,0)</f>
        <v>0</v>
      </c>
      <c r="W93" s="650">
        <f>SUMIF('納品書明細16-E'!$B$9:$B$206,CONCATENATE(VLOOKUP(P$5,$G$1:$H$4,2,FALSE),$E93,9,1),'納品書明細16-E'!$Q$9:$Q$206)+SUMIF('納品書明細16-E'!$B$9:$B$206,CONCATENATE(VLOOKUP(P$5,$G$1:$H$4,2,FALSE),$E93,9,0),'納品書明細16-E'!$Q$9:$Q$206)-VLOOKUP($E93,$E$9:$AF$92,$W$7-$D$7,0)</f>
        <v>0</v>
      </c>
      <c r="X93" s="64"/>
      <c r="Y93" s="646">
        <f>COUNTIF('納品書明細16-E'!$B$9:$B$206,CONCATENATE(VLOOKUP(Y$5,$G$1:$H$4,2,FALSE),$E93,1,1))-VLOOKUP($E93,$E$9:$AF$92,$Y$7-$D$7,0)</f>
        <v>0</v>
      </c>
      <c r="Z93" s="647">
        <f>SUMIF('納品書明細16-E'!$B$9:$B$206,CONCATENATE(VLOOKUP(Y$5,$G$1:$H$4,2,FALSE),$E93,1,1),'納品書明細16-E'!$Q$9:$Q$206)+SUMIF('納品書明細16-E'!$B$9:$B$206,CONCATENATE(VLOOKUP(Y$5,$G$1:$H$4,2,FALSE),$E93,1,0),'納品書明細16-E'!$Q$9:$Q$206)-VLOOKUP($E93,$E$9:$AF$92,$Z$7-$D$7,0)</f>
        <v>0</v>
      </c>
      <c r="AA93" s="345"/>
      <c r="AB93" s="122"/>
      <c r="AC93" s="128"/>
      <c r="AD93" s="345"/>
      <c r="AE93" s="638">
        <f>COUNTIF('納品書明細16-E'!$B$9:$B$206,CONCATENATE(VLOOKUP(Y$5,$G$1:$H$4,2,FALSE),$E93,9,1))-VLOOKUP($E93,$E$9:$AF$92,$AE$7-$D$7,0)</f>
        <v>0</v>
      </c>
      <c r="AF93" s="650">
        <f>SUMIF('納品書明細16-E'!$B$9:$B$206,CONCATENATE(VLOOKUP(Y$5,$G$1:$H$4,2,FALSE),$E93,9,1),'納品書明細16-E'!$Q$9:$Q$206)+SUMIF('納品書明細16-E'!$B$9:$B$206,CONCATENATE(VLOOKUP(Y$5,$G$1:$H$4,2,FALSE),$E93,9,0),'納品書明細16-E'!$Q$9:$Q$206)-VLOOKUP($E93,$E$9:$AF$92,$AF$7-$D$7,0)</f>
        <v>0</v>
      </c>
    </row>
    <row r="94" spans="1:32">
      <c r="A94" s="475" t="str">
        <f>IF(SUMIFS($G94:$AF94,$G$8:$AF$8,"金額",$G94:$AF94,"&gt;0")-SUMIFS($G94:$AF94,$G$8:$AF$8,"金額",$G94:$AF94,"&lt;0")&lt;=0,"",MAX($A$92:$A93)+1)</f>
        <v/>
      </c>
      <c r="B94" s="795"/>
      <c r="C94" s="245" t="str">
        <f t="shared" si="3"/>
        <v>経費</v>
      </c>
      <c r="D94" s="245">
        <v>2</v>
      </c>
      <c r="E94" s="590" t="str">
        <f>IF($F94&lt;&gt;"",INDEX(ﾏｽﾀ!$D$8:$D$124,MATCH(INDEX(ﾏｽﾀ!$N$8:$N$124,MATCH($F94,ﾏｽﾀ!$O$8:$O$124,0)),ﾏｽﾀ!$B$8:$B$124,0))&amp;"","")</f>
        <v>10002</v>
      </c>
      <c r="F94" s="589" t="str">
        <f>ﾏｽﾀ!$R9&amp;""</f>
        <v>株式会社 バンダイ</v>
      </c>
      <c r="G94" s="634">
        <f>COUNTIF('納品書明細16-E'!$B$9:$B$206,CONCATENATE(VLOOKUP(G$5,$G$1:$H$4,2,FALSE),$E94,1,1))-INDEX($G$9:$G$90,MATCH($E94,$E$9:$E$90,0))</f>
        <v>0</v>
      </c>
      <c r="H94" s="636">
        <f>SUMIF('納品書明細16-E'!$B$9:$B$206,CONCATENATE(VLOOKUP(G$5,$G$1:$H$4,2,FALSE),$E94,1,1),'納品書明細16-E'!$Q$9:$Q$206)+SUMIF('納品書明細16-E'!$B$9:$B$206,CONCATENATE(VLOOKUP(G$5,$G$1:$H$4,2,FALSE),$E94,1,0),'納品書明細16-E'!$Q$9:$Q$206)-INDEX($H$9:$H$90,MATCH($E94,$E$9:$E$90,0))</f>
        <v>0</v>
      </c>
      <c r="I94" s="345"/>
      <c r="J94" s="122"/>
      <c r="K94" s="359"/>
      <c r="L94" s="345"/>
      <c r="M94" s="628">
        <f>COUNTIF('納品書明細16-E'!$B$9:$B$206,CONCATENATE(VLOOKUP(G$5,$G$1:$H$4,2,FALSE),$E94,9,1))-INDEX($M$9:$M$90,MATCH($E94,$E$9:$E$90,0))</f>
        <v>0</v>
      </c>
      <c r="N94" s="642">
        <f>SUMIF('納品書明細16-E'!$B$9:$B$206,CONCATENATE(VLOOKUP(G$5,$G$1:$H$4,2,FALSE),$E94,9,1),'納品書明細16-E'!$Q$9:$Q$206)+SUMIF('納品書明細16-E'!$B$9:$B$206,CONCATENATE(VLOOKUP(G$5,$G$1:$H$4,2,FALSE),$E94,9,0),'納品書明細16-E'!$Q$9:$Q$206)-INDEX($N$9:$N$90,MATCH($E94,$E$9:$E$90,0))</f>
        <v>0</v>
      </c>
      <c r="O94" s="64"/>
      <c r="P94" s="646">
        <f>COUNTIF('納品書明細16-E'!$B$9:$B$206,CONCATENATE(VLOOKUP(P$5,$G$1:$H$4,2,FALSE),$E94,1,1))-VLOOKUP($E94,$E$9:$AF$92,$P$7-$D$7,0)</f>
        <v>0</v>
      </c>
      <c r="Q94" s="647">
        <f>SUMIF('納品書明細16-E'!$B$9:$B$206,CONCATENATE(VLOOKUP(P$5,$G$1:$H$4,2,FALSE),$E94,1,1),'納品書明細16-E'!$Q$9:$Q$206)+SUMIF('納品書明細16-E'!$B$9:$B$206,CONCATENATE(VLOOKUP(P$5,$G$1:$H$4,2,FALSE),$E94,1,0),'納品書明細16-E'!$Q$9:$Q$206)-VLOOKUP($E94,$E$9:$AF$92,$Q$7-$D$7,0)</f>
        <v>0</v>
      </c>
      <c r="R94" s="345"/>
      <c r="S94" s="122"/>
      <c r="T94" s="128"/>
      <c r="U94" s="345"/>
      <c r="V94" s="638">
        <f>COUNTIF('納品書明細16-E'!$B$9:$B$206,CONCATENATE(VLOOKUP(P$5,$G$1:$H$4,2,FALSE),$E94,9,1))-VLOOKUP($E94,$E$9:$AF$92,$V$7-$D$7,0)</f>
        <v>0</v>
      </c>
      <c r="W94" s="650">
        <f>SUMIF('納品書明細16-E'!$B$9:$B$206,CONCATENATE(VLOOKUP(P$5,$G$1:$H$4,2,FALSE),$E94,9,1),'納品書明細16-E'!$Q$9:$Q$206)+SUMIF('納品書明細16-E'!$B$9:$B$206,CONCATENATE(VLOOKUP(P$5,$G$1:$H$4,2,FALSE),$E94,9,0),'納品書明細16-E'!$Q$9:$Q$206)-VLOOKUP($E94,$E$9:$AF$92,$W$7-$D$7,0)</f>
        <v>0</v>
      </c>
      <c r="X94" s="64"/>
      <c r="Y94" s="646">
        <f>COUNTIF('納品書明細16-E'!$B$9:$B$206,CONCATENATE(VLOOKUP(Y$5,$G$1:$H$4,2,FALSE),$E94,1,1))-VLOOKUP($E94,$E$9:$AF$92,$Y$7-$D$7,0)</f>
        <v>0</v>
      </c>
      <c r="Z94" s="647">
        <f>SUMIF('納品書明細16-E'!$B$9:$B$206,CONCATENATE(VLOOKUP(Y$5,$G$1:$H$4,2,FALSE),$E94,1,1),'納品書明細16-E'!$Q$9:$Q$206)+SUMIF('納品書明細16-E'!$B$9:$B$206,CONCATENATE(VLOOKUP(Y$5,$G$1:$H$4,2,FALSE),$E94,1,0),'納品書明細16-E'!$Q$9:$Q$206)-VLOOKUP($E94,$E$9:$AF$92,$Z$7-$D$7,0)</f>
        <v>0</v>
      </c>
      <c r="AA94" s="345"/>
      <c r="AB94" s="122"/>
      <c r="AC94" s="128"/>
      <c r="AD94" s="345"/>
      <c r="AE94" s="638">
        <f>COUNTIF('納品書明細16-E'!$B$9:$B$206,CONCATENATE(VLOOKUP(Y$5,$G$1:$H$4,2,FALSE),$E94,9,1))-VLOOKUP($E94,$E$9:$AF$92,$AE$7-$D$7,0)</f>
        <v>0</v>
      </c>
      <c r="AF94" s="650">
        <f>SUMIF('納品書明細16-E'!$B$9:$B$206,CONCATENATE(VLOOKUP(Y$5,$G$1:$H$4,2,FALSE),$E94,9,1),'納品書明細16-E'!$Q$9:$Q$206)+SUMIF('納品書明細16-E'!$B$9:$B$206,CONCATENATE(VLOOKUP(Y$5,$G$1:$H$4,2,FALSE),$E94,9,0),'納品書明細16-E'!$Q$9:$Q$206)-VLOOKUP($E94,$E$9:$AF$92,$AF$7-$D$7,0)</f>
        <v>0</v>
      </c>
    </row>
    <row r="95" spans="1:32">
      <c r="A95" s="475">
        <f>IF(SUMIFS($G95:$AF95,$G$8:$AF$8,"金額",$G95:$AF95,"&gt;0")-SUMIFS($G95:$AF95,$G$8:$AF$8,"金額",$G95:$AF95,"&lt;0")&lt;=0,"",MAX($A$92:$A94)+1)</f>
        <v>2</v>
      </c>
      <c r="B95" s="795"/>
      <c r="C95" s="245" t="str">
        <f t="shared" si="3"/>
        <v>経費2</v>
      </c>
      <c r="D95" s="245">
        <v>3</v>
      </c>
      <c r="E95" s="590" t="str">
        <f>IF($F95&lt;&gt;"",INDEX(ﾏｽﾀ!$D$8:$D$124,MATCH(INDEX(ﾏｽﾀ!$N$8:$N$124,MATCH($F95,ﾏｽﾀ!$O$8:$O$124,0)),ﾏｽﾀ!$B$8:$B$124,0))&amp;"","")</f>
        <v>10005</v>
      </c>
      <c r="F95" s="589" t="str">
        <f>ﾏｽﾀ!$R10&amp;""</f>
        <v>株式会社 バンダイ　3200／キャンディ事業部</v>
      </c>
      <c r="G95" s="634">
        <f>COUNTIF('納品書明細16-E'!$B$9:$B$206,CONCATENATE(VLOOKUP(G$5,$G$1:$H$4,2,FALSE),$E95,1,1))-INDEX($G$9:$G$90,MATCH($E95,$E$9:$E$90,0))</f>
        <v>1</v>
      </c>
      <c r="H95" s="636">
        <f>SUMIF('納品書明細16-E'!$B$9:$B$206,CONCATENATE(VLOOKUP(G$5,$G$1:$H$4,2,FALSE),$E95,1,1),'納品書明細16-E'!$Q$9:$Q$206)+SUMIF('納品書明細16-E'!$B$9:$B$206,CONCATENATE(VLOOKUP(G$5,$G$1:$H$4,2,FALSE),$E95,1,0),'納品書明細16-E'!$Q$9:$Q$206)-INDEX($H$9:$H$90,MATCH($E95,$E$9:$E$90,0))</f>
        <v>27999</v>
      </c>
      <c r="I95" s="345"/>
      <c r="J95" s="122"/>
      <c r="K95" s="359"/>
      <c r="L95" s="345"/>
      <c r="M95" s="628">
        <f>COUNTIF('納品書明細16-E'!$B$9:$B$206,CONCATENATE(VLOOKUP(G$5,$G$1:$H$4,2,FALSE),$E95,9,1))-INDEX($M$9:$M$90,MATCH($E95,$E$9:$E$90,0))</f>
        <v>0</v>
      </c>
      <c r="N95" s="642">
        <f>SUMIF('納品書明細16-E'!$B$9:$B$206,CONCATENATE(VLOOKUP(G$5,$G$1:$H$4,2,FALSE),$E95,9,1),'納品書明細16-E'!$Q$9:$Q$206)+SUMIF('納品書明細16-E'!$B$9:$B$206,CONCATENATE(VLOOKUP(G$5,$G$1:$H$4,2,FALSE),$E95,9,0),'納品書明細16-E'!$Q$9:$Q$206)-INDEX($N$9:$N$90,MATCH($E95,$E$9:$E$90,0))</f>
        <v>0</v>
      </c>
      <c r="O95" s="64"/>
      <c r="P95" s="646">
        <f>COUNTIF('納品書明細16-E'!$B$9:$B$206,CONCATENATE(VLOOKUP(P$5,$G$1:$H$4,2,FALSE),$E95,1,1))-VLOOKUP($E95,$E$9:$AF$92,$P$7-$D$7,0)</f>
        <v>0</v>
      </c>
      <c r="Q95" s="647">
        <f>SUMIF('納品書明細16-E'!$B$9:$B$206,CONCATENATE(VLOOKUP(P$5,$G$1:$H$4,2,FALSE),$E95,1,1),'納品書明細16-E'!$Q$9:$Q$206)+SUMIF('納品書明細16-E'!$B$9:$B$206,CONCATENATE(VLOOKUP(P$5,$G$1:$H$4,2,FALSE),$E95,1,0),'納品書明細16-E'!$Q$9:$Q$206)-VLOOKUP($E95,$E$9:$AF$92,$Q$7-$D$7,0)</f>
        <v>0</v>
      </c>
      <c r="R95" s="345"/>
      <c r="S95" s="122"/>
      <c r="T95" s="128"/>
      <c r="U95" s="345"/>
      <c r="V95" s="638">
        <f>COUNTIF('納品書明細16-E'!$B$9:$B$206,CONCATENATE(VLOOKUP(P$5,$G$1:$H$4,2,FALSE),$E95,9,1))-VLOOKUP($E95,$E$9:$AF$92,$V$7-$D$7,0)</f>
        <v>0</v>
      </c>
      <c r="W95" s="650">
        <f>SUMIF('納品書明細16-E'!$B$9:$B$206,CONCATENATE(VLOOKUP(P$5,$G$1:$H$4,2,FALSE),$E95,9,1),'納品書明細16-E'!$Q$9:$Q$206)+SUMIF('納品書明細16-E'!$B$9:$B$206,CONCATENATE(VLOOKUP(P$5,$G$1:$H$4,2,FALSE),$E95,9,0),'納品書明細16-E'!$Q$9:$Q$206)-VLOOKUP($E95,$E$9:$AF$92,$W$7-$D$7,0)</f>
        <v>0</v>
      </c>
      <c r="X95" s="64"/>
      <c r="Y95" s="646">
        <f>COUNTIF('納品書明細16-E'!$B$9:$B$206,CONCATENATE(VLOOKUP(Y$5,$G$1:$H$4,2,FALSE),$E95,1,1))-VLOOKUP($E95,$E$9:$AF$92,$Y$7-$D$7,0)</f>
        <v>0</v>
      </c>
      <c r="Z95" s="647">
        <f>SUMIF('納品書明細16-E'!$B$9:$B$206,CONCATENATE(VLOOKUP(Y$5,$G$1:$H$4,2,FALSE),$E95,1,1),'納品書明細16-E'!$Q$9:$Q$206)+SUMIF('納品書明細16-E'!$B$9:$B$206,CONCATENATE(VLOOKUP(Y$5,$G$1:$H$4,2,FALSE),$E95,1,0),'納品書明細16-E'!$Q$9:$Q$206)-VLOOKUP($E95,$E$9:$AF$92,$Z$7-$D$7,0)</f>
        <v>0</v>
      </c>
      <c r="AA95" s="345"/>
      <c r="AB95" s="122"/>
      <c r="AC95" s="128"/>
      <c r="AD95" s="345"/>
      <c r="AE95" s="638">
        <f>COUNTIF('納品書明細16-E'!$B$9:$B$206,CONCATENATE(VLOOKUP(Y$5,$G$1:$H$4,2,FALSE),$E95,9,1))-VLOOKUP($E95,$E$9:$AF$92,$AE$7-$D$7,0)</f>
        <v>0</v>
      </c>
      <c r="AF95" s="650">
        <f>SUMIF('納品書明細16-E'!$B$9:$B$206,CONCATENATE(VLOOKUP(Y$5,$G$1:$H$4,2,FALSE),$E95,9,1),'納品書明細16-E'!$Q$9:$Q$206)+SUMIF('納品書明細16-E'!$B$9:$B$206,CONCATENATE(VLOOKUP(Y$5,$G$1:$H$4,2,FALSE),$E95,9,0),'納品書明細16-E'!$Q$9:$Q$206)-VLOOKUP($E95,$E$9:$AF$92,$AF$7-$D$7,0)</f>
        <v>0</v>
      </c>
    </row>
    <row r="96" spans="1:32">
      <c r="A96" s="475" t="str">
        <f>IF(SUMIFS($G96:$AF96,$G$8:$AF$8,"金額",$G96:$AF96,"&gt;0")-SUMIFS($G96:$AF96,$G$8:$AF$8,"金額",$G96:$AF96,"&lt;0")&lt;=0,"",MAX($A$92:$A95)+1)</f>
        <v/>
      </c>
      <c r="B96" s="795"/>
      <c r="C96" s="245" t="str">
        <f t="shared" si="3"/>
        <v>経費</v>
      </c>
      <c r="D96" s="245">
        <v>4</v>
      </c>
      <c r="E96" s="590" t="str">
        <f>IF($F96&lt;&gt;"",INDEX(ﾏｽﾀ!$D$8:$D$124,MATCH(INDEX(ﾏｽﾀ!$N$8:$N$124,MATCH($F96,ﾏｽﾀ!$O$8:$O$124,0)),ﾏｽﾀ!$B$8:$B$124,0))&amp;"","")</f>
        <v>10006</v>
      </c>
      <c r="F96" s="589" t="str">
        <f>ﾏｽﾀ!$R11&amp;""</f>
        <v>株式会社 バンダイ　4200／キャンディ事業部</v>
      </c>
      <c r="G96" s="634">
        <f>COUNTIF('納品書明細16-E'!$B$9:$B$206,CONCATENATE(VLOOKUP(G$5,$G$1:$H$4,2,FALSE),$E96,1,1))-INDEX($G$9:$G$90,MATCH($E96,$E$9:$E$90,0))</f>
        <v>0</v>
      </c>
      <c r="H96" s="636">
        <f>SUMIF('納品書明細16-E'!$B$9:$B$206,CONCATENATE(VLOOKUP(G$5,$G$1:$H$4,2,FALSE),$E96,1,1),'納品書明細16-E'!$Q$9:$Q$206)+SUMIF('納品書明細16-E'!$B$9:$B$206,CONCATENATE(VLOOKUP(G$5,$G$1:$H$4,2,FALSE),$E96,1,0),'納品書明細16-E'!$Q$9:$Q$206)-INDEX($H$9:$H$90,MATCH($E96,$E$9:$E$90,0))</f>
        <v>0</v>
      </c>
      <c r="I96" s="345"/>
      <c r="J96" s="122"/>
      <c r="K96" s="359"/>
      <c r="L96" s="345"/>
      <c r="M96" s="628">
        <f>COUNTIF('納品書明細16-E'!$B$9:$B$206,CONCATENATE(VLOOKUP(G$5,$G$1:$H$4,2,FALSE),$E96,9,1))-INDEX($M$9:$M$90,MATCH($E96,$E$9:$E$90,0))</f>
        <v>0</v>
      </c>
      <c r="N96" s="642">
        <f>SUMIF('納品書明細16-E'!$B$9:$B$206,CONCATENATE(VLOOKUP(G$5,$G$1:$H$4,2,FALSE),$E96,9,1),'納品書明細16-E'!$Q$9:$Q$206)+SUMIF('納品書明細16-E'!$B$9:$B$206,CONCATENATE(VLOOKUP(G$5,$G$1:$H$4,2,FALSE),$E96,9,0),'納品書明細16-E'!$Q$9:$Q$206)-INDEX($N$9:$N$90,MATCH($E96,$E$9:$E$90,0))</f>
        <v>0</v>
      </c>
      <c r="O96" s="64"/>
      <c r="P96" s="646">
        <f>COUNTIF('納品書明細16-E'!$B$9:$B$206,CONCATENATE(VLOOKUP(P$5,$G$1:$H$4,2,FALSE),$E96,1,1))-VLOOKUP($E96,$E$9:$AF$92,$P$7-$D$7,0)</f>
        <v>0</v>
      </c>
      <c r="Q96" s="647">
        <f>SUMIF('納品書明細16-E'!$B$9:$B$206,CONCATENATE(VLOOKUP(P$5,$G$1:$H$4,2,FALSE),$E96,1,1),'納品書明細16-E'!$Q$9:$Q$206)+SUMIF('納品書明細16-E'!$B$9:$B$206,CONCATENATE(VLOOKUP(P$5,$G$1:$H$4,2,FALSE),$E96,1,0),'納品書明細16-E'!$Q$9:$Q$206)-VLOOKUP($E96,$E$9:$AF$92,$Q$7-$D$7,0)</f>
        <v>0</v>
      </c>
      <c r="R96" s="345"/>
      <c r="S96" s="122"/>
      <c r="T96" s="128"/>
      <c r="U96" s="345"/>
      <c r="V96" s="638">
        <f>COUNTIF('納品書明細16-E'!$B$9:$B$206,CONCATENATE(VLOOKUP(P$5,$G$1:$H$4,2,FALSE),$E96,9,1))-VLOOKUP($E96,$E$9:$AF$92,$V$7-$D$7,0)</f>
        <v>0</v>
      </c>
      <c r="W96" s="650">
        <f>SUMIF('納品書明細16-E'!$B$9:$B$206,CONCATENATE(VLOOKUP(P$5,$G$1:$H$4,2,FALSE),$E96,9,1),'納品書明細16-E'!$Q$9:$Q$206)+SUMIF('納品書明細16-E'!$B$9:$B$206,CONCATENATE(VLOOKUP(P$5,$G$1:$H$4,2,FALSE),$E96,9,0),'納品書明細16-E'!$Q$9:$Q$206)-VLOOKUP($E96,$E$9:$AF$92,$W$7-$D$7,0)</f>
        <v>0</v>
      </c>
      <c r="X96" s="64"/>
      <c r="Y96" s="646">
        <f>COUNTIF('納品書明細16-E'!$B$9:$B$206,CONCATENATE(VLOOKUP(Y$5,$G$1:$H$4,2,FALSE),$E96,1,1))-VLOOKUP($E96,$E$9:$AF$92,$Y$7-$D$7,0)</f>
        <v>0</v>
      </c>
      <c r="Z96" s="647">
        <f>SUMIF('納品書明細16-E'!$B$9:$B$206,CONCATENATE(VLOOKUP(Y$5,$G$1:$H$4,2,FALSE),$E96,1,1),'納品書明細16-E'!$Q$9:$Q$206)+SUMIF('納品書明細16-E'!$B$9:$B$206,CONCATENATE(VLOOKUP(Y$5,$G$1:$H$4,2,FALSE),$E96,1,0),'納品書明細16-E'!$Q$9:$Q$206)-VLOOKUP($E96,$E$9:$AF$92,$Z$7-$D$7,0)</f>
        <v>0</v>
      </c>
      <c r="AA96" s="345"/>
      <c r="AB96" s="122"/>
      <c r="AC96" s="128"/>
      <c r="AD96" s="345"/>
      <c r="AE96" s="638">
        <f>COUNTIF('納品書明細16-E'!$B$9:$B$206,CONCATENATE(VLOOKUP(Y$5,$G$1:$H$4,2,FALSE),$E96,9,1))-VLOOKUP($E96,$E$9:$AF$92,$AE$7-$D$7,0)</f>
        <v>0</v>
      </c>
      <c r="AF96" s="650">
        <f>SUMIF('納品書明細16-E'!$B$9:$B$206,CONCATENATE(VLOOKUP(Y$5,$G$1:$H$4,2,FALSE),$E96,9,1),'納品書明細16-E'!$Q$9:$Q$206)+SUMIF('納品書明細16-E'!$B$9:$B$206,CONCATENATE(VLOOKUP(Y$5,$G$1:$H$4,2,FALSE),$E96,9,0),'納品書明細16-E'!$Q$9:$Q$206)-VLOOKUP($E96,$E$9:$AF$92,$AF$7-$D$7,0)</f>
        <v>0</v>
      </c>
    </row>
    <row r="97" spans="1:32">
      <c r="A97" s="475">
        <f>IF(SUMIFS($G97:$AF97,$G$8:$AF$8,"金額",$G97:$AF97,"&gt;0")-SUMIFS($G97:$AF97,$G$8:$AF$8,"金額",$G97:$AF97,"&lt;0")&lt;=0,"",MAX($A$92:$A96)+1)</f>
        <v>3</v>
      </c>
      <c r="B97" s="795"/>
      <c r="C97" s="245" t="str">
        <f t="shared" si="3"/>
        <v>経費3</v>
      </c>
      <c r="D97" s="245">
        <v>5</v>
      </c>
      <c r="E97" s="590" t="str">
        <f>IF($F97&lt;&gt;"",INDEX(ﾏｽﾀ!$D$8:$D$124,MATCH(INDEX(ﾏｽﾀ!$N$8:$N$124,MATCH($F97,ﾏｽﾀ!$O$8:$O$124,0)),ﾏｽﾀ!$B$8:$B$124,0))&amp;"","")</f>
        <v>10010</v>
      </c>
      <c r="F97" s="589" t="str">
        <f>ﾏｽﾀ!$R12&amp;""</f>
        <v>株式会社 バンダイ　4100／コレクターズ事業部</v>
      </c>
      <c r="G97" s="634">
        <f>COUNTIF('納品書明細16-E'!$B$9:$B$206,CONCATENATE(VLOOKUP(G$5,$G$1:$H$4,2,FALSE),$E97,1,1))-INDEX($G$9:$G$90,MATCH($E97,$E$9:$E$90,0))</f>
        <v>0</v>
      </c>
      <c r="H97" s="636">
        <f>SUMIF('納品書明細16-E'!$B$9:$B$206,CONCATENATE(VLOOKUP(G$5,$G$1:$H$4,2,FALSE),$E97,1,1),'納品書明細16-E'!$Q$9:$Q$206)+SUMIF('納品書明細16-E'!$B$9:$B$206,CONCATENATE(VLOOKUP(G$5,$G$1:$H$4,2,FALSE),$E97,1,0),'納品書明細16-E'!$Q$9:$Q$206)-INDEX($H$9:$H$90,MATCH($E97,$E$9:$E$90,0))</f>
        <v>0</v>
      </c>
      <c r="I97" s="345"/>
      <c r="J97" s="122"/>
      <c r="K97" s="359"/>
      <c r="L97" s="345"/>
      <c r="M97" s="628">
        <f>COUNTIF('納品書明細16-E'!$B$9:$B$206,CONCATENATE(VLOOKUP(G$5,$G$1:$H$4,2,FALSE),$E97,9,1))-INDEX($M$9:$M$90,MATCH($E97,$E$9:$E$90,0))</f>
        <v>1</v>
      </c>
      <c r="N97" s="642">
        <f>SUMIF('納品書明細16-E'!$B$9:$B$206,CONCATENATE(VLOOKUP(G$5,$G$1:$H$4,2,FALSE),$E97,9,1),'納品書明細16-E'!$Q$9:$Q$206)+SUMIF('納品書明細16-E'!$B$9:$B$206,CONCATENATE(VLOOKUP(G$5,$G$1:$H$4,2,FALSE),$E97,9,0),'納品書明細16-E'!$Q$9:$Q$206)-INDEX($N$9:$N$90,MATCH($E97,$E$9:$E$90,0))</f>
        <v>590000</v>
      </c>
      <c r="O97" s="64"/>
      <c r="P97" s="646">
        <f>COUNTIF('納品書明細16-E'!$B$9:$B$206,CONCATENATE(VLOOKUP(P$5,$G$1:$H$4,2,FALSE),$E97,1,1))-VLOOKUP($E97,$E$9:$AF$92,$P$7-$D$7,0)</f>
        <v>0</v>
      </c>
      <c r="Q97" s="647">
        <f>SUMIF('納品書明細16-E'!$B$9:$B$206,CONCATENATE(VLOOKUP(P$5,$G$1:$H$4,2,FALSE),$E97,1,1),'納品書明細16-E'!$Q$9:$Q$206)+SUMIF('納品書明細16-E'!$B$9:$B$206,CONCATENATE(VLOOKUP(P$5,$G$1:$H$4,2,FALSE),$E97,1,0),'納品書明細16-E'!$Q$9:$Q$206)-VLOOKUP($E97,$E$9:$AF$92,$Q$7-$D$7,0)</f>
        <v>0</v>
      </c>
      <c r="R97" s="345"/>
      <c r="S97" s="122"/>
      <c r="T97" s="128"/>
      <c r="U97" s="345"/>
      <c r="V97" s="638">
        <f>COUNTIF('納品書明細16-E'!$B$9:$B$206,CONCATENATE(VLOOKUP(P$5,$G$1:$H$4,2,FALSE),$E97,9,1))-VLOOKUP($E97,$E$9:$AF$92,$V$7-$D$7,0)</f>
        <v>0</v>
      </c>
      <c r="W97" s="650">
        <f>SUMIF('納品書明細16-E'!$B$9:$B$206,CONCATENATE(VLOOKUP(P$5,$G$1:$H$4,2,FALSE),$E97,9,1),'納品書明細16-E'!$Q$9:$Q$206)+SUMIF('納品書明細16-E'!$B$9:$B$206,CONCATENATE(VLOOKUP(P$5,$G$1:$H$4,2,FALSE),$E97,9,0),'納品書明細16-E'!$Q$9:$Q$206)-VLOOKUP($E97,$E$9:$AF$92,$W$7-$D$7,0)</f>
        <v>0</v>
      </c>
      <c r="X97" s="64"/>
      <c r="Y97" s="646">
        <f>COUNTIF('納品書明細16-E'!$B$9:$B$206,CONCATENATE(VLOOKUP(Y$5,$G$1:$H$4,2,FALSE),$E97,1,1))-VLOOKUP($E97,$E$9:$AF$92,$Y$7-$D$7,0)</f>
        <v>0</v>
      </c>
      <c r="Z97" s="647">
        <f>SUMIF('納品書明細16-E'!$B$9:$B$206,CONCATENATE(VLOOKUP(Y$5,$G$1:$H$4,2,FALSE),$E97,1,1),'納品書明細16-E'!$Q$9:$Q$206)+SUMIF('納品書明細16-E'!$B$9:$B$206,CONCATENATE(VLOOKUP(Y$5,$G$1:$H$4,2,FALSE),$E97,1,0),'納品書明細16-E'!$Q$9:$Q$206)-VLOOKUP($E97,$E$9:$AF$92,$Z$7-$D$7,0)</f>
        <v>0</v>
      </c>
      <c r="AA97" s="345"/>
      <c r="AB97" s="122"/>
      <c r="AC97" s="128"/>
      <c r="AD97" s="345"/>
      <c r="AE97" s="638">
        <f>COUNTIF('納品書明細16-E'!$B$9:$B$206,CONCATENATE(VLOOKUP(Y$5,$G$1:$H$4,2,FALSE),$E97,9,1))-VLOOKUP($E97,$E$9:$AF$92,$AE$7-$D$7,0)</f>
        <v>0</v>
      </c>
      <c r="AF97" s="650">
        <f>SUMIF('納品書明細16-E'!$B$9:$B$206,CONCATENATE(VLOOKUP(Y$5,$G$1:$H$4,2,FALSE),$E97,9,1),'納品書明細16-E'!$Q$9:$Q$206)+SUMIF('納品書明細16-E'!$B$9:$B$206,CONCATENATE(VLOOKUP(Y$5,$G$1:$H$4,2,FALSE),$E97,9,0),'納品書明細16-E'!$Q$9:$Q$206)-VLOOKUP($E97,$E$9:$AF$92,$AF$7-$D$7,0)</f>
        <v>0</v>
      </c>
    </row>
    <row r="98" spans="1:32">
      <c r="A98" s="475" t="str">
        <f>IF(SUMIFS($G98:$AF98,$G$8:$AF$8,"金額",$G98:$AF98,"&gt;0")-SUMIFS($G98:$AF98,$G$8:$AF$8,"金額",$G98:$AF98,"&lt;0")&lt;=0,"",MAX($A$92:$A97)+1)</f>
        <v/>
      </c>
      <c r="B98" s="795"/>
      <c r="C98" s="245" t="str">
        <f t="shared" si="3"/>
        <v>経費</v>
      </c>
      <c r="D98" s="245">
        <v>6</v>
      </c>
      <c r="E98" s="590" t="str">
        <f>IF($F98&lt;&gt;"",INDEX(ﾏｽﾀ!$D$8:$D$124,MATCH(INDEX(ﾏｽﾀ!$N$8:$N$124,MATCH($F98,ﾏｽﾀ!$O$8:$O$124,0)),ﾏｽﾀ!$B$8:$B$124,0))&amp;"","")</f>
        <v>10015</v>
      </c>
      <c r="F98" s="589" t="str">
        <f>ﾏｽﾀ!$R13&amp;""</f>
        <v>株式会社 バンダイ　4200／ボーイズトイ事業部</v>
      </c>
      <c r="G98" s="634">
        <f>COUNTIF('納品書明細16-E'!$B$9:$B$206,CONCATENATE(VLOOKUP(G$5,$G$1:$H$4,2,FALSE),$E98,1,1))-INDEX($G$9:$G$90,MATCH($E98,$E$9:$E$90,0))</f>
        <v>0</v>
      </c>
      <c r="H98" s="636">
        <f>SUMIF('納品書明細16-E'!$B$9:$B$206,CONCATENATE(VLOOKUP(G$5,$G$1:$H$4,2,FALSE),$E98,1,1),'納品書明細16-E'!$Q$9:$Q$206)+SUMIF('納品書明細16-E'!$B$9:$B$206,CONCATENATE(VLOOKUP(G$5,$G$1:$H$4,2,FALSE),$E98,1,0),'納品書明細16-E'!$Q$9:$Q$206)-INDEX($H$9:$H$90,MATCH($E98,$E$9:$E$90,0))</f>
        <v>0</v>
      </c>
      <c r="I98" s="345"/>
      <c r="J98" s="122"/>
      <c r="K98" s="359"/>
      <c r="L98" s="345"/>
      <c r="M98" s="628">
        <f>COUNTIF('納品書明細16-E'!$B$9:$B$206,CONCATENATE(VLOOKUP(G$5,$G$1:$H$4,2,FALSE),$E98,9,1))-INDEX($M$9:$M$90,MATCH($E98,$E$9:$E$90,0))</f>
        <v>0</v>
      </c>
      <c r="N98" s="642">
        <f>SUMIF('納品書明細16-E'!$B$9:$B$206,CONCATENATE(VLOOKUP(G$5,$G$1:$H$4,2,FALSE),$E98,9,1),'納品書明細16-E'!$Q$9:$Q$206)+SUMIF('納品書明細16-E'!$B$9:$B$206,CONCATENATE(VLOOKUP(G$5,$G$1:$H$4,2,FALSE),$E98,9,0),'納品書明細16-E'!$Q$9:$Q$206)-INDEX($N$9:$N$90,MATCH($E98,$E$9:$E$90,0))</f>
        <v>0</v>
      </c>
      <c r="O98" s="64"/>
      <c r="P98" s="646">
        <f>COUNTIF('納品書明細16-E'!$B$9:$B$206,CONCATENATE(VLOOKUP(P$5,$G$1:$H$4,2,FALSE),$E98,1,1))-VLOOKUP($E98,$E$9:$AF$92,$P$7-$D$7,0)</f>
        <v>0</v>
      </c>
      <c r="Q98" s="647">
        <f>SUMIF('納品書明細16-E'!$B$9:$B$206,CONCATENATE(VLOOKUP(P$5,$G$1:$H$4,2,FALSE),$E98,1,1),'納品書明細16-E'!$Q$9:$Q$206)+SUMIF('納品書明細16-E'!$B$9:$B$206,CONCATENATE(VLOOKUP(P$5,$G$1:$H$4,2,FALSE),$E98,1,0),'納品書明細16-E'!$Q$9:$Q$206)-VLOOKUP($E98,$E$9:$AF$92,$Q$7-$D$7,0)</f>
        <v>0</v>
      </c>
      <c r="R98" s="345"/>
      <c r="S98" s="122"/>
      <c r="T98" s="128"/>
      <c r="U98" s="345"/>
      <c r="V98" s="638">
        <f>COUNTIF('納品書明細16-E'!$B$9:$B$206,CONCATENATE(VLOOKUP(P$5,$G$1:$H$4,2,FALSE),$E98,9,1))-VLOOKUP($E98,$E$9:$AF$92,$V$7-$D$7,0)</f>
        <v>0</v>
      </c>
      <c r="W98" s="650">
        <f>SUMIF('納品書明細16-E'!$B$9:$B$206,CONCATENATE(VLOOKUP(P$5,$G$1:$H$4,2,FALSE),$E98,9,1),'納品書明細16-E'!$Q$9:$Q$206)+SUMIF('納品書明細16-E'!$B$9:$B$206,CONCATENATE(VLOOKUP(P$5,$G$1:$H$4,2,FALSE),$E98,9,0),'納品書明細16-E'!$Q$9:$Q$206)-VLOOKUP($E98,$E$9:$AF$92,$W$7-$D$7,0)</f>
        <v>0</v>
      </c>
      <c r="X98" s="64"/>
      <c r="Y98" s="646">
        <f>COUNTIF('納品書明細16-E'!$B$9:$B$206,CONCATENATE(VLOOKUP(Y$5,$G$1:$H$4,2,FALSE),$E98,1,1))-VLOOKUP($E98,$E$9:$AF$92,$Y$7-$D$7,0)</f>
        <v>0</v>
      </c>
      <c r="Z98" s="647">
        <f>SUMIF('納品書明細16-E'!$B$9:$B$206,CONCATENATE(VLOOKUP(Y$5,$G$1:$H$4,2,FALSE),$E98,1,1),'納品書明細16-E'!$Q$9:$Q$206)+SUMIF('納品書明細16-E'!$B$9:$B$206,CONCATENATE(VLOOKUP(Y$5,$G$1:$H$4,2,FALSE),$E98,1,0),'納品書明細16-E'!$Q$9:$Q$206)-VLOOKUP($E98,$E$9:$AF$92,$Z$7-$D$7,0)</f>
        <v>0</v>
      </c>
      <c r="AA98" s="345"/>
      <c r="AB98" s="122"/>
      <c r="AC98" s="128"/>
      <c r="AD98" s="345"/>
      <c r="AE98" s="638">
        <f>COUNTIF('納品書明細16-E'!$B$9:$B$206,CONCATENATE(VLOOKUP(Y$5,$G$1:$H$4,2,FALSE),$E98,9,1))-VLOOKUP($E98,$E$9:$AF$92,$AE$7-$D$7,0)</f>
        <v>0</v>
      </c>
      <c r="AF98" s="650">
        <f>SUMIF('納品書明細16-E'!$B$9:$B$206,CONCATENATE(VLOOKUP(Y$5,$G$1:$H$4,2,FALSE),$E98,9,1),'納品書明細16-E'!$Q$9:$Q$206)+SUMIF('納品書明細16-E'!$B$9:$B$206,CONCATENATE(VLOOKUP(Y$5,$G$1:$H$4,2,FALSE),$E98,9,0),'納品書明細16-E'!$Q$9:$Q$206)-VLOOKUP($E98,$E$9:$AF$92,$AF$7-$D$7,0)</f>
        <v>0</v>
      </c>
    </row>
    <row r="99" spans="1:32">
      <c r="A99" s="475" t="str">
        <f>IF(SUMIFS($G99:$AF99,$G$8:$AF$8,"金額",$G99:$AF99,"&gt;0")-SUMIFS($G99:$AF99,$G$8:$AF$8,"金額",$G99:$AF99,"&lt;0")&lt;=0,"",MAX($A$92:$A98)+1)</f>
        <v/>
      </c>
      <c r="B99" s="795"/>
      <c r="C99" s="245" t="str">
        <f t="shared" si="3"/>
        <v>経費</v>
      </c>
      <c r="D99" s="245">
        <v>7</v>
      </c>
      <c r="E99" s="590" t="str">
        <f>IF($F99&lt;&gt;"",INDEX(ﾏｽﾀ!$D$8:$D$124,MATCH(INDEX(ﾏｽﾀ!$N$8:$N$124,MATCH($F99,ﾏｽﾀ!$O$8:$O$124,0)),ﾏｽﾀ!$B$8:$B$124,0))&amp;"","")</f>
        <v>10016</v>
      </c>
      <c r="F99" s="589" t="str">
        <f>ﾏｽﾀ!$R14&amp;""</f>
        <v>株式会社 バンダイ　5000／ボーイズトイ事業部</v>
      </c>
      <c r="G99" s="634">
        <f>COUNTIF('納品書明細16-E'!$B$9:$B$206,CONCATENATE(VLOOKUP(G$5,$G$1:$H$4,2,FALSE),$E99,1,1))-INDEX($G$9:$G$90,MATCH($E99,$E$9:$E$90,0))</f>
        <v>0</v>
      </c>
      <c r="H99" s="636">
        <f>SUMIF('納品書明細16-E'!$B$9:$B$206,CONCATENATE(VLOOKUP(G$5,$G$1:$H$4,2,FALSE),$E99,1,1),'納品書明細16-E'!$Q$9:$Q$206)+SUMIF('納品書明細16-E'!$B$9:$B$206,CONCATENATE(VLOOKUP(G$5,$G$1:$H$4,2,FALSE),$E99,1,0),'納品書明細16-E'!$Q$9:$Q$206)-INDEX($H$9:$H$90,MATCH($E99,$E$9:$E$90,0))</f>
        <v>0</v>
      </c>
      <c r="I99" s="345"/>
      <c r="J99" s="122"/>
      <c r="K99" s="359"/>
      <c r="L99" s="345"/>
      <c r="M99" s="628">
        <f>COUNTIF('納品書明細16-E'!$B$9:$B$206,CONCATENATE(VLOOKUP(G$5,$G$1:$H$4,2,FALSE),$E99,9,1))-INDEX($M$9:$M$90,MATCH($E99,$E$9:$E$90,0))</f>
        <v>0</v>
      </c>
      <c r="N99" s="642">
        <f>SUMIF('納品書明細16-E'!$B$9:$B$206,CONCATENATE(VLOOKUP(G$5,$G$1:$H$4,2,FALSE),$E99,9,1),'納品書明細16-E'!$Q$9:$Q$206)+SUMIF('納品書明細16-E'!$B$9:$B$206,CONCATENATE(VLOOKUP(G$5,$G$1:$H$4,2,FALSE),$E99,9,0),'納品書明細16-E'!$Q$9:$Q$206)-INDEX($N$9:$N$90,MATCH($E99,$E$9:$E$90,0))</f>
        <v>0</v>
      </c>
      <c r="O99" s="64"/>
      <c r="P99" s="646">
        <f>COUNTIF('納品書明細16-E'!$B$9:$B$206,CONCATENATE(VLOOKUP(P$5,$G$1:$H$4,2,FALSE),$E99,1,1))-VLOOKUP($E99,$E$9:$AF$92,$P$7-$D$7,0)</f>
        <v>0</v>
      </c>
      <c r="Q99" s="647">
        <f>SUMIF('納品書明細16-E'!$B$9:$B$206,CONCATENATE(VLOOKUP(P$5,$G$1:$H$4,2,FALSE),$E99,1,1),'納品書明細16-E'!$Q$9:$Q$206)+SUMIF('納品書明細16-E'!$B$9:$B$206,CONCATENATE(VLOOKUP(P$5,$G$1:$H$4,2,FALSE),$E99,1,0),'納品書明細16-E'!$Q$9:$Q$206)-VLOOKUP($E99,$E$9:$AF$92,$Q$7-$D$7,0)</f>
        <v>0</v>
      </c>
      <c r="R99" s="345"/>
      <c r="S99" s="122"/>
      <c r="T99" s="128"/>
      <c r="U99" s="345"/>
      <c r="V99" s="638">
        <f>COUNTIF('納品書明細16-E'!$B$9:$B$206,CONCATENATE(VLOOKUP(P$5,$G$1:$H$4,2,FALSE),$E99,9,1))-VLOOKUP($E99,$E$9:$AF$92,$V$7-$D$7,0)</f>
        <v>0</v>
      </c>
      <c r="W99" s="650">
        <f>SUMIF('納品書明細16-E'!$B$9:$B$206,CONCATENATE(VLOOKUP(P$5,$G$1:$H$4,2,FALSE),$E99,9,1),'納品書明細16-E'!$Q$9:$Q$206)+SUMIF('納品書明細16-E'!$B$9:$B$206,CONCATENATE(VLOOKUP(P$5,$G$1:$H$4,2,FALSE),$E99,9,0),'納品書明細16-E'!$Q$9:$Q$206)-VLOOKUP($E99,$E$9:$AF$92,$W$7-$D$7,0)</f>
        <v>0</v>
      </c>
      <c r="X99" s="64"/>
      <c r="Y99" s="646">
        <f>COUNTIF('納品書明細16-E'!$B$9:$B$206,CONCATENATE(VLOOKUP(Y$5,$G$1:$H$4,2,FALSE),$E99,1,1))-VLOOKUP($E99,$E$9:$AF$92,$Y$7-$D$7,0)</f>
        <v>0</v>
      </c>
      <c r="Z99" s="647">
        <f>SUMIF('納品書明細16-E'!$B$9:$B$206,CONCATENATE(VLOOKUP(Y$5,$G$1:$H$4,2,FALSE),$E99,1,1),'納品書明細16-E'!$Q$9:$Q$206)+SUMIF('納品書明細16-E'!$B$9:$B$206,CONCATENATE(VLOOKUP(Y$5,$G$1:$H$4,2,FALSE),$E99,1,0),'納品書明細16-E'!$Q$9:$Q$206)-VLOOKUP($E99,$E$9:$AF$92,$Z$7-$D$7,0)</f>
        <v>0</v>
      </c>
      <c r="AA99" s="345"/>
      <c r="AB99" s="122"/>
      <c r="AC99" s="128"/>
      <c r="AD99" s="345"/>
      <c r="AE99" s="638">
        <f>COUNTIF('納品書明細16-E'!$B$9:$B$206,CONCATENATE(VLOOKUP(Y$5,$G$1:$H$4,2,FALSE),$E99,9,1))-VLOOKUP($E99,$E$9:$AF$92,$AE$7-$D$7,0)</f>
        <v>0</v>
      </c>
      <c r="AF99" s="650">
        <f>SUMIF('納品書明細16-E'!$B$9:$B$206,CONCATENATE(VLOOKUP(Y$5,$G$1:$H$4,2,FALSE),$E99,9,1),'納品書明細16-E'!$Q$9:$Q$206)+SUMIF('納品書明細16-E'!$B$9:$B$206,CONCATENATE(VLOOKUP(Y$5,$G$1:$H$4,2,FALSE),$E99,9,0),'納品書明細16-E'!$Q$9:$Q$206)-VLOOKUP($E99,$E$9:$AF$92,$AF$7-$D$7,0)</f>
        <v>0</v>
      </c>
    </row>
    <row r="100" spans="1:32">
      <c r="A100" s="475" t="str">
        <f>IF(SUMIFS($G100:$AF100,$G$8:$AF$8,"金額",$G100:$AF100,"&gt;0")-SUMIFS($G100:$AF100,$G$8:$AF$8,"金額",$G100:$AF100,"&lt;0")&lt;=0,"",MAX($A$92:$A99)+1)</f>
        <v/>
      </c>
      <c r="B100" s="795"/>
      <c r="C100" s="245" t="str">
        <f t="shared" si="3"/>
        <v>経費</v>
      </c>
      <c r="D100" s="245">
        <v>8</v>
      </c>
      <c r="E100" s="590" t="str">
        <f>IF($F100&lt;&gt;"",INDEX(ﾏｽﾀ!$D$8:$D$124,MATCH(INDEX(ﾏｽﾀ!$N$8:$N$124,MATCH($F100,ﾏｽﾀ!$O$8:$O$124,0)),ﾏｽﾀ!$B$8:$B$124,0))&amp;"","")</f>
        <v>10019</v>
      </c>
      <c r="F100" s="589" t="str">
        <f>ﾏｽﾀ!$R15&amp;""</f>
        <v>株式会社 バンダイ　4200／ガールズトイ事業部</v>
      </c>
      <c r="G100" s="634">
        <f>COUNTIF('納品書明細16-E'!$B$9:$B$206,CONCATENATE(VLOOKUP(G$5,$G$1:$H$4,2,FALSE),$E100,1,1))-INDEX($G$9:$G$90,MATCH($E100,$E$9:$E$90,0))</f>
        <v>0</v>
      </c>
      <c r="H100" s="636">
        <f>SUMIF('納品書明細16-E'!$B$9:$B$206,CONCATENATE(VLOOKUP(G$5,$G$1:$H$4,2,FALSE),$E100,1,1),'納品書明細16-E'!$Q$9:$Q$206)+SUMIF('納品書明細16-E'!$B$9:$B$206,CONCATENATE(VLOOKUP(G$5,$G$1:$H$4,2,FALSE),$E100,1,0),'納品書明細16-E'!$Q$9:$Q$206)-INDEX($H$9:$H$90,MATCH($E100,$E$9:$E$90,0))</f>
        <v>0</v>
      </c>
      <c r="I100" s="345"/>
      <c r="J100" s="122"/>
      <c r="K100" s="359"/>
      <c r="L100" s="345"/>
      <c r="M100" s="628">
        <f>COUNTIF('納品書明細16-E'!$B$9:$B$206,CONCATENATE(VLOOKUP(G$5,$G$1:$H$4,2,FALSE),$E100,9,1))-INDEX($M$9:$M$90,MATCH($E100,$E$9:$E$90,0))</f>
        <v>0</v>
      </c>
      <c r="N100" s="642">
        <f>SUMIF('納品書明細16-E'!$B$9:$B$206,CONCATENATE(VLOOKUP(G$5,$G$1:$H$4,2,FALSE),$E100,9,1),'納品書明細16-E'!$Q$9:$Q$206)+SUMIF('納品書明細16-E'!$B$9:$B$206,CONCATENATE(VLOOKUP(G$5,$G$1:$H$4,2,FALSE),$E100,9,0),'納品書明細16-E'!$Q$9:$Q$206)-INDEX($N$9:$N$90,MATCH($E100,$E$9:$E$90,0))</f>
        <v>0</v>
      </c>
      <c r="O100" s="64"/>
      <c r="P100" s="646">
        <f>COUNTIF('納品書明細16-E'!$B$9:$B$206,CONCATENATE(VLOOKUP(P$5,$G$1:$H$4,2,FALSE),$E100,1,1))-VLOOKUP($E100,$E$9:$AF$92,$P$7-$D$7,0)</f>
        <v>0</v>
      </c>
      <c r="Q100" s="647">
        <f>SUMIF('納品書明細16-E'!$B$9:$B$206,CONCATENATE(VLOOKUP(P$5,$G$1:$H$4,2,FALSE),$E100,1,1),'納品書明細16-E'!$Q$9:$Q$206)+SUMIF('納品書明細16-E'!$B$9:$B$206,CONCATENATE(VLOOKUP(P$5,$G$1:$H$4,2,FALSE),$E100,1,0),'納品書明細16-E'!$Q$9:$Q$206)-VLOOKUP($E100,$E$9:$AF$92,$Q$7-$D$7,0)</f>
        <v>0</v>
      </c>
      <c r="R100" s="345"/>
      <c r="S100" s="122"/>
      <c r="T100" s="128"/>
      <c r="U100" s="345"/>
      <c r="V100" s="638">
        <f>COUNTIF('納品書明細16-E'!$B$9:$B$206,CONCATENATE(VLOOKUP(P$5,$G$1:$H$4,2,FALSE),$E100,9,1))-VLOOKUP($E100,$E$9:$AF$92,$V$7-$D$7,0)</f>
        <v>0</v>
      </c>
      <c r="W100" s="650">
        <f>SUMIF('納品書明細16-E'!$B$9:$B$206,CONCATENATE(VLOOKUP(P$5,$G$1:$H$4,2,FALSE),$E100,9,1),'納品書明細16-E'!$Q$9:$Q$206)+SUMIF('納品書明細16-E'!$B$9:$B$206,CONCATENATE(VLOOKUP(P$5,$G$1:$H$4,2,FALSE),$E100,9,0),'納品書明細16-E'!$Q$9:$Q$206)-VLOOKUP($E100,$E$9:$AF$92,$W$7-$D$7,0)</f>
        <v>0</v>
      </c>
      <c r="X100" s="64"/>
      <c r="Y100" s="646">
        <f>COUNTIF('納品書明細16-E'!$B$9:$B$206,CONCATENATE(VLOOKUP(Y$5,$G$1:$H$4,2,FALSE),$E100,1,1))-VLOOKUP($E100,$E$9:$AF$92,$Y$7-$D$7,0)</f>
        <v>0</v>
      </c>
      <c r="Z100" s="647">
        <f>SUMIF('納品書明細16-E'!$B$9:$B$206,CONCATENATE(VLOOKUP(Y$5,$G$1:$H$4,2,FALSE),$E100,1,1),'納品書明細16-E'!$Q$9:$Q$206)+SUMIF('納品書明細16-E'!$B$9:$B$206,CONCATENATE(VLOOKUP(Y$5,$G$1:$H$4,2,FALSE),$E100,1,0),'納品書明細16-E'!$Q$9:$Q$206)-VLOOKUP($E100,$E$9:$AF$92,$Z$7-$D$7,0)</f>
        <v>0</v>
      </c>
      <c r="AA100" s="345"/>
      <c r="AB100" s="122"/>
      <c r="AC100" s="128"/>
      <c r="AD100" s="345"/>
      <c r="AE100" s="638">
        <f>COUNTIF('納品書明細16-E'!$B$9:$B$206,CONCATENATE(VLOOKUP(Y$5,$G$1:$H$4,2,FALSE),$E100,9,1))-VLOOKUP($E100,$E$9:$AF$92,$AE$7-$D$7,0)</f>
        <v>0</v>
      </c>
      <c r="AF100" s="650">
        <f>SUMIF('納品書明細16-E'!$B$9:$B$206,CONCATENATE(VLOOKUP(Y$5,$G$1:$H$4,2,FALSE),$E100,9,1),'納品書明細16-E'!$Q$9:$Q$206)+SUMIF('納品書明細16-E'!$B$9:$B$206,CONCATENATE(VLOOKUP(Y$5,$G$1:$H$4,2,FALSE),$E100,9,0),'納品書明細16-E'!$Q$9:$Q$206)-VLOOKUP($E100,$E$9:$AF$92,$AF$7-$D$7,0)</f>
        <v>0</v>
      </c>
    </row>
    <row r="101" spans="1:32">
      <c r="A101" s="475" t="str">
        <f>IF(SUMIFS($G101:$AF101,$G$8:$AF$8,"金額",$G101:$AF101,"&gt;0")-SUMIFS($G101:$AF101,$G$8:$AF$8,"金額",$G101:$AF101,"&lt;0")&lt;=0,"",MAX($A$92:$A100)+1)</f>
        <v/>
      </c>
      <c r="B101" s="795"/>
      <c r="C101" s="245" t="str">
        <f t="shared" si="3"/>
        <v>経費</v>
      </c>
      <c r="D101" s="245">
        <v>9</v>
      </c>
      <c r="E101" s="590" t="str">
        <f>IF($F101&lt;&gt;"",INDEX(ﾏｽﾀ!$D$8:$D$124,MATCH(INDEX(ﾏｽﾀ!$N$8:$N$124,MATCH($F101,ﾏｽﾀ!$O$8:$O$124,0)),ﾏｽﾀ!$B$8:$B$124,0))&amp;"","")</f>
        <v>10020</v>
      </c>
      <c r="F101" s="589" t="str">
        <f>ﾏｽﾀ!$R16&amp;""</f>
        <v>株式会社 バンダイ　5000／ガールズトイ事業部</v>
      </c>
      <c r="G101" s="634">
        <f>COUNTIF('納品書明細16-E'!$B$9:$B$206,CONCATENATE(VLOOKUP(G$5,$G$1:$H$4,2,FALSE),$E101,1,1))-INDEX($G$9:$G$90,MATCH($E101,$E$9:$E$90,0))</f>
        <v>0</v>
      </c>
      <c r="H101" s="636">
        <f>SUMIF('納品書明細16-E'!$B$9:$B$206,CONCATENATE(VLOOKUP(G$5,$G$1:$H$4,2,FALSE),$E101,1,1),'納品書明細16-E'!$Q$9:$Q$206)+SUMIF('納品書明細16-E'!$B$9:$B$206,CONCATENATE(VLOOKUP(G$5,$G$1:$H$4,2,FALSE),$E101,1,0),'納品書明細16-E'!$Q$9:$Q$206)-INDEX($H$9:$H$90,MATCH($E101,$E$9:$E$90,0))</f>
        <v>0</v>
      </c>
      <c r="I101" s="345"/>
      <c r="J101" s="122"/>
      <c r="K101" s="359"/>
      <c r="L101" s="345"/>
      <c r="M101" s="628">
        <f>COUNTIF('納品書明細16-E'!$B$9:$B$206,CONCATENATE(VLOOKUP(G$5,$G$1:$H$4,2,FALSE),$E101,9,1))-INDEX($M$9:$M$90,MATCH($E101,$E$9:$E$90,0))</f>
        <v>0</v>
      </c>
      <c r="N101" s="642">
        <f>SUMIF('納品書明細16-E'!$B$9:$B$206,CONCATENATE(VLOOKUP(G$5,$G$1:$H$4,2,FALSE),$E101,9,1),'納品書明細16-E'!$Q$9:$Q$206)+SUMIF('納品書明細16-E'!$B$9:$B$206,CONCATENATE(VLOOKUP(G$5,$G$1:$H$4,2,FALSE),$E101,9,0),'納品書明細16-E'!$Q$9:$Q$206)-INDEX($N$9:$N$90,MATCH($E101,$E$9:$E$90,0))</f>
        <v>0</v>
      </c>
      <c r="O101" s="64"/>
      <c r="P101" s="646">
        <f>COUNTIF('納品書明細16-E'!$B$9:$B$206,CONCATENATE(VLOOKUP(P$5,$G$1:$H$4,2,FALSE),$E101,1,1))-VLOOKUP($E101,$E$9:$AF$92,$P$7-$D$7,0)</f>
        <v>0</v>
      </c>
      <c r="Q101" s="647">
        <f>SUMIF('納品書明細16-E'!$B$9:$B$206,CONCATENATE(VLOOKUP(P$5,$G$1:$H$4,2,FALSE),$E101,1,1),'納品書明細16-E'!$Q$9:$Q$206)+SUMIF('納品書明細16-E'!$B$9:$B$206,CONCATENATE(VLOOKUP(P$5,$G$1:$H$4,2,FALSE),$E101,1,0),'納品書明細16-E'!$Q$9:$Q$206)-VLOOKUP($E101,$E$9:$AF$92,$Q$7-$D$7,0)</f>
        <v>0</v>
      </c>
      <c r="R101" s="345"/>
      <c r="S101" s="122"/>
      <c r="T101" s="128"/>
      <c r="U101" s="345"/>
      <c r="V101" s="638">
        <f>COUNTIF('納品書明細16-E'!$B$9:$B$206,CONCATENATE(VLOOKUP(P$5,$G$1:$H$4,2,FALSE),$E101,9,1))-VLOOKUP($E101,$E$9:$AF$92,$V$7-$D$7,0)</f>
        <v>0</v>
      </c>
      <c r="W101" s="650">
        <f>SUMIF('納品書明細16-E'!$B$9:$B$206,CONCATENATE(VLOOKUP(P$5,$G$1:$H$4,2,FALSE),$E101,9,1),'納品書明細16-E'!$Q$9:$Q$206)+SUMIF('納品書明細16-E'!$B$9:$B$206,CONCATENATE(VLOOKUP(P$5,$G$1:$H$4,2,FALSE),$E101,9,0),'納品書明細16-E'!$Q$9:$Q$206)-VLOOKUP($E101,$E$9:$AF$92,$W$7-$D$7,0)</f>
        <v>0</v>
      </c>
      <c r="X101" s="64"/>
      <c r="Y101" s="646">
        <f>COUNTIF('納品書明細16-E'!$B$9:$B$206,CONCATENATE(VLOOKUP(Y$5,$G$1:$H$4,2,FALSE),$E101,1,1))-VLOOKUP($E101,$E$9:$AF$92,$Y$7-$D$7,0)</f>
        <v>0</v>
      </c>
      <c r="Z101" s="647">
        <f>SUMIF('納品書明細16-E'!$B$9:$B$206,CONCATENATE(VLOOKUP(Y$5,$G$1:$H$4,2,FALSE),$E101,1,1),'納品書明細16-E'!$Q$9:$Q$206)+SUMIF('納品書明細16-E'!$B$9:$B$206,CONCATENATE(VLOOKUP(Y$5,$G$1:$H$4,2,FALSE),$E101,1,0),'納品書明細16-E'!$Q$9:$Q$206)-VLOOKUP($E101,$E$9:$AF$92,$Z$7-$D$7,0)</f>
        <v>0</v>
      </c>
      <c r="AA101" s="345"/>
      <c r="AB101" s="122"/>
      <c r="AC101" s="128"/>
      <c r="AD101" s="345"/>
      <c r="AE101" s="638">
        <f>COUNTIF('納品書明細16-E'!$B$9:$B$206,CONCATENATE(VLOOKUP(Y$5,$G$1:$H$4,2,FALSE),$E101,9,1))-VLOOKUP($E101,$E$9:$AF$92,$AE$7-$D$7,0)</f>
        <v>0</v>
      </c>
      <c r="AF101" s="650">
        <f>SUMIF('納品書明細16-E'!$B$9:$B$206,CONCATENATE(VLOOKUP(Y$5,$G$1:$H$4,2,FALSE),$E101,9,1),'納品書明細16-E'!$Q$9:$Q$206)+SUMIF('納品書明細16-E'!$B$9:$B$206,CONCATENATE(VLOOKUP(Y$5,$G$1:$H$4,2,FALSE),$E101,9,0),'納品書明細16-E'!$Q$9:$Q$206)-VLOOKUP($E101,$E$9:$AF$92,$AF$7-$D$7,0)</f>
        <v>0</v>
      </c>
    </row>
    <row r="102" spans="1:32">
      <c r="A102" s="475" t="str">
        <f>IF(SUMIFS($G102:$AF102,$G$8:$AF$8,"金額",$G102:$AF102,"&gt;0")-SUMIFS($G102:$AF102,$G$8:$AF$8,"金額",$G102:$AF102,"&lt;0")&lt;=0,"",MAX($A$92:$A101)+1)</f>
        <v/>
      </c>
      <c r="B102" s="795"/>
      <c r="C102" s="245" t="str">
        <f t="shared" si="3"/>
        <v>経費</v>
      </c>
      <c r="D102" s="245">
        <v>10</v>
      </c>
      <c r="E102" s="590" t="str">
        <f>IF($F102&lt;&gt;"",INDEX(ﾏｽﾀ!$D$8:$D$124,MATCH(INDEX(ﾏｽﾀ!$N$8:$N$124,MATCH($F102,ﾏｽﾀ!$O$8:$O$124,0)),ﾏｽﾀ!$B$8:$B$124,0))&amp;"","")</f>
        <v>10023</v>
      </c>
      <c r="F102" s="589" t="str">
        <f>ﾏｽﾀ!$R17&amp;""</f>
        <v>株式会社 バンダイ　3100／プロダクトマネジメント部</v>
      </c>
      <c r="G102" s="634">
        <f>COUNTIF('納品書明細16-E'!$B$9:$B$206,CONCATENATE(VLOOKUP(G$5,$G$1:$H$4,2,FALSE),$E102,1,1))-INDEX($G$9:$G$90,MATCH($E102,$E$9:$E$90,0))</f>
        <v>0</v>
      </c>
      <c r="H102" s="636">
        <f>SUMIF('納品書明細16-E'!$B$9:$B$206,CONCATENATE(VLOOKUP(G$5,$G$1:$H$4,2,FALSE),$E102,1,1),'納品書明細16-E'!$Q$9:$Q$206)+SUMIF('納品書明細16-E'!$B$9:$B$206,CONCATENATE(VLOOKUP(G$5,$G$1:$H$4,2,FALSE),$E102,1,0),'納品書明細16-E'!$Q$9:$Q$206)-INDEX($H$9:$H$90,MATCH($E102,$E$9:$E$90,0))</f>
        <v>0</v>
      </c>
      <c r="I102" s="345"/>
      <c r="J102" s="122"/>
      <c r="K102" s="359"/>
      <c r="L102" s="345"/>
      <c r="M102" s="628">
        <f>COUNTIF('納品書明細16-E'!$B$9:$B$206,CONCATENATE(VLOOKUP(G$5,$G$1:$H$4,2,FALSE),$E102,9,1))-INDEX($M$9:$M$90,MATCH($E102,$E$9:$E$90,0))</f>
        <v>0</v>
      </c>
      <c r="N102" s="642">
        <f>SUMIF('納品書明細16-E'!$B$9:$B$206,CONCATENATE(VLOOKUP(G$5,$G$1:$H$4,2,FALSE),$E102,9,1),'納品書明細16-E'!$Q$9:$Q$206)+SUMIF('納品書明細16-E'!$B$9:$B$206,CONCATENATE(VLOOKUP(G$5,$G$1:$H$4,2,FALSE),$E102,9,0),'納品書明細16-E'!$Q$9:$Q$206)-INDEX($N$9:$N$90,MATCH($E102,$E$9:$E$90,0))</f>
        <v>0</v>
      </c>
      <c r="O102" s="64"/>
      <c r="P102" s="646">
        <f>COUNTIF('納品書明細16-E'!$B$9:$B$206,CONCATENATE(VLOOKUP(P$5,$G$1:$H$4,2,FALSE),$E102,1,1))-VLOOKUP($E102,$E$9:$AF$92,$P$7-$D$7,0)</f>
        <v>0</v>
      </c>
      <c r="Q102" s="647">
        <f>SUMIF('納品書明細16-E'!$B$9:$B$206,CONCATENATE(VLOOKUP(P$5,$G$1:$H$4,2,FALSE),$E102,1,1),'納品書明細16-E'!$Q$9:$Q$206)+SUMIF('納品書明細16-E'!$B$9:$B$206,CONCATENATE(VLOOKUP(P$5,$G$1:$H$4,2,FALSE),$E102,1,0),'納品書明細16-E'!$Q$9:$Q$206)-VLOOKUP($E102,$E$9:$AF$92,$Q$7-$D$7,0)</f>
        <v>0</v>
      </c>
      <c r="R102" s="345"/>
      <c r="S102" s="122"/>
      <c r="T102" s="128"/>
      <c r="U102" s="345"/>
      <c r="V102" s="638">
        <f>COUNTIF('納品書明細16-E'!$B$9:$B$206,CONCATENATE(VLOOKUP(P$5,$G$1:$H$4,2,FALSE),$E102,9,1))-VLOOKUP($E102,$E$9:$AF$92,$V$7-$D$7,0)</f>
        <v>0</v>
      </c>
      <c r="W102" s="650">
        <f>SUMIF('納品書明細16-E'!$B$9:$B$206,CONCATENATE(VLOOKUP(P$5,$G$1:$H$4,2,FALSE),$E102,9,1),'納品書明細16-E'!$Q$9:$Q$206)+SUMIF('納品書明細16-E'!$B$9:$B$206,CONCATENATE(VLOOKUP(P$5,$G$1:$H$4,2,FALSE),$E102,9,0),'納品書明細16-E'!$Q$9:$Q$206)-VLOOKUP($E102,$E$9:$AF$92,$W$7-$D$7,0)</f>
        <v>0</v>
      </c>
      <c r="X102" s="64"/>
      <c r="Y102" s="646">
        <f>COUNTIF('納品書明細16-E'!$B$9:$B$206,CONCATENATE(VLOOKUP(Y$5,$G$1:$H$4,2,FALSE),$E102,1,1))-VLOOKUP($E102,$E$9:$AF$92,$Y$7-$D$7,0)</f>
        <v>0</v>
      </c>
      <c r="Z102" s="647">
        <f>SUMIF('納品書明細16-E'!$B$9:$B$206,CONCATENATE(VLOOKUP(Y$5,$G$1:$H$4,2,FALSE),$E102,1,1),'納品書明細16-E'!$Q$9:$Q$206)+SUMIF('納品書明細16-E'!$B$9:$B$206,CONCATENATE(VLOOKUP(Y$5,$G$1:$H$4,2,FALSE),$E102,1,0),'納品書明細16-E'!$Q$9:$Q$206)-VLOOKUP($E102,$E$9:$AF$92,$Z$7-$D$7,0)</f>
        <v>0</v>
      </c>
      <c r="AA102" s="345"/>
      <c r="AB102" s="122"/>
      <c r="AC102" s="128"/>
      <c r="AD102" s="345"/>
      <c r="AE102" s="638">
        <f>COUNTIF('納品書明細16-E'!$B$9:$B$206,CONCATENATE(VLOOKUP(Y$5,$G$1:$H$4,2,FALSE),$E102,9,1))-VLOOKUP($E102,$E$9:$AF$92,$AE$7-$D$7,0)</f>
        <v>0</v>
      </c>
      <c r="AF102" s="650">
        <f>SUMIF('納品書明細16-E'!$B$9:$B$206,CONCATENATE(VLOOKUP(Y$5,$G$1:$H$4,2,FALSE),$E102,9,1),'納品書明細16-E'!$Q$9:$Q$206)+SUMIF('納品書明細16-E'!$B$9:$B$206,CONCATENATE(VLOOKUP(Y$5,$G$1:$H$4,2,FALSE),$E102,9,0),'納品書明細16-E'!$Q$9:$Q$206)-VLOOKUP($E102,$E$9:$AF$92,$AF$7-$D$7,0)</f>
        <v>0</v>
      </c>
    </row>
    <row r="103" spans="1:32">
      <c r="A103" s="475" t="str">
        <f>IF(SUMIFS($G103:$AF103,$G$8:$AF$8,"金額",$G103:$AF103,"&gt;0")-SUMIFS($G103:$AF103,$G$8:$AF$8,"金額",$G103:$AF103,"&lt;0")&lt;=0,"",MAX($A$92:$A102)+1)</f>
        <v/>
      </c>
      <c r="B103" s="795"/>
      <c r="C103" s="245" t="str">
        <f t="shared" si="3"/>
        <v>経費</v>
      </c>
      <c r="D103" s="245">
        <v>11</v>
      </c>
      <c r="E103" s="590" t="str">
        <f>IF($F103&lt;&gt;"",INDEX(ﾏｽﾀ!$D$8:$D$124,MATCH(INDEX(ﾏｽﾀ!$N$8:$N$124,MATCH($F103,ﾏｽﾀ!$O$8:$O$124,0)),ﾏｽﾀ!$B$8:$B$124,0))&amp;"","")</f>
        <v>10000</v>
      </c>
      <c r="F103" s="589" t="str">
        <f>ﾏｽﾀ!$R18&amp;""</f>
        <v>株式会社 バンダイ部</v>
      </c>
      <c r="G103" s="634">
        <f>COUNTIF('納品書明細16-E'!$B$9:$B$206,CONCATENATE(VLOOKUP(G$5,$G$1:$H$4,2,FALSE),$E103,1,1))-INDEX($G$9:$G$90,MATCH($E103,$E$9:$E$90,0))</f>
        <v>0</v>
      </c>
      <c r="H103" s="636">
        <f>SUMIF('納品書明細16-E'!$B$9:$B$206,CONCATENATE(VLOOKUP(G$5,$G$1:$H$4,2,FALSE),$E103,1,1),'納品書明細16-E'!$Q$9:$Q$206)+SUMIF('納品書明細16-E'!$B$9:$B$206,CONCATENATE(VLOOKUP(G$5,$G$1:$H$4,2,FALSE),$E103,1,0),'納品書明細16-E'!$Q$9:$Q$206)-INDEX($H$9:$H$90,MATCH($E103,$E$9:$E$90,0))</f>
        <v>0</v>
      </c>
      <c r="I103" s="345"/>
      <c r="J103" s="122"/>
      <c r="K103" s="359"/>
      <c r="L103" s="345"/>
      <c r="M103" s="628">
        <f>COUNTIF('納品書明細16-E'!$B$9:$B$206,CONCATENATE(VLOOKUP(G$5,$G$1:$H$4,2,FALSE),$E103,9,1))-INDEX($M$9:$M$90,MATCH($E103,$E$9:$E$90,0))</f>
        <v>0</v>
      </c>
      <c r="N103" s="642">
        <f>SUMIF('納品書明細16-E'!$B$9:$B$206,CONCATENATE(VLOOKUP(G$5,$G$1:$H$4,2,FALSE),$E103,9,1),'納品書明細16-E'!$Q$9:$Q$206)+SUMIF('納品書明細16-E'!$B$9:$B$206,CONCATENATE(VLOOKUP(G$5,$G$1:$H$4,2,FALSE),$E103,9,0),'納品書明細16-E'!$Q$9:$Q$206)-INDEX($N$9:$N$90,MATCH($E103,$E$9:$E$90,0))</f>
        <v>0</v>
      </c>
      <c r="O103" s="64"/>
      <c r="P103" s="646">
        <f>COUNTIF('納品書明細16-E'!$B$9:$B$206,CONCATENATE(VLOOKUP(P$5,$G$1:$H$4,2,FALSE),$E103,1,1))-VLOOKUP($E103,$E$9:$AF$92,$P$7-$D$7,0)</f>
        <v>0</v>
      </c>
      <c r="Q103" s="647">
        <f>SUMIF('納品書明細16-E'!$B$9:$B$206,CONCATENATE(VLOOKUP(P$5,$G$1:$H$4,2,FALSE),$E103,1,1),'納品書明細16-E'!$Q$9:$Q$206)+SUMIF('納品書明細16-E'!$B$9:$B$206,CONCATENATE(VLOOKUP(P$5,$G$1:$H$4,2,FALSE),$E103,1,0),'納品書明細16-E'!$Q$9:$Q$206)-VLOOKUP($E103,$E$9:$AF$92,$Q$7-$D$7,0)</f>
        <v>0</v>
      </c>
      <c r="R103" s="345"/>
      <c r="S103" s="122"/>
      <c r="T103" s="128"/>
      <c r="U103" s="345"/>
      <c r="V103" s="638">
        <f>COUNTIF('納品書明細16-E'!$B$9:$B$206,CONCATENATE(VLOOKUP(P$5,$G$1:$H$4,2,FALSE),$E103,9,1))-VLOOKUP($E103,$E$9:$AF$92,$V$7-$D$7,0)</f>
        <v>0</v>
      </c>
      <c r="W103" s="650">
        <f>SUMIF('納品書明細16-E'!$B$9:$B$206,CONCATENATE(VLOOKUP(P$5,$G$1:$H$4,2,FALSE),$E103,9,1),'納品書明細16-E'!$Q$9:$Q$206)+SUMIF('納品書明細16-E'!$B$9:$B$206,CONCATENATE(VLOOKUP(P$5,$G$1:$H$4,2,FALSE),$E103,9,0),'納品書明細16-E'!$Q$9:$Q$206)-VLOOKUP($E103,$E$9:$AF$92,$W$7-$D$7,0)</f>
        <v>0</v>
      </c>
      <c r="X103" s="64"/>
      <c r="Y103" s="646">
        <f>COUNTIF('納品書明細16-E'!$B$9:$B$206,CONCATENATE(VLOOKUP(Y$5,$G$1:$H$4,2,FALSE),$E103,1,1))-VLOOKUP($E103,$E$9:$AF$92,$Y$7-$D$7,0)</f>
        <v>0</v>
      </c>
      <c r="Z103" s="647">
        <f>SUMIF('納品書明細16-E'!$B$9:$B$206,CONCATENATE(VLOOKUP(Y$5,$G$1:$H$4,2,FALSE),$E103,1,1),'納品書明細16-E'!$Q$9:$Q$206)+SUMIF('納品書明細16-E'!$B$9:$B$206,CONCATENATE(VLOOKUP(Y$5,$G$1:$H$4,2,FALSE),$E103,1,0),'納品書明細16-E'!$Q$9:$Q$206)-VLOOKUP($E103,$E$9:$AF$92,$Z$7-$D$7,0)</f>
        <v>0</v>
      </c>
      <c r="AA103" s="345"/>
      <c r="AB103" s="122"/>
      <c r="AC103" s="128"/>
      <c r="AD103" s="345"/>
      <c r="AE103" s="638">
        <f>COUNTIF('納品書明細16-E'!$B$9:$B$206,CONCATENATE(VLOOKUP(Y$5,$G$1:$H$4,2,FALSE),$E103,9,1))-VLOOKUP($E103,$E$9:$AF$92,$AE$7-$D$7,0)</f>
        <v>0</v>
      </c>
      <c r="AF103" s="650">
        <f>SUMIF('納品書明細16-E'!$B$9:$B$206,CONCATENATE(VLOOKUP(Y$5,$G$1:$H$4,2,FALSE),$E103,9,1),'納品書明細16-E'!$Q$9:$Q$206)+SUMIF('納品書明細16-E'!$B$9:$B$206,CONCATENATE(VLOOKUP(Y$5,$G$1:$H$4,2,FALSE),$E103,9,0),'納品書明細16-E'!$Q$9:$Q$206)-VLOOKUP($E103,$E$9:$AF$92,$AF$7-$D$7,0)</f>
        <v>0</v>
      </c>
    </row>
    <row r="104" spans="1:32">
      <c r="A104" s="475" t="str">
        <f>IF(SUMIFS($G104:$AF104,$G$8:$AF$8,"金額",$G104:$AF104,"&gt;0")-SUMIFS($G104:$AF104,$G$8:$AF$8,"金額",$G104:$AF104,"&lt;0")&lt;=0,"",MAX($A$92:$A103)+1)</f>
        <v/>
      </c>
      <c r="B104" s="795"/>
      <c r="C104" s="245" t="str">
        <f t="shared" si="3"/>
        <v>経費</v>
      </c>
      <c r="D104" s="245">
        <v>12</v>
      </c>
      <c r="E104" s="590" t="str">
        <f>IF($F104&lt;&gt;"",INDEX(ﾏｽﾀ!$D$8:$D$124,MATCH(INDEX(ﾏｽﾀ!$N$8:$N$124,MATCH($F104,ﾏｽﾀ!$O$8:$O$124,0)),ﾏｽﾀ!$B$8:$B$124,0))&amp;"","")</f>
        <v>11001</v>
      </c>
      <c r="F104" s="589" t="str">
        <f>ﾏｽﾀ!$R19&amp;""</f>
        <v>株式会社BANDAI SPIRITS　4100／コレクターズ事業部</v>
      </c>
      <c r="G104" s="634">
        <f>COUNTIF('納品書明細16-E'!$B$9:$B$206,CONCATENATE(VLOOKUP(G$5,$G$1:$H$4,2,FALSE),$E104,1,1))-INDEX($G$9:$G$90,MATCH($E104,$E$9:$E$90,0))</f>
        <v>0</v>
      </c>
      <c r="H104" s="636">
        <f>SUMIF('納品書明細16-E'!$B$9:$B$206,CONCATENATE(VLOOKUP(G$5,$G$1:$H$4,2,FALSE),$E104,1,1),'納品書明細16-E'!$Q$9:$Q$206)+SUMIF('納品書明細16-E'!$B$9:$B$206,CONCATENATE(VLOOKUP(G$5,$G$1:$H$4,2,FALSE),$E104,1,0),'納品書明細16-E'!$Q$9:$Q$206)-INDEX($H$9:$H$90,MATCH($E104,$E$9:$E$90,0))</f>
        <v>0</v>
      </c>
      <c r="I104" s="345"/>
      <c r="J104" s="122"/>
      <c r="K104" s="359"/>
      <c r="L104" s="345"/>
      <c r="M104" s="628">
        <f>COUNTIF('納品書明細16-E'!$B$9:$B$206,CONCATENATE(VLOOKUP(G$5,$G$1:$H$4,2,FALSE),$E104,9,1))-INDEX($M$9:$M$90,MATCH($E104,$E$9:$E$90,0))</f>
        <v>0</v>
      </c>
      <c r="N104" s="642">
        <f>SUMIF('納品書明細16-E'!$B$9:$B$206,CONCATENATE(VLOOKUP(G$5,$G$1:$H$4,2,FALSE),$E104,9,1),'納品書明細16-E'!$Q$9:$Q$206)+SUMIF('納品書明細16-E'!$B$9:$B$206,CONCATENATE(VLOOKUP(G$5,$G$1:$H$4,2,FALSE),$E104,9,0),'納品書明細16-E'!$Q$9:$Q$206)-INDEX($N$9:$N$90,MATCH($E104,$E$9:$E$90,0))</f>
        <v>0</v>
      </c>
      <c r="O104" s="64"/>
      <c r="P104" s="646">
        <f>COUNTIF('納品書明細16-E'!$B$9:$B$206,CONCATENATE(VLOOKUP(P$5,$G$1:$H$4,2,FALSE),$E104,1,1))-VLOOKUP($E104,$E$9:$AF$92,$P$7-$D$7,0)</f>
        <v>0</v>
      </c>
      <c r="Q104" s="647">
        <f>SUMIF('納品書明細16-E'!$B$9:$B$206,CONCATENATE(VLOOKUP(P$5,$G$1:$H$4,2,FALSE),$E104,1,1),'納品書明細16-E'!$Q$9:$Q$206)+SUMIF('納品書明細16-E'!$B$9:$B$206,CONCATENATE(VLOOKUP(P$5,$G$1:$H$4,2,FALSE),$E104,1,0),'納品書明細16-E'!$Q$9:$Q$206)-VLOOKUP($E104,$E$9:$AF$92,$Q$7-$D$7,0)</f>
        <v>0</v>
      </c>
      <c r="R104" s="345"/>
      <c r="S104" s="122"/>
      <c r="T104" s="128"/>
      <c r="U104" s="345"/>
      <c r="V104" s="638">
        <f>COUNTIF('納品書明細16-E'!$B$9:$B$206,CONCATENATE(VLOOKUP(P$5,$G$1:$H$4,2,FALSE),$E104,9,1))-VLOOKUP($E104,$E$9:$AF$92,$V$7-$D$7,0)</f>
        <v>0</v>
      </c>
      <c r="W104" s="650">
        <f>SUMIF('納品書明細16-E'!$B$9:$B$206,CONCATENATE(VLOOKUP(P$5,$G$1:$H$4,2,FALSE),$E104,9,1),'納品書明細16-E'!$Q$9:$Q$206)+SUMIF('納品書明細16-E'!$B$9:$B$206,CONCATENATE(VLOOKUP(P$5,$G$1:$H$4,2,FALSE),$E104,9,0),'納品書明細16-E'!$Q$9:$Q$206)-VLOOKUP($E104,$E$9:$AF$92,$W$7-$D$7,0)</f>
        <v>0</v>
      </c>
      <c r="X104" s="64"/>
      <c r="Y104" s="646">
        <f>COUNTIF('納品書明細16-E'!$B$9:$B$206,CONCATENATE(VLOOKUP(Y$5,$G$1:$H$4,2,FALSE),$E104,1,1))-VLOOKUP($E104,$E$9:$AF$92,$Y$7-$D$7,0)</f>
        <v>0</v>
      </c>
      <c r="Z104" s="647">
        <f>SUMIF('納品書明細16-E'!$B$9:$B$206,CONCATENATE(VLOOKUP(Y$5,$G$1:$H$4,2,FALSE),$E104,1,1),'納品書明細16-E'!$Q$9:$Q$206)+SUMIF('納品書明細16-E'!$B$9:$B$206,CONCATENATE(VLOOKUP(Y$5,$G$1:$H$4,2,FALSE),$E104,1,0),'納品書明細16-E'!$Q$9:$Q$206)-VLOOKUP($E104,$E$9:$AF$92,$Z$7-$D$7,0)</f>
        <v>0</v>
      </c>
      <c r="AA104" s="345"/>
      <c r="AB104" s="122"/>
      <c r="AC104" s="128"/>
      <c r="AD104" s="345"/>
      <c r="AE104" s="638">
        <f>COUNTIF('納品書明細16-E'!$B$9:$B$206,CONCATENATE(VLOOKUP(Y$5,$G$1:$H$4,2,FALSE),$E104,9,1))-VLOOKUP($E104,$E$9:$AF$92,$AE$7-$D$7,0)</f>
        <v>0</v>
      </c>
      <c r="AF104" s="650">
        <f>SUMIF('納品書明細16-E'!$B$9:$B$206,CONCATENATE(VLOOKUP(Y$5,$G$1:$H$4,2,FALSE),$E104,9,1),'納品書明細16-E'!$Q$9:$Q$206)+SUMIF('納品書明細16-E'!$B$9:$B$206,CONCATENATE(VLOOKUP(Y$5,$G$1:$H$4,2,FALSE),$E104,9,0),'納品書明細16-E'!$Q$9:$Q$206)-VLOOKUP($E104,$E$9:$AF$92,$AF$7-$D$7,0)</f>
        <v>0</v>
      </c>
    </row>
    <row r="105" spans="1:32">
      <c r="A105" s="475" t="str">
        <f>IF(SUMIFS($G105:$AF105,$G$8:$AF$8,"金額",$G105:$AF105,"&gt;0")-SUMIFS($G105:$AF105,$G$8:$AF$8,"金額",$G105:$AF105,"&lt;0")&lt;=0,"",MAX($A$92:$A104)+1)</f>
        <v/>
      </c>
      <c r="B105" s="795"/>
      <c r="C105" s="245" t="str">
        <f t="shared" si="3"/>
        <v>経費</v>
      </c>
      <c r="D105" s="245">
        <v>13</v>
      </c>
      <c r="E105" s="590" t="str">
        <f>IF($F105&lt;&gt;"",INDEX(ﾏｽﾀ!$D$8:$D$124,MATCH(INDEX(ﾏｽﾀ!$N$8:$N$124,MATCH($F105,ﾏｽﾀ!$O$8:$O$124,0)),ﾏｽﾀ!$B$8:$B$124,0))&amp;"","")</f>
        <v>11002</v>
      </c>
      <c r="F105" s="589" t="str">
        <f>ﾏｽﾀ!$R20&amp;""</f>
        <v>株式会社BANDAI SPIRITS</v>
      </c>
      <c r="G105" s="634">
        <f>COUNTIF('納品書明細16-E'!$B$9:$B$206,CONCATENATE(VLOOKUP(G$5,$G$1:$H$4,2,FALSE),$E105,1,1))-INDEX($G$9:$G$90,MATCH($E105,$E$9:$E$90,0))</f>
        <v>0</v>
      </c>
      <c r="H105" s="636">
        <f>SUMIF('納品書明細16-E'!$B$9:$B$206,CONCATENATE(VLOOKUP(G$5,$G$1:$H$4,2,FALSE),$E105,1,1),'納品書明細16-E'!$Q$9:$Q$206)+SUMIF('納品書明細16-E'!$B$9:$B$206,CONCATENATE(VLOOKUP(G$5,$G$1:$H$4,2,FALSE),$E105,1,0),'納品書明細16-E'!$Q$9:$Q$206)-INDEX($H$9:$H$90,MATCH($E105,$E$9:$E$90,0))</f>
        <v>0</v>
      </c>
      <c r="I105" s="345"/>
      <c r="J105" s="122"/>
      <c r="K105" s="359"/>
      <c r="L105" s="345"/>
      <c r="M105" s="628">
        <f>COUNTIF('納品書明細16-E'!$B$9:$B$206,CONCATENATE(VLOOKUP(G$5,$G$1:$H$4,2,FALSE),$E105,9,1))-INDEX($M$9:$M$90,MATCH($E105,$E$9:$E$90,0))</f>
        <v>0</v>
      </c>
      <c r="N105" s="642">
        <f>SUMIF('納品書明細16-E'!$B$9:$B$206,CONCATENATE(VLOOKUP(G$5,$G$1:$H$4,2,FALSE),$E105,9,1),'納品書明細16-E'!$Q$9:$Q$206)+SUMIF('納品書明細16-E'!$B$9:$B$206,CONCATENATE(VLOOKUP(G$5,$G$1:$H$4,2,FALSE),$E105,9,0),'納品書明細16-E'!$Q$9:$Q$206)-INDEX($N$9:$N$90,MATCH($E105,$E$9:$E$90,0))</f>
        <v>0</v>
      </c>
      <c r="O105" s="64"/>
      <c r="P105" s="646">
        <f>COUNTIF('納品書明細16-E'!$B$9:$B$206,CONCATENATE(VLOOKUP(P$5,$G$1:$H$4,2,FALSE),$E105,1,1))-VLOOKUP($E105,$E$9:$AF$92,$P$7-$D$7,0)</f>
        <v>0</v>
      </c>
      <c r="Q105" s="647">
        <f>SUMIF('納品書明細16-E'!$B$9:$B$206,CONCATENATE(VLOOKUP(P$5,$G$1:$H$4,2,FALSE),$E105,1,1),'納品書明細16-E'!$Q$9:$Q$206)+SUMIF('納品書明細16-E'!$B$9:$B$206,CONCATENATE(VLOOKUP(P$5,$G$1:$H$4,2,FALSE),$E105,1,0),'納品書明細16-E'!$Q$9:$Q$206)-VLOOKUP($E105,$E$9:$AF$92,$Q$7-$D$7,0)</f>
        <v>0</v>
      </c>
      <c r="R105" s="345"/>
      <c r="S105" s="122"/>
      <c r="T105" s="128"/>
      <c r="U105" s="345"/>
      <c r="V105" s="638">
        <f>COUNTIF('納品書明細16-E'!$B$9:$B$206,CONCATENATE(VLOOKUP(P$5,$G$1:$H$4,2,FALSE),$E105,9,1))-VLOOKUP($E105,$E$9:$AF$92,$V$7-$D$7,0)</f>
        <v>0</v>
      </c>
      <c r="W105" s="650">
        <f>SUMIF('納品書明細16-E'!$B$9:$B$206,CONCATENATE(VLOOKUP(P$5,$G$1:$H$4,2,FALSE),$E105,9,1),'納品書明細16-E'!$Q$9:$Q$206)+SUMIF('納品書明細16-E'!$B$9:$B$206,CONCATENATE(VLOOKUP(P$5,$G$1:$H$4,2,FALSE),$E105,9,0),'納品書明細16-E'!$Q$9:$Q$206)-VLOOKUP($E105,$E$9:$AF$92,$W$7-$D$7,0)</f>
        <v>0</v>
      </c>
      <c r="X105" s="64"/>
      <c r="Y105" s="646">
        <f>COUNTIF('納品書明細16-E'!$B$9:$B$206,CONCATENATE(VLOOKUP(Y$5,$G$1:$H$4,2,FALSE),$E105,1,1))-VLOOKUP($E105,$E$9:$AF$92,$Y$7-$D$7,0)</f>
        <v>0</v>
      </c>
      <c r="Z105" s="647">
        <f>SUMIF('納品書明細16-E'!$B$9:$B$206,CONCATENATE(VLOOKUP(Y$5,$G$1:$H$4,2,FALSE),$E105,1,1),'納品書明細16-E'!$Q$9:$Q$206)+SUMIF('納品書明細16-E'!$B$9:$B$206,CONCATENATE(VLOOKUP(Y$5,$G$1:$H$4,2,FALSE),$E105,1,0),'納品書明細16-E'!$Q$9:$Q$206)-VLOOKUP($E105,$E$9:$AF$92,$Z$7-$D$7,0)</f>
        <v>0</v>
      </c>
      <c r="AA105" s="345"/>
      <c r="AB105" s="122"/>
      <c r="AC105" s="128"/>
      <c r="AD105" s="345"/>
      <c r="AE105" s="638">
        <f>COUNTIF('納品書明細16-E'!$B$9:$B$206,CONCATENATE(VLOOKUP(Y$5,$G$1:$H$4,2,FALSE),$E105,9,1))-VLOOKUP($E105,$E$9:$AF$92,$AE$7-$D$7,0)</f>
        <v>0</v>
      </c>
      <c r="AF105" s="650">
        <f>SUMIF('納品書明細16-E'!$B$9:$B$206,CONCATENATE(VLOOKUP(Y$5,$G$1:$H$4,2,FALSE),$E105,9,1),'納品書明細16-E'!$Q$9:$Q$206)+SUMIF('納品書明細16-E'!$B$9:$B$206,CONCATENATE(VLOOKUP(Y$5,$G$1:$H$4,2,FALSE),$E105,9,0),'納品書明細16-E'!$Q$9:$Q$206)-VLOOKUP($E105,$E$9:$AF$92,$AF$7-$D$7,0)</f>
        <v>0</v>
      </c>
    </row>
    <row r="106" spans="1:32">
      <c r="A106" s="475" t="str">
        <f>IF(SUMIFS($G106:$AF106,$G$8:$AF$8,"金額",$G106:$AF106,"&gt;0")-SUMIFS($G106:$AF106,$G$8:$AF$8,"金額",$G106:$AF106,"&lt;0")&lt;=0,"",MAX($A$92:$A105)+1)</f>
        <v/>
      </c>
      <c r="B106" s="795"/>
      <c r="C106" s="245" t="str">
        <f t="shared" si="3"/>
        <v>経費</v>
      </c>
      <c r="D106" s="245">
        <v>14</v>
      </c>
      <c r="E106" s="590" t="str">
        <f>IF($F106&lt;&gt;"",INDEX(ﾏｽﾀ!$D$8:$D$124,MATCH(INDEX(ﾏｽﾀ!$N$8:$N$124,MATCH($F106,ﾏｽﾀ!$O$8:$O$124,0)),ﾏｽﾀ!$B$8:$B$124,0))&amp;"","")</f>
        <v>12001</v>
      </c>
      <c r="F106" s="589" t="str">
        <f>ﾏｽﾀ!$R21&amp;""</f>
        <v>株式会社バンダイナムコアミューズメント</v>
      </c>
      <c r="G106" s="634">
        <f>COUNTIF('納品書明細16-E'!$B$9:$B$206,CONCATENATE(VLOOKUP(G$5,$G$1:$H$4,2,FALSE),$E106,1,1))-INDEX($G$9:$G$90,MATCH($E106,$E$9:$E$90,0))</f>
        <v>0</v>
      </c>
      <c r="H106" s="636">
        <f>SUMIF('納品書明細16-E'!$B$9:$B$206,CONCATENATE(VLOOKUP(G$5,$G$1:$H$4,2,FALSE),$E106,1,1),'納品書明細16-E'!$Q$9:$Q$206)+SUMIF('納品書明細16-E'!$B$9:$B$206,CONCATENATE(VLOOKUP(G$5,$G$1:$H$4,2,FALSE),$E106,1,0),'納品書明細16-E'!$Q$9:$Q$206)-INDEX($H$9:$H$90,MATCH($E106,$E$9:$E$90,0))</f>
        <v>0</v>
      </c>
      <c r="I106" s="345"/>
      <c r="J106" s="122"/>
      <c r="K106" s="359"/>
      <c r="L106" s="345"/>
      <c r="M106" s="628">
        <f>COUNTIF('納品書明細16-E'!$B$9:$B$206,CONCATENATE(VLOOKUP(G$5,$G$1:$H$4,2,FALSE),$E106,9,1))-INDEX($M$9:$M$90,MATCH($E106,$E$9:$E$90,0))</f>
        <v>0</v>
      </c>
      <c r="N106" s="642">
        <f>SUMIF('納品書明細16-E'!$B$9:$B$206,CONCATENATE(VLOOKUP(G$5,$G$1:$H$4,2,FALSE),$E106,9,1),'納品書明細16-E'!$Q$9:$Q$206)+SUMIF('納品書明細16-E'!$B$9:$B$206,CONCATENATE(VLOOKUP(G$5,$G$1:$H$4,2,FALSE),$E106,9,0),'納品書明細16-E'!$Q$9:$Q$206)-INDEX($N$9:$N$90,MATCH($E106,$E$9:$E$90,0))</f>
        <v>0</v>
      </c>
      <c r="O106" s="64"/>
      <c r="P106" s="646">
        <f>COUNTIF('納品書明細16-E'!$B$9:$B$206,CONCATENATE(VLOOKUP(P$5,$G$1:$H$4,2,FALSE),$E106,1,1))-VLOOKUP($E106,$E$9:$AF$92,$P$7-$D$7,0)</f>
        <v>0</v>
      </c>
      <c r="Q106" s="647">
        <f>SUMIF('納品書明細16-E'!$B$9:$B$206,CONCATENATE(VLOOKUP(P$5,$G$1:$H$4,2,FALSE),$E106,1,1),'納品書明細16-E'!$Q$9:$Q$206)+SUMIF('納品書明細16-E'!$B$9:$B$206,CONCATENATE(VLOOKUP(P$5,$G$1:$H$4,2,FALSE),$E106,1,0),'納品書明細16-E'!$Q$9:$Q$206)-VLOOKUP($E106,$E$9:$AF$92,$Q$7-$D$7,0)</f>
        <v>0</v>
      </c>
      <c r="R106" s="345"/>
      <c r="S106" s="122"/>
      <c r="T106" s="128"/>
      <c r="U106" s="345"/>
      <c r="V106" s="638">
        <f>COUNTIF('納品書明細16-E'!$B$9:$B$206,CONCATENATE(VLOOKUP(P$5,$G$1:$H$4,2,FALSE),$E106,9,1))-VLOOKUP($E106,$E$9:$AF$92,$V$7-$D$7,0)</f>
        <v>0</v>
      </c>
      <c r="W106" s="650">
        <f>SUMIF('納品書明細16-E'!$B$9:$B$206,CONCATENATE(VLOOKUP(P$5,$G$1:$H$4,2,FALSE),$E106,9,1),'納品書明細16-E'!$Q$9:$Q$206)+SUMIF('納品書明細16-E'!$B$9:$B$206,CONCATENATE(VLOOKUP(P$5,$G$1:$H$4,2,FALSE),$E106,9,0),'納品書明細16-E'!$Q$9:$Q$206)-VLOOKUP($E106,$E$9:$AF$92,$W$7-$D$7,0)</f>
        <v>0</v>
      </c>
      <c r="X106" s="64"/>
      <c r="Y106" s="646">
        <f>COUNTIF('納品書明細16-E'!$B$9:$B$206,CONCATENATE(VLOOKUP(Y$5,$G$1:$H$4,2,FALSE),$E106,1,1))-VLOOKUP($E106,$E$9:$AF$92,$Y$7-$D$7,0)</f>
        <v>0</v>
      </c>
      <c r="Z106" s="647">
        <f>SUMIF('納品書明細16-E'!$B$9:$B$206,CONCATENATE(VLOOKUP(Y$5,$G$1:$H$4,2,FALSE),$E106,1,1),'納品書明細16-E'!$Q$9:$Q$206)+SUMIF('納品書明細16-E'!$B$9:$B$206,CONCATENATE(VLOOKUP(Y$5,$G$1:$H$4,2,FALSE),$E106,1,0),'納品書明細16-E'!$Q$9:$Q$206)-VLOOKUP($E106,$E$9:$AF$92,$Z$7-$D$7,0)</f>
        <v>0</v>
      </c>
      <c r="AA106" s="345"/>
      <c r="AB106" s="122"/>
      <c r="AC106" s="128"/>
      <c r="AD106" s="345"/>
      <c r="AE106" s="638">
        <f>COUNTIF('納品書明細16-E'!$B$9:$B$206,CONCATENATE(VLOOKUP(Y$5,$G$1:$H$4,2,FALSE),$E106,9,1))-VLOOKUP($E106,$E$9:$AF$92,$AE$7-$D$7,0)</f>
        <v>0</v>
      </c>
      <c r="AF106" s="650">
        <f>SUMIF('納品書明細16-E'!$B$9:$B$206,CONCATENATE(VLOOKUP(Y$5,$G$1:$H$4,2,FALSE),$E106,9,1),'納品書明細16-E'!$Q$9:$Q$206)+SUMIF('納品書明細16-E'!$B$9:$B$206,CONCATENATE(VLOOKUP(Y$5,$G$1:$H$4,2,FALSE),$E106,9,0),'納品書明細16-E'!$Q$9:$Q$206)-VLOOKUP($E106,$E$9:$AF$92,$AF$7-$D$7,0)</f>
        <v>0</v>
      </c>
    </row>
    <row r="107" spans="1:32">
      <c r="A107" s="475" t="str">
        <f>IF(SUMIFS($G107:$AF107,$G$8:$AF$8,"金額",$G107:$AF107,"&gt;0")-SUMIFS($G107:$AF107,$G$8:$AF$8,"金額",$G107:$AF107,"&lt;0")&lt;=0,"",MAX($A$92:$A106)+1)</f>
        <v/>
      </c>
      <c r="B107" s="795"/>
      <c r="C107" s="245" t="str">
        <f t="shared" si="3"/>
        <v>経費</v>
      </c>
      <c r="D107" s="245">
        <v>15</v>
      </c>
      <c r="E107" s="590" t="str">
        <f>IF($F107&lt;&gt;"",INDEX(ﾏｽﾀ!$D$8:$D$124,MATCH(INDEX(ﾏｽﾀ!$N$8:$N$124,MATCH($F107,ﾏｽﾀ!$O$8:$O$124,0)),ﾏｽﾀ!$B$8:$B$124,0))&amp;"","")</f>
        <v>40002</v>
      </c>
      <c r="F107" s="589" t="str">
        <f>ﾏｽﾀ!$R22&amp;""</f>
        <v>株式会社 バンプレスト　マーケティング事業部</v>
      </c>
      <c r="G107" s="634">
        <f>COUNTIF('納品書明細16-E'!$B$9:$B$206,CONCATENATE(VLOOKUP(G$5,$G$1:$H$4,2,FALSE),$E107,1,1))-INDEX($G$9:$G$90,MATCH($E107,$E$9:$E$90,0))</f>
        <v>0</v>
      </c>
      <c r="H107" s="636">
        <f>SUMIF('納品書明細16-E'!$B$9:$B$206,CONCATENATE(VLOOKUP(G$5,$G$1:$H$4,2,FALSE),$E107,1,1),'納品書明細16-E'!$Q$9:$Q$206)+SUMIF('納品書明細16-E'!$B$9:$B$206,CONCATENATE(VLOOKUP(G$5,$G$1:$H$4,2,FALSE),$E107,1,0),'納品書明細16-E'!$Q$9:$Q$206)-INDEX($H$9:$H$90,MATCH($E107,$E$9:$E$90,0))</f>
        <v>0</v>
      </c>
      <c r="I107" s="345"/>
      <c r="J107" s="122"/>
      <c r="K107" s="359"/>
      <c r="L107" s="345"/>
      <c r="M107" s="628">
        <f>COUNTIF('納品書明細16-E'!$B$9:$B$206,CONCATENATE(VLOOKUP(G$5,$G$1:$H$4,2,FALSE),$E107,9,1))-INDEX($M$9:$M$90,MATCH($E107,$E$9:$E$90,0))</f>
        <v>0</v>
      </c>
      <c r="N107" s="642">
        <f>SUMIF('納品書明細16-E'!$B$9:$B$206,CONCATENATE(VLOOKUP(G$5,$G$1:$H$4,2,FALSE),$E107,9,1),'納品書明細16-E'!$Q$9:$Q$206)+SUMIF('納品書明細16-E'!$B$9:$B$206,CONCATENATE(VLOOKUP(G$5,$G$1:$H$4,2,FALSE),$E107,9,0),'納品書明細16-E'!$Q$9:$Q$206)-INDEX($N$9:$N$90,MATCH($E107,$E$9:$E$90,0))</f>
        <v>0</v>
      </c>
      <c r="O107" s="64"/>
      <c r="P107" s="646">
        <f>COUNTIF('納品書明細16-E'!$B$9:$B$206,CONCATENATE(VLOOKUP(P$5,$G$1:$H$4,2,FALSE),$E107,1,1))-VLOOKUP($E107,$E$9:$AF$92,$P$7-$D$7,0)</f>
        <v>0</v>
      </c>
      <c r="Q107" s="647">
        <f>SUMIF('納品書明細16-E'!$B$9:$B$206,CONCATENATE(VLOOKUP(P$5,$G$1:$H$4,2,FALSE),$E107,1,1),'納品書明細16-E'!$Q$9:$Q$206)+SUMIF('納品書明細16-E'!$B$9:$B$206,CONCATENATE(VLOOKUP(P$5,$G$1:$H$4,2,FALSE),$E107,1,0),'納品書明細16-E'!$Q$9:$Q$206)-VLOOKUP($E107,$E$9:$AF$92,$Q$7-$D$7,0)</f>
        <v>0</v>
      </c>
      <c r="R107" s="345"/>
      <c r="S107" s="122"/>
      <c r="T107" s="128"/>
      <c r="U107" s="345"/>
      <c r="V107" s="638">
        <f>COUNTIF('納品書明細16-E'!$B$9:$B$206,CONCATENATE(VLOOKUP(P$5,$G$1:$H$4,2,FALSE),$E107,9,1))-VLOOKUP($E107,$E$9:$AF$92,$V$7-$D$7,0)</f>
        <v>0</v>
      </c>
      <c r="W107" s="650">
        <f>SUMIF('納品書明細16-E'!$B$9:$B$206,CONCATENATE(VLOOKUP(P$5,$G$1:$H$4,2,FALSE),$E107,9,1),'納品書明細16-E'!$Q$9:$Q$206)+SUMIF('納品書明細16-E'!$B$9:$B$206,CONCATENATE(VLOOKUP(P$5,$G$1:$H$4,2,FALSE),$E107,9,0),'納品書明細16-E'!$Q$9:$Q$206)-VLOOKUP($E107,$E$9:$AF$92,$W$7-$D$7,0)</f>
        <v>0</v>
      </c>
      <c r="X107" s="64"/>
      <c r="Y107" s="646">
        <f>COUNTIF('納品書明細16-E'!$B$9:$B$206,CONCATENATE(VLOOKUP(Y$5,$G$1:$H$4,2,FALSE),$E107,1,1))-VLOOKUP($E107,$E$9:$AF$92,$Y$7-$D$7,0)</f>
        <v>0</v>
      </c>
      <c r="Z107" s="647">
        <f>SUMIF('納品書明細16-E'!$B$9:$B$206,CONCATENATE(VLOOKUP(Y$5,$G$1:$H$4,2,FALSE),$E107,1,1),'納品書明細16-E'!$Q$9:$Q$206)+SUMIF('納品書明細16-E'!$B$9:$B$206,CONCATENATE(VLOOKUP(Y$5,$G$1:$H$4,2,FALSE),$E107,1,0),'納品書明細16-E'!$Q$9:$Q$206)-VLOOKUP($E107,$E$9:$AF$92,$Z$7-$D$7,0)</f>
        <v>0</v>
      </c>
      <c r="AA107" s="345"/>
      <c r="AB107" s="122"/>
      <c r="AC107" s="128"/>
      <c r="AD107" s="345"/>
      <c r="AE107" s="638">
        <f>COUNTIF('納品書明細16-E'!$B$9:$B$206,CONCATENATE(VLOOKUP(Y$5,$G$1:$H$4,2,FALSE),$E107,9,1))-VLOOKUP($E107,$E$9:$AF$92,$AE$7-$D$7,0)</f>
        <v>0</v>
      </c>
      <c r="AF107" s="650">
        <f>SUMIF('納品書明細16-E'!$B$9:$B$206,CONCATENATE(VLOOKUP(Y$5,$G$1:$H$4,2,FALSE),$E107,9,1),'納品書明細16-E'!$Q$9:$Q$206)+SUMIF('納品書明細16-E'!$B$9:$B$206,CONCATENATE(VLOOKUP(Y$5,$G$1:$H$4,2,FALSE),$E107,9,0),'納品書明細16-E'!$Q$9:$Q$206)-VLOOKUP($E107,$E$9:$AF$92,$AF$7-$D$7,0)</f>
        <v>0</v>
      </c>
    </row>
    <row r="108" spans="1:32">
      <c r="A108" s="475" t="str">
        <f>IF(SUMIFS($G108:$AF108,$G$8:$AF$8,"金額",$G108:$AF108,"&gt;0")-SUMIFS($G108:$AF108,$G$8:$AF$8,"金額",$G108:$AF108,"&lt;0")&lt;=0,"",MAX($A$92:$A107)+1)</f>
        <v/>
      </c>
      <c r="B108" s="795"/>
      <c r="C108" s="245" t="str">
        <f t="shared" si="3"/>
        <v>経費</v>
      </c>
      <c r="D108" s="245">
        <v>16</v>
      </c>
      <c r="E108" s="590" t="str">
        <f>IF($F108&lt;&gt;"",INDEX(ﾏｽﾀ!$D$8:$D$124,MATCH(INDEX(ﾏｽﾀ!$N$8:$N$124,MATCH($F108,ﾏｽﾀ!$O$8:$O$124,0)),ﾏｽﾀ!$B$8:$B$124,0))&amp;"","")</f>
        <v>51000</v>
      </c>
      <c r="F108" s="589" t="str">
        <f>ﾏｽﾀ!$R23&amp;""</f>
        <v>株式会社 アートプレスト　/　3100</v>
      </c>
      <c r="G108" s="634">
        <f>COUNTIF('納品書明細16-E'!$B$9:$B$206,CONCATENATE(VLOOKUP(G$5,$G$1:$H$4,2,FALSE),$E108,1,1))-INDEX($G$9:$G$90,MATCH($E108,$E$9:$E$90,0))</f>
        <v>0</v>
      </c>
      <c r="H108" s="636">
        <f>SUMIF('納品書明細16-E'!$B$9:$B$206,CONCATENATE(VLOOKUP(G$5,$G$1:$H$4,2,FALSE),$E108,1,1),'納品書明細16-E'!$Q$9:$Q$206)+SUMIF('納品書明細16-E'!$B$9:$B$206,CONCATENATE(VLOOKUP(G$5,$G$1:$H$4,2,FALSE),$E108,1,0),'納品書明細16-E'!$Q$9:$Q$206)-INDEX($H$9:$H$90,MATCH($E108,$E$9:$E$90,0))</f>
        <v>0</v>
      </c>
      <c r="I108" s="345"/>
      <c r="J108" s="122"/>
      <c r="K108" s="359"/>
      <c r="L108" s="345"/>
      <c r="M108" s="628">
        <f>COUNTIF('納品書明細16-E'!$B$9:$B$206,CONCATENATE(VLOOKUP(G$5,$G$1:$H$4,2,FALSE),$E108,9,1))-INDEX($M$9:$M$90,MATCH($E108,$E$9:$E$90,0))</f>
        <v>0</v>
      </c>
      <c r="N108" s="642">
        <f>SUMIF('納品書明細16-E'!$B$9:$B$206,CONCATENATE(VLOOKUP(G$5,$G$1:$H$4,2,FALSE),$E108,9,1),'納品書明細16-E'!$Q$9:$Q$206)+SUMIF('納品書明細16-E'!$B$9:$B$206,CONCATENATE(VLOOKUP(G$5,$G$1:$H$4,2,FALSE),$E108,9,0),'納品書明細16-E'!$Q$9:$Q$206)-INDEX($N$9:$N$90,MATCH($E108,$E$9:$E$90,0))</f>
        <v>0</v>
      </c>
      <c r="O108" s="64"/>
      <c r="P108" s="646">
        <f>COUNTIF('納品書明細16-E'!$B$9:$B$206,CONCATENATE(VLOOKUP(P$5,$G$1:$H$4,2,FALSE),$E108,1,1))-VLOOKUP($E108,$E$9:$AF$92,$P$7-$D$7,0)</f>
        <v>0</v>
      </c>
      <c r="Q108" s="647">
        <f>SUMIF('納品書明細16-E'!$B$9:$B$206,CONCATENATE(VLOOKUP(P$5,$G$1:$H$4,2,FALSE),$E108,1,1),'納品書明細16-E'!$Q$9:$Q$206)+SUMIF('納品書明細16-E'!$B$9:$B$206,CONCATENATE(VLOOKUP(P$5,$G$1:$H$4,2,FALSE),$E108,1,0),'納品書明細16-E'!$Q$9:$Q$206)-VLOOKUP($E108,$E$9:$AF$92,$Q$7-$D$7,0)</f>
        <v>0</v>
      </c>
      <c r="R108" s="345"/>
      <c r="S108" s="122"/>
      <c r="T108" s="128"/>
      <c r="U108" s="345"/>
      <c r="V108" s="638">
        <f>COUNTIF('納品書明細16-E'!$B$9:$B$206,CONCATENATE(VLOOKUP(P$5,$G$1:$H$4,2,FALSE),$E108,9,1))-VLOOKUP($E108,$E$9:$AF$92,$V$7-$D$7,0)</f>
        <v>0</v>
      </c>
      <c r="W108" s="650">
        <f>SUMIF('納品書明細16-E'!$B$9:$B$206,CONCATENATE(VLOOKUP(P$5,$G$1:$H$4,2,FALSE),$E108,9,1),'納品書明細16-E'!$Q$9:$Q$206)+SUMIF('納品書明細16-E'!$B$9:$B$206,CONCATENATE(VLOOKUP(P$5,$G$1:$H$4,2,FALSE),$E108,9,0),'納品書明細16-E'!$Q$9:$Q$206)-VLOOKUP($E108,$E$9:$AF$92,$W$7-$D$7,0)</f>
        <v>0</v>
      </c>
      <c r="X108" s="64"/>
      <c r="Y108" s="646">
        <f>COUNTIF('納品書明細16-E'!$B$9:$B$206,CONCATENATE(VLOOKUP(Y$5,$G$1:$H$4,2,FALSE),$E108,1,1))-VLOOKUP($E108,$E$9:$AF$92,$Y$7-$D$7,0)</f>
        <v>0</v>
      </c>
      <c r="Z108" s="647">
        <f>SUMIF('納品書明細16-E'!$B$9:$B$206,CONCATENATE(VLOOKUP(Y$5,$G$1:$H$4,2,FALSE),$E108,1,1),'納品書明細16-E'!$Q$9:$Q$206)+SUMIF('納品書明細16-E'!$B$9:$B$206,CONCATENATE(VLOOKUP(Y$5,$G$1:$H$4,2,FALSE),$E108,1,0),'納品書明細16-E'!$Q$9:$Q$206)-VLOOKUP($E108,$E$9:$AF$92,$Z$7-$D$7,0)</f>
        <v>0</v>
      </c>
      <c r="AA108" s="345"/>
      <c r="AB108" s="122"/>
      <c r="AC108" s="128"/>
      <c r="AD108" s="345"/>
      <c r="AE108" s="638">
        <f>COUNTIF('納品書明細16-E'!$B$9:$B$206,CONCATENATE(VLOOKUP(Y$5,$G$1:$H$4,2,FALSE),$E108,9,1))-VLOOKUP($E108,$E$9:$AF$92,$AE$7-$D$7,0)</f>
        <v>0</v>
      </c>
      <c r="AF108" s="650">
        <f>SUMIF('納品書明細16-E'!$B$9:$B$206,CONCATENATE(VLOOKUP(Y$5,$G$1:$H$4,2,FALSE),$E108,9,1),'納品書明細16-E'!$Q$9:$Q$206)+SUMIF('納品書明細16-E'!$B$9:$B$206,CONCATENATE(VLOOKUP(Y$5,$G$1:$H$4,2,FALSE),$E108,9,0),'納品書明細16-E'!$Q$9:$Q$206)-VLOOKUP($E108,$E$9:$AF$92,$AF$7-$D$7,0)</f>
        <v>0</v>
      </c>
    </row>
    <row r="109" spans="1:32">
      <c r="A109" s="475" t="str">
        <f>IF(SUMIFS($G109:$AF109,$G$8:$AF$8,"金額",$G109:$AF109,"&gt;0")-SUMIFS($G109:$AF109,$G$8:$AF$8,"金額",$G109:$AF109,"&lt;0")&lt;=0,"",MAX($A$92:$A108)+1)</f>
        <v/>
      </c>
      <c r="B109" s="795"/>
      <c r="C109" s="245" t="str">
        <f t="shared" si="3"/>
        <v>経費</v>
      </c>
      <c r="D109" s="245">
        <v>17</v>
      </c>
      <c r="E109" s="590" t="str">
        <f>IF($F109&lt;&gt;"",INDEX(ﾏｽﾀ!$D$8:$D$124,MATCH(INDEX(ﾏｽﾀ!$N$8:$N$124,MATCH($F109,ﾏｽﾀ!$O$8:$O$124,0)),ﾏｽﾀ!$B$8:$B$124,0))&amp;"","")</f>
        <v>53000</v>
      </c>
      <c r="F109" s="589" t="str">
        <f>ﾏｽﾀ!$R24&amp;""</f>
        <v>株式会社エムアイシー</v>
      </c>
      <c r="G109" s="634">
        <f>COUNTIF('納品書明細16-E'!$B$9:$B$206,CONCATENATE(VLOOKUP(G$5,$G$1:$H$4,2,FALSE),$E109,1,1))-INDEX($G$9:$G$90,MATCH($E109,$E$9:$E$90,0))</f>
        <v>0</v>
      </c>
      <c r="H109" s="636">
        <f>SUMIF('納品書明細16-E'!$B$9:$B$206,CONCATENATE(VLOOKUP(G$5,$G$1:$H$4,2,FALSE),$E109,1,1),'納品書明細16-E'!$Q$9:$Q$206)+SUMIF('納品書明細16-E'!$B$9:$B$206,CONCATENATE(VLOOKUP(G$5,$G$1:$H$4,2,FALSE),$E109,1,0),'納品書明細16-E'!$Q$9:$Q$206)-INDEX($H$9:$H$90,MATCH($E109,$E$9:$E$90,0))</f>
        <v>0</v>
      </c>
      <c r="I109" s="345"/>
      <c r="J109" s="122"/>
      <c r="K109" s="359"/>
      <c r="L109" s="345"/>
      <c r="M109" s="628">
        <f>COUNTIF('納品書明細16-E'!$B$9:$B$206,CONCATENATE(VLOOKUP(G$5,$G$1:$H$4,2,FALSE),$E109,9,1))-INDEX($M$9:$M$90,MATCH($E109,$E$9:$E$90,0))</f>
        <v>0</v>
      </c>
      <c r="N109" s="642">
        <f>SUMIF('納品書明細16-E'!$B$9:$B$206,CONCATENATE(VLOOKUP(G$5,$G$1:$H$4,2,FALSE),$E109,9,1),'納品書明細16-E'!$Q$9:$Q$206)+SUMIF('納品書明細16-E'!$B$9:$B$206,CONCATENATE(VLOOKUP(G$5,$G$1:$H$4,2,FALSE),$E109,9,0),'納品書明細16-E'!$Q$9:$Q$206)-INDEX($N$9:$N$90,MATCH($E109,$E$9:$E$90,0))</f>
        <v>0</v>
      </c>
      <c r="O109" s="64"/>
      <c r="P109" s="646">
        <f>COUNTIF('納品書明細16-E'!$B$9:$B$206,CONCATENATE(VLOOKUP(P$5,$G$1:$H$4,2,FALSE),$E109,1,1))-VLOOKUP($E109,$E$9:$AF$92,$P$7-$D$7,0)</f>
        <v>0</v>
      </c>
      <c r="Q109" s="647">
        <f>SUMIF('納品書明細16-E'!$B$9:$B$206,CONCATENATE(VLOOKUP(P$5,$G$1:$H$4,2,FALSE),$E109,1,1),'納品書明細16-E'!$Q$9:$Q$206)+SUMIF('納品書明細16-E'!$B$9:$B$206,CONCATENATE(VLOOKUP(P$5,$G$1:$H$4,2,FALSE),$E109,1,0),'納品書明細16-E'!$Q$9:$Q$206)-VLOOKUP($E109,$E$9:$AF$92,$Q$7-$D$7,0)</f>
        <v>0</v>
      </c>
      <c r="R109" s="345"/>
      <c r="S109" s="122"/>
      <c r="T109" s="128"/>
      <c r="U109" s="345"/>
      <c r="V109" s="638">
        <f>COUNTIF('納品書明細16-E'!$B$9:$B$206,CONCATENATE(VLOOKUP(P$5,$G$1:$H$4,2,FALSE),$E109,9,1))-VLOOKUP($E109,$E$9:$AF$92,$V$7-$D$7,0)</f>
        <v>0</v>
      </c>
      <c r="W109" s="650">
        <f>SUMIF('納品書明細16-E'!$B$9:$B$206,CONCATENATE(VLOOKUP(P$5,$G$1:$H$4,2,FALSE),$E109,9,1),'納品書明細16-E'!$Q$9:$Q$206)+SUMIF('納品書明細16-E'!$B$9:$B$206,CONCATENATE(VLOOKUP(P$5,$G$1:$H$4,2,FALSE),$E109,9,0),'納品書明細16-E'!$Q$9:$Q$206)-VLOOKUP($E109,$E$9:$AF$92,$W$7-$D$7,0)</f>
        <v>0</v>
      </c>
      <c r="X109" s="64"/>
      <c r="Y109" s="646">
        <f>COUNTIF('納品書明細16-E'!$B$9:$B$206,CONCATENATE(VLOOKUP(Y$5,$G$1:$H$4,2,FALSE),$E109,1,1))-VLOOKUP($E109,$E$9:$AF$92,$Y$7-$D$7,0)</f>
        <v>0</v>
      </c>
      <c r="Z109" s="647">
        <f>SUMIF('納品書明細16-E'!$B$9:$B$206,CONCATENATE(VLOOKUP(Y$5,$G$1:$H$4,2,FALSE),$E109,1,1),'納品書明細16-E'!$Q$9:$Q$206)+SUMIF('納品書明細16-E'!$B$9:$B$206,CONCATENATE(VLOOKUP(Y$5,$G$1:$H$4,2,FALSE),$E109,1,0),'納品書明細16-E'!$Q$9:$Q$206)-VLOOKUP($E109,$E$9:$AF$92,$Z$7-$D$7,0)</f>
        <v>0</v>
      </c>
      <c r="AA109" s="345"/>
      <c r="AB109" s="122"/>
      <c r="AC109" s="128"/>
      <c r="AD109" s="345"/>
      <c r="AE109" s="638">
        <f>COUNTIF('納品書明細16-E'!$B$9:$B$206,CONCATENATE(VLOOKUP(Y$5,$G$1:$H$4,2,FALSE),$E109,9,1))-VLOOKUP($E109,$E$9:$AF$92,$AE$7-$D$7,0)</f>
        <v>0</v>
      </c>
      <c r="AF109" s="650">
        <f>SUMIF('納品書明細16-E'!$B$9:$B$206,CONCATENATE(VLOOKUP(Y$5,$G$1:$H$4,2,FALSE),$E109,9,1),'納品書明細16-E'!$Q$9:$Q$206)+SUMIF('納品書明細16-E'!$B$9:$B$206,CONCATENATE(VLOOKUP(Y$5,$G$1:$H$4,2,FALSE),$E109,9,0),'納品書明細16-E'!$Q$9:$Q$206)-VLOOKUP($E109,$E$9:$AF$92,$AF$7-$D$7,0)</f>
        <v>0</v>
      </c>
    </row>
    <row r="110" spans="1:32">
      <c r="A110" s="475" t="str">
        <f>IF(SUMIFS($G110:$AF110,$G$8:$AF$8,"金額",$G110:$AF110,"&gt;0")-SUMIFS($G110:$AF110,$G$8:$AF$8,"金額",$G110:$AF110,"&lt;0")&lt;=0,"",MAX($A$92:$A109)+1)</f>
        <v/>
      </c>
      <c r="B110" s="795"/>
      <c r="C110" s="245" t="str">
        <f t="shared" si="3"/>
        <v>経費</v>
      </c>
      <c r="D110" s="245">
        <v>18</v>
      </c>
      <c r="E110" s="590" t="str">
        <f>IF($F110&lt;&gt;"",INDEX(ﾏｽﾀ!$D$8:$D$124,MATCH(INDEX(ﾏｽﾀ!$N$8:$N$124,MATCH($F110,ﾏｽﾀ!$O$8:$O$124,0)),ﾏｽﾀ!$B$8:$B$124,0))&amp;"","")</f>
        <v>55000</v>
      </c>
      <c r="F110" s="589" t="str">
        <f>ﾏｽﾀ!$R25&amp;""</f>
        <v>株式会社ティーケー・ホールディングス　/　SPチーム</v>
      </c>
      <c r="G110" s="634">
        <f>COUNTIF('納品書明細16-E'!$B$9:$B$206,CONCATENATE(VLOOKUP(G$5,$G$1:$H$4,2,FALSE),$E110,1,1))-INDEX($G$9:$G$90,MATCH($E110,$E$9:$E$90,0))</f>
        <v>0</v>
      </c>
      <c r="H110" s="636">
        <f>SUMIF('納品書明細16-E'!$B$9:$B$206,CONCATENATE(VLOOKUP(G$5,$G$1:$H$4,2,FALSE),$E110,1,1),'納品書明細16-E'!$Q$9:$Q$206)+SUMIF('納品書明細16-E'!$B$9:$B$206,CONCATENATE(VLOOKUP(G$5,$G$1:$H$4,2,FALSE),$E110,1,0),'納品書明細16-E'!$Q$9:$Q$206)-INDEX($H$9:$H$90,MATCH($E110,$E$9:$E$90,0))</f>
        <v>0</v>
      </c>
      <c r="I110" s="345"/>
      <c r="J110" s="122"/>
      <c r="K110" s="359"/>
      <c r="L110" s="345"/>
      <c r="M110" s="628">
        <f>COUNTIF('納品書明細16-E'!$B$9:$B$206,CONCATENATE(VLOOKUP(G$5,$G$1:$H$4,2,FALSE),$E110,9,1))-INDEX($M$9:$M$90,MATCH($E110,$E$9:$E$90,0))</f>
        <v>0</v>
      </c>
      <c r="N110" s="642">
        <f>SUMIF('納品書明細16-E'!$B$9:$B$206,CONCATENATE(VLOOKUP(G$5,$G$1:$H$4,2,FALSE),$E110,9,1),'納品書明細16-E'!$Q$9:$Q$206)+SUMIF('納品書明細16-E'!$B$9:$B$206,CONCATENATE(VLOOKUP(G$5,$G$1:$H$4,2,FALSE),$E110,9,0),'納品書明細16-E'!$Q$9:$Q$206)-INDEX($N$9:$N$90,MATCH($E110,$E$9:$E$90,0))</f>
        <v>0</v>
      </c>
      <c r="O110" s="64"/>
      <c r="P110" s="646">
        <f>COUNTIF('納品書明細16-E'!$B$9:$B$206,CONCATENATE(VLOOKUP(P$5,$G$1:$H$4,2,FALSE),$E110,1,1))-VLOOKUP($E110,$E$9:$AF$92,$P$7-$D$7,0)</f>
        <v>0</v>
      </c>
      <c r="Q110" s="647">
        <f>SUMIF('納品書明細16-E'!$B$9:$B$206,CONCATENATE(VLOOKUP(P$5,$G$1:$H$4,2,FALSE),$E110,1,1),'納品書明細16-E'!$Q$9:$Q$206)+SUMIF('納品書明細16-E'!$B$9:$B$206,CONCATENATE(VLOOKUP(P$5,$G$1:$H$4,2,FALSE),$E110,1,0),'納品書明細16-E'!$Q$9:$Q$206)-VLOOKUP($E110,$E$9:$AF$92,$Q$7-$D$7,0)</f>
        <v>0</v>
      </c>
      <c r="R110" s="345"/>
      <c r="S110" s="122"/>
      <c r="T110" s="128"/>
      <c r="U110" s="345"/>
      <c r="V110" s="638">
        <f>COUNTIF('納品書明細16-E'!$B$9:$B$206,CONCATENATE(VLOOKUP(P$5,$G$1:$H$4,2,FALSE),$E110,9,1))-VLOOKUP($E110,$E$9:$AF$92,$V$7-$D$7,0)</f>
        <v>0</v>
      </c>
      <c r="W110" s="650">
        <f>SUMIF('納品書明細16-E'!$B$9:$B$206,CONCATENATE(VLOOKUP(P$5,$G$1:$H$4,2,FALSE),$E110,9,1),'納品書明細16-E'!$Q$9:$Q$206)+SUMIF('納品書明細16-E'!$B$9:$B$206,CONCATENATE(VLOOKUP(P$5,$G$1:$H$4,2,FALSE),$E110,9,0),'納品書明細16-E'!$Q$9:$Q$206)-VLOOKUP($E110,$E$9:$AF$92,$W$7-$D$7,0)</f>
        <v>0</v>
      </c>
      <c r="X110" s="64"/>
      <c r="Y110" s="646">
        <f>COUNTIF('納品書明細16-E'!$B$9:$B$206,CONCATENATE(VLOOKUP(Y$5,$G$1:$H$4,2,FALSE),$E110,1,1))-VLOOKUP($E110,$E$9:$AF$92,$Y$7-$D$7,0)</f>
        <v>0</v>
      </c>
      <c r="Z110" s="647">
        <f>SUMIF('納品書明細16-E'!$B$9:$B$206,CONCATENATE(VLOOKUP(Y$5,$G$1:$H$4,2,FALSE),$E110,1,1),'納品書明細16-E'!$Q$9:$Q$206)+SUMIF('納品書明細16-E'!$B$9:$B$206,CONCATENATE(VLOOKUP(Y$5,$G$1:$H$4,2,FALSE),$E110,1,0),'納品書明細16-E'!$Q$9:$Q$206)-VLOOKUP($E110,$E$9:$AF$92,$Z$7-$D$7,0)</f>
        <v>0</v>
      </c>
      <c r="AA110" s="345"/>
      <c r="AB110" s="122"/>
      <c r="AC110" s="128"/>
      <c r="AD110" s="345"/>
      <c r="AE110" s="638">
        <f>COUNTIF('納品書明細16-E'!$B$9:$B$206,CONCATENATE(VLOOKUP(Y$5,$G$1:$H$4,2,FALSE),$E110,9,1))-VLOOKUP($E110,$E$9:$AF$92,$AE$7-$D$7,0)</f>
        <v>0</v>
      </c>
      <c r="AF110" s="650">
        <f>SUMIF('納品書明細16-E'!$B$9:$B$206,CONCATENATE(VLOOKUP(Y$5,$G$1:$H$4,2,FALSE),$E110,9,1),'納品書明細16-E'!$Q$9:$Q$206)+SUMIF('納品書明細16-E'!$B$9:$B$206,CONCATENATE(VLOOKUP(Y$5,$G$1:$H$4,2,FALSE),$E110,9,0),'納品書明細16-E'!$Q$9:$Q$206)-VLOOKUP($E110,$E$9:$AF$92,$AF$7-$D$7,0)</f>
        <v>0</v>
      </c>
    </row>
    <row r="111" spans="1:32">
      <c r="A111" s="475" t="str">
        <f>IF(SUMIFS($G111:$AF111,$G$8:$AF$8,"金額",$G111:$AF111,"&gt;0")-SUMIFS($G111:$AF111,$G$8:$AF$8,"金額",$G111:$AF111,"&lt;0")&lt;=0,"",MAX($A$92:$A110)+1)</f>
        <v/>
      </c>
      <c r="B111" s="795"/>
      <c r="C111" s="245" t="str">
        <f t="shared" si="3"/>
        <v>経費</v>
      </c>
      <c r="D111" s="245">
        <v>19</v>
      </c>
      <c r="E111" s="590" t="str">
        <f>IF($F111&lt;&gt;"",INDEX(ﾏｽﾀ!$D$8:$D$124,MATCH(INDEX(ﾏｽﾀ!$N$8:$N$124,MATCH($F111,ﾏｽﾀ!$O$8:$O$124,0)),ﾏｽﾀ!$B$8:$B$124,0))&amp;"","")</f>
        <v>56000</v>
      </c>
      <c r="F111" s="589" t="str">
        <f>ﾏｽﾀ!$R26&amp;""</f>
        <v>株式会社ティーケー・ホールディングス　/　5000</v>
      </c>
      <c r="G111" s="634">
        <f>COUNTIF('納品書明細16-E'!$B$9:$B$206,CONCATENATE(VLOOKUP(G$5,$G$1:$H$4,2,FALSE),$E111,1,1))-INDEX($G$9:$G$90,MATCH($E111,$E$9:$E$90,0))</f>
        <v>0</v>
      </c>
      <c r="H111" s="636">
        <f>SUMIF('納品書明細16-E'!$B$9:$B$206,CONCATENATE(VLOOKUP(G$5,$G$1:$H$4,2,FALSE),$E111,1,1),'納品書明細16-E'!$Q$9:$Q$206)+SUMIF('納品書明細16-E'!$B$9:$B$206,CONCATENATE(VLOOKUP(G$5,$G$1:$H$4,2,FALSE),$E111,1,0),'納品書明細16-E'!$Q$9:$Q$206)-INDEX($H$9:$H$90,MATCH($E111,$E$9:$E$90,0))</f>
        <v>0</v>
      </c>
      <c r="I111" s="345"/>
      <c r="J111" s="122"/>
      <c r="K111" s="359"/>
      <c r="L111" s="345"/>
      <c r="M111" s="628">
        <f>COUNTIF('納品書明細16-E'!$B$9:$B$206,CONCATENATE(VLOOKUP(G$5,$G$1:$H$4,2,FALSE),$E111,9,1))-INDEX($M$9:$M$90,MATCH($E111,$E$9:$E$90,0))</f>
        <v>0</v>
      </c>
      <c r="N111" s="642">
        <f>SUMIF('納品書明細16-E'!$B$9:$B$206,CONCATENATE(VLOOKUP(G$5,$G$1:$H$4,2,FALSE),$E111,9,1),'納品書明細16-E'!$Q$9:$Q$206)+SUMIF('納品書明細16-E'!$B$9:$B$206,CONCATENATE(VLOOKUP(G$5,$G$1:$H$4,2,FALSE),$E111,9,0),'納品書明細16-E'!$Q$9:$Q$206)-INDEX($N$9:$N$90,MATCH($E111,$E$9:$E$90,0))</f>
        <v>0</v>
      </c>
      <c r="O111" s="64"/>
      <c r="P111" s="646">
        <f>COUNTIF('納品書明細16-E'!$B$9:$B$206,CONCATENATE(VLOOKUP(P$5,$G$1:$H$4,2,FALSE),$E111,1,1))-VLOOKUP($E111,$E$9:$AF$92,$P$7-$D$7,0)</f>
        <v>0</v>
      </c>
      <c r="Q111" s="647">
        <f>SUMIF('納品書明細16-E'!$B$9:$B$206,CONCATENATE(VLOOKUP(P$5,$G$1:$H$4,2,FALSE),$E111,1,1),'納品書明細16-E'!$Q$9:$Q$206)+SUMIF('納品書明細16-E'!$B$9:$B$206,CONCATENATE(VLOOKUP(P$5,$G$1:$H$4,2,FALSE),$E111,1,0),'納品書明細16-E'!$Q$9:$Q$206)-VLOOKUP($E111,$E$9:$AF$92,$Q$7-$D$7,0)</f>
        <v>0</v>
      </c>
      <c r="R111" s="345"/>
      <c r="S111" s="122"/>
      <c r="T111" s="128"/>
      <c r="U111" s="345"/>
      <c r="V111" s="638">
        <f>COUNTIF('納品書明細16-E'!$B$9:$B$206,CONCATENATE(VLOOKUP(P$5,$G$1:$H$4,2,FALSE),$E111,9,1))-VLOOKUP($E111,$E$9:$AF$92,$V$7-$D$7,0)</f>
        <v>0</v>
      </c>
      <c r="W111" s="650">
        <f>SUMIF('納品書明細16-E'!$B$9:$B$206,CONCATENATE(VLOOKUP(P$5,$G$1:$H$4,2,FALSE),$E111,9,1),'納品書明細16-E'!$Q$9:$Q$206)+SUMIF('納品書明細16-E'!$B$9:$B$206,CONCATENATE(VLOOKUP(P$5,$G$1:$H$4,2,FALSE),$E111,9,0),'納品書明細16-E'!$Q$9:$Q$206)-VLOOKUP($E111,$E$9:$AF$92,$W$7-$D$7,0)</f>
        <v>0</v>
      </c>
      <c r="X111" s="64"/>
      <c r="Y111" s="646">
        <f>COUNTIF('納品書明細16-E'!$B$9:$B$206,CONCATENATE(VLOOKUP(Y$5,$G$1:$H$4,2,FALSE),$E111,1,1))-VLOOKUP($E111,$E$9:$AF$92,$Y$7-$D$7,0)</f>
        <v>0</v>
      </c>
      <c r="Z111" s="647">
        <f>SUMIF('納品書明細16-E'!$B$9:$B$206,CONCATENATE(VLOOKUP(Y$5,$G$1:$H$4,2,FALSE),$E111,1,1),'納品書明細16-E'!$Q$9:$Q$206)+SUMIF('納品書明細16-E'!$B$9:$B$206,CONCATENATE(VLOOKUP(Y$5,$G$1:$H$4,2,FALSE),$E111,1,0),'納品書明細16-E'!$Q$9:$Q$206)-VLOOKUP($E111,$E$9:$AF$92,$Z$7-$D$7,0)</f>
        <v>0</v>
      </c>
      <c r="AA111" s="345"/>
      <c r="AB111" s="122"/>
      <c r="AC111" s="128"/>
      <c r="AD111" s="345"/>
      <c r="AE111" s="638">
        <f>COUNTIF('納品書明細16-E'!$B$9:$B$206,CONCATENATE(VLOOKUP(Y$5,$G$1:$H$4,2,FALSE),$E111,9,1))-VLOOKUP($E111,$E$9:$AF$92,$AE$7-$D$7,0)</f>
        <v>0</v>
      </c>
      <c r="AF111" s="650">
        <f>SUMIF('納品書明細16-E'!$B$9:$B$206,CONCATENATE(VLOOKUP(Y$5,$G$1:$H$4,2,FALSE),$E111,9,1),'納品書明細16-E'!$Q$9:$Q$206)+SUMIF('納品書明細16-E'!$B$9:$B$206,CONCATENATE(VLOOKUP(Y$5,$G$1:$H$4,2,FALSE),$E111,9,0),'納品書明細16-E'!$Q$9:$Q$206)-VLOOKUP($E111,$E$9:$AF$92,$AF$7-$D$7,0)</f>
        <v>0</v>
      </c>
    </row>
    <row r="112" spans="1:32">
      <c r="A112" s="475" t="str">
        <f>IF(SUMIFS($G112:$AF112,$G$8:$AF$8,"金額",$G112:$AF112,"&gt;0")-SUMIFS($G112:$AF112,$G$8:$AF$8,"金額",$G112:$AF112,"&lt;0")&lt;=0,"",MAX($A$92:$A111)+1)</f>
        <v/>
      </c>
      <c r="B112" s="795"/>
      <c r="C112" s="245" t="str">
        <f t="shared" si="3"/>
        <v>経費</v>
      </c>
      <c r="D112" s="245">
        <v>20</v>
      </c>
      <c r="E112" s="590" t="str">
        <f>IF($F112&lt;&gt;"",INDEX(ﾏｽﾀ!$D$8:$D$124,MATCH(INDEX(ﾏｽﾀ!$N$8:$N$124,MATCH($F112,ﾏｽﾀ!$O$8:$O$124,0)),ﾏｽﾀ!$B$8:$B$124,0))&amp;"","")</f>
        <v>57000</v>
      </c>
      <c r="F112" s="589" t="str">
        <f>ﾏｽﾀ!$R27&amp;""</f>
        <v>株式会社ティーケーホールディングス/経費</v>
      </c>
      <c r="G112" s="634">
        <f>COUNTIF('納品書明細16-E'!$B$9:$B$206,CONCATENATE(VLOOKUP(G$5,$G$1:$H$4,2,FALSE),$E112,1,1))-INDEX($G$9:$G$90,MATCH($E112,$E$9:$E$90,0))</f>
        <v>0</v>
      </c>
      <c r="H112" s="636">
        <f>SUMIF('納品書明細16-E'!$B$9:$B$206,CONCATENATE(VLOOKUP(G$5,$G$1:$H$4,2,FALSE),$E112,1,1),'納品書明細16-E'!$Q$9:$Q$206)+SUMIF('納品書明細16-E'!$B$9:$B$206,CONCATENATE(VLOOKUP(G$5,$G$1:$H$4,2,FALSE),$E112,1,0),'納品書明細16-E'!$Q$9:$Q$206)-INDEX($H$9:$H$90,MATCH($E112,$E$9:$E$90,0))</f>
        <v>0</v>
      </c>
      <c r="I112" s="345"/>
      <c r="J112" s="122"/>
      <c r="K112" s="359"/>
      <c r="L112" s="345"/>
      <c r="M112" s="628">
        <f>COUNTIF('納品書明細16-E'!$B$9:$B$206,CONCATENATE(VLOOKUP(G$5,$G$1:$H$4,2,FALSE),$E112,9,1))-INDEX($M$9:$M$90,MATCH($E112,$E$9:$E$90,0))</f>
        <v>0</v>
      </c>
      <c r="N112" s="642">
        <f>SUMIF('納品書明細16-E'!$B$9:$B$206,CONCATENATE(VLOOKUP(G$5,$G$1:$H$4,2,FALSE),$E112,9,1),'納品書明細16-E'!$Q$9:$Q$206)+SUMIF('納品書明細16-E'!$B$9:$B$206,CONCATENATE(VLOOKUP(G$5,$G$1:$H$4,2,FALSE),$E112,9,0),'納品書明細16-E'!$Q$9:$Q$206)-INDEX($N$9:$N$90,MATCH($E112,$E$9:$E$90,0))</f>
        <v>0</v>
      </c>
      <c r="O112" s="64"/>
      <c r="P112" s="646">
        <f>COUNTIF('納品書明細16-E'!$B$9:$B$206,CONCATENATE(VLOOKUP(P$5,$G$1:$H$4,2,FALSE),$E112,1,1))-VLOOKUP($E112,$E$9:$AF$92,$P$7-$D$7,0)</f>
        <v>0</v>
      </c>
      <c r="Q112" s="647">
        <f>SUMIF('納品書明細16-E'!$B$9:$B$206,CONCATENATE(VLOOKUP(P$5,$G$1:$H$4,2,FALSE),$E112,1,1),'納品書明細16-E'!$Q$9:$Q$206)+SUMIF('納品書明細16-E'!$B$9:$B$206,CONCATENATE(VLOOKUP(P$5,$G$1:$H$4,2,FALSE),$E112,1,0),'納品書明細16-E'!$Q$9:$Q$206)-VLOOKUP($E112,$E$9:$AF$92,$Q$7-$D$7,0)</f>
        <v>0</v>
      </c>
      <c r="R112" s="345"/>
      <c r="S112" s="122"/>
      <c r="T112" s="128"/>
      <c r="U112" s="345"/>
      <c r="V112" s="638">
        <f>COUNTIF('納品書明細16-E'!$B$9:$B$206,CONCATENATE(VLOOKUP(P$5,$G$1:$H$4,2,FALSE),$E112,9,1))-VLOOKUP($E112,$E$9:$AF$92,$V$7-$D$7,0)</f>
        <v>0</v>
      </c>
      <c r="W112" s="650">
        <f>SUMIF('納品書明細16-E'!$B$9:$B$206,CONCATENATE(VLOOKUP(P$5,$G$1:$H$4,2,FALSE),$E112,9,1),'納品書明細16-E'!$Q$9:$Q$206)+SUMIF('納品書明細16-E'!$B$9:$B$206,CONCATENATE(VLOOKUP(P$5,$G$1:$H$4,2,FALSE),$E112,9,0),'納品書明細16-E'!$Q$9:$Q$206)-VLOOKUP($E112,$E$9:$AF$92,$W$7-$D$7,0)</f>
        <v>0</v>
      </c>
      <c r="X112" s="64"/>
      <c r="Y112" s="646">
        <f>COUNTIF('納品書明細16-E'!$B$9:$B$206,CONCATENATE(VLOOKUP(Y$5,$G$1:$H$4,2,FALSE),$E112,1,1))-VLOOKUP($E112,$E$9:$AF$92,$Y$7-$D$7,0)</f>
        <v>0</v>
      </c>
      <c r="Z112" s="647">
        <f>SUMIF('納品書明細16-E'!$B$9:$B$206,CONCATENATE(VLOOKUP(Y$5,$G$1:$H$4,2,FALSE),$E112,1,1),'納品書明細16-E'!$Q$9:$Q$206)+SUMIF('納品書明細16-E'!$B$9:$B$206,CONCATENATE(VLOOKUP(Y$5,$G$1:$H$4,2,FALSE),$E112,1,0),'納品書明細16-E'!$Q$9:$Q$206)-VLOOKUP($E112,$E$9:$AF$92,$Z$7-$D$7,0)</f>
        <v>0</v>
      </c>
      <c r="AA112" s="345"/>
      <c r="AB112" s="122"/>
      <c r="AC112" s="128"/>
      <c r="AD112" s="345"/>
      <c r="AE112" s="638">
        <f>COUNTIF('納品書明細16-E'!$B$9:$B$206,CONCATENATE(VLOOKUP(Y$5,$G$1:$H$4,2,FALSE),$E112,9,1))-VLOOKUP($E112,$E$9:$AF$92,$AE$7-$D$7,0)</f>
        <v>0</v>
      </c>
      <c r="AF112" s="650">
        <f>SUMIF('納品書明細16-E'!$B$9:$B$206,CONCATENATE(VLOOKUP(Y$5,$G$1:$H$4,2,FALSE),$E112,9,1),'納品書明細16-E'!$Q$9:$Q$206)+SUMIF('納品書明細16-E'!$B$9:$B$206,CONCATENATE(VLOOKUP(Y$5,$G$1:$H$4,2,FALSE),$E112,9,0),'納品書明細16-E'!$Q$9:$Q$206)-VLOOKUP($E112,$E$9:$AF$92,$AF$7-$D$7,0)</f>
        <v>0</v>
      </c>
    </row>
    <row r="113" spans="1:32">
      <c r="A113" s="475" t="str">
        <f>IF(SUMIFS($G113:$AF113,$G$8:$AF$8,"金額",$G113:$AF113,"&gt;0")-SUMIFS($G113:$AF113,$G$8:$AF$8,"金額",$G113:$AF113,"&lt;0")&lt;=0,"",MAX($A$92:$A112)+1)</f>
        <v/>
      </c>
      <c r="B113" s="795"/>
      <c r="C113" s="245" t="str">
        <f t="shared" si="3"/>
        <v>経費</v>
      </c>
      <c r="D113" s="245">
        <v>21</v>
      </c>
      <c r="E113" s="590" t="str">
        <f>IF($F113&lt;&gt;"",INDEX(ﾏｽﾀ!$D$8:$D$124,MATCH(INDEX(ﾏｽﾀ!$N$8:$N$124,MATCH($F113,ﾏｽﾀ!$O$8:$O$124,0)),ﾏｽﾀ!$B$8:$B$124,0))&amp;"","")</f>
        <v>58000</v>
      </c>
      <c r="F113" s="589" t="str">
        <f>ﾏｽﾀ!$R28&amp;""</f>
        <v>バンダイビジュアル株式会社</v>
      </c>
      <c r="G113" s="634">
        <f>COUNTIF('納品書明細16-E'!$B$9:$B$206,CONCATENATE(VLOOKUP(G$5,$G$1:$H$4,2,FALSE),$E113,1,1))-INDEX($G$9:$G$90,MATCH($E113,$E$9:$E$90,0))</f>
        <v>0</v>
      </c>
      <c r="H113" s="636">
        <f>SUMIF('納品書明細16-E'!$B$9:$B$206,CONCATENATE(VLOOKUP(G$5,$G$1:$H$4,2,FALSE),$E113,1,1),'納品書明細16-E'!$Q$9:$Q$206)+SUMIF('納品書明細16-E'!$B$9:$B$206,CONCATENATE(VLOOKUP(G$5,$G$1:$H$4,2,FALSE),$E113,1,0),'納品書明細16-E'!$Q$9:$Q$206)-INDEX($H$9:$H$90,MATCH($E113,$E$9:$E$90,0))</f>
        <v>0</v>
      </c>
      <c r="I113" s="345"/>
      <c r="J113" s="122"/>
      <c r="K113" s="359"/>
      <c r="L113" s="345"/>
      <c r="M113" s="628">
        <f>COUNTIF('納品書明細16-E'!$B$9:$B$206,CONCATENATE(VLOOKUP(G$5,$G$1:$H$4,2,FALSE),$E113,9,1))-INDEX($M$9:$M$90,MATCH($E113,$E$9:$E$90,0))</f>
        <v>0</v>
      </c>
      <c r="N113" s="642">
        <f>SUMIF('納品書明細16-E'!$B$9:$B$206,CONCATENATE(VLOOKUP(G$5,$G$1:$H$4,2,FALSE),$E113,9,1),'納品書明細16-E'!$Q$9:$Q$206)+SUMIF('納品書明細16-E'!$B$9:$B$206,CONCATENATE(VLOOKUP(G$5,$G$1:$H$4,2,FALSE),$E113,9,0),'納品書明細16-E'!$Q$9:$Q$206)-INDEX($N$9:$N$90,MATCH($E113,$E$9:$E$90,0))</f>
        <v>0</v>
      </c>
      <c r="O113" s="64"/>
      <c r="P113" s="646">
        <f>COUNTIF('納品書明細16-E'!$B$9:$B$206,CONCATENATE(VLOOKUP(P$5,$G$1:$H$4,2,FALSE),$E113,1,1))-VLOOKUP($E113,$E$9:$AF$92,$P$7-$D$7,0)</f>
        <v>0</v>
      </c>
      <c r="Q113" s="647">
        <f>SUMIF('納品書明細16-E'!$B$9:$B$206,CONCATENATE(VLOOKUP(P$5,$G$1:$H$4,2,FALSE),$E113,1,1),'納品書明細16-E'!$Q$9:$Q$206)+SUMIF('納品書明細16-E'!$B$9:$B$206,CONCATENATE(VLOOKUP(P$5,$G$1:$H$4,2,FALSE),$E113,1,0),'納品書明細16-E'!$Q$9:$Q$206)-VLOOKUP($E113,$E$9:$AF$92,$Q$7-$D$7,0)</f>
        <v>0</v>
      </c>
      <c r="R113" s="345"/>
      <c r="S113" s="122"/>
      <c r="T113" s="128"/>
      <c r="U113" s="345"/>
      <c r="V113" s="638">
        <f>COUNTIF('納品書明細16-E'!$B$9:$B$206,CONCATENATE(VLOOKUP(P$5,$G$1:$H$4,2,FALSE),$E113,9,1))-VLOOKUP($E113,$E$9:$AF$92,$V$7-$D$7,0)</f>
        <v>0</v>
      </c>
      <c r="W113" s="650">
        <f>SUMIF('納品書明細16-E'!$B$9:$B$206,CONCATENATE(VLOOKUP(P$5,$G$1:$H$4,2,FALSE),$E113,9,1),'納品書明細16-E'!$Q$9:$Q$206)+SUMIF('納品書明細16-E'!$B$9:$B$206,CONCATENATE(VLOOKUP(P$5,$G$1:$H$4,2,FALSE),$E113,9,0),'納品書明細16-E'!$Q$9:$Q$206)-VLOOKUP($E113,$E$9:$AF$92,$W$7-$D$7,0)</f>
        <v>0</v>
      </c>
      <c r="X113" s="64"/>
      <c r="Y113" s="646">
        <f>COUNTIF('納品書明細16-E'!$B$9:$B$206,CONCATENATE(VLOOKUP(Y$5,$G$1:$H$4,2,FALSE),$E113,1,1))-VLOOKUP($E113,$E$9:$AF$92,$Y$7-$D$7,0)</f>
        <v>0</v>
      </c>
      <c r="Z113" s="647">
        <f>SUMIF('納品書明細16-E'!$B$9:$B$206,CONCATENATE(VLOOKUP(Y$5,$G$1:$H$4,2,FALSE),$E113,1,1),'納品書明細16-E'!$Q$9:$Q$206)+SUMIF('納品書明細16-E'!$B$9:$B$206,CONCATENATE(VLOOKUP(Y$5,$G$1:$H$4,2,FALSE),$E113,1,0),'納品書明細16-E'!$Q$9:$Q$206)-VLOOKUP($E113,$E$9:$AF$92,$Z$7-$D$7,0)</f>
        <v>0</v>
      </c>
      <c r="AA113" s="345"/>
      <c r="AB113" s="122"/>
      <c r="AC113" s="128"/>
      <c r="AD113" s="345"/>
      <c r="AE113" s="638">
        <f>COUNTIF('納品書明細16-E'!$B$9:$B$206,CONCATENATE(VLOOKUP(Y$5,$G$1:$H$4,2,FALSE),$E113,9,1))-VLOOKUP($E113,$E$9:$AF$92,$AE$7-$D$7,0)</f>
        <v>0</v>
      </c>
      <c r="AF113" s="650">
        <f>SUMIF('納品書明細16-E'!$B$9:$B$206,CONCATENATE(VLOOKUP(Y$5,$G$1:$H$4,2,FALSE),$E113,9,1),'納品書明細16-E'!$Q$9:$Q$206)+SUMIF('納品書明細16-E'!$B$9:$B$206,CONCATENATE(VLOOKUP(Y$5,$G$1:$H$4,2,FALSE),$E113,9,0),'納品書明細16-E'!$Q$9:$Q$206)-VLOOKUP($E113,$E$9:$AF$92,$AF$7-$D$7,0)</f>
        <v>0</v>
      </c>
    </row>
    <row r="114" spans="1:32">
      <c r="A114" s="475" t="str">
        <f>IF(SUMIFS($G114:$AF114,$G$8:$AF$8,"金額",$G114:$AF114,"&gt;0")-SUMIFS($G114:$AF114,$G$8:$AF$8,"金額",$G114:$AF114,"&lt;0")&lt;=0,"",MAX($A$92:$A113)+1)</f>
        <v/>
      </c>
      <c r="B114" s="795"/>
      <c r="C114" s="245" t="str">
        <f t="shared" si="3"/>
        <v>経費</v>
      </c>
      <c r="D114" s="245">
        <v>22</v>
      </c>
      <c r="E114" s="590" t="str">
        <f>IF($F114&lt;&gt;"",INDEX(ﾏｽﾀ!$D$8:$D$124,MATCH(INDEX(ﾏｽﾀ!$N$8:$N$124,MATCH($F114,ﾏｽﾀ!$O$8:$O$124,0)),ﾏｽﾀ!$B$8:$B$124,0))&amp;"","")</f>
        <v>59000</v>
      </c>
      <c r="F114" s="589" t="str">
        <f>ﾏｽﾀ!$R29&amp;""</f>
        <v>株式会社フジトーイ</v>
      </c>
      <c r="G114" s="634">
        <f>COUNTIF('納品書明細16-E'!$B$9:$B$206,CONCATENATE(VLOOKUP(G$5,$G$1:$H$4,2,FALSE),$E114,1,1))-INDEX($G$9:$G$90,MATCH($E114,$E$9:$E$90,0))</f>
        <v>0</v>
      </c>
      <c r="H114" s="636">
        <f>SUMIF('納品書明細16-E'!$B$9:$B$206,CONCATENATE(VLOOKUP(G$5,$G$1:$H$4,2,FALSE),$E114,1,1),'納品書明細16-E'!$Q$9:$Q$206)+SUMIF('納品書明細16-E'!$B$9:$B$206,CONCATENATE(VLOOKUP(G$5,$G$1:$H$4,2,FALSE),$E114,1,0),'納品書明細16-E'!$Q$9:$Q$206)-INDEX($H$9:$H$90,MATCH($E114,$E$9:$E$90,0))</f>
        <v>0</v>
      </c>
      <c r="I114" s="345"/>
      <c r="J114" s="122"/>
      <c r="K114" s="359"/>
      <c r="L114" s="345"/>
      <c r="M114" s="628">
        <f>COUNTIF('納品書明細16-E'!$B$9:$B$206,CONCATENATE(VLOOKUP(G$5,$G$1:$H$4,2,FALSE),$E114,9,1))-INDEX($M$9:$M$90,MATCH($E114,$E$9:$E$90,0))</f>
        <v>0</v>
      </c>
      <c r="N114" s="642">
        <f>SUMIF('納品書明細16-E'!$B$9:$B$206,CONCATENATE(VLOOKUP(G$5,$G$1:$H$4,2,FALSE),$E114,9,1),'納品書明細16-E'!$Q$9:$Q$206)+SUMIF('納品書明細16-E'!$B$9:$B$206,CONCATENATE(VLOOKUP(G$5,$G$1:$H$4,2,FALSE),$E114,9,0),'納品書明細16-E'!$Q$9:$Q$206)-INDEX($N$9:$N$90,MATCH($E114,$E$9:$E$90,0))</f>
        <v>0</v>
      </c>
      <c r="O114" s="64"/>
      <c r="P114" s="646">
        <f>COUNTIF('納品書明細16-E'!$B$9:$B$206,CONCATENATE(VLOOKUP(P$5,$G$1:$H$4,2,FALSE),$E114,1,1))-VLOOKUP($E114,$E$9:$AF$92,$P$7-$D$7,0)</f>
        <v>0</v>
      </c>
      <c r="Q114" s="647">
        <f>SUMIF('納品書明細16-E'!$B$9:$B$206,CONCATENATE(VLOOKUP(P$5,$G$1:$H$4,2,FALSE),$E114,1,1),'納品書明細16-E'!$Q$9:$Q$206)+SUMIF('納品書明細16-E'!$B$9:$B$206,CONCATENATE(VLOOKUP(P$5,$G$1:$H$4,2,FALSE),$E114,1,0),'納品書明細16-E'!$Q$9:$Q$206)-VLOOKUP($E114,$E$9:$AF$92,$Q$7-$D$7,0)</f>
        <v>0</v>
      </c>
      <c r="R114" s="345"/>
      <c r="S114" s="122"/>
      <c r="T114" s="128"/>
      <c r="U114" s="345"/>
      <c r="V114" s="638">
        <f>COUNTIF('納品書明細16-E'!$B$9:$B$206,CONCATENATE(VLOOKUP(P$5,$G$1:$H$4,2,FALSE),$E114,9,1))-VLOOKUP($E114,$E$9:$AF$92,$V$7-$D$7,0)</f>
        <v>0</v>
      </c>
      <c r="W114" s="650">
        <f>SUMIF('納品書明細16-E'!$B$9:$B$206,CONCATENATE(VLOOKUP(P$5,$G$1:$H$4,2,FALSE),$E114,9,1),'納品書明細16-E'!$Q$9:$Q$206)+SUMIF('納品書明細16-E'!$B$9:$B$206,CONCATENATE(VLOOKUP(P$5,$G$1:$H$4,2,FALSE),$E114,9,0),'納品書明細16-E'!$Q$9:$Q$206)-VLOOKUP($E114,$E$9:$AF$92,$W$7-$D$7,0)</f>
        <v>0</v>
      </c>
      <c r="X114" s="64"/>
      <c r="Y114" s="646">
        <f>COUNTIF('納品書明細16-E'!$B$9:$B$206,CONCATENATE(VLOOKUP(Y$5,$G$1:$H$4,2,FALSE),$E114,1,1))-VLOOKUP($E114,$E$9:$AF$92,$Y$7-$D$7,0)</f>
        <v>0</v>
      </c>
      <c r="Z114" s="647">
        <f>SUMIF('納品書明細16-E'!$B$9:$B$206,CONCATENATE(VLOOKUP(Y$5,$G$1:$H$4,2,FALSE),$E114,1,1),'納品書明細16-E'!$Q$9:$Q$206)+SUMIF('納品書明細16-E'!$B$9:$B$206,CONCATENATE(VLOOKUP(Y$5,$G$1:$H$4,2,FALSE),$E114,1,0),'納品書明細16-E'!$Q$9:$Q$206)-VLOOKUP($E114,$E$9:$AF$92,$Z$7-$D$7,0)</f>
        <v>0</v>
      </c>
      <c r="AA114" s="345"/>
      <c r="AB114" s="122"/>
      <c r="AC114" s="128"/>
      <c r="AD114" s="345"/>
      <c r="AE114" s="638">
        <f>COUNTIF('納品書明細16-E'!$B$9:$B$206,CONCATENATE(VLOOKUP(Y$5,$G$1:$H$4,2,FALSE),$E114,9,1))-VLOOKUP($E114,$E$9:$AF$92,$AE$7-$D$7,0)</f>
        <v>0</v>
      </c>
      <c r="AF114" s="650">
        <f>SUMIF('納品書明細16-E'!$B$9:$B$206,CONCATENATE(VLOOKUP(Y$5,$G$1:$H$4,2,FALSE),$E114,9,1),'納品書明細16-E'!$Q$9:$Q$206)+SUMIF('納品書明細16-E'!$B$9:$B$206,CONCATENATE(VLOOKUP(Y$5,$G$1:$H$4,2,FALSE),$E114,9,0),'納品書明細16-E'!$Q$9:$Q$206)-VLOOKUP($E114,$E$9:$AF$92,$AF$7-$D$7,0)</f>
        <v>0</v>
      </c>
    </row>
    <row r="115" spans="1:32">
      <c r="A115" s="475" t="str">
        <f>IF(SUMIFS($G115:$AF115,$G$8:$AF$8,"金額",$G115:$AF115,"&gt;0")-SUMIFS($G115:$AF115,$G$8:$AF$8,"金額",$G115:$AF115,"&lt;0")&lt;=0,"",MAX($A$92:$A114)+1)</f>
        <v/>
      </c>
      <c r="B115" s="795"/>
      <c r="C115" s="245" t="str">
        <f t="shared" si="3"/>
        <v>経費</v>
      </c>
      <c r="D115" s="245">
        <v>23</v>
      </c>
      <c r="E115" s="590" t="str">
        <f>IF($F115&lt;&gt;"",INDEX(ﾏｽﾀ!$D$8:$D$124,MATCH(INDEX(ﾏｽﾀ!$N$8:$N$124,MATCH($F115,ﾏｽﾀ!$O$8:$O$124,0)),ﾏｽﾀ!$B$8:$B$124,0))&amp;"","")</f>
        <v>60000</v>
      </c>
      <c r="F115" s="589" t="str">
        <f>ﾏｽﾀ!$R30&amp;""</f>
        <v>株式会社プレジャーキャスト</v>
      </c>
      <c r="G115" s="634">
        <f>COUNTIF('納品書明細16-E'!$B$9:$B$206,CONCATENATE(VLOOKUP(G$5,$G$1:$H$4,2,FALSE),$E115,1,1))-INDEX($G$9:$G$90,MATCH($E115,$E$9:$E$90,0))</f>
        <v>0</v>
      </c>
      <c r="H115" s="636">
        <f>SUMIF('納品書明細16-E'!$B$9:$B$206,CONCATENATE(VLOOKUP(G$5,$G$1:$H$4,2,FALSE),$E115,1,1),'納品書明細16-E'!$Q$9:$Q$206)+SUMIF('納品書明細16-E'!$B$9:$B$206,CONCATENATE(VLOOKUP(G$5,$G$1:$H$4,2,FALSE),$E115,1,0),'納品書明細16-E'!$Q$9:$Q$206)-INDEX($H$9:$H$90,MATCH($E115,$E$9:$E$90,0))</f>
        <v>0</v>
      </c>
      <c r="I115" s="345"/>
      <c r="J115" s="122"/>
      <c r="K115" s="359"/>
      <c r="L115" s="345"/>
      <c r="M115" s="628">
        <f>COUNTIF('納品書明細16-E'!$B$9:$B$206,CONCATENATE(VLOOKUP(G$5,$G$1:$H$4,2,FALSE),$E115,9,1))-INDEX($M$9:$M$90,MATCH($E115,$E$9:$E$90,0))</f>
        <v>0</v>
      </c>
      <c r="N115" s="642">
        <f>SUMIF('納品書明細16-E'!$B$9:$B$206,CONCATENATE(VLOOKUP(G$5,$G$1:$H$4,2,FALSE),$E115,9,1),'納品書明細16-E'!$Q$9:$Q$206)+SUMIF('納品書明細16-E'!$B$9:$B$206,CONCATENATE(VLOOKUP(G$5,$G$1:$H$4,2,FALSE),$E115,9,0),'納品書明細16-E'!$Q$9:$Q$206)-INDEX($N$9:$N$90,MATCH($E115,$E$9:$E$90,0))</f>
        <v>0</v>
      </c>
      <c r="O115" s="64"/>
      <c r="P115" s="646">
        <f>COUNTIF('納品書明細16-E'!$B$9:$B$206,CONCATENATE(VLOOKUP(P$5,$G$1:$H$4,2,FALSE),$E115,1,1))-VLOOKUP($E115,$E$9:$AF$92,$P$7-$D$7,0)</f>
        <v>0</v>
      </c>
      <c r="Q115" s="647">
        <f>SUMIF('納品書明細16-E'!$B$9:$B$206,CONCATENATE(VLOOKUP(P$5,$G$1:$H$4,2,FALSE),$E115,1,1),'納品書明細16-E'!$Q$9:$Q$206)+SUMIF('納品書明細16-E'!$B$9:$B$206,CONCATENATE(VLOOKUP(P$5,$G$1:$H$4,2,FALSE),$E115,1,0),'納品書明細16-E'!$Q$9:$Q$206)-VLOOKUP($E115,$E$9:$AF$92,$Q$7-$D$7,0)</f>
        <v>0</v>
      </c>
      <c r="R115" s="345"/>
      <c r="S115" s="122"/>
      <c r="T115" s="128"/>
      <c r="U115" s="345"/>
      <c r="V115" s="638">
        <f>COUNTIF('納品書明細16-E'!$B$9:$B$206,CONCATENATE(VLOOKUP(P$5,$G$1:$H$4,2,FALSE),$E115,9,1))-VLOOKUP($E115,$E$9:$AF$92,$V$7-$D$7,0)</f>
        <v>0</v>
      </c>
      <c r="W115" s="650">
        <f>SUMIF('納品書明細16-E'!$B$9:$B$206,CONCATENATE(VLOOKUP(P$5,$G$1:$H$4,2,FALSE),$E115,9,1),'納品書明細16-E'!$Q$9:$Q$206)+SUMIF('納品書明細16-E'!$B$9:$B$206,CONCATENATE(VLOOKUP(P$5,$G$1:$H$4,2,FALSE),$E115,9,0),'納品書明細16-E'!$Q$9:$Q$206)-VLOOKUP($E115,$E$9:$AF$92,$W$7-$D$7,0)</f>
        <v>0</v>
      </c>
      <c r="X115" s="64"/>
      <c r="Y115" s="646">
        <f>COUNTIF('納品書明細16-E'!$B$9:$B$206,CONCATENATE(VLOOKUP(Y$5,$G$1:$H$4,2,FALSE),$E115,1,1))-VLOOKUP($E115,$E$9:$AF$92,$Y$7-$D$7,0)</f>
        <v>0</v>
      </c>
      <c r="Z115" s="647">
        <f>SUMIF('納品書明細16-E'!$B$9:$B$206,CONCATENATE(VLOOKUP(Y$5,$G$1:$H$4,2,FALSE),$E115,1,1),'納品書明細16-E'!$Q$9:$Q$206)+SUMIF('納品書明細16-E'!$B$9:$B$206,CONCATENATE(VLOOKUP(Y$5,$G$1:$H$4,2,FALSE),$E115,1,0),'納品書明細16-E'!$Q$9:$Q$206)-VLOOKUP($E115,$E$9:$AF$92,$Z$7-$D$7,0)</f>
        <v>0</v>
      </c>
      <c r="AA115" s="345"/>
      <c r="AB115" s="122"/>
      <c r="AC115" s="128"/>
      <c r="AD115" s="345"/>
      <c r="AE115" s="638">
        <f>COUNTIF('納品書明細16-E'!$B$9:$B$206,CONCATENATE(VLOOKUP(Y$5,$G$1:$H$4,2,FALSE),$E115,9,1))-VLOOKUP($E115,$E$9:$AF$92,$AE$7-$D$7,0)</f>
        <v>0</v>
      </c>
      <c r="AF115" s="650">
        <f>SUMIF('納品書明細16-E'!$B$9:$B$206,CONCATENATE(VLOOKUP(Y$5,$G$1:$H$4,2,FALSE),$E115,9,1),'納品書明細16-E'!$Q$9:$Q$206)+SUMIF('納品書明細16-E'!$B$9:$B$206,CONCATENATE(VLOOKUP(Y$5,$G$1:$H$4,2,FALSE),$E115,9,0),'納品書明細16-E'!$Q$9:$Q$206)-VLOOKUP($E115,$E$9:$AF$92,$AF$7-$D$7,0)</f>
        <v>0</v>
      </c>
    </row>
    <row r="116" spans="1:32">
      <c r="A116" s="475" t="str">
        <f>IF(SUMIFS($G116:$AF116,$G$8:$AF$8,"金額",$G116:$AF116,"&gt;0")-SUMIFS($G116:$AF116,$G$8:$AF$8,"金額",$G116:$AF116,"&lt;0")&lt;=0,"",MAX($A$92:$A115)+1)</f>
        <v/>
      </c>
      <c r="B116" s="795"/>
      <c r="C116" s="245" t="str">
        <f t="shared" si="3"/>
        <v>経費</v>
      </c>
      <c r="D116" s="245">
        <v>24</v>
      </c>
      <c r="E116" s="590" t="str">
        <f>IF($F116&lt;&gt;"",INDEX(ﾏｽﾀ!$D$8:$D$124,MATCH(INDEX(ﾏｽﾀ!$N$8:$N$124,MATCH($F116,ﾏｽﾀ!$O$8:$O$124,0)),ﾏｽﾀ!$B$8:$B$124,0))&amp;"","")</f>
        <v>61000</v>
      </c>
      <c r="F116" s="589" t="str">
        <f>ﾏｽﾀ!$R31&amp;""</f>
        <v>株式会社アスキー・メディアワークス</v>
      </c>
      <c r="G116" s="634">
        <f>COUNTIF('納品書明細16-E'!$B$9:$B$206,CONCATENATE(VLOOKUP(G$5,$G$1:$H$4,2,FALSE),$E116,1,1))-INDEX($G$9:$G$90,MATCH($E116,$E$9:$E$90,0))</f>
        <v>0</v>
      </c>
      <c r="H116" s="636">
        <f>SUMIF('納品書明細16-E'!$B$9:$B$206,CONCATENATE(VLOOKUP(G$5,$G$1:$H$4,2,FALSE),$E116,1,1),'納品書明細16-E'!$Q$9:$Q$206)+SUMIF('納品書明細16-E'!$B$9:$B$206,CONCATENATE(VLOOKUP(G$5,$G$1:$H$4,2,FALSE),$E116,1,0),'納品書明細16-E'!$Q$9:$Q$206)-INDEX($H$9:$H$90,MATCH($E116,$E$9:$E$90,0))</f>
        <v>0</v>
      </c>
      <c r="I116" s="345"/>
      <c r="J116" s="122"/>
      <c r="K116" s="359"/>
      <c r="L116" s="345"/>
      <c r="M116" s="628">
        <f>COUNTIF('納品書明細16-E'!$B$9:$B$206,CONCATENATE(VLOOKUP(G$5,$G$1:$H$4,2,FALSE),$E116,9,1))-INDEX($M$9:$M$90,MATCH($E116,$E$9:$E$90,0))</f>
        <v>0</v>
      </c>
      <c r="N116" s="642">
        <f>SUMIF('納品書明細16-E'!$B$9:$B$206,CONCATENATE(VLOOKUP(G$5,$G$1:$H$4,2,FALSE),$E116,9,1),'納品書明細16-E'!$Q$9:$Q$206)+SUMIF('納品書明細16-E'!$B$9:$B$206,CONCATENATE(VLOOKUP(G$5,$G$1:$H$4,2,FALSE),$E116,9,0),'納品書明細16-E'!$Q$9:$Q$206)-INDEX($N$9:$N$90,MATCH($E116,$E$9:$E$90,0))</f>
        <v>0</v>
      </c>
      <c r="O116" s="64"/>
      <c r="P116" s="646">
        <f>COUNTIF('納品書明細16-E'!$B$9:$B$206,CONCATENATE(VLOOKUP(P$5,$G$1:$H$4,2,FALSE),$E116,1,1))-VLOOKUP($E116,$E$9:$AF$92,$P$7-$D$7,0)</f>
        <v>0</v>
      </c>
      <c r="Q116" s="647">
        <f>SUMIF('納品書明細16-E'!$B$9:$B$206,CONCATENATE(VLOOKUP(P$5,$G$1:$H$4,2,FALSE),$E116,1,1),'納品書明細16-E'!$Q$9:$Q$206)+SUMIF('納品書明細16-E'!$B$9:$B$206,CONCATENATE(VLOOKUP(P$5,$G$1:$H$4,2,FALSE),$E116,1,0),'納品書明細16-E'!$Q$9:$Q$206)-VLOOKUP($E116,$E$9:$AF$92,$Q$7-$D$7,0)</f>
        <v>0</v>
      </c>
      <c r="R116" s="345"/>
      <c r="S116" s="122"/>
      <c r="T116" s="128"/>
      <c r="U116" s="345"/>
      <c r="V116" s="638">
        <f>COUNTIF('納品書明細16-E'!$B$9:$B$206,CONCATENATE(VLOOKUP(P$5,$G$1:$H$4,2,FALSE),$E116,9,1))-VLOOKUP($E116,$E$9:$AF$92,$V$7-$D$7,0)</f>
        <v>0</v>
      </c>
      <c r="W116" s="650">
        <f>SUMIF('納品書明細16-E'!$B$9:$B$206,CONCATENATE(VLOOKUP(P$5,$G$1:$H$4,2,FALSE),$E116,9,1),'納品書明細16-E'!$Q$9:$Q$206)+SUMIF('納品書明細16-E'!$B$9:$B$206,CONCATENATE(VLOOKUP(P$5,$G$1:$H$4,2,FALSE),$E116,9,0),'納品書明細16-E'!$Q$9:$Q$206)-VLOOKUP($E116,$E$9:$AF$92,$W$7-$D$7,0)</f>
        <v>0</v>
      </c>
      <c r="X116" s="64"/>
      <c r="Y116" s="646">
        <f>COUNTIF('納品書明細16-E'!$B$9:$B$206,CONCATENATE(VLOOKUP(Y$5,$G$1:$H$4,2,FALSE),$E116,1,1))-VLOOKUP($E116,$E$9:$AF$92,$Y$7-$D$7,0)</f>
        <v>0</v>
      </c>
      <c r="Z116" s="647">
        <f>SUMIF('納品書明細16-E'!$B$9:$B$206,CONCATENATE(VLOOKUP(Y$5,$G$1:$H$4,2,FALSE),$E116,1,1),'納品書明細16-E'!$Q$9:$Q$206)+SUMIF('納品書明細16-E'!$B$9:$B$206,CONCATENATE(VLOOKUP(Y$5,$G$1:$H$4,2,FALSE),$E116,1,0),'納品書明細16-E'!$Q$9:$Q$206)-VLOOKUP($E116,$E$9:$AF$92,$Z$7-$D$7,0)</f>
        <v>0</v>
      </c>
      <c r="AA116" s="345"/>
      <c r="AB116" s="122"/>
      <c r="AC116" s="128"/>
      <c r="AD116" s="345"/>
      <c r="AE116" s="638">
        <f>COUNTIF('納品書明細16-E'!$B$9:$B$206,CONCATENATE(VLOOKUP(Y$5,$G$1:$H$4,2,FALSE),$E116,9,1))-VLOOKUP($E116,$E$9:$AF$92,$AE$7-$D$7,0)</f>
        <v>0</v>
      </c>
      <c r="AF116" s="650">
        <f>SUMIF('納品書明細16-E'!$B$9:$B$206,CONCATENATE(VLOOKUP(Y$5,$G$1:$H$4,2,FALSE),$E116,9,1),'納品書明細16-E'!$Q$9:$Q$206)+SUMIF('納品書明細16-E'!$B$9:$B$206,CONCATENATE(VLOOKUP(Y$5,$G$1:$H$4,2,FALSE),$E116,9,0),'納品書明細16-E'!$Q$9:$Q$206)-VLOOKUP($E116,$E$9:$AF$92,$AF$7-$D$7,0)</f>
        <v>0</v>
      </c>
    </row>
    <row r="117" spans="1:32">
      <c r="A117" s="475" t="str">
        <f>IF(SUMIFS($G117:$AF117,$G$8:$AF$8,"金額",$G117:$AF117,"&gt;0")-SUMIFS($G117:$AF117,$G$8:$AF$8,"金額",$G117:$AF117,"&lt;0")&lt;=0,"",MAX($A$92:$A116)+1)</f>
        <v/>
      </c>
      <c r="B117" s="795"/>
      <c r="C117" s="245" t="str">
        <f t="shared" si="3"/>
        <v>経費</v>
      </c>
      <c r="D117" s="245">
        <v>25</v>
      </c>
      <c r="E117" s="590" t="str">
        <f>IF($F117&lt;&gt;"",INDEX(ﾏｽﾀ!$D$8:$D$124,MATCH(INDEX(ﾏｽﾀ!$N$8:$N$124,MATCH($F117,ﾏｽﾀ!$O$8:$O$124,0)),ﾏｽﾀ!$B$8:$B$124,0))&amp;"","")</f>
        <v>62000</v>
      </c>
      <c r="F117" s="589" t="str">
        <f>ﾏｽﾀ!$R32&amp;""</f>
        <v>サミー株式会社</v>
      </c>
      <c r="G117" s="634">
        <f>COUNTIF('納品書明細16-E'!$B$9:$B$206,CONCATENATE(VLOOKUP(G$5,$G$1:$H$4,2,FALSE),$E117,1,1))-INDEX($G$9:$G$90,MATCH($E117,$E$9:$E$90,0))</f>
        <v>0</v>
      </c>
      <c r="H117" s="636">
        <f>SUMIF('納品書明細16-E'!$B$9:$B$206,CONCATENATE(VLOOKUP(G$5,$G$1:$H$4,2,FALSE),$E117,1,1),'納品書明細16-E'!$Q$9:$Q$206)+SUMIF('納品書明細16-E'!$B$9:$B$206,CONCATENATE(VLOOKUP(G$5,$G$1:$H$4,2,FALSE),$E117,1,0),'納品書明細16-E'!$Q$9:$Q$206)-INDEX($H$9:$H$90,MATCH($E117,$E$9:$E$90,0))</f>
        <v>0</v>
      </c>
      <c r="I117" s="345"/>
      <c r="J117" s="122"/>
      <c r="K117" s="359"/>
      <c r="L117" s="345"/>
      <c r="M117" s="628">
        <f>COUNTIF('納品書明細16-E'!$B$9:$B$206,CONCATENATE(VLOOKUP(G$5,$G$1:$H$4,2,FALSE),$E117,9,1))-INDEX($M$9:$M$90,MATCH($E117,$E$9:$E$90,0))</f>
        <v>0</v>
      </c>
      <c r="N117" s="642">
        <f>SUMIF('納品書明細16-E'!$B$9:$B$206,CONCATENATE(VLOOKUP(G$5,$G$1:$H$4,2,FALSE),$E117,9,1),'納品書明細16-E'!$Q$9:$Q$206)+SUMIF('納品書明細16-E'!$B$9:$B$206,CONCATENATE(VLOOKUP(G$5,$G$1:$H$4,2,FALSE),$E117,9,0),'納品書明細16-E'!$Q$9:$Q$206)-INDEX($N$9:$N$90,MATCH($E117,$E$9:$E$90,0))</f>
        <v>0</v>
      </c>
      <c r="O117" s="64"/>
      <c r="P117" s="646">
        <f>COUNTIF('納品書明細16-E'!$B$9:$B$206,CONCATENATE(VLOOKUP(P$5,$G$1:$H$4,2,FALSE),$E117,1,1))-VLOOKUP($E117,$E$9:$AF$92,$P$7-$D$7,0)</f>
        <v>0</v>
      </c>
      <c r="Q117" s="647">
        <f>SUMIF('納品書明細16-E'!$B$9:$B$206,CONCATENATE(VLOOKUP(P$5,$G$1:$H$4,2,FALSE),$E117,1,1),'納品書明細16-E'!$Q$9:$Q$206)+SUMIF('納品書明細16-E'!$B$9:$B$206,CONCATENATE(VLOOKUP(P$5,$G$1:$H$4,2,FALSE),$E117,1,0),'納品書明細16-E'!$Q$9:$Q$206)-VLOOKUP($E117,$E$9:$AF$92,$Q$7-$D$7,0)</f>
        <v>0</v>
      </c>
      <c r="R117" s="345"/>
      <c r="S117" s="122"/>
      <c r="T117" s="128"/>
      <c r="U117" s="345"/>
      <c r="V117" s="638">
        <f>COUNTIF('納品書明細16-E'!$B$9:$B$206,CONCATENATE(VLOOKUP(P$5,$G$1:$H$4,2,FALSE),$E117,9,1))-VLOOKUP($E117,$E$9:$AF$92,$V$7-$D$7,0)</f>
        <v>0</v>
      </c>
      <c r="W117" s="650">
        <f>SUMIF('納品書明細16-E'!$B$9:$B$206,CONCATENATE(VLOOKUP(P$5,$G$1:$H$4,2,FALSE),$E117,9,1),'納品書明細16-E'!$Q$9:$Q$206)+SUMIF('納品書明細16-E'!$B$9:$B$206,CONCATENATE(VLOOKUP(P$5,$G$1:$H$4,2,FALSE),$E117,9,0),'納品書明細16-E'!$Q$9:$Q$206)-VLOOKUP($E117,$E$9:$AF$92,$W$7-$D$7,0)</f>
        <v>0</v>
      </c>
      <c r="X117" s="64"/>
      <c r="Y117" s="646">
        <f>COUNTIF('納品書明細16-E'!$B$9:$B$206,CONCATENATE(VLOOKUP(Y$5,$G$1:$H$4,2,FALSE),$E117,1,1))-VLOOKUP($E117,$E$9:$AF$92,$Y$7-$D$7,0)</f>
        <v>0</v>
      </c>
      <c r="Z117" s="647">
        <f>SUMIF('納品書明細16-E'!$B$9:$B$206,CONCATENATE(VLOOKUP(Y$5,$G$1:$H$4,2,FALSE),$E117,1,1),'納品書明細16-E'!$Q$9:$Q$206)+SUMIF('納品書明細16-E'!$B$9:$B$206,CONCATENATE(VLOOKUP(Y$5,$G$1:$H$4,2,FALSE),$E117,1,0),'納品書明細16-E'!$Q$9:$Q$206)-VLOOKUP($E117,$E$9:$AF$92,$Z$7-$D$7,0)</f>
        <v>0</v>
      </c>
      <c r="AA117" s="345"/>
      <c r="AB117" s="122"/>
      <c r="AC117" s="128"/>
      <c r="AD117" s="345"/>
      <c r="AE117" s="638">
        <f>COUNTIF('納品書明細16-E'!$B$9:$B$206,CONCATENATE(VLOOKUP(Y$5,$G$1:$H$4,2,FALSE),$E117,9,1))-VLOOKUP($E117,$E$9:$AF$92,$AE$7-$D$7,0)</f>
        <v>0</v>
      </c>
      <c r="AF117" s="650">
        <f>SUMIF('納品書明細16-E'!$B$9:$B$206,CONCATENATE(VLOOKUP(Y$5,$G$1:$H$4,2,FALSE),$E117,9,1),'納品書明細16-E'!$Q$9:$Q$206)+SUMIF('納品書明細16-E'!$B$9:$B$206,CONCATENATE(VLOOKUP(Y$5,$G$1:$H$4,2,FALSE),$E117,9,0),'納品書明細16-E'!$Q$9:$Q$206)-VLOOKUP($E117,$E$9:$AF$92,$AF$7-$D$7,0)</f>
        <v>0</v>
      </c>
    </row>
    <row r="118" spans="1:32">
      <c r="A118" s="475" t="str">
        <f>IF(SUMIFS($G118:$AF118,$G$8:$AF$8,"金額",$G118:$AF118,"&gt;0")-SUMIFS($G118:$AF118,$G$8:$AF$8,"金額",$G118:$AF118,"&lt;0")&lt;=0,"",MAX($A$92:$A117)+1)</f>
        <v/>
      </c>
      <c r="B118" s="795"/>
      <c r="C118" s="245" t="str">
        <f t="shared" si="3"/>
        <v>経費</v>
      </c>
      <c r="D118" s="245">
        <v>26</v>
      </c>
      <c r="E118" s="590" t="str">
        <f>IF($F118&lt;&gt;"",INDEX(ﾏｽﾀ!$D$8:$D$124,MATCH(INDEX(ﾏｽﾀ!$N$8:$N$124,MATCH($F118,ﾏｽﾀ!$O$8:$O$124,0)),ﾏｽﾀ!$B$8:$B$124,0))&amp;"","")</f>
        <v>63000</v>
      </c>
      <c r="F118" s="589" t="str">
        <f>ﾏｽﾀ!$R33&amp;""</f>
        <v>ボークス株式会社</v>
      </c>
      <c r="G118" s="634">
        <f>COUNTIF('納品書明細16-E'!$B$9:$B$206,CONCATENATE(VLOOKUP(G$5,$G$1:$H$4,2,FALSE),$E118,1,1))-INDEX($G$9:$G$90,MATCH($E118,$E$9:$E$90,0))</f>
        <v>0</v>
      </c>
      <c r="H118" s="636">
        <f>SUMIF('納品書明細16-E'!$B$9:$B$206,CONCATENATE(VLOOKUP(G$5,$G$1:$H$4,2,FALSE),$E118,1,1),'納品書明細16-E'!$Q$9:$Q$206)+SUMIF('納品書明細16-E'!$B$9:$B$206,CONCATENATE(VLOOKUP(G$5,$G$1:$H$4,2,FALSE),$E118,1,0),'納品書明細16-E'!$Q$9:$Q$206)-INDEX($H$9:$H$90,MATCH($E118,$E$9:$E$90,0))</f>
        <v>0</v>
      </c>
      <c r="I118" s="345"/>
      <c r="J118" s="122"/>
      <c r="K118" s="359"/>
      <c r="L118" s="345"/>
      <c r="M118" s="628">
        <f>COUNTIF('納品書明細16-E'!$B$9:$B$206,CONCATENATE(VLOOKUP(G$5,$G$1:$H$4,2,FALSE),$E118,9,1))-INDEX($M$9:$M$90,MATCH($E118,$E$9:$E$90,0))</f>
        <v>0</v>
      </c>
      <c r="N118" s="642">
        <f>SUMIF('納品書明細16-E'!$B$9:$B$206,CONCATENATE(VLOOKUP(G$5,$G$1:$H$4,2,FALSE),$E118,9,1),'納品書明細16-E'!$Q$9:$Q$206)+SUMIF('納品書明細16-E'!$B$9:$B$206,CONCATENATE(VLOOKUP(G$5,$G$1:$H$4,2,FALSE),$E118,9,0),'納品書明細16-E'!$Q$9:$Q$206)-INDEX($N$9:$N$90,MATCH($E118,$E$9:$E$90,0))</f>
        <v>0</v>
      </c>
      <c r="O118" s="64"/>
      <c r="P118" s="646">
        <f>COUNTIF('納品書明細16-E'!$B$9:$B$206,CONCATENATE(VLOOKUP(P$5,$G$1:$H$4,2,FALSE),$E118,1,1))-VLOOKUP($E118,$E$9:$AF$92,$P$7-$D$7,0)</f>
        <v>0</v>
      </c>
      <c r="Q118" s="647">
        <f>SUMIF('納品書明細16-E'!$B$9:$B$206,CONCATENATE(VLOOKUP(P$5,$G$1:$H$4,2,FALSE),$E118,1,1),'納品書明細16-E'!$Q$9:$Q$206)+SUMIF('納品書明細16-E'!$B$9:$B$206,CONCATENATE(VLOOKUP(P$5,$G$1:$H$4,2,FALSE),$E118,1,0),'納品書明細16-E'!$Q$9:$Q$206)-VLOOKUP($E118,$E$9:$AF$92,$Q$7-$D$7,0)</f>
        <v>0</v>
      </c>
      <c r="R118" s="345"/>
      <c r="S118" s="122"/>
      <c r="T118" s="128"/>
      <c r="U118" s="345"/>
      <c r="V118" s="638">
        <f>COUNTIF('納品書明細16-E'!$B$9:$B$206,CONCATENATE(VLOOKUP(P$5,$G$1:$H$4,2,FALSE),$E118,9,1))-VLOOKUP($E118,$E$9:$AF$92,$V$7-$D$7,0)</f>
        <v>0</v>
      </c>
      <c r="W118" s="650">
        <f>SUMIF('納品書明細16-E'!$B$9:$B$206,CONCATENATE(VLOOKUP(P$5,$G$1:$H$4,2,FALSE),$E118,9,1),'納品書明細16-E'!$Q$9:$Q$206)+SUMIF('納品書明細16-E'!$B$9:$B$206,CONCATENATE(VLOOKUP(P$5,$G$1:$H$4,2,FALSE),$E118,9,0),'納品書明細16-E'!$Q$9:$Q$206)-VLOOKUP($E118,$E$9:$AF$92,$W$7-$D$7,0)</f>
        <v>0</v>
      </c>
      <c r="X118" s="64"/>
      <c r="Y118" s="646">
        <f>COUNTIF('納品書明細16-E'!$B$9:$B$206,CONCATENATE(VLOOKUP(Y$5,$G$1:$H$4,2,FALSE),$E118,1,1))-VLOOKUP($E118,$E$9:$AF$92,$Y$7-$D$7,0)</f>
        <v>0</v>
      </c>
      <c r="Z118" s="647">
        <f>SUMIF('納品書明細16-E'!$B$9:$B$206,CONCATENATE(VLOOKUP(Y$5,$G$1:$H$4,2,FALSE),$E118,1,1),'納品書明細16-E'!$Q$9:$Q$206)+SUMIF('納品書明細16-E'!$B$9:$B$206,CONCATENATE(VLOOKUP(Y$5,$G$1:$H$4,2,FALSE),$E118,1,0),'納品書明細16-E'!$Q$9:$Q$206)-VLOOKUP($E118,$E$9:$AF$92,$Z$7-$D$7,0)</f>
        <v>0</v>
      </c>
      <c r="AA118" s="345"/>
      <c r="AB118" s="122"/>
      <c r="AC118" s="128"/>
      <c r="AD118" s="345"/>
      <c r="AE118" s="638">
        <f>COUNTIF('納品書明細16-E'!$B$9:$B$206,CONCATENATE(VLOOKUP(Y$5,$G$1:$H$4,2,FALSE),$E118,9,1))-VLOOKUP($E118,$E$9:$AF$92,$AE$7-$D$7,0)</f>
        <v>0</v>
      </c>
      <c r="AF118" s="650">
        <f>SUMIF('納品書明細16-E'!$B$9:$B$206,CONCATENATE(VLOOKUP(Y$5,$G$1:$H$4,2,FALSE),$E118,9,1),'納品書明細16-E'!$Q$9:$Q$206)+SUMIF('納品書明細16-E'!$B$9:$B$206,CONCATENATE(VLOOKUP(Y$5,$G$1:$H$4,2,FALSE),$E118,9,0),'納品書明細16-E'!$Q$9:$Q$206)-VLOOKUP($E118,$E$9:$AF$92,$AF$7-$D$7,0)</f>
        <v>0</v>
      </c>
    </row>
    <row r="119" spans="1:32">
      <c r="A119" s="475" t="str">
        <f>IF(SUMIFS($G119:$AF119,$G$8:$AF$8,"金額",$G119:$AF119,"&gt;0")-SUMIFS($G119:$AF119,$G$8:$AF$8,"金額",$G119:$AF119,"&lt;0")&lt;=0,"",MAX($A$92:$A118)+1)</f>
        <v/>
      </c>
      <c r="B119" s="795"/>
      <c r="C119" s="245" t="str">
        <f t="shared" si="3"/>
        <v>経費</v>
      </c>
      <c r="D119" s="245">
        <v>27</v>
      </c>
      <c r="E119" s="590" t="str">
        <f>IF($F119&lt;&gt;"",INDEX(ﾏｽﾀ!$D$8:$D$124,MATCH(INDEX(ﾏｽﾀ!$N$8:$N$124,MATCH($F119,ﾏｽﾀ!$O$8:$O$124,0)),ﾏｽﾀ!$B$8:$B$124,0))&amp;"","")</f>
        <v>64000</v>
      </c>
      <c r="F119" s="589" t="str">
        <f>ﾏｽﾀ!$R34&amp;""</f>
        <v>株式会社シービーエー</v>
      </c>
      <c r="G119" s="634">
        <f>COUNTIF('納品書明細16-E'!$B$9:$B$206,CONCATENATE(VLOOKUP(G$5,$G$1:$H$4,2,FALSE),$E119,1,1))-INDEX($G$9:$G$90,MATCH($E119,$E$9:$E$90,0))</f>
        <v>0</v>
      </c>
      <c r="H119" s="636">
        <f>SUMIF('納品書明細16-E'!$B$9:$B$206,CONCATENATE(VLOOKUP(G$5,$G$1:$H$4,2,FALSE),$E119,1,1),'納品書明細16-E'!$Q$9:$Q$206)+SUMIF('納品書明細16-E'!$B$9:$B$206,CONCATENATE(VLOOKUP(G$5,$G$1:$H$4,2,FALSE),$E119,1,0),'納品書明細16-E'!$Q$9:$Q$206)-INDEX($H$9:$H$90,MATCH($E119,$E$9:$E$90,0))</f>
        <v>0</v>
      </c>
      <c r="I119" s="345"/>
      <c r="J119" s="122"/>
      <c r="K119" s="359"/>
      <c r="L119" s="345"/>
      <c r="M119" s="628">
        <f>COUNTIF('納品書明細16-E'!$B$9:$B$206,CONCATENATE(VLOOKUP(G$5,$G$1:$H$4,2,FALSE),$E119,9,1))-INDEX($M$9:$M$90,MATCH($E119,$E$9:$E$90,0))</f>
        <v>0</v>
      </c>
      <c r="N119" s="642">
        <f>SUMIF('納品書明細16-E'!$B$9:$B$206,CONCATENATE(VLOOKUP(G$5,$G$1:$H$4,2,FALSE),$E119,9,1),'納品書明細16-E'!$Q$9:$Q$206)+SUMIF('納品書明細16-E'!$B$9:$B$206,CONCATENATE(VLOOKUP(G$5,$G$1:$H$4,2,FALSE),$E119,9,0),'納品書明細16-E'!$Q$9:$Q$206)-INDEX($N$9:$N$90,MATCH($E119,$E$9:$E$90,0))</f>
        <v>0</v>
      </c>
      <c r="O119" s="64"/>
      <c r="P119" s="646">
        <f>COUNTIF('納品書明細16-E'!$B$9:$B$206,CONCATENATE(VLOOKUP(P$5,$G$1:$H$4,2,FALSE),$E119,1,1))-VLOOKUP($E119,$E$9:$AF$92,$P$7-$D$7,0)</f>
        <v>0</v>
      </c>
      <c r="Q119" s="647">
        <f>SUMIF('納品書明細16-E'!$B$9:$B$206,CONCATENATE(VLOOKUP(P$5,$G$1:$H$4,2,FALSE),$E119,1,1),'納品書明細16-E'!$Q$9:$Q$206)+SUMIF('納品書明細16-E'!$B$9:$B$206,CONCATENATE(VLOOKUP(P$5,$G$1:$H$4,2,FALSE),$E119,1,0),'納品書明細16-E'!$Q$9:$Q$206)-VLOOKUP($E119,$E$9:$AF$92,$Q$7-$D$7,0)</f>
        <v>0</v>
      </c>
      <c r="R119" s="345"/>
      <c r="S119" s="122"/>
      <c r="T119" s="128"/>
      <c r="U119" s="345"/>
      <c r="V119" s="638">
        <f>COUNTIF('納品書明細16-E'!$B$9:$B$206,CONCATENATE(VLOOKUP(P$5,$G$1:$H$4,2,FALSE),$E119,9,1))-VLOOKUP($E119,$E$9:$AF$92,$V$7-$D$7,0)</f>
        <v>0</v>
      </c>
      <c r="W119" s="650">
        <f>SUMIF('納品書明細16-E'!$B$9:$B$206,CONCATENATE(VLOOKUP(P$5,$G$1:$H$4,2,FALSE),$E119,9,1),'納品書明細16-E'!$Q$9:$Q$206)+SUMIF('納品書明細16-E'!$B$9:$B$206,CONCATENATE(VLOOKUP(P$5,$G$1:$H$4,2,FALSE),$E119,9,0),'納品書明細16-E'!$Q$9:$Q$206)-VLOOKUP($E119,$E$9:$AF$92,$W$7-$D$7,0)</f>
        <v>0</v>
      </c>
      <c r="X119" s="64"/>
      <c r="Y119" s="646">
        <f>COUNTIF('納品書明細16-E'!$B$9:$B$206,CONCATENATE(VLOOKUP(Y$5,$G$1:$H$4,2,FALSE),$E119,1,1))-VLOOKUP($E119,$E$9:$AF$92,$Y$7-$D$7,0)</f>
        <v>0</v>
      </c>
      <c r="Z119" s="647">
        <f>SUMIF('納品書明細16-E'!$B$9:$B$206,CONCATENATE(VLOOKUP(Y$5,$G$1:$H$4,2,FALSE),$E119,1,1),'納品書明細16-E'!$Q$9:$Q$206)+SUMIF('納品書明細16-E'!$B$9:$B$206,CONCATENATE(VLOOKUP(Y$5,$G$1:$H$4,2,FALSE),$E119,1,0),'納品書明細16-E'!$Q$9:$Q$206)-VLOOKUP($E119,$E$9:$AF$92,$Z$7-$D$7,0)</f>
        <v>0</v>
      </c>
      <c r="AA119" s="345"/>
      <c r="AB119" s="122"/>
      <c r="AC119" s="128"/>
      <c r="AD119" s="345"/>
      <c r="AE119" s="638">
        <f>COUNTIF('納品書明細16-E'!$B$9:$B$206,CONCATENATE(VLOOKUP(Y$5,$G$1:$H$4,2,FALSE),$E119,9,1))-VLOOKUP($E119,$E$9:$AF$92,$AE$7-$D$7,0)</f>
        <v>0</v>
      </c>
      <c r="AF119" s="650">
        <f>SUMIF('納品書明細16-E'!$B$9:$B$206,CONCATENATE(VLOOKUP(Y$5,$G$1:$H$4,2,FALSE),$E119,9,1),'納品書明細16-E'!$Q$9:$Q$206)+SUMIF('納品書明細16-E'!$B$9:$B$206,CONCATENATE(VLOOKUP(Y$5,$G$1:$H$4,2,FALSE),$E119,9,0),'納品書明細16-E'!$Q$9:$Q$206)-VLOOKUP($E119,$E$9:$AF$92,$AF$7-$D$7,0)</f>
        <v>0</v>
      </c>
    </row>
    <row r="120" spans="1:32">
      <c r="A120" s="475" t="str">
        <f>IF(SUMIFS($G120:$AF120,$G$8:$AF$8,"金額",$G120:$AF120,"&gt;0")-SUMIFS($G120:$AF120,$G$8:$AF$8,"金額",$G120:$AF120,"&lt;0")&lt;=0,"",MAX($A$92:$A119)+1)</f>
        <v/>
      </c>
      <c r="B120" s="795"/>
      <c r="C120" s="245" t="str">
        <f t="shared" si="3"/>
        <v>経費</v>
      </c>
      <c r="D120" s="245">
        <v>28</v>
      </c>
      <c r="E120" s="590" t="str">
        <f>IF($F120&lt;&gt;"",INDEX(ﾏｽﾀ!$D$8:$D$124,MATCH(INDEX(ﾏｽﾀ!$N$8:$N$124,MATCH($F120,ﾏｽﾀ!$O$8:$O$124,0)),ﾏｽﾀ!$B$8:$B$124,0))&amp;"","")</f>
        <v>65000</v>
      </c>
      <c r="F120" s="589" t="str">
        <f>ﾏｽﾀ!$R35&amp;""</f>
        <v>石川玩具株式会社</v>
      </c>
      <c r="G120" s="634">
        <f>COUNTIF('納品書明細16-E'!$B$9:$B$206,CONCATENATE(VLOOKUP(G$5,$G$1:$H$4,2,FALSE),$E120,1,1))-INDEX($G$9:$G$90,MATCH($E120,$E$9:$E$90,0))</f>
        <v>0</v>
      </c>
      <c r="H120" s="636">
        <f>SUMIF('納品書明細16-E'!$B$9:$B$206,CONCATENATE(VLOOKUP(G$5,$G$1:$H$4,2,FALSE),$E120,1,1),'納品書明細16-E'!$Q$9:$Q$206)+SUMIF('納品書明細16-E'!$B$9:$B$206,CONCATENATE(VLOOKUP(G$5,$G$1:$H$4,2,FALSE),$E120,1,0),'納品書明細16-E'!$Q$9:$Q$206)-INDEX($H$9:$H$90,MATCH($E120,$E$9:$E$90,0))</f>
        <v>0</v>
      </c>
      <c r="I120" s="345"/>
      <c r="J120" s="122"/>
      <c r="K120" s="359"/>
      <c r="L120" s="345"/>
      <c r="M120" s="628">
        <f>COUNTIF('納品書明細16-E'!$B$9:$B$206,CONCATENATE(VLOOKUP(G$5,$G$1:$H$4,2,FALSE),$E120,9,1))-INDEX($M$9:$M$90,MATCH($E120,$E$9:$E$90,0))</f>
        <v>0</v>
      </c>
      <c r="N120" s="642">
        <f>SUMIF('納品書明細16-E'!$B$9:$B$206,CONCATENATE(VLOOKUP(G$5,$G$1:$H$4,2,FALSE),$E120,9,1),'納品書明細16-E'!$Q$9:$Q$206)+SUMIF('納品書明細16-E'!$B$9:$B$206,CONCATENATE(VLOOKUP(G$5,$G$1:$H$4,2,FALSE),$E120,9,0),'納品書明細16-E'!$Q$9:$Q$206)-INDEX($N$9:$N$90,MATCH($E120,$E$9:$E$90,0))</f>
        <v>0</v>
      </c>
      <c r="O120" s="64"/>
      <c r="P120" s="646">
        <f>COUNTIF('納品書明細16-E'!$B$9:$B$206,CONCATENATE(VLOOKUP(P$5,$G$1:$H$4,2,FALSE),$E120,1,1))-VLOOKUP($E120,$E$9:$AF$92,$P$7-$D$7,0)</f>
        <v>0</v>
      </c>
      <c r="Q120" s="647">
        <f>SUMIF('納品書明細16-E'!$B$9:$B$206,CONCATENATE(VLOOKUP(P$5,$G$1:$H$4,2,FALSE),$E120,1,1),'納品書明細16-E'!$Q$9:$Q$206)+SUMIF('納品書明細16-E'!$B$9:$B$206,CONCATENATE(VLOOKUP(P$5,$G$1:$H$4,2,FALSE),$E120,1,0),'納品書明細16-E'!$Q$9:$Q$206)-VLOOKUP($E120,$E$9:$AF$92,$Q$7-$D$7,0)</f>
        <v>0</v>
      </c>
      <c r="R120" s="345"/>
      <c r="S120" s="122"/>
      <c r="T120" s="128"/>
      <c r="U120" s="345"/>
      <c r="V120" s="638">
        <f>COUNTIF('納品書明細16-E'!$B$9:$B$206,CONCATENATE(VLOOKUP(P$5,$G$1:$H$4,2,FALSE),$E120,9,1))-VLOOKUP($E120,$E$9:$AF$92,$V$7-$D$7,0)</f>
        <v>0</v>
      </c>
      <c r="W120" s="650">
        <f>SUMIF('納品書明細16-E'!$B$9:$B$206,CONCATENATE(VLOOKUP(P$5,$G$1:$H$4,2,FALSE),$E120,9,1),'納品書明細16-E'!$Q$9:$Q$206)+SUMIF('納品書明細16-E'!$B$9:$B$206,CONCATENATE(VLOOKUP(P$5,$G$1:$H$4,2,FALSE),$E120,9,0),'納品書明細16-E'!$Q$9:$Q$206)-VLOOKUP($E120,$E$9:$AF$92,$W$7-$D$7,0)</f>
        <v>0</v>
      </c>
      <c r="X120" s="64"/>
      <c r="Y120" s="646">
        <f>COUNTIF('納品書明細16-E'!$B$9:$B$206,CONCATENATE(VLOOKUP(Y$5,$G$1:$H$4,2,FALSE),$E120,1,1))-VLOOKUP($E120,$E$9:$AF$92,$Y$7-$D$7,0)</f>
        <v>0</v>
      </c>
      <c r="Z120" s="647">
        <f>SUMIF('納品書明細16-E'!$B$9:$B$206,CONCATENATE(VLOOKUP(Y$5,$G$1:$H$4,2,FALSE),$E120,1,1),'納品書明細16-E'!$Q$9:$Q$206)+SUMIF('納品書明細16-E'!$B$9:$B$206,CONCATENATE(VLOOKUP(Y$5,$G$1:$H$4,2,FALSE),$E120,1,0),'納品書明細16-E'!$Q$9:$Q$206)-VLOOKUP($E120,$E$9:$AF$92,$Z$7-$D$7,0)</f>
        <v>0</v>
      </c>
      <c r="AA120" s="345"/>
      <c r="AB120" s="122"/>
      <c r="AC120" s="128"/>
      <c r="AD120" s="345"/>
      <c r="AE120" s="638">
        <f>COUNTIF('納品書明細16-E'!$B$9:$B$206,CONCATENATE(VLOOKUP(Y$5,$G$1:$H$4,2,FALSE),$E120,9,1))-VLOOKUP($E120,$E$9:$AF$92,$AE$7-$D$7,0)</f>
        <v>0</v>
      </c>
      <c r="AF120" s="650">
        <f>SUMIF('納品書明細16-E'!$B$9:$B$206,CONCATENATE(VLOOKUP(Y$5,$G$1:$H$4,2,FALSE),$E120,9,1),'納品書明細16-E'!$Q$9:$Q$206)+SUMIF('納品書明細16-E'!$B$9:$B$206,CONCATENATE(VLOOKUP(Y$5,$G$1:$H$4,2,FALSE),$E120,9,0),'納品書明細16-E'!$Q$9:$Q$206)-VLOOKUP($E120,$E$9:$AF$92,$AF$7-$D$7,0)</f>
        <v>0</v>
      </c>
    </row>
    <row r="121" spans="1:32">
      <c r="A121" s="475" t="str">
        <f>IF(SUMIFS($G121:$AF121,$G$8:$AF$8,"金額",$G121:$AF121,"&gt;0")-SUMIFS($G121:$AF121,$G$8:$AF$8,"金額",$G121:$AF121,"&lt;0")&lt;=0,"",MAX($A$92:$A120)+1)</f>
        <v/>
      </c>
      <c r="B121" s="795"/>
      <c r="C121" s="245" t="str">
        <f t="shared" si="3"/>
        <v>経費</v>
      </c>
      <c r="D121" s="245">
        <v>29</v>
      </c>
      <c r="E121" s="590" t="str">
        <f>IF($F121&lt;&gt;"",INDEX(ﾏｽﾀ!$D$8:$D$124,MATCH(INDEX(ﾏｽﾀ!$N$8:$N$124,MATCH($F121,ﾏｽﾀ!$O$8:$O$124,0)),ﾏｽﾀ!$B$8:$B$124,0))&amp;"","")</f>
        <v>66000</v>
      </c>
      <c r="F121" s="589" t="str">
        <f>ﾏｽﾀ!$R36&amp;""</f>
        <v>日本食材株式会社</v>
      </c>
      <c r="G121" s="634">
        <f>COUNTIF('納品書明細16-E'!$B$9:$B$206,CONCATENATE(VLOOKUP(G$5,$G$1:$H$4,2,FALSE),$E121,1,1))-INDEX($G$9:$G$90,MATCH($E121,$E$9:$E$90,0))</f>
        <v>0</v>
      </c>
      <c r="H121" s="636">
        <f>SUMIF('納品書明細16-E'!$B$9:$B$206,CONCATENATE(VLOOKUP(G$5,$G$1:$H$4,2,FALSE),$E121,1,1),'納品書明細16-E'!$Q$9:$Q$206)+SUMIF('納品書明細16-E'!$B$9:$B$206,CONCATENATE(VLOOKUP(G$5,$G$1:$H$4,2,FALSE),$E121,1,0),'納品書明細16-E'!$Q$9:$Q$206)-INDEX($H$9:$H$90,MATCH($E121,$E$9:$E$90,0))</f>
        <v>0</v>
      </c>
      <c r="I121" s="345"/>
      <c r="J121" s="122"/>
      <c r="K121" s="359"/>
      <c r="L121" s="345"/>
      <c r="M121" s="628">
        <f>COUNTIF('納品書明細16-E'!$B$9:$B$206,CONCATENATE(VLOOKUP(G$5,$G$1:$H$4,2,FALSE),$E121,9,1))-INDEX($M$9:$M$90,MATCH($E121,$E$9:$E$90,0))</f>
        <v>0</v>
      </c>
      <c r="N121" s="642">
        <f>SUMIF('納品書明細16-E'!$B$9:$B$206,CONCATENATE(VLOOKUP(G$5,$G$1:$H$4,2,FALSE),$E121,9,1),'納品書明細16-E'!$Q$9:$Q$206)+SUMIF('納品書明細16-E'!$B$9:$B$206,CONCATENATE(VLOOKUP(G$5,$G$1:$H$4,2,FALSE),$E121,9,0),'納品書明細16-E'!$Q$9:$Q$206)-INDEX($N$9:$N$90,MATCH($E121,$E$9:$E$90,0))</f>
        <v>0</v>
      </c>
      <c r="O121" s="64"/>
      <c r="P121" s="646">
        <f>COUNTIF('納品書明細16-E'!$B$9:$B$206,CONCATENATE(VLOOKUP(P$5,$G$1:$H$4,2,FALSE),$E121,1,1))-VLOOKUP($E121,$E$9:$AF$92,$P$7-$D$7,0)</f>
        <v>0</v>
      </c>
      <c r="Q121" s="647">
        <f>SUMIF('納品書明細16-E'!$B$9:$B$206,CONCATENATE(VLOOKUP(P$5,$G$1:$H$4,2,FALSE),$E121,1,1),'納品書明細16-E'!$Q$9:$Q$206)+SUMIF('納品書明細16-E'!$B$9:$B$206,CONCATENATE(VLOOKUP(P$5,$G$1:$H$4,2,FALSE),$E121,1,0),'納品書明細16-E'!$Q$9:$Q$206)-VLOOKUP($E121,$E$9:$AF$92,$Q$7-$D$7,0)</f>
        <v>0</v>
      </c>
      <c r="R121" s="345"/>
      <c r="S121" s="122"/>
      <c r="T121" s="128"/>
      <c r="U121" s="345"/>
      <c r="V121" s="638">
        <f>COUNTIF('納品書明細16-E'!$B$9:$B$206,CONCATENATE(VLOOKUP(P$5,$G$1:$H$4,2,FALSE),$E121,9,1))-VLOOKUP($E121,$E$9:$AF$92,$V$7-$D$7,0)</f>
        <v>0</v>
      </c>
      <c r="W121" s="650">
        <f>SUMIF('納品書明細16-E'!$B$9:$B$206,CONCATENATE(VLOOKUP(P$5,$G$1:$H$4,2,FALSE),$E121,9,1),'納品書明細16-E'!$Q$9:$Q$206)+SUMIF('納品書明細16-E'!$B$9:$B$206,CONCATENATE(VLOOKUP(P$5,$G$1:$H$4,2,FALSE),$E121,9,0),'納品書明細16-E'!$Q$9:$Q$206)-VLOOKUP($E121,$E$9:$AF$92,$W$7-$D$7,0)</f>
        <v>0</v>
      </c>
      <c r="X121" s="64"/>
      <c r="Y121" s="646">
        <f>COUNTIF('納品書明細16-E'!$B$9:$B$206,CONCATENATE(VLOOKUP(Y$5,$G$1:$H$4,2,FALSE),$E121,1,1))-VLOOKUP($E121,$E$9:$AF$92,$Y$7-$D$7,0)</f>
        <v>0</v>
      </c>
      <c r="Z121" s="647">
        <f>SUMIF('納品書明細16-E'!$B$9:$B$206,CONCATENATE(VLOOKUP(Y$5,$G$1:$H$4,2,FALSE),$E121,1,1),'納品書明細16-E'!$Q$9:$Q$206)+SUMIF('納品書明細16-E'!$B$9:$B$206,CONCATENATE(VLOOKUP(Y$5,$G$1:$H$4,2,FALSE),$E121,1,0),'納品書明細16-E'!$Q$9:$Q$206)-VLOOKUP($E121,$E$9:$AF$92,$Z$7-$D$7,0)</f>
        <v>0</v>
      </c>
      <c r="AA121" s="345"/>
      <c r="AB121" s="122"/>
      <c r="AC121" s="128"/>
      <c r="AD121" s="345"/>
      <c r="AE121" s="638">
        <f>COUNTIF('納品書明細16-E'!$B$9:$B$206,CONCATENATE(VLOOKUP(Y$5,$G$1:$H$4,2,FALSE),$E121,9,1))-VLOOKUP($E121,$E$9:$AF$92,$AE$7-$D$7,0)</f>
        <v>0</v>
      </c>
      <c r="AF121" s="650">
        <f>SUMIF('納品書明細16-E'!$B$9:$B$206,CONCATENATE(VLOOKUP(Y$5,$G$1:$H$4,2,FALSE),$E121,9,1),'納品書明細16-E'!$Q$9:$Q$206)+SUMIF('納品書明細16-E'!$B$9:$B$206,CONCATENATE(VLOOKUP(Y$5,$G$1:$H$4,2,FALSE),$E121,9,0),'納品書明細16-E'!$Q$9:$Q$206)-VLOOKUP($E121,$E$9:$AF$92,$AF$7-$D$7,0)</f>
        <v>0</v>
      </c>
    </row>
    <row r="122" spans="1:32">
      <c r="A122" s="475" t="str">
        <f>IF(SUMIFS($G122:$AF122,$G$8:$AF$8,"金額",$G122:$AF122,"&gt;0")-SUMIFS($G122:$AF122,$G$8:$AF$8,"金額",$G122:$AF122,"&lt;0")&lt;=0,"",MAX($A$92:$A121)+1)</f>
        <v/>
      </c>
      <c r="B122" s="795"/>
      <c r="C122" s="245" t="str">
        <f t="shared" si="3"/>
        <v>経費</v>
      </c>
      <c r="D122" s="245">
        <v>30</v>
      </c>
      <c r="E122" s="590" t="str">
        <f>IF($F122&lt;&gt;"",INDEX(ﾏｽﾀ!$D$8:$D$124,MATCH(INDEX(ﾏｽﾀ!$N$8:$N$124,MATCH($F122,ﾏｽﾀ!$O$8:$O$124,0)),ﾏｽﾀ!$B$8:$B$124,0))&amp;"","")</f>
        <v>67000</v>
      </c>
      <c r="F122" s="589" t="str">
        <f>ﾏｽﾀ!$R37&amp;""</f>
        <v>加藤製菓株式会社</v>
      </c>
      <c r="G122" s="634">
        <f>COUNTIF('納品書明細16-E'!$B$9:$B$206,CONCATENATE(VLOOKUP(G$5,$G$1:$H$4,2,FALSE),$E122,1,1))-INDEX($G$9:$G$90,MATCH($E122,$E$9:$E$90,0))</f>
        <v>0</v>
      </c>
      <c r="H122" s="636">
        <f>SUMIF('納品書明細16-E'!$B$9:$B$206,CONCATENATE(VLOOKUP(G$5,$G$1:$H$4,2,FALSE),$E122,1,1),'納品書明細16-E'!$Q$9:$Q$206)+SUMIF('納品書明細16-E'!$B$9:$B$206,CONCATENATE(VLOOKUP(G$5,$G$1:$H$4,2,FALSE),$E122,1,0),'納品書明細16-E'!$Q$9:$Q$206)-INDEX($H$9:$H$90,MATCH($E122,$E$9:$E$90,0))</f>
        <v>0</v>
      </c>
      <c r="I122" s="345"/>
      <c r="J122" s="122"/>
      <c r="K122" s="359"/>
      <c r="L122" s="345"/>
      <c r="M122" s="628">
        <f>COUNTIF('納品書明細16-E'!$B$9:$B$206,CONCATENATE(VLOOKUP(G$5,$G$1:$H$4,2,FALSE),$E122,9,1))-INDEX($M$9:$M$90,MATCH($E122,$E$9:$E$90,0))</f>
        <v>0</v>
      </c>
      <c r="N122" s="642">
        <f>SUMIF('納品書明細16-E'!$B$9:$B$206,CONCATENATE(VLOOKUP(G$5,$G$1:$H$4,2,FALSE),$E122,9,1),'納品書明細16-E'!$Q$9:$Q$206)+SUMIF('納品書明細16-E'!$B$9:$B$206,CONCATENATE(VLOOKUP(G$5,$G$1:$H$4,2,FALSE),$E122,9,0),'納品書明細16-E'!$Q$9:$Q$206)-INDEX($N$9:$N$90,MATCH($E122,$E$9:$E$90,0))</f>
        <v>0</v>
      </c>
      <c r="O122" s="64"/>
      <c r="P122" s="646">
        <f>COUNTIF('納品書明細16-E'!$B$9:$B$206,CONCATENATE(VLOOKUP(P$5,$G$1:$H$4,2,FALSE),$E122,1,1))-VLOOKUP($E122,$E$9:$AF$92,$P$7-$D$7,0)</f>
        <v>0</v>
      </c>
      <c r="Q122" s="647">
        <f>SUMIF('納品書明細16-E'!$B$9:$B$206,CONCATENATE(VLOOKUP(P$5,$G$1:$H$4,2,FALSE),$E122,1,1),'納品書明細16-E'!$Q$9:$Q$206)+SUMIF('納品書明細16-E'!$B$9:$B$206,CONCATENATE(VLOOKUP(P$5,$G$1:$H$4,2,FALSE),$E122,1,0),'納品書明細16-E'!$Q$9:$Q$206)-VLOOKUP($E122,$E$9:$AF$92,$Q$7-$D$7,0)</f>
        <v>0</v>
      </c>
      <c r="R122" s="345"/>
      <c r="S122" s="122"/>
      <c r="T122" s="128"/>
      <c r="U122" s="345"/>
      <c r="V122" s="638">
        <f>COUNTIF('納品書明細16-E'!$B$9:$B$206,CONCATENATE(VLOOKUP(P$5,$G$1:$H$4,2,FALSE),$E122,9,1))-VLOOKUP($E122,$E$9:$AF$92,$V$7-$D$7,0)</f>
        <v>0</v>
      </c>
      <c r="W122" s="650">
        <f>SUMIF('納品書明細16-E'!$B$9:$B$206,CONCATENATE(VLOOKUP(P$5,$G$1:$H$4,2,FALSE),$E122,9,1),'納品書明細16-E'!$Q$9:$Q$206)+SUMIF('納品書明細16-E'!$B$9:$B$206,CONCATENATE(VLOOKUP(P$5,$G$1:$H$4,2,FALSE),$E122,9,0),'納品書明細16-E'!$Q$9:$Q$206)-VLOOKUP($E122,$E$9:$AF$92,$W$7-$D$7,0)</f>
        <v>0</v>
      </c>
      <c r="X122" s="64"/>
      <c r="Y122" s="646">
        <f>COUNTIF('納品書明細16-E'!$B$9:$B$206,CONCATENATE(VLOOKUP(Y$5,$G$1:$H$4,2,FALSE),$E122,1,1))-VLOOKUP($E122,$E$9:$AF$92,$Y$7-$D$7,0)</f>
        <v>0</v>
      </c>
      <c r="Z122" s="647">
        <f>SUMIF('納品書明細16-E'!$B$9:$B$206,CONCATENATE(VLOOKUP(Y$5,$G$1:$H$4,2,FALSE),$E122,1,1),'納品書明細16-E'!$Q$9:$Q$206)+SUMIF('納品書明細16-E'!$B$9:$B$206,CONCATENATE(VLOOKUP(Y$5,$G$1:$H$4,2,FALSE),$E122,1,0),'納品書明細16-E'!$Q$9:$Q$206)-VLOOKUP($E122,$E$9:$AF$92,$Z$7-$D$7,0)</f>
        <v>0</v>
      </c>
      <c r="AA122" s="345"/>
      <c r="AB122" s="122"/>
      <c r="AC122" s="128"/>
      <c r="AD122" s="345"/>
      <c r="AE122" s="638">
        <f>COUNTIF('納品書明細16-E'!$B$9:$B$206,CONCATENATE(VLOOKUP(Y$5,$G$1:$H$4,2,FALSE),$E122,9,1))-VLOOKUP($E122,$E$9:$AF$92,$AE$7-$D$7,0)</f>
        <v>0</v>
      </c>
      <c r="AF122" s="650">
        <f>SUMIF('納品書明細16-E'!$B$9:$B$206,CONCATENATE(VLOOKUP(Y$5,$G$1:$H$4,2,FALSE),$E122,9,1),'納品書明細16-E'!$Q$9:$Q$206)+SUMIF('納品書明細16-E'!$B$9:$B$206,CONCATENATE(VLOOKUP(Y$5,$G$1:$H$4,2,FALSE),$E122,9,0),'納品書明細16-E'!$Q$9:$Q$206)-VLOOKUP($E122,$E$9:$AF$92,$AF$7-$D$7,0)</f>
        <v>0</v>
      </c>
    </row>
    <row r="123" spans="1:32">
      <c r="A123" s="475" t="str">
        <f>IF(SUMIFS($G123:$AF123,$G$8:$AF$8,"金額",$G123:$AF123,"&gt;0")-SUMIFS($G123:$AF123,$G$8:$AF$8,"金額",$G123:$AF123,"&lt;0")&lt;=0,"",MAX($A$92:$A122)+1)</f>
        <v/>
      </c>
      <c r="B123" s="795"/>
      <c r="C123" s="245" t="str">
        <f t="shared" si="3"/>
        <v>経費</v>
      </c>
      <c r="D123" s="245">
        <v>31</v>
      </c>
      <c r="E123" s="590" t="str">
        <f>IF($F123&lt;&gt;"",INDEX(ﾏｽﾀ!$D$8:$D$124,MATCH(INDEX(ﾏｽﾀ!$N$8:$N$124,MATCH($F123,ﾏｽﾀ!$O$8:$O$124,0)),ﾏｽﾀ!$B$8:$B$124,0))&amp;"","")</f>
        <v>68000</v>
      </c>
      <c r="F123" s="589" t="str">
        <f>ﾏｽﾀ!$R38&amp;""</f>
        <v>株式会社サンライズ</v>
      </c>
      <c r="G123" s="634">
        <f>COUNTIF('納品書明細16-E'!$B$9:$B$206,CONCATENATE(VLOOKUP(G$5,$G$1:$H$4,2,FALSE),$E123,1,1))-INDEX($G$9:$G$90,MATCH($E123,$E$9:$E$90,0))</f>
        <v>0</v>
      </c>
      <c r="H123" s="636">
        <f>SUMIF('納品書明細16-E'!$B$9:$B$206,CONCATENATE(VLOOKUP(G$5,$G$1:$H$4,2,FALSE),$E123,1,1),'納品書明細16-E'!$Q$9:$Q$206)+SUMIF('納品書明細16-E'!$B$9:$B$206,CONCATENATE(VLOOKUP(G$5,$G$1:$H$4,2,FALSE),$E123,1,0),'納品書明細16-E'!$Q$9:$Q$206)-INDEX($H$9:$H$90,MATCH($E123,$E$9:$E$90,0))</f>
        <v>0</v>
      </c>
      <c r="I123" s="345"/>
      <c r="J123" s="122"/>
      <c r="K123" s="359"/>
      <c r="L123" s="345"/>
      <c r="M123" s="628">
        <f>COUNTIF('納品書明細16-E'!$B$9:$B$206,CONCATENATE(VLOOKUP(G$5,$G$1:$H$4,2,FALSE),$E123,9,1))-INDEX($M$9:$M$90,MATCH($E123,$E$9:$E$90,0))</f>
        <v>0</v>
      </c>
      <c r="N123" s="642">
        <f>SUMIF('納品書明細16-E'!$B$9:$B$206,CONCATENATE(VLOOKUP(G$5,$G$1:$H$4,2,FALSE),$E123,9,1),'納品書明細16-E'!$Q$9:$Q$206)+SUMIF('納品書明細16-E'!$B$9:$B$206,CONCATENATE(VLOOKUP(G$5,$G$1:$H$4,2,FALSE),$E123,9,0),'納品書明細16-E'!$Q$9:$Q$206)-INDEX($N$9:$N$90,MATCH($E123,$E$9:$E$90,0))</f>
        <v>0</v>
      </c>
      <c r="O123" s="64"/>
      <c r="P123" s="646">
        <f>COUNTIF('納品書明細16-E'!$B$9:$B$206,CONCATENATE(VLOOKUP(P$5,$G$1:$H$4,2,FALSE),$E123,1,1))-VLOOKUP($E123,$E$9:$AF$92,$P$7-$D$7,0)</f>
        <v>0</v>
      </c>
      <c r="Q123" s="647">
        <f>SUMIF('納品書明細16-E'!$B$9:$B$206,CONCATENATE(VLOOKUP(P$5,$G$1:$H$4,2,FALSE),$E123,1,1),'納品書明細16-E'!$Q$9:$Q$206)+SUMIF('納品書明細16-E'!$B$9:$B$206,CONCATENATE(VLOOKUP(P$5,$G$1:$H$4,2,FALSE),$E123,1,0),'納品書明細16-E'!$Q$9:$Q$206)-VLOOKUP($E123,$E$9:$AF$92,$Q$7-$D$7,0)</f>
        <v>0</v>
      </c>
      <c r="R123" s="345"/>
      <c r="S123" s="122"/>
      <c r="T123" s="128"/>
      <c r="U123" s="345"/>
      <c r="V123" s="638">
        <f>COUNTIF('納品書明細16-E'!$B$9:$B$206,CONCATENATE(VLOOKUP(P$5,$G$1:$H$4,2,FALSE),$E123,9,1))-VLOOKUP($E123,$E$9:$AF$92,$V$7-$D$7,0)</f>
        <v>0</v>
      </c>
      <c r="W123" s="650">
        <f>SUMIF('納品書明細16-E'!$B$9:$B$206,CONCATENATE(VLOOKUP(P$5,$G$1:$H$4,2,FALSE),$E123,9,1),'納品書明細16-E'!$Q$9:$Q$206)+SUMIF('納品書明細16-E'!$B$9:$B$206,CONCATENATE(VLOOKUP(P$5,$G$1:$H$4,2,FALSE),$E123,9,0),'納品書明細16-E'!$Q$9:$Q$206)-VLOOKUP($E123,$E$9:$AF$92,$W$7-$D$7,0)</f>
        <v>0</v>
      </c>
      <c r="X123" s="64"/>
      <c r="Y123" s="646">
        <f>COUNTIF('納品書明細16-E'!$B$9:$B$206,CONCATENATE(VLOOKUP(Y$5,$G$1:$H$4,2,FALSE),$E123,1,1))-VLOOKUP($E123,$E$9:$AF$92,$Y$7-$D$7,0)</f>
        <v>0</v>
      </c>
      <c r="Z123" s="647">
        <f>SUMIF('納品書明細16-E'!$B$9:$B$206,CONCATENATE(VLOOKUP(Y$5,$G$1:$H$4,2,FALSE),$E123,1,1),'納品書明細16-E'!$Q$9:$Q$206)+SUMIF('納品書明細16-E'!$B$9:$B$206,CONCATENATE(VLOOKUP(Y$5,$G$1:$H$4,2,FALSE),$E123,1,0),'納品書明細16-E'!$Q$9:$Q$206)-VLOOKUP($E123,$E$9:$AF$92,$Z$7-$D$7,0)</f>
        <v>0</v>
      </c>
      <c r="AA123" s="345"/>
      <c r="AB123" s="122"/>
      <c r="AC123" s="128"/>
      <c r="AD123" s="345"/>
      <c r="AE123" s="638">
        <f>COUNTIF('納品書明細16-E'!$B$9:$B$206,CONCATENATE(VLOOKUP(Y$5,$G$1:$H$4,2,FALSE),$E123,9,1))-VLOOKUP($E123,$E$9:$AF$92,$AE$7-$D$7,0)</f>
        <v>0</v>
      </c>
      <c r="AF123" s="650">
        <f>SUMIF('納品書明細16-E'!$B$9:$B$206,CONCATENATE(VLOOKUP(Y$5,$G$1:$H$4,2,FALSE),$E123,9,1),'納品書明細16-E'!$Q$9:$Q$206)+SUMIF('納品書明細16-E'!$B$9:$B$206,CONCATENATE(VLOOKUP(Y$5,$G$1:$H$4,2,FALSE),$E123,9,0),'納品書明細16-E'!$Q$9:$Q$206)-VLOOKUP($E123,$E$9:$AF$92,$AF$7-$D$7,0)</f>
        <v>0</v>
      </c>
    </row>
    <row r="124" spans="1:32">
      <c r="A124" s="475" t="str">
        <f>IF(SUMIFS($G124:$AF124,$G$8:$AF$8,"金額",$G124:$AF124,"&gt;0")-SUMIFS($G124:$AF124,$G$8:$AF$8,"金額",$G124:$AF124,"&lt;0")&lt;=0,"",MAX($A$92:$A123)+1)</f>
        <v/>
      </c>
      <c r="B124" s="795"/>
      <c r="C124" s="245" t="str">
        <f t="shared" si="3"/>
        <v>経費</v>
      </c>
      <c r="D124" s="245">
        <v>32</v>
      </c>
      <c r="E124" s="590" t="str">
        <f>IF($F124&lt;&gt;"",INDEX(ﾏｽﾀ!$D$8:$D$124,MATCH(INDEX(ﾏｽﾀ!$N$8:$N$124,MATCH($F124,ﾏｽﾀ!$O$8:$O$124,0)),ﾏｽﾀ!$B$8:$B$124,0))&amp;"","")</f>
        <v>69000</v>
      </c>
      <c r="F124" s="589" t="str">
        <f>ﾏｽﾀ!$R39&amp;""</f>
        <v>株式会社ナムコ</v>
      </c>
      <c r="G124" s="634">
        <f>COUNTIF('納品書明細16-E'!$B$9:$B$206,CONCATENATE(VLOOKUP(G$5,$G$1:$H$4,2,FALSE),$E124,1,1))-INDEX($G$9:$G$90,MATCH($E124,$E$9:$E$90,0))</f>
        <v>0</v>
      </c>
      <c r="H124" s="636">
        <f>SUMIF('納品書明細16-E'!$B$9:$B$206,CONCATENATE(VLOOKUP(G$5,$G$1:$H$4,2,FALSE),$E124,1,1),'納品書明細16-E'!$Q$9:$Q$206)+SUMIF('納品書明細16-E'!$B$9:$B$206,CONCATENATE(VLOOKUP(G$5,$G$1:$H$4,2,FALSE),$E124,1,0),'納品書明細16-E'!$Q$9:$Q$206)-INDEX($H$9:$H$90,MATCH($E124,$E$9:$E$90,0))</f>
        <v>0</v>
      </c>
      <c r="I124" s="345"/>
      <c r="J124" s="122"/>
      <c r="K124" s="359"/>
      <c r="L124" s="345"/>
      <c r="M124" s="628">
        <f>COUNTIF('納品書明細16-E'!$B$9:$B$206,CONCATENATE(VLOOKUP(G$5,$G$1:$H$4,2,FALSE),$E124,9,1))-INDEX($M$9:$M$90,MATCH($E124,$E$9:$E$90,0))</f>
        <v>0</v>
      </c>
      <c r="N124" s="642">
        <f>SUMIF('納品書明細16-E'!$B$9:$B$206,CONCATENATE(VLOOKUP(G$5,$G$1:$H$4,2,FALSE),$E124,9,1),'納品書明細16-E'!$Q$9:$Q$206)+SUMIF('納品書明細16-E'!$B$9:$B$206,CONCATENATE(VLOOKUP(G$5,$G$1:$H$4,2,FALSE),$E124,9,0),'納品書明細16-E'!$Q$9:$Q$206)-INDEX($N$9:$N$90,MATCH($E124,$E$9:$E$90,0))</f>
        <v>0</v>
      </c>
      <c r="O124" s="64"/>
      <c r="P124" s="646">
        <f>COUNTIF('納品書明細16-E'!$B$9:$B$206,CONCATENATE(VLOOKUP(P$5,$G$1:$H$4,2,FALSE),$E124,1,1))-VLOOKUP($E124,$E$9:$AF$92,$P$7-$D$7,0)</f>
        <v>0</v>
      </c>
      <c r="Q124" s="647">
        <f>SUMIF('納品書明細16-E'!$B$9:$B$206,CONCATENATE(VLOOKUP(P$5,$G$1:$H$4,2,FALSE),$E124,1,1),'納品書明細16-E'!$Q$9:$Q$206)+SUMIF('納品書明細16-E'!$B$9:$B$206,CONCATENATE(VLOOKUP(P$5,$G$1:$H$4,2,FALSE),$E124,1,0),'納品書明細16-E'!$Q$9:$Q$206)-VLOOKUP($E124,$E$9:$AF$92,$Q$7-$D$7,0)</f>
        <v>0</v>
      </c>
      <c r="R124" s="345"/>
      <c r="S124" s="122"/>
      <c r="T124" s="128"/>
      <c r="U124" s="345"/>
      <c r="V124" s="638">
        <f>COUNTIF('納品書明細16-E'!$B$9:$B$206,CONCATENATE(VLOOKUP(P$5,$G$1:$H$4,2,FALSE),$E124,9,1))-VLOOKUP($E124,$E$9:$AF$92,$V$7-$D$7,0)</f>
        <v>0</v>
      </c>
      <c r="W124" s="650">
        <f>SUMIF('納品書明細16-E'!$B$9:$B$206,CONCATENATE(VLOOKUP(P$5,$G$1:$H$4,2,FALSE),$E124,9,1),'納品書明細16-E'!$Q$9:$Q$206)+SUMIF('納品書明細16-E'!$B$9:$B$206,CONCATENATE(VLOOKUP(P$5,$G$1:$H$4,2,FALSE),$E124,9,0),'納品書明細16-E'!$Q$9:$Q$206)-VLOOKUP($E124,$E$9:$AF$92,$W$7-$D$7,0)</f>
        <v>0</v>
      </c>
      <c r="X124" s="64"/>
      <c r="Y124" s="646">
        <f>COUNTIF('納品書明細16-E'!$B$9:$B$206,CONCATENATE(VLOOKUP(Y$5,$G$1:$H$4,2,FALSE),$E124,1,1))-VLOOKUP($E124,$E$9:$AF$92,$Y$7-$D$7,0)</f>
        <v>0</v>
      </c>
      <c r="Z124" s="647">
        <f>SUMIF('納品書明細16-E'!$B$9:$B$206,CONCATENATE(VLOOKUP(Y$5,$G$1:$H$4,2,FALSE),$E124,1,1),'納品書明細16-E'!$Q$9:$Q$206)+SUMIF('納品書明細16-E'!$B$9:$B$206,CONCATENATE(VLOOKUP(Y$5,$G$1:$H$4,2,FALSE),$E124,1,0),'納品書明細16-E'!$Q$9:$Q$206)-VLOOKUP($E124,$E$9:$AF$92,$Z$7-$D$7,0)</f>
        <v>0</v>
      </c>
      <c r="AA124" s="345"/>
      <c r="AB124" s="122"/>
      <c r="AC124" s="128"/>
      <c r="AD124" s="345"/>
      <c r="AE124" s="638">
        <f>COUNTIF('納品書明細16-E'!$B$9:$B$206,CONCATENATE(VLOOKUP(Y$5,$G$1:$H$4,2,FALSE),$E124,9,1))-VLOOKUP($E124,$E$9:$AF$92,$AE$7-$D$7,0)</f>
        <v>0</v>
      </c>
      <c r="AF124" s="650">
        <f>SUMIF('納品書明細16-E'!$B$9:$B$206,CONCATENATE(VLOOKUP(Y$5,$G$1:$H$4,2,FALSE),$E124,9,1),'納品書明細16-E'!$Q$9:$Q$206)+SUMIF('納品書明細16-E'!$B$9:$B$206,CONCATENATE(VLOOKUP(Y$5,$G$1:$H$4,2,FALSE),$E124,9,0),'納品書明細16-E'!$Q$9:$Q$206)-VLOOKUP($E124,$E$9:$AF$92,$AF$7-$D$7,0)</f>
        <v>0</v>
      </c>
    </row>
    <row r="125" spans="1:32">
      <c r="A125" s="475" t="str">
        <f>IF(SUMIFS($G125:$AF125,$G$8:$AF$8,"金額",$G125:$AF125,"&gt;0")-SUMIFS($G125:$AF125,$G$8:$AF$8,"金額",$G125:$AF125,"&lt;0")&lt;=0,"",MAX($A$92:$A124)+1)</f>
        <v/>
      </c>
      <c r="B125" s="795"/>
      <c r="C125" s="245" t="str">
        <f t="shared" ref="C125:C156" si="4">CONCATENATE("経費",$A125)</f>
        <v>経費</v>
      </c>
      <c r="D125" s="245">
        <v>33</v>
      </c>
      <c r="E125" s="590" t="str">
        <f>IF($F125&lt;&gt;"",INDEX(ﾏｽﾀ!$D$8:$D$124,MATCH(INDEX(ﾏｽﾀ!$N$8:$N$124,MATCH($F125,ﾏｽﾀ!$O$8:$O$124,0)),ﾏｽﾀ!$B$8:$B$124,0))&amp;"","")</f>
        <v>70000</v>
      </c>
      <c r="F125" s="589" t="str">
        <f>ﾏｽﾀ!$R40&amp;""</f>
        <v>株式会社ウィンウィンスタイル</v>
      </c>
      <c r="G125" s="634">
        <f>COUNTIF('納品書明細16-E'!$B$9:$B$206,CONCATENATE(VLOOKUP(G$5,$G$1:$H$4,2,FALSE),$E125,1,1))-INDEX($G$9:$G$90,MATCH($E125,$E$9:$E$90,0))</f>
        <v>0</v>
      </c>
      <c r="H125" s="636">
        <f>SUMIF('納品書明細16-E'!$B$9:$B$206,CONCATENATE(VLOOKUP(G$5,$G$1:$H$4,2,FALSE),$E125,1,1),'納品書明細16-E'!$Q$9:$Q$206)+SUMIF('納品書明細16-E'!$B$9:$B$206,CONCATENATE(VLOOKUP(G$5,$G$1:$H$4,2,FALSE),$E125,1,0),'納品書明細16-E'!$Q$9:$Q$206)-INDEX($H$9:$H$90,MATCH($E125,$E$9:$E$90,0))</f>
        <v>0</v>
      </c>
      <c r="I125" s="345"/>
      <c r="J125" s="122"/>
      <c r="K125" s="359"/>
      <c r="L125" s="345"/>
      <c r="M125" s="628">
        <f>COUNTIF('納品書明細16-E'!$B$9:$B$206,CONCATENATE(VLOOKUP(G$5,$G$1:$H$4,2,FALSE),$E125,9,1))-INDEX($M$9:$M$90,MATCH($E125,$E$9:$E$90,0))</f>
        <v>0</v>
      </c>
      <c r="N125" s="642">
        <f>SUMIF('納品書明細16-E'!$B$9:$B$206,CONCATENATE(VLOOKUP(G$5,$G$1:$H$4,2,FALSE),$E125,9,1),'納品書明細16-E'!$Q$9:$Q$206)+SUMIF('納品書明細16-E'!$B$9:$B$206,CONCATENATE(VLOOKUP(G$5,$G$1:$H$4,2,FALSE),$E125,9,0),'納品書明細16-E'!$Q$9:$Q$206)-INDEX($N$9:$N$90,MATCH($E125,$E$9:$E$90,0))</f>
        <v>0</v>
      </c>
      <c r="O125" s="64"/>
      <c r="P125" s="646">
        <f>COUNTIF('納品書明細16-E'!$B$9:$B$206,CONCATENATE(VLOOKUP(P$5,$G$1:$H$4,2,FALSE),$E125,1,1))-VLOOKUP($E125,$E$9:$AF$92,$P$7-$D$7,0)</f>
        <v>0</v>
      </c>
      <c r="Q125" s="647">
        <f>SUMIF('納品書明細16-E'!$B$9:$B$206,CONCATENATE(VLOOKUP(P$5,$G$1:$H$4,2,FALSE),$E125,1,1),'納品書明細16-E'!$Q$9:$Q$206)+SUMIF('納品書明細16-E'!$B$9:$B$206,CONCATENATE(VLOOKUP(P$5,$G$1:$H$4,2,FALSE),$E125,1,0),'納品書明細16-E'!$Q$9:$Q$206)-VLOOKUP($E125,$E$9:$AF$92,$Q$7-$D$7,0)</f>
        <v>0</v>
      </c>
      <c r="R125" s="345"/>
      <c r="S125" s="122"/>
      <c r="T125" s="128"/>
      <c r="U125" s="345"/>
      <c r="V125" s="638">
        <f>COUNTIF('納品書明細16-E'!$B$9:$B$206,CONCATENATE(VLOOKUP(P$5,$G$1:$H$4,2,FALSE),$E125,9,1))-VLOOKUP($E125,$E$9:$AF$92,$V$7-$D$7,0)</f>
        <v>0</v>
      </c>
      <c r="W125" s="650">
        <f>SUMIF('納品書明細16-E'!$B$9:$B$206,CONCATENATE(VLOOKUP(P$5,$G$1:$H$4,2,FALSE),$E125,9,1),'納品書明細16-E'!$Q$9:$Q$206)+SUMIF('納品書明細16-E'!$B$9:$B$206,CONCATENATE(VLOOKUP(P$5,$G$1:$H$4,2,FALSE),$E125,9,0),'納品書明細16-E'!$Q$9:$Q$206)-VLOOKUP($E125,$E$9:$AF$92,$W$7-$D$7,0)</f>
        <v>0</v>
      </c>
      <c r="X125" s="64"/>
      <c r="Y125" s="646">
        <f>COUNTIF('納品書明細16-E'!$B$9:$B$206,CONCATENATE(VLOOKUP(Y$5,$G$1:$H$4,2,FALSE),$E125,1,1))-VLOOKUP($E125,$E$9:$AF$92,$Y$7-$D$7,0)</f>
        <v>0</v>
      </c>
      <c r="Z125" s="647">
        <f>SUMIF('納品書明細16-E'!$B$9:$B$206,CONCATENATE(VLOOKUP(Y$5,$G$1:$H$4,2,FALSE),$E125,1,1),'納品書明細16-E'!$Q$9:$Q$206)+SUMIF('納品書明細16-E'!$B$9:$B$206,CONCATENATE(VLOOKUP(Y$5,$G$1:$H$4,2,FALSE),$E125,1,0),'納品書明細16-E'!$Q$9:$Q$206)-VLOOKUP($E125,$E$9:$AF$92,$Z$7-$D$7,0)</f>
        <v>0</v>
      </c>
      <c r="AA125" s="345"/>
      <c r="AB125" s="122"/>
      <c r="AC125" s="128"/>
      <c r="AD125" s="345"/>
      <c r="AE125" s="638">
        <f>COUNTIF('納品書明細16-E'!$B$9:$B$206,CONCATENATE(VLOOKUP(Y$5,$G$1:$H$4,2,FALSE),$E125,9,1))-VLOOKUP($E125,$E$9:$AF$92,$AE$7-$D$7,0)</f>
        <v>0</v>
      </c>
      <c r="AF125" s="650">
        <f>SUMIF('納品書明細16-E'!$B$9:$B$206,CONCATENATE(VLOOKUP(Y$5,$G$1:$H$4,2,FALSE),$E125,9,1),'納品書明細16-E'!$Q$9:$Q$206)+SUMIF('納品書明細16-E'!$B$9:$B$206,CONCATENATE(VLOOKUP(Y$5,$G$1:$H$4,2,FALSE),$E125,9,0),'納品書明細16-E'!$Q$9:$Q$206)-VLOOKUP($E125,$E$9:$AF$92,$AF$7-$D$7,0)</f>
        <v>0</v>
      </c>
    </row>
    <row r="126" spans="1:32">
      <c r="A126" s="475" t="str">
        <f>IF(SUMIFS($G126:$AF126,$G$8:$AF$8,"金額",$G126:$AF126,"&gt;0")-SUMIFS($G126:$AF126,$G$8:$AF$8,"金額",$G126:$AF126,"&lt;0")&lt;=0,"",MAX($A$92:$A125)+1)</f>
        <v/>
      </c>
      <c r="B126" s="795"/>
      <c r="C126" s="245" t="str">
        <f t="shared" si="4"/>
        <v>経費</v>
      </c>
      <c r="D126" s="245">
        <v>34</v>
      </c>
      <c r="E126" s="590" t="str">
        <f>IF($F126&lt;&gt;"",INDEX(ﾏｽﾀ!$D$8:$D$124,MATCH(INDEX(ﾏｽﾀ!$N$8:$N$124,MATCH($F126,ﾏｽﾀ!$O$8:$O$124,0)),ﾏｽﾀ!$B$8:$B$124,0))&amp;"","")</f>
        <v>71000</v>
      </c>
      <c r="F126" s="589" t="str">
        <f>ﾏｽﾀ!$R41&amp;""</f>
        <v>プラネックスコミュニケーションズ株式会社</v>
      </c>
      <c r="G126" s="634">
        <f>COUNTIF('納品書明細16-E'!$B$9:$B$206,CONCATENATE(VLOOKUP(G$5,$G$1:$H$4,2,FALSE),$E126,1,1))-INDEX($G$9:$G$90,MATCH($E126,$E$9:$E$90,0))</f>
        <v>0</v>
      </c>
      <c r="H126" s="636">
        <f>SUMIF('納品書明細16-E'!$B$9:$B$206,CONCATENATE(VLOOKUP(G$5,$G$1:$H$4,2,FALSE),$E126,1,1),'納品書明細16-E'!$Q$9:$Q$206)+SUMIF('納品書明細16-E'!$B$9:$B$206,CONCATENATE(VLOOKUP(G$5,$G$1:$H$4,2,FALSE),$E126,1,0),'納品書明細16-E'!$Q$9:$Q$206)-INDEX($H$9:$H$90,MATCH($E126,$E$9:$E$90,0))</f>
        <v>0</v>
      </c>
      <c r="I126" s="345"/>
      <c r="J126" s="122"/>
      <c r="K126" s="359"/>
      <c r="L126" s="345"/>
      <c r="M126" s="628">
        <f>COUNTIF('納品書明細16-E'!$B$9:$B$206,CONCATENATE(VLOOKUP(G$5,$G$1:$H$4,2,FALSE),$E126,9,1))-INDEX($M$9:$M$90,MATCH($E126,$E$9:$E$90,0))</f>
        <v>0</v>
      </c>
      <c r="N126" s="642">
        <f>SUMIF('納品書明細16-E'!$B$9:$B$206,CONCATENATE(VLOOKUP(G$5,$G$1:$H$4,2,FALSE),$E126,9,1),'納品書明細16-E'!$Q$9:$Q$206)+SUMIF('納品書明細16-E'!$B$9:$B$206,CONCATENATE(VLOOKUP(G$5,$G$1:$H$4,2,FALSE),$E126,9,0),'納品書明細16-E'!$Q$9:$Q$206)-INDEX($N$9:$N$90,MATCH($E126,$E$9:$E$90,0))</f>
        <v>0</v>
      </c>
      <c r="O126" s="64"/>
      <c r="P126" s="646">
        <f>COUNTIF('納品書明細16-E'!$B$9:$B$206,CONCATENATE(VLOOKUP(P$5,$G$1:$H$4,2,FALSE),$E126,1,1))-VLOOKUP($E126,$E$9:$AF$92,$P$7-$D$7,0)</f>
        <v>0</v>
      </c>
      <c r="Q126" s="647">
        <f>SUMIF('納品書明細16-E'!$B$9:$B$206,CONCATENATE(VLOOKUP(P$5,$G$1:$H$4,2,FALSE),$E126,1,1),'納品書明細16-E'!$Q$9:$Q$206)+SUMIF('納品書明細16-E'!$B$9:$B$206,CONCATENATE(VLOOKUP(P$5,$G$1:$H$4,2,FALSE),$E126,1,0),'納品書明細16-E'!$Q$9:$Q$206)-VLOOKUP($E126,$E$9:$AF$92,$Q$7-$D$7,0)</f>
        <v>0</v>
      </c>
      <c r="R126" s="345"/>
      <c r="S126" s="122"/>
      <c r="T126" s="128"/>
      <c r="U126" s="345"/>
      <c r="V126" s="638">
        <f>COUNTIF('納品書明細16-E'!$B$9:$B$206,CONCATENATE(VLOOKUP(P$5,$G$1:$H$4,2,FALSE),$E126,9,1))-VLOOKUP($E126,$E$9:$AF$92,$V$7-$D$7,0)</f>
        <v>0</v>
      </c>
      <c r="W126" s="650">
        <f>SUMIF('納品書明細16-E'!$B$9:$B$206,CONCATENATE(VLOOKUP(P$5,$G$1:$H$4,2,FALSE),$E126,9,1),'納品書明細16-E'!$Q$9:$Q$206)+SUMIF('納品書明細16-E'!$B$9:$B$206,CONCATENATE(VLOOKUP(P$5,$G$1:$H$4,2,FALSE),$E126,9,0),'納品書明細16-E'!$Q$9:$Q$206)-VLOOKUP($E126,$E$9:$AF$92,$W$7-$D$7,0)</f>
        <v>0</v>
      </c>
      <c r="X126" s="64"/>
      <c r="Y126" s="646">
        <f>COUNTIF('納品書明細16-E'!$B$9:$B$206,CONCATENATE(VLOOKUP(Y$5,$G$1:$H$4,2,FALSE),$E126,1,1))-VLOOKUP($E126,$E$9:$AF$92,$Y$7-$D$7,0)</f>
        <v>0</v>
      </c>
      <c r="Z126" s="647">
        <f>SUMIF('納品書明細16-E'!$B$9:$B$206,CONCATENATE(VLOOKUP(Y$5,$G$1:$H$4,2,FALSE),$E126,1,1),'納品書明細16-E'!$Q$9:$Q$206)+SUMIF('納品書明細16-E'!$B$9:$B$206,CONCATENATE(VLOOKUP(Y$5,$G$1:$H$4,2,FALSE),$E126,1,0),'納品書明細16-E'!$Q$9:$Q$206)-VLOOKUP($E126,$E$9:$AF$92,$Z$7-$D$7,0)</f>
        <v>0</v>
      </c>
      <c r="AA126" s="345"/>
      <c r="AB126" s="122"/>
      <c r="AC126" s="128"/>
      <c r="AD126" s="345"/>
      <c r="AE126" s="638">
        <f>COUNTIF('納品書明細16-E'!$B$9:$B$206,CONCATENATE(VLOOKUP(Y$5,$G$1:$H$4,2,FALSE),$E126,9,1))-VLOOKUP($E126,$E$9:$AF$92,$AE$7-$D$7,0)</f>
        <v>0</v>
      </c>
      <c r="AF126" s="650">
        <f>SUMIF('納品書明細16-E'!$B$9:$B$206,CONCATENATE(VLOOKUP(Y$5,$G$1:$H$4,2,FALSE),$E126,9,1),'納品書明細16-E'!$Q$9:$Q$206)+SUMIF('納品書明細16-E'!$B$9:$B$206,CONCATENATE(VLOOKUP(Y$5,$G$1:$H$4,2,FALSE),$E126,9,0),'納品書明細16-E'!$Q$9:$Q$206)-VLOOKUP($E126,$E$9:$AF$92,$AF$7-$D$7,0)</f>
        <v>0</v>
      </c>
    </row>
    <row r="127" spans="1:32">
      <c r="A127" s="475" t="str">
        <f>IF(SUMIFS($G127:$AF127,$G$8:$AF$8,"金額",$G127:$AF127,"&gt;0")-SUMIFS($G127:$AF127,$G$8:$AF$8,"金額",$G127:$AF127,"&lt;0")&lt;=0,"",MAX($A$92:$A126)+1)</f>
        <v/>
      </c>
      <c r="B127" s="795"/>
      <c r="C127" s="245" t="str">
        <f t="shared" si="4"/>
        <v>経費</v>
      </c>
      <c r="D127" s="245">
        <v>35</v>
      </c>
      <c r="E127" s="590" t="str">
        <f>IF($F127&lt;&gt;"",INDEX(ﾏｽﾀ!$D$8:$D$124,MATCH(INDEX(ﾏｽﾀ!$N$8:$N$124,MATCH($F127,ﾏｽﾀ!$O$8:$O$124,0)),ﾏｽﾀ!$B$8:$B$124,0))&amp;"","")</f>
        <v>72000</v>
      </c>
      <c r="F127" s="589" t="str">
        <f>ﾏｽﾀ!$R42&amp;""</f>
        <v>株式会社ダイワトーイ</v>
      </c>
      <c r="G127" s="634">
        <f>COUNTIF('納品書明細16-E'!$B$9:$B$206,CONCATENATE(VLOOKUP(G$5,$G$1:$H$4,2,FALSE),$E127,1,1))-INDEX($G$9:$G$90,MATCH($E127,$E$9:$E$90,0))</f>
        <v>0</v>
      </c>
      <c r="H127" s="636">
        <f>SUMIF('納品書明細16-E'!$B$9:$B$206,CONCATENATE(VLOOKUP(G$5,$G$1:$H$4,2,FALSE),$E127,1,1),'納品書明細16-E'!$Q$9:$Q$206)+SUMIF('納品書明細16-E'!$B$9:$B$206,CONCATENATE(VLOOKUP(G$5,$G$1:$H$4,2,FALSE),$E127,1,0),'納品書明細16-E'!$Q$9:$Q$206)-INDEX($H$9:$H$90,MATCH($E127,$E$9:$E$90,0))</f>
        <v>0</v>
      </c>
      <c r="I127" s="345"/>
      <c r="J127" s="122"/>
      <c r="K127" s="359"/>
      <c r="L127" s="345"/>
      <c r="M127" s="628">
        <f>COUNTIF('納品書明細16-E'!$B$9:$B$206,CONCATENATE(VLOOKUP(G$5,$G$1:$H$4,2,FALSE),$E127,9,1))-INDEX($M$9:$M$90,MATCH($E127,$E$9:$E$90,0))</f>
        <v>0</v>
      </c>
      <c r="N127" s="642">
        <f>SUMIF('納品書明細16-E'!$B$9:$B$206,CONCATENATE(VLOOKUP(G$5,$G$1:$H$4,2,FALSE),$E127,9,1),'納品書明細16-E'!$Q$9:$Q$206)+SUMIF('納品書明細16-E'!$B$9:$B$206,CONCATENATE(VLOOKUP(G$5,$G$1:$H$4,2,FALSE),$E127,9,0),'納品書明細16-E'!$Q$9:$Q$206)-INDEX($N$9:$N$90,MATCH($E127,$E$9:$E$90,0))</f>
        <v>0</v>
      </c>
      <c r="O127" s="64"/>
      <c r="P127" s="646">
        <f>COUNTIF('納品書明細16-E'!$B$9:$B$206,CONCATENATE(VLOOKUP(P$5,$G$1:$H$4,2,FALSE),$E127,1,1))-VLOOKUP($E127,$E$9:$AF$92,$P$7-$D$7,0)</f>
        <v>0</v>
      </c>
      <c r="Q127" s="647">
        <f>SUMIF('納品書明細16-E'!$B$9:$B$206,CONCATENATE(VLOOKUP(P$5,$G$1:$H$4,2,FALSE),$E127,1,1),'納品書明細16-E'!$Q$9:$Q$206)+SUMIF('納品書明細16-E'!$B$9:$B$206,CONCATENATE(VLOOKUP(P$5,$G$1:$H$4,2,FALSE),$E127,1,0),'納品書明細16-E'!$Q$9:$Q$206)-VLOOKUP($E127,$E$9:$AF$92,$Q$7-$D$7,0)</f>
        <v>0</v>
      </c>
      <c r="R127" s="345"/>
      <c r="S127" s="122"/>
      <c r="T127" s="128"/>
      <c r="U127" s="345"/>
      <c r="V127" s="638">
        <f>COUNTIF('納品書明細16-E'!$B$9:$B$206,CONCATENATE(VLOOKUP(P$5,$G$1:$H$4,2,FALSE),$E127,9,1))-VLOOKUP($E127,$E$9:$AF$92,$V$7-$D$7,0)</f>
        <v>0</v>
      </c>
      <c r="W127" s="650">
        <f>SUMIF('納品書明細16-E'!$B$9:$B$206,CONCATENATE(VLOOKUP(P$5,$G$1:$H$4,2,FALSE),$E127,9,1),'納品書明細16-E'!$Q$9:$Q$206)+SUMIF('納品書明細16-E'!$B$9:$B$206,CONCATENATE(VLOOKUP(P$5,$G$1:$H$4,2,FALSE),$E127,9,0),'納品書明細16-E'!$Q$9:$Q$206)-VLOOKUP($E127,$E$9:$AF$92,$W$7-$D$7,0)</f>
        <v>0</v>
      </c>
      <c r="X127" s="64"/>
      <c r="Y127" s="646">
        <f>COUNTIF('納品書明細16-E'!$B$9:$B$206,CONCATENATE(VLOOKUP(Y$5,$G$1:$H$4,2,FALSE),$E127,1,1))-VLOOKUP($E127,$E$9:$AF$92,$Y$7-$D$7,0)</f>
        <v>0</v>
      </c>
      <c r="Z127" s="647">
        <f>SUMIF('納品書明細16-E'!$B$9:$B$206,CONCATENATE(VLOOKUP(Y$5,$G$1:$H$4,2,FALSE),$E127,1,1),'納品書明細16-E'!$Q$9:$Q$206)+SUMIF('納品書明細16-E'!$B$9:$B$206,CONCATENATE(VLOOKUP(Y$5,$G$1:$H$4,2,FALSE),$E127,1,0),'納品書明細16-E'!$Q$9:$Q$206)-VLOOKUP($E127,$E$9:$AF$92,$Z$7-$D$7,0)</f>
        <v>0</v>
      </c>
      <c r="AA127" s="345"/>
      <c r="AB127" s="122"/>
      <c r="AC127" s="128"/>
      <c r="AD127" s="345"/>
      <c r="AE127" s="638">
        <f>COUNTIF('納品書明細16-E'!$B$9:$B$206,CONCATENATE(VLOOKUP(Y$5,$G$1:$H$4,2,FALSE),$E127,9,1))-VLOOKUP($E127,$E$9:$AF$92,$AE$7-$D$7,0)</f>
        <v>0</v>
      </c>
      <c r="AF127" s="650">
        <f>SUMIF('納品書明細16-E'!$B$9:$B$206,CONCATENATE(VLOOKUP(Y$5,$G$1:$H$4,2,FALSE),$E127,9,1),'納品書明細16-E'!$Q$9:$Q$206)+SUMIF('納品書明細16-E'!$B$9:$B$206,CONCATENATE(VLOOKUP(Y$5,$G$1:$H$4,2,FALSE),$E127,9,0),'納品書明細16-E'!$Q$9:$Q$206)-VLOOKUP($E127,$E$9:$AF$92,$AF$7-$D$7,0)</f>
        <v>0</v>
      </c>
    </row>
    <row r="128" spans="1:32">
      <c r="A128" s="475" t="str">
        <f>IF(SUMIFS($G128:$AF128,$G$8:$AF$8,"金額",$G128:$AF128,"&gt;0")-SUMIFS($G128:$AF128,$G$8:$AF$8,"金額",$G128:$AF128,"&lt;0")&lt;=0,"",MAX($A$92:$A127)+1)</f>
        <v/>
      </c>
      <c r="B128" s="795"/>
      <c r="C128" s="245" t="str">
        <f t="shared" si="4"/>
        <v>経費</v>
      </c>
      <c r="D128" s="245">
        <v>36</v>
      </c>
      <c r="E128" s="590" t="str">
        <f>IF($F128&lt;&gt;"",INDEX(ﾏｽﾀ!$D$8:$D$124,MATCH(INDEX(ﾏｽﾀ!$N$8:$N$124,MATCH($F128,ﾏｽﾀ!$O$8:$O$124,0)),ﾏｽﾀ!$B$8:$B$124,0))&amp;"","")</f>
        <v>73000</v>
      </c>
      <c r="F128" s="589" t="str">
        <f>ﾏｽﾀ!$R43&amp;""</f>
        <v>株式会社プレックス</v>
      </c>
      <c r="G128" s="634">
        <f>COUNTIF('納品書明細16-E'!$B$9:$B$206,CONCATENATE(VLOOKUP(G$5,$G$1:$H$4,2,FALSE),$E128,1,1))-INDEX($G$9:$G$90,MATCH($E128,$E$9:$E$90,0))</f>
        <v>0</v>
      </c>
      <c r="H128" s="636">
        <f>SUMIF('納品書明細16-E'!$B$9:$B$206,CONCATENATE(VLOOKUP(G$5,$G$1:$H$4,2,FALSE),$E128,1,1),'納品書明細16-E'!$Q$9:$Q$206)+SUMIF('納品書明細16-E'!$B$9:$B$206,CONCATENATE(VLOOKUP(G$5,$G$1:$H$4,2,FALSE),$E128,1,0),'納品書明細16-E'!$Q$9:$Q$206)-INDEX($H$9:$H$90,MATCH($E128,$E$9:$E$90,0))</f>
        <v>0</v>
      </c>
      <c r="I128" s="345"/>
      <c r="J128" s="122"/>
      <c r="K128" s="359"/>
      <c r="L128" s="345"/>
      <c r="M128" s="628">
        <f>COUNTIF('納品書明細16-E'!$B$9:$B$206,CONCATENATE(VLOOKUP(G$5,$G$1:$H$4,2,FALSE),$E128,9,1))-INDEX($M$9:$M$90,MATCH($E128,$E$9:$E$90,0))</f>
        <v>0</v>
      </c>
      <c r="N128" s="642">
        <f>SUMIF('納品書明細16-E'!$B$9:$B$206,CONCATENATE(VLOOKUP(G$5,$G$1:$H$4,2,FALSE),$E128,9,1),'納品書明細16-E'!$Q$9:$Q$206)+SUMIF('納品書明細16-E'!$B$9:$B$206,CONCATENATE(VLOOKUP(G$5,$G$1:$H$4,2,FALSE),$E128,9,0),'納品書明細16-E'!$Q$9:$Q$206)-INDEX($N$9:$N$90,MATCH($E128,$E$9:$E$90,0))</f>
        <v>0</v>
      </c>
      <c r="O128" s="64"/>
      <c r="P128" s="646">
        <f>COUNTIF('納品書明細16-E'!$B$9:$B$206,CONCATENATE(VLOOKUP(P$5,$G$1:$H$4,2,FALSE),$E128,1,1))-VLOOKUP($E128,$E$9:$AF$92,$P$7-$D$7,0)</f>
        <v>0</v>
      </c>
      <c r="Q128" s="647">
        <f>SUMIF('納品書明細16-E'!$B$9:$B$206,CONCATENATE(VLOOKUP(P$5,$G$1:$H$4,2,FALSE),$E128,1,1),'納品書明細16-E'!$Q$9:$Q$206)+SUMIF('納品書明細16-E'!$B$9:$B$206,CONCATENATE(VLOOKUP(P$5,$G$1:$H$4,2,FALSE),$E128,1,0),'納品書明細16-E'!$Q$9:$Q$206)-VLOOKUP($E128,$E$9:$AF$92,$Q$7-$D$7,0)</f>
        <v>0</v>
      </c>
      <c r="R128" s="345"/>
      <c r="S128" s="122"/>
      <c r="T128" s="128"/>
      <c r="U128" s="345"/>
      <c r="V128" s="638">
        <f>COUNTIF('納品書明細16-E'!$B$9:$B$206,CONCATENATE(VLOOKUP(P$5,$G$1:$H$4,2,FALSE),$E128,9,1))-VLOOKUP($E128,$E$9:$AF$92,$V$7-$D$7,0)</f>
        <v>0</v>
      </c>
      <c r="W128" s="650">
        <f>SUMIF('納品書明細16-E'!$B$9:$B$206,CONCATENATE(VLOOKUP(P$5,$G$1:$H$4,2,FALSE),$E128,9,1),'納品書明細16-E'!$Q$9:$Q$206)+SUMIF('納品書明細16-E'!$B$9:$B$206,CONCATENATE(VLOOKUP(P$5,$G$1:$H$4,2,FALSE),$E128,9,0),'納品書明細16-E'!$Q$9:$Q$206)-VLOOKUP($E128,$E$9:$AF$92,$W$7-$D$7,0)</f>
        <v>0</v>
      </c>
      <c r="X128" s="64"/>
      <c r="Y128" s="646">
        <f>COUNTIF('納品書明細16-E'!$B$9:$B$206,CONCATENATE(VLOOKUP(Y$5,$G$1:$H$4,2,FALSE),$E128,1,1))-VLOOKUP($E128,$E$9:$AF$92,$Y$7-$D$7,0)</f>
        <v>0</v>
      </c>
      <c r="Z128" s="647">
        <f>SUMIF('納品書明細16-E'!$B$9:$B$206,CONCATENATE(VLOOKUP(Y$5,$G$1:$H$4,2,FALSE),$E128,1,1),'納品書明細16-E'!$Q$9:$Q$206)+SUMIF('納品書明細16-E'!$B$9:$B$206,CONCATENATE(VLOOKUP(Y$5,$G$1:$H$4,2,FALSE),$E128,1,0),'納品書明細16-E'!$Q$9:$Q$206)-VLOOKUP($E128,$E$9:$AF$92,$Z$7-$D$7,0)</f>
        <v>0</v>
      </c>
      <c r="AA128" s="345"/>
      <c r="AB128" s="122"/>
      <c r="AC128" s="128"/>
      <c r="AD128" s="345"/>
      <c r="AE128" s="638">
        <f>COUNTIF('納品書明細16-E'!$B$9:$B$206,CONCATENATE(VLOOKUP(Y$5,$G$1:$H$4,2,FALSE),$E128,9,1))-VLOOKUP($E128,$E$9:$AF$92,$AE$7-$D$7,0)</f>
        <v>0</v>
      </c>
      <c r="AF128" s="650">
        <f>SUMIF('納品書明細16-E'!$B$9:$B$206,CONCATENATE(VLOOKUP(Y$5,$G$1:$H$4,2,FALSE),$E128,9,1),'納品書明細16-E'!$Q$9:$Q$206)+SUMIF('納品書明細16-E'!$B$9:$B$206,CONCATENATE(VLOOKUP(Y$5,$G$1:$H$4,2,FALSE),$E128,9,0),'納品書明細16-E'!$Q$9:$Q$206)-VLOOKUP($E128,$E$9:$AF$92,$AF$7-$D$7,0)</f>
        <v>0</v>
      </c>
    </row>
    <row r="129" spans="1:32">
      <c r="A129" s="475" t="str">
        <f>IF(SUMIFS($G129:$AF129,$G$8:$AF$8,"金額",$G129:$AF129,"&gt;0")-SUMIFS($G129:$AF129,$G$8:$AF$8,"金額",$G129:$AF129,"&lt;0")&lt;=0,"",MAX($A$92:$A128)+1)</f>
        <v/>
      </c>
      <c r="B129" s="795"/>
      <c r="C129" s="245" t="str">
        <f t="shared" si="4"/>
        <v>経費</v>
      </c>
      <c r="D129" s="245">
        <v>37</v>
      </c>
      <c r="E129" s="590" t="str">
        <f>IF($F129&lt;&gt;"",INDEX(ﾏｽﾀ!$D$8:$D$124,MATCH(INDEX(ﾏｽﾀ!$N$8:$N$124,MATCH($F129,ﾏｽﾀ!$O$8:$O$124,0)),ﾏｽﾀ!$B$8:$B$124,0))&amp;"","")</f>
        <v>74000</v>
      </c>
      <c r="F129" s="589" t="str">
        <f>ﾏｽﾀ!$R44&amp;""</f>
        <v>株式会社シーズ</v>
      </c>
      <c r="G129" s="634">
        <f>COUNTIF('納品書明細16-E'!$B$9:$B$206,CONCATENATE(VLOOKUP(G$5,$G$1:$H$4,2,FALSE),$E129,1,1))-INDEX($G$9:$G$90,MATCH($E129,$E$9:$E$90,0))</f>
        <v>0</v>
      </c>
      <c r="H129" s="636">
        <f>SUMIF('納品書明細16-E'!$B$9:$B$206,CONCATENATE(VLOOKUP(G$5,$G$1:$H$4,2,FALSE),$E129,1,1),'納品書明細16-E'!$Q$9:$Q$206)+SUMIF('納品書明細16-E'!$B$9:$B$206,CONCATENATE(VLOOKUP(G$5,$G$1:$H$4,2,FALSE),$E129,1,0),'納品書明細16-E'!$Q$9:$Q$206)-INDEX($H$9:$H$90,MATCH($E129,$E$9:$E$90,0))</f>
        <v>0</v>
      </c>
      <c r="I129" s="345"/>
      <c r="J129" s="122"/>
      <c r="K129" s="359"/>
      <c r="L129" s="345"/>
      <c r="M129" s="628">
        <f>COUNTIF('納品書明細16-E'!$B$9:$B$206,CONCATENATE(VLOOKUP(G$5,$G$1:$H$4,2,FALSE),$E129,9,1))-INDEX($M$9:$M$90,MATCH($E129,$E$9:$E$90,0))</f>
        <v>0</v>
      </c>
      <c r="N129" s="642">
        <f>SUMIF('納品書明細16-E'!$B$9:$B$206,CONCATENATE(VLOOKUP(G$5,$G$1:$H$4,2,FALSE),$E129,9,1),'納品書明細16-E'!$Q$9:$Q$206)+SUMIF('納品書明細16-E'!$B$9:$B$206,CONCATENATE(VLOOKUP(G$5,$G$1:$H$4,2,FALSE),$E129,9,0),'納品書明細16-E'!$Q$9:$Q$206)-INDEX($N$9:$N$90,MATCH($E129,$E$9:$E$90,0))</f>
        <v>0</v>
      </c>
      <c r="O129" s="64"/>
      <c r="P129" s="646">
        <f>COUNTIF('納品書明細16-E'!$B$9:$B$206,CONCATENATE(VLOOKUP(P$5,$G$1:$H$4,2,FALSE),$E129,1,1))-VLOOKUP($E129,$E$9:$AF$92,$P$7-$D$7,0)</f>
        <v>0</v>
      </c>
      <c r="Q129" s="647">
        <f>SUMIF('納品書明細16-E'!$B$9:$B$206,CONCATENATE(VLOOKUP(P$5,$G$1:$H$4,2,FALSE),$E129,1,1),'納品書明細16-E'!$Q$9:$Q$206)+SUMIF('納品書明細16-E'!$B$9:$B$206,CONCATENATE(VLOOKUP(P$5,$G$1:$H$4,2,FALSE),$E129,1,0),'納品書明細16-E'!$Q$9:$Q$206)-VLOOKUP($E129,$E$9:$AF$92,$Q$7-$D$7,0)</f>
        <v>0</v>
      </c>
      <c r="R129" s="345"/>
      <c r="S129" s="122"/>
      <c r="T129" s="128"/>
      <c r="U129" s="345"/>
      <c r="V129" s="638">
        <f>COUNTIF('納品書明細16-E'!$B$9:$B$206,CONCATENATE(VLOOKUP(P$5,$G$1:$H$4,2,FALSE),$E129,9,1))-VLOOKUP($E129,$E$9:$AF$92,$V$7-$D$7,0)</f>
        <v>0</v>
      </c>
      <c r="W129" s="650">
        <f>SUMIF('納品書明細16-E'!$B$9:$B$206,CONCATENATE(VLOOKUP(P$5,$G$1:$H$4,2,FALSE),$E129,9,1),'納品書明細16-E'!$Q$9:$Q$206)+SUMIF('納品書明細16-E'!$B$9:$B$206,CONCATENATE(VLOOKUP(P$5,$G$1:$H$4,2,FALSE),$E129,9,0),'納品書明細16-E'!$Q$9:$Q$206)-VLOOKUP($E129,$E$9:$AF$92,$W$7-$D$7,0)</f>
        <v>0</v>
      </c>
      <c r="X129" s="64"/>
      <c r="Y129" s="646">
        <f>COUNTIF('納品書明細16-E'!$B$9:$B$206,CONCATENATE(VLOOKUP(Y$5,$G$1:$H$4,2,FALSE),$E129,1,1))-VLOOKUP($E129,$E$9:$AF$92,$Y$7-$D$7,0)</f>
        <v>0</v>
      </c>
      <c r="Z129" s="647">
        <f>SUMIF('納品書明細16-E'!$B$9:$B$206,CONCATENATE(VLOOKUP(Y$5,$G$1:$H$4,2,FALSE),$E129,1,1),'納品書明細16-E'!$Q$9:$Q$206)+SUMIF('納品書明細16-E'!$B$9:$B$206,CONCATENATE(VLOOKUP(Y$5,$G$1:$H$4,2,FALSE),$E129,1,0),'納品書明細16-E'!$Q$9:$Q$206)-VLOOKUP($E129,$E$9:$AF$92,$Z$7-$D$7,0)</f>
        <v>0</v>
      </c>
      <c r="AA129" s="345"/>
      <c r="AB129" s="122"/>
      <c r="AC129" s="128"/>
      <c r="AD129" s="345"/>
      <c r="AE129" s="638">
        <f>COUNTIF('納品書明細16-E'!$B$9:$B$206,CONCATENATE(VLOOKUP(Y$5,$G$1:$H$4,2,FALSE),$E129,9,1))-VLOOKUP($E129,$E$9:$AF$92,$AE$7-$D$7,0)</f>
        <v>0</v>
      </c>
      <c r="AF129" s="650">
        <f>SUMIF('納品書明細16-E'!$B$9:$B$206,CONCATENATE(VLOOKUP(Y$5,$G$1:$H$4,2,FALSE),$E129,9,1),'納品書明細16-E'!$Q$9:$Q$206)+SUMIF('納品書明細16-E'!$B$9:$B$206,CONCATENATE(VLOOKUP(Y$5,$G$1:$H$4,2,FALSE),$E129,9,0),'納品書明細16-E'!$Q$9:$Q$206)-VLOOKUP($E129,$E$9:$AF$92,$AF$7-$D$7,0)</f>
        <v>0</v>
      </c>
    </row>
    <row r="130" spans="1:32">
      <c r="A130" s="475" t="str">
        <f>IF(SUMIFS($G130:$AF130,$G$8:$AF$8,"金額",$G130:$AF130,"&gt;0")-SUMIFS($G130:$AF130,$G$8:$AF$8,"金額",$G130:$AF130,"&lt;0")&lt;=0,"",MAX($A$92:$A129)+1)</f>
        <v/>
      </c>
      <c r="B130" s="795"/>
      <c r="C130" s="245" t="str">
        <f t="shared" si="4"/>
        <v>経費</v>
      </c>
      <c r="D130" s="245">
        <v>38</v>
      </c>
      <c r="E130" s="590" t="str">
        <f>IF($F130&lt;&gt;"",INDEX(ﾏｽﾀ!$D$8:$D$124,MATCH(INDEX(ﾏｽﾀ!$N$8:$N$124,MATCH($F130,ﾏｽﾀ!$O$8:$O$124,0)),ﾏｽﾀ!$B$8:$B$124,0))&amp;"","")</f>
        <v>75000</v>
      </c>
      <c r="F130" s="589" t="str">
        <f>ﾏｽﾀ!$R45&amp;""</f>
        <v>株式会社スカイ・ジェイ</v>
      </c>
      <c r="G130" s="634">
        <f>COUNTIF('納品書明細16-E'!$B$9:$B$206,CONCATENATE(VLOOKUP(G$5,$G$1:$H$4,2,FALSE),$E130,1,1))-INDEX($G$9:$G$90,MATCH($E130,$E$9:$E$90,0))</f>
        <v>0</v>
      </c>
      <c r="H130" s="636">
        <f>SUMIF('納品書明細16-E'!$B$9:$B$206,CONCATENATE(VLOOKUP(G$5,$G$1:$H$4,2,FALSE),$E130,1,1),'納品書明細16-E'!$Q$9:$Q$206)+SUMIF('納品書明細16-E'!$B$9:$B$206,CONCATENATE(VLOOKUP(G$5,$G$1:$H$4,2,FALSE),$E130,1,0),'納品書明細16-E'!$Q$9:$Q$206)-INDEX($H$9:$H$90,MATCH($E130,$E$9:$E$90,0))</f>
        <v>0</v>
      </c>
      <c r="I130" s="345"/>
      <c r="J130" s="122"/>
      <c r="K130" s="359"/>
      <c r="L130" s="345"/>
      <c r="M130" s="628">
        <f>COUNTIF('納品書明細16-E'!$B$9:$B$206,CONCATENATE(VLOOKUP(G$5,$G$1:$H$4,2,FALSE),$E130,9,1))-INDEX($M$9:$M$90,MATCH($E130,$E$9:$E$90,0))</f>
        <v>0</v>
      </c>
      <c r="N130" s="642">
        <f>SUMIF('納品書明細16-E'!$B$9:$B$206,CONCATENATE(VLOOKUP(G$5,$G$1:$H$4,2,FALSE),$E130,9,1),'納品書明細16-E'!$Q$9:$Q$206)+SUMIF('納品書明細16-E'!$B$9:$B$206,CONCATENATE(VLOOKUP(G$5,$G$1:$H$4,2,FALSE),$E130,9,0),'納品書明細16-E'!$Q$9:$Q$206)-INDEX($N$9:$N$90,MATCH($E130,$E$9:$E$90,0))</f>
        <v>0</v>
      </c>
      <c r="O130" s="64"/>
      <c r="P130" s="646">
        <f>COUNTIF('納品書明細16-E'!$B$9:$B$206,CONCATENATE(VLOOKUP(P$5,$G$1:$H$4,2,FALSE),$E130,1,1))-VLOOKUP($E130,$E$9:$AF$92,$P$7-$D$7,0)</f>
        <v>0</v>
      </c>
      <c r="Q130" s="647">
        <f>SUMIF('納品書明細16-E'!$B$9:$B$206,CONCATENATE(VLOOKUP(P$5,$G$1:$H$4,2,FALSE),$E130,1,1),'納品書明細16-E'!$Q$9:$Q$206)+SUMIF('納品書明細16-E'!$B$9:$B$206,CONCATENATE(VLOOKUP(P$5,$G$1:$H$4,2,FALSE),$E130,1,0),'納品書明細16-E'!$Q$9:$Q$206)-VLOOKUP($E130,$E$9:$AF$92,$Q$7-$D$7,0)</f>
        <v>0</v>
      </c>
      <c r="R130" s="345"/>
      <c r="S130" s="122"/>
      <c r="T130" s="128"/>
      <c r="U130" s="345"/>
      <c r="V130" s="638">
        <f>COUNTIF('納品書明細16-E'!$B$9:$B$206,CONCATENATE(VLOOKUP(P$5,$G$1:$H$4,2,FALSE),$E130,9,1))-VLOOKUP($E130,$E$9:$AF$92,$V$7-$D$7,0)</f>
        <v>0</v>
      </c>
      <c r="W130" s="650">
        <f>SUMIF('納品書明細16-E'!$B$9:$B$206,CONCATENATE(VLOOKUP(P$5,$G$1:$H$4,2,FALSE),$E130,9,1),'納品書明細16-E'!$Q$9:$Q$206)+SUMIF('納品書明細16-E'!$B$9:$B$206,CONCATENATE(VLOOKUP(P$5,$G$1:$H$4,2,FALSE),$E130,9,0),'納品書明細16-E'!$Q$9:$Q$206)-VLOOKUP($E130,$E$9:$AF$92,$W$7-$D$7,0)</f>
        <v>0</v>
      </c>
      <c r="X130" s="64"/>
      <c r="Y130" s="646">
        <f>COUNTIF('納品書明細16-E'!$B$9:$B$206,CONCATENATE(VLOOKUP(Y$5,$G$1:$H$4,2,FALSE),$E130,1,1))-VLOOKUP($E130,$E$9:$AF$92,$Y$7-$D$7,0)</f>
        <v>0</v>
      </c>
      <c r="Z130" s="647">
        <f>SUMIF('納品書明細16-E'!$B$9:$B$206,CONCATENATE(VLOOKUP(Y$5,$G$1:$H$4,2,FALSE),$E130,1,1),'納品書明細16-E'!$Q$9:$Q$206)+SUMIF('納品書明細16-E'!$B$9:$B$206,CONCATENATE(VLOOKUP(Y$5,$G$1:$H$4,2,FALSE),$E130,1,0),'納品書明細16-E'!$Q$9:$Q$206)-VLOOKUP($E130,$E$9:$AF$92,$Z$7-$D$7,0)</f>
        <v>0</v>
      </c>
      <c r="AA130" s="345"/>
      <c r="AB130" s="122"/>
      <c r="AC130" s="128"/>
      <c r="AD130" s="345"/>
      <c r="AE130" s="638">
        <f>COUNTIF('納品書明細16-E'!$B$9:$B$206,CONCATENATE(VLOOKUP(Y$5,$G$1:$H$4,2,FALSE),$E130,9,1))-VLOOKUP($E130,$E$9:$AF$92,$AE$7-$D$7,0)</f>
        <v>0</v>
      </c>
      <c r="AF130" s="650">
        <f>SUMIF('納品書明細16-E'!$B$9:$B$206,CONCATENATE(VLOOKUP(Y$5,$G$1:$H$4,2,FALSE),$E130,9,1),'納品書明細16-E'!$Q$9:$Q$206)+SUMIF('納品書明細16-E'!$B$9:$B$206,CONCATENATE(VLOOKUP(Y$5,$G$1:$H$4,2,FALSE),$E130,9,0),'納品書明細16-E'!$Q$9:$Q$206)-VLOOKUP($E130,$E$9:$AF$92,$AF$7-$D$7,0)</f>
        <v>0</v>
      </c>
    </row>
    <row r="131" spans="1:32">
      <c r="A131" s="475" t="str">
        <f>IF(SUMIFS($G131:$AF131,$G$8:$AF$8,"金額",$G131:$AF131,"&gt;0")-SUMIFS($G131:$AF131,$G$8:$AF$8,"金額",$G131:$AF131,"&lt;0")&lt;=0,"",MAX($A$92:$A130)+1)</f>
        <v/>
      </c>
      <c r="B131" s="795"/>
      <c r="C131" s="245" t="str">
        <f t="shared" si="4"/>
        <v>経費</v>
      </c>
      <c r="D131" s="245">
        <v>39</v>
      </c>
      <c r="E131" s="590" t="str">
        <f>IF($F131&lt;&gt;"",INDEX(ﾏｽﾀ!$D$8:$D$124,MATCH(INDEX(ﾏｽﾀ!$N$8:$N$124,MATCH($F131,ﾏｽﾀ!$O$8:$O$124,0)),ﾏｽﾀ!$B$8:$B$124,0))&amp;"","")</f>
        <v>76000</v>
      </c>
      <c r="F131" s="589" t="str">
        <f>ﾏｽﾀ!$R46&amp;""</f>
        <v>株式会社カプコン</v>
      </c>
      <c r="G131" s="634">
        <f>COUNTIF('納品書明細16-E'!$B$9:$B$206,CONCATENATE(VLOOKUP(G$5,$G$1:$H$4,2,FALSE),$E131,1,1))-INDEX($G$9:$G$90,MATCH($E131,$E$9:$E$90,0))</f>
        <v>0</v>
      </c>
      <c r="H131" s="636">
        <f>SUMIF('納品書明細16-E'!$B$9:$B$206,CONCATENATE(VLOOKUP(G$5,$G$1:$H$4,2,FALSE),$E131,1,1),'納品書明細16-E'!$Q$9:$Q$206)+SUMIF('納品書明細16-E'!$B$9:$B$206,CONCATENATE(VLOOKUP(G$5,$G$1:$H$4,2,FALSE),$E131,1,0),'納品書明細16-E'!$Q$9:$Q$206)-INDEX($H$9:$H$90,MATCH($E131,$E$9:$E$90,0))</f>
        <v>0</v>
      </c>
      <c r="I131" s="345"/>
      <c r="J131" s="122"/>
      <c r="K131" s="359"/>
      <c r="L131" s="345"/>
      <c r="M131" s="628">
        <f>COUNTIF('納品書明細16-E'!$B$9:$B$206,CONCATENATE(VLOOKUP(G$5,$G$1:$H$4,2,FALSE),$E131,9,1))-INDEX($M$9:$M$90,MATCH($E131,$E$9:$E$90,0))</f>
        <v>0</v>
      </c>
      <c r="N131" s="642">
        <f>SUMIF('納品書明細16-E'!$B$9:$B$206,CONCATENATE(VLOOKUP(G$5,$G$1:$H$4,2,FALSE),$E131,9,1),'納品書明細16-E'!$Q$9:$Q$206)+SUMIF('納品書明細16-E'!$B$9:$B$206,CONCATENATE(VLOOKUP(G$5,$G$1:$H$4,2,FALSE),$E131,9,0),'納品書明細16-E'!$Q$9:$Q$206)-INDEX($N$9:$N$90,MATCH($E131,$E$9:$E$90,0))</f>
        <v>0</v>
      </c>
      <c r="O131" s="64"/>
      <c r="P131" s="646">
        <f>COUNTIF('納品書明細16-E'!$B$9:$B$206,CONCATENATE(VLOOKUP(P$5,$G$1:$H$4,2,FALSE),$E131,1,1))-VLOOKUP($E131,$E$9:$AF$92,$P$7-$D$7,0)</f>
        <v>0</v>
      </c>
      <c r="Q131" s="647">
        <f>SUMIF('納品書明細16-E'!$B$9:$B$206,CONCATENATE(VLOOKUP(P$5,$G$1:$H$4,2,FALSE),$E131,1,1),'納品書明細16-E'!$Q$9:$Q$206)+SUMIF('納品書明細16-E'!$B$9:$B$206,CONCATENATE(VLOOKUP(P$5,$G$1:$H$4,2,FALSE),$E131,1,0),'納品書明細16-E'!$Q$9:$Q$206)-VLOOKUP($E131,$E$9:$AF$92,$Q$7-$D$7,0)</f>
        <v>0</v>
      </c>
      <c r="R131" s="345"/>
      <c r="S131" s="122"/>
      <c r="T131" s="128"/>
      <c r="U131" s="345"/>
      <c r="V131" s="638">
        <f>COUNTIF('納品書明細16-E'!$B$9:$B$206,CONCATENATE(VLOOKUP(P$5,$G$1:$H$4,2,FALSE),$E131,9,1))-VLOOKUP($E131,$E$9:$AF$92,$V$7-$D$7,0)</f>
        <v>0</v>
      </c>
      <c r="W131" s="650">
        <f>SUMIF('納品書明細16-E'!$B$9:$B$206,CONCATENATE(VLOOKUP(P$5,$G$1:$H$4,2,FALSE),$E131,9,1),'納品書明細16-E'!$Q$9:$Q$206)+SUMIF('納品書明細16-E'!$B$9:$B$206,CONCATENATE(VLOOKUP(P$5,$G$1:$H$4,2,FALSE),$E131,9,0),'納品書明細16-E'!$Q$9:$Q$206)-VLOOKUP($E131,$E$9:$AF$92,$W$7-$D$7,0)</f>
        <v>0</v>
      </c>
      <c r="X131" s="64"/>
      <c r="Y131" s="646">
        <f>COUNTIF('納品書明細16-E'!$B$9:$B$206,CONCATENATE(VLOOKUP(Y$5,$G$1:$H$4,2,FALSE),$E131,1,1))-VLOOKUP($E131,$E$9:$AF$92,$Y$7-$D$7,0)</f>
        <v>0</v>
      </c>
      <c r="Z131" s="647">
        <f>SUMIF('納品書明細16-E'!$B$9:$B$206,CONCATENATE(VLOOKUP(Y$5,$G$1:$H$4,2,FALSE),$E131,1,1),'納品書明細16-E'!$Q$9:$Q$206)+SUMIF('納品書明細16-E'!$B$9:$B$206,CONCATENATE(VLOOKUP(Y$5,$G$1:$H$4,2,FALSE),$E131,1,0),'納品書明細16-E'!$Q$9:$Q$206)-VLOOKUP($E131,$E$9:$AF$92,$Z$7-$D$7,0)</f>
        <v>0</v>
      </c>
      <c r="AA131" s="345"/>
      <c r="AB131" s="122"/>
      <c r="AC131" s="128"/>
      <c r="AD131" s="345"/>
      <c r="AE131" s="638">
        <f>COUNTIF('納品書明細16-E'!$B$9:$B$206,CONCATENATE(VLOOKUP(Y$5,$G$1:$H$4,2,FALSE),$E131,9,1))-VLOOKUP($E131,$E$9:$AF$92,$AE$7-$D$7,0)</f>
        <v>0</v>
      </c>
      <c r="AF131" s="650">
        <f>SUMIF('納品書明細16-E'!$B$9:$B$206,CONCATENATE(VLOOKUP(Y$5,$G$1:$H$4,2,FALSE),$E131,9,1),'納品書明細16-E'!$Q$9:$Q$206)+SUMIF('納品書明細16-E'!$B$9:$B$206,CONCATENATE(VLOOKUP(Y$5,$G$1:$H$4,2,FALSE),$E131,9,0),'納品書明細16-E'!$Q$9:$Q$206)-VLOOKUP($E131,$E$9:$AF$92,$AF$7-$D$7,0)</f>
        <v>0</v>
      </c>
    </row>
    <row r="132" spans="1:32">
      <c r="A132" s="475" t="str">
        <f>IF(SUMIFS($G132:$AF132,$G$8:$AF$8,"金額",$G132:$AF132,"&gt;0")-SUMIFS($G132:$AF132,$G$8:$AF$8,"金額",$G132:$AF132,"&lt;0")&lt;=0,"",MAX($A$92:$A131)+1)</f>
        <v/>
      </c>
      <c r="B132" s="795"/>
      <c r="C132" s="245" t="str">
        <f t="shared" si="4"/>
        <v>経費</v>
      </c>
      <c r="D132" s="245">
        <v>40</v>
      </c>
      <c r="E132" s="590" t="str">
        <f>IF($F132&lt;&gt;"",INDEX(ﾏｽﾀ!$D$8:$D$124,MATCH(INDEX(ﾏｽﾀ!$N$8:$N$124,MATCH($F132,ﾏｽﾀ!$O$8:$O$124,0)),ﾏｽﾀ!$B$8:$B$124,0))&amp;"","")</f>
        <v>77000</v>
      </c>
      <c r="F132" s="589" t="str">
        <f>ﾏｽﾀ!$R47&amp;""</f>
        <v>株式会社そごう・西武</v>
      </c>
      <c r="G132" s="634">
        <f>COUNTIF('納品書明細16-E'!$B$9:$B$206,CONCATENATE(VLOOKUP(G$5,$G$1:$H$4,2,FALSE),$E132,1,1))-INDEX($G$9:$G$90,MATCH($E132,$E$9:$E$90,0))</f>
        <v>0</v>
      </c>
      <c r="H132" s="636">
        <f>SUMIF('納品書明細16-E'!$B$9:$B$206,CONCATENATE(VLOOKUP(G$5,$G$1:$H$4,2,FALSE),$E132,1,1),'納品書明細16-E'!$Q$9:$Q$206)+SUMIF('納品書明細16-E'!$B$9:$B$206,CONCATENATE(VLOOKUP(G$5,$G$1:$H$4,2,FALSE),$E132,1,0),'納品書明細16-E'!$Q$9:$Q$206)-INDEX($H$9:$H$90,MATCH($E132,$E$9:$E$90,0))</f>
        <v>0</v>
      </c>
      <c r="I132" s="345"/>
      <c r="J132" s="122"/>
      <c r="K132" s="359"/>
      <c r="L132" s="345"/>
      <c r="M132" s="628">
        <f>COUNTIF('納品書明細16-E'!$B$9:$B$206,CONCATENATE(VLOOKUP(G$5,$G$1:$H$4,2,FALSE),$E132,9,1))-INDEX($M$9:$M$90,MATCH($E132,$E$9:$E$90,0))</f>
        <v>0</v>
      </c>
      <c r="N132" s="642">
        <f>SUMIF('納品書明細16-E'!$B$9:$B$206,CONCATENATE(VLOOKUP(G$5,$G$1:$H$4,2,FALSE),$E132,9,1),'納品書明細16-E'!$Q$9:$Q$206)+SUMIF('納品書明細16-E'!$B$9:$B$206,CONCATENATE(VLOOKUP(G$5,$G$1:$H$4,2,FALSE),$E132,9,0),'納品書明細16-E'!$Q$9:$Q$206)-INDEX($N$9:$N$90,MATCH($E132,$E$9:$E$90,0))</f>
        <v>0</v>
      </c>
      <c r="O132" s="64"/>
      <c r="P132" s="646">
        <f>COUNTIF('納品書明細16-E'!$B$9:$B$206,CONCATENATE(VLOOKUP(P$5,$G$1:$H$4,2,FALSE),$E132,1,1))-VLOOKUP($E132,$E$9:$AF$92,$P$7-$D$7,0)</f>
        <v>0</v>
      </c>
      <c r="Q132" s="647">
        <f>SUMIF('納品書明細16-E'!$B$9:$B$206,CONCATENATE(VLOOKUP(P$5,$G$1:$H$4,2,FALSE),$E132,1,1),'納品書明細16-E'!$Q$9:$Q$206)+SUMIF('納品書明細16-E'!$B$9:$B$206,CONCATENATE(VLOOKUP(P$5,$G$1:$H$4,2,FALSE),$E132,1,0),'納品書明細16-E'!$Q$9:$Q$206)-VLOOKUP($E132,$E$9:$AF$92,$Q$7-$D$7,0)</f>
        <v>0</v>
      </c>
      <c r="R132" s="345"/>
      <c r="S132" s="122"/>
      <c r="T132" s="128"/>
      <c r="U132" s="345"/>
      <c r="V132" s="638">
        <f>COUNTIF('納品書明細16-E'!$B$9:$B$206,CONCATENATE(VLOOKUP(P$5,$G$1:$H$4,2,FALSE),$E132,9,1))-VLOOKUP($E132,$E$9:$AF$92,$V$7-$D$7,0)</f>
        <v>0</v>
      </c>
      <c r="W132" s="650">
        <f>SUMIF('納品書明細16-E'!$B$9:$B$206,CONCATENATE(VLOOKUP(P$5,$G$1:$H$4,2,FALSE),$E132,9,1),'納品書明細16-E'!$Q$9:$Q$206)+SUMIF('納品書明細16-E'!$B$9:$B$206,CONCATENATE(VLOOKUP(P$5,$G$1:$H$4,2,FALSE),$E132,9,0),'納品書明細16-E'!$Q$9:$Q$206)-VLOOKUP($E132,$E$9:$AF$92,$W$7-$D$7,0)</f>
        <v>0</v>
      </c>
      <c r="X132" s="64"/>
      <c r="Y132" s="646">
        <f>COUNTIF('納品書明細16-E'!$B$9:$B$206,CONCATENATE(VLOOKUP(Y$5,$G$1:$H$4,2,FALSE),$E132,1,1))-VLOOKUP($E132,$E$9:$AF$92,$Y$7-$D$7,0)</f>
        <v>0</v>
      </c>
      <c r="Z132" s="647">
        <f>SUMIF('納品書明細16-E'!$B$9:$B$206,CONCATENATE(VLOOKUP(Y$5,$G$1:$H$4,2,FALSE),$E132,1,1),'納品書明細16-E'!$Q$9:$Q$206)+SUMIF('納品書明細16-E'!$B$9:$B$206,CONCATENATE(VLOOKUP(Y$5,$G$1:$H$4,2,FALSE),$E132,1,0),'納品書明細16-E'!$Q$9:$Q$206)-VLOOKUP($E132,$E$9:$AF$92,$Z$7-$D$7,0)</f>
        <v>0</v>
      </c>
      <c r="AA132" s="345"/>
      <c r="AB132" s="122"/>
      <c r="AC132" s="128"/>
      <c r="AD132" s="345"/>
      <c r="AE132" s="638">
        <f>COUNTIF('納品書明細16-E'!$B$9:$B$206,CONCATENATE(VLOOKUP(Y$5,$G$1:$H$4,2,FALSE),$E132,9,1))-VLOOKUP($E132,$E$9:$AF$92,$AE$7-$D$7,0)</f>
        <v>0</v>
      </c>
      <c r="AF132" s="650">
        <f>SUMIF('納品書明細16-E'!$B$9:$B$206,CONCATENATE(VLOOKUP(Y$5,$G$1:$H$4,2,FALSE),$E132,9,1),'納品書明細16-E'!$Q$9:$Q$206)+SUMIF('納品書明細16-E'!$B$9:$B$206,CONCATENATE(VLOOKUP(Y$5,$G$1:$H$4,2,FALSE),$E132,9,0),'納品書明細16-E'!$Q$9:$Q$206)-VLOOKUP($E132,$E$9:$AF$92,$AF$7-$D$7,0)</f>
        <v>0</v>
      </c>
    </row>
    <row r="133" spans="1:32">
      <c r="A133" s="475" t="str">
        <f>IF(SUMIFS($G133:$AF133,$G$8:$AF$8,"金額",$G133:$AF133,"&gt;0")-SUMIFS($G133:$AF133,$G$8:$AF$8,"金額",$G133:$AF133,"&lt;0")&lt;=0,"",MAX($A$92:$A132)+1)</f>
        <v/>
      </c>
      <c r="B133" s="795"/>
      <c r="C133" s="245" t="str">
        <f t="shared" si="4"/>
        <v>経費</v>
      </c>
      <c r="D133" s="245">
        <v>41</v>
      </c>
      <c r="E133" s="590" t="str">
        <f>IF($F133&lt;&gt;"",INDEX(ﾏｽﾀ!$D$8:$D$124,MATCH(INDEX(ﾏｽﾀ!$N$8:$N$124,MATCH($F133,ﾏｽﾀ!$O$8:$O$124,0)),ﾏｽﾀ!$B$8:$B$124,0))&amp;"","")</f>
        <v>78000</v>
      </c>
      <c r="F133" s="589" t="str">
        <f>ﾏｽﾀ!$R48&amp;""</f>
        <v>株式会社ティー・シー・ピー</v>
      </c>
      <c r="G133" s="634">
        <f>COUNTIF('納品書明細16-E'!$B$9:$B$206,CONCATENATE(VLOOKUP(G$5,$G$1:$H$4,2,FALSE),$E133,1,1))-INDEX($G$9:$G$90,MATCH($E133,$E$9:$E$90,0))</f>
        <v>0</v>
      </c>
      <c r="H133" s="636">
        <f>SUMIF('納品書明細16-E'!$B$9:$B$206,CONCATENATE(VLOOKUP(G$5,$G$1:$H$4,2,FALSE),$E133,1,1),'納品書明細16-E'!$Q$9:$Q$206)+SUMIF('納品書明細16-E'!$B$9:$B$206,CONCATENATE(VLOOKUP(G$5,$G$1:$H$4,2,FALSE),$E133,1,0),'納品書明細16-E'!$Q$9:$Q$206)-INDEX($H$9:$H$90,MATCH($E133,$E$9:$E$90,0))</f>
        <v>0</v>
      </c>
      <c r="I133" s="345"/>
      <c r="J133" s="122"/>
      <c r="K133" s="359"/>
      <c r="L133" s="345"/>
      <c r="M133" s="628">
        <f>COUNTIF('納品書明細16-E'!$B$9:$B$206,CONCATENATE(VLOOKUP(G$5,$G$1:$H$4,2,FALSE),$E133,9,1))-INDEX($M$9:$M$90,MATCH($E133,$E$9:$E$90,0))</f>
        <v>0</v>
      </c>
      <c r="N133" s="642">
        <f>SUMIF('納品書明細16-E'!$B$9:$B$206,CONCATENATE(VLOOKUP(G$5,$G$1:$H$4,2,FALSE),$E133,9,1),'納品書明細16-E'!$Q$9:$Q$206)+SUMIF('納品書明細16-E'!$B$9:$B$206,CONCATENATE(VLOOKUP(G$5,$G$1:$H$4,2,FALSE),$E133,9,0),'納品書明細16-E'!$Q$9:$Q$206)-INDEX($N$9:$N$90,MATCH($E133,$E$9:$E$90,0))</f>
        <v>0</v>
      </c>
      <c r="O133" s="64"/>
      <c r="P133" s="646">
        <f>COUNTIF('納品書明細16-E'!$B$9:$B$206,CONCATENATE(VLOOKUP(P$5,$G$1:$H$4,2,FALSE),$E133,1,1))-VLOOKUP($E133,$E$9:$AF$92,$P$7-$D$7,0)</f>
        <v>0</v>
      </c>
      <c r="Q133" s="647">
        <f>SUMIF('納品書明細16-E'!$B$9:$B$206,CONCATENATE(VLOOKUP(P$5,$G$1:$H$4,2,FALSE),$E133,1,1),'納品書明細16-E'!$Q$9:$Q$206)+SUMIF('納品書明細16-E'!$B$9:$B$206,CONCATENATE(VLOOKUP(P$5,$G$1:$H$4,2,FALSE),$E133,1,0),'納品書明細16-E'!$Q$9:$Q$206)-VLOOKUP($E133,$E$9:$AF$92,$Q$7-$D$7,0)</f>
        <v>0</v>
      </c>
      <c r="R133" s="345"/>
      <c r="S133" s="122"/>
      <c r="T133" s="128"/>
      <c r="U133" s="345"/>
      <c r="V133" s="638">
        <f>COUNTIF('納品書明細16-E'!$B$9:$B$206,CONCATENATE(VLOOKUP(P$5,$G$1:$H$4,2,FALSE),$E133,9,1))-VLOOKUP($E133,$E$9:$AF$92,$V$7-$D$7,0)</f>
        <v>0</v>
      </c>
      <c r="W133" s="650">
        <f>SUMIF('納品書明細16-E'!$B$9:$B$206,CONCATENATE(VLOOKUP(P$5,$G$1:$H$4,2,FALSE),$E133,9,1),'納品書明細16-E'!$Q$9:$Q$206)+SUMIF('納品書明細16-E'!$B$9:$B$206,CONCATENATE(VLOOKUP(P$5,$G$1:$H$4,2,FALSE),$E133,9,0),'納品書明細16-E'!$Q$9:$Q$206)-VLOOKUP($E133,$E$9:$AF$92,$W$7-$D$7,0)</f>
        <v>0</v>
      </c>
      <c r="X133" s="64"/>
      <c r="Y133" s="646">
        <f>COUNTIF('納品書明細16-E'!$B$9:$B$206,CONCATENATE(VLOOKUP(Y$5,$G$1:$H$4,2,FALSE),$E133,1,1))-VLOOKUP($E133,$E$9:$AF$92,$Y$7-$D$7,0)</f>
        <v>0</v>
      </c>
      <c r="Z133" s="647">
        <f>SUMIF('納品書明細16-E'!$B$9:$B$206,CONCATENATE(VLOOKUP(Y$5,$G$1:$H$4,2,FALSE),$E133,1,1),'納品書明細16-E'!$Q$9:$Q$206)+SUMIF('納品書明細16-E'!$B$9:$B$206,CONCATENATE(VLOOKUP(Y$5,$G$1:$H$4,2,FALSE),$E133,1,0),'納品書明細16-E'!$Q$9:$Q$206)-VLOOKUP($E133,$E$9:$AF$92,$Z$7-$D$7,0)</f>
        <v>0</v>
      </c>
      <c r="AA133" s="345"/>
      <c r="AB133" s="122"/>
      <c r="AC133" s="128"/>
      <c r="AD133" s="345"/>
      <c r="AE133" s="638">
        <f>COUNTIF('納品書明細16-E'!$B$9:$B$206,CONCATENATE(VLOOKUP(Y$5,$G$1:$H$4,2,FALSE),$E133,9,1))-VLOOKUP($E133,$E$9:$AF$92,$AE$7-$D$7,0)</f>
        <v>0</v>
      </c>
      <c r="AF133" s="650">
        <f>SUMIF('納品書明細16-E'!$B$9:$B$206,CONCATENATE(VLOOKUP(Y$5,$G$1:$H$4,2,FALSE),$E133,9,1),'納品書明細16-E'!$Q$9:$Q$206)+SUMIF('納品書明細16-E'!$B$9:$B$206,CONCATENATE(VLOOKUP(Y$5,$G$1:$H$4,2,FALSE),$E133,9,0),'納品書明細16-E'!$Q$9:$Q$206)-VLOOKUP($E133,$E$9:$AF$92,$AF$7-$D$7,0)</f>
        <v>0</v>
      </c>
    </row>
    <row r="134" spans="1:32">
      <c r="A134" s="475" t="str">
        <f>IF(SUMIFS($G134:$AF134,$G$8:$AF$8,"金額",$G134:$AF134,"&gt;0")-SUMIFS($G134:$AF134,$G$8:$AF$8,"金額",$G134:$AF134,"&lt;0")&lt;=0,"",MAX($A$92:$A133)+1)</f>
        <v/>
      </c>
      <c r="B134" s="795"/>
      <c r="C134" s="245" t="str">
        <f t="shared" si="4"/>
        <v>経費</v>
      </c>
      <c r="D134" s="245">
        <v>42</v>
      </c>
      <c r="E134" s="590" t="str">
        <f>IF($F134&lt;&gt;"",INDEX(ﾏｽﾀ!$D$8:$D$124,MATCH(INDEX(ﾏｽﾀ!$N$8:$N$124,MATCH($F134,ﾏｽﾀ!$O$8:$O$124,0)),ﾏｽﾀ!$B$8:$B$124,0))&amp;"","")</f>
        <v>79000</v>
      </c>
      <c r="F134" s="589" t="str">
        <f>ﾏｽﾀ!$R49&amp;""</f>
        <v>総合商研株式会社</v>
      </c>
      <c r="G134" s="634">
        <f>COUNTIF('納品書明細16-E'!$B$9:$B$206,CONCATENATE(VLOOKUP(G$5,$G$1:$H$4,2,FALSE),$E134,1,1))-INDEX($G$9:$G$90,MATCH($E134,$E$9:$E$90,0))</f>
        <v>0</v>
      </c>
      <c r="H134" s="636">
        <f>SUMIF('納品書明細16-E'!$B$9:$B$206,CONCATENATE(VLOOKUP(G$5,$G$1:$H$4,2,FALSE),$E134,1,1),'納品書明細16-E'!$Q$9:$Q$206)+SUMIF('納品書明細16-E'!$B$9:$B$206,CONCATENATE(VLOOKUP(G$5,$G$1:$H$4,2,FALSE),$E134,1,0),'納品書明細16-E'!$Q$9:$Q$206)-INDEX($H$9:$H$90,MATCH($E134,$E$9:$E$90,0))</f>
        <v>0</v>
      </c>
      <c r="I134" s="345"/>
      <c r="J134" s="122"/>
      <c r="K134" s="359"/>
      <c r="L134" s="345"/>
      <c r="M134" s="628">
        <f>COUNTIF('納品書明細16-E'!$B$9:$B$206,CONCATENATE(VLOOKUP(G$5,$G$1:$H$4,2,FALSE),$E134,9,1))-INDEX($M$9:$M$90,MATCH($E134,$E$9:$E$90,0))</f>
        <v>0</v>
      </c>
      <c r="N134" s="642">
        <f>SUMIF('納品書明細16-E'!$B$9:$B$206,CONCATENATE(VLOOKUP(G$5,$G$1:$H$4,2,FALSE),$E134,9,1),'納品書明細16-E'!$Q$9:$Q$206)+SUMIF('納品書明細16-E'!$B$9:$B$206,CONCATENATE(VLOOKUP(G$5,$G$1:$H$4,2,FALSE),$E134,9,0),'納品書明細16-E'!$Q$9:$Q$206)-INDEX($N$9:$N$90,MATCH($E134,$E$9:$E$90,0))</f>
        <v>0</v>
      </c>
      <c r="O134" s="64"/>
      <c r="P134" s="646">
        <f>COUNTIF('納品書明細16-E'!$B$9:$B$206,CONCATENATE(VLOOKUP(P$5,$G$1:$H$4,2,FALSE),$E134,1,1))-VLOOKUP($E134,$E$9:$AF$92,$P$7-$D$7,0)</f>
        <v>0</v>
      </c>
      <c r="Q134" s="647">
        <f>SUMIF('納品書明細16-E'!$B$9:$B$206,CONCATENATE(VLOOKUP(P$5,$G$1:$H$4,2,FALSE),$E134,1,1),'納品書明細16-E'!$Q$9:$Q$206)+SUMIF('納品書明細16-E'!$B$9:$B$206,CONCATENATE(VLOOKUP(P$5,$G$1:$H$4,2,FALSE),$E134,1,0),'納品書明細16-E'!$Q$9:$Q$206)-VLOOKUP($E134,$E$9:$AF$92,$Q$7-$D$7,0)</f>
        <v>0</v>
      </c>
      <c r="R134" s="345"/>
      <c r="S134" s="122"/>
      <c r="T134" s="128"/>
      <c r="U134" s="345"/>
      <c r="V134" s="638">
        <f>COUNTIF('納品書明細16-E'!$B$9:$B$206,CONCATENATE(VLOOKUP(P$5,$G$1:$H$4,2,FALSE),$E134,9,1))-VLOOKUP($E134,$E$9:$AF$92,$V$7-$D$7,0)</f>
        <v>0</v>
      </c>
      <c r="W134" s="650">
        <f>SUMIF('納品書明細16-E'!$B$9:$B$206,CONCATENATE(VLOOKUP(P$5,$G$1:$H$4,2,FALSE),$E134,9,1),'納品書明細16-E'!$Q$9:$Q$206)+SUMIF('納品書明細16-E'!$B$9:$B$206,CONCATENATE(VLOOKUP(P$5,$G$1:$H$4,2,FALSE),$E134,9,0),'納品書明細16-E'!$Q$9:$Q$206)-VLOOKUP($E134,$E$9:$AF$92,$W$7-$D$7,0)</f>
        <v>0</v>
      </c>
      <c r="X134" s="64"/>
      <c r="Y134" s="646">
        <f>COUNTIF('納品書明細16-E'!$B$9:$B$206,CONCATENATE(VLOOKUP(Y$5,$G$1:$H$4,2,FALSE),$E134,1,1))-VLOOKUP($E134,$E$9:$AF$92,$Y$7-$D$7,0)</f>
        <v>0</v>
      </c>
      <c r="Z134" s="647">
        <f>SUMIF('納品書明細16-E'!$B$9:$B$206,CONCATENATE(VLOOKUP(Y$5,$G$1:$H$4,2,FALSE),$E134,1,1),'納品書明細16-E'!$Q$9:$Q$206)+SUMIF('納品書明細16-E'!$B$9:$B$206,CONCATENATE(VLOOKUP(Y$5,$G$1:$H$4,2,FALSE),$E134,1,0),'納品書明細16-E'!$Q$9:$Q$206)-VLOOKUP($E134,$E$9:$AF$92,$Z$7-$D$7,0)</f>
        <v>0</v>
      </c>
      <c r="AA134" s="345"/>
      <c r="AB134" s="122"/>
      <c r="AC134" s="128"/>
      <c r="AD134" s="345"/>
      <c r="AE134" s="638">
        <f>COUNTIF('納品書明細16-E'!$B$9:$B$206,CONCATENATE(VLOOKUP(Y$5,$G$1:$H$4,2,FALSE),$E134,9,1))-VLOOKUP($E134,$E$9:$AF$92,$AE$7-$D$7,0)</f>
        <v>0</v>
      </c>
      <c r="AF134" s="650">
        <f>SUMIF('納品書明細16-E'!$B$9:$B$206,CONCATENATE(VLOOKUP(Y$5,$G$1:$H$4,2,FALSE),$E134,9,1),'納品書明細16-E'!$Q$9:$Q$206)+SUMIF('納品書明細16-E'!$B$9:$B$206,CONCATENATE(VLOOKUP(Y$5,$G$1:$H$4,2,FALSE),$E134,9,0),'納品書明細16-E'!$Q$9:$Q$206)-VLOOKUP($E134,$E$9:$AF$92,$AF$7-$D$7,0)</f>
        <v>0</v>
      </c>
    </row>
    <row r="135" spans="1:32">
      <c r="A135" s="475" t="str">
        <f>IF(SUMIFS($G135:$AF135,$G$8:$AF$8,"金額",$G135:$AF135,"&gt;0")-SUMIFS($G135:$AF135,$G$8:$AF$8,"金額",$G135:$AF135,"&lt;0")&lt;=0,"",MAX($A$92:$A134)+1)</f>
        <v/>
      </c>
      <c r="B135" s="795"/>
      <c r="C135" s="245" t="str">
        <f t="shared" si="4"/>
        <v>経費</v>
      </c>
      <c r="D135" s="245">
        <v>43</v>
      </c>
      <c r="E135" s="590" t="str">
        <f>IF($F135&lt;&gt;"",INDEX(ﾏｽﾀ!$D$8:$D$124,MATCH(INDEX(ﾏｽﾀ!$N$8:$N$124,MATCH($F135,ﾏｽﾀ!$O$8:$O$124,0)),ﾏｽﾀ!$B$8:$B$124,0))&amp;"","")</f>
        <v>80000</v>
      </c>
      <c r="F135" s="589" t="str">
        <f>ﾏｽﾀ!$R50&amp;""</f>
        <v>株式会社ポリゴン・ピクチュアズ</v>
      </c>
      <c r="G135" s="634">
        <f>COUNTIF('納品書明細16-E'!$B$9:$B$206,CONCATENATE(VLOOKUP(G$5,$G$1:$H$4,2,FALSE),$E135,1,1))-INDEX($G$9:$G$90,MATCH($E135,$E$9:$E$90,0))</f>
        <v>0</v>
      </c>
      <c r="H135" s="636">
        <f>SUMIF('納品書明細16-E'!$B$9:$B$206,CONCATENATE(VLOOKUP(G$5,$G$1:$H$4,2,FALSE),$E135,1,1),'納品書明細16-E'!$Q$9:$Q$206)+SUMIF('納品書明細16-E'!$B$9:$B$206,CONCATENATE(VLOOKUP(G$5,$G$1:$H$4,2,FALSE),$E135,1,0),'納品書明細16-E'!$Q$9:$Q$206)-INDEX($H$9:$H$90,MATCH($E135,$E$9:$E$90,0))</f>
        <v>0</v>
      </c>
      <c r="I135" s="345"/>
      <c r="J135" s="122"/>
      <c r="K135" s="359"/>
      <c r="L135" s="345"/>
      <c r="M135" s="628">
        <f>COUNTIF('納品書明細16-E'!$B$9:$B$206,CONCATENATE(VLOOKUP(G$5,$G$1:$H$4,2,FALSE),$E135,9,1))-INDEX($M$9:$M$90,MATCH($E135,$E$9:$E$90,0))</f>
        <v>0</v>
      </c>
      <c r="N135" s="642">
        <f>SUMIF('納品書明細16-E'!$B$9:$B$206,CONCATENATE(VLOOKUP(G$5,$G$1:$H$4,2,FALSE),$E135,9,1),'納品書明細16-E'!$Q$9:$Q$206)+SUMIF('納品書明細16-E'!$B$9:$B$206,CONCATENATE(VLOOKUP(G$5,$G$1:$H$4,2,FALSE),$E135,9,0),'納品書明細16-E'!$Q$9:$Q$206)-INDEX($N$9:$N$90,MATCH($E135,$E$9:$E$90,0))</f>
        <v>0</v>
      </c>
      <c r="O135" s="64"/>
      <c r="P135" s="646">
        <f>COUNTIF('納品書明細16-E'!$B$9:$B$206,CONCATENATE(VLOOKUP(P$5,$G$1:$H$4,2,FALSE),$E135,1,1))-VLOOKUP($E135,$E$9:$AF$92,$P$7-$D$7,0)</f>
        <v>0</v>
      </c>
      <c r="Q135" s="647">
        <f>SUMIF('納品書明細16-E'!$B$9:$B$206,CONCATENATE(VLOOKUP(P$5,$G$1:$H$4,2,FALSE),$E135,1,1),'納品書明細16-E'!$Q$9:$Q$206)+SUMIF('納品書明細16-E'!$B$9:$B$206,CONCATENATE(VLOOKUP(P$5,$G$1:$H$4,2,FALSE),$E135,1,0),'納品書明細16-E'!$Q$9:$Q$206)-VLOOKUP($E135,$E$9:$AF$92,$Q$7-$D$7,0)</f>
        <v>0</v>
      </c>
      <c r="R135" s="345"/>
      <c r="S135" s="122"/>
      <c r="T135" s="128"/>
      <c r="U135" s="345"/>
      <c r="V135" s="638">
        <f>COUNTIF('納品書明細16-E'!$B$9:$B$206,CONCATENATE(VLOOKUP(P$5,$G$1:$H$4,2,FALSE),$E135,9,1))-VLOOKUP($E135,$E$9:$AF$92,$V$7-$D$7,0)</f>
        <v>0</v>
      </c>
      <c r="W135" s="650">
        <f>SUMIF('納品書明細16-E'!$B$9:$B$206,CONCATENATE(VLOOKUP(P$5,$G$1:$H$4,2,FALSE),$E135,9,1),'納品書明細16-E'!$Q$9:$Q$206)+SUMIF('納品書明細16-E'!$B$9:$B$206,CONCATENATE(VLOOKUP(P$5,$G$1:$H$4,2,FALSE),$E135,9,0),'納品書明細16-E'!$Q$9:$Q$206)-VLOOKUP($E135,$E$9:$AF$92,$W$7-$D$7,0)</f>
        <v>0</v>
      </c>
      <c r="X135" s="64"/>
      <c r="Y135" s="646">
        <f>COUNTIF('納品書明細16-E'!$B$9:$B$206,CONCATENATE(VLOOKUP(Y$5,$G$1:$H$4,2,FALSE),$E135,1,1))-VLOOKUP($E135,$E$9:$AF$92,$Y$7-$D$7,0)</f>
        <v>0</v>
      </c>
      <c r="Z135" s="647">
        <f>SUMIF('納品書明細16-E'!$B$9:$B$206,CONCATENATE(VLOOKUP(Y$5,$G$1:$H$4,2,FALSE),$E135,1,1),'納品書明細16-E'!$Q$9:$Q$206)+SUMIF('納品書明細16-E'!$B$9:$B$206,CONCATENATE(VLOOKUP(Y$5,$G$1:$H$4,2,FALSE),$E135,1,0),'納品書明細16-E'!$Q$9:$Q$206)-VLOOKUP($E135,$E$9:$AF$92,$Z$7-$D$7,0)</f>
        <v>0</v>
      </c>
      <c r="AA135" s="345"/>
      <c r="AB135" s="122"/>
      <c r="AC135" s="128"/>
      <c r="AD135" s="345"/>
      <c r="AE135" s="638">
        <f>COUNTIF('納品書明細16-E'!$B$9:$B$206,CONCATENATE(VLOOKUP(Y$5,$G$1:$H$4,2,FALSE),$E135,9,1))-VLOOKUP($E135,$E$9:$AF$92,$AE$7-$D$7,0)</f>
        <v>0</v>
      </c>
      <c r="AF135" s="650">
        <f>SUMIF('納品書明細16-E'!$B$9:$B$206,CONCATENATE(VLOOKUP(Y$5,$G$1:$H$4,2,FALSE),$E135,9,1),'納品書明細16-E'!$Q$9:$Q$206)+SUMIF('納品書明細16-E'!$B$9:$B$206,CONCATENATE(VLOOKUP(Y$5,$G$1:$H$4,2,FALSE),$E135,9,0),'納品書明細16-E'!$Q$9:$Q$206)-VLOOKUP($E135,$E$9:$AF$92,$AF$7-$D$7,0)</f>
        <v>0</v>
      </c>
    </row>
    <row r="136" spans="1:32">
      <c r="A136" s="475" t="str">
        <f>IF(SUMIFS($G136:$AF136,$G$8:$AF$8,"金額",$G136:$AF136,"&gt;0")-SUMIFS($G136:$AF136,$G$8:$AF$8,"金額",$G136:$AF136,"&lt;0")&lt;=0,"",MAX($A$92:$A135)+1)</f>
        <v/>
      </c>
      <c r="B136" s="795"/>
      <c r="C136" s="245" t="str">
        <f t="shared" si="4"/>
        <v>経費</v>
      </c>
      <c r="D136" s="245">
        <v>44</v>
      </c>
      <c r="E136" s="590" t="str">
        <f>IF($F136&lt;&gt;"",INDEX(ﾏｽﾀ!$D$8:$D$124,MATCH(INDEX(ﾏｽﾀ!$N$8:$N$124,MATCH($F136,ﾏｽﾀ!$O$8:$O$124,0)),ﾏｽﾀ!$B$8:$B$124,0))&amp;"","")</f>
        <v>81000</v>
      </c>
      <c r="F136" s="589" t="str">
        <f>ﾏｽﾀ!$R51&amp;""</f>
        <v>株式会社フォーチュンエンターテイメント</v>
      </c>
      <c r="G136" s="634">
        <f>COUNTIF('納品書明細16-E'!$B$9:$B$206,CONCATENATE(VLOOKUP(G$5,$G$1:$H$4,2,FALSE),$E136,1,1))-INDEX($G$9:$G$90,MATCH($E136,$E$9:$E$90,0))</f>
        <v>0</v>
      </c>
      <c r="H136" s="636">
        <f>SUMIF('納品書明細16-E'!$B$9:$B$206,CONCATENATE(VLOOKUP(G$5,$G$1:$H$4,2,FALSE),$E136,1,1),'納品書明細16-E'!$Q$9:$Q$206)+SUMIF('納品書明細16-E'!$B$9:$B$206,CONCATENATE(VLOOKUP(G$5,$G$1:$H$4,2,FALSE),$E136,1,0),'納品書明細16-E'!$Q$9:$Q$206)-INDEX($H$9:$H$90,MATCH($E136,$E$9:$E$90,0))</f>
        <v>0</v>
      </c>
      <c r="I136" s="345"/>
      <c r="J136" s="122"/>
      <c r="K136" s="359"/>
      <c r="L136" s="345"/>
      <c r="M136" s="628">
        <f>COUNTIF('納品書明細16-E'!$B$9:$B$206,CONCATENATE(VLOOKUP(G$5,$G$1:$H$4,2,FALSE),$E136,9,1))-INDEX($M$9:$M$90,MATCH($E136,$E$9:$E$90,0))</f>
        <v>0</v>
      </c>
      <c r="N136" s="642">
        <f>SUMIF('納品書明細16-E'!$B$9:$B$206,CONCATENATE(VLOOKUP(G$5,$G$1:$H$4,2,FALSE),$E136,9,1),'納品書明細16-E'!$Q$9:$Q$206)+SUMIF('納品書明細16-E'!$B$9:$B$206,CONCATENATE(VLOOKUP(G$5,$G$1:$H$4,2,FALSE),$E136,9,0),'納品書明細16-E'!$Q$9:$Q$206)-INDEX($N$9:$N$90,MATCH($E136,$E$9:$E$90,0))</f>
        <v>0</v>
      </c>
      <c r="O136" s="64"/>
      <c r="P136" s="646">
        <f>COUNTIF('納品書明細16-E'!$B$9:$B$206,CONCATENATE(VLOOKUP(P$5,$G$1:$H$4,2,FALSE),$E136,1,1))-VLOOKUP($E136,$E$9:$AF$92,$P$7-$D$7,0)</f>
        <v>0</v>
      </c>
      <c r="Q136" s="647">
        <f>SUMIF('納品書明細16-E'!$B$9:$B$206,CONCATENATE(VLOOKUP(P$5,$G$1:$H$4,2,FALSE),$E136,1,1),'納品書明細16-E'!$Q$9:$Q$206)+SUMIF('納品書明細16-E'!$B$9:$B$206,CONCATENATE(VLOOKUP(P$5,$G$1:$H$4,2,FALSE),$E136,1,0),'納品書明細16-E'!$Q$9:$Q$206)-VLOOKUP($E136,$E$9:$AF$92,$Q$7-$D$7,0)</f>
        <v>0</v>
      </c>
      <c r="R136" s="345"/>
      <c r="S136" s="122"/>
      <c r="T136" s="128"/>
      <c r="U136" s="345"/>
      <c r="V136" s="638">
        <f>COUNTIF('納品書明細16-E'!$B$9:$B$206,CONCATENATE(VLOOKUP(P$5,$G$1:$H$4,2,FALSE),$E136,9,1))-VLOOKUP($E136,$E$9:$AF$92,$V$7-$D$7,0)</f>
        <v>0</v>
      </c>
      <c r="W136" s="650">
        <f>SUMIF('納品書明細16-E'!$B$9:$B$206,CONCATENATE(VLOOKUP(P$5,$G$1:$H$4,2,FALSE),$E136,9,1),'納品書明細16-E'!$Q$9:$Q$206)+SUMIF('納品書明細16-E'!$B$9:$B$206,CONCATENATE(VLOOKUP(P$5,$G$1:$H$4,2,FALSE),$E136,9,0),'納品書明細16-E'!$Q$9:$Q$206)-VLOOKUP($E136,$E$9:$AF$92,$W$7-$D$7,0)</f>
        <v>0</v>
      </c>
      <c r="X136" s="64"/>
      <c r="Y136" s="646">
        <f>COUNTIF('納品書明細16-E'!$B$9:$B$206,CONCATENATE(VLOOKUP(Y$5,$G$1:$H$4,2,FALSE),$E136,1,1))-VLOOKUP($E136,$E$9:$AF$92,$Y$7-$D$7,0)</f>
        <v>0</v>
      </c>
      <c r="Z136" s="647">
        <f>SUMIF('納品書明細16-E'!$B$9:$B$206,CONCATENATE(VLOOKUP(Y$5,$G$1:$H$4,2,FALSE),$E136,1,1),'納品書明細16-E'!$Q$9:$Q$206)+SUMIF('納品書明細16-E'!$B$9:$B$206,CONCATENATE(VLOOKUP(Y$5,$G$1:$H$4,2,FALSE),$E136,1,0),'納品書明細16-E'!$Q$9:$Q$206)-VLOOKUP($E136,$E$9:$AF$92,$Z$7-$D$7,0)</f>
        <v>0</v>
      </c>
      <c r="AA136" s="345"/>
      <c r="AB136" s="122"/>
      <c r="AC136" s="128"/>
      <c r="AD136" s="345"/>
      <c r="AE136" s="638">
        <f>COUNTIF('納品書明細16-E'!$B$9:$B$206,CONCATENATE(VLOOKUP(Y$5,$G$1:$H$4,2,FALSE),$E136,9,1))-VLOOKUP($E136,$E$9:$AF$92,$AE$7-$D$7,0)</f>
        <v>0</v>
      </c>
      <c r="AF136" s="650">
        <f>SUMIF('納品書明細16-E'!$B$9:$B$206,CONCATENATE(VLOOKUP(Y$5,$G$1:$H$4,2,FALSE),$E136,9,1),'納品書明細16-E'!$Q$9:$Q$206)+SUMIF('納品書明細16-E'!$B$9:$B$206,CONCATENATE(VLOOKUP(Y$5,$G$1:$H$4,2,FALSE),$E136,9,0),'納品書明細16-E'!$Q$9:$Q$206)-VLOOKUP($E136,$E$9:$AF$92,$AF$7-$D$7,0)</f>
        <v>0</v>
      </c>
    </row>
    <row r="137" spans="1:32">
      <c r="A137" s="475" t="str">
        <f>IF(SUMIFS($G137:$AF137,$G$8:$AF$8,"金額",$G137:$AF137,"&gt;0")-SUMIFS($G137:$AF137,$G$8:$AF$8,"金額",$G137:$AF137,"&lt;0")&lt;=0,"",MAX($A$92:$A136)+1)</f>
        <v/>
      </c>
      <c r="B137" s="795"/>
      <c r="C137" s="245" t="str">
        <f t="shared" si="4"/>
        <v>経費</v>
      </c>
      <c r="D137" s="245">
        <v>45</v>
      </c>
      <c r="E137" s="590" t="str">
        <f>IF($F137&lt;&gt;"",INDEX(ﾏｽﾀ!$D$8:$D$124,MATCH(INDEX(ﾏｽﾀ!$N$8:$N$124,MATCH($F137,ﾏｽﾀ!$O$8:$O$124,0)),ﾏｽﾀ!$B$8:$B$124,0))&amp;"","")</f>
        <v>82000</v>
      </c>
      <c r="F137" s="589" t="str">
        <f>ﾏｽﾀ!$R52&amp;""</f>
        <v>キングレコード株式会社</v>
      </c>
      <c r="G137" s="634">
        <f>COUNTIF('納品書明細16-E'!$B$9:$B$206,CONCATENATE(VLOOKUP(G$5,$G$1:$H$4,2,FALSE),$E137,1,1))-INDEX($G$9:$G$90,MATCH($E137,$E$9:$E$90,0))</f>
        <v>0</v>
      </c>
      <c r="H137" s="636">
        <f>SUMIF('納品書明細16-E'!$B$9:$B$206,CONCATENATE(VLOOKUP(G$5,$G$1:$H$4,2,FALSE),$E137,1,1),'納品書明細16-E'!$Q$9:$Q$206)+SUMIF('納品書明細16-E'!$B$9:$B$206,CONCATENATE(VLOOKUP(G$5,$G$1:$H$4,2,FALSE),$E137,1,0),'納品書明細16-E'!$Q$9:$Q$206)-INDEX($H$9:$H$90,MATCH($E137,$E$9:$E$90,0))</f>
        <v>0</v>
      </c>
      <c r="I137" s="345"/>
      <c r="J137" s="122"/>
      <c r="K137" s="359"/>
      <c r="L137" s="345"/>
      <c r="M137" s="628">
        <f>COUNTIF('納品書明細16-E'!$B$9:$B$206,CONCATENATE(VLOOKUP(G$5,$G$1:$H$4,2,FALSE),$E137,9,1))-INDEX($M$9:$M$90,MATCH($E137,$E$9:$E$90,0))</f>
        <v>0</v>
      </c>
      <c r="N137" s="642">
        <f>SUMIF('納品書明細16-E'!$B$9:$B$206,CONCATENATE(VLOOKUP(G$5,$G$1:$H$4,2,FALSE),$E137,9,1),'納品書明細16-E'!$Q$9:$Q$206)+SUMIF('納品書明細16-E'!$B$9:$B$206,CONCATENATE(VLOOKUP(G$5,$G$1:$H$4,2,FALSE),$E137,9,0),'納品書明細16-E'!$Q$9:$Q$206)-INDEX($N$9:$N$90,MATCH($E137,$E$9:$E$90,0))</f>
        <v>0</v>
      </c>
      <c r="O137" s="64"/>
      <c r="P137" s="646">
        <f>COUNTIF('納品書明細16-E'!$B$9:$B$206,CONCATENATE(VLOOKUP(P$5,$G$1:$H$4,2,FALSE),$E137,1,1))-VLOOKUP($E137,$E$9:$AF$92,$P$7-$D$7,0)</f>
        <v>0</v>
      </c>
      <c r="Q137" s="647">
        <f>SUMIF('納品書明細16-E'!$B$9:$B$206,CONCATENATE(VLOOKUP(P$5,$G$1:$H$4,2,FALSE),$E137,1,1),'納品書明細16-E'!$Q$9:$Q$206)+SUMIF('納品書明細16-E'!$B$9:$B$206,CONCATENATE(VLOOKUP(P$5,$G$1:$H$4,2,FALSE),$E137,1,0),'納品書明細16-E'!$Q$9:$Q$206)-VLOOKUP($E137,$E$9:$AF$92,$Q$7-$D$7,0)</f>
        <v>0</v>
      </c>
      <c r="R137" s="345"/>
      <c r="S137" s="122"/>
      <c r="T137" s="128"/>
      <c r="U137" s="345"/>
      <c r="V137" s="638">
        <f>COUNTIF('納品書明細16-E'!$B$9:$B$206,CONCATENATE(VLOOKUP(P$5,$G$1:$H$4,2,FALSE),$E137,9,1))-VLOOKUP($E137,$E$9:$AF$92,$V$7-$D$7,0)</f>
        <v>0</v>
      </c>
      <c r="W137" s="650">
        <f>SUMIF('納品書明細16-E'!$B$9:$B$206,CONCATENATE(VLOOKUP(P$5,$G$1:$H$4,2,FALSE),$E137,9,1),'納品書明細16-E'!$Q$9:$Q$206)+SUMIF('納品書明細16-E'!$B$9:$B$206,CONCATENATE(VLOOKUP(P$5,$G$1:$H$4,2,FALSE),$E137,9,0),'納品書明細16-E'!$Q$9:$Q$206)-VLOOKUP($E137,$E$9:$AF$92,$W$7-$D$7,0)</f>
        <v>0</v>
      </c>
      <c r="X137" s="64"/>
      <c r="Y137" s="646">
        <f>COUNTIF('納品書明細16-E'!$B$9:$B$206,CONCATENATE(VLOOKUP(Y$5,$G$1:$H$4,2,FALSE),$E137,1,1))-VLOOKUP($E137,$E$9:$AF$92,$Y$7-$D$7,0)</f>
        <v>0</v>
      </c>
      <c r="Z137" s="647">
        <f>SUMIF('納品書明細16-E'!$B$9:$B$206,CONCATENATE(VLOOKUP(Y$5,$G$1:$H$4,2,FALSE),$E137,1,1),'納品書明細16-E'!$Q$9:$Q$206)+SUMIF('納品書明細16-E'!$B$9:$B$206,CONCATENATE(VLOOKUP(Y$5,$G$1:$H$4,2,FALSE),$E137,1,0),'納品書明細16-E'!$Q$9:$Q$206)-VLOOKUP($E137,$E$9:$AF$92,$Z$7-$D$7,0)</f>
        <v>0</v>
      </c>
      <c r="AA137" s="345"/>
      <c r="AB137" s="122"/>
      <c r="AC137" s="128"/>
      <c r="AD137" s="345"/>
      <c r="AE137" s="638">
        <f>COUNTIF('納品書明細16-E'!$B$9:$B$206,CONCATENATE(VLOOKUP(Y$5,$G$1:$H$4,2,FALSE),$E137,9,1))-VLOOKUP($E137,$E$9:$AF$92,$AE$7-$D$7,0)</f>
        <v>0</v>
      </c>
      <c r="AF137" s="650">
        <f>SUMIF('納品書明細16-E'!$B$9:$B$206,CONCATENATE(VLOOKUP(Y$5,$G$1:$H$4,2,FALSE),$E137,9,1),'納品書明細16-E'!$Q$9:$Q$206)+SUMIF('納品書明細16-E'!$B$9:$B$206,CONCATENATE(VLOOKUP(Y$5,$G$1:$H$4,2,FALSE),$E137,9,0),'納品書明細16-E'!$Q$9:$Q$206)-VLOOKUP($E137,$E$9:$AF$92,$AF$7-$D$7,0)</f>
        <v>0</v>
      </c>
    </row>
    <row r="138" spans="1:32">
      <c r="A138" s="475" t="str">
        <f>IF(SUMIFS($G138:$AF138,$G$8:$AF$8,"金額",$G138:$AF138,"&gt;0")-SUMIFS($G138:$AF138,$G$8:$AF$8,"金額",$G138:$AF138,"&lt;0")&lt;=0,"",MAX($A$92:$A137)+1)</f>
        <v/>
      </c>
      <c r="B138" s="795"/>
      <c r="C138" s="245" t="str">
        <f t="shared" si="4"/>
        <v>経費</v>
      </c>
      <c r="D138" s="245">
        <v>46</v>
      </c>
      <c r="E138" s="590" t="str">
        <f>IF($F138&lt;&gt;"",INDEX(ﾏｽﾀ!$D$8:$D$124,MATCH(INDEX(ﾏｽﾀ!$N$8:$N$124,MATCH($F138,ﾏｽﾀ!$O$8:$O$124,0)),ﾏｽﾀ!$B$8:$B$124,0))&amp;"","")</f>
        <v>83000</v>
      </c>
      <c r="F138" s="589" t="str">
        <f>ﾏｽﾀ!$R53&amp;""</f>
        <v>ソニー株式会社</v>
      </c>
      <c r="G138" s="634">
        <f>COUNTIF('納品書明細16-E'!$B$9:$B$206,CONCATENATE(VLOOKUP(G$5,$G$1:$H$4,2,FALSE),$E138,1,1))-INDEX($G$9:$G$90,MATCH($E138,$E$9:$E$90,0))</f>
        <v>0</v>
      </c>
      <c r="H138" s="636">
        <f>SUMIF('納品書明細16-E'!$B$9:$B$206,CONCATENATE(VLOOKUP(G$5,$G$1:$H$4,2,FALSE),$E138,1,1),'納品書明細16-E'!$Q$9:$Q$206)+SUMIF('納品書明細16-E'!$B$9:$B$206,CONCATENATE(VLOOKUP(G$5,$G$1:$H$4,2,FALSE),$E138,1,0),'納品書明細16-E'!$Q$9:$Q$206)-INDEX($H$9:$H$90,MATCH($E138,$E$9:$E$90,0))</f>
        <v>0</v>
      </c>
      <c r="I138" s="345"/>
      <c r="J138" s="122"/>
      <c r="K138" s="359"/>
      <c r="L138" s="345"/>
      <c r="M138" s="628">
        <f>COUNTIF('納品書明細16-E'!$B$9:$B$206,CONCATENATE(VLOOKUP(G$5,$G$1:$H$4,2,FALSE),$E138,9,1))-INDEX($M$9:$M$90,MATCH($E138,$E$9:$E$90,0))</f>
        <v>0</v>
      </c>
      <c r="N138" s="642">
        <f>SUMIF('納品書明細16-E'!$B$9:$B$206,CONCATENATE(VLOOKUP(G$5,$G$1:$H$4,2,FALSE),$E138,9,1),'納品書明細16-E'!$Q$9:$Q$206)+SUMIF('納品書明細16-E'!$B$9:$B$206,CONCATENATE(VLOOKUP(G$5,$G$1:$H$4,2,FALSE),$E138,9,0),'納品書明細16-E'!$Q$9:$Q$206)-INDEX($N$9:$N$90,MATCH($E138,$E$9:$E$90,0))</f>
        <v>0</v>
      </c>
      <c r="O138" s="64"/>
      <c r="P138" s="646">
        <f>COUNTIF('納品書明細16-E'!$B$9:$B$206,CONCATENATE(VLOOKUP(P$5,$G$1:$H$4,2,FALSE),$E138,1,1))-VLOOKUP($E138,$E$9:$AF$92,$P$7-$D$7,0)</f>
        <v>0</v>
      </c>
      <c r="Q138" s="647">
        <f>SUMIF('納品書明細16-E'!$B$9:$B$206,CONCATENATE(VLOOKUP(P$5,$G$1:$H$4,2,FALSE),$E138,1,1),'納品書明細16-E'!$Q$9:$Q$206)+SUMIF('納品書明細16-E'!$B$9:$B$206,CONCATENATE(VLOOKUP(P$5,$G$1:$H$4,2,FALSE),$E138,1,0),'納品書明細16-E'!$Q$9:$Q$206)-VLOOKUP($E138,$E$9:$AF$92,$Q$7-$D$7,0)</f>
        <v>0</v>
      </c>
      <c r="R138" s="345"/>
      <c r="S138" s="122"/>
      <c r="T138" s="128"/>
      <c r="U138" s="345"/>
      <c r="V138" s="638">
        <f>COUNTIF('納品書明細16-E'!$B$9:$B$206,CONCATENATE(VLOOKUP(P$5,$G$1:$H$4,2,FALSE),$E138,9,1))-VLOOKUP($E138,$E$9:$AF$92,$V$7-$D$7,0)</f>
        <v>0</v>
      </c>
      <c r="W138" s="650">
        <f>SUMIF('納品書明細16-E'!$B$9:$B$206,CONCATENATE(VLOOKUP(P$5,$G$1:$H$4,2,FALSE),$E138,9,1),'納品書明細16-E'!$Q$9:$Q$206)+SUMIF('納品書明細16-E'!$B$9:$B$206,CONCATENATE(VLOOKUP(P$5,$G$1:$H$4,2,FALSE),$E138,9,0),'納品書明細16-E'!$Q$9:$Q$206)-VLOOKUP($E138,$E$9:$AF$92,$W$7-$D$7,0)</f>
        <v>0</v>
      </c>
      <c r="X138" s="64"/>
      <c r="Y138" s="646">
        <f>COUNTIF('納品書明細16-E'!$B$9:$B$206,CONCATENATE(VLOOKUP(Y$5,$G$1:$H$4,2,FALSE),$E138,1,1))-VLOOKUP($E138,$E$9:$AF$92,$Y$7-$D$7,0)</f>
        <v>0</v>
      </c>
      <c r="Z138" s="647">
        <f>SUMIF('納品書明細16-E'!$B$9:$B$206,CONCATENATE(VLOOKUP(Y$5,$G$1:$H$4,2,FALSE),$E138,1,1),'納品書明細16-E'!$Q$9:$Q$206)+SUMIF('納品書明細16-E'!$B$9:$B$206,CONCATENATE(VLOOKUP(Y$5,$G$1:$H$4,2,FALSE),$E138,1,0),'納品書明細16-E'!$Q$9:$Q$206)-VLOOKUP($E138,$E$9:$AF$92,$Z$7-$D$7,0)</f>
        <v>0</v>
      </c>
      <c r="AA138" s="345"/>
      <c r="AB138" s="122"/>
      <c r="AC138" s="128"/>
      <c r="AD138" s="345"/>
      <c r="AE138" s="638">
        <f>COUNTIF('納品書明細16-E'!$B$9:$B$206,CONCATENATE(VLOOKUP(Y$5,$G$1:$H$4,2,FALSE),$E138,9,1))-VLOOKUP($E138,$E$9:$AF$92,$AE$7-$D$7,0)</f>
        <v>0</v>
      </c>
      <c r="AF138" s="650">
        <f>SUMIF('納品書明細16-E'!$B$9:$B$206,CONCATENATE(VLOOKUP(Y$5,$G$1:$H$4,2,FALSE),$E138,9,1),'納品書明細16-E'!$Q$9:$Q$206)+SUMIF('納品書明細16-E'!$B$9:$B$206,CONCATENATE(VLOOKUP(Y$5,$G$1:$H$4,2,FALSE),$E138,9,0),'納品書明細16-E'!$Q$9:$Q$206)-VLOOKUP($E138,$E$9:$AF$92,$AF$7-$D$7,0)</f>
        <v>0</v>
      </c>
    </row>
    <row r="139" spans="1:32">
      <c r="A139" s="475" t="str">
        <f>IF(SUMIFS($G139:$AF139,$G$8:$AF$8,"金額",$G139:$AF139,"&gt;0")-SUMIFS($G139:$AF139,$G$8:$AF$8,"金額",$G139:$AF139,"&lt;0")&lt;=0,"",MAX($A$92:$A138)+1)</f>
        <v/>
      </c>
      <c r="B139" s="795"/>
      <c r="C139" s="245" t="str">
        <f t="shared" si="4"/>
        <v>経費</v>
      </c>
      <c r="D139" s="245">
        <v>47</v>
      </c>
      <c r="E139" s="590" t="str">
        <f>IF($F139&lt;&gt;"",INDEX(ﾏｽﾀ!$D$8:$D$124,MATCH(INDEX(ﾏｽﾀ!$N$8:$N$124,MATCH($F139,ﾏｽﾀ!$O$8:$O$124,0)),ﾏｽﾀ!$B$8:$B$124,0))&amp;"","")</f>
        <v>84000</v>
      </c>
      <c r="F139" s="589" t="str">
        <f>ﾏｽﾀ!$R54&amp;""</f>
        <v>株式会社ブイシンク</v>
      </c>
      <c r="G139" s="634">
        <f>COUNTIF('納品書明細16-E'!$B$9:$B$206,CONCATENATE(VLOOKUP(G$5,$G$1:$H$4,2,FALSE),$E139,1,1))-INDEX($G$9:$G$90,MATCH($E139,$E$9:$E$90,0))</f>
        <v>0</v>
      </c>
      <c r="H139" s="636">
        <f>SUMIF('納品書明細16-E'!$B$9:$B$206,CONCATENATE(VLOOKUP(G$5,$G$1:$H$4,2,FALSE),$E139,1,1),'納品書明細16-E'!$Q$9:$Q$206)+SUMIF('納品書明細16-E'!$B$9:$B$206,CONCATENATE(VLOOKUP(G$5,$G$1:$H$4,2,FALSE),$E139,1,0),'納品書明細16-E'!$Q$9:$Q$206)-INDEX($H$9:$H$90,MATCH($E139,$E$9:$E$90,0))</f>
        <v>0</v>
      </c>
      <c r="I139" s="345"/>
      <c r="J139" s="122"/>
      <c r="K139" s="359"/>
      <c r="L139" s="345"/>
      <c r="M139" s="628">
        <f>COUNTIF('納品書明細16-E'!$B$9:$B$206,CONCATENATE(VLOOKUP(G$5,$G$1:$H$4,2,FALSE),$E139,9,1))-INDEX($M$9:$M$90,MATCH($E139,$E$9:$E$90,0))</f>
        <v>0</v>
      </c>
      <c r="N139" s="642">
        <f>SUMIF('納品書明細16-E'!$B$9:$B$206,CONCATENATE(VLOOKUP(G$5,$G$1:$H$4,2,FALSE),$E139,9,1),'納品書明細16-E'!$Q$9:$Q$206)+SUMIF('納品書明細16-E'!$B$9:$B$206,CONCATENATE(VLOOKUP(G$5,$G$1:$H$4,2,FALSE),$E139,9,0),'納品書明細16-E'!$Q$9:$Q$206)-INDEX($N$9:$N$90,MATCH($E139,$E$9:$E$90,0))</f>
        <v>0</v>
      </c>
      <c r="O139" s="64"/>
      <c r="P139" s="646">
        <f>COUNTIF('納品書明細16-E'!$B$9:$B$206,CONCATENATE(VLOOKUP(P$5,$G$1:$H$4,2,FALSE),$E139,1,1))-VLOOKUP($E139,$E$9:$AF$92,$P$7-$D$7,0)</f>
        <v>0</v>
      </c>
      <c r="Q139" s="647">
        <f>SUMIF('納品書明細16-E'!$B$9:$B$206,CONCATENATE(VLOOKUP(P$5,$G$1:$H$4,2,FALSE),$E139,1,1),'納品書明細16-E'!$Q$9:$Q$206)+SUMIF('納品書明細16-E'!$B$9:$B$206,CONCATENATE(VLOOKUP(P$5,$G$1:$H$4,2,FALSE),$E139,1,0),'納品書明細16-E'!$Q$9:$Q$206)-VLOOKUP($E139,$E$9:$AF$92,$Q$7-$D$7,0)</f>
        <v>0</v>
      </c>
      <c r="R139" s="345"/>
      <c r="S139" s="122"/>
      <c r="T139" s="128"/>
      <c r="U139" s="345"/>
      <c r="V139" s="638">
        <f>COUNTIF('納品書明細16-E'!$B$9:$B$206,CONCATENATE(VLOOKUP(P$5,$G$1:$H$4,2,FALSE),$E139,9,1))-VLOOKUP($E139,$E$9:$AF$92,$V$7-$D$7,0)</f>
        <v>0</v>
      </c>
      <c r="W139" s="650">
        <f>SUMIF('納品書明細16-E'!$B$9:$B$206,CONCATENATE(VLOOKUP(P$5,$G$1:$H$4,2,FALSE),$E139,9,1),'納品書明細16-E'!$Q$9:$Q$206)+SUMIF('納品書明細16-E'!$B$9:$B$206,CONCATENATE(VLOOKUP(P$5,$G$1:$H$4,2,FALSE),$E139,9,0),'納品書明細16-E'!$Q$9:$Q$206)-VLOOKUP($E139,$E$9:$AF$92,$W$7-$D$7,0)</f>
        <v>0</v>
      </c>
      <c r="X139" s="64"/>
      <c r="Y139" s="646">
        <f>COUNTIF('納品書明細16-E'!$B$9:$B$206,CONCATENATE(VLOOKUP(Y$5,$G$1:$H$4,2,FALSE),$E139,1,1))-VLOOKUP($E139,$E$9:$AF$92,$Y$7-$D$7,0)</f>
        <v>0</v>
      </c>
      <c r="Z139" s="647">
        <f>SUMIF('納品書明細16-E'!$B$9:$B$206,CONCATENATE(VLOOKUP(Y$5,$G$1:$H$4,2,FALSE),$E139,1,1),'納品書明細16-E'!$Q$9:$Q$206)+SUMIF('納品書明細16-E'!$B$9:$B$206,CONCATENATE(VLOOKUP(Y$5,$G$1:$H$4,2,FALSE),$E139,1,0),'納品書明細16-E'!$Q$9:$Q$206)-VLOOKUP($E139,$E$9:$AF$92,$Z$7-$D$7,0)</f>
        <v>0</v>
      </c>
      <c r="AA139" s="345"/>
      <c r="AB139" s="122"/>
      <c r="AC139" s="128"/>
      <c r="AD139" s="345"/>
      <c r="AE139" s="638">
        <f>COUNTIF('納品書明細16-E'!$B$9:$B$206,CONCATENATE(VLOOKUP(Y$5,$G$1:$H$4,2,FALSE),$E139,9,1))-VLOOKUP($E139,$E$9:$AF$92,$AE$7-$D$7,0)</f>
        <v>0</v>
      </c>
      <c r="AF139" s="650">
        <f>SUMIF('納品書明細16-E'!$B$9:$B$206,CONCATENATE(VLOOKUP(Y$5,$G$1:$H$4,2,FALSE),$E139,9,1),'納品書明細16-E'!$Q$9:$Q$206)+SUMIF('納品書明細16-E'!$B$9:$B$206,CONCATENATE(VLOOKUP(Y$5,$G$1:$H$4,2,FALSE),$E139,9,0),'納品書明細16-E'!$Q$9:$Q$206)-VLOOKUP($E139,$E$9:$AF$92,$AF$7-$D$7,0)</f>
        <v>0</v>
      </c>
    </row>
    <row r="140" spans="1:32">
      <c r="A140" s="475" t="str">
        <f>IF(SUMIFS($G140:$AF140,$G$8:$AF$8,"金額",$G140:$AF140,"&gt;0")-SUMIFS($G140:$AF140,$G$8:$AF$8,"金額",$G140:$AF140,"&lt;0")&lt;=0,"",MAX($A$92:$A139)+1)</f>
        <v/>
      </c>
      <c r="B140" s="795"/>
      <c r="C140" s="245" t="str">
        <f t="shared" si="4"/>
        <v>経費</v>
      </c>
      <c r="D140" s="245">
        <v>48</v>
      </c>
      <c r="E140" s="590" t="str">
        <f>IF($F140&lt;&gt;"",INDEX(ﾏｽﾀ!$D$8:$D$124,MATCH(INDEX(ﾏｽﾀ!$N$8:$N$124,MATCH($F140,ﾏｽﾀ!$O$8:$O$124,0)),ﾏｽﾀ!$B$8:$B$124,0))&amp;"","")</f>
        <v>85000</v>
      </c>
      <c r="F140" s="589" t="str">
        <f>ﾏｽﾀ!$R55&amp;""</f>
        <v>有限会社ユハラ・インターナショナル</v>
      </c>
      <c r="G140" s="634">
        <f>COUNTIF('納品書明細16-E'!$B$9:$B$206,CONCATENATE(VLOOKUP(G$5,$G$1:$H$4,2,FALSE),$E140,1,1))-INDEX($G$9:$G$90,MATCH($E140,$E$9:$E$90,0))</f>
        <v>0</v>
      </c>
      <c r="H140" s="636">
        <f>SUMIF('納品書明細16-E'!$B$9:$B$206,CONCATENATE(VLOOKUP(G$5,$G$1:$H$4,2,FALSE),$E140,1,1),'納品書明細16-E'!$Q$9:$Q$206)+SUMIF('納品書明細16-E'!$B$9:$B$206,CONCATENATE(VLOOKUP(G$5,$G$1:$H$4,2,FALSE),$E140,1,0),'納品書明細16-E'!$Q$9:$Q$206)-INDEX($H$9:$H$90,MATCH($E140,$E$9:$E$90,0))</f>
        <v>0</v>
      </c>
      <c r="I140" s="345"/>
      <c r="J140" s="122"/>
      <c r="K140" s="359"/>
      <c r="L140" s="345"/>
      <c r="M140" s="628">
        <f>COUNTIF('納品書明細16-E'!$B$9:$B$206,CONCATENATE(VLOOKUP(G$5,$G$1:$H$4,2,FALSE),$E140,9,1))-INDEX($M$9:$M$90,MATCH($E140,$E$9:$E$90,0))</f>
        <v>0</v>
      </c>
      <c r="N140" s="642">
        <f>SUMIF('納品書明細16-E'!$B$9:$B$206,CONCATENATE(VLOOKUP(G$5,$G$1:$H$4,2,FALSE),$E140,9,1),'納品書明細16-E'!$Q$9:$Q$206)+SUMIF('納品書明細16-E'!$B$9:$B$206,CONCATENATE(VLOOKUP(G$5,$G$1:$H$4,2,FALSE),$E140,9,0),'納品書明細16-E'!$Q$9:$Q$206)-INDEX($N$9:$N$90,MATCH($E140,$E$9:$E$90,0))</f>
        <v>0</v>
      </c>
      <c r="O140" s="64"/>
      <c r="P140" s="646">
        <f>COUNTIF('納品書明細16-E'!$B$9:$B$206,CONCATENATE(VLOOKUP(P$5,$G$1:$H$4,2,FALSE),$E140,1,1))-VLOOKUP($E140,$E$9:$AF$92,$P$7-$D$7,0)</f>
        <v>0</v>
      </c>
      <c r="Q140" s="647">
        <f>SUMIF('納品書明細16-E'!$B$9:$B$206,CONCATENATE(VLOOKUP(P$5,$G$1:$H$4,2,FALSE),$E140,1,1),'納品書明細16-E'!$Q$9:$Q$206)+SUMIF('納品書明細16-E'!$B$9:$B$206,CONCATENATE(VLOOKUP(P$5,$G$1:$H$4,2,FALSE),$E140,1,0),'納品書明細16-E'!$Q$9:$Q$206)-VLOOKUP($E140,$E$9:$AF$92,$Q$7-$D$7,0)</f>
        <v>0</v>
      </c>
      <c r="R140" s="345"/>
      <c r="S140" s="122"/>
      <c r="T140" s="128"/>
      <c r="U140" s="345"/>
      <c r="V140" s="638">
        <f>COUNTIF('納品書明細16-E'!$B$9:$B$206,CONCATENATE(VLOOKUP(P$5,$G$1:$H$4,2,FALSE),$E140,9,1))-VLOOKUP($E140,$E$9:$AF$92,$V$7-$D$7,0)</f>
        <v>0</v>
      </c>
      <c r="W140" s="650">
        <f>SUMIF('納品書明細16-E'!$B$9:$B$206,CONCATENATE(VLOOKUP(P$5,$G$1:$H$4,2,FALSE),$E140,9,1),'納品書明細16-E'!$Q$9:$Q$206)+SUMIF('納品書明細16-E'!$B$9:$B$206,CONCATENATE(VLOOKUP(P$5,$G$1:$H$4,2,FALSE),$E140,9,0),'納品書明細16-E'!$Q$9:$Q$206)-VLOOKUP($E140,$E$9:$AF$92,$W$7-$D$7,0)</f>
        <v>0</v>
      </c>
      <c r="X140" s="64"/>
      <c r="Y140" s="646">
        <f>COUNTIF('納品書明細16-E'!$B$9:$B$206,CONCATENATE(VLOOKUP(Y$5,$G$1:$H$4,2,FALSE),$E140,1,1))-VLOOKUP($E140,$E$9:$AF$92,$Y$7-$D$7,0)</f>
        <v>0</v>
      </c>
      <c r="Z140" s="647">
        <f>SUMIF('納品書明細16-E'!$B$9:$B$206,CONCATENATE(VLOOKUP(Y$5,$G$1:$H$4,2,FALSE),$E140,1,1),'納品書明細16-E'!$Q$9:$Q$206)+SUMIF('納品書明細16-E'!$B$9:$B$206,CONCATENATE(VLOOKUP(Y$5,$G$1:$H$4,2,FALSE),$E140,1,0),'納品書明細16-E'!$Q$9:$Q$206)-VLOOKUP($E140,$E$9:$AF$92,$Z$7-$D$7,0)</f>
        <v>0</v>
      </c>
      <c r="AA140" s="345"/>
      <c r="AB140" s="122"/>
      <c r="AC140" s="128"/>
      <c r="AD140" s="345"/>
      <c r="AE140" s="638">
        <f>COUNTIF('納品書明細16-E'!$B$9:$B$206,CONCATENATE(VLOOKUP(Y$5,$G$1:$H$4,2,FALSE),$E140,9,1))-VLOOKUP($E140,$E$9:$AF$92,$AE$7-$D$7,0)</f>
        <v>0</v>
      </c>
      <c r="AF140" s="650">
        <f>SUMIF('納品書明細16-E'!$B$9:$B$206,CONCATENATE(VLOOKUP(Y$5,$G$1:$H$4,2,FALSE),$E140,9,1),'納品書明細16-E'!$Q$9:$Q$206)+SUMIF('納品書明細16-E'!$B$9:$B$206,CONCATENATE(VLOOKUP(Y$5,$G$1:$H$4,2,FALSE),$E140,9,0),'納品書明細16-E'!$Q$9:$Q$206)-VLOOKUP($E140,$E$9:$AF$92,$AF$7-$D$7,0)</f>
        <v>0</v>
      </c>
    </row>
    <row r="141" spans="1:32">
      <c r="A141" s="475" t="str">
        <f>IF(SUMIFS($G141:$AF141,$G$8:$AF$8,"金額",$G141:$AF141,"&gt;0")-SUMIFS($G141:$AF141,$G$8:$AF$8,"金額",$G141:$AF141,"&lt;0")&lt;=0,"",MAX($A$92:$A140)+1)</f>
        <v/>
      </c>
      <c r="B141" s="795"/>
      <c r="C141" s="245" t="str">
        <f t="shared" si="4"/>
        <v>経費</v>
      </c>
      <c r="D141" s="245">
        <v>49</v>
      </c>
      <c r="E141" s="590" t="str">
        <f>IF($F141&lt;&gt;"",INDEX(ﾏｽﾀ!$D$8:$D$124,MATCH(INDEX(ﾏｽﾀ!$N$8:$N$124,MATCH($F141,ﾏｽﾀ!$O$8:$O$124,0)),ﾏｽﾀ!$B$8:$B$124,0))&amp;"","")</f>
        <v>89000</v>
      </c>
      <c r="F141" s="589" t="str">
        <f>ﾏｽﾀ!$R56&amp;""</f>
        <v>株式会社ライブ・ワークス</v>
      </c>
      <c r="G141" s="634">
        <f>COUNTIF('納品書明細16-E'!$B$9:$B$206,CONCATENATE(VLOOKUP(G$5,$G$1:$H$4,2,FALSE),$E141,1,1))-INDEX($G$9:$G$90,MATCH($E141,$E$9:$E$90,0))</f>
        <v>0</v>
      </c>
      <c r="H141" s="636">
        <f>SUMIF('納品書明細16-E'!$B$9:$B$206,CONCATENATE(VLOOKUP(G$5,$G$1:$H$4,2,FALSE),$E141,1,1),'納品書明細16-E'!$Q$9:$Q$206)+SUMIF('納品書明細16-E'!$B$9:$B$206,CONCATENATE(VLOOKUP(G$5,$G$1:$H$4,2,FALSE),$E141,1,0),'納品書明細16-E'!$Q$9:$Q$206)-INDEX($H$9:$H$90,MATCH($E141,$E$9:$E$90,0))</f>
        <v>0</v>
      </c>
      <c r="I141" s="345"/>
      <c r="J141" s="122"/>
      <c r="K141" s="359"/>
      <c r="L141" s="345"/>
      <c r="M141" s="628">
        <f>COUNTIF('納品書明細16-E'!$B$9:$B$206,CONCATENATE(VLOOKUP(G$5,$G$1:$H$4,2,FALSE),$E141,9,1))-INDEX($M$9:$M$90,MATCH($E141,$E$9:$E$90,0))</f>
        <v>0</v>
      </c>
      <c r="N141" s="642">
        <f>SUMIF('納品書明細16-E'!$B$9:$B$206,CONCATENATE(VLOOKUP(G$5,$G$1:$H$4,2,FALSE),$E141,9,1),'納品書明細16-E'!$Q$9:$Q$206)+SUMIF('納品書明細16-E'!$B$9:$B$206,CONCATENATE(VLOOKUP(G$5,$G$1:$H$4,2,FALSE),$E141,9,0),'納品書明細16-E'!$Q$9:$Q$206)-INDEX($N$9:$N$90,MATCH($E141,$E$9:$E$90,0))</f>
        <v>0</v>
      </c>
      <c r="O141" s="64"/>
      <c r="P141" s="646">
        <f>COUNTIF('納品書明細16-E'!$B$9:$B$206,CONCATENATE(VLOOKUP(P$5,$G$1:$H$4,2,FALSE),$E141,1,1))-VLOOKUP($E141,$E$9:$AF$92,$P$7-$D$7,0)</f>
        <v>0</v>
      </c>
      <c r="Q141" s="647">
        <f>SUMIF('納品書明細16-E'!$B$9:$B$206,CONCATENATE(VLOOKUP(P$5,$G$1:$H$4,2,FALSE),$E141,1,1),'納品書明細16-E'!$Q$9:$Q$206)+SUMIF('納品書明細16-E'!$B$9:$B$206,CONCATENATE(VLOOKUP(P$5,$G$1:$H$4,2,FALSE),$E141,1,0),'納品書明細16-E'!$Q$9:$Q$206)-VLOOKUP($E141,$E$9:$AF$92,$Q$7-$D$7,0)</f>
        <v>0</v>
      </c>
      <c r="R141" s="345"/>
      <c r="S141" s="122"/>
      <c r="T141" s="128"/>
      <c r="U141" s="345"/>
      <c r="V141" s="638">
        <f>COUNTIF('納品書明細16-E'!$B$9:$B$206,CONCATENATE(VLOOKUP(P$5,$G$1:$H$4,2,FALSE),$E141,9,1))-VLOOKUP($E141,$E$9:$AF$92,$V$7-$D$7,0)</f>
        <v>0</v>
      </c>
      <c r="W141" s="650">
        <f>SUMIF('納品書明細16-E'!$B$9:$B$206,CONCATENATE(VLOOKUP(P$5,$G$1:$H$4,2,FALSE),$E141,9,1),'納品書明細16-E'!$Q$9:$Q$206)+SUMIF('納品書明細16-E'!$B$9:$B$206,CONCATENATE(VLOOKUP(P$5,$G$1:$H$4,2,FALSE),$E141,9,0),'納品書明細16-E'!$Q$9:$Q$206)-VLOOKUP($E141,$E$9:$AF$92,$W$7-$D$7,0)</f>
        <v>0</v>
      </c>
      <c r="X141" s="64"/>
      <c r="Y141" s="646">
        <f>COUNTIF('納品書明細16-E'!$B$9:$B$206,CONCATENATE(VLOOKUP(Y$5,$G$1:$H$4,2,FALSE),$E141,1,1))-VLOOKUP($E141,$E$9:$AF$92,$Y$7-$D$7,0)</f>
        <v>0</v>
      </c>
      <c r="Z141" s="647">
        <f>SUMIF('納品書明細16-E'!$B$9:$B$206,CONCATENATE(VLOOKUP(Y$5,$G$1:$H$4,2,FALSE),$E141,1,1),'納品書明細16-E'!$Q$9:$Q$206)+SUMIF('納品書明細16-E'!$B$9:$B$206,CONCATENATE(VLOOKUP(Y$5,$G$1:$H$4,2,FALSE),$E141,1,0),'納品書明細16-E'!$Q$9:$Q$206)-VLOOKUP($E141,$E$9:$AF$92,$Z$7-$D$7,0)</f>
        <v>0</v>
      </c>
      <c r="AA141" s="345"/>
      <c r="AB141" s="122"/>
      <c r="AC141" s="128"/>
      <c r="AD141" s="345"/>
      <c r="AE141" s="638">
        <f>COUNTIF('納品書明細16-E'!$B$9:$B$206,CONCATENATE(VLOOKUP(Y$5,$G$1:$H$4,2,FALSE),$E141,9,1))-VLOOKUP($E141,$E$9:$AF$92,$AE$7-$D$7,0)</f>
        <v>0</v>
      </c>
      <c r="AF141" s="650">
        <f>SUMIF('納品書明細16-E'!$B$9:$B$206,CONCATENATE(VLOOKUP(Y$5,$G$1:$H$4,2,FALSE),$E141,9,1),'納品書明細16-E'!$Q$9:$Q$206)+SUMIF('納品書明細16-E'!$B$9:$B$206,CONCATENATE(VLOOKUP(Y$5,$G$1:$H$4,2,FALSE),$E141,9,0),'納品書明細16-E'!$Q$9:$Q$206)-VLOOKUP($E141,$E$9:$AF$92,$AF$7-$D$7,0)</f>
        <v>0</v>
      </c>
    </row>
    <row r="142" spans="1:32">
      <c r="A142" s="475" t="str">
        <f>IF(SUMIFS($G142:$AF142,$G$8:$AF$8,"金額",$G142:$AF142,"&gt;0")-SUMIFS($G142:$AF142,$G$8:$AF$8,"金額",$G142:$AF142,"&lt;0")&lt;=0,"",MAX($A$92:$A141)+1)</f>
        <v/>
      </c>
      <c r="B142" s="795"/>
      <c r="C142" s="245" t="str">
        <f t="shared" si="4"/>
        <v>経費</v>
      </c>
      <c r="D142" s="245">
        <v>50</v>
      </c>
      <c r="E142" s="590" t="str">
        <f>IF($F142&lt;&gt;"",INDEX(ﾏｽﾀ!$D$8:$D$124,MATCH(INDEX(ﾏｽﾀ!$N$8:$N$124,MATCH($F142,ﾏｽﾀ!$O$8:$O$124,0)),ﾏｽﾀ!$B$8:$B$124,0))&amp;"","")</f>
        <v>90001</v>
      </c>
      <c r="F142" s="589" t="str">
        <f>ﾏｽﾀ!$R57&amp;""</f>
        <v>株式会社ロジパルエクスプレス　3200/川崎営業所</v>
      </c>
      <c r="G142" s="634">
        <f>COUNTIF('納品書明細16-E'!$B$9:$B$206,CONCATENATE(VLOOKUP(G$5,$G$1:$H$4,2,FALSE),$E142,1,1))-INDEX($G$9:$G$90,MATCH($E142,$E$9:$E$90,0))</f>
        <v>0</v>
      </c>
      <c r="H142" s="636">
        <f>SUMIF('納品書明細16-E'!$B$9:$B$206,CONCATENATE(VLOOKUP(G$5,$G$1:$H$4,2,FALSE),$E142,1,1),'納品書明細16-E'!$Q$9:$Q$206)+SUMIF('納品書明細16-E'!$B$9:$B$206,CONCATENATE(VLOOKUP(G$5,$G$1:$H$4,2,FALSE),$E142,1,0),'納品書明細16-E'!$Q$9:$Q$206)-INDEX($H$9:$H$90,MATCH($E142,$E$9:$E$90,0))</f>
        <v>0</v>
      </c>
      <c r="I142" s="345"/>
      <c r="J142" s="122"/>
      <c r="K142" s="359"/>
      <c r="L142" s="345"/>
      <c r="M142" s="628">
        <f>COUNTIF('納品書明細16-E'!$B$9:$B$206,CONCATENATE(VLOOKUP(G$5,$G$1:$H$4,2,FALSE),$E142,9,1))-INDEX($M$9:$M$90,MATCH($E142,$E$9:$E$90,0))</f>
        <v>0</v>
      </c>
      <c r="N142" s="642">
        <f>SUMIF('納品書明細16-E'!$B$9:$B$206,CONCATENATE(VLOOKUP(G$5,$G$1:$H$4,2,FALSE),$E142,9,1),'納品書明細16-E'!$Q$9:$Q$206)+SUMIF('納品書明細16-E'!$B$9:$B$206,CONCATENATE(VLOOKUP(G$5,$G$1:$H$4,2,FALSE),$E142,9,0),'納品書明細16-E'!$Q$9:$Q$206)-INDEX($N$9:$N$90,MATCH($E142,$E$9:$E$90,0))</f>
        <v>0</v>
      </c>
      <c r="O142" s="64"/>
      <c r="P142" s="646">
        <f>COUNTIF('納品書明細16-E'!$B$9:$B$206,CONCATENATE(VLOOKUP(P$5,$G$1:$H$4,2,FALSE),$E142,1,1))-VLOOKUP($E142,$E$9:$AF$92,$P$7-$D$7,0)</f>
        <v>0</v>
      </c>
      <c r="Q142" s="647">
        <f>SUMIF('納品書明細16-E'!$B$9:$B$206,CONCATENATE(VLOOKUP(P$5,$G$1:$H$4,2,FALSE),$E142,1,1),'納品書明細16-E'!$Q$9:$Q$206)+SUMIF('納品書明細16-E'!$B$9:$B$206,CONCATENATE(VLOOKUP(P$5,$G$1:$H$4,2,FALSE),$E142,1,0),'納品書明細16-E'!$Q$9:$Q$206)-VLOOKUP($E142,$E$9:$AF$92,$Q$7-$D$7,0)</f>
        <v>0</v>
      </c>
      <c r="R142" s="345"/>
      <c r="S142" s="122"/>
      <c r="T142" s="128"/>
      <c r="U142" s="345"/>
      <c r="V142" s="638">
        <f>COUNTIF('納品書明細16-E'!$B$9:$B$206,CONCATENATE(VLOOKUP(P$5,$G$1:$H$4,2,FALSE),$E142,9,1))-VLOOKUP($E142,$E$9:$AF$92,$V$7-$D$7,0)</f>
        <v>0</v>
      </c>
      <c r="W142" s="650">
        <f>SUMIF('納品書明細16-E'!$B$9:$B$206,CONCATENATE(VLOOKUP(P$5,$G$1:$H$4,2,FALSE),$E142,9,1),'納品書明細16-E'!$Q$9:$Q$206)+SUMIF('納品書明細16-E'!$B$9:$B$206,CONCATENATE(VLOOKUP(P$5,$G$1:$H$4,2,FALSE),$E142,9,0),'納品書明細16-E'!$Q$9:$Q$206)-VLOOKUP($E142,$E$9:$AF$92,$W$7-$D$7,0)</f>
        <v>0</v>
      </c>
      <c r="X142" s="64"/>
      <c r="Y142" s="646">
        <f>COUNTIF('納品書明細16-E'!$B$9:$B$206,CONCATENATE(VLOOKUP(Y$5,$G$1:$H$4,2,FALSE),$E142,1,1))-VLOOKUP($E142,$E$9:$AF$92,$Y$7-$D$7,0)</f>
        <v>0</v>
      </c>
      <c r="Z142" s="647">
        <f>SUMIF('納品書明細16-E'!$B$9:$B$206,CONCATENATE(VLOOKUP(Y$5,$G$1:$H$4,2,FALSE),$E142,1,1),'納品書明細16-E'!$Q$9:$Q$206)+SUMIF('納品書明細16-E'!$B$9:$B$206,CONCATENATE(VLOOKUP(Y$5,$G$1:$H$4,2,FALSE),$E142,1,0),'納品書明細16-E'!$Q$9:$Q$206)-VLOOKUP($E142,$E$9:$AF$92,$Z$7-$D$7,0)</f>
        <v>0</v>
      </c>
      <c r="AA142" s="345"/>
      <c r="AB142" s="122"/>
      <c r="AC142" s="128"/>
      <c r="AD142" s="345"/>
      <c r="AE142" s="638">
        <f>COUNTIF('納品書明細16-E'!$B$9:$B$206,CONCATENATE(VLOOKUP(Y$5,$G$1:$H$4,2,FALSE),$E142,9,1))-VLOOKUP($E142,$E$9:$AF$92,$AE$7-$D$7,0)</f>
        <v>0</v>
      </c>
      <c r="AF142" s="650">
        <f>SUMIF('納品書明細16-E'!$B$9:$B$206,CONCATENATE(VLOOKUP(Y$5,$G$1:$H$4,2,FALSE),$E142,9,1),'納品書明細16-E'!$Q$9:$Q$206)+SUMIF('納品書明細16-E'!$B$9:$B$206,CONCATENATE(VLOOKUP(Y$5,$G$1:$H$4,2,FALSE),$E142,9,0),'納品書明細16-E'!$Q$9:$Q$206)-VLOOKUP($E142,$E$9:$AF$92,$AF$7-$D$7,0)</f>
        <v>0</v>
      </c>
    </row>
    <row r="143" spans="1:32">
      <c r="A143" s="475" t="str">
        <f>IF(SUMIFS($G143:$AF143,$G$8:$AF$8,"金額",$G143:$AF143,"&gt;0")-SUMIFS($G143:$AF143,$G$8:$AF$8,"金額",$G143:$AF143,"&lt;0")&lt;=0,"",MAX($A$92:$A142)+1)</f>
        <v/>
      </c>
      <c r="B143" s="795"/>
      <c r="C143" s="245" t="str">
        <f t="shared" si="4"/>
        <v>経費</v>
      </c>
      <c r="D143" s="245">
        <v>51</v>
      </c>
      <c r="E143" s="590" t="str">
        <f>IF($F143&lt;&gt;"",INDEX(ﾏｽﾀ!$D$8:$D$124,MATCH(INDEX(ﾏｽﾀ!$N$8:$N$124,MATCH($F143,ﾏｽﾀ!$O$8:$O$124,0)),ﾏｽﾀ!$B$8:$B$124,0))&amp;"","")</f>
        <v>91000</v>
      </c>
      <c r="F143" s="589" t="str">
        <f>ﾏｽﾀ!$R58&amp;""</f>
        <v>株式会社バンジハンエース</v>
      </c>
      <c r="G143" s="634">
        <f>COUNTIF('納品書明細16-E'!$B$9:$B$206,CONCATENATE(VLOOKUP(G$5,$G$1:$H$4,2,FALSE),$E143,1,1))-INDEX($G$9:$G$90,MATCH($E143,$E$9:$E$90,0))</f>
        <v>0</v>
      </c>
      <c r="H143" s="636">
        <f>SUMIF('納品書明細16-E'!$B$9:$B$206,CONCATENATE(VLOOKUP(G$5,$G$1:$H$4,2,FALSE),$E143,1,1),'納品書明細16-E'!$Q$9:$Q$206)+SUMIF('納品書明細16-E'!$B$9:$B$206,CONCATENATE(VLOOKUP(G$5,$G$1:$H$4,2,FALSE),$E143,1,0),'納品書明細16-E'!$Q$9:$Q$206)-INDEX($H$9:$H$90,MATCH($E143,$E$9:$E$90,0))</f>
        <v>0</v>
      </c>
      <c r="I143" s="345"/>
      <c r="J143" s="122"/>
      <c r="K143" s="359"/>
      <c r="L143" s="345"/>
      <c r="M143" s="628">
        <f>COUNTIF('納品書明細16-E'!$B$9:$B$206,CONCATENATE(VLOOKUP(G$5,$G$1:$H$4,2,FALSE),$E143,9,1))-INDEX($M$9:$M$90,MATCH($E143,$E$9:$E$90,0))</f>
        <v>0</v>
      </c>
      <c r="N143" s="642">
        <f>SUMIF('納品書明細16-E'!$B$9:$B$206,CONCATENATE(VLOOKUP(G$5,$G$1:$H$4,2,FALSE),$E143,9,1),'納品書明細16-E'!$Q$9:$Q$206)+SUMIF('納品書明細16-E'!$B$9:$B$206,CONCATENATE(VLOOKUP(G$5,$G$1:$H$4,2,FALSE),$E143,9,0),'納品書明細16-E'!$Q$9:$Q$206)-INDEX($N$9:$N$90,MATCH($E143,$E$9:$E$90,0))</f>
        <v>0</v>
      </c>
      <c r="O143" s="64"/>
      <c r="P143" s="646">
        <f>COUNTIF('納品書明細16-E'!$B$9:$B$206,CONCATENATE(VLOOKUP(P$5,$G$1:$H$4,2,FALSE),$E143,1,1))-VLOOKUP($E143,$E$9:$AF$92,$P$7-$D$7,0)</f>
        <v>0</v>
      </c>
      <c r="Q143" s="647">
        <f>SUMIF('納品書明細16-E'!$B$9:$B$206,CONCATENATE(VLOOKUP(P$5,$G$1:$H$4,2,FALSE),$E143,1,1),'納品書明細16-E'!$Q$9:$Q$206)+SUMIF('納品書明細16-E'!$B$9:$B$206,CONCATENATE(VLOOKUP(P$5,$G$1:$H$4,2,FALSE),$E143,1,0),'納品書明細16-E'!$Q$9:$Q$206)-VLOOKUP($E143,$E$9:$AF$92,$Q$7-$D$7,0)</f>
        <v>0</v>
      </c>
      <c r="R143" s="345"/>
      <c r="S143" s="122"/>
      <c r="T143" s="128"/>
      <c r="U143" s="345"/>
      <c r="V143" s="638">
        <f>COUNTIF('納品書明細16-E'!$B$9:$B$206,CONCATENATE(VLOOKUP(P$5,$G$1:$H$4,2,FALSE),$E143,9,1))-VLOOKUP($E143,$E$9:$AF$92,$V$7-$D$7,0)</f>
        <v>0</v>
      </c>
      <c r="W143" s="650">
        <f>SUMIF('納品書明細16-E'!$B$9:$B$206,CONCATENATE(VLOOKUP(P$5,$G$1:$H$4,2,FALSE),$E143,9,1),'納品書明細16-E'!$Q$9:$Q$206)+SUMIF('納品書明細16-E'!$B$9:$B$206,CONCATENATE(VLOOKUP(P$5,$G$1:$H$4,2,FALSE),$E143,9,0),'納品書明細16-E'!$Q$9:$Q$206)-VLOOKUP($E143,$E$9:$AF$92,$W$7-$D$7,0)</f>
        <v>0</v>
      </c>
      <c r="X143" s="64"/>
      <c r="Y143" s="646">
        <f>COUNTIF('納品書明細16-E'!$B$9:$B$206,CONCATENATE(VLOOKUP(Y$5,$G$1:$H$4,2,FALSE),$E143,1,1))-VLOOKUP($E143,$E$9:$AF$92,$Y$7-$D$7,0)</f>
        <v>0</v>
      </c>
      <c r="Z143" s="647">
        <f>SUMIF('納品書明細16-E'!$B$9:$B$206,CONCATENATE(VLOOKUP(Y$5,$G$1:$H$4,2,FALSE),$E143,1,1),'納品書明細16-E'!$Q$9:$Q$206)+SUMIF('納品書明細16-E'!$B$9:$B$206,CONCATENATE(VLOOKUP(Y$5,$G$1:$H$4,2,FALSE),$E143,1,0),'納品書明細16-E'!$Q$9:$Q$206)-VLOOKUP($E143,$E$9:$AF$92,$Z$7-$D$7,0)</f>
        <v>0</v>
      </c>
      <c r="AA143" s="345"/>
      <c r="AB143" s="122"/>
      <c r="AC143" s="128"/>
      <c r="AD143" s="345"/>
      <c r="AE143" s="638">
        <f>COUNTIF('納品書明細16-E'!$B$9:$B$206,CONCATENATE(VLOOKUP(Y$5,$G$1:$H$4,2,FALSE),$E143,9,1))-VLOOKUP($E143,$E$9:$AF$92,$AE$7-$D$7,0)</f>
        <v>0</v>
      </c>
      <c r="AF143" s="650">
        <f>SUMIF('納品書明細16-E'!$B$9:$B$206,CONCATENATE(VLOOKUP(Y$5,$G$1:$H$4,2,FALSE),$E143,9,1),'納品書明細16-E'!$Q$9:$Q$206)+SUMIF('納品書明細16-E'!$B$9:$B$206,CONCATENATE(VLOOKUP(Y$5,$G$1:$H$4,2,FALSE),$E143,9,0),'納品書明細16-E'!$Q$9:$Q$206)-VLOOKUP($E143,$E$9:$AF$92,$AF$7-$D$7,0)</f>
        <v>0</v>
      </c>
    </row>
    <row r="144" spans="1:32">
      <c r="A144" s="475" t="str">
        <f>IF(SUMIFS($G144:$AF144,$G$8:$AF$8,"金額",$G144:$AF144,"&gt;0")-SUMIFS($G144:$AF144,$G$8:$AF$8,"金額",$G144:$AF144,"&lt;0")&lt;=0,"",MAX($A$92:$A143)+1)</f>
        <v/>
      </c>
      <c r="B144" s="795"/>
      <c r="C144" s="245" t="str">
        <f t="shared" si="4"/>
        <v>経費</v>
      </c>
      <c r="D144" s="245">
        <v>52</v>
      </c>
      <c r="E144" s="590" t="str">
        <f>IF($F144&lt;&gt;"",INDEX(ﾏｽﾀ!$D$8:$D$124,MATCH(INDEX(ﾏｽﾀ!$N$8:$N$124,MATCH($F144,ﾏｽﾀ!$O$8:$O$124,0)),ﾏｽﾀ!$B$8:$B$124,0))&amp;"","")</f>
        <v/>
      </c>
      <c r="F144" s="589" t="str">
        <f>ﾏｽﾀ!$R59&amp;""</f>
        <v/>
      </c>
      <c r="G144" s="634">
        <f>COUNTIF('納品書明細16-E'!$B$9:$B$206,CONCATENATE(VLOOKUP(G$5,$G$1:$H$4,2,FALSE),$E144,1,1))-INDEX($G$9:$G$90,MATCH($E144,$E$9:$E$90,0))</f>
        <v>0</v>
      </c>
      <c r="H144" s="636">
        <f>SUMIF('納品書明細16-E'!$B$9:$B$206,CONCATENATE(VLOOKUP(G$5,$G$1:$H$4,2,FALSE),$E144,1,1),'納品書明細16-E'!$Q$9:$Q$206)+SUMIF('納品書明細16-E'!$B$9:$B$206,CONCATENATE(VLOOKUP(G$5,$G$1:$H$4,2,FALSE),$E144,1,0),'納品書明細16-E'!$Q$9:$Q$206)-INDEX($H$9:$H$90,MATCH($E144,$E$9:$E$90,0))</f>
        <v>0</v>
      </c>
      <c r="I144" s="345"/>
      <c r="J144" s="122"/>
      <c r="K144" s="359"/>
      <c r="L144" s="345"/>
      <c r="M144" s="628">
        <f>COUNTIF('納品書明細16-E'!$B$9:$B$206,CONCATENATE(VLOOKUP(G$5,$G$1:$H$4,2,FALSE),$E144,9,1))-INDEX($M$9:$M$90,MATCH($E144,$E$9:$E$90,0))</f>
        <v>0</v>
      </c>
      <c r="N144" s="642">
        <f>SUMIF('納品書明細16-E'!$B$9:$B$206,CONCATENATE(VLOOKUP(G$5,$G$1:$H$4,2,FALSE),$E144,9,1),'納品書明細16-E'!$Q$9:$Q$206)+SUMIF('納品書明細16-E'!$B$9:$B$206,CONCATENATE(VLOOKUP(G$5,$G$1:$H$4,2,FALSE),$E144,9,0),'納品書明細16-E'!$Q$9:$Q$206)-INDEX($N$9:$N$90,MATCH($E144,$E$9:$E$90,0))</f>
        <v>0</v>
      </c>
      <c r="O144" s="64"/>
      <c r="P144" s="646">
        <f>COUNTIF('納品書明細16-E'!$B$9:$B$206,CONCATENATE(VLOOKUP(P$5,$G$1:$H$4,2,FALSE),$E144,1,1))-VLOOKUP($E144,$E$9:$AF$92,$P$7-$D$7,0)</f>
        <v>0</v>
      </c>
      <c r="Q144" s="647">
        <f>SUMIF('納品書明細16-E'!$B$9:$B$206,CONCATENATE(VLOOKUP(P$5,$G$1:$H$4,2,FALSE),$E144,1,1),'納品書明細16-E'!$Q$9:$Q$206)+SUMIF('納品書明細16-E'!$B$9:$B$206,CONCATENATE(VLOOKUP(P$5,$G$1:$H$4,2,FALSE),$E144,1,0),'納品書明細16-E'!$Q$9:$Q$206)-VLOOKUP($E144,$E$9:$AF$92,$Q$7-$D$7,0)</f>
        <v>0</v>
      </c>
      <c r="R144" s="345"/>
      <c r="S144" s="122"/>
      <c r="T144" s="128"/>
      <c r="U144" s="345"/>
      <c r="V144" s="638">
        <f>COUNTIF('納品書明細16-E'!$B$9:$B$206,CONCATENATE(VLOOKUP(P$5,$G$1:$H$4,2,FALSE),$E144,9,1))-VLOOKUP($E144,$E$9:$AF$92,$V$7-$D$7,0)</f>
        <v>0</v>
      </c>
      <c r="W144" s="650">
        <f>SUMIF('納品書明細16-E'!$B$9:$B$206,CONCATENATE(VLOOKUP(P$5,$G$1:$H$4,2,FALSE),$E144,9,1),'納品書明細16-E'!$Q$9:$Q$206)+SUMIF('納品書明細16-E'!$B$9:$B$206,CONCATENATE(VLOOKUP(P$5,$G$1:$H$4,2,FALSE),$E144,9,0),'納品書明細16-E'!$Q$9:$Q$206)-VLOOKUP($E144,$E$9:$AF$92,$W$7-$D$7,0)</f>
        <v>0</v>
      </c>
      <c r="X144" s="64"/>
      <c r="Y144" s="646">
        <f>COUNTIF('納品書明細16-E'!$B$9:$B$206,CONCATENATE(VLOOKUP(Y$5,$G$1:$H$4,2,FALSE),$E144,1,1))-VLOOKUP($E144,$E$9:$AF$92,$Y$7-$D$7,0)</f>
        <v>0</v>
      </c>
      <c r="Z144" s="647">
        <f>SUMIF('納品書明細16-E'!$B$9:$B$206,CONCATENATE(VLOOKUP(Y$5,$G$1:$H$4,2,FALSE),$E144,1,1),'納品書明細16-E'!$Q$9:$Q$206)+SUMIF('納品書明細16-E'!$B$9:$B$206,CONCATENATE(VLOOKUP(Y$5,$G$1:$H$4,2,FALSE),$E144,1,0),'納品書明細16-E'!$Q$9:$Q$206)-VLOOKUP($E144,$E$9:$AF$92,$Z$7-$D$7,0)</f>
        <v>0</v>
      </c>
      <c r="AA144" s="345"/>
      <c r="AB144" s="122"/>
      <c r="AC144" s="128"/>
      <c r="AD144" s="345"/>
      <c r="AE144" s="638">
        <f>COUNTIF('納品書明細16-E'!$B$9:$B$206,CONCATENATE(VLOOKUP(Y$5,$G$1:$H$4,2,FALSE),$E144,9,1))-VLOOKUP($E144,$E$9:$AF$92,$AE$7-$D$7,0)</f>
        <v>0</v>
      </c>
      <c r="AF144" s="650">
        <f>SUMIF('納品書明細16-E'!$B$9:$B$206,CONCATENATE(VLOOKUP(Y$5,$G$1:$H$4,2,FALSE),$E144,9,1),'納品書明細16-E'!$Q$9:$Q$206)+SUMIF('納品書明細16-E'!$B$9:$B$206,CONCATENATE(VLOOKUP(Y$5,$G$1:$H$4,2,FALSE),$E144,9,0),'納品書明細16-E'!$Q$9:$Q$206)-VLOOKUP($E144,$E$9:$AF$92,$AF$7-$D$7,0)</f>
        <v>0</v>
      </c>
    </row>
    <row r="145" spans="1:32">
      <c r="A145" s="475" t="str">
        <f>IF(SUMIFS($G145:$AF145,$G$8:$AF$8,"金額",$G145:$AF145,"&gt;0")-SUMIFS($G145:$AF145,$G$8:$AF$8,"金額",$G145:$AF145,"&lt;0")&lt;=0,"",MAX($A$92:$A144)+1)</f>
        <v/>
      </c>
      <c r="B145" s="795"/>
      <c r="C145" s="245" t="str">
        <f t="shared" si="4"/>
        <v>経費</v>
      </c>
      <c r="D145" s="245">
        <v>53</v>
      </c>
      <c r="E145" s="590" t="str">
        <f>IF($F145&lt;&gt;"",INDEX(ﾏｽﾀ!$D$8:$D$124,MATCH(INDEX(ﾏｽﾀ!$N$8:$N$124,MATCH($F145,ﾏｽﾀ!$O$8:$O$124,0)),ﾏｽﾀ!$B$8:$B$124,0))&amp;"","")</f>
        <v/>
      </c>
      <c r="F145" s="589" t="str">
        <f>ﾏｽﾀ!$R60&amp;""</f>
        <v/>
      </c>
      <c r="G145" s="634">
        <f>COUNTIF('納品書明細16-E'!$B$9:$B$206,CONCATENATE(VLOOKUP(G$5,$G$1:$H$4,2,FALSE),$E145,1,1))-INDEX($G$9:$G$90,MATCH($E145,$E$9:$E$90,0))</f>
        <v>0</v>
      </c>
      <c r="H145" s="636">
        <f>SUMIF('納品書明細16-E'!$B$9:$B$206,CONCATENATE(VLOOKUP(G$5,$G$1:$H$4,2,FALSE),$E145,1,1),'納品書明細16-E'!$Q$9:$Q$206)+SUMIF('納品書明細16-E'!$B$9:$B$206,CONCATENATE(VLOOKUP(G$5,$G$1:$H$4,2,FALSE),$E145,1,0),'納品書明細16-E'!$Q$9:$Q$206)-INDEX($H$9:$H$90,MATCH($E145,$E$9:$E$90,0))</f>
        <v>0</v>
      </c>
      <c r="I145" s="345"/>
      <c r="J145" s="122"/>
      <c r="K145" s="359"/>
      <c r="L145" s="345"/>
      <c r="M145" s="628">
        <f>COUNTIF('納品書明細16-E'!$B$9:$B$206,CONCATENATE(VLOOKUP(G$5,$G$1:$H$4,2,FALSE),$E145,9,1))-INDEX($M$9:$M$90,MATCH($E145,$E$9:$E$90,0))</f>
        <v>0</v>
      </c>
      <c r="N145" s="642">
        <f>SUMIF('納品書明細16-E'!$B$9:$B$206,CONCATENATE(VLOOKUP(G$5,$G$1:$H$4,2,FALSE),$E145,9,1),'納品書明細16-E'!$Q$9:$Q$206)+SUMIF('納品書明細16-E'!$B$9:$B$206,CONCATENATE(VLOOKUP(G$5,$G$1:$H$4,2,FALSE),$E145,9,0),'納品書明細16-E'!$Q$9:$Q$206)-INDEX($N$9:$N$90,MATCH($E145,$E$9:$E$90,0))</f>
        <v>0</v>
      </c>
      <c r="O145" s="64"/>
      <c r="P145" s="646">
        <f>COUNTIF('納品書明細16-E'!$B$9:$B$206,CONCATENATE(VLOOKUP(P$5,$G$1:$H$4,2,FALSE),$E145,1,1))-VLOOKUP($E145,$E$9:$AF$92,$P$7-$D$7,0)</f>
        <v>0</v>
      </c>
      <c r="Q145" s="647">
        <f>SUMIF('納品書明細16-E'!$B$9:$B$206,CONCATENATE(VLOOKUP(P$5,$G$1:$H$4,2,FALSE),$E145,1,1),'納品書明細16-E'!$Q$9:$Q$206)+SUMIF('納品書明細16-E'!$B$9:$B$206,CONCATENATE(VLOOKUP(P$5,$G$1:$H$4,2,FALSE),$E145,1,0),'納品書明細16-E'!$Q$9:$Q$206)-VLOOKUP($E145,$E$9:$AF$92,$Q$7-$D$7,0)</f>
        <v>0</v>
      </c>
      <c r="R145" s="345"/>
      <c r="S145" s="122"/>
      <c r="T145" s="128"/>
      <c r="U145" s="345"/>
      <c r="V145" s="638">
        <f>COUNTIF('納品書明細16-E'!$B$9:$B$206,CONCATENATE(VLOOKUP(P$5,$G$1:$H$4,2,FALSE),$E145,9,1))-VLOOKUP($E145,$E$9:$AF$92,$V$7-$D$7,0)</f>
        <v>0</v>
      </c>
      <c r="W145" s="650">
        <f>SUMIF('納品書明細16-E'!$B$9:$B$206,CONCATENATE(VLOOKUP(P$5,$G$1:$H$4,2,FALSE),$E145,9,1),'納品書明細16-E'!$Q$9:$Q$206)+SUMIF('納品書明細16-E'!$B$9:$B$206,CONCATENATE(VLOOKUP(P$5,$G$1:$H$4,2,FALSE),$E145,9,0),'納品書明細16-E'!$Q$9:$Q$206)-VLOOKUP($E145,$E$9:$AF$92,$W$7-$D$7,0)</f>
        <v>0</v>
      </c>
      <c r="X145" s="64"/>
      <c r="Y145" s="646">
        <f>COUNTIF('納品書明細16-E'!$B$9:$B$206,CONCATENATE(VLOOKUP(Y$5,$G$1:$H$4,2,FALSE),$E145,1,1))-VLOOKUP($E145,$E$9:$AF$92,$Y$7-$D$7,0)</f>
        <v>0</v>
      </c>
      <c r="Z145" s="647">
        <f>SUMIF('納品書明細16-E'!$B$9:$B$206,CONCATENATE(VLOOKUP(Y$5,$G$1:$H$4,2,FALSE),$E145,1,1),'納品書明細16-E'!$Q$9:$Q$206)+SUMIF('納品書明細16-E'!$B$9:$B$206,CONCATENATE(VLOOKUP(Y$5,$G$1:$H$4,2,FALSE),$E145,1,0),'納品書明細16-E'!$Q$9:$Q$206)-VLOOKUP($E145,$E$9:$AF$92,$Z$7-$D$7,0)</f>
        <v>0</v>
      </c>
      <c r="AA145" s="345"/>
      <c r="AB145" s="122"/>
      <c r="AC145" s="128"/>
      <c r="AD145" s="345"/>
      <c r="AE145" s="638">
        <f>COUNTIF('納品書明細16-E'!$B$9:$B$206,CONCATENATE(VLOOKUP(Y$5,$G$1:$H$4,2,FALSE),$E145,9,1))-VLOOKUP($E145,$E$9:$AF$92,$AE$7-$D$7,0)</f>
        <v>0</v>
      </c>
      <c r="AF145" s="650">
        <f>SUMIF('納品書明細16-E'!$B$9:$B$206,CONCATENATE(VLOOKUP(Y$5,$G$1:$H$4,2,FALSE),$E145,9,1),'納品書明細16-E'!$Q$9:$Q$206)+SUMIF('納品書明細16-E'!$B$9:$B$206,CONCATENATE(VLOOKUP(Y$5,$G$1:$H$4,2,FALSE),$E145,9,0),'納品書明細16-E'!$Q$9:$Q$206)-VLOOKUP($E145,$E$9:$AF$92,$AF$7-$D$7,0)</f>
        <v>0</v>
      </c>
    </row>
    <row r="146" spans="1:32">
      <c r="A146" s="475" t="str">
        <f>IF(SUMIFS($G146:$AF146,$G$8:$AF$8,"金額",$G146:$AF146,"&gt;0")-SUMIFS($G146:$AF146,$G$8:$AF$8,"金額",$G146:$AF146,"&lt;0")&lt;=0,"",MAX($A$92:$A145)+1)</f>
        <v/>
      </c>
      <c r="B146" s="795"/>
      <c r="C146" s="245" t="str">
        <f t="shared" si="4"/>
        <v>経費</v>
      </c>
      <c r="D146" s="245">
        <v>54</v>
      </c>
      <c r="E146" s="590" t="str">
        <f>IF($F146&lt;&gt;"",INDEX(ﾏｽﾀ!$D$8:$D$124,MATCH(INDEX(ﾏｽﾀ!$N$8:$N$124,MATCH($F146,ﾏｽﾀ!$O$8:$O$124,0)),ﾏｽﾀ!$B$8:$B$124,0))&amp;"","")</f>
        <v/>
      </c>
      <c r="F146" s="589" t="str">
        <f>ﾏｽﾀ!$R61&amp;""</f>
        <v/>
      </c>
      <c r="G146" s="634">
        <f>COUNTIF('納品書明細16-E'!$B$9:$B$206,CONCATENATE(VLOOKUP(G$5,$G$1:$H$4,2,FALSE),$E146,1,1))-INDEX($G$9:$G$90,MATCH($E146,$E$9:$E$90,0))</f>
        <v>0</v>
      </c>
      <c r="H146" s="636">
        <f>SUMIF('納品書明細16-E'!$B$9:$B$206,CONCATENATE(VLOOKUP(G$5,$G$1:$H$4,2,FALSE),$E146,1,1),'納品書明細16-E'!$Q$9:$Q$206)+SUMIF('納品書明細16-E'!$B$9:$B$206,CONCATENATE(VLOOKUP(G$5,$G$1:$H$4,2,FALSE),$E146,1,0),'納品書明細16-E'!$Q$9:$Q$206)-INDEX($H$9:$H$90,MATCH($E146,$E$9:$E$90,0))</f>
        <v>0</v>
      </c>
      <c r="I146" s="345"/>
      <c r="J146" s="122"/>
      <c r="K146" s="359"/>
      <c r="L146" s="345"/>
      <c r="M146" s="628">
        <f>COUNTIF('納品書明細16-E'!$B$9:$B$206,CONCATENATE(VLOOKUP(G$5,$G$1:$H$4,2,FALSE),$E146,9,1))-INDEX($M$9:$M$90,MATCH($E146,$E$9:$E$90,0))</f>
        <v>0</v>
      </c>
      <c r="N146" s="642">
        <f>SUMIF('納品書明細16-E'!$B$9:$B$206,CONCATENATE(VLOOKUP(G$5,$G$1:$H$4,2,FALSE),$E146,9,1),'納品書明細16-E'!$Q$9:$Q$206)+SUMIF('納品書明細16-E'!$B$9:$B$206,CONCATENATE(VLOOKUP(G$5,$G$1:$H$4,2,FALSE),$E146,9,0),'納品書明細16-E'!$Q$9:$Q$206)-INDEX($N$9:$N$90,MATCH($E146,$E$9:$E$90,0))</f>
        <v>0</v>
      </c>
      <c r="O146" s="64"/>
      <c r="P146" s="646">
        <f>COUNTIF('納品書明細16-E'!$B$9:$B$206,CONCATENATE(VLOOKUP(P$5,$G$1:$H$4,2,FALSE),$E146,1,1))-VLOOKUP($E146,$E$9:$AF$92,$P$7-$D$7,0)</f>
        <v>0</v>
      </c>
      <c r="Q146" s="647">
        <f>SUMIF('納品書明細16-E'!$B$9:$B$206,CONCATENATE(VLOOKUP(P$5,$G$1:$H$4,2,FALSE),$E146,1,1),'納品書明細16-E'!$Q$9:$Q$206)+SUMIF('納品書明細16-E'!$B$9:$B$206,CONCATENATE(VLOOKUP(P$5,$G$1:$H$4,2,FALSE),$E146,1,0),'納品書明細16-E'!$Q$9:$Q$206)-VLOOKUP($E146,$E$9:$AF$92,$Q$7-$D$7,0)</f>
        <v>0</v>
      </c>
      <c r="R146" s="345"/>
      <c r="S146" s="122"/>
      <c r="T146" s="128"/>
      <c r="U146" s="345"/>
      <c r="V146" s="638">
        <f>COUNTIF('納品書明細16-E'!$B$9:$B$206,CONCATENATE(VLOOKUP(P$5,$G$1:$H$4,2,FALSE),$E146,9,1))-VLOOKUP($E146,$E$9:$AF$92,$V$7-$D$7,0)</f>
        <v>0</v>
      </c>
      <c r="W146" s="650">
        <f>SUMIF('納品書明細16-E'!$B$9:$B$206,CONCATENATE(VLOOKUP(P$5,$G$1:$H$4,2,FALSE),$E146,9,1),'納品書明細16-E'!$Q$9:$Q$206)+SUMIF('納品書明細16-E'!$B$9:$B$206,CONCATENATE(VLOOKUP(P$5,$G$1:$H$4,2,FALSE),$E146,9,0),'納品書明細16-E'!$Q$9:$Q$206)-VLOOKUP($E146,$E$9:$AF$92,$W$7-$D$7,0)</f>
        <v>0</v>
      </c>
      <c r="X146" s="64"/>
      <c r="Y146" s="646">
        <f>COUNTIF('納品書明細16-E'!$B$9:$B$206,CONCATENATE(VLOOKUP(Y$5,$G$1:$H$4,2,FALSE),$E146,1,1))-VLOOKUP($E146,$E$9:$AF$92,$Y$7-$D$7,0)</f>
        <v>0</v>
      </c>
      <c r="Z146" s="647">
        <f>SUMIF('納品書明細16-E'!$B$9:$B$206,CONCATENATE(VLOOKUP(Y$5,$G$1:$H$4,2,FALSE),$E146,1,1),'納品書明細16-E'!$Q$9:$Q$206)+SUMIF('納品書明細16-E'!$B$9:$B$206,CONCATENATE(VLOOKUP(Y$5,$G$1:$H$4,2,FALSE),$E146,1,0),'納品書明細16-E'!$Q$9:$Q$206)-VLOOKUP($E146,$E$9:$AF$92,$Z$7-$D$7,0)</f>
        <v>0</v>
      </c>
      <c r="AA146" s="345"/>
      <c r="AB146" s="122"/>
      <c r="AC146" s="128"/>
      <c r="AD146" s="345"/>
      <c r="AE146" s="638">
        <f>COUNTIF('納品書明細16-E'!$B$9:$B$206,CONCATENATE(VLOOKUP(Y$5,$G$1:$H$4,2,FALSE),$E146,9,1))-VLOOKUP($E146,$E$9:$AF$92,$AE$7-$D$7,0)</f>
        <v>0</v>
      </c>
      <c r="AF146" s="650">
        <f>SUMIF('納品書明細16-E'!$B$9:$B$206,CONCATENATE(VLOOKUP(Y$5,$G$1:$H$4,2,FALSE),$E146,9,1),'納品書明細16-E'!$Q$9:$Q$206)+SUMIF('納品書明細16-E'!$B$9:$B$206,CONCATENATE(VLOOKUP(Y$5,$G$1:$H$4,2,FALSE),$E146,9,0),'納品書明細16-E'!$Q$9:$Q$206)-VLOOKUP($E146,$E$9:$AF$92,$AF$7-$D$7,0)</f>
        <v>0</v>
      </c>
    </row>
    <row r="147" spans="1:32">
      <c r="A147" s="475" t="str">
        <f>IF(SUMIFS($G147:$AF147,$G$8:$AF$8,"金額",$G147:$AF147,"&gt;0")-SUMIFS($G147:$AF147,$G$8:$AF$8,"金額",$G147:$AF147,"&lt;0")&lt;=0,"",MAX($A$92:$A146)+1)</f>
        <v/>
      </c>
      <c r="B147" s="795"/>
      <c r="C147" s="245" t="str">
        <f t="shared" si="4"/>
        <v>経費</v>
      </c>
      <c r="D147" s="245">
        <v>55</v>
      </c>
      <c r="E147" s="590" t="str">
        <f>IF($F147&lt;&gt;"",INDEX(ﾏｽﾀ!$D$8:$D$124,MATCH(INDEX(ﾏｽﾀ!$N$8:$N$124,MATCH($F147,ﾏｽﾀ!$O$8:$O$124,0)),ﾏｽﾀ!$B$8:$B$124,0))&amp;"","")</f>
        <v/>
      </c>
      <c r="F147" s="589" t="str">
        <f>ﾏｽﾀ!$R62&amp;""</f>
        <v/>
      </c>
      <c r="G147" s="634">
        <f>COUNTIF('納品書明細16-E'!$B$9:$B$206,CONCATENATE(VLOOKUP(G$5,$G$1:$H$4,2,FALSE),$E147,1,1))-INDEX($G$9:$G$90,MATCH($E147,$E$9:$E$90,0))</f>
        <v>0</v>
      </c>
      <c r="H147" s="636">
        <f>SUMIF('納品書明細16-E'!$B$9:$B$206,CONCATENATE(VLOOKUP(G$5,$G$1:$H$4,2,FALSE),$E147,1,1),'納品書明細16-E'!$Q$9:$Q$206)+SUMIF('納品書明細16-E'!$B$9:$B$206,CONCATENATE(VLOOKUP(G$5,$G$1:$H$4,2,FALSE),$E147,1,0),'納品書明細16-E'!$Q$9:$Q$206)-INDEX($H$9:$H$90,MATCH($E147,$E$9:$E$90,0))</f>
        <v>0</v>
      </c>
      <c r="I147" s="345"/>
      <c r="J147" s="122"/>
      <c r="K147" s="359"/>
      <c r="L147" s="345"/>
      <c r="M147" s="628">
        <f>COUNTIF('納品書明細16-E'!$B$9:$B$206,CONCATENATE(VLOOKUP(G$5,$G$1:$H$4,2,FALSE),$E147,9,1))-INDEX($M$9:$M$90,MATCH($E147,$E$9:$E$90,0))</f>
        <v>0</v>
      </c>
      <c r="N147" s="642">
        <f>SUMIF('納品書明細16-E'!$B$9:$B$206,CONCATENATE(VLOOKUP(G$5,$G$1:$H$4,2,FALSE),$E147,9,1),'納品書明細16-E'!$Q$9:$Q$206)+SUMIF('納品書明細16-E'!$B$9:$B$206,CONCATENATE(VLOOKUP(G$5,$G$1:$H$4,2,FALSE),$E147,9,0),'納品書明細16-E'!$Q$9:$Q$206)-INDEX($N$9:$N$90,MATCH($E147,$E$9:$E$90,0))</f>
        <v>0</v>
      </c>
      <c r="O147" s="64"/>
      <c r="P147" s="646">
        <f>COUNTIF('納品書明細16-E'!$B$9:$B$206,CONCATENATE(VLOOKUP(P$5,$G$1:$H$4,2,FALSE),$E147,1,1))-VLOOKUP($E147,$E$9:$AF$92,$P$7-$D$7,0)</f>
        <v>0</v>
      </c>
      <c r="Q147" s="647">
        <f>SUMIF('納品書明細16-E'!$B$9:$B$206,CONCATENATE(VLOOKUP(P$5,$G$1:$H$4,2,FALSE),$E147,1,1),'納品書明細16-E'!$Q$9:$Q$206)+SUMIF('納品書明細16-E'!$B$9:$B$206,CONCATENATE(VLOOKUP(P$5,$G$1:$H$4,2,FALSE),$E147,1,0),'納品書明細16-E'!$Q$9:$Q$206)-VLOOKUP($E147,$E$9:$AF$92,$Q$7-$D$7,0)</f>
        <v>0</v>
      </c>
      <c r="R147" s="345"/>
      <c r="S147" s="122"/>
      <c r="T147" s="128"/>
      <c r="U147" s="345"/>
      <c r="V147" s="638">
        <f>COUNTIF('納品書明細16-E'!$B$9:$B$206,CONCATENATE(VLOOKUP(P$5,$G$1:$H$4,2,FALSE),$E147,9,1))-VLOOKUP($E147,$E$9:$AF$92,$V$7-$D$7,0)</f>
        <v>0</v>
      </c>
      <c r="W147" s="650">
        <f>SUMIF('納品書明細16-E'!$B$9:$B$206,CONCATENATE(VLOOKUP(P$5,$G$1:$H$4,2,FALSE),$E147,9,1),'納品書明細16-E'!$Q$9:$Q$206)+SUMIF('納品書明細16-E'!$B$9:$B$206,CONCATENATE(VLOOKUP(P$5,$G$1:$H$4,2,FALSE),$E147,9,0),'納品書明細16-E'!$Q$9:$Q$206)-VLOOKUP($E147,$E$9:$AF$92,$W$7-$D$7,0)</f>
        <v>0</v>
      </c>
      <c r="X147" s="64"/>
      <c r="Y147" s="646">
        <f>COUNTIF('納品書明細16-E'!$B$9:$B$206,CONCATENATE(VLOOKUP(Y$5,$G$1:$H$4,2,FALSE),$E147,1,1))-VLOOKUP($E147,$E$9:$AF$92,$Y$7-$D$7,0)</f>
        <v>0</v>
      </c>
      <c r="Z147" s="647">
        <f>SUMIF('納品書明細16-E'!$B$9:$B$206,CONCATENATE(VLOOKUP(Y$5,$G$1:$H$4,2,FALSE),$E147,1,1),'納品書明細16-E'!$Q$9:$Q$206)+SUMIF('納品書明細16-E'!$B$9:$B$206,CONCATENATE(VLOOKUP(Y$5,$G$1:$H$4,2,FALSE),$E147,1,0),'納品書明細16-E'!$Q$9:$Q$206)-VLOOKUP($E147,$E$9:$AF$92,$Z$7-$D$7,0)</f>
        <v>0</v>
      </c>
      <c r="AA147" s="345"/>
      <c r="AB147" s="122"/>
      <c r="AC147" s="128"/>
      <c r="AD147" s="345"/>
      <c r="AE147" s="638">
        <f>COUNTIF('納品書明細16-E'!$B$9:$B$206,CONCATENATE(VLOOKUP(Y$5,$G$1:$H$4,2,FALSE),$E147,9,1))-VLOOKUP($E147,$E$9:$AF$92,$AE$7-$D$7,0)</f>
        <v>0</v>
      </c>
      <c r="AF147" s="650">
        <f>SUMIF('納品書明細16-E'!$B$9:$B$206,CONCATENATE(VLOOKUP(Y$5,$G$1:$H$4,2,FALSE),$E147,9,1),'納品書明細16-E'!$Q$9:$Q$206)+SUMIF('納品書明細16-E'!$B$9:$B$206,CONCATENATE(VLOOKUP(Y$5,$G$1:$H$4,2,FALSE),$E147,9,0),'納品書明細16-E'!$Q$9:$Q$206)-VLOOKUP($E147,$E$9:$AF$92,$AF$7-$D$7,0)</f>
        <v>0</v>
      </c>
    </row>
    <row r="148" spans="1:32" ht="13.5" customHeight="1">
      <c r="A148" s="475" t="str">
        <f>IF(SUMIFS($G148:$AF148,$G$8:$AF$8,"金額",$G148:$AF148,"&gt;0")-SUMIFS($G148:$AF148,$G$8:$AF$8,"金額",$G148:$AF148,"&lt;0")&lt;=0,"",MAX($A$92:$A147)+1)</f>
        <v/>
      </c>
      <c r="B148" s="795"/>
      <c r="C148" s="245" t="str">
        <f t="shared" si="4"/>
        <v>経費</v>
      </c>
      <c r="D148" s="245">
        <v>56</v>
      </c>
      <c r="E148" s="590" t="str">
        <f>IF($F148&lt;&gt;"",INDEX(ﾏｽﾀ!$D$8:$D$124,MATCH(INDEX(ﾏｽﾀ!$N$8:$N$124,MATCH($F148,ﾏｽﾀ!$O$8:$O$124,0)),ﾏｽﾀ!$B$8:$B$124,0))&amp;"","")</f>
        <v/>
      </c>
      <c r="F148" s="589" t="str">
        <f>ﾏｽﾀ!$R63&amp;""</f>
        <v/>
      </c>
      <c r="G148" s="634">
        <f>COUNTIF('納品書明細16-E'!$B$9:$B$206,CONCATENATE(VLOOKUP(G$5,$G$1:$H$4,2,FALSE),$E148,1,1))-INDEX($G$9:$G$90,MATCH($E148,$E$9:$E$90,0))</f>
        <v>0</v>
      </c>
      <c r="H148" s="636">
        <f>SUMIF('納品書明細16-E'!$B$9:$B$206,CONCATENATE(VLOOKUP(G$5,$G$1:$H$4,2,FALSE),$E148,1,1),'納品書明細16-E'!$Q$9:$Q$206)+SUMIF('納品書明細16-E'!$B$9:$B$206,CONCATENATE(VLOOKUP(G$5,$G$1:$H$4,2,FALSE),$E148,1,0),'納品書明細16-E'!$Q$9:$Q$206)-INDEX($H$9:$H$90,MATCH($E148,$E$9:$E$90,0))</f>
        <v>0</v>
      </c>
      <c r="I148" s="345"/>
      <c r="J148" s="122"/>
      <c r="K148" s="359"/>
      <c r="L148" s="345"/>
      <c r="M148" s="628">
        <f>COUNTIF('納品書明細16-E'!$B$9:$B$206,CONCATENATE(VLOOKUP(G$5,$G$1:$H$4,2,FALSE),$E148,9,1))-INDEX($M$9:$M$90,MATCH($E148,$E$9:$E$90,0))</f>
        <v>0</v>
      </c>
      <c r="N148" s="642">
        <f>SUMIF('納品書明細16-E'!$B$9:$B$206,CONCATENATE(VLOOKUP(G$5,$G$1:$H$4,2,FALSE),$E148,9,1),'納品書明細16-E'!$Q$9:$Q$206)+SUMIF('納品書明細16-E'!$B$9:$B$206,CONCATENATE(VLOOKUP(G$5,$G$1:$H$4,2,FALSE),$E148,9,0),'納品書明細16-E'!$Q$9:$Q$206)-INDEX($N$9:$N$90,MATCH($E148,$E$9:$E$90,0))</f>
        <v>0</v>
      </c>
      <c r="O148" s="64"/>
      <c r="P148" s="646">
        <f>COUNTIF('納品書明細16-E'!$B$9:$B$206,CONCATENATE(VLOOKUP(P$5,$G$1:$H$4,2,FALSE),$E148,1,1))-VLOOKUP($E148,$E$9:$AF$92,$P$7-$D$7,0)</f>
        <v>0</v>
      </c>
      <c r="Q148" s="647">
        <f>SUMIF('納品書明細16-E'!$B$9:$B$206,CONCATENATE(VLOOKUP(P$5,$G$1:$H$4,2,FALSE),$E148,1,1),'納品書明細16-E'!$Q$9:$Q$206)+SUMIF('納品書明細16-E'!$B$9:$B$206,CONCATENATE(VLOOKUP(P$5,$G$1:$H$4,2,FALSE),$E148,1,0),'納品書明細16-E'!$Q$9:$Q$206)-VLOOKUP($E148,$E$9:$AF$92,$Q$7-$D$7,0)</f>
        <v>0</v>
      </c>
      <c r="R148" s="345"/>
      <c r="S148" s="122"/>
      <c r="T148" s="128"/>
      <c r="U148" s="345"/>
      <c r="V148" s="638">
        <f>COUNTIF('納品書明細16-E'!$B$9:$B$206,CONCATENATE(VLOOKUP(P$5,$G$1:$H$4,2,FALSE),$E148,9,1))-VLOOKUP($E148,$E$9:$AF$92,$V$7-$D$7,0)</f>
        <v>0</v>
      </c>
      <c r="W148" s="650">
        <f>SUMIF('納品書明細16-E'!$B$9:$B$206,CONCATENATE(VLOOKUP(P$5,$G$1:$H$4,2,FALSE),$E148,9,1),'納品書明細16-E'!$Q$9:$Q$206)+SUMIF('納品書明細16-E'!$B$9:$B$206,CONCATENATE(VLOOKUP(P$5,$G$1:$H$4,2,FALSE),$E148,9,0),'納品書明細16-E'!$Q$9:$Q$206)-VLOOKUP($E148,$E$9:$AF$92,$W$7-$D$7,0)</f>
        <v>0</v>
      </c>
      <c r="X148" s="64"/>
      <c r="Y148" s="646">
        <f>COUNTIF('納品書明細16-E'!$B$9:$B$206,CONCATENATE(VLOOKUP(Y$5,$G$1:$H$4,2,FALSE),$E148,1,1))-VLOOKUP($E148,$E$9:$AF$92,$Y$7-$D$7,0)</f>
        <v>0</v>
      </c>
      <c r="Z148" s="647">
        <f>SUMIF('納品書明細16-E'!$B$9:$B$206,CONCATENATE(VLOOKUP(Y$5,$G$1:$H$4,2,FALSE),$E148,1,1),'納品書明細16-E'!$Q$9:$Q$206)+SUMIF('納品書明細16-E'!$B$9:$B$206,CONCATENATE(VLOOKUP(Y$5,$G$1:$H$4,2,FALSE),$E148,1,0),'納品書明細16-E'!$Q$9:$Q$206)-VLOOKUP($E148,$E$9:$AF$92,$Z$7-$D$7,0)</f>
        <v>0</v>
      </c>
      <c r="AA148" s="345"/>
      <c r="AB148" s="122"/>
      <c r="AC148" s="128"/>
      <c r="AD148" s="345"/>
      <c r="AE148" s="638">
        <f>COUNTIF('納品書明細16-E'!$B$9:$B$206,CONCATENATE(VLOOKUP(Y$5,$G$1:$H$4,2,FALSE),$E148,9,1))-VLOOKUP($E148,$E$9:$AF$92,$AE$7-$D$7,0)</f>
        <v>0</v>
      </c>
      <c r="AF148" s="650">
        <f>SUMIF('納品書明細16-E'!$B$9:$B$206,CONCATENATE(VLOOKUP(Y$5,$G$1:$H$4,2,FALSE),$E148,9,1),'納品書明細16-E'!$Q$9:$Q$206)+SUMIF('納品書明細16-E'!$B$9:$B$206,CONCATENATE(VLOOKUP(Y$5,$G$1:$H$4,2,FALSE),$E148,9,0),'納品書明細16-E'!$Q$9:$Q$206)-VLOOKUP($E148,$E$9:$AF$92,$AF$7-$D$7,0)</f>
        <v>0</v>
      </c>
    </row>
    <row r="149" spans="1:32" ht="13.5" customHeight="1">
      <c r="A149" s="475" t="str">
        <f>IF(SUMIFS($G149:$AF149,$G$8:$AF$8,"金額",$G149:$AF149,"&gt;0")-SUMIFS($G149:$AF149,$G$8:$AF$8,"金額",$G149:$AF149,"&lt;0")&lt;=0,"",MAX($A$92:$A148)+1)</f>
        <v/>
      </c>
      <c r="B149" s="795"/>
      <c r="C149" s="245" t="str">
        <f t="shared" si="4"/>
        <v>経費</v>
      </c>
      <c r="D149" s="245">
        <v>57</v>
      </c>
      <c r="E149" s="590" t="str">
        <f>IF($F149&lt;&gt;"",INDEX(ﾏｽﾀ!$D$8:$D$124,MATCH(INDEX(ﾏｽﾀ!$N$8:$N$124,MATCH($F149,ﾏｽﾀ!$O$8:$O$124,0)),ﾏｽﾀ!$B$8:$B$124,0))&amp;"","")</f>
        <v/>
      </c>
      <c r="F149" s="589" t="str">
        <f>ﾏｽﾀ!$R64&amp;""</f>
        <v/>
      </c>
      <c r="G149" s="634">
        <f>COUNTIF('納品書明細16-E'!$B$9:$B$206,CONCATENATE(VLOOKUP(G$5,$G$1:$H$4,2,FALSE),$E149,1,1))-INDEX($G$9:$G$90,MATCH($E149,$E$9:$E$90,0))</f>
        <v>0</v>
      </c>
      <c r="H149" s="636">
        <f>SUMIF('納品書明細16-E'!$B$9:$B$206,CONCATENATE(VLOOKUP(G$5,$G$1:$H$4,2,FALSE),$E149,1,1),'納品書明細16-E'!$Q$9:$Q$206)+SUMIF('納品書明細16-E'!$B$9:$B$206,CONCATENATE(VLOOKUP(G$5,$G$1:$H$4,2,FALSE),$E149,1,0),'納品書明細16-E'!$Q$9:$Q$206)-INDEX($H$9:$H$90,MATCH($E149,$E$9:$E$90,0))</f>
        <v>0</v>
      </c>
      <c r="I149" s="345"/>
      <c r="J149" s="122"/>
      <c r="K149" s="359"/>
      <c r="L149" s="345"/>
      <c r="M149" s="628">
        <f>COUNTIF('納品書明細16-E'!$B$9:$B$206,CONCATENATE(VLOOKUP(G$5,$G$1:$H$4,2,FALSE),$E149,9,1))-INDEX($M$9:$M$90,MATCH($E149,$E$9:$E$90,0))</f>
        <v>0</v>
      </c>
      <c r="N149" s="642">
        <f>SUMIF('納品書明細16-E'!$B$9:$B$206,CONCATENATE(VLOOKUP(G$5,$G$1:$H$4,2,FALSE),$E149,9,1),'納品書明細16-E'!$Q$9:$Q$206)+SUMIF('納品書明細16-E'!$B$9:$B$206,CONCATENATE(VLOOKUP(G$5,$G$1:$H$4,2,FALSE),$E149,9,0),'納品書明細16-E'!$Q$9:$Q$206)-INDEX($N$9:$N$90,MATCH($E149,$E$9:$E$90,0))</f>
        <v>0</v>
      </c>
      <c r="O149" s="64"/>
      <c r="P149" s="646">
        <f>COUNTIF('納品書明細16-E'!$B$9:$B$206,CONCATENATE(VLOOKUP(P$5,$G$1:$H$4,2,FALSE),$E149,1,1))-VLOOKUP($E149,$E$9:$AF$92,$P$7-$D$7,0)</f>
        <v>0</v>
      </c>
      <c r="Q149" s="647">
        <f>SUMIF('納品書明細16-E'!$B$9:$B$206,CONCATENATE(VLOOKUP(P$5,$G$1:$H$4,2,FALSE),$E149,1,1),'納品書明細16-E'!$Q$9:$Q$206)+SUMIF('納品書明細16-E'!$B$9:$B$206,CONCATENATE(VLOOKUP(P$5,$G$1:$H$4,2,FALSE),$E149,1,0),'納品書明細16-E'!$Q$9:$Q$206)-VLOOKUP($E149,$E$9:$AF$92,$Q$7-$D$7,0)</f>
        <v>0</v>
      </c>
      <c r="R149" s="345"/>
      <c r="S149" s="122"/>
      <c r="T149" s="128"/>
      <c r="U149" s="345"/>
      <c r="V149" s="638">
        <f>COUNTIF('納品書明細16-E'!$B$9:$B$206,CONCATENATE(VLOOKUP(P$5,$G$1:$H$4,2,FALSE),$E149,9,1))-VLOOKUP($E149,$E$9:$AF$92,$V$7-$D$7,0)</f>
        <v>0</v>
      </c>
      <c r="W149" s="650">
        <f>SUMIF('納品書明細16-E'!$B$9:$B$206,CONCATENATE(VLOOKUP(P$5,$G$1:$H$4,2,FALSE),$E149,9,1),'納品書明細16-E'!$Q$9:$Q$206)+SUMIF('納品書明細16-E'!$B$9:$B$206,CONCATENATE(VLOOKUP(P$5,$G$1:$H$4,2,FALSE),$E149,9,0),'納品書明細16-E'!$Q$9:$Q$206)-VLOOKUP($E149,$E$9:$AF$92,$W$7-$D$7,0)</f>
        <v>0</v>
      </c>
      <c r="X149" s="64"/>
      <c r="Y149" s="646">
        <f>COUNTIF('納品書明細16-E'!$B$9:$B$206,CONCATENATE(VLOOKUP(Y$5,$G$1:$H$4,2,FALSE),$E149,1,1))-VLOOKUP($E149,$E$9:$AF$92,$Y$7-$D$7,0)</f>
        <v>0</v>
      </c>
      <c r="Z149" s="647">
        <f>SUMIF('納品書明細16-E'!$B$9:$B$206,CONCATENATE(VLOOKUP(Y$5,$G$1:$H$4,2,FALSE),$E149,1,1),'納品書明細16-E'!$Q$9:$Q$206)+SUMIF('納品書明細16-E'!$B$9:$B$206,CONCATENATE(VLOOKUP(Y$5,$G$1:$H$4,2,FALSE),$E149,1,0),'納品書明細16-E'!$Q$9:$Q$206)-VLOOKUP($E149,$E$9:$AF$92,$Z$7-$D$7,0)</f>
        <v>0</v>
      </c>
      <c r="AA149" s="345"/>
      <c r="AB149" s="122"/>
      <c r="AC149" s="128"/>
      <c r="AD149" s="345"/>
      <c r="AE149" s="638">
        <f>COUNTIF('納品書明細16-E'!$B$9:$B$206,CONCATENATE(VLOOKUP(Y$5,$G$1:$H$4,2,FALSE),$E149,9,1))-VLOOKUP($E149,$E$9:$AF$92,$AE$7-$D$7,0)</f>
        <v>0</v>
      </c>
      <c r="AF149" s="650">
        <f>SUMIF('納品書明細16-E'!$B$9:$B$206,CONCATENATE(VLOOKUP(Y$5,$G$1:$H$4,2,FALSE),$E149,9,1),'納品書明細16-E'!$Q$9:$Q$206)+SUMIF('納品書明細16-E'!$B$9:$B$206,CONCATENATE(VLOOKUP(Y$5,$G$1:$H$4,2,FALSE),$E149,9,0),'納品書明細16-E'!$Q$9:$Q$206)-VLOOKUP($E149,$E$9:$AF$92,$AF$7-$D$7,0)</f>
        <v>0</v>
      </c>
    </row>
    <row r="150" spans="1:32" ht="13.5" customHeight="1">
      <c r="A150" s="475" t="str">
        <f>IF(SUMIFS($G150:$AF150,$G$8:$AF$8,"金額",$G150:$AF150,"&gt;0")-SUMIFS($G150:$AF150,$G$8:$AF$8,"金額",$G150:$AF150,"&lt;0")&lt;=0,"",MAX($A$92:$A149)+1)</f>
        <v/>
      </c>
      <c r="B150" s="795"/>
      <c r="C150" s="245" t="str">
        <f t="shared" si="4"/>
        <v>経費</v>
      </c>
      <c r="D150" s="245">
        <v>58</v>
      </c>
      <c r="E150" s="590" t="str">
        <f>IF($F150&lt;&gt;"",INDEX(ﾏｽﾀ!$D$8:$D$124,MATCH(INDEX(ﾏｽﾀ!$N$8:$N$124,MATCH($F150,ﾏｽﾀ!$O$8:$O$124,0)),ﾏｽﾀ!$B$8:$B$124,0))&amp;"","")</f>
        <v/>
      </c>
      <c r="F150" s="589" t="str">
        <f>ﾏｽﾀ!$R65&amp;""</f>
        <v/>
      </c>
      <c r="G150" s="634">
        <f>COUNTIF('納品書明細16-E'!$B$9:$B$206,CONCATENATE(VLOOKUP(G$5,$G$1:$H$4,2,FALSE),$E150,1,1))-INDEX($G$9:$G$90,MATCH($E150,$E$9:$E$90,0))</f>
        <v>0</v>
      </c>
      <c r="H150" s="636">
        <f>SUMIF('納品書明細16-E'!$B$9:$B$206,CONCATENATE(VLOOKUP(G$5,$G$1:$H$4,2,FALSE),$E150,1,1),'納品書明細16-E'!$Q$9:$Q$206)+SUMIF('納品書明細16-E'!$B$9:$B$206,CONCATENATE(VLOOKUP(G$5,$G$1:$H$4,2,FALSE),$E150,1,0),'納品書明細16-E'!$Q$9:$Q$206)-INDEX($H$9:$H$90,MATCH($E150,$E$9:$E$90,0))</f>
        <v>0</v>
      </c>
      <c r="I150" s="345"/>
      <c r="J150" s="122"/>
      <c r="K150" s="359"/>
      <c r="L150" s="345"/>
      <c r="M150" s="628">
        <f>COUNTIF('納品書明細16-E'!$B$9:$B$206,CONCATENATE(VLOOKUP(G$5,$G$1:$H$4,2,FALSE),$E150,9,1))-INDEX($M$9:$M$90,MATCH($E150,$E$9:$E$90,0))</f>
        <v>0</v>
      </c>
      <c r="N150" s="642">
        <f>SUMIF('納品書明細16-E'!$B$9:$B$206,CONCATENATE(VLOOKUP(G$5,$G$1:$H$4,2,FALSE),$E150,9,1),'納品書明細16-E'!$Q$9:$Q$206)+SUMIF('納品書明細16-E'!$B$9:$B$206,CONCATENATE(VLOOKUP(G$5,$G$1:$H$4,2,FALSE),$E150,9,0),'納品書明細16-E'!$Q$9:$Q$206)-INDEX($N$9:$N$90,MATCH($E150,$E$9:$E$90,0))</f>
        <v>0</v>
      </c>
      <c r="O150" s="64"/>
      <c r="P150" s="646">
        <f>COUNTIF('納品書明細16-E'!$B$9:$B$206,CONCATENATE(VLOOKUP(P$5,$G$1:$H$4,2,FALSE),$E150,1,1))-VLOOKUP($E150,$E$9:$AF$92,$P$7-$D$7,0)</f>
        <v>0</v>
      </c>
      <c r="Q150" s="647">
        <f>SUMIF('納品書明細16-E'!$B$9:$B$206,CONCATENATE(VLOOKUP(P$5,$G$1:$H$4,2,FALSE),$E150,1,1),'納品書明細16-E'!$Q$9:$Q$206)+SUMIF('納品書明細16-E'!$B$9:$B$206,CONCATENATE(VLOOKUP(P$5,$G$1:$H$4,2,FALSE),$E150,1,0),'納品書明細16-E'!$Q$9:$Q$206)-VLOOKUP($E150,$E$9:$AF$92,$Q$7-$D$7,0)</f>
        <v>0</v>
      </c>
      <c r="R150" s="345"/>
      <c r="S150" s="122"/>
      <c r="T150" s="128"/>
      <c r="U150" s="345"/>
      <c r="V150" s="638">
        <f>COUNTIF('納品書明細16-E'!$B$9:$B$206,CONCATENATE(VLOOKUP(P$5,$G$1:$H$4,2,FALSE),$E150,9,1))-VLOOKUP($E150,$E$9:$AF$92,$V$7-$D$7,0)</f>
        <v>0</v>
      </c>
      <c r="W150" s="650">
        <f>SUMIF('納品書明細16-E'!$B$9:$B$206,CONCATENATE(VLOOKUP(P$5,$G$1:$H$4,2,FALSE),$E150,9,1),'納品書明細16-E'!$Q$9:$Q$206)+SUMIF('納品書明細16-E'!$B$9:$B$206,CONCATENATE(VLOOKUP(P$5,$G$1:$H$4,2,FALSE),$E150,9,0),'納品書明細16-E'!$Q$9:$Q$206)-VLOOKUP($E150,$E$9:$AF$92,$W$7-$D$7,0)</f>
        <v>0</v>
      </c>
      <c r="X150" s="64"/>
      <c r="Y150" s="646">
        <f>COUNTIF('納品書明細16-E'!$B$9:$B$206,CONCATENATE(VLOOKUP(Y$5,$G$1:$H$4,2,FALSE),$E150,1,1))-VLOOKUP($E150,$E$9:$AF$92,$Y$7-$D$7,0)</f>
        <v>0</v>
      </c>
      <c r="Z150" s="647">
        <f>SUMIF('納品書明細16-E'!$B$9:$B$206,CONCATENATE(VLOOKUP(Y$5,$G$1:$H$4,2,FALSE),$E150,1,1),'納品書明細16-E'!$Q$9:$Q$206)+SUMIF('納品書明細16-E'!$B$9:$B$206,CONCATENATE(VLOOKUP(Y$5,$G$1:$H$4,2,FALSE),$E150,1,0),'納品書明細16-E'!$Q$9:$Q$206)-VLOOKUP($E150,$E$9:$AF$92,$Z$7-$D$7,0)</f>
        <v>0</v>
      </c>
      <c r="AA150" s="345"/>
      <c r="AB150" s="122"/>
      <c r="AC150" s="128"/>
      <c r="AD150" s="345"/>
      <c r="AE150" s="638">
        <f>COUNTIF('納品書明細16-E'!$B$9:$B$206,CONCATENATE(VLOOKUP(Y$5,$G$1:$H$4,2,FALSE),$E150,9,1))-VLOOKUP($E150,$E$9:$AF$92,$AE$7-$D$7,0)</f>
        <v>0</v>
      </c>
      <c r="AF150" s="650">
        <f>SUMIF('納品書明細16-E'!$B$9:$B$206,CONCATENATE(VLOOKUP(Y$5,$G$1:$H$4,2,FALSE),$E150,9,1),'納品書明細16-E'!$Q$9:$Q$206)+SUMIF('納品書明細16-E'!$B$9:$B$206,CONCATENATE(VLOOKUP(Y$5,$G$1:$H$4,2,FALSE),$E150,9,0),'納品書明細16-E'!$Q$9:$Q$206)-VLOOKUP($E150,$E$9:$AF$92,$AF$7-$D$7,0)</f>
        <v>0</v>
      </c>
    </row>
    <row r="151" spans="1:32" ht="13.5" customHeight="1">
      <c r="A151" s="475" t="str">
        <f>IF(SUMIFS($G151:$AF151,$G$8:$AF$8,"金額",$G151:$AF151,"&gt;0")-SUMIFS($G151:$AF151,$G$8:$AF$8,"金額",$G151:$AF151,"&lt;0")&lt;=0,"",MAX($A$92:$A150)+1)</f>
        <v/>
      </c>
      <c r="B151" s="795"/>
      <c r="C151" s="245" t="str">
        <f t="shared" si="4"/>
        <v>経費</v>
      </c>
      <c r="D151" s="245">
        <v>59</v>
      </c>
      <c r="E151" s="590" t="str">
        <f>IF($F151&lt;&gt;"",INDEX(ﾏｽﾀ!$D$8:$D$124,MATCH(INDEX(ﾏｽﾀ!$N$8:$N$124,MATCH($F151,ﾏｽﾀ!$O$8:$O$124,0)),ﾏｽﾀ!$B$8:$B$124,0))&amp;"","")</f>
        <v/>
      </c>
      <c r="F151" s="589" t="str">
        <f>ﾏｽﾀ!$R66&amp;""</f>
        <v/>
      </c>
      <c r="G151" s="634">
        <f>COUNTIF('納品書明細16-E'!$B$9:$B$206,CONCATENATE(VLOOKUP(G$5,$G$1:$H$4,2,FALSE),$E151,1,1))-INDEX($G$9:$G$90,MATCH($E151,$E$9:$E$90,0))</f>
        <v>0</v>
      </c>
      <c r="H151" s="636">
        <f>SUMIF('納品書明細16-E'!$B$9:$B$206,CONCATENATE(VLOOKUP(G$5,$G$1:$H$4,2,FALSE),$E151,1,1),'納品書明細16-E'!$Q$9:$Q$206)+SUMIF('納品書明細16-E'!$B$9:$B$206,CONCATENATE(VLOOKUP(G$5,$G$1:$H$4,2,FALSE),$E151,1,0),'納品書明細16-E'!$Q$9:$Q$206)-INDEX($H$9:$H$90,MATCH($E151,$E$9:$E$90,0))</f>
        <v>0</v>
      </c>
      <c r="I151" s="345"/>
      <c r="J151" s="122"/>
      <c r="K151" s="359"/>
      <c r="L151" s="345"/>
      <c r="M151" s="628">
        <f>COUNTIF('納品書明細16-E'!$B$9:$B$206,CONCATENATE(VLOOKUP(G$5,$G$1:$H$4,2,FALSE),$E151,9,1))-INDEX($M$9:$M$90,MATCH($E151,$E$9:$E$90,0))</f>
        <v>0</v>
      </c>
      <c r="N151" s="642">
        <f>SUMIF('納品書明細16-E'!$B$9:$B$206,CONCATENATE(VLOOKUP(G$5,$G$1:$H$4,2,FALSE),$E151,9,1),'納品書明細16-E'!$Q$9:$Q$206)+SUMIF('納品書明細16-E'!$B$9:$B$206,CONCATENATE(VLOOKUP(G$5,$G$1:$H$4,2,FALSE),$E151,9,0),'納品書明細16-E'!$Q$9:$Q$206)-INDEX($N$9:$N$90,MATCH($E151,$E$9:$E$90,0))</f>
        <v>0</v>
      </c>
      <c r="O151" s="64"/>
      <c r="P151" s="646">
        <f>COUNTIF('納品書明細16-E'!$B$9:$B$206,CONCATENATE(VLOOKUP(P$5,$G$1:$H$4,2,FALSE),$E151,1,1))-VLOOKUP($E151,$E$9:$AF$92,$P$7-$D$7,0)</f>
        <v>0</v>
      </c>
      <c r="Q151" s="647">
        <f>SUMIF('納品書明細16-E'!$B$9:$B$206,CONCATENATE(VLOOKUP(P$5,$G$1:$H$4,2,FALSE),$E151,1,1),'納品書明細16-E'!$Q$9:$Q$206)+SUMIF('納品書明細16-E'!$B$9:$B$206,CONCATENATE(VLOOKUP(P$5,$G$1:$H$4,2,FALSE),$E151,1,0),'納品書明細16-E'!$Q$9:$Q$206)-VLOOKUP($E151,$E$9:$AF$92,$Q$7-$D$7,0)</f>
        <v>0</v>
      </c>
      <c r="R151" s="345"/>
      <c r="S151" s="122"/>
      <c r="T151" s="128"/>
      <c r="U151" s="345"/>
      <c r="V151" s="638">
        <f>COUNTIF('納品書明細16-E'!$B$9:$B$206,CONCATENATE(VLOOKUP(P$5,$G$1:$H$4,2,FALSE),$E151,9,1))-VLOOKUP($E151,$E$9:$AF$92,$V$7-$D$7,0)</f>
        <v>0</v>
      </c>
      <c r="W151" s="650">
        <f>SUMIF('納品書明細16-E'!$B$9:$B$206,CONCATENATE(VLOOKUP(P$5,$G$1:$H$4,2,FALSE),$E151,9,1),'納品書明細16-E'!$Q$9:$Q$206)+SUMIF('納品書明細16-E'!$B$9:$B$206,CONCATENATE(VLOOKUP(P$5,$G$1:$H$4,2,FALSE),$E151,9,0),'納品書明細16-E'!$Q$9:$Q$206)-VLOOKUP($E151,$E$9:$AF$92,$W$7-$D$7,0)</f>
        <v>0</v>
      </c>
      <c r="X151" s="64"/>
      <c r="Y151" s="646">
        <f>COUNTIF('納品書明細16-E'!$B$9:$B$206,CONCATENATE(VLOOKUP(Y$5,$G$1:$H$4,2,FALSE),$E151,1,1))-VLOOKUP($E151,$E$9:$AF$92,$Y$7-$D$7,0)</f>
        <v>0</v>
      </c>
      <c r="Z151" s="647">
        <f>SUMIF('納品書明細16-E'!$B$9:$B$206,CONCATENATE(VLOOKUP(Y$5,$G$1:$H$4,2,FALSE),$E151,1,1),'納品書明細16-E'!$Q$9:$Q$206)+SUMIF('納品書明細16-E'!$B$9:$B$206,CONCATENATE(VLOOKUP(Y$5,$G$1:$H$4,2,FALSE),$E151,1,0),'納品書明細16-E'!$Q$9:$Q$206)-VLOOKUP($E151,$E$9:$AF$92,$Z$7-$D$7,0)</f>
        <v>0</v>
      </c>
      <c r="AA151" s="345"/>
      <c r="AB151" s="122"/>
      <c r="AC151" s="128"/>
      <c r="AD151" s="345"/>
      <c r="AE151" s="638">
        <f>COUNTIF('納品書明細16-E'!$B$9:$B$206,CONCATENATE(VLOOKUP(Y$5,$G$1:$H$4,2,FALSE),$E151,9,1))-VLOOKUP($E151,$E$9:$AF$92,$AE$7-$D$7,0)</f>
        <v>0</v>
      </c>
      <c r="AF151" s="650">
        <f>SUMIF('納品書明細16-E'!$B$9:$B$206,CONCATENATE(VLOOKUP(Y$5,$G$1:$H$4,2,FALSE),$E151,9,1),'納品書明細16-E'!$Q$9:$Q$206)+SUMIF('納品書明細16-E'!$B$9:$B$206,CONCATENATE(VLOOKUP(Y$5,$G$1:$H$4,2,FALSE),$E151,9,0),'納品書明細16-E'!$Q$9:$Q$206)-VLOOKUP($E151,$E$9:$AF$92,$AF$7-$D$7,0)</f>
        <v>0</v>
      </c>
    </row>
    <row r="152" spans="1:32" ht="13.5" customHeight="1">
      <c r="A152" s="475" t="str">
        <f>IF(SUMIFS($G152:$AF152,$G$8:$AF$8,"金額",$G152:$AF152,"&gt;0")-SUMIFS($G152:$AF152,$G$8:$AF$8,"金額",$G152:$AF152,"&lt;0")&lt;=0,"",MAX($A$92:$A151)+1)</f>
        <v/>
      </c>
      <c r="B152" s="795"/>
      <c r="C152" s="245" t="str">
        <f t="shared" si="4"/>
        <v>経費</v>
      </c>
      <c r="D152" s="245">
        <v>60</v>
      </c>
      <c r="E152" s="590" t="str">
        <f>IF($F152&lt;&gt;"",INDEX(ﾏｽﾀ!$D$8:$D$124,MATCH(INDEX(ﾏｽﾀ!$N$8:$N$124,MATCH($F152,ﾏｽﾀ!$O$8:$O$124,0)),ﾏｽﾀ!$B$8:$B$124,0))&amp;"","")</f>
        <v/>
      </c>
      <c r="F152" s="589" t="str">
        <f>ﾏｽﾀ!$R67&amp;""</f>
        <v/>
      </c>
      <c r="G152" s="634">
        <f>COUNTIF('納品書明細16-E'!$B$9:$B$206,CONCATENATE(VLOOKUP(G$5,$G$1:$H$4,2,FALSE),$E152,1,1))-INDEX($G$9:$G$90,MATCH($E152,$E$9:$E$90,0))</f>
        <v>0</v>
      </c>
      <c r="H152" s="636">
        <f>SUMIF('納品書明細16-E'!$B$9:$B$206,CONCATENATE(VLOOKUP(G$5,$G$1:$H$4,2,FALSE),$E152,1,1),'納品書明細16-E'!$Q$9:$Q$206)+SUMIF('納品書明細16-E'!$B$9:$B$206,CONCATENATE(VLOOKUP(G$5,$G$1:$H$4,2,FALSE),$E152,1,0),'納品書明細16-E'!$Q$9:$Q$206)-INDEX($H$9:$H$90,MATCH($E152,$E$9:$E$90,0))</f>
        <v>0</v>
      </c>
      <c r="I152" s="345"/>
      <c r="J152" s="122"/>
      <c r="K152" s="359"/>
      <c r="L152" s="345"/>
      <c r="M152" s="628">
        <f>COUNTIF('納品書明細16-E'!$B$9:$B$206,CONCATENATE(VLOOKUP(G$5,$G$1:$H$4,2,FALSE),$E152,9,1))-INDEX($M$9:$M$90,MATCH($E152,$E$9:$E$90,0))</f>
        <v>0</v>
      </c>
      <c r="N152" s="642">
        <f>SUMIF('納品書明細16-E'!$B$9:$B$206,CONCATENATE(VLOOKUP(G$5,$G$1:$H$4,2,FALSE),$E152,9,1),'納品書明細16-E'!$Q$9:$Q$206)+SUMIF('納品書明細16-E'!$B$9:$B$206,CONCATENATE(VLOOKUP(G$5,$G$1:$H$4,2,FALSE),$E152,9,0),'納品書明細16-E'!$Q$9:$Q$206)-INDEX($N$9:$N$90,MATCH($E152,$E$9:$E$90,0))</f>
        <v>0</v>
      </c>
      <c r="O152" s="64"/>
      <c r="P152" s="646">
        <f>COUNTIF('納品書明細16-E'!$B$9:$B$206,CONCATENATE(VLOOKUP(P$5,$G$1:$H$4,2,FALSE),$E152,1,1))-VLOOKUP($E152,$E$9:$AF$92,$P$7-$D$7,0)</f>
        <v>0</v>
      </c>
      <c r="Q152" s="647">
        <f>SUMIF('納品書明細16-E'!$B$9:$B$206,CONCATENATE(VLOOKUP(P$5,$G$1:$H$4,2,FALSE),$E152,1,1),'納品書明細16-E'!$Q$9:$Q$206)+SUMIF('納品書明細16-E'!$B$9:$B$206,CONCATENATE(VLOOKUP(P$5,$G$1:$H$4,2,FALSE),$E152,1,0),'納品書明細16-E'!$Q$9:$Q$206)-VLOOKUP($E152,$E$9:$AF$92,$Q$7-$D$7,0)</f>
        <v>0</v>
      </c>
      <c r="R152" s="345"/>
      <c r="S152" s="122"/>
      <c r="T152" s="128"/>
      <c r="U152" s="345"/>
      <c r="V152" s="638">
        <f>COUNTIF('納品書明細16-E'!$B$9:$B$206,CONCATENATE(VLOOKUP(P$5,$G$1:$H$4,2,FALSE),$E152,9,1))-VLOOKUP($E152,$E$9:$AF$92,$V$7-$D$7,0)</f>
        <v>0</v>
      </c>
      <c r="W152" s="650">
        <f>SUMIF('納品書明細16-E'!$B$9:$B$206,CONCATENATE(VLOOKUP(P$5,$G$1:$H$4,2,FALSE),$E152,9,1),'納品書明細16-E'!$Q$9:$Q$206)+SUMIF('納品書明細16-E'!$B$9:$B$206,CONCATENATE(VLOOKUP(P$5,$G$1:$H$4,2,FALSE),$E152,9,0),'納品書明細16-E'!$Q$9:$Q$206)-VLOOKUP($E152,$E$9:$AF$92,$W$7-$D$7,0)</f>
        <v>0</v>
      </c>
      <c r="X152" s="64"/>
      <c r="Y152" s="646">
        <f>COUNTIF('納品書明細16-E'!$B$9:$B$206,CONCATENATE(VLOOKUP(Y$5,$G$1:$H$4,2,FALSE),$E152,1,1))-VLOOKUP($E152,$E$9:$AF$92,$Y$7-$D$7,0)</f>
        <v>0</v>
      </c>
      <c r="Z152" s="647">
        <f>SUMIF('納品書明細16-E'!$B$9:$B$206,CONCATENATE(VLOOKUP(Y$5,$G$1:$H$4,2,FALSE),$E152,1,1),'納品書明細16-E'!$Q$9:$Q$206)+SUMIF('納品書明細16-E'!$B$9:$B$206,CONCATENATE(VLOOKUP(Y$5,$G$1:$H$4,2,FALSE),$E152,1,0),'納品書明細16-E'!$Q$9:$Q$206)-VLOOKUP($E152,$E$9:$AF$92,$Z$7-$D$7,0)</f>
        <v>0</v>
      </c>
      <c r="AA152" s="345"/>
      <c r="AB152" s="122"/>
      <c r="AC152" s="128"/>
      <c r="AD152" s="345"/>
      <c r="AE152" s="638">
        <f>COUNTIF('納品書明細16-E'!$B$9:$B$206,CONCATENATE(VLOOKUP(Y$5,$G$1:$H$4,2,FALSE),$E152,9,1))-VLOOKUP($E152,$E$9:$AF$92,$AE$7-$D$7,0)</f>
        <v>0</v>
      </c>
      <c r="AF152" s="650">
        <f>SUMIF('納品書明細16-E'!$B$9:$B$206,CONCATENATE(VLOOKUP(Y$5,$G$1:$H$4,2,FALSE),$E152,9,1),'納品書明細16-E'!$Q$9:$Q$206)+SUMIF('納品書明細16-E'!$B$9:$B$206,CONCATENATE(VLOOKUP(Y$5,$G$1:$H$4,2,FALSE),$E152,9,0),'納品書明細16-E'!$Q$9:$Q$206)-VLOOKUP($E152,$E$9:$AF$92,$AF$7-$D$7,0)</f>
        <v>0</v>
      </c>
    </row>
    <row r="153" spans="1:32" ht="13.5" customHeight="1">
      <c r="A153" s="475" t="str">
        <f>IF(SUMIFS($G153:$AF153,$G$8:$AF$8,"金額",$G153:$AF153,"&gt;0")-SUMIFS($G153:$AF153,$G$8:$AF$8,"金額",$G153:$AF153,"&lt;0")&lt;=0,"",MAX($A$92:$A152)+1)</f>
        <v/>
      </c>
      <c r="B153" s="795"/>
      <c r="C153" s="245" t="str">
        <f t="shared" si="4"/>
        <v>経費</v>
      </c>
      <c r="D153" s="245">
        <v>61</v>
      </c>
      <c r="E153" s="590" t="str">
        <f>IF($F153&lt;&gt;"",INDEX(ﾏｽﾀ!$D$8:$D$124,MATCH(INDEX(ﾏｽﾀ!$N$8:$N$124,MATCH($F153,ﾏｽﾀ!$O$8:$O$124,0)),ﾏｽﾀ!$B$8:$B$124,0))&amp;"","")</f>
        <v/>
      </c>
      <c r="F153" s="589" t="str">
        <f>ﾏｽﾀ!$R68&amp;""</f>
        <v/>
      </c>
      <c r="G153" s="634">
        <f>COUNTIF('納品書明細16-E'!$B$9:$B$206,CONCATENATE(VLOOKUP(G$5,$G$1:$H$4,2,FALSE),$E153,1,1))-INDEX($G$9:$G$90,MATCH($E153,$E$9:$E$90,0))</f>
        <v>0</v>
      </c>
      <c r="H153" s="636">
        <f>SUMIF('納品書明細16-E'!$B$9:$B$206,CONCATENATE(VLOOKUP(G$5,$G$1:$H$4,2,FALSE),$E153,1,1),'納品書明細16-E'!$Q$9:$Q$206)+SUMIF('納品書明細16-E'!$B$9:$B$206,CONCATENATE(VLOOKUP(G$5,$G$1:$H$4,2,FALSE),$E153,1,0),'納品書明細16-E'!$Q$9:$Q$206)-INDEX($H$9:$H$90,MATCH($E153,$E$9:$E$90,0))</f>
        <v>0</v>
      </c>
      <c r="I153" s="345"/>
      <c r="J153" s="122"/>
      <c r="K153" s="359"/>
      <c r="L153" s="345"/>
      <c r="M153" s="628">
        <f>COUNTIF('納品書明細16-E'!$B$9:$B$206,CONCATENATE(VLOOKUP(G$5,$G$1:$H$4,2,FALSE),$E153,9,1))-INDEX($M$9:$M$90,MATCH($E153,$E$9:$E$90,0))</f>
        <v>0</v>
      </c>
      <c r="N153" s="642">
        <f>SUMIF('納品書明細16-E'!$B$9:$B$206,CONCATENATE(VLOOKUP(G$5,$G$1:$H$4,2,FALSE),$E153,9,1),'納品書明細16-E'!$Q$9:$Q$206)+SUMIF('納品書明細16-E'!$B$9:$B$206,CONCATENATE(VLOOKUP(G$5,$G$1:$H$4,2,FALSE),$E153,9,0),'納品書明細16-E'!$Q$9:$Q$206)-INDEX($N$9:$N$90,MATCH($E153,$E$9:$E$90,0))</f>
        <v>0</v>
      </c>
      <c r="O153" s="64"/>
      <c r="P153" s="646">
        <f>COUNTIF('納品書明細16-E'!$B$9:$B$206,CONCATENATE(VLOOKUP(P$5,$G$1:$H$4,2,FALSE),$E153,1,1))-VLOOKUP($E153,$E$9:$AF$92,$P$7-$D$7,0)</f>
        <v>0</v>
      </c>
      <c r="Q153" s="647">
        <f>SUMIF('納品書明細16-E'!$B$9:$B$206,CONCATENATE(VLOOKUP(P$5,$G$1:$H$4,2,FALSE),$E153,1,1),'納品書明細16-E'!$Q$9:$Q$206)+SUMIF('納品書明細16-E'!$B$9:$B$206,CONCATENATE(VLOOKUP(P$5,$G$1:$H$4,2,FALSE),$E153,1,0),'納品書明細16-E'!$Q$9:$Q$206)-VLOOKUP($E153,$E$9:$AF$92,$Q$7-$D$7,0)</f>
        <v>0</v>
      </c>
      <c r="R153" s="345"/>
      <c r="S153" s="122"/>
      <c r="T153" s="128"/>
      <c r="U153" s="345"/>
      <c r="V153" s="638">
        <f>COUNTIF('納品書明細16-E'!$B$9:$B$206,CONCATENATE(VLOOKUP(P$5,$G$1:$H$4,2,FALSE),$E153,9,1))-VLOOKUP($E153,$E$9:$AF$92,$V$7-$D$7,0)</f>
        <v>0</v>
      </c>
      <c r="W153" s="650">
        <f>SUMIF('納品書明細16-E'!$B$9:$B$206,CONCATENATE(VLOOKUP(P$5,$G$1:$H$4,2,FALSE),$E153,9,1),'納品書明細16-E'!$Q$9:$Q$206)+SUMIF('納品書明細16-E'!$B$9:$B$206,CONCATENATE(VLOOKUP(P$5,$G$1:$H$4,2,FALSE),$E153,9,0),'納品書明細16-E'!$Q$9:$Q$206)-VLOOKUP($E153,$E$9:$AF$92,$W$7-$D$7,0)</f>
        <v>0</v>
      </c>
      <c r="X153" s="64"/>
      <c r="Y153" s="646">
        <f>COUNTIF('納品書明細16-E'!$B$9:$B$206,CONCATENATE(VLOOKUP(Y$5,$G$1:$H$4,2,FALSE),$E153,1,1))-VLOOKUP($E153,$E$9:$AF$92,$Y$7-$D$7,0)</f>
        <v>0</v>
      </c>
      <c r="Z153" s="647">
        <f>SUMIF('納品書明細16-E'!$B$9:$B$206,CONCATENATE(VLOOKUP(Y$5,$G$1:$H$4,2,FALSE),$E153,1,1),'納品書明細16-E'!$Q$9:$Q$206)+SUMIF('納品書明細16-E'!$B$9:$B$206,CONCATENATE(VLOOKUP(Y$5,$G$1:$H$4,2,FALSE),$E153,1,0),'納品書明細16-E'!$Q$9:$Q$206)-VLOOKUP($E153,$E$9:$AF$92,$Z$7-$D$7,0)</f>
        <v>0</v>
      </c>
      <c r="AA153" s="345"/>
      <c r="AB153" s="122"/>
      <c r="AC153" s="128"/>
      <c r="AD153" s="345"/>
      <c r="AE153" s="638">
        <f>COUNTIF('納品書明細16-E'!$B$9:$B$206,CONCATENATE(VLOOKUP(Y$5,$G$1:$H$4,2,FALSE),$E153,9,1))-VLOOKUP($E153,$E$9:$AF$92,$AE$7-$D$7,0)</f>
        <v>0</v>
      </c>
      <c r="AF153" s="650">
        <f>SUMIF('納品書明細16-E'!$B$9:$B$206,CONCATENATE(VLOOKUP(Y$5,$G$1:$H$4,2,FALSE),$E153,9,1),'納品書明細16-E'!$Q$9:$Q$206)+SUMIF('納品書明細16-E'!$B$9:$B$206,CONCATENATE(VLOOKUP(Y$5,$G$1:$H$4,2,FALSE),$E153,9,0),'納品書明細16-E'!$Q$9:$Q$206)-VLOOKUP($E153,$E$9:$AF$92,$AF$7-$D$7,0)</f>
        <v>0</v>
      </c>
    </row>
    <row r="154" spans="1:32" ht="13.5" customHeight="1">
      <c r="A154" s="475" t="str">
        <f>IF(SUMIFS($G154:$AF154,$G$8:$AF$8,"金額",$G154:$AF154,"&gt;0")-SUMIFS($G154:$AF154,$G$8:$AF$8,"金額",$G154:$AF154,"&lt;0")&lt;=0,"",MAX($A$92:$A153)+1)</f>
        <v/>
      </c>
      <c r="B154" s="795"/>
      <c r="C154" s="245" t="str">
        <f t="shared" si="4"/>
        <v>経費</v>
      </c>
      <c r="D154" s="245">
        <v>62</v>
      </c>
      <c r="E154" s="590" t="str">
        <f>IF($F154&lt;&gt;"",INDEX(ﾏｽﾀ!$D$8:$D$124,MATCH(INDEX(ﾏｽﾀ!$N$8:$N$124,MATCH($F154,ﾏｽﾀ!$O$8:$O$124,0)),ﾏｽﾀ!$B$8:$B$124,0))&amp;"","")</f>
        <v/>
      </c>
      <c r="F154" s="589" t="str">
        <f>ﾏｽﾀ!$R69&amp;""</f>
        <v/>
      </c>
      <c r="G154" s="634">
        <f>COUNTIF('納品書明細16-E'!$B$9:$B$206,CONCATENATE(VLOOKUP(G$5,$G$1:$H$4,2,FALSE),$E154,1,1))-INDEX($G$9:$G$90,MATCH($E154,$E$9:$E$90,0))</f>
        <v>0</v>
      </c>
      <c r="H154" s="636">
        <f>SUMIF('納品書明細16-E'!$B$9:$B$206,CONCATENATE(VLOOKUP(G$5,$G$1:$H$4,2,FALSE),$E154,1,1),'納品書明細16-E'!$Q$9:$Q$206)+SUMIF('納品書明細16-E'!$B$9:$B$206,CONCATENATE(VLOOKUP(G$5,$G$1:$H$4,2,FALSE),$E154,1,0),'納品書明細16-E'!$Q$9:$Q$206)-INDEX($H$9:$H$90,MATCH($E154,$E$9:$E$90,0))</f>
        <v>0</v>
      </c>
      <c r="I154" s="345"/>
      <c r="J154" s="122"/>
      <c r="K154" s="359"/>
      <c r="L154" s="345"/>
      <c r="M154" s="628">
        <f>COUNTIF('納品書明細16-E'!$B$9:$B$206,CONCATENATE(VLOOKUP(G$5,$G$1:$H$4,2,FALSE),$E154,9,1))-INDEX($M$9:$M$90,MATCH($E154,$E$9:$E$90,0))</f>
        <v>0</v>
      </c>
      <c r="N154" s="642">
        <f>SUMIF('納品書明細16-E'!$B$9:$B$206,CONCATENATE(VLOOKUP(G$5,$G$1:$H$4,2,FALSE),$E154,9,1),'納品書明細16-E'!$Q$9:$Q$206)+SUMIF('納品書明細16-E'!$B$9:$B$206,CONCATENATE(VLOOKUP(G$5,$G$1:$H$4,2,FALSE),$E154,9,0),'納品書明細16-E'!$Q$9:$Q$206)-INDEX($N$9:$N$90,MATCH($E154,$E$9:$E$90,0))</f>
        <v>0</v>
      </c>
      <c r="O154" s="64"/>
      <c r="P154" s="646">
        <f>COUNTIF('納品書明細16-E'!$B$9:$B$206,CONCATENATE(VLOOKUP(P$5,$G$1:$H$4,2,FALSE),$E154,1,1))-VLOOKUP($E154,$E$9:$AF$92,$P$7-$D$7,0)</f>
        <v>0</v>
      </c>
      <c r="Q154" s="647">
        <f>SUMIF('納品書明細16-E'!$B$9:$B$206,CONCATENATE(VLOOKUP(P$5,$G$1:$H$4,2,FALSE),$E154,1,1),'納品書明細16-E'!$Q$9:$Q$206)+SUMIF('納品書明細16-E'!$B$9:$B$206,CONCATENATE(VLOOKUP(P$5,$G$1:$H$4,2,FALSE),$E154,1,0),'納品書明細16-E'!$Q$9:$Q$206)-VLOOKUP($E154,$E$9:$AF$92,$Q$7-$D$7,0)</f>
        <v>0</v>
      </c>
      <c r="R154" s="345"/>
      <c r="S154" s="122"/>
      <c r="T154" s="128"/>
      <c r="U154" s="345"/>
      <c r="V154" s="638">
        <f>COUNTIF('納品書明細16-E'!$B$9:$B$206,CONCATENATE(VLOOKUP(P$5,$G$1:$H$4,2,FALSE),$E154,9,1))-VLOOKUP($E154,$E$9:$AF$92,$V$7-$D$7,0)</f>
        <v>0</v>
      </c>
      <c r="W154" s="650">
        <f>SUMIF('納品書明細16-E'!$B$9:$B$206,CONCATENATE(VLOOKUP(P$5,$G$1:$H$4,2,FALSE),$E154,9,1),'納品書明細16-E'!$Q$9:$Q$206)+SUMIF('納品書明細16-E'!$B$9:$B$206,CONCATENATE(VLOOKUP(P$5,$G$1:$H$4,2,FALSE),$E154,9,0),'納品書明細16-E'!$Q$9:$Q$206)-VLOOKUP($E154,$E$9:$AF$92,$W$7-$D$7,0)</f>
        <v>0</v>
      </c>
      <c r="X154" s="64"/>
      <c r="Y154" s="646">
        <f>COUNTIF('納品書明細16-E'!$B$9:$B$206,CONCATENATE(VLOOKUP(Y$5,$G$1:$H$4,2,FALSE),$E154,1,1))-VLOOKUP($E154,$E$9:$AF$92,$Y$7-$D$7,0)</f>
        <v>0</v>
      </c>
      <c r="Z154" s="647">
        <f>SUMIF('納品書明細16-E'!$B$9:$B$206,CONCATENATE(VLOOKUP(Y$5,$G$1:$H$4,2,FALSE),$E154,1,1),'納品書明細16-E'!$Q$9:$Q$206)+SUMIF('納品書明細16-E'!$B$9:$B$206,CONCATENATE(VLOOKUP(Y$5,$G$1:$H$4,2,FALSE),$E154,1,0),'納品書明細16-E'!$Q$9:$Q$206)-VLOOKUP($E154,$E$9:$AF$92,$Z$7-$D$7,0)</f>
        <v>0</v>
      </c>
      <c r="AA154" s="345"/>
      <c r="AB154" s="122"/>
      <c r="AC154" s="128"/>
      <c r="AD154" s="345"/>
      <c r="AE154" s="638">
        <f>COUNTIF('納品書明細16-E'!$B$9:$B$206,CONCATENATE(VLOOKUP(Y$5,$G$1:$H$4,2,FALSE),$E154,9,1))-VLOOKUP($E154,$E$9:$AF$92,$AE$7-$D$7,0)</f>
        <v>0</v>
      </c>
      <c r="AF154" s="650">
        <f>SUMIF('納品書明細16-E'!$B$9:$B$206,CONCATENATE(VLOOKUP(Y$5,$G$1:$H$4,2,FALSE),$E154,9,1),'納品書明細16-E'!$Q$9:$Q$206)+SUMIF('納品書明細16-E'!$B$9:$B$206,CONCATENATE(VLOOKUP(Y$5,$G$1:$H$4,2,FALSE),$E154,9,0),'納品書明細16-E'!$Q$9:$Q$206)-VLOOKUP($E154,$E$9:$AF$92,$AF$7-$D$7,0)</f>
        <v>0</v>
      </c>
    </row>
    <row r="155" spans="1:32" ht="13.5" customHeight="1">
      <c r="A155" s="475" t="str">
        <f>IF(SUMIFS($G155:$AF155,$G$8:$AF$8,"金額",$G155:$AF155,"&gt;0")-SUMIFS($G155:$AF155,$G$8:$AF$8,"金額",$G155:$AF155,"&lt;0")&lt;=0,"",MAX($A$92:$A154)+1)</f>
        <v/>
      </c>
      <c r="B155" s="795"/>
      <c r="C155" s="245" t="str">
        <f t="shared" si="4"/>
        <v>経費</v>
      </c>
      <c r="D155" s="245">
        <v>63</v>
      </c>
      <c r="E155" s="590" t="str">
        <f>IF($F155&lt;&gt;"",INDEX(ﾏｽﾀ!$D$8:$D$124,MATCH(INDEX(ﾏｽﾀ!$N$8:$N$124,MATCH($F155,ﾏｽﾀ!$O$8:$O$124,0)),ﾏｽﾀ!$B$8:$B$124,0))&amp;"","")</f>
        <v/>
      </c>
      <c r="F155" s="589" t="str">
        <f>ﾏｽﾀ!$R70&amp;""</f>
        <v/>
      </c>
      <c r="G155" s="634">
        <f>COUNTIF('納品書明細16-E'!$B$9:$B$206,CONCATENATE(VLOOKUP(G$5,$G$1:$H$4,2,FALSE),$E155,1,1))-INDEX($G$9:$G$90,MATCH($E155,$E$9:$E$90,0))</f>
        <v>0</v>
      </c>
      <c r="H155" s="636">
        <f>SUMIF('納品書明細16-E'!$B$9:$B$206,CONCATENATE(VLOOKUP(G$5,$G$1:$H$4,2,FALSE),$E155,1,1),'納品書明細16-E'!$Q$9:$Q$206)+SUMIF('納品書明細16-E'!$B$9:$B$206,CONCATENATE(VLOOKUP(G$5,$G$1:$H$4,2,FALSE),$E155,1,0),'納品書明細16-E'!$Q$9:$Q$206)-INDEX($H$9:$H$90,MATCH($E155,$E$9:$E$90,0))</f>
        <v>0</v>
      </c>
      <c r="I155" s="345"/>
      <c r="J155" s="122"/>
      <c r="K155" s="359"/>
      <c r="L155" s="345"/>
      <c r="M155" s="628">
        <f>COUNTIF('納品書明細16-E'!$B$9:$B$206,CONCATENATE(VLOOKUP(G$5,$G$1:$H$4,2,FALSE),$E155,9,1))-INDEX($M$9:$M$90,MATCH($E155,$E$9:$E$90,0))</f>
        <v>0</v>
      </c>
      <c r="N155" s="642">
        <f>SUMIF('納品書明細16-E'!$B$9:$B$206,CONCATENATE(VLOOKUP(G$5,$G$1:$H$4,2,FALSE),$E155,9,1),'納品書明細16-E'!$Q$9:$Q$206)+SUMIF('納品書明細16-E'!$B$9:$B$206,CONCATENATE(VLOOKUP(G$5,$G$1:$H$4,2,FALSE),$E155,9,0),'納品書明細16-E'!$Q$9:$Q$206)-INDEX($N$9:$N$90,MATCH($E155,$E$9:$E$90,0))</f>
        <v>0</v>
      </c>
      <c r="O155" s="64"/>
      <c r="P155" s="646">
        <f>COUNTIF('納品書明細16-E'!$B$9:$B$206,CONCATENATE(VLOOKUP(P$5,$G$1:$H$4,2,FALSE),$E155,1,1))-VLOOKUP($E155,$E$9:$AF$92,$P$7-$D$7,0)</f>
        <v>0</v>
      </c>
      <c r="Q155" s="647">
        <f>SUMIF('納品書明細16-E'!$B$9:$B$206,CONCATENATE(VLOOKUP(P$5,$G$1:$H$4,2,FALSE),$E155,1,1),'納品書明細16-E'!$Q$9:$Q$206)+SUMIF('納品書明細16-E'!$B$9:$B$206,CONCATENATE(VLOOKUP(P$5,$G$1:$H$4,2,FALSE),$E155,1,0),'納品書明細16-E'!$Q$9:$Q$206)-VLOOKUP($E155,$E$9:$AF$92,$Q$7-$D$7,0)</f>
        <v>0</v>
      </c>
      <c r="R155" s="345"/>
      <c r="S155" s="122"/>
      <c r="T155" s="128"/>
      <c r="U155" s="345"/>
      <c r="V155" s="638">
        <f>COUNTIF('納品書明細16-E'!$B$9:$B$206,CONCATENATE(VLOOKUP(P$5,$G$1:$H$4,2,FALSE),$E155,9,1))-VLOOKUP($E155,$E$9:$AF$92,$V$7-$D$7,0)</f>
        <v>0</v>
      </c>
      <c r="W155" s="650">
        <f>SUMIF('納品書明細16-E'!$B$9:$B$206,CONCATENATE(VLOOKUP(P$5,$G$1:$H$4,2,FALSE),$E155,9,1),'納品書明細16-E'!$Q$9:$Q$206)+SUMIF('納品書明細16-E'!$B$9:$B$206,CONCATENATE(VLOOKUP(P$5,$G$1:$H$4,2,FALSE),$E155,9,0),'納品書明細16-E'!$Q$9:$Q$206)-VLOOKUP($E155,$E$9:$AF$92,$W$7-$D$7,0)</f>
        <v>0</v>
      </c>
      <c r="X155" s="64"/>
      <c r="Y155" s="646">
        <f>COUNTIF('納品書明細16-E'!$B$9:$B$206,CONCATENATE(VLOOKUP(Y$5,$G$1:$H$4,2,FALSE),$E155,1,1))-VLOOKUP($E155,$E$9:$AF$92,$Y$7-$D$7,0)</f>
        <v>0</v>
      </c>
      <c r="Z155" s="647">
        <f>SUMIF('納品書明細16-E'!$B$9:$B$206,CONCATENATE(VLOOKUP(Y$5,$G$1:$H$4,2,FALSE),$E155,1,1),'納品書明細16-E'!$Q$9:$Q$206)+SUMIF('納品書明細16-E'!$B$9:$B$206,CONCATENATE(VLOOKUP(Y$5,$G$1:$H$4,2,FALSE),$E155,1,0),'納品書明細16-E'!$Q$9:$Q$206)-VLOOKUP($E155,$E$9:$AF$92,$Z$7-$D$7,0)</f>
        <v>0</v>
      </c>
      <c r="AA155" s="345"/>
      <c r="AB155" s="122"/>
      <c r="AC155" s="128"/>
      <c r="AD155" s="345"/>
      <c r="AE155" s="638">
        <f>COUNTIF('納品書明細16-E'!$B$9:$B$206,CONCATENATE(VLOOKUP(Y$5,$G$1:$H$4,2,FALSE),$E155,9,1))-VLOOKUP($E155,$E$9:$AF$92,$AE$7-$D$7,0)</f>
        <v>0</v>
      </c>
      <c r="AF155" s="650">
        <f>SUMIF('納品書明細16-E'!$B$9:$B$206,CONCATENATE(VLOOKUP(Y$5,$G$1:$H$4,2,FALSE),$E155,9,1),'納品書明細16-E'!$Q$9:$Q$206)+SUMIF('納品書明細16-E'!$B$9:$B$206,CONCATENATE(VLOOKUP(Y$5,$G$1:$H$4,2,FALSE),$E155,9,0),'納品書明細16-E'!$Q$9:$Q$206)-VLOOKUP($E155,$E$9:$AF$92,$AF$7-$D$7,0)</f>
        <v>0</v>
      </c>
    </row>
    <row r="156" spans="1:32" ht="13.5" customHeight="1">
      <c r="A156" s="475" t="str">
        <f>IF(SUMIFS($G156:$AF156,$G$8:$AF$8,"金額",$G156:$AF156,"&gt;0")-SUMIFS($G156:$AF156,$G$8:$AF$8,"金額",$G156:$AF156,"&lt;0")&lt;=0,"",MAX($A$92:$A155)+1)</f>
        <v/>
      </c>
      <c r="B156" s="795"/>
      <c r="C156" s="245" t="str">
        <f t="shared" si="4"/>
        <v>経費</v>
      </c>
      <c r="D156" s="245">
        <v>64</v>
      </c>
      <c r="E156" s="590" t="str">
        <f>IF($F156&lt;&gt;"",INDEX(ﾏｽﾀ!$D$8:$D$124,MATCH(INDEX(ﾏｽﾀ!$N$8:$N$124,MATCH($F156,ﾏｽﾀ!$O$8:$O$124,0)),ﾏｽﾀ!$B$8:$B$124,0))&amp;"","")</f>
        <v/>
      </c>
      <c r="F156" s="589" t="str">
        <f>ﾏｽﾀ!$R71&amp;""</f>
        <v/>
      </c>
      <c r="G156" s="634">
        <f>COUNTIF('納品書明細16-E'!$B$9:$B$206,CONCATENATE(VLOOKUP(G$5,$G$1:$H$4,2,FALSE),$E156,1,1))-INDEX($G$9:$G$90,MATCH($E156,$E$9:$E$90,0))</f>
        <v>0</v>
      </c>
      <c r="H156" s="636">
        <f>SUMIF('納品書明細16-E'!$B$9:$B$206,CONCATENATE(VLOOKUP(G$5,$G$1:$H$4,2,FALSE),$E156,1,1),'納品書明細16-E'!$Q$9:$Q$206)+SUMIF('納品書明細16-E'!$B$9:$B$206,CONCATENATE(VLOOKUP(G$5,$G$1:$H$4,2,FALSE),$E156,1,0),'納品書明細16-E'!$Q$9:$Q$206)-INDEX($H$9:$H$90,MATCH($E156,$E$9:$E$90,0))</f>
        <v>0</v>
      </c>
      <c r="I156" s="345"/>
      <c r="J156" s="122"/>
      <c r="K156" s="359"/>
      <c r="L156" s="345"/>
      <c r="M156" s="628">
        <f>COUNTIF('納品書明細16-E'!$B$9:$B$206,CONCATENATE(VLOOKUP(G$5,$G$1:$H$4,2,FALSE),$E156,9,1))-INDEX($M$9:$M$90,MATCH($E156,$E$9:$E$90,0))</f>
        <v>0</v>
      </c>
      <c r="N156" s="642">
        <f>SUMIF('納品書明細16-E'!$B$9:$B$206,CONCATENATE(VLOOKUP(G$5,$G$1:$H$4,2,FALSE),$E156,9,1),'納品書明細16-E'!$Q$9:$Q$206)+SUMIF('納品書明細16-E'!$B$9:$B$206,CONCATENATE(VLOOKUP(G$5,$G$1:$H$4,2,FALSE),$E156,9,0),'納品書明細16-E'!$Q$9:$Q$206)-INDEX($N$9:$N$90,MATCH($E156,$E$9:$E$90,0))</f>
        <v>0</v>
      </c>
      <c r="O156" s="64"/>
      <c r="P156" s="646">
        <f>COUNTIF('納品書明細16-E'!$B$9:$B$206,CONCATENATE(VLOOKUP(P$5,$G$1:$H$4,2,FALSE),$E156,1,1))-VLOOKUP($E156,$E$9:$AF$92,$P$7-$D$7,0)</f>
        <v>0</v>
      </c>
      <c r="Q156" s="647">
        <f>SUMIF('納品書明細16-E'!$B$9:$B$206,CONCATENATE(VLOOKUP(P$5,$G$1:$H$4,2,FALSE),$E156,1,1),'納品書明細16-E'!$Q$9:$Q$206)+SUMIF('納品書明細16-E'!$B$9:$B$206,CONCATENATE(VLOOKUP(P$5,$G$1:$H$4,2,FALSE),$E156,1,0),'納品書明細16-E'!$Q$9:$Q$206)-VLOOKUP($E156,$E$9:$AF$92,$Q$7-$D$7,0)</f>
        <v>0</v>
      </c>
      <c r="R156" s="345"/>
      <c r="S156" s="122"/>
      <c r="T156" s="128"/>
      <c r="U156" s="345"/>
      <c r="V156" s="638">
        <f>COUNTIF('納品書明細16-E'!$B$9:$B$206,CONCATENATE(VLOOKUP(P$5,$G$1:$H$4,2,FALSE),$E156,9,1))-VLOOKUP($E156,$E$9:$AF$92,$V$7-$D$7,0)</f>
        <v>0</v>
      </c>
      <c r="W156" s="650">
        <f>SUMIF('納品書明細16-E'!$B$9:$B$206,CONCATENATE(VLOOKUP(P$5,$G$1:$H$4,2,FALSE),$E156,9,1),'納品書明細16-E'!$Q$9:$Q$206)+SUMIF('納品書明細16-E'!$B$9:$B$206,CONCATENATE(VLOOKUP(P$5,$G$1:$H$4,2,FALSE),$E156,9,0),'納品書明細16-E'!$Q$9:$Q$206)-VLOOKUP($E156,$E$9:$AF$92,$W$7-$D$7,0)</f>
        <v>0</v>
      </c>
      <c r="X156" s="64"/>
      <c r="Y156" s="646">
        <f>COUNTIF('納品書明細16-E'!$B$9:$B$206,CONCATENATE(VLOOKUP(Y$5,$G$1:$H$4,2,FALSE),$E156,1,1))-VLOOKUP($E156,$E$9:$AF$92,$Y$7-$D$7,0)</f>
        <v>0</v>
      </c>
      <c r="Z156" s="647">
        <f>SUMIF('納品書明細16-E'!$B$9:$B$206,CONCATENATE(VLOOKUP(Y$5,$G$1:$H$4,2,FALSE),$E156,1,1),'納品書明細16-E'!$Q$9:$Q$206)+SUMIF('納品書明細16-E'!$B$9:$B$206,CONCATENATE(VLOOKUP(Y$5,$G$1:$H$4,2,FALSE),$E156,1,0),'納品書明細16-E'!$Q$9:$Q$206)-VLOOKUP($E156,$E$9:$AF$92,$Z$7-$D$7,0)</f>
        <v>0</v>
      </c>
      <c r="AA156" s="345"/>
      <c r="AB156" s="122"/>
      <c r="AC156" s="128"/>
      <c r="AD156" s="345"/>
      <c r="AE156" s="638">
        <f>COUNTIF('納品書明細16-E'!$B$9:$B$206,CONCATENATE(VLOOKUP(Y$5,$G$1:$H$4,2,FALSE),$E156,9,1))-VLOOKUP($E156,$E$9:$AF$92,$AE$7-$D$7,0)</f>
        <v>0</v>
      </c>
      <c r="AF156" s="650">
        <f>SUMIF('納品書明細16-E'!$B$9:$B$206,CONCATENATE(VLOOKUP(Y$5,$G$1:$H$4,2,FALSE),$E156,9,1),'納品書明細16-E'!$Q$9:$Q$206)+SUMIF('納品書明細16-E'!$B$9:$B$206,CONCATENATE(VLOOKUP(Y$5,$G$1:$H$4,2,FALSE),$E156,9,0),'納品書明細16-E'!$Q$9:$Q$206)-VLOOKUP($E156,$E$9:$AF$92,$AF$7-$D$7,0)</f>
        <v>0</v>
      </c>
    </row>
    <row r="157" spans="1:32" ht="13.5" customHeight="1">
      <c r="A157" s="475" t="str">
        <f>IF(SUMIFS($G157:$AF157,$G$8:$AF$8,"金額",$G157:$AF157,"&gt;0")-SUMIFS($G157:$AF157,$G$8:$AF$8,"金額",$G157:$AF157,"&lt;0")&lt;=0,"",MAX($A$92:$A156)+1)</f>
        <v/>
      </c>
      <c r="B157" s="795"/>
      <c r="C157" s="245" t="str">
        <f t="shared" ref="C157:C174" si="5">CONCATENATE("経費",$A157)</f>
        <v>経費</v>
      </c>
      <c r="D157" s="245">
        <v>65</v>
      </c>
      <c r="E157" s="590" t="str">
        <f>IF($F157&lt;&gt;"",INDEX(ﾏｽﾀ!$D$8:$D$124,MATCH(INDEX(ﾏｽﾀ!$N$8:$N$124,MATCH($F157,ﾏｽﾀ!$O$8:$O$124,0)),ﾏｽﾀ!$B$8:$B$124,0))&amp;"","")</f>
        <v/>
      </c>
      <c r="F157" s="589" t="str">
        <f>ﾏｽﾀ!$R72&amp;""</f>
        <v/>
      </c>
      <c r="G157" s="634">
        <f>COUNTIF('納品書明細16-E'!$B$9:$B$206,CONCATENATE(VLOOKUP(G$5,$G$1:$H$4,2,FALSE),$E157,1,1))-INDEX($G$9:$G$90,MATCH($E157,$E$9:$E$90,0))</f>
        <v>0</v>
      </c>
      <c r="H157" s="636">
        <f>SUMIF('納品書明細16-E'!$B$9:$B$206,CONCATENATE(VLOOKUP(G$5,$G$1:$H$4,2,FALSE),$E157,1,1),'納品書明細16-E'!$Q$9:$Q$206)+SUMIF('納品書明細16-E'!$B$9:$B$206,CONCATENATE(VLOOKUP(G$5,$G$1:$H$4,2,FALSE),$E157,1,0),'納品書明細16-E'!$Q$9:$Q$206)-INDEX($H$9:$H$90,MATCH($E157,$E$9:$E$90,0))</f>
        <v>0</v>
      </c>
      <c r="I157" s="345"/>
      <c r="J157" s="122"/>
      <c r="K157" s="359"/>
      <c r="L157" s="345"/>
      <c r="M157" s="628">
        <f>COUNTIF('納品書明細16-E'!$B$9:$B$206,CONCATENATE(VLOOKUP(G$5,$G$1:$H$4,2,FALSE),$E157,9,1))-INDEX($M$9:$M$90,MATCH($E157,$E$9:$E$90,0))</f>
        <v>0</v>
      </c>
      <c r="N157" s="642">
        <f>SUMIF('納品書明細16-E'!$B$9:$B$206,CONCATENATE(VLOOKUP(G$5,$G$1:$H$4,2,FALSE),$E157,9,1),'納品書明細16-E'!$Q$9:$Q$206)+SUMIF('納品書明細16-E'!$B$9:$B$206,CONCATENATE(VLOOKUP(G$5,$G$1:$H$4,2,FALSE),$E157,9,0),'納品書明細16-E'!$Q$9:$Q$206)-INDEX($N$9:$N$90,MATCH($E157,$E$9:$E$90,0))</f>
        <v>0</v>
      </c>
      <c r="O157" s="64"/>
      <c r="P157" s="646">
        <f>COUNTIF('納品書明細16-E'!$B$9:$B$206,CONCATENATE(VLOOKUP(P$5,$G$1:$H$4,2,FALSE),$E157,1,1))-VLOOKUP($E157,$E$9:$AF$92,$P$7-$D$7,0)</f>
        <v>0</v>
      </c>
      <c r="Q157" s="647">
        <f>SUMIF('納品書明細16-E'!$B$9:$B$206,CONCATENATE(VLOOKUP(P$5,$G$1:$H$4,2,FALSE),$E157,1,1),'納品書明細16-E'!$Q$9:$Q$206)+SUMIF('納品書明細16-E'!$B$9:$B$206,CONCATENATE(VLOOKUP(P$5,$G$1:$H$4,2,FALSE),$E157,1,0),'納品書明細16-E'!$Q$9:$Q$206)-VLOOKUP($E157,$E$9:$AF$92,$Q$7-$D$7,0)</f>
        <v>0</v>
      </c>
      <c r="R157" s="345"/>
      <c r="S157" s="122"/>
      <c r="T157" s="128"/>
      <c r="U157" s="345"/>
      <c r="V157" s="638">
        <f>COUNTIF('納品書明細16-E'!$B$9:$B$206,CONCATENATE(VLOOKUP(P$5,$G$1:$H$4,2,FALSE),$E157,9,1))-VLOOKUP($E157,$E$9:$AF$92,$V$7-$D$7,0)</f>
        <v>0</v>
      </c>
      <c r="W157" s="650">
        <f>SUMIF('納品書明細16-E'!$B$9:$B$206,CONCATENATE(VLOOKUP(P$5,$G$1:$H$4,2,FALSE),$E157,9,1),'納品書明細16-E'!$Q$9:$Q$206)+SUMIF('納品書明細16-E'!$B$9:$B$206,CONCATENATE(VLOOKUP(P$5,$G$1:$H$4,2,FALSE),$E157,9,0),'納品書明細16-E'!$Q$9:$Q$206)-VLOOKUP($E157,$E$9:$AF$92,$W$7-$D$7,0)</f>
        <v>0</v>
      </c>
      <c r="X157" s="64"/>
      <c r="Y157" s="646">
        <f>COUNTIF('納品書明細16-E'!$B$9:$B$206,CONCATENATE(VLOOKUP(Y$5,$G$1:$H$4,2,FALSE),$E157,1,1))-VLOOKUP($E157,$E$9:$AF$92,$Y$7-$D$7,0)</f>
        <v>0</v>
      </c>
      <c r="Z157" s="647">
        <f>SUMIF('納品書明細16-E'!$B$9:$B$206,CONCATENATE(VLOOKUP(Y$5,$G$1:$H$4,2,FALSE),$E157,1,1),'納品書明細16-E'!$Q$9:$Q$206)+SUMIF('納品書明細16-E'!$B$9:$B$206,CONCATENATE(VLOOKUP(Y$5,$G$1:$H$4,2,FALSE),$E157,1,0),'納品書明細16-E'!$Q$9:$Q$206)-VLOOKUP($E157,$E$9:$AF$92,$Z$7-$D$7,0)</f>
        <v>0</v>
      </c>
      <c r="AA157" s="345"/>
      <c r="AB157" s="122"/>
      <c r="AC157" s="128"/>
      <c r="AD157" s="345"/>
      <c r="AE157" s="638">
        <f>COUNTIF('納品書明細16-E'!$B$9:$B$206,CONCATENATE(VLOOKUP(Y$5,$G$1:$H$4,2,FALSE),$E157,9,1))-VLOOKUP($E157,$E$9:$AF$92,$AE$7-$D$7,0)</f>
        <v>0</v>
      </c>
      <c r="AF157" s="650">
        <f>SUMIF('納品書明細16-E'!$B$9:$B$206,CONCATENATE(VLOOKUP(Y$5,$G$1:$H$4,2,FALSE),$E157,9,1),'納品書明細16-E'!$Q$9:$Q$206)+SUMIF('納品書明細16-E'!$B$9:$B$206,CONCATENATE(VLOOKUP(Y$5,$G$1:$H$4,2,FALSE),$E157,9,0),'納品書明細16-E'!$Q$9:$Q$206)-VLOOKUP($E157,$E$9:$AF$92,$AF$7-$D$7,0)</f>
        <v>0</v>
      </c>
    </row>
    <row r="158" spans="1:32" ht="13.5" customHeight="1">
      <c r="A158" s="475" t="str">
        <f>IF(SUMIFS($G158:$AF158,$G$8:$AF$8,"金額",$G158:$AF158,"&gt;0")-SUMIFS($G158:$AF158,$G$8:$AF$8,"金額",$G158:$AF158,"&lt;0")&lt;=0,"",MAX($A$92:$A157)+1)</f>
        <v/>
      </c>
      <c r="B158" s="795"/>
      <c r="C158" s="245" t="str">
        <f t="shared" si="5"/>
        <v>経費</v>
      </c>
      <c r="D158" s="245">
        <v>66</v>
      </c>
      <c r="E158" s="590" t="str">
        <f>IF($F158&lt;&gt;"",INDEX(ﾏｽﾀ!$D$8:$D$124,MATCH(INDEX(ﾏｽﾀ!$N$8:$N$124,MATCH($F158,ﾏｽﾀ!$O$8:$O$124,0)),ﾏｽﾀ!$B$8:$B$124,0))&amp;"","")</f>
        <v/>
      </c>
      <c r="F158" s="589" t="str">
        <f>ﾏｽﾀ!$R73&amp;""</f>
        <v/>
      </c>
      <c r="G158" s="634">
        <f>COUNTIF('納品書明細16-E'!$B$9:$B$206,CONCATENATE(VLOOKUP(G$5,$G$1:$H$4,2,FALSE),$E158,1,1))-INDEX($G$9:$G$90,MATCH($E158,$E$9:$E$90,0))</f>
        <v>0</v>
      </c>
      <c r="H158" s="636">
        <f>SUMIF('納品書明細16-E'!$B$9:$B$206,CONCATENATE(VLOOKUP(G$5,$G$1:$H$4,2,FALSE),$E158,1,1),'納品書明細16-E'!$Q$9:$Q$206)+SUMIF('納品書明細16-E'!$B$9:$B$206,CONCATENATE(VLOOKUP(G$5,$G$1:$H$4,2,FALSE),$E158,1,0),'納品書明細16-E'!$Q$9:$Q$206)-INDEX($H$9:$H$90,MATCH($E158,$E$9:$E$90,0))</f>
        <v>0</v>
      </c>
      <c r="I158" s="345"/>
      <c r="J158" s="122"/>
      <c r="K158" s="359"/>
      <c r="L158" s="345"/>
      <c r="M158" s="628">
        <f>COUNTIF('納品書明細16-E'!$B$9:$B$206,CONCATENATE(VLOOKUP(G$5,$G$1:$H$4,2,FALSE),$E158,9,1))-INDEX($M$9:$M$90,MATCH($E158,$E$9:$E$90,0))</f>
        <v>0</v>
      </c>
      <c r="N158" s="642">
        <f>SUMIF('納品書明細16-E'!$B$9:$B$206,CONCATENATE(VLOOKUP(G$5,$G$1:$H$4,2,FALSE),$E158,9,1),'納品書明細16-E'!$Q$9:$Q$206)+SUMIF('納品書明細16-E'!$B$9:$B$206,CONCATENATE(VLOOKUP(G$5,$G$1:$H$4,2,FALSE),$E158,9,0),'納品書明細16-E'!$Q$9:$Q$206)-INDEX($N$9:$N$90,MATCH($E158,$E$9:$E$90,0))</f>
        <v>0</v>
      </c>
      <c r="O158" s="64"/>
      <c r="P158" s="646">
        <f>COUNTIF('納品書明細16-E'!$B$9:$B$206,CONCATENATE(VLOOKUP(P$5,$G$1:$H$4,2,FALSE),$E158,1,1))-VLOOKUP($E158,$E$9:$AF$92,$P$7-$D$7,0)</f>
        <v>0</v>
      </c>
      <c r="Q158" s="647">
        <f>SUMIF('納品書明細16-E'!$B$9:$B$206,CONCATENATE(VLOOKUP(P$5,$G$1:$H$4,2,FALSE),$E158,1,1),'納品書明細16-E'!$Q$9:$Q$206)+SUMIF('納品書明細16-E'!$B$9:$B$206,CONCATENATE(VLOOKUP(P$5,$G$1:$H$4,2,FALSE),$E158,1,0),'納品書明細16-E'!$Q$9:$Q$206)-VLOOKUP($E158,$E$9:$AF$92,$Q$7-$D$7,0)</f>
        <v>0</v>
      </c>
      <c r="R158" s="345"/>
      <c r="S158" s="122"/>
      <c r="T158" s="128"/>
      <c r="U158" s="345"/>
      <c r="V158" s="638">
        <f>COUNTIF('納品書明細16-E'!$B$9:$B$206,CONCATENATE(VLOOKUP(P$5,$G$1:$H$4,2,FALSE),$E158,9,1))-VLOOKUP($E158,$E$9:$AF$92,$V$7-$D$7,0)</f>
        <v>0</v>
      </c>
      <c r="W158" s="650">
        <f>SUMIF('納品書明細16-E'!$B$9:$B$206,CONCATENATE(VLOOKUP(P$5,$G$1:$H$4,2,FALSE),$E158,9,1),'納品書明細16-E'!$Q$9:$Q$206)+SUMIF('納品書明細16-E'!$B$9:$B$206,CONCATENATE(VLOOKUP(P$5,$G$1:$H$4,2,FALSE),$E158,9,0),'納品書明細16-E'!$Q$9:$Q$206)-VLOOKUP($E158,$E$9:$AF$92,$W$7-$D$7,0)</f>
        <v>0</v>
      </c>
      <c r="X158" s="64"/>
      <c r="Y158" s="646">
        <f>COUNTIF('納品書明細16-E'!$B$9:$B$206,CONCATENATE(VLOOKUP(Y$5,$G$1:$H$4,2,FALSE),$E158,1,1))-VLOOKUP($E158,$E$9:$AF$92,$Y$7-$D$7,0)</f>
        <v>0</v>
      </c>
      <c r="Z158" s="647">
        <f>SUMIF('納品書明細16-E'!$B$9:$B$206,CONCATENATE(VLOOKUP(Y$5,$G$1:$H$4,2,FALSE),$E158,1,1),'納品書明細16-E'!$Q$9:$Q$206)+SUMIF('納品書明細16-E'!$B$9:$B$206,CONCATENATE(VLOOKUP(Y$5,$G$1:$H$4,2,FALSE),$E158,1,0),'納品書明細16-E'!$Q$9:$Q$206)-VLOOKUP($E158,$E$9:$AF$92,$Z$7-$D$7,0)</f>
        <v>0</v>
      </c>
      <c r="AA158" s="345"/>
      <c r="AB158" s="122"/>
      <c r="AC158" s="128"/>
      <c r="AD158" s="345"/>
      <c r="AE158" s="638">
        <f>COUNTIF('納品書明細16-E'!$B$9:$B$206,CONCATENATE(VLOOKUP(Y$5,$G$1:$H$4,2,FALSE),$E158,9,1))-VLOOKUP($E158,$E$9:$AF$92,$AE$7-$D$7,0)</f>
        <v>0</v>
      </c>
      <c r="AF158" s="650">
        <f>SUMIF('納品書明細16-E'!$B$9:$B$206,CONCATENATE(VLOOKUP(Y$5,$G$1:$H$4,2,FALSE),$E158,9,1),'納品書明細16-E'!$Q$9:$Q$206)+SUMIF('納品書明細16-E'!$B$9:$B$206,CONCATENATE(VLOOKUP(Y$5,$G$1:$H$4,2,FALSE),$E158,9,0),'納品書明細16-E'!$Q$9:$Q$206)-VLOOKUP($E158,$E$9:$AF$92,$AF$7-$D$7,0)</f>
        <v>0</v>
      </c>
    </row>
    <row r="159" spans="1:32" ht="13.5" customHeight="1">
      <c r="A159" s="475" t="str">
        <f>IF(SUMIFS($G159:$AF159,$G$8:$AF$8,"金額",$G159:$AF159,"&gt;0")-SUMIFS($G159:$AF159,$G$8:$AF$8,"金額",$G159:$AF159,"&lt;0")&lt;=0,"",MAX($A$92:$A158)+1)</f>
        <v/>
      </c>
      <c r="B159" s="795"/>
      <c r="C159" s="245" t="str">
        <f t="shared" si="5"/>
        <v>経費</v>
      </c>
      <c r="D159" s="245">
        <v>67</v>
      </c>
      <c r="E159" s="590" t="str">
        <f>IF($F159&lt;&gt;"",INDEX(ﾏｽﾀ!$D$8:$D$124,MATCH(INDEX(ﾏｽﾀ!$N$8:$N$124,MATCH($F159,ﾏｽﾀ!$O$8:$O$124,0)),ﾏｽﾀ!$B$8:$B$124,0))&amp;"","")</f>
        <v/>
      </c>
      <c r="F159" s="589" t="str">
        <f>ﾏｽﾀ!$R74&amp;""</f>
        <v/>
      </c>
      <c r="G159" s="634">
        <f>COUNTIF('納品書明細16-E'!$B$9:$B$206,CONCATENATE(VLOOKUP(G$5,$G$1:$H$4,2,FALSE),$E159,1,1))-INDEX($G$9:$G$90,MATCH($E159,$E$9:$E$90,0))</f>
        <v>0</v>
      </c>
      <c r="H159" s="636">
        <f>SUMIF('納品書明細16-E'!$B$9:$B$206,CONCATENATE(VLOOKUP(G$5,$G$1:$H$4,2,FALSE),$E159,1,1),'納品書明細16-E'!$Q$9:$Q$206)+SUMIF('納品書明細16-E'!$B$9:$B$206,CONCATENATE(VLOOKUP(G$5,$G$1:$H$4,2,FALSE),$E159,1,0),'納品書明細16-E'!$Q$9:$Q$206)-INDEX($H$9:$H$90,MATCH($E159,$E$9:$E$90,0))</f>
        <v>0</v>
      </c>
      <c r="I159" s="345"/>
      <c r="J159" s="122"/>
      <c r="K159" s="359"/>
      <c r="L159" s="345"/>
      <c r="M159" s="628">
        <f>COUNTIF('納品書明細16-E'!$B$9:$B$206,CONCATENATE(VLOOKUP(G$5,$G$1:$H$4,2,FALSE),$E159,9,1))-INDEX($M$9:$M$90,MATCH($E159,$E$9:$E$90,0))</f>
        <v>0</v>
      </c>
      <c r="N159" s="642">
        <f>SUMIF('納品書明細16-E'!$B$9:$B$206,CONCATENATE(VLOOKUP(G$5,$G$1:$H$4,2,FALSE),$E159,9,1),'納品書明細16-E'!$Q$9:$Q$206)+SUMIF('納品書明細16-E'!$B$9:$B$206,CONCATENATE(VLOOKUP(G$5,$G$1:$H$4,2,FALSE),$E159,9,0),'納品書明細16-E'!$Q$9:$Q$206)-INDEX($N$9:$N$90,MATCH($E159,$E$9:$E$90,0))</f>
        <v>0</v>
      </c>
      <c r="O159" s="64"/>
      <c r="P159" s="646">
        <f>COUNTIF('納品書明細16-E'!$B$9:$B$206,CONCATENATE(VLOOKUP(P$5,$G$1:$H$4,2,FALSE),$E159,1,1))-VLOOKUP($E159,$E$9:$AF$92,$P$7-$D$7,0)</f>
        <v>0</v>
      </c>
      <c r="Q159" s="647">
        <f>SUMIF('納品書明細16-E'!$B$9:$B$206,CONCATENATE(VLOOKUP(P$5,$G$1:$H$4,2,FALSE),$E159,1,1),'納品書明細16-E'!$Q$9:$Q$206)+SUMIF('納品書明細16-E'!$B$9:$B$206,CONCATENATE(VLOOKUP(P$5,$G$1:$H$4,2,FALSE),$E159,1,0),'納品書明細16-E'!$Q$9:$Q$206)-VLOOKUP($E159,$E$9:$AF$92,$Q$7-$D$7,0)</f>
        <v>0</v>
      </c>
      <c r="R159" s="345"/>
      <c r="S159" s="122"/>
      <c r="T159" s="128"/>
      <c r="U159" s="345"/>
      <c r="V159" s="638">
        <f>COUNTIF('納品書明細16-E'!$B$9:$B$206,CONCATENATE(VLOOKUP(P$5,$G$1:$H$4,2,FALSE),$E159,9,1))-VLOOKUP($E159,$E$9:$AF$92,$V$7-$D$7,0)</f>
        <v>0</v>
      </c>
      <c r="W159" s="650">
        <f>SUMIF('納品書明細16-E'!$B$9:$B$206,CONCATENATE(VLOOKUP(P$5,$G$1:$H$4,2,FALSE),$E159,9,1),'納品書明細16-E'!$Q$9:$Q$206)+SUMIF('納品書明細16-E'!$B$9:$B$206,CONCATENATE(VLOOKUP(P$5,$G$1:$H$4,2,FALSE),$E159,9,0),'納品書明細16-E'!$Q$9:$Q$206)-VLOOKUP($E159,$E$9:$AF$92,$W$7-$D$7,0)</f>
        <v>0</v>
      </c>
      <c r="X159" s="64"/>
      <c r="Y159" s="646">
        <f>COUNTIF('納品書明細16-E'!$B$9:$B$206,CONCATENATE(VLOOKUP(Y$5,$G$1:$H$4,2,FALSE),$E159,1,1))-VLOOKUP($E159,$E$9:$AF$92,$Y$7-$D$7,0)</f>
        <v>0</v>
      </c>
      <c r="Z159" s="647">
        <f>SUMIF('納品書明細16-E'!$B$9:$B$206,CONCATENATE(VLOOKUP(Y$5,$G$1:$H$4,2,FALSE),$E159,1,1),'納品書明細16-E'!$Q$9:$Q$206)+SUMIF('納品書明細16-E'!$B$9:$B$206,CONCATENATE(VLOOKUP(Y$5,$G$1:$H$4,2,FALSE),$E159,1,0),'納品書明細16-E'!$Q$9:$Q$206)-VLOOKUP($E159,$E$9:$AF$92,$Z$7-$D$7,0)</f>
        <v>0</v>
      </c>
      <c r="AA159" s="345"/>
      <c r="AB159" s="122"/>
      <c r="AC159" s="128"/>
      <c r="AD159" s="345"/>
      <c r="AE159" s="638">
        <f>COUNTIF('納品書明細16-E'!$B$9:$B$206,CONCATENATE(VLOOKUP(Y$5,$G$1:$H$4,2,FALSE),$E159,9,1))-VLOOKUP($E159,$E$9:$AF$92,$AE$7-$D$7,0)</f>
        <v>0</v>
      </c>
      <c r="AF159" s="650">
        <f>SUMIF('納品書明細16-E'!$B$9:$B$206,CONCATENATE(VLOOKUP(Y$5,$G$1:$H$4,2,FALSE),$E159,9,1),'納品書明細16-E'!$Q$9:$Q$206)+SUMIF('納品書明細16-E'!$B$9:$B$206,CONCATENATE(VLOOKUP(Y$5,$G$1:$H$4,2,FALSE),$E159,9,0),'納品書明細16-E'!$Q$9:$Q$206)-VLOOKUP($E159,$E$9:$AF$92,$AF$7-$D$7,0)</f>
        <v>0</v>
      </c>
    </row>
    <row r="160" spans="1:32" ht="13.5" customHeight="1">
      <c r="A160" s="475" t="str">
        <f>IF(SUMIFS($G160:$AF160,$G$8:$AF$8,"金額",$G160:$AF160,"&gt;0")-SUMIFS($G160:$AF160,$G$8:$AF$8,"金額",$G160:$AF160,"&lt;0")&lt;=0,"",MAX($A$92:$A159)+1)</f>
        <v/>
      </c>
      <c r="B160" s="795"/>
      <c r="C160" s="245" t="str">
        <f t="shared" si="5"/>
        <v>経費</v>
      </c>
      <c r="D160" s="245">
        <v>68</v>
      </c>
      <c r="E160" s="590" t="str">
        <f>IF($F160&lt;&gt;"",INDEX(ﾏｽﾀ!$D$8:$D$124,MATCH(INDEX(ﾏｽﾀ!$N$8:$N$124,MATCH($F160,ﾏｽﾀ!$O$8:$O$124,0)),ﾏｽﾀ!$B$8:$B$124,0))&amp;"","")</f>
        <v/>
      </c>
      <c r="F160" s="589" t="str">
        <f>ﾏｽﾀ!$R75&amp;""</f>
        <v/>
      </c>
      <c r="G160" s="634">
        <f>COUNTIF('納品書明細16-E'!$B$9:$B$206,CONCATENATE(VLOOKUP(G$5,$G$1:$H$4,2,FALSE),$E160,1,1))-INDEX($G$9:$G$90,MATCH($E160,$E$9:$E$90,0))</f>
        <v>0</v>
      </c>
      <c r="H160" s="636">
        <f>SUMIF('納品書明細16-E'!$B$9:$B$206,CONCATENATE(VLOOKUP(G$5,$G$1:$H$4,2,FALSE),$E160,1,1),'納品書明細16-E'!$Q$9:$Q$206)+SUMIF('納品書明細16-E'!$B$9:$B$206,CONCATENATE(VLOOKUP(G$5,$G$1:$H$4,2,FALSE),$E160,1,0),'納品書明細16-E'!$Q$9:$Q$206)-INDEX($H$9:$H$90,MATCH($E160,$E$9:$E$90,0))</f>
        <v>0</v>
      </c>
      <c r="I160" s="345"/>
      <c r="J160" s="122"/>
      <c r="K160" s="359"/>
      <c r="L160" s="345"/>
      <c r="M160" s="628">
        <f>COUNTIF('納品書明細16-E'!$B$9:$B$206,CONCATENATE(VLOOKUP(G$5,$G$1:$H$4,2,FALSE),$E160,9,1))-INDEX($M$9:$M$90,MATCH($E160,$E$9:$E$90,0))</f>
        <v>0</v>
      </c>
      <c r="N160" s="642">
        <f>SUMIF('納品書明細16-E'!$B$9:$B$206,CONCATENATE(VLOOKUP(G$5,$G$1:$H$4,2,FALSE),$E160,9,1),'納品書明細16-E'!$Q$9:$Q$206)+SUMIF('納品書明細16-E'!$B$9:$B$206,CONCATENATE(VLOOKUP(G$5,$G$1:$H$4,2,FALSE),$E160,9,0),'納品書明細16-E'!$Q$9:$Q$206)-INDEX($N$9:$N$90,MATCH($E160,$E$9:$E$90,0))</f>
        <v>0</v>
      </c>
      <c r="O160" s="64"/>
      <c r="P160" s="646">
        <f>COUNTIF('納品書明細16-E'!$B$9:$B$206,CONCATENATE(VLOOKUP(P$5,$G$1:$H$4,2,FALSE),$E160,1,1))-VLOOKUP($E160,$E$9:$AF$92,$P$7-$D$7,0)</f>
        <v>0</v>
      </c>
      <c r="Q160" s="647">
        <f>SUMIF('納品書明細16-E'!$B$9:$B$206,CONCATENATE(VLOOKUP(P$5,$G$1:$H$4,2,FALSE),$E160,1,1),'納品書明細16-E'!$Q$9:$Q$206)+SUMIF('納品書明細16-E'!$B$9:$B$206,CONCATENATE(VLOOKUP(P$5,$G$1:$H$4,2,FALSE),$E160,1,0),'納品書明細16-E'!$Q$9:$Q$206)-VLOOKUP($E160,$E$9:$AF$92,$Q$7-$D$7,0)</f>
        <v>0</v>
      </c>
      <c r="R160" s="345"/>
      <c r="S160" s="122"/>
      <c r="T160" s="128"/>
      <c r="U160" s="345"/>
      <c r="V160" s="638">
        <f>COUNTIF('納品書明細16-E'!$B$9:$B$206,CONCATENATE(VLOOKUP(P$5,$G$1:$H$4,2,FALSE),$E160,9,1))-VLOOKUP($E160,$E$9:$AF$92,$V$7-$D$7,0)</f>
        <v>0</v>
      </c>
      <c r="W160" s="650">
        <f>SUMIF('納品書明細16-E'!$B$9:$B$206,CONCATENATE(VLOOKUP(P$5,$G$1:$H$4,2,FALSE),$E160,9,1),'納品書明細16-E'!$Q$9:$Q$206)+SUMIF('納品書明細16-E'!$B$9:$B$206,CONCATENATE(VLOOKUP(P$5,$G$1:$H$4,2,FALSE),$E160,9,0),'納品書明細16-E'!$Q$9:$Q$206)-VLOOKUP($E160,$E$9:$AF$92,$W$7-$D$7,0)</f>
        <v>0</v>
      </c>
      <c r="X160" s="64"/>
      <c r="Y160" s="646">
        <f>COUNTIF('納品書明細16-E'!$B$9:$B$206,CONCATENATE(VLOOKUP(Y$5,$G$1:$H$4,2,FALSE),$E160,1,1))-VLOOKUP($E160,$E$9:$AF$92,$Y$7-$D$7,0)</f>
        <v>0</v>
      </c>
      <c r="Z160" s="647">
        <f>SUMIF('納品書明細16-E'!$B$9:$B$206,CONCATENATE(VLOOKUP(Y$5,$G$1:$H$4,2,FALSE),$E160,1,1),'納品書明細16-E'!$Q$9:$Q$206)+SUMIF('納品書明細16-E'!$B$9:$B$206,CONCATENATE(VLOOKUP(Y$5,$G$1:$H$4,2,FALSE),$E160,1,0),'納品書明細16-E'!$Q$9:$Q$206)-VLOOKUP($E160,$E$9:$AF$92,$Z$7-$D$7,0)</f>
        <v>0</v>
      </c>
      <c r="AA160" s="345"/>
      <c r="AB160" s="122"/>
      <c r="AC160" s="128"/>
      <c r="AD160" s="345"/>
      <c r="AE160" s="638">
        <f>COUNTIF('納品書明細16-E'!$B$9:$B$206,CONCATENATE(VLOOKUP(Y$5,$G$1:$H$4,2,FALSE),$E160,9,1))-VLOOKUP($E160,$E$9:$AF$92,$AE$7-$D$7,0)</f>
        <v>0</v>
      </c>
      <c r="AF160" s="650">
        <f>SUMIF('納品書明細16-E'!$B$9:$B$206,CONCATENATE(VLOOKUP(Y$5,$G$1:$H$4,2,FALSE),$E160,9,1),'納品書明細16-E'!$Q$9:$Q$206)+SUMIF('納品書明細16-E'!$B$9:$B$206,CONCATENATE(VLOOKUP(Y$5,$G$1:$H$4,2,FALSE),$E160,9,0),'納品書明細16-E'!$Q$9:$Q$206)-VLOOKUP($E160,$E$9:$AF$92,$AF$7-$D$7,0)</f>
        <v>0</v>
      </c>
    </row>
    <row r="161" spans="1:32" ht="13.5" customHeight="1">
      <c r="A161" s="475" t="str">
        <f>IF(SUMIFS($G161:$AF161,$G$8:$AF$8,"金額",$G161:$AF161,"&gt;0")-SUMIFS($G161:$AF161,$G$8:$AF$8,"金額",$G161:$AF161,"&lt;0")&lt;=0,"",MAX($A$92:$A160)+1)</f>
        <v/>
      </c>
      <c r="B161" s="795"/>
      <c r="C161" s="245" t="str">
        <f t="shared" si="5"/>
        <v>経費</v>
      </c>
      <c r="D161" s="245">
        <v>69</v>
      </c>
      <c r="E161" s="590" t="str">
        <f>IF($F161&lt;&gt;"",INDEX(ﾏｽﾀ!$D$8:$D$124,MATCH(INDEX(ﾏｽﾀ!$N$8:$N$124,MATCH($F161,ﾏｽﾀ!$O$8:$O$124,0)),ﾏｽﾀ!$B$8:$B$124,0))&amp;"","")</f>
        <v/>
      </c>
      <c r="F161" s="589" t="str">
        <f>ﾏｽﾀ!$R76&amp;""</f>
        <v/>
      </c>
      <c r="G161" s="634">
        <f>COUNTIF('納品書明細16-E'!$B$9:$B$206,CONCATENATE(VLOOKUP(G$5,$G$1:$H$4,2,FALSE),$E161,1,1))-INDEX($G$9:$G$90,MATCH($E161,$E$9:$E$90,0))</f>
        <v>0</v>
      </c>
      <c r="H161" s="636">
        <f>SUMIF('納品書明細16-E'!$B$9:$B$206,CONCATENATE(VLOOKUP(G$5,$G$1:$H$4,2,FALSE),$E161,1,1),'納品書明細16-E'!$Q$9:$Q$206)+SUMIF('納品書明細16-E'!$B$9:$B$206,CONCATENATE(VLOOKUP(G$5,$G$1:$H$4,2,FALSE),$E161,1,0),'納品書明細16-E'!$Q$9:$Q$206)-INDEX($H$9:$H$90,MATCH($E161,$E$9:$E$90,0))</f>
        <v>0</v>
      </c>
      <c r="I161" s="345"/>
      <c r="J161" s="122"/>
      <c r="K161" s="359"/>
      <c r="L161" s="345"/>
      <c r="M161" s="628">
        <f>COUNTIF('納品書明細16-E'!$B$9:$B$206,CONCATENATE(VLOOKUP(G$5,$G$1:$H$4,2,FALSE),$E161,9,1))-INDEX($M$9:$M$90,MATCH($E161,$E$9:$E$90,0))</f>
        <v>0</v>
      </c>
      <c r="N161" s="642">
        <f>SUMIF('納品書明細16-E'!$B$9:$B$206,CONCATENATE(VLOOKUP(G$5,$G$1:$H$4,2,FALSE),$E161,9,1),'納品書明細16-E'!$Q$9:$Q$206)+SUMIF('納品書明細16-E'!$B$9:$B$206,CONCATENATE(VLOOKUP(G$5,$G$1:$H$4,2,FALSE),$E161,9,0),'納品書明細16-E'!$Q$9:$Q$206)-INDEX($N$9:$N$90,MATCH($E161,$E$9:$E$90,0))</f>
        <v>0</v>
      </c>
      <c r="O161" s="64"/>
      <c r="P161" s="646">
        <f>COUNTIF('納品書明細16-E'!$B$9:$B$206,CONCATENATE(VLOOKUP(P$5,$G$1:$H$4,2,FALSE),$E161,1,1))-VLOOKUP($E161,$E$9:$AF$92,$P$7-$D$7,0)</f>
        <v>0</v>
      </c>
      <c r="Q161" s="647">
        <f>SUMIF('納品書明細16-E'!$B$9:$B$206,CONCATENATE(VLOOKUP(P$5,$G$1:$H$4,2,FALSE),$E161,1,1),'納品書明細16-E'!$Q$9:$Q$206)+SUMIF('納品書明細16-E'!$B$9:$B$206,CONCATENATE(VLOOKUP(P$5,$G$1:$H$4,2,FALSE),$E161,1,0),'納品書明細16-E'!$Q$9:$Q$206)-VLOOKUP($E161,$E$9:$AF$92,$Q$7-$D$7,0)</f>
        <v>0</v>
      </c>
      <c r="R161" s="345"/>
      <c r="S161" s="122"/>
      <c r="T161" s="128"/>
      <c r="U161" s="345"/>
      <c r="V161" s="638">
        <f>COUNTIF('納品書明細16-E'!$B$9:$B$206,CONCATENATE(VLOOKUP(P$5,$G$1:$H$4,2,FALSE),$E161,9,1))-VLOOKUP($E161,$E$9:$AF$92,$V$7-$D$7,0)</f>
        <v>0</v>
      </c>
      <c r="W161" s="650">
        <f>SUMIF('納品書明細16-E'!$B$9:$B$206,CONCATENATE(VLOOKUP(P$5,$G$1:$H$4,2,FALSE),$E161,9,1),'納品書明細16-E'!$Q$9:$Q$206)+SUMIF('納品書明細16-E'!$B$9:$B$206,CONCATENATE(VLOOKUP(P$5,$G$1:$H$4,2,FALSE),$E161,9,0),'納品書明細16-E'!$Q$9:$Q$206)-VLOOKUP($E161,$E$9:$AF$92,$W$7-$D$7,0)</f>
        <v>0</v>
      </c>
      <c r="X161" s="64"/>
      <c r="Y161" s="646">
        <f>COUNTIF('納品書明細16-E'!$B$9:$B$206,CONCATENATE(VLOOKUP(Y$5,$G$1:$H$4,2,FALSE),$E161,1,1))-VLOOKUP($E161,$E$9:$AF$92,$Y$7-$D$7,0)</f>
        <v>0</v>
      </c>
      <c r="Z161" s="647">
        <f>SUMIF('納品書明細16-E'!$B$9:$B$206,CONCATENATE(VLOOKUP(Y$5,$G$1:$H$4,2,FALSE),$E161,1,1),'納品書明細16-E'!$Q$9:$Q$206)+SUMIF('納品書明細16-E'!$B$9:$B$206,CONCATENATE(VLOOKUP(Y$5,$G$1:$H$4,2,FALSE),$E161,1,0),'納品書明細16-E'!$Q$9:$Q$206)-VLOOKUP($E161,$E$9:$AF$92,$Z$7-$D$7,0)</f>
        <v>0</v>
      </c>
      <c r="AA161" s="345"/>
      <c r="AB161" s="122"/>
      <c r="AC161" s="128"/>
      <c r="AD161" s="345"/>
      <c r="AE161" s="638">
        <f>COUNTIF('納品書明細16-E'!$B$9:$B$206,CONCATENATE(VLOOKUP(Y$5,$G$1:$H$4,2,FALSE),$E161,9,1))-VLOOKUP($E161,$E$9:$AF$92,$AE$7-$D$7,0)</f>
        <v>0</v>
      </c>
      <c r="AF161" s="650">
        <f>SUMIF('納品書明細16-E'!$B$9:$B$206,CONCATENATE(VLOOKUP(Y$5,$G$1:$H$4,2,FALSE),$E161,9,1),'納品書明細16-E'!$Q$9:$Q$206)+SUMIF('納品書明細16-E'!$B$9:$B$206,CONCATENATE(VLOOKUP(Y$5,$G$1:$H$4,2,FALSE),$E161,9,0),'納品書明細16-E'!$Q$9:$Q$206)-VLOOKUP($E161,$E$9:$AF$92,$AF$7-$D$7,0)</f>
        <v>0</v>
      </c>
    </row>
    <row r="162" spans="1:32" ht="13.5" customHeight="1">
      <c r="A162" s="475" t="str">
        <f>IF(SUMIFS($G162:$AF162,$G$8:$AF$8,"金額",$G162:$AF162,"&gt;0")-SUMIFS($G162:$AF162,$G$8:$AF$8,"金額",$G162:$AF162,"&lt;0")&lt;=0,"",MAX($A$92:$A161)+1)</f>
        <v/>
      </c>
      <c r="B162" s="795"/>
      <c r="C162" s="245" t="str">
        <f t="shared" si="5"/>
        <v>経費</v>
      </c>
      <c r="D162" s="245">
        <v>70</v>
      </c>
      <c r="E162" s="590" t="str">
        <f>IF($F162&lt;&gt;"",INDEX(ﾏｽﾀ!$D$8:$D$124,MATCH(INDEX(ﾏｽﾀ!$N$8:$N$124,MATCH($F162,ﾏｽﾀ!$O$8:$O$124,0)),ﾏｽﾀ!$B$8:$B$124,0))&amp;"","")</f>
        <v/>
      </c>
      <c r="F162" s="589" t="str">
        <f>ﾏｽﾀ!$R77&amp;""</f>
        <v/>
      </c>
      <c r="G162" s="634">
        <f>COUNTIF('納品書明細16-E'!$B$9:$B$206,CONCATENATE(VLOOKUP(G$5,$G$1:$H$4,2,FALSE),$E162,1,1))-INDEX($G$9:$G$90,MATCH($E162,$E$9:$E$90,0))</f>
        <v>0</v>
      </c>
      <c r="H162" s="636">
        <f>SUMIF('納品書明細16-E'!$B$9:$B$206,CONCATENATE(VLOOKUP(G$5,$G$1:$H$4,2,FALSE),$E162,1,1),'納品書明細16-E'!$Q$9:$Q$206)+SUMIF('納品書明細16-E'!$B$9:$B$206,CONCATENATE(VLOOKUP(G$5,$G$1:$H$4,2,FALSE),$E162,1,0),'納品書明細16-E'!$Q$9:$Q$206)-INDEX($H$9:$H$90,MATCH($E162,$E$9:$E$90,0))</f>
        <v>0</v>
      </c>
      <c r="I162" s="345"/>
      <c r="J162" s="122"/>
      <c r="K162" s="359"/>
      <c r="L162" s="345"/>
      <c r="M162" s="628">
        <f>COUNTIF('納品書明細16-E'!$B$9:$B$206,CONCATENATE(VLOOKUP(G$5,$G$1:$H$4,2,FALSE),$E162,9,1))-INDEX($M$9:$M$90,MATCH($E162,$E$9:$E$90,0))</f>
        <v>0</v>
      </c>
      <c r="N162" s="642">
        <f>SUMIF('納品書明細16-E'!$B$9:$B$206,CONCATENATE(VLOOKUP(G$5,$G$1:$H$4,2,FALSE),$E162,9,1),'納品書明細16-E'!$Q$9:$Q$206)+SUMIF('納品書明細16-E'!$B$9:$B$206,CONCATENATE(VLOOKUP(G$5,$G$1:$H$4,2,FALSE),$E162,9,0),'納品書明細16-E'!$Q$9:$Q$206)-INDEX($N$9:$N$90,MATCH($E162,$E$9:$E$90,0))</f>
        <v>0</v>
      </c>
      <c r="O162" s="64"/>
      <c r="P162" s="646">
        <f>COUNTIF('納品書明細16-E'!$B$9:$B$206,CONCATENATE(VLOOKUP(P$5,$G$1:$H$4,2,FALSE),$E162,1,1))-VLOOKUP($E162,$E$9:$AF$92,$P$7-$D$7,0)</f>
        <v>0</v>
      </c>
      <c r="Q162" s="647">
        <f>SUMIF('納品書明細16-E'!$B$9:$B$206,CONCATENATE(VLOOKUP(P$5,$G$1:$H$4,2,FALSE),$E162,1,1),'納品書明細16-E'!$Q$9:$Q$206)+SUMIF('納品書明細16-E'!$B$9:$B$206,CONCATENATE(VLOOKUP(P$5,$G$1:$H$4,2,FALSE),$E162,1,0),'納品書明細16-E'!$Q$9:$Q$206)-VLOOKUP($E162,$E$9:$AF$92,$Q$7-$D$7,0)</f>
        <v>0</v>
      </c>
      <c r="R162" s="345"/>
      <c r="S162" s="122"/>
      <c r="T162" s="128"/>
      <c r="U162" s="345"/>
      <c r="V162" s="638">
        <f>COUNTIF('納品書明細16-E'!$B$9:$B$206,CONCATENATE(VLOOKUP(P$5,$G$1:$H$4,2,FALSE),$E162,9,1))-VLOOKUP($E162,$E$9:$AF$92,$V$7-$D$7,0)</f>
        <v>0</v>
      </c>
      <c r="W162" s="650">
        <f>SUMIF('納品書明細16-E'!$B$9:$B$206,CONCATENATE(VLOOKUP(P$5,$G$1:$H$4,2,FALSE),$E162,9,1),'納品書明細16-E'!$Q$9:$Q$206)+SUMIF('納品書明細16-E'!$B$9:$B$206,CONCATENATE(VLOOKUP(P$5,$G$1:$H$4,2,FALSE),$E162,9,0),'納品書明細16-E'!$Q$9:$Q$206)-VLOOKUP($E162,$E$9:$AF$92,$W$7-$D$7,0)</f>
        <v>0</v>
      </c>
      <c r="X162" s="64"/>
      <c r="Y162" s="646">
        <f>COUNTIF('納品書明細16-E'!$B$9:$B$206,CONCATENATE(VLOOKUP(Y$5,$G$1:$H$4,2,FALSE),$E162,1,1))-VLOOKUP($E162,$E$9:$AF$92,$Y$7-$D$7,0)</f>
        <v>0</v>
      </c>
      <c r="Z162" s="647">
        <f>SUMIF('納品書明細16-E'!$B$9:$B$206,CONCATENATE(VLOOKUP(Y$5,$G$1:$H$4,2,FALSE),$E162,1,1),'納品書明細16-E'!$Q$9:$Q$206)+SUMIF('納品書明細16-E'!$B$9:$B$206,CONCATENATE(VLOOKUP(Y$5,$G$1:$H$4,2,FALSE),$E162,1,0),'納品書明細16-E'!$Q$9:$Q$206)-VLOOKUP($E162,$E$9:$AF$92,$Z$7-$D$7,0)</f>
        <v>0</v>
      </c>
      <c r="AA162" s="345"/>
      <c r="AB162" s="122"/>
      <c r="AC162" s="128"/>
      <c r="AD162" s="345"/>
      <c r="AE162" s="638">
        <f>COUNTIF('納品書明細16-E'!$B$9:$B$206,CONCATENATE(VLOOKUP(Y$5,$G$1:$H$4,2,FALSE),$E162,9,1))-VLOOKUP($E162,$E$9:$AF$92,$AE$7-$D$7,0)</f>
        <v>0</v>
      </c>
      <c r="AF162" s="650">
        <f>SUMIF('納品書明細16-E'!$B$9:$B$206,CONCATENATE(VLOOKUP(Y$5,$G$1:$H$4,2,FALSE),$E162,9,1),'納品書明細16-E'!$Q$9:$Q$206)+SUMIF('納品書明細16-E'!$B$9:$B$206,CONCATENATE(VLOOKUP(Y$5,$G$1:$H$4,2,FALSE),$E162,9,0),'納品書明細16-E'!$Q$9:$Q$206)-VLOOKUP($E162,$E$9:$AF$92,$AF$7-$D$7,0)</f>
        <v>0</v>
      </c>
    </row>
    <row r="163" spans="1:32" ht="13.5" customHeight="1">
      <c r="A163" s="475" t="str">
        <f>IF(SUMIFS($G163:$AF163,$G$8:$AF$8,"金額",$G163:$AF163,"&gt;0")-SUMIFS($G163:$AF163,$G$8:$AF$8,"金額",$G163:$AF163,"&lt;0")&lt;=0,"",MAX($A$92:$A162)+1)</f>
        <v/>
      </c>
      <c r="B163" s="795"/>
      <c r="C163" s="245" t="str">
        <f t="shared" si="5"/>
        <v>経費</v>
      </c>
      <c r="D163" s="245">
        <v>71</v>
      </c>
      <c r="E163" s="590" t="str">
        <f>IF($F163&lt;&gt;"",INDEX(ﾏｽﾀ!$D$8:$D$124,MATCH(INDEX(ﾏｽﾀ!$N$8:$N$124,MATCH($F163,ﾏｽﾀ!$O$8:$O$124,0)),ﾏｽﾀ!$B$8:$B$124,0))&amp;"","")</f>
        <v/>
      </c>
      <c r="F163" s="589" t="str">
        <f>ﾏｽﾀ!$R78&amp;""</f>
        <v/>
      </c>
      <c r="G163" s="634">
        <f>COUNTIF('納品書明細16-E'!$B$9:$B$206,CONCATENATE(VLOOKUP(G$5,$G$1:$H$4,2,FALSE),$E163,1,1))-INDEX($G$9:$G$90,MATCH($E163,$E$9:$E$90,0))</f>
        <v>0</v>
      </c>
      <c r="H163" s="636">
        <f>SUMIF('納品書明細16-E'!$B$9:$B$206,CONCATENATE(VLOOKUP(G$5,$G$1:$H$4,2,FALSE),$E163,1,1),'納品書明細16-E'!$Q$9:$Q$206)+SUMIF('納品書明細16-E'!$B$9:$B$206,CONCATENATE(VLOOKUP(G$5,$G$1:$H$4,2,FALSE),$E163,1,0),'納品書明細16-E'!$Q$9:$Q$206)-INDEX($H$9:$H$90,MATCH($E163,$E$9:$E$90,0))</f>
        <v>0</v>
      </c>
      <c r="I163" s="345"/>
      <c r="J163" s="122"/>
      <c r="K163" s="359"/>
      <c r="L163" s="345"/>
      <c r="M163" s="628">
        <f>COUNTIF('納品書明細16-E'!$B$9:$B$206,CONCATENATE(VLOOKUP(G$5,$G$1:$H$4,2,FALSE),$E163,9,1))-INDEX($M$9:$M$90,MATCH($E163,$E$9:$E$90,0))</f>
        <v>0</v>
      </c>
      <c r="N163" s="642">
        <f>SUMIF('納品書明細16-E'!$B$9:$B$206,CONCATENATE(VLOOKUP(G$5,$G$1:$H$4,2,FALSE),$E163,9,1),'納品書明細16-E'!$Q$9:$Q$206)+SUMIF('納品書明細16-E'!$B$9:$B$206,CONCATENATE(VLOOKUP(G$5,$G$1:$H$4,2,FALSE),$E163,9,0),'納品書明細16-E'!$Q$9:$Q$206)-INDEX($N$9:$N$90,MATCH($E163,$E$9:$E$90,0))</f>
        <v>0</v>
      </c>
      <c r="O163" s="64"/>
      <c r="P163" s="646">
        <f>COUNTIF('納品書明細16-E'!$B$9:$B$206,CONCATENATE(VLOOKUP(P$5,$G$1:$H$4,2,FALSE),$E163,1,1))-VLOOKUP($E163,$E$9:$AF$92,$P$7-$D$7,0)</f>
        <v>0</v>
      </c>
      <c r="Q163" s="647">
        <f>SUMIF('納品書明細16-E'!$B$9:$B$206,CONCATENATE(VLOOKUP(P$5,$G$1:$H$4,2,FALSE),$E163,1,1),'納品書明細16-E'!$Q$9:$Q$206)+SUMIF('納品書明細16-E'!$B$9:$B$206,CONCATENATE(VLOOKUP(P$5,$G$1:$H$4,2,FALSE),$E163,1,0),'納品書明細16-E'!$Q$9:$Q$206)-VLOOKUP($E163,$E$9:$AF$92,$Q$7-$D$7,0)</f>
        <v>0</v>
      </c>
      <c r="R163" s="345"/>
      <c r="S163" s="122"/>
      <c r="T163" s="128"/>
      <c r="U163" s="345"/>
      <c r="V163" s="638">
        <f>COUNTIF('納品書明細16-E'!$B$9:$B$206,CONCATENATE(VLOOKUP(P$5,$G$1:$H$4,2,FALSE),$E163,9,1))-VLOOKUP($E163,$E$9:$AF$92,$V$7-$D$7,0)</f>
        <v>0</v>
      </c>
      <c r="W163" s="650">
        <f>SUMIF('納品書明細16-E'!$B$9:$B$206,CONCATENATE(VLOOKUP(P$5,$G$1:$H$4,2,FALSE),$E163,9,1),'納品書明細16-E'!$Q$9:$Q$206)+SUMIF('納品書明細16-E'!$B$9:$B$206,CONCATENATE(VLOOKUP(P$5,$G$1:$H$4,2,FALSE),$E163,9,0),'納品書明細16-E'!$Q$9:$Q$206)-VLOOKUP($E163,$E$9:$AF$92,$W$7-$D$7,0)</f>
        <v>0</v>
      </c>
      <c r="X163" s="64"/>
      <c r="Y163" s="646">
        <f>COUNTIF('納品書明細16-E'!$B$9:$B$206,CONCATENATE(VLOOKUP(Y$5,$G$1:$H$4,2,FALSE),$E163,1,1))-VLOOKUP($E163,$E$9:$AF$92,$Y$7-$D$7,0)</f>
        <v>0</v>
      </c>
      <c r="Z163" s="647">
        <f>SUMIF('納品書明細16-E'!$B$9:$B$206,CONCATENATE(VLOOKUP(Y$5,$G$1:$H$4,2,FALSE),$E163,1,1),'納品書明細16-E'!$Q$9:$Q$206)+SUMIF('納品書明細16-E'!$B$9:$B$206,CONCATENATE(VLOOKUP(Y$5,$G$1:$H$4,2,FALSE),$E163,1,0),'納品書明細16-E'!$Q$9:$Q$206)-VLOOKUP($E163,$E$9:$AF$92,$Z$7-$D$7,0)</f>
        <v>0</v>
      </c>
      <c r="AA163" s="345"/>
      <c r="AB163" s="122"/>
      <c r="AC163" s="128"/>
      <c r="AD163" s="345"/>
      <c r="AE163" s="638">
        <f>COUNTIF('納品書明細16-E'!$B$9:$B$206,CONCATENATE(VLOOKUP(Y$5,$G$1:$H$4,2,FALSE),$E163,9,1))-VLOOKUP($E163,$E$9:$AF$92,$AE$7-$D$7,0)</f>
        <v>0</v>
      </c>
      <c r="AF163" s="650">
        <f>SUMIF('納品書明細16-E'!$B$9:$B$206,CONCATENATE(VLOOKUP(Y$5,$G$1:$H$4,2,FALSE),$E163,9,1),'納品書明細16-E'!$Q$9:$Q$206)+SUMIF('納品書明細16-E'!$B$9:$B$206,CONCATENATE(VLOOKUP(Y$5,$G$1:$H$4,2,FALSE),$E163,9,0),'納品書明細16-E'!$Q$9:$Q$206)-VLOOKUP($E163,$E$9:$AF$92,$AF$7-$D$7,0)</f>
        <v>0</v>
      </c>
    </row>
    <row r="164" spans="1:32" ht="13.5" customHeight="1">
      <c r="A164" s="475" t="str">
        <f>IF(SUMIFS($G164:$AF164,$G$8:$AF$8,"金額",$G164:$AF164,"&gt;0")-SUMIFS($G164:$AF164,$G$8:$AF$8,"金額",$G164:$AF164,"&lt;0")&lt;=0,"",MAX($A$92:$A163)+1)</f>
        <v/>
      </c>
      <c r="B164" s="795"/>
      <c r="C164" s="245" t="str">
        <f t="shared" si="5"/>
        <v>経費</v>
      </c>
      <c r="D164" s="245">
        <v>72</v>
      </c>
      <c r="E164" s="590" t="str">
        <f>IF($F164&lt;&gt;"",INDEX(ﾏｽﾀ!$D$8:$D$124,MATCH(INDEX(ﾏｽﾀ!$N$8:$N$124,MATCH($F164,ﾏｽﾀ!$O$8:$O$124,0)),ﾏｽﾀ!$B$8:$B$124,0))&amp;"","")</f>
        <v/>
      </c>
      <c r="F164" s="589" t="str">
        <f>ﾏｽﾀ!$R79&amp;""</f>
        <v/>
      </c>
      <c r="G164" s="634">
        <f>COUNTIF('納品書明細16-E'!$B$9:$B$206,CONCATENATE(VLOOKUP(G$5,$G$1:$H$4,2,FALSE),$E164,1,1))-INDEX($G$9:$G$90,MATCH($E164,$E$9:$E$90,0))</f>
        <v>0</v>
      </c>
      <c r="H164" s="636">
        <f>SUMIF('納品書明細16-E'!$B$9:$B$206,CONCATENATE(VLOOKUP(G$5,$G$1:$H$4,2,FALSE),$E164,1,1),'納品書明細16-E'!$Q$9:$Q$206)+SUMIF('納品書明細16-E'!$B$9:$B$206,CONCATENATE(VLOOKUP(G$5,$G$1:$H$4,2,FALSE),$E164,1,0),'納品書明細16-E'!$Q$9:$Q$206)-INDEX($H$9:$H$90,MATCH($E164,$E$9:$E$90,0))</f>
        <v>0</v>
      </c>
      <c r="I164" s="345"/>
      <c r="J164" s="122"/>
      <c r="K164" s="359"/>
      <c r="L164" s="345"/>
      <c r="M164" s="628">
        <f>COUNTIF('納品書明細16-E'!$B$9:$B$206,CONCATENATE(VLOOKUP(G$5,$G$1:$H$4,2,FALSE),$E164,9,1))-INDEX($M$9:$M$90,MATCH($E164,$E$9:$E$90,0))</f>
        <v>0</v>
      </c>
      <c r="N164" s="642">
        <f>SUMIF('納品書明細16-E'!$B$9:$B$206,CONCATENATE(VLOOKUP(G$5,$G$1:$H$4,2,FALSE),$E164,9,1),'納品書明細16-E'!$Q$9:$Q$206)+SUMIF('納品書明細16-E'!$B$9:$B$206,CONCATENATE(VLOOKUP(G$5,$G$1:$H$4,2,FALSE),$E164,9,0),'納品書明細16-E'!$Q$9:$Q$206)-INDEX($N$9:$N$90,MATCH($E164,$E$9:$E$90,0))</f>
        <v>0</v>
      </c>
      <c r="O164" s="64"/>
      <c r="P164" s="646">
        <f>COUNTIF('納品書明細16-E'!$B$9:$B$206,CONCATENATE(VLOOKUP(P$5,$G$1:$H$4,2,FALSE),$E164,1,1))-VLOOKUP($E164,$E$9:$AF$92,$P$7-$D$7,0)</f>
        <v>0</v>
      </c>
      <c r="Q164" s="647">
        <f>SUMIF('納品書明細16-E'!$B$9:$B$206,CONCATENATE(VLOOKUP(P$5,$G$1:$H$4,2,FALSE),$E164,1,1),'納品書明細16-E'!$Q$9:$Q$206)+SUMIF('納品書明細16-E'!$B$9:$B$206,CONCATENATE(VLOOKUP(P$5,$G$1:$H$4,2,FALSE),$E164,1,0),'納品書明細16-E'!$Q$9:$Q$206)-VLOOKUP($E164,$E$9:$AF$92,$Q$7-$D$7,0)</f>
        <v>0</v>
      </c>
      <c r="R164" s="345"/>
      <c r="S164" s="122"/>
      <c r="T164" s="128"/>
      <c r="U164" s="345"/>
      <c r="V164" s="638">
        <f>COUNTIF('納品書明細16-E'!$B$9:$B$206,CONCATENATE(VLOOKUP(P$5,$G$1:$H$4,2,FALSE),$E164,9,1))-VLOOKUP($E164,$E$9:$AF$92,$V$7-$D$7,0)</f>
        <v>0</v>
      </c>
      <c r="W164" s="650">
        <f>SUMIF('納品書明細16-E'!$B$9:$B$206,CONCATENATE(VLOOKUP(P$5,$G$1:$H$4,2,FALSE),$E164,9,1),'納品書明細16-E'!$Q$9:$Q$206)+SUMIF('納品書明細16-E'!$B$9:$B$206,CONCATENATE(VLOOKUP(P$5,$G$1:$H$4,2,FALSE),$E164,9,0),'納品書明細16-E'!$Q$9:$Q$206)-VLOOKUP($E164,$E$9:$AF$92,$W$7-$D$7,0)</f>
        <v>0</v>
      </c>
      <c r="X164" s="64"/>
      <c r="Y164" s="646">
        <f>COUNTIF('納品書明細16-E'!$B$9:$B$206,CONCATENATE(VLOOKUP(Y$5,$G$1:$H$4,2,FALSE),$E164,1,1))-VLOOKUP($E164,$E$9:$AF$92,$Y$7-$D$7,0)</f>
        <v>0</v>
      </c>
      <c r="Z164" s="647">
        <f>SUMIF('納品書明細16-E'!$B$9:$B$206,CONCATENATE(VLOOKUP(Y$5,$G$1:$H$4,2,FALSE),$E164,1,1),'納品書明細16-E'!$Q$9:$Q$206)+SUMIF('納品書明細16-E'!$B$9:$B$206,CONCATENATE(VLOOKUP(Y$5,$G$1:$H$4,2,FALSE),$E164,1,0),'納品書明細16-E'!$Q$9:$Q$206)-VLOOKUP($E164,$E$9:$AF$92,$Z$7-$D$7,0)</f>
        <v>0</v>
      </c>
      <c r="AA164" s="345"/>
      <c r="AB164" s="122"/>
      <c r="AC164" s="128"/>
      <c r="AD164" s="345"/>
      <c r="AE164" s="638">
        <f>COUNTIF('納品書明細16-E'!$B$9:$B$206,CONCATENATE(VLOOKUP(Y$5,$G$1:$H$4,2,FALSE),$E164,9,1))-VLOOKUP($E164,$E$9:$AF$92,$AE$7-$D$7,0)</f>
        <v>0</v>
      </c>
      <c r="AF164" s="650">
        <f>SUMIF('納品書明細16-E'!$B$9:$B$206,CONCATENATE(VLOOKUP(Y$5,$G$1:$H$4,2,FALSE),$E164,9,1),'納品書明細16-E'!$Q$9:$Q$206)+SUMIF('納品書明細16-E'!$B$9:$B$206,CONCATENATE(VLOOKUP(Y$5,$G$1:$H$4,2,FALSE),$E164,9,0),'納品書明細16-E'!$Q$9:$Q$206)-VLOOKUP($E164,$E$9:$AF$92,$AF$7-$D$7,0)</f>
        <v>0</v>
      </c>
    </row>
    <row r="165" spans="1:32" ht="13.5" customHeight="1">
      <c r="A165" s="475" t="str">
        <f>IF(SUMIFS($G165:$AF165,$G$8:$AF$8,"金額",$G165:$AF165,"&gt;0")-SUMIFS($G165:$AF165,$G$8:$AF$8,"金額",$G165:$AF165,"&lt;0")&lt;=0,"",MAX($A$92:$A164)+1)</f>
        <v/>
      </c>
      <c r="B165" s="795"/>
      <c r="C165" s="245" t="str">
        <f t="shared" si="5"/>
        <v>経費</v>
      </c>
      <c r="D165" s="245">
        <v>73</v>
      </c>
      <c r="E165" s="590" t="str">
        <f>IF($F165&lt;&gt;"",INDEX(ﾏｽﾀ!$D$8:$D$124,MATCH(INDEX(ﾏｽﾀ!$N$8:$N$124,MATCH($F165,ﾏｽﾀ!$O$8:$O$124,0)),ﾏｽﾀ!$B$8:$B$124,0))&amp;"","")</f>
        <v/>
      </c>
      <c r="F165" s="589" t="str">
        <f>ﾏｽﾀ!$R80&amp;""</f>
        <v/>
      </c>
      <c r="G165" s="634">
        <f>COUNTIF('納品書明細16-E'!$B$9:$B$206,CONCATENATE(VLOOKUP(G$5,$G$1:$H$4,2,FALSE),$E165,1,1))-INDEX($G$9:$G$90,MATCH($E165,$E$9:$E$90,0))</f>
        <v>0</v>
      </c>
      <c r="H165" s="636">
        <f>SUMIF('納品書明細16-E'!$B$9:$B$206,CONCATENATE(VLOOKUP(G$5,$G$1:$H$4,2,FALSE),$E165,1,1),'納品書明細16-E'!$Q$9:$Q$206)+SUMIF('納品書明細16-E'!$B$9:$B$206,CONCATENATE(VLOOKUP(G$5,$G$1:$H$4,2,FALSE),$E165,1,0),'納品書明細16-E'!$Q$9:$Q$206)-INDEX($H$9:$H$90,MATCH($E165,$E$9:$E$90,0))</f>
        <v>0</v>
      </c>
      <c r="I165" s="345"/>
      <c r="J165" s="122"/>
      <c r="K165" s="359"/>
      <c r="L165" s="345"/>
      <c r="M165" s="628">
        <f>COUNTIF('納品書明細16-E'!$B$9:$B$206,CONCATENATE(VLOOKUP(G$5,$G$1:$H$4,2,FALSE),$E165,9,1))-INDEX($M$9:$M$90,MATCH($E165,$E$9:$E$90,0))</f>
        <v>0</v>
      </c>
      <c r="N165" s="642">
        <f>SUMIF('納品書明細16-E'!$B$9:$B$206,CONCATENATE(VLOOKUP(G$5,$G$1:$H$4,2,FALSE),$E165,9,1),'納品書明細16-E'!$Q$9:$Q$206)+SUMIF('納品書明細16-E'!$B$9:$B$206,CONCATENATE(VLOOKUP(G$5,$G$1:$H$4,2,FALSE),$E165,9,0),'納品書明細16-E'!$Q$9:$Q$206)-INDEX($N$9:$N$90,MATCH($E165,$E$9:$E$90,0))</f>
        <v>0</v>
      </c>
      <c r="O165" s="64"/>
      <c r="P165" s="646">
        <f>COUNTIF('納品書明細16-E'!$B$9:$B$206,CONCATENATE(VLOOKUP(P$5,$G$1:$H$4,2,FALSE),$E165,1,1))-VLOOKUP($E165,$E$9:$AF$92,$P$7-$D$7,0)</f>
        <v>0</v>
      </c>
      <c r="Q165" s="647">
        <f>SUMIF('納品書明細16-E'!$B$9:$B$206,CONCATENATE(VLOOKUP(P$5,$G$1:$H$4,2,FALSE),$E165,1,1),'納品書明細16-E'!$Q$9:$Q$206)+SUMIF('納品書明細16-E'!$B$9:$B$206,CONCATENATE(VLOOKUP(P$5,$G$1:$H$4,2,FALSE),$E165,1,0),'納品書明細16-E'!$Q$9:$Q$206)-VLOOKUP($E165,$E$9:$AF$92,$Q$7-$D$7,0)</f>
        <v>0</v>
      </c>
      <c r="R165" s="345"/>
      <c r="S165" s="122"/>
      <c r="T165" s="128"/>
      <c r="U165" s="345"/>
      <c r="V165" s="638">
        <f>COUNTIF('納品書明細16-E'!$B$9:$B$206,CONCATENATE(VLOOKUP(P$5,$G$1:$H$4,2,FALSE),$E165,9,1))-VLOOKUP($E165,$E$9:$AF$92,$V$7-$D$7,0)</f>
        <v>0</v>
      </c>
      <c r="W165" s="650">
        <f>SUMIF('納品書明細16-E'!$B$9:$B$206,CONCATENATE(VLOOKUP(P$5,$G$1:$H$4,2,FALSE),$E165,9,1),'納品書明細16-E'!$Q$9:$Q$206)+SUMIF('納品書明細16-E'!$B$9:$B$206,CONCATENATE(VLOOKUP(P$5,$G$1:$H$4,2,FALSE),$E165,9,0),'納品書明細16-E'!$Q$9:$Q$206)-VLOOKUP($E165,$E$9:$AF$92,$W$7-$D$7,0)</f>
        <v>0</v>
      </c>
      <c r="X165" s="64"/>
      <c r="Y165" s="646">
        <f>COUNTIF('納品書明細16-E'!$B$9:$B$206,CONCATENATE(VLOOKUP(Y$5,$G$1:$H$4,2,FALSE),$E165,1,1))-VLOOKUP($E165,$E$9:$AF$92,$Y$7-$D$7,0)</f>
        <v>0</v>
      </c>
      <c r="Z165" s="647">
        <f>SUMIF('納品書明細16-E'!$B$9:$B$206,CONCATENATE(VLOOKUP(Y$5,$G$1:$H$4,2,FALSE),$E165,1,1),'納品書明細16-E'!$Q$9:$Q$206)+SUMIF('納品書明細16-E'!$B$9:$B$206,CONCATENATE(VLOOKUP(Y$5,$G$1:$H$4,2,FALSE),$E165,1,0),'納品書明細16-E'!$Q$9:$Q$206)-VLOOKUP($E165,$E$9:$AF$92,$Z$7-$D$7,0)</f>
        <v>0</v>
      </c>
      <c r="AA165" s="345"/>
      <c r="AB165" s="122"/>
      <c r="AC165" s="128"/>
      <c r="AD165" s="345"/>
      <c r="AE165" s="638">
        <f>COUNTIF('納品書明細16-E'!$B$9:$B$206,CONCATENATE(VLOOKUP(Y$5,$G$1:$H$4,2,FALSE),$E165,9,1))-VLOOKUP($E165,$E$9:$AF$92,$AE$7-$D$7,0)</f>
        <v>0</v>
      </c>
      <c r="AF165" s="650">
        <f>SUMIF('納品書明細16-E'!$B$9:$B$206,CONCATENATE(VLOOKUP(Y$5,$G$1:$H$4,2,FALSE),$E165,9,1),'納品書明細16-E'!$Q$9:$Q$206)+SUMIF('納品書明細16-E'!$B$9:$B$206,CONCATENATE(VLOOKUP(Y$5,$G$1:$H$4,2,FALSE),$E165,9,0),'納品書明細16-E'!$Q$9:$Q$206)-VLOOKUP($E165,$E$9:$AF$92,$AF$7-$D$7,0)</f>
        <v>0</v>
      </c>
    </row>
    <row r="166" spans="1:32" ht="13.5" customHeight="1">
      <c r="A166" s="475" t="str">
        <f>IF(SUMIFS($G166:$AF166,$G$8:$AF$8,"金額",$G166:$AF166,"&gt;0")-SUMIFS($G166:$AF166,$G$8:$AF$8,"金額",$G166:$AF166,"&lt;0")&lt;=0,"",MAX($A$92:$A165)+1)</f>
        <v/>
      </c>
      <c r="B166" s="795"/>
      <c r="C166" s="245" t="str">
        <f t="shared" si="5"/>
        <v>経費</v>
      </c>
      <c r="D166" s="245">
        <v>74</v>
      </c>
      <c r="E166" s="590" t="str">
        <f>IF($F166&lt;&gt;"",INDEX(ﾏｽﾀ!$D$8:$D$124,MATCH(INDEX(ﾏｽﾀ!$N$8:$N$124,MATCH($F166,ﾏｽﾀ!$O$8:$O$124,0)),ﾏｽﾀ!$B$8:$B$124,0))&amp;"","")</f>
        <v/>
      </c>
      <c r="F166" s="589" t="str">
        <f>ﾏｽﾀ!$R81&amp;""</f>
        <v/>
      </c>
      <c r="G166" s="634">
        <f>COUNTIF('納品書明細16-E'!$B$9:$B$206,CONCATENATE(VLOOKUP(G$5,$G$1:$H$4,2,FALSE),$E166,1,1))-INDEX($G$9:$G$90,MATCH($E166,$E$9:$E$90,0))</f>
        <v>0</v>
      </c>
      <c r="H166" s="636">
        <f>SUMIF('納品書明細16-E'!$B$9:$B$206,CONCATENATE(VLOOKUP(G$5,$G$1:$H$4,2,FALSE),$E166,1,1),'納品書明細16-E'!$Q$9:$Q$206)+SUMIF('納品書明細16-E'!$B$9:$B$206,CONCATENATE(VLOOKUP(G$5,$G$1:$H$4,2,FALSE),$E166,1,0),'納品書明細16-E'!$Q$9:$Q$206)-INDEX($H$9:$H$90,MATCH($E166,$E$9:$E$90,0))</f>
        <v>0</v>
      </c>
      <c r="I166" s="345"/>
      <c r="J166" s="122"/>
      <c r="K166" s="359"/>
      <c r="L166" s="345"/>
      <c r="M166" s="628">
        <f>COUNTIF('納品書明細16-E'!$B$9:$B$206,CONCATENATE(VLOOKUP(G$5,$G$1:$H$4,2,FALSE),$E166,9,1))-INDEX($M$9:$M$90,MATCH($E166,$E$9:$E$90,0))</f>
        <v>0</v>
      </c>
      <c r="N166" s="642">
        <f>SUMIF('納品書明細16-E'!$B$9:$B$206,CONCATENATE(VLOOKUP(G$5,$G$1:$H$4,2,FALSE),$E166,9,1),'納品書明細16-E'!$Q$9:$Q$206)+SUMIF('納品書明細16-E'!$B$9:$B$206,CONCATENATE(VLOOKUP(G$5,$G$1:$H$4,2,FALSE),$E166,9,0),'納品書明細16-E'!$Q$9:$Q$206)-INDEX($N$9:$N$90,MATCH($E166,$E$9:$E$90,0))</f>
        <v>0</v>
      </c>
      <c r="O166" s="64"/>
      <c r="P166" s="646">
        <f>COUNTIF('納品書明細16-E'!$B$9:$B$206,CONCATENATE(VLOOKUP(P$5,$G$1:$H$4,2,FALSE),$E166,1,1))-VLOOKUP($E166,$E$9:$AF$92,$P$7-$D$7,0)</f>
        <v>0</v>
      </c>
      <c r="Q166" s="647">
        <f>SUMIF('納品書明細16-E'!$B$9:$B$206,CONCATENATE(VLOOKUP(P$5,$G$1:$H$4,2,FALSE),$E166,1,1),'納品書明細16-E'!$Q$9:$Q$206)+SUMIF('納品書明細16-E'!$B$9:$B$206,CONCATENATE(VLOOKUP(P$5,$G$1:$H$4,2,FALSE),$E166,1,0),'納品書明細16-E'!$Q$9:$Q$206)-VLOOKUP($E166,$E$9:$AF$92,$Q$7-$D$7,0)</f>
        <v>0</v>
      </c>
      <c r="R166" s="345"/>
      <c r="S166" s="122"/>
      <c r="T166" s="128"/>
      <c r="U166" s="345"/>
      <c r="V166" s="638">
        <f>COUNTIF('納品書明細16-E'!$B$9:$B$206,CONCATENATE(VLOOKUP(P$5,$G$1:$H$4,2,FALSE),$E166,9,1))-VLOOKUP($E166,$E$9:$AF$92,$V$7-$D$7,0)</f>
        <v>0</v>
      </c>
      <c r="W166" s="650">
        <f>SUMIF('納品書明細16-E'!$B$9:$B$206,CONCATENATE(VLOOKUP(P$5,$G$1:$H$4,2,FALSE),$E166,9,1),'納品書明細16-E'!$Q$9:$Q$206)+SUMIF('納品書明細16-E'!$B$9:$B$206,CONCATENATE(VLOOKUP(P$5,$G$1:$H$4,2,FALSE),$E166,9,0),'納品書明細16-E'!$Q$9:$Q$206)-VLOOKUP($E166,$E$9:$AF$92,$W$7-$D$7,0)</f>
        <v>0</v>
      </c>
      <c r="X166" s="64"/>
      <c r="Y166" s="646">
        <f>COUNTIF('納品書明細16-E'!$B$9:$B$206,CONCATENATE(VLOOKUP(Y$5,$G$1:$H$4,2,FALSE),$E166,1,1))-VLOOKUP($E166,$E$9:$AF$92,$Y$7-$D$7,0)</f>
        <v>0</v>
      </c>
      <c r="Z166" s="647">
        <f>SUMIF('納品書明細16-E'!$B$9:$B$206,CONCATENATE(VLOOKUP(Y$5,$G$1:$H$4,2,FALSE),$E166,1,1),'納品書明細16-E'!$Q$9:$Q$206)+SUMIF('納品書明細16-E'!$B$9:$B$206,CONCATENATE(VLOOKUP(Y$5,$G$1:$H$4,2,FALSE),$E166,1,0),'納品書明細16-E'!$Q$9:$Q$206)-VLOOKUP($E166,$E$9:$AF$92,$Z$7-$D$7,0)</f>
        <v>0</v>
      </c>
      <c r="AA166" s="345"/>
      <c r="AB166" s="122"/>
      <c r="AC166" s="128"/>
      <c r="AD166" s="345"/>
      <c r="AE166" s="638">
        <f>COUNTIF('納品書明細16-E'!$B$9:$B$206,CONCATENATE(VLOOKUP(Y$5,$G$1:$H$4,2,FALSE),$E166,9,1))-VLOOKUP($E166,$E$9:$AF$92,$AE$7-$D$7,0)</f>
        <v>0</v>
      </c>
      <c r="AF166" s="650">
        <f>SUMIF('納品書明細16-E'!$B$9:$B$206,CONCATENATE(VLOOKUP(Y$5,$G$1:$H$4,2,FALSE),$E166,9,1),'納品書明細16-E'!$Q$9:$Q$206)+SUMIF('納品書明細16-E'!$B$9:$B$206,CONCATENATE(VLOOKUP(Y$5,$G$1:$H$4,2,FALSE),$E166,9,0),'納品書明細16-E'!$Q$9:$Q$206)-VLOOKUP($E166,$E$9:$AF$92,$AF$7-$D$7,0)</f>
        <v>0</v>
      </c>
    </row>
    <row r="167" spans="1:32" ht="13.5" customHeight="1">
      <c r="A167" s="475" t="str">
        <f>IF(SUMIFS($G167:$AF167,$G$8:$AF$8,"金額",$G167:$AF167,"&gt;0")-SUMIFS($G167:$AF167,$G$8:$AF$8,"金額",$G167:$AF167,"&lt;0")&lt;=0,"",MAX($A$92:$A166)+1)</f>
        <v/>
      </c>
      <c r="B167" s="795"/>
      <c r="C167" s="245" t="str">
        <f t="shared" si="5"/>
        <v>経費</v>
      </c>
      <c r="D167" s="245">
        <v>75</v>
      </c>
      <c r="E167" s="590" t="str">
        <f>IF($F167&lt;&gt;"",INDEX(ﾏｽﾀ!$D$8:$D$124,MATCH(INDEX(ﾏｽﾀ!$N$8:$N$124,MATCH($F167,ﾏｽﾀ!$O$8:$O$124,0)),ﾏｽﾀ!$B$8:$B$124,0))&amp;"","")</f>
        <v/>
      </c>
      <c r="F167" s="589" t="str">
        <f>ﾏｽﾀ!$R82&amp;""</f>
        <v/>
      </c>
      <c r="G167" s="634">
        <f>COUNTIF('納品書明細16-E'!$B$9:$B$206,CONCATENATE(VLOOKUP(G$5,$G$1:$H$4,2,FALSE),$E167,1,1))-INDEX($G$9:$G$90,MATCH($E167,$E$9:$E$90,0))</f>
        <v>0</v>
      </c>
      <c r="H167" s="636">
        <f>SUMIF('納品書明細16-E'!$B$9:$B$206,CONCATENATE(VLOOKUP(G$5,$G$1:$H$4,2,FALSE),$E167,1,1),'納品書明細16-E'!$Q$9:$Q$206)+SUMIF('納品書明細16-E'!$B$9:$B$206,CONCATENATE(VLOOKUP(G$5,$G$1:$H$4,2,FALSE),$E167,1,0),'納品書明細16-E'!$Q$9:$Q$206)-INDEX($H$9:$H$90,MATCH($E167,$E$9:$E$90,0))</f>
        <v>0</v>
      </c>
      <c r="I167" s="345"/>
      <c r="J167" s="122"/>
      <c r="K167" s="359"/>
      <c r="L167" s="345"/>
      <c r="M167" s="628">
        <f>COUNTIF('納品書明細16-E'!$B$9:$B$206,CONCATENATE(VLOOKUP(G$5,$G$1:$H$4,2,FALSE),$E167,9,1))-INDEX($M$9:$M$90,MATCH($E167,$E$9:$E$90,0))</f>
        <v>0</v>
      </c>
      <c r="N167" s="642">
        <f>SUMIF('納品書明細16-E'!$B$9:$B$206,CONCATENATE(VLOOKUP(G$5,$G$1:$H$4,2,FALSE),$E167,9,1),'納品書明細16-E'!$Q$9:$Q$206)+SUMIF('納品書明細16-E'!$B$9:$B$206,CONCATENATE(VLOOKUP(G$5,$G$1:$H$4,2,FALSE),$E167,9,0),'納品書明細16-E'!$Q$9:$Q$206)-INDEX($N$9:$N$90,MATCH($E167,$E$9:$E$90,0))</f>
        <v>0</v>
      </c>
      <c r="O167" s="64"/>
      <c r="P167" s="646">
        <f>COUNTIF('納品書明細16-E'!$B$9:$B$206,CONCATENATE(VLOOKUP(P$5,$G$1:$H$4,2,FALSE),$E167,1,1))-VLOOKUP($E167,$E$9:$AF$92,$P$7-$D$7,0)</f>
        <v>0</v>
      </c>
      <c r="Q167" s="647">
        <f>SUMIF('納品書明細16-E'!$B$9:$B$206,CONCATENATE(VLOOKUP(P$5,$G$1:$H$4,2,FALSE),$E167,1,1),'納品書明細16-E'!$Q$9:$Q$206)+SUMIF('納品書明細16-E'!$B$9:$B$206,CONCATENATE(VLOOKUP(P$5,$G$1:$H$4,2,FALSE),$E167,1,0),'納品書明細16-E'!$Q$9:$Q$206)-VLOOKUP($E167,$E$9:$AF$92,$Q$7-$D$7,0)</f>
        <v>0</v>
      </c>
      <c r="R167" s="345"/>
      <c r="S167" s="122"/>
      <c r="T167" s="128"/>
      <c r="U167" s="345"/>
      <c r="V167" s="638">
        <f>COUNTIF('納品書明細16-E'!$B$9:$B$206,CONCATENATE(VLOOKUP(P$5,$G$1:$H$4,2,FALSE),$E167,9,1))-VLOOKUP($E167,$E$9:$AF$92,$V$7-$D$7,0)</f>
        <v>0</v>
      </c>
      <c r="W167" s="650">
        <f>SUMIF('納品書明細16-E'!$B$9:$B$206,CONCATENATE(VLOOKUP(P$5,$G$1:$H$4,2,FALSE),$E167,9,1),'納品書明細16-E'!$Q$9:$Q$206)+SUMIF('納品書明細16-E'!$B$9:$B$206,CONCATENATE(VLOOKUP(P$5,$G$1:$H$4,2,FALSE),$E167,9,0),'納品書明細16-E'!$Q$9:$Q$206)-VLOOKUP($E167,$E$9:$AF$92,$W$7-$D$7,0)</f>
        <v>0</v>
      </c>
      <c r="X167" s="64"/>
      <c r="Y167" s="646">
        <f>COUNTIF('納品書明細16-E'!$B$9:$B$206,CONCATENATE(VLOOKUP(Y$5,$G$1:$H$4,2,FALSE),$E167,1,1))-VLOOKUP($E167,$E$9:$AF$92,$Y$7-$D$7,0)</f>
        <v>0</v>
      </c>
      <c r="Z167" s="647">
        <f>SUMIF('納品書明細16-E'!$B$9:$B$206,CONCATENATE(VLOOKUP(Y$5,$G$1:$H$4,2,FALSE),$E167,1,1),'納品書明細16-E'!$Q$9:$Q$206)+SUMIF('納品書明細16-E'!$B$9:$B$206,CONCATENATE(VLOOKUP(Y$5,$G$1:$H$4,2,FALSE),$E167,1,0),'納品書明細16-E'!$Q$9:$Q$206)-VLOOKUP($E167,$E$9:$AF$92,$Z$7-$D$7,0)</f>
        <v>0</v>
      </c>
      <c r="AA167" s="345"/>
      <c r="AB167" s="122"/>
      <c r="AC167" s="128"/>
      <c r="AD167" s="345"/>
      <c r="AE167" s="638">
        <f>COUNTIF('納品書明細16-E'!$B$9:$B$206,CONCATENATE(VLOOKUP(Y$5,$G$1:$H$4,2,FALSE),$E167,9,1))-VLOOKUP($E167,$E$9:$AF$92,$AE$7-$D$7,0)</f>
        <v>0</v>
      </c>
      <c r="AF167" s="650">
        <f>SUMIF('納品書明細16-E'!$B$9:$B$206,CONCATENATE(VLOOKUP(Y$5,$G$1:$H$4,2,FALSE),$E167,9,1),'納品書明細16-E'!$Q$9:$Q$206)+SUMIF('納品書明細16-E'!$B$9:$B$206,CONCATENATE(VLOOKUP(Y$5,$G$1:$H$4,2,FALSE),$E167,9,0),'納品書明細16-E'!$Q$9:$Q$206)-VLOOKUP($E167,$E$9:$AF$92,$AF$7-$D$7,0)</f>
        <v>0</v>
      </c>
    </row>
    <row r="168" spans="1:32" ht="13.5" customHeight="1">
      <c r="A168" s="475" t="str">
        <f>IF(SUMIFS($G168:$AF168,$G$8:$AF$8,"金額",$G168:$AF168,"&gt;0")-SUMIFS($G168:$AF168,$G$8:$AF$8,"金額",$G168:$AF168,"&lt;0")&lt;=0,"",MAX($A$92:$A167)+1)</f>
        <v/>
      </c>
      <c r="B168" s="795"/>
      <c r="C168" s="245" t="str">
        <f t="shared" si="5"/>
        <v>経費</v>
      </c>
      <c r="D168" s="245">
        <v>76</v>
      </c>
      <c r="E168" s="590" t="str">
        <f>IF($F168&lt;&gt;"",INDEX(ﾏｽﾀ!$D$8:$D$124,MATCH(INDEX(ﾏｽﾀ!$N$8:$N$124,MATCH($F168,ﾏｽﾀ!$O$8:$O$124,0)),ﾏｽﾀ!$B$8:$B$124,0))&amp;"","")</f>
        <v/>
      </c>
      <c r="F168" s="589" t="str">
        <f>ﾏｽﾀ!$R83&amp;""</f>
        <v/>
      </c>
      <c r="G168" s="634">
        <f>COUNTIF('納品書明細16-E'!$B$9:$B$206,CONCATENATE(VLOOKUP(G$5,$G$1:$H$4,2,FALSE),$E168,1,1))-INDEX($G$9:$G$90,MATCH($E168,$E$9:$E$90,0))</f>
        <v>0</v>
      </c>
      <c r="H168" s="636">
        <f>SUMIF('納品書明細16-E'!$B$9:$B$206,CONCATENATE(VLOOKUP(G$5,$G$1:$H$4,2,FALSE),$E168,1,1),'納品書明細16-E'!$Q$9:$Q$206)+SUMIF('納品書明細16-E'!$B$9:$B$206,CONCATENATE(VLOOKUP(G$5,$G$1:$H$4,2,FALSE),$E168,1,0),'納品書明細16-E'!$Q$9:$Q$206)-INDEX($H$9:$H$90,MATCH($E168,$E$9:$E$90,0))</f>
        <v>0</v>
      </c>
      <c r="I168" s="345"/>
      <c r="J168" s="122"/>
      <c r="K168" s="359"/>
      <c r="L168" s="345"/>
      <c r="M168" s="628">
        <f>COUNTIF('納品書明細16-E'!$B$9:$B$206,CONCATENATE(VLOOKUP(G$5,$G$1:$H$4,2,FALSE),$E168,9,1))-INDEX($M$9:$M$90,MATCH($E168,$E$9:$E$90,0))</f>
        <v>0</v>
      </c>
      <c r="N168" s="642">
        <f>SUMIF('納品書明細16-E'!$B$9:$B$206,CONCATENATE(VLOOKUP(G$5,$G$1:$H$4,2,FALSE),$E168,9,1),'納品書明細16-E'!$Q$9:$Q$206)+SUMIF('納品書明細16-E'!$B$9:$B$206,CONCATENATE(VLOOKUP(G$5,$G$1:$H$4,2,FALSE),$E168,9,0),'納品書明細16-E'!$Q$9:$Q$206)-INDEX($N$9:$N$90,MATCH($E168,$E$9:$E$90,0))</f>
        <v>0</v>
      </c>
      <c r="O168" s="64"/>
      <c r="P168" s="646">
        <f>COUNTIF('納品書明細16-E'!$B$9:$B$206,CONCATENATE(VLOOKUP(P$5,$G$1:$H$4,2,FALSE),$E168,1,1))-VLOOKUP($E168,$E$9:$AF$92,$P$7-$D$7,0)</f>
        <v>0</v>
      </c>
      <c r="Q168" s="647">
        <f>SUMIF('納品書明細16-E'!$B$9:$B$206,CONCATENATE(VLOOKUP(P$5,$G$1:$H$4,2,FALSE),$E168,1,1),'納品書明細16-E'!$Q$9:$Q$206)+SUMIF('納品書明細16-E'!$B$9:$B$206,CONCATENATE(VLOOKUP(P$5,$G$1:$H$4,2,FALSE),$E168,1,0),'納品書明細16-E'!$Q$9:$Q$206)-VLOOKUP($E168,$E$9:$AF$92,$Q$7-$D$7,0)</f>
        <v>0</v>
      </c>
      <c r="R168" s="345"/>
      <c r="S168" s="122"/>
      <c r="T168" s="128"/>
      <c r="U168" s="345"/>
      <c r="V168" s="638">
        <f>COUNTIF('納品書明細16-E'!$B$9:$B$206,CONCATENATE(VLOOKUP(P$5,$G$1:$H$4,2,FALSE),$E168,9,1))-VLOOKUP($E168,$E$9:$AF$92,$V$7-$D$7,0)</f>
        <v>0</v>
      </c>
      <c r="W168" s="650">
        <f>SUMIF('納品書明細16-E'!$B$9:$B$206,CONCATENATE(VLOOKUP(P$5,$G$1:$H$4,2,FALSE),$E168,9,1),'納品書明細16-E'!$Q$9:$Q$206)+SUMIF('納品書明細16-E'!$B$9:$B$206,CONCATENATE(VLOOKUP(P$5,$G$1:$H$4,2,FALSE),$E168,9,0),'納品書明細16-E'!$Q$9:$Q$206)-VLOOKUP($E168,$E$9:$AF$92,$W$7-$D$7,0)</f>
        <v>0</v>
      </c>
      <c r="X168" s="64"/>
      <c r="Y168" s="646">
        <f>COUNTIF('納品書明細16-E'!$B$9:$B$206,CONCATENATE(VLOOKUP(Y$5,$G$1:$H$4,2,FALSE),$E168,1,1))-VLOOKUP($E168,$E$9:$AF$92,$Y$7-$D$7,0)</f>
        <v>0</v>
      </c>
      <c r="Z168" s="647">
        <f>SUMIF('納品書明細16-E'!$B$9:$B$206,CONCATENATE(VLOOKUP(Y$5,$G$1:$H$4,2,FALSE),$E168,1,1),'納品書明細16-E'!$Q$9:$Q$206)+SUMIF('納品書明細16-E'!$B$9:$B$206,CONCATENATE(VLOOKUP(Y$5,$G$1:$H$4,2,FALSE),$E168,1,0),'納品書明細16-E'!$Q$9:$Q$206)-VLOOKUP($E168,$E$9:$AF$92,$Z$7-$D$7,0)</f>
        <v>0</v>
      </c>
      <c r="AA168" s="345"/>
      <c r="AB168" s="122"/>
      <c r="AC168" s="128"/>
      <c r="AD168" s="345"/>
      <c r="AE168" s="638">
        <f>COUNTIF('納品書明細16-E'!$B$9:$B$206,CONCATENATE(VLOOKUP(Y$5,$G$1:$H$4,2,FALSE),$E168,9,1))-VLOOKUP($E168,$E$9:$AF$92,$AE$7-$D$7,0)</f>
        <v>0</v>
      </c>
      <c r="AF168" s="650">
        <f>SUMIF('納品書明細16-E'!$B$9:$B$206,CONCATENATE(VLOOKUP(Y$5,$G$1:$H$4,2,FALSE),$E168,9,1),'納品書明細16-E'!$Q$9:$Q$206)+SUMIF('納品書明細16-E'!$B$9:$B$206,CONCATENATE(VLOOKUP(Y$5,$G$1:$H$4,2,FALSE),$E168,9,0),'納品書明細16-E'!$Q$9:$Q$206)-VLOOKUP($E168,$E$9:$AF$92,$AF$7-$D$7,0)</f>
        <v>0</v>
      </c>
    </row>
    <row r="169" spans="1:32" ht="13.5" customHeight="1">
      <c r="A169" s="475" t="str">
        <f>IF(SUMIFS($G169:$AF169,$G$8:$AF$8,"金額",$G169:$AF169,"&gt;0")-SUMIFS($G169:$AF169,$G$8:$AF$8,"金額",$G169:$AF169,"&lt;0")&lt;=0,"",MAX($A$92:$A168)+1)</f>
        <v/>
      </c>
      <c r="B169" s="795"/>
      <c r="C169" s="245" t="str">
        <f t="shared" si="5"/>
        <v>経費</v>
      </c>
      <c r="D169" s="245">
        <v>77</v>
      </c>
      <c r="E169" s="590" t="str">
        <f>IF($F169&lt;&gt;"",INDEX(ﾏｽﾀ!$D$8:$D$124,MATCH(INDEX(ﾏｽﾀ!$N$8:$N$124,MATCH($F169,ﾏｽﾀ!$O$8:$O$124,0)),ﾏｽﾀ!$B$8:$B$124,0))&amp;"","")</f>
        <v/>
      </c>
      <c r="F169" s="589" t="str">
        <f>ﾏｽﾀ!$R84&amp;""</f>
        <v/>
      </c>
      <c r="G169" s="634">
        <f>COUNTIF('納品書明細16-E'!$B$9:$B$206,CONCATENATE(VLOOKUP(G$5,$G$1:$H$4,2,FALSE),$E169,1,1))-INDEX($G$9:$G$90,MATCH($E169,$E$9:$E$90,0))</f>
        <v>0</v>
      </c>
      <c r="H169" s="636">
        <f>SUMIF('納品書明細16-E'!$B$9:$B$206,CONCATENATE(VLOOKUP(G$5,$G$1:$H$4,2,FALSE),$E169,1,1),'納品書明細16-E'!$Q$9:$Q$206)+SUMIF('納品書明細16-E'!$B$9:$B$206,CONCATENATE(VLOOKUP(G$5,$G$1:$H$4,2,FALSE),$E169,1,0),'納品書明細16-E'!$Q$9:$Q$206)-INDEX($H$9:$H$90,MATCH($E169,$E$9:$E$90,0))</f>
        <v>0</v>
      </c>
      <c r="I169" s="345"/>
      <c r="J169" s="122"/>
      <c r="K169" s="359"/>
      <c r="L169" s="345"/>
      <c r="M169" s="628">
        <f>COUNTIF('納品書明細16-E'!$B$9:$B$206,CONCATENATE(VLOOKUP(G$5,$G$1:$H$4,2,FALSE),$E169,9,1))-INDEX($M$9:$M$90,MATCH($E169,$E$9:$E$90,0))</f>
        <v>0</v>
      </c>
      <c r="N169" s="642">
        <f>SUMIF('納品書明細16-E'!$B$9:$B$206,CONCATENATE(VLOOKUP(G$5,$G$1:$H$4,2,FALSE),$E169,9,1),'納品書明細16-E'!$Q$9:$Q$206)+SUMIF('納品書明細16-E'!$B$9:$B$206,CONCATENATE(VLOOKUP(G$5,$G$1:$H$4,2,FALSE),$E169,9,0),'納品書明細16-E'!$Q$9:$Q$206)-INDEX($N$9:$N$90,MATCH($E169,$E$9:$E$90,0))</f>
        <v>0</v>
      </c>
      <c r="O169" s="64"/>
      <c r="P169" s="646">
        <f>COUNTIF('納品書明細16-E'!$B$9:$B$206,CONCATENATE(VLOOKUP(P$5,$G$1:$H$4,2,FALSE),$E169,1,1))-VLOOKUP($E169,$E$9:$AF$92,$P$7-$D$7,0)</f>
        <v>0</v>
      </c>
      <c r="Q169" s="647">
        <f>SUMIF('納品書明細16-E'!$B$9:$B$206,CONCATENATE(VLOOKUP(P$5,$G$1:$H$4,2,FALSE),$E169,1,1),'納品書明細16-E'!$Q$9:$Q$206)+SUMIF('納品書明細16-E'!$B$9:$B$206,CONCATENATE(VLOOKUP(P$5,$G$1:$H$4,2,FALSE),$E169,1,0),'納品書明細16-E'!$Q$9:$Q$206)-VLOOKUP($E169,$E$9:$AF$92,$Q$7-$D$7,0)</f>
        <v>0</v>
      </c>
      <c r="R169" s="345"/>
      <c r="S169" s="122"/>
      <c r="T169" s="128"/>
      <c r="U169" s="345"/>
      <c r="V169" s="638">
        <f>COUNTIF('納品書明細16-E'!$B$9:$B$206,CONCATENATE(VLOOKUP(P$5,$G$1:$H$4,2,FALSE),$E169,9,1))-VLOOKUP($E169,$E$9:$AF$92,$V$7-$D$7,0)</f>
        <v>0</v>
      </c>
      <c r="W169" s="650">
        <f>SUMIF('納品書明細16-E'!$B$9:$B$206,CONCATENATE(VLOOKUP(P$5,$G$1:$H$4,2,FALSE),$E169,9,1),'納品書明細16-E'!$Q$9:$Q$206)+SUMIF('納品書明細16-E'!$B$9:$B$206,CONCATENATE(VLOOKUP(P$5,$G$1:$H$4,2,FALSE),$E169,9,0),'納品書明細16-E'!$Q$9:$Q$206)-VLOOKUP($E169,$E$9:$AF$92,$W$7-$D$7,0)</f>
        <v>0</v>
      </c>
      <c r="X169" s="64"/>
      <c r="Y169" s="646">
        <f>COUNTIF('納品書明細16-E'!$B$9:$B$206,CONCATENATE(VLOOKUP(Y$5,$G$1:$H$4,2,FALSE),$E169,1,1))-VLOOKUP($E169,$E$9:$AF$92,$Y$7-$D$7,0)</f>
        <v>0</v>
      </c>
      <c r="Z169" s="647">
        <f>SUMIF('納品書明細16-E'!$B$9:$B$206,CONCATENATE(VLOOKUP(Y$5,$G$1:$H$4,2,FALSE),$E169,1,1),'納品書明細16-E'!$Q$9:$Q$206)+SUMIF('納品書明細16-E'!$B$9:$B$206,CONCATENATE(VLOOKUP(Y$5,$G$1:$H$4,2,FALSE),$E169,1,0),'納品書明細16-E'!$Q$9:$Q$206)-VLOOKUP($E169,$E$9:$AF$92,$Z$7-$D$7,0)</f>
        <v>0</v>
      </c>
      <c r="AA169" s="345"/>
      <c r="AB169" s="122"/>
      <c r="AC169" s="128"/>
      <c r="AD169" s="345"/>
      <c r="AE169" s="638">
        <f>COUNTIF('納品書明細16-E'!$B$9:$B$206,CONCATENATE(VLOOKUP(Y$5,$G$1:$H$4,2,FALSE),$E169,9,1))-VLOOKUP($E169,$E$9:$AF$92,$AE$7-$D$7,0)</f>
        <v>0</v>
      </c>
      <c r="AF169" s="650">
        <f>SUMIF('納品書明細16-E'!$B$9:$B$206,CONCATENATE(VLOOKUP(Y$5,$G$1:$H$4,2,FALSE),$E169,9,1),'納品書明細16-E'!$Q$9:$Q$206)+SUMIF('納品書明細16-E'!$B$9:$B$206,CONCATENATE(VLOOKUP(Y$5,$G$1:$H$4,2,FALSE),$E169,9,0),'納品書明細16-E'!$Q$9:$Q$206)-VLOOKUP($E169,$E$9:$AF$92,$AF$7-$D$7,0)</f>
        <v>0</v>
      </c>
    </row>
    <row r="170" spans="1:32" ht="13.5" customHeight="1">
      <c r="A170" s="475" t="str">
        <f>IF(SUMIFS($G170:$AF170,$G$8:$AF$8,"金額",$G170:$AF170,"&gt;0")-SUMIFS($G170:$AF170,$G$8:$AF$8,"金額",$G170:$AF170,"&lt;0")&lt;=0,"",MAX($A$92:$A169)+1)</f>
        <v/>
      </c>
      <c r="B170" s="795"/>
      <c r="C170" s="245" t="str">
        <f t="shared" si="5"/>
        <v>経費</v>
      </c>
      <c r="D170" s="245">
        <v>78</v>
      </c>
      <c r="E170" s="590" t="str">
        <f>IF($F170&lt;&gt;"",INDEX(ﾏｽﾀ!$D$8:$D$124,MATCH(INDEX(ﾏｽﾀ!$N$8:$N$124,MATCH($F170,ﾏｽﾀ!$O$8:$O$124,0)),ﾏｽﾀ!$B$8:$B$124,0))&amp;"","")</f>
        <v/>
      </c>
      <c r="F170" s="589" t="str">
        <f>ﾏｽﾀ!$R85&amp;""</f>
        <v/>
      </c>
      <c r="G170" s="634">
        <f>COUNTIF('納品書明細16-E'!$B$9:$B$206,CONCATENATE(VLOOKUP(G$5,$G$1:$H$4,2,FALSE),$E170,1,1))-INDEX($G$9:$G$90,MATCH($E170,$E$9:$E$90,0))</f>
        <v>0</v>
      </c>
      <c r="H170" s="636">
        <f>SUMIF('納品書明細16-E'!$B$9:$B$206,CONCATENATE(VLOOKUP(G$5,$G$1:$H$4,2,FALSE),$E170,1,1),'納品書明細16-E'!$Q$9:$Q$206)+SUMIF('納品書明細16-E'!$B$9:$B$206,CONCATENATE(VLOOKUP(G$5,$G$1:$H$4,2,FALSE),$E170,1,0),'納品書明細16-E'!$Q$9:$Q$206)-INDEX($H$9:$H$90,MATCH($E170,$E$9:$E$90,0))</f>
        <v>0</v>
      </c>
      <c r="I170" s="345"/>
      <c r="J170" s="122"/>
      <c r="K170" s="359"/>
      <c r="L170" s="345"/>
      <c r="M170" s="628">
        <f>COUNTIF('納品書明細16-E'!$B$9:$B$206,CONCATENATE(VLOOKUP(G$5,$G$1:$H$4,2,FALSE),$E170,9,1))-INDEX($M$9:$M$90,MATCH($E170,$E$9:$E$90,0))</f>
        <v>0</v>
      </c>
      <c r="N170" s="642">
        <f>SUMIF('納品書明細16-E'!$B$9:$B$206,CONCATENATE(VLOOKUP(G$5,$G$1:$H$4,2,FALSE),$E170,9,1),'納品書明細16-E'!$Q$9:$Q$206)+SUMIF('納品書明細16-E'!$B$9:$B$206,CONCATENATE(VLOOKUP(G$5,$G$1:$H$4,2,FALSE),$E170,9,0),'納品書明細16-E'!$Q$9:$Q$206)-INDEX($N$9:$N$90,MATCH($E170,$E$9:$E$90,0))</f>
        <v>0</v>
      </c>
      <c r="O170" s="64"/>
      <c r="P170" s="646">
        <f>COUNTIF('納品書明細16-E'!$B$9:$B$206,CONCATENATE(VLOOKUP(P$5,$G$1:$H$4,2,FALSE),$E170,1,1))-VLOOKUP($E170,$E$9:$AF$92,$P$7-$D$7,0)</f>
        <v>0</v>
      </c>
      <c r="Q170" s="647">
        <f>SUMIF('納品書明細16-E'!$B$9:$B$206,CONCATENATE(VLOOKUP(P$5,$G$1:$H$4,2,FALSE),$E170,1,1),'納品書明細16-E'!$Q$9:$Q$206)+SUMIF('納品書明細16-E'!$B$9:$B$206,CONCATENATE(VLOOKUP(P$5,$G$1:$H$4,2,FALSE),$E170,1,0),'納品書明細16-E'!$Q$9:$Q$206)-VLOOKUP($E170,$E$9:$AF$92,$Q$7-$D$7,0)</f>
        <v>0</v>
      </c>
      <c r="R170" s="345"/>
      <c r="S170" s="122"/>
      <c r="T170" s="128"/>
      <c r="U170" s="345"/>
      <c r="V170" s="638">
        <f>COUNTIF('納品書明細16-E'!$B$9:$B$206,CONCATENATE(VLOOKUP(P$5,$G$1:$H$4,2,FALSE),$E170,9,1))-VLOOKUP($E170,$E$9:$AF$92,$V$7-$D$7,0)</f>
        <v>0</v>
      </c>
      <c r="W170" s="650">
        <f>SUMIF('納品書明細16-E'!$B$9:$B$206,CONCATENATE(VLOOKUP(P$5,$G$1:$H$4,2,FALSE),$E170,9,1),'納品書明細16-E'!$Q$9:$Q$206)+SUMIF('納品書明細16-E'!$B$9:$B$206,CONCATENATE(VLOOKUP(P$5,$G$1:$H$4,2,FALSE),$E170,9,0),'納品書明細16-E'!$Q$9:$Q$206)-VLOOKUP($E170,$E$9:$AF$92,$W$7-$D$7,0)</f>
        <v>0</v>
      </c>
      <c r="X170" s="64"/>
      <c r="Y170" s="646">
        <f>COUNTIF('納品書明細16-E'!$B$9:$B$206,CONCATENATE(VLOOKUP(Y$5,$G$1:$H$4,2,FALSE),$E170,1,1))-VLOOKUP($E170,$E$9:$AF$92,$Y$7-$D$7,0)</f>
        <v>0</v>
      </c>
      <c r="Z170" s="647">
        <f>SUMIF('納品書明細16-E'!$B$9:$B$206,CONCATENATE(VLOOKUP(Y$5,$G$1:$H$4,2,FALSE),$E170,1,1),'納品書明細16-E'!$Q$9:$Q$206)+SUMIF('納品書明細16-E'!$B$9:$B$206,CONCATENATE(VLOOKUP(Y$5,$G$1:$H$4,2,FALSE),$E170,1,0),'納品書明細16-E'!$Q$9:$Q$206)-VLOOKUP($E170,$E$9:$AF$92,$Z$7-$D$7,0)</f>
        <v>0</v>
      </c>
      <c r="AA170" s="345"/>
      <c r="AB170" s="122"/>
      <c r="AC170" s="128"/>
      <c r="AD170" s="345"/>
      <c r="AE170" s="638">
        <f>COUNTIF('納品書明細16-E'!$B$9:$B$206,CONCATENATE(VLOOKUP(Y$5,$G$1:$H$4,2,FALSE),$E170,9,1))-VLOOKUP($E170,$E$9:$AF$92,$AE$7-$D$7,0)</f>
        <v>0</v>
      </c>
      <c r="AF170" s="650">
        <f>SUMIF('納品書明細16-E'!$B$9:$B$206,CONCATENATE(VLOOKUP(Y$5,$G$1:$H$4,2,FALSE),$E170,9,1),'納品書明細16-E'!$Q$9:$Q$206)+SUMIF('納品書明細16-E'!$B$9:$B$206,CONCATENATE(VLOOKUP(Y$5,$G$1:$H$4,2,FALSE),$E170,9,0),'納品書明細16-E'!$Q$9:$Q$206)-VLOOKUP($E170,$E$9:$AF$92,$AF$7-$D$7,0)</f>
        <v>0</v>
      </c>
    </row>
    <row r="171" spans="1:32" ht="13.5" customHeight="1">
      <c r="A171" s="475" t="str">
        <f>IF(SUMIFS($G171:$AF171,$G$8:$AF$8,"金額",$G171:$AF171,"&gt;0")-SUMIFS($G171:$AF171,$G$8:$AF$8,"金額",$G171:$AF171,"&lt;0")&lt;=0,"",MAX($A$92:$A170)+1)</f>
        <v/>
      </c>
      <c r="B171" s="795"/>
      <c r="C171" s="245" t="str">
        <f t="shared" si="5"/>
        <v>経費</v>
      </c>
      <c r="D171" s="245">
        <v>79</v>
      </c>
      <c r="E171" s="590" t="str">
        <f>IF($F171&lt;&gt;"",INDEX(ﾏｽﾀ!$D$8:$D$124,MATCH(INDEX(ﾏｽﾀ!$N$8:$N$124,MATCH($F171,ﾏｽﾀ!$O$8:$O$124,0)),ﾏｽﾀ!$B$8:$B$124,0))&amp;"","")</f>
        <v/>
      </c>
      <c r="F171" s="589" t="str">
        <f>ﾏｽﾀ!$R86&amp;""</f>
        <v/>
      </c>
      <c r="G171" s="634">
        <f>COUNTIF('納品書明細16-E'!$B$9:$B$206,CONCATENATE(VLOOKUP(G$5,$G$1:$H$4,2,FALSE),$E171,1,1))-INDEX($G$9:$G$90,MATCH($E171,$E$9:$E$90,0))</f>
        <v>0</v>
      </c>
      <c r="H171" s="636">
        <f>SUMIF('納品書明細16-E'!$B$9:$B$206,CONCATENATE(VLOOKUP(G$5,$G$1:$H$4,2,FALSE),$E171,1,1),'納品書明細16-E'!$Q$9:$Q$206)+SUMIF('納品書明細16-E'!$B$9:$B$206,CONCATENATE(VLOOKUP(G$5,$G$1:$H$4,2,FALSE),$E171,1,0),'納品書明細16-E'!$Q$9:$Q$206)-INDEX($H$9:$H$90,MATCH($E171,$E$9:$E$90,0))</f>
        <v>0</v>
      </c>
      <c r="I171" s="345"/>
      <c r="J171" s="122"/>
      <c r="K171" s="359"/>
      <c r="L171" s="345"/>
      <c r="M171" s="628">
        <f>COUNTIF('納品書明細16-E'!$B$9:$B$206,CONCATENATE(VLOOKUP(G$5,$G$1:$H$4,2,FALSE),$E171,9,1))-INDEX($M$9:$M$90,MATCH($E171,$E$9:$E$90,0))</f>
        <v>0</v>
      </c>
      <c r="N171" s="642">
        <f>SUMIF('納品書明細16-E'!$B$9:$B$206,CONCATENATE(VLOOKUP(G$5,$G$1:$H$4,2,FALSE),$E171,9,1),'納品書明細16-E'!$Q$9:$Q$206)+SUMIF('納品書明細16-E'!$B$9:$B$206,CONCATENATE(VLOOKUP(G$5,$G$1:$H$4,2,FALSE),$E171,9,0),'納品書明細16-E'!$Q$9:$Q$206)-INDEX($N$9:$N$90,MATCH($E171,$E$9:$E$90,0))</f>
        <v>0</v>
      </c>
      <c r="O171" s="64"/>
      <c r="P171" s="646">
        <f>COUNTIF('納品書明細16-E'!$B$9:$B$206,CONCATENATE(VLOOKUP(P$5,$G$1:$H$4,2,FALSE),$E171,1,1))-VLOOKUP($E171,$E$9:$AF$92,$P$7-$D$7,0)</f>
        <v>0</v>
      </c>
      <c r="Q171" s="647">
        <f>SUMIF('納品書明細16-E'!$B$9:$B$206,CONCATENATE(VLOOKUP(P$5,$G$1:$H$4,2,FALSE),$E171,1,1),'納品書明細16-E'!$Q$9:$Q$206)+SUMIF('納品書明細16-E'!$B$9:$B$206,CONCATENATE(VLOOKUP(P$5,$G$1:$H$4,2,FALSE),$E171,1,0),'納品書明細16-E'!$Q$9:$Q$206)-VLOOKUP($E171,$E$9:$AF$92,$Q$7-$D$7,0)</f>
        <v>0</v>
      </c>
      <c r="R171" s="345"/>
      <c r="S171" s="122"/>
      <c r="T171" s="128"/>
      <c r="U171" s="345"/>
      <c r="V171" s="638">
        <f>COUNTIF('納品書明細16-E'!$B$9:$B$206,CONCATENATE(VLOOKUP(P$5,$G$1:$H$4,2,FALSE),$E171,9,1))-VLOOKUP($E171,$E$9:$AF$92,$V$7-$D$7,0)</f>
        <v>0</v>
      </c>
      <c r="W171" s="650">
        <f>SUMIF('納品書明細16-E'!$B$9:$B$206,CONCATENATE(VLOOKUP(P$5,$G$1:$H$4,2,FALSE),$E171,9,1),'納品書明細16-E'!$Q$9:$Q$206)+SUMIF('納品書明細16-E'!$B$9:$B$206,CONCATENATE(VLOOKUP(P$5,$G$1:$H$4,2,FALSE),$E171,9,0),'納品書明細16-E'!$Q$9:$Q$206)-VLOOKUP($E171,$E$9:$AF$92,$W$7-$D$7,0)</f>
        <v>0</v>
      </c>
      <c r="X171" s="64"/>
      <c r="Y171" s="646">
        <f>COUNTIF('納品書明細16-E'!$B$9:$B$206,CONCATENATE(VLOOKUP(Y$5,$G$1:$H$4,2,FALSE),$E171,1,1))-VLOOKUP($E171,$E$9:$AF$92,$Y$7-$D$7,0)</f>
        <v>0</v>
      </c>
      <c r="Z171" s="647">
        <f>SUMIF('納品書明細16-E'!$B$9:$B$206,CONCATENATE(VLOOKUP(Y$5,$G$1:$H$4,2,FALSE),$E171,1,1),'納品書明細16-E'!$Q$9:$Q$206)+SUMIF('納品書明細16-E'!$B$9:$B$206,CONCATENATE(VLOOKUP(Y$5,$G$1:$H$4,2,FALSE),$E171,1,0),'納品書明細16-E'!$Q$9:$Q$206)-VLOOKUP($E171,$E$9:$AF$92,$Z$7-$D$7,0)</f>
        <v>0</v>
      </c>
      <c r="AA171" s="345"/>
      <c r="AB171" s="122"/>
      <c r="AC171" s="128"/>
      <c r="AD171" s="345"/>
      <c r="AE171" s="638">
        <f>COUNTIF('納品書明細16-E'!$B$9:$B$206,CONCATENATE(VLOOKUP(Y$5,$G$1:$H$4,2,FALSE),$E171,9,1))-VLOOKUP($E171,$E$9:$AF$92,$AE$7-$D$7,0)</f>
        <v>0</v>
      </c>
      <c r="AF171" s="650">
        <f>SUMIF('納品書明細16-E'!$B$9:$B$206,CONCATENATE(VLOOKUP(Y$5,$G$1:$H$4,2,FALSE),$E171,9,1),'納品書明細16-E'!$Q$9:$Q$206)+SUMIF('納品書明細16-E'!$B$9:$B$206,CONCATENATE(VLOOKUP(Y$5,$G$1:$H$4,2,FALSE),$E171,9,0),'納品書明細16-E'!$Q$9:$Q$206)-VLOOKUP($E171,$E$9:$AF$92,$AF$7-$D$7,0)</f>
        <v>0</v>
      </c>
    </row>
    <row r="172" spans="1:32" ht="13.5" customHeight="1">
      <c r="A172" s="475" t="str">
        <f>IF(SUMIFS($G172:$AF172,$G$8:$AF$8,"金額",$G172:$AF172,"&gt;0")-SUMIFS($G172:$AF172,$G$8:$AF$8,"金額",$G172:$AF172,"&lt;0")&lt;=0,"",MAX($A$92:$A171)+1)</f>
        <v/>
      </c>
      <c r="B172" s="795"/>
      <c r="C172" s="245" t="str">
        <f t="shared" si="5"/>
        <v>経費</v>
      </c>
      <c r="D172" s="245">
        <v>80</v>
      </c>
      <c r="E172" s="590" t="str">
        <f>IF($F172&lt;&gt;"",INDEX(ﾏｽﾀ!$D$8:$D$124,MATCH(INDEX(ﾏｽﾀ!$N$8:$N$124,MATCH($F172,ﾏｽﾀ!$O$8:$O$124,0)),ﾏｽﾀ!$B$8:$B$124,0))&amp;"","")</f>
        <v/>
      </c>
      <c r="F172" s="589" t="str">
        <f>ﾏｽﾀ!$R87&amp;""</f>
        <v/>
      </c>
      <c r="G172" s="634">
        <f>COUNTIF('納品書明細16-E'!$B$9:$B$206,CONCATENATE(VLOOKUP(G$5,$G$1:$H$4,2,FALSE),$E172,1,1))-INDEX($G$9:$G$90,MATCH($E172,$E$9:$E$90,0))</f>
        <v>0</v>
      </c>
      <c r="H172" s="636">
        <f>SUMIF('納品書明細16-E'!$B$9:$B$206,CONCATENATE(VLOOKUP(G$5,$G$1:$H$4,2,FALSE),$E172,1,1),'納品書明細16-E'!$Q$9:$Q$206)+SUMIF('納品書明細16-E'!$B$9:$B$206,CONCATENATE(VLOOKUP(G$5,$G$1:$H$4,2,FALSE),$E172,1,0),'納品書明細16-E'!$Q$9:$Q$206)-INDEX($H$9:$H$90,MATCH($E172,$E$9:$E$90,0))</f>
        <v>0</v>
      </c>
      <c r="I172" s="345"/>
      <c r="J172" s="122"/>
      <c r="K172" s="359"/>
      <c r="L172" s="345"/>
      <c r="M172" s="628">
        <f>COUNTIF('納品書明細16-E'!$B$9:$B$206,CONCATENATE(VLOOKUP(G$5,$G$1:$H$4,2,FALSE),$E172,9,1))-INDEX($M$9:$M$90,MATCH($E172,$E$9:$E$90,0))</f>
        <v>0</v>
      </c>
      <c r="N172" s="642">
        <f>SUMIF('納品書明細16-E'!$B$9:$B$206,CONCATENATE(VLOOKUP(G$5,$G$1:$H$4,2,FALSE),$E172,9,1),'納品書明細16-E'!$Q$9:$Q$206)+SUMIF('納品書明細16-E'!$B$9:$B$206,CONCATENATE(VLOOKUP(G$5,$G$1:$H$4,2,FALSE),$E172,9,0),'納品書明細16-E'!$Q$9:$Q$206)-INDEX($N$9:$N$90,MATCH($E172,$E$9:$E$90,0))</f>
        <v>0</v>
      </c>
      <c r="O172" s="64"/>
      <c r="P172" s="646">
        <f>COUNTIF('納品書明細16-E'!$B$9:$B$206,CONCATENATE(VLOOKUP(P$5,$G$1:$H$4,2,FALSE),$E172,1,1))-VLOOKUP($E172,$E$9:$AF$92,$P$7-$D$7,0)</f>
        <v>0</v>
      </c>
      <c r="Q172" s="647">
        <f>SUMIF('納品書明細16-E'!$B$9:$B$206,CONCATENATE(VLOOKUP(P$5,$G$1:$H$4,2,FALSE),$E172,1,1),'納品書明細16-E'!$Q$9:$Q$206)+SUMIF('納品書明細16-E'!$B$9:$B$206,CONCATENATE(VLOOKUP(P$5,$G$1:$H$4,2,FALSE),$E172,1,0),'納品書明細16-E'!$Q$9:$Q$206)-VLOOKUP($E172,$E$9:$AF$92,$Q$7-$D$7,0)</f>
        <v>0</v>
      </c>
      <c r="R172" s="345"/>
      <c r="S172" s="122"/>
      <c r="T172" s="128"/>
      <c r="U172" s="345"/>
      <c r="V172" s="638">
        <f>COUNTIF('納品書明細16-E'!$B$9:$B$206,CONCATENATE(VLOOKUP(P$5,$G$1:$H$4,2,FALSE),$E172,9,1))-VLOOKUP($E172,$E$9:$AF$92,$V$7-$D$7,0)</f>
        <v>0</v>
      </c>
      <c r="W172" s="650">
        <f>SUMIF('納品書明細16-E'!$B$9:$B$206,CONCATENATE(VLOOKUP(P$5,$G$1:$H$4,2,FALSE),$E172,9,1),'納品書明細16-E'!$Q$9:$Q$206)+SUMIF('納品書明細16-E'!$B$9:$B$206,CONCATENATE(VLOOKUP(P$5,$G$1:$H$4,2,FALSE),$E172,9,0),'納品書明細16-E'!$Q$9:$Q$206)-VLOOKUP($E172,$E$9:$AF$92,$W$7-$D$7,0)</f>
        <v>0</v>
      </c>
      <c r="X172" s="64"/>
      <c r="Y172" s="646">
        <f>COUNTIF('納品書明細16-E'!$B$9:$B$206,CONCATENATE(VLOOKUP(Y$5,$G$1:$H$4,2,FALSE),$E172,1,1))-VLOOKUP($E172,$E$9:$AF$92,$Y$7-$D$7,0)</f>
        <v>0</v>
      </c>
      <c r="Z172" s="647">
        <f>SUMIF('納品書明細16-E'!$B$9:$B$206,CONCATENATE(VLOOKUP(Y$5,$G$1:$H$4,2,FALSE),$E172,1,1),'納品書明細16-E'!$Q$9:$Q$206)+SUMIF('納品書明細16-E'!$B$9:$B$206,CONCATENATE(VLOOKUP(Y$5,$G$1:$H$4,2,FALSE),$E172,1,0),'納品書明細16-E'!$Q$9:$Q$206)-VLOOKUP($E172,$E$9:$AF$92,$Z$7-$D$7,0)</f>
        <v>0</v>
      </c>
      <c r="AA172" s="345"/>
      <c r="AB172" s="122"/>
      <c r="AC172" s="128"/>
      <c r="AD172" s="345"/>
      <c r="AE172" s="638">
        <f>COUNTIF('納品書明細16-E'!$B$9:$B$206,CONCATENATE(VLOOKUP(Y$5,$G$1:$H$4,2,FALSE),$E172,9,1))-VLOOKUP($E172,$E$9:$AF$92,$AE$7-$D$7,0)</f>
        <v>0</v>
      </c>
      <c r="AF172" s="650">
        <f>SUMIF('納品書明細16-E'!$B$9:$B$206,CONCATENATE(VLOOKUP(Y$5,$G$1:$H$4,2,FALSE),$E172,9,1),'納品書明細16-E'!$Q$9:$Q$206)+SUMIF('納品書明細16-E'!$B$9:$B$206,CONCATENATE(VLOOKUP(Y$5,$G$1:$H$4,2,FALSE),$E172,9,0),'納品書明細16-E'!$Q$9:$Q$206)-VLOOKUP($E172,$E$9:$AF$92,$AF$7-$D$7,0)</f>
        <v>0</v>
      </c>
    </row>
    <row r="173" spans="1:32" ht="13.5" customHeight="1">
      <c r="A173" s="475" t="str">
        <f>IF(SUMIFS($G173:$AF173,$G$8:$AF$8,"金額",$G173:$AF173,"&gt;0")-SUMIFS($G173:$AF173,$G$8:$AF$8,"金額",$G173:$AF173,"&lt;0")&lt;=0,"",MAX($A$92:$A172)+1)</f>
        <v/>
      </c>
      <c r="B173" s="795"/>
      <c r="C173" s="245" t="str">
        <f t="shared" si="5"/>
        <v>経費</v>
      </c>
      <c r="D173" s="245">
        <v>81</v>
      </c>
      <c r="E173" s="590" t="str">
        <f>IF($F173&lt;&gt;"",INDEX(ﾏｽﾀ!$D$8:$D$124,MATCH(INDEX(ﾏｽﾀ!$N$8:$N$124,MATCH($F173,ﾏｽﾀ!$O$8:$O$124,0)),ﾏｽﾀ!$B$8:$B$124,0))&amp;"","")</f>
        <v/>
      </c>
      <c r="F173" s="589" t="str">
        <f>ﾏｽﾀ!$R88&amp;""</f>
        <v/>
      </c>
      <c r="G173" s="634">
        <f>COUNTIF('納品書明細16-E'!$B$9:$B$206,CONCATENATE(VLOOKUP(G$5,$G$1:$H$4,2,FALSE),$E173,1,1))-INDEX($G$9:$G$90,MATCH($E173,$E$9:$E$90,0))</f>
        <v>0</v>
      </c>
      <c r="H173" s="636">
        <f>SUMIF('納品書明細16-E'!$B$9:$B$206,CONCATENATE(VLOOKUP(G$5,$G$1:$H$4,2,FALSE),$E173,1,1),'納品書明細16-E'!$Q$9:$Q$206)+SUMIF('納品書明細16-E'!$B$9:$B$206,CONCATENATE(VLOOKUP(G$5,$G$1:$H$4,2,FALSE),$E173,1,0),'納品書明細16-E'!$Q$9:$Q$206)-INDEX($H$9:$H$90,MATCH($E173,$E$9:$E$90,0))</f>
        <v>0</v>
      </c>
      <c r="I173" s="345"/>
      <c r="J173" s="122"/>
      <c r="K173" s="359"/>
      <c r="L173" s="345"/>
      <c r="M173" s="628">
        <f>COUNTIF('納品書明細16-E'!$B$9:$B$206,CONCATENATE(VLOOKUP(G$5,$G$1:$H$4,2,FALSE),$E173,9,1))-INDEX($M$9:$M$90,MATCH($E173,$E$9:$E$90,0))</f>
        <v>0</v>
      </c>
      <c r="N173" s="642">
        <f>SUMIF('納品書明細16-E'!$B$9:$B$206,CONCATENATE(VLOOKUP(G$5,$G$1:$H$4,2,FALSE),$E173,9,1),'納品書明細16-E'!$Q$9:$Q$206)+SUMIF('納品書明細16-E'!$B$9:$B$206,CONCATENATE(VLOOKUP(G$5,$G$1:$H$4,2,FALSE),$E173,9,0),'納品書明細16-E'!$Q$9:$Q$206)-INDEX($N$9:$N$90,MATCH($E173,$E$9:$E$90,0))</f>
        <v>0</v>
      </c>
      <c r="O173" s="64"/>
      <c r="P173" s="646">
        <f>COUNTIF('納品書明細16-E'!$B$9:$B$206,CONCATENATE(VLOOKUP(P$5,$G$1:$H$4,2,FALSE),$E173,1,1))-VLOOKUP($E173,$E$9:$AF$92,$P$7-$D$7,0)</f>
        <v>0</v>
      </c>
      <c r="Q173" s="647">
        <f>SUMIF('納品書明細16-E'!$B$9:$B$206,CONCATENATE(VLOOKUP(P$5,$G$1:$H$4,2,FALSE),$E173,1,1),'納品書明細16-E'!$Q$9:$Q$206)+SUMIF('納品書明細16-E'!$B$9:$B$206,CONCATENATE(VLOOKUP(P$5,$G$1:$H$4,2,FALSE),$E173,1,0),'納品書明細16-E'!$Q$9:$Q$206)-VLOOKUP($E173,$E$9:$AF$92,$Q$7-$D$7,0)</f>
        <v>0</v>
      </c>
      <c r="R173" s="345"/>
      <c r="S173" s="122"/>
      <c r="T173" s="128"/>
      <c r="U173" s="345"/>
      <c r="V173" s="638">
        <f>COUNTIF('納品書明細16-E'!$B$9:$B$206,CONCATENATE(VLOOKUP(P$5,$G$1:$H$4,2,FALSE),$E173,9,1))-VLOOKUP($E173,$E$9:$AF$92,$V$7-$D$7,0)</f>
        <v>0</v>
      </c>
      <c r="W173" s="650">
        <f>SUMIF('納品書明細16-E'!$B$9:$B$206,CONCATENATE(VLOOKUP(P$5,$G$1:$H$4,2,FALSE),$E173,9,1),'納品書明細16-E'!$Q$9:$Q$206)+SUMIF('納品書明細16-E'!$B$9:$B$206,CONCATENATE(VLOOKUP(P$5,$G$1:$H$4,2,FALSE),$E173,9,0),'納品書明細16-E'!$Q$9:$Q$206)-VLOOKUP($E173,$E$9:$AF$92,$W$7-$D$7,0)</f>
        <v>0</v>
      </c>
      <c r="X173" s="64"/>
      <c r="Y173" s="646">
        <f>COUNTIF('納品書明細16-E'!$B$9:$B$206,CONCATENATE(VLOOKUP(Y$5,$G$1:$H$4,2,FALSE),$E173,1,1))-VLOOKUP($E173,$E$9:$AF$92,$Y$7-$D$7,0)</f>
        <v>0</v>
      </c>
      <c r="Z173" s="647">
        <f>SUMIF('納品書明細16-E'!$B$9:$B$206,CONCATENATE(VLOOKUP(Y$5,$G$1:$H$4,2,FALSE),$E173,1,1),'納品書明細16-E'!$Q$9:$Q$206)+SUMIF('納品書明細16-E'!$B$9:$B$206,CONCATENATE(VLOOKUP(Y$5,$G$1:$H$4,2,FALSE),$E173,1,0),'納品書明細16-E'!$Q$9:$Q$206)-VLOOKUP($E173,$E$9:$AF$92,$Z$7-$D$7,0)</f>
        <v>0</v>
      </c>
      <c r="AA173" s="345"/>
      <c r="AB173" s="122"/>
      <c r="AC173" s="128"/>
      <c r="AD173" s="345"/>
      <c r="AE173" s="638">
        <f>COUNTIF('納品書明細16-E'!$B$9:$B$206,CONCATENATE(VLOOKUP(Y$5,$G$1:$H$4,2,FALSE),$E173,9,1))-VLOOKUP($E173,$E$9:$AF$92,$AE$7-$D$7,0)</f>
        <v>0</v>
      </c>
      <c r="AF173" s="650">
        <f>SUMIF('納品書明細16-E'!$B$9:$B$206,CONCATENATE(VLOOKUP(Y$5,$G$1:$H$4,2,FALSE),$E173,9,1),'納品書明細16-E'!$Q$9:$Q$206)+SUMIF('納品書明細16-E'!$B$9:$B$206,CONCATENATE(VLOOKUP(Y$5,$G$1:$H$4,2,FALSE),$E173,9,0),'納品書明細16-E'!$Q$9:$Q$206)-VLOOKUP($E173,$E$9:$AF$92,$AF$7-$D$7,0)</f>
        <v>0</v>
      </c>
    </row>
    <row r="174" spans="1:32" ht="13.5" customHeight="1" thickBot="1">
      <c r="A174" s="475" t="str">
        <f>IF(SUMIFS($G174:$AF174,$G$8:$AF$8,"金額",$G174:$AF174,"&gt;0")-SUMIFS($G174:$AF174,$G$8:$AF$8,"金額",$G174:$AF174,"&lt;0")&lt;=0,"",MAX($A$92:$A173)+1)</f>
        <v/>
      </c>
      <c r="B174" s="796"/>
      <c r="C174" s="245" t="str">
        <f t="shared" si="5"/>
        <v>経費</v>
      </c>
      <c r="D174" s="245">
        <v>82</v>
      </c>
      <c r="E174" s="591" t="str">
        <f>IF($F174&lt;&gt;"",INDEX(ﾏｽﾀ!$D$8:$D$124,MATCH(INDEX(ﾏｽﾀ!$N$8:$N$124,MATCH($F174,ﾏｽﾀ!$O$8:$O$124,0)),ﾏｽﾀ!$B$8:$B$124,0))&amp;"","")</f>
        <v/>
      </c>
      <c r="F174" s="592" t="str">
        <f>ﾏｽﾀ!$R89&amp;""</f>
        <v/>
      </c>
      <c r="G174" s="635">
        <f>COUNTIF('納品書明細16-E'!$B$9:$B$206,CONCATENATE(VLOOKUP(G$5,$G$1:$H$4,2,FALSE),$E174,1,1))-INDEX($G$9:$G$90,MATCH($E174,$E$9:$E$90,0))</f>
        <v>0</v>
      </c>
      <c r="H174" s="637">
        <f>SUMIF('納品書明細16-E'!$B$9:$B$206,CONCATENATE(VLOOKUP(G$5,$G$1:$H$4,2,FALSE),$E174,1,1),'納品書明細16-E'!$Q$9:$Q$206)+SUMIF('納品書明細16-E'!$B$9:$B$206,CONCATENATE(VLOOKUP(G$5,$G$1:$H$4,2,FALSE),$E174,1,0),'納品書明細16-E'!$Q$9:$Q$206)-INDEX($H$9:$H$90,MATCH($E174,$E$9:$E$90,0))</f>
        <v>0</v>
      </c>
      <c r="I174" s="347"/>
      <c r="J174" s="358"/>
      <c r="K174" s="360"/>
      <c r="L174" s="347"/>
      <c r="M174" s="630">
        <f>COUNTIF('納品書明細16-E'!$B$9:$B$206,CONCATENATE(VLOOKUP(G$5,$G$1:$H$4,2,FALSE),$E174,9,1))-INDEX($M$9:$M$90,MATCH($E174,$E$9:$E$90,0))</f>
        <v>0</v>
      </c>
      <c r="N174" s="643">
        <f>SUMIF('納品書明細16-E'!$B$9:$B$206,CONCATENATE(VLOOKUP(G$5,$G$1:$H$4,2,FALSE),$E174,9,1),'納品書明細16-E'!$Q$9:$Q$206)+SUMIF('納品書明細16-E'!$B$9:$B$206,CONCATENATE(VLOOKUP(G$5,$G$1:$H$4,2,FALSE),$E174,9,0),'納品書明細16-E'!$Q$9:$Q$206)-INDEX($N$9:$N$90,MATCH($E174,$E$9:$E$90,0))</f>
        <v>0</v>
      </c>
      <c r="O174" s="64"/>
      <c r="P174" s="648">
        <f>COUNTIF('納品書明細16-E'!$B$9:$B$206,CONCATENATE(VLOOKUP(P$5,$G$1:$H$4,2,FALSE),$E174,1,1))-VLOOKUP($E174,$E$9:$AF$92,$P$7-$D$7,0)</f>
        <v>0</v>
      </c>
      <c r="Q174" s="649">
        <f>SUMIF('納品書明細16-E'!$B$9:$B$206,CONCATENATE(VLOOKUP(P$5,$G$1:$H$4,2,FALSE),$E174,1,1),'納品書明細16-E'!$Q$9:$Q$206)+SUMIF('納品書明細16-E'!$B$9:$B$206,CONCATENATE(VLOOKUP(P$5,$G$1:$H$4,2,FALSE),$E174,1,0),'納品書明細16-E'!$Q$9:$Q$206)-VLOOKUP($E174,$E$9:$AF$92,$Q$7-$D$7,0)</f>
        <v>0</v>
      </c>
      <c r="R174" s="347"/>
      <c r="S174" s="358"/>
      <c r="T174" s="362"/>
      <c r="U174" s="347"/>
      <c r="V174" s="639">
        <f>COUNTIF('納品書明細16-E'!$B$9:$B$206,CONCATENATE(VLOOKUP(P$5,$G$1:$H$4,2,FALSE),$E174,9,1))-VLOOKUP($E174,$E$9:$AF$92,$V$7-$D$7,0)</f>
        <v>0</v>
      </c>
      <c r="W174" s="651">
        <f>SUMIF('納品書明細16-E'!$B$9:$B$206,CONCATENATE(VLOOKUP(P$5,$G$1:$H$4,2,FALSE),$E174,9,1),'納品書明細16-E'!$Q$9:$Q$206)+SUMIF('納品書明細16-E'!$B$9:$B$206,CONCATENATE(VLOOKUP(P$5,$G$1:$H$4,2,FALSE),$E174,9,0),'納品書明細16-E'!$Q$9:$Q$206)-VLOOKUP($E174,$E$9:$AF$92,$W$7-$D$7,0)</f>
        <v>0</v>
      </c>
      <c r="X174" s="64"/>
      <c r="Y174" s="648">
        <f>COUNTIF('納品書明細16-E'!$B$9:$B$206,CONCATENATE(VLOOKUP(Y$5,$G$1:$H$4,2,FALSE),$E174,1,1))-VLOOKUP($E174,$E$9:$AF$92,$Y$7-$D$7,0)</f>
        <v>0</v>
      </c>
      <c r="Z174" s="649">
        <f>SUMIF('納品書明細16-E'!$B$9:$B$206,CONCATENATE(VLOOKUP(Y$5,$G$1:$H$4,2,FALSE),$E174,1,1),'納品書明細16-E'!$Q$9:$Q$206)+SUMIF('納品書明細16-E'!$B$9:$B$206,CONCATENATE(VLOOKUP(Y$5,$G$1:$H$4,2,FALSE),$E174,1,0),'納品書明細16-E'!$Q$9:$Q$206)-VLOOKUP($E174,$E$9:$AF$92,$Z$7-$D$7,0)</f>
        <v>0</v>
      </c>
      <c r="AA174" s="347"/>
      <c r="AB174" s="358"/>
      <c r="AC174" s="362"/>
      <c r="AD174" s="347"/>
      <c r="AE174" s="639">
        <f>COUNTIF('納品書明細16-E'!$B$9:$B$206,CONCATENATE(VLOOKUP(Y$5,$G$1:$H$4,2,FALSE),$E174,9,1))-VLOOKUP($E174,$E$9:$AF$92,$AE$7-$D$7,0)</f>
        <v>0</v>
      </c>
      <c r="AF174" s="651">
        <f>SUMIF('納品書明細16-E'!$B$9:$B$206,CONCATENATE(VLOOKUP(Y$5,$G$1:$H$4,2,FALSE),$E174,9,1),'納品書明細16-E'!$Q$9:$Q$206)+SUMIF('納品書明細16-E'!$B$9:$B$206,CONCATENATE(VLOOKUP(Y$5,$G$1:$H$4,2,FALSE),$E174,9,0),'納品書明細16-E'!$Q$9:$Q$206)-VLOOKUP($E174,$E$9:$AF$92,$AF$7-$D$7,0)</f>
        <v>0</v>
      </c>
    </row>
    <row r="175" spans="1:32" ht="13.5" customHeight="1" thickBot="1">
      <c r="C175" s="1"/>
      <c r="D175" s="1"/>
      <c r="E175" s="15"/>
      <c r="F175" s="4"/>
      <c r="G175" s="112"/>
      <c r="H175" s="114"/>
      <c r="I175" s="12"/>
      <c r="J175" s="11"/>
      <c r="K175" s="11"/>
      <c r="L175" s="12"/>
      <c r="M175" s="112"/>
      <c r="N175" s="114"/>
      <c r="P175" s="112"/>
      <c r="Q175" s="113"/>
      <c r="R175" s="12"/>
      <c r="S175" s="112"/>
      <c r="T175" s="11"/>
      <c r="U175" s="12"/>
      <c r="V175" s="112"/>
      <c r="W175" s="113"/>
      <c r="Y175" s="112"/>
      <c r="Z175" s="113"/>
      <c r="AA175" s="12"/>
      <c r="AB175" s="11"/>
      <c r="AC175" s="11"/>
      <c r="AD175" s="12"/>
      <c r="AE175" s="112"/>
      <c r="AF175" s="113"/>
    </row>
    <row r="176" spans="1:32" s="7" customFormat="1" ht="13.5" customHeight="1">
      <c r="A176" s="148"/>
      <c r="B176" s="8"/>
      <c r="C176" s="8"/>
      <c r="D176" s="8"/>
      <c r="E176" s="46"/>
      <c r="F176" s="9"/>
      <c r="G176" s="178">
        <f>SUM(G9:G175)</f>
        <v>3</v>
      </c>
      <c r="H176" s="179">
        <f>SUM(H9:H175)</f>
        <v>6253586</v>
      </c>
      <c r="I176" s="180"/>
      <c r="J176" s="181"/>
      <c r="K176" s="181"/>
      <c r="L176" s="180"/>
      <c r="M176" s="182">
        <f>SUM(M9:M175)</f>
        <v>2</v>
      </c>
      <c r="N176" s="179">
        <f>SUM(N9:N175)</f>
        <v>1090000</v>
      </c>
      <c r="O176" s="180"/>
      <c r="P176" s="182">
        <f>SUM(P9:P175)</f>
        <v>1</v>
      </c>
      <c r="Q176" s="183">
        <f>SUM(Q9:Q175)</f>
        <v>204210.21</v>
      </c>
      <c r="R176" s="180"/>
      <c r="S176" s="181"/>
      <c r="T176" s="181"/>
      <c r="U176" s="180"/>
      <c r="V176" s="182">
        <f>SUM(V9:V175)</f>
        <v>0</v>
      </c>
      <c r="W176" s="183">
        <f>SUM(W9:W175)</f>
        <v>0</v>
      </c>
      <c r="X176" s="180"/>
      <c r="Y176" s="182">
        <f>SUM(Y9:Y175)</f>
        <v>1</v>
      </c>
      <c r="Z176" s="311">
        <f>SUM(Z9:Z175)</f>
        <v>15497.73</v>
      </c>
      <c r="AA176" s="180"/>
      <c r="AB176" s="181"/>
      <c r="AC176" s="181"/>
      <c r="AD176" s="180"/>
      <c r="AE176" s="182">
        <f>SUM(AE9:AE175)</f>
        <v>0</v>
      </c>
      <c r="AF176" s="309">
        <f>SUM(AF9:AF175)</f>
        <v>0</v>
      </c>
    </row>
    <row r="177" spans="7:32" ht="13.5" customHeight="1" thickBot="1">
      <c r="G177" s="184"/>
      <c r="H177" s="190"/>
      <c r="I177" s="186"/>
      <c r="J177" s="186"/>
      <c r="K177" s="185"/>
      <c r="L177" s="186"/>
      <c r="M177" s="187">
        <f>G176+M176</f>
        <v>5</v>
      </c>
      <c r="N177" s="188">
        <f>H176+N176</f>
        <v>7343586</v>
      </c>
      <c r="O177" s="186"/>
      <c r="P177" s="191"/>
      <c r="Q177" s="192"/>
      <c r="R177" s="186"/>
      <c r="S177" s="186"/>
      <c r="T177" s="185"/>
      <c r="U177" s="186"/>
      <c r="V177" s="187">
        <f>P176+V176</f>
        <v>1</v>
      </c>
      <c r="W177" s="189">
        <f>Q176+W176</f>
        <v>204210.21</v>
      </c>
      <c r="X177" s="186"/>
      <c r="Y177" s="186"/>
      <c r="Z177" s="192"/>
      <c r="AA177" s="186"/>
      <c r="AB177" s="186"/>
      <c r="AC177" s="185"/>
      <c r="AD177" s="186"/>
      <c r="AE177" s="187">
        <f>Y176+AE176</f>
        <v>1</v>
      </c>
      <c r="AF177" s="310">
        <f>Z176+AF176</f>
        <v>15497.73</v>
      </c>
    </row>
  </sheetData>
  <autoFilter ref="A8:AF174" xr:uid="{00000000-0009-0000-0000-000005000000}"/>
  <mergeCells count="11">
    <mergeCell ref="B93:B174"/>
    <mergeCell ref="Y6:Z6"/>
    <mergeCell ref="AB6:AC6"/>
    <mergeCell ref="AE6:AF6"/>
    <mergeCell ref="S6:T6"/>
    <mergeCell ref="V6:W6"/>
    <mergeCell ref="G6:H6"/>
    <mergeCell ref="M6:N6"/>
    <mergeCell ref="J6:K6"/>
    <mergeCell ref="P6:Q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G93" sqref="G93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hidden="1" customWidth="1" outlineLevel="1"/>
    <col min="4" max="4" width="3.88671875" style="299" hidden="1" customWidth="1" outlineLevel="1"/>
    <col min="5" max="5" width="6.44140625" style="45" customWidth="1" collapsed="1"/>
    <col min="6" max="6" width="41" style="5" bestFit="1" customWidth="1"/>
    <col min="7" max="7" width="5.6640625" customWidth="1"/>
    <col min="8" max="8" width="13.6640625" style="2" customWidth="1"/>
    <col min="9" max="9" width="2.6640625" customWidth="1"/>
    <col min="10" max="10" width="5.6640625" customWidth="1"/>
    <col min="11" max="11" width="12.6640625" style="2" customWidth="1"/>
    <col min="12" max="12" width="2.6640625" customWidth="1"/>
    <col min="13" max="13" width="5.6640625" customWidth="1"/>
    <col min="14" max="14" width="13.6640625" customWidth="1"/>
    <col min="15" max="16" width="5.6640625" customWidth="1"/>
    <col min="17" max="17" width="13.6640625" style="2" customWidth="1"/>
    <col min="18" max="18" width="2.6640625" customWidth="1"/>
    <col min="19" max="19" width="5.6640625" customWidth="1"/>
    <col min="20" max="20" width="12.6640625" style="2" customWidth="1"/>
    <col min="21" max="21" width="2.6640625" customWidth="1"/>
    <col min="22" max="22" width="5.6640625" customWidth="1"/>
    <col min="23" max="23" width="13.6640625" customWidth="1"/>
    <col min="24" max="25" width="5.6640625" customWidth="1"/>
    <col min="26" max="26" width="15.6640625" style="2" customWidth="1"/>
    <col min="27" max="27" width="2.6640625" customWidth="1"/>
    <col min="28" max="28" width="5.6640625" customWidth="1"/>
    <col min="29" max="29" width="12.6640625" style="2" customWidth="1"/>
    <col min="30" max="30" width="2.6640625" customWidth="1"/>
    <col min="31" max="31" width="5.6640625" customWidth="1"/>
    <col min="32" max="32" width="15.6640625" customWidth="1"/>
  </cols>
  <sheetData>
    <row r="1" spans="1:32" ht="14.4">
      <c r="C1" s="92"/>
      <c r="E1" s="93" t="str">
        <f ca="1">RIGHT(CELL("filename",E1),LEN(CELL("filename",E1))-FIND("]",CELL("filename",E1)))</f>
        <v>集計F-15</v>
      </c>
      <c r="G1" s="106" t="str">
        <f>IF('納品書明細16-E'!$N$2="","",'納品書明細16-E'!$N$2)</f>
        <v>\</v>
      </c>
      <c r="H1" s="107" t="str">
        <f>IF('納品書明細16-E'!$O$2="","",'納品書明細16-E'!$O$2)</f>
        <v>1</v>
      </c>
      <c r="M1" s="343" t="s">
        <v>580</v>
      </c>
    </row>
    <row r="2" spans="1:32" ht="14.4">
      <c r="B2" s="300"/>
      <c r="C2" s="104"/>
      <c r="E2" s="52"/>
      <c r="F2" s="16" t="s">
        <v>82</v>
      </c>
      <c r="G2" s="108" t="str">
        <f>IF('納品書明細16-E'!$N$3="","",'納品書明細16-E'!$N$3)</f>
        <v>$</v>
      </c>
      <c r="H2" s="109" t="str">
        <f>IF('納品書明細16-E'!$O$3="","",'納品書明細16-E'!$O$3)</f>
        <v>2</v>
      </c>
      <c r="J2" s="78"/>
      <c r="M2" s="342" t="s">
        <v>578</v>
      </c>
    </row>
    <row r="3" spans="1:32" ht="14.4">
      <c r="B3" s="5"/>
      <c r="C3" s="104"/>
      <c r="E3" s="250"/>
      <c r="F3" s="16" t="s">
        <v>83</v>
      </c>
      <c r="G3" s="108" t="str">
        <f>IF('納品書明細16-E'!$N$4="","",'納品書明細16-E'!$N$4)</f>
        <v>HK$</v>
      </c>
      <c r="H3" s="109" t="str">
        <f>IF('納品書明細16-E'!$O$4="","",'納品書明細16-E'!$O$4)</f>
        <v>3</v>
      </c>
      <c r="L3" s="16"/>
      <c r="M3" s="472" t="s">
        <v>695</v>
      </c>
    </row>
    <row r="4" spans="1:32" ht="15" thickBot="1">
      <c r="B4" s="5"/>
      <c r="C4" s="104"/>
      <c r="E4" s="479"/>
      <c r="F4" t="s">
        <v>456</v>
      </c>
      <c r="G4" s="110" t="str">
        <f>IF('納品書明細16-E'!$N$5="","",'納品書明細16-E'!$N$5)</f>
        <v/>
      </c>
      <c r="H4" s="111" t="str">
        <f>IF('納品書明細16-E'!$O$5="","",'納品書明細16-E'!$O$5)</f>
        <v>4</v>
      </c>
    </row>
    <row r="5" spans="1:32" ht="15" thickBot="1">
      <c r="C5" s="91"/>
      <c r="E5" s="91"/>
      <c r="F5" s="92" t="s">
        <v>88</v>
      </c>
      <c r="G5" s="167" t="s">
        <v>395</v>
      </c>
      <c r="H5" s="102"/>
      <c r="I5" s="102"/>
      <c r="J5" s="102"/>
      <c r="K5" s="102"/>
      <c r="L5" s="102"/>
      <c r="M5" s="102"/>
      <c r="N5" s="102"/>
      <c r="O5" s="64"/>
      <c r="P5" s="167" t="s">
        <v>386</v>
      </c>
      <c r="Q5" s="64"/>
      <c r="R5" s="64"/>
      <c r="S5" s="64"/>
      <c r="T5" s="64"/>
      <c r="U5" s="64"/>
      <c r="V5" s="64"/>
      <c r="W5" s="64"/>
      <c r="X5" s="64"/>
      <c r="Y5" s="167" t="s">
        <v>393</v>
      </c>
      <c r="Z5" s="64"/>
      <c r="AA5" s="64"/>
      <c r="AB5" s="64"/>
      <c r="AC5" s="64"/>
      <c r="AD5" s="64"/>
      <c r="AE5" s="64"/>
      <c r="AF5" s="64"/>
    </row>
    <row r="6" spans="1:32" s="348" customFormat="1" ht="13.5" customHeight="1">
      <c r="A6" s="51"/>
      <c r="B6" s="579"/>
      <c r="C6" s="51"/>
      <c r="D6" s="51"/>
      <c r="E6" s="367" t="s">
        <v>440</v>
      </c>
      <c r="F6" s="386" t="s">
        <v>439</v>
      </c>
      <c r="G6" s="804" t="s">
        <v>92</v>
      </c>
      <c r="H6" s="805"/>
      <c r="I6" s="382"/>
      <c r="J6" s="808" t="s">
        <v>93</v>
      </c>
      <c r="K6" s="808"/>
      <c r="L6" s="382"/>
      <c r="M6" s="805" t="s">
        <v>6</v>
      </c>
      <c r="N6" s="807"/>
      <c r="O6" s="382"/>
      <c r="P6" s="804" t="s">
        <v>92</v>
      </c>
      <c r="Q6" s="805"/>
      <c r="R6" s="382"/>
      <c r="S6" s="808" t="s">
        <v>93</v>
      </c>
      <c r="T6" s="808"/>
      <c r="U6" s="382"/>
      <c r="V6" s="805" t="s">
        <v>6</v>
      </c>
      <c r="W6" s="807"/>
      <c r="X6" s="382"/>
      <c r="Y6" s="804" t="s">
        <v>92</v>
      </c>
      <c r="Z6" s="805"/>
      <c r="AA6" s="382"/>
      <c r="AB6" s="808" t="s">
        <v>93</v>
      </c>
      <c r="AC6" s="808"/>
      <c r="AD6" s="382"/>
      <c r="AE6" s="805" t="s">
        <v>6</v>
      </c>
      <c r="AF6" s="807"/>
    </row>
    <row r="7" spans="1:32" s="374" customFormat="1" ht="13.5" hidden="1" customHeight="1" outlineLevel="1">
      <c r="A7" s="369">
        <v>1</v>
      </c>
      <c r="B7" s="580">
        <v>2</v>
      </c>
      <c r="C7" s="369">
        <v>3</v>
      </c>
      <c r="D7" s="369">
        <v>4</v>
      </c>
      <c r="E7" s="370">
        <v>5</v>
      </c>
      <c r="F7" s="371">
        <v>6</v>
      </c>
      <c r="G7" s="351">
        <v>7</v>
      </c>
      <c r="H7" s="351">
        <v>8</v>
      </c>
      <c r="I7" s="351">
        <v>9</v>
      </c>
      <c r="J7" s="351">
        <v>10</v>
      </c>
      <c r="K7" s="351">
        <v>11</v>
      </c>
      <c r="L7" s="351">
        <v>12</v>
      </c>
      <c r="M7" s="351">
        <v>13</v>
      </c>
      <c r="N7" s="372">
        <v>14</v>
      </c>
      <c r="O7" s="351">
        <v>15</v>
      </c>
      <c r="P7" s="373">
        <v>16</v>
      </c>
      <c r="Q7" s="351">
        <v>17</v>
      </c>
      <c r="R7" s="351">
        <v>18</v>
      </c>
      <c r="S7" s="351">
        <v>19</v>
      </c>
      <c r="T7" s="351">
        <v>20</v>
      </c>
      <c r="U7" s="351">
        <v>21</v>
      </c>
      <c r="V7" s="351">
        <v>22</v>
      </c>
      <c r="W7" s="372">
        <v>23</v>
      </c>
      <c r="X7" s="351">
        <v>24</v>
      </c>
      <c r="Y7" s="373">
        <v>25</v>
      </c>
      <c r="Z7" s="351">
        <v>26</v>
      </c>
      <c r="AA7" s="351">
        <v>27</v>
      </c>
      <c r="AB7" s="351">
        <v>28</v>
      </c>
      <c r="AC7" s="351">
        <v>29</v>
      </c>
      <c r="AD7" s="351">
        <v>30</v>
      </c>
      <c r="AE7" s="351">
        <v>31</v>
      </c>
      <c r="AF7" s="372">
        <v>32</v>
      </c>
    </row>
    <row r="8" spans="1:32" s="348" customFormat="1" ht="13.8" collapsed="1" thickBot="1">
      <c r="A8" s="51"/>
      <c r="B8" s="581"/>
      <c r="C8" s="51"/>
      <c r="D8" s="51"/>
      <c r="E8" s="375"/>
      <c r="F8" s="387"/>
      <c r="G8" s="383" t="s">
        <v>3</v>
      </c>
      <c r="H8" s="384" t="s">
        <v>2</v>
      </c>
      <c r="I8" s="347"/>
      <c r="J8" s="384" t="s">
        <v>3</v>
      </c>
      <c r="K8" s="384" t="s">
        <v>2</v>
      </c>
      <c r="L8" s="347"/>
      <c r="M8" s="384" t="s">
        <v>3</v>
      </c>
      <c r="N8" s="442" t="s">
        <v>2</v>
      </c>
      <c r="O8" s="347"/>
      <c r="P8" s="383" t="s">
        <v>3</v>
      </c>
      <c r="Q8" s="384" t="s">
        <v>2</v>
      </c>
      <c r="R8" s="347"/>
      <c r="S8" s="384" t="s">
        <v>3</v>
      </c>
      <c r="T8" s="384" t="s">
        <v>2</v>
      </c>
      <c r="U8" s="347"/>
      <c r="V8" s="384" t="s">
        <v>3</v>
      </c>
      <c r="W8" s="442" t="s">
        <v>2</v>
      </c>
      <c r="X8" s="347"/>
      <c r="Y8" s="383" t="s">
        <v>3</v>
      </c>
      <c r="Z8" s="384" t="s">
        <v>2</v>
      </c>
      <c r="AA8" s="347"/>
      <c r="AB8" s="384" t="s">
        <v>3</v>
      </c>
      <c r="AC8" s="384" t="s">
        <v>2</v>
      </c>
      <c r="AD8" s="347"/>
      <c r="AE8" s="384" t="s">
        <v>3</v>
      </c>
      <c r="AF8" s="442" t="s">
        <v>2</v>
      </c>
    </row>
    <row r="9" spans="1:32">
      <c r="A9" s="474">
        <f>IF(SUMIFS($G9:$AF9,$G$8:$AF$8,"金額",$G9:$AF9,"&gt;0")-SUMIFS($G9:$AF9,$G$8:$AF$8,"金額",$G9:$AF9,"&lt;0")&lt;=0,"",MAX($A$8:$A8)+1)</f>
        <v>1</v>
      </c>
      <c r="B9" s="801" t="s">
        <v>4</v>
      </c>
      <c r="C9" s="245" t="str">
        <f t="shared" ref="C9:C40" si="0">CONCATENATE("商品",$A9)</f>
        <v>商品1</v>
      </c>
      <c r="D9" s="245">
        <v>1</v>
      </c>
      <c r="E9" s="590" t="str">
        <f>IF($F9&lt;&gt;"",INDEX(ﾏｽﾀ!$D$8:$D$124,MATCH(INDEX(ﾏｽﾀ!$N$8:$N$124,MATCH($F9,ﾏｽﾀ!$O$8:$O$124,0)),ﾏｽﾀ!$B$8:$B$124,0))&amp;"","")</f>
        <v>10001</v>
      </c>
      <c r="F9" s="589" t="str">
        <f>ﾏｽﾀ!$R8&amp;""</f>
        <v xml:space="preserve">株式会社 バンダイ　3100／ベンダー事業部 </v>
      </c>
      <c r="G9" s="173">
        <f>COUNTIF('納品書明細F-15'!$D$9:$D$297,CONCATENATE(VLOOKUP(G$5,$G$1:$H$4,2,FALSE),$E9,1,1,1))</f>
        <v>1</v>
      </c>
      <c r="H9" s="174">
        <f>SUMIF('納品書明細F-15'!$C$9:$C$297,CONCATENATE(VLOOKUP(G$5,$G$1:$H$4,2,FALSE),$E9,1,1),'納品書明細F-15'!$Q$9:$Q$297)</f>
        <v>9099000</v>
      </c>
      <c r="I9" s="345"/>
      <c r="J9" s="122"/>
      <c r="K9" s="359"/>
      <c r="L9" s="345"/>
      <c r="M9" s="175">
        <f>COUNTIF('納品書明細F-15'!$D$9:$D$297,CONCATENATE(VLOOKUP(G$5,$G$1:$H$4,2,FALSE),$E9,9,1,1))</f>
        <v>0</v>
      </c>
      <c r="N9" s="432">
        <f>SUMIF('納品書明細F-15'!$C$9:$C$297,CONCATENATE(VLOOKUP(G$5,$G$1:$H$4,2,FALSE),$E9,9,1),'納品書明細F-15'!$Q$9:$Q$297)</f>
        <v>0</v>
      </c>
      <c r="O9" s="69"/>
      <c r="P9" s="173">
        <f>COUNTIF('納品書明細F-15'!$D$9:$D$297,CONCATENATE(VLOOKUP(P$5,$G$1:$H$4,2,FALSE),$E9,1,1,1))</f>
        <v>0</v>
      </c>
      <c r="Q9" s="177">
        <f>SUMIF('納品書明細F-15'!$C$9:$C$297,CONCATENATE(VLOOKUP(P$5,$G$1:$H$4,2,FALSE),$E9,1,1),'納品書明細F-15'!$Q$9:$Q$297)</f>
        <v>0</v>
      </c>
      <c r="R9" s="345"/>
      <c r="S9" s="122"/>
      <c r="T9" s="128"/>
      <c r="U9" s="345"/>
      <c r="V9" s="175">
        <f>COUNTIF('納品書明細F-15'!$D$9:$D$297,CONCATENATE(VLOOKUP(P$5,$G$1:$H$4,2,FALSE),$E9,9,1,1))</f>
        <v>0</v>
      </c>
      <c r="W9" s="433">
        <f>SUMIF('納品書明細F-15'!$C$9:$C$297,CONCATENATE(VLOOKUP(P$5,$G$1:$H$4,2,FALSE),$E9,9,1),'納品書明細F-15'!$Q$9:$Q$297)</f>
        <v>0</v>
      </c>
      <c r="X9" s="69"/>
      <c r="Y9" s="173">
        <f>COUNTIF('納品書明細F-15'!$D$9:$D$297,CONCATENATE(VLOOKUP(Y$5,$G$1:$H$4,2,FALSE),$E9,1,1,1))</f>
        <v>0</v>
      </c>
      <c r="Z9" s="177">
        <f>SUMIF('納品書明細F-15'!$C$9:$C$297,CONCATENATE(VLOOKUP(Y$5,$G$1:$H$4,2,FALSE),$E9,1,1),'納品書明細F-15'!$Q$9:$Q$297)</f>
        <v>0</v>
      </c>
      <c r="AA9" s="345"/>
      <c r="AB9" s="122"/>
      <c r="AC9" s="128"/>
      <c r="AD9" s="345"/>
      <c r="AE9" s="175">
        <f>COUNTIF('納品書明細F-15'!$D$9:$D$297,CONCATENATE(VLOOKUP(Y$5,$G$1:$H$4,2,FALSE),$E9,9,1,1))</f>
        <v>0</v>
      </c>
      <c r="AF9" s="433">
        <f>SUMIF('納品書明細F-15'!$C$9:$C$297,CONCATENATE(VLOOKUP(Y$5,$G$1:$H$4,2,FALSE),$E9,9,1),'納品書明細F-15'!$Q$9:$Q$297)</f>
        <v>0</v>
      </c>
    </row>
    <row r="10" spans="1:32">
      <c r="A10" s="474" t="str">
        <f>IF(SUMIFS($G10:$AF10,$G$8:$AF$8,"金額",$G10:$AF10,"&gt;0")-SUMIFS($G10:$AF10,$G$8:$AF$8,"金額",$G10:$AF10,"&lt;0")&lt;=0,"",MAX($A$8:$A9)+1)</f>
        <v/>
      </c>
      <c r="B10" s="802"/>
      <c r="C10" s="245" t="str">
        <f t="shared" si="0"/>
        <v>商品</v>
      </c>
      <c r="D10" s="245">
        <v>2</v>
      </c>
      <c r="E10" s="590" t="str">
        <f>IF($F10&lt;&gt;"",INDEX(ﾏｽﾀ!$D$8:$D$124,MATCH(INDEX(ﾏｽﾀ!$N$8:$N$124,MATCH($F10,ﾏｽﾀ!$O$8:$O$124,0)),ﾏｽﾀ!$B$8:$B$124,0))&amp;"","")</f>
        <v>10002</v>
      </c>
      <c r="F10" s="589" t="str">
        <f>ﾏｽﾀ!$R9&amp;""</f>
        <v>株式会社 バンダイ</v>
      </c>
      <c r="G10" s="133">
        <f>COUNTIF('納品書明細F-15'!$D$9:$D$297,CONCATENATE(VLOOKUP(G$5,$G$1:$H$4,2,FALSE),$E10,1,1,1))</f>
        <v>0</v>
      </c>
      <c r="H10" s="127">
        <f>SUMIF('納品書明細F-15'!$C$9:$C$297,CONCATENATE(VLOOKUP(G$5,$G$1:$H$4,2,FALSE),$E10,1,1),'納品書明細F-15'!$Q$9:$Q$297)</f>
        <v>0</v>
      </c>
      <c r="I10" s="345"/>
      <c r="J10" s="122"/>
      <c r="K10" s="359"/>
      <c r="L10" s="345"/>
      <c r="M10" s="126">
        <f>COUNTIF('納品書明細F-15'!$D$9:$D$297,CONCATENATE(VLOOKUP(G$5,$G$1:$H$4,2,FALSE),$E10,9,1,1))</f>
        <v>0</v>
      </c>
      <c r="N10" s="432">
        <f>SUMIF('納品書明細F-15'!$C$9:$C$297,CONCATENATE(VLOOKUP(G$5,$G$1:$H$4,2,FALSE),$E10,9,1),'納品書明細F-15'!$Q$9:$Q$297)</f>
        <v>0</v>
      </c>
      <c r="O10" s="69"/>
      <c r="P10" s="133">
        <f>COUNTIF('納品書明細F-15'!$D$9:$D$297,CONCATENATE(VLOOKUP(P$5,$G$1:$H$4,2,FALSE),$E10,1,1,1))</f>
        <v>0</v>
      </c>
      <c r="Q10" s="161">
        <f>SUMIF('納品書明細F-15'!$C$9:$C$297,CONCATENATE(VLOOKUP(P$5,$G$1:$H$4,2,FALSE),$E10,1,1),'納品書明細F-15'!$Q$9:$Q$297)</f>
        <v>0</v>
      </c>
      <c r="R10" s="345"/>
      <c r="S10" s="122"/>
      <c r="T10" s="128"/>
      <c r="U10" s="345"/>
      <c r="V10" s="126">
        <f>COUNTIF('納品書明細F-15'!$D$9:$D$297,CONCATENATE(VLOOKUP(P$5,$G$1:$H$4,2,FALSE),$E10,9,1,1))</f>
        <v>0</v>
      </c>
      <c r="W10" s="433">
        <f>SUMIF('納品書明細F-15'!$C$9:$C$297,CONCATENATE(VLOOKUP(P$5,$G$1:$H$4,2,FALSE),$E10,9,1),'納品書明細F-15'!$Q$9:$Q$297)</f>
        <v>0</v>
      </c>
      <c r="X10" s="69"/>
      <c r="Y10" s="133">
        <f>COUNTIF('納品書明細F-15'!$D$9:$D$297,CONCATENATE(VLOOKUP(Y$5,$G$1:$H$4,2,FALSE),$E10,1,1,1))</f>
        <v>0</v>
      </c>
      <c r="Z10" s="161">
        <f>SUMIF('納品書明細F-15'!$C$9:$C$297,CONCATENATE(VLOOKUP(Y$5,$G$1:$H$4,2,FALSE),$E10,1,1),'納品書明細F-15'!$Q$9:$Q$297)</f>
        <v>0</v>
      </c>
      <c r="AA10" s="345"/>
      <c r="AB10" s="122"/>
      <c r="AC10" s="128"/>
      <c r="AD10" s="345"/>
      <c r="AE10" s="126">
        <f>COUNTIF('納品書明細F-15'!$D$9:$D$297,CONCATENATE(VLOOKUP(Y$5,$G$1:$H$4,2,FALSE),$E10,9,1,1))</f>
        <v>0</v>
      </c>
      <c r="AF10" s="433">
        <f>SUMIF('納品書明細F-15'!$C$9:$C$297,CONCATENATE(VLOOKUP(Y$5,$G$1:$H$4,2,FALSE),$E10,9,1),'納品書明細F-15'!$Q$9:$Q$297)</f>
        <v>0</v>
      </c>
    </row>
    <row r="11" spans="1:32">
      <c r="A11" s="474" t="str">
        <f>IF(SUMIFS($G11:$AF11,$G$8:$AF$8,"金額",$G11:$AF11,"&gt;0")-SUMIFS($G11:$AF11,$G$8:$AF$8,"金額",$G11:$AF11,"&lt;0")&lt;=0,"",MAX($A$8:$A10)+1)</f>
        <v/>
      </c>
      <c r="B11" s="802"/>
      <c r="C11" s="245" t="str">
        <f t="shared" si="0"/>
        <v>商品</v>
      </c>
      <c r="D11" s="245">
        <v>3</v>
      </c>
      <c r="E11" s="590" t="str">
        <f>IF($F11&lt;&gt;"",INDEX(ﾏｽﾀ!$D$8:$D$124,MATCH(INDEX(ﾏｽﾀ!$N$8:$N$124,MATCH($F11,ﾏｽﾀ!$O$8:$O$124,0)),ﾏｽﾀ!$B$8:$B$124,0))&amp;"","")</f>
        <v>10005</v>
      </c>
      <c r="F11" s="589" t="str">
        <f>ﾏｽﾀ!$R10&amp;""</f>
        <v>株式会社 バンダイ　3200／キャンディ事業部</v>
      </c>
      <c r="G11" s="133">
        <f>COUNTIF('納品書明細F-15'!$D$9:$D$297,CONCATENATE(VLOOKUP(G$5,$G$1:$H$4,2,FALSE),$E11,1,1,1))</f>
        <v>0</v>
      </c>
      <c r="H11" s="127">
        <f>SUMIF('納品書明細F-15'!$C$9:$C$297,CONCATENATE(VLOOKUP(G$5,$G$1:$H$4,2,FALSE),$E11,1,1),'納品書明細F-15'!$Q$9:$Q$297)</f>
        <v>0</v>
      </c>
      <c r="I11" s="345"/>
      <c r="J11" s="122"/>
      <c r="K11" s="359"/>
      <c r="L11" s="345"/>
      <c r="M11" s="126">
        <f>COUNTIF('納品書明細F-15'!$D$9:$D$297,CONCATENATE(VLOOKUP(G$5,$G$1:$H$4,2,FALSE),$E11,9,1,1))</f>
        <v>0</v>
      </c>
      <c r="N11" s="432">
        <f>SUMIF('納品書明細F-15'!$C$9:$C$297,CONCATENATE(VLOOKUP(G$5,$G$1:$H$4,2,FALSE),$E11,9,1),'納品書明細F-15'!$Q$9:$Q$297)</f>
        <v>0</v>
      </c>
      <c r="O11" s="69"/>
      <c r="P11" s="133">
        <f>COUNTIF('納品書明細F-15'!$D$9:$D$297,CONCATENATE(VLOOKUP(P$5,$G$1:$H$4,2,FALSE),$E11,1,1,1))</f>
        <v>0</v>
      </c>
      <c r="Q11" s="161">
        <f>SUMIF('納品書明細F-15'!$C$9:$C$297,CONCATENATE(VLOOKUP(P$5,$G$1:$H$4,2,FALSE),$E11,1,1),'納品書明細F-15'!$Q$9:$Q$297)</f>
        <v>0</v>
      </c>
      <c r="R11" s="345"/>
      <c r="S11" s="122"/>
      <c r="T11" s="128"/>
      <c r="U11" s="345"/>
      <c r="V11" s="126">
        <f>COUNTIF('納品書明細F-15'!$D$9:$D$297,CONCATENATE(VLOOKUP(P$5,$G$1:$H$4,2,FALSE),$E11,9,1,1))</f>
        <v>0</v>
      </c>
      <c r="W11" s="433">
        <f>SUMIF('納品書明細F-15'!$C$9:$C$297,CONCATENATE(VLOOKUP(P$5,$G$1:$H$4,2,FALSE),$E11,9,1),'納品書明細F-15'!$Q$9:$Q$297)</f>
        <v>0</v>
      </c>
      <c r="X11" s="69"/>
      <c r="Y11" s="133">
        <f>COUNTIF('納品書明細F-15'!$D$9:$D$297,CONCATENATE(VLOOKUP(Y$5,$G$1:$H$4,2,FALSE),$E11,1,1,1))</f>
        <v>0</v>
      </c>
      <c r="Z11" s="161">
        <f>SUMIF('納品書明細F-15'!$C$9:$C$297,CONCATENATE(VLOOKUP(Y$5,$G$1:$H$4,2,FALSE),$E11,1,1),'納品書明細F-15'!$Q$9:$Q$297)</f>
        <v>0</v>
      </c>
      <c r="AA11" s="345"/>
      <c r="AB11" s="122"/>
      <c r="AC11" s="128"/>
      <c r="AD11" s="345"/>
      <c r="AE11" s="126">
        <f>COUNTIF('納品書明細F-15'!$D$9:$D$297,CONCATENATE(VLOOKUP(Y$5,$G$1:$H$4,2,FALSE),$E11,9,1,1))</f>
        <v>0</v>
      </c>
      <c r="AF11" s="433">
        <f>SUMIF('納品書明細F-15'!$C$9:$C$297,CONCATENATE(VLOOKUP(Y$5,$G$1:$H$4,2,FALSE),$E11,9,1),'納品書明細F-15'!$Q$9:$Q$297)</f>
        <v>0</v>
      </c>
    </row>
    <row r="12" spans="1:32">
      <c r="A12" s="474" t="str">
        <f>IF(SUMIFS($G12:$AF12,$G$8:$AF$8,"金額",$G12:$AF12,"&gt;0")-SUMIFS($G12:$AF12,$G$8:$AF$8,"金額",$G12:$AF12,"&lt;0")&lt;=0,"",MAX($A$8:$A11)+1)</f>
        <v/>
      </c>
      <c r="B12" s="802"/>
      <c r="C12" s="245" t="str">
        <f t="shared" si="0"/>
        <v>商品</v>
      </c>
      <c r="D12" s="245">
        <v>4</v>
      </c>
      <c r="E12" s="590" t="str">
        <f>IF($F12&lt;&gt;"",INDEX(ﾏｽﾀ!$D$8:$D$124,MATCH(INDEX(ﾏｽﾀ!$N$8:$N$124,MATCH($F12,ﾏｽﾀ!$O$8:$O$124,0)),ﾏｽﾀ!$B$8:$B$124,0))&amp;"","")</f>
        <v>10006</v>
      </c>
      <c r="F12" s="589" t="str">
        <f>ﾏｽﾀ!$R11&amp;""</f>
        <v>株式会社 バンダイ　4200／キャンディ事業部</v>
      </c>
      <c r="G12" s="133">
        <f>COUNTIF('納品書明細F-15'!$D$9:$D$297,CONCATENATE(VLOOKUP(G$5,$G$1:$H$4,2,FALSE),$E12,1,1,1))</f>
        <v>0</v>
      </c>
      <c r="H12" s="127">
        <f>SUMIF('納品書明細F-15'!$C$9:$C$297,CONCATENATE(VLOOKUP(G$5,$G$1:$H$4,2,FALSE),$E12,1,1),'納品書明細F-15'!$Q$9:$Q$297)</f>
        <v>0</v>
      </c>
      <c r="I12" s="345"/>
      <c r="J12" s="122"/>
      <c r="K12" s="359"/>
      <c r="L12" s="345"/>
      <c r="M12" s="126">
        <f>COUNTIF('納品書明細F-15'!$D$9:$D$297,CONCATENATE(VLOOKUP(G$5,$G$1:$H$4,2,FALSE),$E12,9,1,1))</f>
        <v>0</v>
      </c>
      <c r="N12" s="432">
        <f>SUMIF('納品書明細F-15'!$C$9:$C$297,CONCATENATE(VLOOKUP(G$5,$G$1:$H$4,2,FALSE),$E12,9,1),'納品書明細F-15'!$Q$9:$Q$297)</f>
        <v>0</v>
      </c>
      <c r="O12" s="69"/>
      <c r="P12" s="133">
        <f>COUNTIF('納品書明細F-15'!$D$9:$D$297,CONCATENATE(VLOOKUP(P$5,$G$1:$H$4,2,FALSE),$E12,1,1,1))</f>
        <v>0</v>
      </c>
      <c r="Q12" s="161">
        <f>SUMIF('納品書明細F-15'!$C$9:$C$297,CONCATENATE(VLOOKUP(P$5,$G$1:$H$4,2,FALSE),$E12,1,1),'納品書明細F-15'!$Q$9:$Q$297)</f>
        <v>0</v>
      </c>
      <c r="R12" s="345"/>
      <c r="S12" s="122"/>
      <c r="T12" s="128"/>
      <c r="U12" s="345"/>
      <c r="V12" s="126">
        <f>COUNTIF('納品書明細F-15'!$D$9:$D$297,CONCATENATE(VLOOKUP(P$5,$G$1:$H$4,2,FALSE),$E12,9,1,1))</f>
        <v>0</v>
      </c>
      <c r="W12" s="433">
        <f>SUMIF('納品書明細F-15'!$C$9:$C$297,CONCATENATE(VLOOKUP(P$5,$G$1:$H$4,2,FALSE),$E12,9,1),'納品書明細F-15'!$Q$9:$Q$297)</f>
        <v>0</v>
      </c>
      <c r="X12" s="69"/>
      <c r="Y12" s="133">
        <f>COUNTIF('納品書明細F-15'!$D$9:$D$297,CONCATENATE(VLOOKUP(Y$5,$G$1:$H$4,2,FALSE),$E12,1,1,1))</f>
        <v>0</v>
      </c>
      <c r="Z12" s="161">
        <f>SUMIF('納品書明細F-15'!$C$9:$C$297,CONCATENATE(VLOOKUP(Y$5,$G$1:$H$4,2,FALSE),$E12,1,1),'納品書明細F-15'!$Q$9:$Q$297)</f>
        <v>0</v>
      </c>
      <c r="AA12" s="345"/>
      <c r="AB12" s="122"/>
      <c r="AC12" s="128"/>
      <c r="AD12" s="345"/>
      <c r="AE12" s="126">
        <f>COUNTIF('納品書明細F-15'!$D$9:$D$297,CONCATENATE(VLOOKUP(Y$5,$G$1:$H$4,2,FALSE),$E12,9,1,1))</f>
        <v>0</v>
      </c>
      <c r="AF12" s="433">
        <f>SUMIF('納品書明細F-15'!$C$9:$C$297,CONCATENATE(VLOOKUP(Y$5,$G$1:$H$4,2,FALSE),$E12,9,1),'納品書明細F-15'!$Q$9:$Q$297)</f>
        <v>0</v>
      </c>
    </row>
    <row r="13" spans="1:32">
      <c r="A13" s="474">
        <f>IF(SUMIFS($G13:$AF13,$G$8:$AF$8,"金額",$G13:$AF13,"&gt;0")-SUMIFS($G13:$AF13,$G$8:$AF$8,"金額",$G13:$AF13,"&lt;0")&lt;=0,"",MAX($A$8:$A12)+1)</f>
        <v>2</v>
      </c>
      <c r="B13" s="802"/>
      <c r="C13" s="245" t="str">
        <f t="shared" si="0"/>
        <v>商品2</v>
      </c>
      <c r="D13" s="245">
        <v>5</v>
      </c>
      <c r="E13" s="590" t="str">
        <f>IF($F13&lt;&gt;"",INDEX(ﾏｽﾀ!$D$8:$D$124,MATCH(INDEX(ﾏｽﾀ!$N$8:$N$124,MATCH($F13,ﾏｽﾀ!$O$8:$O$124,0)),ﾏｽﾀ!$B$8:$B$124,0))&amp;"","")</f>
        <v>10010</v>
      </c>
      <c r="F13" s="589" t="str">
        <f>ﾏｽﾀ!$R12&amp;""</f>
        <v>株式会社 バンダイ　4100／コレクターズ事業部</v>
      </c>
      <c r="G13" s="133">
        <f>COUNTIF('納品書明細F-15'!$D$9:$D$297,CONCATENATE(VLOOKUP(G$5,$G$1:$H$4,2,FALSE),$E13,1,1,1))</f>
        <v>1</v>
      </c>
      <c r="H13" s="127">
        <f>SUMIF('納品書明細F-15'!$C$9:$C$297,CONCATENATE(VLOOKUP(G$5,$G$1:$H$4,2,FALSE),$E13,1,1),'納品書明細F-15'!$Q$9:$Q$297)</f>
        <v>2030516</v>
      </c>
      <c r="I13" s="345"/>
      <c r="J13" s="122"/>
      <c r="K13" s="359"/>
      <c r="L13" s="345"/>
      <c r="M13" s="126">
        <f>COUNTIF('納品書明細F-15'!$D$9:$D$297,CONCATENATE(VLOOKUP(G$5,$G$1:$H$4,2,FALSE),$E13,9,1,1))</f>
        <v>0</v>
      </c>
      <c r="N13" s="432">
        <f>SUMIF('納品書明細F-15'!$C$9:$C$297,CONCATENATE(VLOOKUP(G$5,$G$1:$H$4,2,FALSE),$E13,9,1),'納品書明細F-15'!$Q$9:$Q$297)</f>
        <v>0</v>
      </c>
      <c r="O13" s="69"/>
      <c r="P13" s="133">
        <f>COUNTIF('納品書明細F-15'!$D$9:$D$297,CONCATENATE(VLOOKUP(P$5,$G$1:$H$4,2,FALSE),$E13,1,1,1))</f>
        <v>0</v>
      </c>
      <c r="Q13" s="161">
        <f>SUMIF('納品書明細F-15'!$C$9:$C$297,CONCATENATE(VLOOKUP(P$5,$G$1:$H$4,2,FALSE),$E13,1,1),'納品書明細F-15'!$Q$9:$Q$297)</f>
        <v>0</v>
      </c>
      <c r="R13" s="345"/>
      <c r="S13" s="122"/>
      <c r="T13" s="128"/>
      <c r="U13" s="345"/>
      <c r="V13" s="126">
        <f>COUNTIF('納品書明細F-15'!$D$9:$D$297,CONCATENATE(VLOOKUP(P$5,$G$1:$H$4,2,FALSE),$E13,9,1,1))</f>
        <v>0</v>
      </c>
      <c r="W13" s="433">
        <f>SUMIF('納品書明細F-15'!$C$9:$C$297,CONCATENATE(VLOOKUP(P$5,$G$1:$H$4,2,FALSE),$E13,9,1),'納品書明細F-15'!$Q$9:$Q$297)</f>
        <v>0</v>
      </c>
      <c r="X13" s="69"/>
      <c r="Y13" s="133">
        <f>COUNTIF('納品書明細F-15'!$D$9:$D$297,CONCATENATE(VLOOKUP(Y$5,$G$1:$H$4,2,FALSE),$E13,1,1,1))</f>
        <v>0</v>
      </c>
      <c r="Z13" s="161">
        <f>SUMIF('納品書明細F-15'!$C$9:$C$297,CONCATENATE(VLOOKUP(Y$5,$G$1:$H$4,2,FALSE),$E13,1,1),'納品書明細F-15'!$Q$9:$Q$297)</f>
        <v>0</v>
      </c>
      <c r="AA13" s="345"/>
      <c r="AB13" s="122"/>
      <c r="AC13" s="128"/>
      <c r="AD13" s="345"/>
      <c r="AE13" s="126">
        <f>COUNTIF('納品書明細F-15'!$D$9:$D$297,CONCATENATE(VLOOKUP(Y$5,$G$1:$H$4,2,FALSE),$E13,9,1,1))</f>
        <v>0</v>
      </c>
      <c r="AF13" s="433">
        <f>SUMIF('納品書明細F-15'!$C$9:$C$297,CONCATENATE(VLOOKUP(Y$5,$G$1:$H$4,2,FALSE),$E13,9,1),'納品書明細F-15'!$Q$9:$Q$297)</f>
        <v>0</v>
      </c>
    </row>
    <row r="14" spans="1:32">
      <c r="A14" s="474" t="str">
        <f>IF(SUMIFS($G14:$AF14,$G$8:$AF$8,"金額",$G14:$AF14,"&gt;0")-SUMIFS($G14:$AF14,$G$8:$AF$8,"金額",$G14:$AF14,"&lt;0")&lt;=0,"",MAX($A$8:$A13)+1)</f>
        <v/>
      </c>
      <c r="B14" s="802"/>
      <c r="C14" s="245" t="str">
        <f t="shared" si="0"/>
        <v>商品</v>
      </c>
      <c r="D14" s="245">
        <v>6</v>
      </c>
      <c r="E14" s="590" t="str">
        <f>IF($F14&lt;&gt;"",INDEX(ﾏｽﾀ!$D$8:$D$124,MATCH(INDEX(ﾏｽﾀ!$N$8:$N$124,MATCH($F14,ﾏｽﾀ!$O$8:$O$124,0)),ﾏｽﾀ!$B$8:$B$124,0))&amp;"","")</f>
        <v>10015</v>
      </c>
      <c r="F14" s="589" t="str">
        <f>ﾏｽﾀ!$R13&amp;""</f>
        <v>株式会社 バンダイ　4200／ボーイズトイ事業部</v>
      </c>
      <c r="G14" s="133">
        <f>COUNTIF('納品書明細F-15'!$D$9:$D$297,CONCATENATE(VLOOKUP(G$5,$G$1:$H$4,2,FALSE),$E14,1,1,1))</f>
        <v>0</v>
      </c>
      <c r="H14" s="127">
        <f>SUMIF('納品書明細F-15'!$C$9:$C$297,CONCATENATE(VLOOKUP(G$5,$G$1:$H$4,2,FALSE),$E14,1,1),'納品書明細F-15'!$Q$9:$Q$297)</f>
        <v>0</v>
      </c>
      <c r="I14" s="345"/>
      <c r="J14" s="122"/>
      <c r="K14" s="359"/>
      <c r="L14" s="345"/>
      <c r="M14" s="126">
        <f>COUNTIF('納品書明細F-15'!$D$9:$D$297,CONCATENATE(VLOOKUP(G$5,$G$1:$H$4,2,FALSE),$E14,9,1,1))</f>
        <v>0</v>
      </c>
      <c r="N14" s="432">
        <f>SUMIF('納品書明細F-15'!$C$9:$C$297,CONCATENATE(VLOOKUP(G$5,$G$1:$H$4,2,FALSE),$E14,9,1),'納品書明細F-15'!$Q$9:$Q$297)</f>
        <v>0</v>
      </c>
      <c r="O14" s="69"/>
      <c r="P14" s="133">
        <f>COUNTIF('納品書明細F-15'!$D$9:$D$297,CONCATENATE(VLOOKUP(P$5,$G$1:$H$4,2,FALSE),$E14,1,1,1))</f>
        <v>0</v>
      </c>
      <c r="Q14" s="161">
        <f>SUMIF('納品書明細F-15'!$C$9:$C$297,CONCATENATE(VLOOKUP(P$5,$G$1:$H$4,2,FALSE),$E14,1,1),'納品書明細F-15'!$Q$9:$Q$297)</f>
        <v>0</v>
      </c>
      <c r="R14" s="345"/>
      <c r="S14" s="122"/>
      <c r="T14" s="128"/>
      <c r="U14" s="345"/>
      <c r="V14" s="126">
        <f>COUNTIF('納品書明細F-15'!$D$9:$D$297,CONCATENATE(VLOOKUP(P$5,$G$1:$H$4,2,FALSE),$E14,9,1,1))</f>
        <v>0</v>
      </c>
      <c r="W14" s="433">
        <f>SUMIF('納品書明細F-15'!$C$9:$C$297,CONCATENATE(VLOOKUP(P$5,$G$1:$H$4,2,FALSE),$E14,9,1),'納品書明細F-15'!$Q$9:$Q$297)</f>
        <v>0</v>
      </c>
      <c r="X14" s="69"/>
      <c r="Y14" s="133">
        <f>COUNTIF('納品書明細F-15'!$D$9:$D$297,CONCATENATE(VLOOKUP(Y$5,$G$1:$H$4,2,FALSE),$E14,1,1,1))</f>
        <v>0</v>
      </c>
      <c r="Z14" s="161">
        <f>SUMIF('納品書明細F-15'!$C$9:$C$297,CONCATENATE(VLOOKUP(Y$5,$G$1:$H$4,2,FALSE),$E14,1,1),'納品書明細F-15'!$Q$9:$Q$297)</f>
        <v>0</v>
      </c>
      <c r="AA14" s="345"/>
      <c r="AB14" s="122"/>
      <c r="AC14" s="128"/>
      <c r="AD14" s="345"/>
      <c r="AE14" s="126">
        <f>COUNTIF('納品書明細F-15'!$D$9:$D$297,CONCATENATE(VLOOKUP(Y$5,$G$1:$H$4,2,FALSE),$E14,9,1,1))</f>
        <v>0</v>
      </c>
      <c r="AF14" s="433">
        <f>SUMIF('納品書明細F-15'!$C$9:$C$297,CONCATENATE(VLOOKUP(Y$5,$G$1:$H$4,2,FALSE),$E14,9,1),'納品書明細F-15'!$Q$9:$Q$297)</f>
        <v>0</v>
      </c>
    </row>
    <row r="15" spans="1:32">
      <c r="A15" s="474">
        <f>IF(SUMIFS($G15:$AF15,$G$8:$AF$8,"金額",$G15:$AF15,"&gt;0")-SUMIFS($G15:$AF15,$G$8:$AF$8,"金額",$G15:$AF15,"&lt;0")&lt;=0,"",MAX($A$8:$A14)+1)</f>
        <v>3</v>
      </c>
      <c r="B15" s="802"/>
      <c r="C15" s="245" t="str">
        <f t="shared" si="0"/>
        <v>商品3</v>
      </c>
      <c r="D15" s="245">
        <v>7</v>
      </c>
      <c r="E15" s="590" t="str">
        <f>IF($F15&lt;&gt;"",INDEX(ﾏｽﾀ!$D$8:$D$124,MATCH(INDEX(ﾏｽﾀ!$N$8:$N$124,MATCH($F15,ﾏｽﾀ!$O$8:$O$124,0)),ﾏｽﾀ!$B$8:$B$124,0))&amp;"","")</f>
        <v>10016</v>
      </c>
      <c r="F15" s="589" t="str">
        <f>ﾏｽﾀ!$R14&amp;""</f>
        <v>株式会社 バンダイ　5000／ボーイズトイ事業部</v>
      </c>
      <c r="G15" s="133">
        <f>COUNTIF('納品書明細F-15'!$D$9:$D$297,CONCATENATE(VLOOKUP(G$5,$G$1:$H$4,2,FALSE),$E15,1,1,1))</f>
        <v>1</v>
      </c>
      <c r="H15" s="127">
        <f>SUMIF('納品書明細F-15'!$C$9:$C$297,CONCATENATE(VLOOKUP(G$5,$G$1:$H$4,2,FALSE),$E15,1,1),'納品書明細F-15'!$Q$9:$Q$297)</f>
        <v>3474936</v>
      </c>
      <c r="I15" s="345"/>
      <c r="J15" s="122"/>
      <c r="K15" s="359"/>
      <c r="L15" s="345"/>
      <c r="M15" s="126">
        <f>COUNTIF('納品書明細F-15'!$D$9:$D$297,CONCATENATE(VLOOKUP(G$5,$G$1:$H$4,2,FALSE),$E15,9,1,1))</f>
        <v>0</v>
      </c>
      <c r="N15" s="432">
        <f>SUMIF('納品書明細F-15'!$C$9:$C$297,CONCATENATE(VLOOKUP(G$5,$G$1:$H$4,2,FALSE),$E15,9,1),'納品書明細F-15'!$Q$9:$Q$297)</f>
        <v>0</v>
      </c>
      <c r="O15" s="69"/>
      <c r="P15" s="133">
        <f>COUNTIF('納品書明細F-15'!$D$9:$D$297,CONCATENATE(VLOOKUP(P$5,$G$1:$H$4,2,FALSE),$E15,1,1,1))</f>
        <v>0</v>
      </c>
      <c r="Q15" s="161">
        <f>SUMIF('納品書明細F-15'!$C$9:$C$297,CONCATENATE(VLOOKUP(P$5,$G$1:$H$4,2,FALSE),$E15,1,1),'納品書明細F-15'!$Q$9:$Q$297)</f>
        <v>0</v>
      </c>
      <c r="R15" s="345"/>
      <c r="S15" s="122"/>
      <c r="T15" s="128"/>
      <c r="U15" s="345"/>
      <c r="V15" s="126">
        <f>COUNTIF('納品書明細F-15'!$D$9:$D$297,CONCATENATE(VLOOKUP(P$5,$G$1:$H$4,2,FALSE),$E15,9,1,1))</f>
        <v>0</v>
      </c>
      <c r="W15" s="433">
        <f>SUMIF('納品書明細F-15'!$C$9:$C$297,CONCATENATE(VLOOKUP(P$5,$G$1:$H$4,2,FALSE),$E15,9,1),'納品書明細F-15'!$Q$9:$Q$297)</f>
        <v>0</v>
      </c>
      <c r="X15" s="69"/>
      <c r="Y15" s="133">
        <f>COUNTIF('納品書明細F-15'!$D$9:$D$297,CONCATENATE(VLOOKUP(Y$5,$G$1:$H$4,2,FALSE),$E15,1,1,1))</f>
        <v>0</v>
      </c>
      <c r="Z15" s="161">
        <f>SUMIF('納品書明細F-15'!$C$9:$C$297,CONCATENATE(VLOOKUP(Y$5,$G$1:$H$4,2,FALSE),$E15,1,1),'納品書明細F-15'!$Q$9:$Q$297)</f>
        <v>0</v>
      </c>
      <c r="AA15" s="345"/>
      <c r="AB15" s="122"/>
      <c r="AC15" s="128"/>
      <c r="AD15" s="345"/>
      <c r="AE15" s="126">
        <f>COUNTIF('納品書明細F-15'!$D$9:$D$297,CONCATENATE(VLOOKUP(Y$5,$G$1:$H$4,2,FALSE),$E15,9,1,1))</f>
        <v>0</v>
      </c>
      <c r="AF15" s="433">
        <f>SUMIF('納品書明細F-15'!$C$9:$C$297,CONCATENATE(VLOOKUP(Y$5,$G$1:$H$4,2,FALSE),$E15,9,1),'納品書明細F-15'!$Q$9:$Q$297)</f>
        <v>0</v>
      </c>
    </row>
    <row r="16" spans="1:32">
      <c r="A16" s="474">
        <f>IF(SUMIFS($G16:$AF16,$G$8:$AF$8,"金額",$G16:$AF16,"&gt;0")-SUMIFS($G16:$AF16,$G$8:$AF$8,"金額",$G16:$AF16,"&lt;0")&lt;=0,"",MAX($A$8:$A15)+1)</f>
        <v>4</v>
      </c>
      <c r="B16" s="802"/>
      <c r="C16" s="245" t="str">
        <f t="shared" si="0"/>
        <v>商品4</v>
      </c>
      <c r="D16" s="245">
        <v>8</v>
      </c>
      <c r="E16" s="590" t="str">
        <f>IF($F16&lt;&gt;"",INDEX(ﾏｽﾀ!$D$8:$D$124,MATCH(INDEX(ﾏｽﾀ!$N$8:$N$124,MATCH($F16,ﾏｽﾀ!$O$8:$O$124,0)),ﾏｽﾀ!$B$8:$B$124,0))&amp;"","")</f>
        <v>10019</v>
      </c>
      <c r="F16" s="589" t="str">
        <f>ﾏｽﾀ!$R15&amp;""</f>
        <v>株式会社 バンダイ　4200／ガールズトイ事業部</v>
      </c>
      <c r="G16" s="133">
        <f>COUNTIF('納品書明細F-15'!$D$9:$D$297,CONCATENATE(VLOOKUP(G$5,$G$1:$H$4,2,FALSE),$E16,1,1,1))</f>
        <v>1</v>
      </c>
      <c r="H16" s="127">
        <f>SUMIF('納品書明細F-15'!$C$9:$C$297,CONCATENATE(VLOOKUP(G$5,$G$1:$H$4,2,FALSE),$E16,1,1),'納品書明細F-15'!$Q$9:$Q$297)</f>
        <v>24383928</v>
      </c>
      <c r="I16" s="345"/>
      <c r="J16" s="122"/>
      <c r="K16" s="359"/>
      <c r="L16" s="345"/>
      <c r="M16" s="126">
        <f>COUNTIF('納品書明細F-15'!$D$9:$D$297,CONCATENATE(VLOOKUP(G$5,$G$1:$H$4,2,FALSE),$E16,9,1,1))</f>
        <v>0</v>
      </c>
      <c r="N16" s="432">
        <f>SUMIF('納品書明細F-15'!$C$9:$C$297,CONCATENATE(VLOOKUP(G$5,$G$1:$H$4,2,FALSE),$E16,9,1),'納品書明細F-15'!$Q$9:$Q$297)</f>
        <v>0</v>
      </c>
      <c r="O16" s="69"/>
      <c r="P16" s="133">
        <f>COUNTIF('納品書明細F-15'!$D$9:$D$297,CONCATENATE(VLOOKUP(P$5,$G$1:$H$4,2,FALSE),$E16,1,1,1))</f>
        <v>0</v>
      </c>
      <c r="Q16" s="161">
        <f>SUMIF('納品書明細F-15'!$C$9:$C$297,CONCATENATE(VLOOKUP(P$5,$G$1:$H$4,2,FALSE),$E16,1,1),'納品書明細F-15'!$Q$9:$Q$297)</f>
        <v>0</v>
      </c>
      <c r="R16" s="345"/>
      <c r="S16" s="122"/>
      <c r="T16" s="128"/>
      <c r="U16" s="345"/>
      <c r="V16" s="126">
        <f>COUNTIF('納品書明細F-15'!$D$9:$D$297,CONCATENATE(VLOOKUP(P$5,$G$1:$H$4,2,FALSE),$E16,9,1,1))</f>
        <v>0</v>
      </c>
      <c r="W16" s="433">
        <f>SUMIF('納品書明細F-15'!$C$9:$C$297,CONCATENATE(VLOOKUP(P$5,$G$1:$H$4,2,FALSE),$E16,9,1),'納品書明細F-15'!$Q$9:$Q$297)</f>
        <v>0</v>
      </c>
      <c r="X16" s="69"/>
      <c r="Y16" s="133">
        <f>COUNTIF('納品書明細F-15'!$D$9:$D$297,CONCATENATE(VLOOKUP(Y$5,$G$1:$H$4,2,FALSE),$E16,1,1,1))</f>
        <v>0</v>
      </c>
      <c r="Z16" s="161">
        <f>SUMIF('納品書明細F-15'!$C$9:$C$297,CONCATENATE(VLOOKUP(Y$5,$G$1:$H$4,2,FALSE),$E16,1,1),'納品書明細F-15'!$Q$9:$Q$297)</f>
        <v>0</v>
      </c>
      <c r="AA16" s="345"/>
      <c r="AB16" s="122"/>
      <c r="AC16" s="128"/>
      <c r="AD16" s="345"/>
      <c r="AE16" s="126">
        <f>COUNTIF('納品書明細F-15'!$D$9:$D$297,CONCATENATE(VLOOKUP(Y$5,$G$1:$H$4,2,FALSE),$E16,9,1,1))</f>
        <v>0</v>
      </c>
      <c r="AF16" s="433">
        <f>SUMIF('納品書明細F-15'!$C$9:$C$297,CONCATENATE(VLOOKUP(Y$5,$G$1:$H$4,2,FALSE),$E16,9,1),'納品書明細F-15'!$Q$9:$Q$297)</f>
        <v>0</v>
      </c>
    </row>
    <row r="17" spans="1:32">
      <c r="A17" s="474" t="str">
        <f>IF(SUMIFS($G17:$AF17,$G$8:$AF$8,"金額",$G17:$AF17,"&gt;0")-SUMIFS($G17:$AF17,$G$8:$AF$8,"金額",$G17:$AF17,"&lt;0")&lt;=0,"",MAX($A$8:$A16)+1)</f>
        <v/>
      </c>
      <c r="B17" s="802"/>
      <c r="C17" s="245" t="str">
        <f t="shared" si="0"/>
        <v>商品</v>
      </c>
      <c r="D17" s="245">
        <v>9</v>
      </c>
      <c r="E17" s="590" t="str">
        <f>IF($F17&lt;&gt;"",INDEX(ﾏｽﾀ!$D$8:$D$124,MATCH(INDEX(ﾏｽﾀ!$N$8:$N$124,MATCH($F17,ﾏｽﾀ!$O$8:$O$124,0)),ﾏｽﾀ!$B$8:$B$124,0))&amp;"","")</f>
        <v>10020</v>
      </c>
      <c r="F17" s="589" t="str">
        <f>ﾏｽﾀ!$R16&amp;""</f>
        <v>株式会社 バンダイ　5000／ガールズトイ事業部</v>
      </c>
      <c r="G17" s="133">
        <f>COUNTIF('納品書明細F-15'!$D$9:$D$297,CONCATENATE(VLOOKUP(G$5,$G$1:$H$4,2,FALSE),$E17,1,1,1))</f>
        <v>0</v>
      </c>
      <c r="H17" s="127">
        <f>SUMIF('納品書明細F-15'!$C$9:$C$297,CONCATENATE(VLOOKUP(G$5,$G$1:$H$4,2,FALSE),$E17,1,1),'納品書明細F-15'!$Q$9:$Q$297)</f>
        <v>0</v>
      </c>
      <c r="I17" s="345"/>
      <c r="J17" s="122"/>
      <c r="K17" s="359"/>
      <c r="L17" s="345"/>
      <c r="M17" s="126">
        <f>COUNTIF('納品書明細F-15'!$D$9:$D$297,CONCATENATE(VLOOKUP(G$5,$G$1:$H$4,2,FALSE),$E17,9,1,1))</f>
        <v>0</v>
      </c>
      <c r="N17" s="432">
        <f>SUMIF('納品書明細F-15'!$C$9:$C$297,CONCATENATE(VLOOKUP(G$5,$G$1:$H$4,2,FALSE),$E17,9,1),'納品書明細F-15'!$Q$9:$Q$297)</f>
        <v>0</v>
      </c>
      <c r="O17" s="69"/>
      <c r="P17" s="133">
        <f>COUNTIF('納品書明細F-15'!$D$9:$D$297,CONCATENATE(VLOOKUP(P$5,$G$1:$H$4,2,FALSE),$E17,1,1,1))</f>
        <v>0</v>
      </c>
      <c r="Q17" s="161">
        <f>SUMIF('納品書明細F-15'!$C$9:$C$297,CONCATENATE(VLOOKUP(P$5,$G$1:$H$4,2,FALSE),$E17,1,1),'納品書明細F-15'!$Q$9:$Q$297)</f>
        <v>0</v>
      </c>
      <c r="R17" s="345"/>
      <c r="S17" s="122"/>
      <c r="T17" s="128"/>
      <c r="U17" s="345"/>
      <c r="V17" s="126">
        <f>COUNTIF('納品書明細F-15'!$D$9:$D$297,CONCATENATE(VLOOKUP(P$5,$G$1:$H$4,2,FALSE),$E17,9,1,1))</f>
        <v>0</v>
      </c>
      <c r="W17" s="433">
        <f>SUMIF('納品書明細F-15'!$C$9:$C$297,CONCATENATE(VLOOKUP(P$5,$G$1:$H$4,2,FALSE),$E17,9,1),'納品書明細F-15'!$Q$9:$Q$297)</f>
        <v>0</v>
      </c>
      <c r="X17" s="69"/>
      <c r="Y17" s="133">
        <f>COUNTIF('納品書明細F-15'!$D$9:$D$297,CONCATENATE(VLOOKUP(Y$5,$G$1:$H$4,2,FALSE),$E17,1,1,1))</f>
        <v>0</v>
      </c>
      <c r="Z17" s="161">
        <f>SUMIF('納品書明細F-15'!$C$9:$C$297,CONCATENATE(VLOOKUP(Y$5,$G$1:$H$4,2,FALSE),$E17,1,1),'納品書明細F-15'!$Q$9:$Q$297)</f>
        <v>0</v>
      </c>
      <c r="AA17" s="345"/>
      <c r="AB17" s="122"/>
      <c r="AC17" s="128"/>
      <c r="AD17" s="345"/>
      <c r="AE17" s="126">
        <f>COUNTIF('納品書明細F-15'!$D$9:$D$297,CONCATENATE(VLOOKUP(Y$5,$G$1:$H$4,2,FALSE),$E17,9,1,1))</f>
        <v>0</v>
      </c>
      <c r="AF17" s="433">
        <f>SUMIF('納品書明細F-15'!$C$9:$C$297,CONCATENATE(VLOOKUP(Y$5,$G$1:$H$4,2,FALSE),$E17,9,1),'納品書明細F-15'!$Q$9:$Q$297)</f>
        <v>0</v>
      </c>
    </row>
    <row r="18" spans="1:32">
      <c r="A18" s="474" t="str">
        <f>IF(SUMIFS($G18:$AF18,$G$8:$AF$8,"金額",$G18:$AF18,"&gt;0")-SUMIFS($G18:$AF18,$G$8:$AF$8,"金額",$G18:$AF18,"&lt;0")&lt;=0,"",MAX($A$8:$A17)+1)</f>
        <v/>
      </c>
      <c r="B18" s="802"/>
      <c r="C18" s="245" t="str">
        <f t="shared" si="0"/>
        <v>商品</v>
      </c>
      <c r="D18" s="245">
        <v>10</v>
      </c>
      <c r="E18" s="590" t="str">
        <f>IF($F18&lt;&gt;"",INDEX(ﾏｽﾀ!$D$8:$D$124,MATCH(INDEX(ﾏｽﾀ!$N$8:$N$124,MATCH($F18,ﾏｽﾀ!$O$8:$O$124,0)),ﾏｽﾀ!$B$8:$B$124,0))&amp;"","")</f>
        <v>10023</v>
      </c>
      <c r="F18" s="589" t="str">
        <f>ﾏｽﾀ!$R17&amp;""</f>
        <v>株式会社 バンダイ　3100／プロダクトマネジメント部</v>
      </c>
      <c r="G18" s="133">
        <f>COUNTIF('納品書明細F-15'!$D$9:$D$297,CONCATENATE(VLOOKUP(G$5,$G$1:$H$4,2,FALSE),$E18,1,1,1))</f>
        <v>0</v>
      </c>
      <c r="H18" s="127">
        <f>SUMIF('納品書明細F-15'!$C$9:$C$297,CONCATENATE(VLOOKUP(G$5,$G$1:$H$4,2,FALSE),$E18,1,1),'納品書明細F-15'!$Q$9:$Q$297)</f>
        <v>0</v>
      </c>
      <c r="I18" s="345"/>
      <c r="J18" s="122"/>
      <c r="K18" s="359"/>
      <c r="L18" s="345"/>
      <c r="M18" s="126">
        <f>COUNTIF('納品書明細F-15'!$D$9:$D$297,CONCATENATE(VLOOKUP(G$5,$G$1:$H$4,2,FALSE),$E18,9,1,1))</f>
        <v>0</v>
      </c>
      <c r="N18" s="432">
        <f>SUMIF('納品書明細F-15'!$C$9:$C$297,CONCATENATE(VLOOKUP(G$5,$G$1:$H$4,2,FALSE),$E18,9,1),'納品書明細F-15'!$Q$9:$Q$297)</f>
        <v>0</v>
      </c>
      <c r="O18" s="69"/>
      <c r="P18" s="133">
        <f>COUNTIF('納品書明細F-15'!$D$9:$D$297,CONCATENATE(VLOOKUP(P$5,$G$1:$H$4,2,FALSE),$E18,1,1,1))</f>
        <v>0</v>
      </c>
      <c r="Q18" s="161">
        <f>SUMIF('納品書明細F-15'!$C$9:$C$297,CONCATENATE(VLOOKUP(P$5,$G$1:$H$4,2,FALSE),$E18,1,1),'納品書明細F-15'!$Q$9:$Q$297)</f>
        <v>0</v>
      </c>
      <c r="R18" s="345"/>
      <c r="S18" s="122"/>
      <c r="T18" s="128"/>
      <c r="U18" s="345"/>
      <c r="V18" s="126">
        <f>COUNTIF('納品書明細F-15'!$D$9:$D$297,CONCATENATE(VLOOKUP(P$5,$G$1:$H$4,2,FALSE),$E18,9,1,1))</f>
        <v>0</v>
      </c>
      <c r="W18" s="433">
        <f>SUMIF('納品書明細F-15'!$C$9:$C$297,CONCATENATE(VLOOKUP(P$5,$G$1:$H$4,2,FALSE),$E18,9,1),'納品書明細F-15'!$Q$9:$Q$297)</f>
        <v>0</v>
      </c>
      <c r="X18" s="69"/>
      <c r="Y18" s="133">
        <f>COUNTIF('納品書明細F-15'!$D$9:$D$297,CONCATENATE(VLOOKUP(Y$5,$G$1:$H$4,2,FALSE),$E18,1,1,1))</f>
        <v>0</v>
      </c>
      <c r="Z18" s="161">
        <f>SUMIF('納品書明細F-15'!$C$9:$C$297,CONCATENATE(VLOOKUP(Y$5,$G$1:$H$4,2,FALSE),$E18,1,1),'納品書明細F-15'!$Q$9:$Q$297)</f>
        <v>0</v>
      </c>
      <c r="AA18" s="345"/>
      <c r="AB18" s="122"/>
      <c r="AC18" s="128"/>
      <c r="AD18" s="345"/>
      <c r="AE18" s="126">
        <f>COUNTIF('納品書明細F-15'!$D$9:$D$297,CONCATENATE(VLOOKUP(Y$5,$G$1:$H$4,2,FALSE),$E18,9,1,1))</f>
        <v>0</v>
      </c>
      <c r="AF18" s="433">
        <f>SUMIF('納品書明細F-15'!$C$9:$C$297,CONCATENATE(VLOOKUP(Y$5,$G$1:$H$4,2,FALSE),$E18,9,1),'納品書明細F-15'!$Q$9:$Q$297)</f>
        <v>0</v>
      </c>
    </row>
    <row r="19" spans="1:32">
      <c r="A19" s="474" t="str">
        <f>IF(SUMIFS($G19:$AF19,$G$8:$AF$8,"金額",$G19:$AF19,"&gt;0")-SUMIFS($G19:$AF19,$G$8:$AF$8,"金額",$G19:$AF19,"&lt;0")&lt;=0,"",MAX($A$8:$A18)+1)</f>
        <v/>
      </c>
      <c r="B19" s="802"/>
      <c r="C19" s="245" t="str">
        <f t="shared" si="0"/>
        <v>商品</v>
      </c>
      <c r="D19" s="245">
        <v>11</v>
      </c>
      <c r="E19" s="590" t="str">
        <f>IF($F19&lt;&gt;"",INDEX(ﾏｽﾀ!$D$8:$D$124,MATCH(INDEX(ﾏｽﾀ!$N$8:$N$124,MATCH($F19,ﾏｽﾀ!$O$8:$O$124,0)),ﾏｽﾀ!$B$8:$B$124,0))&amp;"","")</f>
        <v>10000</v>
      </c>
      <c r="F19" s="589" t="str">
        <f>ﾏｽﾀ!$R18&amp;""</f>
        <v>株式会社 バンダイ部</v>
      </c>
      <c r="G19" s="133">
        <f>COUNTIF('納品書明細F-15'!$D$9:$D$297,CONCATENATE(VLOOKUP(G$5,$G$1:$H$4,2,FALSE),$E19,1,1,1))</f>
        <v>0</v>
      </c>
      <c r="H19" s="127">
        <f>SUMIF('納品書明細F-15'!$C$9:$C$297,CONCATENATE(VLOOKUP(G$5,$G$1:$H$4,2,FALSE),$E19,1,1),'納品書明細F-15'!$Q$9:$Q$297)</f>
        <v>0</v>
      </c>
      <c r="I19" s="345"/>
      <c r="J19" s="122"/>
      <c r="K19" s="359"/>
      <c r="L19" s="345"/>
      <c r="M19" s="126">
        <f>COUNTIF('納品書明細F-15'!$D$9:$D$297,CONCATENATE(VLOOKUP(G$5,$G$1:$H$4,2,FALSE),$E19,9,1,1))</f>
        <v>0</v>
      </c>
      <c r="N19" s="432">
        <f>SUMIF('納品書明細F-15'!$C$9:$C$297,CONCATENATE(VLOOKUP(G$5,$G$1:$H$4,2,FALSE),$E19,9,1),'納品書明細F-15'!$Q$9:$Q$297)</f>
        <v>0</v>
      </c>
      <c r="O19" s="69"/>
      <c r="P19" s="133">
        <f>COUNTIF('納品書明細F-15'!$D$9:$D$297,CONCATENATE(VLOOKUP(P$5,$G$1:$H$4,2,FALSE),$E19,1,1,1))</f>
        <v>0</v>
      </c>
      <c r="Q19" s="161">
        <f>SUMIF('納品書明細F-15'!$C$9:$C$297,CONCATENATE(VLOOKUP(P$5,$G$1:$H$4,2,FALSE),$E19,1,1),'納品書明細F-15'!$Q$9:$Q$297)</f>
        <v>0</v>
      </c>
      <c r="R19" s="345"/>
      <c r="S19" s="122"/>
      <c r="T19" s="128"/>
      <c r="U19" s="345"/>
      <c r="V19" s="126">
        <f>COUNTIF('納品書明細F-15'!$D$9:$D$297,CONCATENATE(VLOOKUP(P$5,$G$1:$H$4,2,FALSE),$E19,9,1,1))</f>
        <v>0</v>
      </c>
      <c r="W19" s="433">
        <f>SUMIF('納品書明細F-15'!$C$9:$C$297,CONCATENATE(VLOOKUP(P$5,$G$1:$H$4,2,FALSE),$E19,9,1),'納品書明細F-15'!$Q$9:$Q$297)</f>
        <v>0</v>
      </c>
      <c r="X19" s="69"/>
      <c r="Y19" s="133">
        <f>COUNTIF('納品書明細F-15'!$D$9:$D$297,CONCATENATE(VLOOKUP(Y$5,$G$1:$H$4,2,FALSE),$E19,1,1,1))</f>
        <v>0</v>
      </c>
      <c r="Z19" s="161">
        <f>SUMIF('納品書明細F-15'!$C$9:$C$297,CONCATENATE(VLOOKUP(Y$5,$G$1:$H$4,2,FALSE),$E19,1,1),'納品書明細F-15'!$Q$9:$Q$297)</f>
        <v>0</v>
      </c>
      <c r="AA19" s="345"/>
      <c r="AB19" s="122"/>
      <c r="AC19" s="128"/>
      <c r="AD19" s="345"/>
      <c r="AE19" s="126">
        <f>COUNTIF('納品書明細F-15'!$D$9:$D$297,CONCATENATE(VLOOKUP(Y$5,$G$1:$H$4,2,FALSE),$E19,9,1,1))</f>
        <v>0</v>
      </c>
      <c r="AF19" s="433">
        <f>SUMIF('納品書明細F-15'!$C$9:$C$297,CONCATENATE(VLOOKUP(Y$5,$G$1:$H$4,2,FALSE),$E19,9,1),'納品書明細F-15'!$Q$9:$Q$297)</f>
        <v>0</v>
      </c>
    </row>
    <row r="20" spans="1:32">
      <c r="A20" s="474" t="str">
        <f>IF(SUMIFS($G20:$AF20,$G$8:$AF$8,"金額",$G20:$AF20,"&gt;0")-SUMIFS($G20:$AF20,$G$8:$AF$8,"金額",$G20:$AF20,"&lt;0")&lt;=0,"",MAX($A$8:$A19)+1)</f>
        <v/>
      </c>
      <c r="B20" s="802"/>
      <c r="C20" s="245" t="str">
        <f t="shared" si="0"/>
        <v>商品</v>
      </c>
      <c r="D20" s="245">
        <v>12</v>
      </c>
      <c r="E20" s="590" t="str">
        <f>IF($F20&lt;&gt;"",INDEX(ﾏｽﾀ!$D$8:$D$124,MATCH(INDEX(ﾏｽﾀ!$N$8:$N$124,MATCH($F20,ﾏｽﾀ!$O$8:$O$124,0)),ﾏｽﾀ!$B$8:$B$124,0))&amp;"","")</f>
        <v>11001</v>
      </c>
      <c r="F20" s="589" t="str">
        <f>ﾏｽﾀ!$R19&amp;""</f>
        <v>株式会社BANDAI SPIRITS　4100／コレクターズ事業部</v>
      </c>
      <c r="G20" s="133">
        <f>COUNTIF('納品書明細F-15'!$D$9:$D$297,CONCATENATE(VLOOKUP(G$5,$G$1:$H$4,2,FALSE),$E20,1,1,1))</f>
        <v>0</v>
      </c>
      <c r="H20" s="127">
        <f>SUMIF('納品書明細F-15'!$C$9:$C$297,CONCATENATE(VLOOKUP(G$5,$G$1:$H$4,2,FALSE),$E20,1,1),'納品書明細F-15'!$Q$9:$Q$297)</f>
        <v>0</v>
      </c>
      <c r="I20" s="345"/>
      <c r="J20" s="122"/>
      <c r="K20" s="359"/>
      <c r="L20" s="345"/>
      <c r="M20" s="126">
        <f>COUNTIF('納品書明細F-15'!$D$9:$D$297,CONCATENATE(VLOOKUP(G$5,$G$1:$H$4,2,FALSE),$E20,9,1,1))</f>
        <v>0</v>
      </c>
      <c r="N20" s="432">
        <f>SUMIF('納品書明細F-15'!$C$9:$C$297,CONCATENATE(VLOOKUP(G$5,$G$1:$H$4,2,FALSE),$E20,9,1),'納品書明細F-15'!$Q$9:$Q$297)</f>
        <v>0</v>
      </c>
      <c r="O20" s="69"/>
      <c r="P20" s="133">
        <f>COUNTIF('納品書明細F-15'!$D$9:$D$297,CONCATENATE(VLOOKUP(P$5,$G$1:$H$4,2,FALSE),$E20,1,1,1))</f>
        <v>0</v>
      </c>
      <c r="Q20" s="161">
        <f>SUMIF('納品書明細F-15'!$C$9:$C$297,CONCATENATE(VLOOKUP(P$5,$G$1:$H$4,2,FALSE),$E20,1,1),'納品書明細F-15'!$Q$9:$Q$297)</f>
        <v>0</v>
      </c>
      <c r="R20" s="345"/>
      <c r="S20" s="122"/>
      <c r="T20" s="128"/>
      <c r="U20" s="345"/>
      <c r="V20" s="126">
        <f>COUNTIF('納品書明細F-15'!$D$9:$D$297,CONCATENATE(VLOOKUP(P$5,$G$1:$H$4,2,FALSE),$E20,9,1,1))</f>
        <v>0</v>
      </c>
      <c r="W20" s="433">
        <f>SUMIF('納品書明細F-15'!$C$9:$C$297,CONCATENATE(VLOOKUP(P$5,$G$1:$H$4,2,FALSE),$E20,9,1),'納品書明細F-15'!$Q$9:$Q$297)</f>
        <v>0</v>
      </c>
      <c r="X20" s="69"/>
      <c r="Y20" s="133">
        <f>COUNTIF('納品書明細F-15'!$D$9:$D$297,CONCATENATE(VLOOKUP(Y$5,$G$1:$H$4,2,FALSE),$E20,1,1,1))</f>
        <v>0</v>
      </c>
      <c r="Z20" s="161">
        <f>SUMIF('納品書明細F-15'!$C$9:$C$297,CONCATENATE(VLOOKUP(Y$5,$G$1:$H$4,2,FALSE),$E20,1,1),'納品書明細F-15'!$Q$9:$Q$297)</f>
        <v>0</v>
      </c>
      <c r="AA20" s="345"/>
      <c r="AB20" s="122"/>
      <c r="AC20" s="128"/>
      <c r="AD20" s="345"/>
      <c r="AE20" s="126">
        <f>COUNTIF('納品書明細F-15'!$D$9:$D$297,CONCATENATE(VLOOKUP(Y$5,$G$1:$H$4,2,FALSE),$E20,9,1,1))</f>
        <v>0</v>
      </c>
      <c r="AF20" s="433">
        <f>SUMIF('納品書明細F-15'!$C$9:$C$297,CONCATENATE(VLOOKUP(Y$5,$G$1:$H$4,2,FALSE),$E20,9,1),'納品書明細F-15'!$Q$9:$Q$297)</f>
        <v>0</v>
      </c>
    </row>
    <row r="21" spans="1:32">
      <c r="A21" s="474">
        <f>IF(SUMIFS($G21:$AF21,$G$8:$AF$8,"金額",$G21:$AF21,"&gt;0")-SUMIFS($G21:$AF21,$G$8:$AF$8,"金額",$G21:$AF21,"&lt;0")&lt;=0,"",MAX($A$8:$A20)+1)</f>
        <v>5</v>
      </c>
      <c r="B21" s="802"/>
      <c r="C21" s="245" t="str">
        <f t="shared" si="0"/>
        <v>商品5</v>
      </c>
      <c r="D21" s="245">
        <v>13</v>
      </c>
      <c r="E21" s="590" t="str">
        <f>IF($F21&lt;&gt;"",INDEX(ﾏｽﾀ!$D$8:$D$124,MATCH(INDEX(ﾏｽﾀ!$N$8:$N$124,MATCH($F21,ﾏｽﾀ!$O$8:$O$124,0)),ﾏｽﾀ!$B$8:$B$124,0))&amp;"","")</f>
        <v>11002</v>
      </c>
      <c r="F21" s="589" t="str">
        <f>ﾏｽﾀ!$R20&amp;""</f>
        <v>株式会社BANDAI SPIRITS</v>
      </c>
      <c r="G21" s="133">
        <f>COUNTIF('納品書明細F-15'!$D$9:$D$297,CONCATENATE(VLOOKUP(G$5,$G$1:$H$4,2,FALSE),$E21,1,1,1))</f>
        <v>1</v>
      </c>
      <c r="H21" s="127">
        <f>SUMIF('納品書明細F-15'!$C$9:$C$297,CONCATENATE(VLOOKUP(G$5,$G$1:$H$4,2,FALSE),$E21,1,1),'納品書明細F-15'!$Q$9:$Q$297)</f>
        <v>3300000</v>
      </c>
      <c r="I21" s="345"/>
      <c r="J21" s="122"/>
      <c r="K21" s="359"/>
      <c r="L21" s="345"/>
      <c r="M21" s="126">
        <f>COUNTIF('納品書明細F-15'!$D$9:$D$297,CONCATENATE(VLOOKUP(G$5,$G$1:$H$4,2,FALSE),$E21,9,1,1))</f>
        <v>0</v>
      </c>
      <c r="N21" s="432">
        <f>SUMIF('納品書明細F-15'!$C$9:$C$297,CONCATENATE(VLOOKUP(G$5,$G$1:$H$4,2,FALSE),$E21,9,1),'納品書明細F-15'!$Q$9:$Q$297)</f>
        <v>0</v>
      </c>
      <c r="O21" s="69"/>
      <c r="P21" s="133">
        <f>COUNTIF('納品書明細F-15'!$D$9:$D$297,CONCATENATE(VLOOKUP(P$5,$G$1:$H$4,2,FALSE),$E21,1,1,1))</f>
        <v>0</v>
      </c>
      <c r="Q21" s="161">
        <f>SUMIF('納品書明細F-15'!$C$9:$C$297,CONCATENATE(VLOOKUP(P$5,$G$1:$H$4,2,FALSE),$E21,1,1),'納品書明細F-15'!$Q$9:$Q$297)</f>
        <v>0</v>
      </c>
      <c r="R21" s="345"/>
      <c r="S21" s="122"/>
      <c r="T21" s="128"/>
      <c r="U21" s="345"/>
      <c r="V21" s="126">
        <f>COUNTIF('納品書明細F-15'!$D$9:$D$297,CONCATENATE(VLOOKUP(P$5,$G$1:$H$4,2,FALSE),$E21,9,1,1))</f>
        <v>0</v>
      </c>
      <c r="W21" s="433">
        <f>SUMIF('納品書明細F-15'!$C$9:$C$297,CONCATENATE(VLOOKUP(P$5,$G$1:$H$4,2,FALSE),$E21,9,1),'納品書明細F-15'!$Q$9:$Q$297)</f>
        <v>0</v>
      </c>
      <c r="X21" s="69"/>
      <c r="Y21" s="133">
        <f>COUNTIF('納品書明細F-15'!$D$9:$D$297,CONCATENATE(VLOOKUP(Y$5,$G$1:$H$4,2,FALSE),$E21,1,1,1))</f>
        <v>1</v>
      </c>
      <c r="Z21" s="161">
        <f>SUMIF('納品書明細F-15'!$C$9:$C$297,CONCATENATE(VLOOKUP(Y$5,$G$1:$H$4,2,FALSE),$E21,1,1),'納品書明細F-15'!$Q$9:$Q$297)</f>
        <v>221400</v>
      </c>
      <c r="AA21" s="345"/>
      <c r="AB21" s="122"/>
      <c r="AC21" s="128"/>
      <c r="AD21" s="345"/>
      <c r="AE21" s="126">
        <f>COUNTIF('納品書明細F-15'!$D$9:$D$297,CONCATENATE(VLOOKUP(Y$5,$G$1:$H$4,2,FALSE),$E21,9,1,1))</f>
        <v>0</v>
      </c>
      <c r="AF21" s="433">
        <f>SUMIF('納品書明細F-15'!$C$9:$C$297,CONCATENATE(VLOOKUP(Y$5,$G$1:$H$4,2,FALSE),$E21,9,1),'納品書明細F-15'!$Q$9:$Q$297)</f>
        <v>0</v>
      </c>
    </row>
    <row r="22" spans="1:32">
      <c r="A22" s="474">
        <f>IF(SUMIFS($G22:$AF22,$G$8:$AF$8,"金額",$G22:$AF22,"&gt;0")-SUMIFS($G22:$AF22,$G$8:$AF$8,"金額",$G22:$AF22,"&lt;0")&lt;=0,"",MAX($A$8:$A21)+1)</f>
        <v>6</v>
      </c>
      <c r="B22" s="802"/>
      <c r="C22" s="245" t="str">
        <f t="shared" si="0"/>
        <v>商品6</v>
      </c>
      <c r="D22" s="245">
        <v>14</v>
      </c>
      <c r="E22" s="590" t="str">
        <f>IF($F22&lt;&gt;"",INDEX(ﾏｽﾀ!$D$8:$D$124,MATCH(INDEX(ﾏｽﾀ!$N$8:$N$124,MATCH($F22,ﾏｽﾀ!$O$8:$O$124,0)),ﾏｽﾀ!$B$8:$B$124,0))&amp;"","")</f>
        <v>12001</v>
      </c>
      <c r="F22" s="589" t="str">
        <f>ﾏｽﾀ!$R21&amp;""</f>
        <v>株式会社バンダイナムコアミューズメント</v>
      </c>
      <c r="G22" s="133">
        <f>COUNTIF('納品書明細F-15'!$D$9:$D$297,CONCATENATE(VLOOKUP(G$5,$G$1:$H$4,2,FALSE),$E22,1,1,1))</f>
        <v>1</v>
      </c>
      <c r="H22" s="127">
        <f>SUMIF('納品書明細F-15'!$C$9:$C$297,CONCATENATE(VLOOKUP(G$5,$G$1:$H$4,2,FALSE),$E22,1,1),'納品書明細F-15'!$Q$9:$Q$297)</f>
        <v>5935680</v>
      </c>
      <c r="I22" s="345"/>
      <c r="J22" s="122"/>
      <c r="K22" s="359"/>
      <c r="L22" s="345"/>
      <c r="M22" s="126">
        <f>COUNTIF('納品書明細F-15'!$D$9:$D$297,CONCATENATE(VLOOKUP(G$5,$G$1:$H$4,2,FALSE),$E22,9,1,1))</f>
        <v>0</v>
      </c>
      <c r="N22" s="432">
        <f>SUMIF('納品書明細F-15'!$C$9:$C$297,CONCATENATE(VLOOKUP(G$5,$G$1:$H$4,2,FALSE),$E22,9,1),'納品書明細F-15'!$Q$9:$Q$297)</f>
        <v>0</v>
      </c>
      <c r="O22" s="69"/>
      <c r="P22" s="133">
        <f>COUNTIF('納品書明細F-15'!$D$9:$D$297,CONCATENATE(VLOOKUP(P$5,$G$1:$H$4,2,FALSE),$E22,1,1,1))</f>
        <v>0</v>
      </c>
      <c r="Q22" s="161">
        <f>SUMIF('納品書明細F-15'!$C$9:$C$297,CONCATENATE(VLOOKUP(P$5,$G$1:$H$4,2,FALSE),$E22,1,1),'納品書明細F-15'!$Q$9:$Q$297)</f>
        <v>0</v>
      </c>
      <c r="R22" s="345"/>
      <c r="S22" s="122"/>
      <c r="T22" s="128"/>
      <c r="U22" s="345"/>
      <c r="V22" s="126">
        <f>COUNTIF('納品書明細F-15'!$D$9:$D$297,CONCATENATE(VLOOKUP(P$5,$G$1:$H$4,2,FALSE),$E22,9,1,1))</f>
        <v>0</v>
      </c>
      <c r="W22" s="433">
        <f>SUMIF('納品書明細F-15'!$C$9:$C$297,CONCATENATE(VLOOKUP(P$5,$G$1:$H$4,2,FALSE),$E22,9,1),'納品書明細F-15'!$Q$9:$Q$297)</f>
        <v>0</v>
      </c>
      <c r="X22" s="69"/>
      <c r="Y22" s="133">
        <f>COUNTIF('納品書明細F-15'!$D$9:$D$297,CONCATENATE(VLOOKUP(Y$5,$G$1:$H$4,2,FALSE),$E22,1,1,1))</f>
        <v>0</v>
      </c>
      <c r="Z22" s="161">
        <f>SUMIF('納品書明細F-15'!$C$9:$C$297,CONCATENATE(VLOOKUP(Y$5,$G$1:$H$4,2,FALSE),$E22,1,1),'納品書明細F-15'!$Q$9:$Q$297)</f>
        <v>0</v>
      </c>
      <c r="AA22" s="345"/>
      <c r="AB22" s="122"/>
      <c r="AC22" s="128"/>
      <c r="AD22" s="345"/>
      <c r="AE22" s="126">
        <f>COUNTIF('納品書明細F-15'!$D$9:$D$297,CONCATENATE(VLOOKUP(Y$5,$G$1:$H$4,2,FALSE),$E22,9,1,1))</f>
        <v>0</v>
      </c>
      <c r="AF22" s="433">
        <f>SUMIF('納品書明細F-15'!$C$9:$C$297,CONCATENATE(VLOOKUP(Y$5,$G$1:$H$4,2,FALSE),$E22,9,1),'納品書明細F-15'!$Q$9:$Q$297)</f>
        <v>0</v>
      </c>
    </row>
    <row r="23" spans="1:32">
      <c r="A23" s="474" t="str">
        <f>IF(SUMIFS($G23:$AF23,$G$8:$AF$8,"金額",$G23:$AF23,"&gt;0")-SUMIFS($G23:$AF23,$G$8:$AF$8,"金額",$G23:$AF23,"&lt;0")&lt;=0,"",MAX($A$8:$A22)+1)</f>
        <v/>
      </c>
      <c r="B23" s="802"/>
      <c r="C23" s="245" t="str">
        <f t="shared" si="0"/>
        <v>商品</v>
      </c>
      <c r="D23" s="245">
        <v>15</v>
      </c>
      <c r="E23" s="590" t="str">
        <f>IF($F23&lt;&gt;"",INDEX(ﾏｽﾀ!$D$8:$D$124,MATCH(INDEX(ﾏｽﾀ!$N$8:$N$124,MATCH($F23,ﾏｽﾀ!$O$8:$O$124,0)),ﾏｽﾀ!$B$8:$B$124,0))&amp;"","")</f>
        <v>40002</v>
      </c>
      <c r="F23" s="589" t="str">
        <f>ﾏｽﾀ!$R22&amp;""</f>
        <v>株式会社 バンプレスト　マーケティング事業部</v>
      </c>
      <c r="G23" s="133">
        <f>COUNTIF('納品書明細F-15'!$D$9:$D$297,CONCATENATE(VLOOKUP(G$5,$G$1:$H$4,2,FALSE),$E23,1,1,1))</f>
        <v>0</v>
      </c>
      <c r="H23" s="127">
        <f>SUMIF('納品書明細F-15'!$C$9:$C$297,CONCATENATE(VLOOKUP(G$5,$G$1:$H$4,2,FALSE),$E23,1,1),'納品書明細F-15'!$Q$9:$Q$297)</f>
        <v>0</v>
      </c>
      <c r="I23" s="345"/>
      <c r="J23" s="122"/>
      <c r="K23" s="359"/>
      <c r="L23" s="345"/>
      <c r="M23" s="126">
        <f>COUNTIF('納品書明細F-15'!$D$9:$D$297,CONCATENATE(VLOOKUP(G$5,$G$1:$H$4,2,FALSE),$E23,9,1,1))</f>
        <v>0</v>
      </c>
      <c r="N23" s="432">
        <f>SUMIF('納品書明細F-15'!$C$9:$C$297,CONCATENATE(VLOOKUP(G$5,$G$1:$H$4,2,FALSE),$E23,9,1),'納品書明細F-15'!$Q$9:$Q$297)</f>
        <v>0</v>
      </c>
      <c r="O23" s="69"/>
      <c r="P23" s="133">
        <f>COUNTIF('納品書明細F-15'!$D$9:$D$297,CONCATENATE(VLOOKUP(P$5,$G$1:$H$4,2,FALSE),$E23,1,1,1))</f>
        <v>0</v>
      </c>
      <c r="Q23" s="161">
        <f>SUMIF('納品書明細F-15'!$C$9:$C$297,CONCATENATE(VLOOKUP(P$5,$G$1:$H$4,2,FALSE),$E23,1,1),'納品書明細F-15'!$Q$9:$Q$297)</f>
        <v>0</v>
      </c>
      <c r="R23" s="345"/>
      <c r="S23" s="122"/>
      <c r="T23" s="128"/>
      <c r="U23" s="345"/>
      <c r="V23" s="126">
        <f>COUNTIF('納品書明細F-15'!$D$9:$D$297,CONCATENATE(VLOOKUP(P$5,$G$1:$H$4,2,FALSE),$E23,9,1,1))</f>
        <v>0</v>
      </c>
      <c r="W23" s="433">
        <f>SUMIF('納品書明細F-15'!$C$9:$C$297,CONCATENATE(VLOOKUP(P$5,$G$1:$H$4,2,FALSE),$E23,9,1),'納品書明細F-15'!$Q$9:$Q$297)</f>
        <v>0</v>
      </c>
      <c r="X23" s="69"/>
      <c r="Y23" s="133">
        <f>COUNTIF('納品書明細F-15'!$D$9:$D$297,CONCATENATE(VLOOKUP(Y$5,$G$1:$H$4,2,FALSE),$E23,1,1,1))</f>
        <v>0</v>
      </c>
      <c r="Z23" s="161">
        <f>SUMIF('納品書明細F-15'!$C$9:$C$297,CONCATENATE(VLOOKUP(Y$5,$G$1:$H$4,2,FALSE),$E23,1,1),'納品書明細F-15'!$Q$9:$Q$297)</f>
        <v>0</v>
      </c>
      <c r="AA23" s="345"/>
      <c r="AB23" s="122"/>
      <c r="AC23" s="128"/>
      <c r="AD23" s="345"/>
      <c r="AE23" s="126">
        <f>COUNTIF('納品書明細F-15'!$D$9:$D$297,CONCATENATE(VLOOKUP(Y$5,$G$1:$H$4,2,FALSE),$E23,9,1,1))</f>
        <v>0</v>
      </c>
      <c r="AF23" s="433">
        <f>SUMIF('納品書明細F-15'!$C$9:$C$297,CONCATENATE(VLOOKUP(Y$5,$G$1:$H$4,2,FALSE),$E23,9,1),'納品書明細F-15'!$Q$9:$Q$297)</f>
        <v>0</v>
      </c>
    </row>
    <row r="24" spans="1:32">
      <c r="A24" s="474" t="str">
        <f>IF(SUMIFS($G24:$AF24,$G$8:$AF$8,"金額",$G24:$AF24,"&gt;0")-SUMIFS($G24:$AF24,$G$8:$AF$8,"金額",$G24:$AF24,"&lt;0")&lt;=0,"",MAX($A$8:$A23)+1)</f>
        <v/>
      </c>
      <c r="B24" s="802"/>
      <c r="C24" s="245" t="str">
        <f t="shared" si="0"/>
        <v>商品</v>
      </c>
      <c r="D24" s="245">
        <v>16</v>
      </c>
      <c r="E24" s="590" t="str">
        <f>IF($F24&lt;&gt;"",INDEX(ﾏｽﾀ!$D$8:$D$124,MATCH(INDEX(ﾏｽﾀ!$N$8:$N$124,MATCH($F24,ﾏｽﾀ!$O$8:$O$124,0)),ﾏｽﾀ!$B$8:$B$124,0))&amp;"","")</f>
        <v>51000</v>
      </c>
      <c r="F24" s="589" t="str">
        <f>ﾏｽﾀ!$R23&amp;""</f>
        <v>株式会社 アートプレスト　/　3100</v>
      </c>
      <c r="G24" s="133">
        <f>COUNTIF('納品書明細F-15'!$D$9:$D$297,CONCATENATE(VLOOKUP(G$5,$G$1:$H$4,2,FALSE),$E24,1,1,1))</f>
        <v>0</v>
      </c>
      <c r="H24" s="127">
        <f>SUMIF('納品書明細F-15'!$C$9:$C$297,CONCATENATE(VLOOKUP(G$5,$G$1:$H$4,2,FALSE),$E24,1,1),'納品書明細F-15'!$Q$9:$Q$297)</f>
        <v>0</v>
      </c>
      <c r="I24" s="345"/>
      <c r="J24" s="122"/>
      <c r="K24" s="359"/>
      <c r="L24" s="345"/>
      <c r="M24" s="126">
        <f>COUNTIF('納品書明細F-15'!$D$9:$D$297,CONCATENATE(VLOOKUP(G$5,$G$1:$H$4,2,FALSE),$E24,9,1,1))</f>
        <v>0</v>
      </c>
      <c r="N24" s="432">
        <f>SUMIF('納品書明細F-15'!$C$9:$C$297,CONCATENATE(VLOOKUP(G$5,$G$1:$H$4,2,FALSE),$E24,9,1),'納品書明細F-15'!$Q$9:$Q$297)</f>
        <v>0</v>
      </c>
      <c r="O24" s="69"/>
      <c r="P24" s="133">
        <f>COUNTIF('納品書明細F-15'!$D$9:$D$297,CONCATENATE(VLOOKUP(P$5,$G$1:$H$4,2,FALSE),$E24,1,1,1))</f>
        <v>0</v>
      </c>
      <c r="Q24" s="161">
        <f>SUMIF('納品書明細F-15'!$C$9:$C$297,CONCATENATE(VLOOKUP(P$5,$G$1:$H$4,2,FALSE),$E24,1,1),'納品書明細F-15'!$Q$9:$Q$297)</f>
        <v>0</v>
      </c>
      <c r="R24" s="345"/>
      <c r="S24" s="122"/>
      <c r="T24" s="128"/>
      <c r="U24" s="345"/>
      <c r="V24" s="126">
        <f>COUNTIF('納品書明細F-15'!$D$9:$D$297,CONCATENATE(VLOOKUP(P$5,$G$1:$H$4,2,FALSE),$E24,9,1,1))</f>
        <v>0</v>
      </c>
      <c r="W24" s="433">
        <f>SUMIF('納品書明細F-15'!$C$9:$C$297,CONCATENATE(VLOOKUP(P$5,$G$1:$H$4,2,FALSE),$E24,9,1),'納品書明細F-15'!$Q$9:$Q$297)</f>
        <v>0</v>
      </c>
      <c r="X24" s="69"/>
      <c r="Y24" s="133">
        <f>COUNTIF('納品書明細F-15'!$D$9:$D$297,CONCATENATE(VLOOKUP(Y$5,$G$1:$H$4,2,FALSE),$E24,1,1,1))</f>
        <v>0</v>
      </c>
      <c r="Z24" s="161">
        <f>SUMIF('納品書明細F-15'!$C$9:$C$297,CONCATENATE(VLOOKUP(Y$5,$G$1:$H$4,2,FALSE),$E24,1,1),'納品書明細F-15'!$Q$9:$Q$297)</f>
        <v>0</v>
      </c>
      <c r="AA24" s="345"/>
      <c r="AB24" s="122"/>
      <c r="AC24" s="128"/>
      <c r="AD24" s="345"/>
      <c r="AE24" s="126">
        <f>COUNTIF('納品書明細F-15'!$D$9:$D$297,CONCATENATE(VLOOKUP(Y$5,$G$1:$H$4,2,FALSE),$E24,9,1,1))</f>
        <v>0</v>
      </c>
      <c r="AF24" s="433">
        <f>SUMIF('納品書明細F-15'!$C$9:$C$297,CONCATENATE(VLOOKUP(Y$5,$G$1:$H$4,2,FALSE),$E24,9,1),'納品書明細F-15'!$Q$9:$Q$297)</f>
        <v>0</v>
      </c>
    </row>
    <row r="25" spans="1:32">
      <c r="A25" s="474" t="str">
        <f>IF(SUMIFS($G25:$AF25,$G$8:$AF$8,"金額",$G25:$AF25,"&gt;0")-SUMIFS($G25:$AF25,$G$8:$AF$8,"金額",$G25:$AF25,"&lt;0")&lt;=0,"",MAX($A$8:$A24)+1)</f>
        <v/>
      </c>
      <c r="B25" s="802"/>
      <c r="C25" s="245" t="str">
        <f t="shared" si="0"/>
        <v>商品</v>
      </c>
      <c r="D25" s="245">
        <v>17</v>
      </c>
      <c r="E25" s="590" t="str">
        <f>IF($F25&lt;&gt;"",INDEX(ﾏｽﾀ!$D$8:$D$124,MATCH(INDEX(ﾏｽﾀ!$N$8:$N$124,MATCH($F25,ﾏｽﾀ!$O$8:$O$124,0)),ﾏｽﾀ!$B$8:$B$124,0))&amp;"","")</f>
        <v>53000</v>
      </c>
      <c r="F25" s="589" t="str">
        <f>ﾏｽﾀ!$R24&amp;""</f>
        <v>株式会社エムアイシー</v>
      </c>
      <c r="G25" s="133">
        <f>COUNTIF('納品書明細F-15'!$D$9:$D$297,CONCATENATE(VLOOKUP(G$5,$G$1:$H$4,2,FALSE),$E25,1,1,1))</f>
        <v>0</v>
      </c>
      <c r="H25" s="127">
        <f>SUMIF('納品書明細F-15'!$C$9:$C$297,CONCATENATE(VLOOKUP(G$5,$G$1:$H$4,2,FALSE),$E25,1,1),'納品書明細F-15'!$Q$9:$Q$297)</f>
        <v>0</v>
      </c>
      <c r="I25" s="345"/>
      <c r="J25" s="122"/>
      <c r="K25" s="359"/>
      <c r="L25" s="345"/>
      <c r="M25" s="126">
        <f>COUNTIF('納品書明細F-15'!$D$9:$D$297,CONCATENATE(VLOOKUP(G$5,$G$1:$H$4,2,FALSE),$E25,9,1,1))</f>
        <v>0</v>
      </c>
      <c r="N25" s="432">
        <f>SUMIF('納品書明細F-15'!$C$9:$C$297,CONCATENATE(VLOOKUP(G$5,$G$1:$H$4,2,FALSE),$E25,9,1),'納品書明細F-15'!$Q$9:$Q$297)</f>
        <v>0</v>
      </c>
      <c r="O25" s="69"/>
      <c r="P25" s="133">
        <f>COUNTIF('納品書明細F-15'!$D$9:$D$297,CONCATENATE(VLOOKUP(P$5,$G$1:$H$4,2,FALSE),$E25,1,1,1))</f>
        <v>0</v>
      </c>
      <c r="Q25" s="161">
        <f>SUMIF('納品書明細F-15'!$C$9:$C$297,CONCATENATE(VLOOKUP(P$5,$G$1:$H$4,2,FALSE),$E25,1,1),'納品書明細F-15'!$Q$9:$Q$297)</f>
        <v>0</v>
      </c>
      <c r="R25" s="345"/>
      <c r="S25" s="122"/>
      <c r="T25" s="128"/>
      <c r="U25" s="345"/>
      <c r="V25" s="126">
        <f>COUNTIF('納品書明細F-15'!$D$9:$D$297,CONCATENATE(VLOOKUP(P$5,$G$1:$H$4,2,FALSE),$E25,9,1,1))</f>
        <v>0</v>
      </c>
      <c r="W25" s="433">
        <f>SUMIF('納品書明細F-15'!$C$9:$C$297,CONCATENATE(VLOOKUP(P$5,$G$1:$H$4,2,FALSE),$E25,9,1),'納品書明細F-15'!$Q$9:$Q$297)</f>
        <v>0</v>
      </c>
      <c r="X25" s="69"/>
      <c r="Y25" s="133">
        <f>COUNTIF('納品書明細F-15'!$D$9:$D$297,CONCATENATE(VLOOKUP(Y$5,$G$1:$H$4,2,FALSE),$E25,1,1,1))</f>
        <v>0</v>
      </c>
      <c r="Z25" s="161">
        <f>SUMIF('納品書明細F-15'!$C$9:$C$297,CONCATENATE(VLOOKUP(Y$5,$G$1:$H$4,2,FALSE),$E25,1,1),'納品書明細F-15'!$Q$9:$Q$297)</f>
        <v>0</v>
      </c>
      <c r="AA25" s="345"/>
      <c r="AB25" s="122"/>
      <c r="AC25" s="128"/>
      <c r="AD25" s="345"/>
      <c r="AE25" s="126">
        <f>COUNTIF('納品書明細F-15'!$D$9:$D$297,CONCATENATE(VLOOKUP(Y$5,$G$1:$H$4,2,FALSE),$E25,9,1,1))</f>
        <v>0</v>
      </c>
      <c r="AF25" s="433">
        <f>SUMIF('納品書明細F-15'!$C$9:$C$297,CONCATENATE(VLOOKUP(Y$5,$G$1:$H$4,2,FALSE),$E25,9,1),'納品書明細F-15'!$Q$9:$Q$297)</f>
        <v>0</v>
      </c>
    </row>
    <row r="26" spans="1:32">
      <c r="A26" s="474" t="str">
        <f>IF(SUMIFS($G26:$AF26,$G$8:$AF$8,"金額",$G26:$AF26,"&gt;0")-SUMIFS($G26:$AF26,$G$8:$AF$8,"金額",$G26:$AF26,"&lt;0")&lt;=0,"",MAX($A$8:$A25)+1)</f>
        <v/>
      </c>
      <c r="B26" s="802"/>
      <c r="C26" s="245" t="str">
        <f t="shared" si="0"/>
        <v>商品</v>
      </c>
      <c r="D26" s="245">
        <v>18</v>
      </c>
      <c r="E26" s="590" t="str">
        <f>IF($F26&lt;&gt;"",INDEX(ﾏｽﾀ!$D$8:$D$124,MATCH(INDEX(ﾏｽﾀ!$N$8:$N$124,MATCH($F26,ﾏｽﾀ!$O$8:$O$124,0)),ﾏｽﾀ!$B$8:$B$124,0))&amp;"","")</f>
        <v>55000</v>
      </c>
      <c r="F26" s="589" t="str">
        <f>ﾏｽﾀ!$R25&amp;""</f>
        <v>株式会社ティーケー・ホールディングス　/　SPチーム</v>
      </c>
      <c r="G26" s="133">
        <f>COUNTIF('納品書明細F-15'!$D$9:$D$297,CONCATENATE(VLOOKUP(G$5,$G$1:$H$4,2,FALSE),$E26,1,1,1))</f>
        <v>0</v>
      </c>
      <c r="H26" s="127">
        <f>SUMIF('納品書明細F-15'!$C$9:$C$297,CONCATENATE(VLOOKUP(G$5,$G$1:$H$4,2,FALSE),$E26,1,1),'納品書明細F-15'!$Q$9:$Q$297)</f>
        <v>0</v>
      </c>
      <c r="I26" s="345"/>
      <c r="J26" s="122"/>
      <c r="K26" s="359"/>
      <c r="L26" s="345"/>
      <c r="M26" s="126">
        <f>COUNTIF('納品書明細F-15'!$D$9:$D$297,CONCATENATE(VLOOKUP(G$5,$G$1:$H$4,2,FALSE),$E26,9,1,1))</f>
        <v>0</v>
      </c>
      <c r="N26" s="432">
        <f>SUMIF('納品書明細F-15'!$C$9:$C$297,CONCATENATE(VLOOKUP(G$5,$G$1:$H$4,2,FALSE),$E26,9,1),'納品書明細F-15'!$Q$9:$Q$297)</f>
        <v>0</v>
      </c>
      <c r="O26" s="69"/>
      <c r="P26" s="133">
        <f>COUNTIF('納品書明細F-15'!$D$9:$D$297,CONCATENATE(VLOOKUP(P$5,$G$1:$H$4,2,FALSE),$E26,1,1,1))</f>
        <v>0</v>
      </c>
      <c r="Q26" s="161">
        <f>SUMIF('納品書明細F-15'!$C$9:$C$297,CONCATENATE(VLOOKUP(P$5,$G$1:$H$4,2,FALSE),$E26,1,1),'納品書明細F-15'!$Q$9:$Q$297)</f>
        <v>0</v>
      </c>
      <c r="R26" s="345"/>
      <c r="S26" s="122"/>
      <c r="T26" s="128"/>
      <c r="U26" s="345"/>
      <c r="V26" s="126">
        <f>COUNTIF('納品書明細F-15'!$D$9:$D$297,CONCATENATE(VLOOKUP(P$5,$G$1:$H$4,2,FALSE),$E26,9,1,1))</f>
        <v>0</v>
      </c>
      <c r="W26" s="433">
        <f>SUMIF('納品書明細F-15'!$C$9:$C$297,CONCATENATE(VLOOKUP(P$5,$G$1:$H$4,2,FALSE),$E26,9,1),'納品書明細F-15'!$Q$9:$Q$297)</f>
        <v>0</v>
      </c>
      <c r="X26" s="69"/>
      <c r="Y26" s="133">
        <f>COUNTIF('納品書明細F-15'!$D$9:$D$297,CONCATENATE(VLOOKUP(Y$5,$G$1:$H$4,2,FALSE),$E26,1,1,1))</f>
        <v>0</v>
      </c>
      <c r="Z26" s="161">
        <f>SUMIF('納品書明細F-15'!$C$9:$C$297,CONCATENATE(VLOOKUP(Y$5,$G$1:$H$4,2,FALSE),$E26,1,1),'納品書明細F-15'!$Q$9:$Q$297)</f>
        <v>0</v>
      </c>
      <c r="AA26" s="345"/>
      <c r="AB26" s="122"/>
      <c r="AC26" s="128"/>
      <c r="AD26" s="345"/>
      <c r="AE26" s="126">
        <f>COUNTIF('納品書明細F-15'!$D$9:$D$297,CONCATENATE(VLOOKUP(Y$5,$G$1:$H$4,2,FALSE),$E26,9,1,1))</f>
        <v>0</v>
      </c>
      <c r="AF26" s="433">
        <f>SUMIF('納品書明細F-15'!$C$9:$C$297,CONCATENATE(VLOOKUP(Y$5,$G$1:$H$4,2,FALSE),$E26,9,1),'納品書明細F-15'!$Q$9:$Q$297)</f>
        <v>0</v>
      </c>
    </row>
    <row r="27" spans="1:32">
      <c r="A27" s="474">
        <f>IF(SUMIFS($G27:$AF27,$G$8:$AF$8,"金額",$G27:$AF27,"&gt;0")-SUMIFS($G27:$AF27,$G$8:$AF$8,"金額",$G27:$AF27,"&lt;0")&lt;=0,"",MAX($A$8:$A26)+1)</f>
        <v>7</v>
      </c>
      <c r="B27" s="802"/>
      <c r="C27" s="245" t="str">
        <f t="shared" si="0"/>
        <v>商品7</v>
      </c>
      <c r="D27" s="245">
        <v>19</v>
      </c>
      <c r="E27" s="590" t="str">
        <f>IF($F27&lt;&gt;"",INDEX(ﾏｽﾀ!$D$8:$D$124,MATCH(INDEX(ﾏｽﾀ!$N$8:$N$124,MATCH($F27,ﾏｽﾀ!$O$8:$O$124,0)),ﾏｽﾀ!$B$8:$B$124,0))&amp;"","")</f>
        <v>56000</v>
      </c>
      <c r="F27" s="589" t="str">
        <f>ﾏｽﾀ!$R26&amp;""</f>
        <v>株式会社ティーケー・ホールディングス　/　5000</v>
      </c>
      <c r="G27" s="133">
        <f>COUNTIF('納品書明細F-15'!$D$9:$D$297,CONCATENATE(VLOOKUP(G$5,$G$1:$H$4,2,FALSE),$E27,1,1,1))</f>
        <v>1</v>
      </c>
      <c r="H27" s="127">
        <f>SUMIF('納品書明細F-15'!$C$9:$C$297,CONCATENATE(VLOOKUP(G$5,$G$1:$H$4,2,FALSE),$E27,1,1),'納品書明細F-15'!$Q$9:$Q$297)</f>
        <v>1056000</v>
      </c>
      <c r="I27" s="345"/>
      <c r="J27" s="122"/>
      <c r="K27" s="359"/>
      <c r="L27" s="345"/>
      <c r="M27" s="126">
        <f>COUNTIF('納品書明細F-15'!$D$9:$D$297,CONCATENATE(VLOOKUP(G$5,$G$1:$H$4,2,FALSE),$E27,9,1,1))</f>
        <v>0</v>
      </c>
      <c r="N27" s="432">
        <f>SUMIF('納品書明細F-15'!$C$9:$C$297,CONCATENATE(VLOOKUP(G$5,$G$1:$H$4,2,FALSE),$E27,9,1),'納品書明細F-15'!$Q$9:$Q$297)</f>
        <v>0</v>
      </c>
      <c r="O27" s="69"/>
      <c r="P27" s="133">
        <f>COUNTIF('納品書明細F-15'!$D$9:$D$297,CONCATENATE(VLOOKUP(P$5,$G$1:$H$4,2,FALSE),$E27,1,1,1))</f>
        <v>0</v>
      </c>
      <c r="Q27" s="161">
        <f>SUMIF('納品書明細F-15'!$C$9:$C$297,CONCATENATE(VLOOKUP(P$5,$G$1:$H$4,2,FALSE),$E27,1,1),'納品書明細F-15'!$Q$9:$Q$297)</f>
        <v>0</v>
      </c>
      <c r="R27" s="345"/>
      <c r="S27" s="122"/>
      <c r="T27" s="128"/>
      <c r="U27" s="345"/>
      <c r="V27" s="126">
        <f>COUNTIF('納品書明細F-15'!$D$9:$D$297,CONCATENATE(VLOOKUP(P$5,$G$1:$H$4,2,FALSE),$E27,9,1,1))</f>
        <v>0</v>
      </c>
      <c r="W27" s="433">
        <f>SUMIF('納品書明細F-15'!$C$9:$C$297,CONCATENATE(VLOOKUP(P$5,$G$1:$H$4,2,FALSE),$E27,9,1),'納品書明細F-15'!$Q$9:$Q$297)</f>
        <v>0</v>
      </c>
      <c r="X27" s="69"/>
      <c r="Y27" s="133">
        <f>COUNTIF('納品書明細F-15'!$D$9:$D$297,CONCATENATE(VLOOKUP(Y$5,$G$1:$H$4,2,FALSE),$E27,1,1,1))</f>
        <v>0</v>
      </c>
      <c r="Z27" s="161">
        <f>SUMIF('納品書明細F-15'!$C$9:$C$297,CONCATENATE(VLOOKUP(Y$5,$G$1:$H$4,2,FALSE),$E27,1,1),'納品書明細F-15'!$Q$9:$Q$297)</f>
        <v>0</v>
      </c>
      <c r="AA27" s="345"/>
      <c r="AB27" s="122"/>
      <c r="AC27" s="128"/>
      <c r="AD27" s="345"/>
      <c r="AE27" s="126">
        <f>COUNTIF('納品書明細F-15'!$D$9:$D$297,CONCATENATE(VLOOKUP(Y$5,$G$1:$H$4,2,FALSE),$E27,9,1,1))</f>
        <v>0</v>
      </c>
      <c r="AF27" s="433">
        <f>SUMIF('納品書明細F-15'!$C$9:$C$297,CONCATENATE(VLOOKUP(Y$5,$G$1:$H$4,2,FALSE),$E27,9,1),'納品書明細F-15'!$Q$9:$Q$297)</f>
        <v>0</v>
      </c>
    </row>
    <row r="28" spans="1:32">
      <c r="A28" s="474" t="str">
        <f>IF(SUMIFS($G28:$AF28,$G$8:$AF$8,"金額",$G28:$AF28,"&gt;0")-SUMIFS($G28:$AF28,$G$8:$AF$8,"金額",$G28:$AF28,"&lt;0")&lt;=0,"",MAX($A$8:$A27)+1)</f>
        <v/>
      </c>
      <c r="B28" s="802"/>
      <c r="C28" s="245" t="str">
        <f t="shared" si="0"/>
        <v>商品</v>
      </c>
      <c r="D28" s="245">
        <v>20</v>
      </c>
      <c r="E28" s="590" t="str">
        <f>IF($F28&lt;&gt;"",INDEX(ﾏｽﾀ!$D$8:$D$124,MATCH(INDEX(ﾏｽﾀ!$N$8:$N$124,MATCH($F28,ﾏｽﾀ!$O$8:$O$124,0)),ﾏｽﾀ!$B$8:$B$124,0))&amp;"","")</f>
        <v>57000</v>
      </c>
      <c r="F28" s="589" t="str">
        <f>ﾏｽﾀ!$R27&amp;""</f>
        <v>株式会社ティーケーホールディングス/経費</v>
      </c>
      <c r="G28" s="133">
        <f>COUNTIF('納品書明細F-15'!$D$9:$D$297,CONCATENATE(VLOOKUP(G$5,$G$1:$H$4,2,FALSE),$E28,1,1,1))</f>
        <v>0</v>
      </c>
      <c r="H28" s="127">
        <f>SUMIF('納品書明細F-15'!$C$9:$C$297,CONCATENATE(VLOOKUP(G$5,$G$1:$H$4,2,FALSE),$E28,1,1),'納品書明細F-15'!$Q$9:$Q$297)</f>
        <v>0</v>
      </c>
      <c r="I28" s="345"/>
      <c r="J28" s="122"/>
      <c r="K28" s="359"/>
      <c r="L28" s="345"/>
      <c r="M28" s="126">
        <f>COUNTIF('納品書明細F-15'!$D$9:$D$297,CONCATENATE(VLOOKUP(G$5,$G$1:$H$4,2,FALSE),$E28,9,1,1))</f>
        <v>0</v>
      </c>
      <c r="N28" s="432">
        <f>SUMIF('納品書明細F-15'!$C$9:$C$297,CONCATENATE(VLOOKUP(G$5,$G$1:$H$4,2,FALSE),$E28,9,1),'納品書明細F-15'!$Q$9:$Q$297)</f>
        <v>0</v>
      </c>
      <c r="O28" s="69"/>
      <c r="P28" s="133">
        <f>COUNTIF('納品書明細F-15'!$D$9:$D$297,CONCATENATE(VLOOKUP(P$5,$G$1:$H$4,2,FALSE),$E28,1,1,1))</f>
        <v>0</v>
      </c>
      <c r="Q28" s="161">
        <f>SUMIF('納品書明細F-15'!$C$9:$C$297,CONCATENATE(VLOOKUP(P$5,$G$1:$H$4,2,FALSE),$E28,1,1),'納品書明細F-15'!$Q$9:$Q$297)</f>
        <v>0</v>
      </c>
      <c r="R28" s="345"/>
      <c r="S28" s="122"/>
      <c r="T28" s="128"/>
      <c r="U28" s="345"/>
      <c r="V28" s="126">
        <f>COUNTIF('納品書明細F-15'!$D$9:$D$297,CONCATENATE(VLOOKUP(P$5,$G$1:$H$4,2,FALSE),$E28,9,1,1))</f>
        <v>0</v>
      </c>
      <c r="W28" s="433">
        <f>SUMIF('納品書明細F-15'!$C$9:$C$297,CONCATENATE(VLOOKUP(P$5,$G$1:$H$4,2,FALSE),$E28,9,1),'納品書明細F-15'!$Q$9:$Q$297)</f>
        <v>0</v>
      </c>
      <c r="X28" s="69"/>
      <c r="Y28" s="133">
        <f>COUNTIF('納品書明細F-15'!$D$9:$D$297,CONCATENATE(VLOOKUP(Y$5,$G$1:$H$4,2,FALSE),$E28,1,1,1))</f>
        <v>0</v>
      </c>
      <c r="Z28" s="161">
        <f>SUMIF('納品書明細F-15'!$C$9:$C$297,CONCATENATE(VLOOKUP(Y$5,$G$1:$H$4,2,FALSE),$E28,1,1),'納品書明細F-15'!$Q$9:$Q$297)</f>
        <v>0</v>
      </c>
      <c r="AA28" s="345"/>
      <c r="AB28" s="122"/>
      <c r="AC28" s="128"/>
      <c r="AD28" s="345"/>
      <c r="AE28" s="126">
        <f>COUNTIF('納品書明細F-15'!$D$9:$D$297,CONCATENATE(VLOOKUP(Y$5,$G$1:$H$4,2,FALSE),$E28,9,1,1))</f>
        <v>0</v>
      </c>
      <c r="AF28" s="433">
        <f>SUMIF('納品書明細F-15'!$C$9:$C$297,CONCATENATE(VLOOKUP(Y$5,$G$1:$H$4,2,FALSE),$E28,9,1),'納品書明細F-15'!$Q$9:$Q$297)</f>
        <v>0</v>
      </c>
    </row>
    <row r="29" spans="1:32">
      <c r="A29" s="474" t="str">
        <f>IF(SUMIFS($G29:$AF29,$G$8:$AF$8,"金額",$G29:$AF29,"&gt;0")-SUMIFS($G29:$AF29,$G$8:$AF$8,"金額",$G29:$AF29,"&lt;0")&lt;=0,"",MAX($A$8:$A28)+1)</f>
        <v/>
      </c>
      <c r="B29" s="802"/>
      <c r="C29" s="245" t="str">
        <f t="shared" si="0"/>
        <v>商品</v>
      </c>
      <c r="D29" s="245">
        <v>21</v>
      </c>
      <c r="E29" s="590" t="str">
        <f>IF($F29&lt;&gt;"",INDEX(ﾏｽﾀ!$D$8:$D$124,MATCH(INDEX(ﾏｽﾀ!$N$8:$N$124,MATCH($F29,ﾏｽﾀ!$O$8:$O$124,0)),ﾏｽﾀ!$B$8:$B$124,0))&amp;"","")</f>
        <v>58000</v>
      </c>
      <c r="F29" s="589" t="str">
        <f>ﾏｽﾀ!$R28&amp;""</f>
        <v>バンダイビジュアル株式会社</v>
      </c>
      <c r="G29" s="133">
        <f>COUNTIF('納品書明細F-15'!$D$9:$D$297,CONCATENATE(VLOOKUP(G$5,$G$1:$H$4,2,FALSE),$E29,1,1,1))</f>
        <v>0</v>
      </c>
      <c r="H29" s="127">
        <f>SUMIF('納品書明細F-15'!$C$9:$C$297,CONCATENATE(VLOOKUP(G$5,$G$1:$H$4,2,FALSE),$E29,1,1),'納品書明細F-15'!$Q$9:$Q$297)</f>
        <v>0</v>
      </c>
      <c r="I29" s="345"/>
      <c r="J29" s="122"/>
      <c r="K29" s="359"/>
      <c r="L29" s="345"/>
      <c r="M29" s="126">
        <f>COUNTIF('納品書明細F-15'!$D$9:$D$297,CONCATENATE(VLOOKUP(G$5,$G$1:$H$4,2,FALSE),$E29,9,1,1))</f>
        <v>0</v>
      </c>
      <c r="N29" s="432">
        <f>SUMIF('納品書明細F-15'!$C$9:$C$297,CONCATENATE(VLOOKUP(G$5,$G$1:$H$4,2,FALSE),$E29,9,1),'納品書明細F-15'!$Q$9:$Q$297)</f>
        <v>0</v>
      </c>
      <c r="O29" s="69"/>
      <c r="P29" s="133">
        <f>COUNTIF('納品書明細F-15'!$D$9:$D$297,CONCATENATE(VLOOKUP(P$5,$G$1:$H$4,2,FALSE),$E29,1,1,1))</f>
        <v>0</v>
      </c>
      <c r="Q29" s="161">
        <f>SUMIF('納品書明細F-15'!$C$9:$C$297,CONCATENATE(VLOOKUP(P$5,$G$1:$H$4,2,FALSE),$E29,1,1),'納品書明細F-15'!$Q$9:$Q$297)</f>
        <v>0</v>
      </c>
      <c r="R29" s="345"/>
      <c r="S29" s="122"/>
      <c r="T29" s="128"/>
      <c r="U29" s="345"/>
      <c r="V29" s="126">
        <f>COUNTIF('納品書明細F-15'!$D$9:$D$297,CONCATENATE(VLOOKUP(P$5,$G$1:$H$4,2,FALSE),$E29,9,1,1))</f>
        <v>0</v>
      </c>
      <c r="W29" s="433">
        <f>SUMIF('納品書明細F-15'!$C$9:$C$297,CONCATENATE(VLOOKUP(P$5,$G$1:$H$4,2,FALSE),$E29,9,1),'納品書明細F-15'!$Q$9:$Q$297)</f>
        <v>0</v>
      </c>
      <c r="X29" s="69"/>
      <c r="Y29" s="133">
        <f>COUNTIF('納品書明細F-15'!$D$9:$D$297,CONCATENATE(VLOOKUP(Y$5,$G$1:$H$4,2,FALSE),$E29,1,1,1))</f>
        <v>0</v>
      </c>
      <c r="Z29" s="161">
        <f>SUMIF('納品書明細F-15'!$C$9:$C$297,CONCATENATE(VLOOKUP(Y$5,$G$1:$H$4,2,FALSE),$E29,1,1),'納品書明細F-15'!$Q$9:$Q$297)</f>
        <v>0</v>
      </c>
      <c r="AA29" s="345"/>
      <c r="AB29" s="122"/>
      <c r="AC29" s="128"/>
      <c r="AD29" s="345"/>
      <c r="AE29" s="126">
        <f>COUNTIF('納品書明細F-15'!$D$9:$D$297,CONCATENATE(VLOOKUP(Y$5,$G$1:$H$4,2,FALSE),$E29,9,1,1))</f>
        <v>0</v>
      </c>
      <c r="AF29" s="433">
        <f>SUMIF('納品書明細F-15'!$C$9:$C$297,CONCATENATE(VLOOKUP(Y$5,$G$1:$H$4,2,FALSE),$E29,9,1),'納品書明細F-15'!$Q$9:$Q$297)</f>
        <v>0</v>
      </c>
    </row>
    <row r="30" spans="1:32">
      <c r="A30" s="474" t="str">
        <f>IF(SUMIFS($G30:$AF30,$G$8:$AF$8,"金額",$G30:$AF30,"&gt;0")-SUMIFS($G30:$AF30,$G$8:$AF$8,"金額",$G30:$AF30,"&lt;0")&lt;=0,"",MAX($A$8:$A29)+1)</f>
        <v/>
      </c>
      <c r="B30" s="802"/>
      <c r="C30" s="245" t="str">
        <f t="shared" si="0"/>
        <v>商品</v>
      </c>
      <c r="D30" s="245">
        <v>22</v>
      </c>
      <c r="E30" s="590" t="str">
        <f>IF($F30&lt;&gt;"",INDEX(ﾏｽﾀ!$D$8:$D$124,MATCH(INDEX(ﾏｽﾀ!$N$8:$N$124,MATCH($F30,ﾏｽﾀ!$O$8:$O$124,0)),ﾏｽﾀ!$B$8:$B$124,0))&amp;"","")</f>
        <v>59000</v>
      </c>
      <c r="F30" s="589" t="str">
        <f>ﾏｽﾀ!$R29&amp;""</f>
        <v>株式会社フジトーイ</v>
      </c>
      <c r="G30" s="133">
        <f>COUNTIF('納品書明細F-15'!$D$9:$D$297,CONCATENATE(VLOOKUP(G$5,$G$1:$H$4,2,FALSE),$E30,1,1,1))</f>
        <v>0</v>
      </c>
      <c r="H30" s="127">
        <f>SUMIF('納品書明細F-15'!$C$9:$C$297,CONCATENATE(VLOOKUP(G$5,$G$1:$H$4,2,FALSE),$E30,1,1),'納品書明細F-15'!$Q$9:$Q$297)</f>
        <v>0</v>
      </c>
      <c r="I30" s="345"/>
      <c r="J30" s="122"/>
      <c r="K30" s="359"/>
      <c r="L30" s="345"/>
      <c r="M30" s="126">
        <f>COUNTIF('納品書明細F-15'!$D$9:$D$297,CONCATENATE(VLOOKUP(G$5,$G$1:$H$4,2,FALSE),$E30,9,1,1))</f>
        <v>0</v>
      </c>
      <c r="N30" s="432">
        <f>SUMIF('納品書明細F-15'!$C$9:$C$297,CONCATENATE(VLOOKUP(G$5,$G$1:$H$4,2,FALSE),$E30,9,1),'納品書明細F-15'!$Q$9:$Q$297)</f>
        <v>0</v>
      </c>
      <c r="O30" s="69"/>
      <c r="P30" s="133">
        <f>COUNTIF('納品書明細F-15'!$D$9:$D$297,CONCATENATE(VLOOKUP(P$5,$G$1:$H$4,2,FALSE),$E30,1,1,1))</f>
        <v>0</v>
      </c>
      <c r="Q30" s="161">
        <f>SUMIF('納品書明細F-15'!$C$9:$C$297,CONCATENATE(VLOOKUP(P$5,$G$1:$H$4,2,FALSE),$E30,1,1),'納品書明細F-15'!$Q$9:$Q$297)</f>
        <v>0</v>
      </c>
      <c r="R30" s="345"/>
      <c r="S30" s="122"/>
      <c r="T30" s="128"/>
      <c r="U30" s="345"/>
      <c r="V30" s="126">
        <f>COUNTIF('納品書明細F-15'!$D$9:$D$297,CONCATENATE(VLOOKUP(P$5,$G$1:$H$4,2,FALSE),$E30,9,1,1))</f>
        <v>0</v>
      </c>
      <c r="W30" s="433">
        <f>SUMIF('納品書明細F-15'!$C$9:$C$297,CONCATENATE(VLOOKUP(P$5,$G$1:$H$4,2,FALSE),$E30,9,1),'納品書明細F-15'!$Q$9:$Q$297)</f>
        <v>0</v>
      </c>
      <c r="X30" s="69"/>
      <c r="Y30" s="133">
        <f>COUNTIF('納品書明細F-15'!$D$9:$D$297,CONCATENATE(VLOOKUP(Y$5,$G$1:$H$4,2,FALSE),$E30,1,1,1))</f>
        <v>0</v>
      </c>
      <c r="Z30" s="161">
        <f>SUMIF('納品書明細F-15'!$C$9:$C$297,CONCATENATE(VLOOKUP(Y$5,$G$1:$H$4,2,FALSE),$E30,1,1),'納品書明細F-15'!$Q$9:$Q$297)</f>
        <v>0</v>
      </c>
      <c r="AA30" s="345"/>
      <c r="AB30" s="122"/>
      <c r="AC30" s="128"/>
      <c r="AD30" s="345"/>
      <c r="AE30" s="126">
        <f>COUNTIF('納品書明細F-15'!$D$9:$D$297,CONCATENATE(VLOOKUP(Y$5,$G$1:$H$4,2,FALSE),$E30,9,1,1))</f>
        <v>0</v>
      </c>
      <c r="AF30" s="433">
        <f>SUMIF('納品書明細F-15'!$C$9:$C$297,CONCATENATE(VLOOKUP(Y$5,$G$1:$H$4,2,FALSE),$E30,9,1),'納品書明細F-15'!$Q$9:$Q$297)</f>
        <v>0</v>
      </c>
    </row>
    <row r="31" spans="1:32">
      <c r="A31" s="474" t="str">
        <f>IF(SUMIFS($G31:$AF31,$G$8:$AF$8,"金額",$G31:$AF31,"&gt;0")-SUMIFS($G31:$AF31,$G$8:$AF$8,"金額",$G31:$AF31,"&lt;0")&lt;=0,"",MAX($A$8:$A30)+1)</f>
        <v/>
      </c>
      <c r="B31" s="802"/>
      <c r="C31" s="245" t="str">
        <f t="shared" si="0"/>
        <v>商品</v>
      </c>
      <c r="D31" s="245">
        <v>23</v>
      </c>
      <c r="E31" s="590" t="str">
        <f>IF($F31&lt;&gt;"",INDEX(ﾏｽﾀ!$D$8:$D$124,MATCH(INDEX(ﾏｽﾀ!$N$8:$N$124,MATCH($F31,ﾏｽﾀ!$O$8:$O$124,0)),ﾏｽﾀ!$B$8:$B$124,0))&amp;"","")</f>
        <v>60000</v>
      </c>
      <c r="F31" s="589" t="str">
        <f>ﾏｽﾀ!$R30&amp;""</f>
        <v>株式会社プレジャーキャスト</v>
      </c>
      <c r="G31" s="133">
        <f>COUNTIF('納品書明細F-15'!$D$9:$D$297,CONCATENATE(VLOOKUP(G$5,$G$1:$H$4,2,FALSE),$E31,1,1,1))</f>
        <v>0</v>
      </c>
      <c r="H31" s="127">
        <f>SUMIF('納品書明細F-15'!$C$9:$C$297,CONCATENATE(VLOOKUP(G$5,$G$1:$H$4,2,FALSE),$E31,1,1),'納品書明細F-15'!$Q$9:$Q$297)</f>
        <v>0</v>
      </c>
      <c r="I31" s="345"/>
      <c r="J31" s="122"/>
      <c r="K31" s="359"/>
      <c r="L31" s="345"/>
      <c r="M31" s="126">
        <f>COUNTIF('納品書明細F-15'!$D$9:$D$297,CONCATENATE(VLOOKUP(G$5,$G$1:$H$4,2,FALSE),$E31,9,1,1))</f>
        <v>0</v>
      </c>
      <c r="N31" s="432">
        <f>SUMIF('納品書明細F-15'!$C$9:$C$297,CONCATENATE(VLOOKUP(G$5,$G$1:$H$4,2,FALSE),$E31,9,1),'納品書明細F-15'!$Q$9:$Q$297)</f>
        <v>0</v>
      </c>
      <c r="O31" s="69"/>
      <c r="P31" s="133">
        <f>COUNTIF('納品書明細F-15'!$D$9:$D$297,CONCATENATE(VLOOKUP(P$5,$G$1:$H$4,2,FALSE),$E31,1,1,1))</f>
        <v>0</v>
      </c>
      <c r="Q31" s="161">
        <f>SUMIF('納品書明細F-15'!$C$9:$C$297,CONCATENATE(VLOOKUP(P$5,$G$1:$H$4,2,FALSE),$E31,1,1),'納品書明細F-15'!$Q$9:$Q$297)</f>
        <v>0</v>
      </c>
      <c r="R31" s="345"/>
      <c r="S31" s="122"/>
      <c r="T31" s="128"/>
      <c r="U31" s="345"/>
      <c r="V31" s="126">
        <f>COUNTIF('納品書明細F-15'!$D$9:$D$297,CONCATENATE(VLOOKUP(P$5,$G$1:$H$4,2,FALSE),$E31,9,1,1))</f>
        <v>0</v>
      </c>
      <c r="W31" s="433">
        <f>SUMIF('納品書明細F-15'!$C$9:$C$297,CONCATENATE(VLOOKUP(P$5,$G$1:$H$4,2,FALSE),$E31,9,1),'納品書明細F-15'!$Q$9:$Q$297)</f>
        <v>0</v>
      </c>
      <c r="X31" s="69"/>
      <c r="Y31" s="133">
        <f>COUNTIF('納品書明細F-15'!$D$9:$D$297,CONCATENATE(VLOOKUP(Y$5,$G$1:$H$4,2,FALSE),$E31,1,1,1))</f>
        <v>0</v>
      </c>
      <c r="Z31" s="161">
        <f>SUMIF('納品書明細F-15'!$C$9:$C$297,CONCATENATE(VLOOKUP(Y$5,$G$1:$H$4,2,FALSE),$E31,1,1),'納品書明細F-15'!$Q$9:$Q$297)</f>
        <v>0</v>
      </c>
      <c r="AA31" s="345"/>
      <c r="AB31" s="122"/>
      <c r="AC31" s="128"/>
      <c r="AD31" s="345"/>
      <c r="AE31" s="126">
        <f>COUNTIF('納品書明細F-15'!$D$9:$D$297,CONCATENATE(VLOOKUP(Y$5,$G$1:$H$4,2,FALSE),$E31,9,1,1))</f>
        <v>0</v>
      </c>
      <c r="AF31" s="433">
        <f>SUMIF('納品書明細F-15'!$C$9:$C$297,CONCATENATE(VLOOKUP(Y$5,$G$1:$H$4,2,FALSE),$E31,9,1),'納品書明細F-15'!$Q$9:$Q$297)</f>
        <v>0</v>
      </c>
    </row>
    <row r="32" spans="1:32">
      <c r="A32" s="474" t="str">
        <f>IF(SUMIFS($G32:$AF32,$G$8:$AF$8,"金額",$G32:$AF32,"&gt;0")-SUMIFS($G32:$AF32,$G$8:$AF$8,"金額",$G32:$AF32,"&lt;0")&lt;=0,"",MAX($A$8:$A31)+1)</f>
        <v/>
      </c>
      <c r="B32" s="802"/>
      <c r="C32" s="245" t="str">
        <f t="shared" si="0"/>
        <v>商品</v>
      </c>
      <c r="D32" s="245">
        <v>24</v>
      </c>
      <c r="E32" s="590" t="str">
        <f>IF($F32&lt;&gt;"",INDEX(ﾏｽﾀ!$D$8:$D$124,MATCH(INDEX(ﾏｽﾀ!$N$8:$N$124,MATCH($F32,ﾏｽﾀ!$O$8:$O$124,0)),ﾏｽﾀ!$B$8:$B$124,0))&amp;"","")</f>
        <v>61000</v>
      </c>
      <c r="F32" s="589" t="str">
        <f>ﾏｽﾀ!$R31&amp;""</f>
        <v>株式会社アスキー・メディアワークス</v>
      </c>
      <c r="G32" s="133">
        <f>COUNTIF('納品書明細F-15'!$D$9:$D$297,CONCATENATE(VLOOKUP(G$5,$G$1:$H$4,2,FALSE),$E32,1,1,1))</f>
        <v>0</v>
      </c>
      <c r="H32" s="127">
        <f>SUMIF('納品書明細F-15'!$C$9:$C$297,CONCATENATE(VLOOKUP(G$5,$G$1:$H$4,2,FALSE),$E32,1,1),'納品書明細F-15'!$Q$9:$Q$297)</f>
        <v>0</v>
      </c>
      <c r="I32" s="345"/>
      <c r="J32" s="122"/>
      <c r="K32" s="359"/>
      <c r="L32" s="345"/>
      <c r="M32" s="126">
        <f>COUNTIF('納品書明細F-15'!$D$9:$D$297,CONCATENATE(VLOOKUP(G$5,$G$1:$H$4,2,FALSE),$E32,9,1,1))</f>
        <v>0</v>
      </c>
      <c r="N32" s="432">
        <f>SUMIF('納品書明細F-15'!$C$9:$C$297,CONCATENATE(VLOOKUP(G$5,$G$1:$H$4,2,FALSE),$E32,9,1),'納品書明細F-15'!$Q$9:$Q$297)</f>
        <v>0</v>
      </c>
      <c r="O32" s="69"/>
      <c r="P32" s="133">
        <f>COUNTIF('納品書明細F-15'!$D$9:$D$297,CONCATENATE(VLOOKUP(P$5,$G$1:$H$4,2,FALSE),$E32,1,1,1))</f>
        <v>0</v>
      </c>
      <c r="Q32" s="161">
        <f>SUMIF('納品書明細F-15'!$C$9:$C$297,CONCATENATE(VLOOKUP(P$5,$G$1:$H$4,2,FALSE),$E32,1,1),'納品書明細F-15'!$Q$9:$Q$297)</f>
        <v>0</v>
      </c>
      <c r="R32" s="345"/>
      <c r="S32" s="122"/>
      <c r="T32" s="128"/>
      <c r="U32" s="345"/>
      <c r="V32" s="126">
        <f>COUNTIF('納品書明細F-15'!$D$9:$D$297,CONCATENATE(VLOOKUP(P$5,$G$1:$H$4,2,FALSE),$E32,9,1,1))</f>
        <v>0</v>
      </c>
      <c r="W32" s="433">
        <f>SUMIF('納品書明細F-15'!$C$9:$C$297,CONCATENATE(VLOOKUP(P$5,$G$1:$H$4,2,FALSE),$E32,9,1),'納品書明細F-15'!$Q$9:$Q$297)</f>
        <v>0</v>
      </c>
      <c r="X32" s="69"/>
      <c r="Y32" s="133">
        <f>COUNTIF('納品書明細F-15'!$D$9:$D$297,CONCATENATE(VLOOKUP(Y$5,$G$1:$H$4,2,FALSE),$E32,1,1,1))</f>
        <v>0</v>
      </c>
      <c r="Z32" s="161">
        <f>SUMIF('納品書明細F-15'!$C$9:$C$297,CONCATENATE(VLOOKUP(Y$5,$G$1:$H$4,2,FALSE),$E32,1,1),'納品書明細F-15'!$Q$9:$Q$297)</f>
        <v>0</v>
      </c>
      <c r="AA32" s="345"/>
      <c r="AB32" s="122"/>
      <c r="AC32" s="128"/>
      <c r="AD32" s="345"/>
      <c r="AE32" s="126">
        <f>COUNTIF('納品書明細F-15'!$D$9:$D$297,CONCATENATE(VLOOKUP(Y$5,$G$1:$H$4,2,FALSE),$E32,9,1,1))</f>
        <v>0</v>
      </c>
      <c r="AF32" s="433">
        <f>SUMIF('納品書明細F-15'!$C$9:$C$297,CONCATENATE(VLOOKUP(Y$5,$G$1:$H$4,2,FALSE),$E32,9,1),'納品書明細F-15'!$Q$9:$Q$297)</f>
        <v>0</v>
      </c>
    </row>
    <row r="33" spans="1:32">
      <c r="A33" s="474" t="str">
        <f>IF(SUMIFS($G33:$AF33,$G$8:$AF$8,"金額",$G33:$AF33,"&gt;0")-SUMIFS($G33:$AF33,$G$8:$AF$8,"金額",$G33:$AF33,"&lt;0")&lt;=0,"",MAX($A$8:$A32)+1)</f>
        <v/>
      </c>
      <c r="B33" s="802"/>
      <c r="C33" s="245" t="str">
        <f t="shared" si="0"/>
        <v>商品</v>
      </c>
      <c r="D33" s="245">
        <v>25</v>
      </c>
      <c r="E33" s="590" t="str">
        <f>IF($F33&lt;&gt;"",INDEX(ﾏｽﾀ!$D$8:$D$124,MATCH(INDEX(ﾏｽﾀ!$N$8:$N$124,MATCH($F33,ﾏｽﾀ!$O$8:$O$124,0)),ﾏｽﾀ!$B$8:$B$124,0))&amp;"","")</f>
        <v>62000</v>
      </c>
      <c r="F33" s="589" t="str">
        <f>ﾏｽﾀ!$R32&amp;""</f>
        <v>サミー株式会社</v>
      </c>
      <c r="G33" s="133">
        <f>COUNTIF('納品書明細F-15'!$D$9:$D$297,CONCATENATE(VLOOKUP(G$5,$G$1:$H$4,2,FALSE),$E33,1,1,1))</f>
        <v>0</v>
      </c>
      <c r="H33" s="127">
        <f>SUMIF('納品書明細F-15'!$C$9:$C$297,CONCATENATE(VLOOKUP(G$5,$G$1:$H$4,2,FALSE),$E33,1,1),'納品書明細F-15'!$Q$9:$Q$297)</f>
        <v>0</v>
      </c>
      <c r="I33" s="345"/>
      <c r="J33" s="122"/>
      <c r="K33" s="359"/>
      <c r="L33" s="345"/>
      <c r="M33" s="126">
        <f>COUNTIF('納品書明細F-15'!$D$9:$D$297,CONCATENATE(VLOOKUP(G$5,$G$1:$H$4,2,FALSE),$E33,9,1,1))</f>
        <v>0</v>
      </c>
      <c r="N33" s="432">
        <f>SUMIF('納品書明細F-15'!$C$9:$C$297,CONCATENATE(VLOOKUP(G$5,$G$1:$H$4,2,FALSE),$E33,9,1),'納品書明細F-15'!$Q$9:$Q$297)</f>
        <v>0</v>
      </c>
      <c r="O33" s="69"/>
      <c r="P33" s="133">
        <f>COUNTIF('納品書明細F-15'!$D$9:$D$297,CONCATENATE(VLOOKUP(P$5,$G$1:$H$4,2,FALSE),$E33,1,1,1))</f>
        <v>0</v>
      </c>
      <c r="Q33" s="161">
        <f>SUMIF('納品書明細F-15'!$C$9:$C$297,CONCATENATE(VLOOKUP(P$5,$G$1:$H$4,2,FALSE),$E33,1,1),'納品書明細F-15'!$Q$9:$Q$297)</f>
        <v>0</v>
      </c>
      <c r="R33" s="345"/>
      <c r="S33" s="122"/>
      <c r="T33" s="128"/>
      <c r="U33" s="345"/>
      <c r="V33" s="126">
        <f>COUNTIF('納品書明細F-15'!$D$9:$D$297,CONCATENATE(VLOOKUP(P$5,$G$1:$H$4,2,FALSE),$E33,9,1,1))</f>
        <v>0</v>
      </c>
      <c r="W33" s="433">
        <f>SUMIF('納品書明細F-15'!$C$9:$C$297,CONCATENATE(VLOOKUP(P$5,$G$1:$H$4,2,FALSE),$E33,9,1),'納品書明細F-15'!$Q$9:$Q$297)</f>
        <v>0</v>
      </c>
      <c r="X33" s="69"/>
      <c r="Y33" s="133">
        <f>COUNTIF('納品書明細F-15'!$D$9:$D$297,CONCATENATE(VLOOKUP(Y$5,$G$1:$H$4,2,FALSE),$E33,1,1,1))</f>
        <v>0</v>
      </c>
      <c r="Z33" s="161">
        <f>SUMIF('納品書明細F-15'!$C$9:$C$297,CONCATENATE(VLOOKUP(Y$5,$G$1:$H$4,2,FALSE),$E33,1,1),'納品書明細F-15'!$Q$9:$Q$297)</f>
        <v>0</v>
      </c>
      <c r="AA33" s="345"/>
      <c r="AB33" s="122"/>
      <c r="AC33" s="128"/>
      <c r="AD33" s="345"/>
      <c r="AE33" s="126">
        <f>COUNTIF('納品書明細F-15'!$D$9:$D$297,CONCATENATE(VLOOKUP(Y$5,$G$1:$H$4,2,FALSE),$E33,9,1,1))</f>
        <v>0</v>
      </c>
      <c r="AF33" s="433">
        <f>SUMIF('納品書明細F-15'!$C$9:$C$297,CONCATENATE(VLOOKUP(Y$5,$G$1:$H$4,2,FALSE),$E33,9,1),'納品書明細F-15'!$Q$9:$Q$297)</f>
        <v>0</v>
      </c>
    </row>
    <row r="34" spans="1:32">
      <c r="A34" s="474" t="str">
        <f>IF(SUMIFS($G34:$AF34,$G$8:$AF$8,"金額",$G34:$AF34,"&gt;0")-SUMIFS($G34:$AF34,$G$8:$AF$8,"金額",$G34:$AF34,"&lt;0")&lt;=0,"",MAX($A$8:$A33)+1)</f>
        <v/>
      </c>
      <c r="B34" s="802"/>
      <c r="C34" s="245" t="str">
        <f t="shared" si="0"/>
        <v>商品</v>
      </c>
      <c r="D34" s="245">
        <v>26</v>
      </c>
      <c r="E34" s="590" t="str">
        <f>IF($F34&lt;&gt;"",INDEX(ﾏｽﾀ!$D$8:$D$124,MATCH(INDEX(ﾏｽﾀ!$N$8:$N$124,MATCH($F34,ﾏｽﾀ!$O$8:$O$124,0)),ﾏｽﾀ!$B$8:$B$124,0))&amp;"","")</f>
        <v>63000</v>
      </c>
      <c r="F34" s="589" t="str">
        <f>ﾏｽﾀ!$R33&amp;""</f>
        <v>ボークス株式会社</v>
      </c>
      <c r="G34" s="133">
        <f>COUNTIF('納品書明細F-15'!$D$9:$D$297,CONCATENATE(VLOOKUP(G$5,$G$1:$H$4,2,FALSE),$E34,1,1,1))</f>
        <v>0</v>
      </c>
      <c r="H34" s="127">
        <f>SUMIF('納品書明細F-15'!$C$9:$C$297,CONCATENATE(VLOOKUP(G$5,$G$1:$H$4,2,FALSE),$E34,1,1),'納品書明細F-15'!$Q$9:$Q$297)</f>
        <v>0</v>
      </c>
      <c r="I34" s="345"/>
      <c r="J34" s="122"/>
      <c r="K34" s="359"/>
      <c r="L34" s="345"/>
      <c r="M34" s="126">
        <f>COUNTIF('納品書明細F-15'!$D$9:$D$297,CONCATENATE(VLOOKUP(G$5,$G$1:$H$4,2,FALSE),$E34,9,1,1))</f>
        <v>0</v>
      </c>
      <c r="N34" s="432">
        <f>SUMIF('納品書明細F-15'!$C$9:$C$297,CONCATENATE(VLOOKUP(G$5,$G$1:$H$4,2,FALSE),$E34,9,1),'納品書明細F-15'!$Q$9:$Q$297)</f>
        <v>0</v>
      </c>
      <c r="O34" s="69"/>
      <c r="P34" s="133">
        <f>COUNTIF('納品書明細F-15'!$D$9:$D$297,CONCATENATE(VLOOKUP(P$5,$G$1:$H$4,2,FALSE),$E34,1,1,1))</f>
        <v>0</v>
      </c>
      <c r="Q34" s="161">
        <f>SUMIF('納品書明細F-15'!$C$9:$C$297,CONCATENATE(VLOOKUP(P$5,$G$1:$H$4,2,FALSE),$E34,1,1),'納品書明細F-15'!$Q$9:$Q$297)</f>
        <v>0</v>
      </c>
      <c r="R34" s="345"/>
      <c r="S34" s="122"/>
      <c r="T34" s="128"/>
      <c r="U34" s="345"/>
      <c r="V34" s="126">
        <f>COUNTIF('納品書明細F-15'!$D$9:$D$297,CONCATENATE(VLOOKUP(P$5,$G$1:$H$4,2,FALSE),$E34,9,1,1))</f>
        <v>0</v>
      </c>
      <c r="W34" s="433">
        <f>SUMIF('納品書明細F-15'!$C$9:$C$297,CONCATENATE(VLOOKUP(P$5,$G$1:$H$4,2,FALSE),$E34,9,1),'納品書明細F-15'!$Q$9:$Q$297)</f>
        <v>0</v>
      </c>
      <c r="X34" s="69"/>
      <c r="Y34" s="133">
        <f>COUNTIF('納品書明細F-15'!$D$9:$D$297,CONCATENATE(VLOOKUP(Y$5,$G$1:$H$4,2,FALSE),$E34,1,1,1))</f>
        <v>0</v>
      </c>
      <c r="Z34" s="161">
        <f>SUMIF('納品書明細F-15'!$C$9:$C$297,CONCATENATE(VLOOKUP(Y$5,$G$1:$H$4,2,FALSE),$E34,1,1),'納品書明細F-15'!$Q$9:$Q$297)</f>
        <v>0</v>
      </c>
      <c r="AA34" s="345"/>
      <c r="AB34" s="122"/>
      <c r="AC34" s="128"/>
      <c r="AD34" s="345"/>
      <c r="AE34" s="126">
        <f>COUNTIF('納品書明細F-15'!$D$9:$D$297,CONCATENATE(VLOOKUP(Y$5,$G$1:$H$4,2,FALSE),$E34,9,1,1))</f>
        <v>0</v>
      </c>
      <c r="AF34" s="433">
        <f>SUMIF('納品書明細F-15'!$C$9:$C$297,CONCATENATE(VLOOKUP(Y$5,$G$1:$H$4,2,FALSE),$E34,9,1),'納品書明細F-15'!$Q$9:$Q$297)</f>
        <v>0</v>
      </c>
    </row>
    <row r="35" spans="1:32">
      <c r="A35" s="474" t="str">
        <f>IF(SUMIFS($G35:$AF35,$G$8:$AF$8,"金額",$G35:$AF35,"&gt;0")-SUMIFS($G35:$AF35,$G$8:$AF$8,"金額",$G35:$AF35,"&lt;0")&lt;=0,"",MAX($A$8:$A34)+1)</f>
        <v/>
      </c>
      <c r="B35" s="802"/>
      <c r="C35" s="245" t="str">
        <f t="shared" si="0"/>
        <v>商品</v>
      </c>
      <c r="D35" s="245">
        <v>27</v>
      </c>
      <c r="E35" s="590" t="str">
        <f>IF($F35&lt;&gt;"",INDEX(ﾏｽﾀ!$D$8:$D$124,MATCH(INDEX(ﾏｽﾀ!$N$8:$N$124,MATCH($F35,ﾏｽﾀ!$O$8:$O$124,0)),ﾏｽﾀ!$B$8:$B$124,0))&amp;"","")</f>
        <v>64000</v>
      </c>
      <c r="F35" s="589" t="str">
        <f>ﾏｽﾀ!$R34&amp;""</f>
        <v>株式会社シービーエー</v>
      </c>
      <c r="G35" s="133">
        <f>COUNTIF('納品書明細F-15'!$D$9:$D$297,CONCATENATE(VLOOKUP(G$5,$G$1:$H$4,2,FALSE),$E35,1,1,1))</f>
        <v>0</v>
      </c>
      <c r="H35" s="127">
        <f>SUMIF('納品書明細F-15'!$C$9:$C$297,CONCATENATE(VLOOKUP(G$5,$G$1:$H$4,2,FALSE),$E35,1,1),'納品書明細F-15'!$Q$9:$Q$297)</f>
        <v>0</v>
      </c>
      <c r="I35" s="345"/>
      <c r="J35" s="122"/>
      <c r="K35" s="359"/>
      <c r="L35" s="345"/>
      <c r="M35" s="126">
        <f>COUNTIF('納品書明細F-15'!$D$9:$D$297,CONCATENATE(VLOOKUP(G$5,$G$1:$H$4,2,FALSE),$E35,9,1,1))</f>
        <v>0</v>
      </c>
      <c r="N35" s="432">
        <f>SUMIF('納品書明細F-15'!$C$9:$C$297,CONCATENATE(VLOOKUP(G$5,$G$1:$H$4,2,FALSE),$E35,9,1),'納品書明細F-15'!$Q$9:$Q$297)</f>
        <v>0</v>
      </c>
      <c r="O35" s="69"/>
      <c r="P35" s="133">
        <f>COUNTIF('納品書明細F-15'!$D$9:$D$297,CONCATENATE(VLOOKUP(P$5,$G$1:$H$4,2,FALSE),$E35,1,1,1))</f>
        <v>0</v>
      </c>
      <c r="Q35" s="161">
        <f>SUMIF('納品書明細F-15'!$C$9:$C$297,CONCATENATE(VLOOKUP(P$5,$G$1:$H$4,2,FALSE),$E35,1,1),'納品書明細F-15'!$Q$9:$Q$297)</f>
        <v>0</v>
      </c>
      <c r="R35" s="345"/>
      <c r="S35" s="122"/>
      <c r="T35" s="128"/>
      <c r="U35" s="345"/>
      <c r="V35" s="126">
        <f>COUNTIF('納品書明細F-15'!$D$9:$D$297,CONCATENATE(VLOOKUP(P$5,$G$1:$H$4,2,FALSE),$E35,9,1,1))</f>
        <v>0</v>
      </c>
      <c r="W35" s="433">
        <f>SUMIF('納品書明細F-15'!$C$9:$C$297,CONCATENATE(VLOOKUP(P$5,$G$1:$H$4,2,FALSE),$E35,9,1),'納品書明細F-15'!$Q$9:$Q$297)</f>
        <v>0</v>
      </c>
      <c r="X35" s="69"/>
      <c r="Y35" s="133">
        <f>COUNTIF('納品書明細F-15'!$D$9:$D$297,CONCATENATE(VLOOKUP(Y$5,$G$1:$H$4,2,FALSE),$E35,1,1,1))</f>
        <v>0</v>
      </c>
      <c r="Z35" s="161">
        <f>SUMIF('納品書明細F-15'!$C$9:$C$297,CONCATENATE(VLOOKUP(Y$5,$G$1:$H$4,2,FALSE),$E35,1,1),'納品書明細F-15'!$Q$9:$Q$297)</f>
        <v>0</v>
      </c>
      <c r="AA35" s="345"/>
      <c r="AB35" s="122"/>
      <c r="AC35" s="128"/>
      <c r="AD35" s="345"/>
      <c r="AE35" s="126">
        <f>COUNTIF('納品書明細F-15'!$D$9:$D$297,CONCATENATE(VLOOKUP(Y$5,$G$1:$H$4,2,FALSE),$E35,9,1,1))</f>
        <v>0</v>
      </c>
      <c r="AF35" s="433">
        <f>SUMIF('納品書明細F-15'!$C$9:$C$297,CONCATENATE(VLOOKUP(Y$5,$G$1:$H$4,2,FALSE),$E35,9,1),'納品書明細F-15'!$Q$9:$Q$297)</f>
        <v>0</v>
      </c>
    </row>
    <row r="36" spans="1:32">
      <c r="A36" s="474" t="str">
        <f>IF(SUMIFS($G36:$AF36,$G$8:$AF$8,"金額",$G36:$AF36,"&gt;0")-SUMIFS($G36:$AF36,$G$8:$AF$8,"金額",$G36:$AF36,"&lt;0")&lt;=0,"",MAX($A$8:$A35)+1)</f>
        <v/>
      </c>
      <c r="B36" s="802"/>
      <c r="C36" s="245" t="str">
        <f t="shared" si="0"/>
        <v>商品</v>
      </c>
      <c r="D36" s="245">
        <v>28</v>
      </c>
      <c r="E36" s="590" t="str">
        <f>IF($F36&lt;&gt;"",INDEX(ﾏｽﾀ!$D$8:$D$124,MATCH(INDEX(ﾏｽﾀ!$N$8:$N$124,MATCH($F36,ﾏｽﾀ!$O$8:$O$124,0)),ﾏｽﾀ!$B$8:$B$124,0))&amp;"","")</f>
        <v>65000</v>
      </c>
      <c r="F36" s="589" t="str">
        <f>ﾏｽﾀ!$R35&amp;""</f>
        <v>石川玩具株式会社</v>
      </c>
      <c r="G36" s="133">
        <f>COUNTIF('納品書明細F-15'!$D$9:$D$297,CONCATENATE(VLOOKUP(G$5,$G$1:$H$4,2,FALSE),$E36,1,1,1))</f>
        <v>0</v>
      </c>
      <c r="H36" s="127">
        <f>SUMIF('納品書明細F-15'!$C$9:$C$297,CONCATENATE(VLOOKUP(G$5,$G$1:$H$4,2,FALSE),$E36,1,1),'納品書明細F-15'!$Q$9:$Q$297)</f>
        <v>0</v>
      </c>
      <c r="I36" s="345"/>
      <c r="J36" s="122"/>
      <c r="K36" s="359"/>
      <c r="L36" s="345"/>
      <c r="M36" s="126">
        <f>COUNTIF('納品書明細F-15'!$D$9:$D$297,CONCATENATE(VLOOKUP(G$5,$G$1:$H$4,2,FALSE),$E36,9,1,1))</f>
        <v>0</v>
      </c>
      <c r="N36" s="432">
        <f>SUMIF('納品書明細F-15'!$C$9:$C$297,CONCATENATE(VLOOKUP(G$5,$G$1:$H$4,2,FALSE),$E36,9,1),'納品書明細F-15'!$Q$9:$Q$297)</f>
        <v>0</v>
      </c>
      <c r="O36" s="69"/>
      <c r="P36" s="133">
        <f>COUNTIF('納品書明細F-15'!$D$9:$D$297,CONCATENATE(VLOOKUP(P$5,$G$1:$H$4,2,FALSE),$E36,1,1,1))</f>
        <v>0</v>
      </c>
      <c r="Q36" s="161">
        <f>SUMIF('納品書明細F-15'!$C$9:$C$297,CONCATENATE(VLOOKUP(P$5,$G$1:$H$4,2,FALSE),$E36,1,1),'納品書明細F-15'!$Q$9:$Q$297)</f>
        <v>0</v>
      </c>
      <c r="R36" s="345"/>
      <c r="S36" s="122"/>
      <c r="T36" s="128"/>
      <c r="U36" s="345"/>
      <c r="V36" s="126">
        <f>COUNTIF('納品書明細F-15'!$D$9:$D$297,CONCATENATE(VLOOKUP(P$5,$G$1:$H$4,2,FALSE),$E36,9,1,1))</f>
        <v>0</v>
      </c>
      <c r="W36" s="433">
        <f>SUMIF('納品書明細F-15'!$C$9:$C$297,CONCATENATE(VLOOKUP(P$5,$G$1:$H$4,2,FALSE),$E36,9,1),'納品書明細F-15'!$Q$9:$Q$297)</f>
        <v>0</v>
      </c>
      <c r="X36" s="69"/>
      <c r="Y36" s="133">
        <f>COUNTIF('納品書明細F-15'!$D$9:$D$297,CONCATENATE(VLOOKUP(Y$5,$G$1:$H$4,2,FALSE),$E36,1,1,1))</f>
        <v>0</v>
      </c>
      <c r="Z36" s="161">
        <f>SUMIF('納品書明細F-15'!$C$9:$C$297,CONCATENATE(VLOOKUP(Y$5,$G$1:$H$4,2,FALSE),$E36,1,1),'納品書明細F-15'!$Q$9:$Q$297)</f>
        <v>0</v>
      </c>
      <c r="AA36" s="345"/>
      <c r="AB36" s="122"/>
      <c r="AC36" s="128"/>
      <c r="AD36" s="345"/>
      <c r="AE36" s="126">
        <f>COUNTIF('納品書明細F-15'!$D$9:$D$297,CONCATENATE(VLOOKUP(Y$5,$G$1:$H$4,2,FALSE),$E36,9,1,1))</f>
        <v>0</v>
      </c>
      <c r="AF36" s="433">
        <f>SUMIF('納品書明細F-15'!$C$9:$C$297,CONCATENATE(VLOOKUP(Y$5,$G$1:$H$4,2,FALSE),$E36,9,1),'納品書明細F-15'!$Q$9:$Q$297)</f>
        <v>0</v>
      </c>
    </row>
    <row r="37" spans="1:32">
      <c r="A37" s="474" t="str">
        <f>IF(SUMIFS($G37:$AF37,$G$8:$AF$8,"金額",$G37:$AF37,"&gt;0")-SUMIFS($G37:$AF37,$G$8:$AF$8,"金額",$G37:$AF37,"&lt;0")&lt;=0,"",MAX($A$8:$A36)+1)</f>
        <v/>
      </c>
      <c r="B37" s="802"/>
      <c r="C37" s="245" t="str">
        <f t="shared" si="0"/>
        <v>商品</v>
      </c>
      <c r="D37" s="245">
        <v>29</v>
      </c>
      <c r="E37" s="590" t="str">
        <f>IF($F37&lt;&gt;"",INDEX(ﾏｽﾀ!$D$8:$D$124,MATCH(INDEX(ﾏｽﾀ!$N$8:$N$124,MATCH($F37,ﾏｽﾀ!$O$8:$O$124,0)),ﾏｽﾀ!$B$8:$B$124,0))&amp;"","")</f>
        <v>66000</v>
      </c>
      <c r="F37" s="589" t="str">
        <f>ﾏｽﾀ!$R36&amp;""</f>
        <v>日本食材株式会社</v>
      </c>
      <c r="G37" s="133">
        <f>COUNTIF('納品書明細F-15'!$D$9:$D$297,CONCATENATE(VLOOKUP(G$5,$G$1:$H$4,2,FALSE),$E37,1,1,1))</f>
        <v>0</v>
      </c>
      <c r="H37" s="127">
        <f>SUMIF('納品書明細F-15'!$C$9:$C$297,CONCATENATE(VLOOKUP(G$5,$G$1:$H$4,2,FALSE),$E37,1,1),'納品書明細F-15'!$Q$9:$Q$297)</f>
        <v>0</v>
      </c>
      <c r="I37" s="345"/>
      <c r="J37" s="122"/>
      <c r="K37" s="359"/>
      <c r="L37" s="345"/>
      <c r="M37" s="126">
        <f>COUNTIF('納品書明細F-15'!$D$9:$D$297,CONCATENATE(VLOOKUP(G$5,$G$1:$H$4,2,FALSE),$E37,9,1,1))</f>
        <v>0</v>
      </c>
      <c r="N37" s="432">
        <f>SUMIF('納品書明細F-15'!$C$9:$C$297,CONCATENATE(VLOOKUP(G$5,$G$1:$H$4,2,FALSE),$E37,9,1),'納品書明細F-15'!$Q$9:$Q$297)</f>
        <v>0</v>
      </c>
      <c r="O37" s="69"/>
      <c r="P37" s="133">
        <f>COUNTIF('納品書明細F-15'!$D$9:$D$297,CONCATENATE(VLOOKUP(P$5,$G$1:$H$4,2,FALSE),$E37,1,1,1))</f>
        <v>0</v>
      </c>
      <c r="Q37" s="161">
        <f>SUMIF('納品書明細F-15'!$C$9:$C$297,CONCATENATE(VLOOKUP(P$5,$G$1:$H$4,2,FALSE),$E37,1,1),'納品書明細F-15'!$Q$9:$Q$297)</f>
        <v>0</v>
      </c>
      <c r="R37" s="345"/>
      <c r="S37" s="122"/>
      <c r="T37" s="128"/>
      <c r="U37" s="345"/>
      <c r="V37" s="126">
        <f>COUNTIF('納品書明細F-15'!$D$9:$D$297,CONCATENATE(VLOOKUP(P$5,$G$1:$H$4,2,FALSE),$E37,9,1,1))</f>
        <v>0</v>
      </c>
      <c r="W37" s="433">
        <f>SUMIF('納品書明細F-15'!$C$9:$C$297,CONCATENATE(VLOOKUP(P$5,$G$1:$H$4,2,FALSE),$E37,9,1),'納品書明細F-15'!$Q$9:$Q$297)</f>
        <v>0</v>
      </c>
      <c r="X37" s="69"/>
      <c r="Y37" s="133">
        <f>COUNTIF('納品書明細F-15'!$D$9:$D$297,CONCATENATE(VLOOKUP(Y$5,$G$1:$H$4,2,FALSE),$E37,1,1,1))</f>
        <v>0</v>
      </c>
      <c r="Z37" s="161">
        <f>SUMIF('納品書明細F-15'!$C$9:$C$297,CONCATENATE(VLOOKUP(Y$5,$G$1:$H$4,2,FALSE),$E37,1,1),'納品書明細F-15'!$Q$9:$Q$297)</f>
        <v>0</v>
      </c>
      <c r="AA37" s="345"/>
      <c r="AB37" s="122"/>
      <c r="AC37" s="128"/>
      <c r="AD37" s="345"/>
      <c r="AE37" s="126">
        <f>COUNTIF('納品書明細F-15'!$D$9:$D$297,CONCATENATE(VLOOKUP(Y$5,$G$1:$H$4,2,FALSE),$E37,9,1,1))</f>
        <v>0</v>
      </c>
      <c r="AF37" s="433">
        <f>SUMIF('納品書明細F-15'!$C$9:$C$297,CONCATENATE(VLOOKUP(Y$5,$G$1:$H$4,2,FALSE),$E37,9,1),'納品書明細F-15'!$Q$9:$Q$297)</f>
        <v>0</v>
      </c>
    </row>
    <row r="38" spans="1:32">
      <c r="A38" s="474" t="str">
        <f>IF(SUMIFS($G38:$AF38,$G$8:$AF$8,"金額",$G38:$AF38,"&gt;0")-SUMIFS($G38:$AF38,$G$8:$AF$8,"金額",$G38:$AF38,"&lt;0")&lt;=0,"",MAX($A$8:$A37)+1)</f>
        <v/>
      </c>
      <c r="B38" s="802"/>
      <c r="C38" s="245" t="str">
        <f t="shared" si="0"/>
        <v>商品</v>
      </c>
      <c r="D38" s="245">
        <v>30</v>
      </c>
      <c r="E38" s="590" t="str">
        <f>IF($F38&lt;&gt;"",INDEX(ﾏｽﾀ!$D$8:$D$124,MATCH(INDEX(ﾏｽﾀ!$N$8:$N$124,MATCH($F38,ﾏｽﾀ!$O$8:$O$124,0)),ﾏｽﾀ!$B$8:$B$124,0))&amp;"","")</f>
        <v>67000</v>
      </c>
      <c r="F38" s="589" t="str">
        <f>ﾏｽﾀ!$R37&amp;""</f>
        <v>加藤製菓株式会社</v>
      </c>
      <c r="G38" s="133">
        <f>COUNTIF('納品書明細F-15'!$D$9:$D$297,CONCATENATE(VLOOKUP(G$5,$G$1:$H$4,2,FALSE),$E38,1,1,1))</f>
        <v>0</v>
      </c>
      <c r="H38" s="127">
        <f>SUMIF('納品書明細F-15'!$C$9:$C$297,CONCATENATE(VLOOKUP(G$5,$G$1:$H$4,2,FALSE),$E38,1,1),'納品書明細F-15'!$Q$9:$Q$297)</f>
        <v>0</v>
      </c>
      <c r="I38" s="345"/>
      <c r="J38" s="122"/>
      <c r="K38" s="359"/>
      <c r="L38" s="345"/>
      <c r="M38" s="126">
        <f>COUNTIF('納品書明細F-15'!$D$9:$D$297,CONCATENATE(VLOOKUP(G$5,$G$1:$H$4,2,FALSE),$E38,9,1,1))</f>
        <v>0</v>
      </c>
      <c r="N38" s="432">
        <f>SUMIF('納品書明細F-15'!$C$9:$C$297,CONCATENATE(VLOOKUP(G$5,$G$1:$H$4,2,FALSE),$E38,9,1),'納品書明細F-15'!$Q$9:$Q$297)</f>
        <v>0</v>
      </c>
      <c r="O38" s="69"/>
      <c r="P38" s="133">
        <f>COUNTIF('納品書明細F-15'!$D$9:$D$297,CONCATENATE(VLOOKUP(P$5,$G$1:$H$4,2,FALSE),$E38,1,1,1))</f>
        <v>0</v>
      </c>
      <c r="Q38" s="161">
        <f>SUMIF('納品書明細F-15'!$C$9:$C$297,CONCATENATE(VLOOKUP(P$5,$G$1:$H$4,2,FALSE),$E38,1,1),'納品書明細F-15'!$Q$9:$Q$297)</f>
        <v>0</v>
      </c>
      <c r="R38" s="345"/>
      <c r="S38" s="122"/>
      <c r="T38" s="128"/>
      <c r="U38" s="345"/>
      <c r="V38" s="126">
        <f>COUNTIF('納品書明細F-15'!$D$9:$D$297,CONCATENATE(VLOOKUP(P$5,$G$1:$H$4,2,FALSE),$E38,9,1,1))</f>
        <v>0</v>
      </c>
      <c r="W38" s="433">
        <f>SUMIF('納品書明細F-15'!$C$9:$C$297,CONCATENATE(VLOOKUP(P$5,$G$1:$H$4,2,FALSE),$E38,9,1),'納品書明細F-15'!$Q$9:$Q$297)</f>
        <v>0</v>
      </c>
      <c r="X38" s="69"/>
      <c r="Y38" s="133">
        <f>COUNTIF('納品書明細F-15'!$D$9:$D$297,CONCATENATE(VLOOKUP(Y$5,$G$1:$H$4,2,FALSE),$E38,1,1,1))</f>
        <v>0</v>
      </c>
      <c r="Z38" s="161">
        <f>SUMIF('納品書明細F-15'!$C$9:$C$297,CONCATENATE(VLOOKUP(Y$5,$G$1:$H$4,2,FALSE),$E38,1,1),'納品書明細F-15'!$Q$9:$Q$297)</f>
        <v>0</v>
      </c>
      <c r="AA38" s="345"/>
      <c r="AB38" s="122"/>
      <c r="AC38" s="128"/>
      <c r="AD38" s="345"/>
      <c r="AE38" s="126">
        <f>COUNTIF('納品書明細F-15'!$D$9:$D$297,CONCATENATE(VLOOKUP(Y$5,$G$1:$H$4,2,FALSE),$E38,9,1,1))</f>
        <v>0</v>
      </c>
      <c r="AF38" s="433">
        <f>SUMIF('納品書明細F-15'!$C$9:$C$297,CONCATENATE(VLOOKUP(Y$5,$G$1:$H$4,2,FALSE),$E38,9,1),'納品書明細F-15'!$Q$9:$Q$297)</f>
        <v>0</v>
      </c>
    </row>
    <row r="39" spans="1:32">
      <c r="A39" s="474" t="str">
        <f>IF(SUMIFS($G39:$AF39,$G$8:$AF$8,"金額",$G39:$AF39,"&gt;0")-SUMIFS($G39:$AF39,$G$8:$AF$8,"金額",$G39:$AF39,"&lt;0")&lt;=0,"",MAX($A$8:$A38)+1)</f>
        <v/>
      </c>
      <c r="B39" s="802"/>
      <c r="C39" s="245" t="str">
        <f t="shared" si="0"/>
        <v>商品</v>
      </c>
      <c r="D39" s="245">
        <v>31</v>
      </c>
      <c r="E39" s="590" t="str">
        <f>IF($F39&lt;&gt;"",INDEX(ﾏｽﾀ!$D$8:$D$124,MATCH(INDEX(ﾏｽﾀ!$N$8:$N$124,MATCH($F39,ﾏｽﾀ!$O$8:$O$124,0)),ﾏｽﾀ!$B$8:$B$124,0))&amp;"","")</f>
        <v>68000</v>
      </c>
      <c r="F39" s="589" t="str">
        <f>ﾏｽﾀ!$R38&amp;""</f>
        <v>株式会社サンライズ</v>
      </c>
      <c r="G39" s="133">
        <f>COUNTIF('納品書明細F-15'!$D$9:$D$297,CONCATENATE(VLOOKUP(G$5,$G$1:$H$4,2,FALSE),$E39,1,1,1))</f>
        <v>0</v>
      </c>
      <c r="H39" s="127">
        <f>SUMIF('納品書明細F-15'!$C$9:$C$297,CONCATENATE(VLOOKUP(G$5,$G$1:$H$4,2,FALSE),$E39,1,1),'納品書明細F-15'!$Q$9:$Q$297)</f>
        <v>0</v>
      </c>
      <c r="I39" s="345"/>
      <c r="J39" s="122"/>
      <c r="K39" s="359"/>
      <c r="L39" s="345"/>
      <c r="M39" s="126">
        <f>COUNTIF('納品書明細F-15'!$D$9:$D$297,CONCATENATE(VLOOKUP(G$5,$G$1:$H$4,2,FALSE),$E39,9,1,1))</f>
        <v>0</v>
      </c>
      <c r="N39" s="432">
        <f>SUMIF('納品書明細F-15'!$C$9:$C$297,CONCATENATE(VLOOKUP(G$5,$G$1:$H$4,2,FALSE),$E39,9,1),'納品書明細F-15'!$Q$9:$Q$297)</f>
        <v>0</v>
      </c>
      <c r="O39" s="69"/>
      <c r="P39" s="133">
        <f>COUNTIF('納品書明細F-15'!$D$9:$D$297,CONCATENATE(VLOOKUP(P$5,$G$1:$H$4,2,FALSE),$E39,1,1,1))</f>
        <v>0</v>
      </c>
      <c r="Q39" s="161">
        <f>SUMIF('納品書明細F-15'!$C$9:$C$297,CONCATENATE(VLOOKUP(P$5,$G$1:$H$4,2,FALSE),$E39,1,1),'納品書明細F-15'!$Q$9:$Q$297)</f>
        <v>0</v>
      </c>
      <c r="R39" s="345"/>
      <c r="S39" s="122"/>
      <c r="T39" s="128"/>
      <c r="U39" s="345"/>
      <c r="V39" s="126">
        <f>COUNTIF('納品書明細F-15'!$D$9:$D$297,CONCATENATE(VLOOKUP(P$5,$G$1:$H$4,2,FALSE),$E39,9,1,1))</f>
        <v>0</v>
      </c>
      <c r="W39" s="433">
        <f>SUMIF('納品書明細F-15'!$C$9:$C$297,CONCATENATE(VLOOKUP(P$5,$G$1:$H$4,2,FALSE),$E39,9,1),'納品書明細F-15'!$Q$9:$Q$297)</f>
        <v>0</v>
      </c>
      <c r="X39" s="69"/>
      <c r="Y39" s="133">
        <f>COUNTIF('納品書明細F-15'!$D$9:$D$297,CONCATENATE(VLOOKUP(Y$5,$G$1:$H$4,2,FALSE),$E39,1,1,1))</f>
        <v>0</v>
      </c>
      <c r="Z39" s="161">
        <f>SUMIF('納品書明細F-15'!$C$9:$C$297,CONCATENATE(VLOOKUP(Y$5,$G$1:$H$4,2,FALSE),$E39,1,1),'納品書明細F-15'!$Q$9:$Q$297)</f>
        <v>0</v>
      </c>
      <c r="AA39" s="345"/>
      <c r="AB39" s="122"/>
      <c r="AC39" s="128"/>
      <c r="AD39" s="345"/>
      <c r="AE39" s="126">
        <f>COUNTIF('納品書明細F-15'!$D$9:$D$297,CONCATENATE(VLOOKUP(Y$5,$G$1:$H$4,2,FALSE),$E39,9,1,1))</f>
        <v>0</v>
      </c>
      <c r="AF39" s="433">
        <f>SUMIF('納品書明細F-15'!$C$9:$C$297,CONCATENATE(VLOOKUP(Y$5,$G$1:$H$4,2,FALSE),$E39,9,1),'納品書明細F-15'!$Q$9:$Q$297)</f>
        <v>0</v>
      </c>
    </row>
    <row r="40" spans="1:32">
      <c r="A40" s="474" t="str">
        <f>IF(SUMIFS($G40:$AF40,$G$8:$AF$8,"金額",$G40:$AF40,"&gt;0")-SUMIFS($G40:$AF40,$G$8:$AF$8,"金額",$G40:$AF40,"&lt;0")&lt;=0,"",MAX($A$8:$A39)+1)</f>
        <v/>
      </c>
      <c r="B40" s="802"/>
      <c r="C40" s="245" t="str">
        <f t="shared" si="0"/>
        <v>商品</v>
      </c>
      <c r="D40" s="245">
        <v>32</v>
      </c>
      <c r="E40" s="590" t="str">
        <f>IF($F40&lt;&gt;"",INDEX(ﾏｽﾀ!$D$8:$D$124,MATCH(INDEX(ﾏｽﾀ!$N$8:$N$124,MATCH($F40,ﾏｽﾀ!$O$8:$O$124,0)),ﾏｽﾀ!$B$8:$B$124,0))&amp;"","")</f>
        <v>69000</v>
      </c>
      <c r="F40" s="589" t="str">
        <f>ﾏｽﾀ!$R39&amp;""</f>
        <v>株式会社ナムコ</v>
      </c>
      <c r="G40" s="133">
        <f>COUNTIF('納品書明細F-15'!$D$9:$D$297,CONCATENATE(VLOOKUP(G$5,$G$1:$H$4,2,FALSE),$E40,1,1,1))</f>
        <v>0</v>
      </c>
      <c r="H40" s="127">
        <f>SUMIF('納品書明細F-15'!$C$9:$C$297,CONCATENATE(VLOOKUP(G$5,$G$1:$H$4,2,FALSE),$E40,1,1),'納品書明細F-15'!$Q$9:$Q$297)</f>
        <v>0</v>
      </c>
      <c r="I40" s="345"/>
      <c r="J40" s="122"/>
      <c r="K40" s="359"/>
      <c r="L40" s="345"/>
      <c r="M40" s="126">
        <f>COUNTIF('納品書明細F-15'!$D$9:$D$297,CONCATENATE(VLOOKUP(G$5,$G$1:$H$4,2,FALSE),$E40,9,1,1))</f>
        <v>0</v>
      </c>
      <c r="N40" s="432">
        <f>SUMIF('納品書明細F-15'!$C$9:$C$297,CONCATENATE(VLOOKUP(G$5,$G$1:$H$4,2,FALSE),$E40,9,1),'納品書明細F-15'!$Q$9:$Q$297)</f>
        <v>0</v>
      </c>
      <c r="O40" s="69"/>
      <c r="P40" s="133">
        <f>COUNTIF('納品書明細F-15'!$D$9:$D$297,CONCATENATE(VLOOKUP(P$5,$G$1:$H$4,2,FALSE),$E40,1,1,1))</f>
        <v>0</v>
      </c>
      <c r="Q40" s="161">
        <f>SUMIF('納品書明細F-15'!$C$9:$C$297,CONCATENATE(VLOOKUP(P$5,$G$1:$H$4,2,FALSE),$E40,1,1),'納品書明細F-15'!$Q$9:$Q$297)</f>
        <v>0</v>
      </c>
      <c r="R40" s="345"/>
      <c r="S40" s="122"/>
      <c r="T40" s="128"/>
      <c r="U40" s="345"/>
      <c r="V40" s="126">
        <f>COUNTIF('納品書明細F-15'!$D$9:$D$297,CONCATENATE(VLOOKUP(P$5,$G$1:$H$4,2,FALSE),$E40,9,1,1))</f>
        <v>0</v>
      </c>
      <c r="W40" s="433">
        <f>SUMIF('納品書明細F-15'!$C$9:$C$297,CONCATENATE(VLOOKUP(P$5,$G$1:$H$4,2,FALSE),$E40,9,1),'納品書明細F-15'!$Q$9:$Q$297)</f>
        <v>0</v>
      </c>
      <c r="X40" s="69"/>
      <c r="Y40" s="133">
        <f>COUNTIF('納品書明細F-15'!$D$9:$D$297,CONCATENATE(VLOOKUP(Y$5,$G$1:$H$4,2,FALSE),$E40,1,1,1))</f>
        <v>0</v>
      </c>
      <c r="Z40" s="161">
        <f>SUMIF('納品書明細F-15'!$C$9:$C$297,CONCATENATE(VLOOKUP(Y$5,$G$1:$H$4,2,FALSE),$E40,1,1),'納品書明細F-15'!$Q$9:$Q$297)</f>
        <v>0</v>
      </c>
      <c r="AA40" s="345"/>
      <c r="AB40" s="122"/>
      <c r="AC40" s="128"/>
      <c r="AD40" s="345"/>
      <c r="AE40" s="126">
        <f>COUNTIF('納品書明細F-15'!$D$9:$D$297,CONCATENATE(VLOOKUP(Y$5,$G$1:$H$4,2,FALSE),$E40,9,1,1))</f>
        <v>0</v>
      </c>
      <c r="AF40" s="433">
        <f>SUMIF('納品書明細F-15'!$C$9:$C$297,CONCATENATE(VLOOKUP(Y$5,$G$1:$H$4,2,FALSE),$E40,9,1),'納品書明細F-15'!$Q$9:$Q$297)</f>
        <v>0</v>
      </c>
    </row>
    <row r="41" spans="1:32">
      <c r="A41" s="474">
        <f>IF(SUMIFS($G41:$AF41,$G$8:$AF$8,"金額",$G41:$AF41,"&gt;0")-SUMIFS($G41:$AF41,$G$8:$AF$8,"金額",$G41:$AF41,"&lt;0")&lt;=0,"",MAX($A$8:$A40)+1)</f>
        <v>8</v>
      </c>
      <c r="B41" s="802"/>
      <c r="C41" s="245" t="str">
        <f t="shared" ref="C41:C72" si="1">CONCATENATE("商品",$A41)</f>
        <v>商品8</v>
      </c>
      <c r="D41" s="245">
        <v>33</v>
      </c>
      <c r="E41" s="590" t="str">
        <f>IF($F41&lt;&gt;"",INDEX(ﾏｽﾀ!$D$8:$D$124,MATCH(INDEX(ﾏｽﾀ!$N$8:$N$124,MATCH($F41,ﾏｽﾀ!$O$8:$O$124,0)),ﾏｽﾀ!$B$8:$B$124,0))&amp;"","")</f>
        <v>70000</v>
      </c>
      <c r="F41" s="589" t="str">
        <f>ﾏｽﾀ!$R40&amp;""</f>
        <v>株式会社ウィンウィンスタイル</v>
      </c>
      <c r="G41" s="133">
        <f>COUNTIF('納品書明細F-15'!$D$9:$D$297,CONCATENATE(VLOOKUP(G$5,$G$1:$H$4,2,FALSE),$E41,1,1,1))</f>
        <v>0</v>
      </c>
      <c r="H41" s="127">
        <f>SUMIF('納品書明細F-15'!$C$9:$C$297,CONCATENATE(VLOOKUP(G$5,$G$1:$H$4,2,FALSE),$E41,1,1),'納品書明細F-15'!$Q$9:$Q$297)</f>
        <v>0</v>
      </c>
      <c r="I41" s="345"/>
      <c r="J41" s="122"/>
      <c r="K41" s="359"/>
      <c r="L41" s="345"/>
      <c r="M41" s="126">
        <f>COUNTIF('納品書明細F-15'!$D$9:$D$297,CONCATENATE(VLOOKUP(G$5,$G$1:$H$4,2,FALSE),$E41,9,1,1))</f>
        <v>0</v>
      </c>
      <c r="N41" s="432">
        <f>SUMIF('納品書明細F-15'!$C$9:$C$297,CONCATENATE(VLOOKUP(G$5,$G$1:$H$4,2,FALSE),$E41,9,1),'納品書明細F-15'!$Q$9:$Q$297)</f>
        <v>0</v>
      </c>
      <c r="O41" s="69"/>
      <c r="P41" s="133">
        <f>COUNTIF('納品書明細F-15'!$D$9:$D$297,CONCATENATE(VLOOKUP(P$5,$G$1:$H$4,2,FALSE),$E41,1,1,1))</f>
        <v>1</v>
      </c>
      <c r="Q41" s="161">
        <f>SUMIF('納品書明細F-15'!$C$9:$C$297,CONCATENATE(VLOOKUP(P$5,$G$1:$H$4,2,FALSE),$E41,1,1),'納品書明細F-15'!$Q$9:$Q$297)</f>
        <v>55505.55</v>
      </c>
      <c r="R41" s="345"/>
      <c r="S41" s="122"/>
      <c r="T41" s="128"/>
      <c r="U41" s="345"/>
      <c r="V41" s="126">
        <f>COUNTIF('納品書明細F-15'!$D$9:$D$297,CONCATENATE(VLOOKUP(P$5,$G$1:$H$4,2,FALSE),$E41,9,1,1))</f>
        <v>0</v>
      </c>
      <c r="W41" s="433">
        <f>SUMIF('納品書明細F-15'!$C$9:$C$297,CONCATENATE(VLOOKUP(P$5,$G$1:$H$4,2,FALSE),$E41,9,1),'納品書明細F-15'!$Q$9:$Q$297)</f>
        <v>0</v>
      </c>
      <c r="X41" s="69"/>
      <c r="Y41" s="133">
        <f>COUNTIF('納品書明細F-15'!$D$9:$D$297,CONCATENATE(VLOOKUP(Y$5,$G$1:$H$4,2,FALSE),$E41,1,1,1))</f>
        <v>0</v>
      </c>
      <c r="Z41" s="161">
        <f>SUMIF('納品書明細F-15'!$C$9:$C$297,CONCATENATE(VLOOKUP(Y$5,$G$1:$H$4,2,FALSE),$E41,1,1),'納品書明細F-15'!$Q$9:$Q$297)</f>
        <v>0</v>
      </c>
      <c r="AA41" s="345"/>
      <c r="AB41" s="122"/>
      <c r="AC41" s="128"/>
      <c r="AD41" s="345"/>
      <c r="AE41" s="126">
        <f>COUNTIF('納品書明細F-15'!$D$9:$D$297,CONCATENATE(VLOOKUP(Y$5,$G$1:$H$4,2,FALSE),$E41,9,1,1))</f>
        <v>0</v>
      </c>
      <c r="AF41" s="433">
        <f>SUMIF('納品書明細F-15'!$C$9:$C$297,CONCATENATE(VLOOKUP(Y$5,$G$1:$H$4,2,FALSE),$E41,9,1),'納品書明細F-15'!$Q$9:$Q$297)</f>
        <v>0</v>
      </c>
    </row>
    <row r="42" spans="1:32">
      <c r="A42" s="474" t="str">
        <f>IF(SUMIFS($G42:$AF42,$G$8:$AF$8,"金額",$G42:$AF42,"&gt;0")-SUMIFS($G42:$AF42,$G$8:$AF$8,"金額",$G42:$AF42,"&lt;0")&lt;=0,"",MAX($A$8:$A41)+1)</f>
        <v/>
      </c>
      <c r="B42" s="802"/>
      <c r="C42" s="245" t="str">
        <f t="shared" si="1"/>
        <v>商品</v>
      </c>
      <c r="D42" s="245">
        <v>34</v>
      </c>
      <c r="E42" s="590" t="str">
        <f>IF($F42&lt;&gt;"",INDEX(ﾏｽﾀ!$D$8:$D$124,MATCH(INDEX(ﾏｽﾀ!$N$8:$N$124,MATCH($F42,ﾏｽﾀ!$O$8:$O$124,0)),ﾏｽﾀ!$B$8:$B$124,0))&amp;"","")</f>
        <v>71000</v>
      </c>
      <c r="F42" s="589" t="str">
        <f>ﾏｽﾀ!$R41&amp;""</f>
        <v>プラネックスコミュニケーションズ株式会社</v>
      </c>
      <c r="G42" s="133">
        <f>COUNTIF('納品書明細F-15'!$D$9:$D$297,CONCATENATE(VLOOKUP(G$5,$G$1:$H$4,2,FALSE),$E42,1,1,1))</f>
        <v>0</v>
      </c>
      <c r="H42" s="127">
        <f>SUMIF('納品書明細F-15'!$C$9:$C$297,CONCATENATE(VLOOKUP(G$5,$G$1:$H$4,2,FALSE),$E42,1,1),'納品書明細F-15'!$Q$9:$Q$297)</f>
        <v>0</v>
      </c>
      <c r="I42" s="345"/>
      <c r="J42" s="122"/>
      <c r="K42" s="359"/>
      <c r="L42" s="345"/>
      <c r="M42" s="126">
        <f>COUNTIF('納品書明細F-15'!$D$9:$D$297,CONCATENATE(VLOOKUP(G$5,$G$1:$H$4,2,FALSE),$E42,9,1,1))</f>
        <v>0</v>
      </c>
      <c r="N42" s="432">
        <f>SUMIF('納品書明細F-15'!$C$9:$C$297,CONCATENATE(VLOOKUP(G$5,$G$1:$H$4,2,FALSE),$E42,9,1),'納品書明細F-15'!$Q$9:$Q$297)</f>
        <v>0</v>
      </c>
      <c r="O42" s="69"/>
      <c r="P42" s="133">
        <f>COUNTIF('納品書明細F-15'!$D$9:$D$297,CONCATENATE(VLOOKUP(P$5,$G$1:$H$4,2,FALSE),$E42,1,1,1))</f>
        <v>0</v>
      </c>
      <c r="Q42" s="161">
        <f>SUMIF('納品書明細F-15'!$C$9:$C$297,CONCATENATE(VLOOKUP(P$5,$G$1:$H$4,2,FALSE),$E42,1,1),'納品書明細F-15'!$Q$9:$Q$297)</f>
        <v>0</v>
      </c>
      <c r="R42" s="345"/>
      <c r="S42" s="122"/>
      <c r="T42" s="128"/>
      <c r="U42" s="345"/>
      <c r="V42" s="126">
        <f>COUNTIF('納品書明細F-15'!$D$9:$D$297,CONCATENATE(VLOOKUP(P$5,$G$1:$H$4,2,FALSE),$E42,9,1,1))</f>
        <v>0</v>
      </c>
      <c r="W42" s="433">
        <f>SUMIF('納品書明細F-15'!$C$9:$C$297,CONCATENATE(VLOOKUP(P$5,$G$1:$H$4,2,FALSE),$E42,9,1),'納品書明細F-15'!$Q$9:$Q$297)</f>
        <v>0</v>
      </c>
      <c r="X42" s="69"/>
      <c r="Y42" s="133">
        <f>COUNTIF('納品書明細F-15'!$D$9:$D$297,CONCATENATE(VLOOKUP(Y$5,$G$1:$H$4,2,FALSE),$E42,1,1,1))</f>
        <v>0</v>
      </c>
      <c r="Z42" s="161">
        <f>SUMIF('納品書明細F-15'!$C$9:$C$297,CONCATENATE(VLOOKUP(Y$5,$G$1:$H$4,2,FALSE),$E42,1,1),'納品書明細F-15'!$Q$9:$Q$297)</f>
        <v>0</v>
      </c>
      <c r="AA42" s="345"/>
      <c r="AB42" s="122"/>
      <c r="AC42" s="128"/>
      <c r="AD42" s="345"/>
      <c r="AE42" s="126">
        <f>COUNTIF('納品書明細F-15'!$D$9:$D$297,CONCATENATE(VLOOKUP(Y$5,$G$1:$H$4,2,FALSE),$E42,9,1,1))</f>
        <v>0</v>
      </c>
      <c r="AF42" s="433">
        <f>SUMIF('納品書明細F-15'!$C$9:$C$297,CONCATENATE(VLOOKUP(Y$5,$G$1:$H$4,2,FALSE),$E42,9,1),'納品書明細F-15'!$Q$9:$Q$297)</f>
        <v>0</v>
      </c>
    </row>
    <row r="43" spans="1:32">
      <c r="A43" s="474" t="str">
        <f>IF(SUMIFS($G43:$AF43,$G$8:$AF$8,"金額",$G43:$AF43,"&gt;0")-SUMIFS($G43:$AF43,$G$8:$AF$8,"金額",$G43:$AF43,"&lt;0")&lt;=0,"",MAX($A$8:$A42)+1)</f>
        <v/>
      </c>
      <c r="B43" s="802"/>
      <c r="C43" s="245" t="str">
        <f t="shared" si="1"/>
        <v>商品</v>
      </c>
      <c r="D43" s="245">
        <v>35</v>
      </c>
      <c r="E43" s="590" t="str">
        <f>IF($F43&lt;&gt;"",INDEX(ﾏｽﾀ!$D$8:$D$124,MATCH(INDEX(ﾏｽﾀ!$N$8:$N$124,MATCH($F43,ﾏｽﾀ!$O$8:$O$124,0)),ﾏｽﾀ!$B$8:$B$124,0))&amp;"","")</f>
        <v>72000</v>
      </c>
      <c r="F43" s="589" t="str">
        <f>ﾏｽﾀ!$R42&amp;""</f>
        <v>株式会社ダイワトーイ</v>
      </c>
      <c r="G43" s="133">
        <f>COUNTIF('納品書明細F-15'!$D$9:$D$297,CONCATENATE(VLOOKUP(G$5,$G$1:$H$4,2,FALSE),$E43,1,1,1))</f>
        <v>0</v>
      </c>
      <c r="H43" s="127">
        <f>SUMIF('納品書明細F-15'!$C$9:$C$297,CONCATENATE(VLOOKUP(G$5,$G$1:$H$4,2,FALSE),$E43,1,1),'納品書明細F-15'!$Q$9:$Q$297)</f>
        <v>0</v>
      </c>
      <c r="I43" s="345"/>
      <c r="J43" s="122"/>
      <c r="K43" s="359"/>
      <c r="L43" s="345"/>
      <c r="M43" s="126">
        <f>COUNTIF('納品書明細F-15'!$D$9:$D$297,CONCATENATE(VLOOKUP(G$5,$G$1:$H$4,2,FALSE),$E43,9,1,1))</f>
        <v>0</v>
      </c>
      <c r="N43" s="432">
        <f>SUMIF('納品書明細F-15'!$C$9:$C$297,CONCATENATE(VLOOKUP(G$5,$G$1:$H$4,2,FALSE),$E43,9,1),'納品書明細F-15'!$Q$9:$Q$297)</f>
        <v>0</v>
      </c>
      <c r="O43" s="69"/>
      <c r="P43" s="133">
        <f>COUNTIF('納品書明細F-15'!$D$9:$D$297,CONCATENATE(VLOOKUP(P$5,$G$1:$H$4,2,FALSE),$E43,1,1,1))</f>
        <v>0</v>
      </c>
      <c r="Q43" s="161">
        <f>SUMIF('納品書明細F-15'!$C$9:$C$297,CONCATENATE(VLOOKUP(P$5,$G$1:$H$4,2,FALSE),$E43,1,1),'納品書明細F-15'!$Q$9:$Q$297)</f>
        <v>0</v>
      </c>
      <c r="R43" s="345"/>
      <c r="S43" s="122"/>
      <c r="T43" s="128"/>
      <c r="U43" s="345"/>
      <c r="V43" s="126">
        <f>COUNTIF('納品書明細F-15'!$D$9:$D$297,CONCATENATE(VLOOKUP(P$5,$G$1:$H$4,2,FALSE),$E43,9,1,1))</f>
        <v>0</v>
      </c>
      <c r="W43" s="433">
        <f>SUMIF('納品書明細F-15'!$C$9:$C$297,CONCATENATE(VLOOKUP(P$5,$G$1:$H$4,2,FALSE),$E43,9,1),'納品書明細F-15'!$Q$9:$Q$297)</f>
        <v>0</v>
      </c>
      <c r="X43" s="69"/>
      <c r="Y43" s="133">
        <f>COUNTIF('納品書明細F-15'!$D$9:$D$297,CONCATENATE(VLOOKUP(Y$5,$G$1:$H$4,2,FALSE),$E43,1,1,1))</f>
        <v>0</v>
      </c>
      <c r="Z43" s="161">
        <f>SUMIF('納品書明細F-15'!$C$9:$C$297,CONCATENATE(VLOOKUP(Y$5,$G$1:$H$4,2,FALSE),$E43,1,1),'納品書明細F-15'!$Q$9:$Q$297)</f>
        <v>0</v>
      </c>
      <c r="AA43" s="345"/>
      <c r="AB43" s="122"/>
      <c r="AC43" s="128"/>
      <c r="AD43" s="345"/>
      <c r="AE43" s="126">
        <f>COUNTIF('納品書明細F-15'!$D$9:$D$297,CONCATENATE(VLOOKUP(Y$5,$G$1:$H$4,2,FALSE),$E43,9,1,1))</f>
        <v>0</v>
      </c>
      <c r="AF43" s="433">
        <f>SUMIF('納品書明細F-15'!$C$9:$C$297,CONCATENATE(VLOOKUP(Y$5,$G$1:$H$4,2,FALSE),$E43,9,1),'納品書明細F-15'!$Q$9:$Q$297)</f>
        <v>0</v>
      </c>
    </row>
    <row r="44" spans="1:32">
      <c r="A44" s="474" t="str">
        <f>IF(SUMIFS($G44:$AF44,$G$8:$AF$8,"金額",$G44:$AF44,"&gt;0")-SUMIFS($G44:$AF44,$G$8:$AF$8,"金額",$G44:$AF44,"&lt;0")&lt;=0,"",MAX($A$8:$A43)+1)</f>
        <v/>
      </c>
      <c r="B44" s="802"/>
      <c r="C44" s="245" t="str">
        <f t="shared" si="1"/>
        <v>商品</v>
      </c>
      <c r="D44" s="245">
        <v>36</v>
      </c>
      <c r="E44" s="590" t="str">
        <f>IF($F44&lt;&gt;"",INDEX(ﾏｽﾀ!$D$8:$D$124,MATCH(INDEX(ﾏｽﾀ!$N$8:$N$124,MATCH($F44,ﾏｽﾀ!$O$8:$O$124,0)),ﾏｽﾀ!$B$8:$B$124,0))&amp;"","")</f>
        <v>73000</v>
      </c>
      <c r="F44" s="589" t="str">
        <f>ﾏｽﾀ!$R43&amp;""</f>
        <v>株式会社プレックス</v>
      </c>
      <c r="G44" s="133">
        <f>COUNTIF('納品書明細F-15'!$D$9:$D$297,CONCATENATE(VLOOKUP(G$5,$G$1:$H$4,2,FALSE),$E44,1,1,1))</f>
        <v>0</v>
      </c>
      <c r="H44" s="127">
        <f>SUMIF('納品書明細F-15'!$C$9:$C$297,CONCATENATE(VLOOKUP(G$5,$G$1:$H$4,2,FALSE),$E44,1,1),'納品書明細F-15'!$Q$9:$Q$297)</f>
        <v>0</v>
      </c>
      <c r="I44" s="345"/>
      <c r="J44" s="122"/>
      <c r="K44" s="359"/>
      <c r="L44" s="345"/>
      <c r="M44" s="126">
        <f>COUNTIF('納品書明細F-15'!$D$9:$D$297,CONCATENATE(VLOOKUP(G$5,$G$1:$H$4,2,FALSE),$E44,9,1,1))</f>
        <v>0</v>
      </c>
      <c r="N44" s="432">
        <f>SUMIF('納品書明細F-15'!$C$9:$C$297,CONCATENATE(VLOOKUP(G$5,$G$1:$H$4,2,FALSE),$E44,9,1),'納品書明細F-15'!$Q$9:$Q$297)</f>
        <v>0</v>
      </c>
      <c r="O44" s="69"/>
      <c r="P44" s="133">
        <f>COUNTIF('納品書明細F-15'!$D$9:$D$297,CONCATENATE(VLOOKUP(P$5,$G$1:$H$4,2,FALSE),$E44,1,1,1))</f>
        <v>0</v>
      </c>
      <c r="Q44" s="161">
        <f>SUMIF('納品書明細F-15'!$C$9:$C$297,CONCATENATE(VLOOKUP(P$5,$G$1:$H$4,2,FALSE),$E44,1,1),'納品書明細F-15'!$Q$9:$Q$297)</f>
        <v>0</v>
      </c>
      <c r="R44" s="345"/>
      <c r="S44" s="122"/>
      <c r="T44" s="128"/>
      <c r="U44" s="345"/>
      <c r="V44" s="126">
        <f>COUNTIF('納品書明細F-15'!$D$9:$D$297,CONCATENATE(VLOOKUP(P$5,$G$1:$H$4,2,FALSE),$E44,9,1,1))</f>
        <v>0</v>
      </c>
      <c r="W44" s="433">
        <f>SUMIF('納品書明細F-15'!$C$9:$C$297,CONCATENATE(VLOOKUP(P$5,$G$1:$H$4,2,FALSE),$E44,9,1),'納品書明細F-15'!$Q$9:$Q$297)</f>
        <v>0</v>
      </c>
      <c r="X44" s="69"/>
      <c r="Y44" s="133">
        <f>COUNTIF('納品書明細F-15'!$D$9:$D$297,CONCATENATE(VLOOKUP(Y$5,$G$1:$H$4,2,FALSE),$E44,1,1,1))</f>
        <v>0</v>
      </c>
      <c r="Z44" s="161">
        <f>SUMIF('納品書明細F-15'!$C$9:$C$297,CONCATENATE(VLOOKUP(Y$5,$G$1:$H$4,2,FALSE),$E44,1,1),'納品書明細F-15'!$Q$9:$Q$297)</f>
        <v>0</v>
      </c>
      <c r="AA44" s="345"/>
      <c r="AB44" s="122"/>
      <c r="AC44" s="128"/>
      <c r="AD44" s="345"/>
      <c r="AE44" s="126">
        <f>COUNTIF('納品書明細F-15'!$D$9:$D$297,CONCATENATE(VLOOKUP(Y$5,$G$1:$H$4,2,FALSE),$E44,9,1,1))</f>
        <v>0</v>
      </c>
      <c r="AF44" s="433">
        <f>SUMIF('納品書明細F-15'!$C$9:$C$297,CONCATENATE(VLOOKUP(Y$5,$G$1:$H$4,2,FALSE),$E44,9,1),'納品書明細F-15'!$Q$9:$Q$297)</f>
        <v>0</v>
      </c>
    </row>
    <row r="45" spans="1:32">
      <c r="A45" s="474" t="str">
        <f>IF(SUMIFS($G45:$AF45,$G$8:$AF$8,"金額",$G45:$AF45,"&gt;0")-SUMIFS($G45:$AF45,$G$8:$AF$8,"金額",$G45:$AF45,"&lt;0")&lt;=0,"",MAX($A$8:$A44)+1)</f>
        <v/>
      </c>
      <c r="B45" s="802"/>
      <c r="C45" s="245" t="str">
        <f t="shared" si="1"/>
        <v>商品</v>
      </c>
      <c r="D45" s="245">
        <v>37</v>
      </c>
      <c r="E45" s="590" t="str">
        <f>IF($F45&lt;&gt;"",INDEX(ﾏｽﾀ!$D$8:$D$124,MATCH(INDEX(ﾏｽﾀ!$N$8:$N$124,MATCH($F45,ﾏｽﾀ!$O$8:$O$124,0)),ﾏｽﾀ!$B$8:$B$124,0))&amp;"","")</f>
        <v>74000</v>
      </c>
      <c r="F45" s="589" t="str">
        <f>ﾏｽﾀ!$R44&amp;""</f>
        <v>株式会社シーズ</v>
      </c>
      <c r="G45" s="133">
        <f>COUNTIF('納品書明細F-15'!$D$9:$D$297,CONCATENATE(VLOOKUP(G$5,$G$1:$H$4,2,FALSE),$E45,1,1,1))</f>
        <v>0</v>
      </c>
      <c r="H45" s="127">
        <f>SUMIF('納品書明細F-15'!$C$9:$C$297,CONCATENATE(VLOOKUP(G$5,$G$1:$H$4,2,FALSE),$E45,1,1),'納品書明細F-15'!$Q$9:$Q$297)</f>
        <v>0</v>
      </c>
      <c r="I45" s="345"/>
      <c r="J45" s="122"/>
      <c r="K45" s="359"/>
      <c r="L45" s="345"/>
      <c r="M45" s="126">
        <f>COUNTIF('納品書明細F-15'!$D$9:$D$297,CONCATENATE(VLOOKUP(G$5,$G$1:$H$4,2,FALSE),$E45,9,1,1))</f>
        <v>0</v>
      </c>
      <c r="N45" s="432">
        <f>SUMIF('納品書明細F-15'!$C$9:$C$297,CONCATENATE(VLOOKUP(G$5,$G$1:$H$4,2,FALSE),$E45,9,1),'納品書明細F-15'!$Q$9:$Q$297)</f>
        <v>0</v>
      </c>
      <c r="O45" s="69"/>
      <c r="P45" s="133">
        <f>COUNTIF('納品書明細F-15'!$D$9:$D$297,CONCATENATE(VLOOKUP(P$5,$G$1:$H$4,2,FALSE),$E45,1,1,1))</f>
        <v>0</v>
      </c>
      <c r="Q45" s="161">
        <f>SUMIF('納品書明細F-15'!$C$9:$C$297,CONCATENATE(VLOOKUP(P$5,$G$1:$H$4,2,FALSE),$E45,1,1),'納品書明細F-15'!$Q$9:$Q$297)</f>
        <v>0</v>
      </c>
      <c r="R45" s="345"/>
      <c r="S45" s="122"/>
      <c r="T45" s="128"/>
      <c r="U45" s="345"/>
      <c r="V45" s="126">
        <f>COUNTIF('納品書明細F-15'!$D$9:$D$297,CONCATENATE(VLOOKUP(P$5,$G$1:$H$4,2,FALSE),$E45,9,1,1))</f>
        <v>0</v>
      </c>
      <c r="W45" s="433">
        <f>SUMIF('納品書明細F-15'!$C$9:$C$297,CONCATENATE(VLOOKUP(P$5,$G$1:$H$4,2,FALSE),$E45,9,1),'納品書明細F-15'!$Q$9:$Q$297)</f>
        <v>0</v>
      </c>
      <c r="X45" s="69"/>
      <c r="Y45" s="133">
        <f>COUNTIF('納品書明細F-15'!$D$9:$D$297,CONCATENATE(VLOOKUP(Y$5,$G$1:$H$4,2,FALSE),$E45,1,1,1))</f>
        <v>0</v>
      </c>
      <c r="Z45" s="161">
        <f>SUMIF('納品書明細F-15'!$C$9:$C$297,CONCATENATE(VLOOKUP(Y$5,$G$1:$H$4,2,FALSE),$E45,1,1),'納品書明細F-15'!$Q$9:$Q$297)</f>
        <v>0</v>
      </c>
      <c r="AA45" s="345"/>
      <c r="AB45" s="122"/>
      <c r="AC45" s="128"/>
      <c r="AD45" s="345"/>
      <c r="AE45" s="126">
        <f>COUNTIF('納品書明細F-15'!$D$9:$D$297,CONCATENATE(VLOOKUP(Y$5,$G$1:$H$4,2,FALSE),$E45,9,1,1))</f>
        <v>0</v>
      </c>
      <c r="AF45" s="433">
        <f>SUMIF('納品書明細F-15'!$C$9:$C$297,CONCATENATE(VLOOKUP(Y$5,$G$1:$H$4,2,FALSE),$E45,9,1),'納品書明細F-15'!$Q$9:$Q$297)</f>
        <v>0</v>
      </c>
    </row>
    <row r="46" spans="1:32">
      <c r="A46" s="474" t="str">
        <f>IF(SUMIFS($G46:$AF46,$G$8:$AF$8,"金額",$G46:$AF46,"&gt;0")-SUMIFS($G46:$AF46,$G$8:$AF$8,"金額",$G46:$AF46,"&lt;0")&lt;=0,"",MAX($A$8:$A45)+1)</f>
        <v/>
      </c>
      <c r="B46" s="802"/>
      <c r="C46" s="245" t="str">
        <f t="shared" si="1"/>
        <v>商品</v>
      </c>
      <c r="D46" s="245">
        <v>38</v>
      </c>
      <c r="E46" s="590" t="str">
        <f>IF($F46&lt;&gt;"",INDEX(ﾏｽﾀ!$D$8:$D$124,MATCH(INDEX(ﾏｽﾀ!$N$8:$N$124,MATCH($F46,ﾏｽﾀ!$O$8:$O$124,0)),ﾏｽﾀ!$B$8:$B$124,0))&amp;"","")</f>
        <v>75000</v>
      </c>
      <c r="F46" s="589" t="str">
        <f>ﾏｽﾀ!$R45&amp;""</f>
        <v>株式会社スカイ・ジェイ</v>
      </c>
      <c r="G46" s="133">
        <f>COUNTIF('納品書明細F-15'!$D$9:$D$297,CONCATENATE(VLOOKUP(G$5,$G$1:$H$4,2,FALSE),$E46,1,1,1))</f>
        <v>0</v>
      </c>
      <c r="H46" s="127">
        <f>SUMIF('納品書明細F-15'!$C$9:$C$297,CONCATENATE(VLOOKUP(G$5,$G$1:$H$4,2,FALSE),$E46,1,1),'納品書明細F-15'!$Q$9:$Q$297)</f>
        <v>0</v>
      </c>
      <c r="I46" s="345"/>
      <c r="J46" s="122"/>
      <c r="K46" s="359"/>
      <c r="L46" s="345"/>
      <c r="M46" s="126">
        <f>COUNTIF('納品書明細F-15'!$D$9:$D$297,CONCATENATE(VLOOKUP(G$5,$G$1:$H$4,2,FALSE),$E46,9,1,1))</f>
        <v>0</v>
      </c>
      <c r="N46" s="432">
        <f>SUMIF('納品書明細F-15'!$C$9:$C$297,CONCATENATE(VLOOKUP(G$5,$G$1:$H$4,2,FALSE),$E46,9,1),'納品書明細F-15'!$Q$9:$Q$297)</f>
        <v>0</v>
      </c>
      <c r="O46" s="69"/>
      <c r="P46" s="133">
        <f>COUNTIF('納品書明細F-15'!$D$9:$D$297,CONCATENATE(VLOOKUP(P$5,$G$1:$H$4,2,FALSE),$E46,1,1,1))</f>
        <v>0</v>
      </c>
      <c r="Q46" s="161">
        <f>SUMIF('納品書明細F-15'!$C$9:$C$297,CONCATENATE(VLOOKUP(P$5,$G$1:$H$4,2,FALSE),$E46,1,1),'納品書明細F-15'!$Q$9:$Q$297)</f>
        <v>0</v>
      </c>
      <c r="R46" s="345"/>
      <c r="S46" s="122"/>
      <c r="T46" s="128"/>
      <c r="U46" s="345"/>
      <c r="V46" s="126">
        <f>COUNTIF('納品書明細F-15'!$D$9:$D$297,CONCATENATE(VLOOKUP(P$5,$G$1:$H$4,2,FALSE),$E46,9,1,1))</f>
        <v>0</v>
      </c>
      <c r="W46" s="433">
        <f>SUMIF('納品書明細F-15'!$C$9:$C$297,CONCATENATE(VLOOKUP(P$5,$G$1:$H$4,2,FALSE),$E46,9,1),'納品書明細F-15'!$Q$9:$Q$297)</f>
        <v>0</v>
      </c>
      <c r="X46" s="69"/>
      <c r="Y46" s="133">
        <f>COUNTIF('納品書明細F-15'!$D$9:$D$297,CONCATENATE(VLOOKUP(Y$5,$G$1:$H$4,2,FALSE),$E46,1,1,1))</f>
        <v>0</v>
      </c>
      <c r="Z46" s="161">
        <f>SUMIF('納品書明細F-15'!$C$9:$C$297,CONCATENATE(VLOOKUP(Y$5,$G$1:$H$4,2,FALSE),$E46,1,1),'納品書明細F-15'!$Q$9:$Q$297)</f>
        <v>0</v>
      </c>
      <c r="AA46" s="345"/>
      <c r="AB46" s="122"/>
      <c r="AC46" s="128"/>
      <c r="AD46" s="345"/>
      <c r="AE46" s="126">
        <f>COUNTIF('納品書明細F-15'!$D$9:$D$297,CONCATENATE(VLOOKUP(Y$5,$G$1:$H$4,2,FALSE),$E46,9,1,1))</f>
        <v>0</v>
      </c>
      <c r="AF46" s="433">
        <f>SUMIF('納品書明細F-15'!$C$9:$C$297,CONCATENATE(VLOOKUP(Y$5,$G$1:$H$4,2,FALSE),$E46,9,1),'納品書明細F-15'!$Q$9:$Q$297)</f>
        <v>0</v>
      </c>
    </row>
    <row r="47" spans="1:32">
      <c r="A47" s="474" t="str">
        <f>IF(SUMIFS($G47:$AF47,$G$8:$AF$8,"金額",$G47:$AF47,"&gt;0")-SUMIFS($G47:$AF47,$G$8:$AF$8,"金額",$G47:$AF47,"&lt;0")&lt;=0,"",MAX($A$8:$A46)+1)</f>
        <v/>
      </c>
      <c r="B47" s="802"/>
      <c r="C47" s="245" t="str">
        <f t="shared" si="1"/>
        <v>商品</v>
      </c>
      <c r="D47" s="245">
        <v>39</v>
      </c>
      <c r="E47" s="590" t="str">
        <f>IF($F47&lt;&gt;"",INDEX(ﾏｽﾀ!$D$8:$D$124,MATCH(INDEX(ﾏｽﾀ!$N$8:$N$124,MATCH($F47,ﾏｽﾀ!$O$8:$O$124,0)),ﾏｽﾀ!$B$8:$B$124,0))&amp;"","")</f>
        <v>76000</v>
      </c>
      <c r="F47" s="589" t="str">
        <f>ﾏｽﾀ!$R46&amp;""</f>
        <v>株式会社カプコン</v>
      </c>
      <c r="G47" s="133">
        <f>COUNTIF('納品書明細F-15'!$D$9:$D$297,CONCATENATE(VLOOKUP(G$5,$G$1:$H$4,2,FALSE),$E47,1,1,1))</f>
        <v>0</v>
      </c>
      <c r="H47" s="127">
        <f>SUMIF('納品書明細F-15'!$C$9:$C$297,CONCATENATE(VLOOKUP(G$5,$G$1:$H$4,2,FALSE),$E47,1,1),'納品書明細F-15'!$Q$9:$Q$297)</f>
        <v>0</v>
      </c>
      <c r="I47" s="345"/>
      <c r="J47" s="122"/>
      <c r="K47" s="359"/>
      <c r="L47" s="345"/>
      <c r="M47" s="126">
        <f>COUNTIF('納品書明細F-15'!$D$9:$D$297,CONCATENATE(VLOOKUP(G$5,$G$1:$H$4,2,FALSE),$E47,9,1,1))</f>
        <v>0</v>
      </c>
      <c r="N47" s="432">
        <f>SUMIF('納品書明細F-15'!$C$9:$C$297,CONCATENATE(VLOOKUP(G$5,$G$1:$H$4,2,FALSE),$E47,9,1),'納品書明細F-15'!$Q$9:$Q$297)</f>
        <v>0</v>
      </c>
      <c r="O47" s="69"/>
      <c r="P47" s="133">
        <f>COUNTIF('納品書明細F-15'!$D$9:$D$297,CONCATENATE(VLOOKUP(P$5,$G$1:$H$4,2,FALSE),$E47,1,1,1))</f>
        <v>0</v>
      </c>
      <c r="Q47" s="161">
        <f>SUMIF('納品書明細F-15'!$C$9:$C$297,CONCATENATE(VLOOKUP(P$5,$G$1:$H$4,2,FALSE),$E47,1,1),'納品書明細F-15'!$Q$9:$Q$297)</f>
        <v>0</v>
      </c>
      <c r="R47" s="345"/>
      <c r="S47" s="122"/>
      <c r="T47" s="128"/>
      <c r="U47" s="345"/>
      <c r="V47" s="126">
        <f>COUNTIF('納品書明細F-15'!$D$9:$D$297,CONCATENATE(VLOOKUP(P$5,$G$1:$H$4,2,FALSE),$E47,9,1,1))</f>
        <v>0</v>
      </c>
      <c r="W47" s="433">
        <f>SUMIF('納品書明細F-15'!$C$9:$C$297,CONCATENATE(VLOOKUP(P$5,$G$1:$H$4,2,FALSE),$E47,9,1),'納品書明細F-15'!$Q$9:$Q$297)</f>
        <v>0</v>
      </c>
      <c r="X47" s="69"/>
      <c r="Y47" s="133">
        <f>COUNTIF('納品書明細F-15'!$D$9:$D$297,CONCATENATE(VLOOKUP(Y$5,$G$1:$H$4,2,FALSE),$E47,1,1,1))</f>
        <v>0</v>
      </c>
      <c r="Z47" s="161">
        <f>SUMIF('納品書明細F-15'!$C$9:$C$297,CONCATENATE(VLOOKUP(Y$5,$G$1:$H$4,2,FALSE),$E47,1,1),'納品書明細F-15'!$Q$9:$Q$297)</f>
        <v>0</v>
      </c>
      <c r="AA47" s="345"/>
      <c r="AB47" s="122"/>
      <c r="AC47" s="128"/>
      <c r="AD47" s="345"/>
      <c r="AE47" s="126">
        <f>COUNTIF('納品書明細F-15'!$D$9:$D$297,CONCATENATE(VLOOKUP(Y$5,$G$1:$H$4,2,FALSE),$E47,9,1,1))</f>
        <v>0</v>
      </c>
      <c r="AF47" s="433">
        <f>SUMIF('納品書明細F-15'!$C$9:$C$297,CONCATENATE(VLOOKUP(Y$5,$G$1:$H$4,2,FALSE),$E47,9,1),'納品書明細F-15'!$Q$9:$Q$297)</f>
        <v>0</v>
      </c>
    </row>
    <row r="48" spans="1:32">
      <c r="A48" s="474" t="str">
        <f>IF(SUMIFS($G48:$AF48,$G$8:$AF$8,"金額",$G48:$AF48,"&gt;0")-SUMIFS($G48:$AF48,$G$8:$AF$8,"金額",$G48:$AF48,"&lt;0")&lt;=0,"",MAX($A$8:$A47)+1)</f>
        <v/>
      </c>
      <c r="B48" s="802"/>
      <c r="C48" s="245" t="str">
        <f t="shared" si="1"/>
        <v>商品</v>
      </c>
      <c r="D48" s="245">
        <v>40</v>
      </c>
      <c r="E48" s="590" t="str">
        <f>IF($F48&lt;&gt;"",INDEX(ﾏｽﾀ!$D$8:$D$124,MATCH(INDEX(ﾏｽﾀ!$N$8:$N$124,MATCH($F48,ﾏｽﾀ!$O$8:$O$124,0)),ﾏｽﾀ!$B$8:$B$124,0))&amp;"","")</f>
        <v>77000</v>
      </c>
      <c r="F48" s="589" t="str">
        <f>ﾏｽﾀ!$R47&amp;""</f>
        <v>株式会社そごう・西武</v>
      </c>
      <c r="G48" s="133">
        <f>COUNTIF('納品書明細F-15'!$D$9:$D$297,CONCATENATE(VLOOKUP(G$5,$G$1:$H$4,2,FALSE),$E48,1,1,1))</f>
        <v>0</v>
      </c>
      <c r="H48" s="127">
        <f>SUMIF('納品書明細F-15'!$C$9:$C$297,CONCATENATE(VLOOKUP(G$5,$G$1:$H$4,2,FALSE),$E48,1,1),'納品書明細F-15'!$Q$9:$Q$297)</f>
        <v>0</v>
      </c>
      <c r="I48" s="345"/>
      <c r="J48" s="122"/>
      <c r="K48" s="359"/>
      <c r="L48" s="345"/>
      <c r="M48" s="126">
        <f>COUNTIF('納品書明細F-15'!$D$9:$D$297,CONCATENATE(VLOOKUP(G$5,$G$1:$H$4,2,FALSE),$E48,9,1,1))</f>
        <v>0</v>
      </c>
      <c r="N48" s="432">
        <f>SUMIF('納品書明細F-15'!$C$9:$C$297,CONCATENATE(VLOOKUP(G$5,$G$1:$H$4,2,FALSE),$E48,9,1),'納品書明細F-15'!$Q$9:$Q$297)</f>
        <v>0</v>
      </c>
      <c r="O48" s="69"/>
      <c r="P48" s="133">
        <f>COUNTIF('納品書明細F-15'!$D$9:$D$297,CONCATENATE(VLOOKUP(P$5,$G$1:$H$4,2,FALSE),$E48,1,1,1))</f>
        <v>0</v>
      </c>
      <c r="Q48" s="161">
        <f>SUMIF('納品書明細F-15'!$C$9:$C$297,CONCATENATE(VLOOKUP(P$5,$G$1:$H$4,2,FALSE),$E48,1,1),'納品書明細F-15'!$Q$9:$Q$297)</f>
        <v>0</v>
      </c>
      <c r="R48" s="345"/>
      <c r="S48" s="122"/>
      <c r="T48" s="128"/>
      <c r="U48" s="345"/>
      <c r="V48" s="126">
        <f>COUNTIF('納品書明細F-15'!$D$9:$D$297,CONCATENATE(VLOOKUP(P$5,$G$1:$H$4,2,FALSE),$E48,9,1,1))</f>
        <v>0</v>
      </c>
      <c r="W48" s="433">
        <f>SUMIF('納品書明細F-15'!$C$9:$C$297,CONCATENATE(VLOOKUP(P$5,$G$1:$H$4,2,FALSE),$E48,9,1),'納品書明細F-15'!$Q$9:$Q$297)</f>
        <v>0</v>
      </c>
      <c r="X48" s="69"/>
      <c r="Y48" s="133">
        <f>COUNTIF('納品書明細F-15'!$D$9:$D$297,CONCATENATE(VLOOKUP(Y$5,$G$1:$H$4,2,FALSE),$E48,1,1,1))</f>
        <v>0</v>
      </c>
      <c r="Z48" s="161">
        <f>SUMIF('納品書明細F-15'!$C$9:$C$297,CONCATENATE(VLOOKUP(Y$5,$G$1:$H$4,2,FALSE),$E48,1,1),'納品書明細F-15'!$Q$9:$Q$297)</f>
        <v>0</v>
      </c>
      <c r="AA48" s="345"/>
      <c r="AB48" s="122"/>
      <c r="AC48" s="128"/>
      <c r="AD48" s="345"/>
      <c r="AE48" s="126">
        <f>COUNTIF('納品書明細F-15'!$D$9:$D$297,CONCATENATE(VLOOKUP(Y$5,$G$1:$H$4,2,FALSE),$E48,9,1,1))</f>
        <v>0</v>
      </c>
      <c r="AF48" s="433">
        <f>SUMIF('納品書明細F-15'!$C$9:$C$297,CONCATENATE(VLOOKUP(Y$5,$G$1:$H$4,2,FALSE),$E48,9,1),'納品書明細F-15'!$Q$9:$Q$297)</f>
        <v>0</v>
      </c>
    </row>
    <row r="49" spans="1:32">
      <c r="A49" s="474" t="str">
        <f>IF(SUMIFS($G49:$AF49,$G$8:$AF$8,"金額",$G49:$AF49,"&gt;0")-SUMIFS($G49:$AF49,$G$8:$AF$8,"金額",$G49:$AF49,"&lt;0")&lt;=0,"",MAX($A$8:$A48)+1)</f>
        <v/>
      </c>
      <c r="B49" s="802"/>
      <c r="C49" s="245" t="str">
        <f t="shared" si="1"/>
        <v>商品</v>
      </c>
      <c r="D49" s="245">
        <v>41</v>
      </c>
      <c r="E49" s="590" t="str">
        <f>IF($F49&lt;&gt;"",INDEX(ﾏｽﾀ!$D$8:$D$124,MATCH(INDEX(ﾏｽﾀ!$N$8:$N$124,MATCH($F49,ﾏｽﾀ!$O$8:$O$124,0)),ﾏｽﾀ!$B$8:$B$124,0))&amp;"","")</f>
        <v>78000</v>
      </c>
      <c r="F49" s="589" t="str">
        <f>ﾏｽﾀ!$R48&amp;""</f>
        <v>株式会社ティー・シー・ピー</v>
      </c>
      <c r="G49" s="133">
        <f>COUNTIF('納品書明細F-15'!$D$9:$D$297,CONCATENATE(VLOOKUP(G$5,$G$1:$H$4,2,FALSE),$E49,1,1,1))</f>
        <v>0</v>
      </c>
      <c r="H49" s="127">
        <f>SUMIF('納品書明細F-15'!$C$9:$C$297,CONCATENATE(VLOOKUP(G$5,$G$1:$H$4,2,FALSE),$E49,1,1),'納品書明細F-15'!$Q$9:$Q$297)</f>
        <v>0</v>
      </c>
      <c r="I49" s="345"/>
      <c r="J49" s="122"/>
      <c r="K49" s="359"/>
      <c r="L49" s="345"/>
      <c r="M49" s="126">
        <f>COUNTIF('納品書明細F-15'!$D$9:$D$297,CONCATENATE(VLOOKUP(G$5,$G$1:$H$4,2,FALSE),$E49,9,1,1))</f>
        <v>0</v>
      </c>
      <c r="N49" s="432">
        <f>SUMIF('納品書明細F-15'!$C$9:$C$297,CONCATENATE(VLOOKUP(G$5,$G$1:$H$4,2,FALSE),$E49,9,1),'納品書明細F-15'!$Q$9:$Q$297)</f>
        <v>0</v>
      </c>
      <c r="O49" s="69"/>
      <c r="P49" s="133">
        <f>COUNTIF('納品書明細F-15'!$D$9:$D$297,CONCATENATE(VLOOKUP(P$5,$G$1:$H$4,2,FALSE),$E49,1,1,1))</f>
        <v>0</v>
      </c>
      <c r="Q49" s="161">
        <f>SUMIF('納品書明細F-15'!$C$9:$C$297,CONCATENATE(VLOOKUP(P$5,$G$1:$H$4,2,FALSE),$E49,1,1),'納品書明細F-15'!$Q$9:$Q$297)</f>
        <v>0</v>
      </c>
      <c r="R49" s="345"/>
      <c r="S49" s="122"/>
      <c r="T49" s="128"/>
      <c r="U49" s="345"/>
      <c r="V49" s="126">
        <f>COUNTIF('納品書明細F-15'!$D$9:$D$297,CONCATENATE(VLOOKUP(P$5,$G$1:$H$4,2,FALSE),$E49,9,1,1))</f>
        <v>0</v>
      </c>
      <c r="W49" s="433">
        <f>SUMIF('納品書明細F-15'!$C$9:$C$297,CONCATENATE(VLOOKUP(P$5,$G$1:$H$4,2,FALSE),$E49,9,1),'納品書明細F-15'!$Q$9:$Q$297)</f>
        <v>0</v>
      </c>
      <c r="X49" s="69"/>
      <c r="Y49" s="133">
        <f>COUNTIF('納品書明細F-15'!$D$9:$D$297,CONCATENATE(VLOOKUP(Y$5,$G$1:$H$4,2,FALSE),$E49,1,1,1))</f>
        <v>0</v>
      </c>
      <c r="Z49" s="161">
        <f>SUMIF('納品書明細F-15'!$C$9:$C$297,CONCATENATE(VLOOKUP(Y$5,$G$1:$H$4,2,FALSE),$E49,1,1),'納品書明細F-15'!$Q$9:$Q$297)</f>
        <v>0</v>
      </c>
      <c r="AA49" s="345"/>
      <c r="AB49" s="122"/>
      <c r="AC49" s="128"/>
      <c r="AD49" s="345"/>
      <c r="AE49" s="126">
        <f>COUNTIF('納品書明細F-15'!$D$9:$D$297,CONCATENATE(VLOOKUP(Y$5,$G$1:$H$4,2,FALSE),$E49,9,1,1))</f>
        <v>0</v>
      </c>
      <c r="AF49" s="433">
        <f>SUMIF('納品書明細F-15'!$C$9:$C$297,CONCATENATE(VLOOKUP(Y$5,$G$1:$H$4,2,FALSE),$E49,9,1),'納品書明細F-15'!$Q$9:$Q$297)</f>
        <v>0</v>
      </c>
    </row>
    <row r="50" spans="1:32">
      <c r="A50" s="474" t="str">
        <f>IF(SUMIFS($G50:$AF50,$G$8:$AF$8,"金額",$G50:$AF50,"&gt;0")-SUMIFS($G50:$AF50,$G$8:$AF$8,"金額",$G50:$AF50,"&lt;0")&lt;=0,"",MAX($A$8:$A49)+1)</f>
        <v/>
      </c>
      <c r="B50" s="802"/>
      <c r="C50" s="245" t="str">
        <f t="shared" si="1"/>
        <v>商品</v>
      </c>
      <c r="D50" s="245">
        <v>42</v>
      </c>
      <c r="E50" s="590" t="str">
        <f>IF($F50&lt;&gt;"",INDEX(ﾏｽﾀ!$D$8:$D$124,MATCH(INDEX(ﾏｽﾀ!$N$8:$N$124,MATCH($F50,ﾏｽﾀ!$O$8:$O$124,0)),ﾏｽﾀ!$B$8:$B$124,0))&amp;"","")</f>
        <v>79000</v>
      </c>
      <c r="F50" s="589" t="str">
        <f>ﾏｽﾀ!$R49&amp;""</f>
        <v>総合商研株式会社</v>
      </c>
      <c r="G50" s="133">
        <f>COUNTIF('納品書明細F-15'!$D$9:$D$297,CONCATENATE(VLOOKUP(G$5,$G$1:$H$4,2,FALSE),$E50,1,1,1))</f>
        <v>0</v>
      </c>
      <c r="H50" s="127">
        <f>SUMIF('納品書明細F-15'!$C$9:$C$297,CONCATENATE(VLOOKUP(G$5,$G$1:$H$4,2,FALSE),$E50,1,1),'納品書明細F-15'!$Q$9:$Q$297)</f>
        <v>0</v>
      </c>
      <c r="I50" s="345"/>
      <c r="J50" s="122"/>
      <c r="K50" s="359"/>
      <c r="L50" s="345"/>
      <c r="M50" s="126">
        <f>COUNTIF('納品書明細F-15'!$D$9:$D$297,CONCATENATE(VLOOKUP(G$5,$G$1:$H$4,2,FALSE),$E50,9,1,1))</f>
        <v>0</v>
      </c>
      <c r="N50" s="432">
        <f>SUMIF('納品書明細F-15'!$C$9:$C$297,CONCATENATE(VLOOKUP(G$5,$G$1:$H$4,2,FALSE),$E50,9,1),'納品書明細F-15'!$Q$9:$Q$297)</f>
        <v>0</v>
      </c>
      <c r="O50" s="69"/>
      <c r="P50" s="133">
        <f>COUNTIF('納品書明細F-15'!$D$9:$D$297,CONCATENATE(VLOOKUP(P$5,$G$1:$H$4,2,FALSE),$E50,1,1,1))</f>
        <v>0</v>
      </c>
      <c r="Q50" s="161">
        <f>SUMIF('納品書明細F-15'!$C$9:$C$297,CONCATENATE(VLOOKUP(P$5,$G$1:$H$4,2,FALSE),$E50,1,1),'納品書明細F-15'!$Q$9:$Q$297)</f>
        <v>0</v>
      </c>
      <c r="R50" s="345"/>
      <c r="S50" s="122"/>
      <c r="T50" s="128"/>
      <c r="U50" s="345"/>
      <c r="V50" s="126">
        <f>COUNTIF('納品書明細F-15'!$D$9:$D$297,CONCATENATE(VLOOKUP(P$5,$G$1:$H$4,2,FALSE),$E50,9,1,1))</f>
        <v>0</v>
      </c>
      <c r="W50" s="433">
        <f>SUMIF('納品書明細F-15'!$C$9:$C$297,CONCATENATE(VLOOKUP(P$5,$G$1:$H$4,2,FALSE),$E50,9,1),'納品書明細F-15'!$Q$9:$Q$297)</f>
        <v>0</v>
      </c>
      <c r="X50" s="69"/>
      <c r="Y50" s="133">
        <f>COUNTIF('納品書明細F-15'!$D$9:$D$297,CONCATENATE(VLOOKUP(Y$5,$G$1:$H$4,2,FALSE),$E50,1,1,1))</f>
        <v>0</v>
      </c>
      <c r="Z50" s="161">
        <f>SUMIF('納品書明細F-15'!$C$9:$C$297,CONCATENATE(VLOOKUP(Y$5,$G$1:$H$4,2,FALSE),$E50,1,1),'納品書明細F-15'!$Q$9:$Q$297)</f>
        <v>0</v>
      </c>
      <c r="AA50" s="345"/>
      <c r="AB50" s="122"/>
      <c r="AC50" s="128"/>
      <c r="AD50" s="345"/>
      <c r="AE50" s="126">
        <f>COUNTIF('納品書明細F-15'!$D$9:$D$297,CONCATENATE(VLOOKUP(Y$5,$G$1:$H$4,2,FALSE),$E50,9,1,1))</f>
        <v>0</v>
      </c>
      <c r="AF50" s="433">
        <f>SUMIF('納品書明細F-15'!$C$9:$C$297,CONCATENATE(VLOOKUP(Y$5,$G$1:$H$4,2,FALSE),$E50,9,1),'納品書明細F-15'!$Q$9:$Q$297)</f>
        <v>0</v>
      </c>
    </row>
    <row r="51" spans="1:32">
      <c r="A51" s="474" t="str">
        <f>IF(SUMIFS($G51:$AF51,$G$8:$AF$8,"金額",$G51:$AF51,"&gt;0")-SUMIFS($G51:$AF51,$G$8:$AF$8,"金額",$G51:$AF51,"&lt;0")&lt;=0,"",MAX($A$8:$A50)+1)</f>
        <v/>
      </c>
      <c r="B51" s="802"/>
      <c r="C51" s="245" t="str">
        <f t="shared" si="1"/>
        <v>商品</v>
      </c>
      <c r="D51" s="245">
        <v>43</v>
      </c>
      <c r="E51" s="590" t="str">
        <f>IF($F51&lt;&gt;"",INDEX(ﾏｽﾀ!$D$8:$D$124,MATCH(INDEX(ﾏｽﾀ!$N$8:$N$124,MATCH($F51,ﾏｽﾀ!$O$8:$O$124,0)),ﾏｽﾀ!$B$8:$B$124,0))&amp;"","")</f>
        <v>80000</v>
      </c>
      <c r="F51" s="589" t="str">
        <f>ﾏｽﾀ!$R50&amp;""</f>
        <v>株式会社ポリゴン・ピクチュアズ</v>
      </c>
      <c r="G51" s="133">
        <f>COUNTIF('納品書明細F-15'!$D$9:$D$297,CONCATENATE(VLOOKUP(G$5,$G$1:$H$4,2,FALSE),$E51,1,1,1))</f>
        <v>0</v>
      </c>
      <c r="H51" s="127">
        <f>SUMIF('納品書明細F-15'!$C$9:$C$297,CONCATENATE(VLOOKUP(G$5,$G$1:$H$4,2,FALSE),$E51,1,1),'納品書明細F-15'!$Q$9:$Q$297)</f>
        <v>0</v>
      </c>
      <c r="I51" s="345"/>
      <c r="J51" s="122"/>
      <c r="K51" s="359"/>
      <c r="L51" s="345"/>
      <c r="M51" s="126">
        <f>COUNTIF('納品書明細F-15'!$D$9:$D$297,CONCATENATE(VLOOKUP(G$5,$G$1:$H$4,2,FALSE),$E51,9,1,1))</f>
        <v>0</v>
      </c>
      <c r="N51" s="432">
        <f>SUMIF('納品書明細F-15'!$C$9:$C$297,CONCATENATE(VLOOKUP(G$5,$G$1:$H$4,2,FALSE),$E51,9,1),'納品書明細F-15'!$Q$9:$Q$297)</f>
        <v>0</v>
      </c>
      <c r="O51" s="69"/>
      <c r="P51" s="133">
        <f>COUNTIF('納品書明細F-15'!$D$9:$D$297,CONCATENATE(VLOOKUP(P$5,$G$1:$H$4,2,FALSE),$E51,1,1,1))</f>
        <v>0</v>
      </c>
      <c r="Q51" s="161">
        <f>SUMIF('納品書明細F-15'!$C$9:$C$297,CONCATENATE(VLOOKUP(P$5,$G$1:$H$4,2,FALSE),$E51,1,1),'納品書明細F-15'!$Q$9:$Q$297)</f>
        <v>0</v>
      </c>
      <c r="R51" s="345"/>
      <c r="S51" s="122"/>
      <c r="T51" s="128"/>
      <c r="U51" s="345"/>
      <c r="V51" s="126">
        <f>COUNTIF('納品書明細F-15'!$D$9:$D$297,CONCATENATE(VLOOKUP(P$5,$G$1:$H$4,2,FALSE),$E51,9,1,1))</f>
        <v>0</v>
      </c>
      <c r="W51" s="433">
        <f>SUMIF('納品書明細F-15'!$C$9:$C$297,CONCATENATE(VLOOKUP(P$5,$G$1:$H$4,2,FALSE),$E51,9,1),'納品書明細F-15'!$Q$9:$Q$297)</f>
        <v>0</v>
      </c>
      <c r="X51" s="69"/>
      <c r="Y51" s="133">
        <f>COUNTIF('納品書明細F-15'!$D$9:$D$297,CONCATENATE(VLOOKUP(Y$5,$G$1:$H$4,2,FALSE),$E51,1,1,1))</f>
        <v>0</v>
      </c>
      <c r="Z51" s="161">
        <f>SUMIF('納品書明細F-15'!$C$9:$C$297,CONCATENATE(VLOOKUP(Y$5,$G$1:$H$4,2,FALSE),$E51,1,1),'納品書明細F-15'!$Q$9:$Q$297)</f>
        <v>0</v>
      </c>
      <c r="AA51" s="345"/>
      <c r="AB51" s="122"/>
      <c r="AC51" s="128"/>
      <c r="AD51" s="345"/>
      <c r="AE51" s="126">
        <f>COUNTIF('納品書明細F-15'!$D$9:$D$297,CONCATENATE(VLOOKUP(Y$5,$G$1:$H$4,2,FALSE),$E51,9,1,1))</f>
        <v>0</v>
      </c>
      <c r="AF51" s="433">
        <f>SUMIF('納品書明細F-15'!$C$9:$C$297,CONCATENATE(VLOOKUP(Y$5,$G$1:$H$4,2,FALSE),$E51,9,1),'納品書明細F-15'!$Q$9:$Q$297)</f>
        <v>0</v>
      </c>
    </row>
    <row r="52" spans="1:32">
      <c r="A52" s="474" t="str">
        <f>IF(SUMIFS($G52:$AF52,$G$8:$AF$8,"金額",$G52:$AF52,"&gt;0")-SUMIFS($G52:$AF52,$G$8:$AF$8,"金額",$G52:$AF52,"&lt;0")&lt;=0,"",MAX($A$8:$A51)+1)</f>
        <v/>
      </c>
      <c r="B52" s="802"/>
      <c r="C52" s="245" t="str">
        <f t="shared" si="1"/>
        <v>商品</v>
      </c>
      <c r="D52" s="245">
        <v>44</v>
      </c>
      <c r="E52" s="590" t="str">
        <f>IF($F52&lt;&gt;"",INDEX(ﾏｽﾀ!$D$8:$D$124,MATCH(INDEX(ﾏｽﾀ!$N$8:$N$124,MATCH($F52,ﾏｽﾀ!$O$8:$O$124,0)),ﾏｽﾀ!$B$8:$B$124,0))&amp;"","")</f>
        <v>81000</v>
      </c>
      <c r="F52" s="589" t="str">
        <f>ﾏｽﾀ!$R51&amp;""</f>
        <v>株式会社フォーチュンエンターテイメント</v>
      </c>
      <c r="G52" s="133">
        <f>COUNTIF('納品書明細F-15'!$D$9:$D$297,CONCATENATE(VLOOKUP(G$5,$G$1:$H$4,2,FALSE),$E52,1,1,1))</f>
        <v>0</v>
      </c>
      <c r="H52" s="127">
        <f>SUMIF('納品書明細F-15'!$C$9:$C$297,CONCATENATE(VLOOKUP(G$5,$G$1:$H$4,2,FALSE),$E52,1,1),'納品書明細F-15'!$Q$9:$Q$297)</f>
        <v>0</v>
      </c>
      <c r="I52" s="345"/>
      <c r="J52" s="122"/>
      <c r="K52" s="359"/>
      <c r="L52" s="345"/>
      <c r="M52" s="126">
        <f>COUNTIF('納品書明細F-15'!$D$9:$D$297,CONCATENATE(VLOOKUP(G$5,$G$1:$H$4,2,FALSE),$E52,9,1,1))</f>
        <v>0</v>
      </c>
      <c r="N52" s="432">
        <f>SUMIF('納品書明細F-15'!$C$9:$C$297,CONCATENATE(VLOOKUP(G$5,$G$1:$H$4,2,FALSE),$E52,9,1),'納品書明細F-15'!$Q$9:$Q$297)</f>
        <v>0</v>
      </c>
      <c r="O52" s="69"/>
      <c r="P52" s="133">
        <f>COUNTIF('納品書明細F-15'!$D$9:$D$297,CONCATENATE(VLOOKUP(P$5,$G$1:$H$4,2,FALSE),$E52,1,1,1))</f>
        <v>0</v>
      </c>
      <c r="Q52" s="161">
        <f>SUMIF('納品書明細F-15'!$C$9:$C$297,CONCATENATE(VLOOKUP(P$5,$G$1:$H$4,2,FALSE),$E52,1,1),'納品書明細F-15'!$Q$9:$Q$297)</f>
        <v>0</v>
      </c>
      <c r="R52" s="345"/>
      <c r="S52" s="122"/>
      <c r="T52" s="128"/>
      <c r="U52" s="345"/>
      <c r="V52" s="126">
        <f>COUNTIF('納品書明細F-15'!$D$9:$D$297,CONCATENATE(VLOOKUP(P$5,$G$1:$H$4,2,FALSE),$E52,9,1,1))</f>
        <v>0</v>
      </c>
      <c r="W52" s="433">
        <f>SUMIF('納品書明細F-15'!$C$9:$C$297,CONCATENATE(VLOOKUP(P$5,$G$1:$H$4,2,FALSE),$E52,9,1),'納品書明細F-15'!$Q$9:$Q$297)</f>
        <v>0</v>
      </c>
      <c r="X52" s="69"/>
      <c r="Y52" s="133">
        <f>COUNTIF('納品書明細F-15'!$D$9:$D$297,CONCATENATE(VLOOKUP(Y$5,$G$1:$H$4,2,FALSE),$E52,1,1,1))</f>
        <v>0</v>
      </c>
      <c r="Z52" s="161">
        <f>SUMIF('納品書明細F-15'!$C$9:$C$297,CONCATENATE(VLOOKUP(Y$5,$G$1:$H$4,2,FALSE),$E52,1,1),'納品書明細F-15'!$Q$9:$Q$297)</f>
        <v>0</v>
      </c>
      <c r="AA52" s="345"/>
      <c r="AB52" s="122"/>
      <c r="AC52" s="128"/>
      <c r="AD52" s="345"/>
      <c r="AE52" s="126">
        <f>COUNTIF('納品書明細F-15'!$D$9:$D$297,CONCATENATE(VLOOKUP(Y$5,$G$1:$H$4,2,FALSE),$E52,9,1,1))</f>
        <v>0</v>
      </c>
      <c r="AF52" s="433">
        <f>SUMIF('納品書明細F-15'!$C$9:$C$297,CONCATENATE(VLOOKUP(Y$5,$G$1:$H$4,2,FALSE),$E52,9,1),'納品書明細F-15'!$Q$9:$Q$297)</f>
        <v>0</v>
      </c>
    </row>
    <row r="53" spans="1:32">
      <c r="A53" s="474" t="str">
        <f>IF(SUMIFS($G53:$AF53,$G$8:$AF$8,"金額",$G53:$AF53,"&gt;0")-SUMIFS($G53:$AF53,$G$8:$AF$8,"金額",$G53:$AF53,"&lt;0")&lt;=0,"",MAX($A$8:$A52)+1)</f>
        <v/>
      </c>
      <c r="B53" s="802"/>
      <c r="C53" s="245" t="str">
        <f t="shared" si="1"/>
        <v>商品</v>
      </c>
      <c r="D53" s="245">
        <v>45</v>
      </c>
      <c r="E53" s="590" t="str">
        <f>IF($F53&lt;&gt;"",INDEX(ﾏｽﾀ!$D$8:$D$124,MATCH(INDEX(ﾏｽﾀ!$N$8:$N$124,MATCH($F53,ﾏｽﾀ!$O$8:$O$124,0)),ﾏｽﾀ!$B$8:$B$124,0))&amp;"","")</f>
        <v>82000</v>
      </c>
      <c r="F53" s="589" t="str">
        <f>ﾏｽﾀ!$R52&amp;""</f>
        <v>キングレコード株式会社</v>
      </c>
      <c r="G53" s="133">
        <f>COUNTIF('納品書明細F-15'!$D$9:$D$297,CONCATENATE(VLOOKUP(G$5,$G$1:$H$4,2,FALSE),$E53,1,1,1))</f>
        <v>0</v>
      </c>
      <c r="H53" s="127">
        <f>SUMIF('納品書明細F-15'!$C$9:$C$297,CONCATENATE(VLOOKUP(G$5,$G$1:$H$4,2,FALSE),$E53,1,1),'納品書明細F-15'!$Q$9:$Q$297)</f>
        <v>0</v>
      </c>
      <c r="I53" s="345"/>
      <c r="J53" s="122"/>
      <c r="K53" s="359"/>
      <c r="L53" s="345"/>
      <c r="M53" s="126">
        <f>COUNTIF('納品書明細F-15'!$D$9:$D$297,CONCATENATE(VLOOKUP(G$5,$G$1:$H$4,2,FALSE),$E53,9,1,1))</f>
        <v>0</v>
      </c>
      <c r="N53" s="432">
        <f>SUMIF('納品書明細F-15'!$C$9:$C$297,CONCATENATE(VLOOKUP(G$5,$G$1:$H$4,2,FALSE),$E53,9,1),'納品書明細F-15'!$Q$9:$Q$297)</f>
        <v>0</v>
      </c>
      <c r="O53" s="69"/>
      <c r="P53" s="133">
        <f>COUNTIF('納品書明細F-15'!$D$9:$D$297,CONCATENATE(VLOOKUP(P$5,$G$1:$H$4,2,FALSE),$E53,1,1,1))</f>
        <v>0</v>
      </c>
      <c r="Q53" s="161">
        <f>SUMIF('納品書明細F-15'!$C$9:$C$297,CONCATENATE(VLOOKUP(P$5,$G$1:$H$4,2,FALSE),$E53,1,1),'納品書明細F-15'!$Q$9:$Q$297)</f>
        <v>0</v>
      </c>
      <c r="R53" s="345"/>
      <c r="S53" s="122"/>
      <c r="T53" s="128"/>
      <c r="U53" s="345"/>
      <c r="V53" s="126">
        <f>COUNTIF('納品書明細F-15'!$D$9:$D$297,CONCATENATE(VLOOKUP(P$5,$G$1:$H$4,2,FALSE),$E53,9,1,1))</f>
        <v>0</v>
      </c>
      <c r="W53" s="433">
        <f>SUMIF('納品書明細F-15'!$C$9:$C$297,CONCATENATE(VLOOKUP(P$5,$G$1:$H$4,2,FALSE),$E53,9,1),'納品書明細F-15'!$Q$9:$Q$297)</f>
        <v>0</v>
      </c>
      <c r="X53" s="69"/>
      <c r="Y53" s="133">
        <f>COUNTIF('納品書明細F-15'!$D$9:$D$297,CONCATENATE(VLOOKUP(Y$5,$G$1:$H$4,2,FALSE),$E53,1,1,1))</f>
        <v>0</v>
      </c>
      <c r="Z53" s="161">
        <f>SUMIF('納品書明細F-15'!$C$9:$C$297,CONCATENATE(VLOOKUP(Y$5,$G$1:$H$4,2,FALSE),$E53,1,1),'納品書明細F-15'!$Q$9:$Q$297)</f>
        <v>0</v>
      </c>
      <c r="AA53" s="345"/>
      <c r="AB53" s="122"/>
      <c r="AC53" s="128"/>
      <c r="AD53" s="345"/>
      <c r="AE53" s="126">
        <f>COUNTIF('納品書明細F-15'!$D$9:$D$297,CONCATENATE(VLOOKUP(Y$5,$G$1:$H$4,2,FALSE),$E53,9,1,1))</f>
        <v>0</v>
      </c>
      <c r="AF53" s="433">
        <f>SUMIF('納品書明細F-15'!$C$9:$C$297,CONCATENATE(VLOOKUP(Y$5,$G$1:$H$4,2,FALSE),$E53,9,1),'納品書明細F-15'!$Q$9:$Q$297)</f>
        <v>0</v>
      </c>
    </row>
    <row r="54" spans="1:32">
      <c r="A54" s="474" t="str">
        <f>IF(SUMIFS($G54:$AF54,$G$8:$AF$8,"金額",$G54:$AF54,"&gt;0")-SUMIFS($G54:$AF54,$G$8:$AF$8,"金額",$G54:$AF54,"&lt;0")&lt;=0,"",MAX($A$8:$A53)+1)</f>
        <v/>
      </c>
      <c r="B54" s="802"/>
      <c r="C54" s="245" t="str">
        <f t="shared" si="1"/>
        <v>商品</v>
      </c>
      <c r="D54" s="245">
        <v>46</v>
      </c>
      <c r="E54" s="590" t="str">
        <f>IF($F54&lt;&gt;"",INDEX(ﾏｽﾀ!$D$8:$D$124,MATCH(INDEX(ﾏｽﾀ!$N$8:$N$124,MATCH($F54,ﾏｽﾀ!$O$8:$O$124,0)),ﾏｽﾀ!$B$8:$B$124,0))&amp;"","")</f>
        <v>83000</v>
      </c>
      <c r="F54" s="589" t="str">
        <f>ﾏｽﾀ!$R53&amp;""</f>
        <v>ソニー株式会社</v>
      </c>
      <c r="G54" s="133">
        <f>COUNTIF('納品書明細F-15'!$D$9:$D$297,CONCATENATE(VLOOKUP(G$5,$G$1:$H$4,2,FALSE),$E54,1,1,1))</f>
        <v>0</v>
      </c>
      <c r="H54" s="127">
        <f>SUMIF('納品書明細F-15'!$C$9:$C$297,CONCATENATE(VLOOKUP(G$5,$G$1:$H$4,2,FALSE),$E54,1,1),'納品書明細F-15'!$Q$9:$Q$297)</f>
        <v>0</v>
      </c>
      <c r="I54" s="345"/>
      <c r="J54" s="122"/>
      <c r="K54" s="359"/>
      <c r="L54" s="345"/>
      <c r="M54" s="126">
        <f>COUNTIF('納品書明細F-15'!$D$9:$D$297,CONCATENATE(VLOOKUP(G$5,$G$1:$H$4,2,FALSE),$E54,9,1,1))</f>
        <v>0</v>
      </c>
      <c r="N54" s="432">
        <f>SUMIF('納品書明細F-15'!$C$9:$C$297,CONCATENATE(VLOOKUP(G$5,$G$1:$H$4,2,FALSE),$E54,9,1),'納品書明細F-15'!$Q$9:$Q$297)</f>
        <v>0</v>
      </c>
      <c r="O54" s="69"/>
      <c r="P54" s="133">
        <f>COUNTIF('納品書明細F-15'!$D$9:$D$297,CONCATENATE(VLOOKUP(P$5,$G$1:$H$4,2,FALSE),$E54,1,1,1))</f>
        <v>0</v>
      </c>
      <c r="Q54" s="161">
        <f>SUMIF('納品書明細F-15'!$C$9:$C$297,CONCATENATE(VLOOKUP(P$5,$G$1:$H$4,2,FALSE),$E54,1,1),'納品書明細F-15'!$Q$9:$Q$297)</f>
        <v>0</v>
      </c>
      <c r="R54" s="345"/>
      <c r="S54" s="122"/>
      <c r="T54" s="128"/>
      <c r="U54" s="345"/>
      <c r="V54" s="126">
        <f>COUNTIF('納品書明細F-15'!$D$9:$D$297,CONCATENATE(VLOOKUP(P$5,$G$1:$H$4,2,FALSE),$E54,9,1,1))</f>
        <v>0</v>
      </c>
      <c r="W54" s="433">
        <f>SUMIF('納品書明細F-15'!$C$9:$C$297,CONCATENATE(VLOOKUP(P$5,$G$1:$H$4,2,FALSE),$E54,9,1),'納品書明細F-15'!$Q$9:$Q$297)</f>
        <v>0</v>
      </c>
      <c r="X54" s="69"/>
      <c r="Y54" s="133">
        <f>COUNTIF('納品書明細F-15'!$D$9:$D$297,CONCATENATE(VLOOKUP(Y$5,$G$1:$H$4,2,FALSE),$E54,1,1,1))</f>
        <v>0</v>
      </c>
      <c r="Z54" s="161">
        <f>SUMIF('納品書明細F-15'!$C$9:$C$297,CONCATENATE(VLOOKUP(Y$5,$G$1:$H$4,2,FALSE),$E54,1,1),'納品書明細F-15'!$Q$9:$Q$297)</f>
        <v>0</v>
      </c>
      <c r="AA54" s="345"/>
      <c r="AB54" s="122"/>
      <c r="AC54" s="128"/>
      <c r="AD54" s="345"/>
      <c r="AE54" s="126">
        <f>COUNTIF('納品書明細F-15'!$D$9:$D$297,CONCATENATE(VLOOKUP(Y$5,$G$1:$H$4,2,FALSE),$E54,9,1,1))</f>
        <v>0</v>
      </c>
      <c r="AF54" s="433">
        <f>SUMIF('納品書明細F-15'!$C$9:$C$297,CONCATENATE(VLOOKUP(Y$5,$G$1:$H$4,2,FALSE),$E54,9,1),'納品書明細F-15'!$Q$9:$Q$297)</f>
        <v>0</v>
      </c>
    </row>
    <row r="55" spans="1:32">
      <c r="A55" s="474" t="str">
        <f>IF(SUMIFS($G55:$AF55,$G$8:$AF$8,"金額",$G55:$AF55,"&gt;0")-SUMIFS($G55:$AF55,$G$8:$AF$8,"金額",$G55:$AF55,"&lt;0")&lt;=0,"",MAX($A$8:$A54)+1)</f>
        <v/>
      </c>
      <c r="B55" s="802"/>
      <c r="C55" s="245" t="str">
        <f t="shared" si="1"/>
        <v>商品</v>
      </c>
      <c r="D55" s="245">
        <v>47</v>
      </c>
      <c r="E55" s="590" t="str">
        <f>IF($F55&lt;&gt;"",INDEX(ﾏｽﾀ!$D$8:$D$124,MATCH(INDEX(ﾏｽﾀ!$N$8:$N$124,MATCH($F55,ﾏｽﾀ!$O$8:$O$124,0)),ﾏｽﾀ!$B$8:$B$124,0))&amp;"","")</f>
        <v>84000</v>
      </c>
      <c r="F55" s="589" t="str">
        <f>ﾏｽﾀ!$R54&amp;""</f>
        <v>株式会社ブイシンク</v>
      </c>
      <c r="G55" s="133">
        <f>COUNTIF('納品書明細F-15'!$D$9:$D$297,CONCATENATE(VLOOKUP(G$5,$G$1:$H$4,2,FALSE),$E55,1,1,1))</f>
        <v>0</v>
      </c>
      <c r="H55" s="127">
        <f>SUMIF('納品書明細F-15'!$C$9:$C$297,CONCATENATE(VLOOKUP(G$5,$G$1:$H$4,2,FALSE),$E55,1,1),'納品書明細F-15'!$Q$9:$Q$297)</f>
        <v>0</v>
      </c>
      <c r="I55" s="345"/>
      <c r="J55" s="122"/>
      <c r="K55" s="359"/>
      <c r="L55" s="345"/>
      <c r="M55" s="126">
        <f>COUNTIF('納品書明細F-15'!$D$9:$D$297,CONCATENATE(VLOOKUP(G$5,$G$1:$H$4,2,FALSE),$E55,9,1,1))</f>
        <v>0</v>
      </c>
      <c r="N55" s="432">
        <f>SUMIF('納品書明細F-15'!$C$9:$C$297,CONCATENATE(VLOOKUP(G$5,$G$1:$H$4,2,FALSE),$E55,9,1),'納品書明細F-15'!$Q$9:$Q$297)</f>
        <v>0</v>
      </c>
      <c r="O55" s="69"/>
      <c r="P55" s="133">
        <f>COUNTIF('納品書明細F-15'!$D$9:$D$297,CONCATENATE(VLOOKUP(P$5,$G$1:$H$4,2,FALSE),$E55,1,1,1))</f>
        <v>0</v>
      </c>
      <c r="Q55" s="161">
        <f>SUMIF('納品書明細F-15'!$C$9:$C$297,CONCATENATE(VLOOKUP(P$5,$G$1:$H$4,2,FALSE),$E55,1,1),'納品書明細F-15'!$Q$9:$Q$297)</f>
        <v>0</v>
      </c>
      <c r="R55" s="345"/>
      <c r="S55" s="122"/>
      <c r="T55" s="128"/>
      <c r="U55" s="345"/>
      <c r="V55" s="126">
        <f>COUNTIF('納品書明細F-15'!$D$9:$D$297,CONCATENATE(VLOOKUP(P$5,$G$1:$H$4,2,FALSE),$E55,9,1,1))</f>
        <v>0</v>
      </c>
      <c r="W55" s="433">
        <f>SUMIF('納品書明細F-15'!$C$9:$C$297,CONCATENATE(VLOOKUP(P$5,$G$1:$H$4,2,FALSE),$E55,9,1),'納品書明細F-15'!$Q$9:$Q$297)</f>
        <v>0</v>
      </c>
      <c r="X55" s="69"/>
      <c r="Y55" s="133">
        <f>COUNTIF('納品書明細F-15'!$D$9:$D$297,CONCATENATE(VLOOKUP(Y$5,$G$1:$H$4,2,FALSE),$E55,1,1,1))</f>
        <v>0</v>
      </c>
      <c r="Z55" s="161">
        <f>SUMIF('納品書明細F-15'!$C$9:$C$297,CONCATENATE(VLOOKUP(Y$5,$G$1:$H$4,2,FALSE),$E55,1,1),'納品書明細F-15'!$Q$9:$Q$297)</f>
        <v>0</v>
      </c>
      <c r="AA55" s="345"/>
      <c r="AB55" s="122"/>
      <c r="AC55" s="128"/>
      <c r="AD55" s="345"/>
      <c r="AE55" s="126">
        <f>COUNTIF('納品書明細F-15'!$D$9:$D$297,CONCATENATE(VLOOKUP(Y$5,$G$1:$H$4,2,FALSE),$E55,9,1,1))</f>
        <v>0</v>
      </c>
      <c r="AF55" s="433">
        <f>SUMIF('納品書明細F-15'!$C$9:$C$297,CONCATENATE(VLOOKUP(Y$5,$G$1:$H$4,2,FALSE),$E55,9,1),'納品書明細F-15'!$Q$9:$Q$297)</f>
        <v>0</v>
      </c>
    </row>
    <row r="56" spans="1:32">
      <c r="A56" s="474" t="str">
        <f>IF(SUMIFS($G56:$AF56,$G$8:$AF$8,"金額",$G56:$AF56,"&gt;0")-SUMIFS($G56:$AF56,$G$8:$AF$8,"金額",$G56:$AF56,"&lt;0")&lt;=0,"",MAX($A$8:$A55)+1)</f>
        <v/>
      </c>
      <c r="B56" s="802"/>
      <c r="C56" s="245" t="str">
        <f t="shared" si="1"/>
        <v>商品</v>
      </c>
      <c r="D56" s="245">
        <v>48</v>
      </c>
      <c r="E56" s="590" t="str">
        <f>IF($F56&lt;&gt;"",INDEX(ﾏｽﾀ!$D$8:$D$124,MATCH(INDEX(ﾏｽﾀ!$N$8:$N$124,MATCH($F56,ﾏｽﾀ!$O$8:$O$124,0)),ﾏｽﾀ!$B$8:$B$124,0))&amp;"","")</f>
        <v>85000</v>
      </c>
      <c r="F56" s="589" t="str">
        <f>ﾏｽﾀ!$R55&amp;""</f>
        <v>有限会社ユハラ・インターナショナル</v>
      </c>
      <c r="G56" s="133">
        <f>COUNTIF('納品書明細F-15'!$D$9:$D$297,CONCATENATE(VLOOKUP(G$5,$G$1:$H$4,2,FALSE),$E56,1,1,1))</f>
        <v>0</v>
      </c>
      <c r="H56" s="127">
        <f>SUMIF('納品書明細F-15'!$C$9:$C$297,CONCATENATE(VLOOKUP(G$5,$G$1:$H$4,2,FALSE),$E56,1,1),'納品書明細F-15'!$Q$9:$Q$297)</f>
        <v>0</v>
      </c>
      <c r="I56" s="345"/>
      <c r="J56" s="122"/>
      <c r="K56" s="359"/>
      <c r="L56" s="345"/>
      <c r="M56" s="126">
        <f>COUNTIF('納品書明細F-15'!$D$9:$D$297,CONCATENATE(VLOOKUP(G$5,$G$1:$H$4,2,FALSE),$E56,9,1,1))</f>
        <v>0</v>
      </c>
      <c r="N56" s="432">
        <f>SUMIF('納品書明細F-15'!$C$9:$C$297,CONCATENATE(VLOOKUP(G$5,$G$1:$H$4,2,FALSE),$E56,9,1),'納品書明細F-15'!$Q$9:$Q$297)</f>
        <v>0</v>
      </c>
      <c r="O56" s="69"/>
      <c r="P56" s="133">
        <f>COUNTIF('納品書明細F-15'!$D$9:$D$297,CONCATENATE(VLOOKUP(P$5,$G$1:$H$4,2,FALSE),$E56,1,1,1))</f>
        <v>0</v>
      </c>
      <c r="Q56" s="161">
        <f>SUMIF('納品書明細F-15'!$C$9:$C$297,CONCATENATE(VLOOKUP(P$5,$G$1:$H$4,2,FALSE),$E56,1,1),'納品書明細F-15'!$Q$9:$Q$297)</f>
        <v>0</v>
      </c>
      <c r="R56" s="345"/>
      <c r="S56" s="122"/>
      <c r="T56" s="128"/>
      <c r="U56" s="345"/>
      <c r="V56" s="126">
        <f>COUNTIF('納品書明細F-15'!$D$9:$D$297,CONCATENATE(VLOOKUP(P$5,$G$1:$H$4,2,FALSE),$E56,9,1,1))</f>
        <v>0</v>
      </c>
      <c r="W56" s="433">
        <f>SUMIF('納品書明細F-15'!$C$9:$C$297,CONCATENATE(VLOOKUP(P$5,$G$1:$H$4,2,FALSE),$E56,9,1),'納品書明細F-15'!$Q$9:$Q$297)</f>
        <v>0</v>
      </c>
      <c r="X56" s="69"/>
      <c r="Y56" s="133">
        <f>COUNTIF('納品書明細F-15'!$D$9:$D$297,CONCATENATE(VLOOKUP(Y$5,$G$1:$H$4,2,FALSE),$E56,1,1,1))</f>
        <v>0</v>
      </c>
      <c r="Z56" s="161">
        <f>SUMIF('納品書明細F-15'!$C$9:$C$297,CONCATENATE(VLOOKUP(Y$5,$G$1:$H$4,2,FALSE),$E56,1,1),'納品書明細F-15'!$Q$9:$Q$297)</f>
        <v>0</v>
      </c>
      <c r="AA56" s="345"/>
      <c r="AB56" s="122"/>
      <c r="AC56" s="128"/>
      <c r="AD56" s="345"/>
      <c r="AE56" s="126">
        <f>COUNTIF('納品書明細F-15'!$D$9:$D$297,CONCATENATE(VLOOKUP(Y$5,$G$1:$H$4,2,FALSE),$E56,9,1,1))</f>
        <v>0</v>
      </c>
      <c r="AF56" s="433">
        <f>SUMIF('納品書明細F-15'!$C$9:$C$297,CONCATENATE(VLOOKUP(Y$5,$G$1:$H$4,2,FALSE),$E56,9,1),'納品書明細F-15'!$Q$9:$Q$297)</f>
        <v>0</v>
      </c>
    </row>
    <row r="57" spans="1:32">
      <c r="A57" s="474" t="str">
        <f>IF(SUMIFS($G57:$AF57,$G$8:$AF$8,"金額",$G57:$AF57,"&gt;0")-SUMIFS($G57:$AF57,$G$8:$AF$8,"金額",$G57:$AF57,"&lt;0")&lt;=0,"",MAX($A$8:$A56)+1)</f>
        <v/>
      </c>
      <c r="B57" s="802"/>
      <c r="C57" s="245" t="str">
        <f t="shared" si="1"/>
        <v>商品</v>
      </c>
      <c r="D57" s="245">
        <v>49</v>
      </c>
      <c r="E57" s="590" t="str">
        <f>IF($F57&lt;&gt;"",INDEX(ﾏｽﾀ!$D$8:$D$124,MATCH(INDEX(ﾏｽﾀ!$N$8:$N$124,MATCH($F57,ﾏｽﾀ!$O$8:$O$124,0)),ﾏｽﾀ!$B$8:$B$124,0))&amp;"","")</f>
        <v>89000</v>
      </c>
      <c r="F57" s="589" t="str">
        <f>ﾏｽﾀ!$R56&amp;""</f>
        <v>株式会社ライブ・ワークス</v>
      </c>
      <c r="G57" s="133">
        <f>COUNTIF('納品書明細F-15'!$D$9:$D$297,CONCATENATE(VLOOKUP(G$5,$G$1:$H$4,2,FALSE),$E57,1,1,1))</f>
        <v>0</v>
      </c>
      <c r="H57" s="127">
        <f>SUMIF('納品書明細F-15'!$C$9:$C$297,CONCATENATE(VLOOKUP(G$5,$G$1:$H$4,2,FALSE),$E57,1,1),'納品書明細F-15'!$Q$9:$Q$297)</f>
        <v>0</v>
      </c>
      <c r="I57" s="345"/>
      <c r="J57" s="122"/>
      <c r="K57" s="359"/>
      <c r="L57" s="345"/>
      <c r="M57" s="126">
        <f>COUNTIF('納品書明細F-15'!$D$9:$D$297,CONCATENATE(VLOOKUP(G$5,$G$1:$H$4,2,FALSE),$E57,9,1,1))</f>
        <v>0</v>
      </c>
      <c r="N57" s="432">
        <f>SUMIF('納品書明細F-15'!$C$9:$C$297,CONCATENATE(VLOOKUP(G$5,$G$1:$H$4,2,FALSE),$E57,9,1),'納品書明細F-15'!$Q$9:$Q$297)</f>
        <v>0</v>
      </c>
      <c r="O57" s="69"/>
      <c r="P57" s="133">
        <f>COUNTIF('納品書明細F-15'!$D$9:$D$297,CONCATENATE(VLOOKUP(P$5,$G$1:$H$4,2,FALSE),$E57,1,1,1))</f>
        <v>0</v>
      </c>
      <c r="Q57" s="161">
        <f>SUMIF('納品書明細F-15'!$C$9:$C$297,CONCATENATE(VLOOKUP(P$5,$G$1:$H$4,2,FALSE),$E57,1,1),'納品書明細F-15'!$Q$9:$Q$297)</f>
        <v>0</v>
      </c>
      <c r="R57" s="345"/>
      <c r="S57" s="122"/>
      <c r="T57" s="128"/>
      <c r="U57" s="345"/>
      <c r="V57" s="126">
        <f>COUNTIF('納品書明細F-15'!$D$9:$D$297,CONCATENATE(VLOOKUP(P$5,$G$1:$H$4,2,FALSE),$E57,9,1,1))</f>
        <v>0</v>
      </c>
      <c r="W57" s="433">
        <f>SUMIF('納品書明細F-15'!$C$9:$C$297,CONCATENATE(VLOOKUP(P$5,$G$1:$H$4,2,FALSE),$E57,9,1),'納品書明細F-15'!$Q$9:$Q$297)</f>
        <v>0</v>
      </c>
      <c r="X57" s="69"/>
      <c r="Y57" s="133">
        <f>COUNTIF('納品書明細F-15'!$D$9:$D$297,CONCATENATE(VLOOKUP(Y$5,$G$1:$H$4,2,FALSE),$E57,1,1,1))</f>
        <v>0</v>
      </c>
      <c r="Z57" s="161">
        <f>SUMIF('納品書明細F-15'!$C$9:$C$297,CONCATENATE(VLOOKUP(Y$5,$G$1:$H$4,2,FALSE),$E57,1,1),'納品書明細F-15'!$Q$9:$Q$297)</f>
        <v>0</v>
      </c>
      <c r="AA57" s="345"/>
      <c r="AB57" s="122"/>
      <c r="AC57" s="128"/>
      <c r="AD57" s="345"/>
      <c r="AE57" s="126">
        <f>COUNTIF('納品書明細F-15'!$D$9:$D$297,CONCATENATE(VLOOKUP(Y$5,$G$1:$H$4,2,FALSE),$E57,9,1,1))</f>
        <v>0</v>
      </c>
      <c r="AF57" s="433">
        <f>SUMIF('納品書明細F-15'!$C$9:$C$297,CONCATENATE(VLOOKUP(Y$5,$G$1:$H$4,2,FALSE),$E57,9,1),'納品書明細F-15'!$Q$9:$Q$297)</f>
        <v>0</v>
      </c>
    </row>
    <row r="58" spans="1:32">
      <c r="A58" s="474" t="str">
        <f>IF(SUMIFS($G58:$AF58,$G$8:$AF$8,"金額",$G58:$AF58,"&gt;0")-SUMIFS($G58:$AF58,$G$8:$AF$8,"金額",$G58:$AF58,"&lt;0")&lt;=0,"",MAX($A$8:$A57)+1)</f>
        <v/>
      </c>
      <c r="B58" s="802"/>
      <c r="C58" s="245" t="str">
        <f t="shared" si="1"/>
        <v>商品</v>
      </c>
      <c r="D58" s="245">
        <v>50</v>
      </c>
      <c r="E58" s="590" t="str">
        <f>IF($F58&lt;&gt;"",INDEX(ﾏｽﾀ!$D$8:$D$124,MATCH(INDEX(ﾏｽﾀ!$N$8:$N$124,MATCH($F58,ﾏｽﾀ!$O$8:$O$124,0)),ﾏｽﾀ!$B$8:$B$124,0))&amp;"","")</f>
        <v>90001</v>
      </c>
      <c r="F58" s="589" t="str">
        <f>ﾏｽﾀ!$R57&amp;""</f>
        <v>株式会社ロジパルエクスプレス　3200/川崎営業所</v>
      </c>
      <c r="G58" s="133">
        <f>COUNTIF('納品書明細F-15'!$D$9:$D$297,CONCATENATE(VLOOKUP(G$5,$G$1:$H$4,2,FALSE),$E58,1,1,1))</f>
        <v>0</v>
      </c>
      <c r="H58" s="127">
        <f>SUMIF('納品書明細F-15'!$C$9:$C$297,CONCATENATE(VLOOKUP(G$5,$G$1:$H$4,2,FALSE),$E58,1,1),'納品書明細F-15'!$Q$9:$Q$297)</f>
        <v>0</v>
      </c>
      <c r="I58" s="345"/>
      <c r="J58" s="122"/>
      <c r="K58" s="359"/>
      <c r="L58" s="345"/>
      <c r="M58" s="126">
        <f>COUNTIF('納品書明細F-15'!$D$9:$D$297,CONCATENATE(VLOOKUP(G$5,$G$1:$H$4,2,FALSE),$E58,9,1,1))</f>
        <v>0</v>
      </c>
      <c r="N58" s="432">
        <f>SUMIF('納品書明細F-15'!$C$9:$C$297,CONCATENATE(VLOOKUP(G$5,$G$1:$H$4,2,FALSE),$E58,9,1),'納品書明細F-15'!$Q$9:$Q$297)</f>
        <v>0</v>
      </c>
      <c r="O58" s="69"/>
      <c r="P58" s="133">
        <f>COUNTIF('納品書明細F-15'!$D$9:$D$297,CONCATENATE(VLOOKUP(P$5,$G$1:$H$4,2,FALSE),$E58,1,1,1))</f>
        <v>0</v>
      </c>
      <c r="Q58" s="161">
        <f>SUMIF('納品書明細F-15'!$C$9:$C$297,CONCATENATE(VLOOKUP(P$5,$G$1:$H$4,2,FALSE),$E58,1,1),'納品書明細F-15'!$Q$9:$Q$297)</f>
        <v>0</v>
      </c>
      <c r="R58" s="345"/>
      <c r="S58" s="122"/>
      <c r="T58" s="128"/>
      <c r="U58" s="345"/>
      <c r="V58" s="126">
        <f>COUNTIF('納品書明細F-15'!$D$9:$D$297,CONCATENATE(VLOOKUP(P$5,$G$1:$H$4,2,FALSE),$E58,9,1,1))</f>
        <v>0</v>
      </c>
      <c r="W58" s="433">
        <f>SUMIF('納品書明細F-15'!$C$9:$C$297,CONCATENATE(VLOOKUP(P$5,$G$1:$H$4,2,FALSE),$E58,9,1),'納品書明細F-15'!$Q$9:$Q$297)</f>
        <v>0</v>
      </c>
      <c r="X58" s="69"/>
      <c r="Y58" s="133">
        <f>COUNTIF('納品書明細F-15'!$D$9:$D$297,CONCATENATE(VLOOKUP(Y$5,$G$1:$H$4,2,FALSE),$E58,1,1,1))</f>
        <v>0</v>
      </c>
      <c r="Z58" s="161">
        <f>SUMIF('納品書明細F-15'!$C$9:$C$297,CONCATENATE(VLOOKUP(Y$5,$G$1:$H$4,2,FALSE),$E58,1,1),'納品書明細F-15'!$Q$9:$Q$297)</f>
        <v>0</v>
      </c>
      <c r="AA58" s="345"/>
      <c r="AB58" s="122"/>
      <c r="AC58" s="128"/>
      <c r="AD58" s="345"/>
      <c r="AE58" s="126">
        <f>COUNTIF('納品書明細F-15'!$D$9:$D$297,CONCATENATE(VLOOKUP(Y$5,$G$1:$H$4,2,FALSE),$E58,9,1,1))</f>
        <v>0</v>
      </c>
      <c r="AF58" s="433">
        <f>SUMIF('納品書明細F-15'!$C$9:$C$297,CONCATENATE(VLOOKUP(Y$5,$G$1:$H$4,2,FALSE),$E58,9,1),'納品書明細F-15'!$Q$9:$Q$297)</f>
        <v>0</v>
      </c>
    </row>
    <row r="59" spans="1:32">
      <c r="A59" s="474" t="str">
        <f>IF(SUMIFS($G59:$AF59,$G$8:$AF$8,"金額",$G59:$AF59,"&gt;0")-SUMIFS($G59:$AF59,$G$8:$AF$8,"金額",$G59:$AF59,"&lt;0")&lt;=0,"",MAX($A$8:$A58)+1)</f>
        <v/>
      </c>
      <c r="B59" s="802"/>
      <c r="C59" s="245" t="str">
        <f t="shared" si="1"/>
        <v>商品</v>
      </c>
      <c r="D59" s="245">
        <v>51</v>
      </c>
      <c r="E59" s="590" t="str">
        <f>IF($F59&lt;&gt;"",INDEX(ﾏｽﾀ!$D$8:$D$124,MATCH(INDEX(ﾏｽﾀ!$N$8:$N$124,MATCH($F59,ﾏｽﾀ!$O$8:$O$124,0)),ﾏｽﾀ!$B$8:$B$124,0))&amp;"","")</f>
        <v>91000</v>
      </c>
      <c r="F59" s="589" t="str">
        <f>ﾏｽﾀ!$R58&amp;""</f>
        <v>株式会社バンジハンエース</v>
      </c>
      <c r="G59" s="133">
        <f>COUNTIF('納品書明細F-15'!$D$9:$D$297,CONCATENATE(VLOOKUP(G$5,$G$1:$H$4,2,FALSE),$E59,1,1,1))</f>
        <v>0</v>
      </c>
      <c r="H59" s="127">
        <f>SUMIF('納品書明細F-15'!$C$9:$C$297,CONCATENATE(VLOOKUP(G$5,$G$1:$H$4,2,FALSE),$E59,1,1),'納品書明細F-15'!$Q$9:$Q$297)</f>
        <v>0</v>
      </c>
      <c r="I59" s="345"/>
      <c r="J59" s="122"/>
      <c r="K59" s="359"/>
      <c r="L59" s="345"/>
      <c r="M59" s="126">
        <f>COUNTIF('納品書明細F-15'!$D$9:$D$297,CONCATENATE(VLOOKUP(G$5,$G$1:$H$4,2,FALSE),$E59,9,1,1))</f>
        <v>0</v>
      </c>
      <c r="N59" s="432">
        <f>SUMIF('納品書明細F-15'!$C$9:$C$297,CONCATENATE(VLOOKUP(G$5,$G$1:$H$4,2,FALSE),$E59,9,1),'納品書明細F-15'!$Q$9:$Q$297)</f>
        <v>0</v>
      </c>
      <c r="O59" s="69"/>
      <c r="P59" s="133">
        <f>COUNTIF('納品書明細F-15'!$D$9:$D$297,CONCATENATE(VLOOKUP(P$5,$G$1:$H$4,2,FALSE),$E59,1,1,1))</f>
        <v>0</v>
      </c>
      <c r="Q59" s="161">
        <f>SUMIF('納品書明細F-15'!$C$9:$C$297,CONCATENATE(VLOOKUP(P$5,$G$1:$H$4,2,FALSE),$E59,1,1),'納品書明細F-15'!$Q$9:$Q$297)</f>
        <v>0</v>
      </c>
      <c r="R59" s="345"/>
      <c r="S59" s="122"/>
      <c r="T59" s="128"/>
      <c r="U59" s="345"/>
      <c r="V59" s="126">
        <f>COUNTIF('納品書明細F-15'!$D$9:$D$297,CONCATENATE(VLOOKUP(P$5,$G$1:$H$4,2,FALSE),$E59,9,1,1))</f>
        <v>0</v>
      </c>
      <c r="W59" s="433">
        <f>SUMIF('納品書明細F-15'!$C$9:$C$297,CONCATENATE(VLOOKUP(P$5,$G$1:$H$4,2,FALSE),$E59,9,1),'納品書明細F-15'!$Q$9:$Q$297)</f>
        <v>0</v>
      </c>
      <c r="X59" s="69"/>
      <c r="Y59" s="133">
        <f>COUNTIF('納品書明細F-15'!$D$9:$D$297,CONCATENATE(VLOOKUP(Y$5,$G$1:$H$4,2,FALSE),$E59,1,1,1))</f>
        <v>0</v>
      </c>
      <c r="Z59" s="161">
        <f>SUMIF('納品書明細F-15'!$C$9:$C$297,CONCATENATE(VLOOKUP(Y$5,$G$1:$H$4,2,FALSE),$E59,1,1),'納品書明細F-15'!$Q$9:$Q$297)</f>
        <v>0</v>
      </c>
      <c r="AA59" s="345"/>
      <c r="AB59" s="122"/>
      <c r="AC59" s="128"/>
      <c r="AD59" s="345"/>
      <c r="AE59" s="126">
        <f>COUNTIF('納品書明細F-15'!$D$9:$D$297,CONCATENATE(VLOOKUP(Y$5,$G$1:$H$4,2,FALSE),$E59,9,1,1))</f>
        <v>0</v>
      </c>
      <c r="AF59" s="433">
        <f>SUMIF('納品書明細F-15'!$C$9:$C$297,CONCATENATE(VLOOKUP(Y$5,$G$1:$H$4,2,FALSE),$E59,9,1),'納品書明細F-15'!$Q$9:$Q$297)</f>
        <v>0</v>
      </c>
    </row>
    <row r="60" spans="1:32">
      <c r="A60" s="474" t="str">
        <f>IF(SUMIFS($G60:$AF60,$G$8:$AF$8,"金額",$G60:$AF60,"&gt;0")-SUMIFS($G60:$AF60,$G$8:$AF$8,"金額",$G60:$AF60,"&lt;0")&lt;=0,"",MAX($A$8:$A59)+1)</f>
        <v/>
      </c>
      <c r="B60" s="802"/>
      <c r="C60" s="245" t="str">
        <f t="shared" si="1"/>
        <v>商品</v>
      </c>
      <c r="D60" s="245">
        <v>52</v>
      </c>
      <c r="E60" s="590" t="str">
        <f>IF($F60&lt;&gt;"",INDEX(ﾏｽﾀ!$D$8:$D$124,MATCH(INDEX(ﾏｽﾀ!$N$8:$N$124,MATCH($F60,ﾏｽﾀ!$O$8:$O$124,0)),ﾏｽﾀ!$B$8:$B$124,0))&amp;"","")</f>
        <v/>
      </c>
      <c r="F60" s="589" t="str">
        <f>ﾏｽﾀ!$R59&amp;""</f>
        <v/>
      </c>
      <c r="G60" s="133">
        <f>COUNTIF('納品書明細F-15'!$D$9:$D$297,CONCATENATE(VLOOKUP(G$5,$G$1:$H$4,2,FALSE),$E60,1,1,1))</f>
        <v>0</v>
      </c>
      <c r="H60" s="127">
        <f>SUMIF('納品書明細F-15'!$C$9:$C$297,CONCATENATE(VLOOKUP(G$5,$G$1:$H$4,2,FALSE),$E60,1,1),'納品書明細F-15'!$Q$9:$Q$297)</f>
        <v>0</v>
      </c>
      <c r="I60" s="345"/>
      <c r="J60" s="122"/>
      <c r="K60" s="359"/>
      <c r="L60" s="345"/>
      <c r="M60" s="126">
        <f>COUNTIF('納品書明細F-15'!$D$9:$D$297,CONCATENATE(VLOOKUP(G$5,$G$1:$H$4,2,FALSE),$E60,9,1,1))</f>
        <v>0</v>
      </c>
      <c r="N60" s="432">
        <f>SUMIF('納品書明細F-15'!$C$9:$C$297,CONCATENATE(VLOOKUP(G$5,$G$1:$H$4,2,FALSE),$E60,9,1),'納品書明細F-15'!$Q$9:$Q$297)</f>
        <v>0</v>
      </c>
      <c r="O60" s="69"/>
      <c r="P60" s="133">
        <f>COUNTIF('納品書明細F-15'!$D$9:$D$297,CONCATENATE(VLOOKUP(P$5,$G$1:$H$4,2,FALSE),$E60,1,1,1))</f>
        <v>0</v>
      </c>
      <c r="Q60" s="161">
        <f>SUMIF('納品書明細F-15'!$C$9:$C$297,CONCATENATE(VLOOKUP(P$5,$G$1:$H$4,2,FALSE),$E60,1,1),'納品書明細F-15'!$Q$9:$Q$297)</f>
        <v>0</v>
      </c>
      <c r="R60" s="345"/>
      <c r="S60" s="122"/>
      <c r="T60" s="128"/>
      <c r="U60" s="345"/>
      <c r="V60" s="126">
        <f>COUNTIF('納品書明細F-15'!$D$9:$D$297,CONCATENATE(VLOOKUP(P$5,$G$1:$H$4,2,FALSE),$E60,9,1,1))</f>
        <v>0</v>
      </c>
      <c r="W60" s="433">
        <f>SUMIF('納品書明細F-15'!$C$9:$C$297,CONCATENATE(VLOOKUP(P$5,$G$1:$H$4,2,FALSE),$E60,9,1),'納品書明細F-15'!$Q$9:$Q$297)</f>
        <v>0</v>
      </c>
      <c r="X60" s="69"/>
      <c r="Y60" s="133">
        <f>COUNTIF('納品書明細F-15'!$D$9:$D$297,CONCATENATE(VLOOKUP(Y$5,$G$1:$H$4,2,FALSE),$E60,1,1,1))</f>
        <v>0</v>
      </c>
      <c r="Z60" s="161">
        <f>SUMIF('納品書明細F-15'!$C$9:$C$297,CONCATENATE(VLOOKUP(Y$5,$G$1:$H$4,2,FALSE),$E60,1,1),'納品書明細F-15'!$Q$9:$Q$297)</f>
        <v>0</v>
      </c>
      <c r="AA60" s="345"/>
      <c r="AB60" s="122"/>
      <c r="AC60" s="128"/>
      <c r="AD60" s="345"/>
      <c r="AE60" s="126">
        <f>COUNTIF('納品書明細F-15'!$D$9:$D$297,CONCATENATE(VLOOKUP(Y$5,$G$1:$H$4,2,FALSE),$E60,9,1,1))</f>
        <v>0</v>
      </c>
      <c r="AF60" s="433">
        <f>SUMIF('納品書明細F-15'!$C$9:$C$297,CONCATENATE(VLOOKUP(Y$5,$G$1:$H$4,2,FALSE),$E60,9,1),'納品書明細F-15'!$Q$9:$Q$297)</f>
        <v>0</v>
      </c>
    </row>
    <row r="61" spans="1:32">
      <c r="A61" s="474" t="str">
        <f>IF(SUMIFS($G61:$AF61,$G$8:$AF$8,"金額",$G61:$AF61,"&gt;0")-SUMIFS($G61:$AF61,$G$8:$AF$8,"金額",$G61:$AF61,"&lt;0")&lt;=0,"",MAX($A$8:$A60)+1)</f>
        <v/>
      </c>
      <c r="B61" s="802"/>
      <c r="C61" s="245" t="str">
        <f t="shared" si="1"/>
        <v>商品</v>
      </c>
      <c r="D61" s="245">
        <v>53</v>
      </c>
      <c r="E61" s="590" t="str">
        <f>IF($F61&lt;&gt;"",INDEX(ﾏｽﾀ!$D$8:$D$124,MATCH(INDEX(ﾏｽﾀ!$N$8:$N$124,MATCH($F61,ﾏｽﾀ!$O$8:$O$124,0)),ﾏｽﾀ!$B$8:$B$124,0))&amp;"","")</f>
        <v/>
      </c>
      <c r="F61" s="589" t="str">
        <f>ﾏｽﾀ!$R60&amp;""</f>
        <v/>
      </c>
      <c r="G61" s="133">
        <f>COUNTIF('納品書明細F-15'!$D$9:$D$297,CONCATENATE(VLOOKUP(G$5,$G$1:$H$4,2,FALSE),$E61,1,1,1))</f>
        <v>0</v>
      </c>
      <c r="H61" s="127">
        <f>SUMIF('納品書明細F-15'!$C$9:$C$297,CONCATENATE(VLOOKUP(G$5,$G$1:$H$4,2,FALSE),$E61,1,1),'納品書明細F-15'!$Q$9:$Q$297)</f>
        <v>0</v>
      </c>
      <c r="I61" s="345"/>
      <c r="J61" s="122"/>
      <c r="K61" s="359"/>
      <c r="L61" s="345"/>
      <c r="M61" s="126">
        <f>COUNTIF('納品書明細F-15'!$D$9:$D$297,CONCATENATE(VLOOKUP(G$5,$G$1:$H$4,2,FALSE),$E61,9,1,1))</f>
        <v>0</v>
      </c>
      <c r="N61" s="432">
        <f>SUMIF('納品書明細F-15'!$C$9:$C$297,CONCATENATE(VLOOKUP(G$5,$G$1:$H$4,2,FALSE),$E61,9,1),'納品書明細F-15'!$Q$9:$Q$297)</f>
        <v>0</v>
      </c>
      <c r="O61" s="69"/>
      <c r="P61" s="133">
        <f>COUNTIF('納品書明細F-15'!$D$9:$D$297,CONCATENATE(VLOOKUP(P$5,$G$1:$H$4,2,FALSE),$E61,1,1,1))</f>
        <v>0</v>
      </c>
      <c r="Q61" s="161">
        <f>SUMIF('納品書明細F-15'!$C$9:$C$297,CONCATENATE(VLOOKUP(P$5,$G$1:$H$4,2,FALSE),$E61,1,1),'納品書明細F-15'!$Q$9:$Q$297)</f>
        <v>0</v>
      </c>
      <c r="R61" s="345"/>
      <c r="S61" s="122"/>
      <c r="T61" s="128"/>
      <c r="U61" s="345"/>
      <c r="V61" s="126">
        <f>COUNTIF('納品書明細F-15'!$D$9:$D$297,CONCATENATE(VLOOKUP(P$5,$G$1:$H$4,2,FALSE),$E61,9,1,1))</f>
        <v>0</v>
      </c>
      <c r="W61" s="433">
        <f>SUMIF('納品書明細F-15'!$C$9:$C$297,CONCATENATE(VLOOKUP(P$5,$G$1:$H$4,2,FALSE),$E61,9,1),'納品書明細F-15'!$Q$9:$Q$297)</f>
        <v>0</v>
      </c>
      <c r="X61" s="69"/>
      <c r="Y61" s="133">
        <f>COUNTIF('納品書明細F-15'!$D$9:$D$297,CONCATENATE(VLOOKUP(Y$5,$G$1:$H$4,2,FALSE),$E61,1,1,1))</f>
        <v>0</v>
      </c>
      <c r="Z61" s="161">
        <f>SUMIF('納品書明細F-15'!$C$9:$C$297,CONCATENATE(VLOOKUP(Y$5,$G$1:$H$4,2,FALSE),$E61,1,1),'納品書明細F-15'!$Q$9:$Q$297)</f>
        <v>0</v>
      </c>
      <c r="AA61" s="345"/>
      <c r="AB61" s="122"/>
      <c r="AC61" s="128"/>
      <c r="AD61" s="345"/>
      <c r="AE61" s="126">
        <f>COUNTIF('納品書明細F-15'!$D$9:$D$297,CONCATENATE(VLOOKUP(Y$5,$G$1:$H$4,2,FALSE),$E61,9,1,1))</f>
        <v>0</v>
      </c>
      <c r="AF61" s="433">
        <f>SUMIF('納品書明細F-15'!$C$9:$C$297,CONCATENATE(VLOOKUP(Y$5,$G$1:$H$4,2,FALSE),$E61,9,1),'納品書明細F-15'!$Q$9:$Q$297)</f>
        <v>0</v>
      </c>
    </row>
    <row r="62" spans="1:32">
      <c r="A62" s="474" t="str">
        <f>IF(SUMIFS($G62:$AF62,$G$8:$AF$8,"金額",$G62:$AF62,"&gt;0")-SUMIFS($G62:$AF62,$G$8:$AF$8,"金額",$G62:$AF62,"&lt;0")&lt;=0,"",MAX($A$8:$A61)+1)</f>
        <v/>
      </c>
      <c r="B62" s="802"/>
      <c r="C62" s="245" t="str">
        <f t="shared" si="1"/>
        <v>商品</v>
      </c>
      <c r="D62" s="245">
        <v>54</v>
      </c>
      <c r="E62" s="590" t="str">
        <f>IF($F62&lt;&gt;"",INDEX(ﾏｽﾀ!$D$8:$D$124,MATCH(INDEX(ﾏｽﾀ!$N$8:$N$124,MATCH($F62,ﾏｽﾀ!$O$8:$O$124,0)),ﾏｽﾀ!$B$8:$B$124,0))&amp;"","")</f>
        <v/>
      </c>
      <c r="F62" s="589" t="str">
        <f>ﾏｽﾀ!$R61&amp;""</f>
        <v/>
      </c>
      <c r="G62" s="133">
        <f>COUNTIF('納品書明細F-15'!$D$9:$D$297,CONCATENATE(VLOOKUP(G$5,$G$1:$H$4,2,FALSE),$E62,1,1,1))</f>
        <v>0</v>
      </c>
      <c r="H62" s="127">
        <f>SUMIF('納品書明細F-15'!$C$9:$C$297,CONCATENATE(VLOOKUP(G$5,$G$1:$H$4,2,FALSE),$E62,1,1),'納品書明細F-15'!$Q$9:$Q$297)</f>
        <v>0</v>
      </c>
      <c r="I62" s="345"/>
      <c r="J62" s="122"/>
      <c r="K62" s="359"/>
      <c r="L62" s="345"/>
      <c r="M62" s="126">
        <f>COUNTIF('納品書明細F-15'!$D$9:$D$297,CONCATENATE(VLOOKUP(G$5,$G$1:$H$4,2,FALSE),$E62,9,1,1))</f>
        <v>0</v>
      </c>
      <c r="N62" s="432">
        <f>SUMIF('納品書明細F-15'!$C$9:$C$297,CONCATENATE(VLOOKUP(G$5,$G$1:$H$4,2,FALSE),$E62,9,1),'納品書明細F-15'!$Q$9:$Q$297)</f>
        <v>0</v>
      </c>
      <c r="O62" s="69"/>
      <c r="P62" s="133">
        <f>COUNTIF('納品書明細F-15'!$D$9:$D$297,CONCATENATE(VLOOKUP(P$5,$G$1:$H$4,2,FALSE),$E62,1,1,1))</f>
        <v>0</v>
      </c>
      <c r="Q62" s="161">
        <f>SUMIF('納品書明細F-15'!$C$9:$C$297,CONCATENATE(VLOOKUP(P$5,$G$1:$H$4,2,FALSE),$E62,1,1),'納品書明細F-15'!$Q$9:$Q$297)</f>
        <v>0</v>
      </c>
      <c r="R62" s="345"/>
      <c r="S62" s="122"/>
      <c r="T62" s="128"/>
      <c r="U62" s="345"/>
      <c r="V62" s="126">
        <f>COUNTIF('納品書明細F-15'!$D$9:$D$297,CONCATENATE(VLOOKUP(P$5,$G$1:$H$4,2,FALSE),$E62,9,1,1))</f>
        <v>0</v>
      </c>
      <c r="W62" s="433">
        <f>SUMIF('納品書明細F-15'!$C$9:$C$297,CONCATENATE(VLOOKUP(P$5,$G$1:$H$4,2,FALSE),$E62,9,1),'納品書明細F-15'!$Q$9:$Q$297)</f>
        <v>0</v>
      </c>
      <c r="X62" s="69"/>
      <c r="Y62" s="133">
        <f>COUNTIF('納品書明細F-15'!$D$9:$D$297,CONCATENATE(VLOOKUP(Y$5,$G$1:$H$4,2,FALSE),$E62,1,1,1))</f>
        <v>0</v>
      </c>
      <c r="Z62" s="161">
        <f>SUMIF('納品書明細F-15'!$C$9:$C$297,CONCATENATE(VLOOKUP(Y$5,$G$1:$H$4,2,FALSE),$E62,1,1),'納品書明細F-15'!$Q$9:$Q$297)</f>
        <v>0</v>
      </c>
      <c r="AA62" s="345"/>
      <c r="AB62" s="122"/>
      <c r="AC62" s="128"/>
      <c r="AD62" s="345"/>
      <c r="AE62" s="126">
        <f>COUNTIF('納品書明細F-15'!$D$9:$D$297,CONCATENATE(VLOOKUP(Y$5,$G$1:$H$4,2,FALSE),$E62,9,1,1))</f>
        <v>0</v>
      </c>
      <c r="AF62" s="433">
        <f>SUMIF('納品書明細F-15'!$C$9:$C$297,CONCATENATE(VLOOKUP(Y$5,$G$1:$H$4,2,FALSE),$E62,9,1),'納品書明細F-15'!$Q$9:$Q$297)</f>
        <v>0</v>
      </c>
    </row>
    <row r="63" spans="1:32">
      <c r="A63" s="474" t="str">
        <f>IF(SUMIFS($G63:$AF63,$G$8:$AF$8,"金額",$G63:$AF63,"&gt;0")-SUMIFS($G63:$AF63,$G$8:$AF$8,"金額",$G63:$AF63,"&lt;0")&lt;=0,"",MAX($A$8:$A62)+1)</f>
        <v/>
      </c>
      <c r="B63" s="802"/>
      <c r="C63" s="245" t="str">
        <f t="shared" si="1"/>
        <v>商品</v>
      </c>
      <c r="D63" s="245">
        <v>55</v>
      </c>
      <c r="E63" s="590" t="str">
        <f>IF($F63&lt;&gt;"",INDEX(ﾏｽﾀ!$D$8:$D$124,MATCH(INDEX(ﾏｽﾀ!$N$8:$N$124,MATCH($F63,ﾏｽﾀ!$O$8:$O$124,0)),ﾏｽﾀ!$B$8:$B$124,0))&amp;"","")</f>
        <v/>
      </c>
      <c r="F63" s="589" t="str">
        <f>ﾏｽﾀ!$R62&amp;""</f>
        <v/>
      </c>
      <c r="G63" s="133">
        <f>COUNTIF('納品書明細F-15'!$D$9:$D$297,CONCATENATE(VLOOKUP(G$5,$G$1:$H$4,2,FALSE),$E63,1,1,1))</f>
        <v>0</v>
      </c>
      <c r="H63" s="127">
        <f>SUMIF('納品書明細F-15'!$C$9:$C$297,CONCATENATE(VLOOKUP(G$5,$G$1:$H$4,2,FALSE),$E63,1,1),'納品書明細F-15'!$Q$9:$Q$297)</f>
        <v>0</v>
      </c>
      <c r="I63" s="345"/>
      <c r="J63" s="122"/>
      <c r="K63" s="359"/>
      <c r="L63" s="345"/>
      <c r="M63" s="126">
        <f>COUNTIF('納品書明細F-15'!$D$9:$D$297,CONCATENATE(VLOOKUP(G$5,$G$1:$H$4,2,FALSE),$E63,9,1,1))</f>
        <v>0</v>
      </c>
      <c r="N63" s="432">
        <f>SUMIF('納品書明細F-15'!$C$9:$C$297,CONCATENATE(VLOOKUP(G$5,$G$1:$H$4,2,FALSE),$E63,9,1),'納品書明細F-15'!$Q$9:$Q$297)</f>
        <v>0</v>
      </c>
      <c r="O63" s="69"/>
      <c r="P63" s="133">
        <f>COUNTIF('納品書明細F-15'!$D$9:$D$297,CONCATENATE(VLOOKUP(P$5,$G$1:$H$4,2,FALSE),$E63,1,1,1))</f>
        <v>0</v>
      </c>
      <c r="Q63" s="161">
        <f>SUMIF('納品書明細F-15'!$C$9:$C$297,CONCATENATE(VLOOKUP(P$5,$G$1:$H$4,2,FALSE),$E63,1,1),'納品書明細F-15'!$Q$9:$Q$297)</f>
        <v>0</v>
      </c>
      <c r="R63" s="345"/>
      <c r="S63" s="122"/>
      <c r="T63" s="128"/>
      <c r="U63" s="345"/>
      <c r="V63" s="126">
        <f>COUNTIF('納品書明細F-15'!$D$9:$D$297,CONCATENATE(VLOOKUP(P$5,$G$1:$H$4,2,FALSE),$E63,9,1,1))</f>
        <v>0</v>
      </c>
      <c r="W63" s="433">
        <f>SUMIF('納品書明細F-15'!$C$9:$C$297,CONCATENATE(VLOOKUP(P$5,$G$1:$H$4,2,FALSE),$E63,9,1),'納品書明細F-15'!$Q$9:$Q$297)</f>
        <v>0</v>
      </c>
      <c r="X63" s="69"/>
      <c r="Y63" s="133">
        <f>COUNTIF('納品書明細F-15'!$D$9:$D$297,CONCATENATE(VLOOKUP(Y$5,$G$1:$H$4,2,FALSE),$E63,1,1,1))</f>
        <v>0</v>
      </c>
      <c r="Z63" s="161">
        <f>SUMIF('納品書明細F-15'!$C$9:$C$297,CONCATENATE(VLOOKUP(Y$5,$G$1:$H$4,2,FALSE),$E63,1,1),'納品書明細F-15'!$Q$9:$Q$297)</f>
        <v>0</v>
      </c>
      <c r="AA63" s="345"/>
      <c r="AB63" s="122"/>
      <c r="AC63" s="128"/>
      <c r="AD63" s="345"/>
      <c r="AE63" s="126">
        <f>COUNTIF('納品書明細F-15'!$D$9:$D$297,CONCATENATE(VLOOKUP(Y$5,$G$1:$H$4,2,FALSE),$E63,9,1,1))</f>
        <v>0</v>
      </c>
      <c r="AF63" s="433">
        <f>SUMIF('納品書明細F-15'!$C$9:$C$297,CONCATENATE(VLOOKUP(Y$5,$G$1:$H$4,2,FALSE),$E63,9,1),'納品書明細F-15'!$Q$9:$Q$297)</f>
        <v>0</v>
      </c>
    </row>
    <row r="64" spans="1:32">
      <c r="A64" s="474" t="str">
        <f>IF(SUMIFS($G64:$AF64,$G$8:$AF$8,"金額",$G64:$AF64,"&gt;0")-SUMIFS($G64:$AF64,$G$8:$AF$8,"金額",$G64:$AF64,"&lt;0")&lt;=0,"",MAX($A$8:$A63)+1)</f>
        <v/>
      </c>
      <c r="B64" s="802"/>
      <c r="C64" s="245" t="str">
        <f t="shared" si="1"/>
        <v>商品</v>
      </c>
      <c r="D64" s="245">
        <v>56</v>
      </c>
      <c r="E64" s="590" t="str">
        <f>IF($F64&lt;&gt;"",INDEX(ﾏｽﾀ!$D$8:$D$124,MATCH(INDEX(ﾏｽﾀ!$N$8:$N$124,MATCH($F64,ﾏｽﾀ!$O$8:$O$124,0)),ﾏｽﾀ!$B$8:$B$124,0))&amp;"","")</f>
        <v/>
      </c>
      <c r="F64" s="589" t="str">
        <f>ﾏｽﾀ!$R63&amp;""</f>
        <v/>
      </c>
      <c r="G64" s="133">
        <f>COUNTIF('納品書明細F-15'!$D$9:$D$297,CONCATENATE(VLOOKUP(G$5,$G$1:$H$4,2,FALSE),$E64,1,1,1))</f>
        <v>0</v>
      </c>
      <c r="H64" s="127">
        <f>SUMIF('納品書明細F-15'!$C$9:$C$297,CONCATENATE(VLOOKUP(G$5,$G$1:$H$4,2,FALSE),$E64,1,1),'納品書明細F-15'!$Q$9:$Q$297)</f>
        <v>0</v>
      </c>
      <c r="I64" s="345"/>
      <c r="J64" s="122"/>
      <c r="K64" s="359"/>
      <c r="L64" s="345"/>
      <c r="M64" s="126">
        <f>COUNTIF('納品書明細F-15'!$D$9:$D$297,CONCATENATE(VLOOKUP(G$5,$G$1:$H$4,2,FALSE),$E64,9,1,1))</f>
        <v>0</v>
      </c>
      <c r="N64" s="432">
        <f>SUMIF('納品書明細F-15'!$C$9:$C$297,CONCATENATE(VLOOKUP(G$5,$G$1:$H$4,2,FALSE),$E64,9,1),'納品書明細F-15'!$Q$9:$Q$297)</f>
        <v>0</v>
      </c>
      <c r="O64" s="69"/>
      <c r="P64" s="133">
        <f>COUNTIF('納品書明細F-15'!$D$9:$D$297,CONCATENATE(VLOOKUP(P$5,$G$1:$H$4,2,FALSE),$E64,1,1,1))</f>
        <v>0</v>
      </c>
      <c r="Q64" s="161">
        <f>SUMIF('納品書明細F-15'!$C$9:$C$297,CONCATENATE(VLOOKUP(P$5,$G$1:$H$4,2,FALSE),$E64,1,1),'納品書明細F-15'!$Q$9:$Q$297)</f>
        <v>0</v>
      </c>
      <c r="R64" s="345"/>
      <c r="S64" s="122"/>
      <c r="T64" s="128"/>
      <c r="U64" s="345"/>
      <c r="V64" s="126">
        <f>COUNTIF('納品書明細F-15'!$D$9:$D$297,CONCATENATE(VLOOKUP(P$5,$G$1:$H$4,2,FALSE),$E64,9,1,1))</f>
        <v>0</v>
      </c>
      <c r="W64" s="433">
        <f>SUMIF('納品書明細F-15'!$C$9:$C$297,CONCATENATE(VLOOKUP(P$5,$G$1:$H$4,2,FALSE),$E64,9,1),'納品書明細F-15'!$Q$9:$Q$297)</f>
        <v>0</v>
      </c>
      <c r="X64" s="69"/>
      <c r="Y64" s="133">
        <f>COUNTIF('納品書明細F-15'!$D$9:$D$297,CONCATENATE(VLOOKUP(Y$5,$G$1:$H$4,2,FALSE),$E64,1,1,1))</f>
        <v>0</v>
      </c>
      <c r="Z64" s="161">
        <f>SUMIF('納品書明細F-15'!$C$9:$C$297,CONCATENATE(VLOOKUP(Y$5,$G$1:$H$4,2,FALSE),$E64,1,1),'納品書明細F-15'!$Q$9:$Q$297)</f>
        <v>0</v>
      </c>
      <c r="AA64" s="345"/>
      <c r="AB64" s="122"/>
      <c r="AC64" s="128"/>
      <c r="AD64" s="345"/>
      <c r="AE64" s="126">
        <f>COUNTIF('納品書明細F-15'!$D$9:$D$297,CONCATENATE(VLOOKUP(Y$5,$G$1:$H$4,2,FALSE),$E64,9,1,1))</f>
        <v>0</v>
      </c>
      <c r="AF64" s="433">
        <f>SUMIF('納品書明細F-15'!$C$9:$C$297,CONCATENATE(VLOOKUP(Y$5,$G$1:$H$4,2,FALSE),$E64,9,1),'納品書明細F-15'!$Q$9:$Q$297)</f>
        <v>0</v>
      </c>
    </row>
    <row r="65" spans="1:32">
      <c r="A65" s="474" t="str">
        <f>IF(SUMIFS($G65:$AF65,$G$8:$AF$8,"金額",$G65:$AF65,"&gt;0")-SUMIFS($G65:$AF65,$G$8:$AF$8,"金額",$G65:$AF65,"&lt;0")&lt;=0,"",MAX($A$8:$A64)+1)</f>
        <v/>
      </c>
      <c r="B65" s="802"/>
      <c r="C65" s="245" t="str">
        <f t="shared" si="1"/>
        <v>商品</v>
      </c>
      <c r="D65" s="245">
        <v>57</v>
      </c>
      <c r="E65" s="590" t="str">
        <f>IF($F65&lt;&gt;"",INDEX(ﾏｽﾀ!$D$8:$D$124,MATCH(INDEX(ﾏｽﾀ!$N$8:$N$124,MATCH($F65,ﾏｽﾀ!$O$8:$O$124,0)),ﾏｽﾀ!$B$8:$B$124,0))&amp;"","")</f>
        <v/>
      </c>
      <c r="F65" s="589" t="str">
        <f>ﾏｽﾀ!$R64&amp;""</f>
        <v/>
      </c>
      <c r="G65" s="133">
        <f>COUNTIF('納品書明細F-15'!$D$9:$D$297,CONCATENATE(VLOOKUP(G$5,$G$1:$H$4,2,FALSE),$E65,1,1,1))</f>
        <v>0</v>
      </c>
      <c r="H65" s="127">
        <f>SUMIF('納品書明細F-15'!$C$9:$C$297,CONCATENATE(VLOOKUP(G$5,$G$1:$H$4,2,FALSE),$E65,1,1),'納品書明細F-15'!$Q$9:$Q$297)</f>
        <v>0</v>
      </c>
      <c r="I65" s="345"/>
      <c r="J65" s="122"/>
      <c r="K65" s="359"/>
      <c r="L65" s="345"/>
      <c r="M65" s="126">
        <f>COUNTIF('納品書明細F-15'!$D$9:$D$297,CONCATENATE(VLOOKUP(G$5,$G$1:$H$4,2,FALSE),$E65,9,1,1))</f>
        <v>0</v>
      </c>
      <c r="N65" s="432">
        <f>SUMIF('納品書明細F-15'!$C$9:$C$297,CONCATENATE(VLOOKUP(G$5,$G$1:$H$4,2,FALSE),$E65,9,1),'納品書明細F-15'!$Q$9:$Q$297)</f>
        <v>0</v>
      </c>
      <c r="O65" s="69"/>
      <c r="P65" s="133">
        <f>COUNTIF('納品書明細F-15'!$D$9:$D$297,CONCATENATE(VLOOKUP(P$5,$G$1:$H$4,2,FALSE),$E65,1,1,1))</f>
        <v>0</v>
      </c>
      <c r="Q65" s="161">
        <f>SUMIF('納品書明細F-15'!$C$9:$C$297,CONCATENATE(VLOOKUP(P$5,$G$1:$H$4,2,FALSE),$E65,1,1),'納品書明細F-15'!$Q$9:$Q$297)</f>
        <v>0</v>
      </c>
      <c r="R65" s="345"/>
      <c r="S65" s="122"/>
      <c r="T65" s="128"/>
      <c r="U65" s="345"/>
      <c r="V65" s="126">
        <f>COUNTIF('納品書明細F-15'!$D$9:$D$297,CONCATENATE(VLOOKUP(P$5,$G$1:$H$4,2,FALSE),$E65,9,1,1))</f>
        <v>0</v>
      </c>
      <c r="W65" s="433">
        <f>SUMIF('納品書明細F-15'!$C$9:$C$297,CONCATENATE(VLOOKUP(P$5,$G$1:$H$4,2,FALSE),$E65,9,1),'納品書明細F-15'!$Q$9:$Q$297)</f>
        <v>0</v>
      </c>
      <c r="X65" s="69"/>
      <c r="Y65" s="133">
        <f>COUNTIF('納品書明細F-15'!$D$9:$D$297,CONCATENATE(VLOOKUP(Y$5,$G$1:$H$4,2,FALSE),$E65,1,1,1))</f>
        <v>0</v>
      </c>
      <c r="Z65" s="161">
        <f>SUMIF('納品書明細F-15'!$C$9:$C$297,CONCATENATE(VLOOKUP(Y$5,$G$1:$H$4,2,FALSE),$E65,1,1),'納品書明細F-15'!$Q$9:$Q$297)</f>
        <v>0</v>
      </c>
      <c r="AA65" s="345"/>
      <c r="AB65" s="122"/>
      <c r="AC65" s="128"/>
      <c r="AD65" s="345"/>
      <c r="AE65" s="126">
        <f>COUNTIF('納品書明細F-15'!$D$9:$D$297,CONCATENATE(VLOOKUP(Y$5,$G$1:$H$4,2,FALSE),$E65,9,1,1))</f>
        <v>0</v>
      </c>
      <c r="AF65" s="433">
        <f>SUMIF('納品書明細F-15'!$C$9:$C$297,CONCATENATE(VLOOKUP(Y$5,$G$1:$H$4,2,FALSE),$E65,9,1),'納品書明細F-15'!$Q$9:$Q$297)</f>
        <v>0</v>
      </c>
    </row>
    <row r="66" spans="1:32">
      <c r="A66" s="474" t="str">
        <f>IF(SUMIFS($G66:$AF66,$G$8:$AF$8,"金額",$G66:$AF66,"&gt;0")-SUMIFS($G66:$AF66,$G$8:$AF$8,"金額",$G66:$AF66,"&lt;0")&lt;=0,"",MAX($A$8:$A65)+1)</f>
        <v/>
      </c>
      <c r="B66" s="802"/>
      <c r="C66" s="245" t="str">
        <f t="shared" si="1"/>
        <v>商品</v>
      </c>
      <c r="D66" s="245">
        <v>58</v>
      </c>
      <c r="E66" s="590" t="str">
        <f>IF($F66&lt;&gt;"",INDEX(ﾏｽﾀ!$D$8:$D$124,MATCH(INDEX(ﾏｽﾀ!$N$8:$N$124,MATCH($F66,ﾏｽﾀ!$O$8:$O$124,0)),ﾏｽﾀ!$B$8:$B$124,0))&amp;"","")</f>
        <v/>
      </c>
      <c r="F66" s="589" t="str">
        <f>ﾏｽﾀ!$R65&amp;""</f>
        <v/>
      </c>
      <c r="G66" s="133">
        <f>COUNTIF('納品書明細F-15'!$D$9:$D$297,CONCATENATE(VLOOKUP(G$5,$G$1:$H$4,2,FALSE),$E66,1,1,1))</f>
        <v>0</v>
      </c>
      <c r="H66" s="127">
        <f>SUMIF('納品書明細F-15'!$C$9:$C$297,CONCATENATE(VLOOKUP(G$5,$G$1:$H$4,2,FALSE),$E66,1,1),'納品書明細F-15'!$Q$9:$Q$297)</f>
        <v>0</v>
      </c>
      <c r="I66" s="345"/>
      <c r="J66" s="122"/>
      <c r="K66" s="359"/>
      <c r="L66" s="345"/>
      <c r="M66" s="126">
        <f>COUNTIF('納品書明細F-15'!$D$9:$D$297,CONCATENATE(VLOOKUP(G$5,$G$1:$H$4,2,FALSE),$E66,9,1,1))</f>
        <v>0</v>
      </c>
      <c r="N66" s="432">
        <f>SUMIF('納品書明細F-15'!$C$9:$C$297,CONCATENATE(VLOOKUP(G$5,$G$1:$H$4,2,FALSE),$E66,9,1),'納品書明細F-15'!$Q$9:$Q$297)</f>
        <v>0</v>
      </c>
      <c r="O66" s="69"/>
      <c r="P66" s="133">
        <f>COUNTIF('納品書明細F-15'!$D$9:$D$297,CONCATENATE(VLOOKUP(P$5,$G$1:$H$4,2,FALSE),$E66,1,1,1))</f>
        <v>0</v>
      </c>
      <c r="Q66" s="161">
        <f>SUMIF('納品書明細F-15'!$C$9:$C$297,CONCATENATE(VLOOKUP(P$5,$G$1:$H$4,2,FALSE),$E66,1,1),'納品書明細F-15'!$Q$9:$Q$297)</f>
        <v>0</v>
      </c>
      <c r="R66" s="345"/>
      <c r="S66" s="122"/>
      <c r="T66" s="128"/>
      <c r="U66" s="345"/>
      <c r="V66" s="126">
        <f>COUNTIF('納品書明細F-15'!$D$9:$D$297,CONCATENATE(VLOOKUP(P$5,$G$1:$H$4,2,FALSE),$E66,9,1,1))</f>
        <v>0</v>
      </c>
      <c r="W66" s="433">
        <f>SUMIF('納品書明細F-15'!$C$9:$C$297,CONCATENATE(VLOOKUP(P$5,$G$1:$H$4,2,FALSE),$E66,9,1),'納品書明細F-15'!$Q$9:$Q$297)</f>
        <v>0</v>
      </c>
      <c r="X66" s="69"/>
      <c r="Y66" s="133">
        <f>COUNTIF('納品書明細F-15'!$D$9:$D$297,CONCATENATE(VLOOKUP(Y$5,$G$1:$H$4,2,FALSE),$E66,1,1,1))</f>
        <v>0</v>
      </c>
      <c r="Z66" s="161">
        <f>SUMIF('納品書明細F-15'!$C$9:$C$297,CONCATENATE(VLOOKUP(Y$5,$G$1:$H$4,2,FALSE),$E66,1,1),'納品書明細F-15'!$Q$9:$Q$297)</f>
        <v>0</v>
      </c>
      <c r="AA66" s="345"/>
      <c r="AB66" s="122"/>
      <c r="AC66" s="128"/>
      <c r="AD66" s="345"/>
      <c r="AE66" s="126">
        <f>COUNTIF('納品書明細F-15'!$D$9:$D$297,CONCATENATE(VLOOKUP(Y$5,$G$1:$H$4,2,FALSE),$E66,9,1,1))</f>
        <v>0</v>
      </c>
      <c r="AF66" s="433">
        <f>SUMIF('納品書明細F-15'!$C$9:$C$297,CONCATENATE(VLOOKUP(Y$5,$G$1:$H$4,2,FALSE),$E66,9,1),'納品書明細F-15'!$Q$9:$Q$297)</f>
        <v>0</v>
      </c>
    </row>
    <row r="67" spans="1:32">
      <c r="A67" s="474" t="str">
        <f>IF(SUMIFS($G67:$AF67,$G$8:$AF$8,"金額",$G67:$AF67,"&gt;0")-SUMIFS($G67:$AF67,$G$8:$AF$8,"金額",$G67:$AF67,"&lt;0")&lt;=0,"",MAX($A$8:$A66)+1)</f>
        <v/>
      </c>
      <c r="B67" s="802"/>
      <c r="C67" s="245" t="str">
        <f t="shared" si="1"/>
        <v>商品</v>
      </c>
      <c r="D67" s="245">
        <v>59</v>
      </c>
      <c r="E67" s="590" t="str">
        <f>IF($F67&lt;&gt;"",INDEX(ﾏｽﾀ!$D$8:$D$124,MATCH(INDEX(ﾏｽﾀ!$N$8:$N$124,MATCH($F67,ﾏｽﾀ!$O$8:$O$124,0)),ﾏｽﾀ!$B$8:$B$124,0))&amp;"","")</f>
        <v/>
      </c>
      <c r="F67" s="589" t="str">
        <f>ﾏｽﾀ!$R66&amp;""</f>
        <v/>
      </c>
      <c r="G67" s="133">
        <f>COUNTIF('納品書明細F-15'!$D$9:$D$297,CONCATENATE(VLOOKUP(G$5,$G$1:$H$4,2,FALSE),$E67,1,1,1))</f>
        <v>0</v>
      </c>
      <c r="H67" s="127">
        <f>SUMIF('納品書明細F-15'!$C$9:$C$297,CONCATENATE(VLOOKUP(G$5,$G$1:$H$4,2,FALSE),$E67,1,1),'納品書明細F-15'!$Q$9:$Q$297)</f>
        <v>0</v>
      </c>
      <c r="I67" s="345"/>
      <c r="J67" s="122"/>
      <c r="K67" s="359"/>
      <c r="L67" s="345"/>
      <c r="M67" s="126">
        <f>COUNTIF('納品書明細F-15'!$D$9:$D$297,CONCATENATE(VLOOKUP(G$5,$G$1:$H$4,2,FALSE),$E67,9,1,1))</f>
        <v>0</v>
      </c>
      <c r="N67" s="432">
        <f>SUMIF('納品書明細F-15'!$C$9:$C$297,CONCATENATE(VLOOKUP(G$5,$G$1:$H$4,2,FALSE),$E67,9,1),'納品書明細F-15'!$Q$9:$Q$297)</f>
        <v>0</v>
      </c>
      <c r="O67" s="69"/>
      <c r="P67" s="133">
        <f>COUNTIF('納品書明細F-15'!$D$9:$D$297,CONCATENATE(VLOOKUP(P$5,$G$1:$H$4,2,FALSE),$E67,1,1,1))</f>
        <v>0</v>
      </c>
      <c r="Q67" s="161">
        <f>SUMIF('納品書明細F-15'!$C$9:$C$297,CONCATENATE(VLOOKUP(P$5,$G$1:$H$4,2,FALSE),$E67,1,1),'納品書明細F-15'!$Q$9:$Q$297)</f>
        <v>0</v>
      </c>
      <c r="R67" s="345"/>
      <c r="S67" s="122"/>
      <c r="T67" s="128"/>
      <c r="U67" s="345"/>
      <c r="V67" s="126">
        <f>COUNTIF('納品書明細F-15'!$D$9:$D$297,CONCATENATE(VLOOKUP(P$5,$G$1:$H$4,2,FALSE),$E67,9,1,1))</f>
        <v>0</v>
      </c>
      <c r="W67" s="433">
        <f>SUMIF('納品書明細F-15'!$C$9:$C$297,CONCATENATE(VLOOKUP(P$5,$G$1:$H$4,2,FALSE),$E67,9,1),'納品書明細F-15'!$Q$9:$Q$297)</f>
        <v>0</v>
      </c>
      <c r="X67" s="69"/>
      <c r="Y67" s="133">
        <f>COUNTIF('納品書明細F-15'!$D$9:$D$297,CONCATENATE(VLOOKUP(Y$5,$G$1:$H$4,2,FALSE),$E67,1,1,1))</f>
        <v>0</v>
      </c>
      <c r="Z67" s="161">
        <f>SUMIF('納品書明細F-15'!$C$9:$C$297,CONCATENATE(VLOOKUP(Y$5,$G$1:$H$4,2,FALSE),$E67,1,1),'納品書明細F-15'!$Q$9:$Q$297)</f>
        <v>0</v>
      </c>
      <c r="AA67" s="345"/>
      <c r="AB67" s="122"/>
      <c r="AC67" s="128"/>
      <c r="AD67" s="345"/>
      <c r="AE67" s="126">
        <f>COUNTIF('納品書明細F-15'!$D$9:$D$297,CONCATENATE(VLOOKUP(Y$5,$G$1:$H$4,2,FALSE),$E67,9,1,1))</f>
        <v>0</v>
      </c>
      <c r="AF67" s="433">
        <f>SUMIF('納品書明細F-15'!$C$9:$C$297,CONCATENATE(VLOOKUP(Y$5,$G$1:$H$4,2,FALSE),$E67,9,1),'納品書明細F-15'!$Q$9:$Q$297)</f>
        <v>0</v>
      </c>
    </row>
    <row r="68" spans="1:32">
      <c r="A68" s="474" t="str">
        <f>IF(SUMIFS($G68:$AF68,$G$8:$AF$8,"金額",$G68:$AF68,"&gt;0")-SUMIFS($G68:$AF68,$G$8:$AF$8,"金額",$G68:$AF68,"&lt;0")&lt;=0,"",MAX($A$8:$A67)+1)</f>
        <v/>
      </c>
      <c r="B68" s="802"/>
      <c r="C68" s="245" t="str">
        <f t="shared" si="1"/>
        <v>商品</v>
      </c>
      <c r="D68" s="245">
        <v>60</v>
      </c>
      <c r="E68" s="590" t="str">
        <f>IF($F68&lt;&gt;"",INDEX(ﾏｽﾀ!$D$8:$D$124,MATCH(INDEX(ﾏｽﾀ!$N$8:$N$124,MATCH($F68,ﾏｽﾀ!$O$8:$O$124,0)),ﾏｽﾀ!$B$8:$B$124,0))&amp;"","")</f>
        <v/>
      </c>
      <c r="F68" s="589" t="str">
        <f>ﾏｽﾀ!$R67&amp;""</f>
        <v/>
      </c>
      <c r="G68" s="133">
        <f>COUNTIF('納品書明細F-15'!$D$9:$D$297,CONCATENATE(VLOOKUP(G$5,$G$1:$H$4,2,FALSE),$E68,1,1,1))</f>
        <v>0</v>
      </c>
      <c r="H68" s="127">
        <f>SUMIF('納品書明細F-15'!$C$9:$C$297,CONCATENATE(VLOOKUP(G$5,$G$1:$H$4,2,FALSE),$E68,1,1),'納品書明細F-15'!$Q$9:$Q$297)</f>
        <v>0</v>
      </c>
      <c r="I68" s="345"/>
      <c r="J68" s="122"/>
      <c r="K68" s="359"/>
      <c r="L68" s="345"/>
      <c r="M68" s="126">
        <f>COUNTIF('納品書明細F-15'!$D$9:$D$297,CONCATENATE(VLOOKUP(G$5,$G$1:$H$4,2,FALSE),$E68,9,1,1))</f>
        <v>0</v>
      </c>
      <c r="N68" s="432">
        <f>SUMIF('納品書明細F-15'!$C$9:$C$297,CONCATENATE(VLOOKUP(G$5,$G$1:$H$4,2,FALSE),$E68,9,1),'納品書明細F-15'!$Q$9:$Q$297)</f>
        <v>0</v>
      </c>
      <c r="O68" s="69"/>
      <c r="P68" s="133">
        <f>COUNTIF('納品書明細F-15'!$D$9:$D$297,CONCATENATE(VLOOKUP(P$5,$G$1:$H$4,2,FALSE),$E68,1,1,1))</f>
        <v>0</v>
      </c>
      <c r="Q68" s="161">
        <f>SUMIF('納品書明細F-15'!$C$9:$C$297,CONCATENATE(VLOOKUP(P$5,$G$1:$H$4,2,FALSE),$E68,1,1),'納品書明細F-15'!$Q$9:$Q$297)</f>
        <v>0</v>
      </c>
      <c r="R68" s="345"/>
      <c r="S68" s="122"/>
      <c r="T68" s="128"/>
      <c r="U68" s="345"/>
      <c r="V68" s="126">
        <f>COUNTIF('納品書明細F-15'!$D$9:$D$297,CONCATENATE(VLOOKUP(P$5,$G$1:$H$4,2,FALSE),$E68,9,1,1))</f>
        <v>0</v>
      </c>
      <c r="W68" s="433">
        <f>SUMIF('納品書明細F-15'!$C$9:$C$297,CONCATENATE(VLOOKUP(P$5,$G$1:$H$4,2,FALSE),$E68,9,1),'納品書明細F-15'!$Q$9:$Q$297)</f>
        <v>0</v>
      </c>
      <c r="X68" s="69"/>
      <c r="Y68" s="133">
        <f>COUNTIF('納品書明細F-15'!$D$9:$D$297,CONCATENATE(VLOOKUP(Y$5,$G$1:$H$4,2,FALSE),$E68,1,1,1))</f>
        <v>0</v>
      </c>
      <c r="Z68" s="161">
        <f>SUMIF('納品書明細F-15'!$C$9:$C$297,CONCATENATE(VLOOKUP(Y$5,$G$1:$H$4,2,FALSE),$E68,1,1),'納品書明細F-15'!$Q$9:$Q$297)</f>
        <v>0</v>
      </c>
      <c r="AA68" s="345"/>
      <c r="AB68" s="122"/>
      <c r="AC68" s="128"/>
      <c r="AD68" s="345"/>
      <c r="AE68" s="126">
        <f>COUNTIF('納品書明細F-15'!$D$9:$D$297,CONCATENATE(VLOOKUP(Y$5,$G$1:$H$4,2,FALSE),$E68,9,1,1))</f>
        <v>0</v>
      </c>
      <c r="AF68" s="433">
        <f>SUMIF('納品書明細F-15'!$C$9:$C$297,CONCATENATE(VLOOKUP(Y$5,$G$1:$H$4,2,FALSE),$E68,9,1),'納品書明細F-15'!$Q$9:$Q$297)</f>
        <v>0</v>
      </c>
    </row>
    <row r="69" spans="1:32">
      <c r="A69" s="474" t="str">
        <f>IF(SUMIFS($G69:$AF69,$G$8:$AF$8,"金額",$G69:$AF69,"&gt;0")-SUMIFS($G69:$AF69,$G$8:$AF$8,"金額",$G69:$AF69,"&lt;0")&lt;=0,"",MAX($A$8:$A68)+1)</f>
        <v/>
      </c>
      <c r="B69" s="802"/>
      <c r="C69" s="245" t="str">
        <f t="shared" si="1"/>
        <v>商品</v>
      </c>
      <c r="D69" s="245">
        <v>61</v>
      </c>
      <c r="E69" s="590" t="str">
        <f>IF($F69&lt;&gt;"",INDEX(ﾏｽﾀ!$D$8:$D$124,MATCH(INDEX(ﾏｽﾀ!$N$8:$N$124,MATCH($F69,ﾏｽﾀ!$O$8:$O$124,0)),ﾏｽﾀ!$B$8:$B$124,0))&amp;"","")</f>
        <v/>
      </c>
      <c r="F69" s="589" t="str">
        <f>ﾏｽﾀ!$R68&amp;""</f>
        <v/>
      </c>
      <c r="G69" s="133">
        <f>COUNTIF('納品書明細F-15'!$D$9:$D$297,CONCATENATE(VLOOKUP(G$5,$G$1:$H$4,2,FALSE),$E69,1,1,1))</f>
        <v>0</v>
      </c>
      <c r="H69" s="127">
        <f>SUMIF('納品書明細F-15'!$C$9:$C$297,CONCATENATE(VLOOKUP(G$5,$G$1:$H$4,2,FALSE),$E69,1,1),'納品書明細F-15'!$Q$9:$Q$297)</f>
        <v>0</v>
      </c>
      <c r="I69" s="345"/>
      <c r="J69" s="122"/>
      <c r="K69" s="359"/>
      <c r="L69" s="345"/>
      <c r="M69" s="126">
        <f>COUNTIF('納品書明細F-15'!$D$9:$D$297,CONCATENATE(VLOOKUP(G$5,$G$1:$H$4,2,FALSE),$E69,9,1,1))</f>
        <v>0</v>
      </c>
      <c r="N69" s="432">
        <f>SUMIF('納品書明細F-15'!$C$9:$C$297,CONCATENATE(VLOOKUP(G$5,$G$1:$H$4,2,FALSE),$E69,9,1),'納品書明細F-15'!$Q$9:$Q$297)</f>
        <v>0</v>
      </c>
      <c r="O69" s="69"/>
      <c r="P69" s="133">
        <f>COUNTIF('納品書明細F-15'!$D$9:$D$297,CONCATENATE(VLOOKUP(P$5,$G$1:$H$4,2,FALSE),$E69,1,1,1))</f>
        <v>0</v>
      </c>
      <c r="Q69" s="161">
        <f>SUMIF('納品書明細F-15'!$C$9:$C$297,CONCATENATE(VLOOKUP(P$5,$G$1:$H$4,2,FALSE),$E69,1,1),'納品書明細F-15'!$Q$9:$Q$297)</f>
        <v>0</v>
      </c>
      <c r="R69" s="345"/>
      <c r="S69" s="122"/>
      <c r="T69" s="128"/>
      <c r="U69" s="345"/>
      <c r="V69" s="126">
        <f>COUNTIF('納品書明細F-15'!$D$9:$D$297,CONCATENATE(VLOOKUP(P$5,$G$1:$H$4,2,FALSE),$E69,9,1,1))</f>
        <v>0</v>
      </c>
      <c r="W69" s="433">
        <f>SUMIF('納品書明細F-15'!$C$9:$C$297,CONCATENATE(VLOOKUP(P$5,$G$1:$H$4,2,FALSE),$E69,9,1),'納品書明細F-15'!$Q$9:$Q$297)</f>
        <v>0</v>
      </c>
      <c r="X69" s="69"/>
      <c r="Y69" s="133">
        <f>COUNTIF('納品書明細F-15'!$D$9:$D$297,CONCATENATE(VLOOKUP(Y$5,$G$1:$H$4,2,FALSE),$E69,1,1,1))</f>
        <v>0</v>
      </c>
      <c r="Z69" s="161">
        <f>SUMIF('納品書明細F-15'!$C$9:$C$297,CONCATENATE(VLOOKUP(Y$5,$G$1:$H$4,2,FALSE),$E69,1,1),'納品書明細F-15'!$Q$9:$Q$297)</f>
        <v>0</v>
      </c>
      <c r="AA69" s="345"/>
      <c r="AB69" s="122"/>
      <c r="AC69" s="128"/>
      <c r="AD69" s="345"/>
      <c r="AE69" s="126">
        <f>COUNTIF('納品書明細F-15'!$D$9:$D$297,CONCATENATE(VLOOKUP(Y$5,$G$1:$H$4,2,FALSE),$E69,9,1,1))</f>
        <v>0</v>
      </c>
      <c r="AF69" s="433">
        <f>SUMIF('納品書明細F-15'!$C$9:$C$297,CONCATENATE(VLOOKUP(Y$5,$G$1:$H$4,2,FALSE),$E69,9,1),'納品書明細F-15'!$Q$9:$Q$297)</f>
        <v>0</v>
      </c>
    </row>
    <row r="70" spans="1:32">
      <c r="A70" s="474" t="str">
        <f>IF(SUMIFS($G70:$AF70,$G$8:$AF$8,"金額",$G70:$AF70,"&gt;0")-SUMIFS($G70:$AF70,$G$8:$AF$8,"金額",$G70:$AF70,"&lt;0")&lt;=0,"",MAX($A$8:$A69)+1)</f>
        <v/>
      </c>
      <c r="B70" s="802"/>
      <c r="C70" s="245" t="str">
        <f t="shared" si="1"/>
        <v>商品</v>
      </c>
      <c r="D70" s="245">
        <v>62</v>
      </c>
      <c r="E70" s="590" t="str">
        <f>IF($F70&lt;&gt;"",INDEX(ﾏｽﾀ!$D$8:$D$124,MATCH(INDEX(ﾏｽﾀ!$N$8:$N$124,MATCH($F70,ﾏｽﾀ!$O$8:$O$124,0)),ﾏｽﾀ!$B$8:$B$124,0))&amp;"","")</f>
        <v/>
      </c>
      <c r="F70" s="589" t="str">
        <f>ﾏｽﾀ!$R69&amp;""</f>
        <v/>
      </c>
      <c r="G70" s="133">
        <f>COUNTIF('納品書明細F-15'!$D$9:$D$297,CONCATENATE(VLOOKUP(G$5,$G$1:$H$4,2,FALSE),$E70,1,1,1))</f>
        <v>0</v>
      </c>
      <c r="H70" s="127">
        <f>SUMIF('納品書明細F-15'!$C$9:$C$297,CONCATENATE(VLOOKUP(G$5,$G$1:$H$4,2,FALSE),$E70,1,1),'納品書明細F-15'!$Q$9:$Q$297)</f>
        <v>0</v>
      </c>
      <c r="I70" s="345"/>
      <c r="J70" s="122"/>
      <c r="K70" s="359"/>
      <c r="L70" s="345"/>
      <c r="M70" s="126">
        <f>COUNTIF('納品書明細F-15'!$D$9:$D$297,CONCATENATE(VLOOKUP(G$5,$G$1:$H$4,2,FALSE),$E70,9,1,1))</f>
        <v>0</v>
      </c>
      <c r="N70" s="432">
        <f>SUMIF('納品書明細F-15'!$C$9:$C$297,CONCATENATE(VLOOKUP(G$5,$G$1:$H$4,2,FALSE),$E70,9,1),'納品書明細F-15'!$Q$9:$Q$297)</f>
        <v>0</v>
      </c>
      <c r="O70" s="69"/>
      <c r="P70" s="133">
        <f>COUNTIF('納品書明細F-15'!$D$9:$D$297,CONCATENATE(VLOOKUP(P$5,$G$1:$H$4,2,FALSE),$E70,1,1,1))</f>
        <v>0</v>
      </c>
      <c r="Q70" s="161">
        <f>SUMIF('納品書明細F-15'!$C$9:$C$297,CONCATENATE(VLOOKUP(P$5,$G$1:$H$4,2,FALSE),$E70,1,1),'納品書明細F-15'!$Q$9:$Q$297)</f>
        <v>0</v>
      </c>
      <c r="R70" s="345"/>
      <c r="S70" s="122"/>
      <c r="T70" s="128"/>
      <c r="U70" s="345"/>
      <c r="V70" s="126">
        <f>COUNTIF('納品書明細F-15'!$D$9:$D$297,CONCATENATE(VLOOKUP(P$5,$G$1:$H$4,2,FALSE),$E70,9,1,1))</f>
        <v>0</v>
      </c>
      <c r="W70" s="433">
        <f>SUMIF('納品書明細F-15'!$C$9:$C$297,CONCATENATE(VLOOKUP(P$5,$G$1:$H$4,2,FALSE),$E70,9,1),'納品書明細F-15'!$Q$9:$Q$297)</f>
        <v>0</v>
      </c>
      <c r="X70" s="69"/>
      <c r="Y70" s="133">
        <f>COUNTIF('納品書明細F-15'!$D$9:$D$297,CONCATENATE(VLOOKUP(Y$5,$G$1:$H$4,2,FALSE),$E70,1,1,1))</f>
        <v>0</v>
      </c>
      <c r="Z70" s="161">
        <f>SUMIF('納品書明細F-15'!$C$9:$C$297,CONCATENATE(VLOOKUP(Y$5,$G$1:$H$4,2,FALSE),$E70,1,1),'納品書明細F-15'!$Q$9:$Q$297)</f>
        <v>0</v>
      </c>
      <c r="AA70" s="345"/>
      <c r="AB70" s="122"/>
      <c r="AC70" s="128"/>
      <c r="AD70" s="345"/>
      <c r="AE70" s="126">
        <f>COUNTIF('納品書明細F-15'!$D$9:$D$297,CONCATENATE(VLOOKUP(Y$5,$G$1:$H$4,2,FALSE),$E70,9,1,1))</f>
        <v>0</v>
      </c>
      <c r="AF70" s="433">
        <f>SUMIF('納品書明細F-15'!$C$9:$C$297,CONCATENATE(VLOOKUP(Y$5,$G$1:$H$4,2,FALSE),$E70,9,1),'納品書明細F-15'!$Q$9:$Q$297)</f>
        <v>0</v>
      </c>
    </row>
    <row r="71" spans="1:32">
      <c r="A71" s="474" t="str">
        <f>IF(SUMIFS($G71:$AF71,$G$8:$AF$8,"金額",$G71:$AF71,"&gt;0")-SUMIFS($G71:$AF71,$G$8:$AF$8,"金額",$G71:$AF71,"&lt;0")&lt;=0,"",MAX($A$8:$A70)+1)</f>
        <v/>
      </c>
      <c r="B71" s="802"/>
      <c r="C71" s="245" t="str">
        <f t="shared" si="1"/>
        <v>商品</v>
      </c>
      <c r="D71" s="245">
        <v>63</v>
      </c>
      <c r="E71" s="590" t="str">
        <f>IF($F71&lt;&gt;"",INDEX(ﾏｽﾀ!$D$8:$D$124,MATCH(INDEX(ﾏｽﾀ!$N$8:$N$124,MATCH($F71,ﾏｽﾀ!$O$8:$O$124,0)),ﾏｽﾀ!$B$8:$B$124,0))&amp;"","")</f>
        <v/>
      </c>
      <c r="F71" s="589" t="str">
        <f>ﾏｽﾀ!$R70&amp;""</f>
        <v/>
      </c>
      <c r="G71" s="133">
        <f>COUNTIF('納品書明細F-15'!$D$9:$D$297,CONCATENATE(VLOOKUP(G$5,$G$1:$H$4,2,FALSE),$E71,1,1,1))</f>
        <v>0</v>
      </c>
      <c r="H71" s="127">
        <f>SUMIF('納品書明細F-15'!$C$9:$C$297,CONCATENATE(VLOOKUP(G$5,$G$1:$H$4,2,FALSE),$E71,1,1),'納品書明細F-15'!$Q$9:$Q$297)</f>
        <v>0</v>
      </c>
      <c r="I71" s="345"/>
      <c r="J71" s="122"/>
      <c r="K71" s="359"/>
      <c r="L71" s="345"/>
      <c r="M71" s="126">
        <f>COUNTIF('納品書明細F-15'!$D$9:$D$297,CONCATENATE(VLOOKUP(G$5,$G$1:$H$4,2,FALSE),$E71,9,1,1))</f>
        <v>0</v>
      </c>
      <c r="N71" s="432">
        <f>SUMIF('納品書明細F-15'!$C$9:$C$297,CONCATENATE(VLOOKUP(G$5,$G$1:$H$4,2,FALSE),$E71,9,1),'納品書明細F-15'!$Q$9:$Q$297)</f>
        <v>0</v>
      </c>
      <c r="O71" s="69"/>
      <c r="P71" s="133">
        <f>COUNTIF('納品書明細F-15'!$D$9:$D$297,CONCATENATE(VLOOKUP(P$5,$G$1:$H$4,2,FALSE),$E71,1,1,1))</f>
        <v>0</v>
      </c>
      <c r="Q71" s="161">
        <f>SUMIF('納品書明細F-15'!$C$9:$C$297,CONCATENATE(VLOOKUP(P$5,$G$1:$H$4,2,FALSE),$E71,1,1),'納品書明細F-15'!$Q$9:$Q$297)</f>
        <v>0</v>
      </c>
      <c r="R71" s="345"/>
      <c r="S71" s="122"/>
      <c r="T71" s="128"/>
      <c r="U71" s="345"/>
      <c r="V71" s="126">
        <f>COUNTIF('納品書明細F-15'!$D$9:$D$297,CONCATENATE(VLOOKUP(P$5,$G$1:$H$4,2,FALSE),$E71,9,1,1))</f>
        <v>0</v>
      </c>
      <c r="W71" s="433">
        <f>SUMIF('納品書明細F-15'!$C$9:$C$297,CONCATENATE(VLOOKUP(P$5,$G$1:$H$4,2,FALSE),$E71,9,1),'納品書明細F-15'!$Q$9:$Q$297)</f>
        <v>0</v>
      </c>
      <c r="X71" s="69"/>
      <c r="Y71" s="133">
        <f>COUNTIF('納品書明細F-15'!$D$9:$D$297,CONCATENATE(VLOOKUP(Y$5,$G$1:$H$4,2,FALSE),$E71,1,1,1))</f>
        <v>0</v>
      </c>
      <c r="Z71" s="161">
        <f>SUMIF('納品書明細F-15'!$C$9:$C$297,CONCATENATE(VLOOKUP(Y$5,$G$1:$H$4,2,FALSE),$E71,1,1),'納品書明細F-15'!$Q$9:$Q$297)</f>
        <v>0</v>
      </c>
      <c r="AA71" s="345"/>
      <c r="AB71" s="122"/>
      <c r="AC71" s="128"/>
      <c r="AD71" s="345"/>
      <c r="AE71" s="126">
        <f>COUNTIF('納品書明細F-15'!$D$9:$D$297,CONCATENATE(VLOOKUP(Y$5,$G$1:$H$4,2,FALSE),$E71,9,1,1))</f>
        <v>0</v>
      </c>
      <c r="AF71" s="433">
        <f>SUMIF('納品書明細F-15'!$C$9:$C$297,CONCATENATE(VLOOKUP(Y$5,$G$1:$H$4,2,FALSE),$E71,9,1),'納品書明細F-15'!$Q$9:$Q$297)</f>
        <v>0</v>
      </c>
    </row>
    <row r="72" spans="1:32">
      <c r="A72" s="474" t="str">
        <f>IF(SUMIFS($G72:$AF72,$G$8:$AF$8,"金額",$G72:$AF72,"&gt;0")-SUMIFS($G72:$AF72,$G$8:$AF$8,"金額",$G72:$AF72,"&lt;0")&lt;=0,"",MAX($A$8:$A71)+1)</f>
        <v/>
      </c>
      <c r="B72" s="802"/>
      <c r="C72" s="245" t="str">
        <f t="shared" si="1"/>
        <v>商品</v>
      </c>
      <c r="D72" s="245">
        <v>64</v>
      </c>
      <c r="E72" s="590" t="str">
        <f>IF($F72&lt;&gt;"",INDEX(ﾏｽﾀ!$D$8:$D$124,MATCH(INDEX(ﾏｽﾀ!$N$8:$N$124,MATCH($F72,ﾏｽﾀ!$O$8:$O$124,0)),ﾏｽﾀ!$B$8:$B$124,0))&amp;"","")</f>
        <v/>
      </c>
      <c r="F72" s="589" t="str">
        <f>ﾏｽﾀ!$R71&amp;""</f>
        <v/>
      </c>
      <c r="G72" s="133">
        <f>COUNTIF('納品書明細F-15'!$D$9:$D$297,CONCATENATE(VLOOKUP(G$5,$G$1:$H$4,2,FALSE),$E72,1,1,1))</f>
        <v>0</v>
      </c>
      <c r="H72" s="127">
        <f>SUMIF('納品書明細F-15'!$C$9:$C$297,CONCATENATE(VLOOKUP(G$5,$G$1:$H$4,2,FALSE),$E72,1,1),'納品書明細F-15'!$Q$9:$Q$297)</f>
        <v>0</v>
      </c>
      <c r="I72" s="345"/>
      <c r="J72" s="122"/>
      <c r="K72" s="359"/>
      <c r="L72" s="345"/>
      <c r="M72" s="126">
        <f>COUNTIF('納品書明細F-15'!$D$9:$D$297,CONCATENATE(VLOOKUP(G$5,$G$1:$H$4,2,FALSE),$E72,9,1,1))</f>
        <v>0</v>
      </c>
      <c r="N72" s="432">
        <f>SUMIF('納品書明細F-15'!$C$9:$C$297,CONCATENATE(VLOOKUP(G$5,$G$1:$H$4,2,FALSE),$E72,9,1),'納品書明細F-15'!$Q$9:$Q$297)</f>
        <v>0</v>
      </c>
      <c r="O72" s="69"/>
      <c r="P72" s="133">
        <f>COUNTIF('納品書明細F-15'!$D$9:$D$297,CONCATENATE(VLOOKUP(P$5,$G$1:$H$4,2,FALSE),$E72,1,1,1))</f>
        <v>0</v>
      </c>
      <c r="Q72" s="161">
        <f>SUMIF('納品書明細F-15'!$C$9:$C$297,CONCATENATE(VLOOKUP(P$5,$G$1:$H$4,2,FALSE),$E72,1,1),'納品書明細F-15'!$Q$9:$Q$297)</f>
        <v>0</v>
      </c>
      <c r="R72" s="345"/>
      <c r="S72" s="122"/>
      <c r="T72" s="128"/>
      <c r="U72" s="345"/>
      <c r="V72" s="126">
        <f>COUNTIF('納品書明細F-15'!$D$9:$D$297,CONCATENATE(VLOOKUP(P$5,$G$1:$H$4,2,FALSE),$E72,9,1,1))</f>
        <v>0</v>
      </c>
      <c r="W72" s="433">
        <f>SUMIF('納品書明細F-15'!$C$9:$C$297,CONCATENATE(VLOOKUP(P$5,$G$1:$H$4,2,FALSE),$E72,9,1),'納品書明細F-15'!$Q$9:$Q$297)</f>
        <v>0</v>
      </c>
      <c r="X72" s="69"/>
      <c r="Y72" s="133">
        <f>COUNTIF('納品書明細F-15'!$D$9:$D$297,CONCATENATE(VLOOKUP(Y$5,$G$1:$H$4,2,FALSE),$E72,1,1,1))</f>
        <v>0</v>
      </c>
      <c r="Z72" s="161">
        <f>SUMIF('納品書明細F-15'!$C$9:$C$297,CONCATENATE(VLOOKUP(Y$5,$G$1:$H$4,2,FALSE),$E72,1,1),'納品書明細F-15'!$Q$9:$Q$297)</f>
        <v>0</v>
      </c>
      <c r="AA72" s="345"/>
      <c r="AB72" s="122"/>
      <c r="AC72" s="128"/>
      <c r="AD72" s="345"/>
      <c r="AE72" s="126">
        <f>COUNTIF('納品書明細F-15'!$D$9:$D$297,CONCATENATE(VLOOKUP(Y$5,$G$1:$H$4,2,FALSE),$E72,9,1,1))</f>
        <v>0</v>
      </c>
      <c r="AF72" s="433">
        <f>SUMIF('納品書明細F-15'!$C$9:$C$297,CONCATENATE(VLOOKUP(Y$5,$G$1:$H$4,2,FALSE),$E72,9,1),'納品書明細F-15'!$Q$9:$Q$297)</f>
        <v>0</v>
      </c>
    </row>
    <row r="73" spans="1:32">
      <c r="A73" s="474" t="str">
        <f>IF(SUMIFS($G73:$AF73,$G$8:$AF$8,"金額",$G73:$AF73,"&gt;0")-SUMIFS($G73:$AF73,$G$8:$AF$8,"金額",$G73:$AF73,"&lt;0")&lt;=0,"",MAX($A$8:$A72)+1)</f>
        <v/>
      </c>
      <c r="B73" s="802"/>
      <c r="C73" s="245" t="str">
        <f t="shared" ref="C73:C90" si="2">CONCATENATE("商品",$A73)</f>
        <v>商品</v>
      </c>
      <c r="D73" s="245">
        <v>65</v>
      </c>
      <c r="E73" s="590" t="str">
        <f>IF($F73&lt;&gt;"",INDEX(ﾏｽﾀ!$D$8:$D$124,MATCH(INDEX(ﾏｽﾀ!$N$8:$N$124,MATCH($F73,ﾏｽﾀ!$O$8:$O$124,0)),ﾏｽﾀ!$B$8:$B$124,0))&amp;"","")</f>
        <v/>
      </c>
      <c r="F73" s="589" t="str">
        <f>ﾏｽﾀ!$R72&amp;""</f>
        <v/>
      </c>
      <c r="G73" s="133">
        <f>COUNTIF('納品書明細F-15'!$D$9:$D$297,CONCATENATE(VLOOKUP(G$5,$G$1:$H$4,2,FALSE),$E73,1,1,1))</f>
        <v>0</v>
      </c>
      <c r="H73" s="127">
        <f>SUMIF('納品書明細F-15'!$C$9:$C$297,CONCATENATE(VLOOKUP(G$5,$G$1:$H$4,2,FALSE),$E73,1,1),'納品書明細F-15'!$Q$9:$Q$297)</f>
        <v>0</v>
      </c>
      <c r="I73" s="345"/>
      <c r="J73" s="122"/>
      <c r="K73" s="359"/>
      <c r="L73" s="345"/>
      <c r="M73" s="126">
        <f>COUNTIF('納品書明細F-15'!$D$9:$D$297,CONCATENATE(VLOOKUP(G$5,$G$1:$H$4,2,FALSE),$E73,9,1,1))</f>
        <v>0</v>
      </c>
      <c r="N73" s="432">
        <f>SUMIF('納品書明細F-15'!$C$9:$C$297,CONCATENATE(VLOOKUP(G$5,$G$1:$H$4,2,FALSE),$E73,9,1),'納品書明細F-15'!$Q$9:$Q$297)</f>
        <v>0</v>
      </c>
      <c r="O73" s="69"/>
      <c r="P73" s="133">
        <f>COUNTIF('納品書明細F-15'!$D$9:$D$297,CONCATENATE(VLOOKUP(P$5,$G$1:$H$4,2,FALSE),$E73,1,1,1))</f>
        <v>0</v>
      </c>
      <c r="Q73" s="161">
        <f>SUMIF('納品書明細F-15'!$C$9:$C$297,CONCATENATE(VLOOKUP(P$5,$G$1:$H$4,2,FALSE),$E73,1,1),'納品書明細F-15'!$Q$9:$Q$297)</f>
        <v>0</v>
      </c>
      <c r="R73" s="345"/>
      <c r="S73" s="122"/>
      <c r="T73" s="128"/>
      <c r="U73" s="345"/>
      <c r="V73" s="126">
        <f>COUNTIF('納品書明細F-15'!$D$9:$D$297,CONCATENATE(VLOOKUP(P$5,$G$1:$H$4,2,FALSE),$E73,9,1,1))</f>
        <v>0</v>
      </c>
      <c r="W73" s="433">
        <f>SUMIF('納品書明細F-15'!$C$9:$C$297,CONCATENATE(VLOOKUP(P$5,$G$1:$H$4,2,FALSE),$E73,9,1),'納品書明細F-15'!$Q$9:$Q$297)</f>
        <v>0</v>
      </c>
      <c r="X73" s="69"/>
      <c r="Y73" s="133">
        <f>COUNTIF('納品書明細F-15'!$D$9:$D$297,CONCATENATE(VLOOKUP(Y$5,$G$1:$H$4,2,FALSE),$E73,1,1,1))</f>
        <v>0</v>
      </c>
      <c r="Z73" s="161">
        <f>SUMIF('納品書明細F-15'!$C$9:$C$297,CONCATENATE(VLOOKUP(Y$5,$G$1:$H$4,2,FALSE),$E73,1,1),'納品書明細F-15'!$Q$9:$Q$297)</f>
        <v>0</v>
      </c>
      <c r="AA73" s="345"/>
      <c r="AB73" s="122"/>
      <c r="AC73" s="128"/>
      <c r="AD73" s="345"/>
      <c r="AE73" s="126">
        <f>COUNTIF('納品書明細F-15'!$D$9:$D$297,CONCATENATE(VLOOKUP(Y$5,$G$1:$H$4,2,FALSE),$E73,9,1,1))</f>
        <v>0</v>
      </c>
      <c r="AF73" s="433">
        <f>SUMIF('納品書明細F-15'!$C$9:$C$297,CONCATENATE(VLOOKUP(Y$5,$G$1:$H$4,2,FALSE),$E73,9,1),'納品書明細F-15'!$Q$9:$Q$297)</f>
        <v>0</v>
      </c>
    </row>
    <row r="74" spans="1:32">
      <c r="A74" s="474" t="str">
        <f>IF(SUMIFS($G74:$AF74,$G$8:$AF$8,"金額",$G74:$AF74,"&gt;0")-SUMIFS($G74:$AF74,$G$8:$AF$8,"金額",$G74:$AF74,"&lt;0")&lt;=0,"",MAX($A$8:$A73)+1)</f>
        <v/>
      </c>
      <c r="B74" s="802"/>
      <c r="C74" s="245" t="str">
        <f t="shared" si="2"/>
        <v>商品</v>
      </c>
      <c r="D74" s="245">
        <v>66</v>
      </c>
      <c r="E74" s="590" t="str">
        <f>IF($F74&lt;&gt;"",INDEX(ﾏｽﾀ!$D$8:$D$124,MATCH(INDEX(ﾏｽﾀ!$N$8:$N$124,MATCH($F74,ﾏｽﾀ!$O$8:$O$124,0)),ﾏｽﾀ!$B$8:$B$124,0))&amp;"","")</f>
        <v/>
      </c>
      <c r="F74" s="589" t="str">
        <f>ﾏｽﾀ!$R73&amp;""</f>
        <v/>
      </c>
      <c r="G74" s="133">
        <f>COUNTIF('納品書明細F-15'!$D$9:$D$297,CONCATENATE(VLOOKUP(G$5,$G$1:$H$4,2,FALSE),$E74,1,1,1))</f>
        <v>0</v>
      </c>
      <c r="H74" s="127">
        <f>SUMIF('納品書明細F-15'!$C$9:$C$297,CONCATENATE(VLOOKUP(G$5,$G$1:$H$4,2,FALSE),$E74,1,1),'納品書明細F-15'!$Q$9:$Q$297)</f>
        <v>0</v>
      </c>
      <c r="I74" s="345"/>
      <c r="J74" s="122"/>
      <c r="K74" s="359"/>
      <c r="L74" s="345"/>
      <c r="M74" s="126">
        <f>COUNTIF('納品書明細F-15'!$D$9:$D$297,CONCATENATE(VLOOKUP(G$5,$G$1:$H$4,2,FALSE),$E74,9,1,1))</f>
        <v>0</v>
      </c>
      <c r="N74" s="432">
        <f>SUMIF('納品書明細F-15'!$C$9:$C$297,CONCATENATE(VLOOKUP(G$5,$G$1:$H$4,2,FALSE),$E74,9,1),'納品書明細F-15'!$Q$9:$Q$297)</f>
        <v>0</v>
      </c>
      <c r="O74" s="69"/>
      <c r="P74" s="133">
        <f>COUNTIF('納品書明細F-15'!$D$9:$D$297,CONCATENATE(VLOOKUP(P$5,$G$1:$H$4,2,FALSE),$E74,1,1,1))</f>
        <v>0</v>
      </c>
      <c r="Q74" s="161">
        <f>SUMIF('納品書明細F-15'!$C$9:$C$297,CONCATENATE(VLOOKUP(P$5,$G$1:$H$4,2,FALSE),$E74,1,1),'納品書明細F-15'!$Q$9:$Q$297)</f>
        <v>0</v>
      </c>
      <c r="R74" s="345"/>
      <c r="S74" s="122"/>
      <c r="T74" s="128"/>
      <c r="U74" s="345"/>
      <c r="V74" s="126">
        <f>COUNTIF('納品書明細F-15'!$D$9:$D$297,CONCATENATE(VLOOKUP(P$5,$G$1:$H$4,2,FALSE),$E74,9,1,1))</f>
        <v>0</v>
      </c>
      <c r="W74" s="433">
        <f>SUMIF('納品書明細F-15'!$C$9:$C$297,CONCATENATE(VLOOKUP(P$5,$G$1:$H$4,2,FALSE),$E74,9,1),'納品書明細F-15'!$Q$9:$Q$297)</f>
        <v>0</v>
      </c>
      <c r="X74" s="69"/>
      <c r="Y74" s="133">
        <f>COUNTIF('納品書明細F-15'!$D$9:$D$297,CONCATENATE(VLOOKUP(Y$5,$G$1:$H$4,2,FALSE),$E74,1,1,1))</f>
        <v>0</v>
      </c>
      <c r="Z74" s="161">
        <f>SUMIF('納品書明細F-15'!$C$9:$C$297,CONCATENATE(VLOOKUP(Y$5,$G$1:$H$4,2,FALSE),$E74,1,1),'納品書明細F-15'!$Q$9:$Q$297)</f>
        <v>0</v>
      </c>
      <c r="AA74" s="345"/>
      <c r="AB74" s="122"/>
      <c r="AC74" s="128"/>
      <c r="AD74" s="345"/>
      <c r="AE74" s="126">
        <f>COUNTIF('納品書明細F-15'!$D$9:$D$297,CONCATENATE(VLOOKUP(Y$5,$G$1:$H$4,2,FALSE),$E74,9,1,1))</f>
        <v>0</v>
      </c>
      <c r="AF74" s="433">
        <f>SUMIF('納品書明細F-15'!$C$9:$C$297,CONCATENATE(VLOOKUP(Y$5,$G$1:$H$4,2,FALSE),$E74,9,1),'納品書明細F-15'!$Q$9:$Q$297)</f>
        <v>0</v>
      </c>
    </row>
    <row r="75" spans="1:32">
      <c r="A75" s="474" t="str">
        <f>IF(SUMIFS($G75:$AF75,$G$8:$AF$8,"金額",$G75:$AF75,"&gt;0")-SUMIFS($G75:$AF75,$G$8:$AF$8,"金額",$G75:$AF75,"&lt;0")&lt;=0,"",MAX($A$8:$A74)+1)</f>
        <v/>
      </c>
      <c r="B75" s="802"/>
      <c r="C75" s="245" t="str">
        <f t="shared" si="2"/>
        <v>商品</v>
      </c>
      <c r="D75" s="245">
        <v>67</v>
      </c>
      <c r="E75" s="590" t="str">
        <f>IF($F75&lt;&gt;"",INDEX(ﾏｽﾀ!$D$8:$D$124,MATCH(INDEX(ﾏｽﾀ!$N$8:$N$124,MATCH($F75,ﾏｽﾀ!$O$8:$O$124,0)),ﾏｽﾀ!$B$8:$B$124,0))&amp;"","")</f>
        <v/>
      </c>
      <c r="F75" s="589" t="str">
        <f>ﾏｽﾀ!$R74&amp;""</f>
        <v/>
      </c>
      <c r="G75" s="133">
        <f>COUNTIF('納品書明細F-15'!$D$9:$D$297,CONCATENATE(VLOOKUP(G$5,$G$1:$H$4,2,FALSE),$E75,1,1,1))</f>
        <v>0</v>
      </c>
      <c r="H75" s="127">
        <f>SUMIF('納品書明細F-15'!$C$9:$C$297,CONCATENATE(VLOOKUP(G$5,$G$1:$H$4,2,FALSE),$E75,1,1),'納品書明細F-15'!$Q$9:$Q$297)</f>
        <v>0</v>
      </c>
      <c r="I75" s="345"/>
      <c r="J75" s="122"/>
      <c r="K75" s="359"/>
      <c r="L75" s="345"/>
      <c r="M75" s="126">
        <f>COUNTIF('納品書明細F-15'!$D$9:$D$297,CONCATENATE(VLOOKUP(G$5,$G$1:$H$4,2,FALSE),$E75,9,1,1))</f>
        <v>0</v>
      </c>
      <c r="N75" s="432">
        <f>SUMIF('納品書明細F-15'!$C$9:$C$297,CONCATENATE(VLOOKUP(G$5,$G$1:$H$4,2,FALSE),$E75,9,1),'納品書明細F-15'!$Q$9:$Q$297)</f>
        <v>0</v>
      </c>
      <c r="O75" s="69"/>
      <c r="P75" s="133">
        <f>COUNTIF('納品書明細F-15'!$D$9:$D$297,CONCATENATE(VLOOKUP(P$5,$G$1:$H$4,2,FALSE),$E75,1,1,1))</f>
        <v>0</v>
      </c>
      <c r="Q75" s="161">
        <f>SUMIF('納品書明細F-15'!$C$9:$C$297,CONCATENATE(VLOOKUP(P$5,$G$1:$H$4,2,FALSE),$E75,1,1),'納品書明細F-15'!$Q$9:$Q$297)</f>
        <v>0</v>
      </c>
      <c r="R75" s="345"/>
      <c r="S75" s="122"/>
      <c r="T75" s="128"/>
      <c r="U75" s="345"/>
      <c r="V75" s="126">
        <f>COUNTIF('納品書明細F-15'!$D$9:$D$297,CONCATENATE(VLOOKUP(P$5,$G$1:$H$4,2,FALSE),$E75,9,1,1))</f>
        <v>0</v>
      </c>
      <c r="W75" s="433">
        <f>SUMIF('納品書明細F-15'!$C$9:$C$297,CONCATENATE(VLOOKUP(P$5,$G$1:$H$4,2,FALSE),$E75,9,1),'納品書明細F-15'!$Q$9:$Q$297)</f>
        <v>0</v>
      </c>
      <c r="X75" s="69"/>
      <c r="Y75" s="133">
        <f>COUNTIF('納品書明細F-15'!$D$9:$D$297,CONCATENATE(VLOOKUP(Y$5,$G$1:$H$4,2,FALSE),$E75,1,1,1))</f>
        <v>0</v>
      </c>
      <c r="Z75" s="161">
        <f>SUMIF('納品書明細F-15'!$C$9:$C$297,CONCATENATE(VLOOKUP(Y$5,$G$1:$H$4,2,FALSE),$E75,1,1),'納品書明細F-15'!$Q$9:$Q$297)</f>
        <v>0</v>
      </c>
      <c r="AA75" s="345"/>
      <c r="AB75" s="122"/>
      <c r="AC75" s="128"/>
      <c r="AD75" s="345"/>
      <c r="AE75" s="126">
        <f>COUNTIF('納品書明細F-15'!$D$9:$D$297,CONCATENATE(VLOOKUP(Y$5,$G$1:$H$4,2,FALSE),$E75,9,1,1))</f>
        <v>0</v>
      </c>
      <c r="AF75" s="433">
        <f>SUMIF('納品書明細F-15'!$C$9:$C$297,CONCATENATE(VLOOKUP(Y$5,$G$1:$H$4,2,FALSE),$E75,9,1),'納品書明細F-15'!$Q$9:$Q$297)</f>
        <v>0</v>
      </c>
    </row>
    <row r="76" spans="1:32">
      <c r="A76" s="474" t="str">
        <f>IF(SUMIFS($G76:$AF76,$G$8:$AF$8,"金額",$G76:$AF76,"&gt;0")-SUMIFS($G76:$AF76,$G$8:$AF$8,"金額",$G76:$AF76,"&lt;0")&lt;=0,"",MAX($A$8:$A75)+1)</f>
        <v/>
      </c>
      <c r="B76" s="802"/>
      <c r="C76" s="245" t="str">
        <f t="shared" si="2"/>
        <v>商品</v>
      </c>
      <c r="D76" s="245">
        <v>68</v>
      </c>
      <c r="E76" s="590" t="str">
        <f>IF($F76&lt;&gt;"",INDEX(ﾏｽﾀ!$D$8:$D$124,MATCH(INDEX(ﾏｽﾀ!$N$8:$N$124,MATCH($F76,ﾏｽﾀ!$O$8:$O$124,0)),ﾏｽﾀ!$B$8:$B$124,0))&amp;"","")</f>
        <v/>
      </c>
      <c r="F76" s="589" t="str">
        <f>ﾏｽﾀ!$R75&amp;""</f>
        <v/>
      </c>
      <c r="G76" s="133">
        <f>COUNTIF('納品書明細F-15'!$D$9:$D$297,CONCATENATE(VLOOKUP(G$5,$G$1:$H$4,2,FALSE),$E76,1,1,1))</f>
        <v>0</v>
      </c>
      <c r="H76" s="127">
        <f>SUMIF('納品書明細F-15'!$C$9:$C$297,CONCATENATE(VLOOKUP(G$5,$G$1:$H$4,2,FALSE),$E76,1,1),'納品書明細F-15'!$Q$9:$Q$297)</f>
        <v>0</v>
      </c>
      <c r="I76" s="345"/>
      <c r="J76" s="122"/>
      <c r="K76" s="359"/>
      <c r="L76" s="345"/>
      <c r="M76" s="126">
        <f>COUNTIF('納品書明細F-15'!$D$9:$D$297,CONCATENATE(VLOOKUP(G$5,$G$1:$H$4,2,FALSE),$E76,9,1,1))</f>
        <v>0</v>
      </c>
      <c r="N76" s="432">
        <f>SUMIF('納品書明細F-15'!$C$9:$C$297,CONCATENATE(VLOOKUP(G$5,$G$1:$H$4,2,FALSE),$E76,9,1),'納品書明細F-15'!$Q$9:$Q$297)</f>
        <v>0</v>
      </c>
      <c r="O76" s="69"/>
      <c r="P76" s="133">
        <f>COUNTIF('納品書明細F-15'!$D$9:$D$297,CONCATENATE(VLOOKUP(P$5,$G$1:$H$4,2,FALSE),$E76,1,1,1))</f>
        <v>0</v>
      </c>
      <c r="Q76" s="161">
        <f>SUMIF('納品書明細F-15'!$C$9:$C$297,CONCATENATE(VLOOKUP(P$5,$G$1:$H$4,2,FALSE),$E76,1,1),'納品書明細F-15'!$Q$9:$Q$297)</f>
        <v>0</v>
      </c>
      <c r="R76" s="345"/>
      <c r="S76" s="122"/>
      <c r="T76" s="128"/>
      <c r="U76" s="345"/>
      <c r="V76" s="126">
        <f>COUNTIF('納品書明細F-15'!$D$9:$D$297,CONCATENATE(VLOOKUP(P$5,$G$1:$H$4,2,FALSE),$E76,9,1,1))</f>
        <v>0</v>
      </c>
      <c r="W76" s="433">
        <f>SUMIF('納品書明細F-15'!$C$9:$C$297,CONCATENATE(VLOOKUP(P$5,$G$1:$H$4,2,FALSE),$E76,9,1),'納品書明細F-15'!$Q$9:$Q$297)</f>
        <v>0</v>
      </c>
      <c r="X76" s="69"/>
      <c r="Y76" s="133">
        <f>COUNTIF('納品書明細F-15'!$D$9:$D$297,CONCATENATE(VLOOKUP(Y$5,$G$1:$H$4,2,FALSE),$E76,1,1,1))</f>
        <v>0</v>
      </c>
      <c r="Z76" s="161">
        <f>SUMIF('納品書明細F-15'!$C$9:$C$297,CONCATENATE(VLOOKUP(Y$5,$G$1:$H$4,2,FALSE),$E76,1,1),'納品書明細F-15'!$Q$9:$Q$297)</f>
        <v>0</v>
      </c>
      <c r="AA76" s="345"/>
      <c r="AB76" s="122"/>
      <c r="AC76" s="128"/>
      <c r="AD76" s="345"/>
      <c r="AE76" s="126">
        <f>COUNTIF('納品書明細F-15'!$D$9:$D$297,CONCATENATE(VLOOKUP(Y$5,$G$1:$H$4,2,FALSE),$E76,9,1,1))</f>
        <v>0</v>
      </c>
      <c r="AF76" s="433">
        <f>SUMIF('納品書明細F-15'!$C$9:$C$297,CONCATENATE(VLOOKUP(Y$5,$G$1:$H$4,2,FALSE),$E76,9,1),'納品書明細F-15'!$Q$9:$Q$297)</f>
        <v>0</v>
      </c>
    </row>
    <row r="77" spans="1:32">
      <c r="A77" s="474" t="str">
        <f>IF(SUMIFS($G77:$AF77,$G$8:$AF$8,"金額",$G77:$AF77,"&gt;0")-SUMIFS($G77:$AF77,$G$8:$AF$8,"金額",$G77:$AF77,"&lt;0")&lt;=0,"",MAX($A$8:$A76)+1)</f>
        <v/>
      </c>
      <c r="B77" s="802"/>
      <c r="C77" s="245" t="str">
        <f t="shared" si="2"/>
        <v>商品</v>
      </c>
      <c r="D77" s="245">
        <v>69</v>
      </c>
      <c r="E77" s="590" t="str">
        <f>IF($F77&lt;&gt;"",INDEX(ﾏｽﾀ!$D$8:$D$124,MATCH(INDEX(ﾏｽﾀ!$N$8:$N$124,MATCH($F77,ﾏｽﾀ!$O$8:$O$124,0)),ﾏｽﾀ!$B$8:$B$124,0))&amp;"","")</f>
        <v/>
      </c>
      <c r="F77" s="589" t="str">
        <f>ﾏｽﾀ!$R76&amp;""</f>
        <v/>
      </c>
      <c r="G77" s="133">
        <f>COUNTIF('納品書明細F-15'!$D$9:$D$297,CONCATENATE(VLOOKUP(G$5,$G$1:$H$4,2,FALSE),$E77,1,1,1))</f>
        <v>0</v>
      </c>
      <c r="H77" s="127">
        <f>SUMIF('納品書明細F-15'!$C$9:$C$297,CONCATENATE(VLOOKUP(G$5,$G$1:$H$4,2,FALSE),$E77,1,1),'納品書明細F-15'!$Q$9:$Q$297)</f>
        <v>0</v>
      </c>
      <c r="I77" s="345"/>
      <c r="J77" s="122"/>
      <c r="K77" s="359"/>
      <c r="L77" s="345"/>
      <c r="M77" s="126">
        <f>COUNTIF('納品書明細F-15'!$D$9:$D$297,CONCATENATE(VLOOKUP(G$5,$G$1:$H$4,2,FALSE),$E77,9,1,1))</f>
        <v>0</v>
      </c>
      <c r="N77" s="432">
        <f>SUMIF('納品書明細F-15'!$C$9:$C$297,CONCATENATE(VLOOKUP(G$5,$G$1:$H$4,2,FALSE),$E77,9,1),'納品書明細F-15'!$Q$9:$Q$297)</f>
        <v>0</v>
      </c>
      <c r="O77" s="69"/>
      <c r="P77" s="133">
        <f>COUNTIF('納品書明細F-15'!$D$9:$D$297,CONCATENATE(VLOOKUP(P$5,$G$1:$H$4,2,FALSE),$E77,1,1,1))</f>
        <v>0</v>
      </c>
      <c r="Q77" s="161">
        <f>SUMIF('納品書明細F-15'!$C$9:$C$297,CONCATENATE(VLOOKUP(P$5,$G$1:$H$4,2,FALSE),$E77,1,1),'納品書明細F-15'!$Q$9:$Q$297)</f>
        <v>0</v>
      </c>
      <c r="R77" s="345"/>
      <c r="S77" s="122"/>
      <c r="T77" s="128"/>
      <c r="U77" s="345"/>
      <c r="V77" s="126">
        <f>COUNTIF('納品書明細F-15'!$D$9:$D$297,CONCATENATE(VLOOKUP(P$5,$G$1:$H$4,2,FALSE),$E77,9,1,1))</f>
        <v>0</v>
      </c>
      <c r="W77" s="433">
        <f>SUMIF('納品書明細F-15'!$C$9:$C$297,CONCATENATE(VLOOKUP(P$5,$G$1:$H$4,2,FALSE),$E77,9,1),'納品書明細F-15'!$Q$9:$Q$297)</f>
        <v>0</v>
      </c>
      <c r="X77" s="69"/>
      <c r="Y77" s="133">
        <f>COUNTIF('納品書明細F-15'!$D$9:$D$297,CONCATENATE(VLOOKUP(Y$5,$G$1:$H$4,2,FALSE),$E77,1,1,1))</f>
        <v>0</v>
      </c>
      <c r="Z77" s="161">
        <f>SUMIF('納品書明細F-15'!$C$9:$C$297,CONCATENATE(VLOOKUP(Y$5,$G$1:$H$4,2,FALSE),$E77,1,1),'納品書明細F-15'!$Q$9:$Q$297)</f>
        <v>0</v>
      </c>
      <c r="AA77" s="345"/>
      <c r="AB77" s="122"/>
      <c r="AC77" s="128"/>
      <c r="AD77" s="345"/>
      <c r="AE77" s="126">
        <f>COUNTIF('納品書明細F-15'!$D$9:$D$297,CONCATENATE(VLOOKUP(Y$5,$G$1:$H$4,2,FALSE),$E77,9,1,1))</f>
        <v>0</v>
      </c>
      <c r="AF77" s="433">
        <f>SUMIF('納品書明細F-15'!$C$9:$C$297,CONCATENATE(VLOOKUP(Y$5,$G$1:$H$4,2,FALSE),$E77,9,1),'納品書明細F-15'!$Q$9:$Q$297)</f>
        <v>0</v>
      </c>
    </row>
    <row r="78" spans="1:32">
      <c r="A78" s="474" t="str">
        <f>IF(SUMIFS($G78:$AF78,$G$8:$AF$8,"金額",$G78:$AF78,"&gt;0")-SUMIFS($G78:$AF78,$G$8:$AF$8,"金額",$G78:$AF78,"&lt;0")&lt;=0,"",MAX($A$8:$A77)+1)</f>
        <v/>
      </c>
      <c r="B78" s="802"/>
      <c r="C78" s="245" t="str">
        <f t="shared" si="2"/>
        <v>商品</v>
      </c>
      <c r="D78" s="245">
        <v>70</v>
      </c>
      <c r="E78" s="590" t="str">
        <f>IF($F78&lt;&gt;"",INDEX(ﾏｽﾀ!$D$8:$D$124,MATCH(INDEX(ﾏｽﾀ!$N$8:$N$124,MATCH($F78,ﾏｽﾀ!$O$8:$O$124,0)),ﾏｽﾀ!$B$8:$B$124,0))&amp;"","")</f>
        <v/>
      </c>
      <c r="F78" s="589" t="str">
        <f>ﾏｽﾀ!$R77&amp;""</f>
        <v/>
      </c>
      <c r="G78" s="133">
        <f>COUNTIF('納品書明細F-15'!$D$9:$D$297,CONCATENATE(VLOOKUP(G$5,$G$1:$H$4,2,FALSE),$E78,1,1,1))</f>
        <v>0</v>
      </c>
      <c r="H78" s="127">
        <f>SUMIF('納品書明細F-15'!$C$9:$C$297,CONCATENATE(VLOOKUP(G$5,$G$1:$H$4,2,FALSE),$E78,1,1),'納品書明細F-15'!$Q$9:$Q$297)</f>
        <v>0</v>
      </c>
      <c r="I78" s="345"/>
      <c r="J78" s="122"/>
      <c r="K78" s="359"/>
      <c r="L78" s="345"/>
      <c r="M78" s="126">
        <f>COUNTIF('納品書明細F-15'!$D$9:$D$297,CONCATENATE(VLOOKUP(G$5,$G$1:$H$4,2,FALSE),$E78,9,1,1))</f>
        <v>0</v>
      </c>
      <c r="N78" s="432">
        <f>SUMIF('納品書明細F-15'!$C$9:$C$297,CONCATENATE(VLOOKUP(G$5,$G$1:$H$4,2,FALSE),$E78,9,1),'納品書明細F-15'!$Q$9:$Q$297)</f>
        <v>0</v>
      </c>
      <c r="O78" s="69"/>
      <c r="P78" s="133">
        <f>COUNTIF('納品書明細F-15'!$D$9:$D$297,CONCATENATE(VLOOKUP(P$5,$G$1:$H$4,2,FALSE),$E78,1,1,1))</f>
        <v>0</v>
      </c>
      <c r="Q78" s="161">
        <f>SUMIF('納品書明細F-15'!$C$9:$C$297,CONCATENATE(VLOOKUP(P$5,$G$1:$H$4,2,FALSE),$E78,1,1),'納品書明細F-15'!$Q$9:$Q$297)</f>
        <v>0</v>
      </c>
      <c r="R78" s="345"/>
      <c r="S78" s="122"/>
      <c r="T78" s="128"/>
      <c r="U78" s="345"/>
      <c r="V78" s="126">
        <f>COUNTIF('納品書明細F-15'!$D$9:$D$297,CONCATENATE(VLOOKUP(P$5,$G$1:$H$4,2,FALSE),$E78,9,1,1))</f>
        <v>0</v>
      </c>
      <c r="W78" s="433">
        <f>SUMIF('納品書明細F-15'!$C$9:$C$297,CONCATENATE(VLOOKUP(P$5,$G$1:$H$4,2,FALSE),$E78,9,1),'納品書明細F-15'!$Q$9:$Q$297)</f>
        <v>0</v>
      </c>
      <c r="X78" s="69"/>
      <c r="Y78" s="133">
        <f>COUNTIF('納品書明細F-15'!$D$9:$D$297,CONCATENATE(VLOOKUP(Y$5,$G$1:$H$4,2,FALSE),$E78,1,1,1))</f>
        <v>0</v>
      </c>
      <c r="Z78" s="161">
        <f>SUMIF('納品書明細F-15'!$C$9:$C$297,CONCATENATE(VLOOKUP(Y$5,$G$1:$H$4,2,FALSE),$E78,1,1),'納品書明細F-15'!$Q$9:$Q$297)</f>
        <v>0</v>
      </c>
      <c r="AA78" s="345"/>
      <c r="AB78" s="122"/>
      <c r="AC78" s="128"/>
      <c r="AD78" s="345"/>
      <c r="AE78" s="126">
        <f>COUNTIF('納品書明細F-15'!$D$9:$D$297,CONCATENATE(VLOOKUP(Y$5,$G$1:$H$4,2,FALSE),$E78,9,1,1))</f>
        <v>0</v>
      </c>
      <c r="AF78" s="433">
        <f>SUMIF('納品書明細F-15'!$C$9:$C$297,CONCATENATE(VLOOKUP(Y$5,$G$1:$H$4,2,FALSE),$E78,9,1),'納品書明細F-15'!$Q$9:$Q$297)</f>
        <v>0</v>
      </c>
    </row>
    <row r="79" spans="1:32">
      <c r="A79" s="474" t="str">
        <f>IF(SUMIFS($G79:$AF79,$G$8:$AF$8,"金額",$G79:$AF79,"&gt;0")-SUMIFS($G79:$AF79,$G$8:$AF$8,"金額",$G79:$AF79,"&lt;0")&lt;=0,"",MAX($A$8:$A78)+1)</f>
        <v/>
      </c>
      <c r="B79" s="802"/>
      <c r="C79" s="245" t="str">
        <f t="shared" si="2"/>
        <v>商品</v>
      </c>
      <c r="D79" s="245">
        <v>71</v>
      </c>
      <c r="E79" s="590" t="str">
        <f>IF($F79&lt;&gt;"",INDEX(ﾏｽﾀ!$D$8:$D$124,MATCH(INDEX(ﾏｽﾀ!$N$8:$N$124,MATCH($F79,ﾏｽﾀ!$O$8:$O$124,0)),ﾏｽﾀ!$B$8:$B$124,0))&amp;"","")</f>
        <v/>
      </c>
      <c r="F79" s="589" t="str">
        <f>ﾏｽﾀ!$R78&amp;""</f>
        <v/>
      </c>
      <c r="G79" s="133">
        <f>COUNTIF('納品書明細F-15'!$D$9:$D$297,CONCATENATE(VLOOKUP(G$5,$G$1:$H$4,2,FALSE),$E79,1,1,1))</f>
        <v>0</v>
      </c>
      <c r="H79" s="127">
        <f>SUMIF('納品書明細F-15'!$C$9:$C$297,CONCATENATE(VLOOKUP(G$5,$G$1:$H$4,2,FALSE),$E79,1,1),'納品書明細F-15'!$Q$9:$Q$297)</f>
        <v>0</v>
      </c>
      <c r="I79" s="345"/>
      <c r="J79" s="122"/>
      <c r="K79" s="359"/>
      <c r="L79" s="345"/>
      <c r="M79" s="126">
        <f>COUNTIF('納品書明細F-15'!$D$9:$D$297,CONCATENATE(VLOOKUP(G$5,$G$1:$H$4,2,FALSE),$E79,9,1,1))</f>
        <v>0</v>
      </c>
      <c r="N79" s="432">
        <f>SUMIF('納品書明細F-15'!$C$9:$C$297,CONCATENATE(VLOOKUP(G$5,$G$1:$H$4,2,FALSE),$E79,9,1),'納品書明細F-15'!$Q$9:$Q$297)</f>
        <v>0</v>
      </c>
      <c r="O79" s="69"/>
      <c r="P79" s="133">
        <f>COUNTIF('納品書明細F-15'!$D$9:$D$297,CONCATENATE(VLOOKUP(P$5,$G$1:$H$4,2,FALSE),$E79,1,1,1))</f>
        <v>0</v>
      </c>
      <c r="Q79" s="161">
        <f>SUMIF('納品書明細F-15'!$C$9:$C$297,CONCATENATE(VLOOKUP(P$5,$G$1:$H$4,2,FALSE),$E79,1,1),'納品書明細F-15'!$Q$9:$Q$297)</f>
        <v>0</v>
      </c>
      <c r="R79" s="345"/>
      <c r="S79" s="122"/>
      <c r="T79" s="128"/>
      <c r="U79" s="345"/>
      <c r="V79" s="126">
        <f>COUNTIF('納品書明細F-15'!$D$9:$D$297,CONCATENATE(VLOOKUP(P$5,$G$1:$H$4,2,FALSE),$E79,9,1,1))</f>
        <v>0</v>
      </c>
      <c r="W79" s="433">
        <f>SUMIF('納品書明細F-15'!$C$9:$C$297,CONCATENATE(VLOOKUP(P$5,$G$1:$H$4,2,FALSE),$E79,9,1),'納品書明細F-15'!$Q$9:$Q$297)</f>
        <v>0</v>
      </c>
      <c r="X79" s="69"/>
      <c r="Y79" s="133">
        <f>COUNTIF('納品書明細F-15'!$D$9:$D$297,CONCATENATE(VLOOKUP(Y$5,$G$1:$H$4,2,FALSE),$E79,1,1,1))</f>
        <v>0</v>
      </c>
      <c r="Z79" s="161">
        <f>SUMIF('納品書明細F-15'!$C$9:$C$297,CONCATENATE(VLOOKUP(Y$5,$G$1:$H$4,2,FALSE),$E79,1,1),'納品書明細F-15'!$Q$9:$Q$297)</f>
        <v>0</v>
      </c>
      <c r="AA79" s="345"/>
      <c r="AB79" s="122"/>
      <c r="AC79" s="128"/>
      <c r="AD79" s="345"/>
      <c r="AE79" s="126">
        <f>COUNTIF('納品書明細F-15'!$D$9:$D$297,CONCATENATE(VLOOKUP(Y$5,$G$1:$H$4,2,FALSE),$E79,9,1,1))</f>
        <v>0</v>
      </c>
      <c r="AF79" s="433">
        <f>SUMIF('納品書明細F-15'!$C$9:$C$297,CONCATENATE(VLOOKUP(Y$5,$G$1:$H$4,2,FALSE),$E79,9,1),'納品書明細F-15'!$Q$9:$Q$297)</f>
        <v>0</v>
      </c>
    </row>
    <row r="80" spans="1:32">
      <c r="A80" s="474" t="str">
        <f>IF(SUMIFS($G80:$AF80,$G$8:$AF$8,"金額",$G80:$AF80,"&gt;0")-SUMIFS($G80:$AF80,$G$8:$AF$8,"金額",$G80:$AF80,"&lt;0")&lt;=0,"",MAX($A$8:$A79)+1)</f>
        <v/>
      </c>
      <c r="B80" s="802"/>
      <c r="C80" s="245" t="str">
        <f t="shared" si="2"/>
        <v>商品</v>
      </c>
      <c r="D80" s="245">
        <v>72</v>
      </c>
      <c r="E80" s="590" t="str">
        <f>IF($F80&lt;&gt;"",INDEX(ﾏｽﾀ!$D$8:$D$124,MATCH(INDEX(ﾏｽﾀ!$N$8:$N$124,MATCH($F80,ﾏｽﾀ!$O$8:$O$124,0)),ﾏｽﾀ!$B$8:$B$124,0))&amp;"","")</f>
        <v/>
      </c>
      <c r="F80" s="589" t="str">
        <f>ﾏｽﾀ!$R79&amp;""</f>
        <v/>
      </c>
      <c r="G80" s="133">
        <f>COUNTIF('納品書明細F-15'!$D$9:$D$297,CONCATENATE(VLOOKUP(G$5,$G$1:$H$4,2,FALSE),$E80,1,1,1))</f>
        <v>0</v>
      </c>
      <c r="H80" s="127">
        <f>SUMIF('納品書明細F-15'!$C$9:$C$297,CONCATENATE(VLOOKUP(G$5,$G$1:$H$4,2,FALSE),$E80,1,1),'納品書明細F-15'!$Q$9:$Q$297)</f>
        <v>0</v>
      </c>
      <c r="I80" s="345"/>
      <c r="J80" s="122"/>
      <c r="K80" s="359"/>
      <c r="L80" s="345"/>
      <c r="M80" s="126">
        <f>COUNTIF('納品書明細F-15'!$D$9:$D$297,CONCATENATE(VLOOKUP(G$5,$G$1:$H$4,2,FALSE),$E80,9,1,1))</f>
        <v>0</v>
      </c>
      <c r="N80" s="432">
        <f>SUMIF('納品書明細F-15'!$C$9:$C$297,CONCATENATE(VLOOKUP(G$5,$G$1:$H$4,2,FALSE),$E80,9,1),'納品書明細F-15'!$Q$9:$Q$297)</f>
        <v>0</v>
      </c>
      <c r="O80" s="69"/>
      <c r="P80" s="133">
        <f>COUNTIF('納品書明細F-15'!$D$9:$D$297,CONCATENATE(VLOOKUP(P$5,$G$1:$H$4,2,FALSE),$E80,1,1,1))</f>
        <v>0</v>
      </c>
      <c r="Q80" s="161">
        <f>SUMIF('納品書明細F-15'!$C$9:$C$297,CONCATENATE(VLOOKUP(P$5,$G$1:$H$4,2,FALSE),$E80,1,1),'納品書明細F-15'!$Q$9:$Q$297)</f>
        <v>0</v>
      </c>
      <c r="R80" s="345"/>
      <c r="S80" s="122"/>
      <c r="T80" s="128"/>
      <c r="U80" s="345"/>
      <c r="V80" s="126">
        <f>COUNTIF('納品書明細F-15'!$D$9:$D$297,CONCATENATE(VLOOKUP(P$5,$G$1:$H$4,2,FALSE),$E80,9,1,1))</f>
        <v>0</v>
      </c>
      <c r="W80" s="433">
        <f>SUMIF('納品書明細F-15'!$C$9:$C$297,CONCATENATE(VLOOKUP(P$5,$G$1:$H$4,2,FALSE),$E80,9,1),'納品書明細F-15'!$Q$9:$Q$297)</f>
        <v>0</v>
      </c>
      <c r="X80" s="69"/>
      <c r="Y80" s="133">
        <f>COUNTIF('納品書明細F-15'!$D$9:$D$297,CONCATENATE(VLOOKUP(Y$5,$G$1:$H$4,2,FALSE),$E80,1,1,1))</f>
        <v>0</v>
      </c>
      <c r="Z80" s="161">
        <f>SUMIF('納品書明細F-15'!$C$9:$C$297,CONCATENATE(VLOOKUP(Y$5,$G$1:$H$4,2,FALSE),$E80,1,1),'納品書明細F-15'!$Q$9:$Q$297)</f>
        <v>0</v>
      </c>
      <c r="AA80" s="345"/>
      <c r="AB80" s="122"/>
      <c r="AC80" s="128"/>
      <c r="AD80" s="345"/>
      <c r="AE80" s="126">
        <f>COUNTIF('納品書明細F-15'!$D$9:$D$297,CONCATENATE(VLOOKUP(Y$5,$G$1:$H$4,2,FALSE),$E80,9,1,1))</f>
        <v>0</v>
      </c>
      <c r="AF80" s="433">
        <f>SUMIF('納品書明細F-15'!$C$9:$C$297,CONCATENATE(VLOOKUP(Y$5,$G$1:$H$4,2,FALSE),$E80,9,1),'納品書明細F-15'!$Q$9:$Q$297)</f>
        <v>0</v>
      </c>
    </row>
    <row r="81" spans="1:32">
      <c r="A81" s="474" t="str">
        <f>IF(SUMIFS($G81:$AF81,$G$8:$AF$8,"金額",$G81:$AF81,"&gt;0")-SUMIFS($G81:$AF81,$G$8:$AF$8,"金額",$G81:$AF81,"&lt;0")&lt;=0,"",MAX($A$8:$A80)+1)</f>
        <v/>
      </c>
      <c r="B81" s="802"/>
      <c r="C81" s="245" t="str">
        <f t="shared" si="2"/>
        <v>商品</v>
      </c>
      <c r="D81" s="245">
        <v>73</v>
      </c>
      <c r="E81" s="590" t="str">
        <f>IF($F81&lt;&gt;"",INDEX(ﾏｽﾀ!$D$8:$D$124,MATCH(INDEX(ﾏｽﾀ!$N$8:$N$124,MATCH($F81,ﾏｽﾀ!$O$8:$O$124,0)),ﾏｽﾀ!$B$8:$B$124,0))&amp;"","")</f>
        <v/>
      </c>
      <c r="F81" s="589" t="str">
        <f>ﾏｽﾀ!$R80&amp;""</f>
        <v/>
      </c>
      <c r="G81" s="133">
        <f>COUNTIF('納品書明細F-15'!$D$9:$D$297,CONCATENATE(VLOOKUP(G$5,$G$1:$H$4,2,FALSE),$E81,1,1,1))</f>
        <v>0</v>
      </c>
      <c r="H81" s="127">
        <f>SUMIF('納品書明細F-15'!$C$9:$C$297,CONCATENATE(VLOOKUP(G$5,$G$1:$H$4,2,FALSE),$E81,1,1),'納品書明細F-15'!$Q$9:$Q$297)</f>
        <v>0</v>
      </c>
      <c r="I81" s="345"/>
      <c r="J81" s="122"/>
      <c r="K81" s="359"/>
      <c r="L81" s="345"/>
      <c r="M81" s="126">
        <f>COUNTIF('納品書明細F-15'!$D$9:$D$297,CONCATENATE(VLOOKUP(G$5,$G$1:$H$4,2,FALSE),$E81,9,1,1))</f>
        <v>0</v>
      </c>
      <c r="N81" s="432">
        <f>SUMIF('納品書明細F-15'!$C$9:$C$297,CONCATENATE(VLOOKUP(G$5,$G$1:$H$4,2,FALSE),$E81,9,1),'納品書明細F-15'!$Q$9:$Q$297)</f>
        <v>0</v>
      </c>
      <c r="O81" s="69"/>
      <c r="P81" s="133">
        <f>COUNTIF('納品書明細F-15'!$D$9:$D$297,CONCATENATE(VLOOKUP(P$5,$G$1:$H$4,2,FALSE),$E81,1,1,1))</f>
        <v>0</v>
      </c>
      <c r="Q81" s="161">
        <f>SUMIF('納品書明細F-15'!$C$9:$C$297,CONCATENATE(VLOOKUP(P$5,$G$1:$H$4,2,FALSE),$E81,1,1),'納品書明細F-15'!$Q$9:$Q$297)</f>
        <v>0</v>
      </c>
      <c r="R81" s="345"/>
      <c r="S81" s="122"/>
      <c r="T81" s="128"/>
      <c r="U81" s="345"/>
      <c r="V81" s="126">
        <f>COUNTIF('納品書明細F-15'!$D$9:$D$297,CONCATENATE(VLOOKUP(P$5,$G$1:$H$4,2,FALSE),$E81,9,1,1))</f>
        <v>0</v>
      </c>
      <c r="W81" s="433">
        <f>SUMIF('納品書明細F-15'!$C$9:$C$297,CONCATENATE(VLOOKUP(P$5,$G$1:$H$4,2,FALSE),$E81,9,1),'納品書明細F-15'!$Q$9:$Q$297)</f>
        <v>0</v>
      </c>
      <c r="X81" s="69"/>
      <c r="Y81" s="133">
        <f>COUNTIF('納品書明細F-15'!$D$9:$D$297,CONCATENATE(VLOOKUP(Y$5,$G$1:$H$4,2,FALSE),$E81,1,1,1))</f>
        <v>0</v>
      </c>
      <c r="Z81" s="161">
        <f>SUMIF('納品書明細F-15'!$C$9:$C$297,CONCATENATE(VLOOKUP(Y$5,$G$1:$H$4,2,FALSE),$E81,1,1),'納品書明細F-15'!$Q$9:$Q$297)</f>
        <v>0</v>
      </c>
      <c r="AA81" s="345"/>
      <c r="AB81" s="122"/>
      <c r="AC81" s="128"/>
      <c r="AD81" s="345"/>
      <c r="AE81" s="126">
        <f>COUNTIF('納品書明細F-15'!$D$9:$D$297,CONCATENATE(VLOOKUP(Y$5,$G$1:$H$4,2,FALSE),$E81,9,1,1))</f>
        <v>0</v>
      </c>
      <c r="AF81" s="433">
        <f>SUMIF('納品書明細F-15'!$C$9:$C$297,CONCATENATE(VLOOKUP(Y$5,$G$1:$H$4,2,FALSE),$E81,9,1),'納品書明細F-15'!$Q$9:$Q$297)</f>
        <v>0</v>
      </c>
    </row>
    <row r="82" spans="1:32">
      <c r="A82" s="474" t="str">
        <f>IF(SUMIFS($G82:$AF82,$G$8:$AF$8,"金額",$G82:$AF82,"&gt;0")-SUMIFS($G82:$AF82,$G$8:$AF$8,"金額",$G82:$AF82,"&lt;0")&lt;=0,"",MAX($A$8:$A81)+1)</f>
        <v/>
      </c>
      <c r="B82" s="802"/>
      <c r="C82" s="245" t="str">
        <f t="shared" si="2"/>
        <v>商品</v>
      </c>
      <c r="D82" s="245">
        <v>74</v>
      </c>
      <c r="E82" s="590" t="str">
        <f>IF($F82&lt;&gt;"",INDEX(ﾏｽﾀ!$D$8:$D$124,MATCH(INDEX(ﾏｽﾀ!$N$8:$N$124,MATCH($F82,ﾏｽﾀ!$O$8:$O$124,0)),ﾏｽﾀ!$B$8:$B$124,0))&amp;"","")</f>
        <v/>
      </c>
      <c r="F82" s="589" t="str">
        <f>ﾏｽﾀ!$R81&amp;""</f>
        <v/>
      </c>
      <c r="G82" s="133">
        <f>COUNTIF('納品書明細F-15'!$D$9:$D$297,CONCATENATE(VLOOKUP(G$5,$G$1:$H$4,2,FALSE),$E82,1,1,1))</f>
        <v>0</v>
      </c>
      <c r="H82" s="127">
        <f>SUMIF('納品書明細F-15'!$C$9:$C$297,CONCATENATE(VLOOKUP(G$5,$G$1:$H$4,2,FALSE),$E82,1,1),'納品書明細F-15'!$Q$9:$Q$297)</f>
        <v>0</v>
      </c>
      <c r="I82" s="345"/>
      <c r="J82" s="122"/>
      <c r="K82" s="359"/>
      <c r="L82" s="345"/>
      <c r="M82" s="126">
        <f>COUNTIF('納品書明細F-15'!$D$9:$D$297,CONCATENATE(VLOOKUP(G$5,$G$1:$H$4,2,FALSE),$E82,9,1,1))</f>
        <v>0</v>
      </c>
      <c r="N82" s="432">
        <f>SUMIF('納品書明細F-15'!$C$9:$C$297,CONCATENATE(VLOOKUP(G$5,$G$1:$H$4,2,FALSE),$E82,9,1),'納品書明細F-15'!$Q$9:$Q$297)</f>
        <v>0</v>
      </c>
      <c r="O82" s="69"/>
      <c r="P82" s="133">
        <f>COUNTIF('納品書明細F-15'!$D$9:$D$297,CONCATENATE(VLOOKUP(P$5,$G$1:$H$4,2,FALSE),$E82,1,1,1))</f>
        <v>0</v>
      </c>
      <c r="Q82" s="161">
        <f>SUMIF('納品書明細F-15'!$C$9:$C$297,CONCATENATE(VLOOKUP(P$5,$G$1:$H$4,2,FALSE),$E82,1,1),'納品書明細F-15'!$Q$9:$Q$297)</f>
        <v>0</v>
      </c>
      <c r="R82" s="345"/>
      <c r="S82" s="122"/>
      <c r="T82" s="128"/>
      <c r="U82" s="345"/>
      <c r="V82" s="126">
        <f>COUNTIF('納品書明細F-15'!$D$9:$D$297,CONCATENATE(VLOOKUP(P$5,$G$1:$H$4,2,FALSE),$E82,9,1,1))</f>
        <v>0</v>
      </c>
      <c r="W82" s="433">
        <f>SUMIF('納品書明細F-15'!$C$9:$C$297,CONCATENATE(VLOOKUP(P$5,$G$1:$H$4,2,FALSE),$E82,9,1),'納品書明細F-15'!$Q$9:$Q$297)</f>
        <v>0</v>
      </c>
      <c r="X82" s="69"/>
      <c r="Y82" s="133">
        <f>COUNTIF('納品書明細F-15'!$D$9:$D$297,CONCATENATE(VLOOKUP(Y$5,$G$1:$H$4,2,FALSE),$E82,1,1,1))</f>
        <v>0</v>
      </c>
      <c r="Z82" s="161">
        <f>SUMIF('納品書明細F-15'!$C$9:$C$297,CONCATENATE(VLOOKUP(Y$5,$G$1:$H$4,2,FALSE),$E82,1,1),'納品書明細F-15'!$Q$9:$Q$297)</f>
        <v>0</v>
      </c>
      <c r="AA82" s="345"/>
      <c r="AB82" s="122"/>
      <c r="AC82" s="128"/>
      <c r="AD82" s="345"/>
      <c r="AE82" s="126">
        <f>COUNTIF('納品書明細F-15'!$D$9:$D$297,CONCATENATE(VLOOKUP(Y$5,$G$1:$H$4,2,FALSE),$E82,9,1,1))</f>
        <v>0</v>
      </c>
      <c r="AF82" s="433">
        <f>SUMIF('納品書明細F-15'!$C$9:$C$297,CONCATENATE(VLOOKUP(Y$5,$G$1:$H$4,2,FALSE),$E82,9,1),'納品書明細F-15'!$Q$9:$Q$297)</f>
        <v>0</v>
      </c>
    </row>
    <row r="83" spans="1:32">
      <c r="A83" s="474" t="str">
        <f>IF(SUMIFS($G83:$AF83,$G$8:$AF$8,"金額",$G83:$AF83,"&gt;0")-SUMIFS($G83:$AF83,$G$8:$AF$8,"金額",$G83:$AF83,"&lt;0")&lt;=0,"",MAX($A$8:$A82)+1)</f>
        <v/>
      </c>
      <c r="B83" s="802"/>
      <c r="C83" s="245" t="str">
        <f t="shared" si="2"/>
        <v>商品</v>
      </c>
      <c r="D83" s="245">
        <v>75</v>
      </c>
      <c r="E83" s="590" t="str">
        <f>IF($F83&lt;&gt;"",INDEX(ﾏｽﾀ!$D$8:$D$124,MATCH(INDEX(ﾏｽﾀ!$N$8:$N$124,MATCH($F83,ﾏｽﾀ!$O$8:$O$124,0)),ﾏｽﾀ!$B$8:$B$124,0))&amp;"","")</f>
        <v/>
      </c>
      <c r="F83" s="589" t="str">
        <f>ﾏｽﾀ!$R82&amp;""</f>
        <v/>
      </c>
      <c r="G83" s="133">
        <f>COUNTIF('納品書明細F-15'!$D$9:$D$297,CONCATENATE(VLOOKUP(G$5,$G$1:$H$4,2,FALSE),$E83,1,1,1))</f>
        <v>0</v>
      </c>
      <c r="H83" s="127">
        <f>SUMIF('納品書明細F-15'!$C$9:$C$297,CONCATENATE(VLOOKUP(G$5,$G$1:$H$4,2,FALSE),$E83,1,1),'納品書明細F-15'!$Q$9:$Q$297)</f>
        <v>0</v>
      </c>
      <c r="I83" s="345"/>
      <c r="J83" s="122"/>
      <c r="K83" s="359"/>
      <c r="L83" s="345"/>
      <c r="M83" s="126">
        <f>COUNTIF('納品書明細F-15'!$D$9:$D$297,CONCATENATE(VLOOKUP(G$5,$G$1:$H$4,2,FALSE),$E83,9,1,1))</f>
        <v>0</v>
      </c>
      <c r="N83" s="432">
        <f>SUMIF('納品書明細F-15'!$C$9:$C$297,CONCATENATE(VLOOKUP(G$5,$G$1:$H$4,2,FALSE),$E83,9,1),'納品書明細F-15'!$Q$9:$Q$297)</f>
        <v>0</v>
      </c>
      <c r="O83" s="69"/>
      <c r="P83" s="133">
        <f>COUNTIF('納品書明細F-15'!$D$9:$D$297,CONCATENATE(VLOOKUP(P$5,$G$1:$H$4,2,FALSE),$E83,1,1,1))</f>
        <v>0</v>
      </c>
      <c r="Q83" s="161">
        <f>SUMIF('納品書明細F-15'!$C$9:$C$297,CONCATENATE(VLOOKUP(P$5,$G$1:$H$4,2,FALSE),$E83,1,1),'納品書明細F-15'!$Q$9:$Q$297)</f>
        <v>0</v>
      </c>
      <c r="R83" s="345"/>
      <c r="S83" s="122"/>
      <c r="T83" s="128"/>
      <c r="U83" s="345"/>
      <c r="V83" s="126">
        <f>COUNTIF('納品書明細F-15'!$D$9:$D$297,CONCATENATE(VLOOKUP(P$5,$G$1:$H$4,2,FALSE),$E83,9,1,1))</f>
        <v>0</v>
      </c>
      <c r="W83" s="433">
        <f>SUMIF('納品書明細F-15'!$C$9:$C$297,CONCATENATE(VLOOKUP(P$5,$G$1:$H$4,2,FALSE),$E83,9,1),'納品書明細F-15'!$Q$9:$Q$297)</f>
        <v>0</v>
      </c>
      <c r="X83" s="69"/>
      <c r="Y83" s="133">
        <f>COUNTIF('納品書明細F-15'!$D$9:$D$297,CONCATENATE(VLOOKUP(Y$5,$G$1:$H$4,2,FALSE),$E83,1,1,1))</f>
        <v>0</v>
      </c>
      <c r="Z83" s="161">
        <f>SUMIF('納品書明細F-15'!$C$9:$C$297,CONCATENATE(VLOOKUP(Y$5,$G$1:$H$4,2,FALSE),$E83,1,1),'納品書明細F-15'!$Q$9:$Q$297)</f>
        <v>0</v>
      </c>
      <c r="AA83" s="345"/>
      <c r="AB83" s="122"/>
      <c r="AC83" s="128"/>
      <c r="AD83" s="345"/>
      <c r="AE83" s="126">
        <f>COUNTIF('納品書明細F-15'!$D$9:$D$297,CONCATENATE(VLOOKUP(Y$5,$G$1:$H$4,2,FALSE),$E83,9,1,1))</f>
        <v>0</v>
      </c>
      <c r="AF83" s="433">
        <f>SUMIF('納品書明細F-15'!$C$9:$C$297,CONCATENATE(VLOOKUP(Y$5,$G$1:$H$4,2,FALSE),$E83,9,1),'納品書明細F-15'!$Q$9:$Q$297)</f>
        <v>0</v>
      </c>
    </row>
    <row r="84" spans="1:32">
      <c r="A84" s="474" t="str">
        <f>IF(SUMIFS($G84:$AF84,$G$8:$AF$8,"金額",$G84:$AF84,"&gt;0")-SUMIFS($G84:$AF84,$G$8:$AF$8,"金額",$G84:$AF84,"&lt;0")&lt;=0,"",MAX($A$8:$A83)+1)</f>
        <v/>
      </c>
      <c r="B84" s="802"/>
      <c r="C84" s="245" t="str">
        <f t="shared" si="2"/>
        <v>商品</v>
      </c>
      <c r="D84" s="245">
        <v>76</v>
      </c>
      <c r="E84" s="590" t="str">
        <f>IF($F84&lt;&gt;"",INDEX(ﾏｽﾀ!$D$8:$D$124,MATCH(INDEX(ﾏｽﾀ!$N$8:$N$124,MATCH($F84,ﾏｽﾀ!$O$8:$O$124,0)),ﾏｽﾀ!$B$8:$B$124,0))&amp;"","")</f>
        <v/>
      </c>
      <c r="F84" s="589" t="str">
        <f>ﾏｽﾀ!$R83&amp;""</f>
        <v/>
      </c>
      <c r="G84" s="133">
        <f>COUNTIF('納品書明細F-15'!$D$9:$D$297,CONCATENATE(VLOOKUP(G$5,$G$1:$H$4,2,FALSE),$E84,1,1,1))</f>
        <v>0</v>
      </c>
      <c r="H84" s="127">
        <f>SUMIF('納品書明細F-15'!$C$9:$C$297,CONCATENATE(VLOOKUP(G$5,$G$1:$H$4,2,FALSE),$E84,1,1),'納品書明細F-15'!$Q$9:$Q$297)</f>
        <v>0</v>
      </c>
      <c r="I84" s="345"/>
      <c r="J84" s="122"/>
      <c r="K84" s="359"/>
      <c r="L84" s="345"/>
      <c r="M84" s="126">
        <f>COUNTIF('納品書明細F-15'!$D$9:$D$297,CONCATENATE(VLOOKUP(G$5,$G$1:$H$4,2,FALSE),$E84,9,1,1))</f>
        <v>0</v>
      </c>
      <c r="N84" s="432">
        <f>SUMIF('納品書明細F-15'!$C$9:$C$297,CONCATENATE(VLOOKUP(G$5,$G$1:$H$4,2,FALSE),$E84,9,1),'納品書明細F-15'!$Q$9:$Q$297)</f>
        <v>0</v>
      </c>
      <c r="O84" s="69"/>
      <c r="P84" s="133">
        <f>COUNTIF('納品書明細F-15'!$D$9:$D$297,CONCATENATE(VLOOKUP(P$5,$G$1:$H$4,2,FALSE),$E84,1,1,1))</f>
        <v>0</v>
      </c>
      <c r="Q84" s="161">
        <f>SUMIF('納品書明細F-15'!$C$9:$C$297,CONCATENATE(VLOOKUP(P$5,$G$1:$H$4,2,FALSE),$E84,1,1),'納品書明細F-15'!$Q$9:$Q$297)</f>
        <v>0</v>
      </c>
      <c r="R84" s="345"/>
      <c r="S84" s="122"/>
      <c r="T84" s="128"/>
      <c r="U84" s="345"/>
      <c r="V84" s="126">
        <f>COUNTIF('納品書明細F-15'!$D$9:$D$297,CONCATENATE(VLOOKUP(P$5,$G$1:$H$4,2,FALSE),$E84,9,1,1))</f>
        <v>0</v>
      </c>
      <c r="W84" s="433">
        <f>SUMIF('納品書明細F-15'!$C$9:$C$297,CONCATENATE(VLOOKUP(P$5,$G$1:$H$4,2,FALSE),$E84,9,1),'納品書明細F-15'!$Q$9:$Q$297)</f>
        <v>0</v>
      </c>
      <c r="X84" s="69"/>
      <c r="Y84" s="133">
        <f>COUNTIF('納品書明細F-15'!$D$9:$D$297,CONCATENATE(VLOOKUP(Y$5,$G$1:$H$4,2,FALSE),$E84,1,1,1))</f>
        <v>0</v>
      </c>
      <c r="Z84" s="161">
        <f>SUMIF('納品書明細F-15'!$C$9:$C$297,CONCATENATE(VLOOKUP(Y$5,$G$1:$H$4,2,FALSE),$E84,1,1),'納品書明細F-15'!$Q$9:$Q$297)</f>
        <v>0</v>
      </c>
      <c r="AA84" s="345"/>
      <c r="AB84" s="122"/>
      <c r="AC84" s="128"/>
      <c r="AD84" s="345"/>
      <c r="AE84" s="126">
        <f>COUNTIF('納品書明細F-15'!$D$9:$D$297,CONCATENATE(VLOOKUP(Y$5,$G$1:$H$4,2,FALSE),$E84,9,1,1))</f>
        <v>0</v>
      </c>
      <c r="AF84" s="433">
        <f>SUMIF('納品書明細F-15'!$C$9:$C$297,CONCATENATE(VLOOKUP(Y$5,$G$1:$H$4,2,FALSE),$E84,9,1),'納品書明細F-15'!$Q$9:$Q$297)</f>
        <v>0</v>
      </c>
    </row>
    <row r="85" spans="1:32">
      <c r="A85" s="474" t="str">
        <f>IF(SUMIFS($G85:$AF85,$G$8:$AF$8,"金額",$G85:$AF85,"&gt;0")-SUMIFS($G85:$AF85,$G$8:$AF$8,"金額",$G85:$AF85,"&lt;0")&lt;=0,"",MAX($A$8:$A84)+1)</f>
        <v/>
      </c>
      <c r="B85" s="802"/>
      <c r="C85" s="245" t="str">
        <f t="shared" si="2"/>
        <v>商品</v>
      </c>
      <c r="D85" s="245">
        <v>77</v>
      </c>
      <c r="E85" s="590" t="str">
        <f>IF($F85&lt;&gt;"",INDEX(ﾏｽﾀ!$D$8:$D$124,MATCH(INDEX(ﾏｽﾀ!$N$8:$N$124,MATCH($F85,ﾏｽﾀ!$O$8:$O$124,0)),ﾏｽﾀ!$B$8:$B$124,0))&amp;"","")</f>
        <v/>
      </c>
      <c r="F85" s="589" t="str">
        <f>ﾏｽﾀ!$R84&amp;""</f>
        <v/>
      </c>
      <c r="G85" s="133">
        <f>COUNTIF('納品書明細F-15'!$D$9:$D$297,CONCATENATE(VLOOKUP(G$5,$G$1:$H$4,2,FALSE),$E85,1,1,1))</f>
        <v>0</v>
      </c>
      <c r="H85" s="127">
        <f>SUMIF('納品書明細F-15'!$C$9:$C$297,CONCATENATE(VLOOKUP(G$5,$G$1:$H$4,2,FALSE),$E85,1,1),'納品書明細F-15'!$Q$9:$Q$297)</f>
        <v>0</v>
      </c>
      <c r="I85" s="345"/>
      <c r="J85" s="122"/>
      <c r="K85" s="359"/>
      <c r="L85" s="345"/>
      <c r="M85" s="126">
        <f>COUNTIF('納品書明細F-15'!$D$9:$D$297,CONCATENATE(VLOOKUP(G$5,$G$1:$H$4,2,FALSE),$E85,9,1,1))</f>
        <v>0</v>
      </c>
      <c r="N85" s="432">
        <f>SUMIF('納品書明細F-15'!$C$9:$C$297,CONCATENATE(VLOOKUP(G$5,$G$1:$H$4,2,FALSE),$E85,9,1),'納品書明細F-15'!$Q$9:$Q$297)</f>
        <v>0</v>
      </c>
      <c r="O85" s="69"/>
      <c r="P85" s="133">
        <f>COUNTIF('納品書明細F-15'!$D$9:$D$297,CONCATENATE(VLOOKUP(P$5,$G$1:$H$4,2,FALSE),$E85,1,1,1))</f>
        <v>0</v>
      </c>
      <c r="Q85" s="161">
        <f>SUMIF('納品書明細F-15'!$C$9:$C$297,CONCATENATE(VLOOKUP(P$5,$G$1:$H$4,2,FALSE),$E85,1,1),'納品書明細F-15'!$Q$9:$Q$297)</f>
        <v>0</v>
      </c>
      <c r="R85" s="345"/>
      <c r="S85" s="122"/>
      <c r="T85" s="128"/>
      <c r="U85" s="345"/>
      <c r="V85" s="126">
        <f>COUNTIF('納品書明細F-15'!$D$9:$D$297,CONCATENATE(VLOOKUP(P$5,$G$1:$H$4,2,FALSE),$E85,9,1,1))</f>
        <v>0</v>
      </c>
      <c r="W85" s="433">
        <f>SUMIF('納品書明細F-15'!$C$9:$C$297,CONCATENATE(VLOOKUP(P$5,$G$1:$H$4,2,FALSE),$E85,9,1),'納品書明細F-15'!$Q$9:$Q$297)</f>
        <v>0</v>
      </c>
      <c r="X85" s="69"/>
      <c r="Y85" s="133">
        <f>COUNTIF('納品書明細F-15'!$D$9:$D$297,CONCATENATE(VLOOKUP(Y$5,$G$1:$H$4,2,FALSE),$E85,1,1,1))</f>
        <v>0</v>
      </c>
      <c r="Z85" s="161">
        <f>SUMIF('納品書明細F-15'!$C$9:$C$297,CONCATENATE(VLOOKUP(Y$5,$G$1:$H$4,2,FALSE),$E85,1,1),'納品書明細F-15'!$Q$9:$Q$297)</f>
        <v>0</v>
      </c>
      <c r="AA85" s="345"/>
      <c r="AB85" s="122"/>
      <c r="AC85" s="128"/>
      <c r="AD85" s="345"/>
      <c r="AE85" s="126">
        <f>COUNTIF('納品書明細F-15'!$D$9:$D$297,CONCATENATE(VLOOKUP(Y$5,$G$1:$H$4,2,FALSE),$E85,9,1,1))</f>
        <v>0</v>
      </c>
      <c r="AF85" s="433">
        <f>SUMIF('納品書明細F-15'!$C$9:$C$297,CONCATENATE(VLOOKUP(Y$5,$G$1:$H$4,2,FALSE),$E85,9,1),'納品書明細F-15'!$Q$9:$Q$297)</f>
        <v>0</v>
      </c>
    </row>
    <row r="86" spans="1:32">
      <c r="A86" s="474" t="str">
        <f>IF(SUMIFS($G86:$AF86,$G$8:$AF$8,"金額",$G86:$AF86,"&gt;0")-SUMIFS($G86:$AF86,$G$8:$AF$8,"金額",$G86:$AF86,"&lt;0")&lt;=0,"",MAX($A$8:$A85)+1)</f>
        <v/>
      </c>
      <c r="B86" s="802"/>
      <c r="C86" s="245" t="str">
        <f t="shared" si="2"/>
        <v>商品</v>
      </c>
      <c r="D86" s="245">
        <v>78</v>
      </c>
      <c r="E86" s="590" t="str">
        <f>IF($F86&lt;&gt;"",INDEX(ﾏｽﾀ!$D$8:$D$124,MATCH(INDEX(ﾏｽﾀ!$N$8:$N$124,MATCH($F86,ﾏｽﾀ!$O$8:$O$124,0)),ﾏｽﾀ!$B$8:$B$124,0))&amp;"","")</f>
        <v/>
      </c>
      <c r="F86" s="589" t="str">
        <f>ﾏｽﾀ!$R85&amp;""</f>
        <v/>
      </c>
      <c r="G86" s="133">
        <f>COUNTIF('納品書明細F-15'!$D$9:$D$297,CONCATENATE(VLOOKUP(G$5,$G$1:$H$4,2,FALSE),$E86,1,1,1))</f>
        <v>0</v>
      </c>
      <c r="H86" s="127">
        <f>SUMIF('納品書明細F-15'!$C$9:$C$297,CONCATENATE(VLOOKUP(G$5,$G$1:$H$4,2,FALSE),$E86,1,1),'納品書明細F-15'!$Q$9:$Q$297)</f>
        <v>0</v>
      </c>
      <c r="I86" s="345"/>
      <c r="J86" s="122"/>
      <c r="K86" s="359"/>
      <c r="L86" s="345"/>
      <c r="M86" s="126">
        <f>COUNTIF('納品書明細F-15'!$D$9:$D$297,CONCATENATE(VLOOKUP(G$5,$G$1:$H$4,2,FALSE),$E86,9,1,1))</f>
        <v>0</v>
      </c>
      <c r="N86" s="432">
        <f>SUMIF('納品書明細F-15'!$C$9:$C$297,CONCATENATE(VLOOKUP(G$5,$G$1:$H$4,2,FALSE),$E86,9,1),'納品書明細F-15'!$Q$9:$Q$297)</f>
        <v>0</v>
      </c>
      <c r="O86" s="69"/>
      <c r="P86" s="133">
        <f>COUNTIF('納品書明細F-15'!$D$9:$D$297,CONCATENATE(VLOOKUP(P$5,$G$1:$H$4,2,FALSE),$E86,1,1,1))</f>
        <v>0</v>
      </c>
      <c r="Q86" s="161">
        <f>SUMIF('納品書明細F-15'!$C$9:$C$297,CONCATENATE(VLOOKUP(P$5,$G$1:$H$4,2,FALSE),$E86,1,1),'納品書明細F-15'!$Q$9:$Q$297)</f>
        <v>0</v>
      </c>
      <c r="R86" s="345"/>
      <c r="S86" s="122"/>
      <c r="T86" s="128"/>
      <c r="U86" s="345"/>
      <c r="V86" s="126">
        <f>COUNTIF('納品書明細F-15'!$D$9:$D$297,CONCATENATE(VLOOKUP(P$5,$G$1:$H$4,2,FALSE),$E86,9,1,1))</f>
        <v>0</v>
      </c>
      <c r="W86" s="433">
        <f>SUMIF('納品書明細F-15'!$C$9:$C$297,CONCATENATE(VLOOKUP(P$5,$G$1:$H$4,2,FALSE),$E86,9,1),'納品書明細F-15'!$Q$9:$Q$297)</f>
        <v>0</v>
      </c>
      <c r="X86" s="69"/>
      <c r="Y86" s="133">
        <f>COUNTIF('納品書明細F-15'!$D$9:$D$297,CONCATENATE(VLOOKUP(Y$5,$G$1:$H$4,2,FALSE),$E86,1,1,1))</f>
        <v>0</v>
      </c>
      <c r="Z86" s="161">
        <f>SUMIF('納品書明細F-15'!$C$9:$C$297,CONCATENATE(VLOOKUP(Y$5,$G$1:$H$4,2,FALSE),$E86,1,1),'納品書明細F-15'!$Q$9:$Q$297)</f>
        <v>0</v>
      </c>
      <c r="AA86" s="345"/>
      <c r="AB86" s="122"/>
      <c r="AC86" s="128"/>
      <c r="AD86" s="345"/>
      <c r="AE86" s="126">
        <f>COUNTIF('納品書明細F-15'!$D$9:$D$297,CONCATENATE(VLOOKUP(Y$5,$G$1:$H$4,2,FALSE),$E86,9,1,1))</f>
        <v>0</v>
      </c>
      <c r="AF86" s="433">
        <f>SUMIF('納品書明細F-15'!$C$9:$C$297,CONCATENATE(VLOOKUP(Y$5,$G$1:$H$4,2,FALSE),$E86,9,1),'納品書明細F-15'!$Q$9:$Q$297)</f>
        <v>0</v>
      </c>
    </row>
    <row r="87" spans="1:32">
      <c r="A87" s="474" t="str">
        <f>IF(SUMIFS($G87:$AF87,$G$8:$AF$8,"金額",$G87:$AF87,"&gt;0")-SUMIFS($G87:$AF87,$G$8:$AF$8,"金額",$G87:$AF87,"&lt;0")&lt;=0,"",MAX($A$8:$A86)+1)</f>
        <v/>
      </c>
      <c r="B87" s="802"/>
      <c r="C87" s="245" t="str">
        <f t="shared" si="2"/>
        <v>商品</v>
      </c>
      <c r="D87" s="245">
        <v>79</v>
      </c>
      <c r="E87" s="590" t="str">
        <f>IF($F87&lt;&gt;"",INDEX(ﾏｽﾀ!$D$8:$D$124,MATCH(INDEX(ﾏｽﾀ!$N$8:$N$124,MATCH($F87,ﾏｽﾀ!$O$8:$O$124,0)),ﾏｽﾀ!$B$8:$B$124,0))&amp;"","")</f>
        <v/>
      </c>
      <c r="F87" s="589" t="str">
        <f>ﾏｽﾀ!$R86&amp;""</f>
        <v/>
      </c>
      <c r="G87" s="133">
        <f>COUNTIF('納品書明細F-15'!$D$9:$D$297,CONCATENATE(VLOOKUP(G$5,$G$1:$H$4,2,FALSE),$E87,1,1,1))</f>
        <v>0</v>
      </c>
      <c r="H87" s="127">
        <f>SUMIF('納品書明細F-15'!$C$9:$C$297,CONCATENATE(VLOOKUP(G$5,$G$1:$H$4,2,FALSE),$E87,1,1),'納品書明細F-15'!$Q$9:$Q$297)</f>
        <v>0</v>
      </c>
      <c r="I87" s="345"/>
      <c r="J87" s="122"/>
      <c r="K87" s="359"/>
      <c r="L87" s="345"/>
      <c r="M87" s="126">
        <f>COUNTIF('納品書明細F-15'!$D$9:$D$297,CONCATENATE(VLOOKUP(G$5,$G$1:$H$4,2,FALSE),$E87,9,1,1))</f>
        <v>0</v>
      </c>
      <c r="N87" s="432">
        <f>SUMIF('納品書明細F-15'!$C$9:$C$297,CONCATENATE(VLOOKUP(G$5,$G$1:$H$4,2,FALSE),$E87,9,1),'納品書明細F-15'!$Q$9:$Q$297)</f>
        <v>0</v>
      </c>
      <c r="O87" s="69"/>
      <c r="P87" s="133">
        <f>COUNTIF('納品書明細F-15'!$D$9:$D$297,CONCATENATE(VLOOKUP(P$5,$G$1:$H$4,2,FALSE),$E87,1,1,1))</f>
        <v>0</v>
      </c>
      <c r="Q87" s="161">
        <f>SUMIF('納品書明細F-15'!$C$9:$C$297,CONCATENATE(VLOOKUP(P$5,$G$1:$H$4,2,FALSE),$E87,1,1),'納品書明細F-15'!$Q$9:$Q$297)</f>
        <v>0</v>
      </c>
      <c r="R87" s="345"/>
      <c r="S87" s="122"/>
      <c r="T87" s="128"/>
      <c r="U87" s="345"/>
      <c r="V87" s="126">
        <f>COUNTIF('納品書明細F-15'!$D$9:$D$297,CONCATENATE(VLOOKUP(P$5,$G$1:$H$4,2,FALSE),$E87,9,1,1))</f>
        <v>0</v>
      </c>
      <c r="W87" s="433">
        <f>SUMIF('納品書明細F-15'!$C$9:$C$297,CONCATENATE(VLOOKUP(P$5,$G$1:$H$4,2,FALSE),$E87,9,1),'納品書明細F-15'!$Q$9:$Q$297)</f>
        <v>0</v>
      </c>
      <c r="X87" s="69"/>
      <c r="Y87" s="133">
        <f>COUNTIF('納品書明細F-15'!$D$9:$D$297,CONCATENATE(VLOOKUP(Y$5,$G$1:$H$4,2,FALSE),$E87,1,1,1))</f>
        <v>0</v>
      </c>
      <c r="Z87" s="161">
        <f>SUMIF('納品書明細F-15'!$C$9:$C$297,CONCATENATE(VLOOKUP(Y$5,$G$1:$H$4,2,FALSE),$E87,1,1),'納品書明細F-15'!$Q$9:$Q$297)</f>
        <v>0</v>
      </c>
      <c r="AA87" s="345"/>
      <c r="AB87" s="122"/>
      <c r="AC87" s="128"/>
      <c r="AD87" s="345"/>
      <c r="AE87" s="126">
        <f>COUNTIF('納品書明細F-15'!$D$9:$D$297,CONCATENATE(VLOOKUP(Y$5,$G$1:$H$4,2,FALSE),$E87,9,1,1))</f>
        <v>0</v>
      </c>
      <c r="AF87" s="433">
        <f>SUMIF('納品書明細F-15'!$C$9:$C$297,CONCATENATE(VLOOKUP(Y$5,$G$1:$H$4,2,FALSE),$E87,9,1),'納品書明細F-15'!$Q$9:$Q$297)</f>
        <v>0</v>
      </c>
    </row>
    <row r="88" spans="1:32">
      <c r="A88" s="474" t="str">
        <f>IF(SUMIFS($G88:$AF88,$G$8:$AF$8,"金額",$G88:$AF88,"&gt;0")-SUMIFS($G88:$AF88,$G$8:$AF$8,"金額",$G88:$AF88,"&lt;0")&lt;=0,"",MAX($A$8:$A87)+1)</f>
        <v/>
      </c>
      <c r="B88" s="802"/>
      <c r="C88" s="245" t="str">
        <f t="shared" si="2"/>
        <v>商品</v>
      </c>
      <c r="D88" s="245">
        <v>80</v>
      </c>
      <c r="E88" s="590" t="str">
        <f>IF($F88&lt;&gt;"",INDEX(ﾏｽﾀ!$D$8:$D$124,MATCH(INDEX(ﾏｽﾀ!$N$8:$N$124,MATCH($F88,ﾏｽﾀ!$O$8:$O$124,0)),ﾏｽﾀ!$B$8:$B$124,0))&amp;"","")</f>
        <v/>
      </c>
      <c r="F88" s="589" t="str">
        <f>ﾏｽﾀ!$R87&amp;""</f>
        <v/>
      </c>
      <c r="G88" s="133">
        <f>COUNTIF('納品書明細F-15'!$D$9:$D$297,CONCATENATE(VLOOKUP(G$5,$G$1:$H$4,2,FALSE),$E88,1,1,1))</f>
        <v>0</v>
      </c>
      <c r="H88" s="127">
        <f>SUMIF('納品書明細F-15'!$C$9:$C$297,CONCATENATE(VLOOKUP(G$5,$G$1:$H$4,2,FALSE),$E88,1,1),'納品書明細F-15'!$Q$9:$Q$297)</f>
        <v>0</v>
      </c>
      <c r="I88" s="345"/>
      <c r="J88" s="122"/>
      <c r="K88" s="359"/>
      <c r="L88" s="345"/>
      <c r="M88" s="126">
        <f>COUNTIF('納品書明細F-15'!$D$9:$D$297,CONCATENATE(VLOOKUP(G$5,$G$1:$H$4,2,FALSE),$E88,9,1,1))</f>
        <v>0</v>
      </c>
      <c r="N88" s="432">
        <f>SUMIF('納品書明細F-15'!$C$9:$C$297,CONCATENATE(VLOOKUP(G$5,$G$1:$H$4,2,FALSE),$E88,9,1),'納品書明細F-15'!$Q$9:$Q$297)</f>
        <v>0</v>
      </c>
      <c r="O88" s="69"/>
      <c r="P88" s="133">
        <f>COUNTIF('納品書明細F-15'!$D$9:$D$297,CONCATENATE(VLOOKUP(P$5,$G$1:$H$4,2,FALSE),$E88,1,1,1))</f>
        <v>0</v>
      </c>
      <c r="Q88" s="161">
        <f>SUMIF('納品書明細F-15'!$C$9:$C$297,CONCATENATE(VLOOKUP(P$5,$G$1:$H$4,2,FALSE),$E88,1,1),'納品書明細F-15'!$Q$9:$Q$297)</f>
        <v>0</v>
      </c>
      <c r="R88" s="345"/>
      <c r="S88" s="122"/>
      <c r="T88" s="128"/>
      <c r="U88" s="345"/>
      <c r="V88" s="126">
        <f>COUNTIF('納品書明細F-15'!$D$9:$D$297,CONCATENATE(VLOOKUP(P$5,$G$1:$H$4,2,FALSE),$E88,9,1,1))</f>
        <v>0</v>
      </c>
      <c r="W88" s="433">
        <f>SUMIF('納品書明細F-15'!$C$9:$C$297,CONCATENATE(VLOOKUP(P$5,$G$1:$H$4,2,FALSE),$E88,9,1),'納品書明細F-15'!$Q$9:$Q$297)</f>
        <v>0</v>
      </c>
      <c r="X88" s="69"/>
      <c r="Y88" s="133">
        <f>COUNTIF('納品書明細F-15'!$D$9:$D$297,CONCATENATE(VLOOKUP(Y$5,$G$1:$H$4,2,FALSE),$E88,1,1,1))</f>
        <v>0</v>
      </c>
      <c r="Z88" s="161">
        <f>SUMIF('納品書明細F-15'!$C$9:$C$297,CONCATENATE(VLOOKUP(Y$5,$G$1:$H$4,2,FALSE),$E88,1,1),'納品書明細F-15'!$Q$9:$Q$297)</f>
        <v>0</v>
      </c>
      <c r="AA88" s="345"/>
      <c r="AB88" s="122"/>
      <c r="AC88" s="128"/>
      <c r="AD88" s="345"/>
      <c r="AE88" s="126">
        <f>COUNTIF('納品書明細F-15'!$D$9:$D$297,CONCATENATE(VLOOKUP(Y$5,$G$1:$H$4,2,FALSE),$E88,9,1,1))</f>
        <v>0</v>
      </c>
      <c r="AF88" s="433">
        <f>SUMIF('納品書明細F-15'!$C$9:$C$297,CONCATENATE(VLOOKUP(Y$5,$G$1:$H$4,2,FALSE),$E88,9,1),'納品書明細F-15'!$Q$9:$Q$297)</f>
        <v>0</v>
      </c>
    </row>
    <row r="89" spans="1:32">
      <c r="A89" s="474" t="str">
        <f>IF(SUMIFS($G89:$AF89,$G$8:$AF$8,"金額",$G89:$AF89,"&gt;0")-SUMIFS($G89:$AF89,$G$8:$AF$8,"金額",$G89:$AF89,"&lt;0")&lt;=0,"",MAX($A$8:$A88)+1)</f>
        <v/>
      </c>
      <c r="B89" s="802"/>
      <c r="C89" s="245" t="str">
        <f t="shared" si="2"/>
        <v>商品</v>
      </c>
      <c r="D89" s="245">
        <v>81</v>
      </c>
      <c r="E89" s="590" t="str">
        <f>IF($F89&lt;&gt;"",INDEX(ﾏｽﾀ!$D$8:$D$124,MATCH(INDEX(ﾏｽﾀ!$N$8:$N$124,MATCH($F89,ﾏｽﾀ!$O$8:$O$124,0)),ﾏｽﾀ!$B$8:$B$124,0))&amp;"","")</f>
        <v/>
      </c>
      <c r="F89" s="589" t="str">
        <f>ﾏｽﾀ!$R88&amp;""</f>
        <v/>
      </c>
      <c r="G89" s="133">
        <f>COUNTIF('納品書明細F-15'!$D$9:$D$297,CONCATENATE(VLOOKUP(G$5,$G$1:$H$4,2,FALSE),$E89,1,1,1))</f>
        <v>0</v>
      </c>
      <c r="H89" s="127">
        <f>SUMIF('納品書明細F-15'!$C$9:$C$297,CONCATENATE(VLOOKUP(G$5,$G$1:$H$4,2,FALSE),$E89,1,1),'納品書明細F-15'!$Q$9:$Q$297)</f>
        <v>0</v>
      </c>
      <c r="I89" s="345"/>
      <c r="J89" s="122"/>
      <c r="K89" s="359"/>
      <c r="L89" s="345"/>
      <c r="M89" s="126">
        <f>COUNTIF('納品書明細F-15'!$D$9:$D$297,CONCATENATE(VLOOKUP(G$5,$G$1:$H$4,2,FALSE),$E89,9,1,1))</f>
        <v>0</v>
      </c>
      <c r="N89" s="432">
        <f>SUMIF('納品書明細F-15'!$C$9:$C$297,CONCATENATE(VLOOKUP(G$5,$G$1:$H$4,2,FALSE),$E89,9,1),'納品書明細F-15'!$Q$9:$Q$297)</f>
        <v>0</v>
      </c>
      <c r="O89" s="69"/>
      <c r="P89" s="133">
        <f>COUNTIF('納品書明細F-15'!$D$9:$D$297,CONCATENATE(VLOOKUP(P$5,$G$1:$H$4,2,FALSE),$E89,1,1,1))</f>
        <v>0</v>
      </c>
      <c r="Q89" s="161">
        <f>SUMIF('納品書明細F-15'!$C$9:$C$297,CONCATENATE(VLOOKUP(P$5,$G$1:$H$4,2,FALSE),$E89,1,1),'納品書明細F-15'!$Q$9:$Q$297)</f>
        <v>0</v>
      </c>
      <c r="R89" s="345"/>
      <c r="S89" s="122"/>
      <c r="T89" s="128"/>
      <c r="U89" s="345"/>
      <c r="V89" s="126">
        <f>COUNTIF('納品書明細F-15'!$D$9:$D$297,CONCATENATE(VLOOKUP(P$5,$G$1:$H$4,2,FALSE),$E89,9,1,1))</f>
        <v>0</v>
      </c>
      <c r="W89" s="433">
        <f>SUMIF('納品書明細F-15'!$C$9:$C$297,CONCATENATE(VLOOKUP(P$5,$G$1:$H$4,2,FALSE),$E89,9,1),'納品書明細F-15'!$Q$9:$Q$297)</f>
        <v>0</v>
      </c>
      <c r="X89" s="69"/>
      <c r="Y89" s="133">
        <f>COUNTIF('納品書明細F-15'!$D$9:$D$297,CONCATENATE(VLOOKUP(Y$5,$G$1:$H$4,2,FALSE),$E89,1,1,1))</f>
        <v>0</v>
      </c>
      <c r="Z89" s="161">
        <f>SUMIF('納品書明細F-15'!$C$9:$C$297,CONCATENATE(VLOOKUP(Y$5,$G$1:$H$4,2,FALSE),$E89,1,1),'納品書明細F-15'!$Q$9:$Q$297)</f>
        <v>0</v>
      </c>
      <c r="AA89" s="345"/>
      <c r="AB89" s="122"/>
      <c r="AC89" s="128"/>
      <c r="AD89" s="345"/>
      <c r="AE89" s="126">
        <f>COUNTIF('納品書明細F-15'!$D$9:$D$297,CONCATENATE(VLOOKUP(Y$5,$G$1:$H$4,2,FALSE),$E89,9,1,1))</f>
        <v>0</v>
      </c>
      <c r="AF89" s="433">
        <f>SUMIF('納品書明細F-15'!$C$9:$C$297,CONCATENATE(VLOOKUP(Y$5,$G$1:$H$4,2,FALSE),$E89,9,1),'納品書明細F-15'!$Q$9:$Q$297)</f>
        <v>0</v>
      </c>
    </row>
    <row r="90" spans="1:32" ht="13.8" thickBot="1">
      <c r="A90" s="474" t="str">
        <f>IF(SUMIFS($G90:$AF90,$G$8:$AF$8,"金額",$G90:$AF90,"&gt;0")-SUMIFS($G90:$AF90,$G$8:$AF$8,"金額",$G90:$AF90,"&lt;0")&lt;=0,"",MAX($A$8:$A89)+1)</f>
        <v/>
      </c>
      <c r="B90" s="803"/>
      <c r="C90" s="245" t="str">
        <f t="shared" si="2"/>
        <v>商品</v>
      </c>
      <c r="D90" s="245">
        <v>82</v>
      </c>
      <c r="E90" s="590" t="str">
        <f>IF($F90&lt;&gt;"",INDEX(ﾏｽﾀ!$D$8:$D$124,MATCH(INDEX(ﾏｽﾀ!$N$8:$N$124,MATCH($F90,ﾏｽﾀ!$O$8:$O$124,0)),ﾏｽﾀ!$B$8:$B$124,0))&amp;"","")</f>
        <v/>
      </c>
      <c r="F90" s="589" t="str">
        <f>ﾏｽﾀ!$R89&amp;""</f>
        <v/>
      </c>
      <c r="G90" s="133">
        <f>COUNTIF('納品書明細F-15'!$D$9:$D$297,CONCATENATE(VLOOKUP(G$5,$G$1:$H$4,2,FALSE),$E90,1,1,1))</f>
        <v>0</v>
      </c>
      <c r="H90" s="127">
        <f>SUMIF('納品書明細F-15'!$C$9:$C$297,CONCATENATE(VLOOKUP(G$5,$G$1:$H$4,2,FALSE),$E90,1,1),'納品書明細F-15'!$Q$9:$Q$297)</f>
        <v>0</v>
      </c>
      <c r="I90" s="345"/>
      <c r="J90" s="122"/>
      <c r="K90" s="359"/>
      <c r="L90" s="345"/>
      <c r="M90" s="126">
        <f>COUNTIF('納品書明細F-15'!$D$9:$D$297,CONCATENATE(VLOOKUP(G$5,$G$1:$H$4,2,FALSE),$E90,9,1,1))</f>
        <v>0</v>
      </c>
      <c r="N90" s="432">
        <f>SUMIF('納品書明細F-15'!$C$9:$C$297,CONCATENATE(VLOOKUP(G$5,$G$1:$H$4,2,FALSE),$E90,9,1),'納品書明細F-15'!$Q$9:$Q$297)</f>
        <v>0</v>
      </c>
      <c r="O90" s="69"/>
      <c r="P90" s="133">
        <f>COUNTIF('納品書明細F-15'!$D$9:$D$297,CONCATENATE(VLOOKUP(P$5,$G$1:$H$4,2,FALSE),$E90,1,1,1))</f>
        <v>0</v>
      </c>
      <c r="Q90" s="161">
        <f>SUMIF('納品書明細F-15'!$C$9:$C$297,CONCATENATE(VLOOKUP(P$5,$G$1:$H$4,2,FALSE),$E90,1,1),'納品書明細F-15'!$Q$9:$Q$297)</f>
        <v>0</v>
      </c>
      <c r="R90" s="345"/>
      <c r="S90" s="122"/>
      <c r="T90" s="128"/>
      <c r="U90" s="345"/>
      <c r="V90" s="126">
        <f>COUNTIF('納品書明細F-15'!$D$9:$D$297,CONCATENATE(VLOOKUP(P$5,$G$1:$H$4,2,FALSE),$E90,9,1,1))</f>
        <v>0</v>
      </c>
      <c r="W90" s="433">
        <f>SUMIF('納品書明細F-15'!$C$9:$C$297,CONCATENATE(VLOOKUP(P$5,$G$1:$H$4,2,FALSE),$E90,9,1),'納品書明細F-15'!$Q$9:$Q$297)</f>
        <v>0</v>
      </c>
      <c r="X90" s="69"/>
      <c r="Y90" s="133">
        <f>COUNTIF('納品書明細F-15'!$D$9:$D$297,CONCATENATE(VLOOKUP(Y$5,$G$1:$H$4,2,FALSE),$E90,1,1,1))</f>
        <v>0</v>
      </c>
      <c r="Z90" s="161">
        <f>SUMIF('納品書明細F-15'!$C$9:$C$297,CONCATENATE(VLOOKUP(Y$5,$G$1:$H$4,2,FALSE),$E90,1,1),'納品書明細F-15'!$Q$9:$Q$297)</f>
        <v>0</v>
      </c>
      <c r="AA90" s="345"/>
      <c r="AB90" s="122"/>
      <c r="AC90" s="128"/>
      <c r="AD90" s="345"/>
      <c r="AE90" s="126">
        <f>COUNTIF('納品書明細F-15'!$D$9:$D$297,CONCATENATE(VLOOKUP(Y$5,$G$1:$H$4,2,FALSE),$E90,9,1,1))</f>
        <v>0</v>
      </c>
      <c r="AF90" s="433">
        <f>SUMIF('納品書明細F-15'!$C$9:$C$297,CONCATENATE(VLOOKUP(Y$5,$G$1:$H$4,2,FALSE),$E90,9,1),'納品書明細F-15'!$Q$9:$Q$297)</f>
        <v>0</v>
      </c>
    </row>
    <row r="91" spans="1:32">
      <c r="A91" s="474" t="s">
        <v>429</v>
      </c>
      <c r="B91" s="621"/>
      <c r="C91" s="245"/>
      <c r="D91" s="245"/>
      <c r="E91" s="344"/>
      <c r="F91" s="361"/>
      <c r="G91" s="449"/>
      <c r="H91" s="450"/>
      <c r="I91" s="345"/>
      <c r="J91" s="345"/>
      <c r="K91" s="345"/>
      <c r="L91" s="345"/>
      <c r="M91" s="450"/>
      <c r="N91" s="451"/>
      <c r="O91" s="345"/>
      <c r="P91" s="449"/>
      <c r="Q91" s="450"/>
      <c r="R91" s="345"/>
      <c r="S91" s="345"/>
      <c r="T91" s="345"/>
      <c r="U91" s="345"/>
      <c r="V91" s="450"/>
      <c r="W91" s="451"/>
      <c r="X91" s="345"/>
      <c r="Y91" s="449"/>
      <c r="Z91" s="450"/>
      <c r="AA91" s="345"/>
      <c r="AB91" s="345"/>
      <c r="AC91" s="345"/>
      <c r="AD91" s="345"/>
      <c r="AE91" s="450"/>
      <c r="AF91" s="451"/>
    </row>
    <row r="92" spans="1:32" ht="13.8" thickBot="1">
      <c r="A92" s="474" t="s">
        <v>429</v>
      </c>
      <c r="B92" s="622"/>
      <c r="C92" s="246"/>
      <c r="D92" s="246"/>
      <c r="E92" s="441"/>
      <c r="F92" s="438"/>
      <c r="G92" s="440"/>
      <c r="H92" s="438"/>
      <c r="I92" s="346"/>
      <c r="J92" s="345"/>
      <c r="K92" s="345"/>
      <c r="L92" s="345"/>
      <c r="M92" s="443"/>
      <c r="N92" s="444"/>
      <c r="O92" s="345"/>
      <c r="P92" s="445"/>
      <c r="Q92" s="443"/>
      <c r="R92" s="345"/>
      <c r="S92" s="345"/>
      <c r="T92" s="345"/>
      <c r="U92" s="345"/>
      <c r="V92" s="443"/>
      <c r="W92" s="444"/>
      <c r="X92" s="345"/>
      <c r="Y92" s="445"/>
      <c r="Z92" s="443"/>
      <c r="AA92" s="345"/>
      <c r="AB92" s="345"/>
      <c r="AC92" s="345"/>
      <c r="AD92" s="345"/>
      <c r="AE92" s="443"/>
      <c r="AF92" s="444"/>
    </row>
    <row r="93" spans="1:32">
      <c r="A93" s="475" t="str">
        <f>IF(SUMIFS($G93:$AF93,$G$8:$AF$8,"金額",$G93:$AF93,"&gt;0")-SUMIFS($G93:$AF93,$G$8:$AF$8,"金額",$G93:$AF93,"&lt;0")&lt;=0,"",MAX($A$92:$A92)+1)</f>
        <v/>
      </c>
      <c r="B93" s="794" t="s">
        <v>5</v>
      </c>
      <c r="C93" s="245" t="str">
        <f t="shared" ref="C93:C124" si="3">CONCATENATE("経費",$A93)</f>
        <v>経費</v>
      </c>
      <c r="D93" s="245">
        <v>1</v>
      </c>
      <c r="E93" s="593" t="str">
        <f>IF($F93&lt;&gt;"",INDEX(ﾏｽﾀ!$D$8:$D$124,MATCH(INDEX(ﾏｽﾀ!$N$8:$N$124,MATCH($F93,ﾏｽﾀ!$O$8:$O$124,0)),ﾏｽﾀ!$B$8:$B$124,0))&amp;"","")</f>
        <v>10001</v>
      </c>
      <c r="F93" s="594" t="str">
        <f>ﾏｽﾀ!$R8&amp;""</f>
        <v xml:space="preserve">株式会社 バンダイ　3100／ベンダー事業部 </v>
      </c>
      <c r="G93" s="646">
        <f>COUNTIF('納品書明細F-15'!$B$9:$B$297,CONCATENATE(VLOOKUP(G$5,$G$1:$H$4,2,FALSE),$E93,1,1))-VLOOKUP($E93,$E$9:$AF$92,$G$7-$D$7,0)</f>
        <v>0</v>
      </c>
      <c r="H93" s="652">
        <f>SUMIF('納品書明細F-15'!$B$9:$B$297,CONCATENATE(VLOOKUP(G$5,$G$1:$H$4,2,FALSE),$E93,1,1),'納品書明細F-15'!$Q$9:$Q$297)+SUMIF('納品書明細F-15'!$B$9:$B$297,CONCATENATE(VLOOKUP(G$5,$G$1:$H$4,2,FALSE),$E93,1,0),'納品書明細F-15'!$Q$9:$Q$297)-VLOOKUP($E93,$E$9:$AF$92,$H$7-$D$7,0)</f>
        <v>0</v>
      </c>
      <c r="I93" s="345"/>
      <c r="J93" s="122"/>
      <c r="K93" s="359"/>
      <c r="L93" s="345"/>
      <c r="M93" s="638">
        <f>COUNTIF('納品書明細F-15'!$B$9:$B$297,CONCATENATE(VLOOKUP(G$5,$G$1:$H$4,2,FALSE),$E93,9,1))-VLOOKUP($E93,$E$9:$AF$92,$M$7-$D$7,0)</f>
        <v>0</v>
      </c>
      <c r="N93" s="640">
        <f>SUMIF('納品書明細F-15'!$B$9:$B$297,CONCATENATE(VLOOKUP(G$5,$G$1:$H$4,2,FALSE),$E93,9,1),'納品書明細F-15'!$Q$9:$Q$297)+SUMIF('納品書明細F-15'!$B$9:$B$297,CONCATENATE(VLOOKUP(G$5,$G$1:$H$4,2,FALSE),$E93,9,0),'納品書明細F-15'!$Q$9:$Q$297)-VLOOKUP($E93,$E$9:$AF$92,$N$7-$D$7,0)</f>
        <v>0</v>
      </c>
      <c r="O93" s="69"/>
      <c r="P93" s="646">
        <f>COUNTIF('納品書明細F-15'!$B$9:$B$297,CONCATENATE(VLOOKUP(P$5,$G$1:$H$4,2,FALSE),$E93,1,1))-VLOOKUP($E93,$E$9:$AF$92,$P$7-$D$7,0)</f>
        <v>0</v>
      </c>
      <c r="Q93" s="647">
        <f>SUMIF('納品書明細F-15'!$B$9:$B$297,CONCATENATE(VLOOKUP(P$5,$G$1:$H$4,2,FALSE),$E93,1,1),'納品書明細F-15'!$Q$9:$Q$297)+SUMIF('納品書明細F-15'!$B$9:$B$297,CONCATENATE(VLOOKUP(P$5,$G$1:$H$4,2,FALSE),$E93,1,0),'納品書明細F-15'!$Q$9:$Q$297)-VLOOKUP($E93,$E$9:$AF$92,$Q$7-$D$7,0)</f>
        <v>0</v>
      </c>
      <c r="R93" s="345"/>
      <c r="S93" s="122"/>
      <c r="T93" s="128"/>
      <c r="U93" s="345"/>
      <c r="V93" s="638">
        <f>COUNTIF('納品書明細F-15'!$B$9:$B$297,CONCATENATE(VLOOKUP(P$5,$G$1:$H$4,2,FALSE),$E93,9,1))-VLOOKUP($E93,$E$9:$AF$92,$V$7-$D$7,0)</f>
        <v>0</v>
      </c>
      <c r="W93" s="650">
        <f>SUMIF('納品書明細F-15'!$B$9:$B$297,CONCATENATE(VLOOKUP(P$5,$G$1:$H$4,2,FALSE),$E93,9,1),'納品書明細F-15'!$Q$9:$Q$297)+SUMIF('納品書明細F-15'!$B$9:$B$297,CONCATENATE(VLOOKUP(P$5,$G$1:$H$4,2,FALSE),$E93,9,0),'納品書明細F-15'!$Q$9:$Q$297)-VLOOKUP($E93,$E$9:$AF$92,$W$7-$D$7,0)</f>
        <v>0</v>
      </c>
      <c r="X93" s="69"/>
      <c r="Y93" s="646">
        <f>COUNTIF('納品書明細F-15'!$B$9:$B$297,CONCATENATE(VLOOKUP(Y$5,$G$1:$H$4,2,FALSE),$E93,1,1))-VLOOKUP($E93,$E$9:$AF$92,$Y$7-$D$7,0)</f>
        <v>0</v>
      </c>
      <c r="Z93" s="647">
        <f>SUMIF('納品書明細F-15'!$B$9:$B$297,CONCATENATE(VLOOKUP(Y$5,$G$1:$H$4,2,FALSE),$E93,1,1),'納品書明細F-15'!$Q$9:$Q$297)+SUMIF('納品書明細F-15'!$B$9:$B$297,CONCATENATE(VLOOKUP(Y$5,$G$1:$H$4,2,FALSE),$E93,1,0),'納品書明細F-15'!$Q$9:$Q$297)-VLOOKUP($E93,$E$9:$AF$92,$Z$7-$D$7,0)</f>
        <v>0</v>
      </c>
      <c r="AA93" s="345"/>
      <c r="AB93" s="122"/>
      <c r="AC93" s="128"/>
      <c r="AD93" s="345"/>
      <c r="AE93" s="638">
        <f>COUNTIF('納品書明細F-15'!$B$9:$B$297,CONCATENATE(VLOOKUP(Y$5,$G$1:$H$4,2,FALSE),$E93,9,1))-VLOOKUP($E93,$E$9:$AF$92,$AE$7-$D$7,0)</f>
        <v>0</v>
      </c>
      <c r="AF93" s="650">
        <f>SUMIF('納品書明細F-15'!$B$9:$B$297,CONCATENATE(VLOOKUP(Y$5,$G$1:$H$4,2,FALSE),$E93,9,1),'納品書明細F-15'!$Q$9:$Q$297)+SUMIF('納品書明細F-15'!$B$9:$B$297,CONCATENATE(VLOOKUP(Y$5,$G$1:$H$4,2,FALSE),$E93,9,0),'納品書明細F-15'!$Q$9:$Q$297)-VLOOKUP($E93,$E$9:$AF$92,$AF$7-$D$7,0)</f>
        <v>0</v>
      </c>
    </row>
    <row r="94" spans="1:32">
      <c r="A94" s="475" t="str">
        <f>IF(SUMIFS($G94:$AF94,$G$8:$AF$8,"金額",$G94:$AF94,"&gt;0")-SUMIFS($G94:$AF94,$G$8:$AF$8,"金額",$G94:$AF94,"&lt;0")&lt;=0,"",MAX($A$92:$A93)+1)</f>
        <v/>
      </c>
      <c r="B94" s="795"/>
      <c r="C94" s="245" t="str">
        <f t="shared" si="3"/>
        <v>経費</v>
      </c>
      <c r="D94" s="245">
        <v>2</v>
      </c>
      <c r="E94" s="593" t="str">
        <f>IF($F94&lt;&gt;"",INDEX(ﾏｽﾀ!$D$8:$D$124,MATCH(INDEX(ﾏｽﾀ!$N$8:$N$124,MATCH($F94,ﾏｽﾀ!$O$8:$O$124,0)),ﾏｽﾀ!$B$8:$B$124,0))&amp;"","")</f>
        <v>10002</v>
      </c>
      <c r="F94" s="594" t="str">
        <f>ﾏｽﾀ!$R9&amp;""</f>
        <v>株式会社 バンダイ</v>
      </c>
      <c r="G94" s="646">
        <f>COUNTIF('納品書明細F-15'!$B$9:$B$297,CONCATENATE(VLOOKUP(G$5,$G$1:$H$4,2,FALSE),$E94,1,1))-VLOOKUP($E94,$E$9:$AF$92,$G$7-$D$7,0)</f>
        <v>0</v>
      </c>
      <c r="H94" s="652">
        <f>SUMIF('納品書明細F-15'!$B$9:$B$297,CONCATENATE(VLOOKUP(G$5,$G$1:$H$4,2,FALSE),$E94,1,1),'納品書明細F-15'!$Q$9:$Q$297)+SUMIF('納品書明細F-15'!$B$9:$B$297,CONCATENATE(VLOOKUP(G$5,$G$1:$H$4,2,FALSE),$E94,1,0),'納品書明細F-15'!$Q$9:$Q$297)-VLOOKUP($E94,$E$9:$AF$92,$H$7-$D$7,0)</f>
        <v>0</v>
      </c>
      <c r="I94" s="345"/>
      <c r="J94" s="122"/>
      <c r="K94" s="359"/>
      <c r="L94" s="345"/>
      <c r="M94" s="638">
        <f>COUNTIF('納品書明細F-15'!$B$9:$B$297,CONCATENATE(VLOOKUP(G$5,$G$1:$H$4,2,FALSE),$E94,9,1))-VLOOKUP($E94,$E$9:$AF$92,$M$7-$D$7,0)</f>
        <v>0</v>
      </c>
      <c r="N94" s="640">
        <f>SUMIF('納品書明細F-15'!$B$9:$B$297,CONCATENATE(VLOOKUP(G$5,$G$1:$H$4,2,FALSE),$E94,9,1),'納品書明細F-15'!$Q$9:$Q$297)+SUMIF('納品書明細F-15'!$B$9:$B$297,CONCATENATE(VLOOKUP(G$5,$G$1:$H$4,2,FALSE),$E94,9,0),'納品書明細F-15'!$Q$9:$Q$297)-VLOOKUP($E94,$E$9:$AF$92,$N$7-$D$7,0)</f>
        <v>0</v>
      </c>
      <c r="O94" s="69"/>
      <c r="P94" s="646">
        <f>COUNTIF('納品書明細F-15'!$B$9:$B$297,CONCATENATE(VLOOKUP(P$5,$G$1:$H$4,2,FALSE),$E94,1,1))-VLOOKUP($E94,$E$9:$AF$92,$P$7-$D$7,0)</f>
        <v>0</v>
      </c>
      <c r="Q94" s="647">
        <f>SUMIF('納品書明細F-15'!$B$9:$B$297,CONCATENATE(VLOOKUP(P$5,$G$1:$H$4,2,FALSE),$E94,1,1),'納品書明細F-15'!$Q$9:$Q$297)+SUMIF('納品書明細F-15'!$B$9:$B$297,CONCATENATE(VLOOKUP(P$5,$G$1:$H$4,2,FALSE),$E94,1,0),'納品書明細F-15'!$Q$9:$Q$297)-VLOOKUP($E94,$E$9:$AF$92,$Q$7-$D$7,0)</f>
        <v>0</v>
      </c>
      <c r="R94" s="345"/>
      <c r="S94" s="122"/>
      <c r="T94" s="128"/>
      <c r="U94" s="345"/>
      <c r="V94" s="638">
        <f>COUNTIF('納品書明細F-15'!$B$9:$B$297,CONCATENATE(VLOOKUP(P$5,$G$1:$H$4,2,FALSE),$E94,9,1))-VLOOKUP($E94,$E$9:$AF$92,$V$7-$D$7,0)</f>
        <v>0</v>
      </c>
      <c r="W94" s="650">
        <f>SUMIF('納品書明細F-15'!$B$9:$B$297,CONCATENATE(VLOOKUP(P$5,$G$1:$H$4,2,FALSE),$E94,9,1),'納品書明細F-15'!$Q$9:$Q$297)+SUMIF('納品書明細F-15'!$B$9:$B$297,CONCATENATE(VLOOKUP(P$5,$G$1:$H$4,2,FALSE),$E94,9,0),'納品書明細F-15'!$Q$9:$Q$297)-VLOOKUP($E94,$E$9:$AF$92,$W$7-$D$7,0)</f>
        <v>0</v>
      </c>
      <c r="X94" s="69"/>
      <c r="Y94" s="646">
        <f>COUNTIF('納品書明細F-15'!$B$9:$B$297,CONCATENATE(VLOOKUP(Y$5,$G$1:$H$4,2,FALSE),$E94,1,1))-VLOOKUP($E94,$E$9:$AF$92,$Y$7-$D$7,0)</f>
        <v>0</v>
      </c>
      <c r="Z94" s="647">
        <f>SUMIF('納品書明細F-15'!$B$9:$B$297,CONCATENATE(VLOOKUP(Y$5,$G$1:$H$4,2,FALSE),$E94,1,1),'納品書明細F-15'!$Q$9:$Q$297)+SUMIF('納品書明細F-15'!$B$9:$B$297,CONCATENATE(VLOOKUP(Y$5,$G$1:$H$4,2,FALSE),$E94,1,0),'納品書明細F-15'!$Q$9:$Q$297)-VLOOKUP($E94,$E$9:$AF$92,$Z$7-$D$7,0)</f>
        <v>0</v>
      </c>
      <c r="AA94" s="345"/>
      <c r="AB94" s="122"/>
      <c r="AC94" s="128"/>
      <c r="AD94" s="345"/>
      <c r="AE94" s="638">
        <f>COUNTIF('納品書明細F-15'!$B$9:$B$297,CONCATENATE(VLOOKUP(Y$5,$G$1:$H$4,2,FALSE),$E94,9,1))-VLOOKUP($E94,$E$9:$AF$92,$AE$7-$D$7,0)</f>
        <v>0</v>
      </c>
      <c r="AF94" s="650">
        <f>SUMIF('納品書明細F-15'!$B$9:$B$297,CONCATENATE(VLOOKUP(Y$5,$G$1:$H$4,2,FALSE),$E94,9,1),'納品書明細F-15'!$Q$9:$Q$297)+SUMIF('納品書明細F-15'!$B$9:$B$297,CONCATENATE(VLOOKUP(Y$5,$G$1:$H$4,2,FALSE),$E94,9,0),'納品書明細F-15'!$Q$9:$Q$297)-VLOOKUP($E94,$E$9:$AF$92,$AF$7-$D$7,0)</f>
        <v>0</v>
      </c>
    </row>
    <row r="95" spans="1:32">
      <c r="A95" s="475">
        <f>IF(SUMIFS($G95:$AF95,$G$8:$AF$8,"金額",$G95:$AF95,"&gt;0")-SUMIFS($G95:$AF95,$G$8:$AF$8,"金額",$G95:$AF95,"&lt;0")&lt;=0,"",MAX($A$92:$A94)+1)</f>
        <v>1</v>
      </c>
      <c r="B95" s="795"/>
      <c r="C95" s="245" t="str">
        <f t="shared" si="3"/>
        <v>経費1</v>
      </c>
      <c r="D95" s="245">
        <v>3</v>
      </c>
      <c r="E95" s="593" t="str">
        <f>IF($F95&lt;&gt;"",INDEX(ﾏｽﾀ!$D$8:$D$124,MATCH(INDEX(ﾏｽﾀ!$N$8:$N$124,MATCH($F95,ﾏｽﾀ!$O$8:$O$124,0)),ﾏｽﾀ!$B$8:$B$124,0))&amp;"","")</f>
        <v>10005</v>
      </c>
      <c r="F95" s="594" t="str">
        <f>ﾏｽﾀ!$R10&amp;""</f>
        <v>株式会社 バンダイ　3200／キャンディ事業部</v>
      </c>
      <c r="G95" s="646">
        <f>COUNTIF('納品書明細F-15'!$B$9:$B$297,CONCATENATE(VLOOKUP(G$5,$G$1:$H$4,2,FALSE),$E95,1,1))-VLOOKUP($E95,$E$9:$AF$92,$G$7-$D$7,0)</f>
        <v>0</v>
      </c>
      <c r="H95" s="652">
        <f>SUMIF('納品書明細F-15'!$B$9:$B$297,CONCATENATE(VLOOKUP(G$5,$G$1:$H$4,2,FALSE),$E95,1,1),'納品書明細F-15'!$Q$9:$Q$297)+SUMIF('納品書明細F-15'!$B$9:$B$297,CONCATENATE(VLOOKUP(G$5,$G$1:$H$4,2,FALSE),$E95,1,0),'納品書明細F-15'!$Q$9:$Q$297)-VLOOKUP($E95,$E$9:$AF$92,$H$7-$D$7,0)</f>
        <v>0</v>
      </c>
      <c r="I95" s="345"/>
      <c r="J95" s="122"/>
      <c r="K95" s="359"/>
      <c r="L95" s="345"/>
      <c r="M95" s="638">
        <f>COUNTIF('納品書明細F-15'!$B$9:$B$297,CONCATENATE(VLOOKUP(G$5,$G$1:$H$4,2,FALSE),$E95,9,1))-VLOOKUP($E95,$E$9:$AF$92,$M$7-$D$7,0)</f>
        <v>0</v>
      </c>
      <c r="N95" s="640">
        <f>SUMIF('納品書明細F-15'!$B$9:$B$297,CONCATENATE(VLOOKUP(G$5,$G$1:$H$4,2,FALSE),$E95,9,1),'納品書明細F-15'!$Q$9:$Q$297)+SUMIF('納品書明細F-15'!$B$9:$B$297,CONCATENATE(VLOOKUP(G$5,$G$1:$H$4,2,FALSE),$E95,9,0),'納品書明細F-15'!$Q$9:$Q$297)-VLOOKUP($E95,$E$9:$AF$92,$N$7-$D$7,0)</f>
        <v>0</v>
      </c>
      <c r="O95" s="69"/>
      <c r="P95" s="646">
        <f>COUNTIF('納品書明細F-15'!$B$9:$B$297,CONCATENATE(VLOOKUP(P$5,$G$1:$H$4,2,FALSE),$E95,1,1))-VLOOKUP($E95,$E$9:$AF$92,$P$7-$D$7,0)</f>
        <v>1</v>
      </c>
      <c r="Q95" s="647">
        <f>SUMIF('納品書明細F-15'!$B$9:$B$297,CONCATENATE(VLOOKUP(P$5,$G$1:$H$4,2,FALSE),$E95,1,1),'納品書明細F-15'!$Q$9:$Q$297)+SUMIF('納品書明細F-15'!$B$9:$B$297,CONCATENATE(VLOOKUP(P$5,$G$1:$H$4,2,FALSE),$E95,1,0),'納品書明細F-15'!$Q$9:$Q$297)-VLOOKUP($E95,$E$9:$AF$92,$Q$7-$D$7,0)</f>
        <v>661000</v>
      </c>
      <c r="R95" s="345"/>
      <c r="S95" s="122"/>
      <c r="T95" s="128"/>
      <c r="U95" s="345"/>
      <c r="V95" s="638">
        <f>COUNTIF('納品書明細F-15'!$B$9:$B$297,CONCATENATE(VLOOKUP(P$5,$G$1:$H$4,2,FALSE),$E95,9,1))-VLOOKUP($E95,$E$9:$AF$92,$V$7-$D$7,0)</f>
        <v>0</v>
      </c>
      <c r="W95" s="650">
        <f>SUMIF('納品書明細F-15'!$B$9:$B$297,CONCATENATE(VLOOKUP(P$5,$G$1:$H$4,2,FALSE),$E95,9,1),'納品書明細F-15'!$Q$9:$Q$297)+SUMIF('納品書明細F-15'!$B$9:$B$297,CONCATENATE(VLOOKUP(P$5,$G$1:$H$4,2,FALSE),$E95,9,0),'納品書明細F-15'!$Q$9:$Q$297)-VLOOKUP($E95,$E$9:$AF$92,$W$7-$D$7,0)</f>
        <v>0</v>
      </c>
      <c r="X95" s="69"/>
      <c r="Y95" s="646">
        <f>COUNTIF('納品書明細F-15'!$B$9:$B$297,CONCATENATE(VLOOKUP(Y$5,$G$1:$H$4,2,FALSE),$E95,1,1))-VLOOKUP($E95,$E$9:$AF$92,$Y$7-$D$7,0)</f>
        <v>0</v>
      </c>
      <c r="Z95" s="647">
        <f>SUMIF('納品書明細F-15'!$B$9:$B$297,CONCATENATE(VLOOKUP(Y$5,$G$1:$H$4,2,FALSE),$E95,1,1),'納品書明細F-15'!$Q$9:$Q$297)+SUMIF('納品書明細F-15'!$B$9:$B$297,CONCATENATE(VLOOKUP(Y$5,$G$1:$H$4,2,FALSE),$E95,1,0),'納品書明細F-15'!$Q$9:$Q$297)-VLOOKUP($E95,$E$9:$AF$92,$Z$7-$D$7,0)</f>
        <v>0</v>
      </c>
      <c r="AA95" s="345"/>
      <c r="AB95" s="122"/>
      <c r="AC95" s="128"/>
      <c r="AD95" s="345"/>
      <c r="AE95" s="638">
        <f>COUNTIF('納品書明細F-15'!$B$9:$B$297,CONCATENATE(VLOOKUP(Y$5,$G$1:$H$4,2,FALSE),$E95,9,1))-VLOOKUP($E95,$E$9:$AF$92,$AE$7-$D$7,0)</f>
        <v>0</v>
      </c>
      <c r="AF95" s="650">
        <f>SUMIF('納品書明細F-15'!$B$9:$B$297,CONCATENATE(VLOOKUP(Y$5,$G$1:$H$4,2,FALSE),$E95,9,1),'納品書明細F-15'!$Q$9:$Q$297)+SUMIF('納品書明細F-15'!$B$9:$B$297,CONCATENATE(VLOOKUP(Y$5,$G$1:$H$4,2,FALSE),$E95,9,0),'納品書明細F-15'!$Q$9:$Q$297)-VLOOKUP($E95,$E$9:$AF$92,$AF$7-$D$7,0)</f>
        <v>0</v>
      </c>
    </row>
    <row r="96" spans="1:32">
      <c r="A96" s="475" t="str">
        <f>IF(SUMIFS($G96:$AF96,$G$8:$AF$8,"金額",$G96:$AF96,"&gt;0")-SUMIFS($G96:$AF96,$G$8:$AF$8,"金額",$G96:$AF96,"&lt;0")&lt;=0,"",MAX($A$92:$A95)+1)</f>
        <v/>
      </c>
      <c r="B96" s="795"/>
      <c r="C96" s="245" t="str">
        <f t="shared" si="3"/>
        <v>経費</v>
      </c>
      <c r="D96" s="245">
        <v>4</v>
      </c>
      <c r="E96" s="593" t="str">
        <f>IF($F96&lt;&gt;"",INDEX(ﾏｽﾀ!$D$8:$D$124,MATCH(INDEX(ﾏｽﾀ!$N$8:$N$124,MATCH($F96,ﾏｽﾀ!$O$8:$O$124,0)),ﾏｽﾀ!$B$8:$B$124,0))&amp;"","")</f>
        <v>10006</v>
      </c>
      <c r="F96" s="594" t="str">
        <f>ﾏｽﾀ!$R11&amp;""</f>
        <v>株式会社 バンダイ　4200／キャンディ事業部</v>
      </c>
      <c r="G96" s="646">
        <f>COUNTIF('納品書明細F-15'!$B$9:$B$297,CONCATENATE(VLOOKUP(G$5,$G$1:$H$4,2,FALSE),$E96,1,1))-VLOOKUP($E96,$E$9:$AF$92,$G$7-$D$7,0)</f>
        <v>0</v>
      </c>
      <c r="H96" s="652">
        <f>SUMIF('納品書明細F-15'!$B$9:$B$297,CONCATENATE(VLOOKUP(G$5,$G$1:$H$4,2,FALSE),$E96,1,1),'納品書明細F-15'!$Q$9:$Q$297)+SUMIF('納品書明細F-15'!$B$9:$B$297,CONCATENATE(VLOOKUP(G$5,$G$1:$H$4,2,FALSE),$E96,1,0),'納品書明細F-15'!$Q$9:$Q$297)-VLOOKUP($E96,$E$9:$AF$92,$H$7-$D$7,0)</f>
        <v>0</v>
      </c>
      <c r="I96" s="345"/>
      <c r="J96" s="122"/>
      <c r="K96" s="359"/>
      <c r="L96" s="345"/>
      <c r="M96" s="638">
        <f>COUNTIF('納品書明細F-15'!$B$9:$B$297,CONCATENATE(VLOOKUP(G$5,$G$1:$H$4,2,FALSE),$E96,9,1))-VLOOKUP($E96,$E$9:$AF$92,$M$7-$D$7,0)</f>
        <v>0</v>
      </c>
      <c r="N96" s="640">
        <f>SUMIF('納品書明細F-15'!$B$9:$B$297,CONCATENATE(VLOOKUP(G$5,$G$1:$H$4,2,FALSE),$E96,9,1),'納品書明細F-15'!$Q$9:$Q$297)+SUMIF('納品書明細F-15'!$B$9:$B$297,CONCATENATE(VLOOKUP(G$5,$G$1:$H$4,2,FALSE),$E96,9,0),'納品書明細F-15'!$Q$9:$Q$297)-VLOOKUP($E96,$E$9:$AF$92,$N$7-$D$7,0)</f>
        <v>0</v>
      </c>
      <c r="O96" s="69"/>
      <c r="P96" s="646">
        <f>COUNTIF('納品書明細F-15'!$B$9:$B$297,CONCATENATE(VLOOKUP(P$5,$G$1:$H$4,2,FALSE),$E96,1,1))-VLOOKUP($E96,$E$9:$AF$92,$P$7-$D$7,0)</f>
        <v>0</v>
      </c>
      <c r="Q96" s="647">
        <f>SUMIF('納品書明細F-15'!$B$9:$B$297,CONCATENATE(VLOOKUP(P$5,$G$1:$H$4,2,FALSE),$E96,1,1),'納品書明細F-15'!$Q$9:$Q$297)+SUMIF('納品書明細F-15'!$B$9:$B$297,CONCATENATE(VLOOKUP(P$5,$G$1:$H$4,2,FALSE),$E96,1,0),'納品書明細F-15'!$Q$9:$Q$297)-VLOOKUP($E96,$E$9:$AF$92,$Q$7-$D$7,0)</f>
        <v>0</v>
      </c>
      <c r="R96" s="345"/>
      <c r="S96" s="122"/>
      <c r="T96" s="128"/>
      <c r="U96" s="345"/>
      <c r="V96" s="638">
        <f>COUNTIF('納品書明細F-15'!$B$9:$B$297,CONCATENATE(VLOOKUP(P$5,$G$1:$H$4,2,FALSE),$E96,9,1))-VLOOKUP($E96,$E$9:$AF$92,$V$7-$D$7,0)</f>
        <v>0</v>
      </c>
      <c r="W96" s="650">
        <f>SUMIF('納品書明細F-15'!$B$9:$B$297,CONCATENATE(VLOOKUP(P$5,$G$1:$H$4,2,FALSE),$E96,9,1),'納品書明細F-15'!$Q$9:$Q$297)+SUMIF('納品書明細F-15'!$B$9:$B$297,CONCATENATE(VLOOKUP(P$5,$G$1:$H$4,2,FALSE),$E96,9,0),'納品書明細F-15'!$Q$9:$Q$297)-VLOOKUP($E96,$E$9:$AF$92,$W$7-$D$7,0)</f>
        <v>0</v>
      </c>
      <c r="X96" s="69"/>
      <c r="Y96" s="646">
        <f>COUNTIF('納品書明細F-15'!$B$9:$B$297,CONCATENATE(VLOOKUP(Y$5,$G$1:$H$4,2,FALSE),$E96,1,1))-VLOOKUP($E96,$E$9:$AF$92,$Y$7-$D$7,0)</f>
        <v>0</v>
      </c>
      <c r="Z96" s="647">
        <f>SUMIF('納品書明細F-15'!$B$9:$B$297,CONCATENATE(VLOOKUP(Y$5,$G$1:$H$4,2,FALSE),$E96,1,1),'納品書明細F-15'!$Q$9:$Q$297)+SUMIF('納品書明細F-15'!$B$9:$B$297,CONCATENATE(VLOOKUP(Y$5,$G$1:$H$4,2,FALSE),$E96,1,0),'納品書明細F-15'!$Q$9:$Q$297)-VLOOKUP($E96,$E$9:$AF$92,$Z$7-$D$7,0)</f>
        <v>0</v>
      </c>
      <c r="AA96" s="345"/>
      <c r="AB96" s="122"/>
      <c r="AC96" s="128"/>
      <c r="AD96" s="345"/>
      <c r="AE96" s="638">
        <f>COUNTIF('納品書明細F-15'!$B$9:$B$297,CONCATENATE(VLOOKUP(Y$5,$G$1:$H$4,2,FALSE),$E96,9,1))-VLOOKUP($E96,$E$9:$AF$92,$AE$7-$D$7,0)</f>
        <v>0</v>
      </c>
      <c r="AF96" s="650">
        <f>SUMIF('納品書明細F-15'!$B$9:$B$297,CONCATENATE(VLOOKUP(Y$5,$G$1:$H$4,2,FALSE),$E96,9,1),'納品書明細F-15'!$Q$9:$Q$297)+SUMIF('納品書明細F-15'!$B$9:$B$297,CONCATENATE(VLOOKUP(Y$5,$G$1:$H$4,2,FALSE),$E96,9,0),'納品書明細F-15'!$Q$9:$Q$297)-VLOOKUP($E96,$E$9:$AF$92,$AF$7-$D$7,0)</f>
        <v>0</v>
      </c>
    </row>
    <row r="97" spans="1:32">
      <c r="A97" s="475">
        <f>IF(SUMIFS($G97:$AF97,$G$8:$AF$8,"金額",$G97:$AF97,"&gt;0")-SUMIFS($G97:$AF97,$G$8:$AF$8,"金額",$G97:$AF97,"&lt;0")&lt;=0,"",MAX($A$92:$A96)+1)</f>
        <v>2</v>
      </c>
      <c r="B97" s="795"/>
      <c r="C97" s="245" t="str">
        <f t="shared" si="3"/>
        <v>経費2</v>
      </c>
      <c r="D97" s="245">
        <v>5</v>
      </c>
      <c r="E97" s="593" t="str">
        <f>IF($F97&lt;&gt;"",INDEX(ﾏｽﾀ!$D$8:$D$124,MATCH(INDEX(ﾏｽﾀ!$N$8:$N$124,MATCH($F97,ﾏｽﾀ!$O$8:$O$124,0)),ﾏｽﾀ!$B$8:$B$124,0))&amp;"","")</f>
        <v>10010</v>
      </c>
      <c r="F97" s="594" t="str">
        <f>ﾏｽﾀ!$R12&amp;""</f>
        <v>株式会社 バンダイ　4100／コレクターズ事業部</v>
      </c>
      <c r="G97" s="646">
        <f>COUNTIF('納品書明細F-15'!$B$9:$B$297,CONCATENATE(VLOOKUP(G$5,$G$1:$H$4,2,FALSE),$E97,1,1))-VLOOKUP($E97,$E$9:$AF$92,$G$7-$D$7,0)</f>
        <v>2</v>
      </c>
      <c r="H97" s="652">
        <f>SUMIF('納品書明細F-15'!$B$9:$B$297,CONCATENATE(VLOOKUP(G$5,$G$1:$H$4,2,FALSE),$E97,1,1),'納品書明細F-15'!$Q$9:$Q$297)+SUMIF('納品書明細F-15'!$B$9:$B$297,CONCATENATE(VLOOKUP(G$5,$G$1:$H$4,2,FALSE),$E97,1,0),'納品書明細F-15'!$Q$9:$Q$297)-VLOOKUP($E97,$E$9:$AF$92,$H$7-$D$7,0)</f>
        <v>3534544</v>
      </c>
      <c r="I97" s="345"/>
      <c r="J97" s="122"/>
      <c r="K97" s="359"/>
      <c r="L97" s="345"/>
      <c r="M97" s="638">
        <f>COUNTIF('納品書明細F-15'!$B$9:$B$297,CONCATENATE(VLOOKUP(G$5,$G$1:$H$4,2,FALSE),$E97,9,1))-VLOOKUP($E97,$E$9:$AF$92,$M$7-$D$7,0)</f>
        <v>0</v>
      </c>
      <c r="N97" s="640">
        <f>SUMIF('納品書明細F-15'!$B$9:$B$297,CONCATENATE(VLOOKUP(G$5,$G$1:$H$4,2,FALSE),$E97,9,1),'納品書明細F-15'!$Q$9:$Q$297)+SUMIF('納品書明細F-15'!$B$9:$B$297,CONCATENATE(VLOOKUP(G$5,$G$1:$H$4,2,FALSE),$E97,9,0),'納品書明細F-15'!$Q$9:$Q$297)-VLOOKUP($E97,$E$9:$AF$92,$N$7-$D$7,0)</f>
        <v>0</v>
      </c>
      <c r="O97" s="69"/>
      <c r="P97" s="646">
        <f>COUNTIF('納品書明細F-15'!$B$9:$B$297,CONCATENATE(VLOOKUP(P$5,$G$1:$H$4,2,FALSE),$E97,1,1))-VLOOKUP($E97,$E$9:$AF$92,$P$7-$D$7,0)</f>
        <v>0</v>
      </c>
      <c r="Q97" s="647">
        <f>SUMIF('納品書明細F-15'!$B$9:$B$297,CONCATENATE(VLOOKUP(P$5,$G$1:$H$4,2,FALSE),$E97,1,1),'納品書明細F-15'!$Q$9:$Q$297)+SUMIF('納品書明細F-15'!$B$9:$B$297,CONCATENATE(VLOOKUP(P$5,$G$1:$H$4,2,FALSE),$E97,1,0),'納品書明細F-15'!$Q$9:$Q$297)-VLOOKUP($E97,$E$9:$AF$92,$Q$7-$D$7,0)</f>
        <v>0</v>
      </c>
      <c r="R97" s="345"/>
      <c r="S97" s="122"/>
      <c r="T97" s="128"/>
      <c r="U97" s="345"/>
      <c r="V97" s="638">
        <f>COUNTIF('納品書明細F-15'!$B$9:$B$297,CONCATENATE(VLOOKUP(P$5,$G$1:$H$4,2,FALSE),$E97,9,1))-VLOOKUP($E97,$E$9:$AF$92,$V$7-$D$7,0)</f>
        <v>0</v>
      </c>
      <c r="W97" s="650">
        <f>SUMIF('納品書明細F-15'!$B$9:$B$297,CONCATENATE(VLOOKUP(P$5,$G$1:$H$4,2,FALSE),$E97,9,1),'納品書明細F-15'!$Q$9:$Q$297)+SUMIF('納品書明細F-15'!$B$9:$B$297,CONCATENATE(VLOOKUP(P$5,$G$1:$H$4,2,FALSE),$E97,9,0),'納品書明細F-15'!$Q$9:$Q$297)-VLOOKUP($E97,$E$9:$AF$92,$W$7-$D$7,0)</f>
        <v>0</v>
      </c>
      <c r="X97" s="69"/>
      <c r="Y97" s="646">
        <f>COUNTIF('納品書明細F-15'!$B$9:$B$297,CONCATENATE(VLOOKUP(Y$5,$G$1:$H$4,2,FALSE),$E97,1,1))-VLOOKUP($E97,$E$9:$AF$92,$Y$7-$D$7,0)</f>
        <v>0</v>
      </c>
      <c r="Z97" s="647">
        <f>SUMIF('納品書明細F-15'!$B$9:$B$297,CONCATENATE(VLOOKUP(Y$5,$G$1:$H$4,2,FALSE),$E97,1,1),'納品書明細F-15'!$Q$9:$Q$297)+SUMIF('納品書明細F-15'!$B$9:$B$297,CONCATENATE(VLOOKUP(Y$5,$G$1:$H$4,2,FALSE),$E97,1,0),'納品書明細F-15'!$Q$9:$Q$297)-VLOOKUP($E97,$E$9:$AF$92,$Z$7-$D$7,0)</f>
        <v>0</v>
      </c>
      <c r="AA97" s="345"/>
      <c r="AB97" s="122"/>
      <c r="AC97" s="128"/>
      <c r="AD97" s="345"/>
      <c r="AE97" s="638">
        <f>COUNTIF('納品書明細F-15'!$B$9:$B$297,CONCATENATE(VLOOKUP(Y$5,$G$1:$H$4,2,FALSE),$E97,9,1))-VLOOKUP($E97,$E$9:$AF$92,$AE$7-$D$7,0)</f>
        <v>0</v>
      </c>
      <c r="AF97" s="650">
        <f>SUMIF('納品書明細F-15'!$B$9:$B$297,CONCATENATE(VLOOKUP(Y$5,$G$1:$H$4,2,FALSE),$E97,9,1),'納品書明細F-15'!$Q$9:$Q$297)+SUMIF('納品書明細F-15'!$B$9:$B$297,CONCATENATE(VLOOKUP(Y$5,$G$1:$H$4,2,FALSE),$E97,9,0),'納品書明細F-15'!$Q$9:$Q$297)-VLOOKUP($E97,$E$9:$AF$92,$AF$7-$D$7,0)</f>
        <v>0</v>
      </c>
    </row>
    <row r="98" spans="1:32">
      <c r="A98" s="475">
        <f>IF(SUMIFS($G98:$AF98,$G$8:$AF$8,"金額",$G98:$AF98,"&gt;0")-SUMIFS($G98:$AF98,$G$8:$AF$8,"金額",$G98:$AF98,"&lt;0")&lt;=0,"",MAX($A$92:$A97)+1)</f>
        <v>3</v>
      </c>
      <c r="B98" s="795"/>
      <c r="C98" s="245" t="str">
        <f t="shared" si="3"/>
        <v>経費3</v>
      </c>
      <c r="D98" s="245">
        <v>6</v>
      </c>
      <c r="E98" s="593" t="str">
        <f>IF($F98&lt;&gt;"",INDEX(ﾏｽﾀ!$D$8:$D$124,MATCH(INDEX(ﾏｽﾀ!$N$8:$N$124,MATCH($F98,ﾏｽﾀ!$O$8:$O$124,0)),ﾏｽﾀ!$B$8:$B$124,0))&amp;"","")</f>
        <v>10015</v>
      </c>
      <c r="F98" s="594" t="str">
        <f>ﾏｽﾀ!$R13&amp;""</f>
        <v>株式会社 バンダイ　4200／ボーイズトイ事業部</v>
      </c>
      <c r="G98" s="646">
        <f>COUNTIF('納品書明細F-15'!$B$9:$B$297,CONCATENATE(VLOOKUP(G$5,$G$1:$H$4,2,FALSE),$E98,1,1))-VLOOKUP($E98,$E$9:$AF$92,$G$7-$D$7,0)</f>
        <v>1</v>
      </c>
      <c r="H98" s="652">
        <f>SUMIF('納品書明細F-15'!$B$9:$B$297,CONCATENATE(VLOOKUP(G$5,$G$1:$H$4,2,FALSE),$E98,1,1),'納品書明細F-15'!$Q$9:$Q$297)+SUMIF('納品書明細F-15'!$B$9:$B$297,CONCATENATE(VLOOKUP(G$5,$G$1:$H$4,2,FALSE),$E98,1,0),'納品書明細F-15'!$Q$9:$Q$297)-VLOOKUP($E98,$E$9:$AF$92,$H$7-$D$7,0)</f>
        <v>19107</v>
      </c>
      <c r="I98" s="345"/>
      <c r="J98" s="122"/>
      <c r="K98" s="359"/>
      <c r="L98" s="345"/>
      <c r="M98" s="638">
        <f>COUNTIF('納品書明細F-15'!$B$9:$B$297,CONCATENATE(VLOOKUP(G$5,$G$1:$H$4,2,FALSE),$E98,9,1))-VLOOKUP($E98,$E$9:$AF$92,$M$7-$D$7,0)</f>
        <v>0</v>
      </c>
      <c r="N98" s="640">
        <f>SUMIF('納品書明細F-15'!$B$9:$B$297,CONCATENATE(VLOOKUP(G$5,$G$1:$H$4,2,FALSE),$E98,9,1),'納品書明細F-15'!$Q$9:$Q$297)+SUMIF('納品書明細F-15'!$B$9:$B$297,CONCATENATE(VLOOKUP(G$5,$G$1:$H$4,2,FALSE),$E98,9,0),'納品書明細F-15'!$Q$9:$Q$297)-VLOOKUP($E98,$E$9:$AF$92,$N$7-$D$7,0)</f>
        <v>0</v>
      </c>
      <c r="O98" s="69"/>
      <c r="P98" s="646">
        <f>COUNTIF('納品書明細F-15'!$B$9:$B$297,CONCATENATE(VLOOKUP(P$5,$G$1:$H$4,2,FALSE),$E98,1,1))-VLOOKUP($E98,$E$9:$AF$92,$P$7-$D$7,0)</f>
        <v>0</v>
      </c>
      <c r="Q98" s="647">
        <f>SUMIF('納品書明細F-15'!$B$9:$B$297,CONCATENATE(VLOOKUP(P$5,$G$1:$H$4,2,FALSE),$E98,1,1),'納品書明細F-15'!$Q$9:$Q$297)+SUMIF('納品書明細F-15'!$B$9:$B$297,CONCATENATE(VLOOKUP(P$5,$G$1:$H$4,2,FALSE),$E98,1,0),'納品書明細F-15'!$Q$9:$Q$297)-VLOOKUP($E98,$E$9:$AF$92,$Q$7-$D$7,0)</f>
        <v>0</v>
      </c>
      <c r="R98" s="345"/>
      <c r="S98" s="122"/>
      <c r="T98" s="128"/>
      <c r="U98" s="345"/>
      <c r="V98" s="638">
        <f>COUNTIF('納品書明細F-15'!$B$9:$B$297,CONCATENATE(VLOOKUP(P$5,$G$1:$H$4,2,FALSE),$E98,9,1))-VLOOKUP($E98,$E$9:$AF$92,$V$7-$D$7,0)</f>
        <v>0</v>
      </c>
      <c r="W98" s="650">
        <f>SUMIF('納品書明細F-15'!$B$9:$B$297,CONCATENATE(VLOOKUP(P$5,$G$1:$H$4,2,FALSE),$E98,9,1),'納品書明細F-15'!$Q$9:$Q$297)+SUMIF('納品書明細F-15'!$B$9:$B$297,CONCATENATE(VLOOKUP(P$5,$G$1:$H$4,2,FALSE),$E98,9,0),'納品書明細F-15'!$Q$9:$Q$297)-VLOOKUP($E98,$E$9:$AF$92,$W$7-$D$7,0)</f>
        <v>0</v>
      </c>
      <c r="X98" s="69"/>
      <c r="Y98" s="646">
        <f>COUNTIF('納品書明細F-15'!$B$9:$B$297,CONCATENATE(VLOOKUP(Y$5,$G$1:$H$4,2,FALSE),$E98,1,1))-VLOOKUP($E98,$E$9:$AF$92,$Y$7-$D$7,0)</f>
        <v>0</v>
      </c>
      <c r="Z98" s="647">
        <f>SUMIF('納品書明細F-15'!$B$9:$B$297,CONCATENATE(VLOOKUP(Y$5,$G$1:$H$4,2,FALSE),$E98,1,1),'納品書明細F-15'!$Q$9:$Q$297)+SUMIF('納品書明細F-15'!$B$9:$B$297,CONCATENATE(VLOOKUP(Y$5,$G$1:$H$4,2,FALSE),$E98,1,0),'納品書明細F-15'!$Q$9:$Q$297)-VLOOKUP($E98,$E$9:$AF$92,$Z$7-$D$7,0)</f>
        <v>0</v>
      </c>
      <c r="AA98" s="345"/>
      <c r="AB98" s="122"/>
      <c r="AC98" s="128"/>
      <c r="AD98" s="345"/>
      <c r="AE98" s="638">
        <f>COUNTIF('納品書明細F-15'!$B$9:$B$297,CONCATENATE(VLOOKUP(Y$5,$G$1:$H$4,2,FALSE),$E98,9,1))-VLOOKUP($E98,$E$9:$AF$92,$AE$7-$D$7,0)</f>
        <v>0</v>
      </c>
      <c r="AF98" s="650">
        <f>SUMIF('納品書明細F-15'!$B$9:$B$297,CONCATENATE(VLOOKUP(Y$5,$G$1:$H$4,2,FALSE),$E98,9,1),'納品書明細F-15'!$Q$9:$Q$297)+SUMIF('納品書明細F-15'!$B$9:$B$297,CONCATENATE(VLOOKUP(Y$5,$G$1:$H$4,2,FALSE),$E98,9,0),'納品書明細F-15'!$Q$9:$Q$297)-VLOOKUP($E98,$E$9:$AF$92,$AF$7-$D$7,0)</f>
        <v>0</v>
      </c>
    </row>
    <row r="99" spans="1:32">
      <c r="A99" s="475" t="str">
        <f>IF(SUMIFS($G99:$AF99,$G$8:$AF$8,"金額",$G99:$AF99,"&gt;0")-SUMIFS($G99:$AF99,$G$8:$AF$8,"金額",$G99:$AF99,"&lt;0")&lt;=0,"",MAX($A$92:$A98)+1)</f>
        <v/>
      </c>
      <c r="B99" s="795"/>
      <c r="C99" s="245" t="str">
        <f t="shared" si="3"/>
        <v>経費</v>
      </c>
      <c r="D99" s="245">
        <v>7</v>
      </c>
      <c r="E99" s="593" t="str">
        <f>IF($F99&lt;&gt;"",INDEX(ﾏｽﾀ!$D$8:$D$124,MATCH(INDEX(ﾏｽﾀ!$N$8:$N$124,MATCH($F99,ﾏｽﾀ!$O$8:$O$124,0)),ﾏｽﾀ!$B$8:$B$124,0))&amp;"","")</f>
        <v>10016</v>
      </c>
      <c r="F99" s="594" t="str">
        <f>ﾏｽﾀ!$R14&amp;""</f>
        <v>株式会社 バンダイ　5000／ボーイズトイ事業部</v>
      </c>
      <c r="G99" s="646">
        <f>COUNTIF('納品書明細F-15'!$B$9:$B$297,CONCATENATE(VLOOKUP(G$5,$G$1:$H$4,2,FALSE),$E99,1,1))-VLOOKUP($E99,$E$9:$AF$92,$G$7-$D$7,0)</f>
        <v>0</v>
      </c>
      <c r="H99" s="652">
        <f>SUMIF('納品書明細F-15'!$B$9:$B$297,CONCATENATE(VLOOKUP(G$5,$G$1:$H$4,2,FALSE),$E99,1,1),'納品書明細F-15'!$Q$9:$Q$297)+SUMIF('納品書明細F-15'!$B$9:$B$297,CONCATENATE(VLOOKUP(G$5,$G$1:$H$4,2,FALSE),$E99,1,0),'納品書明細F-15'!$Q$9:$Q$297)-VLOOKUP($E99,$E$9:$AF$92,$H$7-$D$7,0)</f>
        <v>0</v>
      </c>
      <c r="I99" s="345"/>
      <c r="J99" s="122"/>
      <c r="K99" s="359"/>
      <c r="L99" s="345"/>
      <c r="M99" s="638">
        <f>COUNTIF('納品書明細F-15'!$B$9:$B$297,CONCATENATE(VLOOKUP(G$5,$G$1:$H$4,2,FALSE),$E99,9,1))-VLOOKUP($E99,$E$9:$AF$92,$M$7-$D$7,0)</f>
        <v>0</v>
      </c>
      <c r="N99" s="640">
        <f>SUMIF('納品書明細F-15'!$B$9:$B$297,CONCATENATE(VLOOKUP(G$5,$G$1:$H$4,2,FALSE),$E99,9,1),'納品書明細F-15'!$Q$9:$Q$297)+SUMIF('納品書明細F-15'!$B$9:$B$297,CONCATENATE(VLOOKUP(G$5,$G$1:$H$4,2,FALSE),$E99,9,0),'納品書明細F-15'!$Q$9:$Q$297)-VLOOKUP($E99,$E$9:$AF$92,$N$7-$D$7,0)</f>
        <v>0</v>
      </c>
      <c r="O99" s="69"/>
      <c r="P99" s="646">
        <f>COUNTIF('納品書明細F-15'!$B$9:$B$297,CONCATENATE(VLOOKUP(P$5,$G$1:$H$4,2,FALSE),$E99,1,1))-VLOOKUP($E99,$E$9:$AF$92,$P$7-$D$7,0)</f>
        <v>0</v>
      </c>
      <c r="Q99" s="647">
        <f>SUMIF('納品書明細F-15'!$B$9:$B$297,CONCATENATE(VLOOKUP(P$5,$G$1:$H$4,2,FALSE),$E99,1,1),'納品書明細F-15'!$Q$9:$Q$297)+SUMIF('納品書明細F-15'!$B$9:$B$297,CONCATENATE(VLOOKUP(P$5,$G$1:$H$4,2,FALSE),$E99,1,0),'納品書明細F-15'!$Q$9:$Q$297)-VLOOKUP($E99,$E$9:$AF$92,$Q$7-$D$7,0)</f>
        <v>0</v>
      </c>
      <c r="R99" s="345"/>
      <c r="S99" s="122"/>
      <c r="T99" s="128"/>
      <c r="U99" s="345"/>
      <c r="V99" s="638">
        <f>COUNTIF('納品書明細F-15'!$B$9:$B$297,CONCATENATE(VLOOKUP(P$5,$G$1:$H$4,2,FALSE),$E99,9,1))-VLOOKUP($E99,$E$9:$AF$92,$V$7-$D$7,0)</f>
        <v>0</v>
      </c>
      <c r="W99" s="650">
        <f>SUMIF('納品書明細F-15'!$B$9:$B$297,CONCATENATE(VLOOKUP(P$5,$G$1:$H$4,2,FALSE),$E99,9,1),'納品書明細F-15'!$Q$9:$Q$297)+SUMIF('納品書明細F-15'!$B$9:$B$297,CONCATENATE(VLOOKUP(P$5,$G$1:$H$4,2,FALSE),$E99,9,0),'納品書明細F-15'!$Q$9:$Q$297)-VLOOKUP($E99,$E$9:$AF$92,$W$7-$D$7,0)</f>
        <v>0</v>
      </c>
      <c r="X99" s="69"/>
      <c r="Y99" s="646">
        <f>COUNTIF('納品書明細F-15'!$B$9:$B$297,CONCATENATE(VLOOKUP(Y$5,$G$1:$H$4,2,FALSE),$E99,1,1))-VLOOKUP($E99,$E$9:$AF$92,$Y$7-$D$7,0)</f>
        <v>0</v>
      </c>
      <c r="Z99" s="647">
        <f>SUMIF('納品書明細F-15'!$B$9:$B$297,CONCATENATE(VLOOKUP(Y$5,$G$1:$H$4,2,FALSE),$E99,1,1),'納品書明細F-15'!$Q$9:$Q$297)+SUMIF('納品書明細F-15'!$B$9:$B$297,CONCATENATE(VLOOKUP(Y$5,$G$1:$H$4,2,FALSE),$E99,1,0),'納品書明細F-15'!$Q$9:$Q$297)-VLOOKUP($E99,$E$9:$AF$92,$Z$7-$D$7,0)</f>
        <v>0</v>
      </c>
      <c r="AA99" s="345"/>
      <c r="AB99" s="122"/>
      <c r="AC99" s="128"/>
      <c r="AD99" s="345"/>
      <c r="AE99" s="638">
        <f>COUNTIF('納品書明細F-15'!$B$9:$B$297,CONCATENATE(VLOOKUP(Y$5,$G$1:$H$4,2,FALSE),$E99,9,1))-VLOOKUP($E99,$E$9:$AF$92,$AE$7-$D$7,0)</f>
        <v>0</v>
      </c>
      <c r="AF99" s="650">
        <f>SUMIF('納品書明細F-15'!$B$9:$B$297,CONCATENATE(VLOOKUP(Y$5,$G$1:$H$4,2,FALSE),$E99,9,1),'納品書明細F-15'!$Q$9:$Q$297)+SUMIF('納品書明細F-15'!$B$9:$B$297,CONCATENATE(VLOOKUP(Y$5,$G$1:$H$4,2,FALSE),$E99,9,0),'納品書明細F-15'!$Q$9:$Q$297)-VLOOKUP($E99,$E$9:$AF$92,$AF$7-$D$7,0)</f>
        <v>0</v>
      </c>
    </row>
    <row r="100" spans="1:32">
      <c r="A100" s="475" t="str">
        <f>IF(SUMIFS($G100:$AF100,$G$8:$AF$8,"金額",$G100:$AF100,"&gt;0")-SUMIFS($G100:$AF100,$G$8:$AF$8,"金額",$G100:$AF100,"&lt;0")&lt;=0,"",MAX($A$92:$A99)+1)</f>
        <v/>
      </c>
      <c r="B100" s="795"/>
      <c r="C100" s="245" t="str">
        <f t="shared" si="3"/>
        <v>経費</v>
      </c>
      <c r="D100" s="245">
        <v>8</v>
      </c>
      <c r="E100" s="593" t="str">
        <f>IF($F100&lt;&gt;"",INDEX(ﾏｽﾀ!$D$8:$D$124,MATCH(INDEX(ﾏｽﾀ!$N$8:$N$124,MATCH($F100,ﾏｽﾀ!$O$8:$O$124,0)),ﾏｽﾀ!$B$8:$B$124,0))&amp;"","")</f>
        <v>10019</v>
      </c>
      <c r="F100" s="594" t="str">
        <f>ﾏｽﾀ!$R15&amp;""</f>
        <v>株式会社 バンダイ　4200／ガールズトイ事業部</v>
      </c>
      <c r="G100" s="646">
        <f>COUNTIF('納品書明細F-15'!$B$9:$B$297,CONCATENATE(VLOOKUP(G$5,$G$1:$H$4,2,FALSE),$E100,1,1))-VLOOKUP($E100,$E$9:$AF$92,$G$7-$D$7,0)</f>
        <v>0</v>
      </c>
      <c r="H100" s="652">
        <f>SUMIF('納品書明細F-15'!$B$9:$B$297,CONCATENATE(VLOOKUP(G$5,$G$1:$H$4,2,FALSE),$E100,1,1),'納品書明細F-15'!$Q$9:$Q$297)+SUMIF('納品書明細F-15'!$B$9:$B$297,CONCATENATE(VLOOKUP(G$5,$G$1:$H$4,2,FALSE),$E100,1,0),'納品書明細F-15'!$Q$9:$Q$297)-VLOOKUP($E100,$E$9:$AF$92,$H$7-$D$7,0)</f>
        <v>0</v>
      </c>
      <c r="I100" s="345"/>
      <c r="J100" s="122"/>
      <c r="K100" s="359"/>
      <c r="L100" s="345"/>
      <c r="M100" s="638">
        <f>COUNTIF('納品書明細F-15'!$B$9:$B$297,CONCATENATE(VLOOKUP(G$5,$G$1:$H$4,2,FALSE),$E100,9,1))-VLOOKUP($E100,$E$9:$AF$92,$M$7-$D$7,0)</f>
        <v>0</v>
      </c>
      <c r="N100" s="640">
        <f>SUMIF('納品書明細F-15'!$B$9:$B$297,CONCATENATE(VLOOKUP(G$5,$G$1:$H$4,2,FALSE),$E100,9,1),'納品書明細F-15'!$Q$9:$Q$297)+SUMIF('納品書明細F-15'!$B$9:$B$297,CONCATENATE(VLOOKUP(G$5,$G$1:$H$4,2,FALSE),$E100,9,0),'納品書明細F-15'!$Q$9:$Q$297)-VLOOKUP($E100,$E$9:$AF$92,$N$7-$D$7,0)</f>
        <v>0</v>
      </c>
      <c r="O100" s="69"/>
      <c r="P100" s="646">
        <f>COUNTIF('納品書明細F-15'!$B$9:$B$297,CONCATENATE(VLOOKUP(P$5,$G$1:$H$4,2,FALSE),$E100,1,1))-VLOOKUP($E100,$E$9:$AF$92,$P$7-$D$7,0)</f>
        <v>0</v>
      </c>
      <c r="Q100" s="647">
        <f>SUMIF('納品書明細F-15'!$B$9:$B$297,CONCATENATE(VLOOKUP(P$5,$G$1:$H$4,2,FALSE),$E100,1,1),'納品書明細F-15'!$Q$9:$Q$297)+SUMIF('納品書明細F-15'!$B$9:$B$297,CONCATENATE(VLOOKUP(P$5,$G$1:$H$4,2,FALSE),$E100,1,0),'納品書明細F-15'!$Q$9:$Q$297)-VLOOKUP($E100,$E$9:$AF$92,$Q$7-$D$7,0)</f>
        <v>0</v>
      </c>
      <c r="R100" s="345"/>
      <c r="S100" s="122"/>
      <c r="T100" s="128"/>
      <c r="U100" s="345"/>
      <c r="V100" s="638">
        <f>COUNTIF('納品書明細F-15'!$B$9:$B$297,CONCATENATE(VLOOKUP(P$5,$G$1:$H$4,2,FALSE),$E100,9,1))-VLOOKUP($E100,$E$9:$AF$92,$V$7-$D$7,0)</f>
        <v>0</v>
      </c>
      <c r="W100" s="650">
        <f>SUMIF('納品書明細F-15'!$B$9:$B$297,CONCATENATE(VLOOKUP(P$5,$G$1:$H$4,2,FALSE),$E100,9,1),'納品書明細F-15'!$Q$9:$Q$297)+SUMIF('納品書明細F-15'!$B$9:$B$297,CONCATENATE(VLOOKUP(P$5,$G$1:$H$4,2,FALSE),$E100,9,0),'納品書明細F-15'!$Q$9:$Q$297)-VLOOKUP($E100,$E$9:$AF$92,$W$7-$D$7,0)</f>
        <v>0</v>
      </c>
      <c r="X100" s="69"/>
      <c r="Y100" s="646">
        <f>COUNTIF('納品書明細F-15'!$B$9:$B$297,CONCATENATE(VLOOKUP(Y$5,$G$1:$H$4,2,FALSE),$E100,1,1))-VLOOKUP($E100,$E$9:$AF$92,$Y$7-$D$7,0)</f>
        <v>0</v>
      </c>
      <c r="Z100" s="647">
        <f>SUMIF('納品書明細F-15'!$B$9:$B$297,CONCATENATE(VLOOKUP(Y$5,$G$1:$H$4,2,FALSE),$E100,1,1),'納品書明細F-15'!$Q$9:$Q$297)+SUMIF('納品書明細F-15'!$B$9:$B$297,CONCATENATE(VLOOKUP(Y$5,$G$1:$H$4,2,FALSE),$E100,1,0),'納品書明細F-15'!$Q$9:$Q$297)-VLOOKUP($E100,$E$9:$AF$92,$Z$7-$D$7,0)</f>
        <v>0</v>
      </c>
      <c r="AA100" s="345"/>
      <c r="AB100" s="122"/>
      <c r="AC100" s="128"/>
      <c r="AD100" s="345"/>
      <c r="AE100" s="638">
        <f>COUNTIF('納品書明細F-15'!$B$9:$B$297,CONCATENATE(VLOOKUP(Y$5,$G$1:$H$4,2,FALSE),$E100,9,1))-VLOOKUP($E100,$E$9:$AF$92,$AE$7-$D$7,0)</f>
        <v>0</v>
      </c>
      <c r="AF100" s="650">
        <f>SUMIF('納品書明細F-15'!$B$9:$B$297,CONCATENATE(VLOOKUP(Y$5,$G$1:$H$4,2,FALSE),$E100,9,1),'納品書明細F-15'!$Q$9:$Q$297)+SUMIF('納品書明細F-15'!$B$9:$B$297,CONCATENATE(VLOOKUP(Y$5,$G$1:$H$4,2,FALSE),$E100,9,0),'納品書明細F-15'!$Q$9:$Q$297)-VLOOKUP($E100,$E$9:$AF$92,$AF$7-$D$7,0)</f>
        <v>0</v>
      </c>
    </row>
    <row r="101" spans="1:32">
      <c r="A101" s="475" t="str">
        <f>IF(SUMIFS($G101:$AF101,$G$8:$AF$8,"金額",$G101:$AF101,"&gt;0")-SUMIFS($G101:$AF101,$G$8:$AF$8,"金額",$G101:$AF101,"&lt;0")&lt;=0,"",MAX($A$92:$A100)+1)</f>
        <v/>
      </c>
      <c r="B101" s="795"/>
      <c r="C101" s="245" t="str">
        <f t="shared" si="3"/>
        <v>経費</v>
      </c>
      <c r="D101" s="245">
        <v>9</v>
      </c>
      <c r="E101" s="593" t="str">
        <f>IF($F101&lt;&gt;"",INDEX(ﾏｽﾀ!$D$8:$D$124,MATCH(INDEX(ﾏｽﾀ!$N$8:$N$124,MATCH($F101,ﾏｽﾀ!$O$8:$O$124,0)),ﾏｽﾀ!$B$8:$B$124,0))&amp;"","")</f>
        <v>10020</v>
      </c>
      <c r="F101" s="594" t="str">
        <f>ﾏｽﾀ!$R16&amp;""</f>
        <v>株式会社 バンダイ　5000／ガールズトイ事業部</v>
      </c>
      <c r="G101" s="646">
        <f>COUNTIF('納品書明細F-15'!$B$9:$B$297,CONCATENATE(VLOOKUP(G$5,$G$1:$H$4,2,FALSE),$E101,1,1))-VLOOKUP($E101,$E$9:$AF$92,$G$7-$D$7,0)</f>
        <v>0</v>
      </c>
      <c r="H101" s="652">
        <f>SUMIF('納品書明細F-15'!$B$9:$B$297,CONCATENATE(VLOOKUP(G$5,$G$1:$H$4,2,FALSE),$E101,1,1),'納品書明細F-15'!$Q$9:$Q$297)+SUMIF('納品書明細F-15'!$B$9:$B$297,CONCATENATE(VLOOKUP(G$5,$G$1:$H$4,2,FALSE),$E101,1,0),'納品書明細F-15'!$Q$9:$Q$297)-VLOOKUP($E101,$E$9:$AF$92,$H$7-$D$7,0)</f>
        <v>0</v>
      </c>
      <c r="I101" s="345"/>
      <c r="J101" s="122"/>
      <c r="K101" s="359"/>
      <c r="L101" s="345"/>
      <c r="M101" s="638">
        <f>COUNTIF('納品書明細F-15'!$B$9:$B$297,CONCATENATE(VLOOKUP(G$5,$G$1:$H$4,2,FALSE),$E101,9,1))-VLOOKUP($E101,$E$9:$AF$92,$M$7-$D$7,0)</f>
        <v>0</v>
      </c>
      <c r="N101" s="640">
        <f>SUMIF('納品書明細F-15'!$B$9:$B$297,CONCATENATE(VLOOKUP(G$5,$G$1:$H$4,2,FALSE),$E101,9,1),'納品書明細F-15'!$Q$9:$Q$297)+SUMIF('納品書明細F-15'!$B$9:$B$297,CONCATENATE(VLOOKUP(G$5,$G$1:$H$4,2,FALSE),$E101,9,0),'納品書明細F-15'!$Q$9:$Q$297)-VLOOKUP($E101,$E$9:$AF$92,$N$7-$D$7,0)</f>
        <v>0</v>
      </c>
      <c r="O101" s="69"/>
      <c r="P101" s="646">
        <f>COUNTIF('納品書明細F-15'!$B$9:$B$297,CONCATENATE(VLOOKUP(P$5,$G$1:$H$4,2,FALSE),$E101,1,1))-VLOOKUP($E101,$E$9:$AF$92,$P$7-$D$7,0)</f>
        <v>0</v>
      </c>
      <c r="Q101" s="647">
        <f>SUMIF('納品書明細F-15'!$B$9:$B$297,CONCATENATE(VLOOKUP(P$5,$G$1:$H$4,2,FALSE),$E101,1,1),'納品書明細F-15'!$Q$9:$Q$297)+SUMIF('納品書明細F-15'!$B$9:$B$297,CONCATENATE(VLOOKUP(P$5,$G$1:$H$4,2,FALSE),$E101,1,0),'納品書明細F-15'!$Q$9:$Q$297)-VLOOKUP($E101,$E$9:$AF$92,$Q$7-$D$7,0)</f>
        <v>0</v>
      </c>
      <c r="R101" s="345"/>
      <c r="S101" s="122"/>
      <c r="T101" s="128"/>
      <c r="U101" s="345"/>
      <c r="V101" s="638">
        <f>COUNTIF('納品書明細F-15'!$B$9:$B$297,CONCATENATE(VLOOKUP(P$5,$G$1:$H$4,2,FALSE),$E101,9,1))-VLOOKUP($E101,$E$9:$AF$92,$V$7-$D$7,0)</f>
        <v>0</v>
      </c>
      <c r="W101" s="650">
        <f>SUMIF('納品書明細F-15'!$B$9:$B$297,CONCATENATE(VLOOKUP(P$5,$G$1:$H$4,2,FALSE),$E101,9,1),'納品書明細F-15'!$Q$9:$Q$297)+SUMIF('納品書明細F-15'!$B$9:$B$297,CONCATENATE(VLOOKUP(P$5,$G$1:$H$4,2,FALSE),$E101,9,0),'納品書明細F-15'!$Q$9:$Q$297)-VLOOKUP($E101,$E$9:$AF$92,$W$7-$D$7,0)</f>
        <v>0</v>
      </c>
      <c r="X101" s="69"/>
      <c r="Y101" s="646">
        <f>COUNTIF('納品書明細F-15'!$B$9:$B$297,CONCATENATE(VLOOKUP(Y$5,$G$1:$H$4,2,FALSE),$E101,1,1))-VLOOKUP($E101,$E$9:$AF$92,$Y$7-$D$7,0)</f>
        <v>0</v>
      </c>
      <c r="Z101" s="647">
        <f>SUMIF('納品書明細F-15'!$B$9:$B$297,CONCATENATE(VLOOKUP(Y$5,$G$1:$H$4,2,FALSE),$E101,1,1),'納品書明細F-15'!$Q$9:$Q$297)+SUMIF('納品書明細F-15'!$B$9:$B$297,CONCATENATE(VLOOKUP(Y$5,$G$1:$H$4,2,FALSE),$E101,1,0),'納品書明細F-15'!$Q$9:$Q$297)-VLOOKUP($E101,$E$9:$AF$92,$Z$7-$D$7,0)</f>
        <v>0</v>
      </c>
      <c r="AA101" s="345"/>
      <c r="AB101" s="122"/>
      <c r="AC101" s="128"/>
      <c r="AD101" s="345"/>
      <c r="AE101" s="638">
        <f>COUNTIF('納品書明細F-15'!$B$9:$B$297,CONCATENATE(VLOOKUP(Y$5,$G$1:$H$4,2,FALSE),$E101,9,1))-VLOOKUP($E101,$E$9:$AF$92,$AE$7-$D$7,0)</f>
        <v>0</v>
      </c>
      <c r="AF101" s="650">
        <f>SUMIF('納品書明細F-15'!$B$9:$B$297,CONCATENATE(VLOOKUP(Y$5,$G$1:$H$4,2,FALSE),$E101,9,1),'納品書明細F-15'!$Q$9:$Q$297)+SUMIF('納品書明細F-15'!$B$9:$B$297,CONCATENATE(VLOOKUP(Y$5,$G$1:$H$4,2,FALSE),$E101,9,0),'納品書明細F-15'!$Q$9:$Q$297)-VLOOKUP($E101,$E$9:$AF$92,$AF$7-$D$7,0)</f>
        <v>0</v>
      </c>
    </row>
    <row r="102" spans="1:32">
      <c r="A102" s="475" t="str">
        <f>IF(SUMIFS($G102:$AF102,$G$8:$AF$8,"金額",$G102:$AF102,"&gt;0")-SUMIFS($G102:$AF102,$G$8:$AF$8,"金額",$G102:$AF102,"&lt;0")&lt;=0,"",MAX($A$92:$A101)+1)</f>
        <v/>
      </c>
      <c r="B102" s="795"/>
      <c r="C102" s="245" t="str">
        <f t="shared" si="3"/>
        <v>経費</v>
      </c>
      <c r="D102" s="245">
        <v>10</v>
      </c>
      <c r="E102" s="593" t="str">
        <f>IF($F102&lt;&gt;"",INDEX(ﾏｽﾀ!$D$8:$D$124,MATCH(INDEX(ﾏｽﾀ!$N$8:$N$124,MATCH($F102,ﾏｽﾀ!$O$8:$O$124,0)),ﾏｽﾀ!$B$8:$B$124,0))&amp;"","")</f>
        <v>10023</v>
      </c>
      <c r="F102" s="594" t="str">
        <f>ﾏｽﾀ!$R17&amp;""</f>
        <v>株式会社 バンダイ　3100／プロダクトマネジメント部</v>
      </c>
      <c r="G102" s="646">
        <f>COUNTIF('納品書明細F-15'!$B$9:$B$297,CONCATENATE(VLOOKUP(G$5,$G$1:$H$4,2,FALSE),$E102,1,1))-VLOOKUP($E102,$E$9:$AF$92,$G$7-$D$7,0)</f>
        <v>0</v>
      </c>
      <c r="H102" s="652">
        <f>SUMIF('納品書明細F-15'!$B$9:$B$297,CONCATENATE(VLOOKUP(G$5,$G$1:$H$4,2,FALSE),$E102,1,1),'納品書明細F-15'!$Q$9:$Q$297)+SUMIF('納品書明細F-15'!$B$9:$B$297,CONCATENATE(VLOOKUP(G$5,$G$1:$H$4,2,FALSE),$E102,1,0),'納品書明細F-15'!$Q$9:$Q$297)-VLOOKUP($E102,$E$9:$AF$92,$H$7-$D$7,0)</f>
        <v>0</v>
      </c>
      <c r="I102" s="345"/>
      <c r="J102" s="122"/>
      <c r="K102" s="359"/>
      <c r="L102" s="345"/>
      <c r="M102" s="638">
        <f>COUNTIF('納品書明細F-15'!$B$9:$B$297,CONCATENATE(VLOOKUP(G$5,$G$1:$H$4,2,FALSE),$E102,9,1))-VLOOKUP($E102,$E$9:$AF$92,$M$7-$D$7,0)</f>
        <v>0</v>
      </c>
      <c r="N102" s="640">
        <f>SUMIF('納品書明細F-15'!$B$9:$B$297,CONCATENATE(VLOOKUP(G$5,$G$1:$H$4,2,FALSE),$E102,9,1),'納品書明細F-15'!$Q$9:$Q$297)+SUMIF('納品書明細F-15'!$B$9:$B$297,CONCATENATE(VLOOKUP(G$5,$G$1:$H$4,2,FALSE),$E102,9,0),'納品書明細F-15'!$Q$9:$Q$297)-VLOOKUP($E102,$E$9:$AF$92,$N$7-$D$7,0)</f>
        <v>0</v>
      </c>
      <c r="O102" s="69"/>
      <c r="P102" s="646">
        <f>COUNTIF('納品書明細F-15'!$B$9:$B$297,CONCATENATE(VLOOKUP(P$5,$G$1:$H$4,2,FALSE),$E102,1,1))-VLOOKUP($E102,$E$9:$AF$92,$P$7-$D$7,0)</f>
        <v>0</v>
      </c>
      <c r="Q102" s="647">
        <f>SUMIF('納品書明細F-15'!$B$9:$B$297,CONCATENATE(VLOOKUP(P$5,$G$1:$H$4,2,FALSE),$E102,1,1),'納品書明細F-15'!$Q$9:$Q$297)+SUMIF('納品書明細F-15'!$B$9:$B$297,CONCATENATE(VLOOKUP(P$5,$G$1:$H$4,2,FALSE),$E102,1,0),'納品書明細F-15'!$Q$9:$Q$297)-VLOOKUP($E102,$E$9:$AF$92,$Q$7-$D$7,0)</f>
        <v>0</v>
      </c>
      <c r="R102" s="345"/>
      <c r="S102" s="122"/>
      <c r="T102" s="128"/>
      <c r="U102" s="345"/>
      <c r="V102" s="638">
        <f>COUNTIF('納品書明細F-15'!$B$9:$B$297,CONCATENATE(VLOOKUP(P$5,$G$1:$H$4,2,FALSE),$E102,9,1))-VLOOKUP($E102,$E$9:$AF$92,$V$7-$D$7,0)</f>
        <v>0</v>
      </c>
      <c r="W102" s="650">
        <f>SUMIF('納品書明細F-15'!$B$9:$B$297,CONCATENATE(VLOOKUP(P$5,$G$1:$H$4,2,FALSE),$E102,9,1),'納品書明細F-15'!$Q$9:$Q$297)+SUMIF('納品書明細F-15'!$B$9:$B$297,CONCATENATE(VLOOKUP(P$5,$G$1:$H$4,2,FALSE),$E102,9,0),'納品書明細F-15'!$Q$9:$Q$297)-VLOOKUP($E102,$E$9:$AF$92,$W$7-$D$7,0)</f>
        <v>0</v>
      </c>
      <c r="X102" s="69"/>
      <c r="Y102" s="646">
        <f>COUNTIF('納品書明細F-15'!$B$9:$B$297,CONCATENATE(VLOOKUP(Y$5,$G$1:$H$4,2,FALSE),$E102,1,1))-VLOOKUP($E102,$E$9:$AF$92,$Y$7-$D$7,0)</f>
        <v>0</v>
      </c>
      <c r="Z102" s="647">
        <f>SUMIF('納品書明細F-15'!$B$9:$B$297,CONCATENATE(VLOOKUP(Y$5,$G$1:$H$4,2,FALSE),$E102,1,1),'納品書明細F-15'!$Q$9:$Q$297)+SUMIF('納品書明細F-15'!$B$9:$B$297,CONCATENATE(VLOOKUP(Y$5,$G$1:$H$4,2,FALSE),$E102,1,0),'納品書明細F-15'!$Q$9:$Q$297)-VLOOKUP($E102,$E$9:$AF$92,$Z$7-$D$7,0)</f>
        <v>0</v>
      </c>
      <c r="AA102" s="345"/>
      <c r="AB102" s="122"/>
      <c r="AC102" s="128"/>
      <c r="AD102" s="345"/>
      <c r="AE102" s="638">
        <f>COUNTIF('納品書明細F-15'!$B$9:$B$297,CONCATENATE(VLOOKUP(Y$5,$G$1:$H$4,2,FALSE),$E102,9,1))-VLOOKUP($E102,$E$9:$AF$92,$AE$7-$D$7,0)</f>
        <v>0</v>
      </c>
      <c r="AF102" s="650">
        <f>SUMIF('納品書明細F-15'!$B$9:$B$297,CONCATENATE(VLOOKUP(Y$5,$G$1:$H$4,2,FALSE),$E102,9,1),'納品書明細F-15'!$Q$9:$Q$297)+SUMIF('納品書明細F-15'!$B$9:$B$297,CONCATENATE(VLOOKUP(Y$5,$G$1:$H$4,2,FALSE),$E102,9,0),'納品書明細F-15'!$Q$9:$Q$297)-VLOOKUP($E102,$E$9:$AF$92,$AF$7-$D$7,0)</f>
        <v>0</v>
      </c>
    </row>
    <row r="103" spans="1:32">
      <c r="A103" s="475" t="str">
        <f>IF(SUMIFS($G103:$AF103,$G$8:$AF$8,"金額",$G103:$AF103,"&gt;0")-SUMIFS($G103:$AF103,$G$8:$AF$8,"金額",$G103:$AF103,"&lt;0")&lt;=0,"",MAX($A$92:$A102)+1)</f>
        <v/>
      </c>
      <c r="B103" s="795"/>
      <c r="C103" s="245" t="str">
        <f t="shared" si="3"/>
        <v>経費</v>
      </c>
      <c r="D103" s="245">
        <v>11</v>
      </c>
      <c r="E103" s="593" t="str">
        <f>IF($F103&lt;&gt;"",INDEX(ﾏｽﾀ!$D$8:$D$124,MATCH(INDEX(ﾏｽﾀ!$N$8:$N$124,MATCH($F103,ﾏｽﾀ!$O$8:$O$124,0)),ﾏｽﾀ!$B$8:$B$124,0))&amp;"","")</f>
        <v>10000</v>
      </c>
      <c r="F103" s="594" t="str">
        <f>ﾏｽﾀ!$R18&amp;""</f>
        <v>株式会社 バンダイ部</v>
      </c>
      <c r="G103" s="646">
        <f>COUNTIF('納品書明細F-15'!$B$9:$B$297,CONCATENATE(VLOOKUP(G$5,$G$1:$H$4,2,FALSE),$E103,1,1))-VLOOKUP($E103,$E$9:$AF$92,$G$7-$D$7,0)</f>
        <v>0</v>
      </c>
      <c r="H103" s="652">
        <f>SUMIF('納品書明細F-15'!$B$9:$B$297,CONCATENATE(VLOOKUP(G$5,$G$1:$H$4,2,FALSE),$E103,1,1),'納品書明細F-15'!$Q$9:$Q$297)+SUMIF('納品書明細F-15'!$B$9:$B$297,CONCATENATE(VLOOKUP(G$5,$G$1:$H$4,2,FALSE),$E103,1,0),'納品書明細F-15'!$Q$9:$Q$297)-VLOOKUP($E103,$E$9:$AF$92,$H$7-$D$7,0)</f>
        <v>0</v>
      </c>
      <c r="I103" s="345"/>
      <c r="J103" s="122"/>
      <c r="K103" s="359"/>
      <c r="L103" s="345"/>
      <c r="M103" s="638">
        <f>COUNTIF('納品書明細F-15'!$B$9:$B$297,CONCATENATE(VLOOKUP(G$5,$G$1:$H$4,2,FALSE),$E103,9,1))-VLOOKUP($E103,$E$9:$AF$92,$M$7-$D$7,0)</f>
        <v>0</v>
      </c>
      <c r="N103" s="640">
        <f>SUMIF('納品書明細F-15'!$B$9:$B$297,CONCATENATE(VLOOKUP(G$5,$G$1:$H$4,2,FALSE),$E103,9,1),'納品書明細F-15'!$Q$9:$Q$297)+SUMIF('納品書明細F-15'!$B$9:$B$297,CONCATENATE(VLOOKUP(G$5,$G$1:$H$4,2,FALSE),$E103,9,0),'納品書明細F-15'!$Q$9:$Q$297)-VLOOKUP($E103,$E$9:$AF$92,$N$7-$D$7,0)</f>
        <v>0</v>
      </c>
      <c r="O103" s="69"/>
      <c r="P103" s="646">
        <f>COUNTIF('納品書明細F-15'!$B$9:$B$297,CONCATENATE(VLOOKUP(P$5,$G$1:$H$4,2,FALSE),$E103,1,1))-VLOOKUP($E103,$E$9:$AF$92,$P$7-$D$7,0)</f>
        <v>0</v>
      </c>
      <c r="Q103" s="647">
        <f>SUMIF('納品書明細F-15'!$B$9:$B$297,CONCATENATE(VLOOKUP(P$5,$G$1:$H$4,2,FALSE),$E103,1,1),'納品書明細F-15'!$Q$9:$Q$297)+SUMIF('納品書明細F-15'!$B$9:$B$297,CONCATENATE(VLOOKUP(P$5,$G$1:$H$4,2,FALSE),$E103,1,0),'納品書明細F-15'!$Q$9:$Q$297)-VLOOKUP($E103,$E$9:$AF$92,$Q$7-$D$7,0)</f>
        <v>0</v>
      </c>
      <c r="R103" s="345"/>
      <c r="S103" s="122"/>
      <c r="T103" s="128"/>
      <c r="U103" s="345"/>
      <c r="V103" s="638">
        <f>COUNTIF('納品書明細F-15'!$B$9:$B$297,CONCATENATE(VLOOKUP(P$5,$G$1:$H$4,2,FALSE),$E103,9,1))-VLOOKUP($E103,$E$9:$AF$92,$V$7-$D$7,0)</f>
        <v>0</v>
      </c>
      <c r="W103" s="650">
        <f>SUMIF('納品書明細F-15'!$B$9:$B$297,CONCATENATE(VLOOKUP(P$5,$G$1:$H$4,2,FALSE),$E103,9,1),'納品書明細F-15'!$Q$9:$Q$297)+SUMIF('納品書明細F-15'!$B$9:$B$297,CONCATENATE(VLOOKUP(P$5,$G$1:$H$4,2,FALSE),$E103,9,0),'納品書明細F-15'!$Q$9:$Q$297)-VLOOKUP($E103,$E$9:$AF$92,$W$7-$D$7,0)</f>
        <v>0</v>
      </c>
      <c r="X103" s="69"/>
      <c r="Y103" s="646">
        <f>COUNTIF('納品書明細F-15'!$B$9:$B$297,CONCATENATE(VLOOKUP(Y$5,$G$1:$H$4,2,FALSE),$E103,1,1))-VLOOKUP($E103,$E$9:$AF$92,$Y$7-$D$7,0)</f>
        <v>0</v>
      </c>
      <c r="Z103" s="647">
        <f>SUMIF('納品書明細F-15'!$B$9:$B$297,CONCATENATE(VLOOKUP(Y$5,$G$1:$H$4,2,FALSE),$E103,1,1),'納品書明細F-15'!$Q$9:$Q$297)+SUMIF('納品書明細F-15'!$B$9:$B$297,CONCATENATE(VLOOKUP(Y$5,$G$1:$H$4,2,FALSE),$E103,1,0),'納品書明細F-15'!$Q$9:$Q$297)-VLOOKUP($E103,$E$9:$AF$92,$Z$7-$D$7,0)</f>
        <v>0</v>
      </c>
      <c r="AA103" s="345"/>
      <c r="AB103" s="122"/>
      <c r="AC103" s="128"/>
      <c r="AD103" s="345"/>
      <c r="AE103" s="638">
        <f>COUNTIF('納品書明細F-15'!$B$9:$B$297,CONCATENATE(VLOOKUP(Y$5,$G$1:$H$4,2,FALSE),$E103,9,1))-VLOOKUP($E103,$E$9:$AF$92,$AE$7-$D$7,0)</f>
        <v>0</v>
      </c>
      <c r="AF103" s="650">
        <f>SUMIF('納品書明細F-15'!$B$9:$B$297,CONCATENATE(VLOOKUP(Y$5,$G$1:$H$4,2,FALSE),$E103,9,1),'納品書明細F-15'!$Q$9:$Q$297)+SUMIF('納品書明細F-15'!$B$9:$B$297,CONCATENATE(VLOOKUP(Y$5,$G$1:$H$4,2,FALSE),$E103,9,0),'納品書明細F-15'!$Q$9:$Q$297)-VLOOKUP($E103,$E$9:$AF$92,$AF$7-$D$7,0)</f>
        <v>0</v>
      </c>
    </row>
    <row r="104" spans="1:32">
      <c r="A104" s="475" t="str">
        <f>IF(SUMIFS($G104:$AF104,$G$8:$AF$8,"金額",$G104:$AF104,"&gt;0")-SUMIFS($G104:$AF104,$G$8:$AF$8,"金額",$G104:$AF104,"&lt;0")&lt;=0,"",MAX($A$92:$A103)+1)</f>
        <v/>
      </c>
      <c r="B104" s="795"/>
      <c r="C104" s="245" t="str">
        <f t="shared" si="3"/>
        <v>経費</v>
      </c>
      <c r="D104" s="245">
        <v>12</v>
      </c>
      <c r="E104" s="593" t="str">
        <f>IF($F104&lt;&gt;"",INDEX(ﾏｽﾀ!$D$8:$D$124,MATCH(INDEX(ﾏｽﾀ!$N$8:$N$124,MATCH($F104,ﾏｽﾀ!$O$8:$O$124,0)),ﾏｽﾀ!$B$8:$B$124,0))&amp;"","")</f>
        <v>11001</v>
      </c>
      <c r="F104" s="594" t="str">
        <f>ﾏｽﾀ!$R19&amp;""</f>
        <v>株式会社BANDAI SPIRITS　4100／コレクターズ事業部</v>
      </c>
      <c r="G104" s="646">
        <f>COUNTIF('納品書明細F-15'!$B$9:$B$297,CONCATENATE(VLOOKUP(G$5,$G$1:$H$4,2,FALSE),$E104,1,1))-VLOOKUP($E104,$E$9:$AF$92,$G$7-$D$7,0)</f>
        <v>0</v>
      </c>
      <c r="H104" s="652">
        <f>SUMIF('納品書明細F-15'!$B$9:$B$297,CONCATENATE(VLOOKUP(G$5,$G$1:$H$4,2,FALSE),$E104,1,1),'納品書明細F-15'!$Q$9:$Q$297)+SUMIF('納品書明細F-15'!$B$9:$B$297,CONCATENATE(VLOOKUP(G$5,$G$1:$H$4,2,FALSE),$E104,1,0),'納品書明細F-15'!$Q$9:$Q$297)-VLOOKUP($E104,$E$9:$AF$92,$H$7-$D$7,0)</f>
        <v>0</v>
      </c>
      <c r="I104" s="345"/>
      <c r="J104" s="122"/>
      <c r="K104" s="359"/>
      <c r="L104" s="345"/>
      <c r="M104" s="638">
        <f>COUNTIF('納品書明細F-15'!$B$9:$B$297,CONCATENATE(VLOOKUP(G$5,$G$1:$H$4,2,FALSE),$E104,9,1))-VLOOKUP($E104,$E$9:$AF$92,$M$7-$D$7,0)</f>
        <v>0</v>
      </c>
      <c r="N104" s="640">
        <f>SUMIF('納品書明細F-15'!$B$9:$B$297,CONCATENATE(VLOOKUP(G$5,$G$1:$H$4,2,FALSE),$E104,9,1),'納品書明細F-15'!$Q$9:$Q$297)+SUMIF('納品書明細F-15'!$B$9:$B$297,CONCATENATE(VLOOKUP(G$5,$G$1:$H$4,2,FALSE),$E104,9,0),'納品書明細F-15'!$Q$9:$Q$297)-VLOOKUP($E104,$E$9:$AF$92,$N$7-$D$7,0)</f>
        <v>0</v>
      </c>
      <c r="O104" s="69"/>
      <c r="P104" s="646">
        <f>COUNTIF('納品書明細F-15'!$B$9:$B$297,CONCATENATE(VLOOKUP(P$5,$G$1:$H$4,2,FALSE),$E104,1,1))-VLOOKUP($E104,$E$9:$AF$92,$P$7-$D$7,0)</f>
        <v>0</v>
      </c>
      <c r="Q104" s="647">
        <f>SUMIF('納品書明細F-15'!$B$9:$B$297,CONCATENATE(VLOOKUP(P$5,$G$1:$H$4,2,FALSE),$E104,1,1),'納品書明細F-15'!$Q$9:$Q$297)+SUMIF('納品書明細F-15'!$B$9:$B$297,CONCATENATE(VLOOKUP(P$5,$G$1:$H$4,2,FALSE),$E104,1,0),'納品書明細F-15'!$Q$9:$Q$297)-VLOOKUP($E104,$E$9:$AF$92,$Q$7-$D$7,0)</f>
        <v>0</v>
      </c>
      <c r="R104" s="345"/>
      <c r="S104" s="122"/>
      <c r="T104" s="128"/>
      <c r="U104" s="345"/>
      <c r="V104" s="638">
        <f>COUNTIF('納品書明細F-15'!$B$9:$B$297,CONCATENATE(VLOOKUP(P$5,$G$1:$H$4,2,FALSE),$E104,9,1))-VLOOKUP($E104,$E$9:$AF$92,$V$7-$D$7,0)</f>
        <v>0</v>
      </c>
      <c r="W104" s="650">
        <f>SUMIF('納品書明細F-15'!$B$9:$B$297,CONCATENATE(VLOOKUP(P$5,$G$1:$H$4,2,FALSE),$E104,9,1),'納品書明細F-15'!$Q$9:$Q$297)+SUMIF('納品書明細F-15'!$B$9:$B$297,CONCATENATE(VLOOKUP(P$5,$G$1:$H$4,2,FALSE),$E104,9,0),'納品書明細F-15'!$Q$9:$Q$297)-VLOOKUP($E104,$E$9:$AF$92,$W$7-$D$7,0)</f>
        <v>0</v>
      </c>
      <c r="X104" s="69"/>
      <c r="Y104" s="646">
        <f>COUNTIF('納品書明細F-15'!$B$9:$B$297,CONCATENATE(VLOOKUP(Y$5,$G$1:$H$4,2,FALSE),$E104,1,1))-VLOOKUP($E104,$E$9:$AF$92,$Y$7-$D$7,0)</f>
        <v>0</v>
      </c>
      <c r="Z104" s="647">
        <f>SUMIF('納品書明細F-15'!$B$9:$B$297,CONCATENATE(VLOOKUP(Y$5,$G$1:$H$4,2,FALSE),$E104,1,1),'納品書明細F-15'!$Q$9:$Q$297)+SUMIF('納品書明細F-15'!$B$9:$B$297,CONCATENATE(VLOOKUP(Y$5,$G$1:$H$4,2,FALSE),$E104,1,0),'納品書明細F-15'!$Q$9:$Q$297)-VLOOKUP($E104,$E$9:$AF$92,$Z$7-$D$7,0)</f>
        <v>0</v>
      </c>
      <c r="AA104" s="345"/>
      <c r="AB104" s="122"/>
      <c r="AC104" s="128"/>
      <c r="AD104" s="345"/>
      <c r="AE104" s="638">
        <f>COUNTIF('納品書明細F-15'!$B$9:$B$297,CONCATENATE(VLOOKUP(Y$5,$G$1:$H$4,2,FALSE),$E104,9,1))-VLOOKUP($E104,$E$9:$AF$92,$AE$7-$D$7,0)</f>
        <v>0</v>
      </c>
      <c r="AF104" s="650">
        <f>SUMIF('納品書明細F-15'!$B$9:$B$297,CONCATENATE(VLOOKUP(Y$5,$G$1:$H$4,2,FALSE),$E104,9,1),'納品書明細F-15'!$Q$9:$Q$297)+SUMIF('納品書明細F-15'!$B$9:$B$297,CONCATENATE(VLOOKUP(Y$5,$G$1:$H$4,2,FALSE),$E104,9,0),'納品書明細F-15'!$Q$9:$Q$297)-VLOOKUP($E104,$E$9:$AF$92,$AF$7-$D$7,0)</f>
        <v>0</v>
      </c>
    </row>
    <row r="105" spans="1:32">
      <c r="A105" s="475" t="str">
        <f>IF(SUMIFS($G105:$AF105,$G$8:$AF$8,"金額",$G105:$AF105,"&gt;0")-SUMIFS($G105:$AF105,$G$8:$AF$8,"金額",$G105:$AF105,"&lt;0")&lt;=0,"",MAX($A$92:$A104)+1)</f>
        <v/>
      </c>
      <c r="B105" s="795"/>
      <c r="C105" s="245" t="str">
        <f t="shared" si="3"/>
        <v>経費</v>
      </c>
      <c r="D105" s="245">
        <v>13</v>
      </c>
      <c r="E105" s="593" t="str">
        <f>IF($F105&lt;&gt;"",INDEX(ﾏｽﾀ!$D$8:$D$124,MATCH(INDEX(ﾏｽﾀ!$N$8:$N$124,MATCH($F105,ﾏｽﾀ!$O$8:$O$124,0)),ﾏｽﾀ!$B$8:$B$124,0))&amp;"","")</f>
        <v>11002</v>
      </c>
      <c r="F105" s="594" t="str">
        <f>ﾏｽﾀ!$R20&amp;""</f>
        <v>株式会社BANDAI SPIRITS</v>
      </c>
      <c r="G105" s="646">
        <f>COUNTIF('納品書明細F-15'!$B$9:$B$297,CONCATENATE(VLOOKUP(G$5,$G$1:$H$4,2,FALSE),$E105,1,1))-VLOOKUP($E105,$E$9:$AF$92,$G$7-$D$7,0)</f>
        <v>0</v>
      </c>
      <c r="H105" s="652">
        <f>SUMIF('納品書明細F-15'!$B$9:$B$297,CONCATENATE(VLOOKUP(G$5,$G$1:$H$4,2,FALSE),$E105,1,1),'納品書明細F-15'!$Q$9:$Q$297)+SUMIF('納品書明細F-15'!$B$9:$B$297,CONCATENATE(VLOOKUP(G$5,$G$1:$H$4,2,FALSE),$E105,1,0),'納品書明細F-15'!$Q$9:$Q$297)-VLOOKUP($E105,$E$9:$AF$92,$H$7-$D$7,0)</f>
        <v>0</v>
      </c>
      <c r="I105" s="345"/>
      <c r="J105" s="122"/>
      <c r="K105" s="359"/>
      <c r="L105" s="345"/>
      <c r="M105" s="638">
        <f>COUNTIF('納品書明細F-15'!$B$9:$B$297,CONCATENATE(VLOOKUP(G$5,$G$1:$H$4,2,FALSE),$E105,9,1))-VLOOKUP($E105,$E$9:$AF$92,$M$7-$D$7,0)</f>
        <v>0</v>
      </c>
      <c r="N105" s="640">
        <f>SUMIF('納品書明細F-15'!$B$9:$B$297,CONCATENATE(VLOOKUP(G$5,$G$1:$H$4,2,FALSE),$E105,9,1),'納品書明細F-15'!$Q$9:$Q$297)+SUMIF('納品書明細F-15'!$B$9:$B$297,CONCATENATE(VLOOKUP(G$5,$G$1:$H$4,2,FALSE),$E105,9,0),'納品書明細F-15'!$Q$9:$Q$297)-VLOOKUP($E105,$E$9:$AF$92,$N$7-$D$7,0)</f>
        <v>0</v>
      </c>
      <c r="O105" s="69"/>
      <c r="P105" s="646">
        <f>COUNTIF('納品書明細F-15'!$B$9:$B$297,CONCATENATE(VLOOKUP(P$5,$G$1:$H$4,2,FALSE),$E105,1,1))-VLOOKUP($E105,$E$9:$AF$92,$P$7-$D$7,0)</f>
        <v>0</v>
      </c>
      <c r="Q105" s="647">
        <f>SUMIF('納品書明細F-15'!$B$9:$B$297,CONCATENATE(VLOOKUP(P$5,$G$1:$H$4,2,FALSE),$E105,1,1),'納品書明細F-15'!$Q$9:$Q$297)+SUMIF('納品書明細F-15'!$B$9:$B$297,CONCATENATE(VLOOKUP(P$5,$G$1:$H$4,2,FALSE),$E105,1,0),'納品書明細F-15'!$Q$9:$Q$297)-VLOOKUP($E105,$E$9:$AF$92,$Q$7-$D$7,0)</f>
        <v>0</v>
      </c>
      <c r="R105" s="345"/>
      <c r="S105" s="122"/>
      <c r="T105" s="128"/>
      <c r="U105" s="345"/>
      <c r="V105" s="638">
        <f>COUNTIF('納品書明細F-15'!$B$9:$B$297,CONCATENATE(VLOOKUP(P$5,$G$1:$H$4,2,FALSE),$E105,9,1))-VLOOKUP($E105,$E$9:$AF$92,$V$7-$D$7,0)</f>
        <v>0</v>
      </c>
      <c r="W105" s="650">
        <f>SUMIF('納品書明細F-15'!$B$9:$B$297,CONCATENATE(VLOOKUP(P$5,$G$1:$H$4,2,FALSE),$E105,9,1),'納品書明細F-15'!$Q$9:$Q$297)+SUMIF('納品書明細F-15'!$B$9:$B$297,CONCATENATE(VLOOKUP(P$5,$G$1:$H$4,2,FALSE),$E105,9,0),'納品書明細F-15'!$Q$9:$Q$297)-VLOOKUP($E105,$E$9:$AF$92,$W$7-$D$7,0)</f>
        <v>0</v>
      </c>
      <c r="X105" s="69"/>
      <c r="Y105" s="646">
        <f>COUNTIF('納品書明細F-15'!$B$9:$B$297,CONCATENATE(VLOOKUP(Y$5,$G$1:$H$4,2,FALSE),$E105,1,1))-VLOOKUP($E105,$E$9:$AF$92,$Y$7-$D$7,0)</f>
        <v>0</v>
      </c>
      <c r="Z105" s="647">
        <f>SUMIF('納品書明細F-15'!$B$9:$B$297,CONCATENATE(VLOOKUP(Y$5,$G$1:$H$4,2,FALSE),$E105,1,1),'納品書明細F-15'!$Q$9:$Q$297)+SUMIF('納品書明細F-15'!$B$9:$B$297,CONCATENATE(VLOOKUP(Y$5,$G$1:$H$4,2,FALSE),$E105,1,0),'納品書明細F-15'!$Q$9:$Q$297)-VLOOKUP($E105,$E$9:$AF$92,$Z$7-$D$7,0)</f>
        <v>0</v>
      </c>
      <c r="AA105" s="345"/>
      <c r="AB105" s="122"/>
      <c r="AC105" s="128"/>
      <c r="AD105" s="345"/>
      <c r="AE105" s="638">
        <f>COUNTIF('納品書明細F-15'!$B$9:$B$297,CONCATENATE(VLOOKUP(Y$5,$G$1:$H$4,2,FALSE),$E105,9,1))-VLOOKUP($E105,$E$9:$AF$92,$AE$7-$D$7,0)</f>
        <v>0</v>
      </c>
      <c r="AF105" s="650">
        <f>SUMIF('納品書明細F-15'!$B$9:$B$297,CONCATENATE(VLOOKUP(Y$5,$G$1:$H$4,2,FALSE),$E105,9,1),'納品書明細F-15'!$Q$9:$Q$297)+SUMIF('納品書明細F-15'!$B$9:$B$297,CONCATENATE(VLOOKUP(Y$5,$G$1:$H$4,2,FALSE),$E105,9,0),'納品書明細F-15'!$Q$9:$Q$297)-VLOOKUP($E105,$E$9:$AF$92,$AF$7-$D$7,0)</f>
        <v>0</v>
      </c>
    </row>
    <row r="106" spans="1:32">
      <c r="A106" s="475">
        <f>IF(SUMIFS($G106:$AF106,$G$8:$AF$8,"金額",$G106:$AF106,"&gt;0")-SUMIFS($G106:$AF106,$G$8:$AF$8,"金額",$G106:$AF106,"&lt;0")&lt;=0,"",MAX($A$92:$A105)+1)</f>
        <v>4</v>
      </c>
      <c r="B106" s="795"/>
      <c r="C106" s="245" t="str">
        <f t="shared" si="3"/>
        <v>経費4</v>
      </c>
      <c r="D106" s="245">
        <v>14</v>
      </c>
      <c r="E106" s="593" t="str">
        <f>IF($F106&lt;&gt;"",INDEX(ﾏｽﾀ!$D$8:$D$124,MATCH(INDEX(ﾏｽﾀ!$N$8:$N$124,MATCH($F106,ﾏｽﾀ!$O$8:$O$124,0)),ﾏｽﾀ!$B$8:$B$124,0))&amp;"","")</f>
        <v>12001</v>
      </c>
      <c r="F106" s="594" t="str">
        <f>ﾏｽﾀ!$R21&amp;""</f>
        <v>株式会社バンダイナムコアミューズメント</v>
      </c>
      <c r="G106" s="646">
        <f>COUNTIF('納品書明細F-15'!$B$9:$B$297,CONCATENATE(VLOOKUP(G$5,$G$1:$H$4,2,FALSE),$E106,1,1))-VLOOKUP($E106,$E$9:$AF$92,$G$7-$D$7,0)</f>
        <v>0</v>
      </c>
      <c r="H106" s="652">
        <f>SUMIF('納品書明細F-15'!$B$9:$B$297,CONCATENATE(VLOOKUP(G$5,$G$1:$H$4,2,FALSE),$E106,1,1),'納品書明細F-15'!$Q$9:$Q$297)+SUMIF('納品書明細F-15'!$B$9:$B$297,CONCATENATE(VLOOKUP(G$5,$G$1:$H$4,2,FALSE),$E106,1,0),'納品書明細F-15'!$Q$9:$Q$297)-VLOOKUP($E106,$E$9:$AF$92,$H$7-$D$7,0)</f>
        <v>0</v>
      </c>
      <c r="I106" s="345"/>
      <c r="J106" s="122"/>
      <c r="K106" s="359"/>
      <c r="L106" s="345"/>
      <c r="M106" s="638">
        <f>COUNTIF('納品書明細F-15'!$B$9:$B$297,CONCATENATE(VLOOKUP(G$5,$G$1:$H$4,2,FALSE),$E106,9,1))-VLOOKUP($E106,$E$9:$AF$92,$M$7-$D$7,0)</f>
        <v>1</v>
      </c>
      <c r="N106" s="640">
        <f>SUMIF('納品書明細F-15'!$B$9:$B$297,CONCATENATE(VLOOKUP(G$5,$G$1:$H$4,2,FALSE),$E106,9,1),'納品書明細F-15'!$Q$9:$Q$297)+SUMIF('納品書明細F-15'!$B$9:$B$297,CONCATENATE(VLOOKUP(G$5,$G$1:$H$4,2,FALSE),$E106,9,0),'納品書明細F-15'!$Q$9:$Q$297)-VLOOKUP($E106,$E$9:$AF$92,$N$7-$D$7,0)</f>
        <v>8766</v>
      </c>
      <c r="O106" s="69"/>
      <c r="P106" s="646">
        <f>COUNTIF('納品書明細F-15'!$B$9:$B$297,CONCATENATE(VLOOKUP(P$5,$G$1:$H$4,2,FALSE),$E106,1,1))-VLOOKUP($E106,$E$9:$AF$92,$P$7-$D$7,0)</f>
        <v>0</v>
      </c>
      <c r="Q106" s="647">
        <f>SUMIF('納品書明細F-15'!$B$9:$B$297,CONCATENATE(VLOOKUP(P$5,$G$1:$H$4,2,FALSE),$E106,1,1),'納品書明細F-15'!$Q$9:$Q$297)+SUMIF('納品書明細F-15'!$B$9:$B$297,CONCATENATE(VLOOKUP(P$5,$G$1:$H$4,2,FALSE),$E106,1,0),'納品書明細F-15'!$Q$9:$Q$297)-VLOOKUP($E106,$E$9:$AF$92,$Q$7-$D$7,0)</f>
        <v>0</v>
      </c>
      <c r="R106" s="345"/>
      <c r="S106" s="122"/>
      <c r="T106" s="128"/>
      <c r="U106" s="345"/>
      <c r="V106" s="638">
        <f>COUNTIF('納品書明細F-15'!$B$9:$B$297,CONCATENATE(VLOOKUP(P$5,$G$1:$H$4,2,FALSE),$E106,9,1))-VLOOKUP($E106,$E$9:$AF$92,$V$7-$D$7,0)</f>
        <v>0</v>
      </c>
      <c r="W106" s="650">
        <f>SUMIF('納品書明細F-15'!$B$9:$B$297,CONCATENATE(VLOOKUP(P$5,$G$1:$H$4,2,FALSE),$E106,9,1),'納品書明細F-15'!$Q$9:$Q$297)+SUMIF('納品書明細F-15'!$B$9:$B$297,CONCATENATE(VLOOKUP(P$5,$G$1:$H$4,2,FALSE),$E106,9,0),'納品書明細F-15'!$Q$9:$Q$297)-VLOOKUP($E106,$E$9:$AF$92,$W$7-$D$7,0)</f>
        <v>0</v>
      </c>
      <c r="X106" s="69"/>
      <c r="Y106" s="646">
        <f>COUNTIF('納品書明細F-15'!$B$9:$B$297,CONCATENATE(VLOOKUP(Y$5,$G$1:$H$4,2,FALSE),$E106,1,1))-VLOOKUP($E106,$E$9:$AF$92,$Y$7-$D$7,0)</f>
        <v>0</v>
      </c>
      <c r="Z106" s="647">
        <f>SUMIF('納品書明細F-15'!$B$9:$B$297,CONCATENATE(VLOOKUP(Y$5,$G$1:$H$4,2,FALSE),$E106,1,1),'納品書明細F-15'!$Q$9:$Q$297)+SUMIF('納品書明細F-15'!$B$9:$B$297,CONCATENATE(VLOOKUP(Y$5,$G$1:$H$4,2,FALSE),$E106,1,0),'納品書明細F-15'!$Q$9:$Q$297)-VLOOKUP($E106,$E$9:$AF$92,$Z$7-$D$7,0)</f>
        <v>0</v>
      </c>
      <c r="AA106" s="345"/>
      <c r="AB106" s="122"/>
      <c r="AC106" s="128"/>
      <c r="AD106" s="345"/>
      <c r="AE106" s="638">
        <f>COUNTIF('納品書明細F-15'!$B$9:$B$297,CONCATENATE(VLOOKUP(Y$5,$G$1:$H$4,2,FALSE),$E106,9,1))-VLOOKUP($E106,$E$9:$AF$92,$AE$7-$D$7,0)</f>
        <v>0</v>
      </c>
      <c r="AF106" s="650">
        <f>SUMIF('納品書明細F-15'!$B$9:$B$297,CONCATENATE(VLOOKUP(Y$5,$G$1:$H$4,2,FALSE),$E106,9,1),'納品書明細F-15'!$Q$9:$Q$297)+SUMIF('納品書明細F-15'!$B$9:$B$297,CONCATENATE(VLOOKUP(Y$5,$G$1:$H$4,2,FALSE),$E106,9,0),'納品書明細F-15'!$Q$9:$Q$297)-VLOOKUP($E106,$E$9:$AF$92,$AF$7-$D$7,0)</f>
        <v>0</v>
      </c>
    </row>
    <row r="107" spans="1:32">
      <c r="A107" s="475">
        <f>IF(SUMIFS($G107:$AF107,$G$8:$AF$8,"金額",$G107:$AF107,"&gt;0")-SUMIFS($G107:$AF107,$G$8:$AF$8,"金額",$G107:$AF107,"&lt;0")&lt;=0,"",MAX($A$92:$A106)+1)</f>
        <v>5</v>
      </c>
      <c r="B107" s="795"/>
      <c r="C107" s="245" t="str">
        <f t="shared" si="3"/>
        <v>経費5</v>
      </c>
      <c r="D107" s="245">
        <v>15</v>
      </c>
      <c r="E107" s="593" t="str">
        <f>IF($F107&lt;&gt;"",INDEX(ﾏｽﾀ!$D$8:$D$124,MATCH(INDEX(ﾏｽﾀ!$N$8:$N$124,MATCH($F107,ﾏｽﾀ!$O$8:$O$124,0)),ﾏｽﾀ!$B$8:$B$124,0))&amp;"","")</f>
        <v>40002</v>
      </c>
      <c r="F107" s="594" t="str">
        <f>ﾏｽﾀ!$R22&amp;""</f>
        <v>株式会社 バンプレスト　マーケティング事業部</v>
      </c>
      <c r="G107" s="646">
        <f>COUNTIF('納品書明細F-15'!$B$9:$B$297,CONCATENATE(VLOOKUP(G$5,$G$1:$H$4,2,FALSE),$E107,1,1))-VLOOKUP($E107,$E$9:$AF$92,$G$7-$D$7,0)</f>
        <v>1</v>
      </c>
      <c r="H107" s="652">
        <f>SUMIF('納品書明細F-15'!$B$9:$B$297,CONCATENATE(VLOOKUP(G$5,$G$1:$H$4,2,FALSE),$E107,1,1),'納品書明細F-15'!$Q$9:$Q$297)+SUMIF('納品書明細F-15'!$B$9:$B$297,CONCATENATE(VLOOKUP(G$5,$G$1:$H$4,2,FALSE),$E107,1,0),'納品書明細F-15'!$Q$9:$Q$297)-VLOOKUP($E107,$E$9:$AF$92,$H$7-$D$7,0)</f>
        <v>190600</v>
      </c>
      <c r="I107" s="345"/>
      <c r="J107" s="122"/>
      <c r="K107" s="359"/>
      <c r="L107" s="345"/>
      <c r="M107" s="638">
        <f>COUNTIF('納品書明細F-15'!$B$9:$B$297,CONCATENATE(VLOOKUP(G$5,$G$1:$H$4,2,FALSE),$E107,9,1))-VLOOKUP($E107,$E$9:$AF$92,$M$7-$D$7,0)</f>
        <v>0</v>
      </c>
      <c r="N107" s="640">
        <f>SUMIF('納品書明細F-15'!$B$9:$B$297,CONCATENATE(VLOOKUP(G$5,$G$1:$H$4,2,FALSE),$E107,9,1),'納品書明細F-15'!$Q$9:$Q$297)+SUMIF('納品書明細F-15'!$B$9:$B$297,CONCATENATE(VLOOKUP(G$5,$G$1:$H$4,2,FALSE),$E107,9,0),'納品書明細F-15'!$Q$9:$Q$297)-VLOOKUP($E107,$E$9:$AF$92,$N$7-$D$7,0)</f>
        <v>0</v>
      </c>
      <c r="O107" s="69"/>
      <c r="P107" s="646">
        <f>COUNTIF('納品書明細F-15'!$B$9:$B$297,CONCATENATE(VLOOKUP(P$5,$G$1:$H$4,2,FALSE),$E107,1,1))-VLOOKUP($E107,$E$9:$AF$92,$P$7-$D$7,0)</f>
        <v>0</v>
      </c>
      <c r="Q107" s="647">
        <f>SUMIF('納品書明細F-15'!$B$9:$B$297,CONCATENATE(VLOOKUP(P$5,$G$1:$H$4,2,FALSE),$E107,1,1),'納品書明細F-15'!$Q$9:$Q$297)+SUMIF('納品書明細F-15'!$B$9:$B$297,CONCATENATE(VLOOKUP(P$5,$G$1:$H$4,2,FALSE),$E107,1,0),'納品書明細F-15'!$Q$9:$Q$297)-VLOOKUP($E107,$E$9:$AF$92,$Q$7-$D$7,0)</f>
        <v>0</v>
      </c>
      <c r="R107" s="345"/>
      <c r="S107" s="122"/>
      <c r="T107" s="128"/>
      <c r="U107" s="345"/>
      <c r="V107" s="638">
        <f>COUNTIF('納品書明細F-15'!$B$9:$B$297,CONCATENATE(VLOOKUP(P$5,$G$1:$H$4,2,FALSE),$E107,9,1))-VLOOKUP($E107,$E$9:$AF$92,$V$7-$D$7,0)</f>
        <v>0</v>
      </c>
      <c r="W107" s="650">
        <f>SUMIF('納品書明細F-15'!$B$9:$B$297,CONCATENATE(VLOOKUP(P$5,$G$1:$H$4,2,FALSE),$E107,9,1),'納品書明細F-15'!$Q$9:$Q$297)+SUMIF('納品書明細F-15'!$B$9:$B$297,CONCATENATE(VLOOKUP(P$5,$G$1:$H$4,2,FALSE),$E107,9,0),'納品書明細F-15'!$Q$9:$Q$297)-VLOOKUP($E107,$E$9:$AF$92,$W$7-$D$7,0)</f>
        <v>0</v>
      </c>
      <c r="X107" s="69"/>
      <c r="Y107" s="646">
        <f>COUNTIF('納品書明細F-15'!$B$9:$B$297,CONCATENATE(VLOOKUP(Y$5,$G$1:$H$4,2,FALSE),$E107,1,1))-VLOOKUP($E107,$E$9:$AF$92,$Y$7-$D$7,0)</f>
        <v>0</v>
      </c>
      <c r="Z107" s="647">
        <f>SUMIF('納品書明細F-15'!$B$9:$B$297,CONCATENATE(VLOOKUP(Y$5,$G$1:$H$4,2,FALSE),$E107,1,1),'納品書明細F-15'!$Q$9:$Q$297)+SUMIF('納品書明細F-15'!$B$9:$B$297,CONCATENATE(VLOOKUP(Y$5,$G$1:$H$4,2,FALSE),$E107,1,0),'納品書明細F-15'!$Q$9:$Q$297)-VLOOKUP($E107,$E$9:$AF$92,$Z$7-$D$7,0)</f>
        <v>0</v>
      </c>
      <c r="AA107" s="345"/>
      <c r="AB107" s="122"/>
      <c r="AC107" s="128"/>
      <c r="AD107" s="345"/>
      <c r="AE107" s="638">
        <f>COUNTIF('納品書明細F-15'!$B$9:$B$297,CONCATENATE(VLOOKUP(Y$5,$G$1:$H$4,2,FALSE),$E107,9,1))-VLOOKUP($E107,$E$9:$AF$92,$AE$7-$D$7,0)</f>
        <v>0</v>
      </c>
      <c r="AF107" s="650">
        <f>SUMIF('納品書明細F-15'!$B$9:$B$297,CONCATENATE(VLOOKUP(Y$5,$G$1:$H$4,2,FALSE),$E107,9,1),'納品書明細F-15'!$Q$9:$Q$297)+SUMIF('納品書明細F-15'!$B$9:$B$297,CONCATENATE(VLOOKUP(Y$5,$G$1:$H$4,2,FALSE),$E107,9,0),'納品書明細F-15'!$Q$9:$Q$297)-VLOOKUP($E107,$E$9:$AF$92,$AF$7-$D$7,0)</f>
        <v>0</v>
      </c>
    </row>
    <row r="108" spans="1:32">
      <c r="A108" s="475" t="str">
        <f>IF(SUMIFS($G108:$AF108,$G$8:$AF$8,"金額",$G108:$AF108,"&gt;0")-SUMIFS($G108:$AF108,$G$8:$AF$8,"金額",$G108:$AF108,"&lt;0")&lt;=0,"",MAX($A$92:$A107)+1)</f>
        <v/>
      </c>
      <c r="B108" s="795"/>
      <c r="C108" s="245" t="str">
        <f t="shared" si="3"/>
        <v>経費</v>
      </c>
      <c r="D108" s="245">
        <v>16</v>
      </c>
      <c r="E108" s="593" t="str">
        <f>IF($F108&lt;&gt;"",INDEX(ﾏｽﾀ!$D$8:$D$124,MATCH(INDEX(ﾏｽﾀ!$N$8:$N$124,MATCH($F108,ﾏｽﾀ!$O$8:$O$124,0)),ﾏｽﾀ!$B$8:$B$124,0))&amp;"","")</f>
        <v>51000</v>
      </c>
      <c r="F108" s="594" t="str">
        <f>ﾏｽﾀ!$R23&amp;""</f>
        <v>株式会社 アートプレスト　/　3100</v>
      </c>
      <c r="G108" s="646">
        <f>COUNTIF('納品書明細F-15'!$B$9:$B$297,CONCATENATE(VLOOKUP(G$5,$G$1:$H$4,2,FALSE),$E108,1,1))-VLOOKUP($E108,$E$9:$AF$92,$G$7-$D$7,0)</f>
        <v>0</v>
      </c>
      <c r="H108" s="652">
        <f>SUMIF('納品書明細F-15'!$B$9:$B$297,CONCATENATE(VLOOKUP(G$5,$G$1:$H$4,2,FALSE),$E108,1,1),'納品書明細F-15'!$Q$9:$Q$297)+SUMIF('納品書明細F-15'!$B$9:$B$297,CONCATENATE(VLOOKUP(G$5,$G$1:$H$4,2,FALSE),$E108,1,0),'納品書明細F-15'!$Q$9:$Q$297)-VLOOKUP($E108,$E$9:$AF$92,$H$7-$D$7,0)</f>
        <v>0</v>
      </c>
      <c r="I108" s="345"/>
      <c r="J108" s="122"/>
      <c r="K108" s="359"/>
      <c r="L108" s="345"/>
      <c r="M108" s="638">
        <f>COUNTIF('納品書明細F-15'!$B$9:$B$297,CONCATENATE(VLOOKUP(G$5,$G$1:$H$4,2,FALSE),$E108,9,1))-VLOOKUP($E108,$E$9:$AF$92,$M$7-$D$7,0)</f>
        <v>0</v>
      </c>
      <c r="N108" s="640">
        <f>SUMIF('納品書明細F-15'!$B$9:$B$297,CONCATENATE(VLOOKUP(G$5,$G$1:$H$4,2,FALSE),$E108,9,1),'納品書明細F-15'!$Q$9:$Q$297)+SUMIF('納品書明細F-15'!$B$9:$B$297,CONCATENATE(VLOOKUP(G$5,$G$1:$H$4,2,FALSE),$E108,9,0),'納品書明細F-15'!$Q$9:$Q$297)-VLOOKUP($E108,$E$9:$AF$92,$N$7-$D$7,0)</f>
        <v>0</v>
      </c>
      <c r="O108" s="69"/>
      <c r="P108" s="646">
        <f>COUNTIF('納品書明細F-15'!$B$9:$B$297,CONCATENATE(VLOOKUP(P$5,$G$1:$H$4,2,FALSE),$E108,1,1))-VLOOKUP($E108,$E$9:$AF$92,$P$7-$D$7,0)</f>
        <v>0</v>
      </c>
      <c r="Q108" s="647">
        <f>SUMIF('納品書明細F-15'!$B$9:$B$297,CONCATENATE(VLOOKUP(P$5,$G$1:$H$4,2,FALSE),$E108,1,1),'納品書明細F-15'!$Q$9:$Q$297)+SUMIF('納品書明細F-15'!$B$9:$B$297,CONCATENATE(VLOOKUP(P$5,$G$1:$H$4,2,FALSE),$E108,1,0),'納品書明細F-15'!$Q$9:$Q$297)-VLOOKUP($E108,$E$9:$AF$92,$Q$7-$D$7,0)</f>
        <v>0</v>
      </c>
      <c r="R108" s="345"/>
      <c r="S108" s="122"/>
      <c r="T108" s="128"/>
      <c r="U108" s="345"/>
      <c r="V108" s="638">
        <f>COUNTIF('納品書明細F-15'!$B$9:$B$297,CONCATENATE(VLOOKUP(P$5,$G$1:$H$4,2,FALSE),$E108,9,1))-VLOOKUP($E108,$E$9:$AF$92,$V$7-$D$7,0)</f>
        <v>0</v>
      </c>
      <c r="W108" s="650">
        <f>SUMIF('納品書明細F-15'!$B$9:$B$297,CONCATENATE(VLOOKUP(P$5,$G$1:$H$4,2,FALSE),$E108,9,1),'納品書明細F-15'!$Q$9:$Q$297)+SUMIF('納品書明細F-15'!$B$9:$B$297,CONCATENATE(VLOOKUP(P$5,$G$1:$H$4,2,FALSE),$E108,9,0),'納品書明細F-15'!$Q$9:$Q$297)-VLOOKUP($E108,$E$9:$AF$92,$W$7-$D$7,0)</f>
        <v>0</v>
      </c>
      <c r="X108" s="69"/>
      <c r="Y108" s="646">
        <f>COUNTIF('納品書明細F-15'!$B$9:$B$297,CONCATENATE(VLOOKUP(Y$5,$G$1:$H$4,2,FALSE),$E108,1,1))-VLOOKUP($E108,$E$9:$AF$92,$Y$7-$D$7,0)</f>
        <v>0</v>
      </c>
      <c r="Z108" s="647">
        <f>SUMIF('納品書明細F-15'!$B$9:$B$297,CONCATENATE(VLOOKUP(Y$5,$G$1:$H$4,2,FALSE),$E108,1,1),'納品書明細F-15'!$Q$9:$Q$297)+SUMIF('納品書明細F-15'!$B$9:$B$297,CONCATENATE(VLOOKUP(Y$5,$G$1:$H$4,2,FALSE),$E108,1,0),'納品書明細F-15'!$Q$9:$Q$297)-VLOOKUP($E108,$E$9:$AF$92,$Z$7-$D$7,0)</f>
        <v>0</v>
      </c>
      <c r="AA108" s="345"/>
      <c r="AB108" s="122"/>
      <c r="AC108" s="128"/>
      <c r="AD108" s="345"/>
      <c r="AE108" s="638">
        <f>COUNTIF('納品書明細F-15'!$B$9:$B$297,CONCATENATE(VLOOKUP(Y$5,$G$1:$H$4,2,FALSE),$E108,9,1))-VLOOKUP($E108,$E$9:$AF$92,$AE$7-$D$7,0)</f>
        <v>0</v>
      </c>
      <c r="AF108" s="650">
        <f>SUMIF('納品書明細F-15'!$B$9:$B$297,CONCATENATE(VLOOKUP(Y$5,$G$1:$H$4,2,FALSE),$E108,9,1),'納品書明細F-15'!$Q$9:$Q$297)+SUMIF('納品書明細F-15'!$B$9:$B$297,CONCATENATE(VLOOKUP(Y$5,$G$1:$H$4,2,FALSE),$E108,9,0),'納品書明細F-15'!$Q$9:$Q$297)-VLOOKUP($E108,$E$9:$AF$92,$AF$7-$D$7,0)</f>
        <v>0</v>
      </c>
    </row>
    <row r="109" spans="1:32">
      <c r="A109" s="475" t="str">
        <f>IF(SUMIFS($G109:$AF109,$G$8:$AF$8,"金額",$G109:$AF109,"&gt;0")-SUMIFS($G109:$AF109,$G$8:$AF$8,"金額",$G109:$AF109,"&lt;0")&lt;=0,"",MAX($A$92:$A108)+1)</f>
        <v/>
      </c>
      <c r="B109" s="795"/>
      <c r="C109" s="245" t="str">
        <f t="shared" si="3"/>
        <v>経費</v>
      </c>
      <c r="D109" s="245">
        <v>17</v>
      </c>
      <c r="E109" s="593" t="str">
        <f>IF($F109&lt;&gt;"",INDEX(ﾏｽﾀ!$D$8:$D$124,MATCH(INDEX(ﾏｽﾀ!$N$8:$N$124,MATCH($F109,ﾏｽﾀ!$O$8:$O$124,0)),ﾏｽﾀ!$B$8:$B$124,0))&amp;"","")</f>
        <v>53000</v>
      </c>
      <c r="F109" s="594" t="str">
        <f>ﾏｽﾀ!$R24&amp;""</f>
        <v>株式会社エムアイシー</v>
      </c>
      <c r="G109" s="646">
        <f>COUNTIF('納品書明細F-15'!$B$9:$B$297,CONCATENATE(VLOOKUP(G$5,$G$1:$H$4,2,FALSE),$E109,1,1))-VLOOKUP($E109,$E$9:$AF$92,$G$7-$D$7,0)</f>
        <v>0</v>
      </c>
      <c r="H109" s="652">
        <f>SUMIF('納品書明細F-15'!$B$9:$B$297,CONCATENATE(VLOOKUP(G$5,$G$1:$H$4,2,FALSE),$E109,1,1),'納品書明細F-15'!$Q$9:$Q$297)+SUMIF('納品書明細F-15'!$B$9:$B$297,CONCATENATE(VLOOKUP(G$5,$G$1:$H$4,2,FALSE),$E109,1,0),'納品書明細F-15'!$Q$9:$Q$297)-VLOOKUP($E109,$E$9:$AF$92,$H$7-$D$7,0)</f>
        <v>0</v>
      </c>
      <c r="I109" s="345"/>
      <c r="J109" s="122"/>
      <c r="K109" s="359"/>
      <c r="L109" s="345"/>
      <c r="M109" s="638">
        <f>COUNTIF('納品書明細F-15'!$B$9:$B$297,CONCATENATE(VLOOKUP(G$5,$G$1:$H$4,2,FALSE),$E109,9,1))-VLOOKUP($E109,$E$9:$AF$92,$M$7-$D$7,0)</f>
        <v>0</v>
      </c>
      <c r="N109" s="640">
        <f>SUMIF('納品書明細F-15'!$B$9:$B$297,CONCATENATE(VLOOKUP(G$5,$G$1:$H$4,2,FALSE),$E109,9,1),'納品書明細F-15'!$Q$9:$Q$297)+SUMIF('納品書明細F-15'!$B$9:$B$297,CONCATENATE(VLOOKUP(G$5,$G$1:$H$4,2,FALSE),$E109,9,0),'納品書明細F-15'!$Q$9:$Q$297)-VLOOKUP($E109,$E$9:$AF$92,$N$7-$D$7,0)</f>
        <v>0</v>
      </c>
      <c r="O109" s="69"/>
      <c r="P109" s="646">
        <f>COUNTIF('納品書明細F-15'!$B$9:$B$297,CONCATENATE(VLOOKUP(P$5,$G$1:$H$4,2,FALSE),$E109,1,1))-VLOOKUP($E109,$E$9:$AF$92,$P$7-$D$7,0)</f>
        <v>0</v>
      </c>
      <c r="Q109" s="647">
        <f>SUMIF('納品書明細F-15'!$B$9:$B$297,CONCATENATE(VLOOKUP(P$5,$G$1:$H$4,2,FALSE),$E109,1,1),'納品書明細F-15'!$Q$9:$Q$297)+SUMIF('納品書明細F-15'!$B$9:$B$297,CONCATENATE(VLOOKUP(P$5,$G$1:$H$4,2,FALSE),$E109,1,0),'納品書明細F-15'!$Q$9:$Q$297)-VLOOKUP($E109,$E$9:$AF$92,$Q$7-$D$7,0)</f>
        <v>0</v>
      </c>
      <c r="R109" s="345"/>
      <c r="S109" s="122"/>
      <c r="T109" s="128"/>
      <c r="U109" s="345"/>
      <c r="V109" s="638">
        <f>COUNTIF('納品書明細F-15'!$B$9:$B$297,CONCATENATE(VLOOKUP(P$5,$G$1:$H$4,2,FALSE),$E109,9,1))-VLOOKUP($E109,$E$9:$AF$92,$V$7-$D$7,0)</f>
        <v>0</v>
      </c>
      <c r="W109" s="650">
        <f>SUMIF('納品書明細F-15'!$B$9:$B$297,CONCATENATE(VLOOKUP(P$5,$G$1:$H$4,2,FALSE),$E109,9,1),'納品書明細F-15'!$Q$9:$Q$297)+SUMIF('納品書明細F-15'!$B$9:$B$297,CONCATENATE(VLOOKUP(P$5,$G$1:$H$4,2,FALSE),$E109,9,0),'納品書明細F-15'!$Q$9:$Q$297)-VLOOKUP($E109,$E$9:$AF$92,$W$7-$D$7,0)</f>
        <v>0</v>
      </c>
      <c r="X109" s="69"/>
      <c r="Y109" s="646">
        <f>COUNTIF('納品書明細F-15'!$B$9:$B$297,CONCATENATE(VLOOKUP(Y$5,$G$1:$H$4,2,FALSE),$E109,1,1))-VLOOKUP($E109,$E$9:$AF$92,$Y$7-$D$7,0)</f>
        <v>0</v>
      </c>
      <c r="Z109" s="647">
        <f>SUMIF('納品書明細F-15'!$B$9:$B$297,CONCATENATE(VLOOKUP(Y$5,$G$1:$H$4,2,FALSE),$E109,1,1),'納品書明細F-15'!$Q$9:$Q$297)+SUMIF('納品書明細F-15'!$B$9:$B$297,CONCATENATE(VLOOKUP(Y$5,$G$1:$H$4,2,FALSE),$E109,1,0),'納品書明細F-15'!$Q$9:$Q$297)-VLOOKUP($E109,$E$9:$AF$92,$Z$7-$D$7,0)</f>
        <v>0</v>
      </c>
      <c r="AA109" s="345"/>
      <c r="AB109" s="122"/>
      <c r="AC109" s="128"/>
      <c r="AD109" s="345"/>
      <c r="AE109" s="638">
        <f>COUNTIF('納品書明細F-15'!$B$9:$B$297,CONCATENATE(VLOOKUP(Y$5,$G$1:$H$4,2,FALSE),$E109,9,1))-VLOOKUP($E109,$E$9:$AF$92,$AE$7-$D$7,0)</f>
        <v>0</v>
      </c>
      <c r="AF109" s="650">
        <f>SUMIF('納品書明細F-15'!$B$9:$B$297,CONCATENATE(VLOOKUP(Y$5,$G$1:$H$4,2,FALSE),$E109,9,1),'納品書明細F-15'!$Q$9:$Q$297)+SUMIF('納品書明細F-15'!$B$9:$B$297,CONCATENATE(VLOOKUP(Y$5,$G$1:$H$4,2,FALSE),$E109,9,0),'納品書明細F-15'!$Q$9:$Q$297)-VLOOKUP($E109,$E$9:$AF$92,$AF$7-$D$7,0)</f>
        <v>0</v>
      </c>
    </row>
    <row r="110" spans="1:32">
      <c r="A110" s="475" t="str">
        <f>IF(SUMIFS($G110:$AF110,$G$8:$AF$8,"金額",$G110:$AF110,"&gt;0")-SUMIFS($G110:$AF110,$G$8:$AF$8,"金額",$G110:$AF110,"&lt;0")&lt;=0,"",MAX($A$92:$A109)+1)</f>
        <v/>
      </c>
      <c r="B110" s="795"/>
      <c r="C110" s="245" t="str">
        <f t="shared" si="3"/>
        <v>経費</v>
      </c>
      <c r="D110" s="245">
        <v>18</v>
      </c>
      <c r="E110" s="593" t="str">
        <f>IF($F110&lt;&gt;"",INDEX(ﾏｽﾀ!$D$8:$D$124,MATCH(INDEX(ﾏｽﾀ!$N$8:$N$124,MATCH($F110,ﾏｽﾀ!$O$8:$O$124,0)),ﾏｽﾀ!$B$8:$B$124,0))&amp;"","")</f>
        <v>55000</v>
      </c>
      <c r="F110" s="594" t="str">
        <f>ﾏｽﾀ!$R25&amp;""</f>
        <v>株式会社ティーケー・ホールディングス　/　SPチーム</v>
      </c>
      <c r="G110" s="646">
        <f>COUNTIF('納品書明細F-15'!$B$9:$B$297,CONCATENATE(VLOOKUP(G$5,$G$1:$H$4,2,FALSE),$E110,1,1))-VLOOKUP($E110,$E$9:$AF$92,$G$7-$D$7,0)</f>
        <v>0</v>
      </c>
      <c r="H110" s="652">
        <f>SUMIF('納品書明細F-15'!$B$9:$B$297,CONCATENATE(VLOOKUP(G$5,$G$1:$H$4,2,FALSE),$E110,1,1),'納品書明細F-15'!$Q$9:$Q$297)+SUMIF('納品書明細F-15'!$B$9:$B$297,CONCATENATE(VLOOKUP(G$5,$G$1:$H$4,2,FALSE),$E110,1,0),'納品書明細F-15'!$Q$9:$Q$297)-VLOOKUP($E110,$E$9:$AF$92,$H$7-$D$7,0)</f>
        <v>0</v>
      </c>
      <c r="I110" s="345"/>
      <c r="J110" s="122"/>
      <c r="K110" s="359"/>
      <c r="L110" s="345"/>
      <c r="M110" s="638">
        <f>COUNTIF('納品書明細F-15'!$B$9:$B$297,CONCATENATE(VLOOKUP(G$5,$G$1:$H$4,2,FALSE),$E110,9,1))-VLOOKUP($E110,$E$9:$AF$92,$M$7-$D$7,0)</f>
        <v>0</v>
      </c>
      <c r="N110" s="640">
        <f>SUMIF('納品書明細F-15'!$B$9:$B$297,CONCATENATE(VLOOKUP(G$5,$G$1:$H$4,2,FALSE),$E110,9,1),'納品書明細F-15'!$Q$9:$Q$297)+SUMIF('納品書明細F-15'!$B$9:$B$297,CONCATENATE(VLOOKUP(G$5,$G$1:$H$4,2,FALSE),$E110,9,0),'納品書明細F-15'!$Q$9:$Q$297)-VLOOKUP($E110,$E$9:$AF$92,$N$7-$D$7,0)</f>
        <v>0</v>
      </c>
      <c r="O110" s="69"/>
      <c r="P110" s="646">
        <f>COUNTIF('納品書明細F-15'!$B$9:$B$297,CONCATENATE(VLOOKUP(P$5,$G$1:$H$4,2,FALSE),$E110,1,1))-VLOOKUP($E110,$E$9:$AF$92,$P$7-$D$7,0)</f>
        <v>0</v>
      </c>
      <c r="Q110" s="647">
        <f>SUMIF('納品書明細F-15'!$B$9:$B$297,CONCATENATE(VLOOKUP(P$5,$G$1:$H$4,2,FALSE),$E110,1,1),'納品書明細F-15'!$Q$9:$Q$297)+SUMIF('納品書明細F-15'!$B$9:$B$297,CONCATENATE(VLOOKUP(P$5,$G$1:$H$4,2,FALSE),$E110,1,0),'納品書明細F-15'!$Q$9:$Q$297)-VLOOKUP($E110,$E$9:$AF$92,$Q$7-$D$7,0)</f>
        <v>0</v>
      </c>
      <c r="R110" s="345"/>
      <c r="S110" s="122"/>
      <c r="T110" s="128"/>
      <c r="U110" s="345"/>
      <c r="V110" s="638">
        <f>COUNTIF('納品書明細F-15'!$B$9:$B$297,CONCATENATE(VLOOKUP(P$5,$G$1:$H$4,2,FALSE),$E110,9,1))-VLOOKUP($E110,$E$9:$AF$92,$V$7-$D$7,0)</f>
        <v>0</v>
      </c>
      <c r="W110" s="650">
        <f>SUMIF('納品書明細F-15'!$B$9:$B$297,CONCATENATE(VLOOKUP(P$5,$G$1:$H$4,2,FALSE),$E110,9,1),'納品書明細F-15'!$Q$9:$Q$297)+SUMIF('納品書明細F-15'!$B$9:$B$297,CONCATENATE(VLOOKUP(P$5,$G$1:$H$4,2,FALSE),$E110,9,0),'納品書明細F-15'!$Q$9:$Q$297)-VLOOKUP($E110,$E$9:$AF$92,$W$7-$D$7,0)</f>
        <v>0</v>
      </c>
      <c r="X110" s="69"/>
      <c r="Y110" s="646">
        <f>COUNTIF('納品書明細F-15'!$B$9:$B$297,CONCATENATE(VLOOKUP(Y$5,$G$1:$H$4,2,FALSE),$E110,1,1))-VLOOKUP($E110,$E$9:$AF$92,$Y$7-$D$7,0)</f>
        <v>0</v>
      </c>
      <c r="Z110" s="647">
        <f>SUMIF('納品書明細F-15'!$B$9:$B$297,CONCATENATE(VLOOKUP(Y$5,$G$1:$H$4,2,FALSE),$E110,1,1),'納品書明細F-15'!$Q$9:$Q$297)+SUMIF('納品書明細F-15'!$B$9:$B$297,CONCATENATE(VLOOKUP(Y$5,$G$1:$H$4,2,FALSE),$E110,1,0),'納品書明細F-15'!$Q$9:$Q$297)-VLOOKUP($E110,$E$9:$AF$92,$Z$7-$D$7,0)</f>
        <v>0</v>
      </c>
      <c r="AA110" s="345"/>
      <c r="AB110" s="122"/>
      <c r="AC110" s="128"/>
      <c r="AD110" s="345"/>
      <c r="AE110" s="638">
        <f>COUNTIF('納品書明細F-15'!$B$9:$B$297,CONCATENATE(VLOOKUP(Y$5,$G$1:$H$4,2,FALSE),$E110,9,1))-VLOOKUP($E110,$E$9:$AF$92,$AE$7-$D$7,0)</f>
        <v>0</v>
      </c>
      <c r="AF110" s="650">
        <f>SUMIF('納品書明細F-15'!$B$9:$B$297,CONCATENATE(VLOOKUP(Y$5,$G$1:$H$4,2,FALSE),$E110,9,1),'納品書明細F-15'!$Q$9:$Q$297)+SUMIF('納品書明細F-15'!$B$9:$B$297,CONCATENATE(VLOOKUP(Y$5,$G$1:$H$4,2,FALSE),$E110,9,0),'納品書明細F-15'!$Q$9:$Q$297)-VLOOKUP($E110,$E$9:$AF$92,$AF$7-$D$7,0)</f>
        <v>0</v>
      </c>
    </row>
    <row r="111" spans="1:32">
      <c r="A111" s="475" t="str">
        <f>IF(SUMIFS($G111:$AF111,$G$8:$AF$8,"金額",$G111:$AF111,"&gt;0")-SUMIFS($G111:$AF111,$G$8:$AF$8,"金額",$G111:$AF111,"&lt;0")&lt;=0,"",MAX($A$92:$A110)+1)</f>
        <v/>
      </c>
      <c r="B111" s="795"/>
      <c r="C111" s="245" t="str">
        <f t="shared" si="3"/>
        <v>経費</v>
      </c>
      <c r="D111" s="245">
        <v>19</v>
      </c>
      <c r="E111" s="593" t="str">
        <f>IF($F111&lt;&gt;"",INDEX(ﾏｽﾀ!$D$8:$D$124,MATCH(INDEX(ﾏｽﾀ!$N$8:$N$124,MATCH($F111,ﾏｽﾀ!$O$8:$O$124,0)),ﾏｽﾀ!$B$8:$B$124,0))&amp;"","")</f>
        <v>56000</v>
      </c>
      <c r="F111" s="594" t="str">
        <f>ﾏｽﾀ!$R26&amp;""</f>
        <v>株式会社ティーケー・ホールディングス　/　5000</v>
      </c>
      <c r="G111" s="646">
        <f>COUNTIF('納品書明細F-15'!$B$9:$B$297,CONCATENATE(VLOOKUP(G$5,$G$1:$H$4,2,FALSE),$E111,1,1))-VLOOKUP($E111,$E$9:$AF$92,$G$7-$D$7,0)</f>
        <v>0</v>
      </c>
      <c r="H111" s="652">
        <f>SUMIF('納品書明細F-15'!$B$9:$B$297,CONCATENATE(VLOOKUP(G$5,$G$1:$H$4,2,FALSE),$E111,1,1),'納品書明細F-15'!$Q$9:$Q$297)+SUMIF('納品書明細F-15'!$B$9:$B$297,CONCATENATE(VLOOKUP(G$5,$G$1:$H$4,2,FALSE),$E111,1,0),'納品書明細F-15'!$Q$9:$Q$297)-VLOOKUP($E111,$E$9:$AF$92,$H$7-$D$7,0)</f>
        <v>0</v>
      </c>
      <c r="I111" s="345"/>
      <c r="J111" s="122"/>
      <c r="K111" s="359"/>
      <c r="L111" s="345"/>
      <c r="M111" s="638">
        <f>COUNTIF('納品書明細F-15'!$B$9:$B$297,CONCATENATE(VLOOKUP(G$5,$G$1:$H$4,2,FALSE),$E111,9,1))-VLOOKUP($E111,$E$9:$AF$92,$M$7-$D$7,0)</f>
        <v>0</v>
      </c>
      <c r="N111" s="640">
        <f>SUMIF('納品書明細F-15'!$B$9:$B$297,CONCATENATE(VLOOKUP(G$5,$G$1:$H$4,2,FALSE),$E111,9,1),'納品書明細F-15'!$Q$9:$Q$297)+SUMIF('納品書明細F-15'!$B$9:$B$297,CONCATENATE(VLOOKUP(G$5,$G$1:$H$4,2,FALSE),$E111,9,0),'納品書明細F-15'!$Q$9:$Q$297)-VLOOKUP($E111,$E$9:$AF$92,$N$7-$D$7,0)</f>
        <v>0</v>
      </c>
      <c r="O111" s="69"/>
      <c r="P111" s="646">
        <f>COUNTIF('納品書明細F-15'!$B$9:$B$297,CONCATENATE(VLOOKUP(P$5,$G$1:$H$4,2,FALSE),$E111,1,1))-VLOOKUP($E111,$E$9:$AF$92,$P$7-$D$7,0)</f>
        <v>0</v>
      </c>
      <c r="Q111" s="647">
        <f>SUMIF('納品書明細F-15'!$B$9:$B$297,CONCATENATE(VLOOKUP(P$5,$G$1:$H$4,2,FALSE),$E111,1,1),'納品書明細F-15'!$Q$9:$Q$297)+SUMIF('納品書明細F-15'!$B$9:$B$297,CONCATENATE(VLOOKUP(P$5,$G$1:$H$4,2,FALSE),$E111,1,0),'納品書明細F-15'!$Q$9:$Q$297)-VLOOKUP($E111,$E$9:$AF$92,$Q$7-$D$7,0)</f>
        <v>0</v>
      </c>
      <c r="R111" s="345"/>
      <c r="S111" s="122"/>
      <c r="T111" s="128"/>
      <c r="U111" s="345"/>
      <c r="V111" s="638">
        <f>COUNTIF('納品書明細F-15'!$B$9:$B$297,CONCATENATE(VLOOKUP(P$5,$G$1:$H$4,2,FALSE),$E111,9,1))-VLOOKUP($E111,$E$9:$AF$92,$V$7-$D$7,0)</f>
        <v>0</v>
      </c>
      <c r="W111" s="650">
        <f>SUMIF('納品書明細F-15'!$B$9:$B$297,CONCATENATE(VLOOKUP(P$5,$G$1:$H$4,2,FALSE),$E111,9,1),'納品書明細F-15'!$Q$9:$Q$297)+SUMIF('納品書明細F-15'!$B$9:$B$297,CONCATENATE(VLOOKUP(P$5,$G$1:$H$4,2,FALSE),$E111,9,0),'納品書明細F-15'!$Q$9:$Q$297)-VLOOKUP($E111,$E$9:$AF$92,$W$7-$D$7,0)</f>
        <v>0</v>
      </c>
      <c r="X111" s="69"/>
      <c r="Y111" s="646">
        <f>COUNTIF('納品書明細F-15'!$B$9:$B$297,CONCATENATE(VLOOKUP(Y$5,$G$1:$H$4,2,FALSE),$E111,1,1))-VLOOKUP($E111,$E$9:$AF$92,$Y$7-$D$7,0)</f>
        <v>0</v>
      </c>
      <c r="Z111" s="647">
        <f>SUMIF('納品書明細F-15'!$B$9:$B$297,CONCATENATE(VLOOKUP(Y$5,$G$1:$H$4,2,FALSE),$E111,1,1),'納品書明細F-15'!$Q$9:$Q$297)+SUMIF('納品書明細F-15'!$B$9:$B$297,CONCATENATE(VLOOKUP(Y$5,$G$1:$H$4,2,FALSE),$E111,1,0),'納品書明細F-15'!$Q$9:$Q$297)-VLOOKUP($E111,$E$9:$AF$92,$Z$7-$D$7,0)</f>
        <v>0</v>
      </c>
      <c r="AA111" s="345"/>
      <c r="AB111" s="122"/>
      <c r="AC111" s="128"/>
      <c r="AD111" s="345"/>
      <c r="AE111" s="638">
        <f>COUNTIF('納品書明細F-15'!$B$9:$B$297,CONCATENATE(VLOOKUP(Y$5,$G$1:$H$4,2,FALSE),$E111,9,1))-VLOOKUP($E111,$E$9:$AF$92,$AE$7-$D$7,0)</f>
        <v>0</v>
      </c>
      <c r="AF111" s="650">
        <f>SUMIF('納品書明細F-15'!$B$9:$B$297,CONCATENATE(VLOOKUP(Y$5,$G$1:$H$4,2,FALSE),$E111,9,1),'納品書明細F-15'!$Q$9:$Q$297)+SUMIF('納品書明細F-15'!$B$9:$B$297,CONCATENATE(VLOOKUP(Y$5,$G$1:$H$4,2,FALSE),$E111,9,0),'納品書明細F-15'!$Q$9:$Q$297)-VLOOKUP($E111,$E$9:$AF$92,$AF$7-$D$7,0)</f>
        <v>0</v>
      </c>
    </row>
    <row r="112" spans="1:32">
      <c r="A112" s="475" t="str">
        <f>IF(SUMIFS($G112:$AF112,$G$8:$AF$8,"金額",$G112:$AF112,"&gt;0")-SUMIFS($G112:$AF112,$G$8:$AF$8,"金額",$G112:$AF112,"&lt;0")&lt;=0,"",MAX($A$92:$A111)+1)</f>
        <v/>
      </c>
      <c r="B112" s="795"/>
      <c r="C112" s="245" t="str">
        <f t="shared" si="3"/>
        <v>経費</v>
      </c>
      <c r="D112" s="245">
        <v>20</v>
      </c>
      <c r="E112" s="593" t="str">
        <f>IF($F112&lt;&gt;"",INDEX(ﾏｽﾀ!$D$8:$D$124,MATCH(INDEX(ﾏｽﾀ!$N$8:$N$124,MATCH($F112,ﾏｽﾀ!$O$8:$O$124,0)),ﾏｽﾀ!$B$8:$B$124,0))&amp;"","")</f>
        <v>57000</v>
      </c>
      <c r="F112" s="594" t="str">
        <f>ﾏｽﾀ!$R27&amp;""</f>
        <v>株式会社ティーケーホールディングス/経費</v>
      </c>
      <c r="G112" s="646">
        <f>COUNTIF('納品書明細F-15'!$B$9:$B$297,CONCATENATE(VLOOKUP(G$5,$G$1:$H$4,2,FALSE),$E112,1,1))-VLOOKUP($E112,$E$9:$AF$92,$G$7-$D$7,0)</f>
        <v>0</v>
      </c>
      <c r="H112" s="652">
        <f>SUMIF('納品書明細F-15'!$B$9:$B$297,CONCATENATE(VLOOKUP(G$5,$G$1:$H$4,2,FALSE),$E112,1,1),'納品書明細F-15'!$Q$9:$Q$297)+SUMIF('納品書明細F-15'!$B$9:$B$297,CONCATENATE(VLOOKUP(G$5,$G$1:$H$4,2,FALSE),$E112,1,0),'納品書明細F-15'!$Q$9:$Q$297)-VLOOKUP($E112,$E$9:$AF$92,$H$7-$D$7,0)</f>
        <v>0</v>
      </c>
      <c r="I112" s="345"/>
      <c r="J112" s="122"/>
      <c r="K112" s="359"/>
      <c r="L112" s="345"/>
      <c r="M112" s="638">
        <f>COUNTIF('納品書明細F-15'!$B$9:$B$297,CONCATENATE(VLOOKUP(G$5,$G$1:$H$4,2,FALSE),$E112,9,1))-VLOOKUP($E112,$E$9:$AF$92,$M$7-$D$7,0)</f>
        <v>0</v>
      </c>
      <c r="N112" s="640">
        <f>SUMIF('納品書明細F-15'!$B$9:$B$297,CONCATENATE(VLOOKUP(G$5,$G$1:$H$4,2,FALSE),$E112,9,1),'納品書明細F-15'!$Q$9:$Q$297)+SUMIF('納品書明細F-15'!$B$9:$B$297,CONCATENATE(VLOOKUP(G$5,$G$1:$H$4,2,FALSE),$E112,9,0),'納品書明細F-15'!$Q$9:$Q$297)-VLOOKUP($E112,$E$9:$AF$92,$N$7-$D$7,0)</f>
        <v>0</v>
      </c>
      <c r="O112" s="69"/>
      <c r="P112" s="646">
        <f>COUNTIF('納品書明細F-15'!$B$9:$B$297,CONCATENATE(VLOOKUP(P$5,$G$1:$H$4,2,FALSE),$E112,1,1))-VLOOKUP($E112,$E$9:$AF$92,$P$7-$D$7,0)</f>
        <v>0</v>
      </c>
      <c r="Q112" s="647">
        <f>SUMIF('納品書明細F-15'!$B$9:$B$297,CONCATENATE(VLOOKUP(P$5,$G$1:$H$4,2,FALSE),$E112,1,1),'納品書明細F-15'!$Q$9:$Q$297)+SUMIF('納品書明細F-15'!$B$9:$B$297,CONCATENATE(VLOOKUP(P$5,$G$1:$H$4,2,FALSE),$E112,1,0),'納品書明細F-15'!$Q$9:$Q$297)-VLOOKUP($E112,$E$9:$AF$92,$Q$7-$D$7,0)</f>
        <v>0</v>
      </c>
      <c r="R112" s="345"/>
      <c r="S112" s="122"/>
      <c r="T112" s="128"/>
      <c r="U112" s="345"/>
      <c r="V112" s="638">
        <f>COUNTIF('納品書明細F-15'!$B$9:$B$297,CONCATENATE(VLOOKUP(P$5,$G$1:$H$4,2,FALSE),$E112,9,1))-VLOOKUP($E112,$E$9:$AF$92,$V$7-$D$7,0)</f>
        <v>0</v>
      </c>
      <c r="W112" s="650">
        <f>SUMIF('納品書明細F-15'!$B$9:$B$297,CONCATENATE(VLOOKUP(P$5,$G$1:$H$4,2,FALSE),$E112,9,1),'納品書明細F-15'!$Q$9:$Q$297)+SUMIF('納品書明細F-15'!$B$9:$B$297,CONCATENATE(VLOOKUP(P$5,$G$1:$H$4,2,FALSE),$E112,9,0),'納品書明細F-15'!$Q$9:$Q$297)-VLOOKUP($E112,$E$9:$AF$92,$W$7-$D$7,0)</f>
        <v>0</v>
      </c>
      <c r="X112" s="69"/>
      <c r="Y112" s="646">
        <f>COUNTIF('納品書明細F-15'!$B$9:$B$297,CONCATENATE(VLOOKUP(Y$5,$G$1:$H$4,2,FALSE),$E112,1,1))-VLOOKUP($E112,$E$9:$AF$92,$Y$7-$D$7,0)</f>
        <v>0</v>
      </c>
      <c r="Z112" s="647">
        <f>SUMIF('納品書明細F-15'!$B$9:$B$297,CONCATENATE(VLOOKUP(Y$5,$G$1:$H$4,2,FALSE),$E112,1,1),'納品書明細F-15'!$Q$9:$Q$297)+SUMIF('納品書明細F-15'!$B$9:$B$297,CONCATENATE(VLOOKUP(Y$5,$G$1:$H$4,2,FALSE),$E112,1,0),'納品書明細F-15'!$Q$9:$Q$297)-VLOOKUP($E112,$E$9:$AF$92,$Z$7-$D$7,0)</f>
        <v>0</v>
      </c>
      <c r="AA112" s="345"/>
      <c r="AB112" s="122"/>
      <c r="AC112" s="128"/>
      <c r="AD112" s="345"/>
      <c r="AE112" s="638">
        <f>COUNTIF('納品書明細F-15'!$B$9:$B$297,CONCATENATE(VLOOKUP(Y$5,$G$1:$H$4,2,FALSE),$E112,9,1))-VLOOKUP($E112,$E$9:$AF$92,$AE$7-$D$7,0)</f>
        <v>0</v>
      </c>
      <c r="AF112" s="650">
        <f>SUMIF('納品書明細F-15'!$B$9:$B$297,CONCATENATE(VLOOKUP(Y$5,$G$1:$H$4,2,FALSE),$E112,9,1),'納品書明細F-15'!$Q$9:$Q$297)+SUMIF('納品書明細F-15'!$B$9:$B$297,CONCATENATE(VLOOKUP(Y$5,$G$1:$H$4,2,FALSE),$E112,9,0),'納品書明細F-15'!$Q$9:$Q$297)-VLOOKUP($E112,$E$9:$AF$92,$AF$7-$D$7,0)</f>
        <v>0</v>
      </c>
    </row>
    <row r="113" spans="1:32">
      <c r="A113" s="475" t="str">
        <f>IF(SUMIFS($G113:$AF113,$G$8:$AF$8,"金額",$G113:$AF113,"&gt;0")-SUMIFS($G113:$AF113,$G$8:$AF$8,"金額",$G113:$AF113,"&lt;0")&lt;=0,"",MAX($A$92:$A112)+1)</f>
        <v/>
      </c>
      <c r="B113" s="795"/>
      <c r="C113" s="245" t="str">
        <f t="shared" si="3"/>
        <v>経費</v>
      </c>
      <c r="D113" s="245">
        <v>21</v>
      </c>
      <c r="E113" s="593" t="str">
        <f>IF($F113&lt;&gt;"",INDEX(ﾏｽﾀ!$D$8:$D$124,MATCH(INDEX(ﾏｽﾀ!$N$8:$N$124,MATCH($F113,ﾏｽﾀ!$O$8:$O$124,0)),ﾏｽﾀ!$B$8:$B$124,0))&amp;"","")</f>
        <v>58000</v>
      </c>
      <c r="F113" s="594" t="str">
        <f>ﾏｽﾀ!$R28&amp;""</f>
        <v>バンダイビジュアル株式会社</v>
      </c>
      <c r="G113" s="646">
        <f>COUNTIF('納品書明細F-15'!$B$9:$B$297,CONCATENATE(VLOOKUP(G$5,$G$1:$H$4,2,FALSE),$E113,1,1))-VLOOKUP($E113,$E$9:$AF$92,$G$7-$D$7,0)</f>
        <v>0</v>
      </c>
      <c r="H113" s="652">
        <f>SUMIF('納品書明細F-15'!$B$9:$B$297,CONCATENATE(VLOOKUP(G$5,$G$1:$H$4,2,FALSE),$E113,1,1),'納品書明細F-15'!$Q$9:$Q$297)+SUMIF('納品書明細F-15'!$B$9:$B$297,CONCATENATE(VLOOKUP(G$5,$G$1:$H$4,2,FALSE),$E113,1,0),'納品書明細F-15'!$Q$9:$Q$297)-VLOOKUP($E113,$E$9:$AF$92,$H$7-$D$7,0)</f>
        <v>0</v>
      </c>
      <c r="I113" s="345"/>
      <c r="J113" s="122"/>
      <c r="K113" s="359"/>
      <c r="L113" s="345"/>
      <c r="M113" s="638">
        <f>COUNTIF('納品書明細F-15'!$B$9:$B$297,CONCATENATE(VLOOKUP(G$5,$G$1:$H$4,2,FALSE),$E113,9,1))-VLOOKUP($E113,$E$9:$AF$92,$M$7-$D$7,0)</f>
        <v>0</v>
      </c>
      <c r="N113" s="640">
        <f>SUMIF('納品書明細F-15'!$B$9:$B$297,CONCATENATE(VLOOKUP(G$5,$G$1:$H$4,2,FALSE),$E113,9,1),'納品書明細F-15'!$Q$9:$Q$297)+SUMIF('納品書明細F-15'!$B$9:$B$297,CONCATENATE(VLOOKUP(G$5,$G$1:$H$4,2,FALSE),$E113,9,0),'納品書明細F-15'!$Q$9:$Q$297)-VLOOKUP($E113,$E$9:$AF$92,$N$7-$D$7,0)</f>
        <v>0</v>
      </c>
      <c r="O113" s="69"/>
      <c r="P113" s="646">
        <f>COUNTIF('納品書明細F-15'!$B$9:$B$297,CONCATENATE(VLOOKUP(P$5,$G$1:$H$4,2,FALSE),$E113,1,1))-VLOOKUP($E113,$E$9:$AF$92,$P$7-$D$7,0)</f>
        <v>0</v>
      </c>
      <c r="Q113" s="647">
        <f>SUMIF('納品書明細F-15'!$B$9:$B$297,CONCATENATE(VLOOKUP(P$5,$G$1:$H$4,2,FALSE),$E113,1,1),'納品書明細F-15'!$Q$9:$Q$297)+SUMIF('納品書明細F-15'!$B$9:$B$297,CONCATENATE(VLOOKUP(P$5,$G$1:$H$4,2,FALSE),$E113,1,0),'納品書明細F-15'!$Q$9:$Q$297)-VLOOKUP($E113,$E$9:$AF$92,$Q$7-$D$7,0)</f>
        <v>0</v>
      </c>
      <c r="R113" s="345"/>
      <c r="S113" s="122"/>
      <c r="T113" s="128"/>
      <c r="U113" s="345"/>
      <c r="V113" s="638">
        <f>COUNTIF('納品書明細F-15'!$B$9:$B$297,CONCATENATE(VLOOKUP(P$5,$G$1:$H$4,2,FALSE),$E113,9,1))-VLOOKUP($E113,$E$9:$AF$92,$V$7-$D$7,0)</f>
        <v>0</v>
      </c>
      <c r="W113" s="650">
        <f>SUMIF('納品書明細F-15'!$B$9:$B$297,CONCATENATE(VLOOKUP(P$5,$G$1:$H$4,2,FALSE),$E113,9,1),'納品書明細F-15'!$Q$9:$Q$297)+SUMIF('納品書明細F-15'!$B$9:$B$297,CONCATENATE(VLOOKUP(P$5,$G$1:$H$4,2,FALSE),$E113,9,0),'納品書明細F-15'!$Q$9:$Q$297)-VLOOKUP($E113,$E$9:$AF$92,$W$7-$D$7,0)</f>
        <v>0</v>
      </c>
      <c r="X113" s="69"/>
      <c r="Y113" s="646">
        <f>COUNTIF('納品書明細F-15'!$B$9:$B$297,CONCATENATE(VLOOKUP(Y$5,$G$1:$H$4,2,FALSE),$E113,1,1))-VLOOKUP($E113,$E$9:$AF$92,$Y$7-$D$7,0)</f>
        <v>0</v>
      </c>
      <c r="Z113" s="647">
        <f>SUMIF('納品書明細F-15'!$B$9:$B$297,CONCATENATE(VLOOKUP(Y$5,$G$1:$H$4,2,FALSE),$E113,1,1),'納品書明細F-15'!$Q$9:$Q$297)+SUMIF('納品書明細F-15'!$B$9:$B$297,CONCATENATE(VLOOKUP(Y$5,$G$1:$H$4,2,FALSE),$E113,1,0),'納品書明細F-15'!$Q$9:$Q$297)-VLOOKUP($E113,$E$9:$AF$92,$Z$7-$D$7,0)</f>
        <v>0</v>
      </c>
      <c r="AA113" s="345"/>
      <c r="AB113" s="122"/>
      <c r="AC113" s="128"/>
      <c r="AD113" s="345"/>
      <c r="AE113" s="638">
        <f>COUNTIF('納品書明細F-15'!$B$9:$B$297,CONCATENATE(VLOOKUP(Y$5,$G$1:$H$4,2,FALSE),$E113,9,1))-VLOOKUP($E113,$E$9:$AF$92,$AE$7-$D$7,0)</f>
        <v>0</v>
      </c>
      <c r="AF113" s="650">
        <f>SUMIF('納品書明細F-15'!$B$9:$B$297,CONCATENATE(VLOOKUP(Y$5,$G$1:$H$4,2,FALSE),$E113,9,1),'納品書明細F-15'!$Q$9:$Q$297)+SUMIF('納品書明細F-15'!$B$9:$B$297,CONCATENATE(VLOOKUP(Y$5,$G$1:$H$4,2,FALSE),$E113,9,0),'納品書明細F-15'!$Q$9:$Q$297)-VLOOKUP($E113,$E$9:$AF$92,$AF$7-$D$7,0)</f>
        <v>0</v>
      </c>
    </row>
    <row r="114" spans="1:32">
      <c r="A114" s="475" t="str">
        <f>IF(SUMIFS($G114:$AF114,$G$8:$AF$8,"金額",$G114:$AF114,"&gt;0")-SUMIFS($G114:$AF114,$G$8:$AF$8,"金額",$G114:$AF114,"&lt;0")&lt;=0,"",MAX($A$92:$A113)+1)</f>
        <v/>
      </c>
      <c r="B114" s="795"/>
      <c r="C114" s="245" t="str">
        <f t="shared" si="3"/>
        <v>経費</v>
      </c>
      <c r="D114" s="245">
        <v>22</v>
      </c>
      <c r="E114" s="593" t="str">
        <f>IF($F114&lt;&gt;"",INDEX(ﾏｽﾀ!$D$8:$D$124,MATCH(INDEX(ﾏｽﾀ!$N$8:$N$124,MATCH($F114,ﾏｽﾀ!$O$8:$O$124,0)),ﾏｽﾀ!$B$8:$B$124,0))&amp;"","")</f>
        <v>59000</v>
      </c>
      <c r="F114" s="594" t="str">
        <f>ﾏｽﾀ!$R29&amp;""</f>
        <v>株式会社フジトーイ</v>
      </c>
      <c r="G114" s="646">
        <f>COUNTIF('納品書明細F-15'!$B$9:$B$297,CONCATENATE(VLOOKUP(G$5,$G$1:$H$4,2,FALSE),$E114,1,1))-VLOOKUP($E114,$E$9:$AF$92,$G$7-$D$7,0)</f>
        <v>0</v>
      </c>
      <c r="H114" s="652">
        <f>SUMIF('納品書明細F-15'!$B$9:$B$297,CONCATENATE(VLOOKUP(G$5,$G$1:$H$4,2,FALSE),$E114,1,1),'納品書明細F-15'!$Q$9:$Q$297)+SUMIF('納品書明細F-15'!$B$9:$B$297,CONCATENATE(VLOOKUP(G$5,$G$1:$H$4,2,FALSE),$E114,1,0),'納品書明細F-15'!$Q$9:$Q$297)-VLOOKUP($E114,$E$9:$AF$92,$H$7-$D$7,0)</f>
        <v>0</v>
      </c>
      <c r="I114" s="345"/>
      <c r="J114" s="122"/>
      <c r="K114" s="359"/>
      <c r="L114" s="345"/>
      <c r="M114" s="638">
        <f>COUNTIF('納品書明細F-15'!$B$9:$B$297,CONCATENATE(VLOOKUP(G$5,$G$1:$H$4,2,FALSE),$E114,9,1))-VLOOKUP($E114,$E$9:$AF$92,$M$7-$D$7,0)</f>
        <v>0</v>
      </c>
      <c r="N114" s="640">
        <f>SUMIF('納品書明細F-15'!$B$9:$B$297,CONCATENATE(VLOOKUP(G$5,$G$1:$H$4,2,FALSE),$E114,9,1),'納品書明細F-15'!$Q$9:$Q$297)+SUMIF('納品書明細F-15'!$B$9:$B$297,CONCATENATE(VLOOKUP(G$5,$G$1:$H$4,2,FALSE),$E114,9,0),'納品書明細F-15'!$Q$9:$Q$297)-VLOOKUP($E114,$E$9:$AF$92,$N$7-$D$7,0)</f>
        <v>0</v>
      </c>
      <c r="O114" s="69"/>
      <c r="P114" s="646">
        <f>COUNTIF('納品書明細F-15'!$B$9:$B$297,CONCATENATE(VLOOKUP(P$5,$G$1:$H$4,2,FALSE),$E114,1,1))-VLOOKUP($E114,$E$9:$AF$92,$P$7-$D$7,0)</f>
        <v>0</v>
      </c>
      <c r="Q114" s="647">
        <f>SUMIF('納品書明細F-15'!$B$9:$B$297,CONCATENATE(VLOOKUP(P$5,$G$1:$H$4,2,FALSE),$E114,1,1),'納品書明細F-15'!$Q$9:$Q$297)+SUMIF('納品書明細F-15'!$B$9:$B$297,CONCATENATE(VLOOKUP(P$5,$G$1:$H$4,2,FALSE),$E114,1,0),'納品書明細F-15'!$Q$9:$Q$297)-VLOOKUP($E114,$E$9:$AF$92,$Q$7-$D$7,0)</f>
        <v>0</v>
      </c>
      <c r="R114" s="345"/>
      <c r="S114" s="122"/>
      <c r="T114" s="128"/>
      <c r="U114" s="345"/>
      <c r="V114" s="638">
        <f>COUNTIF('納品書明細F-15'!$B$9:$B$297,CONCATENATE(VLOOKUP(P$5,$G$1:$H$4,2,FALSE),$E114,9,1))-VLOOKUP($E114,$E$9:$AF$92,$V$7-$D$7,0)</f>
        <v>0</v>
      </c>
      <c r="W114" s="650">
        <f>SUMIF('納品書明細F-15'!$B$9:$B$297,CONCATENATE(VLOOKUP(P$5,$G$1:$H$4,2,FALSE),$E114,9,1),'納品書明細F-15'!$Q$9:$Q$297)+SUMIF('納品書明細F-15'!$B$9:$B$297,CONCATENATE(VLOOKUP(P$5,$G$1:$H$4,2,FALSE),$E114,9,0),'納品書明細F-15'!$Q$9:$Q$297)-VLOOKUP($E114,$E$9:$AF$92,$W$7-$D$7,0)</f>
        <v>0</v>
      </c>
      <c r="X114" s="69"/>
      <c r="Y114" s="646">
        <f>COUNTIF('納品書明細F-15'!$B$9:$B$297,CONCATENATE(VLOOKUP(Y$5,$G$1:$H$4,2,FALSE),$E114,1,1))-VLOOKUP($E114,$E$9:$AF$92,$Y$7-$D$7,0)</f>
        <v>0</v>
      </c>
      <c r="Z114" s="647">
        <f>SUMIF('納品書明細F-15'!$B$9:$B$297,CONCATENATE(VLOOKUP(Y$5,$G$1:$H$4,2,FALSE),$E114,1,1),'納品書明細F-15'!$Q$9:$Q$297)+SUMIF('納品書明細F-15'!$B$9:$B$297,CONCATENATE(VLOOKUP(Y$5,$G$1:$H$4,2,FALSE),$E114,1,0),'納品書明細F-15'!$Q$9:$Q$297)-VLOOKUP($E114,$E$9:$AF$92,$Z$7-$D$7,0)</f>
        <v>0</v>
      </c>
      <c r="AA114" s="345"/>
      <c r="AB114" s="122"/>
      <c r="AC114" s="128"/>
      <c r="AD114" s="345"/>
      <c r="AE114" s="638">
        <f>COUNTIF('納品書明細F-15'!$B$9:$B$297,CONCATENATE(VLOOKUP(Y$5,$G$1:$H$4,2,FALSE),$E114,9,1))-VLOOKUP($E114,$E$9:$AF$92,$AE$7-$D$7,0)</f>
        <v>0</v>
      </c>
      <c r="AF114" s="650">
        <f>SUMIF('納品書明細F-15'!$B$9:$B$297,CONCATENATE(VLOOKUP(Y$5,$G$1:$H$4,2,FALSE),$E114,9,1),'納品書明細F-15'!$Q$9:$Q$297)+SUMIF('納品書明細F-15'!$B$9:$B$297,CONCATENATE(VLOOKUP(Y$5,$G$1:$H$4,2,FALSE),$E114,9,0),'納品書明細F-15'!$Q$9:$Q$297)-VLOOKUP($E114,$E$9:$AF$92,$AF$7-$D$7,0)</f>
        <v>0</v>
      </c>
    </row>
    <row r="115" spans="1:32">
      <c r="A115" s="475" t="str">
        <f>IF(SUMIFS($G115:$AF115,$G$8:$AF$8,"金額",$G115:$AF115,"&gt;0")-SUMIFS($G115:$AF115,$G$8:$AF$8,"金額",$G115:$AF115,"&lt;0")&lt;=0,"",MAX($A$92:$A114)+1)</f>
        <v/>
      </c>
      <c r="B115" s="795"/>
      <c r="C115" s="245" t="str">
        <f t="shared" si="3"/>
        <v>経費</v>
      </c>
      <c r="D115" s="245">
        <v>23</v>
      </c>
      <c r="E115" s="593" t="str">
        <f>IF($F115&lt;&gt;"",INDEX(ﾏｽﾀ!$D$8:$D$124,MATCH(INDEX(ﾏｽﾀ!$N$8:$N$124,MATCH($F115,ﾏｽﾀ!$O$8:$O$124,0)),ﾏｽﾀ!$B$8:$B$124,0))&amp;"","")</f>
        <v>60000</v>
      </c>
      <c r="F115" s="594" t="str">
        <f>ﾏｽﾀ!$R30&amp;""</f>
        <v>株式会社プレジャーキャスト</v>
      </c>
      <c r="G115" s="646">
        <f>COUNTIF('納品書明細F-15'!$B$9:$B$297,CONCATENATE(VLOOKUP(G$5,$G$1:$H$4,2,FALSE),$E115,1,1))-VLOOKUP($E115,$E$9:$AF$92,$G$7-$D$7,0)</f>
        <v>0</v>
      </c>
      <c r="H115" s="652">
        <f>SUMIF('納品書明細F-15'!$B$9:$B$297,CONCATENATE(VLOOKUP(G$5,$G$1:$H$4,2,FALSE),$E115,1,1),'納品書明細F-15'!$Q$9:$Q$297)+SUMIF('納品書明細F-15'!$B$9:$B$297,CONCATENATE(VLOOKUP(G$5,$G$1:$H$4,2,FALSE),$E115,1,0),'納品書明細F-15'!$Q$9:$Q$297)-VLOOKUP($E115,$E$9:$AF$92,$H$7-$D$7,0)</f>
        <v>0</v>
      </c>
      <c r="I115" s="345"/>
      <c r="J115" s="122"/>
      <c r="K115" s="359"/>
      <c r="L115" s="345"/>
      <c r="M115" s="638">
        <f>COUNTIF('納品書明細F-15'!$B$9:$B$297,CONCATENATE(VLOOKUP(G$5,$G$1:$H$4,2,FALSE),$E115,9,1))-VLOOKUP($E115,$E$9:$AF$92,$M$7-$D$7,0)</f>
        <v>0</v>
      </c>
      <c r="N115" s="640">
        <f>SUMIF('納品書明細F-15'!$B$9:$B$297,CONCATENATE(VLOOKUP(G$5,$G$1:$H$4,2,FALSE),$E115,9,1),'納品書明細F-15'!$Q$9:$Q$297)+SUMIF('納品書明細F-15'!$B$9:$B$297,CONCATENATE(VLOOKUP(G$5,$G$1:$H$4,2,FALSE),$E115,9,0),'納品書明細F-15'!$Q$9:$Q$297)-VLOOKUP($E115,$E$9:$AF$92,$N$7-$D$7,0)</f>
        <v>0</v>
      </c>
      <c r="O115" s="69"/>
      <c r="P115" s="646">
        <f>COUNTIF('納品書明細F-15'!$B$9:$B$297,CONCATENATE(VLOOKUP(P$5,$G$1:$H$4,2,FALSE),$E115,1,1))-VLOOKUP($E115,$E$9:$AF$92,$P$7-$D$7,0)</f>
        <v>0</v>
      </c>
      <c r="Q115" s="647">
        <f>SUMIF('納品書明細F-15'!$B$9:$B$297,CONCATENATE(VLOOKUP(P$5,$G$1:$H$4,2,FALSE),$E115,1,1),'納品書明細F-15'!$Q$9:$Q$297)+SUMIF('納品書明細F-15'!$B$9:$B$297,CONCATENATE(VLOOKUP(P$5,$G$1:$H$4,2,FALSE),$E115,1,0),'納品書明細F-15'!$Q$9:$Q$297)-VLOOKUP($E115,$E$9:$AF$92,$Q$7-$D$7,0)</f>
        <v>0</v>
      </c>
      <c r="R115" s="345"/>
      <c r="S115" s="122"/>
      <c r="T115" s="128"/>
      <c r="U115" s="345"/>
      <c r="V115" s="638">
        <f>COUNTIF('納品書明細F-15'!$B$9:$B$297,CONCATENATE(VLOOKUP(P$5,$G$1:$H$4,2,FALSE),$E115,9,1))-VLOOKUP($E115,$E$9:$AF$92,$V$7-$D$7,0)</f>
        <v>0</v>
      </c>
      <c r="W115" s="650">
        <f>SUMIF('納品書明細F-15'!$B$9:$B$297,CONCATENATE(VLOOKUP(P$5,$G$1:$H$4,2,FALSE),$E115,9,1),'納品書明細F-15'!$Q$9:$Q$297)+SUMIF('納品書明細F-15'!$B$9:$B$297,CONCATENATE(VLOOKUP(P$5,$G$1:$H$4,2,FALSE),$E115,9,0),'納品書明細F-15'!$Q$9:$Q$297)-VLOOKUP($E115,$E$9:$AF$92,$W$7-$D$7,0)</f>
        <v>0</v>
      </c>
      <c r="X115" s="69"/>
      <c r="Y115" s="646">
        <f>COUNTIF('納品書明細F-15'!$B$9:$B$297,CONCATENATE(VLOOKUP(Y$5,$G$1:$H$4,2,FALSE),$E115,1,1))-VLOOKUP($E115,$E$9:$AF$92,$Y$7-$D$7,0)</f>
        <v>0</v>
      </c>
      <c r="Z115" s="647">
        <f>SUMIF('納品書明細F-15'!$B$9:$B$297,CONCATENATE(VLOOKUP(Y$5,$G$1:$H$4,2,FALSE),$E115,1,1),'納品書明細F-15'!$Q$9:$Q$297)+SUMIF('納品書明細F-15'!$B$9:$B$297,CONCATENATE(VLOOKUP(Y$5,$G$1:$H$4,2,FALSE),$E115,1,0),'納品書明細F-15'!$Q$9:$Q$297)-VLOOKUP($E115,$E$9:$AF$92,$Z$7-$D$7,0)</f>
        <v>0</v>
      </c>
      <c r="AA115" s="345"/>
      <c r="AB115" s="122"/>
      <c r="AC115" s="128"/>
      <c r="AD115" s="345"/>
      <c r="AE115" s="638">
        <f>COUNTIF('納品書明細F-15'!$B$9:$B$297,CONCATENATE(VLOOKUP(Y$5,$G$1:$H$4,2,FALSE),$E115,9,1))-VLOOKUP($E115,$E$9:$AF$92,$AE$7-$D$7,0)</f>
        <v>0</v>
      </c>
      <c r="AF115" s="650">
        <f>SUMIF('納品書明細F-15'!$B$9:$B$297,CONCATENATE(VLOOKUP(Y$5,$G$1:$H$4,2,FALSE),$E115,9,1),'納品書明細F-15'!$Q$9:$Q$297)+SUMIF('納品書明細F-15'!$B$9:$B$297,CONCATENATE(VLOOKUP(Y$5,$G$1:$H$4,2,FALSE),$E115,9,0),'納品書明細F-15'!$Q$9:$Q$297)-VLOOKUP($E115,$E$9:$AF$92,$AF$7-$D$7,0)</f>
        <v>0</v>
      </c>
    </row>
    <row r="116" spans="1:32">
      <c r="A116" s="475" t="str">
        <f>IF(SUMIFS($G116:$AF116,$G$8:$AF$8,"金額",$G116:$AF116,"&gt;0")-SUMIFS($G116:$AF116,$G$8:$AF$8,"金額",$G116:$AF116,"&lt;0")&lt;=0,"",MAX($A$92:$A115)+1)</f>
        <v/>
      </c>
      <c r="B116" s="795"/>
      <c r="C116" s="245" t="str">
        <f t="shared" si="3"/>
        <v>経費</v>
      </c>
      <c r="D116" s="245">
        <v>24</v>
      </c>
      <c r="E116" s="593" t="str">
        <f>IF($F116&lt;&gt;"",INDEX(ﾏｽﾀ!$D$8:$D$124,MATCH(INDEX(ﾏｽﾀ!$N$8:$N$124,MATCH($F116,ﾏｽﾀ!$O$8:$O$124,0)),ﾏｽﾀ!$B$8:$B$124,0))&amp;"","")</f>
        <v>61000</v>
      </c>
      <c r="F116" s="594" t="str">
        <f>ﾏｽﾀ!$R31&amp;""</f>
        <v>株式会社アスキー・メディアワークス</v>
      </c>
      <c r="G116" s="646">
        <f>COUNTIF('納品書明細F-15'!$B$9:$B$297,CONCATENATE(VLOOKUP(G$5,$G$1:$H$4,2,FALSE),$E116,1,1))-VLOOKUP($E116,$E$9:$AF$92,$G$7-$D$7,0)</f>
        <v>0</v>
      </c>
      <c r="H116" s="652">
        <f>SUMIF('納品書明細F-15'!$B$9:$B$297,CONCATENATE(VLOOKUP(G$5,$G$1:$H$4,2,FALSE),$E116,1,1),'納品書明細F-15'!$Q$9:$Q$297)+SUMIF('納品書明細F-15'!$B$9:$B$297,CONCATENATE(VLOOKUP(G$5,$G$1:$H$4,2,FALSE),$E116,1,0),'納品書明細F-15'!$Q$9:$Q$297)-VLOOKUP($E116,$E$9:$AF$92,$H$7-$D$7,0)</f>
        <v>0</v>
      </c>
      <c r="I116" s="345"/>
      <c r="J116" s="122"/>
      <c r="K116" s="359"/>
      <c r="L116" s="345"/>
      <c r="M116" s="638">
        <f>COUNTIF('納品書明細F-15'!$B$9:$B$297,CONCATENATE(VLOOKUP(G$5,$G$1:$H$4,2,FALSE),$E116,9,1))-VLOOKUP($E116,$E$9:$AF$92,$M$7-$D$7,0)</f>
        <v>0</v>
      </c>
      <c r="N116" s="640">
        <f>SUMIF('納品書明細F-15'!$B$9:$B$297,CONCATENATE(VLOOKUP(G$5,$G$1:$H$4,2,FALSE),$E116,9,1),'納品書明細F-15'!$Q$9:$Q$297)+SUMIF('納品書明細F-15'!$B$9:$B$297,CONCATENATE(VLOOKUP(G$5,$G$1:$H$4,2,FALSE),$E116,9,0),'納品書明細F-15'!$Q$9:$Q$297)-VLOOKUP($E116,$E$9:$AF$92,$N$7-$D$7,0)</f>
        <v>0</v>
      </c>
      <c r="O116" s="69"/>
      <c r="P116" s="646">
        <f>COUNTIF('納品書明細F-15'!$B$9:$B$297,CONCATENATE(VLOOKUP(P$5,$G$1:$H$4,2,FALSE),$E116,1,1))-VLOOKUP($E116,$E$9:$AF$92,$P$7-$D$7,0)</f>
        <v>0</v>
      </c>
      <c r="Q116" s="647">
        <f>SUMIF('納品書明細F-15'!$B$9:$B$297,CONCATENATE(VLOOKUP(P$5,$G$1:$H$4,2,FALSE),$E116,1,1),'納品書明細F-15'!$Q$9:$Q$297)+SUMIF('納品書明細F-15'!$B$9:$B$297,CONCATENATE(VLOOKUP(P$5,$G$1:$H$4,2,FALSE),$E116,1,0),'納品書明細F-15'!$Q$9:$Q$297)-VLOOKUP($E116,$E$9:$AF$92,$Q$7-$D$7,0)</f>
        <v>0</v>
      </c>
      <c r="R116" s="345"/>
      <c r="S116" s="122"/>
      <c r="T116" s="128"/>
      <c r="U116" s="345"/>
      <c r="V116" s="638">
        <f>COUNTIF('納品書明細F-15'!$B$9:$B$297,CONCATENATE(VLOOKUP(P$5,$G$1:$H$4,2,FALSE),$E116,9,1))-VLOOKUP($E116,$E$9:$AF$92,$V$7-$D$7,0)</f>
        <v>0</v>
      </c>
      <c r="W116" s="650">
        <f>SUMIF('納品書明細F-15'!$B$9:$B$297,CONCATENATE(VLOOKUP(P$5,$G$1:$H$4,2,FALSE),$E116,9,1),'納品書明細F-15'!$Q$9:$Q$297)+SUMIF('納品書明細F-15'!$B$9:$B$297,CONCATENATE(VLOOKUP(P$5,$G$1:$H$4,2,FALSE),$E116,9,0),'納品書明細F-15'!$Q$9:$Q$297)-VLOOKUP($E116,$E$9:$AF$92,$W$7-$D$7,0)</f>
        <v>0</v>
      </c>
      <c r="X116" s="69"/>
      <c r="Y116" s="646">
        <f>COUNTIF('納品書明細F-15'!$B$9:$B$297,CONCATENATE(VLOOKUP(Y$5,$G$1:$H$4,2,FALSE),$E116,1,1))-VLOOKUP($E116,$E$9:$AF$92,$Y$7-$D$7,0)</f>
        <v>0</v>
      </c>
      <c r="Z116" s="647">
        <f>SUMIF('納品書明細F-15'!$B$9:$B$297,CONCATENATE(VLOOKUP(Y$5,$G$1:$H$4,2,FALSE),$E116,1,1),'納品書明細F-15'!$Q$9:$Q$297)+SUMIF('納品書明細F-15'!$B$9:$B$297,CONCATENATE(VLOOKUP(Y$5,$G$1:$H$4,2,FALSE),$E116,1,0),'納品書明細F-15'!$Q$9:$Q$297)-VLOOKUP($E116,$E$9:$AF$92,$Z$7-$D$7,0)</f>
        <v>0</v>
      </c>
      <c r="AA116" s="345"/>
      <c r="AB116" s="122"/>
      <c r="AC116" s="128"/>
      <c r="AD116" s="345"/>
      <c r="AE116" s="638">
        <f>COUNTIF('納品書明細F-15'!$B$9:$B$297,CONCATENATE(VLOOKUP(Y$5,$G$1:$H$4,2,FALSE),$E116,9,1))-VLOOKUP($E116,$E$9:$AF$92,$AE$7-$D$7,0)</f>
        <v>0</v>
      </c>
      <c r="AF116" s="650">
        <f>SUMIF('納品書明細F-15'!$B$9:$B$297,CONCATENATE(VLOOKUP(Y$5,$G$1:$H$4,2,FALSE),$E116,9,1),'納品書明細F-15'!$Q$9:$Q$297)+SUMIF('納品書明細F-15'!$B$9:$B$297,CONCATENATE(VLOOKUP(Y$5,$G$1:$H$4,2,FALSE),$E116,9,0),'納品書明細F-15'!$Q$9:$Q$297)-VLOOKUP($E116,$E$9:$AF$92,$AF$7-$D$7,0)</f>
        <v>0</v>
      </c>
    </row>
    <row r="117" spans="1:32">
      <c r="A117" s="475" t="str">
        <f>IF(SUMIFS($G117:$AF117,$G$8:$AF$8,"金額",$G117:$AF117,"&gt;0")-SUMIFS($G117:$AF117,$G$8:$AF$8,"金額",$G117:$AF117,"&lt;0")&lt;=0,"",MAX($A$92:$A116)+1)</f>
        <v/>
      </c>
      <c r="B117" s="795"/>
      <c r="C117" s="245" t="str">
        <f t="shared" si="3"/>
        <v>経費</v>
      </c>
      <c r="D117" s="245">
        <v>25</v>
      </c>
      <c r="E117" s="593" t="str">
        <f>IF($F117&lt;&gt;"",INDEX(ﾏｽﾀ!$D$8:$D$124,MATCH(INDEX(ﾏｽﾀ!$N$8:$N$124,MATCH($F117,ﾏｽﾀ!$O$8:$O$124,0)),ﾏｽﾀ!$B$8:$B$124,0))&amp;"","")</f>
        <v>62000</v>
      </c>
      <c r="F117" s="594" t="str">
        <f>ﾏｽﾀ!$R32&amp;""</f>
        <v>サミー株式会社</v>
      </c>
      <c r="G117" s="646">
        <f>COUNTIF('納品書明細F-15'!$B$9:$B$297,CONCATENATE(VLOOKUP(G$5,$G$1:$H$4,2,FALSE),$E117,1,1))-VLOOKUP($E117,$E$9:$AF$92,$G$7-$D$7,0)</f>
        <v>0</v>
      </c>
      <c r="H117" s="652">
        <f>SUMIF('納品書明細F-15'!$B$9:$B$297,CONCATENATE(VLOOKUP(G$5,$G$1:$H$4,2,FALSE),$E117,1,1),'納品書明細F-15'!$Q$9:$Q$297)+SUMIF('納品書明細F-15'!$B$9:$B$297,CONCATENATE(VLOOKUP(G$5,$G$1:$H$4,2,FALSE),$E117,1,0),'納品書明細F-15'!$Q$9:$Q$297)-VLOOKUP($E117,$E$9:$AF$92,$H$7-$D$7,0)</f>
        <v>0</v>
      </c>
      <c r="I117" s="345"/>
      <c r="J117" s="122"/>
      <c r="K117" s="359"/>
      <c r="L117" s="345"/>
      <c r="M117" s="638">
        <f>COUNTIF('納品書明細F-15'!$B$9:$B$297,CONCATENATE(VLOOKUP(G$5,$G$1:$H$4,2,FALSE),$E117,9,1))-VLOOKUP($E117,$E$9:$AF$92,$M$7-$D$7,0)</f>
        <v>0</v>
      </c>
      <c r="N117" s="640">
        <f>SUMIF('納品書明細F-15'!$B$9:$B$297,CONCATENATE(VLOOKUP(G$5,$G$1:$H$4,2,FALSE),$E117,9,1),'納品書明細F-15'!$Q$9:$Q$297)+SUMIF('納品書明細F-15'!$B$9:$B$297,CONCATENATE(VLOOKUP(G$5,$G$1:$H$4,2,FALSE),$E117,9,0),'納品書明細F-15'!$Q$9:$Q$297)-VLOOKUP($E117,$E$9:$AF$92,$N$7-$D$7,0)</f>
        <v>0</v>
      </c>
      <c r="O117" s="69"/>
      <c r="P117" s="646">
        <f>COUNTIF('納品書明細F-15'!$B$9:$B$297,CONCATENATE(VLOOKUP(P$5,$G$1:$H$4,2,FALSE),$E117,1,1))-VLOOKUP($E117,$E$9:$AF$92,$P$7-$D$7,0)</f>
        <v>0</v>
      </c>
      <c r="Q117" s="647">
        <f>SUMIF('納品書明細F-15'!$B$9:$B$297,CONCATENATE(VLOOKUP(P$5,$G$1:$H$4,2,FALSE),$E117,1,1),'納品書明細F-15'!$Q$9:$Q$297)+SUMIF('納品書明細F-15'!$B$9:$B$297,CONCATENATE(VLOOKUP(P$5,$G$1:$H$4,2,FALSE),$E117,1,0),'納品書明細F-15'!$Q$9:$Q$297)-VLOOKUP($E117,$E$9:$AF$92,$Q$7-$D$7,0)</f>
        <v>0</v>
      </c>
      <c r="R117" s="345"/>
      <c r="S117" s="122"/>
      <c r="T117" s="128"/>
      <c r="U117" s="345"/>
      <c r="V117" s="638">
        <f>COUNTIF('納品書明細F-15'!$B$9:$B$297,CONCATENATE(VLOOKUP(P$5,$G$1:$H$4,2,FALSE),$E117,9,1))-VLOOKUP($E117,$E$9:$AF$92,$V$7-$D$7,0)</f>
        <v>0</v>
      </c>
      <c r="W117" s="650">
        <f>SUMIF('納品書明細F-15'!$B$9:$B$297,CONCATENATE(VLOOKUP(P$5,$G$1:$H$4,2,FALSE),$E117,9,1),'納品書明細F-15'!$Q$9:$Q$297)+SUMIF('納品書明細F-15'!$B$9:$B$297,CONCATENATE(VLOOKUP(P$5,$G$1:$H$4,2,FALSE),$E117,9,0),'納品書明細F-15'!$Q$9:$Q$297)-VLOOKUP($E117,$E$9:$AF$92,$W$7-$D$7,0)</f>
        <v>0</v>
      </c>
      <c r="X117" s="69"/>
      <c r="Y117" s="646">
        <f>COUNTIF('納品書明細F-15'!$B$9:$B$297,CONCATENATE(VLOOKUP(Y$5,$G$1:$H$4,2,FALSE),$E117,1,1))-VLOOKUP($E117,$E$9:$AF$92,$Y$7-$D$7,0)</f>
        <v>0</v>
      </c>
      <c r="Z117" s="647">
        <f>SUMIF('納品書明細F-15'!$B$9:$B$297,CONCATENATE(VLOOKUP(Y$5,$G$1:$H$4,2,FALSE),$E117,1,1),'納品書明細F-15'!$Q$9:$Q$297)+SUMIF('納品書明細F-15'!$B$9:$B$297,CONCATENATE(VLOOKUP(Y$5,$G$1:$H$4,2,FALSE),$E117,1,0),'納品書明細F-15'!$Q$9:$Q$297)-VLOOKUP($E117,$E$9:$AF$92,$Z$7-$D$7,0)</f>
        <v>0</v>
      </c>
      <c r="AA117" s="345"/>
      <c r="AB117" s="122"/>
      <c r="AC117" s="128"/>
      <c r="AD117" s="345"/>
      <c r="AE117" s="638">
        <f>COUNTIF('納品書明細F-15'!$B$9:$B$297,CONCATENATE(VLOOKUP(Y$5,$G$1:$H$4,2,FALSE),$E117,9,1))-VLOOKUP($E117,$E$9:$AF$92,$AE$7-$D$7,0)</f>
        <v>0</v>
      </c>
      <c r="AF117" s="650">
        <f>SUMIF('納品書明細F-15'!$B$9:$B$297,CONCATENATE(VLOOKUP(Y$5,$G$1:$H$4,2,FALSE),$E117,9,1),'納品書明細F-15'!$Q$9:$Q$297)+SUMIF('納品書明細F-15'!$B$9:$B$297,CONCATENATE(VLOOKUP(Y$5,$G$1:$H$4,2,FALSE),$E117,9,0),'納品書明細F-15'!$Q$9:$Q$297)-VLOOKUP($E117,$E$9:$AF$92,$AF$7-$D$7,0)</f>
        <v>0</v>
      </c>
    </row>
    <row r="118" spans="1:32">
      <c r="A118" s="475" t="str">
        <f>IF(SUMIFS($G118:$AF118,$G$8:$AF$8,"金額",$G118:$AF118,"&gt;0")-SUMIFS($G118:$AF118,$G$8:$AF$8,"金額",$G118:$AF118,"&lt;0")&lt;=0,"",MAX($A$92:$A117)+1)</f>
        <v/>
      </c>
      <c r="B118" s="795"/>
      <c r="C118" s="245" t="str">
        <f t="shared" si="3"/>
        <v>経費</v>
      </c>
      <c r="D118" s="245">
        <v>26</v>
      </c>
      <c r="E118" s="593" t="str">
        <f>IF($F118&lt;&gt;"",INDEX(ﾏｽﾀ!$D$8:$D$124,MATCH(INDEX(ﾏｽﾀ!$N$8:$N$124,MATCH($F118,ﾏｽﾀ!$O$8:$O$124,0)),ﾏｽﾀ!$B$8:$B$124,0))&amp;"","")</f>
        <v>63000</v>
      </c>
      <c r="F118" s="594" t="str">
        <f>ﾏｽﾀ!$R33&amp;""</f>
        <v>ボークス株式会社</v>
      </c>
      <c r="G118" s="646">
        <f>COUNTIF('納品書明細F-15'!$B$9:$B$297,CONCATENATE(VLOOKUP(G$5,$G$1:$H$4,2,FALSE),$E118,1,1))-VLOOKUP($E118,$E$9:$AF$92,$G$7-$D$7,0)</f>
        <v>0</v>
      </c>
      <c r="H118" s="652">
        <f>SUMIF('納品書明細F-15'!$B$9:$B$297,CONCATENATE(VLOOKUP(G$5,$G$1:$H$4,2,FALSE),$E118,1,1),'納品書明細F-15'!$Q$9:$Q$297)+SUMIF('納品書明細F-15'!$B$9:$B$297,CONCATENATE(VLOOKUP(G$5,$G$1:$H$4,2,FALSE),$E118,1,0),'納品書明細F-15'!$Q$9:$Q$297)-VLOOKUP($E118,$E$9:$AF$92,$H$7-$D$7,0)</f>
        <v>0</v>
      </c>
      <c r="I118" s="345"/>
      <c r="J118" s="122"/>
      <c r="K118" s="359"/>
      <c r="L118" s="345"/>
      <c r="M118" s="638">
        <f>COUNTIF('納品書明細F-15'!$B$9:$B$297,CONCATENATE(VLOOKUP(G$5,$G$1:$H$4,2,FALSE),$E118,9,1))-VLOOKUP($E118,$E$9:$AF$92,$M$7-$D$7,0)</f>
        <v>0</v>
      </c>
      <c r="N118" s="640">
        <f>SUMIF('納品書明細F-15'!$B$9:$B$297,CONCATENATE(VLOOKUP(G$5,$G$1:$H$4,2,FALSE),$E118,9,1),'納品書明細F-15'!$Q$9:$Q$297)+SUMIF('納品書明細F-15'!$B$9:$B$297,CONCATENATE(VLOOKUP(G$5,$G$1:$H$4,2,FALSE),$E118,9,0),'納品書明細F-15'!$Q$9:$Q$297)-VLOOKUP($E118,$E$9:$AF$92,$N$7-$D$7,0)</f>
        <v>0</v>
      </c>
      <c r="O118" s="69"/>
      <c r="P118" s="646">
        <f>COUNTIF('納品書明細F-15'!$B$9:$B$297,CONCATENATE(VLOOKUP(P$5,$G$1:$H$4,2,FALSE),$E118,1,1))-VLOOKUP($E118,$E$9:$AF$92,$P$7-$D$7,0)</f>
        <v>0</v>
      </c>
      <c r="Q118" s="647">
        <f>SUMIF('納品書明細F-15'!$B$9:$B$297,CONCATENATE(VLOOKUP(P$5,$G$1:$H$4,2,FALSE),$E118,1,1),'納品書明細F-15'!$Q$9:$Q$297)+SUMIF('納品書明細F-15'!$B$9:$B$297,CONCATENATE(VLOOKUP(P$5,$G$1:$H$4,2,FALSE),$E118,1,0),'納品書明細F-15'!$Q$9:$Q$297)-VLOOKUP($E118,$E$9:$AF$92,$Q$7-$D$7,0)</f>
        <v>0</v>
      </c>
      <c r="R118" s="345"/>
      <c r="S118" s="122"/>
      <c r="T118" s="128"/>
      <c r="U118" s="345"/>
      <c r="V118" s="638">
        <f>COUNTIF('納品書明細F-15'!$B$9:$B$297,CONCATENATE(VLOOKUP(P$5,$G$1:$H$4,2,FALSE),$E118,9,1))-VLOOKUP($E118,$E$9:$AF$92,$V$7-$D$7,0)</f>
        <v>0</v>
      </c>
      <c r="W118" s="650">
        <f>SUMIF('納品書明細F-15'!$B$9:$B$297,CONCATENATE(VLOOKUP(P$5,$G$1:$H$4,2,FALSE),$E118,9,1),'納品書明細F-15'!$Q$9:$Q$297)+SUMIF('納品書明細F-15'!$B$9:$B$297,CONCATENATE(VLOOKUP(P$5,$G$1:$H$4,2,FALSE),$E118,9,0),'納品書明細F-15'!$Q$9:$Q$297)-VLOOKUP($E118,$E$9:$AF$92,$W$7-$D$7,0)</f>
        <v>0</v>
      </c>
      <c r="X118" s="69"/>
      <c r="Y118" s="646">
        <f>COUNTIF('納品書明細F-15'!$B$9:$B$297,CONCATENATE(VLOOKUP(Y$5,$G$1:$H$4,2,FALSE),$E118,1,1))-VLOOKUP($E118,$E$9:$AF$92,$Y$7-$D$7,0)</f>
        <v>0</v>
      </c>
      <c r="Z118" s="647">
        <f>SUMIF('納品書明細F-15'!$B$9:$B$297,CONCATENATE(VLOOKUP(Y$5,$G$1:$H$4,2,FALSE),$E118,1,1),'納品書明細F-15'!$Q$9:$Q$297)+SUMIF('納品書明細F-15'!$B$9:$B$297,CONCATENATE(VLOOKUP(Y$5,$G$1:$H$4,2,FALSE),$E118,1,0),'納品書明細F-15'!$Q$9:$Q$297)-VLOOKUP($E118,$E$9:$AF$92,$Z$7-$D$7,0)</f>
        <v>0</v>
      </c>
      <c r="AA118" s="345"/>
      <c r="AB118" s="122"/>
      <c r="AC118" s="128"/>
      <c r="AD118" s="345"/>
      <c r="AE118" s="638">
        <f>COUNTIF('納品書明細F-15'!$B$9:$B$297,CONCATENATE(VLOOKUP(Y$5,$G$1:$H$4,2,FALSE),$E118,9,1))-VLOOKUP($E118,$E$9:$AF$92,$AE$7-$D$7,0)</f>
        <v>0</v>
      </c>
      <c r="AF118" s="650">
        <f>SUMIF('納品書明細F-15'!$B$9:$B$297,CONCATENATE(VLOOKUP(Y$5,$G$1:$H$4,2,FALSE),$E118,9,1),'納品書明細F-15'!$Q$9:$Q$297)+SUMIF('納品書明細F-15'!$B$9:$B$297,CONCATENATE(VLOOKUP(Y$5,$G$1:$H$4,2,FALSE),$E118,9,0),'納品書明細F-15'!$Q$9:$Q$297)-VLOOKUP($E118,$E$9:$AF$92,$AF$7-$D$7,0)</f>
        <v>0</v>
      </c>
    </row>
    <row r="119" spans="1:32">
      <c r="A119" s="475" t="str">
        <f>IF(SUMIFS($G119:$AF119,$G$8:$AF$8,"金額",$G119:$AF119,"&gt;0")-SUMIFS($G119:$AF119,$G$8:$AF$8,"金額",$G119:$AF119,"&lt;0")&lt;=0,"",MAX($A$92:$A118)+1)</f>
        <v/>
      </c>
      <c r="B119" s="795"/>
      <c r="C119" s="245" t="str">
        <f t="shared" si="3"/>
        <v>経費</v>
      </c>
      <c r="D119" s="245">
        <v>27</v>
      </c>
      <c r="E119" s="593" t="str">
        <f>IF($F119&lt;&gt;"",INDEX(ﾏｽﾀ!$D$8:$D$124,MATCH(INDEX(ﾏｽﾀ!$N$8:$N$124,MATCH($F119,ﾏｽﾀ!$O$8:$O$124,0)),ﾏｽﾀ!$B$8:$B$124,0))&amp;"","")</f>
        <v>64000</v>
      </c>
      <c r="F119" s="594" t="str">
        <f>ﾏｽﾀ!$R34&amp;""</f>
        <v>株式会社シービーエー</v>
      </c>
      <c r="G119" s="646">
        <f>COUNTIF('納品書明細F-15'!$B$9:$B$297,CONCATENATE(VLOOKUP(G$5,$G$1:$H$4,2,FALSE),$E119,1,1))-VLOOKUP($E119,$E$9:$AF$92,$G$7-$D$7,0)</f>
        <v>0</v>
      </c>
      <c r="H119" s="652">
        <f>SUMIF('納品書明細F-15'!$B$9:$B$297,CONCATENATE(VLOOKUP(G$5,$G$1:$H$4,2,FALSE),$E119,1,1),'納品書明細F-15'!$Q$9:$Q$297)+SUMIF('納品書明細F-15'!$B$9:$B$297,CONCATENATE(VLOOKUP(G$5,$G$1:$H$4,2,FALSE),$E119,1,0),'納品書明細F-15'!$Q$9:$Q$297)-VLOOKUP($E119,$E$9:$AF$92,$H$7-$D$7,0)</f>
        <v>0</v>
      </c>
      <c r="I119" s="345"/>
      <c r="J119" s="122"/>
      <c r="K119" s="359"/>
      <c r="L119" s="345"/>
      <c r="M119" s="638">
        <f>COUNTIF('納品書明細F-15'!$B$9:$B$297,CONCATENATE(VLOOKUP(G$5,$G$1:$H$4,2,FALSE),$E119,9,1))-VLOOKUP($E119,$E$9:$AF$92,$M$7-$D$7,0)</f>
        <v>0</v>
      </c>
      <c r="N119" s="640">
        <f>SUMIF('納品書明細F-15'!$B$9:$B$297,CONCATENATE(VLOOKUP(G$5,$G$1:$H$4,2,FALSE),$E119,9,1),'納品書明細F-15'!$Q$9:$Q$297)+SUMIF('納品書明細F-15'!$B$9:$B$297,CONCATENATE(VLOOKUP(G$5,$G$1:$H$4,2,FALSE),$E119,9,0),'納品書明細F-15'!$Q$9:$Q$297)-VLOOKUP($E119,$E$9:$AF$92,$N$7-$D$7,0)</f>
        <v>0</v>
      </c>
      <c r="O119" s="69"/>
      <c r="P119" s="646">
        <f>COUNTIF('納品書明細F-15'!$B$9:$B$297,CONCATENATE(VLOOKUP(P$5,$G$1:$H$4,2,FALSE),$E119,1,1))-VLOOKUP($E119,$E$9:$AF$92,$P$7-$D$7,0)</f>
        <v>0</v>
      </c>
      <c r="Q119" s="647">
        <f>SUMIF('納品書明細F-15'!$B$9:$B$297,CONCATENATE(VLOOKUP(P$5,$G$1:$H$4,2,FALSE),$E119,1,1),'納品書明細F-15'!$Q$9:$Q$297)+SUMIF('納品書明細F-15'!$B$9:$B$297,CONCATENATE(VLOOKUP(P$5,$G$1:$H$4,2,FALSE),$E119,1,0),'納品書明細F-15'!$Q$9:$Q$297)-VLOOKUP($E119,$E$9:$AF$92,$Q$7-$D$7,0)</f>
        <v>0</v>
      </c>
      <c r="R119" s="345"/>
      <c r="S119" s="122"/>
      <c r="T119" s="128"/>
      <c r="U119" s="345"/>
      <c r="V119" s="638">
        <f>COUNTIF('納品書明細F-15'!$B$9:$B$297,CONCATENATE(VLOOKUP(P$5,$G$1:$H$4,2,FALSE),$E119,9,1))-VLOOKUP($E119,$E$9:$AF$92,$V$7-$D$7,0)</f>
        <v>0</v>
      </c>
      <c r="W119" s="650">
        <f>SUMIF('納品書明細F-15'!$B$9:$B$297,CONCATENATE(VLOOKUP(P$5,$G$1:$H$4,2,FALSE),$E119,9,1),'納品書明細F-15'!$Q$9:$Q$297)+SUMIF('納品書明細F-15'!$B$9:$B$297,CONCATENATE(VLOOKUP(P$5,$G$1:$H$4,2,FALSE),$E119,9,0),'納品書明細F-15'!$Q$9:$Q$297)-VLOOKUP($E119,$E$9:$AF$92,$W$7-$D$7,0)</f>
        <v>0</v>
      </c>
      <c r="X119" s="69"/>
      <c r="Y119" s="646">
        <f>COUNTIF('納品書明細F-15'!$B$9:$B$297,CONCATENATE(VLOOKUP(Y$5,$G$1:$H$4,2,FALSE),$E119,1,1))-VLOOKUP($E119,$E$9:$AF$92,$Y$7-$D$7,0)</f>
        <v>0</v>
      </c>
      <c r="Z119" s="647">
        <f>SUMIF('納品書明細F-15'!$B$9:$B$297,CONCATENATE(VLOOKUP(Y$5,$G$1:$H$4,2,FALSE),$E119,1,1),'納品書明細F-15'!$Q$9:$Q$297)+SUMIF('納品書明細F-15'!$B$9:$B$297,CONCATENATE(VLOOKUP(Y$5,$G$1:$H$4,2,FALSE),$E119,1,0),'納品書明細F-15'!$Q$9:$Q$297)-VLOOKUP($E119,$E$9:$AF$92,$Z$7-$D$7,0)</f>
        <v>0</v>
      </c>
      <c r="AA119" s="345"/>
      <c r="AB119" s="122"/>
      <c r="AC119" s="128"/>
      <c r="AD119" s="345"/>
      <c r="AE119" s="638">
        <f>COUNTIF('納品書明細F-15'!$B$9:$B$297,CONCATENATE(VLOOKUP(Y$5,$G$1:$H$4,2,FALSE),$E119,9,1))-VLOOKUP($E119,$E$9:$AF$92,$AE$7-$D$7,0)</f>
        <v>0</v>
      </c>
      <c r="AF119" s="650">
        <f>SUMIF('納品書明細F-15'!$B$9:$B$297,CONCATENATE(VLOOKUP(Y$5,$G$1:$H$4,2,FALSE),$E119,9,1),'納品書明細F-15'!$Q$9:$Q$297)+SUMIF('納品書明細F-15'!$B$9:$B$297,CONCATENATE(VLOOKUP(Y$5,$G$1:$H$4,2,FALSE),$E119,9,0),'納品書明細F-15'!$Q$9:$Q$297)-VLOOKUP($E119,$E$9:$AF$92,$AF$7-$D$7,0)</f>
        <v>0</v>
      </c>
    </row>
    <row r="120" spans="1:32">
      <c r="A120" s="475" t="str">
        <f>IF(SUMIFS($G120:$AF120,$G$8:$AF$8,"金額",$G120:$AF120,"&gt;0")-SUMIFS($G120:$AF120,$G$8:$AF$8,"金額",$G120:$AF120,"&lt;0")&lt;=0,"",MAX($A$92:$A119)+1)</f>
        <v/>
      </c>
      <c r="B120" s="795"/>
      <c r="C120" s="245" t="str">
        <f t="shared" si="3"/>
        <v>経費</v>
      </c>
      <c r="D120" s="245">
        <v>28</v>
      </c>
      <c r="E120" s="593" t="str">
        <f>IF($F120&lt;&gt;"",INDEX(ﾏｽﾀ!$D$8:$D$124,MATCH(INDEX(ﾏｽﾀ!$N$8:$N$124,MATCH($F120,ﾏｽﾀ!$O$8:$O$124,0)),ﾏｽﾀ!$B$8:$B$124,0))&amp;"","")</f>
        <v>65000</v>
      </c>
      <c r="F120" s="594" t="str">
        <f>ﾏｽﾀ!$R35&amp;""</f>
        <v>石川玩具株式会社</v>
      </c>
      <c r="G120" s="646">
        <f>COUNTIF('納品書明細F-15'!$B$9:$B$297,CONCATENATE(VLOOKUP(G$5,$G$1:$H$4,2,FALSE),$E120,1,1))-VLOOKUP($E120,$E$9:$AF$92,$G$7-$D$7,0)</f>
        <v>0</v>
      </c>
      <c r="H120" s="652">
        <f>SUMIF('納品書明細F-15'!$B$9:$B$297,CONCATENATE(VLOOKUP(G$5,$G$1:$H$4,2,FALSE),$E120,1,1),'納品書明細F-15'!$Q$9:$Q$297)+SUMIF('納品書明細F-15'!$B$9:$B$297,CONCATENATE(VLOOKUP(G$5,$G$1:$H$4,2,FALSE),$E120,1,0),'納品書明細F-15'!$Q$9:$Q$297)-VLOOKUP($E120,$E$9:$AF$92,$H$7-$D$7,0)</f>
        <v>0</v>
      </c>
      <c r="I120" s="345"/>
      <c r="J120" s="122"/>
      <c r="K120" s="359"/>
      <c r="L120" s="345"/>
      <c r="M120" s="638">
        <f>COUNTIF('納品書明細F-15'!$B$9:$B$297,CONCATENATE(VLOOKUP(G$5,$G$1:$H$4,2,FALSE),$E120,9,1))-VLOOKUP($E120,$E$9:$AF$92,$M$7-$D$7,0)</f>
        <v>0</v>
      </c>
      <c r="N120" s="640">
        <f>SUMIF('納品書明細F-15'!$B$9:$B$297,CONCATENATE(VLOOKUP(G$5,$G$1:$H$4,2,FALSE),$E120,9,1),'納品書明細F-15'!$Q$9:$Q$297)+SUMIF('納品書明細F-15'!$B$9:$B$297,CONCATENATE(VLOOKUP(G$5,$G$1:$H$4,2,FALSE),$E120,9,0),'納品書明細F-15'!$Q$9:$Q$297)-VLOOKUP($E120,$E$9:$AF$92,$N$7-$D$7,0)</f>
        <v>0</v>
      </c>
      <c r="O120" s="69"/>
      <c r="P120" s="646">
        <f>COUNTIF('納品書明細F-15'!$B$9:$B$297,CONCATENATE(VLOOKUP(P$5,$G$1:$H$4,2,FALSE),$E120,1,1))-VLOOKUP($E120,$E$9:$AF$92,$P$7-$D$7,0)</f>
        <v>0</v>
      </c>
      <c r="Q120" s="647">
        <f>SUMIF('納品書明細F-15'!$B$9:$B$297,CONCATENATE(VLOOKUP(P$5,$G$1:$H$4,2,FALSE),$E120,1,1),'納品書明細F-15'!$Q$9:$Q$297)+SUMIF('納品書明細F-15'!$B$9:$B$297,CONCATENATE(VLOOKUP(P$5,$G$1:$H$4,2,FALSE),$E120,1,0),'納品書明細F-15'!$Q$9:$Q$297)-VLOOKUP($E120,$E$9:$AF$92,$Q$7-$D$7,0)</f>
        <v>0</v>
      </c>
      <c r="R120" s="345"/>
      <c r="S120" s="122"/>
      <c r="T120" s="128"/>
      <c r="U120" s="345"/>
      <c r="V120" s="638">
        <f>COUNTIF('納品書明細F-15'!$B$9:$B$297,CONCATENATE(VLOOKUP(P$5,$G$1:$H$4,2,FALSE),$E120,9,1))-VLOOKUP($E120,$E$9:$AF$92,$V$7-$D$7,0)</f>
        <v>0</v>
      </c>
      <c r="W120" s="650">
        <f>SUMIF('納品書明細F-15'!$B$9:$B$297,CONCATENATE(VLOOKUP(P$5,$G$1:$H$4,2,FALSE),$E120,9,1),'納品書明細F-15'!$Q$9:$Q$297)+SUMIF('納品書明細F-15'!$B$9:$B$297,CONCATENATE(VLOOKUP(P$5,$G$1:$H$4,2,FALSE),$E120,9,0),'納品書明細F-15'!$Q$9:$Q$297)-VLOOKUP($E120,$E$9:$AF$92,$W$7-$D$7,0)</f>
        <v>0</v>
      </c>
      <c r="X120" s="69"/>
      <c r="Y120" s="646">
        <f>COUNTIF('納品書明細F-15'!$B$9:$B$297,CONCATENATE(VLOOKUP(Y$5,$G$1:$H$4,2,FALSE),$E120,1,1))-VLOOKUP($E120,$E$9:$AF$92,$Y$7-$D$7,0)</f>
        <v>0</v>
      </c>
      <c r="Z120" s="647">
        <f>SUMIF('納品書明細F-15'!$B$9:$B$297,CONCATENATE(VLOOKUP(Y$5,$G$1:$H$4,2,FALSE),$E120,1,1),'納品書明細F-15'!$Q$9:$Q$297)+SUMIF('納品書明細F-15'!$B$9:$B$297,CONCATENATE(VLOOKUP(Y$5,$G$1:$H$4,2,FALSE),$E120,1,0),'納品書明細F-15'!$Q$9:$Q$297)-VLOOKUP($E120,$E$9:$AF$92,$Z$7-$D$7,0)</f>
        <v>0</v>
      </c>
      <c r="AA120" s="345"/>
      <c r="AB120" s="122"/>
      <c r="AC120" s="128"/>
      <c r="AD120" s="345"/>
      <c r="AE120" s="638">
        <f>COUNTIF('納品書明細F-15'!$B$9:$B$297,CONCATENATE(VLOOKUP(Y$5,$G$1:$H$4,2,FALSE),$E120,9,1))-VLOOKUP($E120,$E$9:$AF$92,$AE$7-$D$7,0)</f>
        <v>0</v>
      </c>
      <c r="AF120" s="650">
        <f>SUMIF('納品書明細F-15'!$B$9:$B$297,CONCATENATE(VLOOKUP(Y$5,$G$1:$H$4,2,FALSE),$E120,9,1),'納品書明細F-15'!$Q$9:$Q$297)+SUMIF('納品書明細F-15'!$B$9:$B$297,CONCATENATE(VLOOKUP(Y$5,$G$1:$H$4,2,FALSE),$E120,9,0),'納品書明細F-15'!$Q$9:$Q$297)-VLOOKUP($E120,$E$9:$AF$92,$AF$7-$D$7,0)</f>
        <v>0</v>
      </c>
    </row>
    <row r="121" spans="1:32">
      <c r="A121" s="475" t="str">
        <f>IF(SUMIFS($G121:$AF121,$G$8:$AF$8,"金額",$G121:$AF121,"&gt;0")-SUMIFS($G121:$AF121,$G$8:$AF$8,"金額",$G121:$AF121,"&lt;0")&lt;=0,"",MAX($A$92:$A120)+1)</f>
        <v/>
      </c>
      <c r="B121" s="795"/>
      <c r="C121" s="245" t="str">
        <f t="shared" si="3"/>
        <v>経費</v>
      </c>
      <c r="D121" s="245">
        <v>29</v>
      </c>
      <c r="E121" s="593" t="str">
        <f>IF($F121&lt;&gt;"",INDEX(ﾏｽﾀ!$D$8:$D$124,MATCH(INDEX(ﾏｽﾀ!$N$8:$N$124,MATCH($F121,ﾏｽﾀ!$O$8:$O$124,0)),ﾏｽﾀ!$B$8:$B$124,0))&amp;"","")</f>
        <v>66000</v>
      </c>
      <c r="F121" s="594" t="str">
        <f>ﾏｽﾀ!$R36&amp;""</f>
        <v>日本食材株式会社</v>
      </c>
      <c r="G121" s="646">
        <f>COUNTIF('納品書明細F-15'!$B$9:$B$297,CONCATENATE(VLOOKUP(G$5,$G$1:$H$4,2,FALSE),$E121,1,1))-VLOOKUP($E121,$E$9:$AF$92,$G$7-$D$7,0)</f>
        <v>0</v>
      </c>
      <c r="H121" s="652">
        <f>SUMIF('納品書明細F-15'!$B$9:$B$297,CONCATENATE(VLOOKUP(G$5,$G$1:$H$4,2,FALSE),$E121,1,1),'納品書明細F-15'!$Q$9:$Q$297)+SUMIF('納品書明細F-15'!$B$9:$B$297,CONCATENATE(VLOOKUP(G$5,$G$1:$H$4,2,FALSE),$E121,1,0),'納品書明細F-15'!$Q$9:$Q$297)-VLOOKUP($E121,$E$9:$AF$92,$H$7-$D$7,0)</f>
        <v>0</v>
      </c>
      <c r="I121" s="345"/>
      <c r="J121" s="122"/>
      <c r="K121" s="359"/>
      <c r="L121" s="345"/>
      <c r="M121" s="638">
        <f>COUNTIF('納品書明細F-15'!$B$9:$B$297,CONCATENATE(VLOOKUP(G$5,$G$1:$H$4,2,FALSE),$E121,9,1))-VLOOKUP($E121,$E$9:$AF$92,$M$7-$D$7,0)</f>
        <v>0</v>
      </c>
      <c r="N121" s="640">
        <f>SUMIF('納品書明細F-15'!$B$9:$B$297,CONCATENATE(VLOOKUP(G$5,$G$1:$H$4,2,FALSE),$E121,9,1),'納品書明細F-15'!$Q$9:$Q$297)+SUMIF('納品書明細F-15'!$B$9:$B$297,CONCATENATE(VLOOKUP(G$5,$G$1:$H$4,2,FALSE),$E121,9,0),'納品書明細F-15'!$Q$9:$Q$297)-VLOOKUP($E121,$E$9:$AF$92,$N$7-$D$7,0)</f>
        <v>0</v>
      </c>
      <c r="O121" s="69"/>
      <c r="P121" s="646">
        <f>COUNTIF('納品書明細F-15'!$B$9:$B$297,CONCATENATE(VLOOKUP(P$5,$G$1:$H$4,2,FALSE),$E121,1,1))-VLOOKUP($E121,$E$9:$AF$92,$P$7-$D$7,0)</f>
        <v>0</v>
      </c>
      <c r="Q121" s="647">
        <f>SUMIF('納品書明細F-15'!$B$9:$B$297,CONCATENATE(VLOOKUP(P$5,$G$1:$H$4,2,FALSE),$E121,1,1),'納品書明細F-15'!$Q$9:$Q$297)+SUMIF('納品書明細F-15'!$B$9:$B$297,CONCATENATE(VLOOKUP(P$5,$G$1:$H$4,2,FALSE),$E121,1,0),'納品書明細F-15'!$Q$9:$Q$297)-VLOOKUP($E121,$E$9:$AF$92,$Q$7-$D$7,0)</f>
        <v>0</v>
      </c>
      <c r="R121" s="345"/>
      <c r="S121" s="122"/>
      <c r="T121" s="128"/>
      <c r="U121" s="345"/>
      <c r="V121" s="638">
        <f>COUNTIF('納品書明細F-15'!$B$9:$B$297,CONCATENATE(VLOOKUP(P$5,$G$1:$H$4,2,FALSE),$E121,9,1))-VLOOKUP($E121,$E$9:$AF$92,$V$7-$D$7,0)</f>
        <v>0</v>
      </c>
      <c r="W121" s="650">
        <f>SUMIF('納品書明細F-15'!$B$9:$B$297,CONCATENATE(VLOOKUP(P$5,$G$1:$H$4,2,FALSE),$E121,9,1),'納品書明細F-15'!$Q$9:$Q$297)+SUMIF('納品書明細F-15'!$B$9:$B$297,CONCATENATE(VLOOKUP(P$5,$G$1:$H$4,2,FALSE),$E121,9,0),'納品書明細F-15'!$Q$9:$Q$297)-VLOOKUP($E121,$E$9:$AF$92,$W$7-$D$7,0)</f>
        <v>0</v>
      </c>
      <c r="X121" s="69"/>
      <c r="Y121" s="646">
        <f>COUNTIF('納品書明細F-15'!$B$9:$B$297,CONCATENATE(VLOOKUP(Y$5,$G$1:$H$4,2,FALSE),$E121,1,1))-VLOOKUP($E121,$E$9:$AF$92,$Y$7-$D$7,0)</f>
        <v>0</v>
      </c>
      <c r="Z121" s="647">
        <f>SUMIF('納品書明細F-15'!$B$9:$B$297,CONCATENATE(VLOOKUP(Y$5,$G$1:$H$4,2,FALSE),$E121,1,1),'納品書明細F-15'!$Q$9:$Q$297)+SUMIF('納品書明細F-15'!$B$9:$B$297,CONCATENATE(VLOOKUP(Y$5,$G$1:$H$4,2,FALSE),$E121,1,0),'納品書明細F-15'!$Q$9:$Q$297)-VLOOKUP($E121,$E$9:$AF$92,$Z$7-$D$7,0)</f>
        <v>0</v>
      </c>
      <c r="AA121" s="345"/>
      <c r="AB121" s="122"/>
      <c r="AC121" s="128"/>
      <c r="AD121" s="345"/>
      <c r="AE121" s="638">
        <f>COUNTIF('納品書明細F-15'!$B$9:$B$297,CONCATENATE(VLOOKUP(Y$5,$G$1:$H$4,2,FALSE),$E121,9,1))-VLOOKUP($E121,$E$9:$AF$92,$AE$7-$D$7,0)</f>
        <v>0</v>
      </c>
      <c r="AF121" s="650">
        <f>SUMIF('納品書明細F-15'!$B$9:$B$297,CONCATENATE(VLOOKUP(Y$5,$G$1:$H$4,2,FALSE),$E121,9,1),'納品書明細F-15'!$Q$9:$Q$297)+SUMIF('納品書明細F-15'!$B$9:$B$297,CONCATENATE(VLOOKUP(Y$5,$G$1:$H$4,2,FALSE),$E121,9,0),'納品書明細F-15'!$Q$9:$Q$297)-VLOOKUP($E121,$E$9:$AF$92,$AF$7-$D$7,0)</f>
        <v>0</v>
      </c>
    </row>
    <row r="122" spans="1:32">
      <c r="A122" s="475" t="str">
        <f>IF(SUMIFS($G122:$AF122,$G$8:$AF$8,"金額",$G122:$AF122,"&gt;0")-SUMIFS($G122:$AF122,$G$8:$AF$8,"金額",$G122:$AF122,"&lt;0")&lt;=0,"",MAX($A$92:$A121)+1)</f>
        <v/>
      </c>
      <c r="B122" s="795"/>
      <c r="C122" s="245" t="str">
        <f t="shared" si="3"/>
        <v>経費</v>
      </c>
      <c r="D122" s="245">
        <v>30</v>
      </c>
      <c r="E122" s="593" t="str">
        <f>IF($F122&lt;&gt;"",INDEX(ﾏｽﾀ!$D$8:$D$124,MATCH(INDEX(ﾏｽﾀ!$N$8:$N$124,MATCH($F122,ﾏｽﾀ!$O$8:$O$124,0)),ﾏｽﾀ!$B$8:$B$124,0))&amp;"","")</f>
        <v>67000</v>
      </c>
      <c r="F122" s="594" t="str">
        <f>ﾏｽﾀ!$R37&amp;""</f>
        <v>加藤製菓株式会社</v>
      </c>
      <c r="G122" s="646">
        <f>COUNTIF('納品書明細F-15'!$B$9:$B$297,CONCATENATE(VLOOKUP(G$5,$G$1:$H$4,2,FALSE),$E122,1,1))-VLOOKUP($E122,$E$9:$AF$92,$G$7-$D$7,0)</f>
        <v>0</v>
      </c>
      <c r="H122" s="652">
        <f>SUMIF('納品書明細F-15'!$B$9:$B$297,CONCATENATE(VLOOKUP(G$5,$G$1:$H$4,2,FALSE),$E122,1,1),'納品書明細F-15'!$Q$9:$Q$297)+SUMIF('納品書明細F-15'!$B$9:$B$297,CONCATENATE(VLOOKUP(G$5,$G$1:$H$4,2,FALSE),$E122,1,0),'納品書明細F-15'!$Q$9:$Q$297)-VLOOKUP($E122,$E$9:$AF$92,$H$7-$D$7,0)</f>
        <v>0</v>
      </c>
      <c r="I122" s="345"/>
      <c r="J122" s="122"/>
      <c r="K122" s="359"/>
      <c r="L122" s="345"/>
      <c r="M122" s="638">
        <f>COUNTIF('納品書明細F-15'!$B$9:$B$297,CONCATENATE(VLOOKUP(G$5,$G$1:$H$4,2,FALSE),$E122,9,1))-VLOOKUP($E122,$E$9:$AF$92,$M$7-$D$7,0)</f>
        <v>0</v>
      </c>
      <c r="N122" s="640">
        <f>SUMIF('納品書明細F-15'!$B$9:$B$297,CONCATENATE(VLOOKUP(G$5,$G$1:$H$4,2,FALSE),$E122,9,1),'納品書明細F-15'!$Q$9:$Q$297)+SUMIF('納品書明細F-15'!$B$9:$B$297,CONCATENATE(VLOOKUP(G$5,$G$1:$H$4,2,FALSE),$E122,9,0),'納品書明細F-15'!$Q$9:$Q$297)-VLOOKUP($E122,$E$9:$AF$92,$N$7-$D$7,0)</f>
        <v>0</v>
      </c>
      <c r="O122" s="69"/>
      <c r="P122" s="646">
        <f>COUNTIF('納品書明細F-15'!$B$9:$B$297,CONCATENATE(VLOOKUP(P$5,$G$1:$H$4,2,FALSE),$E122,1,1))-VLOOKUP($E122,$E$9:$AF$92,$P$7-$D$7,0)</f>
        <v>0</v>
      </c>
      <c r="Q122" s="647">
        <f>SUMIF('納品書明細F-15'!$B$9:$B$297,CONCATENATE(VLOOKUP(P$5,$G$1:$H$4,2,FALSE),$E122,1,1),'納品書明細F-15'!$Q$9:$Q$297)+SUMIF('納品書明細F-15'!$B$9:$B$297,CONCATENATE(VLOOKUP(P$5,$G$1:$H$4,2,FALSE),$E122,1,0),'納品書明細F-15'!$Q$9:$Q$297)-VLOOKUP($E122,$E$9:$AF$92,$Q$7-$D$7,0)</f>
        <v>0</v>
      </c>
      <c r="R122" s="345"/>
      <c r="S122" s="122"/>
      <c r="T122" s="128"/>
      <c r="U122" s="345"/>
      <c r="V122" s="638">
        <f>COUNTIF('納品書明細F-15'!$B$9:$B$297,CONCATENATE(VLOOKUP(P$5,$G$1:$H$4,2,FALSE),$E122,9,1))-VLOOKUP($E122,$E$9:$AF$92,$V$7-$D$7,0)</f>
        <v>0</v>
      </c>
      <c r="W122" s="650">
        <f>SUMIF('納品書明細F-15'!$B$9:$B$297,CONCATENATE(VLOOKUP(P$5,$G$1:$H$4,2,FALSE),$E122,9,1),'納品書明細F-15'!$Q$9:$Q$297)+SUMIF('納品書明細F-15'!$B$9:$B$297,CONCATENATE(VLOOKUP(P$5,$G$1:$H$4,2,FALSE),$E122,9,0),'納品書明細F-15'!$Q$9:$Q$297)-VLOOKUP($E122,$E$9:$AF$92,$W$7-$D$7,0)</f>
        <v>0</v>
      </c>
      <c r="X122" s="69"/>
      <c r="Y122" s="646">
        <f>COUNTIF('納品書明細F-15'!$B$9:$B$297,CONCATENATE(VLOOKUP(Y$5,$G$1:$H$4,2,FALSE),$E122,1,1))-VLOOKUP($E122,$E$9:$AF$92,$Y$7-$D$7,0)</f>
        <v>0</v>
      </c>
      <c r="Z122" s="647">
        <f>SUMIF('納品書明細F-15'!$B$9:$B$297,CONCATENATE(VLOOKUP(Y$5,$G$1:$H$4,2,FALSE),$E122,1,1),'納品書明細F-15'!$Q$9:$Q$297)+SUMIF('納品書明細F-15'!$B$9:$B$297,CONCATENATE(VLOOKUP(Y$5,$G$1:$H$4,2,FALSE),$E122,1,0),'納品書明細F-15'!$Q$9:$Q$297)-VLOOKUP($E122,$E$9:$AF$92,$Z$7-$D$7,0)</f>
        <v>0</v>
      </c>
      <c r="AA122" s="345"/>
      <c r="AB122" s="122"/>
      <c r="AC122" s="128"/>
      <c r="AD122" s="345"/>
      <c r="AE122" s="638">
        <f>COUNTIF('納品書明細F-15'!$B$9:$B$297,CONCATENATE(VLOOKUP(Y$5,$G$1:$H$4,2,FALSE),$E122,9,1))-VLOOKUP($E122,$E$9:$AF$92,$AE$7-$D$7,0)</f>
        <v>0</v>
      </c>
      <c r="AF122" s="650">
        <f>SUMIF('納品書明細F-15'!$B$9:$B$297,CONCATENATE(VLOOKUP(Y$5,$G$1:$H$4,2,FALSE),$E122,9,1),'納品書明細F-15'!$Q$9:$Q$297)+SUMIF('納品書明細F-15'!$B$9:$B$297,CONCATENATE(VLOOKUP(Y$5,$G$1:$H$4,2,FALSE),$E122,9,0),'納品書明細F-15'!$Q$9:$Q$297)-VLOOKUP($E122,$E$9:$AF$92,$AF$7-$D$7,0)</f>
        <v>0</v>
      </c>
    </row>
    <row r="123" spans="1:32">
      <c r="A123" s="475" t="str">
        <f>IF(SUMIFS($G123:$AF123,$G$8:$AF$8,"金額",$G123:$AF123,"&gt;0")-SUMIFS($G123:$AF123,$G$8:$AF$8,"金額",$G123:$AF123,"&lt;0")&lt;=0,"",MAX($A$92:$A122)+1)</f>
        <v/>
      </c>
      <c r="B123" s="795"/>
      <c r="C123" s="245" t="str">
        <f t="shared" si="3"/>
        <v>経費</v>
      </c>
      <c r="D123" s="245">
        <v>31</v>
      </c>
      <c r="E123" s="593" t="str">
        <f>IF($F123&lt;&gt;"",INDEX(ﾏｽﾀ!$D$8:$D$124,MATCH(INDEX(ﾏｽﾀ!$N$8:$N$124,MATCH($F123,ﾏｽﾀ!$O$8:$O$124,0)),ﾏｽﾀ!$B$8:$B$124,0))&amp;"","")</f>
        <v>68000</v>
      </c>
      <c r="F123" s="594" t="str">
        <f>ﾏｽﾀ!$R38&amp;""</f>
        <v>株式会社サンライズ</v>
      </c>
      <c r="G123" s="646">
        <f>COUNTIF('納品書明細F-15'!$B$9:$B$297,CONCATENATE(VLOOKUP(G$5,$G$1:$H$4,2,FALSE),$E123,1,1))-VLOOKUP($E123,$E$9:$AF$92,$G$7-$D$7,0)</f>
        <v>0</v>
      </c>
      <c r="H123" s="652">
        <f>SUMIF('納品書明細F-15'!$B$9:$B$297,CONCATENATE(VLOOKUP(G$5,$G$1:$H$4,2,FALSE),$E123,1,1),'納品書明細F-15'!$Q$9:$Q$297)+SUMIF('納品書明細F-15'!$B$9:$B$297,CONCATENATE(VLOOKUP(G$5,$G$1:$H$4,2,FALSE),$E123,1,0),'納品書明細F-15'!$Q$9:$Q$297)-VLOOKUP($E123,$E$9:$AF$92,$H$7-$D$7,0)</f>
        <v>0</v>
      </c>
      <c r="I123" s="345"/>
      <c r="J123" s="122"/>
      <c r="K123" s="359"/>
      <c r="L123" s="345"/>
      <c r="M123" s="638">
        <f>COUNTIF('納品書明細F-15'!$B$9:$B$297,CONCATENATE(VLOOKUP(G$5,$G$1:$H$4,2,FALSE),$E123,9,1))-VLOOKUP($E123,$E$9:$AF$92,$M$7-$D$7,0)</f>
        <v>0</v>
      </c>
      <c r="N123" s="640">
        <f>SUMIF('納品書明細F-15'!$B$9:$B$297,CONCATENATE(VLOOKUP(G$5,$G$1:$H$4,2,FALSE),$E123,9,1),'納品書明細F-15'!$Q$9:$Q$297)+SUMIF('納品書明細F-15'!$B$9:$B$297,CONCATENATE(VLOOKUP(G$5,$G$1:$H$4,2,FALSE),$E123,9,0),'納品書明細F-15'!$Q$9:$Q$297)-VLOOKUP($E123,$E$9:$AF$92,$N$7-$D$7,0)</f>
        <v>0</v>
      </c>
      <c r="O123" s="69"/>
      <c r="P123" s="646">
        <f>COUNTIF('納品書明細F-15'!$B$9:$B$297,CONCATENATE(VLOOKUP(P$5,$G$1:$H$4,2,FALSE),$E123,1,1))-VLOOKUP($E123,$E$9:$AF$92,$P$7-$D$7,0)</f>
        <v>0</v>
      </c>
      <c r="Q123" s="647">
        <f>SUMIF('納品書明細F-15'!$B$9:$B$297,CONCATENATE(VLOOKUP(P$5,$G$1:$H$4,2,FALSE),$E123,1,1),'納品書明細F-15'!$Q$9:$Q$297)+SUMIF('納品書明細F-15'!$B$9:$B$297,CONCATENATE(VLOOKUP(P$5,$G$1:$H$4,2,FALSE),$E123,1,0),'納品書明細F-15'!$Q$9:$Q$297)-VLOOKUP($E123,$E$9:$AF$92,$Q$7-$D$7,0)</f>
        <v>0</v>
      </c>
      <c r="R123" s="345"/>
      <c r="S123" s="122"/>
      <c r="T123" s="128"/>
      <c r="U123" s="345"/>
      <c r="V123" s="638">
        <f>COUNTIF('納品書明細F-15'!$B$9:$B$297,CONCATENATE(VLOOKUP(P$5,$G$1:$H$4,2,FALSE),$E123,9,1))-VLOOKUP($E123,$E$9:$AF$92,$V$7-$D$7,0)</f>
        <v>0</v>
      </c>
      <c r="W123" s="650">
        <f>SUMIF('納品書明細F-15'!$B$9:$B$297,CONCATENATE(VLOOKUP(P$5,$G$1:$H$4,2,FALSE),$E123,9,1),'納品書明細F-15'!$Q$9:$Q$297)+SUMIF('納品書明細F-15'!$B$9:$B$297,CONCATENATE(VLOOKUP(P$5,$G$1:$H$4,2,FALSE),$E123,9,0),'納品書明細F-15'!$Q$9:$Q$297)-VLOOKUP($E123,$E$9:$AF$92,$W$7-$D$7,0)</f>
        <v>0</v>
      </c>
      <c r="X123" s="69"/>
      <c r="Y123" s="646">
        <f>COUNTIF('納品書明細F-15'!$B$9:$B$297,CONCATENATE(VLOOKUP(Y$5,$G$1:$H$4,2,FALSE),$E123,1,1))-VLOOKUP($E123,$E$9:$AF$92,$Y$7-$D$7,0)</f>
        <v>0</v>
      </c>
      <c r="Z123" s="647">
        <f>SUMIF('納品書明細F-15'!$B$9:$B$297,CONCATENATE(VLOOKUP(Y$5,$G$1:$H$4,2,FALSE),$E123,1,1),'納品書明細F-15'!$Q$9:$Q$297)+SUMIF('納品書明細F-15'!$B$9:$B$297,CONCATENATE(VLOOKUP(Y$5,$G$1:$H$4,2,FALSE),$E123,1,0),'納品書明細F-15'!$Q$9:$Q$297)-VLOOKUP($E123,$E$9:$AF$92,$Z$7-$D$7,0)</f>
        <v>0</v>
      </c>
      <c r="AA123" s="345"/>
      <c r="AB123" s="122"/>
      <c r="AC123" s="128"/>
      <c r="AD123" s="345"/>
      <c r="AE123" s="638">
        <f>COUNTIF('納品書明細F-15'!$B$9:$B$297,CONCATENATE(VLOOKUP(Y$5,$G$1:$H$4,2,FALSE),$E123,9,1))-VLOOKUP($E123,$E$9:$AF$92,$AE$7-$D$7,0)</f>
        <v>0</v>
      </c>
      <c r="AF123" s="650">
        <f>SUMIF('納品書明細F-15'!$B$9:$B$297,CONCATENATE(VLOOKUP(Y$5,$G$1:$H$4,2,FALSE),$E123,9,1),'納品書明細F-15'!$Q$9:$Q$297)+SUMIF('納品書明細F-15'!$B$9:$B$297,CONCATENATE(VLOOKUP(Y$5,$G$1:$H$4,2,FALSE),$E123,9,0),'納品書明細F-15'!$Q$9:$Q$297)-VLOOKUP($E123,$E$9:$AF$92,$AF$7-$D$7,0)</f>
        <v>0</v>
      </c>
    </row>
    <row r="124" spans="1:32">
      <c r="A124" s="475" t="str">
        <f>IF(SUMIFS($G124:$AF124,$G$8:$AF$8,"金額",$G124:$AF124,"&gt;0")-SUMIFS($G124:$AF124,$G$8:$AF$8,"金額",$G124:$AF124,"&lt;0")&lt;=0,"",MAX($A$92:$A123)+1)</f>
        <v/>
      </c>
      <c r="B124" s="795"/>
      <c r="C124" s="245" t="str">
        <f t="shared" si="3"/>
        <v>経費</v>
      </c>
      <c r="D124" s="245">
        <v>32</v>
      </c>
      <c r="E124" s="593" t="str">
        <f>IF($F124&lt;&gt;"",INDEX(ﾏｽﾀ!$D$8:$D$124,MATCH(INDEX(ﾏｽﾀ!$N$8:$N$124,MATCH($F124,ﾏｽﾀ!$O$8:$O$124,0)),ﾏｽﾀ!$B$8:$B$124,0))&amp;"","")</f>
        <v>69000</v>
      </c>
      <c r="F124" s="594" t="str">
        <f>ﾏｽﾀ!$R39&amp;""</f>
        <v>株式会社ナムコ</v>
      </c>
      <c r="G124" s="646">
        <f>COUNTIF('納品書明細F-15'!$B$9:$B$297,CONCATENATE(VLOOKUP(G$5,$G$1:$H$4,2,FALSE),$E124,1,1))-VLOOKUP($E124,$E$9:$AF$92,$G$7-$D$7,0)</f>
        <v>0</v>
      </c>
      <c r="H124" s="652">
        <f>SUMIF('納品書明細F-15'!$B$9:$B$297,CONCATENATE(VLOOKUP(G$5,$G$1:$H$4,2,FALSE),$E124,1,1),'納品書明細F-15'!$Q$9:$Q$297)+SUMIF('納品書明細F-15'!$B$9:$B$297,CONCATENATE(VLOOKUP(G$5,$G$1:$H$4,2,FALSE),$E124,1,0),'納品書明細F-15'!$Q$9:$Q$297)-VLOOKUP($E124,$E$9:$AF$92,$H$7-$D$7,0)</f>
        <v>0</v>
      </c>
      <c r="I124" s="345"/>
      <c r="J124" s="122"/>
      <c r="K124" s="359"/>
      <c r="L124" s="345"/>
      <c r="M124" s="638">
        <f>COUNTIF('納品書明細F-15'!$B$9:$B$297,CONCATENATE(VLOOKUP(G$5,$G$1:$H$4,2,FALSE),$E124,9,1))-VLOOKUP($E124,$E$9:$AF$92,$M$7-$D$7,0)</f>
        <v>0</v>
      </c>
      <c r="N124" s="640">
        <f>SUMIF('納品書明細F-15'!$B$9:$B$297,CONCATENATE(VLOOKUP(G$5,$G$1:$H$4,2,FALSE),$E124,9,1),'納品書明細F-15'!$Q$9:$Q$297)+SUMIF('納品書明細F-15'!$B$9:$B$297,CONCATENATE(VLOOKUP(G$5,$G$1:$H$4,2,FALSE),$E124,9,0),'納品書明細F-15'!$Q$9:$Q$297)-VLOOKUP($E124,$E$9:$AF$92,$N$7-$D$7,0)</f>
        <v>0</v>
      </c>
      <c r="O124" s="69"/>
      <c r="P124" s="646">
        <f>COUNTIF('納品書明細F-15'!$B$9:$B$297,CONCATENATE(VLOOKUP(P$5,$G$1:$H$4,2,FALSE),$E124,1,1))-VLOOKUP($E124,$E$9:$AF$92,$P$7-$D$7,0)</f>
        <v>0</v>
      </c>
      <c r="Q124" s="647">
        <f>SUMIF('納品書明細F-15'!$B$9:$B$297,CONCATENATE(VLOOKUP(P$5,$G$1:$H$4,2,FALSE),$E124,1,1),'納品書明細F-15'!$Q$9:$Q$297)+SUMIF('納品書明細F-15'!$B$9:$B$297,CONCATENATE(VLOOKUP(P$5,$G$1:$H$4,2,FALSE),$E124,1,0),'納品書明細F-15'!$Q$9:$Q$297)-VLOOKUP($E124,$E$9:$AF$92,$Q$7-$D$7,0)</f>
        <v>0</v>
      </c>
      <c r="R124" s="345"/>
      <c r="S124" s="122"/>
      <c r="T124" s="128"/>
      <c r="U124" s="345"/>
      <c r="V124" s="638">
        <f>COUNTIF('納品書明細F-15'!$B$9:$B$297,CONCATENATE(VLOOKUP(P$5,$G$1:$H$4,2,FALSE),$E124,9,1))-VLOOKUP($E124,$E$9:$AF$92,$V$7-$D$7,0)</f>
        <v>0</v>
      </c>
      <c r="W124" s="650">
        <f>SUMIF('納品書明細F-15'!$B$9:$B$297,CONCATENATE(VLOOKUP(P$5,$G$1:$H$4,2,FALSE),$E124,9,1),'納品書明細F-15'!$Q$9:$Q$297)+SUMIF('納品書明細F-15'!$B$9:$B$297,CONCATENATE(VLOOKUP(P$5,$G$1:$H$4,2,FALSE),$E124,9,0),'納品書明細F-15'!$Q$9:$Q$297)-VLOOKUP($E124,$E$9:$AF$92,$W$7-$D$7,0)</f>
        <v>0</v>
      </c>
      <c r="X124" s="69"/>
      <c r="Y124" s="646">
        <f>COUNTIF('納品書明細F-15'!$B$9:$B$297,CONCATENATE(VLOOKUP(Y$5,$G$1:$H$4,2,FALSE),$E124,1,1))-VLOOKUP($E124,$E$9:$AF$92,$Y$7-$D$7,0)</f>
        <v>0</v>
      </c>
      <c r="Z124" s="647">
        <f>SUMIF('納品書明細F-15'!$B$9:$B$297,CONCATENATE(VLOOKUP(Y$5,$G$1:$H$4,2,FALSE),$E124,1,1),'納品書明細F-15'!$Q$9:$Q$297)+SUMIF('納品書明細F-15'!$B$9:$B$297,CONCATENATE(VLOOKUP(Y$5,$G$1:$H$4,2,FALSE),$E124,1,0),'納品書明細F-15'!$Q$9:$Q$297)-VLOOKUP($E124,$E$9:$AF$92,$Z$7-$D$7,0)</f>
        <v>0</v>
      </c>
      <c r="AA124" s="345"/>
      <c r="AB124" s="122"/>
      <c r="AC124" s="128"/>
      <c r="AD124" s="345"/>
      <c r="AE124" s="638">
        <f>COUNTIF('納品書明細F-15'!$B$9:$B$297,CONCATENATE(VLOOKUP(Y$5,$G$1:$H$4,2,FALSE),$E124,9,1))-VLOOKUP($E124,$E$9:$AF$92,$AE$7-$D$7,0)</f>
        <v>0</v>
      </c>
      <c r="AF124" s="650">
        <f>SUMIF('納品書明細F-15'!$B$9:$B$297,CONCATENATE(VLOOKUP(Y$5,$G$1:$H$4,2,FALSE),$E124,9,1),'納品書明細F-15'!$Q$9:$Q$297)+SUMIF('納品書明細F-15'!$B$9:$B$297,CONCATENATE(VLOOKUP(Y$5,$G$1:$H$4,2,FALSE),$E124,9,0),'納品書明細F-15'!$Q$9:$Q$297)-VLOOKUP($E124,$E$9:$AF$92,$AF$7-$D$7,0)</f>
        <v>0</v>
      </c>
    </row>
    <row r="125" spans="1:32">
      <c r="A125" s="475" t="str">
        <f>IF(SUMIFS($G125:$AF125,$G$8:$AF$8,"金額",$G125:$AF125,"&gt;0")-SUMIFS($G125:$AF125,$G$8:$AF$8,"金額",$G125:$AF125,"&lt;0")&lt;=0,"",MAX($A$92:$A124)+1)</f>
        <v/>
      </c>
      <c r="B125" s="795"/>
      <c r="C125" s="245" t="str">
        <f t="shared" ref="C125:C156" si="4">CONCATENATE("経費",$A125)</f>
        <v>経費</v>
      </c>
      <c r="D125" s="245">
        <v>33</v>
      </c>
      <c r="E125" s="593" t="str">
        <f>IF($F125&lt;&gt;"",INDEX(ﾏｽﾀ!$D$8:$D$124,MATCH(INDEX(ﾏｽﾀ!$N$8:$N$124,MATCH($F125,ﾏｽﾀ!$O$8:$O$124,0)),ﾏｽﾀ!$B$8:$B$124,0))&amp;"","")</f>
        <v>70000</v>
      </c>
      <c r="F125" s="594" t="str">
        <f>ﾏｽﾀ!$R40&amp;""</f>
        <v>株式会社ウィンウィンスタイル</v>
      </c>
      <c r="G125" s="646">
        <f>COUNTIF('納品書明細F-15'!$B$9:$B$297,CONCATENATE(VLOOKUP(G$5,$G$1:$H$4,2,FALSE),$E125,1,1))-VLOOKUP($E125,$E$9:$AF$92,$G$7-$D$7,0)</f>
        <v>0</v>
      </c>
      <c r="H125" s="652">
        <f>SUMIF('納品書明細F-15'!$B$9:$B$297,CONCATENATE(VLOOKUP(G$5,$G$1:$H$4,2,FALSE),$E125,1,1),'納品書明細F-15'!$Q$9:$Q$297)+SUMIF('納品書明細F-15'!$B$9:$B$297,CONCATENATE(VLOOKUP(G$5,$G$1:$H$4,2,FALSE),$E125,1,0),'納品書明細F-15'!$Q$9:$Q$297)-VLOOKUP($E125,$E$9:$AF$92,$H$7-$D$7,0)</f>
        <v>0</v>
      </c>
      <c r="I125" s="345"/>
      <c r="J125" s="122"/>
      <c r="K125" s="359"/>
      <c r="L125" s="345"/>
      <c r="M125" s="638">
        <f>COUNTIF('納品書明細F-15'!$B$9:$B$297,CONCATENATE(VLOOKUP(G$5,$G$1:$H$4,2,FALSE),$E125,9,1))-VLOOKUP($E125,$E$9:$AF$92,$M$7-$D$7,0)</f>
        <v>0</v>
      </c>
      <c r="N125" s="640">
        <f>SUMIF('納品書明細F-15'!$B$9:$B$297,CONCATENATE(VLOOKUP(G$5,$G$1:$H$4,2,FALSE),$E125,9,1),'納品書明細F-15'!$Q$9:$Q$297)+SUMIF('納品書明細F-15'!$B$9:$B$297,CONCATENATE(VLOOKUP(G$5,$G$1:$H$4,2,FALSE),$E125,9,0),'納品書明細F-15'!$Q$9:$Q$297)-VLOOKUP($E125,$E$9:$AF$92,$N$7-$D$7,0)</f>
        <v>0</v>
      </c>
      <c r="O125" s="69"/>
      <c r="P125" s="646">
        <f>COUNTIF('納品書明細F-15'!$B$9:$B$297,CONCATENATE(VLOOKUP(P$5,$G$1:$H$4,2,FALSE),$E125,1,1))-VLOOKUP($E125,$E$9:$AF$92,$P$7-$D$7,0)</f>
        <v>0</v>
      </c>
      <c r="Q125" s="647">
        <f>SUMIF('納品書明細F-15'!$B$9:$B$297,CONCATENATE(VLOOKUP(P$5,$G$1:$H$4,2,FALSE),$E125,1,1),'納品書明細F-15'!$Q$9:$Q$297)+SUMIF('納品書明細F-15'!$B$9:$B$297,CONCATENATE(VLOOKUP(P$5,$G$1:$H$4,2,FALSE),$E125,1,0),'納品書明細F-15'!$Q$9:$Q$297)-VLOOKUP($E125,$E$9:$AF$92,$Q$7-$D$7,0)</f>
        <v>0</v>
      </c>
      <c r="R125" s="345"/>
      <c r="S125" s="122"/>
      <c r="T125" s="128"/>
      <c r="U125" s="345"/>
      <c r="V125" s="638">
        <f>COUNTIF('納品書明細F-15'!$B$9:$B$297,CONCATENATE(VLOOKUP(P$5,$G$1:$H$4,2,FALSE),$E125,9,1))-VLOOKUP($E125,$E$9:$AF$92,$V$7-$D$7,0)</f>
        <v>0</v>
      </c>
      <c r="W125" s="650">
        <f>SUMIF('納品書明細F-15'!$B$9:$B$297,CONCATENATE(VLOOKUP(P$5,$G$1:$H$4,2,FALSE),$E125,9,1),'納品書明細F-15'!$Q$9:$Q$297)+SUMIF('納品書明細F-15'!$B$9:$B$297,CONCATENATE(VLOOKUP(P$5,$G$1:$H$4,2,FALSE),$E125,9,0),'納品書明細F-15'!$Q$9:$Q$297)-VLOOKUP($E125,$E$9:$AF$92,$W$7-$D$7,0)</f>
        <v>0</v>
      </c>
      <c r="X125" s="69"/>
      <c r="Y125" s="646">
        <f>COUNTIF('納品書明細F-15'!$B$9:$B$297,CONCATENATE(VLOOKUP(Y$5,$G$1:$H$4,2,FALSE),$E125,1,1))-VLOOKUP($E125,$E$9:$AF$92,$Y$7-$D$7,0)</f>
        <v>0</v>
      </c>
      <c r="Z125" s="647">
        <f>SUMIF('納品書明細F-15'!$B$9:$B$297,CONCATENATE(VLOOKUP(Y$5,$G$1:$H$4,2,FALSE),$E125,1,1),'納品書明細F-15'!$Q$9:$Q$297)+SUMIF('納品書明細F-15'!$B$9:$B$297,CONCATENATE(VLOOKUP(Y$5,$G$1:$H$4,2,FALSE),$E125,1,0),'納品書明細F-15'!$Q$9:$Q$297)-VLOOKUP($E125,$E$9:$AF$92,$Z$7-$D$7,0)</f>
        <v>0</v>
      </c>
      <c r="AA125" s="345"/>
      <c r="AB125" s="122"/>
      <c r="AC125" s="128"/>
      <c r="AD125" s="345"/>
      <c r="AE125" s="638">
        <f>COUNTIF('納品書明細F-15'!$B$9:$B$297,CONCATENATE(VLOOKUP(Y$5,$G$1:$H$4,2,FALSE),$E125,9,1))-VLOOKUP($E125,$E$9:$AF$92,$AE$7-$D$7,0)</f>
        <v>0</v>
      </c>
      <c r="AF125" s="650">
        <f>SUMIF('納品書明細F-15'!$B$9:$B$297,CONCATENATE(VLOOKUP(Y$5,$G$1:$H$4,2,FALSE),$E125,9,1),'納品書明細F-15'!$Q$9:$Q$297)+SUMIF('納品書明細F-15'!$B$9:$B$297,CONCATENATE(VLOOKUP(Y$5,$G$1:$H$4,2,FALSE),$E125,9,0),'納品書明細F-15'!$Q$9:$Q$297)-VLOOKUP($E125,$E$9:$AF$92,$AF$7-$D$7,0)</f>
        <v>0</v>
      </c>
    </row>
    <row r="126" spans="1:32">
      <c r="A126" s="475" t="str">
        <f>IF(SUMIFS($G126:$AF126,$G$8:$AF$8,"金額",$G126:$AF126,"&gt;0")-SUMIFS($G126:$AF126,$G$8:$AF$8,"金額",$G126:$AF126,"&lt;0")&lt;=0,"",MAX($A$92:$A125)+1)</f>
        <v/>
      </c>
      <c r="B126" s="795"/>
      <c r="C126" s="245" t="str">
        <f t="shared" si="4"/>
        <v>経費</v>
      </c>
      <c r="D126" s="245">
        <v>34</v>
      </c>
      <c r="E126" s="593" t="str">
        <f>IF($F126&lt;&gt;"",INDEX(ﾏｽﾀ!$D$8:$D$124,MATCH(INDEX(ﾏｽﾀ!$N$8:$N$124,MATCH($F126,ﾏｽﾀ!$O$8:$O$124,0)),ﾏｽﾀ!$B$8:$B$124,0))&amp;"","")</f>
        <v>71000</v>
      </c>
      <c r="F126" s="594" t="str">
        <f>ﾏｽﾀ!$R41&amp;""</f>
        <v>プラネックスコミュニケーションズ株式会社</v>
      </c>
      <c r="G126" s="646">
        <f>COUNTIF('納品書明細F-15'!$B$9:$B$297,CONCATENATE(VLOOKUP(G$5,$G$1:$H$4,2,FALSE),$E126,1,1))-VLOOKUP($E126,$E$9:$AF$92,$G$7-$D$7,0)</f>
        <v>0</v>
      </c>
      <c r="H126" s="652">
        <f>SUMIF('納品書明細F-15'!$B$9:$B$297,CONCATENATE(VLOOKUP(G$5,$G$1:$H$4,2,FALSE),$E126,1,1),'納品書明細F-15'!$Q$9:$Q$297)+SUMIF('納品書明細F-15'!$B$9:$B$297,CONCATENATE(VLOOKUP(G$5,$G$1:$H$4,2,FALSE),$E126,1,0),'納品書明細F-15'!$Q$9:$Q$297)-VLOOKUP($E126,$E$9:$AF$92,$H$7-$D$7,0)</f>
        <v>0</v>
      </c>
      <c r="I126" s="345"/>
      <c r="J126" s="122"/>
      <c r="K126" s="359"/>
      <c r="L126" s="345"/>
      <c r="M126" s="638">
        <f>COUNTIF('納品書明細F-15'!$B$9:$B$297,CONCATENATE(VLOOKUP(G$5,$G$1:$H$4,2,FALSE),$E126,9,1))-VLOOKUP($E126,$E$9:$AF$92,$M$7-$D$7,0)</f>
        <v>0</v>
      </c>
      <c r="N126" s="640">
        <f>SUMIF('納品書明細F-15'!$B$9:$B$297,CONCATENATE(VLOOKUP(G$5,$G$1:$H$4,2,FALSE),$E126,9,1),'納品書明細F-15'!$Q$9:$Q$297)+SUMIF('納品書明細F-15'!$B$9:$B$297,CONCATENATE(VLOOKUP(G$5,$G$1:$H$4,2,FALSE),$E126,9,0),'納品書明細F-15'!$Q$9:$Q$297)-VLOOKUP($E126,$E$9:$AF$92,$N$7-$D$7,0)</f>
        <v>0</v>
      </c>
      <c r="O126" s="69"/>
      <c r="P126" s="646">
        <f>COUNTIF('納品書明細F-15'!$B$9:$B$297,CONCATENATE(VLOOKUP(P$5,$G$1:$H$4,2,FALSE),$E126,1,1))-VLOOKUP($E126,$E$9:$AF$92,$P$7-$D$7,0)</f>
        <v>0</v>
      </c>
      <c r="Q126" s="647">
        <f>SUMIF('納品書明細F-15'!$B$9:$B$297,CONCATENATE(VLOOKUP(P$5,$G$1:$H$4,2,FALSE),$E126,1,1),'納品書明細F-15'!$Q$9:$Q$297)+SUMIF('納品書明細F-15'!$B$9:$B$297,CONCATENATE(VLOOKUP(P$5,$G$1:$H$4,2,FALSE),$E126,1,0),'納品書明細F-15'!$Q$9:$Q$297)-VLOOKUP($E126,$E$9:$AF$92,$Q$7-$D$7,0)</f>
        <v>0</v>
      </c>
      <c r="R126" s="345"/>
      <c r="S126" s="122"/>
      <c r="T126" s="128"/>
      <c r="U126" s="345"/>
      <c r="V126" s="638">
        <f>COUNTIF('納品書明細F-15'!$B$9:$B$297,CONCATENATE(VLOOKUP(P$5,$G$1:$H$4,2,FALSE),$E126,9,1))-VLOOKUP($E126,$E$9:$AF$92,$V$7-$D$7,0)</f>
        <v>0</v>
      </c>
      <c r="W126" s="650">
        <f>SUMIF('納品書明細F-15'!$B$9:$B$297,CONCATENATE(VLOOKUP(P$5,$G$1:$H$4,2,FALSE),$E126,9,1),'納品書明細F-15'!$Q$9:$Q$297)+SUMIF('納品書明細F-15'!$B$9:$B$297,CONCATENATE(VLOOKUP(P$5,$G$1:$H$4,2,FALSE),$E126,9,0),'納品書明細F-15'!$Q$9:$Q$297)-VLOOKUP($E126,$E$9:$AF$92,$W$7-$D$7,0)</f>
        <v>0</v>
      </c>
      <c r="X126" s="69"/>
      <c r="Y126" s="646">
        <f>COUNTIF('納品書明細F-15'!$B$9:$B$297,CONCATENATE(VLOOKUP(Y$5,$G$1:$H$4,2,FALSE),$E126,1,1))-VLOOKUP($E126,$E$9:$AF$92,$Y$7-$D$7,0)</f>
        <v>0</v>
      </c>
      <c r="Z126" s="647">
        <f>SUMIF('納品書明細F-15'!$B$9:$B$297,CONCATENATE(VLOOKUP(Y$5,$G$1:$H$4,2,FALSE),$E126,1,1),'納品書明細F-15'!$Q$9:$Q$297)+SUMIF('納品書明細F-15'!$B$9:$B$297,CONCATENATE(VLOOKUP(Y$5,$G$1:$H$4,2,FALSE),$E126,1,0),'納品書明細F-15'!$Q$9:$Q$297)-VLOOKUP($E126,$E$9:$AF$92,$Z$7-$D$7,0)</f>
        <v>0</v>
      </c>
      <c r="AA126" s="345"/>
      <c r="AB126" s="122"/>
      <c r="AC126" s="128"/>
      <c r="AD126" s="345"/>
      <c r="AE126" s="638">
        <f>COUNTIF('納品書明細F-15'!$B$9:$B$297,CONCATENATE(VLOOKUP(Y$5,$G$1:$H$4,2,FALSE),$E126,9,1))-VLOOKUP($E126,$E$9:$AF$92,$AE$7-$D$7,0)</f>
        <v>0</v>
      </c>
      <c r="AF126" s="650">
        <f>SUMIF('納品書明細F-15'!$B$9:$B$297,CONCATENATE(VLOOKUP(Y$5,$G$1:$H$4,2,FALSE),$E126,9,1),'納品書明細F-15'!$Q$9:$Q$297)+SUMIF('納品書明細F-15'!$B$9:$B$297,CONCATENATE(VLOOKUP(Y$5,$G$1:$H$4,2,FALSE),$E126,9,0),'納品書明細F-15'!$Q$9:$Q$297)-VLOOKUP($E126,$E$9:$AF$92,$AF$7-$D$7,0)</f>
        <v>0</v>
      </c>
    </row>
    <row r="127" spans="1:32">
      <c r="A127" s="475" t="str">
        <f>IF(SUMIFS($G127:$AF127,$G$8:$AF$8,"金額",$G127:$AF127,"&gt;0")-SUMIFS($G127:$AF127,$G$8:$AF$8,"金額",$G127:$AF127,"&lt;0")&lt;=0,"",MAX($A$92:$A126)+1)</f>
        <v/>
      </c>
      <c r="B127" s="795"/>
      <c r="C127" s="245" t="str">
        <f t="shared" si="4"/>
        <v>経費</v>
      </c>
      <c r="D127" s="245">
        <v>35</v>
      </c>
      <c r="E127" s="593" t="str">
        <f>IF($F127&lt;&gt;"",INDEX(ﾏｽﾀ!$D$8:$D$124,MATCH(INDEX(ﾏｽﾀ!$N$8:$N$124,MATCH($F127,ﾏｽﾀ!$O$8:$O$124,0)),ﾏｽﾀ!$B$8:$B$124,0))&amp;"","")</f>
        <v>72000</v>
      </c>
      <c r="F127" s="594" t="str">
        <f>ﾏｽﾀ!$R42&amp;""</f>
        <v>株式会社ダイワトーイ</v>
      </c>
      <c r="G127" s="646">
        <f>COUNTIF('納品書明細F-15'!$B$9:$B$297,CONCATENATE(VLOOKUP(G$5,$G$1:$H$4,2,FALSE),$E127,1,1))-VLOOKUP($E127,$E$9:$AF$92,$G$7-$D$7,0)</f>
        <v>0</v>
      </c>
      <c r="H127" s="652">
        <f>SUMIF('納品書明細F-15'!$B$9:$B$297,CONCATENATE(VLOOKUP(G$5,$G$1:$H$4,2,FALSE),$E127,1,1),'納品書明細F-15'!$Q$9:$Q$297)+SUMIF('納品書明細F-15'!$B$9:$B$297,CONCATENATE(VLOOKUP(G$5,$G$1:$H$4,2,FALSE),$E127,1,0),'納品書明細F-15'!$Q$9:$Q$297)-VLOOKUP($E127,$E$9:$AF$92,$H$7-$D$7,0)</f>
        <v>0</v>
      </c>
      <c r="I127" s="345"/>
      <c r="J127" s="122"/>
      <c r="K127" s="359"/>
      <c r="L127" s="345"/>
      <c r="M127" s="638">
        <f>COUNTIF('納品書明細F-15'!$B$9:$B$297,CONCATENATE(VLOOKUP(G$5,$G$1:$H$4,2,FALSE),$E127,9,1))-VLOOKUP($E127,$E$9:$AF$92,$M$7-$D$7,0)</f>
        <v>0</v>
      </c>
      <c r="N127" s="640">
        <f>SUMIF('納品書明細F-15'!$B$9:$B$297,CONCATENATE(VLOOKUP(G$5,$G$1:$H$4,2,FALSE),$E127,9,1),'納品書明細F-15'!$Q$9:$Q$297)+SUMIF('納品書明細F-15'!$B$9:$B$297,CONCATENATE(VLOOKUP(G$5,$G$1:$H$4,2,FALSE),$E127,9,0),'納品書明細F-15'!$Q$9:$Q$297)-VLOOKUP($E127,$E$9:$AF$92,$N$7-$D$7,0)</f>
        <v>0</v>
      </c>
      <c r="O127" s="69"/>
      <c r="P127" s="646">
        <f>COUNTIF('納品書明細F-15'!$B$9:$B$297,CONCATENATE(VLOOKUP(P$5,$G$1:$H$4,2,FALSE),$E127,1,1))-VLOOKUP($E127,$E$9:$AF$92,$P$7-$D$7,0)</f>
        <v>0</v>
      </c>
      <c r="Q127" s="647">
        <f>SUMIF('納品書明細F-15'!$B$9:$B$297,CONCATENATE(VLOOKUP(P$5,$G$1:$H$4,2,FALSE),$E127,1,1),'納品書明細F-15'!$Q$9:$Q$297)+SUMIF('納品書明細F-15'!$B$9:$B$297,CONCATENATE(VLOOKUP(P$5,$G$1:$H$4,2,FALSE),$E127,1,0),'納品書明細F-15'!$Q$9:$Q$297)-VLOOKUP($E127,$E$9:$AF$92,$Q$7-$D$7,0)</f>
        <v>0</v>
      </c>
      <c r="R127" s="345"/>
      <c r="S127" s="122"/>
      <c r="T127" s="128"/>
      <c r="U127" s="345"/>
      <c r="V127" s="638">
        <f>COUNTIF('納品書明細F-15'!$B$9:$B$297,CONCATENATE(VLOOKUP(P$5,$G$1:$H$4,2,FALSE),$E127,9,1))-VLOOKUP($E127,$E$9:$AF$92,$V$7-$D$7,0)</f>
        <v>0</v>
      </c>
      <c r="W127" s="650">
        <f>SUMIF('納品書明細F-15'!$B$9:$B$297,CONCATENATE(VLOOKUP(P$5,$G$1:$H$4,2,FALSE),$E127,9,1),'納品書明細F-15'!$Q$9:$Q$297)+SUMIF('納品書明細F-15'!$B$9:$B$297,CONCATENATE(VLOOKUP(P$5,$G$1:$H$4,2,FALSE),$E127,9,0),'納品書明細F-15'!$Q$9:$Q$297)-VLOOKUP($E127,$E$9:$AF$92,$W$7-$D$7,0)</f>
        <v>0</v>
      </c>
      <c r="X127" s="69"/>
      <c r="Y127" s="646">
        <f>COUNTIF('納品書明細F-15'!$B$9:$B$297,CONCATENATE(VLOOKUP(Y$5,$G$1:$H$4,2,FALSE),$E127,1,1))-VLOOKUP($E127,$E$9:$AF$92,$Y$7-$D$7,0)</f>
        <v>0</v>
      </c>
      <c r="Z127" s="647">
        <f>SUMIF('納品書明細F-15'!$B$9:$B$297,CONCATENATE(VLOOKUP(Y$5,$G$1:$H$4,2,FALSE),$E127,1,1),'納品書明細F-15'!$Q$9:$Q$297)+SUMIF('納品書明細F-15'!$B$9:$B$297,CONCATENATE(VLOOKUP(Y$5,$G$1:$H$4,2,FALSE),$E127,1,0),'納品書明細F-15'!$Q$9:$Q$297)-VLOOKUP($E127,$E$9:$AF$92,$Z$7-$D$7,0)</f>
        <v>0</v>
      </c>
      <c r="AA127" s="345"/>
      <c r="AB127" s="122"/>
      <c r="AC127" s="128"/>
      <c r="AD127" s="345"/>
      <c r="AE127" s="638">
        <f>COUNTIF('納品書明細F-15'!$B$9:$B$297,CONCATENATE(VLOOKUP(Y$5,$G$1:$H$4,2,FALSE),$E127,9,1))-VLOOKUP($E127,$E$9:$AF$92,$AE$7-$D$7,0)</f>
        <v>0</v>
      </c>
      <c r="AF127" s="650">
        <f>SUMIF('納品書明細F-15'!$B$9:$B$297,CONCATENATE(VLOOKUP(Y$5,$G$1:$H$4,2,FALSE),$E127,9,1),'納品書明細F-15'!$Q$9:$Q$297)+SUMIF('納品書明細F-15'!$B$9:$B$297,CONCATENATE(VLOOKUP(Y$5,$G$1:$H$4,2,FALSE),$E127,9,0),'納品書明細F-15'!$Q$9:$Q$297)-VLOOKUP($E127,$E$9:$AF$92,$AF$7-$D$7,0)</f>
        <v>0</v>
      </c>
    </row>
    <row r="128" spans="1:32">
      <c r="A128" s="475" t="str">
        <f>IF(SUMIFS($G128:$AF128,$G$8:$AF$8,"金額",$G128:$AF128,"&gt;0")-SUMIFS($G128:$AF128,$G$8:$AF$8,"金額",$G128:$AF128,"&lt;0")&lt;=0,"",MAX($A$92:$A127)+1)</f>
        <v/>
      </c>
      <c r="B128" s="795"/>
      <c r="C128" s="245" t="str">
        <f t="shared" si="4"/>
        <v>経費</v>
      </c>
      <c r="D128" s="245">
        <v>36</v>
      </c>
      <c r="E128" s="593" t="str">
        <f>IF($F128&lt;&gt;"",INDEX(ﾏｽﾀ!$D$8:$D$124,MATCH(INDEX(ﾏｽﾀ!$N$8:$N$124,MATCH($F128,ﾏｽﾀ!$O$8:$O$124,0)),ﾏｽﾀ!$B$8:$B$124,0))&amp;"","")</f>
        <v>73000</v>
      </c>
      <c r="F128" s="594" t="str">
        <f>ﾏｽﾀ!$R43&amp;""</f>
        <v>株式会社プレックス</v>
      </c>
      <c r="G128" s="646">
        <f>COUNTIF('納品書明細F-15'!$B$9:$B$297,CONCATENATE(VLOOKUP(G$5,$G$1:$H$4,2,FALSE),$E128,1,1))-VLOOKUP($E128,$E$9:$AF$92,$G$7-$D$7,0)</f>
        <v>0</v>
      </c>
      <c r="H128" s="652">
        <f>SUMIF('納品書明細F-15'!$B$9:$B$297,CONCATENATE(VLOOKUP(G$5,$G$1:$H$4,2,FALSE),$E128,1,1),'納品書明細F-15'!$Q$9:$Q$297)+SUMIF('納品書明細F-15'!$B$9:$B$297,CONCATENATE(VLOOKUP(G$5,$G$1:$H$4,2,FALSE),$E128,1,0),'納品書明細F-15'!$Q$9:$Q$297)-VLOOKUP($E128,$E$9:$AF$92,$H$7-$D$7,0)</f>
        <v>0</v>
      </c>
      <c r="I128" s="345"/>
      <c r="J128" s="122"/>
      <c r="K128" s="359"/>
      <c r="L128" s="345"/>
      <c r="M128" s="638">
        <f>COUNTIF('納品書明細F-15'!$B$9:$B$297,CONCATENATE(VLOOKUP(G$5,$G$1:$H$4,2,FALSE),$E128,9,1))-VLOOKUP($E128,$E$9:$AF$92,$M$7-$D$7,0)</f>
        <v>0</v>
      </c>
      <c r="N128" s="640">
        <f>SUMIF('納品書明細F-15'!$B$9:$B$297,CONCATENATE(VLOOKUP(G$5,$G$1:$H$4,2,FALSE),$E128,9,1),'納品書明細F-15'!$Q$9:$Q$297)+SUMIF('納品書明細F-15'!$B$9:$B$297,CONCATENATE(VLOOKUP(G$5,$G$1:$H$4,2,FALSE),$E128,9,0),'納品書明細F-15'!$Q$9:$Q$297)-VLOOKUP($E128,$E$9:$AF$92,$N$7-$D$7,0)</f>
        <v>0</v>
      </c>
      <c r="O128" s="69"/>
      <c r="P128" s="646">
        <f>COUNTIF('納品書明細F-15'!$B$9:$B$297,CONCATENATE(VLOOKUP(P$5,$G$1:$H$4,2,FALSE),$E128,1,1))-VLOOKUP($E128,$E$9:$AF$92,$P$7-$D$7,0)</f>
        <v>0</v>
      </c>
      <c r="Q128" s="647">
        <f>SUMIF('納品書明細F-15'!$B$9:$B$297,CONCATENATE(VLOOKUP(P$5,$G$1:$H$4,2,FALSE),$E128,1,1),'納品書明細F-15'!$Q$9:$Q$297)+SUMIF('納品書明細F-15'!$B$9:$B$297,CONCATENATE(VLOOKUP(P$5,$G$1:$H$4,2,FALSE),$E128,1,0),'納品書明細F-15'!$Q$9:$Q$297)-VLOOKUP($E128,$E$9:$AF$92,$Q$7-$D$7,0)</f>
        <v>0</v>
      </c>
      <c r="R128" s="345"/>
      <c r="S128" s="122"/>
      <c r="T128" s="128"/>
      <c r="U128" s="345"/>
      <c r="V128" s="638">
        <f>COUNTIF('納品書明細F-15'!$B$9:$B$297,CONCATENATE(VLOOKUP(P$5,$G$1:$H$4,2,FALSE),$E128,9,1))-VLOOKUP($E128,$E$9:$AF$92,$V$7-$D$7,0)</f>
        <v>0</v>
      </c>
      <c r="W128" s="650">
        <f>SUMIF('納品書明細F-15'!$B$9:$B$297,CONCATENATE(VLOOKUP(P$5,$G$1:$H$4,2,FALSE),$E128,9,1),'納品書明細F-15'!$Q$9:$Q$297)+SUMIF('納品書明細F-15'!$B$9:$B$297,CONCATENATE(VLOOKUP(P$5,$G$1:$H$4,2,FALSE),$E128,9,0),'納品書明細F-15'!$Q$9:$Q$297)-VLOOKUP($E128,$E$9:$AF$92,$W$7-$D$7,0)</f>
        <v>0</v>
      </c>
      <c r="X128" s="69"/>
      <c r="Y128" s="646">
        <f>COUNTIF('納品書明細F-15'!$B$9:$B$297,CONCATENATE(VLOOKUP(Y$5,$G$1:$H$4,2,FALSE),$E128,1,1))-VLOOKUP($E128,$E$9:$AF$92,$Y$7-$D$7,0)</f>
        <v>0</v>
      </c>
      <c r="Z128" s="647">
        <f>SUMIF('納品書明細F-15'!$B$9:$B$297,CONCATENATE(VLOOKUP(Y$5,$G$1:$H$4,2,FALSE),$E128,1,1),'納品書明細F-15'!$Q$9:$Q$297)+SUMIF('納品書明細F-15'!$B$9:$B$297,CONCATENATE(VLOOKUP(Y$5,$G$1:$H$4,2,FALSE),$E128,1,0),'納品書明細F-15'!$Q$9:$Q$297)-VLOOKUP($E128,$E$9:$AF$92,$Z$7-$D$7,0)</f>
        <v>0</v>
      </c>
      <c r="AA128" s="345"/>
      <c r="AB128" s="122"/>
      <c r="AC128" s="128"/>
      <c r="AD128" s="345"/>
      <c r="AE128" s="638">
        <f>COUNTIF('納品書明細F-15'!$B$9:$B$297,CONCATENATE(VLOOKUP(Y$5,$G$1:$H$4,2,FALSE),$E128,9,1))-VLOOKUP($E128,$E$9:$AF$92,$AE$7-$D$7,0)</f>
        <v>0</v>
      </c>
      <c r="AF128" s="650">
        <f>SUMIF('納品書明細F-15'!$B$9:$B$297,CONCATENATE(VLOOKUP(Y$5,$G$1:$H$4,2,FALSE),$E128,9,1),'納品書明細F-15'!$Q$9:$Q$297)+SUMIF('納品書明細F-15'!$B$9:$B$297,CONCATENATE(VLOOKUP(Y$5,$G$1:$H$4,2,FALSE),$E128,9,0),'納品書明細F-15'!$Q$9:$Q$297)-VLOOKUP($E128,$E$9:$AF$92,$AF$7-$D$7,0)</f>
        <v>0</v>
      </c>
    </row>
    <row r="129" spans="1:32">
      <c r="A129" s="475" t="str">
        <f>IF(SUMIFS($G129:$AF129,$G$8:$AF$8,"金額",$G129:$AF129,"&gt;0")-SUMIFS($G129:$AF129,$G$8:$AF$8,"金額",$G129:$AF129,"&lt;0")&lt;=0,"",MAX($A$92:$A128)+1)</f>
        <v/>
      </c>
      <c r="B129" s="795"/>
      <c r="C129" s="245" t="str">
        <f t="shared" si="4"/>
        <v>経費</v>
      </c>
      <c r="D129" s="245">
        <v>37</v>
      </c>
      <c r="E129" s="593" t="str">
        <f>IF($F129&lt;&gt;"",INDEX(ﾏｽﾀ!$D$8:$D$124,MATCH(INDEX(ﾏｽﾀ!$N$8:$N$124,MATCH($F129,ﾏｽﾀ!$O$8:$O$124,0)),ﾏｽﾀ!$B$8:$B$124,0))&amp;"","")</f>
        <v>74000</v>
      </c>
      <c r="F129" s="594" t="str">
        <f>ﾏｽﾀ!$R44&amp;""</f>
        <v>株式会社シーズ</v>
      </c>
      <c r="G129" s="646">
        <f>COUNTIF('納品書明細F-15'!$B$9:$B$297,CONCATENATE(VLOOKUP(G$5,$G$1:$H$4,2,FALSE),$E129,1,1))-VLOOKUP($E129,$E$9:$AF$92,$G$7-$D$7,0)</f>
        <v>0</v>
      </c>
      <c r="H129" s="652">
        <f>SUMIF('納品書明細F-15'!$B$9:$B$297,CONCATENATE(VLOOKUP(G$5,$G$1:$H$4,2,FALSE),$E129,1,1),'納品書明細F-15'!$Q$9:$Q$297)+SUMIF('納品書明細F-15'!$B$9:$B$297,CONCATENATE(VLOOKUP(G$5,$G$1:$H$4,2,FALSE),$E129,1,0),'納品書明細F-15'!$Q$9:$Q$297)-VLOOKUP($E129,$E$9:$AF$92,$H$7-$D$7,0)</f>
        <v>0</v>
      </c>
      <c r="I129" s="345"/>
      <c r="J129" s="122"/>
      <c r="K129" s="359"/>
      <c r="L129" s="345"/>
      <c r="M129" s="638">
        <f>COUNTIF('納品書明細F-15'!$B$9:$B$297,CONCATENATE(VLOOKUP(G$5,$G$1:$H$4,2,FALSE),$E129,9,1))-VLOOKUP($E129,$E$9:$AF$92,$M$7-$D$7,0)</f>
        <v>0</v>
      </c>
      <c r="N129" s="640">
        <f>SUMIF('納品書明細F-15'!$B$9:$B$297,CONCATENATE(VLOOKUP(G$5,$G$1:$H$4,2,FALSE),$E129,9,1),'納品書明細F-15'!$Q$9:$Q$297)+SUMIF('納品書明細F-15'!$B$9:$B$297,CONCATENATE(VLOOKUP(G$5,$G$1:$H$4,2,FALSE),$E129,9,0),'納品書明細F-15'!$Q$9:$Q$297)-VLOOKUP($E129,$E$9:$AF$92,$N$7-$D$7,0)</f>
        <v>0</v>
      </c>
      <c r="O129" s="69"/>
      <c r="P129" s="646">
        <f>COUNTIF('納品書明細F-15'!$B$9:$B$297,CONCATENATE(VLOOKUP(P$5,$G$1:$H$4,2,FALSE),$E129,1,1))-VLOOKUP($E129,$E$9:$AF$92,$P$7-$D$7,0)</f>
        <v>0</v>
      </c>
      <c r="Q129" s="647">
        <f>SUMIF('納品書明細F-15'!$B$9:$B$297,CONCATENATE(VLOOKUP(P$5,$G$1:$H$4,2,FALSE),$E129,1,1),'納品書明細F-15'!$Q$9:$Q$297)+SUMIF('納品書明細F-15'!$B$9:$B$297,CONCATENATE(VLOOKUP(P$5,$G$1:$H$4,2,FALSE),$E129,1,0),'納品書明細F-15'!$Q$9:$Q$297)-VLOOKUP($E129,$E$9:$AF$92,$Q$7-$D$7,0)</f>
        <v>0</v>
      </c>
      <c r="R129" s="345"/>
      <c r="S129" s="122"/>
      <c r="T129" s="128"/>
      <c r="U129" s="345"/>
      <c r="V129" s="638">
        <f>COUNTIF('納品書明細F-15'!$B$9:$B$297,CONCATENATE(VLOOKUP(P$5,$G$1:$H$4,2,FALSE),$E129,9,1))-VLOOKUP($E129,$E$9:$AF$92,$V$7-$D$7,0)</f>
        <v>0</v>
      </c>
      <c r="W129" s="650">
        <f>SUMIF('納品書明細F-15'!$B$9:$B$297,CONCATENATE(VLOOKUP(P$5,$G$1:$H$4,2,FALSE),$E129,9,1),'納品書明細F-15'!$Q$9:$Q$297)+SUMIF('納品書明細F-15'!$B$9:$B$297,CONCATENATE(VLOOKUP(P$5,$G$1:$H$4,2,FALSE),$E129,9,0),'納品書明細F-15'!$Q$9:$Q$297)-VLOOKUP($E129,$E$9:$AF$92,$W$7-$D$7,0)</f>
        <v>0</v>
      </c>
      <c r="X129" s="69"/>
      <c r="Y129" s="646">
        <f>COUNTIF('納品書明細F-15'!$B$9:$B$297,CONCATENATE(VLOOKUP(Y$5,$G$1:$H$4,2,FALSE),$E129,1,1))-VLOOKUP($E129,$E$9:$AF$92,$Y$7-$D$7,0)</f>
        <v>0</v>
      </c>
      <c r="Z129" s="647">
        <f>SUMIF('納品書明細F-15'!$B$9:$B$297,CONCATENATE(VLOOKUP(Y$5,$G$1:$H$4,2,FALSE),$E129,1,1),'納品書明細F-15'!$Q$9:$Q$297)+SUMIF('納品書明細F-15'!$B$9:$B$297,CONCATENATE(VLOOKUP(Y$5,$G$1:$H$4,2,FALSE),$E129,1,0),'納品書明細F-15'!$Q$9:$Q$297)-VLOOKUP($E129,$E$9:$AF$92,$Z$7-$D$7,0)</f>
        <v>0</v>
      </c>
      <c r="AA129" s="345"/>
      <c r="AB129" s="122"/>
      <c r="AC129" s="128"/>
      <c r="AD129" s="345"/>
      <c r="AE129" s="638">
        <f>COUNTIF('納品書明細F-15'!$B$9:$B$297,CONCATENATE(VLOOKUP(Y$5,$G$1:$H$4,2,FALSE),$E129,9,1))-VLOOKUP($E129,$E$9:$AF$92,$AE$7-$D$7,0)</f>
        <v>0</v>
      </c>
      <c r="AF129" s="650">
        <f>SUMIF('納品書明細F-15'!$B$9:$B$297,CONCATENATE(VLOOKUP(Y$5,$G$1:$H$4,2,FALSE),$E129,9,1),'納品書明細F-15'!$Q$9:$Q$297)+SUMIF('納品書明細F-15'!$B$9:$B$297,CONCATENATE(VLOOKUP(Y$5,$G$1:$H$4,2,FALSE),$E129,9,0),'納品書明細F-15'!$Q$9:$Q$297)-VLOOKUP($E129,$E$9:$AF$92,$AF$7-$D$7,0)</f>
        <v>0</v>
      </c>
    </row>
    <row r="130" spans="1:32">
      <c r="A130" s="475" t="str">
        <f>IF(SUMIFS($G130:$AF130,$G$8:$AF$8,"金額",$G130:$AF130,"&gt;0")-SUMIFS($G130:$AF130,$G$8:$AF$8,"金額",$G130:$AF130,"&lt;0")&lt;=0,"",MAX($A$92:$A129)+1)</f>
        <v/>
      </c>
      <c r="B130" s="795"/>
      <c r="C130" s="245" t="str">
        <f t="shared" si="4"/>
        <v>経費</v>
      </c>
      <c r="D130" s="245">
        <v>38</v>
      </c>
      <c r="E130" s="593" t="str">
        <f>IF($F130&lt;&gt;"",INDEX(ﾏｽﾀ!$D$8:$D$124,MATCH(INDEX(ﾏｽﾀ!$N$8:$N$124,MATCH($F130,ﾏｽﾀ!$O$8:$O$124,0)),ﾏｽﾀ!$B$8:$B$124,0))&amp;"","")</f>
        <v>75000</v>
      </c>
      <c r="F130" s="594" t="str">
        <f>ﾏｽﾀ!$R45&amp;""</f>
        <v>株式会社スカイ・ジェイ</v>
      </c>
      <c r="G130" s="646">
        <f>COUNTIF('納品書明細F-15'!$B$9:$B$297,CONCATENATE(VLOOKUP(G$5,$G$1:$H$4,2,FALSE),$E130,1,1))-VLOOKUP($E130,$E$9:$AF$92,$G$7-$D$7,0)</f>
        <v>0</v>
      </c>
      <c r="H130" s="652">
        <f>SUMIF('納品書明細F-15'!$B$9:$B$297,CONCATENATE(VLOOKUP(G$5,$G$1:$H$4,2,FALSE),$E130,1,1),'納品書明細F-15'!$Q$9:$Q$297)+SUMIF('納品書明細F-15'!$B$9:$B$297,CONCATENATE(VLOOKUP(G$5,$G$1:$H$4,2,FALSE),$E130,1,0),'納品書明細F-15'!$Q$9:$Q$297)-VLOOKUP($E130,$E$9:$AF$92,$H$7-$D$7,0)</f>
        <v>0</v>
      </c>
      <c r="I130" s="345"/>
      <c r="J130" s="122"/>
      <c r="K130" s="359"/>
      <c r="L130" s="345"/>
      <c r="M130" s="638">
        <f>COUNTIF('納品書明細F-15'!$B$9:$B$297,CONCATENATE(VLOOKUP(G$5,$G$1:$H$4,2,FALSE),$E130,9,1))-VLOOKUP($E130,$E$9:$AF$92,$M$7-$D$7,0)</f>
        <v>0</v>
      </c>
      <c r="N130" s="640">
        <f>SUMIF('納品書明細F-15'!$B$9:$B$297,CONCATENATE(VLOOKUP(G$5,$G$1:$H$4,2,FALSE),$E130,9,1),'納品書明細F-15'!$Q$9:$Q$297)+SUMIF('納品書明細F-15'!$B$9:$B$297,CONCATENATE(VLOOKUP(G$5,$G$1:$H$4,2,FALSE),$E130,9,0),'納品書明細F-15'!$Q$9:$Q$297)-VLOOKUP($E130,$E$9:$AF$92,$N$7-$D$7,0)</f>
        <v>0</v>
      </c>
      <c r="O130" s="69"/>
      <c r="P130" s="646">
        <f>COUNTIF('納品書明細F-15'!$B$9:$B$297,CONCATENATE(VLOOKUP(P$5,$G$1:$H$4,2,FALSE),$E130,1,1))-VLOOKUP($E130,$E$9:$AF$92,$P$7-$D$7,0)</f>
        <v>0</v>
      </c>
      <c r="Q130" s="647">
        <f>SUMIF('納品書明細F-15'!$B$9:$B$297,CONCATENATE(VLOOKUP(P$5,$G$1:$H$4,2,FALSE),$E130,1,1),'納品書明細F-15'!$Q$9:$Q$297)+SUMIF('納品書明細F-15'!$B$9:$B$297,CONCATENATE(VLOOKUP(P$5,$G$1:$H$4,2,FALSE),$E130,1,0),'納品書明細F-15'!$Q$9:$Q$297)-VLOOKUP($E130,$E$9:$AF$92,$Q$7-$D$7,0)</f>
        <v>0</v>
      </c>
      <c r="R130" s="345"/>
      <c r="S130" s="122"/>
      <c r="T130" s="128"/>
      <c r="U130" s="345"/>
      <c r="V130" s="638">
        <f>COUNTIF('納品書明細F-15'!$B$9:$B$297,CONCATENATE(VLOOKUP(P$5,$G$1:$H$4,2,FALSE),$E130,9,1))-VLOOKUP($E130,$E$9:$AF$92,$V$7-$D$7,0)</f>
        <v>0</v>
      </c>
      <c r="W130" s="650">
        <f>SUMIF('納品書明細F-15'!$B$9:$B$297,CONCATENATE(VLOOKUP(P$5,$G$1:$H$4,2,FALSE),$E130,9,1),'納品書明細F-15'!$Q$9:$Q$297)+SUMIF('納品書明細F-15'!$B$9:$B$297,CONCATENATE(VLOOKUP(P$5,$G$1:$H$4,2,FALSE),$E130,9,0),'納品書明細F-15'!$Q$9:$Q$297)-VLOOKUP($E130,$E$9:$AF$92,$W$7-$D$7,0)</f>
        <v>0</v>
      </c>
      <c r="X130" s="69"/>
      <c r="Y130" s="646">
        <f>COUNTIF('納品書明細F-15'!$B$9:$B$297,CONCATENATE(VLOOKUP(Y$5,$G$1:$H$4,2,FALSE),$E130,1,1))-VLOOKUP($E130,$E$9:$AF$92,$Y$7-$D$7,0)</f>
        <v>0</v>
      </c>
      <c r="Z130" s="647">
        <f>SUMIF('納品書明細F-15'!$B$9:$B$297,CONCATENATE(VLOOKUP(Y$5,$G$1:$H$4,2,FALSE),$E130,1,1),'納品書明細F-15'!$Q$9:$Q$297)+SUMIF('納品書明細F-15'!$B$9:$B$297,CONCATENATE(VLOOKUP(Y$5,$G$1:$H$4,2,FALSE),$E130,1,0),'納品書明細F-15'!$Q$9:$Q$297)-VLOOKUP($E130,$E$9:$AF$92,$Z$7-$D$7,0)</f>
        <v>0</v>
      </c>
      <c r="AA130" s="345"/>
      <c r="AB130" s="122"/>
      <c r="AC130" s="128"/>
      <c r="AD130" s="345"/>
      <c r="AE130" s="638">
        <f>COUNTIF('納品書明細F-15'!$B$9:$B$297,CONCATENATE(VLOOKUP(Y$5,$G$1:$H$4,2,FALSE),$E130,9,1))-VLOOKUP($E130,$E$9:$AF$92,$AE$7-$D$7,0)</f>
        <v>0</v>
      </c>
      <c r="AF130" s="650">
        <f>SUMIF('納品書明細F-15'!$B$9:$B$297,CONCATENATE(VLOOKUP(Y$5,$G$1:$H$4,2,FALSE),$E130,9,1),'納品書明細F-15'!$Q$9:$Q$297)+SUMIF('納品書明細F-15'!$B$9:$B$297,CONCATENATE(VLOOKUP(Y$5,$G$1:$H$4,2,FALSE),$E130,9,0),'納品書明細F-15'!$Q$9:$Q$297)-VLOOKUP($E130,$E$9:$AF$92,$AF$7-$D$7,0)</f>
        <v>0</v>
      </c>
    </row>
    <row r="131" spans="1:32">
      <c r="A131" s="475" t="str">
        <f>IF(SUMIFS($G131:$AF131,$G$8:$AF$8,"金額",$G131:$AF131,"&gt;0")-SUMIFS($G131:$AF131,$G$8:$AF$8,"金額",$G131:$AF131,"&lt;0")&lt;=0,"",MAX($A$92:$A130)+1)</f>
        <v/>
      </c>
      <c r="B131" s="795"/>
      <c r="C131" s="245" t="str">
        <f t="shared" si="4"/>
        <v>経費</v>
      </c>
      <c r="D131" s="245">
        <v>39</v>
      </c>
      <c r="E131" s="593" t="str">
        <f>IF($F131&lt;&gt;"",INDEX(ﾏｽﾀ!$D$8:$D$124,MATCH(INDEX(ﾏｽﾀ!$N$8:$N$124,MATCH($F131,ﾏｽﾀ!$O$8:$O$124,0)),ﾏｽﾀ!$B$8:$B$124,0))&amp;"","")</f>
        <v>76000</v>
      </c>
      <c r="F131" s="594" t="str">
        <f>ﾏｽﾀ!$R46&amp;""</f>
        <v>株式会社カプコン</v>
      </c>
      <c r="G131" s="646">
        <f>COUNTIF('納品書明細F-15'!$B$9:$B$297,CONCATENATE(VLOOKUP(G$5,$G$1:$H$4,2,FALSE),$E131,1,1))-VLOOKUP($E131,$E$9:$AF$92,$G$7-$D$7,0)</f>
        <v>0</v>
      </c>
      <c r="H131" s="652">
        <f>SUMIF('納品書明細F-15'!$B$9:$B$297,CONCATENATE(VLOOKUP(G$5,$G$1:$H$4,2,FALSE),$E131,1,1),'納品書明細F-15'!$Q$9:$Q$297)+SUMIF('納品書明細F-15'!$B$9:$B$297,CONCATENATE(VLOOKUP(G$5,$G$1:$H$4,2,FALSE),$E131,1,0),'納品書明細F-15'!$Q$9:$Q$297)-VLOOKUP($E131,$E$9:$AF$92,$H$7-$D$7,0)</f>
        <v>0</v>
      </c>
      <c r="I131" s="345"/>
      <c r="J131" s="122"/>
      <c r="K131" s="359"/>
      <c r="L131" s="345"/>
      <c r="M131" s="638">
        <f>COUNTIF('納品書明細F-15'!$B$9:$B$297,CONCATENATE(VLOOKUP(G$5,$G$1:$H$4,2,FALSE),$E131,9,1))-VLOOKUP($E131,$E$9:$AF$92,$M$7-$D$7,0)</f>
        <v>0</v>
      </c>
      <c r="N131" s="640">
        <f>SUMIF('納品書明細F-15'!$B$9:$B$297,CONCATENATE(VLOOKUP(G$5,$G$1:$H$4,2,FALSE),$E131,9,1),'納品書明細F-15'!$Q$9:$Q$297)+SUMIF('納品書明細F-15'!$B$9:$B$297,CONCATENATE(VLOOKUP(G$5,$G$1:$H$4,2,FALSE),$E131,9,0),'納品書明細F-15'!$Q$9:$Q$297)-VLOOKUP($E131,$E$9:$AF$92,$N$7-$D$7,0)</f>
        <v>0</v>
      </c>
      <c r="O131" s="69"/>
      <c r="P131" s="646">
        <f>COUNTIF('納品書明細F-15'!$B$9:$B$297,CONCATENATE(VLOOKUP(P$5,$G$1:$H$4,2,FALSE),$E131,1,1))-VLOOKUP($E131,$E$9:$AF$92,$P$7-$D$7,0)</f>
        <v>0</v>
      </c>
      <c r="Q131" s="647">
        <f>SUMIF('納品書明細F-15'!$B$9:$B$297,CONCATENATE(VLOOKUP(P$5,$G$1:$H$4,2,FALSE),$E131,1,1),'納品書明細F-15'!$Q$9:$Q$297)+SUMIF('納品書明細F-15'!$B$9:$B$297,CONCATENATE(VLOOKUP(P$5,$G$1:$H$4,2,FALSE),$E131,1,0),'納品書明細F-15'!$Q$9:$Q$297)-VLOOKUP($E131,$E$9:$AF$92,$Q$7-$D$7,0)</f>
        <v>0</v>
      </c>
      <c r="R131" s="345"/>
      <c r="S131" s="122"/>
      <c r="T131" s="128"/>
      <c r="U131" s="345"/>
      <c r="V131" s="638">
        <f>COUNTIF('納品書明細F-15'!$B$9:$B$297,CONCATENATE(VLOOKUP(P$5,$G$1:$H$4,2,FALSE),$E131,9,1))-VLOOKUP($E131,$E$9:$AF$92,$V$7-$D$7,0)</f>
        <v>0</v>
      </c>
      <c r="W131" s="650">
        <f>SUMIF('納品書明細F-15'!$B$9:$B$297,CONCATENATE(VLOOKUP(P$5,$G$1:$H$4,2,FALSE),$E131,9,1),'納品書明細F-15'!$Q$9:$Q$297)+SUMIF('納品書明細F-15'!$B$9:$B$297,CONCATENATE(VLOOKUP(P$5,$G$1:$H$4,2,FALSE),$E131,9,0),'納品書明細F-15'!$Q$9:$Q$297)-VLOOKUP($E131,$E$9:$AF$92,$W$7-$D$7,0)</f>
        <v>0</v>
      </c>
      <c r="X131" s="69"/>
      <c r="Y131" s="646">
        <f>COUNTIF('納品書明細F-15'!$B$9:$B$297,CONCATENATE(VLOOKUP(Y$5,$G$1:$H$4,2,FALSE),$E131,1,1))-VLOOKUP($E131,$E$9:$AF$92,$Y$7-$D$7,0)</f>
        <v>0</v>
      </c>
      <c r="Z131" s="647">
        <f>SUMIF('納品書明細F-15'!$B$9:$B$297,CONCATENATE(VLOOKUP(Y$5,$G$1:$H$4,2,FALSE),$E131,1,1),'納品書明細F-15'!$Q$9:$Q$297)+SUMIF('納品書明細F-15'!$B$9:$B$297,CONCATENATE(VLOOKUP(Y$5,$G$1:$H$4,2,FALSE),$E131,1,0),'納品書明細F-15'!$Q$9:$Q$297)-VLOOKUP($E131,$E$9:$AF$92,$Z$7-$D$7,0)</f>
        <v>0</v>
      </c>
      <c r="AA131" s="345"/>
      <c r="AB131" s="122"/>
      <c r="AC131" s="128"/>
      <c r="AD131" s="345"/>
      <c r="AE131" s="638">
        <f>COUNTIF('納品書明細F-15'!$B$9:$B$297,CONCATENATE(VLOOKUP(Y$5,$G$1:$H$4,2,FALSE),$E131,9,1))-VLOOKUP($E131,$E$9:$AF$92,$AE$7-$D$7,0)</f>
        <v>0</v>
      </c>
      <c r="AF131" s="650">
        <f>SUMIF('納品書明細F-15'!$B$9:$B$297,CONCATENATE(VLOOKUP(Y$5,$G$1:$H$4,2,FALSE),$E131,9,1),'納品書明細F-15'!$Q$9:$Q$297)+SUMIF('納品書明細F-15'!$B$9:$B$297,CONCATENATE(VLOOKUP(Y$5,$G$1:$H$4,2,FALSE),$E131,9,0),'納品書明細F-15'!$Q$9:$Q$297)-VLOOKUP($E131,$E$9:$AF$92,$AF$7-$D$7,0)</f>
        <v>0</v>
      </c>
    </row>
    <row r="132" spans="1:32">
      <c r="A132" s="475" t="str">
        <f>IF(SUMIFS($G132:$AF132,$G$8:$AF$8,"金額",$G132:$AF132,"&gt;0")-SUMIFS($G132:$AF132,$G$8:$AF$8,"金額",$G132:$AF132,"&lt;0")&lt;=0,"",MAX($A$92:$A131)+1)</f>
        <v/>
      </c>
      <c r="B132" s="795"/>
      <c r="C132" s="245" t="str">
        <f t="shared" si="4"/>
        <v>経費</v>
      </c>
      <c r="D132" s="245">
        <v>40</v>
      </c>
      <c r="E132" s="593" t="str">
        <f>IF($F132&lt;&gt;"",INDEX(ﾏｽﾀ!$D$8:$D$124,MATCH(INDEX(ﾏｽﾀ!$N$8:$N$124,MATCH($F132,ﾏｽﾀ!$O$8:$O$124,0)),ﾏｽﾀ!$B$8:$B$124,0))&amp;"","")</f>
        <v>77000</v>
      </c>
      <c r="F132" s="594" t="str">
        <f>ﾏｽﾀ!$R47&amp;""</f>
        <v>株式会社そごう・西武</v>
      </c>
      <c r="G132" s="646">
        <f>COUNTIF('納品書明細F-15'!$B$9:$B$297,CONCATENATE(VLOOKUP(G$5,$G$1:$H$4,2,FALSE),$E132,1,1))-VLOOKUP($E132,$E$9:$AF$92,$G$7-$D$7,0)</f>
        <v>0</v>
      </c>
      <c r="H132" s="652">
        <f>SUMIF('納品書明細F-15'!$B$9:$B$297,CONCATENATE(VLOOKUP(G$5,$G$1:$H$4,2,FALSE),$E132,1,1),'納品書明細F-15'!$Q$9:$Q$297)+SUMIF('納品書明細F-15'!$B$9:$B$297,CONCATENATE(VLOOKUP(G$5,$G$1:$H$4,2,FALSE),$E132,1,0),'納品書明細F-15'!$Q$9:$Q$297)-VLOOKUP($E132,$E$9:$AF$92,$H$7-$D$7,0)</f>
        <v>0</v>
      </c>
      <c r="I132" s="345"/>
      <c r="J132" s="122"/>
      <c r="K132" s="359"/>
      <c r="L132" s="345"/>
      <c r="M132" s="638">
        <f>COUNTIF('納品書明細F-15'!$B$9:$B$297,CONCATENATE(VLOOKUP(G$5,$G$1:$H$4,2,FALSE),$E132,9,1))-VLOOKUP($E132,$E$9:$AF$92,$M$7-$D$7,0)</f>
        <v>0</v>
      </c>
      <c r="N132" s="640">
        <f>SUMIF('納品書明細F-15'!$B$9:$B$297,CONCATENATE(VLOOKUP(G$5,$G$1:$H$4,2,FALSE),$E132,9,1),'納品書明細F-15'!$Q$9:$Q$297)+SUMIF('納品書明細F-15'!$B$9:$B$297,CONCATENATE(VLOOKUP(G$5,$G$1:$H$4,2,FALSE),$E132,9,0),'納品書明細F-15'!$Q$9:$Q$297)-VLOOKUP($E132,$E$9:$AF$92,$N$7-$D$7,0)</f>
        <v>0</v>
      </c>
      <c r="O132" s="69"/>
      <c r="P132" s="646">
        <f>COUNTIF('納品書明細F-15'!$B$9:$B$297,CONCATENATE(VLOOKUP(P$5,$G$1:$H$4,2,FALSE),$E132,1,1))-VLOOKUP($E132,$E$9:$AF$92,$P$7-$D$7,0)</f>
        <v>0</v>
      </c>
      <c r="Q132" s="647">
        <f>SUMIF('納品書明細F-15'!$B$9:$B$297,CONCATENATE(VLOOKUP(P$5,$G$1:$H$4,2,FALSE),$E132,1,1),'納品書明細F-15'!$Q$9:$Q$297)+SUMIF('納品書明細F-15'!$B$9:$B$297,CONCATENATE(VLOOKUP(P$5,$G$1:$H$4,2,FALSE),$E132,1,0),'納品書明細F-15'!$Q$9:$Q$297)-VLOOKUP($E132,$E$9:$AF$92,$Q$7-$D$7,0)</f>
        <v>0</v>
      </c>
      <c r="R132" s="345"/>
      <c r="S132" s="122"/>
      <c r="T132" s="128"/>
      <c r="U132" s="345"/>
      <c r="V132" s="638">
        <f>COUNTIF('納品書明細F-15'!$B$9:$B$297,CONCATENATE(VLOOKUP(P$5,$G$1:$H$4,2,FALSE),$E132,9,1))-VLOOKUP($E132,$E$9:$AF$92,$V$7-$D$7,0)</f>
        <v>0</v>
      </c>
      <c r="W132" s="650">
        <f>SUMIF('納品書明細F-15'!$B$9:$B$297,CONCATENATE(VLOOKUP(P$5,$G$1:$H$4,2,FALSE),$E132,9,1),'納品書明細F-15'!$Q$9:$Q$297)+SUMIF('納品書明細F-15'!$B$9:$B$297,CONCATENATE(VLOOKUP(P$5,$G$1:$H$4,2,FALSE),$E132,9,0),'納品書明細F-15'!$Q$9:$Q$297)-VLOOKUP($E132,$E$9:$AF$92,$W$7-$D$7,0)</f>
        <v>0</v>
      </c>
      <c r="X132" s="69"/>
      <c r="Y132" s="646">
        <f>COUNTIF('納品書明細F-15'!$B$9:$B$297,CONCATENATE(VLOOKUP(Y$5,$G$1:$H$4,2,FALSE),$E132,1,1))-VLOOKUP($E132,$E$9:$AF$92,$Y$7-$D$7,0)</f>
        <v>0</v>
      </c>
      <c r="Z132" s="647">
        <f>SUMIF('納品書明細F-15'!$B$9:$B$297,CONCATENATE(VLOOKUP(Y$5,$G$1:$H$4,2,FALSE),$E132,1,1),'納品書明細F-15'!$Q$9:$Q$297)+SUMIF('納品書明細F-15'!$B$9:$B$297,CONCATENATE(VLOOKUP(Y$5,$G$1:$H$4,2,FALSE),$E132,1,0),'納品書明細F-15'!$Q$9:$Q$297)-VLOOKUP($E132,$E$9:$AF$92,$Z$7-$D$7,0)</f>
        <v>0</v>
      </c>
      <c r="AA132" s="345"/>
      <c r="AB132" s="122"/>
      <c r="AC132" s="128"/>
      <c r="AD132" s="345"/>
      <c r="AE132" s="638">
        <f>COUNTIF('納品書明細F-15'!$B$9:$B$297,CONCATENATE(VLOOKUP(Y$5,$G$1:$H$4,2,FALSE),$E132,9,1))-VLOOKUP($E132,$E$9:$AF$92,$AE$7-$D$7,0)</f>
        <v>0</v>
      </c>
      <c r="AF132" s="650">
        <f>SUMIF('納品書明細F-15'!$B$9:$B$297,CONCATENATE(VLOOKUP(Y$5,$G$1:$H$4,2,FALSE),$E132,9,1),'納品書明細F-15'!$Q$9:$Q$297)+SUMIF('納品書明細F-15'!$B$9:$B$297,CONCATENATE(VLOOKUP(Y$5,$G$1:$H$4,2,FALSE),$E132,9,0),'納品書明細F-15'!$Q$9:$Q$297)-VLOOKUP($E132,$E$9:$AF$92,$AF$7-$D$7,0)</f>
        <v>0</v>
      </c>
    </row>
    <row r="133" spans="1:32">
      <c r="A133" s="475" t="str">
        <f>IF(SUMIFS($G133:$AF133,$G$8:$AF$8,"金額",$G133:$AF133,"&gt;0")-SUMIFS($G133:$AF133,$G$8:$AF$8,"金額",$G133:$AF133,"&lt;0")&lt;=0,"",MAX($A$92:$A132)+1)</f>
        <v/>
      </c>
      <c r="B133" s="795"/>
      <c r="C133" s="245" t="str">
        <f t="shared" si="4"/>
        <v>経費</v>
      </c>
      <c r="D133" s="245">
        <v>41</v>
      </c>
      <c r="E133" s="593" t="str">
        <f>IF($F133&lt;&gt;"",INDEX(ﾏｽﾀ!$D$8:$D$124,MATCH(INDEX(ﾏｽﾀ!$N$8:$N$124,MATCH($F133,ﾏｽﾀ!$O$8:$O$124,0)),ﾏｽﾀ!$B$8:$B$124,0))&amp;"","")</f>
        <v>78000</v>
      </c>
      <c r="F133" s="594" t="str">
        <f>ﾏｽﾀ!$R48&amp;""</f>
        <v>株式会社ティー・シー・ピー</v>
      </c>
      <c r="G133" s="646">
        <f>COUNTIF('納品書明細F-15'!$B$9:$B$297,CONCATENATE(VLOOKUP(G$5,$G$1:$H$4,2,FALSE),$E133,1,1))-VLOOKUP($E133,$E$9:$AF$92,$G$7-$D$7,0)</f>
        <v>0</v>
      </c>
      <c r="H133" s="652">
        <f>SUMIF('納品書明細F-15'!$B$9:$B$297,CONCATENATE(VLOOKUP(G$5,$G$1:$H$4,2,FALSE),$E133,1,1),'納品書明細F-15'!$Q$9:$Q$297)+SUMIF('納品書明細F-15'!$B$9:$B$297,CONCATENATE(VLOOKUP(G$5,$G$1:$H$4,2,FALSE),$E133,1,0),'納品書明細F-15'!$Q$9:$Q$297)-VLOOKUP($E133,$E$9:$AF$92,$H$7-$D$7,0)</f>
        <v>0</v>
      </c>
      <c r="I133" s="345"/>
      <c r="J133" s="122"/>
      <c r="K133" s="359"/>
      <c r="L133" s="345"/>
      <c r="M133" s="638">
        <f>COUNTIF('納品書明細F-15'!$B$9:$B$297,CONCATENATE(VLOOKUP(G$5,$G$1:$H$4,2,FALSE),$E133,9,1))-VLOOKUP($E133,$E$9:$AF$92,$M$7-$D$7,0)</f>
        <v>0</v>
      </c>
      <c r="N133" s="640">
        <f>SUMIF('納品書明細F-15'!$B$9:$B$297,CONCATENATE(VLOOKUP(G$5,$G$1:$H$4,2,FALSE),$E133,9,1),'納品書明細F-15'!$Q$9:$Q$297)+SUMIF('納品書明細F-15'!$B$9:$B$297,CONCATENATE(VLOOKUP(G$5,$G$1:$H$4,2,FALSE),$E133,9,0),'納品書明細F-15'!$Q$9:$Q$297)-VLOOKUP($E133,$E$9:$AF$92,$N$7-$D$7,0)</f>
        <v>0</v>
      </c>
      <c r="O133" s="69"/>
      <c r="P133" s="646">
        <f>COUNTIF('納品書明細F-15'!$B$9:$B$297,CONCATENATE(VLOOKUP(P$5,$G$1:$H$4,2,FALSE),$E133,1,1))-VLOOKUP($E133,$E$9:$AF$92,$P$7-$D$7,0)</f>
        <v>0</v>
      </c>
      <c r="Q133" s="647">
        <f>SUMIF('納品書明細F-15'!$B$9:$B$297,CONCATENATE(VLOOKUP(P$5,$G$1:$H$4,2,FALSE),$E133,1,1),'納品書明細F-15'!$Q$9:$Q$297)+SUMIF('納品書明細F-15'!$B$9:$B$297,CONCATENATE(VLOOKUP(P$5,$G$1:$H$4,2,FALSE),$E133,1,0),'納品書明細F-15'!$Q$9:$Q$297)-VLOOKUP($E133,$E$9:$AF$92,$Q$7-$D$7,0)</f>
        <v>0</v>
      </c>
      <c r="R133" s="345"/>
      <c r="S133" s="122"/>
      <c r="T133" s="128"/>
      <c r="U133" s="345"/>
      <c r="V133" s="638">
        <f>COUNTIF('納品書明細F-15'!$B$9:$B$297,CONCATENATE(VLOOKUP(P$5,$G$1:$H$4,2,FALSE),$E133,9,1))-VLOOKUP($E133,$E$9:$AF$92,$V$7-$D$7,0)</f>
        <v>0</v>
      </c>
      <c r="W133" s="650">
        <f>SUMIF('納品書明細F-15'!$B$9:$B$297,CONCATENATE(VLOOKUP(P$5,$G$1:$H$4,2,FALSE),$E133,9,1),'納品書明細F-15'!$Q$9:$Q$297)+SUMIF('納品書明細F-15'!$B$9:$B$297,CONCATENATE(VLOOKUP(P$5,$G$1:$H$4,2,FALSE),$E133,9,0),'納品書明細F-15'!$Q$9:$Q$297)-VLOOKUP($E133,$E$9:$AF$92,$W$7-$D$7,0)</f>
        <v>0</v>
      </c>
      <c r="X133" s="69"/>
      <c r="Y133" s="646">
        <f>COUNTIF('納品書明細F-15'!$B$9:$B$297,CONCATENATE(VLOOKUP(Y$5,$G$1:$H$4,2,FALSE),$E133,1,1))-VLOOKUP($E133,$E$9:$AF$92,$Y$7-$D$7,0)</f>
        <v>0</v>
      </c>
      <c r="Z133" s="647">
        <f>SUMIF('納品書明細F-15'!$B$9:$B$297,CONCATENATE(VLOOKUP(Y$5,$G$1:$H$4,2,FALSE),$E133,1,1),'納品書明細F-15'!$Q$9:$Q$297)+SUMIF('納品書明細F-15'!$B$9:$B$297,CONCATENATE(VLOOKUP(Y$5,$G$1:$H$4,2,FALSE),$E133,1,0),'納品書明細F-15'!$Q$9:$Q$297)-VLOOKUP($E133,$E$9:$AF$92,$Z$7-$D$7,0)</f>
        <v>0</v>
      </c>
      <c r="AA133" s="345"/>
      <c r="AB133" s="122"/>
      <c r="AC133" s="128"/>
      <c r="AD133" s="345"/>
      <c r="AE133" s="638">
        <f>COUNTIF('納品書明細F-15'!$B$9:$B$297,CONCATENATE(VLOOKUP(Y$5,$G$1:$H$4,2,FALSE),$E133,9,1))-VLOOKUP($E133,$E$9:$AF$92,$AE$7-$D$7,0)</f>
        <v>0</v>
      </c>
      <c r="AF133" s="650">
        <f>SUMIF('納品書明細F-15'!$B$9:$B$297,CONCATENATE(VLOOKUP(Y$5,$G$1:$H$4,2,FALSE),$E133,9,1),'納品書明細F-15'!$Q$9:$Q$297)+SUMIF('納品書明細F-15'!$B$9:$B$297,CONCATENATE(VLOOKUP(Y$5,$G$1:$H$4,2,FALSE),$E133,9,0),'納品書明細F-15'!$Q$9:$Q$297)-VLOOKUP($E133,$E$9:$AF$92,$AF$7-$D$7,0)</f>
        <v>0</v>
      </c>
    </row>
    <row r="134" spans="1:32">
      <c r="A134" s="475" t="str">
        <f>IF(SUMIFS($G134:$AF134,$G$8:$AF$8,"金額",$G134:$AF134,"&gt;0")-SUMIFS($G134:$AF134,$G$8:$AF$8,"金額",$G134:$AF134,"&lt;0")&lt;=0,"",MAX($A$92:$A133)+1)</f>
        <v/>
      </c>
      <c r="B134" s="795"/>
      <c r="C134" s="245" t="str">
        <f t="shared" si="4"/>
        <v>経費</v>
      </c>
      <c r="D134" s="245">
        <v>42</v>
      </c>
      <c r="E134" s="593" t="str">
        <f>IF($F134&lt;&gt;"",INDEX(ﾏｽﾀ!$D$8:$D$124,MATCH(INDEX(ﾏｽﾀ!$N$8:$N$124,MATCH($F134,ﾏｽﾀ!$O$8:$O$124,0)),ﾏｽﾀ!$B$8:$B$124,0))&amp;"","")</f>
        <v>79000</v>
      </c>
      <c r="F134" s="594" t="str">
        <f>ﾏｽﾀ!$R49&amp;""</f>
        <v>総合商研株式会社</v>
      </c>
      <c r="G134" s="646">
        <f>COUNTIF('納品書明細F-15'!$B$9:$B$297,CONCATENATE(VLOOKUP(G$5,$G$1:$H$4,2,FALSE),$E134,1,1))-VLOOKUP($E134,$E$9:$AF$92,$G$7-$D$7,0)</f>
        <v>0</v>
      </c>
      <c r="H134" s="652">
        <f>SUMIF('納品書明細F-15'!$B$9:$B$297,CONCATENATE(VLOOKUP(G$5,$G$1:$H$4,2,FALSE),$E134,1,1),'納品書明細F-15'!$Q$9:$Q$297)+SUMIF('納品書明細F-15'!$B$9:$B$297,CONCATENATE(VLOOKUP(G$5,$G$1:$H$4,2,FALSE),$E134,1,0),'納品書明細F-15'!$Q$9:$Q$297)-VLOOKUP($E134,$E$9:$AF$92,$H$7-$D$7,0)</f>
        <v>0</v>
      </c>
      <c r="I134" s="345"/>
      <c r="J134" s="122"/>
      <c r="K134" s="359"/>
      <c r="L134" s="345"/>
      <c r="M134" s="638">
        <f>COUNTIF('納品書明細F-15'!$B$9:$B$297,CONCATENATE(VLOOKUP(G$5,$G$1:$H$4,2,FALSE),$E134,9,1))-VLOOKUP($E134,$E$9:$AF$92,$M$7-$D$7,0)</f>
        <v>0</v>
      </c>
      <c r="N134" s="640">
        <f>SUMIF('納品書明細F-15'!$B$9:$B$297,CONCATENATE(VLOOKUP(G$5,$G$1:$H$4,2,FALSE),$E134,9,1),'納品書明細F-15'!$Q$9:$Q$297)+SUMIF('納品書明細F-15'!$B$9:$B$297,CONCATENATE(VLOOKUP(G$5,$G$1:$H$4,2,FALSE),$E134,9,0),'納品書明細F-15'!$Q$9:$Q$297)-VLOOKUP($E134,$E$9:$AF$92,$N$7-$D$7,0)</f>
        <v>0</v>
      </c>
      <c r="O134" s="69"/>
      <c r="P134" s="646">
        <f>COUNTIF('納品書明細F-15'!$B$9:$B$297,CONCATENATE(VLOOKUP(P$5,$G$1:$H$4,2,FALSE),$E134,1,1))-VLOOKUP($E134,$E$9:$AF$92,$P$7-$D$7,0)</f>
        <v>0</v>
      </c>
      <c r="Q134" s="647">
        <f>SUMIF('納品書明細F-15'!$B$9:$B$297,CONCATENATE(VLOOKUP(P$5,$G$1:$H$4,2,FALSE),$E134,1,1),'納品書明細F-15'!$Q$9:$Q$297)+SUMIF('納品書明細F-15'!$B$9:$B$297,CONCATENATE(VLOOKUP(P$5,$G$1:$H$4,2,FALSE),$E134,1,0),'納品書明細F-15'!$Q$9:$Q$297)-VLOOKUP($E134,$E$9:$AF$92,$Q$7-$D$7,0)</f>
        <v>0</v>
      </c>
      <c r="R134" s="345"/>
      <c r="S134" s="122"/>
      <c r="T134" s="128"/>
      <c r="U134" s="345"/>
      <c r="V134" s="638">
        <f>COUNTIF('納品書明細F-15'!$B$9:$B$297,CONCATENATE(VLOOKUP(P$5,$G$1:$H$4,2,FALSE),$E134,9,1))-VLOOKUP($E134,$E$9:$AF$92,$V$7-$D$7,0)</f>
        <v>0</v>
      </c>
      <c r="W134" s="650">
        <f>SUMIF('納品書明細F-15'!$B$9:$B$297,CONCATENATE(VLOOKUP(P$5,$G$1:$H$4,2,FALSE),$E134,9,1),'納品書明細F-15'!$Q$9:$Q$297)+SUMIF('納品書明細F-15'!$B$9:$B$297,CONCATENATE(VLOOKUP(P$5,$G$1:$H$4,2,FALSE),$E134,9,0),'納品書明細F-15'!$Q$9:$Q$297)-VLOOKUP($E134,$E$9:$AF$92,$W$7-$D$7,0)</f>
        <v>0</v>
      </c>
      <c r="X134" s="69"/>
      <c r="Y134" s="646">
        <f>COUNTIF('納品書明細F-15'!$B$9:$B$297,CONCATENATE(VLOOKUP(Y$5,$G$1:$H$4,2,FALSE),$E134,1,1))-VLOOKUP($E134,$E$9:$AF$92,$Y$7-$D$7,0)</f>
        <v>0</v>
      </c>
      <c r="Z134" s="647">
        <f>SUMIF('納品書明細F-15'!$B$9:$B$297,CONCATENATE(VLOOKUP(Y$5,$G$1:$H$4,2,FALSE),$E134,1,1),'納品書明細F-15'!$Q$9:$Q$297)+SUMIF('納品書明細F-15'!$B$9:$B$297,CONCATENATE(VLOOKUP(Y$5,$G$1:$H$4,2,FALSE),$E134,1,0),'納品書明細F-15'!$Q$9:$Q$297)-VLOOKUP($E134,$E$9:$AF$92,$Z$7-$D$7,0)</f>
        <v>0</v>
      </c>
      <c r="AA134" s="345"/>
      <c r="AB134" s="122"/>
      <c r="AC134" s="128"/>
      <c r="AD134" s="345"/>
      <c r="AE134" s="638">
        <f>COUNTIF('納品書明細F-15'!$B$9:$B$297,CONCATENATE(VLOOKUP(Y$5,$G$1:$H$4,2,FALSE),$E134,9,1))-VLOOKUP($E134,$E$9:$AF$92,$AE$7-$D$7,0)</f>
        <v>0</v>
      </c>
      <c r="AF134" s="650">
        <f>SUMIF('納品書明細F-15'!$B$9:$B$297,CONCATENATE(VLOOKUP(Y$5,$G$1:$H$4,2,FALSE),$E134,9,1),'納品書明細F-15'!$Q$9:$Q$297)+SUMIF('納品書明細F-15'!$B$9:$B$297,CONCATENATE(VLOOKUP(Y$5,$G$1:$H$4,2,FALSE),$E134,9,0),'納品書明細F-15'!$Q$9:$Q$297)-VLOOKUP($E134,$E$9:$AF$92,$AF$7-$D$7,0)</f>
        <v>0</v>
      </c>
    </row>
    <row r="135" spans="1:32">
      <c r="A135" s="475" t="str">
        <f>IF(SUMIFS($G135:$AF135,$G$8:$AF$8,"金額",$G135:$AF135,"&gt;0")-SUMIFS($G135:$AF135,$G$8:$AF$8,"金額",$G135:$AF135,"&lt;0")&lt;=0,"",MAX($A$92:$A134)+1)</f>
        <v/>
      </c>
      <c r="B135" s="795"/>
      <c r="C135" s="245" t="str">
        <f t="shared" si="4"/>
        <v>経費</v>
      </c>
      <c r="D135" s="245">
        <v>43</v>
      </c>
      <c r="E135" s="593" t="str">
        <f>IF($F135&lt;&gt;"",INDEX(ﾏｽﾀ!$D$8:$D$124,MATCH(INDEX(ﾏｽﾀ!$N$8:$N$124,MATCH($F135,ﾏｽﾀ!$O$8:$O$124,0)),ﾏｽﾀ!$B$8:$B$124,0))&amp;"","")</f>
        <v>80000</v>
      </c>
      <c r="F135" s="594" t="str">
        <f>ﾏｽﾀ!$R50&amp;""</f>
        <v>株式会社ポリゴン・ピクチュアズ</v>
      </c>
      <c r="G135" s="646">
        <f>COUNTIF('納品書明細F-15'!$B$9:$B$297,CONCATENATE(VLOOKUP(G$5,$G$1:$H$4,2,FALSE),$E135,1,1))-VLOOKUP($E135,$E$9:$AF$92,$G$7-$D$7,0)</f>
        <v>0</v>
      </c>
      <c r="H135" s="652">
        <f>SUMIF('納品書明細F-15'!$B$9:$B$297,CONCATENATE(VLOOKUP(G$5,$G$1:$H$4,2,FALSE),$E135,1,1),'納品書明細F-15'!$Q$9:$Q$297)+SUMIF('納品書明細F-15'!$B$9:$B$297,CONCATENATE(VLOOKUP(G$5,$G$1:$H$4,2,FALSE),$E135,1,0),'納品書明細F-15'!$Q$9:$Q$297)-VLOOKUP($E135,$E$9:$AF$92,$H$7-$D$7,0)</f>
        <v>0</v>
      </c>
      <c r="I135" s="345"/>
      <c r="J135" s="122"/>
      <c r="K135" s="359"/>
      <c r="L135" s="345"/>
      <c r="M135" s="638">
        <f>COUNTIF('納品書明細F-15'!$B$9:$B$297,CONCATENATE(VLOOKUP(G$5,$G$1:$H$4,2,FALSE),$E135,9,1))-VLOOKUP($E135,$E$9:$AF$92,$M$7-$D$7,0)</f>
        <v>0</v>
      </c>
      <c r="N135" s="640">
        <f>SUMIF('納品書明細F-15'!$B$9:$B$297,CONCATENATE(VLOOKUP(G$5,$G$1:$H$4,2,FALSE),$E135,9,1),'納品書明細F-15'!$Q$9:$Q$297)+SUMIF('納品書明細F-15'!$B$9:$B$297,CONCATENATE(VLOOKUP(G$5,$G$1:$H$4,2,FALSE),$E135,9,0),'納品書明細F-15'!$Q$9:$Q$297)-VLOOKUP($E135,$E$9:$AF$92,$N$7-$D$7,0)</f>
        <v>0</v>
      </c>
      <c r="O135" s="69"/>
      <c r="P135" s="646">
        <f>COUNTIF('納品書明細F-15'!$B$9:$B$297,CONCATENATE(VLOOKUP(P$5,$G$1:$H$4,2,FALSE),$E135,1,1))-VLOOKUP($E135,$E$9:$AF$92,$P$7-$D$7,0)</f>
        <v>0</v>
      </c>
      <c r="Q135" s="647">
        <f>SUMIF('納品書明細F-15'!$B$9:$B$297,CONCATENATE(VLOOKUP(P$5,$G$1:$H$4,2,FALSE),$E135,1,1),'納品書明細F-15'!$Q$9:$Q$297)+SUMIF('納品書明細F-15'!$B$9:$B$297,CONCATENATE(VLOOKUP(P$5,$G$1:$H$4,2,FALSE),$E135,1,0),'納品書明細F-15'!$Q$9:$Q$297)-VLOOKUP($E135,$E$9:$AF$92,$Q$7-$D$7,0)</f>
        <v>0</v>
      </c>
      <c r="R135" s="345"/>
      <c r="S135" s="122"/>
      <c r="T135" s="128"/>
      <c r="U135" s="345"/>
      <c r="V135" s="638">
        <f>COUNTIF('納品書明細F-15'!$B$9:$B$297,CONCATENATE(VLOOKUP(P$5,$G$1:$H$4,2,FALSE),$E135,9,1))-VLOOKUP($E135,$E$9:$AF$92,$V$7-$D$7,0)</f>
        <v>0</v>
      </c>
      <c r="W135" s="650">
        <f>SUMIF('納品書明細F-15'!$B$9:$B$297,CONCATENATE(VLOOKUP(P$5,$G$1:$H$4,2,FALSE),$E135,9,1),'納品書明細F-15'!$Q$9:$Q$297)+SUMIF('納品書明細F-15'!$B$9:$B$297,CONCATENATE(VLOOKUP(P$5,$G$1:$H$4,2,FALSE),$E135,9,0),'納品書明細F-15'!$Q$9:$Q$297)-VLOOKUP($E135,$E$9:$AF$92,$W$7-$D$7,0)</f>
        <v>0</v>
      </c>
      <c r="X135" s="69"/>
      <c r="Y135" s="646">
        <f>COUNTIF('納品書明細F-15'!$B$9:$B$297,CONCATENATE(VLOOKUP(Y$5,$G$1:$H$4,2,FALSE),$E135,1,1))-VLOOKUP($E135,$E$9:$AF$92,$Y$7-$D$7,0)</f>
        <v>0</v>
      </c>
      <c r="Z135" s="647">
        <f>SUMIF('納品書明細F-15'!$B$9:$B$297,CONCATENATE(VLOOKUP(Y$5,$G$1:$H$4,2,FALSE),$E135,1,1),'納品書明細F-15'!$Q$9:$Q$297)+SUMIF('納品書明細F-15'!$B$9:$B$297,CONCATENATE(VLOOKUP(Y$5,$G$1:$H$4,2,FALSE),$E135,1,0),'納品書明細F-15'!$Q$9:$Q$297)-VLOOKUP($E135,$E$9:$AF$92,$Z$7-$D$7,0)</f>
        <v>0</v>
      </c>
      <c r="AA135" s="345"/>
      <c r="AB135" s="122"/>
      <c r="AC135" s="128"/>
      <c r="AD135" s="345"/>
      <c r="AE135" s="638">
        <f>COUNTIF('納品書明細F-15'!$B$9:$B$297,CONCATENATE(VLOOKUP(Y$5,$G$1:$H$4,2,FALSE),$E135,9,1))-VLOOKUP($E135,$E$9:$AF$92,$AE$7-$D$7,0)</f>
        <v>0</v>
      </c>
      <c r="AF135" s="650">
        <f>SUMIF('納品書明細F-15'!$B$9:$B$297,CONCATENATE(VLOOKUP(Y$5,$G$1:$H$4,2,FALSE),$E135,9,1),'納品書明細F-15'!$Q$9:$Q$297)+SUMIF('納品書明細F-15'!$B$9:$B$297,CONCATENATE(VLOOKUP(Y$5,$G$1:$H$4,2,FALSE),$E135,9,0),'納品書明細F-15'!$Q$9:$Q$297)-VLOOKUP($E135,$E$9:$AF$92,$AF$7-$D$7,0)</f>
        <v>0</v>
      </c>
    </row>
    <row r="136" spans="1:32">
      <c r="A136" s="475" t="str">
        <f>IF(SUMIFS($G136:$AF136,$G$8:$AF$8,"金額",$G136:$AF136,"&gt;0")-SUMIFS($G136:$AF136,$G$8:$AF$8,"金額",$G136:$AF136,"&lt;0")&lt;=0,"",MAX($A$92:$A135)+1)</f>
        <v/>
      </c>
      <c r="B136" s="795"/>
      <c r="C136" s="245" t="str">
        <f t="shared" si="4"/>
        <v>経費</v>
      </c>
      <c r="D136" s="245">
        <v>44</v>
      </c>
      <c r="E136" s="593" t="str">
        <f>IF($F136&lt;&gt;"",INDEX(ﾏｽﾀ!$D$8:$D$124,MATCH(INDEX(ﾏｽﾀ!$N$8:$N$124,MATCH($F136,ﾏｽﾀ!$O$8:$O$124,0)),ﾏｽﾀ!$B$8:$B$124,0))&amp;"","")</f>
        <v>81000</v>
      </c>
      <c r="F136" s="594" t="str">
        <f>ﾏｽﾀ!$R51&amp;""</f>
        <v>株式会社フォーチュンエンターテイメント</v>
      </c>
      <c r="G136" s="646">
        <f>COUNTIF('納品書明細F-15'!$B$9:$B$297,CONCATENATE(VLOOKUP(G$5,$G$1:$H$4,2,FALSE),$E136,1,1))-VLOOKUP($E136,$E$9:$AF$92,$G$7-$D$7,0)</f>
        <v>0</v>
      </c>
      <c r="H136" s="652">
        <f>SUMIF('納品書明細F-15'!$B$9:$B$297,CONCATENATE(VLOOKUP(G$5,$G$1:$H$4,2,FALSE),$E136,1,1),'納品書明細F-15'!$Q$9:$Q$297)+SUMIF('納品書明細F-15'!$B$9:$B$297,CONCATENATE(VLOOKUP(G$5,$G$1:$H$4,2,FALSE),$E136,1,0),'納品書明細F-15'!$Q$9:$Q$297)-VLOOKUP($E136,$E$9:$AF$92,$H$7-$D$7,0)</f>
        <v>0</v>
      </c>
      <c r="I136" s="345"/>
      <c r="J136" s="122"/>
      <c r="K136" s="359"/>
      <c r="L136" s="345"/>
      <c r="M136" s="638">
        <f>COUNTIF('納品書明細F-15'!$B$9:$B$297,CONCATENATE(VLOOKUP(G$5,$G$1:$H$4,2,FALSE),$E136,9,1))-VLOOKUP($E136,$E$9:$AF$92,$M$7-$D$7,0)</f>
        <v>0</v>
      </c>
      <c r="N136" s="640">
        <f>SUMIF('納品書明細F-15'!$B$9:$B$297,CONCATENATE(VLOOKUP(G$5,$G$1:$H$4,2,FALSE),$E136,9,1),'納品書明細F-15'!$Q$9:$Q$297)+SUMIF('納品書明細F-15'!$B$9:$B$297,CONCATENATE(VLOOKUP(G$5,$G$1:$H$4,2,FALSE),$E136,9,0),'納品書明細F-15'!$Q$9:$Q$297)-VLOOKUP($E136,$E$9:$AF$92,$N$7-$D$7,0)</f>
        <v>0</v>
      </c>
      <c r="O136" s="69"/>
      <c r="P136" s="646">
        <f>COUNTIF('納品書明細F-15'!$B$9:$B$297,CONCATENATE(VLOOKUP(P$5,$G$1:$H$4,2,FALSE),$E136,1,1))-VLOOKUP($E136,$E$9:$AF$92,$P$7-$D$7,0)</f>
        <v>0</v>
      </c>
      <c r="Q136" s="647">
        <f>SUMIF('納品書明細F-15'!$B$9:$B$297,CONCATENATE(VLOOKUP(P$5,$G$1:$H$4,2,FALSE),$E136,1,1),'納品書明細F-15'!$Q$9:$Q$297)+SUMIF('納品書明細F-15'!$B$9:$B$297,CONCATENATE(VLOOKUP(P$5,$G$1:$H$4,2,FALSE),$E136,1,0),'納品書明細F-15'!$Q$9:$Q$297)-VLOOKUP($E136,$E$9:$AF$92,$Q$7-$D$7,0)</f>
        <v>0</v>
      </c>
      <c r="R136" s="345"/>
      <c r="S136" s="122"/>
      <c r="T136" s="128"/>
      <c r="U136" s="345"/>
      <c r="V136" s="638">
        <f>COUNTIF('納品書明細F-15'!$B$9:$B$297,CONCATENATE(VLOOKUP(P$5,$G$1:$H$4,2,FALSE),$E136,9,1))-VLOOKUP($E136,$E$9:$AF$92,$V$7-$D$7,0)</f>
        <v>0</v>
      </c>
      <c r="W136" s="650">
        <f>SUMIF('納品書明細F-15'!$B$9:$B$297,CONCATENATE(VLOOKUP(P$5,$G$1:$H$4,2,FALSE),$E136,9,1),'納品書明細F-15'!$Q$9:$Q$297)+SUMIF('納品書明細F-15'!$B$9:$B$297,CONCATENATE(VLOOKUP(P$5,$G$1:$H$4,2,FALSE),$E136,9,0),'納品書明細F-15'!$Q$9:$Q$297)-VLOOKUP($E136,$E$9:$AF$92,$W$7-$D$7,0)</f>
        <v>0</v>
      </c>
      <c r="X136" s="69"/>
      <c r="Y136" s="646">
        <f>COUNTIF('納品書明細F-15'!$B$9:$B$297,CONCATENATE(VLOOKUP(Y$5,$G$1:$H$4,2,FALSE),$E136,1,1))-VLOOKUP($E136,$E$9:$AF$92,$Y$7-$D$7,0)</f>
        <v>0</v>
      </c>
      <c r="Z136" s="647">
        <f>SUMIF('納品書明細F-15'!$B$9:$B$297,CONCATENATE(VLOOKUP(Y$5,$G$1:$H$4,2,FALSE),$E136,1,1),'納品書明細F-15'!$Q$9:$Q$297)+SUMIF('納品書明細F-15'!$B$9:$B$297,CONCATENATE(VLOOKUP(Y$5,$G$1:$H$4,2,FALSE),$E136,1,0),'納品書明細F-15'!$Q$9:$Q$297)-VLOOKUP($E136,$E$9:$AF$92,$Z$7-$D$7,0)</f>
        <v>0</v>
      </c>
      <c r="AA136" s="345"/>
      <c r="AB136" s="122"/>
      <c r="AC136" s="128"/>
      <c r="AD136" s="345"/>
      <c r="AE136" s="638">
        <f>COUNTIF('納品書明細F-15'!$B$9:$B$297,CONCATENATE(VLOOKUP(Y$5,$G$1:$H$4,2,FALSE),$E136,9,1))-VLOOKUP($E136,$E$9:$AF$92,$AE$7-$D$7,0)</f>
        <v>0</v>
      </c>
      <c r="AF136" s="650">
        <f>SUMIF('納品書明細F-15'!$B$9:$B$297,CONCATENATE(VLOOKUP(Y$5,$G$1:$H$4,2,FALSE),$E136,9,1),'納品書明細F-15'!$Q$9:$Q$297)+SUMIF('納品書明細F-15'!$B$9:$B$297,CONCATENATE(VLOOKUP(Y$5,$G$1:$H$4,2,FALSE),$E136,9,0),'納品書明細F-15'!$Q$9:$Q$297)-VLOOKUP($E136,$E$9:$AF$92,$AF$7-$D$7,0)</f>
        <v>0</v>
      </c>
    </row>
    <row r="137" spans="1:32">
      <c r="A137" s="475" t="str">
        <f>IF(SUMIFS($G137:$AF137,$G$8:$AF$8,"金額",$G137:$AF137,"&gt;0")-SUMIFS($G137:$AF137,$G$8:$AF$8,"金額",$G137:$AF137,"&lt;0")&lt;=0,"",MAX($A$92:$A136)+1)</f>
        <v/>
      </c>
      <c r="B137" s="795"/>
      <c r="C137" s="245" t="str">
        <f t="shared" si="4"/>
        <v>経費</v>
      </c>
      <c r="D137" s="245">
        <v>45</v>
      </c>
      <c r="E137" s="593" t="str">
        <f>IF($F137&lt;&gt;"",INDEX(ﾏｽﾀ!$D$8:$D$124,MATCH(INDEX(ﾏｽﾀ!$N$8:$N$124,MATCH($F137,ﾏｽﾀ!$O$8:$O$124,0)),ﾏｽﾀ!$B$8:$B$124,0))&amp;"","")</f>
        <v>82000</v>
      </c>
      <c r="F137" s="594" t="str">
        <f>ﾏｽﾀ!$R52&amp;""</f>
        <v>キングレコード株式会社</v>
      </c>
      <c r="G137" s="646">
        <f>COUNTIF('納品書明細F-15'!$B$9:$B$297,CONCATENATE(VLOOKUP(G$5,$G$1:$H$4,2,FALSE),$E137,1,1))-VLOOKUP($E137,$E$9:$AF$92,$G$7-$D$7,0)</f>
        <v>0</v>
      </c>
      <c r="H137" s="652">
        <f>SUMIF('納品書明細F-15'!$B$9:$B$297,CONCATENATE(VLOOKUP(G$5,$G$1:$H$4,2,FALSE),$E137,1,1),'納品書明細F-15'!$Q$9:$Q$297)+SUMIF('納品書明細F-15'!$B$9:$B$297,CONCATENATE(VLOOKUP(G$5,$G$1:$H$4,2,FALSE),$E137,1,0),'納品書明細F-15'!$Q$9:$Q$297)-VLOOKUP($E137,$E$9:$AF$92,$H$7-$D$7,0)</f>
        <v>0</v>
      </c>
      <c r="I137" s="345"/>
      <c r="J137" s="122"/>
      <c r="K137" s="359"/>
      <c r="L137" s="345"/>
      <c r="M137" s="638">
        <f>COUNTIF('納品書明細F-15'!$B$9:$B$297,CONCATENATE(VLOOKUP(G$5,$G$1:$H$4,2,FALSE),$E137,9,1))-VLOOKUP($E137,$E$9:$AF$92,$M$7-$D$7,0)</f>
        <v>0</v>
      </c>
      <c r="N137" s="640">
        <f>SUMIF('納品書明細F-15'!$B$9:$B$297,CONCATENATE(VLOOKUP(G$5,$G$1:$H$4,2,FALSE),$E137,9,1),'納品書明細F-15'!$Q$9:$Q$297)+SUMIF('納品書明細F-15'!$B$9:$B$297,CONCATENATE(VLOOKUP(G$5,$G$1:$H$4,2,FALSE),$E137,9,0),'納品書明細F-15'!$Q$9:$Q$297)-VLOOKUP($E137,$E$9:$AF$92,$N$7-$D$7,0)</f>
        <v>0</v>
      </c>
      <c r="O137" s="69"/>
      <c r="P137" s="646">
        <f>COUNTIF('納品書明細F-15'!$B$9:$B$297,CONCATENATE(VLOOKUP(P$5,$G$1:$H$4,2,FALSE),$E137,1,1))-VLOOKUP($E137,$E$9:$AF$92,$P$7-$D$7,0)</f>
        <v>0</v>
      </c>
      <c r="Q137" s="647">
        <f>SUMIF('納品書明細F-15'!$B$9:$B$297,CONCATENATE(VLOOKUP(P$5,$G$1:$H$4,2,FALSE),$E137,1,1),'納品書明細F-15'!$Q$9:$Q$297)+SUMIF('納品書明細F-15'!$B$9:$B$297,CONCATENATE(VLOOKUP(P$5,$G$1:$H$4,2,FALSE),$E137,1,0),'納品書明細F-15'!$Q$9:$Q$297)-VLOOKUP($E137,$E$9:$AF$92,$Q$7-$D$7,0)</f>
        <v>0</v>
      </c>
      <c r="R137" s="345"/>
      <c r="S137" s="122"/>
      <c r="T137" s="128"/>
      <c r="U137" s="345"/>
      <c r="V137" s="638">
        <f>COUNTIF('納品書明細F-15'!$B$9:$B$297,CONCATENATE(VLOOKUP(P$5,$G$1:$H$4,2,FALSE),$E137,9,1))-VLOOKUP($E137,$E$9:$AF$92,$V$7-$D$7,0)</f>
        <v>0</v>
      </c>
      <c r="W137" s="650">
        <f>SUMIF('納品書明細F-15'!$B$9:$B$297,CONCATENATE(VLOOKUP(P$5,$G$1:$H$4,2,FALSE),$E137,9,1),'納品書明細F-15'!$Q$9:$Q$297)+SUMIF('納品書明細F-15'!$B$9:$B$297,CONCATENATE(VLOOKUP(P$5,$G$1:$H$4,2,FALSE),$E137,9,0),'納品書明細F-15'!$Q$9:$Q$297)-VLOOKUP($E137,$E$9:$AF$92,$W$7-$D$7,0)</f>
        <v>0</v>
      </c>
      <c r="X137" s="69"/>
      <c r="Y137" s="646">
        <f>COUNTIF('納品書明細F-15'!$B$9:$B$297,CONCATENATE(VLOOKUP(Y$5,$G$1:$H$4,2,FALSE),$E137,1,1))-VLOOKUP($E137,$E$9:$AF$92,$Y$7-$D$7,0)</f>
        <v>0</v>
      </c>
      <c r="Z137" s="647">
        <f>SUMIF('納品書明細F-15'!$B$9:$B$297,CONCATENATE(VLOOKUP(Y$5,$G$1:$H$4,2,FALSE),$E137,1,1),'納品書明細F-15'!$Q$9:$Q$297)+SUMIF('納品書明細F-15'!$B$9:$B$297,CONCATENATE(VLOOKUP(Y$5,$G$1:$H$4,2,FALSE),$E137,1,0),'納品書明細F-15'!$Q$9:$Q$297)-VLOOKUP($E137,$E$9:$AF$92,$Z$7-$D$7,0)</f>
        <v>0</v>
      </c>
      <c r="AA137" s="345"/>
      <c r="AB137" s="122"/>
      <c r="AC137" s="128"/>
      <c r="AD137" s="345"/>
      <c r="AE137" s="638">
        <f>COUNTIF('納品書明細F-15'!$B$9:$B$297,CONCATENATE(VLOOKUP(Y$5,$G$1:$H$4,2,FALSE),$E137,9,1))-VLOOKUP($E137,$E$9:$AF$92,$AE$7-$D$7,0)</f>
        <v>0</v>
      </c>
      <c r="AF137" s="650">
        <f>SUMIF('納品書明細F-15'!$B$9:$B$297,CONCATENATE(VLOOKUP(Y$5,$G$1:$H$4,2,FALSE),$E137,9,1),'納品書明細F-15'!$Q$9:$Q$297)+SUMIF('納品書明細F-15'!$B$9:$B$297,CONCATENATE(VLOOKUP(Y$5,$G$1:$H$4,2,FALSE),$E137,9,0),'納品書明細F-15'!$Q$9:$Q$297)-VLOOKUP($E137,$E$9:$AF$92,$AF$7-$D$7,0)</f>
        <v>0</v>
      </c>
    </row>
    <row r="138" spans="1:32">
      <c r="A138" s="475" t="str">
        <f>IF(SUMIFS($G138:$AF138,$G$8:$AF$8,"金額",$G138:$AF138,"&gt;0")-SUMIFS($G138:$AF138,$G$8:$AF$8,"金額",$G138:$AF138,"&lt;0")&lt;=0,"",MAX($A$92:$A137)+1)</f>
        <v/>
      </c>
      <c r="B138" s="795"/>
      <c r="C138" s="245" t="str">
        <f t="shared" si="4"/>
        <v>経費</v>
      </c>
      <c r="D138" s="245">
        <v>46</v>
      </c>
      <c r="E138" s="593" t="str">
        <f>IF($F138&lt;&gt;"",INDEX(ﾏｽﾀ!$D$8:$D$124,MATCH(INDEX(ﾏｽﾀ!$N$8:$N$124,MATCH($F138,ﾏｽﾀ!$O$8:$O$124,0)),ﾏｽﾀ!$B$8:$B$124,0))&amp;"","")</f>
        <v>83000</v>
      </c>
      <c r="F138" s="594" t="str">
        <f>ﾏｽﾀ!$R53&amp;""</f>
        <v>ソニー株式会社</v>
      </c>
      <c r="G138" s="646">
        <f>COUNTIF('納品書明細F-15'!$B$9:$B$297,CONCATENATE(VLOOKUP(G$5,$G$1:$H$4,2,FALSE),$E138,1,1))-VLOOKUP($E138,$E$9:$AF$92,$G$7-$D$7,0)</f>
        <v>0</v>
      </c>
      <c r="H138" s="652">
        <f>SUMIF('納品書明細F-15'!$B$9:$B$297,CONCATENATE(VLOOKUP(G$5,$G$1:$H$4,2,FALSE),$E138,1,1),'納品書明細F-15'!$Q$9:$Q$297)+SUMIF('納品書明細F-15'!$B$9:$B$297,CONCATENATE(VLOOKUP(G$5,$G$1:$H$4,2,FALSE),$E138,1,0),'納品書明細F-15'!$Q$9:$Q$297)-VLOOKUP($E138,$E$9:$AF$92,$H$7-$D$7,0)</f>
        <v>0</v>
      </c>
      <c r="I138" s="345"/>
      <c r="J138" s="122"/>
      <c r="K138" s="359"/>
      <c r="L138" s="345"/>
      <c r="M138" s="638">
        <f>COUNTIF('納品書明細F-15'!$B$9:$B$297,CONCATENATE(VLOOKUP(G$5,$G$1:$H$4,2,FALSE),$E138,9,1))-VLOOKUP($E138,$E$9:$AF$92,$M$7-$D$7,0)</f>
        <v>0</v>
      </c>
      <c r="N138" s="640">
        <f>SUMIF('納品書明細F-15'!$B$9:$B$297,CONCATENATE(VLOOKUP(G$5,$G$1:$H$4,2,FALSE),$E138,9,1),'納品書明細F-15'!$Q$9:$Q$297)+SUMIF('納品書明細F-15'!$B$9:$B$297,CONCATENATE(VLOOKUP(G$5,$G$1:$H$4,2,FALSE),$E138,9,0),'納品書明細F-15'!$Q$9:$Q$297)-VLOOKUP($E138,$E$9:$AF$92,$N$7-$D$7,0)</f>
        <v>0</v>
      </c>
      <c r="O138" s="69"/>
      <c r="P138" s="646">
        <f>COUNTIF('納品書明細F-15'!$B$9:$B$297,CONCATENATE(VLOOKUP(P$5,$G$1:$H$4,2,FALSE),$E138,1,1))-VLOOKUP($E138,$E$9:$AF$92,$P$7-$D$7,0)</f>
        <v>0</v>
      </c>
      <c r="Q138" s="647">
        <f>SUMIF('納品書明細F-15'!$B$9:$B$297,CONCATENATE(VLOOKUP(P$5,$G$1:$H$4,2,FALSE),$E138,1,1),'納品書明細F-15'!$Q$9:$Q$297)+SUMIF('納品書明細F-15'!$B$9:$B$297,CONCATENATE(VLOOKUP(P$5,$G$1:$H$4,2,FALSE),$E138,1,0),'納品書明細F-15'!$Q$9:$Q$297)-VLOOKUP($E138,$E$9:$AF$92,$Q$7-$D$7,0)</f>
        <v>0</v>
      </c>
      <c r="R138" s="345"/>
      <c r="S138" s="122"/>
      <c r="T138" s="128"/>
      <c r="U138" s="345"/>
      <c r="V138" s="638">
        <f>COUNTIF('納品書明細F-15'!$B$9:$B$297,CONCATENATE(VLOOKUP(P$5,$G$1:$H$4,2,FALSE),$E138,9,1))-VLOOKUP($E138,$E$9:$AF$92,$V$7-$D$7,0)</f>
        <v>0</v>
      </c>
      <c r="W138" s="650">
        <f>SUMIF('納品書明細F-15'!$B$9:$B$297,CONCATENATE(VLOOKUP(P$5,$G$1:$H$4,2,FALSE),$E138,9,1),'納品書明細F-15'!$Q$9:$Q$297)+SUMIF('納品書明細F-15'!$B$9:$B$297,CONCATENATE(VLOOKUP(P$5,$G$1:$H$4,2,FALSE),$E138,9,0),'納品書明細F-15'!$Q$9:$Q$297)-VLOOKUP($E138,$E$9:$AF$92,$W$7-$D$7,0)</f>
        <v>0</v>
      </c>
      <c r="X138" s="69"/>
      <c r="Y138" s="646">
        <f>COUNTIF('納品書明細F-15'!$B$9:$B$297,CONCATENATE(VLOOKUP(Y$5,$G$1:$H$4,2,FALSE),$E138,1,1))-VLOOKUP($E138,$E$9:$AF$92,$Y$7-$D$7,0)</f>
        <v>0</v>
      </c>
      <c r="Z138" s="647">
        <f>SUMIF('納品書明細F-15'!$B$9:$B$297,CONCATENATE(VLOOKUP(Y$5,$G$1:$H$4,2,FALSE),$E138,1,1),'納品書明細F-15'!$Q$9:$Q$297)+SUMIF('納品書明細F-15'!$B$9:$B$297,CONCATENATE(VLOOKUP(Y$5,$G$1:$H$4,2,FALSE),$E138,1,0),'納品書明細F-15'!$Q$9:$Q$297)-VLOOKUP($E138,$E$9:$AF$92,$Z$7-$D$7,0)</f>
        <v>0</v>
      </c>
      <c r="AA138" s="345"/>
      <c r="AB138" s="122"/>
      <c r="AC138" s="128"/>
      <c r="AD138" s="345"/>
      <c r="AE138" s="638">
        <f>COUNTIF('納品書明細F-15'!$B$9:$B$297,CONCATENATE(VLOOKUP(Y$5,$G$1:$H$4,2,FALSE),$E138,9,1))-VLOOKUP($E138,$E$9:$AF$92,$AE$7-$D$7,0)</f>
        <v>0</v>
      </c>
      <c r="AF138" s="650">
        <f>SUMIF('納品書明細F-15'!$B$9:$B$297,CONCATENATE(VLOOKUP(Y$5,$G$1:$H$4,2,FALSE),$E138,9,1),'納品書明細F-15'!$Q$9:$Q$297)+SUMIF('納品書明細F-15'!$B$9:$B$297,CONCATENATE(VLOOKUP(Y$5,$G$1:$H$4,2,FALSE),$E138,9,0),'納品書明細F-15'!$Q$9:$Q$297)-VLOOKUP($E138,$E$9:$AF$92,$AF$7-$D$7,0)</f>
        <v>0</v>
      </c>
    </row>
    <row r="139" spans="1:32">
      <c r="A139" s="475" t="str">
        <f>IF(SUMIFS($G139:$AF139,$G$8:$AF$8,"金額",$G139:$AF139,"&gt;0")-SUMIFS($G139:$AF139,$G$8:$AF$8,"金額",$G139:$AF139,"&lt;0")&lt;=0,"",MAX($A$92:$A138)+1)</f>
        <v/>
      </c>
      <c r="B139" s="795"/>
      <c r="C139" s="245" t="str">
        <f t="shared" si="4"/>
        <v>経費</v>
      </c>
      <c r="D139" s="245">
        <v>47</v>
      </c>
      <c r="E139" s="593" t="str">
        <f>IF($F139&lt;&gt;"",INDEX(ﾏｽﾀ!$D$8:$D$124,MATCH(INDEX(ﾏｽﾀ!$N$8:$N$124,MATCH($F139,ﾏｽﾀ!$O$8:$O$124,0)),ﾏｽﾀ!$B$8:$B$124,0))&amp;"","")</f>
        <v>84000</v>
      </c>
      <c r="F139" s="594" t="str">
        <f>ﾏｽﾀ!$R54&amp;""</f>
        <v>株式会社ブイシンク</v>
      </c>
      <c r="G139" s="646">
        <f>COUNTIF('納品書明細F-15'!$B$9:$B$297,CONCATENATE(VLOOKUP(G$5,$G$1:$H$4,2,FALSE),$E139,1,1))-VLOOKUP($E139,$E$9:$AF$92,$G$7-$D$7,0)</f>
        <v>0</v>
      </c>
      <c r="H139" s="652">
        <f>SUMIF('納品書明細F-15'!$B$9:$B$297,CONCATENATE(VLOOKUP(G$5,$G$1:$H$4,2,FALSE),$E139,1,1),'納品書明細F-15'!$Q$9:$Q$297)+SUMIF('納品書明細F-15'!$B$9:$B$297,CONCATENATE(VLOOKUP(G$5,$G$1:$H$4,2,FALSE),$E139,1,0),'納品書明細F-15'!$Q$9:$Q$297)-VLOOKUP($E139,$E$9:$AF$92,$H$7-$D$7,0)</f>
        <v>0</v>
      </c>
      <c r="I139" s="345"/>
      <c r="J139" s="122"/>
      <c r="K139" s="359"/>
      <c r="L139" s="345"/>
      <c r="M139" s="638">
        <f>COUNTIF('納品書明細F-15'!$B$9:$B$297,CONCATENATE(VLOOKUP(G$5,$G$1:$H$4,2,FALSE),$E139,9,1))-VLOOKUP($E139,$E$9:$AF$92,$M$7-$D$7,0)</f>
        <v>0</v>
      </c>
      <c r="N139" s="640">
        <f>SUMIF('納品書明細F-15'!$B$9:$B$297,CONCATENATE(VLOOKUP(G$5,$G$1:$H$4,2,FALSE),$E139,9,1),'納品書明細F-15'!$Q$9:$Q$297)+SUMIF('納品書明細F-15'!$B$9:$B$297,CONCATENATE(VLOOKUP(G$5,$G$1:$H$4,2,FALSE),$E139,9,0),'納品書明細F-15'!$Q$9:$Q$297)-VLOOKUP($E139,$E$9:$AF$92,$N$7-$D$7,0)</f>
        <v>0</v>
      </c>
      <c r="O139" s="69"/>
      <c r="P139" s="646">
        <f>COUNTIF('納品書明細F-15'!$B$9:$B$297,CONCATENATE(VLOOKUP(P$5,$G$1:$H$4,2,FALSE),$E139,1,1))-VLOOKUP($E139,$E$9:$AF$92,$P$7-$D$7,0)</f>
        <v>0</v>
      </c>
      <c r="Q139" s="647">
        <f>SUMIF('納品書明細F-15'!$B$9:$B$297,CONCATENATE(VLOOKUP(P$5,$G$1:$H$4,2,FALSE),$E139,1,1),'納品書明細F-15'!$Q$9:$Q$297)+SUMIF('納品書明細F-15'!$B$9:$B$297,CONCATENATE(VLOOKUP(P$5,$G$1:$H$4,2,FALSE),$E139,1,0),'納品書明細F-15'!$Q$9:$Q$297)-VLOOKUP($E139,$E$9:$AF$92,$Q$7-$D$7,0)</f>
        <v>0</v>
      </c>
      <c r="R139" s="345"/>
      <c r="S139" s="122"/>
      <c r="T139" s="128"/>
      <c r="U139" s="345"/>
      <c r="V139" s="638">
        <f>COUNTIF('納品書明細F-15'!$B$9:$B$297,CONCATENATE(VLOOKUP(P$5,$G$1:$H$4,2,FALSE),$E139,9,1))-VLOOKUP($E139,$E$9:$AF$92,$V$7-$D$7,0)</f>
        <v>0</v>
      </c>
      <c r="W139" s="650">
        <f>SUMIF('納品書明細F-15'!$B$9:$B$297,CONCATENATE(VLOOKUP(P$5,$G$1:$H$4,2,FALSE),$E139,9,1),'納品書明細F-15'!$Q$9:$Q$297)+SUMIF('納品書明細F-15'!$B$9:$B$297,CONCATENATE(VLOOKUP(P$5,$G$1:$H$4,2,FALSE),$E139,9,0),'納品書明細F-15'!$Q$9:$Q$297)-VLOOKUP($E139,$E$9:$AF$92,$W$7-$D$7,0)</f>
        <v>0</v>
      </c>
      <c r="X139" s="69"/>
      <c r="Y139" s="646">
        <f>COUNTIF('納品書明細F-15'!$B$9:$B$297,CONCATENATE(VLOOKUP(Y$5,$G$1:$H$4,2,FALSE),$E139,1,1))-VLOOKUP($E139,$E$9:$AF$92,$Y$7-$D$7,0)</f>
        <v>0</v>
      </c>
      <c r="Z139" s="647">
        <f>SUMIF('納品書明細F-15'!$B$9:$B$297,CONCATENATE(VLOOKUP(Y$5,$G$1:$H$4,2,FALSE),$E139,1,1),'納品書明細F-15'!$Q$9:$Q$297)+SUMIF('納品書明細F-15'!$B$9:$B$297,CONCATENATE(VLOOKUP(Y$5,$G$1:$H$4,2,FALSE),$E139,1,0),'納品書明細F-15'!$Q$9:$Q$297)-VLOOKUP($E139,$E$9:$AF$92,$Z$7-$D$7,0)</f>
        <v>0</v>
      </c>
      <c r="AA139" s="345"/>
      <c r="AB139" s="122"/>
      <c r="AC139" s="128"/>
      <c r="AD139" s="345"/>
      <c r="AE139" s="638">
        <f>COUNTIF('納品書明細F-15'!$B$9:$B$297,CONCATENATE(VLOOKUP(Y$5,$G$1:$H$4,2,FALSE),$E139,9,1))-VLOOKUP($E139,$E$9:$AF$92,$AE$7-$D$7,0)</f>
        <v>0</v>
      </c>
      <c r="AF139" s="650">
        <f>SUMIF('納品書明細F-15'!$B$9:$B$297,CONCATENATE(VLOOKUP(Y$5,$G$1:$H$4,2,FALSE),$E139,9,1),'納品書明細F-15'!$Q$9:$Q$297)+SUMIF('納品書明細F-15'!$B$9:$B$297,CONCATENATE(VLOOKUP(Y$5,$G$1:$H$4,2,FALSE),$E139,9,0),'納品書明細F-15'!$Q$9:$Q$297)-VLOOKUP($E139,$E$9:$AF$92,$AF$7-$D$7,0)</f>
        <v>0</v>
      </c>
    </row>
    <row r="140" spans="1:32">
      <c r="A140" s="475" t="str">
        <f>IF(SUMIFS($G140:$AF140,$G$8:$AF$8,"金額",$G140:$AF140,"&gt;0")-SUMIFS($G140:$AF140,$G$8:$AF$8,"金額",$G140:$AF140,"&lt;0")&lt;=0,"",MAX($A$92:$A139)+1)</f>
        <v/>
      </c>
      <c r="B140" s="795"/>
      <c r="C140" s="245" t="str">
        <f t="shared" si="4"/>
        <v>経費</v>
      </c>
      <c r="D140" s="245">
        <v>48</v>
      </c>
      <c r="E140" s="593" t="str">
        <f>IF($F140&lt;&gt;"",INDEX(ﾏｽﾀ!$D$8:$D$124,MATCH(INDEX(ﾏｽﾀ!$N$8:$N$124,MATCH($F140,ﾏｽﾀ!$O$8:$O$124,0)),ﾏｽﾀ!$B$8:$B$124,0))&amp;"","")</f>
        <v>85000</v>
      </c>
      <c r="F140" s="594" t="str">
        <f>ﾏｽﾀ!$R55&amp;""</f>
        <v>有限会社ユハラ・インターナショナル</v>
      </c>
      <c r="G140" s="646">
        <f>COUNTIF('納品書明細F-15'!$B$9:$B$297,CONCATENATE(VLOOKUP(G$5,$G$1:$H$4,2,FALSE),$E140,1,1))-VLOOKUP($E140,$E$9:$AF$92,$G$7-$D$7,0)</f>
        <v>0</v>
      </c>
      <c r="H140" s="652">
        <f>SUMIF('納品書明細F-15'!$B$9:$B$297,CONCATENATE(VLOOKUP(G$5,$G$1:$H$4,2,FALSE),$E140,1,1),'納品書明細F-15'!$Q$9:$Q$297)+SUMIF('納品書明細F-15'!$B$9:$B$297,CONCATENATE(VLOOKUP(G$5,$G$1:$H$4,2,FALSE),$E140,1,0),'納品書明細F-15'!$Q$9:$Q$297)-VLOOKUP($E140,$E$9:$AF$92,$H$7-$D$7,0)</f>
        <v>0</v>
      </c>
      <c r="I140" s="345"/>
      <c r="J140" s="122"/>
      <c r="K140" s="359"/>
      <c r="L140" s="345"/>
      <c r="M140" s="638">
        <f>COUNTIF('納品書明細F-15'!$B$9:$B$297,CONCATENATE(VLOOKUP(G$5,$G$1:$H$4,2,FALSE),$E140,9,1))-VLOOKUP($E140,$E$9:$AF$92,$M$7-$D$7,0)</f>
        <v>0</v>
      </c>
      <c r="N140" s="640">
        <f>SUMIF('納品書明細F-15'!$B$9:$B$297,CONCATENATE(VLOOKUP(G$5,$G$1:$H$4,2,FALSE),$E140,9,1),'納品書明細F-15'!$Q$9:$Q$297)+SUMIF('納品書明細F-15'!$B$9:$B$297,CONCATENATE(VLOOKUP(G$5,$G$1:$H$4,2,FALSE),$E140,9,0),'納品書明細F-15'!$Q$9:$Q$297)-VLOOKUP($E140,$E$9:$AF$92,$N$7-$D$7,0)</f>
        <v>0</v>
      </c>
      <c r="O140" s="69"/>
      <c r="P140" s="646">
        <f>COUNTIF('納品書明細F-15'!$B$9:$B$297,CONCATENATE(VLOOKUP(P$5,$G$1:$H$4,2,FALSE),$E140,1,1))-VLOOKUP($E140,$E$9:$AF$92,$P$7-$D$7,0)</f>
        <v>0</v>
      </c>
      <c r="Q140" s="647">
        <f>SUMIF('納品書明細F-15'!$B$9:$B$297,CONCATENATE(VLOOKUP(P$5,$G$1:$H$4,2,FALSE),$E140,1,1),'納品書明細F-15'!$Q$9:$Q$297)+SUMIF('納品書明細F-15'!$B$9:$B$297,CONCATENATE(VLOOKUP(P$5,$G$1:$H$4,2,FALSE),$E140,1,0),'納品書明細F-15'!$Q$9:$Q$297)-VLOOKUP($E140,$E$9:$AF$92,$Q$7-$D$7,0)</f>
        <v>0</v>
      </c>
      <c r="R140" s="345"/>
      <c r="S140" s="122"/>
      <c r="T140" s="128"/>
      <c r="U140" s="345"/>
      <c r="V140" s="638">
        <f>COUNTIF('納品書明細F-15'!$B$9:$B$297,CONCATENATE(VLOOKUP(P$5,$G$1:$H$4,2,FALSE),$E140,9,1))-VLOOKUP($E140,$E$9:$AF$92,$V$7-$D$7,0)</f>
        <v>0</v>
      </c>
      <c r="W140" s="650">
        <f>SUMIF('納品書明細F-15'!$B$9:$B$297,CONCATENATE(VLOOKUP(P$5,$G$1:$H$4,2,FALSE),$E140,9,1),'納品書明細F-15'!$Q$9:$Q$297)+SUMIF('納品書明細F-15'!$B$9:$B$297,CONCATENATE(VLOOKUP(P$5,$G$1:$H$4,2,FALSE),$E140,9,0),'納品書明細F-15'!$Q$9:$Q$297)-VLOOKUP($E140,$E$9:$AF$92,$W$7-$D$7,0)</f>
        <v>0</v>
      </c>
      <c r="X140" s="69"/>
      <c r="Y140" s="646">
        <f>COUNTIF('納品書明細F-15'!$B$9:$B$297,CONCATENATE(VLOOKUP(Y$5,$G$1:$H$4,2,FALSE),$E140,1,1))-VLOOKUP($E140,$E$9:$AF$92,$Y$7-$D$7,0)</f>
        <v>0</v>
      </c>
      <c r="Z140" s="647">
        <f>SUMIF('納品書明細F-15'!$B$9:$B$297,CONCATENATE(VLOOKUP(Y$5,$G$1:$H$4,2,FALSE),$E140,1,1),'納品書明細F-15'!$Q$9:$Q$297)+SUMIF('納品書明細F-15'!$B$9:$B$297,CONCATENATE(VLOOKUP(Y$5,$G$1:$H$4,2,FALSE),$E140,1,0),'納品書明細F-15'!$Q$9:$Q$297)-VLOOKUP($E140,$E$9:$AF$92,$Z$7-$D$7,0)</f>
        <v>0</v>
      </c>
      <c r="AA140" s="345"/>
      <c r="AB140" s="122"/>
      <c r="AC140" s="128"/>
      <c r="AD140" s="345"/>
      <c r="AE140" s="638">
        <f>COUNTIF('納品書明細F-15'!$B$9:$B$297,CONCATENATE(VLOOKUP(Y$5,$G$1:$H$4,2,FALSE),$E140,9,1))-VLOOKUP($E140,$E$9:$AF$92,$AE$7-$D$7,0)</f>
        <v>0</v>
      </c>
      <c r="AF140" s="650">
        <f>SUMIF('納品書明細F-15'!$B$9:$B$297,CONCATENATE(VLOOKUP(Y$5,$G$1:$H$4,2,FALSE),$E140,9,1),'納品書明細F-15'!$Q$9:$Q$297)+SUMIF('納品書明細F-15'!$B$9:$B$297,CONCATENATE(VLOOKUP(Y$5,$G$1:$H$4,2,FALSE),$E140,9,0),'納品書明細F-15'!$Q$9:$Q$297)-VLOOKUP($E140,$E$9:$AF$92,$AF$7-$D$7,0)</f>
        <v>0</v>
      </c>
    </row>
    <row r="141" spans="1:32">
      <c r="A141" s="475" t="str">
        <f>IF(SUMIFS($G141:$AF141,$G$8:$AF$8,"金額",$G141:$AF141,"&gt;0")-SUMIFS($G141:$AF141,$G$8:$AF$8,"金額",$G141:$AF141,"&lt;0")&lt;=0,"",MAX($A$92:$A140)+1)</f>
        <v/>
      </c>
      <c r="B141" s="795"/>
      <c r="C141" s="245" t="str">
        <f t="shared" si="4"/>
        <v>経費</v>
      </c>
      <c r="D141" s="245">
        <v>49</v>
      </c>
      <c r="E141" s="593" t="str">
        <f>IF($F141&lt;&gt;"",INDEX(ﾏｽﾀ!$D$8:$D$124,MATCH(INDEX(ﾏｽﾀ!$N$8:$N$124,MATCH($F141,ﾏｽﾀ!$O$8:$O$124,0)),ﾏｽﾀ!$B$8:$B$124,0))&amp;"","")</f>
        <v>89000</v>
      </c>
      <c r="F141" s="594" t="str">
        <f>ﾏｽﾀ!$R56&amp;""</f>
        <v>株式会社ライブ・ワークス</v>
      </c>
      <c r="G141" s="646">
        <f>COUNTIF('納品書明細F-15'!$B$9:$B$297,CONCATENATE(VLOOKUP(G$5,$G$1:$H$4,2,FALSE),$E141,1,1))-VLOOKUP($E141,$E$9:$AF$92,$G$7-$D$7,0)</f>
        <v>0</v>
      </c>
      <c r="H141" s="652">
        <f>SUMIF('納品書明細F-15'!$B$9:$B$297,CONCATENATE(VLOOKUP(G$5,$G$1:$H$4,2,FALSE),$E141,1,1),'納品書明細F-15'!$Q$9:$Q$297)+SUMIF('納品書明細F-15'!$B$9:$B$297,CONCATENATE(VLOOKUP(G$5,$G$1:$H$4,2,FALSE),$E141,1,0),'納品書明細F-15'!$Q$9:$Q$297)-VLOOKUP($E141,$E$9:$AF$92,$H$7-$D$7,0)</f>
        <v>0</v>
      </c>
      <c r="I141" s="345"/>
      <c r="J141" s="122"/>
      <c r="K141" s="359"/>
      <c r="L141" s="345"/>
      <c r="M141" s="638">
        <f>COUNTIF('納品書明細F-15'!$B$9:$B$297,CONCATENATE(VLOOKUP(G$5,$G$1:$H$4,2,FALSE),$E141,9,1))-VLOOKUP($E141,$E$9:$AF$92,$M$7-$D$7,0)</f>
        <v>0</v>
      </c>
      <c r="N141" s="640">
        <f>SUMIF('納品書明細F-15'!$B$9:$B$297,CONCATENATE(VLOOKUP(G$5,$G$1:$H$4,2,FALSE),$E141,9,1),'納品書明細F-15'!$Q$9:$Q$297)+SUMIF('納品書明細F-15'!$B$9:$B$297,CONCATENATE(VLOOKUP(G$5,$G$1:$H$4,2,FALSE),$E141,9,0),'納品書明細F-15'!$Q$9:$Q$297)-VLOOKUP($E141,$E$9:$AF$92,$N$7-$D$7,0)</f>
        <v>0</v>
      </c>
      <c r="O141" s="69"/>
      <c r="P141" s="646">
        <f>COUNTIF('納品書明細F-15'!$B$9:$B$297,CONCATENATE(VLOOKUP(P$5,$G$1:$H$4,2,FALSE),$E141,1,1))-VLOOKUP($E141,$E$9:$AF$92,$P$7-$D$7,0)</f>
        <v>0</v>
      </c>
      <c r="Q141" s="647">
        <f>SUMIF('納品書明細F-15'!$B$9:$B$297,CONCATENATE(VLOOKUP(P$5,$G$1:$H$4,2,FALSE),$E141,1,1),'納品書明細F-15'!$Q$9:$Q$297)+SUMIF('納品書明細F-15'!$B$9:$B$297,CONCATENATE(VLOOKUP(P$5,$G$1:$H$4,2,FALSE),$E141,1,0),'納品書明細F-15'!$Q$9:$Q$297)-VLOOKUP($E141,$E$9:$AF$92,$Q$7-$D$7,0)</f>
        <v>0</v>
      </c>
      <c r="R141" s="345"/>
      <c r="S141" s="122"/>
      <c r="T141" s="128"/>
      <c r="U141" s="345"/>
      <c r="V141" s="638">
        <f>COUNTIF('納品書明細F-15'!$B$9:$B$297,CONCATENATE(VLOOKUP(P$5,$G$1:$H$4,2,FALSE),$E141,9,1))-VLOOKUP($E141,$E$9:$AF$92,$V$7-$D$7,0)</f>
        <v>0</v>
      </c>
      <c r="W141" s="650">
        <f>SUMIF('納品書明細F-15'!$B$9:$B$297,CONCATENATE(VLOOKUP(P$5,$G$1:$H$4,2,FALSE),$E141,9,1),'納品書明細F-15'!$Q$9:$Q$297)+SUMIF('納品書明細F-15'!$B$9:$B$297,CONCATENATE(VLOOKUP(P$5,$G$1:$H$4,2,FALSE),$E141,9,0),'納品書明細F-15'!$Q$9:$Q$297)-VLOOKUP($E141,$E$9:$AF$92,$W$7-$D$7,0)</f>
        <v>0</v>
      </c>
      <c r="X141" s="69"/>
      <c r="Y141" s="646">
        <f>COUNTIF('納品書明細F-15'!$B$9:$B$297,CONCATENATE(VLOOKUP(Y$5,$G$1:$H$4,2,FALSE),$E141,1,1))-VLOOKUP($E141,$E$9:$AF$92,$Y$7-$D$7,0)</f>
        <v>0</v>
      </c>
      <c r="Z141" s="647">
        <f>SUMIF('納品書明細F-15'!$B$9:$B$297,CONCATENATE(VLOOKUP(Y$5,$G$1:$H$4,2,FALSE),$E141,1,1),'納品書明細F-15'!$Q$9:$Q$297)+SUMIF('納品書明細F-15'!$B$9:$B$297,CONCATENATE(VLOOKUP(Y$5,$G$1:$H$4,2,FALSE),$E141,1,0),'納品書明細F-15'!$Q$9:$Q$297)-VLOOKUP($E141,$E$9:$AF$92,$Z$7-$D$7,0)</f>
        <v>0</v>
      </c>
      <c r="AA141" s="345"/>
      <c r="AB141" s="122"/>
      <c r="AC141" s="128"/>
      <c r="AD141" s="345"/>
      <c r="AE141" s="638">
        <f>COUNTIF('納品書明細F-15'!$B$9:$B$297,CONCATENATE(VLOOKUP(Y$5,$G$1:$H$4,2,FALSE),$E141,9,1))-VLOOKUP($E141,$E$9:$AF$92,$AE$7-$D$7,0)</f>
        <v>0</v>
      </c>
      <c r="AF141" s="650">
        <f>SUMIF('納品書明細F-15'!$B$9:$B$297,CONCATENATE(VLOOKUP(Y$5,$G$1:$H$4,2,FALSE),$E141,9,1),'納品書明細F-15'!$Q$9:$Q$297)+SUMIF('納品書明細F-15'!$B$9:$B$297,CONCATENATE(VLOOKUP(Y$5,$G$1:$H$4,2,FALSE),$E141,9,0),'納品書明細F-15'!$Q$9:$Q$297)-VLOOKUP($E141,$E$9:$AF$92,$AF$7-$D$7,0)</f>
        <v>0</v>
      </c>
    </row>
    <row r="142" spans="1:32">
      <c r="A142" s="475" t="str">
        <f>IF(SUMIFS($G142:$AF142,$G$8:$AF$8,"金額",$G142:$AF142,"&gt;0")-SUMIFS($G142:$AF142,$G$8:$AF$8,"金額",$G142:$AF142,"&lt;0")&lt;=0,"",MAX($A$92:$A141)+1)</f>
        <v/>
      </c>
      <c r="B142" s="795"/>
      <c r="C142" s="245" t="str">
        <f t="shared" si="4"/>
        <v>経費</v>
      </c>
      <c r="D142" s="245">
        <v>50</v>
      </c>
      <c r="E142" s="593" t="str">
        <f>IF($F142&lt;&gt;"",INDEX(ﾏｽﾀ!$D$8:$D$124,MATCH(INDEX(ﾏｽﾀ!$N$8:$N$124,MATCH($F142,ﾏｽﾀ!$O$8:$O$124,0)),ﾏｽﾀ!$B$8:$B$124,0))&amp;"","")</f>
        <v>90001</v>
      </c>
      <c r="F142" s="594" t="str">
        <f>ﾏｽﾀ!$R57&amp;""</f>
        <v>株式会社ロジパルエクスプレス　3200/川崎営業所</v>
      </c>
      <c r="G142" s="646">
        <f>COUNTIF('納品書明細F-15'!$B$9:$B$297,CONCATENATE(VLOOKUP(G$5,$G$1:$H$4,2,FALSE),$E142,1,1))-VLOOKUP($E142,$E$9:$AF$92,$G$7-$D$7,0)</f>
        <v>0</v>
      </c>
      <c r="H142" s="652">
        <f>SUMIF('納品書明細F-15'!$B$9:$B$297,CONCATENATE(VLOOKUP(G$5,$G$1:$H$4,2,FALSE),$E142,1,1),'納品書明細F-15'!$Q$9:$Q$297)+SUMIF('納品書明細F-15'!$B$9:$B$297,CONCATENATE(VLOOKUP(G$5,$G$1:$H$4,2,FALSE),$E142,1,0),'納品書明細F-15'!$Q$9:$Q$297)-VLOOKUP($E142,$E$9:$AF$92,$H$7-$D$7,0)</f>
        <v>0</v>
      </c>
      <c r="I142" s="345"/>
      <c r="J142" s="122"/>
      <c r="K142" s="359"/>
      <c r="L142" s="345"/>
      <c r="M142" s="638">
        <f>COUNTIF('納品書明細F-15'!$B$9:$B$297,CONCATENATE(VLOOKUP(G$5,$G$1:$H$4,2,FALSE),$E142,9,1))-VLOOKUP($E142,$E$9:$AF$92,$M$7-$D$7,0)</f>
        <v>0</v>
      </c>
      <c r="N142" s="640">
        <f>SUMIF('納品書明細F-15'!$B$9:$B$297,CONCATENATE(VLOOKUP(G$5,$G$1:$H$4,2,FALSE),$E142,9,1),'納品書明細F-15'!$Q$9:$Q$297)+SUMIF('納品書明細F-15'!$B$9:$B$297,CONCATENATE(VLOOKUP(G$5,$G$1:$H$4,2,FALSE),$E142,9,0),'納品書明細F-15'!$Q$9:$Q$297)-VLOOKUP($E142,$E$9:$AF$92,$N$7-$D$7,0)</f>
        <v>0</v>
      </c>
      <c r="O142" s="69"/>
      <c r="P142" s="646">
        <f>COUNTIF('納品書明細F-15'!$B$9:$B$297,CONCATENATE(VLOOKUP(P$5,$G$1:$H$4,2,FALSE),$E142,1,1))-VLOOKUP($E142,$E$9:$AF$92,$P$7-$D$7,0)</f>
        <v>0</v>
      </c>
      <c r="Q142" s="647">
        <f>SUMIF('納品書明細F-15'!$B$9:$B$297,CONCATENATE(VLOOKUP(P$5,$G$1:$H$4,2,FALSE),$E142,1,1),'納品書明細F-15'!$Q$9:$Q$297)+SUMIF('納品書明細F-15'!$B$9:$B$297,CONCATENATE(VLOOKUP(P$5,$G$1:$H$4,2,FALSE),$E142,1,0),'納品書明細F-15'!$Q$9:$Q$297)-VLOOKUP($E142,$E$9:$AF$92,$Q$7-$D$7,0)</f>
        <v>0</v>
      </c>
      <c r="R142" s="345"/>
      <c r="S142" s="122"/>
      <c r="T142" s="128"/>
      <c r="U142" s="345"/>
      <c r="V142" s="638">
        <f>COUNTIF('納品書明細F-15'!$B$9:$B$297,CONCATENATE(VLOOKUP(P$5,$G$1:$H$4,2,FALSE),$E142,9,1))-VLOOKUP($E142,$E$9:$AF$92,$V$7-$D$7,0)</f>
        <v>0</v>
      </c>
      <c r="W142" s="650">
        <f>SUMIF('納品書明細F-15'!$B$9:$B$297,CONCATENATE(VLOOKUP(P$5,$G$1:$H$4,2,FALSE),$E142,9,1),'納品書明細F-15'!$Q$9:$Q$297)+SUMIF('納品書明細F-15'!$B$9:$B$297,CONCATENATE(VLOOKUP(P$5,$G$1:$H$4,2,FALSE),$E142,9,0),'納品書明細F-15'!$Q$9:$Q$297)-VLOOKUP($E142,$E$9:$AF$92,$W$7-$D$7,0)</f>
        <v>0</v>
      </c>
      <c r="X142" s="69"/>
      <c r="Y142" s="646">
        <f>COUNTIF('納品書明細F-15'!$B$9:$B$297,CONCATENATE(VLOOKUP(Y$5,$G$1:$H$4,2,FALSE),$E142,1,1))-VLOOKUP($E142,$E$9:$AF$92,$Y$7-$D$7,0)</f>
        <v>0</v>
      </c>
      <c r="Z142" s="647">
        <f>SUMIF('納品書明細F-15'!$B$9:$B$297,CONCATENATE(VLOOKUP(Y$5,$G$1:$H$4,2,FALSE),$E142,1,1),'納品書明細F-15'!$Q$9:$Q$297)+SUMIF('納品書明細F-15'!$B$9:$B$297,CONCATENATE(VLOOKUP(Y$5,$G$1:$H$4,2,FALSE),$E142,1,0),'納品書明細F-15'!$Q$9:$Q$297)-VLOOKUP($E142,$E$9:$AF$92,$Z$7-$D$7,0)</f>
        <v>0</v>
      </c>
      <c r="AA142" s="345"/>
      <c r="AB142" s="122"/>
      <c r="AC142" s="128"/>
      <c r="AD142" s="345"/>
      <c r="AE142" s="638">
        <f>COUNTIF('納品書明細F-15'!$B$9:$B$297,CONCATENATE(VLOOKUP(Y$5,$G$1:$H$4,2,FALSE),$E142,9,1))-VLOOKUP($E142,$E$9:$AF$92,$AE$7-$D$7,0)</f>
        <v>0</v>
      </c>
      <c r="AF142" s="650">
        <f>SUMIF('納品書明細F-15'!$B$9:$B$297,CONCATENATE(VLOOKUP(Y$5,$G$1:$H$4,2,FALSE),$E142,9,1),'納品書明細F-15'!$Q$9:$Q$297)+SUMIF('納品書明細F-15'!$B$9:$B$297,CONCATENATE(VLOOKUP(Y$5,$G$1:$H$4,2,FALSE),$E142,9,0),'納品書明細F-15'!$Q$9:$Q$297)-VLOOKUP($E142,$E$9:$AF$92,$AF$7-$D$7,0)</f>
        <v>0</v>
      </c>
    </row>
    <row r="143" spans="1:32">
      <c r="A143" s="475" t="str">
        <f>IF(SUMIFS($G143:$AF143,$G$8:$AF$8,"金額",$G143:$AF143,"&gt;0")-SUMIFS($G143:$AF143,$G$8:$AF$8,"金額",$G143:$AF143,"&lt;0")&lt;=0,"",MAX($A$92:$A142)+1)</f>
        <v/>
      </c>
      <c r="B143" s="795"/>
      <c r="C143" s="245" t="str">
        <f t="shared" si="4"/>
        <v>経費</v>
      </c>
      <c r="D143" s="245">
        <v>51</v>
      </c>
      <c r="E143" s="593" t="str">
        <f>IF($F143&lt;&gt;"",INDEX(ﾏｽﾀ!$D$8:$D$124,MATCH(INDEX(ﾏｽﾀ!$N$8:$N$124,MATCH($F143,ﾏｽﾀ!$O$8:$O$124,0)),ﾏｽﾀ!$B$8:$B$124,0))&amp;"","")</f>
        <v>91000</v>
      </c>
      <c r="F143" s="594" t="str">
        <f>ﾏｽﾀ!$R58&amp;""</f>
        <v>株式会社バンジハンエース</v>
      </c>
      <c r="G143" s="646">
        <f>COUNTIF('納品書明細F-15'!$B$9:$B$297,CONCATENATE(VLOOKUP(G$5,$G$1:$H$4,2,FALSE),$E143,1,1))-VLOOKUP($E143,$E$9:$AF$92,$G$7-$D$7,0)</f>
        <v>0</v>
      </c>
      <c r="H143" s="652">
        <f>SUMIF('納品書明細F-15'!$B$9:$B$297,CONCATENATE(VLOOKUP(G$5,$G$1:$H$4,2,FALSE),$E143,1,1),'納品書明細F-15'!$Q$9:$Q$297)+SUMIF('納品書明細F-15'!$B$9:$B$297,CONCATENATE(VLOOKUP(G$5,$G$1:$H$4,2,FALSE),$E143,1,0),'納品書明細F-15'!$Q$9:$Q$297)-VLOOKUP($E143,$E$9:$AF$92,$H$7-$D$7,0)</f>
        <v>0</v>
      </c>
      <c r="I143" s="345"/>
      <c r="J143" s="122"/>
      <c r="K143" s="359"/>
      <c r="L143" s="345"/>
      <c r="M143" s="638">
        <f>COUNTIF('納品書明細F-15'!$B$9:$B$297,CONCATENATE(VLOOKUP(G$5,$G$1:$H$4,2,FALSE),$E143,9,1))-VLOOKUP($E143,$E$9:$AF$92,$M$7-$D$7,0)</f>
        <v>0</v>
      </c>
      <c r="N143" s="640">
        <f>SUMIF('納品書明細F-15'!$B$9:$B$297,CONCATENATE(VLOOKUP(G$5,$G$1:$H$4,2,FALSE),$E143,9,1),'納品書明細F-15'!$Q$9:$Q$297)+SUMIF('納品書明細F-15'!$B$9:$B$297,CONCATENATE(VLOOKUP(G$5,$G$1:$H$4,2,FALSE),$E143,9,0),'納品書明細F-15'!$Q$9:$Q$297)-VLOOKUP($E143,$E$9:$AF$92,$N$7-$D$7,0)</f>
        <v>0</v>
      </c>
      <c r="O143" s="69"/>
      <c r="P143" s="646">
        <f>COUNTIF('納品書明細F-15'!$B$9:$B$297,CONCATENATE(VLOOKUP(P$5,$G$1:$H$4,2,FALSE),$E143,1,1))-VLOOKUP($E143,$E$9:$AF$92,$P$7-$D$7,0)</f>
        <v>0</v>
      </c>
      <c r="Q143" s="647">
        <f>SUMIF('納品書明細F-15'!$B$9:$B$297,CONCATENATE(VLOOKUP(P$5,$G$1:$H$4,2,FALSE),$E143,1,1),'納品書明細F-15'!$Q$9:$Q$297)+SUMIF('納品書明細F-15'!$B$9:$B$297,CONCATENATE(VLOOKUP(P$5,$G$1:$H$4,2,FALSE),$E143,1,0),'納品書明細F-15'!$Q$9:$Q$297)-VLOOKUP($E143,$E$9:$AF$92,$Q$7-$D$7,0)</f>
        <v>0</v>
      </c>
      <c r="R143" s="345"/>
      <c r="S143" s="122"/>
      <c r="T143" s="128"/>
      <c r="U143" s="345"/>
      <c r="V143" s="638">
        <f>COUNTIF('納品書明細F-15'!$B$9:$B$297,CONCATENATE(VLOOKUP(P$5,$G$1:$H$4,2,FALSE),$E143,9,1))-VLOOKUP($E143,$E$9:$AF$92,$V$7-$D$7,0)</f>
        <v>0</v>
      </c>
      <c r="W143" s="650">
        <f>SUMIF('納品書明細F-15'!$B$9:$B$297,CONCATENATE(VLOOKUP(P$5,$G$1:$H$4,2,FALSE),$E143,9,1),'納品書明細F-15'!$Q$9:$Q$297)+SUMIF('納品書明細F-15'!$B$9:$B$297,CONCATENATE(VLOOKUP(P$5,$G$1:$H$4,2,FALSE),$E143,9,0),'納品書明細F-15'!$Q$9:$Q$297)-VLOOKUP($E143,$E$9:$AF$92,$W$7-$D$7,0)</f>
        <v>0</v>
      </c>
      <c r="X143" s="69"/>
      <c r="Y143" s="646">
        <f>COUNTIF('納品書明細F-15'!$B$9:$B$297,CONCATENATE(VLOOKUP(Y$5,$G$1:$H$4,2,FALSE),$E143,1,1))-VLOOKUP($E143,$E$9:$AF$92,$Y$7-$D$7,0)</f>
        <v>0</v>
      </c>
      <c r="Z143" s="647">
        <f>SUMIF('納品書明細F-15'!$B$9:$B$297,CONCATENATE(VLOOKUP(Y$5,$G$1:$H$4,2,FALSE),$E143,1,1),'納品書明細F-15'!$Q$9:$Q$297)+SUMIF('納品書明細F-15'!$B$9:$B$297,CONCATENATE(VLOOKUP(Y$5,$G$1:$H$4,2,FALSE),$E143,1,0),'納品書明細F-15'!$Q$9:$Q$297)-VLOOKUP($E143,$E$9:$AF$92,$Z$7-$D$7,0)</f>
        <v>0</v>
      </c>
      <c r="AA143" s="345"/>
      <c r="AB143" s="122"/>
      <c r="AC143" s="128"/>
      <c r="AD143" s="345"/>
      <c r="AE143" s="638">
        <f>COUNTIF('納品書明細F-15'!$B$9:$B$297,CONCATENATE(VLOOKUP(Y$5,$G$1:$H$4,2,FALSE),$E143,9,1))-VLOOKUP($E143,$E$9:$AF$92,$AE$7-$D$7,0)</f>
        <v>0</v>
      </c>
      <c r="AF143" s="650">
        <f>SUMIF('納品書明細F-15'!$B$9:$B$297,CONCATENATE(VLOOKUP(Y$5,$G$1:$H$4,2,FALSE),$E143,9,1),'納品書明細F-15'!$Q$9:$Q$297)+SUMIF('納品書明細F-15'!$B$9:$B$297,CONCATENATE(VLOOKUP(Y$5,$G$1:$H$4,2,FALSE),$E143,9,0),'納品書明細F-15'!$Q$9:$Q$297)-VLOOKUP($E143,$E$9:$AF$92,$AF$7-$D$7,0)</f>
        <v>0</v>
      </c>
    </row>
    <row r="144" spans="1:32">
      <c r="A144" s="475" t="str">
        <f>IF(SUMIFS($G144:$AF144,$G$8:$AF$8,"金額",$G144:$AF144,"&gt;0")-SUMIFS($G144:$AF144,$G$8:$AF$8,"金額",$G144:$AF144,"&lt;0")&lt;=0,"",MAX($A$92:$A143)+1)</f>
        <v/>
      </c>
      <c r="B144" s="795"/>
      <c r="C144" s="245" t="str">
        <f t="shared" si="4"/>
        <v>経費</v>
      </c>
      <c r="D144" s="245">
        <v>52</v>
      </c>
      <c r="E144" s="593" t="str">
        <f>IF($F144&lt;&gt;"",INDEX(ﾏｽﾀ!$D$8:$D$124,MATCH(INDEX(ﾏｽﾀ!$N$8:$N$124,MATCH($F144,ﾏｽﾀ!$O$8:$O$124,0)),ﾏｽﾀ!$B$8:$B$124,0))&amp;"","")</f>
        <v/>
      </c>
      <c r="F144" s="594" t="str">
        <f>ﾏｽﾀ!$R59&amp;""</f>
        <v/>
      </c>
      <c r="G144" s="646">
        <f>COUNTIF('納品書明細F-15'!$B$9:$B$297,CONCATENATE(VLOOKUP(G$5,$G$1:$H$4,2,FALSE),$E144,1,1))-VLOOKUP($E144,$E$9:$AF$92,$G$7-$D$7,0)</f>
        <v>0</v>
      </c>
      <c r="H144" s="652">
        <f>SUMIF('納品書明細F-15'!$B$9:$B$297,CONCATENATE(VLOOKUP(G$5,$G$1:$H$4,2,FALSE),$E144,1,1),'納品書明細F-15'!$Q$9:$Q$297)+SUMIF('納品書明細F-15'!$B$9:$B$297,CONCATENATE(VLOOKUP(G$5,$G$1:$H$4,2,FALSE),$E144,1,0),'納品書明細F-15'!$Q$9:$Q$297)-VLOOKUP($E144,$E$9:$AF$92,$H$7-$D$7,0)</f>
        <v>0</v>
      </c>
      <c r="I144" s="345"/>
      <c r="J144" s="122"/>
      <c r="K144" s="359"/>
      <c r="L144" s="345"/>
      <c r="M144" s="638">
        <f>COUNTIF('納品書明細F-15'!$B$9:$B$297,CONCATENATE(VLOOKUP(G$5,$G$1:$H$4,2,FALSE),$E144,9,1))-VLOOKUP($E144,$E$9:$AF$92,$M$7-$D$7,0)</f>
        <v>0</v>
      </c>
      <c r="N144" s="640">
        <f>SUMIF('納品書明細F-15'!$B$9:$B$297,CONCATENATE(VLOOKUP(G$5,$G$1:$H$4,2,FALSE),$E144,9,1),'納品書明細F-15'!$Q$9:$Q$297)+SUMIF('納品書明細F-15'!$B$9:$B$297,CONCATENATE(VLOOKUP(G$5,$G$1:$H$4,2,FALSE),$E144,9,0),'納品書明細F-15'!$Q$9:$Q$297)-VLOOKUP($E144,$E$9:$AF$92,$N$7-$D$7,0)</f>
        <v>0</v>
      </c>
      <c r="O144" s="69"/>
      <c r="P144" s="646">
        <f>COUNTIF('納品書明細F-15'!$B$9:$B$297,CONCATENATE(VLOOKUP(P$5,$G$1:$H$4,2,FALSE),$E144,1,1))-VLOOKUP($E144,$E$9:$AF$92,$P$7-$D$7,0)</f>
        <v>0</v>
      </c>
      <c r="Q144" s="647">
        <f>SUMIF('納品書明細F-15'!$B$9:$B$297,CONCATENATE(VLOOKUP(P$5,$G$1:$H$4,2,FALSE),$E144,1,1),'納品書明細F-15'!$Q$9:$Q$297)+SUMIF('納品書明細F-15'!$B$9:$B$297,CONCATENATE(VLOOKUP(P$5,$G$1:$H$4,2,FALSE),$E144,1,0),'納品書明細F-15'!$Q$9:$Q$297)-VLOOKUP($E144,$E$9:$AF$92,$Q$7-$D$7,0)</f>
        <v>0</v>
      </c>
      <c r="R144" s="345"/>
      <c r="S144" s="122"/>
      <c r="T144" s="128"/>
      <c r="U144" s="345"/>
      <c r="V144" s="638">
        <f>COUNTIF('納品書明細F-15'!$B$9:$B$297,CONCATENATE(VLOOKUP(P$5,$G$1:$H$4,2,FALSE),$E144,9,1))-VLOOKUP($E144,$E$9:$AF$92,$V$7-$D$7,0)</f>
        <v>0</v>
      </c>
      <c r="W144" s="650">
        <f>SUMIF('納品書明細F-15'!$B$9:$B$297,CONCATENATE(VLOOKUP(P$5,$G$1:$H$4,2,FALSE),$E144,9,1),'納品書明細F-15'!$Q$9:$Q$297)+SUMIF('納品書明細F-15'!$B$9:$B$297,CONCATENATE(VLOOKUP(P$5,$G$1:$H$4,2,FALSE),$E144,9,0),'納品書明細F-15'!$Q$9:$Q$297)-VLOOKUP($E144,$E$9:$AF$92,$W$7-$D$7,0)</f>
        <v>0</v>
      </c>
      <c r="X144" s="69"/>
      <c r="Y144" s="646">
        <f>COUNTIF('納品書明細F-15'!$B$9:$B$297,CONCATENATE(VLOOKUP(Y$5,$G$1:$H$4,2,FALSE),$E144,1,1))-VLOOKUP($E144,$E$9:$AF$92,$Y$7-$D$7,0)</f>
        <v>0</v>
      </c>
      <c r="Z144" s="647">
        <f>SUMIF('納品書明細F-15'!$B$9:$B$297,CONCATENATE(VLOOKUP(Y$5,$G$1:$H$4,2,FALSE),$E144,1,1),'納品書明細F-15'!$Q$9:$Q$297)+SUMIF('納品書明細F-15'!$B$9:$B$297,CONCATENATE(VLOOKUP(Y$5,$G$1:$H$4,2,FALSE),$E144,1,0),'納品書明細F-15'!$Q$9:$Q$297)-VLOOKUP($E144,$E$9:$AF$92,$Z$7-$D$7,0)</f>
        <v>0</v>
      </c>
      <c r="AA144" s="345"/>
      <c r="AB144" s="122"/>
      <c r="AC144" s="128"/>
      <c r="AD144" s="345"/>
      <c r="AE144" s="638">
        <f>COUNTIF('納品書明細F-15'!$B$9:$B$297,CONCATENATE(VLOOKUP(Y$5,$G$1:$H$4,2,FALSE),$E144,9,1))-VLOOKUP($E144,$E$9:$AF$92,$AE$7-$D$7,0)</f>
        <v>0</v>
      </c>
      <c r="AF144" s="650">
        <f>SUMIF('納品書明細F-15'!$B$9:$B$297,CONCATENATE(VLOOKUP(Y$5,$G$1:$H$4,2,FALSE),$E144,9,1),'納品書明細F-15'!$Q$9:$Q$297)+SUMIF('納品書明細F-15'!$B$9:$B$297,CONCATENATE(VLOOKUP(Y$5,$G$1:$H$4,2,FALSE),$E144,9,0),'納品書明細F-15'!$Q$9:$Q$297)-VLOOKUP($E144,$E$9:$AF$92,$AF$7-$D$7,0)</f>
        <v>0</v>
      </c>
    </row>
    <row r="145" spans="1:32">
      <c r="A145" s="475" t="str">
        <f>IF(SUMIFS($G145:$AF145,$G$8:$AF$8,"金額",$G145:$AF145,"&gt;0")-SUMIFS($G145:$AF145,$G$8:$AF$8,"金額",$G145:$AF145,"&lt;0")&lt;=0,"",MAX($A$92:$A144)+1)</f>
        <v/>
      </c>
      <c r="B145" s="795"/>
      <c r="C145" s="245" t="str">
        <f t="shared" si="4"/>
        <v>経費</v>
      </c>
      <c r="D145" s="245">
        <v>53</v>
      </c>
      <c r="E145" s="593" t="str">
        <f>IF($F145&lt;&gt;"",INDEX(ﾏｽﾀ!$D$8:$D$124,MATCH(INDEX(ﾏｽﾀ!$N$8:$N$124,MATCH($F145,ﾏｽﾀ!$O$8:$O$124,0)),ﾏｽﾀ!$B$8:$B$124,0))&amp;"","")</f>
        <v/>
      </c>
      <c r="F145" s="594" t="str">
        <f>ﾏｽﾀ!$R60&amp;""</f>
        <v/>
      </c>
      <c r="G145" s="646">
        <f>COUNTIF('納品書明細F-15'!$B$9:$B$297,CONCATENATE(VLOOKUP(G$5,$G$1:$H$4,2,FALSE),$E145,1,1))-VLOOKUP($E145,$E$9:$AF$92,$G$7-$D$7,0)</f>
        <v>0</v>
      </c>
      <c r="H145" s="652">
        <f>SUMIF('納品書明細F-15'!$B$9:$B$297,CONCATENATE(VLOOKUP(G$5,$G$1:$H$4,2,FALSE),$E145,1,1),'納品書明細F-15'!$Q$9:$Q$297)+SUMIF('納品書明細F-15'!$B$9:$B$297,CONCATENATE(VLOOKUP(G$5,$G$1:$H$4,2,FALSE),$E145,1,0),'納品書明細F-15'!$Q$9:$Q$297)-VLOOKUP($E145,$E$9:$AF$92,$H$7-$D$7,0)</f>
        <v>0</v>
      </c>
      <c r="I145" s="345"/>
      <c r="J145" s="122"/>
      <c r="K145" s="359"/>
      <c r="L145" s="345"/>
      <c r="M145" s="638">
        <f>COUNTIF('納品書明細F-15'!$B$9:$B$297,CONCATENATE(VLOOKUP(G$5,$G$1:$H$4,2,FALSE),$E145,9,1))-VLOOKUP($E145,$E$9:$AF$92,$M$7-$D$7,0)</f>
        <v>0</v>
      </c>
      <c r="N145" s="640">
        <f>SUMIF('納品書明細F-15'!$B$9:$B$297,CONCATENATE(VLOOKUP(G$5,$G$1:$H$4,2,FALSE),$E145,9,1),'納品書明細F-15'!$Q$9:$Q$297)+SUMIF('納品書明細F-15'!$B$9:$B$297,CONCATENATE(VLOOKUP(G$5,$G$1:$H$4,2,FALSE),$E145,9,0),'納品書明細F-15'!$Q$9:$Q$297)-VLOOKUP($E145,$E$9:$AF$92,$N$7-$D$7,0)</f>
        <v>0</v>
      </c>
      <c r="O145" s="69"/>
      <c r="P145" s="646">
        <f>COUNTIF('納品書明細F-15'!$B$9:$B$297,CONCATENATE(VLOOKUP(P$5,$G$1:$H$4,2,FALSE),$E145,1,1))-VLOOKUP($E145,$E$9:$AF$92,$P$7-$D$7,0)</f>
        <v>0</v>
      </c>
      <c r="Q145" s="647">
        <f>SUMIF('納品書明細F-15'!$B$9:$B$297,CONCATENATE(VLOOKUP(P$5,$G$1:$H$4,2,FALSE),$E145,1,1),'納品書明細F-15'!$Q$9:$Q$297)+SUMIF('納品書明細F-15'!$B$9:$B$297,CONCATENATE(VLOOKUP(P$5,$G$1:$H$4,2,FALSE),$E145,1,0),'納品書明細F-15'!$Q$9:$Q$297)-VLOOKUP($E145,$E$9:$AF$92,$Q$7-$D$7,0)</f>
        <v>0</v>
      </c>
      <c r="R145" s="345"/>
      <c r="S145" s="122"/>
      <c r="T145" s="128"/>
      <c r="U145" s="345"/>
      <c r="V145" s="638">
        <f>COUNTIF('納品書明細F-15'!$B$9:$B$297,CONCATENATE(VLOOKUP(P$5,$G$1:$H$4,2,FALSE),$E145,9,1))-VLOOKUP($E145,$E$9:$AF$92,$V$7-$D$7,0)</f>
        <v>0</v>
      </c>
      <c r="W145" s="650">
        <f>SUMIF('納品書明細F-15'!$B$9:$B$297,CONCATENATE(VLOOKUP(P$5,$G$1:$H$4,2,FALSE),$E145,9,1),'納品書明細F-15'!$Q$9:$Q$297)+SUMIF('納品書明細F-15'!$B$9:$B$297,CONCATENATE(VLOOKUP(P$5,$G$1:$H$4,2,FALSE),$E145,9,0),'納品書明細F-15'!$Q$9:$Q$297)-VLOOKUP($E145,$E$9:$AF$92,$W$7-$D$7,0)</f>
        <v>0</v>
      </c>
      <c r="X145" s="69"/>
      <c r="Y145" s="646">
        <f>COUNTIF('納品書明細F-15'!$B$9:$B$297,CONCATENATE(VLOOKUP(Y$5,$G$1:$H$4,2,FALSE),$E145,1,1))-VLOOKUP($E145,$E$9:$AF$92,$Y$7-$D$7,0)</f>
        <v>0</v>
      </c>
      <c r="Z145" s="647">
        <f>SUMIF('納品書明細F-15'!$B$9:$B$297,CONCATENATE(VLOOKUP(Y$5,$G$1:$H$4,2,FALSE),$E145,1,1),'納品書明細F-15'!$Q$9:$Q$297)+SUMIF('納品書明細F-15'!$B$9:$B$297,CONCATENATE(VLOOKUP(Y$5,$G$1:$H$4,2,FALSE),$E145,1,0),'納品書明細F-15'!$Q$9:$Q$297)-VLOOKUP($E145,$E$9:$AF$92,$Z$7-$D$7,0)</f>
        <v>0</v>
      </c>
      <c r="AA145" s="345"/>
      <c r="AB145" s="122"/>
      <c r="AC145" s="128"/>
      <c r="AD145" s="345"/>
      <c r="AE145" s="638">
        <f>COUNTIF('納品書明細F-15'!$B$9:$B$297,CONCATENATE(VLOOKUP(Y$5,$G$1:$H$4,2,FALSE),$E145,9,1))-VLOOKUP($E145,$E$9:$AF$92,$AE$7-$D$7,0)</f>
        <v>0</v>
      </c>
      <c r="AF145" s="650">
        <f>SUMIF('納品書明細F-15'!$B$9:$B$297,CONCATENATE(VLOOKUP(Y$5,$G$1:$H$4,2,FALSE),$E145,9,1),'納品書明細F-15'!$Q$9:$Q$297)+SUMIF('納品書明細F-15'!$B$9:$B$297,CONCATENATE(VLOOKUP(Y$5,$G$1:$H$4,2,FALSE),$E145,9,0),'納品書明細F-15'!$Q$9:$Q$297)-VLOOKUP($E145,$E$9:$AF$92,$AF$7-$D$7,0)</f>
        <v>0</v>
      </c>
    </row>
    <row r="146" spans="1:32">
      <c r="A146" s="475" t="str">
        <f>IF(SUMIFS($G146:$AF146,$G$8:$AF$8,"金額",$G146:$AF146,"&gt;0")-SUMIFS($G146:$AF146,$G$8:$AF$8,"金額",$G146:$AF146,"&lt;0")&lt;=0,"",MAX($A$92:$A145)+1)</f>
        <v/>
      </c>
      <c r="B146" s="795"/>
      <c r="C146" s="245" t="str">
        <f t="shared" si="4"/>
        <v>経費</v>
      </c>
      <c r="D146" s="245">
        <v>54</v>
      </c>
      <c r="E146" s="593" t="str">
        <f>IF($F146&lt;&gt;"",INDEX(ﾏｽﾀ!$D$8:$D$124,MATCH(INDEX(ﾏｽﾀ!$N$8:$N$124,MATCH($F146,ﾏｽﾀ!$O$8:$O$124,0)),ﾏｽﾀ!$B$8:$B$124,0))&amp;"","")</f>
        <v/>
      </c>
      <c r="F146" s="594" t="str">
        <f>ﾏｽﾀ!$R61&amp;""</f>
        <v/>
      </c>
      <c r="G146" s="646">
        <f>COUNTIF('納品書明細F-15'!$B$9:$B$297,CONCATENATE(VLOOKUP(G$5,$G$1:$H$4,2,FALSE),$E146,1,1))-VLOOKUP($E146,$E$9:$AF$92,$G$7-$D$7,0)</f>
        <v>0</v>
      </c>
      <c r="H146" s="652">
        <f>SUMIF('納品書明細F-15'!$B$9:$B$297,CONCATENATE(VLOOKUP(G$5,$G$1:$H$4,2,FALSE),$E146,1,1),'納品書明細F-15'!$Q$9:$Q$297)+SUMIF('納品書明細F-15'!$B$9:$B$297,CONCATENATE(VLOOKUP(G$5,$G$1:$H$4,2,FALSE),$E146,1,0),'納品書明細F-15'!$Q$9:$Q$297)-VLOOKUP($E146,$E$9:$AF$92,$H$7-$D$7,0)</f>
        <v>0</v>
      </c>
      <c r="I146" s="345"/>
      <c r="J146" s="122"/>
      <c r="K146" s="359"/>
      <c r="L146" s="345"/>
      <c r="M146" s="638">
        <f>COUNTIF('納品書明細F-15'!$B$9:$B$297,CONCATENATE(VLOOKUP(G$5,$G$1:$H$4,2,FALSE),$E146,9,1))-VLOOKUP($E146,$E$9:$AF$92,$M$7-$D$7,0)</f>
        <v>0</v>
      </c>
      <c r="N146" s="640">
        <f>SUMIF('納品書明細F-15'!$B$9:$B$297,CONCATENATE(VLOOKUP(G$5,$G$1:$H$4,2,FALSE),$E146,9,1),'納品書明細F-15'!$Q$9:$Q$297)+SUMIF('納品書明細F-15'!$B$9:$B$297,CONCATENATE(VLOOKUP(G$5,$G$1:$H$4,2,FALSE),$E146,9,0),'納品書明細F-15'!$Q$9:$Q$297)-VLOOKUP($E146,$E$9:$AF$92,$N$7-$D$7,0)</f>
        <v>0</v>
      </c>
      <c r="O146" s="69"/>
      <c r="P146" s="646">
        <f>COUNTIF('納品書明細F-15'!$B$9:$B$297,CONCATENATE(VLOOKUP(P$5,$G$1:$H$4,2,FALSE),$E146,1,1))-VLOOKUP($E146,$E$9:$AF$92,$P$7-$D$7,0)</f>
        <v>0</v>
      </c>
      <c r="Q146" s="647">
        <f>SUMIF('納品書明細F-15'!$B$9:$B$297,CONCATENATE(VLOOKUP(P$5,$G$1:$H$4,2,FALSE),$E146,1,1),'納品書明細F-15'!$Q$9:$Q$297)+SUMIF('納品書明細F-15'!$B$9:$B$297,CONCATENATE(VLOOKUP(P$5,$G$1:$H$4,2,FALSE),$E146,1,0),'納品書明細F-15'!$Q$9:$Q$297)-VLOOKUP($E146,$E$9:$AF$92,$Q$7-$D$7,0)</f>
        <v>0</v>
      </c>
      <c r="R146" s="345"/>
      <c r="S146" s="122"/>
      <c r="T146" s="128"/>
      <c r="U146" s="345"/>
      <c r="V146" s="638">
        <f>COUNTIF('納品書明細F-15'!$B$9:$B$297,CONCATENATE(VLOOKUP(P$5,$G$1:$H$4,2,FALSE),$E146,9,1))-VLOOKUP($E146,$E$9:$AF$92,$V$7-$D$7,0)</f>
        <v>0</v>
      </c>
      <c r="W146" s="650">
        <f>SUMIF('納品書明細F-15'!$B$9:$B$297,CONCATENATE(VLOOKUP(P$5,$G$1:$H$4,2,FALSE),$E146,9,1),'納品書明細F-15'!$Q$9:$Q$297)+SUMIF('納品書明細F-15'!$B$9:$B$297,CONCATENATE(VLOOKUP(P$5,$G$1:$H$4,2,FALSE),$E146,9,0),'納品書明細F-15'!$Q$9:$Q$297)-VLOOKUP($E146,$E$9:$AF$92,$W$7-$D$7,0)</f>
        <v>0</v>
      </c>
      <c r="X146" s="69"/>
      <c r="Y146" s="646">
        <f>COUNTIF('納品書明細F-15'!$B$9:$B$297,CONCATENATE(VLOOKUP(Y$5,$G$1:$H$4,2,FALSE),$E146,1,1))-VLOOKUP($E146,$E$9:$AF$92,$Y$7-$D$7,0)</f>
        <v>0</v>
      </c>
      <c r="Z146" s="647">
        <f>SUMIF('納品書明細F-15'!$B$9:$B$297,CONCATENATE(VLOOKUP(Y$5,$G$1:$H$4,2,FALSE),$E146,1,1),'納品書明細F-15'!$Q$9:$Q$297)+SUMIF('納品書明細F-15'!$B$9:$B$297,CONCATENATE(VLOOKUP(Y$5,$G$1:$H$4,2,FALSE),$E146,1,0),'納品書明細F-15'!$Q$9:$Q$297)-VLOOKUP($E146,$E$9:$AF$92,$Z$7-$D$7,0)</f>
        <v>0</v>
      </c>
      <c r="AA146" s="345"/>
      <c r="AB146" s="122"/>
      <c r="AC146" s="128"/>
      <c r="AD146" s="345"/>
      <c r="AE146" s="638">
        <f>COUNTIF('納品書明細F-15'!$B$9:$B$297,CONCATENATE(VLOOKUP(Y$5,$G$1:$H$4,2,FALSE),$E146,9,1))-VLOOKUP($E146,$E$9:$AF$92,$AE$7-$D$7,0)</f>
        <v>0</v>
      </c>
      <c r="AF146" s="650">
        <f>SUMIF('納品書明細F-15'!$B$9:$B$297,CONCATENATE(VLOOKUP(Y$5,$G$1:$H$4,2,FALSE),$E146,9,1),'納品書明細F-15'!$Q$9:$Q$297)+SUMIF('納品書明細F-15'!$B$9:$B$297,CONCATENATE(VLOOKUP(Y$5,$G$1:$H$4,2,FALSE),$E146,9,0),'納品書明細F-15'!$Q$9:$Q$297)-VLOOKUP($E146,$E$9:$AF$92,$AF$7-$D$7,0)</f>
        <v>0</v>
      </c>
    </row>
    <row r="147" spans="1:32">
      <c r="A147" s="475" t="str">
        <f>IF(SUMIFS($G147:$AF147,$G$8:$AF$8,"金額",$G147:$AF147,"&gt;0")-SUMIFS($G147:$AF147,$G$8:$AF$8,"金額",$G147:$AF147,"&lt;0")&lt;=0,"",MAX($A$92:$A146)+1)</f>
        <v/>
      </c>
      <c r="B147" s="795"/>
      <c r="C147" s="245" t="str">
        <f t="shared" si="4"/>
        <v>経費</v>
      </c>
      <c r="D147" s="245">
        <v>55</v>
      </c>
      <c r="E147" s="593" t="str">
        <f>IF($F147&lt;&gt;"",INDEX(ﾏｽﾀ!$D$8:$D$124,MATCH(INDEX(ﾏｽﾀ!$N$8:$N$124,MATCH($F147,ﾏｽﾀ!$O$8:$O$124,0)),ﾏｽﾀ!$B$8:$B$124,0))&amp;"","")</f>
        <v/>
      </c>
      <c r="F147" s="594" t="str">
        <f>ﾏｽﾀ!$R62&amp;""</f>
        <v/>
      </c>
      <c r="G147" s="646">
        <f>COUNTIF('納品書明細F-15'!$B$9:$B$297,CONCATENATE(VLOOKUP(G$5,$G$1:$H$4,2,FALSE),$E147,1,1))-VLOOKUP($E147,$E$9:$AF$92,$G$7-$D$7,0)</f>
        <v>0</v>
      </c>
      <c r="H147" s="652">
        <f>SUMIF('納品書明細F-15'!$B$9:$B$297,CONCATENATE(VLOOKUP(G$5,$G$1:$H$4,2,FALSE),$E147,1,1),'納品書明細F-15'!$Q$9:$Q$297)+SUMIF('納品書明細F-15'!$B$9:$B$297,CONCATENATE(VLOOKUP(G$5,$G$1:$H$4,2,FALSE),$E147,1,0),'納品書明細F-15'!$Q$9:$Q$297)-VLOOKUP($E147,$E$9:$AF$92,$H$7-$D$7,0)</f>
        <v>0</v>
      </c>
      <c r="I147" s="345"/>
      <c r="J147" s="122"/>
      <c r="K147" s="359"/>
      <c r="L147" s="345"/>
      <c r="M147" s="638">
        <f>COUNTIF('納品書明細F-15'!$B$9:$B$297,CONCATENATE(VLOOKUP(G$5,$G$1:$H$4,2,FALSE),$E147,9,1))-VLOOKUP($E147,$E$9:$AF$92,$M$7-$D$7,0)</f>
        <v>0</v>
      </c>
      <c r="N147" s="640">
        <f>SUMIF('納品書明細F-15'!$B$9:$B$297,CONCATENATE(VLOOKUP(G$5,$G$1:$H$4,2,FALSE),$E147,9,1),'納品書明細F-15'!$Q$9:$Q$297)+SUMIF('納品書明細F-15'!$B$9:$B$297,CONCATENATE(VLOOKUP(G$5,$G$1:$H$4,2,FALSE),$E147,9,0),'納品書明細F-15'!$Q$9:$Q$297)-VLOOKUP($E147,$E$9:$AF$92,$N$7-$D$7,0)</f>
        <v>0</v>
      </c>
      <c r="O147" s="69"/>
      <c r="P147" s="646">
        <f>COUNTIF('納品書明細F-15'!$B$9:$B$297,CONCATENATE(VLOOKUP(P$5,$G$1:$H$4,2,FALSE),$E147,1,1))-VLOOKUP($E147,$E$9:$AF$92,$P$7-$D$7,0)</f>
        <v>0</v>
      </c>
      <c r="Q147" s="647">
        <f>SUMIF('納品書明細F-15'!$B$9:$B$297,CONCATENATE(VLOOKUP(P$5,$G$1:$H$4,2,FALSE),$E147,1,1),'納品書明細F-15'!$Q$9:$Q$297)+SUMIF('納品書明細F-15'!$B$9:$B$297,CONCATENATE(VLOOKUP(P$5,$G$1:$H$4,2,FALSE),$E147,1,0),'納品書明細F-15'!$Q$9:$Q$297)-VLOOKUP($E147,$E$9:$AF$92,$Q$7-$D$7,0)</f>
        <v>0</v>
      </c>
      <c r="R147" s="345"/>
      <c r="S147" s="122"/>
      <c r="T147" s="128"/>
      <c r="U147" s="345"/>
      <c r="V147" s="638">
        <f>COUNTIF('納品書明細F-15'!$B$9:$B$297,CONCATENATE(VLOOKUP(P$5,$G$1:$H$4,2,FALSE),$E147,9,1))-VLOOKUP($E147,$E$9:$AF$92,$V$7-$D$7,0)</f>
        <v>0</v>
      </c>
      <c r="W147" s="650">
        <f>SUMIF('納品書明細F-15'!$B$9:$B$297,CONCATENATE(VLOOKUP(P$5,$G$1:$H$4,2,FALSE),$E147,9,1),'納品書明細F-15'!$Q$9:$Q$297)+SUMIF('納品書明細F-15'!$B$9:$B$297,CONCATENATE(VLOOKUP(P$5,$G$1:$H$4,2,FALSE),$E147,9,0),'納品書明細F-15'!$Q$9:$Q$297)-VLOOKUP($E147,$E$9:$AF$92,$W$7-$D$7,0)</f>
        <v>0</v>
      </c>
      <c r="X147" s="69"/>
      <c r="Y147" s="646">
        <f>COUNTIF('納品書明細F-15'!$B$9:$B$297,CONCATENATE(VLOOKUP(Y$5,$G$1:$H$4,2,FALSE),$E147,1,1))-VLOOKUP($E147,$E$9:$AF$92,$Y$7-$D$7,0)</f>
        <v>0</v>
      </c>
      <c r="Z147" s="647">
        <f>SUMIF('納品書明細F-15'!$B$9:$B$297,CONCATENATE(VLOOKUP(Y$5,$G$1:$H$4,2,FALSE),$E147,1,1),'納品書明細F-15'!$Q$9:$Q$297)+SUMIF('納品書明細F-15'!$B$9:$B$297,CONCATENATE(VLOOKUP(Y$5,$G$1:$H$4,2,FALSE),$E147,1,0),'納品書明細F-15'!$Q$9:$Q$297)-VLOOKUP($E147,$E$9:$AF$92,$Z$7-$D$7,0)</f>
        <v>0</v>
      </c>
      <c r="AA147" s="345"/>
      <c r="AB147" s="122"/>
      <c r="AC147" s="128"/>
      <c r="AD147" s="345"/>
      <c r="AE147" s="638">
        <f>COUNTIF('納品書明細F-15'!$B$9:$B$297,CONCATENATE(VLOOKUP(Y$5,$G$1:$H$4,2,FALSE),$E147,9,1))-VLOOKUP($E147,$E$9:$AF$92,$AE$7-$D$7,0)</f>
        <v>0</v>
      </c>
      <c r="AF147" s="650">
        <f>SUMIF('納品書明細F-15'!$B$9:$B$297,CONCATENATE(VLOOKUP(Y$5,$G$1:$H$4,2,FALSE),$E147,9,1),'納品書明細F-15'!$Q$9:$Q$297)+SUMIF('納品書明細F-15'!$B$9:$B$297,CONCATENATE(VLOOKUP(Y$5,$G$1:$H$4,2,FALSE),$E147,9,0),'納品書明細F-15'!$Q$9:$Q$297)-VLOOKUP($E147,$E$9:$AF$92,$AF$7-$D$7,0)</f>
        <v>0</v>
      </c>
    </row>
    <row r="148" spans="1:32">
      <c r="A148" s="475" t="str">
        <f>IF(SUMIFS($G148:$AF148,$G$8:$AF$8,"金額",$G148:$AF148,"&gt;0")-SUMIFS($G148:$AF148,$G$8:$AF$8,"金額",$G148:$AF148,"&lt;0")&lt;=0,"",MAX($A$92:$A147)+1)</f>
        <v/>
      </c>
      <c r="B148" s="795"/>
      <c r="C148" s="245" t="str">
        <f t="shared" si="4"/>
        <v>経費</v>
      </c>
      <c r="D148" s="245">
        <v>56</v>
      </c>
      <c r="E148" s="593" t="str">
        <f>IF($F148&lt;&gt;"",INDEX(ﾏｽﾀ!$D$8:$D$124,MATCH(INDEX(ﾏｽﾀ!$N$8:$N$124,MATCH($F148,ﾏｽﾀ!$O$8:$O$124,0)),ﾏｽﾀ!$B$8:$B$124,0))&amp;"","")</f>
        <v/>
      </c>
      <c r="F148" s="594" t="str">
        <f>ﾏｽﾀ!$R63&amp;""</f>
        <v/>
      </c>
      <c r="G148" s="646">
        <f>COUNTIF('納品書明細F-15'!$B$9:$B$297,CONCATENATE(VLOOKUP(G$5,$G$1:$H$4,2,FALSE),$E148,1,1))-VLOOKUP($E148,$E$9:$AF$92,$G$7-$D$7,0)</f>
        <v>0</v>
      </c>
      <c r="H148" s="652">
        <f>SUMIF('納品書明細F-15'!$B$9:$B$297,CONCATENATE(VLOOKUP(G$5,$G$1:$H$4,2,FALSE),$E148,1,1),'納品書明細F-15'!$Q$9:$Q$297)+SUMIF('納品書明細F-15'!$B$9:$B$297,CONCATENATE(VLOOKUP(G$5,$G$1:$H$4,2,FALSE),$E148,1,0),'納品書明細F-15'!$Q$9:$Q$297)-VLOOKUP($E148,$E$9:$AF$92,$H$7-$D$7,0)</f>
        <v>0</v>
      </c>
      <c r="I148" s="345"/>
      <c r="J148" s="122"/>
      <c r="K148" s="359"/>
      <c r="L148" s="345"/>
      <c r="M148" s="638">
        <f>COUNTIF('納品書明細F-15'!$B$9:$B$297,CONCATENATE(VLOOKUP(G$5,$G$1:$H$4,2,FALSE),$E148,9,1))-VLOOKUP($E148,$E$9:$AF$92,$M$7-$D$7,0)</f>
        <v>0</v>
      </c>
      <c r="N148" s="640">
        <f>SUMIF('納品書明細F-15'!$B$9:$B$297,CONCATENATE(VLOOKUP(G$5,$G$1:$H$4,2,FALSE),$E148,9,1),'納品書明細F-15'!$Q$9:$Q$297)+SUMIF('納品書明細F-15'!$B$9:$B$297,CONCATENATE(VLOOKUP(G$5,$G$1:$H$4,2,FALSE),$E148,9,0),'納品書明細F-15'!$Q$9:$Q$297)-VLOOKUP($E148,$E$9:$AF$92,$N$7-$D$7,0)</f>
        <v>0</v>
      </c>
      <c r="O148" s="69"/>
      <c r="P148" s="646">
        <f>COUNTIF('納品書明細F-15'!$B$9:$B$297,CONCATENATE(VLOOKUP(P$5,$G$1:$H$4,2,FALSE),$E148,1,1))-VLOOKUP($E148,$E$9:$AF$92,$P$7-$D$7,0)</f>
        <v>0</v>
      </c>
      <c r="Q148" s="647">
        <f>SUMIF('納品書明細F-15'!$B$9:$B$297,CONCATENATE(VLOOKUP(P$5,$G$1:$H$4,2,FALSE),$E148,1,1),'納品書明細F-15'!$Q$9:$Q$297)+SUMIF('納品書明細F-15'!$B$9:$B$297,CONCATENATE(VLOOKUP(P$5,$G$1:$H$4,2,FALSE),$E148,1,0),'納品書明細F-15'!$Q$9:$Q$297)-VLOOKUP($E148,$E$9:$AF$92,$Q$7-$D$7,0)</f>
        <v>0</v>
      </c>
      <c r="R148" s="345"/>
      <c r="S148" s="122"/>
      <c r="T148" s="128"/>
      <c r="U148" s="345"/>
      <c r="V148" s="638">
        <f>COUNTIF('納品書明細F-15'!$B$9:$B$297,CONCATENATE(VLOOKUP(P$5,$G$1:$H$4,2,FALSE),$E148,9,1))-VLOOKUP($E148,$E$9:$AF$92,$V$7-$D$7,0)</f>
        <v>0</v>
      </c>
      <c r="W148" s="650">
        <f>SUMIF('納品書明細F-15'!$B$9:$B$297,CONCATENATE(VLOOKUP(P$5,$G$1:$H$4,2,FALSE),$E148,9,1),'納品書明細F-15'!$Q$9:$Q$297)+SUMIF('納品書明細F-15'!$B$9:$B$297,CONCATENATE(VLOOKUP(P$5,$G$1:$H$4,2,FALSE),$E148,9,0),'納品書明細F-15'!$Q$9:$Q$297)-VLOOKUP($E148,$E$9:$AF$92,$W$7-$D$7,0)</f>
        <v>0</v>
      </c>
      <c r="X148" s="69"/>
      <c r="Y148" s="646">
        <f>COUNTIF('納品書明細F-15'!$B$9:$B$297,CONCATENATE(VLOOKUP(Y$5,$G$1:$H$4,2,FALSE),$E148,1,1))-VLOOKUP($E148,$E$9:$AF$92,$Y$7-$D$7,0)</f>
        <v>0</v>
      </c>
      <c r="Z148" s="647">
        <f>SUMIF('納品書明細F-15'!$B$9:$B$297,CONCATENATE(VLOOKUP(Y$5,$G$1:$H$4,2,FALSE),$E148,1,1),'納品書明細F-15'!$Q$9:$Q$297)+SUMIF('納品書明細F-15'!$B$9:$B$297,CONCATENATE(VLOOKUP(Y$5,$G$1:$H$4,2,FALSE),$E148,1,0),'納品書明細F-15'!$Q$9:$Q$297)-VLOOKUP($E148,$E$9:$AF$92,$Z$7-$D$7,0)</f>
        <v>0</v>
      </c>
      <c r="AA148" s="345"/>
      <c r="AB148" s="122"/>
      <c r="AC148" s="128"/>
      <c r="AD148" s="345"/>
      <c r="AE148" s="638">
        <f>COUNTIF('納品書明細F-15'!$B$9:$B$297,CONCATENATE(VLOOKUP(Y$5,$G$1:$H$4,2,FALSE),$E148,9,1))-VLOOKUP($E148,$E$9:$AF$92,$AE$7-$D$7,0)</f>
        <v>0</v>
      </c>
      <c r="AF148" s="650">
        <f>SUMIF('納品書明細F-15'!$B$9:$B$297,CONCATENATE(VLOOKUP(Y$5,$G$1:$H$4,2,FALSE),$E148,9,1),'納品書明細F-15'!$Q$9:$Q$297)+SUMIF('納品書明細F-15'!$B$9:$B$297,CONCATENATE(VLOOKUP(Y$5,$G$1:$H$4,2,FALSE),$E148,9,0),'納品書明細F-15'!$Q$9:$Q$297)-VLOOKUP($E148,$E$9:$AF$92,$AF$7-$D$7,0)</f>
        <v>0</v>
      </c>
    </row>
    <row r="149" spans="1:32">
      <c r="A149" s="475" t="str">
        <f>IF(SUMIFS($G149:$AF149,$G$8:$AF$8,"金額",$G149:$AF149,"&gt;0")-SUMIFS($G149:$AF149,$G$8:$AF$8,"金額",$G149:$AF149,"&lt;0")&lt;=0,"",MAX($A$92:$A148)+1)</f>
        <v/>
      </c>
      <c r="B149" s="795"/>
      <c r="C149" s="245" t="str">
        <f t="shared" si="4"/>
        <v>経費</v>
      </c>
      <c r="D149" s="245">
        <v>57</v>
      </c>
      <c r="E149" s="593" t="str">
        <f>IF($F149&lt;&gt;"",INDEX(ﾏｽﾀ!$D$8:$D$124,MATCH(INDEX(ﾏｽﾀ!$N$8:$N$124,MATCH($F149,ﾏｽﾀ!$O$8:$O$124,0)),ﾏｽﾀ!$B$8:$B$124,0))&amp;"","")</f>
        <v/>
      </c>
      <c r="F149" s="594" t="str">
        <f>ﾏｽﾀ!$R64&amp;""</f>
        <v/>
      </c>
      <c r="G149" s="646">
        <f>COUNTIF('納品書明細F-15'!$B$9:$B$297,CONCATENATE(VLOOKUP(G$5,$G$1:$H$4,2,FALSE),$E149,1,1))-VLOOKUP($E149,$E$9:$AF$92,$G$7-$D$7,0)</f>
        <v>0</v>
      </c>
      <c r="H149" s="652">
        <f>SUMIF('納品書明細F-15'!$B$9:$B$297,CONCATENATE(VLOOKUP(G$5,$G$1:$H$4,2,FALSE),$E149,1,1),'納品書明細F-15'!$Q$9:$Q$297)+SUMIF('納品書明細F-15'!$B$9:$B$297,CONCATENATE(VLOOKUP(G$5,$G$1:$H$4,2,FALSE),$E149,1,0),'納品書明細F-15'!$Q$9:$Q$297)-VLOOKUP($E149,$E$9:$AF$92,$H$7-$D$7,0)</f>
        <v>0</v>
      </c>
      <c r="I149" s="345"/>
      <c r="J149" s="122"/>
      <c r="K149" s="359"/>
      <c r="L149" s="345"/>
      <c r="M149" s="638">
        <f>COUNTIF('納品書明細F-15'!$B$9:$B$297,CONCATENATE(VLOOKUP(G$5,$G$1:$H$4,2,FALSE),$E149,9,1))-VLOOKUP($E149,$E$9:$AF$92,$M$7-$D$7,0)</f>
        <v>0</v>
      </c>
      <c r="N149" s="640">
        <f>SUMIF('納品書明細F-15'!$B$9:$B$297,CONCATENATE(VLOOKUP(G$5,$G$1:$H$4,2,FALSE),$E149,9,1),'納品書明細F-15'!$Q$9:$Q$297)+SUMIF('納品書明細F-15'!$B$9:$B$297,CONCATENATE(VLOOKUP(G$5,$G$1:$H$4,2,FALSE),$E149,9,0),'納品書明細F-15'!$Q$9:$Q$297)-VLOOKUP($E149,$E$9:$AF$92,$N$7-$D$7,0)</f>
        <v>0</v>
      </c>
      <c r="O149" s="69"/>
      <c r="P149" s="646">
        <f>COUNTIF('納品書明細F-15'!$B$9:$B$297,CONCATENATE(VLOOKUP(P$5,$G$1:$H$4,2,FALSE),$E149,1,1))-VLOOKUP($E149,$E$9:$AF$92,$P$7-$D$7,0)</f>
        <v>0</v>
      </c>
      <c r="Q149" s="647">
        <f>SUMIF('納品書明細F-15'!$B$9:$B$297,CONCATENATE(VLOOKUP(P$5,$G$1:$H$4,2,FALSE),$E149,1,1),'納品書明細F-15'!$Q$9:$Q$297)+SUMIF('納品書明細F-15'!$B$9:$B$297,CONCATENATE(VLOOKUP(P$5,$G$1:$H$4,2,FALSE),$E149,1,0),'納品書明細F-15'!$Q$9:$Q$297)-VLOOKUP($E149,$E$9:$AF$92,$Q$7-$D$7,0)</f>
        <v>0</v>
      </c>
      <c r="R149" s="345"/>
      <c r="S149" s="122"/>
      <c r="T149" s="128"/>
      <c r="U149" s="345"/>
      <c r="V149" s="638">
        <f>COUNTIF('納品書明細F-15'!$B$9:$B$297,CONCATENATE(VLOOKUP(P$5,$G$1:$H$4,2,FALSE),$E149,9,1))-VLOOKUP($E149,$E$9:$AF$92,$V$7-$D$7,0)</f>
        <v>0</v>
      </c>
      <c r="W149" s="650">
        <f>SUMIF('納品書明細F-15'!$B$9:$B$297,CONCATENATE(VLOOKUP(P$5,$G$1:$H$4,2,FALSE),$E149,9,1),'納品書明細F-15'!$Q$9:$Q$297)+SUMIF('納品書明細F-15'!$B$9:$B$297,CONCATENATE(VLOOKUP(P$5,$G$1:$H$4,2,FALSE),$E149,9,0),'納品書明細F-15'!$Q$9:$Q$297)-VLOOKUP($E149,$E$9:$AF$92,$W$7-$D$7,0)</f>
        <v>0</v>
      </c>
      <c r="X149" s="69"/>
      <c r="Y149" s="646">
        <f>COUNTIF('納品書明細F-15'!$B$9:$B$297,CONCATENATE(VLOOKUP(Y$5,$G$1:$H$4,2,FALSE),$E149,1,1))-VLOOKUP($E149,$E$9:$AF$92,$Y$7-$D$7,0)</f>
        <v>0</v>
      </c>
      <c r="Z149" s="647">
        <f>SUMIF('納品書明細F-15'!$B$9:$B$297,CONCATENATE(VLOOKUP(Y$5,$G$1:$H$4,2,FALSE),$E149,1,1),'納品書明細F-15'!$Q$9:$Q$297)+SUMIF('納品書明細F-15'!$B$9:$B$297,CONCATENATE(VLOOKUP(Y$5,$G$1:$H$4,2,FALSE),$E149,1,0),'納品書明細F-15'!$Q$9:$Q$297)-VLOOKUP($E149,$E$9:$AF$92,$Z$7-$D$7,0)</f>
        <v>0</v>
      </c>
      <c r="AA149" s="345"/>
      <c r="AB149" s="122"/>
      <c r="AC149" s="128"/>
      <c r="AD149" s="345"/>
      <c r="AE149" s="638">
        <f>COUNTIF('納品書明細F-15'!$B$9:$B$297,CONCATENATE(VLOOKUP(Y$5,$G$1:$H$4,2,FALSE),$E149,9,1))-VLOOKUP($E149,$E$9:$AF$92,$AE$7-$D$7,0)</f>
        <v>0</v>
      </c>
      <c r="AF149" s="650">
        <f>SUMIF('納品書明細F-15'!$B$9:$B$297,CONCATENATE(VLOOKUP(Y$5,$G$1:$H$4,2,FALSE),$E149,9,1),'納品書明細F-15'!$Q$9:$Q$297)+SUMIF('納品書明細F-15'!$B$9:$B$297,CONCATENATE(VLOOKUP(Y$5,$G$1:$H$4,2,FALSE),$E149,9,0),'納品書明細F-15'!$Q$9:$Q$297)-VLOOKUP($E149,$E$9:$AF$92,$AF$7-$D$7,0)</f>
        <v>0</v>
      </c>
    </row>
    <row r="150" spans="1:32">
      <c r="A150" s="475" t="str">
        <f>IF(SUMIFS($G150:$AF150,$G$8:$AF$8,"金額",$G150:$AF150,"&gt;0")-SUMIFS($G150:$AF150,$G$8:$AF$8,"金額",$G150:$AF150,"&lt;0")&lt;=0,"",MAX($A$92:$A149)+1)</f>
        <v/>
      </c>
      <c r="B150" s="795"/>
      <c r="C150" s="245" t="str">
        <f t="shared" si="4"/>
        <v>経費</v>
      </c>
      <c r="D150" s="245">
        <v>58</v>
      </c>
      <c r="E150" s="593" t="str">
        <f>IF($F150&lt;&gt;"",INDEX(ﾏｽﾀ!$D$8:$D$124,MATCH(INDEX(ﾏｽﾀ!$N$8:$N$124,MATCH($F150,ﾏｽﾀ!$O$8:$O$124,0)),ﾏｽﾀ!$B$8:$B$124,0))&amp;"","")</f>
        <v/>
      </c>
      <c r="F150" s="594" t="str">
        <f>ﾏｽﾀ!$R65&amp;""</f>
        <v/>
      </c>
      <c r="G150" s="646">
        <f>COUNTIF('納品書明細F-15'!$B$9:$B$297,CONCATENATE(VLOOKUP(G$5,$G$1:$H$4,2,FALSE),$E150,1,1))-VLOOKUP($E150,$E$9:$AF$92,$G$7-$D$7,0)</f>
        <v>0</v>
      </c>
      <c r="H150" s="652">
        <f>SUMIF('納品書明細F-15'!$B$9:$B$297,CONCATENATE(VLOOKUP(G$5,$G$1:$H$4,2,FALSE),$E150,1,1),'納品書明細F-15'!$Q$9:$Q$297)+SUMIF('納品書明細F-15'!$B$9:$B$297,CONCATENATE(VLOOKUP(G$5,$G$1:$H$4,2,FALSE),$E150,1,0),'納品書明細F-15'!$Q$9:$Q$297)-VLOOKUP($E150,$E$9:$AF$92,$H$7-$D$7,0)</f>
        <v>0</v>
      </c>
      <c r="I150" s="345"/>
      <c r="J150" s="122"/>
      <c r="K150" s="359"/>
      <c r="L150" s="345"/>
      <c r="M150" s="638">
        <f>COUNTIF('納品書明細F-15'!$B$9:$B$297,CONCATENATE(VLOOKUP(G$5,$G$1:$H$4,2,FALSE),$E150,9,1))-VLOOKUP($E150,$E$9:$AF$92,$M$7-$D$7,0)</f>
        <v>0</v>
      </c>
      <c r="N150" s="640">
        <f>SUMIF('納品書明細F-15'!$B$9:$B$297,CONCATENATE(VLOOKUP(G$5,$G$1:$H$4,2,FALSE),$E150,9,1),'納品書明細F-15'!$Q$9:$Q$297)+SUMIF('納品書明細F-15'!$B$9:$B$297,CONCATENATE(VLOOKUP(G$5,$G$1:$H$4,2,FALSE),$E150,9,0),'納品書明細F-15'!$Q$9:$Q$297)-VLOOKUP($E150,$E$9:$AF$92,$N$7-$D$7,0)</f>
        <v>0</v>
      </c>
      <c r="O150" s="69"/>
      <c r="P150" s="646">
        <f>COUNTIF('納品書明細F-15'!$B$9:$B$297,CONCATENATE(VLOOKUP(P$5,$G$1:$H$4,2,FALSE),$E150,1,1))-VLOOKUP($E150,$E$9:$AF$92,$P$7-$D$7,0)</f>
        <v>0</v>
      </c>
      <c r="Q150" s="647">
        <f>SUMIF('納品書明細F-15'!$B$9:$B$297,CONCATENATE(VLOOKUP(P$5,$G$1:$H$4,2,FALSE),$E150,1,1),'納品書明細F-15'!$Q$9:$Q$297)+SUMIF('納品書明細F-15'!$B$9:$B$297,CONCATENATE(VLOOKUP(P$5,$G$1:$H$4,2,FALSE),$E150,1,0),'納品書明細F-15'!$Q$9:$Q$297)-VLOOKUP($E150,$E$9:$AF$92,$Q$7-$D$7,0)</f>
        <v>0</v>
      </c>
      <c r="R150" s="345"/>
      <c r="S150" s="122"/>
      <c r="T150" s="128"/>
      <c r="U150" s="345"/>
      <c r="V150" s="638">
        <f>COUNTIF('納品書明細F-15'!$B$9:$B$297,CONCATENATE(VLOOKUP(P$5,$G$1:$H$4,2,FALSE),$E150,9,1))-VLOOKUP($E150,$E$9:$AF$92,$V$7-$D$7,0)</f>
        <v>0</v>
      </c>
      <c r="W150" s="650">
        <f>SUMIF('納品書明細F-15'!$B$9:$B$297,CONCATENATE(VLOOKUP(P$5,$G$1:$H$4,2,FALSE),$E150,9,1),'納品書明細F-15'!$Q$9:$Q$297)+SUMIF('納品書明細F-15'!$B$9:$B$297,CONCATENATE(VLOOKUP(P$5,$G$1:$H$4,2,FALSE),$E150,9,0),'納品書明細F-15'!$Q$9:$Q$297)-VLOOKUP($E150,$E$9:$AF$92,$W$7-$D$7,0)</f>
        <v>0</v>
      </c>
      <c r="X150" s="69"/>
      <c r="Y150" s="646">
        <f>COUNTIF('納品書明細F-15'!$B$9:$B$297,CONCATENATE(VLOOKUP(Y$5,$G$1:$H$4,2,FALSE),$E150,1,1))-VLOOKUP($E150,$E$9:$AF$92,$Y$7-$D$7,0)</f>
        <v>0</v>
      </c>
      <c r="Z150" s="647">
        <f>SUMIF('納品書明細F-15'!$B$9:$B$297,CONCATENATE(VLOOKUP(Y$5,$G$1:$H$4,2,FALSE),$E150,1,1),'納品書明細F-15'!$Q$9:$Q$297)+SUMIF('納品書明細F-15'!$B$9:$B$297,CONCATENATE(VLOOKUP(Y$5,$G$1:$H$4,2,FALSE),$E150,1,0),'納品書明細F-15'!$Q$9:$Q$297)-VLOOKUP($E150,$E$9:$AF$92,$Z$7-$D$7,0)</f>
        <v>0</v>
      </c>
      <c r="AA150" s="345"/>
      <c r="AB150" s="122"/>
      <c r="AC150" s="128"/>
      <c r="AD150" s="345"/>
      <c r="AE150" s="638">
        <f>COUNTIF('納品書明細F-15'!$B$9:$B$297,CONCATENATE(VLOOKUP(Y$5,$G$1:$H$4,2,FALSE),$E150,9,1))-VLOOKUP($E150,$E$9:$AF$92,$AE$7-$D$7,0)</f>
        <v>0</v>
      </c>
      <c r="AF150" s="650">
        <f>SUMIF('納品書明細F-15'!$B$9:$B$297,CONCATENATE(VLOOKUP(Y$5,$G$1:$H$4,2,FALSE),$E150,9,1),'納品書明細F-15'!$Q$9:$Q$297)+SUMIF('納品書明細F-15'!$B$9:$B$297,CONCATENATE(VLOOKUP(Y$5,$G$1:$H$4,2,FALSE),$E150,9,0),'納品書明細F-15'!$Q$9:$Q$297)-VLOOKUP($E150,$E$9:$AF$92,$AF$7-$D$7,0)</f>
        <v>0</v>
      </c>
    </row>
    <row r="151" spans="1:32">
      <c r="A151" s="475" t="str">
        <f>IF(SUMIFS($G151:$AF151,$G$8:$AF$8,"金額",$G151:$AF151,"&gt;0")-SUMIFS($G151:$AF151,$G$8:$AF$8,"金額",$G151:$AF151,"&lt;0")&lt;=0,"",MAX($A$92:$A150)+1)</f>
        <v/>
      </c>
      <c r="B151" s="795"/>
      <c r="C151" s="245" t="str">
        <f t="shared" si="4"/>
        <v>経費</v>
      </c>
      <c r="D151" s="245">
        <v>59</v>
      </c>
      <c r="E151" s="593" t="str">
        <f>IF($F151&lt;&gt;"",INDEX(ﾏｽﾀ!$D$8:$D$124,MATCH(INDEX(ﾏｽﾀ!$N$8:$N$124,MATCH($F151,ﾏｽﾀ!$O$8:$O$124,0)),ﾏｽﾀ!$B$8:$B$124,0))&amp;"","")</f>
        <v/>
      </c>
      <c r="F151" s="594" t="str">
        <f>ﾏｽﾀ!$R66&amp;""</f>
        <v/>
      </c>
      <c r="G151" s="646">
        <f>COUNTIF('納品書明細F-15'!$B$9:$B$297,CONCATENATE(VLOOKUP(G$5,$G$1:$H$4,2,FALSE),$E151,1,1))-VLOOKUP($E151,$E$9:$AF$92,$G$7-$D$7,0)</f>
        <v>0</v>
      </c>
      <c r="H151" s="652">
        <f>SUMIF('納品書明細F-15'!$B$9:$B$297,CONCATENATE(VLOOKUP(G$5,$G$1:$H$4,2,FALSE),$E151,1,1),'納品書明細F-15'!$Q$9:$Q$297)+SUMIF('納品書明細F-15'!$B$9:$B$297,CONCATENATE(VLOOKUP(G$5,$G$1:$H$4,2,FALSE),$E151,1,0),'納品書明細F-15'!$Q$9:$Q$297)-VLOOKUP($E151,$E$9:$AF$92,$H$7-$D$7,0)</f>
        <v>0</v>
      </c>
      <c r="I151" s="345"/>
      <c r="J151" s="122"/>
      <c r="K151" s="359"/>
      <c r="L151" s="345"/>
      <c r="M151" s="638">
        <f>COUNTIF('納品書明細F-15'!$B$9:$B$297,CONCATENATE(VLOOKUP(G$5,$G$1:$H$4,2,FALSE),$E151,9,1))-VLOOKUP($E151,$E$9:$AF$92,$M$7-$D$7,0)</f>
        <v>0</v>
      </c>
      <c r="N151" s="640">
        <f>SUMIF('納品書明細F-15'!$B$9:$B$297,CONCATENATE(VLOOKUP(G$5,$G$1:$H$4,2,FALSE),$E151,9,1),'納品書明細F-15'!$Q$9:$Q$297)+SUMIF('納品書明細F-15'!$B$9:$B$297,CONCATENATE(VLOOKUP(G$5,$G$1:$H$4,2,FALSE),$E151,9,0),'納品書明細F-15'!$Q$9:$Q$297)-VLOOKUP($E151,$E$9:$AF$92,$N$7-$D$7,0)</f>
        <v>0</v>
      </c>
      <c r="O151" s="69"/>
      <c r="P151" s="646">
        <f>COUNTIF('納品書明細F-15'!$B$9:$B$297,CONCATENATE(VLOOKUP(P$5,$G$1:$H$4,2,FALSE),$E151,1,1))-VLOOKUP($E151,$E$9:$AF$92,$P$7-$D$7,0)</f>
        <v>0</v>
      </c>
      <c r="Q151" s="647">
        <f>SUMIF('納品書明細F-15'!$B$9:$B$297,CONCATENATE(VLOOKUP(P$5,$G$1:$H$4,2,FALSE),$E151,1,1),'納品書明細F-15'!$Q$9:$Q$297)+SUMIF('納品書明細F-15'!$B$9:$B$297,CONCATENATE(VLOOKUP(P$5,$G$1:$H$4,2,FALSE),$E151,1,0),'納品書明細F-15'!$Q$9:$Q$297)-VLOOKUP($E151,$E$9:$AF$92,$Q$7-$D$7,0)</f>
        <v>0</v>
      </c>
      <c r="R151" s="345"/>
      <c r="S151" s="122"/>
      <c r="T151" s="128"/>
      <c r="U151" s="345"/>
      <c r="V151" s="638">
        <f>COUNTIF('納品書明細F-15'!$B$9:$B$297,CONCATENATE(VLOOKUP(P$5,$G$1:$H$4,2,FALSE),$E151,9,1))-VLOOKUP($E151,$E$9:$AF$92,$V$7-$D$7,0)</f>
        <v>0</v>
      </c>
      <c r="W151" s="650">
        <f>SUMIF('納品書明細F-15'!$B$9:$B$297,CONCATENATE(VLOOKUP(P$5,$G$1:$H$4,2,FALSE),$E151,9,1),'納品書明細F-15'!$Q$9:$Q$297)+SUMIF('納品書明細F-15'!$B$9:$B$297,CONCATENATE(VLOOKUP(P$5,$G$1:$H$4,2,FALSE),$E151,9,0),'納品書明細F-15'!$Q$9:$Q$297)-VLOOKUP($E151,$E$9:$AF$92,$W$7-$D$7,0)</f>
        <v>0</v>
      </c>
      <c r="X151" s="69"/>
      <c r="Y151" s="646">
        <f>COUNTIF('納品書明細F-15'!$B$9:$B$297,CONCATENATE(VLOOKUP(Y$5,$G$1:$H$4,2,FALSE),$E151,1,1))-VLOOKUP($E151,$E$9:$AF$92,$Y$7-$D$7,0)</f>
        <v>0</v>
      </c>
      <c r="Z151" s="647">
        <f>SUMIF('納品書明細F-15'!$B$9:$B$297,CONCATENATE(VLOOKUP(Y$5,$G$1:$H$4,2,FALSE),$E151,1,1),'納品書明細F-15'!$Q$9:$Q$297)+SUMIF('納品書明細F-15'!$B$9:$B$297,CONCATENATE(VLOOKUP(Y$5,$G$1:$H$4,2,FALSE),$E151,1,0),'納品書明細F-15'!$Q$9:$Q$297)-VLOOKUP($E151,$E$9:$AF$92,$Z$7-$D$7,0)</f>
        <v>0</v>
      </c>
      <c r="AA151" s="345"/>
      <c r="AB151" s="122"/>
      <c r="AC151" s="128"/>
      <c r="AD151" s="345"/>
      <c r="AE151" s="638">
        <f>COUNTIF('納品書明細F-15'!$B$9:$B$297,CONCATENATE(VLOOKUP(Y$5,$G$1:$H$4,2,FALSE),$E151,9,1))-VLOOKUP($E151,$E$9:$AF$92,$AE$7-$D$7,0)</f>
        <v>0</v>
      </c>
      <c r="AF151" s="650">
        <f>SUMIF('納品書明細F-15'!$B$9:$B$297,CONCATENATE(VLOOKUP(Y$5,$G$1:$H$4,2,FALSE),$E151,9,1),'納品書明細F-15'!$Q$9:$Q$297)+SUMIF('納品書明細F-15'!$B$9:$B$297,CONCATENATE(VLOOKUP(Y$5,$G$1:$H$4,2,FALSE),$E151,9,0),'納品書明細F-15'!$Q$9:$Q$297)-VLOOKUP($E151,$E$9:$AF$92,$AF$7-$D$7,0)</f>
        <v>0</v>
      </c>
    </row>
    <row r="152" spans="1:32">
      <c r="A152" s="475" t="str">
        <f>IF(SUMIFS($G152:$AF152,$G$8:$AF$8,"金額",$G152:$AF152,"&gt;0")-SUMIFS($G152:$AF152,$G$8:$AF$8,"金額",$G152:$AF152,"&lt;0")&lt;=0,"",MAX($A$92:$A151)+1)</f>
        <v/>
      </c>
      <c r="B152" s="795"/>
      <c r="C152" s="245" t="str">
        <f t="shared" si="4"/>
        <v>経費</v>
      </c>
      <c r="D152" s="245">
        <v>60</v>
      </c>
      <c r="E152" s="593" t="str">
        <f>IF($F152&lt;&gt;"",INDEX(ﾏｽﾀ!$D$8:$D$124,MATCH(INDEX(ﾏｽﾀ!$N$8:$N$124,MATCH($F152,ﾏｽﾀ!$O$8:$O$124,0)),ﾏｽﾀ!$B$8:$B$124,0))&amp;"","")</f>
        <v/>
      </c>
      <c r="F152" s="594" t="str">
        <f>ﾏｽﾀ!$R67&amp;""</f>
        <v/>
      </c>
      <c r="G152" s="646">
        <f>COUNTIF('納品書明細F-15'!$B$9:$B$297,CONCATENATE(VLOOKUP(G$5,$G$1:$H$4,2,FALSE),$E152,1,1))-VLOOKUP($E152,$E$9:$AF$92,$G$7-$D$7,0)</f>
        <v>0</v>
      </c>
      <c r="H152" s="652">
        <f>SUMIF('納品書明細F-15'!$B$9:$B$297,CONCATENATE(VLOOKUP(G$5,$G$1:$H$4,2,FALSE),$E152,1,1),'納品書明細F-15'!$Q$9:$Q$297)+SUMIF('納品書明細F-15'!$B$9:$B$297,CONCATENATE(VLOOKUP(G$5,$G$1:$H$4,2,FALSE),$E152,1,0),'納品書明細F-15'!$Q$9:$Q$297)-VLOOKUP($E152,$E$9:$AF$92,$H$7-$D$7,0)</f>
        <v>0</v>
      </c>
      <c r="I152" s="345"/>
      <c r="J152" s="122"/>
      <c r="K152" s="359"/>
      <c r="L152" s="345"/>
      <c r="M152" s="638">
        <f>COUNTIF('納品書明細F-15'!$B$9:$B$297,CONCATENATE(VLOOKUP(G$5,$G$1:$H$4,2,FALSE),$E152,9,1))-VLOOKUP($E152,$E$9:$AF$92,$M$7-$D$7,0)</f>
        <v>0</v>
      </c>
      <c r="N152" s="640">
        <f>SUMIF('納品書明細F-15'!$B$9:$B$297,CONCATENATE(VLOOKUP(G$5,$G$1:$H$4,2,FALSE),$E152,9,1),'納品書明細F-15'!$Q$9:$Q$297)+SUMIF('納品書明細F-15'!$B$9:$B$297,CONCATENATE(VLOOKUP(G$5,$G$1:$H$4,2,FALSE),$E152,9,0),'納品書明細F-15'!$Q$9:$Q$297)-VLOOKUP($E152,$E$9:$AF$92,$N$7-$D$7,0)</f>
        <v>0</v>
      </c>
      <c r="O152" s="69"/>
      <c r="P152" s="646">
        <f>COUNTIF('納品書明細F-15'!$B$9:$B$297,CONCATENATE(VLOOKUP(P$5,$G$1:$H$4,2,FALSE),$E152,1,1))-VLOOKUP($E152,$E$9:$AF$92,$P$7-$D$7,0)</f>
        <v>0</v>
      </c>
      <c r="Q152" s="647">
        <f>SUMIF('納品書明細F-15'!$B$9:$B$297,CONCATENATE(VLOOKUP(P$5,$G$1:$H$4,2,FALSE),$E152,1,1),'納品書明細F-15'!$Q$9:$Q$297)+SUMIF('納品書明細F-15'!$B$9:$B$297,CONCATENATE(VLOOKUP(P$5,$G$1:$H$4,2,FALSE),$E152,1,0),'納品書明細F-15'!$Q$9:$Q$297)-VLOOKUP($E152,$E$9:$AF$92,$Q$7-$D$7,0)</f>
        <v>0</v>
      </c>
      <c r="R152" s="345"/>
      <c r="S152" s="122"/>
      <c r="T152" s="128"/>
      <c r="U152" s="345"/>
      <c r="V152" s="638">
        <f>COUNTIF('納品書明細F-15'!$B$9:$B$297,CONCATENATE(VLOOKUP(P$5,$G$1:$H$4,2,FALSE),$E152,9,1))-VLOOKUP($E152,$E$9:$AF$92,$V$7-$D$7,0)</f>
        <v>0</v>
      </c>
      <c r="W152" s="650">
        <f>SUMIF('納品書明細F-15'!$B$9:$B$297,CONCATENATE(VLOOKUP(P$5,$G$1:$H$4,2,FALSE),$E152,9,1),'納品書明細F-15'!$Q$9:$Q$297)+SUMIF('納品書明細F-15'!$B$9:$B$297,CONCATENATE(VLOOKUP(P$5,$G$1:$H$4,2,FALSE),$E152,9,0),'納品書明細F-15'!$Q$9:$Q$297)-VLOOKUP($E152,$E$9:$AF$92,$W$7-$D$7,0)</f>
        <v>0</v>
      </c>
      <c r="X152" s="69"/>
      <c r="Y152" s="646">
        <f>COUNTIF('納品書明細F-15'!$B$9:$B$297,CONCATENATE(VLOOKUP(Y$5,$G$1:$H$4,2,FALSE),$E152,1,1))-VLOOKUP($E152,$E$9:$AF$92,$Y$7-$D$7,0)</f>
        <v>0</v>
      </c>
      <c r="Z152" s="647">
        <f>SUMIF('納品書明細F-15'!$B$9:$B$297,CONCATENATE(VLOOKUP(Y$5,$G$1:$H$4,2,FALSE),$E152,1,1),'納品書明細F-15'!$Q$9:$Q$297)+SUMIF('納品書明細F-15'!$B$9:$B$297,CONCATENATE(VLOOKUP(Y$5,$G$1:$H$4,2,FALSE),$E152,1,0),'納品書明細F-15'!$Q$9:$Q$297)-VLOOKUP($E152,$E$9:$AF$92,$Z$7-$D$7,0)</f>
        <v>0</v>
      </c>
      <c r="AA152" s="345"/>
      <c r="AB152" s="122"/>
      <c r="AC152" s="128"/>
      <c r="AD152" s="345"/>
      <c r="AE152" s="638">
        <f>COUNTIF('納品書明細F-15'!$B$9:$B$297,CONCATENATE(VLOOKUP(Y$5,$G$1:$H$4,2,FALSE),$E152,9,1))-VLOOKUP($E152,$E$9:$AF$92,$AE$7-$D$7,0)</f>
        <v>0</v>
      </c>
      <c r="AF152" s="650">
        <f>SUMIF('納品書明細F-15'!$B$9:$B$297,CONCATENATE(VLOOKUP(Y$5,$G$1:$H$4,2,FALSE),$E152,9,1),'納品書明細F-15'!$Q$9:$Q$297)+SUMIF('納品書明細F-15'!$B$9:$B$297,CONCATENATE(VLOOKUP(Y$5,$G$1:$H$4,2,FALSE),$E152,9,0),'納品書明細F-15'!$Q$9:$Q$297)-VLOOKUP($E152,$E$9:$AF$92,$AF$7-$D$7,0)</f>
        <v>0</v>
      </c>
    </row>
    <row r="153" spans="1:32">
      <c r="A153" s="475" t="str">
        <f>IF(SUMIFS($G153:$AF153,$G$8:$AF$8,"金額",$G153:$AF153,"&gt;0")-SUMIFS($G153:$AF153,$G$8:$AF$8,"金額",$G153:$AF153,"&lt;0")&lt;=0,"",MAX($A$92:$A152)+1)</f>
        <v/>
      </c>
      <c r="B153" s="795"/>
      <c r="C153" s="245" t="str">
        <f t="shared" si="4"/>
        <v>経費</v>
      </c>
      <c r="D153" s="245">
        <v>61</v>
      </c>
      <c r="E153" s="593" t="str">
        <f>IF($F153&lt;&gt;"",INDEX(ﾏｽﾀ!$D$8:$D$124,MATCH(INDEX(ﾏｽﾀ!$N$8:$N$124,MATCH($F153,ﾏｽﾀ!$O$8:$O$124,0)),ﾏｽﾀ!$B$8:$B$124,0))&amp;"","")</f>
        <v/>
      </c>
      <c r="F153" s="594" t="str">
        <f>ﾏｽﾀ!$R68&amp;""</f>
        <v/>
      </c>
      <c r="G153" s="646">
        <f>COUNTIF('納品書明細F-15'!$B$9:$B$297,CONCATENATE(VLOOKUP(G$5,$G$1:$H$4,2,FALSE),$E153,1,1))-VLOOKUP($E153,$E$9:$AF$92,$G$7-$D$7,0)</f>
        <v>0</v>
      </c>
      <c r="H153" s="652">
        <f>SUMIF('納品書明細F-15'!$B$9:$B$297,CONCATENATE(VLOOKUP(G$5,$G$1:$H$4,2,FALSE),$E153,1,1),'納品書明細F-15'!$Q$9:$Q$297)+SUMIF('納品書明細F-15'!$B$9:$B$297,CONCATENATE(VLOOKUP(G$5,$G$1:$H$4,2,FALSE),$E153,1,0),'納品書明細F-15'!$Q$9:$Q$297)-VLOOKUP($E153,$E$9:$AF$92,$H$7-$D$7,0)</f>
        <v>0</v>
      </c>
      <c r="I153" s="345"/>
      <c r="J153" s="122"/>
      <c r="K153" s="359"/>
      <c r="L153" s="345"/>
      <c r="M153" s="638">
        <f>COUNTIF('納品書明細F-15'!$B$9:$B$297,CONCATENATE(VLOOKUP(G$5,$G$1:$H$4,2,FALSE),$E153,9,1))-VLOOKUP($E153,$E$9:$AF$92,$M$7-$D$7,0)</f>
        <v>0</v>
      </c>
      <c r="N153" s="640">
        <f>SUMIF('納品書明細F-15'!$B$9:$B$297,CONCATENATE(VLOOKUP(G$5,$G$1:$H$4,2,FALSE),$E153,9,1),'納品書明細F-15'!$Q$9:$Q$297)+SUMIF('納品書明細F-15'!$B$9:$B$297,CONCATENATE(VLOOKUP(G$5,$G$1:$H$4,2,FALSE),$E153,9,0),'納品書明細F-15'!$Q$9:$Q$297)-VLOOKUP($E153,$E$9:$AF$92,$N$7-$D$7,0)</f>
        <v>0</v>
      </c>
      <c r="O153" s="69"/>
      <c r="P153" s="646">
        <f>COUNTIF('納品書明細F-15'!$B$9:$B$297,CONCATENATE(VLOOKUP(P$5,$G$1:$H$4,2,FALSE),$E153,1,1))-VLOOKUP($E153,$E$9:$AF$92,$P$7-$D$7,0)</f>
        <v>0</v>
      </c>
      <c r="Q153" s="647">
        <f>SUMIF('納品書明細F-15'!$B$9:$B$297,CONCATENATE(VLOOKUP(P$5,$G$1:$H$4,2,FALSE),$E153,1,1),'納品書明細F-15'!$Q$9:$Q$297)+SUMIF('納品書明細F-15'!$B$9:$B$297,CONCATENATE(VLOOKUP(P$5,$G$1:$H$4,2,FALSE),$E153,1,0),'納品書明細F-15'!$Q$9:$Q$297)-VLOOKUP($E153,$E$9:$AF$92,$Q$7-$D$7,0)</f>
        <v>0</v>
      </c>
      <c r="R153" s="345"/>
      <c r="S153" s="122"/>
      <c r="T153" s="128"/>
      <c r="U153" s="345"/>
      <c r="V153" s="638">
        <f>COUNTIF('納品書明細F-15'!$B$9:$B$297,CONCATENATE(VLOOKUP(P$5,$G$1:$H$4,2,FALSE),$E153,9,1))-VLOOKUP($E153,$E$9:$AF$92,$V$7-$D$7,0)</f>
        <v>0</v>
      </c>
      <c r="W153" s="650">
        <f>SUMIF('納品書明細F-15'!$B$9:$B$297,CONCATENATE(VLOOKUP(P$5,$G$1:$H$4,2,FALSE),$E153,9,1),'納品書明細F-15'!$Q$9:$Q$297)+SUMIF('納品書明細F-15'!$B$9:$B$297,CONCATENATE(VLOOKUP(P$5,$G$1:$H$4,2,FALSE),$E153,9,0),'納品書明細F-15'!$Q$9:$Q$297)-VLOOKUP($E153,$E$9:$AF$92,$W$7-$D$7,0)</f>
        <v>0</v>
      </c>
      <c r="X153" s="69"/>
      <c r="Y153" s="646">
        <f>COUNTIF('納品書明細F-15'!$B$9:$B$297,CONCATENATE(VLOOKUP(Y$5,$G$1:$H$4,2,FALSE),$E153,1,1))-VLOOKUP($E153,$E$9:$AF$92,$Y$7-$D$7,0)</f>
        <v>0</v>
      </c>
      <c r="Z153" s="647">
        <f>SUMIF('納品書明細F-15'!$B$9:$B$297,CONCATENATE(VLOOKUP(Y$5,$G$1:$H$4,2,FALSE),$E153,1,1),'納品書明細F-15'!$Q$9:$Q$297)+SUMIF('納品書明細F-15'!$B$9:$B$297,CONCATENATE(VLOOKUP(Y$5,$G$1:$H$4,2,FALSE),$E153,1,0),'納品書明細F-15'!$Q$9:$Q$297)-VLOOKUP($E153,$E$9:$AF$92,$Z$7-$D$7,0)</f>
        <v>0</v>
      </c>
      <c r="AA153" s="345"/>
      <c r="AB153" s="122"/>
      <c r="AC153" s="128"/>
      <c r="AD153" s="345"/>
      <c r="AE153" s="638">
        <f>COUNTIF('納品書明細F-15'!$B$9:$B$297,CONCATENATE(VLOOKUP(Y$5,$G$1:$H$4,2,FALSE),$E153,9,1))-VLOOKUP($E153,$E$9:$AF$92,$AE$7-$D$7,0)</f>
        <v>0</v>
      </c>
      <c r="AF153" s="650">
        <f>SUMIF('納品書明細F-15'!$B$9:$B$297,CONCATENATE(VLOOKUP(Y$5,$G$1:$H$4,2,FALSE),$E153,9,1),'納品書明細F-15'!$Q$9:$Q$297)+SUMIF('納品書明細F-15'!$B$9:$B$297,CONCATENATE(VLOOKUP(Y$5,$G$1:$H$4,2,FALSE),$E153,9,0),'納品書明細F-15'!$Q$9:$Q$297)-VLOOKUP($E153,$E$9:$AF$92,$AF$7-$D$7,0)</f>
        <v>0</v>
      </c>
    </row>
    <row r="154" spans="1:32">
      <c r="A154" s="475" t="str">
        <f>IF(SUMIFS($G154:$AF154,$G$8:$AF$8,"金額",$G154:$AF154,"&gt;0")-SUMIFS($G154:$AF154,$G$8:$AF$8,"金額",$G154:$AF154,"&lt;0")&lt;=0,"",MAX($A$92:$A153)+1)</f>
        <v/>
      </c>
      <c r="B154" s="795"/>
      <c r="C154" s="245" t="str">
        <f t="shared" si="4"/>
        <v>経費</v>
      </c>
      <c r="D154" s="245">
        <v>62</v>
      </c>
      <c r="E154" s="593" t="str">
        <f>IF($F154&lt;&gt;"",INDEX(ﾏｽﾀ!$D$8:$D$124,MATCH(INDEX(ﾏｽﾀ!$N$8:$N$124,MATCH($F154,ﾏｽﾀ!$O$8:$O$124,0)),ﾏｽﾀ!$B$8:$B$124,0))&amp;"","")</f>
        <v/>
      </c>
      <c r="F154" s="594" t="str">
        <f>ﾏｽﾀ!$R69&amp;""</f>
        <v/>
      </c>
      <c r="G154" s="646">
        <f>COUNTIF('納品書明細F-15'!$B$9:$B$297,CONCATENATE(VLOOKUP(G$5,$G$1:$H$4,2,FALSE),$E154,1,1))-VLOOKUP($E154,$E$9:$AF$92,$G$7-$D$7,0)</f>
        <v>0</v>
      </c>
      <c r="H154" s="652">
        <f>SUMIF('納品書明細F-15'!$B$9:$B$297,CONCATENATE(VLOOKUP(G$5,$G$1:$H$4,2,FALSE),$E154,1,1),'納品書明細F-15'!$Q$9:$Q$297)+SUMIF('納品書明細F-15'!$B$9:$B$297,CONCATENATE(VLOOKUP(G$5,$G$1:$H$4,2,FALSE),$E154,1,0),'納品書明細F-15'!$Q$9:$Q$297)-VLOOKUP($E154,$E$9:$AF$92,$H$7-$D$7,0)</f>
        <v>0</v>
      </c>
      <c r="I154" s="345"/>
      <c r="J154" s="122"/>
      <c r="K154" s="359"/>
      <c r="L154" s="345"/>
      <c r="M154" s="638">
        <f>COUNTIF('納品書明細F-15'!$B$9:$B$297,CONCATENATE(VLOOKUP(G$5,$G$1:$H$4,2,FALSE),$E154,9,1))-VLOOKUP($E154,$E$9:$AF$92,$M$7-$D$7,0)</f>
        <v>0</v>
      </c>
      <c r="N154" s="640">
        <f>SUMIF('納品書明細F-15'!$B$9:$B$297,CONCATENATE(VLOOKUP(G$5,$G$1:$H$4,2,FALSE),$E154,9,1),'納品書明細F-15'!$Q$9:$Q$297)+SUMIF('納品書明細F-15'!$B$9:$B$297,CONCATENATE(VLOOKUP(G$5,$G$1:$H$4,2,FALSE),$E154,9,0),'納品書明細F-15'!$Q$9:$Q$297)-VLOOKUP($E154,$E$9:$AF$92,$N$7-$D$7,0)</f>
        <v>0</v>
      </c>
      <c r="O154" s="69"/>
      <c r="P154" s="646">
        <f>COUNTIF('納品書明細F-15'!$B$9:$B$297,CONCATENATE(VLOOKUP(P$5,$G$1:$H$4,2,FALSE),$E154,1,1))-VLOOKUP($E154,$E$9:$AF$92,$P$7-$D$7,0)</f>
        <v>0</v>
      </c>
      <c r="Q154" s="647">
        <f>SUMIF('納品書明細F-15'!$B$9:$B$297,CONCATENATE(VLOOKUP(P$5,$G$1:$H$4,2,FALSE),$E154,1,1),'納品書明細F-15'!$Q$9:$Q$297)+SUMIF('納品書明細F-15'!$B$9:$B$297,CONCATENATE(VLOOKUP(P$5,$G$1:$H$4,2,FALSE),$E154,1,0),'納品書明細F-15'!$Q$9:$Q$297)-VLOOKUP($E154,$E$9:$AF$92,$Q$7-$D$7,0)</f>
        <v>0</v>
      </c>
      <c r="R154" s="345"/>
      <c r="S154" s="122"/>
      <c r="T154" s="128"/>
      <c r="U154" s="345"/>
      <c r="V154" s="638">
        <f>COUNTIF('納品書明細F-15'!$B$9:$B$297,CONCATENATE(VLOOKUP(P$5,$G$1:$H$4,2,FALSE),$E154,9,1))-VLOOKUP($E154,$E$9:$AF$92,$V$7-$D$7,0)</f>
        <v>0</v>
      </c>
      <c r="W154" s="650">
        <f>SUMIF('納品書明細F-15'!$B$9:$B$297,CONCATENATE(VLOOKUP(P$5,$G$1:$H$4,2,FALSE),$E154,9,1),'納品書明細F-15'!$Q$9:$Q$297)+SUMIF('納品書明細F-15'!$B$9:$B$297,CONCATENATE(VLOOKUP(P$5,$G$1:$H$4,2,FALSE),$E154,9,0),'納品書明細F-15'!$Q$9:$Q$297)-VLOOKUP($E154,$E$9:$AF$92,$W$7-$D$7,0)</f>
        <v>0</v>
      </c>
      <c r="X154" s="69"/>
      <c r="Y154" s="646">
        <f>COUNTIF('納品書明細F-15'!$B$9:$B$297,CONCATENATE(VLOOKUP(Y$5,$G$1:$H$4,2,FALSE),$E154,1,1))-VLOOKUP($E154,$E$9:$AF$92,$Y$7-$D$7,0)</f>
        <v>0</v>
      </c>
      <c r="Z154" s="647">
        <f>SUMIF('納品書明細F-15'!$B$9:$B$297,CONCATENATE(VLOOKUP(Y$5,$G$1:$H$4,2,FALSE),$E154,1,1),'納品書明細F-15'!$Q$9:$Q$297)+SUMIF('納品書明細F-15'!$B$9:$B$297,CONCATENATE(VLOOKUP(Y$5,$G$1:$H$4,2,FALSE),$E154,1,0),'納品書明細F-15'!$Q$9:$Q$297)-VLOOKUP($E154,$E$9:$AF$92,$Z$7-$D$7,0)</f>
        <v>0</v>
      </c>
      <c r="AA154" s="345"/>
      <c r="AB154" s="122"/>
      <c r="AC154" s="128"/>
      <c r="AD154" s="345"/>
      <c r="AE154" s="638">
        <f>COUNTIF('納品書明細F-15'!$B$9:$B$297,CONCATENATE(VLOOKUP(Y$5,$G$1:$H$4,2,FALSE),$E154,9,1))-VLOOKUP($E154,$E$9:$AF$92,$AE$7-$D$7,0)</f>
        <v>0</v>
      </c>
      <c r="AF154" s="650">
        <f>SUMIF('納品書明細F-15'!$B$9:$B$297,CONCATENATE(VLOOKUP(Y$5,$G$1:$H$4,2,FALSE),$E154,9,1),'納品書明細F-15'!$Q$9:$Q$297)+SUMIF('納品書明細F-15'!$B$9:$B$297,CONCATENATE(VLOOKUP(Y$5,$G$1:$H$4,2,FALSE),$E154,9,0),'納品書明細F-15'!$Q$9:$Q$297)-VLOOKUP($E154,$E$9:$AF$92,$AF$7-$D$7,0)</f>
        <v>0</v>
      </c>
    </row>
    <row r="155" spans="1:32">
      <c r="A155" s="475" t="str">
        <f>IF(SUMIFS($G155:$AF155,$G$8:$AF$8,"金額",$G155:$AF155,"&gt;0")-SUMIFS($G155:$AF155,$G$8:$AF$8,"金額",$G155:$AF155,"&lt;0")&lt;=0,"",MAX($A$92:$A154)+1)</f>
        <v/>
      </c>
      <c r="B155" s="795"/>
      <c r="C155" s="245" t="str">
        <f t="shared" si="4"/>
        <v>経費</v>
      </c>
      <c r="D155" s="245">
        <v>63</v>
      </c>
      <c r="E155" s="593" t="str">
        <f>IF($F155&lt;&gt;"",INDEX(ﾏｽﾀ!$D$8:$D$124,MATCH(INDEX(ﾏｽﾀ!$N$8:$N$124,MATCH($F155,ﾏｽﾀ!$O$8:$O$124,0)),ﾏｽﾀ!$B$8:$B$124,0))&amp;"","")</f>
        <v/>
      </c>
      <c r="F155" s="594" t="str">
        <f>ﾏｽﾀ!$R70&amp;""</f>
        <v/>
      </c>
      <c r="G155" s="646">
        <f>COUNTIF('納品書明細F-15'!$B$9:$B$297,CONCATENATE(VLOOKUP(G$5,$G$1:$H$4,2,FALSE),$E155,1,1))-VLOOKUP($E155,$E$9:$AF$92,$G$7-$D$7,0)</f>
        <v>0</v>
      </c>
      <c r="H155" s="652">
        <f>SUMIF('納品書明細F-15'!$B$9:$B$297,CONCATENATE(VLOOKUP(G$5,$G$1:$H$4,2,FALSE),$E155,1,1),'納品書明細F-15'!$Q$9:$Q$297)+SUMIF('納品書明細F-15'!$B$9:$B$297,CONCATENATE(VLOOKUP(G$5,$G$1:$H$4,2,FALSE),$E155,1,0),'納品書明細F-15'!$Q$9:$Q$297)-VLOOKUP($E155,$E$9:$AF$92,$H$7-$D$7,0)</f>
        <v>0</v>
      </c>
      <c r="I155" s="345"/>
      <c r="J155" s="122"/>
      <c r="K155" s="359"/>
      <c r="L155" s="345"/>
      <c r="M155" s="638">
        <f>COUNTIF('納品書明細F-15'!$B$9:$B$297,CONCATENATE(VLOOKUP(G$5,$G$1:$H$4,2,FALSE),$E155,9,1))-VLOOKUP($E155,$E$9:$AF$92,$M$7-$D$7,0)</f>
        <v>0</v>
      </c>
      <c r="N155" s="640">
        <f>SUMIF('納品書明細F-15'!$B$9:$B$297,CONCATENATE(VLOOKUP(G$5,$G$1:$H$4,2,FALSE),$E155,9,1),'納品書明細F-15'!$Q$9:$Q$297)+SUMIF('納品書明細F-15'!$B$9:$B$297,CONCATENATE(VLOOKUP(G$5,$G$1:$H$4,2,FALSE),$E155,9,0),'納品書明細F-15'!$Q$9:$Q$297)-VLOOKUP($E155,$E$9:$AF$92,$N$7-$D$7,0)</f>
        <v>0</v>
      </c>
      <c r="O155" s="69"/>
      <c r="P155" s="646">
        <f>COUNTIF('納品書明細F-15'!$B$9:$B$297,CONCATENATE(VLOOKUP(P$5,$G$1:$H$4,2,FALSE),$E155,1,1))-VLOOKUP($E155,$E$9:$AF$92,$P$7-$D$7,0)</f>
        <v>0</v>
      </c>
      <c r="Q155" s="647">
        <f>SUMIF('納品書明細F-15'!$B$9:$B$297,CONCATENATE(VLOOKUP(P$5,$G$1:$H$4,2,FALSE),$E155,1,1),'納品書明細F-15'!$Q$9:$Q$297)+SUMIF('納品書明細F-15'!$B$9:$B$297,CONCATENATE(VLOOKUP(P$5,$G$1:$H$4,2,FALSE),$E155,1,0),'納品書明細F-15'!$Q$9:$Q$297)-VLOOKUP($E155,$E$9:$AF$92,$Q$7-$D$7,0)</f>
        <v>0</v>
      </c>
      <c r="R155" s="345"/>
      <c r="S155" s="122"/>
      <c r="T155" s="128"/>
      <c r="U155" s="345"/>
      <c r="V155" s="638">
        <f>COUNTIF('納品書明細F-15'!$B$9:$B$297,CONCATENATE(VLOOKUP(P$5,$G$1:$H$4,2,FALSE),$E155,9,1))-VLOOKUP($E155,$E$9:$AF$92,$V$7-$D$7,0)</f>
        <v>0</v>
      </c>
      <c r="W155" s="650">
        <f>SUMIF('納品書明細F-15'!$B$9:$B$297,CONCATENATE(VLOOKUP(P$5,$G$1:$H$4,2,FALSE),$E155,9,1),'納品書明細F-15'!$Q$9:$Q$297)+SUMIF('納品書明細F-15'!$B$9:$B$297,CONCATENATE(VLOOKUP(P$5,$G$1:$H$4,2,FALSE),$E155,9,0),'納品書明細F-15'!$Q$9:$Q$297)-VLOOKUP($E155,$E$9:$AF$92,$W$7-$D$7,0)</f>
        <v>0</v>
      </c>
      <c r="X155" s="69"/>
      <c r="Y155" s="646">
        <f>COUNTIF('納品書明細F-15'!$B$9:$B$297,CONCATENATE(VLOOKUP(Y$5,$G$1:$H$4,2,FALSE),$E155,1,1))-VLOOKUP($E155,$E$9:$AF$92,$Y$7-$D$7,0)</f>
        <v>0</v>
      </c>
      <c r="Z155" s="647">
        <f>SUMIF('納品書明細F-15'!$B$9:$B$297,CONCATENATE(VLOOKUP(Y$5,$G$1:$H$4,2,FALSE),$E155,1,1),'納品書明細F-15'!$Q$9:$Q$297)+SUMIF('納品書明細F-15'!$B$9:$B$297,CONCATENATE(VLOOKUP(Y$5,$G$1:$H$4,2,FALSE),$E155,1,0),'納品書明細F-15'!$Q$9:$Q$297)-VLOOKUP($E155,$E$9:$AF$92,$Z$7-$D$7,0)</f>
        <v>0</v>
      </c>
      <c r="AA155" s="345"/>
      <c r="AB155" s="122"/>
      <c r="AC155" s="128"/>
      <c r="AD155" s="345"/>
      <c r="AE155" s="638">
        <f>COUNTIF('納品書明細F-15'!$B$9:$B$297,CONCATENATE(VLOOKUP(Y$5,$G$1:$H$4,2,FALSE),$E155,9,1))-VLOOKUP($E155,$E$9:$AF$92,$AE$7-$D$7,0)</f>
        <v>0</v>
      </c>
      <c r="AF155" s="650">
        <f>SUMIF('納品書明細F-15'!$B$9:$B$297,CONCATENATE(VLOOKUP(Y$5,$G$1:$H$4,2,FALSE),$E155,9,1),'納品書明細F-15'!$Q$9:$Q$297)+SUMIF('納品書明細F-15'!$B$9:$B$297,CONCATENATE(VLOOKUP(Y$5,$G$1:$H$4,2,FALSE),$E155,9,0),'納品書明細F-15'!$Q$9:$Q$297)-VLOOKUP($E155,$E$9:$AF$92,$AF$7-$D$7,0)</f>
        <v>0</v>
      </c>
    </row>
    <row r="156" spans="1:32">
      <c r="A156" s="475" t="str">
        <f>IF(SUMIFS($G156:$AF156,$G$8:$AF$8,"金額",$G156:$AF156,"&gt;0")-SUMIFS($G156:$AF156,$G$8:$AF$8,"金額",$G156:$AF156,"&lt;0")&lt;=0,"",MAX($A$92:$A155)+1)</f>
        <v/>
      </c>
      <c r="B156" s="795"/>
      <c r="C156" s="245" t="str">
        <f t="shared" si="4"/>
        <v>経費</v>
      </c>
      <c r="D156" s="245">
        <v>64</v>
      </c>
      <c r="E156" s="593" t="str">
        <f>IF($F156&lt;&gt;"",INDEX(ﾏｽﾀ!$D$8:$D$124,MATCH(INDEX(ﾏｽﾀ!$N$8:$N$124,MATCH($F156,ﾏｽﾀ!$O$8:$O$124,0)),ﾏｽﾀ!$B$8:$B$124,0))&amp;"","")</f>
        <v/>
      </c>
      <c r="F156" s="594" t="str">
        <f>ﾏｽﾀ!$R71&amp;""</f>
        <v/>
      </c>
      <c r="G156" s="646">
        <f>COUNTIF('納品書明細F-15'!$B$9:$B$297,CONCATENATE(VLOOKUP(G$5,$G$1:$H$4,2,FALSE),$E156,1,1))-VLOOKUP($E156,$E$9:$AF$92,$G$7-$D$7,0)</f>
        <v>0</v>
      </c>
      <c r="H156" s="652">
        <f>SUMIF('納品書明細F-15'!$B$9:$B$297,CONCATENATE(VLOOKUP(G$5,$G$1:$H$4,2,FALSE),$E156,1,1),'納品書明細F-15'!$Q$9:$Q$297)+SUMIF('納品書明細F-15'!$B$9:$B$297,CONCATENATE(VLOOKUP(G$5,$G$1:$H$4,2,FALSE),$E156,1,0),'納品書明細F-15'!$Q$9:$Q$297)-VLOOKUP($E156,$E$9:$AF$92,$H$7-$D$7,0)</f>
        <v>0</v>
      </c>
      <c r="I156" s="345"/>
      <c r="J156" s="122"/>
      <c r="K156" s="359"/>
      <c r="L156" s="345"/>
      <c r="M156" s="638">
        <f>COUNTIF('納品書明細F-15'!$B$9:$B$297,CONCATENATE(VLOOKUP(G$5,$G$1:$H$4,2,FALSE),$E156,9,1))-VLOOKUP($E156,$E$9:$AF$92,$M$7-$D$7,0)</f>
        <v>0</v>
      </c>
      <c r="N156" s="640">
        <f>SUMIF('納品書明細F-15'!$B$9:$B$297,CONCATENATE(VLOOKUP(G$5,$G$1:$H$4,2,FALSE),$E156,9,1),'納品書明細F-15'!$Q$9:$Q$297)+SUMIF('納品書明細F-15'!$B$9:$B$297,CONCATENATE(VLOOKUP(G$5,$G$1:$H$4,2,FALSE),$E156,9,0),'納品書明細F-15'!$Q$9:$Q$297)-VLOOKUP($E156,$E$9:$AF$92,$N$7-$D$7,0)</f>
        <v>0</v>
      </c>
      <c r="O156" s="69"/>
      <c r="P156" s="646">
        <f>COUNTIF('納品書明細F-15'!$B$9:$B$297,CONCATENATE(VLOOKUP(P$5,$G$1:$H$4,2,FALSE),$E156,1,1))-VLOOKUP($E156,$E$9:$AF$92,$P$7-$D$7,0)</f>
        <v>0</v>
      </c>
      <c r="Q156" s="647">
        <f>SUMIF('納品書明細F-15'!$B$9:$B$297,CONCATENATE(VLOOKUP(P$5,$G$1:$H$4,2,FALSE),$E156,1,1),'納品書明細F-15'!$Q$9:$Q$297)+SUMIF('納品書明細F-15'!$B$9:$B$297,CONCATENATE(VLOOKUP(P$5,$G$1:$H$4,2,FALSE),$E156,1,0),'納品書明細F-15'!$Q$9:$Q$297)-VLOOKUP($E156,$E$9:$AF$92,$Q$7-$D$7,0)</f>
        <v>0</v>
      </c>
      <c r="R156" s="345"/>
      <c r="S156" s="122"/>
      <c r="T156" s="128"/>
      <c r="U156" s="345"/>
      <c r="V156" s="638">
        <f>COUNTIF('納品書明細F-15'!$B$9:$B$297,CONCATENATE(VLOOKUP(P$5,$G$1:$H$4,2,FALSE),$E156,9,1))-VLOOKUP($E156,$E$9:$AF$92,$V$7-$D$7,0)</f>
        <v>0</v>
      </c>
      <c r="W156" s="650">
        <f>SUMIF('納品書明細F-15'!$B$9:$B$297,CONCATENATE(VLOOKUP(P$5,$G$1:$H$4,2,FALSE),$E156,9,1),'納品書明細F-15'!$Q$9:$Q$297)+SUMIF('納品書明細F-15'!$B$9:$B$297,CONCATENATE(VLOOKUP(P$5,$G$1:$H$4,2,FALSE),$E156,9,0),'納品書明細F-15'!$Q$9:$Q$297)-VLOOKUP($E156,$E$9:$AF$92,$W$7-$D$7,0)</f>
        <v>0</v>
      </c>
      <c r="X156" s="69"/>
      <c r="Y156" s="646">
        <f>COUNTIF('納品書明細F-15'!$B$9:$B$297,CONCATENATE(VLOOKUP(Y$5,$G$1:$H$4,2,FALSE),$E156,1,1))-VLOOKUP($E156,$E$9:$AF$92,$Y$7-$D$7,0)</f>
        <v>0</v>
      </c>
      <c r="Z156" s="647">
        <f>SUMIF('納品書明細F-15'!$B$9:$B$297,CONCATENATE(VLOOKUP(Y$5,$G$1:$H$4,2,FALSE),$E156,1,1),'納品書明細F-15'!$Q$9:$Q$297)+SUMIF('納品書明細F-15'!$B$9:$B$297,CONCATENATE(VLOOKUP(Y$5,$G$1:$H$4,2,FALSE),$E156,1,0),'納品書明細F-15'!$Q$9:$Q$297)-VLOOKUP($E156,$E$9:$AF$92,$Z$7-$D$7,0)</f>
        <v>0</v>
      </c>
      <c r="AA156" s="345"/>
      <c r="AB156" s="122"/>
      <c r="AC156" s="128"/>
      <c r="AD156" s="345"/>
      <c r="AE156" s="638">
        <f>COUNTIF('納品書明細F-15'!$B$9:$B$297,CONCATENATE(VLOOKUP(Y$5,$G$1:$H$4,2,FALSE),$E156,9,1))-VLOOKUP($E156,$E$9:$AF$92,$AE$7-$D$7,0)</f>
        <v>0</v>
      </c>
      <c r="AF156" s="650">
        <f>SUMIF('納品書明細F-15'!$B$9:$B$297,CONCATENATE(VLOOKUP(Y$5,$G$1:$H$4,2,FALSE),$E156,9,1),'納品書明細F-15'!$Q$9:$Q$297)+SUMIF('納品書明細F-15'!$B$9:$B$297,CONCATENATE(VLOOKUP(Y$5,$G$1:$H$4,2,FALSE),$E156,9,0),'納品書明細F-15'!$Q$9:$Q$297)-VLOOKUP($E156,$E$9:$AF$92,$AF$7-$D$7,0)</f>
        <v>0</v>
      </c>
    </row>
    <row r="157" spans="1:32">
      <c r="A157" s="475" t="str">
        <f>IF(SUMIFS($G157:$AF157,$G$8:$AF$8,"金額",$G157:$AF157,"&gt;0")-SUMIFS($G157:$AF157,$G$8:$AF$8,"金額",$G157:$AF157,"&lt;0")&lt;=0,"",MAX($A$92:$A156)+1)</f>
        <v/>
      </c>
      <c r="B157" s="795"/>
      <c r="C157" s="245" t="str">
        <f t="shared" ref="C157:C174" si="5">CONCATENATE("経費",$A157)</f>
        <v>経費</v>
      </c>
      <c r="D157" s="245">
        <v>65</v>
      </c>
      <c r="E157" s="593" t="str">
        <f>IF($F157&lt;&gt;"",INDEX(ﾏｽﾀ!$D$8:$D$124,MATCH(INDEX(ﾏｽﾀ!$N$8:$N$124,MATCH($F157,ﾏｽﾀ!$O$8:$O$124,0)),ﾏｽﾀ!$B$8:$B$124,0))&amp;"","")</f>
        <v/>
      </c>
      <c r="F157" s="594" t="str">
        <f>ﾏｽﾀ!$R72&amp;""</f>
        <v/>
      </c>
      <c r="G157" s="646">
        <f>COUNTIF('納品書明細F-15'!$B$9:$B$297,CONCATENATE(VLOOKUP(G$5,$G$1:$H$4,2,FALSE),$E157,1,1))-VLOOKUP($E157,$E$9:$AF$92,$G$7-$D$7,0)</f>
        <v>0</v>
      </c>
      <c r="H157" s="652">
        <f>SUMIF('納品書明細F-15'!$B$9:$B$297,CONCATENATE(VLOOKUP(G$5,$G$1:$H$4,2,FALSE),$E157,1,1),'納品書明細F-15'!$Q$9:$Q$297)+SUMIF('納品書明細F-15'!$B$9:$B$297,CONCATENATE(VLOOKUP(G$5,$G$1:$H$4,2,FALSE),$E157,1,0),'納品書明細F-15'!$Q$9:$Q$297)-VLOOKUP($E157,$E$9:$AF$92,$H$7-$D$7,0)</f>
        <v>0</v>
      </c>
      <c r="I157" s="345"/>
      <c r="J157" s="122"/>
      <c r="K157" s="359"/>
      <c r="L157" s="345"/>
      <c r="M157" s="638">
        <f>COUNTIF('納品書明細F-15'!$B$9:$B$297,CONCATENATE(VLOOKUP(G$5,$G$1:$H$4,2,FALSE),$E157,9,1))-VLOOKUP($E157,$E$9:$AF$92,$M$7-$D$7,0)</f>
        <v>0</v>
      </c>
      <c r="N157" s="640">
        <f>SUMIF('納品書明細F-15'!$B$9:$B$297,CONCATENATE(VLOOKUP(G$5,$G$1:$H$4,2,FALSE),$E157,9,1),'納品書明細F-15'!$Q$9:$Q$297)+SUMIF('納品書明細F-15'!$B$9:$B$297,CONCATENATE(VLOOKUP(G$5,$G$1:$H$4,2,FALSE),$E157,9,0),'納品書明細F-15'!$Q$9:$Q$297)-VLOOKUP($E157,$E$9:$AF$92,$N$7-$D$7,0)</f>
        <v>0</v>
      </c>
      <c r="O157" s="69"/>
      <c r="P157" s="646">
        <f>COUNTIF('納品書明細F-15'!$B$9:$B$297,CONCATENATE(VLOOKUP(P$5,$G$1:$H$4,2,FALSE),$E157,1,1))-VLOOKUP($E157,$E$9:$AF$92,$P$7-$D$7,0)</f>
        <v>0</v>
      </c>
      <c r="Q157" s="647">
        <f>SUMIF('納品書明細F-15'!$B$9:$B$297,CONCATENATE(VLOOKUP(P$5,$G$1:$H$4,2,FALSE),$E157,1,1),'納品書明細F-15'!$Q$9:$Q$297)+SUMIF('納品書明細F-15'!$B$9:$B$297,CONCATENATE(VLOOKUP(P$5,$G$1:$H$4,2,FALSE),$E157,1,0),'納品書明細F-15'!$Q$9:$Q$297)-VLOOKUP($E157,$E$9:$AF$92,$Q$7-$D$7,0)</f>
        <v>0</v>
      </c>
      <c r="R157" s="345"/>
      <c r="S157" s="122"/>
      <c r="T157" s="128"/>
      <c r="U157" s="345"/>
      <c r="V157" s="638">
        <f>COUNTIF('納品書明細F-15'!$B$9:$B$297,CONCATENATE(VLOOKUP(P$5,$G$1:$H$4,2,FALSE),$E157,9,1))-VLOOKUP($E157,$E$9:$AF$92,$V$7-$D$7,0)</f>
        <v>0</v>
      </c>
      <c r="W157" s="650">
        <f>SUMIF('納品書明細F-15'!$B$9:$B$297,CONCATENATE(VLOOKUP(P$5,$G$1:$H$4,2,FALSE),$E157,9,1),'納品書明細F-15'!$Q$9:$Q$297)+SUMIF('納品書明細F-15'!$B$9:$B$297,CONCATENATE(VLOOKUP(P$5,$G$1:$H$4,2,FALSE),$E157,9,0),'納品書明細F-15'!$Q$9:$Q$297)-VLOOKUP($E157,$E$9:$AF$92,$W$7-$D$7,0)</f>
        <v>0</v>
      </c>
      <c r="X157" s="69"/>
      <c r="Y157" s="646">
        <f>COUNTIF('納品書明細F-15'!$B$9:$B$297,CONCATENATE(VLOOKUP(Y$5,$G$1:$H$4,2,FALSE),$E157,1,1))-VLOOKUP($E157,$E$9:$AF$92,$Y$7-$D$7,0)</f>
        <v>0</v>
      </c>
      <c r="Z157" s="647">
        <f>SUMIF('納品書明細F-15'!$B$9:$B$297,CONCATENATE(VLOOKUP(Y$5,$G$1:$H$4,2,FALSE),$E157,1,1),'納品書明細F-15'!$Q$9:$Q$297)+SUMIF('納品書明細F-15'!$B$9:$B$297,CONCATENATE(VLOOKUP(Y$5,$G$1:$H$4,2,FALSE),$E157,1,0),'納品書明細F-15'!$Q$9:$Q$297)-VLOOKUP($E157,$E$9:$AF$92,$Z$7-$D$7,0)</f>
        <v>0</v>
      </c>
      <c r="AA157" s="345"/>
      <c r="AB157" s="122"/>
      <c r="AC157" s="128"/>
      <c r="AD157" s="345"/>
      <c r="AE157" s="638">
        <f>COUNTIF('納品書明細F-15'!$B$9:$B$297,CONCATENATE(VLOOKUP(Y$5,$G$1:$H$4,2,FALSE),$E157,9,1))-VLOOKUP($E157,$E$9:$AF$92,$AE$7-$D$7,0)</f>
        <v>0</v>
      </c>
      <c r="AF157" s="650">
        <f>SUMIF('納品書明細F-15'!$B$9:$B$297,CONCATENATE(VLOOKUP(Y$5,$G$1:$H$4,2,FALSE),$E157,9,1),'納品書明細F-15'!$Q$9:$Q$297)+SUMIF('納品書明細F-15'!$B$9:$B$297,CONCATENATE(VLOOKUP(Y$5,$G$1:$H$4,2,FALSE),$E157,9,0),'納品書明細F-15'!$Q$9:$Q$297)-VLOOKUP($E157,$E$9:$AF$92,$AF$7-$D$7,0)</f>
        <v>0</v>
      </c>
    </row>
    <row r="158" spans="1:32">
      <c r="A158" s="475" t="str">
        <f>IF(SUMIFS($G158:$AF158,$G$8:$AF$8,"金額",$G158:$AF158,"&gt;0")-SUMIFS($G158:$AF158,$G$8:$AF$8,"金額",$G158:$AF158,"&lt;0")&lt;=0,"",MAX($A$92:$A157)+1)</f>
        <v/>
      </c>
      <c r="B158" s="795"/>
      <c r="C158" s="245" t="str">
        <f t="shared" si="5"/>
        <v>経費</v>
      </c>
      <c r="D158" s="245">
        <v>66</v>
      </c>
      <c r="E158" s="593" t="str">
        <f>IF($F158&lt;&gt;"",INDEX(ﾏｽﾀ!$D$8:$D$124,MATCH(INDEX(ﾏｽﾀ!$N$8:$N$124,MATCH($F158,ﾏｽﾀ!$O$8:$O$124,0)),ﾏｽﾀ!$B$8:$B$124,0))&amp;"","")</f>
        <v/>
      </c>
      <c r="F158" s="594" t="str">
        <f>ﾏｽﾀ!$R73&amp;""</f>
        <v/>
      </c>
      <c r="G158" s="646">
        <f>COUNTIF('納品書明細F-15'!$B$9:$B$297,CONCATENATE(VLOOKUP(G$5,$G$1:$H$4,2,FALSE),$E158,1,1))-VLOOKUP($E158,$E$9:$AF$92,$G$7-$D$7,0)</f>
        <v>0</v>
      </c>
      <c r="H158" s="652">
        <f>SUMIF('納品書明細F-15'!$B$9:$B$297,CONCATENATE(VLOOKUP(G$5,$G$1:$H$4,2,FALSE),$E158,1,1),'納品書明細F-15'!$Q$9:$Q$297)+SUMIF('納品書明細F-15'!$B$9:$B$297,CONCATENATE(VLOOKUP(G$5,$G$1:$H$4,2,FALSE),$E158,1,0),'納品書明細F-15'!$Q$9:$Q$297)-VLOOKUP($E158,$E$9:$AF$92,$H$7-$D$7,0)</f>
        <v>0</v>
      </c>
      <c r="I158" s="345"/>
      <c r="J158" s="122"/>
      <c r="K158" s="359"/>
      <c r="L158" s="345"/>
      <c r="M158" s="638">
        <f>COUNTIF('納品書明細F-15'!$B$9:$B$297,CONCATENATE(VLOOKUP(G$5,$G$1:$H$4,2,FALSE),$E158,9,1))-VLOOKUP($E158,$E$9:$AF$92,$M$7-$D$7,0)</f>
        <v>0</v>
      </c>
      <c r="N158" s="640">
        <f>SUMIF('納品書明細F-15'!$B$9:$B$297,CONCATENATE(VLOOKUP(G$5,$G$1:$H$4,2,FALSE),$E158,9,1),'納品書明細F-15'!$Q$9:$Q$297)+SUMIF('納品書明細F-15'!$B$9:$B$297,CONCATENATE(VLOOKUP(G$5,$G$1:$H$4,2,FALSE),$E158,9,0),'納品書明細F-15'!$Q$9:$Q$297)-VLOOKUP($E158,$E$9:$AF$92,$N$7-$D$7,0)</f>
        <v>0</v>
      </c>
      <c r="O158" s="69"/>
      <c r="P158" s="646">
        <f>COUNTIF('納品書明細F-15'!$B$9:$B$297,CONCATENATE(VLOOKUP(P$5,$G$1:$H$4,2,FALSE),$E158,1,1))-VLOOKUP($E158,$E$9:$AF$92,$P$7-$D$7,0)</f>
        <v>0</v>
      </c>
      <c r="Q158" s="647">
        <f>SUMIF('納品書明細F-15'!$B$9:$B$297,CONCATENATE(VLOOKUP(P$5,$G$1:$H$4,2,FALSE),$E158,1,1),'納品書明細F-15'!$Q$9:$Q$297)+SUMIF('納品書明細F-15'!$B$9:$B$297,CONCATENATE(VLOOKUP(P$5,$G$1:$H$4,2,FALSE),$E158,1,0),'納品書明細F-15'!$Q$9:$Q$297)-VLOOKUP($E158,$E$9:$AF$92,$Q$7-$D$7,0)</f>
        <v>0</v>
      </c>
      <c r="R158" s="345"/>
      <c r="S158" s="122"/>
      <c r="T158" s="128"/>
      <c r="U158" s="345"/>
      <c r="V158" s="638">
        <f>COUNTIF('納品書明細F-15'!$B$9:$B$297,CONCATENATE(VLOOKUP(P$5,$G$1:$H$4,2,FALSE),$E158,9,1))-VLOOKUP($E158,$E$9:$AF$92,$V$7-$D$7,0)</f>
        <v>0</v>
      </c>
      <c r="W158" s="650">
        <f>SUMIF('納品書明細F-15'!$B$9:$B$297,CONCATENATE(VLOOKUP(P$5,$G$1:$H$4,2,FALSE),$E158,9,1),'納品書明細F-15'!$Q$9:$Q$297)+SUMIF('納品書明細F-15'!$B$9:$B$297,CONCATENATE(VLOOKUP(P$5,$G$1:$H$4,2,FALSE),$E158,9,0),'納品書明細F-15'!$Q$9:$Q$297)-VLOOKUP($E158,$E$9:$AF$92,$W$7-$D$7,0)</f>
        <v>0</v>
      </c>
      <c r="X158" s="69"/>
      <c r="Y158" s="646">
        <f>COUNTIF('納品書明細F-15'!$B$9:$B$297,CONCATENATE(VLOOKUP(Y$5,$G$1:$H$4,2,FALSE),$E158,1,1))-VLOOKUP($E158,$E$9:$AF$92,$Y$7-$D$7,0)</f>
        <v>0</v>
      </c>
      <c r="Z158" s="647">
        <f>SUMIF('納品書明細F-15'!$B$9:$B$297,CONCATENATE(VLOOKUP(Y$5,$G$1:$H$4,2,FALSE),$E158,1,1),'納品書明細F-15'!$Q$9:$Q$297)+SUMIF('納品書明細F-15'!$B$9:$B$297,CONCATENATE(VLOOKUP(Y$5,$G$1:$H$4,2,FALSE),$E158,1,0),'納品書明細F-15'!$Q$9:$Q$297)-VLOOKUP($E158,$E$9:$AF$92,$Z$7-$D$7,0)</f>
        <v>0</v>
      </c>
      <c r="AA158" s="345"/>
      <c r="AB158" s="122"/>
      <c r="AC158" s="128"/>
      <c r="AD158" s="345"/>
      <c r="AE158" s="638">
        <f>COUNTIF('納品書明細F-15'!$B$9:$B$297,CONCATENATE(VLOOKUP(Y$5,$G$1:$H$4,2,FALSE),$E158,9,1))-VLOOKUP($E158,$E$9:$AF$92,$AE$7-$D$7,0)</f>
        <v>0</v>
      </c>
      <c r="AF158" s="650">
        <f>SUMIF('納品書明細F-15'!$B$9:$B$297,CONCATENATE(VLOOKUP(Y$5,$G$1:$H$4,2,FALSE),$E158,9,1),'納品書明細F-15'!$Q$9:$Q$297)+SUMIF('納品書明細F-15'!$B$9:$B$297,CONCATENATE(VLOOKUP(Y$5,$G$1:$H$4,2,FALSE),$E158,9,0),'納品書明細F-15'!$Q$9:$Q$297)-VLOOKUP($E158,$E$9:$AF$92,$AF$7-$D$7,0)</f>
        <v>0</v>
      </c>
    </row>
    <row r="159" spans="1:32">
      <c r="A159" s="475" t="str">
        <f>IF(SUMIFS($G159:$AF159,$G$8:$AF$8,"金額",$G159:$AF159,"&gt;0")-SUMIFS($G159:$AF159,$G$8:$AF$8,"金額",$G159:$AF159,"&lt;0")&lt;=0,"",MAX($A$92:$A158)+1)</f>
        <v/>
      </c>
      <c r="B159" s="795"/>
      <c r="C159" s="245" t="str">
        <f t="shared" si="5"/>
        <v>経費</v>
      </c>
      <c r="D159" s="245">
        <v>67</v>
      </c>
      <c r="E159" s="593" t="str">
        <f>IF($F159&lt;&gt;"",INDEX(ﾏｽﾀ!$D$8:$D$124,MATCH(INDEX(ﾏｽﾀ!$N$8:$N$124,MATCH($F159,ﾏｽﾀ!$O$8:$O$124,0)),ﾏｽﾀ!$B$8:$B$124,0))&amp;"","")</f>
        <v/>
      </c>
      <c r="F159" s="594" t="str">
        <f>ﾏｽﾀ!$R74&amp;""</f>
        <v/>
      </c>
      <c r="G159" s="646">
        <f>COUNTIF('納品書明細F-15'!$B$9:$B$297,CONCATENATE(VLOOKUP(G$5,$G$1:$H$4,2,FALSE),$E159,1,1))-VLOOKUP($E159,$E$9:$AF$92,$G$7-$D$7,0)</f>
        <v>0</v>
      </c>
      <c r="H159" s="652">
        <f>SUMIF('納品書明細F-15'!$B$9:$B$297,CONCATENATE(VLOOKUP(G$5,$G$1:$H$4,2,FALSE),$E159,1,1),'納品書明細F-15'!$Q$9:$Q$297)+SUMIF('納品書明細F-15'!$B$9:$B$297,CONCATENATE(VLOOKUP(G$5,$G$1:$H$4,2,FALSE),$E159,1,0),'納品書明細F-15'!$Q$9:$Q$297)-VLOOKUP($E159,$E$9:$AF$92,$H$7-$D$7,0)</f>
        <v>0</v>
      </c>
      <c r="I159" s="345"/>
      <c r="J159" s="122"/>
      <c r="K159" s="359"/>
      <c r="L159" s="345"/>
      <c r="M159" s="638">
        <f>COUNTIF('納品書明細F-15'!$B$9:$B$297,CONCATENATE(VLOOKUP(G$5,$G$1:$H$4,2,FALSE),$E159,9,1))-VLOOKUP($E159,$E$9:$AF$92,$M$7-$D$7,0)</f>
        <v>0</v>
      </c>
      <c r="N159" s="640">
        <f>SUMIF('納品書明細F-15'!$B$9:$B$297,CONCATENATE(VLOOKUP(G$5,$G$1:$H$4,2,FALSE),$E159,9,1),'納品書明細F-15'!$Q$9:$Q$297)+SUMIF('納品書明細F-15'!$B$9:$B$297,CONCATENATE(VLOOKUP(G$5,$G$1:$H$4,2,FALSE),$E159,9,0),'納品書明細F-15'!$Q$9:$Q$297)-VLOOKUP($E159,$E$9:$AF$92,$N$7-$D$7,0)</f>
        <v>0</v>
      </c>
      <c r="O159" s="69"/>
      <c r="P159" s="646">
        <f>COUNTIF('納品書明細F-15'!$B$9:$B$297,CONCATENATE(VLOOKUP(P$5,$G$1:$H$4,2,FALSE),$E159,1,1))-VLOOKUP($E159,$E$9:$AF$92,$P$7-$D$7,0)</f>
        <v>0</v>
      </c>
      <c r="Q159" s="647">
        <f>SUMIF('納品書明細F-15'!$B$9:$B$297,CONCATENATE(VLOOKUP(P$5,$G$1:$H$4,2,FALSE),$E159,1,1),'納品書明細F-15'!$Q$9:$Q$297)+SUMIF('納品書明細F-15'!$B$9:$B$297,CONCATENATE(VLOOKUP(P$5,$G$1:$H$4,2,FALSE),$E159,1,0),'納品書明細F-15'!$Q$9:$Q$297)-VLOOKUP($E159,$E$9:$AF$92,$Q$7-$D$7,0)</f>
        <v>0</v>
      </c>
      <c r="R159" s="345"/>
      <c r="S159" s="122"/>
      <c r="T159" s="128"/>
      <c r="U159" s="345"/>
      <c r="V159" s="638">
        <f>COUNTIF('納品書明細F-15'!$B$9:$B$297,CONCATENATE(VLOOKUP(P$5,$G$1:$H$4,2,FALSE),$E159,9,1))-VLOOKUP($E159,$E$9:$AF$92,$V$7-$D$7,0)</f>
        <v>0</v>
      </c>
      <c r="W159" s="650">
        <f>SUMIF('納品書明細F-15'!$B$9:$B$297,CONCATENATE(VLOOKUP(P$5,$G$1:$H$4,2,FALSE),$E159,9,1),'納品書明細F-15'!$Q$9:$Q$297)+SUMIF('納品書明細F-15'!$B$9:$B$297,CONCATENATE(VLOOKUP(P$5,$G$1:$H$4,2,FALSE),$E159,9,0),'納品書明細F-15'!$Q$9:$Q$297)-VLOOKUP($E159,$E$9:$AF$92,$W$7-$D$7,0)</f>
        <v>0</v>
      </c>
      <c r="X159" s="69"/>
      <c r="Y159" s="646">
        <f>COUNTIF('納品書明細F-15'!$B$9:$B$297,CONCATENATE(VLOOKUP(Y$5,$G$1:$H$4,2,FALSE),$E159,1,1))-VLOOKUP($E159,$E$9:$AF$92,$Y$7-$D$7,0)</f>
        <v>0</v>
      </c>
      <c r="Z159" s="647">
        <f>SUMIF('納品書明細F-15'!$B$9:$B$297,CONCATENATE(VLOOKUP(Y$5,$G$1:$H$4,2,FALSE),$E159,1,1),'納品書明細F-15'!$Q$9:$Q$297)+SUMIF('納品書明細F-15'!$B$9:$B$297,CONCATENATE(VLOOKUP(Y$5,$G$1:$H$4,2,FALSE),$E159,1,0),'納品書明細F-15'!$Q$9:$Q$297)-VLOOKUP($E159,$E$9:$AF$92,$Z$7-$D$7,0)</f>
        <v>0</v>
      </c>
      <c r="AA159" s="345"/>
      <c r="AB159" s="122"/>
      <c r="AC159" s="128"/>
      <c r="AD159" s="345"/>
      <c r="AE159" s="638">
        <f>COUNTIF('納品書明細F-15'!$B$9:$B$297,CONCATENATE(VLOOKUP(Y$5,$G$1:$H$4,2,FALSE),$E159,9,1))-VLOOKUP($E159,$E$9:$AF$92,$AE$7-$D$7,0)</f>
        <v>0</v>
      </c>
      <c r="AF159" s="650">
        <f>SUMIF('納品書明細F-15'!$B$9:$B$297,CONCATENATE(VLOOKUP(Y$5,$G$1:$H$4,2,FALSE),$E159,9,1),'納品書明細F-15'!$Q$9:$Q$297)+SUMIF('納品書明細F-15'!$B$9:$B$297,CONCATENATE(VLOOKUP(Y$5,$G$1:$H$4,2,FALSE),$E159,9,0),'納品書明細F-15'!$Q$9:$Q$297)-VLOOKUP($E159,$E$9:$AF$92,$AF$7-$D$7,0)</f>
        <v>0</v>
      </c>
    </row>
    <row r="160" spans="1:32">
      <c r="A160" s="475" t="str">
        <f>IF(SUMIFS($G160:$AF160,$G$8:$AF$8,"金額",$G160:$AF160,"&gt;0")-SUMIFS($G160:$AF160,$G$8:$AF$8,"金額",$G160:$AF160,"&lt;0")&lt;=0,"",MAX($A$92:$A159)+1)</f>
        <v/>
      </c>
      <c r="B160" s="795"/>
      <c r="C160" s="245" t="str">
        <f t="shared" si="5"/>
        <v>経費</v>
      </c>
      <c r="D160" s="245">
        <v>68</v>
      </c>
      <c r="E160" s="593" t="str">
        <f>IF($F160&lt;&gt;"",INDEX(ﾏｽﾀ!$D$8:$D$124,MATCH(INDEX(ﾏｽﾀ!$N$8:$N$124,MATCH($F160,ﾏｽﾀ!$O$8:$O$124,0)),ﾏｽﾀ!$B$8:$B$124,0))&amp;"","")</f>
        <v/>
      </c>
      <c r="F160" s="594" t="str">
        <f>ﾏｽﾀ!$R75&amp;""</f>
        <v/>
      </c>
      <c r="G160" s="646">
        <f>COUNTIF('納品書明細F-15'!$B$9:$B$297,CONCATENATE(VLOOKUP(G$5,$G$1:$H$4,2,FALSE),$E160,1,1))-VLOOKUP($E160,$E$9:$AF$92,$G$7-$D$7,0)</f>
        <v>0</v>
      </c>
      <c r="H160" s="652">
        <f>SUMIF('納品書明細F-15'!$B$9:$B$297,CONCATENATE(VLOOKUP(G$5,$G$1:$H$4,2,FALSE),$E160,1,1),'納品書明細F-15'!$Q$9:$Q$297)+SUMIF('納品書明細F-15'!$B$9:$B$297,CONCATENATE(VLOOKUP(G$5,$G$1:$H$4,2,FALSE),$E160,1,0),'納品書明細F-15'!$Q$9:$Q$297)-VLOOKUP($E160,$E$9:$AF$92,$H$7-$D$7,0)</f>
        <v>0</v>
      </c>
      <c r="I160" s="345"/>
      <c r="J160" s="122"/>
      <c r="K160" s="359"/>
      <c r="L160" s="345"/>
      <c r="M160" s="638">
        <f>COUNTIF('納品書明細F-15'!$B$9:$B$297,CONCATENATE(VLOOKUP(G$5,$G$1:$H$4,2,FALSE),$E160,9,1))-VLOOKUP($E160,$E$9:$AF$92,$M$7-$D$7,0)</f>
        <v>0</v>
      </c>
      <c r="N160" s="640">
        <f>SUMIF('納品書明細F-15'!$B$9:$B$297,CONCATENATE(VLOOKUP(G$5,$G$1:$H$4,2,FALSE),$E160,9,1),'納品書明細F-15'!$Q$9:$Q$297)+SUMIF('納品書明細F-15'!$B$9:$B$297,CONCATENATE(VLOOKUP(G$5,$G$1:$H$4,2,FALSE),$E160,9,0),'納品書明細F-15'!$Q$9:$Q$297)-VLOOKUP($E160,$E$9:$AF$92,$N$7-$D$7,0)</f>
        <v>0</v>
      </c>
      <c r="O160" s="69"/>
      <c r="P160" s="646">
        <f>COUNTIF('納品書明細F-15'!$B$9:$B$297,CONCATENATE(VLOOKUP(P$5,$G$1:$H$4,2,FALSE),$E160,1,1))-VLOOKUP($E160,$E$9:$AF$92,$P$7-$D$7,0)</f>
        <v>0</v>
      </c>
      <c r="Q160" s="647">
        <f>SUMIF('納品書明細F-15'!$B$9:$B$297,CONCATENATE(VLOOKUP(P$5,$G$1:$H$4,2,FALSE),$E160,1,1),'納品書明細F-15'!$Q$9:$Q$297)+SUMIF('納品書明細F-15'!$B$9:$B$297,CONCATENATE(VLOOKUP(P$5,$G$1:$H$4,2,FALSE),$E160,1,0),'納品書明細F-15'!$Q$9:$Q$297)-VLOOKUP($E160,$E$9:$AF$92,$Q$7-$D$7,0)</f>
        <v>0</v>
      </c>
      <c r="R160" s="345"/>
      <c r="S160" s="122"/>
      <c r="T160" s="128"/>
      <c r="U160" s="345"/>
      <c r="V160" s="638">
        <f>COUNTIF('納品書明細F-15'!$B$9:$B$297,CONCATENATE(VLOOKUP(P$5,$G$1:$H$4,2,FALSE),$E160,9,1))-VLOOKUP($E160,$E$9:$AF$92,$V$7-$D$7,0)</f>
        <v>0</v>
      </c>
      <c r="W160" s="650">
        <f>SUMIF('納品書明細F-15'!$B$9:$B$297,CONCATENATE(VLOOKUP(P$5,$G$1:$H$4,2,FALSE),$E160,9,1),'納品書明細F-15'!$Q$9:$Q$297)+SUMIF('納品書明細F-15'!$B$9:$B$297,CONCATENATE(VLOOKUP(P$5,$G$1:$H$4,2,FALSE),$E160,9,0),'納品書明細F-15'!$Q$9:$Q$297)-VLOOKUP($E160,$E$9:$AF$92,$W$7-$D$7,0)</f>
        <v>0</v>
      </c>
      <c r="X160" s="69"/>
      <c r="Y160" s="646">
        <f>COUNTIF('納品書明細F-15'!$B$9:$B$297,CONCATENATE(VLOOKUP(Y$5,$G$1:$H$4,2,FALSE),$E160,1,1))-VLOOKUP($E160,$E$9:$AF$92,$Y$7-$D$7,0)</f>
        <v>0</v>
      </c>
      <c r="Z160" s="647">
        <f>SUMIF('納品書明細F-15'!$B$9:$B$297,CONCATENATE(VLOOKUP(Y$5,$G$1:$H$4,2,FALSE),$E160,1,1),'納品書明細F-15'!$Q$9:$Q$297)+SUMIF('納品書明細F-15'!$B$9:$B$297,CONCATENATE(VLOOKUP(Y$5,$G$1:$H$4,2,FALSE),$E160,1,0),'納品書明細F-15'!$Q$9:$Q$297)-VLOOKUP($E160,$E$9:$AF$92,$Z$7-$D$7,0)</f>
        <v>0</v>
      </c>
      <c r="AA160" s="345"/>
      <c r="AB160" s="122"/>
      <c r="AC160" s="128"/>
      <c r="AD160" s="345"/>
      <c r="AE160" s="638">
        <f>COUNTIF('納品書明細F-15'!$B$9:$B$297,CONCATENATE(VLOOKUP(Y$5,$G$1:$H$4,2,FALSE),$E160,9,1))-VLOOKUP($E160,$E$9:$AF$92,$AE$7-$D$7,0)</f>
        <v>0</v>
      </c>
      <c r="AF160" s="650">
        <f>SUMIF('納品書明細F-15'!$B$9:$B$297,CONCATENATE(VLOOKUP(Y$5,$G$1:$H$4,2,FALSE),$E160,9,1),'納品書明細F-15'!$Q$9:$Q$297)+SUMIF('納品書明細F-15'!$B$9:$B$297,CONCATENATE(VLOOKUP(Y$5,$G$1:$H$4,2,FALSE),$E160,9,0),'納品書明細F-15'!$Q$9:$Q$297)-VLOOKUP($E160,$E$9:$AF$92,$AF$7-$D$7,0)</f>
        <v>0</v>
      </c>
    </row>
    <row r="161" spans="1:32">
      <c r="A161" s="475" t="str">
        <f>IF(SUMIFS($G161:$AF161,$G$8:$AF$8,"金額",$G161:$AF161,"&gt;0")-SUMIFS($G161:$AF161,$G$8:$AF$8,"金額",$G161:$AF161,"&lt;0")&lt;=0,"",MAX($A$92:$A160)+1)</f>
        <v/>
      </c>
      <c r="B161" s="795"/>
      <c r="C161" s="245" t="str">
        <f t="shared" si="5"/>
        <v>経費</v>
      </c>
      <c r="D161" s="245">
        <v>69</v>
      </c>
      <c r="E161" s="593" t="str">
        <f>IF($F161&lt;&gt;"",INDEX(ﾏｽﾀ!$D$8:$D$124,MATCH(INDEX(ﾏｽﾀ!$N$8:$N$124,MATCH($F161,ﾏｽﾀ!$O$8:$O$124,0)),ﾏｽﾀ!$B$8:$B$124,0))&amp;"","")</f>
        <v/>
      </c>
      <c r="F161" s="594" t="str">
        <f>ﾏｽﾀ!$R76&amp;""</f>
        <v/>
      </c>
      <c r="G161" s="646">
        <f>COUNTIF('納品書明細F-15'!$B$9:$B$297,CONCATENATE(VLOOKUP(G$5,$G$1:$H$4,2,FALSE),$E161,1,1))-VLOOKUP($E161,$E$9:$AF$92,$G$7-$D$7,0)</f>
        <v>0</v>
      </c>
      <c r="H161" s="652">
        <f>SUMIF('納品書明細F-15'!$B$9:$B$297,CONCATENATE(VLOOKUP(G$5,$G$1:$H$4,2,FALSE),$E161,1,1),'納品書明細F-15'!$Q$9:$Q$297)+SUMIF('納品書明細F-15'!$B$9:$B$297,CONCATENATE(VLOOKUP(G$5,$G$1:$H$4,2,FALSE),$E161,1,0),'納品書明細F-15'!$Q$9:$Q$297)-VLOOKUP($E161,$E$9:$AF$92,$H$7-$D$7,0)</f>
        <v>0</v>
      </c>
      <c r="I161" s="345"/>
      <c r="J161" s="122"/>
      <c r="K161" s="359"/>
      <c r="L161" s="345"/>
      <c r="M161" s="638">
        <f>COUNTIF('納品書明細F-15'!$B$9:$B$297,CONCATENATE(VLOOKUP(G$5,$G$1:$H$4,2,FALSE),$E161,9,1))-VLOOKUP($E161,$E$9:$AF$92,$M$7-$D$7,0)</f>
        <v>0</v>
      </c>
      <c r="N161" s="640">
        <f>SUMIF('納品書明細F-15'!$B$9:$B$297,CONCATENATE(VLOOKUP(G$5,$G$1:$H$4,2,FALSE),$E161,9,1),'納品書明細F-15'!$Q$9:$Q$297)+SUMIF('納品書明細F-15'!$B$9:$B$297,CONCATENATE(VLOOKUP(G$5,$G$1:$H$4,2,FALSE),$E161,9,0),'納品書明細F-15'!$Q$9:$Q$297)-VLOOKUP($E161,$E$9:$AF$92,$N$7-$D$7,0)</f>
        <v>0</v>
      </c>
      <c r="O161" s="69"/>
      <c r="P161" s="646">
        <f>COUNTIF('納品書明細F-15'!$B$9:$B$297,CONCATENATE(VLOOKUP(P$5,$G$1:$H$4,2,FALSE),$E161,1,1))-VLOOKUP($E161,$E$9:$AF$92,$P$7-$D$7,0)</f>
        <v>0</v>
      </c>
      <c r="Q161" s="647">
        <f>SUMIF('納品書明細F-15'!$B$9:$B$297,CONCATENATE(VLOOKUP(P$5,$G$1:$H$4,2,FALSE),$E161,1,1),'納品書明細F-15'!$Q$9:$Q$297)+SUMIF('納品書明細F-15'!$B$9:$B$297,CONCATENATE(VLOOKUP(P$5,$G$1:$H$4,2,FALSE),$E161,1,0),'納品書明細F-15'!$Q$9:$Q$297)-VLOOKUP($E161,$E$9:$AF$92,$Q$7-$D$7,0)</f>
        <v>0</v>
      </c>
      <c r="R161" s="345"/>
      <c r="S161" s="122"/>
      <c r="T161" s="128"/>
      <c r="U161" s="345"/>
      <c r="V161" s="638">
        <f>COUNTIF('納品書明細F-15'!$B$9:$B$297,CONCATENATE(VLOOKUP(P$5,$G$1:$H$4,2,FALSE),$E161,9,1))-VLOOKUP($E161,$E$9:$AF$92,$V$7-$D$7,0)</f>
        <v>0</v>
      </c>
      <c r="W161" s="650">
        <f>SUMIF('納品書明細F-15'!$B$9:$B$297,CONCATENATE(VLOOKUP(P$5,$G$1:$H$4,2,FALSE),$E161,9,1),'納品書明細F-15'!$Q$9:$Q$297)+SUMIF('納品書明細F-15'!$B$9:$B$297,CONCATENATE(VLOOKUP(P$5,$G$1:$H$4,2,FALSE),$E161,9,0),'納品書明細F-15'!$Q$9:$Q$297)-VLOOKUP($E161,$E$9:$AF$92,$W$7-$D$7,0)</f>
        <v>0</v>
      </c>
      <c r="X161" s="69"/>
      <c r="Y161" s="646">
        <f>COUNTIF('納品書明細F-15'!$B$9:$B$297,CONCATENATE(VLOOKUP(Y$5,$G$1:$H$4,2,FALSE),$E161,1,1))-VLOOKUP($E161,$E$9:$AF$92,$Y$7-$D$7,0)</f>
        <v>0</v>
      </c>
      <c r="Z161" s="647">
        <f>SUMIF('納品書明細F-15'!$B$9:$B$297,CONCATENATE(VLOOKUP(Y$5,$G$1:$H$4,2,FALSE),$E161,1,1),'納品書明細F-15'!$Q$9:$Q$297)+SUMIF('納品書明細F-15'!$B$9:$B$297,CONCATENATE(VLOOKUP(Y$5,$G$1:$H$4,2,FALSE),$E161,1,0),'納品書明細F-15'!$Q$9:$Q$297)-VLOOKUP($E161,$E$9:$AF$92,$Z$7-$D$7,0)</f>
        <v>0</v>
      </c>
      <c r="AA161" s="345"/>
      <c r="AB161" s="122"/>
      <c r="AC161" s="128"/>
      <c r="AD161" s="345"/>
      <c r="AE161" s="638">
        <f>COUNTIF('納品書明細F-15'!$B$9:$B$297,CONCATENATE(VLOOKUP(Y$5,$G$1:$H$4,2,FALSE),$E161,9,1))-VLOOKUP($E161,$E$9:$AF$92,$AE$7-$D$7,0)</f>
        <v>0</v>
      </c>
      <c r="AF161" s="650">
        <f>SUMIF('納品書明細F-15'!$B$9:$B$297,CONCATENATE(VLOOKUP(Y$5,$G$1:$H$4,2,FALSE),$E161,9,1),'納品書明細F-15'!$Q$9:$Q$297)+SUMIF('納品書明細F-15'!$B$9:$B$297,CONCATENATE(VLOOKUP(Y$5,$G$1:$H$4,2,FALSE),$E161,9,0),'納品書明細F-15'!$Q$9:$Q$297)-VLOOKUP($E161,$E$9:$AF$92,$AF$7-$D$7,0)</f>
        <v>0</v>
      </c>
    </row>
    <row r="162" spans="1:32">
      <c r="A162" s="475" t="str">
        <f>IF(SUMIFS($G162:$AF162,$G$8:$AF$8,"金額",$G162:$AF162,"&gt;0")-SUMIFS($G162:$AF162,$G$8:$AF$8,"金額",$G162:$AF162,"&lt;0")&lt;=0,"",MAX($A$92:$A161)+1)</f>
        <v/>
      </c>
      <c r="B162" s="795"/>
      <c r="C162" s="245" t="str">
        <f t="shared" si="5"/>
        <v>経費</v>
      </c>
      <c r="D162" s="245">
        <v>70</v>
      </c>
      <c r="E162" s="593" t="str">
        <f>IF($F162&lt;&gt;"",INDEX(ﾏｽﾀ!$D$8:$D$124,MATCH(INDEX(ﾏｽﾀ!$N$8:$N$124,MATCH($F162,ﾏｽﾀ!$O$8:$O$124,0)),ﾏｽﾀ!$B$8:$B$124,0))&amp;"","")</f>
        <v/>
      </c>
      <c r="F162" s="594" t="str">
        <f>ﾏｽﾀ!$R77&amp;""</f>
        <v/>
      </c>
      <c r="G162" s="646">
        <f>COUNTIF('納品書明細F-15'!$B$9:$B$297,CONCATENATE(VLOOKUP(G$5,$G$1:$H$4,2,FALSE),$E162,1,1))-VLOOKUP($E162,$E$9:$AF$92,$G$7-$D$7,0)</f>
        <v>0</v>
      </c>
      <c r="H162" s="652">
        <f>SUMIF('納品書明細F-15'!$B$9:$B$297,CONCATENATE(VLOOKUP(G$5,$G$1:$H$4,2,FALSE),$E162,1,1),'納品書明細F-15'!$Q$9:$Q$297)+SUMIF('納品書明細F-15'!$B$9:$B$297,CONCATENATE(VLOOKUP(G$5,$G$1:$H$4,2,FALSE),$E162,1,0),'納品書明細F-15'!$Q$9:$Q$297)-VLOOKUP($E162,$E$9:$AF$92,$H$7-$D$7,0)</f>
        <v>0</v>
      </c>
      <c r="I162" s="345"/>
      <c r="J162" s="122"/>
      <c r="K162" s="359"/>
      <c r="L162" s="345"/>
      <c r="M162" s="638">
        <f>COUNTIF('納品書明細F-15'!$B$9:$B$297,CONCATENATE(VLOOKUP(G$5,$G$1:$H$4,2,FALSE),$E162,9,1))-VLOOKUP($E162,$E$9:$AF$92,$M$7-$D$7,0)</f>
        <v>0</v>
      </c>
      <c r="N162" s="640">
        <f>SUMIF('納品書明細F-15'!$B$9:$B$297,CONCATENATE(VLOOKUP(G$5,$G$1:$H$4,2,FALSE),$E162,9,1),'納品書明細F-15'!$Q$9:$Q$297)+SUMIF('納品書明細F-15'!$B$9:$B$297,CONCATENATE(VLOOKUP(G$5,$G$1:$H$4,2,FALSE),$E162,9,0),'納品書明細F-15'!$Q$9:$Q$297)-VLOOKUP($E162,$E$9:$AF$92,$N$7-$D$7,0)</f>
        <v>0</v>
      </c>
      <c r="O162" s="69"/>
      <c r="P162" s="646">
        <f>COUNTIF('納品書明細F-15'!$B$9:$B$297,CONCATENATE(VLOOKUP(P$5,$G$1:$H$4,2,FALSE),$E162,1,1))-VLOOKUP($E162,$E$9:$AF$92,$P$7-$D$7,0)</f>
        <v>0</v>
      </c>
      <c r="Q162" s="647">
        <f>SUMIF('納品書明細F-15'!$B$9:$B$297,CONCATENATE(VLOOKUP(P$5,$G$1:$H$4,2,FALSE),$E162,1,1),'納品書明細F-15'!$Q$9:$Q$297)+SUMIF('納品書明細F-15'!$B$9:$B$297,CONCATENATE(VLOOKUP(P$5,$G$1:$H$4,2,FALSE),$E162,1,0),'納品書明細F-15'!$Q$9:$Q$297)-VLOOKUP($E162,$E$9:$AF$92,$Q$7-$D$7,0)</f>
        <v>0</v>
      </c>
      <c r="R162" s="345"/>
      <c r="S162" s="122"/>
      <c r="T162" s="128"/>
      <c r="U162" s="345"/>
      <c r="V162" s="638">
        <f>COUNTIF('納品書明細F-15'!$B$9:$B$297,CONCATENATE(VLOOKUP(P$5,$G$1:$H$4,2,FALSE),$E162,9,1))-VLOOKUP($E162,$E$9:$AF$92,$V$7-$D$7,0)</f>
        <v>0</v>
      </c>
      <c r="W162" s="650">
        <f>SUMIF('納品書明細F-15'!$B$9:$B$297,CONCATENATE(VLOOKUP(P$5,$G$1:$H$4,2,FALSE),$E162,9,1),'納品書明細F-15'!$Q$9:$Q$297)+SUMIF('納品書明細F-15'!$B$9:$B$297,CONCATENATE(VLOOKUP(P$5,$G$1:$H$4,2,FALSE),$E162,9,0),'納品書明細F-15'!$Q$9:$Q$297)-VLOOKUP($E162,$E$9:$AF$92,$W$7-$D$7,0)</f>
        <v>0</v>
      </c>
      <c r="X162" s="69"/>
      <c r="Y162" s="646">
        <f>COUNTIF('納品書明細F-15'!$B$9:$B$297,CONCATENATE(VLOOKUP(Y$5,$G$1:$H$4,2,FALSE),$E162,1,1))-VLOOKUP($E162,$E$9:$AF$92,$Y$7-$D$7,0)</f>
        <v>0</v>
      </c>
      <c r="Z162" s="647">
        <f>SUMIF('納品書明細F-15'!$B$9:$B$297,CONCATENATE(VLOOKUP(Y$5,$G$1:$H$4,2,FALSE),$E162,1,1),'納品書明細F-15'!$Q$9:$Q$297)+SUMIF('納品書明細F-15'!$B$9:$B$297,CONCATENATE(VLOOKUP(Y$5,$G$1:$H$4,2,FALSE),$E162,1,0),'納品書明細F-15'!$Q$9:$Q$297)-VLOOKUP($E162,$E$9:$AF$92,$Z$7-$D$7,0)</f>
        <v>0</v>
      </c>
      <c r="AA162" s="345"/>
      <c r="AB162" s="122"/>
      <c r="AC162" s="128"/>
      <c r="AD162" s="345"/>
      <c r="AE162" s="638">
        <f>COUNTIF('納品書明細F-15'!$B$9:$B$297,CONCATENATE(VLOOKUP(Y$5,$G$1:$H$4,2,FALSE),$E162,9,1))-VLOOKUP($E162,$E$9:$AF$92,$AE$7-$D$7,0)</f>
        <v>0</v>
      </c>
      <c r="AF162" s="650">
        <f>SUMIF('納品書明細F-15'!$B$9:$B$297,CONCATENATE(VLOOKUP(Y$5,$G$1:$H$4,2,FALSE),$E162,9,1),'納品書明細F-15'!$Q$9:$Q$297)+SUMIF('納品書明細F-15'!$B$9:$B$297,CONCATENATE(VLOOKUP(Y$5,$G$1:$H$4,2,FALSE),$E162,9,0),'納品書明細F-15'!$Q$9:$Q$297)-VLOOKUP($E162,$E$9:$AF$92,$AF$7-$D$7,0)</f>
        <v>0</v>
      </c>
    </row>
    <row r="163" spans="1:32">
      <c r="A163" s="475" t="str">
        <f>IF(SUMIFS($G163:$AF163,$G$8:$AF$8,"金額",$G163:$AF163,"&gt;0")-SUMIFS($G163:$AF163,$G$8:$AF$8,"金額",$G163:$AF163,"&lt;0")&lt;=0,"",MAX($A$92:$A162)+1)</f>
        <v/>
      </c>
      <c r="B163" s="795"/>
      <c r="C163" s="245" t="str">
        <f t="shared" si="5"/>
        <v>経費</v>
      </c>
      <c r="D163" s="245">
        <v>71</v>
      </c>
      <c r="E163" s="593" t="str">
        <f>IF($F163&lt;&gt;"",INDEX(ﾏｽﾀ!$D$8:$D$124,MATCH(INDEX(ﾏｽﾀ!$N$8:$N$124,MATCH($F163,ﾏｽﾀ!$O$8:$O$124,0)),ﾏｽﾀ!$B$8:$B$124,0))&amp;"","")</f>
        <v/>
      </c>
      <c r="F163" s="594" t="str">
        <f>ﾏｽﾀ!$R78&amp;""</f>
        <v/>
      </c>
      <c r="G163" s="646">
        <f>COUNTIF('納品書明細F-15'!$B$9:$B$297,CONCATENATE(VLOOKUP(G$5,$G$1:$H$4,2,FALSE),$E163,1,1))-VLOOKUP($E163,$E$9:$AF$92,$G$7-$D$7,0)</f>
        <v>0</v>
      </c>
      <c r="H163" s="652">
        <f>SUMIF('納品書明細F-15'!$B$9:$B$297,CONCATENATE(VLOOKUP(G$5,$G$1:$H$4,2,FALSE),$E163,1,1),'納品書明細F-15'!$Q$9:$Q$297)+SUMIF('納品書明細F-15'!$B$9:$B$297,CONCATENATE(VLOOKUP(G$5,$G$1:$H$4,2,FALSE),$E163,1,0),'納品書明細F-15'!$Q$9:$Q$297)-VLOOKUP($E163,$E$9:$AF$92,$H$7-$D$7,0)</f>
        <v>0</v>
      </c>
      <c r="I163" s="345"/>
      <c r="J163" s="122"/>
      <c r="K163" s="359"/>
      <c r="L163" s="345"/>
      <c r="M163" s="638">
        <f>COUNTIF('納品書明細F-15'!$B$9:$B$297,CONCATENATE(VLOOKUP(G$5,$G$1:$H$4,2,FALSE),$E163,9,1))-VLOOKUP($E163,$E$9:$AF$92,$M$7-$D$7,0)</f>
        <v>0</v>
      </c>
      <c r="N163" s="640">
        <f>SUMIF('納品書明細F-15'!$B$9:$B$297,CONCATENATE(VLOOKUP(G$5,$G$1:$H$4,2,FALSE),$E163,9,1),'納品書明細F-15'!$Q$9:$Q$297)+SUMIF('納品書明細F-15'!$B$9:$B$297,CONCATENATE(VLOOKUP(G$5,$G$1:$H$4,2,FALSE),$E163,9,0),'納品書明細F-15'!$Q$9:$Q$297)-VLOOKUP($E163,$E$9:$AF$92,$N$7-$D$7,0)</f>
        <v>0</v>
      </c>
      <c r="O163" s="69"/>
      <c r="P163" s="646">
        <f>COUNTIF('納品書明細F-15'!$B$9:$B$297,CONCATENATE(VLOOKUP(P$5,$G$1:$H$4,2,FALSE),$E163,1,1))-VLOOKUP($E163,$E$9:$AF$92,$P$7-$D$7,0)</f>
        <v>0</v>
      </c>
      <c r="Q163" s="647">
        <f>SUMIF('納品書明細F-15'!$B$9:$B$297,CONCATENATE(VLOOKUP(P$5,$G$1:$H$4,2,FALSE),$E163,1,1),'納品書明細F-15'!$Q$9:$Q$297)+SUMIF('納品書明細F-15'!$B$9:$B$297,CONCATENATE(VLOOKUP(P$5,$G$1:$H$4,2,FALSE),$E163,1,0),'納品書明細F-15'!$Q$9:$Q$297)-VLOOKUP($E163,$E$9:$AF$92,$Q$7-$D$7,0)</f>
        <v>0</v>
      </c>
      <c r="R163" s="345"/>
      <c r="S163" s="122"/>
      <c r="T163" s="128"/>
      <c r="U163" s="345"/>
      <c r="V163" s="638">
        <f>COUNTIF('納品書明細F-15'!$B$9:$B$297,CONCATENATE(VLOOKUP(P$5,$G$1:$H$4,2,FALSE),$E163,9,1))-VLOOKUP($E163,$E$9:$AF$92,$V$7-$D$7,0)</f>
        <v>0</v>
      </c>
      <c r="W163" s="650">
        <f>SUMIF('納品書明細F-15'!$B$9:$B$297,CONCATENATE(VLOOKUP(P$5,$G$1:$H$4,2,FALSE),$E163,9,1),'納品書明細F-15'!$Q$9:$Q$297)+SUMIF('納品書明細F-15'!$B$9:$B$297,CONCATENATE(VLOOKUP(P$5,$G$1:$H$4,2,FALSE),$E163,9,0),'納品書明細F-15'!$Q$9:$Q$297)-VLOOKUP($E163,$E$9:$AF$92,$W$7-$D$7,0)</f>
        <v>0</v>
      </c>
      <c r="X163" s="69"/>
      <c r="Y163" s="646">
        <f>COUNTIF('納品書明細F-15'!$B$9:$B$297,CONCATENATE(VLOOKUP(Y$5,$G$1:$H$4,2,FALSE),$E163,1,1))-VLOOKUP($E163,$E$9:$AF$92,$Y$7-$D$7,0)</f>
        <v>0</v>
      </c>
      <c r="Z163" s="647">
        <f>SUMIF('納品書明細F-15'!$B$9:$B$297,CONCATENATE(VLOOKUP(Y$5,$G$1:$H$4,2,FALSE),$E163,1,1),'納品書明細F-15'!$Q$9:$Q$297)+SUMIF('納品書明細F-15'!$B$9:$B$297,CONCATENATE(VLOOKUP(Y$5,$G$1:$H$4,2,FALSE),$E163,1,0),'納品書明細F-15'!$Q$9:$Q$297)-VLOOKUP($E163,$E$9:$AF$92,$Z$7-$D$7,0)</f>
        <v>0</v>
      </c>
      <c r="AA163" s="345"/>
      <c r="AB163" s="122"/>
      <c r="AC163" s="128"/>
      <c r="AD163" s="345"/>
      <c r="AE163" s="638">
        <f>COUNTIF('納品書明細F-15'!$B$9:$B$297,CONCATENATE(VLOOKUP(Y$5,$G$1:$H$4,2,FALSE),$E163,9,1))-VLOOKUP($E163,$E$9:$AF$92,$AE$7-$D$7,0)</f>
        <v>0</v>
      </c>
      <c r="AF163" s="650">
        <f>SUMIF('納品書明細F-15'!$B$9:$B$297,CONCATENATE(VLOOKUP(Y$5,$G$1:$H$4,2,FALSE),$E163,9,1),'納品書明細F-15'!$Q$9:$Q$297)+SUMIF('納品書明細F-15'!$B$9:$B$297,CONCATENATE(VLOOKUP(Y$5,$G$1:$H$4,2,FALSE),$E163,9,0),'納品書明細F-15'!$Q$9:$Q$297)-VLOOKUP($E163,$E$9:$AF$92,$AF$7-$D$7,0)</f>
        <v>0</v>
      </c>
    </row>
    <row r="164" spans="1:32">
      <c r="A164" s="475" t="str">
        <f>IF(SUMIFS($G164:$AF164,$G$8:$AF$8,"金額",$G164:$AF164,"&gt;0")-SUMIFS($G164:$AF164,$G$8:$AF$8,"金額",$G164:$AF164,"&lt;0")&lt;=0,"",MAX($A$92:$A163)+1)</f>
        <v/>
      </c>
      <c r="B164" s="795"/>
      <c r="C164" s="245" t="str">
        <f t="shared" si="5"/>
        <v>経費</v>
      </c>
      <c r="D164" s="245">
        <v>72</v>
      </c>
      <c r="E164" s="593" t="str">
        <f>IF($F164&lt;&gt;"",INDEX(ﾏｽﾀ!$D$8:$D$124,MATCH(INDEX(ﾏｽﾀ!$N$8:$N$124,MATCH($F164,ﾏｽﾀ!$O$8:$O$124,0)),ﾏｽﾀ!$B$8:$B$124,0))&amp;"","")</f>
        <v/>
      </c>
      <c r="F164" s="594" t="str">
        <f>ﾏｽﾀ!$R79&amp;""</f>
        <v/>
      </c>
      <c r="G164" s="646">
        <f>COUNTIF('納品書明細F-15'!$B$9:$B$297,CONCATENATE(VLOOKUP(G$5,$G$1:$H$4,2,FALSE),$E164,1,1))-VLOOKUP($E164,$E$9:$AF$92,$G$7-$D$7,0)</f>
        <v>0</v>
      </c>
      <c r="H164" s="652">
        <f>SUMIF('納品書明細F-15'!$B$9:$B$297,CONCATENATE(VLOOKUP(G$5,$G$1:$H$4,2,FALSE),$E164,1,1),'納品書明細F-15'!$Q$9:$Q$297)+SUMIF('納品書明細F-15'!$B$9:$B$297,CONCATENATE(VLOOKUP(G$5,$G$1:$H$4,2,FALSE),$E164,1,0),'納品書明細F-15'!$Q$9:$Q$297)-VLOOKUP($E164,$E$9:$AF$92,$H$7-$D$7,0)</f>
        <v>0</v>
      </c>
      <c r="I164" s="345"/>
      <c r="J164" s="122"/>
      <c r="K164" s="359"/>
      <c r="L164" s="345"/>
      <c r="M164" s="638">
        <f>COUNTIF('納品書明細F-15'!$B$9:$B$297,CONCATENATE(VLOOKUP(G$5,$G$1:$H$4,2,FALSE),$E164,9,1))-VLOOKUP($E164,$E$9:$AF$92,$M$7-$D$7,0)</f>
        <v>0</v>
      </c>
      <c r="N164" s="640">
        <f>SUMIF('納品書明細F-15'!$B$9:$B$297,CONCATENATE(VLOOKUP(G$5,$G$1:$H$4,2,FALSE),$E164,9,1),'納品書明細F-15'!$Q$9:$Q$297)+SUMIF('納品書明細F-15'!$B$9:$B$297,CONCATENATE(VLOOKUP(G$5,$G$1:$H$4,2,FALSE),$E164,9,0),'納品書明細F-15'!$Q$9:$Q$297)-VLOOKUP($E164,$E$9:$AF$92,$N$7-$D$7,0)</f>
        <v>0</v>
      </c>
      <c r="O164" s="69"/>
      <c r="P164" s="646">
        <f>COUNTIF('納品書明細F-15'!$B$9:$B$297,CONCATENATE(VLOOKUP(P$5,$G$1:$H$4,2,FALSE),$E164,1,1))-VLOOKUP($E164,$E$9:$AF$92,$P$7-$D$7,0)</f>
        <v>0</v>
      </c>
      <c r="Q164" s="647">
        <f>SUMIF('納品書明細F-15'!$B$9:$B$297,CONCATENATE(VLOOKUP(P$5,$G$1:$H$4,2,FALSE),$E164,1,1),'納品書明細F-15'!$Q$9:$Q$297)+SUMIF('納品書明細F-15'!$B$9:$B$297,CONCATENATE(VLOOKUP(P$5,$G$1:$H$4,2,FALSE),$E164,1,0),'納品書明細F-15'!$Q$9:$Q$297)-VLOOKUP($E164,$E$9:$AF$92,$Q$7-$D$7,0)</f>
        <v>0</v>
      </c>
      <c r="R164" s="345"/>
      <c r="S164" s="122"/>
      <c r="T164" s="128"/>
      <c r="U164" s="345"/>
      <c r="V164" s="638">
        <f>COUNTIF('納品書明細F-15'!$B$9:$B$297,CONCATENATE(VLOOKUP(P$5,$G$1:$H$4,2,FALSE),$E164,9,1))-VLOOKUP($E164,$E$9:$AF$92,$V$7-$D$7,0)</f>
        <v>0</v>
      </c>
      <c r="W164" s="650">
        <f>SUMIF('納品書明細F-15'!$B$9:$B$297,CONCATENATE(VLOOKUP(P$5,$G$1:$H$4,2,FALSE),$E164,9,1),'納品書明細F-15'!$Q$9:$Q$297)+SUMIF('納品書明細F-15'!$B$9:$B$297,CONCATENATE(VLOOKUP(P$5,$G$1:$H$4,2,FALSE),$E164,9,0),'納品書明細F-15'!$Q$9:$Q$297)-VLOOKUP($E164,$E$9:$AF$92,$W$7-$D$7,0)</f>
        <v>0</v>
      </c>
      <c r="X164" s="69"/>
      <c r="Y164" s="646">
        <f>COUNTIF('納品書明細F-15'!$B$9:$B$297,CONCATENATE(VLOOKUP(Y$5,$G$1:$H$4,2,FALSE),$E164,1,1))-VLOOKUP($E164,$E$9:$AF$92,$Y$7-$D$7,0)</f>
        <v>0</v>
      </c>
      <c r="Z164" s="647">
        <f>SUMIF('納品書明細F-15'!$B$9:$B$297,CONCATENATE(VLOOKUP(Y$5,$G$1:$H$4,2,FALSE),$E164,1,1),'納品書明細F-15'!$Q$9:$Q$297)+SUMIF('納品書明細F-15'!$B$9:$B$297,CONCATENATE(VLOOKUP(Y$5,$G$1:$H$4,2,FALSE),$E164,1,0),'納品書明細F-15'!$Q$9:$Q$297)-VLOOKUP($E164,$E$9:$AF$92,$Z$7-$D$7,0)</f>
        <v>0</v>
      </c>
      <c r="AA164" s="345"/>
      <c r="AB164" s="122"/>
      <c r="AC164" s="128"/>
      <c r="AD164" s="345"/>
      <c r="AE164" s="638">
        <f>COUNTIF('納品書明細F-15'!$B$9:$B$297,CONCATENATE(VLOOKUP(Y$5,$G$1:$H$4,2,FALSE),$E164,9,1))-VLOOKUP($E164,$E$9:$AF$92,$AE$7-$D$7,0)</f>
        <v>0</v>
      </c>
      <c r="AF164" s="650">
        <f>SUMIF('納品書明細F-15'!$B$9:$B$297,CONCATENATE(VLOOKUP(Y$5,$G$1:$H$4,2,FALSE),$E164,9,1),'納品書明細F-15'!$Q$9:$Q$297)+SUMIF('納品書明細F-15'!$B$9:$B$297,CONCATENATE(VLOOKUP(Y$5,$G$1:$H$4,2,FALSE),$E164,9,0),'納品書明細F-15'!$Q$9:$Q$297)-VLOOKUP($E164,$E$9:$AF$92,$AF$7-$D$7,0)</f>
        <v>0</v>
      </c>
    </row>
    <row r="165" spans="1:32">
      <c r="A165" s="475" t="str">
        <f>IF(SUMIFS($G165:$AF165,$G$8:$AF$8,"金額",$G165:$AF165,"&gt;0")-SUMIFS($G165:$AF165,$G$8:$AF$8,"金額",$G165:$AF165,"&lt;0")&lt;=0,"",MAX($A$92:$A164)+1)</f>
        <v/>
      </c>
      <c r="B165" s="795"/>
      <c r="C165" s="245" t="str">
        <f t="shared" si="5"/>
        <v>経費</v>
      </c>
      <c r="D165" s="245">
        <v>73</v>
      </c>
      <c r="E165" s="593" t="str">
        <f>IF($F165&lt;&gt;"",INDEX(ﾏｽﾀ!$D$8:$D$124,MATCH(INDEX(ﾏｽﾀ!$N$8:$N$124,MATCH($F165,ﾏｽﾀ!$O$8:$O$124,0)),ﾏｽﾀ!$B$8:$B$124,0))&amp;"","")</f>
        <v/>
      </c>
      <c r="F165" s="594" t="str">
        <f>ﾏｽﾀ!$R80&amp;""</f>
        <v/>
      </c>
      <c r="G165" s="646">
        <f>COUNTIF('納品書明細F-15'!$B$9:$B$297,CONCATENATE(VLOOKUP(G$5,$G$1:$H$4,2,FALSE),$E165,1,1))-VLOOKUP($E165,$E$9:$AF$92,$G$7-$D$7,0)</f>
        <v>0</v>
      </c>
      <c r="H165" s="652">
        <f>SUMIF('納品書明細F-15'!$B$9:$B$297,CONCATENATE(VLOOKUP(G$5,$G$1:$H$4,2,FALSE),$E165,1,1),'納品書明細F-15'!$Q$9:$Q$297)+SUMIF('納品書明細F-15'!$B$9:$B$297,CONCATENATE(VLOOKUP(G$5,$G$1:$H$4,2,FALSE),$E165,1,0),'納品書明細F-15'!$Q$9:$Q$297)-VLOOKUP($E165,$E$9:$AF$92,$H$7-$D$7,0)</f>
        <v>0</v>
      </c>
      <c r="I165" s="345"/>
      <c r="J165" s="122"/>
      <c r="K165" s="359"/>
      <c r="L165" s="345"/>
      <c r="M165" s="638">
        <f>COUNTIF('納品書明細F-15'!$B$9:$B$297,CONCATENATE(VLOOKUP(G$5,$G$1:$H$4,2,FALSE),$E165,9,1))-VLOOKUP($E165,$E$9:$AF$92,$M$7-$D$7,0)</f>
        <v>0</v>
      </c>
      <c r="N165" s="640">
        <f>SUMIF('納品書明細F-15'!$B$9:$B$297,CONCATENATE(VLOOKUP(G$5,$G$1:$H$4,2,FALSE),$E165,9,1),'納品書明細F-15'!$Q$9:$Q$297)+SUMIF('納品書明細F-15'!$B$9:$B$297,CONCATENATE(VLOOKUP(G$5,$G$1:$H$4,2,FALSE),$E165,9,0),'納品書明細F-15'!$Q$9:$Q$297)-VLOOKUP($E165,$E$9:$AF$92,$N$7-$D$7,0)</f>
        <v>0</v>
      </c>
      <c r="O165" s="69"/>
      <c r="P165" s="646">
        <f>COUNTIF('納品書明細F-15'!$B$9:$B$297,CONCATENATE(VLOOKUP(P$5,$G$1:$H$4,2,FALSE),$E165,1,1))-VLOOKUP($E165,$E$9:$AF$92,$P$7-$D$7,0)</f>
        <v>0</v>
      </c>
      <c r="Q165" s="647">
        <f>SUMIF('納品書明細F-15'!$B$9:$B$297,CONCATENATE(VLOOKUP(P$5,$G$1:$H$4,2,FALSE),$E165,1,1),'納品書明細F-15'!$Q$9:$Q$297)+SUMIF('納品書明細F-15'!$B$9:$B$297,CONCATENATE(VLOOKUP(P$5,$G$1:$H$4,2,FALSE),$E165,1,0),'納品書明細F-15'!$Q$9:$Q$297)-VLOOKUP($E165,$E$9:$AF$92,$Q$7-$D$7,0)</f>
        <v>0</v>
      </c>
      <c r="R165" s="345"/>
      <c r="S165" s="122"/>
      <c r="T165" s="128"/>
      <c r="U165" s="345"/>
      <c r="V165" s="638">
        <f>COUNTIF('納品書明細F-15'!$B$9:$B$297,CONCATENATE(VLOOKUP(P$5,$G$1:$H$4,2,FALSE),$E165,9,1))-VLOOKUP($E165,$E$9:$AF$92,$V$7-$D$7,0)</f>
        <v>0</v>
      </c>
      <c r="W165" s="650">
        <f>SUMIF('納品書明細F-15'!$B$9:$B$297,CONCATENATE(VLOOKUP(P$5,$G$1:$H$4,2,FALSE),$E165,9,1),'納品書明細F-15'!$Q$9:$Q$297)+SUMIF('納品書明細F-15'!$B$9:$B$297,CONCATENATE(VLOOKUP(P$5,$G$1:$H$4,2,FALSE),$E165,9,0),'納品書明細F-15'!$Q$9:$Q$297)-VLOOKUP($E165,$E$9:$AF$92,$W$7-$D$7,0)</f>
        <v>0</v>
      </c>
      <c r="X165" s="69"/>
      <c r="Y165" s="646">
        <f>COUNTIF('納品書明細F-15'!$B$9:$B$297,CONCATENATE(VLOOKUP(Y$5,$G$1:$H$4,2,FALSE),$E165,1,1))-VLOOKUP($E165,$E$9:$AF$92,$Y$7-$D$7,0)</f>
        <v>0</v>
      </c>
      <c r="Z165" s="647">
        <f>SUMIF('納品書明細F-15'!$B$9:$B$297,CONCATENATE(VLOOKUP(Y$5,$G$1:$H$4,2,FALSE),$E165,1,1),'納品書明細F-15'!$Q$9:$Q$297)+SUMIF('納品書明細F-15'!$B$9:$B$297,CONCATENATE(VLOOKUP(Y$5,$G$1:$H$4,2,FALSE),$E165,1,0),'納品書明細F-15'!$Q$9:$Q$297)-VLOOKUP($E165,$E$9:$AF$92,$Z$7-$D$7,0)</f>
        <v>0</v>
      </c>
      <c r="AA165" s="345"/>
      <c r="AB165" s="122"/>
      <c r="AC165" s="128"/>
      <c r="AD165" s="345"/>
      <c r="AE165" s="638">
        <f>COUNTIF('納品書明細F-15'!$B$9:$B$297,CONCATENATE(VLOOKUP(Y$5,$G$1:$H$4,2,FALSE),$E165,9,1))-VLOOKUP($E165,$E$9:$AF$92,$AE$7-$D$7,0)</f>
        <v>0</v>
      </c>
      <c r="AF165" s="650">
        <f>SUMIF('納品書明細F-15'!$B$9:$B$297,CONCATENATE(VLOOKUP(Y$5,$G$1:$H$4,2,FALSE),$E165,9,1),'納品書明細F-15'!$Q$9:$Q$297)+SUMIF('納品書明細F-15'!$B$9:$B$297,CONCATENATE(VLOOKUP(Y$5,$G$1:$H$4,2,FALSE),$E165,9,0),'納品書明細F-15'!$Q$9:$Q$297)-VLOOKUP($E165,$E$9:$AF$92,$AF$7-$D$7,0)</f>
        <v>0</v>
      </c>
    </row>
    <row r="166" spans="1:32">
      <c r="A166" s="475" t="str">
        <f>IF(SUMIFS($G166:$AF166,$G$8:$AF$8,"金額",$G166:$AF166,"&gt;0")-SUMIFS($G166:$AF166,$G$8:$AF$8,"金額",$G166:$AF166,"&lt;0")&lt;=0,"",MAX($A$92:$A165)+1)</f>
        <v/>
      </c>
      <c r="B166" s="795"/>
      <c r="C166" s="245" t="str">
        <f t="shared" si="5"/>
        <v>経費</v>
      </c>
      <c r="D166" s="245">
        <v>74</v>
      </c>
      <c r="E166" s="593" t="str">
        <f>IF($F166&lt;&gt;"",INDEX(ﾏｽﾀ!$D$8:$D$124,MATCH(INDEX(ﾏｽﾀ!$N$8:$N$124,MATCH($F166,ﾏｽﾀ!$O$8:$O$124,0)),ﾏｽﾀ!$B$8:$B$124,0))&amp;"","")</f>
        <v/>
      </c>
      <c r="F166" s="594" t="str">
        <f>ﾏｽﾀ!$R81&amp;""</f>
        <v/>
      </c>
      <c r="G166" s="646">
        <f>COUNTIF('納品書明細F-15'!$B$9:$B$297,CONCATENATE(VLOOKUP(G$5,$G$1:$H$4,2,FALSE),$E166,1,1))-VLOOKUP($E166,$E$9:$AF$92,$G$7-$D$7,0)</f>
        <v>0</v>
      </c>
      <c r="H166" s="652">
        <f>SUMIF('納品書明細F-15'!$B$9:$B$297,CONCATENATE(VLOOKUP(G$5,$G$1:$H$4,2,FALSE),$E166,1,1),'納品書明細F-15'!$Q$9:$Q$297)+SUMIF('納品書明細F-15'!$B$9:$B$297,CONCATENATE(VLOOKUP(G$5,$G$1:$H$4,2,FALSE),$E166,1,0),'納品書明細F-15'!$Q$9:$Q$297)-VLOOKUP($E166,$E$9:$AF$92,$H$7-$D$7,0)</f>
        <v>0</v>
      </c>
      <c r="I166" s="345"/>
      <c r="J166" s="122"/>
      <c r="K166" s="359"/>
      <c r="L166" s="345"/>
      <c r="M166" s="638">
        <f>COUNTIF('納品書明細F-15'!$B$9:$B$297,CONCATENATE(VLOOKUP(G$5,$G$1:$H$4,2,FALSE),$E166,9,1))-VLOOKUP($E166,$E$9:$AF$92,$M$7-$D$7,0)</f>
        <v>0</v>
      </c>
      <c r="N166" s="640">
        <f>SUMIF('納品書明細F-15'!$B$9:$B$297,CONCATENATE(VLOOKUP(G$5,$G$1:$H$4,2,FALSE),$E166,9,1),'納品書明細F-15'!$Q$9:$Q$297)+SUMIF('納品書明細F-15'!$B$9:$B$297,CONCATENATE(VLOOKUP(G$5,$G$1:$H$4,2,FALSE),$E166,9,0),'納品書明細F-15'!$Q$9:$Q$297)-VLOOKUP($E166,$E$9:$AF$92,$N$7-$D$7,0)</f>
        <v>0</v>
      </c>
      <c r="O166" s="69"/>
      <c r="P166" s="646">
        <f>COUNTIF('納品書明細F-15'!$B$9:$B$297,CONCATENATE(VLOOKUP(P$5,$G$1:$H$4,2,FALSE),$E166,1,1))-VLOOKUP($E166,$E$9:$AF$92,$P$7-$D$7,0)</f>
        <v>0</v>
      </c>
      <c r="Q166" s="647">
        <f>SUMIF('納品書明細F-15'!$B$9:$B$297,CONCATENATE(VLOOKUP(P$5,$G$1:$H$4,2,FALSE),$E166,1,1),'納品書明細F-15'!$Q$9:$Q$297)+SUMIF('納品書明細F-15'!$B$9:$B$297,CONCATENATE(VLOOKUP(P$5,$G$1:$H$4,2,FALSE),$E166,1,0),'納品書明細F-15'!$Q$9:$Q$297)-VLOOKUP($E166,$E$9:$AF$92,$Q$7-$D$7,0)</f>
        <v>0</v>
      </c>
      <c r="R166" s="345"/>
      <c r="S166" s="122"/>
      <c r="T166" s="128"/>
      <c r="U166" s="345"/>
      <c r="V166" s="638">
        <f>COUNTIF('納品書明細F-15'!$B$9:$B$297,CONCATENATE(VLOOKUP(P$5,$G$1:$H$4,2,FALSE),$E166,9,1))-VLOOKUP($E166,$E$9:$AF$92,$V$7-$D$7,0)</f>
        <v>0</v>
      </c>
      <c r="W166" s="650">
        <f>SUMIF('納品書明細F-15'!$B$9:$B$297,CONCATENATE(VLOOKUP(P$5,$G$1:$H$4,2,FALSE),$E166,9,1),'納品書明細F-15'!$Q$9:$Q$297)+SUMIF('納品書明細F-15'!$B$9:$B$297,CONCATENATE(VLOOKUP(P$5,$G$1:$H$4,2,FALSE),$E166,9,0),'納品書明細F-15'!$Q$9:$Q$297)-VLOOKUP($E166,$E$9:$AF$92,$W$7-$D$7,0)</f>
        <v>0</v>
      </c>
      <c r="X166" s="69"/>
      <c r="Y166" s="646">
        <f>COUNTIF('納品書明細F-15'!$B$9:$B$297,CONCATENATE(VLOOKUP(Y$5,$G$1:$H$4,2,FALSE),$E166,1,1))-VLOOKUP($E166,$E$9:$AF$92,$Y$7-$D$7,0)</f>
        <v>0</v>
      </c>
      <c r="Z166" s="647">
        <f>SUMIF('納品書明細F-15'!$B$9:$B$297,CONCATENATE(VLOOKUP(Y$5,$G$1:$H$4,2,FALSE),$E166,1,1),'納品書明細F-15'!$Q$9:$Q$297)+SUMIF('納品書明細F-15'!$B$9:$B$297,CONCATENATE(VLOOKUP(Y$5,$G$1:$H$4,2,FALSE),$E166,1,0),'納品書明細F-15'!$Q$9:$Q$297)-VLOOKUP($E166,$E$9:$AF$92,$Z$7-$D$7,0)</f>
        <v>0</v>
      </c>
      <c r="AA166" s="345"/>
      <c r="AB166" s="122"/>
      <c r="AC166" s="128"/>
      <c r="AD166" s="345"/>
      <c r="AE166" s="638">
        <f>COUNTIF('納品書明細F-15'!$B$9:$B$297,CONCATENATE(VLOOKUP(Y$5,$G$1:$H$4,2,FALSE),$E166,9,1))-VLOOKUP($E166,$E$9:$AF$92,$AE$7-$D$7,0)</f>
        <v>0</v>
      </c>
      <c r="AF166" s="650">
        <f>SUMIF('納品書明細F-15'!$B$9:$B$297,CONCATENATE(VLOOKUP(Y$5,$G$1:$H$4,2,FALSE),$E166,9,1),'納品書明細F-15'!$Q$9:$Q$297)+SUMIF('納品書明細F-15'!$B$9:$B$297,CONCATENATE(VLOOKUP(Y$5,$G$1:$H$4,2,FALSE),$E166,9,0),'納品書明細F-15'!$Q$9:$Q$297)-VLOOKUP($E166,$E$9:$AF$92,$AF$7-$D$7,0)</f>
        <v>0</v>
      </c>
    </row>
    <row r="167" spans="1:32">
      <c r="A167" s="475" t="str">
        <f>IF(SUMIFS($G167:$AF167,$G$8:$AF$8,"金額",$G167:$AF167,"&gt;0")-SUMIFS($G167:$AF167,$G$8:$AF$8,"金額",$G167:$AF167,"&lt;0")&lt;=0,"",MAX($A$92:$A166)+1)</f>
        <v/>
      </c>
      <c r="B167" s="795"/>
      <c r="C167" s="245" t="str">
        <f t="shared" si="5"/>
        <v>経費</v>
      </c>
      <c r="D167" s="245">
        <v>75</v>
      </c>
      <c r="E167" s="593" t="str">
        <f>IF($F167&lt;&gt;"",INDEX(ﾏｽﾀ!$D$8:$D$124,MATCH(INDEX(ﾏｽﾀ!$N$8:$N$124,MATCH($F167,ﾏｽﾀ!$O$8:$O$124,0)),ﾏｽﾀ!$B$8:$B$124,0))&amp;"","")</f>
        <v/>
      </c>
      <c r="F167" s="594" t="str">
        <f>ﾏｽﾀ!$R82&amp;""</f>
        <v/>
      </c>
      <c r="G167" s="646">
        <f>COUNTIF('納品書明細F-15'!$B$9:$B$297,CONCATENATE(VLOOKUP(G$5,$G$1:$H$4,2,FALSE),$E167,1,1))-VLOOKUP($E167,$E$9:$AF$92,$G$7-$D$7,0)</f>
        <v>0</v>
      </c>
      <c r="H167" s="652">
        <f>SUMIF('納品書明細F-15'!$B$9:$B$297,CONCATENATE(VLOOKUP(G$5,$G$1:$H$4,2,FALSE),$E167,1,1),'納品書明細F-15'!$Q$9:$Q$297)+SUMIF('納品書明細F-15'!$B$9:$B$297,CONCATENATE(VLOOKUP(G$5,$G$1:$H$4,2,FALSE),$E167,1,0),'納品書明細F-15'!$Q$9:$Q$297)-VLOOKUP($E167,$E$9:$AF$92,$H$7-$D$7,0)</f>
        <v>0</v>
      </c>
      <c r="I167" s="345"/>
      <c r="J167" s="122"/>
      <c r="K167" s="359"/>
      <c r="L167" s="345"/>
      <c r="M167" s="638">
        <f>COUNTIF('納品書明細F-15'!$B$9:$B$297,CONCATENATE(VLOOKUP(G$5,$G$1:$H$4,2,FALSE),$E167,9,1))-VLOOKUP($E167,$E$9:$AF$92,$M$7-$D$7,0)</f>
        <v>0</v>
      </c>
      <c r="N167" s="640">
        <f>SUMIF('納品書明細F-15'!$B$9:$B$297,CONCATENATE(VLOOKUP(G$5,$G$1:$H$4,2,FALSE),$E167,9,1),'納品書明細F-15'!$Q$9:$Q$297)+SUMIF('納品書明細F-15'!$B$9:$B$297,CONCATENATE(VLOOKUP(G$5,$G$1:$H$4,2,FALSE),$E167,9,0),'納品書明細F-15'!$Q$9:$Q$297)-VLOOKUP($E167,$E$9:$AF$92,$N$7-$D$7,0)</f>
        <v>0</v>
      </c>
      <c r="O167" s="69"/>
      <c r="P167" s="646">
        <f>COUNTIF('納品書明細F-15'!$B$9:$B$297,CONCATENATE(VLOOKUP(P$5,$G$1:$H$4,2,FALSE),$E167,1,1))-VLOOKUP($E167,$E$9:$AF$92,$P$7-$D$7,0)</f>
        <v>0</v>
      </c>
      <c r="Q167" s="647">
        <f>SUMIF('納品書明細F-15'!$B$9:$B$297,CONCATENATE(VLOOKUP(P$5,$G$1:$H$4,2,FALSE),$E167,1,1),'納品書明細F-15'!$Q$9:$Q$297)+SUMIF('納品書明細F-15'!$B$9:$B$297,CONCATENATE(VLOOKUP(P$5,$G$1:$H$4,2,FALSE),$E167,1,0),'納品書明細F-15'!$Q$9:$Q$297)-VLOOKUP($E167,$E$9:$AF$92,$Q$7-$D$7,0)</f>
        <v>0</v>
      </c>
      <c r="R167" s="345"/>
      <c r="S167" s="122"/>
      <c r="T167" s="128"/>
      <c r="U167" s="345"/>
      <c r="V167" s="638">
        <f>COUNTIF('納品書明細F-15'!$B$9:$B$297,CONCATENATE(VLOOKUP(P$5,$G$1:$H$4,2,FALSE),$E167,9,1))-VLOOKUP($E167,$E$9:$AF$92,$V$7-$D$7,0)</f>
        <v>0</v>
      </c>
      <c r="W167" s="650">
        <f>SUMIF('納品書明細F-15'!$B$9:$B$297,CONCATENATE(VLOOKUP(P$5,$G$1:$H$4,2,FALSE),$E167,9,1),'納品書明細F-15'!$Q$9:$Q$297)+SUMIF('納品書明細F-15'!$B$9:$B$297,CONCATENATE(VLOOKUP(P$5,$G$1:$H$4,2,FALSE),$E167,9,0),'納品書明細F-15'!$Q$9:$Q$297)-VLOOKUP($E167,$E$9:$AF$92,$W$7-$D$7,0)</f>
        <v>0</v>
      </c>
      <c r="X167" s="69"/>
      <c r="Y167" s="646">
        <f>COUNTIF('納品書明細F-15'!$B$9:$B$297,CONCATENATE(VLOOKUP(Y$5,$G$1:$H$4,2,FALSE),$E167,1,1))-VLOOKUP($E167,$E$9:$AF$92,$Y$7-$D$7,0)</f>
        <v>0</v>
      </c>
      <c r="Z167" s="647">
        <f>SUMIF('納品書明細F-15'!$B$9:$B$297,CONCATENATE(VLOOKUP(Y$5,$G$1:$H$4,2,FALSE),$E167,1,1),'納品書明細F-15'!$Q$9:$Q$297)+SUMIF('納品書明細F-15'!$B$9:$B$297,CONCATENATE(VLOOKUP(Y$5,$G$1:$H$4,2,FALSE),$E167,1,0),'納品書明細F-15'!$Q$9:$Q$297)-VLOOKUP($E167,$E$9:$AF$92,$Z$7-$D$7,0)</f>
        <v>0</v>
      </c>
      <c r="AA167" s="345"/>
      <c r="AB167" s="122"/>
      <c r="AC167" s="128"/>
      <c r="AD167" s="345"/>
      <c r="AE167" s="638">
        <f>COUNTIF('納品書明細F-15'!$B$9:$B$297,CONCATENATE(VLOOKUP(Y$5,$G$1:$H$4,2,FALSE),$E167,9,1))-VLOOKUP($E167,$E$9:$AF$92,$AE$7-$D$7,0)</f>
        <v>0</v>
      </c>
      <c r="AF167" s="650">
        <f>SUMIF('納品書明細F-15'!$B$9:$B$297,CONCATENATE(VLOOKUP(Y$5,$G$1:$H$4,2,FALSE),$E167,9,1),'納品書明細F-15'!$Q$9:$Q$297)+SUMIF('納品書明細F-15'!$B$9:$B$297,CONCATENATE(VLOOKUP(Y$5,$G$1:$H$4,2,FALSE),$E167,9,0),'納品書明細F-15'!$Q$9:$Q$297)-VLOOKUP($E167,$E$9:$AF$92,$AF$7-$D$7,0)</f>
        <v>0</v>
      </c>
    </row>
    <row r="168" spans="1:32">
      <c r="A168" s="475" t="str">
        <f>IF(SUMIFS($G168:$AF168,$G$8:$AF$8,"金額",$G168:$AF168,"&gt;0")-SUMIFS($G168:$AF168,$G$8:$AF$8,"金額",$G168:$AF168,"&lt;0")&lt;=0,"",MAX($A$92:$A167)+1)</f>
        <v/>
      </c>
      <c r="B168" s="795"/>
      <c r="C168" s="245" t="str">
        <f t="shared" si="5"/>
        <v>経費</v>
      </c>
      <c r="D168" s="245">
        <v>76</v>
      </c>
      <c r="E168" s="593" t="str">
        <f>IF($F168&lt;&gt;"",INDEX(ﾏｽﾀ!$D$8:$D$124,MATCH(INDEX(ﾏｽﾀ!$N$8:$N$124,MATCH($F168,ﾏｽﾀ!$O$8:$O$124,0)),ﾏｽﾀ!$B$8:$B$124,0))&amp;"","")</f>
        <v/>
      </c>
      <c r="F168" s="594" t="str">
        <f>ﾏｽﾀ!$R83&amp;""</f>
        <v/>
      </c>
      <c r="G168" s="646">
        <f>COUNTIF('納品書明細F-15'!$B$9:$B$297,CONCATENATE(VLOOKUP(G$5,$G$1:$H$4,2,FALSE),$E168,1,1))-VLOOKUP($E168,$E$9:$AF$92,$G$7-$D$7,0)</f>
        <v>0</v>
      </c>
      <c r="H168" s="652">
        <f>SUMIF('納品書明細F-15'!$B$9:$B$297,CONCATENATE(VLOOKUP(G$5,$G$1:$H$4,2,FALSE),$E168,1,1),'納品書明細F-15'!$Q$9:$Q$297)+SUMIF('納品書明細F-15'!$B$9:$B$297,CONCATENATE(VLOOKUP(G$5,$G$1:$H$4,2,FALSE),$E168,1,0),'納品書明細F-15'!$Q$9:$Q$297)-VLOOKUP($E168,$E$9:$AF$92,$H$7-$D$7,0)</f>
        <v>0</v>
      </c>
      <c r="I168" s="345"/>
      <c r="J168" s="122"/>
      <c r="K168" s="359"/>
      <c r="L168" s="345"/>
      <c r="M168" s="638">
        <f>COUNTIF('納品書明細F-15'!$B$9:$B$297,CONCATENATE(VLOOKUP(G$5,$G$1:$H$4,2,FALSE),$E168,9,1))-VLOOKUP($E168,$E$9:$AF$92,$M$7-$D$7,0)</f>
        <v>0</v>
      </c>
      <c r="N168" s="640">
        <f>SUMIF('納品書明細F-15'!$B$9:$B$297,CONCATENATE(VLOOKUP(G$5,$G$1:$H$4,2,FALSE),$E168,9,1),'納品書明細F-15'!$Q$9:$Q$297)+SUMIF('納品書明細F-15'!$B$9:$B$297,CONCATENATE(VLOOKUP(G$5,$G$1:$H$4,2,FALSE),$E168,9,0),'納品書明細F-15'!$Q$9:$Q$297)-VLOOKUP($E168,$E$9:$AF$92,$N$7-$D$7,0)</f>
        <v>0</v>
      </c>
      <c r="O168" s="69"/>
      <c r="P168" s="646">
        <f>COUNTIF('納品書明細F-15'!$B$9:$B$297,CONCATENATE(VLOOKUP(P$5,$G$1:$H$4,2,FALSE),$E168,1,1))-VLOOKUP($E168,$E$9:$AF$92,$P$7-$D$7,0)</f>
        <v>0</v>
      </c>
      <c r="Q168" s="647">
        <f>SUMIF('納品書明細F-15'!$B$9:$B$297,CONCATENATE(VLOOKUP(P$5,$G$1:$H$4,2,FALSE),$E168,1,1),'納品書明細F-15'!$Q$9:$Q$297)+SUMIF('納品書明細F-15'!$B$9:$B$297,CONCATENATE(VLOOKUP(P$5,$G$1:$H$4,2,FALSE),$E168,1,0),'納品書明細F-15'!$Q$9:$Q$297)-VLOOKUP($E168,$E$9:$AF$92,$Q$7-$D$7,0)</f>
        <v>0</v>
      </c>
      <c r="R168" s="345"/>
      <c r="S168" s="122"/>
      <c r="T168" s="128"/>
      <c r="U168" s="345"/>
      <c r="V168" s="638">
        <f>COUNTIF('納品書明細F-15'!$B$9:$B$297,CONCATENATE(VLOOKUP(P$5,$G$1:$H$4,2,FALSE),$E168,9,1))-VLOOKUP($E168,$E$9:$AF$92,$V$7-$D$7,0)</f>
        <v>0</v>
      </c>
      <c r="W168" s="650">
        <f>SUMIF('納品書明細F-15'!$B$9:$B$297,CONCATENATE(VLOOKUP(P$5,$G$1:$H$4,2,FALSE),$E168,9,1),'納品書明細F-15'!$Q$9:$Q$297)+SUMIF('納品書明細F-15'!$B$9:$B$297,CONCATENATE(VLOOKUP(P$5,$G$1:$H$4,2,FALSE),$E168,9,0),'納品書明細F-15'!$Q$9:$Q$297)-VLOOKUP($E168,$E$9:$AF$92,$W$7-$D$7,0)</f>
        <v>0</v>
      </c>
      <c r="X168" s="69"/>
      <c r="Y168" s="646">
        <f>COUNTIF('納品書明細F-15'!$B$9:$B$297,CONCATENATE(VLOOKUP(Y$5,$G$1:$H$4,2,FALSE),$E168,1,1))-VLOOKUP($E168,$E$9:$AF$92,$Y$7-$D$7,0)</f>
        <v>0</v>
      </c>
      <c r="Z168" s="647">
        <f>SUMIF('納品書明細F-15'!$B$9:$B$297,CONCATENATE(VLOOKUP(Y$5,$G$1:$H$4,2,FALSE),$E168,1,1),'納品書明細F-15'!$Q$9:$Q$297)+SUMIF('納品書明細F-15'!$B$9:$B$297,CONCATENATE(VLOOKUP(Y$5,$G$1:$H$4,2,FALSE),$E168,1,0),'納品書明細F-15'!$Q$9:$Q$297)-VLOOKUP($E168,$E$9:$AF$92,$Z$7-$D$7,0)</f>
        <v>0</v>
      </c>
      <c r="AA168" s="345"/>
      <c r="AB168" s="122"/>
      <c r="AC168" s="128"/>
      <c r="AD168" s="345"/>
      <c r="AE168" s="638">
        <f>COUNTIF('納品書明細F-15'!$B$9:$B$297,CONCATENATE(VLOOKUP(Y$5,$G$1:$H$4,2,FALSE),$E168,9,1))-VLOOKUP($E168,$E$9:$AF$92,$AE$7-$D$7,0)</f>
        <v>0</v>
      </c>
      <c r="AF168" s="650">
        <f>SUMIF('納品書明細F-15'!$B$9:$B$297,CONCATENATE(VLOOKUP(Y$5,$G$1:$H$4,2,FALSE),$E168,9,1),'納品書明細F-15'!$Q$9:$Q$297)+SUMIF('納品書明細F-15'!$B$9:$B$297,CONCATENATE(VLOOKUP(Y$5,$G$1:$H$4,2,FALSE),$E168,9,0),'納品書明細F-15'!$Q$9:$Q$297)-VLOOKUP($E168,$E$9:$AF$92,$AF$7-$D$7,0)</f>
        <v>0</v>
      </c>
    </row>
    <row r="169" spans="1:32">
      <c r="A169" s="475" t="str">
        <f>IF(SUMIFS($G169:$AF169,$G$8:$AF$8,"金額",$G169:$AF169,"&gt;0")-SUMIFS($G169:$AF169,$G$8:$AF$8,"金額",$G169:$AF169,"&lt;0")&lt;=0,"",MAX($A$92:$A168)+1)</f>
        <v/>
      </c>
      <c r="B169" s="795"/>
      <c r="C169" s="245" t="str">
        <f t="shared" si="5"/>
        <v>経費</v>
      </c>
      <c r="D169" s="245">
        <v>77</v>
      </c>
      <c r="E169" s="593" t="str">
        <f>IF($F169&lt;&gt;"",INDEX(ﾏｽﾀ!$D$8:$D$124,MATCH(INDEX(ﾏｽﾀ!$N$8:$N$124,MATCH($F169,ﾏｽﾀ!$O$8:$O$124,0)),ﾏｽﾀ!$B$8:$B$124,0))&amp;"","")</f>
        <v/>
      </c>
      <c r="F169" s="594" t="str">
        <f>ﾏｽﾀ!$R84&amp;""</f>
        <v/>
      </c>
      <c r="G169" s="646">
        <f>COUNTIF('納品書明細F-15'!$B$9:$B$297,CONCATENATE(VLOOKUP(G$5,$G$1:$H$4,2,FALSE),$E169,1,1))-VLOOKUP($E169,$E$9:$AF$92,$G$7-$D$7,0)</f>
        <v>0</v>
      </c>
      <c r="H169" s="652">
        <f>SUMIF('納品書明細F-15'!$B$9:$B$297,CONCATENATE(VLOOKUP(G$5,$G$1:$H$4,2,FALSE),$E169,1,1),'納品書明細F-15'!$Q$9:$Q$297)+SUMIF('納品書明細F-15'!$B$9:$B$297,CONCATENATE(VLOOKUP(G$5,$G$1:$H$4,2,FALSE),$E169,1,0),'納品書明細F-15'!$Q$9:$Q$297)-VLOOKUP($E169,$E$9:$AF$92,$H$7-$D$7,0)</f>
        <v>0</v>
      </c>
      <c r="I169" s="345"/>
      <c r="J169" s="122"/>
      <c r="K169" s="359"/>
      <c r="L169" s="345"/>
      <c r="M169" s="638">
        <f>COUNTIF('納品書明細F-15'!$B$9:$B$297,CONCATENATE(VLOOKUP(G$5,$G$1:$H$4,2,FALSE),$E169,9,1))-VLOOKUP($E169,$E$9:$AF$92,$M$7-$D$7,0)</f>
        <v>0</v>
      </c>
      <c r="N169" s="640">
        <f>SUMIF('納品書明細F-15'!$B$9:$B$297,CONCATENATE(VLOOKUP(G$5,$G$1:$H$4,2,FALSE),$E169,9,1),'納品書明細F-15'!$Q$9:$Q$297)+SUMIF('納品書明細F-15'!$B$9:$B$297,CONCATENATE(VLOOKUP(G$5,$G$1:$H$4,2,FALSE),$E169,9,0),'納品書明細F-15'!$Q$9:$Q$297)-VLOOKUP($E169,$E$9:$AF$92,$N$7-$D$7,0)</f>
        <v>0</v>
      </c>
      <c r="O169" s="69"/>
      <c r="P169" s="646">
        <f>COUNTIF('納品書明細F-15'!$B$9:$B$297,CONCATENATE(VLOOKUP(P$5,$G$1:$H$4,2,FALSE),$E169,1,1))-VLOOKUP($E169,$E$9:$AF$92,$P$7-$D$7,0)</f>
        <v>0</v>
      </c>
      <c r="Q169" s="647">
        <f>SUMIF('納品書明細F-15'!$B$9:$B$297,CONCATENATE(VLOOKUP(P$5,$G$1:$H$4,2,FALSE),$E169,1,1),'納品書明細F-15'!$Q$9:$Q$297)+SUMIF('納品書明細F-15'!$B$9:$B$297,CONCATENATE(VLOOKUP(P$5,$G$1:$H$4,2,FALSE),$E169,1,0),'納品書明細F-15'!$Q$9:$Q$297)-VLOOKUP($E169,$E$9:$AF$92,$Q$7-$D$7,0)</f>
        <v>0</v>
      </c>
      <c r="R169" s="345"/>
      <c r="S169" s="122"/>
      <c r="T169" s="128"/>
      <c r="U169" s="345"/>
      <c r="V169" s="638">
        <f>COUNTIF('納品書明細F-15'!$B$9:$B$297,CONCATENATE(VLOOKUP(P$5,$G$1:$H$4,2,FALSE),$E169,9,1))-VLOOKUP($E169,$E$9:$AF$92,$V$7-$D$7,0)</f>
        <v>0</v>
      </c>
      <c r="W169" s="650">
        <f>SUMIF('納品書明細F-15'!$B$9:$B$297,CONCATENATE(VLOOKUP(P$5,$G$1:$H$4,2,FALSE),$E169,9,1),'納品書明細F-15'!$Q$9:$Q$297)+SUMIF('納品書明細F-15'!$B$9:$B$297,CONCATENATE(VLOOKUP(P$5,$G$1:$H$4,2,FALSE),$E169,9,0),'納品書明細F-15'!$Q$9:$Q$297)-VLOOKUP($E169,$E$9:$AF$92,$W$7-$D$7,0)</f>
        <v>0</v>
      </c>
      <c r="X169" s="69"/>
      <c r="Y169" s="646">
        <f>COUNTIF('納品書明細F-15'!$B$9:$B$297,CONCATENATE(VLOOKUP(Y$5,$G$1:$H$4,2,FALSE),$E169,1,1))-VLOOKUP($E169,$E$9:$AF$92,$Y$7-$D$7,0)</f>
        <v>0</v>
      </c>
      <c r="Z169" s="647">
        <f>SUMIF('納品書明細F-15'!$B$9:$B$297,CONCATENATE(VLOOKUP(Y$5,$G$1:$H$4,2,FALSE),$E169,1,1),'納品書明細F-15'!$Q$9:$Q$297)+SUMIF('納品書明細F-15'!$B$9:$B$297,CONCATENATE(VLOOKUP(Y$5,$G$1:$H$4,2,FALSE),$E169,1,0),'納品書明細F-15'!$Q$9:$Q$297)-VLOOKUP($E169,$E$9:$AF$92,$Z$7-$D$7,0)</f>
        <v>0</v>
      </c>
      <c r="AA169" s="345"/>
      <c r="AB169" s="122"/>
      <c r="AC169" s="128"/>
      <c r="AD169" s="345"/>
      <c r="AE169" s="638">
        <f>COUNTIF('納品書明細F-15'!$B$9:$B$297,CONCATENATE(VLOOKUP(Y$5,$G$1:$H$4,2,FALSE),$E169,9,1))-VLOOKUP($E169,$E$9:$AF$92,$AE$7-$D$7,0)</f>
        <v>0</v>
      </c>
      <c r="AF169" s="650">
        <f>SUMIF('納品書明細F-15'!$B$9:$B$297,CONCATENATE(VLOOKUP(Y$5,$G$1:$H$4,2,FALSE),$E169,9,1),'納品書明細F-15'!$Q$9:$Q$297)+SUMIF('納品書明細F-15'!$B$9:$B$297,CONCATENATE(VLOOKUP(Y$5,$G$1:$H$4,2,FALSE),$E169,9,0),'納品書明細F-15'!$Q$9:$Q$297)-VLOOKUP($E169,$E$9:$AF$92,$AF$7-$D$7,0)</f>
        <v>0</v>
      </c>
    </row>
    <row r="170" spans="1:32">
      <c r="A170" s="475" t="str">
        <f>IF(SUMIFS($G170:$AF170,$G$8:$AF$8,"金額",$G170:$AF170,"&gt;0")-SUMIFS($G170:$AF170,$G$8:$AF$8,"金額",$G170:$AF170,"&lt;0")&lt;=0,"",MAX($A$92:$A169)+1)</f>
        <v/>
      </c>
      <c r="B170" s="795"/>
      <c r="C170" s="245" t="str">
        <f t="shared" si="5"/>
        <v>経費</v>
      </c>
      <c r="D170" s="245">
        <v>78</v>
      </c>
      <c r="E170" s="593" t="str">
        <f>IF($F170&lt;&gt;"",INDEX(ﾏｽﾀ!$D$8:$D$124,MATCH(INDEX(ﾏｽﾀ!$N$8:$N$124,MATCH($F170,ﾏｽﾀ!$O$8:$O$124,0)),ﾏｽﾀ!$B$8:$B$124,0))&amp;"","")</f>
        <v/>
      </c>
      <c r="F170" s="594" t="str">
        <f>ﾏｽﾀ!$R85&amp;""</f>
        <v/>
      </c>
      <c r="G170" s="646">
        <f>COUNTIF('納品書明細F-15'!$B$9:$B$297,CONCATENATE(VLOOKUP(G$5,$G$1:$H$4,2,FALSE),$E170,1,1))-VLOOKUP($E170,$E$9:$AF$92,$G$7-$D$7,0)</f>
        <v>0</v>
      </c>
      <c r="H170" s="652">
        <f>SUMIF('納品書明細F-15'!$B$9:$B$297,CONCATENATE(VLOOKUP(G$5,$G$1:$H$4,2,FALSE),$E170,1,1),'納品書明細F-15'!$Q$9:$Q$297)+SUMIF('納品書明細F-15'!$B$9:$B$297,CONCATENATE(VLOOKUP(G$5,$G$1:$H$4,2,FALSE),$E170,1,0),'納品書明細F-15'!$Q$9:$Q$297)-VLOOKUP($E170,$E$9:$AF$92,$H$7-$D$7,0)</f>
        <v>0</v>
      </c>
      <c r="I170" s="345"/>
      <c r="J170" s="122"/>
      <c r="K170" s="359"/>
      <c r="L170" s="345"/>
      <c r="M170" s="638">
        <f>COUNTIF('納品書明細F-15'!$B$9:$B$297,CONCATENATE(VLOOKUP(G$5,$G$1:$H$4,2,FALSE),$E170,9,1))-VLOOKUP($E170,$E$9:$AF$92,$M$7-$D$7,0)</f>
        <v>0</v>
      </c>
      <c r="N170" s="640">
        <f>SUMIF('納品書明細F-15'!$B$9:$B$297,CONCATENATE(VLOOKUP(G$5,$G$1:$H$4,2,FALSE),$E170,9,1),'納品書明細F-15'!$Q$9:$Q$297)+SUMIF('納品書明細F-15'!$B$9:$B$297,CONCATENATE(VLOOKUP(G$5,$G$1:$H$4,2,FALSE),$E170,9,0),'納品書明細F-15'!$Q$9:$Q$297)-VLOOKUP($E170,$E$9:$AF$92,$N$7-$D$7,0)</f>
        <v>0</v>
      </c>
      <c r="O170" s="69"/>
      <c r="P170" s="646">
        <f>COUNTIF('納品書明細F-15'!$B$9:$B$297,CONCATENATE(VLOOKUP(P$5,$G$1:$H$4,2,FALSE),$E170,1,1))-VLOOKUP($E170,$E$9:$AF$92,$P$7-$D$7,0)</f>
        <v>0</v>
      </c>
      <c r="Q170" s="647">
        <f>SUMIF('納品書明細F-15'!$B$9:$B$297,CONCATENATE(VLOOKUP(P$5,$G$1:$H$4,2,FALSE),$E170,1,1),'納品書明細F-15'!$Q$9:$Q$297)+SUMIF('納品書明細F-15'!$B$9:$B$297,CONCATENATE(VLOOKUP(P$5,$G$1:$H$4,2,FALSE),$E170,1,0),'納品書明細F-15'!$Q$9:$Q$297)-VLOOKUP($E170,$E$9:$AF$92,$Q$7-$D$7,0)</f>
        <v>0</v>
      </c>
      <c r="R170" s="345"/>
      <c r="S170" s="122"/>
      <c r="T170" s="128"/>
      <c r="U170" s="345"/>
      <c r="V170" s="638">
        <f>COUNTIF('納品書明細F-15'!$B$9:$B$297,CONCATENATE(VLOOKUP(P$5,$G$1:$H$4,2,FALSE),$E170,9,1))-VLOOKUP($E170,$E$9:$AF$92,$V$7-$D$7,0)</f>
        <v>0</v>
      </c>
      <c r="W170" s="650">
        <f>SUMIF('納品書明細F-15'!$B$9:$B$297,CONCATENATE(VLOOKUP(P$5,$G$1:$H$4,2,FALSE),$E170,9,1),'納品書明細F-15'!$Q$9:$Q$297)+SUMIF('納品書明細F-15'!$B$9:$B$297,CONCATENATE(VLOOKUP(P$5,$G$1:$H$4,2,FALSE),$E170,9,0),'納品書明細F-15'!$Q$9:$Q$297)-VLOOKUP($E170,$E$9:$AF$92,$W$7-$D$7,0)</f>
        <v>0</v>
      </c>
      <c r="X170" s="69"/>
      <c r="Y170" s="646">
        <f>COUNTIF('納品書明細F-15'!$B$9:$B$297,CONCATENATE(VLOOKUP(Y$5,$G$1:$H$4,2,FALSE),$E170,1,1))-VLOOKUP($E170,$E$9:$AF$92,$Y$7-$D$7,0)</f>
        <v>0</v>
      </c>
      <c r="Z170" s="647">
        <f>SUMIF('納品書明細F-15'!$B$9:$B$297,CONCATENATE(VLOOKUP(Y$5,$G$1:$H$4,2,FALSE),$E170,1,1),'納品書明細F-15'!$Q$9:$Q$297)+SUMIF('納品書明細F-15'!$B$9:$B$297,CONCATENATE(VLOOKUP(Y$5,$G$1:$H$4,2,FALSE),$E170,1,0),'納品書明細F-15'!$Q$9:$Q$297)-VLOOKUP($E170,$E$9:$AF$92,$Z$7-$D$7,0)</f>
        <v>0</v>
      </c>
      <c r="AA170" s="345"/>
      <c r="AB170" s="122"/>
      <c r="AC170" s="128"/>
      <c r="AD170" s="345"/>
      <c r="AE170" s="638">
        <f>COUNTIF('納品書明細F-15'!$B$9:$B$297,CONCATENATE(VLOOKUP(Y$5,$G$1:$H$4,2,FALSE),$E170,9,1))-VLOOKUP($E170,$E$9:$AF$92,$AE$7-$D$7,0)</f>
        <v>0</v>
      </c>
      <c r="AF170" s="650">
        <f>SUMIF('納品書明細F-15'!$B$9:$B$297,CONCATENATE(VLOOKUP(Y$5,$G$1:$H$4,2,FALSE),$E170,9,1),'納品書明細F-15'!$Q$9:$Q$297)+SUMIF('納品書明細F-15'!$B$9:$B$297,CONCATENATE(VLOOKUP(Y$5,$G$1:$H$4,2,FALSE),$E170,9,0),'納品書明細F-15'!$Q$9:$Q$297)-VLOOKUP($E170,$E$9:$AF$92,$AF$7-$D$7,0)</f>
        <v>0</v>
      </c>
    </row>
    <row r="171" spans="1:32">
      <c r="A171" s="475" t="str">
        <f>IF(SUMIFS($G171:$AF171,$G$8:$AF$8,"金額",$G171:$AF171,"&gt;0")-SUMIFS($G171:$AF171,$G$8:$AF$8,"金額",$G171:$AF171,"&lt;0")&lt;=0,"",MAX($A$92:$A170)+1)</f>
        <v/>
      </c>
      <c r="B171" s="795"/>
      <c r="C171" s="245" t="str">
        <f t="shared" si="5"/>
        <v>経費</v>
      </c>
      <c r="D171" s="245">
        <v>79</v>
      </c>
      <c r="E171" s="593" t="str">
        <f>IF($F171&lt;&gt;"",INDEX(ﾏｽﾀ!$D$8:$D$124,MATCH(INDEX(ﾏｽﾀ!$N$8:$N$124,MATCH($F171,ﾏｽﾀ!$O$8:$O$124,0)),ﾏｽﾀ!$B$8:$B$124,0))&amp;"","")</f>
        <v/>
      </c>
      <c r="F171" s="594" t="str">
        <f>ﾏｽﾀ!$R86&amp;""</f>
        <v/>
      </c>
      <c r="G171" s="646">
        <f>COUNTIF('納品書明細F-15'!$B$9:$B$297,CONCATENATE(VLOOKUP(G$5,$G$1:$H$4,2,FALSE),$E171,1,1))-VLOOKUP($E171,$E$9:$AF$92,$G$7-$D$7,0)</f>
        <v>0</v>
      </c>
      <c r="H171" s="652">
        <f>SUMIF('納品書明細F-15'!$B$9:$B$297,CONCATENATE(VLOOKUP(G$5,$G$1:$H$4,2,FALSE),$E171,1,1),'納品書明細F-15'!$Q$9:$Q$297)+SUMIF('納品書明細F-15'!$B$9:$B$297,CONCATENATE(VLOOKUP(G$5,$G$1:$H$4,2,FALSE),$E171,1,0),'納品書明細F-15'!$Q$9:$Q$297)-VLOOKUP($E171,$E$9:$AF$92,$H$7-$D$7,0)</f>
        <v>0</v>
      </c>
      <c r="I171" s="345"/>
      <c r="J171" s="122"/>
      <c r="K171" s="359"/>
      <c r="L171" s="345"/>
      <c r="M171" s="638">
        <f>COUNTIF('納品書明細F-15'!$B$9:$B$297,CONCATENATE(VLOOKUP(G$5,$G$1:$H$4,2,FALSE),$E171,9,1))-VLOOKUP($E171,$E$9:$AF$92,$M$7-$D$7,0)</f>
        <v>0</v>
      </c>
      <c r="N171" s="640">
        <f>SUMIF('納品書明細F-15'!$B$9:$B$297,CONCATENATE(VLOOKUP(G$5,$G$1:$H$4,2,FALSE),$E171,9,1),'納品書明細F-15'!$Q$9:$Q$297)+SUMIF('納品書明細F-15'!$B$9:$B$297,CONCATENATE(VLOOKUP(G$5,$G$1:$H$4,2,FALSE),$E171,9,0),'納品書明細F-15'!$Q$9:$Q$297)-VLOOKUP($E171,$E$9:$AF$92,$N$7-$D$7,0)</f>
        <v>0</v>
      </c>
      <c r="O171" s="69"/>
      <c r="P171" s="646">
        <f>COUNTIF('納品書明細F-15'!$B$9:$B$297,CONCATENATE(VLOOKUP(P$5,$G$1:$H$4,2,FALSE),$E171,1,1))-VLOOKUP($E171,$E$9:$AF$92,$P$7-$D$7,0)</f>
        <v>0</v>
      </c>
      <c r="Q171" s="647">
        <f>SUMIF('納品書明細F-15'!$B$9:$B$297,CONCATENATE(VLOOKUP(P$5,$G$1:$H$4,2,FALSE),$E171,1,1),'納品書明細F-15'!$Q$9:$Q$297)+SUMIF('納品書明細F-15'!$B$9:$B$297,CONCATENATE(VLOOKUP(P$5,$G$1:$H$4,2,FALSE),$E171,1,0),'納品書明細F-15'!$Q$9:$Q$297)-VLOOKUP($E171,$E$9:$AF$92,$Q$7-$D$7,0)</f>
        <v>0</v>
      </c>
      <c r="R171" s="345"/>
      <c r="S171" s="122"/>
      <c r="T171" s="128"/>
      <c r="U171" s="345"/>
      <c r="V171" s="638">
        <f>COUNTIF('納品書明細F-15'!$B$9:$B$297,CONCATENATE(VLOOKUP(P$5,$G$1:$H$4,2,FALSE),$E171,9,1))-VLOOKUP($E171,$E$9:$AF$92,$V$7-$D$7,0)</f>
        <v>0</v>
      </c>
      <c r="W171" s="650">
        <f>SUMIF('納品書明細F-15'!$B$9:$B$297,CONCATENATE(VLOOKUP(P$5,$G$1:$H$4,2,FALSE),$E171,9,1),'納品書明細F-15'!$Q$9:$Q$297)+SUMIF('納品書明細F-15'!$B$9:$B$297,CONCATENATE(VLOOKUP(P$5,$G$1:$H$4,2,FALSE),$E171,9,0),'納品書明細F-15'!$Q$9:$Q$297)-VLOOKUP($E171,$E$9:$AF$92,$W$7-$D$7,0)</f>
        <v>0</v>
      </c>
      <c r="X171" s="69"/>
      <c r="Y171" s="646">
        <f>COUNTIF('納品書明細F-15'!$B$9:$B$297,CONCATENATE(VLOOKUP(Y$5,$G$1:$H$4,2,FALSE),$E171,1,1))-VLOOKUP($E171,$E$9:$AF$92,$Y$7-$D$7,0)</f>
        <v>0</v>
      </c>
      <c r="Z171" s="647">
        <f>SUMIF('納品書明細F-15'!$B$9:$B$297,CONCATENATE(VLOOKUP(Y$5,$G$1:$H$4,2,FALSE),$E171,1,1),'納品書明細F-15'!$Q$9:$Q$297)+SUMIF('納品書明細F-15'!$B$9:$B$297,CONCATENATE(VLOOKUP(Y$5,$G$1:$H$4,2,FALSE),$E171,1,0),'納品書明細F-15'!$Q$9:$Q$297)-VLOOKUP($E171,$E$9:$AF$92,$Z$7-$D$7,0)</f>
        <v>0</v>
      </c>
      <c r="AA171" s="345"/>
      <c r="AB171" s="122"/>
      <c r="AC171" s="128"/>
      <c r="AD171" s="345"/>
      <c r="AE171" s="638">
        <f>COUNTIF('納品書明細F-15'!$B$9:$B$297,CONCATENATE(VLOOKUP(Y$5,$G$1:$H$4,2,FALSE),$E171,9,1))-VLOOKUP($E171,$E$9:$AF$92,$AE$7-$D$7,0)</f>
        <v>0</v>
      </c>
      <c r="AF171" s="650">
        <f>SUMIF('納品書明細F-15'!$B$9:$B$297,CONCATENATE(VLOOKUP(Y$5,$G$1:$H$4,2,FALSE),$E171,9,1),'納品書明細F-15'!$Q$9:$Q$297)+SUMIF('納品書明細F-15'!$B$9:$B$297,CONCATENATE(VLOOKUP(Y$5,$G$1:$H$4,2,FALSE),$E171,9,0),'納品書明細F-15'!$Q$9:$Q$297)-VLOOKUP($E171,$E$9:$AF$92,$AF$7-$D$7,0)</f>
        <v>0</v>
      </c>
    </row>
    <row r="172" spans="1:32">
      <c r="A172" s="475" t="str">
        <f>IF(SUMIFS($G172:$AF172,$G$8:$AF$8,"金額",$G172:$AF172,"&gt;0")-SUMIFS($G172:$AF172,$G$8:$AF$8,"金額",$G172:$AF172,"&lt;0")&lt;=0,"",MAX($A$92:$A171)+1)</f>
        <v/>
      </c>
      <c r="B172" s="795"/>
      <c r="C172" s="245" t="str">
        <f t="shared" si="5"/>
        <v>経費</v>
      </c>
      <c r="D172" s="245">
        <v>80</v>
      </c>
      <c r="E172" s="593" t="str">
        <f>IF($F172&lt;&gt;"",INDEX(ﾏｽﾀ!$D$8:$D$124,MATCH(INDEX(ﾏｽﾀ!$N$8:$N$124,MATCH($F172,ﾏｽﾀ!$O$8:$O$124,0)),ﾏｽﾀ!$B$8:$B$124,0))&amp;"","")</f>
        <v/>
      </c>
      <c r="F172" s="594" t="str">
        <f>ﾏｽﾀ!$R87&amp;""</f>
        <v/>
      </c>
      <c r="G172" s="646">
        <f>COUNTIF('納品書明細F-15'!$B$9:$B$297,CONCATENATE(VLOOKUP(G$5,$G$1:$H$4,2,FALSE),$E172,1,1))-VLOOKUP($E172,$E$9:$AF$92,$G$7-$D$7,0)</f>
        <v>0</v>
      </c>
      <c r="H172" s="652">
        <f>SUMIF('納品書明細F-15'!$B$9:$B$297,CONCATENATE(VLOOKUP(G$5,$G$1:$H$4,2,FALSE),$E172,1,1),'納品書明細F-15'!$Q$9:$Q$297)+SUMIF('納品書明細F-15'!$B$9:$B$297,CONCATENATE(VLOOKUP(G$5,$G$1:$H$4,2,FALSE),$E172,1,0),'納品書明細F-15'!$Q$9:$Q$297)-VLOOKUP($E172,$E$9:$AF$92,$H$7-$D$7,0)</f>
        <v>0</v>
      </c>
      <c r="I172" s="345"/>
      <c r="J172" s="122"/>
      <c r="K172" s="359"/>
      <c r="L172" s="345"/>
      <c r="M172" s="638">
        <f>COUNTIF('納品書明細F-15'!$B$9:$B$297,CONCATENATE(VLOOKUP(G$5,$G$1:$H$4,2,FALSE),$E172,9,1))-VLOOKUP($E172,$E$9:$AF$92,$M$7-$D$7,0)</f>
        <v>0</v>
      </c>
      <c r="N172" s="640">
        <f>SUMIF('納品書明細F-15'!$B$9:$B$297,CONCATENATE(VLOOKUP(G$5,$G$1:$H$4,2,FALSE),$E172,9,1),'納品書明細F-15'!$Q$9:$Q$297)+SUMIF('納品書明細F-15'!$B$9:$B$297,CONCATENATE(VLOOKUP(G$5,$G$1:$H$4,2,FALSE),$E172,9,0),'納品書明細F-15'!$Q$9:$Q$297)-VLOOKUP($E172,$E$9:$AF$92,$N$7-$D$7,0)</f>
        <v>0</v>
      </c>
      <c r="O172" s="69"/>
      <c r="P172" s="646">
        <f>COUNTIF('納品書明細F-15'!$B$9:$B$297,CONCATENATE(VLOOKUP(P$5,$G$1:$H$4,2,FALSE),$E172,1,1))-VLOOKUP($E172,$E$9:$AF$92,$P$7-$D$7,0)</f>
        <v>0</v>
      </c>
      <c r="Q172" s="647">
        <f>SUMIF('納品書明細F-15'!$B$9:$B$297,CONCATENATE(VLOOKUP(P$5,$G$1:$H$4,2,FALSE),$E172,1,1),'納品書明細F-15'!$Q$9:$Q$297)+SUMIF('納品書明細F-15'!$B$9:$B$297,CONCATENATE(VLOOKUP(P$5,$G$1:$H$4,2,FALSE),$E172,1,0),'納品書明細F-15'!$Q$9:$Q$297)-VLOOKUP($E172,$E$9:$AF$92,$Q$7-$D$7,0)</f>
        <v>0</v>
      </c>
      <c r="R172" s="345"/>
      <c r="S172" s="122"/>
      <c r="T172" s="128"/>
      <c r="U172" s="345"/>
      <c r="V172" s="638">
        <f>COUNTIF('納品書明細F-15'!$B$9:$B$297,CONCATENATE(VLOOKUP(P$5,$G$1:$H$4,2,FALSE),$E172,9,1))-VLOOKUP($E172,$E$9:$AF$92,$V$7-$D$7,0)</f>
        <v>0</v>
      </c>
      <c r="W172" s="650">
        <f>SUMIF('納品書明細F-15'!$B$9:$B$297,CONCATENATE(VLOOKUP(P$5,$G$1:$H$4,2,FALSE),$E172,9,1),'納品書明細F-15'!$Q$9:$Q$297)+SUMIF('納品書明細F-15'!$B$9:$B$297,CONCATENATE(VLOOKUP(P$5,$G$1:$H$4,2,FALSE),$E172,9,0),'納品書明細F-15'!$Q$9:$Q$297)-VLOOKUP($E172,$E$9:$AF$92,$W$7-$D$7,0)</f>
        <v>0</v>
      </c>
      <c r="X172" s="69"/>
      <c r="Y172" s="646">
        <f>COUNTIF('納品書明細F-15'!$B$9:$B$297,CONCATENATE(VLOOKUP(Y$5,$G$1:$H$4,2,FALSE),$E172,1,1))-VLOOKUP($E172,$E$9:$AF$92,$Y$7-$D$7,0)</f>
        <v>0</v>
      </c>
      <c r="Z172" s="647">
        <f>SUMIF('納品書明細F-15'!$B$9:$B$297,CONCATENATE(VLOOKUP(Y$5,$G$1:$H$4,2,FALSE),$E172,1,1),'納品書明細F-15'!$Q$9:$Q$297)+SUMIF('納品書明細F-15'!$B$9:$B$297,CONCATENATE(VLOOKUP(Y$5,$G$1:$H$4,2,FALSE),$E172,1,0),'納品書明細F-15'!$Q$9:$Q$297)-VLOOKUP($E172,$E$9:$AF$92,$Z$7-$D$7,0)</f>
        <v>0</v>
      </c>
      <c r="AA172" s="345"/>
      <c r="AB172" s="122"/>
      <c r="AC172" s="128"/>
      <c r="AD172" s="345"/>
      <c r="AE172" s="638">
        <f>COUNTIF('納品書明細F-15'!$B$9:$B$297,CONCATENATE(VLOOKUP(Y$5,$G$1:$H$4,2,FALSE),$E172,9,1))-VLOOKUP($E172,$E$9:$AF$92,$AE$7-$D$7,0)</f>
        <v>0</v>
      </c>
      <c r="AF172" s="650">
        <f>SUMIF('納品書明細F-15'!$B$9:$B$297,CONCATENATE(VLOOKUP(Y$5,$G$1:$H$4,2,FALSE),$E172,9,1),'納品書明細F-15'!$Q$9:$Q$297)+SUMIF('納品書明細F-15'!$B$9:$B$297,CONCATENATE(VLOOKUP(Y$5,$G$1:$H$4,2,FALSE),$E172,9,0),'納品書明細F-15'!$Q$9:$Q$297)-VLOOKUP($E172,$E$9:$AF$92,$AF$7-$D$7,0)</f>
        <v>0</v>
      </c>
    </row>
    <row r="173" spans="1:32">
      <c r="A173" s="475" t="str">
        <f>IF(SUMIFS($G173:$AF173,$G$8:$AF$8,"金額",$G173:$AF173,"&gt;0")-SUMIFS($G173:$AF173,$G$8:$AF$8,"金額",$G173:$AF173,"&lt;0")&lt;=0,"",MAX($A$92:$A172)+1)</f>
        <v/>
      </c>
      <c r="B173" s="795"/>
      <c r="C173" s="245" t="str">
        <f t="shared" si="5"/>
        <v>経費</v>
      </c>
      <c r="D173" s="245">
        <v>81</v>
      </c>
      <c r="E173" s="593" t="str">
        <f>IF($F173&lt;&gt;"",INDEX(ﾏｽﾀ!$D$8:$D$124,MATCH(INDEX(ﾏｽﾀ!$N$8:$N$124,MATCH($F173,ﾏｽﾀ!$O$8:$O$124,0)),ﾏｽﾀ!$B$8:$B$124,0))&amp;"","")</f>
        <v/>
      </c>
      <c r="F173" s="594" t="str">
        <f>ﾏｽﾀ!$R88&amp;""</f>
        <v/>
      </c>
      <c r="G173" s="646">
        <f>COUNTIF('納品書明細F-15'!$B$9:$B$297,CONCATENATE(VLOOKUP(G$5,$G$1:$H$4,2,FALSE),$E173,1,1))-VLOOKUP($E173,$E$9:$AF$92,$G$7-$D$7,0)</f>
        <v>0</v>
      </c>
      <c r="H173" s="652">
        <f>SUMIF('納品書明細F-15'!$B$9:$B$297,CONCATENATE(VLOOKUP(G$5,$G$1:$H$4,2,FALSE),$E173,1,1),'納品書明細F-15'!$Q$9:$Q$297)+SUMIF('納品書明細F-15'!$B$9:$B$297,CONCATENATE(VLOOKUP(G$5,$G$1:$H$4,2,FALSE),$E173,1,0),'納品書明細F-15'!$Q$9:$Q$297)-VLOOKUP($E173,$E$9:$AF$92,$H$7-$D$7,0)</f>
        <v>0</v>
      </c>
      <c r="I173" s="345"/>
      <c r="J173" s="122"/>
      <c r="K173" s="359"/>
      <c r="L173" s="345"/>
      <c r="M173" s="638">
        <f>COUNTIF('納品書明細F-15'!$B$9:$B$297,CONCATENATE(VLOOKUP(G$5,$G$1:$H$4,2,FALSE),$E173,9,1))-VLOOKUP($E173,$E$9:$AF$92,$M$7-$D$7,0)</f>
        <v>0</v>
      </c>
      <c r="N173" s="640">
        <f>SUMIF('納品書明細F-15'!$B$9:$B$297,CONCATENATE(VLOOKUP(G$5,$G$1:$H$4,2,FALSE),$E173,9,1),'納品書明細F-15'!$Q$9:$Q$297)+SUMIF('納品書明細F-15'!$B$9:$B$297,CONCATENATE(VLOOKUP(G$5,$G$1:$H$4,2,FALSE),$E173,9,0),'納品書明細F-15'!$Q$9:$Q$297)-VLOOKUP($E173,$E$9:$AF$92,$N$7-$D$7,0)</f>
        <v>0</v>
      </c>
      <c r="O173" s="69"/>
      <c r="P173" s="646">
        <f>COUNTIF('納品書明細F-15'!$B$9:$B$297,CONCATENATE(VLOOKUP(P$5,$G$1:$H$4,2,FALSE),$E173,1,1))-VLOOKUP($E173,$E$9:$AF$92,$P$7-$D$7,0)</f>
        <v>0</v>
      </c>
      <c r="Q173" s="647">
        <f>SUMIF('納品書明細F-15'!$B$9:$B$297,CONCATENATE(VLOOKUP(P$5,$G$1:$H$4,2,FALSE),$E173,1,1),'納品書明細F-15'!$Q$9:$Q$297)+SUMIF('納品書明細F-15'!$B$9:$B$297,CONCATENATE(VLOOKUP(P$5,$G$1:$H$4,2,FALSE),$E173,1,0),'納品書明細F-15'!$Q$9:$Q$297)-VLOOKUP($E173,$E$9:$AF$92,$Q$7-$D$7,0)</f>
        <v>0</v>
      </c>
      <c r="R173" s="345"/>
      <c r="S173" s="122"/>
      <c r="T173" s="128"/>
      <c r="U173" s="345"/>
      <c r="V173" s="638">
        <f>COUNTIF('納品書明細F-15'!$B$9:$B$297,CONCATENATE(VLOOKUP(P$5,$G$1:$H$4,2,FALSE),$E173,9,1))-VLOOKUP($E173,$E$9:$AF$92,$V$7-$D$7,0)</f>
        <v>0</v>
      </c>
      <c r="W173" s="650">
        <f>SUMIF('納品書明細F-15'!$B$9:$B$297,CONCATENATE(VLOOKUP(P$5,$G$1:$H$4,2,FALSE),$E173,9,1),'納品書明細F-15'!$Q$9:$Q$297)+SUMIF('納品書明細F-15'!$B$9:$B$297,CONCATENATE(VLOOKUP(P$5,$G$1:$H$4,2,FALSE),$E173,9,0),'納品書明細F-15'!$Q$9:$Q$297)-VLOOKUP($E173,$E$9:$AF$92,$W$7-$D$7,0)</f>
        <v>0</v>
      </c>
      <c r="X173" s="69"/>
      <c r="Y173" s="646">
        <f>COUNTIF('納品書明細F-15'!$B$9:$B$297,CONCATENATE(VLOOKUP(Y$5,$G$1:$H$4,2,FALSE),$E173,1,1))-VLOOKUP($E173,$E$9:$AF$92,$Y$7-$D$7,0)</f>
        <v>0</v>
      </c>
      <c r="Z173" s="647">
        <f>SUMIF('納品書明細F-15'!$B$9:$B$297,CONCATENATE(VLOOKUP(Y$5,$G$1:$H$4,2,FALSE),$E173,1,1),'納品書明細F-15'!$Q$9:$Q$297)+SUMIF('納品書明細F-15'!$B$9:$B$297,CONCATENATE(VLOOKUP(Y$5,$G$1:$H$4,2,FALSE),$E173,1,0),'納品書明細F-15'!$Q$9:$Q$297)-VLOOKUP($E173,$E$9:$AF$92,$Z$7-$D$7,0)</f>
        <v>0</v>
      </c>
      <c r="AA173" s="345"/>
      <c r="AB173" s="122"/>
      <c r="AC173" s="128"/>
      <c r="AD173" s="345"/>
      <c r="AE173" s="638">
        <f>COUNTIF('納品書明細F-15'!$B$9:$B$297,CONCATENATE(VLOOKUP(Y$5,$G$1:$H$4,2,FALSE),$E173,9,1))-VLOOKUP($E173,$E$9:$AF$92,$AE$7-$D$7,0)</f>
        <v>0</v>
      </c>
      <c r="AF173" s="650">
        <f>SUMIF('納品書明細F-15'!$B$9:$B$297,CONCATENATE(VLOOKUP(Y$5,$G$1:$H$4,2,FALSE),$E173,9,1),'納品書明細F-15'!$Q$9:$Q$297)+SUMIF('納品書明細F-15'!$B$9:$B$297,CONCATENATE(VLOOKUP(Y$5,$G$1:$H$4,2,FALSE),$E173,9,0),'納品書明細F-15'!$Q$9:$Q$297)-VLOOKUP($E173,$E$9:$AF$92,$AF$7-$D$7,0)</f>
        <v>0</v>
      </c>
    </row>
    <row r="174" spans="1:32" ht="13.8" thickBot="1">
      <c r="A174" s="475" t="str">
        <f>IF(SUMIFS($G174:$AF174,$G$8:$AF$8,"金額",$G174:$AF174,"&gt;0")-SUMIFS($G174:$AF174,$G$8:$AF$8,"金額",$G174:$AF174,"&lt;0")&lt;=0,"",MAX($A$92:$A173)+1)</f>
        <v/>
      </c>
      <c r="B174" s="796"/>
      <c r="C174" s="245" t="str">
        <f t="shared" si="5"/>
        <v>経費</v>
      </c>
      <c r="D174" s="245">
        <v>82</v>
      </c>
      <c r="E174" s="595" t="str">
        <f>IF($F174&lt;&gt;"",INDEX(ﾏｽﾀ!$D$8:$D$124,MATCH(INDEX(ﾏｽﾀ!$N$8:$N$124,MATCH($F174,ﾏｽﾀ!$O$8:$O$124,0)),ﾏｽﾀ!$B$8:$B$124,0))&amp;"","")</f>
        <v/>
      </c>
      <c r="F174" s="596" t="str">
        <f>ﾏｽﾀ!$R89&amp;""</f>
        <v/>
      </c>
      <c r="G174" s="648">
        <f>COUNTIF('納品書明細F-15'!$B$9:$B$297,CONCATENATE(VLOOKUP(G$5,$G$1:$H$4,2,FALSE),$E174,1,1))-VLOOKUP($E174,$E$9:$AF$92,$G$7-$D$7,0)</f>
        <v>0</v>
      </c>
      <c r="H174" s="653">
        <f>SUMIF('納品書明細F-15'!$B$9:$B$297,CONCATENATE(VLOOKUP(G$5,$G$1:$H$4,2,FALSE),$E174,1,1),'納品書明細F-15'!$Q$9:$Q$297)+SUMIF('納品書明細F-15'!$B$9:$B$297,CONCATENATE(VLOOKUP(G$5,$G$1:$H$4,2,FALSE),$E174,1,0),'納品書明細F-15'!$Q$9:$Q$297)-VLOOKUP($E174,$E$9:$AF$92,$H$7-$D$7,0)</f>
        <v>0</v>
      </c>
      <c r="I174" s="347"/>
      <c r="J174" s="358"/>
      <c r="K174" s="360"/>
      <c r="L174" s="347"/>
      <c r="M174" s="639">
        <f>COUNTIF('納品書明細F-15'!$B$9:$B$297,CONCATENATE(VLOOKUP(G$5,$G$1:$H$4,2,FALSE),$E174,9,1))-VLOOKUP($E174,$E$9:$AF$92,$M$7-$D$7,0)</f>
        <v>0</v>
      </c>
      <c r="N174" s="641">
        <f>SUMIF('納品書明細F-15'!$B$9:$B$297,CONCATENATE(VLOOKUP(G$5,$G$1:$H$4,2,FALSE),$E174,9,1),'納品書明細F-15'!$Q$9:$Q$297)+SUMIF('納品書明細F-15'!$B$9:$B$297,CONCATENATE(VLOOKUP(G$5,$G$1:$H$4,2,FALSE),$E174,9,0),'納品書明細F-15'!$Q$9:$Q$297)-VLOOKUP($E174,$E$9:$AF$92,$N$7-$D$7,0)</f>
        <v>0</v>
      </c>
      <c r="O174" s="176"/>
      <c r="P174" s="648">
        <f>COUNTIF('納品書明細F-15'!$B$9:$B$297,CONCATENATE(VLOOKUP(P$5,$G$1:$H$4,2,FALSE),$E174,1,1))-VLOOKUP($E174,$E$9:$AF$92,$P$7-$D$7,0)</f>
        <v>0</v>
      </c>
      <c r="Q174" s="649">
        <f>SUMIF('納品書明細F-15'!$B$9:$B$297,CONCATENATE(VLOOKUP(P$5,$G$1:$H$4,2,FALSE),$E174,1,1),'納品書明細F-15'!$Q$9:$Q$297)+SUMIF('納品書明細F-15'!$B$9:$B$297,CONCATENATE(VLOOKUP(P$5,$G$1:$H$4,2,FALSE),$E174,1,0),'納品書明細F-15'!$Q$9:$Q$297)-VLOOKUP($E174,$E$9:$AF$92,$Q$7-$D$7,0)</f>
        <v>0</v>
      </c>
      <c r="R174" s="347"/>
      <c r="S174" s="358"/>
      <c r="T174" s="362"/>
      <c r="U174" s="347"/>
      <c r="V174" s="639">
        <f>COUNTIF('納品書明細F-15'!$B$9:$B$297,CONCATENATE(VLOOKUP(P$5,$G$1:$H$4,2,FALSE),$E174,9,1))-VLOOKUP($E174,$E$9:$AF$92,$V$7-$D$7,0)</f>
        <v>0</v>
      </c>
      <c r="W174" s="651">
        <f>SUMIF('納品書明細F-15'!$B$9:$B$297,CONCATENATE(VLOOKUP(P$5,$G$1:$H$4,2,FALSE),$E174,9,1),'納品書明細F-15'!$Q$9:$Q$297)+SUMIF('納品書明細F-15'!$B$9:$B$297,CONCATENATE(VLOOKUP(P$5,$G$1:$H$4,2,FALSE),$E174,9,0),'納品書明細F-15'!$Q$9:$Q$297)-VLOOKUP($E174,$E$9:$AF$92,$W$7-$D$7,0)</f>
        <v>0</v>
      </c>
      <c r="X174" s="176"/>
      <c r="Y174" s="648">
        <f>COUNTIF('納品書明細F-15'!$B$9:$B$297,CONCATENATE(VLOOKUP(Y$5,$G$1:$H$4,2,FALSE),$E174,1,1))-VLOOKUP($E174,$E$9:$AF$92,$Y$7-$D$7,0)</f>
        <v>0</v>
      </c>
      <c r="Z174" s="649">
        <f>SUMIF('納品書明細F-15'!$B$9:$B$297,CONCATENATE(VLOOKUP(Y$5,$G$1:$H$4,2,FALSE),$E174,1,1),'納品書明細F-15'!$Q$9:$Q$297)+SUMIF('納品書明細F-15'!$B$9:$B$297,CONCATENATE(VLOOKUP(Y$5,$G$1:$H$4,2,FALSE),$E174,1,0),'納品書明細F-15'!$Q$9:$Q$297)-VLOOKUP($E174,$E$9:$AF$92,$Z$7-$D$7,0)</f>
        <v>0</v>
      </c>
      <c r="AA174" s="347"/>
      <c r="AB174" s="358"/>
      <c r="AC174" s="362"/>
      <c r="AD174" s="347"/>
      <c r="AE174" s="639">
        <f>COUNTIF('納品書明細F-15'!$B$9:$B$297,CONCATENATE(VLOOKUP(Y$5,$G$1:$H$4,2,FALSE),$E174,9,1))-VLOOKUP($E174,$E$9:$AF$92,$AE$7-$D$7,0)</f>
        <v>0</v>
      </c>
      <c r="AF174" s="651">
        <f>SUMIF('納品書明細F-15'!$B$9:$B$297,CONCATENATE(VLOOKUP(Y$5,$G$1:$H$4,2,FALSE),$E174,9,1),'納品書明細F-15'!$Q$9:$Q$297)+SUMIF('納品書明細F-15'!$B$9:$B$297,CONCATENATE(VLOOKUP(Y$5,$G$1:$H$4,2,FALSE),$E174,9,0),'納品書明細F-15'!$Q$9:$Q$297)-VLOOKUP($E174,$E$9:$AF$92,$AF$7-$D$7,0)</f>
        <v>0</v>
      </c>
    </row>
    <row r="175" spans="1:32" ht="13.8" thickBot="1">
      <c r="C175" s="1"/>
      <c r="D175" s="1"/>
      <c r="E175" s="15"/>
      <c r="F175" s="4"/>
      <c r="G175" s="112"/>
      <c r="H175" s="114"/>
      <c r="I175" s="12"/>
      <c r="J175" s="11"/>
      <c r="K175" s="11"/>
      <c r="L175" s="12"/>
      <c r="M175" s="112"/>
      <c r="N175" s="114"/>
      <c r="P175" s="112"/>
      <c r="Q175" s="113"/>
      <c r="R175" s="12"/>
      <c r="S175" s="11"/>
      <c r="T175" s="11"/>
      <c r="U175" s="12"/>
      <c r="V175" s="112"/>
      <c r="W175" s="113"/>
      <c r="Y175" s="112"/>
      <c r="Z175" s="113"/>
      <c r="AA175" s="12"/>
      <c r="AB175" s="11"/>
      <c r="AC175" s="11"/>
      <c r="AD175" s="12"/>
      <c r="AE175" s="112"/>
      <c r="AF175" s="113"/>
    </row>
    <row r="176" spans="1:32" s="7" customFormat="1">
      <c r="A176" s="148"/>
      <c r="B176" s="8"/>
      <c r="C176" s="8"/>
      <c r="D176" s="8"/>
      <c r="E176" s="46"/>
      <c r="F176" s="9"/>
      <c r="G176" s="178">
        <f>SUM(G9:G175)</f>
        <v>11</v>
      </c>
      <c r="H176" s="179">
        <f>SUM(H9:H175)</f>
        <v>53024311</v>
      </c>
      <c r="I176" s="180"/>
      <c r="J176" s="181"/>
      <c r="K176" s="181"/>
      <c r="L176" s="180"/>
      <c r="M176" s="182">
        <f>SUM(M9:M175)</f>
        <v>1</v>
      </c>
      <c r="N176" s="179">
        <f>SUM(N9:N175)</f>
        <v>8766</v>
      </c>
      <c r="O176" s="180"/>
      <c r="P176" s="182">
        <f>SUM(P9:P175)</f>
        <v>2</v>
      </c>
      <c r="Q176" s="183">
        <f>SUM(Q9:Q175)</f>
        <v>716505.55</v>
      </c>
      <c r="R176" s="180"/>
      <c r="S176" s="181"/>
      <c r="T176" s="181"/>
      <c r="U176" s="180"/>
      <c r="V176" s="182">
        <f>SUM(V9:V175)</f>
        <v>0</v>
      </c>
      <c r="W176" s="183">
        <f>SUM(W9:W175)</f>
        <v>0</v>
      </c>
      <c r="X176" s="180"/>
      <c r="Y176" s="182">
        <f>SUM(Y9:Y175)</f>
        <v>1</v>
      </c>
      <c r="Z176" s="311">
        <f>SUM(Z9:Z175)</f>
        <v>221400</v>
      </c>
      <c r="AA176" s="180"/>
      <c r="AB176" s="181"/>
      <c r="AC176" s="181"/>
      <c r="AD176" s="180"/>
      <c r="AE176" s="182">
        <f>SUM(AE9:AE175)</f>
        <v>0</v>
      </c>
      <c r="AF176" s="309">
        <f>SUM(AF9:AF175)</f>
        <v>0</v>
      </c>
    </row>
    <row r="177" spans="7:32" ht="13.8" thickBot="1">
      <c r="G177" s="184"/>
      <c r="H177" s="185"/>
      <c r="I177" s="186"/>
      <c r="J177" s="186"/>
      <c r="K177" s="185"/>
      <c r="L177" s="186"/>
      <c r="M177" s="187">
        <f>G176+M176</f>
        <v>12</v>
      </c>
      <c r="N177" s="188">
        <f>H176+N176</f>
        <v>53033077</v>
      </c>
      <c r="O177" s="186"/>
      <c r="P177" s="186"/>
      <c r="Q177" s="185"/>
      <c r="R177" s="186"/>
      <c r="S177" s="186"/>
      <c r="T177" s="185"/>
      <c r="U177" s="186"/>
      <c r="V177" s="187">
        <f>P176+V176</f>
        <v>2</v>
      </c>
      <c r="W177" s="189">
        <f>Q176+W176</f>
        <v>716505.55</v>
      </c>
      <c r="X177" s="186"/>
      <c r="Y177" s="186"/>
      <c r="Z177" s="185"/>
      <c r="AA177" s="186"/>
      <c r="AB177" s="186"/>
      <c r="AC177" s="185"/>
      <c r="AD177" s="186"/>
      <c r="AE177" s="187">
        <f>Y176+AE176</f>
        <v>1</v>
      </c>
      <c r="AF177" s="310">
        <f>Z176+AF176</f>
        <v>221400</v>
      </c>
    </row>
  </sheetData>
  <autoFilter ref="A8:AF174" xr:uid="{00000000-0009-0000-0000-000006000000}"/>
  <mergeCells count="11">
    <mergeCell ref="B93:B174"/>
    <mergeCell ref="Y6:Z6"/>
    <mergeCell ref="AB6:AC6"/>
    <mergeCell ref="AE6:AF6"/>
    <mergeCell ref="J6:K6"/>
    <mergeCell ref="P6:Q6"/>
    <mergeCell ref="S6:T6"/>
    <mergeCell ref="V6:W6"/>
    <mergeCell ref="G6:H6"/>
    <mergeCell ref="M6:N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空白排除">
    <tabColor theme="9"/>
  </sheetPr>
  <dimension ref="A1:AB124"/>
  <sheetViews>
    <sheetView zoomScale="75" zoomScaleNormal="75" workbookViewId="0">
      <pane ySplit="7" topLeftCell="A8" activePane="bottomLeft" state="frozen"/>
      <selection activeCell="N11" sqref="N11:R11"/>
      <selection pane="bottomLeft" activeCell="E8" sqref="E8"/>
    </sheetView>
  </sheetViews>
  <sheetFormatPr defaultRowHeight="13.2" outlineLevelRow="1" outlineLevelCol="1"/>
  <cols>
    <col min="1" max="1" width="3.6640625" customWidth="1"/>
    <col min="2" max="3" width="4.6640625" customWidth="1"/>
    <col min="4" max="4" width="6.44140625" style="15" hidden="1" customWidth="1" outlineLevel="1"/>
    <col min="5" max="5" width="4.6640625" style="13" customWidth="1" collapsed="1"/>
    <col min="6" max="6" width="25.6640625" style="14" customWidth="1"/>
    <col min="7" max="7" width="4.109375" style="14" customWidth="1"/>
    <col min="8" max="8" width="26.6640625" style="14" customWidth="1"/>
    <col min="9" max="9" width="20.6640625" style="14" customWidth="1"/>
    <col min="10" max="11" width="4.109375" style="15" customWidth="1"/>
    <col min="12" max="12" width="15.6640625" style="456" customWidth="1"/>
    <col min="13" max="13" width="2.6640625" style="456" customWidth="1"/>
    <col min="14" max="14" width="4.109375" customWidth="1"/>
    <col min="15" max="15" width="40.6640625" hidden="1" customWidth="1" outlineLevel="1"/>
    <col min="16" max="16" width="4.6640625" style="283" hidden="1" customWidth="1" outlineLevel="1"/>
    <col min="17" max="17" width="40.6640625" hidden="1" customWidth="1" outlineLevel="1"/>
    <col min="18" max="18" width="43.6640625" customWidth="1" collapsed="1"/>
    <col min="19" max="19" width="2.6640625" customWidth="1"/>
    <col min="20" max="20" width="3.6640625" style="15" customWidth="1"/>
    <col min="21" max="21" width="9.6640625" customWidth="1"/>
    <col min="22" max="22" width="2.6640625" customWidth="1"/>
    <col min="23" max="23" width="3.6640625" style="15" customWidth="1"/>
    <col min="24" max="24" width="8.6640625" customWidth="1"/>
  </cols>
  <sheetData>
    <row r="1" spans="1:28">
      <c r="E1" s="93" t="str">
        <f ca="1">RIGHT(CELL("filename",E1),LEN(CELL("filename",E1))-FIND("]",CELL("filename",E1)))</f>
        <v>ﾏｽﾀ</v>
      </c>
      <c r="G1" s="248"/>
      <c r="H1" s="16" t="s">
        <v>82</v>
      </c>
      <c r="W1" s="342" t="s">
        <v>579</v>
      </c>
      <c r="X1" s="15"/>
      <c r="Z1" s="236"/>
    </row>
    <row r="2" spans="1:28">
      <c r="D2"/>
      <c r="G2" s="250"/>
      <c r="H2" s="16" t="s">
        <v>83</v>
      </c>
      <c r="W2" s="472" t="s">
        <v>695</v>
      </c>
      <c r="Z2" s="236"/>
    </row>
    <row r="3" spans="1:28" s="388" customFormat="1" ht="13.5" customHeight="1" thickBot="1">
      <c r="C3" s="389"/>
      <c r="D3" s="389"/>
      <c r="E3" s="389"/>
      <c r="F3" s="389"/>
      <c r="G3" s="479"/>
      <c r="H3" t="s">
        <v>456</v>
      </c>
      <c r="L3" s="390"/>
      <c r="M3" s="390"/>
      <c r="N3"/>
      <c r="P3" s="429"/>
      <c r="Q3" s="429"/>
      <c r="R3" s="429"/>
      <c r="S3" s="429"/>
    </row>
    <row r="4" spans="1:28" s="388" customFormat="1" ht="14.25" hidden="1" customHeight="1" outlineLevel="1" thickBot="1">
      <c r="B4" s="390" t="s">
        <v>54</v>
      </c>
      <c r="C4" s="391" t="s">
        <v>55</v>
      </c>
      <c r="D4" s="389" t="s">
        <v>56</v>
      </c>
      <c r="E4" s="389" t="s">
        <v>57</v>
      </c>
      <c r="F4" s="389" t="s">
        <v>58</v>
      </c>
      <c r="G4" s="389" t="s">
        <v>109</v>
      </c>
      <c r="H4" s="388" t="s">
        <v>110</v>
      </c>
      <c r="I4" s="388">
        <v>8</v>
      </c>
      <c r="J4" s="392" t="s">
        <v>570</v>
      </c>
      <c r="K4" s="388" t="s">
        <v>571</v>
      </c>
      <c r="L4" s="390"/>
      <c r="M4" s="390"/>
      <c r="N4"/>
      <c r="P4" s="429"/>
      <c r="Q4" s="429"/>
      <c r="R4" s="429"/>
      <c r="S4" s="429"/>
      <c r="T4" s="388" t="s">
        <v>111</v>
      </c>
      <c r="U4" s="388">
        <v>2</v>
      </c>
      <c r="W4" s="388" t="s">
        <v>111</v>
      </c>
      <c r="X4" s="388">
        <v>2</v>
      </c>
    </row>
    <row r="5" spans="1:28" s="348" customFormat="1" collapsed="1">
      <c r="B5" s="812" t="s">
        <v>515</v>
      </c>
      <c r="C5" s="809" t="s">
        <v>514</v>
      </c>
      <c r="E5" s="821" t="s">
        <v>22</v>
      </c>
      <c r="F5" s="822"/>
      <c r="G5" s="822"/>
      <c r="H5" s="822"/>
      <c r="I5" s="393"/>
      <c r="J5" s="819" t="s">
        <v>627</v>
      </c>
      <c r="K5" s="816"/>
      <c r="L5" s="457"/>
      <c r="M5" s="457"/>
      <c r="N5"/>
      <c r="P5" s="394"/>
      <c r="Q5" s="394"/>
      <c r="R5" s="394"/>
      <c r="S5" s="394"/>
      <c r="T5" s="815" t="s">
        <v>43</v>
      </c>
      <c r="U5" s="816"/>
      <c r="W5" s="815" t="s">
        <v>63</v>
      </c>
      <c r="X5" s="816"/>
    </row>
    <row r="6" spans="1:28" s="348" customFormat="1">
      <c r="B6" s="813"/>
      <c r="C6" s="810"/>
      <c r="E6" s="823" t="s">
        <v>46</v>
      </c>
      <c r="F6" s="824"/>
      <c r="G6" s="825" t="s">
        <v>454</v>
      </c>
      <c r="H6" s="826"/>
      <c r="I6" s="827"/>
      <c r="J6" s="820"/>
      <c r="K6" s="818"/>
      <c r="L6" s="457"/>
      <c r="M6" s="457"/>
      <c r="N6" s="494"/>
      <c r="P6" s="394"/>
      <c r="Q6" s="394"/>
      <c r="R6" s="394"/>
      <c r="S6" s="394"/>
      <c r="T6" s="817"/>
      <c r="U6" s="818"/>
      <c r="W6" s="817"/>
      <c r="X6" s="818"/>
    </row>
    <row r="7" spans="1:28" s="388" customFormat="1" ht="13.8" thickBot="1">
      <c r="B7" s="814"/>
      <c r="C7" s="811"/>
      <c r="E7" s="536" t="s">
        <v>52</v>
      </c>
      <c r="F7" s="537" t="s">
        <v>45</v>
      </c>
      <c r="G7" s="538" t="s">
        <v>586</v>
      </c>
      <c r="H7" s="539" t="s">
        <v>112</v>
      </c>
      <c r="I7" s="539" t="s">
        <v>113</v>
      </c>
      <c r="J7" s="540" t="s">
        <v>24</v>
      </c>
      <c r="K7" s="493" t="s">
        <v>5</v>
      </c>
      <c r="L7" s="457"/>
      <c r="M7" s="457"/>
      <c r="N7" s="374" t="s">
        <v>456</v>
      </c>
      <c r="P7" s="394"/>
      <c r="Q7" s="394"/>
      <c r="R7" s="394"/>
      <c r="S7" s="394"/>
      <c r="T7" s="396" t="s">
        <v>600</v>
      </c>
      <c r="U7" s="397" t="s">
        <v>23</v>
      </c>
      <c r="V7" s="398"/>
      <c r="W7" s="396" t="s">
        <v>455</v>
      </c>
      <c r="X7" s="399" t="s">
        <v>23</v>
      </c>
    </row>
    <row r="8" spans="1:28" ht="15" customHeight="1">
      <c r="A8" s="64"/>
      <c r="B8" s="301">
        <f>IF(AND($F8&lt;&gt;"",$C8=""),MAX($B$7:$B7)+1,"")</f>
        <v>1</v>
      </c>
      <c r="C8" s="292"/>
      <c r="D8" s="623" t="str">
        <f>CONCATENATE(IF($E8="","000",$E8),IF($G8="","00",$G8))</f>
        <v>10001</v>
      </c>
      <c r="E8" s="541" t="s">
        <v>53</v>
      </c>
      <c r="F8" s="542" t="s">
        <v>11</v>
      </c>
      <c r="G8" s="551" t="s">
        <v>27</v>
      </c>
      <c r="H8" s="552" t="s">
        <v>519</v>
      </c>
      <c r="I8" s="553" t="s">
        <v>520</v>
      </c>
      <c r="J8" s="576">
        <v>15</v>
      </c>
      <c r="K8" s="567">
        <v>20</v>
      </c>
      <c r="L8" s="459"/>
      <c r="M8" s="459"/>
      <c r="N8" s="606">
        <v>1</v>
      </c>
      <c r="O8" s="625" t="str">
        <f>IF($N8&gt;MAX($B$8:$B$124),"",CONCATENATE(VLOOKUP($N8,$B$8:$K$124,$F$4),VLOOKUP($N8,$B$8:$K$124,$H$4)&amp;""))</f>
        <v xml:space="preserve">株式会社 バンダイ　3100／ベンダー事業部 </v>
      </c>
      <c r="P8" s="626">
        <f>IF(COUNTIF(O$8:O8,O8)=1,ROW(),"")</f>
        <v>8</v>
      </c>
      <c r="Q8" s="625" t="str">
        <f>IF(COUNT(P:P)&lt;ROW(Z1),"",INDEX(O:O,SMALL(P:P,ROW(Z1))))</f>
        <v xml:space="preserve">株式会社 バンダイ　3100／ベンダー事業部 </v>
      </c>
      <c r="R8" s="627" t="s">
        <v>642</v>
      </c>
      <c r="T8" s="528" t="s">
        <v>54</v>
      </c>
      <c r="U8" s="529" t="s">
        <v>24</v>
      </c>
      <c r="W8" s="528" t="s">
        <v>54</v>
      </c>
      <c r="X8" s="571" t="s">
        <v>64</v>
      </c>
      <c r="AA8" s="3"/>
      <c r="AB8" s="3"/>
    </row>
    <row r="9" spans="1:28" ht="15" customHeight="1">
      <c r="A9" s="64"/>
      <c r="B9" s="301">
        <f>IF(AND($F9&lt;&gt;"",$C9=""),MAX($B$7:$B8)+1,"")</f>
        <v>2</v>
      </c>
      <c r="C9" s="290"/>
      <c r="D9" s="623" t="str">
        <f t="shared" ref="D9:D72" si="0">CONCATENATE(IF($E9="","000",$E9),IF($G9="","00",$G9))</f>
        <v>10002</v>
      </c>
      <c r="E9" s="543" t="s">
        <v>53</v>
      </c>
      <c r="F9" s="544" t="s">
        <v>11</v>
      </c>
      <c r="G9" s="554" t="s">
        <v>28</v>
      </c>
      <c r="H9" s="552"/>
      <c r="I9" s="553"/>
      <c r="J9" s="577"/>
      <c r="K9" s="568"/>
      <c r="L9" s="459"/>
      <c r="M9" s="459"/>
      <c r="N9" s="606">
        <v>2</v>
      </c>
      <c r="O9" s="625" t="str">
        <f t="shared" ref="O9:O72" si="1">IF($N9&gt;MAX($B$8:$B$124),"",CONCATENATE(VLOOKUP($N9,$B$8:$K$124,$F$4),VLOOKUP($N9,$B$8:$K$124,$H$4)&amp;""))</f>
        <v>株式会社 バンダイ</v>
      </c>
      <c r="P9" s="626">
        <f>IF(COUNTIF(O$8:O9,O9)=1,ROW(),"")</f>
        <v>9</v>
      </c>
      <c r="Q9" s="625" t="str">
        <f>IF(COUNT(P:P)&lt;ROW(Z2),"",INDEX(O:O,SMALL(P:P,ROW(Z2))))</f>
        <v>株式会社 バンダイ</v>
      </c>
      <c r="R9" s="627" t="s">
        <v>643</v>
      </c>
      <c r="T9" s="530" t="s">
        <v>56</v>
      </c>
      <c r="U9" s="531" t="s">
        <v>86</v>
      </c>
      <c r="W9" s="530" t="s">
        <v>55</v>
      </c>
      <c r="X9" s="572" t="s">
        <v>65</v>
      </c>
    </row>
    <row r="10" spans="1:28" ht="15" customHeight="1" thickBot="1">
      <c r="A10" s="64"/>
      <c r="B10" s="301">
        <f>IF(AND($F10&lt;&gt;"",$C10=""),MAX($B$7:$B9)+1,"")</f>
        <v>3</v>
      </c>
      <c r="C10" s="290"/>
      <c r="D10" s="623" t="str">
        <f t="shared" si="0"/>
        <v>10003</v>
      </c>
      <c r="E10" s="543" t="s">
        <v>53</v>
      </c>
      <c r="F10" s="544" t="s">
        <v>11</v>
      </c>
      <c r="G10" s="554" t="s">
        <v>29</v>
      </c>
      <c r="H10" s="552"/>
      <c r="I10" s="553"/>
      <c r="J10" s="577"/>
      <c r="K10" s="568"/>
      <c r="L10" s="459"/>
      <c r="M10" s="459"/>
      <c r="N10" s="606">
        <v>3</v>
      </c>
      <c r="O10" s="625" t="str">
        <f t="shared" si="1"/>
        <v>株式会社 バンダイ</v>
      </c>
      <c r="P10" s="626" t="str">
        <f>IF(COUNTIF(O$8:O10,O10)=1,ROW(),"")</f>
        <v/>
      </c>
      <c r="Q10" s="625" t="str">
        <f t="shared" ref="Q10:Q41" si="2">IF(COUNT(P:P)&lt;ROW(P3),"",INDEX(O:O,SMALL(P:P,ROW(P3))))</f>
        <v>株式会社 バンダイ　3200／キャンディ事業部</v>
      </c>
      <c r="R10" s="627" t="s">
        <v>644</v>
      </c>
      <c r="T10" s="530" t="s">
        <v>57</v>
      </c>
      <c r="U10" s="531" t="s">
        <v>159</v>
      </c>
      <c r="W10" s="532" t="s">
        <v>56</v>
      </c>
      <c r="X10" s="573" t="s">
        <v>66</v>
      </c>
    </row>
    <row r="11" spans="1:28" ht="15" customHeight="1">
      <c r="A11" s="64"/>
      <c r="B11" s="301">
        <f>IF(AND($F11&lt;&gt;"",$C11=""),MAX($B$7:$B10)+1,"")</f>
        <v>4</v>
      </c>
      <c r="C11" s="290"/>
      <c r="D11" s="623" t="str">
        <f t="shared" si="0"/>
        <v>10004</v>
      </c>
      <c r="E11" s="543" t="s">
        <v>53</v>
      </c>
      <c r="F11" s="544" t="s">
        <v>11</v>
      </c>
      <c r="G11" s="554" t="s">
        <v>30</v>
      </c>
      <c r="H11" s="553"/>
      <c r="I11" s="553"/>
      <c r="J11" s="577"/>
      <c r="K11" s="568"/>
      <c r="L11" s="459"/>
      <c r="M11" s="459"/>
      <c r="N11" s="606">
        <v>4</v>
      </c>
      <c r="O11" s="625" t="str">
        <f t="shared" si="1"/>
        <v>株式会社 バンダイ</v>
      </c>
      <c r="P11" s="626" t="str">
        <f>IF(COUNTIF(O$8:O11,O11)=1,ROW(),"")</f>
        <v/>
      </c>
      <c r="Q11" s="625" t="str">
        <f t="shared" si="2"/>
        <v>株式会社 バンダイ　4200／キャンディ事業部</v>
      </c>
      <c r="R11" s="627" t="s">
        <v>645</v>
      </c>
      <c r="T11" s="530" t="s">
        <v>58</v>
      </c>
      <c r="U11" s="531" t="s">
        <v>25</v>
      </c>
      <c r="W11" s="54"/>
      <c r="X11" s="55"/>
    </row>
    <row r="12" spans="1:28" ht="15" customHeight="1">
      <c r="A12" s="64"/>
      <c r="B12" s="301">
        <f>IF(AND($F12&lt;&gt;"",$C12=""),MAX($B$7:$B11)+1,"")</f>
        <v>5</v>
      </c>
      <c r="C12" s="290"/>
      <c r="D12" s="623" t="str">
        <f t="shared" si="0"/>
        <v>10005</v>
      </c>
      <c r="E12" s="543" t="s">
        <v>53</v>
      </c>
      <c r="F12" s="544" t="s">
        <v>11</v>
      </c>
      <c r="G12" s="554" t="s">
        <v>31</v>
      </c>
      <c r="H12" s="552" t="s">
        <v>521</v>
      </c>
      <c r="I12" s="553" t="s">
        <v>191</v>
      </c>
      <c r="J12" s="577"/>
      <c r="K12" s="568"/>
      <c r="L12" s="459"/>
      <c r="M12" s="459"/>
      <c r="N12" s="606">
        <v>5</v>
      </c>
      <c r="O12" s="625" t="str">
        <f t="shared" si="1"/>
        <v>株式会社 バンダイ　3200／キャンディ事業部</v>
      </c>
      <c r="P12" s="626">
        <f>IF(COUNTIF(O$8:O12,O12)=1,ROW(),"")</f>
        <v>12</v>
      </c>
      <c r="Q12" s="625" t="str">
        <f t="shared" si="2"/>
        <v>株式会社 バンダイ　4100／コレクターズ事業部</v>
      </c>
      <c r="R12" s="627" t="s">
        <v>646</v>
      </c>
      <c r="T12" s="530" t="s">
        <v>59</v>
      </c>
      <c r="U12" s="531" t="s">
        <v>95</v>
      </c>
    </row>
    <row r="13" spans="1:28" ht="15" customHeight="1">
      <c r="A13" s="64"/>
      <c r="B13" s="301">
        <f>IF(AND($F13&lt;&gt;"",$C13=""),MAX($B$7:$B12)+1,"")</f>
        <v>6</v>
      </c>
      <c r="C13" s="290"/>
      <c r="D13" s="623" t="str">
        <f t="shared" si="0"/>
        <v>10006</v>
      </c>
      <c r="E13" s="543" t="s">
        <v>53</v>
      </c>
      <c r="F13" s="544" t="s">
        <v>11</v>
      </c>
      <c r="G13" s="554" t="s">
        <v>32</v>
      </c>
      <c r="H13" s="552" t="s">
        <v>522</v>
      </c>
      <c r="I13" s="553" t="s">
        <v>191</v>
      </c>
      <c r="J13" s="577"/>
      <c r="K13" s="568"/>
      <c r="L13" s="459"/>
      <c r="M13" s="459"/>
      <c r="N13" s="606">
        <v>6</v>
      </c>
      <c r="O13" s="625" t="str">
        <f t="shared" si="1"/>
        <v>株式会社 バンダイ　4200／キャンディ事業部</v>
      </c>
      <c r="P13" s="626">
        <f>IF(COUNTIF(O$8:O13,O13)=1,ROW(),"")</f>
        <v>13</v>
      </c>
      <c r="Q13" s="625" t="str">
        <f t="shared" si="2"/>
        <v>株式会社 バンダイ　4200／ボーイズトイ事業部</v>
      </c>
      <c r="R13" s="627" t="s">
        <v>647</v>
      </c>
      <c r="T13" s="530" t="s">
        <v>60</v>
      </c>
      <c r="U13" s="531" t="s">
        <v>168</v>
      </c>
    </row>
    <row r="14" spans="1:28" ht="15" customHeight="1">
      <c r="A14" s="64"/>
      <c r="B14" s="301">
        <f>IF(AND($F14&lt;&gt;"",$C14=""),MAX($B$7:$B13)+1,"")</f>
        <v>7</v>
      </c>
      <c r="C14" s="290"/>
      <c r="D14" s="623" t="str">
        <f t="shared" si="0"/>
        <v>10007</v>
      </c>
      <c r="E14" s="543" t="s">
        <v>53</v>
      </c>
      <c r="F14" s="544" t="s">
        <v>11</v>
      </c>
      <c r="G14" s="554" t="s">
        <v>33</v>
      </c>
      <c r="H14" s="553"/>
      <c r="I14" s="553"/>
      <c r="J14" s="577"/>
      <c r="K14" s="568"/>
      <c r="L14" s="459"/>
      <c r="M14" s="459"/>
      <c r="N14" s="606">
        <v>7</v>
      </c>
      <c r="O14" s="625" t="str">
        <f t="shared" si="1"/>
        <v>株式会社 バンダイ</v>
      </c>
      <c r="P14" s="626" t="str">
        <f>IF(COUNTIF(O$8:O14,O14)=1,ROW(),"")</f>
        <v/>
      </c>
      <c r="Q14" s="625" t="str">
        <f t="shared" si="2"/>
        <v>株式会社 バンダイ　5000／ボーイズトイ事業部</v>
      </c>
      <c r="R14" s="627" t="s">
        <v>648</v>
      </c>
      <c r="T14" s="530" t="s">
        <v>61</v>
      </c>
      <c r="U14" s="531" t="s">
        <v>169</v>
      </c>
      <c r="AA14" s="3"/>
      <c r="AB14" s="10"/>
    </row>
    <row r="15" spans="1:28" ht="15" customHeight="1">
      <c r="A15" s="64"/>
      <c r="B15" s="301">
        <f>IF(AND($F15&lt;&gt;"",$C15=""),MAX($B$7:$B14)+1,"")</f>
        <v>8</v>
      </c>
      <c r="C15" s="290"/>
      <c r="D15" s="623" t="str">
        <f t="shared" si="0"/>
        <v>10008</v>
      </c>
      <c r="E15" s="543" t="s">
        <v>53</v>
      </c>
      <c r="F15" s="544" t="s">
        <v>11</v>
      </c>
      <c r="G15" s="554" t="s">
        <v>34</v>
      </c>
      <c r="H15" s="553"/>
      <c r="I15" s="553"/>
      <c r="J15" s="577"/>
      <c r="K15" s="568"/>
      <c r="L15" s="459"/>
      <c r="M15" s="459"/>
      <c r="N15" s="606">
        <v>8</v>
      </c>
      <c r="O15" s="625" t="str">
        <f t="shared" si="1"/>
        <v>株式会社 バンダイ</v>
      </c>
      <c r="P15" s="626" t="str">
        <f>IF(COUNTIF(O$8:O15,O15)=1,ROW(),"")</f>
        <v/>
      </c>
      <c r="Q15" s="625" t="str">
        <f t="shared" si="2"/>
        <v>株式会社 バンダイ　4200／ガールズトイ事業部</v>
      </c>
      <c r="R15" s="627" t="s">
        <v>649</v>
      </c>
      <c r="T15" s="530" t="s">
        <v>62</v>
      </c>
      <c r="U15" s="531" t="s">
        <v>26</v>
      </c>
    </row>
    <row r="16" spans="1:28" ht="15" customHeight="1" thickBot="1">
      <c r="A16" s="64"/>
      <c r="B16" s="301">
        <f>IF(AND($F16&lt;&gt;"",$C16=""),MAX($B$7:$B15)+1,"")</f>
        <v>9</v>
      </c>
      <c r="C16" s="290"/>
      <c r="D16" s="623" t="str">
        <f t="shared" si="0"/>
        <v>10009</v>
      </c>
      <c r="E16" s="543" t="s">
        <v>53</v>
      </c>
      <c r="F16" s="544" t="s">
        <v>11</v>
      </c>
      <c r="G16" s="554" t="s">
        <v>35</v>
      </c>
      <c r="H16" s="552"/>
      <c r="I16" s="553"/>
      <c r="J16" s="577"/>
      <c r="K16" s="568"/>
      <c r="L16" s="459"/>
      <c r="M16" s="459"/>
      <c r="N16" s="606">
        <v>9</v>
      </c>
      <c r="O16" s="625" t="str">
        <f t="shared" si="1"/>
        <v>株式会社 バンダイ</v>
      </c>
      <c r="P16" s="626" t="str">
        <f>IF(COUNTIF(O$8:O16,O16)=1,ROW(),"")</f>
        <v/>
      </c>
      <c r="Q16" s="625" t="str">
        <f t="shared" si="2"/>
        <v>株式会社 バンダイ　5000／ガールズトイ事業部</v>
      </c>
      <c r="R16" s="627" t="s">
        <v>650</v>
      </c>
      <c r="T16" s="532" t="s">
        <v>172</v>
      </c>
      <c r="U16" s="533" t="s">
        <v>5</v>
      </c>
    </row>
    <row r="17" spans="1:21" ht="15" customHeight="1">
      <c r="A17" s="64"/>
      <c r="B17" s="301">
        <f>IF(AND($F17&lt;&gt;"",$C17=""),MAX($B$7:$B16)+1,"")</f>
        <v>10</v>
      </c>
      <c r="C17" s="290"/>
      <c r="D17" s="623" t="str">
        <f t="shared" si="0"/>
        <v>10010</v>
      </c>
      <c r="E17" s="543" t="s">
        <v>53</v>
      </c>
      <c r="F17" s="544" t="s">
        <v>11</v>
      </c>
      <c r="G17" s="554" t="s">
        <v>36</v>
      </c>
      <c r="H17" s="552" t="s">
        <v>523</v>
      </c>
      <c r="I17" s="553" t="s">
        <v>119</v>
      </c>
      <c r="J17" s="577"/>
      <c r="K17" s="568"/>
      <c r="L17" s="459"/>
      <c r="M17" s="459"/>
      <c r="N17" s="606">
        <v>10</v>
      </c>
      <c r="O17" s="625" t="str">
        <f t="shared" si="1"/>
        <v>株式会社 バンダイ　4100／コレクターズ事業部</v>
      </c>
      <c r="P17" s="626">
        <f>IF(COUNTIF(O$8:O17,O17)=1,ROW(),"")</f>
        <v>17</v>
      </c>
      <c r="Q17" s="625" t="str">
        <f t="shared" si="2"/>
        <v>株式会社 バンダイ　3100／プロダクトマネジメント部</v>
      </c>
      <c r="R17" s="627" t="s">
        <v>651</v>
      </c>
      <c r="T17" s="54"/>
      <c r="U17" s="56"/>
    </row>
    <row r="18" spans="1:21" ht="15" customHeight="1">
      <c r="A18" s="64"/>
      <c r="B18" s="301">
        <f>IF(AND($F18&lt;&gt;"",$C18=""),MAX($B$7:$B17)+1,"")</f>
        <v>11</v>
      </c>
      <c r="C18" s="290"/>
      <c r="D18" s="623" t="str">
        <f t="shared" si="0"/>
        <v>10011</v>
      </c>
      <c r="E18" s="543" t="s">
        <v>53</v>
      </c>
      <c r="F18" s="544" t="s">
        <v>11</v>
      </c>
      <c r="G18" s="554" t="s">
        <v>37</v>
      </c>
      <c r="H18" s="552"/>
      <c r="I18" s="553"/>
      <c r="J18" s="577"/>
      <c r="K18" s="568"/>
      <c r="L18" s="459"/>
      <c r="M18" s="459"/>
      <c r="N18" s="606">
        <v>11</v>
      </c>
      <c r="O18" s="625" t="str">
        <f t="shared" si="1"/>
        <v>株式会社 バンダイ</v>
      </c>
      <c r="P18" s="626" t="str">
        <f>IF(COUNTIF(O$8:O18,O18)=1,ROW(),"")</f>
        <v/>
      </c>
      <c r="Q18" s="625" t="str">
        <f t="shared" si="2"/>
        <v>株式会社 バンダイ部</v>
      </c>
      <c r="R18" s="627" t="s">
        <v>652</v>
      </c>
    </row>
    <row r="19" spans="1:21" ht="15" customHeight="1">
      <c r="A19" s="64"/>
      <c r="B19" s="301">
        <f>IF(AND($F19&lt;&gt;"",$C19=""),MAX($B$7:$B18)+1,"")</f>
        <v>12</v>
      </c>
      <c r="C19" s="290"/>
      <c r="D19" s="623" t="str">
        <f t="shared" si="0"/>
        <v>10012</v>
      </c>
      <c r="E19" s="543" t="s">
        <v>53</v>
      </c>
      <c r="F19" s="544" t="s">
        <v>11</v>
      </c>
      <c r="G19" s="554" t="s">
        <v>38</v>
      </c>
      <c r="H19" s="553"/>
      <c r="I19" s="553"/>
      <c r="J19" s="577"/>
      <c r="K19" s="568"/>
      <c r="L19" s="459"/>
      <c r="M19" s="459"/>
      <c r="N19" s="606">
        <v>12</v>
      </c>
      <c r="O19" s="625" t="str">
        <f t="shared" si="1"/>
        <v>株式会社 バンダイ</v>
      </c>
      <c r="P19" s="626" t="str">
        <f>IF(COUNTIF(O$8:O19,O19)=1,ROW(),"")</f>
        <v/>
      </c>
      <c r="Q19" s="625" t="str">
        <f t="shared" si="2"/>
        <v>株式会社BANDAI SPIRITS　4100／コレクターズ事業部</v>
      </c>
      <c r="R19" s="627" t="s">
        <v>653</v>
      </c>
    </row>
    <row r="20" spans="1:21" ht="15" customHeight="1">
      <c r="A20" s="64"/>
      <c r="B20" s="301">
        <f>IF(AND($F20&lt;&gt;"",$C20=""),MAX($B$7:$B19)+1,"")</f>
        <v>13</v>
      </c>
      <c r="C20" s="290"/>
      <c r="D20" s="623" t="str">
        <f t="shared" si="0"/>
        <v>10013</v>
      </c>
      <c r="E20" s="543" t="s">
        <v>53</v>
      </c>
      <c r="F20" s="544" t="s">
        <v>11</v>
      </c>
      <c r="G20" s="554" t="s">
        <v>177</v>
      </c>
      <c r="H20" s="553"/>
      <c r="I20" s="553"/>
      <c r="J20" s="577"/>
      <c r="K20" s="568"/>
      <c r="L20" s="459"/>
      <c r="M20" s="459"/>
      <c r="N20" s="606">
        <v>13</v>
      </c>
      <c r="O20" s="625" t="str">
        <f t="shared" si="1"/>
        <v>株式会社 バンダイ</v>
      </c>
      <c r="P20" s="626" t="str">
        <f>IF(COUNTIF(O$8:O20,O20)=1,ROW(),"")</f>
        <v/>
      </c>
      <c r="Q20" s="625" t="str">
        <f t="shared" si="2"/>
        <v>株式会社BANDAI SPIRITS</v>
      </c>
      <c r="R20" s="627" t="s">
        <v>654</v>
      </c>
      <c r="U20" s="79" t="s">
        <v>200</v>
      </c>
    </row>
    <row r="21" spans="1:21" ht="15" customHeight="1">
      <c r="A21" s="64"/>
      <c r="B21" s="301">
        <f>IF(AND($F21&lt;&gt;"",$C21=""),MAX($B$7:$B20)+1,"")</f>
        <v>14</v>
      </c>
      <c r="C21" s="290"/>
      <c r="D21" s="623" t="str">
        <f t="shared" si="0"/>
        <v>10014</v>
      </c>
      <c r="E21" s="543" t="s">
        <v>53</v>
      </c>
      <c r="F21" s="544" t="s">
        <v>11</v>
      </c>
      <c r="G21" s="554" t="s">
        <v>178</v>
      </c>
      <c r="H21" s="552"/>
      <c r="I21" s="553"/>
      <c r="J21" s="577"/>
      <c r="K21" s="568"/>
      <c r="L21" s="459"/>
      <c r="M21" s="459"/>
      <c r="N21" s="606">
        <v>14</v>
      </c>
      <c r="O21" s="625" t="str">
        <f t="shared" si="1"/>
        <v>株式会社 バンダイ</v>
      </c>
      <c r="P21" s="626" t="str">
        <f>IF(COUNTIF(O$8:O21,O21)=1,ROW(),"")</f>
        <v/>
      </c>
      <c r="Q21" s="625" t="str">
        <f t="shared" si="2"/>
        <v>株式会社バンダイナムコアミューズメント</v>
      </c>
      <c r="R21" s="627" t="s">
        <v>656</v>
      </c>
    </row>
    <row r="22" spans="1:21" ht="15" customHeight="1">
      <c r="A22" s="64"/>
      <c r="B22" s="301">
        <f>IF(AND($F22&lt;&gt;"",$C22=""),MAX($B$7:$B21)+1,"")</f>
        <v>15</v>
      </c>
      <c r="C22" s="290"/>
      <c r="D22" s="623" t="str">
        <f t="shared" si="0"/>
        <v>10015</v>
      </c>
      <c r="E22" s="543" t="s">
        <v>53</v>
      </c>
      <c r="F22" s="544" t="s">
        <v>11</v>
      </c>
      <c r="G22" s="554" t="s">
        <v>179</v>
      </c>
      <c r="H22" s="552" t="s">
        <v>524</v>
      </c>
      <c r="I22" s="552" t="s">
        <v>525</v>
      </c>
      <c r="J22" s="577"/>
      <c r="K22" s="568"/>
      <c r="L22" s="459"/>
      <c r="M22" s="459"/>
      <c r="N22" s="606">
        <v>15</v>
      </c>
      <c r="O22" s="625" t="str">
        <f t="shared" si="1"/>
        <v>株式会社 バンダイ　4200／ボーイズトイ事業部</v>
      </c>
      <c r="P22" s="626">
        <f>IF(COUNTIF(O$8:O22,O22)=1,ROW(),"")</f>
        <v>22</v>
      </c>
      <c r="Q22" s="625" t="str">
        <f t="shared" si="2"/>
        <v>株式会社 バンプレスト　マーケティング事業部</v>
      </c>
      <c r="R22" s="627" t="s">
        <v>657</v>
      </c>
    </row>
    <row r="23" spans="1:21" ht="15" customHeight="1">
      <c r="A23" s="64"/>
      <c r="B23" s="301">
        <f>IF(AND($F23&lt;&gt;"",$C23=""),MAX($B$7:$B22)+1,"")</f>
        <v>16</v>
      </c>
      <c r="C23" s="290"/>
      <c r="D23" s="623" t="str">
        <f t="shared" si="0"/>
        <v>10016</v>
      </c>
      <c r="E23" s="543" t="s">
        <v>53</v>
      </c>
      <c r="F23" s="544" t="s">
        <v>11</v>
      </c>
      <c r="G23" s="554" t="s">
        <v>180</v>
      </c>
      <c r="H23" s="552" t="s">
        <v>526</v>
      </c>
      <c r="I23" s="552" t="s">
        <v>525</v>
      </c>
      <c r="J23" s="577"/>
      <c r="K23" s="568"/>
      <c r="L23" s="459"/>
      <c r="M23" s="459"/>
      <c r="N23" s="606">
        <v>16</v>
      </c>
      <c r="O23" s="625" t="str">
        <f t="shared" si="1"/>
        <v>株式会社 バンダイ　5000／ボーイズトイ事業部</v>
      </c>
      <c r="P23" s="626">
        <f>IF(COUNTIF(O$8:O23,O23)=1,ROW(),"")</f>
        <v>23</v>
      </c>
      <c r="Q23" s="625" t="str">
        <f t="shared" si="2"/>
        <v>株式会社 アートプレスト　/　3100</v>
      </c>
      <c r="R23" s="627" t="s">
        <v>658</v>
      </c>
    </row>
    <row r="24" spans="1:21" ht="15" customHeight="1">
      <c r="A24" s="64"/>
      <c r="B24" s="301">
        <f>IF(AND($F24&lt;&gt;"",$C24=""),MAX($B$7:$B23)+1,"")</f>
        <v>17</v>
      </c>
      <c r="C24" s="290"/>
      <c r="D24" s="623" t="str">
        <f t="shared" si="0"/>
        <v>10017</v>
      </c>
      <c r="E24" s="543" t="s">
        <v>53</v>
      </c>
      <c r="F24" s="544" t="s">
        <v>11</v>
      </c>
      <c r="G24" s="554" t="s">
        <v>181</v>
      </c>
      <c r="H24" s="552"/>
      <c r="I24" s="553"/>
      <c r="J24" s="577"/>
      <c r="K24" s="568"/>
      <c r="L24" s="459"/>
      <c r="M24" s="459"/>
      <c r="N24" s="606">
        <v>17</v>
      </c>
      <c r="O24" s="625" t="str">
        <f t="shared" si="1"/>
        <v>株式会社 バンダイ</v>
      </c>
      <c r="P24" s="626" t="str">
        <f>IF(COUNTIF(O$8:O24,O24)=1,ROW(),"")</f>
        <v/>
      </c>
      <c r="Q24" s="625" t="str">
        <f t="shared" si="2"/>
        <v>株式会社エムアイシー</v>
      </c>
      <c r="R24" s="627" t="s">
        <v>659</v>
      </c>
    </row>
    <row r="25" spans="1:21" ht="15" customHeight="1">
      <c r="A25" s="64"/>
      <c r="B25" s="301">
        <f>IF(AND($F25&lt;&gt;"",$C25=""),MAX($B$7:$B24)+1,"")</f>
        <v>18</v>
      </c>
      <c r="C25" s="290"/>
      <c r="D25" s="623" t="str">
        <f t="shared" si="0"/>
        <v>10018</v>
      </c>
      <c r="E25" s="543" t="s">
        <v>53</v>
      </c>
      <c r="F25" s="544" t="s">
        <v>11</v>
      </c>
      <c r="G25" s="554" t="s">
        <v>182</v>
      </c>
      <c r="H25" s="552"/>
      <c r="I25" s="552"/>
      <c r="J25" s="577"/>
      <c r="K25" s="568"/>
      <c r="L25" s="459"/>
      <c r="M25" s="459"/>
      <c r="N25" s="606">
        <v>18</v>
      </c>
      <c r="O25" s="625" t="str">
        <f t="shared" si="1"/>
        <v>株式会社 バンダイ</v>
      </c>
      <c r="P25" s="626" t="str">
        <f>IF(COUNTIF(O$8:O25,O25)=1,ROW(),"")</f>
        <v/>
      </c>
      <c r="Q25" s="625" t="str">
        <f t="shared" si="2"/>
        <v>株式会社ティーケー・ホールディングス　/　SPチーム</v>
      </c>
      <c r="R25" s="627" t="s">
        <v>660</v>
      </c>
    </row>
    <row r="26" spans="1:21" ht="15" customHeight="1">
      <c r="A26" s="64"/>
      <c r="B26" s="301">
        <f>IF(AND($F26&lt;&gt;"",$C26=""),MAX($B$7:$B25)+1,"")</f>
        <v>19</v>
      </c>
      <c r="C26" s="290"/>
      <c r="D26" s="623" t="str">
        <f t="shared" si="0"/>
        <v>10019</v>
      </c>
      <c r="E26" s="543" t="s">
        <v>53</v>
      </c>
      <c r="F26" s="544" t="s">
        <v>11</v>
      </c>
      <c r="G26" s="554" t="s">
        <v>183</v>
      </c>
      <c r="H26" s="552" t="s">
        <v>527</v>
      </c>
      <c r="I26" s="552" t="s">
        <v>528</v>
      </c>
      <c r="J26" s="577"/>
      <c r="K26" s="568"/>
      <c r="L26" s="459"/>
      <c r="M26" s="459"/>
      <c r="N26" s="606">
        <v>19</v>
      </c>
      <c r="O26" s="625" t="str">
        <f t="shared" si="1"/>
        <v>株式会社 バンダイ　4200／ガールズトイ事業部</v>
      </c>
      <c r="P26" s="626">
        <f>IF(COUNTIF(O$8:O26,O26)=1,ROW(),"")</f>
        <v>26</v>
      </c>
      <c r="Q26" s="625" t="str">
        <f t="shared" si="2"/>
        <v>株式会社ティーケー・ホールディングス　/　5000</v>
      </c>
      <c r="R26" s="627" t="s">
        <v>661</v>
      </c>
    </row>
    <row r="27" spans="1:21" ht="15" customHeight="1">
      <c r="A27" s="64"/>
      <c r="B27" s="301">
        <f>IF(AND($F27&lt;&gt;"",$C27=""),MAX($B$7:$B26)+1,"")</f>
        <v>20</v>
      </c>
      <c r="C27" s="290"/>
      <c r="D27" s="623" t="str">
        <f t="shared" si="0"/>
        <v>10020</v>
      </c>
      <c r="E27" s="543" t="s">
        <v>53</v>
      </c>
      <c r="F27" s="544" t="s">
        <v>11</v>
      </c>
      <c r="G27" s="554" t="s">
        <v>184</v>
      </c>
      <c r="H27" s="552" t="s">
        <v>529</v>
      </c>
      <c r="I27" s="552" t="s">
        <v>528</v>
      </c>
      <c r="J27" s="577"/>
      <c r="K27" s="568"/>
      <c r="L27" s="459"/>
      <c r="M27" s="459"/>
      <c r="N27" s="606">
        <v>20</v>
      </c>
      <c r="O27" s="625" t="str">
        <f t="shared" si="1"/>
        <v>株式会社 バンダイ　5000／ガールズトイ事業部</v>
      </c>
      <c r="P27" s="626">
        <f>IF(COUNTIF(O$8:O27,O27)=1,ROW(),"")</f>
        <v>27</v>
      </c>
      <c r="Q27" s="625" t="str">
        <f t="shared" si="2"/>
        <v>株式会社ティーケーホールディングス/経費</v>
      </c>
      <c r="R27" s="627" t="s">
        <v>662</v>
      </c>
    </row>
    <row r="28" spans="1:21" ht="15" customHeight="1">
      <c r="A28" s="64"/>
      <c r="B28" s="301">
        <f>IF(AND($F28&lt;&gt;"",$C28=""),MAX($B$7:$B27)+1,"")</f>
        <v>21</v>
      </c>
      <c r="C28" s="290"/>
      <c r="D28" s="623" t="str">
        <f t="shared" si="0"/>
        <v>10021</v>
      </c>
      <c r="E28" s="543" t="s">
        <v>53</v>
      </c>
      <c r="F28" s="544" t="s">
        <v>11</v>
      </c>
      <c r="G28" s="554" t="s">
        <v>185</v>
      </c>
      <c r="H28" s="552"/>
      <c r="I28" s="553"/>
      <c r="J28" s="577"/>
      <c r="K28" s="568"/>
      <c r="L28" s="459"/>
      <c r="M28" s="459"/>
      <c r="N28" s="606">
        <v>21</v>
      </c>
      <c r="O28" s="625" t="str">
        <f t="shared" si="1"/>
        <v>株式会社 バンダイ</v>
      </c>
      <c r="P28" s="626" t="str">
        <f>IF(COUNTIF(O$8:O28,O28)=1,ROW(),"")</f>
        <v/>
      </c>
      <c r="Q28" s="625" t="str">
        <f t="shared" si="2"/>
        <v>バンダイビジュアル株式会社</v>
      </c>
      <c r="R28" s="627" t="s">
        <v>663</v>
      </c>
    </row>
    <row r="29" spans="1:21" ht="15" customHeight="1">
      <c r="A29" s="64"/>
      <c r="B29" s="302">
        <f>IF(AND($F29&lt;&gt;"",$C29=""),MAX($B$7:$B28)+1,"")</f>
        <v>22</v>
      </c>
      <c r="C29" s="290"/>
      <c r="D29" s="623" t="str">
        <f t="shared" si="0"/>
        <v>10022</v>
      </c>
      <c r="E29" s="543" t="s">
        <v>53</v>
      </c>
      <c r="F29" s="544" t="s">
        <v>11</v>
      </c>
      <c r="G29" s="554" t="s">
        <v>186</v>
      </c>
      <c r="H29" s="553"/>
      <c r="I29" s="553"/>
      <c r="J29" s="577"/>
      <c r="K29" s="568"/>
      <c r="L29" s="459"/>
      <c r="M29" s="459"/>
      <c r="N29" s="606">
        <v>22</v>
      </c>
      <c r="O29" s="625" t="str">
        <f t="shared" si="1"/>
        <v>株式会社 バンダイ</v>
      </c>
      <c r="P29" s="626" t="str">
        <f>IF(COUNTIF(O$8:O29,O29)=1,ROW(),"")</f>
        <v/>
      </c>
      <c r="Q29" s="625" t="str">
        <f t="shared" si="2"/>
        <v>株式会社フジトーイ</v>
      </c>
      <c r="R29" s="627" t="s">
        <v>664</v>
      </c>
    </row>
    <row r="30" spans="1:21" ht="15" customHeight="1">
      <c r="A30" s="64"/>
      <c r="B30" s="301">
        <f>IF(AND($F30&lt;&gt;"",$C30=""),MAX($B$7:$B29)+1,"")</f>
        <v>23</v>
      </c>
      <c r="C30" s="290"/>
      <c r="D30" s="623" t="str">
        <f t="shared" si="0"/>
        <v>10023</v>
      </c>
      <c r="E30" s="543" t="s">
        <v>53</v>
      </c>
      <c r="F30" s="544" t="s">
        <v>11</v>
      </c>
      <c r="G30" s="554" t="s">
        <v>187</v>
      </c>
      <c r="H30" s="553" t="s">
        <v>631</v>
      </c>
      <c r="I30" s="553" t="s">
        <v>632</v>
      </c>
      <c r="J30" s="577"/>
      <c r="K30" s="568"/>
      <c r="L30" s="459"/>
      <c r="M30" s="459"/>
      <c r="N30" s="606">
        <v>23</v>
      </c>
      <c r="O30" s="625" t="str">
        <f t="shared" si="1"/>
        <v>株式会社 バンダイ　3100／プロダクトマネジメント部</v>
      </c>
      <c r="P30" s="626">
        <f>IF(COUNTIF(O$8:O30,O30)=1,ROW(),"")</f>
        <v>30</v>
      </c>
      <c r="Q30" s="625" t="str">
        <f t="shared" si="2"/>
        <v>株式会社プレジャーキャスト</v>
      </c>
      <c r="R30" s="627" t="s">
        <v>665</v>
      </c>
    </row>
    <row r="31" spans="1:21" ht="15" customHeight="1">
      <c r="A31" s="64"/>
      <c r="B31" s="301">
        <f>IF(AND($F31&lt;&gt;"",$C31=""),MAX($B$7:$B30)+1,"")</f>
        <v>24</v>
      </c>
      <c r="C31" s="290"/>
      <c r="D31" s="623" t="str">
        <f t="shared" si="0"/>
        <v>10024</v>
      </c>
      <c r="E31" s="543" t="s">
        <v>53</v>
      </c>
      <c r="F31" s="544" t="s">
        <v>11</v>
      </c>
      <c r="G31" s="554" t="s">
        <v>188</v>
      </c>
      <c r="H31" s="552"/>
      <c r="I31" s="553"/>
      <c r="J31" s="577"/>
      <c r="K31" s="568"/>
      <c r="L31" s="459"/>
      <c r="M31" s="459"/>
      <c r="N31" s="606">
        <v>24</v>
      </c>
      <c r="O31" s="625" t="str">
        <f t="shared" si="1"/>
        <v>株式会社 バンダイ</v>
      </c>
      <c r="P31" s="626" t="str">
        <f>IF(COUNTIF(O$8:O31,O31)=1,ROW(),"")</f>
        <v/>
      </c>
      <c r="Q31" s="625" t="str">
        <f t="shared" si="2"/>
        <v>株式会社アスキー・メディアワークス</v>
      </c>
      <c r="R31" s="627" t="s">
        <v>666</v>
      </c>
    </row>
    <row r="32" spans="1:21" ht="15" customHeight="1">
      <c r="A32" s="64"/>
      <c r="B32" s="301">
        <f>IF(AND($F32&lt;&gt;"",$C32=""),MAX($B$7:$B31)+1,"")</f>
        <v>25</v>
      </c>
      <c r="C32" s="290"/>
      <c r="D32" s="623" t="str">
        <f t="shared" si="0"/>
        <v>10025</v>
      </c>
      <c r="E32" s="543" t="s">
        <v>53</v>
      </c>
      <c r="F32" s="544" t="s">
        <v>11</v>
      </c>
      <c r="G32" s="554" t="s">
        <v>189</v>
      </c>
      <c r="H32" s="552"/>
      <c r="I32" s="553"/>
      <c r="J32" s="577"/>
      <c r="K32" s="568"/>
      <c r="L32" s="459"/>
      <c r="M32" s="459"/>
      <c r="N32" s="606">
        <v>25</v>
      </c>
      <c r="O32" s="625" t="str">
        <f t="shared" si="1"/>
        <v>株式会社 バンダイ</v>
      </c>
      <c r="P32" s="626" t="str">
        <f>IF(COUNTIF(O$8:O32,O32)=1,ROW(),"")</f>
        <v/>
      </c>
      <c r="Q32" s="625" t="str">
        <f t="shared" si="2"/>
        <v>サミー株式会社</v>
      </c>
      <c r="R32" s="627" t="s">
        <v>667</v>
      </c>
    </row>
    <row r="33" spans="1:18" ht="15" customHeight="1">
      <c r="A33" s="64"/>
      <c r="B33" s="301">
        <f>IF(AND($F33&lt;&gt;"",$C33=""),MAX($B$7:$B32)+1,"")</f>
        <v>26</v>
      </c>
      <c r="C33" s="290"/>
      <c r="D33" s="623" t="str">
        <f t="shared" si="0"/>
        <v>10026</v>
      </c>
      <c r="E33" s="543" t="s">
        <v>53</v>
      </c>
      <c r="F33" s="544" t="s">
        <v>11</v>
      </c>
      <c r="G33" s="554" t="s">
        <v>190</v>
      </c>
      <c r="H33" s="552"/>
      <c r="I33" s="553"/>
      <c r="J33" s="577"/>
      <c r="K33" s="568"/>
      <c r="L33" s="459"/>
      <c r="M33" s="459"/>
      <c r="N33" s="606">
        <v>26</v>
      </c>
      <c r="O33" s="625" t="str">
        <f t="shared" si="1"/>
        <v>株式会社 バンダイ</v>
      </c>
      <c r="P33" s="626" t="str">
        <f>IF(COUNTIF(O$8:O33,O33)=1,ROW(),"")</f>
        <v/>
      </c>
      <c r="Q33" s="625" t="str">
        <f t="shared" si="2"/>
        <v>ボークス株式会社</v>
      </c>
      <c r="R33" s="627" t="s">
        <v>668</v>
      </c>
    </row>
    <row r="34" spans="1:18" ht="15" customHeight="1">
      <c r="A34" s="64"/>
      <c r="B34" s="301">
        <f>IF(AND($F34&lt;&gt;"",$C34=""),MAX($B$7:$B33)+1,"")</f>
        <v>27</v>
      </c>
      <c r="C34" s="290"/>
      <c r="D34" s="623" t="str">
        <f t="shared" si="0"/>
        <v>10000</v>
      </c>
      <c r="E34" s="543" t="s">
        <v>53</v>
      </c>
      <c r="F34" s="544" t="s">
        <v>11</v>
      </c>
      <c r="G34" s="554"/>
      <c r="H34" s="555" t="s">
        <v>89</v>
      </c>
      <c r="I34" s="555" t="s">
        <v>89</v>
      </c>
      <c r="J34" s="577"/>
      <c r="K34" s="568"/>
      <c r="L34" s="459"/>
      <c r="M34" s="459"/>
      <c r="N34" s="606">
        <v>27</v>
      </c>
      <c r="O34" s="625" t="str">
        <f t="shared" si="1"/>
        <v>株式会社 バンダイ部</v>
      </c>
      <c r="P34" s="626">
        <f>IF(COUNTIF(O$8:O34,O34)=1,ROW(),"")</f>
        <v>34</v>
      </c>
      <c r="Q34" s="625" t="str">
        <f t="shared" si="2"/>
        <v>株式会社シービーエー</v>
      </c>
      <c r="R34" s="627" t="s">
        <v>669</v>
      </c>
    </row>
    <row r="35" spans="1:18" ht="15" customHeight="1">
      <c r="A35" s="64"/>
      <c r="B35" s="301" t="str">
        <f>IF(AND($F35&lt;&gt;"",$C35=""),MAX($B$7:$B34)+1,"")</f>
        <v/>
      </c>
      <c r="C35" s="290"/>
      <c r="D35" s="623" t="str">
        <f t="shared" si="0"/>
        <v>00000</v>
      </c>
      <c r="E35" s="543"/>
      <c r="F35" s="544"/>
      <c r="G35" s="554"/>
      <c r="H35" s="555"/>
      <c r="I35" s="555"/>
      <c r="J35" s="577"/>
      <c r="K35" s="568"/>
      <c r="L35" s="459"/>
      <c r="M35" s="459"/>
      <c r="N35" s="606">
        <v>28</v>
      </c>
      <c r="O35" s="625" t="str">
        <f t="shared" si="1"/>
        <v>株式会社BANDAI SPIRITS　4100／コレクターズ事業部</v>
      </c>
      <c r="P35" s="626">
        <f>IF(COUNTIF(O$8:O35,O35)=1,ROW(),"")</f>
        <v>35</v>
      </c>
      <c r="Q35" s="625" t="str">
        <f t="shared" si="2"/>
        <v>石川玩具株式会社</v>
      </c>
      <c r="R35" s="627" t="s">
        <v>670</v>
      </c>
    </row>
    <row r="36" spans="1:18" ht="15" customHeight="1">
      <c r="A36" s="64"/>
      <c r="B36" s="301" t="str">
        <f>IF(AND($F36&lt;&gt;"",$C36=""),MAX($B$7:$B35)+1,"")</f>
        <v/>
      </c>
      <c r="C36" s="290"/>
      <c r="D36" s="623" t="str">
        <f t="shared" si="0"/>
        <v>00000</v>
      </c>
      <c r="E36" s="543"/>
      <c r="F36" s="544"/>
      <c r="G36" s="554"/>
      <c r="H36" s="555"/>
      <c r="I36" s="555"/>
      <c r="J36" s="577"/>
      <c r="K36" s="568"/>
      <c r="L36" s="459"/>
      <c r="M36" s="459"/>
      <c r="N36" s="606">
        <v>29</v>
      </c>
      <c r="O36" s="625" t="str">
        <f t="shared" si="1"/>
        <v>株式会社BANDAI SPIRITS</v>
      </c>
      <c r="P36" s="626">
        <f>IF(COUNTIF(O$8:O36,O36)=1,ROW(),"")</f>
        <v>36</v>
      </c>
      <c r="Q36" s="625" t="str">
        <f t="shared" si="2"/>
        <v>日本食材株式会社</v>
      </c>
      <c r="R36" s="627" t="s">
        <v>671</v>
      </c>
    </row>
    <row r="37" spans="1:18" ht="15" customHeight="1">
      <c r="A37" s="64"/>
      <c r="B37" s="301" t="str">
        <f>IF(AND($F37&lt;&gt;"",$C37=""),MAX($B$7:$B36)+1,"")</f>
        <v/>
      </c>
      <c r="C37" s="290"/>
      <c r="D37" s="623" t="str">
        <f t="shared" si="0"/>
        <v>00000</v>
      </c>
      <c r="E37" s="543"/>
      <c r="F37" s="544"/>
      <c r="G37" s="554"/>
      <c r="H37" s="555"/>
      <c r="I37" s="555"/>
      <c r="J37" s="577"/>
      <c r="K37" s="568"/>
      <c r="L37" s="459"/>
      <c r="M37" s="459"/>
      <c r="N37" s="606">
        <v>30</v>
      </c>
      <c r="O37" s="625" t="str">
        <f t="shared" si="1"/>
        <v>株式会社BANDAI SPIRITS</v>
      </c>
      <c r="P37" s="626" t="str">
        <f>IF(COUNTIF(O$8:O37,O37)=1,ROW(),"")</f>
        <v/>
      </c>
      <c r="Q37" s="625" t="str">
        <f t="shared" si="2"/>
        <v>加藤製菓株式会社</v>
      </c>
      <c r="R37" s="627" t="s">
        <v>672</v>
      </c>
    </row>
    <row r="38" spans="1:18" ht="15" customHeight="1">
      <c r="A38" s="64"/>
      <c r="B38" s="301" t="str">
        <f>IF(AND($F38&lt;&gt;"",$C38=""),MAX($B$7:$B37)+1,"")</f>
        <v/>
      </c>
      <c r="C38" s="290"/>
      <c r="D38" s="623" t="str">
        <f t="shared" si="0"/>
        <v>00000</v>
      </c>
      <c r="E38" s="543"/>
      <c r="F38" s="544"/>
      <c r="G38" s="554"/>
      <c r="H38" s="555"/>
      <c r="I38" s="555"/>
      <c r="J38" s="577"/>
      <c r="K38" s="568"/>
      <c r="L38" s="459"/>
      <c r="M38" s="459"/>
      <c r="N38" s="606">
        <v>31</v>
      </c>
      <c r="O38" s="625" t="str">
        <f t="shared" si="1"/>
        <v>株式会社BANDAI SPIRITS</v>
      </c>
      <c r="P38" s="626" t="str">
        <f>IF(COUNTIF(O$8:O38,O38)=1,ROW(),"")</f>
        <v/>
      </c>
      <c r="Q38" s="625" t="str">
        <f t="shared" si="2"/>
        <v>株式会社サンライズ</v>
      </c>
      <c r="R38" s="627" t="s">
        <v>673</v>
      </c>
    </row>
    <row r="39" spans="1:18" ht="15" customHeight="1">
      <c r="A39" s="64"/>
      <c r="B39" s="301" t="str">
        <f>IF(AND($F39&lt;&gt;"",$C39=""),MAX($B$7:$B38)+1,"")</f>
        <v/>
      </c>
      <c r="C39" s="290"/>
      <c r="D39" s="623" t="str">
        <f t="shared" si="0"/>
        <v>00000</v>
      </c>
      <c r="E39" s="543"/>
      <c r="F39" s="544"/>
      <c r="G39" s="554"/>
      <c r="H39" s="555"/>
      <c r="I39" s="555"/>
      <c r="J39" s="577"/>
      <c r="K39" s="568"/>
      <c r="L39" s="459"/>
      <c r="M39" s="459"/>
      <c r="N39" s="606">
        <v>32</v>
      </c>
      <c r="O39" s="625" t="str">
        <f t="shared" si="1"/>
        <v>株式会社BANDAI SPIRITS</v>
      </c>
      <c r="P39" s="626" t="str">
        <f>IF(COUNTIF(O$8:O39,O39)=1,ROW(),"")</f>
        <v/>
      </c>
      <c r="Q39" s="625" t="str">
        <f t="shared" si="2"/>
        <v>株式会社ナムコ</v>
      </c>
      <c r="R39" s="627" t="s">
        <v>674</v>
      </c>
    </row>
    <row r="40" spans="1:18" ht="15" customHeight="1">
      <c r="A40" s="64"/>
      <c r="B40" s="301">
        <f>IF(AND($F40&lt;&gt;"",$C40=""),MAX($B$7:$B39)+1,"")</f>
        <v>28</v>
      </c>
      <c r="C40" s="290"/>
      <c r="D40" s="623" t="str">
        <f t="shared" si="0"/>
        <v>11001</v>
      </c>
      <c r="E40" s="545" t="s">
        <v>516</v>
      </c>
      <c r="F40" s="546" t="s">
        <v>472</v>
      </c>
      <c r="G40" s="554" t="s">
        <v>27</v>
      </c>
      <c r="H40" s="556" t="s">
        <v>633</v>
      </c>
      <c r="I40" s="556" t="s">
        <v>634</v>
      </c>
      <c r="J40" s="577" t="s">
        <v>80</v>
      </c>
      <c r="K40" s="568">
        <v>15</v>
      </c>
      <c r="L40" s="459"/>
      <c r="M40" s="459"/>
      <c r="N40" s="606">
        <v>33</v>
      </c>
      <c r="O40" s="625" t="str">
        <f t="shared" si="1"/>
        <v>株式会社BANDAI SPIRITS</v>
      </c>
      <c r="P40" s="626" t="str">
        <f>IF(COUNTIF(O$8:O40,O40)=1,ROW(),"")</f>
        <v/>
      </c>
      <c r="Q40" s="625" t="str">
        <f t="shared" si="2"/>
        <v>株式会社ウィンウィンスタイル</v>
      </c>
      <c r="R40" s="627" t="s">
        <v>675</v>
      </c>
    </row>
    <row r="41" spans="1:18" ht="15" customHeight="1">
      <c r="A41" s="64"/>
      <c r="B41" s="301">
        <f>IF(AND($F41&lt;&gt;"",$C41=""),MAX($B$7:$B40)+1,"")</f>
        <v>29</v>
      </c>
      <c r="C41" s="290"/>
      <c r="D41" s="623" t="str">
        <f t="shared" si="0"/>
        <v>11002</v>
      </c>
      <c r="E41" s="545" t="s">
        <v>516</v>
      </c>
      <c r="F41" s="546" t="s">
        <v>472</v>
      </c>
      <c r="G41" s="554" t="s">
        <v>74</v>
      </c>
      <c r="H41" s="553"/>
      <c r="I41" s="553"/>
      <c r="J41" s="577" t="s">
        <v>80</v>
      </c>
      <c r="K41" s="568">
        <v>15</v>
      </c>
      <c r="L41" s="459"/>
      <c r="M41" s="459"/>
      <c r="N41" s="606">
        <v>34</v>
      </c>
      <c r="O41" s="625" t="str">
        <f t="shared" si="1"/>
        <v>株式会社BANDAI SPIRITS</v>
      </c>
      <c r="P41" s="626" t="str">
        <f>IF(COUNTIF(O$8:O41,O41)=1,ROW(),"")</f>
        <v/>
      </c>
      <c r="Q41" s="625" t="str">
        <f t="shared" si="2"/>
        <v>プラネックスコミュニケーションズ株式会社</v>
      </c>
      <c r="R41" s="627" t="s">
        <v>676</v>
      </c>
    </row>
    <row r="42" spans="1:18" ht="15" customHeight="1">
      <c r="A42" s="64"/>
      <c r="B42" s="301">
        <f>IF(AND($F42&lt;&gt;"",$C42=""),MAX($B$7:$B41)+1,"")</f>
        <v>30</v>
      </c>
      <c r="C42" s="290"/>
      <c r="D42" s="623" t="str">
        <f t="shared" si="0"/>
        <v>11003</v>
      </c>
      <c r="E42" s="545" t="s">
        <v>516</v>
      </c>
      <c r="F42" s="546" t="s">
        <v>472</v>
      </c>
      <c r="G42" s="554" t="s">
        <v>73</v>
      </c>
      <c r="H42" s="553"/>
      <c r="I42" s="553"/>
      <c r="J42" s="577" t="s">
        <v>80</v>
      </c>
      <c r="K42" s="568">
        <v>15</v>
      </c>
      <c r="L42" s="459"/>
      <c r="M42" s="459"/>
      <c r="N42" s="606">
        <v>35</v>
      </c>
      <c r="O42" s="625" t="str">
        <f t="shared" si="1"/>
        <v>株式会社バンダイナムコアミューズメント</v>
      </c>
      <c r="P42" s="626">
        <f>IF(COUNTIF(O$8:O42,O42)=1,ROW(),"")</f>
        <v>42</v>
      </c>
      <c r="Q42" s="625" t="str">
        <f t="shared" ref="Q42:Q73" si="3">IF(COUNT(P:P)&lt;ROW(P35),"",INDEX(O:O,SMALL(P:P,ROW(P35))))</f>
        <v>株式会社ダイワトーイ</v>
      </c>
      <c r="R42" s="627" t="s">
        <v>677</v>
      </c>
    </row>
    <row r="43" spans="1:18" ht="15" customHeight="1">
      <c r="A43" s="64"/>
      <c r="B43" s="301">
        <f>IF(AND($F43&lt;&gt;"",$C43=""),MAX($B$7:$B42)+1,"")</f>
        <v>31</v>
      </c>
      <c r="C43" s="290"/>
      <c r="D43" s="623" t="str">
        <f t="shared" si="0"/>
        <v>11004</v>
      </c>
      <c r="E43" s="545" t="s">
        <v>516</v>
      </c>
      <c r="F43" s="546" t="s">
        <v>472</v>
      </c>
      <c r="G43" s="554" t="s">
        <v>90</v>
      </c>
      <c r="H43" s="553"/>
      <c r="I43" s="553"/>
      <c r="J43" s="577" t="s">
        <v>80</v>
      </c>
      <c r="K43" s="568">
        <v>15</v>
      </c>
      <c r="L43" s="459"/>
      <c r="M43" s="459"/>
      <c r="N43" s="606">
        <v>36</v>
      </c>
      <c r="O43" s="625" t="str">
        <f t="shared" si="1"/>
        <v>株式会社バンダイナムコアミューズメント</v>
      </c>
      <c r="P43" s="626" t="str">
        <f>IF(COUNTIF(O$8:O43,O43)=1,ROW(),"")</f>
        <v/>
      </c>
      <c r="Q43" s="625" t="str">
        <f t="shared" si="3"/>
        <v>株式会社プレックス</v>
      </c>
      <c r="R43" s="627" t="s">
        <v>678</v>
      </c>
    </row>
    <row r="44" spans="1:18" ht="15" customHeight="1">
      <c r="A44" s="64"/>
      <c r="B44" s="301">
        <f>IF(AND($F44&lt;&gt;"",$C44=""),MAX($B$7:$B43)+1,"")</f>
        <v>32</v>
      </c>
      <c r="C44" s="290"/>
      <c r="D44" s="623" t="str">
        <f t="shared" si="0"/>
        <v>11005</v>
      </c>
      <c r="E44" s="545" t="s">
        <v>516</v>
      </c>
      <c r="F44" s="546" t="s">
        <v>472</v>
      </c>
      <c r="G44" s="557" t="s">
        <v>94</v>
      </c>
      <c r="H44" s="558"/>
      <c r="I44" s="558"/>
      <c r="J44" s="577" t="s">
        <v>80</v>
      </c>
      <c r="K44" s="568">
        <v>15</v>
      </c>
      <c r="L44" s="459"/>
      <c r="M44" s="459"/>
      <c r="N44" s="606">
        <v>37</v>
      </c>
      <c r="O44" s="625" t="str">
        <f t="shared" si="1"/>
        <v>株式会社バンダイナムコアミューズメント</v>
      </c>
      <c r="P44" s="626" t="str">
        <f>IF(COUNTIF(O$8:O44,O44)=1,ROW(),"")</f>
        <v/>
      </c>
      <c r="Q44" s="625" t="str">
        <f t="shared" si="3"/>
        <v>株式会社シーズ</v>
      </c>
      <c r="R44" s="627" t="s">
        <v>679</v>
      </c>
    </row>
    <row r="45" spans="1:18" ht="15" customHeight="1">
      <c r="A45" s="64"/>
      <c r="B45" s="301">
        <f>IF(AND($F45&lt;&gt;"",$C45=""),MAX($B$7:$B44)+1,"")</f>
        <v>33</v>
      </c>
      <c r="C45" s="290"/>
      <c r="D45" s="623" t="str">
        <f t="shared" si="0"/>
        <v>11006</v>
      </c>
      <c r="E45" s="545" t="s">
        <v>516</v>
      </c>
      <c r="F45" s="546" t="s">
        <v>472</v>
      </c>
      <c r="G45" s="557" t="s">
        <v>100</v>
      </c>
      <c r="H45" s="558"/>
      <c r="I45" s="558"/>
      <c r="J45" s="577" t="s">
        <v>80</v>
      </c>
      <c r="K45" s="568">
        <v>15</v>
      </c>
      <c r="L45" s="459"/>
      <c r="M45" s="459"/>
      <c r="N45" s="606">
        <v>38</v>
      </c>
      <c r="O45" s="625" t="str">
        <f t="shared" si="1"/>
        <v>株式会社バンダイナムコアミューズメント</v>
      </c>
      <c r="P45" s="626" t="str">
        <f>IF(COUNTIF(O$8:O45,O45)=1,ROW(),"")</f>
        <v/>
      </c>
      <c r="Q45" s="625" t="str">
        <f t="shared" si="3"/>
        <v>株式会社スカイ・ジェイ</v>
      </c>
      <c r="R45" s="627" t="s">
        <v>680</v>
      </c>
    </row>
    <row r="46" spans="1:18" ht="15" customHeight="1">
      <c r="A46" s="64"/>
      <c r="B46" s="301">
        <f>IF(AND($F46&lt;&gt;"",$C46=""),MAX($B$7:$B45)+1,"")</f>
        <v>34</v>
      </c>
      <c r="C46" s="290"/>
      <c r="D46" s="623" t="str">
        <f t="shared" si="0"/>
        <v>11099</v>
      </c>
      <c r="E46" s="545" t="s">
        <v>516</v>
      </c>
      <c r="F46" s="546" t="s">
        <v>472</v>
      </c>
      <c r="G46" s="557" t="s">
        <v>471</v>
      </c>
      <c r="H46" s="558"/>
      <c r="I46" s="558"/>
      <c r="J46" s="577" t="s">
        <v>80</v>
      </c>
      <c r="K46" s="568">
        <v>15</v>
      </c>
      <c r="L46" s="459"/>
      <c r="M46" s="459"/>
      <c r="N46" s="606">
        <v>39</v>
      </c>
      <c r="O46" s="625" t="str">
        <f t="shared" si="1"/>
        <v>株式会社バンダイナムコアミューズメント</v>
      </c>
      <c r="P46" s="626" t="str">
        <f>IF(COUNTIF(O$8:O46,O46)=1,ROW(),"")</f>
        <v/>
      </c>
      <c r="Q46" s="625" t="str">
        <f t="shared" si="3"/>
        <v>株式会社カプコン</v>
      </c>
      <c r="R46" s="627" t="s">
        <v>681</v>
      </c>
    </row>
    <row r="47" spans="1:18" ht="15" customHeight="1">
      <c r="A47" s="64"/>
      <c r="B47" s="301" t="str">
        <f>IF(AND($F47&lt;&gt;"",$C47=""),MAX($B$7:$B46)+1,"")</f>
        <v/>
      </c>
      <c r="C47" s="290"/>
      <c r="D47" s="623" t="str">
        <f t="shared" si="0"/>
        <v>00000</v>
      </c>
      <c r="E47" s="543"/>
      <c r="F47" s="544"/>
      <c r="G47" s="554"/>
      <c r="H47" s="555"/>
      <c r="I47" s="555"/>
      <c r="J47" s="577"/>
      <c r="K47" s="568"/>
      <c r="L47" s="459"/>
      <c r="M47" s="459"/>
      <c r="N47" s="606">
        <v>40</v>
      </c>
      <c r="O47" s="625" t="str">
        <f t="shared" si="1"/>
        <v>株式会社バンダイナムコアミューズメント</v>
      </c>
      <c r="P47" s="626" t="str">
        <f>IF(COUNTIF(O$8:O47,O47)=1,ROW(),"")</f>
        <v/>
      </c>
      <c r="Q47" s="625" t="str">
        <f t="shared" si="3"/>
        <v>株式会社そごう・西武</v>
      </c>
      <c r="R47" s="627" t="s">
        <v>682</v>
      </c>
    </row>
    <row r="48" spans="1:18" ht="15" customHeight="1">
      <c r="A48" s="64"/>
      <c r="B48" s="301" t="str">
        <f>IF(AND($F48&lt;&gt;"",$C48=""),MAX($B$7:$B47)+1,"")</f>
        <v/>
      </c>
      <c r="C48" s="290"/>
      <c r="D48" s="623" t="str">
        <f t="shared" si="0"/>
        <v>00000</v>
      </c>
      <c r="E48" s="543"/>
      <c r="F48" s="544"/>
      <c r="G48" s="554"/>
      <c r="H48" s="555"/>
      <c r="I48" s="555"/>
      <c r="J48" s="577"/>
      <c r="K48" s="568"/>
      <c r="L48" s="459"/>
      <c r="M48" s="459"/>
      <c r="N48" s="606">
        <v>41</v>
      </c>
      <c r="O48" s="625" t="str">
        <f t="shared" si="1"/>
        <v>株式会社バンダイナムコアミューズメント</v>
      </c>
      <c r="P48" s="626" t="str">
        <f>IF(COUNTIF(O$8:O48,O48)=1,ROW(),"")</f>
        <v/>
      </c>
      <c r="Q48" s="625" t="str">
        <f t="shared" si="3"/>
        <v>株式会社ティー・シー・ピー</v>
      </c>
      <c r="R48" s="627" t="s">
        <v>683</v>
      </c>
    </row>
    <row r="49" spans="1:18" ht="15" customHeight="1">
      <c r="A49" s="64"/>
      <c r="B49" s="301" t="str">
        <f>IF(AND($F49&lt;&gt;"",$C49=""),MAX($B$7:$B48)+1,"")</f>
        <v/>
      </c>
      <c r="C49" s="290"/>
      <c r="D49" s="623" t="str">
        <f t="shared" si="0"/>
        <v>00000</v>
      </c>
      <c r="E49" s="543"/>
      <c r="F49" s="544"/>
      <c r="G49" s="554"/>
      <c r="H49" s="555"/>
      <c r="I49" s="555"/>
      <c r="J49" s="577"/>
      <c r="K49" s="568"/>
      <c r="L49" s="459"/>
      <c r="M49" s="459"/>
      <c r="N49" s="606">
        <v>42</v>
      </c>
      <c r="O49" s="625" t="str">
        <f t="shared" si="1"/>
        <v>株式会社 バンプレスト　マーケティング事業部</v>
      </c>
      <c r="P49" s="626">
        <f>IF(COUNTIF(O$8:O49,O49)=1,ROW(),"")</f>
        <v>49</v>
      </c>
      <c r="Q49" s="625" t="str">
        <f t="shared" si="3"/>
        <v>総合商研株式会社</v>
      </c>
      <c r="R49" s="627" t="s">
        <v>684</v>
      </c>
    </row>
    <row r="50" spans="1:18" ht="15" customHeight="1">
      <c r="A50" s="64"/>
      <c r="B50" s="301" t="str">
        <f>IF(AND($F50&lt;&gt;"",$C50=""),MAX($B$7:$B49)+1,"")</f>
        <v/>
      </c>
      <c r="C50" s="290"/>
      <c r="D50" s="623" t="str">
        <f t="shared" si="0"/>
        <v>00000</v>
      </c>
      <c r="E50" s="543"/>
      <c r="F50" s="544"/>
      <c r="G50" s="554"/>
      <c r="H50" s="555"/>
      <c r="I50" s="555"/>
      <c r="J50" s="577"/>
      <c r="K50" s="568"/>
      <c r="L50" s="459"/>
      <c r="M50" s="459"/>
      <c r="N50" s="606">
        <v>43</v>
      </c>
      <c r="O50" s="625" t="str">
        <f t="shared" si="1"/>
        <v>株式会社 アートプレスト　/　3100</v>
      </c>
      <c r="P50" s="626">
        <f>IF(COUNTIF(O$8:O50,O50)=1,ROW(),"")</f>
        <v>50</v>
      </c>
      <c r="Q50" s="625" t="str">
        <f t="shared" si="3"/>
        <v>株式会社ポリゴン・ピクチュアズ</v>
      </c>
      <c r="R50" s="627" t="s">
        <v>685</v>
      </c>
    </row>
    <row r="51" spans="1:18" ht="15" customHeight="1">
      <c r="A51" s="64"/>
      <c r="B51" s="301">
        <f>IF(AND($F51&lt;&gt;"",$C51=""),MAX($B$7:$B50)+1,"")</f>
        <v>35</v>
      </c>
      <c r="C51" s="290"/>
      <c r="D51" s="623" t="str">
        <f t="shared" si="0"/>
        <v>12001</v>
      </c>
      <c r="E51" s="545" t="s">
        <v>517</v>
      </c>
      <c r="F51" s="546" t="s">
        <v>640</v>
      </c>
      <c r="G51" s="554" t="s">
        <v>27</v>
      </c>
      <c r="H51" s="556"/>
      <c r="I51" s="556"/>
      <c r="J51" s="577" t="s">
        <v>120</v>
      </c>
      <c r="K51" s="568" t="s">
        <v>120</v>
      </c>
      <c r="L51" s="459"/>
      <c r="M51" s="459"/>
      <c r="N51" s="606">
        <v>44</v>
      </c>
      <c r="O51" s="625" t="str">
        <f t="shared" si="1"/>
        <v>株式会社エムアイシー</v>
      </c>
      <c r="P51" s="626">
        <f>IF(COUNTIF(O$8:O51,O51)=1,ROW(),"")</f>
        <v>51</v>
      </c>
      <c r="Q51" s="625" t="str">
        <f t="shared" si="3"/>
        <v>株式会社フォーチュンエンターテイメント</v>
      </c>
      <c r="R51" s="627" t="s">
        <v>686</v>
      </c>
    </row>
    <row r="52" spans="1:18" ht="15" customHeight="1">
      <c r="A52" s="64"/>
      <c r="B52" s="301">
        <f>IF(AND($F52&lt;&gt;"",$C52=""),MAX($B$7:$B51)+1,"")</f>
        <v>36</v>
      </c>
      <c r="C52" s="290"/>
      <c r="D52" s="623" t="str">
        <f t="shared" si="0"/>
        <v>12002</v>
      </c>
      <c r="E52" s="545" t="s">
        <v>517</v>
      </c>
      <c r="F52" s="546" t="s">
        <v>640</v>
      </c>
      <c r="G52" s="554" t="s">
        <v>74</v>
      </c>
      <c r="H52" s="553"/>
      <c r="I52" s="553"/>
      <c r="J52" s="577" t="s">
        <v>120</v>
      </c>
      <c r="K52" s="568" t="s">
        <v>120</v>
      </c>
      <c r="L52" s="459"/>
      <c r="M52" s="459"/>
      <c r="N52" s="606">
        <v>45</v>
      </c>
      <c r="O52" s="625" t="str">
        <f t="shared" si="1"/>
        <v>株式会社ティーケー・ホールディングス　/　SPチーム</v>
      </c>
      <c r="P52" s="626">
        <f>IF(COUNTIF(O$8:O52,O52)=1,ROW(),"")</f>
        <v>52</v>
      </c>
      <c r="Q52" s="625" t="str">
        <f t="shared" si="3"/>
        <v>キングレコード株式会社</v>
      </c>
      <c r="R52" s="627" t="s">
        <v>687</v>
      </c>
    </row>
    <row r="53" spans="1:18" ht="15" customHeight="1">
      <c r="A53" s="64"/>
      <c r="B53" s="301">
        <f>IF(AND($F53&lt;&gt;"",$C53=""),MAX($B$7:$B52)+1,"")</f>
        <v>37</v>
      </c>
      <c r="C53" s="290"/>
      <c r="D53" s="623" t="str">
        <f t="shared" si="0"/>
        <v>12003</v>
      </c>
      <c r="E53" s="545" t="s">
        <v>517</v>
      </c>
      <c r="F53" s="546" t="s">
        <v>640</v>
      </c>
      <c r="G53" s="554" t="s">
        <v>73</v>
      </c>
      <c r="H53" s="553"/>
      <c r="I53" s="553"/>
      <c r="J53" s="577" t="s">
        <v>120</v>
      </c>
      <c r="K53" s="568" t="s">
        <v>120</v>
      </c>
      <c r="L53" s="459"/>
      <c r="M53" s="459"/>
      <c r="N53" s="606">
        <v>46</v>
      </c>
      <c r="O53" s="625" t="str">
        <f t="shared" si="1"/>
        <v>株式会社ティーケー・ホールディングス　/　5000</v>
      </c>
      <c r="P53" s="626">
        <f>IF(COUNTIF(O$8:O53,O53)=1,ROW(),"")</f>
        <v>53</v>
      </c>
      <c r="Q53" s="625" t="str">
        <f t="shared" si="3"/>
        <v>ソニー株式会社</v>
      </c>
      <c r="R53" s="627" t="s">
        <v>688</v>
      </c>
    </row>
    <row r="54" spans="1:18" ht="15" customHeight="1">
      <c r="A54" s="64"/>
      <c r="B54" s="301">
        <f>IF(AND($F54&lt;&gt;"",$C54=""),MAX($B$7:$B53)+1,"")</f>
        <v>38</v>
      </c>
      <c r="C54" s="290"/>
      <c r="D54" s="623" t="str">
        <f t="shared" si="0"/>
        <v>12004</v>
      </c>
      <c r="E54" s="545" t="s">
        <v>517</v>
      </c>
      <c r="F54" s="546" t="s">
        <v>640</v>
      </c>
      <c r="G54" s="554" t="s">
        <v>90</v>
      </c>
      <c r="H54" s="553"/>
      <c r="I54" s="553"/>
      <c r="J54" s="577" t="s">
        <v>120</v>
      </c>
      <c r="K54" s="568" t="s">
        <v>120</v>
      </c>
      <c r="L54" s="459"/>
      <c r="M54" s="459"/>
      <c r="N54" s="606">
        <v>47</v>
      </c>
      <c r="O54" s="625" t="str">
        <f t="shared" si="1"/>
        <v>株式会社ティーケーホールディングス/経費</v>
      </c>
      <c r="P54" s="626">
        <f>IF(COUNTIF(O$8:O54,O54)=1,ROW(),"")</f>
        <v>54</v>
      </c>
      <c r="Q54" s="625" t="str">
        <f t="shared" si="3"/>
        <v>株式会社ブイシンク</v>
      </c>
      <c r="R54" s="627" t="s">
        <v>689</v>
      </c>
    </row>
    <row r="55" spans="1:18" ht="15" customHeight="1">
      <c r="A55" s="64"/>
      <c r="B55" s="301">
        <f>IF(AND($F55&lt;&gt;"",$C55=""),MAX($B$7:$B54)+1,"")</f>
        <v>39</v>
      </c>
      <c r="C55" s="290"/>
      <c r="D55" s="623" t="str">
        <f t="shared" si="0"/>
        <v>12005</v>
      </c>
      <c r="E55" s="545" t="s">
        <v>517</v>
      </c>
      <c r="F55" s="546" t="s">
        <v>640</v>
      </c>
      <c r="G55" s="557" t="s">
        <v>94</v>
      </c>
      <c r="H55" s="558"/>
      <c r="I55" s="558"/>
      <c r="J55" s="577"/>
      <c r="K55" s="568"/>
      <c r="L55" s="459"/>
      <c r="M55" s="459"/>
      <c r="N55" s="606">
        <v>48</v>
      </c>
      <c r="O55" s="625" t="str">
        <f t="shared" si="1"/>
        <v>バンダイビジュアル株式会社</v>
      </c>
      <c r="P55" s="626">
        <f>IF(COUNTIF(O$8:O55,O55)=1,ROW(),"")</f>
        <v>55</v>
      </c>
      <c r="Q55" s="625" t="str">
        <f t="shared" si="3"/>
        <v>有限会社ユハラ・インターナショナル</v>
      </c>
      <c r="R55" s="627" t="s">
        <v>690</v>
      </c>
    </row>
    <row r="56" spans="1:18" ht="15" customHeight="1">
      <c r="A56" s="64"/>
      <c r="B56" s="301">
        <f>IF(AND($F56&lt;&gt;"",$C56=""),MAX($B$7:$B55)+1,"")</f>
        <v>40</v>
      </c>
      <c r="C56" s="290"/>
      <c r="D56" s="623" t="str">
        <f t="shared" si="0"/>
        <v>12006</v>
      </c>
      <c r="E56" s="545" t="s">
        <v>517</v>
      </c>
      <c r="F56" s="546" t="s">
        <v>640</v>
      </c>
      <c r="G56" s="557" t="s">
        <v>100</v>
      </c>
      <c r="H56" s="558"/>
      <c r="I56" s="558"/>
      <c r="J56" s="577"/>
      <c r="K56" s="568"/>
      <c r="L56" s="459"/>
      <c r="M56" s="459"/>
      <c r="N56" s="606">
        <v>49</v>
      </c>
      <c r="O56" s="625" t="str">
        <f t="shared" si="1"/>
        <v>株式会社フジトーイ</v>
      </c>
      <c r="P56" s="626">
        <f>IF(COUNTIF(O$8:O56,O56)=1,ROW(),"")</f>
        <v>56</v>
      </c>
      <c r="Q56" s="625" t="str">
        <f t="shared" si="3"/>
        <v>株式会社ライブ・ワークス</v>
      </c>
      <c r="R56" s="627" t="s">
        <v>691</v>
      </c>
    </row>
    <row r="57" spans="1:18" ht="15" customHeight="1">
      <c r="A57" s="64"/>
      <c r="B57" s="301">
        <f>IF(AND($F57&lt;&gt;"",$C57=""),MAX($B$7:$B56)+1,"")</f>
        <v>41</v>
      </c>
      <c r="C57" s="290"/>
      <c r="D57" s="623" t="str">
        <f t="shared" si="0"/>
        <v>12099</v>
      </c>
      <c r="E57" s="545" t="s">
        <v>517</v>
      </c>
      <c r="F57" s="546" t="s">
        <v>640</v>
      </c>
      <c r="G57" s="557" t="s">
        <v>471</v>
      </c>
      <c r="H57" s="558"/>
      <c r="I57" s="558"/>
      <c r="J57" s="577"/>
      <c r="K57" s="568"/>
      <c r="L57" s="459"/>
      <c r="M57" s="459"/>
      <c r="N57" s="606">
        <v>50</v>
      </c>
      <c r="O57" s="625" t="str">
        <f t="shared" si="1"/>
        <v>株式会社プレジャーキャスト</v>
      </c>
      <c r="P57" s="626">
        <f>IF(COUNTIF(O$8:O57,O57)=1,ROW(),"")</f>
        <v>57</v>
      </c>
      <c r="Q57" s="625" t="str">
        <f t="shared" si="3"/>
        <v>株式会社ロジパルエクスプレス　3200/川崎営業所</v>
      </c>
      <c r="R57" s="627" t="s">
        <v>692</v>
      </c>
    </row>
    <row r="58" spans="1:18" ht="15" customHeight="1">
      <c r="A58" s="64"/>
      <c r="B58" s="301" t="str">
        <f>IF(AND($F58&lt;&gt;"",$C58=""),MAX($B$7:$B57)+1,"")</f>
        <v/>
      </c>
      <c r="C58" s="290"/>
      <c r="D58" s="623" t="str">
        <f t="shared" si="0"/>
        <v>00000</v>
      </c>
      <c r="E58" s="543"/>
      <c r="F58" s="544"/>
      <c r="G58" s="554"/>
      <c r="H58" s="555"/>
      <c r="I58" s="555"/>
      <c r="J58" s="577"/>
      <c r="K58" s="568"/>
      <c r="L58" s="459"/>
      <c r="M58" s="459"/>
      <c r="N58" s="606">
        <v>51</v>
      </c>
      <c r="O58" s="625" t="str">
        <f t="shared" si="1"/>
        <v>株式会社アスキー・メディアワークス</v>
      </c>
      <c r="P58" s="626">
        <f>IF(COUNTIF(O$8:O58,O58)=1,ROW(),"")</f>
        <v>58</v>
      </c>
      <c r="Q58" s="625" t="str">
        <f t="shared" si="3"/>
        <v>株式会社バンジハンエース</v>
      </c>
      <c r="R58" s="627" t="s">
        <v>693</v>
      </c>
    </row>
    <row r="59" spans="1:18" ht="15" customHeight="1">
      <c r="A59" s="64"/>
      <c r="B59" s="301" t="str">
        <f>IF(AND($F59&lt;&gt;"",$C59=""),MAX($B$7:$B58)+1,"")</f>
        <v/>
      </c>
      <c r="C59" s="290"/>
      <c r="D59" s="623" t="str">
        <f t="shared" si="0"/>
        <v>00000</v>
      </c>
      <c r="E59" s="543"/>
      <c r="F59" s="544"/>
      <c r="G59" s="554"/>
      <c r="H59" s="555"/>
      <c r="I59" s="555"/>
      <c r="J59" s="577"/>
      <c r="K59" s="568"/>
      <c r="L59" s="459"/>
      <c r="M59" s="459"/>
      <c r="N59" s="606">
        <v>52</v>
      </c>
      <c r="O59" s="625" t="str">
        <f t="shared" si="1"/>
        <v>サミー株式会社</v>
      </c>
      <c r="P59" s="626">
        <f>IF(COUNTIF(O$8:O59,O59)=1,ROW(),"")</f>
        <v>59</v>
      </c>
      <c r="Q59" s="625" t="str">
        <f t="shared" si="3"/>
        <v/>
      </c>
      <c r="R59" s="627"/>
    </row>
    <row r="60" spans="1:18" ht="15" customHeight="1">
      <c r="A60" s="64"/>
      <c r="B60" s="301" t="str">
        <f>IF(AND($F60&lt;&gt;"",$C60=""),MAX($B$7:$B59)+1,"")</f>
        <v/>
      </c>
      <c r="C60" s="290"/>
      <c r="D60" s="623" t="str">
        <f t="shared" si="0"/>
        <v>00000</v>
      </c>
      <c r="E60" s="543"/>
      <c r="F60" s="544"/>
      <c r="G60" s="554"/>
      <c r="H60" s="555"/>
      <c r="I60" s="555"/>
      <c r="J60" s="577"/>
      <c r="K60" s="568"/>
      <c r="L60" s="459"/>
      <c r="M60" s="459"/>
      <c r="N60" s="606">
        <v>53</v>
      </c>
      <c r="O60" s="625" t="str">
        <f t="shared" si="1"/>
        <v>ボークス株式会社</v>
      </c>
      <c r="P60" s="626">
        <f>IF(COUNTIF(O$8:O60,O60)=1,ROW(),"")</f>
        <v>60</v>
      </c>
      <c r="Q60" s="625" t="str">
        <f t="shared" si="3"/>
        <v/>
      </c>
      <c r="R60" s="627"/>
    </row>
    <row r="61" spans="1:18" ht="15" customHeight="1">
      <c r="A61" s="64"/>
      <c r="B61" s="301" t="str">
        <f>IF(AND($F61&lt;&gt;"",$C61=""),MAX($B$7:$B60)+1,"")</f>
        <v/>
      </c>
      <c r="C61" s="290"/>
      <c r="D61" s="623" t="str">
        <f t="shared" si="0"/>
        <v>00000</v>
      </c>
      <c r="E61" s="543"/>
      <c r="F61" s="544"/>
      <c r="G61" s="554"/>
      <c r="H61" s="555"/>
      <c r="I61" s="555"/>
      <c r="J61" s="577"/>
      <c r="K61" s="568"/>
      <c r="L61" s="459"/>
      <c r="M61" s="459"/>
      <c r="N61" s="606">
        <v>54</v>
      </c>
      <c r="O61" s="625" t="str">
        <f t="shared" si="1"/>
        <v>株式会社シービーエー</v>
      </c>
      <c r="P61" s="626">
        <f>IF(COUNTIF(O$8:O61,O61)=1,ROW(),"")</f>
        <v>61</v>
      </c>
      <c r="Q61" s="625" t="str">
        <f t="shared" si="3"/>
        <v/>
      </c>
      <c r="R61" s="627"/>
    </row>
    <row r="62" spans="1:18" ht="15" customHeight="1">
      <c r="A62" s="64"/>
      <c r="B62" s="301" t="str">
        <f>IF(AND($F62&lt;&gt;"",$C62=""),MAX($B$7:$B61)+1,"")</f>
        <v/>
      </c>
      <c r="C62" s="290"/>
      <c r="D62" s="623" t="str">
        <f t="shared" si="0"/>
        <v>00000</v>
      </c>
      <c r="E62" s="543"/>
      <c r="F62" s="544"/>
      <c r="G62" s="554"/>
      <c r="H62" s="555"/>
      <c r="I62" s="555"/>
      <c r="J62" s="577"/>
      <c r="K62" s="568"/>
      <c r="L62" s="459"/>
      <c r="M62" s="459"/>
      <c r="N62" s="606">
        <v>55</v>
      </c>
      <c r="O62" s="625" t="str">
        <f t="shared" si="1"/>
        <v>石川玩具株式会社</v>
      </c>
      <c r="P62" s="626">
        <f>IF(COUNTIF(O$8:O62,O62)=1,ROW(),"")</f>
        <v>62</v>
      </c>
      <c r="Q62" s="625" t="str">
        <f t="shared" si="3"/>
        <v/>
      </c>
      <c r="R62" s="627"/>
    </row>
    <row r="63" spans="1:18" ht="15" customHeight="1">
      <c r="A63" s="64"/>
      <c r="B63" s="301" t="str">
        <f>IF(AND($F63&lt;&gt;"",$C63=""),MAX($B$7:$B62)+1,"")</f>
        <v/>
      </c>
      <c r="C63" s="290"/>
      <c r="D63" s="623" t="str">
        <f t="shared" si="0"/>
        <v>00000</v>
      </c>
      <c r="E63" s="543"/>
      <c r="F63" s="544"/>
      <c r="G63" s="554"/>
      <c r="H63" s="555"/>
      <c r="I63" s="555"/>
      <c r="J63" s="577"/>
      <c r="K63" s="568"/>
      <c r="L63" s="459"/>
      <c r="M63" s="459"/>
      <c r="N63" s="606">
        <v>56</v>
      </c>
      <c r="O63" s="625" t="str">
        <f t="shared" si="1"/>
        <v>日本食材株式会社</v>
      </c>
      <c r="P63" s="626">
        <f>IF(COUNTIF(O$8:O63,O63)=1,ROW(),"")</f>
        <v>63</v>
      </c>
      <c r="Q63" s="625" t="str">
        <f t="shared" si="3"/>
        <v/>
      </c>
      <c r="R63" s="627"/>
    </row>
    <row r="64" spans="1:18" ht="15" customHeight="1">
      <c r="A64" s="64"/>
      <c r="B64" s="301" t="str">
        <f>IF(AND($F64&lt;&gt;"",$C64=""),MAX($B$7:$B63)+1,"")</f>
        <v/>
      </c>
      <c r="C64" s="290">
        <v>1</v>
      </c>
      <c r="D64" s="623" t="str">
        <f t="shared" si="0"/>
        <v>40001</v>
      </c>
      <c r="E64" s="545" t="s">
        <v>518</v>
      </c>
      <c r="F64" s="544" t="s">
        <v>12</v>
      </c>
      <c r="G64" s="554" t="s">
        <v>27</v>
      </c>
      <c r="H64" s="559" t="s">
        <v>212</v>
      </c>
      <c r="I64" s="559" t="s">
        <v>160</v>
      </c>
      <c r="J64" s="577" t="s">
        <v>80</v>
      </c>
      <c r="K64" s="568">
        <v>15</v>
      </c>
      <c r="L64" s="430" t="s">
        <v>102</v>
      </c>
      <c r="M64" s="458"/>
      <c r="N64" s="606">
        <v>57</v>
      </c>
      <c r="O64" s="625" t="str">
        <f t="shared" si="1"/>
        <v>加藤製菓株式会社</v>
      </c>
      <c r="P64" s="626">
        <f>IF(COUNTIF(O$8:O64,O64)=1,ROW(),"")</f>
        <v>64</v>
      </c>
      <c r="Q64" s="625" t="str">
        <f t="shared" si="3"/>
        <v/>
      </c>
      <c r="R64" s="627"/>
    </row>
    <row r="65" spans="1:18" ht="15" customHeight="1">
      <c r="A65" s="64"/>
      <c r="B65" s="301">
        <f>IF(AND($F65&lt;&gt;"",$C65=""),MAX($B$7:$B64)+1,"")</f>
        <v>42</v>
      </c>
      <c r="C65" s="290"/>
      <c r="D65" s="623" t="str">
        <f t="shared" si="0"/>
        <v>40002</v>
      </c>
      <c r="E65" s="545" t="s">
        <v>518</v>
      </c>
      <c r="F65" s="544" t="s">
        <v>12</v>
      </c>
      <c r="G65" s="554" t="s">
        <v>74</v>
      </c>
      <c r="H65" s="553" t="s">
        <v>213</v>
      </c>
      <c r="I65" s="553" t="s">
        <v>39</v>
      </c>
      <c r="J65" s="577"/>
      <c r="K65" s="568"/>
      <c r="L65" s="459"/>
      <c r="M65" s="459"/>
      <c r="N65" s="606">
        <v>58</v>
      </c>
      <c r="O65" s="625" t="str">
        <f t="shared" si="1"/>
        <v>株式会社サンライズ</v>
      </c>
      <c r="P65" s="626">
        <f>IF(COUNTIF(O$8:O65,O65)=1,ROW(),"")</f>
        <v>65</v>
      </c>
      <c r="Q65" s="625" t="str">
        <f t="shared" si="3"/>
        <v/>
      </c>
      <c r="R65" s="627"/>
    </row>
    <row r="66" spans="1:18" ht="15" customHeight="1">
      <c r="A66" s="64"/>
      <c r="B66" s="301" t="str">
        <f>IF(AND($F66&lt;&gt;"",$C66=""),MAX($B$7:$B65)+1,"")</f>
        <v/>
      </c>
      <c r="C66" s="290">
        <v>1</v>
      </c>
      <c r="D66" s="623" t="str">
        <f t="shared" si="0"/>
        <v>40003</v>
      </c>
      <c r="E66" s="545" t="s">
        <v>518</v>
      </c>
      <c r="F66" s="544" t="s">
        <v>12</v>
      </c>
      <c r="G66" s="554" t="s">
        <v>73</v>
      </c>
      <c r="H66" s="552" t="s">
        <v>203</v>
      </c>
      <c r="I66" s="553" t="s">
        <v>91</v>
      </c>
      <c r="J66" s="577"/>
      <c r="K66" s="568"/>
      <c r="L66" s="459"/>
      <c r="M66" s="459"/>
      <c r="N66" s="606">
        <v>59</v>
      </c>
      <c r="O66" s="625" t="str">
        <f t="shared" si="1"/>
        <v>株式会社ナムコ</v>
      </c>
      <c r="P66" s="626">
        <f>IF(COUNTIF(O$8:O66,O66)=1,ROW(),"")</f>
        <v>66</v>
      </c>
      <c r="Q66" s="625" t="str">
        <f t="shared" si="3"/>
        <v/>
      </c>
      <c r="R66" s="627"/>
    </row>
    <row r="67" spans="1:18" ht="15" customHeight="1">
      <c r="A67" s="64"/>
      <c r="B67" s="301" t="str">
        <f>IF(AND($F67&lt;&gt;"",$C67=""),MAX($B$7:$B66)+1,"")</f>
        <v/>
      </c>
      <c r="C67" s="290">
        <v>1</v>
      </c>
      <c r="D67" s="623" t="str">
        <f t="shared" si="0"/>
        <v>40004</v>
      </c>
      <c r="E67" s="545" t="s">
        <v>518</v>
      </c>
      <c r="F67" s="544" t="s">
        <v>12</v>
      </c>
      <c r="G67" s="554" t="s">
        <v>90</v>
      </c>
      <c r="H67" s="552" t="s">
        <v>204</v>
      </c>
      <c r="I67" s="553" t="s">
        <v>91</v>
      </c>
      <c r="J67" s="577"/>
      <c r="K67" s="568"/>
      <c r="L67" s="459"/>
      <c r="M67" s="459"/>
      <c r="N67" s="606">
        <v>60</v>
      </c>
      <c r="O67" s="625" t="str">
        <f t="shared" si="1"/>
        <v>株式会社ウィンウィンスタイル</v>
      </c>
      <c r="P67" s="626">
        <f>IF(COUNTIF(O$8:O67,O67)=1,ROW(),"")</f>
        <v>67</v>
      </c>
      <c r="Q67" s="625" t="str">
        <f t="shared" si="3"/>
        <v/>
      </c>
      <c r="R67" s="627"/>
    </row>
    <row r="68" spans="1:18" ht="15" customHeight="1">
      <c r="A68" s="64"/>
      <c r="B68" s="301" t="str">
        <f>IF(AND($F68&lt;&gt;"",$C68=""),MAX($B$7:$B67)+1,"")</f>
        <v/>
      </c>
      <c r="C68" s="290">
        <v>1</v>
      </c>
      <c r="D68" s="623" t="str">
        <f t="shared" si="0"/>
        <v>40005</v>
      </c>
      <c r="E68" s="545" t="s">
        <v>518</v>
      </c>
      <c r="F68" s="544" t="s">
        <v>12</v>
      </c>
      <c r="G68" s="557" t="s">
        <v>94</v>
      </c>
      <c r="H68" s="560" t="s">
        <v>201</v>
      </c>
      <c r="I68" s="558" t="s">
        <v>103</v>
      </c>
      <c r="J68" s="577"/>
      <c r="K68" s="568"/>
      <c r="L68" s="459"/>
      <c r="M68" s="459"/>
      <c r="N68" s="606">
        <v>61</v>
      </c>
      <c r="O68" s="625" t="str">
        <f t="shared" si="1"/>
        <v>プラネックスコミュニケーションズ株式会社</v>
      </c>
      <c r="P68" s="626">
        <f>IF(COUNTIF(O$8:O68,O68)=1,ROW(),"")</f>
        <v>68</v>
      </c>
      <c r="Q68" s="625" t="str">
        <f t="shared" si="3"/>
        <v/>
      </c>
      <c r="R68" s="627"/>
    </row>
    <row r="69" spans="1:18" ht="15" customHeight="1">
      <c r="A69" s="64"/>
      <c r="B69" s="301" t="str">
        <f>IF(AND($F69&lt;&gt;"",$C69=""),MAX($B$7:$B68)+1,"")</f>
        <v/>
      </c>
      <c r="C69" s="290">
        <v>1</v>
      </c>
      <c r="D69" s="623" t="str">
        <f t="shared" si="0"/>
        <v>40006</v>
      </c>
      <c r="E69" s="545" t="s">
        <v>518</v>
      </c>
      <c r="F69" s="544" t="s">
        <v>12</v>
      </c>
      <c r="G69" s="557" t="s">
        <v>100</v>
      </c>
      <c r="H69" s="560" t="s">
        <v>214</v>
      </c>
      <c r="I69" s="558" t="s">
        <v>103</v>
      </c>
      <c r="J69" s="577"/>
      <c r="K69" s="568"/>
      <c r="L69" s="459"/>
      <c r="M69" s="459"/>
      <c r="N69" s="606">
        <v>62</v>
      </c>
      <c r="O69" s="625" t="str">
        <f t="shared" si="1"/>
        <v>株式会社ダイワトーイ</v>
      </c>
      <c r="P69" s="626">
        <f>IF(COUNTIF(O$8:O69,O69)=1,ROW(),"")</f>
        <v>69</v>
      </c>
      <c r="Q69" s="625" t="str">
        <f t="shared" si="3"/>
        <v/>
      </c>
      <c r="R69" s="627"/>
    </row>
    <row r="70" spans="1:18" ht="15" customHeight="1">
      <c r="A70" s="64"/>
      <c r="B70" s="301" t="str">
        <f>IF(AND($F70&lt;&gt;"",$C70=""),MAX($B$7:$B69)+1,"")</f>
        <v/>
      </c>
      <c r="C70" s="290">
        <v>1</v>
      </c>
      <c r="D70" s="623" t="str">
        <f t="shared" si="0"/>
        <v>40007</v>
      </c>
      <c r="E70" s="545" t="s">
        <v>518</v>
      </c>
      <c r="F70" s="544" t="s">
        <v>12</v>
      </c>
      <c r="G70" s="557" t="s">
        <v>101</v>
      </c>
      <c r="H70" s="558" t="s">
        <v>114</v>
      </c>
      <c r="I70" s="558" t="s">
        <v>108</v>
      </c>
      <c r="J70" s="577"/>
      <c r="K70" s="568"/>
      <c r="L70" s="459"/>
      <c r="M70" s="459"/>
      <c r="N70" s="606">
        <v>63</v>
      </c>
      <c r="O70" s="625" t="str">
        <f t="shared" si="1"/>
        <v>株式会社プレックス</v>
      </c>
      <c r="P70" s="626">
        <f>IF(COUNTIF(O$8:O70,O70)=1,ROW(),"")</f>
        <v>70</v>
      </c>
      <c r="Q70" s="625" t="str">
        <f t="shared" si="3"/>
        <v/>
      </c>
      <c r="R70" s="627"/>
    </row>
    <row r="71" spans="1:18" ht="15" customHeight="1">
      <c r="A71" s="64"/>
      <c r="B71" s="301" t="str">
        <f>IF(AND($F71&lt;&gt;"",$C71=""),MAX($B$7:$B70)+1,"")</f>
        <v/>
      </c>
      <c r="C71" s="290"/>
      <c r="D71" s="623" t="str">
        <f t="shared" si="0"/>
        <v>00000</v>
      </c>
      <c r="E71" s="543"/>
      <c r="F71" s="544"/>
      <c r="G71" s="554"/>
      <c r="H71" s="555"/>
      <c r="I71" s="555"/>
      <c r="J71" s="577"/>
      <c r="K71" s="568"/>
      <c r="L71" s="459"/>
      <c r="M71" s="459"/>
      <c r="N71" s="606">
        <v>64</v>
      </c>
      <c r="O71" s="625" t="str">
        <f t="shared" si="1"/>
        <v>株式会社シーズ</v>
      </c>
      <c r="P71" s="626">
        <f>IF(COUNTIF(O$8:O71,O71)=1,ROW(),"")</f>
        <v>71</v>
      </c>
      <c r="Q71" s="625" t="str">
        <f t="shared" si="3"/>
        <v/>
      </c>
      <c r="R71" s="627"/>
    </row>
    <row r="72" spans="1:18" ht="15" customHeight="1">
      <c r="A72" s="64"/>
      <c r="B72" s="301" t="str">
        <f>IF(AND($F72&lt;&gt;"",$C72=""),MAX($B$7:$B71)+1,"")</f>
        <v/>
      </c>
      <c r="C72" s="290"/>
      <c r="D72" s="623" t="str">
        <f t="shared" si="0"/>
        <v>00000</v>
      </c>
      <c r="E72" s="543"/>
      <c r="F72" s="544"/>
      <c r="G72" s="554"/>
      <c r="H72" s="555"/>
      <c r="I72" s="555"/>
      <c r="J72" s="577"/>
      <c r="K72" s="568"/>
      <c r="L72" s="459"/>
      <c r="M72" s="459"/>
      <c r="N72" s="606">
        <v>65</v>
      </c>
      <c r="O72" s="625" t="str">
        <f t="shared" si="1"/>
        <v>株式会社スカイ・ジェイ</v>
      </c>
      <c r="P72" s="626">
        <f>IF(COUNTIF(O$8:O72,O72)=1,ROW(),"")</f>
        <v>72</v>
      </c>
      <c r="Q72" s="625" t="str">
        <f t="shared" si="3"/>
        <v/>
      </c>
      <c r="R72" s="627"/>
    </row>
    <row r="73" spans="1:18" ht="15" customHeight="1">
      <c r="A73" s="64"/>
      <c r="B73" s="301" t="str">
        <f>IF(AND($F73&lt;&gt;"",$C73=""),MAX($B$7:$B72)+1,"")</f>
        <v/>
      </c>
      <c r="C73" s="290"/>
      <c r="D73" s="623" t="str">
        <f t="shared" ref="D73:D124" si="4">CONCATENATE(IF($E73="","000",$E73),IF($G73="","00",$G73))</f>
        <v>00000</v>
      </c>
      <c r="E73" s="545"/>
      <c r="F73" s="547"/>
      <c r="G73" s="561"/>
      <c r="H73" s="555"/>
      <c r="I73" s="555"/>
      <c r="J73" s="577"/>
      <c r="K73" s="568"/>
      <c r="L73" s="459"/>
      <c r="M73" s="459"/>
      <c r="N73" s="606">
        <v>66</v>
      </c>
      <c r="O73" s="625" t="str">
        <f t="shared" ref="O73:O124" si="5">IF($N73&gt;MAX($B$8:$B$124),"",CONCATENATE(VLOOKUP($N73,$B$8:$K$124,$F$4),VLOOKUP($N73,$B$8:$K$124,$H$4)&amp;""))</f>
        <v>株式会社カプコン</v>
      </c>
      <c r="P73" s="626">
        <f>IF(COUNTIF(O$8:O73,O73)=1,ROW(),"")</f>
        <v>73</v>
      </c>
      <c r="Q73" s="625" t="str">
        <f t="shared" si="3"/>
        <v/>
      </c>
      <c r="R73" s="627"/>
    </row>
    <row r="74" spans="1:18" ht="15" customHeight="1">
      <c r="A74" s="64"/>
      <c r="B74" s="301" t="str">
        <f>IF(AND($F74&lt;&gt;"",$C74=""),MAX($B$7:$B73)+1,"")</f>
        <v/>
      </c>
      <c r="C74" s="290"/>
      <c r="D74" s="623" t="str">
        <f t="shared" si="4"/>
        <v>00000</v>
      </c>
      <c r="E74" s="545"/>
      <c r="F74" s="547"/>
      <c r="G74" s="561"/>
      <c r="H74" s="555"/>
      <c r="I74" s="555"/>
      <c r="J74" s="577"/>
      <c r="K74" s="568"/>
      <c r="L74" s="459"/>
      <c r="M74" s="459"/>
      <c r="N74" s="606">
        <v>67</v>
      </c>
      <c r="O74" s="625" t="str">
        <f t="shared" si="5"/>
        <v>株式会社そごう・西武</v>
      </c>
      <c r="P74" s="626">
        <f>IF(COUNTIF(O$8:O74,O74)=1,ROW(),"")</f>
        <v>74</v>
      </c>
      <c r="Q74" s="625" t="str">
        <f t="shared" ref="Q74:Q105" si="6">IF(COUNT(P:P)&lt;ROW(P67),"",INDEX(O:O,SMALL(P:P,ROW(P67))))</f>
        <v/>
      </c>
      <c r="R74" s="627"/>
    </row>
    <row r="75" spans="1:18" ht="15" customHeight="1">
      <c r="A75" s="64"/>
      <c r="B75" s="301" t="str">
        <f>IF(AND($F75&lt;&gt;"",$C75=""),MAX($B$7:$B74)+1,"")</f>
        <v/>
      </c>
      <c r="C75" s="290"/>
      <c r="D75" s="623" t="str">
        <f t="shared" si="4"/>
        <v>00000</v>
      </c>
      <c r="E75" s="543"/>
      <c r="F75" s="544"/>
      <c r="G75" s="554"/>
      <c r="H75" s="555"/>
      <c r="I75" s="555"/>
      <c r="J75" s="577"/>
      <c r="K75" s="568"/>
      <c r="L75" s="459"/>
      <c r="M75" s="459"/>
      <c r="N75" s="606">
        <v>68</v>
      </c>
      <c r="O75" s="625" t="str">
        <f t="shared" si="5"/>
        <v>株式会社ティー・シー・ピー</v>
      </c>
      <c r="P75" s="626">
        <f>IF(COUNTIF(O$8:O75,O75)=1,ROW(),"")</f>
        <v>75</v>
      </c>
      <c r="Q75" s="625" t="str">
        <f t="shared" si="6"/>
        <v/>
      </c>
      <c r="R75" s="627"/>
    </row>
    <row r="76" spans="1:18" ht="15" customHeight="1">
      <c r="A76" s="64"/>
      <c r="B76" s="301">
        <f>IF(AND($F76&lt;&gt;"",$C76=""),MAX($B$7:$B75)+1,"")</f>
        <v>43</v>
      </c>
      <c r="C76" s="290"/>
      <c r="D76" s="623" t="str">
        <f t="shared" si="4"/>
        <v>51000</v>
      </c>
      <c r="E76" s="545" t="s">
        <v>473</v>
      </c>
      <c r="F76" s="547" t="s">
        <v>610</v>
      </c>
      <c r="G76" s="562"/>
      <c r="H76" s="563" t="s">
        <v>635</v>
      </c>
      <c r="I76" s="554"/>
      <c r="J76" s="577" t="s">
        <v>541</v>
      </c>
      <c r="K76" s="568" t="s">
        <v>541</v>
      </c>
      <c r="L76" s="459"/>
      <c r="M76" s="459"/>
      <c r="N76" s="606">
        <v>69</v>
      </c>
      <c r="O76" s="625" t="str">
        <f t="shared" si="5"/>
        <v>総合商研株式会社</v>
      </c>
      <c r="P76" s="626">
        <f>IF(COUNTIF(O$8:O76,O76)=1,ROW(),"")</f>
        <v>76</v>
      </c>
      <c r="Q76" s="625" t="str">
        <f t="shared" si="6"/>
        <v/>
      </c>
      <c r="R76" s="627"/>
    </row>
    <row r="77" spans="1:18" ht="15" customHeight="1">
      <c r="A77" s="64"/>
      <c r="B77" s="301" t="str">
        <f>IF(AND($F77&lt;&gt;"",$C77=""),MAX($B$7:$B76)+1,"")</f>
        <v/>
      </c>
      <c r="C77" s="290">
        <v>1</v>
      </c>
      <c r="D77" s="623" t="str">
        <f t="shared" si="4"/>
        <v>52000</v>
      </c>
      <c r="E77" s="545" t="s">
        <v>474</v>
      </c>
      <c r="F77" s="547" t="s">
        <v>610</v>
      </c>
      <c r="G77" s="562"/>
      <c r="H77" s="563" t="s">
        <v>636</v>
      </c>
      <c r="I77" s="554"/>
      <c r="J77" s="577" t="s">
        <v>541</v>
      </c>
      <c r="K77" s="568" t="s">
        <v>541</v>
      </c>
      <c r="L77" s="459"/>
      <c r="M77" s="459"/>
      <c r="N77" s="606">
        <v>70</v>
      </c>
      <c r="O77" s="625" t="str">
        <f t="shared" si="5"/>
        <v>株式会社ポリゴン・ピクチュアズ</v>
      </c>
      <c r="P77" s="626">
        <f>IF(COUNTIF(O$8:O77,O77)=1,ROW(),"")</f>
        <v>77</v>
      </c>
      <c r="Q77" s="625" t="str">
        <f t="shared" si="6"/>
        <v/>
      </c>
      <c r="R77" s="627"/>
    </row>
    <row r="78" spans="1:18" ht="15" customHeight="1">
      <c r="A78" s="64"/>
      <c r="B78" s="301">
        <f>IF(AND($F78&lt;&gt;"",$C78=""),MAX($B$7:$B77)+1,"")</f>
        <v>44</v>
      </c>
      <c r="C78" s="290"/>
      <c r="D78" s="623" t="str">
        <f t="shared" si="4"/>
        <v>53000</v>
      </c>
      <c r="E78" s="545" t="s">
        <v>475</v>
      </c>
      <c r="F78" s="544" t="s">
        <v>104</v>
      </c>
      <c r="G78" s="562"/>
      <c r="H78" s="563"/>
      <c r="I78" s="554"/>
      <c r="J78" s="577" t="s">
        <v>541</v>
      </c>
      <c r="K78" s="568" t="s">
        <v>541</v>
      </c>
      <c r="L78" s="459"/>
      <c r="M78" s="459"/>
      <c r="N78" s="606">
        <v>71</v>
      </c>
      <c r="O78" s="625" t="str">
        <f t="shared" si="5"/>
        <v>株式会社フォーチュンエンターテイメント</v>
      </c>
      <c r="P78" s="626">
        <f>IF(COUNTIF(O$8:O78,O78)=1,ROW(),"")</f>
        <v>78</v>
      </c>
      <c r="Q78" s="625" t="str">
        <f t="shared" si="6"/>
        <v/>
      </c>
      <c r="R78" s="627"/>
    </row>
    <row r="79" spans="1:18" ht="15" customHeight="1">
      <c r="A79" s="64"/>
      <c r="B79" s="301" t="str">
        <f>IF(AND($F79&lt;&gt;"",$C79=""),MAX($B$7:$B78)+1,"")</f>
        <v/>
      </c>
      <c r="C79" s="290">
        <v>1</v>
      </c>
      <c r="D79" s="623" t="str">
        <f t="shared" si="4"/>
        <v>54000</v>
      </c>
      <c r="E79" s="545" t="s">
        <v>476</v>
      </c>
      <c r="F79" s="544" t="s">
        <v>116</v>
      </c>
      <c r="G79" s="562"/>
      <c r="H79" s="563"/>
      <c r="I79" s="554"/>
      <c r="J79" s="577" t="s">
        <v>542</v>
      </c>
      <c r="K79" s="568" t="s">
        <v>542</v>
      </c>
      <c r="L79" s="459"/>
      <c r="M79" s="459"/>
      <c r="N79" s="606">
        <v>72</v>
      </c>
      <c r="O79" s="625" t="str">
        <f t="shared" si="5"/>
        <v>キングレコード株式会社</v>
      </c>
      <c r="P79" s="626">
        <f>IF(COUNTIF(O$8:O79,O79)=1,ROW(),"")</f>
        <v>79</v>
      </c>
      <c r="Q79" s="625" t="str">
        <f t="shared" si="6"/>
        <v/>
      </c>
      <c r="R79" s="627"/>
    </row>
    <row r="80" spans="1:18" ht="15" customHeight="1">
      <c r="A80" s="64"/>
      <c r="B80" s="301">
        <f>IF(AND($F80&lt;&gt;"",$C80=""),MAX($B$7:$B79)+1,"")</f>
        <v>45</v>
      </c>
      <c r="C80" s="290"/>
      <c r="D80" s="623" t="str">
        <f t="shared" si="4"/>
        <v>55000</v>
      </c>
      <c r="E80" s="545" t="s">
        <v>477</v>
      </c>
      <c r="F80" s="544" t="s">
        <v>175</v>
      </c>
      <c r="G80" s="562"/>
      <c r="H80" s="563" t="s">
        <v>215</v>
      </c>
      <c r="I80" s="554"/>
      <c r="J80" s="577" t="s">
        <v>541</v>
      </c>
      <c r="K80" s="569" t="s">
        <v>541</v>
      </c>
      <c r="L80" s="459"/>
      <c r="M80" s="459"/>
      <c r="N80" s="606">
        <v>73</v>
      </c>
      <c r="O80" s="625" t="str">
        <f t="shared" si="5"/>
        <v>ソニー株式会社</v>
      </c>
      <c r="P80" s="626">
        <f>IF(COUNTIF(O$8:O80,O80)=1,ROW(),"")</f>
        <v>80</v>
      </c>
      <c r="Q80" s="625" t="str">
        <f t="shared" si="6"/>
        <v/>
      </c>
      <c r="R80" s="627"/>
    </row>
    <row r="81" spans="1:18" ht="15" customHeight="1">
      <c r="A81" s="64"/>
      <c r="B81" s="301">
        <f>IF(AND($F81&lt;&gt;"",$C81=""),MAX($B$7:$B80)+1,"")</f>
        <v>46</v>
      </c>
      <c r="C81" s="290"/>
      <c r="D81" s="623" t="str">
        <f t="shared" si="4"/>
        <v>56000</v>
      </c>
      <c r="E81" s="545" t="s">
        <v>478</v>
      </c>
      <c r="F81" s="544" t="s">
        <v>175</v>
      </c>
      <c r="G81" s="562"/>
      <c r="H81" s="564" t="s">
        <v>216</v>
      </c>
      <c r="I81" s="554"/>
      <c r="J81" s="577" t="s">
        <v>541</v>
      </c>
      <c r="K81" s="569" t="s">
        <v>541</v>
      </c>
      <c r="L81" s="459"/>
      <c r="M81" s="459"/>
      <c r="N81" s="606">
        <v>74</v>
      </c>
      <c r="O81" s="625" t="str">
        <f t="shared" si="5"/>
        <v>株式会社ブイシンク</v>
      </c>
      <c r="P81" s="626">
        <f>IF(COUNTIF(O$8:O81,O81)=1,ROW(),"")</f>
        <v>81</v>
      </c>
      <c r="Q81" s="625" t="str">
        <f t="shared" si="6"/>
        <v/>
      </c>
      <c r="R81" s="627"/>
    </row>
    <row r="82" spans="1:18" ht="15" customHeight="1">
      <c r="A82" s="64"/>
      <c r="B82" s="301">
        <f>IF(AND($F82&lt;&gt;"",$C82=""),MAX($B$7:$B81)+1,"")</f>
        <v>47</v>
      </c>
      <c r="C82" s="290"/>
      <c r="D82" s="623" t="str">
        <f t="shared" si="4"/>
        <v>57000</v>
      </c>
      <c r="E82" s="545" t="s">
        <v>479</v>
      </c>
      <c r="F82" s="544" t="s">
        <v>170</v>
      </c>
      <c r="G82" s="562"/>
      <c r="H82" s="563"/>
      <c r="I82" s="554"/>
      <c r="J82" s="577" t="s">
        <v>541</v>
      </c>
      <c r="K82" s="569" t="s">
        <v>541</v>
      </c>
      <c r="L82" s="459"/>
      <c r="M82" s="459"/>
      <c r="N82" s="606">
        <v>75</v>
      </c>
      <c r="O82" s="625" t="str">
        <f t="shared" si="5"/>
        <v>有限会社ユハラ・インターナショナル</v>
      </c>
      <c r="P82" s="626">
        <f>IF(COUNTIF(O$8:O82,O82)=1,ROW(),"")</f>
        <v>82</v>
      </c>
      <c r="Q82" s="625" t="str">
        <f t="shared" si="6"/>
        <v/>
      </c>
      <c r="R82" s="627"/>
    </row>
    <row r="83" spans="1:18" ht="15" customHeight="1">
      <c r="A83" s="64"/>
      <c r="B83" s="301">
        <f>IF(AND($F83&lt;&gt;"",$C83=""),MAX($B$7:$B82)+1,"")</f>
        <v>48</v>
      </c>
      <c r="C83" s="290"/>
      <c r="D83" s="623" t="str">
        <f t="shared" si="4"/>
        <v>58000</v>
      </c>
      <c r="E83" s="545" t="s">
        <v>480</v>
      </c>
      <c r="F83" s="544" t="s">
        <v>107</v>
      </c>
      <c r="G83" s="562"/>
      <c r="H83" s="554"/>
      <c r="I83" s="554"/>
      <c r="J83" s="577" t="s">
        <v>541</v>
      </c>
      <c r="K83" s="569" t="s">
        <v>541</v>
      </c>
      <c r="L83" s="459"/>
      <c r="M83" s="459"/>
      <c r="N83" s="606">
        <v>76</v>
      </c>
      <c r="O83" s="625" t="str">
        <f t="shared" si="5"/>
        <v>株式会社ライブ・ワークス</v>
      </c>
      <c r="P83" s="626">
        <f>IF(COUNTIF(O$8:O83,O83)=1,ROW(),"")</f>
        <v>83</v>
      </c>
      <c r="Q83" s="625" t="str">
        <f t="shared" si="6"/>
        <v/>
      </c>
      <c r="R83" s="627"/>
    </row>
    <row r="84" spans="1:18" ht="15" customHeight="1">
      <c r="A84" s="64"/>
      <c r="B84" s="301">
        <f>IF(AND($F84&lt;&gt;"",$C84=""),MAX($B$7:$B83)+1,"")</f>
        <v>49</v>
      </c>
      <c r="C84" s="290"/>
      <c r="D84" s="623" t="str">
        <f t="shared" si="4"/>
        <v>59000</v>
      </c>
      <c r="E84" s="545" t="s">
        <v>481</v>
      </c>
      <c r="F84" s="544" t="s">
        <v>118</v>
      </c>
      <c r="G84" s="563"/>
      <c r="H84" s="563"/>
      <c r="I84" s="563"/>
      <c r="J84" s="577" t="s">
        <v>541</v>
      </c>
      <c r="K84" s="569" t="s">
        <v>541</v>
      </c>
      <c r="L84" s="459"/>
      <c r="M84" s="459"/>
      <c r="N84" s="606">
        <v>77</v>
      </c>
      <c r="O84" s="625" t="str">
        <f t="shared" si="5"/>
        <v>株式会社ロジパルエクスプレス　3200/川崎営業所</v>
      </c>
      <c r="P84" s="626">
        <f>IF(COUNTIF(O$8:O84,O84)=1,ROW(),"")</f>
        <v>84</v>
      </c>
      <c r="Q84" s="625" t="str">
        <f t="shared" si="6"/>
        <v/>
      </c>
      <c r="R84" s="627"/>
    </row>
    <row r="85" spans="1:18" ht="15" customHeight="1">
      <c r="A85" s="64"/>
      <c r="B85" s="301">
        <f>IF(AND($F85&lt;&gt;"",$C85=""),MAX($B$7:$B84)+1,"")</f>
        <v>50</v>
      </c>
      <c r="C85" s="290"/>
      <c r="D85" s="623" t="str">
        <f t="shared" si="4"/>
        <v>60000</v>
      </c>
      <c r="E85" s="545" t="s">
        <v>482</v>
      </c>
      <c r="F85" s="544" t="s">
        <v>117</v>
      </c>
      <c r="G85" s="563"/>
      <c r="H85" s="563"/>
      <c r="I85" s="563"/>
      <c r="J85" s="577" t="s">
        <v>543</v>
      </c>
      <c r="K85" s="568" t="s">
        <v>543</v>
      </c>
      <c r="L85" s="459"/>
      <c r="M85" s="459"/>
      <c r="N85" s="606">
        <v>78</v>
      </c>
      <c r="O85" s="625" t="str">
        <f t="shared" si="5"/>
        <v>株式会社バンジハンエース</v>
      </c>
      <c r="P85" s="626">
        <f>IF(COUNTIF(O$8:O85,O85)=1,ROW(),"")</f>
        <v>85</v>
      </c>
      <c r="Q85" s="625" t="str">
        <f t="shared" si="6"/>
        <v/>
      </c>
      <c r="R85" s="627"/>
    </row>
    <row r="86" spans="1:18" ht="15" customHeight="1">
      <c r="A86" s="64"/>
      <c r="B86" s="301">
        <f>IF(AND($F86&lt;&gt;"",$C86=""),MAX($B$7:$B85)+1,"")</f>
        <v>51</v>
      </c>
      <c r="C86" s="290"/>
      <c r="D86" s="623" t="str">
        <f t="shared" si="4"/>
        <v>61000</v>
      </c>
      <c r="E86" s="545" t="s">
        <v>483</v>
      </c>
      <c r="F86" s="544" t="s">
        <v>530</v>
      </c>
      <c r="G86" s="563"/>
      <c r="H86" s="563"/>
      <c r="I86" s="563"/>
      <c r="J86" s="577" t="s">
        <v>541</v>
      </c>
      <c r="K86" s="569" t="s">
        <v>541</v>
      </c>
      <c r="L86" s="459"/>
      <c r="M86" s="459"/>
      <c r="N86" s="606">
        <v>79</v>
      </c>
      <c r="O86" s="625" t="str">
        <f t="shared" si="5"/>
        <v/>
      </c>
      <c r="P86" s="626">
        <f>IF(COUNTIF(O$8:O86,O86)=1,ROW(),"")</f>
        <v>86</v>
      </c>
      <c r="Q86" s="625" t="str">
        <f t="shared" si="6"/>
        <v/>
      </c>
      <c r="R86" s="627"/>
    </row>
    <row r="87" spans="1:18" ht="15" customHeight="1">
      <c r="A87" s="64"/>
      <c r="B87" s="301">
        <f>IF(AND($F87&lt;&gt;"",$C87=""),MAX($B$7:$B86)+1,"")</f>
        <v>52</v>
      </c>
      <c r="C87" s="290"/>
      <c r="D87" s="623" t="str">
        <f t="shared" si="4"/>
        <v>62000</v>
      </c>
      <c r="E87" s="545" t="s">
        <v>484</v>
      </c>
      <c r="F87" s="544" t="s">
        <v>121</v>
      </c>
      <c r="G87" s="563"/>
      <c r="H87" s="563"/>
      <c r="I87" s="563"/>
      <c r="J87" s="577" t="s">
        <v>541</v>
      </c>
      <c r="K87" s="568" t="s">
        <v>541</v>
      </c>
      <c r="L87" s="459"/>
      <c r="M87" s="459"/>
      <c r="N87" s="606">
        <v>80</v>
      </c>
      <c r="O87" s="625" t="str">
        <f t="shared" si="5"/>
        <v/>
      </c>
      <c r="P87" s="626" t="str">
        <f>IF(COUNTIF(O$8:O87,O87)=1,ROW(),"")</f>
        <v/>
      </c>
      <c r="Q87" s="625" t="str">
        <f t="shared" si="6"/>
        <v/>
      </c>
      <c r="R87" s="627"/>
    </row>
    <row r="88" spans="1:18" ht="15" customHeight="1">
      <c r="A88" s="64"/>
      <c r="B88" s="301">
        <f>IF(AND($F88&lt;&gt;"",$C88=""),MAX($B$7:$B87)+1,"")</f>
        <v>53</v>
      </c>
      <c r="C88" s="290"/>
      <c r="D88" s="623" t="str">
        <f t="shared" si="4"/>
        <v>63000</v>
      </c>
      <c r="E88" s="545" t="s">
        <v>485</v>
      </c>
      <c r="F88" s="544" t="s">
        <v>153</v>
      </c>
      <c r="G88" s="563"/>
      <c r="H88" s="563"/>
      <c r="I88" s="563"/>
      <c r="J88" s="577" t="s">
        <v>542</v>
      </c>
      <c r="K88" s="568" t="s">
        <v>542</v>
      </c>
      <c r="L88" s="459"/>
      <c r="M88" s="459"/>
      <c r="N88" s="606">
        <v>81</v>
      </c>
      <c r="O88" s="625" t="str">
        <f t="shared" si="5"/>
        <v/>
      </c>
      <c r="P88" s="626" t="str">
        <f>IF(COUNTIF(O$8:O88,O88)=1,ROW(),"")</f>
        <v/>
      </c>
      <c r="Q88" s="625" t="str">
        <f t="shared" si="6"/>
        <v/>
      </c>
      <c r="R88" s="627"/>
    </row>
    <row r="89" spans="1:18" ht="15" customHeight="1">
      <c r="A89" s="64"/>
      <c r="B89" s="301">
        <f>IF(AND($F89&lt;&gt;"",$C89=""),MAX($B$7:$B88)+1,"")</f>
        <v>54</v>
      </c>
      <c r="C89" s="290"/>
      <c r="D89" s="623" t="str">
        <f t="shared" si="4"/>
        <v>64000</v>
      </c>
      <c r="E89" s="545" t="s">
        <v>486</v>
      </c>
      <c r="F89" s="544" t="s">
        <v>154</v>
      </c>
      <c r="G89" s="563"/>
      <c r="H89" s="563"/>
      <c r="I89" s="563"/>
      <c r="J89" s="577" t="s">
        <v>541</v>
      </c>
      <c r="K89" s="568" t="s">
        <v>541</v>
      </c>
      <c r="L89" s="459"/>
      <c r="M89" s="459"/>
      <c r="N89" s="606">
        <v>82</v>
      </c>
      <c r="O89" s="625" t="str">
        <f t="shared" si="5"/>
        <v/>
      </c>
      <c r="P89" s="626" t="str">
        <f>IF(COUNTIF(O$8:O89,O89)=1,ROW(),"")</f>
        <v/>
      </c>
      <c r="Q89" s="625" t="str">
        <f t="shared" si="6"/>
        <v/>
      </c>
      <c r="R89" s="627"/>
    </row>
    <row r="90" spans="1:18" ht="15" customHeight="1">
      <c r="A90" s="64"/>
      <c r="B90" s="301">
        <f>IF(AND($F90&lt;&gt;"",$C90=""),MAX($B$7:$B89)+1,"")</f>
        <v>55</v>
      </c>
      <c r="C90" s="290"/>
      <c r="D90" s="623" t="str">
        <f t="shared" si="4"/>
        <v>65000</v>
      </c>
      <c r="E90" s="545" t="s">
        <v>487</v>
      </c>
      <c r="F90" s="544" t="s">
        <v>155</v>
      </c>
      <c r="G90" s="563"/>
      <c r="H90" s="563"/>
      <c r="I90" s="563"/>
      <c r="J90" s="577" t="s">
        <v>541</v>
      </c>
      <c r="K90" s="568" t="s">
        <v>541</v>
      </c>
      <c r="L90" s="459"/>
      <c r="M90" s="459"/>
      <c r="N90" s="606">
        <v>83</v>
      </c>
      <c r="O90" s="625" t="str">
        <f t="shared" si="5"/>
        <v/>
      </c>
      <c r="P90" s="626" t="str">
        <f>IF(COUNTIF(O$8:O90,O90)=1,ROW(),"")</f>
        <v/>
      </c>
      <c r="Q90" s="625" t="str">
        <f t="shared" si="6"/>
        <v/>
      </c>
      <c r="R90" s="627"/>
    </row>
    <row r="91" spans="1:18" ht="15" customHeight="1">
      <c r="A91" s="64"/>
      <c r="B91" s="301">
        <f>IF(AND($F91&lt;&gt;"",$C91=""),MAX($B$7:$B90)+1,"")</f>
        <v>56</v>
      </c>
      <c r="C91" s="290"/>
      <c r="D91" s="623" t="str">
        <f t="shared" si="4"/>
        <v>66000</v>
      </c>
      <c r="E91" s="545" t="s">
        <v>488</v>
      </c>
      <c r="F91" s="544" t="s">
        <v>156</v>
      </c>
      <c r="G91" s="563"/>
      <c r="H91" s="563"/>
      <c r="I91" s="563"/>
      <c r="J91" s="577" t="s">
        <v>541</v>
      </c>
      <c r="K91" s="568" t="s">
        <v>541</v>
      </c>
      <c r="L91" s="459"/>
      <c r="M91" s="459"/>
      <c r="N91" s="606">
        <v>84</v>
      </c>
      <c r="O91" s="625" t="str">
        <f t="shared" si="5"/>
        <v/>
      </c>
      <c r="P91" s="626" t="str">
        <f>IF(COUNTIF(O$8:O91,O91)=1,ROW(),"")</f>
        <v/>
      </c>
      <c r="Q91" s="625" t="str">
        <f t="shared" si="6"/>
        <v/>
      </c>
      <c r="R91" s="627"/>
    </row>
    <row r="92" spans="1:18" ht="15" customHeight="1">
      <c r="A92" s="64"/>
      <c r="B92" s="301">
        <f>IF(AND($F92&lt;&gt;"",$C92=""),MAX($B$7:$B91)+1,"")</f>
        <v>57</v>
      </c>
      <c r="C92" s="290"/>
      <c r="D92" s="623" t="str">
        <f t="shared" si="4"/>
        <v>67000</v>
      </c>
      <c r="E92" s="545" t="s">
        <v>489</v>
      </c>
      <c r="F92" s="544" t="s">
        <v>157</v>
      </c>
      <c r="G92" s="563"/>
      <c r="H92" s="563"/>
      <c r="I92" s="563"/>
      <c r="J92" s="577" t="s">
        <v>541</v>
      </c>
      <c r="K92" s="568" t="s">
        <v>541</v>
      </c>
      <c r="L92" s="459"/>
      <c r="M92" s="459"/>
      <c r="N92" s="606">
        <v>85</v>
      </c>
      <c r="O92" s="625" t="str">
        <f t="shared" si="5"/>
        <v/>
      </c>
      <c r="P92" s="626" t="str">
        <f>IF(COUNTIF(O$8:O92,O92)=1,ROW(),"")</f>
        <v/>
      </c>
      <c r="Q92" s="625" t="str">
        <f t="shared" si="6"/>
        <v/>
      </c>
      <c r="R92" s="627"/>
    </row>
    <row r="93" spans="1:18" ht="15" customHeight="1">
      <c r="A93" s="64"/>
      <c r="B93" s="301">
        <f>IF(AND($F93&lt;&gt;"",$C93=""),MAX($B$7:$B92)+1,"")</f>
        <v>58</v>
      </c>
      <c r="C93" s="290"/>
      <c r="D93" s="623" t="str">
        <f t="shared" si="4"/>
        <v>68000</v>
      </c>
      <c r="E93" s="545" t="s">
        <v>490</v>
      </c>
      <c r="F93" s="544" t="s">
        <v>161</v>
      </c>
      <c r="G93" s="563"/>
      <c r="H93" s="563"/>
      <c r="I93" s="563"/>
      <c r="J93" s="577" t="s">
        <v>544</v>
      </c>
      <c r="K93" s="568" t="s">
        <v>544</v>
      </c>
      <c r="L93" s="459"/>
      <c r="M93" s="459"/>
      <c r="N93" s="606">
        <v>86</v>
      </c>
      <c r="O93" s="625" t="str">
        <f t="shared" si="5"/>
        <v/>
      </c>
      <c r="P93" s="626" t="str">
        <f>IF(COUNTIF(O$8:O93,O93)=1,ROW(),"")</f>
        <v/>
      </c>
      <c r="Q93" s="625" t="str">
        <f t="shared" si="6"/>
        <v/>
      </c>
      <c r="R93" s="627"/>
    </row>
    <row r="94" spans="1:18" ht="15" customHeight="1">
      <c r="A94" s="64"/>
      <c r="B94" s="301">
        <f>IF(AND($F94&lt;&gt;"",$C94=""),MAX($B$7:$B93)+1,"")</f>
        <v>59</v>
      </c>
      <c r="C94" s="290"/>
      <c r="D94" s="623" t="str">
        <f t="shared" si="4"/>
        <v>69000</v>
      </c>
      <c r="E94" s="545" t="s">
        <v>491</v>
      </c>
      <c r="F94" s="544" t="s">
        <v>162</v>
      </c>
      <c r="G94" s="563"/>
      <c r="H94" s="563"/>
      <c r="I94" s="563"/>
      <c r="J94" s="577" t="s">
        <v>541</v>
      </c>
      <c r="K94" s="568" t="s">
        <v>541</v>
      </c>
      <c r="L94" s="459"/>
      <c r="M94" s="459"/>
      <c r="N94" s="606">
        <v>87</v>
      </c>
      <c r="O94" s="625" t="str">
        <f t="shared" si="5"/>
        <v/>
      </c>
      <c r="P94" s="626" t="str">
        <f>IF(COUNTIF(O$8:O94,O94)=1,ROW(),"")</f>
        <v/>
      </c>
      <c r="Q94" s="625" t="str">
        <f t="shared" si="6"/>
        <v/>
      </c>
      <c r="R94" s="627"/>
    </row>
    <row r="95" spans="1:18" ht="15" customHeight="1">
      <c r="A95" s="64"/>
      <c r="B95" s="301">
        <f>IF(AND($F95&lt;&gt;"",$C95=""),MAX($B$7:$B94)+1,"")</f>
        <v>60</v>
      </c>
      <c r="C95" s="290"/>
      <c r="D95" s="623" t="str">
        <f t="shared" si="4"/>
        <v>70000</v>
      </c>
      <c r="E95" s="545" t="s">
        <v>492</v>
      </c>
      <c r="F95" s="544" t="s">
        <v>531</v>
      </c>
      <c r="G95" s="563"/>
      <c r="H95" s="563"/>
      <c r="I95" s="563"/>
      <c r="J95" s="577" t="s">
        <v>541</v>
      </c>
      <c r="K95" s="568" t="s">
        <v>541</v>
      </c>
      <c r="L95" s="459"/>
      <c r="M95" s="459"/>
      <c r="N95" s="606">
        <v>88</v>
      </c>
      <c r="O95" s="625" t="str">
        <f t="shared" si="5"/>
        <v/>
      </c>
      <c r="P95" s="626" t="str">
        <f>IF(COUNTIF(O$8:O95,O95)=1,ROW(),"")</f>
        <v/>
      </c>
      <c r="Q95" s="625" t="str">
        <f t="shared" si="6"/>
        <v/>
      </c>
      <c r="R95" s="627"/>
    </row>
    <row r="96" spans="1:18" ht="15" customHeight="1">
      <c r="A96" s="64"/>
      <c r="B96" s="301">
        <f>IF(AND($F96&lt;&gt;"",$C96=""),MAX($B$7:$B95)+1,"")</f>
        <v>61</v>
      </c>
      <c r="C96" s="290"/>
      <c r="D96" s="623" t="str">
        <f t="shared" si="4"/>
        <v>71000</v>
      </c>
      <c r="E96" s="545" t="s">
        <v>493</v>
      </c>
      <c r="F96" s="544" t="s">
        <v>532</v>
      </c>
      <c r="G96" s="563"/>
      <c r="H96" s="563"/>
      <c r="I96" s="563"/>
      <c r="J96" s="577" t="s">
        <v>541</v>
      </c>
      <c r="K96" s="568" t="s">
        <v>541</v>
      </c>
      <c r="L96" s="459"/>
      <c r="M96" s="459"/>
      <c r="N96" s="606">
        <v>89</v>
      </c>
      <c r="O96" s="625" t="str">
        <f t="shared" si="5"/>
        <v/>
      </c>
      <c r="P96" s="626" t="str">
        <f>IF(COUNTIF(O$8:O96,O96)=1,ROW(),"")</f>
        <v/>
      </c>
      <c r="Q96" s="625" t="str">
        <f t="shared" si="6"/>
        <v/>
      </c>
      <c r="R96" s="627"/>
    </row>
    <row r="97" spans="1:18" ht="15" customHeight="1">
      <c r="A97" s="64"/>
      <c r="B97" s="301">
        <f>IF(AND($F97&lt;&gt;"",$C97=""),MAX($B$7:$B96)+1,"")</f>
        <v>62</v>
      </c>
      <c r="C97" s="290"/>
      <c r="D97" s="623" t="str">
        <f t="shared" si="4"/>
        <v>72000</v>
      </c>
      <c r="E97" s="545" t="s">
        <v>494</v>
      </c>
      <c r="F97" s="544" t="s">
        <v>176</v>
      </c>
      <c r="G97" s="563"/>
      <c r="H97" s="563"/>
      <c r="I97" s="563"/>
      <c r="J97" s="577" t="s">
        <v>543</v>
      </c>
      <c r="K97" s="568" t="s">
        <v>543</v>
      </c>
      <c r="L97" s="459"/>
      <c r="M97" s="459"/>
      <c r="N97" s="606">
        <v>90</v>
      </c>
      <c r="O97" s="625" t="str">
        <f t="shared" si="5"/>
        <v/>
      </c>
      <c r="P97" s="626" t="str">
        <f>IF(COUNTIF(O$8:O97,O97)=1,ROW(),"")</f>
        <v/>
      </c>
      <c r="Q97" s="625" t="str">
        <f t="shared" si="6"/>
        <v/>
      </c>
      <c r="R97" s="627"/>
    </row>
    <row r="98" spans="1:18" ht="15" customHeight="1">
      <c r="A98" s="64"/>
      <c r="B98" s="301">
        <f>IF(AND($F98&lt;&gt;"",$C98=""),MAX($B$7:$B97)+1,"")</f>
        <v>63</v>
      </c>
      <c r="C98" s="290"/>
      <c r="D98" s="623" t="str">
        <f t="shared" si="4"/>
        <v>73000</v>
      </c>
      <c r="E98" s="545" t="s">
        <v>495</v>
      </c>
      <c r="F98" s="544" t="s">
        <v>192</v>
      </c>
      <c r="G98" s="563"/>
      <c r="H98" s="563"/>
      <c r="I98" s="563"/>
      <c r="J98" s="577" t="s">
        <v>543</v>
      </c>
      <c r="K98" s="568" t="s">
        <v>543</v>
      </c>
      <c r="L98" s="459"/>
      <c r="M98" s="459"/>
      <c r="N98" s="606">
        <v>91</v>
      </c>
      <c r="O98" s="625" t="str">
        <f t="shared" si="5"/>
        <v/>
      </c>
      <c r="P98" s="626" t="str">
        <f>IF(COUNTIF(O$8:O98,O98)=1,ROW(),"")</f>
        <v/>
      </c>
      <c r="Q98" s="625" t="str">
        <f t="shared" si="6"/>
        <v/>
      </c>
      <c r="R98" s="627"/>
    </row>
    <row r="99" spans="1:18" ht="15" customHeight="1">
      <c r="A99" s="64"/>
      <c r="B99" s="301">
        <f>IF(AND($F99&lt;&gt;"",$C99=""),MAX($B$7:$B98)+1,"")</f>
        <v>64</v>
      </c>
      <c r="C99" s="290"/>
      <c r="D99" s="623" t="str">
        <f t="shared" si="4"/>
        <v>74000</v>
      </c>
      <c r="E99" s="545" t="s">
        <v>496</v>
      </c>
      <c r="F99" s="544" t="s">
        <v>193</v>
      </c>
      <c r="G99" s="563"/>
      <c r="H99" s="563"/>
      <c r="I99" s="563"/>
      <c r="J99" s="577" t="s">
        <v>542</v>
      </c>
      <c r="K99" s="568" t="s">
        <v>542</v>
      </c>
      <c r="L99" s="459"/>
      <c r="M99" s="459"/>
      <c r="N99" s="606">
        <v>92</v>
      </c>
      <c r="O99" s="625" t="str">
        <f t="shared" si="5"/>
        <v/>
      </c>
      <c r="P99" s="626" t="str">
        <f>IF(COUNTIF(O$8:O99,O99)=1,ROW(),"")</f>
        <v/>
      </c>
      <c r="Q99" s="625" t="str">
        <f t="shared" si="6"/>
        <v/>
      </c>
      <c r="R99" s="627"/>
    </row>
    <row r="100" spans="1:18" ht="15" customHeight="1">
      <c r="A100" s="64"/>
      <c r="B100" s="301">
        <f>IF(AND($F100&lt;&gt;"",$C100=""),MAX($B$7:$B99)+1,"")</f>
        <v>65</v>
      </c>
      <c r="C100" s="290"/>
      <c r="D100" s="623" t="str">
        <f t="shared" si="4"/>
        <v>75000</v>
      </c>
      <c r="E100" s="545" t="s">
        <v>497</v>
      </c>
      <c r="F100" s="546" t="s">
        <v>533</v>
      </c>
      <c r="G100" s="563"/>
      <c r="H100" s="563"/>
      <c r="I100" s="563"/>
      <c r="J100" s="577" t="s">
        <v>542</v>
      </c>
      <c r="K100" s="568" t="s">
        <v>542</v>
      </c>
      <c r="L100" s="459"/>
      <c r="M100" s="459"/>
      <c r="N100" s="606">
        <v>93</v>
      </c>
      <c r="O100" s="625" t="str">
        <f t="shared" si="5"/>
        <v/>
      </c>
      <c r="P100" s="626" t="str">
        <f>IF(COUNTIF(O$8:O100,O100)=1,ROW(),"")</f>
        <v/>
      </c>
      <c r="Q100" s="625" t="str">
        <f t="shared" si="6"/>
        <v/>
      </c>
      <c r="R100" s="627"/>
    </row>
    <row r="101" spans="1:18" ht="15" customHeight="1">
      <c r="A101" s="64"/>
      <c r="B101" s="301">
        <f>IF(AND($F101&lt;&gt;"",$C101=""),MAX($B$7:$B100)+1,"")</f>
        <v>66</v>
      </c>
      <c r="C101" s="290"/>
      <c r="D101" s="623" t="str">
        <f t="shared" si="4"/>
        <v>76000</v>
      </c>
      <c r="E101" s="545" t="s">
        <v>498</v>
      </c>
      <c r="F101" s="546" t="s">
        <v>194</v>
      </c>
      <c r="G101" s="563"/>
      <c r="H101" s="563"/>
      <c r="I101" s="563"/>
      <c r="J101" s="577" t="s">
        <v>541</v>
      </c>
      <c r="K101" s="568" t="s">
        <v>541</v>
      </c>
      <c r="L101" s="459"/>
      <c r="M101" s="459"/>
      <c r="N101" s="606">
        <v>94</v>
      </c>
      <c r="O101" s="625" t="str">
        <f t="shared" si="5"/>
        <v/>
      </c>
      <c r="P101" s="626" t="str">
        <f>IF(COUNTIF(O$8:O101,O101)=1,ROW(),"")</f>
        <v/>
      </c>
      <c r="Q101" s="625" t="str">
        <f t="shared" si="6"/>
        <v/>
      </c>
      <c r="R101" s="627"/>
    </row>
    <row r="102" spans="1:18" ht="15" customHeight="1">
      <c r="A102" s="64"/>
      <c r="B102" s="301">
        <f>IF(AND($F102&lt;&gt;"",$C102=""),MAX($B$7:$B101)+1,"")</f>
        <v>67</v>
      </c>
      <c r="C102" s="290"/>
      <c r="D102" s="623" t="str">
        <f t="shared" si="4"/>
        <v>77000</v>
      </c>
      <c r="E102" s="545" t="s">
        <v>499</v>
      </c>
      <c r="F102" s="546" t="s">
        <v>195</v>
      </c>
      <c r="G102" s="563"/>
      <c r="H102" s="563"/>
      <c r="I102" s="563"/>
      <c r="J102" s="577" t="s">
        <v>541</v>
      </c>
      <c r="K102" s="568" t="s">
        <v>541</v>
      </c>
      <c r="L102" s="459"/>
      <c r="M102" s="459"/>
      <c r="N102" s="606">
        <v>95</v>
      </c>
      <c r="O102" s="625" t="str">
        <f t="shared" si="5"/>
        <v/>
      </c>
      <c r="P102" s="626" t="str">
        <f>IF(COUNTIF(O$8:O102,O102)=1,ROW(),"")</f>
        <v/>
      </c>
      <c r="Q102" s="625" t="str">
        <f t="shared" si="6"/>
        <v/>
      </c>
      <c r="R102" s="627"/>
    </row>
    <row r="103" spans="1:18" ht="15" customHeight="1">
      <c r="A103" s="64"/>
      <c r="B103" s="301">
        <f>IF(AND($F103&lt;&gt;"",$C103=""),MAX($B$7:$B102)+1,"")</f>
        <v>68</v>
      </c>
      <c r="C103" s="290"/>
      <c r="D103" s="623" t="str">
        <f t="shared" si="4"/>
        <v>78000</v>
      </c>
      <c r="E103" s="545" t="s">
        <v>500</v>
      </c>
      <c r="F103" s="546" t="s">
        <v>205</v>
      </c>
      <c r="G103" s="563"/>
      <c r="H103" s="563"/>
      <c r="I103" s="563"/>
      <c r="J103" s="577" t="s">
        <v>541</v>
      </c>
      <c r="K103" s="568" t="s">
        <v>541</v>
      </c>
      <c r="L103" s="459"/>
      <c r="M103" s="459"/>
      <c r="N103" s="606">
        <v>96</v>
      </c>
      <c r="O103" s="625" t="str">
        <f t="shared" si="5"/>
        <v/>
      </c>
      <c r="P103" s="626" t="str">
        <f>IF(COUNTIF(O$8:O103,O103)=1,ROW(),"")</f>
        <v/>
      </c>
      <c r="Q103" s="625" t="str">
        <f t="shared" si="6"/>
        <v/>
      </c>
      <c r="R103" s="627"/>
    </row>
    <row r="104" spans="1:18" ht="15" customHeight="1">
      <c r="A104" s="64"/>
      <c r="B104" s="301">
        <f>IF(AND($F104&lt;&gt;"",$C104=""),MAX($B$7:$B103)+1,"")</f>
        <v>69</v>
      </c>
      <c r="C104" s="290"/>
      <c r="D104" s="623" t="str">
        <f t="shared" si="4"/>
        <v>79000</v>
      </c>
      <c r="E104" s="545" t="s">
        <v>501</v>
      </c>
      <c r="F104" s="548" t="s">
        <v>534</v>
      </c>
      <c r="G104" s="565"/>
      <c r="H104" s="565"/>
      <c r="I104" s="565"/>
      <c r="J104" s="577" t="s">
        <v>541</v>
      </c>
      <c r="K104" s="568" t="s">
        <v>541</v>
      </c>
      <c r="L104" s="459"/>
      <c r="M104" s="459"/>
      <c r="N104" s="606">
        <v>97</v>
      </c>
      <c r="O104" s="625" t="str">
        <f t="shared" si="5"/>
        <v/>
      </c>
      <c r="P104" s="626" t="str">
        <f>IF(COUNTIF(O$8:O104,O104)=1,ROW(),"")</f>
        <v/>
      </c>
      <c r="Q104" s="625" t="str">
        <f t="shared" si="6"/>
        <v/>
      </c>
      <c r="R104" s="627"/>
    </row>
    <row r="105" spans="1:18" ht="15" customHeight="1">
      <c r="A105" s="64"/>
      <c r="B105" s="301">
        <f>IF(AND($F105&lt;&gt;"",$C105=""),MAX($B$7:$B104)+1,"")</f>
        <v>70</v>
      </c>
      <c r="C105" s="290"/>
      <c r="D105" s="623" t="str">
        <f t="shared" si="4"/>
        <v>80000</v>
      </c>
      <c r="E105" s="545" t="s">
        <v>502</v>
      </c>
      <c r="F105" s="546" t="s">
        <v>535</v>
      </c>
      <c r="G105" s="563"/>
      <c r="H105" s="563"/>
      <c r="I105" s="563"/>
      <c r="J105" s="577" t="s">
        <v>541</v>
      </c>
      <c r="K105" s="568" t="s">
        <v>541</v>
      </c>
      <c r="L105" s="459"/>
      <c r="M105" s="459"/>
      <c r="N105" s="606">
        <v>98</v>
      </c>
      <c r="O105" s="625" t="str">
        <f t="shared" si="5"/>
        <v/>
      </c>
      <c r="P105" s="626" t="str">
        <f>IF(COUNTIF(O$8:O105,O105)=1,ROW(),"")</f>
        <v/>
      </c>
      <c r="Q105" s="625" t="str">
        <f t="shared" si="6"/>
        <v/>
      </c>
      <c r="R105" s="627"/>
    </row>
    <row r="106" spans="1:18" ht="15" customHeight="1">
      <c r="A106" s="64"/>
      <c r="B106" s="301">
        <f>IF(AND($F106&lt;&gt;"",$C106=""),MAX($B$7:$B105)+1,"")</f>
        <v>71</v>
      </c>
      <c r="C106" s="290"/>
      <c r="D106" s="623" t="str">
        <f t="shared" si="4"/>
        <v>81000</v>
      </c>
      <c r="E106" s="545" t="s">
        <v>503</v>
      </c>
      <c r="F106" s="546" t="s">
        <v>536</v>
      </c>
      <c r="G106" s="563"/>
      <c r="H106" s="563"/>
      <c r="I106" s="563"/>
      <c r="J106" s="577" t="s">
        <v>541</v>
      </c>
      <c r="K106" s="568" t="s">
        <v>541</v>
      </c>
      <c r="L106" s="459"/>
      <c r="M106" s="459"/>
      <c r="N106" s="606">
        <v>99</v>
      </c>
      <c r="O106" s="625" t="str">
        <f t="shared" si="5"/>
        <v/>
      </c>
      <c r="P106" s="626" t="str">
        <f>IF(COUNTIF(O$8:O106,O106)=1,ROW(),"")</f>
        <v/>
      </c>
      <c r="Q106" s="625" t="str">
        <f t="shared" ref="Q106:Q124" si="7">IF(COUNT(P:P)&lt;ROW(P99),"",INDEX(O:O,SMALL(P:P,ROW(P99))))</f>
        <v/>
      </c>
      <c r="R106" s="627"/>
    </row>
    <row r="107" spans="1:18" ht="15" customHeight="1">
      <c r="A107" s="64"/>
      <c r="B107" s="301">
        <f>IF(AND($F107&lt;&gt;"",$C107=""),MAX($B$7:$B106)+1,"")</f>
        <v>72</v>
      </c>
      <c r="C107" s="290"/>
      <c r="D107" s="623" t="str">
        <f t="shared" si="4"/>
        <v>82000</v>
      </c>
      <c r="E107" s="545" t="s">
        <v>504</v>
      </c>
      <c r="F107" s="546" t="s">
        <v>537</v>
      </c>
      <c r="G107" s="563"/>
      <c r="H107" s="563"/>
      <c r="I107" s="563"/>
      <c r="J107" s="577" t="s">
        <v>542</v>
      </c>
      <c r="K107" s="568" t="s">
        <v>542</v>
      </c>
      <c r="L107" s="459"/>
      <c r="M107" s="459"/>
      <c r="N107" s="606">
        <v>100</v>
      </c>
      <c r="O107" s="625" t="str">
        <f t="shared" si="5"/>
        <v/>
      </c>
      <c r="P107" s="626" t="str">
        <f>IF(COUNTIF(O$8:O107,O107)=1,ROW(),"")</f>
        <v/>
      </c>
      <c r="Q107" s="625" t="str">
        <f t="shared" si="7"/>
        <v/>
      </c>
      <c r="R107" s="627"/>
    </row>
    <row r="108" spans="1:18" ht="15" customHeight="1">
      <c r="A108" s="64"/>
      <c r="B108" s="301">
        <f>IF(AND($F108&lt;&gt;"",$C108=""),MAX($B$7:$B107)+1,"")</f>
        <v>73</v>
      </c>
      <c r="C108" s="290"/>
      <c r="D108" s="623" t="str">
        <f t="shared" si="4"/>
        <v>83000</v>
      </c>
      <c r="E108" s="545" t="s">
        <v>505</v>
      </c>
      <c r="F108" s="546" t="s">
        <v>538</v>
      </c>
      <c r="G108" s="563"/>
      <c r="H108" s="563"/>
      <c r="I108" s="563"/>
      <c r="J108" s="577" t="s">
        <v>541</v>
      </c>
      <c r="K108" s="568" t="s">
        <v>541</v>
      </c>
      <c r="L108" s="459"/>
      <c r="M108" s="459"/>
      <c r="N108" s="606">
        <v>101</v>
      </c>
      <c r="O108" s="625" t="str">
        <f t="shared" si="5"/>
        <v/>
      </c>
      <c r="P108" s="626" t="str">
        <f>IF(COUNTIF(O$8:O108,O108)=1,ROW(),"")</f>
        <v/>
      </c>
      <c r="Q108" s="625" t="str">
        <f t="shared" si="7"/>
        <v/>
      </c>
      <c r="R108" s="627"/>
    </row>
    <row r="109" spans="1:18" ht="15" customHeight="1">
      <c r="A109" s="64"/>
      <c r="B109" s="301">
        <f>IF(AND($F109&lt;&gt;"",$C109=""),MAX($B$7:$B108)+1,"")</f>
        <v>74</v>
      </c>
      <c r="C109" s="290"/>
      <c r="D109" s="623" t="str">
        <f t="shared" si="4"/>
        <v>84000</v>
      </c>
      <c r="E109" s="545" t="s">
        <v>506</v>
      </c>
      <c r="F109" s="546" t="s">
        <v>539</v>
      </c>
      <c r="G109" s="563"/>
      <c r="H109" s="563"/>
      <c r="I109" s="563"/>
      <c r="J109" s="577" t="s">
        <v>541</v>
      </c>
      <c r="K109" s="568" t="s">
        <v>541</v>
      </c>
      <c r="L109" s="459"/>
      <c r="M109" s="459"/>
      <c r="N109" s="606">
        <v>102</v>
      </c>
      <c r="O109" s="625" t="str">
        <f t="shared" si="5"/>
        <v/>
      </c>
      <c r="P109" s="626" t="str">
        <f>IF(COUNTIF(O$8:O109,O109)=1,ROW(),"")</f>
        <v/>
      </c>
      <c r="Q109" s="625" t="str">
        <f t="shared" si="7"/>
        <v/>
      </c>
      <c r="R109" s="627"/>
    </row>
    <row r="110" spans="1:18" ht="15" customHeight="1">
      <c r="A110" s="64"/>
      <c r="B110" s="301">
        <f>IF(AND($F110&lt;&gt;"",$C110=""),MAX($B$7:$B109)+1,"")</f>
        <v>75</v>
      </c>
      <c r="C110" s="290"/>
      <c r="D110" s="623" t="str">
        <f t="shared" si="4"/>
        <v>85000</v>
      </c>
      <c r="E110" s="545" t="s">
        <v>507</v>
      </c>
      <c r="F110" s="544" t="s">
        <v>641</v>
      </c>
      <c r="G110" s="563"/>
      <c r="H110" s="563"/>
      <c r="I110" s="563"/>
      <c r="J110" s="577"/>
      <c r="K110" s="568"/>
      <c r="L110" s="459"/>
      <c r="M110" s="459"/>
      <c r="N110" s="606">
        <v>103</v>
      </c>
      <c r="O110" s="625" t="str">
        <f t="shared" si="5"/>
        <v/>
      </c>
      <c r="P110" s="626" t="str">
        <f>IF(COUNTIF(O$8:O110,O110)=1,ROW(),"")</f>
        <v/>
      </c>
      <c r="Q110" s="625" t="str">
        <f t="shared" si="7"/>
        <v/>
      </c>
      <c r="R110" s="627"/>
    </row>
    <row r="111" spans="1:18" ht="15" customHeight="1">
      <c r="A111" s="64"/>
      <c r="B111" s="301" t="str">
        <f>IF(AND($F111&lt;&gt;"",$C111=""),MAX($B$7:$B110)+1,"")</f>
        <v/>
      </c>
      <c r="C111" s="290"/>
      <c r="D111" s="623" t="str">
        <f t="shared" si="4"/>
        <v>86000</v>
      </c>
      <c r="E111" s="545" t="s">
        <v>508</v>
      </c>
      <c r="F111" s="544"/>
      <c r="G111" s="563"/>
      <c r="H111" s="563"/>
      <c r="I111" s="563"/>
      <c r="J111" s="577"/>
      <c r="K111" s="568"/>
      <c r="L111" s="459"/>
      <c r="M111" s="459"/>
      <c r="N111" s="606">
        <v>104</v>
      </c>
      <c r="O111" s="625" t="str">
        <f t="shared" si="5"/>
        <v/>
      </c>
      <c r="P111" s="626" t="str">
        <f>IF(COUNTIF(O$8:O111,O111)=1,ROW(),"")</f>
        <v/>
      </c>
      <c r="Q111" s="625" t="str">
        <f t="shared" si="7"/>
        <v/>
      </c>
      <c r="R111" s="627"/>
    </row>
    <row r="112" spans="1:18" ht="15" customHeight="1">
      <c r="A112" s="64"/>
      <c r="B112" s="301" t="str">
        <f>IF(AND($F112&lt;&gt;"",$C112=""),MAX($B$7:$B111)+1,"")</f>
        <v/>
      </c>
      <c r="C112" s="290"/>
      <c r="D112" s="623" t="str">
        <f t="shared" si="4"/>
        <v>87000</v>
      </c>
      <c r="E112" s="545" t="s">
        <v>509</v>
      </c>
      <c r="F112" s="544"/>
      <c r="G112" s="563"/>
      <c r="H112" s="563"/>
      <c r="I112" s="563"/>
      <c r="J112" s="577"/>
      <c r="K112" s="568"/>
      <c r="L112" s="459"/>
      <c r="M112" s="459"/>
      <c r="N112" s="606">
        <v>105</v>
      </c>
      <c r="O112" s="625" t="str">
        <f t="shared" si="5"/>
        <v/>
      </c>
      <c r="P112" s="626" t="str">
        <f>IF(COUNTIF(O$8:O112,O112)=1,ROW(),"")</f>
        <v/>
      </c>
      <c r="Q112" s="625" t="str">
        <f t="shared" si="7"/>
        <v/>
      </c>
      <c r="R112" s="627"/>
    </row>
    <row r="113" spans="1:18" ht="15" customHeight="1">
      <c r="A113" s="64"/>
      <c r="B113" s="301" t="str">
        <f>IF(AND($F113&lt;&gt;"",$C113=""),MAX($B$7:$B112)+1,"")</f>
        <v/>
      </c>
      <c r="C113" s="290"/>
      <c r="D113" s="623" t="str">
        <f t="shared" si="4"/>
        <v>88000</v>
      </c>
      <c r="E113" s="545" t="s">
        <v>510</v>
      </c>
      <c r="F113" s="544"/>
      <c r="G113" s="563"/>
      <c r="H113" s="563"/>
      <c r="I113" s="563"/>
      <c r="J113" s="577"/>
      <c r="K113" s="568"/>
      <c r="L113" s="459"/>
      <c r="M113" s="459"/>
      <c r="N113" s="606">
        <v>106</v>
      </c>
      <c r="O113" s="625" t="str">
        <f t="shared" si="5"/>
        <v/>
      </c>
      <c r="P113" s="626" t="str">
        <f>IF(COUNTIF(O$8:O113,O113)=1,ROW(),"")</f>
        <v/>
      </c>
      <c r="Q113" s="625" t="str">
        <f t="shared" si="7"/>
        <v/>
      </c>
      <c r="R113" s="627"/>
    </row>
    <row r="114" spans="1:18" ht="15" customHeight="1">
      <c r="A114" s="64"/>
      <c r="B114" s="301">
        <f>IF(AND($F114&lt;&gt;"",$C114=""),MAX($B$7:$B113)+1,"")</f>
        <v>76</v>
      </c>
      <c r="C114" s="290"/>
      <c r="D114" s="623" t="str">
        <f t="shared" si="4"/>
        <v>89000</v>
      </c>
      <c r="E114" s="545" t="s">
        <v>511</v>
      </c>
      <c r="F114" s="546" t="s">
        <v>540</v>
      </c>
      <c r="G114" s="563"/>
      <c r="H114" s="563"/>
      <c r="I114" s="563"/>
      <c r="J114" s="577" t="s">
        <v>542</v>
      </c>
      <c r="K114" s="568" t="s">
        <v>542</v>
      </c>
      <c r="L114" s="459"/>
      <c r="M114" s="459"/>
      <c r="N114" s="606">
        <v>107</v>
      </c>
      <c r="O114" s="625" t="str">
        <f t="shared" si="5"/>
        <v/>
      </c>
      <c r="P114" s="626" t="str">
        <f>IF(COUNTIF(O$8:O114,O114)=1,ROW(),"")</f>
        <v/>
      </c>
      <c r="Q114" s="625" t="str">
        <f t="shared" si="7"/>
        <v/>
      </c>
      <c r="R114" s="627"/>
    </row>
    <row r="115" spans="1:18" ht="15" customHeight="1">
      <c r="A115" s="64"/>
      <c r="B115" s="301">
        <f>IF(AND($F115&lt;&gt;"",$C115=""),MAX($B$7:$B114)+1,"")</f>
        <v>77</v>
      </c>
      <c r="C115" s="290"/>
      <c r="D115" s="623" t="str">
        <f t="shared" si="4"/>
        <v>90001</v>
      </c>
      <c r="E115" s="545" t="s">
        <v>512</v>
      </c>
      <c r="F115" s="546" t="s">
        <v>197</v>
      </c>
      <c r="G115" s="563" t="s">
        <v>637</v>
      </c>
      <c r="H115" s="563" t="s">
        <v>638</v>
      </c>
      <c r="I115" s="563" t="s">
        <v>639</v>
      </c>
      <c r="J115" s="577" t="s">
        <v>198</v>
      </c>
      <c r="K115" s="568" t="s">
        <v>198</v>
      </c>
      <c r="L115" s="459"/>
      <c r="M115" s="459"/>
      <c r="N115" s="606">
        <v>108</v>
      </c>
      <c r="O115" s="625" t="str">
        <f t="shared" si="5"/>
        <v/>
      </c>
      <c r="P115" s="626" t="str">
        <f>IF(COUNTIF(O$8:O115,O115)=1,ROW(),"")</f>
        <v/>
      </c>
      <c r="Q115" s="625" t="str">
        <f t="shared" si="7"/>
        <v/>
      </c>
      <c r="R115" s="627"/>
    </row>
    <row r="116" spans="1:18" ht="15" customHeight="1">
      <c r="A116" s="64"/>
      <c r="B116" s="301">
        <f>IF(AND($F116&lt;&gt;"",$C116=""),MAX($B$7:$B115)+1,"")</f>
        <v>78</v>
      </c>
      <c r="C116" s="290"/>
      <c r="D116" s="623" t="str">
        <f t="shared" si="4"/>
        <v>91000</v>
      </c>
      <c r="E116" s="545" t="s">
        <v>601</v>
      </c>
      <c r="F116" s="546" t="s">
        <v>599</v>
      </c>
      <c r="G116" s="563"/>
      <c r="H116" s="563"/>
      <c r="I116" s="563"/>
      <c r="J116" s="577" t="s">
        <v>617</v>
      </c>
      <c r="K116" s="568" t="s">
        <v>617</v>
      </c>
      <c r="L116" s="459"/>
      <c r="M116" s="459"/>
      <c r="N116" s="606">
        <v>109</v>
      </c>
      <c r="O116" s="625" t="str">
        <f t="shared" si="5"/>
        <v/>
      </c>
      <c r="P116" s="626" t="str">
        <f>IF(COUNTIF(O$8:O116,O116)=1,ROW(),"")</f>
        <v/>
      </c>
      <c r="Q116" s="625" t="str">
        <f t="shared" si="7"/>
        <v/>
      </c>
      <c r="R116" s="627"/>
    </row>
    <row r="117" spans="1:18" ht="15" customHeight="1">
      <c r="A117" s="64"/>
      <c r="B117" s="301" t="str">
        <f>IF(AND($F117&lt;&gt;"",$C117=""),MAX($B$7:$B111)+1,"")</f>
        <v/>
      </c>
      <c r="C117" s="290"/>
      <c r="D117" s="623" t="str">
        <f t="shared" si="4"/>
        <v>92000</v>
      </c>
      <c r="E117" s="545" t="s">
        <v>602</v>
      </c>
      <c r="F117" s="546"/>
      <c r="G117" s="563"/>
      <c r="H117" s="563"/>
      <c r="I117" s="563"/>
      <c r="J117" s="577"/>
      <c r="K117" s="568"/>
      <c r="L117" s="459"/>
      <c r="M117" s="459"/>
      <c r="N117" s="606">
        <v>110</v>
      </c>
      <c r="O117" s="625" t="str">
        <f t="shared" si="5"/>
        <v/>
      </c>
      <c r="P117" s="626" t="str">
        <f>IF(COUNTIF(O$8:O117,O117)=1,ROW(),"")</f>
        <v/>
      </c>
      <c r="Q117" s="625" t="str">
        <f t="shared" si="7"/>
        <v/>
      </c>
      <c r="R117" s="627"/>
    </row>
    <row r="118" spans="1:18" ht="15" customHeight="1">
      <c r="A118" s="64"/>
      <c r="B118" s="301" t="str">
        <f>IF(AND($F118&lt;&gt;"",$C118=""),MAX($B$7:$B112)+1,"")</f>
        <v/>
      </c>
      <c r="C118" s="290"/>
      <c r="D118" s="623" t="str">
        <f t="shared" si="4"/>
        <v>93000</v>
      </c>
      <c r="E118" s="545" t="s">
        <v>603</v>
      </c>
      <c r="F118" s="546"/>
      <c r="G118" s="563"/>
      <c r="H118" s="563"/>
      <c r="I118" s="563"/>
      <c r="J118" s="577"/>
      <c r="K118" s="568"/>
      <c r="L118" s="459"/>
      <c r="M118" s="459"/>
      <c r="N118" s="606">
        <v>111</v>
      </c>
      <c r="O118" s="625" t="str">
        <f t="shared" si="5"/>
        <v/>
      </c>
      <c r="P118" s="626" t="str">
        <f>IF(COUNTIF(O$8:O118,O118)=1,ROW(),"")</f>
        <v/>
      </c>
      <c r="Q118" s="625" t="str">
        <f t="shared" si="7"/>
        <v/>
      </c>
      <c r="R118" s="627"/>
    </row>
    <row r="119" spans="1:18" ht="15" customHeight="1">
      <c r="A119" s="64"/>
      <c r="B119" s="301" t="str">
        <f>IF(AND($F119&lt;&gt;"",$C119=""),MAX($B$7:$B113)+1,"")</f>
        <v/>
      </c>
      <c r="C119" s="290"/>
      <c r="D119" s="623" t="str">
        <f t="shared" si="4"/>
        <v>94000</v>
      </c>
      <c r="E119" s="545" t="s">
        <v>604</v>
      </c>
      <c r="F119" s="546"/>
      <c r="G119" s="563"/>
      <c r="H119" s="563"/>
      <c r="I119" s="563"/>
      <c r="J119" s="577"/>
      <c r="K119" s="568"/>
      <c r="L119" s="459"/>
      <c r="M119" s="459"/>
      <c r="N119" s="606">
        <v>112</v>
      </c>
      <c r="O119" s="625" t="str">
        <f t="shared" si="5"/>
        <v/>
      </c>
      <c r="P119" s="626" t="str">
        <f>IF(COUNTIF(O$8:O119,O119)=1,ROW(),"")</f>
        <v/>
      </c>
      <c r="Q119" s="625" t="str">
        <f t="shared" si="7"/>
        <v/>
      </c>
      <c r="R119" s="627"/>
    </row>
    <row r="120" spans="1:18" ht="15" customHeight="1">
      <c r="A120" s="64"/>
      <c r="B120" s="301" t="str">
        <f>IF(AND($F120&lt;&gt;"",$C120=""),MAX($B$7:$B114)+1,"")</f>
        <v/>
      </c>
      <c r="C120" s="290"/>
      <c r="D120" s="623" t="str">
        <f t="shared" si="4"/>
        <v>95000</v>
      </c>
      <c r="E120" s="545" t="s">
        <v>605</v>
      </c>
      <c r="F120" s="546"/>
      <c r="G120" s="563"/>
      <c r="H120" s="563"/>
      <c r="I120" s="563"/>
      <c r="J120" s="577"/>
      <c r="K120" s="568"/>
      <c r="L120" s="459"/>
      <c r="M120" s="459"/>
      <c r="N120" s="606">
        <v>113</v>
      </c>
      <c r="O120" s="625" t="str">
        <f t="shared" si="5"/>
        <v/>
      </c>
      <c r="P120" s="626" t="str">
        <f>IF(COUNTIF(O$8:O120,O120)=1,ROW(),"")</f>
        <v/>
      </c>
      <c r="Q120" s="625" t="str">
        <f t="shared" si="7"/>
        <v/>
      </c>
      <c r="R120" s="627"/>
    </row>
    <row r="121" spans="1:18" ht="15" customHeight="1">
      <c r="A121" s="64"/>
      <c r="B121" s="301" t="str">
        <f>IF(AND($F121&lt;&gt;"",$C121=""),MAX($B$7:$B115)+1,"")</f>
        <v/>
      </c>
      <c r="C121" s="290"/>
      <c r="D121" s="623" t="str">
        <f t="shared" si="4"/>
        <v>96000</v>
      </c>
      <c r="E121" s="545" t="s">
        <v>606</v>
      </c>
      <c r="F121" s="546"/>
      <c r="G121" s="563"/>
      <c r="H121" s="563"/>
      <c r="I121" s="563"/>
      <c r="J121" s="577"/>
      <c r="K121" s="568"/>
      <c r="L121" s="459"/>
      <c r="M121" s="459"/>
      <c r="N121" s="606">
        <v>114</v>
      </c>
      <c r="O121" s="625" t="str">
        <f t="shared" si="5"/>
        <v/>
      </c>
      <c r="P121" s="626" t="str">
        <f>IF(COUNTIF(O$8:O121,O121)=1,ROW(),"")</f>
        <v/>
      </c>
      <c r="Q121" s="625" t="str">
        <f t="shared" si="7"/>
        <v/>
      </c>
      <c r="R121" s="627"/>
    </row>
    <row r="122" spans="1:18" ht="15" customHeight="1">
      <c r="A122" s="64"/>
      <c r="B122" s="301" t="str">
        <f>IF(AND($F122&lt;&gt;"",$C122=""),MAX($B$7:$B115)+1,"")</f>
        <v/>
      </c>
      <c r="C122" s="290"/>
      <c r="D122" s="623" t="str">
        <f t="shared" si="4"/>
        <v>97000</v>
      </c>
      <c r="E122" s="545" t="s">
        <v>607</v>
      </c>
      <c r="F122" s="546"/>
      <c r="G122" s="563"/>
      <c r="H122" s="563"/>
      <c r="I122" s="563"/>
      <c r="J122" s="577"/>
      <c r="K122" s="568"/>
      <c r="L122" s="459"/>
      <c r="M122" s="459"/>
      <c r="N122" s="606">
        <v>115</v>
      </c>
      <c r="O122" s="625" t="str">
        <f t="shared" si="5"/>
        <v/>
      </c>
      <c r="P122" s="626" t="str">
        <f>IF(COUNTIF(O$8:O122,O122)=1,ROW(),"")</f>
        <v/>
      </c>
      <c r="Q122" s="625" t="str">
        <f t="shared" si="7"/>
        <v/>
      </c>
      <c r="R122" s="627"/>
    </row>
    <row r="123" spans="1:18" ht="15" customHeight="1">
      <c r="A123" s="64"/>
      <c r="B123" s="301" t="str">
        <f>IF(AND($F123&lt;&gt;"",$C123=""),MAX($B$7:$B116)+1,"")</f>
        <v/>
      </c>
      <c r="C123" s="290"/>
      <c r="D123" s="623" t="str">
        <f t="shared" si="4"/>
        <v>98000</v>
      </c>
      <c r="E123" s="545" t="s">
        <v>608</v>
      </c>
      <c r="F123" s="546"/>
      <c r="G123" s="563"/>
      <c r="H123" s="563"/>
      <c r="I123" s="563"/>
      <c r="J123" s="577"/>
      <c r="K123" s="568"/>
      <c r="L123" s="459"/>
      <c r="M123" s="459"/>
      <c r="N123" s="606">
        <v>116</v>
      </c>
      <c r="O123" s="625" t="str">
        <f t="shared" si="5"/>
        <v/>
      </c>
      <c r="P123" s="626" t="str">
        <f>IF(COUNTIF(O$8:O123,O123)=1,ROW(),"")</f>
        <v/>
      </c>
      <c r="Q123" s="625" t="str">
        <f t="shared" si="7"/>
        <v/>
      </c>
      <c r="R123" s="627"/>
    </row>
    <row r="124" spans="1:18" ht="15" customHeight="1" thickBot="1">
      <c r="A124" s="64"/>
      <c r="B124" s="303" t="str">
        <f>IF(AND($F124&lt;&gt;"",$C124=""),MAX($B$7:$B115)+1,"")</f>
        <v/>
      </c>
      <c r="C124" s="291"/>
      <c r="D124" s="623" t="str">
        <f t="shared" si="4"/>
        <v>99000</v>
      </c>
      <c r="E124" s="549" t="s">
        <v>609</v>
      </c>
      <c r="F124" s="550"/>
      <c r="G124" s="566"/>
      <c r="H124" s="566"/>
      <c r="I124" s="566"/>
      <c r="J124" s="578"/>
      <c r="K124" s="570"/>
      <c r="L124" s="459"/>
      <c r="M124" s="459"/>
      <c r="N124" s="606">
        <v>117</v>
      </c>
      <c r="O124" s="625" t="str">
        <f t="shared" si="5"/>
        <v/>
      </c>
      <c r="P124" s="626" t="str">
        <f>IF(COUNTIF(O$8:O124,O124)=1,ROW(),"")</f>
        <v/>
      </c>
      <c r="Q124" s="625" t="str">
        <f t="shared" si="7"/>
        <v/>
      </c>
      <c r="R124" s="627"/>
    </row>
  </sheetData>
  <mergeCells count="8">
    <mergeCell ref="C5:C7"/>
    <mergeCell ref="B5:B7"/>
    <mergeCell ref="W5:X6"/>
    <mergeCell ref="T5:U6"/>
    <mergeCell ref="J5:K6"/>
    <mergeCell ref="E5:H5"/>
    <mergeCell ref="E6:F6"/>
    <mergeCell ref="G6:I6"/>
  </mergeCells>
  <phoneticPr fontId="3"/>
  <pageMargins left="0.6" right="0.27" top="1" bottom="1" header="0.51200000000000001" footer="0.51200000000000001"/>
  <pageSetup paperSize="9" scale="8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6" r:id="rId4" name="Button 4">
              <controlPr defaultSize="0" print="0" autoFill="0" autoPict="0" macro="[0]!Module1.空白排除">
                <anchor moveWithCells="1" sizeWithCells="1">
                  <from>
                    <xdr:col>17</xdr:col>
                    <xdr:colOff>541020</xdr:colOff>
                    <xdr:row>5</xdr:row>
                    <xdr:rowOff>22860</xdr:rowOff>
                  </from>
                  <to>
                    <xdr:col>17</xdr:col>
                    <xdr:colOff>2080260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/>
  </sheetPr>
  <dimension ref="A1:AA136"/>
  <sheetViews>
    <sheetView zoomScale="85" zoomScaleNormal="85" workbookViewId="0">
      <pane ySplit="6" topLeftCell="A7" activePane="bottomLeft" state="frozen"/>
      <selection activeCell="N11" sqref="N11:R11"/>
      <selection pane="bottomLeft" activeCell="B7" sqref="B7"/>
    </sheetView>
  </sheetViews>
  <sheetFormatPr defaultRowHeight="13.2" outlineLevelRow="1" outlineLevelCol="1"/>
  <cols>
    <col min="1" max="1" width="4.109375" customWidth="1"/>
    <col min="2" max="5" width="4.109375" customWidth="1" outlineLevel="1"/>
    <col min="6" max="6" width="2.88671875" bestFit="1" customWidth="1"/>
    <col min="7" max="7" width="12.6640625" customWidth="1"/>
    <col min="9" max="9" width="10.88671875" bestFit="1" customWidth="1"/>
    <col min="10" max="11" width="4.6640625" customWidth="1"/>
    <col min="12" max="12" width="14.6640625" customWidth="1"/>
    <col min="13" max="13" width="12.6640625" customWidth="1"/>
    <col min="14" max="14" width="14.6640625" customWidth="1"/>
    <col min="15" max="15" width="8.44140625" hidden="1" customWidth="1" outlineLevel="1"/>
    <col min="16" max="18" width="7.21875" hidden="1" customWidth="1" outlineLevel="1"/>
    <col min="19" max="19" width="15.6640625" style="140" customWidth="1" collapsed="1"/>
    <col min="20" max="20" width="14.6640625" style="140" customWidth="1"/>
    <col min="21" max="21" width="15.6640625" style="140" customWidth="1"/>
    <col min="22" max="23" width="5.6640625" customWidth="1"/>
    <col min="24" max="25" width="12.6640625" style="140" customWidth="1"/>
  </cols>
  <sheetData>
    <row r="1" spans="1:27" ht="13.8" thickBot="1">
      <c r="G1" s="93" t="str">
        <f ca="1">RIGHT(CELL("filename",G1),LEN(CELL("filename",G1))-FIND("]",CELL("filename",G1)))</f>
        <v>Sheet1</v>
      </c>
      <c r="H1" s="248"/>
      <c r="I1" s="16" t="s">
        <v>82</v>
      </c>
      <c r="L1" s="479"/>
      <c r="M1" t="s">
        <v>456</v>
      </c>
      <c r="R1" s="78"/>
      <c r="AA1" s="343" t="s">
        <v>467</v>
      </c>
    </row>
    <row r="2" spans="1:27" ht="13.8" thickBot="1">
      <c r="B2" s="94"/>
      <c r="C2" s="94"/>
      <c r="D2" s="94"/>
      <c r="H2" s="53"/>
      <c r="I2" s="16" t="s">
        <v>83</v>
      </c>
      <c r="U2" s="828" t="s">
        <v>468</v>
      </c>
      <c r="V2" s="828"/>
      <c r="W2" s="829"/>
      <c r="X2" s="284">
        <v>0.08</v>
      </c>
      <c r="Y2" s="285">
        <v>0.1</v>
      </c>
      <c r="AA2" s="472" t="s">
        <v>695</v>
      </c>
    </row>
    <row r="3" spans="1:27" s="394" customFormat="1">
      <c r="A3" s="582"/>
      <c r="F3" s="603"/>
      <c r="G3" s="830" t="s">
        <v>396</v>
      </c>
      <c r="H3" s="840" t="s">
        <v>140</v>
      </c>
      <c r="I3" s="832" t="s">
        <v>9</v>
      </c>
      <c r="J3" s="841" t="s">
        <v>138</v>
      </c>
      <c r="K3" s="841"/>
      <c r="L3" s="841" t="s">
        <v>166</v>
      </c>
      <c r="M3" s="841"/>
      <c r="N3" s="841"/>
      <c r="O3" s="841" t="s">
        <v>167</v>
      </c>
      <c r="P3" s="841"/>
      <c r="Q3" s="841"/>
      <c r="R3" s="841"/>
      <c r="S3" s="841"/>
      <c r="T3" s="841"/>
      <c r="U3" s="841"/>
      <c r="V3" s="834" t="s">
        <v>199</v>
      </c>
      <c r="W3" s="842" t="s">
        <v>469</v>
      </c>
      <c r="X3" s="836">
        <f>X2*100</f>
        <v>8</v>
      </c>
      <c r="Y3" s="838">
        <f>Y2*100</f>
        <v>10</v>
      </c>
    </row>
    <row r="4" spans="1:27" s="394" customFormat="1" ht="24.6" thickBot="1">
      <c r="A4" s="582"/>
      <c r="F4" s="603"/>
      <c r="G4" s="831"/>
      <c r="H4" s="833"/>
      <c r="I4" s="833"/>
      <c r="J4" s="400" t="s">
        <v>437</v>
      </c>
      <c r="K4" s="401" t="s">
        <v>438</v>
      </c>
      <c r="L4" s="395" t="s">
        <v>139</v>
      </c>
      <c r="M4" s="395" t="s">
        <v>127</v>
      </c>
      <c r="N4" s="395" t="s">
        <v>165</v>
      </c>
      <c r="O4" s="402" t="s">
        <v>419</v>
      </c>
      <c r="P4" s="402" t="s">
        <v>420</v>
      </c>
      <c r="Q4" s="402" t="s">
        <v>421</v>
      </c>
      <c r="R4" s="402" t="s">
        <v>422</v>
      </c>
      <c r="S4" s="395" t="s">
        <v>139</v>
      </c>
      <c r="T4" s="395" t="s">
        <v>127</v>
      </c>
      <c r="U4" s="395" t="s">
        <v>165</v>
      </c>
      <c r="V4" s="835"/>
      <c r="W4" s="843"/>
      <c r="X4" s="837"/>
      <c r="Y4" s="839"/>
    </row>
    <row r="5" spans="1:27" s="394" customFormat="1" outlineLevel="1">
      <c r="A5" s="394">
        <v>1</v>
      </c>
      <c r="B5" s="394">
        <v>2</v>
      </c>
      <c r="C5" s="394">
        <v>3</v>
      </c>
      <c r="D5" s="394">
        <v>4</v>
      </c>
      <c r="E5" s="394">
        <v>5</v>
      </c>
      <c r="F5" s="603">
        <v>6</v>
      </c>
      <c r="G5" s="403">
        <v>7</v>
      </c>
      <c r="H5" s="404">
        <v>8</v>
      </c>
      <c r="I5" s="404">
        <v>9</v>
      </c>
      <c r="J5" s="404">
        <v>10</v>
      </c>
      <c r="K5" s="404">
        <v>11</v>
      </c>
      <c r="L5" s="404">
        <v>12</v>
      </c>
      <c r="M5" s="404">
        <v>13</v>
      </c>
      <c r="N5" s="404">
        <v>14</v>
      </c>
      <c r="O5" s="404">
        <v>15</v>
      </c>
      <c r="P5" s="404">
        <v>16</v>
      </c>
      <c r="Q5" s="404">
        <v>17</v>
      </c>
      <c r="R5" s="404">
        <v>18</v>
      </c>
      <c r="S5" s="404">
        <v>19</v>
      </c>
      <c r="T5" s="404">
        <v>20</v>
      </c>
      <c r="U5" s="404">
        <v>21</v>
      </c>
      <c r="V5" s="404">
        <v>22</v>
      </c>
      <c r="W5" s="404">
        <v>23</v>
      </c>
      <c r="X5" s="404">
        <v>24</v>
      </c>
      <c r="Y5" s="405">
        <v>25</v>
      </c>
    </row>
    <row r="6" spans="1:27" s="394" customFormat="1">
      <c r="G6" s="406"/>
      <c r="H6" s="457"/>
      <c r="I6" s="457"/>
      <c r="J6" s="407"/>
      <c r="K6" s="407"/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8"/>
    </row>
    <row r="7" spans="1:27">
      <c r="A7" s="103">
        <v>1</v>
      </c>
      <c r="B7" s="247">
        <f>IF(LEFT($G7,1)="1",IF($H6=$H7,MAX($B$6:$B6)+1,IF(MAX($B$6:$B6)&lt;=0,1,MAX($B$6:$B6)+3)),"")</f>
        <v>1</v>
      </c>
      <c r="C7" s="247" t="str">
        <f>IF(LEFT($G7,1)="2",IF($H6=$H7,MAX($C$6:$C6)+1,IF(MAX($C$6:$C6)&lt;=0,1,MAX($C$6:$C6)+3)),"")</f>
        <v/>
      </c>
      <c r="D7" s="247" t="str">
        <f>IF(LEFT($G7,1)="3",IF($H6=$H7,MAX($D$6:$D6)+1,IF(MAX($D$6:$D6)&lt;=0,1,MAX($D$6:$D6)+3)),"")</f>
        <v/>
      </c>
      <c r="E7" s="247" t="str">
        <f>IF(LEFT($G7,1)="4",IF($H6=$H7,MAX($E$6:$E6)+1,IF(MAX($E$6:$E6)&lt;=0,1,MAX($E$6:$E6)+3)),"")</f>
        <v/>
      </c>
      <c r="F7" s="477">
        <f>IF(AND($L7="",$S7=""),"",1)</f>
        <v>1</v>
      </c>
      <c r="G7" s="409">
        <f>IF(ISERROR(SMALL(請求Data!$E$11:$E$160,$A7)),"",SMALL(請求Data!$E$11:$E$160,$A7))</f>
        <v>11000107001</v>
      </c>
      <c r="H7" s="606" t="str">
        <f>IF($G7="","",VLOOKUP($G7,請求Data!$E$11:$AR$160,4,FALSE))</f>
        <v>10001</v>
      </c>
      <c r="I7" s="606" t="str">
        <f>IF($G7="","",VLOOKUP($G7,請求Data!$E$11:$AR$160,5,FALSE))</f>
        <v>39-B07001</v>
      </c>
      <c r="J7" s="609">
        <f>IF($G7="","",IF(VLOOKUP($G7,請求Data!$E$11:$AR$160,請求Data!$Y$10-請求Data!$D$10,FALSE)="",1,0))</f>
        <v>0</v>
      </c>
      <c r="K7" s="609">
        <f>IF($G7="","",IF(VLOOKUP($G7,請求Data!$E$11:$AR$160,請求Data!$Z$10-請求Data!$D$10,FALSE)="*",1,0))</f>
        <v>0</v>
      </c>
      <c r="L7" s="607">
        <f>IF($G7="","",VLOOKUP($G7,請求Data!$E$11:$AR$160,請求Data!$AP$10-請求Data!$D$10,FALSE))</f>
        <v>500000</v>
      </c>
      <c r="M7" s="607">
        <f>IF($L7="","",IF($V7="C",$Y7,$X7))</f>
        <v>0</v>
      </c>
      <c r="N7" s="607">
        <f>IF(AND($L7="",$M7=""),"",$L7+$M7)</f>
        <v>500000</v>
      </c>
      <c r="O7" s="606" t="str">
        <f>IF($H7=$H8,"",IF($B7="","",$B7+1))</f>
        <v/>
      </c>
      <c r="P7" s="606" t="str">
        <f>IF($H7=$H8,"",IF($C7="","",$C7+1))</f>
        <v/>
      </c>
      <c r="Q7" s="606" t="str">
        <f>IF($H7=$H8,"",IF($D7="","",$D7+1))</f>
        <v/>
      </c>
      <c r="R7" s="606" t="str">
        <f>IF($H7=$H8,"",IF($E7="","",$E7+1))</f>
        <v/>
      </c>
      <c r="S7" s="607">
        <f>IF($H7="","",IF($H6=$H7,$S6+$L7,$L7))</f>
        <v>500000</v>
      </c>
      <c r="T7" s="607">
        <f>IF($H7="","",IF($H6=$H7,$T6+$M7,$M7))</f>
        <v>0</v>
      </c>
      <c r="U7" s="607">
        <f>IF(AND($S7="",$T7=""),"",$S7+$T7)</f>
        <v>500000</v>
      </c>
      <c r="V7" s="162" t="str">
        <f>MID($I7,1,1)</f>
        <v>3</v>
      </c>
      <c r="W7" s="609" t="str">
        <f>IF($G7="","",VLOOKUP($G7,請求Data!$E$11:$AR$160,請求Data!$AC$10-請求Data!$D$10,FALSE))</f>
        <v>\</v>
      </c>
      <c r="X7" s="607">
        <f>IF($J7="","",IF($J7=1,IF($W7="\",IF($K7=1,ROUNDDOWN($L7*$X$2,0),IF($K7=0,ROUND($L7*$X$2,0),"ERR")),IF($K7=1,ROUNDDOWN($L7*$X$2,2),IF($K7=0,ROUND($L7*$X$2,2),"ERR"))),0))</f>
        <v>0</v>
      </c>
      <c r="Y7" s="608">
        <f>IF($J7="","",IF($J7=1,IF($W7="\",IF($K7=1,ROUNDDOWN($L7*$Y$2,0),IF($K7=0,ROUND($L7*$Y$2,0),"ERR")),IF($K7=1,ROUNDDOWN($L7*$Y$2,2),IF($K7=0,ROUND($L7*$Y$2,2),"ERR"))),0))</f>
        <v>0</v>
      </c>
    </row>
    <row r="8" spans="1:27">
      <c r="A8" s="103">
        <v>2</v>
      </c>
      <c r="B8" s="247">
        <f>IF(LEFT($G8,1)="1",IF($H7=$H8,MAX($B$6:$B7)+1,IF(MAX($B$6:$B7)&lt;=0,1,MAX($B$6:$B7)+3)),"")</f>
        <v>2</v>
      </c>
      <c r="C8" s="247" t="str">
        <f>IF(LEFT($G8,1)="2",IF($H7=$H8,MAX($C$6:$C7)+1,IF(MAX($C$6:$C7)&lt;=0,1,MAX($C$6:$C7)+3)),"")</f>
        <v/>
      </c>
      <c r="D8" s="247" t="str">
        <f>IF(LEFT($G8,1)="3",IF($H7=$H8,MAX($D$6:$D7)+1,IF(MAX($D$6:$D7)&lt;=0,1,MAX($D$6:$D7)+3)),"")</f>
        <v/>
      </c>
      <c r="E8" s="247" t="str">
        <f>IF(LEFT($G8,1)="4",IF($H7=$H8,MAX($E$6:$E7)+1,IF(MAX($E$6:$E7)&lt;=0,1,MAX($E$6:$E7)+3)),"")</f>
        <v/>
      </c>
      <c r="F8" s="477">
        <f t="shared" ref="F8:F71" si="0">IF(AND($L8="",$S8=""),"",1)</f>
        <v>1</v>
      </c>
      <c r="G8" s="409">
        <f>IF(ISERROR(SMALL(請求Data!$E$11:$E$160,$A8)),"",SMALL(請求Data!$E$11:$E$160,$A8))</f>
        <v>11000107002</v>
      </c>
      <c r="H8" s="606" t="str">
        <f>IF($G8="","",VLOOKUP($G8,請求Data!$E$11:$AR$160,4,FALSE))</f>
        <v>10001</v>
      </c>
      <c r="I8" s="606" t="str">
        <f>IF($G8="","",VLOOKUP($G8,請求Data!$E$11:$AR$160,5,FALSE))</f>
        <v>39-B07002</v>
      </c>
      <c r="J8" s="609">
        <f>IF($G8="","",IF(VLOOKUP($G8,請求Data!$E$11:$AR$160,請求Data!$Y$10-請求Data!$D$10,FALSE)="",1,0))</f>
        <v>1</v>
      </c>
      <c r="K8" s="609">
        <f>IF($G8="","",IF(VLOOKUP($G8,請求Data!$E$11:$AR$160,請求Data!$Z$10-請求Data!$D$10,FALSE)="*",1,0))</f>
        <v>0</v>
      </c>
      <c r="L8" s="607">
        <f>IF($G8="","",VLOOKUP($G8,請求Data!$E$11:$AR$160,請求Data!$AP$10-請求Data!$D$10,FALSE))</f>
        <v>9099000</v>
      </c>
      <c r="M8" s="607">
        <f t="shared" ref="M8:M71" si="1">IF($L8="","",IF($V8="C",$Y8,$X8))</f>
        <v>727920</v>
      </c>
      <c r="N8" s="607">
        <f t="shared" ref="N8:N71" si="2">IF(AND($L8="",$M8=""),"",$L8+$M8)</f>
        <v>9826920</v>
      </c>
      <c r="O8" s="606" t="str">
        <f t="shared" ref="O8:O28" si="3">IF($H8=$H9,"",IF($B8="","",$B8+1))</f>
        <v/>
      </c>
      <c r="P8" s="606" t="str">
        <f t="shared" ref="P8:P28" si="4">IF($H8=$H9,"",IF($C8="","",$C8+1))</f>
        <v/>
      </c>
      <c r="Q8" s="606" t="str">
        <f t="shared" ref="Q8:Q28" si="5">IF($H8=$H9,"",IF($D8="","",$D8+1))</f>
        <v/>
      </c>
      <c r="R8" s="606" t="str">
        <f t="shared" ref="R8:R28" si="6">IF($H8=$H9,"",IF($E8="","",$E8+1))</f>
        <v/>
      </c>
      <c r="S8" s="607">
        <f t="shared" ref="S8:S28" si="7">IF($H8="","",IF($H7=$H8,$S7+$L8,$L8))</f>
        <v>9599000</v>
      </c>
      <c r="T8" s="607">
        <f t="shared" ref="T8:T28" si="8">IF($H8="","",IF($H7=$H8,$T7+$M8,$M8))</f>
        <v>727920</v>
      </c>
      <c r="U8" s="607">
        <f t="shared" ref="U8:U71" si="9">IF(AND($S8="",$T8=""),"",$S8+$T8)</f>
        <v>10326920</v>
      </c>
      <c r="V8" s="162" t="str">
        <f t="shared" ref="V8:V71" si="10">MID($I8,1,1)</f>
        <v>3</v>
      </c>
      <c r="W8" s="609" t="str">
        <f>IF($G8="","",VLOOKUP($G8,請求Data!$E$11:$AR$160,請求Data!$AC$10-請求Data!$D$10,FALSE))</f>
        <v>\</v>
      </c>
      <c r="X8" s="607">
        <f t="shared" ref="X8:X71" si="11">IF($J8="","",IF($J8=1,IF($W8="\",IF($K8=1,ROUNDDOWN($L8*$X$2,0),IF($K8=0,ROUND($L8*$X$2,0),"ERR")),IF($K8=1,ROUNDDOWN($L8*$X$2,2),IF($K8=0,ROUND($L8*$X$2,2),"ERR"))),0))</f>
        <v>727920</v>
      </c>
      <c r="Y8" s="608">
        <f t="shared" ref="Y8:Y71" si="12">IF($J8="","",IF($J8=1,IF($W8="\",IF($K8=1,ROUNDDOWN($L8*$Y$2,0),IF($K8=0,ROUND($L8*$Y$2,0),"ERR")),IF($K8=1,ROUNDDOWN($L8*$Y$2,2),IF($K8=0,ROUND($L8*$Y$2,2),"ERR"))),0))</f>
        <v>909900</v>
      </c>
    </row>
    <row r="9" spans="1:27">
      <c r="A9" s="103">
        <v>3</v>
      </c>
      <c r="B9" s="247">
        <f>IF(LEFT($G9,1)="1",IF($H8=$H9,MAX($B$6:$B8)+1,IF(MAX($B$6:$B8)&lt;=0,1,MAX($B$6:$B8)+3)),"")</f>
        <v>3</v>
      </c>
      <c r="C9" s="247" t="str">
        <f>IF(LEFT($G9,1)="2",IF($H8=$H9,MAX($C$6:$C8)+1,IF(MAX($C$6:$C8)&lt;=0,1,MAX($C$6:$C8)+3)),"")</f>
        <v/>
      </c>
      <c r="D9" s="247" t="str">
        <f>IF(LEFT($G9,1)="3",IF($H8=$H9,MAX($D$6:$D8)+1,IF(MAX($D$6:$D8)&lt;=0,1,MAX($D$6:$D8)+3)),"")</f>
        <v/>
      </c>
      <c r="E9" s="247" t="str">
        <f>IF(LEFT($G9,1)="4",IF($H8=$H9,MAX($E$6:$E8)+1,IF(MAX($E$6:$E8)&lt;=0,1,MAX($E$6:$E8)+3)),"")</f>
        <v/>
      </c>
      <c r="F9" s="477">
        <f t="shared" si="0"/>
        <v>1</v>
      </c>
      <c r="G9" s="409">
        <f>IF(ISERROR(SMALL(請求Data!$E$11:$E$160,$A9)),"",SMALL(請求Data!$E$11:$E$160,$A9))</f>
        <v>11000107008</v>
      </c>
      <c r="H9" s="606" t="str">
        <f>IF($G9="","",VLOOKUP($G9,請求Data!$E$11:$AR$160,4,FALSE))</f>
        <v>10001</v>
      </c>
      <c r="I9" s="606" t="str">
        <f>IF($G9="","",VLOOKUP($G9,請求Data!$E$11:$AR$160,5,FALSE))</f>
        <v>39-B07008</v>
      </c>
      <c r="J9" s="609">
        <f>IF($G9="","",IF(VLOOKUP($G9,請求Data!$E$11:$AR$160,請求Data!$Y$10-請求Data!$D$10,FALSE)="",1,0))</f>
        <v>1</v>
      </c>
      <c r="K9" s="609">
        <f>IF($G9="","",IF(VLOOKUP($G9,請求Data!$E$11:$AR$160,請求Data!$Z$10-請求Data!$D$10,FALSE)="*",1,0))</f>
        <v>0</v>
      </c>
      <c r="L9" s="607">
        <f>IF($G9="","",VLOOKUP($G9,請求Data!$E$11:$AR$160,請求Data!$AP$10-請求Data!$D$10,FALSE))</f>
        <v>6219276</v>
      </c>
      <c r="M9" s="607">
        <f t="shared" si="1"/>
        <v>497542</v>
      </c>
      <c r="N9" s="607">
        <f t="shared" si="2"/>
        <v>6716818</v>
      </c>
      <c r="O9" s="606" t="str">
        <f t="shared" si="3"/>
        <v/>
      </c>
      <c r="P9" s="606" t="str">
        <f t="shared" si="4"/>
        <v/>
      </c>
      <c r="Q9" s="606" t="str">
        <f t="shared" si="5"/>
        <v/>
      </c>
      <c r="R9" s="606" t="str">
        <f t="shared" si="6"/>
        <v/>
      </c>
      <c r="S9" s="607">
        <f t="shared" si="7"/>
        <v>15818276</v>
      </c>
      <c r="T9" s="607">
        <f t="shared" si="8"/>
        <v>1225462</v>
      </c>
      <c r="U9" s="607">
        <f t="shared" si="9"/>
        <v>17043738</v>
      </c>
      <c r="V9" s="162" t="str">
        <f t="shared" si="10"/>
        <v>3</v>
      </c>
      <c r="W9" s="609" t="str">
        <f>IF($G9="","",VLOOKUP($G9,請求Data!$E$11:$AR$160,請求Data!$AC$10-請求Data!$D$10,FALSE))</f>
        <v>\</v>
      </c>
      <c r="X9" s="607">
        <f t="shared" si="11"/>
        <v>497542</v>
      </c>
      <c r="Y9" s="608">
        <f t="shared" si="12"/>
        <v>621928</v>
      </c>
    </row>
    <row r="10" spans="1:27">
      <c r="A10" s="103">
        <v>4</v>
      </c>
      <c r="B10" s="247">
        <f>IF(LEFT($G10,1)="1",IF($H9=$H10,MAX($B$6:$B9)+1,IF(MAX($B$6:$B9)&lt;=0,1,MAX($B$6:$B9)+3)),"")</f>
        <v>4</v>
      </c>
      <c r="C10" s="247" t="str">
        <f>IF(LEFT($G10,1)="2",IF($H9=$H10,MAX($C$6:$C9)+1,IF(MAX($C$6:$C9)&lt;=0,1,MAX($C$6:$C9)+3)),"")</f>
        <v/>
      </c>
      <c r="D10" s="247" t="str">
        <f>IF(LEFT($G10,1)="3",IF($H9=$H10,MAX($D$6:$D9)+1,IF(MAX($D$6:$D9)&lt;=0,1,MAX($D$6:$D9)+3)),"")</f>
        <v/>
      </c>
      <c r="E10" s="247" t="str">
        <f>IF(LEFT($G10,1)="4",IF($H9=$H10,MAX($E$6:$E9)+1,IF(MAX($E$6:$E9)&lt;=0,1,MAX($E$6:$E9)+3)),"")</f>
        <v/>
      </c>
      <c r="F10" s="477">
        <f t="shared" si="0"/>
        <v>1</v>
      </c>
      <c r="G10" s="409">
        <f>IF(ISERROR(SMALL(請求Data!$E$11:$E$160,$A10)),"",SMALL(請求Data!$E$11:$E$160,$A10))</f>
        <v>11000107022</v>
      </c>
      <c r="H10" s="606" t="str">
        <f>IF($G10="","",VLOOKUP($G10,請求Data!$E$11:$AR$160,4,FALSE))</f>
        <v>10001</v>
      </c>
      <c r="I10" s="606" t="str">
        <f>IF($G10="","",VLOOKUP($G10,請求Data!$E$11:$AR$160,5,FALSE))</f>
        <v>39-B07022</v>
      </c>
      <c r="J10" s="609">
        <f>IF($G10="","",IF(VLOOKUP($G10,請求Data!$E$11:$AR$160,請求Data!$Y$10-請求Data!$D$10,FALSE)="",1,0))</f>
        <v>1</v>
      </c>
      <c r="K10" s="609">
        <f>IF($G10="","",IF(VLOOKUP($G10,請求Data!$E$11:$AR$160,請求Data!$Z$10-請求Data!$D$10,FALSE)="*",1,0))</f>
        <v>0</v>
      </c>
      <c r="L10" s="607">
        <f>IF($G10="","",VLOOKUP($G10,請求Data!$E$11:$AR$160,請求Data!$AP$10-請求Data!$D$10,FALSE))</f>
        <v>6311</v>
      </c>
      <c r="M10" s="607">
        <f t="shared" si="1"/>
        <v>505</v>
      </c>
      <c r="N10" s="607">
        <f t="shared" si="2"/>
        <v>6816</v>
      </c>
      <c r="O10" s="606">
        <f t="shared" si="3"/>
        <v>5</v>
      </c>
      <c r="P10" s="606" t="str">
        <f t="shared" si="4"/>
        <v/>
      </c>
      <c r="Q10" s="606" t="str">
        <f t="shared" si="5"/>
        <v/>
      </c>
      <c r="R10" s="606" t="str">
        <f t="shared" si="6"/>
        <v/>
      </c>
      <c r="S10" s="607">
        <f t="shared" si="7"/>
        <v>15824587</v>
      </c>
      <c r="T10" s="607">
        <f t="shared" si="8"/>
        <v>1225967</v>
      </c>
      <c r="U10" s="607">
        <f t="shared" si="9"/>
        <v>17050554</v>
      </c>
      <c r="V10" s="162" t="str">
        <f t="shared" si="10"/>
        <v>3</v>
      </c>
      <c r="W10" s="609" t="str">
        <f>IF($G10="","",VLOOKUP($G10,請求Data!$E$11:$AR$160,請求Data!$AC$10-請求Data!$D$10,FALSE))</f>
        <v>\</v>
      </c>
      <c r="X10" s="607">
        <f t="shared" si="11"/>
        <v>505</v>
      </c>
      <c r="Y10" s="608">
        <f t="shared" si="12"/>
        <v>631</v>
      </c>
    </row>
    <row r="11" spans="1:27">
      <c r="A11" s="103">
        <v>5</v>
      </c>
      <c r="B11" s="247">
        <f>IF(LEFT($G11,1)="1",IF($H10=$H11,MAX($B$6:$B10)+1,IF(MAX($B$6:$B10)&lt;=0,1,MAX($B$6:$B10)+3)),"")</f>
        <v>7</v>
      </c>
      <c r="C11" s="247" t="str">
        <f>IF(LEFT($G11,1)="2",IF($H10=$H11,MAX($C$6:$C10)+1,IF(MAX($C$6:$C10)&lt;=0,1,MAX($C$6:$C10)+3)),"")</f>
        <v/>
      </c>
      <c r="D11" s="247" t="str">
        <f>IF(LEFT($G11,1)="3",IF($H10=$H11,MAX($D$6:$D10)+1,IF(MAX($D$6:$D10)&lt;=0,1,MAX($D$6:$D10)+3)),"")</f>
        <v/>
      </c>
      <c r="E11" s="247" t="str">
        <f>IF(LEFT($G11,1)="4",IF($H10=$H11,MAX($E$6:$E10)+1,IF(MAX($E$6:$E10)&lt;=0,1,MAX($E$6:$E10)+3)),"")</f>
        <v/>
      </c>
      <c r="F11" s="477">
        <f t="shared" si="0"/>
        <v>1</v>
      </c>
      <c r="G11" s="409">
        <f>IF(ISERROR(SMALL(請求Data!$E$11:$E$160,$A11)),"",SMALL(請求Data!$E$11:$E$160,$A11))</f>
        <v>11000507005</v>
      </c>
      <c r="H11" s="606" t="str">
        <f>IF($G11="","",VLOOKUP($G11,請求Data!$E$11:$AR$160,4,FALSE))</f>
        <v>10005</v>
      </c>
      <c r="I11" s="606" t="str">
        <f>IF($G11="","",VLOOKUP($G11,請求Data!$E$11:$AR$160,5,FALSE))</f>
        <v>39-B07005</v>
      </c>
      <c r="J11" s="609">
        <f>IF($G11="","",IF(VLOOKUP($G11,請求Data!$E$11:$AR$160,請求Data!$Y$10-請求Data!$D$10,FALSE)="",1,0))</f>
        <v>1</v>
      </c>
      <c r="K11" s="609">
        <f>IF($G11="","",IF(VLOOKUP($G11,請求Data!$E$11:$AR$160,請求Data!$Z$10-請求Data!$D$10,FALSE)="*",1,0))</f>
        <v>0</v>
      </c>
      <c r="L11" s="607">
        <f>IF($G11="","",VLOOKUP($G11,請求Data!$E$11:$AR$160,請求Data!$AP$10-請求Data!$D$10,FALSE))</f>
        <v>27999</v>
      </c>
      <c r="M11" s="607">
        <f t="shared" si="1"/>
        <v>2240</v>
      </c>
      <c r="N11" s="607">
        <f t="shared" si="2"/>
        <v>30239</v>
      </c>
      <c r="O11" s="606">
        <f t="shared" si="3"/>
        <v>8</v>
      </c>
      <c r="P11" s="606" t="str">
        <f t="shared" si="4"/>
        <v/>
      </c>
      <c r="Q11" s="606" t="str">
        <f t="shared" si="5"/>
        <v/>
      </c>
      <c r="R11" s="606" t="str">
        <f t="shared" si="6"/>
        <v/>
      </c>
      <c r="S11" s="607">
        <f t="shared" si="7"/>
        <v>27999</v>
      </c>
      <c r="T11" s="607">
        <f t="shared" si="8"/>
        <v>2240</v>
      </c>
      <c r="U11" s="607">
        <f t="shared" si="9"/>
        <v>30239</v>
      </c>
      <c r="V11" s="162" t="str">
        <f t="shared" si="10"/>
        <v>3</v>
      </c>
      <c r="W11" s="609" t="str">
        <f>IF($G11="","",VLOOKUP($G11,請求Data!$E$11:$AR$160,請求Data!$AC$10-請求Data!$D$10,FALSE))</f>
        <v>\</v>
      </c>
      <c r="X11" s="607">
        <f t="shared" si="11"/>
        <v>2240</v>
      </c>
      <c r="Y11" s="608">
        <f t="shared" si="12"/>
        <v>2800</v>
      </c>
    </row>
    <row r="12" spans="1:27">
      <c r="A12" s="103">
        <v>6</v>
      </c>
      <c r="B12" s="247">
        <f>IF(LEFT($G12,1)="1",IF($H11=$H12,MAX($B$6:$B11)+1,IF(MAX($B$6:$B11)&lt;=0,1,MAX($B$6:$B11)+3)),"")</f>
        <v>10</v>
      </c>
      <c r="C12" s="247" t="str">
        <f>IF(LEFT($G12,1)="2",IF($H11=$H12,MAX($C$6:$C11)+1,IF(MAX($C$6:$C11)&lt;=0,1,MAX($C$6:$C11)+3)),"")</f>
        <v/>
      </c>
      <c r="D12" s="247" t="str">
        <f>IF(LEFT($G12,1)="3",IF($H11=$H12,MAX($D$6:$D11)+1,IF(MAX($D$6:$D11)&lt;=0,1,MAX($D$6:$D11)+3)),"")</f>
        <v/>
      </c>
      <c r="E12" s="247" t="str">
        <f>IF(LEFT($G12,1)="4",IF($H11=$H12,MAX($E$6:$E11)+1,IF(MAX($E$6:$E11)&lt;=0,1,MAX($E$6:$E11)+3)),"")</f>
        <v/>
      </c>
      <c r="F12" s="477">
        <f t="shared" si="0"/>
        <v>1</v>
      </c>
      <c r="G12" s="409">
        <f>IF(ISERROR(SMALL(請求Data!$E$11:$E$160,$A12)),"",SMALL(請求Data!$E$11:$E$160,$A12))</f>
        <v>11001007004</v>
      </c>
      <c r="H12" s="606" t="str">
        <f>IF($G12="","",VLOOKUP($G12,請求Data!$E$11:$AR$160,4,FALSE))</f>
        <v>10010</v>
      </c>
      <c r="I12" s="606" t="str">
        <f>IF($G12="","",VLOOKUP($G12,請求Data!$E$11:$AR$160,5,FALSE))</f>
        <v>39-B07004</v>
      </c>
      <c r="J12" s="609">
        <f>IF($G12="","",IF(VLOOKUP($G12,請求Data!$E$11:$AR$160,請求Data!$Y$10-請求Data!$D$10,FALSE)="",1,0))</f>
        <v>1</v>
      </c>
      <c r="K12" s="609">
        <f>IF($G12="","",IF(VLOOKUP($G12,請求Data!$E$11:$AR$160,請求Data!$Z$10-請求Data!$D$10,FALSE)="*",1,0))</f>
        <v>0</v>
      </c>
      <c r="L12" s="607">
        <f>IF($G12="","",VLOOKUP($G12,請求Data!$E$11:$AR$160,請求Data!$AP$10-請求Data!$D$10,FALSE))</f>
        <v>590000</v>
      </c>
      <c r="M12" s="607">
        <f t="shared" si="1"/>
        <v>47200</v>
      </c>
      <c r="N12" s="607">
        <f t="shared" si="2"/>
        <v>637200</v>
      </c>
      <c r="O12" s="606" t="str">
        <f t="shared" si="3"/>
        <v/>
      </c>
      <c r="P12" s="606" t="str">
        <f t="shared" si="4"/>
        <v/>
      </c>
      <c r="Q12" s="606" t="str">
        <f t="shared" si="5"/>
        <v/>
      </c>
      <c r="R12" s="606" t="str">
        <f t="shared" si="6"/>
        <v/>
      </c>
      <c r="S12" s="607">
        <f t="shared" si="7"/>
        <v>590000</v>
      </c>
      <c r="T12" s="607">
        <f t="shared" si="8"/>
        <v>47200</v>
      </c>
      <c r="U12" s="607">
        <f t="shared" si="9"/>
        <v>637200</v>
      </c>
      <c r="V12" s="162" t="str">
        <f t="shared" si="10"/>
        <v>3</v>
      </c>
      <c r="W12" s="609" t="str">
        <f>IF($G12="","",VLOOKUP($G12,請求Data!$E$11:$AR$160,請求Data!$AC$10-請求Data!$D$10,FALSE))</f>
        <v>\</v>
      </c>
      <c r="X12" s="607">
        <f t="shared" si="11"/>
        <v>47200</v>
      </c>
      <c r="Y12" s="608">
        <f t="shared" si="12"/>
        <v>59000</v>
      </c>
    </row>
    <row r="13" spans="1:27">
      <c r="A13" s="103">
        <v>7</v>
      </c>
      <c r="B13" s="247">
        <f>IF(LEFT($G13,1)="1",IF($H12=$H13,MAX($B$6:$B12)+1,IF(MAX($B$6:$B12)&lt;=0,1,MAX($B$6:$B12)+3)),"")</f>
        <v>11</v>
      </c>
      <c r="C13" s="247" t="str">
        <f>IF(LEFT($G13,1)="2",IF($H12=$H13,MAX($C$6:$C12)+1,IF(MAX($C$6:$C12)&lt;=0,1,MAX($C$6:$C12)+3)),"")</f>
        <v/>
      </c>
      <c r="D13" s="247" t="str">
        <f>IF(LEFT($G13,1)="3",IF($H12=$H13,MAX($D$6:$D12)+1,IF(MAX($D$6:$D12)&lt;=0,1,MAX($D$6:$D12)+3)),"")</f>
        <v/>
      </c>
      <c r="E13" s="247" t="str">
        <f>IF(LEFT($G13,1)="4",IF($H12=$H13,MAX($E$6:$E12)+1,IF(MAX($E$6:$E12)&lt;=0,1,MAX($E$6:$E12)+3)),"")</f>
        <v/>
      </c>
      <c r="F13" s="477">
        <f t="shared" si="0"/>
        <v>1</v>
      </c>
      <c r="G13" s="409">
        <f>IF(ISERROR(SMALL(請求Data!$E$11:$E$160,$A13)),"",SMALL(請求Data!$E$11:$E$160,$A13))</f>
        <v>11001007007</v>
      </c>
      <c r="H13" s="606" t="str">
        <f>IF($G13="","",VLOOKUP($G13,請求Data!$E$11:$AR$160,4,FALSE))</f>
        <v>10010</v>
      </c>
      <c r="I13" s="606" t="str">
        <f>IF($G13="","",VLOOKUP($G13,請求Data!$E$11:$AR$160,5,FALSE))</f>
        <v>39-B07007</v>
      </c>
      <c r="J13" s="609">
        <f>IF($G13="","",IF(VLOOKUP($G13,請求Data!$E$11:$AR$160,請求Data!$Y$10-請求Data!$D$10,FALSE)="",1,0))</f>
        <v>1</v>
      </c>
      <c r="K13" s="609">
        <f>IF($G13="","",IF(VLOOKUP($G13,請求Data!$E$11:$AR$160,請求Data!$Z$10-請求Data!$D$10,FALSE)="*",1,0))</f>
        <v>0</v>
      </c>
      <c r="L13" s="607">
        <f>IF($G13="","",VLOOKUP($G13,請求Data!$E$11:$AR$160,請求Data!$AP$10-請求Data!$D$10,FALSE))</f>
        <v>29544</v>
      </c>
      <c r="M13" s="607">
        <f t="shared" si="1"/>
        <v>2364</v>
      </c>
      <c r="N13" s="607">
        <f t="shared" si="2"/>
        <v>31908</v>
      </c>
      <c r="O13" s="606" t="str">
        <f t="shared" si="3"/>
        <v/>
      </c>
      <c r="P13" s="606" t="str">
        <f t="shared" si="4"/>
        <v/>
      </c>
      <c r="Q13" s="606" t="str">
        <f t="shared" si="5"/>
        <v/>
      </c>
      <c r="R13" s="606" t="str">
        <f t="shared" si="6"/>
        <v/>
      </c>
      <c r="S13" s="607">
        <f t="shared" si="7"/>
        <v>619544</v>
      </c>
      <c r="T13" s="607">
        <f t="shared" si="8"/>
        <v>49564</v>
      </c>
      <c r="U13" s="607">
        <f t="shared" si="9"/>
        <v>669108</v>
      </c>
      <c r="V13" s="162" t="str">
        <f t="shared" si="10"/>
        <v>3</v>
      </c>
      <c r="W13" s="609" t="str">
        <f>IF($G13="","",VLOOKUP($G13,請求Data!$E$11:$AR$160,請求Data!$AC$10-請求Data!$D$10,FALSE))</f>
        <v>\</v>
      </c>
      <c r="X13" s="607">
        <f t="shared" si="11"/>
        <v>2364</v>
      </c>
      <c r="Y13" s="608">
        <f t="shared" si="12"/>
        <v>2954</v>
      </c>
    </row>
    <row r="14" spans="1:27">
      <c r="A14" s="103">
        <v>8</v>
      </c>
      <c r="B14" s="247">
        <f>IF(LEFT($G14,1)="1",IF($H13=$H14,MAX($B$6:$B13)+1,IF(MAX($B$6:$B13)&lt;=0,1,MAX($B$6:$B13)+3)),"")</f>
        <v>12</v>
      </c>
      <c r="C14" s="247" t="str">
        <f>IF(LEFT($G14,1)="2",IF($H13=$H14,MAX($C$6:$C13)+1,IF(MAX($C$6:$C13)&lt;=0,1,MAX($C$6:$C13)+3)),"")</f>
        <v/>
      </c>
      <c r="D14" s="247" t="str">
        <f>IF(LEFT($G14,1)="3",IF($H13=$H14,MAX($D$6:$D13)+1,IF(MAX($D$6:$D13)&lt;=0,1,MAX($D$6:$D13)+3)),"")</f>
        <v/>
      </c>
      <c r="E14" s="247" t="str">
        <f>IF(LEFT($G14,1)="4",IF($H13=$H14,MAX($E$6:$E13)+1,IF(MAX($E$6:$E13)&lt;=0,1,MAX($E$6:$E13)+3)),"")</f>
        <v/>
      </c>
      <c r="F14" s="477">
        <f t="shared" si="0"/>
        <v>1</v>
      </c>
      <c r="G14" s="409">
        <f>IF(ISERROR(SMALL(請求Data!$E$11:$E$160,$A14)),"",SMALL(請求Data!$E$11:$E$160,$A14))</f>
        <v>11001007017</v>
      </c>
      <c r="H14" s="606" t="str">
        <f>IF($G14="","",VLOOKUP($G14,請求Data!$E$11:$AR$160,4,FALSE))</f>
        <v>10010</v>
      </c>
      <c r="I14" s="606" t="str">
        <f>IF($G14="","",VLOOKUP($G14,請求Data!$E$11:$AR$160,5,FALSE))</f>
        <v>39-B07017</v>
      </c>
      <c r="J14" s="609">
        <f>IF($G14="","",IF(VLOOKUP($G14,請求Data!$E$11:$AR$160,請求Data!$Y$10-請求Data!$D$10,FALSE)="",1,0))</f>
        <v>1</v>
      </c>
      <c r="K14" s="609">
        <f>IF($G14="","",IF(VLOOKUP($G14,請求Data!$E$11:$AR$160,請求Data!$Z$10-請求Data!$D$10,FALSE)="*",1,0))</f>
        <v>0</v>
      </c>
      <c r="L14" s="607">
        <f>IF($G14="","",VLOOKUP($G14,請求Data!$E$11:$AR$160,請求Data!$AP$10-請求Data!$D$10,FALSE))</f>
        <v>3505000</v>
      </c>
      <c r="M14" s="607">
        <f t="shared" si="1"/>
        <v>280400</v>
      </c>
      <c r="N14" s="607">
        <f t="shared" si="2"/>
        <v>3785400</v>
      </c>
      <c r="O14" s="606" t="str">
        <f t="shared" si="3"/>
        <v/>
      </c>
      <c r="P14" s="606" t="str">
        <f t="shared" si="4"/>
        <v/>
      </c>
      <c r="Q14" s="606" t="str">
        <f t="shared" si="5"/>
        <v/>
      </c>
      <c r="R14" s="606" t="str">
        <f t="shared" si="6"/>
        <v/>
      </c>
      <c r="S14" s="607">
        <f t="shared" si="7"/>
        <v>4124544</v>
      </c>
      <c r="T14" s="607">
        <f t="shared" si="8"/>
        <v>329964</v>
      </c>
      <c r="U14" s="607">
        <f t="shared" si="9"/>
        <v>4454508</v>
      </c>
      <c r="V14" s="162" t="str">
        <f t="shared" si="10"/>
        <v>3</v>
      </c>
      <c r="W14" s="609" t="str">
        <f>IF($G14="","",VLOOKUP($G14,請求Data!$E$11:$AR$160,請求Data!$AC$10-請求Data!$D$10,FALSE))</f>
        <v>\</v>
      </c>
      <c r="X14" s="607">
        <f t="shared" si="11"/>
        <v>280400</v>
      </c>
      <c r="Y14" s="608">
        <f t="shared" si="12"/>
        <v>350500</v>
      </c>
    </row>
    <row r="15" spans="1:27">
      <c r="A15" s="103">
        <v>9</v>
      </c>
      <c r="B15" s="247">
        <f>IF(LEFT($G15,1)="1",IF($H14=$H15,MAX($B$6:$B14)+1,IF(MAX($B$6:$B14)&lt;=0,1,MAX($B$6:$B14)+3)),"")</f>
        <v>13</v>
      </c>
      <c r="C15" s="247" t="str">
        <f>IF(LEFT($G15,1)="2",IF($H14=$H15,MAX($C$6:$C14)+1,IF(MAX($C$6:$C14)&lt;=0,1,MAX($C$6:$C14)+3)),"")</f>
        <v/>
      </c>
      <c r="D15" s="247" t="str">
        <f>IF(LEFT($G15,1)="3",IF($H14=$H15,MAX($D$6:$D14)+1,IF(MAX($D$6:$D14)&lt;=0,1,MAX($D$6:$D14)+3)),"")</f>
        <v/>
      </c>
      <c r="E15" s="247" t="str">
        <f>IF(LEFT($G15,1)="4",IF($H14=$H15,MAX($E$6:$E14)+1,IF(MAX($E$6:$E14)&lt;=0,1,MAX($E$6:$E14)+3)),"")</f>
        <v/>
      </c>
      <c r="F15" s="477">
        <f t="shared" si="0"/>
        <v>1</v>
      </c>
      <c r="G15" s="409">
        <f>IF(ISERROR(SMALL(請求Data!$E$11:$E$160,$A15)),"",SMALL(請求Data!$E$11:$E$160,$A15))</f>
        <v>11001007021</v>
      </c>
      <c r="H15" s="606" t="str">
        <f>IF($G15="","",VLOOKUP($G15,請求Data!$E$11:$AR$160,4,FALSE))</f>
        <v>10010</v>
      </c>
      <c r="I15" s="606" t="str">
        <f>IF($G15="","",VLOOKUP($G15,請求Data!$E$11:$AR$160,5,FALSE))</f>
        <v>39-B07021</v>
      </c>
      <c r="J15" s="609">
        <f>IF($G15="","",IF(VLOOKUP($G15,請求Data!$E$11:$AR$160,請求Data!$Y$10-請求Data!$D$10,FALSE)="",1,0))</f>
        <v>1</v>
      </c>
      <c r="K15" s="609">
        <f>IF($G15="","",IF(VLOOKUP($G15,請求Data!$E$11:$AR$160,請求Data!$Z$10-請求Data!$D$10,FALSE)="*",1,0))</f>
        <v>0</v>
      </c>
      <c r="L15" s="607">
        <f>IF($G15="","",VLOOKUP($G15,請求Data!$E$11:$AR$160,請求Data!$AP$10-請求Data!$D$10,FALSE))</f>
        <v>2030516</v>
      </c>
      <c r="M15" s="607">
        <f t="shared" si="1"/>
        <v>162441</v>
      </c>
      <c r="N15" s="607">
        <f t="shared" si="2"/>
        <v>2192957</v>
      </c>
      <c r="O15" s="606">
        <f t="shared" si="3"/>
        <v>14</v>
      </c>
      <c r="P15" s="606" t="str">
        <f t="shared" si="4"/>
        <v/>
      </c>
      <c r="Q15" s="606" t="str">
        <f t="shared" si="5"/>
        <v/>
      </c>
      <c r="R15" s="606" t="str">
        <f t="shared" si="6"/>
        <v/>
      </c>
      <c r="S15" s="607">
        <f t="shared" si="7"/>
        <v>6155060</v>
      </c>
      <c r="T15" s="607">
        <f t="shared" si="8"/>
        <v>492405</v>
      </c>
      <c r="U15" s="607">
        <f t="shared" si="9"/>
        <v>6647465</v>
      </c>
      <c r="V15" s="162" t="str">
        <f t="shared" si="10"/>
        <v>3</v>
      </c>
      <c r="W15" s="609" t="str">
        <f>IF($G15="","",VLOOKUP($G15,請求Data!$E$11:$AR$160,請求Data!$AC$10-請求Data!$D$10,FALSE))</f>
        <v>\</v>
      </c>
      <c r="X15" s="607">
        <f t="shared" si="11"/>
        <v>162441</v>
      </c>
      <c r="Y15" s="608">
        <f t="shared" si="12"/>
        <v>203052</v>
      </c>
    </row>
    <row r="16" spans="1:27">
      <c r="A16" s="103">
        <v>10</v>
      </c>
      <c r="B16" s="247">
        <f>IF(LEFT($G16,1)="1",IF($H15=$H16,MAX($B$6:$B15)+1,IF(MAX($B$6:$B15)&lt;=0,1,MAX($B$6:$B15)+3)),"")</f>
        <v>16</v>
      </c>
      <c r="C16" s="247" t="str">
        <f>IF(LEFT($G16,1)="2",IF($H15=$H16,MAX($C$6:$C15)+1,IF(MAX($C$6:$C15)&lt;=0,1,MAX($C$6:$C15)+3)),"")</f>
        <v/>
      </c>
      <c r="D16" s="247" t="str">
        <f>IF(LEFT($G16,1)="3",IF($H15=$H16,MAX($D$6:$D15)+1,IF(MAX($D$6:$D15)&lt;=0,1,MAX($D$6:$D15)+3)),"")</f>
        <v/>
      </c>
      <c r="E16" s="247" t="str">
        <f>IF(LEFT($G16,1)="4",IF($H15=$H16,MAX($E$6:$E15)+1,IF(MAX($E$6:$E15)&lt;=0,1,MAX($E$6:$E15)+3)),"")</f>
        <v/>
      </c>
      <c r="F16" s="477">
        <f t="shared" si="0"/>
        <v>1</v>
      </c>
      <c r="G16" s="409">
        <f>IF(ISERROR(SMALL(請求Data!$E$11:$E$160,$A16)),"",SMALL(請求Data!$E$11:$E$160,$A16))</f>
        <v>11001507009</v>
      </c>
      <c r="H16" s="606" t="str">
        <f>IF($G16="","",VLOOKUP($G16,請求Data!$E$11:$AR$160,4,FALSE))</f>
        <v>10015</v>
      </c>
      <c r="I16" s="606" t="str">
        <f>IF($G16="","",VLOOKUP($G16,請求Data!$E$11:$AR$160,5,FALSE))</f>
        <v>39-B07009</v>
      </c>
      <c r="J16" s="609">
        <f>IF($G16="","",IF(VLOOKUP($G16,請求Data!$E$11:$AR$160,請求Data!$Y$10-請求Data!$D$10,FALSE)="",1,0))</f>
        <v>1</v>
      </c>
      <c r="K16" s="609">
        <f>IF($G16="","",IF(VLOOKUP($G16,請求Data!$E$11:$AR$160,請求Data!$Z$10-請求Data!$D$10,FALSE)="*",1,0))</f>
        <v>0</v>
      </c>
      <c r="L16" s="607">
        <f>IF($G16="","",VLOOKUP($G16,請求Data!$E$11:$AR$160,請求Data!$AP$10-請求Data!$D$10,FALSE))</f>
        <v>19107</v>
      </c>
      <c r="M16" s="607">
        <f t="shared" si="1"/>
        <v>1529</v>
      </c>
      <c r="N16" s="607">
        <f t="shared" si="2"/>
        <v>20636</v>
      </c>
      <c r="O16" s="606">
        <f t="shared" si="3"/>
        <v>17</v>
      </c>
      <c r="P16" s="606" t="str">
        <f t="shared" si="4"/>
        <v/>
      </c>
      <c r="Q16" s="606" t="str">
        <f t="shared" si="5"/>
        <v/>
      </c>
      <c r="R16" s="606" t="str">
        <f t="shared" si="6"/>
        <v/>
      </c>
      <c r="S16" s="607">
        <f t="shared" si="7"/>
        <v>19107</v>
      </c>
      <c r="T16" s="607">
        <f t="shared" si="8"/>
        <v>1529</v>
      </c>
      <c r="U16" s="607">
        <f t="shared" si="9"/>
        <v>20636</v>
      </c>
      <c r="V16" s="162" t="str">
        <f t="shared" si="10"/>
        <v>3</v>
      </c>
      <c r="W16" s="609" t="str">
        <f>IF($G16="","",VLOOKUP($G16,請求Data!$E$11:$AR$160,請求Data!$AC$10-請求Data!$D$10,FALSE))</f>
        <v>\</v>
      </c>
      <c r="X16" s="607">
        <f t="shared" si="11"/>
        <v>1529</v>
      </c>
      <c r="Y16" s="608">
        <f t="shared" si="12"/>
        <v>1911</v>
      </c>
    </row>
    <row r="17" spans="1:25">
      <c r="A17" s="103">
        <v>11</v>
      </c>
      <c r="B17" s="247">
        <f>IF(LEFT($G17,1)="1",IF($H16=$H17,MAX($B$6:$B16)+1,IF(MAX($B$6:$B16)&lt;=0,1,MAX($B$6:$B16)+3)),"")</f>
        <v>19</v>
      </c>
      <c r="C17" s="247" t="str">
        <f>IF(LEFT($G17,1)="2",IF($H16=$H17,MAX($C$6:$C16)+1,IF(MAX($C$6:$C16)&lt;=0,1,MAX($C$6:$C16)+3)),"")</f>
        <v/>
      </c>
      <c r="D17" s="247" t="str">
        <f>IF(LEFT($G17,1)="3",IF($H16=$H17,MAX($D$6:$D16)+1,IF(MAX($D$6:$D16)&lt;=0,1,MAX($D$6:$D16)+3)),"")</f>
        <v/>
      </c>
      <c r="E17" s="247" t="str">
        <f>IF(LEFT($G17,1)="4",IF($H16=$H17,MAX($E$6:$E16)+1,IF(MAX($E$6:$E16)&lt;=0,1,MAX($E$6:$E16)+3)),"")</f>
        <v/>
      </c>
      <c r="F17" s="477">
        <f t="shared" si="0"/>
        <v>1</v>
      </c>
      <c r="G17" s="409">
        <f>IF(ISERROR(SMALL(請求Data!$E$11:$E$160,$A17)),"",SMALL(請求Data!$E$11:$E$160,$A17))</f>
        <v>11001607018</v>
      </c>
      <c r="H17" s="606" t="str">
        <f>IF($G17="","",VLOOKUP($G17,請求Data!$E$11:$AR$160,4,FALSE))</f>
        <v>10016</v>
      </c>
      <c r="I17" s="606" t="str">
        <f>IF($G17="","",VLOOKUP($G17,請求Data!$E$11:$AR$160,5,FALSE))</f>
        <v>39-B07018</v>
      </c>
      <c r="J17" s="609">
        <f>IF($G17="","",IF(VLOOKUP($G17,請求Data!$E$11:$AR$160,請求Data!$Y$10-請求Data!$D$10,FALSE)="",1,0))</f>
        <v>1</v>
      </c>
      <c r="K17" s="609">
        <f>IF($G17="","",IF(VLOOKUP($G17,請求Data!$E$11:$AR$160,請求Data!$Z$10-請求Data!$D$10,FALSE)="*",1,0))</f>
        <v>0</v>
      </c>
      <c r="L17" s="607">
        <f>IF($G17="","",VLOOKUP($G17,請求Data!$E$11:$AR$160,請求Data!$AP$10-請求Data!$D$10,FALSE))</f>
        <v>3474936</v>
      </c>
      <c r="M17" s="607">
        <f t="shared" si="1"/>
        <v>277995</v>
      </c>
      <c r="N17" s="607">
        <f t="shared" si="2"/>
        <v>3752931</v>
      </c>
      <c r="O17" s="606">
        <f t="shared" si="3"/>
        <v>20</v>
      </c>
      <c r="P17" s="606" t="str">
        <f t="shared" si="4"/>
        <v/>
      </c>
      <c r="Q17" s="606" t="str">
        <f t="shared" si="5"/>
        <v/>
      </c>
      <c r="R17" s="606" t="str">
        <f t="shared" si="6"/>
        <v/>
      </c>
      <c r="S17" s="607">
        <f t="shared" si="7"/>
        <v>3474936</v>
      </c>
      <c r="T17" s="607">
        <f t="shared" si="8"/>
        <v>277995</v>
      </c>
      <c r="U17" s="607">
        <f t="shared" si="9"/>
        <v>3752931</v>
      </c>
      <c r="V17" s="162" t="str">
        <f t="shared" si="10"/>
        <v>3</v>
      </c>
      <c r="W17" s="609" t="str">
        <f>IF($G17="","",VLOOKUP($G17,請求Data!$E$11:$AR$160,請求Data!$AC$10-請求Data!$D$10,FALSE))</f>
        <v>\</v>
      </c>
      <c r="X17" s="607">
        <f t="shared" si="11"/>
        <v>277995</v>
      </c>
      <c r="Y17" s="608">
        <f t="shared" si="12"/>
        <v>347494</v>
      </c>
    </row>
    <row r="18" spans="1:25">
      <c r="A18" s="103">
        <v>12</v>
      </c>
      <c r="B18" s="247">
        <f>IF(LEFT($G18,1)="1",IF($H17=$H18,MAX($B$6:$B17)+1,IF(MAX($B$6:$B17)&lt;=0,1,MAX($B$6:$B17)+3)),"")</f>
        <v>22</v>
      </c>
      <c r="C18" s="247" t="str">
        <f>IF(LEFT($G18,1)="2",IF($H17=$H18,MAX($C$6:$C17)+1,IF(MAX($C$6:$C17)&lt;=0,1,MAX($C$6:$C17)+3)),"")</f>
        <v/>
      </c>
      <c r="D18" s="247" t="str">
        <f>IF(LEFT($G18,1)="3",IF($H17=$H18,MAX($D$6:$D17)+1,IF(MAX($D$6:$D17)&lt;=0,1,MAX($D$6:$D17)+3)),"")</f>
        <v/>
      </c>
      <c r="E18" s="247" t="str">
        <f>IF(LEFT($G18,1)="4",IF($H17=$H18,MAX($E$6:$E17)+1,IF(MAX($E$6:$E17)&lt;=0,1,MAX($E$6:$E17)+3)),"")</f>
        <v/>
      </c>
      <c r="F18" s="477">
        <f t="shared" si="0"/>
        <v>1</v>
      </c>
      <c r="G18" s="409">
        <f>IF(ISERROR(SMALL(請求Data!$E$11:$E$160,$A18)),"",SMALL(請求Data!$E$11:$E$160,$A18))</f>
        <v>11001907011</v>
      </c>
      <c r="H18" s="606" t="str">
        <f>IF($G18="","",VLOOKUP($G18,請求Data!$E$11:$AR$160,4,FALSE))</f>
        <v>10019</v>
      </c>
      <c r="I18" s="606" t="str">
        <f>IF($G18="","",VLOOKUP($G18,請求Data!$E$11:$AR$160,5,FALSE))</f>
        <v>39-B07011</v>
      </c>
      <c r="J18" s="609">
        <f>IF($G18="","",IF(VLOOKUP($G18,請求Data!$E$11:$AR$160,請求Data!$Y$10-請求Data!$D$10,FALSE)="",1,0))</f>
        <v>1</v>
      </c>
      <c r="K18" s="609">
        <f>IF($G18="","",IF(VLOOKUP($G18,請求Data!$E$11:$AR$160,請求Data!$Z$10-請求Data!$D$10,FALSE)="*",1,0))</f>
        <v>0</v>
      </c>
      <c r="L18" s="607">
        <f>IF($G18="","",VLOOKUP($G18,請求Data!$E$11:$AR$160,請求Data!$AP$10-請求Data!$D$10,FALSE))</f>
        <v>24383928</v>
      </c>
      <c r="M18" s="607">
        <f t="shared" si="1"/>
        <v>1950714</v>
      </c>
      <c r="N18" s="607">
        <f t="shared" si="2"/>
        <v>26334642</v>
      </c>
      <c r="O18" s="606">
        <f t="shared" si="3"/>
        <v>23</v>
      </c>
      <c r="P18" s="606" t="str">
        <f t="shared" si="4"/>
        <v/>
      </c>
      <c r="Q18" s="606" t="str">
        <f t="shared" si="5"/>
        <v/>
      </c>
      <c r="R18" s="606" t="str">
        <f t="shared" si="6"/>
        <v/>
      </c>
      <c r="S18" s="607">
        <f t="shared" si="7"/>
        <v>24383928</v>
      </c>
      <c r="T18" s="607">
        <f t="shared" si="8"/>
        <v>1950714</v>
      </c>
      <c r="U18" s="607">
        <f t="shared" si="9"/>
        <v>26334642</v>
      </c>
      <c r="V18" s="162" t="str">
        <f t="shared" si="10"/>
        <v>3</v>
      </c>
      <c r="W18" s="609" t="str">
        <f>IF($G18="","",VLOOKUP($G18,請求Data!$E$11:$AR$160,請求Data!$AC$10-請求Data!$D$10,FALSE))</f>
        <v>\</v>
      </c>
      <c r="X18" s="607">
        <f t="shared" si="11"/>
        <v>1950714</v>
      </c>
      <c r="Y18" s="608">
        <f t="shared" si="12"/>
        <v>2438393</v>
      </c>
    </row>
    <row r="19" spans="1:25">
      <c r="A19" s="103">
        <v>13</v>
      </c>
      <c r="B19" s="247">
        <f>IF(LEFT($G19,1)="1",IF($H18=$H19,MAX($B$6:$B18)+1,IF(MAX($B$6:$B18)&lt;=0,1,MAX($B$6:$B18)+3)),"")</f>
        <v>25</v>
      </c>
      <c r="C19" s="247" t="str">
        <f>IF(LEFT($G19,1)="2",IF($H18=$H19,MAX($C$6:$C18)+1,IF(MAX($C$6:$C18)&lt;=0,1,MAX($C$6:$C18)+3)),"")</f>
        <v/>
      </c>
      <c r="D19" s="247" t="str">
        <f>IF(LEFT($G19,1)="3",IF($H18=$H19,MAX($D$6:$D18)+1,IF(MAX($D$6:$D18)&lt;=0,1,MAX($D$6:$D18)+3)),"")</f>
        <v/>
      </c>
      <c r="E19" s="247" t="str">
        <f>IF(LEFT($G19,1)="4",IF($H18=$H19,MAX($E$6:$E18)+1,IF(MAX($E$6:$E18)&lt;=0,1,MAX($E$6:$E18)+3)),"")</f>
        <v/>
      </c>
      <c r="F19" s="477">
        <f t="shared" si="0"/>
        <v>1</v>
      </c>
      <c r="G19" s="409">
        <f>IF(ISERROR(SMALL(請求Data!$E$11:$E$160,$A19)),"",SMALL(請求Data!$E$11:$E$160,$A19))</f>
        <v>11100207015</v>
      </c>
      <c r="H19" s="606" t="str">
        <f>IF($G19="","",VLOOKUP($G19,請求Data!$E$11:$AR$160,4,FALSE))</f>
        <v>11002</v>
      </c>
      <c r="I19" s="606" t="str">
        <f>IF($G19="","",VLOOKUP($G19,請求Data!$E$11:$AR$160,5,FALSE))</f>
        <v>39-B07015</v>
      </c>
      <c r="J19" s="609">
        <f>IF($G19="","",IF(VLOOKUP($G19,請求Data!$E$11:$AR$160,請求Data!$Y$10-請求Data!$D$10,FALSE)="",1,0))</f>
        <v>1</v>
      </c>
      <c r="K19" s="609">
        <f>IF($G19="","",IF(VLOOKUP($G19,請求Data!$E$11:$AR$160,請求Data!$Z$10-請求Data!$D$10,FALSE)="*",1,0))</f>
        <v>0</v>
      </c>
      <c r="L19" s="607">
        <f>IF($G19="","",VLOOKUP($G19,請求Data!$E$11:$AR$160,請求Data!$AP$10-請求Data!$D$10,FALSE))</f>
        <v>3300000</v>
      </c>
      <c r="M19" s="607">
        <f t="shared" si="1"/>
        <v>264000</v>
      </c>
      <c r="N19" s="607">
        <f t="shared" si="2"/>
        <v>3564000</v>
      </c>
      <c r="O19" s="606">
        <f t="shared" si="3"/>
        <v>26</v>
      </c>
      <c r="P19" s="606" t="str">
        <f t="shared" si="4"/>
        <v/>
      </c>
      <c r="Q19" s="606" t="str">
        <f t="shared" si="5"/>
        <v/>
      </c>
      <c r="R19" s="606" t="str">
        <f t="shared" si="6"/>
        <v/>
      </c>
      <c r="S19" s="607">
        <f t="shared" si="7"/>
        <v>3300000</v>
      </c>
      <c r="T19" s="607">
        <f t="shared" si="8"/>
        <v>264000</v>
      </c>
      <c r="U19" s="607">
        <f t="shared" si="9"/>
        <v>3564000</v>
      </c>
      <c r="V19" s="162" t="str">
        <f t="shared" si="10"/>
        <v>3</v>
      </c>
      <c r="W19" s="609" t="str">
        <f>IF($G19="","",VLOOKUP($G19,請求Data!$E$11:$AR$160,請求Data!$AC$10-請求Data!$D$10,FALSE))</f>
        <v>\</v>
      </c>
      <c r="X19" s="607">
        <f t="shared" si="11"/>
        <v>264000</v>
      </c>
      <c r="Y19" s="608">
        <f t="shared" si="12"/>
        <v>330000</v>
      </c>
    </row>
    <row r="20" spans="1:25">
      <c r="A20" s="103">
        <v>14</v>
      </c>
      <c r="B20" s="247">
        <f>IF(LEFT($G20,1)="1",IF($H19=$H20,MAX($B$6:$B19)+1,IF(MAX($B$6:$B19)&lt;=0,1,MAX($B$6:$B19)+3)),"")</f>
        <v>28</v>
      </c>
      <c r="C20" s="247" t="str">
        <f>IF(LEFT($G20,1)="2",IF($H19=$H20,MAX($C$6:$C19)+1,IF(MAX($C$6:$C19)&lt;=0,1,MAX($C$6:$C19)+3)),"")</f>
        <v/>
      </c>
      <c r="D20" s="247" t="str">
        <f>IF(LEFT($G20,1)="3",IF($H19=$H20,MAX($D$6:$D19)+1,IF(MAX($D$6:$D19)&lt;=0,1,MAX($D$6:$D19)+3)),"")</f>
        <v/>
      </c>
      <c r="E20" s="247" t="str">
        <f>IF(LEFT($G20,1)="4",IF($H19=$H20,MAX($E$6:$E19)+1,IF(MAX($E$6:$E19)&lt;=0,1,MAX($E$6:$E19)+3)),"")</f>
        <v/>
      </c>
      <c r="F20" s="477">
        <f t="shared" si="0"/>
        <v>1</v>
      </c>
      <c r="G20" s="409">
        <f>IF(ISERROR(SMALL(請求Data!$E$11:$E$160,$A20)),"",SMALL(請求Data!$E$11:$E$160,$A20))</f>
        <v>11200107010</v>
      </c>
      <c r="H20" s="606" t="str">
        <f>IF($G20="","",VLOOKUP($G20,請求Data!$E$11:$AR$160,4,FALSE))</f>
        <v>12001</v>
      </c>
      <c r="I20" s="606" t="str">
        <f>IF($G20="","",VLOOKUP($G20,請求Data!$E$11:$AR$160,5,FALSE))</f>
        <v>39-B07010</v>
      </c>
      <c r="J20" s="609">
        <f>IF($G20="","",IF(VLOOKUP($G20,請求Data!$E$11:$AR$160,請求Data!$Y$10-請求Data!$D$10,FALSE)="",1,0))</f>
        <v>1</v>
      </c>
      <c r="K20" s="609">
        <f>IF($G20="","",IF(VLOOKUP($G20,請求Data!$E$11:$AR$160,請求Data!$Z$10-請求Data!$D$10,FALSE)="*",1,0))</f>
        <v>0</v>
      </c>
      <c r="L20" s="607">
        <f>IF($G20="","",VLOOKUP($G20,請求Data!$E$11:$AR$160,請求Data!$AP$10-請求Data!$D$10,FALSE))</f>
        <v>8766</v>
      </c>
      <c r="M20" s="607">
        <f t="shared" si="1"/>
        <v>701</v>
      </c>
      <c r="N20" s="607">
        <f t="shared" si="2"/>
        <v>9467</v>
      </c>
      <c r="O20" s="606" t="str">
        <f t="shared" si="3"/>
        <v/>
      </c>
      <c r="P20" s="606" t="str">
        <f t="shared" si="4"/>
        <v/>
      </c>
      <c r="Q20" s="606" t="str">
        <f t="shared" si="5"/>
        <v/>
      </c>
      <c r="R20" s="606" t="str">
        <f t="shared" si="6"/>
        <v/>
      </c>
      <c r="S20" s="607">
        <f t="shared" si="7"/>
        <v>8766</v>
      </c>
      <c r="T20" s="607">
        <f t="shared" si="8"/>
        <v>701</v>
      </c>
      <c r="U20" s="607">
        <f t="shared" si="9"/>
        <v>9467</v>
      </c>
      <c r="V20" s="162" t="str">
        <f t="shared" si="10"/>
        <v>3</v>
      </c>
      <c r="W20" s="609" t="str">
        <f>IF($G20="","",VLOOKUP($G20,請求Data!$E$11:$AR$160,請求Data!$AC$10-請求Data!$D$10,FALSE))</f>
        <v>\</v>
      </c>
      <c r="X20" s="607">
        <f t="shared" si="11"/>
        <v>701</v>
      </c>
      <c r="Y20" s="608">
        <f t="shared" si="12"/>
        <v>877</v>
      </c>
    </row>
    <row r="21" spans="1:25">
      <c r="A21" s="103">
        <v>15</v>
      </c>
      <c r="B21" s="247">
        <f>IF(LEFT($G21,1)="1",IF($H20=$H21,MAX($B$6:$B20)+1,IF(MAX($B$6:$B20)&lt;=0,1,MAX($B$6:$B20)+3)),"")</f>
        <v>29</v>
      </c>
      <c r="C21" s="247" t="str">
        <f>IF(LEFT($G21,1)="2",IF($H20=$H21,MAX($C$6:$C20)+1,IF(MAX($C$6:$C20)&lt;=0,1,MAX($C$6:$C20)+3)),"")</f>
        <v/>
      </c>
      <c r="D21" s="247" t="str">
        <f>IF(LEFT($G21,1)="3",IF($H20=$H21,MAX($D$6:$D20)+1,IF(MAX($D$6:$D20)&lt;=0,1,MAX($D$6:$D20)+3)),"")</f>
        <v/>
      </c>
      <c r="E21" s="247" t="str">
        <f>IF(LEFT($G21,1)="4",IF($H20=$H21,MAX($E$6:$E20)+1,IF(MAX($E$6:$E20)&lt;=0,1,MAX($E$6:$E20)+3)),"")</f>
        <v/>
      </c>
      <c r="F21" s="477">
        <f t="shared" si="0"/>
        <v>1</v>
      </c>
      <c r="G21" s="409">
        <f>IF(ISERROR(SMALL(請求Data!$E$11:$E$160,$A21)),"",SMALL(請求Data!$E$11:$E$160,$A21))</f>
        <v>11200107013</v>
      </c>
      <c r="H21" s="606" t="str">
        <f>IF($G21="","",VLOOKUP($G21,請求Data!$E$11:$AR$160,4,FALSE))</f>
        <v>12001</v>
      </c>
      <c r="I21" s="606" t="str">
        <f>IF($G21="","",VLOOKUP($G21,請求Data!$E$11:$AR$160,5,FALSE))</f>
        <v>39-B07013</v>
      </c>
      <c r="J21" s="609">
        <f>IF($G21="","",IF(VLOOKUP($G21,請求Data!$E$11:$AR$160,請求Data!$Y$10-請求Data!$D$10,FALSE)="",1,0))</f>
        <v>1</v>
      </c>
      <c r="K21" s="609">
        <f>IF($G21="","",IF(VLOOKUP($G21,請求Data!$E$11:$AR$160,請求Data!$Z$10-請求Data!$D$10,FALSE)="*",1,0))</f>
        <v>0</v>
      </c>
      <c r="L21" s="607">
        <f>IF($G21="","",VLOOKUP($G21,請求Data!$E$11:$AR$160,請求Data!$AP$10-請求Data!$D$10,FALSE))</f>
        <v>5935680</v>
      </c>
      <c r="M21" s="607">
        <f t="shared" si="1"/>
        <v>474854</v>
      </c>
      <c r="N21" s="607">
        <f t="shared" si="2"/>
        <v>6410534</v>
      </c>
      <c r="O21" s="606">
        <f t="shared" si="3"/>
        <v>30</v>
      </c>
      <c r="P21" s="606" t="str">
        <f t="shared" si="4"/>
        <v/>
      </c>
      <c r="Q21" s="606" t="str">
        <f t="shared" si="5"/>
        <v/>
      </c>
      <c r="R21" s="606" t="str">
        <f t="shared" si="6"/>
        <v/>
      </c>
      <c r="S21" s="607">
        <f t="shared" si="7"/>
        <v>5944446</v>
      </c>
      <c r="T21" s="607">
        <f t="shared" si="8"/>
        <v>475555</v>
      </c>
      <c r="U21" s="607">
        <f t="shared" si="9"/>
        <v>6420001</v>
      </c>
      <c r="V21" s="162" t="str">
        <f t="shared" si="10"/>
        <v>3</v>
      </c>
      <c r="W21" s="609" t="str">
        <f>IF($G21="","",VLOOKUP($G21,請求Data!$E$11:$AR$160,請求Data!$AC$10-請求Data!$D$10,FALSE))</f>
        <v>\</v>
      </c>
      <c r="X21" s="607">
        <f t="shared" si="11"/>
        <v>474854</v>
      </c>
      <c r="Y21" s="608">
        <f t="shared" si="12"/>
        <v>593568</v>
      </c>
    </row>
    <row r="22" spans="1:25">
      <c r="A22" s="103">
        <v>16</v>
      </c>
      <c r="B22" s="247">
        <f>IF(LEFT($G22,1)="1",IF($H21=$H22,MAX($B$6:$B21)+1,IF(MAX($B$6:$B21)&lt;=0,1,MAX($B$6:$B21)+3)),"")</f>
        <v>32</v>
      </c>
      <c r="C22" s="247" t="str">
        <f>IF(LEFT($G22,1)="2",IF($H21=$H22,MAX($C$6:$C21)+1,IF(MAX($C$6:$C21)&lt;=0,1,MAX($C$6:$C21)+3)),"")</f>
        <v/>
      </c>
      <c r="D22" s="247" t="str">
        <f>IF(LEFT($G22,1)="3",IF($H21=$H22,MAX($D$6:$D21)+1,IF(MAX($D$6:$D21)&lt;=0,1,MAX($D$6:$D21)+3)),"")</f>
        <v/>
      </c>
      <c r="E22" s="247" t="str">
        <f>IF(LEFT($G22,1)="4",IF($H21=$H22,MAX($E$6:$E21)+1,IF(MAX($E$6:$E21)&lt;=0,1,MAX($E$6:$E21)+3)),"")</f>
        <v/>
      </c>
      <c r="F22" s="477">
        <f t="shared" si="0"/>
        <v>1</v>
      </c>
      <c r="G22" s="409">
        <f>IF(ISERROR(SMALL(請求Data!$E$11:$E$160,$A22)),"",SMALL(請求Data!$E$11:$E$160,$A22))</f>
        <v>14000207006</v>
      </c>
      <c r="H22" s="606" t="str">
        <f>IF($G22="","",VLOOKUP($G22,請求Data!$E$11:$AR$160,4,FALSE))</f>
        <v>40002</v>
      </c>
      <c r="I22" s="606" t="str">
        <f>IF($G22="","",VLOOKUP($G22,請求Data!$E$11:$AR$160,5,FALSE))</f>
        <v>39-B07006</v>
      </c>
      <c r="J22" s="609">
        <f>IF($G22="","",IF(VLOOKUP($G22,請求Data!$E$11:$AR$160,請求Data!$Y$10-請求Data!$D$10,FALSE)="",1,0))</f>
        <v>1</v>
      </c>
      <c r="K22" s="609">
        <f>IF($G22="","",IF(VLOOKUP($G22,請求Data!$E$11:$AR$160,請求Data!$Z$10-請求Data!$D$10,FALSE)="*",1,0))</f>
        <v>0</v>
      </c>
      <c r="L22" s="607">
        <f>IF($G22="","",VLOOKUP($G22,請求Data!$E$11:$AR$160,請求Data!$AP$10-請求Data!$D$10,FALSE))</f>
        <v>190600</v>
      </c>
      <c r="M22" s="607">
        <f t="shared" si="1"/>
        <v>15248</v>
      </c>
      <c r="N22" s="607">
        <f t="shared" si="2"/>
        <v>205848</v>
      </c>
      <c r="O22" s="606">
        <f t="shared" si="3"/>
        <v>33</v>
      </c>
      <c r="P22" s="606" t="str">
        <f t="shared" si="4"/>
        <v/>
      </c>
      <c r="Q22" s="606" t="str">
        <f t="shared" si="5"/>
        <v/>
      </c>
      <c r="R22" s="606" t="str">
        <f t="shared" si="6"/>
        <v/>
      </c>
      <c r="S22" s="607">
        <f t="shared" si="7"/>
        <v>190600</v>
      </c>
      <c r="T22" s="607">
        <f t="shared" si="8"/>
        <v>15248</v>
      </c>
      <c r="U22" s="607">
        <f t="shared" si="9"/>
        <v>205848</v>
      </c>
      <c r="V22" s="162" t="str">
        <f t="shared" si="10"/>
        <v>3</v>
      </c>
      <c r="W22" s="609" t="str">
        <f>IF($G22="","",VLOOKUP($G22,請求Data!$E$11:$AR$160,請求Data!$AC$10-請求Data!$D$10,FALSE))</f>
        <v>\</v>
      </c>
      <c r="X22" s="607">
        <f t="shared" si="11"/>
        <v>15248</v>
      </c>
      <c r="Y22" s="608">
        <f t="shared" si="12"/>
        <v>19060</v>
      </c>
    </row>
    <row r="23" spans="1:25">
      <c r="A23" s="103">
        <v>17</v>
      </c>
      <c r="B23" s="247">
        <f>IF(LEFT($G23,1)="1",IF($H22=$H23,MAX($B$6:$B22)+1,IF(MAX($B$6:$B22)&lt;=0,1,MAX($B$6:$B22)+3)),"")</f>
        <v>35</v>
      </c>
      <c r="C23" s="247" t="str">
        <f>IF(LEFT($G23,1)="2",IF($H22=$H23,MAX($C$6:$C22)+1,IF(MAX($C$6:$C22)&lt;=0,1,MAX($C$6:$C22)+3)),"")</f>
        <v/>
      </c>
      <c r="D23" s="247" t="str">
        <f>IF(LEFT($G23,1)="3",IF($H22=$H23,MAX($D$6:$D22)+1,IF(MAX($D$6:$D22)&lt;=0,1,MAX($D$6:$D22)+3)),"")</f>
        <v/>
      </c>
      <c r="E23" s="247" t="str">
        <f>IF(LEFT($G23,1)="4",IF($H22=$H23,MAX($E$6:$E22)+1,IF(MAX($E$6:$E22)&lt;=0,1,MAX($E$6:$E22)+3)),"")</f>
        <v/>
      </c>
      <c r="F23" s="477">
        <f t="shared" si="0"/>
        <v>1</v>
      </c>
      <c r="G23" s="409">
        <f>IF(ISERROR(SMALL(請求Data!$E$11:$E$160,$A23)),"",SMALL(請求Data!$E$11:$E$160,$A23))</f>
        <v>15600007014</v>
      </c>
      <c r="H23" s="606" t="str">
        <f>IF($G23="","",VLOOKUP($G23,請求Data!$E$11:$AR$160,4,FALSE))</f>
        <v>560</v>
      </c>
      <c r="I23" s="606" t="str">
        <f>IF($G23="","",VLOOKUP($G23,請求Data!$E$11:$AR$160,5,FALSE))</f>
        <v>39-B07014</v>
      </c>
      <c r="J23" s="609">
        <f>IF($G23="","",IF(VLOOKUP($G23,請求Data!$E$11:$AR$160,請求Data!$Y$10-請求Data!$D$10,FALSE)="",1,0))</f>
        <v>0</v>
      </c>
      <c r="K23" s="609">
        <f>IF($G23="","",IF(VLOOKUP($G23,請求Data!$E$11:$AR$160,請求Data!$Z$10-請求Data!$D$10,FALSE)="*",1,0))</f>
        <v>0</v>
      </c>
      <c r="L23" s="607">
        <f>IF($G23="","",VLOOKUP($G23,請求Data!$E$11:$AR$160,請求Data!$AP$10-請求Data!$D$10,FALSE))</f>
        <v>1056000</v>
      </c>
      <c r="M23" s="607">
        <f t="shared" si="1"/>
        <v>0</v>
      </c>
      <c r="N23" s="607">
        <f t="shared" si="2"/>
        <v>1056000</v>
      </c>
      <c r="O23" s="606">
        <f t="shared" si="3"/>
        <v>36</v>
      </c>
      <c r="P23" s="606" t="str">
        <f t="shared" si="4"/>
        <v/>
      </c>
      <c r="Q23" s="606" t="str">
        <f t="shared" si="5"/>
        <v/>
      </c>
      <c r="R23" s="606" t="str">
        <f t="shared" si="6"/>
        <v/>
      </c>
      <c r="S23" s="607">
        <f t="shared" si="7"/>
        <v>1056000</v>
      </c>
      <c r="T23" s="607">
        <f t="shared" si="8"/>
        <v>0</v>
      </c>
      <c r="U23" s="607">
        <f t="shared" si="9"/>
        <v>1056000</v>
      </c>
      <c r="V23" s="162" t="str">
        <f t="shared" si="10"/>
        <v>3</v>
      </c>
      <c r="W23" s="609" t="str">
        <f>IF($G23="","",VLOOKUP($G23,請求Data!$E$11:$AR$160,請求Data!$AC$10-請求Data!$D$10,FALSE))</f>
        <v>\</v>
      </c>
      <c r="X23" s="607">
        <f t="shared" si="11"/>
        <v>0</v>
      </c>
      <c r="Y23" s="608">
        <f t="shared" si="12"/>
        <v>0</v>
      </c>
    </row>
    <row r="24" spans="1:25">
      <c r="A24" s="103">
        <v>18</v>
      </c>
      <c r="B24" s="247" t="str">
        <f>IF(LEFT($G24,1)="1",IF($H23=$H24,MAX($B$6:$B23)+1,IF(MAX($B$6:$B23)&lt;=0,1,MAX($B$6:$B23)+3)),"")</f>
        <v/>
      </c>
      <c r="C24" s="247">
        <f>IF(LEFT($G24,1)="2",IF($H23=$H24,MAX($C$6:$C23)+1,IF(MAX($C$6:$C23)&lt;=0,1,MAX($C$6:$C23)+3)),"")</f>
        <v>1</v>
      </c>
      <c r="D24" s="247" t="str">
        <f>IF(LEFT($G24,1)="3",IF($H23=$H24,MAX($D$6:$D23)+1,IF(MAX($D$6:$D23)&lt;=0,1,MAX($D$6:$D23)+3)),"")</f>
        <v/>
      </c>
      <c r="E24" s="247" t="str">
        <f>IF(LEFT($G24,1)="4",IF($H23=$H24,MAX($E$6:$E23)+1,IF(MAX($E$6:$E23)&lt;=0,1,MAX($E$6:$E23)+3)),"")</f>
        <v/>
      </c>
      <c r="F24" s="477">
        <f t="shared" si="0"/>
        <v>1</v>
      </c>
      <c r="G24" s="409">
        <f>IF(ISERROR(SMALL(請求Data!$E$11:$E$160,$A24)),"",SMALL(請求Data!$E$11:$E$160,$A24))</f>
        <v>21000507012</v>
      </c>
      <c r="H24" s="606" t="str">
        <f>IF($G24="","",VLOOKUP($G24,請求Data!$E$11:$AR$160,4,FALSE))</f>
        <v>10005</v>
      </c>
      <c r="I24" s="606" t="str">
        <f>IF($G24="","",VLOOKUP($G24,請求Data!$E$11:$AR$160,5,FALSE))</f>
        <v>39-B07012</v>
      </c>
      <c r="J24" s="609">
        <f>IF($G24="","",IF(VLOOKUP($G24,請求Data!$E$11:$AR$160,請求Data!$Y$10-請求Data!$D$10,FALSE)="",1,0))</f>
        <v>1</v>
      </c>
      <c r="K24" s="609">
        <f>IF($G24="","",IF(VLOOKUP($G24,請求Data!$E$11:$AR$160,請求Data!$Z$10-請求Data!$D$10,FALSE)="*",1,0))</f>
        <v>0</v>
      </c>
      <c r="L24" s="607">
        <f>IF($G24="","",VLOOKUP($G24,請求Data!$E$11:$AR$160,請求Data!$AP$10-請求Data!$D$10,FALSE))</f>
        <v>661000</v>
      </c>
      <c r="M24" s="607">
        <f t="shared" si="1"/>
        <v>52880</v>
      </c>
      <c r="N24" s="607">
        <f t="shared" si="2"/>
        <v>713880</v>
      </c>
      <c r="O24" s="606" t="str">
        <f t="shared" si="3"/>
        <v/>
      </c>
      <c r="P24" s="606">
        <f t="shared" si="4"/>
        <v>2</v>
      </c>
      <c r="Q24" s="606" t="str">
        <f t="shared" si="5"/>
        <v/>
      </c>
      <c r="R24" s="606" t="str">
        <f t="shared" si="6"/>
        <v/>
      </c>
      <c r="S24" s="607">
        <f t="shared" si="7"/>
        <v>661000</v>
      </c>
      <c r="T24" s="607">
        <f t="shared" si="8"/>
        <v>52880</v>
      </c>
      <c r="U24" s="607">
        <f t="shared" si="9"/>
        <v>713880</v>
      </c>
      <c r="V24" s="162" t="str">
        <f t="shared" si="10"/>
        <v>3</v>
      </c>
      <c r="W24" s="609" t="str">
        <f>IF($G24="","",VLOOKUP($G24,請求Data!$E$11:$AR$160,請求Data!$AC$10-請求Data!$D$10,FALSE))</f>
        <v>$</v>
      </c>
      <c r="X24" s="607">
        <f t="shared" si="11"/>
        <v>52880</v>
      </c>
      <c r="Y24" s="608">
        <f t="shared" si="12"/>
        <v>66100</v>
      </c>
    </row>
    <row r="25" spans="1:25">
      <c r="A25" s="103">
        <v>19</v>
      </c>
      <c r="B25" s="247" t="str">
        <f>IF(LEFT($G25,1)="1",IF($H24=$H25,MAX($B$6:$B24)+1,IF(MAX($B$6:$B24)&lt;=0,1,MAX($B$6:$B24)+3)),"")</f>
        <v/>
      </c>
      <c r="C25" s="247">
        <f>IF(LEFT($G25,1)="2",IF($H24=$H25,MAX($C$6:$C24)+1,IF(MAX($C$6:$C24)&lt;=0,1,MAX($C$6:$C24)+3)),"")</f>
        <v>4</v>
      </c>
      <c r="D25" s="247" t="str">
        <f>IF(LEFT($G25,1)="3",IF($H24=$H25,MAX($D$6:$D24)+1,IF(MAX($D$6:$D24)&lt;=0,1,MAX($D$6:$D24)+3)),"")</f>
        <v/>
      </c>
      <c r="E25" s="247" t="str">
        <f>IF(LEFT($G25,1)="4",IF($H24=$H25,MAX($E$6:$E24)+1,IF(MAX($E$6:$E24)&lt;=0,1,MAX($E$6:$E24)+3)),"")</f>
        <v/>
      </c>
      <c r="F25" s="477">
        <f t="shared" si="0"/>
        <v>1</v>
      </c>
      <c r="G25" s="409">
        <f>IF(ISERROR(SMALL(請求Data!$E$11:$E$160,$A25)),"",SMALL(請求Data!$E$11:$E$160,$A25))</f>
        <v>26900007003</v>
      </c>
      <c r="H25" s="606" t="str">
        <f>IF($G25="","",VLOOKUP($G25,請求Data!$E$11:$AR$160,4,FALSE))</f>
        <v>690</v>
      </c>
      <c r="I25" s="606" t="str">
        <f>IF($G25="","",VLOOKUP($G25,請求Data!$E$11:$AR$160,5,FALSE))</f>
        <v>39-B07003</v>
      </c>
      <c r="J25" s="609">
        <f>IF($G25="","",IF(VLOOKUP($G25,請求Data!$E$11:$AR$160,請求Data!$Y$10-請求Data!$D$10,FALSE)="",1,0))</f>
        <v>1</v>
      </c>
      <c r="K25" s="609">
        <f>IF($G25="","",IF(VLOOKUP($G25,請求Data!$E$11:$AR$160,請求Data!$Z$10-請求Data!$D$10,FALSE)="*",1,0))</f>
        <v>0</v>
      </c>
      <c r="L25" s="607">
        <f>IF($G25="","",VLOOKUP($G25,請求Data!$E$11:$AR$160,請求Data!$AP$10-請求Data!$D$10,FALSE))</f>
        <v>204210.21</v>
      </c>
      <c r="M25" s="607">
        <f t="shared" si="1"/>
        <v>16336.82</v>
      </c>
      <c r="N25" s="607">
        <f t="shared" si="2"/>
        <v>220547.03</v>
      </c>
      <c r="O25" s="606" t="str">
        <f t="shared" si="3"/>
        <v/>
      </c>
      <c r="P25" s="606">
        <f t="shared" si="4"/>
        <v>5</v>
      </c>
      <c r="Q25" s="606" t="str">
        <f t="shared" si="5"/>
        <v/>
      </c>
      <c r="R25" s="606" t="str">
        <f t="shared" si="6"/>
        <v/>
      </c>
      <c r="S25" s="607">
        <f t="shared" si="7"/>
        <v>204210.21</v>
      </c>
      <c r="T25" s="607">
        <f t="shared" si="8"/>
        <v>16336.82</v>
      </c>
      <c r="U25" s="607">
        <f t="shared" si="9"/>
        <v>220547.03</v>
      </c>
      <c r="V25" s="162" t="str">
        <f t="shared" si="10"/>
        <v>3</v>
      </c>
      <c r="W25" s="609" t="str">
        <f>IF($G25="","",VLOOKUP($G25,請求Data!$E$11:$AR$160,請求Data!$AC$10-請求Data!$D$10,FALSE))</f>
        <v>$</v>
      </c>
      <c r="X25" s="607">
        <f t="shared" si="11"/>
        <v>16336.82</v>
      </c>
      <c r="Y25" s="608">
        <f t="shared" si="12"/>
        <v>20421.02</v>
      </c>
    </row>
    <row r="26" spans="1:25">
      <c r="A26" s="103">
        <v>20</v>
      </c>
      <c r="B26" s="247" t="str">
        <f>IF(LEFT($G26,1)="1",IF($H25=$H26,MAX($B$6:$B25)+1,IF(MAX($B$6:$B25)&lt;=0,1,MAX($B$6:$B25)+3)),"")</f>
        <v/>
      </c>
      <c r="C26" s="247">
        <f>IF(LEFT($G26,1)="2",IF($H25=$H26,MAX($C$6:$C25)+1,IF(MAX($C$6:$C25)&lt;=0,1,MAX($C$6:$C25)+3)),"")</f>
        <v>7</v>
      </c>
      <c r="D26" s="247" t="str">
        <f>IF(LEFT($G26,1)="3",IF($H25=$H26,MAX($D$6:$D25)+1,IF(MAX($D$6:$D25)&lt;=0,1,MAX($D$6:$D25)+3)),"")</f>
        <v/>
      </c>
      <c r="E26" s="247" t="str">
        <f>IF(LEFT($G26,1)="4",IF($H25=$H26,MAX($E$6:$E25)+1,IF(MAX($E$6:$E25)&lt;=0,1,MAX($E$6:$E25)+3)),"")</f>
        <v/>
      </c>
      <c r="F26" s="477">
        <f t="shared" si="0"/>
        <v>1</v>
      </c>
      <c r="G26" s="409">
        <f>IF(ISERROR(SMALL(請求Data!$E$11:$E$160,$A26)),"",SMALL(請求Data!$E$11:$E$160,$A26))</f>
        <v>27000007019</v>
      </c>
      <c r="H26" s="606" t="str">
        <f>IF($G26="","",VLOOKUP($G26,請求Data!$E$11:$AR$160,4,FALSE))</f>
        <v>700</v>
      </c>
      <c r="I26" s="606" t="str">
        <f>IF($G26="","",VLOOKUP($G26,請求Data!$E$11:$AR$160,5,FALSE))</f>
        <v>39-B07019</v>
      </c>
      <c r="J26" s="609">
        <f>IF($G26="","",IF(VLOOKUP($G26,請求Data!$E$11:$AR$160,請求Data!$Y$10-請求Data!$D$10,FALSE)="",1,0))</f>
        <v>1</v>
      </c>
      <c r="K26" s="609">
        <f>IF($G26="","",IF(VLOOKUP($G26,請求Data!$E$11:$AR$160,請求Data!$Z$10-請求Data!$D$10,FALSE)="*",1,0))</f>
        <v>0</v>
      </c>
      <c r="L26" s="607">
        <f>IF($G26="","",VLOOKUP($G26,請求Data!$E$11:$AR$160,請求Data!$AP$10-請求Data!$D$10,FALSE))</f>
        <v>55505.55</v>
      </c>
      <c r="M26" s="607">
        <f t="shared" si="1"/>
        <v>4440.4399999999996</v>
      </c>
      <c r="N26" s="607">
        <f t="shared" si="2"/>
        <v>59945.990000000005</v>
      </c>
      <c r="O26" s="606" t="str">
        <f t="shared" si="3"/>
        <v/>
      </c>
      <c r="P26" s="606">
        <f t="shared" si="4"/>
        <v>8</v>
      </c>
      <c r="Q26" s="606" t="str">
        <f t="shared" si="5"/>
        <v/>
      </c>
      <c r="R26" s="606" t="str">
        <f t="shared" si="6"/>
        <v/>
      </c>
      <c r="S26" s="607">
        <f t="shared" si="7"/>
        <v>55505.55</v>
      </c>
      <c r="T26" s="607">
        <f t="shared" si="8"/>
        <v>4440.4399999999996</v>
      </c>
      <c r="U26" s="607">
        <f t="shared" si="9"/>
        <v>59945.990000000005</v>
      </c>
      <c r="V26" s="162" t="str">
        <f t="shared" si="10"/>
        <v>3</v>
      </c>
      <c r="W26" s="609" t="str">
        <f>IF($G26="","",VLOOKUP($G26,請求Data!$E$11:$AR$160,請求Data!$AC$10-請求Data!$D$10,FALSE))</f>
        <v>$</v>
      </c>
      <c r="X26" s="607">
        <f t="shared" si="11"/>
        <v>4440.4399999999996</v>
      </c>
      <c r="Y26" s="608">
        <f t="shared" si="12"/>
        <v>5550.56</v>
      </c>
    </row>
    <row r="27" spans="1:25">
      <c r="A27" s="103">
        <v>21</v>
      </c>
      <c r="B27" s="247" t="str">
        <f>IF(LEFT($G27,1)="1",IF($H26=$H27,MAX($B$6:$B26)+1,IF(MAX($B$6:$B26)&lt;=0,1,MAX($B$6:$B26)+3)),"")</f>
        <v/>
      </c>
      <c r="C27" s="247" t="str">
        <f>IF(LEFT($G27,1)="2",IF($H26=$H27,MAX($C$6:$C26)+1,IF(MAX($C$6:$C26)&lt;=0,1,MAX($C$6:$C26)+3)),"")</f>
        <v/>
      </c>
      <c r="D27" s="247">
        <f>IF(LEFT($G27,1)="3",IF($H26=$H27,MAX($D$6:$D26)+1,IF(MAX($D$6:$D26)&lt;=0,1,MAX($D$6:$D26)+3)),"")</f>
        <v>1</v>
      </c>
      <c r="E27" s="247" t="str">
        <f>IF(LEFT($G27,1)="4",IF($H26=$H27,MAX($E$6:$E26)+1,IF(MAX($E$6:$E26)&lt;=0,1,MAX($E$6:$E26)+3)),"")</f>
        <v/>
      </c>
      <c r="F27" s="477">
        <f t="shared" si="0"/>
        <v>1</v>
      </c>
      <c r="G27" s="409">
        <f>IF(ISERROR(SMALL(請求Data!$E$11:$E$160,$A27)),"",SMALL(請求Data!$E$11:$E$160,$A27))</f>
        <v>31000107020</v>
      </c>
      <c r="H27" s="606" t="str">
        <f>IF($G27="","",VLOOKUP($G27,請求Data!$E$11:$AR$160,4,FALSE))</f>
        <v>10001</v>
      </c>
      <c r="I27" s="606" t="str">
        <f>IF($G27="","",VLOOKUP($G27,請求Data!$E$11:$AR$160,5,FALSE))</f>
        <v>39-B07020</v>
      </c>
      <c r="J27" s="609">
        <f>IF($G27="","",IF(VLOOKUP($G27,請求Data!$E$11:$AR$160,請求Data!$Y$10-請求Data!$D$10,FALSE)="",1,0))</f>
        <v>1</v>
      </c>
      <c r="K27" s="609">
        <f>IF($G27="","",IF(VLOOKUP($G27,請求Data!$E$11:$AR$160,請求Data!$Z$10-請求Data!$D$10,FALSE)="*",1,0))</f>
        <v>0</v>
      </c>
      <c r="L27" s="607">
        <f>IF($G27="","",VLOOKUP($G27,請求Data!$E$11:$AR$160,請求Data!$AP$10-請求Data!$D$10,FALSE))</f>
        <v>15497.73</v>
      </c>
      <c r="M27" s="607">
        <f t="shared" si="1"/>
        <v>1239.82</v>
      </c>
      <c r="N27" s="607">
        <f t="shared" si="2"/>
        <v>16737.55</v>
      </c>
      <c r="O27" s="606" t="str">
        <f t="shared" si="3"/>
        <v/>
      </c>
      <c r="P27" s="606" t="str">
        <f t="shared" si="4"/>
        <v/>
      </c>
      <c r="Q27" s="606">
        <f t="shared" si="5"/>
        <v>2</v>
      </c>
      <c r="R27" s="606" t="str">
        <f t="shared" si="6"/>
        <v/>
      </c>
      <c r="S27" s="607">
        <f t="shared" si="7"/>
        <v>15497.73</v>
      </c>
      <c r="T27" s="607">
        <f t="shared" si="8"/>
        <v>1239.82</v>
      </c>
      <c r="U27" s="607">
        <f t="shared" si="9"/>
        <v>16737.55</v>
      </c>
      <c r="V27" s="162" t="str">
        <f t="shared" si="10"/>
        <v>3</v>
      </c>
      <c r="W27" s="609" t="str">
        <f>IF($G27="","",VLOOKUP($G27,請求Data!$E$11:$AR$160,請求Data!$AC$10-請求Data!$D$10,FALSE))</f>
        <v>HK$</v>
      </c>
      <c r="X27" s="607">
        <f t="shared" si="11"/>
        <v>1239.82</v>
      </c>
      <c r="Y27" s="608">
        <f t="shared" si="12"/>
        <v>1549.77</v>
      </c>
    </row>
    <row r="28" spans="1:25">
      <c r="A28" s="103">
        <v>22</v>
      </c>
      <c r="B28" s="247" t="str">
        <f>IF(LEFT($G28,1)="1",IF($H27=$H28,MAX($B$6:$B27)+1,IF(MAX($B$6:$B27)&lt;=0,1,MAX($B$6:$B27)+3)),"")</f>
        <v/>
      </c>
      <c r="C28" s="247" t="str">
        <f>IF(LEFT($G28,1)="2",IF($H27=$H28,MAX($C$6:$C27)+1,IF(MAX($C$6:$C27)&lt;=0,1,MAX($C$6:$C27)+3)),"")</f>
        <v/>
      </c>
      <c r="D28" s="247">
        <f>IF(LEFT($G28,1)="3",IF($H27=$H28,MAX($D$6:$D27)+1,IF(MAX($D$6:$D27)&lt;=0,1,MAX($D$6:$D27)+3)),"")</f>
        <v>4</v>
      </c>
      <c r="E28" s="247" t="str">
        <f>IF(LEFT($G28,1)="4",IF($H27=$H28,MAX($E$6:$E27)+1,IF(MAX($E$6:$E27)&lt;=0,1,MAX($E$6:$E27)+3)),"")</f>
        <v/>
      </c>
      <c r="F28" s="477">
        <f t="shared" si="0"/>
        <v>1</v>
      </c>
      <c r="G28" s="409">
        <f>IF(ISERROR(SMALL(請求Data!$E$11:$E$160,$A28)),"",SMALL(請求Data!$E$11:$E$160,$A28))</f>
        <v>31100207016</v>
      </c>
      <c r="H28" s="606" t="str">
        <f>IF($G28="","",VLOOKUP($G28,請求Data!$E$11:$AR$160,4,FALSE))</f>
        <v>11002</v>
      </c>
      <c r="I28" s="606" t="str">
        <f>IF($G28="","",VLOOKUP($G28,請求Data!$E$11:$AR$160,5,FALSE))</f>
        <v>39-B07016</v>
      </c>
      <c r="J28" s="609">
        <f>IF($G28="","",IF(VLOOKUP($G28,請求Data!$E$11:$AR$160,請求Data!$Y$10-請求Data!$D$10,FALSE)="",1,0))</f>
        <v>1</v>
      </c>
      <c r="K28" s="609">
        <f>IF($G28="","",IF(VLOOKUP($G28,請求Data!$E$11:$AR$160,請求Data!$Z$10-請求Data!$D$10,FALSE)="*",1,0))</f>
        <v>0</v>
      </c>
      <c r="L28" s="607">
        <f>IF($G28="","",VLOOKUP($G28,請求Data!$E$11:$AR$160,請求Data!$AP$10-請求Data!$D$10,FALSE))</f>
        <v>221400</v>
      </c>
      <c r="M28" s="607">
        <f t="shared" si="1"/>
        <v>17712</v>
      </c>
      <c r="N28" s="607">
        <f t="shared" si="2"/>
        <v>239112</v>
      </c>
      <c r="O28" s="606" t="str">
        <f t="shared" si="3"/>
        <v/>
      </c>
      <c r="P28" s="606" t="str">
        <f t="shared" si="4"/>
        <v/>
      </c>
      <c r="Q28" s="606">
        <f t="shared" si="5"/>
        <v>5</v>
      </c>
      <c r="R28" s="606" t="str">
        <f t="shared" si="6"/>
        <v/>
      </c>
      <c r="S28" s="607">
        <f t="shared" si="7"/>
        <v>221400</v>
      </c>
      <c r="T28" s="607">
        <f t="shared" si="8"/>
        <v>17712</v>
      </c>
      <c r="U28" s="607">
        <f t="shared" si="9"/>
        <v>239112</v>
      </c>
      <c r="V28" s="162" t="str">
        <f t="shared" si="10"/>
        <v>3</v>
      </c>
      <c r="W28" s="609" t="str">
        <f>IF($G28="","",VLOOKUP($G28,請求Data!$E$11:$AR$160,請求Data!$AC$10-請求Data!$D$10,FALSE))</f>
        <v>HK$</v>
      </c>
      <c r="X28" s="607">
        <f t="shared" si="11"/>
        <v>17712</v>
      </c>
      <c r="Y28" s="608">
        <f t="shared" si="12"/>
        <v>22140</v>
      </c>
    </row>
    <row r="29" spans="1:25">
      <c r="A29" s="103">
        <v>23</v>
      </c>
      <c r="B29" s="247" t="str">
        <f>IF(LEFT($G29,1)="1",IF($H28=$H29,MAX($B$6:$B28)+1,IF(MAX($B$6:$B28)&lt;=0,1,MAX($B$6:$B28)+3)),"")</f>
        <v/>
      </c>
      <c r="C29" s="247" t="str">
        <f>IF(LEFT($G29,1)="2",IF($H28=$H29,MAX($C$6:$C28)+1,IF(MAX($C$6:$C28)&lt;=0,1,MAX($C$6:$C28)+3)),"")</f>
        <v/>
      </c>
      <c r="D29" s="247" t="str">
        <f>IF(LEFT($G29,1)="3",IF($H28=$H29,MAX($D$6:$D28)+1,IF(MAX($D$6:$D28)&lt;=0,1,MAX($D$6:$D28)+3)),"")</f>
        <v/>
      </c>
      <c r="E29" s="247" t="str">
        <f>IF(LEFT($G29,1)="4",IF($H28=$H29,MAX($E$6:$E28)+1,IF(MAX($E$6:$E28)&lt;=0,1,MAX($E$6:$E28)+3)),"")</f>
        <v/>
      </c>
      <c r="F29" s="477" t="str">
        <f t="shared" si="0"/>
        <v/>
      </c>
      <c r="G29" s="409" t="str">
        <f>IF(ISERROR(SMALL(請求Data!$E$11:$E$160,$A29)),"",SMALL(請求Data!$E$11:$E$160,$A29))</f>
        <v/>
      </c>
      <c r="H29" s="606" t="str">
        <f>IF($G29="","",VLOOKUP($G29,請求Data!$E$11:$AR$160,4,FALSE))</f>
        <v/>
      </c>
      <c r="I29" s="606" t="str">
        <f>IF($G29="","",VLOOKUP($G29,請求Data!$E$11:$AR$160,5,FALSE))</f>
        <v/>
      </c>
      <c r="J29" s="609" t="str">
        <f>IF($G29="","",IF(VLOOKUP($G29,請求Data!$E$11:$AR$160,請求Data!$Y$10-請求Data!$D$10,FALSE)="",1,0))</f>
        <v/>
      </c>
      <c r="K29" s="609" t="str">
        <f>IF($G29="","",IF(VLOOKUP($G29,請求Data!$E$11:$AR$160,請求Data!$Z$10-請求Data!$D$10,FALSE)="*",1,0))</f>
        <v/>
      </c>
      <c r="L29" s="607" t="str">
        <f>IF($G29="","",VLOOKUP($G29,請求Data!$E$11:$AR$160,請求Data!$AP$10-請求Data!$D$10,FALSE))</f>
        <v/>
      </c>
      <c r="M29" s="607" t="str">
        <f t="shared" si="1"/>
        <v/>
      </c>
      <c r="N29" s="607" t="str">
        <f t="shared" si="2"/>
        <v/>
      </c>
      <c r="O29" s="606" t="str">
        <f t="shared" ref="O29:O92" si="13">IF($H29=$H30,"",IF($B29="","",$B29+1))</f>
        <v/>
      </c>
      <c r="P29" s="606" t="str">
        <f t="shared" ref="P29:P92" si="14">IF($H29=$H30,"",IF($C29="","",$C29+1))</f>
        <v/>
      </c>
      <c r="Q29" s="606" t="str">
        <f t="shared" ref="Q29:Q92" si="15">IF($H29=$H30,"",IF($D29="","",$D29+1))</f>
        <v/>
      </c>
      <c r="R29" s="606" t="str">
        <f t="shared" ref="R29:R92" si="16">IF($H29=$H30,"",IF($E29="","",$E29+1))</f>
        <v/>
      </c>
      <c r="S29" s="607" t="str">
        <f t="shared" ref="S29:S92" si="17">IF($H29="","",IF($H28=$H29,$S28+$L29,$L29))</f>
        <v/>
      </c>
      <c r="T29" s="607" t="str">
        <f t="shared" ref="T29:T92" si="18">IF($H29="","",IF($H28=$H29,$T28+$M29,$M29))</f>
        <v/>
      </c>
      <c r="U29" s="607" t="str">
        <f t="shared" si="9"/>
        <v/>
      </c>
      <c r="V29" s="162" t="str">
        <f t="shared" si="10"/>
        <v/>
      </c>
      <c r="W29" s="609" t="str">
        <f>IF($G29="","",VLOOKUP($G29,請求Data!$E$11:$AR$160,請求Data!$AC$10-請求Data!$D$10,FALSE))</f>
        <v/>
      </c>
      <c r="X29" s="607" t="str">
        <f t="shared" si="11"/>
        <v/>
      </c>
      <c r="Y29" s="608" t="str">
        <f t="shared" si="12"/>
        <v/>
      </c>
    </row>
    <row r="30" spans="1:25">
      <c r="A30" s="103">
        <v>24</v>
      </c>
      <c r="B30" s="247" t="str">
        <f>IF(LEFT($G30,1)="1",IF($H29=$H30,MAX($B$6:$B29)+1,IF(MAX($B$6:$B29)&lt;=0,1,MAX($B$6:$B29)+3)),"")</f>
        <v/>
      </c>
      <c r="C30" s="247" t="str">
        <f>IF(LEFT($G30,1)="2",IF($H29=$H30,MAX($C$6:$C29)+1,IF(MAX($C$6:$C29)&lt;=0,1,MAX($C$6:$C29)+3)),"")</f>
        <v/>
      </c>
      <c r="D30" s="247" t="str">
        <f>IF(LEFT($G30,1)="3",IF($H29=$H30,MAX($D$6:$D29)+1,IF(MAX($D$6:$D29)&lt;=0,1,MAX($D$6:$D29)+3)),"")</f>
        <v/>
      </c>
      <c r="E30" s="247" t="str">
        <f>IF(LEFT($G30,1)="4",IF($H29=$H30,MAX($E$6:$E29)+1,IF(MAX($E$6:$E29)&lt;=0,1,MAX($E$6:$E29)+3)),"")</f>
        <v/>
      </c>
      <c r="F30" s="477" t="str">
        <f t="shared" si="0"/>
        <v/>
      </c>
      <c r="G30" s="409" t="str">
        <f>IF(ISERROR(SMALL(請求Data!$E$11:$E$160,$A30)),"",SMALL(請求Data!$E$11:$E$160,$A30))</f>
        <v/>
      </c>
      <c r="H30" s="606" t="str">
        <f>IF($G30="","",VLOOKUP($G30,請求Data!$E$11:$AR$160,4,FALSE))</f>
        <v/>
      </c>
      <c r="I30" s="606" t="str">
        <f>IF($G30="","",VLOOKUP($G30,請求Data!$E$11:$AR$160,5,FALSE))</f>
        <v/>
      </c>
      <c r="J30" s="609" t="str">
        <f>IF($G30="","",IF(VLOOKUP($G30,請求Data!$E$11:$AR$160,請求Data!$Y$10-請求Data!$D$10,FALSE)="",1,0))</f>
        <v/>
      </c>
      <c r="K30" s="609" t="str">
        <f>IF($G30="","",IF(VLOOKUP($G30,請求Data!$E$11:$AR$160,請求Data!$Z$10-請求Data!$D$10,FALSE)="*",1,0))</f>
        <v/>
      </c>
      <c r="L30" s="607" t="str">
        <f>IF($G30="","",VLOOKUP($G30,請求Data!$E$11:$AR$160,請求Data!$AP$10-請求Data!$D$10,FALSE))</f>
        <v/>
      </c>
      <c r="M30" s="607" t="str">
        <f t="shared" si="1"/>
        <v/>
      </c>
      <c r="N30" s="607" t="str">
        <f t="shared" si="2"/>
        <v/>
      </c>
      <c r="O30" s="606" t="str">
        <f t="shared" si="13"/>
        <v/>
      </c>
      <c r="P30" s="606" t="str">
        <f t="shared" si="14"/>
        <v/>
      </c>
      <c r="Q30" s="606" t="str">
        <f t="shared" si="15"/>
        <v/>
      </c>
      <c r="R30" s="606" t="str">
        <f t="shared" si="16"/>
        <v/>
      </c>
      <c r="S30" s="607" t="str">
        <f t="shared" si="17"/>
        <v/>
      </c>
      <c r="T30" s="607" t="str">
        <f t="shared" si="18"/>
        <v/>
      </c>
      <c r="U30" s="607" t="str">
        <f t="shared" si="9"/>
        <v/>
      </c>
      <c r="V30" s="162" t="str">
        <f t="shared" si="10"/>
        <v/>
      </c>
      <c r="W30" s="609" t="str">
        <f>IF($G30="","",VLOOKUP($G30,請求Data!$E$11:$AR$160,請求Data!$AC$10-請求Data!$D$10,FALSE))</f>
        <v/>
      </c>
      <c r="X30" s="607" t="str">
        <f t="shared" si="11"/>
        <v/>
      </c>
      <c r="Y30" s="608" t="str">
        <f t="shared" si="12"/>
        <v/>
      </c>
    </row>
    <row r="31" spans="1:25">
      <c r="A31" s="103">
        <v>25</v>
      </c>
      <c r="B31" s="247" t="str">
        <f>IF(LEFT($G31,1)="1",IF($H30=$H31,MAX($B$6:$B30)+1,IF(MAX($B$6:$B30)&lt;=0,1,MAX($B$6:$B30)+3)),"")</f>
        <v/>
      </c>
      <c r="C31" s="247" t="str">
        <f>IF(LEFT($G31,1)="2",IF($H30=$H31,MAX($C$6:$C30)+1,IF(MAX($C$6:$C30)&lt;=0,1,MAX($C$6:$C30)+3)),"")</f>
        <v/>
      </c>
      <c r="D31" s="247" t="str">
        <f>IF(LEFT($G31,1)="3",IF($H30=$H31,MAX($D$6:$D30)+1,IF(MAX($D$6:$D30)&lt;=0,1,MAX($D$6:$D30)+3)),"")</f>
        <v/>
      </c>
      <c r="E31" s="247" t="str">
        <f>IF(LEFT($G31,1)="4",IF($H30=$H31,MAX($E$6:$E30)+1,IF(MAX($E$6:$E30)&lt;=0,1,MAX($E$6:$E30)+3)),"")</f>
        <v/>
      </c>
      <c r="F31" s="477" t="str">
        <f t="shared" si="0"/>
        <v/>
      </c>
      <c r="G31" s="409" t="str">
        <f>IF(ISERROR(SMALL(請求Data!$E$11:$E$160,$A31)),"",SMALL(請求Data!$E$11:$E$160,$A31))</f>
        <v/>
      </c>
      <c r="H31" s="606" t="str">
        <f>IF($G31="","",VLOOKUP($G31,請求Data!$E$11:$AR$160,4,FALSE))</f>
        <v/>
      </c>
      <c r="I31" s="606" t="str">
        <f>IF($G31="","",VLOOKUP($G31,請求Data!$E$11:$AR$160,5,FALSE))</f>
        <v/>
      </c>
      <c r="J31" s="609" t="str">
        <f>IF($G31="","",IF(VLOOKUP($G31,請求Data!$E$11:$AR$160,請求Data!$Y$10-請求Data!$D$10,FALSE)="",1,0))</f>
        <v/>
      </c>
      <c r="K31" s="609" t="str">
        <f>IF($G31="","",IF(VLOOKUP($G31,請求Data!$E$11:$AR$160,請求Data!$Z$10-請求Data!$D$10,FALSE)="*",1,0))</f>
        <v/>
      </c>
      <c r="L31" s="607" t="str">
        <f>IF($G31="","",VLOOKUP($G31,請求Data!$E$11:$AR$160,請求Data!$AP$10-請求Data!$D$10,FALSE))</f>
        <v/>
      </c>
      <c r="M31" s="607" t="str">
        <f t="shared" si="1"/>
        <v/>
      </c>
      <c r="N31" s="607" t="str">
        <f t="shared" si="2"/>
        <v/>
      </c>
      <c r="O31" s="606" t="str">
        <f t="shared" si="13"/>
        <v/>
      </c>
      <c r="P31" s="606" t="str">
        <f t="shared" si="14"/>
        <v/>
      </c>
      <c r="Q31" s="606" t="str">
        <f t="shared" si="15"/>
        <v/>
      </c>
      <c r="R31" s="606" t="str">
        <f t="shared" si="16"/>
        <v/>
      </c>
      <c r="S31" s="607" t="str">
        <f t="shared" si="17"/>
        <v/>
      </c>
      <c r="T31" s="607" t="str">
        <f t="shared" si="18"/>
        <v/>
      </c>
      <c r="U31" s="607" t="str">
        <f t="shared" si="9"/>
        <v/>
      </c>
      <c r="V31" s="162" t="str">
        <f t="shared" si="10"/>
        <v/>
      </c>
      <c r="W31" s="609" t="str">
        <f>IF($G31="","",VLOOKUP($G31,請求Data!$E$11:$AR$160,請求Data!$AC$10-請求Data!$D$10,FALSE))</f>
        <v/>
      </c>
      <c r="X31" s="607" t="str">
        <f t="shared" si="11"/>
        <v/>
      </c>
      <c r="Y31" s="608" t="str">
        <f t="shared" si="12"/>
        <v/>
      </c>
    </row>
    <row r="32" spans="1:25">
      <c r="A32" s="103">
        <v>26</v>
      </c>
      <c r="B32" s="247" t="str">
        <f>IF(LEFT($G32,1)="1",IF($H31=$H32,MAX($B$6:$B31)+1,IF(MAX($B$6:$B31)&lt;=0,1,MAX($B$6:$B31)+3)),"")</f>
        <v/>
      </c>
      <c r="C32" s="247" t="str">
        <f>IF(LEFT($G32,1)="2",IF($H31=$H32,MAX($C$6:$C31)+1,IF(MAX($C$6:$C31)&lt;=0,1,MAX($C$6:$C31)+3)),"")</f>
        <v/>
      </c>
      <c r="D32" s="247" t="str">
        <f>IF(LEFT($G32,1)="3",IF($H31=$H32,MAX($D$6:$D31)+1,IF(MAX($D$6:$D31)&lt;=0,1,MAX($D$6:$D31)+3)),"")</f>
        <v/>
      </c>
      <c r="E32" s="247" t="str">
        <f>IF(LEFT($G32,1)="4",IF($H31=$H32,MAX($E$6:$E31)+1,IF(MAX($E$6:$E31)&lt;=0,1,MAX($E$6:$E31)+3)),"")</f>
        <v/>
      </c>
      <c r="F32" s="477" t="str">
        <f t="shared" si="0"/>
        <v/>
      </c>
      <c r="G32" s="409" t="str">
        <f>IF(ISERROR(SMALL(請求Data!$E$11:$E$160,$A32)),"",SMALL(請求Data!$E$11:$E$160,$A32))</f>
        <v/>
      </c>
      <c r="H32" s="606" t="str">
        <f>IF($G32="","",VLOOKUP($G32,請求Data!$E$11:$AR$160,4,FALSE))</f>
        <v/>
      </c>
      <c r="I32" s="606" t="str">
        <f>IF($G32="","",VLOOKUP($G32,請求Data!$E$11:$AR$160,5,FALSE))</f>
        <v/>
      </c>
      <c r="J32" s="609" t="str">
        <f>IF($G32="","",IF(VLOOKUP($G32,請求Data!$E$11:$AR$160,請求Data!$Y$10-請求Data!$D$10,FALSE)="",1,0))</f>
        <v/>
      </c>
      <c r="K32" s="609" t="str">
        <f>IF($G32="","",IF(VLOOKUP($G32,請求Data!$E$11:$AR$160,請求Data!$Z$10-請求Data!$D$10,FALSE)="*",1,0))</f>
        <v/>
      </c>
      <c r="L32" s="607" t="str">
        <f>IF($G32="","",VLOOKUP($G32,請求Data!$E$11:$AR$160,請求Data!$AP$10-請求Data!$D$10,FALSE))</f>
        <v/>
      </c>
      <c r="M32" s="607" t="str">
        <f t="shared" si="1"/>
        <v/>
      </c>
      <c r="N32" s="607" t="str">
        <f t="shared" si="2"/>
        <v/>
      </c>
      <c r="O32" s="606" t="str">
        <f t="shared" si="13"/>
        <v/>
      </c>
      <c r="P32" s="606" t="str">
        <f t="shared" si="14"/>
        <v/>
      </c>
      <c r="Q32" s="606" t="str">
        <f t="shared" si="15"/>
        <v/>
      </c>
      <c r="R32" s="606" t="str">
        <f t="shared" si="16"/>
        <v/>
      </c>
      <c r="S32" s="607" t="str">
        <f t="shared" si="17"/>
        <v/>
      </c>
      <c r="T32" s="607" t="str">
        <f t="shared" si="18"/>
        <v/>
      </c>
      <c r="U32" s="607" t="str">
        <f t="shared" si="9"/>
        <v/>
      </c>
      <c r="V32" s="162" t="str">
        <f t="shared" si="10"/>
        <v/>
      </c>
      <c r="W32" s="609" t="str">
        <f>IF($G32="","",VLOOKUP($G32,請求Data!$E$11:$AR$160,請求Data!$AC$10-請求Data!$D$10,FALSE))</f>
        <v/>
      </c>
      <c r="X32" s="607" t="str">
        <f t="shared" si="11"/>
        <v/>
      </c>
      <c r="Y32" s="608" t="str">
        <f t="shared" si="12"/>
        <v/>
      </c>
    </row>
    <row r="33" spans="1:25">
      <c r="A33" s="103">
        <v>27</v>
      </c>
      <c r="B33" s="247" t="str">
        <f>IF(LEFT($G33,1)="1",IF($H32=$H33,MAX($B$6:$B32)+1,IF(MAX($B$6:$B32)&lt;=0,1,MAX($B$6:$B32)+3)),"")</f>
        <v/>
      </c>
      <c r="C33" s="247" t="str">
        <f>IF(LEFT($G33,1)="2",IF($H32=$H33,MAX($C$6:$C32)+1,IF(MAX($C$6:$C32)&lt;=0,1,MAX($C$6:$C32)+3)),"")</f>
        <v/>
      </c>
      <c r="D33" s="247" t="str">
        <f>IF(LEFT($G33,1)="3",IF($H32=$H33,MAX($D$6:$D32)+1,IF(MAX($D$6:$D32)&lt;=0,1,MAX($D$6:$D32)+3)),"")</f>
        <v/>
      </c>
      <c r="E33" s="247" t="str">
        <f>IF(LEFT($G33,1)="4",IF($H32=$H33,MAX($E$6:$E32)+1,IF(MAX($E$6:$E32)&lt;=0,1,MAX($E$6:$E32)+3)),"")</f>
        <v/>
      </c>
      <c r="F33" s="477" t="str">
        <f t="shared" si="0"/>
        <v/>
      </c>
      <c r="G33" s="409" t="str">
        <f>IF(ISERROR(SMALL(請求Data!$E$11:$E$160,$A33)),"",SMALL(請求Data!$E$11:$E$160,$A33))</f>
        <v/>
      </c>
      <c r="H33" s="606" t="str">
        <f>IF($G33="","",VLOOKUP($G33,請求Data!$E$11:$AR$160,4,FALSE))</f>
        <v/>
      </c>
      <c r="I33" s="606" t="str">
        <f>IF($G33="","",VLOOKUP($G33,請求Data!$E$11:$AR$160,5,FALSE))</f>
        <v/>
      </c>
      <c r="J33" s="609" t="str">
        <f>IF($G33="","",IF(VLOOKUP($G33,請求Data!$E$11:$AR$160,請求Data!$Y$10-請求Data!$D$10,FALSE)="",1,0))</f>
        <v/>
      </c>
      <c r="K33" s="609" t="str">
        <f>IF($G33="","",IF(VLOOKUP($G33,請求Data!$E$11:$AR$160,請求Data!$Z$10-請求Data!$D$10,FALSE)="*",1,0))</f>
        <v/>
      </c>
      <c r="L33" s="607" t="str">
        <f>IF($G33="","",VLOOKUP($G33,請求Data!$E$11:$AR$160,請求Data!$AP$10-請求Data!$D$10,FALSE))</f>
        <v/>
      </c>
      <c r="M33" s="607" t="str">
        <f t="shared" si="1"/>
        <v/>
      </c>
      <c r="N33" s="607" t="str">
        <f t="shared" si="2"/>
        <v/>
      </c>
      <c r="O33" s="606" t="str">
        <f t="shared" si="13"/>
        <v/>
      </c>
      <c r="P33" s="606" t="str">
        <f t="shared" si="14"/>
        <v/>
      </c>
      <c r="Q33" s="606" t="str">
        <f t="shared" si="15"/>
        <v/>
      </c>
      <c r="R33" s="606" t="str">
        <f t="shared" si="16"/>
        <v/>
      </c>
      <c r="S33" s="607" t="str">
        <f t="shared" si="17"/>
        <v/>
      </c>
      <c r="T33" s="607" t="str">
        <f t="shared" si="18"/>
        <v/>
      </c>
      <c r="U33" s="607" t="str">
        <f t="shared" si="9"/>
        <v/>
      </c>
      <c r="V33" s="162" t="str">
        <f t="shared" si="10"/>
        <v/>
      </c>
      <c r="W33" s="609" t="str">
        <f>IF($G33="","",VLOOKUP($G33,請求Data!$E$11:$AR$160,請求Data!$AC$10-請求Data!$D$10,FALSE))</f>
        <v/>
      </c>
      <c r="X33" s="607" t="str">
        <f t="shared" si="11"/>
        <v/>
      </c>
      <c r="Y33" s="608" t="str">
        <f t="shared" si="12"/>
        <v/>
      </c>
    </row>
    <row r="34" spans="1:25">
      <c r="A34" s="103">
        <v>28</v>
      </c>
      <c r="B34" s="247" t="str">
        <f>IF(LEFT($G34,1)="1",IF($H33=$H34,MAX($B$6:$B33)+1,IF(MAX($B$6:$B33)&lt;=0,1,MAX($B$6:$B33)+3)),"")</f>
        <v/>
      </c>
      <c r="C34" s="247" t="str">
        <f>IF(LEFT($G34,1)="2",IF($H33=$H34,MAX($C$6:$C33)+1,IF(MAX($C$6:$C33)&lt;=0,1,MAX($C$6:$C33)+3)),"")</f>
        <v/>
      </c>
      <c r="D34" s="247" t="str">
        <f>IF(LEFT($G34,1)="3",IF($H33=$H34,MAX($D$6:$D33)+1,IF(MAX($D$6:$D33)&lt;=0,1,MAX($D$6:$D33)+3)),"")</f>
        <v/>
      </c>
      <c r="E34" s="247" t="str">
        <f>IF(LEFT($G34,1)="4",IF($H33=$H34,MAX($E$6:$E33)+1,IF(MAX($E$6:$E33)&lt;=0,1,MAX($E$6:$E33)+3)),"")</f>
        <v/>
      </c>
      <c r="F34" s="477" t="str">
        <f t="shared" si="0"/>
        <v/>
      </c>
      <c r="G34" s="409" t="str">
        <f>IF(ISERROR(SMALL(請求Data!$E$11:$E$160,$A34)),"",SMALL(請求Data!$E$11:$E$160,$A34))</f>
        <v/>
      </c>
      <c r="H34" s="606" t="str">
        <f>IF($G34="","",VLOOKUP($G34,請求Data!$E$11:$AR$160,4,FALSE))</f>
        <v/>
      </c>
      <c r="I34" s="606" t="str">
        <f>IF($G34="","",VLOOKUP($G34,請求Data!$E$11:$AR$160,5,FALSE))</f>
        <v/>
      </c>
      <c r="J34" s="609" t="str">
        <f>IF($G34="","",IF(VLOOKUP($G34,請求Data!$E$11:$AR$160,請求Data!$Y$10-請求Data!$D$10,FALSE)="",1,0))</f>
        <v/>
      </c>
      <c r="K34" s="609" t="str">
        <f>IF($G34="","",IF(VLOOKUP($G34,請求Data!$E$11:$AR$160,請求Data!$Z$10-請求Data!$D$10,FALSE)="*",1,0))</f>
        <v/>
      </c>
      <c r="L34" s="607" t="str">
        <f>IF($G34="","",VLOOKUP($G34,請求Data!$E$11:$AR$160,請求Data!$AP$10-請求Data!$D$10,FALSE))</f>
        <v/>
      </c>
      <c r="M34" s="607" t="str">
        <f t="shared" si="1"/>
        <v/>
      </c>
      <c r="N34" s="607" t="str">
        <f t="shared" si="2"/>
        <v/>
      </c>
      <c r="O34" s="606" t="str">
        <f t="shared" si="13"/>
        <v/>
      </c>
      <c r="P34" s="606" t="str">
        <f t="shared" si="14"/>
        <v/>
      </c>
      <c r="Q34" s="606" t="str">
        <f t="shared" si="15"/>
        <v/>
      </c>
      <c r="R34" s="606" t="str">
        <f t="shared" si="16"/>
        <v/>
      </c>
      <c r="S34" s="607" t="str">
        <f t="shared" si="17"/>
        <v/>
      </c>
      <c r="T34" s="607" t="str">
        <f t="shared" si="18"/>
        <v/>
      </c>
      <c r="U34" s="607" t="str">
        <f t="shared" si="9"/>
        <v/>
      </c>
      <c r="V34" s="162" t="str">
        <f t="shared" si="10"/>
        <v/>
      </c>
      <c r="W34" s="609" t="str">
        <f>IF($G34="","",VLOOKUP($G34,請求Data!$E$11:$AR$160,請求Data!$AC$10-請求Data!$D$10,FALSE))</f>
        <v/>
      </c>
      <c r="X34" s="607" t="str">
        <f t="shared" si="11"/>
        <v/>
      </c>
      <c r="Y34" s="608" t="str">
        <f t="shared" si="12"/>
        <v/>
      </c>
    </row>
    <row r="35" spans="1:25">
      <c r="A35" s="103">
        <v>29</v>
      </c>
      <c r="B35" s="247" t="str">
        <f>IF(LEFT($G35,1)="1",IF($H34=$H35,MAX($B$6:$B34)+1,IF(MAX($B$6:$B34)&lt;=0,1,MAX($B$6:$B34)+3)),"")</f>
        <v/>
      </c>
      <c r="C35" s="247" t="str">
        <f>IF(LEFT($G35,1)="2",IF($H34=$H35,MAX($C$6:$C34)+1,IF(MAX($C$6:$C34)&lt;=0,1,MAX($C$6:$C34)+3)),"")</f>
        <v/>
      </c>
      <c r="D35" s="247" t="str">
        <f>IF(LEFT($G35,1)="3",IF($H34=$H35,MAX($D$6:$D34)+1,IF(MAX($D$6:$D34)&lt;=0,1,MAX($D$6:$D34)+3)),"")</f>
        <v/>
      </c>
      <c r="E35" s="247" t="str">
        <f>IF(LEFT($G35,1)="4",IF($H34=$H35,MAX($E$6:$E34)+1,IF(MAX($E$6:$E34)&lt;=0,1,MAX($E$6:$E34)+3)),"")</f>
        <v/>
      </c>
      <c r="F35" s="477" t="str">
        <f t="shared" si="0"/>
        <v/>
      </c>
      <c r="G35" s="409" t="str">
        <f>IF(ISERROR(SMALL(請求Data!$E$11:$E$160,$A35)),"",SMALL(請求Data!$E$11:$E$160,$A35))</f>
        <v/>
      </c>
      <c r="H35" s="606" t="str">
        <f>IF($G35="","",VLOOKUP($G35,請求Data!$E$11:$AR$160,4,FALSE))</f>
        <v/>
      </c>
      <c r="I35" s="606" t="str">
        <f>IF($G35="","",VLOOKUP($G35,請求Data!$E$11:$AR$160,5,FALSE))</f>
        <v/>
      </c>
      <c r="J35" s="609" t="str">
        <f>IF($G35="","",IF(VLOOKUP($G35,請求Data!$E$11:$AR$160,請求Data!$Y$10-請求Data!$D$10,FALSE)="",1,0))</f>
        <v/>
      </c>
      <c r="K35" s="609" t="str">
        <f>IF($G35="","",IF(VLOOKUP($G35,請求Data!$E$11:$AR$160,請求Data!$Z$10-請求Data!$D$10,FALSE)="*",1,0))</f>
        <v/>
      </c>
      <c r="L35" s="607" t="str">
        <f>IF($G35="","",VLOOKUP($G35,請求Data!$E$11:$AR$160,請求Data!$AP$10-請求Data!$D$10,FALSE))</f>
        <v/>
      </c>
      <c r="M35" s="607" t="str">
        <f t="shared" si="1"/>
        <v/>
      </c>
      <c r="N35" s="607" t="str">
        <f t="shared" si="2"/>
        <v/>
      </c>
      <c r="O35" s="606" t="str">
        <f t="shared" si="13"/>
        <v/>
      </c>
      <c r="P35" s="606" t="str">
        <f t="shared" si="14"/>
        <v/>
      </c>
      <c r="Q35" s="606" t="str">
        <f t="shared" si="15"/>
        <v/>
      </c>
      <c r="R35" s="606" t="str">
        <f t="shared" si="16"/>
        <v/>
      </c>
      <c r="S35" s="607" t="str">
        <f t="shared" si="17"/>
        <v/>
      </c>
      <c r="T35" s="607" t="str">
        <f t="shared" si="18"/>
        <v/>
      </c>
      <c r="U35" s="607" t="str">
        <f t="shared" si="9"/>
        <v/>
      </c>
      <c r="V35" s="162" t="str">
        <f t="shared" si="10"/>
        <v/>
      </c>
      <c r="W35" s="609" t="str">
        <f>IF($G35="","",VLOOKUP($G35,請求Data!$E$11:$AR$160,請求Data!$AC$10-請求Data!$D$10,FALSE))</f>
        <v/>
      </c>
      <c r="X35" s="607" t="str">
        <f t="shared" si="11"/>
        <v/>
      </c>
      <c r="Y35" s="608" t="str">
        <f t="shared" si="12"/>
        <v/>
      </c>
    </row>
    <row r="36" spans="1:25">
      <c r="A36" s="103">
        <v>30</v>
      </c>
      <c r="B36" s="247" t="str">
        <f>IF(LEFT($G36,1)="1",IF($H35=$H36,MAX($B$6:$B35)+1,IF(MAX($B$6:$B35)&lt;=0,1,MAX($B$6:$B35)+3)),"")</f>
        <v/>
      </c>
      <c r="C36" s="247" t="str">
        <f>IF(LEFT($G36,1)="2",IF($H35=$H36,MAX($C$6:$C35)+1,IF(MAX($C$6:$C35)&lt;=0,1,MAX($C$6:$C35)+3)),"")</f>
        <v/>
      </c>
      <c r="D36" s="247" t="str">
        <f>IF(LEFT($G36,1)="3",IF($H35=$H36,MAX($D$6:$D35)+1,IF(MAX($D$6:$D35)&lt;=0,1,MAX($D$6:$D35)+3)),"")</f>
        <v/>
      </c>
      <c r="E36" s="247" t="str">
        <f>IF(LEFT($G36,1)="4",IF($H35=$H36,MAX($E$6:$E35)+1,IF(MAX($E$6:$E35)&lt;=0,1,MAX($E$6:$E35)+3)),"")</f>
        <v/>
      </c>
      <c r="F36" s="477" t="str">
        <f t="shared" si="0"/>
        <v/>
      </c>
      <c r="G36" s="409" t="str">
        <f>IF(ISERROR(SMALL(請求Data!$E$11:$E$160,$A36)),"",SMALL(請求Data!$E$11:$E$160,$A36))</f>
        <v/>
      </c>
      <c r="H36" s="606" t="str">
        <f>IF($G36="","",VLOOKUP($G36,請求Data!$E$11:$AR$160,4,FALSE))</f>
        <v/>
      </c>
      <c r="I36" s="606" t="str">
        <f>IF($G36="","",VLOOKUP($G36,請求Data!$E$11:$AR$160,5,FALSE))</f>
        <v/>
      </c>
      <c r="J36" s="609" t="str">
        <f>IF($G36="","",IF(VLOOKUP($G36,請求Data!$E$11:$AR$160,請求Data!$Y$10-請求Data!$D$10,FALSE)="",1,0))</f>
        <v/>
      </c>
      <c r="K36" s="609" t="str">
        <f>IF($G36="","",IF(VLOOKUP($G36,請求Data!$E$11:$AR$160,請求Data!$Z$10-請求Data!$D$10,FALSE)="*",1,0))</f>
        <v/>
      </c>
      <c r="L36" s="607" t="str">
        <f>IF($G36="","",VLOOKUP($G36,請求Data!$E$11:$AR$160,請求Data!$AP$10-請求Data!$D$10,FALSE))</f>
        <v/>
      </c>
      <c r="M36" s="607" t="str">
        <f t="shared" si="1"/>
        <v/>
      </c>
      <c r="N36" s="607" t="str">
        <f t="shared" si="2"/>
        <v/>
      </c>
      <c r="O36" s="606" t="str">
        <f t="shared" si="13"/>
        <v/>
      </c>
      <c r="P36" s="606" t="str">
        <f t="shared" si="14"/>
        <v/>
      </c>
      <c r="Q36" s="606" t="str">
        <f t="shared" si="15"/>
        <v/>
      </c>
      <c r="R36" s="606" t="str">
        <f t="shared" si="16"/>
        <v/>
      </c>
      <c r="S36" s="607" t="str">
        <f t="shared" si="17"/>
        <v/>
      </c>
      <c r="T36" s="607" t="str">
        <f t="shared" si="18"/>
        <v/>
      </c>
      <c r="U36" s="607" t="str">
        <f t="shared" si="9"/>
        <v/>
      </c>
      <c r="V36" s="162" t="str">
        <f t="shared" si="10"/>
        <v/>
      </c>
      <c r="W36" s="609" t="str">
        <f>IF($G36="","",VLOOKUP($G36,請求Data!$E$11:$AR$160,請求Data!$AC$10-請求Data!$D$10,FALSE))</f>
        <v/>
      </c>
      <c r="X36" s="607" t="str">
        <f t="shared" si="11"/>
        <v/>
      </c>
      <c r="Y36" s="608" t="str">
        <f t="shared" si="12"/>
        <v/>
      </c>
    </row>
    <row r="37" spans="1:25">
      <c r="A37" s="103">
        <v>31</v>
      </c>
      <c r="B37" s="247" t="str">
        <f>IF(LEFT($G37,1)="1",IF($H36=$H37,MAX($B$6:$B36)+1,IF(MAX($B$6:$B36)&lt;=0,1,MAX($B$6:$B36)+3)),"")</f>
        <v/>
      </c>
      <c r="C37" s="247" t="str">
        <f>IF(LEFT($G37,1)="2",IF($H36=$H37,MAX($C$6:$C36)+1,IF(MAX($C$6:$C36)&lt;=0,1,MAX($C$6:$C36)+3)),"")</f>
        <v/>
      </c>
      <c r="D37" s="247" t="str">
        <f>IF(LEFT($G37,1)="3",IF($H36=$H37,MAX($D$6:$D36)+1,IF(MAX($D$6:$D36)&lt;=0,1,MAX($D$6:$D36)+3)),"")</f>
        <v/>
      </c>
      <c r="E37" s="247" t="str">
        <f>IF(LEFT($G37,1)="4",IF($H36=$H37,MAX($E$6:$E36)+1,IF(MAX($E$6:$E36)&lt;=0,1,MAX($E$6:$E36)+3)),"")</f>
        <v/>
      </c>
      <c r="F37" s="477" t="str">
        <f t="shared" si="0"/>
        <v/>
      </c>
      <c r="G37" s="409" t="str">
        <f>IF(ISERROR(SMALL(請求Data!$E$11:$E$160,$A37)),"",SMALL(請求Data!$E$11:$E$160,$A37))</f>
        <v/>
      </c>
      <c r="H37" s="606" t="str">
        <f>IF($G37="","",VLOOKUP($G37,請求Data!$E$11:$AR$160,4,FALSE))</f>
        <v/>
      </c>
      <c r="I37" s="606" t="str">
        <f>IF($G37="","",VLOOKUP($G37,請求Data!$E$11:$AR$160,5,FALSE))</f>
        <v/>
      </c>
      <c r="J37" s="609" t="str">
        <f>IF($G37="","",IF(VLOOKUP($G37,請求Data!$E$11:$AR$160,請求Data!$Y$10-請求Data!$D$10,FALSE)="",1,0))</f>
        <v/>
      </c>
      <c r="K37" s="609" t="str">
        <f>IF($G37="","",IF(VLOOKUP($G37,請求Data!$E$11:$AR$160,請求Data!$Z$10-請求Data!$D$10,FALSE)="*",1,0))</f>
        <v/>
      </c>
      <c r="L37" s="607" t="str">
        <f>IF($G37="","",VLOOKUP($G37,請求Data!$E$11:$AR$160,請求Data!$AP$10-請求Data!$D$10,FALSE))</f>
        <v/>
      </c>
      <c r="M37" s="607" t="str">
        <f t="shared" si="1"/>
        <v/>
      </c>
      <c r="N37" s="607" t="str">
        <f t="shared" si="2"/>
        <v/>
      </c>
      <c r="O37" s="606" t="str">
        <f t="shared" si="13"/>
        <v/>
      </c>
      <c r="P37" s="606" t="str">
        <f t="shared" si="14"/>
        <v/>
      </c>
      <c r="Q37" s="606" t="str">
        <f t="shared" si="15"/>
        <v/>
      </c>
      <c r="R37" s="606" t="str">
        <f t="shared" si="16"/>
        <v/>
      </c>
      <c r="S37" s="607" t="str">
        <f t="shared" si="17"/>
        <v/>
      </c>
      <c r="T37" s="607" t="str">
        <f t="shared" si="18"/>
        <v/>
      </c>
      <c r="U37" s="607" t="str">
        <f t="shared" si="9"/>
        <v/>
      </c>
      <c r="V37" s="162" t="str">
        <f t="shared" si="10"/>
        <v/>
      </c>
      <c r="W37" s="609" t="str">
        <f>IF($G37="","",VLOOKUP($G37,請求Data!$E$11:$AR$160,請求Data!$AC$10-請求Data!$D$10,FALSE))</f>
        <v/>
      </c>
      <c r="X37" s="607" t="str">
        <f t="shared" si="11"/>
        <v/>
      </c>
      <c r="Y37" s="608" t="str">
        <f t="shared" si="12"/>
        <v/>
      </c>
    </row>
    <row r="38" spans="1:25">
      <c r="A38" s="103">
        <v>32</v>
      </c>
      <c r="B38" s="247" t="str">
        <f>IF(LEFT($G38,1)="1",IF($H37=$H38,MAX($B$6:$B37)+1,IF(MAX($B$6:$B37)&lt;=0,1,MAX($B$6:$B37)+3)),"")</f>
        <v/>
      </c>
      <c r="C38" s="247" t="str">
        <f>IF(LEFT($G38,1)="2",IF($H37=$H38,MAX($C$6:$C37)+1,IF(MAX($C$6:$C37)&lt;=0,1,MAX($C$6:$C37)+3)),"")</f>
        <v/>
      </c>
      <c r="D38" s="247" t="str">
        <f>IF(LEFT($G38,1)="3",IF($H37=$H38,MAX($D$6:$D37)+1,IF(MAX($D$6:$D37)&lt;=0,1,MAX($D$6:$D37)+3)),"")</f>
        <v/>
      </c>
      <c r="E38" s="247" t="str">
        <f>IF(LEFT($G38,1)="4",IF($H37=$H38,MAX($E$6:$E37)+1,IF(MAX($E$6:$E37)&lt;=0,1,MAX($E$6:$E37)+3)),"")</f>
        <v/>
      </c>
      <c r="F38" s="477" t="str">
        <f t="shared" si="0"/>
        <v/>
      </c>
      <c r="G38" s="409" t="str">
        <f>IF(ISERROR(SMALL(請求Data!$E$11:$E$160,$A38)),"",SMALL(請求Data!$E$11:$E$160,$A38))</f>
        <v/>
      </c>
      <c r="H38" s="606" t="str">
        <f>IF($G38="","",VLOOKUP($G38,請求Data!$E$11:$AR$160,4,FALSE))</f>
        <v/>
      </c>
      <c r="I38" s="606" t="str">
        <f>IF($G38="","",VLOOKUP($G38,請求Data!$E$11:$AR$160,5,FALSE))</f>
        <v/>
      </c>
      <c r="J38" s="609" t="str">
        <f>IF($G38="","",IF(VLOOKUP($G38,請求Data!$E$11:$AR$160,請求Data!$Y$10-請求Data!$D$10,FALSE)="",1,0))</f>
        <v/>
      </c>
      <c r="K38" s="609" t="str">
        <f>IF($G38="","",IF(VLOOKUP($G38,請求Data!$E$11:$AR$160,請求Data!$Z$10-請求Data!$D$10,FALSE)="*",1,0))</f>
        <v/>
      </c>
      <c r="L38" s="607" t="str">
        <f>IF($G38="","",VLOOKUP($G38,請求Data!$E$11:$AR$160,請求Data!$AP$10-請求Data!$D$10,FALSE))</f>
        <v/>
      </c>
      <c r="M38" s="607" t="str">
        <f t="shared" si="1"/>
        <v/>
      </c>
      <c r="N38" s="607" t="str">
        <f t="shared" si="2"/>
        <v/>
      </c>
      <c r="O38" s="606" t="str">
        <f t="shared" si="13"/>
        <v/>
      </c>
      <c r="P38" s="606" t="str">
        <f t="shared" si="14"/>
        <v/>
      </c>
      <c r="Q38" s="606" t="str">
        <f t="shared" si="15"/>
        <v/>
      </c>
      <c r="R38" s="606" t="str">
        <f t="shared" si="16"/>
        <v/>
      </c>
      <c r="S38" s="607" t="str">
        <f t="shared" si="17"/>
        <v/>
      </c>
      <c r="T38" s="607" t="str">
        <f t="shared" si="18"/>
        <v/>
      </c>
      <c r="U38" s="607" t="str">
        <f t="shared" si="9"/>
        <v/>
      </c>
      <c r="V38" s="162" t="str">
        <f t="shared" si="10"/>
        <v/>
      </c>
      <c r="W38" s="609" t="str">
        <f>IF($G38="","",VLOOKUP($G38,請求Data!$E$11:$AR$160,請求Data!$AC$10-請求Data!$D$10,FALSE))</f>
        <v/>
      </c>
      <c r="X38" s="607" t="str">
        <f t="shared" si="11"/>
        <v/>
      </c>
      <c r="Y38" s="608" t="str">
        <f t="shared" si="12"/>
        <v/>
      </c>
    </row>
    <row r="39" spans="1:25">
      <c r="A39" s="103">
        <v>33</v>
      </c>
      <c r="B39" s="247" t="str">
        <f>IF(LEFT($G39,1)="1",IF($H38=$H39,MAX($B$6:$B38)+1,IF(MAX($B$6:$B38)&lt;=0,1,MAX($B$6:$B38)+3)),"")</f>
        <v/>
      </c>
      <c r="C39" s="247" t="str">
        <f>IF(LEFT($G39,1)="2",IF($H38=$H39,MAX($C$6:$C38)+1,IF(MAX($C$6:$C38)&lt;=0,1,MAX($C$6:$C38)+3)),"")</f>
        <v/>
      </c>
      <c r="D39" s="247" t="str">
        <f>IF(LEFT($G39,1)="3",IF($H38=$H39,MAX($D$6:$D38)+1,IF(MAX($D$6:$D38)&lt;=0,1,MAX($D$6:$D38)+3)),"")</f>
        <v/>
      </c>
      <c r="E39" s="247" t="str">
        <f>IF(LEFT($G39,1)="4",IF($H38=$H39,MAX($E$6:$E38)+1,IF(MAX($E$6:$E38)&lt;=0,1,MAX($E$6:$E38)+3)),"")</f>
        <v/>
      </c>
      <c r="F39" s="477" t="str">
        <f t="shared" si="0"/>
        <v/>
      </c>
      <c r="G39" s="409" t="str">
        <f>IF(ISERROR(SMALL(請求Data!$E$11:$E$160,$A39)),"",SMALL(請求Data!$E$11:$E$160,$A39))</f>
        <v/>
      </c>
      <c r="H39" s="606" t="str">
        <f>IF($G39="","",VLOOKUP($G39,請求Data!$E$11:$AR$160,4,FALSE))</f>
        <v/>
      </c>
      <c r="I39" s="606" t="str">
        <f>IF($G39="","",VLOOKUP($G39,請求Data!$E$11:$AR$160,5,FALSE))</f>
        <v/>
      </c>
      <c r="J39" s="609" t="str">
        <f>IF($G39="","",IF(VLOOKUP($G39,請求Data!$E$11:$AR$160,請求Data!$Y$10-請求Data!$D$10,FALSE)="",1,0))</f>
        <v/>
      </c>
      <c r="K39" s="609" t="str">
        <f>IF($G39="","",IF(VLOOKUP($G39,請求Data!$E$11:$AR$160,請求Data!$Z$10-請求Data!$D$10,FALSE)="*",1,0))</f>
        <v/>
      </c>
      <c r="L39" s="607" t="str">
        <f>IF($G39="","",VLOOKUP($G39,請求Data!$E$11:$AR$160,請求Data!$AP$10-請求Data!$D$10,FALSE))</f>
        <v/>
      </c>
      <c r="M39" s="607" t="str">
        <f t="shared" si="1"/>
        <v/>
      </c>
      <c r="N39" s="607" t="str">
        <f t="shared" si="2"/>
        <v/>
      </c>
      <c r="O39" s="606" t="str">
        <f t="shared" si="13"/>
        <v/>
      </c>
      <c r="P39" s="606" t="str">
        <f t="shared" si="14"/>
        <v/>
      </c>
      <c r="Q39" s="606" t="str">
        <f t="shared" si="15"/>
        <v/>
      </c>
      <c r="R39" s="606" t="str">
        <f t="shared" si="16"/>
        <v/>
      </c>
      <c r="S39" s="607" t="str">
        <f t="shared" si="17"/>
        <v/>
      </c>
      <c r="T39" s="607" t="str">
        <f t="shared" si="18"/>
        <v/>
      </c>
      <c r="U39" s="607" t="str">
        <f t="shared" si="9"/>
        <v/>
      </c>
      <c r="V39" s="162" t="str">
        <f t="shared" si="10"/>
        <v/>
      </c>
      <c r="W39" s="609" t="str">
        <f>IF($G39="","",VLOOKUP($G39,請求Data!$E$11:$AR$160,請求Data!$AC$10-請求Data!$D$10,FALSE))</f>
        <v/>
      </c>
      <c r="X39" s="607" t="str">
        <f t="shared" si="11"/>
        <v/>
      </c>
      <c r="Y39" s="608" t="str">
        <f t="shared" si="12"/>
        <v/>
      </c>
    </row>
    <row r="40" spans="1:25">
      <c r="A40" s="103">
        <v>34</v>
      </c>
      <c r="B40" s="247" t="str">
        <f>IF(LEFT($G40,1)="1",IF($H39=$H40,MAX($B$6:$B39)+1,IF(MAX($B$6:$B39)&lt;=0,1,MAX($B$6:$B39)+3)),"")</f>
        <v/>
      </c>
      <c r="C40" s="247" t="str">
        <f>IF(LEFT($G40,1)="2",IF($H39=$H40,MAX($C$6:$C39)+1,IF(MAX($C$6:$C39)&lt;=0,1,MAX($C$6:$C39)+3)),"")</f>
        <v/>
      </c>
      <c r="D40" s="247" t="str">
        <f>IF(LEFT($G40,1)="3",IF($H39=$H40,MAX($D$6:$D39)+1,IF(MAX($D$6:$D39)&lt;=0,1,MAX($D$6:$D39)+3)),"")</f>
        <v/>
      </c>
      <c r="E40" s="247" t="str">
        <f>IF(LEFT($G40,1)="4",IF($H39=$H40,MAX($E$6:$E39)+1,IF(MAX($E$6:$E39)&lt;=0,1,MAX($E$6:$E39)+3)),"")</f>
        <v/>
      </c>
      <c r="F40" s="477" t="str">
        <f t="shared" si="0"/>
        <v/>
      </c>
      <c r="G40" s="409" t="str">
        <f>IF(ISERROR(SMALL(請求Data!$E$11:$E$160,$A40)),"",SMALL(請求Data!$E$11:$E$160,$A40))</f>
        <v/>
      </c>
      <c r="H40" s="606" t="str">
        <f>IF($G40="","",VLOOKUP($G40,請求Data!$E$11:$AR$160,4,FALSE))</f>
        <v/>
      </c>
      <c r="I40" s="606" t="str">
        <f>IF($G40="","",VLOOKUP($G40,請求Data!$E$11:$AR$160,5,FALSE))</f>
        <v/>
      </c>
      <c r="J40" s="609" t="str">
        <f>IF($G40="","",IF(VLOOKUP($G40,請求Data!$E$11:$AR$160,請求Data!$Y$10-請求Data!$D$10,FALSE)="",1,0))</f>
        <v/>
      </c>
      <c r="K40" s="609" t="str">
        <f>IF($G40="","",IF(VLOOKUP($G40,請求Data!$E$11:$AR$160,請求Data!$Z$10-請求Data!$D$10,FALSE)="*",1,0))</f>
        <v/>
      </c>
      <c r="L40" s="607" t="str">
        <f>IF($G40="","",VLOOKUP($G40,請求Data!$E$11:$AR$160,請求Data!$AP$10-請求Data!$D$10,FALSE))</f>
        <v/>
      </c>
      <c r="M40" s="607" t="str">
        <f t="shared" si="1"/>
        <v/>
      </c>
      <c r="N40" s="607" t="str">
        <f t="shared" si="2"/>
        <v/>
      </c>
      <c r="O40" s="606" t="str">
        <f t="shared" si="13"/>
        <v/>
      </c>
      <c r="P40" s="606" t="str">
        <f t="shared" si="14"/>
        <v/>
      </c>
      <c r="Q40" s="606" t="str">
        <f t="shared" si="15"/>
        <v/>
      </c>
      <c r="R40" s="606" t="str">
        <f t="shared" si="16"/>
        <v/>
      </c>
      <c r="S40" s="607" t="str">
        <f t="shared" si="17"/>
        <v/>
      </c>
      <c r="T40" s="607" t="str">
        <f t="shared" si="18"/>
        <v/>
      </c>
      <c r="U40" s="607" t="str">
        <f t="shared" si="9"/>
        <v/>
      </c>
      <c r="V40" s="162" t="str">
        <f t="shared" si="10"/>
        <v/>
      </c>
      <c r="W40" s="609" t="str">
        <f>IF($G40="","",VLOOKUP($G40,請求Data!$E$11:$AR$160,請求Data!$AC$10-請求Data!$D$10,FALSE))</f>
        <v/>
      </c>
      <c r="X40" s="607" t="str">
        <f t="shared" si="11"/>
        <v/>
      </c>
      <c r="Y40" s="608" t="str">
        <f t="shared" si="12"/>
        <v/>
      </c>
    </row>
    <row r="41" spans="1:25">
      <c r="A41" s="103">
        <v>35</v>
      </c>
      <c r="B41" s="247" t="str">
        <f>IF(LEFT($G41,1)="1",IF($H40=$H41,MAX($B$6:$B40)+1,IF(MAX($B$6:$B40)&lt;=0,1,MAX($B$6:$B40)+3)),"")</f>
        <v/>
      </c>
      <c r="C41" s="247" t="str">
        <f>IF(LEFT($G41,1)="2",IF($H40=$H41,MAX($C$6:$C40)+1,IF(MAX($C$6:$C40)&lt;=0,1,MAX($C$6:$C40)+3)),"")</f>
        <v/>
      </c>
      <c r="D41" s="247" t="str">
        <f>IF(LEFT($G41,1)="3",IF($H40=$H41,MAX($D$6:$D40)+1,IF(MAX($D$6:$D40)&lt;=0,1,MAX($D$6:$D40)+3)),"")</f>
        <v/>
      </c>
      <c r="E41" s="247" t="str">
        <f>IF(LEFT($G41,1)="4",IF($H40=$H41,MAX($E$6:$E40)+1,IF(MAX($E$6:$E40)&lt;=0,1,MAX($E$6:$E40)+3)),"")</f>
        <v/>
      </c>
      <c r="F41" s="477" t="str">
        <f t="shared" si="0"/>
        <v/>
      </c>
      <c r="G41" s="409" t="str">
        <f>IF(ISERROR(SMALL(請求Data!$E$11:$E$160,$A41)),"",SMALL(請求Data!$E$11:$E$160,$A41))</f>
        <v/>
      </c>
      <c r="H41" s="606" t="str">
        <f>IF($G41="","",VLOOKUP($G41,請求Data!$E$11:$AR$160,4,FALSE))</f>
        <v/>
      </c>
      <c r="I41" s="606" t="str">
        <f>IF($G41="","",VLOOKUP($G41,請求Data!$E$11:$AR$160,5,FALSE))</f>
        <v/>
      </c>
      <c r="J41" s="609" t="str">
        <f>IF($G41="","",IF(VLOOKUP($G41,請求Data!$E$11:$AR$160,請求Data!$Y$10-請求Data!$D$10,FALSE)="",1,0))</f>
        <v/>
      </c>
      <c r="K41" s="609" t="str">
        <f>IF($G41="","",IF(VLOOKUP($G41,請求Data!$E$11:$AR$160,請求Data!$Z$10-請求Data!$D$10,FALSE)="*",1,0))</f>
        <v/>
      </c>
      <c r="L41" s="607" t="str">
        <f>IF($G41="","",VLOOKUP($G41,請求Data!$E$11:$AR$160,請求Data!$AP$10-請求Data!$D$10,FALSE))</f>
        <v/>
      </c>
      <c r="M41" s="607" t="str">
        <f t="shared" si="1"/>
        <v/>
      </c>
      <c r="N41" s="607" t="str">
        <f t="shared" si="2"/>
        <v/>
      </c>
      <c r="O41" s="606" t="str">
        <f t="shared" si="13"/>
        <v/>
      </c>
      <c r="P41" s="606" t="str">
        <f t="shared" si="14"/>
        <v/>
      </c>
      <c r="Q41" s="606" t="str">
        <f t="shared" si="15"/>
        <v/>
      </c>
      <c r="R41" s="606" t="str">
        <f t="shared" si="16"/>
        <v/>
      </c>
      <c r="S41" s="607" t="str">
        <f t="shared" si="17"/>
        <v/>
      </c>
      <c r="T41" s="607" t="str">
        <f t="shared" si="18"/>
        <v/>
      </c>
      <c r="U41" s="607" t="str">
        <f t="shared" si="9"/>
        <v/>
      </c>
      <c r="V41" s="162" t="str">
        <f t="shared" si="10"/>
        <v/>
      </c>
      <c r="W41" s="609" t="str">
        <f>IF($G41="","",VLOOKUP($G41,請求Data!$E$11:$AR$160,請求Data!$AC$10-請求Data!$D$10,FALSE))</f>
        <v/>
      </c>
      <c r="X41" s="607" t="str">
        <f t="shared" si="11"/>
        <v/>
      </c>
      <c r="Y41" s="608" t="str">
        <f t="shared" si="12"/>
        <v/>
      </c>
    </row>
    <row r="42" spans="1:25">
      <c r="A42" s="103">
        <v>36</v>
      </c>
      <c r="B42" s="247" t="str">
        <f>IF(LEFT($G42,1)="1",IF($H41=$H42,MAX($B$6:$B41)+1,IF(MAX($B$6:$B41)&lt;=0,1,MAX($B$6:$B41)+3)),"")</f>
        <v/>
      </c>
      <c r="C42" s="247" t="str">
        <f>IF(LEFT($G42,1)="2",IF($H41=$H42,MAX($C$6:$C41)+1,IF(MAX($C$6:$C41)&lt;=0,1,MAX($C$6:$C41)+3)),"")</f>
        <v/>
      </c>
      <c r="D42" s="247" t="str">
        <f>IF(LEFT($G42,1)="3",IF($H41=$H42,MAX($D$6:$D41)+1,IF(MAX($D$6:$D41)&lt;=0,1,MAX($D$6:$D41)+3)),"")</f>
        <v/>
      </c>
      <c r="E42" s="247" t="str">
        <f>IF(LEFT($G42,1)="4",IF($H41=$H42,MAX($E$6:$E41)+1,IF(MAX($E$6:$E41)&lt;=0,1,MAX($E$6:$E41)+3)),"")</f>
        <v/>
      </c>
      <c r="F42" s="477" t="str">
        <f t="shared" si="0"/>
        <v/>
      </c>
      <c r="G42" s="409" t="str">
        <f>IF(ISERROR(SMALL(請求Data!$E$11:$E$160,$A42)),"",SMALL(請求Data!$E$11:$E$160,$A42))</f>
        <v/>
      </c>
      <c r="H42" s="606" t="str">
        <f>IF($G42="","",VLOOKUP($G42,請求Data!$E$11:$AR$160,4,FALSE))</f>
        <v/>
      </c>
      <c r="I42" s="606" t="str">
        <f>IF($G42="","",VLOOKUP($G42,請求Data!$E$11:$AR$160,5,FALSE))</f>
        <v/>
      </c>
      <c r="J42" s="609" t="str">
        <f>IF($G42="","",IF(VLOOKUP($G42,請求Data!$E$11:$AR$160,請求Data!$Y$10-請求Data!$D$10,FALSE)="",1,0))</f>
        <v/>
      </c>
      <c r="K42" s="609" t="str">
        <f>IF($G42="","",IF(VLOOKUP($G42,請求Data!$E$11:$AR$160,請求Data!$Z$10-請求Data!$D$10,FALSE)="*",1,0))</f>
        <v/>
      </c>
      <c r="L42" s="607" t="str">
        <f>IF($G42="","",VLOOKUP($G42,請求Data!$E$11:$AR$160,請求Data!$AP$10-請求Data!$D$10,FALSE))</f>
        <v/>
      </c>
      <c r="M42" s="607" t="str">
        <f t="shared" si="1"/>
        <v/>
      </c>
      <c r="N42" s="607" t="str">
        <f t="shared" si="2"/>
        <v/>
      </c>
      <c r="O42" s="606" t="str">
        <f t="shared" si="13"/>
        <v/>
      </c>
      <c r="P42" s="606" t="str">
        <f t="shared" si="14"/>
        <v/>
      </c>
      <c r="Q42" s="606" t="str">
        <f t="shared" si="15"/>
        <v/>
      </c>
      <c r="R42" s="606" t="str">
        <f t="shared" si="16"/>
        <v/>
      </c>
      <c r="S42" s="607" t="str">
        <f t="shared" si="17"/>
        <v/>
      </c>
      <c r="T42" s="607" t="str">
        <f t="shared" si="18"/>
        <v/>
      </c>
      <c r="U42" s="607" t="str">
        <f t="shared" si="9"/>
        <v/>
      </c>
      <c r="V42" s="162" t="str">
        <f t="shared" si="10"/>
        <v/>
      </c>
      <c r="W42" s="609" t="str">
        <f>IF($G42="","",VLOOKUP($G42,請求Data!$E$11:$AR$160,請求Data!$AC$10-請求Data!$D$10,FALSE))</f>
        <v/>
      </c>
      <c r="X42" s="607" t="str">
        <f t="shared" si="11"/>
        <v/>
      </c>
      <c r="Y42" s="608" t="str">
        <f t="shared" si="12"/>
        <v/>
      </c>
    </row>
    <row r="43" spans="1:25">
      <c r="A43" s="103">
        <v>37</v>
      </c>
      <c r="B43" s="247" t="str">
        <f>IF(LEFT($G43,1)="1",IF($H42=$H43,MAX($B$6:$B42)+1,IF(MAX($B$6:$B42)&lt;=0,1,MAX($B$6:$B42)+3)),"")</f>
        <v/>
      </c>
      <c r="C43" s="247" t="str">
        <f>IF(LEFT($G43,1)="2",IF($H42=$H43,MAX($C$6:$C42)+1,IF(MAX($C$6:$C42)&lt;=0,1,MAX($C$6:$C42)+3)),"")</f>
        <v/>
      </c>
      <c r="D43" s="247" t="str">
        <f>IF(LEFT($G43,1)="3",IF($H42=$H43,MAX($D$6:$D42)+1,IF(MAX($D$6:$D42)&lt;=0,1,MAX($D$6:$D42)+3)),"")</f>
        <v/>
      </c>
      <c r="E43" s="247" t="str">
        <f>IF(LEFT($G43,1)="4",IF($H42=$H43,MAX($E$6:$E42)+1,IF(MAX($E$6:$E42)&lt;=0,1,MAX($E$6:$E42)+3)),"")</f>
        <v/>
      </c>
      <c r="F43" s="477" t="str">
        <f t="shared" si="0"/>
        <v/>
      </c>
      <c r="G43" s="409" t="str">
        <f>IF(ISERROR(SMALL(請求Data!$E$11:$E$160,$A43)),"",SMALL(請求Data!$E$11:$E$160,$A43))</f>
        <v/>
      </c>
      <c r="H43" s="606" t="str">
        <f>IF($G43="","",VLOOKUP($G43,請求Data!$E$11:$AR$160,4,FALSE))</f>
        <v/>
      </c>
      <c r="I43" s="606" t="str">
        <f>IF($G43="","",VLOOKUP($G43,請求Data!$E$11:$AR$160,5,FALSE))</f>
        <v/>
      </c>
      <c r="J43" s="609" t="str">
        <f>IF($G43="","",IF(VLOOKUP($G43,請求Data!$E$11:$AR$160,請求Data!$Y$10-請求Data!$D$10,FALSE)="",1,0))</f>
        <v/>
      </c>
      <c r="K43" s="609" t="str">
        <f>IF($G43="","",IF(VLOOKUP($G43,請求Data!$E$11:$AR$160,請求Data!$Z$10-請求Data!$D$10,FALSE)="*",1,0))</f>
        <v/>
      </c>
      <c r="L43" s="607" t="str">
        <f>IF($G43="","",VLOOKUP($G43,請求Data!$E$11:$AR$160,請求Data!$AP$10-請求Data!$D$10,FALSE))</f>
        <v/>
      </c>
      <c r="M43" s="607" t="str">
        <f t="shared" si="1"/>
        <v/>
      </c>
      <c r="N43" s="607" t="str">
        <f t="shared" si="2"/>
        <v/>
      </c>
      <c r="O43" s="606" t="str">
        <f t="shared" si="13"/>
        <v/>
      </c>
      <c r="P43" s="606" t="str">
        <f t="shared" si="14"/>
        <v/>
      </c>
      <c r="Q43" s="606" t="str">
        <f t="shared" si="15"/>
        <v/>
      </c>
      <c r="R43" s="606" t="str">
        <f t="shared" si="16"/>
        <v/>
      </c>
      <c r="S43" s="607" t="str">
        <f t="shared" si="17"/>
        <v/>
      </c>
      <c r="T43" s="607" t="str">
        <f t="shared" si="18"/>
        <v/>
      </c>
      <c r="U43" s="607" t="str">
        <f t="shared" si="9"/>
        <v/>
      </c>
      <c r="V43" s="162" t="str">
        <f t="shared" si="10"/>
        <v/>
      </c>
      <c r="W43" s="609" t="str">
        <f>IF($G43="","",VLOOKUP($G43,請求Data!$E$11:$AR$160,請求Data!$AC$10-請求Data!$D$10,FALSE))</f>
        <v/>
      </c>
      <c r="X43" s="607" t="str">
        <f t="shared" si="11"/>
        <v/>
      </c>
      <c r="Y43" s="608" t="str">
        <f t="shared" si="12"/>
        <v/>
      </c>
    </row>
    <row r="44" spans="1:25">
      <c r="A44" s="103">
        <v>38</v>
      </c>
      <c r="B44" s="247" t="str">
        <f>IF(LEFT($G44,1)="1",IF($H43=$H44,MAX($B$6:$B43)+1,IF(MAX($B$6:$B43)&lt;=0,1,MAX($B$6:$B43)+3)),"")</f>
        <v/>
      </c>
      <c r="C44" s="247" t="str">
        <f>IF(LEFT($G44,1)="2",IF($H43=$H44,MAX($C$6:$C43)+1,IF(MAX($C$6:$C43)&lt;=0,1,MAX($C$6:$C43)+3)),"")</f>
        <v/>
      </c>
      <c r="D44" s="247" t="str">
        <f>IF(LEFT($G44,1)="3",IF($H43=$H44,MAX($D$6:$D43)+1,IF(MAX($D$6:$D43)&lt;=0,1,MAX($D$6:$D43)+3)),"")</f>
        <v/>
      </c>
      <c r="E44" s="247" t="str">
        <f>IF(LEFT($G44,1)="4",IF($H43=$H44,MAX($E$6:$E43)+1,IF(MAX($E$6:$E43)&lt;=0,1,MAX($E$6:$E43)+3)),"")</f>
        <v/>
      </c>
      <c r="F44" s="477" t="str">
        <f t="shared" si="0"/>
        <v/>
      </c>
      <c r="G44" s="409" t="str">
        <f>IF(ISERROR(SMALL(請求Data!$E$11:$E$160,$A44)),"",SMALL(請求Data!$E$11:$E$160,$A44))</f>
        <v/>
      </c>
      <c r="H44" s="606" t="str">
        <f>IF($G44="","",VLOOKUP($G44,請求Data!$E$11:$AR$160,4,FALSE))</f>
        <v/>
      </c>
      <c r="I44" s="606" t="str">
        <f>IF($G44="","",VLOOKUP($G44,請求Data!$E$11:$AR$160,5,FALSE))</f>
        <v/>
      </c>
      <c r="J44" s="609" t="str">
        <f>IF($G44="","",IF(VLOOKUP($G44,請求Data!$E$11:$AR$160,請求Data!$Y$10-請求Data!$D$10,FALSE)="",1,0))</f>
        <v/>
      </c>
      <c r="K44" s="609" t="str">
        <f>IF($G44="","",IF(VLOOKUP($G44,請求Data!$E$11:$AR$160,請求Data!$Z$10-請求Data!$D$10,FALSE)="*",1,0))</f>
        <v/>
      </c>
      <c r="L44" s="607" t="str">
        <f>IF($G44="","",VLOOKUP($G44,請求Data!$E$11:$AR$160,請求Data!$AP$10-請求Data!$D$10,FALSE))</f>
        <v/>
      </c>
      <c r="M44" s="607" t="str">
        <f t="shared" si="1"/>
        <v/>
      </c>
      <c r="N44" s="607" t="str">
        <f t="shared" si="2"/>
        <v/>
      </c>
      <c r="O44" s="606" t="str">
        <f t="shared" si="13"/>
        <v/>
      </c>
      <c r="P44" s="606" t="str">
        <f t="shared" si="14"/>
        <v/>
      </c>
      <c r="Q44" s="606" t="str">
        <f t="shared" si="15"/>
        <v/>
      </c>
      <c r="R44" s="606" t="str">
        <f t="shared" si="16"/>
        <v/>
      </c>
      <c r="S44" s="607" t="str">
        <f t="shared" si="17"/>
        <v/>
      </c>
      <c r="T44" s="607" t="str">
        <f t="shared" si="18"/>
        <v/>
      </c>
      <c r="U44" s="607" t="str">
        <f t="shared" si="9"/>
        <v/>
      </c>
      <c r="V44" s="162" t="str">
        <f t="shared" si="10"/>
        <v/>
      </c>
      <c r="W44" s="609" t="str">
        <f>IF($G44="","",VLOOKUP($G44,請求Data!$E$11:$AR$160,請求Data!$AC$10-請求Data!$D$10,FALSE))</f>
        <v/>
      </c>
      <c r="X44" s="607" t="str">
        <f t="shared" si="11"/>
        <v/>
      </c>
      <c r="Y44" s="608" t="str">
        <f t="shared" si="12"/>
        <v/>
      </c>
    </row>
    <row r="45" spans="1:25">
      <c r="A45" s="103">
        <v>39</v>
      </c>
      <c r="B45" s="247" t="str">
        <f>IF(LEFT($G45,1)="1",IF($H44=$H45,MAX($B$6:$B44)+1,IF(MAX($B$6:$B44)&lt;=0,1,MAX($B$6:$B44)+3)),"")</f>
        <v/>
      </c>
      <c r="C45" s="247" t="str">
        <f>IF(LEFT($G45,1)="2",IF($H44=$H45,MAX($C$6:$C44)+1,IF(MAX($C$6:$C44)&lt;=0,1,MAX($C$6:$C44)+3)),"")</f>
        <v/>
      </c>
      <c r="D45" s="247" t="str">
        <f>IF(LEFT($G45,1)="3",IF($H44=$H45,MAX($D$6:$D44)+1,IF(MAX($D$6:$D44)&lt;=0,1,MAX($D$6:$D44)+3)),"")</f>
        <v/>
      </c>
      <c r="E45" s="247" t="str">
        <f>IF(LEFT($G45,1)="4",IF($H44=$H45,MAX($E$6:$E44)+1,IF(MAX($E$6:$E44)&lt;=0,1,MAX($E$6:$E44)+3)),"")</f>
        <v/>
      </c>
      <c r="F45" s="477" t="str">
        <f t="shared" si="0"/>
        <v/>
      </c>
      <c r="G45" s="409" t="str">
        <f>IF(ISERROR(SMALL(請求Data!$E$11:$E$160,$A45)),"",SMALL(請求Data!$E$11:$E$160,$A45))</f>
        <v/>
      </c>
      <c r="H45" s="606" t="str">
        <f>IF($G45="","",VLOOKUP($G45,請求Data!$E$11:$AR$160,4,FALSE))</f>
        <v/>
      </c>
      <c r="I45" s="606" t="str">
        <f>IF($G45="","",VLOOKUP($G45,請求Data!$E$11:$AR$160,5,FALSE))</f>
        <v/>
      </c>
      <c r="J45" s="609" t="str">
        <f>IF($G45="","",IF(VLOOKUP($G45,請求Data!$E$11:$AR$160,請求Data!$Y$10-請求Data!$D$10,FALSE)="",1,0))</f>
        <v/>
      </c>
      <c r="K45" s="609" t="str">
        <f>IF($G45="","",IF(VLOOKUP($G45,請求Data!$E$11:$AR$160,請求Data!$Z$10-請求Data!$D$10,FALSE)="*",1,0))</f>
        <v/>
      </c>
      <c r="L45" s="607" t="str">
        <f>IF($G45="","",VLOOKUP($G45,請求Data!$E$11:$AR$160,請求Data!$AP$10-請求Data!$D$10,FALSE))</f>
        <v/>
      </c>
      <c r="M45" s="607" t="str">
        <f t="shared" si="1"/>
        <v/>
      </c>
      <c r="N45" s="607" t="str">
        <f t="shared" si="2"/>
        <v/>
      </c>
      <c r="O45" s="606" t="str">
        <f t="shared" si="13"/>
        <v/>
      </c>
      <c r="P45" s="606" t="str">
        <f t="shared" si="14"/>
        <v/>
      </c>
      <c r="Q45" s="606" t="str">
        <f t="shared" si="15"/>
        <v/>
      </c>
      <c r="R45" s="606" t="str">
        <f t="shared" si="16"/>
        <v/>
      </c>
      <c r="S45" s="607" t="str">
        <f t="shared" si="17"/>
        <v/>
      </c>
      <c r="T45" s="607" t="str">
        <f t="shared" si="18"/>
        <v/>
      </c>
      <c r="U45" s="607" t="str">
        <f t="shared" si="9"/>
        <v/>
      </c>
      <c r="V45" s="162" t="str">
        <f t="shared" si="10"/>
        <v/>
      </c>
      <c r="W45" s="609" t="str">
        <f>IF($G45="","",VLOOKUP($G45,請求Data!$E$11:$AR$160,請求Data!$AC$10-請求Data!$D$10,FALSE))</f>
        <v/>
      </c>
      <c r="X45" s="607" t="str">
        <f t="shared" si="11"/>
        <v/>
      </c>
      <c r="Y45" s="608" t="str">
        <f t="shared" si="12"/>
        <v/>
      </c>
    </row>
    <row r="46" spans="1:25">
      <c r="A46" s="103">
        <v>40</v>
      </c>
      <c r="B46" s="247" t="str">
        <f>IF(LEFT($G46,1)="1",IF($H45=$H46,MAX($B$6:$B45)+1,IF(MAX($B$6:$B45)&lt;=0,1,MAX($B$6:$B45)+3)),"")</f>
        <v/>
      </c>
      <c r="C46" s="247" t="str">
        <f>IF(LEFT($G46,1)="2",IF($H45=$H46,MAX($C$6:$C45)+1,IF(MAX($C$6:$C45)&lt;=0,1,MAX($C$6:$C45)+3)),"")</f>
        <v/>
      </c>
      <c r="D46" s="247" t="str">
        <f>IF(LEFT($G46,1)="3",IF($H45=$H46,MAX($D$6:$D45)+1,IF(MAX($D$6:$D45)&lt;=0,1,MAX($D$6:$D45)+3)),"")</f>
        <v/>
      </c>
      <c r="E46" s="247" t="str">
        <f>IF(LEFT($G46,1)="4",IF($H45=$H46,MAX($E$6:$E45)+1,IF(MAX($E$6:$E45)&lt;=0,1,MAX($E$6:$E45)+3)),"")</f>
        <v/>
      </c>
      <c r="F46" s="477" t="str">
        <f t="shared" si="0"/>
        <v/>
      </c>
      <c r="G46" s="409" t="str">
        <f>IF(ISERROR(SMALL(請求Data!$E$11:$E$160,$A46)),"",SMALL(請求Data!$E$11:$E$160,$A46))</f>
        <v/>
      </c>
      <c r="H46" s="606" t="str">
        <f>IF($G46="","",VLOOKUP($G46,請求Data!$E$11:$AR$160,4,FALSE))</f>
        <v/>
      </c>
      <c r="I46" s="606" t="str">
        <f>IF($G46="","",VLOOKUP($G46,請求Data!$E$11:$AR$160,5,FALSE))</f>
        <v/>
      </c>
      <c r="J46" s="609" t="str">
        <f>IF($G46="","",IF(VLOOKUP($G46,請求Data!$E$11:$AR$160,請求Data!$Y$10-請求Data!$D$10,FALSE)="",1,0))</f>
        <v/>
      </c>
      <c r="K46" s="609" t="str">
        <f>IF($G46="","",IF(VLOOKUP($G46,請求Data!$E$11:$AR$160,請求Data!$Z$10-請求Data!$D$10,FALSE)="*",1,0))</f>
        <v/>
      </c>
      <c r="L46" s="607" t="str">
        <f>IF($G46="","",VLOOKUP($G46,請求Data!$E$11:$AR$160,請求Data!$AP$10-請求Data!$D$10,FALSE))</f>
        <v/>
      </c>
      <c r="M46" s="607" t="str">
        <f t="shared" si="1"/>
        <v/>
      </c>
      <c r="N46" s="607" t="str">
        <f t="shared" si="2"/>
        <v/>
      </c>
      <c r="O46" s="606" t="str">
        <f t="shared" si="13"/>
        <v/>
      </c>
      <c r="P46" s="606" t="str">
        <f t="shared" si="14"/>
        <v/>
      </c>
      <c r="Q46" s="606" t="str">
        <f t="shared" si="15"/>
        <v/>
      </c>
      <c r="R46" s="606" t="str">
        <f t="shared" si="16"/>
        <v/>
      </c>
      <c r="S46" s="607" t="str">
        <f t="shared" si="17"/>
        <v/>
      </c>
      <c r="T46" s="607" t="str">
        <f t="shared" si="18"/>
        <v/>
      </c>
      <c r="U46" s="607" t="str">
        <f t="shared" si="9"/>
        <v/>
      </c>
      <c r="V46" s="162" t="str">
        <f t="shared" si="10"/>
        <v/>
      </c>
      <c r="W46" s="609" t="str">
        <f>IF($G46="","",VLOOKUP($G46,請求Data!$E$11:$AR$160,請求Data!$AC$10-請求Data!$D$10,FALSE))</f>
        <v/>
      </c>
      <c r="X46" s="607" t="str">
        <f t="shared" si="11"/>
        <v/>
      </c>
      <c r="Y46" s="608" t="str">
        <f t="shared" si="12"/>
        <v/>
      </c>
    </row>
    <row r="47" spans="1:25">
      <c r="A47" s="103">
        <v>41</v>
      </c>
      <c r="B47" s="247" t="str">
        <f>IF(LEFT($G47,1)="1",IF($H46=$H47,MAX($B$6:$B46)+1,IF(MAX($B$6:$B46)&lt;=0,1,MAX($B$6:$B46)+3)),"")</f>
        <v/>
      </c>
      <c r="C47" s="247" t="str">
        <f>IF(LEFT($G47,1)="2",IF($H46=$H47,MAX($C$6:$C46)+1,IF(MAX($C$6:$C46)&lt;=0,1,MAX($C$6:$C46)+3)),"")</f>
        <v/>
      </c>
      <c r="D47" s="247" t="str">
        <f>IF(LEFT($G47,1)="3",IF($H46=$H47,MAX($D$6:$D46)+1,IF(MAX($D$6:$D46)&lt;=0,1,MAX($D$6:$D46)+3)),"")</f>
        <v/>
      </c>
      <c r="E47" s="247" t="str">
        <f>IF(LEFT($G47,1)="4",IF($H46=$H47,MAX($E$6:$E46)+1,IF(MAX($E$6:$E46)&lt;=0,1,MAX($E$6:$E46)+3)),"")</f>
        <v/>
      </c>
      <c r="F47" s="477" t="str">
        <f t="shared" si="0"/>
        <v/>
      </c>
      <c r="G47" s="409" t="str">
        <f>IF(ISERROR(SMALL(請求Data!$E$11:$E$160,$A47)),"",SMALL(請求Data!$E$11:$E$160,$A47))</f>
        <v/>
      </c>
      <c r="H47" s="606" t="str">
        <f>IF($G47="","",VLOOKUP($G47,請求Data!$E$11:$AR$160,4,FALSE))</f>
        <v/>
      </c>
      <c r="I47" s="606" t="str">
        <f>IF($G47="","",VLOOKUP($G47,請求Data!$E$11:$AR$160,5,FALSE))</f>
        <v/>
      </c>
      <c r="J47" s="609" t="str">
        <f>IF($G47="","",IF(VLOOKUP($G47,請求Data!$E$11:$AR$160,請求Data!$Y$10-請求Data!$D$10,FALSE)="",1,0))</f>
        <v/>
      </c>
      <c r="K47" s="609" t="str">
        <f>IF($G47="","",IF(VLOOKUP($G47,請求Data!$E$11:$AR$160,請求Data!$Z$10-請求Data!$D$10,FALSE)="*",1,0))</f>
        <v/>
      </c>
      <c r="L47" s="607" t="str">
        <f>IF($G47="","",VLOOKUP($G47,請求Data!$E$11:$AR$160,請求Data!$AP$10-請求Data!$D$10,FALSE))</f>
        <v/>
      </c>
      <c r="M47" s="607" t="str">
        <f t="shared" si="1"/>
        <v/>
      </c>
      <c r="N47" s="607" t="str">
        <f t="shared" si="2"/>
        <v/>
      </c>
      <c r="O47" s="606" t="str">
        <f t="shared" si="13"/>
        <v/>
      </c>
      <c r="P47" s="606" t="str">
        <f t="shared" si="14"/>
        <v/>
      </c>
      <c r="Q47" s="606" t="str">
        <f t="shared" si="15"/>
        <v/>
      </c>
      <c r="R47" s="606" t="str">
        <f t="shared" si="16"/>
        <v/>
      </c>
      <c r="S47" s="607" t="str">
        <f t="shared" si="17"/>
        <v/>
      </c>
      <c r="T47" s="607" t="str">
        <f t="shared" si="18"/>
        <v/>
      </c>
      <c r="U47" s="607" t="str">
        <f t="shared" si="9"/>
        <v/>
      </c>
      <c r="V47" s="162" t="str">
        <f t="shared" si="10"/>
        <v/>
      </c>
      <c r="W47" s="609" t="str">
        <f>IF($G47="","",VLOOKUP($G47,請求Data!$E$11:$AR$160,請求Data!$AC$10-請求Data!$D$10,FALSE))</f>
        <v/>
      </c>
      <c r="X47" s="607" t="str">
        <f t="shared" si="11"/>
        <v/>
      </c>
      <c r="Y47" s="608" t="str">
        <f t="shared" si="12"/>
        <v/>
      </c>
    </row>
    <row r="48" spans="1:25">
      <c r="A48" s="103">
        <v>42</v>
      </c>
      <c r="B48" s="247" t="str">
        <f>IF(LEFT($G48,1)="1",IF($H47=$H48,MAX($B$6:$B47)+1,IF(MAX($B$6:$B47)&lt;=0,1,MAX($B$6:$B47)+3)),"")</f>
        <v/>
      </c>
      <c r="C48" s="247" t="str">
        <f>IF(LEFT($G48,1)="2",IF($H47=$H48,MAX($C$6:$C47)+1,IF(MAX($C$6:$C47)&lt;=0,1,MAX($C$6:$C47)+3)),"")</f>
        <v/>
      </c>
      <c r="D48" s="247" t="str">
        <f>IF(LEFT($G48,1)="3",IF($H47=$H48,MAX($D$6:$D47)+1,IF(MAX($D$6:$D47)&lt;=0,1,MAX($D$6:$D47)+3)),"")</f>
        <v/>
      </c>
      <c r="E48" s="247" t="str">
        <f>IF(LEFT($G48,1)="4",IF($H47=$H48,MAX($E$6:$E47)+1,IF(MAX($E$6:$E47)&lt;=0,1,MAX($E$6:$E47)+3)),"")</f>
        <v/>
      </c>
      <c r="F48" s="477" t="str">
        <f t="shared" si="0"/>
        <v/>
      </c>
      <c r="G48" s="409" t="str">
        <f>IF(ISERROR(SMALL(請求Data!$E$11:$E$160,$A48)),"",SMALL(請求Data!$E$11:$E$160,$A48))</f>
        <v/>
      </c>
      <c r="H48" s="606" t="str">
        <f>IF($G48="","",VLOOKUP($G48,請求Data!$E$11:$AR$160,4,FALSE))</f>
        <v/>
      </c>
      <c r="I48" s="606" t="str">
        <f>IF($G48="","",VLOOKUP($G48,請求Data!$E$11:$AR$160,5,FALSE))</f>
        <v/>
      </c>
      <c r="J48" s="609" t="str">
        <f>IF($G48="","",IF(VLOOKUP($G48,請求Data!$E$11:$AR$160,請求Data!$Y$10-請求Data!$D$10,FALSE)="",1,0))</f>
        <v/>
      </c>
      <c r="K48" s="609" t="str">
        <f>IF($G48="","",IF(VLOOKUP($G48,請求Data!$E$11:$AR$160,請求Data!$Z$10-請求Data!$D$10,FALSE)="*",1,0))</f>
        <v/>
      </c>
      <c r="L48" s="607" t="str">
        <f>IF($G48="","",VLOOKUP($G48,請求Data!$E$11:$AR$160,請求Data!$AP$10-請求Data!$D$10,FALSE))</f>
        <v/>
      </c>
      <c r="M48" s="607" t="str">
        <f t="shared" si="1"/>
        <v/>
      </c>
      <c r="N48" s="607" t="str">
        <f t="shared" si="2"/>
        <v/>
      </c>
      <c r="O48" s="606" t="str">
        <f t="shared" si="13"/>
        <v/>
      </c>
      <c r="P48" s="606" t="str">
        <f t="shared" si="14"/>
        <v/>
      </c>
      <c r="Q48" s="606" t="str">
        <f t="shared" si="15"/>
        <v/>
      </c>
      <c r="R48" s="606" t="str">
        <f t="shared" si="16"/>
        <v/>
      </c>
      <c r="S48" s="607" t="str">
        <f t="shared" si="17"/>
        <v/>
      </c>
      <c r="T48" s="607" t="str">
        <f t="shared" si="18"/>
        <v/>
      </c>
      <c r="U48" s="607" t="str">
        <f t="shared" si="9"/>
        <v/>
      </c>
      <c r="V48" s="162" t="str">
        <f t="shared" si="10"/>
        <v/>
      </c>
      <c r="W48" s="609" t="str">
        <f>IF($G48="","",VLOOKUP($G48,請求Data!$E$11:$AR$160,請求Data!$AC$10-請求Data!$D$10,FALSE))</f>
        <v/>
      </c>
      <c r="X48" s="607" t="str">
        <f t="shared" si="11"/>
        <v/>
      </c>
      <c r="Y48" s="608" t="str">
        <f t="shared" si="12"/>
        <v/>
      </c>
    </row>
    <row r="49" spans="1:25">
      <c r="A49" s="103">
        <v>43</v>
      </c>
      <c r="B49" s="247" t="str">
        <f>IF(LEFT($G49,1)="1",IF($H48=$H49,MAX($B$6:$B48)+1,IF(MAX($B$6:$B48)&lt;=0,1,MAX($B$6:$B48)+3)),"")</f>
        <v/>
      </c>
      <c r="C49" s="247" t="str">
        <f>IF(LEFT($G49,1)="2",IF($H48=$H49,MAX($C$6:$C48)+1,IF(MAX($C$6:$C48)&lt;=0,1,MAX($C$6:$C48)+3)),"")</f>
        <v/>
      </c>
      <c r="D49" s="247" t="str">
        <f>IF(LEFT($G49,1)="3",IF($H48=$H49,MAX($D$6:$D48)+1,IF(MAX($D$6:$D48)&lt;=0,1,MAX($D$6:$D48)+3)),"")</f>
        <v/>
      </c>
      <c r="E49" s="247" t="str">
        <f>IF(LEFT($G49,1)="4",IF($H48=$H49,MAX($E$6:$E48)+1,IF(MAX($E$6:$E48)&lt;=0,1,MAX($E$6:$E48)+3)),"")</f>
        <v/>
      </c>
      <c r="F49" s="477" t="str">
        <f t="shared" si="0"/>
        <v/>
      </c>
      <c r="G49" s="409" t="str">
        <f>IF(ISERROR(SMALL(請求Data!$E$11:$E$160,$A49)),"",SMALL(請求Data!$E$11:$E$160,$A49))</f>
        <v/>
      </c>
      <c r="H49" s="606" t="str">
        <f>IF($G49="","",VLOOKUP($G49,請求Data!$E$11:$AR$160,4,FALSE))</f>
        <v/>
      </c>
      <c r="I49" s="606" t="str">
        <f>IF($G49="","",VLOOKUP($G49,請求Data!$E$11:$AR$160,5,FALSE))</f>
        <v/>
      </c>
      <c r="J49" s="609" t="str">
        <f>IF($G49="","",IF(VLOOKUP($G49,請求Data!$E$11:$AR$160,請求Data!$Y$10-請求Data!$D$10,FALSE)="",1,0))</f>
        <v/>
      </c>
      <c r="K49" s="609" t="str">
        <f>IF($G49="","",IF(VLOOKUP($G49,請求Data!$E$11:$AR$160,請求Data!$Z$10-請求Data!$D$10,FALSE)="*",1,0))</f>
        <v/>
      </c>
      <c r="L49" s="607" t="str">
        <f>IF($G49="","",VLOOKUP($G49,請求Data!$E$11:$AR$160,請求Data!$AP$10-請求Data!$D$10,FALSE))</f>
        <v/>
      </c>
      <c r="M49" s="607" t="str">
        <f t="shared" si="1"/>
        <v/>
      </c>
      <c r="N49" s="607" t="str">
        <f t="shared" si="2"/>
        <v/>
      </c>
      <c r="O49" s="606" t="str">
        <f t="shared" si="13"/>
        <v/>
      </c>
      <c r="P49" s="606" t="str">
        <f t="shared" si="14"/>
        <v/>
      </c>
      <c r="Q49" s="606" t="str">
        <f t="shared" si="15"/>
        <v/>
      </c>
      <c r="R49" s="606" t="str">
        <f t="shared" si="16"/>
        <v/>
      </c>
      <c r="S49" s="607" t="str">
        <f t="shared" si="17"/>
        <v/>
      </c>
      <c r="T49" s="607" t="str">
        <f t="shared" si="18"/>
        <v/>
      </c>
      <c r="U49" s="607" t="str">
        <f t="shared" si="9"/>
        <v/>
      </c>
      <c r="V49" s="162" t="str">
        <f t="shared" si="10"/>
        <v/>
      </c>
      <c r="W49" s="609" t="str">
        <f>IF($G49="","",VLOOKUP($G49,請求Data!$E$11:$AR$160,請求Data!$AC$10-請求Data!$D$10,FALSE))</f>
        <v/>
      </c>
      <c r="X49" s="607" t="str">
        <f t="shared" si="11"/>
        <v/>
      </c>
      <c r="Y49" s="608" t="str">
        <f t="shared" si="12"/>
        <v/>
      </c>
    </row>
    <row r="50" spans="1:25">
      <c r="A50" s="103">
        <v>44</v>
      </c>
      <c r="B50" s="247" t="str">
        <f>IF(LEFT($G50,1)="1",IF($H49=$H50,MAX($B$6:$B49)+1,IF(MAX($B$6:$B49)&lt;=0,1,MAX($B$6:$B49)+3)),"")</f>
        <v/>
      </c>
      <c r="C50" s="247" t="str">
        <f>IF(LEFT($G50,1)="2",IF($H49=$H50,MAX($C$6:$C49)+1,IF(MAX($C$6:$C49)&lt;=0,1,MAX($C$6:$C49)+3)),"")</f>
        <v/>
      </c>
      <c r="D50" s="247" t="str">
        <f>IF(LEFT($G50,1)="3",IF($H49=$H50,MAX($D$6:$D49)+1,IF(MAX($D$6:$D49)&lt;=0,1,MAX($D$6:$D49)+3)),"")</f>
        <v/>
      </c>
      <c r="E50" s="247" t="str">
        <f>IF(LEFT($G50,1)="4",IF($H49=$H50,MAX($E$6:$E49)+1,IF(MAX($E$6:$E49)&lt;=0,1,MAX($E$6:$E49)+3)),"")</f>
        <v/>
      </c>
      <c r="F50" s="477" t="str">
        <f t="shared" si="0"/>
        <v/>
      </c>
      <c r="G50" s="409" t="str">
        <f>IF(ISERROR(SMALL(請求Data!$E$11:$E$160,$A50)),"",SMALL(請求Data!$E$11:$E$160,$A50))</f>
        <v/>
      </c>
      <c r="H50" s="606" t="str">
        <f>IF($G50="","",VLOOKUP($G50,請求Data!$E$11:$AR$160,4,FALSE))</f>
        <v/>
      </c>
      <c r="I50" s="606" t="str">
        <f>IF($G50="","",VLOOKUP($G50,請求Data!$E$11:$AR$160,5,FALSE))</f>
        <v/>
      </c>
      <c r="J50" s="609" t="str">
        <f>IF($G50="","",IF(VLOOKUP($G50,請求Data!$E$11:$AR$160,請求Data!$Y$10-請求Data!$D$10,FALSE)="",1,0))</f>
        <v/>
      </c>
      <c r="K50" s="609" t="str">
        <f>IF($G50="","",IF(VLOOKUP($G50,請求Data!$E$11:$AR$160,請求Data!$Z$10-請求Data!$D$10,FALSE)="*",1,0))</f>
        <v/>
      </c>
      <c r="L50" s="607" t="str">
        <f>IF($G50="","",VLOOKUP($G50,請求Data!$E$11:$AR$160,請求Data!$AP$10-請求Data!$D$10,FALSE))</f>
        <v/>
      </c>
      <c r="M50" s="607" t="str">
        <f t="shared" si="1"/>
        <v/>
      </c>
      <c r="N50" s="607" t="str">
        <f t="shared" si="2"/>
        <v/>
      </c>
      <c r="O50" s="606" t="str">
        <f t="shared" si="13"/>
        <v/>
      </c>
      <c r="P50" s="606" t="str">
        <f t="shared" si="14"/>
        <v/>
      </c>
      <c r="Q50" s="606" t="str">
        <f t="shared" si="15"/>
        <v/>
      </c>
      <c r="R50" s="606" t="str">
        <f t="shared" si="16"/>
        <v/>
      </c>
      <c r="S50" s="607" t="str">
        <f t="shared" si="17"/>
        <v/>
      </c>
      <c r="T50" s="607" t="str">
        <f t="shared" si="18"/>
        <v/>
      </c>
      <c r="U50" s="607" t="str">
        <f t="shared" si="9"/>
        <v/>
      </c>
      <c r="V50" s="162" t="str">
        <f t="shared" si="10"/>
        <v/>
      </c>
      <c r="W50" s="609" t="str">
        <f>IF($G50="","",VLOOKUP($G50,請求Data!$E$11:$AR$160,請求Data!$AC$10-請求Data!$D$10,FALSE))</f>
        <v/>
      </c>
      <c r="X50" s="607" t="str">
        <f t="shared" si="11"/>
        <v/>
      </c>
      <c r="Y50" s="608" t="str">
        <f t="shared" si="12"/>
        <v/>
      </c>
    </row>
    <row r="51" spans="1:25">
      <c r="A51" s="103">
        <v>45</v>
      </c>
      <c r="B51" s="247" t="str">
        <f>IF(LEFT($G51,1)="1",IF($H50=$H51,MAX($B$6:$B50)+1,IF(MAX($B$6:$B50)&lt;=0,1,MAX($B$6:$B50)+3)),"")</f>
        <v/>
      </c>
      <c r="C51" s="247" t="str">
        <f>IF(LEFT($G51,1)="2",IF($H50=$H51,MAX($C$6:$C50)+1,IF(MAX($C$6:$C50)&lt;=0,1,MAX($C$6:$C50)+3)),"")</f>
        <v/>
      </c>
      <c r="D51" s="247" t="str">
        <f>IF(LEFT($G51,1)="3",IF($H50=$H51,MAX($D$6:$D50)+1,IF(MAX($D$6:$D50)&lt;=0,1,MAX($D$6:$D50)+3)),"")</f>
        <v/>
      </c>
      <c r="E51" s="247" t="str">
        <f>IF(LEFT($G51,1)="4",IF($H50=$H51,MAX($E$6:$E50)+1,IF(MAX($E$6:$E50)&lt;=0,1,MAX($E$6:$E50)+3)),"")</f>
        <v/>
      </c>
      <c r="F51" s="477" t="str">
        <f t="shared" si="0"/>
        <v/>
      </c>
      <c r="G51" s="409" t="str">
        <f>IF(ISERROR(SMALL(請求Data!$E$11:$E$160,$A51)),"",SMALL(請求Data!$E$11:$E$160,$A51))</f>
        <v/>
      </c>
      <c r="H51" s="606" t="str">
        <f>IF($G51="","",VLOOKUP($G51,請求Data!$E$11:$AR$160,4,FALSE))</f>
        <v/>
      </c>
      <c r="I51" s="606" t="str">
        <f>IF($G51="","",VLOOKUP($G51,請求Data!$E$11:$AR$160,5,FALSE))</f>
        <v/>
      </c>
      <c r="J51" s="609" t="str">
        <f>IF($G51="","",IF(VLOOKUP($G51,請求Data!$E$11:$AR$160,請求Data!$Y$10-請求Data!$D$10,FALSE)="",1,0))</f>
        <v/>
      </c>
      <c r="K51" s="609" t="str">
        <f>IF($G51="","",IF(VLOOKUP($G51,請求Data!$E$11:$AR$160,請求Data!$Z$10-請求Data!$D$10,FALSE)="*",1,0))</f>
        <v/>
      </c>
      <c r="L51" s="607" t="str">
        <f>IF($G51="","",VLOOKUP($G51,請求Data!$E$11:$AR$160,請求Data!$AP$10-請求Data!$D$10,FALSE))</f>
        <v/>
      </c>
      <c r="M51" s="607" t="str">
        <f t="shared" si="1"/>
        <v/>
      </c>
      <c r="N51" s="607" t="str">
        <f t="shared" si="2"/>
        <v/>
      </c>
      <c r="O51" s="274" t="str">
        <f t="shared" si="13"/>
        <v/>
      </c>
      <c r="P51" s="274" t="str">
        <f t="shared" si="14"/>
        <v/>
      </c>
      <c r="Q51" s="274" t="str">
        <f t="shared" si="15"/>
        <v/>
      </c>
      <c r="R51" s="274" t="str">
        <f t="shared" si="16"/>
        <v/>
      </c>
      <c r="S51" s="607" t="str">
        <f t="shared" si="17"/>
        <v/>
      </c>
      <c r="T51" s="607" t="str">
        <f t="shared" si="18"/>
        <v/>
      </c>
      <c r="U51" s="607" t="str">
        <f t="shared" si="9"/>
        <v/>
      </c>
      <c r="V51" s="162" t="str">
        <f t="shared" si="10"/>
        <v/>
      </c>
      <c r="W51" s="609" t="str">
        <f>IF($G51="","",VLOOKUP($G51,請求Data!$E$11:$AR$160,請求Data!$AC$10-請求Data!$D$10,FALSE))</f>
        <v/>
      </c>
      <c r="X51" s="607" t="str">
        <f t="shared" si="11"/>
        <v/>
      </c>
      <c r="Y51" s="608" t="str">
        <f t="shared" si="12"/>
        <v/>
      </c>
    </row>
    <row r="52" spans="1:25">
      <c r="A52" s="103">
        <v>46</v>
      </c>
      <c r="B52" s="247" t="str">
        <f>IF(LEFT($G52,1)="1",IF($H51=$H52,MAX($B$6:$B51)+1,IF(MAX($B$6:$B51)&lt;=0,1,MAX($B$6:$B51)+3)),"")</f>
        <v/>
      </c>
      <c r="C52" s="247" t="str">
        <f>IF(LEFT($G52,1)="2",IF($H51=$H52,MAX($C$6:$C51)+1,IF(MAX($C$6:$C51)&lt;=0,1,MAX($C$6:$C51)+3)),"")</f>
        <v/>
      </c>
      <c r="D52" s="247" t="str">
        <f>IF(LEFT($G52,1)="3",IF($H51=$H52,MAX($D$6:$D51)+1,IF(MAX($D$6:$D51)&lt;=0,1,MAX($D$6:$D51)+3)),"")</f>
        <v/>
      </c>
      <c r="E52" s="247" t="str">
        <f>IF(LEFT($G52,1)="4",IF($H51=$H52,MAX($E$6:$E51)+1,IF(MAX($E$6:$E51)&lt;=0,1,MAX($E$6:$E51)+3)),"")</f>
        <v/>
      </c>
      <c r="F52" s="477" t="str">
        <f t="shared" si="0"/>
        <v/>
      </c>
      <c r="G52" s="409" t="str">
        <f>IF(ISERROR(SMALL(請求Data!$E$11:$E$160,$A52)),"",SMALL(請求Data!$E$11:$E$160,$A52))</f>
        <v/>
      </c>
      <c r="H52" s="606" t="str">
        <f>IF($G52="","",VLOOKUP($G52,請求Data!$E$11:$AR$160,4,FALSE))</f>
        <v/>
      </c>
      <c r="I52" s="606" t="str">
        <f>IF($G52="","",VLOOKUP($G52,請求Data!$E$11:$AR$160,5,FALSE))</f>
        <v/>
      </c>
      <c r="J52" s="609" t="str">
        <f>IF($G52="","",IF(VLOOKUP($G52,請求Data!$E$11:$AR$160,請求Data!$Y$10-請求Data!$D$10,FALSE)="",1,0))</f>
        <v/>
      </c>
      <c r="K52" s="609" t="str">
        <f>IF($G52="","",IF(VLOOKUP($G52,請求Data!$E$11:$AR$160,請求Data!$Z$10-請求Data!$D$10,FALSE)="*",1,0))</f>
        <v/>
      </c>
      <c r="L52" s="607" t="str">
        <f>IF($G52="","",VLOOKUP($G52,請求Data!$E$11:$AR$160,請求Data!$AP$10-請求Data!$D$10,FALSE))</f>
        <v/>
      </c>
      <c r="M52" s="607" t="str">
        <f t="shared" si="1"/>
        <v/>
      </c>
      <c r="N52" s="607" t="str">
        <f t="shared" si="2"/>
        <v/>
      </c>
      <c r="O52" s="274" t="str">
        <f t="shared" si="13"/>
        <v/>
      </c>
      <c r="P52" s="274" t="str">
        <f t="shared" si="14"/>
        <v/>
      </c>
      <c r="Q52" s="274" t="str">
        <f t="shared" si="15"/>
        <v/>
      </c>
      <c r="R52" s="274" t="str">
        <f t="shared" si="16"/>
        <v/>
      </c>
      <c r="S52" s="607" t="str">
        <f t="shared" si="17"/>
        <v/>
      </c>
      <c r="T52" s="607" t="str">
        <f t="shared" si="18"/>
        <v/>
      </c>
      <c r="U52" s="607" t="str">
        <f t="shared" si="9"/>
        <v/>
      </c>
      <c r="V52" s="162" t="str">
        <f t="shared" si="10"/>
        <v/>
      </c>
      <c r="W52" s="609" t="str">
        <f>IF($G52="","",VLOOKUP($G52,請求Data!$E$11:$AR$160,請求Data!$AC$10-請求Data!$D$10,FALSE))</f>
        <v/>
      </c>
      <c r="X52" s="607" t="str">
        <f t="shared" si="11"/>
        <v/>
      </c>
      <c r="Y52" s="608" t="str">
        <f t="shared" si="12"/>
        <v/>
      </c>
    </row>
    <row r="53" spans="1:25">
      <c r="A53" s="103">
        <v>47</v>
      </c>
      <c r="B53" s="247" t="str">
        <f>IF(LEFT($G53,1)="1",IF($H52=$H53,MAX($B$6:$B52)+1,IF(MAX($B$6:$B52)&lt;=0,1,MAX($B$6:$B52)+3)),"")</f>
        <v/>
      </c>
      <c r="C53" s="247" t="str">
        <f>IF(LEFT($G53,1)="2",IF($H52=$H53,MAX($C$6:$C52)+1,IF(MAX($C$6:$C52)&lt;=0,1,MAX($C$6:$C52)+3)),"")</f>
        <v/>
      </c>
      <c r="D53" s="247" t="str">
        <f>IF(LEFT($G53,1)="3",IF($H52=$H53,MAX($D$6:$D52)+1,IF(MAX($D$6:$D52)&lt;=0,1,MAX($D$6:$D52)+3)),"")</f>
        <v/>
      </c>
      <c r="E53" s="247" t="str">
        <f>IF(LEFT($G53,1)="4",IF($H52=$H53,MAX($E$6:$E52)+1,IF(MAX($E$6:$E52)&lt;=0,1,MAX($E$6:$E52)+3)),"")</f>
        <v/>
      </c>
      <c r="F53" s="477" t="str">
        <f t="shared" si="0"/>
        <v/>
      </c>
      <c r="G53" s="409" t="str">
        <f>IF(ISERROR(SMALL(請求Data!$E$11:$E$160,$A53)),"",SMALL(請求Data!$E$11:$E$160,$A53))</f>
        <v/>
      </c>
      <c r="H53" s="606" t="str">
        <f>IF($G53="","",VLOOKUP($G53,請求Data!$E$11:$AR$160,4,FALSE))</f>
        <v/>
      </c>
      <c r="I53" s="606" t="str">
        <f>IF($G53="","",VLOOKUP($G53,請求Data!$E$11:$AR$160,5,FALSE))</f>
        <v/>
      </c>
      <c r="J53" s="609" t="str">
        <f>IF($G53="","",IF(VLOOKUP($G53,請求Data!$E$11:$AR$160,請求Data!$Y$10-請求Data!$D$10,FALSE)="",1,0))</f>
        <v/>
      </c>
      <c r="K53" s="609" t="str">
        <f>IF($G53="","",IF(VLOOKUP($G53,請求Data!$E$11:$AR$160,請求Data!$Z$10-請求Data!$D$10,FALSE)="*",1,0))</f>
        <v/>
      </c>
      <c r="L53" s="607" t="str">
        <f>IF($G53="","",VLOOKUP($G53,請求Data!$E$11:$AR$160,請求Data!$AP$10-請求Data!$D$10,FALSE))</f>
        <v/>
      </c>
      <c r="M53" s="607" t="str">
        <f t="shared" si="1"/>
        <v/>
      </c>
      <c r="N53" s="607" t="str">
        <f t="shared" si="2"/>
        <v/>
      </c>
      <c r="O53" s="274" t="str">
        <f t="shared" si="13"/>
        <v/>
      </c>
      <c r="P53" s="274" t="str">
        <f t="shared" si="14"/>
        <v/>
      </c>
      <c r="Q53" s="274" t="str">
        <f t="shared" si="15"/>
        <v/>
      </c>
      <c r="R53" s="274" t="str">
        <f t="shared" si="16"/>
        <v/>
      </c>
      <c r="S53" s="607" t="str">
        <f t="shared" si="17"/>
        <v/>
      </c>
      <c r="T53" s="607" t="str">
        <f t="shared" si="18"/>
        <v/>
      </c>
      <c r="U53" s="607" t="str">
        <f t="shared" si="9"/>
        <v/>
      </c>
      <c r="V53" s="162" t="str">
        <f t="shared" si="10"/>
        <v/>
      </c>
      <c r="W53" s="609" t="str">
        <f>IF($G53="","",VLOOKUP($G53,請求Data!$E$11:$AR$160,請求Data!$AC$10-請求Data!$D$10,FALSE))</f>
        <v/>
      </c>
      <c r="X53" s="607" t="str">
        <f t="shared" si="11"/>
        <v/>
      </c>
      <c r="Y53" s="608" t="str">
        <f t="shared" si="12"/>
        <v/>
      </c>
    </row>
    <row r="54" spans="1:25">
      <c r="A54" s="103">
        <v>48</v>
      </c>
      <c r="B54" s="247" t="str">
        <f>IF(LEFT($G54,1)="1",IF($H53=$H54,MAX($B$6:$B53)+1,IF(MAX($B$6:$B53)&lt;=0,1,MAX($B$6:$B53)+3)),"")</f>
        <v/>
      </c>
      <c r="C54" s="247" t="str">
        <f>IF(LEFT($G54,1)="2",IF($H53=$H54,MAX($C$6:$C53)+1,IF(MAX($C$6:$C53)&lt;=0,1,MAX($C$6:$C53)+3)),"")</f>
        <v/>
      </c>
      <c r="D54" s="247" t="str">
        <f>IF(LEFT($G54,1)="3",IF($H53=$H54,MAX($D$6:$D53)+1,IF(MAX($D$6:$D53)&lt;=0,1,MAX($D$6:$D53)+3)),"")</f>
        <v/>
      </c>
      <c r="E54" s="247" t="str">
        <f>IF(LEFT($G54,1)="4",IF($H53=$H54,MAX($E$6:$E53)+1,IF(MAX($E$6:$E53)&lt;=0,1,MAX($E$6:$E53)+3)),"")</f>
        <v/>
      </c>
      <c r="F54" s="477" t="str">
        <f t="shared" si="0"/>
        <v/>
      </c>
      <c r="G54" s="409" t="str">
        <f>IF(ISERROR(SMALL(請求Data!$E$11:$E$160,$A54)),"",SMALL(請求Data!$E$11:$E$160,$A54))</f>
        <v/>
      </c>
      <c r="H54" s="606" t="str">
        <f>IF($G54="","",VLOOKUP($G54,請求Data!$E$11:$AR$160,4,FALSE))</f>
        <v/>
      </c>
      <c r="I54" s="606" t="str">
        <f>IF($G54="","",VLOOKUP($G54,請求Data!$E$11:$AR$160,5,FALSE))</f>
        <v/>
      </c>
      <c r="J54" s="609" t="str">
        <f>IF($G54="","",IF(VLOOKUP($G54,請求Data!$E$11:$AR$160,請求Data!$Y$10-請求Data!$D$10,FALSE)="",1,0))</f>
        <v/>
      </c>
      <c r="K54" s="609" t="str">
        <f>IF($G54="","",IF(VLOOKUP($G54,請求Data!$E$11:$AR$160,請求Data!$Z$10-請求Data!$D$10,FALSE)="*",1,0))</f>
        <v/>
      </c>
      <c r="L54" s="607" t="str">
        <f>IF($G54="","",VLOOKUP($G54,請求Data!$E$11:$AR$160,請求Data!$AP$10-請求Data!$D$10,FALSE))</f>
        <v/>
      </c>
      <c r="M54" s="607" t="str">
        <f t="shared" si="1"/>
        <v/>
      </c>
      <c r="N54" s="607" t="str">
        <f t="shared" si="2"/>
        <v/>
      </c>
      <c r="O54" s="274" t="str">
        <f t="shared" si="13"/>
        <v/>
      </c>
      <c r="P54" s="274" t="str">
        <f t="shared" si="14"/>
        <v/>
      </c>
      <c r="Q54" s="274" t="str">
        <f t="shared" si="15"/>
        <v/>
      </c>
      <c r="R54" s="274" t="str">
        <f t="shared" si="16"/>
        <v/>
      </c>
      <c r="S54" s="607" t="str">
        <f t="shared" si="17"/>
        <v/>
      </c>
      <c r="T54" s="607" t="str">
        <f t="shared" si="18"/>
        <v/>
      </c>
      <c r="U54" s="607" t="str">
        <f t="shared" si="9"/>
        <v/>
      </c>
      <c r="V54" s="162" t="str">
        <f t="shared" si="10"/>
        <v/>
      </c>
      <c r="W54" s="609" t="str">
        <f>IF($G54="","",VLOOKUP($G54,請求Data!$E$11:$AR$160,請求Data!$AC$10-請求Data!$D$10,FALSE))</f>
        <v/>
      </c>
      <c r="X54" s="607" t="str">
        <f t="shared" si="11"/>
        <v/>
      </c>
      <c r="Y54" s="608" t="str">
        <f t="shared" si="12"/>
        <v/>
      </c>
    </row>
    <row r="55" spans="1:25">
      <c r="A55" s="103">
        <v>49</v>
      </c>
      <c r="B55" s="247" t="str">
        <f>IF(LEFT($G55,1)="1",IF($H54=$H55,MAX($B$6:$B54)+1,IF(MAX($B$6:$B54)&lt;=0,1,MAX($B$6:$B54)+3)),"")</f>
        <v/>
      </c>
      <c r="C55" s="247" t="str">
        <f>IF(LEFT($G55,1)="2",IF($H54=$H55,MAX($C$6:$C54)+1,IF(MAX($C$6:$C54)&lt;=0,1,MAX($C$6:$C54)+3)),"")</f>
        <v/>
      </c>
      <c r="D55" s="247" t="str">
        <f>IF(LEFT($G55,1)="3",IF($H54=$H55,MAX($D$6:$D54)+1,IF(MAX($D$6:$D54)&lt;=0,1,MAX($D$6:$D54)+3)),"")</f>
        <v/>
      </c>
      <c r="E55" s="247" t="str">
        <f>IF(LEFT($G55,1)="4",IF($H54=$H55,MAX($E$6:$E54)+1,IF(MAX($E$6:$E54)&lt;=0,1,MAX($E$6:$E54)+3)),"")</f>
        <v/>
      </c>
      <c r="F55" s="477" t="str">
        <f t="shared" si="0"/>
        <v/>
      </c>
      <c r="G55" s="409" t="str">
        <f>IF(ISERROR(SMALL(請求Data!$E$11:$E$160,$A55)),"",SMALL(請求Data!$E$11:$E$160,$A55))</f>
        <v/>
      </c>
      <c r="H55" s="606" t="str">
        <f>IF($G55="","",VLOOKUP($G55,請求Data!$E$11:$AR$160,4,FALSE))</f>
        <v/>
      </c>
      <c r="I55" s="606" t="str">
        <f>IF($G55="","",VLOOKUP($G55,請求Data!$E$11:$AR$160,5,FALSE))</f>
        <v/>
      </c>
      <c r="J55" s="609" t="str">
        <f>IF($G55="","",IF(VLOOKUP($G55,請求Data!$E$11:$AR$160,請求Data!$Y$10-請求Data!$D$10,FALSE)="",1,0))</f>
        <v/>
      </c>
      <c r="K55" s="609" t="str">
        <f>IF($G55="","",IF(VLOOKUP($G55,請求Data!$E$11:$AR$160,請求Data!$Z$10-請求Data!$D$10,FALSE)="*",1,0))</f>
        <v/>
      </c>
      <c r="L55" s="607" t="str">
        <f>IF($G55="","",VLOOKUP($G55,請求Data!$E$11:$AR$160,請求Data!$AP$10-請求Data!$D$10,FALSE))</f>
        <v/>
      </c>
      <c r="M55" s="607" t="str">
        <f t="shared" si="1"/>
        <v/>
      </c>
      <c r="N55" s="607" t="str">
        <f t="shared" si="2"/>
        <v/>
      </c>
      <c r="O55" s="274" t="str">
        <f t="shared" si="13"/>
        <v/>
      </c>
      <c r="P55" s="274" t="str">
        <f t="shared" si="14"/>
        <v/>
      </c>
      <c r="Q55" s="274" t="str">
        <f t="shared" si="15"/>
        <v/>
      </c>
      <c r="R55" s="274" t="str">
        <f t="shared" si="16"/>
        <v/>
      </c>
      <c r="S55" s="607" t="str">
        <f t="shared" si="17"/>
        <v/>
      </c>
      <c r="T55" s="607" t="str">
        <f t="shared" si="18"/>
        <v/>
      </c>
      <c r="U55" s="607" t="str">
        <f t="shared" si="9"/>
        <v/>
      </c>
      <c r="V55" s="162" t="str">
        <f t="shared" si="10"/>
        <v/>
      </c>
      <c r="W55" s="609" t="str">
        <f>IF($G55="","",VLOOKUP($G55,請求Data!$E$11:$AR$160,請求Data!$AC$10-請求Data!$D$10,FALSE))</f>
        <v/>
      </c>
      <c r="X55" s="607" t="str">
        <f t="shared" si="11"/>
        <v/>
      </c>
      <c r="Y55" s="608" t="str">
        <f t="shared" si="12"/>
        <v/>
      </c>
    </row>
    <row r="56" spans="1:25">
      <c r="A56" s="103">
        <v>50</v>
      </c>
      <c r="B56" s="247" t="str">
        <f>IF(LEFT($G56,1)="1",IF($H55=$H56,MAX($B$6:$B55)+1,IF(MAX($B$6:$B55)&lt;=0,1,MAX($B$6:$B55)+3)),"")</f>
        <v/>
      </c>
      <c r="C56" s="247" t="str">
        <f>IF(LEFT($G56,1)="2",IF($H55=$H56,MAX($C$6:$C55)+1,IF(MAX($C$6:$C55)&lt;=0,1,MAX($C$6:$C55)+3)),"")</f>
        <v/>
      </c>
      <c r="D56" s="247" t="str">
        <f>IF(LEFT($G56,1)="3",IF($H55=$H56,MAX($D$6:$D55)+1,IF(MAX($D$6:$D55)&lt;=0,1,MAX($D$6:$D55)+3)),"")</f>
        <v/>
      </c>
      <c r="E56" s="247" t="str">
        <f>IF(LEFT($G56,1)="4",IF($H55=$H56,MAX($E$6:$E55)+1,IF(MAX($E$6:$E55)&lt;=0,1,MAX($E$6:$E55)+3)),"")</f>
        <v/>
      </c>
      <c r="F56" s="477" t="str">
        <f t="shared" si="0"/>
        <v/>
      </c>
      <c r="G56" s="409" t="str">
        <f>IF(ISERROR(SMALL(請求Data!$E$11:$E$160,$A56)),"",SMALL(請求Data!$E$11:$E$160,$A56))</f>
        <v/>
      </c>
      <c r="H56" s="606" t="str">
        <f>IF($G56="","",VLOOKUP($G56,請求Data!$E$11:$AR$160,4,FALSE))</f>
        <v/>
      </c>
      <c r="I56" s="606" t="str">
        <f>IF($G56="","",VLOOKUP($G56,請求Data!$E$11:$AR$160,5,FALSE))</f>
        <v/>
      </c>
      <c r="J56" s="609" t="str">
        <f>IF($G56="","",IF(VLOOKUP($G56,請求Data!$E$11:$AR$160,請求Data!$Y$10-請求Data!$D$10,FALSE)="",1,0))</f>
        <v/>
      </c>
      <c r="K56" s="609" t="str">
        <f>IF($G56="","",IF(VLOOKUP($G56,請求Data!$E$11:$AR$160,請求Data!$Z$10-請求Data!$D$10,FALSE)="*",1,0))</f>
        <v/>
      </c>
      <c r="L56" s="607" t="str">
        <f>IF($G56="","",VLOOKUP($G56,請求Data!$E$11:$AR$160,請求Data!$AP$10-請求Data!$D$10,FALSE))</f>
        <v/>
      </c>
      <c r="M56" s="607" t="str">
        <f t="shared" si="1"/>
        <v/>
      </c>
      <c r="N56" s="607" t="str">
        <f t="shared" si="2"/>
        <v/>
      </c>
      <c r="O56" s="274" t="str">
        <f t="shared" si="13"/>
        <v/>
      </c>
      <c r="P56" s="274" t="str">
        <f t="shared" si="14"/>
        <v/>
      </c>
      <c r="Q56" s="274" t="str">
        <f t="shared" si="15"/>
        <v/>
      </c>
      <c r="R56" s="274" t="str">
        <f t="shared" si="16"/>
        <v/>
      </c>
      <c r="S56" s="607" t="str">
        <f t="shared" si="17"/>
        <v/>
      </c>
      <c r="T56" s="607" t="str">
        <f t="shared" si="18"/>
        <v/>
      </c>
      <c r="U56" s="607" t="str">
        <f t="shared" si="9"/>
        <v/>
      </c>
      <c r="V56" s="162" t="str">
        <f t="shared" si="10"/>
        <v/>
      </c>
      <c r="W56" s="609" t="str">
        <f>IF($G56="","",VLOOKUP($G56,請求Data!$E$11:$AR$160,請求Data!$AC$10-請求Data!$D$10,FALSE))</f>
        <v/>
      </c>
      <c r="X56" s="607" t="str">
        <f t="shared" si="11"/>
        <v/>
      </c>
      <c r="Y56" s="608" t="str">
        <f t="shared" si="12"/>
        <v/>
      </c>
    </row>
    <row r="57" spans="1:25">
      <c r="A57" s="103">
        <v>51</v>
      </c>
      <c r="B57" s="247" t="str">
        <f>IF(LEFT($G57,1)="1",IF($H56=$H57,MAX($B$6:$B56)+1,IF(MAX($B$6:$B56)&lt;=0,1,MAX($B$6:$B56)+3)),"")</f>
        <v/>
      </c>
      <c r="C57" s="247" t="str">
        <f>IF(LEFT($G57,1)="2",IF($H56=$H57,MAX($C$6:$C56)+1,IF(MAX($C$6:$C56)&lt;=0,1,MAX($C$6:$C56)+3)),"")</f>
        <v/>
      </c>
      <c r="D57" s="247" t="str">
        <f>IF(LEFT($G57,1)="3",IF($H56=$H57,MAX($D$6:$D56)+1,IF(MAX($D$6:$D56)&lt;=0,1,MAX($D$6:$D56)+3)),"")</f>
        <v/>
      </c>
      <c r="E57" s="247" t="str">
        <f>IF(LEFT($G57,1)="4",IF($H56=$H57,MAX($E$6:$E56)+1,IF(MAX($E$6:$E56)&lt;=0,1,MAX($E$6:$E56)+3)),"")</f>
        <v/>
      </c>
      <c r="F57" s="477" t="str">
        <f t="shared" si="0"/>
        <v/>
      </c>
      <c r="G57" s="409" t="str">
        <f>IF(ISERROR(SMALL(請求Data!$E$11:$E$160,$A57)),"",SMALL(請求Data!$E$11:$E$160,$A57))</f>
        <v/>
      </c>
      <c r="H57" s="606" t="str">
        <f>IF($G57="","",VLOOKUP($G57,請求Data!$E$11:$AR$160,4,FALSE))</f>
        <v/>
      </c>
      <c r="I57" s="606" t="str">
        <f>IF($G57="","",VLOOKUP($G57,請求Data!$E$11:$AR$160,5,FALSE))</f>
        <v/>
      </c>
      <c r="J57" s="609" t="str">
        <f>IF($G57="","",IF(VLOOKUP($G57,請求Data!$E$11:$AR$160,請求Data!$Y$10-請求Data!$D$10,FALSE)="",1,0))</f>
        <v/>
      </c>
      <c r="K57" s="609" t="str">
        <f>IF($G57="","",IF(VLOOKUP($G57,請求Data!$E$11:$AR$160,請求Data!$Z$10-請求Data!$D$10,FALSE)="*",1,0))</f>
        <v/>
      </c>
      <c r="L57" s="607" t="str">
        <f>IF($G57="","",VLOOKUP($G57,請求Data!$E$11:$AR$160,請求Data!$AP$10-請求Data!$D$10,FALSE))</f>
        <v/>
      </c>
      <c r="M57" s="607" t="str">
        <f t="shared" si="1"/>
        <v/>
      </c>
      <c r="N57" s="607" t="str">
        <f t="shared" si="2"/>
        <v/>
      </c>
      <c r="O57" s="274" t="str">
        <f t="shared" si="13"/>
        <v/>
      </c>
      <c r="P57" s="274" t="str">
        <f t="shared" si="14"/>
        <v/>
      </c>
      <c r="Q57" s="274" t="str">
        <f t="shared" si="15"/>
        <v/>
      </c>
      <c r="R57" s="274" t="str">
        <f t="shared" si="16"/>
        <v/>
      </c>
      <c r="S57" s="607" t="str">
        <f t="shared" si="17"/>
        <v/>
      </c>
      <c r="T57" s="607" t="str">
        <f t="shared" si="18"/>
        <v/>
      </c>
      <c r="U57" s="607" t="str">
        <f t="shared" si="9"/>
        <v/>
      </c>
      <c r="V57" s="162" t="str">
        <f t="shared" si="10"/>
        <v/>
      </c>
      <c r="W57" s="609" t="str">
        <f>IF($G57="","",VLOOKUP($G57,請求Data!$E$11:$AR$160,請求Data!$AC$10-請求Data!$D$10,FALSE))</f>
        <v/>
      </c>
      <c r="X57" s="607" t="str">
        <f t="shared" si="11"/>
        <v/>
      </c>
      <c r="Y57" s="608" t="str">
        <f t="shared" si="12"/>
        <v/>
      </c>
    </row>
    <row r="58" spans="1:25">
      <c r="A58" s="103">
        <v>52</v>
      </c>
      <c r="B58" s="247" t="str">
        <f>IF(LEFT($G58,1)="1",IF($H57=$H58,MAX($B$6:$B57)+1,IF(MAX($B$6:$B57)&lt;=0,1,MAX($B$6:$B57)+3)),"")</f>
        <v/>
      </c>
      <c r="C58" s="247" t="str">
        <f>IF(LEFT($G58,1)="2",IF($H57=$H58,MAX($C$6:$C57)+1,IF(MAX($C$6:$C57)&lt;=0,1,MAX($C$6:$C57)+3)),"")</f>
        <v/>
      </c>
      <c r="D58" s="247" t="str">
        <f>IF(LEFT($G58,1)="3",IF($H57=$H58,MAX($D$6:$D57)+1,IF(MAX($D$6:$D57)&lt;=0,1,MAX($D$6:$D57)+3)),"")</f>
        <v/>
      </c>
      <c r="E58" s="247" t="str">
        <f>IF(LEFT($G58,1)="4",IF($H57=$H58,MAX($E$6:$E57)+1,IF(MAX($E$6:$E57)&lt;=0,1,MAX($E$6:$E57)+3)),"")</f>
        <v/>
      </c>
      <c r="F58" s="477" t="str">
        <f t="shared" si="0"/>
        <v/>
      </c>
      <c r="G58" s="409" t="str">
        <f>IF(ISERROR(SMALL(請求Data!$E$11:$E$160,$A58)),"",SMALL(請求Data!$E$11:$E$160,$A58))</f>
        <v/>
      </c>
      <c r="H58" s="606" t="str">
        <f>IF($G58="","",VLOOKUP($G58,請求Data!$E$11:$AR$160,4,FALSE))</f>
        <v/>
      </c>
      <c r="I58" s="606" t="str">
        <f>IF($G58="","",VLOOKUP($G58,請求Data!$E$11:$AR$160,5,FALSE))</f>
        <v/>
      </c>
      <c r="J58" s="609" t="str">
        <f>IF($G58="","",IF(VLOOKUP($G58,請求Data!$E$11:$AR$160,請求Data!$Y$10-請求Data!$D$10,FALSE)="",1,0))</f>
        <v/>
      </c>
      <c r="K58" s="609" t="str">
        <f>IF($G58="","",IF(VLOOKUP($G58,請求Data!$E$11:$AR$160,請求Data!$Z$10-請求Data!$D$10,FALSE)="*",1,0))</f>
        <v/>
      </c>
      <c r="L58" s="607" t="str">
        <f>IF($G58="","",VLOOKUP($G58,請求Data!$E$11:$AR$160,請求Data!$AP$10-請求Data!$D$10,FALSE))</f>
        <v/>
      </c>
      <c r="M58" s="607" t="str">
        <f t="shared" si="1"/>
        <v/>
      </c>
      <c r="N58" s="607" t="str">
        <f t="shared" si="2"/>
        <v/>
      </c>
      <c r="O58" s="274" t="str">
        <f t="shared" si="13"/>
        <v/>
      </c>
      <c r="P58" s="274" t="str">
        <f t="shared" si="14"/>
        <v/>
      </c>
      <c r="Q58" s="274" t="str">
        <f t="shared" si="15"/>
        <v/>
      </c>
      <c r="R58" s="274" t="str">
        <f t="shared" si="16"/>
        <v/>
      </c>
      <c r="S58" s="607" t="str">
        <f t="shared" si="17"/>
        <v/>
      </c>
      <c r="T58" s="607" t="str">
        <f t="shared" si="18"/>
        <v/>
      </c>
      <c r="U58" s="607" t="str">
        <f t="shared" si="9"/>
        <v/>
      </c>
      <c r="V58" s="162" t="str">
        <f t="shared" si="10"/>
        <v/>
      </c>
      <c r="W58" s="609" t="str">
        <f>IF($G58="","",VLOOKUP($G58,請求Data!$E$11:$AR$160,請求Data!$AC$10-請求Data!$D$10,FALSE))</f>
        <v/>
      </c>
      <c r="X58" s="607" t="str">
        <f t="shared" si="11"/>
        <v/>
      </c>
      <c r="Y58" s="608" t="str">
        <f t="shared" si="12"/>
        <v/>
      </c>
    </row>
    <row r="59" spans="1:25">
      <c r="A59" s="103">
        <v>53</v>
      </c>
      <c r="B59" s="247" t="str">
        <f>IF(LEFT($G59,1)="1",IF($H58=$H59,MAX($B$6:$B58)+1,IF(MAX($B$6:$B58)&lt;=0,1,MAX($B$6:$B58)+3)),"")</f>
        <v/>
      </c>
      <c r="C59" s="247" t="str">
        <f>IF(LEFT($G59,1)="2",IF($H58=$H59,MAX($C$6:$C58)+1,IF(MAX($C$6:$C58)&lt;=0,1,MAX($C$6:$C58)+3)),"")</f>
        <v/>
      </c>
      <c r="D59" s="247" t="str">
        <f>IF(LEFT($G59,1)="3",IF($H58=$H59,MAX($D$6:$D58)+1,IF(MAX($D$6:$D58)&lt;=0,1,MAX($D$6:$D58)+3)),"")</f>
        <v/>
      </c>
      <c r="E59" s="247" t="str">
        <f>IF(LEFT($G59,1)="4",IF($H58=$H59,MAX($E$6:$E58)+1,IF(MAX($E$6:$E58)&lt;=0,1,MAX($E$6:$E58)+3)),"")</f>
        <v/>
      </c>
      <c r="F59" s="477" t="str">
        <f t="shared" si="0"/>
        <v/>
      </c>
      <c r="G59" s="409" t="str">
        <f>IF(ISERROR(SMALL(請求Data!$E$11:$E$160,$A59)),"",SMALL(請求Data!$E$11:$E$160,$A59))</f>
        <v/>
      </c>
      <c r="H59" s="606" t="str">
        <f>IF($G59="","",VLOOKUP($G59,請求Data!$E$11:$AR$160,4,FALSE))</f>
        <v/>
      </c>
      <c r="I59" s="606" t="str">
        <f>IF($G59="","",VLOOKUP($G59,請求Data!$E$11:$AR$160,5,FALSE))</f>
        <v/>
      </c>
      <c r="J59" s="609" t="str">
        <f>IF($G59="","",IF(VLOOKUP($G59,請求Data!$E$11:$AR$160,請求Data!$Y$10-請求Data!$D$10,FALSE)="",1,0))</f>
        <v/>
      </c>
      <c r="K59" s="609" t="str">
        <f>IF($G59="","",IF(VLOOKUP($G59,請求Data!$E$11:$AR$160,請求Data!$Z$10-請求Data!$D$10,FALSE)="*",1,0))</f>
        <v/>
      </c>
      <c r="L59" s="607" t="str">
        <f>IF($G59="","",VLOOKUP($G59,請求Data!$E$11:$AR$160,請求Data!$AP$10-請求Data!$D$10,FALSE))</f>
        <v/>
      </c>
      <c r="M59" s="607" t="str">
        <f t="shared" si="1"/>
        <v/>
      </c>
      <c r="N59" s="607" t="str">
        <f t="shared" si="2"/>
        <v/>
      </c>
      <c r="O59" s="274" t="str">
        <f t="shared" si="13"/>
        <v/>
      </c>
      <c r="P59" s="274" t="str">
        <f t="shared" si="14"/>
        <v/>
      </c>
      <c r="Q59" s="274" t="str">
        <f t="shared" si="15"/>
        <v/>
      </c>
      <c r="R59" s="274" t="str">
        <f t="shared" si="16"/>
        <v/>
      </c>
      <c r="S59" s="607" t="str">
        <f t="shared" si="17"/>
        <v/>
      </c>
      <c r="T59" s="607" t="str">
        <f t="shared" si="18"/>
        <v/>
      </c>
      <c r="U59" s="607" t="str">
        <f t="shared" si="9"/>
        <v/>
      </c>
      <c r="V59" s="162" t="str">
        <f t="shared" si="10"/>
        <v/>
      </c>
      <c r="W59" s="609" t="str">
        <f>IF($G59="","",VLOOKUP($G59,請求Data!$E$11:$AR$160,請求Data!$AC$10-請求Data!$D$10,FALSE))</f>
        <v/>
      </c>
      <c r="X59" s="607" t="str">
        <f t="shared" si="11"/>
        <v/>
      </c>
      <c r="Y59" s="608" t="str">
        <f t="shared" si="12"/>
        <v/>
      </c>
    </row>
    <row r="60" spans="1:25">
      <c r="A60" s="103">
        <v>54</v>
      </c>
      <c r="B60" s="247" t="str">
        <f>IF(LEFT($G60,1)="1",IF($H59=$H60,MAX($B$6:$B59)+1,IF(MAX($B$6:$B59)&lt;=0,1,MAX($B$6:$B59)+3)),"")</f>
        <v/>
      </c>
      <c r="C60" s="247" t="str">
        <f>IF(LEFT($G60,1)="2",IF($H59=$H60,MAX($C$6:$C59)+1,IF(MAX($C$6:$C59)&lt;=0,1,MAX($C$6:$C59)+3)),"")</f>
        <v/>
      </c>
      <c r="D60" s="247" t="str">
        <f>IF(LEFT($G60,1)="3",IF($H59=$H60,MAX($D$6:$D59)+1,IF(MAX($D$6:$D59)&lt;=0,1,MAX($D$6:$D59)+3)),"")</f>
        <v/>
      </c>
      <c r="E60" s="247" t="str">
        <f>IF(LEFT($G60,1)="4",IF($H59=$H60,MAX($E$6:$E59)+1,IF(MAX($E$6:$E59)&lt;=0,1,MAX($E$6:$E59)+3)),"")</f>
        <v/>
      </c>
      <c r="F60" s="477" t="str">
        <f t="shared" si="0"/>
        <v/>
      </c>
      <c r="G60" s="409" t="str">
        <f>IF(ISERROR(SMALL(請求Data!$E$11:$E$160,$A60)),"",SMALL(請求Data!$E$11:$E$160,$A60))</f>
        <v/>
      </c>
      <c r="H60" s="606" t="str">
        <f>IF($G60="","",VLOOKUP($G60,請求Data!$E$11:$AR$160,4,FALSE))</f>
        <v/>
      </c>
      <c r="I60" s="606" t="str">
        <f>IF($G60="","",VLOOKUP($G60,請求Data!$E$11:$AR$160,5,FALSE))</f>
        <v/>
      </c>
      <c r="J60" s="609" t="str">
        <f>IF($G60="","",IF(VLOOKUP($G60,請求Data!$E$11:$AR$160,請求Data!$Y$10-請求Data!$D$10,FALSE)="",1,0))</f>
        <v/>
      </c>
      <c r="K60" s="609" t="str">
        <f>IF($G60="","",IF(VLOOKUP($G60,請求Data!$E$11:$AR$160,請求Data!$Z$10-請求Data!$D$10,FALSE)="*",1,0))</f>
        <v/>
      </c>
      <c r="L60" s="607" t="str">
        <f>IF($G60="","",VLOOKUP($G60,請求Data!$E$11:$AR$160,請求Data!$AP$10-請求Data!$D$10,FALSE))</f>
        <v/>
      </c>
      <c r="M60" s="607" t="str">
        <f t="shared" si="1"/>
        <v/>
      </c>
      <c r="N60" s="607" t="str">
        <f t="shared" si="2"/>
        <v/>
      </c>
      <c r="O60" s="274" t="str">
        <f t="shared" si="13"/>
        <v/>
      </c>
      <c r="P60" s="274" t="str">
        <f t="shared" si="14"/>
        <v/>
      </c>
      <c r="Q60" s="274" t="str">
        <f t="shared" si="15"/>
        <v/>
      </c>
      <c r="R60" s="274" t="str">
        <f t="shared" si="16"/>
        <v/>
      </c>
      <c r="S60" s="607" t="str">
        <f t="shared" si="17"/>
        <v/>
      </c>
      <c r="T60" s="607" t="str">
        <f t="shared" si="18"/>
        <v/>
      </c>
      <c r="U60" s="607" t="str">
        <f t="shared" si="9"/>
        <v/>
      </c>
      <c r="V60" s="162" t="str">
        <f t="shared" si="10"/>
        <v/>
      </c>
      <c r="W60" s="609" t="str">
        <f>IF($G60="","",VLOOKUP($G60,請求Data!$E$11:$AR$160,請求Data!$AC$10-請求Data!$D$10,FALSE))</f>
        <v/>
      </c>
      <c r="X60" s="607" t="str">
        <f t="shared" si="11"/>
        <v/>
      </c>
      <c r="Y60" s="608" t="str">
        <f t="shared" si="12"/>
        <v/>
      </c>
    </row>
    <row r="61" spans="1:25">
      <c r="A61" s="103">
        <v>55</v>
      </c>
      <c r="B61" s="247" t="str">
        <f>IF(LEFT($G61,1)="1",IF($H60=$H61,MAX($B$6:$B60)+1,IF(MAX($B$6:$B60)&lt;=0,1,MAX($B$6:$B60)+3)),"")</f>
        <v/>
      </c>
      <c r="C61" s="247" t="str">
        <f>IF(LEFT($G61,1)="2",IF($H60=$H61,MAX($C$6:$C60)+1,IF(MAX($C$6:$C60)&lt;=0,1,MAX($C$6:$C60)+3)),"")</f>
        <v/>
      </c>
      <c r="D61" s="247" t="str">
        <f>IF(LEFT($G61,1)="3",IF($H60=$H61,MAX($D$6:$D60)+1,IF(MAX($D$6:$D60)&lt;=0,1,MAX($D$6:$D60)+3)),"")</f>
        <v/>
      </c>
      <c r="E61" s="247" t="str">
        <f>IF(LEFT($G61,1)="4",IF($H60=$H61,MAX($E$6:$E60)+1,IF(MAX($E$6:$E60)&lt;=0,1,MAX($E$6:$E60)+3)),"")</f>
        <v/>
      </c>
      <c r="F61" s="477" t="str">
        <f t="shared" si="0"/>
        <v/>
      </c>
      <c r="G61" s="409" t="str">
        <f>IF(ISERROR(SMALL(請求Data!$E$11:$E$160,$A61)),"",SMALL(請求Data!$E$11:$E$160,$A61))</f>
        <v/>
      </c>
      <c r="H61" s="606" t="str">
        <f>IF($G61="","",VLOOKUP($G61,請求Data!$E$11:$AR$160,4,FALSE))</f>
        <v/>
      </c>
      <c r="I61" s="606" t="str">
        <f>IF($G61="","",VLOOKUP($G61,請求Data!$E$11:$AR$160,5,FALSE))</f>
        <v/>
      </c>
      <c r="J61" s="609" t="str">
        <f>IF($G61="","",IF(VLOOKUP($G61,請求Data!$E$11:$AR$160,請求Data!$Y$10-請求Data!$D$10,FALSE)="",1,0))</f>
        <v/>
      </c>
      <c r="K61" s="609" t="str">
        <f>IF($G61="","",IF(VLOOKUP($G61,請求Data!$E$11:$AR$160,請求Data!$Z$10-請求Data!$D$10,FALSE)="*",1,0))</f>
        <v/>
      </c>
      <c r="L61" s="607" t="str">
        <f>IF($G61="","",VLOOKUP($G61,請求Data!$E$11:$AR$160,請求Data!$AP$10-請求Data!$D$10,FALSE))</f>
        <v/>
      </c>
      <c r="M61" s="607" t="str">
        <f t="shared" si="1"/>
        <v/>
      </c>
      <c r="N61" s="607" t="str">
        <f t="shared" si="2"/>
        <v/>
      </c>
      <c r="O61" s="274" t="str">
        <f t="shared" si="13"/>
        <v/>
      </c>
      <c r="P61" s="274" t="str">
        <f t="shared" si="14"/>
        <v/>
      </c>
      <c r="Q61" s="274" t="str">
        <f t="shared" si="15"/>
        <v/>
      </c>
      <c r="R61" s="274" t="str">
        <f t="shared" si="16"/>
        <v/>
      </c>
      <c r="S61" s="607" t="str">
        <f t="shared" si="17"/>
        <v/>
      </c>
      <c r="T61" s="607" t="str">
        <f t="shared" si="18"/>
        <v/>
      </c>
      <c r="U61" s="607" t="str">
        <f t="shared" si="9"/>
        <v/>
      </c>
      <c r="V61" s="162" t="str">
        <f t="shared" si="10"/>
        <v/>
      </c>
      <c r="W61" s="609" t="str">
        <f>IF($G61="","",VLOOKUP($G61,請求Data!$E$11:$AR$160,請求Data!$AC$10-請求Data!$D$10,FALSE))</f>
        <v/>
      </c>
      <c r="X61" s="607" t="str">
        <f t="shared" si="11"/>
        <v/>
      </c>
      <c r="Y61" s="608" t="str">
        <f t="shared" si="12"/>
        <v/>
      </c>
    </row>
    <row r="62" spans="1:25">
      <c r="A62" s="103">
        <v>56</v>
      </c>
      <c r="B62" s="247" t="str">
        <f>IF(LEFT($G62,1)="1",IF($H61=$H62,MAX($B$6:$B61)+1,IF(MAX($B$6:$B61)&lt;=0,1,MAX($B$6:$B61)+3)),"")</f>
        <v/>
      </c>
      <c r="C62" s="247" t="str">
        <f>IF(LEFT($G62,1)="2",IF($H61=$H62,MAX($C$6:$C61)+1,IF(MAX($C$6:$C61)&lt;=0,1,MAX($C$6:$C61)+3)),"")</f>
        <v/>
      </c>
      <c r="D62" s="247" t="str">
        <f>IF(LEFT($G62,1)="3",IF($H61=$H62,MAX($D$6:$D61)+1,IF(MAX($D$6:$D61)&lt;=0,1,MAX($D$6:$D61)+3)),"")</f>
        <v/>
      </c>
      <c r="E62" s="247" t="str">
        <f>IF(LEFT($G62,1)="4",IF($H61=$H62,MAX($E$6:$E61)+1,IF(MAX($E$6:$E61)&lt;=0,1,MAX($E$6:$E61)+3)),"")</f>
        <v/>
      </c>
      <c r="F62" s="477" t="str">
        <f t="shared" si="0"/>
        <v/>
      </c>
      <c r="G62" s="409" t="str">
        <f>IF(ISERROR(SMALL(請求Data!$E$11:$E$160,$A62)),"",SMALL(請求Data!$E$11:$E$160,$A62))</f>
        <v/>
      </c>
      <c r="H62" s="606" t="str">
        <f>IF($G62="","",VLOOKUP($G62,請求Data!$E$11:$AR$160,4,FALSE))</f>
        <v/>
      </c>
      <c r="I62" s="606" t="str">
        <f>IF($G62="","",VLOOKUP($G62,請求Data!$E$11:$AR$160,5,FALSE))</f>
        <v/>
      </c>
      <c r="J62" s="609" t="str">
        <f>IF($G62="","",IF(VLOOKUP($G62,請求Data!$E$11:$AR$160,請求Data!$Y$10-請求Data!$D$10,FALSE)="",1,0))</f>
        <v/>
      </c>
      <c r="K62" s="609" t="str">
        <f>IF($G62="","",IF(VLOOKUP($G62,請求Data!$E$11:$AR$160,請求Data!$Z$10-請求Data!$D$10,FALSE)="*",1,0))</f>
        <v/>
      </c>
      <c r="L62" s="607" t="str">
        <f>IF($G62="","",VLOOKUP($G62,請求Data!$E$11:$AR$160,請求Data!$AP$10-請求Data!$D$10,FALSE))</f>
        <v/>
      </c>
      <c r="M62" s="607" t="str">
        <f t="shared" si="1"/>
        <v/>
      </c>
      <c r="N62" s="607" t="str">
        <f t="shared" si="2"/>
        <v/>
      </c>
      <c r="O62" s="274" t="str">
        <f t="shared" si="13"/>
        <v/>
      </c>
      <c r="P62" s="274" t="str">
        <f t="shared" si="14"/>
        <v/>
      </c>
      <c r="Q62" s="274" t="str">
        <f t="shared" si="15"/>
        <v/>
      </c>
      <c r="R62" s="274" t="str">
        <f t="shared" si="16"/>
        <v/>
      </c>
      <c r="S62" s="607" t="str">
        <f t="shared" si="17"/>
        <v/>
      </c>
      <c r="T62" s="607" t="str">
        <f t="shared" si="18"/>
        <v/>
      </c>
      <c r="U62" s="607" t="str">
        <f t="shared" si="9"/>
        <v/>
      </c>
      <c r="V62" s="162" t="str">
        <f t="shared" si="10"/>
        <v/>
      </c>
      <c r="W62" s="609" t="str">
        <f>IF($G62="","",VLOOKUP($G62,請求Data!$E$11:$AR$160,請求Data!$AC$10-請求Data!$D$10,FALSE))</f>
        <v/>
      </c>
      <c r="X62" s="607" t="str">
        <f t="shared" si="11"/>
        <v/>
      </c>
      <c r="Y62" s="608" t="str">
        <f t="shared" si="12"/>
        <v/>
      </c>
    </row>
    <row r="63" spans="1:25">
      <c r="A63" s="103">
        <v>57</v>
      </c>
      <c r="B63" s="247" t="str">
        <f>IF(LEFT($G63,1)="1",IF($H62=$H63,MAX($B$6:$B62)+1,IF(MAX($B$6:$B62)&lt;=0,1,MAX($B$6:$B62)+3)),"")</f>
        <v/>
      </c>
      <c r="C63" s="247" t="str">
        <f>IF(LEFT($G63,1)="2",IF($H62=$H63,MAX($C$6:$C62)+1,IF(MAX($C$6:$C62)&lt;=0,1,MAX($C$6:$C62)+3)),"")</f>
        <v/>
      </c>
      <c r="D63" s="247" t="str">
        <f>IF(LEFT($G63,1)="3",IF($H62=$H63,MAX($D$6:$D62)+1,IF(MAX($D$6:$D62)&lt;=0,1,MAX($D$6:$D62)+3)),"")</f>
        <v/>
      </c>
      <c r="E63" s="247" t="str">
        <f>IF(LEFT($G63,1)="4",IF($H62=$H63,MAX($E$6:$E62)+1,IF(MAX($E$6:$E62)&lt;=0,1,MAX($E$6:$E62)+3)),"")</f>
        <v/>
      </c>
      <c r="F63" s="477" t="str">
        <f t="shared" si="0"/>
        <v/>
      </c>
      <c r="G63" s="409" t="str">
        <f>IF(ISERROR(SMALL(請求Data!$E$11:$E$160,$A63)),"",SMALL(請求Data!$E$11:$E$160,$A63))</f>
        <v/>
      </c>
      <c r="H63" s="606" t="str">
        <f>IF($G63="","",VLOOKUP($G63,請求Data!$E$11:$AR$160,4,FALSE))</f>
        <v/>
      </c>
      <c r="I63" s="606" t="str">
        <f>IF($G63="","",VLOOKUP($G63,請求Data!$E$11:$AR$160,5,FALSE))</f>
        <v/>
      </c>
      <c r="J63" s="609" t="str">
        <f>IF($G63="","",IF(VLOOKUP($G63,請求Data!$E$11:$AR$160,請求Data!$Y$10-請求Data!$D$10,FALSE)="",1,0))</f>
        <v/>
      </c>
      <c r="K63" s="609" t="str">
        <f>IF($G63="","",IF(VLOOKUP($G63,請求Data!$E$11:$AR$160,請求Data!$Z$10-請求Data!$D$10,FALSE)="*",1,0))</f>
        <v/>
      </c>
      <c r="L63" s="607" t="str">
        <f>IF($G63="","",VLOOKUP($G63,請求Data!$E$11:$AR$160,請求Data!$AP$10-請求Data!$D$10,FALSE))</f>
        <v/>
      </c>
      <c r="M63" s="607" t="str">
        <f t="shared" si="1"/>
        <v/>
      </c>
      <c r="N63" s="607" t="str">
        <f t="shared" si="2"/>
        <v/>
      </c>
      <c r="O63" s="274" t="str">
        <f t="shared" si="13"/>
        <v/>
      </c>
      <c r="P63" s="274" t="str">
        <f t="shared" si="14"/>
        <v/>
      </c>
      <c r="Q63" s="274" t="str">
        <f t="shared" si="15"/>
        <v/>
      </c>
      <c r="R63" s="274" t="str">
        <f t="shared" si="16"/>
        <v/>
      </c>
      <c r="S63" s="607" t="str">
        <f t="shared" si="17"/>
        <v/>
      </c>
      <c r="T63" s="607" t="str">
        <f t="shared" si="18"/>
        <v/>
      </c>
      <c r="U63" s="607" t="str">
        <f t="shared" si="9"/>
        <v/>
      </c>
      <c r="V63" s="162" t="str">
        <f t="shared" si="10"/>
        <v/>
      </c>
      <c r="W63" s="609" t="str">
        <f>IF($G63="","",VLOOKUP($G63,請求Data!$E$11:$AR$160,請求Data!$AC$10-請求Data!$D$10,FALSE))</f>
        <v/>
      </c>
      <c r="X63" s="607" t="str">
        <f t="shared" si="11"/>
        <v/>
      </c>
      <c r="Y63" s="608" t="str">
        <f t="shared" si="12"/>
        <v/>
      </c>
    </row>
    <row r="64" spans="1:25">
      <c r="A64" s="103">
        <v>58</v>
      </c>
      <c r="B64" s="247" t="str">
        <f>IF(LEFT($G64,1)="1",IF($H63=$H64,MAX($B$6:$B63)+1,IF(MAX($B$6:$B63)&lt;=0,1,MAX($B$6:$B63)+3)),"")</f>
        <v/>
      </c>
      <c r="C64" s="247" t="str">
        <f>IF(LEFT($G64,1)="2",IF($H63=$H64,MAX($C$6:$C63)+1,IF(MAX($C$6:$C63)&lt;=0,1,MAX($C$6:$C63)+3)),"")</f>
        <v/>
      </c>
      <c r="D64" s="247" t="str">
        <f>IF(LEFT($G64,1)="3",IF($H63=$H64,MAX($D$6:$D63)+1,IF(MAX($D$6:$D63)&lt;=0,1,MAX($D$6:$D63)+3)),"")</f>
        <v/>
      </c>
      <c r="E64" s="247" t="str">
        <f>IF(LEFT($G64,1)="4",IF($H63=$H64,MAX($E$6:$E63)+1,IF(MAX($E$6:$E63)&lt;=0,1,MAX($E$6:$E63)+3)),"")</f>
        <v/>
      </c>
      <c r="F64" s="477" t="str">
        <f t="shared" si="0"/>
        <v/>
      </c>
      <c r="G64" s="409" t="str">
        <f>IF(ISERROR(SMALL(請求Data!$E$11:$E$160,$A64)),"",SMALL(請求Data!$E$11:$E$160,$A64))</f>
        <v/>
      </c>
      <c r="H64" s="606" t="str">
        <f>IF($G64="","",VLOOKUP($G64,請求Data!$E$11:$AR$160,4,FALSE))</f>
        <v/>
      </c>
      <c r="I64" s="606" t="str">
        <f>IF($G64="","",VLOOKUP($G64,請求Data!$E$11:$AR$160,5,FALSE))</f>
        <v/>
      </c>
      <c r="J64" s="609" t="str">
        <f>IF($G64="","",IF(VLOOKUP($G64,請求Data!$E$11:$AR$160,請求Data!$Y$10-請求Data!$D$10,FALSE)="",1,0))</f>
        <v/>
      </c>
      <c r="K64" s="609" t="str">
        <f>IF($G64="","",IF(VLOOKUP($G64,請求Data!$E$11:$AR$160,請求Data!$Z$10-請求Data!$D$10,FALSE)="*",1,0))</f>
        <v/>
      </c>
      <c r="L64" s="607" t="str">
        <f>IF($G64="","",VLOOKUP($G64,請求Data!$E$11:$AR$160,請求Data!$AP$10-請求Data!$D$10,FALSE))</f>
        <v/>
      </c>
      <c r="M64" s="607" t="str">
        <f t="shared" si="1"/>
        <v/>
      </c>
      <c r="N64" s="607" t="str">
        <f t="shared" si="2"/>
        <v/>
      </c>
      <c r="O64" s="274" t="str">
        <f t="shared" si="13"/>
        <v/>
      </c>
      <c r="P64" s="274" t="str">
        <f t="shared" si="14"/>
        <v/>
      </c>
      <c r="Q64" s="274" t="str">
        <f t="shared" si="15"/>
        <v/>
      </c>
      <c r="R64" s="274" t="str">
        <f t="shared" si="16"/>
        <v/>
      </c>
      <c r="S64" s="607" t="str">
        <f t="shared" si="17"/>
        <v/>
      </c>
      <c r="T64" s="607" t="str">
        <f t="shared" si="18"/>
        <v/>
      </c>
      <c r="U64" s="607" t="str">
        <f t="shared" si="9"/>
        <v/>
      </c>
      <c r="V64" s="162" t="str">
        <f t="shared" si="10"/>
        <v/>
      </c>
      <c r="W64" s="609" t="str">
        <f>IF($G64="","",VLOOKUP($G64,請求Data!$E$11:$AR$160,請求Data!$AC$10-請求Data!$D$10,FALSE))</f>
        <v/>
      </c>
      <c r="X64" s="607" t="str">
        <f t="shared" si="11"/>
        <v/>
      </c>
      <c r="Y64" s="608" t="str">
        <f t="shared" si="12"/>
        <v/>
      </c>
    </row>
    <row r="65" spans="1:25">
      <c r="A65" s="103">
        <v>59</v>
      </c>
      <c r="B65" s="247" t="str">
        <f>IF(LEFT($G65,1)="1",IF($H64=$H65,MAX($B$6:$B64)+1,IF(MAX($B$6:$B64)&lt;=0,1,MAX($B$6:$B64)+3)),"")</f>
        <v/>
      </c>
      <c r="C65" s="247" t="str">
        <f>IF(LEFT($G65,1)="2",IF($H64=$H65,MAX($C$6:$C64)+1,IF(MAX($C$6:$C64)&lt;=0,1,MAX($C$6:$C64)+3)),"")</f>
        <v/>
      </c>
      <c r="D65" s="247" t="str">
        <f>IF(LEFT($G65,1)="3",IF($H64=$H65,MAX($D$6:$D64)+1,IF(MAX($D$6:$D64)&lt;=0,1,MAX($D$6:$D64)+3)),"")</f>
        <v/>
      </c>
      <c r="E65" s="247" t="str">
        <f>IF(LEFT($G65,1)="4",IF($H64=$H65,MAX($E$6:$E64)+1,IF(MAX($E$6:$E64)&lt;=0,1,MAX($E$6:$E64)+3)),"")</f>
        <v/>
      </c>
      <c r="F65" s="477" t="str">
        <f t="shared" si="0"/>
        <v/>
      </c>
      <c r="G65" s="409" t="str">
        <f>IF(ISERROR(SMALL(請求Data!$E$11:$E$160,$A65)),"",SMALL(請求Data!$E$11:$E$160,$A65))</f>
        <v/>
      </c>
      <c r="H65" s="606" t="str">
        <f>IF($G65="","",VLOOKUP($G65,請求Data!$E$11:$AR$160,4,FALSE))</f>
        <v/>
      </c>
      <c r="I65" s="606" t="str">
        <f>IF($G65="","",VLOOKUP($G65,請求Data!$E$11:$AR$160,5,FALSE))</f>
        <v/>
      </c>
      <c r="J65" s="609" t="str">
        <f>IF($G65="","",IF(VLOOKUP($G65,請求Data!$E$11:$AR$160,請求Data!$Y$10-請求Data!$D$10,FALSE)="",1,0))</f>
        <v/>
      </c>
      <c r="K65" s="609" t="str">
        <f>IF($G65="","",IF(VLOOKUP($G65,請求Data!$E$11:$AR$160,請求Data!$Z$10-請求Data!$D$10,FALSE)="*",1,0))</f>
        <v/>
      </c>
      <c r="L65" s="607" t="str">
        <f>IF($G65="","",VLOOKUP($G65,請求Data!$E$11:$AR$160,請求Data!$AP$10-請求Data!$D$10,FALSE))</f>
        <v/>
      </c>
      <c r="M65" s="607" t="str">
        <f t="shared" si="1"/>
        <v/>
      </c>
      <c r="N65" s="607" t="str">
        <f t="shared" si="2"/>
        <v/>
      </c>
      <c r="O65" s="274" t="str">
        <f t="shared" si="13"/>
        <v/>
      </c>
      <c r="P65" s="274" t="str">
        <f t="shared" si="14"/>
        <v/>
      </c>
      <c r="Q65" s="274" t="str">
        <f t="shared" si="15"/>
        <v/>
      </c>
      <c r="R65" s="274" t="str">
        <f t="shared" si="16"/>
        <v/>
      </c>
      <c r="S65" s="607" t="str">
        <f t="shared" si="17"/>
        <v/>
      </c>
      <c r="T65" s="607" t="str">
        <f t="shared" si="18"/>
        <v/>
      </c>
      <c r="U65" s="607" t="str">
        <f t="shared" si="9"/>
        <v/>
      </c>
      <c r="V65" s="162" t="str">
        <f t="shared" si="10"/>
        <v/>
      </c>
      <c r="W65" s="609" t="str">
        <f>IF($G65="","",VLOOKUP($G65,請求Data!$E$11:$AR$160,請求Data!$AC$10-請求Data!$D$10,FALSE))</f>
        <v/>
      </c>
      <c r="X65" s="607" t="str">
        <f t="shared" si="11"/>
        <v/>
      </c>
      <c r="Y65" s="608" t="str">
        <f t="shared" si="12"/>
        <v/>
      </c>
    </row>
    <row r="66" spans="1:25">
      <c r="A66" s="103">
        <v>60</v>
      </c>
      <c r="B66" s="247" t="str">
        <f>IF(LEFT($G66,1)="1",IF($H65=$H66,MAX($B$6:$B65)+1,IF(MAX($B$6:$B65)&lt;=0,1,MAX($B$6:$B65)+3)),"")</f>
        <v/>
      </c>
      <c r="C66" s="247" t="str">
        <f>IF(LEFT($G66,1)="2",IF($H65=$H66,MAX($C$6:$C65)+1,IF(MAX($C$6:$C65)&lt;=0,1,MAX($C$6:$C65)+3)),"")</f>
        <v/>
      </c>
      <c r="D66" s="247" t="str">
        <f>IF(LEFT($G66,1)="3",IF($H65=$H66,MAX($D$6:$D65)+1,IF(MAX($D$6:$D65)&lt;=0,1,MAX($D$6:$D65)+3)),"")</f>
        <v/>
      </c>
      <c r="E66" s="247" t="str">
        <f>IF(LEFT($G66,1)="4",IF($H65=$H66,MAX($E$6:$E65)+1,IF(MAX($E$6:$E65)&lt;=0,1,MAX($E$6:$E65)+3)),"")</f>
        <v/>
      </c>
      <c r="F66" s="477" t="str">
        <f t="shared" si="0"/>
        <v/>
      </c>
      <c r="G66" s="409" t="str">
        <f>IF(ISERROR(SMALL(請求Data!$E$11:$E$160,$A66)),"",SMALL(請求Data!$E$11:$E$160,$A66))</f>
        <v/>
      </c>
      <c r="H66" s="606" t="str">
        <f>IF($G66="","",VLOOKUP($G66,請求Data!$E$11:$AR$160,4,FALSE))</f>
        <v/>
      </c>
      <c r="I66" s="606" t="str">
        <f>IF($G66="","",VLOOKUP($G66,請求Data!$E$11:$AR$160,5,FALSE))</f>
        <v/>
      </c>
      <c r="J66" s="609" t="str">
        <f>IF($G66="","",IF(VLOOKUP($G66,請求Data!$E$11:$AR$160,請求Data!$Y$10-請求Data!$D$10,FALSE)="",1,0))</f>
        <v/>
      </c>
      <c r="K66" s="609" t="str">
        <f>IF($G66="","",IF(VLOOKUP($G66,請求Data!$E$11:$AR$160,請求Data!$Z$10-請求Data!$D$10,FALSE)="*",1,0))</f>
        <v/>
      </c>
      <c r="L66" s="607" t="str">
        <f>IF($G66="","",VLOOKUP($G66,請求Data!$E$11:$AR$160,請求Data!$AP$10-請求Data!$D$10,FALSE))</f>
        <v/>
      </c>
      <c r="M66" s="607" t="str">
        <f t="shared" si="1"/>
        <v/>
      </c>
      <c r="N66" s="607" t="str">
        <f t="shared" si="2"/>
        <v/>
      </c>
      <c r="O66" s="274" t="str">
        <f t="shared" si="13"/>
        <v/>
      </c>
      <c r="P66" s="274" t="str">
        <f t="shared" si="14"/>
        <v/>
      </c>
      <c r="Q66" s="274" t="str">
        <f t="shared" si="15"/>
        <v/>
      </c>
      <c r="R66" s="274" t="str">
        <f t="shared" si="16"/>
        <v/>
      </c>
      <c r="S66" s="607" t="str">
        <f t="shared" si="17"/>
        <v/>
      </c>
      <c r="T66" s="607" t="str">
        <f t="shared" si="18"/>
        <v/>
      </c>
      <c r="U66" s="607" t="str">
        <f t="shared" si="9"/>
        <v/>
      </c>
      <c r="V66" s="162" t="str">
        <f t="shared" si="10"/>
        <v/>
      </c>
      <c r="W66" s="609" t="str">
        <f>IF($G66="","",VLOOKUP($G66,請求Data!$E$11:$AR$160,請求Data!$AC$10-請求Data!$D$10,FALSE))</f>
        <v/>
      </c>
      <c r="X66" s="607" t="str">
        <f t="shared" si="11"/>
        <v/>
      </c>
      <c r="Y66" s="608" t="str">
        <f t="shared" si="12"/>
        <v/>
      </c>
    </row>
    <row r="67" spans="1:25">
      <c r="A67" s="103">
        <v>61</v>
      </c>
      <c r="B67" s="247" t="str">
        <f>IF(LEFT($G67,1)="1",IF($H66=$H67,MAX($B$6:$B66)+1,IF(MAX($B$6:$B66)&lt;=0,1,MAX($B$6:$B66)+3)),"")</f>
        <v/>
      </c>
      <c r="C67" s="247" t="str">
        <f>IF(LEFT($G67,1)="2",IF($H66=$H67,MAX($C$6:$C66)+1,IF(MAX($C$6:$C66)&lt;=0,1,MAX($C$6:$C66)+3)),"")</f>
        <v/>
      </c>
      <c r="D67" s="247" t="str">
        <f>IF(LEFT($G67,1)="3",IF($H66=$H67,MAX($D$6:$D66)+1,IF(MAX($D$6:$D66)&lt;=0,1,MAX($D$6:$D66)+3)),"")</f>
        <v/>
      </c>
      <c r="E67" s="247" t="str">
        <f>IF(LEFT($G67,1)="4",IF($H66=$H67,MAX($E$6:$E66)+1,IF(MAX($E$6:$E66)&lt;=0,1,MAX($E$6:$E66)+3)),"")</f>
        <v/>
      </c>
      <c r="F67" s="477" t="str">
        <f t="shared" si="0"/>
        <v/>
      </c>
      <c r="G67" s="409" t="str">
        <f>IF(ISERROR(SMALL(請求Data!$E$11:$E$160,$A67)),"",SMALL(請求Data!$E$11:$E$160,$A67))</f>
        <v/>
      </c>
      <c r="H67" s="606" t="str">
        <f>IF($G67="","",VLOOKUP($G67,請求Data!$E$11:$AR$160,4,FALSE))</f>
        <v/>
      </c>
      <c r="I67" s="606" t="str">
        <f>IF($G67="","",VLOOKUP($G67,請求Data!$E$11:$AR$160,5,FALSE))</f>
        <v/>
      </c>
      <c r="J67" s="609" t="str">
        <f>IF($G67="","",IF(VLOOKUP($G67,請求Data!$E$11:$AR$160,請求Data!$Y$10-請求Data!$D$10,FALSE)="",1,0))</f>
        <v/>
      </c>
      <c r="K67" s="609" t="str">
        <f>IF($G67="","",IF(VLOOKUP($G67,請求Data!$E$11:$AR$160,請求Data!$Z$10-請求Data!$D$10,FALSE)="*",1,0))</f>
        <v/>
      </c>
      <c r="L67" s="607" t="str">
        <f>IF($G67="","",VLOOKUP($G67,請求Data!$E$11:$AR$160,請求Data!$AP$10-請求Data!$D$10,FALSE))</f>
        <v/>
      </c>
      <c r="M67" s="607" t="str">
        <f t="shared" si="1"/>
        <v/>
      </c>
      <c r="N67" s="607" t="str">
        <f t="shared" si="2"/>
        <v/>
      </c>
      <c r="O67" s="274" t="str">
        <f t="shared" si="13"/>
        <v/>
      </c>
      <c r="P67" s="274" t="str">
        <f t="shared" si="14"/>
        <v/>
      </c>
      <c r="Q67" s="274" t="str">
        <f t="shared" si="15"/>
        <v/>
      </c>
      <c r="R67" s="274" t="str">
        <f t="shared" si="16"/>
        <v/>
      </c>
      <c r="S67" s="607" t="str">
        <f t="shared" si="17"/>
        <v/>
      </c>
      <c r="T67" s="607" t="str">
        <f t="shared" si="18"/>
        <v/>
      </c>
      <c r="U67" s="607" t="str">
        <f t="shared" si="9"/>
        <v/>
      </c>
      <c r="V67" s="162" t="str">
        <f t="shared" si="10"/>
        <v/>
      </c>
      <c r="W67" s="609" t="str">
        <f>IF($G67="","",VLOOKUP($G67,請求Data!$E$11:$AR$160,請求Data!$AC$10-請求Data!$D$10,FALSE))</f>
        <v/>
      </c>
      <c r="X67" s="607" t="str">
        <f t="shared" si="11"/>
        <v/>
      </c>
      <c r="Y67" s="608" t="str">
        <f t="shared" si="12"/>
        <v/>
      </c>
    </row>
    <row r="68" spans="1:25">
      <c r="A68" s="103">
        <v>62</v>
      </c>
      <c r="B68" s="247" t="str">
        <f>IF(LEFT($G68,1)="1",IF($H67=$H68,MAX($B$6:$B67)+1,IF(MAX($B$6:$B67)&lt;=0,1,MAX($B$6:$B67)+3)),"")</f>
        <v/>
      </c>
      <c r="C68" s="247" t="str">
        <f>IF(LEFT($G68,1)="2",IF($H67=$H68,MAX($C$6:$C67)+1,IF(MAX($C$6:$C67)&lt;=0,1,MAX($C$6:$C67)+3)),"")</f>
        <v/>
      </c>
      <c r="D68" s="247" t="str">
        <f>IF(LEFT($G68,1)="3",IF($H67=$H68,MAX($D$6:$D67)+1,IF(MAX($D$6:$D67)&lt;=0,1,MAX($D$6:$D67)+3)),"")</f>
        <v/>
      </c>
      <c r="E68" s="247" t="str">
        <f>IF(LEFT($G68,1)="4",IF($H67=$H68,MAX($E$6:$E67)+1,IF(MAX($E$6:$E67)&lt;=0,1,MAX($E$6:$E67)+3)),"")</f>
        <v/>
      </c>
      <c r="F68" s="477" t="str">
        <f t="shared" si="0"/>
        <v/>
      </c>
      <c r="G68" s="409" t="str">
        <f>IF(ISERROR(SMALL(請求Data!$E$11:$E$160,$A68)),"",SMALL(請求Data!$E$11:$E$160,$A68))</f>
        <v/>
      </c>
      <c r="H68" s="606" t="str">
        <f>IF($G68="","",VLOOKUP($G68,請求Data!$E$11:$AR$160,4,FALSE))</f>
        <v/>
      </c>
      <c r="I68" s="606" t="str">
        <f>IF($G68="","",VLOOKUP($G68,請求Data!$E$11:$AR$160,5,FALSE))</f>
        <v/>
      </c>
      <c r="J68" s="609" t="str">
        <f>IF($G68="","",IF(VLOOKUP($G68,請求Data!$E$11:$AR$160,請求Data!$Y$10-請求Data!$D$10,FALSE)="",1,0))</f>
        <v/>
      </c>
      <c r="K68" s="609" t="str">
        <f>IF($G68="","",IF(VLOOKUP($G68,請求Data!$E$11:$AR$160,請求Data!$Z$10-請求Data!$D$10,FALSE)="*",1,0))</f>
        <v/>
      </c>
      <c r="L68" s="607" t="str">
        <f>IF($G68="","",VLOOKUP($G68,請求Data!$E$11:$AR$160,請求Data!$AP$10-請求Data!$D$10,FALSE))</f>
        <v/>
      </c>
      <c r="M68" s="607" t="str">
        <f t="shared" si="1"/>
        <v/>
      </c>
      <c r="N68" s="607" t="str">
        <f t="shared" si="2"/>
        <v/>
      </c>
      <c r="O68" s="274" t="str">
        <f t="shared" si="13"/>
        <v/>
      </c>
      <c r="P68" s="274" t="str">
        <f t="shared" si="14"/>
        <v/>
      </c>
      <c r="Q68" s="274" t="str">
        <f t="shared" si="15"/>
        <v/>
      </c>
      <c r="R68" s="274" t="str">
        <f t="shared" si="16"/>
        <v/>
      </c>
      <c r="S68" s="607" t="str">
        <f t="shared" si="17"/>
        <v/>
      </c>
      <c r="T68" s="607" t="str">
        <f t="shared" si="18"/>
        <v/>
      </c>
      <c r="U68" s="607" t="str">
        <f t="shared" si="9"/>
        <v/>
      </c>
      <c r="V68" s="162" t="str">
        <f t="shared" si="10"/>
        <v/>
      </c>
      <c r="W68" s="609" t="str">
        <f>IF($G68="","",VLOOKUP($G68,請求Data!$E$11:$AR$160,請求Data!$AC$10-請求Data!$D$10,FALSE))</f>
        <v/>
      </c>
      <c r="X68" s="607" t="str">
        <f t="shared" si="11"/>
        <v/>
      </c>
      <c r="Y68" s="608" t="str">
        <f t="shared" si="12"/>
        <v/>
      </c>
    </row>
    <row r="69" spans="1:25">
      <c r="A69" s="103">
        <v>63</v>
      </c>
      <c r="B69" s="247" t="str">
        <f>IF(LEFT($G69,1)="1",IF($H68=$H69,MAX($B$6:$B68)+1,IF(MAX($B$6:$B68)&lt;=0,1,MAX($B$6:$B68)+3)),"")</f>
        <v/>
      </c>
      <c r="C69" s="247" t="str">
        <f>IF(LEFT($G69,1)="2",IF($H68=$H69,MAX($C$6:$C68)+1,IF(MAX($C$6:$C68)&lt;=0,1,MAX($C$6:$C68)+3)),"")</f>
        <v/>
      </c>
      <c r="D69" s="247" t="str">
        <f>IF(LEFT($G69,1)="3",IF($H68=$H69,MAX($D$6:$D68)+1,IF(MAX($D$6:$D68)&lt;=0,1,MAX($D$6:$D68)+3)),"")</f>
        <v/>
      </c>
      <c r="E69" s="247" t="str">
        <f>IF(LEFT($G69,1)="4",IF($H68=$H69,MAX($E$6:$E68)+1,IF(MAX($E$6:$E68)&lt;=0,1,MAX($E$6:$E68)+3)),"")</f>
        <v/>
      </c>
      <c r="F69" s="477" t="str">
        <f t="shared" si="0"/>
        <v/>
      </c>
      <c r="G69" s="409" t="str">
        <f>IF(ISERROR(SMALL(請求Data!$E$11:$E$160,$A69)),"",SMALL(請求Data!$E$11:$E$160,$A69))</f>
        <v/>
      </c>
      <c r="H69" s="606" t="str">
        <f>IF($G69="","",VLOOKUP($G69,請求Data!$E$11:$AR$160,4,FALSE))</f>
        <v/>
      </c>
      <c r="I69" s="606" t="str">
        <f>IF($G69="","",VLOOKUP($G69,請求Data!$E$11:$AR$160,5,FALSE))</f>
        <v/>
      </c>
      <c r="J69" s="609" t="str">
        <f>IF($G69="","",IF(VLOOKUP($G69,請求Data!$E$11:$AR$160,請求Data!$Y$10-請求Data!$D$10,FALSE)="",1,0))</f>
        <v/>
      </c>
      <c r="K69" s="609" t="str">
        <f>IF($G69="","",IF(VLOOKUP($G69,請求Data!$E$11:$AR$160,請求Data!$Z$10-請求Data!$D$10,FALSE)="*",1,0))</f>
        <v/>
      </c>
      <c r="L69" s="607" t="str">
        <f>IF($G69="","",VLOOKUP($G69,請求Data!$E$11:$AR$160,請求Data!$AP$10-請求Data!$D$10,FALSE))</f>
        <v/>
      </c>
      <c r="M69" s="607" t="str">
        <f t="shared" si="1"/>
        <v/>
      </c>
      <c r="N69" s="607" t="str">
        <f t="shared" si="2"/>
        <v/>
      </c>
      <c r="O69" s="274" t="str">
        <f t="shared" si="13"/>
        <v/>
      </c>
      <c r="P69" s="274" t="str">
        <f t="shared" si="14"/>
        <v/>
      </c>
      <c r="Q69" s="274" t="str">
        <f t="shared" si="15"/>
        <v/>
      </c>
      <c r="R69" s="274" t="str">
        <f t="shared" si="16"/>
        <v/>
      </c>
      <c r="S69" s="607" t="str">
        <f t="shared" si="17"/>
        <v/>
      </c>
      <c r="T69" s="607" t="str">
        <f t="shared" si="18"/>
        <v/>
      </c>
      <c r="U69" s="607" t="str">
        <f t="shared" si="9"/>
        <v/>
      </c>
      <c r="V69" s="162" t="str">
        <f t="shared" si="10"/>
        <v/>
      </c>
      <c r="W69" s="609" t="str">
        <f>IF($G69="","",VLOOKUP($G69,請求Data!$E$11:$AR$160,請求Data!$AC$10-請求Data!$D$10,FALSE))</f>
        <v/>
      </c>
      <c r="X69" s="607" t="str">
        <f t="shared" si="11"/>
        <v/>
      </c>
      <c r="Y69" s="608" t="str">
        <f t="shared" si="12"/>
        <v/>
      </c>
    </row>
    <row r="70" spans="1:25">
      <c r="A70" s="103">
        <v>64</v>
      </c>
      <c r="B70" s="247" t="str">
        <f>IF(LEFT($G70,1)="1",IF($H69=$H70,MAX($B$6:$B69)+1,IF(MAX($B$6:$B69)&lt;=0,1,MAX($B$6:$B69)+3)),"")</f>
        <v/>
      </c>
      <c r="C70" s="247" t="str">
        <f>IF(LEFT($G70,1)="2",IF($H69=$H70,MAX($C$6:$C69)+1,IF(MAX($C$6:$C69)&lt;=0,1,MAX($C$6:$C69)+3)),"")</f>
        <v/>
      </c>
      <c r="D70" s="247" t="str">
        <f>IF(LEFT($G70,1)="3",IF($H69=$H70,MAX($D$6:$D69)+1,IF(MAX($D$6:$D69)&lt;=0,1,MAX($D$6:$D69)+3)),"")</f>
        <v/>
      </c>
      <c r="E70" s="247" t="str">
        <f>IF(LEFT($G70,1)="4",IF($H69=$H70,MAX($E$6:$E69)+1,IF(MAX($E$6:$E69)&lt;=0,1,MAX($E$6:$E69)+3)),"")</f>
        <v/>
      </c>
      <c r="F70" s="477" t="str">
        <f t="shared" si="0"/>
        <v/>
      </c>
      <c r="G70" s="409" t="str">
        <f>IF(ISERROR(SMALL(請求Data!$E$11:$E$160,$A70)),"",SMALL(請求Data!$E$11:$E$160,$A70))</f>
        <v/>
      </c>
      <c r="H70" s="606" t="str">
        <f>IF($G70="","",VLOOKUP($G70,請求Data!$E$11:$AR$160,4,FALSE))</f>
        <v/>
      </c>
      <c r="I70" s="606" t="str">
        <f>IF($G70="","",VLOOKUP($G70,請求Data!$E$11:$AR$160,5,FALSE))</f>
        <v/>
      </c>
      <c r="J70" s="609" t="str">
        <f>IF($G70="","",IF(VLOOKUP($G70,請求Data!$E$11:$AR$160,請求Data!$Y$10-請求Data!$D$10,FALSE)="",1,0))</f>
        <v/>
      </c>
      <c r="K70" s="609" t="str">
        <f>IF($G70="","",IF(VLOOKUP($G70,請求Data!$E$11:$AR$160,請求Data!$Z$10-請求Data!$D$10,FALSE)="*",1,0))</f>
        <v/>
      </c>
      <c r="L70" s="607" t="str">
        <f>IF($G70="","",VLOOKUP($G70,請求Data!$E$11:$AR$160,請求Data!$AP$10-請求Data!$D$10,FALSE))</f>
        <v/>
      </c>
      <c r="M70" s="607" t="str">
        <f t="shared" si="1"/>
        <v/>
      </c>
      <c r="N70" s="607" t="str">
        <f t="shared" si="2"/>
        <v/>
      </c>
      <c r="O70" s="274" t="str">
        <f t="shared" si="13"/>
        <v/>
      </c>
      <c r="P70" s="274" t="str">
        <f t="shared" si="14"/>
        <v/>
      </c>
      <c r="Q70" s="274" t="str">
        <f t="shared" si="15"/>
        <v/>
      </c>
      <c r="R70" s="274" t="str">
        <f t="shared" si="16"/>
        <v/>
      </c>
      <c r="S70" s="607" t="str">
        <f t="shared" si="17"/>
        <v/>
      </c>
      <c r="T70" s="607" t="str">
        <f t="shared" si="18"/>
        <v/>
      </c>
      <c r="U70" s="607" t="str">
        <f t="shared" si="9"/>
        <v/>
      </c>
      <c r="V70" s="162" t="str">
        <f t="shared" si="10"/>
        <v/>
      </c>
      <c r="W70" s="609" t="str">
        <f>IF($G70="","",VLOOKUP($G70,請求Data!$E$11:$AR$160,請求Data!$AC$10-請求Data!$D$10,FALSE))</f>
        <v/>
      </c>
      <c r="X70" s="607" t="str">
        <f t="shared" si="11"/>
        <v/>
      </c>
      <c r="Y70" s="608" t="str">
        <f t="shared" si="12"/>
        <v/>
      </c>
    </row>
    <row r="71" spans="1:25">
      <c r="A71" s="103">
        <v>65</v>
      </c>
      <c r="B71" s="247" t="str">
        <f>IF(LEFT($G71,1)="1",IF($H70=$H71,MAX($B$6:$B70)+1,IF(MAX($B$6:$B70)&lt;=0,1,MAX($B$6:$B70)+3)),"")</f>
        <v/>
      </c>
      <c r="C71" s="247" t="str">
        <f>IF(LEFT($G71,1)="2",IF($H70=$H71,MAX($C$6:$C70)+1,IF(MAX($C$6:$C70)&lt;=0,1,MAX($C$6:$C70)+3)),"")</f>
        <v/>
      </c>
      <c r="D71" s="247" t="str">
        <f>IF(LEFT($G71,1)="3",IF($H70=$H71,MAX($D$6:$D70)+1,IF(MAX($D$6:$D70)&lt;=0,1,MAX($D$6:$D70)+3)),"")</f>
        <v/>
      </c>
      <c r="E71" s="247" t="str">
        <f>IF(LEFT($G71,1)="4",IF($H70=$H71,MAX($E$6:$E70)+1,IF(MAX($E$6:$E70)&lt;=0,1,MAX($E$6:$E70)+3)),"")</f>
        <v/>
      </c>
      <c r="F71" s="477" t="str">
        <f t="shared" si="0"/>
        <v/>
      </c>
      <c r="G71" s="409" t="str">
        <f>IF(ISERROR(SMALL(請求Data!$E$11:$E$160,$A71)),"",SMALL(請求Data!$E$11:$E$160,$A71))</f>
        <v/>
      </c>
      <c r="H71" s="606" t="str">
        <f>IF($G71="","",VLOOKUP($G71,請求Data!$E$11:$AR$160,4,FALSE))</f>
        <v/>
      </c>
      <c r="I71" s="606" t="str">
        <f>IF($G71="","",VLOOKUP($G71,請求Data!$E$11:$AR$160,5,FALSE))</f>
        <v/>
      </c>
      <c r="J71" s="609" t="str">
        <f>IF($G71="","",IF(VLOOKUP($G71,請求Data!$E$11:$AR$160,請求Data!$Y$10-請求Data!$D$10,FALSE)="",1,0))</f>
        <v/>
      </c>
      <c r="K71" s="609" t="str">
        <f>IF($G71="","",IF(VLOOKUP($G71,請求Data!$E$11:$AR$160,請求Data!$Z$10-請求Data!$D$10,FALSE)="*",1,0))</f>
        <v/>
      </c>
      <c r="L71" s="607" t="str">
        <f>IF($G71="","",VLOOKUP($G71,請求Data!$E$11:$AR$160,請求Data!$AP$10-請求Data!$D$10,FALSE))</f>
        <v/>
      </c>
      <c r="M71" s="607" t="str">
        <f t="shared" si="1"/>
        <v/>
      </c>
      <c r="N71" s="607" t="str">
        <f t="shared" si="2"/>
        <v/>
      </c>
      <c r="O71" s="274" t="str">
        <f t="shared" si="13"/>
        <v/>
      </c>
      <c r="P71" s="274" t="str">
        <f t="shared" si="14"/>
        <v/>
      </c>
      <c r="Q71" s="274" t="str">
        <f t="shared" si="15"/>
        <v/>
      </c>
      <c r="R71" s="274" t="str">
        <f t="shared" si="16"/>
        <v/>
      </c>
      <c r="S71" s="607" t="str">
        <f t="shared" si="17"/>
        <v/>
      </c>
      <c r="T71" s="607" t="str">
        <f t="shared" si="18"/>
        <v/>
      </c>
      <c r="U71" s="607" t="str">
        <f t="shared" si="9"/>
        <v/>
      </c>
      <c r="V71" s="162" t="str">
        <f t="shared" si="10"/>
        <v/>
      </c>
      <c r="W71" s="609" t="str">
        <f>IF($G71="","",VLOOKUP($G71,請求Data!$E$11:$AR$160,請求Data!$AC$10-請求Data!$D$10,FALSE))</f>
        <v/>
      </c>
      <c r="X71" s="607" t="str">
        <f t="shared" si="11"/>
        <v/>
      </c>
      <c r="Y71" s="608" t="str">
        <f t="shared" si="12"/>
        <v/>
      </c>
    </row>
    <row r="72" spans="1:25">
      <c r="A72" s="103">
        <v>66</v>
      </c>
      <c r="B72" s="247" t="str">
        <f>IF(LEFT($G72,1)="1",IF($H71=$H72,MAX($B$6:$B71)+1,IF(MAX($B$6:$B71)&lt;=0,1,MAX($B$6:$B71)+3)),"")</f>
        <v/>
      </c>
      <c r="C72" s="247" t="str">
        <f>IF(LEFT($G72,1)="2",IF($H71=$H72,MAX($C$6:$C71)+1,IF(MAX($C$6:$C71)&lt;=0,1,MAX($C$6:$C71)+3)),"")</f>
        <v/>
      </c>
      <c r="D72" s="247" t="str">
        <f>IF(LEFT($G72,1)="3",IF($H71=$H72,MAX($D$6:$D71)+1,IF(MAX($D$6:$D71)&lt;=0,1,MAX($D$6:$D71)+3)),"")</f>
        <v/>
      </c>
      <c r="E72" s="247" t="str">
        <f>IF(LEFT($G72,1)="4",IF($H71=$H72,MAX($E$6:$E71)+1,IF(MAX($E$6:$E71)&lt;=0,1,MAX($E$6:$E71)+3)),"")</f>
        <v/>
      </c>
      <c r="F72" s="477" t="str">
        <f t="shared" ref="F72:F133" si="19">IF(AND($L72="",$S72=""),"",1)</f>
        <v/>
      </c>
      <c r="G72" s="409" t="str">
        <f>IF(ISERROR(SMALL(請求Data!$E$11:$E$160,$A72)),"",SMALL(請求Data!$E$11:$E$160,$A72))</f>
        <v/>
      </c>
      <c r="H72" s="606" t="str">
        <f>IF($G72="","",VLOOKUP($G72,請求Data!$E$11:$AR$160,4,FALSE))</f>
        <v/>
      </c>
      <c r="I72" s="606" t="str">
        <f>IF($G72="","",VLOOKUP($G72,請求Data!$E$11:$AR$160,5,FALSE))</f>
        <v/>
      </c>
      <c r="J72" s="609" t="str">
        <f>IF($G72="","",IF(VLOOKUP($G72,請求Data!$E$11:$AR$160,請求Data!$Y$10-請求Data!$D$10,FALSE)="",1,0))</f>
        <v/>
      </c>
      <c r="K72" s="609" t="str">
        <f>IF($G72="","",IF(VLOOKUP($G72,請求Data!$E$11:$AR$160,請求Data!$Z$10-請求Data!$D$10,FALSE)="*",1,0))</f>
        <v/>
      </c>
      <c r="L72" s="607" t="str">
        <f>IF($G72="","",VLOOKUP($G72,請求Data!$E$11:$AR$160,請求Data!$AP$10-請求Data!$D$10,FALSE))</f>
        <v/>
      </c>
      <c r="M72" s="607" t="str">
        <f t="shared" ref="M72:M133" si="20">IF($L72="","",IF($V72="C",$Y72,$X72))</f>
        <v/>
      </c>
      <c r="N72" s="607" t="str">
        <f t="shared" ref="N72:N133" si="21">IF(AND($L72="",$M72=""),"",$L72+$M72)</f>
        <v/>
      </c>
      <c r="O72" s="274" t="str">
        <f t="shared" si="13"/>
        <v/>
      </c>
      <c r="P72" s="274" t="str">
        <f t="shared" si="14"/>
        <v/>
      </c>
      <c r="Q72" s="274" t="str">
        <f t="shared" si="15"/>
        <v/>
      </c>
      <c r="R72" s="274" t="str">
        <f t="shared" si="16"/>
        <v/>
      </c>
      <c r="S72" s="607" t="str">
        <f t="shared" si="17"/>
        <v/>
      </c>
      <c r="T72" s="607" t="str">
        <f t="shared" si="18"/>
        <v/>
      </c>
      <c r="U72" s="607" t="str">
        <f t="shared" ref="U72:U133" si="22">IF(AND($S72="",$T72=""),"",$S72+$T72)</f>
        <v/>
      </c>
      <c r="V72" s="162" t="str">
        <f t="shared" ref="V72:V133" si="23">MID($I72,1,1)</f>
        <v/>
      </c>
      <c r="W72" s="609" t="str">
        <f>IF($G72="","",VLOOKUP($G72,請求Data!$E$11:$AR$160,請求Data!$AC$10-請求Data!$D$10,FALSE))</f>
        <v/>
      </c>
      <c r="X72" s="607" t="str">
        <f t="shared" ref="X72:X133" si="24">IF($J72="","",IF($J72=1,IF($W72="\",IF($K72=1,ROUNDDOWN($L72*$X$2,0),IF($K72=0,ROUND($L72*$X$2,0),"ERR")),IF($K72=1,ROUNDDOWN($L72*$X$2,2),IF($K72=0,ROUND($L72*$X$2,2),"ERR"))),0))</f>
        <v/>
      </c>
      <c r="Y72" s="608" t="str">
        <f t="shared" ref="Y72:Y133" si="25">IF($J72="","",IF($J72=1,IF($W72="\",IF($K72=1,ROUNDDOWN($L72*$Y$2,0),IF($K72=0,ROUND($L72*$Y$2,0),"ERR")),IF($K72=1,ROUNDDOWN($L72*$Y$2,2),IF($K72=0,ROUND($L72*$Y$2,2),"ERR"))),0))</f>
        <v/>
      </c>
    </row>
    <row r="73" spans="1:25">
      <c r="A73" s="103">
        <v>67</v>
      </c>
      <c r="B73" s="247" t="str">
        <f>IF(LEFT($G73,1)="1",IF($H72=$H73,MAX($B$6:$B72)+1,IF(MAX($B$6:$B72)&lt;=0,1,MAX($B$6:$B72)+3)),"")</f>
        <v/>
      </c>
      <c r="C73" s="247" t="str">
        <f>IF(LEFT($G73,1)="2",IF($H72=$H73,MAX($C$6:$C72)+1,IF(MAX($C$6:$C72)&lt;=0,1,MAX($C$6:$C72)+3)),"")</f>
        <v/>
      </c>
      <c r="D73" s="247" t="str">
        <f>IF(LEFT($G73,1)="3",IF($H72=$H73,MAX($D$6:$D72)+1,IF(MAX($D$6:$D72)&lt;=0,1,MAX($D$6:$D72)+3)),"")</f>
        <v/>
      </c>
      <c r="E73" s="247" t="str">
        <f>IF(LEFT($G73,1)="4",IF($H72=$H73,MAX($E$6:$E72)+1,IF(MAX($E$6:$E72)&lt;=0,1,MAX($E$6:$E72)+3)),"")</f>
        <v/>
      </c>
      <c r="F73" s="477" t="str">
        <f t="shared" si="19"/>
        <v/>
      </c>
      <c r="G73" s="409" t="str">
        <f>IF(ISERROR(SMALL(請求Data!$E$11:$E$160,$A73)),"",SMALL(請求Data!$E$11:$E$160,$A73))</f>
        <v/>
      </c>
      <c r="H73" s="606" t="str">
        <f>IF($G73="","",VLOOKUP($G73,請求Data!$E$11:$AR$160,4,FALSE))</f>
        <v/>
      </c>
      <c r="I73" s="606" t="str">
        <f>IF($G73="","",VLOOKUP($G73,請求Data!$E$11:$AR$160,5,FALSE))</f>
        <v/>
      </c>
      <c r="J73" s="609" t="str">
        <f>IF($G73="","",IF(VLOOKUP($G73,請求Data!$E$11:$AR$160,請求Data!$Y$10-請求Data!$D$10,FALSE)="",1,0))</f>
        <v/>
      </c>
      <c r="K73" s="609" t="str">
        <f>IF($G73="","",IF(VLOOKUP($G73,請求Data!$E$11:$AR$160,請求Data!$Z$10-請求Data!$D$10,FALSE)="*",1,0))</f>
        <v/>
      </c>
      <c r="L73" s="607" t="str">
        <f>IF($G73="","",VLOOKUP($G73,請求Data!$E$11:$AR$160,請求Data!$AP$10-請求Data!$D$10,FALSE))</f>
        <v/>
      </c>
      <c r="M73" s="607" t="str">
        <f t="shared" si="20"/>
        <v/>
      </c>
      <c r="N73" s="607" t="str">
        <f t="shared" si="21"/>
        <v/>
      </c>
      <c r="O73" s="274" t="str">
        <f t="shared" si="13"/>
        <v/>
      </c>
      <c r="P73" s="274" t="str">
        <f t="shared" si="14"/>
        <v/>
      </c>
      <c r="Q73" s="274" t="str">
        <f t="shared" si="15"/>
        <v/>
      </c>
      <c r="R73" s="274" t="str">
        <f t="shared" si="16"/>
        <v/>
      </c>
      <c r="S73" s="607" t="str">
        <f t="shared" si="17"/>
        <v/>
      </c>
      <c r="T73" s="607" t="str">
        <f t="shared" si="18"/>
        <v/>
      </c>
      <c r="U73" s="607" t="str">
        <f t="shared" si="22"/>
        <v/>
      </c>
      <c r="V73" s="162" t="str">
        <f t="shared" si="23"/>
        <v/>
      </c>
      <c r="W73" s="609" t="str">
        <f>IF($G73="","",VLOOKUP($G73,請求Data!$E$11:$AR$160,請求Data!$AC$10-請求Data!$D$10,FALSE))</f>
        <v/>
      </c>
      <c r="X73" s="607" t="str">
        <f t="shared" si="24"/>
        <v/>
      </c>
      <c r="Y73" s="608" t="str">
        <f t="shared" si="25"/>
        <v/>
      </c>
    </row>
    <row r="74" spans="1:25">
      <c r="A74" s="103">
        <v>68</v>
      </c>
      <c r="B74" s="247" t="str">
        <f>IF(LEFT($G74,1)="1",IF($H73=$H74,MAX($B$6:$B73)+1,IF(MAX($B$6:$B73)&lt;=0,1,MAX($B$6:$B73)+3)),"")</f>
        <v/>
      </c>
      <c r="C74" s="247" t="str">
        <f>IF(LEFT($G74,1)="2",IF($H73=$H74,MAX($C$6:$C73)+1,IF(MAX($C$6:$C73)&lt;=0,1,MAX($C$6:$C73)+3)),"")</f>
        <v/>
      </c>
      <c r="D74" s="247" t="str">
        <f>IF(LEFT($G74,1)="3",IF($H73=$H74,MAX($D$6:$D73)+1,IF(MAX($D$6:$D73)&lt;=0,1,MAX($D$6:$D73)+3)),"")</f>
        <v/>
      </c>
      <c r="E74" s="247" t="str">
        <f>IF(LEFT($G74,1)="4",IF($H73=$H74,MAX($E$6:$E73)+1,IF(MAX($E$6:$E73)&lt;=0,1,MAX($E$6:$E73)+3)),"")</f>
        <v/>
      </c>
      <c r="F74" s="477" t="str">
        <f t="shared" si="19"/>
        <v/>
      </c>
      <c r="G74" s="409" t="str">
        <f>IF(ISERROR(SMALL(請求Data!$E$11:$E$160,$A74)),"",SMALL(請求Data!$E$11:$E$160,$A74))</f>
        <v/>
      </c>
      <c r="H74" s="606" t="str">
        <f>IF($G74="","",VLOOKUP($G74,請求Data!$E$11:$AR$160,4,FALSE))</f>
        <v/>
      </c>
      <c r="I74" s="606" t="str">
        <f>IF($G74="","",VLOOKUP($G74,請求Data!$E$11:$AR$160,5,FALSE))</f>
        <v/>
      </c>
      <c r="J74" s="609" t="str">
        <f>IF($G74="","",IF(VLOOKUP($G74,請求Data!$E$11:$AR$160,請求Data!$Y$10-請求Data!$D$10,FALSE)="",1,0))</f>
        <v/>
      </c>
      <c r="K74" s="609" t="str">
        <f>IF($G74="","",IF(VLOOKUP($G74,請求Data!$E$11:$AR$160,請求Data!$Z$10-請求Data!$D$10,FALSE)="*",1,0))</f>
        <v/>
      </c>
      <c r="L74" s="607" t="str">
        <f>IF($G74="","",VLOOKUP($G74,請求Data!$E$11:$AR$160,請求Data!$AP$10-請求Data!$D$10,FALSE))</f>
        <v/>
      </c>
      <c r="M74" s="607" t="str">
        <f t="shared" si="20"/>
        <v/>
      </c>
      <c r="N74" s="607" t="str">
        <f t="shared" si="21"/>
        <v/>
      </c>
      <c r="O74" s="274" t="str">
        <f t="shared" si="13"/>
        <v/>
      </c>
      <c r="P74" s="274" t="str">
        <f t="shared" si="14"/>
        <v/>
      </c>
      <c r="Q74" s="274" t="str">
        <f t="shared" si="15"/>
        <v/>
      </c>
      <c r="R74" s="274" t="str">
        <f t="shared" si="16"/>
        <v/>
      </c>
      <c r="S74" s="607" t="str">
        <f t="shared" si="17"/>
        <v/>
      </c>
      <c r="T74" s="607" t="str">
        <f t="shared" si="18"/>
        <v/>
      </c>
      <c r="U74" s="607" t="str">
        <f t="shared" si="22"/>
        <v/>
      </c>
      <c r="V74" s="162" t="str">
        <f t="shared" si="23"/>
        <v/>
      </c>
      <c r="W74" s="609" t="str">
        <f>IF($G74="","",VLOOKUP($G74,請求Data!$E$11:$AR$160,請求Data!$AC$10-請求Data!$D$10,FALSE))</f>
        <v/>
      </c>
      <c r="X74" s="607" t="str">
        <f t="shared" si="24"/>
        <v/>
      </c>
      <c r="Y74" s="608" t="str">
        <f t="shared" si="25"/>
        <v/>
      </c>
    </row>
    <row r="75" spans="1:25">
      <c r="A75" s="103">
        <v>69</v>
      </c>
      <c r="B75" s="247" t="str">
        <f>IF(LEFT($G75,1)="1",IF($H74=$H75,MAX($B$6:$B74)+1,IF(MAX($B$6:$B74)&lt;=0,1,MAX($B$6:$B74)+3)),"")</f>
        <v/>
      </c>
      <c r="C75" s="247" t="str">
        <f>IF(LEFT($G75,1)="2",IF($H74=$H75,MAX($C$6:$C74)+1,IF(MAX($C$6:$C74)&lt;=0,1,MAX($C$6:$C74)+3)),"")</f>
        <v/>
      </c>
      <c r="D75" s="247" t="str">
        <f>IF(LEFT($G75,1)="3",IF($H74=$H75,MAX($D$6:$D74)+1,IF(MAX($D$6:$D74)&lt;=0,1,MAX($D$6:$D74)+3)),"")</f>
        <v/>
      </c>
      <c r="E75" s="247" t="str">
        <f>IF(LEFT($G75,1)="4",IF($H74=$H75,MAX($E$6:$E74)+1,IF(MAX($E$6:$E74)&lt;=0,1,MAX($E$6:$E74)+3)),"")</f>
        <v/>
      </c>
      <c r="F75" s="477" t="str">
        <f t="shared" si="19"/>
        <v/>
      </c>
      <c r="G75" s="409" t="str">
        <f>IF(ISERROR(SMALL(請求Data!$E$11:$E$160,$A75)),"",SMALL(請求Data!$E$11:$E$160,$A75))</f>
        <v/>
      </c>
      <c r="H75" s="606" t="str">
        <f>IF($G75="","",VLOOKUP($G75,請求Data!$E$11:$AR$160,4,FALSE))</f>
        <v/>
      </c>
      <c r="I75" s="606" t="str">
        <f>IF($G75="","",VLOOKUP($G75,請求Data!$E$11:$AR$160,5,FALSE))</f>
        <v/>
      </c>
      <c r="J75" s="609" t="str">
        <f>IF($G75="","",IF(VLOOKUP($G75,請求Data!$E$11:$AR$160,請求Data!$Y$10-請求Data!$D$10,FALSE)="",1,0))</f>
        <v/>
      </c>
      <c r="K75" s="609" t="str">
        <f>IF($G75="","",IF(VLOOKUP($G75,請求Data!$E$11:$AR$160,請求Data!$Z$10-請求Data!$D$10,FALSE)="*",1,0))</f>
        <v/>
      </c>
      <c r="L75" s="607" t="str">
        <f>IF($G75="","",VLOOKUP($G75,請求Data!$E$11:$AR$160,請求Data!$AP$10-請求Data!$D$10,FALSE))</f>
        <v/>
      </c>
      <c r="M75" s="607" t="str">
        <f t="shared" si="20"/>
        <v/>
      </c>
      <c r="N75" s="607" t="str">
        <f t="shared" si="21"/>
        <v/>
      </c>
      <c r="O75" s="274" t="str">
        <f t="shared" si="13"/>
        <v/>
      </c>
      <c r="P75" s="274" t="str">
        <f t="shared" si="14"/>
        <v/>
      </c>
      <c r="Q75" s="274" t="str">
        <f t="shared" si="15"/>
        <v/>
      </c>
      <c r="R75" s="274" t="str">
        <f t="shared" si="16"/>
        <v/>
      </c>
      <c r="S75" s="607" t="str">
        <f t="shared" si="17"/>
        <v/>
      </c>
      <c r="T75" s="607" t="str">
        <f t="shared" si="18"/>
        <v/>
      </c>
      <c r="U75" s="607" t="str">
        <f t="shared" si="22"/>
        <v/>
      </c>
      <c r="V75" s="162" t="str">
        <f t="shared" si="23"/>
        <v/>
      </c>
      <c r="W75" s="609" t="str">
        <f>IF($G75="","",VLOOKUP($G75,請求Data!$E$11:$AR$160,請求Data!$AC$10-請求Data!$D$10,FALSE))</f>
        <v/>
      </c>
      <c r="X75" s="607" t="str">
        <f t="shared" si="24"/>
        <v/>
      </c>
      <c r="Y75" s="608" t="str">
        <f t="shared" si="25"/>
        <v/>
      </c>
    </row>
    <row r="76" spans="1:25">
      <c r="A76" s="103">
        <v>70</v>
      </c>
      <c r="B76" s="247" t="str">
        <f>IF(LEFT($G76,1)="1",IF($H75=$H76,MAX($B$6:$B75)+1,IF(MAX($B$6:$B75)&lt;=0,1,MAX($B$6:$B75)+3)),"")</f>
        <v/>
      </c>
      <c r="C76" s="247" t="str">
        <f>IF(LEFT($G76,1)="2",IF($H75=$H76,MAX($C$6:$C75)+1,IF(MAX($C$6:$C75)&lt;=0,1,MAX($C$6:$C75)+3)),"")</f>
        <v/>
      </c>
      <c r="D76" s="247" t="str">
        <f>IF(LEFT($G76,1)="3",IF($H75=$H76,MAX($D$6:$D75)+1,IF(MAX($D$6:$D75)&lt;=0,1,MAX($D$6:$D75)+3)),"")</f>
        <v/>
      </c>
      <c r="E76" s="247" t="str">
        <f>IF(LEFT($G76,1)="4",IF($H75=$H76,MAX($E$6:$E75)+1,IF(MAX($E$6:$E75)&lt;=0,1,MAX($E$6:$E75)+3)),"")</f>
        <v/>
      </c>
      <c r="F76" s="477" t="str">
        <f t="shared" si="19"/>
        <v/>
      </c>
      <c r="G76" s="409" t="str">
        <f>IF(ISERROR(SMALL(請求Data!$E$11:$E$160,$A76)),"",SMALL(請求Data!$E$11:$E$160,$A76))</f>
        <v/>
      </c>
      <c r="H76" s="606" t="str">
        <f>IF($G76="","",VLOOKUP($G76,請求Data!$E$11:$AR$160,4,FALSE))</f>
        <v/>
      </c>
      <c r="I76" s="606" t="str">
        <f>IF($G76="","",VLOOKUP($G76,請求Data!$E$11:$AR$160,5,FALSE))</f>
        <v/>
      </c>
      <c r="J76" s="609" t="str">
        <f>IF($G76="","",IF(VLOOKUP($G76,請求Data!$E$11:$AR$160,請求Data!$Y$10-請求Data!$D$10,FALSE)="",1,0))</f>
        <v/>
      </c>
      <c r="K76" s="609" t="str">
        <f>IF($G76="","",IF(VLOOKUP($G76,請求Data!$E$11:$AR$160,請求Data!$Z$10-請求Data!$D$10,FALSE)="*",1,0))</f>
        <v/>
      </c>
      <c r="L76" s="607" t="str">
        <f>IF($G76="","",VLOOKUP($G76,請求Data!$E$11:$AR$160,請求Data!$AP$10-請求Data!$D$10,FALSE))</f>
        <v/>
      </c>
      <c r="M76" s="607" t="str">
        <f t="shared" si="20"/>
        <v/>
      </c>
      <c r="N76" s="607" t="str">
        <f t="shared" si="21"/>
        <v/>
      </c>
      <c r="O76" s="274" t="str">
        <f t="shared" si="13"/>
        <v/>
      </c>
      <c r="P76" s="274" t="str">
        <f t="shared" si="14"/>
        <v/>
      </c>
      <c r="Q76" s="274" t="str">
        <f t="shared" si="15"/>
        <v/>
      </c>
      <c r="R76" s="274" t="str">
        <f t="shared" si="16"/>
        <v/>
      </c>
      <c r="S76" s="607" t="str">
        <f t="shared" si="17"/>
        <v/>
      </c>
      <c r="T76" s="607" t="str">
        <f t="shared" si="18"/>
        <v/>
      </c>
      <c r="U76" s="607" t="str">
        <f t="shared" si="22"/>
        <v/>
      </c>
      <c r="V76" s="162" t="str">
        <f t="shared" si="23"/>
        <v/>
      </c>
      <c r="W76" s="609" t="str">
        <f>IF($G76="","",VLOOKUP($G76,請求Data!$E$11:$AR$160,請求Data!$AC$10-請求Data!$D$10,FALSE))</f>
        <v/>
      </c>
      <c r="X76" s="607" t="str">
        <f t="shared" si="24"/>
        <v/>
      </c>
      <c r="Y76" s="608" t="str">
        <f t="shared" si="25"/>
        <v/>
      </c>
    </row>
    <row r="77" spans="1:25">
      <c r="A77" s="103">
        <v>71</v>
      </c>
      <c r="B77" s="247" t="str">
        <f>IF(LEFT($G77,1)="1",IF($H76=$H77,MAX($B$6:$B76)+1,IF(MAX($B$6:$B76)&lt;=0,1,MAX($B$6:$B76)+3)),"")</f>
        <v/>
      </c>
      <c r="C77" s="247" t="str">
        <f>IF(LEFT($G77,1)="2",IF($H76=$H77,MAX($C$6:$C76)+1,IF(MAX($C$6:$C76)&lt;=0,1,MAX($C$6:$C76)+3)),"")</f>
        <v/>
      </c>
      <c r="D77" s="247" t="str">
        <f>IF(LEFT($G77,1)="3",IF($H76=$H77,MAX($D$6:$D76)+1,IF(MAX($D$6:$D76)&lt;=0,1,MAX($D$6:$D76)+3)),"")</f>
        <v/>
      </c>
      <c r="E77" s="247" t="str">
        <f>IF(LEFT($G77,1)="4",IF($H76=$H77,MAX($E$6:$E76)+1,IF(MAX($E$6:$E76)&lt;=0,1,MAX($E$6:$E76)+3)),"")</f>
        <v/>
      </c>
      <c r="F77" s="477" t="str">
        <f t="shared" si="19"/>
        <v/>
      </c>
      <c r="G77" s="409" t="str">
        <f>IF(ISERROR(SMALL(請求Data!$E$11:$E$160,$A77)),"",SMALL(請求Data!$E$11:$E$160,$A77))</f>
        <v/>
      </c>
      <c r="H77" s="606" t="str">
        <f>IF($G77="","",VLOOKUP($G77,請求Data!$E$11:$AR$160,4,FALSE))</f>
        <v/>
      </c>
      <c r="I77" s="606" t="str">
        <f>IF($G77="","",VLOOKUP($G77,請求Data!$E$11:$AR$160,5,FALSE))</f>
        <v/>
      </c>
      <c r="J77" s="609" t="str">
        <f>IF($G77="","",IF(VLOOKUP($G77,請求Data!$E$11:$AR$160,請求Data!$Y$10-請求Data!$D$10,FALSE)="",1,0))</f>
        <v/>
      </c>
      <c r="K77" s="609" t="str">
        <f>IF($G77="","",IF(VLOOKUP($G77,請求Data!$E$11:$AR$160,請求Data!$Z$10-請求Data!$D$10,FALSE)="*",1,0))</f>
        <v/>
      </c>
      <c r="L77" s="607" t="str">
        <f>IF($G77="","",VLOOKUP($G77,請求Data!$E$11:$AR$160,請求Data!$AP$10-請求Data!$D$10,FALSE))</f>
        <v/>
      </c>
      <c r="M77" s="607" t="str">
        <f t="shared" si="20"/>
        <v/>
      </c>
      <c r="N77" s="607" t="str">
        <f t="shared" si="21"/>
        <v/>
      </c>
      <c r="O77" s="274" t="str">
        <f t="shared" si="13"/>
        <v/>
      </c>
      <c r="P77" s="274" t="str">
        <f t="shared" si="14"/>
        <v/>
      </c>
      <c r="Q77" s="274" t="str">
        <f t="shared" si="15"/>
        <v/>
      </c>
      <c r="R77" s="274" t="str">
        <f t="shared" si="16"/>
        <v/>
      </c>
      <c r="S77" s="607" t="str">
        <f t="shared" si="17"/>
        <v/>
      </c>
      <c r="T77" s="607" t="str">
        <f t="shared" si="18"/>
        <v/>
      </c>
      <c r="U77" s="607" t="str">
        <f t="shared" si="22"/>
        <v/>
      </c>
      <c r="V77" s="162" t="str">
        <f t="shared" si="23"/>
        <v/>
      </c>
      <c r="W77" s="609" t="str">
        <f>IF($G77="","",VLOOKUP($G77,請求Data!$E$11:$AR$160,請求Data!$AC$10-請求Data!$D$10,FALSE))</f>
        <v/>
      </c>
      <c r="X77" s="607" t="str">
        <f t="shared" si="24"/>
        <v/>
      </c>
      <c r="Y77" s="608" t="str">
        <f t="shared" si="25"/>
        <v/>
      </c>
    </row>
    <row r="78" spans="1:25">
      <c r="A78" s="103">
        <v>72</v>
      </c>
      <c r="B78" s="247" t="str">
        <f>IF(LEFT($G78,1)="1",IF($H77=$H78,MAX($B$6:$B77)+1,IF(MAX($B$6:$B77)&lt;=0,1,MAX($B$6:$B77)+3)),"")</f>
        <v/>
      </c>
      <c r="C78" s="247" t="str">
        <f>IF(LEFT($G78,1)="2",IF($H77=$H78,MAX($C$6:$C77)+1,IF(MAX($C$6:$C77)&lt;=0,1,MAX($C$6:$C77)+3)),"")</f>
        <v/>
      </c>
      <c r="D78" s="247" t="str">
        <f>IF(LEFT($G78,1)="3",IF($H77=$H78,MAX($D$6:$D77)+1,IF(MAX($D$6:$D77)&lt;=0,1,MAX($D$6:$D77)+3)),"")</f>
        <v/>
      </c>
      <c r="E78" s="247" t="str">
        <f>IF(LEFT($G78,1)="4",IF($H77=$H78,MAX($E$6:$E77)+1,IF(MAX($E$6:$E77)&lt;=0,1,MAX($E$6:$E77)+3)),"")</f>
        <v/>
      </c>
      <c r="F78" s="477" t="str">
        <f t="shared" si="19"/>
        <v/>
      </c>
      <c r="G78" s="409" t="str">
        <f>IF(ISERROR(SMALL(請求Data!$E$11:$E$160,$A78)),"",SMALL(請求Data!$E$11:$E$160,$A78))</f>
        <v/>
      </c>
      <c r="H78" s="606" t="str">
        <f>IF($G78="","",VLOOKUP($G78,請求Data!$E$11:$AR$160,4,FALSE))</f>
        <v/>
      </c>
      <c r="I78" s="606" t="str">
        <f>IF($G78="","",VLOOKUP($G78,請求Data!$E$11:$AR$160,5,FALSE))</f>
        <v/>
      </c>
      <c r="J78" s="609" t="str">
        <f>IF($G78="","",IF(VLOOKUP($G78,請求Data!$E$11:$AR$160,請求Data!$Y$10-請求Data!$D$10,FALSE)="",1,0))</f>
        <v/>
      </c>
      <c r="K78" s="609" t="str">
        <f>IF($G78="","",IF(VLOOKUP($G78,請求Data!$E$11:$AR$160,請求Data!$Z$10-請求Data!$D$10,FALSE)="*",1,0))</f>
        <v/>
      </c>
      <c r="L78" s="607" t="str">
        <f>IF($G78="","",VLOOKUP($G78,請求Data!$E$11:$AR$160,請求Data!$AP$10-請求Data!$D$10,FALSE))</f>
        <v/>
      </c>
      <c r="M78" s="607" t="str">
        <f t="shared" si="20"/>
        <v/>
      </c>
      <c r="N78" s="607" t="str">
        <f t="shared" si="21"/>
        <v/>
      </c>
      <c r="O78" s="274" t="str">
        <f t="shared" si="13"/>
        <v/>
      </c>
      <c r="P78" s="274" t="str">
        <f t="shared" si="14"/>
        <v/>
      </c>
      <c r="Q78" s="274" t="str">
        <f t="shared" si="15"/>
        <v/>
      </c>
      <c r="R78" s="274" t="str">
        <f t="shared" si="16"/>
        <v/>
      </c>
      <c r="S78" s="607" t="str">
        <f t="shared" si="17"/>
        <v/>
      </c>
      <c r="T78" s="607" t="str">
        <f t="shared" si="18"/>
        <v/>
      </c>
      <c r="U78" s="607" t="str">
        <f t="shared" si="22"/>
        <v/>
      </c>
      <c r="V78" s="162" t="str">
        <f t="shared" si="23"/>
        <v/>
      </c>
      <c r="W78" s="609" t="str">
        <f>IF($G78="","",VLOOKUP($G78,請求Data!$E$11:$AR$160,請求Data!$AC$10-請求Data!$D$10,FALSE))</f>
        <v/>
      </c>
      <c r="X78" s="607" t="str">
        <f t="shared" si="24"/>
        <v/>
      </c>
      <c r="Y78" s="608" t="str">
        <f t="shared" si="25"/>
        <v/>
      </c>
    </row>
    <row r="79" spans="1:25">
      <c r="A79" s="103">
        <v>73</v>
      </c>
      <c r="B79" s="247" t="str">
        <f>IF(LEFT($G79,1)="1",IF($H78=$H79,MAX($B$6:$B78)+1,IF(MAX($B$6:$B78)&lt;=0,1,MAX($B$6:$B78)+3)),"")</f>
        <v/>
      </c>
      <c r="C79" s="247" t="str">
        <f>IF(LEFT($G79,1)="2",IF($H78=$H79,MAX($C$6:$C78)+1,IF(MAX($C$6:$C78)&lt;=0,1,MAX($C$6:$C78)+3)),"")</f>
        <v/>
      </c>
      <c r="D79" s="247" t="str">
        <f>IF(LEFT($G79,1)="3",IF($H78=$H79,MAX($D$6:$D78)+1,IF(MAX($D$6:$D78)&lt;=0,1,MAX($D$6:$D78)+3)),"")</f>
        <v/>
      </c>
      <c r="E79" s="247" t="str">
        <f>IF(LEFT($G79,1)="4",IF($H78=$H79,MAX($E$6:$E78)+1,IF(MAX($E$6:$E78)&lt;=0,1,MAX($E$6:$E78)+3)),"")</f>
        <v/>
      </c>
      <c r="F79" s="477" t="str">
        <f t="shared" si="19"/>
        <v/>
      </c>
      <c r="G79" s="409" t="str">
        <f>IF(ISERROR(SMALL(請求Data!$E$11:$E$160,$A79)),"",SMALL(請求Data!$E$11:$E$160,$A79))</f>
        <v/>
      </c>
      <c r="H79" s="606" t="str">
        <f>IF($G79="","",VLOOKUP($G79,請求Data!$E$11:$AR$160,4,FALSE))</f>
        <v/>
      </c>
      <c r="I79" s="606" t="str">
        <f>IF($G79="","",VLOOKUP($G79,請求Data!$E$11:$AR$160,5,FALSE))</f>
        <v/>
      </c>
      <c r="J79" s="609" t="str">
        <f>IF($G79="","",IF(VLOOKUP($G79,請求Data!$E$11:$AR$160,請求Data!$Y$10-請求Data!$D$10,FALSE)="",1,0))</f>
        <v/>
      </c>
      <c r="K79" s="609" t="str">
        <f>IF($G79="","",IF(VLOOKUP($G79,請求Data!$E$11:$AR$160,請求Data!$Z$10-請求Data!$D$10,FALSE)="*",1,0))</f>
        <v/>
      </c>
      <c r="L79" s="607" t="str">
        <f>IF($G79="","",VLOOKUP($G79,請求Data!$E$11:$AR$160,請求Data!$AP$10-請求Data!$D$10,FALSE))</f>
        <v/>
      </c>
      <c r="M79" s="607" t="str">
        <f t="shared" si="20"/>
        <v/>
      </c>
      <c r="N79" s="607" t="str">
        <f t="shared" si="21"/>
        <v/>
      </c>
      <c r="O79" s="274" t="str">
        <f t="shared" si="13"/>
        <v/>
      </c>
      <c r="P79" s="274" t="str">
        <f t="shared" si="14"/>
        <v/>
      </c>
      <c r="Q79" s="274" t="str">
        <f t="shared" si="15"/>
        <v/>
      </c>
      <c r="R79" s="274" t="str">
        <f t="shared" si="16"/>
        <v/>
      </c>
      <c r="S79" s="607" t="str">
        <f t="shared" si="17"/>
        <v/>
      </c>
      <c r="T79" s="607" t="str">
        <f t="shared" si="18"/>
        <v/>
      </c>
      <c r="U79" s="607" t="str">
        <f t="shared" si="22"/>
        <v/>
      </c>
      <c r="V79" s="162" t="str">
        <f t="shared" si="23"/>
        <v/>
      </c>
      <c r="W79" s="609" t="str">
        <f>IF($G79="","",VLOOKUP($G79,請求Data!$E$11:$AR$160,請求Data!$AC$10-請求Data!$D$10,FALSE))</f>
        <v/>
      </c>
      <c r="X79" s="607" t="str">
        <f t="shared" si="24"/>
        <v/>
      </c>
      <c r="Y79" s="608" t="str">
        <f t="shared" si="25"/>
        <v/>
      </c>
    </row>
    <row r="80" spans="1:25">
      <c r="A80" s="103">
        <v>74</v>
      </c>
      <c r="B80" s="247" t="str">
        <f>IF(LEFT($G80,1)="1",IF($H79=$H80,MAX($B$6:$B79)+1,IF(MAX($B$6:$B79)&lt;=0,1,MAX($B$6:$B79)+3)),"")</f>
        <v/>
      </c>
      <c r="C80" s="247" t="str">
        <f>IF(LEFT($G80,1)="2",IF($H79=$H80,MAX($C$6:$C79)+1,IF(MAX($C$6:$C79)&lt;=0,1,MAX($C$6:$C79)+3)),"")</f>
        <v/>
      </c>
      <c r="D80" s="247" t="str">
        <f>IF(LEFT($G80,1)="3",IF($H79=$H80,MAX($D$6:$D79)+1,IF(MAX($D$6:$D79)&lt;=0,1,MAX($D$6:$D79)+3)),"")</f>
        <v/>
      </c>
      <c r="E80" s="247" t="str">
        <f>IF(LEFT($G80,1)="4",IF($H79=$H80,MAX($E$6:$E79)+1,IF(MAX($E$6:$E79)&lt;=0,1,MAX($E$6:$E79)+3)),"")</f>
        <v/>
      </c>
      <c r="F80" s="477" t="str">
        <f t="shared" si="19"/>
        <v/>
      </c>
      <c r="G80" s="409" t="str">
        <f>IF(ISERROR(SMALL(請求Data!$E$11:$E$160,$A80)),"",SMALL(請求Data!$E$11:$E$160,$A80))</f>
        <v/>
      </c>
      <c r="H80" s="606" t="str">
        <f>IF($G80="","",VLOOKUP($G80,請求Data!$E$11:$AR$160,4,FALSE))</f>
        <v/>
      </c>
      <c r="I80" s="606" t="str">
        <f>IF($G80="","",VLOOKUP($G80,請求Data!$E$11:$AR$160,5,FALSE))</f>
        <v/>
      </c>
      <c r="J80" s="609" t="str">
        <f>IF($G80="","",IF(VLOOKUP($G80,請求Data!$E$11:$AR$160,請求Data!$Y$10-請求Data!$D$10,FALSE)="",1,0))</f>
        <v/>
      </c>
      <c r="K80" s="609" t="str">
        <f>IF($G80="","",IF(VLOOKUP($G80,請求Data!$E$11:$AR$160,請求Data!$Z$10-請求Data!$D$10,FALSE)="*",1,0))</f>
        <v/>
      </c>
      <c r="L80" s="607" t="str">
        <f>IF($G80="","",VLOOKUP($G80,請求Data!$E$11:$AR$160,請求Data!$AP$10-請求Data!$D$10,FALSE))</f>
        <v/>
      </c>
      <c r="M80" s="607" t="str">
        <f t="shared" si="20"/>
        <v/>
      </c>
      <c r="N80" s="607" t="str">
        <f t="shared" si="21"/>
        <v/>
      </c>
      <c r="O80" s="274" t="str">
        <f t="shared" si="13"/>
        <v/>
      </c>
      <c r="P80" s="274" t="str">
        <f t="shared" si="14"/>
        <v/>
      </c>
      <c r="Q80" s="274" t="str">
        <f t="shared" si="15"/>
        <v/>
      </c>
      <c r="R80" s="274" t="str">
        <f t="shared" si="16"/>
        <v/>
      </c>
      <c r="S80" s="607" t="str">
        <f t="shared" si="17"/>
        <v/>
      </c>
      <c r="T80" s="607" t="str">
        <f t="shared" si="18"/>
        <v/>
      </c>
      <c r="U80" s="607" t="str">
        <f t="shared" si="22"/>
        <v/>
      </c>
      <c r="V80" s="162" t="str">
        <f t="shared" si="23"/>
        <v/>
      </c>
      <c r="W80" s="609" t="str">
        <f>IF($G80="","",VLOOKUP($G80,請求Data!$E$11:$AR$160,請求Data!$AC$10-請求Data!$D$10,FALSE))</f>
        <v/>
      </c>
      <c r="X80" s="607" t="str">
        <f t="shared" si="24"/>
        <v/>
      </c>
      <c r="Y80" s="608" t="str">
        <f t="shared" si="25"/>
        <v/>
      </c>
    </row>
    <row r="81" spans="1:25">
      <c r="A81" s="103">
        <v>75</v>
      </c>
      <c r="B81" s="247" t="str">
        <f>IF(LEFT($G81,1)="1",IF($H80=$H81,MAX($B$6:$B80)+1,IF(MAX($B$6:$B80)&lt;=0,1,MAX($B$6:$B80)+3)),"")</f>
        <v/>
      </c>
      <c r="C81" s="247" t="str">
        <f>IF(LEFT($G81,1)="2",IF($H80=$H81,MAX($C$6:$C80)+1,IF(MAX($C$6:$C80)&lt;=0,1,MAX($C$6:$C80)+3)),"")</f>
        <v/>
      </c>
      <c r="D81" s="247" t="str">
        <f>IF(LEFT($G81,1)="3",IF($H80=$H81,MAX($D$6:$D80)+1,IF(MAX($D$6:$D80)&lt;=0,1,MAX($D$6:$D80)+3)),"")</f>
        <v/>
      </c>
      <c r="E81" s="247" t="str">
        <f>IF(LEFT($G81,1)="4",IF($H80=$H81,MAX($E$6:$E80)+1,IF(MAX($E$6:$E80)&lt;=0,1,MAX($E$6:$E80)+3)),"")</f>
        <v/>
      </c>
      <c r="F81" s="477" t="str">
        <f t="shared" si="19"/>
        <v/>
      </c>
      <c r="G81" s="409" t="str">
        <f>IF(ISERROR(SMALL(請求Data!$E$11:$E$160,$A81)),"",SMALL(請求Data!$E$11:$E$160,$A81))</f>
        <v/>
      </c>
      <c r="H81" s="606" t="str">
        <f>IF($G81="","",VLOOKUP($G81,請求Data!$E$11:$AR$160,4,FALSE))</f>
        <v/>
      </c>
      <c r="I81" s="606" t="str">
        <f>IF($G81="","",VLOOKUP($G81,請求Data!$E$11:$AR$160,5,FALSE))</f>
        <v/>
      </c>
      <c r="J81" s="609" t="str">
        <f>IF($G81="","",IF(VLOOKUP($G81,請求Data!$E$11:$AR$160,請求Data!$Y$10-請求Data!$D$10,FALSE)="",1,0))</f>
        <v/>
      </c>
      <c r="K81" s="609" t="str">
        <f>IF($G81="","",IF(VLOOKUP($G81,請求Data!$E$11:$AR$160,請求Data!$Z$10-請求Data!$D$10,FALSE)="*",1,0))</f>
        <v/>
      </c>
      <c r="L81" s="607" t="str">
        <f>IF($G81="","",VLOOKUP($G81,請求Data!$E$11:$AR$160,請求Data!$AP$10-請求Data!$D$10,FALSE))</f>
        <v/>
      </c>
      <c r="M81" s="607" t="str">
        <f t="shared" si="20"/>
        <v/>
      </c>
      <c r="N81" s="607" t="str">
        <f t="shared" si="21"/>
        <v/>
      </c>
      <c r="O81" s="274" t="str">
        <f t="shared" si="13"/>
        <v/>
      </c>
      <c r="P81" s="274" t="str">
        <f t="shared" si="14"/>
        <v/>
      </c>
      <c r="Q81" s="274" t="str">
        <f t="shared" si="15"/>
        <v/>
      </c>
      <c r="R81" s="274" t="str">
        <f t="shared" si="16"/>
        <v/>
      </c>
      <c r="S81" s="607" t="str">
        <f t="shared" si="17"/>
        <v/>
      </c>
      <c r="T81" s="607" t="str">
        <f t="shared" si="18"/>
        <v/>
      </c>
      <c r="U81" s="607" t="str">
        <f t="shared" si="22"/>
        <v/>
      </c>
      <c r="V81" s="162" t="str">
        <f t="shared" si="23"/>
        <v/>
      </c>
      <c r="W81" s="609" t="str">
        <f>IF($G81="","",VLOOKUP($G81,請求Data!$E$11:$AR$160,請求Data!$AC$10-請求Data!$D$10,FALSE))</f>
        <v/>
      </c>
      <c r="X81" s="607" t="str">
        <f t="shared" si="24"/>
        <v/>
      </c>
      <c r="Y81" s="608" t="str">
        <f t="shared" si="25"/>
        <v/>
      </c>
    </row>
    <row r="82" spans="1:25">
      <c r="A82" s="103">
        <v>76</v>
      </c>
      <c r="B82" s="247" t="str">
        <f>IF(LEFT($G82,1)="1",IF($H81=$H82,MAX($B$6:$B81)+1,IF(MAX($B$6:$B81)&lt;=0,1,MAX($B$6:$B81)+3)),"")</f>
        <v/>
      </c>
      <c r="C82" s="247" t="str">
        <f>IF(LEFT($G82,1)="2",IF($H81=$H82,MAX($C$6:$C81)+1,IF(MAX($C$6:$C81)&lt;=0,1,MAX($C$6:$C81)+3)),"")</f>
        <v/>
      </c>
      <c r="D82" s="247" t="str">
        <f>IF(LEFT($G82,1)="3",IF($H81=$H82,MAX($D$6:$D81)+1,IF(MAX($D$6:$D81)&lt;=0,1,MAX($D$6:$D81)+3)),"")</f>
        <v/>
      </c>
      <c r="E82" s="247" t="str">
        <f>IF(LEFT($G82,1)="4",IF($H81=$H82,MAX($E$6:$E81)+1,IF(MAX($E$6:$E81)&lt;=0,1,MAX($E$6:$E81)+3)),"")</f>
        <v/>
      </c>
      <c r="F82" s="477" t="str">
        <f t="shared" si="19"/>
        <v/>
      </c>
      <c r="G82" s="409" t="str">
        <f>IF(ISERROR(SMALL(請求Data!$E$11:$E$160,$A82)),"",SMALL(請求Data!$E$11:$E$160,$A82))</f>
        <v/>
      </c>
      <c r="H82" s="606" t="str">
        <f>IF($G82="","",VLOOKUP($G82,請求Data!$E$11:$AR$160,4,FALSE))</f>
        <v/>
      </c>
      <c r="I82" s="606" t="str">
        <f>IF($G82="","",VLOOKUP($G82,請求Data!$E$11:$AR$160,5,FALSE))</f>
        <v/>
      </c>
      <c r="J82" s="609" t="str">
        <f>IF($G82="","",IF(VLOOKUP($G82,請求Data!$E$11:$AR$160,請求Data!$Y$10-請求Data!$D$10,FALSE)="",1,0))</f>
        <v/>
      </c>
      <c r="K82" s="609" t="str">
        <f>IF($G82="","",IF(VLOOKUP($G82,請求Data!$E$11:$AR$160,請求Data!$Z$10-請求Data!$D$10,FALSE)="*",1,0))</f>
        <v/>
      </c>
      <c r="L82" s="607" t="str">
        <f>IF($G82="","",VLOOKUP($G82,請求Data!$E$11:$AR$160,請求Data!$AP$10-請求Data!$D$10,FALSE))</f>
        <v/>
      </c>
      <c r="M82" s="607" t="str">
        <f t="shared" si="20"/>
        <v/>
      </c>
      <c r="N82" s="607" t="str">
        <f t="shared" si="21"/>
        <v/>
      </c>
      <c r="O82" s="274" t="str">
        <f t="shared" si="13"/>
        <v/>
      </c>
      <c r="P82" s="274" t="str">
        <f t="shared" si="14"/>
        <v/>
      </c>
      <c r="Q82" s="274" t="str">
        <f t="shared" si="15"/>
        <v/>
      </c>
      <c r="R82" s="274" t="str">
        <f t="shared" si="16"/>
        <v/>
      </c>
      <c r="S82" s="607" t="str">
        <f t="shared" si="17"/>
        <v/>
      </c>
      <c r="T82" s="607" t="str">
        <f t="shared" si="18"/>
        <v/>
      </c>
      <c r="U82" s="607" t="str">
        <f t="shared" si="22"/>
        <v/>
      </c>
      <c r="V82" s="162" t="str">
        <f t="shared" si="23"/>
        <v/>
      </c>
      <c r="W82" s="609" t="str">
        <f>IF($G82="","",VLOOKUP($G82,請求Data!$E$11:$AR$160,請求Data!$AC$10-請求Data!$D$10,FALSE))</f>
        <v/>
      </c>
      <c r="X82" s="607" t="str">
        <f t="shared" si="24"/>
        <v/>
      </c>
      <c r="Y82" s="608" t="str">
        <f t="shared" si="25"/>
        <v/>
      </c>
    </row>
    <row r="83" spans="1:25">
      <c r="A83" s="103">
        <v>77</v>
      </c>
      <c r="B83" s="247" t="str">
        <f>IF(LEFT($G83,1)="1",IF($H82=$H83,MAX($B$6:$B82)+1,IF(MAX($B$6:$B82)&lt;=0,1,MAX($B$6:$B82)+3)),"")</f>
        <v/>
      </c>
      <c r="C83" s="247" t="str">
        <f>IF(LEFT($G83,1)="2",IF($H82=$H83,MAX($C$6:$C82)+1,IF(MAX($C$6:$C82)&lt;=0,1,MAX($C$6:$C82)+3)),"")</f>
        <v/>
      </c>
      <c r="D83" s="247" t="str">
        <f>IF(LEFT($G83,1)="3",IF($H82=$H83,MAX($D$6:$D82)+1,IF(MAX($D$6:$D82)&lt;=0,1,MAX($D$6:$D82)+3)),"")</f>
        <v/>
      </c>
      <c r="E83" s="247" t="str">
        <f>IF(LEFT($G83,1)="4",IF($H82=$H83,MAX($E$6:$E82)+1,IF(MAX($E$6:$E82)&lt;=0,1,MAX($E$6:$E82)+3)),"")</f>
        <v/>
      </c>
      <c r="F83" s="477" t="str">
        <f t="shared" si="19"/>
        <v/>
      </c>
      <c r="G83" s="409" t="str">
        <f>IF(ISERROR(SMALL(請求Data!$E$11:$E$160,$A83)),"",SMALL(請求Data!$E$11:$E$160,$A83))</f>
        <v/>
      </c>
      <c r="H83" s="606" t="str">
        <f>IF($G83="","",VLOOKUP($G83,請求Data!$E$11:$AR$160,4,FALSE))</f>
        <v/>
      </c>
      <c r="I83" s="606" t="str">
        <f>IF($G83="","",VLOOKUP($G83,請求Data!$E$11:$AR$160,5,FALSE))</f>
        <v/>
      </c>
      <c r="J83" s="609" t="str">
        <f>IF($G83="","",IF(VLOOKUP($G83,請求Data!$E$11:$AR$160,請求Data!$Y$10-請求Data!$D$10,FALSE)="",1,0))</f>
        <v/>
      </c>
      <c r="K83" s="609" t="str">
        <f>IF($G83="","",IF(VLOOKUP($G83,請求Data!$E$11:$AR$160,請求Data!$Z$10-請求Data!$D$10,FALSE)="*",1,0))</f>
        <v/>
      </c>
      <c r="L83" s="607" t="str">
        <f>IF($G83="","",VLOOKUP($G83,請求Data!$E$11:$AR$160,請求Data!$AP$10-請求Data!$D$10,FALSE))</f>
        <v/>
      </c>
      <c r="M83" s="607" t="str">
        <f t="shared" si="20"/>
        <v/>
      </c>
      <c r="N83" s="607" t="str">
        <f t="shared" si="21"/>
        <v/>
      </c>
      <c r="O83" s="274" t="str">
        <f t="shared" si="13"/>
        <v/>
      </c>
      <c r="P83" s="274" t="str">
        <f t="shared" si="14"/>
        <v/>
      </c>
      <c r="Q83" s="274" t="str">
        <f t="shared" si="15"/>
        <v/>
      </c>
      <c r="R83" s="274" t="str">
        <f t="shared" si="16"/>
        <v/>
      </c>
      <c r="S83" s="607" t="str">
        <f t="shared" si="17"/>
        <v/>
      </c>
      <c r="T83" s="607" t="str">
        <f t="shared" si="18"/>
        <v/>
      </c>
      <c r="U83" s="607" t="str">
        <f t="shared" si="22"/>
        <v/>
      </c>
      <c r="V83" s="162" t="str">
        <f t="shared" si="23"/>
        <v/>
      </c>
      <c r="W83" s="609" t="str">
        <f>IF($G83="","",VLOOKUP($G83,請求Data!$E$11:$AR$160,請求Data!$AC$10-請求Data!$D$10,FALSE))</f>
        <v/>
      </c>
      <c r="X83" s="607" t="str">
        <f t="shared" si="24"/>
        <v/>
      </c>
      <c r="Y83" s="608" t="str">
        <f t="shared" si="25"/>
        <v/>
      </c>
    </row>
    <row r="84" spans="1:25">
      <c r="A84" s="103">
        <v>78</v>
      </c>
      <c r="B84" s="247" t="str">
        <f>IF(LEFT($G84,1)="1",IF($H83=$H84,MAX($B$6:$B83)+1,IF(MAX($B$6:$B83)&lt;=0,1,MAX($B$6:$B83)+3)),"")</f>
        <v/>
      </c>
      <c r="C84" s="247" t="str">
        <f>IF(LEFT($G84,1)="2",IF($H83=$H84,MAX($C$6:$C83)+1,IF(MAX($C$6:$C83)&lt;=0,1,MAX($C$6:$C83)+3)),"")</f>
        <v/>
      </c>
      <c r="D84" s="247" t="str">
        <f>IF(LEFT($G84,1)="3",IF($H83=$H84,MAX($D$6:$D83)+1,IF(MAX($D$6:$D83)&lt;=0,1,MAX($D$6:$D83)+3)),"")</f>
        <v/>
      </c>
      <c r="E84" s="247" t="str">
        <f>IF(LEFT($G84,1)="4",IF($H83=$H84,MAX($E$6:$E83)+1,IF(MAX($E$6:$E83)&lt;=0,1,MAX($E$6:$E83)+3)),"")</f>
        <v/>
      </c>
      <c r="F84" s="477" t="str">
        <f t="shared" si="19"/>
        <v/>
      </c>
      <c r="G84" s="409" t="str">
        <f>IF(ISERROR(SMALL(請求Data!$E$11:$E$160,$A84)),"",SMALL(請求Data!$E$11:$E$160,$A84))</f>
        <v/>
      </c>
      <c r="H84" s="606" t="str">
        <f>IF($G84="","",VLOOKUP($G84,請求Data!$E$11:$AR$160,4,FALSE))</f>
        <v/>
      </c>
      <c r="I84" s="606" t="str">
        <f>IF($G84="","",VLOOKUP($G84,請求Data!$E$11:$AR$160,5,FALSE))</f>
        <v/>
      </c>
      <c r="J84" s="609" t="str">
        <f>IF($G84="","",IF(VLOOKUP($G84,請求Data!$E$11:$AR$160,請求Data!$Y$10-請求Data!$D$10,FALSE)="",1,0))</f>
        <v/>
      </c>
      <c r="K84" s="609" t="str">
        <f>IF($G84="","",IF(VLOOKUP($G84,請求Data!$E$11:$AR$160,請求Data!$Z$10-請求Data!$D$10,FALSE)="*",1,0))</f>
        <v/>
      </c>
      <c r="L84" s="607" t="str">
        <f>IF($G84="","",VLOOKUP($G84,請求Data!$E$11:$AR$160,請求Data!$AP$10-請求Data!$D$10,FALSE))</f>
        <v/>
      </c>
      <c r="M84" s="607" t="str">
        <f t="shared" si="20"/>
        <v/>
      </c>
      <c r="N84" s="607" t="str">
        <f t="shared" si="21"/>
        <v/>
      </c>
      <c r="O84" s="274" t="str">
        <f t="shared" si="13"/>
        <v/>
      </c>
      <c r="P84" s="274" t="str">
        <f t="shared" si="14"/>
        <v/>
      </c>
      <c r="Q84" s="274" t="str">
        <f t="shared" si="15"/>
        <v/>
      </c>
      <c r="R84" s="274" t="str">
        <f t="shared" si="16"/>
        <v/>
      </c>
      <c r="S84" s="607" t="str">
        <f t="shared" si="17"/>
        <v/>
      </c>
      <c r="T84" s="607" t="str">
        <f t="shared" si="18"/>
        <v/>
      </c>
      <c r="U84" s="607" t="str">
        <f t="shared" si="22"/>
        <v/>
      </c>
      <c r="V84" s="162" t="str">
        <f t="shared" si="23"/>
        <v/>
      </c>
      <c r="W84" s="609" t="str">
        <f>IF($G84="","",VLOOKUP($G84,請求Data!$E$11:$AR$160,請求Data!$AC$10-請求Data!$D$10,FALSE))</f>
        <v/>
      </c>
      <c r="X84" s="607" t="str">
        <f t="shared" si="24"/>
        <v/>
      </c>
      <c r="Y84" s="608" t="str">
        <f t="shared" si="25"/>
        <v/>
      </c>
    </row>
    <row r="85" spans="1:25">
      <c r="A85" s="103">
        <v>79</v>
      </c>
      <c r="B85" s="247" t="str">
        <f>IF(LEFT($G85,1)="1",IF($H84=$H85,MAX($B$6:$B84)+1,IF(MAX($B$6:$B84)&lt;=0,1,MAX($B$6:$B84)+3)),"")</f>
        <v/>
      </c>
      <c r="C85" s="247" t="str">
        <f>IF(LEFT($G85,1)="2",IF($H84=$H85,MAX($C$6:$C84)+1,IF(MAX($C$6:$C84)&lt;=0,1,MAX($C$6:$C84)+3)),"")</f>
        <v/>
      </c>
      <c r="D85" s="247" t="str">
        <f>IF(LEFT($G85,1)="3",IF($H84=$H85,MAX($D$6:$D84)+1,IF(MAX($D$6:$D84)&lt;=0,1,MAX($D$6:$D84)+3)),"")</f>
        <v/>
      </c>
      <c r="E85" s="247" t="str">
        <f>IF(LEFT($G85,1)="4",IF($H84=$H85,MAX($E$6:$E84)+1,IF(MAX($E$6:$E84)&lt;=0,1,MAX($E$6:$E84)+3)),"")</f>
        <v/>
      </c>
      <c r="F85" s="477" t="str">
        <f t="shared" si="19"/>
        <v/>
      </c>
      <c r="G85" s="409" t="str">
        <f>IF(ISERROR(SMALL(請求Data!$E$11:$E$160,$A85)),"",SMALL(請求Data!$E$11:$E$160,$A85))</f>
        <v/>
      </c>
      <c r="H85" s="606" t="str">
        <f>IF($G85="","",VLOOKUP($G85,請求Data!$E$11:$AR$160,4,FALSE))</f>
        <v/>
      </c>
      <c r="I85" s="606" t="str">
        <f>IF($G85="","",VLOOKUP($G85,請求Data!$E$11:$AR$160,5,FALSE))</f>
        <v/>
      </c>
      <c r="J85" s="609" t="str">
        <f>IF($G85="","",IF(VLOOKUP($G85,請求Data!$E$11:$AR$160,請求Data!$Y$10-請求Data!$D$10,FALSE)="",1,0))</f>
        <v/>
      </c>
      <c r="K85" s="609" t="str">
        <f>IF($G85="","",IF(VLOOKUP($G85,請求Data!$E$11:$AR$160,請求Data!$Z$10-請求Data!$D$10,FALSE)="*",1,0))</f>
        <v/>
      </c>
      <c r="L85" s="607" t="str">
        <f>IF($G85="","",VLOOKUP($G85,請求Data!$E$11:$AR$160,請求Data!$AP$10-請求Data!$D$10,FALSE))</f>
        <v/>
      </c>
      <c r="M85" s="607" t="str">
        <f t="shared" si="20"/>
        <v/>
      </c>
      <c r="N85" s="607" t="str">
        <f t="shared" si="21"/>
        <v/>
      </c>
      <c r="O85" s="274" t="str">
        <f t="shared" si="13"/>
        <v/>
      </c>
      <c r="P85" s="274" t="str">
        <f t="shared" si="14"/>
        <v/>
      </c>
      <c r="Q85" s="274" t="str">
        <f t="shared" si="15"/>
        <v/>
      </c>
      <c r="R85" s="274" t="str">
        <f t="shared" si="16"/>
        <v/>
      </c>
      <c r="S85" s="607" t="str">
        <f t="shared" si="17"/>
        <v/>
      </c>
      <c r="T85" s="607" t="str">
        <f t="shared" si="18"/>
        <v/>
      </c>
      <c r="U85" s="607" t="str">
        <f t="shared" si="22"/>
        <v/>
      </c>
      <c r="V85" s="162" t="str">
        <f t="shared" si="23"/>
        <v/>
      </c>
      <c r="W85" s="609" t="str">
        <f>IF($G85="","",VLOOKUP($G85,請求Data!$E$11:$AR$160,請求Data!$AC$10-請求Data!$D$10,FALSE))</f>
        <v/>
      </c>
      <c r="X85" s="607" t="str">
        <f t="shared" si="24"/>
        <v/>
      </c>
      <c r="Y85" s="608" t="str">
        <f t="shared" si="25"/>
        <v/>
      </c>
    </row>
    <row r="86" spans="1:25">
      <c r="A86" s="103">
        <v>80</v>
      </c>
      <c r="B86" s="247" t="str">
        <f>IF(LEFT($G86,1)="1",IF($H85=$H86,MAX($B$6:$B85)+1,IF(MAX($B$6:$B85)&lt;=0,1,MAX($B$6:$B85)+3)),"")</f>
        <v/>
      </c>
      <c r="C86" s="247" t="str">
        <f>IF(LEFT($G86,1)="2",IF($H85=$H86,MAX($C$6:$C85)+1,IF(MAX($C$6:$C85)&lt;=0,1,MAX($C$6:$C85)+3)),"")</f>
        <v/>
      </c>
      <c r="D86" s="247" t="str">
        <f>IF(LEFT($G86,1)="3",IF($H85=$H86,MAX($D$6:$D85)+1,IF(MAX($D$6:$D85)&lt;=0,1,MAX($D$6:$D85)+3)),"")</f>
        <v/>
      </c>
      <c r="E86" s="247" t="str">
        <f>IF(LEFT($G86,1)="4",IF($H85=$H86,MAX($E$6:$E85)+1,IF(MAX($E$6:$E85)&lt;=0,1,MAX($E$6:$E85)+3)),"")</f>
        <v/>
      </c>
      <c r="F86" s="477" t="str">
        <f t="shared" si="19"/>
        <v/>
      </c>
      <c r="G86" s="409" t="str">
        <f>IF(ISERROR(SMALL(請求Data!$E$11:$E$160,$A86)),"",SMALL(請求Data!$E$11:$E$160,$A86))</f>
        <v/>
      </c>
      <c r="H86" s="606" t="str">
        <f>IF($G86="","",VLOOKUP($G86,請求Data!$E$11:$AR$160,4,FALSE))</f>
        <v/>
      </c>
      <c r="I86" s="606" t="str">
        <f>IF($G86="","",VLOOKUP($G86,請求Data!$E$11:$AR$160,5,FALSE))</f>
        <v/>
      </c>
      <c r="J86" s="609" t="str">
        <f>IF($G86="","",IF(VLOOKUP($G86,請求Data!$E$11:$AR$160,請求Data!$Y$10-請求Data!$D$10,FALSE)="",1,0))</f>
        <v/>
      </c>
      <c r="K86" s="609" t="str">
        <f>IF($G86="","",IF(VLOOKUP($G86,請求Data!$E$11:$AR$160,請求Data!$Z$10-請求Data!$D$10,FALSE)="*",1,0))</f>
        <v/>
      </c>
      <c r="L86" s="607" t="str">
        <f>IF($G86="","",VLOOKUP($G86,請求Data!$E$11:$AR$160,請求Data!$AP$10-請求Data!$D$10,FALSE))</f>
        <v/>
      </c>
      <c r="M86" s="607" t="str">
        <f t="shared" si="20"/>
        <v/>
      </c>
      <c r="N86" s="607" t="str">
        <f t="shared" si="21"/>
        <v/>
      </c>
      <c r="O86" s="274" t="str">
        <f t="shared" si="13"/>
        <v/>
      </c>
      <c r="P86" s="274" t="str">
        <f t="shared" si="14"/>
        <v/>
      </c>
      <c r="Q86" s="274" t="str">
        <f t="shared" si="15"/>
        <v/>
      </c>
      <c r="R86" s="274" t="str">
        <f t="shared" si="16"/>
        <v/>
      </c>
      <c r="S86" s="607" t="str">
        <f t="shared" si="17"/>
        <v/>
      </c>
      <c r="T86" s="607" t="str">
        <f t="shared" si="18"/>
        <v/>
      </c>
      <c r="U86" s="607" t="str">
        <f t="shared" si="22"/>
        <v/>
      </c>
      <c r="V86" s="162" t="str">
        <f t="shared" si="23"/>
        <v/>
      </c>
      <c r="W86" s="609" t="str">
        <f>IF($G86="","",VLOOKUP($G86,請求Data!$E$11:$AR$160,請求Data!$AC$10-請求Data!$D$10,FALSE))</f>
        <v/>
      </c>
      <c r="X86" s="607" t="str">
        <f t="shared" si="24"/>
        <v/>
      </c>
      <c r="Y86" s="608" t="str">
        <f t="shared" si="25"/>
        <v/>
      </c>
    </row>
    <row r="87" spans="1:25">
      <c r="A87" s="103">
        <v>81</v>
      </c>
      <c r="B87" s="247" t="str">
        <f>IF(LEFT($G87,1)="1",IF($H86=$H87,MAX($B$6:$B86)+1,IF(MAX($B$6:$B86)&lt;=0,1,MAX($B$6:$B86)+3)),"")</f>
        <v/>
      </c>
      <c r="C87" s="247" t="str">
        <f>IF(LEFT($G87,1)="2",IF($H86=$H87,MAX($C$6:$C86)+1,IF(MAX($C$6:$C86)&lt;=0,1,MAX($C$6:$C86)+3)),"")</f>
        <v/>
      </c>
      <c r="D87" s="247" t="str">
        <f>IF(LEFT($G87,1)="3",IF($H86=$H87,MAX($D$6:$D86)+1,IF(MAX($D$6:$D86)&lt;=0,1,MAX($D$6:$D86)+3)),"")</f>
        <v/>
      </c>
      <c r="E87" s="247" t="str">
        <f>IF(LEFT($G87,1)="4",IF($H86=$H87,MAX($E$6:$E86)+1,IF(MAX($E$6:$E86)&lt;=0,1,MAX($E$6:$E86)+3)),"")</f>
        <v/>
      </c>
      <c r="F87" s="477" t="str">
        <f t="shared" si="19"/>
        <v/>
      </c>
      <c r="G87" s="409" t="str">
        <f>IF(ISERROR(SMALL(請求Data!$E$11:$E$160,$A87)),"",SMALL(請求Data!$E$11:$E$160,$A87))</f>
        <v/>
      </c>
      <c r="H87" s="606" t="str">
        <f>IF($G87="","",VLOOKUP($G87,請求Data!$E$11:$AR$160,4,FALSE))</f>
        <v/>
      </c>
      <c r="I87" s="606" t="str">
        <f>IF($G87="","",VLOOKUP($G87,請求Data!$E$11:$AR$160,5,FALSE))</f>
        <v/>
      </c>
      <c r="J87" s="609" t="str">
        <f>IF($G87="","",IF(VLOOKUP($G87,請求Data!$E$11:$AR$160,請求Data!$Y$10-請求Data!$D$10,FALSE)="",1,0))</f>
        <v/>
      </c>
      <c r="K87" s="609" t="str">
        <f>IF($G87="","",IF(VLOOKUP($G87,請求Data!$E$11:$AR$160,請求Data!$Z$10-請求Data!$D$10,FALSE)="*",1,0))</f>
        <v/>
      </c>
      <c r="L87" s="607" t="str">
        <f>IF($G87="","",VLOOKUP($G87,請求Data!$E$11:$AR$160,請求Data!$AP$10-請求Data!$D$10,FALSE))</f>
        <v/>
      </c>
      <c r="M87" s="607" t="str">
        <f t="shared" si="20"/>
        <v/>
      </c>
      <c r="N87" s="607" t="str">
        <f t="shared" si="21"/>
        <v/>
      </c>
      <c r="O87" s="274" t="str">
        <f t="shared" si="13"/>
        <v/>
      </c>
      <c r="P87" s="274" t="str">
        <f t="shared" si="14"/>
        <v/>
      </c>
      <c r="Q87" s="274" t="str">
        <f t="shared" si="15"/>
        <v/>
      </c>
      <c r="R87" s="274" t="str">
        <f t="shared" si="16"/>
        <v/>
      </c>
      <c r="S87" s="607" t="str">
        <f t="shared" si="17"/>
        <v/>
      </c>
      <c r="T87" s="607" t="str">
        <f t="shared" si="18"/>
        <v/>
      </c>
      <c r="U87" s="607" t="str">
        <f t="shared" si="22"/>
        <v/>
      </c>
      <c r="V87" s="162" t="str">
        <f t="shared" si="23"/>
        <v/>
      </c>
      <c r="W87" s="609" t="str">
        <f>IF($G87="","",VLOOKUP($G87,請求Data!$E$11:$AR$160,請求Data!$AC$10-請求Data!$D$10,FALSE))</f>
        <v/>
      </c>
      <c r="X87" s="607" t="str">
        <f t="shared" si="24"/>
        <v/>
      </c>
      <c r="Y87" s="608" t="str">
        <f t="shared" si="25"/>
        <v/>
      </c>
    </row>
    <row r="88" spans="1:25">
      <c r="A88" s="103">
        <v>82</v>
      </c>
      <c r="B88" s="247" t="str">
        <f>IF(LEFT($G88,1)="1",IF($H87=$H88,MAX($B$6:$B87)+1,IF(MAX($B$6:$B87)&lt;=0,1,MAX($B$6:$B87)+3)),"")</f>
        <v/>
      </c>
      <c r="C88" s="247" t="str">
        <f>IF(LEFT($G88,1)="2",IF($H87=$H88,MAX($C$6:$C87)+1,IF(MAX($C$6:$C87)&lt;=0,1,MAX($C$6:$C87)+3)),"")</f>
        <v/>
      </c>
      <c r="D88" s="247" t="str">
        <f>IF(LEFT($G88,1)="3",IF($H87=$H88,MAX($D$6:$D87)+1,IF(MAX($D$6:$D87)&lt;=0,1,MAX($D$6:$D87)+3)),"")</f>
        <v/>
      </c>
      <c r="E88" s="247" t="str">
        <f>IF(LEFT($G88,1)="4",IF($H87=$H88,MAX($E$6:$E87)+1,IF(MAX($E$6:$E87)&lt;=0,1,MAX($E$6:$E87)+3)),"")</f>
        <v/>
      </c>
      <c r="F88" s="477" t="str">
        <f t="shared" si="19"/>
        <v/>
      </c>
      <c r="G88" s="409" t="str">
        <f>IF(ISERROR(SMALL(請求Data!$E$11:$E$160,$A88)),"",SMALL(請求Data!$E$11:$E$160,$A88))</f>
        <v/>
      </c>
      <c r="H88" s="606" t="str">
        <f>IF($G88="","",VLOOKUP($G88,請求Data!$E$11:$AR$160,4,FALSE))</f>
        <v/>
      </c>
      <c r="I88" s="606" t="str">
        <f>IF($G88="","",VLOOKUP($G88,請求Data!$E$11:$AR$160,5,FALSE))</f>
        <v/>
      </c>
      <c r="J88" s="609" t="str">
        <f>IF($G88="","",IF(VLOOKUP($G88,請求Data!$E$11:$AR$160,請求Data!$Y$10-請求Data!$D$10,FALSE)="",1,0))</f>
        <v/>
      </c>
      <c r="K88" s="609" t="str">
        <f>IF($G88="","",IF(VLOOKUP($G88,請求Data!$E$11:$AR$160,請求Data!$Z$10-請求Data!$D$10,FALSE)="*",1,0))</f>
        <v/>
      </c>
      <c r="L88" s="607" t="str">
        <f>IF($G88="","",VLOOKUP($G88,請求Data!$E$11:$AR$160,請求Data!$AP$10-請求Data!$D$10,FALSE))</f>
        <v/>
      </c>
      <c r="M88" s="607" t="str">
        <f t="shared" si="20"/>
        <v/>
      </c>
      <c r="N88" s="607" t="str">
        <f t="shared" si="21"/>
        <v/>
      </c>
      <c r="O88" s="274" t="str">
        <f t="shared" si="13"/>
        <v/>
      </c>
      <c r="P88" s="274" t="str">
        <f t="shared" si="14"/>
        <v/>
      </c>
      <c r="Q88" s="274" t="str">
        <f t="shared" si="15"/>
        <v/>
      </c>
      <c r="R88" s="274" t="str">
        <f t="shared" si="16"/>
        <v/>
      </c>
      <c r="S88" s="607" t="str">
        <f t="shared" si="17"/>
        <v/>
      </c>
      <c r="T88" s="607" t="str">
        <f t="shared" si="18"/>
        <v/>
      </c>
      <c r="U88" s="607" t="str">
        <f t="shared" si="22"/>
        <v/>
      </c>
      <c r="V88" s="162" t="str">
        <f t="shared" si="23"/>
        <v/>
      </c>
      <c r="W88" s="609" t="str">
        <f>IF($G88="","",VLOOKUP($G88,請求Data!$E$11:$AR$160,請求Data!$AC$10-請求Data!$D$10,FALSE))</f>
        <v/>
      </c>
      <c r="X88" s="607" t="str">
        <f t="shared" si="24"/>
        <v/>
      </c>
      <c r="Y88" s="608" t="str">
        <f t="shared" si="25"/>
        <v/>
      </c>
    </row>
    <row r="89" spans="1:25">
      <c r="A89" s="103">
        <v>83</v>
      </c>
      <c r="B89" s="247" t="str">
        <f>IF(LEFT($G89,1)="1",IF($H88=$H89,MAX($B$6:$B88)+1,IF(MAX($B$6:$B88)&lt;=0,1,MAX($B$6:$B88)+3)),"")</f>
        <v/>
      </c>
      <c r="C89" s="247" t="str">
        <f>IF(LEFT($G89,1)="2",IF($H88=$H89,MAX($C$6:$C88)+1,IF(MAX($C$6:$C88)&lt;=0,1,MAX($C$6:$C88)+3)),"")</f>
        <v/>
      </c>
      <c r="D89" s="247" t="str">
        <f>IF(LEFT($G89,1)="3",IF($H88=$H89,MAX($D$6:$D88)+1,IF(MAX($D$6:$D88)&lt;=0,1,MAX($D$6:$D88)+3)),"")</f>
        <v/>
      </c>
      <c r="E89" s="247" t="str">
        <f>IF(LEFT($G89,1)="4",IF($H88=$H89,MAX($E$6:$E88)+1,IF(MAX($E$6:$E88)&lt;=0,1,MAX($E$6:$E88)+3)),"")</f>
        <v/>
      </c>
      <c r="F89" s="477" t="str">
        <f t="shared" si="19"/>
        <v/>
      </c>
      <c r="G89" s="409" t="str">
        <f>IF(ISERROR(SMALL(請求Data!$E$11:$E$160,$A89)),"",SMALL(請求Data!$E$11:$E$160,$A89))</f>
        <v/>
      </c>
      <c r="H89" s="606" t="str">
        <f>IF($G89="","",VLOOKUP($G89,請求Data!$E$11:$AR$160,4,FALSE))</f>
        <v/>
      </c>
      <c r="I89" s="606" t="str">
        <f>IF($G89="","",VLOOKUP($G89,請求Data!$E$11:$AR$160,5,FALSE))</f>
        <v/>
      </c>
      <c r="J89" s="609" t="str">
        <f>IF($G89="","",IF(VLOOKUP($G89,請求Data!$E$11:$AR$160,請求Data!$Y$10-請求Data!$D$10,FALSE)="",1,0))</f>
        <v/>
      </c>
      <c r="K89" s="609" t="str">
        <f>IF($G89="","",IF(VLOOKUP($G89,請求Data!$E$11:$AR$160,請求Data!$Z$10-請求Data!$D$10,FALSE)="*",1,0))</f>
        <v/>
      </c>
      <c r="L89" s="607" t="str">
        <f>IF($G89="","",VLOOKUP($G89,請求Data!$E$11:$AR$160,請求Data!$AP$10-請求Data!$D$10,FALSE))</f>
        <v/>
      </c>
      <c r="M89" s="607" t="str">
        <f t="shared" si="20"/>
        <v/>
      </c>
      <c r="N89" s="607" t="str">
        <f t="shared" si="21"/>
        <v/>
      </c>
      <c r="O89" s="274" t="str">
        <f t="shared" si="13"/>
        <v/>
      </c>
      <c r="P89" s="274" t="str">
        <f t="shared" si="14"/>
        <v/>
      </c>
      <c r="Q89" s="274" t="str">
        <f t="shared" si="15"/>
        <v/>
      </c>
      <c r="R89" s="274" t="str">
        <f t="shared" si="16"/>
        <v/>
      </c>
      <c r="S89" s="607" t="str">
        <f t="shared" si="17"/>
        <v/>
      </c>
      <c r="T89" s="607" t="str">
        <f t="shared" si="18"/>
        <v/>
      </c>
      <c r="U89" s="607" t="str">
        <f t="shared" si="22"/>
        <v/>
      </c>
      <c r="V89" s="162" t="str">
        <f t="shared" si="23"/>
        <v/>
      </c>
      <c r="W89" s="609" t="str">
        <f>IF($G89="","",VLOOKUP($G89,請求Data!$E$11:$AR$160,請求Data!$AC$10-請求Data!$D$10,FALSE))</f>
        <v/>
      </c>
      <c r="X89" s="607" t="str">
        <f t="shared" si="24"/>
        <v/>
      </c>
      <c r="Y89" s="608" t="str">
        <f t="shared" si="25"/>
        <v/>
      </c>
    </row>
    <row r="90" spans="1:25">
      <c r="A90" s="103">
        <v>84</v>
      </c>
      <c r="B90" s="247" t="str">
        <f>IF(LEFT($G90,1)="1",IF($H89=$H90,MAX($B$6:$B89)+1,IF(MAX($B$6:$B89)&lt;=0,1,MAX($B$6:$B89)+3)),"")</f>
        <v/>
      </c>
      <c r="C90" s="247" t="str">
        <f>IF(LEFT($G90,1)="2",IF($H89=$H90,MAX($C$6:$C89)+1,IF(MAX($C$6:$C89)&lt;=0,1,MAX($C$6:$C89)+3)),"")</f>
        <v/>
      </c>
      <c r="D90" s="247" t="str">
        <f>IF(LEFT($G90,1)="3",IF($H89=$H90,MAX($D$6:$D89)+1,IF(MAX($D$6:$D89)&lt;=0,1,MAX($D$6:$D89)+3)),"")</f>
        <v/>
      </c>
      <c r="E90" s="247" t="str">
        <f>IF(LEFT($G90,1)="4",IF($H89=$H90,MAX($E$6:$E89)+1,IF(MAX($E$6:$E89)&lt;=0,1,MAX($E$6:$E89)+3)),"")</f>
        <v/>
      </c>
      <c r="F90" s="477" t="str">
        <f t="shared" si="19"/>
        <v/>
      </c>
      <c r="G90" s="409" t="str">
        <f>IF(ISERROR(SMALL(請求Data!$E$11:$E$160,$A90)),"",SMALL(請求Data!$E$11:$E$160,$A90))</f>
        <v/>
      </c>
      <c r="H90" s="606" t="str">
        <f>IF($G90="","",VLOOKUP($G90,請求Data!$E$11:$AR$160,4,FALSE))</f>
        <v/>
      </c>
      <c r="I90" s="606" t="str">
        <f>IF($G90="","",VLOOKUP($G90,請求Data!$E$11:$AR$160,5,FALSE))</f>
        <v/>
      </c>
      <c r="J90" s="609" t="str">
        <f>IF($G90="","",IF(VLOOKUP($G90,請求Data!$E$11:$AR$160,請求Data!$Y$10-請求Data!$D$10,FALSE)="",1,0))</f>
        <v/>
      </c>
      <c r="K90" s="609" t="str">
        <f>IF($G90="","",IF(VLOOKUP($G90,請求Data!$E$11:$AR$160,請求Data!$Z$10-請求Data!$D$10,FALSE)="*",1,0))</f>
        <v/>
      </c>
      <c r="L90" s="607" t="str">
        <f>IF($G90="","",VLOOKUP($G90,請求Data!$E$11:$AR$160,請求Data!$AP$10-請求Data!$D$10,FALSE))</f>
        <v/>
      </c>
      <c r="M90" s="607" t="str">
        <f t="shared" si="20"/>
        <v/>
      </c>
      <c r="N90" s="607" t="str">
        <f t="shared" si="21"/>
        <v/>
      </c>
      <c r="O90" s="274" t="str">
        <f t="shared" si="13"/>
        <v/>
      </c>
      <c r="P90" s="274" t="str">
        <f t="shared" si="14"/>
        <v/>
      </c>
      <c r="Q90" s="274" t="str">
        <f t="shared" si="15"/>
        <v/>
      </c>
      <c r="R90" s="274" t="str">
        <f t="shared" si="16"/>
        <v/>
      </c>
      <c r="S90" s="607" t="str">
        <f t="shared" si="17"/>
        <v/>
      </c>
      <c r="T90" s="607" t="str">
        <f t="shared" si="18"/>
        <v/>
      </c>
      <c r="U90" s="607" t="str">
        <f t="shared" si="22"/>
        <v/>
      </c>
      <c r="V90" s="162" t="str">
        <f t="shared" si="23"/>
        <v/>
      </c>
      <c r="W90" s="609" t="str">
        <f>IF($G90="","",VLOOKUP($G90,請求Data!$E$11:$AR$160,請求Data!$AC$10-請求Data!$D$10,FALSE))</f>
        <v/>
      </c>
      <c r="X90" s="607" t="str">
        <f t="shared" si="24"/>
        <v/>
      </c>
      <c r="Y90" s="608" t="str">
        <f t="shared" si="25"/>
        <v/>
      </c>
    </row>
    <row r="91" spans="1:25">
      <c r="A91" s="103">
        <v>85</v>
      </c>
      <c r="B91" s="247" t="str">
        <f>IF(LEFT($G91,1)="1",IF($H90=$H91,MAX($B$6:$B90)+1,IF(MAX($B$6:$B90)&lt;=0,1,MAX($B$6:$B90)+3)),"")</f>
        <v/>
      </c>
      <c r="C91" s="247" t="str">
        <f>IF(LEFT($G91,1)="2",IF($H90=$H91,MAX($C$6:$C90)+1,IF(MAX($C$6:$C90)&lt;=0,1,MAX($C$6:$C90)+3)),"")</f>
        <v/>
      </c>
      <c r="D91" s="247" t="str">
        <f>IF(LEFT($G91,1)="3",IF($H90=$H91,MAX($D$6:$D90)+1,IF(MAX($D$6:$D90)&lt;=0,1,MAX($D$6:$D90)+3)),"")</f>
        <v/>
      </c>
      <c r="E91" s="247" t="str">
        <f>IF(LEFT($G91,1)="4",IF($H90=$H91,MAX($E$6:$E90)+1,IF(MAX($E$6:$E90)&lt;=0,1,MAX($E$6:$E90)+3)),"")</f>
        <v/>
      </c>
      <c r="F91" s="477" t="str">
        <f t="shared" si="19"/>
        <v/>
      </c>
      <c r="G91" s="409" t="str">
        <f>IF(ISERROR(SMALL(請求Data!$E$11:$E$160,$A91)),"",SMALL(請求Data!$E$11:$E$160,$A91))</f>
        <v/>
      </c>
      <c r="H91" s="606" t="str">
        <f>IF($G91="","",VLOOKUP($G91,請求Data!$E$11:$AR$160,4,FALSE))</f>
        <v/>
      </c>
      <c r="I91" s="606" t="str">
        <f>IF($G91="","",VLOOKUP($G91,請求Data!$E$11:$AR$160,5,FALSE))</f>
        <v/>
      </c>
      <c r="J91" s="609" t="str">
        <f>IF($G91="","",IF(VLOOKUP($G91,請求Data!$E$11:$AR$160,請求Data!$Y$10-請求Data!$D$10,FALSE)="",1,0))</f>
        <v/>
      </c>
      <c r="K91" s="609" t="str">
        <f>IF($G91="","",IF(VLOOKUP($G91,請求Data!$E$11:$AR$160,請求Data!$Z$10-請求Data!$D$10,FALSE)="*",1,0))</f>
        <v/>
      </c>
      <c r="L91" s="607" t="str">
        <f>IF($G91="","",VLOOKUP($G91,請求Data!$E$11:$AR$160,請求Data!$AP$10-請求Data!$D$10,FALSE))</f>
        <v/>
      </c>
      <c r="M91" s="607" t="str">
        <f t="shared" si="20"/>
        <v/>
      </c>
      <c r="N91" s="607" t="str">
        <f t="shared" si="21"/>
        <v/>
      </c>
      <c r="O91" s="274" t="str">
        <f t="shared" si="13"/>
        <v/>
      </c>
      <c r="P91" s="274" t="str">
        <f t="shared" si="14"/>
        <v/>
      </c>
      <c r="Q91" s="274" t="str">
        <f t="shared" si="15"/>
        <v/>
      </c>
      <c r="R91" s="274" t="str">
        <f t="shared" si="16"/>
        <v/>
      </c>
      <c r="S91" s="607" t="str">
        <f t="shared" si="17"/>
        <v/>
      </c>
      <c r="T91" s="607" t="str">
        <f t="shared" si="18"/>
        <v/>
      </c>
      <c r="U91" s="607" t="str">
        <f t="shared" si="22"/>
        <v/>
      </c>
      <c r="V91" s="162" t="str">
        <f t="shared" si="23"/>
        <v/>
      </c>
      <c r="W91" s="609" t="str">
        <f>IF($G91="","",VLOOKUP($G91,請求Data!$E$11:$AR$160,請求Data!$AC$10-請求Data!$D$10,FALSE))</f>
        <v/>
      </c>
      <c r="X91" s="607" t="str">
        <f t="shared" si="24"/>
        <v/>
      </c>
      <c r="Y91" s="608" t="str">
        <f t="shared" si="25"/>
        <v/>
      </c>
    </row>
    <row r="92" spans="1:25">
      <c r="A92" s="103">
        <v>86</v>
      </c>
      <c r="B92" s="247" t="str">
        <f>IF(LEFT($G92,1)="1",IF($H91=$H92,MAX($B$6:$B91)+1,IF(MAX($B$6:$B91)&lt;=0,1,MAX($B$6:$B91)+3)),"")</f>
        <v/>
      </c>
      <c r="C92" s="247" t="str">
        <f>IF(LEFT($G92,1)="2",IF($H91=$H92,MAX($C$6:$C91)+1,IF(MAX($C$6:$C91)&lt;=0,1,MAX($C$6:$C91)+3)),"")</f>
        <v/>
      </c>
      <c r="D92" s="247" t="str">
        <f>IF(LEFT($G92,1)="3",IF($H91=$H92,MAX($D$6:$D91)+1,IF(MAX($D$6:$D91)&lt;=0,1,MAX($D$6:$D91)+3)),"")</f>
        <v/>
      </c>
      <c r="E92" s="247" t="str">
        <f>IF(LEFT($G92,1)="4",IF($H91=$H92,MAX($E$6:$E91)+1,IF(MAX($E$6:$E91)&lt;=0,1,MAX($E$6:$E91)+3)),"")</f>
        <v/>
      </c>
      <c r="F92" s="477" t="str">
        <f t="shared" si="19"/>
        <v/>
      </c>
      <c r="G92" s="409" t="str">
        <f>IF(ISERROR(SMALL(請求Data!$E$11:$E$160,$A92)),"",SMALL(請求Data!$E$11:$E$160,$A92))</f>
        <v/>
      </c>
      <c r="H92" s="606" t="str">
        <f>IF($G92="","",VLOOKUP($G92,請求Data!$E$11:$AR$160,4,FALSE))</f>
        <v/>
      </c>
      <c r="I92" s="606" t="str">
        <f>IF($G92="","",VLOOKUP($G92,請求Data!$E$11:$AR$160,5,FALSE))</f>
        <v/>
      </c>
      <c r="J92" s="609" t="str">
        <f>IF($G92="","",IF(VLOOKUP($G92,請求Data!$E$11:$AR$160,請求Data!$Y$10-請求Data!$D$10,FALSE)="",1,0))</f>
        <v/>
      </c>
      <c r="K92" s="609" t="str">
        <f>IF($G92="","",IF(VLOOKUP($G92,請求Data!$E$11:$AR$160,請求Data!$Z$10-請求Data!$D$10,FALSE)="*",1,0))</f>
        <v/>
      </c>
      <c r="L92" s="607" t="str">
        <f>IF($G92="","",VLOOKUP($G92,請求Data!$E$11:$AR$160,請求Data!$AP$10-請求Data!$D$10,FALSE))</f>
        <v/>
      </c>
      <c r="M92" s="607" t="str">
        <f t="shared" si="20"/>
        <v/>
      </c>
      <c r="N92" s="607" t="str">
        <f t="shared" si="21"/>
        <v/>
      </c>
      <c r="O92" s="274" t="str">
        <f t="shared" si="13"/>
        <v/>
      </c>
      <c r="P92" s="274" t="str">
        <f t="shared" si="14"/>
        <v/>
      </c>
      <c r="Q92" s="274" t="str">
        <f t="shared" si="15"/>
        <v/>
      </c>
      <c r="R92" s="274" t="str">
        <f t="shared" si="16"/>
        <v/>
      </c>
      <c r="S92" s="607" t="str">
        <f t="shared" si="17"/>
        <v/>
      </c>
      <c r="T92" s="607" t="str">
        <f t="shared" si="18"/>
        <v/>
      </c>
      <c r="U92" s="607" t="str">
        <f t="shared" si="22"/>
        <v/>
      </c>
      <c r="V92" s="162" t="str">
        <f t="shared" si="23"/>
        <v/>
      </c>
      <c r="W92" s="609" t="str">
        <f>IF($G92="","",VLOOKUP($G92,請求Data!$E$11:$AR$160,請求Data!$AC$10-請求Data!$D$10,FALSE))</f>
        <v/>
      </c>
      <c r="X92" s="607" t="str">
        <f t="shared" si="24"/>
        <v/>
      </c>
      <c r="Y92" s="608" t="str">
        <f t="shared" si="25"/>
        <v/>
      </c>
    </row>
    <row r="93" spans="1:25">
      <c r="A93" s="103">
        <v>87</v>
      </c>
      <c r="B93" s="247" t="str">
        <f>IF(LEFT($G93,1)="1",IF($H92=$H93,MAX($B$6:$B92)+1,IF(MAX($B$6:$B92)&lt;=0,1,MAX($B$6:$B92)+3)),"")</f>
        <v/>
      </c>
      <c r="C93" s="247" t="str">
        <f>IF(LEFT($G93,1)="2",IF($H92=$H93,MAX($C$6:$C92)+1,IF(MAX($C$6:$C92)&lt;=0,1,MAX($C$6:$C92)+3)),"")</f>
        <v/>
      </c>
      <c r="D93" s="247" t="str">
        <f>IF(LEFT($G93,1)="3",IF($H92=$H93,MAX($D$6:$D92)+1,IF(MAX($D$6:$D92)&lt;=0,1,MAX($D$6:$D92)+3)),"")</f>
        <v/>
      </c>
      <c r="E93" s="247" t="str">
        <f>IF(LEFT($G93,1)="4",IF($H92=$H93,MAX($E$6:$E92)+1,IF(MAX($E$6:$E92)&lt;=0,1,MAX($E$6:$E92)+3)),"")</f>
        <v/>
      </c>
      <c r="F93" s="477" t="str">
        <f t="shared" si="19"/>
        <v/>
      </c>
      <c r="G93" s="409" t="str">
        <f>IF(ISERROR(SMALL(請求Data!$E$11:$E$160,$A93)),"",SMALL(請求Data!$E$11:$E$160,$A93))</f>
        <v/>
      </c>
      <c r="H93" s="606" t="str">
        <f>IF($G93="","",VLOOKUP($G93,請求Data!$E$11:$AR$160,4,FALSE))</f>
        <v/>
      </c>
      <c r="I93" s="606" t="str">
        <f>IF($G93="","",VLOOKUP($G93,請求Data!$E$11:$AR$160,5,FALSE))</f>
        <v/>
      </c>
      <c r="J93" s="609" t="str">
        <f>IF($G93="","",IF(VLOOKUP($G93,請求Data!$E$11:$AR$160,請求Data!$Y$10-請求Data!$D$10,FALSE)="",1,0))</f>
        <v/>
      </c>
      <c r="K93" s="609" t="str">
        <f>IF($G93="","",IF(VLOOKUP($G93,請求Data!$E$11:$AR$160,請求Data!$Z$10-請求Data!$D$10,FALSE)="*",1,0))</f>
        <v/>
      </c>
      <c r="L93" s="607" t="str">
        <f>IF($G93="","",VLOOKUP($G93,請求Data!$E$11:$AR$160,請求Data!$AP$10-請求Data!$D$10,FALSE))</f>
        <v/>
      </c>
      <c r="M93" s="607" t="str">
        <f t="shared" si="20"/>
        <v/>
      </c>
      <c r="N93" s="607" t="str">
        <f t="shared" si="21"/>
        <v/>
      </c>
      <c r="O93" s="274" t="str">
        <f t="shared" ref="O93:O133" si="26">IF($H93=$H94,"",IF($B93="","",$B93+1))</f>
        <v/>
      </c>
      <c r="P93" s="274" t="str">
        <f t="shared" ref="P93:P133" si="27">IF($H93=$H94,"",IF($C93="","",$C93+1))</f>
        <v/>
      </c>
      <c r="Q93" s="274" t="str">
        <f t="shared" ref="Q93:Q133" si="28">IF($H93=$H94,"",IF($D93="","",$D93+1))</f>
        <v/>
      </c>
      <c r="R93" s="274" t="str">
        <f t="shared" ref="R93:R133" si="29">IF($H93=$H94,"",IF($E93="","",$E93+1))</f>
        <v/>
      </c>
      <c r="S93" s="607" t="str">
        <f t="shared" ref="S93:S133" si="30">IF($H93="","",IF($H92=$H93,$S92+$L93,$L93))</f>
        <v/>
      </c>
      <c r="T93" s="607" t="str">
        <f t="shared" ref="T93:T133" si="31">IF($H93="","",IF($H92=$H93,$T92+$M93,$M93))</f>
        <v/>
      </c>
      <c r="U93" s="607" t="str">
        <f t="shared" si="22"/>
        <v/>
      </c>
      <c r="V93" s="162" t="str">
        <f t="shared" si="23"/>
        <v/>
      </c>
      <c r="W93" s="609" t="str">
        <f>IF($G93="","",VLOOKUP($G93,請求Data!$E$11:$AR$160,請求Data!$AC$10-請求Data!$D$10,FALSE))</f>
        <v/>
      </c>
      <c r="X93" s="607" t="str">
        <f t="shared" si="24"/>
        <v/>
      </c>
      <c r="Y93" s="608" t="str">
        <f t="shared" si="25"/>
        <v/>
      </c>
    </row>
    <row r="94" spans="1:25">
      <c r="A94" s="103">
        <v>88</v>
      </c>
      <c r="B94" s="247" t="str">
        <f>IF(LEFT($G94,1)="1",IF($H93=$H94,MAX($B$6:$B93)+1,IF(MAX($B$6:$B93)&lt;=0,1,MAX($B$6:$B93)+3)),"")</f>
        <v/>
      </c>
      <c r="C94" s="247" t="str">
        <f>IF(LEFT($G94,1)="2",IF($H93=$H94,MAX($C$6:$C93)+1,IF(MAX($C$6:$C93)&lt;=0,1,MAX($C$6:$C93)+3)),"")</f>
        <v/>
      </c>
      <c r="D94" s="247" t="str">
        <f>IF(LEFT($G94,1)="3",IF($H93=$H94,MAX($D$6:$D93)+1,IF(MAX($D$6:$D93)&lt;=0,1,MAX($D$6:$D93)+3)),"")</f>
        <v/>
      </c>
      <c r="E94" s="247" t="str">
        <f>IF(LEFT($G94,1)="4",IF($H93=$H94,MAX($E$6:$E93)+1,IF(MAX($E$6:$E93)&lt;=0,1,MAX($E$6:$E93)+3)),"")</f>
        <v/>
      </c>
      <c r="F94" s="477" t="str">
        <f t="shared" si="19"/>
        <v/>
      </c>
      <c r="G94" s="409" t="str">
        <f>IF(ISERROR(SMALL(請求Data!$E$11:$E$160,$A94)),"",SMALL(請求Data!$E$11:$E$160,$A94))</f>
        <v/>
      </c>
      <c r="H94" s="606" t="str">
        <f>IF($G94="","",VLOOKUP($G94,請求Data!$E$11:$AR$160,4,FALSE))</f>
        <v/>
      </c>
      <c r="I94" s="606" t="str">
        <f>IF($G94="","",VLOOKUP($G94,請求Data!$E$11:$AR$160,5,FALSE))</f>
        <v/>
      </c>
      <c r="J94" s="609" t="str">
        <f>IF($G94="","",IF(VLOOKUP($G94,請求Data!$E$11:$AR$160,請求Data!$Y$10-請求Data!$D$10,FALSE)="",1,0))</f>
        <v/>
      </c>
      <c r="K94" s="609" t="str">
        <f>IF($G94="","",IF(VLOOKUP($G94,請求Data!$E$11:$AR$160,請求Data!$Z$10-請求Data!$D$10,FALSE)="*",1,0))</f>
        <v/>
      </c>
      <c r="L94" s="607" t="str">
        <f>IF($G94="","",VLOOKUP($G94,請求Data!$E$11:$AR$160,請求Data!$AP$10-請求Data!$D$10,FALSE))</f>
        <v/>
      </c>
      <c r="M94" s="607" t="str">
        <f t="shared" si="20"/>
        <v/>
      </c>
      <c r="N94" s="607" t="str">
        <f t="shared" si="21"/>
        <v/>
      </c>
      <c r="O94" s="274" t="str">
        <f t="shared" si="26"/>
        <v/>
      </c>
      <c r="P94" s="274" t="str">
        <f t="shared" si="27"/>
        <v/>
      </c>
      <c r="Q94" s="274" t="str">
        <f t="shared" si="28"/>
        <v/>
      </c>
      <c r="R94" s="274" t="str">
        <f t="shared" si="29"/>
        <v/>
      </c>
      <c r="S94" s="607" t="str">
        <f t="shared" si="30"/>
        <v/>
      </c>
      <c r="T94" s="607" t="str">
        <f t="shared" si="31"/>
        <v/>
      </c>
      <c r="U94" s="607" t="str">
        <f t="shared" si="22"/>
        <v/>
      </c>
      <c r="V94" s="162" t="str">
        <f t="shared" si="23"/>
        <v/>
      </c>
      <c r="W94" s="609" t="str">
        <f>IF($G94="","",VLOOKUP($G94,請求Data!$E$11:$AR$160,請求Data!$AC$10-請求Data!$D$10,FALSE))</f>
        <v/>
      </c>
      <c r="X94" s="607" t="str">
        <f t="shared" si="24"/>
        <v/>
      </c>
      <c r="Y94" s="608" t="str">
        <f t="shared" si="25"/>
        <v/>
      </c>
    </row>
    <row r="95" spans="1:25">
      <c r="A95" s="103">
        <v>89</v>
      </c>
      <c r="B95" s="247" t="str">
        <f>IF(LEFT($G95,1)="1",IF($H94=$H95,MAX($B$6:$B94)+1,IF(MAX($B$6:$B94)&lt;=0,1,MAX($B$6:$B94)+3)),"")</f>
        <v/>
      </c>
      <c r="C95" s="247" t="str">
        <f>IF(LEFT($G95,1)="2",IF($H94=$H95,MAX($C$6:$C94)+1,IF(MAX($C$6:$C94)&lt;=0,1,MAX($C$6:$C94)+3)),"")</f>
        <v/>
      </c>
      <c r="D95" s="247" t="str">
        <f>IF(LEFT($G95,1)="3",IF($H94=$H95,MAX($D$6:$D94)+1,IF(MAX($D$6:$D94)&lt;=0,1,MAX($D$6:$D94)+3)),"")</f>
        <v/>
      </c>
      <c r="E95" s="247" t="str">
        <f>IF(LEFT($G95,1)="4",IF($H94=$H95,MAX($E$6:$E94)+1,IF(MAX($E$6:$E94)&lt;=0,1,MAX($E$6:$E94)+3)),"")</f>
        <v/>
      </c>
      <c r="F95" s="477" t="str">
        <f t="shared" si="19"/>
        <v/>
      </c>
      <c r="G95" s="409" t="str">
        <f>IF(ISERROR(SMALL(請求Data!$E$11:$E$160,$A95)),"",SMALL(請求Data!$E$11:$E$160,$A95))</f>
        <v/>
      </c>
      <c r="H95" s="606" t="str">
        <f>IF($G95="","",VLOOKUP($G95,請求Data!$E$11:$AR$160,4,FALSE))</f>
        <v/>
      </c>
      <c r="I95" s="606" t="str">
        <f>IF($G95="","",VLOOKUP($G95,請求Data!$E$11:$AR$160,5,FALSE))</f>
        <v/>
      </c>
      <c r="J95" s="609" t="str">
        <f>IF($G95="","",IF(VLOOKUP($G95,請求Data!$E$11:$AR$160,請求Data!$Y$10-請求Data!$D$10,FALSE)="",1,0))</f>
        <v/>
      </c>
      <c r="K95" s="609" t="str">
        <f>IF($G95="","",IF(VLOOKUP($G95,請求Data!$E$11:$AR$160,請求Data!$Z$10-請求Data!$D$10,FALSE)="*",1,0))</f>
        <v/>
      </c>
      <c r="L95" s="607" t="str">
        <f>IF($G95="","",VLOOKUP($G95,請求Data!$E$11:$AR$160,請求Data!$AP$10-請求Data!$D$10,FALSE))</f>
        <v/>
      </c>
      <c r="M95" s="607" t="str">
        <f t="shared" si="20"/>
        <v/>
      </c>
      <c r="N95" s="607" t="str">
        <f t="shared" si="21"/>
        <v/>
      </c>
      <c r="O95" s="274" t="str">
        <f t="shared" si="26"/>
        <v/>
      </c>
      <c r="P95" s="274" t="str">
        <f t="shared" si="27"/>
        <v/>
      </c>
      <c r="Q95" s="274" t="str">
        <f t="shared" si="28"/>
        <v/>
      </c>
      <c r="R95" s="274" t="str">
        <f t="shared" si="29"/>
        <v/>
      </c>
      <c r="S95" s="607" t="str">
        <f t="shared" si="30"/>
        <v/>
      </c>
      <c r="T95" s="607" t="str">
        <f t="shared" si="31"/>
        <v/>
      </c>
      <c r="U95" s="607" t="str">
        <f t="shared" si="22"/>
        <v/>
      </c>
      <c r="V95" s="162" t="str">
        <f t="shared" si="23"/>
        <v/>
      </c>
      <c r="W95" s="609" t="str">
        <f>IF($G95="","",VLOOKUP($G95,請求Data!$E$11:$AR$160,請求Data!$AC$10-請求Data!$D$10,FALSE))</f>
        <v/>
      </c>
      <c r="X95" s="607" t="str">
        <f t="shared" si="24"/>
        <v/>
      </c>
      <c r="Y95" s="608" t="str">
        <f t="shared" si="25"/>
        <v/>
      </c>
    </row>
    <row r="96" spans="1:25">
      <c r="A96" s="103">
        <v>90</v>
      </c>
      <c r="B96" s="247" t="str">
        <f>IF(LEFT($G96,1)="1",IF($H95=$H96,MAX($B$6:$B95)+1,IF(MAX($B$6:$B95)&lt;=0,1,MAX($B$6:$B95)+3)),"")</f>
        <v/>
      </c>
      <c r="C96" s="247" t="str">
        <f>IF(LEFT($G96,1)="2",IF($H95=$H96,MAX($C$6:$C95)+1,IF(MAX($C$6:$C95)&lt;=0,1,MAX($C$6:$C95)+3)),"")</f>
        <v/>
      </c>
      <c r="D96" s="247" t="str">
        <f>IF(LEFT($G96,1)="3",IF($H95=$H96,MAX($D$6:$D95)+1,IF(MAX($D$6:$D95)&lt;=0,1,MAX($D$6:$D95)+3)),"")</f>
        <v/>
      </c>
      <c r="E96" s="247" t="str">
        <f>IF(LEFT($G96,1)="4",IF($H95=$H96,MAX($E$6:$E95)+1,IF(MAX($E$6:$E95)&lt;=0,1,MAX($E$6:$E95)+3)),"")</f>
        <v/>
      </c>
      <c r="F96" s="477" t="str">
        <f t="shared" si="19"/>
        <v/>
      </c>
      <c r="G96" s="409" t="str">
        <f>IF(ISERROR(SMALL(請求Data!$E$11:$E$160,$A96)),"",SMALL(請求Data!$E$11:$E$160,$A96))</f>
        <v/>
      </c>
      <c r="H96" s="606" t="str">
        <f>IF($G96="","",VLOOKUP($G96,請求Data!$E$11:$AR$160,4,FALSE))</f>
        <v/>
      </c>
      <c r="I96" s="606" t="str">
        <f>IF($G96="","",VLOOKUP($G96,請求Data!$E$11:$AR$160,5,FALSE))</f>
        <v/>
      </c>
      <c r="J96" s="609" t="str">
        <f>IF($G96="","",IF(VLOOKUP($G96,請求Data!$E$11:$AR$160,請求Data!$Y$10-請求Data!$D$10,FALSE)="",1,0))</f>
        <v/>
      </c>
      <c r="K96" s="609" t="str">
        <f>IF($G96="","",IF(VLOOKUP($G96,請求Data!$E$11:$AR$160,請求Data!$Z$10-請求Data!$D$10,FALSE)="*",1,0))</f>
        <v/>
      </c>
      <c r="L96" s="607" t="str">
        <f>IF($G96="","",VLOOKUP($G96,請求Data!$E$11:$AR$160,請求Data!$AP$10-請求Data!$D$10,FALSE))</f>
        <v/>
      </c>
      <c r="M96" s="607" t="str">
        <f t="shared" si="20"/>
        <v/>
      </c>
      <c r="N96" s="607" t="str">
        <f t="shared" si="21"/>
        <v/>
      </c>
      <c r="O96" s="274" t="str">
        <f t="shared" si="26"/>
        <v/>
      </c>
      <c r="P96" s="274" t="str">
        <f t="shared" si="27"/>
        <v/>
      </c>
      <c r="Q96" s="274" t="str">
        <f t="shared" si="28"/>
        <v/>
      </c>
      <c r="R96" s="274" t="str">
        <f t="shared" si="29"/>
        <v/>
      </c>
      <c r="S96" s="607" t="str">
        <f t="shared" si="30"/>
        <v/>
      </c>
      <c r="T96" s="607" t="str">
        <f t="shared" si="31"/>
        <v/>
      </c>
      <c r="U96" s="607" t="str">
        <f t="shared" si="22"/>
        <v/>
      </c>
      <c r="V96" s="162" t="str">
        <f t="shared" si="23"/>
        <v/>
      </c>
      <c r="W96" s="609" t="str">
        <f>IF($G96="","",VLOOKUP($G96,請求Data!$E$11:$AR$160,請求Data!$AC$10-請求Data!$D$10,FALSE))</f>
        <v/>
      </c>
      <c r="X96" s="607" t="str">
        <f t="shared" si="24"/>
        <v/>
      </c>
      <c r="Y96" s="608" t="str">
        <f t="shared" si="25"/>
        <v/>
      </c>
    </row>
    <row r="97" spans="1:25">
      <c r="A97" s="103">
        <v>91</v>
      </c>
      <c r="B97" s="247" t="str">
        <f>IF(LEFT($G97,1)="1",IF($H96=$H97,MAX($B$6:$B96)+1,IF(MAX($B$6:$B96)&lt;=0,1,MAX($B$6:$B96)+3)),"")</f>
        <v/>
      </c>
      <c r="C97" s="247" t="str">
        <f>IF(LEFT($G97,1)="2",IF($H96=$H97,MAX($C$6:$C96)+1,IF(MAX($C$6:$C96)&lt;=0,1,MAX($C$6:$C96)+3)),"")</f>
        <v/>
      </c>
      <c r="D97" s="247" t="str">
        <f>IF(LEFT($G97,1)="3",IF($H96=$H97,MAX($D$6:$D96)+1,IF(MAX($D$6:$D96)&lt;=0,1,MAX($D$6:$D96)+3)),"")</f>
        <v/>
      </c>
      <c r="E97" s="247" t="str">
        <f>IF(LEFT($G97,1)="4",IF($H96=$H97,MAX($E$6:$E96)+1,IF(MAX($E$6:$E96)&lt;=0,1,MAX($E$6:$E96)+3)),"")</f>
        <v/>
      </c>
      <c r="F97" s="477" t="str">
        <f t="shared" si="19"/>
        <v/>
      </c>
      <c r="G97" s="409" t="str">
        <f>IF(ISERROR(SMALL(請求Data!$E$11:$E$160,$A97)),"",SMALL(請求Data!$E$11:$E$160,$A97))</f>
        <v/>
      </c>
      <c r="H97" s="606" t="str">
        <f>IF($G97="","",VLOOKUP($G97,請求Data!$E$11:$AR$160,4,FALSE))</f>
        <v/>
      </c>
      <c r="I97" s="606" t="str">
        <f>IF($G97="","",VLOOKUP($G97,請求Data!$E$11:$AR$160,5,FALSE))</f>
        <v/>
      </c>
      <c r="J97" s="609" t="str">
        <f>IF($G97="","",IF(VLOOKUP($G97,請求Data!$E$11:$AR$160,請求Data!$Y$10-請求Data!$D$10,FALSE)="",1,0))</f>
        <v/>
      </c>
      <c r="K97" s="609" t="str">
        <f>IF($G97="","",IF(VLOOKUP($G97,請求Data!$E$11:$AR$160,請求Data!$Z$10-請求Data!$D$10,FALSE)="*",1,0))</f>
        <v/>
      </c>
      <c r="L97" s="607" t="str">
        <f>IF($G97="","",VLOOKUP($G97,請求Data!$E$11:$AR$160,請求Data!$AP$10-請求Data!$D$10,FALSE))</f>
        <v/>
      </c>
      <c r="M97" s="607" t="str">
        <f t="shared" si="20"/>
        <v/>
      </c>
      <c r="N97" s="607" t="str">
        <f t="shared" si="21"/>
        <v/>
      </c>
      <c r="O97" s="274" t="str">
        <f t="shared" si="26"/>
        <v/>
      </c>
      <c r="P97" s="274" t="str">
        <f t="shared" si="27"/>
        <v/>
      </c>
      <c r="Q97" s="274" t="str">
        <f t="shared" si="28"/>
        <v/>
      </c>
      <c r="R97" s="274" t="str">
        <f t="shared" si="29"/>
        <v/>
      </c>
      <c r="S97" s="607" t="str">
        <f t="shared" si="30"/>
        <v/>
      </c>
      <c r="T97" s="607" t="str">
        <f t="shared" si="31"/>
        <v/>
      </c>
      <c r="U97" s="607" t="str">
        <f t="shared" si="22"/>
        <v/>
      </c>
      <c r="V97" s="162" t="str">
        <f t="shared" si="23"/>
        <v/>
      </c>
      <c r="W97" s="609" t="str">
        <f>IF($G97="","",VLOOKUP($G97,請求Data!$E$11:$AR$160,請求Data!$AC$10-請求Data!$D$10,FALSE))</f>
        <v/>
      </c>
      <c r="X97" s="607" t="str">
        <f t="shared" si="24"/>
        <v/>
      </c>
      <c r="Y97" s="608" t="str">
        <f t="shared" si="25"/>
        <v/>
      </c>
    </row>
    <row r="98" spans="1:25">
      <c r="A98" s="103">
        <v>92</v>
      </c>
      <c r="B98" s="247" t="str">
        <f>IF(LEFT($G98,1)="1",IF($H97=$H98,MAX($B$6:$B97)+1,IF(MAX($B$6:$B97)&lt;=0,1,MAX($B$6:$B97)+3)),"")</f>
        <v/>
      </c>
      <c r="C98" s="247" t="str">
        <f>IF(LEFT($G98,1)="2",IF($H97=$H98,MAX($C$6:$C97)+1,IF(MAX($C$6:$C97)&lt;=0,1,MAX($C$6:$C97)+3)),"")</f>
        <v/>
      </c>
      <c r="D98" s="247" t="str">
        <f>IF(LEFT($G98,1)="3",IF($H97=$H98,MAX($D$6:$D97)+1,IF(MAX($D$6:$D97)&lt;=0,1,MAX($D$6:$D97)+3)),"")</f>
        <v/>
      </c>
      <c r="E98" s="247" t="str">
        <f>IF(LEFT($G98,1)="4",IF($H97=$H98,MAX($E$6:$E97)+1,IF(MAX($E$6:$E97)&lt;=0,1,MAX($E$6:$E97)+3)),"")</f>
        <v/>
      </c>
      <c r="F98" s="477" t="str">
        <f t="shared" si="19"/>
        <v/>
      </c>
      <c r="G98" s="409" t="str">
        <f>IF(ISERROR(SMALL(請求Data!$E$11:$E$160,$A98)),"",SMALL(請求Data!$E$11:$E$160,$A98))</f>
        <v/>
      </c>
      <c r="H98" s="606" t="str">
        <f>IF($G98="","",VLOOKUP($G98,請求Data!$E$11:$AR$160,4,FALSE))</f>
        <v/>
      </c>
      <c r="I98" s="606" t="str">
        <f>IF($G98="","",VLOOKUP($G98,請求Data!$E$11:$AR$160,5,FALSE))</f>
        <v/>
      </c>
      <c r="J98" s="609" t="str">
        <f>IF($G98="","",IF(VLOOKUP($G98,請求Data!$E$11:$AR$160,請求Data!$Y$10-請求Data!$D$10,FALSE)="",1,0))</f>
        <v/>
      </c>
      <c r="K98" s="609" t="str">
        <f>IF($G98="","",IF(VLOOKUP($G98,請求Data!$E$11:$AR$160,請求Data!$Z$10-請求Data!$D$10,FALSE)="*",1,0))</f>
        <v/>
      </c>
      <c r="L98" s="607" t="str">
        <f>IF($G98="","",VLOOKUP($G98,請求Data!$E$11:$AR$160,請求Data!$AP$10-請求Data!$D$10,FALSE))</f>
        <v/>
      </c>
      <c r="M98" s="607" t="str">
        <f t="shared" si="20"/>
        <v/>
      </c>
      <c r="N98" s="607" t="str">
        <f t="shared" si="21"/>
        <v/>
      </c>
      <c r="O98" s="274" t="str">
        <f t="shared" si="26"/>
        <v/>
      </c>
      <c r="P98" s="274" t="str">
        <f t="shared" si="27"/>
        <v/>
      </c>
      <c r="Q98" s="274" t="str">
        <f t="shared" si="28"/>
        <v/>
      </c>
      <c r="R98" s="274" t="str">
        <f t="shared" si="29"/>
        <v/>
      </c>
      <c r="S98" s="607" t="str">
        <f t="shared" si="30"/>
        <v/>
      </c>
      <c r="T98" s="607" t="str">
        <f t="shared" si="31"/>
        <v/>
      </c>
      <c r="U98" s="607" t="str">
        <f t="shared" si="22"/>
        <v/>
      </c>
      <c r="V98" s="162" t="str">
        <f t="shared" si="23"/>
        <v/>
      </c>
      <c r="W98" s="609" t="str">
        <f>IF($G98="","",VLOOKUP($G98,請求Data!$E$11:$AR$160,請求Data!$AC$10-請求Data!$D$10,FALSE))</f>
        <v/>
      </c>
      <c r="X98" s="607" t="str">
        <f t="shared" si="24"/>
        <v/>
      </c>
      <c r="Y98" s="608" t="str">
        <f t="shared" si="25"/>
        <v/>
      </c>
    </row>
    <row r="99" spans="1:25">
      <c r="A99" s="103">
        <v>93</v>
      </c>
      <c r="B99" s="247" t="str">
        <f>IF(LEFT($G99,1)="1",IF($H98=$H99,MAX($B$6:$B98)+1,IF(MAX($B$6:$B98)&lt;=0,1,MAX($B$6:$B98)+3)),"")</f>
        <v/>
      </c>
      <c r="C99" s="247" t="str">
        <f>IF(LEFT($G99,1)="2",IF($H98=$H99,MAX($C$6:$C98)+1,IF(MAX($C$6:$C98)&lt;=0,1,MAX($C$6:$C98)+3)),"")</f>
        <v/>
      </c>
      <c r="D99" s="247" t="str">
        <f>IF(LEFT($G99,1)="3",IF($H98=$H99,MAX($D$6:$D98)+1,IF(MAX($D$6:$D98)&lt;=0,1,MAX($D$6:$D98)+3)),"")</f>
        <v/>
      </c>
      <c r="E99" s="247" t="str">
        <f>IF(LEFT($G99,1)="4",IF($H98=$H99,MAX($E$6:$E98)+1,IF(MAX($E$6:$E98)&lt;=0,1,MAX($E$6:$E98)+3)),"")</f>
        <v/>
      </c>
      <c r="F99" s="477" t="str">
        <f t="shared" si="19"/>
        <v/>
      </c>
      <c r="G99" s="409" t="str">
        <f>IF(ISERROR(SMALL(請求Data!$E$11:$E$160,$A99)),"",SMALL(請求Data!$E$11:$E$160,$A99))</f>
        <v/>
      </c>
      <c r="H99" s="606" t="str">
        <f>IF($G99="","",VLOOKUP($G99,請求Data!$E$11:$AR$160,4,FALSE))</f>
        <v/>
      </c>
      <c r="I99" s="606" t="str">
        <f>IF($G99="","",VLOOKUP($G99,請求Data!$E$11:$AR$160,5,FALSE))</f>
        <v/>
      </c>
      <c r="J99" s="609" t="str">
        <f>IF($G99="","",IF(VLOOKUP($G99,請求Data!$E$11:$AR$160,請求Data!$Y$10-請求Data!$D$10,FALSE)="",1,0))</f>
        <v/>
      </c>
      <c r="K99" s="609" t="str">
        <f>IF($G99="","",IF(VLOOKUP($G99,請求Data!$E$11:$AR$160,請求Data!$Z$10-請求Data!$D$10,FALSE)="*",1,0))</f>
        <v/>
      </c>
      <c r="L99" s="607" t="str">
        <f>IF($G99="","",VLOOKUP($G99,請求Data!$E$11:$AR$160,請求Data!$AP$10-請求Data!$D$10,FALSE))</f>
        <v/>
      </c>
      <c r="M99" s="607" t="str">
        <f t="shared" si="20"/>
        <v/>
      </c>
      <c r="N99" s="607" t="str">
        <f t="shared" si="21"/>
        <v/>
      </c>
      <c r="O99" s="274" t="str">
        <f t="shared" si="26"/>
        <v/>
      </c>
      <c r="P99" s="274" t="str">
        <f t="shared" si="27"/>
        <v/>
      </c>
      <c r="Q99" s="274" t="str">
        <f t="shared" si="28"/>
        <v/>
      </c>
      <c r="R99" s="274" t="str">
        <f t="shared" si="29"/>
        <v/>
      </c>
      <c r="S99" s="607" t="str">
        <f t="shared" si="30"/>
        <v/>
      </c>
      <c r="T99" s="607" t="str">
        <f t="shared" si="31"/>
        <v/>
      </c>
      <c r="U99" s="607" t="str">
        <f t="shared" si="22"/>
        <v/>
      </c>
      <c r="V99" s="162" t="str">
        <f t="shared" si="23"/>
        <v/>
      </c>
      <c r="W99" s="609" t="str">
        <f>IF($G99="","",VLOOKUP($G99,請求Data!$E$11:$AR$160,請求Data!$AC$10-請求Data!$D$10,FALSE))</f>
        <v/>
      </c>
      <c r="X99" s="607" t="str">
        <f t="shared" si="24"/>
        <v/>
      </c>
      <c r="Y99" s="608" t="str">
        <f t="shared" si="25"/>
        <v/>
      </c>
    </row>
    <row r="100" spans="1:25">
      <c r="A100" s="103">
        <v>94</v>
      </c>
      <c r="B100" s="247" t="str">
        <f>IF(LEFT($G100,1)="1",IF($H99=$H100,MAX($B$6:$B99)+1,IF(MAX($B$6:$B99)&lt;=0,1,MAX($B$6:$B99)+3)),"")</f>
        <v/>
      </c>
      <c r="C100" s="247" t="str">
        <f>IF(LEFT($G100,1)="2",IF($H99=$H100,MAX($C$6:$C99)+1,IF(MAX($C$6:$C99)&lt;=0,1,MAX($C$6:$C99)+3)),"")</f>
        <v/>
      </c>
      <c r="D100" s="247" t="str">
        <f>IF(LEFT($G100,1)="3",IF($H99=$H100,MAX($D$6:$D99)+1,IF(MAX($D$6:$D99)&lt;=0,1,MAX($D$6:$D99)+3)),"")</f>
        <v/>
      </c>
      <c r="E100" s="247" t="str">
        <f>IF(LEFT($G100,1)="4",IF($H99=$H100,MAX($E$6:$E99)+1,IF(MAX($E$6:$E99)&lt;=0,1,MAX($E$6:$E99)+3)),"")</f>
        <v/>
      </c>
      <c r="F100" s="477" t="str">
        <f t="shared" si="19"/>
        <v/>
      </c>
      <c r="G100" s="409" t="str">
        <f>IF(ISERROR(SMALL(請求Data!$E$11:$E$160,$A100)),"",SMALL(請求Data!$E$11:$E$160,$A100))</f>
        <v/>
      </c>
      <c r="H100" s="606" t="str">
        <f>IF($G100="","",VLOOKUP($G100,請求Data!$E$11:$AR$160,4,FALSE))</f>
        <v/>
      </c>
      <c r="I100" s="606" t="str">
        <f>IF($G100="","",VLOOKUP($G100,請求Data!$E$11:$AR$160,5,FALSE))</f>
        <v/>
      </c>
      <c r="J100" s="609" t="str">
        <f>IF($G100="","",IF(VLOOKUP($G100,請求Data!$E$11:$AR$160,請求Data!$Y$10-請求Data!$D$10,FALSE)="",1,0))</f>
        <v/>
      </c>
      <c r="K100" s="609" t="str">
        <f>IF($G100="","",IF(VLOOKUP($G100,請求Data!$E$11:$AR$160,請求Data!$Z$10-請求Data!$D$10,FALSE)="*",1,0))</f>
        <v/>
      </c>
      <c r="L100" s="607" t="str">
        <f>IF($G100="","",VLOOKUP($G100,請求Data!$E$11:$AR$160,請求Data!$AP$10-請求Data!$D$10,FALSE))</f>
        <v/>
      </c>
      <c r="M100" s="607" t="str">
        <f t="shared" si="20"/>
        <v/>
      </c>
      <c r="N100" s="607" t="str">
        <f t="shared" si="21"/>
        <v/>
      </c>
      <c r="O100" s="274" t="str">
        <f t="shared" si="26"/>
        <v/>
      </c>
      <c r="P100" s="274" t="str">
        <f t="shared" si="27"/>
        <v/>
      </c>
      <c r="Q100" s="274" t="str">
        <f t="shared" si="28"/>
        <v/>
      </c>
      <c r="R100" s="274" t="str">
        <f t="shared" si="29"/>
        <v/>
      </c>
      <c r="S100" s="607" t="str">
        <f t="shared" si="30"/>
        <v/>
      </c>
      <c r="T100" s="607" t="str">
        <f t="shared" si="31"/>
        <v/>
      </c>
      <c r="U100" s="607" t="str">
        <f t="shared" si="22"/>
        <v/>
      </c>
      <c r="V100" s="162" t="str">
        <f t="shared" si="23"/>
        <v/>
      </c>
      <c r="W100" s="609" t="str">
        <f>IF($G100="","",VLOOKUP($G100,請求Data!$E$11:$AR$160,請求Data!$AC$10-請求Data!$D$10,FALSE))</f>
        <v/>
      </c>
      <c r="X100" s="607" t="str">
        <f t="shared" si="24"/>
        <v/>
      </c>
      <c r="Y100" s="608" t="str">
        <f t="shared" si="25"/>
        <v/>
      </c>
    </row>
    <row r="101" spans="1:25">
      <c r="A101" s="103">
        <v>95</v>
      </c>
      <c r="B101" s="247" t="str">
        <f>IF(LEFT($G101,1)="1",IF($H100=$H101,MAX($B$6:$B100)+1,IF(MAX($B$6:$B100)&lt;=0,1,MAX($B$6:$B100)+3)),"")</f>
        <v/>
      </c>
      <c r="C101" s="247" t="str">
        <f>IF(LEFT($G101,1)="2",IF($H100=$H101,MAX($C$6:$C100)+1,IF(MAX($C$6:$C100)&lt;=0,1,MAX($C$6:$C100)+3)),"")</f>
        <v/>
      </c>
      <c r="D101" s="247" t="str">
        <f>IF(LEFT($G101,1)="3",IF($H100=$H101,MAX($D$6:$D100)+1,IF(MAX($D$6:$D100)&lt;=0,1,MAX($D$6:$D100)+3)),"")</f>
        <v/>
      </c>
      <c r="E101" s="247" t="str">
        <f>IF(LEFT($G101,1)="4",IF($H100=$H101,MAX($E$6:$E100)+1,IF(MAX($E$6:$E100)&lt;=0,1,MAX($E$6:$E100)+3)),"")</f>
        <v/>
      </c>
      <c r="F101" s="477" t="str">
        <f t="shared" si="19"/>
        <v/>
      </c>
      <c r="G101" s="409" t="str">
        <f>IF(ISERROR(SMALL(請求Data!$E$11:$E$160,$A101)),"",SMALL(請求Data!$E$11:$E$160,$A101))</f>
        <v/>
      </c>
      <c r="H101" s="606" t="str">
        <f>IF($G101="","",VLOOKUP($G101,請求Data!$E$11:$AR$160,4,FALSE))</f>
        <v/>
      </c>
      <c r="I101" s="606" t="str">
        <f>IF($G101="","",VLOOKUP($G101,請求Data!$E$11:$AR$160,5,FALSE))</f>
        <v/>
      </c>
      <c r="J101" s="609" t="str">
        <f>IF($G101="","",IF(VLOOKUP($G101,請求Data!$E$11:$AR$160,請求Data!$Y$10-請求Data!$D$10,FALSE)="",1,0))</f>
        <v/>
      </c>
      <c r="K101" s="609" t="str">
        <f>IF($G101="","",IF(VLOOKUP($G101,請求Data!$E$11:$AR$160,請求Data!$Z$10-請求Data!$D$10,FALSE)="*",1,0))</f>
        <v/>
      </c>
      <c r="L101" s="607" t="str">
        <f>IF($G101="","",VLOOKUP($G101,請求Data!$E$11:$AR$160,請求Data!$AP$10-請求Data!$D$10,FALSE))</f>
        <v/>
      </c>
      <c r="M101" s="607" t="str">
        <f t="shared" si="20"/>
        <v/>
      </c>
      <c r="N101" s="607" t="str">
        <f t="shared" si="21"/>
        <v/>
      </c>
      <c r="O101" s="274" t="str">
        <f t="shared" si="26"/>
        <v/>
      </c>
      <c r="P101" s="274" t="str">
        <f t="shared" si="27"/>
        <v/>
      </c>
      <c r="Q101" s="274" t="str">
        <f t="shared" si="28"/>
        <v/>
      </c>
      <c r="R101" s="274" t="str">
        <f t="shared" si="29"/>
        <v/>
      </c>
      <c r="S101" s="607" t="str">
        <f t="shared" si="30"/>
        <v/>
      </c>
      <c r="T101" s="607" t="str">
        <f t="shared" si="31"/>
        <v/>
      </c>
      <c r="U101" s="607" t="str">
        <f t="shared" si="22"/>
        <v/>
      </c>
      <c r="V101" s="162" t="str">
        <f t="shared" si="23"/>
        <v/>
      </c>
      <c r="W101" s="609" t="str">
        <f>IF($G101="","",VLOOKUP($G101,請求Data!$E$11:$AR$160,請求Data!$AC$10-請求Data!$D$10,FALSE))</f>
        <v/>
      </c>
      <c r="X101" s="607" t="str">
        <f t="shared" si="24"/>
        <v/>
      </c>
      <c r="Y101" s="608" t="str">
        <f t="shared" si="25"/>
        <v/>
      </c>
    </row>
    <row r="102" spans="1:25">
      <c r="A102" s="103">
        <v>96</v>
      </c>
      <c r="B102" s="247" t="str">
        <f>IF(LEFT($G102,1)="1",IF($H101=$H102,MAX($B$6:$B101)+1,IF(MAX($B$6:$B101)&lt;=0,1,MAX($B$6:$B101)+3)),"")</f>
        <v/>
      </c>
      <c r="C102" s="247" t="str">
        <f>IF(LEFT($G102,1)="2",IF($H101=$H102,MAX($C$6:$C101)+1,IF(MAX($C$6:$C101)&lt;=0,1,MAX($C$6:$C101)+3)),"")</f>
        <v/>
      </c>
      <c r="D102" s="247" t="str">
        <f>IF(LEFT($G102,1)="3",IF($H101=$H102,MAX($D$6:$D101)+1,IF(MAX($D$6:$D101)&lt;=0,1,MAX($D$6:$D101)+3)),"")</f>
        <v/>
      </c>
      <c r="E102" s="247" t="str">
        <f>IF(LEFT($G102,1)="4",IF($H101=$H102,MAX($E$6:$E101)+1,IF(MAX($E$6:$E101)&lt;=0,1,MAX($E$6:$E101)+3)),"")</f>
        <v/>
      </c>
      <c r="F102" s="477" t="str">
        <f t="shared" si="19"/>
        <v/>
      </c>
      <c r="G102" s="409" t="str">
        <f>IF(ISERROR(SMALL(請求Data!$E$11:$E$160,$A102)),"",SMALL(請求Data!$E$11:$E$160,$A102))</f>
        <v/>
      </c>
      <c r="H102" s="606" t="str">
        <f>IF($G102="","",VLOOKUP($G102,請求Data!$E$11:$AR$160,4,FALSE))</f>
        <v/>
      </c>
      <c r="I102" s="606" t="str">
        <f>IF($G102="","",VLOOKUP($G102,請求Data!$E$11:$AR$160,5,FALSE))</f>
        <v/>
      </c>
      <c r="J102" s="609" t="str">
        <f>IF($G102="","",IF(VLOOKUP($G102,請求Data!$E$11:$AR$160,請求Data!$Y$10-請求Data!$D$10,FALSE)="",1,0))</f>
        <v/>
      </c>
      <c r="K102" s="609" t="str">
        <f>IF($G102="","",IF(VLOOKUP($G102,請求Data!$E$11:$AR$160,請求Data!$Z$10-請求Data!$D$10,FALSE)="*",1,0))</f>
        <v/>
      </c>
      <c r="L102" s="607" t="str">
        <f>IF($G102="","",VLOOKUP($G102,請求Data!$E$11:$AR$160,請求Data!$AP$10-請求Data!$D$10,FALSE))</f>
        <v/>
      </c>
      <c r="M102" s="607" t="str">
        <f t="shared" si="20"/>
        <v/>
      </c>
      <c r="N102" s="607" t="str">
        <f t="shared" si="21"/>
        <v/>
      </c>
      <c r="O102" s="274" t="str">
        <f t="shared" si="26"/>
        <v/>
      </c>
      <c r="P102" s="274" t="str">
        <f t="shared" si="27"/>
        <v/>
      </c>
      <c r="Q102" s="274" t="str">
        <f t="shared" si="28"/>
        <v/>
      </c>
      <c r="R102" s="274" t="str">
        <f t="shared" si="29"/>
        <v/>
      </c>
      <c r="S102" s="607" t="str">
        <f t="shared" si="30"/>
        <v/>
      </c>
      <c r="T102" s="607" t="str">
        <f t="shared" si="31"/>
        <v/>
      </c>
      <c r="U102" s="607" t="str">
        <f t="shared" si="22"/>
        <v/>
      </c>
      <c r="V102" s="162" t="str">
        <f t="shared" si="23"/>
        <v/>
      </c>
      <c r="W102" s="609" t="str">
        <f>IF($G102="","",VLOOKUP($G102,請求Data!$E$11:$AR$160,請求Data!$AC$10-請求Data!$D$10,FALSE))</f>
        <v/>
      </c>
      <c r="X102" s="607" t="str">
        <f t="shared" si="24"/>
        <v/>
      </c>
      <c r="Y102" s="608" t="str">
        <f t="shared" si="25"/>
        <v/>
      </c>
    </row>
    <row r="103" spans="1:25">
      <c r="A103" s="103">
        <v>97</v>
      </c>
      <c r="B103" s="247" t="str">
        <f>IF(LEFT($G103,1)="1",IF($H102=$H103,MAX($B$6:$B102)+1,IF(MAX($B$6:$B102)&lt;=0,1,MAX($B$6:$B102)+3)),"")</f>
        <v/>
      </c>
      <c r="C103" s="247" t="str">
        <f>IF(LEFT($G103,1)="2",IF($H102=$H103,MAX($C$6:$C102)+1,IF(MAX($C$6:$C102)&lt;=0,1,MAX($C$6:$C102)+3)),"")</f>
        <v/>
      </c>
      <c r="D103" s="247" t="str">
        <f>IF(LEFT($G103,1)="3",IF($H102=$H103,MAX($D$6:$D102)+1,IF(MAX($D$6:$D102)&lt;=0,1,MAX($D$6:$D102)+3)),"")</f>
        <v/>
      </c>
      <c r="E103" s="247" t="str">
        <f>IF(LEFT($G103,1)="4",IF($H102=$H103,MAX($E$6:$E102)+1,IF(MAX($E$6:$E102)&lt;=0,1,MAX($E$6:$E102)+3)),"")</f>
        <v/>
      </c>
      <c r="F103" s="477" t="str">
        <f t="shared" si="19"/>
        <v/>
      </c>
      <c r="G103" s="409" t="str">
        <f>IF(ISERROR(SMALL(請求Data!$E$11:$E$160,$A103)),"",SMALL(請求Data!$E$11:$E$160,$A103))</f>
        <v/>
      </c>
      <c r="H103" s="606" t="str">
        <f>IF($G103="","",VLOOKUP($G103,請求Data!$E$11:$AR$160,4,FALSE))</f>
        <v/>
      </c>
      <c r="I103" s="606" t="str">
        <f>IF($G103="","",VLOOKUP($G103,請求Data!$E$11:$AR$160,5,FALSE))</f>
        <v/>
      </c>
      <c r="J103" s="609" t="str">
        <f>IF($G103="","",IF(VLOOKUP($G103,請求Data!$E$11:$AR$160,請求Data!$Y$10-請求Data!$D$10,FALSE)="",1,0))</f>
        <v/>
      </c>
      <c r="K103" s="609" t="str">
        <f>IF($G103="","",IF(VLOOKUP($G103,請求Data!$E$11:$AR$160,請求Data!$Z$10-請求Data!$D$10,FALSE)="*",1,0))</f>
        <v/>
      </c>
      <c r="L103" s="607" t="str">
        <f>IF($G103="","",VLOOKUP($G103,請求Data!$E$11:$AR$160,請求Data!$AP$10-請求Data!$D$10,FALSE))</f>
        <v/>
      </c>
      <c r="M103" s="607" t="str">
        <f t="shared" si="20"/>
        <v/>
      </c>
      <c r="N103" s="607" t="str">
        <f t="shared" si="21"/>
        <v/>
      </c>
      <c r="O103" s="274" t="str">
        <f t="shared" si="26"/>
        <v/>
      </c>
      <c r="P103" s="274" t="str">
        <f t="shared" si="27"/>
        <v/>
      </c>
      <c r="Q103" s="274" t="str">
        <f t="shared" si="28"/>
        <v/>
      </c>
      <c r="R103" s="274" t="str">
        <f t="shared" si="29"/>
        <v/>
      </c>
      <c r="S103" s="607" t="str">
        <f t="shared" si="30"/>
        <v/>
      </c>
      <c r="T103" s="607" t="str">
        <f t="shared" si="31"/>
        <v/>
      </c>
      <c r="U103" s="607" t="str">
        <f t="shared" si="22"/>
        <v/>
      </c>
      <c r="V103" s="162" t="str">
        <f t="shared" si="23"/>
        <v/>
      </c>
      <c r="W103" s="609" t="str">
        <f>IF($G103="","",VLOOKUP($G103,請求Data!$E$11:$AR$160,請求Data!$AC$10-請求Data!$D$10,FALSE))</f>
        <v/>
      </c>
      <c r="X103" s="607" t="str">
        <f t="shared" si="24"/>
        <v/>
      </c>
      <c r="Y103" s="608" t="str">
        <f t="shared" si="25"/>
        <v/>
      </c>
    </row>
    <row r="104" spans="1:25">
      <c r="A104" s="103">
        <v>98</v>
      </c>
      <c r="B104" s="247" t="str">
        <f>IF(LEFT($G104,1)="1",IF($H103=$H104,MAX($B$6:$B103)+1,IF(MAX($B$6:$B103)&lt;=0,1,MAX($B$6:$B103)+3)),"")</f>
        <v/>
      </c>
      <c r="C104" s="247" t="str">
        <f>IF(LEFT($G104,1)="2",IF($H103=$H104,MAX($C$6:$C103)+1,IF(MAX($C$6:$C103)&lt;=0,1,MAX($C$6:$C103)+3)),"")</f>
        <v/>
      </c>
      <c r="D104" s="247" t="str">
        <f>IF(LEFT($G104,1)="3",IF($H103=$H104,MAX($D$6:$D103)+1,IF(MAX($D$6:$D103)&lt;=0,1,MAX($D$6:$D103)+3)),"")</f>
        <v/>
      </c>
      <c r="E104" s="247" t="str">
        <f>IF(LEFT($G104,1)="4",IF($H103=$H104,MAX($E$6:$E103)+1,IF(MAX($E$6:$E103)&lt;=0,1,MAX($E$6:$E103)+3)),"")</f>
        <v/>
      </c>
      <c r="F104" s="477" t="str">
        <f t="shared" si="19"/>
        <v/>
      </c>
      <c r="G104" s="409" t="str">
        <f>IF(ISERROR(SMALL(請求Data!$E$11:$E$160,$A104)),"",SMALL(請求Data!$E$11:$E$160,$A104))</f>
        <v/>
      </c>
      <c r="H104" s="606" t="str">
        <f>IF($G104="","",VLOOKUP($G104,請求Data!$E$11:$AR$160,4,FALSE))</f>
        <v/>
      </c>
      <c r="I104" s="606" t="str">
        <f>IF($G104="","",VLOOKUP($G104,請求Data!$E$11:$AR$160,5,FALSE))</f>
        <v/>
      </c>
      <c r="J104" s="609" t="str">
        <f>IF($G104="","",IF(VLOOKUP($G104,請求Data!$E$11:$AR$160,請求Data!$Y$10-請求Data!$D$10,FALSE)="",1,0))</f>
        <v/>
      </c>
      <c r="K104" s="609" t="str">
        <f>IF($G104="","",IF(VLOOKUP($G104,請求Data!$E$11:$AR$160,請求Data!$Z$10-請求Data!$D$10,FALSE)="*",1,0))</f>
        <v/>
      </c>
      <c r="L104" s="607" t="str">
        <f>IF($G104="","",VLOOKUP($G104,請求Data!$E$11:$AR$160,請求Data!$AP$10-請求Data!$D$10,FALSE))</f>
        <v/>
      </c>
      <c r="M104" s="607" t="str">
        <f t="shared" si="20"/>
        <v/>
      </c>
      <c r="N104" s="607" t="str">
        <f t="shared" si="21"/>
        <v/>
      </c>
      <c r="O104" s="274" t="str">
        <f t="shared" si="26"/>
        <v/>
      </c>
      <c r="P104" s="274" t="str">
        <f t="shared" si="27"/>
        <v/>
      </c>
      <c r="Q104" s="274" t="str">
        <f t="shared" si="28"/>
        <v/>
      </c>
      <c r="R104" s="274" t="str">
        <f t="shared" si="29"/>
        <v/>
      </c>
      <c r="S104" s="607" t="str">
        <f t="shared" si="30"/>
        <v/>
      </c>
      <c r="T104" s="607" t="str">
        <f t="shared" si="31"/>
        <v/>
      </c>
      <c r="U104" s="607" t="str">
        <f t="shared" si="22"/>
        <v/>
      </c>
      <c r="V104" s="162" t="str">
        <f t="shared" si="23"/>
        <v/>
      </c>
      <c r="W104" s="609" t="str">
        <f>IF($G104="","",VLOOKUP($G104,請求Data!$E$11:$AR$160,請求Data!$AC$10-請求Data!$D$10,FALSE))</f>
        <v/>
      </c>
      <c r="X104" s="607" t="str">
        <f t="shared" si="24"/>
        <v/>
      </c>
      <c r="Y104" s="608" t="str">
        <f t="shared" si="25"/>
        <v/>
      </c>
    </row>
    <row r="105" spans="1:25">
      <c r="A105" s="103">
        <v>99</v>
      </c>
      <c r="B105" s="247" t="str">
        <f>IF(LEFT($G105,1)="1",IF($H104=$H105,MAX($B$6:$B104)+1,IF(MAX($B$6:$B104)&lt;=0,1,MAX($B$6:$B104)+3)),"")</f>
        <v/>
      </c>
      <c r="C105" s="247" t="str">
        <f>IF(LEFT($G105,1)="2",IF($H104=$H105,MAX($C$6:$C104)+1,IF(MAX($C$6:$C104)&lt;=0,1,MAX($C$6:$C104)+3)),"")</f>
        <v/>
      </c>
      <c r="D105" s="247" t="str">
        <f>IF(LEFT($G105,1)="3",IF($H104=$H105,MAX($D$6:$D104)+1,IF(MAX($D$6:$D104)&lt;=0,1,MAX($D$6:$D104)+3)),"")</f>
        <v/>
      </c>
      <c r="E105" s="247" t="str">
        <f>IF(LEFT($G105,1)="4",IF($H104=$H105,MAX($E$6:$E104)+1,IF(MAX($E$6:$E104)&lt;=0,1,MAX($E$6:$E104)+3)),"")</f>
        <v/>
      </c>
      <c r="F105" s="477" t="str">
        <f t="shared" si="19"/>
        <v/>
      </c>
      <c r="G105" s="409" t="str">
        <f>IF(ISERROR(SMALL(請求Data!$E$11:$E$160,$A105)),"",SMALL(請求Data!$E$11:$E$160,$A105))</f>
        <v/>
      </c>
      <c r="H105" s="606" t="str">
        <f>IF($G105="","",VLOOKUP($G105,請求Data!$E$11:$AR$160,4,FALSE))</f>
        <v/>
      </c>
      <c r="I105" s="606" t="str">
        <f>IF($G105="","",VLOOKUP($G105,請求Data!$E$11:$AR$160,5,FALSE))</f>
        <v/>
      </c>
      <c r="J105" s="609" t="str">
        <f>IF($G105="","",IF(VLOOKUP($G105,請求Data!$E$11:$AR$160,請求Data!$Y$10-請求Data!$D$10,FALSE)="",1,0))</f>
        <v/>
      </c>
      <c r="K105" s="609" t="str">
        <f>IF($G105="","",IF(VLOOKUP($G105,請求Data!$E$11:$AR$160,請求Data!$Z$10-請求Data!$D$10,FALSE)="*",1,0))</f>
        <v/>
      </c>
      <c r="L105" s="607" t="str">
        <f>IF($G105="","",VLOOKUP($G105,請求Data!$E$11:$AR$160,請求Data!$AP$10-請求Data!$D$10,FALSE))</f>
        <v/>
      </c>
      <c r="M105" s="607" t="str">
        <f t="shared" si="20"/>
        <v/>
      </c>
      <c r="N105" s="607" t="str">
        <f t="shared" si="21"/>
        <v/>
      </c>
      <c r="O105" s="274" t="str">
        <f t="shared" si="26"/>
        <v/>
      </c>
      <c r="P105" s="274" t="str">
        <f t="shared" si="27"/>
        <v/>
      </c>
      <c r="Q105" s="274" t="str">
        <f t="shared" si="28"/>
        <v/>
      </c>
      <c r="R105" s="274" t="str">
        <f t="shared" si="29"/>
        <v/>
      </c>
      <c r="S105" s="607" t="str">
        <f t="shared" si="30"/>
        <v/>
      </c>
      <c r="T105" s="607" t="str">
        <f t="shared" si="31"/>
        <v/>
      </c>
      <c r="U105" s="607" t="str">
        <f t="shared" si="22"/>
        <v/>
      </c>
      <c r="V105" s="162" t="str">
        <f t="shared" si="23"/>
        <v/>
      </c>
      <c r="W105" s="609" t="str">
        <f>IF($G105="","",VLOOKUP($G105,請求Data!$E$11:$AR$160,請求Data!$AC$10-請求Data!$D$10,FALSE))</f>
        <v/>
      </c>
      <c r="X105" s="607" t="str">
        <f t="shared" si="24"/>
        <v/>
      </c>
      <c r="Y105" s="608" t="str">
        <f t="shared" si="25"/>
        <v/>
      </c>
    </row>
    <row r="106" spans="1:25">
      <c r="A106" s="103">
        <v>100</v>
      </c>
      <c r="B106" s="247" t="str">
        <f>IF(LEFT($G106,1)="1",IF($H105=$H106,MAX($B$6:$B105)+1,IF(MAX($B$6:$B105)&lt;=0,1,MAX($B$6:$B105)+3)),"")</f>
        <v/>
      </c>
      <c r="C106" s="247" t="str">
        <f>IF(LEFT($G106,1)="2",IF($H105=$H106,MAX($C$6:$C105)+1,IF(MAX($C$6:$C105)&lt;=0,1,MAX($C$6:$C105)+3)),"")</f>
        <v/>
      </c>
      <c r="D106" s="247" t="str">
        <f>IF(LEFT($G106,1)="3",IF($H105=$H106,MAX($D$6:$D105)+1,IF(MAX($D$6:$D105)&lt;=0,1,MAX($D$6:$D105)+3)),"")</f>
        <v/>
      </c>
      <c r="E106" s="247" t="str">
        <f>IF(LEFT($G106,1)="4",IF($H105=$H106,MAX($E$6:$E105)+1,IF(MAX($E$6:$E105)&lt;=0,1,MAX($E$6:$E105)+3)),"")</f>
        <v/>
      </c>
      <c r="F106" s="477" t="str">
        <f t="shared" si="19"/>
        <v/>
      </c>
      <c r="G106" s="409" t="str">
        <f>IF(ISERROR(SMALL(請求Data!$E$11:$E$160,$A106)),"",SMALL(請求Data!$E$11:$E$160,$A106))</f>
        <v/>
      </c>
      <c r="H106" s="606" t="str">
        <f>IF($G106="","",VLOOKUP($G106,請求Data!$E$11:$AR$160,4,FALSE))</f>
        <v/>
      </c>
      <c r="I106" s="606" t="str">
        <f>IF($G106="","",VLOOKUP($G106,請求Data!$E$11:$AR$160,5,FALSE))</f>
        <v/>
      </c>
      <c r="J106" s="609" t="str">
        <f>IF($G106="","",IF(VLOOKUP($G106,請求Data!$E$11:$AR$160,請求Data!$Y$10-請求Data!$D$10,FALSE)="",1,0))</f>
        <v/>
      </c>
      <c r="K106" s="609" t="str">
        <f>IF($G106="","",IF(VLOOKUP($G106,請求Data!$E$11:$AR$160,請求Data!$Z$10-請求Data!$D$10,FALSE)="*",1,0))</f>
        <v/>
      </c>
      <c r="L106" s="607" t="str">
        <f>IF($G106="","",VLOOKUP($G106,請求Data!$E$11:$AR$160,請求Data!$AP$10-請求Data!$D$10,FALSE))</f>
        <v/>
      </c>
      <c r="M106" s="607" t="str">
        <f t="shared" si="20"/>
        <v/>
      </c>
      <c r="N106" s="607" t="str">
        <f t="shared" si="21"/>
        <v/>
      </c>
      <c r="O106" s="274" t="str">
        <f t="shared" si="26"/>
        <v/>
      </c>
      <c r="P106" s="274" t="str">
        <f t="shared" si="27"/>
        <v/>
      </c>
      <c r="Q106" s="274" t="str">
        <f t="shared" si="28"/>
        <v/>
      </c>
      <c r="R106" s="274" t="str">
        <f t="shared" si="29"/>
        <v/>
      </c>
      <c r="S106" s="607" t="str">
        <f t="shared" si="30"/>
        <v/>
      </c>
      <c r="T106" s="607" t="str">
        <f t="shared" si="31"/>
        <v/>
      </c>
      <c r="U106" s="607" t="str">
        <f t="shared" si="22"/>
        <v/>
      </c>
      <c r="V106" s="162" t="str">
        <f t="shared" si="23"/>
        <v/>
      </c>
      <c r="W106" s="609" t="str">
        <f>IF($G106="","",VLOOKUP($G106,請求Data!$E$11:$AR$160,請求Data!$AC$10-請求Data!$D$10,FALSE))</f>
        <v/>
      </c>
      <c r="X106" s="607" t="str">
        <f t="shared" si="24"/>
        <v/>
      </c>
      <c r="Y106" s="608" t="str">
        <f t="shared" si="25"/>
        <v/>
      </c>
    </row>
    <row r="107" spans="1:25">
      <c r="A107" s="103">
        <v>101</v>
      </c>
      <c r="B107" s="247" t="str">
        <f>IF(LEFT($G107,1)="1",IF($H106=$H107,MAX($B$6:$B106)+1,IF(MAX($B$6:$B106)&lt;=0,1,MAX($B$6:$B106)+3)),"")</f>
        <v/>
      </c>
      <c r="C107" s="247" t="str">
        <f>IF(LEFT($G107,1)="2",IF($H106=$H107,MAX($C$6:$C106)+1,IF(MAX($C$6:$C106)&lt;=0,1,MAX($C$6:$C106)+3)),"")</f>
        <v/>
      </c>
      <c r="D107" s="247" t="str">
        <f>IF(LEFT($G107,1)="3",IF($H106=$H107,MAX($D$6:$D106)+1,IF(MAX($D$6:$D106)&lt;=0,1,MAX($D$6:$D106)+3)),"")</f>
        <v/>
      </c>
      <c r="E107" s="247" t="str">
        <f>IF(LEFT($G107,1)="4",IF($H106=$H107,MAX($E$6:$E106)+1,IF(MAX($E$6:$E106)&lt;=0,1,MAX($E$6:$E106)+3)),"")</f>
        <v/>
      </c>
      <c r="F107" s="477" t="str">
        <f t="shared" si="19"/>
        <v/>
      </c>
      <c r="G107" s="409" t="str">
        <f>IF(ISERROR(SMALL(請求Data!$E$11:$E$160,$A107)),"",SMALL(請求Data!$E$11:$E$160,$A107))</f>
        <v/>
      </c>
      <c r="H107" s="606" t="str">
        <f>IF($G107="","",VLOOKUP($G107,請求Data!$E$11:$AR$160,4,FALSE))</f>
        <v/>
      </c>
      <c r="I107" s="606" t="str">
        <f>IF($G107="","",VLOOKUP($G107,請求Data!$E$11:$AR$160,5,FALSE))</f>
        <v/>
      </c>
      <c r="J107" s="609" t="str">
        <f>IF($G107="","",IF(VLOOKUP($G107,請求Data!$E$11:$AR$160,請求Data!$Y$10-請求Data!$D$10,FALSE)="",1,0))</f>
        <v/>
      </c>
      <c r="K107" s="609" t="str">
        <f>IF($G107="","",IF(VLOOKUP($G107,請求Data!$E$11:$AR$160,請求Data!$Z$10-請求Data!$D$10,FALSE)="*",1,0))</f>
        <v/>
      </c>
      <c r="L107" s="607" t="str">
        <f>IF($G107="","",VLOOKUP($G107,請求Data!$E$11:$AR$160,請求Data!$AP$10-請求Data!$D$10,FALSE))</f>
        <v/>
      </c>
      <c r="M107" s="607" t="str">
        <f t="shared" si="20"/>
        <v/>
      </c>
      <c r="N107" s="607" t="str">
        <f t="shared" si="21"/>
        <v/>
      </c>
      <c r="O107" s="274" t="str">
        <f t="shared" si="26"/>
        <v/>
      </c>
      <c r="P107" s="274" t="str">
        <f t="shared" si="27"/>
        <v/>
      </c>
      <c r="Q107" s="274" t="str">
        <f t="shared" si="28"/>
        <v/>
      </c>
      <c r="R107" s="274" t="str">
        <f t="shared" si="29"/>
        <v/>
      </c>
      <c r="S107" s="607" t="str">
        <f t="shared" si="30"/>
        <v/>
      </c>
      <c r="T107" s="607" t="str">
        <f t="shared" si="31"/>
        <v/>
      </c>
      <c r="U107" s="607" t="str">
        <f t="shared" si="22"/>
        <v/>
      </c>
      <c r="V107" s="162" t="str">
        <f t="shared" si="23"/>
        <v/>
      </c>
      <c r="W107" s="609" t="str">
        <f>IF($G107="","",VLOOKUP($G107,請求Data!$E$11:$AR$160,請求Data!$AC$10-請求Data!$D$10,FALSE))</f>
        <v/>
      </c>
      <c r="X107" s="607" t="str">
        <f t="shared" si="24"/>
        <v/>
      </c>
      <c r="Y107" s="608" t="str">
        <f t="shared" si="25"/>
        <v/>
      </c>
    </row>
    <row r="108" spans="1:25">
      <c r="A108" s="103">
        <v>102</v>
      </c>
      <c r="B108" s="247" t="str">
        <f>IF(LEFT($G108,1)="1",IF($H107=$H108,MAX($B$6:$B107)+1,IF(MAX($B$6:$B107)&lt;=0,1,MAX($B$6:$B107)+3)),"")</f>
        <v/>
      </c>
      <c r="C108" s="247" t="str">
        <f>IF(LEFT($G108,1)="2",IF($H107=$H108,MAX($C$6:$C107)+1,IF(MAX($C$6:$C107)&lt;=0,1,MAX($C$6:$C107)+3)),"")</f>
        <v/>
      </c>
      <c r="D108" s="247" t="str">
        <f>IF(LEFT($G108,1)="3",IF($H107=$H108,MAX($D$6:$D107)+1,IF(MAX($D$6:$D107)&lt;=0,1,MAX($D$6:$D107)+3)),"")</f>
        <v/>
      </c>
      <c r="E108" s="247" t="str">
        <f>IF(LEFT($G108,1)="4",IF($H107=$H108,MAX($E$6:$E107)+1,IF(MAX($E$6:$E107)&lt;=0,1,MAX($E$6:$E107)+3)),"")</f>
        <v/>
      </c>
      <c r="F108" s="477" t="str">
        <f t="shared" si="19"/>
        <v/>
      </c>
      <c r="G108" s="409" t="str">
        <f>IF(ISERROR(SMALL(請求Data!$E$11:$E$160,$A108)),"",SMALL(請求Data!$E$11:$E$160,$A108))</f>
        <v/>
      </c>
      <c r="H108" s="606" t="str">
        <f>IF($G108="","",VLOOKUP($G108,請求Data!$E$11:$AR$160,4,FALSE))</f>
        <v/>
      </c>
      <c r="I108" s="606" t="str">
        <f>IF($G108="","",VLOOKUP($G108,請求Data!$E$11:$AR$160,5,FALSE))</f>
        <v/>
      </c>
      <c r="J108" s="609" t="str">
        <f>IF($G108="","",IF(VLOOKUP($G108,請求Data!$E$11:$AR$160,請求Data!$Y$10-請求Data!$D$10,FALSE)="",1,0))</f>
        <v/>
      </c>
      <c r="K108" s="609" t="str">
        <f>IF($G108="","",IF(VLOOKUP($G108,請求Data!$E$11:$AR$160,請求Data!$Z$10-請求Data!$D$10,FALSE)="*",1,0))</f>
        <v/>
      </c>
      <c r="L108" s="607" t="str">
        <f>IF($G108="","",VLOOKUP($G108,請求Data!$E$11:$AR$160,請求Data!$AP$10-請求Data!$D$10,FALSE))</f>
        <v/>
      </c>
      <c r="M108" s="607" t="str">
        <f t="shared" si="20"/>
        <v/>
      </c>
      <c r="N108" s="607" t="str">
        <f t="shared" si="21"/>
        <v/>
      </c>
      <c r="O108" s="274" t="str">
        <f t="shared" si="26"/>
        <v/>
      </c>
      <c r="P108" s="274" t="str">
        <f t="shared" si="27"/>
        <v/>
      </c>
      <c r="Q108" s="274" t="str">
        <f t="shared" si="28"/>
        <v/>
      </c>
      <c r="R108" s="274" t="str">
        <f t="shared" si="29"/>
        <v/>
      </c>
      <c r="S108" s="607" t="str">
        <f t="shared" si="30"/>
        <v/>
      </c>
      <c r="T108" s="607" t="str">
        <f t="shared" si="31"/>
        <v/>
      </c>
      <c r="U108" s="607" t="str">
        <f t="shared" si="22"/>
        <v/>
      </c>
      <c r="V108" s="162" t="str">
        <f t="shared" si="23"/>
        <v/>
      </c>
      <c r="W108" s="609" t="str">
        <f>IF($G108="","",VLOOKUP($G108,請求Data!$E$11:$AR$160,請求Data!$AC$10-請求Data!$D$10,FALSE))</f>
        <v/>
      </c>
      <c r="X108" s="607" t="str">
        <f t="shared" si="24"/>
        <v/>
      </c>
      <c r="Y108" s="608" t="str">
        <f t="shared" si="25"/>
        <v/>
      </c>
    </row>
    <row r="109" spans="1:25">
      <c r="A109" s="103">
        <v>103</v>
      </c>
      <c r="B109" s="247" t="str">
        <f>IF(LEFT($G109,1)="1",IF($H108=$H109,MAX($B$6:$B108)+1,IF(MAX($B$6:$B108)&lt;=0,1,MAX($B$6:$B108)+3)),"")</f>
        <v/>
      </c>
      <c r="C109" s="247" t="str">
        <f>IF(LEFT($G109,1)="2",IF($H108=$H109,MAX($C$6:$C108)+1,IF(MAX($C$6:$C108)&lt;=0,1,MAX($C$6:$C108)+3)),"")</f>
        <v/>
      </c>
      <c r="D109" s="247" t="str">
        <f>IF(LEFT($G109,1)="3",IF($H108=$H109,MAX($D$6:$D108)+1,IF(MAX($D$6:$D108)&lt;=0,1,MAX($D$6:$D108)+3)),"")</f>
        <v/>
      </c>
      <c r="E109" s="247" t="str">
        <f>IF(LEFT($G109,1)="4",IF($H108=$H109,MAX($E$6:$E108)+1,IF(MAX($E$6:$E108)&lt;=0,1,MAX($E$6:$E108)+3)),"")</f>
        <v/>
      </c>
      <c r="F109" s="477" t="str">
        <f t="shared" si="19"/>
        <v/>
      </c>
      <c r="G109" s="409" t="str">
        <f>IF(ISERROR(SMALL(請求Data!$E$11:$E$160,$A109)),"",SMALL(請求Data!$E$11:$E$160,$A109))</f>
        <v/>
      </c>
      <c r="H109" s="606" t="str">
        <f>IF($G109="","",VLOOKUP($G109,請求Data!$E$11:$AR$160,4,FALSE))</f>
        <v/>
      </c>
      <c r="I109" s="606" t="str">
        <f>IF($G109="","",VLOOKUP($G109,請求Data!$E$11:$AR$160,5,FALSE))</f>
        <v/>
      </c>
      <c r="J109" s="609" t="str">
        <f>IF($G109="","",IF(VLOOKUP($G109,請求Data!$E$11:$AR$160,請求Data!$Y$10-請求Data!$D$10,FALSE)="",1,0))</f>
        <v/>
      </c>
      <c r="K109" s="609" t="str">
        <f>IF($G109="","",IF(VLOOKUP($G109,請求Data!$E$11:$AR$160,請求Data!$Z$10-請求Data!$D$10,FALSE)="*",1,0))</f>
        <v/>
      </c>
      <c r="L109" s="607" t="str">
        <f>IF($G109="","",VLOOKUP($G109,請求Data!$E$11:$AR$160,請求Data!$AP$10-請求Data!$D$10,FALSE))</f>
        <v/>
      </c>
      <c r="M109" s="607" t="str">
        <f t="shared" si="20"/>
        <v/>
      </c>
      <c r="N109" s="607" t="str">
        <f t="shared" si="21"/>
        <v/>
      </c>
      <c r="O109" s="274" t="str">
        <f t="shared" si="26"/>
        <v/>
      </c>
      <c r="P109" s="274" t="str">
        <f t="shared" si="27"/>
        <v/>
      </c>
      <c r="Q109" s="274" t="str">
        <f t="shared" si="28"/>
        <v/>
      </c>
      <c r="R109" s="274" t="str">
        <f t="shared" si="29"/>
        <v/>
      </c>
      <c r="S109" s="607" t="str">
        <f t="shared" si="30"/>
        <v/>
      </c>
      <c r="T109" s="607" t="str">
        <f t="shared" si="31"/>
        <v/>
      </c>
      <c r="U109" s="607" t="str">
        <f t="shared" si="22"/>
        <v/>
      </c>
      <c r="V109" s="162" t="str">
        <f t="shared" si="23"/>
        <v/>
      </c>
      <c r="W109" s="609" t="str">
        <f>IF($G109="","",VLOOKUP($G109,請求Data!$E$11:$AR$160,請求Data!$AC$10-請求Data!$D$10,FALSE))</f>
        <v/>
      </c>
      <c r="X109" s="607" t="str">
        <f t="shared" si="24"/>
        <v/>
      </c>
      <c r="Y109" s="608" t="str">
        <f t="shared" si="25"/>
        <v/>
      </c>
    </row>
    <row r="110" spans="1:25">
      <c r="A110" s="103">
        <v>104</v>
      </c>
      <c r="B110" s="247" t="str">
        <f>IF(LEFT($G110,1)="1",IF($H109=$H110,MAX($B$6:$B109)+1,IF(MAX($B$6:$B109)&lt;=0,1,MAX($B$6:$B109)+3)),"")</f>
        <v/>
      </c>
      <c r="C110" s="247" t="str">
        <f>IF(LEFT($G110,1)="2",IF($H109=$H110,MAX($C$6:$C109)+1,IF(MAX($C$6:$C109)&lt;=0,1,MAX($C$6:$C109)+3)),"")</f>
        <v/>
      </c>
      <c r="D110" s="247" t="str">
        <f>IF(LEFT($G110,1)="3",IF($H109=$H110,MAX($D$6:$D109)+1,IF(MAX($D$6:$D109)&lt;=0,1,MAX($D$6:$D109)+3)),"")</f>
        <v/>
      </c>
      <c r="E110" s="247" t="str">
        <f>IF(LEFT($G110,1)="4",IF($H109=$H110,MAX($E$6:$E109)+1,IF(MAX($E$6:$E109)&lt;=0,1,MAX($E$6:$E109)+3)),"")</f>
        <v/>
      </c>
      <c r="F110" s="477" t="str">
        <f t="shared" si="19"/>
        <v/>
      </c>
      <c r="G110" s="409" t="str">
        <f>IF(ISERROR(SMALL(請求Data!$E$11:$E$160,$A110)),"",SMALL(請求Data!$E$11:$E$160,$A110))</f>
        <v/>
      </c>
      <c r="H110" s="606" t="str">
        <f>IF($G110="","",VLOOKUP($G110,請求Data!$E$11:$AR$160,4,FALSE))</f>
        <v/>
      </c>
      <c r="I110" s="606" t="str">
        <f>IF($G110="","",VLOOKUP($G110,請求Data!$E$11:$AR$160,5,FALSE))</f>
        <v/>
      </c>
      <c r="J110" s="609" t="str">
        <f>IF($G110="","",IF(VLOOKUP($G110,請求Data!$E$11:$AR$160,請求Data!$Y$10-請求Data!$D$10,FALSE)="",1,0))</f>
        <v/>
      </c>
      <c r="K110" s="609" t="str">
        <f>IF($G110="","",IF(VLOOKUP($G110,請求Data!$E$11:$AR$160,請求Data!$Z$10-請求Data!$D$10,FALSE)="*",1,0))</f>
        <v/>
      </c>
      <c r="L110" s="607" t="str">
        <f>IF($G110="","",VLOOKUP($G110,請求Data!$E$11:$AR$160,請求Data!$AP$10-請求Data!$D$10,FALSE))</f>
        <v/>
      </c>
      <c r="M110" s="607" t="str">
        <f t="shared" si="20"/>
        <v/>
      </c>
      <c r="N110" s="607" t="str">
        <f t="shared" si="21"/>
        <v/>
      </c>
      <c r="O110" s="274" t="str">
        <f t="shared" si="26"/>
        <v/>
      </c>
      <c r="P110" s="274" t="str">
        <f t="shared" si="27"/>
        <v/>
      </c>
      <c r="Q110" s="274" t="str">
        <f t="shared" si="28"/>
        <v/>
      </c>
      <c r="R110" s="274" t="str">
        <f t="shared" si="29"/>
        <v/>
      </c>
      <c r="S110" s="607" t="str">
        <f t="shared" si="30"/>
        <v/>
      </c>
      <c r="T110" s="607" t="str">
        <f t="shared" si="31"/>
        <v/>
      </c>
      <c r="U110" s="607" t="str">
        <f t="shared" si="22"/>
        <v/>
      </c>
      <c r="V110" s="162" t="str">
        <f t="shared" si="23"/>
        <v/>
      </c>
      <c r="W110" s="609" t="str">
        <f>IF($G110="","",VLOOKUP($G110,請求Data!$E$11:$AR$160,請求Data!$AC$10-請求Data!$D$10,FALSE))</f>
        <v/>
      </c>
      <c r="X110" s="607" t="str">
        <f t="shared" si="24"/>
        <v/>
      </c>
      <c r="Y110" s="608" t="str">
        <f t="shared" si="25"/>
        <v/>
      </c>
    </row>
    <row r="111" spans="1:25">
      <c r="A111" s="103">
        <v>105</v>
      </c>
      <c r="B111" s="247" t="str">
        <f>IF(LEFT($G111,1)="1",IF($H110=$H111,MAX($B$6:$B110)+1,IF(MAX($B$6:$B110)&lt;=0,1,MAX($B$6:$B110)+3)),"")</f>
        <v/>
      </c>
      <c r="C111" s="247" t="str">
        <f>IF(LEFT($G111,1)="2",IF($H110=$H111,MAX($C$6:$C110)+1,IF(MAX($C$6:$C110)&lt;=0,1,MAX($C$6:$C110)+3)),"")</f>
        <v/>
      </c>
      <c r="D111" s="247" t="str">
        <f>IF(LEFT($G111,1)="3",IF($H110=$H111,MAX($D$6:$D110)+1,IF(MAX($D$6:$D110)&lt;=0,1,MAX($D$6:$D110)+3)),"")</f>
        <v/>
      </c>
      <c r="E111" s="247" t="str">
        <f>IF(LEFT($G111,1)="4",IF($H110=$H111,MAX($E$6:$E110)+1,IF(MAX($E$6:$E110)&lt;=0,1,MAX($E$6:$E110)+3)),"")</f>
        <v/>
      </c>
      <c r="F111" s="477" t="str">
        <f t="shared" si="19"/>
        <v/>
      </c>
      <c r="G111" s="409" t="str">
        <f>IF(ISERROR(SMALL(請求Data!$E$11:$E$160,$A111)),"",SMALL(請求Data!$E$11:$E$160,$A111))</f>
        <v/>
      </c>
      <c r="H111" s="606" t="str">
        <f>IF($G111="","",VLOOKUP($G111,請求Data!$E$11:$AR$160,4,FALSE))</f>
        <v/>
      </c>
      <c r="I111" s="606" t="str">
        <f>IF($G111="","",VLOOKUP($G111,請求Data!$E$11:$AR$160,5,FALSE))</f>
        <v/>
      </c>
      <c r="J111" s="609" t="str">
        <f>IF($G111="","",IF(VLOOKUP($G111,請求Data!$E$11:$AR$160,請求Data!$Y$10-請求Data!$D$10,FALSE)="",1,0))</f>
        <v/>
      </c>
      <c r="K111" s="609" t="str">
        <f>IF($G111="","",IF(VLOOKUP($G111,請求Data!$E$11:$AR$160,請求Data!$Z$10-請求Data!$D$10,FALSE)="*",1,0))</f>
        <v/>
      </c>
      <c r="L111" s="607" t="str">
        <f>IF($G111="","",VLOOKUP($G111,請求Data!$E$11:$AR$160,請求Data!$AP$10-請求Data!$D$10,FALSE))</f>
        <v/>
      </c>
      <c r="M111" s="607" t="str">
        <f t="shared" si="20"/>
        <v/>
      </c>
      <c r="N111" s="607" t="str">
        <f t="shared" si="21"/>
        <v/>
      </c>
      <c r="O111" s="274" t="str">
        <f t="shared" si="26"/>
        <v/>
      </c>
      <c r="P111" s="274" t="str">
        <f t="shared" si="27"/>
        <v/>
      </c>
      <c r="Q111" s="274" t="str">
        <f t="shared" si="28"/>
        <v/>
      </c>
      <c r="R111" s="274" t="str">
        <f t="shared" si="29"/>
        <v/>
      </c>
      <c r="S111" s="607" t="str">
        <f t="shared" si="30"/>
        <v/>
      </c>
      <c r="T111" s="607" t="str">
        <f t="shared" si="31"/>
        <v/>
      </c>
      <c r="U111" s="607" t="str">
        <f t="shared" si="22"/>
        <v/>
      </c>
      <c r="V111" s="162" t="str">
        <f t="shared" si="23"/>
        <v/>
      </c>
      <c r="W111" s="609" t="str">
        <f>IF($G111="","",VLOOKUP($G111,請求Data!$E$11:$AR$160,請求Data!$AC$10-請求Data!$D$10,FALSE))</f>
        <v/>
      </c>
      <c r="X111" s="607" t="str">
        <f t="shared" si="24"/>
        <v/>
      </c>
      <c r="Y111" s="608" t="str">
        <f t="shared" si="25"/>
        <v/>
      </c>
    </row>
    <row r="112" spans="1:25">
      <c r="A112" s="103">
        <v>106</v>
      </c>
      <c r="B112" s="247" t="str">
        <f>IF(LEFT($G112,1)="1",IF($H111=$H112,MAX($B$6:$B111)+1,IF(MAX($B$6:$B111)&lt;=0,1,MAX($B$6:$B111)+3)),"")</f>
        <v/>
      </c>
      <c r="C112" s="247" t="str">
        <f>IF(LEFT($G112,1)="2",IF($H111=$H112,MAX($C$6:$C111)+1,IF(MAX($C$6:$C111)&lt;=0,1,MAX($C$6:$C111)+3)),"")</f>
        <v/>
      </c>
      <c r="D112" s="247" t="str">
        <f>IF(LEFT($G112,1)="3",IF($H111=$H112,MAX($D$6:$D111)+1,IF(MAX($D$6:$D111)&lt;=0,1,MAX($D$6:$D111)+3)),"")</f>
        <v/>
      </c>
      <c r="E112" s="247" t="str">
        <f>IF(LEFT($G112,1)="4",IF($H111=$H112,MAX($E$6:$E111)+1,IF(MAX($E$6:$E111)&lt;=0,1,MAX($E$6:$E111)+3)),"")</f>
        <v/>
      </c>
      <c r="F112" s="477" t="str">
        <f t="shared" si="19"/>
        <v/>
      </c>
      <c r="G112" s="409" t="str">
        <f>IF(ISERROR(SMALL(請求Data!$E$11:$E$160,$A112)),"",SMALL(請求Data!$E$11:$E$160,$A112))</f>
        <v/>
      </c>
      <c r="H112" s="606" t="str">
        <f>IF($G112="","",VLOOKUP($G112,請求Data!$E$11:$AR$160,4,FALSE))</f>
        <v/>
      </c>
      <c r="I112" s="606" t="str">
        <f>IF($G112="","",VLOOKUP($G112,請求Data!$E$11:$AR$160,5,FALSE))</f>
        <v/>
      </c>
      <c r="J112" s="609" t="str">
        <f>IF($G112="","",IF(VLOOKUP($G112,請求Data!$E$11:$AR$160,請求Data!$Y$10-請求Data!$D$10,FALSE)="",1,0))</f>
        <v/>
      </c>
      <c r="K112" s="609" t="str">
        <f>IF($G112="","",IF(VLOOKUP($G112,請求Data!$E$11:$AR$160,請求Data!$Z$10-請求Data!$D$10,FALSE)="*",1,0))</f>
        <v/>
      </c>
      <c r="L112" s="607" t="str">
        <f>IF($G112="","",VLOOKUP($G112,請求Data!$E$11:$AR$160,請求Data!$AP$10-請求Data!$D$10,FALSE))</f>
        <v/>
      </c>
      <c r="M112" s="607" t="str">
        <f t="shared" si="20"/>
        <v/>
      </c>
      <c r="N112" s="607" t="str">
        <f t="shared" si="21"/>
        <v/>
      </c>
      <c r="O112" s="274" t="str">
        <f t="shared" si="26"/>
        <v/>
      </c>
      <c r="P112" s="274" t="str">
        <f t="shared" si="27"/>
        <v/>
      </c>
      <c r="Q112" s="274" t="str">
        <f t="shared" si="28"/>
        <v/>
      </c>
      <c r="R112" s="274" t="str">
        <f t="shared" si="29"/>
        <v/>
      </c>
      <c r="S112" s="607" t="str">
        <f t="shared" si="30"/>
        <v/>
      </c>
      <c r="T112" s="607" t="str">
        <f t="shared" si="31"/>
        <v/>
      </c>
      <c r="U112" s="607" t="str">
        <f t="shared" si="22"/>
        <v/>
      </c>
      <c r="V112" s="162" t="str">
        <f t="shared" si="23"/>
        <v/>
      </c>
      <c r="W112" s="609" t="str">
        <f>IF($G112="","",VLOOKUP($G112,請求Data!$E$11:$AR$160,請求Data!$AC$10-請求Data!$D$10,FALSE))</f>
        <v/>
      </c>
      <c r="X112" s="607" t="str">
        <f t="shared" si="24"/>
        <v/>
      </c>
      <c r="Y112" s="608" t="str">
        <f t="shared" si="25"/>
        <v/>
      </c>
    </row>
    <row r="113" spans="1:25">
      <c r="A113" s="103">
        <v>107</v>
      </c>
      <c r="B113" s="247" t="str">
        <f>IF(LEFT($G113,1)="1",IF($H112=$H113,MAX($B$6:$B112)+1,IF(MAX($B$6:$B112)&lt;=0,1,MAX($B$6:$B112)+3)),"")</f>
        <v/>
      </c>
      <c r="C113" s="247" t="str">
        <f>IF(LEFT($G113,1)="2",IF($H112=$H113,MAX($C$6:$C112)+1,IF(MAX($C$6:$C112)&lt;=0,1,MAX($C$6:$C112)+3)),"")</f>
        <v/>
      </c>
      <c r="D113" s="247" t="str">
        <f>IF(LEFT($G113,1)="3",IF($H112=$H113,MAX($D$6:$D112)+1,IF(MAX($D$6:$D112)&lt;=0,1,MAX($D$6:$D112)+3)),"")</f>
        <v/>
      </c>
      <c r="E113" s="247" t="str">
        <f>IF(LEFT($G113,1)="4",IF($H112=$H113,MAX($E$6:$E112)+1,IF(MAX($E$6:$E112)&lt;=0,1,MAX($E$6:$E112)+3)),"")</f>
        <v/>
      </c>
      <c r="F113" s="477" t="str">
        <f t="shared" si="19"/>
        <v/>
      </c>
      <c r="G113" s="409" t="str">
        <f>IF(ISERROR(SMALL(請求Data!$E$11:$E$160,$A113)),"",SMALL(請求Data!$E$11:$E$160,$A113))</f>
        <v/>
      </c>
      <c r="H113" s="606" t="str">
        <f>IF($G113="","",VLOOKUP($G113,請求Data!$E$11:$AR$160,4,FALSE))</f>
        <v/>
      </c>
      <c r="I113" s="606" t="str">
        <f>IF($G113="","",VLOOKUP($G113,請求Data!$E$11:$AR$160,5,FALSE))</f>
        <v/>
      </c>
      <c r="J113" s="609" t="str">
        <f>IF($G113="","",IF(VLOOKUP($G113,請求Data!$E$11:$AR$160,請求Data!$Y$10-請求Data!$D$10,FALSE)="",1,0))</f>
        <v/>
      </c>
      <c r="K113" s="609" t="str">
        <f>IF($G113="","",IF(VLOOKUP($G113,請求Data!$E$11:$AR$160,請求Data!$Z$10-請求Data!$D$10,FALSE)="*",1,0))</f>
        <v/>
      </c>
      <c r="L113" s="607" t="str">
        <f>IF($G113="","",VLOOKUP($G113,請求Data!$E$11:$AR$160,請求Data!$AP$10-請求Data!$D$10,FALSE))</f>
        <v/>
      </c>
      <c r="M113" s="607" t="str">
        <f t="shared" si="20"/>
        <v/>
      </c>
      <c r="N113" s="607" t="str">
        <f t="shared" si="21"/>
        <v/>
      </c>
      <c r="O113" s="274" t="str">
        <f t="shared" si="26"/>
        <v/>
      </c>
      <c r="P113" s="274" t="str">
        <f t="shared" si="27"/>
        <v/>
      </c>
      <c r="Q113" s="274" t="str">
        <f t="shared" si="28"/>
        <v/>
      </c>
      <c r="R113" s="274" t="str">
        <f t="shared" si="29"/>
        <v/>
      </c>
      <c r="S113" s="607" t="str">
        <f t="shared" si="30"/>
        <v/>
      </c>
      <c r="T113" s="607" t="str">
        <f t="shared" si="31"/>
        <v/>
      </c>
      <c r="U113" s="607" t="str">
        <f t="shared" si="22"/>
        <v/>
      </c>
      <c r="V113" s="162" t="str">
        <f t="shared" si="23"/>
        <v/>
      </c>
      <c r="W113" s="609" t="str">
        <f>IF($G113="","",VLOOKUP($G113,請求Data!$E$11:$AR$160,請求Data!$AC$10-請求Data!$D$10,FALSE))</f>
        <v/>
      </c>
      <c r="X113" s="607" t="str">
        <f t="shared" si="24"/>
        <v/>
      </c>
      <c r="Y113" s="608" t="str">
        <f t="shared" si="25"/>
        <v/>
      </c>
    </row>
    <row r="114" spans="1:25">
      <c r="A114" s="103">
        <v>108</v>
      </c>
      <c r="B114" s="247" t="str">
        <f>IF(LEFT($G114,1)="1",IF($H113=$H114,MAX($B$6:$B113)+1,IF(MAX($B$6:$B113)&lt;=0,1,MAX($B$6:$B113)+3)),"")</f>
        <v/>
      </c>
      <c r="C114" s="247" t="str">
        <f>IF(LEFT($G114,1)="2",IF($H113=$H114,MAX($C$6:$C113)+1,IF(MAX($C$6:$C113)&lt;=0,1,MAX($C$6:$C113)+3)),"")</f>
        <v/>
      </c>
      <c r="D114" s="247" t="str">
        <f>IF(LEFT($G114,1)="3",IF($H113=$H114,MAX($D$6:$D113)+1,IF(MAX($D$6:$D113)&lt;=0,1,MAX($D$6:$D113)+3)),"")</f>
        <v/>
      </c>
      <c r="E114" s="247" t="str">
        <f>IF(LEFT($G114,1)="4",IF($H113=$H114,MAX($E$6:$E113)+1,IF(MAX($E$6:$E113)&lt;=0,1,MAX($E$6:$E113)+3)),"")</f>
        <v/>
      </c>
      <c r="F114" s="477" t="str">
        <f t="shared" si="19"/>
        <v/>
      </c>
      <c r="G114" s="409" t="str">
        <f>IF(ISERROR(SMALL(請求Data!$E$11:$E$160,$A114)),"",SMALL(請求Data!$E$11:$E$160,$A114))</f>
        <v/>
      </c>
      <c r="H114" s="606" t="str">
        <f>IF($G114="","",VLOOKUP($G114,請求Data!$E$11:$AR$160,4,FALSE))</f>
        <v/>
      </c>
      <c r="I114" s="606" t="str">
        <f>IF($G114="","",VLOOKUP($G114,請求Data!$E$11:$AR$160,5,FALSE))</f>
        <v/>
      </c>
      <c r="J114" s="609" t="str">
        <f>IF($G114="","",IF(VLOOKUP($G114,請求Data!$E$11:$AR$160,請求Data!$Y$10-請求Data!$D$10,FALSE)="",1,0))</f>
        <v/>
      </c>
      <c r="K114" s="609" t="str">
        <f>IF($G114="","",IF(VLOOKUP($G114,請求Data!$E$11:$AR$160,請求Data!$Z$10-請求Data!$D$10,FALSE)="*",1,0))</f>
        <v/>
      </c>
      <c r="L114" s="607" t="str">
        <f>IF($G114="","",VLOOKUP($G114,請求Data!$E$11:$AR$160,請求Data!$AP$10-請求Data!$D$10,FALSE))</f>
        <v/>
      </c>
      <c r="M114" s="607" t="str">
        <f t="shared" si="20"/>
        <v/>
      </c>
      <c r="N114" s="607" t="str">
        <f t="shared" si="21"/>
        <v/>
      </c>
      <c r="O114" s="274" t="str">
        <f t="shared" si="26"/>
        <v/>
      </c>
      <c r="P114" s="274" t="str">
        <f t="shared" si="27"/>
        <v/>
      </c>
      <c r="Q114" s="274" t="str">
        <f t="shared" si="28"/>
        <v/>
      </c>
      <c r="R114" s="274" t="str">
        <f t="shared" si="29"/>
        <v/>
      </c>
      <c r="S114" s="607" t="str">
        <f t="shared" si="30"/>
        <v/>
      </c>
      <c r="T114" s="607" t="str">
        <f t="shared" si="31"/>
        <v/>
      </c>
      <c r="U114" s="607" t="str">
        <f t="shared" si="22"/>
        <v/>
      </c>
      <c r="V114" s="162" t="str">
        <f t="shared" si="23"/>
        <v/>
      </c>
      <c r="W114" s="609" t="str">
        <f>IF($G114="","",VLOOKUP($G114,請求Data!$E$11:$AR$160,請求Data!$AC$10-請求Data!$D$10,FALSE))</f>
        <v/>
      </c>
      <c r="X114" s="607" t="str">
        <f t="shared" si="24"/>
        <v/>
      </c>
      <c r="Y114" s="608" t="str">
        <f t="shared" si="25"/>
        <v/>
      </c>
    </row>
    <row r="115" spans="1:25">
      <c r="A115" s="103">
        <v>109</v>
      </c>
      <c r="B115" s="247" t="str">
        <f>IF(LEFT($G115,1)="1",IF($H114=$H115,MAX($B$6:$B114)+1,IF(MAX($B$6:$B114)&lt;=0,1,MAX($B$6:$B114)+3)),"")</f>
        <v/>
      </c>
      <c r="C115" s="247" t="str">
        <f>IF(LEFT($G115,1)="2",IF($H114=$H115,MAX($C$6:$C114)+1,IF(MAX($C$6:$C114)&lt;=0,1,MAX($C$6:$C114)+3)),"")</f>
        <v/>
      </c>
      <c r="D115" s="247" t="str">
        <f>IF(LEFT($G115,1)="3",IF($H114=$H115,MAX($D$6:$D114)+1,IF(MAX($D$6:$D114)&lt;=0,1,MAX($D$6:$D114)+3)),"")</f>
        <v/>
      </c>
      <c r="E115" s="247" t="str">
        <f>IF(LEFT($G115,1)="4",IF($H114=$H115,MAX($E$6:$E114)+1,IF(MAX($E$6:$E114)&lt;=0,1,MAX($E$6:$E114)+3)),"")</f>
        <v/>
      </c>
      <c r="F115" s="477" t="str">
        <f t="shared" si="19"/>
        <v/>
      </c>
      <c r="G115" s="409" t="str">
        <f>IF(ISERROR(SMALL(請求Data!$E$11:$E$160,$A115)),"",SMALL(請求Data!$E$11:$E$160,$A115))</f>
        <v/>
      </c>
      <c r="H115" s="606" t="str">
        <f>IF($G115="","",VLOOKUP($G115,請求Data!$E$11:$AR$160,4,FALSE))</f>
        <v/>
      </c>
      <c r="I115" s="606" t="str">
        <f>IF($G115="","",VLOOKUP($G115,請求Data!$E$11:$AR$160,5,FALSE))</f>
        <v/>
      </c>
      <c r="J115" s="609" t="str">
        <f>IF($G115="","",IF(VLOOKUP($G115,請求Data!$E$11:$AR$160,請求Data!$Y$10-請求Data!$D$10,FALSE)="",1,0))</f>
        <v/>
      </c>
      <c r="K115" s="609" t="str">
        <f>IF($G115="","",IF(VLOOKUP($G115,請求Data!$E$11:$AR$160,請求Data!$Z$10-請求Data!$D$10,FALSE)="*",1,0))</f>
        <v/>
      </c>
      <c r="L115" s="607" t="str">
        <f>IF($G115="","",VLOOKUP($G115,請求Data!$E$11:$AR$160,請求Data!$AP$10-請求Data!$D$10,FALSE))</f>
        <v/>
      </c>
      <c r="M115" s="607" t="str">
        <f t="shared" si="20"/>
        <v/>
      </c>
      <c r="N115" s="607" t="str">
        <f t="shared" si="21"/>
        <v/>
      </c>
      <c r="O115" s="274" t="str">
        <f t="shared" si="26"/>
        <v/>
      </c>
      <c r="P115" s="274" t="str">
        <f t="shared" si="27"/>
        <v/>
      </c>
      <c r="Q115" s="274" t="str">
        <f t="shared" si="28"/>
        <v/>
      </c>
      <c r="R115" s="274" t="str">
        <f t="shared" si="29"/>
        <v/>
      </c>
      <c r="S115" s="607" t="str">
        <f t="shared" si="30"/>
        <v/>
      </c>
      <c r="T115" s="607" t="str">
        <f t="shared" si="31"/>
        <v/>
      </c>
      <c r="U115" s="607" t="str">
        <f t="shared" si="22"/>
        <v/>
      </c>
      <c r="V115" s="162" t="str">
        <f t="shared" si="23"/>
        <v/>
      </c>
      <c r="W115" s="609" t="str">
        <f>IF($G115="","",VLOOKUP($G115,請求Data!$E$11:$AR$160,請求Data!$AC$10-請求Data!$D$10,FALSE))</f>
        <v/>
      </c>
      <c r="X115" s="607" t="str">
        <f t="shared" si="24"/>
        <v/>
      </c>
      <c r="Y115" s="608" t="str">
        <f t="shared" si="25"/>
        <v/>
      </c>
    </row>
    <row r="116" spans="1:25">
      <c r="A116" s="103">
        <v>110</v>
      </c>
      <c r="B116" s="247" t="str">
        <f>IF(LEFT($G116,1)="1",IF($H115=$H116,MAX($B$6:$B115)+1,IF(MAX($B$6:$B115)&lt;=0,1,MAX($B$6:$B115)+3)),"")</f>
        <v/>
      </c>
      <c r="C116" s="247" t="str">
        <f>IF(LEFT($G116,1)="2",IF($H115=$H116,MAX($C$6:$C115)+1,IF(MAX($C$6:$C115)&lt;=0,1,MAX($C$6:$C115)+3)),"")</f>
        <v/>
      </c>
      <c r="D116" s="247" t="str">
        <f>IF(LEFT($G116,1)="3",IF($H115=$H116,MAX($D$6:$D115)+1,IF(MAX($D$6:$D115)&lt;=0,1,MAX($D$6:$D115)+3)),"")</f>
        <v/>
      </c>
      <c r="E116" s="247" t="str">
        <f>IF(LEFT($G116,1)="4",IF($H115=$H116,MAX($E$6:$E115)+1,IF(MAX($E$6:$E115)&lt;=0,1,MAX($E$6:$E115)+3)),"")</f>
        <v/>
      </c>
      <c r="F116" s="477" t="str">
        <f t="shared" si="19"/>
        <v/>
      </c>
      <c r="G116" s="409" t="str">
        <f>IF(ISERROR(SMALL(請求Data!$E$11:$E$160,$A116)),"",SMALL(請求Data!$E$11:$E$160,$A116))</f>
        <v/>
      </c>
      <c r="H116" s="606" t="str">
        <f>IF($G116="","",VLOOKUP($G116,請求Data!$E$11:$AR$160,4,FALSE))</f>
        <v/>
      </c>
      <c r="I116" s="606" t="str">
        <f>IF($G116="","",VLOOKUP($G116,請求Data!$E$11:$AR$160,5,FALSE))</f>
        <v/>
      </c>
      <c r="J116" s="609" t="str">
        <f>IF($G116="","",IF(VLOOKUP($G116,請求Data!$E$11:$AR$160,請求Data!$Y$10-請求Data!$D$10,FALSE)="",1,0))</f>
        <v/>
      </c>
      <c r="K116" s="609" t="str">
        <f>IF($G116="","",IF(VLOOKUP($G116,請求Data!$E$11:$AR$160,請求Data!$Z$10-請求Data!$D$10,FALSE)="*",1,0))</f>
        <v/>
      </c>
      <c r="L116" s="607" t="str">
        <f>IF($G116="","",VLOOKUP($G116,請求Data!$E$11:$AR$160,請求Data!$AP$10-請求Data!$D$10,FALSE))</f>
        <v/>
      </c>
      <c r="M116" s="607" t="str">
        <f t="shared" si="20"/>
        <v/>
      </c>
      <c r="N116" s="607" t="str">
        <f t="shared" si="21"/>
        <v/>
      </c>
      <c r="O116" s="274" t="str">
        <f t="shared" si="26"/>
        <v/>
      </c>
      <c r="P116" s="274" t="str">
        <f t="shared" si="27"/>
        <v/>
      </c>
      <c r="Q116" s="274" t="str">
        <f t="shared" si="28"/>
        <v/>
      </c>
      <c r="R116" s="274" t="str">
        <f t="shared" si="29"/>
        <v/>
      </c>
      <c r="S116" s="607" t="str">
        <f t="shared" si="30"/>
        <v/>
      </c>
      <c r="T116" s="607" t="str">
        <f t="shared" si="31"/>
        <v/>
      </c>
      <c r="U116" s="607" t="str">
        <f t="shared" si="22"/>
        <v/>
      </c>
      <c r="V116" s="162" t="str">
        <f t="shared" si="23"/>
        <v/>
      </c>
      <c r="W116" s="609" t="str">
        <f>IF($G116="","",VLOOKUP($G116,請求Data!$E$11:$AR$160,請求Data!$AC$10-請求Data!$D$10,FALSE))</f>
        <v/>
      </c>
      <c r="X116" s="607" t="str">
        <f t="shared" si="24"/>
        <v/>
      </c>
      <c r="Y116" s="608" t="str">
        <f t="shared" si="25"/>
        <v/>
      </c>
    </row>
    <row r="117" spans="1:25">
      <c r="A117" s="103">
        <v>111</v>
      </c>
      <c r="B117" s="247" t="str">
        <f>IF(LEFT($G117,1)="1",IF($H116=$H117,MAX($B$6:$B116)+1,IF(MAX($B$6:$B116)&lt;=0,1,MAX($B$6:$B116)+3)),"")</f>
        <v/>
      </c>
      <c r="C117" s="247" t="str">
        <f>IF(LEFT($G117,1)="2",IF($H116=$H117,MAX($C$6:$C116)+1,IF(MAX($C$6:$C116)&lt;=0,1,MAX($C$6:$C116)+3)),"")</f>
        <v/>
      </c>
      <c r="D117" s="247" t="str">
        <f>IF(LEFT($G117,1)="3",IF($H116=$H117,MAX($D$6:$D116)+1,IF(MAX($D$6:$D116)&lt;=0,1,MAX($D$6:$D116)+3)),"")</f>
        <v/>
      </c>
      <c r="E117" s="247" t="str">
        <f>IF(LEFT($G117,1)="4",IF($H116=$H117,MAX($E$6:$E116)+1,IF(MAX($E$6:$E116)&lt;=0,1,MAX($E$6:$E116)+3)),"")</f>
        <v/>
      </c>
      <c r="F117" s="477" t="str">
        <f t="shared" si="19"/>
        <v/>
      </c>
      <c r="G117" s="409" t="str">
        <f>IF(ISERROR(SMALL(請求Data!$E$11:$E$160,$A117)),"",SMALL(請求Data!$E$11:$E$160,$A117))</f>
        <v/>
      </c>
      <c r="H117" s="606" t="str">
        <f>IF($G117="","",VLOOKUP($G117,請求Data!$E$11:$AR$160,4,FALSE))</f>
        <v/>
      </c>
      <c r="I117" s="606" t="str">
        <f>IF($G117="","",VLOOKUP($G117,請求Data!$E$11:$AR$160,5,FALSE))</f>
        <v/>
      </c>
      <c r="J117" s="609" t="str">
        <f>IF($G117="","",IF(VLOOKUP($G117,請求Data!$E$11:$AR$160,請求Data!$Y$10-請求Data!$D$10,FALSE)="",1,0))</f>
        <v/>
      </c>
      <c r="K117" s="609" t="str">
        <f>IF($G117="","",IF(VLOOKUP($G117,請求Data!$E$11:$AR$160,請求Data!$Z$10-請求Data!$D$10,FALSE)="*",1,0))</f>
        <v/>
      </c>
      <c r="L117" s="607" t="str">
        <f>IF($G117="","",VLOOKUP($G117,請求Data!$E$11:$AR$160,請求Data!$AP$10-請求Data!$D$10,FALSE))</f>
        <v/>
      </c>
      <c r="M117" s="607" t="str">
        <f t="shared" si="20"/>
        <v/>
      </c>
      <c r="N117" s="607" t="str">
        <f t="shared" si="21"/>
        <v/>
      </c>
      <c r="O117" s="274" t="str">
        <f t="shared" si="26"/>
        <v/>
      </c>
      <c r="P117" s="274" t="str">
        <f t="shared" si="27"/>
        <v/>
      </c>
      <c r="Q117" s="274" t="str">
        <f t="shared" si="28"/>
        <v/>
      </c>
      <c r="R117" s="274" t="str">
        <f t="shared" si="29"/>
        <v/>
      </c>
      <c r="S117" s="607" t="str">
        <f t="shared" si="30"/>
        <v/>
      </c>
      <c r="T117" s="607" t="str">
        <f t="shared" si="31"/>
        <v/>
      </c>
      <c r="U117" s="607" t="str">
        <f t="shared" si="22"/>
        <v/>
      </c>
      <c r="V117" s="162" t="str">
        <f t="shared" si="23"/>
        <v/>
      </c>
      <c r="W117" s="609" t="str">
        <f>IF($G117="","",VLOOKUP($G117,請求Data!$E$11:$AR$160,請求Data!$AC$10-請求Data!$D$10,FALSE))</f>
        <v/>
      </c>
      <c r="X117" s="607" t="str">
        <f t="shared" si="24"/>
        <v/>
      </c>
      <c r="Y117" s="608" t="str">
        <f t="shared" si="25"/>
        <v/>
      </c>
    </row>
    <row r="118" spans="1:25">
      <c r="A118" s="103">
        <v>112</v>
      </c>
      <c r="B118" s="247" t="str">
        <f>IF(LEFT($G118,1)="1",IF($H117=$H118,MAX($B$6:$B117)+1,IF(MAX($B$6:$B117)&lt;=0,1,MAX($B$6:$B117)+3)),"")</f>
        <v/>
      </c>
      <c r="C118" s="247" t="str">
        <f>IF(LEFT($G118,1)="2",IF($H117=$H118,MAX($C$6:$C117)+1,IF(MAX($C$6:$C117)&lt;=0,1,MAX($C$6:$C117)+3)),"")</f>
        <v/>
      </c>
      <c r="D118" s="247" t="str">
        <f>IF(LEFT($G118,1)="3",IF($H117=$H118,MAX($D$6:$D117)+1,IF(MAX($D$6:$D117)&lt;=0,1,MAX($D$6:$D117)+3)),"")</f>
        <v/>
      </c>
      <c r="E118" s="247" t="str">
        <f>IF(LEFT($G118,1)="4",IF($H117=$H118,MAX($E$6:$E117)+1,IF(MAX($E$6:$E117)&lt;=0,1,MAX($E$6:$E117)+3)),"")</f>
        <v/>
      </c>
      <c r="F118" s="477" t="str">
        <f t="shared" si="19"/>
        <v/>
      </c>
      <c r="G118" s="409" t="str">
        <f>IF(ISERROR(SMALL(請求Data!$E$11:$E$160,$A118)),"",SMALL(請求Data!$E$11:$E$160,$A118))</f>
        <v/>
      </c>
      <c r="H118" s="606" t="str">
        <f>IF($G118="","",VLOOKUP($G118,請求Data!$E$11:$AR$160,4,FALSE))</f>
        <v/>
      </c>
      <c r="I118" s="606" t="str">
        <f>IF($G118="","",VLOOKUP($G118,請求Data!$E$11:$AR$160,5,FALSE))</f>
        <v/>
      </c>
      <c r="J118" s="609" t="str">
        <f>IF($G118="","",IF(VLOOKUP($G118,請求Data!$E$11:$AR$160,請求Data!$Y$10-請求Data!$D$10,FALSE)="",1,0))</f>
        <v/>
      </c>
      <c r="K118" s="609" t="str">
        <f>IF($G118="","",IF(VLOOKUP($G118,請求Data!$E$11:$AR$160,請求Data!$Z$10-請求Data!$D$10,FALSE)="*",1,0))</f>
        <v/>
      </c>
      <c r="L118" s="607" t="str">
        <f>IF($G118="","",VLOOKUP($G118,請求Data!$E$11:$AR$160,請求Data!$AP$10-請求Data!$D$10,FALSE))</f>
        <v/>
      </c>
      <c r="M118" s="607" t="str">
        <f t="shared" si="20"/>
        <v/>
      </c>
      <c r="N118" s="607" t="str">
        <f t="shared" si="21"/>
        <v/>
      </c>
      <c r="O118" s="274" t="str">
        <f t="shared" si="26"/>
        <v/>
      </c>
      <c r="P118" s="274" t="str">
        <f t="shared" si="27"/>
        <v/>
      </c>
      <c r="Q118" s="274" t="str">
        <f t="shared" si="28"/>
        <v/>
      </c>
      <c r="R118" s="274" t="str">
        <f t="shared" si="29"/>
        <v/>
      </c>
      <c r="S118" s="607" t="str">
        <f t="shared" si="30"/>
        <v/>
      </c>
      <c r="T118" s="607" t="str">
        <f t="shared" si="31"/>
        <v/>
      </c>
      <c r="U118" s="607" t="str">
        <f t="shared" si="22"/>
        <v/>
      </c>
      <c r="V118" s="162" t="str">
        <f t="shared" si="23"/>
        <v/>
      </c>
      <c r="W118" s="609" t="str">
        <f>IF($G118="","",VLOOKUP($G118,請求Data!$E$11:$AR$160,請求Data!$AC$10-請求Data!$D$10,FALSE))</f>
        <v/>
      </c>
      <c r="X118" s="607" t="str">
        <f t="shared" si="24"/>
        <v/>
      </c>
      <c r="Y118" s="608" t="str">
        <f t="shared" si="25"/>
        <v/>
      </c>
    </row>
    <row r="119" spans="1:25">
      <c r="A119" s="103">
        <v>113</v>
      </c>
      <c r="B119" s="247" t="str">
        <f>IF(LEFT($G119,1)="1",IF($H118=$H119,MAX($B$6:$B118)+1,IF(MAX($B$6:$B118)&lt;=0,1,MAX($B$6:$B118)+3)),"")</f>
        <v/>
      </c>
      <c r="C119" s="247" t="str">
        <f>IF(LEFT($G119,1)="2",IF($H118=$H119,MAX($C$6:$C118)+1,IF(MAX($C$6:$C118)&lt;=0,1,MAX($C$6:$C118)+3)),"")</f>
        <v/>
      </c>
      <c r="D119" s="247" t="str">
        <f>IF(LEFT($G119,1)="3",IF($H118=$H119,MAX($D$6:$D118)+1,IF(MAX($D$6:$D118)&lt;=0,1,MAX($D$6:$D118)+3)),"")</f>
        <v/>
      </c>
      <c r="E119" s="247" t="str">
        <f>IF(LEFT($G119,1)="4",IF($H118=$H119,MAX($E$6:$E118)+1,IF(MAX($E$6:$E118)&lt;=0,1,MAX($E$6:$E118)+3)),"")</f>
        <v/>
      </c>
      <c r="F119" s="477" t="str">
        <f t="shared" si="19"/>
        <v/>
      </c>
      <c r="G119" s="409" t="str">
        <f>IF(ISERROR(SMALL(請求Data!$E$11:$E$160,$A119)),"",SMALL(請求Data!$E$11:$E$160,$A119))</f>
        <v/>
      </c>
      <c r="H119" s="606" t="str">
        <f>IF($G119="","",VLOOKUP($G119,請求Data!$E$11:$AR$160,4,FALSE))</f>
        <v/>
      </c>
      <c r="I119" s="606" t="str">
        <f>IF($G119="","",VLOOKUP($G119,請求Data!$E$11:$AR$160,5,FALSE))</f>
        <v/>
      </c>
      <c r="J119" s="609" t="str">
        <f>IF($G119="","",IF(VLOOKUP($G119,請求Data!$E$11:$AR$160,請求Data!$Y$10-請求Data!$D$10,FALSE)="",1,0))</f>
        <v/>
      </c>
      <c r="K119" s="609" t="str">
        <f>IF($G119="","",IF(VLOOKUP($G119,請求Data!$E$11:$AR$160,請求Data!$Z$10-請求Data!$D$10,FALSE)="*",1,0))</f>
        <v/>
      </c>
      <c r="L119" s="607" t="str">
        <f>IF($G119="","",VLOOKUP($G119,請求Data!$E$11:$AR$160,請求Data!$AP$10-請求Data!$D$10,FALSE))</f>
        <v/>
      </c>
      <c r="M119" s="607" t="str">
        <f t="shared" si="20"/>
        <v/>
      </c>
      <c r="N119" s="607" t="str">
        <f t="shared" si="21"/>
        <v/>
      </c>
      <c r="O119" s="274" t="str">
        <f t="shared" si="26"/>
        <v/>
      </c>
      <c r="P119" s="274" t="str">
        <f t="shared" si="27"/>
        <v/>
      </c>
      <c r="Q119" s="274" t="str">
        <f t="shared" si="28"/>
        <v/>
      </c>
      <c r="R119" s="274" t="str">
        <f t="shared" si="29"/>
        <v/>
      </c>
      <c r="S119" s="607" t="str">
        <f t="shared" si="30"/>
        <v/>
      </c>
      <c r="T119" s="607" t="str">
        <f t="shared" si="31"/>
        <v/>
      </c>
      <c r="U119" s="607" t="str">
        <f t="shared" si="22"/>
        <v/>
      </c>
      <c r="V119" s="162" t="str">
        <f t="shared" si="23"/>
        <v/>
      </c>
      <c r="W119" s="609" t="str">
        <f>IF($G119="","",VLOOKUP($G119,請求Data!$E$11:$AR$160,請求Data!$AC$10-請求Data!$D$10,FALSE))</f>
        <v/>
      </c>
      <c r="X119" s="607" t="str">
        <f t="shared" si="24"/>
        <v/>
      </c>
      <c r="Y119" s="608" t="str">
        <f t="shared" si="25"/>
        <v/>
      </c>
    </row>
    <row r="120" spans="1:25">
      <c r="A120" s="103">
        <v>114</v>
      </c>
      <c r="B120" s="247" t="str">
        <f>IF(LEFT($G120,1)="1",IF($H119=$H120,MAX($B$6:$B119)+1,IF(MAX($B$6:$B119)&lt;=0,1,MAX($B$6:$B119)+3)),"")</f>
        <v/>
      </c>
      <c r="C120" s="247" t="str">
        <f>IF(LEFT($G120,1)="2",IF($H119=$H120,MAX($C$6:$C119)+1,IF(MAX($C$6:$C119)&lt;=0,1,MAX($C$6:$C119)+3)),"")</f>
        <v/>
      </c>
      <c r="D120" s="247" t="str">
        <f>IF(LEFT($G120,1)="3",IF($H119=$H120,MAX($D$6:$D119)+1,IF(MAX($D$6:$D119)&lt;=0,1,MAX($D$6:$D119)+3)),"")</f>
        <v/>
      </c>
      <c r="E120" s="247" t="str">
        <f>IF(LEFT($G120,1)="4",IF($H119=$H120,MAX($E$6:$E119)+1,IF(MAX($E$6:$E119)&lt;=0,1,MAX($E$6:$E119)+3)),"")</f>
        <v/>
      </c>
      <c r="F120" s="477" t="str">
        <f t="shared" si="19"/>
        <v/>
      </c>
      <c r="G120" s="409" t="str">
        <f>IF(ISERROR(SMALL(請求Data!$E$11:$E$160,$A120)),"",SMALL(請求Data!$E$11:$E$160,$A120))</f>
        <v/>
      </c>
      <c r="H120" s="606" t="str">
        <f>IF($G120="","",VLOOKUP($G120,請求Data!$E$11:$AR$160,4,FALSE))</f>
        <v/>
      </c>
      <c r="I120" s="606" t="str">
        <f>IF($G120="","",VLOOKUP($G120,請求Data!$E$11:$AR$160,5,FALSE))</f>
        <v/>
      </c>
      <c r="J120" s="609" t="str">
        <f>IF($G120="","",IF(VLOOKUP($G120,請求Data!$E$11:$AR$160,請求Data!$Y$10-請求Data!$D$10,FALSE)="",1,0))</f>
        <v/>
      </c>
      <c r="K120" s="609" t="str">
        <f>IF($G120="","",IF(VLOOKUP($G120,請求Data!$E$11:$AR$160,請求Data!$Z$10-請求Data!$D$10,FALSE)="*",1,0))</f>
        <v/>
      </c>
      <c r="L120" s="607" t="str">
        <f>IF($G120="","",VLOOKUP($G120,請求Data!$E$11:$AR$160,請求Data!$AP$10-請求Data!$D$10,FALSE))</f>
        <v/>
      </c>
      <c r="M120" s="607" t="str">
        <f t="shared" si="20"/>
        <v/>
      </c>
      <c r="N120" s="607" t="str">
        <f t="shared" si="21"/>
        <v/>
      </c>
      <c r="O120" s="274" t="str">
        <f t="shared" si="26"/>
        <v/>
      </c>
      <c r="P120" s="274" t="str">
        <f t="shared" si="27"/>
        <v/>
      </c>
      <c r="Q120" s="274" t="str">
        <f t="shared" si="28"/>
        <v/>
      </c>
      <c r="R120" s="274" t="str">
        <f t="shared" si="29"/>
        <v/>
      </c>
      <c r="S120" s="607" t="str">
        <f t="shared" si="30"/>
        <v/>
      </c>
      <c r="T120" s="607" t="str">
        <f t="shared" si="31"/>
        <v/>
      </c>
      <c r="U120" s="607" t="str">
        <f t="shared" si="22"/>
        <v/>
      </c>
      <c r="V120" s="162" t="str">
        <f t="shared" si="23"/>
        <v/>
      </c>
      <c r="W120" s="609" t="str">
        <f>IF($G120="","",VLOOKUP($G120,請求Data!$E$11:$AR$160,請求Data!$AC$10-請求Data!$D$10,FALSE))</f>
        <v/>
      </c>
      <c r="X120" s="607" t="str">
        <f t="shared" si="24"/>
        <v/>
      </c>
      <c r="Y120" s="608" t="str">
        <f t="shared" si="25"/>
        <v/>
      </c>
    </row>
    <row r="121" spans="1:25">
      <c r="A121" s="103">
        <v>115</v>
      </c>
      <c r="B121" s="247" t="str">
        <f>IF(LEFT($G121,1)="1",IF($H120=$H121,MAX($B$6:$B120)+1,IF(MAX($B$6:$B120)&lt;=0,1,MAX($B$6:$B120)+3)),"")</f>
        <v/>
      </c>
      <c r="C121" s="247" t="str">
        <f>IF(LEFT($G121,1)="2",IF($H120=$H121,MAX($C$6:$C120)+1,IF(MAX($C$6:$C120)&lt;=0,1,MAX($C$6:$C120)+3)),"")</f>
        <v/>
      </c>
      <c r="D121" s="247" t="str">
        <f>IF(LEFT($G121,1)="3",IF($H120=$H121,MAX($D$6:$D120)+1,IF(MAX($D$6:$D120)&lt;=0,1,MAX($D$6:$D120)+3)),"")</f>
        <v/>
      </c>
      <c r="E121" s="247" t="str">
        <f>IF(LEFT($G121,1)="4",IF($H120=$H121,MAX($E$6:$E120)+1,IF(MAX($E$6:$E120)&lt;=0,1,MAX($E$6:$E120)+3)),"")</f>
        <v/>
      </c>
      <c r="F121" s="477" t="str">
        <f t="shared" si="19"/>
        <v/>
      </c>
      <c r="G121" s="409" t="str">
        <f>IF(ISERROR(SMALL(請求Data!$E$11:$E$160,$A121)),"",SMALL(請求Data!$E$11:$E$160,$A121))</f>
        <v/>
      </c>
      <c r="H121" s="606" t="str">
        <f>IF($G121="","",VLOOKUP($G121,請求Data!$E$11:$AR$160,4,FALSE))</f>
        <v/>
      </c>
      <c r="I121" s="606" t="str">
        <f>IF($G121="","",VLOOKUP($G121,請求Data!$E$11:$AR$160,5,FALSE))</f>
        <v/>
      </c>
      <c r="J121" s="609" t="str">
        <f>IF($G121="","",IF(VLOOKUP($G121,請求Data!$E$11:$AR$160,請求Data!$Y$10-請求Data!$D$10,FALSE)="",1,0))</f>
        <v/>
      </c>
      <c r="K121" s="609" t="str">
        <f>IF($G121="","",IF(VLOOKUP($G121,請求Data!$E$11:$AR$160,請求Data!$Z$10-請求Data!$D$10,FALSE)="*",1,0))</f>
        <v/>
      </c>
      <c r="L121" s="607" t="str">
        <f>IF($G121="","",VLOOKUP($G121,請求Data!$E$11:$AR$160,請求Data!$AP$10-請求Data!$D$10,FALSE))</f>
        <v/>
      </c>
      <c r="M121" s="607" t="str">
        <f t="shared" si="20"/>
        <v/>
      </c>
      <c r="N121" s="607" t="str">
        <f t="shared" si="21"/>
        <v/>
      </c>
      <c r="O121" s="274" t="str">
        <f t="shared" si="26"/>
        <v/>
      </c>
      <c r="P121" s="274" t="str">
        <f t="shared" si="27"/>
        <v/>
      </c>
      <c r="Q121" s="274" t="str">
        <f t="shared" si="28"/>
        <v/>
      </c>
      <c r="R121" s="274" t="str">
        <f t="shared" si="29"/>
        <v/>
      </c>
      <c r="S121" s="607" t="str">
        <f t="shared" si="30"/>
        <v/>
      </c>
      <c r="T121" s="607" t="str">
        <f t="shared" si="31"/>
        <v/>
      </c>
      <c r="U121" s="607" t="str">
        <f t="shared" si="22"/>
        <v/>
      </c>
      <c r="V121" s="162" t="str">
        <f t="shared" si="23"/>
        <v/>
      </c>
      <c r="W121" s="609" t="str">
        <f>IF($G121="","",VLOOKUP($G121,請求Data!$E$11:$AR$160,請求Data!$AC$10-請求Data!$D$10,FALSE))</f>
        <v/>
      </c>
      <c r="X121" s="607" t="str">
        <f t="shared" si="24"/>
        <v/>
      </c>
      <c r="Y121" s="608" t="str">
        <f t="shared" si="25"/>
        <v/>
      </c>
    </row>
    <row r="122" spans="1:25">
      <c r="A122" s="103">
        <v>116</v>
      </c>
      <c r="B122" s="247" t="str">
        <f>IF(LEFT($G122,1)="1",IF($H121=$H122,MAX($B$6:$B121)+1,IF(MAX($B$6:$B121)&lt;=0,1,MAX($B$6:$B121)+3)),"")</f>
        <v/>
      </c>
      <c r="C122" s="247" t="str">
        <f>IF(LEFT($G122,1)="2",IF($H121=$H122,MAX($C$6:$C121)+1,IF(MAX($C$6:$C121)&lt;=0,1,MAX($C$6:$C121)+3)),"")</f>
        <v/>
      </c>
      <c r="D122" s="247" t="str">
        <f>IF(LEFT($G122,1)="3",IF($H121=$H122,MAX($D$6:$D121)+1,IF(MAX($D$6:$D121)&lt;=0,1,MAX($D$6:$D121)+3)),"")</f>
        <v/>
      </c>
      <c r="E122" s="247" t="str">
        <f>IF(LEFT($G122,1)="4",IF($H121=$H122,MAX($E$6:$E121)+1,IF(MAX($E$6:$E121)&lt;=0,1,MAX($E$6:$E121)+3)),"")</f>
        <v/>
      </c>
      <c r="F122" s="477" t="str">
        <f t="shared" si="19"/>
        <v/>
      </c>
      <c r="G122" s="409" t="str">
        <f>IF(ISERROR(SMALL(請求Data!$E$11:$E$160,$A122)),"",SMALL(請求Data!$E$11:$E$160,$A122))</f>
        <v/>
      </c>
      <c r="H122" s="606" t="str">
        <f>IF($G122="","",VLOOKUP($G122,請求Data!$E$11:$AR$160,4,FALSE))</f>
        <v/>
      </c>
      <c r="I122" s="606" t="str">
        <f>IF($G122="","",VLOOKUP($G122,請求Data!$E$11:$AR$160,5,FALSE))</f>
        <v/>
      </c>
      <c r="J122" s="609" t="str">
        <f>IF($G122="","",IF(VLOOKUP($G122,請求Data!$E$11:$AR$160,請求Data!$Y$10-請求Data!$D$10,FALSE)="",1,0))</f>
        <v/>
      </c>
      <c r="K122" s="609" t="str">
        <f>IF($G122="","",IF(VLOOKUP($G122,請求Data!$E$11:$AR$160,請求Data!$Z$10-請求Data!$D$10,FALSE)="*",1,0))</f>
        <v/>
      </c>
      <c r="L122" s="607" t="str">
        <f>IF($G122="","",VLOOKUP($G122,請求Data!$E$11:$AR$160,請求Data!$AP$10-請求Data!$D$10,FALSE))</f>
        <v/>
      </c>
      <c r="M122" s="607" t="str">
        <f t="shared" si="20"/>
        <v/>
      </c>
      <c r="N122" s="607" t="str">
        <f t="shared" si="21"/>
        <v/>
      </c>
      <c r="O122" s="274" t="str">
        <f t="shared" si="26"/>
        <v/>
      </c>
      <c r="P122" s="274" t="str">
        <f t="shared" si="27"/>
        <v/>
      </c>
      <c r="Q122" s="274" t="str">
        <f t="shared" si="28"/>
        <v/>
      </c>
      <c r="R122" s="274" t="str">
        <f t="shared" si="29"/>
        <v/>
      </c>
      <c r="S122" s="607" t="str">
        <f t="shared" si="30"/>
        <v/>
      </c>
      <c r="T122" s="607" t="str">
        <f t="shared" si="31"/>
        <v/>
      </c>
      <c r="U122" s="607" t="str">
        <f t="shared" si="22"/>
        <v/>
      </c>
      <c r="V122" s="162" t="str">
        <f t="shared" si="23"/>
        <v/>
      </c>
      <c r="W122" s="609" t="str">
        <f>IF($G122="","",VLOOKUP($G122,請求Data!$E$11:$AR$160,請求Data!$AC$10-請求Data!$D$10,FALSE))</f>
        <v/>
      </c>
      <c r="X122" s="607" t="str">
        <f t="shared" si="24"/>
        <v/>
      </c>
      <c r="Y122" s="608" t="str">
        <f t="shared" si="25"/>
        <v/>
      </c>
    </row>
    <row r="123" spans="1:25">
      <c r="A123" s="103">
        <v>117</v>
      </c>
      <c r="B123" s="247" t="str">
        <f>IF(LEFT($G123,1)="1",IF($H122=$H123,MAX($B$6:$B122)+1,IF(MAX($B$6:$B122)&lt;=0,1,MAX($B$6:$B122)+3)),"")</f>
        <v/>
      </c>
      <c r="C123" s="247" t="str">
        <f>IF(LEFT($G123,1)="2",IF($H122=$H123,MAX($C$6:$C122)+1,IF(MAX($C$6:$C122)&lt;=0,1,MAX($C$6:$C122)+3)),"")</f>
        <v/>
      </c>
      <c r="D123" s="247" t="str">
        <f>IF(LEFT($G123,1)="3",IF($H122=$H123,MAX($D$6:$D122)+1,IF(MAX($D$6:$D122)&lt;=0,1,MAX($D$6:$D122)+3)),"")</f>
        <v/>
      </c>
      <c r="E123" s="247" t="str">
        <f>IF(LEFT($G123,1)="4",IF($H122=$H123,MAX($E$6:$E122)+1,IF(MAX($E$6:$E122)&lt;=0,1,MAX($E$6:$E122)+3)),"")</f>
        <v/>
      </c>
      <c r="F123" s="477" t="str">
        <f t="shared" si="19"/>
        <v/>
      </c>
      <c r="G123" s="409" t="str">
        <f>IF(ISERROR(SMALL(請求Data!$E$11:$E$160,$A123)),"",SMALL(請求Data!$E$11:$E$160,$A123))</f>
        <v/>
      </c>
      <c r="H123" s="606" t="str">
        <f>IF($G123="","",VLOOKUP($G123,請求Data!$E$11:$AR$160,4,FALSE))</f>
        <v/>
      </c>
      <c r="I123" s="606" t="str">
        <f>IF($G123="","",VLOOKUP($G123,請求Data!$E$11:$AR$160,5,FALSE))</f>
        <v/>
      </c>
      <c r="J123" s="609" t="str">
        <f>IF($G123="","",IF(VLOOKUP($G123,請求Data!$E$11:$AR$160,請求Data!$Y$10-請求Data!$D$10,FALSE)="",1,0))</f>
        <v/>
      </c>
      <c r="K123" s="609" t="str">
        <f>IF($G123="","",IF(VLOOKUP($G123,請求Data!$E$11:$AR$160,請求Data!$Z$10-請求Data!$D$10,FALSE)="*",1,0))</f>
        <v/>
      </c>
      <c r="L123" s="607" t="str">
        <f>IF($G123="","",VLOOKUP($G123,請求Data!$E$11:$AR$160,請求Data!$AP$10-請求Data!$D$10,FALSE))</f>
        <v/>
      </c>
      <c r="M123" s="607" t="str">
        <f t="shared" si="20"/>
        <v/>
      </c>
      <c r="N123" s="607" t="str">
        <f t="shared" si="21"/>
        <v/>
      </c>
      <c r="O123" s="274" t="str">
        <f t="shared" si="26"/>
        <v/>
      </c>
      <c r="P123" s="274" t="str">
        <f t="shared" si="27"/>
        <v/>
      </c>
      <c r="Q123" s="274" t="str">
        <f t="shared" si="28"/>
        <v/>
      </c>
      <c r="R123" s="274" t="str">
        <f t="shared" si="29"/>
        <v/>
      </c>
      <c r="S123" s="607" t="str">
        <f t="shared" si="30"/>
        <v/>
      </c>
      <c r="T123" s="607" t="str">
        <f t="shared" si="31"/>
        <v/>
      </c>
      <c r="U123" s="607" t="str">
        <f t="shared" si="22"/>
        <v/>
      </c>
      <c r="V123" s="162" t="str">
        <f t="shared" si="23"/>
        <v/>
      </c>
      <c r="W123" s="609" t="str">
        <f>IF($G123="","",VLOOKUP($G123,請求Data!$E$11:$AR$160,請求Data!$AC$10-請求Data!$D$10,FALSE))</f>
        <v/>
      </c>
      <c r="X123" s="607" t="str">
        <f t="shared" si="24"/>
        <v/>
      </c>
      <c r="Y123" s="608" t="str">
        <f t="shared" si="25"/>
        <v/>
      </c>
    </row>
    <row r="124" spans="1:25">
      <c r="A124" s="103">
        <v>118</v>
      </c>
      <c r="B124" s="247" t="str">
        <f>IF(LEFT($G124,1)="1",IF($H123=$H124,MAX($B$6:$B123)+1,IF(MAX($B$6:$B123)&lt;=0,1,MAX($B$6:$B123)+3)),"")</f>
        <v/>
      </c>
      <c r="C124" s="247" t="str">
        <f>IF(LEFT($G124,1)="2",IF($H123=$H124,MAX($C$6:$C123)+1,IF(MAX($C$6:$C123)&lt;=0,1,MAX($C$6:$C123)+3)),"")</f>
        <v/>
      </c>
      <c r="D124" s="247" t="str">
        <f>IF(LEFT($G124,1)="3",IF($H123=$H124,MAX($D$6:$D123)+1,IF(MAX($D$6:$D123)&lt;=0,1,MAX($D$6:$D123)+3)),"")</f>
        <v/>
      </c>
      <c r="E124" s="247" t="str">
        <f>IF(LEFT($G124,1)="4",IF($H123=$H124,MAX($E$6:$E123)+1,IF(MAX($E$6:$E123)&lt;=0,1,MAX($E$6:$E123)+3)),"")</f>
        <v/>
      </c>
      <c r="F124" s="477" t="str">
        <f t="shared" si="19"/>
        <v/>
      </c>
      <c r="G124" s="409" t="str">
        <f>IF(ISERROR(SMALL(請求Data!$E$11:$E$160,$A124)),"",SMALL(請求Data!$E$11:$E$160,$A124))</f>
        <v/>
      </c>
      <c r="H124" s="606" t="str">
        <f>IF($G124="","",VLOOKUP($G124,請求Data!$E$11:$AR$160,4,FALSE))</f>
        <v/>
      </c>
      <c r="I124" s="606" t="str">
        <f>IF($G124="","",VLOOKUP($G124,請求Data!$E$11:$AR$160,5,FALSE))</f>
        <v/>
      </c>
      <c r="J124" s="609" t="str">
        <f>IF($G124="","",IF(VLOOKUP($G124,請求Data!$E$11:$AR$160,請求Data!$Y$10-請求Data!$D$10,FALSE)="",1,0))</f>
        <v/>
      </c>
      <c r="K124" s="609" t="str">
        <f>IF($G124="","",IF(VLOOKUP($G124,請求Data!$E$11:$AR$160,請求Data!$Z$10-請求Data!$D$10,FALSE)="*",1,0))</f>
        <v/>
      </c>
      <c r="L124" s="607" t="str">
        <f>IF($G124="","",VLOOKUP($G124,請求Data!$E$11:$AR$160,請求Data!$AP$10-請求Data!$D$10,FALSE))</f>
        <v/>
      </c>
      <c r="M124" s="607" t="str">
        <f t="shared" si="20"/>
        <v/>
      </c>
      <c r="N124" s="607" t="str">
        <f t="shared" si="21"/>
        <v/>
      </c>
      <c r="O124" s="274" t="str">
        <f t="shared" si="26"/>
        <v/>
      </c>
      <c r="P124" s="274" t="str">
        <f t="shared" si="27"/>
        <v/>
      </c>
      <c r="Q124" s="274" t="str">
        <f t="shared" si="28"/>
        <v/>
      </c>
      <c r="R124" s="274" t="str">
        <f t="shared" si="29"/>
        <v/>
      </c>
      <c r="S124" s="607" t="str">
        <f t="shared" si="30"/>
        <v/>
      </c>
      <c r="T124" s="607" t="str">
        <f t="shared" si="31"/>
        <v/>
      </c>
      <c r="U124" s="607" t="str">
        <f t="shared" si="22"/>
        <v/>
      </c>
      <c r="V124" s="162" t="str">
        <f t="shared" si="23"/>
        <v/>
      </c>
      <c r="W124" s="609" t="str">
        <f>IF($G124="","",VLOOKUP($G124,請求Data!$E$11:$AR$160,請求Data!$AC$10-請求Data!$D$10,FALSE))</f>
        <v/>
      </c>
      <c r="X124" s="607" t="str">
        <f t="shared" si="24"/>
        <v/>
      </c>
      <c r="Y124" s="608" t="str">
        <f t="shared" si="25"/>
        <v/>
      </c>
    </row>
    <row r="125" spans="1:25">
      <c r="A125" s="103">
        <v>119</v>
      </c>
      <c r="B125" s="247" t="str">
        <f>IF(LEFT($G125,1)="1",IF($H124=$H125,MAX($B$6:$B124)+1,IF(MAX($B$6:$B124)&lt;=0,1,MAX($B$6:$B124)+3)),"")</f>
        <v/>
      </c>
      <c r="C125" s="247" t="str">
        <f>IF(LEFT($G125,1)="2",IF($H124=$H125,MAX($C$6:$C124)+1,IF(MAX($C$6:$C124)&lt;=0,1,MAX($C$6:$C124)+3)),"")</f>
        <v/>
      </c>
      <c r="D125" s="247" t="str">
        <f>IF(LEFT($G125,1)="3",IF($H124=$H125,MAX($D$6:$D124)+1,IF(MAX($D$6:$D124)&lt;=0,1,MAX($D$6:$D124)+3)),"")</f>
        <v/>
      </c>
      <c r="E125" s="247" t="str">
        <f>IF(LEFT($G125,1)="4",IF($H124=$H125,MAX($E$6:$E124)+1,IF(MAX($E$6:$E124)&lt;=0,1,MAX($E$6:$E124)+3)),"")</f>
        <v/>
      </c>
      <c r="F125" s="477" t="str">
        <f t="shared" si="19"/>
        <v/>
      </c>
      <c r="G125" s="409" t="str">
        <f>IF(ISERROR(SMALL(請求Data!$E$11:$E$160,$A125)),"",SMALL(請求Data!$E$11:$E$160,$A125))</f>
        <v/>
      </c>
      <c r="H125" s="606" t="str">
        <f>IF($G125="","",VLOOKUP($G125,請求Data!$E$11:$AR$160,4,FALSE))</f>
        <v/>
      </c>
      <c r="I125" s="606" t="str">
        <f>IF($G125="","",VLOOKUP($G125,請求Data!$E$11:$AR$160,5,FALSE))</f>
        <v/>
      </c>
      <c r="J125" s="609" t="str">
        <f>IF($G125="","",IF(VLOOKUP($G125,請求Data!$E$11:$AR$160,請求Data!$Y$10-請求Data!$D$10,FALSE)="",1,0))</f>
        <v/>
      </c>
      <c r="K125" s="609" t="str">
        <f>IF($G125="","",IF(VLOOKUP($G125,請求Data!$E$11:$AR$160,請求Data!$Z$10-請求Data!$D$10,FALSE)="*",1,0))</f>
        <v/>
      </c>
      <c r="L125" s="607" t="str">
        <f>IF($G125="","",VLOOKUP($G125,請求Data!$E$11:$AR$160,請求Data!$AP$10-請求Data!$D$10,FALSE))</f>
        <v/>
      </c>
      <c r="M125" s="607" t="str">
        <f t="shared" si="20"/>
        <v/>
      </c>
      <c r="N125" s="607" t="str">
        <f t="shared" si="21"/>
        <v/>
      </c>
      <c r="O125" s="274" t="str">
        <f t="shared" si="26"/>
        <v/>
      </c>
      <c r="P125" s="274" t="str">
        <f t="shared" si="27"/>
        <v/>
      </c>
      <c r="Q125" s="274" t="str">
        <f t="shared" si="28"/>
        <v/>
      </c>
      <c r="R125" s="274" t="str">
        <f t="shared" si="29"/>
        <v/>
      </c>
      <c r="S125" s="607" t="str">
        <f t="shared" si="30"/>
        <v/>
      </c>
      <c r="T125" s="607" t="str">
        <f t="shared" si="31"/>
        <v/>
      </c>
      <c r="U125" s="607" t="str">
        <f t="shared" si="22"/>
        <v/>
      </c>
      <c r="V125" s="162" t="str">
        <f t="shared" si="23"/>
        <v/>
      </c>
      <c r="W125" s="609" t="str">
        <f>IF($G125="","",VLOOKUP($G125,請求Data!$E$11:$AR$160,請求Data!$AC$10-請求Data!$D$10,FALSE))</f>
        <v/>
      </c>
      <c r="X125" s="607" t="str">
        <f t="shared" si="24"/>
        <v/>
      </c>
      <c r="Y125" s="608" t="str">
        <f t="shared" si="25"/>
        <v/>
      </c>
    </row>
    <row r="126" spans="1:25">
      <c r="A126" s="103">
        <v>120</v>
      </c>
      <c r="B126" s="247" t="str">
        <f>IF(LEFT($G126,1)="1",IF($H125=$H126,MAX($B$6:$B125)+1,IF(MAX($B$6:$B125)&lt;=0,1,MAX($B$6:$B125)+3)),"")</f>
        <v/>
      </c>
      <c r="C126" s="247" t="str">
        <f>IF(LEFT($G126,1)="2",IF($H125=$H126,MAX($C$6:$C125)+1,IF(MAX($C$6:$C125)&lt;=0,1,MAX($C$6:$C125)+3)),"")</f>
        <v/>
      </c>
      <c r="D126" s="247" t="str">
        <f>IF(LEFT($G126,1)="3",IF($H125=$H126,MAX($D$6:$D125)+1,IF(MAX($D$6:$D125)&lt;=0,1,MAX($D$6:$D125)+3)),"")</f>
        <v/>
      </c>
      <c r="E126" s="247" t="str">
        <f>IF(LEFT($G126,1)="4",IF($H125=$H126,MAX($E$6:$E125)+1,IF(MAX($E$6:$E125)&lt;=0,1,MAX($E$6:$E125)+3)),"")</f>
        <v/>
      </c>
      <c r="F126" s="477" t="str">
        <f t="shared" si="19"/>
        <v/>
      </c>
      <c r="G126" s="409" t="str">
        <f>IF(ISERROR(SMALL(請求Data!$E$11:$E$160,$A126)),"",SMALL(請求Data!$E$11:$E$160,$A126))</f>
        <v/>
      </c>
      <c r="H126" s="606" t="str">
        <f>IF($G126="","",VLOOKUP($G126,請求Data!$E$11:$AR$160,4,FALSE))</f>
        <v/>
      </c>
      <c r="I126" s="606" t="str">
        <f>IF($G126="","",VLOOKUP($G126,請求Data!$E$11:$AR$160,5,FALSE))</f>
        <v/>
      </c>
      <c r="J126" s="609" t="str">
        <f>IF($G126="","",IF(VLOOKUP($G126,請求Data!$E$11:$AR$160,請求Data!$Y$10-請求Data!$D$10,FALSE)="",1,0))</f>
        <v/>
      </c>
      <c r="K126" s="609" t="str">
        <f>IF($G126="","",IF(VLOOKUP($G126,請求Data!$E$11:$AR$160,請求Data!$Z$10-請求Data!$D$10,FALSE)="*",1,0))</f>
        <v/>
      </c>
      <c r="L126" s="607" t="str">
        <f>IF($G126="","",VLOOKUP($G126,請求Data!$E$11:$AR$160,請求Data!$AP$10-請求Data!$D$10,FALSE))</f>
        <v/>
      </c>
      <c r="M126" s="607" t="str">
        <f t="shared" si="20"/>
        <v/>
      </c>
      <c r="N126" s="607" t="str">
        <f t="shared" si="21"/>
        <v/>
      </c>
      <c r="O126" s="274" t="str">
        <f t="shared" si="26"/>
        <v/>
      </c>
      <c r="P126" s="274" t="str">
        <f t="shared" si="27"/>
        <v/>
      </c>
      <c r="Q126" s="274" t="str">
        <f t="shared" si="28"/>
        <v/>
      </c>
      <c r="R126" s="274" t="str">
        <f t="shared" si="29"/>
        <v/>
      </c>
      <c r="S126" s="607" t="str">
        <f t="shared" si="30"/>
        <v/>
      </c>
      <c r="T126" s="607" t="str">
        <f t="shared" si="31"/>
        <v/>
      </c>
      <c r="U126" s="607" t="str">
        <f t="shared" si="22"/>
        <v/>
      </c>
      <c r="V126" s="162" t="str">
        <f t="shared" si="23"/>
        <v/>
      </c>
      <c r="W126" s="609" t="str">
        <f>IF($G126="","",VLOOKUP($G126,請求Data!$E$11:$AR$160,請求Data!$AC$10-請求Data!$D$10,FALSE))</f>
        <v/>
      </c>
      <c r="X126" s="607" t="str">
        <f t="shared" si="24"/>
        <v/>
      </c>
      <c r="Y126" s="608" t="str">
        <f t="shared" si="25"/>
        <v/>
      </c>
    </row>
    <row r="127" spans="1:25">
      <c r="A127" s="103">
        <v>121</v>
      </c>
      <c r="B127" s="247" t="str">
        <f>IF(LEFT($G127,1)="1",IF($H126=$H127,MAX($B$6:$B126)+1,IF(MAX($B$6:$B126)&lt;=0,1,MAX($B$6:$B126)+3)),"")</f>
        <v/>
      </c>
      <c r="C127" s="247" t="str">
        <f>IF(LEFT($G127,1)="2",IF($H126=$H127,MAX($C$6:$C126)+1,IF(MAX($C$6:$C126)&lt;=0,1,MAX($C$6:$C126)+3)),"")</f>
        <v/>
      </c>
      <c r="D127" s="247" t="str">
        <f>IF(LEFT($G127,1)="3",IF($H126=$H127,MAX($D$6:$D126)+1,IF(MAX($D$6:$D126)&lt;=0,1,MAX($D$6:$D126)+3)),"")</f>
        <v/>
      </c>
      <c r="E127" s="247" t="str">
        <f>IF(LEFT($G127,1)="4",IF($H126=$H127,MAX($E$6:$E126)+1,IF(MAX($E$6:$E126)&lt;=0,1,MAX($E$6:$E126)+3)),"")</f>
        <v/>
      </c>
      <c r="F127" s="477" t="str">
        <f t="shared" si="19"/>
        <v/>
      </c>
      <c r="G127" s="409" t="str">
        <f>IF(ISERROR(SMALL(請求Data!$E$11:$E$160,$A127)),"",SMALL(請求Data!$E$11:$E$160,$A127))</f>
        <v/>
      </c>
      <c r="H127" s="606" t="str">
        <f>IF($G127="","",VLOOKUP($G127,請求Data!$E$11:$AR$160,4,FALSE))</f>
        <v/>
      </c>
      <c r="I127" s="606" t="str">
        <f>IF($G127="","",VLOOKUP($G127,請求Data!$E$11:$AR$160,5,FALSE))</f>
        <v/>
      </c>
      <c r="J127" s="609" t="str">
        <f>IF($G127="","",IF(VLOOKUP($G127,請求Data!$E$11:$AR$160,請求Data!$Y$10-請求Data!$D$10,FALSE)="",1,0))</f>
        <v/>
      </c>
      <c r="K127" s="609" t="str">
        <f>IF($G127="","",IF(VLOOKUP($G127,請求Data!$E$11:$AR$160,請求Data!$Z$10-請求Data!$D$10,FALSE)="*",1,0))</f>
        <v/>
      </c>
      <c r="L127" s="607" t="str">
        <f>IF($G127="","",VLOOKUP($G127,請求Data!$E$11:$AR$160,請求Data!$AP$10-請求Data!$D$10,FALSE))</f>
        <v/>
      </c>
      <c r="M127" s="607" t="str">
        <f t="shared" si="20"/>
        <v/>
      </c>
      <c r="N127" s="607" t="str">
        <f t="shared" si="21"/>
        <v/>
      </c>
      <c r="O127" s="274" t="str">
        <f t="shared" si="26"/>
        <v/>
      </c>
      <c r="P127" s="274" t="str">
        <f t="shared" si="27"/>
        <v/>
      </c>
      <c r="Q127" s="274" t="str">
        <f t="shared" si="28"/>
        <v/>
      </c>
      <c r="R127" s="274" t="str">
        <f t="shared" si="29"/>
        <v/>
      </c>
      <c r="S127" s="607" t="str">
        <f t="shared" si="30"/>
        <v/>
      </c>
      <c r="T127" s="607" t="str">
        <f t="shared" si="31"/>
        <v/>
      </c>
      <c r="U127" s="607" t="str">
        <f t="shared" si="22"/>
        <v/>
      </c>
      <c r="V127" s="162" t="str">
        <f t="shared" si="23"/>
        <v/>
      </c>
      <c r="W127" s="609" t="str">
        <f>IF($G127="","",VLOOKUP($G127,請求Data!$E$11:$AR$160,請求Data!$AC$10-請求Data!$D$10,FALSE))</f>
        <v/>
      </c>
      <c r="X127" s="607" t="str">
        <f t="shared" si="24"/>
        <v/>
      </c>
      <c r="Y127" s="608" t="str">
        <f t="shared" si="25"/>
        <v/>
      </c>
    </row>
    <row r="128" spans="1:25">
      <c r="A128" s="103">
        <v>122</v>
      </c>
      <c r="B128" s="247" t="str">
        <f>IF(LEFT($G128,1)="1",IF($H127=$H128,MAX($B$6:$B127)+1,IF(MAX($B$6:$B127)&lt;=0,1,MAX($B$6:$B127)+3)),"")</f>
        <v/>
      </c>
      <c r="C128" s="247" t="str">
        <f>IF(LEFT($G128,1)="2",IF($H127=$H128,MAX($C$6:$C127)+1,IF(MAX($C$6:$C127)&lt;=0,1,MAX($C$6:$C127)+3)),"")</f>
        <v/>
      </c>
      <c r="D128" s="247" t="str">
        <f>IF(LEFT($G128,1)="3",IF($H127=$H128,MAX($D$6:$D127)+1,IF(MAX($D$6:$D127)&lt;=0,1,MAX($D$6:$D127)+3)),"")</f>
        <v/>
      </c>
      <c r="E128" s="247" t="str">
        <f>IF(LEFT($G128,1)="4",IF($H127=$H128,MAX($E$6:$E127)+1,IF(MAX($E$6:$E127)&lt;=0,1,MAX($E$6:$E127)+3)),"")</f>
        <v/>
      </c>
      <c r="F128" s="477" t="str">
        <f t="shared" si="19"/>
        <v/>
      </c>
      <c r="G128" s="409" t="str">
        <f>IF(ISERROR(SMALL(請求Data!$E$11:$E$160,$A128)),"",SMALL(請求Data!$E$11:$E$160,$A128))</f>
        <v/>
      </c>
      <c r="H128" s="606" t="str">
        <f>IF($G128="","",VLOOKUP($G128,請求Data!$E$11:$AR$160,4,FALSE))</f>
        <v/>
      </c>
      <c r="I128" s="606" t="str">
        <f>IF($G128="","",VLOOKUP($G128,請求Data!$E$11:$AR$160,5,FALSE))</f>
        <v/>
      </c>
      <c r="J128" s="609" t="str">
        <f>IF($G128="","",IF(VLOOKUP($G128,請求Data!$E$11:$AR$160,請求Data!$Y$10-請求Data!$D$10,FALSE)="",1,0))</f>
        <v/>
      </c>
      <c r="K128" s="609" t="str">
        <f>IF($G128="","",IF(VLOOKUP($G128,請求Data!$E$11:$AR$160,請求Data!$Z$10-請求Data!$D$10,FALSE)="*",1,0))</f>
        <v/>
      </c>
      <c r="L128" s="607" t="str">
        <f>IF($G128="","",VLOOKUP($G128,請求Data!$E$11:$AR$160,請求Data!$AP$10-請求Data!$D$10,FALSE))</f>
        <v/>
      </c>
      <c r="M128" s="607" t="str">
        <f t="shared" si="20"/>
        <v/>
      </c>
      <c r="N128" s="607" t="str">
        <f t="shared" si="21"/>
        <v/>
      </c>
      <c r="O128" s="274" t="str">
        <f t="shared" si="26"/>
        <v/>
      </c>
      <c r="P128" s="274" t="str">
        <f t="shared" si="27"/>
        <v/>
      </c>
      <c r="Q128" s="274" t="str">
        <f t="shared" si="28"/>
        <v/>
      </c>
      <c r="R128" s="274" t="str">
        <f t="shared" si="29"/>
        <v/>
      </c>
      <c r="S128" s="607" t="str">
        <f t="shared" si="30"/>
        <v/>
      </c>
      <c r="T128" s="607" t="str">
        <f t="shared" si="31"/>
        <v/>
      </c>
      <c r="U128" s="607" t="str">
        <f t="shared" si="22"/>
        <v/>
      </c>
      <c r="V128" s="162" t="str">
        <f t="shared" si="23"/>
        <v/>
      </c>
      <c r="W128" s="609" t="str">
        <f>IF($G128="","",VLOOKUP($G128,請求Data!$E$11:$AR$160,請求Data!$AC$10-請求Data!$D$10,FALSE))</f>
        <v/>
      </c>
      <c r="X128" s="607" t="str">
        <f t="shared" si="24"/>
        <v/>
      </c>
      <c r="Y128" s="608" t="str">
        <f t="shared" si="25"/>
        <v/>
      </c>
    </row>
    <row r="129" spans="1:25">
      <c r="A129" s="103">
        <v>123</v>
      </c>
      <c r="B129" s="247" t="str">
        <f>IF(LEFT($G129,1)="1",IF($H128=$H129,MAX($B$6:$B128)+1,IF(MAX($B$6:$B128)&lt;=0,1,MAX($B$6:$B128)+3)),"")</f>
        <v/>
      </c>
      <c r="C129" s="247" t="str">
        <f>IF(LEFT($G129,1)="2",IF($H128=$H129,MAX($C$6:$C128)+1,IF(MAX($C$6:$C128)&lt;=0,1,MAX($C$6:$C128)+3)),"")</f>
        <v/>
      </c>
      <c r="D129" s="247" t="str">
        <f>IF(LEFT($G129,1)="3",IF($H128=$H129,MAX($D$6:$D128)+1,IF(MAX($D$6:$D128)&lt;=0,1,MAX($D$6:$D128)+3)),"")</f>
        <v/>
      </c>
      <c r="E129" s="247" t="str">
        <f>IF(LEFT($G129,1)="4",IF($H128=$H129,MAX($E$6:$E128)+1,IF(MAX($E$6:$E128)&lt;=0,1,MAX($E$6:$E128)+3)),"")</f>
        <v/>
      </c>
      <c r="F129" s="477" t="str">
        <f t="shared" si="19"/>
        <v/>
      </c>
      <c r="G129" s="409" t="str">
        <f>IF(ISERROR(SMALL(請求Data!$E$11:$E$160,$A129)),"",SMALL(請求Data!$E$11:$E$160,$A129))</f>
        <v/>
      </c>
      <c r="H129" s="606" t="str">
        <f>IF($G129="","",VLOOKUP($G129,請求Data!$E$11:$AR$160,4,FALSE))</f>
        <v/>
      </c>
      <c r="I129" s="606" t="str">
        <f>IF($G129="","",VLOOKUP($G129,請求Data!$E$11:$AR$160,5,FALSE))</f>
        <v/>
      </c>
      <c r="J129" s="609" t="str">
        <f>IF($G129="","",IF(VLOOKUP($G129,請求Data!$E$11:$AR$160,請求Data!$Y$10-請求Data!$D$10,FALSE)="",1,0))</f>
        <v/>
      </c>
      <c r="K129" s="609" t="str">
        <f>IF($G129="","",IF(VLOOKUP($G129,請求Data!$E$11:$AR$160,請求Data!$Z$10-請求Data!$D$10,FALSE)="*",1,0))</f>
        <v/>
      </c>
      <c r="L129" s="607" t="str">
        <f>IF($G129="","",VLOOKUP($G129,請求Data!$E$11:$AR$160,請求Data!$AP$10-請求Data!$D$10,FALSE))</f>
        <v/>
      </c>
      <c r="M129" s="607" t="str">
        <f t="shared" si="20"/>
        <v/>
      </c>
      <c r="N129" s="607" t="str">
        <f t="shared" si="21"/>
        <v/>
      </c>
      <c r="O129" s="274" t="str">
        <f t="shared" si="26"/>
        <v/>
      </c>
      <c r="P129" s="274" t="str">
        <f t="shared" si="27"/>
        <v/>
      </c>
      <c r="Q129" s="274" t="str">
        <f t="shared" si="28"/>
        <v/>
      </c>
      <c r="R129" s="274" t="str">
        <f t="shared" si="29"/>
        <v/>
      </c>
      <c r="S129" s="607" t="str">
        <f t="shared" si="30"/>
        <v/>
      </c>
      <c r="T129" s="607" t="str">
        <f t="shared" si="31"/>
        <v/>
      </c>
      <c r="U129" s="607" t="str">
        <f t="shared" si="22"/>
        <v/>
      </c>
      <c r="V129" s="162" t="str">
        <f t="shared" si="23"/>
        <v/>
      </c>
      <c r="W129" s="609" t="str">
        <f>IF($G129="","",VLOOKUP($G129,請求Data!$E$11:$AR$160,請求Data!$AC$10-請求Data!$D$10,FALSE))</f>
        <v/>
      </c>
      <c r="X129" s="607" t="str">
        <f t="shared" si="24"/>
        <v/>
      </c>
      <c r="Y129" s="608" t="str">
        <f t="shared" si="25"/>
        <v/>
      </c>
    </row>
    <row r="130" spans="1:25">
      <c r="A130" s="103">
        <v>124</v>
      </c>
      <c r="B130" s="247" t="str">
        <f>IF(LEFT($G130,1)="1",IF($H129=$H130,MAX($B$6:$B129)+1,IF(MAX($B$6:$B129)&lt;=0,1,MAX($B$6:$B129)+3)),"")</f>
        <v/>
      </c>
      <c r="C130" s="247" t="str">
        <f>IF(LEFT($G130,1)="2",IF($H129=$H130,MAX($C$6:$C129)+1,IF(MAX($C$6:$C129)&lt;=0,1,MAX($C$6:$C129)+3)),"")</f>
        <v/>
      </c>
      <c r="D130" s="247" t="str">
        <f>IF(LEFT($G130,1)="3",IF($H129=$H130,MAX($D$6:$D129)+1,IF(MAX($D$6:$D129)&lt;=0,1,MAX($D$6:$D129)+3)),"")</f>
        <v/>
      </c>
      <c r="E130" s="247" t="str">
        <f>IF(LEFT($G130,1)="4",IF($H129=$H130,MAX($E$6:$E129)+1,IF(MAX($E$6:$E129)&lt;=0,1,MAX($E$6:$E129)+3)),"")</f>
        <v/>
      </c>
      <c r="F130" s="477" t="str">
        <f t="shared" si="19"/>
        <v/>
      </c>
      <c r="G130" s="409" t="str">
        <f>IF(ISERROR(SMALL(請求Data!$E$11:$E$160,$A130)),"",SMALL(請求Data!$E$11:$E$160,$A130))</f>
        <v/>
      </c>
      <c r="H130" s="606" t="str">
        <f>IF($G130="","",VLOOKUP($G130,請求Data!$E$11:$AR$160,4,FALSE))</f>
        <v/>
      </c>
      <c r="I130" s="606" t="str">
        <f>IF($G130="","",VLOOKUP($G130,請求Data!$E$11:$AR$160,5,FALSE))</f>
        <v/>
      </c>
      <c r="J130" s="609" t="str">
        <f>IF($G130="","",IF(VLOOKUP($G130,請求Data!$E$11:$AR$160,請求Data!$Y$10-請求Data!$D$10,FALSE)="",1,0))</f>
        <v/>
      </c>
      <c r="K130" s="609" t="str">
        <f>IF($G130="","",IF(VLOOKUP($G130,請求Data!$E$11:$AR$160,請求Data!$Z$10-請求Data!$D$10,FALSE)="*",1,0))</f>
        <v/>
      </c>
      <c r="L130" s="607" t="str">
        <f>IF($G130="","",VLOOKUP($G130,請求Data!$E$11:$AR$160,請求Data!$AP$10-請求Data!$D$10,FALSE))</f>
        <v/>
      </c>
      <c r="M130" s="607" t="str">
        <f t="shared" si="20"/>
        <v/>
      </c>
      <c r="N130" s="607" t="str">
        <f t="shared" si="21"/>
        <v/>
      </c>
      <c r="O130" s="274" t="str">
        <f t="shared" si="26"/>
        <v/>
      </c>
      <c r="P130" s="274" t="str">
        <f t="shared" si="27"/>
        <v/>
      </c>
      <c r="Q130" s="274" t="str">
        <f t="shared" si="28"/>
        <v/>
      </c>
      <c r="R130" s="274" t="str">
        <f t="shared" si="29"/>
        <v/>
      </c>
      <c r="S130" s="607" t="str">
        <f t="shared" si="30"/>
        <v/>
      </c>
      <c r="T130" s="607" t="str">
        <f t="shared" si="31"/>
        <v/>
      </c>
      <c r="U130" s="607" t="str">
        <f t="shared" si="22"/>
        <v/>
      </c>
      <c r="V130" s="162" t="str">
        <f t="shared" si="23"/>
        <v/>
      </c>
      <c r="W130" s="609" t="str">
        <f>IF($G130="","",VLOOKUP($G130,請求Data!$E$11:$AR$160,請求Data!$AC$10-請求Data!$D$10,FALSE))</f>
        <v/>
      </c>
      <c r="X130" s="607" t="str">
        <f t="shared" si="24"/>
        <v/>
      </c>
      <c r="Y130" s="608" t="str">
        <f t="shared" si="25"/>
        <v/>
      </c>
    </row>
    <row r="131" spans="1:25">
      <c r="A131" s="103">
        <v>125</v>
      </c>
      <c r="B131" s="247" t="str">
        <f>IF(LEFT($G131,1)="1",IF($H130=$H131,MAX($B$6:$B130)+1,IF(MAX($B$6:$B130)&lt;=0,1,MAX($B$6:$B130)+3)),"")</f>
        <v/>
      </c>
      <c r="C131" s="247" t="str">
        <f>IF(LEFT($G131,1)="2",IF($H130=$H131,MAX($C$6:$C130)+1,IF(MAX($C$6:$C130)&lt;=0,1,MAX($C$6:$C130)+3)),"")</f>
        <v/>
      </c>
      <c r="D131" s="247" t="str">
        <f>IF(LEFT($G131,1)="3",IF($H130=$H131,MAX($D$6:$D130)+1,IF(MAX($D$6:$D130)&lt;=0,1,MAX($D$6:$D130)+3)),"")</f>
        <v/>
      </c>
      <c r="E131" s="247" t="str">
        <f>IF(LEFT($G131,1)="4",IF($H130=$H131,MAX($E$6:$E130)+1,IF(MAX($E$6:$E130)&lt;=0,1,MAX($E$6:$E130)+3)),"")</f>
        <v/>
      </c>
      <c r="F131" s="477" t="str">
        <f t="shared" si="19"/>
        <v/>
      </c>
      <c r="G131" s="409" t="str">
        <f>IF(ISERROR(SMALL(請求Data!$E$11:$E$160,$A131)),"",SMALL(請求Data!$E$11:$E$160,$A131))</f>
        <v/>
      </c>
      <c r="H131" s="606" t="str">
        <f>IF($G131="","",VLOOKUP($G131,請求Data!$E$11:$AR$160,4,FALSE))</f>
        <v/>
      </c>
      <c r="I131" s="606" t="str">
        <f>IF($G131="","",VLOOKUP($G131,請求Data!$E$11:$AR$160,5,FALSE))</f>
        <v/>
      </c>
      <c r="J131" s="609" t="str">
        <f>IF($G131="","",IF(VLOOKUP($G131,請求Data!$E$11:$AR$160,請求Data!$Y$10-請求Data!$D$10,FALSE)="",1,0))</f>
        <v/>
      </c>
      <c r="K131" s="609" t="str">
        <f>IF($G131="","",IF(VLOOKUP($G131,請求Data!$E$11:$AR$160,請求Data!$Z$10-請求Data!$D$10,FALSE)="*",1,0))</f>
        <v/>
      </c>
      <c r="L131" s="607" t="str">
        <f>IF($G131="","",VLOOKUP($G131,請求Data!$E$11:$AR$160,請求Data!$AP$10-請求Data!$D$10,FALSE))</f>
        <v/>
      </c>
      <c r="M131" s="607" t="str">
        <f t="shared" si="20"/>
        <v/>
      </c>
      <c r="N131" s="607" t="str">
        <f t="shared" si="21"/>
        <v/>
      </c>
      <c r="O131" s="274" t="str">
        <f t="shared" si="26"/>
        <v/>
      </c>
      <c r="P131" s="274" t="str">
        <f t="shared" si="27"/>
        <v/>
      </c>
      <c r="Q131" s="274" t="str">
        <f t="shared" si="28"/>
        <v/>
      </c>
      <c r="R131" s="274" t="str">
        <f t="shared" si="29"/>
        <v/>
      </c>
      <c r="S131" s="607" t="str">
        <f t="shared" si="30"/>
        <v/>
      </c>
      <c r="T131" s="607" t="str">
        <f t="shared" si="31"/>
        <v/>
      </c>
      <c r="U131" s="607" t="str">
        <f t="shared" si="22"/>
        <v/>
      </c>
      <c r="V131" s="162" t="str">
        <f t="shared" si="23"/>
        <v/>
      </c>
      <c r="W131" s="609" t="str">
        <f>IF($G131="","",VLOOKUP($G131,請求Data!$E$11:$AR$160,請求Data!$AC$10-請求Data!$D$10,FALSE))</f>
        <v/>
      </c>
      <c r="X131" s="607" t="str">
        <f t="shared" si="24"/>
        <v/>
      </c>
      <c r="Y131" s="608" t="str">
        <f t="shared" si="25"/>
        <v/>
      </c>
    </row>
    <row r="132" spans="1:25">
      <c r="A132" s="103">
        <v>126</v>
      </c>
      <c r="B132" s="247" t="str">
        <f>IF(LEFT($G132,1)="1",IF($H131=$H132,MAX($B$6:$B131)+1,IF(MAX($B$6:$B131)&lt;=0,1,MAX($B$6:$B131)+3)),"")</f>
        <v/>
      </c>
      <c r="C132" s="247" t="str">
        <f>IF(LEFT($G132,1)="2",IF($H131=$H132,MAX($C$6:$C131)+1,IF(MAX($C$6:$C131)&lt;=0,1,MAX($C$6:$C131)+3)),"")</f>
        <v/>
      </c>
      <c r="D132" s="247" t="str">
        <f>IF(LEFT($G132,1)="3",IF($H131=$H132,MAX($D$6:$D131)+1,IF(MAX($D$6:$D131)&lt;=0,1,MAX($D$6:$D131)+3)),"")</f>
        <v/>
      </c>
      <c r="E132" s="247" t="str">
        <f>IF(LEFT($G132,1)="4",IF($H131=$H132,MAX($E$6:$E131)+1,IF(MAX($E$6:$E131)&lt;=0,1,MAX($E$6:$E131)+3)),"")</f>
        <v/>
      </c>
      <c r="F132" s="477" t="str">
        <f t="shared" si="19"/>
        <v/>
      </c>
      <c r="G132" s="409" t="str">
        <f>IF(ISERROR(SMALL(請求Data!$E$11:$E$160,$A132)),"",SMALL(請求Data!$E$11:$E$160,$A132))</f>
        <v/>
      </c>
      <c r="H132" s="606" t="str">
        <f>IF($G132="","",VLOOKUP($G132,請求Data!$E$11:$AR$160,4,FALSE))</f>
        <v/>
      </c>
      <c r="I132" s="606" t="str">
        <f>IF($G132="","",VLOOKUP($G132,請求Data!$E$11:$AR$160,5,FALSE))</f>
        <v/>
      </c>
      <c r="J132" s="609" t="str">
        <f>IF($G132="","",IF(VLOOKUP($G132,請求Data!$E$11:$AR$160,請求Data!$Y$10-請求Data!$D$10,FALSE)="",1,0))</f>
        <v/>
      </c>
      <c r="K132" s="609" t="str">
        <f>IF($G132="","",IF(VLOOKUP($G132,請求Data!$E$11:$AR$160,請求Data!$Z$10-請求Data!$D$10,FALSE)="*",1,0))</f>
        <v/>
      </c>
      <c r="L132" s="607" t="str">
        <f>IF($G132="","",VLOOKUP($G132,請求Data!$E$11:$AR$160,請求Data!$AP$10-請求Data!$D$10,FALSE))</f>
        <v/>
      </c>
      <c r="M132" s="607" t="str">
        <f t="shared" si="20"/>
        <v/>
      </c>
      <c r="N132" s="607" t="str">
        <f t="shared" si="21"/>
        <v/>
      </c>
      <c r="O132" s="274" t="str">
        <f t="shared" si="26"/>
        <v/>
      </c>
      <c r="P132" s="274" t="str">
        <f t="shared" si="27"/>
        <v/>
      </c>
      <c r="Q132" s="274" t="str">
        <f t="shared" si="28"/>
        <v/>
      </c>
      <c r="R132" s="274" t="str">
        <f t="shared" si="29"/>
        <v/>
      </c>
      <c r="S132" s="607" t="str">
        <f t="shared" si="30"/>
        <v/>
      </c>
      <c r="T132" s="607" t="str">
        <f t="shared" si="31"/>
        <v/>
      </c>
      <c r="U132" s="607" t="str">
        <f t="shared" si="22"/>
        <v/>
      </c>
      <c r="V132" s="162" t="str">
        <f t="shared" si="23"/>
        <v/>
      </c>
      <c r="W132" s="609" t="str">
        <f>IF($G132="","",VLOOKUP($G132,請求Data!$E$11:$AR$160,請求Data!$AC$10-請求Data!$D$10,FALSE))</f>
        <v/>
      </c>
      <c r="X132" s="607" t="str">
        <f t="shared" si="24"/>
        <v/>
      </c>
      <c r="Y132" s="608" t="str">
        <f t="shared" si="25"/>
        <v/>
      </c>
    </row>
    <row r="133" spans="1:25" ht="13.8" thickBot="1">
      <c r="A133" s="103">
        <v>127</v>
      </c>
      <c r="B133" s="247" t="str">
        <f>IF(LEFT($G133,1)="1",IF($H132=$H133,MAX($B$6:$B132)+1,IF(MAX($B$6:$B132)&lt;=0,1,MAX($B$6:$B132)+3)),"")</f>
        <v/>
      </c>
      <c r="C133" s="247" t="str">
        <f>IF(LEFT($G133,1)="2",IF($H132=$H133,MAX($C$6:$C132)+1,IF(MAX($C$6:$C132)&lt;=0,1,MAX($C$6:$C132)+3)),"")</f>
        <v/>
      </c>
      <c r="D133" s="247" t="str">
        <f>IF(LEFT($G133,1)="3",IF($H132=$H133,MAX($D$6:$D132)+1,IF(MAX($D$6:$D132)&lt;=0,1,MAX($D$6:$D132)+3)),"")</f>
        <v/>
      </c>
      <c r="E133" s="247" t="str">
        <f>IF(LEFT($G133,1)="4",IF($H132=$H133,MAX($E$6:$E132)+1,IF(MAX($E$6:$E132)&lt;=0,1,MAX($E$6:$E132)+3)),"")</f>
        <v/>
      </c>
      <c r="F133" s="477" t="str">
        <f t="shared" si="19"/>
        <v/>
      </c>
      <c r="G133" s="410" t="str">
        <f>IF(ISERROR(SMALL(請求Data!$E$11:$E$160,$A133)),"",SMALL(請求Data!$E$11:$E$160,$A133))</f>
        <v/>
      </c>
      <c r="H133" s="606" t="str">
        <f>IF($G133="","",VLOOKUP($G133,請求Data!$E$11:$AR$160,4,FALSE))</f>
        <v/>
      </c>
      <c r="I133" s="606" t="str">
        <f>IF($G133="","",VLOOKUP($G133,請求Data!$E$11:$AR$160,5,FALSE))</f>
        <v/>
      </c>
      <c r="J133" s="609" t="str">
        <f>IF($G133="","",IF(VLOOKUP($G133,請求Data!$E$11:$AR$160,請求Data!$Y$10-請求Data!$D$10,FALSE)="",1,0))</f>
        <v/>
      </c>
      <c r="K133" s="609" t="str">
        <f>IF($G133="","",IF(VLOOKUP($G133,請求Data!$E$11:$AR$160,請求Data!$Z$10-請求Data!$D$10,FALSE)="*",1,0))</f>
        <v/>
      </c>
      <c r="L133" s="607" t="str">
        <f>IF($G133="","",VLOOKUP($G133,請求Data!$E$11:$AR$160,請求Data!$AP$10-請求Data!$D$10,FALSE))</f>
        <v/>
      </c>
      <c r="M133" s="607" t="str">
        <f t="shared" si="20"/>
        <v/>
      </c>
      <c r="N133" s="607" t="str">
        <f t="shared" si="21"/>
        <v/>
      </c>
      <c r="O133" s="274" t="str">
        <f t="shared" si="26"/>
        <v/>
      </c>
      <c r="P133" s="274" t="str">
        <f t="shared" si="27"/>
        <v/>
      </c>
      <c r="Q133" s="274" t="str">
        <f t="shared" si="28"/>
        <v/>
      </c>
      <c r="R133" s="274" t="str">
        <f t="shared" si="29"/>
        <v/>
      </c>
      <c r="S133" s="607" t="str">
        <f t="shared" si="30"/>
        <v/>
      </c>
      <c r="T133" s="607" t="str">
        <f t="shared" si="31"/>
        <v/>
      </c>
      <c r="U133" s="607" t="str">
        <f t="shared" si="22"/>
        <v/>
      </c>
      <c r="V133" s="168" t="str">
        <f t="shared" si="23"/>
        <v/>
      </c>
      <c r="W133" s="609" t="str">
        <f>IF($G133="","",VLOOKUP($G133,請求Data!$E$11:$AR$160,請求Data!$AC$10-請求Data!$D$10,FALSE))</f>
        <v/>
      </c>
      <c r="X133" s="607" t="str">
        <f t="shared" si="24"/>
        <v/>
      </c>
      <c r="Y133" s="608" t="str">
        <f t="shared" si="25"/>
        <v/>
      </c>
    </row>
    <row r="134" spans="1:25" s="7" customFormat="1" ht="13.8" thickBot="1">
      <c r="F134" s="480">
        <v>9</v>
      </c>
      <c r="G134" s="169" t="s">
        <v>423</v>
      </c>
      <c r="H134" s="170"/>
      <c r="I134" s="170"/>
      <c r="J134" s="170"/>
      <c r="K134" s="170"/>
      <c r="L134" s="171">
        <f>SUM(L$7:L$133)</f>
        <v>61534276.489999995</v>
      </c>
      <c r="M134" s="171">
        <f>SUM(M$7:M$133)</f>
        <v>4798262.080000001</v>
      </c>
      <c r="N134" s="171">
        <f>SUM(N$7:N$133)</f>
        <v>66332538.57</v>
      </c>
      <c r="O134" s="170"/>
      <c r="P134" s="170"/>
      <c r="Q134" s="170"/>
      <c r="R134" s="170"/>
      <c r="S134" s="171"/>
      <c r="T134" s="171"/>
      <c r="U134" s="171"/>
      <c r="V134" s="170"/>
      <c r="W134" s="170"/>
      <c r="X134" s="171">
        <f>SUM(X$7:X$133)</f>
        <v>4798262.080000001</v>
      </c>
      <c r="Y134" s="172">
        <f>SUM(Y$7:Y$133)</f>
        <v>5997829.3499999987</v>
      </c>
    </row>
    <row r="135" spans="1:25">
      <c r="F135" s="480">
        <v>9</v>
      </c>
      <c r="L135" s="164"/>
      <c r="M135" s="164"/>
      <c r="N135" s="164"/>
      <c r="S135" s="195"/>
      <c r="T135" s="195"/>
      <c r="U135" s="195"/>
      <c r="V135" s="164"/>
      <c r="W135" s="283"/>
      <c r="X135" s="195"/>
      <c r="Y135" s="195"/>
    </row>
    <row r="136" spans="1:25">
      <c r="F136" s="64"/>
    </row>
  </sheetData>
  <autoFilter ref="A6:Y135" xr:uid="{00000000-0009-0000-0000-000008000000}"/>
  <mergeCells count="11">
    <mergeCell ref="Y3:Y4"/>
    <mergeCell ref="H3:H4"/>
    <mergeCell ref="J3:K3"/>
    <mergeCell ref="L3:N3"/>
    <mergeCell ref="O3:U3"/>
    <mergeCell ref="W3:W4"/>
    <mergeCell ref="U2:W2"/>
    <mergeCell ref="G3:G4"/>
    <mergeCell ref="I3:I4"/>
    <mergeCell ref="V3:V4"/>
    <mergeCell ref="X3:X4"/>
  </mergeCells>
  <phoneticPr fontId="3"/>
  <conditionalFormatting sqref="X7:Y133 L7:N133 S7:U133">
    <cfRule type="expression" dxfId="11" priority="130">
      <formula>$W7="HK$"</formula>
    </cfRule>
    <cfRule type="expression" dxfId="10" priority="131">
      <formula>$W7="$"</formula>
    </cfRule>
    <cfRule type="expression" dxfId="9" priority="132">
      <formula>$W7="\"</formula>
    </cfRule>
  </conditionalFormatting>
  <pageMargins left="0.78740157480314965" right="0" top="0.59055118110236227" bottom="0.19685039370078741" header="0.51181102362204722" footer="0.51181102362204722"/>
  <pageSetup paperSize="9" scale="75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/>
  </sheetPr>
  <dimension ref="A1:P386"/>
  <sheetViews>
    <sheetView zoomScale="80" zoomScaleNormal="80" zoomScaleSheetLayoutView="80" workbookViewId="0">
      <pane ySplit="9" topLeftCell="A19" activePane="bottomLeft" state="frozen"/>
      <selection pane="bottomLeft" activeCell="D16" sqref="D16:E16"/>
    </sheetView>
  </sheetViews>
  <sheetFormatPr defaultRowHeight="13.2" outlineLevelRow="1" outlineLevelCol="1"/>
  <cols>
    <col min="1" max="1" width="4.6640625" customWidth="1"/>
    <col min="2" max="2" width="3.44140625" style="145" bestFit="1" customWidth="1"/>
    <col min="3" max="3" width="3.77734375" style="64" hidden="1" customWidth="1" outlineLevel="1"/>
    <col min="4" max="4" width="23.6640625" customWidth="1" collapsed="1"/>
    <col min="5" max="5" width="22.6640625" style="71" customWidth="1"/>
    <col min="6" max="6" width="3.6640625" style="71" customWidth="1"/>
    <col min="7" max="7" width="21.77734375" style="64" bestFit="1" customWidth="1"/>
    <col min="8" max="8" width="14.6640625" style="2" customWidth="1"/>
    <col min="9" max="9" width="13.6640625" style="2" customWidth="1"/>
    <col min="10" max="10" width="14.6640625" style="2" customWidth="1"/>
    <col min="11" max="11" width="15.6640625" style="92" customWidth="1"/>
    <col min="12" max="12" width="4.6640625" customWidth="1"/>
  </cols>
  <sheetData>
    <row r="1" spans="1:12">
      <c r="B1" s="239"/>
      <c r="D1" s="93" t="str">
        <f ca="1">RIGHT(CELL("filename",D1),LEN(CELL("filename",D1))-FIND("]",CELL("filename",D1)))</f>
        <v>請求額集計表</v>
      </c>
      <c r="E1" s="146"/>
      <c r="F1" s="52"/>
      <c r="G1" s="16" t="s">
        <v>82</v>
      </c>
      <c r="I1" s="479"/>
      <c r="J1" t="s">
        <v>456</v>
      </c>
      <c r="L1" s="342" t="s">
        <v>548</v>
      </c>
    </row>
    <row r="2" spans="1:12">
      <c r="B2" s="239"/>
      <c r="E2" s="146"/>
      <c r="F2" s="53"/>
      <c r="G2" s="16" t="s">
        <v>83</v>
      </c>
      <c r="K2" s="238"/>
      <c r="L2" s="472" t="s">
        <v>695</v>
      </c>
    </row>
    <row r="3" spans="1:12" ht="20.100000000000001" customHeight="1">
      <c r="D3" s="847">
        <f>請求Data!$J$4</f>
        <v>43190</v>
      </c>
      <c r="E3" s="847"/>
      <c r="F3" s="847"/>
      <c r="G3" s="847"/>
      <c r="H3" s="847"/>
      <c r="I3" s="847"/>
      <c r="J3" s="847"/>
      <c r="K3" s="847"/>
    </row>
    <row r="4" spans="1:12" ht="20.100000000000001" customHeight="1">
      <c r="D4" s="851">
        <f>$D3+15</f>
        <v>43205</v>
      </c>
      <c r="E4" s="852"/>
      <c r="F4" s="852"/>
      <c r="G4" s="852"/>
      <c r="H4" s="852"/>
      <c r="I4" s="852"/>
      <c r="J4" s="852"/>
    </row>
    <row r="5" spans="1:12" s="348" customFormat="1">
      <c r="B5" s="388"/>
      <c r="C5" s="415"/>
      <c r="E5" s="419"/>
      <c r="F5" s="419"/>
      <c r="G5" s="415"/>
      <c r="K5" s="349"/>
    </row>
    <row r="6" spans="1:12" s="388" customFormat="1" ht="12.75" hidden="1" customHeight="1" outlineLevel="1">
      <c r="A6" s="388" t="s">
        <v>123</v>
      </c>
      <c r="B6" s="388" t="s">
        <v>96</v>
      </c>
      <c r="C6" s="390" t="s">
        <v>426</v>
      </c>
      <c r="D6" s="389" t="s">
        <v>97</v>
      </c>
      <c r="E6" s="390" t="s">
        <v>81</v>
      </c>
      <c r="F6" s="388" t="s">
        <v>98</v>
      </c>
      <c r="G6" s="388" t="s">
        <v>124</v>
      </c>
      <c r="H6" s="388" t="s">
        <v>125</v>
      </c>
      <c r="I6" s="388" t="s">
        <v>427</v>
      </c>
      <c r="J6" s="388" t="s">
        <v>428</v>
      </c>
      <c r="K6" s="388" t="s">
        <v>462</v>
      </c>
    </row>
    <row r="7" spans="1:12" s="388" customFormat="1" ht="12.75" hidden="1" customHeight="1" outlineLevel="1">
      <c r="A7" s="388">
        <v>1</v>
      </c>
      <c r="B7" s="388">
        <v>2</v>
      </c>
      <c r="C7" s="390">
        <v>3</v>
      </c>
      <c r="D7" s="388">
        <v>4</v>
      </c>
      <c r="E7" s="388">
        <v>5</v>
      </c>
      <c r="F7" s="388">
        <v>6</v>
      </c>
      <c r="G7" s="388">
        <v>7</v>
      </c>
      <c r="H7" s="388">
        <v>8</v>
      </c>
      <c r="I7" s="388">
        <v>9</v>
      </c>
      <c r="J7" s="388">
        <v>10</v>
      </c>
      <c r="K7" s="388">
        <v>11</v>
      </c>
    </row>
    <row r="8" spans="1:12" s="388" customFormat="1" collapsed="1">
      <c r="A8" s="583"/>
      <c r="C8" s="390"/>
      <c r="D8" s="850" t="s">
        <v>142</v>
      </c>
      <c r="E8" s="850"/>
      <c r="G8" s="390" t="s">
        <v>9</v>
      </c>
      <c r="H8" s="388" t="s">
        <v>126</v>
      </c>
      <c r="I8" s="388" t="s">
        <v>127</v>
      </c>
      <c r="J8" s="388" t="s">
        <v>128</v>
      </c>
      <c r="K8" s="369"/>
    </row>
    <row r="9" spans="1:12" s="388" customFormat="1" ht="12.75" customHeight="1">
      <c r="A9" s="583"/>
      <c r="C9" s="390"/>
      <c r="D9" s="860" t="s">
        <v>625</v>
      </c>
      <c r="E9" s="860"/>
      <c r="F9" s="389"/>
      <c r="G9" s="369"/>
      <c r="H9" s="388" t="s">
        <v>135</v>
      </c>
      <c r="I9" s="388" t="s">
        <v>136</v>
      </c>
      <c r="J9" s="388" t="s">
        <v>137</v>
      </c>
      <c r="K9" s="611"/>
    </row>
    <row r="10" spans="1:12">
      <c r="A10" s="481">
        <v>1</v>
      </c>
      <c r="B10" s="477">
        <f>IF($J10="",IF($J9="","",1),1)</f>
        <v>1</v>
      </c>
      <c r="D10" s="844" t="str">
        <f>IF(OR($G10="",$G10="小計"),"",INDEX(請求Data!$T$11:$T$160,MATCH($G10,請求Data!$I$11:$I$160,0))&amp;"")</f>
        <v xml:space="preserve">株式会社 バンダイ　3100／ベンダー事業部 </v>
      </c>
      <c r="E10" s="844"/>
      <c r="F10" s="75"/>
      <c r="G10" s="147" t="str">
        <f>IF(ISNA(MATCH($A10,Sheet1!$B$7:$B$133,0)),IF($A10&gt;MAX(Sheet1!$O$7:$O$133),"",IF($G9="小計","","小計")),IF($A10&gt;MAX(Sheet1!$B$7:$B$133),"",VLOOKUP($A10,Sheet1!$B$7:$U$133,Sheet1!$I$5-Sheet1!$A$5,FALSE)))</f>
        <v>39-B07001</v>
      </c>
      <c r="H10" s="243">
        <f>IF($G10="","",IF($G10="小計",VLOOKUP($A10,Sheet1!$O$7:$U$133,Sheet1!$S$5-Sheet1!$N$5,FALSE),VLOOKUP($G10,Sheet1!$I$7:$N$133,Sheet1!$L$5-Sheet1!$H$5,FALSE)))</f>
        <v>500000</v>
      </c>
      <c r="I10" s="243">
        <f>IF($G10="","",IF($G10="小計",VLOOKUP($A10,Sheet1!$O$7:$U$133,Sheet1!$T$5-Sheet1!$N$5,FALSE),VLOOKUP($G10,Sheet1!$I$7:$N$133,Sheet1!$M$5-Sheet1!$H$5,FALSE)))</f>
        <v>0</v>
      </c>
      <c r="J10" s="243">
        <f>IF($G10="","",IF($G10="小計",VLOOKUP($A10,Sheet1!$O$7:$U$133,Sheet1!$U$5-Sheet1!$N$5,FALSE),VLOOKUP($G10,Sheet1!$I$7:$N$133,Sheet1!$N$5-Sheet1!$H$5,FALSE)))</f>
        <v>500000</v>
      </c>
      <c r="K10" s="610" t="str">
        <f>IF(OR($G10="",$G10="小計"),"",IF(VLOOKUP($G10,請求Data!$I$11:$AR$160,請求Data!$AR$10-請求Data!$H$10,FALSE)="","",VLOOKUP($G10,請求Data!$I$11:$AR$160,請求Data!$AR$10-請求Data!$H$10,FALSE)))</f>
        <v/>
      </c>
    </row>
    <row r="11" spans="1:12">
      <c r="A11" s="481">
        <v>2</v>
      </c>
      <c r="B11" s="477">
        <f t="shared" ref="B11:B74" si="0">IF($J11="",IF($J10="","",1),1)</f>
        <v>1</v>
      </c>
      <c r="D11" s="844" t="str">
        <f>IF(OR($G11="",$G11="小計"),"",INDEX(請求Data!$T$11:$T$160,MATCH($G11,請求Data!$I$11:$I$160,0))&amp;"")</f>
        <v xml:space="preserve">株式会社 バンダイ　3100／ベンダー事業部 </v>
      </c>
      <c r="E11" s="844"/>
      <c r="F11" s="75"/>
      <c r="G11" s="147" t="str">
        <f>IF(ISNA(MATCH($A11,Sheet1!$B$7:$B$133,0)),IF($A11&gt;MAX(Sheet1!$O$7:$O$133),"",IF($G10="小計","","小計")),IF($A11&gt;MAX(Sheet1!$B$7:$B$133),"",VLOOKUP($A11,Sheet1!$B$7:$U$133,Sheet1!$I$5-Sheet1!$A$5,FALSE)))</f>
        <v>39-B07002</v>
      </c>
      <c r="H11" s="243">
        <f>IF($G11="","",IF($G11="小計",VLOOKUP($A11,Sheet1!$O$7:$U$133,Sheet1!$S$5-Sheet1!$N$5,FALSE),VLOOKUP($G11,Sheet1!$I$7:$N$133,Sheet1!$L$5-Sheet1!$H$5,FALSE)))</f>
        <v>9099000</v>
      </c>
      <c r="I11" s="243">
        <f>IF($G11="","",IF($G11="小計",VLOOKUP($A11,Sheet1!$O$7:$U$133,Sheet1!$T$5-Sheet1!$N$5,FALSE),VLOOKUP($G11,Sheet1!$I$7:$N$133,Sheet1!$M$5-Sheet1!$H$5,FALSE)))</f>
        <v>727920</v>
      </c>
      <c r="J11" s="243">
        <f>IF($G11="","",IF($G11="小計",VLOOKUP($A11,Sheet1!$O$7:$U$133,Sheet1!$U$5-Sheet1!$N$5,FALSE),VLOOKUP($G11,Sheet1!$I$7:$N$133,Sheet1!$N$5-Sheet1!$H$5,FALSE)))</f>
        <v>9826920</v>
      </c>
      <c r="K11" s="610" t="str">
        <f>IF(OR($G11="",$G11="小計"),"",IF(VLOOKUP($G11,請求Data!$I$11:$AR$160,請求Data!$AR$10-請求Data!$H$10,FALSE)="","",VLOOKUP($G11,請求Data!$I$11:$AR$160,請求Data!$AR$10-請求Data!$H$10,FALSE)))</f>
        <v/>
      </c>
    </row>
    <row r="12" spans="1:12">
      <c r="A12" s="481">
        <v>3</v>
      </c>
      <c r="B12" s="477">
        <f t="shared" si="0"/>
        <v>1</v>
      </c>
      <c r="D12" s="844" t="str">
        <f>IF(OR($G12="",$G12="小計"),"",INDEX(請求Data!$T$11:$T$160,MATCH($G12,請求Data!$I$11:$I$160,0))&amp;"")</f>
        <v xml:space="preserve">株式会社 バンダイ　3100／ベンダー事業部 </v>
      </c>
      <c r="E12" s="844"/>
      <c r="F12" s="75"/>
      <c r="G12" s="147" t="str">
        <f>IF(ISNA(MATCH($A12,Sheet1!$B$7:$B$133,0)),IF($A12&gt;MAX(Sheet1!$O$7:$O$133),"",IF($G11="小計","","小計")),IF($A12&gt;MAX(Sheet1!$B$7:$B$133),"",VLOOKUP($A12,Sheet1!$B$7:$U$133,Sheet1!$I$5-Sheet1!$A$5,FALSE)))</f>
        <v>39-B07008</v>
      </c>
      <c r="H12" s="243">
        <f>IF($G12="","",IF($G12="小計",VLOOKUP($A12,Sheet1!$O$7:$U$133,Sheet1!$S$5-Sheet1!$N$5,FALSE),VLOOKUP($G12,Sheet1!$I$7:$N$133,Sheet1!$L$5-Sheet1!$H$5,FALSE)))</f>
        <v>6219276</v>
      </c>
      <c r="I12" s="243">
        <f>IF($G12="","",IF($G12="小計",VLOOKUP($A12,Sheet1!$O$7:$U$133,Sheet1!$T$5-Sheet1!$N$5,FALSE),VLOOKUP($G12,Sheet1!$I$7:$N$133,Sheet1!$M$5-Sheet1!$H$5,FALSE)))</f>
        <v>497542</v>
      </c>
      <c r="J12" s="243">
        <f>IF($G12="","",IF($G12="小計",VLOOKUP($A12,Sheet1!$O$7:$U$133,Sheet1!$U$5-Sheet1!$N$5,FALSE),VLOOKUP($G12,Sheet1!$I$7:$N$133,Sheet1!$N$5-Sheet1!$H$5,FALSE)))</f>
        <v>6716818</v>
      </c>
      <c r="K12" s="610" t="str">
        <f>IF(OR($G12="",$G12="小計"),"",IF(VLOOKUP($G12,請求Data!$I$11:$AR$160,請求Data!$AR$10-請求Data!$H$10,FALSE)="","",VLOOKUP($G12,請求Data!$I$11:$AR$160,請求Data!$AR$10-請求Data!$H$10,FALSE)))</f>
        <v/>
      </c>
    </row>
    <row r="13" spans="1:12">
      <c r="A13" s="481">
        <v>4</v>
      </c>
      <c r="B13" s="477">
        <f t="shared" si="0"/>
        <v>1</v>
      </c>
      <c r="D13" s="844" t="str">
        <f>IF(OR($G13="",$G13="小計"),"",INDEX(請求Data!$T$11:$T$160,MATCH($G13,請求Data!$I$11:$I$160,0))&amp;"")</f>
        <v xml:space="preserve">株式会社 バンダイ　3100／ベンダー事業部 </v>
      </c>
      <c r="E13" s="844"/>
      <c r="F13" s="75"/>
      <c r="G13" s="147" t="str">
        <f>IF(ISNA(MATCH($A13,Sheet1!$B$7:$B$133,0)),IF($A13&gt;MAX(Sheet1!$O$7:$O$133),"",IF($G12="小計","","小計")),IF($A13&gt;MAX(Sheet1!$B$7:$B$133),"",VLOOKUP($A13,Sheet1!$B$7:$U$133,Sheet1!$I$5-Sheet1!$A$5,FALSE)))</f>
        <v>39-B07022</v>
      </c>
      <c r="H13" s="243">
        <f>IF($G13="","",IF($G13="小計",VLOOKUP($A13,Sheet1!$O$7:$U$133,Sheet1!$S$5-Sheet1!$N$5,FALSE),VLOOKUP($G13,Sheet1!$I$7:$N$133,Sheet1!$L$5-Sheet1!$H$5,FALSE)))</f>
        <v>6311</v>
      </c>
      <c r="I13" s="243">
        <f>IF($G13="","",IF($G13="小計",VLOOKUP($A13,Sheet1!$O$7:$U$133,Sheet1!$T$5-Sheet1!$N$5,FALSE),VLOOKUP($G13,Sheet1!$I$7:$N$133,Sheet1!$M$5-Sheet1!$H$5,FALSE)))</f>
        <v>505</v>
      </c>
      <c r="J13" s="243">
        <f>IF($G13="","",IF($G13="小計",VLOOKUP($A13,Sheet1!$O$7:$U$133,Sheet1!$U$5-Sheet1!$N$5,FALSE),VLOOKUP($G13,Sheet1!$I$7:$N$133,Sheet1!$N$5-Sheet1!$H$5,FALSE)))</f>
        <v>6816</v>
      </c>
      <c r="K13" s="610" t="str">
        <f>IF(OR($G13="",$G13="小計"),"",IF(VLOOKUP($G13,請求Data!$I$11:$AR$160,請求Data!$AR$10-請求Data!$H$10,FALSE)="","",VLOOKUP($G13,請求Data!$I$11:$AR$160,請求Data!$AR$10-請求Data!$H$10,FALSE)))</f>
        <v/>
      </c>
    </row>
    <row r="14" spans="1:12">
      <c r="A14" s="481">
        <v>5</v>
      </c>
      <c r="B14" s="477">
        <f t="shared" si="0"/>
        <v>1</v>
      </c>
      <c r="D14" s="844" t="str">
        <f>IF(OR($G14="",$G14="小計"),"",INDEX(請求Data!$T$11:$T$160,MATCH($G14,請求Data!$I$11:$I$160,0))&amp;"")</f>
        <v/>
      </c>
      <c r="E14" s="844"/>
      <c r="F14" s="75"/>
      <c r="G14" s="147" t="str">
        <f>IF(ISNA(MATCH($A14,Sheet1!$B$7:$B$133,0)),IF($A14&gt;MAX(Sheet1!$O$7:$O$133),"",IF($G13="小計","","小計")),IF($A14&gt;MAX(Sheet1!$B$7:$B$133),"",VLOOKUP($A14,Sheet1!$B$7:$U$133,Sheet1!$I$5-Sheet1!$A$5,FALSE)))</f>
        <v>小計</v>
      </c>
      <c r="H14" s="243">
        <f>IF($G14="","",IF($G14="小計",VLOOKUP($A14,Sheet1!$O$7:$U$133,Sheet1!$S$5-Sheet1!$N$5,FALSE),VLOOKUP($G14,Sheet1!$I$7:$N$133,Sheet1!$L$5-Sheet1!$H$5,FALSE)))</f>
        <v>15824587</v>
      </c>
      <c r="I14" s="243">
        <f>IF($G14="","",IF($G14="小計",VLOOKUP($A14,Sheet1!$O$7:$U$133,Sheet1!$T$5-Sheet1!$N$5,FALSE),VLOOKUP($G14,Sheet1!$I$7:$N$133,Sheet1!$M$5-Sheet1!$H$5,FALSE)))</f>
        <v>1225967</v>
      </c>
      <c r="J14" s="243">
        <f>IF($G14="","",IF($G14="小計",VLOOKUP($A14,Sheet1!$O$7:$U$133,Sheet1!$U$5-Sheet1!$N$5,FALSE),VLOOKUP($G14,Sheet1!$I$7:$N$133,Sheet1!$N$5-Sheet1!$H$5,FALSE)))</f>
        <v>17050554</v>
      </c>
      <c r="K14" s="610" t="str">
        <f>IF(OR($G14="",$G14="小計"),"",IF(VLOOKUP($G14,請求Data!$I$11:$AR$160,請求Data!$AR$10-請求Data!$H$10,FALSE)="","",VLOOKUP($G14,請求Data!$I$11:$AR$160,請求Data!$AR$10-請求Data!$H$10,FALSE)))</f>
        <v/>
      </c>
    </row>
    <row r="15" spans="1:12">
      <c r="A15" s="481">
        <v>6</v>
      </c>
      <c r="B15" s="477">
        <f t="shared" si="0"/>
        <v>1</v>
      </c>
      <c r="D15" s="844" t="str">
        <f>IF(OR($G15="",$G15="小計"),"",INDEX(請求Data!$T$11:$T$160,MATCH($G15,請求Data!$I$11:$I$160,0))&amp;"")</f>
        <v/>
      </c>
      <c r="E15" s="844"/>
      <c r="F15" s="75"/>
      <c r="G15" s="147" t="str">
        <f>IF(ISNA(MATCH($A15,Sheet1!$B$7:$B$133,0)),IF($A15&gt;MAX(Sheet1!$O$7:$O$133),"",IF($G14="小計","","小計")),IF($A15&gt;MAX(Sheet1!$B$7:$B$133),"",VLOOKUP($A15,Sheet1!$B$7:$U$133,Sheet1!$I$5-Sheet1!$A$5,FALSE)))</f>
        <v/>
      </c>
      <c r="H15" s="243" t="str">
        <f>IF($G15="","",IF($G15="小計",VLOOKUP($A15,Sheet1!$O$7:$U$133,Sheet1!$S$5-Sheet1!$N$5,FALSE),VLOOKUP($G15,Sheet1!$I$7:$N$133,Sheet1!$L$5-Sheet1!$H$5,FALSE)))</f>
        <v/>
      </c>
      <c r="I15" s="243" t="str">
        <f>IF($G15="","",IF($G15="小計",VLOOKUP($A15,Sheet1!$O$7:$U$133,Sheet1!$T$5-Sheet1!$N$5,FALSE),VLOOKUP($G15,Sheet1!$I$7:$N$133,Sheet1!$M$5-Sheet1!$H$5,FALSE)))</f>
        <v/>
      </c>
      <c r="J15" s="243" t="str">
        <f>IF($G15="","",IF($G15="小計",VLOOKUP($A15,Sheet1!$O$7:$U$133,Sheet1!$U$5-Sheet1!$N$5,FALSE),VLOOKUP($G15,Sheet1!$I$7:$N$133,Sheet1!$N$5-Sheet1!$H$5,FALSE)))</f>
        <v/>
      </c>
      <c r="K15" s="610" t="str">
        <f>IF(OR($G15="",$G15="小計"),"",IF(VLOOKUP($G15,請求Data!$I$11:$AR$160,請求Data!$AR$10-請求Data!$H$10,FALSE)="","",VLOOKUP($G15,請求Data!$I$11:$AR$160,請求Data!$AR$10-請求Data!$H$10,FALSE)))</f>
        <v/>
      </c>
    </row>
    <row r="16" spans="1:12">
      <c r="A16" s="481">
        <v>7</v>
      </c>
      <c r="B16" s="477">
        <f t="shared" si="0"/>
        <v>1</v>
      </c>
      <c r="D16" s="844" t="str">
        <f>IF(OR($G16="",$G16="小計"),"",INDEX(請求Data!$T$11:$T$160,MATCH($G16,請求Data!$I$11:$I$160,0))&amp;"")</f>
        <v>株式会社 バンダイ　3200／キャンディ事業部</v>
      </c>
      <c r="E16" s="844"/>
      <c r="F16" s="75"/>
      <c r="G16" s="147" t="str">
        <f>IF(ISNA(MATCH($A16,Sheet1!$B$7:$B$133,0)),IF($A16&gt;MAX(Sheet1!$O$7:$O$133),"",IF($G15="小計","","小計")),IF($A16&gt;MAX(Sheet1!$B$7:$B$133),"",VLOOKUP($A16,Sheet1!$B$7:$U$133,Sheet1!$I$5-Sheet1!$A$5,FALSE)))</f>
        <v>39-B07005</v>
      </c>
      <c r="H16" s="243">
        <f>IF($G16="","",IF($G16="小計",VLOOKUP($A16,Sheet1!$O$7:$U$133,Sheet1!$S$5-Sheet1!$N$5,FALSE),VLOOKUP($G16,Sheet1!$I$7:$N$133,Sheet1!$L$5-Sheet1!$H$5,FALSE)))</f>
        <v>27999</v>
      </c>
      <c r="I16" s="243">
        <f>IF($G16="","",IF($G16="小計",VLOOKUP($A16,Sheet1!$O$7:$U$133,Sheet1!$T$5-Sheet1!$N$5,FALSE),VLOOKUP($G16,Sheet1!$I$7:$N$133,Sheet1!$M$5-Sheet1!$H$5,FALSE)))</f>
        <v>2240</v>
      </c>
      <c r="J16" s="243">
        <f>IF($G16="","",IF($G16="小計",VLOOKUP($A16,Sheet1!$O$7:$U$133,Sheet1!$U$5-Sheet1!$N$5,FALSE),VLOOKUP($G16,Sheet1!$I$7:$N$133,Sheet1!$N$5-Sheet1!$H$5,FALSE)))</f>
        <v>30239</v>
      </c>
      <c r="K16" s="610" t="str">
        <f>IF(OR($G16="",$G16="小計"),"",IF(VLOOKUP($G16,請求Data!$I$11:$AR$160,請求Data!$AR$10-請求Data!$H$10,FALSE)="","",VLOOKUP($G16,請求Data!$I$11:$AR$160,請求Data!$AR$10-請求Data!$H$10,FALSE)))</f>
        <v/>
      </c>
    </row>
    <row r="17" spans="1:11" ht="13.5" customHeight="1">
      <c r="A17" s="481">
        <v>8</v>
      </c>
      <c r="B17" s="477">
        <f t="shared" si="0"/>
        <v>1</v>
      </c>
      <c r="D17" s="844" t="str">
        <f>IF(OR($G17="",$G17="小計"),"",INDEX(請求Data!$T$11:$T$160,MATCH($G17,請求Data!$I$11:$I$160,0))&amp;"")</f>
        <v/>
      </c>
      <c r="E17" s="844"/>
      <c r="F17" s="75"/>
      <c r="G17" s="147" t="str">
        <f>IF(ISNA(MATCH($A17,Sheet1!$B$7:$B$133,0)),IF($A17&gt;MAX(Sheet1!$O$7:$O$133),"",IF($G16="小計","","小計")),IF($A17&gt;MAX(Sheet1!$B$7:$B$133),"",VLOOKUP($A17,Sheet1!$B$7:$U$133,Sheet1!$I$5-Sheet1!$A$5,FALSE)))</f>
        <v>小計</v>
      </c>
      <c r="H17" s="243">
        <f>IF($G17="","",IF($G17="小計",VLOOKUP($A17,Sheet1!$O$7:$U$133,Sheet1!$S$5-Sheet1!$N$5,FALSE),VLOOKUP($G17,Sheet1!$I$7:$N$133,Sheet1!$L$5-Sheet1!$H$5,FALSE)))</f>
        <v>27999</v>
      </c>
      <c r="I17" s="243">
        <f>IF($G17="","",IF($G17="小計",VLOOKUP($A17,Sheet1!$O$7:$U$133,Sheet1!$T$5-Sheet1!$N$5,FALSE),VLOOKUP($G17,Sheet1!$I$7:$N$133,Sheet1!$M$5-Sheet1!$H$5,FALSE)))</f>
        <v>2240</v>
      </c>
      <c r="J17" s="243">
        <f>IF($G17="","",IF($G17="小計",VLOOKUP($A17,Sheet1!$O$7:$U$133,Sheet1!$U$5-Sheet1!$N$5,FALSE),VLOOKUP($G17,Sheet1!$I$7:$N$133,Sheet1!$N$5-Sheet1!$H$5,FALSE)))</f>
        <v>30239</v>
      </c>
      <c r="K17" s="610" t="str">
        <f>IF(OR($G17="",$G17="小計"),"",IF(VLOOKUP($G17,請求Data!$I$11:$AR$160,請求Data!$AR$10-請求Data!$H$10,FALSE)="","",VLOOKUP($G17,請求Data!$I$11:$AR$160,請求Data!$AR$10-請求Data!$H$10,FALSE)))</f>
        <v/>
      </c>
    </row>
    <row r="18" spans="1:11" ht="13.5" customHeight="1">
      <c r="A18" s="481">
        <v>9</v>
      </c>
      <c r="B18" s="477">
        <f t="shared" si="0"/>
        <v>1</v>
      </c>
      <c r="D18" s="844" t="str">
        <f>IF(OR($G18="",$G18="小計"),"",INDEX(請求Data!$T$11:$T$160,MATCH($G18,請求Data!$I$11:$I$160,0))&amp;"")</f>
        <v/>
      </c>
      <c r="E18" s="844"/>
      <c r="F18" s="75"/>
      <c r="G18" s="147" t="str">
        <f>IF(ISNA(MATCH($A18,Sheet1!$B$7:$B$133,0)),IF($A18&gt;MAX(Sheet1!$O$7:$O$133),"",IF($G17="小計","","小計")),IF($A18&gt;MAX(Sheet1!$B$7:$B$133),"",VLOOKUP($A18,Sheet1!$B$7:$U$133,Sheet1!$I$5-Sheet1!$A$5,FALSE)))</f>
        <v/>
      </c>
      <c r="H18" s="243" t="str">
        <f>IF($G18="","",IF($G18="小計",VLOOKUP($A18,Sheet1!$O$7:$U$133,Sheet1!$S$5-Sheet1!$N$5,FALSE),VLOOKUP($G18,Sheet1!$I$7:$N$133,Sheet1!$L$5-Sheet1!$H$5,FALSE)))</f>
        <v/>
      </c>
      <c r="I18" s="243" t="str">
        <f>IF($G18="","",IF($G18="小計",VLOOKUP($A18,Sheet1!$O$7:$U$133,Sheet1!$T$5-Sheet1!$N$5,FALSE),VLOOKUP($G18,Sheet1!$I$7:$N$133,Sheet1!$M$5-Sheet1!$H$5,FALSE)))</f>
        <v/>
      </c>
      <c r="J18" s="243" t="str">
        <f>IF($G18="","",IF($G18="小計",VLOOKUP($A18,Sheet1!$O$7:$U$133,Sheet1!$U$5-Sheet1!$N$5,FALSE),VLOOKUP($G18,Sheet1!$I$7:$N$133,Sheet1!$N$5-Sheet1!$H$5,FALSE)))</f>
        <v/>
      </c>
      <c r="K18" s="610" t="str">
        <f>IF(OR($G18="",$G18="小計"),"",IF(VLOOKUP($G18,請求Data!$I$11:$AR$160,請求Data!$AR$10-請求Data!$H$10,FALSE)="","",VLOOKUP($G18,請求Data!$I$11:$AR$160,請求Data!$AR$10-請求Data!$H$10,FALSE)))</f>
        <v/>
      </c>
    </row>
    <row r="19" spans="1:11" ht="13.5" customHeight="1">
      <c r="A19" s="481">
        <v>10</v>
      </c>
      <c r="B19" s="477">
        <f t="shared" si="0"/>
        <v>1</v>
      </c>
      <c r="D19" s="844" t="str">
        <f>IF(OR($G19="",$G19="小計"),"",INDEX(請求Data!$T$11:$T$160,MATCH($G19,請求Data!$I$11:$I$160,0))&amp;"")</f>
        <v>株式会社 バンダイ　4100／コレクターズ事業部</v>
      </c>
      <c r="E19" s="844"/>
      <c r="F19" s="75"/>
      <c r="G19" s="147" t="str">
        <f>IF(ISNA(MATCH($A19,Sheet1!$B$7:$B$133,0)),IF($A19&gt;MAX(Sheet1!$O$7:$O$133),"",IF($G18="小計","","小計")),IF($A19&gt;MAX(Sheet1!$B$7:$B$133),"",VLOOKUP($A19,Sheet1!$B$7:$U$133,Sheet1!$I$5-Sheet1!$A$5,FALSE)))</f>
        <v>39-B07004</v>
      </c>
      <c r="H19" s="243">
        <f>IF($G19="","",IF($G19="小計",VLOOKUP($A19,Sheet1!$O$7:$U$133,Sheet1!$S$5-Sheet1!$N$5,FALSE),VLOOKUP($G19,Sheet1!$I$7:$N$133,Sheet1!$L$5-Sheet1!$H$5,FALSE)))</f>
        <v>590000</v>
      </c>
      <c r="I19" s="243">
        <f>IF($G19="","",IF($G19="小計",VLOOKUP($A19,Sheet1!$O$7:$U$133,Sheet1!$T$5-Sheet1!$N$5,FALSE),VLOOKUP($G19,Sheet1!$I$7:$N$133,Sheet1!$M$5-Sheet1!$H$5,FALSE)))</f>
        <v>47200</v>
      </c>
      <c r="J19" s="243">
        <f>IF($G19="","",IF($G19="小計",VLOOKUP($A19,Sheet1!$O$7:$U$133,Sheet1!$U$5-Sheet1!$N$5,FALSE),VLOOKUP($G19,Sheet1!$I$7:$N$133,Sheet1!$N$5-Sheet1!$H$5,FALSE)))</f>
        <v>637200</v>
      </c>
      <c r="K19" s="610" t="str">
        <f>IF(OR($G19="",$G19="小計"),"",IF(VLOOKUP($G19,請求Data!$I$11:$AR$160,請求Data!$AR$10-請求Data!$H$10,FALSE)="","",VLOOKUP($G19,請求Data!$I$11:$AR$160,請求Data!$AR$10-請求Data!$H$10,FALSE)))</f>
        <v/>
      </c>
    </row>
    <row r="20" spans="1:11" ht="13.5" customHeight="1">
      <c r="A20" s="481">
        <v>11</v>
      </c>
      <c r="B20" s="477">
        <f t="shared" si="0"/>
        <v>1</v>
      </c>
      <c r="D20" s="844" t="str">
        <f>IF(OR($G20="",$G20="小計"),"",INDEX(請求Data!$T$11:$T$160,MATCH($G20,請求Data!$I$11:$I$160,0))&amp;"")</f>
        <v>株式会社 バンダイ　4100／コレクターズ事業部</v>
      </c>
      <c r="E20" s="844"/>
      <c r="F20" s="75"/>
      <c r="G20" s="147" t="str">
        <f>IF(ISNA(MATCH($A20,Sheet1!$B$7:$B$133,0)),IF($A20&gt;MAX(Sheet1!$O$7:$O$133),"",IF($G19="小計","","小計")),IF($A20&gt;MAX(Sheet1!$B$7:$B$133),"",VLOOKUP($A20,Sheet1!$B$7:$U$133,Sheet1!$I$5-Sheet1!$A$5,FALSE)))</f>
        <v>39-B07007</v>
      </c>
      <c r="H20" s="243">
        <f>IF($G20="","",IF($G20="小計",VLOOKUP($A20,Sheet1!$O$7:$U$133,Sheet1!$S$5-Sheet1!$N$5,FALSE),VLOOKUP($G20,Sheet1!$I$7:$N$133,Sheet1!$L$5-Sheet1!$H$5,FALSE)))</f>
        <v>29544</v>
      </c>
      <c r="I20" s="243">
        <f>IF($G20="","",IF($G20="小計",VLOOKUP($A20,Sheet1!$O$7:$U$133,Sheet1!$T$5-Sheet1!$N$5,FALSE),VLOOKUP($G20,Sheet1!$I$7:$N$133,Sheet1!$M$5-Sheet1!$H$5,FALSE)))</f>
        <v>2364</v>
      </c>
      <c r="J20" s="243">
        <f>IF($G20="","",IF($G20="小計",VLOOKUP($A20,Sheet1!$O$7:$U$133,Sheet1!$U$5-Sheet1!$N$5,FALSE),VLOOKUP($G20,Sheet1!$I$7:$N$133,Sheet1!$N$5-Sheet1!$H$5,FALSE)))</f>
        <v>31908</v>
      </c>
      <c r="K20" s="610" t="str">
        <f>IF(OR($G20="",$G20="小計"),"",IF(VLOOKUP($G20,請求Data!$I$11:$AR$160,請求Data!$AR$10-請求Data!$H$10,FALSE)="","",VLOOKUP($G20,請求Data!$I$11:$AR$160,請求Data!$AR$10-請求Data!$H$10,FALSE)))</f>
        <v/>
      </c>
    </row>
    <row r="21" spans="1:11" ht="13.5" customHeight="1">
      <c r="A21" s="481">
        <v>12</v>
      </c>
      <c r="B21" s="477">
        <f t="shared" si="0"/>
        <v>1</v>
      </c>
      <c r="D21" s="844" t="str">
        <f>IF(OR($G21="",$G21="小計"),"",INDEX(請求Data!$T$11:$T$160,MATCH($G21,請求Data!$I$11:$I$160,0))&amp;"")</f>
        <v>株式会社 バンダイ　4100／コレクターズ事業部</v>
      </c>
      <c r="E21" s="844"/>
      <c r="F21" s="75"/>
      <c r="G21" s="147" t="str">
        <f>IF(ISNA(MATCH($A21,Sheet1!$B$7:$B$133,0)),IF($A21&gt;MAX(Sheet1!$O$7:$O$133),"",IF($G20="小計","","小計")),IF($A21&gt;MAX(Sheet1!$B$7:$B$133),"",VLOOKUP($A21,Sheet1!$B$7:$U$133,Sheet1!$I$5-Sheet1!$A$5,FALSE)))</f>
        <v>39-B07017</v>
      </c>
      <c r="H21" s="243">
        <f>IF($G21="","",IF($G21="小計",VLOOKUP($A21,Sheet1!$O$7:$U$133,Sheet1!$S$5-Sheet1!$N$5,FALSE),VLOOKUP($G21,Sheet1!$I$7:$N$133,Sheet1!$L$5-Sheet1!$H$5,FALSE)))</f>
        <v>3505000</v>
      </c>
      <c r="I21" s="243">
        <f>IF($G21="","",IF($G21="小計",VLOOKUP($A21,Sheet1!$O$7:$U$133,Sheet1!$T$5-Sheet1!$N$5,FALSE),VLOOKUP($G21,Sheet1!$I$7:$N$133,Sheet1!$M$5-Sheet1!$H$5,FALSE)))</f>
        <v>280400</v>
      </c>
      <c r="J21" s="243">
        <f>IF($G21="","",IF($G21="小計",VLOOKUP($A21,Sheet1!$O$7:$U$133,Sheet1!$U$5-Sheet1!$N$5,FALSE),VLOOKUP($G21,Sheet1!$I$7:$N$133,Sheet1!$N$5-Sheet1!$H$5,FALSE)))</f>
        <v>3785400</v>
      </c>
      <c r="K21" s="610" t="str">
        <f>IF(OR($G21="",$G21="小計"),"",IF(VLOOKUP($G21,請求Data!$I$11:$AR$160,請求Data!$AR$10-請求Data!$H$10,FALSE)="","",VLOOKUP($G21,請求Data!$I$11:$AR$160,請求Data!$AR$10-請求Data!$H$10,FALSE)))</f>
        <v/>
      </c>
    </row>
    <row r="22" spans="1:11" ht="13.5" customHeight="1">
      <c r="A22" s="481">
        <v>13</v>
      </c>
      <c r="B22" s="477">
        <f t="shared" si="0"/>
        <v>1</v>
      </c>
      <c r="D22" s="844" t="str">
        <f>IF(OR($G22="",$G22="小計"),"",INDEX(請求Data!$T$11:$T$160,MATCH($G22,請求Data!$I$11:$I$160,0))&amp;"")</f>
        <v>株式会社 バンダイ　4100／コレクターズ事業部</v>
      </c>
      <c r="E22" s="844"/>
      <c r="F22" s="75"/>
      <c r="G22" s="147" t="str">
        <f>IF(ISNA(MATCH($A22,Sheet1!$B$7:$B$133,0)),IF($A22&gt;MAX(Sheet1!$O$7:$O$133),"",IF($G21="小計","","小計")),IF($A22&gt;MAX(Sheet1!$B$7:$B$133),"",VLOOKUP($A22,Sheet1!$B$7:$U$133,Sheet1!$I$5-Sheet1!$A$5,FALSE)))</f>
        <v>39-B07021</v>
      </c>
      <c r="H22" s="243">
        <f>IF($G22="","",IF($G22="小計",VLOOKUP($A22,Sheet1!$O$7:$U$133,Sheet1!$S$5-Sheet1!$N$5,FALSE),VLOOKUP($G22,Sheet1!$I$7:$N$133,Sheet1!$L$5-Sheet1!$H$5,FALSE)))</f>
        <v>2030516</v>
      </c>
      <c r="I22" s="243">
        <f>IF($G22="","",IF($G22="小計",VLOOKUP($A22,Sheet1!$O$7:$U$133,Sheet1!$T$5-Sheet1!$N$5,FALSE),VLOOKUP($G22,Sheet1!$I$7:$N$133,Sheet1!$M$5-Sheet1!$H$5,FALSE)))</f>
        <v>162441</v>
      </c>
      <c r="J22" s="243">
        <f>IF($G22="","",IF($G22="小計",VLOOKUP($A22,Sheet1!$O$7:$U$133,Sheet1!$U$5-Sheet1!$N$5,FALSE),VLOOKUP($G22,Sheet1!$I$7:$N$133,Sheet1!$N$5-Sheet1!$H$5,FALSE)))</f>
        <v>2192957</v>
      </c>
      <c r="K22" s="610" t="str">
        <f>IF(OR($G22="",$G22="小計"),"",IF(VLOOKUP($G22,請求Data!$I$11:$AR$160,請求Data!$AR$10-請求Data!$H$10,FALSE)="","",VLOOKUP($G22,請求Data!$I$11:$AR$160,請求Data!$AR$10-請求Data!$H$10,FALSE)))</f>
        <v/>
      </c>
    </row>
    <row r="23" spans="1:11" ht="13.5" customHeight="1">
      <c r="A23" s="481">
        <v>14</v>
      </c>
      <c r="B23" s="477">
        <f t="shared" si="0"/>
        <v>1</v>
      </c>
      <c r="D23" s="844" t="str">
        <f>IF(OR($G23="",$G23="小計"),"",INDEX(請求Data!$T$11:$T$160,MATCH($G23,請求Data!$I$11:$I$160,0))&amp;"")</f>
        <v/>
      </c>
      <c r="E23" s="844"/>
      <c r="F23" s="75"/>
      <c r="G23" s="147" t="str">
        <f>IF(ISNA(MATCH($A23,Sheet1!$B$7:$B$133,0)),IF($A23&gt;MAX(Sheet1!$O$7:$O$133),"",IF($G22="小計","","小計")),IF($A23&gt;MAX(Sheet1!$B$7:$B$133),"",VLOOKUP($A23,Sheet1!$B$7:$U$133,Sheet1!$I$5-Sheet1!$A$5,FALSE)))</f>
        <v>小計</v>
      </c>
      <c r="H23" s="243">
        <f>IF($G23="","",IF($G23="小計",VLOOKUP($A23,Sheet1!$O$7:$U$133,Sheet1!$S$5-Sheet1!$N$5,FALSE),VLOOKUP($G23,Sheet1!$I$7:$N$133,Sheet1!$L$5-Sheet1!$H$5,FALSE)))</f>
        <v>6155060</v>
      </c>
      <c r="I23" s="243">
        <f>IF($G23="","",IF($G23="小計",VLOOKUP($A23,Sheet1!$O$7:$U$133,Sheet1!$T$5-Sheet1!$N$5,FALSE),VLOOKUP($G23,Sheet1!$I$7:$N$133,Sheet1!$M$5-Sheet1!$H$5,FALSE)))</f>
        <v>492405</v>
      </c>
      <c r="J23" s="243">
        <f>IF($G23="","",IF($G23="小計",VLOOKUP($A23,Sheet1!$O$7:$U$133,Sheet1!$U$5-Sheet1!$N$5,FALSE),VLOOKUP($G23,Sheet1!$I$7:$N$133,Sheet1!$N$5-Sheet1!$H$5,FALSE)))</f>
        <v>6647465</v>
      </c>
      <c r="K23" s="610" t="str">
        <f>IF(OR($G23="",$G23="小計"),"",IF(VLOOKUP($G23,請求Data!$I$11:$AR$160,請求Data!$AR$10-請求Data!$H$10,FALSE)="","",VLOOKUP($G23,請求Data!$I$11:$AR$160,請求Data!$AR$10-請求Data!$H$10,FALSE)))</f>
        <v/>
      </c>
    </row>
    <row r="24" spans="1:11" ht="13.5" customHeight="1">
      <c r="A24" s="481">
        <v>15</v>
      </c>
      <c r="B24" s="477">
        <f t="shared" si="0"/>
        <v>1</v>
      </c>
      <c r="D24" s="844" t="str">
        <f>IF(OR($G24="",$G24="小計"),"",INDEX(請求Data!$T$11:$T$160,MATCH($G24,請求Data!$I$11:$I$160,0))&amp;"")</f>
        <v/>
      </c>
      <c r="E24" s="844"/>
      <c r="F24" s="75"/>
      <c r="G24" s="147" t="str">
        <f>IF(ISNA(MATCH($A24,Sheet1!$B$7:$B$133,0)),IF($A24&gt;MAX(Sheet1!$O$7:$O$133),"",IF($G23="小計","","小計")),IF($A24&gt;MAX(Sheet1!$B$7:$B$133),"",VLOOKUP($A24,Sheet1!$B$7:$U$133,Sheet1!$I$5-Sheet1!$A$5,FALSE)))</f>
        <v/>
      </c>
      <c r="H24" s="243" t="str">
        <f>IF($G24="","",IF($G24="小計",VLOOKUP($A24,Sheet1!$O$7:$U$133,Sheet1!$S$5-Sheet1!$N$5,FALSE),VLOOKUP($G24,Sheet1!$I$7:$N$133,Sheet1!$L$5-Sheet1!$H$5,FALSE)))</f>
        <v/>
      </c>
      <c r="I24" s="243" t="str">
        <f>IF($G24="","",IF($G24="小計",VLOOKUP($A24,Sheet1!$O$7:$U$133,Sheet1!$T$5-Sheet1!$N$5,FALSE),VLOOKUP($G24,Sheet1!$I$7:$N$133,Sheet1!$M$5-Sheet1!$H$5,FALSE)))</f>
        <v/>
      </c>
      <c r="J24" s="243" t="str">
        <f>IF($G24="","",IF($G24="小計",VLOOKUP($A24,Sheet1!$O$7:$U$133,Sheet1!$U$5-Sheet1!$N$5,FALSE),VLOOKUP($G24,Sheet1!$I$7:$N$133,Sheet1!$N$5-Sheet1!$H$5,FALSE)))</f>
        <v/>
      </c>
      <c r="K24" s="610" t="str">
        <f>IF(OR($G24="",$G24="小計"),"",IF(VLOOKUP($G24,請求Data!$I$11:$AR$160,請求Data!$AR$10-請求Data!$H$10,FALSE)="","",VLOOKUP($G24,請求Data!$I$11:$AR$160,請求Data!$AR$10-請求Data!$H$10,FALSE)))</f>
        <v/>
      </c>
    </row>
    <row r="25" spans="1:11" ht="13.5" customHeight="1">
      <c r="A25" s="481">
        <v>16</v>
      </c>
      <c r="B25" s="477">
        <f t="shared" si="0"/>
        <v>1</v>
      </c>
      <c r="D25" s="844" t="str">
        <f>IF(OR($G25="",$G25="小計"),"",INDEX(請求Data!$T$11:$T$160,MATCH($G25,請求Data!$I$11:$I$160,0))&amp;"")</f>
        <v>株式会社 バンダイ　4200／ボーイズトイ事業部</v>
      </c>
      <c r="E25" s="844"/>
      <c r="F25" s="75"/>
      <c r="G25" s="147" t="str">
        <f>IF(ISNA(MATCH($A25,Sheet1!$B$7:$B$133,0)),IF($A25&gt;MAX(Sheet1!$O$7:$O$133),"",IF($G24="小計","","小計")),IF($A25&gt;MAX(Sheet1!$B$7:$B$133),"",VLOOKUP($A25,Sheet1!$B$7:$U$133,Sheet1!$I$5-Sheet1!$A$5,FALSE)))</f>
        <v>39-B07009</v>
      </c>
      <c r="H25" s="243">
        <f>IF($G25="","",IF($G25="小計",VLOOKUP($A25,Sheet1!$O$7:$U$133,Sheet1!$S$5-Sheet1!$N$5,FALSE),VLOOKUP($G25,Sheet1!$I$7:$N$133,Sheet1!$L$5-Sheet1!$H$5,FALSE)))</f>
        <v>19107</v>
      </c>
      <c r="I25" s="243">
        <f>IF($G25="","",IF($G25="小計",VLOOKUP($A25,Sheet1!$O$7:$U$133,Sheet1!$T$5-Sheet1!$N$5,FALSE),VLOOKUP($G25,Sheet1!$I$7:$N$133,Sheet1!$M$5-Sheet1!$H$5,FALSE)))</f>
        <v>1529</v>
      </c>
      <c r="J25" s="243">
        <f>IF($G25="","",IF($G25="小計",VLOOKUP($A25,Sheet1!$O$7:$U$133,Sheet1!$U$5-Sheet1!$N$5,FALSE),VLOOKUP($G25,Sheet1!$I$7:$N$133,Sheet1!$N$5-Sheet1!$H$5,FALSE)))</f>
        <v>20636</v>
      </c>
      <c r="K25" s="610" t="str">
        <f>IF(OR($G25="",$G25="小計"),"",IF(VLOOKUP($G25,請求Data!$I$11:$AR$160,請求Data!$AR$10-請求Data!$H$10,FALSE)="","",VLOOKUP($G25,請求Data!$I$11:$AR$160,請求Data!$AR$10-請求Data!$H$10,FALSE)))</f>
        <v/>
      </c>
    </row>
    <row r="26" spans="1:11" ht="13.5" customHeight="1">
      <c r="A26" s="481">
        <v>17</v>
      </c>
      <c r="B26" s="477">
        <f t="shared" si="0"/>
        <v>1</v>
      </c>
      <c r="D26" s="844" t="str">
        <f>IF(OR($G26="",$G26="小計"),"",INDEX(請求Data!$T$11:$T$160,MATCH($G26,請求Data!$I$11:$I$160,0))&amp;"")</f>
        <v/>
      </c>
      <c r="E26" s="844"/>
      <c r="F26" s="75"/>
      <c r="G26" s="147" t="str">
        <f>IF(ISNA(MATCH($A26,Sheet1!$B$7:$B$133,0)),IF($A26&gt;MAX(Sheet1!$O$7:$O$133),"",IF($G25="小計","","小計")),IF($A26&gt;MAX(Sheet1!$B$7:$B$133),"",VLOOKUP($A26,Sheet1!$B$7:$U$133,Sheet1!$I$5-Sheet1!$A$5,FALSE)))</f>
        <v>小計</v>
      </c>
      <c r="H26" s="243">
        <f>IF($G26="","",IF($G26="小計",VLOOKUP($A26,Sheet1!$O$7:$U$133,Sheet1!$S$5-Sheet1!$N$5,FALSE),VLOOKUP($G26,Sheet1!$I$7:$N$133,Sheet1!$L$5-Sheet1!$H$5,FALSE)))</f>
        <v>19107</v>
      </c>
      <c r="I26" s="243">
        <f>IF($G26="","",IF($G26="小計",VLOOKUP($A26,Sheet1!$O$7:$U$133,Sheet1!$T$5-Sheet1!$N$5,FALSE),VLOOKUP($G26,Sheet1!$I$7:$N$133,Sheet1!$M$5-Sheet1!$H$5,FALSE)))</f>
        <v>1529</v>
      </c>
      <c r="J26" s="243">
        <f>IF($G26="","",IF($G26="小計",VLOOKUP($A26,Sheet1!$O$7:$U$133,Sheet1!$U$5-Sheet1!$N$5,FALSE),VLOOKUP($G26,Sheet1!$I$7:$N$133,Sheet1!$N$5-Sheet1!$H$5,FALSE)))</f>
        <v>20636</v>
      </c>
      <c r="K26" s="610" t="str">
        <f>IF(OR($G26="",$G26="小計"),"",IF(VLOOKUP($G26,請求Data!$I$11:$AR$160,請求Data!$AR$10-請求Data!$H$10,FALSE)="","",VLOOKUP($G26,請求Data!$I$11:$AR$160,請求Data!$AR$10-請求Data!$H$10,FALSE)))</f>
        <v/>
      </c>
    </row>
    <row r="27" spans="1:11" ht="13.5" customHeight="1">
      <c r="A27" s="481">
        <v>18</v>
      </c>
      <c r="B27" s="477">
        <f t="shared" si="0"/>
        <v>1</v>
      </c>
      <c r="D27" s="844" t="str">
        <f>IF(OR($G27="",$G27="小計"),"",INDEX(請求Data!$T$11:$T$160,MATCH($G27,請求Data!$I$11:$I$160,0))&amp;"")</f>
        <v/>
      </c>
      <c r="E27" s="844"/>
      <c r="F27" s="75"/>
      <c r="G27" s="147" t="str">
        <f>IF(ISNA(MATCH($A27,Sheet1!$B$7:$B$133,0)),IF($A27&gt;MAX(Sheet1!$O$7:$O$133),"",IF($G26="小計","","小計")),IF($A27&gt;MAX(Sheet1!$B$7:$B$133),"",VLOOKUP($A27,Sheet1!$B$7:$U$133,Sheet1!$I$5-Sheet1!$A$5,FALSE)))</f>
        <v/>
      </c>
      <c r="H27" s="243" t="str">
        <f>IF($G27="","",IF($G27="小計",VLOOKUP($A27,Sheet1!$O$7:$U$133,Sheet1!$S$5-Sheet1!$N$5,FALSE),VLOOKUP($G27,Sheet1!$I$7:$N$133,Sheet1!$L$5-Sheet1!$H$5,FALSE)))</f>
        <v/>
      </c>
      <c r="I27" s="243" t="str">
        <f>IF($G27="","",IF($G27="小計",VLOOKUP($A27,Sheet1!$O$7:$U$133,Sheet1!$T$5-Sheet1!$N$5,FALSE),VLOOKUP($G27,Sheet1!$I$7:$N$133,Sheet1!$M$5-Sheet1!$H$5,FALSE)))</f>
        <v/>
      </c>
      <c r="J27" s="243" t="str">
        <f>IF($G27="","",IF($G27="小計",VLOOKUP($A27,Sheet1!$O$7:$U$133,Sheet1!$U$5-Sheet1!$N$5,FALSE),VLOOKUP($G27,Sheet1!$I$7:$N$133,Sheet1!$N$5-Sheet1!$H$5,FALSE)))</f>
        <v/>
      </c>
      <c r="K27" s="610" t="str">
        <f>IF(OR($G27="",$G27="小計"),"",IF(VLOOKUP($G27,請求Data!$I$11:$AR$160,請求Data!$AR$10-請求Data!$H$10,FALSE)="","",VLOOKUP($G27,請求Data!$I$11:$AR$160,請求Data!$AR$10-請求Data!$H$10,FALSE)))</f>
        <v/>
      </c>
    </row>
    <row r="28" spans="1:11" ht="13.5" customHeight="1">
      <c r="A28" s="481">
        <v>19</v>
      </c>
      <c r="B28" s="477">
        <f t="shared" si="0"/>
        <v>1</v>
      </c>
      <c r="D28" s="844" t="str">
        <f>IF(OR($G28="",$G28="小計"),"",INDEX(請求Data!$T$11:$T$160,MATCH($G28,請求Data!$I$11:$I$160,0))&amp;"")</f>
        <v>株式会社 バンダイ　5000／ボーイズトイ事業部</v>
      </c>
      <c r="E28" s="844"/>
      <c r="F28" s="75"/>
      <c r="G28" s="147" t="str">
        <f>IF(ISNA(MATCH($A28,Sheet1!$B$7:$B$133,0)),IF($A28&gt;MAX(Sheet1!$O$7:$O$133),"",IF($G27="小計","","小計")),IF($A28&gt;MAX(Sheet1!$B$7:$B$133),"",VLOOKUP($A28,Sheet1!$B$7:$U$133,Sheet1!$I$5-Sheet1!$A$5,FALSE)))</f>
        <v>39-B07018</v>
      </c>
      <c r="H28" s="243">
        <f>IF($G28="","",IF($G28="小計",VLOOKUP($A28,Sheet1!$O$7:$U$133,Sheet1!$S$5-Sheet1!$N$5,FALSE),VLOOKUP($G28,Sheet1!$I$7:$N$133,Sheet1!$L$5-Sheet1!$H$5,FALSE)))</f>
        <v>3474936</v>
      </c>
      <c r="I28" s="243">
        <f>IF($G28="","",IF($G28="小計",VLOOKUP($A28,Sheet1!$O$7:$U$133,Sheet1!$T$5-Sheet1!$N$5,FALSE),VLOOKUP($G28,Sheet1!$I$7:$N$133,Sheet1!$M$5-Sheet1!$H$5,FALSE)))</f>
        <v>277995</v>
      </c>
      <c r="J28" s="243">
        <f>IF($G28="","",IF($G28="小計",VLOOKUP($A28,Sheet1!$O$7:$U$133,Sheet1!$U$5-Sheet1!$N$5,FALSE),VLOOKUP($G28,Sheet1!$I$7:$N$133,Sheet1!$N$5-Sheet1!$H$5,FALSE)))</f>
        <v>3752931</v>
      </c>
      <c r="K28" s="610" t="str">
        <f>IF(OR($G28="",$G28="小計"),"",IF(VLOOKUP($G28,請求Data!$I$11:$AR$160,請求Data!$AR$10-請求Data!$H$10,FALSE)="","",VLOOKUP($G28,請求Data!$I$11:$AR$160,請求Data!$AR$10-請求Data!$H$10,FALSE)))</f>
        <v/>
      </c>
    </row>
    <row r="29" spans="1:11" ht="13.5" customHeight="1">
      <c r="A29" s="481">
        <v>20</v>
      </c>
      <c r="B29" s="477">
        <f t="shared" si="0"/>
        <v>1</v>
      </c>
      <c r="D29" s="844" t="str">
        <f>IF(OR($G29="",$G29="小計"),"",INDEX(請求Data!$T$11:$T$160,MATCH($G29,請求Data!$I$11:$I$160,0))&amp;"")</f>
        <v/>
      </c>
      <c r="E29" s="844"/>
      <c r="F29" s="75"/>
      <c r="G29" s="147" t="str">
        <f>IF(ISNA(MATCH($A29,Sheet1!$B$7:$B$133,0)),IF($A29&gt;MAX(Sheet1!$O$7:$O$133),"",IF($G28="小計","","小計")),IF($A29&gt;MAX(Sheet1!$B$7:$B$133),"",VLOOKUP($A29,Sheet1!$B$7:$U$133,Sheet1!$I$5-Sheet1!$A$5,FALSE)))</f>
        <v>小計</v>
      </c>
      <c r="H29" s="243">
        <f>IF($G29="","",IF($G29="小計",VLOOKUP($A29,Sheet1!$O$7:$U$133,Sheet1!$S$5-Sheet1!$N$5,FALSE),VLOOKUP($G29,Sheet1!$I$7:$N$133,Sheet1!$L$5-Sheet1!$H$5,FALSE)))</f>
        <v>3474936</v>
      </c>
      <c r="I29" s="243">
        <f>IF($G29="","",IF($G29="小計",VLOOKUP($A29,Sheet1!$O$7:$U$133,Sheet1!$T$5-Sheet1!$N$5,FALSE),VLOOKUP($G29,Sheet1!$I$7:$N$133,Sheet1!$M$5-Sheet1!$H$5,FALSE)))</f>
        <v>277995</v>
      </c>
      <c r="J29" s="243">
        <f>IF($G29="","",IF($G29="小計",VLOOKUP($A29,Sheet1!$O$7:$U$133,Sheet1!$U$5-Sheet1!$N$5,FALSE),VLOOKUP($G29,Sheet1!$I$7:$N$133,Sheet1!$N$5-Sheet1!$H$5,FALSE)))</f>
        <v>3752931</v>
      </c>
      <c r="K29" s="610" t="str">
        <f>IF(OR($G29="",$G29="小計"),"",IF(VLOOKUP($G29,請求Data!$I$11:$AR$160,請求Data!$AR$10-請求Data!$H$10,FALSE)="","",VLOOKUP($G29,請求Data!$I$11:$AR$160,請求Data!$AR$10-請求Data!$H$10,FALSE)))</f>
        <v/>
      </c>
    </row>
    <row r="30" spans="1:11" ht="13.5" customHeight="1">
      <c r="A30" s="481">
        <v>21</v>
      </c>
      <c r="B30" s="477">
        <f t="shared" si="0"/>
        <v>1</v>
      </c>
      <c r="D30" s="844" t="str">
        <f>IF(OR($G30="",$G30="小計"),"",INDEX(請求Data!$T$11:$T$160,MATCH($G30,請求Data!$I$11:$I$160,0))&amp;"")</f>
        <v/>
      </c>
      <c r="E30" s="844"/>
      <c r="F30" s="75"/>
      <c r="G30" s="147" t="str">
        <f>IF(ISNA(MATCH($A30,Sheet1!$B$7:$B$133,0)),IF($A30&gt;MAX(Sheet1!$O$7:$O$133),"",IF($G29="小計","","小計")),IF($A30&gt;MAX(Sheet1!$B$7:$B$133),"",VLOOKUP($A30,Sheet1!$B$7:$U$133,Sheet1!$I$5-Sheet1!$A$5,FALSE)))</f>
        <v/>
      </c>
      <c r="H30" s="243" t="str">
        <f>IF($G30="","",IF($G30="小計",VLOOKUP($A30,Sheet1!$O$7:$U$133,Sheet1!$S$5-Sheet1!$N$5,FALSE),VLOOKUP($G30,Sheet1!$I$7:$N$133,Sheet1!$L$5-Sheet1!$H$5,FALSE)))</f>
        <v/>
      </c>
      <c r="I30" s="243" t="str">
        <f>IF($G30="","",IF($G30="小計",VLOOKUP($A30,Sheet1!$O$7:$U$133,Sheet1!$T$5-Sheet1!$N$5,FALSE),VLOOKUP($G30,Sheet1!$I$7:$N$133,Sheet1!$M$5-Sheet1!$H$5,FALSE)))</f>
        <v/>
      </c>
      <c r="J30" s="243" t="str">
        <f>IF($G30="","",IF($G30="小計",VLOOKUP($A30,Sheet1!$O$7:$U$133,Sheet1!$U$5-Sheet1!$N$5,FALSE),VLOOKUP($G30,Sheet1!$I$7:$N$133,Sheet1!$N$5-Sheet1!$H$5,FALSE)))</f>
        <v/>
      </c>
      <c r="K30" s="610" t="str">
        <f>IF(OR($G30="",$G30="小計"),"",IF(VLOOKUP($G30,請求Data!$I$11:$AR$160,請求Data!$AR$10-請求Data!$H$10,FALSE)="","",VLOOKUP($G30,請求Data!$I$11:$AR$160,請求Data!$AR$10-請求Data!$H$10,FALSE)))</f>
        <v/>
      </c>
    </row>
    <row r="31" spans="1:11" ht="13.5" customHeight="1">
      <c r="A31" s="481">
        <v>22</v>
      </c>
      <c r="B31" s="477">
        <f t="shared" si="0"/>
        <v>1</v>
      </c>
      <c r="D31" s="844" t="str">
        <f>IF(OR($G31="",$G31="小計"),"",INDEX(請求Data!$T$11:$T$160,MATCH($G31,請求Data!$I$11:$I$160,0))&amp;"")</f>
        <v>株式会社 バンダイ　4200／ガールズトイ事業部</v>
      </c>
      <c r="E31" s="844"/>
      <c r="F31" s="75"/>
      <c r="G31" s="147" t="str">
        <f>IF(ISNA(MATCH($A31,Sheet1!$B$7:$B$133,0)),IF($A31&gt;MAX(Sheet1!$O$7:$O$133),"",IF($G30="小計","","小計")),IF($A31&gt;MAX(Sheet1!$B$7:$B$133),"",VLOOKUP($A31,Sheet1!$B$7:$U$133,Sheet1!$I$5-Sheet1!$A$5,FALSE)))</f>
        <v>39-B07011</v>
      </c>
      <c r="H31" s="243">
        <f>IF($G31="","",IF($G31="小計",VLOOKUP($A31,Sheet1!$O$7:$U$133,Sheet1!$S$5-Sheet1!$N$5,FALSE),VLOOKUP($G31,Sheet1!$I$7:$N$133,Sheet1!$L$5-Sheet1!$H$5,FALSE)))</f>
        <v>24383928</v>
      </c>
      <c r="I31" s="243">
        <f>IF($G31="","",IF($G31="小計",VLOOKUP($A31,Sheet1!$O$7:$U$133,Sheet1!$T$5-Sheet1!$N$5,FALSE),VLOOKUP($G31,Sheet1!$I$7:$N$133,Sheet1!$M$5-Sheet1!$H$5,FALSE)))</f>
        <v>1950714</v>
      </c>
      <c r="J31" s="243">
        <f>IF($G31="","",IF($G31="小計",VLOOKUP($A31,Sheet1!$O$7:$U$133,Sheet1!$U$5-Sheet1!$N$5,FALSE),VLOOKUP($G31,Sheet1!$I$7:$N$133,Sheet1!$N$5-Sheet1!$H$5,FALSE)))</f>
        <v>26334642</v>
      </c>
      <c r="K31" s="610" t="str">
        <f>IF(OR($G31="",$G31="小計"),"",IF(VLOOKUP($G31,請求Data!$I$11:$AR$160,請求Data!$AR$10-請求Data!$H$10,FALSE)="","",VLOOKUP($G31,請求Data!$I$11:$AR$160,請求Data!$AR$10-請求Data!$H$10,FALSE)))</f>
        <v/>
      </c>
    </row>
    <row r="32" spans="1:11" ht="13.5" customHeight="1">
      <c r="A32" s="481">
        <v>23</v>
      </c>
      <c r="B32" s="477">
        <f t="shared" si="0"/>
        <v>1</v>
      </c>
      <c r="D32" s="844" t="str">
        <f>IF(OR($G32="",$G32="小計"),"",INDEX(請求Data!$T$11:$T$160,MATCH($G32,請求Data!$I$11:$I$160,0))&amp;"")</f>
        <v/>
      </c>
      <c r="E32" s="844"/>
      <c r="F32" s="75"/>
      <c r="G32" s="147" t="str">
        <f>IF(ISNA(MATCH($A32,Sheet1!$B$7:$B$133,0)),IF($A32&gt;MAX(Sheet1!$O$7:$O$133),"",IF($G31="小計","","小計")),IF($A32&gt;MAX(Sheet1!$B$7:$B$133),"",VLOOKUP($A32,Sheet1!$B$7:$U$133,Sheet1!$I$5-Sheet1!$A$5,FALSE)))</f>
        <v>小計</v>
      </c>
      <c r="H32" s="243">
        <f>IF($G32="","",IF($G32="小計",VLOOKUP($A32,Sheet1!$O$7:$U$133,Sheet1!$S$5-Sheet1!$N$5,FALSE),VLOOKUP($G32,Sheet1!$I$7:$N$133,Sheet1!$L$5-Sheet1!$H$5,FALSE)))</f>
        <v>24383928</v>
      </c>
      <c r="I32" s="243">
        <f>IF($G32="","",IF($G32="小計",VLOOKUP($A32,Sheet1!$O$7:$U$133,Sheet1!$T$5-Sheet1!$N$5,FALSE),VLOOKUP($G32,Sheet1!$I$7:$N$133,Sheet1!$M$5-Sheet1!$H$5,FALSE)))</f>
        <v>1950714</v>
      </c>
      <c r="J32" s="243">
        <f>IF($G32="","",IF($G32="小計",VLOOKUP($A32,Sheet1!$O$7:$U$133,Sheet1!$U$5-Sheet1!$N$5,FALSE),VLOOKUP($G32,Sheet1!$I$7:$N$133,Sheet1!$N$5-Sheet1!$H$5,FALSE)))</f>
        <v>26334642</v>
      </c>
      <c r="K32" s="610" t="str">
        <f>IF(OR($G32="",$G32="小計"),"",IF(VLOOKUP($G32,請求Data!$I$11:$AR$160,請求Data!$AR$10-請求Data!$H$10,FALSE)="","",VLOOKUP($G32,請求Data!$I$11:$AR$160,請求Data!$AR$10-請求Data!$H$10,FALSE)))</f>
        <v/>
      </c>
    </row>
    <row r="33" spans="1:11" ht="13.5" customHeight="1">
      <c r="A33" s="481">
        <v>24</v>
      </c>
      <c r="B33" s="477">
        <f t="shared" si="0"/>
        <v>1</v>
      </c>
      <c r="D33" s="844" t="str">
        <f>IF(OR($G33="",$G33="小計"),"",INDEX(請求Data!$T$11:$T$160,MATCH($G33,請求Data!$I$11:$I$160,0))&amp;"")</f>
        <v/>
      </c>
      <c r="E33" s="844"/>
      <c r="F33" s="75"/>
      <c r="G33" s="147" t="str">
        <f>IF(ISNA(MATCH($A33,Sheet1!$B$7:$B$133,0)),IF($A33&gt;MAX(Sheet1!$O$7:$O$133),"",IF($G32="小計","","小計")),IF($A33&gt;MAX(Sheet1!$B$7:$B$133),"",VLOOKUP($A33,Sheet1!$B$7:$U$133,Sheet1!$I$5-Sheet1!$A$5,FALSE)))</f>
        <v/>
      </c>
      <c r="H33" s="243" t="str">
        <f>IF($G33="","",IF($G33="小計",VLOOKUP($A33,Sheet1!$O$7:$U$133,Sheet1!$S$5-Sheet1!$N$5,FALSE),VLOOKUP($G33,Sheet1!$I$7:$N$133,Sheet1!$L$5-Sheet1!$H$5,FALSE)))</f>
        <v/>
      </c>
      <c r="I33" s="243" t="str">
        <f>IF($G33="","",IF($G33="小計",VLOOKUP($A33,Sheet1!$O$7:$U$133,Sheet1!$T$5-Sheet1!$N$5,FALSE),VLOOKUP($G33,Sheet1!$I$7:$N$133,Sheet1!$M$5-Sheet1!$H$5,FALSE)))</f>
        <v/>
      </c>
      <c r="J33" s="243" t="str">
        <f>IF($G33="","",IF($G33="小計",VLOOKUP($A33,Sheet1!$O$7:$U$133,Sheet1!$U$5-Sheet1!$N$5,FALSE),VLOOKUP($G33,Sheet1!$I$7:$N$133,Sheet1!$N$5-Sheet1!$H$5,FALSE)))</f>
        <v/>
      </c>
      <c r="K33" s="610" t="str">
        <f>IF(OR($G33="",$G33="小計"),"",IF(VLOOKUP($G33,請求Data!$I$11:$AR$160,請求Data!$AR$10-請求Data!$H$10,FALSE)="","",VLOOKUP($G33,請求Data!$I$11:$AR$160,請求Data!$AR$10-請求Data!$H$10,FALSE)))</f>
        <v/>
      </c>
    </row>
    <row r="34" spans="1:11" ht="13.5" customHeight="1">
      <c r="A34" s="481">
        <v>25</v>
      </c>
      <c r="B34" s="477">
        <f t="shared" si="0"/>
        <v>1</v>
      </c>
      <c r="D34" s="844" t="str">
        <f>IF(OR($G34="",$G34="小計"),"",INDEX(請求Data!$T$11:$T$160,MATCH($G34,請求Data!$I$11:$I$160,0))&amp;"")</f>
        <v>株式会社BANDAI SPIRITS</v>
      </c>
      <c r="E34" s="844"/>
      <c r="F34" s="75"/>
      <c r="G34" s="147" t="str">
        <f>IF(ISNA(MATCH($A34,Sheet1!$B$7:$B$133,0)),IF($A34&gt;MAX(Sheet1!$O$7:$O$133),"",IF($G33="小計","","小計")),IF($A34&gt;MAX(Sheet1!$B$7:$B$133),"",VLOOKUP($A34,Sheet1!$B$7:$U$133,Sheet1!$I$5-Sheet1!$A$5,FALSE)))</f>
        <v>39-B07015</v>
      </c>
      <c r="H34" s="243">
        <f>IF($G34="","",IF($G34="小計",VLOOKUP($A34,Sheet1!$O$7:$U$133,Sheet1!$S$5-Sheet1!$N$5,FALSE),VLOOKUP($G34,Sheet1!$I$7:$N$133,Sheet1!$L$5-Sheet1!$H$5,FALSE)))</f>
        <v>3300000</v>
      </c>
      <c r="I34" s="243">
        <f>IF($G34="","",IF($G34="小計",VLOOKUP($A34,Sheet1!$O$7:$U$133,Sheet1!$T$5-Sheet1!$N$5,FALSE),VLOOKUP($G34,Sheet1!$I$7:$N$133,Sheet1!$M$5-Sheet1!$H$5,FALSE)))</f>
        <v>264000</v>
      </c>
      <c r="J34" s="243">
        <f>IF($G34="","",IF($G34="小計",VLOOKUP($A34,Sheet1!$O$7:$U$133,Sheet1!$U$5-Sheet1!$N$5,FALSE),VLOOKUP($G34,Sheet1!$I$7:$N$133,Sheet1!$N$5-Sheet1!$H$5,FALSE)))</f>
        <v>3564000</v>
      </c>
      <c r="K34" s="610" t="str">
        <f>IF(OR($G34="",$G34="小計"),"",IF(VLOOKUP($G34,請求Data!$I$11:$AR$160,請求Data!$AR$10-請求Data!$H$10,FALSE)="","",VLOOKUP($G34,請求Data!$I$11:$AR$160,請求Data!$AR$10-請求Data!$H$10,FALSE)))</f>
        <v/>
      </c>
    </row>
    <row r="35" spans="1:11" ht="13.5" customHeight="1">
      <c r="A35" s="481">
        <v>26</v>
      </c>
      <c r="B35" s="477">
        <f t="shared" si="0"/>
        <v>1</v>
      </c>
      <c r="D35" s="844" t="str">
        <f>IF(OR($G35="",$G35="小計"),"",INDEX(請求Data!$T$11:$T$160,MATCH($G35,請求Data!$I$11:$I$160,0))&amp;"")</f>
        <v/>
      </c>
      <c r="E35" s="844"/>
      <c r="F35" s="75"/>
      <c r="G35" s="147" t="str">
        <f>IF(ISNA(MATCH($A35,Sheet1!$B$7:$B$133,0)),IF($A35&gt;MAX(Sheet1!$O$7:$O$133),"",IF($G34="小計","","小計")),IF($A35&gt;MAX(Sheet1!$B$7:$B$133),"",VLOOKUP($A35,Sheet1!$B$7:$U$133,Sheet1!$I$5-Sheet1!$A$5,FALSE)))</f>
        <v>小計</v>
      </c>
      <c r="H35" s="243">
        <f>IF($G35="","",IF($G35="小計",VLOOKUP($A35,Sheet1!$O$7:$U$133,Sheet1!$S$5-Sheet1!$N$5,FALSE),VLOOKUP($G35,Sheet1!$I$7:$N$133,Sheet1!$L$5-Sheet1!$H$5,FALSE)))</f>
        <v>3300000</v>
      </c>
      <c r="I35" s="243">
        <f>IF($G35="","",IF($G35="小計",VLOOKUP($A35,Sheet1!$O$7:$U$133,Sheet1!$T$5-Sheet1!$N$5,FALSE),VLOOKUP($G35,Sheet1!$I$7:$N$133,Sheet1!$M$5-Sheet1!$H$5,FALSE)))</f>
        <v>264000</v>
      </c>
      <c r="J35" s="243">
        <f>IF($G35="","",IF($G35="小計",VLOOKUP($A35,Sheet1!$O$7:$U$133,Sheet1!$U$5-Sheet1!$N$5,FALSE),VLOOKUP($G35,Sheet1!$I$7:$N$133,Sheet1!$N$5-Sheet1!$H$5,FALSE)))</f>
        <v>3564000</v>
      </c>
      <c r="K35" s="610" t="str">
        <f>IF(OR($G35="",$G35="小計"),"",IF(VLOOKUP($G35,請求Data!$I$11:$AR$160,請求Data!$AR$10-請求Data!$H$10,FALSE)="","",VLOOKUP($G35,請求Data!$I$11:$AR$160,請求Data!$AR$10-請求Data!$H$10,FALSE)))</f>
        <v/>
      </c>
    </row>
    <row r="36" spans="1:11" ht="13.5" customHeight="1">
      <c r="A36" s="481">
        <v>27</v>
      </c>
      <c r="B36" s="477">
        <f t="shared" si="0"/>
        <v>1</v>
      </c>
      <c r="D36" s="844" t="str">
        <f>IF(OR($G36="",$G36="小計"),"",INDEX(請求Data!$T$11:$T$160,MATCH($G36,請求Data!$I$11:$I$160,0))&amp;"")</f>
        <v/>
      </c>
      <c r="E36" s="844"/>
      <c r="F36" s="75"/>
      <c r="G36" s="147" t="str">
        <f>IF(ISNA(MATCH($A36,Sheet1!$B$7:$B$133,0)),IF($A36&gt;MAX(Sheet1!$O$7:$O$133),"",IF($G35="小計","","小計")),IF($A36&gt;MAX(Sheet1!$B$7:$B$133),"",VLOOKUP($A36,Sheet1!$B$7:$U$133,Sheet1!$I$5-Sheet1!$A$5,FALSE)))</f>
        <v/>
      </c>
      <c r="H36" s="243" t="str">
        <f>IF($G36="","",IF($G36="小計",VLOOKUP($A36,Sheet1!$O$7:$U$133,Sheet1!$S$5-Sheet1!$N$5,FALSE),VLOOKUP($G36,Sheet1!$I$7:$N$133,Sheet1!$L$5-Sheet1!$H$5,FALSE)))</f>
        <v/>
      </c>
      <c r="I36" s="243" t="str">
        <f>IF($G36="","",IF($G36="小計",VLOOKUP($A36,Sheet1!$O$7:$U$133,Sheet1!$T$5-Sheet1!$N$5,FALSE),VLOOKUP($G36,Sheet1!$I$7:$N$133,Sheet1!$M$5-Sheet1!$H$5,FALSE)))</f>
        <v/>
      </c>
      <c r="J36" s="243" t="str">
        <f>IF($G36="","",IF($G36="小計",VLOOKUP($A36,Sheet1!$O$7:$U$133,Sheet1!$U$5-Sheet1!$N$5,FALSE),VLOOKUP($G36,Sheet1!$I$7:$N$133,Sheet1!$N$5-Sheet1!$H$5,FALSE)))</f>
        <v/>
      </c>
      <c r="K36" s="610" t="str">
        <f>IF(OR($G36="",$G36="小計"),"",IF(VLOOKUP($G36,請求Data!$I$11:$AR$160,請求Data!$AR$10-請求Data!$H$10,FALSE)="","",VLOOKUP($G36,請求Data!$I$11:$AR$160,請求Data!$AR$10-請求Data!$H$10,FALSE)))</f>
        <v/>
      </c>
    </row>
    <row r="37" spans="1:11" ht="13.5" customHeight="1">
      <c r="A37" s="481">
        <v>28</v>
      </c>
      <c r="B37" s="477">
        <f t="shared" si="0"/>
        <v>1</v>
      </c>
      <c r="D37" s="844" t="str">
        <f>IF(OR($G37="",$G37="小計"),"",INDEX(請求Data!$T$11:$T$160,MATCH($G37,請求Data!$I$11:$I$160,0))&amp;"")</f>
        <v>株式会社バンダイナムコアミューズメント</v>
      </c>
      <c r="E37" s="844"/>
      <c r="F37" s="75"/>
      <c r="G37" s="147" t="str">
        <f>IF(ISNA(MATCH($A37,Sheet1!$B$7:$B$133,0)),IF($A37&gt;MAX(Sheet1!$O$7:$O$133),"",IF($G36="小計","","小計")),IF($A37&gt;MAX(Sheet1!$B$7:$B$133),"",VLOOKUP($A37,Sheet1!$B$7:$U$133,Sheet1!$I$5-Sheet1!$A$5,FALSE)))</f>
        <v>39-B07010</v>
      </c>
      <c r="H37" s="243">
        <f>IF($G37="","",IF($G37="小計",VLOOKUP($A37,Sheet1!$O$7:$U$133,Sheet1!$S$5-Sheet1!$N$5,FALSE),VLOOKUP($G37,Sheet1!$I$7:$N$133,Sheet1!$L$5-Sheet1!$H$5,FALSE)))</f>
        <v>8766</v>
      </c>
      <c r="I37" s="243">
        <f>IF($G37="","",IF($G37="小計",VLOOKUP($A37,Sheet1!$O$7:$U$133,Sheet1!$T$5-Sheet1!$N$5,FALSE),VLOOKUP($G37,Sheet1!$I$7:$N$133,Sheet1!$M$5-Sheet1!$H$5,FALSE)))</f>
        <v>701</v>
      </c>
      <c r="J37" s="243">
        <f>IF($G37="","",IF($G37="小計",VLOOKUP($A37,Sheet1!$O$7:$U$133,Sheet1!$U$5-Sheet1!$N$5,FALSE),VLOOKUP($G37,Sheet1!$I$7:$N$133,Sheet1!$N$5-Sheet1!$H$5,FALSE)))</f>
        <v>9467</v>
      </c>
      <c r="K37" s="610" t="str">
        <f>IF(OR($G37="",$G37="小計"),"",IF(VLOOKUP($G37,請求Data!$I$11:$AR$160,請求Data!$AR$10-請求Data!$H$10,FALSE)="","",VLOOKUP($G37,請求Data!$I$11:$AR$160,請求Data!$AR$10-請求Data!$H$10,FALSE)))</f>
        <v/>
      </c>
    </row>
    <row r="38" spans="1:11" ht="13.5" customHeight="1">
      <c r="A38" s="481">
        <v>29</v>
      </c>
      <c r="B38" s="477">
        <f t="shared" si="0"/>
        <v>1</v>
      </c>
      <c r="D38" s="844" t="str">
        <f>IF(OR($G38="",$G38="小計"),"",INDEX(請求Data!$T$11:$T$160,MATCH($G38,請求Data!$I$11:$I$160,0))&amp;"")</f>
        <v>株式会社バンダイナムコアミューズメント</v>
      </c>
      <c r="E38" s="844"/>
      <c r="F38" s="75"/>
      <c r="G38" s="147" t="str">
        <f>IF(ISNA(MATCH($A38,Sheet1!$B$7:$B$133,0)),IF($A38&gt;MAX(Sheet1!$O$7:$O$133),"",IF($G37="小計","","小計")),IF($A38&gt;MAX(Sheet1!$B$7:$B$133),"",VLOOKUP($A38,Sheet1!$B$7:$U$133,Sheet1!$I$5-Sheet1!$A$5,FALSE)))</f>
        <v>39-B07013</v>
      </c>
      <c r="H38" s="243">
        <f>IF($G38="","",IF($G38="小計",VLOOKUP($A38,Sheet1!$O$7:$U$133,Sheet1!$S$5-Sheet1!$N$5,FALSE),VLOOKUP($G38,Sheet1!$I$7:$N$133,Sheet1!$L$5-Sheet1!$H$5,FALSE)))</f>
        <v>5935680</v>
      </c>
      <c r="I38" s="243">
        <f>IF($G38="","",IF($G38="小計",VLOOKUP($A38,Sheet1!$O$7:$U$133,Sheet1!$T$5-Sheet1!$N$5,FALSE),VLOOKUP($G38,Sheet1!$I$7:$N$133,Sheet1!$M$5-Sheet1!$H$5,FALSE)))</f>
        <v>474854</v>
      </c>
      <c r="J38" s="243">
        <f>IF($G38="","",IF($G38="小計",VLOOKUP($A38,Sheet1!$O$7:$U$133,Sheet1!$U$5-Sheet1!$N$5,FALSE),VLOOKUP($G38,Sheet1!$I$7:$N$133,Sheet1!$N$5-Sheet1!$H$5,FALSE)))</f>
        <v>6410534</v>
      </c>
      <c r="K38" s="610" t="str">
        <f>IF(OR($G38="",$G38="小計"),"",IF(VLOOKUP($G38,請求Data!$I$11:$AR$160,請求Data!$AR$10-請求Data!$H$10,FALSE)="","",VLOOKUP($G38,請求Data!$I$11:$AR$160,請求Data!$AR$10-請求Data!$H$10,FALSE)))</f>
        <v/>
      </c>
    </row>
    <row r="39" spans="1:11" ht="13.5" customHeight="1">
      <c r="A39" s="481">
        <v>30</v>
      </c>
      <c r="B39" s="477">
        <f t="shared" si="0"/>
        <v>1</v>
      </c>
      <c r="D39" s="844" t="str">
        <f>IF(OR($G39="",$G39="小計"),"",INDEX(請求Data!$T$11:$T$160,MATCH($G39,請求Data!$I$11:$I$160,0))&amp;"")</f>
        <v/>
      </c>
      <c r="E39" s="844"/>
      <c r="F39" s="75"/>
      <c r="G39" s="147" t="str">
        <f>IF(ISNA(MATCH($A39,Sheet1!$B$7:$B$133,0)),IF($A39&gt;MAX(Sheet1!$O$7:$O$133),"",IF($G38="小計","","小計")),IF($A39&gt;MAX(Sheet1!$B$7:$B$133),"",VLOOKUP($A39,Sheet1!$B$7:$U$133,Sheet1!$I$5-Sheet1!$A$5,FALSE)))</f>
        <v>小計</v>
      </c>
      <c r="H39" s="243">
        <f>IF($G39="","",IF($G39="小計",VLOOKUP($A39,Sheet1!$O$7:$U$133,Sheet1!$S$5-Sheet1!$N$5,FALSE),VLOOKUP($G39,Sheet1!$I$7:$N$133,Sheet1!$L$5-Sheet1!$H$5,FALSE)))</f>
        <v>5944446</v>
      </c>
      <c r="I39" s="243">
        <f>IF($G39="","",IF($G39="小計",VLOOKUP($A39,Sheet1!$O$7:$U$133,Sheet1!$T$5-Sheet1!$N$5,FALSE),VLOOKUP($G39,Sheet1!$I$7:$N$133,Sheet1!$M$5-Sheet1!$H$5,FALSE)))</f>
        <v>475555</v>
      </c>
      <c r="J39" s="243">
        <f>IF($G39="","",IF($G39="小計",VLOOKUP($A39,Sheet1!$O$7:$U$133,Sheet1!$U$5-Sheet1!$N$5,FALSE),VLOOKUP($G39,Sheet1!$I$7:$N$133,Sheet1!$N$5-Sheet1!$H$5,FALSE)))</f>
        <v>6420001</v>
      </c>
      <c r="K39" s="610" t="str">
        <f>IF(OR($G39="",$G39="小計"),"",IF(VLOOKUP($G39,請求Data!$I$11:$AR$160,請求Data!$AR$10-請求Data!$H$10,FALSE)="","",VLOOKUP($G39,請求Data!$I$11:$AR$160,請求Data!$AR$10-請求Data!$H$10,FALSE)))</f>
        <v/>
      </c>
    </row>
    <row r="40" spans="1:11" ht="13.5" customHeight="1">
      <c r="A40" s="481">
        <v>31</v>
      </c>
      <c r="B40" s="477">
        <f t="shared" si="0"/>
        <v>1</v>
      </c>
      <c r="D40" s="844" t="str">
        <f>IF(OR($G40="",$G40="小計"),"",INDEX(請求Data!$T$11:$T$160,MATCH($G40,請求Data!$I$11:$I$160,0))&amp;"")</f>
        <v/>
      </c>
      <c r="E40" s="844"/>
      <c r="F40" s="75"/>
      <c r="G40" s="147" t="str">
        <f>IF(ISNA(MATCH($A40,Sheet1!$B$7:$B$133,0)),IF($A40&gt;MAX(Sheet1!$O$7:$O$133),"",IF($G39="小計","","小計")),IF($A40&gt;MAX(Sheet1!$B$7:$B$133),"",VLOOKUP($A40,Sheet1!$B$7:$U$133,Sheet1!$I$5-Sheet1!$A$5,FALSE)))</f>
        <v/>
      </c>
      <c r="H40" s="243" t="str">
        <f>IF($G40="","",IF($G40="小計",VLOOKUP($A40,Sheet1!$O$7:$U$133,Sheet1!$S$5-Sheet1!$N$5,FALSE),VLOOKUP($G40,Sheet1!$I$7:$N$133,Sheet1!$L$5-Sheet1!$H$5,FALSE)))</f>
        <v/>
      </c>
      <c r="I40" s="243" t="str">
        <f>IF($G40="","",IF($G40="小計",VLOOKUP($A40,Sheet1!$O$7:$U$133,Sheet1!$T$5-Sheet1!$N$5,FALSE),VLOOKUP($G40,Sheet1!$I$7:$N$133,Sheet1!$M$5-Sheet1!$H$5,FALSE)))</f>
        <v/>
      </c>
      <c r="J40" s="243" t="str">
        <f>IF($G40="","",IF($G40="小計",VLOOKUP($A40,Sheet1!$O$7:$U$133,Sheet1!$U$5-Sheet1!$N$5,FALSE),VLOOKUP($G40,Sheet1!$I$7:$N$133,Sheet1!$N$5-Sheet1!$H$5,FALSE)))</f>
        <v/>
      </c>
      <c r="K40" s="610" t="str">
        <f>IF(OR($G40="",$G40="小計"),"",IF(VLOOKUP($G40,請求Data!$I$11:$AR$160,請求Data!$AR$10-請求Data!$H$10,FALSE)="","",VLOOKUP($G40,請求Data!$I$11:$AR$160,請求Data!$AR$10-請求Data!$H$10,FALSE)))</f>
        <v/>
      </c>
    </row>
    <row r="41" spans="1:11" s="7" customFormat="1">
      <c r="A41" s="481">
        <v>32</v>
      </c>
      <c r="B41" s="477">
        <f t="shared" si="0"/>
        <v>1</v>
      </c>
      <c r="C41" s="64"/>
      <c r="D41" s="844" t="str">
        <f>IF(OR($G41="",$G41="小計"),"",INDEX(請求Data!$T$11:$T$160,MATCH($G41,請求Data!$I$11:$I$160,0))&amp;"")</f>
        <v>株式会社 バンプレスト　マーケティング事業部</v>
      </c>
      <c r="E41" s="844"/>
      <c r="F41" s="75"/>
      <c r="G41" s="147" t="str">
        <f>IF(ISNA(MATCH($A41,Sheet1!$B$7:$B$133,0)),IF($A41&gt;MAX(Sheet1!$O$7:$O$133),"",IF($G40="小計","","小計")),IF($A41&gt;MAX(Sheet1!$B$7:$B$133),"",VLOOKUP($A41,Sheet1!$B$7:$U$133,Sheet1!$I$5-Sheet1!$A$5,FALSE)))</f>
        <v>39-B07006</v>
      </c>
      <c r="H41" s="243">
        <f>IF($G41="","",IF($G41="小計",VLOOKUP($A41,Sheet1!$O$7:$U$133,Sheet1!$S$5-Sheet1!$N$5,FALSE),VLOOKUP($G41,Sheet1!$I$7:$N$133,Sheet1!$L$5-Sheet1!$H$5,FALSE)))</f>
        <v>190600</v>
      </c>
      <c r="I41" s="243">
        <f>IF($G41="","",IF($G41="小計",VLOOKUP($A41,Sheet1!$O$7:$U$133,Sheet1!$T$5-Sheet1!$N$5,FALSE),VLOOKUP($G41,Sheet1!$I$7:$N$133,Sheet1!$M$5-Sheet1!$H$5,FALSE)))</f>
        <v>15248</v>
      </c>
      <c r="J41" s="243">
        <f>IF($G41="","",IF($G41="小計",VLOOKUP($A41,Sheet1!$O$7:$U$133,Sheet1!$U$5-Sheet1!$N$5,FALSE),VLOOKUP($G41,Sheet1!$I$7:$N$133,Sheet1!$N$5-Sheet1!$H$5,FALSE)))</f>
        <v>205848</v>
      </c>
      <c r="K41" s="610" t="str">
        <f>IF(OR($G41="",$G41="小計"),"",IF(VLOOKUP($G41,請求Data!$I$11:$AR$160,請求Data!$AR$10-請求Data!$H$10,FALSE)="","",VLOOKUP($G41,請求Data!$I$11:$AR$160,請求Data!$AR$10-請求Data!$H$10,FALSE)))</f>
        <v/>
      </c>
    </row>
    <row r="42" spans="1:11">
      <c r="A42" s="481">
        <v>33</v>
      </c>
      <c r="B42" s="477">
        <f t="shared" si="0"/>
        <v>1</v>
      </c>
      <c r="D42" s="844" t="str">
        <f>IF(OR($G42="",$G42="小計"),"",INDEX(請求Data!$T$11:$T$160,MATCH($G42,請求Data!$I$11:$I$160,0))&amp;"")</f>
        <v/>
      </c>
      <c r="E42" s="844"/>
      <c r="F42" s="75"/>
      <c r="G42" s="147" t="str">
        <f>IF(ISNA(MATCH($A42,Sheet1!$B$7:$B$133,0)),IF($A42&gt;MAX(Sheet1!$O$7:$O$133),"",IF($G41="小計","","小計")),IF($A42&gt;MAX(Sheet1!$B$7:$B$133),"",VLOOKUP($A42,Sheet1!$B$7:$U$133,Sheet1!$I$5-Sheet1!$A$5,FALSE)))</f>
        <v>小計</v>
      </c>
      <c r="H42" s="243">
        <f>IF($G42="","",IF($G42="小計",VLOOKUP($A42,Sheet1!$O$7:$U$133,Sheet1!$S$5-Sheet1!$N$5,FALSE),VLOOKUP($G42,Sheet1!$I$7:$N$133,Sheet1!$L$5-Sheet1!$H$5,FALSE)))</f>
        <v>190600</v>
      </c>
      <c r="I42" s="243">
        <f>IF($G42="","",IF($G42="小計",VLOOKUP($A42,Sheet1!$O$7:$U$133,Sheet1!$T$5-Sheet1!$N$5,FALSE),VLOOKUP($G42,Sheet1!$I$7:$N$133,Sheet1!$M$5-Sheet1!$H$5,FALSE)))</f>
        <v>15248</v>
      </c>
      <c r="J42" s="243">
        <f>IF($G42="","",IF($G42="小計",VLOOKUP($A42,Sheet1!$O$7:$U$133,Sheet1!$U$5-Sheet1!$N$5,FALSE),VLOOKUP($G42,Sheet1!$I$7:$N$133,Sheet1!$N$5-Sheet1!$H$5,FALSE)))</f>
        <v>205848</v>
      </c>
      <c r="K42" s="610" t="str">
        <f>IF(OR($G42="",$G42="小計"),"",IF(VLOOKUP($G42,請求Data!$I$11:$AR$160,請求Data!$AR$10-請求Data!$H$10,FALSE)="","",VLOOKUP($G42,請求Data!$I$11:$AR$160,請求Data!$AR$10-請求Data!$H$10,FALSE)))</f>
        <v/>
      </c>
    </row>
    <row r="43" spans="1:11">
      <c r="A43" s="481">
        <v>34</v>
      </c>
      <c r="B43" s="477">
        <f t="shared" si="0"/>
        <v>1</v>
      </c>
      <c r="D43" s="844" t="str">
        <f>IF(OR($G43="",$G43="小計"),"",INDEX(請求Data!$T$11:$T$160,MATCH($G43,請求Data!$I$11:$I$160,0))&amp;"")</f>
        <v/>
      </c>
      <c r="E43" s="844"/>
      <c r="F43" s="75"/>
      <c r="G43" s="147" t="str">
        <f>IF(ISNA(MATCH($A43,Sheet1!$B$7:$B$133,0)),IF($A43&gt;MAX(Sheet1!$O$7:$O$133),"",IF($G42="小計","","小計")),IF($A43&gt;MAX(Sheet1!$B$7:$B$133),"",VLOOKUP($A43,Sheet1!$B$7:$U$133,Sheet1!$I$5-Sheet1!$A$5,FALSE)))</f>
        <v/>
      </c>
      <c r="H43" s="243" t="str">
        <f>IF($G43="","",IF($G43="小計",VLOOKUP($A43,Sheet1!$O$7:$U$133,Sheet1!$S$5-Sheet1!$N$5,FALSE),VLOOKUP($G43,Sheet1!$I$7:$N$133,Sheet1!$L$5-Sheet1!$H$5,FALSE)))</f>
        <v/>
      </c>
      <c r="I43" s="243" t="str">
        <f>IF($G43="","",IF($G43="小計",VLOOKUP($A43,Sheet1!$O$7:$U$133,Sheet1!$T$5-Sheet1!$N$5,FALSE),VLOOKUP($G43,Sheet1!$I$7:$N$133,Sheet1!$M$5-Sheet1!$H$5,FALSE)))</f>
        <v/>
      </c>
      <c r="J43" s="243" t="str">
        <f>IF($G43="","",IF($G43="小計",VLOOKUP($A43,Sheet1!$O$7:$U$133,Sheet1!$U$5-Sheet1!$N$5,FALSE),VLOOKUP($G43,Sheet1!$I$7:$N$133,Sheet1!$N$5-Sheet1!$H$5,FALSE)))</f>
        <v/>
      </c>
      <c r="K43" s="610" t="str">
        <f>IF(OR($G43="",$G43="小計"),"",IF(VLOOKUP($G43,請求Data!$I$11:$AR$160,請求Data!$AR$10-請求Data!$H$10,FALSE)="","",VLOOKUP($G43,請求Data!$I$11:$AR$160,請求Data!$AR$10-請求Data!$H$10,FALSE)))</f>
        <v/>
      </c>
    </row>
    <row r="44" spans="1:11">
      <c r="A44" s="481">
        <v>35</v>
      </c>
      <c r="B44" s="477">
        <f t="shared" si="0"/>
        <v>1</v>
      </c>
      <c r="D44" s="844" t="str">
        <f>IF(OR($G44="",$G44="小計"),"",INDEX(請求Data!$T$11:$T$160,MATCH($G44,請求Data!$I$11:$I$160,0))&amp;"")</f>
        <v>株式会社ティーケー・ホールディングス　/　5000</v>
      </c>
      <c r="E44" s="844"/>
      <c r="F44" s="75"/>
      <c r="G44" s="147" t="str">
        <f>IF(ISNA(MATCH($A44,Sheet1!$B$7:$B$133,0)),IF($A44&gt;MAX(Sheet1!$O$7:$O$133),"",IF($G43="小計","","小計")),IF($A44&gt;MAX(Sheet1!$B$7:$B$133),"",VLOOKUP($A44,Sheet1!$B$7:$U$133,Sheet1!$I$5-Sheet1!$A$5,FALSE)))</f>
        <v>39-B07014</v>
      </c>
      <c r="H44" s="243">
        <f>IF($G44="","",IF($G44="小計",VLOOKUP($A44,Sheet1!$O$7:$U$133,Sheet1!$S$5-Sheet1!$N$5,FALSE),VLOOKUP($G44,Sheet1!$I$7:$N$133,Sheet1!$L$5-Sheet1!$H$5,FALSE)))</f>
        <v>1056000</v>
      </c>
      <c r="I44" s="243">
        <f>IF($G44="","",IF($G44="小計",VLOOKUP($A44,Sheet1!$O$7:$U$133,Sheet1!$T$5-Sheet1!$N$5,FALSE),VLOOKUP($G44,Sheet1!$I$7:$N$133,Sheet1!$M$5-Sheet1!$H$5,FALSE)))</f>
        <v>0</v>
      </c>
      <c r="J44" s="243">
        <f>IF($G44="","",IF($G44="小計",VLOOKUP($A44,Sheet1!$O$7:$U$133,Sheet1!$U$5-Sheet1!$N$5,FALSE),VLOOKUP($G44,Sheet1!$I$7:$N$133,Sheet1!$N$5-Sheet1!$H$5,FALSE)))</f>
        <v>1056000</v>
      </c>
      <c r="K44" s="610" t="str">
        <f>IF(OR($G44="",$G44="小計"),"",IF(VLOOKUP($G44,請求Data!$I$11:$AR$160,請求Data!$AR$10-請求Data!$H$10,FALSE)="","",VLOOKUP($G44,請求Data!$I$11:$AR$160,請求Data!$AR$10-請求Data!$H$10,FALSE)))</f>
        <v/>
      </c>
    </row>
    <row r="45" spans="1:11">
      <c r="A45" s="481">
        <v>36</v>
      </c>
      <c r="B45" s="477">
        <f t="shared" si="0"/>
        <v>1</v>
      </c>
      <c r="D45" s="844" t="str">
        <f>IF(OR($G45="",$G45="小計"),"",INDEX(請求Data!$T$11:$T$160,MATCH($G45,請求Data!$I$11:$I$160,0))&amp;"")</f>
        <v/>
      </c>
      <c r="E45" s="844"/>
      <c r="F45" s="75"/>
      <c r="G45" s="147" t="str">
        <f>IF(ISNA(MATCH($A45,Sheet1!$B$7:$B$133,0)),IF($A45&gt;MAX(Sheet1!$O$7:$O$133),"",IF($G44="小計","","小計")),IF($A45&gt;MAX(Sheet1!$B$7:$B$133),"",VLOOKUP($A45,Sheet1!$B$7:$U$133,Sheet1!$I$5-Sheet1!$A$5,FALSE)))</f>
        <v>小計</v>
      </c>
      <c r="H45" s="243">
        <f>IF($G45="","",IF($G45="小計",VLOOKUP($A45,Sheet1!$O$7:$U$133,Sheet1!$S$5-Sheet1!$N$5,FALSE),VLOOKUP($G45,Sheet1!$I$7:$N$133,Sheet1!$L$5-Sheet1!$H$5,FALSE)))</f>
        <v>1056000</v>
      </c>
      <c r="I45" s="243">
        <f>IF($G45="","",IF($G45="小計",VLOOKUP($A45,Sheet1!$O$7:$U$133,Sheet1!$T$5-Sheet1!$N$5,FALSE),VLOOKUP($G45,Sheet1!$I$7:$N$133,Sheet1!$M$5-Sheet1!$H$5,FALSE)))</f>
        <v>0</v>
      </c>
      <c r="J45" s="243">
        <f>IF($G45="","",IF($G45="小計",VLOOKUP($A45,Sheet1!$O$7:$U$133,Sheet1!$U$5-Sheet1!$N$5,FALSE),VLOOKUP($G45,Sheet1!$I$7:$N$133,Sheet1!$N$5-Sheet1!$H$5,FALSE)))</f>
        <v>1056000</v>
      </c>
      <c r="K45" s="610" t="str">
        <f>IF(OR($G45="",$G45="小計"),"",IF(VLOOKUP($G45,請求Data!$I$11:$AR$160,請求Data!$AR$10-請求Data!$H$10,FALSE)="","",VLOOKUP($G45,請求Data!$I$11:$AR$160,請求Data!$AR$10-請求Data!$H$10,FALSE)))</f>
        <v/>
      </c>
    </row>
    <row r="46" spans="1:11" ht="13.5" customHeight="1">
      <c r="A46" s="481">
        <v>37</v>
      </c>
      <c r="B46" s="477">
        <f t="shared" si="0"/>
        <v>1</v>
      </c>
      <c r="D46" s="844" t="str">
        <f>IF(OR($G46="",$G46="小計"),"",INDEX(請求Data!$T$11:$T$160,MATCH($G46,請求Data!$I$11:$I$160,0))&amp;"")</f>
        <v/>
      </c>
      <c r="E46" s="844"/>
      <c r="F46" s="75"/>
      <c r="G46" s="147" t="str">
        <f>IF(ISNA(MATCH($A46,Sheet1!$B$7:$B$133,0)),IF($A46&gt;MAX(Sheet1!$O$7:$O$133),"",IF($G45="小計","","小計")),IF($A46&gt;MAX(Sheet1!$B$7:$B$133),"",VLOOKUP($A46,Sheet1!$B$7:$U$133,Sheet1!$I$5-Sheet1!$A$5,FALSE)))</f>
        <v/>
      </c>
      <c r="H46" s="243" t="str">
        <f>IF($G46="","",IF($G46="小計",VLOOKUP($A46,Sheet1!$O$7:$U$133,Sheet1!$S$5-Sheet1!$N$5,FALSE),VLOOKUP($G46,Sheet1!$I$7:$N$133,Sheet1!$L$5-Sheet1!$H$5,FALSE)))</f>
        <v/>
      </c>
      <c r="I46" s="243" t="str">
        <f>IF($G46="","",IF($G46="小計",VLOOKUP($A46,Sheet1!$O$7:$U$133,Sheet1!$T$5-Sheet1!$N$5,FALSE),VLOOKUP($G46,Sheet1!$I$7:$N$133,Sheet1!$M$5-Sheet1!$H$5,FALSE)))</f>
        <v/>
      </c>
      <c r="J46" s="243" t="str">
        <f>IF($G46="","",IF($G46="小計",VLOOKUP($A46,Sheet1!$O$7:$U$133,Sheet1!$U$5-Sheet1!$N$5,FALSE),VLOOKUP($G46,Sheet1!$I$7:$N$133,Sheet1!$N$5-Sheet1!$H$5,FALSE)))</f>
        <v/>
      </c>
      <c r="K46" s="610" t="str">
        <f>IF(OR($G46="",$G46="小計"),"",IF(VLOOKUP($G46,請求Data!$I$11:$AR$160,請求Data!$AR$10-請求Data!$H$10,FALSE)="","",VLOOKUP($G46,請求Data!$I$11:$AR$160,請求Data!$AR$10-請求Data!$H$10,FALSE)))</f>
        <v/>
      </c>
    </row>
    <row r="47" spans="1:11" ht="13.5" customHeight="1">
      <c r="A47" s="481">
        <v>38</v>
      </c>
      <c r="B47" s="477" t="str">
        <f t="shared" si="0"/>
        <v/>
      </c>
      <c r="D47" s="844" t="str">
        <f>IF(OR($G47="",$G47="小計"),"",INDEX(請求Data!$T$11:$T$160,MATCH($G47,請求Data!$I$11:$I$160,0))&amp;"")</f>
        <v/>
      </c>
      <c r="E47" s="844"/>
      <c r="F47" s="75"/>
      <c r="G47" s="147" t="str">
        <f>IF(ISNA(MATCH($A47,Sheet1!$B$7:$B$133,0)),IF($A47&gt;MAX(Sheet1!$O$7:$O$133),"",IF($G46="小計","","小計")),IF($A47&gt;MAX(Sheet1!$B$7:$B$133),"",VLOOKUP($A47,Sheet1!$B$7:$U$133,Sheet1!$I$5-Sheet1!$A$5,FALSE)))</f>
        <v/>
      </c>
      <c r="H47" s="243" t="str">
        <f>IF($G47="","",IF($G47="小計",VLOOKUP($A47,Sheet1!$O$7:$U$133,Sheet1!$S$5-Sheet1!$N$5,FALSE),VLOOKUP($G47,Sheet1!$I$7:$N$133,Sheet1!$L$5-Sheet1!$H$5,FALSE)))</f>
        <v/>
      </c>
      <c r="I47" s="243" t="str">
        <f>IF($G47="","",IF($G47="小計",VLOOKUP($A47,Sheet1!$O$7:$U$133,Sheet1!$T$5-Sheet1!$N$5,FALSE),VLOOKUP($G47,Sheet1!$I$7:$N$133,Sheet1!$M$5-Sheet1!$H$5,FALSE)))</f>
        <v/>
      </c>
      <c r="J47" s="243" t="str">
        <f>IF($G47="","",IF($G47="小計",VLOOKUP($A47,Sheet1!$O$7:$U$133,Sheet1!$U$5-Sheet1!$N$5,FALSE),VLOOKUP($G47,Sheet1!$I$7:$N$133,Sheet1!$N$5-Sheet1!$H$5,FALSE)))</f>
        <v/>
      </c>
      <c r="K47" s="610" t="str">
        <f>IF(OR($G47="",$G47="小計"),"",IF(VLOOKUP($G47,請求Data!$I$11:$AR$160,請求Data!$AR$10-請求Data!$H$10,FALSE)="","",VLOOKUP($G47,請求Data!$I$11:$AR$160,請求Data!$AR$10-請求Data!$H$10,FALSE)))</f>
        <v/>
      </c>
    </row>
    <row r="48" spans="1:11" ht="13.5" customHeight="1">
      <c r="A48" s="481">
        <v>39</v>
      </c>
      <c r="B48" s="477" t="str">
        <f t="shared" si="0"/>
        <v/>
      </c>
      <c r="D48" s="844" t="str">
        <f>IF(OR($G48="",$G48="小計"),"",INDEX(請求Data!$T$11:$T$160,MATCH($G48,請求Data!$I$11:$I$160,0))&amp;"")</f>
        <v/>
      </c>
      <c r="E48" s="844"/>
      <c r="F48" s="75"/>
      <c r="G48" s="147" t="str">
        <f>IF(ISNA(MATCH($A48,Sheet1!$B$7:$B$133,0)),IF($A48&gt;MAX(Sheet1!$O$7:$O$133),"",IF($G47="小計","","小計")),IF($A48&gt;MAX(Sheet1!$B$7:$B$133),"",VLOOKUP($A48,Sheet1!$B$7:$U$133,Sheet1!$I$5-Sheet1!$A$5,FALSE)))</f>
        <v/>
      </c>
      <c r="H48" s="243" t="str">
        <f>IF($G48="","",IF($G48="小計",VLOOKUP($A48,Sheet1!$O$7:$U$133,Sheet1!$S$5-Sheet1!$N$5,FALSE),VLOOKUP($G48,Sheet1!$I$7:$N$133,Sheet1!$L$5-Sheet1!$H$5,FALSE)))</f>
        <v/>
      </c>
      <c r="I48" s="243" t="str">
        <f>IF($G48="","",IF($G48="小計",VLOOKUP($A48,Sheet1!$O$7:$U$133,Sheet1!$T$5-Sheet1!$N$5,FALSE),VLOOKUP($G48,Sheet1!$I$7:$N$133,Sheet1!$M$5-Sheet1!$H$5,FALSE)))</f>
        <v/>
      </c>
      <c r="J48" s="243" t="str">
        <f>IF($G48="","",IF($G48="小計",VLOOKUP($A48,Sheet1!$O$7:$U$133,Sheet1!$U$5-Sheet1!$N$5,FALSE),VLOOKUP($G48,Sheet1!$I$7:$N$133,Sheet1!$N$5-Sheet1!$H$5,FALSE)))</f>
        <v/>
      </c>
      <c r="K48" s="610" t="str">
        <f>IF(OR($G48="",$G48="小計"),"",IF(VLOOKUP($G48,請求Data!$I$11:$AR$160,請求Data!$AR$10-請求Data!$H$10,FALSE)="","",VLOOKUP($G48,請求Data!$I$11:$AR$160,請求Data!$AR$10-請求Data!$H$10,FALSE)))</f>
        <v/>
      </c>
    </row>
    <row r="49" spans="1:11" ht="13.5" customHeight="1">
      <c r="A49" s="481">
        <v>40</v>
      </c>
      <c r="B49" s="477" t="str">
        <f t="shared" si="0"/>
        <v/>
      </c>
      <c r="D49" s="844" t="str">
        <f>IF(OR($G49="",$G49="小計"),"",INDEX(請求Data!$T$11:$T$160,MATCH($G49,請求Data!$I$11:$I$160,0))&amp;"")</f>
        <v/>
      </c>
      <c r="E49" s="844"/>
      <c r="F49" s="75"/>
      <c r="G49" s="147" t="str">
        <f>IF(ISNA(MATCH($A49,Sheet1!$B$7:$B$133,0)),IF($A49&gt;MAX(Sheet1!$O$7:$O$133),"",IF($G48="小計","","小計")),IF($A49&gt;MAX(Sheet1!$B$7:$B$133),"",VLOOKUP($A49,Sheet1!$B$7:$U$133,Sheet1!$I$5-Sheet1!$A$5,FALSE)))</f>
        <v/>
      </c>
      <c r="H49" s="243" t="str">
        <f>IF($G49="","",IF($G49="小計",VLOOKUP($A49,Sheet1!$O$7:$U$133,Sheet1!$S$5-Sheet1!$N$5,FALSE),VLOOKUP($G49,Sheet1!$I$7:$N$133,Sheet1!$L$5-Sheet1!$H$5,FALSE)))</f>
        <v/>
      </c>
      <c r="I49" s="243" t="str">
        <f>IF($G49="","",IF($G49="小計",VLOOKUP($A49,Sheet1!$O$7:$U$133,Sheet1!$T$5-Sheet1!$N$5,FALSE),VLOOKUP($G49,Sheet1!$I$7:$N$133,Sheet1!$M$5-Sheet1!$H$5,FALSE)))</f>
        <v/>
      </c>
      <c r="J49" s="243" t="str">
        <f>IF($G49="","",IF($G49="小計",VLOOKUP($A49,Sheet1!$O$7:$U$133,Sheet1!$U$5-Sheet1!$N$5,FALSE),VLOOKUP($G49,Sheet1!$I$7:$N$133,Sheet1!$N$5-Sheet1!$H$5,FALSE)))</f>
        <v/>
      </c>
      <c r="K49" s="610" t="str">
        <f>IF(OR($G49="",$G49="小計"),"",IF(VLOOKUP($G49,請求Data!$I$11:$AR$160,請求Data!$AR$10-請求Data!$H$10,FALSE)="","",VLOOKUP($G49,請求Data!$I$11:$AR$160,請求Data!$AR$10-請求Data!$H$10,FALSE)))</f>
        <v/>
      </c>
    </row>
    <row r="50" spans="1:11" ht="13.5" customHeight="1">
      <c r="A50" s="481">
        <v>41</v>
      </c>
      <c r="B50" s="477" t="str">
        <f t="shared" si="0"/>
        <v/>
      </c>
      <c r="D50" s="844" t="str">
        <f>IF(OR($G50="",$G50="小計"),"",INDEX(請求Data!$T$11:$T$160,MATCH($G50,請求Data!$I$11:$I$160,0))&amp;"")</f>
        <v/>
      </c>
      <c r="E50" s="844"/>
      <c r="F50" s="75"/>
      <c r="G50" s="147" t="str">
        <f>IF(ISNA(MATCH($A50,Sheet1!$B$7:$B$133,0)),IF($A50&gt;MAX(Sheet1!$O$7:$O$133),"",IF($G49="小計","","小計")),IF($A50&gt;MAX(Sheet1!$B$7:$B$133),"",VLOOKUP($A50,Sheet1!$B$7:$U$133,Sheet1!$I$5-Sheet1!$A$5,FALSE)))</f>
        <v/>
      </c>
      <c r="H50" s="243" t="str">
        <f>IF($G50="","",IF($G50="小計",VLOOKUP($A50,Sheet1!$O$7:$U$133,Sheet1!$S$5-Sheet1!$N$5,FALSE),VLOOKUP($G50,Sheet1!$I$7:$N$133,Sheet1!$L$5-Sheet1!$H$5,FALSE)))</f>
        <v/>
      </c>
      <c r="I50" s="243" t="str">
        <f>IF($G50="","",IF($G50="小計",VLOOKUP($A50,Sheet1!$O$7:$U$133,Sheet1!$T$5-Sheet1!$N$5,FALSE),VLOOKUP($G50,Sheet1!$I$7:$N$133,Sheet1!$M$5-Sheet1!$H$5,FALSE)))</f>
        <v/>
      </c>
      <c r="J50" s="243" t="str">
        <f>IF($G50="","",IF($G50="小計",VLOOKUP($A50,Sheet1!$O$7:$U$133,Sheet1!$U$5-Sheet1!$N$5,FALSE),VLOOKUP($G50,Sheet1!$I$7:$N$133,Sheet1!$N$5-Sheet1!$H$5,FALSE)))</f>
        <v/>
      </c>
      <c r="K50" s="610" t="str">
        <f>IF(OR($G50="",$G50="小計"),"",IF(VLOOKUP($G50,請求Data!$I$11:$AR$160,請求Data!$AR$10-請求Data!$H$10,FALSE)="","",VLOOKUP($G50,請求Data!$I$11:$AR$160,請求Data!$AR$10-請求Data!$H$10,FALSE)))</f>
        <v/>
      </c>
    </row>
    <row r="51" spans="1:11" ht="13.5" customHeight="1">
      <c r="A51" s="481">
        <v>42</v>
      </c>
      <c r="B51" s="477" t="str">
        <f t="shared" si="0"/>
        <v/>
      </c>
      <c r="D51" s="844" t="str">
        <f>IF(OR($G51="",$G51="小計"),"",INDEX(請求Data!$T$11:$T$160,MATCH($G51,請求Data!$I$11:$I$160,0))&amp;"")</f>
        <v/>
      </c>
      <c r="E51" s="844"/>
      <c r="F51" s="75"/>
      <c r="G51" s="147" t="str">
        <f>IF(ISNA(MATCH($A51,Sheet1!$B$7:$B$133,0)),IF($A51&gt;MAX(Sheet1!$O$7:$O$133),"",IF($G50="小計","","小計")),IF($A51&gt;MAX(Sheet1!$B$7:$B$133),"",VLOOKUP($A51,Sheet1!$B$7:$U$133,Sheet1!$I$5-Sheet1!$A$5,FALSE)))</f>
        <v/>
      </c>
      <c r="H51" s="243" t="str">
        <f>IF($G51="","",IF($G51="小計",VLOOKUP($A51,Sheet1!$O$7:$U$133,Sheet1!$S$5-Sheet1!$N$5,FALSE),VLOOKUP($G51,Sheet1!$I$7:$N$133,Sheet1!$L$5-Sheet1!$H$5,FALSE)))</f>
        <v/>
      </c>
      <c r="I51" s="243" t="str">
        <f>IF($G51="","",IF($G51="小計",VLOOKUP($A51,Sheet1!$O$7:$U$133,Sheet1!$T$5-Sheet1!$N$5,FALSE),VLOOKUP($G51,Sheet1!$I$7:$N$133,Sheet1!$M$5-Sheet1!$H$5,FALSE)))</f>
        <v/>
      </c>
      <c r="J51" s="243" t="str">
        <f>IF($G51="","",IF($G51="小計",VLOOKUP($A51,Sheet1!$O$7:$U$133,Sheet1!$U$5-Sheet1!$N$5,FALSE),VLOOKUP($G51,Sheet1!$I$7:$N$133,Sheet1!$N$5-Sheet1!$H$5,FALSE)))</f>
        <v/>
      </c>
      <c r="K51" s="610" t="str">
        <f>IF(OR($G51="",$G51="小計"),"",IF(VLOOKUP($G51,請求Data!$I$11:$AR$160,請求Data!$AR$10-請求Data!$H$10,FALSE)="","",VLOOKUP($G51,請求Data!$I$11:$AR$160,請求Data!$AR$10-請求Data!$H$10,FALSE)))</f>
        <v/>
      </c>
    </row>
    <row r="52" spans="1:11">
      <c r="A52" s="481">
        <v>43</v>
      </c>
      <c r="B52" s="477" t="str">
        <f t="shared" si="0"/>
        <v/>
      </c>
      <c r="D52" s="844" t="str">
        <f>IF(OR($G52="",$G52="小計"),"",INDEX(請求Data!$T$11:$T$160,MATCH($G52,請求Data!$I$11:$I$160,0))&amp;"")</f>
        <v/>
      </c>
      <c r="E52" s="844"/>
      <c r="F52" s="75"/>
      <c r="G52" s="147" t="str">
        <f>IF(ISNA(MATCH($A52,Sheet1!$B$7:$B$133,0)),IF($A52&gt;MAX(Sheet1!$O$7:$O$133),"",IF($G51="小計","","小計")),IF($A52&gt;MAX(Sheet1!$B$7:$B$133),"",VLOOKUP($A52,Sheet1!$B$7:$U$133,Sheet1!$I$5-Sheet1!$A$5,FALSE)))</f>
        <v/>
      </c>
      <c r="H52" s="243" t="str">
        <f>IF($G52="","",IF($G52="小計",VLOOKUP($A52,Sheet1!$O$7:$U$133,Sheet1!$S$5-Sheet1!$N$5,FALSE),VLOOKUP($G52,Sheet1!$I$7:$N$133,Sheet1!$L$5-Sheet1!$H$5,FALSE)))</f>
        <v/>
      </c>
      <c r="I52" s="243" t="str">
        <f>IF($G52="","",IF($G52="小計",VLOOKUP($A52,Sheet1!$O$7:$U$133,Sheet1!$T$5-Sheet1!$N$5,FALSE),VLOOKUP($G52,Sheet1!$I$7:$N$133,Sheet1!$M$5-Sheet1!$H$5,FALSE)))</f>
        <v/>
      </c>
      <c r="J52" s="243" t="str">
        <f>IF($G52="","",IF($G52="小計",VLOOKUP($A52,Sheet1!$O$7:$U$133,Sheet1!$U$5-Sheet1!$N$5,FALSE),VLOOKUP($G52,Sheet1!$I$7:$N$133,Sheet1!$N$5-Sheet1!$H$5,FALSE)))</f>
        <v/>
      </c>
      <c r="K52" s="610" t="str">
        <f>IF(OR($G52="",$G52="小計"),"",IF(VLOOKUP($G52,請求Data!$I$11:$AR$160,請求Data!$AR$10-請求Data!$H$10,FALSE)="","",VLOOKUP($G52,請求Data!$I$11:$AR$160,請求Data!$AR$10-請求Data!$H$10,FALSE)))</f>
        <v/>
      </c>
    </row>
    <row r="53" spans="1:11">
      <c r="A53" s="481">
        <v>44</v>
      </c>
      <c r="B53" s="477" t="str">
        <f t="shared" si="0"/>
        <v/>
      </c>
      <c r="D53" s="844" t="str">
        <f>IF(OR($G53="",$G53="小計"),"",INDEX(請求Data!$T$11:$T$160,MATCH($G53,請求Data!$I$11:$I$160,0))&amp;"")</f>
        <v/>
      </c>
      <c r="E53" s="844"/>
      <c r="F53" s="75"/>
      <c r="G53" s="147" t="str">
        <f>IF(ISNA(MATCH($A53,Sheet1!$B$7:$B$133,0)),IF($A53&gt;MAX(Sheet1!$O$7:$O$133),"",IF($G52="小計","","小計")),IF($A53&gt;MAX(Sheet1!$B$7:$B$133),"",VLOOKUP($A53,Sheet1!$B$7:$U$133,Sheet1!$I$5-Sheet1!$A$5,FALSE)))</f>
        <v/>
      </c>
      <c r="H53" s="243" t="str">
        <f>IF($G53="","",IF($G53="小計",VLOOKUP($A53,Sheet1!$O$7:$U$133,Sheet1!$S$5-Sheet1!$N$5,FALSE),VLOOKUP($G53,Sheet1!$I$7:$N$133,Sheet1!$L$5-Sheet1!$H$5,FALSE)))</f>
        <v/>
      </c>
      <c r="I53" s="243" t="str">
        <f>IF($G53="","",IF($G53="小計",VLOOKUP($A53,Sheet1!$O$7:$U$133,Sheet1!$T$5-Sheet1!$N$5,FALSE),VLOOKUP($G53,Sheet1!$I$7:$N$133,Sheet1!$M$5-Sheet1!$H$5,FALSE)))</f>
        <v/>
      </c>
      <c r="J53" s="243" t="str">
        <f>IF($G53="","",IF($G53="小計",VLOOKUP($A53,Sheet1!$O$7:$U$133,Sheet1!$U$5-Sheet1!$N$5,FALSE),VLOOKUP($G53,Sheet1!$I$7:$N$133,Sheet1!$N$5-Sheet1!$H$5,FALSE)))</f>
        <v/>
      </c>
      <c r="K53" s="610" t="str">
        <f>IF(OR($G53="",$G53="小計"),"",IF(VLOOKUP($G53,請求Data!$I$11:$AR$160,請求Data!$AR$10-請求Data!$H$10,FALSE)="","",VLOOKUP($G53,請求Data!$I$11:$AR$160,請求Data!$AR$10-請求Data!$H$10,FALSE)))</f>
        <v/>
      </c>
    </row>
    <row r="54" spans="1:11">
      <c r="A54" s="481">
        <v>45</v>
      </c>
      <c r="B54" s="477" t="str">
        <f t="shared" si="0"/>
        <v/>
      </c>
      <c r="D54" s="844" t="str">
        <f>IF(OR($G54="",$G54="小計"),"",INDEX(請求Data!$T$11:$T$160,MATCH($G54,請求Data!$I$11:$I$160,0))&amp;"")</f>
        <v/>
      </c>
      <c r="E54" s="844"/>
      <c r="F54" s="75"/>
      <c r="G54" s="147" t="str">
        <f>IF(ISNA(MATCH($A54,Sheet1!$B$7:$B$133,0)),IF($A54&gt;MAX(Sheet1!$O$7:$O$133),"",IF($G53="小計","","小計")),IF($A54&gt;MAX(Sheet1!$B$7:$B$133),"",VLOOKUP($A54,Sheet1!$B$7:$U$133,Sheet1!$I$5-Sheet1!$A$5,FALSE)))</f>
        <v/>
      </c>
      <c r="H54" s="243" t="str">
        <f>IF($G54="","",IF($G54="小計",VLOOKUP($A54,Sheet1!$O$7:$U$133,Sheet1!$S$5-Sheet1!$N$5,FALSE),VLOOKUP($G54,Sheet1!$I$7:$N$133,Sheet1!$L$5-Sheet1!$H$5,FALSE)))</f>
        <v/>
      </c>
      <c r="I54" s="243" t="str">
        <f>IF($G54="","",IF($G54="小計",VLOOKUP($A54,Sheet1!$O$7:$U$133,Sheet1!$T$5-Sheet1!$N$5,FALSE),VLOOKUP($G54,Sheet1!$I$7:$N$133,Sheet1!$M$5-Sheet1!$H$5,FALSE)))</f>
        <v/>
      </c>
      <c r="J54" s="243" t="str">
        <f>IF($G54="","",IF($G54="小計",VLOOKUP($A54,Sheet1!$O$7:$U$133,Sheet1!$U$5-Sheet1!$N$5,FALSE),VLOOKUP($G54,Sheet1!$I$7:$N$133,Sheet1!$N$5-Sheet1!$H$5,FALSE)))</f>
        <v/>
      </c>
      <c r="K54" s="610" t="str">
        <f>IF(OR($G54="",$G54="小計"),"",IF(VLOOKUP($G54,請求Data!$I$11:$AR$160,請求Data!$AR$10-請求Data!$H$10,FALSE)="","",VLOOKUP($G54,請求Data!$I$11:$AR$160,請求Data!$AR$10-請求Data!$H$10,FALSE)))</f>
        <v/>
      </c>
    </row>
    <row r="55" spans="1:11">
      <c r="A55" s="481">
        <v>46</v>
      </c>
      <c r="B55" s="477" t="str">
        <f t="shared" si="0"/>
        <v/>
      </c>
      <c r="D55" s="844" t="str">
        <f>IF(OR($G55="",$G55="小計"),"",INDEX(請求Data!$T$11:$T$160,MATCH($G55,請求Data!$I$11:$I$160,0))&amp;"")</f>
        <v/>
      </c>
      <c r="E55" s="844"/>
      <c r="F55" s="75"/>
      <c r="G55" s="147" t="str">
        <f>IF(ISNA(MATCH($A55,Sheet1!$B$7:$B$133,0)),IF($A55&gt;MAX(Sheet1!$O$7:$O$133),"",IF($G54="小計","","小計")),IF($A55&gt;MAX(Sheet1!$B$7:$B$133),"",VLOOKUP($A55,Sheet1!$B$7:$U$133,Sheet1!$I$5-Sheet1!$A$5,FALSE)))</f>
        <v/>
      </c>
      <c r="H55" s="243" t="str">
        <f>IF($G55="","",IF($G55="小計",VLOOKUP($A55,Sheet1!$O$7:$U$133,Sheet1!$S$5-Sheet1!$N$5,FALSE),VLOOKUP($G55,Sheet1!$I$7:$N$133,Sheet1!$L$5-Sheet1!$H$5,FALSE)))</f>
        <v/>
      </c>
      <c r="I55" s="243" t="str">
        <f>IF($G55="","",IF($G55="小計",VLOOKUP($A55,Sheet1!$O$7:$U$133,Sheet1!$T$5-Sheet1!$N$5,FALSE),VLOOKUP($G55,Sheet1!$I$7:$N$133,Sheet1!$M$5-Sheet1!$H$5,FALSE)))</f>
        <v/>
      </c>
      <c r="J55" s="243" t="str">
        <f>IF($G55="","",IF($G55="小計",VLOOKUP($A55,Sheet1!$O$7:$U$133,Sheet1!$U$5-Sheet1!$N$5,FALSE),VLOOKUP($G55,Sheet1!$I$7:$N$133,Sheet1!$N$5-Sheet1!$H$5,FALSE)))</f>
        <v/>
      </c>
      <c r="K55" s="610" t="str">
        <f>IF(OR($G55="",$G55="小計"),"",IF(VLOOKUP($G55,請求Data!$I$11:$AR$160,請求Data!$AR$10-請求Data!$H$10,FALSE)="","",VLOOKUP($G55,請求Data!$I$11:$AR$160,請求Data!$AR$10-請求Data!$H$10,FALSE)))</f>
        <v/>
      </c>
    </row>
    <row r="56" spans="1:11">
      <c r="A56" s="481">
        <v>47</v>
      </c>
      <c r="B56" s="477" t="str">
        <f t="shared" si="0"/>
        <v/>
      </c>
      <c r="D56" s="844" t="str">
        <f>IF(OR($G56="",$G56="小計"),"",INDEX(請求Data!$T$11:$T$160,MATCH($G56,請求Data!$I$11:$I$160,0))&amp;"")</f>
        <v/>
      </c>
      <c r="E56" s="844"/>
      <c r="F56" s="75"/>
      <c r="G56" s="147" t="str">
        <f>IF(ISNA(MATCH($A56,Sheet1!$B$7:$B$133,0)),IF($A56&gt;MAX(Sheet1!$O$7:$O$133),"",IF($G55="小計","","小計")),IF($A56&gt;MAX(Sheet1!$B$7:$B$133),"",VLOOKUP($A56,Sheet1!$B$7:$U$133,Sheet1!$I$5-Sheet1!$A$5,FALSE)))</f>
        <v/>
      </c>
      <c r="H56" s="243" t="str">
        <f>IF($G56="","",IF($G56="小計",VLOOKUP($A56,Sheet1!$O$7:$U$133,Sheet1!$S$5-Sheet1!$N$5,FALSE),VLOOKUP($G56,Sheet1!$I$7:$N$133,Sheet1!$L$5-Sheet1!$H$5,FALSE)))</f>
        <v/>
      </c>
      <c r="I56" s="243" t="str">
        <f>IF($G56="","",IF($G56="小計",VLOOKUP($A56,Sheet1!$O$7:$U$133,Sheet1!$T$5-Sheet1!$N$5,FALSE),VLOOKUP($G56,Sheet1!$I$7:$N$133,Sheet1!$M$5-Sheet1!$H$5,FALSE)))</f>
        <v/>
      </c>
      <c r="J56" s="243" t="str">
        <f>IF($G56="","",IF($G56="小計",VLOOKUP($A56,Sheet1!$O$7:$U$133,Sheet1!$U$5-Sheet1!$N$5,FALSE),VLOOKUP($G56,Sheet1!$I$7:$N$133,Sheet1!$N$5-Sheet1!$H$5,FALSE)))</f>
        <v/>
      </c>
      <c r="K56" s="610" t="str">
        <f>IF(OR($G56="",$G56="小計"),"",IF(VLOOKUP($G56,請求Data!$I$11:$AR$160,請求Data!$AR$10-請求Data!$H$10,FALSE)="","",VLOOKUP($G56,請求Data!$I$11:$AR$160,請求Data!$AR$10-請求Data!$H$10,FALSE)))</f>
        <v/>
      </c>
    </row>
    <row r="57" spans="1:11">
      <c r="A57" s="481">
        <v>48</v>
      </c>
      <c r="B57" s="477" t="str">
        <f t="shared" si="0"/>
        <v/>
      </c>
      <c r="D57" s="844" t="str">
        <f>IF(OR($G57="",$G57="小計"),"",INDEX(請求Data!$T$11:$T$160,MATCH($G57,請求Data!$I$11:$I$160,0))&amp;"")</f>
        <v/>
      </c>
      <c r="E57" s="844"/>
      <c r="F57" s="75"/>
      <c r="G57" s="147" t="str">
        <f>IF(ISNA(MATCH($A57,Sheet1!$B$7:$B$133,0)),IF($A57&gt;MAX(Sheet1!$O$7:$O$133),"",IF($G56="小計","","小計")),IF($A57&gt;MAX(Sheet1!$B$7:$B$133),"",VLOOKUP($A57,Sheet1!$B$7:$U$133,Sheet1!$I$5-Sheet1!$A$5,FALSE)))</f>
        <v/>
      </c>
      <c r="H57" s="243" t="str">
        <f>IF($G57="","",IF($G57="小計",VLOOKUP($A57,Sheet1!$O$7:$U$133,Sheet1!$S$5-Sheet1!$N$5,FALSE),VLOOKUP($G57,Sheet1!$I$7:$N$133,Sheet1!$L$5-Sheet1!$H$5,FALSE)))</f>
        <v/>
      </c>
      <c r="I57" s="243" t="str">
        <f>IF($G57="","",IF($G57="小計",VLOOKUP($A57,Sheet1!$O$7:$U$133,Sheet1!$T$5-Sheet1!$N$5,FALSE),VLOOKUP($G57,Sheet1!$I$7:$N$133,Sheet1!$M$5-Sheet1!$H$5,FALSE)))</f>
        <v/>
      </c>
      <c r="J57" s="243" t="str">
        <f>IF($G57="","",IF($G57="小計",VLOOKUP($A57,Sheet1!$O$7:$U$133,Sheet1!$U$5-Sheet1!$N$5,FALSE),VLOOKUP($G57,Sheet1!$I$7:$N$133,Sheet1!$N$5-Sheet1!$H$5,FALSE)))</f>
        <v/>
      </c>
      <c r="K57" s="610" t="str">
        <f>IF(OR($G57="",$G57="小計"),"",IF(VLOOKUP($G57,請求Data!$I$11:$AR$160,請求Data!$AR$10-請求Data!$H$10,FALSE)="","",VLOOKUP($G57,請求Data!$I$11:$AR$160,請求Data!$AR$10-請求Data!$H$10,FALSE)))</f>
        <v/>
      </c>
    </row>
    <row r="58" spans="1:11">
      <c r="A58" s="481">
        <v>49</v>
      </c>
      <c r="B58" s="477" t="str">
        <f t="shared" si="0"/>
        <v/>
      </c>
      <c r="D58" s="844" t="str">
        <f>IF(OR($G58="",$G58="小計"),"",INDEX(請求Data!$T$11:$T$160,MATCH($G58,請求Data!$I$11:$I$160,0))&amp;"")</f>
        <v/>
      </c>
      <c r="E58" s="844"/>
      <c r="F58" s="75"/>
      <c r="G58" s="147" t="str">
        <f>IF(ISNA(MATCH($A58,Sheet1!$B$7:$B$133,0)),IF($A58&gt;MAX(Sheet1!$O$7:$O$133),"",IF($G57="小計","","小計")),IF($A58&gt;MAX(Sheet1!$B$7:$B$133),"",VLOOKUP($A58,Sheet1!$B$7:$U$133,Sheet1!$I$5-Sheet1!$A$5,FALSE)))</f>
        <v/>
      </c>
      <c r="H58" s="243" t="str">
        <f>IF($G58="","",IF($G58="小計",VLOOKUP($A58,Sheet1!$O$7:$U$133,Sheet1!$S$5-Sheet1!$N$5,FALSE),VLOOKUP($G58,Sheet1!$I$7:$N$133,Sheet1!$L$5-Sheet1!$H$5,FALSE)))</f>
        <v/>
      </c>
      <c r="I58" s="243" t="str">
        <f>IF($G58="","",IF($G58="小計",VLOOKUP($A58,Sheet1!$O$7:$U$133,Sheet1!$T$5-Sheet1!$N$5,FALSE),VLOOKUP($G58,Sheet1!$I$7:$N$133,Sheet1!$M$5-Sheet1!$H$5,FALSE)))</f>
        <v/>
      </c>
      <c r="J58" s="243" t="str">
        <f>IF($G58="","",IF($G58="小計",VLOOKUP($A58,Sheet1!$O$7:$U$133,Sheet1!$U$5-Sheet1!$N$5,FALSE),VLOOKUP($G58,Sheet1!$I$7:$N$133,Sheet1!$N$5-Sheet1!$H$5,FALSE)))</f>
        <v/>
      </c>
      <c r="K58" s="610" t="str">
        <f>IF(OR($G58="",$G58="小計"),"",IF(VLOOKUP($G58,請求Data!$I$11:$AR$160,請求Data!$AR$10-請求Data!$H$10,FALSE)="","",VLOOKUP($G58,請求Data!$I$11:$AR$160,請求Data!$AR$10-請求Data!$H$10,FALSE)))</f>
        <v/>
      </c>
    </row>
    <row r="59" spans="1:11">
      <c r="A59" s="481">
        <v>50</v>
      </c>
      <c r="B59" s="477" t="str">
        <f t="shared" si="0"/>
        <v/>
      </c>
      <c r="D59" s="844" t="str">
        <f>IF(OR($G59="",$G59="小計"),"",INDEX(請求Data!$T$11:$T$160,MATCH($G59,請求Data!$I$11:$I$160,0))&amp;"")</f>
        <v/>
      </c>
      <c r="E59" s="844"/>
      <c r="F59" s="75"/>
      <c r="G59" s="147" t="str">
        <f>IF(ISNA(MATCH($A59,Sheet1!$B$7:$B$133,0)),IF($A59&gt;MAX(Sheet1!$O$7:$O$133),"",IF($G58="小計","","小計")),IF($A59&gt;MAX(Sheet1!$B$7:$B$133),"",VLOOKUP($A59,Sheet1!$B$7:$U$133,Sheet1!$I$5-Sheet1!$A$5,FALSE)))</f>
        <v/>
      </c>
      <c r="H59" s="243" t="str">
        <f>IF($G59="","",IF($G59="小計",VLOOKUP($A59,Sheet1!$O$7:$U$133,Sheet1!$S$5-Sheet1!$N$5,FALSE),VLOOKUP($G59,Sheet1!$I$7:$N$133,Sheet1!$L$5-Sheet1!$H$5,FALSE)))</f>
        <v/>
      </c>
      <c r="I59" s="243" t="str">
        <f>IF($G59="","",IF($G59="小計",VLOOKUP($A59,Sheet1!$O$7:$U$133,Sheet1!$T$5-Sheet1!$N$5,FALSE),VLOOKUP($G59,Sheet1!$I$7:$N$133,Sheet1!$M$5-Sheet1!$H$5,FALSE)))</f>
        <v/>
      </c>
      <c r="J59" s="243" t="str">
        <f>IF($G59="","",IF($G59="小計",VLOOKUP($A59,Sheet1!$O$7:$U$133,Sheet1!$U$5-Sheet1!$N$5,FALSE),VLOOKUP($G59,Sheet1!$I$7:$N$133,Sheet1!$N$5-Sheet1!$H$5,FALSE)))</f>
        <v/>
      </c>
      <c r="K59" s="610" t="str">
        <f>IF(OR($G59="",$G59="小計"),"",IF(VLOOKUP($G59,請求Data!$I$11:$AR$160,請求Data!$AR$10-請求Data!$H$10,FALSE)="","",VLOOKUP($G59,請求Data!$I$11:$AR$160,請求Data!$AR$10-請求Data!$H$10,FALSE)))</f>
        <v/>
      </c>
    </row>
    <row r="60" spans="1:11">
      <c r="A60" s="481">
        <v>51</v>
      </c>
      <c r="B60" s="477" t="str">
        <f t="shared" si="0"/>
        <v/>
      </c>
      <c r="D60" s="844" t="str">
        <f>IF(OR($G60="",$G60="小計"),"",INDEX(請求Data!$T$11:$T$160,MATCH($G60,請求Data!$I$11:$I$160,0))&amp;"")</f>
        <v/>
      </c>
      <c r="E60" s="844"/>
      <c r="F60" s="75"/>
      <c r="G60" s="147" t="str">
        <f>IF(ISNA(MATCH($A60,Sheet1!$B$7:$B$133,0)),IF($A60&gt;MAX(Sheet1!$O$7:$O$133),"",IF($G59="小計","","小計")),IF($A60&gt;MAX(Sheet1!$B$7:$B$133),"",VLOOKUP($A60,Sheet1!$B$7:$U$133,Sheet1!$I$5-Sheet1!$A$5,FALSE)))</f>
        <v/>
      </c>
      <c r="H60" s="243" t="str">
        <f>IF($G60="","",IF($G60="小計",VLOOKUP($A60,Sheet1!$O$7:$U$133,Sheet1!$S$5-Sheet1!$N$5,FALSE),VLOOKUP($G60,Sheet1!$I$7:$N$133,Sheet1!$L$5-Sheet1!$H$5,FALSE)))</f>
        <v/>
      </c>
      <c r="I60" s="243" t="str">
        <f>IF($G60="","",IF($G60="小計",VLOOKUP($A60,Sheet1!$O$7:$U$133,Sheet1!$T$5-Sheet1!$N$5,FALSE),VLOOKUP($G60,Sheet1!$I$7:$N$133,Sheet1!$M$5-Sheet1!$H$5,FALSE)))</f>
        <v/>
      </c>
      <c r="J60" s="243" t="str">
        <f>IF($G60="","",IF($G60="小計",VLOOKUP($A60,Sheet1!$O$7:$U$133,Sheet1!$U$5-Sheet1!$N$5,FALSE),VLOOKUP($G60,Sheet1!$I$7:$N$133,Sheet1!$N$5-Sheet1!$H$5,FALSE)))</f>
        <v/>
      </c>
      <c r="K60" s="610" t="str">
        <f>IF(OR($G60="",$G60="小計"),"",IF(VLOOKUP($G60,請求Data!$I$11:$AR$160,請求Data!$AR$10-請求Data!$H$10,FALSE)="","",VLOOKUP($G60,請求Data!$I$11:$AR$160,請求Data!$AR$10-請求Data!$H$10,FALSE)))</f>
        <v/>
      </c>
    </row>
    <row r="61" spans="1:11">
      <c r="A61" s="481">
        <v>52</v>
      </c>
      <c r="B61" s="477" t="str">
        <f t="shared" si="0"/>
        <v/>
      </c>
      <c r="D61" s="844" t="str">
        <f>IF(OR($G61="",$G61="小計"),"",INDEX(請求Data!$T$11:$T$160,MATCH($G61,請求Data!$I$11:$I$160,0))&amp;"")</f>
        <v/>
      </c>
      <c r="E61" s="844"/>
      <c r="F61" s="75"/>
      <c r="G61" s="147" t="str">
        <f>IF(ISNA(MATCH($A61,Sheet1!$B$7:$B$133,0)),IF($A61&gt;MAX(Sheet1!$O$7:$O$133),"",IF($G60="小計","","小計")),IF($A61&gt;MAX(Sheet1!$B$7:$B$133),"",VLOOKUP($A61,Sheet1!$B$7:$U$133,Sheet1!$I$5-Sheet1!$A$5,FALSE)))</f>
        <v/>
      </c>
      <c r="H61" s="243" t="str">
        <f>IF($G61="","",IF($G61="小計",VLOOKUP($A61,Sheet1!$O$7:$U$133,Sheet1!$S$5-Sheet1!$N$5,FALSE),VLOOKUP($G61,Sheet1!$I$7:$N$133,Sheet1!$L$5-Sheet1!$H$5,FALSE)))</f>
        <v/>
      </c>
      <c r="I61" s="243" t="str">
        <f>IF($G61="","",IF($G61="小計",VLOOKUP($A61,Sheet1!$O$7:$U$133,Sheet1!$T$5-Sheet1!$N$5,FALSE),VLOOKUP($G61,Sheet1!$I$7:$N$133,Sheet1!$M$5-Sheet1!$H$5,FALSE)))</f>
        <v/>
      </c>
      <c r="J61" s="243" t="str">
        <f>IF($G61="","",IF($G61="小計",VLOOKUP($A61,Sheet1!$O$7:$U$133,Sheet1!$U$5-Sheet1!$N$5,FALSE),VLOOKUP($G61,Sheet1!$I$7:$N$133,Sheet1!$N$5-Sheet1!$H$5,FALSE)))</f>
        <v/>
      </c>
      <c r="K61" s="610" t="str">
        <f>IF(OR($G61="",$G61="小計"),"",IF(VLOOKUP($G61,請求Data!$I$11:$AR$160,請求Data!$AR$10-請求Data!$H$10,FALSE)="","",VLOOKUP($G61,請求Data!$I$11:$AR$160,請求Data!$AR$10-請求Data!$H$10,FALSE)))</f>
        <v/>
      </c>
    </row>
    <row r="62" spans="1:11">
      <c r="A62" s="481">
        <v>53</v>
      </c>
      <c r="B62" s="477" t="str">
        <f t="shared" si="0"/>
        <v/>
      </c>
      <c r="D62" s="844" t="str">
        <f>IF(OR($G62="",$G62="小計"),"",INDEX(請求Data!$T$11:$T$160,MATCH($G62,請求Data!$I$11:$I$160,0))&amp;"")</f>
        <v/>
      </c>
      <c r="E62" s="844"/>
      <c r="F62" s="75"/>
      <c r="G62" s="147" t="str">
        <f>IF(ISNA(MATCH($A62,Sheet1!$B$7:$B$133,0)),IF($A62&gt;MAX(Sheet1!$O$7:$O$133),"",IF($G61="小計","","小計")),IF($A62&gt;MAX(Sheet1!$B$7:$B$133),"",VLOOKUP($A62,Sheet1!$B$7:$U$133,Sheet1!$I$5-Sheet1!$A$5,FALSE)))</f>
        <v/>
      </c>
      <c r="H62" s="243" t="str">
        <f>IF($G62="","",IF($G62="小計",VLOOKUP($A62,Sheet1!$O$7:$U$133,Sheet1!$S$5-Sheet1!$N$5,FALSE),VLOOKUP($G62,Sheet1!$I$7:$N$133,Sheet1!$L$5-Sheet1!$H$5,FALSE)))</f>
        <v/>
      </c>
      <c r="I62" s="243" t="str">
        <f>IF($G62="","",IF($G62="小計",VLOOKUP($A62,Sheet1!$O$7:$U$133,Sheet1!$T$5-Sheet1!$N$5,FALSE),VLOOKUP($G62,Sheet1!$I$7:$N$133,Sheet1!$M$5-Sheet1!$H$5,FALSE)))</f>
        <v/>
      </c>
      <c r="J62" s="243" t="str">
        <f>IF($G62="","",IF($G62="小計",VLOOKUP($A62,Sheet1!$O$7:$U$133,Sheet1!$U$5-Sheet1!$N$5,FALSE),VLOOKUP($G62,Sheet1!$I$7:$N$133,Sheet1!$N$5-Sheet1!$H$5,FALSE)))</f>
        <v/>
      </c>
      <c r="K62" s="610" t="str">
        <f>IF(OR($G62="",$G62="小計"),"",IF(VLOOKUP($G62,請求Data!$I$11:$AR$160,請求Data!$AR$10-請求Data!$H$10,FALSE)="","",VLOOKUP($G62,請求Data!$I$11:$AR$160,請求Data!$AR$10-請求Data!$H$10,FALSE)))</f>
        <v/>
      </c>
    </row>
    <row r="63" spans="1:11">
      <c r="A63" s="481">
        <v>54</v>
      </c>
      <c r="B63" s="477" t="str">
        <f t="shared" si="0"/>
        <v/>
      </c>
      <c r="D63" s="844" t="str">
        <f>IF(OR($G63="",$G63="小計"),"",INDEX(請求Data!$T$11:$T$160,MATCH($G63,請求Data!$I$11:$I$160,0))&amp;"")</f>
        <v/>
      </c>
      <c r="E63" s="844"/>
      <c r="F63" s="75"/>
      <c r="G63" s="147" t="str">
        <f>IF(ISNA(MATCH($A63,Sheet1!$B$7:$B$133,0)),IF($A63&gt;MAX(Sheet1!$O$7:$O$133),"",IF($G62="小計","","小計")),IF($A63&gt;MAX(Sheet1!$B$7:$B$133),"",VLOOKUP($A63,Sheet1!$B$7:$U$133,Sheet1!$I$5-Sheet1!$A$5,FALSE)))</f>
        <v/>
      </c>
      <c r="H63" s="243" t="str">
        <f>IF($G63="","",IF($G63="小計",VLOOKUP($A63,Sheet1!$O$7:$U$133,Sheet1!$S$5-Sheet1!$N$5,FALSE),VLOOKUP($G63,Sheet1!$I$7:$N$133,Sheet1!$L$5-Sheet1!$H$5,FALSE)))</f>
        <v/>
      </c>
      <c r="I63" s="243" t="str">
        <f>IF($G63="","",IF($G63="小計",VLOOKUP($A63,Sheet1!$O$7:$U$133,Sheet1!$T$5-Sheet1!$N$5,FALSE),VLOOKUP($G63,Sheet1!$I$7:$N$133,Sheet1!$M$5-Sheet1!$H$5,FALSE)))</f>
        <v/>
      </c>
      <c r="J63" s="243" t="str">
        <f>IF($G63="","",IF($G63="小計",VLOOKUP($A63,Sheet1!$O$7:$U$133,Sheet1!$U$5-Sheet1!$N$5,FALSE),VLOOKUP($G63,Sheet1!$I$7:$N$133,Sheet1!$N$5-Sheet1!$H$5,FALSE)))</f>
        <v/>
      </c>
      <c r="K63" s="610" t="str">
        <f>IF(OR($G63="",$G63="小計"),"",IF(VLOOKUP($G63,請求Data!$I$11:$AR$160,請求Data!$AR$10-請求Data!$H$10,FALSE)="","",VLOOKUP($G63,請求Data!$I$11:$AR$160,請求Data!$AR$10-請求Data!$H$10,FALSE)))</f>
        <v/>
      </c>
    </row>
    <row r="64" spans="1:11" s="7" customFormat="1">
      <c r="A64" s="481">
        <v>55</v>
      </c>
      <c r="B64" s="477" t="str">
        <f t="shared" si="0"/>
        <v/>
      </c>
      <c r="C64" s="64"/>
      <c r="D64" s="844" t="str">
        <f>IF(OR($G64="",$G64="小計"),"",INDEX(請求Data!$T$11:$T$160,MATCH($G64,請求Data!$I$11:$I$160,0))&amp;"")</f>
        <v/>
      </c>
      <c r="E64" s="844"/>
      <c r="F64" s="75"/>
      <c r="G64" s="147" t="str">
        <f>IF(ISNA(MATCH($A64,Sheet1!$B$7:$B$133,0)),IF($A64&gt;MAX(Sheet1!$O$7:$O$133),"",IF($G63="小計","","小計")),IF($A64&gt;MAX(Sheet1!$B$7:$B$133),"",VLOOKUP($A64,Sheet1!$B$7:$U$133,Sheet1!$I$5-Sheet1!$A$5,FALSE)))</f>
        <v/>
      </c>
      <c r="H64" s="243" t="str">
        <f>IF($G64="","",IF($G64="小計",VLOOKUP($A64,Sheet1!$O$7:$U$133,Sheet1!$S$5-Sheet1!$N$5,FALSE),VLOOKUP($G64,Sheet1!$I$7:$N$133,Sheet1!$L$5-Sheet1!$H$5,FALSE)))</f>
        <v/>
      </c>
      <c r="I64" s="243" t="str">
        <f>IF($G64="","",IF($G64="小計",VLOOKUP($A64,Sheet1!$O$7:$U$133,Sheet1!$T$5-Sheet1!$N$5,FALSE),VLOOKUP($G64,Sheet1!$I$7:$N$133,Sheet1!$M$5-Sheet1!$H$5,FALSE)))</f>
        <v/>
      </c>
      <c r="J64" s="243" t="str">
        <f>IF($G64="","",IF($G64="小計",VLOOKUP($A64,Sheet1!$O$7:$U$133,Sheet1!$U$5-Sheet1!$N$5,FALSE),VLOOKUP($G64,Sheet1!$I$7:$N$133,Sheet1!$N$5-Sheet1!$H$5,FALSE)))</f>
        <v/>
      </c>
      <c r="K64" s="610" t="str">
        <f>IF(OR($G64="",$G64="小計"),"",IF(VLOOKUP($G64,請求Data!$I$11:$AR$160,請求Data!$AR$10-請求Data!$H$10,FALSE)="","",VLOOKUP($G64,請求Data!$I$11:$AR$160,請求Data!$AR$10-請求Data!$H$10,FALSE)))</f>
        <v/>
      </c>
    </row>
    <row r="65" spans="1:11">
      <c r="A65" s="481">
        <v>56</v>
      </c>
      <c r="B65" s="477" t="str">
        <f t="shared" si="0"/>
        <v/>
      </c>
      <c r="D65" s="844" t="str">
        <f>IF(OR($G65="",$G65="小計"),"",INDEX(請求Data!$T$11:$T$160,MATCH($G65,請求Data!$I$11:$I$160,0))&amp;"")</f>
        <v/>
      </c>
      <c r="E65" s="844"/>
      <c r="F65" s="75"/>
      <c r="G65" s="147" t="str">
        <f>IF(ISNA(MATCH($A65,Sheet1!$B$7:$B$133,0)),IF($A65&gt;MAX(Sheet1!$O$7:$O$133),"",IF($G64="小計","","小計")),IF($A65&gt;MAX(Sheet1!$B$7:$B$133),"",VLOOKUP($A65,Sheet1!$B$7:$U$133,Sheet1!$I$5-Sheet1!$A$5,FALSE)))</f>
        <v/>
      </c>
      <c r="H65" s="243" t="str">
        <f>IF($G65="","",IF($G65="小計",VLOOKUP($A65,Sheet1!$O$7:$U$133,Sheet1!$S$5-Sheet1!$N$5,FALSE),VLOOKUP($G65,Sheet1!$I$7:$N$133,Sheet1!$L$5-Sheet1!$H$5,FALSE)))</f>
        <v/>
      </c>
      <c r="I65" s="243" t="str">
        <f>IF($G65="","",IF($G65="小計",VLOOKUP($A65,Sheet1!$O$7:$U$133,Sheet1!$T$5-Sheet1!$N$5,FALSE),VLOOKUP($G65,Sheet1!$I$7:$N$133,Sheet1!$M$5-Sheet1!$H$5,FALSE)))</f>
        <v/>
      </c>
      <c r="J65" s="243" t="str">
        <f>IF($G65="","",IF($G65="小計",VLOOKUP($A65,Sheet1!$O$7:$U$133,Sheet1!$U$5-Sheet1!$N$5,FALSE),VLOOKUP($G65,Sheet1!$I$7:$N$133,Sheet1!$N$5-Sheet1!$H$5,FALSE)))</f>
        <v/>
      </c>
      <c r="K65" s="610" t="str">
        <f>IF(OR($G65="",$G65="小計"),"",IF(VLOOKUP($G65,請求Data!$I$11:$AR$160,請求Data!$AR$10-請求Data!$H$10,FALSE)="","",VLOOKUP($G65,請求Data!$I$11:$AR$160,請求Data!$AR$10-請求Data!$H$10,FALSE)))</f>
        <v/>
      </c>
    </row>
    <row r="66" spans="1:11">
      <c r="A66" s="481">
        <v>57</v>
      </c>
      <c r="B66" s="477" t="str">
        <f t="shared" si="0"/>
        <v/>
      </c>
      <c r="D66" s="844" t="str">
        <f>IF(OR($G66="",$G66="小計"),"",INDEX(請求Data!$T$11:$T$160,MATCH($G66,請求Data!$I$11:$I$160,0))&amp;"")</f>
        <v/>
      </c>
      <c r="E66" s="844"/>
      <c r="F66" s="75"/>
      <c r="G66" s="147" t="str">
        <f>IF(ISNA(MATCH($A66,Sheet1!$B$7:$B$133,0)),IF($A66&gt;MAX(Sheet1!$O$7:$O$133),"",IF($G65="小計","","小計")),IF($A66&gt;MAX(Sheet1!$B$7:$B$133),"",VLOOKUP($A66,Sheet1!$B$7:$U$133,Sheet1!$I$5-Sheet1!$A$5,FALSE)))</f>
        <v/>
      </c>
      <c r="H66" s="243" t="str">
        <f>IF($G66="","",IF($G66="小計",VLOOKUP($A66,Sheet1!$O$7:$U$133,Sheet1!$S$5-Sheet1!$N$5,FALSE),VLOOKUP($G66,Sheet1!$I$7:$N$133,Sheet1!$L$5-Sheet1!$H$5,FALSE)))</f>
        <v/>
      </c>
      <c r="I66" s="243" t="str">
        <f>IF($G66="","",IF($G66="小計",VLOOKUP($A66,Sheet1!$O$7:$U$133,Sheet1!$T$5-Sheet1!$N$5,FALSE),VLOOKUP($G66,Sheet1!$I$7:$N$133,Sheet1!$M$5-Sheet1!$H$5,FALSE)))</f>
        <v/>
      </c>
      <c r="J66" s="243" t="str">
        <f>IF($G66="","",IF($G66="小計",VLOOKUP($A66,Sheet1!$O$7:$U$133,Sheet1!$U$5-Sheet1!$N$5,FALSE),VLOOKUP($G66,Sheet1!$I$7:$N$133,Sheet1!$N$5-Sheet1!$H$5,FALSE)))</f>
        <v/>
      </c>
      <c r="K66" s="610" t="str">
        <f>IF(OR($G66="",$G66="小計"),"",IF(VLOOKUP($G66,請求Data!$I$11:$AR$160,請求Data!$AR$10-請求Data!$H$10,FALSE)="","",VLOOKUP($G66,請求Data!$I$11:$AR$160,請求Data!$AR$10-請求Data!$H$10,FALSE)))</f>
        <v/>
      </c>
    </row>
    <row r="67" spans="1:11" ht="13.5" customHeight="1">
      <c r="A67" s="481">
        <v>58</v>
      </c>
      <c r="B67" s="477" t="str">
        <f t="shared" si="0"/>
        <v/>
      </c>
      <c r="D67" s="844" t="str">
        <f>IF(OR($G67="",$G67="小計"),"",INDEX(請求Data!$T$11:$T$160,MATCH($G67,請求Data!$I$11:$I$160,0))&amp;"")</f>
        <v/>
      </c>
      <c r="E67" s="844"/>
      <c r="F67" s="75"/>
      <c r="G67" s="147" t="str">
        <f>IF(ISNA(MATCH($A67,Sheet1!$B$7:$B$133,0)),IF($A67&gt;MAX(Sheet1!$O$7:$O$133),"",IF($G66="小計","","小計")),IF($A67&gt;MAX(Sheet1!$B$7:$B$133),"",VLOOKUP($A67,Sheet1!$B$7:$U$133,Sheet1!$I$5-Sheet1!$A$5,FALSE)))</f>
        <v/>
      </c>
      <c r="H67" s="243" t="str">
        <f>IF($G67="","",IF($G67="小計",VLOOKUP($A67,Sheet1!$O$7:$U$133,Sheet1!$S$5-Sheet1!$N$5,FALSE),VLOOKUP($G67,Sheet1!$I$7:$N$133,Sheet1!$L$5-Sheet1!$H$5,FALSE)))</f>
        <v/>
      </c>
      <c r="I67" s="243" t="str">
        <f>IF($G67="","",IF($G67="小計",VLOOKUP($A67,Sheet1!$O$7:$U$133,Sheet1!$T$5-Sheet1!$N$5,FALSE),VLOOKUP($G67,Sheet1!$I$7:$N$133,Sheet1!$M$5-Sheet1!$H$5,FALSE)))</f>
        <v/>
      </c>
      <c r="J67" s="243" t="str">
        <f>IF($G67="","",IF($G67="小計",VLOOKUP($A67,Sheet1!$O$7:$U$133,Sheet1!$U$5-Sheet1!$N$5,FALSE),VLOOKUP($G67,Sheet1!$I$7:$N$133,Sheet1!$N$5-Sheet1!$H$5,FALSE)))</f>
        <v/>
      </c>
      <c r="K67" s="610" t="str">
        <f>IF(OR($G67="",$G67="小計"),"",IF(VLOOKUP($G67,請求Data!$I$11:$AR$160,請求Data!$AR$10-請求Data!$H$10,FALSE)="","",VLOOKUP($G67,請求Data!$I$11:$AR$160,請求Data!$AR$10-請求Data!$H$10,FALSE)))</f>
        <v/>
      </c>
    </row>
    <row r="68" spans="1:11" s="7" customFormat="1">
      <c r="A68" s="481">
        <v>59</v>
      </c>
      <c r="B68" s="477" t="str">
        <f t="shared" si="0"/>
        <v/>
      </c>
      <c r="C68" s="64"/>
      <c r="D68" s="844" t="str">
        <f>IF(OR($G68="",$G68="小計"),"",INDEX(請求Data!$T$11:$T$160,MATCH($G68,請求Data!$I$11:$I$160,0))&amp;"")</f>
        <v/>
      </c>
      <c r="E68" s="844"/>
      <c r="F68" s="75"/>
      <c r="G68" s="147" t="str">
        <f>IF(ISNA(MATCH($A68,Sheet1!$B$7:$B$133,0)),IF($A68&gt;MAX(Sheet1!$O$7:$O$133),"",IF($G67="小計","","小計")),IF($A68&gt;MAX(Sheet1!$B$7:$B$133),"",VLOOKUP($A68,Sheet1!$B$7:$U$133,Sheet1!$I$5-Sheet1!$A$5,FALSE)))</f>
        <v/>
      </c>
      <c r="H68" s="243" t="str">
        <f>IF($G68="","",IF($G68="小計",VLOOKUP($A68,Sheet1!$O$7:$U$133,Sheet1!$S$5-Sheet1!$N$5,FALSE),VLOOKUP($G68,Sheet1!$I$7:$N$133,Sheet1!$L$5-Sheet1!$H$5,FALSE)))</f>
        <v/>
      </c>
      <c r="I68" s="243" t="str">
        <f>IF($G68="","",IF($G68="小計",VLOOKUP($A68,Sheet1!$O$7:$U$133,Sheet1!$T$5-Sheet1!$N$5,FALSE),VLOOKUP($G68,Sheet1!$I$7:$N$133,Sheet1!$M$5-Sheet1!$H$5,FALSE)))</f>
        <v/>
      </c>
      <c r="J68" s="243" t="str">
        <f>IF($G68="","",IF($G68="小計",VLOOKUP($A68,Sheet1!$O$7:$U$133,Sheet1!$U$5-Sheet1!$N$5,FALSE),VLOOKUP($G68,Sheet1!$I$7:$N$133,Sheet1!$N$5-Sheet1!$H$5,FALSE)))</f>
        <v/>
      </c>
      <c r="K68" s="610" t="str">
        <f>IF(OR($G68="",$G68="小計"),"",IF(VLOOKUP($G68,請求Data!$I$11:$AR$160,請求Data!$AR$10-請求Data!$H$10,FALSE)="","",VLOOKUP($G68,請求Data!$I$11:$AR$160,請求Data!$AR$10-請求Data!$H$10,FALSE)))</f>
        <v/>
      </c>
    </row>
    <row r="69" spans="1:11">
      <c r="A69" s="481">
        <v>60</v>
      </c>
      <c r="B69" s="477" t="str">
        <f t="shared" si="0"/>
        <v/>
      </c>
      <c r="D69" s="844" t="str">
        <f>IF(OR($G69="",$G69="小計"),"",INDEX(請求Data!$T$11:$T$160,MATCH($G69,請求Data!$I$11:$I$160,0))&amp;"")</f>
        <v/>
      </c>
      <c r="E69" s="844"/>
      <c r="F69" s="75"/>
      <c r="G69" s="147" t="str">
        <f>IF(ISNA(MATCH($A69,Sheet1!$B$7:$B$133,0)),IF($A69&gt;MAX(Sheet1!$O$7:$O$133),"",IF($G68="小計","","小計")),IF($A69&gt;MAX(Sheet1!$B$7:$B$133),"",VLOOKUP($A69,Sheet1!$B$7:$U$133,Sheet1!$I$5-Sheet1!$A$5,FALSE)))</f>
        <v/>
      </c>
      <c r="H69" s="243" t="str">
        <f>IF($G69="","",IF($G69="小計",VLOOKUP($A69,Sheet1!$O$7:$U$133,Sheet1!$S$5-Sheet1!$N$5,FALSE),VLOOKUP($G69,Sheet1!$I$7:$N$133,Sheet1!$L$5-Sheet1!$H$5,FALSE)))</f>
        <v/>
      </c>
      <c r="I69" s="243" t="str">
        <f>IF($G69="","",IF($G69="小計",VLOOKUP($A69,Sheet1!$O$7:$U$133,Sheet1!$T$5-Sheet1!$N$5,FALSE),VLOOKUP($G69,Sheet1!$I$7:$N$133,Sheet1!$M$5-Sheet1!$H$5,FALSE)))</f>
        <v/>
      </c>
      <c r="J69" s="243" t="str">
        <f>IF($G69="","",IF($G69="小計",VLOOKUP($A69,Sheet1!$O$7:$U$133,Sheet1!$U$5-Sheet1!$N$5,FALSE),VLOOKUP($G69,Sheet1!$I$7:$N$133,Sheet1!$N$5-Sheet1!$H$5,FALSE)))</f>
        <v/>
      </c>
      <c r="K69" s="610" t="str">
        <f>IF(OR($G69="",$G69="小計"),"",IF(VLOOKUP($G69,請求Data!$I$11:$AR$160,請求Data!$AR$10-請求Data!$H$10,FALSE)="","",VLOOKUP($G69,請求Data!$I$11:$AR$160,請求Data!$AR$10-請求Data!$H$10,FALSE)))</f>
        <v/>
      </c>
    </row>
    <row r="70" spans="1:11">
      <c r="A70" s="481">
        <v>61</v>
      </c>
      <c r="B70" s="477" t="str">
        <f t="shared" si="0"/>
        <v/>
      </c>
      <c r="D70" s="844" t="str">
        <f>IF(OR($G70="",$G70="小計"),"",INDEX(請求Data!$T$11:$T$160,MATCH($G70,請求Data!$I$11:$I$160,0))&amp;"")</f>
        <v/>
      </c>
      <c r="E70" s="844"/>
      <c r="F70" s="75"/>
      <c r="G70" s="147" t="str">
        <f>IF(ISNA(MATCH($A70,Sheet1!$B$7:$B$133,0)),IF($A70&gt;MAX(Sheet1!$O$7:$O$133),"",IF($G69="小計","","小計")),IF($A70&gt;MAX(Sheet1!$B$7:$B$133),"",VLOOKUP($A70,Sheet1!$B$7:$U$133,Sheet1!$I$5-Sheet1!$A$5,FALSE)))</f>
        <v/>
      </c>
      <c r="H70" s="243" t="str">
        <f>IF($G70="","",IF($G70="小計",VLOOKUP($A70,Sheet1!$O$7:$U$133,Sheet1!$S$5-Sheet1!$N$5,FALSE),VLOOKUP($G70,Sheet1!$I$7:$N$133,Sheet1!$L$5-Sheet1!$H$5,FALSE)))</f>
        <v/>
      </c>
      <c r="I70" s="243" t="str">
        <f>IF($G70="","",IF($G70="小計",VLOOKUP($A70,Sheet1!$O$7:$U$133,Sheet1!$T$5-Sheet1!$N$5,FALSE),VLOOKUP($G70,Sheet1!$I$7:$N$133,Sheet1!$M$5-Sheet1!$H$5,FALSE)))</f>
        <v/>
      </c>
      <c r="J70" s="243" t="str">
        <f>IF($G70="","",IF($G70="小計",VLOOKUP($A70,Sheet1!$O$7:$U$133,Sheet1!$U$5-Sheet1!$N$5,FALSE),VLOOKUP($G70,Sheet1!$I$7:$N$133,Sheet1!$N$5-Sheet1!$H$5,FALSE)))</f>
        <v/>
      </c>
      <c r="K70" s="610" t="str">
        <f>IF(OR($G70="",$G70="小計"),"",IF(VLOOKUP($G70,請求Data!$I$11:$AR$160,請求Data!$AR$10-請求Data!$H$10,FALSE)="","",VLOOKUP($G70,請求Data!$I$11:$AR$160,請求Data!$AR$10-請求Data!$H$10,FALSE)))</f>
        <v/>
      </c>
    </row>
    <row r="71" spans="1:11" ht="13.5" customHeight="1">
      <c r="A71" s="481">
        <v>62</v>
      </c>
      <c r="B71" s="477" t="str">
        <f t="shared" si="0"/>
        <v/>
      </c>
      <c r="D71" s="844" t="str">
        <f>IF(OR($G71="",$G71="小計"),"",INDEX(請求Data!$T$11:$T$160,MATCH($G71,請求Data!$I$11:$I$160,0))&amp;"")</f>
        <v/>
      </c>
      <c r="E71" s="844"/>
      <c r="F71" s="75"/>
      <c r="G71" s="147" t="str">
        <f>IF(ISNA(MATCH($A71,Sheet1!$B$7:$B$133,0)),IF($A71&gt;MAX(Sheet1!$O$7:$O$133),"",IF($G70="小計","","小計")),IF($A71&gt;MAX(Sheet1!$B$7:$B$133),"",VLOOKUP($A71,Sheet1!$B$7:$U$133,Sheet1!$I$5-Sheet1!$A$5,FALSE)))</f>
        <v/>
      </c>
      <c r="H71" s="243" t="str">
        <f>IF($G71="","",IF($G71="小計",VLOOKUP($A71,Sheet1!$O$7:$U$133,Sheet1!$S$5-Sheet1!$N$5,FALSE),VLOOKUP($G71,Sheet1!$I$7:$N$133,Sheet1!$L$5-Sheet1!$H$5,FALSE)))</f>
        <v/>
      </c>
      <c r="I71" s="243" t="str">
        <f>IF($G71="","",IF($G71="小計",VLOOKUP($A71,Sheet1!$O$7:$U$133,Sheet1!$T$5-Sheet1!$N$5,FALSE),VLOOKUP($G71,Sheet1!$I$7:$N$133,Sheet1!$M$5-Sheet1!$H$5,FALSE)))</f>
        <v/>
      </c>
      <c r="J71" s="243" t="str">
        <f>IF($G71="","",IF($G71="小計",VLOOKUP($A71,Sheet1!$O$7:$U$133,Sheet1!$U$5-Sheet1!$N$5,FALSE),VLOOKUP($G71,Sheet1!$I$7:$N$133,Sheet1!$N$5-Sheet1!$H$5,FALSE)))</f>
        <v/>
      </c>
      <c r="K71" s="610" t="str">
        <f>IF(OR($G71="",$G71="小計"),"",IF(VLOOKUP($G71,請求Data!$I$11:$AR$160,請求Data!$AR$10-請求Data!$H$10,FALSE)="","",VLOOKUP($G71,請求Data!$I$11:$AR$160,請求Data!$AR$10-請求Data!$H$10,FALSE)))</f>
        <v/>
      </c>
    </row>
    <row r="72" spans="1:11" s="7" customFormat="1">
      <c r="A72" s="481">
        <v>63</v>
      </c>
      <c r="B72" s="477" t="str">
        <f t="shared" si="0"/>
        <v/>
      </c>
      <c r="C72" s="64"/>
      <c r="D72" s="844" t="str">
        <f>IF(OR($G72="",$G72="小計"),"",INDEX(請求Data!$T$11:$T$160,MATCH($G72,請求Data!$I$11:$I$160,0))&amp;"")</f>
        <v/>
      </c>
      <c r="E72" s="844"/>
      <c r="F72" s="75"/>
      <c r="G72" s="147" t="str">
        <f>IF(ISNA(MATCH($A72,Sheet1!$B$7:$B$133,0)),IF($A72&gt;MAX(Sheet1!$O$7:$O$133),"",IF($G71="小計","","小計")),IF($A72&gt;MAX(Sheet1!$B$7:$B$133),"",VLOOKUP($A72,Sheet1!$B$7:$U$133,Sheet1!$I$5-Sheet1!$A$5,FALSE)))</f>
        <v/>
      </c>
      <c r="H72" s="243" t="str">
        <f>IF($G72="","",IF($G72="小計",VLOOKUP($A72,Sheet1!$O$7:$U$133,Sheet1!$S$5-Sheet1!$N$5,FALSE),VLOOKUP($G72,Sheet1!$I$7:$N$133,Sheet1!$L$5-Sheet1!$H$5,FALSE)))</f>
        <v/>
      </c>
      <c r="I72" s="243" t="str">
        <f>IF($G72="","",IF($G72="小計",VLOOKUP($A72,Sheet1!$O$7:$U$133,Sheet1!$T$5-Sheet1!$N$5,FALSE),VLOOKUP($G72,Sheet1!$I$7:$N$133,Sheet1!$M$5-Sheet1!$H$5,FALSE)))</f>
        <v/>
      </c>
      <c r="J72" s="243" t="str">
        <f>IF($G72="","",IF($G72="小計",VLOOKUP($A72,Sheet1!$O$7:$U$133,Sheet1!$U$5-Sheet1!$N$5,FALSE),VLOOKUP($G72,Sheet1!$I$7:$N$133,Sheet1!$N$5-Sheet1!$H$5,FALSE)))</f>
        <v/>
      </c>
      <c r="K72" s="610" t="str">
        <f>IF(OR($G72="",$G72="小計"),"",IF(VLOOKUP($G72,請求Data!$I$11:$AR$160,請求Data!$AR$10-請求Data!$H$10,FALSE)="","",VLOOKUP($G72,請求Data!$I$11:$AR$160,請求Data!$AR$10-請求Data!$H$10,FALSE)))</f>
        <v/>
      </c>
    </row>
    <row r="73" spans="1:11" s="7" customFormat="1">
      <c r="A73" s="481">
        <v>64</v>
      </c>
      <c r="B73" s="477" t="str">
        <f t="shared" si="0"/>
        <v/>
      </c>
      <c r="C73" s="64"/>
      <c r="D73" s="844" t="str">
        <f>IF(OR($G73="",$G73="小計"),"",INDEX(請求Data!$T$11:$T$160,MATCH($G73,請求Data!$I$11:$I$160,0))&amp;"")</f>
        <v/>
      </c>
      <c r="E73" s="844"/>
      <c r="F73" s="75"/>
      <c r="G73" s="147" t="str">
        <f>IF(ISNA(MATCH($A73,Sheet1!$B$7:$B$133,0)),IF($A73&gt;MAX(Sheet1!$O$7:$O$133),"",IF($G72="小計","","小計")),IF($A73&gt;MAX(Sheet1!$B$7:$B$133),"",VLOOKUP($A73,Sheet1!$B$7:$U$133,Sheet1!$I$5-Sheet1!$A$5,FALSE)))</f>
        <v/>
      </c>
      <c r="H73" s="243" t="str">
        <f>IF($G73="","",IF($G73="小計",VLOOKUP($A73,Sheet1!$O$7:$U$133,Sheet1!$S$5-Sheet1!$N$5,FALSE),VLOOKUP($G73,Sheet1!$I$7:$N$133,Sheet1!$L$5-Sheet1!$H$5,FALSE)))</f>
        <v/>
      </c>
      <c r="I73" s="243" t="str">
        <f>IF($G73="","",IF($G73="小計",VLOOKUP($A73,Sheet1!$O$7:$U$133,Sheet1!$T$5-Sheet1!$N$5,FALSE),VLOOKUP($G73,Sheet1!$I$7:$N$133,Sheet1!$M$5-Sheet1!$H$5,FALSE)))</f>
        <v/>
      </c>
      <c r="J73" s="243" t="str">
        <f>IF($G73="","",IF($G73="小計",VLOOKUP($A73,Sheet1!$O$7:$U$133,Sheet1!$U$5-Sheet1!$N$5,FALSE),VLOOKUP($G73,Sheet1!$I$7:$N$133,Sheet1!$N$5-Sheet1!$H$5,FALSE)))</f>
        <v/>
      </c>
      <c r="K73" s="610" t="str">
        <f>IF(OR($G73="",$G73="小計"),"",IF(VLOOKUP($G73,請求Data!$I$11:$AR$160,請求Data!$AR$10-請求Data!$H$10,FALSE)="","",VLOOKUP($G73,請求Data!$I$11:$AR$160,請求Data!$AR$10-請求Data!$H$10,FALSE)))</f>
        <v/>
      </c>
    </row>
    <row r="74" spans="1:11" s="7" customFormat="1">
      <c r="A74" s="481">
        <v>65</v>
      </c>
      <c r="B74" s="477" t="str">
        <f t="shared" si="0"/>
        <v/>
      </c>
      <c r="C74" s="64"/>
      <c r="D74" s="844" t="str">
        <f>IF(OR($G74="",$G74="小計"),"",INDEX(請求Data!$T$11:$T$160,MATCH($G74,請求Data!$I$11:$I$160,0))&amp;"")</f>
        <v/>
      </c>
      <c r="E74" s="844"/>
      <c r="F74" s="75"/>
      <c r="G74" s="147" t="str">
        <f>IF(ISNA(MATCH($A74,Sheet1!$B$7:$B$133,0)),IF($A74&gt;MAX(Sheet1!$O$7:$O$133),"",IF($G73="小計","","小計")),IF($A74&gt;MAX(Sheet1!$B$7:$B$133),"",VLOOKUP($A74,Sheet1!$B$7:$U$133,Sheet1!$I$5-Sheet1!$A$5,FALSE)))</f>
        <v/>
      </c>
      <c r="H74" s="243" t="str">
        <f>IF($G74="","",IF($G74="小計",VLOOKUP($A74,Sheet1!$O$7:$U$133,Sheet1!$S$5-Sheet1!$N$5,FALSE),VLOOKUP($G74,Sheet1!$I$7:$N$133,Sheet1!$L$5-Sheet1!$H$5,FALSE)))</f>
        <v/>
      </c>
      <c r="I74" s="243" t="str">
        <f>IF($G74="","",IF($G74="小計",VLOOKUP($A74,Sheet1!$O$7:$U$133,Sheet1!$T$5-Sheet1!$N$5,FALSE),VLOOKUP($G74,Sheet1!$I$7:$N$133,Sheet1!$M$5-Sheet1!$H$5,FALSE)))</f>
        <v/>
      </c>
      <c r="J74" s="243" t="str">
        <f>IF($G74="","",IF($G74="小計",VLOOKUP($A74,Sheet1!$O$7:$U$133,Sheet1!$U$5-Sheet1!$N$5,FALSE),VLOOKUP($G74,Sheet1!$I$7:$N$133,Sheet1!$N$5-Sheet1!$H$5,FALSE)))</f>
        <v/>
      </c>
      <c r="K74" s="610" t="str">
        <f>IF(OR($G74="",$G74="小計"),"",IF(VLOOKUP($G74,請求Data!$I$11:$AR$160,請求Data!$AR$10-請求Data!$H$10,FALSE)="","",VLOOKUP($G74,請求Data!$I$11:$AR$160,請求Data!$AR$10-請求Data!$H$10,FALSE)))</f>
        <v/>
      </c>
    </row>
    <row r="75" spans="1:11">
      <c r="A75" s="481">
        <v>66</v>
      </c>
      <c r="B75" s="477" t="str">
        <f t="shared" ref="B75:B138" si="1">IF($J75="",IF($J74="","",1),1)</f>
        <v/>
      </c>
      <c r="D75" s="844" t="str">
        <f>IF(OR($G75="",$G75="小計"),"",INDEX(請求Data!$T$11:$T$160,MATCH($G75,請求Data!$I$11:$I$160,0))&amp;"")</f>
        <v/>
      </c>
      <c r="E75" s="844"/>
      <c r="F75" s="75"/>
      <c r="G75" s="147" t="str">
        <f>IF(ISNA(MATCH($A75,Sheet1!$B$7:$B$133,0)),IF($A75&gt;MAX(Sheet1!$O$7:$O$133),"",IF($G74="小計","","小計")),IF($A75&gt;MAX(Sheet1!$B$7:$B$133),"",VLOOKUP($A75,Sheet1!$B$7:$U$133,Sheet1!$I$5-Sheet1!$A$5,FALSE)))</f>
        <v/>
      </c>
      <c r="H75" s="243" t="str">
        <f>IF($G75="","",IF($G75="小計",VLOOKUP($A75,Sheet1!$O$7:$U$133,Sheet1!$S$5-Sheet1!$N$5,FALSE),VLOOKUP($G75,Sheet1!$I$7:$N$133,Sheet1!$L$5-Sheet1!$H$5,FALSE)))</f>
        <v/>
      </c>
      <c r="I75" s="243" t="str">
        <f>IF($G75="","",IF($G75="小計",VLOOKUP($A75,Sheet1!$O$7:$U$133,Sheet1!$T$5-Sheet1!$N$5,FALSE),VLOOKUP($G75,Sheet1!$I$7:$N$133,Sheet1!$M$5-Sheet1!$H$5,FALSE)))</f>
        <v/>
      </c>
      <c r="J75" s="243" t="str">
        <f>IF($G75="","",IF($G75="小計",VLOOKUP($A75,Sheet1!$O$7:$U$133,Sheet1!$U$5-Sheet1!$N$5,FALSE),VLOOKUP($G75,Sheet1!$I$7:$N$133,Sheet1!$N$5-Sheet1!$H$5,FALSE)))</f>
        <v/>
      </c>
      <c r="K75" s="610" t="str">
        <f>IF(OR($G75="",$G75="小計"),"",IF(VLOOKUP($G75,請求Data!$I$11:$AR$160,請求Data!$AR$10-請求Data!$H$10,FALSE)="","",VLOOKUP($G75,請求Data!$I$11:$AR$160,請求Data!$AR$10-請求Data!$H$10,FALSE)))</f>
        <v/>
      </c>
    </row>
    <row r="76" spans="1:11">
      <c r="A76" s="481">
        <v>67</v>
      </c>
      <c r="B76" s="477" t="str">
        <f t="shared" si="1"/>
        <v/>
      </c>
      <c r="D76" s="844" t="str">
        <f>IF(OR($G76="",$G76="小計"),"",INDEX(請求Data!$T$11:$T$160,MATCH($G76,請求Data!$I$11:$I$160,0))&amp;"")</f>
        <v/>
      </c>
      <c r="E76" s="844"/>
      <c r="F76" s="75"/>
      <c r="G76" s="147" t="str">
        <f>IF(ISNA(MATCH($A76,Sheet1!$B$7:$B$133,0)),IF($A76&gt;MAX(Sheet1!$O$7:$O$133),"",IF($G75="小計","","小計")),IF($A76&gt;MAX(Sheet1!$B$7:$B$133),"",VLOOKUP($A76,Sheet1!$B$7:$U$133,Sheet1!$I$5-Sheet1!$A$5,FALSE)))</f>
        <v/>
      </c>
      <c r="H76" s="243" t="str">
        <f>IF($G76="","",IF($G76="小計",VLOOKUP($A76,Sheet1!$O$7:$U$133,Sheet1!$S$5-Sheet1!$N$5,FALSE),VLOOKUP($G76,Sheet1!$I$7:$N$133,Sheet1!$L$5-Sheet1!$H$5,FALSE)))</f>
        <v/>
      </c>
      <c r="I76" s="243" t="str">
        <f>IF($G76="","",IF($G76="小計",VLOOKUP($A76,Sheet1!$O$7:$U$133,Sheet1!$T$5-Sheet1!$N$5,FALSE),VLOOKUP($G76,Sheet1!$I$7:$N$133,Sheet1!$M$5-Sheet1!$H$5,FALSE)))</f>
        <v/>
      </c>
      <c r="J76" s="243" t="str">
        <f>IF($G76="","",IF($G76="小計",VLOOKUP($A76,Sheet1!$O$7:$U$133,Sheet1!$U$5-Sheet1!$N$5,FALSE),VLOOKUP($G76,Sheet1!$I$7:$N$133,Sheet1!$N$5-Sheet1!$H$5,FALSE)))</f>
        <v/>
      </c>
      <c r="K76" s="610" t="str">
        <f>IF(OR($G76="",$G76="小計"),"",IF(VLOOKUP($G76,請求Data!$I$11:$AR$160,請求Data!$AR$10-請求Data!$H$10,FALSE)="","",VLOOKUP($G76,請求Data!$I$11:$AR$160,請求Data!$AR$10-請求Data!$H$10,FALSE)))</f>
        <v/>
      </c>
    </row>
    <row r="77" spans="1:11">
      <c r="A77" s="481">
        <v>68</v>
      </c>
      <c r="B77" s="477" t="str">
        <f t="shared" si="1"/>
        <v/>
      </c>
      <c r="D77" s="844" t="str">
        <f>IF(OR($G77="",$G77="小計"),"",INDEX(請求Data!$T$11:$T$160,MATCH($G77,請求Data!$I$11:$I$160,0))&amp;"")</f>
        <v/>
      </c>
      <c r="E77" s="844"/>
      <c r="F77" s="75"/>
      <c r="G77" s="147" t="str">
        <f>IF(ISNA(MATCH($A77,Sheet1!$B$7:$B$133,0)),IF($A77&gt;MAX(Sheet1!$O$7:$O$133),"",IF($G76="小計","","小計")),IF($A77&gt;MAX(Sheet1!$B$7:$B$133),"",VLOOKUP($A77,Sheet1!$B$7:$U$133,Sheet1!$I$5-Sheet1!$A$5,FALSE)))</f>
        <v/>
      </c>
      <c r="H77" s="243" t="str">
        <f>IF($G77="","",IF($G77="小計",VLOOKUP($A77,Sheet1!$O$7:$U$133,Sheet1!$S$5-Sheet1!$N$5,FALSE),VLOOKUP($G77,Sheet1!$I$7:$N$133,Sheet1!$L$5-Sheet1!$H$5,FALSE)))</f>
        <v/>
      </c>
      <c r="I77" s="243" t="str">
        <f>IF($G77="","",IF($G77="小計",VLOOKUP($A77,Sheet1!$O$7:$U$133,Sheet1!$T$5-Sheet1!$N$5,FALSE),VLOOKUP($G77,Sheet1!$I$7:$N$133,Sheet1!$M$5-Sheet1!$H$5,FALSE)))</f>
        <v/>
      </c>
      <c r="J77" s="243" t="str">
        <f>IF($G77="","",IF($G77="小計",VLOOKUP($A77,Sheet1!$O$7:$U$133,Sheet1!$U$5-Sheet1!$N$5,FALSE),VLOOKUP($G77,Sheet1!$I$7:$N$133,Sheet1!$N$5-Sheet1!$H$5,FALSE)))</f>
        <v/>
      </c>
      <c r="K77" s="610" t="str">
        <f>IF(OR($G77="",$G77="小計"),"",IF(VLOOKUP($G77,請求Data!$I$11:$AR$160,請求Data!$AR$10-請求Data!$H$10,FALSE)="","",VLOOKUP($G77,請求Data!$I$11:$AR$160,請求Data!$AR$10-請求Data!$H$10,FALSE)))</f>
        <v/>
      </c>
    </row>
    <row r="78" spans="1:11">
      <c r="A78" s="481">
        <v>69</v>
      </c>
      <c r="B78" s="477" t="str">
        <f t="shared" si="1"/>
        <v/>
      </c>
      <c r="D78" s="844" t="str">
        <f>IF(OR($G78="",$G78="小計"),"",INDEX(請求Data!$T$11:$T$160,MATCH($G78,請求Data!$I$11:$I$160,0))&amp;"")</f>
        <v/>
      </c>
      <c r="E78" s="844"/>
      <c r="F78" s="75"/>
      <c r="G78" s="147" t="str">
        <f>IF(ISNA(MATCH($A78,Sheet1!$B$7:$B$133,0)),IF($A78&gt;MAX(Sheet1!$O$7:$O$133),"",IF($G77="小計","","小計")),IF($A78&gt;MAX(Sheet1!$B$7:$B$133),"",VLOOKUP($A78,Sheet1!$B$7:$U$133,Sheet1!$I$5-Sheet1!$A$5,FALSE)))</f>
        <v/>
      </c>
      <c r="H78" s="243" t="str">
        <f>IF($G78="","",IF($G78="小計",VLOOKUP($A78,Sheet1!$O$7:$U$133,Sheet1!$S$5-Sheet1!$N$5,FALSE),VLOOKUP($G78,Sheet1!$I$7:$N$133,Sheet1!$L$5-Sheet1!$H$5,FALSE)))</f>
        <v/>
      </c>
      <c r="I78" s="243" t="str">
        <f>IF($G78="","",IF($G78="小計",VLOOKUP($A78,Sheet1!$O$7:$U$133,Sheet1!$T$5-Sheet1!$N$5,FALSE),VLOOKUP($G78,Sheet1!$I$7:$N$133,Sheet1!$M$5-Sheet1!$H$5,FALSE)))</f>
        <v/>
      </c>
      <c r="J78" s="243" t="str">
        <f>IF($G78="","",IF($G78="小計",VLOOKUP($A78,Sheet1!$O$7:$U$133,Sheet1!$U$5-Sheet1!$N$5,FALSE),VLOOKUP($G78,Sheet1!$I$7:$N$133,Sheet1!$N$5-Sheet1!$H$5,FALSE)))</f>
        <v/>
      </c>
      <c r="K78" s="610" t="str">
        <f>IF(OR($G78="",$G78="小計"),"",IF(VLOOKUP($G78,請求Data!$I$11:$AR$160,請求Data!$AR$10-請求Data!$H$10,FALSE)="","",VLOOKUP($G78,請求Data!$I$11:$AR$160,請求Data!$AR$10-請求Data!$H$10,FALSE)))</f>
        <v/>
      </c>
    </row>
    <row r="79" spans="1:11">
      <c r="A79" s="481">
        <v>70</v>
      </c>
      <c r="B79" s="477" t="str">
        <f t="shared" si="1"/>
        <v/>
      </c>
      <c r="D79" s="844" t="str">
        <f>IF(OR($G79="",$G79="小計"),"",INDEX(請求Data!$T$11:$T$160,MATCH($G79,請求Data!$I$11:$I$160,0))&amp;"")</f>
        <v/>
      </c>
      <c r="E79" s="844"/>
      <c r="F79" s="75"/>
      <c r="G79" s="147" t="str">
        <f>IF(ISNA(MATCH($A79,Sheet1!$B$7:$B$133,0)),IF($A79&gt;MAX(Sheet1!$O$7:$O$133),"",IF($G78="小計","","小計")),IF($A79&gt;MAX(Sheet1!$B$7:$B$133),"",VLOOKUP($A79,Sheet1!$B$7:$U$133,Sheet1!$I$5-Sheet1!$A$5,FALSE)))</f>
        <v/>
      </c>
      <c r="H79" s="243" t="str">
        <f>IF($G79="","",IF($G79="小計",VLOOKUP($A79,Sheet1!$O$7:$U$133,Sheet1!$S$5-Sheet1!$N$5,FALSE),VLOOKUP($G79,Sheet1!$I$7:$N$133,Sheet1!$L$5-Sheet1!$H$5,FALSE)))</f>
        <v/>
      </c>
      <c r="I79" s="243" t="str">
        <f>IF($G79="","",IF($G79="小計",VLOOKUP($A79,Sheet1!$O$7:$U$133,Sheet1!$T$5-Sheet1!$N$5,FALSE),VLOOKUP($G79,Sheet1!$I$7:$N$133,Sheet1!$M$5-Sheet1!$H$5,FALSE)))</f>
        <v/>
      </c>
      <c r="J79" s="243" t="str">
        <f>IF($G79="","",IF($G79="小計",VLOOKUP($A79,Sheet1!$O$7:$U$133,Sheet1!$U$5-Sheet1!$N$5,FALSE),VLOOKUP($G79,Sheet1!$I$7:$N$133,Sheet1!$N$5-Sheet1!$H$5,FALSE)))</f>
        <v/>
      </c>
      <c r="K79" s="610" t="str">
        <f>IF(OR($G79="",$G79="小計"),"",IF(VLOOKUP($G79,請求Data!$I$11:$AR$160,請求Data!$AR$10-請求Data!$H$10,FALSE)="","",VLOOKUP($G79,請求Data!$I$11:$AR$160,請求Data!$AR$10-請求Data!$H$10,FALSE)))</f>
        <v/>
      </c>
    </row>
    <row r="80" spans="1:11" ht="13.5" customHeight="1">
      <c r="A80" s="481">
        <v>71</v>
      </c>
      <c r="B80" s="477" t="str">
        <f t="shared" si="1"/>
        <v/>
      </c>
      <c r="D80" s="844" t="str">
        <f>IF(OR($G80="",$G80="小計"),"",INDEX(請求Data!$T$11:$T$160,MATCH($G80,請求Data!$I$11:$I$160,0))&amp;"")</f>
        <v/>
      </c>
      <c r="E80" s="844"/>
      <c r="F80" s="75"/>
      <c r="G80" s="147" t="str">
        <f>IF(ISNA(MATCH($A80,Sheet1!$B$7:$B$133,0)),IF($A80&gt;MAX(Sheet1!$O$7:$O$133),"",IF($G79="小計","","小計")),IF($A80&gt;MAX(Sheet1!$B$7:$B$133),"",VLOOKUP($A80,Sheet1!$B$7:$U$133,Sheet1!$I$5-Sheet1!$A$5,FALSE)))</f>
        <v/>
      </c>
      <c r="H80" s="243" t="str">
        <f>IF($G80="","",IF($G80="小計",VLOOKUP($A80,Sheet1!$O$7:$U$133,Sheet1!$S$5-Sheet1!$N$5,FALSE),VLOOKUP($G80,Sheet1!$I$7:$N$133,Sheet1!$L$5-Sheet1!$H$5,FALSE)))</f>
        <v/>
      </c>
      <c r="I80" s="243" t="str">
        <f>IF($G80="","",IF($G80="小計",VLOOKUP($A80,Sheet1!$O$7:$U$133,Sheet1!$T$5-Sheet1!$N$5,FALSE),VLOOKUP($G80,Sheet1!$I$7:$N$133,Sheet1!$M$5-Sheet1!$H$5,FALSE)))</f>
        <v/>
      </c>
      <c r="J80" s="243" t="str">
        <f>IF($G80="","",IF($G80="小計",VLOOKUP($A80,Sheet1!$O$7:$U$133,Sheet1!$U$5-Sheet1!$N$5,FALSE),VLOOKUP($G80,Sheet1!$I$7:$N$133,Sheet1!$N$5-Sheet1!$H$5,FALSE)))</f>
        <v/>
      </c>
      <c r="K80" s="610" t="str">
        <f>IF(OR($G80="",$G80="小計"),"",IF(VLOOKUP($G80,請求Data!$I$11:$AR$160,請求Data!$AR$10-請求Data!$H$10,FALSE)="","",VLOOKUP($G80,請求Data!$I$11:$AR$160,請求Data!$AR$10-請求Data!$H$10,FALSE)))</f>
        <v/>
      </c>
    </row>
    <row r="81" spans="1:11" ht="13.5" customHeight="1">
      <c r="A81" s="481">
        <v>72</v>
      </c>
      <c r="B81" s="477" t="str">
        <f t="shared" si="1"/>
        <v/>
      </c>
      <c r="D81" s="844" t="str">
        <f>IF(OR($G81="",$G81="小計"),"",INDEX(請求Data!$T$11:$T$160,MATCH($G81,請求Data!$I$11:$I$160,0))&amp;"")</f>
        <v/>
      </c>
      <c r="E81" s="844"/>
      <c r="F81" s="75"/>
      <c r="G81" s="147" t="str">
        <f>IF(ISNA(MATCH($A81,Sheet1!$B$7:$B$133,0)),IF($A81&gt;MAX(Sheet1!$O$7:$O$133),"",IF($G80="小計","","小計")),IF($A81&gt;MAX(Sheet1!$B$7:$B$133),"",VLOOKUP($A81,Sheet1!$B$7:$U$133,Sheet1!$I$5-Sheet1!$A$5,FALSE)))</f>
        <v/>
      </c>
      <c r="H81" s="243" t="str">
        <f>IF($G81="","",IF($G81="小計",VLOOKUP($A81,Sheet1!$O$7:$U$133,Sheet1!$S$5-Sheet1!$N$5,FALSE),VLOOKUP($G81,Sheet1!$I$7:$N$133,Sheet1!$L$5-Sheet1!$H$5,FALSE)))</f>
        <v/>
      </c>
      <c r="I81" s="243" t="str">
        <f>IF($G81="","",IF($G81="小計",VLOOKUP($A81,Sheet1!$O$7:$U$133,Sheet1!$T$5-Sheet1!$N$5,FALSE),VLOOKUP($G81,Sheet1!$I$7:$N$133,Sheet1!$M$5-Sheet1!$H$5,FALSE)))</f>
        <v/>
      </c>
      <c r="J81" s="243" t="str">
        <f>IF($G81="","",IF($G81="小計",VLOOKUP($A81,Sheet1!$O$7:$U$133,Sheet1!$U$5-Sheet1!$N$5,FALSE),VLOOKUP($G81,Sheet1!$I$7:$N$133,Sheet1!$N$5-Sheet1!$H$5,FALSE)))</f>
        <v/>
      </c>
      <c r="K81" s="610" t="str">
        <f>IF(OR($G81="",$G81="小計"),"",IF(VLOOKUP($G81,請求Data!$I$11:$AR$160,請求Data!$AR$10-請求Data!$H$10,FALSE)="","",VLOOKUP($G81,請求Data!$I$11:$AR$160,請求Data!$AR$10-請求Data!$H$10,FALSE)))</f>
        <v/>
      </c>
    </row>
    <row r="82" spans="1:11" ht="13.5" customHeight="1">
      <c r="A82" s="481">
        <v>73</v>
      </c>
      <c r="B82" s="477" t="str">
        <f t="shared" si="1"/>
        <v/>
      </c>
      <c r="D82" s="844" t="str">
        <f>IF(OR($G82="",$G82="小計"),"",INDEX(請求Data!$T$11:$T$160,MATCH($G82,請求Data!$I$11:$I$160,0))&amp;"")</f>
        <v/>
      </c>
      <c r="E82" s="844"/>
      <c r="F82" s="75"/>
      <c r="G82" s="147" t="str">
        <f>IF(ISNA(MATCH($A82,Sheet1!$B$7:$B$133,0)),IF($A82&gt;MAX(Sheet1!$O$7:$O$133),"",IF($G81="小計","","小計")),IF($A82&gt;MAX(Sheet1!$B$7:$B$133),"",VLOOKUP($A82,Sheet1!$B$7:$U$133,Sheet1!$I$5-Sheet1!$A$5,FALSE)))</f>
        <v/>
      </c>
      <c r="H82" s="243" t="str">
        <f>IF($G82="","",IF($G82="小計",VLOOKUP($A82,Sheet1!$O$7:$U$133,Sheet1!$S$5-Sheet1!$N$5,FALSE),VLOOKUP($G82,Sheet1!$I$7:$N$133,Sheet1!$L$5-Sheet1!$H$5,FALSE)))</f>
        <v/>
      </c>
      <c r="I82" s="243" t="str">
        <f>IF($G82="","",IF($G82="小計",VLOOKUP($A82,Sheet1!$O$7:$U$133,Sheet1!$T$5-Sheet1!$N$5,FALSE),VLOOKUP($G82,Sheet1!$I$7:$N$133,Sheet1!$M$5-Sheet1!$H$5,FALSE)))</f>
        <v/>
      </c>
      <c r="J82" s="243" t="str">
        <f>IF($G82="","",IF($G82="小計",VLOOKUP($A82,Sheet1!$O$7:$U$133,Sheet1!$U$5-Sheet1!$N$5,FALSE),VLOOKUP($G82,Sheet1!$I$7:$N$133,Sheet1!$N$5-Sheet1!$H$5,FALSE)))</f>
        <v/>
      </c>
      <c r="K82" s="610" t="str">
        <f>IF(OR($G82="",$G82="小計"),"",IF(VLOOKUP($G82,請求Data!$I$11:$AR$160,請求Data!$AR$10-請求Data!$H$10,FALSE)="","",VLOOKUP($G82,請求Data!$I$11:$AR$160,請求Data!$AR$10-請求Data!$H$10,FALSE)))</f>
        <v/>
      </c>
    </row>
    <row r="83" spans="1:11" ht="13.5" customHeight="1">
      <c r="A83" s="481">
        <v>74</v>
      </c>
      <c r="B83" s="477" t="str">
        <f t="shared" si="1"/>
        <v/>
      </c>
      <c r="D83" s="844" t="str">
        <f>IF(OR($G83="",$G83="小計"),"",INDEX(請求Data!$T$11:$T$160,MATCH($G83,請求Data!$I$11:$I$160,0))&amp;"")</f>
        <v/>
      </c>
      <c r="E83" s="844"/>
      <c r="F83" s="75"/>
      <c r="G83" s="147" t="str">
        <f>IF(ISNA(MATCH($A83,Sheet1!$B$7:$B$133,0)),IF($A83&gt;MAX(Sheet1!$O$7:$O$133),"",IF($G82="小計","","小計")),IF($A83&gt;MAX(Sheet1!$B$7:$B$133),"",VLOOKUP($A83,Sheet1!$B$7:$U$133,Sheet1!$I$5-Sheet1!$A$5,FALSE)))</f>
        <v/>
      </c>
      <c r="H83" s="243" t="str">
        <f>IF($G83="","",IF($G83="小計",VLOOKUP($A83,Sheet1!$O$7:$U$133,Sheet1!$S$5-Sheet1!$N$5,FALSE),VLOOKUP($G83,Sheet1!$I$7:$N$133,Sheet1!$L$5-Sheet1!$H$5,FALSE)))</f>
        <v/>
      </c>
      <c r="I83" s="243" t="str">
        <f>IF($G83="","",IF($G83="小計",VLOOKUP($A83,Sheet1!$O$7:$U$133,Sheet1!$T$5-Sheet1!$N$5,FALSE),VLOOKUP($G83,Sheet1!$I$7:$N$133,Sheet1!$M$5-Sheet1!$H$5,FALSE)))</f>
        <v/>
      </c>
      <c r="J83" s="243" t="str">
        <f>IF($G83="","",IF($G83="小計",VLOOKUP($A83,Sheet1!$O$7:$U$133,Sheet1!$U$5-Sheet1!$N$5,FALSE),VLOOKUP($G83,Sheet1!$I$7:$N$133,Sheet1!$N$5-Sheet1!$H$5,FALSE)))</f>
        <v/>
      </c>
      <c r="K83" s="610" t="str">
        <f>IF(OR($G83="",$G83="小計"),"",IF(VLOOKUP($G83,請求Data!$I$11:$AR$160,請求Data!$AR$10-請求Data!$H$10,FALSE)="","",VLOOKUP($G83,請求Data!$I$11:$AR$160,請求Data!$AR$10-請求Data!$H$10,FALSE)))</f>
        <v/>
      </c>
    </row>
    <row r="84" spans="1:11" ht="13.5" customHeight="1">
      <c r="A84" s="481">
        <v>75</v>
      </c>
      <c r="B84" s="477" t="str">
        <f t="shared" si="1"/>
        <v/>
      </c>
      <c r="D84" s="844" t="str">
        <f>IF(OR($G84="",$G84="小計"),"",INDEX(請求Data!$T$11:$T$160,MATCH($G84,請求Data!$I$11:$I$160,0))&amp;"")</f>
        <v/>
      </c>
      <c r="E84" s="844"/>
      <c r="F84" s="75"/>
      <c r="G84" s="147" t="str">
        <f>IF(ISNA(MATCH($A84,Sheet1!$B$7:$B$133,0)),IF($A84&gt;MAX(Sheet1!$O$7:$O$133),"",IF($G83="小計","","小計")),IF($A84&gt;MAX(Sheet1!$B$7:$B$133),"",VLOOKUP($A84,Sheet1!$B$7:$U$133,Sheet1!$I$5-Sheet1!$A$5,FALSE)))</f>
        <v/>
      </c>
      <c r="H84" s="243" t="str">
        <f>IF($G84="","",IF($G84="小計",VLOOKUP($A84,Sheet1!$O$7:$U$133,Sheet1!$S$5-Sheet1!$N$5,FALSE),VLOOKUP($G84,Sheet1!$I$7:$N$133,Sheet1!$L$5-Sheet1!$H$5,FALSE)))</f>
        <v/>
      </c>
      <c r="I84" s="243" t="str">
        <f>IF($G84="","",IF($G84="小計",VLOOKUP($A84,Sheet1!$O$7:$U$133,Sheet1!$T$5-Sheet1!$N$5,FALSE),VLOOKUP($G84,Sheet1!$I$7:$N$133,Sheet1!$M$5-Sheet1!$H$5,FALSE)))</f>
        <v/>
      </c>
      <c r="J84" s="243" t="str">
        <f>IF($G84="","",IF($G84="小計",VLOOKUP($A84,Sheet1!$O$7:$U$133,Sheet1!$U$5-Sheet1!$N$5,FALSE),VLOOKUP($G84,Sheet1!$I$7:$N$133,Sheet1!$N$5-Sheet1!$H$5,FALSE)))</f>
        <v/>
      </c>
      <c r="K84" s="610" t="str">
        <f>IF(OR($G84="",$G84="小計"),"",IF(VLOOKUP($G84,請求Data!$I$11:$AR$160,請求Data!$AR$10-請求Data!$H$10,FALSE)="","",VLOOKUP($G84,請求Data!$I$11:$AR$160,請求Data!$AR$10-請求Data!$H$10,FALSE)))</f>
        <v/>
      </c>
    </row>
    <row r="85" spans="1:11" ht="13.5" customHeight="1">
      <c r="A85" s="481">
        <v>76</v>
      </c>
      <c r="B85" s="477" t="str">
        <f t="shared" si="1"/>
        <v/>
      </c>
      <c r="D85" s="844" t="str">
        <f>IF(OR($G85="",$G85="小計"),"",INDEX(請求Data!$T$11:$T$160,MATCH($G85,請求Data!$I$11:$I$160,0))&amp;"")</f>
        <v/>
      </c>
      <c r="E85" s="844"/>
      <c r="F85" s="75"/>
      <c r="G85" s="147" t="str">
        <f>IF(ISNA(MATCH($A85,Sheet1!$B$7:$B$133,0)),IF($A85&gt;MAX(Sheet1!$O$7:$O$133),"",IF($G84="小計","","小計")),IF($A85&gt;MAX(Sheet1!$B$7:$B$133),"",VLOOKUP($A85,Sheet1!$B$7:$U$133,Sheet1!$I$5-Sheet1!$A$5,FALSE)))</f>
        <v/>
      </c>
      <c r="H85" s="243" t="str">
        <f>IF($G85="","",IF($G85="小計",VLOOKUP($A85,Sheet1!$O$7:$U$133,Sheet1!$S$5-Sheet1!$N$5,FALSE),VLOOKUP($G85,Sheet1!$I$7:$N$133,Sheet1!$L$5-Sheet1!$H$5,FALSE)))</f>
        <v/>
      </c>
      <c r="I85" s="243" t="str">
        <f>IF($G85="","",IF($G85="小計",VLOOKUP($A85,Sheet1!$O$7:$U$133,Sheet1!$T$5-Sheet1!$N$5,FALSE),VLOOKUP($G85,Sheet1!$I$7:$N$133,Sheet1!$M$5-Sheet1!$H$5,FALSE)))</f>
        <v/>
      </c>
      <c r="J85" s="243" t="str">
        <f>IF($G85="","",IF($G85="小計",VLOOKUP($A85,Sheet1!$O$7:$U$133,Sheet1!$U$5-Sheet1!$N$5,FALSE),VLOOKUP($G85,Sheet1!$I$7:$N$133,Sheet1!$N$5-Sheet1!$H$5,FALSE)))</f>
        <v/>
      </c>
      <c r="K85" s="610" t="str">
        <f>IF(OR($G85="",$G85="小計"),"",IF(VLOOKUP($G85,請求Data!$I$11:$AR$160,請求Data!$AR$10-請求Data!$H$10,FALSE)="","",VLOOKUP($G85,請求Data!$I$11:$AR$160,請求Data!$AR$10-請求Data!$H$10,FALSE)))</f>
        <v/>
      </c>
    </row>
    <row r="86" spans="1:11" ht="13.5" customHeight="1">
      <c r="A86" s="481">
        <v>77</v>
      </c>
      <c r="B86" s="477" t="str">
        <f t="shared" si="1"/>
        <v/>
      </c>
      <c r="D86" s="844" t="str">
        <f>IF(OR($G86="",$G86="小計"),"",INDEX(請求Data!$T$11:$T$160,MATCH($G86,請求Data!$I$11:$I$160,0))&amp;"")</f>
        <v/>
      </c>
      <c r="E86" s="844"/>
      <c r="F86" s="75"/>
      <c r="G86" s="147" t="str">
        <f>IF(ISNA(MATCH($A86,Sheet1!$B$7:$B$133,0)),IF($A86&gt;MAX(Sheet1!$O$7:$O$133),"",IF($G85="小計","","小計")),IF($A86&gt;MAX(Sheet1!$B$7:$B$133),"",VLOOKUP($A86,Sheet1!$B$7:$U$133,Sheet1!$I$5-Sheet1!$A$5,FALSE)))</f>
        <v/>
      </c>
      <c r="H86" s="243" t="str">
        <f>IF($G86="","",IF($G86="小計",VLOOKUP($A86,Sheet1!$O$7:$U$133,Sheet1!$S$5-Sheet1!$N$5,FALSE),VLOOKUP($G86,Sheet1!$I$7:$N$133,Sheet1!$L$5-Sheet1!$H$5,FALSE)))</f>
        <v/>
      </c>
      <c r="I86" s="243" t="str">
        <f>IF($G86="","",IF($G86="小計",VLOOKUP($A86,Sheet1!$O$7:$U$133,Sheet1!$T$5-Sheet1!$N$5,FALSE),VLOOKUP($G86,Sheet1!$I$7:$N$133,Sheet1!$M$5-Sheet1!$H$5,FALSE)))</f>
        <v/>
      </c>
      <c r="J86" s="243" t="str">
        <f>IF($G86="","",IF($G86="小計",VLOOKUP($A86,Sheet1!$O$7:$U$133,Sheet1!$U$5-Sheet1!$N$5,FALSE),VLOOKUP($G86,Sheet1!$I$7:$N$133,Sheet1!$N$5-Sheet1!$H$5,FALSE)))</f>
        <v/>
      </c>
      <c r="K86" s="610" t="str">
        <f>IF(OR($G86="",$G86="小計"),"",IF(VLOOKUP($G86,請求Data!$I$11:$AR$160,請求Data!$AR$10-請求Data!$H$10,FALSE)="","",VLOOKUP($G86,請求Data!$I$11:$AR$160,請求Data!$AR$10-請求Data!$H$10,FALSE)))</f>
        <v/>
      </c>
    </row>
    <row r="87" spans="1:11" ht="13.5" customHeight="1">
      <c r="A87" s="481">
        <v>78</v>
      </c>
      <c r="B87" s="477" t="str">
        <f t="shared" si="1"/>
        <v/>
      </c>
      <c r="D87" s="844" t="str">
        <f>IF(OR($G87="",$G87="小計"),"",INDEX(請求Data!$T$11:$T$160,MATCH($G87,請求Data!$I$11:$I$160,0))&amp;"")</f>
        <v/>
      </c>
      <c r="E87" s="844"/>
      <c r="F87" s="75"/>
      <c r="G87" s="147" t="str">
        <f>IF(ISNA(MATCH($A87,Sheet1!$B$7:$B$133,0)),IF($A87&gt;MAX(Sheet1!$O$7:$O$133),"",IF($G86="小計","","小計")),IF($A87&gt;MAX(Sheet1!$B$7:$B$133),"",VLOOKUP($A87,Sheet1!$B$7:$U$133,Sheet1!$I$5-Sheet1!$A$5,FALSE)))</f>
        <v/>
      </c>
      <c r="H87" s="243" t="str">
        <f>IF($G87="","",IF($G87="小計",VLOOKUP($A87,Sheet1!$O$7:$U$133,Sheet1!$S$5-Sheet1!$N$5,FALSE),VLOOKUP($G87,Sheet1!$I$7:$N$133,Sheet1!$L$5-Sheet1!$H$5,FALSE)))</f>
        <v/>
      </c>
      <c r="I87" s="243" t="str">
        <f>IF($G87="","",IF($G87="小計",VLOOKUP($A87,Sheet1!$O$7:$U$133,Sheet1!$T$5-Sheet1!$N$5,FALSE),VLOOKUP($G87,Sheet1!$I$7:$N$133,Sheet1!$M$5-Sheet1!$H$5,FALSE)))</f>
        <v/>
      </c>
      <c r="J87" s="243" t="str">
        <f>IF($G87="","",IF($G87="小計",VLOOKUP($A87,Sheet1!$O$7:$U$133,Sheet1!$U$5-Sheet1!$N$5,FALSE),VLOOKUP($G87,Sheet1!$I$7:$N$133,Sheet1!$N$5-Sheet1!$H$5,FALSE)))</f>
        <v/>
      </c>
      <c r="K87" s="610" t="str">
        <f>IF(OR($G87="",$G87="小計"),"",IF(VLOOKUP($G87,請求Data!$I$11:$AR$160,請求Data!$AR$10-請求Data!$H$10,FALSE)="","",VLOOKUP($G87,請求Data!$I$11:$AR$160,請求Data!$AR$10-請求Data!$H$10,FALSE)))</f>
        <v/>
      </c>
    </row>
    <row r="88" spans="1:11" ht="13.5" customHeight="1">
      <c r="A88" s="481">
        <v>79</v>
      </c>
      <c r="B88" s="477" t="str">
        <f t="shared" si="1"/>
        <v/>
      </c>
      <c r="D88" s="844" t="str">
        <f>IF(OR($G88="",$G88="小計"),"",INDEX(請求Data!$T$11:$T$160,MATCH($G88,請求Data!$I$11:$I$160,0))&amp;"")</f>
        <v/>
      </c>
      <c r="E88" s="844"/>
      <c r="F88" s="75"/>
      <c r="G88" s="147" t="str">
        <f>IF(ISNA(MATCH($A88,Sheet1!$B$7:$B$133,0)),IF($A88&gt;MAX(Sheet1!$O$7:$O$133),"",IF($G87="小計","","小計")),IF($A88&gt;MAX(Sheet1!$B$7:$B$133),"",VLOOKUP($A88,Sheet1!$B$7:$U$133,Sheet1!$I$5-Sheet1!$A$5,FALSE)))</f>
        <v/>
      </c>
      <c r="H88" s="243" t="str">
        <f>IF($G88="","",IF($G88="小計",VLOOKUP($A88,Sheet1!$O$7:$U$133,Sheet1!$S$5-Sheet1!$N$5,FALSE),VLOOKUP($G88,Sheet1!$I$7:$N$133,Sheet1!$L$5-Sheet1!$H$5,FALSE)))</f>
        <v/>
      </c>
      <c r="I88" s="243" t="str">
        <f>IF($G88="","",IF($G88="小計",VLOOKUP($A88,Sheet1!$O$7:$U$133,Sheet1!$T$5-Sheet1!$N$5,FALSE),VLOOKUP($G88,Sheet1!$I$7:$N$133,Sheet1!$M$5-Sheet1!$H$5,FALSE)))</f>
        <v/>
      </c>
      <c r="J88" s="243" t="str">
        <f>IF($G88="","",IF($G88="小計",VLOOKUP($A88,Sheet1!$O$7:$U$133,Sheet1!$U$5-Sheet1!$N$5,FALSE),VLOOKUP($G88,Sheet1!$I$7:$N$133,Sheet1!$N$5-Sheet1!$H$5,FALSE)))</f>
        <v/>
      </c>
      <c r="K88" s="610" t="str">
        <f>IF(OR($G88="",$G88="小計"),"",IF(VLOOKUP($G88,請求Data!$I$11:$AR$160,請求Data!$AR$10-請求Data!$H$10,FALSE)="","",VLOOKUP($G88,請求Data!$I$11:$AR$160,請求Data!$AR$10-請求Data!$H$10,FALSE)))</f>
        <v/>
      </c>
    </row>
    <row r="89" spans="1:11" ht="13.5" customHeight="1">
      <c r="A89" s="481">
        <v>80</v>
      </c>
      <c r="B89" s="477" t="str">
        <f t="shared" si="1"/>
        <v/>
      </c>
      <c r="D89" s="844" t="str">
        <f>IF(OR($G89="",$G89="小計"),"",INDEX(請求Data!$T$11:$T$160,MATCH($G89,請求Data!$I$11:$I$160,0))&amp;"")</f>
        <v/>
      </c>
      <c r="E89" s="844"/>
      <c r="F89" s="75"/>
      <c r="G89" s="147" t="str">
        <f>IF(ISNA(MATCH($A89,Sheet1!$B$7:$B$133,0)),IF($A89&gt;MAX(Sheet1!$O$7:$O$133),"",IF($G88="小計","","小計")),IF($A89&gt;MAX(Sheet1!$B$7:$B$133),"",VLOOKUP($A89,Sheet1!$B$7:$U$133,Sheet1!$I$5-Sheet1!$A$5,FALSE)))</f>
        <v/>
      </c>
      <c r="H89" s="243" t="str">
        <f>IF($G89="","",IF($G89="小計",VLOOKUP($A89,Sheet1!$O$7:$U$133,Sheet1!$S$5-Sheet1!$N$5,FALSE),VLOOKUP($G89,Sheet1!$I$7:$N$133,Sheet1!$L$5-Sheet1!$H$5,FALSE)))</f>
        <v/>
      </c>
      <c r="I89" s="243" t="str">
        <f>IF($G89="","",IF($G89="小計",VLOOKUP($A89,Sheet1!$O$7:$U$133,Sheet1!$T$5-Sheet1!$N$5,FALSE),VLOOKUP($G89,Sheet1!$I$7:$N$133,Sheet1!$M$5-Sheet1!$H$5,FALSE)))</f>
        <v/>
      </c>
      <c r="J89" s="243" t="str">
        <f>IF($G89="","",IF($G89="小計",VLOOKUP($A89,Sheet1!$O$7:$U$133,Sheet1!$U$5-Sheet1!$N$5,FALSE),VLOOKUP($G89,Sheet1!$I$7:$N$133,Sheet1!$N$5-Sheet1!$H$5,FALSE)))</f>
        <v/>
      </c>
      <c r="K89" s="610" t="str">
        <f>IF(OR($G89="",$G89="小計"),"",IF(VLOOKUP($G89,請求Data!$I$11:$AR$160,請求Data!$AR$10-請求Data!$H$10,FALSE)="","",VLOOKUP($G89,請求Data!$I$11:$AR$160,請求Data!$AR$10-請求Data!$H$10,FALSE)))</f>
        <v/>
      </c>
    </row>
    <row r="90" spans="1:11">
      <c r="A90" s="481">
        <v>81</v>
      </c>
      <c r="B90" s="477" t="str">
        <f t="shared" si="1"/>
        <v/>
      </c>
      <c r="D90" s="844" t="str">
        <f>IF(OR($G90="",$G90="小計"),"",INDEX(請求Data!$T$11:$T$160,MATCH($G90,請求Data!$I$11:$I$160,0))&amp;"")</f>
        <v/>
      </c>
      <c r="E90" s="844"/>
      <c r="F90" s="75"/>
      <c r="G90" s="147" t="str">
        <f>IF(ISNA(MATCH($A90,Sheet1!$B$7:$B$133,0)),IF($A90&gt;MAX(Sheet1!$O$7:$O$133),"",IF($G89="小計","","小計")),IF($A90&gt;MAX(Sheet1!$B$7:$B$133),"",VLOOKUP($A90,Sheet1!$B$7:$U$133,Sheet1!$I$5-Sheet1!$A$5,FALSE)))</f>
        <v/>
      </c>
      <c r="H90" s="243" t="str">
        <f>IF($G90="","",IF($G90="小計",VLOOKUP($A90,Sheet1!$O$7:$U$133,Sheet1!$S$5-Sheet1!$N$5,FALSE),VLOOKUP($G90,Sheet1!$I$7:$N$133,Sheet1!$L$5-Sheet1!$H$5,FALSE)))</f>
        <v/>
      </c>
      <c r="I90" s="243" t="str">
        <f>IF($G90="","",IF($G90="小計",VLOOKUP($A90,Sheet1!$O$7:$U$133,Sheet1!$T$5-Sheet1!$N$5,FALSE),VLOOKUP($G90,Sheet1!$I$7:$N$133,Sheet1!$M$5-Sheet1!$H$5,FALSE)))</f>
        <v/>
      </c>
      <c r="J90" s="243" t="str">
        <f>IF($G90="","",IF($G90="小計",VLOOKUP($A90,Sheet1!$O$7:$U$133,Sheet1!$U$5-Sheet1!$N$5,FALSE),VLOOKUP($G90,Sheet1!$I$7:$N$133,Sheet1!$N$5-Sheet1!$H$5,FALSE)))</f>
        <v/>
      </c>
      <c r="K90" s="610" t="str">
        <f>IF(OR($G90="",$G90="小計"),"",IF(VLOOKUP($G90,請求Data!$I$11:$AR$160,請求Data!$AR$10-請求Data!$H$10,FALSE)="","",VLOOKUP($G90,請求Data!$I$11:$AR$160,請求Data!$AR$10-請求Data!$H$10,FALSE)))</f>
        <v/>
      </c>
    </row>
    <row r="91" spans="1:11">
      <c r="A91" s="481">
        <v>82</v>
      </c>
      <c r="B91" s="477" t="str">
        <f t="shared" si="1"/>
        <v/>
      </c>
      <c r="D91" s="844" t="str">
        <f>IF(OR($G91="",$G91="小計"),"",INDEX(請求Data!$T$11:$T$160,MATCH($G91,請求Data!$I$11:$I$160,0))&amp;"")</f>
        <v/>
      </c>
      <c r="E91" s="844"/>
      <c r="F91" s="75"/>
      <c r="G91" s="147" t="str">
        <f>IF(ISNA(MATCH($A91,Sheet1!$B$7:$B$133,0)),IF($A91&gt;MAX(Sheet1!$O$7:$O$133),"",IF($G90="小計","","小計")),IF($A91&gt;MAX(Sheet1!$B$7:$B$133),"",VLOOKUP($A91,Sheet1!$B$7:$U$133,Sheet1!$I$5-Sheet1!$A$5,FALSE)))</f>
        <v/>
      </c>
      <c r="H91" s="243" t="str">
        <f>IF($G91="","",IF($G91="小計",VLOOKUP($A91,Sheet1!$O$7:$U$133,Sheet1!$S$5-Sheet1!$N$5,FALSE),VLOOKUP($G91,Sheet1!$I$7:$N$133,Sheet1!$L$5-Sheet1!$H$5,FALSE)))</f>
        <v/>
      </c>
      <c r="I91" s="243" t="str">
        <f>IF($G91="","",IF($G91="小計",VLOOKUP($A91,Sheet1!$O$7:$U$133,Sheet1!$T$5-Sheet1!$N$5,FALSE),VLOOKUP($G91,Sheet1!$I$7:$N$133,Sheet1!$M$5-Sheet1!$H$5,FALSE)))</f>
        <v/>
      </c>
      <c r="J91" s="243" t="str">
        <f>IF($G91="","",IF($G91="小計",VLOOKUP($A91,Sheet1!$O$7:$U$133,Sheet1!$U$5-Sheet1!$N$5,FALSE),VLOOKUP($G91,Sheet1!$I$7:$N$133,Sheet1!$N$5-Sheet1!$H$5,FALSE)))</f>
        <v/>
      </c>
      <c r="K91" s="610" t="str">
        <f>IF(OR($G91="",$G91="小計"),"",IF(VLOOKUP($G91,請求Data!$I$11:$AR$160,請求Data!$AR$10-請求Data!$H$10,FALSE)="","",VLOOKUP($G91,請求Data!$I$11:$AR$160,請求Data!$AR$10-請求Data!$H$10,FALSE)))</f>
        <v/>
      </c>
    </row>
    <row r="92" spans="1:11">
      <c r="A92" s="481">
        <v>83</v>
      </c>
      <c r="B92" s="477" t="str">
        <f t="shared" si="1"/>
        <v/>
      </c>
      <c r="D92" s="844" t="str">
        <f>IF(OR($G92="",$G92="小計"),"",INDEX(請求Data!$T$11:$T$160,MATCH($G92,請求Data!$I$11:$I$160,0))&amp;"")</f>
        <v/>
      </c>
      <c r="E92" s="844"/>
      <c r="F92" s="75"/>
      <c r="G92" s="147" t="str">
        <f>IF(ISNA(MATCH($A92,Sheet1!$B$7:$B$133,0)),IF($A92&gt;MAX(Sheet1!$O$7:$O$133),"",IF($G91="小計","","小計")),IF($A92&gt;MAX(Sheet1!$B$7:$B$133),"",VLOOKUP($A92,Sheet1!$B$7:$U$133,Sheet1!$I$5-Sheet1!$A$5,FALSE)))</f>
        <v/>
      </c>
      <c r="H92" s="243" t="str">
        <f>IF($G92="","",IF($G92="小計",VLOOKUP($A92,Sheet1!$O$7:$U$133,Sheet1!$S$5-Sheet1!$N$5,FALSE),VLOOKUP($G92,Sheet1!$I$7:$N$133,Sheet1!$L$5-Sheet1!$H$5,FALSE)))</f>
        <v/>
      </c>
      <c r="I92" s="243" t="str">
        <f>IF($G92="","",IF($G92="小計",VLOOKUP($A92,Sheet1!$O$7:$U$133,Sheet1!$T$5-Sheet1!$N$5,FALSE),VLOOKUP($G92,Sheet1!$I$7:$N$133,Sheet1!$M$5-Sheet1!$H$5,FALSE)))</f>
        <v/>
      </c>
      <c r="J92" s="243" t="str">
        <f>IF($G92="","",IF($G92="小計",VLOOKUP($A92,Sheet1!$O$7:$U$133,Sheet1!$U$5-Sheet1!$N$5,FALSE),VLOOKUP($G92,Sheet1!$I$7:$N$133,Sheet1!$N$5-Sheet1!$H$5,FALSE)))</f>
        <v/>
      </c>
      <c r="K92" s="610" t="str">
        <f>IF(OR($G92="",$G92="小計"),"",IF(VLOOKUP($G92,請求Data!$I$11:$AR$160,請求Data!$AR$10-請求Data!$H$10,FALSE)="","",VLOOKUP($G92,請求Data!$I$11:$AR$160,請求Data!$AR$10-請求Data!$H$10,FALSE)))</f>
        <v/>
      </c>
    </row>
    <row r="93" spans="1:11">
      <c r="A93" s="481">
        <v>84</v>
      </c>
      <c r="B93" s="477" t="str">
        <f t="shared" si="1"/>
        <v/>
      </c>
      <c r="D93" s="844" t="str">
        <f>IF(OR($G93="",$G93="小計"),"",INDEX(請求Data!$T$11:$T$160,MATCH($G93,請求Data!$I$11:$I$160,0))&amp;"")</f>
        <v/>
      </c>
      <c r="E93" s="844"/>
      <c r="F93" s="75"/>
      <c r="G93" s="147" t="str">
        <f>IF(ISNA(MATCH($A93,Sheet1!$B$7:$B$133,0)),IF($A93&gt;MAX(Sheet1!$O$7:$O$133),"",IF($G92="小計","","小計")),IF($A93&gt;MAX(Sheet1!$B$7:$B$133),"",VLOOKUP($A93,Sheet1!$B$7:$U$133,Sheet1!$I$5-Sheet1!$A$5,FALSE)))</f>
        <v/>
      </c>
      <c r="H93" s="243" t="str">
        <f>IF($G93="","",IF($G93="小計",VLOOKUP($A93,Sheet1!$O$7:$U$133,Sheet1!$S$5-Sheet1!$N$5,FALSE),VLOOKUP($G93,Sheet1!$I$7:$N$133,Sheet1!$L$5-Sheet1!$H$5,FALSE)))</f>
        <v/>
      </c>
      <c r="I93" s="243" t="str">
        <f>IF($G93="","",IF($G93="小計",VLOOKUP($A93,Sheet1!$O$7:$U$133,Sheet1!$T$5-Sheet1!$N$5,FALSE),VLOOKUP($G93,Sheet1!$I$7:$N$133,Sheet1!$M$5-Sheet1!$H$5,FALSE)))</f>
        <v/>
      </c>
      <c r="J93" s="243" t="str">
        <f>IF($G93="","",IF($G93="小計",VLOOKUP($A93,Sheet1!$O$7:$U$133,Sheet1!$U$5-Sheet1!$N$5,FALSE),VLOOKUP($G93,Sheet1!$I$7:$N$133,Sheet1!$N$5-Sheet1!$H$5,FALSE)))</f>
        <v/>
      </c>
      <c r="K93" s="610" t="str">
        <f>IF(OR($G93="",$G93="小計"),"",IF(VLOOKUP($G93,請求Data!$I$11:$AR$160,請求Data!$AR$10-請求Data!$H$10,FALSE)="","",VLOOKUP($G93,請求Data!$I$11:$AR$160,請求Data!$AR$10-請求Data!$H$10,FALSE)))</f>
        <v/>
      </c>
    </row>
    <row r="94" spans="1:11">
      <c r="A94" s="481">
        <v>85</v>
      </c>
      <c r="B94" s="477" t="str">
        <f t="shared" si="1"/>
        <v/>
      </c>
      <c r="D94" s="844" t="str">
        <f>IF(OR($G94="",$G94="小計"),"",INDEX(請求Data!$T$11:$T$160,MATCH($G94,請求Data!$I$11:$I$160,0))&amp;"")</f>
        <v/>
      </c>
      <c r="E94" s="844"/>
      <c r="F94" s="75"/>
      <c r="G94" s="147" t="str">
        <f>IF(ISNA(MATCH($A94,Sheet1!$B$7:$B$133,0)),IF($A94&gt;MAX(Sheet1!$O$7:$O$133),"",IF($G93="小計","","小計")),IF($A94&gt;MAX(Sheet1!$B$7:$B$133),"",VLOOKUP($A94,Sheet1!$B$7:$U$133,Sheet1!$I$5-Sheet1!$A$5,FALSE)))</f>
        <v/>
      </c>
      <c r="H94" s="243" t="str">
        <f>IF($G94="","",IF($G94="小計",VLOOKUP($A94,Sheet1!$O$7:$U$133,Sheet1!$S$5-Sheet1!$N$5,FALSE),VLOOKUP($G94,Sheet1!$I$7:$N$133,Sheet1!$L$5-Sheet1!$H$5,FALSE)))</f>
        <v/>
      </c>
      <c r="I94" s="243" t="str">
        <f>IF($G94="","",IF($G94="小計",VLOOKUP($A94,Sheet1!$O$7:$U$133,Sheet1!$T$5-Sheet1!$N$5,FALSE),VLOOKUP($G94,Sheet1!$I$7:$N$133,Sheet1!$M$5-Sheet1!$H$5,FALSE)))</f>
        <v/>
      </c>
      <c r="J94" s="243" t="str">
        <f>IF($G94="","",IF($G94="小計",VLOOKUP($A94,Sheet1!$O$7:$U$133,Sheet1!$U$5-Sheet1!$N$5,FALSE),VLOOKUP($G94,Sheet1!$I$7:$N$133,Sheet1!$N$5-Sheet1!$H$5,FALSE)))</f>
        <v/>
      </c>
      <c r="K94" s="610" t="str">
        <f>IF(OR($G94="",$G94="小計"),"",IF(VLOOKUP($G94,請求Data!$I$11:$AR$160,請求Data!$AR$10-請求Data!$H$10,FALSE)="","",VLOOKUP($G94,請求Data!$I$11:$AR$160,請求Data!$AR$10-請求Data!$H$10,FALSE)))</f>
        <v/>
      </c>
    </row>
    <row r="95" spans="1:11">
      <c r="A95" s="481">
        <v>86</v>
      </c>
      <c r="B95" s="477" t="str">
        <f t="shared" si="1"/>
        <v/>
      </c>
      <c r="D95" s="844" t="str">
        <f>IF(OR($G95="",$G95="小計"),"",INDEX(請求Data!$T$11:$T$160,MATCH($G95,請求Data!$I$11:$I$160,0))&amp;"")</f>
        <v/>
      </c>
      <c r="E95" s="844"/>
      <c r="F95" s="75"/>
      <c r="G95" s="147" t="str">
        <f>IF(ISNA(MATCH($A95,Sheet1!$B$7:$B$133,0)),IF($A95&gt;MAX(Sheet1!$O$7:$O$133),"",IF($G94="小計","","小計")),IF($A95&gt;MAX(Sheet1!$B$7:$B$133),"",VLOOKUP($A95,Sheet1!$B$7:$U$133,Sheet1!$I$5-Sheet1!$A$5,FALSE)))</f>
        <v/>
      </c>
      <c r="H95" s="243" t="str">
        <f>IF($G95="","",IF($G95="小計",VLOOKUP($A95,Sheet1!$O$7:$U$133,Sheet1!$S$5-Sheet1!$N$5,FALSE),VLOOKUP($G95,Sheet1!$I$7:$N$133,Sheet1!$L$5-Sheet1!$H$5,FALSE)))</f>
        <v/>
      </c>
      <c r="I95" s="243" t="str">
        <f>IF($G95="","",IF($G95="小計",VLOOKUP($A95,Sheet1!$O$7:$U$133,Sheet1!$T$5-Sheet1!$N$5,FALSE),VLOOKUP($G95,Sheet1!$I$7:$N$133,Sheet1!$M$5-Sheet1!$H$5,FALSE)))</f>
        <v/>
      </c>
      <c r="J95" s="243" t="str">
        <f>IF($G95="","",IF($G95="小計",VLOOKUP($A95,Sheet1!$O$7:$U$133,Sheet1!$U$5-Sheet1!$N$5,FALSE),VLOOKUP($G95,Sheet1!$I$7:$N$133,Sheet1!$N$5-Sheet1!$H$5,FALSE)))</f>
        <v/>
      </c>
      <c r="K95" s="610" t="str">
        <f>IF(OR($G95="",$G95="小計"),"",IF(VLOOKUP($G95,請求Data!$I$11:$AR$160,請求Data!$AR$10-請求Data!$H$10,FALSE)="","",VLOOKUP($G95,請求Data!$I$11:$AR$160,請求Data!$AR$10-請求Data!$H$10,FALSE)))</f>
        <v/>
      </c>
    </row>
    <row r="96" spans="1:11">
      <c r="A96" s="481">
        <v>87</v>
      </c>
      <c r="B96" s="477" t="str">
        <f t="shared" si="1"/>
        <v/>
      </c>
      <c r="D96" s="844" t="str">
        <f>IF(OR($G96="",$G96="小計"),"",INDEX(請求Data!$T$11:$T$160,MATCH($G96,請求Data!$I$11:$I$160,0))&amp;"")</f>
        <v/>
      </c>
      <c r="E96" s="844"/>
      <c r="F96" s="75"/>
      <c r="G96" s="147" t="str">
        <f>IF(ISNA(MATCH($A96,Sheet1!$B$7:$B$133,0)),IF($A96&gt;MAX(Sheet1!$O$7:$O$133),"",IF($G95="小計","","小計")),IF($A96&gt;MAX(Sheet1!$B$7:$B$133),"",VLOOKUP($A96,Sheet1!$B$7:$U$133,Sheet1!$I$5-Sheet1!$A$5,FALSE)))</f>
        <v/>
      </c>
      <c r="H96" s="243" t="str">
        <f>IF($G96="","",IF($G96="小計",VLOOKUP($A96,Sheet1!$O$7:$U$133,Sheet1!$S$5-Sheet1!$N$5,FALSE),VLOOKUP($G96,Sheet1!$I$7:$N$133,Sheet1!$L$5-Sheet1!$H$5,FALSE)))</f>
        <v/>
      </c>
      <c r="I96" s="243" t="str">
        <f>IF($G96="","",IF($G96="小計",VLOOKUP($A96,Sheet1!$O$7:$U$133,Sheet1!$T$5-Sheet1!$N$5,FALSE),VLOOKUP($G96,Sheet1!$I$7:$N$133,Sheet1!$M$5-Sheet1!$H$5,FALSE)))</f>
        <v/>
      </c>
      <c r="J96" s="243" t="str">
        <f>IF($G96="","",IF($G96="小計",VLOOKUP($A96,Sheet1!$O$7:$U$133,Sheet1!$U$5-Sheet1!$N$5,FALSE),VLOOKUP($G96,Sheet1!$I$7:$N$133,Sheet1!$N$5-Sheet1!$H$5,FALSE)))</f>
        <v/>
      </c>
      <c r="K96" s="610" t="str">
        <f>IF(OR($G96="",$G96="小計"),"",IF(VLOOKUP($G96,請求Data!$I$11:$AR$160,請求Data!$AR$10-請求Data!$H$10,FALSE)="","",VLOOKUP($G96,請求Data!$I$11:$AR$160,請求Data!$AR$10-請求Data!$H$10,FALSE)))</f>
        <v/>
      </c>
    </row>
    <row r="97" spans="1:11">
      <c r="A97" s="481">
        <v>88</v>
      </c>
      <c r="B97" s="477" t="str">
        <f t="shared" si="1"/>
        <v/>
      </c>
      <c r="D97" s="844" t="str">
        <f>IF(OR($G97="",$G97="小計"),"",INDEX(請求Data!$T$11:$T$160,MATCH($G97,請求Data!$I$11:$I$160,0))&amp;"")</f>
        <v/>
      </c>
      <c r="E97" s="844"/>
      <c r="F97" s="75"/>
      <c r="G97" s="147" t="str">
        <f>IF(ISNA(MATCH($A97,Sheet1!$B$7:$B$133,0)),IF($A97&gt;MAX(Sheet1!$O$7:$O$133),"",IF($G96="小計","","小計")),IF($A97&gt;MAX(Sheet1!$B$7:$B$133),"",VLOOKUP($A97,Sheet1!$B$7:$U$133,Sheet1!$I$5-Sheet1!$A$5,FALSE)))</f>
        <v/>
      </c>
      <c r="H97" s="243" t="str">
        <f>IF($G97="","",IF($G97="小計",VLOOKUP($A97,Sheet1!$O$7:$U$133,Sheet1!$S$5-Sheet1!$N$5,FALSE),VLOOKUP($G97,Sheet1!$I$7:$N$133,Sheet1!$L$5-Sheet1!$H$5,FALSE)))</f>
        <v/>
      </c>
      <c r="I97" s="243" t="str">
        <f>IF($G97="","",IF($G97="小計",VLOOKUP($A97,Sheet1!$O$7:$U$133,Sheet1!$T$5-Sheet1!$N$5,FALSE),VLOOKUP($G97,Sheet1!$I$7:$N$133,Sheet1!$M$5-Sheet1!$H$5,FALSE)))</f>
        <v/>
      </c>
      <c r="J97" s="243" t="str">
        <f>IF($G97="","",IF($G97="小計",VLOOKUP($A97,Sheet1!$O$7:$U$133,Sheet1!$U$5-Sheet1!$N$5,FALSE),VLOOKUP($G97,Sheet1!$I$7:$N$133,Sheet1!$N$5-Sheet1!$H$5,FALSE)))</f>
        <v/>
      </c>
      <c r="K97" s="610" t="str">
        <f>IF(OR($G97="",$G97="小計"),"",IF(VLOOKUP($G97,請求Data!$I$11:$AR$160,請求Data!$AR$10-請求Data!$H$10,FALSE)="","",VLOOKUP($G97,請求Data!$I$11:$AR$160,請求Data!$AR$10-請求Data!$H$10,FALSE)))</f>
        <v/>
      </c>
    </row>
    <row r="98" spans="1:11">
      <c r="A98" s="481">
        <v>89</v>
      </c>
      <c r="B98" s="477" t="str">
        <f t="shared" si="1"/>
        <v/>
      </c>
      <c r="D98" s="844" t="str">
        <f>IF(OR($G98="",$G98="小計"),"",INDEX(請求Data!$T$11:$T$160,MATCH($G98,請求Data!$I$11:$I$160,0))&amp;"")</f>
        <v/>
      </c>
      <c r="E98" s="844"/>
      <c r="F98" s="75"/>
      <c r="G98" s="147" t="str">
        <f>IF(ISNA(MATCH($A98,Sheet1!$B$7:$B$133,0)),IF($A98&gt;MAX(Sheet1!$O$7:$O$133),"",IF($G97="小計","","小計")),IF($A98&gt;MAX(Sheet1!$B$7:$B$133),"",VLOOKUP($A98,Sheet1!$B$7:$U$133,Sheet1!$I$5-Sheet1!$A$5,FALSE)))</f>
        <v/>
      </c>
      <c r="H98" s="243" t="str">
        <f>IF($G98="","",IF($G98="小計",VLOOKUP($A98,Sheet1!$O$7:$U$133,Sheet1!$S$5-Sheet1!$N$5,FALSE),VLOOKUP($G98,Sheet1!$I$7:$N$133,Sheet1!$L$5-Sheet1!$H$5,FALSE)))</f>
        <v/>
      </c>
      <c r="I98" s="243" t="str">
        <f>IF($G98="","",IF($G98="小計",VLOOKUP($A98,Sheet1!$O$7:$U$133,Sheet1!$T$5-Sheet1!$N$5,FALSE),VLOOKUP($G98,Sheet1!$I$7:$N$133,Sheet1!$M$5-Sheet1!$H$5,FALSE)))</f>
        <v/>
      </c>
      <c r="J98" s="243" t="str">
        <f>IF($G98="","",IF($G98="小計",VLOOKUP($A98,Sheet1!$O$7:$U$133,Sheet1!$U$5-Sheet1!$N$5,FALSE),VLOOKUP($G98,Sheet1!$I$7:$N$133,Sheet1!$N$5-Sheet1!$H$5,FALSE)))</f>
        <v/>
      </c>
      <c r="K98" s="610" t="str">
        <f>IF(OR($G98="",$G98="小計"),"",IF(VLOOKUP($G98,請求Data!$I$11:$AR$160,請求Data!$AR$10-請求Data!$H$10,FALSE)="","",VLOOKUP($G98,請求Data!$I$11:$AR$160,請求Data!$AR$10-請求Data!$H$10,FALSE)))</f>
        <v/>
      </c>
    </row>
    <row r="99" spans="1:11">
      <c r="A99" s="481">
        <v>90</v>
      </c>
      <c r="B99" s="477" t="str">
        <f t="shared" si="1"/>
        <v/>
      </c>
      <c r="D99" s="844" t="str">
        <f>IF(OR($G99="",$G99="小計"),"",INDEX(請求Data!$T$11:$T$160,MATCH($G99,請求Data!$I$11:$I$160,0))&amp;"")</f>
        <v/>
      </c>
      <c r="E99" s="844"/>
      <c r="F99" s="75"/>
      <c r="G99" s="147" t="str">
        <f>IF(ISNA(MATCH($A99,Sheet1!$B$7:$B$133,0)),IF($A99&gt;MAX(Sheet1!$O$7:$O$133),"",IF($G98="小計","","小計")),IF($A99&gt;MAX(Sheet1!$B$7:$B$133),"",VLOOKUP($A99,Sheet1!$B$7:$U$133,Sheet1!$I$5-Sheet1!$A$5,FALSE)))</f>
        <v/>
      </c>
      <c r="H99" s="243" t="str">
        <f>IF($G99="","",IF($G99="小計",VLOOKUP($A99,Sheet1!$O$7:$U$133,Sheet1!$S$5-Sheet1!$N$5,FALSE),VLOOKUP($G99,Sheet1!$I$7:$N$133,Sheet1!$L$5-Sheet1!$H$5,FALSE)))</f>
        <v/>
      </c>
      <c r="I99" s="243" t="str">
        <f>IF($G99="","",IF($G99="小計",VLOOKUP($A99,Sheet1!$O$7:$U$133,Sheet1!$T$5-Sheet1!$N$5,FALSE),VLOOKUP($G99,Sheet1!$I$7:$N$133,Sheet1!$M$5-Sheet1!$H$5,FALSE)))</f>
        <v/>
      </c>
      <c r="J99" s="243" t="str">
        <f>IF($G99="","",IF($G99="小計",VLOOKUP($A99,Sheet1!$O$7:$U$133,Sheet1!$U$5-Sheet1!$N$5,FALSE),VLOOKUP($G99,Sheet1!$I$7:$N$133,Sheet1!$N$5-Sheet1!$H$5,FALSE)))</f>
        <v/>
      </c>
      <c r="K99" s="610" t="str">
        <f>IF(OR($G99="",$G99="小計"),"",IF(VLOOKUP($G99,請求Data!$I$11:$AR$160,請求Data!$AR$10-請求Data!$H$10,FALSE)="","",VLOOKUP($G99,請求Data!$I$11:$AR$160,請求Data!$AR$10-請求Data!$H$10,FALSE)))</f>
        <v/>
      </c>
    </row>
    <row r="100" spans="1:11">
      <c r="A100" s="481">
        <v>91</v>
      </c>
      <c r="B100" s="477" t="str">
        <f t="shared" si="1"/>
        <v/>
      </c>
      <c r="D100" s="844" t="str">
        <f>IF(OR($G100="",$G100="小計"),"",INDEX(請求Data!$T$11:$T$160,MATCH($G100,請求Data!$I$11:$I$160,0))&amp;"")</f>
        <v/>
      </c>
      <c r="E100" s="844"/>
      <c r="F100" s="75"/>
      <c r="G100" s="147" t="str">
        <f>IF(ISNA(MATCH($A100,Sheet1!$B$7:$B$133,0)),IF($A100&gt;MAX(Sheet1!$O$7:$O$133),"",IF($G99="小計","","小計")),IF($A100&gt;MAX(Sheet1!$B$7:$B$133),"",VLOOKUP($A100,Sheet1!$B$7:$U$133,Sheet1!$I$5-Sheet1!$A$5,FALSE)))</f>
        <v/>
      </c>
      <c r="H100" s="243" t="str">
        <f>IF($G100="","",IF($G100="小計",VLOOKUP($A100,Sheet1!$O$7:$U$133,Sheet1!$S$5-Sheet1!$N$5,FALSE),VLOOKUP($G100,Sheet1!$I$7:$N$133,Sheet1!$L$5-Sheet1!$H$5,FALSE)))</f>
        <v/>
      </c>
      <c r="I100" s="243" t="str">
        <f>IF($G100="","",IF($G100="小計",VLOOKUP($A100,Sheet1!$O$7:$U$133,Sheet1!$T$5-Sheet1!$N$5,FALSE),VLOOKUP($G100,Sheet1!$I$7:$N$133,Sheet1!$M$5-Sheet1!$H$5,FALSE)))</f>
        <v/>
      </c>
      <c r="J100" s="243" t="str">
        <f>IF($G100="","",IF($G100="小計",VLOOKUP($A100,Sheet1!$O$7:$U$133,Sheet1!$U$5-Sheet1!$N$5,FALSE),VLOOKUP($G100,Sheet1!$I$7:$N$133,Sheet1!$N$5-Sheet1!$H$5,FALSE)))</f>
        <v/>
      </c>
      <c r="K100" s="610" t="str">
        <f>IF(OR($G100="",$G100="小計"),"",IF(VLOOKUP($G100,請求Data!$I$11:$AR$160,請求Data!$AR$10-請求Data!$H$10,FALSE)="","",VLOOKUP($G100,請求Data!$I$11:$AR$160,請求Data!$AR$10-請求Data!$H$10,FALSE)))</f>
        <v/>
      </c>
    </row>
    <row r="101" spans="1:11">
      <c r="A101" s="481">
        <v>92</v>
      </c>
      <c r="B101" s="477" t="str">
        <f t="shared" si="1"/>
        <v/>
      </c>
      <c r="D101" s="844" t="str">
        <f>IF(OR($G101="",$G101="小計"),"",INDEX(請求Data!$T$11:$T$160,MATCH($G101,請求Data!$I$11:$I$160,0))&amp;"")</f>
        <v/>
      </c>
      <c r="E101" s="844"/>
      <c r="F101" s="75"/>
      <c r="G101" s="147" t="str">
        <f>IF(ISNA(MATCH($A101,Sheet1!$B$7:$B$133,0)),IF($A101&gt;MAX(Sheet1!$O$7:$O$133),"",IF($G100="小計","","小計")),IF($A101&gt;MAX(Sheet1!$B$7:$B$133),"",VLOOKUP($A101,Sheet1!$B$7:$U$133,Sheet1!$I$5-Sheet1!$A$5,FALSE)))</f>
        <v/>
      </c>
      <c r="H101" s="243" t="str">
        <f>IF($G101="","",IF($G101="小計",VLOOKUP($A101,Sheet1!$O$7:$U$133,Sheet1!$S$5-Sheet1!$N$5,FALSE),VLOOKUP($G101,Sheet1!$I$7:$N$133,Sheet1!$L$5-Sheet1!$H$5,FALSE)))</f>
        <v/>
      </c>
      <c r="I101" s="243" t="str">
        <f>IF($G101="","",IF($G101="小計",VLOOKUP($A101,Sheet1!$O$7:$U$133,Sheet1!$T$5-Sheet1!$N$5,FALSE),VLOOKUP($G101,Sheet1!$I$7:$N$133,Sheet1!$M$5-Sheet1!$H$5,FALSE)))</f>
        <v/>
      </c>
      <c r="J101" s="243" t="str">
        <f>IF($G101="","",IF($G101="小計",VLOOKUP($A101,Sheet1!$O$7:$U$133,Sheet1!$U$5-Sheet1!$N$5,FALSE),VLOOKUP($G101,Sheet1!$I$7:$N$133,Sheet1!$N$5-Sheet1!$H$5,FALSE)))</f>
        <v/>
      </c>
      <c r="K101" s="610" t="str">
        <f>IF(OR($G101="",$G101="小計"),"",IF(VLOOKUP($G101,請求Data!$I$11:$AR$160,請求Data!$AR$10-請求Data!$H$10,FALSE)="","",VLOOKUP($G101,請求Data!$I$11:$AR$160,請求Data!$AR$10-請求Data!$H$10,FALSE)))</f>
        <v/>
      </c>
    </row>
    <row r="102" spans="1:11">
      <c r="A102" s="481">
        <v>93</v>
      </c>
      <c r="B102" s="477" t="str">
        <f t="shared" si="1"/>
        <v/>
      </c>
      <c r="D102" s="844" t="str">
        <f>IF(OR($G102="",$G102="小計"),"",INDEX(請求Data!$T$11:$T$160,MATCH($G102,請求Data!$I$11:$I$160,0))&amp;"")</f>
        <v/>
      </c>
      <c r="E102" s="844"/>
      <c r="F102" s="75"/>
      <c r="G102" s="147" t="str">
        <f>IF(ISNA(MATCH($A102,Sheet1!$B$7:$B$133,0)),IF($A102&gt;MAX(Sheet1!$O$7:$O$133),"",IF($G101="小計","","小計")),IF($A102&gt;MAX(Sheet1!$B$7:$B$133),"",VLOOKUP($A102,Sheet1!$B$7:$U$133,Sheet1!$I$5-Sheet1!$A$5,FALSE)))</f>
        <v/>
      </c>
      <c r="H102" s="243" t="str">
        <f>IF($G102="","",IF($G102="小計",VLOOKUP($A102,Sheet1!$O$7:$U$133,Sheet1!$S$5-Sheet1!$N$5,FALSE),VLOOKUP($G102,Sheet1!$I$7:$N$133,Sheet1!$L$5-Sheet1!$H$5,FALSE)))</f>
        <v/>
      </c>
      <c r="I102" s="243" t="str">
        <f>IF($G102="","",IF($G102="小計",VLOOKUP($A102,Sheet1!$O$7:$U$133,Sheet1!$T$5-Sheet1!$N$5,FALSE),VLOOKUP($G102,Sheet1!$I$7:$N$133,Sheet1!$M$5-Sheet1!$H$5,FALSE)))</f>
        <v/>
      </c>
      <c r="J102" s="243" t="str">
        <f>IF($G102="","",IF($G102="小計",VLOOKUP($A102,Sheet1!$O$7:$U$133,Sheet1!$U$5-Sheet1!$N$5,FALSE),VLOOKUP($G102,Sheet1!$I$7:$N$133,Sheet1!$N$5-Sheet1!$H$5,FALSE)))</f>
        <v/>
      </c>
      <c r="K102" s="610" t="str">
        <f>IF(OR($G102="",$G102="小計"),"",IF(VLOOKUP($G102,請求Data!$I$11:$AR$160,請求Data!$AR$10-請求Data!$H$10,FALSE)="","",VLOOKUP($G102,請求Data!$I$11:$AR$160,請求Data!$AR$10-請求Data!$H$10,FALSE)))</f>
        <v/>
      </c>
    </row>
    <row r="103" spans="1:11">
      <c r="A103" s="481">
        <v>94</v>
      </c>
      <c r="B103" s="477" t="str">
        <f t="shared" si="1"/>
        <v/>
      </c>
      <c r="D103" s="844" t="str">
        <f>IF(OR($G103="",$G103="小計"),"",INDEX(請求Data!$T$11:$T$160,MATCH($G103,請求Data!$I$11:$I$160,0))&amp;"")</f>
        <v/>
      </c>
      <c r="E103" s="844"/>
      <c r="F103" s="75"/>
      <c r="G103" s="147" t="str">
        <f>IF(ISNA(MATCH($A103,Sheet1!$B$7:$B$133,0)),IF($A103&gt;MAX(Sheet1!$O$7:$O$133),"",IF($G102="小計","","小計")),IF($A103&gt;MAX(Sheet1!$B$7:$B$133),"",VLOOKUP($A103,Sheet1!$B$7:$U$133,Sheet1!$I$5-Sheet1!$A$5,FALSE)))</f>
        <v/>
      </c>
      <c r="H103" s="243" t="str">
        <f>IF($G103="","",IF($G103="小計",VLOOKUP($A103,Sheet1!$O$7:$U$133,Sheet1!$S$5-Sheet1!$N$5,FALSE),VLOOKUP($G103,Sheet1!$I$7:$N$133,Sheet1!$L$5-Sheet1!$H$5,FALSE)))</f>
        <v/>
      </c>
      <c r="I103" s="243" t="str">
        <f>IF($G103="","",IF($G103="小計",VLOOKUP($A103,Sheet1!$O$7:$U$133,Sheet1!$T$5-Sheet1!$N$5,FALSE),VLOOKUP($G103,Sheet1!$I$7:$N$133,Sheet1!$M$5-Sheet1!$H$5,FALSE)))</f>
        <v/>
      </c>
      <c r="J103" s="243" t="str">
        <f>IF($G103="","",IF($G103="小計",VLOOKUP($A103,Sheet1!$O$7:$U$133,Sheet1!$U$5-Sheet1!$N$5,FALSE),VLOOKUP($G103,Sheet1!$I$7:$N$133,Sheet1!$N$5-Sheet1!$H$5,FALSE)))</f>
        <v/>
      </c>
      <c r="K103" s="610" t="str">
        <f>IF(OR($G103="",$G103="小計"),"",IF(VLOOKUP($G103,請求Data!$I$11:$AR$160,請求Data!$AR$10-請求Data!$H$10,FALSE)="","",VLOOKUP($G103,請求Data!$I$11:$AR$160,請求Data!$AR$10-請求Data!$H$10,FALSE)))</f>
        <v/>
      </c>
    </row>
    <row r="104" spans="1:11">
      <c r="A104" s="481">
        <v>95</v>
      </c>
      <c r="B104" s="477" t="str">
        <f t="shared" si="1"/>
        <v/>
      </c>
      <c r="D104" s="844" t="str">
        <f>IF(OR($G104="",$G104="小計"),"",INDEX(請求Data!$T$11:$T$160,MATCH($G104,請求Data!$I$11:$I$160,0))&amp;"")</f>
        <v/>
      </c>
      <c r="E104" s="844"/>
      <c r="F104" s="75"/>
      <c r="G104" s="147" t="str">
        <f>IF(ISNA(MATCH($A104,Sheet1!$B$7:$B$133,0)),IF($A104&gt;MAX(Sheet1!$O$7:$O$133),"",IF($G103="小計","","小計")),IF($A104&gt;MAX(Sheet1!$B$7:$B$133),"",VLOOKUP($A104,Sheet1!$B$7:$U$133,Sheet1!$I$5-Sheet1!$A$5,FALSE)))</f>
        <v/>
      </c>
      <c r="H104" s="243" t="str">
        <f>IF($G104="","",IF($G104="小計",VLOOKUP($A104,Sheet1!$O$7:$U$133,Sheet1!$S$5-Sheet1!$N$5,FALSE),VLOOKUP($G104,Sheet1!$I$7:$N$133,Sheet1!$L$5-Sheet1!$H$5,FALSE)))</f>
        <v/>
      </c>
      <c r="I104" s="243" t="str">
        <f>IF($G104="","",IF($G104="小計",VLOOKUP($A104,Sheet1!$O$7:$U$133,Sheet1!$T$5-Sheet1!$N$5,FALSE),VLOOKUP($G104,Sheet1!$I$7:$N$133,Sheet1!$M$5-Sheet1!$H$5,FALSE)))</f>
        <v/>
      </c>
      <c r="J104" s="243" t="str">
        <f>IF($G104="","",IF($G104="小計",VLOOKUP($A104,Sheet1!$O$7:$U$133,Sheet1!$U$5-Sheet1!$N$5,FALSE),VLOOKUP($G104,Sheet1!$I$7:$N$133,Sheet1!$N$5-Sheet1!$H$5,FALSE)))</f>
        <v/>
      </c>
      <c r="K104" s="610" t="str">
        <f>IF(OR($G104="",$G104="小計"),"",IF(VLOOKUP($G104,請求Data!$I$11:$AR$160,請求Data!$AR$10-請求Data!$H$10,FALSE)="","",VLOOKUP($G104,請求Data!$I$11:$AR$160,請求Data!$AR$10-請求Data!$H$10,FALSE)))</f>
        <v/>
      </c>
    </row>
    <row r="105" spans="1:11">
      <c r="A105" s="481">
        <v>96</v>
      </c>
      <c r="B105" s="477" t="str">
        <f t="shared" si="1"/>
        <v/>
      </c>
      <c r="D105" s="844" t="str">
        <f>IF(OR($G105="",$G105="小計"),"",INDEX(請求Data!$T$11:$T$160,MATCH($G105,請求Data!$I$11:$I$160,0))&amp;"")</f>
        <v/>
      </c>
      <c r="E105" s="844"/>
      <c r="F105" s="75"/>
      <c r="G105" s="147" t="str">
        <f>IF(ISNA(MATCH($A105,Sheet1!$B$7:$B$133,0)),IF($A105&gt;MAX(Sheet1!$O$7:$O$133),"",IF($G104="小計","","小計")),IF($A105&gt;MAX(Sheet1!$B$7:$B$133),"",VLOOKUP($A105,Sheet1!$B$7:$U$133,Sheet1!$I$5-Sheet1!$A$5,FALSE)))</f>
        <v/>
      </c>
      <c r="H105" s="243" t="str">
        <f>IF($G105="","",IF($G105="小計",VLOOKUP($A105,Sheet1!$O$7:$U$133,Sheet1!$S$5-Sheet1!$N$5,FALSE),VLOOKUP($G105,Sheet1!$I$7:$N$133,Sheet1!$L$5-Sheet1!$H$5,FALSE)))</f>
        <v/>
      </c>
      <c r="I105" s="243" t="str">
        <f>IF($G105="","",IF($G105="小計",VLOOKUP($A105,Sheet1!$O$7:$U$133,Sheet1!$T$5-Sheet1!$N$5,FALSE),VLOOKUP($G105,Sheet1!$I$7:$N$133,Sheet1!$M$5-Sheet1!$H$5,FALSE)))</f>
        <v/>
      </c>
      <c r="J105" s="243" t="str">
        <f>IF($G105="","",IF($G105="小計",VLOOKUP($A105,Sheet1!$O$7:$U$133,Sheet1!$U$5-Sheet1!$N$5,FALSE),VLOOKUP($G105,Sheet1!$I$7:$N$133,Sheet1!$N$5-Sheet1!$H$5,FALSE)))</f>
        <v/>
      </c>
      <c r="K105" s="610" t="str">
        <f>IF(OR($G105="",$G105="小計"),"",IF(VLOOKUP($G105,請求Data!$I$11:$AR$160,請求Data!$AR$10-請求Data!$H$10,FALSE)="","",VLOOKUP($G105,請求Data!$I$11:$AR$160,請求Data!$AR$10-請求Data!$H$10,FALSE)))</f>
        <v/>
      </c>
    </row>
    <row r="106" spans="1:11">
      <c r="A106" s="481">
        <v>97</v>
      </c>
      <c r="B106" s="477" t="str">
        <f t="shared" si="1"/>
        <v/>
      </c>
      <c r="D106" s="844" t="str">
        <f>IF(OR($G106="",$G106="小計"),"",INDEX(請求Data!$T$11:$T$160,MATCH($G106,請求Data!$I$11:$I$160,0))&amp;"")</f>
        <v/>
      </c>
      <c r="E106" s="844"/>
      <c r="F106" s="75"/>
      <c r="G106" s="147" t="str">
        <f>IF(ISNA(MATCH($A106,Sheet1!$B$7:$B$133,0)),IF($A106&gt;MAX(Sheet1!$O$7:$O$133),"",IF($G105="小計","","小計")),IF($A106&gt;MAX(Sheet1!$B$7:$B$133),"",VLOOKUP($A106,Sheet1!$B$7:$U$133,Sheet1!$I$5-Sheet1!$A$5,FALSE)))</f>
        <v/>
      </c>
      <c r="H106" s="243" t="str">
        <f>IF($G106="","",IF($G106="小計",VLOOKUP($A106,Sheet1!$O$7:$U$133,Sheet1!$S$5-Sheet1!$N$5,FALSE),VLOOKUP($G106,Sheet1!$I$7:$N$133,Sheet1!$L$5-Sheet1!$H$5,FALSE)))</f>
        <v/>
      </c>
      <c r="I106" s="243" t="str">
        <f>IF($G106="","",IF($G106="小計",VLOOKUP($A106,Sheet1!$O$7:$U$133,Sheet1!$T$5-Sheet1!$N$5,FALSE),VLOOKUP($G106,Sheet1!$I$7:$N$133,Sheet1!$M$5-Sheet1!$H$5,FALSE)))</f>
        <v/>
      </c>
      <c r="J106" s="243" t="str">
        <f>IF($G106="","",IF($G106="小計",VLOOKUP($A106,Sheet1!$O$7:$U$133,Sheet1!$U$5-Sheet1!$N$5,FALSE),VLOOKUP($G106,Sheet1!$I$7:$N$133,Sheet1!$N$5-Sheet1!$H$5,FALSE)))</f>
        <v/>
      </c>
      <c r="K106" s="610" t="str">
        <f>IF(OR($G106="",$G106="小計"),"",IF(VLOOKUP($G106,請求Data!$I$11:$AR$160,請求Data!$AR$10-請求Data!$H$10,FALSE)="","",VLOOKUP($G106,請求Data!$I$11:$AR$160,請求Data!$AR$10-請求Data!$H$10,FALSE)))</f>
        <v/>
      </c>
    </row>
    <row r="107" spans="1:11">
      <c r="A107" s="481">
        <v>98</v>
      </c>
      <c r="B107" s="477" t="str">
        <f t="shared" si="1"/>
        <v/>
      </c>
      <c r="D107" s="844" t="str">
        <f>IF(OR($G107="",$G107="小計"),"",INDEX(請求Data!$T$11:$T$160,MATCH($G107,請求Data!$I$11:$I$160,0))&amp;"")</f>
        <v/>
      </c>
      <c r="E107" s="844"/>
      <c r="F107" s="75"/>
      <c r="G107" s="147" t="str">
        <f>IF(ISNA(MATCH($A107,Sheet1!$B$7:$B$133,0)),IF($A107&gt;MAX(Sheet1!$O$7:$O$133),"",IF($G106="小計","","小計")),IF($A107&gt;MAX(Sheet1!$B$7:$B$133),"",VLOOKUP($A107,Sheet1!$B$7:$U$133,Sheet1!$I$5-Sheet1!$A$5,FALSE)))</f>
        <v/>
      </c>
      <c r="H107" s="243" t="str">
        <f>IF($G107="","",IF($G107="小計",VLOOKUP($A107,Sheet1!$O$7:$U$133,Sheet1!$S$5-Sheet1!$N$5,FALSE),VLOOKUP($G107,Sheet1!$I$7:$N$133,Sheet1!$L$5-Sheet1!$H$5,FALSE)))</f>
        <v/>
      </c>
      <c r="I107" s="243" t="str">
        <f>IF($G107="","",IF($G107="小計",VLOOKUP($A107,Sheet1!$O$7:$U$133,Sheet1!$T$5-Sheet1!$N$5,FALSE),VLOOKUP($G107,Sheet1!$I$7:$N$133,Sheet1!$M$5-Sheet1!$H$5,FALSE)))</f>
        <v/>
      </c>
      <c r="J107" s="243" t="str">
        <f>IF($G107="","",IF($G107="小計",VLOOKUP($A107,Sheet1!$O$7:$U$133,Sheet1!$U$5-Sheet1!$N$5,FALSE),VLOOKUP($G107,Sheet1!$I$7:$N$133,Sheet1!$N$5-Sheet1!$H$5,FALSE)))</f>
        <v/>
      </c>
      <c r="K107" s="610" t="str">
        <f>IF(OR($G107="",$G107="小計"),"",IF(VLOOKUP($G107,請求Data!$I$11:$AR$160,請求Data!$AR$10-請求Data!$H$10,FALSE)="","",VLOOKUP($G107,請求Data!$I$11:$AR$160,請求Data!$AR$10-請求Data!$H$10,FALSE)))</f>
        <v/>
      </c>
    </row>
    <row r="108" spans="1:11">
      <c r="A108" s="481">
        <v>99</v>
      </c>
      <c r="B108" s="477" t="str">
        <f t="shared" si="1"/>
        <v/>
      </c>
      <c r="D108" s="844" t="str">
        <f>IF(OR($G108="",$G108="小計"),"",INDEX(請求Data!$T$11:$T$160,MATCH($G108,請求Data!$I$11:$I$160,0))&amp;"")</f>
        <v/>
      </c>
      <c r="E108" s="844"/>
      <c r="F108" s="75"/>
      <c r="G108" s="147" t="str">
        <f>IF(ISNA(MATCH($A108,Sheet1!$B$7:$B$133,0)),IF($A108&gt;MAX(Sheet1!$O$7:$O$133),"",IF($G107="小計","","小計")),IF($A108&gt;MAX(Sheet1!$B$7:$B$133),"",VLOOKUP($A108,Sheet1!$B$7:$U$133,Sheet1!$I$5-Sheet1!$A$5,FALSE)))</f>
        <v/>
      </c>
      <c r="H108" s="243" t="str">
        <f>IF($G108="","",IF($G108="小計",VLOOKUP($A108,Sheet1!$O$7:$U$133,Sheet1!$S$5-Sheet1!$N$5,FALSE),VLOOKUP($G108,Sheet1!$I$7:$N$133,Sheet1!$L$5-Sheet1!$H$5,FALSE)))</f>
        <v/>
      </c>
      <c r="I108" s="243" t="str">
        <f>IF($G108="","",IF($G108="小計",VLOOKUP($A108,Sheet1!$O$7:$U$133,Sheet1!$T$5-Sheet1!$N$5,FALSE),VLOOKUP($G108,Sheet1!$I$7:$N$133,Sheet1!$M$5-Sheet1!$H$5,FALSE)))</f>
        <v/>
      </c>
      <c r="J108" s="243" t="str">
        <f>IF($G108="","",IF($G108="小計",VLOOKUP($A108,Sheet1!$O$7:$U$133,Sheet1!$U$5-Sheet1!$N$5,FALSE),VLOOKUP($G108,Sheet1!$I$7:$N$133,Sheet1!$N$5-Sheet1!$H$5,FALSE)))</f>
        <v/>
      </c>
      <c r="K108" s="610" t="str">
        <f>IF(OR($G108="",$G108="小計"),"",IF(VLOOKUP($G108,請求Data!$I$11:$AR$160,請求Data!$AR$10-請求Data!$H$10,FALSE)="","",VLOOKUP($G108,請求Data!$I$11:$AR$160,請求Data!$AR$10-請求Data!$H$10,FALSE)))</f>
        <v/>
      </c>
    </row>
    <row r="109" spans="1:11">
      <c r="A109" s="481">
        <v>100</v>
      </c>
      <c r="B109" s="477" t="str">
        <f t="shared" si="1"/>
        <v/>
      </c>
      <c r="D109" s="844" t="str">
        <f>IF(OR($G109="",$G109="小計"),"",INDEX(請求Data!$T$11:$T$160,MATCH($G109,請求Data!$I$11:$I$160,0))&amp;"")</f>
        <v/>
      </c>
      <c r="E109" s="844"/>
      <c r="F109" s="75"/>
      <c r="G109" s="147" t="str">
        <f>IF(ISNA(MATCH($A109,Sheet1!$B$7:$B$133,0)),IF($A109&gt;MAX(Sheet1!$O$7:$O$133),"",IF($G108="小計","","小計")),IF($A109&gt;MAX(Sheet1!$B$7:$B$133),"",VLOOKUP($A109,Sheet1!$B$7:$U$133,Sheet1!$I$5-Sheet1!$A$5,FALSE)))</f>
        <v/>
      </c>
      <c r="H109" s="243" t="str">
        <f>IF($G109="","",IF($G109="小計",VLOOKUP($A109,Sheet1!$O$7:$U$133,Sheet1!$S$5-Sheet1!$N$5,FALSE),VLOOKUP($G109,Sheet1!$I$7:$N$133,Sheet1!$L$5-Sheet1!$H$5,FALSE)))</f>
        <v/>
      </c>
      <c r="I109" s="243" t="str">
        <f>IF($G109="","",IF($G109="小計",VLOOKUP($A109,Sheet1!$O$7:$U$133,Sheet1!$T$5-Sheet1!$N$5,FALSE),VLOOKUP($G109,Sheet1!$I$7:$N$133,Sheet1!$M$5-Sheet1!$H$5,FALSE)))</f>
        <v/>
      </c>
      <c r="J109" s="243" t="str">
        <f>IF($G109="","",IF($G109="小計",VLOOKUP($A109,Sheet1!$O$7:$U$133,Sheet1!$U$5-Sheet1!$N$5,FALSE),VLOOKUP($G109,Sheet1!$I$7:$N$133,Sheet1!$N$5-Sheet1!$H$5,FALSE)))</f>
        <v/>
      </c>
      <c r="K109" s="610" t="str">
        <f>IF(OR($G109="",$G109="小計"),"",IF(VLOOKUP($G109,請求Data!$I$11:$AR$160,請求Data!$AR$10-請求Data!$H$10,FALSE)="","",VLOOKUP($G109,請求Data!$I$11:$AR$160,請求Data!$AR$10-請求Data!$H$10,FALSE)))</f>
        <v/>
      </c>
    </row>
    <row r="110" spans="1:11">
      <c r="A110" s="481">
        <v>101</v>
      </c>
      <c r="B110" s="477" t="str">
        <f t="shared" si="1"/>
        <v/>
      </c>
      <c r="D110" s="844" t="str">
        <f>IF(OR($G110="",$G110="小計"),"",INDEX(請求Data!$T$11:$T$160,MATCH($G110,請求Data!$I$11:$I$160,0))&amp;"")</f>
        <v/>
      </c>
      <c r="E110" s="844"/>
      <c r="F110" s="75"/>
      <c r="G110" s="147" t="str">
        <f>IF(ISNA(MATCH($A110,Sheet1!$B$7:$B$133,0)),IF($A110&gt;MAX(Sheet1!$O$7:$O$133),"",IF($G109="小計","","小計")),IF($A110&gt;MAX(Sheet1!$B$7:$B$133),"",VLOOKUP($A110,Sheet1!$B$7:$U$133,Sheet1!$I$5-Sheet1!$A$5,FALSE)))</f>
        <v/>
      </c>
      <c r="H110" s="243" t="str">
        <f>IF($G110="","",IF($G110="小計",VLOOKUP($A110,Sheet1!$O$7:$U$133,Sheet1!$S$5-Sheet1!$N$5,FALSE),VLOOKUP($G110,Sheet1!$I$7:$N$133,Sheet1!$L$5-Sheet1!$H$5,FALSE)))</f>
        <v/>
      </c>
      <c r="I110" s="243" t="str">
        <f>IF($G110="","",IF($G110="小計",VLOOKUP($A110,Sheet1!$O$7:$U$133,Sheet1!$T$5-Sheet1!$N$5,FALSE),VLOOKUP($G110,Sheet1!$I$7:$N$133,Sheet1!$M$5-Sheet1!$H$5,FALSE)))</f>
        <v/>
      </c>
      <c r="J110" s="243" t="str">
        <f>IF($G110="","",IF($G110="小計",VLOOKUP($A110,Sheet1!$O$7:$U$133,Sheet1!$U$5-Sheet1!$N$5,FALSE),VLOOKUP($G110,Sheet1!$I$7:$N$133,Sheet1!$N$5-Sheet1!$H$5,FALSE)))</f>
        <v/>
      </c>
      <c r="K110" s="610" t="str">
        <f>IF(OR($G110="",$G110="小計"),"",IF(VLOOKUP($G110,請求Data!$I$11:$AR$160,請求Data!$AR$10-請求Data!$H$10,FALSE)="","",VLOOKUP($G110,請求Data!$I$11:$AR$160,請求Data!$AR$10-請求Data!$H$10,FALSE)))</f>
        <v/>
      </c>
    </row>
    <row r="111" spans="1:11">
      <c r="A111" s="481">
        <v>102</v>
      </c>
      <c r="B111" s="477" t="str">
        <f t="shared" si="1"/>
        <v/>
      </c>
      <c r="D111" s="844" t="str">
        <f>IF(OR($G111="",$G111="小計"),"",INDEX(請求Data!$T$11:$T$160,MATCH($G111,請求Data!$I$11:$I$160,0))&amp;"")</f>
        <v/>
      </c>
      <c r="E111" s="844"/>
      <c r="F111" s="75"/>
      <c r="G111" s="147" t="str">
        <f>IF(ISNA(MATCH($A111,Sheet1!$B$7:$B$133,0)),IF($A111&gt;MAX(Sheet1!$O$7:$O$133),"",IF($G110="小計","","小計")),IF($A111&gt;MAX(Sheet1!$B$7:$B$133),"",VLOOKUP($A111,Sheet1!$B$7:$U$133,Sheet1!$I$5-Sheet1!$A$5,FALSE)))</f>
        <v/>
      </c>
      <c r="H111" s="243" t="str">
        <f>IF($G111="","",IF($G111="小計",VLOOKUP($A111,Sheet1!$O$7:$U$133,Sheet1!$S$5-Sheet1!$N$5,FALSE),VLOOKUP($G111,Sheet1!$I$7:$N$133,Sheet1!$L$5-Sheet1!$H$5,FALSE)))</f>
        <v/>
      </c>
      <c r="I111" s="243" t="str">
        <f>IF($G111="","",IF($G111="小計",VLOOKUP($A111,Sheet1!$O$7:$U$133,Sheet1!$T$5-Sheet1!$N$5,FALSE),VLOOKUP($G111,Sheet1!$I$7:$N$133,Sheet1!$M$5-Sheet1!$H$5,FALSE)))</f>
        <v/>
      </c>
      <c r="J111" s="243" t="str">
        <f>IF($G111="","",IF($G111="小計",VLOOKUP($A111,Sheet1!$O$7:$U$133,Sheet1!$U$5-Sheet1!$N$5,FALSE),VLOOKUP($G111,Sheet1!$I$7:$N$133,Sheet1!$N$5-Sheet1!$H$5,FALSE)))</f>
        <v/>
      </c>
      <c r="K111" s="610" t="str">
        <f>IF(OR($G111="",$G111="小計"),"",IF(VLOOKUP($G111,請求Data!$I$11:$AR$160,請求Data!$AR$10-請求Data!$H$10,FALSE)="","",VLOOKUP($G111,請求Data!$I$11:$AR$160,請求Data!$AR$10-請求Data!$H$10,FALSE)))</f>
        <v/>
      </c>
    </row>
    <row r="112" spans="1:11">
      <c r="A112" s="481">
        <v>103</v>
      </c>
      <c r="B112" s="477" t="str">
        <f t="shared" si="1"/>
        <v/>
      </c>
      <c r="D112" s="844" t="str">
        <f>IF(OR($G112="",$G112="小計"),"",INDEX(請求Data!$T$11:$T$160,MATCH($G112,請求Data!$I$11:$I$160,0))&amp;"")</f>
        <v/>
      </c>
      <c r="E112" s="844"/>
      <c r="F112" s="75"/>
      <c r="G112" s="147" t="str">
        <f>IF(ISNA(MATCH($A112,Sheet1!$B$7:$B$133,0)),IF($A112&gt;MAX(Sheet1!$O$7:$O$133),"",IF($G111="小計","","小計")),IF($A112&gt;MAX(Sheet1!$B$7:$B$133),"",VLOOKUP($A112,Sheet1!$B$7:$U$133,Sheet1!$I$5-Sheet1!$A$5,FALSE)))</f>
        <v/>
      </c>
      <c r="H112" s="243" t="str">
        <f>IF($G112="","",IF($G112="小計",VLOOKUP($A112,Sheet1!$O$7:$U$133,Sheet1!$S$5-Sheet1!$N$5,FALSE),VLOOKUP($G112,Sheet1!$I$7:$N$133,Sheet1!$L$5-Sheet1!$H$5,FALSE)))</f>
        <v/>
      </c>
      <c r="I112" s="243" t="str">
        <f>IF($G112="","",IF($G112="小計",VLOOKUP($A112,Sheet1!$O$7:$U$133,Sheet1!$T$5-Sheet1!$N$5,FALSE),VLOOKUP($G112,Sheet1!$I$7:$N$133,Sheet1!$M$5-Sheet1!$H$5,FALSE)))</f>
        <v/>
      </c>
      <c r="J112" s="243" t="str">
        <f>IF($G112="","",IF($G112="小計",VLOOKUP($A112,Sheet1!$O$7:$U$133,Sheet1!$U$5-Sheet1!$N$5,FALSE),VLOOKUP($G112,Sheet1!$I$7:$N$133,Sheet1!$N$5-Sheet1!$H$5,FALSE)))</f>
        <v/>
      </c>
      <c r="K112" s="610" t="str">
        <f>IF(OR($G112="",$G112="小計"),"",IF(VLOOKUP($G112,請求Data!$I$11:$AR$160,請求Data!$AR$10-請求Data!$H$10,FALSE)="","",VLOOKUP($G112,請求Data!$I$11:$AR$160,請求Data!$AR$10-請求Data!$H$10,FALSE)))</f>
        <v/>
      </c>
    </row>
    <row r="113" spans="1:11">
      <c r="A113" s="481">
        <v>104</v>
      </c>
      <c r="B113" s="477" t="str">
        <f t="shared" si="1"/>
        <v/>
      </c>
      <c r="D113" s="844" t="str">
        <f>IF(OR($G113="",$G113="小計"),"",INDEX(請求Data!$T$11:$T$160,MATCH($G113,請求Data!$I$11:$I$160,0))&amp;"")</f>
        <v/>
      </c>
      <c r="E113" s="844"/>
      <c r="F113" s="75"/>
      <c r="G113" s="147" t="str">
        <f>IF(ISNA(MATCH($A113,Sheet1!$B$7:$B$133,0)),IF($A113&gt;MAX(Sheet1!$O$7:$O$133),"",IF($G112="小計","","小計")),IF($A113&gt;MAX(Sheet1!$B$7:$B$133),"",VLOOKUP($A113,Sheet1!$B$7:$U$133,Sheet1!$I$5-Sheet1!$A$5,FALSE)))</f>
        <v/>
      </c>
      <c r="H113" s="243" t="str">
        <f>IF($G113="","",IF($G113="小計",VLOOKUP($A113,Sheet1!$O$7:$U$133,Sheet1!$S$5-Sheet1!$N$5,FALSE),VLOOKUP($G113,Sheet1!$I$7:$N$133,Sheet1!$L$5-Sheet1!$H$5,FALSE)))</f>
        <v/>
      </c>
      <c r="I113" s="243" t="str">
        <f>IF($G113="","",IF($G113="小計",VLOOKUP($A113,Sheet1!$O$7:$U$133,Sheet1!$T$5-Sheet1!$N$5,FALSE),VLOOKUP($G113,Sheet1!$I$7:$N$133,Sheet1!$M$5-Sheet1!$H$5,FALSE)))</f>
        <v/>
      </c>
      <c r="J113" s="243" t="str">
        <f>IF($G113="","",IF($G113="小計",VLOOKUP($A113,Sheet1!$O$7:$U$133,Sheet1!$U$5-Sheet1!$N$5,FALSE),VLOOKUP($G113,Sheet1!$I$7:$N$133,Sheet1!$N$5-Sheet1!$H$5,FALSE)))</f>
        <v/>
      </c>
      <c r="K113" s="610" t="str">
        <f>IF(OR($G113="",$G113="小計"),"",IF(VLOOKUP($G113,請求Data!$I$11:$AR$160,請求Data!$AR$10-請求Data!$H$10,FALSE)="","",VLOOKUP($G113,請求Data!$I$11:$AR$160,請求Data!$AR$10-請求Data!$H$10,FALSE)))</f>
        <v/>
      </c>
    </row>
    <row r="114" spans="1:11">
      <c r="A114" s="481">
        <v>105</v>
      </c>
      <c r="B114" s="477" t="str">
        <f t="shared" si="1"/>
        <v/>
      </c>
      <c r="D114" s="844" t="str">
        <f>IF(OR($G114="",$G114="小計"),"",INDEX(請求Data!$T$11:$T$160,MATCH($G114,請求Data!$I$11:$I$160,0))&amp;"")</f>
        <v/>
      </c>
      <c r="E114" s="844"/>
      <c r="F114" s="75"/>
      <c r="G114" s="147" t="str">
        <f>IF(ISNA(MATCH($A114,Sheet1!$B$7:$B$133,0)),IF($A114&gt;MAX(Sheet1!$O$7:$O$133),"",IF($G113="小計","","小計")),IF($A114&gt;MAX(Sheet1!$B$7:$B$133),"",VLOOKUP($A114,Sheet1!$B$7:$U$133,Sheet1!$I$5-Sheet1!$A$5,FALSE)))</f>
        <v/>
      </c>
      <c r="H114" s="243" t="str">
        <f>IF($G114="","",IF($G114="小計",VLOOKUP($A114,Sheet1!$O$7:$U$133,Sheet1!$S$5-Sheet1!$N$5,FALSE),VLOOKUP($G114,Sheet1!$I$7:$N$133,Sheet1!$L$5-Sheet1!$H$5,FALSE)))</f>
        <v/>
      </c>
      <c r="I114" s="243" t="str">
        <f>IF($G114="","",IF($G114="小計",VLOOKUP($A114,Sheet1!$O$7:$U$133,Sheet1!$T$5-Sheet1!$N$5,FALSE),VLOOKUP($G114,Sheet1!$I$7:$N$133,Sheet1!$M$5-Sheet1!$H$5,FALSE)))</f>
        <v/>
      </c>
      <c r="J114" s="243" t="str">
        <f>IF($G114="","",IF($G114="小計",VLOOKUP($A114,Sheet1!$O$7:$U$133,Sheet1!$U$5-Sheet1!$N$5,FALSE),VLOOKUP($G114,Sheet1!$I$7:$N$133,Sheet1!$N$5-Sheet1!$H$5,FALSE)))</f>
        <v/>
      </c>
      <c r="K114" s="610" t="str">
        <f>IF(OR($G114="",$G114="小計"),"",IF(VLOOKUP($G114,請求Data!$I$11:$AR$160,請求Data!$AR$10-請求Data!$H$10,FALSE)="","",VLOOKUP($G114,請求Data!$I$11:$AR$160,請求Data!$AR$10-請求Data!$H$10,FALSE)))</f>
        <v/>
      </c>
    </row>
    <row r="115" spans="1:11">
      <c r="A115" s="481">
        <v>106</v>
      </c>
      <c r="B115" s="477" t="str">
        <f t="shared" si="1"/>
        <v/>
      </c>
      <c r="D115" s="844" t="str">
        <f>IF(OR($G115="",$G115="小計"),"",INDEX(請求Data!$T$11:$T$160,MATCH($G115,請求Data!$I$11:$I$160,0))&amp;"")</f>
        <v/>
      </c>
      <c r="E115" s="844"/>
      <c r="F115" s="75"/>
      <c r="G115" s="147" t="str">
        <f>IF(ISNA(MATCH($A115,Sheet1!$B$7:$B$133,0)),IF($A115&gt;MAX(Sheet1!$O$7:$O$133),"",IF($G114="小計","","小計")),IF($A115&gt;MAX(Sheet1!$B$7:$B$133),"",VLOOKUP($A115,Sheet1!$B$7:$U$133,Sheet1!$I$5-Sheet1!$A$5,FALSE)))</f>
        <v/>
      </c>
      <c r="H115" s="243" t="str">
        <f>IF($G115="","",IF($G115="小計",VLOOKUP($A115,Sheet1!$O$7:$U$133,Sheet1!$S$5-Sheet1!$N$5,FALSE),VLOOKUP($G115,Sheet1!$I$7:$N$133,Sheet1!$L$5-Sheet1!$H$5,FALSE)))</f>
        <v/>
      </c>
      <c r="I115" s="243" t="str">
        <f>IF($G115="","",IF($G115="小計",VLOOKUP($A115,Sheet1!$O$7:$U$133,Sheet1!$T$5-Sheet1!$N$5,FALSE),VLOOKUP($G115,Sheet1!$I$7:$N$133,Sheet1!$M$5-Sheet1!$H$5,FALSE)))</f>
        <v/>
      </c>
      <c r="J115" s="243" t="str">
        <f>IF($G115="","",IF($G115="小計",VLOOKUP($A115,Sheet1!$O$7:$U$133,Sheet1!$U$5-Sheet1!$N$5,FALSE),VLOOKUP($G115,Sheet1!$I$7:$N$133,Sheet1!$N$5-Sheet1!$H$5,FALSE)))</f>
        <v/>
      </c>
      <c r="K115" s="610" t="str">
        <f>IF(OR($G115="",$G115="小計"),"",IF(VLOOKUP($G115,請求Data!$I$11:$AR$160,請求Data!$AR$10-請求Data!$H$10,FALSE)="","",VLOOKUP($G115,請求Data!$I$11:$AR$160,請求Data!$AR$10-請求Data!$H$10,FALSE)))</f>
        <v/>
      </c>
    </row>
    <row r="116" spans="1:11">
      <c r="A116" s="481">
        <v>107</v>
      </c>
      <c r="B116" s="477" t="str">
        <f t="shared" si="1"/>
        <v/>
      </c>
      <c r="D116" s="844" t="str">
        <f>IF(OR($G116="",$G116="小計"),"",INDEX(請求Data!$T$11:$T$160,MATCH($G116,請求Data!$I$11:$I$160,0))&amp;"")</f>
        <v/>
      </c>
      <c r="E116" s="844"/>
      <c r="F116" s="75"/>
      <c r="G116" s="147" t="str">
        <f>IF(ISNA(MATCH($A116,Sheet1!$B$7:$B$133,0)),IF($A116&gt;MAX(Sheet1!$O$7:$O$133),"",IF($G115="小計","","小計")),IF($A116&gt;MAX(Sheet1!$B$7:$B$133),"",VLOOKUP($A116,Sheet1!$B$7:$U$133,Sheet1!$I$5-Sheet1!$A$5,FALSE)))</f>
        <v/>
      </c>
      <c r="H116" s="243" t="str">
        <f>IF($G116="","",IF($G116="小計",VLOOKUP($A116,Sheet1!$O$7:$U$133,Sheet1!$S$5-Sheet1!$N$5,FALSE),VLOOKUP($G116,Sheet1!$I$7:$N$133,Sheet1!$L$5-Sheet1!$H$5,FALSE)))</f>
        <v/>
      </c>
      <c r="I116" s="243" t="str">
        <f>IF($G116="","",IF($G116="小計",VLOOKUP($A116,Sheet1!$O$7:$U$133,Sheet1!$T$5-Sheet1!$N$5,FALSE),VLOOKUP($G116,Sheet1!$I$7:$N$133,Sheet1!$M$5-Sheet1!$H$5,FALSE)))</f>
        <v/>
      </c>
      <c r="J116" s="243" t="str">
        <f>IF($G116="","",IF($G116="小計",VLOOKUP($A116,Sheet1!$O$7:$U$133,Sheet1!$U$5-Sheet1!$N$5,FALSE),VLOOKUP($G116,Sheet1!$I$7:$N$133,Sheet1!$N$5-Sheet1!$H$5,FALSE)))</f>
        <v/>
      </c>
      <c r="K116" s="610" t="str">
        <f>IF(OR($G116="",$G116="小計"),"",IF(VLOOKUP($G116,請求Data!$I$11:$AR$160,請求Data!$AR$10-請求Data!$H$10,FALSE)="","",VLOOKUP($G116,請求Data!$I$11:$AR$160,請求Data!$AR$10-請求Data!$H$10,FALSE)))</f>
        <v/>
      </c>
    </row>
    <row r="117" spans="1:11">
      <c r="A117" s="481">
        <v>108</v>
      </c>
      <c r="B117" s="477" t="str">
        <f t="shared" si="1"/>
        <v/>
      </c>
      <c r="D117" s="844" t="str">
        <f>IF(OR($G117="",$G117="小計"),"",INDEX(請求Data!$T$11:$T$160,MATCH($G117,請求Data!$I$11:$I$160,0))&amp;"")</f>
        <v/>
      </c>
      <c r="E117" s="844"/>
      <c r="F117" s="75"/>
      <c r="G117" s="147" t="str">
        <f>IF(ISNA(MATCH($A117,Sheet1!$B$7:$B$133,0)),IF($A117&gt;MAX(Sheet1!$O$7:$O$133),"",IF($G116="小計","","小計")),IF($A117&gt;MAX(Sheet1!$B$7:$B$133),"",VLOOKUP($A117,Sheet1!$B$7:$U$133,Sheet1!$I$5-Sheet1!$A$5,FALSE)))</f>
        <v/>
      </c>
      <c r="H117" s="243" t="str">
        <f>IF($G117="","",IF($G117="小計",VLOOKUP($A117,Sheet1!$O$7:$U$133,Sheet1!$S$5-Sheet1!$N$5,FALSE),VLOOKUP($G117,Sheet1!$I$7:$N$133,Sheet1!$L$5-Sheet1!$H$5,FALSE)))</f>
        <v/>
      </c>
      <c r="I117" s="243" t="str">
        <f>IF($G117="","",IF($G117="小計",VLOOKUP($A117,Sheet1!$O$7:$U$133,Sheet1!$T$5-Sheet1!$N$5,FALSE),VLOOKUP($G117,Sheet1!$I$7:$N$133,Sheet1!$M$5-Sheet1!$H$5,FALSE)))</f>
        <v/>
      </c>
      <c r="J117" s="243" t="str">
        <f>IF($G117="","",IF($G117="小計",VLOOKUP($A117,Sheet1!$O$7:$U$133,Sheet1!$U$5-Sheet1!$N$5,FALSE),VLOOKUP($G117,Sheet1!$I$7:$N$133,Sheet1!$N$5-Sheet1!$H$5,FALSE)))</f>
        <v/>
      </c>
      <c r="K117" s="610" t="str">
        <f>IF(OR($G117="",$G117="小計"),"",IF(VLOOKUP($G117,請求Data!$I$11:$AR$160,請求Data!$AR$10-請求Data!$H$10,FALSE)="","",VLOOKUP($G117,請求Data!$I$11:$AR$160,請求Data!$AR$10-請求Data!$H$10,FALSE)))</f>
        <v/>
      </c>
    </row>
    <row r="118" spans="1:11">
      <c r="A118" s="481">
        <v>109</v>
      </c>
      <c r="B118" s="477" t="str">
        <f t="shared" si="1"/>
        <v/>
      </c>
      <c r="D118" s="844" t="str">
        <f>IF(OR($G118="",$G118="小計"),"",INDEX(請求Data!$T$11:$T$160,MATCH($G118,請求Data!$I$11:$I$160,0))&amp;"")</f>
        <v/>
      </c>
      <c r="E118" s="844"/>
      <c r="F118" s="75"/>
      <c r="G118" s="147" t="str">
        <f>IF(ISNA(MATCH($A118,Sheet1!$B$7:$B$133,0)),IF($A118&gt;MAX(Sheet1!$O$7:$O$133),"",IF($G117="小計","","小計")),IF($A118&gt;MAX(Sheet1!$B$7:$B$133),"",VLOOKUP($A118,Sheet1!$B$7:$U$133,Sheet1!$I$5-Sheet1!$A$5,FALSE)))</f>
        <v/>
      </c>
      <c r="H118" s="243" t="str">
        <f>IF($G118="","",IF($G118="小計",VLOOKUP($A118,Sheet1!$O$7:$U$133,Sheet1!$S$5-Sheet1!$N$5,FALSE),VLOOKUP($G118,Sheet1!$I$7:$N$133,Sheet1!$L$5-Sheet1!$H$5,FALSE)))</f>
        <v/>
      </c>
      <c r="I118" s="243" t="str">
        <f>IF($G118="","",IF($G118="小計",VLOOKUP($A118,Sheet1!$O$7:$U$133,Sheet1!$T$5-Sheet1!$N$5,FALSE),VLOOKUP($G118,Sheet1!$I$7:$N$133,Sheet1!$M$5-Sheet1!$H$5,FALSE)))</f>
        <v/>
      </c>
      <c r="J118" s="243" t="str">
        <f>IF($G118="","",IF($G118="小計",VLOOKUP($A118,Sheet1!$O$7:$U$133,Sheet1!$U$5-Sheet1!$N$5,FALSE),VLOOKUP($G118,Sheet1!$I$7:$N$133,Sheet1!$N$5-Sheet1!$H$5,FALSE)))</f>
        <v/>
      </c>
      <c r="K118" s="610" t="str">
        <f>IF(OR($G118="",$G118="小計"),"",IF(VLOOKUP($G118,請求Data!$I$11:$AR$160,請求Data!$AR$10-請求Data!$H$10,FALSE)="","",VLOOKUP($G118,請求Data!$I$11:$AR$160,請求Data!$AR$10-請求Data!$H$10,FALSE)))</f>
        <v/>
      </c>
    </row>
    <row r="119" spans="1:11">
      <c r="A119" s="481">
        <v>110</v>
      </c>
      <c r="B119" s="477" t="str">
        <f t="shared" si="1"/>
        <v/>
      </c>
      <c r="D119" s="844" t="str">
        <f>IF(OR($G119="",$G119="小計"),"",INDEX(請求Data!$T$11:$T$160,MATCH($G119,請求Data!$I$11:$I$160,0))&amp;"")</f>
        <v/>
      </c>
      <c r="E119" s="844"/>
      <c r="F119" s="75"/>
      <c r="G119" s="147" t="str">
        <f>IF(ISNA(MATCH($A119,Sheet1!$B$7:$B$133,0)),IF($A119&gt;MAX(Sheet1!$O$7:$O$133),"",IF($G118="小計","","小計")),IF($A119&gt;MAX(Sheet1!$B$7:$B$133),"",VLOOKUP($A119,Sheet1!$B$7:$U$133,Sheet1!$I$5-Sheet1!$A$5,FALSE)))</f>
        <v/>
      </c>
      <c r="H119" s="243" t="str">
        <f>IF($G119="","",IF($G119="小計",VLOOKUP($A119,Sheet1!$O$7:$U$133,Sheet1!$S$5-Sheet1!$N$5,FALSE),VLOOKUP($G119,Sheet1!$I$7:$N$133,Sheet1!$L$5-Sheet1!$H$5,FALSE)))</f>
        <v/>
      </c>
      <c r="I119" s="243" t="str">
        <f>IF($G119="","",IF($G119="小計",VLOOKUP($A119,Sheet1!$O$7:$U$133,Sheet1!$T$5-Sheet1!$N$5,FALSE),VLOOKUP($G119,Sheet1!$I$7:$N$133,Sheet1!$M$5-Sheet1!$H$5,FALSE)))</f>
        <v/>
      </c>
      <c r="J119" s="243" t="str">
        <f>IF($G119="","",IF($G119="小計",VLOOKUP($A119,Sheet1!$O$7:$U$133,Sheet1!$U$5-Sheet1!$N$5,FALSE),VLOOKUP($G119,Sheet1!$I$7:$N$133,Sheet1!$N$5-Sheet1!$H$5,FALSE)))</f>
        <v/>
      </c>
      <c r="K119" s="610" t="str">
        <f>IF(OR($G119="",$G119="小計"),"",IF(VLOOKUP($G119,請求Data!$I$11:$AR$160,請求Data!$AR$10-請求Data!$H$10,FALSE)="","",VLOOKUP($G119,請求Data!$I$11:$AR$160,請求Data!$AR$10-請求Data!$H$10,FALSE)))</f>
        <v/>
      </c>
    </row>
    <row r="120" spans="1:11">
      <c r="A120" s="481">
        <v>111</v>
      </c>
      <c r="B120" s="477" t="str">
        <f t="shared" si="1"/>
        <v/>
      </c>
      <c r="D120" s="844" t="str">
        <f>IF(OR($G120="",$G120="小計"),"",INDEX(請求Data!$T$11:$T$160,MATCH($G120,請求Data!$I$11:$I$160,0))&amp;"")</f>
        <v/>
      </c>
      <c r="E120" s="844"/>
      <c r="F120" s="75"/>
      <c r="G120" s="147" t="str">
        <f>IF(ISNA(MATCH($A120,Sheet1!$B$7:$B$133,0)),IF($A120&gt;MAX(Sheet1!$O$7:$O$133),"",IF($G119="小計","","小計")),IF($A120&gt;MAX(Sheet1!$B$7:$B$133),"",VLOOKUP($A120,Sheet1!$B$7:$U$133,Sheet1!$I$5-Sheet1!$A$5,FALSE)))</f>
        <v/>
      </c>
      <c r="H120" s="243" t="str">
        <f>IF($G120="","",IF($G120="小計",VLOOKUP($A120,Sheet1!$O$7:$U$133,Sheet1!$S$5-Sheet1!$N$5,FALSE),VLOOKUP($G120,Sheet1!$I$7:$N$133,Sheet1!$L$5-Sheet1!$H$5,FALSE)))</f>
        <v/>
      </c>
      <c r="I120" s="243" t="str">
        <f>IF($G120="","",IF($G120="小計",VLOOKUP($A120,Sheet1!$O$7:$U$133,Sheet1!$T$5-Sheet1!$N$5,FALSE),VLOOKUP($G120,Sheet1!$I$7:$N$133,Sheet1!$M$5-Sheet1!$H$5,FALSE)))</f>
        <v/>
      </c>
      <c r="J120" s="243" t="str">
        <f>IF($G120="","",IF($G120="小計",VLOOKUP($A120,Sheet1!$O$7:$U$133,Sheet1!$U$5-Sheet1!$N$5,FALSE),VLOOKUP($G120,Sheet1!$I$7:$N$133,Sheet1!$N$5-Sheet1!$H$5,FALSE)))</f>
        <v/>
      </c>
      <c r="K120" s="610" t="str">
        <f>IF(OR($G120="",$G120="小計"),"",IF(VLOOKUP($G120,請求Data!$I$11:$AR$160,請求Data!$AR$10-請求Data!$H$10,FALSE)="","",VLOOKUP($G120,請求Data!$I$11:$AR$160,請求Data!$AR$10-請求Data!$H$10,FALSE)))</f>
        <v/>
      </c>
    </row>
    <row r="121" spans="1:11">
      <c r="A121" s="481">
        <v>112</v>
      </c>
      <c r="B121" s="477" t="str">
        <f t="shared" si="1"/>
        <v/>
      </c>
      <c r="D121" s="844" t="str">
        <f>IF(OR($G121="",$G121="小計"),"",INDEX(請求Data!$T$11:$T$160,MATCH($G121,請求Data!$I$11:$I$160,0))&amp;"")</f>
        <v/>
      </c>
      <c r="E121" s="844"/>
      <c r="F121" s="75"/>
      <c r="G121" s="147" t="str">
        <f>IF(ISNA(MATCH($A121,Sheet1!$B$7:$B$133,0)),IF($A121&gt;MAX(Sheet1!$O$7:$O$133),"",IF($G120="小計","","小計")),IF($A121&gt;MAX(Sheet1!$B$7:$B$133),"",VLOOKUP($A121,Sheet1!$B$7:$U$133,Sheet1!$I$5-Sheet1!$A$5,FALSE)))</f>
        <v/>
      </c>
      <c r="H121" s="243" t="str">
        <f>IF($G121="","",IF($G121="小計",VLOOKUP($A121,Sheet1!$O$7:$U$133,Sheet1!$S$5-Sheet1!$N$5,FALSE),VLOOKUP($G121,Sheet1!$I$7:$N$133,Sheet1!$L$5-Sheet1!$H$5,FALSE)))</f>
        <v/>
      </c>
      <c r="I121" s="243" t="str">
        <f>IF($G121="","",IF($G121="小計",VLOOKUP($A121,Sheet1!$O$7:$U$133,Sheet1!$T$5-Sheet1!$N$5,FALSE),VLOOKUP($G121,Sheet1!$I$7:$N$133,Sheet1!$M$5-Sheet1!$H$5,FALSE)))</f>
        <v/>
      </c>
      <c r="J121" s="243" t="str">
        <f>IF($G121="","",IF($G121="小計",VLOOKUP($A121,Sheet1!$O$7:$U$133,Sheet1!$U$5-Sheet1!$N$5,FALSE),VLOOKUP($G121,Sheet1!$I$7:$N$133,Sheet1!$N$5-Sheet1!$H$5,FALSE)))</f>
        <v/>
      </c>
      <c r="K121" s="610" t="str">
        <f>IF(OR($G121="",$G121="小計"),"",IF(VLOOKUP($G121,請求Data!$I$11:$AR$160,請求Data!$AR$10-請求Data!$H$10,FALSE)="","",VLOOKUP($G121,請求Data!$I$11:$AR$160,請求Data!$AR$10-請求Data!$H$10,FALSE)))</f>
        <v/>
      </c>
    </row>
    <row r="122" spans="1:11">
      <c r="A122" s="481">
        <v>113</v>
      </c>
      <c r="B122" s="477" t="str">
        <f t="shared" si="1"/>
        <v/>
      </c>
      <c r="D122" s="844" t="str">
        <f>IF(OR($G122="",$G122="小計"),"",INDEX(請求Data!$T$11:$T$160,MATCH($G122,請求Data!$I$11:$I$160,0))&amp;"")</f>
        <v/>
      </c>
      <c r="E122" s="844"/>
      <c r="F122" s="75"/>
      <c r="G122" s="147" t="str">
        <f>IF(ISNA(MATCH($A122,Sheet1!$B$7:$B$133,0)),IF($A122&gt;MAX(Sheet1!$O$7:$O$133),"",IF($G121="小計","","小計")),IF($A122&gt;MAX(Sheet1!$B$7:$B$133),"",VLOOKUP($A122,Sheet1!$B$7:$U$133,Sheet1!$I$5-Sheet1!$A$5,FALSE)))</f>
        <v/>
      </c>
      <c r="H122" s="243" t="str">
        <f>IF($G122="","",IF($G122="小計",VLOOKUP($A122,Sheet1!$O$7:$U$133,Sheet1!$S$5-Sheet1!$N$5,FALSE),VLOOKUP($G122,Sheet1!$I$7:$N$133,Sheet1!$L$5-Sheet1!$H$5,FALSE)))</f>
        <v/>
      </c>
      <c r="I122" s="243" t="str">
        <f>IF($G122="","",IF($G122="小計",VLOOKUP($A122,Sheet1!$O$7:$U$133,Sheet1!$T$5-Sheet1!$N$5,FALSE),VLOOKUP($G122,Sheet1!$I$7:$N$133,Sheet1!$M$5-Sheet1!$H$5,FALSE)))</f>
        <v/>
      </c>
      <c r="J122" s="243" t="str">
        <f>IF($G122="","",IF($G122="小計",VLOOKUP($A122,Sheet1!$O$7:$U$133,Sheet1!$U$5-Sheet1!$N$5,FALSE),VLOOKUP($G122,Sheet1!$I$7:$N$133,Sheet1!$N$5-Sheet1!$H$5,FALSE)))</f>
        <v/>
      </c>
      <c r="K122" s="610" t="str">
        <f>IF(OR($G122="",$G122="小計"),"",IF(VLOOKUP($G122,請求Data!$I$11:$AR$160,請求Data!$AR$10-請求Data!$H$10,FALSE)="","",VLOOKUP($G122,請求Data!$I$11:$AR$160,請求Data!$AR$10-請求Data!$H$10,FALSE)))</f>
        <v/>
      </c>
    </row>
    <row r="123" spans="1:11">
      <c r="A123" s="481">
        <v>114</v>
      </c>
      <c r="B123" s="477" t="str">
        <f t="shared" si="1"/>
        <v/>
      </c>
      <c r="D123" s="844" t="str">
        <f>IF(OR($G123="",$G123="小計"),"",INDEX(請求Data!$T$11:$T$160,MATCH($G123,請求Data!$I$11:$I$160,0))&amp;"")</f>
        <v/>
      </c>
      <c r="E123" s="844"/>
      <c r="F123" s="75"/>
      <c r="G123" s="147" t="str">
        <f>IF(ISNA(MATCH($A123,Sheet1!$B$7:$B$133,0)),IF($A123&gt;MAX(Sheet1!$O$7:$O$133),"",IF($G122="小計","","小計")),IF($A123&gt;MAX(Sheet1!$B$7:$B$133),"",VLOOKUP($A123,Sheet1!$B$7:$U$133,Sheet1!$I$5-Sheet1!$A$5,FALSE)))</f>
        <v/>
      </c>
      <c r="H123" s="243" t="str">
        <f>IF($G123="","",IF($G123="小計",VLOOKUP($A123,Sheet1!$O$7:$U$133,Sheet1!$S$5-Sheet1!$N$5,FALSE),VLOOKUP($G123,Sheet1!$I$7:$N$133,Sheet1!$L$5-Sheet1!$H$5,FALSE)))</f>
        <v/>
      </c>
      <c r="I123" s="243" t="str">
        <f>IF($G123="","",IF($G123="小計",VLOOKUP($A123,Sheet1!$O$7:$U$133,Sheet1!$T$5-Sheet1!$N$5,FALSE),VLOOKUP($G123,Sheet1!$I$7:$N$133,Sheet1!$M$5-Sheet1!$H$5,FALSE)))</f>
        <v/>
      </c>
      <c r="J123" s="243" t="str">
        <f>IF($G123="","",IF($G123="小計",VLOOKUP($A123,Sheet1!$O$7:$U$133,Sheet1!$U$5-Sheet1!$N$5,FALSE),VLOOKUP($G123,Sheet1!$I$7:$N$133,Sheet1!$N$5-Sheet1!$H$5,FALSE)))</f>
        <v/>
      </c>
      <c r="K123" s="610" t="str">
        <f>IF(OR($G123="",$G123="小計"),"",IF(VLOOKUP($G123,請求Data!$I$11:$AR$160,請求Data!$AR$10-請求Data!$H$10,FALSE)="","",VLOOKUP($G123,請求Data!$I$11:$AR$160,請求Data!$AR$10-請求Data!$H$10,FALSE)))</f>
        <v/>
      </c>
    </row>
    <row r="124" spans="1:11">
      <c r="A124" s="481">
        <v>115</v>
      </c>
      <c r="B124" s="477" t="str">
        <f t="shared" si="1"/>
        <v/>
      </c>
      <c r="D124" s="844" t="str">
        <f>IF(OR($G124="",$G124="小計"),"",INDEX(請求Data!$T$11:$T$160,MATCH($G124,請求Data!$I$11:$I$160,0))&amp;"")</f>
        <v/>
      </c>
      <c r="E124" s="844"/>
      <c r="F124" s="75"/>
      <c r="G124" s="147" t="str">
        <f>IF(ISNA(MATCH($A124,Sheet1!$B$7:$B$133,0)),IF($A124&gt;MAX(Sheet1!$O$7:$O$133),"",IF($G123="小計","","小計")),IF($A124&gt;MAX(Sheet1!$B$7:$B$133),"",VLOOKUP($A124,Sheet1!$B$7:$U$133,Sheet1!$I$5-Sheet1!$A$5,FALSE)))</f>
        <v/>
      </c>
      <c r="H124" s="243" t="str">
        <f>IF($G124="","",IF($G124="小計",VLOOKUP($A124,Sheet1!$O$7:$U$133,Sheet1!$S$5-Sheet1!$N$5,FALSE),VLOOKUP($G124,Sheet1!$I$7:$N$133,Sheet1!$L$5-Sheet1!$H$5,FALSE)))</f>
        <v/>
      </c>
      <c r="I124" s="243" t="str">
        <f>IF($G124="","",IF($G124="小計",VLOOKUP($A124,Sheet1!$O$7:$U$133,Sheet1!$T$5-Sheet1!$N$5,FALSE),VLOOKUP($G124,Sheet1!$I$7:$N$133,Sheet1!$M$5-Sheet1!$H$5,FALSE)))</f>
        <v/>
      </c>
      <c r="J124" s="243" t="str">
        <f>IF($G124="","",IF($G124="小計",VLOOKUP($A124,Sheet1!$O$7:$U$133,Sheet1!$U$5-Sheet1!$N$5,FALSE),VLOOKUP($G124,Sheet1!$I$7:$N$133,Sheet1!$N$5-Sheet1!$H$5,FALSE)))</f>
        <v/>
      </c>
      <c r="K124" s="610" t="str">
        <f>IF(OR($G124="",$G124="小計"),"",IF(VLOOKUP($G124,請求Data!$I$11:$AR$160,請求Data!$AR$10-請求Data!$H$10,FALSE)="","",VLOOKUP($G124,請求Data!$I$11:$AR$160,請求Data!$AR$10-請求Data!$H$10,FALSE)))</f>
        <v/>
      </c>
    </row>
    <row r="125" spans="1:11">
      <c r="A125" s="481">
        <v>116</v>
      </c>
      <c r="B125" s="477" t="str">
        <f t="shared" si="1"/>
        <v/>
      </c>
      <c r="D125" s="844" t="str">
        <f>IF(OR($G125="",$G125="小計"),"",INDEX(請求Data!$T$11:$T$160,MATCH($G125,請求Data!$I$11:$I$160,0))&amp;"")</f>
        <v/>
      </c>
      <c r="E125" s="844"/>
      <c r="F125" s="75"/>
      <c r="G125" s="147" t="str">
        <f>IF(ISNA(MATCH($A125,Sheet1!$B$7:$B$133,0)),IF($A125&gt;MAX(Sheet1!$O$7:$O$133),"",IF($G124="小計","","小計")),IF($A125&gt;MAX(Sheet1!$B$7:$B$133),"",VLOOKUP($A125,Sheet1!$B$7:$U$133,Sheet1!$I$5-Sheet1!$A$5,FALSE)))</f>
        <v/>
      </c>
      <c r="H125" s="243" t="str">
        <f>IF($G125="","",IF($G125="小計",VLOOKUP($A125,Sheet1!$O$7:$U$133,Sheet1!$S$5-Sheet1!$N$5,FALSE),VLOOKUP($G125,Sheet1!$I$7:$N$133,Sheet1!$L$5-Sheet1!$H$5,FALSE)))</f>
        <v/>
      </c>
      <c r="I125" s="243" t="str">
        <f>IF($G125="","",IF($G125="小計",VLOOKUP($A125,Sheet1!$O$7:$U$133,Sheet1!$T$5-Sheet1!$N$5,FALSE),VLOOKUP($G125,Sheet1!$I$7:$N$133,Sheet1!$M$5-Sheet1!$H$5,FALSE)))</f>
        <v/>
      </c>
      <c r="J125" s="243" t="str">
        <f>IF($G125="","",IF($G125="小計",VLOOKUP($A125,Sheet1!$O$7:$U$133,Sheet1!$U$5-Sheet1!$N$5,FALSE),VLOOKUP($G125,Sheet1!$I$7:$N$133,Sheet1!$N$5-Sheet1!$H$5,FALSE)))</f>
        <v/>
      </c>
      <c r="K125" s="610" t="str">
        <f>IF(OR($G125="",$G125="小計"),"",IF(VLOOKUP($G125,請求Data!$I$11:$AR$160,請求Data!$AR$10-請求Data!$H$10,FALSE)="","",VLOOKUP($G125,請求Data!$I$11:$AR$160,請求Data!$AR$10-請求Data!$H$10,FALSE)))</f>
        <v/>
      </c>
    </row>
    <row r="126" spans="1:11">
      <c r="A126" s="481">
        <v>117</v>
      </c>
      <c r="B126" s="477" t="str">
        <f t="shared" si="1"/>
        <v/>
      </c>
      <c r="D126" s="844" t="str">
        <f>IF(OR($G126="",$G126="小計"),"",INDEX(請求Data!$T$11:$T$160,MATCH($G126,請求Data!$I$11:$I$160,0))&amp;"")</f>
        <v/>
      </c>
      <c r="E126" s="844"/>
      <c r="F126" s="75"/>
      <c r="G126" s="147" t="str">
        <f>IF(ISNA(MATCH($A126,Sheet1!$B$7:$B$133,0)),IF($A126&gt;MAX(Sheet1!$O$7:$O$133),"",IF($G125="小計","","小計")),IF($A126&gt;MAX(Sheet1!$B$7:$B$133),"",VLOOKUP($A126,Sheet1!$B$7:$U$133,Sheet1!$I$5-Sheet1!$A$5,FALSE)))</f>
        <v/>
      </c>
      <c r="H126" s="243" t="str">
        <f>IF($G126="","",IF($G126="小計",VLOOKUP($A126,Sheet1!$O$7:$U$133,Sheet1!$S$5-Sheet1!$N$5,FALSE),VLOOKUP($G126,Sheet1!$I$7:$N$133,Sheet1!$L$5-Sheet1!$H$5,FALSE)))</f>
        <v/>
      </c>
      <c r="I126" s="243" t="str">
        <f>IF($G126="","",IF($G126="小計",VLOOKUP($A126,Sheet1!$O$7:$U$133,Sheet1!$T$5-Sheet1!$N$5,FALSE),VLOOKUP($G126,Sheet1!$I$7:$N$133,Sheet1!$M$5-Sheet1!$H$5,FALSE)))</f>
        <v/>
      </c>
      <c r="J126" s="243" t="str">
        <f>IF($G126="","",IF($G126="小計",VLOOKUP($A126,Sheet1!$O$7:$U$133,Sheet1!$U$5-Sheet1!$N$5,FALSE),VLOOKUP($G126,Sheet1!$I$7:$N$133,Sheet1!$N$5-Sheet1!$H$5,FALSE)))</f>
        <v/>
      </c>
      <c r="K126" s="610" t="str">
        <f>IF(OR($G126="",$G126="小計"),"",IF(VLOOKUP($G126,請求Data!$I$11:$AR$160,請求Data!$AR$10-請求Data!$H$10,FALSE)="","",VLOOKUP($G126,請求Data!$I$11:$AR$160,請求Data!$AR$10-請求Data!$H$10,FALSE)))</f>
        <v/>
      </c>
    </row>
    <row r="127" spans="1:11">
      <c r="A127" s="481">
        <v>118</v>
      </c>
      <c r="B127" s="477" t="str">
        <f t="shared" si="1"/>
        <v/>
      </c>
      <c r="D127" s="844" t="str">
        <f>IF(OR($G127="",$G127="小計"),"",INDEX(請求Data!$T$11:$T$160,MATCH($G127,請求Data!$I$11:$I$160,0))&amp;"")</f>
        <v/>
      </c>
      <c r="E127" s="844"/>
      <c r="F127" s="75"/>
      <c r="G127" s="147" t="str">
        <f>IF(ISNA(MATCH($A127,Sheet1!$B$7:$B$133,0)),IF($A127&gt;MAX(Sheet1!$O$7:$O$133),"",IF($G126="小計","","小計")),IF($A127&gt;MAX(Sheet1!$B$7:$B$133),"",VLOOKUP($A127,Sheet1!$B$7:$U$133,Sheet1!$I$5-Sheet1!$A$5,FALSE)))</f>
        <v/>
      </c>
      <c r="H127" s="243" t="str">
        <f>IF($G127="","",IF($G127="小計",VLOOKUP($A127,Sheet1!$O$7:$U$133,Sheet1!$S$5-Sheet1!$N$5,FALSE),VLOOKUP($G127,Sheet1!$I$7:$N$133,Sheet1!$L$5-Sheet1!$H$5,FALSE)))</f>
        <v/>
      </c>
      <c r="I127" s="243" t="str">
        <f>IF($G127="","",IF($G127="小計",VLOOKUP($A127,Sheet1!$O$7:$U$133,Sheet1!$T$5-Sheet1!$N$5,FALSE),VLOOKUP($G127,Sheet1!$I$7:$N$133,Sheet1!$M$5-Sheet1!$H$5,FALSE)))</f>
        <v/>
      </c>
      <c r="J127" s="243" t="str">
        <f>IF($G127="","",IF($G127="小計",VLOOKUP($A127,Sheet1!$O$7:$U$133,Sheet1!$U$5-Sheet1!$N$5,FALSE),VLOOKUP($G127,Sheet1!$I$7:$N$133,Sheet1!$N$5-Sheet1!$H$5,FALSE)))</f>
        <v/>
      </c>
      <c r="K127" s="610" t="str">
        <f>IF(OR($G127="",$G127="小計"),"",IF(VLOOKUP($G127,請求Data!$I$11:$AR$160,請求Data!$AR$10-請求Data!$H$10,FALSE)="","",VLOOKUP($G127,請求Data!$I$11:$AR$160,請求Data!$AR$10-請求Data!$H$10,FALSE)))</f>
        <v/>
      </c>
    </row>
    <row r="128" spans="1:11">
      <c r="A128" s="481">
        <v>119</v>
      </c>
      <c r="B128" s="477" t="str">
        <f t="shared" si="1"/>
        <v/>
      </c>
      <c r="D128" s="844" t="str">
        <f>IF(OR($G128="",$G128="小計"),"",INDEX(請求Data!$T$11:$T$160,MATCH($G128,請求Data!$I$11:$I$160,0))&amp;"")</f>
        <v/>
      </c>
      <c r="E128" s="844"/>
      <c r="F128" s="75"/>
      <c r="G128" s="147" t="str">
        <f>IF(ISNA(MATCH($A128,Sheet1!$B$7:$B$133,0)),IF($A128&gt;MAX(Sheet1!$O$7:$O$133),"",IF($G127="小計","","小計")),IF($A128&gt;MAX(Sheet1!$B$7:$B$133),"",VLOOKUP($A128,Sheet1!$B$7:$U$133,Sheet1!$I$5-Sheet1!$A$5,FALSE)))</f>
        <v/>
      </c>
      <c r="H128" s="243" t="str">
        <f>IF($G128="","",IF($G128="小計",VLOOKUP($A128,Sheet1!$O$7:$U$133,Sheet1!$S$5-Sheet1!$N$5,FALSE),VLOOKUP($G128,Sheet1!$I$7:$N$133,Sheet1!$L$5-Sheet1!$H$5,FALSE)))</f>
        <v/>
      </c>
      <c r="I128" s="243" t="str">
        <f>IF($G128="","",IF($G128="小計",VLOOKUP($A128,Sheet1!$O$7:$U$133,Sheet1!$T$5-Sheet1!$N$5,FALSE),VLOOKUP($G128,Sheet1!$I$7:$N$133,Sheet1!$M$5-Sheet1!$H$5,FALSE)))</f>
        <v/>
      </c>
      <c r="J128" s="243" t="str">
        <f>IF($G128="","",IF($G128="小計",VLOOKUP($A128,Sheet1!$O$7:$U$133,Sheet1!$U$5-Sheet1!$N$5,FALSE),VLOOKUP($G128,Sheet1!$I$7:$N$133,Sheet1!$N$5-Sheet1!$H$5,FALSE)))</f>
        <v/>
      </c>
      <c r="K128" s="610" t="str">
        <f>IF(OR($G128="",$G128="小計"),"",IF(VLOOKUP($G128,請求Data!$I$11:$AR$160,請求Data!$AR$10-請求Data!$H$10,FALSE)="","",VLOOKUP($G128,請求Data!$I$11:$AR$160,請求Data!$AR$10-請求Data!$H$10,FALSE)))</f>
        <v/>
      </c>
    </row>
    <row r="129" spans="1:11">
      <c r="A129" s="481">
        <v>120</v>
      </c>
      <c r="B129" s="477" t="str">
        <f t="shared" si="1"/>
        <v/>
      </c>
      <c r="D129" s="844" t="str">
        <f>IF(OR($G129="",$G129="小計"),"",INDEX(請求Data!$T$11:$T$160,MATCH($G129,請求Data!$I$11:$I$160,0))&amp;"")</f>
        <v/>
      </c>
      <c r="E129" s="844"/>
      <c r="F129" s="75"/>
      <c r="G129" s="147" t="str">
        <f>IF(ISNA(MATCH($A129,Sheet1!$B$7:$B$133,0)),IF($A129&gt;MAX(Sheet1!$O$7:$O$133),"",IF($G128="小計","","小計")),IF($A129&gt;MAX(Sheet1!$B$7:$B$133),"",VLOOKUP($A129,Sheet1!$B$7:$U$133,Sheet1!$I$5-Sheet1!$A$5,FALSE)))</f>
        <v/>
      </c>
      <c r="H129" s="243" t="str">
        <f>IF($G129="","",IF($G129="小計",VLOOKUP($A129,Sheet1!$O$7:$U$133,Sheet1!$S$5-Sheet1!$N$5,FALSE),VLOOKUP($G129,Sheet1!$I$7:$N$133,Sheet1!$L$5-Sheet1!$H$5,FALSE)))</f>
        <v/>
      </c>
      <c r="I129" s="243" t="str">
        <f>IF($G129="","",IF($G129="小計",VLOOKUP($A129,Sheet1!$O$7:$U$133,Sheet1!$T$5-Sheet1!$N$5,FALSE),VLOOKUP($G129,Sheet1!$I$7:$N$133,Sheet1!$M$5-Sheet1!$H$5,FALSE)))</f>
        <v/>
      </c>
      <c r="J129" s="243" t="str">
        <f>IF($G129="","",IF($G129="小計",VLOOKUP($A129,Sheet1!$O$7:$U$133,Sheet1!$U$5-Sheet1!$N$5,FALSE),VLOOKUP($G129,Sheet1!$I$7:$N$133,Sheet1!$N$5-Sheet1!$H$5,FALSE)))</f>
        <v/>
      </c>
      <c r="K129" s="610" t="str">
        <f>IF(OR($G129="",$G129="小計"),"",IF(VLOOKUP($G129,請求Data!$I$11:$AR$160,請求Data!$AR$10-請求Data!$H$10,FALSE)="","",VLOOKUP($G129,請求Data!$I$11:$AR$160,請求Data!$AR$10-請求Data!$H$10,FALSE)))</f>
        <v/>
      </c>
    </row>
    <row r="130" spans="1:11">
      <c r="A130" s="481">
        <v>121</v>
      </c>
      <c r="B130" s="477" t="str">
        <f t="shared" si="1"/>
        <v/>
      </c>
      <c r="D130" s="844" t="str">
        <f>IF(OR($G130="",$G130="小計"),"",INDEX(請求Data!$T$11:$T$160,MATCH($G130,請求Data!$I$11:$I$160,0))&amp;"")</f>
        <v/>
      </c>
      <c r="E130" s="844"/>
      <c r="F130" s="75"/>
      <c r="G130" s="147" t="str">
        <f>IF(ISNA(MATCH($A130,Sheet1!$B$7:$B$133,0)),IF($A130&gt;MAX(Sheet1!$O$7:$O$133),"",IF($G129="小計","","小計")),IF($A130&gt;MAX(Sheet1!$B$7:$B$133),"",VLOOKUP($A130,Sheet1!$B$7:$U$133,Sheet1!$I$5-Sheet1!$A$5,FALSE)))</f>
        <v/>
      </c>
      <c r="H130" s="243" t="str">
        <f>IF($G130="","",IF($G130="小計",VLOOKUP($A130,Sheet1!$O$7:$U$133,Sheet1!$S$5-Sheet1!$N$5,FALSE),VLOOKUP($G130,Sheet1!$I$7:$N$133,Sheet1!$L$5-Sheet1!$H$5,FALSE)))</f>
        <v/>
      </c>
      <c r="I130" s="243" t="str">
        <f>IF($G130="","",IF($G130="小計",VLOOKUP($A130,Sheet1!$O$7:$U$133,Sheet1!$T$5-Sheet1!$N$5,FALSE),VLOOKUP($G130,Sheet1!$I$7:$N$133,Sheet1!$M$5-Sheet1!$H$5,FALSE)))</f>
        <v/>
      </c>
      <c r="J130" s="243" t="str">
        <f>IF($G130="","",IF($G130="小計",VLOOKUP($A130,Sheet1!$O$7:$U$133,Sheet1!$U$5-Sheet1!$N$5,FALSE),VLOOKUP($G130,Sheet1!$I$7:$N$133,Sheet1!$N$5-Sheet1!$H$5,FALSE)))</f>
        <v/>
      </c>
      <c r="K130" s="610" t="str">
        <f>IF(OR($G130="",$G130="小計"),"",IF(VLOOKUP($G130,請求Data!$I$11:$AR$160,請求Data!$AR$10-請求Data!$H$10,FALSE)="","",VLOOKUP($G130,請求Data!$I$11:$AR$160,請求Data!$AR$10-請求Data!$H$10,FALSE)))</f>
        <v/>
      </c>
    </row>
    <row r="131" spans="1:11">
      <c r="A131" s="481">
        <v>122</v>
      </c>
      <c r="B131" s="477" t="str">
        <f t="shared" si="1"/>
        <v/>
      </c>
      <c r="D131" s="844" t="str">
        <f>IF(OR($G131="",$G131="小計"),"",INDEX(請求Data!$T$11:$T$160,MATCH($G131,請求Data!$I$11:$I$160,0))&amp;"")</f>
        <v/>
      </c>
      <c r="E131" s="844"/>
      <c r="F131" s="75"/>
      <c r="G131" s="147" t="str">
        <f>IF(ISNA(MATCH($A131,Sheet1!$B$7:$B$133,0)),IF($A131&gt;MAX(Sheet1!$O$7:$O$133),"",IF($G130="小計","","小計")),IF($A131&gt;MAX(Sheet1!$B$7:$B$133),"",VLOOKUP($A131,Sheet1!$B$7:$U$133,Sheet1!$I$5-Sheet1!$A$5,FALSE)))</f>
        <v/>
      </c>
      <c r="H131" s="243" t="str">
        <f>IF($G131="","",IF($G131="小計",VLOOKUP($A131,Sheet1!$O$7:$U$133,Sheet1!$S$5-Sheet1!$N$5,FALSE),VLOOKUP($G131,Sheet1!$I$7:$N$133,Sheet1!$L$5-Sheet1!$H$5,FALSE)))</f>
        <v/>
      </c>
      <c r="I131" s="243" t="str">
        <f>IF($G131="","",IF($G131="小計",VLOOKUP($A131,Sheet1!$O$7:$U$133,Sheet1!$T$5-Sheet1!$N$5,FALSE),VLOOKUP($G131,Sheet1!$I$7:$N$133,Sheet1!$M$5-Sheet1!$H$5,FALSE)))</f>
        <v/>
      </c>
      <c r="J131" s="243" t="str">
        <f>IF($G131="","",IF($G131="小計",VLOOKUP($A131,Sheet1!$O$7:$U$133,Sheet1!$U$5-Sheet1!$N$5,FALSE),VLOOKUP($G131,Sheet1!$I$7:$N$133,Sheet1!$N$5-Sheet1!$H$5,FALSE)))</f>
        <v/>
      </c>
      <c r="K131" s="610" t="str">
        <f>IF(OR($G131="",$G131="小計"),"",IF(VLOOKUP($G131,請求Data!$I$11:$AR$160,請求Data!$AR$10-請求Data!$H$10,FALSE)="","",VLOOKUP($G131,請求Data!$I$11:$AR$160,請求Data!$AR$10-請求Data!$H$10,FALSE)))</f>
        <v/>
      </c>
    </row>
    <row r="132" spans="1:11">
      <c r="A132" s="481">
        <v>123</v>
      </c>
      <c r="B132" s="477" t="str">
        <f t="shared" si="1"/>
        <v/>
      </c>
      <c r="D132" s="844" t="str">
        <f>IF(OR($G132="",$G132="小計"),"",INDEX(請求Data!$T$11:$T$160,MATCH($G132,請求Data!$I$11:$I$160,0))&amp;"")</f>
        <v/>
      </c>
      <c r="E132" s="844"/>
      <c r="F132" s="75"/>
      <c r="G132" s="147" t="str">
        <f>IF(ISNA(MATCH($A132,Sheet1!$B$7:$B$133,0)),IF($A132&gt;MAX(Sheet1!$O$7:$O$133),"",IF($G131="小計","","小計")),IF($A132&gt;MAX(Sheet1!$B$7:$B$133),"",VLOOKUP($A132,Sheet1!$B$7:$U$133,Sheet1!$I$5-Sheet1!$A$5,FALSE)))</f>
        <v/>
      </c>
      <c r="H132" s="243" t="str">
        <f>IF($G132="","",IF($G132="小計",VLOOKUP($A132,Sheet1!$O$7:$U$133,Sheet1!$S$5-Sheet1!$N$5,FALSE),VLOOKUP($G132,Sheet1!$I$7:$N$133,Sheet1!$L$5-Sheet1!$H$5,FALSE)))</f>
        <v/>
      </c>
      <c r="I132" s="243" t="str">
        <f>IF($G132="","",IF($G132="小計",VLOOKUP($A132,Sheet1!$O$7:$U$133,Sheet1!$T$5-Sheet1!$N$5,FALSE),VLOOKUP($G132,Sheet1!$I$7:$N$133,Sheet1!$M$5-Sheet1!$H$5,FALSE)))</f>
        <v/>
      </c>
      <c r="J132" s="243" t="str">
        <f>IF($G132="","",IF($G132="小計",VLOOKUP($A132,Sheet1!$O$7:$U$133,Sheet1!$U$5-Sheet1!$N$5,FALSE),VLOOKUP($G132,Sheet1!$I$7:$N$133,Sheet1!$N$5-Sheet1!$H$5,FALSE)))</f>
        <v/>
      </c>
      <c r="K132" s="610" t="str">
        <f>IF(OR($G132="",$G132="小計"),"",IF(VLOOKUP($G132,請求Data!$I$11:$AR$160,請求Data!$AR$10-請求Data!$H$10,FALSE)="","",VLOOKUP($G132,請求Data!$I$11:$AR$160,請求Data!$AR$10-請求Data!$H$10,FALSE)))</f>
        <v/>
      </c>
    </row>
    <row r="133" spans="1:11">
      <c r="A133" s="481">
        <v>124</v>
      </c>
      <c r="B133" s="477" t="str">
        <f t="shared" si="1"/>
        <v/>
      </c>
      <c r="D133" s="844" t="str">
        <f>IF(OR($G133="",$G133="小計"),"",INDEX(請求Data!$T$11:$T$160,MATCH($G133,請求Data!$I$11:$I$160,0))&amp;"")</f>
        <v/>
      </c>
      <c r="E133" s="844"/>
      <c r="F133" s="75"/>
      <c r="G133" s="147" t="str">
        <f>IF(ISNA(MATCH($A133,Sheet1!$B$7:$B$133,0)),IF($A133&gt;MAX(Sheet1!$O$7:$O$133),"",IF($G132="小計","","小計")),IF($A133&gt;MAX(Sheet1!$B$7:$B$133),"",VLOOKUP($A133,Sheet1!$B$7:$U$133,Sheet1!$I$5-Sheet1!$A$5,FALSE)))</f>
        <v/>
      </c>
      <c r="H133" s="243" t="str">
        <f>IF($G133="","",IF($G133="小計",VLOOKUP($A133,Sheet1!$O$7:$U$133,Sheet1!$S$5-Sheet1!$N$5,FALSE),VLOOKUP($G133,Sheet1!$I$7:$N$133,Sheet1!$L$5-Sheet1!$H$5,FALSE)))</f>
        <v/>
      </c>
      <c r="I133" s="243" t="str">
        <f>IF($G133="","",IF($G133="小計",VLOOKUP($A133,Sheet1!$O$7:$U$133,Sheet1!$T$5-Sheet1!$N$5,FALSE),VLOOKUP($G133,Sheet1!$I$7:$N$133,Sheet1!$M$5-Sheet1!$H$5,FALSE)))</f>
        <v/>
      </c>
      <c r="J133" s="243" t="str">
        <f>IF($G133="","",IF($G133="小計",VLOOKUP($A133,Sheet1!$O$7:$U$133,Sheet1!$U$5-Sheet1!$N$5,FALSE),VLOOKUP($G133,Sheet1!$I$7:$N$133,Sheet1!$N$5-Sheet1!$H$5,FALSE)))</f>
        <v/>
      </c>
      <c r="K133" s="610" t="str">
        <f>IF(OR($G133="",$G133="小計"),"",IF(VLOOKUP($G133,請求Data!$I$11:$AR$160,請求Data!$AR$10-請求Data!$H$10,FALSE)="","",VLOOKUP($G133,請求Data!$I$11:$AR$160,請求Data!$AR$10-請求Data!$H$10,FALSE)))</f>
        <v/>
      </c>
    </row>
    <row r="134" spans="1:11">
      <c r="A134" s="481">
        <v>125</v>
      </c>
      <c r="B134" s="477" t="str">
        <f t="shared" si="1"/>
        <v/>
      </c>
      <c r="D134" s="844" t="str">
        <f>IF(OR($G134="",$G134="小計"),"",INDEX(請求Data!$T$11:$T$160,MATCH($G134,請求Data!$I$11:$I$160,0))&amp;"")</f>
        <v/>
      </c>
      <c r="E134" s="844"/>
      <c r="F134" s="75"/>
      <c r="G134" s="147" t="str">
        <f>IF(ISNA(MATCH($A134,Sheet1!$B$7:$B$133,0)),IF($A134&gt;MAX(Sheet1!$O$7:$O$133),"",IF($G133="小計","","小計")),IF($A134&gt;MAX(Sheet1!$B$7:$B$133),"",VLOOKUP($A134,Sheet1!$B$7:$U$133,Sheet1!$I$5-Sheet1!$A$5,FALSE)))</f>
        <v/>
      </c>
      <c r="H134" s="243" t="str">
        <f>IF($G134="","",IF($G134="小計",VLOOKUP($A134,Sheet1!$O$7:$U$133,Sheet1!$S$5-Sheet1!$N$5,FALSE),VLOOKUP($G134,Sheet1!$I$7:$N$133,Sheet1!$L$5-Sheet1!$H$5,FALSE)))</f>
        <v/>
      </c>
      <c r="I134" s="243" t="str">
        <f>IF($G134="","",IF($G134="小計",VLOOKUP($A134,Sheet1!$O$7:$U$133,Sheet1!$T$5-Sheet1!$N$5,FALSE),VLOOKUP($G134,Sheet1!$I$7:$N$133,Sheet1!$M$5-Sheet1!$H$5,FALSE)))</f>
        <v/>
      </c>
      <c r="J134" s="243" t="str">
        <f>IF($G134="","",IF($G134="小計",VLOOKUP($A134,Sheet1!$O$7:$U$133,Sheet1!$U$5-Sheet1!$N$5,FALSE),VLOOKUP($G134,Sheet1!$I$7:$N$133,Sheet1!$N$5-Sheet1!$H$5,FALSE)))</f>
        <v/>
      </c>
      <c r="K134" s="610" t="str">
        <f>IF(OR($G134="",$G134="小計"),"",IF(VLOOKUP($G134,請求Data!$I$11:$AR$160,請求Data!$AR$10-請求Data!$H$10,FALSE)="","",VLOOKUP($G134,請求Data!$I$11:$AR$160,請求Data!$AR$10-請求Data!$H$10,FALSE)))</f>
        <v/>
      </c>
    </row>
    <row r="135" spans="1:11">
      <c r="A135" s="481">
        <v>126</v>
      </c>
      <c r="B135" s="477" t="str">
        <f t="shared" si="1"/>
        <v/>
      </c>
      <c r="D135" s="844" t="str">
        <f>IF(OR($G135="",$G135="小計"),"",INDEX(請求Data!$T$11:$T$160,MATCH($G135,請求Data!$I$11:$I$160,0))&amp;"")</f>
        <v/>
      </c>
      <c r="E135" s="844"/>
      <c r="F135" s="75"/>
      <c r="G135" s="147" t="str">
        <f>IF(ISNA(MATCH($A135,Sheet1!$B$7:$B$133,0)),IF($A135&gt;MAX(Sheet1!$O$7:$O$133),"",IF($G134="小計","","小計")),IF($A135&gt;MAX(Sheet1!$B$7:$B$133),"",VLOOKUP($A135,Sheet1!$B$7:$U$133,Sheet1!$I$5-Sheet1!$A$5,FALSE)))</f>
        <v/>
      </c>
      <c r="H135" s="243" t="str">
        <f>IF($G135="","",IF($G135="小計",VLOOKUP($A135,Sheet1!$O$7:$U$133,Sheet1!$S$5-Sheet1!$N$5,FALSE),VLOOKUP($G135,Sheet1!$I$7:$N$133,Sheet1!$L$5-Sheet1!$H$5,FALSE)))</f>
        <v/>
      </c>
      <c r="I135" s="243" t="str">
        <f>IF($G135="","",IF($G135="小計",VLOOKUP($A135,Sheet1!$O$7:$U$133,Sheet1!$T$5-Sheet1!$N$5,FALSE),VLOOKUP($G135,Sheet1!$I$7:$N$133,Sheet1!$M$5-Sheet1!$H$5,FALSE)))</f>
        <v/>
      </c>
      <c r="J135" s="243" t="str">
        <f>IF($G135="","",IF($G135="小計",VLOOKUP($A135,Sheet1!$O$7:$U$133,Sheet1!$U$5-Sheet1!$N$5,FALSE),VLOOKUP($G135,Sheet1!$I$7:$N$133,Sheet1!$N$5-Sheet1!$H$5,FALSE)))</f>
        <v/>
      </c>
      <c r="K135" s="610" t="str">
        <f>IF(OR($G135="",$G135="小計"),"",IF(VLOOKUP($G135,請求Data!$I$11:$AR$160,請求Data!$AR$10-請求Data!$H$10,FALSE)="","",VLOOKUP($G135,請求Data!$I$11:$AR$160,請求Data!$AR$10-請求Data!$H$10,FALSE)))</f>
        <v/>
      </c>
    </row>
    <row r="136" spans="1:11">
      <c r="A136" s="481">
        <v>127</v>
      </c>
      <c r="B136" s="477" t="str">
        <f t="shared" si="1"/>
        <v/>
      </c>
      <c r="D136" s="844" t="str">
        <f>IF(OR($G136="",$G136="小計"),"",INDEX(請求Data!$T$11:$T$160,MATCH($G136,請求Data!$I$11:$I$160,0))&amp;"")</f>
        <v/>
      </c>
      <c r="E136" s="844"/>
      <c r="F136" s="75"/>
      <c r="G136" s="147" t="str">
        <f>IF(ISNA(MATCH($A136,Sheet1!$B$7:$B$133,0)),IF($A136&gt;MAX(Sheet1!$O$7:$O$133),"",IF($G135="小計","","小計")),IF($A136&gt;MAX(Sheet1!$B$7:$B$133),"",VLOOKUP($A136,Sheet1!$B$7:$U$133,Sheet1!$I$5-Sheet1!$A$5,FALSE)))</f>
        <v/>
      </c>
      <c r="H136" s="243" t="str">
        <f>IF($G136="","",IF($G136="小計",VLOOKUP($A136,Sheet1!$O$7:$U$133,Sheet1!$S$5-Sheet1!$N$5,FALSE),VLOOKUP($G136,Sheet1!$I$7:$N$133,Sheet1!$L$5-Sheet1!$H$5,FALSE)))</f>
        <v/>
      </c>
      <c r="I136" s="243" t="str">
        <f>IF($G136="","",IF($G136="小計",VLOOKUP($A136,Sheet1!$O$7:$U$133,Sheet1!$T$5-Sheet1!$N$5,FALSE),VLOOKUP($G136,Sheet1!$I$7:$N$133,Sheet1!$M$5-Sheet1!$H$5,FALSE)))</f>
        <v/>
      </c>
      <c r="J136" s="243" t="str">
        <f>IF($G136="","",IF($G136="小計",VLOOKUP($A136,Sheet1!$O$7:$U$133,Sheet1!$U$5-Sheet1!$N$5,FALSE),VLOOKUP($G136,Sheet1!$I$7:$N$133,Sheet1!$N$5-Sheet1!$H$5,FALSE)))</f>
        <v/>
      </c>
      <c r="K136" s="610" t="str">
        <f>IF(OR($G136="",$G136="小計"),"",IF(VLOOKUP($G136,請求Data!$I$11:$AR$160,請求Data!$AR$10-請求Data!$H$10,FALSE)="","",VLOOKUP($G136,請求Data!$I$11:$AR$160,請求Data!$AR$10-請求Data!$H$10,FALSE)))</f>
        <v/>
      </c>
    </row>
    <row r="137" spans="1:11">
      <c r="A137" s="481">
        <v>128</v>
      </c>
      <c r="B137" s="477" t="str">
        <f t="shared" si="1"/>
        <v/>
      </c>
      <c r="D137" s="844" t="str">
        <f>IF(OR($G137="",$G137="小計"),"",INDEX(請求Data!$T$11:$T$160,MATCH($G137,請求Data!$I$11:$I$160,0))&amp;"")</f>
        <v/>
      </c>
      <c r="E137" s="844"/>
      <c r="F137" s="75"/>
      <c r="G137" s="147" t="str">
        <f>IF(ISNA(MATCH($A137,Sheet1!$B$7:$B$133,0)),IF($A137&gt;MAX(Sheet1!$O$7:$O$133),"",IF($G136="小計","","小計")),IF($A137&gt;MAX(Sheet1!$B$7:$B$133),"",VLOOKUP($A137,Sheet1!$B$7:$U$133,Sheet1!$I$5-Sheet1!$A$5,FALSE)))</f>
        <v/>
      </c>
      <c r="H137" s="243" t="str">
        <f>IF($G137="","",IF($G137="小計",VLOOKUP($A137,Sheet1!$O$7:$U$133,Sheet1!$S$5-Sheet1!$N$5,FALSE),VLOOKUP($G137,Sheet1!$I$7:$N$133,Sheet1!$L$5-Sheet1!$H$5,FALSE)))</f>
        <v/>
      </c>
      <c r="I137" s="243" t="str">
        <f>IF($G137="","",IF($G137="小計",VLOOKUP($A137,Sheet1!$O$7:$U$133,Sheet1!$T$5-Sheet1!$N$5,FALSE),VLOOKUP($G137,Sheet1!$I$7:$N$133,Sheet1!$M$5-Sheet1!$H$5,FALSE)))</f>
        <v/>
      </c>
      <c r="J137" s="243" t="str">
        <f>IF($G137="","",IF($G137="小計",VLOOKUP($A137,Sheet1!$O$7:$U$133,Sheet1!$U$5-Sheet1!$N$5,FALSE),VLOOKUP($G137,Sheet1!$I$7:$N$133,Sheet1!$N$5-Sheet1!$H$5,FALSE)))</f>
        <v/>
      </c>
      <c r="K137" s="610" t="str">
        <f>IF(OR($G137="",$G137="小計"),"",IF(VLOOKUP($G137,請求Data!$I$11:$AR$160,請求Data!$AR$10-請求Data!$H$10,FALSE)="","",VLOOKUP($G137,請求Data!$I$11:$AR$160,請求Data!$AR$10-請求Data!$H$10,FALSE)))</f>
        <v/>
      </c>
    </row>
    <row r="138" spans="1:11">
      <c r="A138" s="481">
        <v>129</v>
      </c>
      <c r="B138" s="477" t="str">
        <f t="shared" si="1"/>
        <v/>
      </c>
      <c r="D138" s="844" t="str">
        <f>IF(OR($G138="",$G138="小計"),"",INDEX(請求Data!$T$11:$T$160,MATCH($G138,請求Data!$I$11:$I$160,0))&amp;"")</f>
        <v/>
      </c>
      <c r="E138" s="844"/>
      <c r="F138" s="75"/>
      <c r="G138" s="147" t="str">
        <f>IF(ISNA(MATCH($A138,Sheet1!$B$7:$B$133,0)),IF($A138&gt;MAX(Sheet1!$O$7:$O$133),"",IF($G137="小計","","小計")),IF($A138&gt;MAX(Sheet1!$B$7:$B$133),"",VLOOKUP($A138,Sheet1!$B$7:$U$133,Sheet1!$I$5-Sheet1!$A$5,FALSE)))</f>
        <v/>
      </c>
      <c r="H138" s="243" t="str">
        <f>IF($G138="","",IF($G138="小計",VLOOKUP($A138,Sheet1!$O$7:$U$133,Sheet1!$S$5-Sheet1!$N$5,FALSE),VLOOKUP($G138,Sheet1!$I$7:$N$133,Sheet1!$L$5-Sheet1!$H$5,FALSE)))</f>
        <v/>
      </c>
      <c r="I138" s="243" t="str">
        <f>IF($G138="","",IF($G138="小計",VLOOKUP($A138,Sheet1!$O$7:$U$133,Sheet1!$T$5-Sheet1!$N$5,FALSE),VLOOKUP($G138,Sheet1!$I$7:$N$133,Sheet1!$M$5-Sheet1!$H$5,FALSE)))</f>
        <v/>
      </c>
      <c r="J138" s="243" t="str">
        <f>IF($G138="","",IF($G138="小計",VLOOKUP($A138,Sheet1!$O$7:$U$133,Sheet1!$U$5-Sheet1!$N$5,FALSE),VLOOKUP($G138,Sheet1!$I$7:$N$133,Sheet1!$N$5-Sheet1!$H$5,FALSE)))</f>
        <v/>
      </c>
      <c r="K138" s="610" t="str">
        <f>IF(OR($G138="",$G138="小計"),"",IF(VLOOKUP($G138,請求Data!$I$11:$AR$160,請求Data!$AR$10-請求Data!$H$10,FALSE)="","",VLOOKUP($G138,請求Data!$I$11:$AR$160,請求Data!$AR$10-請求Data!$H$10,FALSE)))</f>
        <v/>
      </c>
    </row>
    <row r="139" spans="1:11">
      <c r="A139" s="481">
        <v>130</v>
      </c>
      <c r="B139" s="477" t="str">
        <f t="shared" ref="B139:B166" si="2">IF($J139="",IF($J138="","",1),1)</f>
        <v/>
      </c>
      <c r="D139" s="844" t="str">
        <f>IF(OR($G139="",$G139="小計"),"",INDEX(請求Data!$T$11:$T$160,MATCH($G139,請求Data!$I$11:$I$160,0))&amp;"")</f>
        <v/>
      </c>
      <c r="E139" s="844"/>
      <c r="F139" s="75"/>
      <c r="G139" s="147" t="str">
        <f>IF(ISNA(MATCH($A139,Sheet1!$B$7:$B$133,0)),IF($A139&gt;MAX(Sheet1!$O$7:$O$133),"",IF($G138="小計","","小計")),IF($A139&gt;MAX(Sheet1!$B$7:$B$133),"",VLOOKUP($A139,Sheet1!$B$7:$U$133,Sheet1!$I$5-Sheet1!$A$5,FALSE)))</f>
        <v/>
      </c>
      <c r="H139" s="243" t="str">
        <f>IF($G139="","",IF($G139="小計",VLOOKUP($A139,Sheet1!$O$7:$U$133,Sheet1!$S$5-Sheet1!$N$5,FALSE),VLOOKUP($G139,Sheet1!$I$7:$N$133,Sheet1!$L$5-Sheet1!$H$5,FALSE)))</f>
        <v/>
      </c>
      <c r="I139" s="243" t="str">
        <f>IF($G139="","",IF($G139="小計",VLOOKUP($A139,Sheet1!$O$7:$U$133,Sheet1!$T$5-Sheet1!$N$5,FALSE),VLOOKUP($G139,Sheet1!$I$7:$N$133,Sheet1!$M$5-Sheet1!$H$5,FALSE)))</f>
        <v/>
      </c>
      <c r="J139" s="243" t="str">
        <f>IF($G139="","",IF($G139="小計",VLOOKUP($A139,Sheet1!$O$7:$U$133,Sheet1!$U$5-Sheet1!$N$5,FALSE),VLOOKUP($G139,Sheet1!$I$7:$N$133,Sheet1!$N$5-Sheet1!$H$5,FALSE)))</f>
        <v/>
      </c>
      <c r="K139" s="610" t="str">
        <f>IF(OR($G139="",$G139="小計"),"",IF(VLOOKUP($G139,請求Data!$I$11:$AR$160,請求Data!$AR$10-請求Data!$H$10,FALSE)="","",VLOOKUP($G139,請求Data!$I$11:$AR$160,請求Data!$AR$10-請求Data!$H$10,FALSE)))</f>
        <v/>
      </c>
    </row>
    <row r="140" spans="1:11">
      <c r="A140" s="481">
        <v>131</v>
      </c>
      <c r="B140" s="477" t="str">
        <f t="shared" si="2"/>
        <v/>
      </c>
      <c r="D140" s="844" t="str">
        <f>IF(OR($G140="",$G140="小計"),"",INDEX(請求Data!$T$11:$T$160,MATCH($G140,請求Data!$I$11:$I$160,0))&amp;"")</f>
        <v/>
      </c>
      <c r="E140" s="844"/>
      <c r="F140" s="75"/>
      <c r="G140" s="147" t="str">
        <f>IF(ISNA(MATCH($A140,Sheet1!$B$7:$B$133,0)),IF($A140&gt;MAX(Sheet1!$O$7:$O$133),"",IF($G139="小計","","小計")),IF($A140&gt;MAX(Sheet1!$B$7:$B$133),"",VLOOKUP($A140,Sheet1!$B$7:$U$133,Sheet1!$I$5-Sheet1!$A$5,FALSE)))</f>
        <v/>
      </c>
      <c r="H140" s="243" t="str">
        <f>IF($G140="","",IF($G140="小計",VLOOKUP($A140,Sheet1!$O$7:$U$133,Sheet1!$S$5-Sheet1!$N$5,FALSE),VLOOKUP($G140,Sheet1!$I$7:$N$133,Sheet1!$L$5-Sheet1!$H$5,FALSE)))</f>
        <v/>
      </c>
      <c r="I140" s="243" t="str">
        <f>IF($G140="","",IF($G140="小計",VLOOKUP($A140,Sheet1!$O$7:$U$133,Sheet1!$T$5-Sheet1!$N$5,FALSE),VLOOKUP($G140,Sheet1!$I$7:$N$133,Sheet1!$M$5-Sheet1!$H$5,FALSE)))</f>
        <v/>
      </c>
      <c r="J140" s="243" t="str">
        <f>IF($G140="","",IF($G140="小計",VLOOKUP($A140,Sheet1!$O$7:$U$133,Sheet1!$U$5-Sheet1!$N$5,FALSE),VLOOKUP($G140,Sheet1!$I$7:$N$133,Sheet1!$N$5-Sheet1!$H$5,FALSE)))</f>
        <v/>
      </c>
      <c r="K140" s="610" t="str">
        <f>IF(OR($G140="",$G140="小計"),"",IF(VLOOKUP($G140,請求Data!$I$11:$AR$160,請求Data!$AR$10-請求Data!$H$10,FALSE)="","",VLOOKUP($G140,請求Data!$I$11:$AR$160,請求Data!$AR$10-請求Data!$H$10,FALSE)))</f>
        <v/>
      </c>
    </row>
    <row r="141" spans="1:11">
      <c r="A141" s="481">
        <v>132</v>
      </c>
      <c r="B141" s="477" t="str">
        <f t="shared" si="2"/>
        <v/>
      </c>
      <c r="D141" s="844" t="str">
        <f>IF(OR($G141="",$G141="小計"),"",INDEX(請求Data!$T$11:$T$160,MATCH($G141,請求Data!$I$11:$I$160,0))&amp;"")</f>
        <v/>
      </c>
      <c r="E141" s="844"/>
      <c r="F141" s="75"/>
      <c r="G141" s="147" t="str">
        <f>IF(ISNA(MATCH($A141,Sheet1!$B$7:$B$133,0)),IF($A141&gt;MAX(Sheet1!$O$7:$O$133),"",IF($G140="小計","","小計")),IF($A141&gt;MAX(Sheet1!$B$7:$B$133),"",VLOOKUP($A141,Sheet1!$B$7:$U$133,Sheet1!$I$5-Sheet1!$A$5,FALSE)))</f>
        <v/>
      </c>
      <c r="H141" s="243" t="str">
        <f>IF($G141="","",IF($G141="小計",VLOOKUP($A141,Sheet1!$O$7:$U$133,Sheet1!$S$5-Sheet1!$N$5,FALSE),VLOOKUP($G141,Sheet1!$I$7:$N$133,Sheet1!$L$5-Sheet1!$H$5,FALSE)))</f>
        <v/>
      </c>
      <c r="I141" s="243" t="str">
        <f>IF($G141="","",IF($G141="小計",VLOOKUP($A141,Sheet1!$O$7:$U$133,Sheet1!$T$5-Sheet1!$N$5,FALSE),VLOOKUP($G141,Sheet1!$I$7:$N$133,Sheet1!$M$5-Sheet1!$H$5,FALSE)))</f>
        <v/>
      </c>
      <c r="J141" s="243" t="str">
        <f>IF($G141="","",IF($G141="小計",VLOOKUP($A141,Sheet1!$O$7:$U$133,Sheet1!$U$5-Sheet1!$N$5,FALSE),VLOOKUP($G141,Sheet1!$I$7:$N$133,Sheet1!$N$5-Sheet1!$H$5,FALSE)))</f>
        <v/>
      </c>
      <c r="K141" s="610" t="str">
        <f>IF(OR($G141="",$G141="小計"),"",IF(VLOOKUP($G141,請求Data!$I$11:$AR$160,請求Data!$AR$10-請求Data!$H$10,FALSE)="","",VLOOKUP($G141,請求Data!$I$11:$AR$160,請求Data!$AR$10-請求Data!$H$10,FALSE)))</f>
        <v/>
      </c>
    </row>
    <row r="142" spans="1:11">
      <c r="A142" s="481">
        <v>133</v>
      </c>
      <c r="B142" s="477" t="str">
        <f t="shared" si="2"/>
        <v/>
      </c>
      <c r="D142" s="844" t="str">
        <f>IF(OR($G142="",$G142="小計"),"",INDEX(請求Data!$T$11:$T$160,MATCH($G142,請求Data!$I$11:$I$160,0))&amp;"")</f>
        <v/>
      </c>
      <c r="E142" s="844"/>
      <c r="F142" s="75"/>
      <c r="G142" s="147" t="str">
        <f>IF(ISNA(MATCH($A142,Sheet1!$B$7:$B$133,0)),IF($A142&gt;MAX(Sheet1!$O$7:$O$133),"",IF($G141="小計","","小計")),IF($A142&gt;MAX(Sheet1!$B$7:$B$133),"",VLOOKUP($A142,Sheet1!$B$7:$U$133,Sheet1!$I$5-Sheet1!$A$5,FALSE)))</f>
        <v/>
      </c>
      <c r="H142" s="243" t="str">
        <f>IF($G142="","",IF($G142="小計",VLOOKUP($A142,Sheet1!$O$7:$U$133,Sheet1!$S$5-Sheet1!$N$5,FALSE),VLOOKUP($G142,Sheet1!$I$7:$N$133,Sheet1!$L$5-Sheet1!$H$5,FALSE)))</f>
        <v/>
      </c>
      <c r="I142" s="243" t="str">
        <f>IF($G142="","",IF($G142="小計",VLOOKUP($A142,Sheet1!$O$7:$U$133,Sheet1!$T$5-Sheet1!$N$5,FALSE),VLOOKUP($G142,Sheet1!$I$7:$N$133,Sheet1!$M$5-Sheet1!$H$5,FALSE)))</f>
        <v/>
      </c>
      <c r="J142" s="243" t="str">
        <f>IF($G142="","",IF($G142="小計",VLOOKUP($A142,Sheet1!$O$7:$U$133,Sheet1!$U$5-Sheet1!$N$5,FALSE),VLOOKUP($G142,Sheet1!$I$7:$N$133,Sheet1!$N$5-Sheet1!$H$5,FALSE)))</f>
        <v/>
      </c>
      <c r="K142" s="610" t="str">
        <f>IF(OR($G142="",$G142="小計"),"",IF(VLOOKUP($G142,請求Data!$I$11:$AR$160,請求Data!$AR$10-請求Data!$H$10,FALSE)="","",VLOOKUP($G142,請求Data!$I$11:$AR$160,請求Data!$AR$10-請求Data!$H$10,FALSE)))</f>
        <v/>
      </c>
    </row>
    <row r="143" spans="1:11">
      <c r="A143" s="481">
        <v>134</v>
      </c>
      <c r="B143" s="477" t="str">
        <f t="shared" si="2"/>
        <v/>
      </c>
      <c r="D143" s="844" t="str">
        <f>IF(OR($G143="",$G143="小計"),"",INDEX(請求Data!$T$11:$T$160,MATCH($G143,請求Data!$I$11:$I$160,0))&amp;"")</f>
        <v/>
      </c>
      <c r="E143" s="844"/>
      <c r="F143" s="75"/>
      <c r="G143" s="147" t="str">
        <f>IF(ISNA(MATCH($A143,Sheet1!$B$7:$B$133,0)),IF($A143&gt;MAX(Sheet1!$O$7:$O$133),"",IF($G142="小計","","小計")),IF($A143&gt;MAX(Sheet1!$B$7:$B$133),"",VLOOKUP($A143,Sheet1!$B$7:$U$133,Sheet1!$I$5-Sheet1!$A$5,FALSE)))</f>
        <v/>
      </c>
      <c r="H143" s="243" t="str">
        <f>IF($G143="","",IF($G143="小計",VLOOKUP($A143,Sheet1!$O$7:$U$133,Sheet1!$S$5-Sheet1!$N$5,FALSE),VLOOKUP($G143,Sheet1!$I$7:$N$133,Sheet1!$L$5-Sheet1!$H$5,FALSE)))</f>
        <v/>
      </c>
      <c r="I143" s="243" t="str">
        <f>IF($G143="","",IF($G143="小計",VLOOKUP($A143,Sheet1!$O$7:$U$133,Sheet1!$T$5-Sheet1!$N$5,FALSE),VLOOKUP($G143,Sheet1!$I$7:$N$133,Sheet1!$M$5-Sheet1!$H$5,FALSE)))</f>
        <v/>
      </c>
      <c r="J143" s="243" t="str">
        <f>IF($G143="","",IF($G143="小計",VLOOKUP($A143,Sheet1!$O$7:$U$133,Sheet1!$U$5-Sheet1!$N$5,FALSE),VLOOKUP($G143,Sheet1!$I$7:$N$133,Sheet1!$N$5-Sheet1!$H$5,FALSE)))</f>
        <v/>
      </c>
      <c r="K143" s="610" t="str">
        <f>IF(OR($G143="",$G143="小計"),"",IF(VLOOKUP($G143,請求Data!$I$11:$AR$160,請求Data!$AR$10-請求Data!$H$10,FALSE)="","",VLOOKUP($G143,請求Data!$I$11:$AR$160,請求Data!$AR$10-請求Data!$H$10,FALSE)))</f>
        <v/>
      </c>
    </row>
    <row r="144" spans="1:11">
      <c r="A144" s="481">
        <v>135</v>
      </c>
      <c r="B144" s="477" t="str">
        <f t="shared" si="2"/>
        <v/>
      </c>
      <c r="D144" s="844" t="str">
        <f>IF(OR($G144="",$G144="小計"),"",INDEX(請求Data!$T$11:$T$160,MATCH($G144,請求Data!$I$11:$I$160,0))&amp;"")</f>
        <v/>
      </c>
      <c r="E144" s="844"/>
      <c r="F144" s="75"/>
      <c r="G144" s="147" t="str">
        <f>IF(ISNA(MATCH($A144,Sheet1!$B$7:$B$133,0)),IF($A144&gt;MAX(Sheet1!$O$7:$O$133),"",IF($G143="小計","","小計")),IF($A144&gt;MAX(Sheet1!$B$7:$B$133),"",VLOOKUP($A144,Sheet1!$B$7:$U$133,Sheet1!$I$5-Sheet1!$A$5,FALSE)))</f>
        <v/>
      </c>
      <c r="H144" s="243" t="str">
        <f>IF($G144="","",IF($G144="小計",VLOOKUP($A144,Sheet1!$O$7:$U$133,Sheet1!$S$5-Sheet1!$N$5,FALSE),VLOOKUP($G144,Sheet1!$I$7:$N$133,Sheet1!$L$5-Sheet1!$H$5,FALSE)))</f>
        <v/>
      </c>
      <c r="I144" s="243" t="str">
        <f>IF($G144="","",IF($G144="小計",VLOOKUP($A144,Sheet1!$O$7:$U$133,Sheet1!$T$5-Sheet1!$N$5,FALSE),VLOOKUP($G144,Sheet1!$I$7:$N$133,Sheet1!$M$5-Sheet1!$H$5,FALSE)))</f>
        <v/>
      </c>
      <c r="J144" s="243" t="str">
        <f>IF($G144="","",IF($G144="小計",VLOOKUP($A144,Sheet1!$O$7:$U$133,Sheet1!$U$5-Sheet1!$N$5,FALSE),VLOOKUP($G144,Sheet1!$I$7:$N$133,Sheet1!$N$5-Sheet1!$H$5,FALSE)))</f>
        <v/>
      </c>
      <c r="K144" s="610" t="str">
        <f>IF(OR($G144="",$G144="小計"),"",IF(VLOOKUP($G144,請求Data!$I$11:$AR$160,請求Data!$AR$10-請求Data!$H$10,FALSE)="","",VLOOKUP($G144,請求Data!$I$11:$AR$160,請求Data!$AR$10-請求Data!$H$10,FALSE)))</f>
        <v/>
      </c>
    </row>
    <row r="145" spans="1:11">
      <c r="A145" s="481">
        <v>136</v>
      </c>
      <c r="B145" s="477" t="str">
        <f t="shared" si="2"/>
        <v/>
      </c>
      <c r="D145" s="844" t="str">
        <f>IF(OR($G145="",$G145="小計"),"",INDEX(請求Data!$T$11:$T$160,MATCH($G145,請求Data!$I$11:$I$160,0))&amp;"")</f>
        <v/>
      </c>
      <c r="E145" s="844"/>
      <c r="F145" s="75"/>
      <c r="G145" s="147" t="str">
        <f>IF(ISNA(MATCH($A145,Sheet1!$B$7:$B$133,0)),IF($A145&gt;MAX(Sheet1!$O$7:$O$133),"",IF($G144="小計","","小計")),IF($A145&gt;MAX(Sheet1!$B$7:$B$133),"",VLOOKUP($A145,Sheet1!$B$7:$U$133,Sheet1!$I$5-Sheet1!$A$5,FALSE)))</f>
        <v/>
      </c>
      <c r="H145" s="243" t="str">
        <f>IF($G145="","",IF($G145="小計",VLOOKUP($A145,Sheet1!$O$7:$U$133,Sheet1!$S$5-Sheet1!$N$5,FALSE),VLOOKUP($G145,Sheet1!$I$7:$N$133,Sheet1!$L$5-Sheet1!$H$5,FALSE)))</f>
        <v/>
      </c>
      <c r="I145" s="243" t="str">
        <f>IF($G145="","",IF($G145="小計",VLOOKUP($A145,Sheet1!$O$7:$U$133,Sheet1!$T$5-Sheet1!$N$5,FALSE),VLOOKUP($G145,Sheet1!$I$7:$N$133,Sheet1!$M$5-Sheet1!$H$5,FALSE)))</f>
        <v/>
      </c>
      <c r="J145" s="243" t="str">
        <f>IF($G145="","",IF($G145="小計",VLOOKUP($A145,Sheet1!$O$7:$U$133,Sheet1!$U$5-Sheet1!$N$5,FALSE),VLOOKUP($G145,Sheet1!$I$7:$N$133,Sheet1!$N$5-Sheet1!$H$5,FALSE)))</f>
        <v/>
      </c>
      <c r="K145" s="610" t="str">
        <f>IF(OR($G145="",$G145="小計"),"",IF(VLOOKUP($G145,請求Data!$I$11:$AR$160,請求Data!$AR$10-請求Data!$H$10,FALSE)="","",VLOOKUP($G145,請求Data!$I$11:$AR$160,請求Data!$AR$10-請求Data!$H$10,FALSE)))</f>
        <v/>
      </c>
    </row>
    <row r="146" spans="1:11">
      <c r="A146" s="481">
        <v>137</v>
      </c>
      <c r="B146" s="477" t="str">
        <f t="shared" si="2"/>
        <v/>
      </c>
      <c r="D146" s="844" t="str">
        <f>IF(OR($G146="",$G146="小計"),"",INDEX(請求Data!$T$11:$T$160,MATCH($G146,請求Data!$I$11:$I$160,0))&amp;"")</f>
        <v/>
      </c>
      <c r="E146" s="844"/>
      <c r="F146" s="75"/>
      <c r="G146" s="147" t="str">
        <f>IF(ISNA(MATCH($A146,Sheet1!$B$7:$B$133,0)),IF($A146&gt;MAX(Sheet1!$O$7:$O$133),"",IF($G145="小計","","小計")),IF($A146&gt;MAX(Sheet1!$B$7:$B$133),"",VLOOKUP($A146,Sheet1!$B$7:$U$133,Sheet1!$I$5-Sheet1!$A$5,FALSE)))</f>
        <v/>
      </c>
      <c r="H146" s="243" t="str">
        <f>IF($G146="","",IF($G146="小計",VLOOKUP($A146,Sheet1!$O$7:$U$133,Sheet1!$S$5-Sheet1!$N$5,FALSE),VLOOKUP($G146,Sheet1!$I$7:$N$133,Sheet1!$L$5-Sheet1!$H$5,FALSE)))</f>
        <v/>
      </c>
      <c r="I146" s="243" t="str">
        <f>IF($G146="","",IF($G146="小計",VLOOKUP($A146,Sheet1!$O$7:$U$133,Sheet1!$T$5-Sheet1!$N$5,FALSE),VLOOKUP($G146,Sheet1!$I$7:$N$133,Sheet1!$M$5-Sheet1!$H$5,FALSE)))</f>
        <v/>
      </c>
      <c r="J146" s="243" t="str">
        <f>IF($G146="","",IF($G146="小計",VLOOKUP($A146,Sheet1!$O$7:$U$133,Sheet1!$U$5-Sheet1!$N$5,FALSE),VLOOKUP($G146,Sheet1!$I$7:$N$133,Sheet1!$N$5-Sheet1!$H$5,FALSE)))</f>
        <v/>
      </c>
      <c r="K146" s="610" t="str">
        <f>IF(OR($G146="",$G146="小計"),"",IF(VLOOKUP($G146,請求Data!$I$11:$AR$160,請求Data!$AR$10-請求Data!$H$10,FALSE)="","",VLOOKUP($G146,請求Data!$I$11:$AR$160,請求Data!$AR$10-請求Data!$H$10,FALSE)))</f>
        <v/>
      </c>
    </row>
    <row r="147" spans="1:11">
      <c r="A147" s="481">
        <v>138</v>
      </c>
      <c r="B147" s="477" t="str">
        <f t="shared" si="2"/>
        <v/>
      </c>
      <c r="D147" s="844" t="str">
        <f>IF(OR($G147="",$G147="小計"),"",INDEX(請求Data!$T$11:$T$160,MATCH($G147,請求Data!$I$11:$I$160,0))&amp;"")</f>
        <v/>
      </c>
      <c r="E147" s="844"/>
      <c r="F147" s="75"/>
      <c r="G147" s="147" t="str">
        <f>IF(ISNA(MATCH($A147,Sheet1!$B$7:$B$133,0)),IF($A147&gt;MAX(Sheet1!$O$7:$O$133),"",IF($G146="小計","","小計")),IF($A147&gt;MAX(Sheet1!$B$7:$B$133),"",VLOOKUP($A147,Sheet1!$B$7:$U$133,Sheet1!$I$5-Sheet1!$A$5,FALSE)))</f>
        <v/>
      </c>
      <c r="H147" s="243" t="str">
        <f>IF($G147="","",IF($G147="小計",VLOOKUP($A147,Sheet1!$O$7:$U$133,Sheet1!$S$5-Sheet1!$N$5,FALSE),VLOOKUP($G147,Sheet1!$I$7:$N$133,Sheet1!$L$5-Sheet1!$H$5,FALSE)))</f>
        <v/>
      </c>
      <c r="I147" s="243" t="str">
        <f>IF($G147="","",IF($G147="小計",VLOOKUP($A147,Sheet1!$O$7:$U$133,Sheet1!$T$5-Sheet1!$N$5,FALSE),VLOOKUP($G147,Sheet1!$I$7:$N$133,Sheet1!$M$5-Sheet1!$H$5,FALSE)))</f>
        <v/>
      </c>
      <c r="J147" s="243" t="str">
        <f>IF($G147="","",IF($G147="小計",VLOOKUP($A147,Sheet1!$O$7:$U$133,Sheet1!$U$5-Sheet1!$N$5,FALSE),VLOOKUP($G147,Sheet1!$I$7:$N$133,Sheet1!$N$5-Sheet1!$H$5,FALSE)))</f>
        <v/>
      </c>
      <c r="K147" s="610" t="str">
        <f>IF(OR($G147="",$G147="小計"),"",IF(VLOOKUP($G147,請求Data!$I$11:$AR$160,請求Data!$AR$10-請求Data!$H$10,FALSE)="","",VLOOKUP($G147,請求Data!$I$11:$AR$160,請求Data!$AR$10-請求Data!$H$10,FALSE)))</f>
        <v/>
      </c>
    </row>
    <row r="148" spans="1:11">
      <c r="A148" s="481">
        <v>139</v>
      </c>
      <c r="B148" s="477" t="str">
        <f t="shared" si="2"/>
        <v/>
      </c>
      <c r="D148" s="844" t="str">
        <f>IF(OR($G148="",$G148="小計"),"",INDEX(請求Data!$T$11:$T$160,MATCH($G148,請求Data!$I$11:$I$160,0))&amp;"")</f>
        <v/>
      </c>
      <c r="E148" s="844"/>
      <c r="F148" s="75"/>
      <c r="G148" s="147" t="str">
        <f>IF(ISNA(MATCH($A148,Sheet1!$B$7:$B$133,0)),IF($A148&gt;MAX(Sheet1!$O$7:$O$133),"",IF($G147="小計","","小計")),IF($A148&gt;MAX(Sheet1!$B$7:$B$133),"",VLOOKUP($A148,Sheet1!$B$7:$U$133,Sheet1!$I$5-Sheet1!$A$5,FALSE)))</f>
        <v/>
      </c>
      <c r="H148" s="243" t="str">
        <f>IF($G148="","",IF($G148="小計",VLOOKUP($A148,Sheet1!$O$7:$U$133,Sheet1!$S$5-Sheet1!$N$5,FALSE),VLOOKUP($G148,Sheet1!$I$7:$N$133,Sheet1!$L$5-Sheet1!$H$5,FALSE)))</f>
        <v/>
      </c>
      <c r="I148" s="243" t="str">
        <f>IF($G148="","",IF($G148="小計",VLOOKUP($A148,Sheet1!$O$7:$U$133,Sheet1!$T$5-Sheet1!$N$5,FALSE),VLOOKUP($G148,Sheet1!$I$7:$N$133,Sheet1!$M$5-Sheet1!$H$5,FALSE)))</f>
        <v/>
      </c>
      <c r="J148" s="243" t="str">
        <f>IF($G148="","",IF($G148="小計",VLOOKUP($A148,Sheet1!$O$7:$U$133,Sheet1!$U$5-Sheet1!$N$5,FALSE),VLOOKUP($G148,Sheet1!$I$7:$N$133,Sheet1!$N$5-Sheet1!$H$5,FALSE)))</f>
        <v/>
      </c>
      <c r="K148" s="610" t="str">
        <f>IF(OR($G148="",$G148="小計"),"",IF(VLOOKUP($G148,請求Data!$I$11:$AR$160,請求Data!$AR$10-請求Data!$H$10,FALSE)="","",VLOOKUP($G148,請求Data!$I$11:$AR$160,請求Data!$AR$10-請求Data!$H$10,FALSE)))</f>
        <v/>
      </c>
    </row>
    <row r="149" spans="1:11">
      <c r="A149" s="481">
        <v>140</v>
      </c>
      <c r="B149" s="477" t="str">
        <f t="shared" si="2"/>
        <v/>
      </c>
      <c r="D149" s="844" t="str">
        <f>IF(OR($G149="",$G149="小計"),"",INDEX(請求Data!$T$11:$T$160,MATCH($G149,請求Data!$I$11:$I$160,0))&amp;"")</f>
        <v/>
      </c>
      <c r="E149" s="844"/>
      <c r="F149" s="75"/>
      <c r="G149" s="147" t="str">
        <f>IF(ISNA(MATCH($A149,Sheet1!$B$7:$B$133,0)),IF($A149&gt;MAX(Sheet1!$O$7:$O$133),"",IF($G148="小計","","小計")),IF($A149&gt;MAX(Sheet1!$B$7:$B$133),"",VLOOKUP($A149,Sheet1!$B$7:$U$133,Sheet1!$I$5-Sheet1!$A$5,FALSE)))</f>
        <v/>
      </c>
      <c r="H149" s="243" t="str">
        <f>IF($G149="","",IF($G149="小計",VLOOKUP($A149,Sheet1!$O$7:$U$133,Sheet1!$S$5-Sheet1!$N$5,FALSE),VLOOKUP($G149,Sheet1!$I$7:$N$133,Sheet1!$L$5-Sheet1!$H$5,FALSE)))</f>
        <v/>
      </c>
      <c r="I149" s="243" t="str">
        <f>IF($G149="","",IF($G149="小計",VLOOKUP($A149,Sheet1!$O$7:$U$133,Sheet1!$T$5-Sheet1!$N$5,FALSE),VLOOKUP($G149,Sheet1!$I$7:$N$133,Sheet1!$M$5-Sheet1!$H$5,FALSE)))</f>
        <v/>
      </c>
      <c r="J149" s="243" t="str">
        <f>IF($G149="","",IF($G149="小計",VLOOKUP($A149,Sheet1!$O$7:$U$133,Sheet1!$U$5-Sheet1!$N$5,FALSE),VLOOKUP($G149,Sheet1!$I$7:$N$133,Sheet1!$N$5-Sheet1!$H$5,FALSE)))</f>
        <v/>
      </c>
      <c r="K149" s="610" t="str">
        <f>IF(OR($G149="",$G149="小計"),"",IF(VLOOKUP($G149,請求Data!$I$11:$AR$160,請求Data!$AR$10-請求Data!$H$10,FALSE)="","",VLOOKUP($G149,請求Data!$I$11:$AR$160,請求Data!$AR$10-請求Data!$H$10,FALSE)))</f>
        <v/>
      </c>
    </row>
    <row r="150" spans="1:11">
      <c r="A150" s="481">
        <v>141</v>
      </c>
      <c r="B150" s="477" t="str">
        <f t="shared" si="2"/>
        <v/>
      </c>
      <c r="D150" s="844" t="str">
        <f>IF(OR($G150="",$G150="小計"),"",INDEX(請求Data!$T$11:$T$160,MATCH($G150,請求Data!$I$11:$I$160,0))&amp;"")</f>
        <v/>
      </c>
      <c r="E150" s="844"/>
      <c r="F150" s="75"/>
      <c r="G150" s="147" t="str">
        <f>IF(ISNA(MATCH($A150,Sheet1!$B$7:$B$133,0)),IF($A150&gt;MAX(Sheet1!$O$7:$O$133),"",IF($G149="小計","","小計")),IF($A150&gt;MAX(Sheet1!$B$7:$B$133),"",VLOOKUP($A150,Sheet1!$B$7:$U$133,Sheet1!$I$5-Sheet1!$A$5,FALSE)))</f>
        <v/>
      </c>
      <c r="H150" s="243" t="str">
        <f>IF($G150="","",IF($G150="小計",VLOOKUP($A150,Sheet1!$O$7:$U$133,Sheet1!$S$5-Sheet1!$N$5,FALSE),VLOOKUP($G150,Sheet1!$I$7:$N$133,Sheet1!$L$5-Sheet1!$H$5,FALSE)))</f>
        <v/>
      </c>
      <c r="I150" s="243" t="str">
        <f>IF($G150="","",IF($G150="小計",VLOOKUP($A150,Sheet1!$O$7:$U$133,Sheet1!$T$5-Sheet1!$N$5,FALSE),VLOOKUP($G150,Sheet1!$I$7:$N$133,Sheet1!$M$5-Sheet1!$H$5,FALSE)))</f>
        <v/>
      </c>
      <c r="J150" s="243" t="str">
        <f>IF($G150="","",IF($G150="小計",VLOOKUP($A150,Sheet1!$O$7:$U$133,Sheet1!$U$5-Sheet1!$N$5,FALSE),VLOOKUP($G150,Sheet1!$I$7:$N$133,Sheet1!$N$5-Sheet1!$H$5,FALSE)))</f>
        <v/>
      </c>
      <c r="K150" s="610" t="str">
        <f>IF(OR($G150="",$G150="小計"),"",IF(VLOOKUP($G150,請求Data!$I$11:$AR$160,請求Data!$AR$10-請求Data!$H$10,FALSE)="","",VLOOKUP($G150,請求Data!$I$11:$AR$160,請求Data!$AR$10-請求Data!$H$10,FALSE)))</f>
        <v/>
      </c>
    </row>
    <row r="151" spans="1:11">
      <c r="A151" s="481">
        <v>142</v>
      </c>
      <c r="B151" s="477" t="str">
        <f t="shared" si="2"/>
        <v/>
      </c>
      <c r="D151" s="844" t="str">
        <f>IF(OR($G151="",$G151="小計"),"",INDEX(請求Data!$T$11:$T$160,MATCH($G151,請求Data!$I$11:$I$160,0))&amp;"")</f>
        <v/>
      </c>
      <c r="E151" s="844"/>
      <c r="F151" s="75"/>
      <c r="G151" s="147" t="str">
        <f>IF(ISNA(MATCH($A151,Sheet1!$B$7:$B$133,0)),IF($A151&gt;MAX(Sheet1!$O$7:$O$133),"",IF($G150="小計","","小計")),IF($A151&gt;MAX(Sheet1!$B$7:$B$133),"",VLOOKUP($A151,Sheet1!$B$7:$U$133,Sheet1!$I$5-Sheet1!$A$5,FALSE)))</f>
        <v/>
      </c>
      <c r="H151" s="243" t="str">
        <f>IF($G151="","",IF($G151="小計",VLOOKUP($A151,Sheet1!$O$7:$U$133,Sheet1!$S$5-Sheet1!$N$5,FALSE),VLOOKUP($G151,Sheet1!$I$7:$N$133,Sheet1!$L$5-Sheet1!$H$5,FALSE)))</f>
        <v/>
      </c>
      <c r="I151" s="243" t="str">
        <f>IF($G151="","",IF($G151="小計",VLOOKUP($A151,Sheet1!$O$7:$U$133,Sheet1!$T$5-Sheet1!$N$5,FALSE),VLOOKUP($G151,Sheet1!$I$7:$N$133,Sheet1!$M$5-Sheet1!$H$5,FALSE)))</f>
        <v/>
      </c>
      <c r="J151" s="243" t="str">
        <f>IF($G151="","",IF($G151="小計",VLOOKUP($A151,Sheet1!$O$7:$U$133,Sheet1!$U$5-Sheet1!$N$5,FALSE),VLOOKUP($G151,Sheet1!$I$7:$N$133,Sheet1!$N$5-Sheet1!$H$5,FALSE)))</f>
        <v/>
      </c>
      <c r="K151" s="610" t="str">
        <f>IF(OR($G151="",$G151="小計"),"",IF(VLOOKUP($G151,請求Data!$I$11:$AR$160,請求Data!$AR$10-請求Data!$H$10,FALSE)="","",VLOOKUP($G151,請求Data!$I$11:$AR$160,請求Data!$AR$10-請求Data!$H$10,FALSE)))</f>
        <v/>
      </c>
    </row>
    <row r="152" spans="1:11">
      <c r="A152" s="481">
        <v>143</v>
      </c>
      <c r="B152" s="477" t="str">
        <f t="shared" si="2"/>
        <v/>
      </c>
      <c r="D152" s="844" t="str">
        <f>IF(OR($G152="",$G152="小計"),"",INDEX(請求Data!$T$11:$T$160,MATCH($G152,請求Data!$I$11:$I$160,0))&amp;"")</f>
        <v/>
      </c>
      <c r="E152" s="844"/>
      <c r="F152" s="75"/>
      <c r="G152" s="147" t="str">
        <f>IF(ISNA(MATCH($A152,Sheet1!$B$7:$B$133,0)),IF($A152&gt;MAX(Sheet1!$O$7:$O$133),"",IF($G151="小計","","小計")),IF($A152&gt;MAX(Sheet1!$B$7:$B$133),"",VLOOKUP($A152,Sheet1!$B$7:$U$133,Sheet1!$I$5-Sheet1!$A$5,FALSE)))</f>
        <v/>
      </c>
      <c r="H152" s="243" t="str">
        <f>IF($G152="","",IF($G152="小計",VLOOKUP($A152,Sheet1!$O$7:$U$133,Sheet1!$S$5-Sheet1!$N$5,FALSE),VLOOKUP($G152,Sheet1!$I$7:$N$133,Sheet1!$L$5-Sheet1!$H$5,FALSE)))</f>
        <v/>
      </c>
      <c r="I152" s="243" t="str">
        <f>IF($G152="","",IF($G152="小計",VLOOKUP($A152,Sheet1!$O$7:$U$133,Sheet1!$T$5-Sheet1!$N$5,FALSE),VLOOKUP($G152,Sheet1!$I$7:$N$133,Sheet1!$M$5-Sheet1!$H$5,FALSE)))</f>
        <v/>
      </c>
      <c r="J152" s="243" t="str">
        <f>IF($G152="","",IF($G152="小計",VLOOKUP($A152,Sheet1!$O$7:$U$133,Sheet1!$U$5-Sheet1!$N$5,FALSE),VLOOKUP($G152,Sheet1!$I$7:$N$133,Sheet1!$N$5-Sheet1!$H$5,FALSE)))</f>
        <v/>
      </c>
      <c r="K152" s="610" t="str">
        <f>IF(OR($G152="",$G152="小計"),"",IF(VLOOKUP($G152,請求Data!$I$11:$AR$160,請求Data!$AR$10-請求Data!$H$10,FALSE)="","",VLOOKUP($G152,請求Data!$I$11:$AR$160,請求Data!$AR$10-請求Data!$H$10,FALSE)))</f>
        <v/>
      </c>
    </row>
    <row r="153" spans="1:11">
      <c r="A153" s="481">
        <v>144</v>
      </c>
      <c r="B153" s="477" t="str">
        <f t="shared" si="2"/>
        <v/>
      </c>
      <c r="D153" s="844" t="str">
        <f>IF(OR($G153="",$G153="小計"),"",INDEX(請求Data!$T$11:$T$160,MATCH($G153,請求Data!$I$11:$I$160,0))&amp;"")</f>
        <v/>
      </c>
      <c r="E153" s="844"/>
      <c r="F153" s="75"/>
      <c r="G153" s="147" t="str">
        <f>IF(ISNA(MATCH($A153,Sheet1!$B$7:$B$133,0)),IF($A153&gt;MAX(Sheet1!$O$7:$O$133),"",IF($G152="小計","","小計")),IF($A153&gt;MAX(Sheet1!$B$7:$B$133),"",VLOOKUP($A153,Sheet1!$B$7:$U$133,Sheet1!$I$5-Sheet1!$A$5,FALSE)))</f>
        <v/>
      </c>
      <c r="H153" s="243" t="str">
        <f>IF($G153="","",IF($G153="小計",VLOOKUP($A153,Sheet1!$O$7:$U$133,Sheet1!$S$5-Sheet1!$N$5,FALSE),VLOOKUP($G153,Sheet1!$I$7:$N$133,Sheet1!$L$5-Sheet1!$H$5,FALSE)))</f>
        <v/>
      </c>
      <c r="I153" s="243" t="str">
        <f>IF($G153="","",IF($G153="小計",VLOOKUP($A153,Sheet1!$O$7:$U$133,Sheet1!$T$5-Sheet1!$N$5,FALSE),VLOOKUP($G153,Sheet1!$I$7:$N$133,Sheet1!$M$5-Sheet1!$H$5,FALSE)))</f>
        <v/>
      </c>
      <c r="J153" s="243" t="str">
        <f>IF($G153="","",IF($G153="小計",VLOOKUP($A153,Sheet1!$O$7:$U$133,Sheet1!$U$5-Sheet1!$N$5,FALSE),VLOOKUP($G153,Sheet1!$I$7:$N$133,Sheet1!$N$5-Sheet1!$H$5,FALSE)))</f>
        <v/>
      </c>
      <c r="K153" s="610" t="str">
        <f>IF(OR($G153="",$G153="小計"),"",IF(VLOOKUP($G153,請求Data!$I$11:$AR$160,請求Data!$AR$10-請求Data!$H$10,FALSE)="","",VLOOKUP($G153,請求Data!$I$11:$AR$160,請求Data!$AR$10-請求Data!$H$10,FALSE)))</f>
        <v/>
      </c>
    </row>
    <row r="154" spans="1:11">
      <c r="A154" s="481">
        <v>145</v>
      </c>
      <c r="B154" s="477" t="str">
        <f t="shared" si="2"/>
        <v/>
      </c>
      <c r="D154" s="844" t="str">
        <f>IF(OR($G154="",$G154="小計"),"",INDEX(請求Data!$T$11:$T$160,MATCH($G154,請求Data!$I$11:$I$160,0))&amp;"")</f>
        <v/>
      </c>
      <c r="E154" s="844"/>
      <c r="F154" s="75"/>
      <c r="G154" s="147" t="str">
        <f>IF(ISNA(MATCH($A154,Sheet1!$B$7:$B$133,0)),IF($A154&gt;MAX(Sheet1!$O$7:$O$133),"",IF($G153="小計","","小計")),IF($A154&gt;MAX(Sheet1!$B$7:$B$133),"",VLOOKUP($A154,Sheet1!$B$7:$U$133,Sheet1!$I$5-Sheet1!$A$5,FALSE)))</f>
        <v/>
      </c>
      <c r="H154" s="243" t="str">
        <f>IF($G154="","",IF($G154="小計",VLOOKUP($A154,Sheet1!$O$7:$U$133,Sheet1!$S$5-Sheet1!$N$5,FALSE),VLOOKUP($G154,Sheet1!$I$7:$N$133,Sheet1!$L$5-Sheet1!$H$5,FALSE)))</f>
        <v/>
      </c>
      <c r="I154" s="243" t="str">
        <f>IF($G154="","",IF($G154="小計",VLOOKUP($A154,Sheet1!$O$7:$U$133,Sheet1!$T$5-Sheet1!$N$5,FALSE),VLOOKUP($G154,Sheet1!$I$7:$N$133,Sheet1!$M$5-Sheet1!$H$5,FALSE)))</f>
        <v/>
      </c>
      <c r="J154" s="243" t="str">
        <f>IF($G154="","",IF($G154="小計",VLOOKUP($A154,Sheet1!$O$7:$U$133,Sheet1!$U$5-Sheet1!$N$5,FALSE),VLOOKUP($G154,Sheet1!$I$7:$N$133,Sheet1!$N$5-Sheet1!$H$5,FALSE)))</f>
        <v/>
      </c>
      <c r="K154" s="610" t="str">
        <f>IF(OR($G154="",$G154="小計"),"",IF(VLOOKUP($G154,請求Data!$I$11:$AR$160,請求Data!$AR$10-請求Data!$H$10,FALSE)="","",VLOOKUP($G154,請求Data!$I$11:$AR$160,請求Data!$AR$10-請求Data!$H$10,FALSE)))</f>
        <v/>
      </c>
    </row>
    <row r="155" spans="1:11">
      <c r="A155" s="481">
        <v>146</v>
      </c>
      <c r="B155" s="477" t="str">
        <f t="shared" si="2"/>
        <v/>
      </c>
      <c r="D155" s="844" t="str">
        <f>IF(OR($G155="",$G155="小計"),"",INDEX(請求Data!$T$11:$T$160,MATCH($G155,請求Data!$I$11:$I$160,0))&amp;"")</f>
        <v/>
      </c>
      <c r="E155" s="844"/>
      <c r="F155" s="75"/>
      <c r="G155" s="147" t="str">
        <f>IF(ISNA(MATCH($A155,Sheet1!$B$7:$B$133,0)),IF($A155&gt;MAX(Sheet1!$O$7:$O$133),"",IF($G154="小計","","小計")),IF($A155&gt;MAX(Sheet1!$B$7:$B$133),"",VLOOKUP($A155,Sheet1!$B$7:$U$133,Sheet1!$I$5-Sheet1!$A$5,FALSE)))</f>
        <v/>
      </c>
      <c r="H155" s="243" t="str">
        <f>IF($G155="","",IF($G155="小計",VLOOKUP($A155,Sheet1!$O$7:$U$133,Sheet1!$S$5-Sheet1!$N$5,FALSE),VLOOKUP($G155,Sheet1!$I$7:$N$133,Sheet1!$L$5-Sheet1!$H$5,FALSE)))</f>
        <v/>
      </c>
      <c r="I155" s="243" t="str">
        <f>IF($G155="","",IF($G155="小計",VLOOKUP($A155,Sheet1!$O$7:$U$133,Sheet1!$T$5-Sheet1!$N$5,FALSE),VLOOKUP($G155,Sheet1!$I$7:$N$133,Sheet1!$M$5-Sheet1!$H$5,FALSE)))</f>
        <v/>
      </c>
      <c r="J155" s="243" t="str">
        <f>IF($G155="","",IF($G155="小計",VLOOKUP($A155,Sheet1!$O$7:$U$133,Sheet1!$U$5-Sheet1!$N$5,FALSE),VLOOKUP($G155,Sheet1!$I$7:$N$133,Sheet1!$N$5-Sheet1!$H$5,FALSE)))</f>
        <v/>
      </c>
      <c r="K155" s="610" t="str">
        <f>IF(OR($G155="",$G155="小計"),"",IF(VLOOKUP($G155,請求Data!$I$11:$AR$160,請求Data!$AR$10-請求Data!$H$10,FALSE)="","",VLOOKUP($G155,請求Data!$I$11:$AR$160,請求Data!$AR$10-請求Data!$H$10,FALSE)))</f>
        <v/>
      </c>
    </row>
    <row r="156" spans="1:11">
      <c r="A156" s="481">
        <v>147</v>
      </c>
      <c r="B156" s="477" t="str">
        <f t="shared" si="2"/>
        <v/>
      </c>
      <c r="D156" s="844" t="str">
        <f>IF(OR($G156="",$G156="小計"),"",INDEX(請求Data!$T$11:$T$160,MATCH($G156,請求Data!$I$11:$I$160,0))&amp;"")</f>
        <v/>
      </c>
      <c r="E156" s="844"/>
      <c r="F156" s="75"/>
      <c r="G156" s="147" t="str">
        <f>IF(ISNA(MATCH($A156,Sheet1!$B$7:$B$133,0)),IF($A156&gt;MAX(Sheet1!$O$7:$O$133),"",IF($G155="小計","","小計")),IF($A156&gt;MAX(Sheet1!$B$7:$B$133),"",VLOOKUP($A156,Sheet1!$B$7:$U$133,Sheet1!$I$5-Sheet1!$A$5,FALSE)))</f>
        <v/>
      </c>
      <c r="H156" s="243" t="str">
        <f>IF($G156="","",IF($G156="小計",VLOOKUP($A156,Sheet1!$O$7:$U$133,Sheet1!$S$5-Sheet1!$N$5,FALSE),VLOOKUP($G156,Sheet1!$I$7:$N$133,Sheet1!$L$5-Sheet1!$H$5,FALSE)))</f>
        <v/>
      </c>
      <c r="I156" s="243" t="str">
        <f>IF($G156="","",IF($G156="小計",VLOOKUP($A156,Sheet1!$O$7:$U$133,Sheet1!$T$5-Sheet1!$N$5,FALSE),VLOOKUP($G156,Sheet1!$I$7:$N$133,Sheet1!$M$5-Sheet1!$H$5,FALSE)))</f>
        <v/>
      </c>
      <c r="J156" s="243" t="str">
        <f>IF($G156="","",IF($G156="小計",VLOOKUP($A156,Sheet1!$O$7:$U$133,Sheet1!$U$5-Sheet1!$N$5,FALSE),VLOOKUP($G156,Sheet1!$I$7:$N$133,Sheet1!$N$5-Sheet1!$H$5,FALSE)))</f>
        <v/>
      </c>
      <c r="K156" s="610" t="str">
        <f>IF(OR($G156="",$G156="小計"),"",IF(VLOOKUP($G156,請求Data!$I$11:$AR$160,請求Data!$AR$10-請求Data!$H$10,FALSE)="","",VLOOKUP($G156,請求Data!$I$11:$AR$160,請求Data!$AR$10-請求Data!$H$10,FALSE)))</f>
        <v/>
      </c>
    </row>
    <row r="157" spans="1:11">
      <c r="A157" s="481">
        <v>148</v>
      </c>
      <c r="B157" s="477" t="str">
        <f t="shared" si="2"/>
        <v/>
      </c>
      <c r="D157" s="844" t="str">
        <f>IF(OR($G157="",$G157="小計"),"",INDEX(請求Data!$T$11:$T$160,MATCH($G157,請求Data!$I$11:$I$160,0))&amp;"")</f>
        <v/>
      </c>
      <c r="E157" s="844"/>
      <c r="F157" s="75"/>
      <c r="G157" s="147" t="str">
        <f>IF(ISNA(MATCH($A157,Sheet1!$B$7:$B$133,0)),IF($A157&gt;MAX(Sheet1!$O$7:$O$133),"",IF($G156="小計","","小計")),IF($A157&gt;MAX(Sheet1!$B$7:$B$133),"",VLOOKUP($A157,Sheet1!$B$7:$U$133,Sheet1!$I$5-Sheet1!$A$5,FALSE)))</f>
        <v/>
      </c>
      <c r="H157" s="243" t="str">
        <f>IF($G157="","",IF($G157="小計",VLOOKUP($A157,Sheet1!$O$7:$U$133,Sheet1!$S$5-Sheet1!$N$5,FALSE),VLOOKUP($G157,Sheet1!$I$7:$N$133,Sheet1!$L$5-Sheet1!$H$5,FALSE)))</f>
        <v/>
      </c>
      <c r="I157" s="243" t="str">
        <f>IF($G157="","",IF($G157="小計",VLOOKUP($A157,Sheet1!$O$7:$U$133,Sheet1!$T$5-Sheet1!$N$5,FALSE),VLOOKUP($G157,Sheet1!$I$7:$N$133,Sheet1!$M$5-Sheet1!$H$5,FALSE)))</f>
        <v/>
      </c>
      <c r="J157" s="243" t="str">
        <f>IF($G157="","",IF($G157="小計",VLOOKUP($A157,Sheet1!$O$7:$U$133,Sheet1!$U$5-Sheet1!$N$5,FALSE),VLOOKUP($G157,Sheet1!$I$7:$N$133,Sheet1!$N$5-Sheet1!$H$5,FALSE)))</f>
        <v/>
      </c>
      <c r="K157" s="610" t="str">
        <f>IF(OR($G157="",$G157="小計"),"",IF(VLOOKUP($G157,請求Data!$I$11:$AR$160,請求Data!$AR$10-請求Data!$H$10,FALSE)="","",VLOOKUP($G157,請求Data!$I$11:$AR$160,請求Data!$AR$10-請求Data!$H$10,FALSE)))</f>
        <v/>
      </c>
    </row>
    <row r="158" spans="1:11">
      <c r="A158" s="481">
        <v>149</v>
      </c>
      <c r="B158" s="477" t="str">
        <f t="shared" si="2"/>
        <v/>
      </c>
      <c r="D158" s="844" t="str">
        <f>IF(OR($G158="",$G158="小計"),"",INDEX(請求Data!$T$11:$T$160,MATCH($G158,請求Data!$I$11:$I$160,0))&amp;"")</f>
        <v/>
      </c>
      <c r="E158" s="844"/>
      <c r="F158" s="75"/>
      <c r="G158" s="147" t="str">
        <f>IF(ISNA(MATCH($A158,Sheet1!$B$7:$B$133,0)),IF($A158&gt;MAX(Sheet1!$O$7:$O$133),"",IF($G157="小計","","小計")),IF($A158&gt;MAX(Sheet1!$B$7:$B$133),"",VLOOKUP($A158,Sheet1!$B$7:$U$133,Sheet1!$I$5-Sheet1!$A$5,FALSE)))</f>
        <v/>
      </c>
      <c r="H158" s="243" t="str">
        <f>IF($G158="","",IF($G158="小計",VLOOKUP($A158,Sheet1!$O$7:$U$133,Sheet1!$S$5-Sheet1!$N$5,FALSE),VLOOKUP($G158,Sheet1!$I$7:$N$133,Sheet1!$L$5-Sheet1!$H$5,FALSE)))</f>
        <v/>
      </c>
      <c r="I158" s="243" t="str">
        <f>IF($G158="","",IF($G158="小計",VLOOKUP($A158,Sheet1!$O$7:$U$133,Sheet1!$T$5-Sheet1!$N$5,FALSE),VLOOKUP($G158,Sheet1!$I$7:$N$133,Sheet1!$M$5-Sheet1!$H$5,FALSE)))</f>
        <v/>
      </c>
      <c r="J158" s="243" t="str">
        <f>IF($G158="","",IF($G158="小計",VLOOKUP($A158,Sheet1!$O$7:$U$133,Sheet1!$U$5-Sheet1!$N$5,FALSE),VLOOKUP($G158,Sheet1!$I$7:$N$133,Sheet1!$N$5-Sheet1!$H$5,FALSE)))</f>
        <v/>
      </c>
      <c r="K158" s="610" t="str">
        <f>IF(OR($G158="",$G158="小計"),"",IF(VLOOKUP($G158,請求Data!$I$11:$AR$160,請求Data!$AR$10-請求Data!$H$10,FALSE)="","",VLOOKUP($G158,請求Data!$I$11:$AR$160,請求Data!$AR$10-請求Data!$H$10,FALSE)))</f>
        <v/>
      </c>
    </row>
    <row r="159" spans="1:11">
      <c r="A159" s="481">
        <v>150</v>
      </c>
      <c r="B159" s="477" t="str">
        <f t="shared" si="2"/>
        <v/>
      </c>
      <c r="D159" s="844" t="str">
        <f>IF(OR($G159="",$G159="小計"),"",INDEX(請求Data!$T$11:$T$160,MATCH($G159,請求Data!$I$11:$I$160,0))&amp;"")</f>
        <v/>
      </c>
      <c r="E159" s="844"/>
      <c r="F159" s="75"/>
      <c r="G159" s="147" t="str">
        <f>IF(ISNA(MATCH($A159,Sheet1!$B$7:$B$133,0)),IF($A159&gt;MAX(Sheet1!$O$7:$O$133),"",IF($G158="小計","","小計")),IF($A159&gt;MAX(Sheet1!$B$7:$B$133),"",VLOOKUP($A159,Sheet1!$B$7:$U$133,Sheet1!$I$5-Sheet1!$A$5,FALSE)))</f>
        <v/>
      </c>
      <c r="H159" s="243" t="str">
        <f>IF($G159="","",IF($G159="小計",VLOOKUP($A159,Sheet1!$O$7:$U$133,Sheet1!$S$5-Sheet1!$N$5,FALSE),VLOOKUP($G159,Sheet1!$I$7:$N$133,Sheet1!$L$5-Sheet1!$H$5,FALSE)))</f>
        <v/>
      </c>
      <c r="I159" s="243" t="str">
        <f>IF($G159="","",IF($G159="小計",VLOOKUP($A159,Sheet1!$O$7:$U$133,Sheet1!$T$5-Sheet1!$N$5,FALSE),VLOOKUP($G159,Sheet1!$I$7:$N$133,Sheet1!$M$5-Sheet1!$H$5,FALSE)))</f>
        <v/>
      </c>
      <c r="J159" s="243" t="str">
        <f>IF($G159="","",IF($G159="小計",VLOOKUP($A159,Sheet1!$O$7:$U$133,Sheet1!$U$5-Sheet1!$N$5,FALSE),VLOOKUP($G159,Sheet1!$I$7:$N$133,Sheet1!$N$5-Sheet1!$H$5,FALSE)))</f>
        <v/>
      </c>
      <c r="K159" s="610" t="str">
        <f>IF(OR($G159="",$G159="小計"),"",IF(VLOOKUP($G159,請求Data!$I$11:$AR$160,請求Data!$AR$10-請求Data!$H$10,FALSE)="","",VLOOKUP($G159,請求Data!$I$11:$AR$160,請求Data!$AR$10-請求Data!$H$10,FALSE)))</f>
        <v/>
      </c>
    </row>
    <row r="160" spans="1:11">
      <c r="A160" s="481">
        <v>151</v>
      </c>
      <c r="B160" s="477" t="str">
        <f t="shared" si="2"/>
        <v/>
      </c>
      <c r="D160" s="844" t="str">
        <f>IF(OR($G160="",$G160="小計"),"",INDEX(請求Data!$T$11:$T$160,MATCH($G160,請求Data!$I$11:$I$160,0))&amp;"")</f>
        <v/>
      </c>
      <c r="E160" s="844"/>
      <c r="F160" s="75"/>
      <c r="G160" s="147" t="str">
        <f>IF(ISNA(MATCH($A160,Sheet1!$B$7:$B$133,0)),IF($A160&gt;MAX(Sheet1!$O$7:$O$133),"",IF($G159="小計","","小計")),IF($A160&gt;MAX(Sheet1!$B$7:$B$133),"",VLOOKUP($A160,Sheet1!$B$7:$U$133,Sheet1!$I$5-Sheet1!$A$5,FALSE)))</f>
        <v/>
      </c>
      <c r="H160" s="243" t="str">
        <f>IF($G160="","",IF($G160="小計",VLOOKUP($A160,Sheet1!$O$7:$U$133,Sheet1!$S$5-Sheet1!$N$5,FALSE),VLOOKUP($G160,Sheet1!$I$7:$N$133,Sheet1!$L$5-Sheet1!$H$5,FALSE)))</f>
        <v/>
      </c>
      <c r="I160" s="243" t="str">
        <f>IF($G160="","",IF($G160="小計",VLOOKUP($A160,Sheet1!$O$7:$U$133,Sheet1!$T$5-Sheet1!$N$5,FALSE),VLOOKUP($G160,Sheet1!$I$7:$N$133,Sheet1!$M$5-Sheet1!$H$5,FALSE)))</f>
        <v/>
      </c>
      <c r="J160" s="243" t="str">
        <f>IF($G160="","",IF($G160="小計",VLOOKUP($A160,Sheet1!$O$7:$U$133,Sheet1!$U$5-Sheet1!$N$5,FALSE),VLOOKUP($G160,Sheet1!$I$7:$N$133,Sheet1!$N$5-Sheet1!$H$5,FALSE)))</f>
        <v/>
      </c>
      <c r="K160" s="610" t="str">
        <f>IF(OR($G160="",$G160="小計"),"",IF(VLOOKUP($G160,請求Data!$I$11:$AR$160,請求Data!$AR$10-請求Data!$H$10,FALSE)="","",VLOOKUP($G160,請求Data!$I$11:$AR$160,請求Data!$AR$10-請求Data!$H$10,FALSE)))</f>
        <v/>
      </c>
    </row>
    <row r="161" spans="1:11">
      <c r="A161" s="481">
        <v>152</v>
      </c>
      <c r="B161" s="477" t="str">
        <f t="shared" si="2"/>
        <v/>
      </c>
      <c r="D161" s="844" t="str">
        <f>IF(OR($G161="",$G161="小計"),"",INDEX(請求Data!$T$11:$T$160,MATCH($G161,請求Data!$I$11:$I$160,0))&amp;"")</f>
        <v/>
      </c>
      <c r="E161" s="844"/>
      <c r="F161" s="75"/>
      <c r="G161" s="147" t="str">
        <f>IF(ISNA(MATCH($A161,Sheet1!$B$7:$B$133,0)),IF($A161&gt;MAX(Sheet1!$O$7:$O$133),"",IF($G160="小計","","小計")),IF($A161&gt;MAX(Sheet1!$B$7:$B$133),"",VLOOKUP($A161,Sheet1!$B$7:$U$133,Sheet1!$I$5-Sheet1!$A$5,FALSE)))</f>
        <v/>
      </c>
      <c r="H161" s="243" t="str">
        <f>IF($G161="","",IF($G161="小計",VLOOKUP($A161,Sheet1!$O$7:$U$133,Sheet1!$S$5-Sheet1!$N$5,FALSE),VLOOKUP($G161,Sheet1!$I$7:$N$133,Sheet1!$L$5-Sheet1!$H$5,FALSE)))</f>
        <v/>
      </c>
      <c r="I161" s="243" t="str">
        <f>IF($G161="","",IF($G161="小計",VLOOKUP($A161,Sheet1!$O$7:$U$133,Sheet1!$T$5-Sheet1!$N$5,FALSE),VLOOKUP($G161,Sheet1!$I$7:$N$133,Sheet1!$M$5-Sheet1!$H$5,FALSE)))</f>
        <v/>
      </c>
      <c r="J161" s="243" t="str">
        <f>IF($G161="","",IF($G161="小計",VLOOKUP($A161,Sheet1!$O$7:$U$133,Sheet1!$U$5-Sheet1!$N$5,FALSE),VLOOKUP($G161,Sheet1!$I$7:$N$133,Sheet1!$N$5-Sheet1!$H$5,FALSE)))</f>
        <v/>
      </c>
      <c r="K161" s="610" t="str">
        <f>IF(OR($G161="",$G161="小計"),"",IF(VLOOKUP($G161,請求Data!$I$11:$AR$160,請求Data!$AR$10-請求Data!$H$10,FALSE)="","",VLOOKUP($G161,請求Data!$I$11:$AR$160,請求Data!$AR$10-請求Data!$H$10,FALSE)))</f>
        <v/>
      </c>
    </row>
    <row r="162" spans="1:11">
      <c r="A162" s="481">
        <v>153</v>
      </c>
      <c r="B162" s="477" t="str">
        <f t="shared" si="2"/>
        <v/>
      </c>
      <c r="D162" s="844" t="str">
        <f>IF(OR($G162="",$G162="小計"),"",INDEX(請求Data!$T$11:$T$160,MATCH($G162,請求Data!$I$11:$I$160,0))&amp;"")</f>
        <v/>
      </c>
      <c r="E162" s="844"/>
      <c r="F162" s="75"/>
      <c r="G162" s="147" t="str">
        <f>IF(ISNA(MATCH($A162,Sheet1!$B$7:$B$133,0)),IF($A162&gt;MAX(Sheet1!$O$7:$O$133),"",IF($G161="小計","","小計")),IF($A162&gt;MAX(Sheet1!$B$7:$B$133),"",VLOOKUP($A162,Sheet1!$B$7:$U$133,Sheet1!$I$5-Sheet1!$A$5,FALSE)))</f>
        <v/>
      </c>
      <c r="H162" s="243" t="str">
        <f>IF($G162="","",IF($G162="小計",VLOOKUP($A162,Sheet1!$O$7:$U$133,Sheet1!$S$5-Sheet1!$N$5,FALSE),VLOOKUP($G162,Sheet1!$I$7:$N$133,Sheet1!$L$5-Sheet1!$H$5,FALSE)))</f>
        <v/>
      </c>
      <c r="I162" s="243" t="str">
        <f>IF($G162="","",IF($G162="小計",VLOOKUP($A162,Sheet1!$O$7:$U$133,Sheet1!$T$5-Sheet1!$N$5,FALSE),VLOOKUP($G162,Sheet1!$I$7:$N$133,Sheet1!$M$5-Sheet1!$H$5,FALSE)))</f>
        <v/>
      </c>
      <c r="J162" s="243" t="str">
        <f>IF($G162="","",IF($G162="小計",VLOOKUP($A162,Sheet1!$O$7:$U$133,Sheet1!$U$5-Sheet1!$N$5,FALSE),VLOOKUP($G162,Sheet1!$I$7:$N$133,Sheet1!$N$5-Sheet1!$H$5,FALSE)))</f>
        <v/>
      </c>
      <c r="K162" s="610" t="str">
        <f>IF(OR($G162="",$G162="小計"),"",IF(VLOOKUP($G162,請求Data!$I$11:$AR$160,請求Data!$AR$10-請求Data!$H$10,FALSE)="","",VLOOKUP($G162,請求Data!$I$11:$AR$160,請求Data!$AR$10-請求Data!$H$10,FALSE)))</f>
        <v/>
      </c>
    </row>
    <row r="163" spans="1:11">
      <c r="A163" s="481">
        <v>154</v>
      </c>
      <c r="B163" s="477" t="str">
        <f t="shared" si="2"/>
        <v/>
      </c>
      <c r="D163" s="844" t="str">
        <f>IF(OR($G163="",$G163="小計"),"",INDEX(請求Data!$T$11:$T$160,MATCH($G163,請求Data!$I$11:$I$160,0))&amp;"")</f>
        <v/>
      </c>
      <c r="E163" s="844"/>
      <c r="F163" s="75"/>
      <c r="G163" s="147" t="str">
        <f>IF(ISNA(MATCH($A163,Sheet1!$B$7:$B$133,0)),IF($A163&gt;MAX(Sheet1!$O$7:$O$133),"",IF($G162="小計","","小計")),IF($A163&gt;MAX(Sheet1!$B$7:$B$133),"",VLOOKUP($A163,Sheet1!$B$7:$U$133,Sheet1!$I$5-Sheet1!$A$5,FALSE)))</f>
        <v/>
      </c>
      <c r="H163" s="243" t="str">
        <f>IF($G163="","",IF($G163="小計",VLOOKUP($A163,Sheet1!$O$7:$U$133,Sheet1!$S$5-Sheet1!$N$5,FALSE),VLOOKUP($G163,Sheet1!$I$7:$N$133,Sheet1!$L$5-Sheet1!$H$5,FALSE)))</f>
        <v/>
      </c>
      <c r="I163" s="243" t="str">
        <f>IF($G163="","",IF($G163="小計",VLOOKUP($A163,Sheet1!$O$7:$U$133,Sheet1!$T$5-Sheet1!$N$5,FALSE),VLOOKUP($G163,Sheet1!$I$7:$N$133,Sheet1!$M$5-Sheet1!$H$5,FALSE)))</f>
        <v/>
      </c>
      <c r="J163" s="243" t="str">
        <f>IF($G163="","",IF($G163="小計",VLOOKUP($A163,Sheet1!$O$7:$U$133,Sheet1!$U$5-Sheet1!$N$5,FALSE),VLOOKUP($G163,Sheet1!$I$7:$N$133,Sheet1!$N$5-Sheet1!$H$5,FALSE)))</f>
        <v/>
      </c>
      <c r="K163" s="610" t="str">
        <f>IF(OR($G163="",$G163="小計"),"",IF(VLOOKUP($G163,請求Data!$I$11:$AR$160,請求Data!$AR$10-請求Data!$H$10,FALSE)="","",VLOOKUP($G163,請求Data!$I$11:$AR$160,請求Data!$AR$10-請求Data!$H$10,FALSE)))</f>
        <v/>
      </c>
    </row>
    <row r="164" spans="1:11">
      <c r="A164" s="481">
        <v>155</v>
      </c>
      <c r="B164" s="477" t="str">
        <f t="shared" si="2"/>
        <v/>
      </c>
      <c r="D164" s="844" t="str">
        <f>IF(OR($G164="",$G164="小計"),"",INDEX(請求Data!$T$11:$T$160,MATCH($G164,請求Data!$I$11:$I$160,0))&amp;"")</f>
        <v/>
      </c>
      <c r="E164" s="844"/>
      <c r="F164" s="75"/>
      <c r="G164" s="147" t="str">
        <f>IF(ISNA(MATCH($A164,Sheet1!$B$7:$B$133,0)),IF($A164&gt;MAX(Sheet1!$O$7:$O$133),"",IF($G163="小計","","小計")),IF($A164&gt;MAX(Sheet1!$B$7:$B$133),"",VLOOKUP($A164,Sheet1!$B$7:$U$133,Sheet1!$I$5-Sheet1!$A$5,FALSE)))</f>
        <v/>
      </c>
      <c r="H164" s="243" t="str">
        <f>IF($G164="","",IF($G164="小計",VLOOKUP($A164,Sheet1!$O$7:$U$133,Sheet1!$S$5-Sheet1!$N$5,FALSE),VLOOKUP($G164,Sheet1!$I$7:$N$133,Sheet1!$L$5-Sheet1!$H$5,FALSE)))</f>
        <v/>
      </c>
      <c r="I164" s="243" t="str">
        <f>IF($G164="","",IF($G164="小計",VLOOKUP($A164,Sheet1!$O$7:$U$133,Sheet1!$T$5-Sheet1!$N$5,FALSE),VLOOKUP($G164,Sheet1!$I$7:$N$133,Sheet1!$M$5-Sheet1!$H$5,FALSE)))</f>
        <v/>
      </c>
      <c r="J164" s="243" t="str">
        <f>IF($G164="","",IF($G164="小計",VLOOKUP($A164,Sheet1!$O$7:$U$133,Sheet1!$U$5-Sheet1!$N$5,FALSE),VLOOKUP($G164,Sheet1!$I$7:$N$133,Sheet1!$N$5-Sheet1!$H$5,FALSE)))</f>
        <v/>
      </c>
      <c r="K164" s="610" t="str">
        <f>IF(OR($G164="",$G164="小計"),"",IF(VLOOKUP($G164,請求Data!$I$11:$AR$160,請求Data!$AR$10-請求Data!$H$10,FALSE)="","",VLOOKUP($G164,請求Data!$I$11:$AR$160,請求Data!$AR$10-請求Data!$H$10,FALSE)))</f>
        <v/>
      </c>
    </row>
    <row r="165" spans="1:11" s="7" customFormat="1">
      <c r="A165" s="481">
        <v>156</v>
      </c>
      <c r="B165" s="477" t="str">
        <f t="shared" si="2"/>
        <v/>
      </c>
      <c r="C165" s="64"/>
      <c r="D165" s="844" t="str">
        <f>IF(OR($G165="",$G165="小計"),"",INDEX(請求Data!$T$11:$T$160,MATCH($G165,請求Data!$I$11:$I$160,0))&amp;"")</f>
        <v/>
      </c>
      <c r="E165" s="844"/>
      <c r="F165" s="75"/>
      <c r="G165" s="147" t="str">
        <f>IF(ISNA(MATCH($A165,Sheet1!$B$7:$B$133,0)),IF($A165&gt;MAX(Sheet1!$O$7:$O$133),"",IF($G164="小計","","小計")),IF($A165&gt;MAX(Sheet1!$B$7:$B$133),"",VLOOKUP($A165,Sheet1!$B$7:$U$133,Sheet1!$I$5-Sheet1!$A$5,FALSE)))</f>
        <v/>
      </c>
      <c r="H165" s="243" t="str">
        <f>IF($G165="","",IF($G165="小計",VLOOKUP($A165,Sheet1!$O$7:$U$133,Sheet1!$S$5-Sheet1!$N$5,FALSE),VLOOKUP($G165,Sheet1!$I$7:$N$133,Sheet1!$L$5-Sheet1!$H$5,FALSE)))</f>
        <v/>
      </c>
      <c r="I165" s="243" t="str">
        <f>IF($G165="","",IF($G165="小計",VLOOKUP($A165,Sheet1!$O$7:$U$133,Sheet1!$T$5-Sheet1!$N$5,FALSE),VLOOKUP($G165,Sheet1!$I$7:$N$133,Sheet1!$M$5-Sheet1!$H$5,FALSE)))</f>
        <v/>
      </c>
      <c r="J165" s="243" t="str">
        <f>IF($G165="","",IF($G165="小計",VLOOKUP($A165,Sheet1!$O$7:$U$133,Sheet1!$U$5-Sheet1!$N$5,FALSE),VLOOKUP($G165,Sheet1!$I$7:$N$133,Sheet1!$N$5-Sheet1!$H$5,FALSE)))</f>
        <v/>
      </c>
      <c r="K165" s="610" t="str">
        <f>IF(OR($G165="",$G165="小計"),"",IF(VLOOKUP($G165,請求Data!$I$11:$AR$160,請求Data!$AR$10-請求Data!$H$10,FALSE)="","",VLOOKUP($G165,請求Data!$I$11:$AR$160,請求Data!$AR$10-請求Data!$H$10,FALSE)))</f>
        <v/>
      </c>
    </row>
    <row r="166" spans="1:11">
      <c r="A166" s="481">
        <v>157</v>
      </c>
      <c r="B166" s="477" t="str">
        <f t="shared" si="2"/>
        <v/>
      </c>
      <c r="D166" s="844" t="str">
        <f>IF(OR($G166="",$G166="小計"),"",INDEX(請求Data!$T$11:$T$160,MATCH($G166,請求Data!$I$11:$I$160,0))&amp;"")</f>
        <v/>
      </c>
      <c r="E166" s="844"/>
      <c r="F166" s="75"/>
      <c r="G166" s="147" t="str">
        <f>IF(ISNA(MATCH($A166,Sheet1!$B$7:$B$133,0)),IF($A166&gt;MAX(Sheet1!$O$7:$O$133),"",IF($G165="小計","","小計")),IF($A166&gt;MAX(Sheet1!$B$7:$B$133),"",VLOOKUP($A166,Sheet1!$B$7:$U$133,Sheet1!$I$5-Sheet1!$A$5,FALSE)))</f>
        <v/>
      </c>
      <c r="H166" s="243" t="str">
        <f>IF($G166="","",IF($G166="小計",VLOOKUP($A166,Sheet1!$O$7:$U$133,Sheet1!$S$5-Sheet1!$N$5,FALSE),VLOOKUP($G166,Sheet1!$I$7:$N$133,Sheet1!$L$5-Sheet1!$H$5,FALSE)))</f>
        <v/>
      </c>
      <c r="I166" s="243" t="str">
        <f>IF($G166="","",IF($G166="小計",VLOOKUP($A166,Sheet1!$O$7:$U$133,Sheet1!$T$5-Sheet1!$N$5,FALSE),VLOOKUP($G166,Sheet1!$I$7:$N$133,Sheet1!$M$5-Sheet1!$H$5,FALSE)))</f>
        <v/>
      </c>
      <c r="J166" s="243" t="str">
        <f>IF($G166="","",IF($G166="小計",VLOOKUP($A166,Sheet1!$O$7:$U$133,Sheet1!$U$5-Sheet1!$N$5,FALSE),VLOOKUP($G166,Sheet1!$I$7:$N$133,Sheet1!$N$5-Sheet1!$H$5,FALSE)))</f>
        <v/>
      </c>
      <c r="K166" s="610" t="str">
        <f>IF(OR($G166="",$G166="小計"),"",IF(VLOOKUP($G166,請求Data!$I$11:$AR$160,請求Data!$AR$10-請求Data!$H$10,FALSE)="","",VLOOKUP($G166,請求Data!$I$11:$AR$160,請求Data!$AR$10-請求Data!$H$10,FALSE)))</f>
        <v/>
      </c>
    </row>
    <row r="167" spans="1:11">
      <c r="A167" s="481">
        <v>450</v>
      </c>
      <c r="B167" s="477" t="str">
        <f t="shared" ref="B167:B177" si="3">IF($J167="",IF($J166="","",1),1)</f>
        <v/>
      </c>
      <c r="D167" s="494" t="s">
        <v>143</v>
      </c>
      <c r="E167" s="495"/>
      <c r="F167" s="241"/>
      <c r="G167" s="496"/>
      <c r="H167" s="497"/>
      <c r="I167" s="497"/>
      <c r="J167" s="276" t="str">
        <f>IF($G167="","",$H167+$I167)</f>
        <v/>
      </c>
      <c r="K167" s="499"/>
    </row>
    <row r="168" spans="1:11">
      <c r="A168" s="482">
        <v>451</v>
      </c>
      <c r="B168" s="477" t="str">
        <f t="shared" si="3"/>
        <v/>
      </c>
      <c r="D168" s="494"/>
      <c r="E168" s="495"/>
      <c r="F168" s="241"/>
      <c r="G168" s="496"/>
      <c r="H168" s="497"/>
      <c r="I168" s="498"/>
      <c r="J168" s="276" t="str">
        <f>IF($G168="","",$H168+$I168)</f>
        <v/>
      </c>
      <c r="K168" s="499"/>
    </row>
    <row r="169" spans="1:11">
      <c r="A169" s="481">
        <v>452</v>
      </c>
      <c r="B169" s="477" t="str">
        <f t="shared" si="3"/>
        <v/>
      </c>
      <c r="D169" s="494"/>
      <c r="E169" s="495"/>
      <c r="F169" s="241"/>
      <c r="G169" s="496"/>
      <c r="H169" s="497"/>
      <c r="I169" s="498"/>
      <c r="J169" s="276" t="str">
        <f>IF($G169="","",$H169+$I169)</f>
        <v/>
      </c>
      <c r="K169" s="499"/>
    </row>
    <row r="170" spans="1:11">
      <c r="A170" s="482">
        <v>453</v>
      </c>
      <c r="B170" s="477">
        <f t="shared" si="3"/>
        <v>1</v>
      </c>
      <c r="D170" s="73"/>
      <c r="E170" s="7"/>
      <c r="F170" s="66"/>
      <c r="G170" s="74" t="s">
        <v>144</v>
      </c>
      <c r="H170" s="275">
        <f>SUM($H$167:$H$169)</f>
        <v>0</v>
      </c>
      <c r="I170" s="275">
        <f>SUM($I$167:$I$169)</f>
        <v>0</v>
      </c>
      <c r="J170" s="275">
        <f>SUM($J$167:$J$169)</f>
        <v>0</v>
      </c>
      <c r="K170" s="77"/>
    </row>
    <row r="171" spans="1:11" s="357" customFormat="1">
      <c r="A171" s="481">
        <v>454</v>
      </c>
      <c r="B171" s="390">
        <f t="shared" si="3"/>
        <v>1</v>
      </c>
      <c r="C171" s="415"/>
      <c r="D171" s="413"/>
      <c r="E171" s="413"/>
      <c r="F171" s="413"/>
      <c r="G171" s="426"/>
      <c r="H171" s="427"/>
      <c r="I171" s="427"/>
      <c r="J171" s="427"/>
      <c r="K171" s="422"/>
    </row>
    <row r="172" spans="1:11">
      <c r="A172" s="482">
        <v>455</v>
      </c>
      <c r="B172" s="477" t="str">
        <f t="shared" si="3"/>
        <v/>
      </c>
      <c r="D172" s="494"/>
      <c r="E172" s="495"/>
      <c r="F172" s="241"/>
      <c r="G172" s="496"/>
      <c r="H172" s="497"/>
      <c r="I172" s="497"/>
      <c r="J172" s="276" t="str">
        <f>IF($G172="","",$H172+$I172)</f>
        <v/>
      </c>
      <c r="K172" s="77"/>
    </row>
    <row r="173" spans="1:11">
      <c r="A173" s="481">
        <v>456</v>
      </c>
      <c r="B173" s="477" t="str">
        <f t="shared" si="3"/>
        <v/>
      </c>
      <c r="D173" s="494"/>
      <c r="E173" s="495"/>
      <c r="F173" s="241"/>
      <c r="G173" s="496"/>
      <c r="H173" s="497"/>
      <c r="I173" s="498"/>
      <c r="J173" s="276" t="str">
        <f>IF($G173="","",$H173+$I173)</f>
        <v/>
      </c>
      <c r="K173" s="77"/>
    </row>
    <row r="174" spans="1:11">
      <c r="A174" s="482">
        <v>457</v>
      </c>
      <c r="B174" s="477" t="str">
        <f t="shared" si="3"/>
        <v/>
      </c>
      <c r="D174" s="494"/>
      <c r="E174" s="495"/>
      <c r="F174" s="241"/>
      <c r="G174" s="496"/>
      <c r="H174" s="497"/>
      <c r="I174" s="498"/>
      <c r="J174" s="276" t="str">
        <f>IF($G174="","",$H174+$I174)</f>
        <v/>
      </c>
      <c r="K174" s="77"/>
    </row>
    <row r="175" spans="1:11">
      <c r="A175" s="481">
        <v>458</v>
      </c>
      <c r="B175" s="477">
        <f t="shared" si="3"/>
        <v>1</v>
      </c>
      <c r="D175" s="73"/>
      <c r="E175" s="7"/>
      <c r="F175" s="66"/>
      <c r="G175" s="74" t="s">
        <v>144</v>
      </c>
      <c r="H175" s="275">
        <f>SUM($H$172:$H$174)</f>
        <v>0</v>
      </c>
      <c r="I175" s="275">
        <f>SUM($I$172:$I$174)</f>
        <v>0</v>
      </c>
      <c r="J175" s="275">
        <f>SUM($J$172:$J$174)</f>
        <v>0</v>
      </c>
      <c r="K175" s="77"/>
    </row>
    <row r="176" spans="1:11" s="7" customFormat="1">
      <c r="A176" s="482">
        <v>459</v>
      </c>
      <c r="B176" s="477">
        <f t="shared" si="3"/>
        <v>1</v>
      </c>
      <c r="C176" s="64"/>
      <c r="D176" s="75"/>
      <c r="E176" s="75"/>
      <c r="F176" s="75"/>
      <c r="G176" s="147"/>
      <c r="H176" s="243"/>
      <c r="I176" s="243"/>
      <c r="J176" s="243"/>
      <c r="K176" s="77"/>
    </row>
    <row r="177" spans="1:11" s="7" customFormat="1">
      <c r="A177" s="481">
        <v>460</v>
      </c>
      <c r="B177" s="477">
        <f t="shared" si="3"/>
        <v>1</v>
      </c>
      <c r="C177" s="64"/>
      <c r="D177" s="65"/>
      <c r="E177" s="7" t="s">
        <v>146</v>
      </c>
      <c r="F177" s="66"/>
      <c r="G177" s="72"/>
      <c r="H177" s="275">
        <f>SUM($H$10:$H$176)-SUMIF($G$10:$G$176,"小計",$H$10:$H$176)</f>
        <v>60376663</v>
      </c>
      <c r="I177" s="275">
        <f>SUM($I$10:$I$176)-SUMIF($G$10:$G$176,"小計",$I$10:$I$176)</f>
        <v>4705653</v>
      </c>
      <c r="J177" s="275">
        <f>SUM($J$10:$J$176)-SUMIF($G$10:$G$176,"小計",$J$10:$J$176)</f>
        <v>65082316</v>
      </c>
      <c r="K177" s="77"/>
    </row>
    <row r="178" spans="1:11" s="7" customFormat="1">
      <c r="A178" s="482">
        <v>461</v>
      </c>
      <c r="B178" s="476">
        <v>9</v>
      </c>
      <c r="C178" s="64"/>
      <c r="D178" s="414"/>
      <c r="E178" s="357"/>
      <c r="F178" s="420"/>
      <c r="G178" s="421"/>
      <c r="H178" s="357"/>
      <c r="I178" s="357"/>
      <c r="J178" s="357"/>
      <c r="K178" s="422"/>
    </row>
    <row r="179" spans="1:11" s="7" customFormat="1">
      <c r="A179" s="481">
        <v>462</v>
      </c>
      <c r="B179" s="476">
        <v>9</v>
      </c>
      <c r="C179" s="64"/>
      <c r="D179" s="414"/>
      <c r="E179" s="357"/>
      <c r="F179" s="420"/>
      <c r="G179" s="421"/>
      <c r="H179" s="357"/>
      <c r="I179" s="357"/>
      <c r="J179" s="357"/>
      <c r="K179" s="422"/>
    </row>
    <row r="180" spans="1:11">
      <c r="A180" s="482">
        <v>463</v>
      </c>
      <c r="B180" s="477" t="str">
        <f>IF($J180="","",1)</f>
        <v/>
      </c>
      <c r="E180" s="64" t="s">
        <v>130</v>
      </c>
      <c r="F180" s="64"/>
      <c r="G180" s="494"/>
      <c r="H180" s="498"/>
      <c r="I180" s="497"/>
      <c r="J180" s="497"/>
      <c r="K180"/>
    </row>
    <row r="181" spans="1:11">
      <c r="A181" s="481">
        <v>464</v>
      </c>
      <c r="B181" s="477" t="str">
        <f>IF($J181="","",1)</f>
        <v/>
      </c>
      <c r="E181" s="64" t="s">
        <v>131</v>
      </c>
      <c r="F181" s="64"/>
      <c r="G181" s="494"/>
      <c r="H181" s="498"/>
      <c r="I181" s="497"/>
      <c r="J181" s="497"/>
      <c r="K181"/>
    </row>
    <row r="182" spans="1:11" ht="13.8" thickBot="1">
      <c r="A182" s="482">
        <v>465</v>
      </c>
      <c r="B182" s="477" t="str">
        <f>IF($J182="","",1)</f>
        <v/>
      </c>
      <c r="E182" s="64" t="s">
        <v>132</v>
      </c>
      <c r="F182" s="64"/>
      <c r="G182" s="494"/>
      <c r="H182" s="498"/>
      <c r="I182" s="497"/>
      <c r="J182" s="497"/>
      <c r="K182"/>
    </row>
    <row r="183" spans="1:11" ht="13.8" thickBot="1">
      <c r="A183" s="481">
        <v>466</v>
      </c>
      <c r="B183" s="477">
        <f>IF($J183="","",1)</f>
        <v>1</v>
      </c>
      <c r="F183" s="242"/>
      <c r="G183" s="66" t="s">
        <v>463</v>
      </c>
      <c r="H183" s="196">
        <f>$H$177+$H$180+$H$181-$H$182</f>
        <v>60376663</v>
      </c>
      <c r="I183" s="197">
        <f>$I$177+$I$180+$I$181-$I$182</f>
        <v>4705653</v>
      </c>
      <c r="J183" s="198">
        <f>$J$177+$J$180+$J$181-$J$182</f>
        <v>65082316</v>
      </c>
    </row>
    <row r="184" spans="1:11">
      <c r="A184" s="482">
        <v>467</v>
      </c>
      <c r="B184" s="477" t="str">
        <f>IF(OR($J184="",$J184=0),"",1)</f>
        <v/>
      </c>
      <c r="D184" s="68" t="s">
        <v>149</v>
      </c>
      <c r="E184" s="500" t="s">
        <v>378</v>
      </c>
      <c r="F184" s="494" t="s">
        <v>152</v>
      </c>
      <c r="G184" s="500" t="s">
        <v>379</v>
      </c>
      <c r="H184" s="501"/>
      <c r="I184" s="501"/>
      <c r="J184" s="275">
        <f t="shared" ref="J184:J199" si="4">$H184+$I184</f>
        <v>0</v>
      </c>
      <c r="K184" s="8" t="s">
        <v>380</v>
      </c>
    </row>
    <row r="185" spans="1:11">
      <c r="A185" s="481">
        <v>468</v>
      </c>
      <c r="B185" s="477" t="str">
        <f t="shared" ref="B185:B208" si="5">IF(OR($J185="",$J185=0),"",1)</f>
        <v/>
      </c>
      <c r="D185" s="165"/>
      <c r="E185" s="502"/>
      <c r="F185" s="494" t="s">
        <v>152</v>
      </c>
      <c r="G185" s="500"/>
      <c r="H185" s="501"/>
      <c r="I185" s="501"/>
      <c r="J185" s="275">
        <f t="shared" si="4"/>
        <v>0</v>
      </c>
      <c r="K185" s="88"/>
    </row>
    <row r="186" spans="1:11">
      <c r="A186" s="482">
        <v>469</v>
      </c>
      <c r="B186" s="477" t="str">
        <f t="shared" si="5"/>
        <v/>
      </c>
      <c r="D186" s="68" t="s">
        <v>133</v>
      </c>
      <c r="E186" s="500"/>
      <c r="F186" s="494" t="s">
        <v>464</v>
      </c>
      <c r="G186" s="500" t="s">
        <v>452</v>
      </c>
      <c r="H186" s="501"/>
      <c r="I186" s="501"/>
      <c r="J186" s="275">
        <f t="shared" si="4"/>
        <v>0</v>
      </c>
      <c r="K186" s="88"/>
    </row>
    <row r="187" spans="1:11">
      <c r="A187" s="481">
        <v>470</v>
      </c>
      <c r="B187" s="477" t="str">
        <f t="shared" si="5"/>
        <v/>
      </c>
      <c r="D187" s="7"/>
      <c r="E187" s="502"/>
      <c r="F187" s="494" t="s">
        <v>151</v>
      </c>
      <c r="G187" s="500"/>
      <c r="H187" s="501"/>
      <c r="I187" s="501"/>
      <c r="J187" s="275">
        <f t="shared" si="4"/>
        <v>0</v>
      </c>
      <c r="K187" s="88"/>
    </row>
    <row r="188" spans="1:11">
      <c r="A188" s="482">
        <v>471</v>
      </c>
      <c r="B188" s="477" t="str">
        <f t="shared" si="5"/>
        <v/>
      </c>
      <c r="D188" s="165"/>
      <c r="E188" s="502"/>
      <c r="F188" s="494" t="s">
        <v>151</v>
      </c>
      <c r="G188" s="500"/>
      <c r="H188" s="501"/>
      <c r="I188" s="501"/>
      <c r="J188" s="275">
        <f t="shared" si="4"/>
        <v>0</v>
      </c>
      <c r="K188" s="88"/>
    </row>
    <row r="189" spans="1:11">
      <c r="A189" s="481">
        <v>472</v>
      </c>
      <c r="B189" s="477" t="str">
        <f t="shared" si="5"/>
        <v/>
      </c>
      <c r="D189" s="165"/>
      <c r="E189" s="502"/>
      <c r="F189" s="494" t="s">
        <v>151</v>
      </c>
      <c r="G189" s="500"/>
      <c r="H189" s="501"/>
      <c r="I189" s="501"/>
      <c r="J189" s="275">
        <f t="shared" si="4"/>
        <v>0</v>
      </c>
      <c r="K189" s="88"/>
    </row>
    <row r="190" spans="1:11">
      <c r="A190" s="482">
        <v>473</v>
      </c>
      <c r="B190" s="477" t="str">
        <f t="shared" si="5"/>
        <v/>
      </c>
      <c r="D190" s="68" t="s">
        <v>148</v>
      </c>
      <c r="E190" s="500"/>
      <c r="F190" s="494" t="s">
        <v>151</v>
      </c>
      <c r="G190" s="500"/>
      <c r="H190" s="501"/>
      <c r="I190" s="501"/>
      <c r="J190" s="275">
        <f t="shared" si="4"/>
        <v>0</v>
      </c>
      <c r="K190" s="88"/>
    </row>
    <row r="191" spans="1:11">
      <c r="A191" s="481">
        <v>474</v>
      </c>
      <c r="B191" s="477" t="str">
        <f t="shared" si="5"/>
        <v/>
      </c>
      <c r="D191" s="165"/>
      <c r="E191" s="502"/>
      <c r="F191" s="494" t="s">
        <v>151</v>
      </c>
      <c r="G191" s="500"/>
      <c r="H191" s="501"/>
      <c r="I191" s="501"/>
      <c r="J191" s="275">
        <f t="shared" si="4"/>
        <v>0</v>
      </c>
      <c r="K191" s="88"/>
    </row>
    <row r="192" spans="1:11">
      <c r="A192" s="482">
        <v>475</v>
      </c>
      <c r="B192" s="477" t="str">
        <f t="shared" si="5"/>
        <v/>
      </c>
      <c r="D192" s="165"/>
      <c r="E192" s="502"/>
      <c r="F192" s="494" t="s">
        <v>151</v>
      </c>
      <c r="G192" s="500"/>
      <c r="H192" s="501"/>
      <c r="I192" s="501"/>
      <c r="J192" s="275">
        <f t="shared" si="4"/>
        <v>0</v>
      </c>
      <c r="K192" s="88"/>
    </row>
    <row r="193" spans="1:11">
      <c r="A193" s="481">
        <v>476</v>
      </c>
      <c r="B193" s="477" t="str">
        <f t="shared" si="5"/>
        <v/>
      </c>
      <c r="D193" s="165"/>
      <c r="E193" s="502"/>
      <c r="F193" s="494" t="s">
        <v>151</v>
      </c>
      <c r="G193" s="500"/>
      <c r="H193" s="501"/>
      <c r="I193" s="501"/>
      <c r="J193" s="275">
        <f t="shared" si="4"/>
        <v>0</v>
      </c>
      <c r="K193" s="88"/>
    </row>
    <row r="194" spans="1:11">
      <c r="A194" s="482">
        <v>477</v>
      </c>
      <c r="B194" s="477" t="str">
        <f t="shared" si="5"/>
        <v/>
      </c>
      <c r="D194" s="165"/>
      <c r="E194" s="502"/>
      <c r="F194" s="494" t="s">
        <v>151</v>
      </c>
      <c r="G194" s="500"/>
      <c r="H194" s="501"/>
      <c r="I194" s="501"/>
      <c r="J194" s="275">
        <f t="shared" si="4"/>
        <v>0</v>
      </c>
      <c r="K194" s="88"/>
    </row>
    <row r="195" spans="1:11">
      <c r="A195" s="481">
        <v>478</v>
      </c>
      <c r="B195" s="477" t="str">
        <f t="shared" si="5"/>
        <v/>
      </c>
      <c r="D195" s="68" t="s">
        <v>202</v>
      </c>
      <c r="E195" s="500"/>
      <c r="F195" s="494" t="s">
        <v>151</v>
      </c>
      <c r="G195" s="500"/>
      <c r="H195" s="501"/>
      <c r="I195" s="501"/>
      <c r="J195" s="275">
        <f t="shared" si="4"/>
        <v>0</v>
      </c>
      <c r="K195" s="88"/>
    </row>
    <row r="196" spans="1:11">
      <c r="A196" s="482">
        <v>479</v>
      </c>
      <c r="B196" s="477" t="str">
        <f t="shared" si="5"/>
        <v/>
      </c>
      <c r="D196" s="165"/>
      <c r="E196" s="502"/>
      <c r="F196" s="494" t="s">
        <v>151</v>
      </c>
      <c r="G196" s="500"/>
      <c r="H196" s="501"/>
      <c r="I196" s="501"/>
      <c r="J196" s="275">
        <f t="shared" si="4"/>
        <v>0</v>
      </c>
      <c r="K196" s="88"/>
    </row>
    <row r="197" spans="1:11">
      <c r="A197" s="481">
        <v>480</v>
      </c>
      <c r="B197" s="477" t="str">
        <f t="shared" si="5"/>
        <v/>
      </c>
      <c r="D197" s="165"/>
      <c r="E197" s="502"/>
      <c r="F197" s="494" t="s">
        <v>151</v>
      </c>
      <c r="G197" s="500"/>
      <c r="H197" s="501"/>
      <c r="I197" s="501"/>
      <c r="J197" s="275">
        <f t="shared" si="4"/>
        <v>0</v>
      </c>
      <c r="K197" s="88"/>
    </row>
    <row r="198" spans="1:11">
      <c r="A198" s="482">
        <v>481</v>
      </c>
      <c r="B198" s="477" t="str">
        <f t="shared" si="5"/>
        <v/>
      </c>
      <c r="D198" s="165"/>
      <c r="E198" s="502"/>
      <c r="F198" s="494" t="s">
        <v>151</v>
      </c>
      <c r="G198" s="500"/>
      <c r="H198" s="501"/>
      <c r="I198" s="501"/>
      <c r="J198" s="275">
        <f t="shared" si="4"/>
        <v>0</v>
      </c>
      <c r="K198" s="88"/>
    </row>
    <row r="199" spans="1:11">
      <c r="A199" s="481">
        <v>482</v>
      </c>
      <c r="B199" s="477" t="str">
        <f t="shared" si="5"/>
        <v/>
      </c>
      <c r="D199" s="165"/>
      <c r="E199" s="502"/>
      <c r="F199" s="494" t="s">
        <v>151</v>
      </c>
      <c r="G199" s="500"/>
      <c r="H199" s="501"/>
      <c r="I199" s="501"/>
      <c r="J199" s="275">
        <f t="shared" si="4"/>
        <v>0</v>
      </c>
      <c r="K199" s="88"/>
    </row>
    <row r="200" spans="1:11" s="7" customFormat="1">
      <c r="A200" s="482">
        <v>483</v>
      </c>
      <c r="B200" s="477" t="str">
        <f t="shared" si="5"/>
        <v/>
      </c>
      <c r="C200" s="64"/>
      <c r="D200" s="7" t="s">
        <v>145</v>
      </c>
      <c r="E200" s="503"/>
      <c r="F200" s="494" t="s">
        <v>151</v>
      </c>
      <c r="G200" s="500" t="s">
        <v>122</v>
      </c>
      <c r="H200" s="501"/>
      <c r="I200" s="501"/>
      <c r="J200" s="275">
        <f>$H200+$I200</f>
        <v>0</v>
      </c>
      <c r="K200" s="8"/>
    </row>
    <row r="201" spans="1:11" s="7" customFormat="1">
      <c r="A201" s="481">
        <v>484</v>
      </c>
      <c r="B201" s="477" t="str">
        <f t="shared" si="5"/>
        <v/>
      </c>
      <c r="C201" s="64"/>
      <c r="D201" s="7" t="s">
        <v>145</v>
      </c>
      <c r="E201" s="504"/>
      <c r="F201" s="494" t="s">
        <v>151</v>
      </c>
      <c r="G201" s="500" t="s">
        <v>147</v>
      </c>
      <c r="H201" s="275">
        <f>SUMIF($D$10:$D$175,"株式会社バンジハンエース",H10:H175)</f>
        <v>0</v>
      </c>
      <c r="I201" s="275">
        <f>SUMIF($D$10:$D$175,"株式会社バンジハンエース",I10:I175)</f>
        <v>0</v>
      </c>
      <c r="J201" s="275">
        <f>SUMIF($D$10:$D$175,"株式会社バンジハンエース",J10:J175)</f>
        <v>0</v>
      </c>
      <c r="K201" s="8"/>
    </row>
    <row r="202" spans="1:11" s="7" customFormat="1">
      <c r="A202" s="482">
        <v>485</v>
      </c>
      <c r="B202" s="477" t="str">
        <f t="shared" si="5"/>
        <v/>
      </c>
      <c r="C202" s="64"/>
      <c r="D202" s="7" t="s">
        <v>145</v>
      </c>
      <c r="E202" s="504"/>
      <c r="F202" s="494" t="s">
        <v>151</v>
      </c>
      <c r="G202" s="500" t="s">
        <v>171</v>
      </c>
      <c r="H202" s="275">
        <f>SUMIF($D$10:$D$175,"株式会社ティーケーホールディングス/経費",H10:H175)</f>
        <v>0</v>
      </c>
      <c r="I202" s="275">
        <f>SUMIF($D$10:$D$175,"株式会社ティーケーホールディングス/経費",I10:I175)</f>
        <v>0</v>
      </c>
      <c r="J202" s="275">
        <f>SUMIF($D$10:$D$175,"株式会社ティーケーホールディングス/経費",J10:J175)</f>
        <v>0</v>
      </c>
      <c r="K202" s="8"/>
    </row>
    <row r="203" spans="1:11" s="7" customFormat="1">
      <c r="A203" s="481">
        <v>486</v>
      </c>
      <c r="B203" s="477" t="str">
        <f t="shared" si="5"/>
        <v/>
      </c>
      <c r="C203" s="64"/>
      <c r="D203" s="7" t="s">
        <v>145</v>
      </c>
      <c r="E203" s="504" t="s">
        <v>384</v>
      </c>
      <c r="F203" s="494" t="s">
        <v>151</v>
      </c>
      <c r="G203" s="500" t="s">
        <v>450</v>
      </c>
      <c r="H203" s="501"/>
      <c r="I203" s="501"/>
      <c r="J203" s="275">
        <f t="shared" ref="J203:J208" si="6">$H203+$I203</f>
        <v>0</v>
      </c>
      <c r="K203" s="8" t="s">
        <v>453</v>
      </c>
    </row>
    <row r="204" spans="1:11" s="7" customFormat="1">
      <c r="A204" s="482">
        <v>487</v>
      </c>
      <c r="B204" s="477" t="str">
        <f t="shared" si="5"/>
        <v/>
      </c>
      <c r="C204" s="64"/>
      <c r="D204" s="7" t="s">
        <v>145</v>
      </c>
      <c r="E204" s="504" t="s">
        <v>278</v>
      </c>
      <c r="F204" s="494" t="s">
        <v>151</v>
      </c>
      <c r="G204" s="500" t="s">
        <v>451</v>
      </c>
      <c r="H204" s="501"/>
      <c r="I204" s="501"/>
      <c r="J204" s="275">
        <f t="shared" si="6"/>
        <v>0</v>
      </c>
      <c r="K204" s="8" t="s">
        <v>453</v>
      </c>
    </row>
    <row r="205" spans="1:11" s="7" customFormat="1">
      <c r="A205" s="481">
        <v>488</v>
      </c>
      <c r="B205" s="477" t="str">
        <f t="shared" si="5"/>
        <v/>
      </c>
      <c r="C205" s="64"/>
      <c r="D205" s="7" t="s">
        <v>145</v>
      </c>
      <c r="E205" s="504"/>
      <c r="F205" s="494" t="s">
        <v>151</v>
      </c>
      <c r="G205" s="500"/>
      <c r="H205" s="501"/>
      <c r="I205" s="501"/>
      <c r="J205" s="275">
        <f t="shared" si="6"/>
        <v>0</v>
      </c>
      <c r="K205" s="8"/>
    </row>
    <row r="206" spans="1:11" s="7" customFormat="1">
      <c r="A206" s="482">
        <v>489</v>
      </c>
      <c r="B206" s="477" t="str">
        <f t="shared" si="5"/>
        <v/>
      </c>
      <c r="C206" s="64"/>
      <c r="D206" s="7" t="s">
        <v>145</v>
      </c>
      <c r="E206" s="504" t="s">
        <v>382</v>
      </c>
      <c r="F206" s="494" t="s">
        <v>151</v>
      </c>
      <c r="G206" s="500" t="s">
        <v>381</v>
      </c>
      <c r="H206" s="501"/>
      <c r="I206" s="501"/>
      <c r="J206" s="275">
        <f t="shared" si="6"/>
        <v>0</v>
      </c>
      <c r="K206" s="8" t="s">
        <v>383</v>
      </c>
    </row>
    <row r="207" spans="1:11" s="7" customFormat="1">
      <c r="A207" s="481">
        <v>490</v>
      </c>
      <c r="B207" s="477" t="str">
        <f t="shared" si="5"/>
        <v/>
      </c>
      <c r="C207" s="64"/>
      <c r="D207" s="428"/>
      <c r="E207" s="504"/>
      <c r="F207" s="494" t="s">
        <v>152</v>
      </c>
      <c r="G207" s="500"/>
      <c r="H207" s="501"/>
      <c r="I207" s="501"/>
      <c r="J207" s="275">
        <f t="shared" si="6"/>
        <v>0</v>
      </c>
      <c r="K207" s="8"/>
    </row>
    <row r="208" spans="1:11" s="7" customFormat="1" ht="13.8" thickBot="1">
      <c r="A208" s="482">
        <v>491</v>
      </c>
      <c r="B208" s="477" t="str">
        <f t="shared" si="5"/>
        <v/>
      </c>
      <c r="C208" s="64"/>
      <c r="D208" s="428"/>
      <c r="E208" s="504"/>
      <c r="F208" s="494" t="s">
        <v>152</v>
      </c>
      <c r="G208" s="500"/>
      <c r="H208" s="501"/>
      <c r="I208" s="501"/>
      <c r="J208" s="275">
        <f t="shared" si="6"/>
        <v>0</v>
      </c>
    </row>
    <row r="209" spans="1:11" ht="13.8" thickBot="1">
      <c r="A209" s="481">
        <v>492</v>
      </c>
      <c r="B209" s="477">
        <f>IF($H209="","",1)</f>
        <v>1</v>
      </c>
      <c r="F209" s="146"/>
      <c r="G209" s="68" t="s">
        <v>134</v>
      </c>
      <c r="H209" s="199">
        <f>SUM($H$183:$H$185)-SUM($H$186:$H$206)+SUM($H$207:$H$208)</f>
        <v>60376663</v>
      </c>
      <c r="I209" s="200">
        <f>SUM($I$183:$I$185)-SUM($I$186:$I$206)+SUM($I$207:$I$208)</f>
        <v>4705653</v>
      </c>
      <c r="J209" s="201">
        <f>SUM($J$183:$J$185)-SUM($J$186:$J$206)+SUM($J$207:$J$208)</f>
        <v>65082316</v>
      </c>
    </row>
    <row r="210" spans="1:11">
      <c r="A210" s="482">
        <v>493</v>
      </c>
      <c r="B210" s="478">
        <v>1</v>
      </c>
      <c r="C210" s="415"/>
      <c r="D210" s="348"/>
      <c r="E210" s="411"/>
      <c r="F210" s="411"/>
      <c r="G210" s="415"/>
      <c r="H210" s="348"/>
      <c r="I210" s="348"/>
      <c r="J210" s="348"/>
    </row>
    <row r="211" spans="1:11">
      <c r="A211" s="481">
        <v>494</v>
      </c>
      <c r="B211" s="478">
        <v>1</v>
      </c>
      <c r="C211" s="415"/>
      <c r="D211" s="348"/>
      <c r="E211" s="411"/>
      <c r="F211" s="411"/>
      <c r="G211" s="415"/>
      <c r="H211" s="348"/>
      <c r="I211" s="348"/>
      <c r="J211" s="348"/>
    </row>
    <row r="212" spans="1:11">
      <c r="A212" s="482">
        <v>495</v>
      </c>
      <c r="B212" s="476">
        <v>1</v>
      </c>
      <c r="D212" s="165" t="s">
        <v>433</v>
      </c>
      <c r="E212" s="505" t="s">
        <v>434</v>
      </c>
      <c r="F212" s="506"/>
      <c r="G212" s="494"/>
      <c r="H212" s="114">
        <f>SUMIF($D$10:$D$166,$E212,$H$10:$H$166)-$H$200+$H$184-$H$186-$H$203</f>
        <v>0</v>
      </c>
      <c r="I212" s="114">
        <f>SUMIF($D$10:$D$166,$E212,$I$10:$I$166)-$I$200+$I$184-$I$186-$I$203</f>
        <v>0</v>
      </c>
      <c r="J212" s="114">
        <f>SUMIF($D$10:$D$166,$E212,$J$10:$J$166)-$J$200+$J$184-$J$186-$J$203</f>
        <v>0</v>
      </c>
      <c r="K212" s="240"/>
    </row>
    <row r="213" spans="1:11">
      <c r="A213" s="481">
        <v>496</v>
      </c>
      <c r="B213" s="477">
        <f t="shared" ref="B213:B217" si="7">IF(OR($J213="",$J213=0),"",1)</f>
        <v>1</v>
      </c>
      <c r="D213" s="7"/>
      <c r="E213" s="507" t="s">
        <v>513</v>
      </c>
      <c r="F213" s="506"/>
      <c r="G213" s="494"/>
      <c r="H213" s="114">
        <f>SUMIF($D$10:$D$166,$E213,$H$10:$H$166)</f>
        <v>3300000</v>
      </c>
      <c r="I213" s="114">
        <f>SUMIF($D$10:$D$166,$E213,$I$10:$I$166)</f>
        <v>264000</v>
      </c>
      <c r="J213" s="114">
        <f>SUMIF($D$10:$D$166,$E213,$J$10:$J$166)</f>
        <v>3564000</v>
      </c>
      <c r="K213" s="288"/>
    </row>
    <row r="214" spans="1:11">
      <c r="A214" s="482">
        <v>497</v>
      </c>
      <c r="B214" s="477" t="str">
        <f t="shared" si="7"/>
        <v/>
      </c>
      <c r="D214" s="7"/>
      <c r="E214" s="507" t="s">
        <v>435</v>
      </c>
      <c r="F214" s="506"/>
      <c r="G214" s="494"/>
      <c r="H214" s="114">
        <f>SUMIF($D$10:$D$166,$E214,$H$10:$H$166)</f>
        <v>0</v>
      </c>
      <c r="I214" s="114">
        <f>SUMIF($D$10:$D$166,$E214,$I$10:$I$166)</f>
        <v>0</v>
      </c>
      <c r="J214" s="114">
        <f>SUMIF($D$10:$D$166,$E214,$J$10:$J$166)</f>
        <v>0</v>
      </c>
      <c r="K214" s="289"/>
    </row>
    <row r="215" spans="1:11">
      <c r="A215" s="481">
        <v>498</v>
      </c>
      <c r="B215" s="477" t="str">
        <f t="shared" si="7"/>
        <v/>
      </c>
      <c r="D215" s="7"/>
      <c r="E215" s="507"/>
      <c r="F215" s="506"/>
      <c r="G215" s="494"/>
      <c r="H215" s="114">
        <f>SUMIF($D$10:$D$166,$E215,$H$10:$H$166)</f>
        <v>0</v>
      </c>
      <c r="I215" s="114">
        <f>SUMIF($D$10:$D$166,$E215,$I$10:$I$166)</f>
        <v>0</v>
      </c>
      <c r="J215" s="114">
        <f>SUMIF($D$10:$D$166,$E215,$J$10:$J$166)</f>
        <v>0</v>
      </c>
      <c r="K215" s="289"/>
    </row>
    <row r="216" spans="1:11">
      <c r="A216" s="482">
        <v>499</v>
      </c>
      <c r="B216" s="477" t="str">
        <f t="shared" si="7"/>
        <v/>
      </c>
      <c r="D216" s="7"/>
      <c r="E216" s="507"/>
      <c r="F216" s="506"/>
      <c r="G216" s="494"/>
      <c r="H216" s="114">
        <f>SUMIF($D$10:$D$166,$E216,$H$10:$H$166)</f>
        <v>0</v>
      </c>
      <c r="I216" s="114">
        <f>SUMIF($D$10:$D$166,$E216,$I$10:$I$166)</f>
        <v>0</v>
      </c>
      <c r="J216" s="114">
        <f>SUMIF($D$10:$D$166,$E216,$J$10:$J$166)</f>
        <v>0</v>
      </c>
      <c r="K216" s="289"/>
    </row>
    <row r="217" spans="1:11">
      <c r="A217" s="481">
        <v>500</v>
      </c>
      <c r="B217" s="477" t="str">
        <f t="shared" si="7"/>
        <v/>
      </c>
      <c r="D217" s="7"/>
      <c r="E217" s="507"/>
      <c r="F217" s="506"/>
      <c r="G217" s="494"/>
      <c r="H217" s="114">
        <f>SUMIF($D$10:$D$166,$E217,$H$10:$H$166)</f>
        <v>0</v>
      </c>
      <c r="I217" s="114">
        <f>SUMIF($D$10:$D$166,$E217,$I$10:$I$166)</f>
        <v>0</v>
      </c>
      <c r="J217" s="114">
        <f>SUMIF($D$10:$D$166,$E217,$J$10:$J$166)</f>
        <v>0</v>
      </c>
      <c r="K217" s="240"/>
    </row>
    <row r="218" spans="1:11">
      <c r="A218" s="482">
        <v>501</v>
      </c>
      <c r="B218" s="476">
        <v>1</v>
      </c>
      <c r="D218" s="7"/>
      <c r="E218" s="508" t="s">
        <v>547</v>
      </c>
      <c r="F218" s="509"/>
      <c r="G218" s="510"/>
      <c r="H218" s="297">
        <f>SUM($H$212:$H$217)</f>
        <v>3300000</v>
      </c>
      <c r="I218" s="297">
        <f>SUM($I$212:$I$217)</f>
        <v>264000</v>
      </c>
      <c r="J218" s="298">
        <f>SUM($J$212:$J$217)</f>
        <v>3564000</v>
      </c>
      <c r="K218" s="240"/>
    </row>
    <row r="219" spans="1:11">
      <c r="A219" s="481">
        <v>502</v>
      </c>
      <c r="B219" s="476">
        <v>1</v>
      </c>
      <c r="D219" s="7"/>
      <c r="E219" s="505" t="s">
        <v>12</v>
      </c>
      <c r="F219" s="506"/>
      <c r="G219" s="494"/>
      <c r="H219" s="114">
        <f>SUMIF($D$10:$D$166,$E219,$H$10:$H$166)</f>
        <v>0</v>
      </c>
      <c r="I219" s="114">
        <f>SUMIF($D$10:$D$166,$E219,$I$10:$I$166)</f>
        <v>0</v>
      </c>
      <c r="J219" s="114">
        <f>SUMIF($D$10:$D$166,$E219,$J$10:$J$166)</f>
        <v>0</v>
      </c>
      <c r="K219" s="240"/>
    </row>
    <row r="220" spans="1:11">
      <c r="A220" s="482">
        <v>503</v>
      </c>
      <c r="B220" s="476">
        <v>1</v>
      </c>
      <c r="D220" s="7"/>
      <c r="E220" s="511" t="s">
        <v>175</v>
      </c>
      <c r="F220" s="512"/>
      <c r="G220" s="512"/>
      <c r="H220" s="114">
        <f>SUMIF($D$10:$D$166,$E220,$H$10:$H$166)-$H$202</f>
        <v>0</v>
      </c>
      <c r="I220" s="114">
        <f>SUMIF($D$10:$D$166,$E220,$I$10:$I$166)-$I$202</f>
        <v>0</v>
      </c>
      <c r="J220" s="114">
        <f>SUMIF($D$10:$D$166,$E220,$J$10:$J$166)-$J$202</f>
        <v>0</v>
      </c>
    </row>
    <row r="221" spans="1:11">
      <c r="A221" s="481">
        <v>504</v>
      </c>
      <c r="B221" s="476">
        <v>1</v>
      </c>
      <c r="D221" s="7"/>
      <c r="E221" s="163" t="s">
        <v>150</v>
      </c>
      <c r="F221" s="146"/>
      <c r="H221" s="115">
        <f>$H$209-SUM($H$218:$H$220)</f>
        <v>57076663</v>
      </c>
      <c r="I221" s="115">
        <f>$I$209-SUM($I$218:$I$220)</f>
        <v>4441653</v>
      </c>
      <c r="J221" s="115">
        <f>$J$209-SUM($J$218:J$220)</f>
        <v>61518316</v>
      </c>
    </row>
    <row r="222" spans="1:11">
      <c r="A222" s="482">
        <v>505</v>
      </c>
      <c r="B222" s="476">
        <v>1</v>
      </c>
      <c r="F222" s="146"/>
      <c r="H222" s="348"/>
      <c r="I222" s="348"/>
      <c r="J222" s="348"/>
    </row>
    <row r="223" spans="1:11">
      <c r="A223" s="481">
        <v>506</v>
      </c>
      <c r="B223" s="476">
        <v>1</v>
      </c>
      <c r="E223" s="81"/>
      <c r="F223" s="146"/>
      <c r="H223" s="348"/>
      <c r="I223" s="348"/>
      <c r="J223" s="348"/>
    </row>
    <row r="224" spans="1:11">
      <c r="A224" s="482">
        <v>507</v>
      </c>
      <c r="B224" s="476">
        <v>1</v>
      </c>
      <c r="E224" s="146"/>
      <c r="F224" s="146"/>
      <c r="H224" s="348"/>
      <c r="I224" s="348"/>
      <c r="J224" s="348"/>
    </row>
    <row r="225" spans="1:11">
      <c r="A225" s="481">
        <v>508</v>
      </c>
      <c r="B225" s="476">
        <v>1</v>
      </c>
      <c r="E225" t="s">
        <v>206</v>
      </c>
      <c r="F225" s="144"/>
      <c r="G225" s="80"/>
      <c r="H225" s="80"/>
      <c r="I225" s="64"/>
      <c r="J225" s="348"/>
    </row>
    <row r="226" spans="1:11">
      <c r="A226" s="482">
        <v>509</v>
      </c>
      <c r="B226" s="476">
        <v>1</v>
      </c>
      <c r="E226" s="82" t="s">
        <v>207</v>
      </c>
      <c r="F226" s="848" t="s">
        <v>208</v>
      </c>
      <c r="G226" s="849"/>
      <c r="H226" s="848" t="s">
        <v>209</v>
      </c>
      <c r="I226" s="855"/>
      <c r="J226" s="424" t="s">
        <v>210</v>
      </c>
    </row>
    <row r="227" spans="1:11">
      <c r="A227" s="481">
        <v>510</v>
      </c>
      <c r="B227" s="476">
        <v>1</v>
      </c>
      <c r="E227" s="425"/>
      <c r="F227" s="853"/>
      <c r="G227" s="854"/>
      <c r="H227" s="856"/>
      <c r="I227" s="857"/>
      <c r="J227" s="83"/>
    </row>
    <row r="228" spans="1:11">
      <c r="A228" s="482">
        <v>511</v>
      </c>
      <c r="B228" s="476">
        <v>1</v>
      </c>
      <c r="E228" s="425"/>
      <c r="F228" s="848"/>
      <c r="G228" s="855"/>
      <c r="H228" s="856"/>
      <c r="I228" s="857"/>
      <c r="J228" s="83"/>
    </row>
    <row r="229" spans="1:11">
      <c r="A229" s="481">
        <v>512</v>
      </c>
      <c r="B229" s="476">
        <v>1</v>
      </c>
      <c r="E229" s="425"/>
      <c r="F229" s="848"/>
      <c r="G229" s="855"/>
      <c r="H229" s="856"/>
      <c r="I229" s="857"/>
      <c r="J229" s="83"/>
    </row>
    <row r="230" spans="1:11" ht="12.75" customHeight="1">
      <c r="A230" s="482">
        <v>513</v>
      </c>
      <c r="B230" s="476">
        <v>1</v>
      </c>
      <c r="E230"/>
      <c r="F230"/>
      <c r="G230"/>
      <c r="H230"/>
      <c r="I230"/>
      <c r="J230"/>
      <c r="K230" s="423"/>
    </row>
    <row r="231" spans="1:11">
      <c r="A231" s="481">
        <v>514</v>
      </c>
      <c r="B231" s="476">
        <v>1</v>
      </c>
      <c r="E231" t="s">
        <v>466</v>
      </c>
      <c r="G231" s="69"/>
      <c r="H231" s="348"/>
      <c r="I231" s="348"/>
      <c r="J231" s="348"/>
    </row>
    <row r="232" spans="1:11">
      <c r="A232" s="482">
        <v>515</v>
      </c>
      <c r="B232" s="477" t="str">
        <f>IF(OR($H232="",$H232=0),"",1)</f>
        <v/>
      </c>
      <c r="E232" s="845"/>
      <c r="F232" s="846"/>
      <c r="G232" s="513"/>
      <c r="H232" s="514"/>
      <c r="I232" s="514">
        <v>0</v>
      </c>
      <c r="J232" s="208" t="str">
        <f>IF($H232="","",$H232+$I232)</f>
        <v/>
      </c>
      <c r="K232"/>
    </row>
    <row r="233" spans="1:11">
      <c r="A233" s="481">
        <v>516</v>
      </c>
      <c r="B233" s="477" t="str">
        <f>IF(OR($H233="",$H233=0),"",1)</f>
        <v/>
      </c>
      <c r="E233" s="845"/>
      <c r="F233" s="846"/>
      <c r="G233" s="513"/>
      <c r="H233" s="514"/>
      <c r="I233" s="514">
        <v>0</v>
      </c>
      <c r="J233" s="208" t="str">
        <f>IF($H233="","",$H233+$I233)</f>
        <v/>
      </c>
      <c r="K233"/>
    </row>
    <row r="234" spans="1:11">
      <c r="A234" s="482">
        <v>517</v>
      </c>
      <c r="B234" s="477" t="str">
        <f>IF(OR($H234="",$H234=0),"",1)</f>
        <v/>
      </c>
      <c r="E234" s="845"/>
      <c r="F234" s="846"/>
      <c r="G234" s="513"/>
      <c r="H234" s="514"/>
      <c r="I234" s="514">
        <v>0</v>
      </c>
      <c r="J234" s="208" t="str">
        <f>IF($H234="","",$H234+$I234)</f>
        <v/>
      </c>
      <c r="K234"/>
    </row>
    <row r="235" spans="1:11">
      <c r="A235" s="481">
        <v>518</v>
      </c>
      <c r="B235" s="477" t="str">
        <f>IF(OR($H235="",$H235=0),"",1)</f>
        <v/>
      </c>
      <c r="E235" s="845"/>
      <c r="F235" s="846"/>
      <c r="G235" s="513"/>
      <c r="H235" s="514"/>
      <c r="I235" s="514">
        <v>0</v>
      </c>
      <c r="J235" s="208" t="str">
        <f>IF($H235="","",$H235+$I235)</f>
        <v/>
      </c>
      <c r="K235"/>
    </row>
    <row r="236" spans="1:11" s="7" customFormat="1">
      <c r="A236" s="483">
        <v>519</v>
      </c>
      <c r="B236" s="484" t="str">
        <f>IF(OR($H236="",$H236=0),"",1)</f>
        <v/>
      </c>
      <c r="C236" s="237"/>
      <c r="D236" s="80"/>
      <c r="E236" s="7" t="s">
        <v>129</v>
      </c>
      <c r="F236" s="139"/>
      <c r="G236" s="237"/>
      <c r="H236" s="70">
        <f>SUBTOTAL(9,$H$232:$H$235)</f>
        <v>0</v>
      </c>
      <c r="I236" s="70">
        <f>SUBTOTAL(9,$I$232:$I$235)</f>
        <v>0</v>
      </c>
      <c r="J236" s="70">
        <f>SUBTOTAL(9,$J$232:$J$235)</f>
        <v>0</v>
      </c>
      <c r="K236" s="80"/>
    </row>
    <row r="237" spans="1:11" s="348" customFormat="1">
      <c r="A237" s="482" t="s">
        <v>425</v>
      </c>
      <c r="B237" s="473"/>
      <c r="C237" s="415"/>
      <c r="E237" s="411"/>
      <c r="F237" s="411"/>
      <c r="G237" s="415"/>
      <c r="K237" s="349"/>
    </row>
    <row r="238" spans="1:11" s="348" customFormat="1">
      <c r="A238" s="482" t="s">
        <v>425</v>
      </c>
      <c r="B238" s="473"/>
      <c r="C238" s="415"/>
      <c r="E238" s="411"/>
      <c r="F238" s="411"/>
      <c r="G238" s="415"/>
      <c r="K238" s="349"/>
    </row>
    <row r="239" spans="1:11" s="348" customFormat="1">
      <c r="A239" s="482" t="s">
        <v>425</v>
      </c>
      <c r="B239" s="473"/>
      <c r="C239" s="415"/>
      <c r="E239" s="411"/>
      <c r="F239" s="411"/>
      <c r="G239" s="415"/>
    </row>
    <row r="240" spans="1:11" ht="19.2">
      <c r="A240" s="482" t="s">
        <v>425</v>
      </c>
      <c r="B240" s="476">
        <v>9</v>
      </c>
      <c r="D240" s="858">
        <f>$D$3</f>
        <v>43190</v>
      </c>
      <c r="E240" s="858"/>
      <c r="F240" s="858"/>
      <c r="G240" s="858"/>
      <c r="H240" s="858"/>
      <c r="I240" s="858"/>
      <c r="J240" s="858"/>
      <c r="K240" s="858"/>
    </row>
    <row r="241" spans="1:16" ht="19.2">
      <c r="A241" s="482" t="s">
        <v>425</v>
      </c>
      <c r="B241" s="476">
        <v>9</v>
      </c>
      <c r="D241" s="851">
        <f>$D240+15</f>
        <v>43205</v>
      </c>
      <c r="E241" s="852"/>
      <c r="F241" s="852"/>
      <c r="G241" s="852"/>
      <c r="H241" s="852"/>
      <c r="I241" s="852"/>
      <c r="J241" s="852"/>
      <c r="K241" s="142"/>
    </row>
    <row r="242" spans="1:16" s="348" customFormat="1">
      <c r="A242" s="482" t="s">
        <v>425</v>
      </c>
      <c r="B242" s="478">
        <v>9</v>
      </c>
      <c r="C242" s="415"/>
      <c r="E242" s="419"/>
      <c r="F242" s="419"/>
      <c r="G242" s="415"/>
      <c r="K242" s="349"/>
    </row>
    <row r="243" spans="1:16" s="348" customFormat="1">
      <c r="A243" s="482" t="s">
        <v>425</v>
      </c>
      <c r="B243" s="478">
        <v>9</v>
      </c>
      <c r="C243" s="390"/>
      <c r="D243" s="850" t="s">
        <v>142</v>
      </c>
      <c r="E243" s="850"/>
      <c r="F243" s="388"/>
      <c r="G243" s="390" t="s">
        <v>9</v>
      </c>
      <c r="H243" s="388" t="s">
        <v>126</v>
      </c>
      <c r="I243" s="388" t="s">
        <v>127</v>
      </c>
      <c r="J243" s="388" t="s">
        <v>128</v>
      </c>
      <c r="K243" s="369"/>
      <c r="L243" s="388"/>
      <c r="M243" s="388"/>
      <c r="N243" s="388"/>
      <c r="O243" s="388"/>
      <c r="P243" s="388"/>
    </row>
    <row r="244" spans="1:16" s="348" customFormat="1">
      <c r="A244" s="482" t="s">
        <v>425</v>
      </c>
      <c r="B244" s="478">
        <v>9</v>
      </c>
      <c r="C244" s="390"/>
      <c r="D244" s="388" t="s">
        <v>45</v>
      </c>
      <c r="E244" s="389" t="s">
        <v>141</v>
      </c>
      <c r="F244" s="389"/>
      <c r="G244" s="369"/>
      <c r="H244" s="388" t="s">
        <v>123</v>
      </c>
      <c r="I244" s="388" t="s">
        <v>96</v>
      </c>
      <c r="J244" s="388" t="s">
        <v>137</v>
      </c>
      <c r="K244" s="369"/>
      <c r="L244" s="388"/>
      <c r="M244" s="388"/>
      <c r="N244" s="388"/>
      <c r="O244" s="388"/>
      <c r="P244" s="388"/>
    </row>
    <row r="245" spans="1:16">
      <c r="A245" s="481">
        <v>1</v>
      </c>
      <c r="B245" s="477">
        <f>IF($J245="",IF($J244="","",1),1)</f>
        <v>1</v>
      </c>
      <c r="D245" s="844" t="str">
        <f>IF(OR($G245="",$G245="小計"),"",INDEX(請求Data!$T$11:$T$160,MATCH($G245,請求Data!$I$11:$I$160,0))&amp;"")</f>
        <v>株式会社 バンダイ　3200／キャンディ事業部</v>
      </c>
      <c r="E245" s="844"/>
      <c r="F245" s="75"/>
      <c r="G245" s="147" t="str">
        <f>IF(ISNA(MATCH($A245,Sheet1!$C$7:$C$133,0)),IF($A245&gt;MAX(Sheet1!$P$7:$P$133),"",IF($G244="小計","","小計")),IF($A245&gt;MAX(Sheet1!$C$7:$C$133),"",VLOOKUP($A245,Sheet1!$C$7:$U$133,Sheet1!$I$5-Sheet1!$B$5,FALSE)))</f>
        <v>39-B07012</v>
      </c>
      <c r="H245" s="277">
        <f>IF($G245="","",IF($G245="小計",VLOOKUP($A245,Sheet1!$P$7:$U$133,Sheet1!$S$5-Sheet1!$O$5,FALSE),VLOOKUP($G245,Sheet1!$I$7:$N$133,Sheet1!$L$5-Sheet1!$H$5,FALSE)))</f>
        <v>661000</v>
      </c>
      <c r="I245" s="277">
        <f>IF($G245="","",IF($G245="小計",VLOOKUP($A245,Sheet1!$P$7:$U$133,Sheet1!$T$5-Sheet1!$O$5,FALSE),VLOOKUP($G245,Sheet1!$I$7:$N$133,Sheet1!$M$5-Sheet1!$H$5,FALSE)))</f>
        <v>52880</v>
      </c>
      <c r="J245" s="277">
        <f>IF($G245="","",IF($G245="小計",VLOOKUP($A245,Sheet1!$P$7:$U$133,Sheet1!$U$5-Sheet1!$O$5,FALSE),VLOOKUP($G245,Sheet1!$I$7:$N$133,Sheet1!$N$5-Sheet1!$H$5,FALSE)))</f>
        <v>713880</v>
      </c>
      <c r="K245" s="610" t="str">
        <f>IF(OR($G245="",$G245="小計"),"",IF(VLOOKUP($G245,請求Data!$I$11:$AR$160,請求Data!$AR$10-請求Data!$H$10,FALSE)="","",VLOOKUP($G245,請求Data!$I$11:$AR$160,請求Data!$AR$10-請求Data!$H$10,FALSE)))</f>
        <v/>
      </c>
    </row>
    <row r="246" spans="1:16">
      <c r="A246" s="482">
        <v>2</v>
      </c>
      <c r="B246" s="477">
        <f t="shared" ref="B246:B275" si="8">IF($J246="",IF($J245="","",1),1)</f>
        <v>1</v>
      </c>
      <c r="D246" s="844" t="str">
        <f>IF(OR($G246="",$G246="小計"),"",INDEX(請求Data!$T$11:$T$160,MATCH($G246,請求Data!$I$11:$I$160,0))&amp;"")</f>
        <v/>
      </c>
      <c r="E246" s="844"/>
      <c r="F246" s="75"/>
      <c r="G246" s="147" t="str">
        <f>IF(ISNA(MATCH($A246,Sheet1!$C$7:$C$133,0)),IF($A246&gt;MAX(Sheet1!$P$7:$P$133),"",IF($G245="小計","","小計")),IF($A246&gt;MAX(Sheet1!$C$7:$C$133),"",VLOOKUP($A246,Sheet1!$C$7:$U$133,Sheet1!$I$5-Sheet1!$B$5,FALSE)))</f>
        <v>小計</v>
      </c>
      <c r="H246" s="277">
        <f>IF($G246="","",IF($G246="小計",VLOOKUP($A246,Sheet1!$P$7:$U$133,Sheet1!$S$5-Sheet1!$O$5,FALSE),VLOOKUP($G246,Sheet1!$I$7:$N$133,Sheet1!$L$5-Sheet1!$H$5,FALSE)))</f>
        <v>661000</v>
      </c>
      <c r="I246" s="277">
        <f>IF($G246="","",IF($G246="小計",VLOOKUP($A246,Sheet1!$P$7:$U$133,Sheet1!$T$5-Sheet1!$O$5,FALSE),VLOOKUP($G246,Sheet1!$I$7:$N$133,Sheet1!$M$5-Sheet1!$H$5,FALSE)))</f>
        <v>52880</v>
      </c>
      <c r="J246" s="277">
        <f>IF($G246="","",IF($G246="小計",VLOOKUP($A246,Sheet1!$P$7:$U$133,Sheet1!$U$5-Sheet1!$O$5,FALSE),VLOOKUP($G246,Sheet1!$I$7:$N$133,Sheet1!$N$5-Sheet1!$H$5,FALSE)))</f>
        <v>713880</v>
      </c>
      <c r="K246" s="610" t="str">
        <f>IF(OR($G246="",$G246="小計"),"",IF(VLOOKUP($G246,請求Data!$I$11:$AR$160,請求Data!$AR$10-請求Data!$H$10,FALSE)="","",VLOOKUP($G246,請求Data!$I$11:$AR$160,請求Data!$AR$10-請求Data!$H$10,FALSE)))</f>
        <v/>
      </c>
    </row>
    <row r="247" spans="1:16">
      <c r="A247" s="481">
        <v>3</v>
      </c>
      <c r="B247" s="477">
        <f t="shared" si="8"/>
        <v>1</v>
      </c>
      <c r="D247" s="844" t="str">
        <f>IF(OR($G247="",$G247="小計"),"",INDEX(請求Data!$T$11:$T$160,MATCH($G247,請求Data!$I$11:$I$160,0))&amp;"")</f>
        <v/>
      </c>
      <c r="E247" s="844"/>
      <c r="F247" s="75"/>
      <c r="G247" s="147" t="str">
        <f>IF(ISNA(MATCH($A247,Sheet1!$C$7:$C$133,0)),IF($A247&gt;MAX(Sheet1!$P$7:$P$133),"",IF($G246="小計","","小計")),IF($A247&gt;MAX(Sheet1!$C$7:$C$133),"",VLOOKUP($A247,Sheet1!$C$7:$U$133,Sheet1!$I$5-Sheet1!$B$5,FALSE)))</f>
        <v/>
      </c>
      <c r="H247" s="277" t="str">
        <f>IF($G247="","",IF($G247="小計",VLOOKUP($A247,Sheet1!$P$7:$U$133,Sheet1!$S$5-Sheet1!$O$5,FALSE),VLOOKUP($G247,Sheet1!$I$7:$N$133,Sheet1!$L$5-Sheet1!$H$5,FALSE)))</f>
        <v/>
      </c>
      <c r="I247" s="277" t="str">
        <f>IF($G247="","",IF($G247="小計",VLOOKUP($A247,Sheet1!$P$7:$U$133,Sheet1!$T$5-Sheet1!$O$5,FALSE),VLOOKUP($G247,Sheet1!$I$7:$N$133,Sheet1!$M$5-Sheet1!$H$5,FALSE)))</f>
        <v/>
      </c>
      <c r="J247" s="277" t="str">
        <f>IF($G247="","",IF($G247="小計",VLOOKUP($A247,Sheet1!$P$7:$U$133,Sheet1!$U$5-Sheet1!$O$5,FALSE),VLOOKUP($G247,Sheet1!$I$7:$N$133,Sheet1!$N$5-Sheet1!$H$5,FALSE)))</f>
        <v/>
      </c>
      <c r="K247" s="610" t="str">
        <f>IF(OR($G247="",$G247="小計"),"",IF(VLOOKUP($G247,請求Data!$I$11:$AR$160,請求Data!$AR$10-請求Data!$H$10,FALSE)="","",VLOOKUP($G247,請求Data!$I$11:$AR$160,請求Data!$AR$10-請求Data!$H$10,FALSE)))</f>
        <v/>
      </c>
    </row>
    <row r="248" spans="1:16">
      <c r="A248" s="482">
        <v>4</v>
      </c>
      <c r="B248" s="477">
        <f t="shared" si="8"/>
        <v>1</v>
      </c>
      <c r="D248" s="844" t="str">
        <f>IF(OR($G248="",$G248="小計"),"",INDEX(請求Data!$T$11:$T$160,MATCH($G248,請求Data!$I$11:$I$160,0))&amp;"")</f>
        <v>株式会社ナムコ</v>
      </c>
      <c r="E248" s="844"/>
      <c r="F248" s="75"/>
      <c r="G248" s="147" t="str">
        <f>IF(ISNA(MATCH($A248,Sheet1!$C$7:$C$133,0)),IF($A248&gt;MAX(Sheet1!$P$7:$P$133),"",IF($G247="小計","","小計")),IF($A248&gt;MAX(Sheet1!$C$7:$C$133),"",VLOOKUP($A248,Sheet1!$C$7:$U$133,Sheet1!$I$5-Sheet1!$B$5,FALSE)))</f>
        <v>39-B07003</v>
      </c>
      <c r="H248" s="277">
        <f>IF($G248="","",IF($G248="小計",VLOOKUP($A248,Sheet1!$P$7:$U$133,Sheet1!$S$5-Sheet1!$O$5,FALSE),VLOOKUP($G248,Sheet1!$I$7:$N$133,Sheet1!$L$5-Sheet1!$H$5,FALSE)))</f>
        <v>204210.21</v>
      </c>
      <c r="I248" s="277">
        <f>IF($G248="","",IF($G248="小計",VLOOKUP($A248,Sheet1!$P$7:$U$133,Sheet1!$T$5-Sheet1!$O$5,FALSE),VLOOKUP($G248,Sheet1!$I$7:$N$133,Sheet1!$M$5-Sheet1!$H$5,FALSE)))</f>
        <v>16336.82</v>
      </c>
      <c r="J248" s="277">
        <f>IF($G248="","",IF($G248="小計",VLOOKUP($A248,Sheet1!$P$7:$U$133,Sheet1!$U$5-Sheet1!$O$5,FALSE),VLOOKUP($G248,Sheet1!$I$7:$N$133,Sheet1!$N$5-Sheet1!$H$5,FALSE)))</f>
        <v>220547.03</v>
      </c>
      <c r="K248" s="610" t="str">
        <f>IF(OR($G248="",$G248="小計"),"",IF(VLOOKUP($G248,請求Data!$I$11:$AR$160,請求Data!$AR$10-請求Data!$H$10,FALSE)="","",VLOOKUP($G248,請求Data!$I$11:$AR$160,請求Data!$AR$10-請求Data!$H$10,FALSE)))</f>
        <v/>
      </c>
    </row>
    <row r="249" spans="1:16">
      <c r="A249" s="481">
        <v>5</v>
      </c>
      <c r="B249" s="477">
        <f t="shared" si="8"/>
        <v>1</v>
      </c>
      <c r="D249" s="844" t="str">
        <f>IF(OR($G249="",$G249="小計"),"",INDEX(請求Data!$T$11:$T$160,MATCH($G249,請求Data!$I$11:$I$160,0))&amp;"")</f>
        <v/>
      </c>
      <c r="E249" s="844"/>
      <c r="F249" s="75"/>
      <c r="G249" s="147" t="str">
        <f>IF(ISNA(MATCH($A249,Sheet1!$C$7:$C$133,0)),IF($A249&gt;MAX(Sheet1!$P$7:$P$133),"",IF($G248="小計","","小計")),IF($A249&gt;MAX(Sheet1!$C$7:$C$133),"",VLOOKUP($A249,Sheet1!$C$7:$U$133,Sheet1!$I$5-Sheet1!$B$5,FALSE)))</f>
        <v>小計</v>
      </c>
      <c r="H249" s="277">
        <f>IF($G249="","",IF($G249="小計",VLOOKUP($A249,Sheet1!$P$7:$U$133,Sheet1!$S$5-Sheet1!$O$5,FALSE),VLOOKUP($G249,Sheet1!$I$7:$N$133,Sheet1!$L$5-Sheet1!$H$5,FALSE)))</f>
        <v>204210.21</v>
      </c>
      <c r="I249" s="277">
        <f>IF($G249="","",IF($G249="小計",VLOOKUP($A249,Sheet1!$P$7:$U$133,Sheet1!$T$5-Sheet1!$O$5,FALSE),VLOOKUP($G249,Sheet1!$I$7:$N$133,Sheet1!$M$5-Sheet1!$H$5,FALSE)))</f>
        <v>16336.82</v>
      </c>
      <c r="J249" s="277">
        <f>IF($G249="","",IF($G249="小計",VLOOKUP($A249,Sheet1!$P$7:$U$133,Sheet1!$U$5-Sheet1!$O$5,FALSE),VLOOKUP($G249,Sheet1!$I$7:$N$133,Sheet1!$N$5-Sheet1!$H$5,FALSE)))</f>
        <v>220547.03</v>
      </c>
      <c r="K249" s="610" t="str">
        <f>IF(OR($G249="",$G249="小計"),"",IF(VLOOKUP($G249,請求Data!$I$11:$AR$160,請求Data!$AR$10-請求Data!$H$10,FALSE)="","",VLOOKUP($G249,請求Data!$I$11:$AR$160,請求Data!$AR$10-請求Data!$H$10,FALSE)))</f>
        <v/>
      </c>
    </row>
    <row r="250" spans="1:16">
      <c r="A250" s="482">
        <v>6</v>
      </c>
      <c r="B250" s="477">
        <f t="shared" si="8"/>
        <v>1</v>
      </c>
      <c r="D250" s="844" t="str">
        <f>IF(OR($G250="",$G250="小計"),"",INDEX(請求Data!$T$11:$T$160,MATCH($G250,請求Data!$I$11:$I$160,0))&amp;"")</f>
        <v/>
      </c>
      <c r="E250" s="844"/>
      <c r="F250" s="75"/>
      <c r="G250" s="147" t="str">
        <f>IF(ISNA(MATCH($A250,Sheet1!$C$7:$C$133,0)),IF($A250&gt;MAX(Sheet1!$P$7:$P$133),"",IF($G249="小計","","小計")),IF($A250&gt;MAX(Sheet1!$C$7:$C$133),"",VLOOKUP($A250,Sheet1!$C$7:$U$133,Sheet1!$I$5-Sheet1!$B$5,FALSE)))</f>
        <v/>
      </c>
      <c r="H250" s="277" t="str">
        <f>IF($G250="","",IF($G250="小計",VLOOKUP($A250,Sheet1!$P$7:$U$133,Sheet1!$S$5-Sheet1!$O$5,FALSE),VLOOKUP($G250,Sheet1!$I$7:$N$133,Sheet1!$L$5-Sheet1!$H$5,FALSE)))</f>
        <v/>
      </c>
      <c r="I250" s="277" t="str">
        <f>IF($G250="","",IF($G250="小計",VLOOKUP($A250,Sheet1!$P$7:$U$133,Sheet1!$T$5-Sheet1!$O$5,FALSE),VLOOKUP($G250,Sheet1!$I$7:$N$133,Sheet1!$M$5-Sheet1!$H$5,FALSE)))</f>
        <v/>
      </c>
      <c r="J250" s="277" t="str">
        <f>IF($G250="","",IF($G250="小計",VLOOKUP($A250,Sheet1!$P$7:$U$133,Sheet1!$U$5-Sheet1!$O$5,FALSE),VLOOKUP($G250,Sheet1!$I$7:$N$133,Sheet1!$N$5-Sheet1!$H$5,FALSE)))</f>
        <v/>
      </c>
      <c r="K250" s="610" t="str">
        <f>IF(OR($G250="",$G250="小計"),"",IF(VLOOKUP($G250,請求Data!$I$11:$AR$160,請求Data!$AR$10-請求Data!$H$10,FALSE)="","",VLOOKUP($G250,請求Data!$I$11:$AR$160,請求Data!$AR$10-請求Data!$H$10,FALSE)))</f>
        <v/>
      </c>
    </row>
    <row r="251" spans="1:16">
      <c r="A251" s="481">
        <v>7</v>
      </c>
      <c r="B251" s="477">
        <f t="shared" si="8"/>
        <v>1</v>
      </c>
      <c r="D251" s="844" t="str">
        <f>IF(OR($G251="",$G251="小計"),"",INDEX(請求Data!$T$11:$T$160,MATCH($G251,請求Data!$I$11:$I$160,0))&amp;"")</f>
        <v>株式会社ウィンウィンスタイル</v>
      </c>
      <c r="E251" s="844"/>
      <c r="F251" s="75"/>
      <c r="G251" s="147" t="str">
        <f>IF(ISNA(MATCH($A251,Sheet1!$C$7:$C$133,0)),IF($A251&gt;MAX(Sheet1!$P$7:$P$133),"",IF($G250="小計","","小計")),IF($A251&gt;MAX(Sheet1!$C$7:$C$133),"",VLOOKUP($A251,Sheet1!$C$7:$U$133,Sheet1!$I$5-Sheet1!$B$5,FALSE)))</f>
        <v>39-B07019</v>
      </c>
      <c r="H251" s="277">
        <f>IF($G251="","",IF($G251="小計",VLOOKUP($A251,Sheet1!$P$7:$U$133,Sheet1!$S$5-Sheet1!$O$5,FALSE),VLOOKUP($G251,Sheet1!$I$7:$N$133,Sheet1!$L$5-Sheet1!$H$5,FALSE)))</f>
        <v>55505.55</v>
      </c>
      <c r="I251" s="277">
        <f>IF($G251="","",IF($G251="小計",VLOOKUP($A251,Sheet1!$P$7:$U$133,Sheet1!$T$5-Sheet1!$O$5,FALSE),VLOOKUP($G251,Sheet1!$I$7:$N$133,Sheet1!$M$5-Sheet1!$H$5,FALSE)))</f>
        <v>4440.4399999999996</v>
      </c>
      <c r="J251" s="277">
        <f>IF($G251="","",IF($G251="小計",VLOOKUP($A251,Sheet1!$P$7:$U$133,Sheet1!$U$5-Sheet1!$O$5,FALSE),VLOOKUP($G251,Sheet1!$I$7:$N$133,Sheet1!$N$5-Sheet1!$H$5,FALSE)))</f>
        <v>59945.990000000005</v>
      </c>
      <c r="K251" s="610" t="str">
        <f>IF(OR($G251="",$G251="小計"),"",IF(VLOOKUP($G251,請求Data!$I$11:$AR$160,請求Data!$AR$10-請求Data!$H$10,FALSE)="","",VLOOKUP($G251,請求Data!$I$11:$AR$160,請求Data!$AR$10-請求Data!$H$10,FALSE)))</f>
        <v/>
      </c>
    </row>
    <row r="252" spans="1:16">
      <c r="A252" s="482">
        <v>8</v>
      </c>
      <c r="B252" s="477">
        <f t="shared" si="8"/>
        <v>1</v>
      </c>
      <c r="D252" s="844" t="str">
        <f>IF(OR($G252="",$G252="小計"),"",INDEX(請求Data!$T$11:$T$160,MATCH($G252,請求Data!$I$11:$I$160,0))&amp;"")</f>
        <v/>
      </c>
      <c r="E252" s="844"/>
      <c r="F252" s="75"/>
      <c r="G252" s="147" t="str">
        <f>IF(ISNA(MATCH($A252,Sheet1!$C$7:$C$133,0)),IF($A252&gt;MAX(Sheet1!$P$7:$P$133),"",IF($G251="小計","","小計")),IF($A252&gt;MAX(Sheet1!$C$7:$C$133),"",VLOOKUP($A252,Sheet1!$C$7:$U$133,Sheet1!$I$5-Sheet1!$B$5,FALSE)))</f>
        <v>小計</v>
      </c>
      <c r="H252" s="277">
        <f>IF($G252="","",IF($G252="小計",VLOOKUP($A252,Sheet1!$P$7:$U$133,Sheet1!$S$5-Sheet1!$O$5,FALSE),VLOOKUP($G252,Sheet1!$I$7:$N$133,Sheet1!$L$5-Sheet1!$H$5,FALSE)))</f>
        <v>55505.55</v>
      </c>
      <c r="I252" s="277">
        <f>IF($G252="","",IF($G252="小計",VLOOKUP($A252,Sheet1!$P$7:$U$133,Sheet1!$T$5-Sheet1!$O$5,FALSE),VLOOKUP($G252,Sheet1!$I$7:$N$133,Sheet1!$M$5-Sheet1!$H$5,FALSE)))</f>
        <v>4440.4399999999996</v>
      </c>
      <c r="J252" s="277">
        <f>IF($G252="","",IF($G252="小計",VLOOKUP($A252,Sheet1!$P$7:$U$133,Sheet1!$U$5-Sheet1!$O$5,FALSE),VLOOKUP($G252,Sheet1!$I$7:$N$133,Sheet1!$N$5-Sheet1!$H$5,FALSE)))</f>
        <v>59945.990000000005</v>
      </c>
      <c r="K252" s="610" t="str">
        <f>IF(OR($G252="",$G252="小計"),"",IF(VLOOKUP($G252,請求Data!$I$11:$AR$160,請求Data!$AR$10-請求Data!$H$10,FALSE)="","",VLOOKUP($G252,請求Data!$I$11:$AR$160,請求Data!$AR$10-請求Data!$H$10,FALSE)))</f>
        <v/>
      </c>
    </row>
    <row r="253" spans="1:16">
      <c r="A253" s="481">
        <v>9</v>
      </c>
      <c r="B253" s="477">
        <f t="shared" si="8"/>
        <v>1</v>
      </c>
      <c r="D253" s="844" t="str">
        <f>IF(OR($G253="",$G253="小計"),"",INDEX(請求Data!$T$11:$T$160,MATCH($G253,請求Data!$I$11:$I$160,0))&amp;"")</f>
        <v/>
      </c>
      <c r="E253" s="844"/>
      <c r="F253" s="75"/>
      <c r="G253" s="147" t="str">
        <f>IF(ISNA(MATCH($A253,Sheet1!$C$7:$C$133,0)),IF($A253&gt;MAX(Sheet1!$P$7:$P$133),"",IF($G252="小計","","小計")),IF($A253&gt;MAX(Sheet1!$C$7:$C$133),"",VLOOKUP($A253,Sheet1!$C$7:$U$133,Sheet1!$I$5-Sheet1!$B$5,FALSE)))</f>
        <v/>
      </c>
      <c r="H253" s="277" t="str">
        <f>IF($G253="","",IF($G253="小計",VLOOKUP($A253,Sheet1!$P$7:$U$133,Sheet1!$S$5-Sheet1!$O$5,FALSE),VLOOKUP($G253,Sheet1!$I$7:$N$133,Sheet1!$L$5-Sheet1!$H$5,FALSE)))</f>
        <v/>
      </c>
      <c r="I253" s="277" t="str">
        <f>IF($G253="","",IF($G253="小計",VLOOKUP($A253,Sheet1!$P$7:$U$133,Sheet1!$T$5-Sheet1!$O$5,FALSE),VLOOKUP($G253,Sheet1!$I$7:$N$133,Sheet1!$M$5-Sheet1!$H$5,FALSE)))</f>
        <v/>
      </c>
      <c r="J253" s="277" t="str">
        <f>IF($G253="","",IF($G253="小計",VLOOKUP($A253,Sheet1!$P$7:$U$133,Sheet1!$U$5-Sheet1!$O$5,FALSE),VLOOKUP($G253,Sheet1!$I$7:$N$133,Sheet1!$N$5-Sheet1!$H$5,FALSE)))</f>
        <v/>
      </c>
      <c r="K253" s="610" t="str">
        <f>IF(OR($G253="",$G253="小計"),"",IF(VLOOKUP($G253,請求Data!$I$11:$AR$160,請求Data!$AR$10-請求Data!$H$10,FALSE)="","",VLOOKUP($G253,請求Data!$I$11:$AR$160,請求Data!$AR$10-請求Data!$H$10,FALSE)))</f>
        <v/>
      </c>
    </row>
    <row r="254" spans="1:16">
      <c r="A254" s="482">
        <v>10</v>
      </c>
      <c r="B254" s="477" t="str">
        <f t="shared" si="8"/>
        <v/>
      </c>
      <c r="D254" s="844" t="str">
        <f>IF(OR($G254="",$G254="小計"),"",INDEX(請求Data!$T$11:$T$160,MATCH($G254,請求Data!$I$11:$I$160,0))&amp;"")</f>
        <v/>
      </c>
      <c r="E254" s="844"/>
      <c r="F254" s="75"/>
      <c r="G254" s="147" t="str">
        <f>IF(ISNA(MATCH($A254,Sheet1!$C$7:$C$133,0)),IF($A254&gt;MAX(Sheet1!$P$7:$P$133),"",IF($G253="小計","","小計")),IF($A254&gt;MAX(Sheet1!$C$7:$C$133),"",VLOOKUP($A254,Sheet1!$C$7:$U$133,Sheet1!$I$5-Sheet1!$B$5,FALSE)))</f>
        <v/>
      </c>
      <c r="H254" s="277" t="str">
        <f>IF($G254="","",IF($G254="小計",VLOOKUP($A254,Sheet1!$P$7:$U$133,Sheet1!$S$5-Sheet1!$O$5,FALSE),VLOOKUP($G254,Sheet1!$I$7:$N$133,Sheet1!$L$5-Sheet1!$H$5,FALSE)))</f>
        <v/>
      </c>
      <c r="I254" s="277" t="str">
        <f>IF($G254="","",IF($G254="小計",VLOOKUP($A254,Sheet1!$P$7:$U$133,Sheet1!$T$5-Sheet1!$O$5,FALSE),VLOOKUP($G254,Sheet1!$I$7:$N$133,Sheet1!$M$5-Sheet1!$H$5,FALSE)))</f>
        <v/>
      </c>
      <c r="J254" s="277" t="str">
        <f>IF($G254="","",IF($G254="小計",VLOOKUP($A254,Sheet1!$P$7:$U$133,Sheet1!$U$5-Sheet1!$O$5,FALSE),VLOOKUP($G254,Sheet1!$I$7:$N$133,Sheet1!$N$5-Sheet1!$H$5,FALSE)))</f>
        <v/>
      </c>
      <c r="K254" s="610" t="str">
        <f>IF(OR($G254="",$G254="小計"),"",IF(VLOOKUP($G254,請求Data!$I$11:$AR$160,請求Data!$AR$10-請求Data!$H$10,FALSE)="","",VLOOKUP($G254,請求Data!$I$11:$AR$160,請求Data!$AR$10-請求Data!$H$10,FALSE)))</f>
        <v/>
      </c>
    </row>
    <row r="255" spans="1:16">
      <c r="A255" s="481">
        <v>11</v>
      </c>
      <c r="B255" s="477" t="str">
        <f t="shared" si="8"/>
        <v/>
      </c>
      <c r="D255" s="844" t="str">
        <f>IF(OR($G255="",$G255="小計"),"",INDEX(請求Data!$T$11:$T$160,MATCH($G255,請求Data!$I$11:$I$160,0))&amp;"")</f>
        <v/>
      </c>
      <c r="E255" s="844"/>
      <c r="F255" s="75"/>
      <c r="G255" s="147" t="str">
        <f>IF(ISNA(MATCH($A255,Sheet1!$C$7:$C$133,0)),IF($A255&gt;MAX(Sheet1!$P$7:$P$133),"",IF($G254="小計","","小計")),IF($A255&gt;MAX(Sheet1!$C$7:$C$133),"",VLOOKUP($A255,Sheet1!$C$7:$U$133,Sheet1!$I$5-Sheet1!$B$5,FALSE)))</f>
        <v/>
      </c>
      <c r="H255" s="277" t="str">
        <f>IF($G255="","",IF($G255="小計",VLOOKUP($A255,Sheet1!$P$7:$U$133,Sheet1!$S$5-Sheet1!$O$5,FALSE),VLOOKUP($G255,Sheet1!$I$7:$N$133,Sheet1!$L$5-Sheet1!$H$5,FALSE)))</f>
        <v/>
      </c>
      <c r="I255" s="277" t="str">
        <f>IF($G255="","",IF($G255="小計",VLOOKUP($A255,Sheet1!$P$7:$U$133,Sheet1!$T$5-Sheet1!$O$5,FALSE),VLOOKUP($G255,Sheet1!$I$7:$N$133,Sheet1!$M$5-Sheet1!$H$5,FALSE)))</f>
        <v/>
      </c>
      <c r="J255" s="277" t="str">
        <f>IF($G255="","",IF($G255="小計",VLOOKUP($A255,Sheet1!$P$7:$U$133,Sheet1!$U$5-Sheet1!$O$5,FALSE),VLOOKUP($G255,Sheet1!$I$7:$N$133,Sheet1!$N$5-Sheet1!$H$5,FALSE)))</f>
        <v/>
      </c>
      <c r="K255" s="610" t="str">
        <f>IF(OR($G255="",$G255="小計"),"",IF(VLOOKUP($G255,請求Data!$I$11:$AR$160,請求Data!$AR$10-請求Data!$H$10,FALSE)="","",VLOOKUP($G255,請求Data!$I$11:$AR$160,請求Data!$AR$10-請求Data!$H$10,FALSE)))</f>
        <v/>
      </c>
    </row>
    <row r="256" spans="1:16">
      <c r="A256" s="482">
        <v>12</v>
      </c>
      <c r="B256" s="477" t="str">
        <f t="shared" si="8"/>
        <v/>
      </c>
      <c r="D256" s="844" t="str">
        <f>IF(OR($G256="",$G256="小計"),"",INDEX(請求Data!$T$11:$T$160,MATCH($G256,請求Data!$I$11:$I$160,0))&amp;"")</f>
        <v/>
      </c>
      <c r="E256" s="844"/>
      <c r="F256" s="75"/>
      <c r="G256" s="147" t="str">
        <f>IF(ISNA(MATCH($A256,Sheet1!$C$7:$C$133,0)),IF($A256&gt;MAX(Sheet1!$P$7:$P$133),"",IF($G255="小計","","小計")),IF($A256&gt;MAX(Sheet1!$C$7:$C$133),"",VLOOKUP($A256,Sheet1!$C$7:$U$133,Sheet1!$I$5-Sheet1!$B$5,FALSE)))</f>
        <v/>
      </c>
      <c r="H256" s="277" t="str">
        <f>IF($G256="","",IF($G256="小計",VLOOKUP($A256,Sheet1!$P$7:$U$133,Sheet1!$S$5-Sheet1!$O$5,FALSE),VLOOKUP($G256,Sheet1!$I$7:$N$133,Sheet1!$L$5-Sheet1!$H$5,FALSE)))</f>
        <v/>
      </c>
      <c r="I256" s="277" t="str">
        <f>IF($G256="","",IF($G256="小計",VLOOKUP($A256,Sheet1!$P$7:$U$133,Sheet1!$T$5-Sheet1!$O$5,FALSE),VLOOKUP($G256,Sheet1!$I$7:$N$133,Sheet1!$M$5-Sheet1!$H$5,FALSE)))</f>
        <v/>
      </c>
      <c r="J256" s="277" t="str">
        <f>IF($G256="","",IF($G256="小計",VLOOKUP($A256,Sheet1!$P$7:$U$133,Sheet1!$U$5-Sheet1!$O$5,FALSE),VLOOKUP($G256,Sheet1!$I$7:$N$133,Sheet1!$N$5-Sheet1!$H$5,FALSE)))</f>
        <v/>
      </c>
      <c r="K256" s="610" t="str">
        <f>IF(OR($G256="",$G256="小計"),"",IF(VLOOKUP($G256,請求Data!$I$11:$AR$160,請求Data!$AR$10-請求Data!$H$10,FALSE)="","",VLOOKUP($G256,請求Data!$I$11:$AR$160,請求Data!$AR$10-請求Data!$H$10,FALSE)))</f>
        <v/>
      </c>
    </row>
    <row r="257" spans="1:11">
      <c r="A257" s="481">
        <v>13</v>
      </c>
      <c r="B257" s="477" t="str">
        <f t="shared" si="8"/>
        <v/>
      </c>
      <c r="D257" s="844" t="str">
        <f>IF(OR($G257="",$G257="小計"),"",INDEX(請求Data!$T$11:$T$160,MATCH($G257,請求Data!$I$11:$I$160,0))&amp;"")</f>
        <v/>
      </c>
      <c r="E257" s="844"/>
      <c r="F257" s="75"/>
      <c r="G257" s="147" t="str">
        <f>IF(ISNA(MATCH($A257,Sheet1!$C$7:$C$133,0)),IF($A257&gt;MAX(Sheet1!$P$7:$P$133),"",IF($G256="小計","","小計")),IF($A257&gt;MAX(Sheet1!$C$7:$C$133),"",VLOOKUP($A257,Sheet1!$C$7:$U$133,Sheet1!$I$5-Sheet1!$B$5,FALSE)))</f>
        <v/>
      </c>
      <c r="H257" s="277" t="str">
        <f>IF($G257="","",IF($G257="小計",VLOOKUP($A257,Sheet1!$P$7:$U$133,Sheet1!$S$5-Sheet1!$O$5,FALSE),VLOOKUP($G257,Sheet1!$I$7:$N$133,Sheet1!$L$5-Sheet1!$H$5,FALSE)))</f>
        <v/>
      </c>
      <c r="I257" s="277" t="str">
        <f>IF($G257="","",IF($G257="小計",VLOOKUP($A257,Sheet1!$P$7:$U$133,Sheet1!$T$5-Sheet1!$O$5,FALSE),VLOOKUP($G257,Sheet1!$I$7:$N$133,Sheet1!$M$5-Sheet1!$H$5,FALSE)))</f>
        <v/>
      </c>
      <c r="J257" s="277" t="str">
        <f>IF($G257="","",IF($G257="小計",VLOOKUP($A257,Sheet1!$P$7:$U$133,Sheet1!$U$5-Sheet1!$O$5,FALSE),VLOOKUP($G257,Sheet1!$I$7:$N$133,Sheet1!$N$5-Sheet1!$H$5,FALSE)))</f>
        <v/>
      </c>
      <c r="K257" s="610" t="str">
        <f>IF(OR($G257="",$G257="小計"),"",IF(VLOOKUP($G257,請求Data!$I$11:$AR$160,請求Data!$AR$10-請求Data!$H$10,FALSE)="","",VLOOKUP($G257,請求Data!$I$11:$AR$160,請求Data!$AR$10-請求Data!$H$10,FALSE)))</f>
        <v/>
      </c>
    </row>
    <row r="258" spans="1:11">
      <c r="A258" s="482">
        <v>14</v>
      </c>
      <c r="B258" s="477" t="str">
        <f t="shared" si="8"/>
        <v/>
      </c>
      <c r="D258" s="844" t="str">
        <f>IF(OR($G258="",$G258="小計"),"",INDEX(請求Data!$T$11:$T$160,MATCH($G258,請求Data!$I$11:$I$160,0))&amp;"")</f>
        <v/>
      </c>
      <c r="E258" s="844"/>
      <c r="F258" s="75"/>
      <c r="G258" s="147" t="str">
        <f>IF(ISNA(MATCH($A258,Sheet1!$C$7:$C$133,0)),IF($A258&gt;MAX(Sheet1!$P$7:$P$133),"",IF($G257="小計","","小計")),IF($A258&gt;MAX(Sheet1!$C$7:$C$133),"",VLOOKUP($A258,Sheet1!$C$7:$U$133,Sheet1!$I$5-Sheet1!$B$5,FALSE)))</f>
        <v/>
      </c>
      <c r="H258" s="277" t="str">
        <f>IF($G258="","",IF($G258="小計",VLOOKUP($A258,Sheet1!$P$7:$U$133,Sheet1!$S$5-Sheet1!$O$5,FALSE),VLOOKUP($G258,Sheet1!$I$7:$N$133,Sheet1!$L$5-Sheet1!$H$5,FALSE)))</f>
        <v/>
      </c>
      <c r="I258" s="277" t="str">
        <f>IF($G258="","",IF($G258="小計",VLOOKUP($A258,Sheet1!$P$7:$U$133,Sheet1!$T$5-Sheet1!$O$5,FALSE),VLOOKUP($G258,Sheet1!$I$7:$N$133,Sheet1!$M$5-Sheet1!$H$5,FALSE)))</f>
        <v/>
      </c>
      <c r="J258" s="277" t="str">
        <f>IF($G258="","",IF($G258="小計",VLOOKUP($A258,Sheet1!$P$7:$U$133,Sheet1!$U$5-Sheet1!$O$5,FALSE),VLOOKUP($G258,Sheet1!$I$7:$N$133,Sheet1!$N$5-Sheet1!$H$5,FALSE)))</f>
        <v/>
      </c>
      <c r="K258" s="610" t="str">
        <f>IF(OR($G258="",$G258="小計"),"",IF(VLOOKUP($G258,請求Data!$I$11:$AR$160,請求Data!$AR$10-請求Data!$H$10,FALSE)="","",VLOOKUP($G258,請求Data!$I$11:$AR$160,請求Data!$AR$10-請求Data!$H$10,FALSE)))</f>
        <v/>
      </c>
    </row>
    <row r="259" spans="1:11">
      <c r="A259" s="481">
        <v>15</v>
      </c>
      <c r="B259" s="477" t="str">
        <f t="shared" si="8"/>
        <v/>
      </c>
      <c r="D259" s="844" t="str">
        <f>IF(OR($G259="",$G259="小計"),"",INDEX(請求Data!$T$11:$T$160,MATCH($G259,請求Data!$I$11:$I$160,0))&amp;"")</f>
        <v/>
      </c>
      <c r="E259" s="844"/>
      <c r="F259" s="75"/>
      <c r="G259" s="147" t="str">
        <f>IF(ISNA(MATCH($A259,Sheet1!$C$7:$C$133,0)),IF($A259&gt;MAX(Sheet1!$P$7:$P$133),"",IF($G258="小計","","小計")),IF($A259&gt;MAX(Sheet1!$C$7:$C$133),"",VLOOKUP($A259,Sheet1!$C$7:$U$133,Sheet1!$I$5-Sheet1!$B$5,FALSE)))</f>
        <v/>
      </c>
      <c r="H259" s="277" t="str">
        <f>IF($G259="","",IF($G259="小計",VLOOKUP($A259,Sheet1!$P$7:$U$133,Sheet1!$S$5-Sheet1!$O$5,FALSE),VLOOKUP($G259,Sheet1!$I$7:$N$133,Sheet1!$L$5-Sheet1!$H$5,FALSE)))</f>
        <v/>
      </c>
      <c r="I259" s="277" t="str">
        <f>IF($G259="","",IF($G259="小計",VLOOKUP($A259,Sheet1!$P$7:$U$133,Sheet1!$T$5-Sheet1!$O$5,FALSE),VLOOKUP($G259,Sheet1!$I$7:$N$133,Sheet1!$M$5-Sheet1!$H$5,FALSE)))</f>
        <v/>
      </c>
      <c r="J259" s="277" t="str">
        <f>IF($G259="","",IF($G259="小計",VLOOKUP($A259,Sheet1!$P$7:$U$133,Sheet1!$U$5-Sheet1!$O$5,FALSE),VLOOKUP($G259,Sheet1!$I$7:$N$133,Sheet1!$N$5-Sheet1!$H$5,FALSE)))</f>
        <v/>
      </c>
      <c r="K259" s="610" t="str">
        <f>IF(OR($G259="",$G259="小計"),"",IF(VLOOKUP($G259,請求Data!$I$11:$AR$160,請求Data!$AR$10-請求Data!$H$10,FALSE)="","",VLOOKUP($G259,請求Data!$I$11:$AR$160,請求Data!$AR$10-請求Data!$H$10,FALSE)))</f>
        <v/>
      </c>
    </row>
    <row r="260" spans="1:11">
      <c r="A260" s="482">
        <v>16</v>
      </c>
      <c r="B260" s="477" t="str">
        <f t="shared" si="8"/>
        <v/>
      </c>
      <c r="D260" s="844" t="str">
        <f>IF(OR($G260="",$G260="小計"),"",INDEX(請求Data!$T$11:$T$160,MATCH($G260,請求Data!$I$11:$I$160,0))&amp;"")</f>
        <v/>
      </c>
      <c r="E260" s="844"/>
      <c r="F260" s="75"/>
      <c r="G260" s="147" t="str">
        <f>IF(ISNA(MATCH($A260,Sheet1!$C$7:$C$133,0)),IF($A260&gt;MAX(Sheet1!$P$7:$P$133),"",IF($G259="小計","","小計")),IF($A260&gt;MAX(Sheet1!$C$7:$C$133),"",VLOOKUP($A260,Sheet1!$C$7:$U$133,Sheet1!$I$5-Sheet1!$B$5,FALSE)))</f>
        <v/>
      </c>
      <c r="H260" s="277" t="str">
        <f>IF($G260="","",IF($G260="小計",VLOOKUP($A260,Sheet1!$P$7:$U$133,Sheet1!$S$5-Sheet1!$O$5,FALSE),VLOOKUP($G260,Sheet1!$I$7:$N$133,Sheet1!$L$5-Sheet1!$H$5,FALSE)))</f>
        <v/>
      </c>
      <c r="I260" s="277" t="str">
        <f>IF($G260="","",IF($G260="小計",VLOOKUP($A260,Sheet1!$P$7:$U$133,Sheet1!$T$5-Sheet1!$O$5,FALSE),VLOOKUP($G260,Sheet1!$I$7:$N$133,Sheet1!$M$5-Sheet1!$H$5,FALSE)))</f>
        <v/>
      </c>
      <c r="J260" s="277" t="str">
        <f>IF($G260="","",IF($G260="小計",VLOOKUP($A260,Sheet1!$P$7:$U$133,Sheet1!$U$5-Sheet1!$O$5,FALSE),VLOOKUP($G260,Sheet1!$I$7:$N$133,Sheet1!$N$5-Sheet1!$H$5,FALSE)))</f>
        <v/>
      </c>
      <c r="K260" s="610" t="str">
        <f>IF(OR($G260="",$G260="小計"),"",IF(VLOOKUP($G260,請求Data!$I$11:$AR$160,請求Data!$AR$10-請求Data!$H$10,FALSE)="","",VLOOKUP($G260,請求Data!$I$11:$AR$160,請求Data!$AR$10-請求Data!$H$10,FALSE)))</f>
        <v/>
      </c>
    </row>
    <row r="261" spans="1:11">
      <c r="A261" s="481">
        <v>17</v>
      </c>
      <c r="B261" s="477" t="str">
        <f t="shared" si="8"/>
        <v/>
      </c>
      <c r="D261" s="844" t="str">
        <f>IF(OR($G261="",$G261="小計"),"",INDEX(請求Data!$T$11:$T$160,MATCH($G261,請求Data!$I$11:$I$160,0))&amp;"")</f>
        <v/>
      </c>
      <c r="E261" s="844"/>
      <c r="F261" s="75"/>
      <c r="G261" s="147" t="str">
        <f>IF(ISNA(MATCH($A261,Sheet1!$C$7:$C$133,0)),IF($A261&gt;MAX(Sheet1!$P$7:$P$133),"",IF($G260="小計","","小計")),IF($A261&gt;MAX(Sheet1!$C$7:$C$133),"",VLOOKUP($A261,Sheet1!$C$7:$U$133,Sheet1!$I$5-Sheet1!$B$5,FALSE)))</f>
        <v/>
      </c>
      <c r="H261" s="277" t="str">
        <f>IF($G261="","",IF($G261="小計",VLOOKUP($A261,Sheet1!$P$7:$U$133,Sheet1!$S$5-Sheet1!$O$5,FALSE),VLOOKUP($G261,Sheet1!$I$7:$N$133,Sheet1!$L$5-Sheet1!$H$5,FALSE)))</f>
        <v/>
      </c>
      <c r="I261" s="277" t="str">
        <f>IF($G261="","",IF($G261="小計",VLOOKUP($A261,Sheet1!$P$7:$U$133,Sheet1!$T$5-Sheet1!$O$5,FALSE),VLOOKUP($G261,Sheet1!$I$7:$N$133,Sheet1!$M$5-Sheet1!$H$5,FALSE)))</f>
        <v/>
      </c>
      <c r="J261" s="277" t="str">
        <f>IF($G261="","",IF($G261="小計",VLOOKUP($A261,Sheet1!$P$7:$U$133,Sheet1!$U$5-Sheet1!$O$5,FALSE),VLOOKUP($G261,Sheet1!$I$7:$N$133,Sheet1!$N$5-Sheet1!$H$5,FALSE)))</f>
        <v/>
      </c>
      <c r="K261" s="610" t="str">
        <f>IF(OR($G261="",$G261="小計"),"",IF(VLOOKUP($G261,請求Data!$I$11:$AR$160,請求Data!$AR$10-請求Data!$H$10,FALSE)="","",VLOOKUP($G261,請求Data!$I$11:$AR$160,請求Data!$AR$10-請求Data!$H$10,FALSE)))</f>
        <v/>
      </c>
    </row>
    <row r="262" spans="1:11">
      <c r="A262" s="482">
        <v>18</v>
      </c>
      <c r="B262" s="477" t="str">
        <f t="shared" si="8"/>
        <v/>
      </c>
      <c r="D262" s="844" t="str">
        <f>IF(OR($G262="",$G262="小計"),"",INDEX(請求Data!$T$11:$T$160,MATCH($G262,請求Data!$I$11:$I$160,0))&amp;"")</f>
        <v/>
      </c>
      <c r="E262" s="844"/>
      <c r="F262" s="75"/>
      <c r="G262" s="147" t="str">
        <f>IF(ISNA(MATCH($A262,Sheet1!$C$7:$C$133,0)),IF($A262&gt;MAX(Sheet1!$P$7:$P$133),"",IF($G261="小計","","小計")),IF($A262&gt;MAX(Sheet1!$C$7:$C$133),"",VLOOKUP($A262,Sheet1!$C$7:$U$133,Sheet1!$I$5-Sheet1!$B$5,FALSE)))</f>
        <v/>
      </c>
      <c r="H262" s="277" t="str">
        <f>IF($G262="","",IF($G262="小計",VLOOKUP($A262,Sheet1!$P$7:$U$133,Sheet1!$S$5-Sheet1!$O$5,FALSE),VLOOKUP($G262,Sheet1!$I$7:$N$133,Sheet1!$L$5-Sheet1!$H$5,FALSE)))</f>
        <v/>
      </c>
      <c r="I262" s="277" t="str">
        <f>IF($G262="","",IF($G262="小計",VLOOKUP($A262,Sheet1!$P$7:$U$133,Sheet1!$T$5-Sheet1!$O$5,FALSE),VLOOKUP($G262,Sheet1!$I$7:$N$133,Sheet1!$M$5-Sheet1!$H$5,FALSE)))</f>
        <v/>
      </c>
      <c r="J262" s="277" t="str">
        <f>IF($G262="","",IF($G262="小計",VLOOKUP($A262,Sheet1!$P$7:$U$133,Sheet1!$U$5-Sheet1!$O$5,FALSE),VLOOKUP($G262,Sheet1!$I$7:$N$133,Sheet1!$N$5-Sheet1!$H$5,FALSE)))</f>
        <v/>
      </c>
      <c r="K262" s="610" t="str">
        <f>IF(OR($G262="",$G262="小計"),"",IF(VLOOKUP($G262,請求Data!$I$11:$AR$160,請求Data!$AR$10-請求Data!$H$10,FALSE)="","",VLOOKUP($G262,請求Data!$I$11:$AR$160,請求Data!$AR$10-請求Data!$H$10,FALSE)))</f>
        <v/>
      </c>
    </row>
    <row r="263" spans="1:11">
      <c r="A263" s="481">
        <v>19</v>
      </c>
      <c r="B263" s="477" t="str">
        <f>IF($J263="",IF($J262="","",1),1)</f>
        <v/>
      </c>
      <c r="D263" s="844" t="str">
        <f>IF(OR($G263="",$G263="小計"),"",INDEX(請求Data!$T$11:$T$160,MATCH($G263,請求Data!$I$11:$I$160,0))&amp;"")</f>
        <v/>
      </c>
      <c r="E263" s="844"/>
      <c r="F263" s="75"/>
      <c r="G263" s="147" t="str">
        <f>IF(ISNA(MATCH($A263,Sheet1!$C$7:$C$133,0)),IF($A263&gt;MAX(Sheet1!$P$7:$P$133),"",IF($G262="小計","","小計")),IF($A263&gt;MAX(Sheet1!$C$7:$C$133),"",VLOOKUP($A263,Sheet1!$C$7:$U$133,Sheet1!$I$5-Sheet1!$B$5,FALSE)))</f>
        <v/>
      </c>
      <c r="H263" s="277" t="str">
        <f>IF($G263="","",IF($G263="小計",VLOOKUP($A263,Sheet1!$P$7:$U$133,Sheet1!$S$5-Sheet1!$O$5,FALSE),VLOOKUP($G263,Sheet1!$I$7:$N$133,Sheet1!$L$5-Sheet1!$H$5,FALSE)))</f>
        <v/>
      </c>
      <c r="I263" s="277" t="str">
        <f>IF($G263="","",IF($G263="小計",VLOOKUP($A263,Sheet1!$P$7:$U$133,Sheet1!$T$5-Sheet1!$O$5,FALSE),VLOOKUP($G263,Sheet1!$I$7:$N$133,Sheet1!$M$5-Sheet1!$H$5,FALSE)))</f>
        <v/>
      </c>
      <c r="J263" s="277" t="str">
        <f>IF($G263="","",IF($G263="小計",VLOOKUP($A263,Sheet1!$P$7:$U$133,Sheet1!$U$5-Sheet1!$O$5,FALSE),VLOOKUP($G263,Sheet1!$I$7:$N$133,Sheet1!$N$5-Sheet1!$H$5,FALSE)))</f>
        <v/>
      </c>
      <c r="K263" s="610" t="str">
        <f>IF(OR($G263="",$G263="小計"),"",IF(VLOOKUP($G263,請求Data!$I$11:$AR$160,請求Data!$AR$10-請求Data!$H$10,FALSE)="","",VLOOKUP($G263,請求Data!$I$11:$AR$160,請求Data!$AR$10-請求Data!$H$10,FALSE)))</f>
        <v/>
      </c>
    </row>
    <row r="264" spans="1:11">
      <c r="A264" s="482">
        <v>20</v>
      </c>
      <c r="B264" s="477" t="str">
        <f t="shared" si="8"/>
        <v/>
      </c>
      <c r="D264" s="844" t="str">
        <f>IF(OR($G264="",$G264="小計"),"",INDEX(請求Data!$T$11:$T$160,MATCH($G264,請求Data!$I$11:$I$160,0))&amp;"")</f>
        <v/>
      </c>
      <c r="E264" s="844"/>
      <c r="F264" s="75"/>
      <c r="G264" s="147" t="str">
        <f>IF(ISNA(MATCH($A264,Sheet1!$C$7:$C$133,0)),IF($A264&gt;MAX(Sheet1!$P$7:$P$133),"",IF($G263="小計","","小計")),IF($A264&gt;MAX(Sheet1!$C$7:$C$133),"",VLOOKUP($A264,Sheet1!$C$7:$U$133,Sheet1!$I$5-Sheet1!$B$5,FALSE)))</f>
        <v/>
      </c>
      <c r="H264" s="277" t="str">
        <f>IF($G264="","",IF($G264="小計",VLOOKUP($A264,Sheet1!$P$7:$U$133,Sheet1!$S$5-Sheet1!$O$5,FALSE),VLOOKUP($G264,Sheet1!$I$7:$N$133,Sheet1!$L$5-Sheet1!$H$5,FALSE)))</f>
        <v/>
      </c>
      <c r="I264" s="277" t="str">
        <f>IF($G264="","",IF($G264="小計",VLOOKUP($A264,Sheet1!$P$7:$U$133,Sheet1!$T$5-Sheet1!$O$5,FALSE),VLOOKUP($G264,Sheet1!$I$7:$N$133,Sheet1!$M$5-Sheet1!$H$5,FALSE)))</f>
        <v/>
      </c>
      <c r="J264" s="277" t="str">
        <f>IF($G264="","",IF($G264="小計",VLOOKUP($A264,Sheet1!$P$7:$U$133,Sheet1!$U$5-Sheet1!$O$5,FALSE),VLOOKUP($G264,Sheet1!$I$7:$N$133,Sheet1!$N$5-Sheet1!$H$5,FALSE)))</f>
        <v/>
      </c>
      <c r="K264" s="610" t="str">
        <f>IF(OR($G264="",$G264="小計"),"",IF(VLOOKUP($G264,請求Data!$I$11:$AR$160,請求Data!$AR$10-請求Data!$H$10,FALSE)="","",VLOOKUP($G264,請求Data!$I$11:$AR$160,請求Data!$AR$10-請求Data!$H$10,FALSE)))</f>
        <v/>
      </c>
    </row>
    <row r="265" spans="1:11">
      <c r="A265" s="481">
        <v>21</v>
      </c>
      <c r="B265" s="477" t="str">
        <f t="shared" si="8"/>
        <v/>
      </c>
      <c r="D265" s="844" t="str">
        <f>IF(OR($G265="",$G265="小計"),"",INDEX(請求Data!$T$11:$T$160,MATCH($G265,請求Data!$I$11:$I$160,0))&amp;"")</f>
        <v/>
      </c>
      <c r="E265" s="844"/>
      <c r="F265" s="75"/>
      <c r="G265" s="147" t="str">
        <f>IF(ISNA(MATCH($A265,Sheet1!$C$7:$C$133,0)),IF($A265&gt;MAX(Sheet1!$P$7:$P$133),"",IF($G264="小計","","小計")),IF($A265&gt;MAX(Sheet1!$C$7:$C$133),"",VLOOKUP($A265,Sheet1!$C$7:$U$133,Sheet1!$I$5-Sheet1!$B$5,FALSE)))</f>
        <v/>
      </c>
      <c r="H265" s="277" t="str">
        <f>IF($G265="","",IF($G265="小計",VLOOKUP($A265,Sheet1!$P$7:$U$133,Sheet1!$S$5-Sheet1!$O$5,FALSE),VLOOKUP($G265,Sheet1!$I$7:$N$133,Sheet1!$L$5-Sheet1!$H$5,FALSE)))</f>
        <v/>
      </c>
      <c r="I265" s="277" t="str">
        <f>IF($G265="","",IF($G265="小計",VLOOKUP($A265,Sheet1!$P$7:$U$133,Sheet1!$T$5-Sheet1!$O$5,FALSE),VLOOKUP($G265,Sheet1!$I$7:$N$133,Sheet1!$M$5-Sheet1!$H$5,FALSE)))</f>
        <v/>
      </c>
      <c r="J265" s="277" t="str">
        <f>IF($G265="","",IF($G265="小計",VLOOKUP($A265,Sheet1!$P$7:$U$133,Sheet1!$U$5-Sheet1!$O$5,FALSE),VLOOKUP($G265,Sheet1!$I$7:$N$133,Sheet1!$N$5-Sheet1!$H$5,FALSE)))</f>
        <v/>
      </c>
      <c r="K265" s="610" t="str">
        <f>IF(OR($G265="",$G265="小計"),"",IF(VLOOKUP($G265,請求Data!$I$11:$AR$160,請求Data!$AR$10-請求Data!$H$10,FALSE)="","",VLOOKUP($G265,請求Data!$I$11:$AR$160,請求Data!$AR$10-請求Data!$H$10,FALSE)))</f>
        <v/>
      </c>
    </row>
    <row r="266" spans="1:11">
      <c r="A266" s="482">
        <v>22</v>
      </c>
      <c r="B266" s="477" t="str">
        <f t="shared" si="8"/>
        <v/>
      </c>
      <c r="D266" s="844" t="str">
        <f>IF(OR($G266="",$G266="小計"),"",INDEX(請求Data!$T$11:$T$160,MATCH($G266,請求Data!$I$11:$I$160,0))&amp;"")</f>
        <v/>
      </c>
      <c r="E266" s="844"/>
      <c r="F266" s="75"/>
      <c r="G266" s="147" t="str">
        <f>IF(ISNA(MATCH($A266,Sheet1!$C$7:$C$133,0)),IF($A266&gt;MAX(Sheet1!$P$7:$P$133),"",IF($G265="小計","","小計")),IF($A266&gt;MAX(Sheet1!$C$7:$C$133),"",VLOOKUP($A266,Sheet1!$C$7:$U$133,Sheet1!$I$5-Sheet1!$B$5,FALSE)))</f>
        <v/>
      </c>
      <c r="H266" s="277" t="str">
        <f>IF($G266="","",IF($G266="小計",VLOOKUP($A266,Sheet1!$P$7:$U$133,Sheet1!$S$5-Sheet1!$O$5,FALSE),VLOOKUP($G266,Sheet1!$I$7:$N$133,Sheet1!$L$5-Sheet1!$H$5,FALSE)))</f>
        <v/>
      </c>
      <c r="I266" s="277" t="str">
        <f>IF($G266="","",IF($G266="小計",VLOOKUP($A266,Sheet1!$P$7:$U$133,Sheet1!$T$5-Sheet1!$O$5,FALSE),VLOOKUP($G266,Sheet1!$I$7:$N$133,Sheet1!$M$5-Sheet1!$H$5,FALSE)))</f>
        <v/>
      </c>
      <c r="J266" s="277" t="str">
        <f>IF($G266="","",IF($G266="小計",VLOOKUP($A266,Sheet1!$P$7:$U$133,Sheet1!$U$5-Sheet1!$O$5,FALSE),VLOOKUP($G266,Sheet1!$I$7:$N$133,Sheet1!$N$5-Sheet1!$H$5,FALSE)))</f>
        <v/>
      </c>
      <c r="K266" s="610" t="str">
        <f>IF(OR($G266="",$G266="小計"),"",IF(VLOOKUP($G266,請求Data!$I$11:$AR$160,請求Data!$AR$10-請求Data!$H$10,FALSE)="","",VLOOKUP($G266,請求Data!$I$11:$AR$160,請求Data!$AR$10-請求Data!$H$10,FALSE)))</f>
        <v/>
      </c>
    </row>
    <row r="267" spans="1:11">
      <c r="A267" s="481">
        <v>23</v>
      </c>
      <c r="B267" s="477" t="str">
        <f t="shared" si="8"/>
        <v/>
      </c>
      <c r="D267" s="844" t="str">
        <f>IF(OR($G267="",$G267="小計"),"",INDEX(請求Data!$T$11:$T$160,MATCH($G267,請求Data!$I$11:$I$160,0))&amp;"")</f>
        <v/>
      </c>
      <c r="E267" s="844"/>
      <c r="F267" s="75"/>
      <c r="G267" s="147" t="str">
        <f>IF(ISNA(MATCH($A267,Sheet1!$C$7:$C$133,0)),IF($A267&gt;MAX(Sheet1!$P$7:$P$133),"",IF($G266="小計","","小計")),IF($A267&gt;MAX(Sheet1!$C$7:$C$133),"",VLOOKUP($A267,Sheet1!$C$7:$U$133,Sheet1!$I$5-Sheet1!$B$5,FALSE)))</f>
        <v/>
      </c>
      <c r="H267" s="277" t="str">
        <f>IF($G267="","",IF($G267="小計",VLOOKUP($A267,Sheet1!$P$7:$U$133,Sheet1!$S$5-Sheet1!$O$5,FALSE),VLOOKUP($G267,Sheet1!$I$7:$N$133,Sheet1!$L$5-Sheet1!$H$5,FALSE)))</f>
        <v/>
      </c>
      <c r="I267" s="277" t="str">
        <f>IF($G267="","",IF($G267="小計",VLOOKUP($A267,Sheet1!$P$7:$U$133,Sheet1!$T$5-Sheet1!$O$5,FALSE),VLOOKUP($G267,Sheet1!$I$7:$N$133,Sheet1!$M$5-Sheet1!$H$5,FALSE)))</f>
        <v/>
      </c>
      <c r="J267" s="277" t="str">
        <f>IF($G267="","",IF($G267="小計",VLOOKUP($A267,Sheet1!$P$7:$U$133,Sheet1!$U$5-Sheet1!$O$5,FALSE),VLOOKUP($G267,Sheet1!$I$7:$N$133,Sheet1!$N$5-Sheet1!$H$5,FALSE)))</f>
        <v/>
      </c>
      <c r="K267" s="610" t="str">
        <f>IF(OR($G267="",$G267="小計"),"",IF(VLOOKUP($G267,請求Data!$I$11:$AR$160,請求Data!$AR$10-請求Data!$H$10,FALSE)="","",VLOOKUP($G267,請求Data!$I$11:$AR$160,請求Data!$AR$10-請求Data!$H$10,FALSE)))</f>
        <v/>
      </c>
    </row>
    <row r="268" spans="1:11">
      <c r="A268" s="482">
        <v>24</v>
      </c>
      <c r="B268" s="477" t="str">
        <f t="shared" si="8"/>
        <v/>
      </c>
      <c r="D268" s="844" t="str">
        <f>IF(OR($G268="",$G268="小計"),"",INDEX(請求Data!$T$11:$T$160,MATCH($G268,請求Data!$I$11:$I$160,0))&amp;"")</f>
        <v/>
      </c>
      <c r="E268" s="844"/>
      <c r="F268" s="75"/>
      <c r="G268" s="147" t="str">
        <f>IF(ISNA(MATCH($A268,Sheet1!$C$7:$C$133,0)),IF($A268&gt;MAX(Sheet1!$P$7:$P$133),"",IF($G267="小計","","小計")),IF($A268&gt;MAX(Sheet1!$C$7:$C$133),"",VLOOKUP($A268,Sheet1!$C$7:$U$133,Sheet1!$I$5-Sheet1!$B$5,FALSE)))</f>
        <v/>
      </c>
      <c r="H268" s="277" t="str">
        <f>IF($G268="","",IF($G268="小計",VLOOKUP($A268,Sheet1!$P$7:$U$133,Sheet1!$S$5-Sheet1!$O$5,FALSE),VLOOKUP($G268,Sheet1!$I$7:$N$133,Sheet1!$L$5-Sheet1!$H$5,FALSE)))</f>
        <v/>
      </c>
      <c r="I268" s="277" t="str">
        <f>IF($G268="","",IF($G268="小計",VLOOKUP($A268,Sheet1!$P$7:$U$133,Sheet1!$T$5-Sheet1!$O$5,FALSE),VLOOKUP($G268,Sheet1!$I$7:$N$133,Sheet1!$M$5-Sheet1!$H$5,FALSE)))</f>
        <v/>
      </c>
      <c r="J268" s="277" t="str">
        <f>IF($G268="","",IF($G268="小計",VLOOKUP($A268,Sheet1!$P$7:$U$133,Sheet1!$U$5-Sheet1!$O$5,FALSE),VLOOKUP($G268,Sheet1!$I$7:$N$133,Sheet1!$N$5-Sheet1!$H$5,FALSE)))</f>
        <v/>
      </c>
      <c r="K268" s="610" t="str">
        <f>IF(OR($G268="",$G268="小計"),"",IF(VLOOKUP($G268,請求Data!$I$11:$AR$160,請求Data!$AR$10-請求Data!$H$10,FALSE)="","",VLOOKUP($G268,請求Data!$I$11:$AR$160,請求Data!$AR$10-請求Data!$H$10,FALSE)))</f>
        <v/>
      </c>
    </row>
    <row r="269" spans="1:11">
      <c r="A269" s="481">
        <v>25</v>
      </c>
      <c r="B269" s="477" t="str">
        <f t="shared" si="8"/>
        <v/>
      </c>
      <c r="D269" s="844" t="str">
        <f>IF(OR($G269="",$G269="小計"),"",INDEX(請求Data!$T$11:$T$160,MATCH($G269,請求Data!$I$11:$I$160,0))&amp;"")</f>
        <v/>
      </c>
      <c r="E269" s="844"/>
      <c r="F269" s="75"/>
      <c r="G269" s="147" t="str">
        <f>IF(ISNA(MATCH($A269,Sheet1!$C$7:$C$133,0)),IF($A269&gt;MAX(Sheet1!$P$7:$P$133),"",IF($G268="小計","","小計")),IF($A269&gt;MAX(Sheet1!$C$7:$C$133),"",VLOOKUP($A269,Sheet1!$C$7:$U$133,Sheet1!$I$5-Sheet1!$B$5,FALSE)))</f>
        <v/>
      </c>
      <c r="H269" s="277" t="str">
        <f>IF($G269="","",IF($G269="小計",VLOOKUP($A269,Sheet1!$P$7:$U$133,Sheet1!$S$5-Sheet1!$O$5,FALSE),VLOOKUP($G269,Sheet1!$I$7:$N$133,Sheet1!$L$5-Sheet1!$H$5,FALSE)))</f>
        <v/>
      </c>
      <c r="I269" s="277" t="str">
        <f>IF($G269="","",IF($G269="小計",VLOOKUP($A269,Sheet1!$P$7:$U$133,Sheet1!$T$5-Sheet1!$O$5,FALSE),VLOOKUP($G269,Sheet1!$I$7:$N$133,Sheet1!$M$5-Sheet1!$H$5,FALSE)))</f>
        <v/>
      </c>
      <c r="J269" s="277" t="str">
        <f>IF($G269="","",IF($G269="小計",VLOOKUP($A269,Sheet1!$P$7:$U$133,Sheet1!$U$5-Sheet1!$O$5,FALSE),VLOOKUP($G269,Sheet1!$I$7:$N$133,Sheet1!$N$5-Sheet1!$H$5,FALSE)))</f>
        <v/>
      </c>
      <c r="K269" s="610" t="str">
        <f>IF(OR($G269="",$G269="小計"),"",IF(VLOOKUP($G269,請求Data!$I$11:$AR$160,請求Data!$AR$10-請求Data!$H$10,FALSE)="","",VLOOKUP($G269,請求Data!$I$11:$AR$160,請求Data!$AR$10-請求Data!$H$10,FALSE)))</f>
        <v/>
      </c>
    </row>
    <row r="270" spans="1:11">
      <c r="A270" s="482">
        <v>26</v>
      </c>
      <c r="B270" s="477" t="str">
        <f t="shared" si="8"/>
        <v/>
      </c>
      <c r="D270" s="844" t="str">
        <f>IF(OR($G270="",$G270="小計"),"",INDEX(請求Data!$T$11:$T$160,MATCH($G270,請求Data!$I$11:$I$160,0))&amp;"")</f>
        <v/>
      </c>
      <c r="E270" s="844"/>
      <c r="F270" s="75"/>
      <c r="G270" s="147" t="str">
        <f>IF(ISNA(MATCH($A270,Sheet1!$C$7:$C$133,0)),IF($A270&gt;MAX(Sheet1!$P$7:$P$133),"",IF($G269="小計","","小計")),IF($A270&gt;MAX(Sheet1!$C$7:$C$133),"",VLOOKUP($A270,Sheet1!$C$7:$U$133,Sheet1!$I$5-Sheet1!$B$5,FALSE)))</f>
        <v/>
      </c>
      <c r="H270" s="277" t="str">
        <f>IF($G270="","",IF($G270="小計",VLOOKUP($A270,Sheet1!$P$7:$U$133,Sheet1!$S$5-Sheet1!$O$5,FALSE),VLOOKUP($G270,Sheet1!$I$7:$N$133,Sheet1!$L$5-Sheet1!$H$5,FALSE)))</f>
        <v/>
      </c>
      <c r="I270" s="277" t="str">
        <f>IF($G270="","",IF($G270="小計",VLOOKUP($A270,Sheet1!$P$7:$U$133,Sheet1!$T$5-Sheet1!$O$5,FALSE),VLOOKUP($G270,Sheet1!$I$7:$N$133,Sheet1!$M$5-Sheet1!$H$5,FALSE)))</f>
        <v/>
      </c>
      <c r="J270" s="277" t="str">
        <f>IF($G270="","",IF($G270="小計",VLOOKUP($A270,Sheet1!$P$7:$U$133,Sheet1!$U$5-Sheet1!$O$5,FALSE),VLOOKUP($G270,Sheet1!$I$7:$N$133,Sheet1!$N$5-Sheet1!$H$5,FALSE)))</f>
        <v/>
      </c>
      <c r="K270" s="610" t="str">
        <f>IF(OR($G270="",$G270="小計"),"",IF(VLOOKUP($G270,請求Data!$I$11:$AR$160,請求Data!$AR$10-請求Data!$H$10,FALSE)="","",VLOOKUP($G270,請求Data!$I$11:$AR$160,請求Data!$AR$10-請求Data!$H$10,FALSE)))</f>
        <v/>
      </c>
    </row>
    <row r="271" spans="1:11">
      <c r="A271" s="481">
        <v>27</v>
      </c>
      <c r="B271" s="477" t="str">
        <f t="shared" si="8"/>
        <v/>
      </c>
      <c r="D271" s="844" t="str">
        <f>IF(OR($G271="",$G271="小計"),"",INDEX(請求Data!$T$11:$T$160,MATCH($G271,請求Data!$I$11:$I$160,0))&amp;"")</f>
        <v/>
      </c>
      <c r="E271" s="844"/>
      <c r="F271" s="75"/>
      <c r="G271" s="147" t="str">
        <f>IF(ISNA(MATCH($A271,Sheet1!$C$7:$C$133,0)),IF($A271&gt;MAX(Sheet1!$P$7:$P$133),"",IF($G270="小計","","小計")),IF($A271&gt;MAX(Sheet1!$C$7:$C$133),"",VLOOKUP($A271,Sheet1!$C$7:$U$133,Sheet1!$I$5-Sheet1!$B$5,FALSE)))</f>
        <v/>
      </c>
      <c r="H271" s="277" t="str">
        <f>IF($G271="","",IF($G271="小計",VLOOKUP($A271,Sheet1!$P$7:$U$133,Sheet1!$S$5-Sheet1!$O$5,FALSE),VLOOKUP($G271,Sheet1!$I$7:$N$133,Sheet1!$L$5-Sheet1!$H$5,FALSE)))</f>
        <v/>
      </c>
      <c r="I271" s="277" t="str">
        <f>IF($G271="","",IF($G271="小計",VLOOKUP($A271,Sheet1!$P$7:$U$133,Sheet1!$T$5-Sheet1!$O$5,FALSE),VLOOKUP($G271,Sheet1!$I$7:$N$133,Sheet1!$M$5-Sheet1!$H$5,FALSE)))</f>
        <v/>
      </c>
      <c r="J271" s="277" t="str">
        <f>IF($G271="","",IF($G271="小計",VLOOKUP($A271,Sheet1!$P$7:$U$133,Sheet1!$U$5-Sheet1!$O$5,FALSE),VLOOKUP($G271,Sheet1!$I$7:$N$133,Sheet1!$N$5-Sheet1!$H$5,FALSE)))</f>
        <v/>
      </c>
      <c r="K271" s="610" t="str">
        <f>IF(OR($G271="",$G271="小計"),"",IF(VLOOKUP($G271,請求Data!$I$11:$AR$160,請求Data!$AR$10-請求Data!$H$10,FALSE)="","",VLOOKUP($G271,請求Data!$I$11:$AR$160,請求Data!$AR$10-請求Data!$H$10,FALSE)))</f>
        <v/>
      </c>
    </row>
    <row r="272" spans="1:11">
      <c r="A272" s="482">
        <v>28</v>
      </c>
      <c r="B272" s="477" t="str">
        <f t="shared" si="8"/>
        <v/>
      </c>
      <c r="D272" s="844" t="str">
        <f>IF(OR($G272="",$G272="小計"),"",INDEX(請求Data!$T$11:$T$160,MATCH($G272,請求Data!$I$11:$I$160,0))&amp;"")</f>
        <v/>
      </c>
      <c r="E272" s="844"/>
      <c r="F272" s="75"/>
      <c r="G272" s="147" t="str">
        <f>IF(ISNA(MATCH($A272,Sheet1!$C$7:$C$133,0)),IF($A272&gt;MAX(Sheet1!$P$7:$P$133),"",IF($G271="小計","","小計")),IF($A272&gt;MAX(Sheet1!$C$7:$C$133),"",VLOOKUP($A272,Sheet1!$C$7:$U$133,Sheet1!$I$5-Sheet1!$B$5,FALSE)))</f>
        <v/>
      </c>
      <c r="H272" s="277" t="str">
        <f>IF($G272="","",IF($G272="小計",VLOOKUP($A272,Sheet1!$P$7:$U$133,Sheet1!$S$5-Sheet1!$O$5,FALSE),VLOOKUP($G272,Sheet1!$I$7:$N$133,Sheet1!$L$5-Sheet1!$H$5,FALSE)))</f>
        <v/>
      </c>
      <c r="I272" s="277" t="str">
        <f>IF($G272="","",IF($G272="小計",VLOOKUP($A272,Sheet1!$P$7:$U$133,Sheet1!$T$5-Sheet1!$O$5,FALSE),VLOOKUP($G272,Sheet1!$I$7:$N$133,Sheet1!$M$5-Sheet1!$H$5,FALSE)))</f>
        <v/>
      </c>
      <c r="J272" s="277" t="str">
        <f>IF($G272="","",IF($G272="小計",VLOOKUP($A272,Sheet1!$P$7:$U$133,Sheet1!$U$5-Sheet1!$O$5,FALSE),VLOOKUP($G272,Sheet1!$I$7:$N$133,Sheet1!$N$5-Sheet1!$H$5,FALSE)))</f>
        <v/>
      </c>
      <c r="K272" s="610" t="str">
        <f>IF(OR($G272="",$G272="小計"),"",IF(VLOOKUP($G272,請求Data!$I$11:$AR$160,請求Data!$AR$10-請求Data!$H$10,FALSE)="","",VLOOKUP($G272,請求Data!$I$11:$AR$160,請求Data!$AR$10-請求Data!$H$10,FALSE)))</f>
        <v/>
      </c>
    </row>
    <row r="273" spans="1:16">
      <c r="A273" s="481">
        <v>29</v>
      </c>
      <c r="B273" s="477" t="str">
        <f t="shared" si="8"/>
        <v/>
      </c>
      <c r="D273" s="844" t="str">
        <f>IF(OR($G273="",$G273="小計"),"",INDEX(請求Data!$T$11:$T$160,MATCH($G273,請求Data!$I$11:$I$160,0))&amp;"")</f>
        <v/>
      </c>
      <c r="E273" s="844"/>
      <c r="F273" s="75"/>
      <c r="G273" s="147" t="str">
        <f>IF(ISNA(MATCH($A273,Sheet1!$C$7:$C$133,0)),IF($A273&gt;MAX(Sheet1!$P$7:$P$133),"",IF($G272="小計","","小計")),IF($A273&gt;MAX(Sheet1!$C$7:$C$133),"",VLOOKUP($A273,Sheet1!$C$7:$U$133,Sheet1!$I$5-Sheet1!$B$5,FALSE)))</f>
        <v/>
      </c>
      <c r="H273" s="277" t="str">
        <f>IF($G273="","",IF($G273="小計",VLOOKUP($A273,Sheet1!$P$7:$U$133,Sheet1!$S$5-Sheet1!$O$5,FALSE),VLOOKUP($G273,Sheet1!$I$7:$N$133,Sheet1!$L$5-Sheet1!$H$5,FALSE)))</f>
        <v/>
      </c>
      <c r="I273" s="277" t="str">
        <f>IF($G273="","",IF($G273="小計",VLOOKUP($A273,Sheet1!$P$7:$U$133,Sheet1!$T$5-Sheet1!$O$5,FALSE),VLOOKUP($G273,Sheet1!$I$7:$N$133,Sheet1!$M$5-Sheet1!$H$5,FALSE)))</f>
        <v/>
      </c>
      <c r="J273" s="277" t="str">
        <f>IF($G273="","",IF($G273="小計",VLOOKUP($A273,Sheet1!$P$7:$U$133,Sheet1!$U$5-Sheet1!$O$5,FALSE),VLOOKUP($G273,Sheet1!$I$7:$N$133,Sheet1!$N$5-Sheet1!$H$5,FALSE)))</f>
        <v/>
      </c>
      <c r="K273" s="610" t="str">
        <f>IF(OR($G273="",$G273="小計"),"",IF(VLOOKUP($G273,請求Data!$I$11:$AR$160,請求Data!$AR$10-請求Data!$H$10,FALSE)="","",VLOOKUP($G273,請求Data!$I$11:$AR$160,請求Data!$AR$10-請求Data!$H$10,FALSE)))</f>
        <v/>
      </c>
    </row>
    <row r="274" spans="1:16">
      <c r="A274" s="482">
        <v>30</v>
      </c>
      <c r="B274" s="477" t="str">
        <f t="shared" si="8"/>
        <v/>
      </c>
      <c r="D274" s="844" t="str">
        <f>IF(OR($G274="",$G274="小計"),"",INDEX(請求Data!$T$11:$T$160,MATCH($G274,請求Data!$I$11:$I$160,0))&amp;"")</f>
        <v/>
      </c>
      <c r="E274" s="844"/>
      <c r="F274" s="75"/>
      <c r="G274" s="147" t="str">
        <f>IF(ISNA(MATCH($A274,Sheet1!$C$7:$C$133,0)),IF($A274&gt;MAX(Sheet1!$P$7:$P$133),"",IF($G273="小計","","小計")),IF($A274&gt;MAX(Sheet1!$C$7:$C$133),"",VLOOKUP($A274,Sheet1!$C$7:$U$133,Sheet1!$I$5-Sheet1!$B$5,FALSE)))</f>
        <v/>
      </c>
      <c r="H274" s="277" t="str">
        <f>IF($G274="","",IF($G274="小計",VLOOKUP($A274,Sheet1!$P$7:$U$133,Sheet1!$S$5-Sheet1!$O$5,FALSE),VLOOKUP($G274,Sheet1!$I$7:$N$133,Sheet1!$L$5-Sheet1!$H$5,FALSE)))</f>
        <v/>
      </c>
      <c r="I274" s="277" t="str">
        <f>IF($G274="","",IF($G274="小計",VLOOKUP($A274,Sheet1!$P$7:$U$133,Sheet1!$T$5-Sheet1!$O$5,FALSE),VLOOKUP($G274,Sheet1!$I$7:$N$133,Sheet1!$M$5-Sheet1!$H$5,FALSE)))</f>
        <v/>
      </c>
      <c r="J274" s="277" t="str">
        <f>IF($G274="","",IF($G274="小計",VLOOKUP($A274,Sheet1!$P$7:$U$133,Sheet1!$U$5-Sheet1!$O$5,FALSE),VLOOKUP($G274,Sheet1!$I$7:$N$133,Sheet1!$N$5-Sheet1!$H$5,FALSE)))</f>
        <v/>
      </c>
      <c r="K274" s="610" t="str">
        <f>IF(OR($G274="",$G274="小計"),"",IF(VLOOKUP($G274,請求Data!$I$11:$AR$160,請求Data!$AR$10-請求Data!$H$10,FALSE)="","",VLOOKUP($G274,請求Data!$I$11:$AR$160,請求Data!$AR$10-請求Data!$H$10,FALSE)))</f>
        <v/>
      </c>
    </row>
    <row r="275" spans="1:16">
      <c r="A275" s="481">
        <v>31</v>
      </c>
      <c r="B275" s="477" t="str">
        <f t="shared" si="8"/>
        <v/>
      </c>
      <c r="D275" s="844" t="str">
        <f>IF(OR($G275="",$G275="小計"),"",INDEX(請求Data!$T$11:$T$160,MATCH($G275,請求Data!$I$11:$I$160,0))&amp;"")</f>
        <v/>
      </c>
      <c r="E275" s="844"/>
      <c r="F275" s="75"/>
      <c r="G275" s="147" t="str">
        <f>IF(ISNA(MATCH($A275,Sheet1!$C$7:$C$133,0)),IF($A275&gt;MAX(Sheet1!$P$7:$P$133),"",IF($G274="小計","","小計")),IF($A275&gt;MAX(Sheet1!$C$7:$C$133),"",VLOOKUP($A275,Sheet1!$C$7:$U$133,Sheet1!$I$5-Sheet1!$B$5,FALSE)))</f>
        <v/>
      </c>
      <c r="H275" s="277" t="str">
        <f>IF($G275="","",IF($G275="小計",VLOOKUP($A275,Sheet1!$P$7:$U$133,Sheet1!$S$5-Sheet1!$O$5,FALSE),VLOOKUP($G275,Sheet1!$I$7:$N$133,Sheet1!$L$5-Sheet1!$H$5,FALSE)))</f>
        <v/>
      </c>
      <c r="I275" s="277" t="str">
        <f>IF($G275="","",IF($G275="小計",VLOOKUP($A275,Sheet1!$P$7:$U$133,Sheet1!$T$5-Sheet1!$O$5,FALSE),VLOOKUP($G275,Sheet1!$I$7:$N$133,Sheet1!$M$5-Sheet1!$H$5,FALSE)))</f>
        <v/>
      </c>
      <c r="J275" s="277" t="str">
        <f>IF($G275="","",IF($G275="小計",VLOOKUP($A275,Sheet1!$P$7:$U$133,Sheet1!$U$5-Sheet1!$O$5,FALSE),VLOOKUP($G275,Sheet1!$I$7:$N$133,Sheet1!$N$5-Sheet1!$H$5,FALSE)))</f>
        <v/>
      </c>
      <c r="K275" s="610" t="str">
        <f>IF(OR($G275="",$G275="小計"),"",IF(VLOOKUP($G275,請求Data!$I$11:$AR$160,請求Data!$AR$10-請求Data!$H$10,FALSE)="","",VLOOKUP($G275,請求Data!$I$11:$AR$160,請求Data!$AR$10-請求Data!$H$10,FALSE)))</f>
        <v/>
      </c>
      <c r="L275" s="7"/>
      <c r="M275" s="7"/>
      <c r="N275" s="7"/>
      <c r="O275" s="7"/>
      <c r="P275" s="7"/>
    </row>
    <row r="276" spans="1:16">
      <c r="A276" s="482">
        <v>450</v>
      </c>
      <c r="B276" s="477">
        <f>IF($J276="",IF($J275="","",1),1)</f>
        <v>1</v>
      </c>
      <c r="D276" s="65"/>
      <c r="E276" s="7" t="s">
        <v>146</v>
      </c>
      <c r="F276" s="7"/>
      <c r="G276" s="72"/>
      <c r="H276" s="278">
        <f>SUM($H$245:$H$275)-SUMIF($G$245:$G$275,"小計",$H$245:$H$275)</f>
        <v>920715.76</v>
      </c>
      <c r="I276" s="278">
        <f>SUM($I$245:$I$275)-SUMIF($G$245:$G$275,"小計",$I$245:$I$275)</f>
        <v>73657.260000000009</v>
      </c>
      <c r="J276" s="278">
        <f>SUM($J$245:$J$275)-SUMIF($G$245:$G$275,"小計",$J$245:$J$275)</f>
        <v>994373.02</v>
      </c>
      <c r="K276" s="77"/>
      <c r="L276" s="7"/>
      <c r="M276" s="7"/>
      <c r="N276" s="7"/>
      <c r="O276" s="7"/>
      <c r="P276" s="7"/>
    </row>
    <row r="277" spans="1:16">
      <c r="A277" s="481">
        <v>451</v>
      </c>
      <c r="B277" s="476">
        <v>9</v>
      </c>
      <c r="D277" s="65"/>
      <c r="E277" s="7"/>
      <c r="F277" s="7"/>
      <c r="G277" s="72"/>
      <c r="H277" s="357"/>
      <c r="I277" s="357"/>
      <c r="J277" s="357"/>
      <c r="K277" s="77"/>
      <c r="L277" s="7"/>
      <c r="M277" s="7"/>
      <c r="N277" s="7"/>
      <c r="O277" s="7"/>
      <c r="P277" s="7"/>
    </row>
    <row r="278" spans="1:16">
      <c r="A278" s="482">
        <v>452</v>
      </c>
      <c r="B278" s="476">
        <v>9</v>
      </c>
      <c r="D278" s="65"/>
      <c r="E278" s="7"/>
      <c r="F278" s="7"/>
      <c r="G278" s="72"/>
      <c r="H278" s="357"/>
      <c r="I278" s="357"/>
      <c r="J278" s="357"/>
      <c r="K278" s="77"/>
      <c r="L278" s="7"/>
      <c r="M278" s="7"/>
      <c r="N278" s="7"/>
      <c r="O278" s="7"/>
      <c r="P278" s="7"/>
    </row>
    <row r="279" spans="1:16">
      <c r="A279" s="481">
        <v>453</v>
      </c>
      <c r="B279" s="477" t="str">
        <f>IF($J279="","",1)</f>
        <v/>
      </c>
      <c r="E279" s="64" t="s">
        <v>130</v>
      </c>
      <c r="F279" s="64"/>
      <c r="G279" s="494"/>
      <c r="H279" s="515"/>
      <c r="I279" s="516"/>
      <c r="J279" s="516"/>
      <c r="K279"/>
    </row>
    <row r="280" spans="1:16">
      <c r="A280" s="482">
        <v>454</v>
      </c>
      <c r="B280" s="477" t="str">
        <f>IF($J280="","",1)</f>
        <v/>
      </c>
      <c r="E280" s="64" t="s">
        <v>131</v>
      </c>
      <c r="F280" s="64"/>
      <c r="G280" s="494"/>
      <c r="H280" s="515"/>
      <c r="I280" s="516"/>
      <c r="J280" s="516"/>
      <c r="K280"/>
    </row>
    <row r="281" spans="1:16" ht="13.8" thickBot="1">
      <c r="A281" s="481">
        <v>455</v>
      </c>
      <c r="B281" s="477" t="str">
        <f>IF($J281="","",1)</f>
        <v/>
      </c>
      <c r="E281" s="64" t="s">
        <v>132</v>
      </c>
      <c r="F281" s="64"/>
      <c r="G281" s="494"/>
      <c r="H281" s="515"/>
      <c r="I281" s="516"/>
      <c r="J281" s="516"/>
      <c r="K281"/>
    </row>
    <row r="282" spans="1:16" ht="13.8" thickBot="1">
      <c r="A282" s="482">
        <v>456</v>
      </c>
      <c r="B282" s="477">
        <f>IF($J282="","",1)</f>
        <v>1</v>
      </c>
      <c r="E282" s="146"/>
      <c r="F282" s="146"/>
      <c r="G282" s="66" t="s">
        <v>463</v>
      </c>
      <c r="H282" s="202">
        <f>$H$276+$H$279+$H$280-$H$281</f>
        <v>920715.76</v>
      </c>
      <c r="I282" s="203">
        <f>$I$276+$I$279+$I$280-$I$281</f>
        <v>73657.260000000009</v>
      </c>
      <c r="J282" s="204">
        <f>$J$276+$J$279+$J$280-$J$281</f>
        <v>994373.02</v>
      </c>
      <c r="K282" s="142"/>
    </row>
    <row r="283" spans="1:16">
      <c r="A283" s="481">
        <v>457</v>
      </c>
      <c r="B283" s="477" t="str">
        <f>IF(OR($J283="",$J283=0),"",1)</f>
        <v/>
      </c>
      <c r="D283" s="68" t="s">
        <v>149</v>
      </c>
      <c r="E283" s="517"/>
      <c r="F283" s="494" t="s">
        <v>152</v>
      </c>
      <c r="G283" s="518"/>
      <c r="H283" s="519"/>
      <c r="I283" s="519"/>
      <c r="J283" s="278">
        <f t="shared" ref="J283:J295" si="9">$H283+$I283</f>
        <v>0</v>
      </c>
      <c r="K283" s="8"/>
    </row>
    <row r="284" spans="1:16">
      <c r="A284" s="482">
        <v>458</v>
      </c>
      <c r="B284" s="477" t="str">
        <f t="shared" ref="B284:B297" si="10">IF(OR($J284="",$J284=0),"",1)</f>
        <v/>
      </c>
      <c r="D284" s="67"/>
      <c r="E284" s="520"/>
      <c r="F284" s="494" t="s">
        <v>152</v>
      </c>
      <c r="G284" s="494"/>
      <c r="H284" s="519"/>
      <c r="I284" s="519"/>
      <c r="J284" s="278">
        <f t="shared" si="9"/>
        <v>0</v>
      </c>
      <c r="K284" s="142"/>
    </row>
    <row r="285" spans="1:16">
      <c r="A285" s="481">
        <v>459</v>
      </c>
      <c r="B285" s="477" t="str">
        <f t="shared" si="10"/>
        <v/>
      </c>
      <c r="D285" s="68" t="s">
        <v>133</v>
      </c>
      <c r="E285" s="521"/>
      <c r="F285" s="494" t="s">
        <v>151</v>
      </c>
      <c r="G285" s="494"/>
      <c r="H285" s="519"/>
      <c r="I285" s="519"/>
      <c r="J285" s="278">
        <f t="shared" si="9"/>
        <v>0</v>
      </c>
      <c r="K285" s="142"/>
    </row>
    <row r="286" spans="1:16">
      <c r="A286" s="482">
        <v>460</v>
      </c>
      <c r="B286" s="477" t="str">
        <f t="shared" si="10"/>
        <v/>
      </c>
      <c r="E286" s="520"/>
      <c r="F286" s="494" t="s">
        <v>151</v>
      </c>
      <c r="G286" s="494"/>
      <c r="H286" s="519"/>
      <c r="I286" s="519"/>
      <c r="J286" s="278">
        <f t="shared" si="9"/>
        <v>0</v>
      </c>
      <c r="K286" s="142"/>
    </row>
    <row r="287" spans="1:16">
      <c r="A287" s="482">
        <v>461</v>
      </c>
      <c r="B287" s="477" t="str">
        <f t="shared" si="10"/>
        <v/>
      </c>
      <c r="D287" s="67"/>
      <c r="E287" s="520"/>
      <c r="F287" s="494" t="s">
        <v>151</v>
      </c>
      <c r="G287" s="494"/>
      <c r="H287" s="519"/>
      <c r="I287" s="519"/>
      <c r="J287" s="278">
        <f t="shared" si="9"/>
        <v>0</v>
      </c>
      <c r="K287" s="142"/>
    </row>
    <row r="288" spans="1:16">
      <c r="A288" s="481">
        <v>462</v>
      </c>
      <c r="B288" s="477" t="str">
        <f t="shared" si="10"/>
        <v/>
      </c>
      <c r="D288" s="68" t="s">
        <v>148</v>
      </c>
      <c r="E288" s="521"/>
      <c r="F288" s="494" t="s">
        <v>151</v>
      </c>
      <c r="G288" s="518"/>
      <c r="H288" s="519"/>
      <c r="I288" s="519"/>
      <c r="J288" s="278">
        <f t="shared" si="9"/>
        <v>0</v>
      </c>
      <c r="K288" s="142"/>
    </row>
    <row r="289" spans="1:16">
      <c r="A289" s="482">
        <v>463</v>
      </c>
      <c r="B289" s="477" t="str">
        <f t="shared" si="10"/>
        <v/>
      </c>
      <c r="D289" s="67"/>
      <c r="E289" s="520"/>
      <c r="F289" s="494" t="s">
        <v>151</v>
      </c>
      <c r="G289" s="494"/>
      <c r="H289" s="519"/>
      <c r="I289" s="519"/>
      <c r="J289" s="278">
        <f t="shared" si="9"/>
        <v>0</v>
      </c>
      <c r="K289" s="142"/>
    </row>
    <row r="290" spans="1:16">
      <c r="A290" s="481">
        <v>464</v>
      </c>
      <c r="B290" s="477" t="str">
        <f t="shared" si="10"/>
        <v/>
      </c>
      <c r="D290" s="67"/>
      <c r="E290" s="520"/>
      <c r="F290" s="494" t="s">
        <v>151</v>
      </c>
      <c r="G290" s="494"/>
      <c r="H290" s="519"/>
      <c r="I290" s="519"/>
      <c r="J290" s="278">
        <f t="shared" si="9"/>
        <v>0</v>
      </c>
      <c r="K290" s="142"/>
    </row>
    <row r="291" spans="1:16">
      <c r="A291" s="482">
        <v>465</v>
      </c>
      <c r="B291" s="477" t="str">
        <f t="shared" si="10"/>
        <v/>
      </c>
      <c r="D291" s="68" t="s">
        <v>202</v>
      </c>
      <c r="E291" s="521"/>
      <c r="F291" s="494" t="s">
        <v>151</v>
      </c>
      <c r="G291" s="518"/>
      <c r="H291" s="519"/>
      <c r="I291" s="519"/>
      <c r="J291" s="278">
        <f t="shared" si="9"/>
        <v>0</v>
      </c>
      <c r="K291" s="142"/>
    </row>
    <row r="292" spans="1:16">
      <c r="A292" s="481">
        <v>466</v>
      </c>
      <c r="B292" s="477" t="str">
        <f t="shared" si="10"/>
        <v/>
      </c>
      <c r="D292" s="67"/>
      <c r="E292" s="520"/>
      <c r="F292" s="494" t="s">
        <v>151</v>
      </c>
      <c r="G292" s="494"/>
      <c r="H292" s="519"/>
      <c r="I292" s="519"/>
      <c r="J292" s="278">
        <f t="shared" si="9"/>
        <v>0</v>
      </c>
      <c r="K292" s="142"/>
    </row>
    <row r="293" spans="1:16">
      <c r="A293" s="482">
        <v>467</v>
      </c>
      <c r="B293" s="477" t="str">
        <f t="shared" si="10"/>
        <v/>
      </c>
      <c r="D293" s="67"/>
      <c r="E293" s="520"/>
      <c r="F293" s="494" t="s">
        <v>151</v>
      </c>
      <c r="G293" s="494"/>
      <c r="H293" s="519"/>
      <c r="I293" s="519"/>
      <c r="J293" s="278">
        <f t="shared" si="9"/>
        <v>0</v>
      </c>
      <c r="K293" s="142"/>
    </row>
    <row r="294" spans="1:16">
      <c r="A294" s="481">
        <v>468</v>
      </c>
      <c r="B294" s="477" t="str">
        <f t="shared" si="10"/>
        <v/>
      </c>
      <c r="D294" s="7" t="s">
        <v>145</v>
      </c>
      <c r="E294" s="522"/>
      <c r="F294" s="494" t="s">
        <v>151</v>
      </c>
      <c r="G294" s="494"/>
      <c r="H294" s="519"/>
      <c r="I294" s="519"/>
      <c r="J294" s="278">
        <f t="shared" si="9"/>
        <v>0</v>
      </c>
      <c r="K294" s="142"/>
      <c r="L294" s="7"/>
      <c r="M294" s="7"/>
      <c r="N294" s="7"/>
      <c r="O294" s="7"/>
      <c r="P294" s="7"/>
    </row>
    <row r="295" spans="1:16">
      <c r="A295" s="482">
        <v>469</v>
      </c>
      <c r="B295" s="477" t="str">
        <f t="shared" si="10"/>
        <v/>
      </c>
      <c r="D295" s="7" t="s">
        <v>145</v>
      </c>
      <c r="E295" s="522"/>
      <c r="F295" s="494" t="s">
        <v>151</v>
      </c>
      <c r="G295" s="494"/>
      <c r="H295" s="519"/>
      <c r="I295" s="519"/>
      <c r="J295" s="278">
        <f t="shared" si="9"/>
        <v>0</v>
      </c>
      <c r="K295" s="142"/>
      <c r="L295" s="7"/>
      <c r="M295" s="7"/>
      <c r="N295" s="7"/>
      <c r="O295" s="7"/>
      <c r="P295" s="7"/>
    </row>
    <row r="296" spans="1:16">
      <c r="A296" s="481">
        <v>470</v>
      </c>
      <c r="B296" s="477" t="str">
        <f t="shared" si="10"/>
        <v/>
      </c>
      <c r="D296" s="65"/>
      <c r="E296" s="523"/>
      <c r="F296" s="494" t="s">
        <v>152</v>
      </c>
      <c r="G296" s="518"/>
      <c r="H296" s="519"/>
      <c r="I296" s="519"/>
      <c r="J296" s="278">
        <f>$H296+$I296</f>
        <v>0</v>
      </c>
      <c r="K296" s="8"/>
      <c r="L296" s="7"/>
      <c r="M296" s="7"/>
      <c r="N296" s="7"/>
      <c r="O296" s="7"/>
      <c r="P296" s="7"/>
    </row>
    <row r="297" spans="1:16" ht="13.8" thickBot="1">
      <c r="A297" s="482">
        <v>471</v>
      </c>
      <c r="B297" s="477" t="str">
        <f t="shared" si="10"/>
        <v/>
      </c>
      <c r="D297" s="65"/>
      <c r="E297" s="523"/>
      <c r="F297" s="494" t="s">
        <v>152</v>
      </c>
      <c r="G297" s="518"/>
      <c r="H297" s="519"/>
      <c r="I297" s="519"/>
      <c r="J297" s="278">
        <f>$H297+$I297</f>
        <v>0</v>
      </c>
      <c r="K297" s="7"/>
      <c r="L297" s="7"/>
      <c r="M297" s="7"/>
      <c r="N297" s="7"/>
      <c r="O297" s="7"/>
      <c r="P297" s="7"/>
    </row>
    <row r="298" spans="1:16" ht="13.8" thickBot="1">
      <c r="A298" s="482">
        <v>472</v>
      </c>
      <c r="B298" s="477">
        <f>IF($H298="","",1)</f>
        <v>1</v>
      </c>
      <c r="E298" s="146"/>
      <c r="F298" s="146"/>
      <c r="G298" s="68" t="s">
        <v>134</v>
      </c>
      <c r="H298" s="205">
        <f>SUM($H$282:$H$284)-SUM($H$285:$H$295)+SUM($H$296:$H$297)</f>
        <v>920715.76</v>
      </c>
      <c r="I298" s="206">
        <f>SUM($I$282:$I$284)-SUM($I$285:$I$295)+SUM($I$296:$I$297)</f>
        <v>73657.260000000009</v>
      </c>
      <c r="J298" s="207">
        <f>SUM($J$282:$J$284)-SUM($J$285:$J$295)+SUM($J$296:$J$297)</f>
        <v>994373.02</v>
      </c>
      <c r="K298" s="142"/>
    </row>
    <row r="299" spans="1:16">
      <c r="A299" s="481">
        <v>473</v>
      </c>
      <c r="B299" s="478">
        <v>1</v>
      </c>
      <c r="C299" s="415"/>
      <c r="D299" s="348"/>
      <c r="E299" s="411"/>
      <c r="F299" s="411"/>
      <c r="G299" s="415"/>
      <c r="H299" s="348"/>
      <c r="I299" s="348"/>
      <c r="J299" s="348"/>
      <c r="K299" s="142"/>
    </row>
    <row r="300" spans="1:16">
      <c r="A300" s="482">
        <v>474</v>
      </c>
      <c r="B300" s="478">
        <v>1</v>
      </c>
      <c r="C300" s="415"/>
      <c r="D300" s="348"/>
      <c r="E300" s="411"/>
      <c r="F300" s="411"/>
      <c r="G300" s="415"/>
      <c r="H300" s="348"/>
      <c r="I300" s="348"/>
      <c r="J300" s="348"/>
      <c r="K300" s="142"/>
    </row>
    <row r="301" spans="1:16">
      <c r="A301" s="481">
        <v>475</v>
      </c>
      <c r="B301" s="476">
        <v>1</v>
      </c>
      <c r="D301" s="165" t="s">
        <v>433</v>
      </c>
      <c r="E301" s="505" t="s">
        <v>434</v>
      </c>
      <c r="F301" s="506"/>
      <c r="G301" s="494"/>
      <c r="H301" s="279">
        <f>SUMIF($D$245:$D$275,$E301,$H$245:$H$275)</f>
        <v>0</v>
      </c>
      <c r="I301" s="279">
        <f>SUMIF($D$245:$D$275,$E301,$I$245:$I$275)</f>
        <v>0</v>
      </c>
      <c r="J301" s="279">
        <f>SUMIF($D$245:$D$275,$E301,$J$245:$J$275)</f>
        <v>0</v>
      </c>
      <c r="K301" s="240"/>
    </row>
    <row r="302" spans="1:16">
      <c r="A302" s="482">
        <v>476</v>
      </c>
      <c r="B302" s="477" t="str">
        <f t="shared" ref="B302:B306" si="11">IF(OR($J302="",$J302=0),"",1)</f>
        <v/>
      </c>
      <c r="E302" s="507" t="s">
        <v>513</v>
      </c>
      <c r="F302" s="506"/>
      <c r="G302" s="494"/>
      <c r="H302" s="279">
        <f>SUMIF($D$245:$D$275,$E302,$H$245:$H$275)</f>
        <v>0</v>
      </c>
      <c r="I302" s="279">
        <f>SUMIF($D$245:$D$275,$E302,$I$245:$I$275)</f>
        <v>0</v>
      </c>
      <c r="J302" s="279">
        <f>SUMIF($D$245:$D$275,$E302,$J$245:$J$275)</f>
        <v>0</v>
      </c>
      <c r="K302" s="289"/>
    </row>
    <row r="303" spans="1:16">
      <c r="A303" s="481">
        <v>477</v>
      </c>
      <c r="B303" s="477" t="str">
        <f t="shared" si="11"/>
        <v/>
      </c>
      <c r="E303" s="507" t="s">
        <v>435</v>
      </c>
      <c r="F303" s="506"/>
      <c r="G303" s="494"/>
      <c r="H303" s="279">
        <f t="shared" ref="H303:H304" si="12">SUMIF($D$245:$D$275,$E303,$H$245:$H$275)</f>
        <v>0</v>
      </c>
      <c r="I303" s="279">
        <f t="shared" ref="I303:I304" si="13">SUMIF($D$245:$D$275,$E303,$I$245:$I$275)</f>
        <v>0</v>
      </c>
      <c r="J303" s="279">
        <f t="shared" ref="J303:J304" si="14">SUMIF($D$245:$D$275,$E303,$J$245:$J$275)</f>
        <v>0</v>
      </c>
      <c r="K303" s="289"/>
    </row>
    <row r="304" spans="1:16">
      <c r="A304" s="482">
        <v>478</v>
      </c>
      <c r="B304" s="477" t="str">
        <f t="shared" si="11"/>
        <v/>
      </c>
      <c r="E304" s="507"/>
      <c r="F304" s="506"/>
      <c r="G304" s="494"/>
      <c r="H304" s="279">
        <f t="shared" si="12"/>
        <v>0</v>
      </c>
      <c r="I304" s="279">
        <f t="shared" si="13"/>
        <v>0</v>
      </c>
      <c r="J304" s="279">
        <f t="shared" si="14"/>
        <v>0</v>
      </c>
      <c r="K304" s="289"/>
    </row>
    <row r="305" spans="1:14">
      <c r="A305" s="481">
        <v>479</v>
      </c>
      <c r="B305" s="477" t="str">
        <f t="shared" si="11"/>
        <v/>
      </c>
      <c r="E305" s="507"/>
      <c r="F305" s="506"/>
      <c r="G305" s="494"/>
      <c r="H305" s="279">
        <f>SUMIF($D$245:$D$275,$E305,$H$245:$H$275)</f>
        <v>0</v>
      </c>
      <c r="I305" s="279">
        <f>SUMIF($D$245:$D$275,$E305,$I$245:$I$275)</f>
        <v>0</v>
      </c>
      <c r="J305" s="279">
        <f>SUMIF($D$245:$D$275,$E305,$J$245:$J$275)</f>
        <v>0</v>
      </c>
      <c r="K305" s="289"/>
    </row>
    <row r="306" spans="1:14">
      <c r="A306" s="482">
        <v>480</v>
      </c>
      <c r="B306" s="477" t="str">
        <f t="shared" si="11"/>
        <v/>
      </c>
      <c r="E306" s="507"/>
      <c r="F306" s="506"/>
      <c r="G306" s="494"/>
      <c r="H306" s="279">
        <f>SUMIF($D$245:$D$275,$E306,$H$245:$H$275)</f>
        <v>0</v>
      </c>
      <c r="I306" s="279">
        <f>SUMIF($D$245:$D$275,$E306,$I$245:$I$275)</f>
        <v>0</v>
      </c>
      <c r="J306" s="279">
        <f>SUMIF($D$245:$D$275,$E306,$J$245:$J$275)</f>
        <v>0</v>
      </c>
      <c r="K306" s="240"/>
    </row>
    <row r="307" spans="1:14">
      <c r="A307" s="481">
        <v>481</v>
      </c>
      <c r="B307" s="476">
        <v>1</v>
      </c>
      <c r="E307" s="508" t="s">
        <v>436</v>
      </c>
      <c r="F307" s="509"/>
      <c r="G307" s="510"/>
      <c r="H307" s="295">
        <f>SUM($H$301:$H$306)</f>
        <v>0</v>
      </c>
      <c r="I307" s="295">
        <f>SUM($I$301:$I$306)</f>
        <v>0</v>
      </c>
      <c r="J307" s="296">
        <f>SUM($J$301:$J$306)</f>
        <v>0</v>
      </c>
      <c r="K307" s="240"/>
    </row>
    <row r="308" spans="1:14">
      <c r="A308" s="482">
        <v>482</v>
      </c>
      <c r="B308" s="476">
        <v>1</v>
      </c>
      <c r="E308" s="505" t="s">
        <v>12</v>
      </c>
      <c r="F308" s="506"/>
      <c r="G308" s="494"/>
      <c r="H308" s="279">
        <f>SUMIF($D$245:$D$275,$E308,$H$245:$H$275)</f>
        <v>0</v>
      </c>
      <c r="I308" s="279">
        <f>SUMIF($D$245:$D$275,$E308,$I$245:$I$275)</f>
        <v>0</v>
      </c>
      <c r="J308" s="279">
        <f>SUMIF($D$245:$D$275,$E308,$J$245:$J$275)</f>
        <v>0</v>
      </c>
      <c r="K308" s="142"/>
    </row>
    <row r="309" spans="1:14">
      <c r="A309" s="481">
        <v>483</v>
      </c>
      <c r="B309" s="476">
        <v>1</v>
      </c>
      <c r="E309" s="511" t="s">
        <v>175</v>
      </c>
      <c r="F309" s="512"/>
      <c r="G309" s="512"/>
      <c r="H309" s="279">
        <f>SUMIF($D$245:$D$275,$E309,$H$245:$H$275)</f>
        <v>0</v>
      </c>
      <c r="I309" s="279">
        <f>SUMIF($D$245:$D$275,$E309,$I$245:$I$275)</f>
        <v>0</v>
      </c>
      <c r="J309" s="279">
        <f>SUMIF($D$245:$D$275,$E309,$J$245:$J$275)</f>
        <v>0</v>
      </c>
      <c r="K309" s="142"/>
    </row>
    <row r="310" spans="1:14">
      <c r="A310" s="482">
        <v>484</v>
      </c>
      <c r="B310" s="476">
        <v>1</v>
      </c>
      <c r="E310" s="163" t="s">
        <v>150</v>
      </c>
      <c r="F310" s="146"/>
      <c r="H310" s="208">
        <f>$H$298-SUM($H$307:$H$309)</f>
        <v>920715.76</v>
      </c>
      <c r="I310" s="208">
        <f>$I$298-SUM($I$307:$I$309)</f>
        <v>73657.260000000009</v>
      </c>
      <c r="J310" s="208">
        <f>$J$298-SUM($J$307:$J$309)</f>
        <v>994373.02</v>
      </c>
      <c r="K310" s="142"/>
    </row>
    <row r="311" spans="1:14" s="348" customFormat="1">
      <c r="A311" s="482" t="s">
        <v>425</v>
      </c>
      <c r="B311" s="473"/>
      <c r="C311" s="415"/>
      <c r="E311" s="411"/>
      <c r="F311" s="411"/>
      <c r="G311" s="415"/>
    </row>
    <row r="312" spans="1:14" s="348" customFormat="1">
      <c r="A312" s="482" t="s">
        <v>425</v>
      </c>
      <c r="B312" s="473"/>
      <c r="C312" s="415"/>
      <c r="E312" s="411"/>
      <c r="F312" s="411"/>
      <c r="G312" s="415"/>
    </row>
    <row r="313" spans="1:14" s="348" customFormat="1">
      <c r="A313" s="482" t="s">
        <v>425</v>
      </c>
      <c r="B313" s="473"/>
      <c r="C313" s="415"/>
      <c r="E313" s="411"/>
      <c r="F313" s="411"/>
      <c r="G313" s="415"/>
    </row>
    <row r="314" spans="1:14" ht="19.2">
      <c r="A314" s="482" t="s">
        <v>425</v>
      </c>
      <c r="B314" s="476">
        <v>9</v>
      </c>
      <c r="D314" s="859">
        <f>$D$3</f>
        <v>43190</v>
      </c>
      <c r="E314" s="859"/>
      <c r="F314" s="859"/>
      <c r="G314" s="859"/>
      <c r="H314" s="859"/>
      <c r="I314" s="859"/>
      <c r="J314" s="859"/>
      <c r="K314" s="859"/>
    </row>
    <row r="315" spans="1:14" ht="19.2">
      <c r="A315" s="482" t="s">
        <v>425</v>
      </c>
      <c r="B315" s="476">
        <v>9</v>
      </c>
      <c r="D315" s="851">
        <f>$D314+15</f>
        <v>43205</v>
      </c>
      <c r="E315" s="852"/>
      <c r="F315" s="852"/>
      <c r="G315" s="852"/>
      <c r="H315" s="852"/>
      <c r="I315" s="852"/>
      <c r="J315" s="852"/>
      <c r="K315" s="142"/>
    </row>
    <row r="316" spans="1:14" s="348" customFormat="1">
      <c r="A316" s="482" t="s">
        <v>425</v>
      </c>
      <c r="B316" s="478">
        <v>9</v>
      </c>
      <c r="C316" s="415"/>
      <c r="E316" s="419"/>
      <c r="F316" s="419"/>
      <c r="G316" s="415"/>
      <c r="K316" s="349"/>
    </row>
    <row r="317" spans="1:14" s="348" customFormat="1">
      <c r="A317" s="482" t="s">
        <v>425</v>
      </c>
      <c r="B317" s="478">
        <v>9</v>
      </c>
      <c r="C317" s="390"/>
      <c r="D317" s="850" t="s">
        <v>142</v>
      </c>
      <c r="E317" s="850"/>
      <c r="F317" s="388"/>
      <c r="G317" s="390" t="s">
        <v>9</v>
      </c>
      <c r="H317" s="388" t="s">
        <v>126</v>
      </c>
      <c r="I317" s="388" t="s">
        <v>127</v>
      </c>
      <c r="J317" s="388" t="s">
        <v>128</v>
      </c>
      <c r="K317" s="369"/>
      <c r="L317" s="388"/>
      <c r="M317" s="388"/>
      <c r="N317" s="388"/>
    </row>
    <row r="318" spans="1:14" s="348" customFormat="1">
      <c r="A318" s="482" t="s">
        <v>425</v>
      </c>
      <c r="B318" s="478">
        <v>9</v>
      </c>
      <c r="C318" s="390"/>
      <c r="D318" s="388" t="s">
        <v>45</v>
      </c>
      <c r="E318" s="389" t="s">
        <v>141</v>
      </c>
      <c r="F318" s="389"/>
      <c r="G318" s="369"/>
      <c r="H318" s="388" t="s">
        <v>123</v>
      </c>
      <c r="I318" s="388" t="s">
        <v>96</v>
      </c>
      <c r="J318" s="388" t="s">
        <v>137</v>
      </c>
      <c r="K318" s="369"/>
      <c r="L318" s="388"/>
      <c r="M318" s="388"/>
      <c r="N318" s="388"/>
    </row>
    <row r="319" spans="1:14">
      <c r="A319" s="481">
        <v>1</v>
      </c>
      <c r="B319" s="477">
        <f>IF($J319="",IF($J318="","",1),1)</f>
        <v>1</v>
      </c>
      <c r="D319" s="844" t="str">
        <f>IF(OR($G319="",$G319="小計"),"",INDEX(請求Data!$T$11:$T$160,MATCH($G319,請求Data!$I$11:$I$160,0))&amp;"")</f>
        <v xml:space="preserve">株式会社 バンダイ　3100／ベンダー事業部 </v>
      </c>
      <c r="E319" s="844"/>
      <c r="F319" s="75"/>
      <c r="G319" s="147" t="str">
        <f>IF(ISNA(MATCH($A319,Sheet1!$D$7:$D$133,0)),IF($A319&gt;MAX(Sheet1!$Q$7:$Q$133),"",IF($G318="小計","","小計")),IF($A319&gt;MAX(Sheet1!$D$7:$D$133),"",VLOOKUP($A319,Sheet1!$D$7:$U$133,Sheet1!$I$5-Sheet1!$C$5,FALSE)))</f>
        <v>39-B07020</v>
      </c>
      <c r="H319" s="277">
        <f>IF($G319="","",IF($G319="小計",VLOOKUP($A319,Sheet1!$Q$7:$U$133,Sheet1!$S$5-Sheet1!$P$5,FALSE),VLOOKUP($G319,Sheet1!$I$7:$N$133,Sheet1!$L$5-Sheet1!$H$5,FALSE)))</f>
        <v>15497.73</v>
      </c>
      <c r="I319" s="277">
        <f>IF($G319="","",IF($G319="小計",VLOOKUP($A319,Sheet1!$Q$7:$U$133,Sheet1!$T$5-Sheet1!$P$5,FALSE),VLOOKUP($G319,Sheet1!$I$7:$N$133,Sheet1!$M$5-Sheet1!$H$5,FALSE)))</f>
        <v>1239.82</v>
      </c>
      <c r="J319" s="277">
        <f>IF($G319="","",IF($G319="小計",VLOOKUP($A319,Sheet1!$Q$7:$U$133,Sheet1!$U$5-Sheet1!$P$5,FALSE),VLOOKUP($G319,Sheet1!$I$7:$N$133,Sheet1!$N$5-Sheet1!$H$5,FALSE)))</f>
        <v>16737.55</v>
      </c>
      <c r="K319" s="610" t="str">
        <f>IF(OR($G319="",$G319="小計"),"",IF(VLOOKUP($G319,請求Data!$I$11:$AR$160,請求Data!$AR$10-請求Data!$H$10,FALSE)="","",VLOOKUP($G319,請求Data!$I$11:$AR$160,請求Data!$AR$10-請求Data!$H$10,FALSE)))</f>
        <v/>
      </c>
    </row>
    <row r="320" spans="1:14">
      <c r="A320" s="482">
        <v>2</v>
      </c>
      <c r="B320" s="477">
        <f t="shared" ref="B320:B349" si="15">IF($J320="",IF($J319="","",1),1)</f>
        <v>1</v>
      </c>
      <c r="D320" s="844" t="str">
        <f>IF(OR($G320="",$G320="小計"),"",INDEX(請求Data!$T$11:$T$160,MATCH($G320,請求Data!$I$11:$I$160,0))&amp;"")</f>
        <v/>
      </c>
      <c r="E320" s="844"/>
      <c r="F320" s="75"/>
      <c r="G320" s="147" t="str">
        <f>IF(ISNA(MATCH($A320,Sheet1!$D$7:$D$133,0)),IF($A320&gt;MAX(Sheet1!$Q$7:$Q$133),"",IF($G319="小計","","小計")),IF($A320&gt;MAX(Sheet1!$D$7:$D$133),"",VLOOKUP($A320,Sheet1!$D$7:$U$133,Sheet1!$I$5-Sheet1!$C$5,FALSE)))</f>
        <v>小計</v>
      </c>
      <c r="H320" s="277">
        <f>IF($G320="","",IF($G320="小計",VLOOKUP($A320,Sheet1!$Q$7:$U$133,Sheet1!$S$5-Sheet1!$P$5,FALSE),VLOOKUP($G320,Sheet1!$I$7:$N$133,Sheet1!$L$5-Sheet1!$H$5,FALSE)))</f>
        <v>15497.73</v>
      </c>
      <c r="I320" s="277">
        <f>IF($G320="","",IF($G320="小計",VLOOKUP($A320,Sheet1!$Q$7:$U$133,Sheet1!$T$5-Sheet1!$P$5,FALSE),VLOOKUP($G320,Sheet1!$I$7:$N$133,Sheet1!$M$5-Sheet1!$H$5,FALSE)))</f>
        <v>1239.82</v>
      </c>
      <c r="J320" s="277">
        <f>IF($G320="","",IF($G320="小計",VLOOKUP($A320,Sheet1!$Q$7:$U$133,Sheet1!$U$5-Sheet1!$P$5,FALSE),VLOOKUP($G320,Sheet1!$I$7:$N$133,Sheet1!$N$5-Sheet1!$H$5,FALSE)))</f>
        <v>16737.55</v>
      </c>
      <c r="K320" s="610" t="str">
        <f>IF(OR($G320="",$G320="小計"),"",IF(VLOOKUP($G320,請求Data!$I$11:$AR$160,請求Data!$AR$10-請求Data!$H$10,FALSE)="","",VLOOKUP($G320,請求Data!$I$11:$AR$160,請求Data!$AR$10-請求Data!$H$10,FALSE)))</f>
        <v/>
      </c>
    </row>
    <row r="321" spans="1:11">
      <c r="A321" s="481">
        <v>3</v>
      </c>
      <c r="B321" s="477">
        <f t="shared" si="15"/>
        <v>1</v>
      </c>
      <c r="D321" s="844" t="str">
        <f>IF(OR($G321="",$G321="小計"),"",INDEX(請求Data!$T$11:$T$160,MATCH($G321,請求Data!$I$11:$I$160,0))&amp;"")</f>
        <v/>
      </c>
      <c r="E321" s="844"/>
      <c r="F321" s="75"/>
      <c r="G321" s="147" t="str">
        <f>IF(ISNA(MATCH($A321,Sheet1!$D$7:$D$133,0)),IF($A321&gt;MAX(Sheet1!$Q$7:$Q$133),"",IF($G320="小計","","小計")),IF($A321&gt;MAX(Sheet1!$D$7:$D$133),"",VLOOKUP($A321,Sheet1!$D$7:$U$133,Sheet1!$I$5-Sheet1!$C$5,FALSE)))</f>
        <v/>
      </c>
      <c r="H321" s="277" t="str">
        <f>IF($G321="","",IF($G321="小計",VLOOKUP($A321,Sheet1!$Q$7:$U$133,Sheet1!$S$5-Sheet1!$P$5,FALSE),VLOOKUP($G321,Sheet1!$I$7:$N$133,Sheet1!$L$5-Sheet1!$H$5,FALSE)))</f>
        <v/>
      </c>
      <c r="I321" s="277" t="str">
        <f>IF($G321="","",IF($G321="小計",VLOOKUP($A321,Sheet1!$Q$7:$U$133,Sheet1!$T$5-Sheet1!$P$5,FALSE),VLOOKUP($G321,Sheet1!$I$7:$N$133,Sheet1!$M$5-Sheet1!$H$5,FALSE)))</f>
        <v/>
      </c>
      <c r="J321" s="277" t="str">
        <f>IF($G321="","",IF($G321="小計",VLOOKUP($A321,Sheet1!$Q$7:$U$133,Sheet1!$U$5-Sheet1!$P$5,FALSE),VLOOKUP($G321,Sheet1!$I$7:$N$133,Sheet1!$N$5-Sheet1!$H$5,FALSE)))</f>
        <v/>
      </c>
      <c r="K321" s="610" t="str">
        <f>IF(OR($G321="",$G321="小計"),"",IF(VLOOKUP($G321,請求Data!$I$11:$AR$160,請求Data!$AR$10-請求Data!$H$10,FALSE)="","",VLOOKUP($G321,請求Data!$I$11:$AR$160,請求Data!$AR$10-請求Data!$H$10,FALSE)))</f>
        <v/>
      </c>
    </row>
    <row r="322" spans="1:11">
      <c r="A322" s="482">
        <v>4</v>
      </c>
      <c r="B322" s="477">
        <f t="shared" si="15"/>
        <v>1</v>
      </c>
      <c r="D322" s="844" t="str">
        <f>IF(OR($G322="",$G322="小計"),"",INDEX(請求Data!$T$11:$T$160,MATCH($G322,請求Data!$I$11:$I$160,0))&amp;"")</f>
        <v>株式会社BANDAI SPIRITS</v>
      </c>
      <c r="E322" s="844"/>
      <c r="F322" s="75"/>
      <c r="G322" s="147" t="str">
        <f>IF(ISNA(MATCH($A322,Sheet1!$D$7:$D$133,0)),IF($A322&gt;MAX(Sheet1!$Q$7:$Q$133),"",IF($G321="小計","","小計")),IF($A322&gt;MAX(Sheet1!$D$7:$D$133),"",VLOOKUP($A322,Sheet1!$D$7:$U$133,Sheet1!$I$5-Sheet1!$C$5,FALSE)))</f>
        <v>39-B07016</v>
      </c>
      <c r="H322" s="277">
        <f>IF($G322="","",IF($G322="小計",VLOOKUP($A322,Sheet1!$Q$7:$U$133,Sheet1!$S$5-Sheet1!$P$5,FALSE),VLOOKUP($G322,Sheet1!$I$7:$N$133,Sheet1!$L$5-Sheet1!$H$5,FALSE)))</f>
        <v>221400</v>
      </c>
      <c r="I322" s="277">
        <f>IF($G322="","",IF($G322="小計",VLOOKUP($A322,Sheet1!$Q$7:$U$133,Sheet1!$T$5-Sheet1!$P$5,FALSE),VLOOKUP($G322,Sheet1!$I$7:$N$133,Sheet1!$M$5-Sheet1!$H$5,FALSE)))</f>
        <v>17712</v>
      </c>
      <c r="J322" s="277">
        <f>IF($G322="","",IF($G322="小計",VLOOKUP($A322,Sheet1!$Q$7:$U$133,Sheet1!$U$5-Sheet1!$P$5,FALSE),VLOOKUP($G322,Sheet1!$I$7:$N$133,Sheet1!$N$5-Sheet1!$H$5,FALSE)))</f>
        <v>239112</v>
      </c>
      <c r="K322" s="610" t="str">
        <f>IF(OR($G322="",$G322="小計"),"",IF(VLOOKUP($G322,請求Data!$I$11:$AR$160,請求Data!$AR$10-請求Data!$H$10,FALSE)="","",VLOOKUP($G322,請求Data!$I$11:$AR$160,請求Data!$AR$10-請求Data!$H$10,FALSE)))</f>
        <v/>
      </c>
    </row>
    <row r="323" spans="1:11">
      <c r="A323" s="481">
        <v>5</v>
      </c>
      <c r="B323" s="477">
        <f t="shared" si="15"/>
        <v>1</v>
      </c>
      <c r="D323" s="844" t="str">
        <f>IF(OR($G323="",$G323="小計"),"",INDEX(請求Data!$T$11:$T$160,MATCH($G323,請求Data!$I$11:$I$160,0))&amp;"")</f>
        <v/>
      </c>
      <c r="E323" s="844"/>
      <c r="F323" s="75"/>
      <c r="G323" s="147" t="str">
        <f>IF(ISNA(MATCH($A323,Sheet1!$D$7:$D$133,0)),IF($A323&gt;MAX(Sheet1!$Q$7:$Q$133),"",IF($G322="小計","","小計")),IF($A323&gt;MAX(Sheet1!$D$7:$D$133),"",VLOOKUP($A323,Sheet1!$D$7:$U$133,Sheet1!$I$5-Sheet1!$C$5,FALSE)))</f>
        <v>小計</v>
      </c>
      <c r="H323" s="277">
        <f>IF($G323="","",IF($G323="小計",VLOOKUP($A323,Sheet1!$Q$7:$U$133,Sheet1!$S$5-Sheet1!$P$5,FALSE),VLOOKUP($G323,Sheet1!$I$7:$N$133,Sheet1!$L$5-Sheet1!$H$5,FALSE)))</f>
        <v>221400</v>
      </c>
      <c r="I323" s="277">
        <f>IF($G323="","",IF($G323="小計",VLOOKUP($A323,Sheet1!$Q$7:$U$133,Sheet1!$T$5-Sheet1!$P$5,FALSE),VLOOKUP($G323,Sheet1!$I$7:$N$133,Sheet1!$M$5-Sheet1!$H$5,FALSE)))</f>
        <v>17712</v>
      </c>
      <c r="J323" s="277">
        <f>IF($G323="","",IF($G323="小計",VLOOKUP($A323,Sheet1!$Q$7:$U$133,Sheet1!$U$5-Sheet1!$P$5,FALSE),VLOOKUP($G323,Sheet1!$I$7:$N$133,Sheet1!$N$5-Sheet1!$H$5,FALSE)))</f>
        <v>239112</v>
      </c>
      <c r="K323" s="610" t="str">
        <f>IF(OR($G323="",$G323="小計"),"",IF(VLOOKUP($G323,請求Data!$I$11:$AR$160,請求Data!$AR$10-請求Data!$H$10,FALSE)="","",VLOOKUP($G323,請求Data!$I$11:$AR$160,請求Data!$AR$10-請求Data!$H$10,FALSE)))</f>
        <v/>
      </c>
    </row>
    <row r="324" spans="1:11">
      <c r="A324" s="482">
        <v>6</v>
      </c>
      <c r="B324" s="477">
        <f t="shared" si="15"/>
        <v>1</v>
      </c>
      <c r="D324" s="844" t="str">
        <f>IF(OR($G324="",$G324="小計"),"",INDEX(請求Data!$T$11:$T$160,MATCH($G324,請求Data!$I$11:$I$160,0))&amp;"")</f>
        <v/>
      </c>
      <c r="E324" s="844"/>
      <c r="F324" s="75"/>
      <c r="G324" s="147" t="str">
        <f>IF(ISNA(MATCH($A324,Sheet1!$D$7:$D$133,0)),IF($A324&gt;MAX(Sheet1!$Q$7:$Q$133),"",IF($G323="小計","","小計")),IF($A324&gt;MAX(Sheet1!$D$7:$D$133),"",VLOOKUP($A324,Sheet1!$D$7:$U$133,Sheet1!$I$5-Sheet1!$C$5,FALSE)))</f>
        <v/>
      </c>
      <c r="H324" s="277" t="str">
        <f>IF($G324="","",IF($G324="小計",VLOOKUP($A324,Sheet1!$Q$7:$U$133,Sheet1!$S$5-Sheet1!$P$5,FALSE),VLOOKUP($G324,Sheet1!$I$7:$N$133,Sheet1!$L$5-Sheet1!$H$5,FALSE)))</f>
        <v/>
      </c>
      <c r="I324" s="277" t="str">
        <f>IF($G324="","",IF($G324="小計",VLOOKUP($A324,Sheet1!$Q$7:$U$133,Sheet1!$T$5-Sheet1!$P$5,FALSE),VLOOKUP($G324,Sheet1!$I$7:$N$133,Sheet1!$M$5-Sheet1!$H$5,FALSE)))</f>
        <v/>
      </c>
      <c r="J324" s="277" t="str">
        <f>IF($G324="","",IF($G324="小計",VLOOKUP($A324,Sheet1!$Q$7:$U$133,Sheet1!$U$5-Sheet1!$P$5,FALSE),VLOOKUP($G324,Sheet1!$I$7:$N$133,Sheet1!$N$5-Sheet1!$H$5,FALSE)))</f>
        <v/>
      </c>
      <c r="K324" s="610" t="str">
        <f>IF(OR($G324="",$G324="小計"),"",IF(VLOOKUP($G324,請求Data!$I$11:$AR$160,請求Data!$AR$10-請求Data!$H$10,FALSE)="","",VLOOKUP($G324,請求Data!$I$11:$AR$160,請求Data!$AR$10-請求Data!$H$10,FALSE)))</f>
        <v/>
      </c>
    </row>
    <row r="325" spans="1:11">
      <c r="A325" s="481">
        <v>7</v>
      </c>
      <c r="B325" s="477" t="str">
        <f t="shared" si="15"/>
        <v/>
      </c>
      <c r="D325" s="844" t="str">
        <f>IF(OR($G325="",$G325="小計"),"",INDEX(請求Data!$T$11:$T$160,MATCH($G325,請求Data!$I$11:$I$160,0))&amp;"")</f>
        <v/>
      </c>
      <c r="E325" s="844"/>
      <c r="F325" s="75"/>
      <c r="G325" s="147" t="str">
        <f>IF(ISNA(MATCH($A325,Sheet1!$D$7:$D$133,0)),IF($A325&gt;MAX(Sheet1!$Q$7:$Q$133),"",IF($G324="小計","","小計")),IF($A325&gt;MAX(Sheet1!$D$7:$D$133),"",VLOOKUP($A325,Sheet1!$D$7:$U$133,Sheet1!$I$5-Sheet1!$C$5,FALSE)))</f>
        <v/>
      </c>
      <c r="H325" s="277" t="str">
        <f>IF($G325="","",IF($G325="小計",VLOOKUP($A325,Sheet1!$Q$7:$U$133,Sheet1!$S$5-Sheet1!$P$5,FALSE),VLOOKUP($G325,Sheet1!$I$7:$N$133,Sheet1!$L$5-Sheet1!$H$5,FALSE)))</f>
        <v/>
      </c>
      <c r="I325" s="277" t="str">
        <f>IF($G325="","",IF($G325="小計",VLOOKUP($A325,Sheet1!$Q$7:$U$133,Sheet1!$T$5-Sheet1!$P$5,FALSE),VLOOKUP($G325,Sheet1!$I$7:$N$133,Sheet1!$M$5-Sheet1!$H$5,FALSE)))</f>
        <v/>
      </c>
      <c r="J325" s="277" t="str">
        <f>IF($G325="","",IF($G325="小計",VLOOKUP($A325,Sheet1!$Q$7:$U$133,Sheet1!$U$5-Sheet1!$P$5,FALSE),VLOOKUP($G325,Sheet1!$I$7:$N$133,Sheet1!$N$5-Sheet1!$H$5,FALSE)))</f>
        <v/>
      </c>
      <c r="K325" s="610" t="str">
        <f>IF(OR($G325="",$G325="小計"),"",IF(VLOOKUP($G325,請求Data!$I$11:$AR$160,請求Data!$AR$10-請求Data!$H$10,FALSE)="","",VLOOKUP($G325,請求Data!$I$11:$AR$160,請求Data!$AR$10-請求Data!$H$10,FALSE)))</f>
        <v/>
      </c>
    </row>
    <row r="326" spans="1:11">
      <c r="A326" s="482">
        <v>8</v>
      </c>
      <c r="B326" s="477" t="str">
        <f t="shared" si="15"/>
        <v/>
      </c>
      <c r="D326" s="844" t="str">
        <f>IF(OR($G326="",$G326="小計"),"",INDEX(請求Data!$T$11:$T$160,MATCH($G326,請求Data!$I$11:$I$160,0))&amp;"")</f>
        <v/>
      </c>
      <c r="E326" s="844"/>
      <c r="F326" s="75"/>
      <c r="G326" s="147" t="str">
        <f>IF(ISNA(MATCH($A326,Sheet1!$D$7:$D$133,0)),IF($A326&gt;MAX(Sheet1!$Q$7:$Q$133),"",IF($G325="小計","","小計")),IF($A326&gt;MAX(Sheet1!$D$7:$D$133),"",VLOOKUP($A326,Sheet1!$D$7:$U$133,Sheet1!$I$5-Sheet1!$C$5,FALSE)))</f>
        <v/>
      </c>
      <c r="H326" s="277" t="str">
        <f>IF($G326="","",IF($G326="小計",VLOOKUP($A326,Sheet1!$Q$7:$U$133,Sheet1!$S$5-Sheet1!$P$5,FALSE),VLOOKUP($G326,Sheet1!$I$7:$N$133,Sheet1!$L$5-Sheet1!$H$5,FALSE)))</f>
        <v/>
      </c>
      <c r="I326" s="277" t="str">
        <f>IF($G326="","",IF($G326="小計",VLOOKUP($A326,Sheet1!$Q$7:$U$133,Sheet1!$T$5-Sheet1!$P$5,FALSE),VLOOKUP($G326,Sheet1!$I$7:$N$133,Sheet1!$M$5-Sheet1!$H$5,FALSE)))</f>
        <v/>
      </c>
      <c r="J326" s="277" t="str">
        <f>IF($G326="","",IF($G326="小計",VLOOKUP($A326,Sheet1!$Q$7:$U$133,Sheet1!$U$5-Sheet1!$P$5,FALSE),VLOOKUP($G326,Sheet1!$I$7:$N$133,Sheet1!$N$5-Sheet1!$H$5,FALSE)))</f>
        <v/>
      </c>
      <c r="K326" s="610" t="str">
        <f>IF(OR($G326="",$G326="小計"),"",IF(VLOOKUP($G326,請求Data!$I$11:$AR$160,請求Data!$AR$10-請求Data!$H$10,FALSE)="","",VLOOKUP($G326,請求Data!$I$11:$AR$160,請求Data!$AR$10-請求Data!$H$10,FALSE)))</f>
        <v/>
      </c>
    </row>
    <row r="327" spans="1:11">
      <c r="A327" s="481">
        <v>9</v>
      </c>
      <c r="B327" s="477" t="str">
        <f t="shared" si="15"/>
        <v/>
      </c>
      <c r="D327" s="844" t="str">
        <f>IF(OR($G327="",$G327="小計"),"",INDEX(請求Data!$T$11:$T$160,MATCH($G327,請求Data!$I$11:$I$160,0))&amp;"")</f>
        <v/>
      </c>
      <c r="E327" s="844"/>
      <c r="F327" s="75"/>
      <c r="G327" s="147" t="str">
        <f>IF(ISNA(MATCH($A327,Sheet1!$D$7:$D$133,0)),IF($A327&gt;MAX(Sheet1!$Q$7:$Q$133),"",IF($G326="小計","","小計")),IF($A327&gt;MAX(Sheet1!$D$7:$D$133),"",VLOOKUP($A327,Sheet1!$D$7:$U$133,Sheet1!$I$5-Sheet1!$C$5,FALSE)))</f>
        <v/>
      </c>
      <c r="H327" s="277" t="str">
        <f>IF($G327="","",IF($G327="小計",VLOOKUP($A327,Sheet1!$Q$7:$U$133,Sheet1!$S$5-Sheet1!$P$5,FALSE),VLOOKUP($G327,Sheet1!$I$7:$N$133,Sheet1!$L$5-Sheet1!$H$5,FALSE)))</f>
        <v/>
      </c>
      <c r="I327" s="277" t="str">
        <f>IF($G327="","",IF($G327="小計",VLOOKUP($A327,Sheet1!$Q$7:$U$133,Sheet1!$T$5-Sheet1!$P$5,FALSE),VLOOKUP($G327,Sheet1!$I$7:$N$133,Sheet1!$M$5-Sheet1!$H$5,FALSE)))</f>
        <v/>
      </c>
      <c r="J327" s="277" t="str">
        <f>IF($G327="","",IF($G327="小計",VLOOKUP($A327,Sheet1!$Q$7:$U$133,Sheet1!$U$5-Sheet1!$P$5,FALSE),VLOOKUP($G327,Sheet1!$I$7:$N$133,Sheet1!$N$5-Sheet1!$H$5,FALSE)))</f>
        <v/>
      </c>
      <c r="K327" s="610" t="str">
        <f>IF(OR($G327="",$G327="小計"),"",IF(VLOOKUP($G327,請求Data!$I$11:$AR$160,請求Data!$AR$10-請求Data!$H$10,FALSE)="","",VLOOKUP($G327,請求Data!$I$11:$AR$160,請求Data!$AR$10-請求Data!$H$10,FALSE)))</f>
        <v/>
      </c>
    </row>
    <row r="328" spans="1:11">
      <c r="A328" s="482">
        <v>10</v>
      </c>
      <c r="B328" s="477" t="str">
        <f t="shared" si="15"/>
        <v/>
      </c>
      <c r="D328" s="844" t="str">
        <f>IF(OR($G328="",$G328="小計"),"",INDEX(請求Data!$T$11:$T$160,MATCH($G328,請求Data!$I$11:$I$160,0))&amp;"")</f>
        <v/>
      </c>
      <c r="E328" s="844"/>
      <c r="F328" s="75"/>
      <c r="G328" s="147" t="str">
        <f>IF(ISNA(MATCH($A328,Sheet1!$D$7:$D$133,0)),IF($A328&gt;MAX(Sheet1!$Q$7:$Q$133),"",IF($G327="小計","","小計")),IF($A328&gt;MAX(Sheet1!$D$7:$D$133),"",VLOOKUP($A328,Sheet1!$D$7:$U$133,Sheet1!$I$5-Sheet1!$C$5,FALSE)))</f>
        <v/>
      </c>
      <c r="H328" s="277" t="str">
        <f>IF($G328="","",IF($G328="小計",VLOOKUP($A328,Sheet1!$Q$7:$U$133,Sheet1!$S$5-Sheet1!$P$5,FALSE),VLOOKUP($G328,Sheet1!$I$7:$N$133,Sheet1!$L$5-Sheet1!$H$5,FALSE)))</f>
        <v/>
      </c>
      <c r="I328" s="277" t="str">
        <f>IF($G328="","",IF($G328="小計",VLOOKUP($A328,Sheet1!$Q$7:$U$133,Sheet1!$T$5-Sheet1!$P$5,FALSE),VLOOKUP($G328,Sheet1!$I$7:$N$133,Sheet1!$M$5-Sheet1!$H$5,FALSE)))</f>
        <v/>
      </c>
      <c r="J328" s="277" t="str">
        <f>IF($G328="","",IF($G328="小計",VLOOKUP($A328,Sheet1!$Q$7:$U$133,Sheet1!$U$5-Sheet1!$P$5,FALSE),VLOOKUP($G328,Sheet1!$I$7:$N$133,Sheet1!$N$5-Sheet1!$H$5,FALSE)))</f>
        <v/>
      </c>
      <c r="K328" s="610" t="str">
        <f>IF(OR($G328="",$G328="小計"),"",IF(VLOOKUP($G328,請求Data!$I$11:$AR$160,請求Data!$AR$10-請求Data!$H$10,FALSE)="","",VLOOKUP($G328,請求Data!$I$11:$AR$160,請求Data!$AR$10-請求Data!$H$10,FALSE)))</f>
        <v/>
      </c>
    </row>
    <row r="329" spans="1:11">
      <c r="A329" s="481">
        <v>11</v>
      </c>
      <c r="B329" s="477" t="str">
        <f t="shared" si="15"/>
        <v/>
      </c>
      <c r="D329" s="844" t="str">
        <f>IF(OR($G329="",$G329="小計"),"",INDEX(請求Data!$T$11:$T$160,MATCH($G329,請求Data!$I$11:$I$160,0))&amp;"")</f>
        <v/>
      </c>
      <c r="E329" s="844"/>
      <c r="F329" s="75"/>
      <c r="G329" s="147" t="str">
        <f>IF(ISNA(MATCH($A329,Sheet1!$D$7:$D$133,0)),IF($A329&gt;MAX(Sheet1!$Q$7:$Q$133),"",IF($G328="小計","","小計")),IF($A329&gt;MAX(Sheet1!$D$7:$D$133),"",VLOOKUP($A329,Sheet1!$D$7:$U$133,Sheet1!$I$5-Sheet1!$C$5,FALSE)))</f>
        <v/>
      </c>
      <c r="H329" s="277" t="str">
        <f>IF($G329="","",IF($G329="小計",VLOOKUP($A329,Sheet1!$Q$7:$U$133,Sheet1!$S$5-Sheet1!$P$5,FALSE),VLOOKUP($G329,Sheet1!$I$7:$N$133,Sheet1!$L$5-Sheet1!$H$5,FALSE)))</f>
        <v/>
      </c>
      <c r="I329" s="277" t="str">
        <f>IF($G329="","",IF($G329="小計",VLOOKUP($A329,Sheet1!$Q$7:$U$133,Sheet1!$T$5-Sheet1!$P$5,FALSE),VLOOKUP($G329,Sheet1!$I$7:$N$133,Sheet1!$M$5-Sheet1!$H$5,FALSE)))</f>
        <v/>
      </c>
      <c r="J329" s="277" t="str">
        <f>IF($G329="","",IF($G329="小計",VLOOKUP($A329,Sheet1!$Q$7:$U$133,Sheet1!$U$5-Sheet1!$P$5,FALSE),VLOOKUP($G329,Sheet1!$I$7:$N$133,Sheet1!$N$5-Sheet1!$H$5,FALSE)))</f>
        <v/>
      </c>
      <c r="K329" s="610" t="str">
        <f>IF(OR($G329="",$G329="小計"),"",IF(VLOOKUP($G329,請求Data!$I$11:$AR$160,請求Data!$AR$10-請求Data!$H$10,FALSE)="","",VLOOKUP($G329,請求Data!$I$11:$AR$160,請求Data!$AR$10-請求Data!$H$10,FALSE)))</f>
        <v/>
      </c>
    </row>
    <row r="330" spans="1:11">
      <c r="A330" s="482">
        <v>12</v>
      </c>
      <c r="B330" s="477" t="str">
        <f t="shared" si="15"/>
        <v/>
      </c>
      <c r="D330" s="844" t="str">
        <f>IF(OR($G330="",$G330="小計"),"",INDEX(請求Data!$T$11:$T$160,MATCH($G330,請求Data!$I$11:$I$160,0))&amp;"")</f>
        <v/>
      </c>
      <c r="E330" s="844"/>
      <c r="F330" s="75"/>
      <c r="G330" s="147" t="str">
        <f>IF(ISNA(MATCH($A330,Sheet1!$D$7:$D$133,0)),IF($A330&gt;MAX(Sheet1!$Q$7:$Q$133),"",IF($G329="小計","","小計")),IF($A330&gt;MAX(Sheet1!$D$7:$D$133),"",VLOOKUP($A330,Sheet1!$D$7:$U$133,Sheet1!$I$5-Sheet1!$C$5,FALSE)))</f>
        <v/>
      </c>
      <c r="H330" s="277" t="str">
        <f>IF($G330="","",IF($G330="小計",VLOOKUP($A330,Sheet1!$Q$7:$U$133,Sheet1!$S$5-Sheet1!$P$5,FALSE),VLOOKUP($G330,Sheet1!$I$7:$N$133,Sheet1!$L$5-Sheet1!$H$5,FALSE)))</f>
        <v/>
      </c>
      <c r="I330" s="277" t="str">
        <f>IF($G330="","",IF($G330="小計",VLOOKUP($A330,Sheet1!$Q$7:$U$133,Sheet1!$T$5-Sheet1!$P$5,FALSE),VLOOKUP($G330,Sheet1!$I$7:$N$133,Sheet1!$M$5-Sheet1!$H$5,FALSE)))</f>
        <v/>
      </c>
      <c r="J330" s="277" t="str">
        <f>IF($G330="","",IF($G330="小計",VLOOKUP($A330,Sheet1!$Q$7:$U$133,Sheet1!$U$5-Sheet1!$P$5,FALSE),VLOOKUP($G330,Sheet1!$I$7:$N$133,Sheet1!$N$5-Sheet1!$H$5,FALSE)))</f>
        <v/>
      </c>
      <c r="K330" s="610" t="str">
        <f>IF(OR($G330="",$G330="小計"),"",IF(VLOOKUP($G330,請求Data!$I$11:$AR$160,請求Data!$AR$10-請求Data!$H$10,FALSE)="","",VLOOKUP($G330,請求Data!$I$11:$AR$160,請求Data!$AR$10-請求Data!$H$10,FALSE)))</f>
        <v/>
      </c>
    </row>
    <row r="331" spans="1:11">
      <c r="A331" s="481">
        <v>13</v>
      </c>
      <c r="B331" s="477" t="str">
        <f t="shared" si="15"/>
        <v/>
      </c>
      <c r="D331" s="844" t="str">
        <f>IF(OR($G331="",$G331="小計"),"",INDEX(請求Data!$T$11:$T$160,MATCH($G331,請求Data!$I$11:$I$160,0))&amp;"")</f>
        <v/>
      </c>
      <c r="E331" s="844"/>
      <c r="F331" s="75"/>
      <c r="G331" s="147" t="str">
        <f>IF(ISNA(MATCH($A331,Sheet1!$D$7:$D$133,0)),IF($A331&gt;MAX(Sheet1!$Q$7:$Q$133),"",IF($G330="小計","","小計")),IF($A331&gt;MAX(Sheet1!$D$7:$D$133),"",VLOOKUP($A331,Sheet1!$D$7:$U$133,Sheet1!$I$5-Sheet1!$C$5,FALSE)))</f>
        <v/>
      </c>
      <c r="H331" s="277" t="str">
        <f>IF($G331="","",IF($G331="小計",VLOOKUP($A331,Sheet1!$Q$7:$U$133,Sheet1!$S$5-Sheet1!$P$5,FALSE),VLOOKUP($G331,Sheet1!$I$7:$N$133,Sheet1!$L$5-Sheet1!$H$5,FALSE)))</f>
        <v/>
      </c>
      <c r="I331" s="277" t="str">
        <f>IF($G331="","",IF($G331="小計",VLOOKUP($A331,Sheet1!$Q$7:$U$133,Sheet1!$T$5-Sheet1!$P$5,FALSE),VLOOKUP($G331,Sheet1!$I$7:$N$133,Sheet1!$M$5-Sheet1!$H$5,FALSE)))</f>
        <v/>
      </c>
      <c r="J331" s="277" t="str">
        <f>IF($G331="","",IF($G331="小計",VLOOKUP($A331,Sheet1!$Q$7:$U$133,Sheet1!$U$5-Sheet1!$P$5,FALSE),VLOOKUP($G331,Sheet1!$I$7:$N$133,Sheet1!$N$5-Sheet1!$H$5,FALSE)))</f>
        <v/>
      </c>
      <c r="K331" s="610" t="str">
        <f>IF(OR($G331="",$G331="小計"),"",IF(VLOOKUP($G331,請求Data!$I$11:$AR$160,請求Data!$AR$10-請求Data!$H$10,FALSE)="","",VLOOKUP($G331,請求Data!$I$11:$AR$160,請求Data!$AR$10-請求Data!$H$10,FALSE)))</f>
        <v/>
      </c>
    </row>
    <row r="332" spans="1:11">
      <c r="A332" s="482">
        <v>14</v>
      </c>
      <c r="B332" s="477" t="str">
        <f t="shared" si="15"/>
        <v/>
      </c>
      <c r="D332" s="844" t="str">
        <f>IF(OR($G332="",$G332="小計"),"",INDEX(請求Data!$T$11:$T$160,MATCH($G332,請求Data!$I$11:$I$160,0))&amp;"")</f>
        <v/>
      </c>
      <c r="E332" s="844"/>
      <c r="F332" s="75"/>
      <c r="G332" s="147" t="str">
        <f>IF(ISNA(MATCH($A332,Sheet1!$D$7:$D$133,0)),IF($A332&gt;MAX(Sheet1!$Q$7:$Q$133),"",IF($G331="小計","","小計")),IF($A332&gt;MAX(Sheet1!$D$7:$D$133),"",VLOOKUP($A332,Sheet1!$D$7:$U$133,Sheet1!$I$5-Sheet1!$C$5,FALSE)))</f>
        <v/>
      </c>
      <c r="H332" s="277" t="str">
        <f>IF($G332="","",IF($G332="小計",VLOOKUP($A332,Sheet1!$Q$7:$U$133,Sheet1!$S$5-Sheet1!$P$5,FALSE),VLOOKUP($G332,Sheet1!$I$7:$N$133,Sheet1!$L$5-Sheet1!$H$5,FALSE)))</f>
        <v/>
      </c>
      <c r="I332" s="277" t="str">
        <f>IF($G332="","",IF($G332="小計",VLOOKUP($A332,Sheet1!$Q$7:$U$133,Sheet1!$T$5-Sheet1!$P$5,FALSE),VLOOKUP($G332,Sheet1!$I$7:$N$133,Sheet1!$M$5-Sheet1!$H$5,FALSE)))</f>
        <v/>
      </c>
      <c r="J332" s="277" t="str">
        <f>IF($G332="","",IF($G332="小計",VLOOKUP($A332,Sheet1!$Q$7:$U$133,Sheet1!$U$5-Sheet1!$P$5,FALSE),VLOOKUP($G332,Sheet1!$I$7:$N$133,Sheet1!$N$5-Sheet1!$H$5,FALSE)))</f>
        <v/>
      </c>
      <c r="K332" s="610" t="str">
        <f>IF(OR($G332="",$G332="小計"),"",IF(VLOOKUP($G332,請求Data!$I$11:$AR$160,請求Data!$AR$10-請求Data!$H$10,FALSE)="","",VLOOKUP($G332,請求Data!$I$11:$AR$160,請求Data!$AR$10-請求Data!$H$10,FALSE)))</f>
        <v/>
      </c>
    </row>
    <row r="333" spans="1:11">
      <c r="A333" s="481">
        <v>15</v>
      </c>
      <c r="B333" s="477" t="str">
        <f t="shared" si="15"/>
        <v/>
      </c>
      <c r="D333" s="844" t="str">
        <f>IF(OR($G333="",$G333="小計"),"",INDEX(請求Data!$T$11:$T$160,MATCH($G333,請求Data!$I$11:$I$160,0))&amp;"")</f>
        <v/>
      </c>
      <c r="E333" s="844"/>
      <c r="F333" s="75"/>
      <c r="G333" s="147" t="str">
        <f>IF(ISNA(MATCH($A333,Sheet1!$D$7:$D$133,0)),IF($A333&gt;MAX(Sheet1!$Q$7:$Q$133),"",IF($G332="小計","","小計")),IF($A333&gt;MAX(Sheet1!$D$7:$D$133),"",VLOOKUP($A333,Sheet1!$D$7:$U$133,Sheet1!$I$5-Sheet1!$C$5,FALSE)))</f>
        <v/>
      </c>
      <c r="H333" s="277" t="str">
        <f>IF($G333="","",IF($G333="小計",VLOOKUP($A333,Sheet1!$Q$7:$U$133,Sheet1!$S$5-Sheet1!$P$5,FALSE),VLOOKUP($G333,Sheet1!$I$7:$N$133,Sheet1!$L$5-Sheet1!$H$5,FALSE)))</f>
        <v/>
      </c>
      <c r="I333" s="277" t="str">
        <f>IF($G333="","",IF($G333="小計",VLOOKUP($A333,Sheet1!$Q$7:$U$133,Sheet1!$T$5-Sheet1!$P$5,FALSE),VLOOKUP($G333,Sheet1!$I$7:$N$133,Sheet1!$M$5-Sheet1!$H$5,FALSE)))</f>
        <v/>
      </c>
      <c r="J333" s="277" t="str">
        <f>IF($G333="","",IF($G333="小計",VLOOKUP($A333,Sheet1!$Q$7:$U$133,Sheet1!$U$5-Sheet1!$P$5,FALSE),VLOOKUP($G333,Sheet1!$I$7:$N$133,Sheet1!$N$5-Sheet1!$H$5,FALSE)))</f>
        <v/>
      </c>
      <c r="K333" s="610" t="str">
        <f>IF(OR($G333="",$G333="小計"),"",IF(VLOOKUP($G333,請求Data!$I$11:$AR$160,請求Data!$AR$10-請求Data!$H$10,FALSE)="","",VLOOKUP($G333,請求Data!$I$11:$AR$160,請求Data!$AR$10-請求Data!$H$10,FALSE)))</f>
        <v/>
      </c>
    </row>
    <row r="334" spans="1:11">
      <c r="A334" s="482">
        <v>16</v>
      </c>
      <c r="B334" s="477" t="str">
        <f t="shared" si="15"/>
        <v/>
      </c>
      <c r="D334" s="844" t="str">
        <f>IF(OR($G334="",$G334="小計"),"",INDEX(請求Data!$T$11:$T$160,MATCH($G334,請求Data!$I$11:$I$160,0))&amp;"")</f>
        <v/>
      </c>
      <c r="E334" s="844"/>
      <c r="F334" s="75"/>
      <c r="G334" s="147" t="str">
        <f>IF(ISNA(MATCH($A334,Sheet1!$D$7:$D$133,0)),IF($A334&gt;MAX(Sheet1!$Q$7:$Q$133),"",IF($G333="小計","","小計")),IF($A334&gt;MAX(Sheet1!$D$7:$D$133),"",VLOOKUP($A334,Sheet1!$D$7:$U$133,Sheet1!$I$5-Sheet1!$C$5,FALSE)))</f>
        <v/>
      </c>
      <c r="H334" s="277" t="str">
        <f>IF($G334="","",IF($G334="小計",VLOOKUP($A334,Sheet1!$Q$7:$U$133,Sheet1!$S$5-Sheet1!$P$5,FALSE),VLOOKUP($G334,Sheet1!$I$7:$N$133,Sheet1!$L$5-Sheet1!$H$5,FALSE)))</f>
        <v/>
      </c>
      <c r="I334" s="277" t="str">
        <f>IF($G334="","",IF($G334="小計",VLOOKUP($A334,Sheet1!$Q$7:$U$133,Sheet1!$T$5-Sheet1!$P$5,FALSE),VLOOKUP($G334,Sheet1!$I$7:$N$133,Sheet1!$M$5-Sheet1!$H$5,FALSE)))</f>
        <v/>
      </c>
      <c r="J334" s="277" t="str">
        <f>IF($G334="","",IF($G334="小計",VLOOKUP($A334,Sheet1!$Q$7:$U$133,Sheet1!$U$5-Sheet1!$P$5,FALSE),VLOOKUP($G334,Sheet1!$I$7:$N$133,Sheet1!$N$5-Sheet1!$H$5,FALSE)))</f>
        <v/>
      </c>
      <c r="K334" s="610" t="str">
        <f>IF(OR($G334="",$G334="小計"),"",IF(VLOOKUP($G334,請求Data!$I$11:$AR$160,請求Data!$AR$10-請求Data!$H$10,FALSE)="","",VLOOKUP($G334,請求Data!$I$11:$AR$160,請求Data!$AR$10-請求Data!$H$10,FALSE)))</f>
        <v/>
      </c>
    </row>
    <row r="335" spans="1:11">
      <c r="A335" s="481">
        <v>17</v>
      </c>
      <c r="B335" s="477" t="str">
        <f t="shared" si="15"/>
        <v/>
      </c>
      <c r="D335" s="844" t="str">
        <f>IF(OR($G335="",$G335="小計"),"",INDEX(請求Data!$T$11:$T$160,MATCH($G335,請求Data!$I$11:$I$160,0))&amp;"")</f>
        <v/>
      </c>
      <c r="E335" s="844"/>
      <c r="F335" s="75"/>
      <c r="G335" s="147" t="str">
        <f>IF(ISNA(MATCH($A335,Sheet1!$D$7:$D$133,0)),IF($A335&gt;MAX(Sheet1!$Q$7:$Q$133),"",IF($G334="小計","","小計")),IF($A335&gt;MAX(Sheet1!$D$7:$D$133),"",VLOOKUP($A335,Sheet1!$D$7:$U$133,Sheet1!$I$5-Sheet1!$C$5,FALSE)))</f>
        <v/>
      </c>
      <c r="H335" s="277" t="str">
        <f>IF($G335="","",IF($G335="小計",VLOOKUP($A335,Sheet1!$Q$7:$U$133,Sheet1!$S$5-Sheet1!$P$5,FALSE),VLOOKUP($G335,Sheet1!$I$7:$N$133,Sheet1!$L$5-Sheet1!$H$5,FALSE)))</f>
        <v/>
      </c>
      <c r="I335" s="277" t="str">
        <f>IF($G335="","",IF($G335="小計",VLOOKUP($A335,Sheet1!$Q$7:$U$133,Sheet1!$T$5-Sheet1!$P$5,FALSE),VLOOKUP($G335,Sheet1!$I$7:$N$133,Sheet1!$M$5-Sheet1!$H$5,FALSE)))</f>
        <v/>
      </c>
      <c r="J335" s="277" t="str">
        <f>IF($G335="","",IF($G335="小計",VLOOKUP($A335,Sheet1!$Q$7:$U$133,Sheet1!$U$5-Sheet1!$P$5,FALSE),VLOOKUP($G335,Sheet1!$I$7:$N$133,Sheet1!$N$5-Sheet1!$H$5,FALSE)))</f>
        <v/>
      </c>
      <c r="K335" s="610" t="str">
        <f>IF(OR($G335="",$G335="小計"),"",IF(VLOOKUP($G335,請求Data!$I$11:$AR$160,請求Data!$AR$10-請求Data!$H$10,FALSE)="","",VLOOKUP($G335,請求Data!$I$11:$AR$160,請求Data!$AR$10-請求Data!$H$10,FALSE)))</f>
        <v/>
      </c>
    </row>
    <row r="336" spans="1:11">
      <c r="A336" s="482">
        <v>18</v>
      </c>
      <c r="B336" s="477" t="str">
        <f t="shared" si="15"/>
        <v/>
      </c>
      <c r="D336" s="844" t="str">
        <f>IF(OR($G336="",$G336="小計"),"",INDEX(請求Data!$T$11:$T$160,MATCH($G336,請求Data!$I$11:$I$160,0))&amp;"")</f>
        <v/>
      </c>
      <c r="E336" s="844"/>
      <c r="F336" s="75"/>
      <c r="G336" s="147" t="str">
        <f>IF(ISNA(MATCH($A336,Sheet1!$D$7:$D$133,0)),IF($A336&gt;MAX(Sheet1!$Q$7:$Q$133),"",IF($G335="小計","","小計")),IF($A336&gt;MAX(Sheet1!$D$7:$D$133),"",VLOOKUP($A336,Sheet1!$D$7:$U$133,Sheet1!$I$5-Sheet1!$C$5,FALSE)))</f>
        <v/>
      </c>
      <c r="H336" s="277" t="str">
        <f>IF($G336="","",IF($G336="小計",VLOOKUP($A336,Sheet1!$Q$7:$U$133,Sheet1!$S$5-Sheet1!$P$5,FALSE),VLOOKUP($G336,Sheet1!$I$7:$N$133,Sheet1!$L$5-Sheet1!$H$5,FALSE)))</f>
        <v/>
      </c>
      <c r="I336" s="277" t="str">
        <f>IF($G336="","",IF($G336="小計",VLOOKUP($A336,Sheet1!$Q$7:$U$133,Sheet1!$T$5-Sheet1!$P$5,FALSE),VLOOKUP($G336,Sheet1!$I$7:$N$133,Sheet1!$M$5-Sheet1!$H$5,FALSE)))</f>
        <v/>
      </c>
      <c r="J336" s="277" t="str">
        <f>IF($G336="","",IF($G336="小計",VLOOKUP($A336,Sheet1!$Q$7:$U$133,Sheet1!$U$5-Sheet1!$P$5,FALSE),VLOOKUP($G336,Sheet1!$I$7:$N$133,Sheet1!$N$5-Sheet1!$H$5,FALSE)))</f>
        <v/>
      </c>
      <c r="K336" s="610" t="str">
        <f>IF(OR($G336="",$G336="小計"),"",IF(VLOOKUP($G336,請求Data!$I$11:$AR$160,請求Data!$AR$10-請求Data!$H$10,FALSE)="","",VLOOKUP($G336,請求Data!$I$11:$AR$160,請求Data!$AR$10-請求Data!$H$10,FALSE)))</f>
        <v/>
      </c>
    </row>
    <row r="337" spans="1:14">
      <c r="A337" s="481">
        <v>19</v>
      </c>
      <c r="B337" s="477" t="str">
        <f>IF($J337="",IF($J336="","",1),1)</f>
        <v/>
      </c>
      <c r="D337" s="844" t="str">
        <f>IF(OR($G337="",$G337="小計"),"",INDEX(請求Data!$T$11:$T$160,MATCH($G337,請求Data!$I$11:$I$160,0))&amp;"")</f>
        <v/>
      </c>
      <c r="E337" s="844"/>
      <c r="F337" s="75"/>
      <c r="G337" s="147" t="str">
        <f>IF(ISNA(MATCH($A337,Sheet1!$D$7:$D$133,0)),IF($A337&gt;MAX(Sheet1!$Q$7:$Q$133),"",IF($G336="小計","","小計")),IF($A337&gt;MAX(Sheet1!$D$7:$D$133),"",VLOOKUP($A337,Sheet1!$D$7:$U$133,Sheet1!$I$5-Sheet1!$C$5,FALSE)))</f>
        <v/>
      </c>
      <c r="H337" s="277" t="str">
        <f>IF($G337="","",IF($G337="小計",VLOOKUP($A337,Sheet1!$Q$7:$U$133,Sheet1!$S$5-Sheet1!$P$5,FALSE),VLOOKUP($G337,Sheet1!$I$7:$N$133,Sheet1!$L$5-Sheet1!$H$5,FALSE)))</f>
        <v/>
      </c>
      <c r="I337" s="277" t="str">
        <f>IF($G337="","",IF($G337="小計",VLOOKUP($A337,Sheet1!$Q$7:$U$133,Sheet1!$T$5-Sheet1!$P$5,FALSE),VLOOKUP($G337,Sheet1!$I$7:$N$133,Sheet1!$M$5-Sheet1!$H$5,FALSE)))</f>
        <v/>
      </c>
      <c r="J337" s="277" t="str">
        <f>IF($G337="","",IF($G337="小計",VLOOKUP($A337,Sheet1!$Q$7:$U$133,Sheet1!$U$5-Sheet1!$P$5,FALSE),VLOOKUP($G337,Sheet1!$I$7:$N$133,Sheet1!$N$5-Sheet1!$H$5,FALSE)))</f>
        <v/>
      </c>
      <c r="K337" s="610" t="str">
        <f>IF(OR($G337="",$G337="小計"),"",IF(VLOOKUP($G337,請求Data!$I$11:$AR$160,請求Data!$AR$10-請求Data!$H$10,FALSE)="","",VLOOKUP($G337,請求Data!$I$11:$AR$160,請求Data!$AR$10-請求Data!$H$10,FALSE)))</f>
        <v/>
      </c>
    </row>
    <row r="338" spans="1:14">
      <c r="A338" s="482">
        <v>20</v>
      </c>
      <c r="B338" s="477" t="str">
        <f t="shared" si="15"/>
        <v/>
      </c>
      <c r="D338" s="844" t="str">
        <f>IF(OR($G338="",$G338="小計"),"",INDEX(請求Data!$T$11:$T$160,MATCH($G338,請求Data!$I$11:$I$160,0))&amp;"")</f>
        <v/>
      </c>
      <c r="E338" s="844"/>
      <c r="F338" s="75"/>
      <c r="G338" s="147" t="str">
        <f>IF(ISNA(MATCH($A338,Sheet1!$D$7:$D$133,0)),IF($A338&gt;MAX(Sheet1!$Q$7:$Q$133),"",IF($G337="小計","","小計")),IF($A338&gt;MAX(Sheet1!$D$7:$D$133),"",VLOOKUP($A338,Sheet1!$D$7:$U$133,Sheet1!$I$5-Sheet1!$C$5,FALSE)))</f>
        <v/>
      </c>
      <c r="H338" s="277" t="str">
        <f>IF($G338="","",IF($G338="小計",VLOOKUP($A338,Sheet1!$Q$7:$U$133,Sheet1!$S$5-Sheet1!$P$5,FALSE),VLOOKUP($G338,Sheet1!$I$7:$N$133,Sheet1!$L$5-Sheet1!$H$5,FALSE)))</f>
        <v/>
      </c>
      <c r="I338" s="277" t="str">
        <f>IF($G338="","",IF($G338="小計",VLOOKUP($A338,Sheet1!$Q$7:$U$133,Sheet1!$T$5-Sheet1!$P$5,FALSE),VLOOKUP($G338,Sheet1!$I$7:$N$133,Sheet1!$M$5-Sheet1!$H$5,FALSE)))</f>
        <v/>
      </c>
      <c r="J338" s="277" t="str">
        <f>IF($G338="","",IF($G338="小計",VLOOKUP($A338,Sheet1!$Q$7:$U$133,Sheet1!$U$5-Sheet1!$P$5,FALSE),VLOOKUP($G338,Sheet1!$I$7:$N$133,Sheet1!$N$5-Sheet1!$H$5,FALSE)))</f>
        <v/>
      </c>
      <c r="K338" s="610" t="str">
        <f>IF(OR($G338="",$G338="小計"),"",IF(VLOOKUP($G338,請求Data!$I$11:$AR$160,請求Data!$AR$10-請求Data!$H$10,FALSE)="","",VLOOKUP($G338,請求Data!$I$11:$AR$160,請求Data!$AR$10-請求Data!$H$10,FALSE)))</f>
        <v/>
      </c>
    </row>
    <row r="339" spans="1:14">
      <c r="A339" s="481">
        <v>21</v>
      </c>
      <c r="B339" s="477" t="str">
        <f t="shared" si="15"/>
        <v/>
      </c>
      <c r="D339" s="844" t="str">
        <f>IF(OR($G339="",$G339="小計"),"",INDEX(請求Data!$T$11:$T$160,MATCH($G339,請求Data!$I$11:$I$160,0))&amp;"")</f>
        <v/>
      </c>
      <c r="E339" s="844"/>
      <c r="F339" s="75"/>
      <c r="G339" s="147" t="str">
        <f>IF(ISNA(MATCH($A339,Sheet1!$D$7:$D$133,0)),IF($A339&gt;MAX(Sheet1!$Q$7:$Q$133),"",IF($G338="小計","","小計")),IF($A339&gt;MAX(Sheet1!$D$7:$D$133),"",VLOOKUP($A339,Sheet1!$D$7:$U$133,Sheet1!$I$5-Sheet1!$C$5,FALSE)))</f>
        <v/>
      </c>
      <c r="H339" s="277" t="str">
        <f>IF($G339="","",IF($G339="小計",VLOOKUP($A339,Sheet1!$Q$7:$U$133,Sheet1!$S$5-Sheet1!$P$5,FALSE),VLOOKUP($G339,Sheet1!$I$7:$N$133,Sheet1!$L$5-Sheet1!$H$5,FALSE)))</f>
        <v/>
      </c>
      <c r="I339" s="277" t="str">
        <f>IF($G339="","",IF($G339="小計",VLOOKUP($A339,Sheet1!$Q$7:$U$133,Sheet1!$T$5-Sheet1!$P$5,FALSE),VLOOKUP($G339,Sheet1!$I$7:$N$133,Sheet1!$M$5-Sheet1!$H$5,FALSE)))</f>
        <v/>
      </c>
      <c r="J339" s="277" t="str">
        <f>IF($G339="","",IF($G339="小計",VLOOKUP($A339,Sheet1!$Q$7:$U$133,Sheet1!$U$5-Sheet1!$P$5,FALSE),VLOOKUP($G339,Sheet1!$I$7:$N$133,Sheet1!$N$5-Sheet1!$H$5,FALSE)))</f>
        <v/>
      </c>
      <c r="K339" s="610" t="str">
        <f>IF(OR($G339="",$G339="小計"),"",IF(VLOOKUP($G339,請求Data!$I$11:$AR$160,請求Data!$AR$10-請求Data!$H$10,FALSE)="","",VLOOKUP($G339,請求Data!$I$11:$AR$160,請求Data!$AR$10-請求Data!$H$10,FALSE)))</f>
        <v/>
      </c>
    </row>
    <row r="340" spans="1:14">
      <c r="A340" s="482">
        <v>22</v>
      </c>
      <c r="B340" s="477" t="str">
        <f t="shared" si="15"/>
        <v/>
      </c>
      <c r="D340" s="844" t="str">
        <f>IF(OR($G340="",$G340="小計"),"",INDEX(請求Data!$T$11:$T$160,MATCH($G340,請求Data!$I$11:$I$160,0))&amp;"")</f>
        <v/>
      </c>
      <c r="E340" s="844"/>
      <c r="F340" s="75"/>
      <c r="G340" s="147" t="str">
        <f>IF(ISNA(MATCH($A340,Sheet1!$D$7:$D$133,0)),IF($A340&gt;MAX(Sheet1!$Q$7:$Q$133),"",IF($G339="小計","","小計")),IF($A340&gt;MAX(Sheet1!$D$7:$D$133),"",VLOOKUP($A340,Sheet1!$D$7:$U$133,Sheet1!$I$5-Sheet1!$C$5,FALSE)))</f>
        <v/>
      </c>
      <c r="H340" s="277" t="str">
        <f>IF($G340="","",IF($G340="小計",VLOOKUP($A340,Sheet1!$Q$7:$U$133,Sheet1!$S$5-Sheet1!$P$5,FALSE),VLOOKUP($G340,Sheet1!$I$7:$N$133,Sheet1!$L$5-Sheet1!$H$5,FALSE)))</f>
        <v/>
      </c>
      <c r="I340" s="277" t="str">
        <f>IF($G340="","",IF($G340="小計",VLOOKUP($A340,Sheet1!$Q$7:$U$133,Sheet1!$T$5-Sheet1!$P$5,FALSE),VLOOKUP($G340,Sheet1!$I$7:$N$133,Sheet1!$M$5-Sheet1!$H$5,FALSE)))</f>
        <v/>
      </c>
      <c r="J340" s="277" t="str">
        <f>IF($G340="","",IF($G340="小計",VLOOKUP($A340,Sheet1!$Q$7:$U$133,Sheet1!$U$5-Sheet1!$P$5,FALSE),VLOOKUP($G340,Sheet1!$I$7:$N$133,Sheet1!$N$5-Sheet1!$H$5,FALSE)))</f>
        <v/>
      </c>
      <c r="K340" s="610" t="str">
        <f>IF(OR($G340="",$G340="小計"),"",IF(VLOOKUP($G340,請求Data!$I$11:$AR$160,請求Data!$AR$10-請求Data!$H$10,FALSE)="","",VLOOKUP($G340,請求Data!$I$11:$AR$160,請求Data!$AR$10-請求Data!$H$10,FALSE)))</f>
        <v/>
      </c>
    </row>
    <row r="341" spans="1:14">
      <c r="A341" s="481">
        <v>23</v>
      </c>
      <c r="B341" s="477" t="str">
        <f t="shared" si="15"/>
        <v/>
      </c>
      <c r="D341" s="844" t="str">
        <f>IF(OR($G341="",$G341="小計"),"",INDEX(請求Data!$T$11:$T$160,MATCH($G341,請求Data!$I$11:$I$160,0))&amp;"")</f>
        <v/>
      </c>
      <c r="E341" s="844"/>
      <c r="F341" s="75"/>
      <c r="G341" s="147" t="str">
        <f>IF(ISNA(MATCH($A341,Sheet1!$D$7:$D$133,0)),IF($A341&gt;MAX(Sheet1!$Q$7:$Q$133),"",IF($G340="小計","","小計")),IF($A341&gt;MAX(Sheet1!$D$7:$D$133),"",VLOOKUP($A341,Sheet1!$D$7:$U$133,Sheet1!$I$5-Sheet1!$C$5,FALSE)))</f>
        <v/>
      </c>
      <c r="H341" s="277" t="str">
        <f>IF($G341="","",IF($G341="小計",VLOOKUP($A341,Sheet1!$Q$7:$U$133,Sheet1!$S$5-Sheet1!$P$5,FALSE),VLOOKUP($G341,Sheet1!$I$7:$N$133,Sheet1!$L$5-Sheet1!$H$5,FALSE)))</f>
        <v/>
      </c>
      <c r="I341" s="277" t="str">
        <f>IF($G341="","",IF($G341="小計",VLOOKUP($A341,Sheet1!$Q$7:$U$133,Sheet1!$T$5-Sheet1!$P$5,FALSE),VLOOKUP($G341,Sheet1!$I$7:$N$133,Sheet1!$M$5-Sheet1!$H$5,FALSE)))</f>
        <v/>
      </c>
      <c r="J341" s="277" t="str">
        <f>IF($G341="","",IF($G341="小計",VLOOKUP($A341,Sheet1!$Q$7:$U$133,Sheet1!$U$5-Sheet1!$P$5,FALSE),VLOOKUP($G341,Sheet1!$I$7:$N$133,Sheet1!$N$5-Sheet1!$H$5,FALSE)))</f>
        <v/>
      </c>
      <c r="K341" s="610" t="str">
        <f>IF(OR($G341="",$G341="小計"),"",IF(VLOOKUP($G341,請求Data!$I$11:$AR$160,請求Data!$AR$10-請求Data!$H$10,FALSE)="","",VLOOKUP($G341,請求Data!$I$11:$AR$160,請求Data!$AR$10-請求Data!$H$10,FALSE)))</f>
        <v/>
      </c>
    </row>
    <row r="342" spans="1:14">
      <c r="A342" s="482">
        <v>24</v>
      </c>
      <c r="B342" s="477" t="str">
        <f t="shared" si="15"/>
        <v/>
      </c>
      <c r="D342" s="844" t="str">
        <f>IF(OR($G342="",$G342="小計"),"",INDEX(請求Data!$T$11:$T$160,MATCH($G342,請求Data!$I$11:$I$160,0))&amp;"")</f>
        <v/>
      </c>
      <c r="E342" s="844"/>
      <c r="F342" s="75"/>
      <c r="G342" s="147" t="str">
        <f>IF(ISNA(MATCH($A342,Sheet1!$D$7:$D$133,0)),IF($A342&gt;MAX(Sheet1!$Q$7:$Q$133),"",IF($G341="小計","","小計")),IF($A342&gt;MAX(Sheet1!$D$7:$D$133),"",VLOOKUP($A342,Sheet1!$D$7:$U$133,Sheet1!$I$5-Sheet1!$C$5,FALSE)))</f>
        <v/>
      </c>
      <c r="H342" s="277" t="str">
        <f>IF($G342="","",IF($G342="小計",VLOOKUP($A342,Sheet1!$Q$7:$U$133,Sheet1!$S$5-Sheet1!$P$5,FALSE),VLOOKUP($G342,Sheet1!$I$7:$N$133,Sheet1!$L$5-Sheet1!$H$5,FALSE)))</f>
        <v/>
      </c>
      <c r="I342" s="277" t="str">
        <f>IF($G342="","",IF($G342="小計",VLOOKUP($A342,Sheet1!$Q$7:$U$133,Sheet1!$T$5-Sheet1!$P$5,FALSE),VLOOKUP($G342,Sheet1!$I$7:$N$133,Sheet1!$M$5-Sheet1!$H$5,FALSE)))</f>
        <v/>
      </c>
      <c r="J342" s="277" t="str">
        <f>IF($G342="","",IF($G342="小計",VLOOKUP($A342,Sheet1!$Q$7:$U$133,Sheet1!$U$5-Sheet1!$P$5,FALSE),VLOOKUP($G342,Sheet1!$I$7:$N$133,Sheet1!$N$5-Sheet1!$H$5,FALSE)))</f>
        <v/>
      </c>
      <c r="K342" s="610" t="str">
        <f>IF(OR($G342="",$G342="小計"),"",IF(VLOOKUP($G342,請求Data!$I$11:$AR$160,請求Data!$AR$10-請求Data!$H$10,FALSE)="","",VLOOKUP($G342,請求Data!$I$11:$AR$160,請求Data!$AR$10-請求Data!$H$10,FALSE)))</f>
        <v/>
      </c>
    </row>
    <row r="343" spans="1:14">
      <c r="A343" s="481">
        <v>25</v>
      </c>
      <c r="B343" s="477" t="str">
        <f t="shared" si="15"/>
        <v/>
      </c>
      <c r="D343" s="844" t="str">
        <f>IF(OR($G343="",$G343="小計"),"",INDEX(請求Data!$T$11:$T$160,MATCH($G343,請求Data!$I$11:$I$160,0))&amp;"")</f>
        <v/>
      </c>
      <c r="E343" s="844"/>
      <c r="F343" s="75"/>
      <c r="G343" s="147" t="str">
        <f>IF(ISNA(MATCH($A343,Sheet1!$D$7:$D$133,0)),IF($A343&gt;MAX(Sheet1!$Q$7:$Q$133),"",IF($G342="小計","","小計")),IF($A343&gt;MAX(Sheet1!$D$7:$D$133),"",VLOOKUP($A343,Sheet1!$D$7:$U$133,Sheet1!$I$5-Sheet1!$C$5,FALSE)))</f>
        <v/>
      </c>
      <c r="H343" s="277" t="str">
        <f>IF($G343="","",IF($G343="小計",VLOOKUP($A343,Sheet1!$Q$7:$U$133,Sheet1!$S$5-Sheet1!$P$5,FALSE),VLOOKUP($G343,Sheet1!$I$7:$N$133,Sheet1!$L$5-Sheet1!$H$5,FALSE)))</f>
        <v/>
      </c>
      <c r="I343" s="277" t="str">
        <f>IF($G343="","",IF($G343="小計",VLOOKUP($A343,Sheet1!$Q$7:$U$133,Sheet1!$T$5-Sheet1!$P$5,FALSE),VLOOKUP($G343,Sheet1!$I$7:$N$133,Sheet1!$M$5-Sheet1!$H$5,FALSE)))</f>
        <v/>
      </c>
      <c r="J343" s="277" t="str">
        <f>IF($G343="","",IF($G343="小計",VLOOKUP($A343,Sheet1!$Q$7:$U$133,Sheet1!$U$5-Sheet1!$P$5,FALSE),VLOOKUP($G343,Sheet1!$I$7:$N$133,Sheet1!$N$5-Sheet1!$H$5,FALSE)))</f>
        <v/>
      </c>
      <c r="K343" s="610" t="str">
        <f>IF(OR($G343="",$G343="小計"),"",IF(VLOOKUP($G343,請求Data!$I$11:$AR$160,請求Data!$AR$10-請求Data!$H$10,FALSE)="","",VLOOKUP($G343,請求Data!$I$11:$AR$160,請求Data!$AR$10-請求Data!$H$10,FALSE)))</f>
        <v/>
      </c>
    </row>
    <row r="344" spans="1:14">
      <c r="A344" s="482">
        <v>26</v>
      </c>
      <c r="B344" s="477" t="str">
        <f t="shared" si="15"/>
        <v/>
      </c>
      <c r="D344" s="844" t="str">
        <f>IF(OR($G344="",$G344="小計"),"",INDEX(請求Data!$T$11:$T$160,MATCH($G344,請求Data!$I$11:$I$160,0))&amp;"")</f>
        <v/>
      </c>
      <c r="E344" s="844"/>
      <c r="F344" s="75"/>
      <c r="G344" s="147" t="str">
        <f>IF(ISNA(MATCH($A344,Sheet1!$D$7:$D$133,0)),IF($A344&gt;MAX(Sheet1!$Q$7:$Q$133),"",IF($G343="小計","","小計")),IF($A344&gt;MAX(Sheet1!$D$7:$D$133),"",VLOOKUP($A344,Sheet1!$D$7:$U$133,Sheet1!$I$5-Sheet1!$C$5,FALSE)))</f>
        <v/>
      </c>
      <c r="H344" s="277" t="str">
        <f>IF($G344="","",IF($G344="小計",VLOOKUP($A344,Sheet1!$Q$7:$U$133,Sheet1!$S$5-Sheet1!$P$5,FALSE),VLOOKUP($G344,Sheet1!$I$7:$N$133,Sheet1!$L$5-Sheet1!$H$5,FALSE)))</f>
        <v/>
      </c>
      <c r="I344" s="277" t="str">
        <f>IF($G344="","",IF($G344="小計",VLOOKUP($A344,Sheet1!$Q$7:$U$133,Sheet1!$T$5-Sheet1!$P$5,FALSE),VLOOKUP($G344,Sheet1!$I$7:$N$133,Sheet1!$M$5-Sheet1!$H$5,FALSE)))</f>
        <v/>
      </c>
      <c r="J344" s="277" t="str">
        <f>IF($G344="","",IF($G344="小計",VLOOKUP($A344,Sheet1!$Q$7:$U$133,Sheet1!$U$5-Sheet1!$P$5,FALSE),VLOOKUP($G344,Sheet1!$I$7:$N$133,Sheet1!$N$5-Sheet1!$H$5,FALSE)))</f>
        <v/>
      </c>
      <c r="K344" s="610" t="str">
        <f>IF(OR($G344="",$G344="小計"),"",IF(VLOOKUP($G344,請求Data!$I$11:$AR$160,請求Data!$AR$10-請求Data!$H$10,FALSE)="","",VLOOKUP($G344,請求Data!$I$11:$AR$160,請求Data!$AR$10-請求Data!$H$10,FALSE)))</f>
        <v/>
      </c>
    </row>
    <row r="345" spans="1:14">
      <c r="A345" s="481">
        <v>27</v>
      </c>
      <c r="B345" s="477" t="str">
        <f t="shared" si="15"/>
        <v/>
      </c>
      <c r="D345" s="844" t="str">
        <f>IF(OR($G345="",$G345="小計"),"",INDEX(請求Data!$T$11:$T$160,MATCH($G345,請求Data!$I$11:$I$160,0))&amp;"")</f>
        <v/>
      </c>
      <c r="E345" s="844"/>
      <c r="F345" s="75"/>
      <c r="G345" s="147" t="str">
        <f>IF(ISNA(MATCH($A345,Sheet1!$D$7:$D$133,0)),IF($A345&gt;MAX(Sheet1!$Q$7:$Q$133),"",IF($G344="小計","","小計")),IF($A345&gt;MAX(Sheet1!$D$7:$D$133),"",VLOOKUP($A345,Sheet1!$D$7:$U$133,Sheet1!$I$5-Sheet1!$C$5,FALSE)))</f>
        <v/>
      </c>
      <c r="H345" s="277" t="str">
        <f>IF($G345="","",IF($G345="小計",VLOOKUP($A345,Sheet1!$Q$7:$U$133,Sheet1!$S$5-Sheet1!$P$5,FALSE),VLOOKUP($G345,Sheet1!$I$7:$N$133,Sheet1!$L$5-Sheet1!$H$5,FALSE)))</f>
        <v/>
      </c>
      <c r="I345" s="277" t="str">
        <f>IF($G345="","",IF($G345="小計",VLOOKUP($A345,Sheet1!$Q$7:$U$133,Sheet1!$T$5-Sheet1!$P$5,FALSE),VLOOKUP($G345,Sheet1!$I$7:$N$133,Sheet1!$M$5-Sheet1!$H$5,FALSE)))</f>
        <v/>
      </c>
      <c r="J345" s="277" t="str">
        <f>IF($G345="","",IF($G345="小計",VLOOKUP($A345,Sheet1!$Q$7:$U$133,Sheet1!$U$5-Sheet1!$P$5,FALSE),VLOOKUP($G345,Sheet1!$I$7:$N$133,Sheet1!$N$5-Sheet1!$H$5,FALSE)))</f>
        <v/>
      </c>
      <c r="K345" s="610" t="str">
        <f>IF(OR($G345="",$G345="小計"),"",IF(VLOOKUP($G345,請求Data!$I$11:$AR$160,請求Data!$AR$10-請求Data!$H$10,FALSE)="","",VLOOKUP($G345,請求Data!$I$11:$AR$160,請求Data!$AR$10-請求Data!$H$10,FALSE)))</f>
        <v/>
      </c>
    </row>
    <row r="346" spans="1:14">
      <c r="A346" s="482">
        <v>28</v>
      </c>
      <c r="B346" s="477" t="str">
        <f t="shared" si="15"/>
        <v/>
      </c>
      <c r="D346" s="844" t="str">
        <f>IF(OR($G346="",$G346="小計"),"",INDEX(請求Data!$T$11:$T$160,MATCH($G346,請求Data!$I$11:$I$160,0))&amp;"")</f>
        <v/>
      </c>
      <c r="E346" s="844"/>
      <c r="F346" s="75"/>
      <c r="G346" s="147" t="str">
        <f>IF(ISNA(MATCH($A346,Sheet1!$D$7:$D$133,0)),IF($A346&gt;MAX(Sheet1!$Q$7:$Q$133),"",IF($G345="小計","","小計")),IF($A346&gt;MAX(Sheet1!$D$7:$D$133),"",VLOOKUP($A346,Sheet1!$D$7:$U$133,Sheet1!$I$5-Sheet1!$C$5,FALSE)))</f>
        <v/>
      </c>
      <c r="H346" s="277" t="str">
        <f>IF($G346="","",IF($G346="小計",VLOOKUP($A346,Sheet1!$Q$7:$U$133,Sheet1!$S$5-Sheet1!$P$5,FALSE),VLOOKUP($G346,Sheet1!$I$7:$N$133,Sheet1!$L$5-Sheet1!$H$5,FALSE)))</f>
        <v/>
      </c>
      <c r="I346" s="277" t="str">
        <f>IF($G346="","",IF($G346="小計",VLOOKUP($A346,Sheet1!$Q$7:$U$133,Sheet1!$T$5-Sheet1!$P$5,FALSE),VLOOKUP($G346,Sheet1!$I$7:$N$133,Sheet1!$M$5-Sheet1!$H$5,FALSE)))</f>
        <v/>
      </c>
      <c r="J346" s="277" t="str">
        <f>IF($G346="","",IF($G346="小計",VLOOKUP($A346,Sheet1!$Q$7:$U$133,Sheet1!$U$5-Sheet1!$P$5,FALSE),VLOOKUP($G346,Sheet1!$I$7:$N$133,Sheet1!$N$5-Sheet1!$H$5,FALSE)))</f>
        <v/>
      </c>
      <c r="K346" s="610" t="str">
        <f>IF(OR($G346="",$G346="小計"),"",IF(VLOOKUP($G346,請求Data!$I$11:$AR$160,請求Data!$AR$10-請求Data!$H$10,FALSE)="","",VLOOKUP($G346,請求Data!$I$11:$AR$160,請求Data!$AR$10-請求Data!$H$10,FALSE)))</f>
        <v/>
      </c>
    </row>
    <row r="347" spans="1:14">
      <c r="A347" s="481">
        <v>29</v>
      </c>
      <c r="B347" s="477" t="str">
        <f t="shared" si="15"/>
        <v/>
      </c>
      <c r="D347" s="844" t="str">
        <f>IF(OR($G347="",$G347="小計"),"",INDEX(請求Data!$T$11:$T$160,MATCH($G347,請求Data!$I$11:$I$160,0))&amp;"")</f>
        <v/>
      </c>
      <c r="E347" s="844"/>
      <c r="F347" s="75"/>
      <c r="G347" s="147" t="str">
        <f>IF(ISNA(MATCH($A347,Sheet1!$D$7:$D$133,0)),IF($A347&gt;MAX(Sheet1!$Q$7:$Q$133),"",IF($G346="小計","","小計")),IF($A347&gt;MAX(Sheet1!$D$7:$D$133),"",VLOOKUP($A347,Sheet1!$D$7:$U$133,Sheet1!$I$5-Sheet1!$C$5,FALSE)))</f>
        <v/>
      </c>
      <c r="H347" s="277" t="str">
        <f>IF($G347="","",IF($G347="小計",VLOOKUP($A347,Sheet1!$Q$7:$U$133,Sheet1!$S$5-Sheet1!$P$5,FALSE),VLOOKUP($G347,Sheet1!$I$7:$N$133,Sheet1!$L$5-Sheet1!$H$5,FALSE)))</f>
        <v/>
      </c>
      <c r="I347" s="277" t="str">
        <f>IF($G347="","",IF($G347="小計",VLOOKUP($A347,Sheet1!$Q$7:$U$133,Sheet1!$T$5-Sheet1!$P$5,FALSE),VLOOKUP($G347,Sheet1!$I$7:$N$133,Sheet1!$M$5-Sheet1!$H$5,FALSE)))</f>
        <v/>
      </c>
      <c r="J347" s="277" t="str">
        <f>IF($G347="","",IF($G347="小計",VLOOKUP($A347,Sheet1!$Q$7:$U$133,Sheet1!$U$5-Sheet1!$P$5,FALSE),VLOOKUP($G347,Sheet1!$I$7:$N$133,Sheet1!$N$5-Sheet1!$H$5,FALSE)))</f>
        <v/>
      </c>
      <c r="K347" s="610" t="str">
        <f>IF(OR($G347="",$G347="小計"),"",IF(VLOOKUP($G347,請求Data!$I$11:$AR$160,請求Data!$AR$10-請求Data!$H$10,FALSE)="","",VLOOKUP($G347,請求Data!$I$11:$AR$160,請求Data!$AR$10-請求Data!$H$10,FALSE)))</f>
        <v/>
      </c>
    </row>
    <row r="348" spans="1:14">
      <c r="A348" s="482">
        <v>30</v>
      </c>
      <c r="B348" s="477" t="str">
        <f t="shared" si="15"/>
        <v/>
      </c>
      <c r="D348" s="844" t="str">
        <f>IF(OR($G348="",$G348="小計"),"",INDEX(請求Data!$T$11:$T$160,MATCH($G348,請求Data!$I$11:$I$160,0))&amp;"")</f>
        <v/>
      </c>
      <c r="E348" s="844"/>
      <c r="F348" s="75"/>
      <c r="G348" s="147" t="str">
        <f>IF(ISNA(MATCH($A348,Sheet1!$D$7:$D$133,0)),IF($A348&gt;MAX(Sheet1!$Q$7:$Q$133),"",IF($G347="小計","","小計")),IF($A348&gt;MAX(Sheet1!$D$7:$D$133),"",VLOOKUP($A348,Sheet1!$D$7:$U$133,Sheet1!$I$5-Sheet1!$C$5,FALSE)))</f>
        <v/>
      </c>
      <c r="H348" s="277" t="str">
        <f>IF($G348="","",IF($G348="小計",VLOOKUP($A348,Sheet1!$Q$7:$U$133,Sheet1!$S$5-Sheet1!$P$5,FALSE),VLOOKUP($G348,Sheet1!$I$7:$N$133,Sheet1!$L$5-Sheet1!$H$5,FALSE)))</f>
        <v/>
      </c>
      <c r="I348" s="277" t="str">
        <f>IF($G348="","",IF($G348="小計",VLOOKUP($A348,Sheet1!$Q$7:$U$133,Sheet1!$T$5-Sheet1!$P$5,FALSE),VLOOKUP($G348,Sheet1!$I$7:$N$133,Sheet1!$M$5-Sheet1!$H$5,FALSE)))</f>
        <v/>
      </c>
      <c r="J348" s="277" t="str">
        <f>IF($G348="","",IF($G348="小計",VLOOKUP($A348,Sheet1!$Q$7:$U$133,Sheet1!$U$5-Sheet1!$P$5,FALSE),VLOOKUP($G348,Sheet1!$I$7:$N$133,Sheet1!$N$5-Sheet1!$H$5,FALSE)))</f>
        <v/>
      </c>
      <c r="K348" s="610" t="str">
        <f>IF(OR($G348="",$G348="小計"),"",IF(VLOOKUP($G348,請求Data!$I$11:$AR$160,請求Data!$AR$10-請求Data!$H$10,FALSE)="","",VLOOKUP($G348,請求Data!$I$11:$AR$160,請求Data!$AR$10-請求Data!$H$10,FALSE)))</f>
        <v/>
      </c>
    </row>
    <row r="349" spans="1:14">
      <c r="A349" s="481">
        <v>31</v>
      </c>
      <c r="B349" s="477" t="str">
        <f t="shared" si="15"/>
        <v/>
      </c>
      <c r="D349" s="844" t="str">
        <f>IF(OR($G349="",$G349="小計"),"",INDEX(請求Data!$T$11:$T$160,MATCH($G349,請求Data!$I$11:$I$160,0))&amp;"")</f>
        <v/>
      </c>
      <c r="E349" s="844"/>
      <c r="F349" s="75"/>
      <c r="G349" s="147" t="str">
        <f>IF(ISNA(MATCH($A349,Sheet1!$D$7:$D$133,0)),IF($A349&gt;MAX(Sheet1!$Q$7:$Q$133),"",IF($G348="小計","","小計")),IF($A349&gt;MAX(Sheet1!$D$7:$D$133),"",VLOOKUP($A349,Sheet1!$D$7:$U$133,Sheet1!$I$5-Sheet1!$C$5,FALSE)))</f>
        <v/>
      </c>
      <c r="H349" s="277" t="str">
        <f>IF($G349="","",IF($G349="小計",VLOOKUP($A349,Sheet1!$Q$7:$U$133,Sheet1!$S$5-Sheet1!$P$5,FALSE),VLOOKUP($G349,Sheet1!$I$7:$N$133,Sheet1!$L$5-Sheet1!$H$5,FALSE)))</f>
        <v/>
      </c>
      <c r="I349" s="277" t="str">
        <f>IF($G349="","",IF($G349="小計",VLOOKUP($A349,Sheet1!$Q$7:$U$133,Sheet1!$T$5-Sheet1!$P$5,FALSE),VLOOKUP($G349,Sheet1!$I$7:$N$133,Sheet1!$M$5-Sheet1!$H$5,FALSE)))</f>
        <v/>
      </c>
      <c r="J349" s="277" t="str">
        <f>IF($G349="","",IF($G349="小計",VLOOKUP($A349,Sheet1!$Q$7:$U$133,Sheet1!$U$5-Sheet1!$P$5,FALSE),VLOOKUP($G349,Sheet1!$I$7:$N$133,Sheet1!$N$5-Sheet1!$H$5,FALSE)))</f>
        <v/>
      </c>
      <c r="K349" s="610" t="str">
        <f>IF(OR($G349="",$G349="小計"),"",IF(VLOOKUP($G349,請求Data!$I$11:$AR$160,請求Data!$AR$10-請求Data!$H$10,FALSE)="","",VLOOKUP($G349,請求Data!$I$11:$AR$160,請求Data!$AR$10-請求Data!$H$10,FALSE)))</f>
        <v/>
      </c>
      <c r="L349" s="7"/>
      <c r="M349" s="7"/>
      <c r="N349" s="7"/>
    </row>
    <row r="350" spans="1:14">
      <c r="A350" s="482">
        <v>450</v>
      </c>
      <c r="B350" s="477">
        <f>IF($J350="",IF($J349="","",1),1)</f>
        <v>1</v>
      </c>
      <c r="D350" s="414"/>
      <c r="E350" s="357" t="s">
        <v>146</v>
      </c>
      <c r="F350" s="7"/>
      <c r="G350" s="72"/>
      <c r="H350" s="278">
        <f>SUM($H$319:$H$349)-SUMIF($G$319:$G$349,"小計",$H$319:$H$349)</f>
        <v>236897.72999999995</v>
      </c>
      <c r="I350" s="278">
        <f>SUM($I$319:$I$349)-SUMIF($G$319:$G$349,"小計",$I$319:$I$349)</f>
        <v>18951.82</v>
      </c>
      <c r="J350" s="278">
        <f>SUM($J$319:$J$349)-SUMIF($G$319:$G$349,"小計",$J$319:$J$349)</f>
        <v>255849.55</v>
      </c>
      <c r="K350" s="77"/>
      <c r="L350" s="7"/>
      <c r="M350" s="7"/>
      <c r="N350" s="7"/>
    </row>
    <row r="351" spans="1:14">
      <c r="A351" s="481">
        <v>451</v>
      </c>
      <c r="B351" s="476">
        <v>9</v>
      </c>
      <c r="D351" s="414"/>
      <c r="E351" s="357"/>
      <c r="F351" s="7"/>
      <c r="G351" s="72"/>
      <c r="H351" s="357"/>
      <c r="I351" s="357"/>
      <c r="J351" s="357"/>
      <c r="K351" s="77"/>
      <c r="L351" s="7"/>
      <c r="M351" s="7"/>
      <c r="N351" s="7"/>
    </row>
    <row r="352" spans="1:14">
      <c r="A352" s="482">
        <v>452</v>
      </c>
      <c r="B352" s="476">
        <v>9</v>
      </c>
      <c r="D352" s="414"/>
      <c r="E352" s="357"/>
      <c r="F352" s="7"/>
      <c r="G352" s="72"/>
      <c r="H352" s="357"/>
      <c r="I352" s="357"/>
      <c r="J352" s="357"/>
      <c r="K352" s="77"/>
      <c r="L352" s="7"/>
      <c r="M352" s="7"/>
      <c r="N352" s="7"/>
    </row>
    <row r="353" spans="1:14">
      <c r="A353" s="481">
        <v>453</v>
      </c>
      <c r="B353" s="477" t="str">
        <f>IF($J353="","",1)</f>
        <v/>
      </c>
      <c r="D353" s="348"/>
      <c r="E353" s="415" t="s">
        <v>130</v>
      </c>
      <c r="F353" s="64"/>
      <c r="G353" s="494"/>
      <c r="H353" s="515"/>
      <c r="I353" s="516"/>
      <c r="J353" s="516"/>
      <c r="K353"/>
    </row>
    <row r="354" spans="1:14">
      <c r="A354" s="482">
        <v>454</v>
      </c>
      <c r="B354" s="477" t="str">
        <f>IF($J354="","",1)</f>
        <v/>
      </c>
      <c r="D354" s="348"/>
      <c r="E354" s="415" t="s">
        <v>131</v>
      </c>
      <c r="F354" s="64"/>
      <c r="G354" s="494"/>
      <c r="H354" s="515"/>
      <c r="I354" s="516"/>
      <c r="J354" s="516"/>
      <c r="K354"/>
    </row>
    <row r="355" spans="1:14" ht="13.8" thickBot="1">
      <c r="A355" s="481">
        <v>455</v>
      </c>
      <c r="B355" s="477" t="str">
        <f>IF($J355="","",1)</f>
        <v/>
      </c>
      <c r="D355" s="348"/>
      <c r="E355" s="415" t="s">
        <v>132</v>
      </c>
      <c r="F355" s="64"/>
      <c r="G355" s="494"/>
      <c r="H355" s="515"/>
      <c r="I355" s="516"/>
      <c r="J355" s="516"/>
      <c r="K355"/>
    </row>
    <row r="356" spans="1:14" ht="13.8" thickBot="1">
      <c r="A356" s="482">
        <v>456</v>
      </c>
      <c r="B356" s="477">
        <f>IF($J356="","",1)</f>
        <v>1</v>
      </c>
      <c r="D356" s="348"/>
      <c r="E356" s="411"/>
      <c r="F356" s="146"/>
      <c r="G356" s="66" t="s">
        <v>463</v>
      </c>
      <c r="H356" s="212">
        <f>$H$350+$H$353+$H$354-$H$355</f>
        <v>236897.72999999995</v>
      </c>
      <c r="I356" s="213">
        <f>$I$350+$I$353+$I$354-$I$355</f>
        <v>18951.82</v>
      </c>
      <c r="J356" s="214">
        <f>$J$350+$J$353+$J$354-$J$355</f>
        <v>255849.55</v>
      </c>
      <c r="K356" s="142"/>
    </row>
    <row r="357" spans="1:14">
      <c r="A357" s="481">
        <v>457</v>
      </c>
      <c r="B357" s="477" t="str">
        <f>IF(OR($J357="",$J357=0),"",1)</f>
        <v/>
      </c>
      <c r="D357" s="416" t="s">
        <v>149</v>
      </c>
      <c r="E357" s="517"/>
      <c r="F357" s="494" t="s">
        <v>152</v>
      </c>
      <c r="G357" s="518"/>
      <c r="H357" s="519"/>
      <c r="I357" s="519"/>
      <c r="J357" s="278">
        <f t="shared" ref="J357:J367" si="16">$H357+$I357</f>
        <v>0</v>
      </c>
      <c r="K357" s="8"/>
    </row>
    <row r="358" spans="1:14">
      <c r="A358" s="482">
        <v>458</v>
      </c>
      <c r="B358" s="477" t="str">
        <f t="shared" ref="B358:B371" si="17">IF(OR($J358="",$J358=0),"",1)</f>
        <v/>
      </c>
      <c r="D358" s="417"/>
      <c r="E358" s="520"/>
      <c r="F358" s="494" t="s">
        <v>152</v>
      </c>
      <c r="G358" s="494"/>
      <c r="H358" s="519"/>
      <c r="I358" s="519"/>
      <c r="J358" s="278">
        <f t="shared" si="16"/>
        <v>0</v>
      </c>
      <c r="K358" s="142"/>
    </row>
    <row r="359" spans="1:14">
      <c r="A359" s="481">
        <v>459</v>
      </c>
      <c r="B359" s="477" t="str">
        <f t="shared" si="17"/>
        <v/>
      </c>
      <c r="D359" s="416" t="s">
        <v>133</v>
      </c>
      <c r="E359" s="521"/>
      <c r="F359" s="494" t="s">
        <v>151</v>
      </c>
      <c r="G359" s="494"/>
      <c r="H359" s="519"/>
      <c r="I359" s="519"/>
      <c r="J359" s="278">
        <f t="shared" si="16"/>
        <v>0</v>
      </c>
      <c r="K359" s="142"/>
    </row>
    <row r="360" spans="1:14">
      <c r="A360" s="482">
        <v>460</v>
      </c>
      <c r="B360" s="477" t="str">
        <f t="shared" si="17"/>
        <v/>
      </c>
      <c r="D360" s="348"/>
      <c r="E360" s="520"/>
      <c r="F360" s="494" t="s">
        <v>151</v>
      </c>
      <c r="G360" s="494"/>
      <c r="H360" s="519"/>
      <c r="I360" s="519"/>
      <c r="J360" s="278">
        <f t="shared" si="16"/>
        <v>0</v>
      </c>
      <c r="K360" s="142"/>
    </row>
    <row r="361" spans="1:14">
      <c r="A361" s="482">
        <v>461</v>
      </c>
      <c r="B361" s="477" t="str">
        <f t="shared" si="17"/>
        <v/>
      </c>
      <c r="D361" s="417"/>
      <c r="E361" s="520"/>
      <c r="F361" s="494" t="s">
        <v>151</v>
      </c>
      <c r="G361" s="494"/>
      <c r="H361" s="519"/>
      <c r="I361" s="519"/>
      <c r="J361" s="278">
        <f t="shared" si="16"/>
        <v>0</v>
      </c>
      <c r="K361" s="142"/>
    </row>
    <row r="362" spans="1:14">
      <c r="A362" s="481">
        <v>462</v>
      </c>
      <c r="B362" s="477" t="str">
        <f t="shared" si="17"/>
        <v/>
      </c>
      <c r="D362" s="416" t="s">
        <v>148</v>
      </c>
      <c r="E362" s="521"/>
      <c r="F362" s="494" t="s">
        <v>151</v>
      </c>
      <c r="G362" s="518"/>
      <c r="H362" s="519"/>
      <c r="I362" s="519"/>
      <c r="J362" s="278">
        <f t="shared" si="16"/>
        <v>0</v>
      </c>
      <c r="K362" s="142"/>
    </row>
    <row r="363" spans="1:14">
      <c r="A363" s="482">
        <v>463</v>
      </c>
      <c r="B363" s="477" t="str">
        <f t="shared" si="17"/>
        <v/>
      </c>
      <c r="D363" s="417"/>
      <c r="E363" s="520"/>
      <c r="F363" s="494" t="s">
        <v>151</v>
      </c>
      <c r="G363" s="494"/>
      <c r="H363" s="519"/>
      <c r="I363" s="519"/>
      <c r="J363" s="278">
        <f t="shared" si="16"/>
        <v>0</v>
      </c>
      <c r="K363" s="142"/>
    </row>
    <row r="364" spans="1:14">
      <c r="A364" s="481">
        <v>464</v>
      </c>
      <c r="B364" s="477" t="str">
        <f t="shared" si="17"/>
        <v/>
      </c>
      <c r="D364" s="417"/>
      <c r="E364" s="520"/>
      <c r="F364" s="494" t="s">
        <v>151</v>
      </c>
      <c r="G364" s="494"/>
      <c r="H364" s="519"/>
      <c r="I364" s="519"/>
      <c r="J364" s="278">
        <f t="shared" si="16"/>
        <v>0</v>
      </c>
      <c r="K364" s="142"/>
    </row>
    <row r="365" spans="1:14">
      <c r="A365" s="482">
        <v>465</v>
      </c>
      <c r="B365" s="477" t="str">
        <f t="shared" si="17"/>
        <v/>
      </c>
      <c r="D365" s="416" t="s">
        <v>202</v>
      </c>
      <c r="E365" s="521"/>
      <c r="F365" s="494" t="s">
        <v>151</v>
      </c>
      <c r="G365" s="518"/>
      <c r="H365" s="519"/>
      <c r="I365" s="519"/>
      <c r="J365" s="278">
        <f t="shared" si="16"/>
        <v>0</v>
      </c>
      <c r="K365" s="142"/>
    </row>
    <row r="366" spans="1:14">
      <c r="A366" s="481">
        <v>466</v>
      </c>
      <c r="B366" s="477" t="str">
        <f t="shared" si="17"/>
        <v/>
      </c>
      <c r="D366" s="417"/>
      <c r="E366" s="520"/>
      <c r="F366" s="494" t="s">
        <v>151</v>
      </c>
      <c r="G366" s="494"/>
      <c r="H366" s="519"/>
      <c r="I366" s="519"/>
      <c r="J366" s="278">
        <f t="shared" si="16"/>
        <v>0</v>
      </c>
      <c r="K366" s="142"/>
    </row>
    <row r="367" spans="1:14">
      <c r="A367" s="482">
        <v>467</v>
      </c>
      <c r="B367" s="477" t="str">
        <f t="shared" si="17"/>
        <v/>
      </c>
      <c r="D367" s="417"/>
      <c r="E367" s="520"/>
      <c r="F367" s="494" t="s">
        <v>151</v>
      </c>
      <c r="G367" s="494"/>
      <c r="H367" s="519"/>
      <c r="I367" s="519"/>
      <c r="J367" s="278">
        <f t="shared" si="16"/>
        <v>0</v>
      </c>
      <c r="K367" s="142"/>
    </row>
    <row r="368" spans="1:14">
      <c r="A368" s="481">
        <v>468</v>
      </c>
      <c r="B368" s="477" t="str">
        <f t="shared" si="17"/>
        <v/>
      </c>
      <c r="D368" s="357" t="s">
        <v>145</v>
      </c>
      <c r="E368" s="522"/>
      <c r="F368" s="494" t="s">
        <v>151</v>
      </c>
      <c r="G368" s="518"/>
      <c r="H368" s="519"/>
      <c r="I368" s="519"/>
      <c r="J368" s="278">
        <f>$H368+$I368</f>
        <v>0</v>
      </c>
      <c r="K368" s="8"/>
      <c r="L368" s="7"/>
      <c r="M368" s="7"/>
      <c r="N368" s="7"/>
    </row>
    <row r="369" spans="1:14">
      <c r="A369" s="482">
        <v>469</v>
      </c>
      <c r="B369" s="477" t="str">
        <f t="shared" ca="1" si="17"/>
        <v/>
      </c>
      <c r="D369" s="357" t="s">
        <v>145</v>
      </c>
      <c r="E369" s="523"/>
      <c r="F369" s="494" t="s">
        <v>151</v>
      </c>
      <c r="G369" s="500"/>
      <c r="H369" s="519"/>
      <c r="I369" s="519"/>
      <c r="J369" s="278">
        <f ca="1">SUMIF($D$10:$D$109,"株式会社ティーケーホールディングス/経費",J318:J348)</f>
        <v>0</v>
      </c>
      <c r="K369" s="8"/>
      <c r="L369" s="7"/>
      <c r="M369" s="7"/>
      <c r="N369" s="7"/>
    </row>
    <row r="370" spans="1:14">
      <c r="A370" s="481">
        <v>470</v>
      </c>
      <c r="B370" s="477" t="str">
        <f t="shared" si="17"/>
        <v/>
      </c>
      <c r="D370" s="414"/>
      <c r="E370" s="523"/>
      <c r="F370" s="494" t="s">
        <v>152</v>
      </c>
      <c r="G370" s="518"/>
      <c r="H370" s="519"/>
      <c r="I370" s="519"/>
      <c r="J370" s="278">
        <f>$H370+$I370</f>
        <v>0</v>
      </c>
      <c r="K370" s="8"/>
      <c r="L370" s="7"/>
      <c r="M370" s="7"/>
      <c r="N370" s="7"/>
    </row>
    <row r="371" spans="1:14" ht="13.8" thickBot="1">
      <c r="A371" s="482">
        <v>471</v>
      </c>
      <c r="B371" s="477" t="str">
        <f t="shared" si="17"/>
        <v/>
      </c>
      <c r="D371" s="414"/>
      <c r="E371" s="523"/>
      <c r="F371" s="494" t="s">
        <v>152</v>
      </c>
      <c r="G371" s="518"/>
      <c r="H371" s="519"/>
      <c r="I371" s="519"/>
      <c r="J371" s="278">
        <f>$H371+$I371</f>
        <v>0</v>
      </c>
      <c r="K371" s="7"/>
      <c r="L371" s="7"/>
      <c r="M371" s="7"/>
      <c r="N371" s="7"/>
    </row>
    <row r="372" spans="1:14" ht="13.8" thickBot="1">
      <c r="A372" s="482">
        <v>472</v>
      </c>
      <c r="B372" s="477">
        <f>IF($H372="","",1)</f>
        <v>1</v>
      </c>
      <c r="D372" s="348"/>
      <c r="E372" s="411"/>
      <c r="F372" s="146"/>
      <c r="G372" s="68" t="s">
        <v>134</v>
      </c>
      <c r="H372" s="215">
        <f>SUM($H$356:$H$358)-SUM($H$359:$H$369)+SUM($H$370:$H$371)</f>
        <v>236897.72999999995</v>
      </c>
      <c r="I372" s="216">
        <f>SUM($I$356:$I$358)-SUM($I$359:$I$369)+SUM($I$370:$I$371)</f>
        <v>18951.82</v>
      </c>
      <c r="J372" s="217">
        <f ca="1">SUM($J$356:$J$358)-SUM($J$359:$J$369)+SUM($J$370:$J$371)</f>
        <v>255849.55</v>
      </c>
      <c r="K372" s="142"/>
    </row>
    <row r="373" spans="1:14">
      <c r="A373" s="481">
        <v>473</v>
      </c>
      <c r="B373" s="478">
        <v>1</v>
      </c>
      <c r="C373" s="415"/>
      <c r="D373" s="348"/>
      <c r="E373" s="411"/>
      <c r="F373" s="411"/>
      <c r="G373" s="415"/>
      <c r="H373" s="348"/>
      <c r="I373" s="348"/>
      <c r="J373" s="348"/>
      <c r="K373" s="240"/>
    </row>
    <row r="374" spans="1:14">
      <c r="A374" s="482">
        <v>474</v>
      </c>
      <c r="B374" s="478">
        <v>1</v>
      </c>
      <c r="C374" s="415"/>
      <c r="D374" s="348"/>
      <c r="E374" s="411"/>
      <c r="F374" s="411"/>
      <c r="G374" s="415"/>
      <c r="H374" s="348"/>
      <c r="I374" s="348"/>
      <c r="J374" s="348"/>
      <c r="K374" s="240"/>
    </row>
    <row r="375" spans="1:14">
      <c r="A375" s="481">
        <v>475</v>
      </c>
      <c r="B375" s="476">
        <v>1</v>
      </c>
      <c r="D375" s="418" t="s">
        <v>433</v>
      </c>
      <c r="E375" s="524" t="s">
        <v>434</v>
      </c>
      <c r="F375" s="506"/>
      <c r="G375" s="494"/>
      <c r="H375" s="280">
        <f>SUMIF($D$319:$D$349,$E375,$H$319:$H$349)</f>
        <v>0</v>
      </c>
      <c r="I375" s="280">
        <f>SUMIF($D$319:$D$349,$E375,$I$319:$I$349)</f>
        <v>0</v>
      </c>
      <c r="J375" s="280">
        <f>SUMIF($D$319:$D$349,$E375,$J$319:$J$349)</f>
        <v>0</v>
      </c>
      <c r="K375" s="240"/>
    </row>
    <row r="376" spans="1:14">
      <c r="A376" s="482">
        <v>476</v>
      </c>
      <c r="B376" s="477">
        <f t="shared" ref="B376:B380" si="18">IF(OR($J376="",$J376=0),"",1)</f>
        <v>1</v>
      </c>
      <c r="D376" s="348"/>
      <c r="E376" s="525" t="s">
        <v>513</v>
      </c>
      <c r="F376" s="506"/>
      <c r="G376" s="494"/>
      <c r="H376" s="280">
        <f t="shared" ref="H376:H379" si="19">SUMIF($D$319:$D$349,$E376,$H$319:$H$349)</f>
        <v>221400</v>
      </c>
      <c r="I376" s="280">
        <f t="shared" ref="I376:I379" si="20">SUMIF($D$319:$D$349,$E376,$I$319:$I$349)</f>
        <v>17712</v>
      </c>
      <c r="J376" s="280">
        <f t="shared" ref="J376:J379" si="21">SUMIF($D$319:$D$349,$E376,$J$319:$J$349)</f>
        <v>239112</v>
      </c>
      <c r="K376" s="289"/>
    </row>
    <row r="377" spans="1:14">
      <c r="A377" s="481">
        <v>477</v>
      </c>
      <c r="B377" s="477" t="str">
        <f t="shared" si="18"/>
        <v/>
      </c>
      <c r="D377" s="348"/>
      <c r="E377" s="525" t="s">
        <v>435</v>
      </c>
      <c r="F377" s="506"/>
      <c r="G377" s="494"/>
      <c r="H377" s="280">
        <f t="shared" si="19"/>
        <v>0</v>
      </c>
      <c r="I377" s="280">
        <f t="shared" si="20"/>
        <v>0</v>
      </c>
      <c r="J377" s="280">
        <f t="shared" si="21"/>
        <v>0</v>
      </c>
      <c r="K377" s="289"/>
    </row>
    <row r="378" spans="1:14">
      <c r="A378" s="482">
        <v>478</v>
      </c>
      <c r="B378" s="477" t="str">
        <f t="shared" si="18"/>
        <v/>
      </c>
      <c r="D378" s="348"/>
      <c r="E378" s="525"/>
      <c r="F378" s="506"/>
      <c r="G378" s="494"/>
      <c r="H378" s="280">
        <f t="shared" si="19"/>
        <v>0</v>
      </c>
      <c r="I378" s="280">
        <f t="shared" si="20"/>
        <v>0</v>
      </c>
      <c r="J378" s="280">
        <f t="shared" si="21"/>
        <v>0</v>
      </c>
      <c r="K378" s="289"/>
    </row>
    <row r="379" spans="1:14">
      <c r="A379" s="481">
        <v>479</v>
      </c>
      <c r="B379" s="477" t="str">
        <f t="shared" si="18"/>
        <v/>
      </c>
      <c r="D379" s="348"/>
      <c r="E379" s="525"/>
      <c r="F379" s="506"/>
      <c r="G379" s="494"/>
      <c r="H379" s="280">
        <f t="shared" si="19"/>
        <v>0</v>
      </c>
      <c r="I379" s="280">
        <f t="shared" si="20"/>
        <v>0</v>
      </c>
      <c r="J379" s="280">
        <f t="shared" si="21"/>
        <v>0</v>
      </c>
      <c r="K379" s="289"/>
    </row>
    <row r="380" spans="1:14">
      <c r="A380" s="482">
        <v>480</v>
      </c>
      <c r="B380" s="477" t="str">
        <f t="shared" si="18"/>
        <v/>
      </c>
      <c r="D380" s="348"/>
      <c r="E380" s="525"/>
      <c r="F380" s="506"/>
      <c r="G380" s="494"/>
      <c r="H380" s="280">
        <f>SUMIF($D$319:$D$349,$E380,$H$319:$H$349)</f>
        <v>0</v>
      </c>
      <c r="I380" s="280">
        <f>SUMIF($D$319:$D$349,$E380,$I$319:$I$349)</f>
        <v>0</v>
      </c>
      <c r="J380" s="280">
        <f>SUMIF($D$319:$D$349,$E380,$J$319:$J$349)</f>
        <v>0</v>
      </c>
      <c r="K380" s="240"/>
    </row>
    <row r="381" spans="1:14">
      <c r="A381" s="481">
        <v>481</v>
      </c>
      <c r="B381" s="476">
        <v>1</v>
      </c>
      <c r="D381" s="348"/>
      <c r="E381" s="526" t="s">
        <v>436</v>
      </c>
      <c r="F381" s="509"/>
      <c r="G381" s="510"/>
      <c r="H381" s="293">
        <f>SUM($H$375:$H$380)</f>
        <v>221400</v>
      </c>
      <c r="I381" s="293">
        <f>SUM($I$375:$I$380)</f>
        <v>17712</v>
      </c>
      <c r="J381" s="294">
        <f>SUM($J$375:$J$380)</f>
        <v>239112</v>
      </c>
      <c r="K381" s="240"/>
    </row>
    <row r="382" spans="1:14">
      <c r="A382" s="482">
        <v>482</v>
      </c>
      <c r="B382" s="476">
        <v>1</v>
      </c>
      <c r="D382" s="348"/>
      <c r="E382" s="524" t="s">
        <v>12</v>
      </c>
      <c r="F382" s="506"/>
      <c r="G382" s="494"/>
      <c r="H382" s="280">
        <f>SUMIF($D$319:$D$349,$E382,$H$319:$H$349)</f>
        <v>0</v>
      </c>
      <c r="I382" s="280">
        <f>SUMIF($D$319:$D$349,$E382,$I$319:$I$349)</f>
        <v>0</v>
      </c>
      <c r="J382" s="280">
        <f>SUMIF($D$319:$D$349,$E382,$J$319:$J$349)</f>
        <v>0</v>
      </c>
      <c r="K382" s="240"/>
    </row>
    <row r="383" spans="1:14">
      <c r="A383" s="481">
        <v>483</v>
      </c>
      <c r="B383" s="476">
        <v>1</v>
      </c>
      <c r="D383" s="348"/>
      <c r="E383" s="527" t="s">
        <v>175</v>
      </c>
      <c r="F383" s="512"/>
      <c r="G383" s="512"/>
      <c r="H383" s="280">
        <f>SUMIF($D$319:$D$349,$E383,$H$319:$H$349)</f>
        <v>0</v>
      </c>
      <c r="I383" s="280">
        <f>SUMIF($D$319:$D$349,$E383,$I$319:$I$349)</f>
        <v>0</v>
      </c>
      <c r="J383" s="280">
        <f>SUMIF($D$319:$D$349,$E383,$J$319:$J$349)</f>
        <v>0</v>
      </c>
      <c r="K383" s="142"/>
    </row>
    <row r="384" spans="1:14">
      <c r="A384" s="482">
        <v>484</v>
      </c>
      <c r="B384" s="476">
        <v>1</v>
      </c>
      <c r="D384" s="348"/>
      <c r="E384" s="412" t="s">
        <v>150</v>
      </c>
      <c r="F384" s="146"/>
      <c r="H384" s="210">
        <f>$H$372-SUM($H$381:$H$383)</f>
        <v>15497.729999999952</v>
      </c>
      <c r="I384" s="210">
        <f>$I$372-SUM($I$381:$I$383)</f>
        <v>1239.8199999999997</v>
      </c>
      <c r="J384" s="210">
        <f ca="1">$J$372-SUM($J$381:$J$383)</f>
        <v>16737.549999999988</v>
      </c>
      <c r="K384" s="142"/>
    </row>
    <row r="385" spans="5:11">
      <c r="E385" s="143"/>
      <c r="F385" s="143"/>
      <c r="K385"/>
    </row>
    <row r="386" spans="5:11">
      <c r="E386" s="143"/>
      <c r="F386" s="143"/>
      <c r="K386"/>
    </row>
  </sheetData>
  <autoFilter ref="A9:J384" xr:uid="{00000000-0009-0000-0000-000009000000}"/>
  <dataConsolidate/>
  <mergeCells count="241">
    <mergeCell ref="D347:E347"/>
    <mergeCell ref="D348:E348"/>
    <mergeCell ref="D349:E349"/>
    <mergeCell ref="D9:E9"/>
    <mergeCell ref="D342:E342"/>
    <mergeCell ref="D343:E343"/>
    <mergeCell ref="D344:E344"/>
    <mergeCell ref="D345:E345"/>
    <mergeCell ref="D346:E346"/>
    <mergeCell ref="D337:E337"/>
    <mergeCell ref="D338:E338"/>
    <mergeCell ref="D339:E339"/>
    <mergeCell ref="D340:E340"/>
    <mergeCell ref="D341:E341"/>
    <mergeCell ref="D332:E332"/>
    <mergeCell ref="D333:E333"/>
    <mergeCell ref="D334:E334"/>
    <mergeCell ref="D335:E335"/>
    <mergeCell ref="D336:E336"/>
    <mergeCell ref="D327:E327"/>
    <mergeCell ref="D328:E328"/>
    <mergeCell ref="D329:E329"/>
    <mergeCell ref="D330:E330"/>
    <mergeCell ref="D331:E331"/>
    <mergeCell ref="D322:E322"/>
    <mergeCell ref="D323:E323"/>
    <mergeCell ref="D324:E324"/>
    <mergeCell ref="D325:E325"/>
    <mergeCell ref="D326:E326"/>
    <mergeCell ref="D274:E274"/>
    <mergeCell ref="D275:E275"/>
    <mergeCell ref="D319:E319"/>
    <mergeCell ref="D320:E320"/>
    <mergeCell ref="D321:E321"/>
    <mergeCell ref="D314:K314"/>
    <mergeCell ref="D315:J315"/>
    <mergeCell ref="D317:E317"/>
    <mergeCell ref="D269:E269"/>
    <mergeCell ref="D270:E270"/>
    <mergeCell ref="D271:E271"/>
    <mergeCell ref="D272:E272"/>
    <mergeCell ref="D273:E273"/>
    <mergeCell ref="D264:E264"/>
    <mergeCell ref="D265:E265"/>
    <mergeCell ref="D266:E266"/>
    <mergeCell ref="D267:E267"/>
    <mergeCell ref="D268:E268"/>
    <mergeCell ref="D259:E259"/>
    <mergeCell ref="D260:E260"/>
    <mergeCell ref="D261:E261"/>
    <mergeCell ref="D262:E262"/>
    <mergeCell ref="D263:E263"/>
    <mergeCell ref="D166:E166"/>
    <mergeCell ref="D245:E245"/>
    <mergeCell ref="D246:E246"/>
    <mergeCell ref="D247:E247"/>
    <mergeCell ref="D248:E248"/>
    <mergeCell ref="D240:K240"/>
    <mergeCell ref="D241:J241"/>
    <mergeCell ref="D243:E243"/>
    <mergeCell ref="D249:E249"/>
    <mergeCell ref="D250:E250"/>
    <mergeCell ref="D251:E251"/>
    <mergeCell ref="D252:E252"/>
    <mergeCell ref="D253:E253"/>
    <mergeCell ref="D254:E254"/>
    <mergeCell ref="D255:E255"/>
    <mergeCell ref="D256:E256"/>
    <mergeCell ref="D257:E257"/>
    <mergeCell ref="D258:E258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126:E126"/>
    <mergeCell ref="D127:E127"/>
    <mergeCell ref="D128:E128"/>
    <mergeCell ref="D129:E129"/>
    <mergeCell ref="D130:E130"/>
    <mergeCell ref="D121:E121"/>
    <mergeCell ref="D122:E122"/>
    <mergeCell ref="D123:E123"/>
    <mergeCell ref="D124:E124"/>
    <mergeCell ref="D125:E125"/>
    <mergeCell ref="D116:E116"/>
    <mergeCell ref="D117:E117"/>
    <mergeCell ref="D118:E118"/>
    <mergeCell ref="D119:E119"/>
    <mergeCell ref="D120:E120"/>
    <mergeCell ref="D111:E111"/>
    <mergeCell ref="D112:E112"/>
    <mergeCell ref="D113:E113"/>
    <mergeCell ref="D114:E114"/>
    <mergeCell ref="D115:E115"/>
    <mergeCell ref="D106:E106"/>
    <mergeCell ref="D107:E107"/>
    <mergeCell ref="D108:E108"/>
    <mergeCell ref="D109:E109"/>
    <mergeCell ref="D110:E110"/>
    <mergeCell ref="D101:E101"/>
    <mergeCell ref="D102:E102"/>
    <mergeCell ref="D103:E103"/>
    <mergeCell ref="D104:E104"/>
    <mergeCell ref="D105:E105"/>
    <mergeCell ref="D96:E96"/>
    <mergeCell ref="D97:E97"/>
    <mergeCell ref="D98:E98"/>
    <mergeCell ref="D99:E99"/>
    <mergeCell ref="D100:E100"/>
    <mergeCell ref="D91:E91"/>
    <mergeCell ref="D92:E92"/>
    <mergeCell ref="D93:E93"/>
    <mergeCell ref="D94:E94"/>
    <mergeCell ref="D95:E95"/>
    <mergeCell ref="D86:E86"/>
    <mergeCell ref="D87:E87"/>
    <mergeCell ref="D88:E88"/>
    <mergeCell ref="D89:E89"/>
    <mergeCell ref="D90:E90"/>
    <mergeCell ref="D81:E81"/>
    <mergeCell ref="D82:E82"/>
    <mergeCell ref="D83:E83"/>
    <mergeCell ref="D84:E84"/>
    <mergeCell ref="D85:E85"/>
    <mergeCell ref="D76:E76"/>
    <mergeCell ref="D77:E77"/>
    <mergeCell ref="D78:E78"/>
    <mergeCell ref="D79:E79"/>
    <mergeCell ref="D80:E80"/>
    <mergeCell ref="D71:E71"/>
    <mergeCell ref="D72:E72"/>
    <mergeCell ref="D73:E73"/>
    <mergeCell ref="D74:E74"/>
    <mergeCell ref="D75:E75"/>
    <mergeCell ref="D66:E66"/>
    <mergeCell ref="D67:E67"/>
    <mergeCell ref="D68:E68"/>
    <mergeCell ref="D69:E69"/>
    <mergeCell ref="D70:E70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33:E33"/>
    <mergeCell ref="D34:E34"/>
    <mergeCell ref="D35:E35"/>
    <mergeCell ref="D26:E26"/>
    <mergeCell ref="D27:E27"/>
    <mergeCell ref="D28:E28"/>
    <mergeCell ref="D29:E29"/>
    <mergeCell ref="D30:E30"/>
    <mergeCell ref="D41:E41"/>
    <mergeCell ref="D24:E24"/>
    <mergeCell ref="D25:E25"/>
    <mergeCell ref="D16:E16"/>
    <mergeCell ref="D17:E17"/>
    <mergeCell ref="D18:E18"/>
    <mergeCell ref="D19:E19"/>
    <mergeCell ref="D20:E20"/>
    <mergeCell ref="D31:E31"/>
    <mergeCell ref="D32:E32"/>
    <mergeCell ref="D11:E11"/>
    <mergeCell ref="D12:E12"/>
    <mergeCell ref="D13:E13"/>
    <mergeCell ref="D14:E14"/>
    <mergeCell ref="D15:E15"/>
    <mergeCell ref="E233:F233"/>
    <mergeCell ref="E234:F234"/>
    <mergeCell ref="E235:F235"/>
    <mergeCell ref="D3:K3"/>
    <mergeCell ref="F226:G226"/>
    <mergeCell ref="D8:E8"/>
    <mergeCell ref="D4:J4"/>
    <mergeCell ref="E232:F232"/>
    <mergeCell ref="F227:G227"/>
    <mergeCell ref="F228:G228"/>
    <mergeCell ref="F229:G229"/>
    <mergeCell ref="H226:I226"/>
    <mergeCell ref="H227:I227"/>
    <mergeCell ref="H228:I228"/>
    <mergeCell ref="H229:I229"/>
    <mergeCell ref="D10:E10"/>
    <mergeCell ref="D21:E21"/>
    <mergeCell ref="D22:E22"/>
    <mergeCell ref="D23:E23"/>
  </mergeCells>
  <phoneticPr fontId="3"/>
  <conditionalFormatting sqref="G10:G166">
    <cfRule type="cellIs" dxfId="8" priority="13" stopIfTrue="1" operator="equal">
      <formula>"小計"</formula>
    </cfRule>
  </conditionalFormatting>
  <conditionalFormatting sqref="G245:G275">
    <cfRule type="cellIs" dxfId="7" priority="12" stopIfTrue="1" operator="equal">
      <formula>"小計"</formula>
    </cfRule>
  </conditionalFormatting>
  <conditionalFormatting sqref="H245:J276">
    <cfRule type="expression" dxfId="6" priority="4">
      <formula>$E245="請求額合計"</formula>
    </cfRule>
    <cfRule type="expression" dxfId="5" priority="11" stopIfTrue="1">
      <formula>$G245="小計"</formula>
    </cfRule>
  </conditionalFormatting>
  <conditionalFormatting sqref="G319:G349">
    <cfRule type="cellIs" dxfId="4" priority="10" stopIfTrue="1" operator="equal">
      <formula>"小計"</formula>
    </cfRule>
  </conditionalFormatting>
  <conditionalFormatting sqref="H10:J177">
    <cfRule type="expression" dxfId="3" priority="6">
      <formula>$E10="請求額合計"</formula>
    </cfRule>
    <cfRule type="expression" dxfId="2" priority="14" stopIfTrue="1">
      <formula>$G10="小計"</formula>
    </cfRule>
  </conditionalFormatting>
  <conditionalFormatting sqref="H319:J350">
    <cfRule type="expression" dxfId="1" priority="2">
      <formula>$E319="請求額合計"</formula>
    </cfRule>
    <cfRule type="expression" dxfId="0" priority="3">
      <formula>$G319="小計"</formula>
    </cfRule>
  </conditionalFormatting>
  <pageMargins left="0.70866141732283472" right="0" top="0.39370078740157483" bottom="0.39370078740157483" header="0.19685039370078741" footer="0.15748031496062992"/>
  <pageSetup paperSize="9" scale="70" orientation="portrait" horizontalDpi="300" verticalDpi="300" r:id="rId1"/>
  <headerFooter alignWithMargins="0">
    <oddHeader>&amp;R&amp;10作成：&amp;D  &amp;T</oddHeader>
    <oddFooter>&amp;C&amp;P/&amp;N</oddFooter>
  </headerFooter>
  <rowBreaks count="2" manualBreakCount="2">
    <brk id="239" max="16383" man="1"/>
    <brk id="313" max="16383" man="1"/>
  </rowBreaks>
  <ignoredErrors>
    <ignoredError sqref="D240 D314 D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14</vt:i4>
      </vt:variant>
    </vt:vector>
  </HeadingPairs>
  <TitlesOfParts>
    <vt:vector size="24" baseType="lpstr">
      <vt:lpstr>納品書明細16-E</vt:lpstr>
      <vt:lpstr>納品書明細F-15</vt:lpstr>
      <vt:lpstr>請求Data</vt:lpstr>
      <vt:lpstr>請求書出力</vt:lpstr>
      <vt:lpstr>集計合計</vt:lpstr>
      <vt:lpstr>集計16-E</vt:lpstr>
      <vt:lpstr>集計F-15</vt:lpstr>
      <vt:lpstr>ﾏｽﾀ</vt:lpstr>
      <vt:lpstr>Sheet1</vt:lpstr>
      <vt:lpstr>請求額集計表</vt:lpstr>
      <vt:lpstr>Sheet1!_FilterDatabase</vt:lpstr>
      <vt:lpstr>Sheet1!Print_Area</vt:lpstr>
      <vt:lpstr>ﾏｽﾀ!Print_Area</vt:lpstr>
      <vt:lpstr>'集計16-E'!Print_Area</vt:lpstr>
      <vt:lpstr>'集計F-15'!Print_Area</vt:lpstr>
      <vt:lpstr>集計合計!Print_Area</vt:lpstr>
      <vt:lpstr>請求Data!Print_Area</vt:lpstr>
      <vt:lpstr>請求額集計表!Print_Area</vt:lpstr>
      <vt:lpstr>請求書出力!Print_Area</vt:lpstr>
      <vt:lpstr>'納品書明細16-E'!Print_Area</vt:lpstr>
      <vt:lpstr>'納品書明細F-15'!Print_Area</vt:lpstr>
      <vt:lpstr>'集計16-E'!Print_Titles</vt:lpstr>
      <vt:lpstr>'集計F-15'!Print_Titles</vt:lpstr>
      <vt:lpstr>集計合計!Print_Titles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　クワガタ</dc:creator>
  <dc:description>ver.8.0より変更⇒（例）請求Dataｼｰﾄ：関数バグ5件（30.項1件）</dc:description>
  <cp:lastModifiedBy>solcom-ad</cp:lastModifiedBy>
  <cp:lastPrinted>2019-09-04T10:30:22Z</cp:lastPrinted>
  <dcterms:created xsi:type="dcterms:W3CDTF">2001-12-14T07:28:42Z</dcterms:created>
  <dcterms:modified xsi:type="dcterms:W3CDTF">2020-03-27T06:44:59Z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7a15a323-fbd9-467d-835f-e7278ea48b6f</vt:lpwstr>
  </property>
</Properties>
</file>