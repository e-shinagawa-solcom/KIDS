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filterPrivacy="1" codeName="ThisWorkbook"/>
  <xr:revisionPtr revIDLastSave="0" documentId="13_ncr:1_{DA70F1CF-B22D-4D69-9A49-8ED8944EE3B8}" xr6:coauthVersionLast="40" xr6:coauthVersionMax="43" xr10:uidLastSave="{00000000-0000-0000-0000-000000000000}"/>
  <bookViews>
    <workbookView xWindow="-108" yWindow="-108" windowWidth="23148" windowHeight="8568" activeTab="1" xr2:uid="{00000000-000D-0000-FFFF-FFFF00000000}"/>
  </bookViews>
  <sheets>
    <sheet name="表紙" sheetId="1" r:id="rId1"/>
    <sheet name="改訂履歴" sheetId="2" r:id="rId2"/>
    <sheet name="改修内容" sheetId="3" r:id="rId3"/>
    <sheet name="オブジェクト一覧" sheetId="4" r:id="rId4"/>
    <sheet name="seq_businesscodeid" sheetId="114" r:id="rId5"/>
    <sheet name="seq_cacheid" sheetId="115" r:id="rId6"/>
    <sheet name="seq_moldreportrelationid" sheetId="116" r:id="rId7"/>
    <sheet name="m_accessipaddress" sheetId="29" r:id="rId8"/>
    <sheet name="m_adminfunction" sheetId="30" r:id="rId9"/>
    <sheet name="m_attribute" sheetId="31" r:id="rId10"/>
    <sheet name="m_attributerelation" sheetId="32" r:id="rId11"/>
    <sheet name="m_authoritygroup" sheetId="33" r:id="rId12"/>
    <sheet name="m_businesscode" sheetId="34" r:id="rId13"/>
    <sheet name="m_category" sheetId="35" r:id="rId14"/>
    <sheet name="m_certificateclass" sheetId="37" r:id="rId15"/>
    <sheet name="m_charactar" sheetId="38" r:id="rId16"/>
    <sheet name="m_closedday" sheetId="39" r:id="rId17"/>
    <sheet name="m_commonfunction" sheetId="40" r:id="rId18"/>
    <sheet name="m_company" sheetId="41" r:id="rId19"/>
    <sheet name="m_conversionclass" sheetId="42" r:id="rId20"/>
    <sheet name="m_copyright" sheetId="43" r:id="rId21"/>
    <sheet name="m_country" sheetId="44" r:id="rId22"/>
    <sheet name="m_deliverymethod" sheetId="45" r:id="rId23"/>
    <sheet name="m_estimate" sheetId="48" r:id="rId24"/>
    <sheet name="m_estimatedefault" sheetId="49" r:id="rId25"/>
    <sheet name="m_estimatestandardrate" sheetId="50" r:id="rId26"/>
    <sheet name="m_estimatestatus" sheetId="51" r:id="rId27"/>
    <sheet name="m_function" sheetId="52" r:id="rId28"/>
    <sheet name="m_functionauthority" sheetId="53" r:id="rId29"/>
    <sheet name="m_goodsplanprogress" sheetId="47" r:id="rId30"/>
    <sheet name="m_group" sheetId="54" r:id="rId31"/>
    <sheet name="m_grouprelation" sheetId="55" r:id="rId32"/>
    <sheet name="m_imagerelation" sheetId="56" r:id="rId33"/>
    <sheet name="m_mailform" sheetId="57" r:id="rId34"/>
    <sheet name="m_message" sheetId="58" r:id="rId35"/>
    <sheet name="m_mold" sheetId="59" r:id="rId36"/>
    <sheet name="m_moldreport" sheetId="60" r:id="rId37"/>
    <sheet name="m_monetaryrate" sheetId="61" r:id="rId38"/>
    <sheet name="m_monetaryrateclass" sheetId="62" r:id="rId39"/>
    <sheet name="m_monetaryunit" sheetId="63" r:id="rId40"/>
    <sheet name="m_order" sheetId="64" r:id="rId41"/>
    <sheet name="m_orderstatus" sheetId="65" r:id="rId42"/>
    <sheet name="m_organization" sheetId="66" r:id="rId43"/>
    <sheet name="m_paycondition" sheetId="67" r:id="rId44"/>
    <sheet name="m_product" sheetId="68" r:id="rId45"/>
    <sheet name="m_productform" sheetId="69" r:id="rId46"/>
    <sheet name="m_productprice" sheetId="70" r:id="rId47"/>
    <sheet name="m_productunit" sheetId="72" r:id="rId48"/>
    <sheet name="m_receive" sheetId="73" r:id="rId49"/>
    <sheet name="m_receivestatus" sheetId="74" r:id="rId50"/>
    <sheet name="m_reportclass" sheetId="75" r:id="rId51"/>
    <sheet name="m_sales" sheetId="76" r:id="rId52"/>
    <sheet name="m_salesclass" sheetId="77" r:id="rId53"/>
    <sheet name="m_salesdivision" sheetId="78" r:id="rId54"/>
    <sheet name="m_salesstatus" sheetId="79" r:id="rId55"/>
    <sheet name="m_stock" sheetId="80" r:id="rId56"/>
    <sheet name="m_stockclass" sheetId="81" r:id="rId57"/>
    <sheet name="m_stockitem" sheetId="82" r:id="rId58"/>
    <sheet name="m_stockstatus" sheetId="83" r:id="rId59"/>
    <sheet name="m_stocksubject" sheetId="84" r:id="rId60"/>
    <sheet name="m_systeminformation" sheetId="85" r:id="rId61"/>
    <sheet name="m_targetage" sheetId="86" r:id="rId62"/>
    <sheet name="m_tax" sheetId="87" r:id="rId63"/>
    <sheet name="m_taxclass" sheetId="88" r:id="rId64"/>
    <sheet name="m_user" sheetId="89" r:id="rId65"/>
    <sheet name="t_cache" sheetId="93" r:id="rId66"/>
    <sheet name="t_estimatedetail" sheetId="94" r:id="rId67"/>
    <sheet name="t_goodsplan" sheetId="96" r:id="rId68"/>
    <sheet name="t_image" sheetId="97" r:id="rId69"/>
    <sheet name="t_loginsession" sheetId="98" r:id="rId70"/>
    <sheet name="t_moldhistory" sheetId="99" r:id="rId71"/>
    <sheet name="t_moldreportdetail" sheetId="102" r:id="rId72"/>
    <sheet name="t_moldreportrelation" sheetId="100" r:id="rId73"/>
    <sheet name="t_orderdetail" sheetId="101" r:id="rId74"/>
    <sheet name="t_processinformation" sheetId="103" r:id="rId75"/>
    <sheet name="t_product" sheetId="104" r:id="rId76"/>
    <sheet name="t_receivedetail" sheetId="105" r:id="rId77"/>
    <sheet name="t_report" sheetId="106" r:id="rId78"/>
    <sheet name="t_salesdetail" sheetId="107" r:id="rId79"/>
    <sheet name="t_sequence" sheetId="108" r:id="rId80"/>
    <sheet name="t_stockdetail" sheetId="109" r:id="rId81"/>
    <sheet name="t_temp" sheetId="110" r:id="rId82"/>
    <sheet name="v_dayofweek" sheetId="112" r:id="rId83"/>
    <sheet name="v_line" sheetId="113" r:id="rId84"/>
    <sheet name="m_purchaseorder" sheetId="117" r:id="rId85"/>
    <sheet name="m_slip" sheetId="118" r:id="rId86"/>
    <sheet name="m_invoice" sheetId="119" r:id="rId87"/>
    <sheet name="m_slipkind" sheetId="120" r:id="rId88"/>
    <sheet name="m_slipkindrelation" sheetId="121" r:id="rId89"/>
    <sheet name="t_purchaseorderdetail" sheetId="123" r:id="rId90"/>
    <sheet name="t_slipdetail" sheetId="124" r:id="rId91"/>
    <sheet name="t_invoicedetail" sheetId="125" r:id="rId92"/>
    <sheet name="t_exclusivecontrol" sheetId="128" r:id="rId93"/>
    <sheet name="m_companyprintname" sheetId="130" r:id="rId94"/>
    <sheet name="m_salesclassdivisonlink" sheetId="131" r:id="rId95"/>
    <sheet name="m_signature" sheetId="132" r:id="rId96"/>
    <sheet name="m_paymentmethod" sheetId="133" r:id="rId97"/>
    <sheet name="m_groupattribute" sheetId="134" r:id="rId98"/>
    <sheet name="m_groupattributerelation" sheetId="135" r:id="rId99"/>
    <sheet name="m_stockcompanycode" sheetId="136" r:id="rId100"/>
    <sheet name="m_estimateareaclass" sheetId="137" r:id="rId101"/>
  </sheets>
  <functionGroups builtInGroupCount="19"/>
  <definedNames>
    <definedName name="cache_value">seq_cacheid!$AE$14</definedName>
    <definedName name="DataType">seq_businesscodeid!$Q$8</definedName>
    <definedName name="Default">seq_businesscodeid!$AE$8</definedName>
    <definedName name="IDX_NO">seq_businesscodeid!$AA$8</definedName>
    <definedName name="increment_by">seq_cacheid!$AE$11</definedName>
    <definedName name="is_called">seq_cacheid!$AE$17</definedName>
    <definedName name="is_cycled">seq_cacheid!$AE$16</definedName>
    <definedName name="last_value">seq_cacheid!$AE$9</definedName>
    <definedName name="log_cnt">seq_cacheid!$AE$15</definedName>
    <definedName name="LogicalColumnName">seq_businesscodeid!$C$8</definedName>
    <definedName name="logicalName" localSheetId="1">改訂履歴!$B$3</definedName>
    <definedName name="LogicalObjectName">seq_businesscodeid!$I$2</definedName>
    <definedName name="max_value">seq_cacheid!$AE$12</definedName>
    <definedName name="min_value">seq_cacheid!$AE$13</definedName>
    <definedName name="NotNull">seq_businesscodeid!$AC$8</definedName>
    <definedName name="OBJ_TYPE" localSheetId="3">オブジェクト一覧!$I$5</definedName>
    <definedName name="PhysicalColumnName">seq_businesscodeid!$I$8</definedName>
    <definedName name="PhysicalObjectName">seq_businesscodeid!$I$4</definedName>
    <definedName name="PK">seq_businesscodeid!$Y$8</definedName>
    <definedName name="_xlnm.Print_Titles" localSheetId="1">改訂履歴!$1:$2</definedName>
    <definedName name="ReflectDate" localSheetId="1">改訂履歴!$L$3</definedName>
    <definedName name="Schema_Name" localSheetId="3">オブジェクト一覧!$G$5</definedName>
    <definedName name="sequence_name">seq_cacheid!$AE$8</definedName>
    <definedName name="Sheet_Name" localSheetId="3">オブジェクト一覧!$D$5</definedName>
    <definedName name="SQL" localSheetId="82">v_dayofweek!$B$14</definedName>
    <definedName name="SQL" localSheetId="83">v_line!$B$13</definedName>
    <definedName name="start_value">seq_cacheid!$AE$10</definedName>
    <definedName name="targetSchema" localSheetId="1">改訂履歴!$D$3</definedName>
    <definedName name="targetSheet" localSheetId="1">改訂履歴!$C$3</definedName>
    <definedName name="targetType" localSheetId="1">改訂履歴!$F$3</definedName>
  </definedNames>
  <calcPr calcId="181029" calcMode="manual"/>
</workbook>
</file>

<file path=xl/calcChain.xml><?xml version="1.0" encoding="utf-8"?>
<calcChain xmlns="http://schemas.openxmlformats.org/spreadsheetml/2006/main">
  <c r="F199" i="2" l="1"/>
  <c r="E199" i="2"/>
  <c r="D199" i="2"/>
  <c r="C199" i="2"/>
  <c r="A199" i="2"/>
  <c r="F198" i="2"/>
  <c r="E198" i="2"/>
  <c r="D198" i="2"/>
  <c r="C198" i="2"/>
  <c r="A198" i="2"/>
  <c r="F197" i="2"/>
  <c r="E197" i="2"/>
  <c r="D197" i="2"/>
  <c r="C197" i="2"/>
  <c r="A197" i="2"/>
  <c r="F196" i="2"/>
  <c r="E196" i="2"/>
  <c r="D196" i="2"/>
  <c r="C196" i="2"/>
  <c r="A196" i="2"/>
  <c r="F195" i="2"/>
  <c r="E195" i="2"/>
  <c r="D195" i="2"/>
  <c r="C195" i="2"/>
  <c r="A195" i="2"/>
  <c r="F194" i="2"/>
  <c r="E194" i="2"/>
  <c r="D194" i="2"/>
  <c r="A194" i="2"/>
  <c r="F193" i="2"/>
  <c r="E193" i="2"/>
  <c r="D193" i="2"/>
  <c r="C193" i="2"/>
  <c r="A193" i="2"/>
  <c r="B101" i="4" l="1"/>
  <c r="C186" i="2" l="1"/>
  <c r="C183" i="2"/>
  <c r="F192" i="2"/>
  <c r="E192" i="2"/>
  <c r="D192" i="2"/>
  <c r="C192" i="2"/>
  <c r="A192" i="2"/>
  <c r="F191" i="2"/>
  <c r="E191" i="2"/>
  <c r="D191" i="2"/>
  <c r="C191" i="2"/>
  <c r="A191" i="2"/>
  <c r="F190" i="2"/>
  <c r="E190" i="2"/>
  <c r="D190" i="2"/>
  <c r="C190" i="2"/>
  <c r="A190" i="2"/>
  <c r="F189" i="2"/>
  <c r="E189" i="2"/>
  <c r="D189" i="2"/>
  <c r="C189" i="2"/>
  <c r="A189" i="2"/>
  <c r="F188" i="2"/>
  <c r="E188" i="2"/>
  <c r="D188" i="2"/>
  <c r="C188" i="2"/>
  <c r="A188" i="2"/>
  <c r="F187" i="2"/>
  <c r="E187" i="2"/>
  <c r="D187" i="2"/>
  <c r="C187" i="2"/>
  <c r="A187" i="2"/>
  <c r="F186" i="2"/>
  <c r="E186" i="2"/>
  <c r="D186" i="2"/>
  <c r="A186" i="2"/>
  <c r="F185" i="2"/>
  <c r="E185" i="2"/>
  <c r="D185" i="2"/>
  <c r="C185" i="2"/>
  <c r="A185" i="2"/>
  <c r="F184" i="2"/>
  <c r="E184" i="2"/>
  <c r="D184" i="2"/>
  <c r="C184" i="2"/>
  <c r="A184" i="2"/>
  <c r="F183" i="2" l="1"/>
  <c r="E183" i="2"/>
  <c r="D183" i="2"/>
  <c r="A183" i="2"/>
  <c r="F182" i="2"/>
  <c r="E182" i="2"/>
  <c r="D182" i="2"/>
  <c r="C182" i="2"/>
  <c r="A182" i="2"/>
  <c r="F174" i="2" l="1"/>
  <c r="E174" i="2"/>
  <c r="D174" i="2"/>
  <c r="C174" i="2"/>
  <c r="A174" i="2"/>
  <c r="F173" i="2"/>
  <c r="E173" i="2"/>
  <c r="D173" i="2"/>
  <c r="C173" i="2"/>
  <c r="A173" i="2"/>
  <c r="F176" i="2"/>
  <c r="E176" i="2"/>
  <c r="D176" i="2"/>
  <c r="C176" i="2"/>
  <c r="A176" i="2"/>
  <c r="C177" i="2" l="1"/>
  <c r="F172" i="2" l="1"/>
  <c r="E172" i="2"/>
  <c r="D172" i="2"/>
  <c r="C172" i="2"/>
  <c r="A172" i="2"/>
  <c r="F171" i="2"/>
  <c r="E171" i="2"/>
  <c r="D171" i="2"/>
  <c r="C171" i="2"/>
  <c r="A171" i="2"/>
  <c r="F170" i="2"/>
  <c r="E170" i="2"/>
  <c r="D170" i="2"/>
  <c r="C170" i="2"/>
  <c r="A170" i="2"/>
  <c r="F169" i="2"/>
  <c r="E169" i="2"/>
  <c r="D169" i="2"/>
  <c r="C169" i="2"/>
  <c r="A169" i="2"/>
  <c r="F168" i="2"/>
  <c r="E168" i="2"/>
  <c r="D168" i="2"/>
  <c r="C168" i="2"/>
  <c r="A168" i="2"/>
  <c r="F178" i="2"/>
  <c r="E178" i="2"/>
  <c r="D178" i="2"/>
  <c r="C178" i="2"/>
  <c r="A178" i="2"/>
  <c r="F177" i="2"/>
  <c r="E177" i="2"/>
  <c r="D177" i="2"/>
  <c r="A177" i="2"/>
  <c r="F175" i="2"/>
  <c r="E175" i="2"/>
  <c r="D175" i="2"/>
  <c r="C175" i="2"/>
  <c r="A175" i="2"/>
  <c r="C167" i="2"/>
  <c r="F165" i="2" l="1"/>
  <c r="E165" i="2"/>
  <c r="D165" i="2"/>
  <c r="C165" i="2"/>
  <c r="A165" i="2"/>
  <c r="F164" i="2"/>
  <c r="E164" i="2"/>
  <c r="D164" i="2"/>
  <c r="C164" i="2"/>
  <c r="A164" i="2"/>
  <c r="F163" i="2"/>
  <c r="E163" i="2"/>
  <c r="D163" i="2"/>
  <c r="C163" i="2"/>
  <c r="F162" i="2"/>
  <c r="E162" i="2"/>
  <c r="D162" i="2"/>
  <c r="C162" i="2"/>
  <c r="B100" i="4" l="1"/>
  <c r="F181" i="2" l="1"/>
  <c r="E181" i="2"/>
  <c r="D181" i="2"/>
  <c r="C181" i="2"/>
  <c r="F180" i="2"/>
  <c r="E180" i="2"/>
  <c r="D180" i="2"/>
  <c r="C180" i="2"/>
  <c r="F179" i="2"/>
  <c r="E179" i="2"/>
  <c r="D179" i="2"/>
  <c r="C179" i="2"/>
  <c r="F167" i="2"/>
  <c r="E167" i="2"/>
  <c r="D167" i="2"/>
  <c r="F166" i="2"/>
  <c r="E166" i="2"/>
  <c r="D166" i="2"/>
  <c r="C166" i="2"/>
  <c r="F161" i="2"/>
  <c r="E161" i="2"/>
  <c r="D161" i="2"/>
  <c r="C161" i="2"/>
  <c r="F160" i="2"/>
  <c r="E160" i="2"/>
  <c r="D160" i="2"/>
  <c r="C160" i="2"/>
  <c r="F158" i="2"/>
  <c r="E158" i="2"/>
  <c r="D158" i="2"/>
  <c r="C158" i="2"/>
  <c r="F157" i="2"/>
  <c r="E157" i="2"/>
  <c r="D157" i="2"/>
  <c r="C157" i="2"/>
  <c r="F156" i="2"/>
  <c r="E156" i="2"/>
  <c r="D156" i="2"/>
  <c r="C156" i="2"/>
  <c r="F155" i="2"/>
  <c r="E155" i="2"/>
  <c r="D155" i="2"/>
  <c r="C155" i="2"/>
  <c r="F154" i="2"/>
  <c r="E154" i="2"/>
  <c r="D154" i="2"/>
  <c r="C154" i="2"/>
  <c r="F153" i="2"/>
  <c r="E153" i="2"/>
  <c r="D153" i="2"/>
  <c r="C153" i="2"/>
  <c r="F152" i="2"/>
  <c r="E152" i="2"/>
  <c r="D152" i="2"/>
  <c r="C152" i="2"/>
  <c r="F149" i="2" l="1"/>
  <c r="E149" i="2"/>
  <c r="D149" i="2"/>
  <c r="C149" i="2"/>
  <c r="A180" i="2"/>
  <c r="A179" i="2"/>
  <c r="A167" i="2"/>
  <c r="A166" i="2"/>
  <c r="A163" i="2"/>
  <c r="A162" i="2"/>
  <c r="A161" i="2"/>
  <c r="A160" i="2"/>
  <c r="A159" i="2"/>
  <c r="A158" i="2"/>
  <c r="A157" i="2"/>
  <c r="A156" i="2"/>
  <c r="A155" i="2"/>
  <c r="A154" i="2"/>
  <c r="A153" i="2"/>
  <c r="F147" i="2" l="1"/>
  <c r="E147" i="2"/>
  <c r="D147" i="2"/>
  <c r="C147" i="2"/>
  <c r="A147" i="2"/>
  <c r="F146" i="2"/>
  <c r="E146" i="2"/>
  <c r="D146" i="2"/>
  <c r="C146" i="2"/>
  <c r="A146" i="2"/>
  <c r="F145" i="2"/>
  <c r="E145" i="2"/>
  <c r="D145" i="2"/>
  <c r="C145" i="2"/>
  <c r="A145" i="2"/>
  <c r="F144" i="2"/>
  <c r="E144" i="2"/>
  <c r="D144" i="2"/>
  <c r="C144" i="2"/>
  <c r="A144" i="2"/>
  <c r="F143" i="2"/>
  <c r="E143" i="2"/>
  <c r="D143" i="2"/>
  <c r="C143" i="2"/>
  <c r="A143" i="2"/>
  <c r="F150" i="2"/>
  <c r="E150" i="2"/>
  <c r="D150" i="2"/>
  <c r="C150" i="2"/>
  <c r="A150" i="2"/>
  <c r="A149" i="2"/>
  <c r="F148" i="2"/>
  <c r="E148" i="2"/>
  <c r="D148" i="2"/>
  <c r="C148" i="2"/>
  <c r="A148" i="2"/>
  <c r="F151" i="2"/>
  <c r="E151" i="2"/>
  <c r="D151" i="2"/>
  <c r="C151" i="2"/>
  <c r="A151" i="2"/>
  <c r="F142" i="2"/>
  <c r="E142" i="2"/>
  <c r="D142" i="2"/>
  <c r="C142" i="2"/>
  <c r="B99" i="4"/>
  <c r="B98" i="4"/>
  <c r="F138" i="2"/>
  <c r="E138" i="2"/>
  <c r="D138" i="2"/>
  <c r="C138" i="2"/>
  <c r="F137" i="2"/>
  <c r="E137" i="2"/>
  <c r="D137" i="2"/>
  <c r="C137" i="2"/>
  <c r="A137" i="2"/>
  <c r="B97" i="4" l="1"/>
  <c r="B102" i="4"/>
  <c r="F139" i="2" l="1"/>
  <c r="E139" i="2"/>
  <c r="D139" i="2"/>
  <c r="C139" i="2"/>
  <c r="A139" i="2"/>
  <c r="A138" i="2"/>
  <c r="F136" i="2"/>
  <c r="E136" i="2"/>
  <c r="D136" i="2"/>
  <c r="C136" i="2"/>
  <c r="A136" i="2"/>
  <c r="F135" i="2"/>
  <c r="E135" i="2"/>
  <c r="D135" i="2"/>
  <c r="C135" i="2"/>
  <c r="A135" i="2"/>
  <c r="F134" i="2"/>
  <c r="E134" i="2"/>
  <c r="D134" i="2"/>
  <c r="C134" i="2"/>
  <c r="A134" i="2"/>
  <c r="F141" i="2"/>
  <c r="E141" i="2"/>
  <c r="D141" i="2"/>
  <c r="C141" i="2"/>
  <c r="A141" i="2"/>
  <c r="F140" i="2"/>
  <c r="E140" i="2"/>
  <c r="D140" i="2"/>
  <c r="C140" i="2"/>
  <c r="A140" i="2"/>
  <c r="A142" i="2"/>
  <c r="I4" i="132" l="1"/>
  <c r="B96" i="4"/>
  <c r="F127" i="2" l="1"/>
  <c r="E127" i="2"/>
  <c r="D127" i="2"/>
  <c r="C127" i="2"/>
  <c r="F123" i="2" l="1"/>
  <c r="E123" i="2"/>
  <c r="D123" i="2"/>
  <c r="C123" i="2"/>
  <c r="A123" i="2"/>
  <c r="F122" i="2"/>
  <c r="E122" i="2"/>
  <c r="D122" i="2"/>
  <c r="C122" i="2"/>
  <c r="A122" i="2"/>
  <c r="A181" i="2" l="1"/>
  <c r="A152" i="2"/>
  <c r="F133" i="2"/>
  <c r="E133" i="2"/>
  <c r="D133" i="2"/>
  <c r="C133" i="2"/>
  <c r="A133" i="2"/>
  <c r="F132" i="2"/>
  <c r="E132" i="2"/>
  <c r="D132" i="2"/>
  <c r="C132" i="2"/>
  <c r="A132" i="2"/>
  <c r="F131" i="2"/>
  <c r="E131" i="2"/>
  <c r="D131" i="2"/>
  <c r="C131" i="2"/>
  <c r="A131" i="2"/>
  <c r="F130" i="2"/>
  <c r="E130" i="2"/>
  <c r="D130" i="2"/>
  <c r="C130" i="2"/>
  <c r="A130" i="2"/>
  <c r="F129" i="2"/>
  <c r="E129" i="2"/>
  <c r="D129" i="2"/>
  <c r="C129" i="2"/>
  <c r="A129" i="2"/>
  <c r="F128" i="2"/>
  <c r="E128" i="2"/>
  <c r="D128" i="2"/>
  <c r="C128" i="2"/>
  <c r="A128" i="2"/>
  <c r="A127" i="2"/>
  <c r="F126" i="2"/>
  <c r="E126" i="2"/>
  <c r="D126" i="2"/>
  <c r="C126" i="2"/>
  <c r="A126" i="2"/>
  <c r="F125" i="2"/>
  <c r="E125" i="2"/>
  <c r="D125" i="2"/>
  <c r="C125" i="2"/>
  <c r="A125" i="2"/>
  <c r="F124" i="2"/>
  <c r="E124" i="2"/>
  <c r="D124" i="2"/>
  <c r="C124" i="2"/>
  <c r="A124" i="2"/>
  <c r="F121" i="2"/>
  <c r="E121" i="2"/>
  <c r="D121" i="2"/>
  <c r="C121" i="2"/>
  <c r="A121" i="2"/>
  <c r="F120" i="2"/>
  <c r="E120" i="2"/>
  <c r="D120" i="2"/>
  <c r="C120" i="2"/>
  <c r="A120" i="2"/>
  <c r="F119" i="2"/>
  <c r="E119" i="2"/>
  <c r="D119" i="2"/>
  <c r="C119" i="2"/>
  <c r="A119" i="2"/>
  <c r="F118" i="2"/>
  <c r="E118" i="2"/>
  <c r="D118" i="2"/>
  <c r="C118" i="2"/>
  <c r="A118" i="2"/>
  <c r="F117" i="2"/>
  <c r="E117" i="2"/>
  <c r="D117" i="2"/>
  <c r="C117" i="2"/>
  <c r="A117" i="2"/>
  <c r="F116" i="2"/>
  <c r="E116" i="2"/>
  <c r="D116" i="2"/>
  <c r="C116" i="2"/>
  <c r="A116" i="2"/>
  <c r="F115" i="2"/>
  <c r="E115" i="2"/>
  <c r="D115" i="2"/>
  <c r="C115" i="2"/>
  <c r="A115" i="2"/>
  <c r="F114" i="2"/>
  <c r="E114" i="2"/>
  <c r="D114" i="2"/>
  <c r="C114" i="2"/>
  <c r="A114" i="2"/>
  <c r="F113" i="2"/>
  <c r="E113" i="2"/>
  <c r="D113" i="2"/>
  <c r="C113" i="2"/>
  <c r="A113" i="2"/>
  <c r="F112" i="2" l="1"/>
  <c r="E112" i="2"/>
  <c r="D112" i="2"/>
  <c r="C112" i="2"/>
  <c r="A112" i="2"/>
  <c r="F111" i="2"/>
  <c r="E111" i="2"/>
  <c r="D111" i="2"/>
  <c r="C111" i="2"/>
  <c r="A111" i="2"/>
  <c r="F110" i="2"/>
  <c r="E110" i="2"/>
  <c r="D110" i="2"/>
  <c r="C110" i="2"/>
  <c r="A110" i="2"/>
  <c r="F109" i="2"/>
  <c r="E109" i="2"/>
  <c r="D109" i="2"/>
  <c r="C109" i="2"/>
  <c r="A109" i="2"/>
  <c r="F108" i="2"/>
  <c r="E108" i="2"/>
  <c r="D108" i="2"/>
  <c r="C108" i="2"/>
  <c r="A108" i="2"/>
  <c r="F107" i="2"/>
  <c r="E107" i="2"/>
  <c r="D107" i="2"/>
  <c r="C107" i="2"/>
  <c r="A107" i="2"/>
  <c r="F106" i="2"/>
  <c r="E106" i="2"/>
  <c r="D106" i="2"/>
  <c r="C106" i="2"/>
  <c r="A106" i="2"/>
  <c r="F105" i="2"/>
  <c r="E105" i="2"/>
  <c r="D105" i="2"/>
  <c r="C105" i="2"/>
  <c r="A105" i="2"/>
  <c r="F104" i="2"/>
  <c r="E104" i="2"/>
  <c r="D104" i="2"/>
  <c r="C104" i="2"/>
  <c r="A104" i="2"/>
  <c r="F103" i="2"/>
  <c r="E103" i="2"/>
  <c r="D103" i="2"/>
  <c r="C103" i="2"/>
  <c r="A103" i="2"/>
  <c r="F102" i="2"/>
  <c r="E102" i="2"/>
  <c r="D102" i="2"/>
  <c r="C102" i="2"/>
  <c r="A102" i="2"/>
  <c r="F101" i="2"/>
  <c r="E101" i="2"/>
  <c r="D101" i="2"/>
  <c r="C101" i="2"/>
  <c r="A101" i="2"/>
  <c r="C97" i="2"/>
  <c r="D97" i="2"/>
  <c r="E97" i="2"/>
  <c r="F97" i="2"/>
  <c r="F95" i="2" l="1"/>
  <c r="E95" i="2"/>
  <c r="D95" i="2"/>
  <c r="C95" i="2"/>
  <c r="A95" i="2"/>
  <c r="F94" i="2"/>
  <c r="E94" i="2"/>
  <c r="D94" i="2"/>
  <c r="C94" i="2"/>
  <c r="A94" i="2"/>
  <c r="F93" i="2" l="1"/>
  <c r="E93" i="2"/>
  <c r="D93" i="2"/>
  <c r="C93" i="2"/>
  <c r="F100" i="2" l="1"/>
  <c r="E100" i="2"/>
  <c r="D100" i="2"/>
  <c r="C100" i="2"/>
  <c r="F99" i="2"/>
  <c r="E99" i="2"/>
  <c r="D99" i="2"/>
  <c r="C99" i="2"/>
  <c r="F98" i="2"/>
  <c r="E98" i="2"/>
  <c r="D98" i="2"/>
  <c r="C98" i="2"/>
  <c r="F96" i="2"/>
  <c r="E96" i="2"/>
  <c r="D96" i="2"/>
  <c r="C96" i="2"/>
  <c r="F92" i="2"/>
  <c r="E92" i="2"/>
  <c r="D92" i="2"/>
  <c r="C92" i="2"/>
  <c r="F91" i="2"/>
  <c r="E91" i="2"/>
  <c r="D91" i="2"/>
  <c r="C91" i="2"/>
  <c r="F90" i="2"/>
  <c r="E90" i="2"/>
  <c r="D90" i="2"/>
  <c r="C90" i="2"/>
  <c r="F89" i="2"/>
  <c r="E89" i="2"/>
  <c r="D89" i="2"/>
  <c r="C89" i="2"/>
  <c r="F88" i="2"/>
  <c r="E88" i="2"/>
  <c r="D88" i="2"/>
  <c r="C88" i="2"/>
  <c r="F87" i="2"/>
  <c r="E87" i="2"/>
  <c r="D87" i="2"/>
  <c r="C87" i="2"/>
  <c r="F86" i="2"/>
  <c r="E86" i="2"/>
  <c r="D86" i="2"/>
  <c r="C86" i="2"/>
  <c r="F85" i="2"/>
  <c r="E85" i="2"/>
  <c r="D85" i="2"/>
  <c r="C85" i="2"/>
  <c r="F84" i="2"/>
  <c r="E84" i="2"/>
  <c r="D84" i="2"/>
  <c r="C84" i="2"/>
  <c r="F83" i="2"/>
  <c r="E83" i="2"/>
  <c r="D83" i="2"/>
  <c r="C83" i="2"/>
  <c r="A100" i="2"/>
  <c r="A99" i="2"/>
  <c r="A98" i="2"/>
  <c r="A97" i="2"/>
  <c r="A96" i="2"/>
  <c r="A93" i="2"/>
  <c r="A92" i="2"/>
  <c r="A91" i="2"/>
  <c r="A90" i="2"/>
  <c r="A89" i="2"/>
  <c r="A88" i="2"/>
  <c r="A87" i="2"/>
  <c r="A86" i="2"/>
  <c r="A85" i="2"/>
  <c r="A84" i="2"/>
  <c r="A83" i="2"/>
  <c r="F82" i="2" l="1"/>
  <c r="E82" i="2"/>
  <c r="D82" i="2"/>
  <c r="C82" i="2"/>
  <c r="A82" i="2"/>
  <c r="F81" i="2" l="1"/>
  <c r="E81" i="2"/>
  <c r="D81" i="2"/>
  <c r="C81" i="2"/>
  <c r="A81" i="2"/>
  <c r="F80" i="2"/>
  <c r="E80" i="2"/>
  <c r="D80" i="2"/>
  <c r="C80" i="2"/>
  <c r="A80" i="2"/>
  <c r="F79" i="2"/>
  <c r="E79" i="2"/>
  <c r="D79" i="2"/>
  <c r="C79" i="2"/>
  <c r="A79" i="2"/>
  <c r="F78" i="2"/>
  <c r="E78" i="2"/>
  <c r="D78" i="2"/>
  <c r="C78" i="2"/>
  <c r="A78" i="2"/>
  <c r="F77" i="2"/>
  <c r="E77" i="2"/>
  <c r="D77" i="2"/>
  <c r="C77" i="2"/>
  <c r="A77" i="2"/>
  <c r="F76" i="2"/>
  <c r="E76" i="2"/>
  <c r="D76" i="2"/>
  <c r="C76" i="2"/>
  <c r="A76" i="2"/>
  <c r="F75" i="2"/>
  <c r="E75" i="2"/>
  <c r="D75" i="2"/>
  <c r="C75" i="2"/>
  <c r="A75" i="2"/>
  <c r="F73" i="2"/>
  <c r="E73" i="2"/>
  <c r="D73" i="2"/>
  <c r="C73" i="2"/>
  <c r="A73" i="2"/>
  <c r="F74" i="2" l="1"/>
  <c r="E74" i="2"/>
  <c r="D74" i="2"/>
  <c r="C74" i="2"/>
  <c r="A74" i="2"/>
  <c r="F72" i="2"/>
  <c r="E72" i="2"/>
  <c r="D72" i="2"/>
  <c r="C72" i="2"/>
  <c r="A72" i="2"/>
  <c r="F71" i="2"/>
  <c r="E71" i="2"/>
  <c r="D71" i="2"/>
  <c r="C71" i="2"/>
  <c r="A71" i="2"/>
  <c r="F70" i="2"/>
  <c r="E70" i="2"/>
  <c r="D70" i="2"/>
  <c r="C70" i="2"/>
  <c r="A70" i="2"/>
  <c r="F69" i="2"/>
  <c r="E69" i="2"/>
  <c r="D69" i="2"/>
  <c r="C69" i="2"/>
  <c r="A69" i="2"/>
  <c r="F61" i="2" l="1"/>
  <c r="E61" i="2"/>
  <c r="D61" i="2"/>
  <c r="C61" i="2"/>
  <c r="F60" i="2" l="1"/>
  <c r="E60" i="2"/>
  <c r="D60" i="2"/>
  <c r="C60" i="2"/>
  <c r="F68" i="2"/>
  <c r="E68" i="2"/>
  <c r="D68" i="2"/>
  <c r="C68" i="2"/>
  <c r="A68" i="2"/>
  <c r="F67" i="2"/>
  <c r="E67" i="2"/>
  <c r="D67" i="2"/>
  <c r="C67" i="2"/>
  <c r="A67" i="2"/>
  <c r="F66" i="2"/>
  <c r="E66" i="2"/>
  <c r="D66" i="2"/>
  <c r="C66" i="2"/>
  <c r="A66" i="2"/>
  <c r="F65" i="2"/>
  <c r="E65" i="2"/>
  <c r="D65" i="2"/>
  <c r="C65" i="2"/>
  <c r="A65" i="2"/>
  <c r="F64" i="2"/>
  <c r="E64" i="2"/>
  <c r="D64" i="2"/>
  <c r="C64" i="2"/>
  <c r="A64" i="2"/>
  <c r="F63" i="2"/>
  <c r="E63" i="2"/>
  <c r="D63" i="2"/>
  <c r="C63" i="2"/>
  <c r="A63" i="2"/>
  <c r="F62" i="2"/>
  <c r="E62" i="2"/>
  <c r="D62" i="2"/>
  <c r="C62" i="2"/>
  <c r="A62" i="2"/>
  <c r="A61" i="2"/>
  <c r="A60" i="2"/>
  <c r="F59" i="2"/>
  <c r="E59" i="2"/>
  <c r="D59" i="2"/>
  <c r="C59" i="2"/>
  <c r="A59" i="2"/>
  <c r="F58" i="2" l="1"/>
  <c r="E58" i="2"/>
  <c r="D58" i="2"/>
  <c r="C58" i="2"/>
  <c r="A58" i="2"/>
  <c r="F57" i="2"/>
  <c r="E57" i="2"/>
  <c r="D57" i="2"/>
  <c r="C57" i="2"/>
  <c r="A57" i="2"/>
  <c r="F56" i="2"/>
  <c r="E56" i="2"/>
  <c r="D56" i="2"/>
  <c r="C56" i="2"/>
  <c r="A56" i="2"/>
  <c r="F55" i="2"/>
  <c r="E55" i="2"/>
  <c r="D55" i="2"/>
  <c r="C55" i="2"/>
  <c r="A55" i="2"/>
  <c r="F54" i="2"/>
  <c r="E54" i="2"/>
  <c r="D54" i="2"/>
  <c r="C54" i="2"/>
  <c r="A54" i="2"/>
  <c r="F53" i="2"/>
  <c r="E53" i="2"/>
  <c r="D53" i="2"/>
  <c r="C53" i="2"/>
  <c r="A53" i="2"/>
  <c r="F52" i="2"/>
  <c r="E52" i="2"/>
  <c r="D52" i="2"/>
  <c r="C52" i="2"/>
  <c r="A52" i="2"/>
  <c r="F44" i="2" l="1"/>
  <c r="E44" i="2"/>
  <c r="D44" i="2"/>
  <c r="C44" i="2"/>
  <c r="A44" i="2"/>
  <c r="F43" i="2"/>
  <c r="E43" i="2"/>
  <c r="D43" i="2"/>
  <c r="C43" i="2"/>
  <c r="A43" i="2"/>
  <c r="F42" i="2"/>
  <c r="E42" i="2"/>
  <c r="D42" i="2"/>
  <c r="C42" i="2"/>
  <c r="A42" i="2"/>
  <c r="F41" i="2"/>
  <c r="E41" i="2"/>
  <c r="D41" i="2"/>
  <c r="C41" i="2"/>
  <c r="A41" i="2"/>
  <c r="F40" i="2"/>
  <c r="E40" i="2"/>
  <c r="D40" i="2"/>
  <c r="C40" i="2"/>
  <c r="A40" i="2"/>
  <c r="F47" i="2"/>
  <c r="E47" i="2"/>
  <c r="D47" i="2"/>
  <c r="C47" i="2"/>
  <c r="A47" i="2"/>
  <c r="F46" i="2"/>
  <c r="E46" i="2"/>
  <c r="D46" i="2"/>
  <c r="C46" i="2"/>
  <c r="A46" i="2"/>
  <c r="F45" i="2"/>
  <c r="E45" i="2"/>
  <c r="D45" i="2"/>
  <c r="C45" i="2"/>
  <c r="A45" i="2"/>
  <c r="F39" i="2" l="1"/>
  <c r="E39" i="2"/>
  <c r="D39" i="2"/>
  <c r="C39" i="2"/>
  <c r="A39" i="2"/>
  <c r="A34" i="2" l="1"/>
  <c r="F31" i="2" l="1"/>
  <c r="E31" i="2"/>
  <c r="D31" i="2"/>
  <c r="C31" i="2"/>
  <c r="F30" i="2"/>
  <c r="E30" i="2"/>
  <c r="D30" i="2"/>
  <c r="C30" i="2"/>
  <c r="F27" i="2"/>
  <c r="E27" i="2"/>
  <c r="D27" i="2"/>
  <c r="C27" i="2"/>
  <c r="F26" i="2"/>
  <c r="E26" i="2"/>
  <c r="D26" i="2"/>
  <c r="C26" i="2"/>
  <c r="B95" i="4" l="1"/>
  <c r="F51" i="2"/>
  <c r="E51" i="2"/>
  <c r="D51" i="2"/>
  <c r="C51" i="2"/>
  <c r="F50" i="2"/>
  <c r="E50" i="2"/>
  <c r="D50" i="2"/>
  <c r="C50" i="2"/>
  <c r="F49" i="2"/>
  <c r="E49" i="2"/>
  <c r="D49" i="2"/>
  <c r="C49" i="2"/>
  <c r="F48" i="2"/>
  <c r="E48" i="2"/>
  <c r="D48" i="2"/>
  <c r="C48" i="2"/>
  <c r="F38" i="2"/>
  <c r="E38" i="2"/>
  <c r="D38" i="2"/>
  <c r="C38" i="2"/>
  <c r="F37" i="2"/>
  <c r="E37" i="2"/>
  <c r="D37" i="2"/>
  <c r="C37" i="2"/>
  <c r="F36" i="2"/>
  <c r="E36" i="2"/>
  <c r="D36" i="2"/>
  <c r="C36" i="2"/>
  <c r="F35" i="2"/>
  <c r="E35" i="2"/>
  <c r="D35" i="2"/>
  <c r="C35" i="2"/>
  <c r="F34" i="2"/>
  <c r="E34" i="2"/>
  <c r="D34" i="2"/>
  <c r="C34" i="2"/>
  <c r="F33" i="2"/>
  <c r="E33" i="2"/>
  <c r="D33" i="2"/>
  <c r="C33" i="2"/>
  <c r="F32" i="2"/>
  <c r="E32" i="2"/>
  <c r="D32" i="2"/>
  <c r="C32" i="2"/>
  <c r="F29" i="2"/>
  <c r="E29" i="2"/>
  <c r="D29" i="2"/>
  <c r="C29" i="2"/>
  <c r="F28" i="2"/>
  <c r="E28" i="2"/>
  <c r="D28" i="2"/>
  <c r="C28" i="2"/>
  <c r="F25" i="2"/>
  <c r="E25" i="2"/>
  <c r="D25" i="2"/>
  <c r="C25" i="2"/>
  <c r="F24" i="2"/>
  <c r="E24" i="2"/>
  <c r="D24" i="2"/>
  <c r="C24" i="2"/>
  <c r="F23" i="2"/>
  <c r="E23" i="2"/>
  <c r="D23" i="2"/>
  <c r="C23" i="2"/>
  <c r="F22" i="2"/>
  <c r="E22" i="2"/>
  <c r="D22" i="2"/>
  <c r="C22" i="2"/>
  <c r="F21" i="2"/>
  <c r="E21" i="2"/>
  <c r="D21" i="2"/>
  <c r="C21" i="2"/>
  <c r="F20" i="2"/>
  <c r="E20" i="2"/>
  <c r="D20" i="2"/>
  <c r="C20" i="2"/>
  <c r="F19" i="2"/>
  <c r="E19" i="2"/>
  <c r="D19" i="2"/>
  <c r="C19" i="2"/>
  <c r="F18" i="2"/>
  <c r="E18" i="2"/>
  <c r="D18" i="2"/>
  <c r="C18" i="2"/>
  <c r="F17" i="2"/>
  <c r="E17" i="2"/>
  <c r="D17" i="2"/>
  <c r="C17" i="2"/>
  <c r="F16" i="2"/>
  <c r="E16" i="2"/>
  <c r="D16" i="2"/>
  <c r="C16" i="2"/>
  <c r="F15" i="2"/>
  <c r="E15" i="2"/>
  <c r="D15" i="2"/>
  <c r="C15" i="2"/>
  <c r="F14" i="2"/>
  <c r="E14" i="2"/>
  <c r="D14" i="2"/>
  <c r="C14" i="2"/>
  <c r="F13" i="2"/>
  <c r="E13" i="2"/>
  <c r="D13" i="2"/>
  <c r="C13" i="2"/>
  <c r="F12" i="2"/>
  <c r="E12" i="2"/>
  <c r="D12" i="2"/>
  <c r="C12" i="2"/>
  <c r="F11" i="2"/>
  <c r="E11" i="2"/>
  <c r="D11" i="2"/>
  <c r="C11" i="2"/>
  <c r="F10" i="2"/>
  <c r="E10" i="2"/>
  <c r="D10" i="2"/>
  <c r="C10" i="2"/>
  <c r="F9" i="2"/>
  <c r="E9" i="2"/>
  <c r="D9" i="2"/>
  <c r="C9" i="2"/>
  <c r="F8" i="2"/>
  <c r="E8" i="2"/>
  <c r="D8" i="2"/>
  <c r="C8" i="2"/>
  <c r="F7" i="2"/>
  <c r="E7" i="2"/>
  <c r="D7" i="2"/>
  <c r="C7" i="2"/>
  <c r="F6" i="2"/>
  <c r="E6" i="2"/>
  <c r="D6" i="2"/>
  <c r="C6" i="2"/>
  <c r="F5" i="2"/>
  <c r="E5" i="2"/>
  <c r="D5" i="2"/>
  <c r="C5" i="2"/>
  <c r="F4" i="2"/>
  <c r="E4" i="2"/>
  <c r="D4" i="2"/>
  <c r="C4" i="2"/>
  <c r="F3" i="2"/>
  <c r="E3" i="2"/>
  <c r="D3" i="2"/>
  <c r="C3" i="2"/>
  <c r="I4" i="131"/>
  <c r="I4" i="130" l="1"/>
  <c r="A51" i="2" l="1"/>
  <c r="A50" i="2"/>
  <c r="A49" i="2"/>
  <c r="A48" i="2"/>
  <c r="A38" i="2"/>
  <c r="A37" i="2"/>
  <c r="A36" i="2"/>
  <c r="A35" i="2"/>
  <c r="A33" i="2"/>
  <c r="A32" i="2"/>
  <c r="A31" i="2"/>
  <c r="A30" i="2"/>
  <c r="A29" i="2"/>
  <c r="A28" i="2"/>
  <c r="A27" i="2"/>
  <c r="A26" i="2"/>
  <c r="A25" i="2"/>
  <c r="A24" i="2"/>
  <c r="A23" i="2"/>
  <c r="B94" i="4" l="1"/>
  <c r="I4" i="128"/>
  <c r="A22" i="2" l="1"/>
  <c r="A21" i="2"/>
  <c r="A20" i="2"/>
  <c r="A19" i="2"/>
  <c r="A18" i="2"/>
  <c r="A17" i="2"/>
  <c r="A16" i="2"/>
  <c r="A15" i="2"/>
  <c r="A14" i="2"/>
  <c r="A13" i="2"/>
  <c r="A12" i="2"/>
  <c r="A11" i="2"/>
  <c r="A10" i="2"/>
  <c r="A9" i="2"/>
  <c r="A8" i="2"/>
  <c r="A7" i="2"/>
  <c r="A6" i="2" l="1"/>
  <c r="A5" i="2"/>
  <c r="A4" i="2"/>
  <c r="A3" i="2"/>
  <c r="B93" i="4" l="1"/>
  <c r="B92" i="4"/>
  <c r="B91" i="4"/>
  <c r="B90" i="4"/>
  <c r="B89" i="4"/>
  <c r="B88" i="4"/>
  <c r="B87" i="4"/>
  <c r="B86" i="4"/>
  <c r="B85" i="4" l="1"/>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2" authorId="0" shapeId="0" xr:uid="{28346B93-D684-43E5-A173-1CB338A66B28}">
      <text>
        <r>
          <rPr>
            <b/>
            <sz val="9"/>
            <color indexed="81"/>
            <rFont val="MS P ゴシック"/>
            <family val="3"/>
            <charset val="128"/>
          </rPr>
          <t>オブジェクト一覧の値を設定すること。</t>
        </r>
      </text>
    </comment>
    <comment ref="L2" authorId="0" shapeId="0" xr:uid="{CDA2C84E-9122-49C3-93FC-C464726B2C81}">
      <text>
        <r>
          <rPr>
            <b/>
            <sz val="9"/>
            <color indexed="81"/>
            <rFont val="MS P ゴシック"/>
            <family val="3"/>
            <charset val="128"/>
          </rPr>
          <t>DBに反映した日付を記入する。
反映日がセットされた行のテーブルのSQLは生成されない。</t>
        </r>
      </text>
    </comment>
  </commentList>
</comments>
</file>

<file path=xl/sharedStrings.xml><?xml version="1.0" encoding="utf-8"?>
<sst xmlns="http://schemas.openxmlformats.org/spreadsheetml/2006/main" count="8184" uniqueCount="1960">
  <si>
    <t>H30 KID’Sシステム改修</t>
    <rPh sb="13" eb="15">
      <t>カイシュウ</t>
    </rPh>
    <phoneticPr fontId="3"/>
  </si>
  <si>
    <t>受発注機能改修</t>
    <phoneticPr fontId="3"/>
  </si>
  <si>
    <t>基本設計 DB定義書</t>
    <rPh sb="7" eb="9">
      <t>テイギ</t>
    </rPh>
    <rPh sb="9" eb="10">
      <t>ショ</t>
    </rPh>
    <phoneticPr fontId="3"/>
  </si>
  <si>
    <t>Ver0.1</t>
    <phoneticPr fontId="3"/>
  </si>
  <si>
    <t>経理サブ(ackids)のテーブルおよびシーケンスを社内KIDS(kidscore2)に統合する</t>
    <rPh sb="0" eb="2">
      <t>ケイリ</t>
    </rPh>
    <rPh sb="26" eb="28">
      <t>シャナイ</t>
    </rPh>
    <rPh sb="44" eb="46">
      <t>トウゴウ</t>
    </rPh>
    <phoneticPr fontId="3"/>
  </si>
  <si>
    <t>見積原価計算書のフォーマット変更に伴い、新規テーブル・カラムを追加する</t>
    <rPh sb="0" eb="2">
      <t>ミツモリ</t>
    </rPh>
    <rPh sb="2" eb="4">
      <t>ゲンカ</t>
    </rPh>
    <rPh sb="4" eb="7">
      <t>ケイサンショ</t>
    </rPh>
    <rPh sb="14" eb="16">
      <t>ヘンコウ</t>
    </rPh>
    <rPh sb="17" eb="18">
      <t>トモナ</t>
    </rPh>
    <rPh sb="20" eb="22">
      <t>シンキ</t>
    </rPh>
    <rPh sb="31" eb="33">
      <t>ツイカ</t>
    </rPh>
    <phoneticPr fontId="3"/>
  </si>
  <si>
    <t>オブジェクト一覧</t>
    <rPh sb="6" eb="8">
      <t>イチラン</t>
    </rPh>
    <phoneticPr fontId="3"/>
  </si>
  <si>
    <t>No.</t>
    <phoneticPr fontId="3"/>
  </si>
  <si>
    <t>環境</t>
    <rPh sb="0" eb="2">
      <t>カンキョウ</t>
    </rPh>
    <phoneticPr fontId="3"/>
  </si>
  <si>
    <t>DB名</t>
    <rPh sb="2" eb="3">
      <t>メイ</t>
    </rPh>
    <phoneticPr fontId="3"/>
  </si>
  <si>
    <t>スキーマ</t>
    <phoneticPr fontId="3"/>
  </si>
  <si>
    <t>public</t>
    <phoneticPr fontId="3"/>
  </si>
  <si>
    <t>オーナー</t>
    <phoneticPr fontId="3"/>
  </si>
  <si>
    <t>種類</t>
    <rPh sb="0" eb="2">
      <t>シュルイ</t>
    </rPh>
    <phoneticPr fontId="3"/>
  </si>
  <si>
    <t>SEQUENCE</t>
    <phoneticPr fontId="3"/>
  </si>
  <si>
    <t>オブジェクト名</t>
    <rPh sb="6" eb="7">
      <t>メイ</t>
    </rPh>
    <phoneticPr fontId="3"/>
  </si>
  <si>
    <t>社内KIDS</t>
    <rPh sb="0" eb="2">
      <t>シャナイ</t>
    </rPh>
    <phoneticPr fontId="3"/>
  </si>
  <si>
    <t>kidscore2</t>
    <phoneticPr fontId="3"/>
  </si>
  <si>
    <t>kids</t>
    <phoneticPr fontId="3"/>
  </si>
  <si>
    <t>TABLE</t>
    <phoneticPr fontId="3"/>
  </si>
  <si>
    <t>VIEW</t>
    <phoneticPr fontId="3"/>
  </si>
  <si>
    <t>m_adminfunction</t>
  </si>
  <si>
    <t>m_attributerelation</t>
  </si>
  <si>
    <t>m_businesscode</t>
  </si>
  <si>
    <t>m_category</t>
  </si>
  <si>
    <t>m_categoryrelation</t>
  </si>
  <si>
    <t>m_certificateclass</t>
  </si>
  <si>
    <t>m_closedday</t>
  </si>
  <si>
    <t>m_commonfunction</t>
  </si>
  <si>
    <t>m_company</t>
  </si>
  <si>
    <t>m_conversionclass</t>
  </si>
  <si>
    <t>m_copyright</t>
  </si>
  <si>
    <t>m_country</t>
  </si>
  <si>
    <t>m_estimate</t>
  </si>
  <si>
    <t>m_estimatedefault</t>
  </si>
  <si>
    <t>m_estimatestatus</t>
  </si>
  <si>
    <t>m_function</t>
  </si>
  <si>
    <t>m_functionauthority</t>
  </si>
  <si>
    <t>m_group</t>
  </si>
  <si>
    <t>m_grouprelation</t>
  </si>
  <si>
    <t>m_imagerelation</t>
  </si>
  <si>
    <t>m_mailform</t>
  </si>
  <si>
    <t>m_message</t>
  </si>
  <si>
    <t>m_monetaryrate</t>
  </si>
  <si>
    <t>m_monetaryrateclass</t>
  </si>
  <si>
    <t>m_monetaryunit</t>
  </si>
  <si>
    <t>m_order</t>
  </si>
  <si>
    <t>m_orderstatus</t>
  </si>
  <si>
    <t>m_organization</t>
  </si>
  <si>
    <t>m_paycondition</t>
  </si>
  <si>
    <t>m_product</t>
  </si>
  <si>
    <t>m_productform</t>
  </si>
  <si>
    <t>m_productprice</t>
  </si>
  <si>
    <t>m_productunit</t>
  </si>
  <si>
    <t>m_receive</t>
  </si>
  <si>
    <t>m_reportclass</t>
  </si>
  <si>
    <t>m_sales</t>
  </si>
  <si>
    <t>m_salesclass</t>
  </si>
  <si>
    <t>m_salesdivision</t>
  </si>
  <si>
    <t>m_salesstatus</t>
  </si>
  <si>
    <t>m_stock</t>
  </si>
  <si>
    <t>m_stockclass</t>
  </si>
  <si>
    <t>m_stockitem</t>
  </si>
  <si>
    <t>m_stockstatus</t>
  </si>
  <si>
    <t>m_systeminformation</t>
  </si>
  <si>
    <t>m_targetage</t>
  </si>
  <si>
    <t>m_tax</t>
  </si>
  <si>
    <t>m_user</t>
  </si>
  <si>
    <t>t_estimatedetail</t>
  </si>
  <si>
    <t>t_goodsplan</t>
  </si>
  <si>
    <t>t_image</t>
  </si>
  <si>
    <t>t_loginsession</t>
  </si>
  <si>
    <t>t_processinformation</t>
  </si>
  <si>
    <t>t_product</t>
  </si>
  <si>
    <t>t_receivedetail</t>
  </si>
  <si>
    <t>t_report</t>
  </si>
  <si>
    <t>t_salesdetail</t>
  </si>
  <si>
    <t>t_sequence</t>
  </si>
  <si>
    <t>t_stockdetail</t>
  </si>
  <si>
    <t>t_temp</t>
  </si>
  <si>
    <t>m_estimatestandardrate</t>
  </si>
  <si>
    <t>m_mold</t>
  </si>
  <si>
    <t>m_stocksubject</t>
  </si>
  <si>
    <t>m_taxclass</t>
  </si>
  <si>
    <t>t_cache</t>
  </si>
  <si>
    <t>t_moldhistory</t>
  </si>
  <si>
    <t>t_moldreportdetail</t>
  </si>
  <si>
    <t>t_moldreportrelation</t>
  </si>
  <si>
    <t>t_orderdetail</t>
  </si>
  <si>
    <t>v_dayofweek</t>
  </si>
  <si>
    <t>v_line</t>
  </si>
  <si>
    <t>VIEW</t>
    <phoneticPr fontId="3"/>
  </si>
  <si>
    <t>シーケンス名</t>
    <rPh sb="5" eb="6">
      <t>メイ</t>
    </rPh>
    <phoneticPr fontId="3"/>
  </si>
  <si>
    <t>論理名</t>
    <rPh sb="0" eb="2">
      <t>ロンリ</t>
    </rPh>
    <rPh sb="2" eb="3">
      <t>メイ</t>
    </rPh>
    <phoneticPr fontId="3"/>
  </si>
  <si>
    <t>物理名</t>
    <rPh sb="0" eb="2">
      <t>ブツリ</t>
    </rPh>
    <rPh sb="2" eb="3">
      <t>メイ</t>
    </rPh>
    <phoneticPr fontId="3"/>
  </si>
  <si>
    <t>テーブル名</t>
    <rPh sb="4" eb="5">
      <t>メイ</t>
    </rPh>
    <phoneticPr fontId="3"/>
  </si>
  <si>
    <t>売上明細テーブル</t>
  </si>
  <si>
    <t>仕入明細テーブル</t>
  </si>
  <si>
    <t>シーケンス名</t>
    <rPh sb="5" eb="6">
      <t>メイ</t>
    </rPh>
    <phoneticPr fontId="1"/>
  </si>
  <si>
    <t>最後値</t>
    <rPh sb="0" eb="2">
      <t>サイゴ</t>
    </rPh>
    <rPh sb="2" eb="3">
      <t>アタイ</t>
    </rPh>
    <phoneticPr fontId="1"/>
  </si>
  <si>
    <t>初期値</t>
    <rPh sb="0" eb="3">
      <t>ショキチ</t>
    </rPh>
    <phoneticPr fontId="1"/>
  </si>
  <si>
    <t>増分値</t>
    <rPh sb="0" eb="2">
      <t>ゾウブン</t>
    </rPh>
    <rPh sb="2" eb="3">
      <t>チ</t>
    </rPh>
    <phoneticPr fontId="1"/>
  </si>
  <si>
    <t>最大値</t>
    <rPh sb="0" eb="3">
      <t>サイダイチ</t>
    </rPh>
    <phoneticPr fontId="1"/>
  </si>
  <si>
    <t>最小値</t>
    <rPh sb="0" eb="3">
      <t>サイショウチ</t>
    </rPh>
    <phoneticPr fontId="1"/>
  </si>
  <si>
    <t>キャッシュ数</t>
    <rPh sb="5" eb="6">
      <t>スウ</t>
    </rPh>
    <phoneticPr fontId="1"/>
  </si>
  <si>
    <t>ログカウンタ数</t>
    <rPh sb="6" eb="7">
      <t>スウ</t>
    </rPh>
    <phoneticPr fontId="1"/>
  </si>
  <si>
    <t>周回フラグ</t>
    <rPh sb="0" eb="2">
      <t>シュウカイ</t>
    </rPh>
    <phoneticPr fontId="1"/>
  </si>
  <si>
    <t>呼出フラグ</t>
    <rPh sb="0" eb="2">
      <t>ヨビダ</t>
    </rPh>
    <phoneticPr fontId="1"/>
  </si>
  <si>
    <t>無効フラグ</t>
  </si>
  <si>
    <t>通貨レートコード</t>
  </si>
  <si>
    <t>換算レート</t>
  </si>
  <si>
    <t>計上日</t>
  </si>
  <si>
    <t>売上区分コード</t>
  </si>
  <si>
    <t>仕入番号</t>
    <rPh sb="0" eb="2">
      <t>シイレ</t>
    </rPh>
    <rPh sb="2" eb="4">
      <t>バンゴウ</t>
    </rPh>
    <phoneticPr fontId="1"/>
  </si>
  <si>
    <t>仕入明細番号</t>
    <rPh sb="0" eb="2">
      <t>シイレ</t>
    </rPh>
    <rPh sb="2" eb="4">
      <t>メイサイ</t>
    </rPh>
    <rPh sb="4" eb="6">
      <t>バンゴウ</t>
    </rPh>
    <phoneticPr fontId="1"/>
  </si>
  <si>
    <t>製品コード</t>
    <rPh sb="0" eb="2">
      <t>セイヒン</t>
    </rPh>
    <phoneticPr fontId="1"/>
  </si>
  <si>
    <t>製品単位コード</t>
    <rPh sb="0" eb="2">
      <t>セイヒン</t>
    </rPh>
    <rPh sb="2" eb="4">
      <t>タンイ</t>
    </rPh>
    <phoneticPr fontId="1"/>
  </si>
  <si>
    <t>仕入科目コード</t>
    <rPh sb="0" eb="2">
      <t>シイレ</t>
    </rPh>
    <rPh sb="2" eb="4">
      <t>カモク</t>
    </rPh>
    <phoneticPr fontId="1"/>
  </si>
  <si>
    <t>備考</t>
    <rPh sb="0" eb="2">
      <t>ビコウ</t>
    </rPh>
    <phoneticPr fontId="1"/>
  </si>
  <si>
    <t>表示用ソートキー</t>
    <rPh sb="0" eb="2">
      <t>ヒョウジ</t>
    </rPh>
    <rPh sb="2" eb="3">
      <t>ヨウ</t>
    </rPh>
    <phoneticPr fontId="1"/>
  </si>
  <si>
    <t>仕入部品コード</t>
    <rPh sb="0" eb="2">
      <t>シイレ</t>
    </rPh>
    <rPh sb="2" eb="4">
      <t>ブヒン</t>
    </rPh>
    <phoneticPr fontId="1"/>
  </si>
  <si>
    <t>ファイルサイズ</t>
  </si>
  <si>
    <t>sequence_name</t>
  </si>
  <si>
    <t xml:space="preserve">last_value   </t>
  </si>
  <si>
    <t xml:space="preserve">start_value  </t>
  </si>
  <si>
    <t xml:space="preserve">increment_by </t>
  </si>
  <si>
    <t xml:space="preserve">max_value    </t>
  </si>
  <si>
    <t xml:space="preserve">min_value    </t>
  </si>
  <si>
    <t xml:space="preserve">cache_value  </t>
  </si>
  <si>
    <t xml:space="preserve">log_cnt      </t>
  </si>
  <si>
    <t xml:space="preserve">is_cycled    </t>
  </si>
  <si>
    <t xml:space="preserve">is_called    </t>
  </si>
  <si>
    <t>bytinvalidflag</t>
  </si>
  <si>
    <t>lngmonetaryratecode</t>
  </si>
  <si>
    <t>lngmonetaryunitcode</t>
  </si>
  <si>
    <t>curconversionrate</t>
  </si>
  <si>
    <t>dtmapplystartdate</t>
  </si>
  <si>
    <t>dtmapplyenddate</t>
  </si>
  <si>
    <t>dtminsertdate</t>
  </si>
  <si>
    <t>dtmupdatedate</t>
  </si>
  <si>
    <t>データ型</t>
    <rPh sb="3" eb="4">
      <t>ガタ</t>
    </rPh>
    <phoneticPr fontId="3"/>
  </si>
  <si>
    <t xml:space="preserve">name   </t>
  </si>
  <si>
    <t xml:space="preserve">bigint </t>
  </si>
  <si>
    <t>boolean</t>
  </si>
  <si>
    <t>text</t>
  </si>
  <si>
    <t>character(8)</t>
  </si>
  <si>
    <t>integer</t>
  </si>
  <si>
    <t>date</t>
  </si>
  <si>
    <t>制約</t>
    <rPh sb="0" eb="2">
      <t>セイヤク</t>
    </rPh>
    <phoneticPr fontId="3"/>
  </si>
  <si>
    <t>PK</t>
    <phoneticPr fontId="3"/>
  </si>
  <si>
    <t>NotNull</t>
    <phoneticPr fontId="3"/>
  </si>
  <si>
    <t>YES</t>
    <phoneticPr fontId="3"/>
  </si>
  <si>
    <t>規定値</t>
    <rPh sb="0" eb="3">
      <t>キテイチ</t>
    </rPh>
    <phoneticPr fontId="3"/>
  </si>
  <si>
    <t>m_accessipaddress</t>
    <phoneticPr fontId="3"/>
  </si>
  <si>
    <t>アクセスIPアドレスマスタ</t>
    <phoneticPr fontId="3"/>
  </si>
  <si>
    <t>アクセスIPアドレスコード</t>
  </si>
  <si>
    <t>アクセスIPアドレス</t>
  </si>
  <si>
    <t>lngaccessipaddresscode</t>
  </si>
  <si>
    <t>straccessipaddress</t>
  </si>
  <si>
    <t>strnote</t>
  </si>
  <si>
    <t>m_adminfunction</t>
    <phoneticPr fontId="3"/>
  </si>
  <si>
    <t>オブジェクト論理名</t>
    <rPh sb="6" eb="8">
      <t>ロンリ</t>
    </rPh>
    <rPh sb="8" eb="9">
      <t>メイ</t>
    </rPh>
    <phoneticPr fontId="3"/>
  </si>
  <si>
    <t>通貨レートマスタ</t>
    <phoneticPr fontId="3"/>
  </si>
  <si>
    <t>アクセスIPアドレスマスタ</t>
    <phoneticPr fontId="3"/>
  </si>
  <si>
    <t>管理者機能コード</t>
    <rPh sb="0" eb="3">
      <t>カンリシャ</t>
    </rPh>
    <rPh sb="3" eb="5">
      <t>キノウ</t>
    </rPh>
    <phoneticPr fontId="1"/>
  </si>
  <si>
    <t>管理者機能分類</t>
    <rPh sb="0" eb="3">
      <t>カンリシャ</t>
    </rPh>
    <rPh sb="3" eb="5">
      <t>キノウ</t>
    </rPh>
    <rPh sb="5" eb="7">
      <t>ブンルイ</t>
    </rPh>
    <phoneticPr fontId="1"/>
  </si>
  <si>
    <t>管理者機能設定値</t>
    <rPh sb="0" eb="3">
      <t>カンリシャ</t>
    </rPh>
    <rPh sb="3" eb="5">
      <t>キノウ</t>
    </rPh>
    <rPh sb="5" eb="8">
      <t>セッテイチ</t>
    </rPh>
    <phoneticPr fontId="1"/>
  </si>
  <si>
    <t>strclass</t>
  </si>
  <si>
    <t>strvalue</t>
  </si>
  <si>
    <t>管理者機能マスタ</t>
    <phoneticPr fontId="3"/>
  </si>
  <si>
    <t>管理者機能マスタ</t>
    <phoneticPr fontId="3"/>
  </si>
  <si>
    <t>m_attribute</t>
    <phoneticPr fontId="3"/>
  </si>
  <si>
    <t>m_attribute</t>
    <phoneticPr fontId="3"/>
  </si>
  <si>
    <t>会社属性マスタ</t>
    <phoneticPr fontId="3"/>
  </si>
  <si>
    <t>会社属性コード</t>
    <rPh sb="0" eb="2">
      <t>カイシャ</t>
    </rPh>
    <rPh sb="2" eb="4">
      <t>ゾクセイ</t>
    </rPh>
    <phoneticPr fontId="1"/>
  </si>
  <si>
    <t>会社属性名</t>
    <rPh sb="0" eb="2">
      <t>カイシャ</t>
    </rPh>
    <rPh sb="4" eb="5">
      <t>メイ</t>
    </rPh>
    <phoneticPr fontId="1"/>
  </si>
  <si>
    <t>lngattributecode</t>
  </si>
  <si>
    <t>strattributename</t>
  </si>
  <si>
    <t>会社属性マスタ</t>
    <phoneticPr fontId="3"/>
  </si>
  <si>
    <t>m_attributerelation</t>
    <phoneticPr fontId="3"/>
  </si>
  <si>
    <t>会社属性関連マスタ</t>
    <phoneticPr fontId="3"/>
  </si>
  <si>
    <t>会社属性関連コード</t>
    <rPh sb="0" eb="2">
      <t>カイシャ</t>
    </rPh>
    <rPh sb="2" eb="4">
      <t>ゾクセイ</t>
    </rPh>
    <rPh sb="4" eb="6">
      <t>カンレン</t>
    </rPh>
    <phoneticPr fontId="1"/>
  </si>
  <si>
    <t>会社コード</t>
    <rPh sb="0" eb="2">
      <t>カイシャ</t>
    </rPh>
    <phoneticPr fontId="1"/>
  </si>
  <si>
    <t>lngattributerelationcode</t>
  </si>
  <si>
    <t>lngcompanycode</t>
  </si>
  <si>
    <t>会社属性関連マスタ</t>
    <phoneticPr fontId="3"/>
  </si>
  <si>
    <t>m_authoritygroup</t>
    <phoneticPr fontId="3"/>
  </si>
  <si>
    <t>m_authoritygroup</t>
    <phoneticPr fontId="3"/>
  </si>
  <si>
    <t>権限グループマスタ</t>
    <phoneticPr fontId="3"/>
  </si>
  <si>
    <t>権限グループマスタ</t>
    <phoneticPr fontId="3"/>
  </si>
  <si>
    <t>権限グループコード</t>
    <rPh sb="0" eb="2">
      <t>ケンゲン</t>
    </rPh>
    <phoneticPr fontId="1"/>
  </si>
  <si>
    <t>権限レベル</t>
    <rPh sb="0" eb="2">
      <t>ケンゲン</t>
    </rPh>
    <phoneticPr fontId="1"/>
  </si>
  <si>
    <t>権限グループ名称</t>
    <rPh sb="0" eb="2">
      <t>ケンゲン</t>
    </rPh>
    <rPh sb="6" eb="8">
      <t>メイショウ</t>
    </rPh>
    <phoneticPr fontId="1"/>
  </si>
  <si>
    <t>lngauthoritygroupcode</t>
  </si>
  <si>
    <t>lngauthoritylevel</t>
  </si>
  <si>
    <t>strauthoritygroupname</t>
  </si>
  <si>
    <t>m_businesscode</t>
    <phoneticPr fontId="3"/>
  </si>
  <si>
    <t>業務コードマスタ</t>
    <phoneticPr fontId="3"/>
  </si>
  <si>
    <t>業務コードマスタ</t>
    <phoneticPr fontId="3"/>
  </si>
  <si>
    <t>業務コードID</t>
    <rPh sb="0" eb="2">
      <t>ギョウム</t>
    </rPh>
    <phoneticPr fontId="1"/>
  </si>
  <si>
    <t>業務コード名</t>
    <rPh sb="0" eb="2">
      <t>ギョウム</t>
    </rPh>
    <rPh sb="5" eb="6">
      <t>メイ</t>
    </rPh>
    <phoneticPr fontId="1"/>
  </si>
  <si>
    <t>業務コード</t>
    <rPh sb="0" eb="2">
      <t>ギョウム</t>
    </rPh>
    <phoneticPr fontId="1"/>
  </si>
  <si>
    <t>詳細</t>
    <rPh sb="0" eb="2">
      <t>ショウサイ</t>
    </rPh>
    <phoneticPr fontId="1"/>
  </si>
  <si>
    <t>作成時間</t>
    <rPh sb="0" eb="2">
      <t>サクセイ</t>
    </rPh>
    <rPh sb="2" eb="4">
      <t>ジカン</t>
    </rPh>
    <phoneticPr fontId="1"/>
  </si>
  <si>
    <t>作成者</t>
    <rPh sb="0" eb="2">
      <t>サクセイ</t>
    </rPh>
    <rPh sb="2" eb="3">
      <t>シャ</t>
    </rPh>
    <phoneticPr fontId="1"/>
  </si>
  <si>
    <t>更新時間</t>
    <rPh sb="0" eb="2">
      <t>コウシン</t>
    </rPh>
    <rPh sb="2" eb="4">
      <t>ジカン</t>
    </rPh>
    <phoneticPr fontId="1"/>
  </si>
  <si>
    <t>更新者</t>
    <rPh sb="0" eb="3">
      <t>コウシンシャ</t>
    </rPh>
    <phoneticPr fontId="1"/>
  </si>
  <si>
    <t>バージョン</t>
  </si>
  <si>
    <t>削除フラグ</t>
    <rPh sb="0" eb="2">
      <t>サクジョ</t>
    </rPh>
    <phoneticPr fontId="1"/>
  </si>
  <si>
    <t xml:space="preserve">businesscodeid  </t>
  </si>
  <si>
    <t>businesscodename</t>
  </si>
  <si>
    <t xml:space="preserve">businesscode    </t>
  </si>
  <si>
    <t xml:space="preserve">description     </t>
  </si>
  <si>
    <t xml:space="preserve">created         </t>
  </si>
  <si>
    <t xml:space="preserve">createby        </t>
  </si>
  <si>
    <t xml:space="preserve">updated         </t>
  </si>
  <si>
    <t xml:space="preserve">updateby        </t>
  </si>
  <si>
    <t xml:space="preserve">version         </t>
  </si>
  <si>
    <t xml:space="preserve">deleteflag      </t>
  </si>
  <si>
    <t xml:space="preserve">integer                    </t>
  </si>
  <si>
    <t xml:space="preserve">text                       </t>
  </si>
  <si>
    <t>timestamp without time zone</t>
  </si>
  <si>
    <t xml:space="preserve">boolean                    </t>
  </si>
  <si>
    <t>blank</t>
  </si>
  <si>
    <t>false</t>
  </si>
  <si>
    <t>m_category</t>
    <phoneticPr fontId="3"/>
  </si>
  <si>
    <t>カテゴリーマスタ</t>
    <phoneticPr fontId="3"/>
  </si>
  <si>
    <t>カテゴリーマスタ</t>
    <phoneticPr fontId="3"/>
  </si>
  <si>
    <t>カテゴリーコード</t>
  </si>
  <si>
    <t>カテゴリー名称</t>
    <rPh sb="5" eb="7">
      <t>メイショウ</t>
    </rPh>
    <phoneticPr fontId="1"/>
  </si>
  <si>
    <t>表示フラグ</t>
    <rPh sb="0" eb="2">
      <t>ヒョウジ</t>
    </rPh>
    <phoneticPr fontId="1"/>
  </si>
  <si>
    <t>表示用ソートキー</t>
    <rPh sb="0" eb="3">
      <t>ヒョウジヨウ</t>
    </rPh>
    <phoneticPr fontId="1"/>
  </si>
  <si>
    <t>lngcategorycode</t>
  </si>
  <si>
    <t>strcategoryname</t>
  </si>
  <si>
    <t>bytdisplayflag</t>
  </si>
  <si>
    <t>lngsortkey</t>
  </si>
  <si>
    <t>カテゴリー関連マスタ</t>
    <phoneticPr fontId="3"/>
  </si>
  <si>
    <t>カテゴリー関連マスタ</t>
    <phoneticPr fontId="3"/>
  </si>
  <si>
    <t>グループコード</t>
  </si>
  <si>
    <t>lnggroupcode</t>
  </si>
  <si>
    <t>m_certificateclass</t>
    <phoneticPr fontId="3"/>
  </si>
  <si>
    <t>証紙種類コード</t>
    <rPh sb="0" eb="2">
      <t>ショウシ</t>
    </rPh>
    <rPh sb="2" eb="4">
      <t>シュルイ</t>
    </rPh>
    <phoneticPr fontId="1"/>
  </si>
  <si>
    <t>証紙種類名称</t>
    <rPh sb="0" eb="2">
      <t>ショウシ</t>
    </rPh>
    <rPh sb="2" eb="4">
      <t>シュルイ</t>
    </rPh>
    <rPh sb="4" eb="6">
      <t>メイショウ</t>
    </rPh>
    <phoneticPr fontId="1"/>
  </si>
  <si>
    <t>lngcertificateclasscode</t>
  </si>
  <si>
    <t>strcertificateclassname</t>
  </si>
  <si>
    <t>証紙種類マスタ</t>
    <phoneticPr fontId="3"/>
  </si>
  <si>
    <t>証紙種類マスタ</t>
    <phoneticPr fontId="3"/>
  </si>
  <si>
    <t>m_charactar</t>
    <phoneticPr fontId="3"/>
  </si>
  <si>
    <t>m_charactar</t>
    <phoneticPr fontId="3"/>
  </si>
  <si>
    <t>文字コード</t>
    <rPh sb="0" eb="2">
      <t>モジ</t>
    </rPh>
    <phoneticPr fontId="1"/>
  </si>
  <si>
    <t>注文コード</t>
    <rPh sb="0" eb="2">
      <t>チュウモン</t>
    </rPh>
    <phoneticPr fontId="1"/>
  </si>
  <si>
    <t>キーワード</t>
  </si>
  <si>
    <t>無効フラグ</t>
    <rPh sb="0" eb="2">
      <t>ムコウ</t>
    </rPh>
    <phoneticPr fontId="1"/>
  </si>
  <si>
    <t>strcharactarcode</t>
  </si>
  <si>
    <t>lngordercode</t>
  </si>
  <si>
    <t>strkeyword</t>
  </si>
  <si>
    <t>blninvalidflag</t>
  </si>
  <si>
    <t>文字コードマスタ</t>
    <phoneticPr fontId="3"/>
  </si>
  <si>
    <t>m_closedday</t>
    <phoneticPr fontId="3"/>
  </si>
  <si>
    <t>締め日コード</t>
    <rPh sb="0" eb="1">
      <t>シ</t>
    </rPh>
    <rPh sb="2" eb="3">
      <t>ビ</t>
    </rPh>
    <phoneticPr fontId="1"/>
  </si>
  <si>
    <t>締め日数</t>
    <rPh sb="0" eb="1">
      <t>シ</t>
    </rPh>
    <rPh sb="2" eb="3">
      <t>ニチ</t>
    </rPh>
    <rPh sb="3" eb="4">
      <t>スウ</t>
    </rPh>
    <phoneticPr fontId="1"/>
  </si>
  <si>
    <t>lngcloseddaycode</t>
  </si>
  <si>
    <t>strcloseddaycode</t>
  </si>
  <si>
    <t>lngclosedday</t>
  </si>
  <si>
    <t>締め日マスタ</t>
    <phoneticPr fontId="3"/>
  </si>
  <si>
    <t>締め日マスタ</t>
    <phoneticPr fontId="3"/>
  </si>
  <si>
    <t>m_commonfunction</t>
    <phoneticPr fontId="3"/>
  </si>
  <si>
    <t>共通機能コード</t>
    <rPh sb="0" eb="2">
      <t>キョウツウ</t>
    </rPh>
    <rPh sb="2" eb="4">
      <t>キノウ</t>
    </rPh>
    <phoneticPr fontId="1"/>
  </si>
  <si>
    <t>分類</t>
    <rPh sb="0" eb="2">
      <t>ブンルイ</t>
    </rPh>
    <phoneticPr fontId="1"/>
  </si>
  <si>
    <t>設定値</t>
    <rPh sb="0" eb="3">
      <t>セッテイチ</t>
    </rPh>
    <phoneticPr fontId="1"/>
  </si>
  <si>
    <t>lngcommonfunctioncode</t>
  </si>
  <si>
    <t>共通機能マスタ</t>
    <phoneticPr fontId="3"/>
  </si>
  <si>
    <t>共通機能マスタ</t>
    <phoneticPr fontId="3"/>
  </si>
  <si>
    <t>m_company</t>
    <phoneticPr fontId="3"/>
  </si>
  <si>
    <t>国コード</t>
    <rPh sb="0" eb="1">
      <t>クニ</t>
    </rPh>
    <phoneticPr fontId="1"/>
  </si>
  <si>
    <t>組織コード</t>
    <rPh sb="0" eb="2">
      <t>ソシキ</t>
    </rPh>
    <phoneticPr fontId="1"/>
  </si>
  <si>
    <t>組織表記</t>
    <rPh sb="0" eb="2">
      <t>ソシキ</t>
    </rPh>
    <rPh sb="2" eb="4">
      <t>ヒョウキ</t>
    </rPh>
    <phoneticPr fontId="1"/>
  </si>
  <si>
    <t>会社名称</t>
    <rPh sb="0" eb="2">
      <t>カイシャ</t>
    </rPh>
    <rPh sb="2" eb="4">
      <t>メイショウ</t>
    </rPh>
    <phoneticPr fontId="1"/>
  </si>
  <si>
    <t>郵便番号</t>
    <rPh sb="0" eb="4">
      <t>ユウビンバンゴウ</t>
    </rPh>
    <phoneticPr fontId="1"/>
  </si>
  <si>
    <t>住所1 / 都道府県</t>
  </si>
  <si>
    <t>住所2 / 市、区、郡</t>
    <rPh sb="10" eb="11">
      <t>グン</t>
    </rPh>
    <phoneticPr fontId="1"/>
  </si>
  <si>
    <t>住所3 / 町、番地</t>
  </si>
  <si>
    <t>住所4 / ビル等、建物名</t>
  </si>
  <si>
    <t>電話番号1</t>
  </si>
  <si>
    <t>電話番号2</t>
  </si>
  <si>
    <t>ファックス番号1</t>
  </si>
  <si>
    <t>ファックス番号2</t>
  </si>
  <si>
    <t>識別コード</t>
  </si>
  <si>
    <t>締め日コード</t>
  </si>
  <si>
    <t>lngcountrycode</t>
  </si>
  <si>
    <t>lngorganizationcode</t>
  </si>
  <si>
    <t>bytorganizationfront</t>
  </si>
  <si>
    <t>bytcompanydisplayflag</t>
  </si>
  <si>
    <t>strcompanydisplaycode</t>
  </si>
  <si>
    <t>strcompanydisplayname</t>
  </si>
  <si>
    <t>strpostalcode</t>
  </si>
  <si>
    <t>straddress2</t>
  </si>
  <si>
    <t>straddress3</t>
  </si>
  <si>
    <t>straddress4</t>
  </si>
  <si>
    <t>strtel1</t>
  </si>
  <si>
    <t>strtel2</t>
  </si>
  <si>
    <t>strfax2</t>
  </si>
  <si>
    <t>strdistinctcode</t>
  </si>
  <si>
    <t>会社マスタ</t>
    <phoneticPr fontId="3"/>
  </si>
  <si>
    <t>会社マスタ</t>
    <phoneticPr fontId="3"/>
  </si>
  <si>
    <t>m_conversionclass</t>
    <phoneticPr fontId="3"/>
  </si>
  <si>
    <t>換算区分コード</t>
    <rPh sb="0" eb="2">
      <t>カンサン</t>
    </rPh>
    <rPh sb="2" eb="4">
      <t>クブン</t>
    </rPh>
    <phoneticPr fontId="1"/>
  </si>
  <si>
    <t>換算区分名称</t>
    <rPh sb="0" eb="2">
      <t>カンサン</t>
    </rPh>
    <rPh sb="2" eb="4">
      <t>クブン</t>
    </rPh>
    <rPh sb="4" eb="6">
      <t>メイショウ</t>
    </rPh>
    <phoneticPr fontId="1"/>
  </si>
  <si>
    <t>lngconversionclasscode</t>
  </si>
  <si>
    <t>strconversionclassname</t>
  </si>
  <si>
    <t>換算区分マスタ</t>
    <phoneticPr fontId="3"/>
  </si>
  <si>
    <t>換算区分マスタ</t>
    <phoneticPr fontId="3"/>
  </si>
  <si>
    <t>m_copyright</t>
    <phoneticPr fontId="3"/>
  </si>
  <si>
    <t>版権元コード</t>
    <rPh sb="0" eb="2">
      <t>ハンケン</t>
    </rPh>
    <rPh sb="2" eb="3">
      <t>モト</t>
    </rPh>
    <phoneticPr fontId="1"/>
  </si>
  <si>
    <t>版権元名称</t>
    <rPh sb="0" eb="2">
      <t>ハンケン</t>
    </rPh>
    <rPh sb="2" eb="3">
      <t>モト</t>
    </rPh>
    <rPh sb="3" eb="5">
      <t>メイショウ</t>
    </rPh>
    <phoneticPr fontId="1"/>
  </si>
  <si>
    <t>lngcopyrightcode</t>
  </si>
  <si>
    <t>strcopyrightname</t>
  </si>
  <si>
    <t>版権元マスタ</t>
    <phoneticPr fontId="3"/>
  </si>
  <si>
    <t>版権元マスタ</t>
    <phoneticPr fontId="3"/>
  </si>
  <si>
    <t>m_country</t>
    <phoneticPr fontId="3"/>
  </si>
  <si>
    <t>国名称（日本語）</t>
    <rPh sb="0" eb="1">
      <t>クニ</t>
    </rPh>
    <rPh sb="1" eb="3">
      <t>メイショウ</t>
    </rPh>
    <rPh sb="4" eb="7">
      <t>ニホンゴ</t>
    </rPh>
    <phoneticPr fontId="1"/>
  </si>
  <si>
    <t>国名称（英語）</t>
    <rPh sb="0" eb="1">
      <t>クニ</t>
    </rPh>
    <rPh sb="1" eb="3">
      <t>メイショウ</t>
    </rPh>
    <rPh sb="4" eb="6">
      <t>エイゴ</t>
    </rPh>
    <phoneticPr fontId="1"/>
  </si>
  <si>
    <t>strcountryname</t>
  </si>
  <si>
    <t>strcountryenglishname</t>
  </si>
  <si>
    <t>国マスタ</t>
    <phoneticPr fontId="3"/>
  </si>
  <si>
    <t>国マスタ</t>
    <phoneticPr fontId="3"/>
  </si>
  <si>
    <t>m_deliverymethod</t>
    <phoneticPr fontId="3"/>
  </si>
  <si>
    <t>運搬方法コード</t>
    <rPh sb="0" eb="1">
      <t>ウン</t>
    </rPh>
    <rPh sb="1" eb="2">
      <t>ハン</t>
    </rPh>
    <rPh sb="2" eb="4">
      <t>ホウホウ</t>
    </rPh>
    <phoneticPr fontId="1"/>
  </si>
  <si>
    <t>運搬方法名称</t>
    <rPh sb="0" eb="1">
      <t>ウン</t>
    </rPh>
    <rPh sb="1" eb="2">
      <t>ハン</t>
    </rPh>
    <rPh sb="2" eb="4">
      <t>ホウホウ</t>
    </rPh>
    <rPh sb="4" eb="6">
      <t>メイショウ</t>
    </rPh>
    <phoneticPr fontId="1"/>
  </si>
  <si>
    <t>lngdeliverymethodcode</t>
  </si>
  <si>
    <t>strdeliverymethodname</t>
  </si>
  <si>
    <t>運搬方法マスタ</t>
    <phoneticPr fontId="3"/>
  </si>
  <si>
    <t>運搬方法マスタ</t>
    <phoneticPr fontId="3"/>
  </si>
  <si>
    <t>m_goodsplanprogress</t>
    <phoneticPr fontId="3"/>
  </si>
  <si>
    <t>企画進行状況コード</t>
  </si>
  <si>
    <t>企画進行状況名称</t>
  </si>
  <si>
    <t>lnggoodsplanprogresscode</t>
  </si>
  <si>
    <t>strgoodsplanprogressname</t>
  </si>
  <si>
    <t>企画進行状況マスタ</t>
    <phoneticPr fontId="3"/>
  </si>
  <si>
    <t>企画進行状況マスタ</t>
    <phoneticPr fontId="3"/>
  </si>
  <si>
    <t>m_deliverymethod</t>
    <phoneticPr fontId="3"/>
  </si>
  <si>
    <t>m_goodsplanprogress</t>
    <phoneticPr fontId="3"/>
  </si>
  <si>
    <t>m_estimate</t>
    <phoneticPr fontId="3"/>
  </si>
  <si>
    <t>見積原価番号</t>
    <rPh sb="0" eb="2">
      <t>ミツモリ</t>
    </rPh>
    <rPh sb="2" eb="4">
      <t>ゲンカ</t>
    </rPh>
    <rPh sb="4" eb="6">
      <t>バンゴウ</t>
    </rPh>
    <phoneticPr fontId="1"/>
  </si>
  <si>
    <t>リビジョン番号</t>
    <rPh sb="5" eb="7">
      <t>バンゴウ</t>
    </rPh>
    <phoneticPr fontId="1"/>
  </si>
  <si>
    <t>決定フラグ</t>
    <rPh sb="0" eb="2">
      <t>ケッテイ</t>
    </rPh>
    <phoneticPr fontId="1"/>
  </si>
  <si>
    <t>部材費</t>
    <rPh sb="0" eb="2">
      <t>ブザイ</t>
    </rPh>
    <rPh sb="2" eb="3">
      <t>ヒ</t>
    </rPh>
    <phoneticPr fontId="1"/>
  </si>
  <si>
    <t>合計金額</t>
    <rPh sb="0" eb="2">
      <t>ゴウケイ</t>
    </rPh>
    <rPh sb="2" eb="4">
      <t>キンガク</t>
    </rPh>
    <phoneticPr fontId="1"/>
  </si>
  <si>
    <t>製造費</t>
    <rPh sb="0" eb="2">
      <t>セイゾウ</t>
    </rPh>
    <rPh sb="2" eb="3">
      <t>ヒ</t>
    </rPh>
    <phoneticPr fontId="1"/>
  </si>
  <si>
    <t>入力者</t>
    <rPh sb="0" eb="2">
      <t>ニュウリョク</t>
    </rPh>
    <rPh sb="2" eb="3">
      <t>シャ</t>
    </rPh>
    <phoneticPr fontId="1"/>
  </si>
  <si>
    <t>作成日時</t>
    <rPh sb="0" eb="2">
      <t>サクセイ</t>
    </rPh>
    <rPh sb="2" eb="4">
      <t>ニチジ</t>
    </rPh>
    <phoneticPr fontId="1"/>
  </si>
  <si>
    <t>製品数量</t>
    <rPh sb="0" eb="2">
      <t>セイヒン</t>
    </rPh>
    <rPh sb="2" eb="4">
      <t>スウリョウ</t>
    </rPh>
    <phoneticPr fontId="1"/>
  </si>
  <si>
    <t>テンポラリNo</t>
  </si>
  <si>
    <t>lngestimateno</t>
  </si>
  <si>
    <t>lngrevisionno</t>
  </si>
  <si>
    <t>strproductcode</t>
  </si>
  <si>
    <t>bytdecisionflag</t>
  </si>
  <si>
    <t>lngestimatestatuscode</t>
  </si>
  <si>
    <t>curfixedcost</t>
  </si>
  <si>
    <t>curmembercost</t>
  </si>
  <si>
    <t>curtotalprice</t>
  </si>
  <si>
    <t>curmanufacturingcost</t>
  </si>
  <si>
    <t>cursalesamount</t>
  </si>
  <si>
    <t>curprofit</t>
  </si>
  <si>
    <t>lnginputusercode</t>
  </si>
  <si>
    <t>lngproductionquantity</t>
  </si>
  <si>
    <t>lngtempno</t>
  </si>
  <si>
    <t>numeric(14,4)</t>
  </si>
  <si>
    <t xml:space="preserve">timestamp without time zone
</t>
  </si>
  <si>
    <t>見積原価マスタ</t>
    <phoneticPr fontId="3"/>
  </si>
  <si>
    <t>見積原価マスタ</t>
    <phoneticPr fontId="3"/>
  </si>
  <si>
    <t>m_estimatedefault</t>
    <phoneticPr fontId="3"/>
  </si>
  <si>
    <t>仕入先コード</t>
    <rPh sb="0" eb="2">
      <t>シイレ</t>
    </rPh>
    <rPh sb="2" eb="3">
      <t>サキ</t>
    </rPh>
    <phoneticPr fontId="1"/>
  </si>
  <si>
    <t>償却対象フラグ</t>
    <rPh sb="0" eb="2">
      <t>ショウキャク</t>
    </rPh>
    <rPh sb="2" eb="4">
      <t>タイショウ</t>
    </rPh>
    <phoneticPr fontId="1"/>
  </si>
  <si>
    <t>パーセント入力フラグ</t>
    <rPh sb="5" eb="7">
      <t>ニュウリョク</t>
    </rPh>
    <phoneticPr fontId="1"/>
  </si>
  <si>
    <t>通貨単位コード</t>
    <rPh sb="2" eb="4">
      <t>タンイ</t>
    </rPh>
    <phoneticPr fontId="1"/>
  </si>
  <si>
    <t>計画個数</t>
    <rPh sb="0" eb="2">
      <t>ケイカク</t>
    </rPh>
    <rPh sb="2" eb="4">
      <t>コスウ</t>
    </rPh>
    <phoneticPr fontId="1"/>
  </si>
  <si>
    <t>単価</t>
    <rPh sb="0" eb="2">
      <t>タンカ</t>
    </rPh>
    <phoneticPr fontId="1"/>
  </si>
  <si>
    <t>計画率</t>
  </si>
  <si>
    <t>計画原価</t>
  </si>
  <si>
    <t>適用開始日</t>
    <rPh sb="0" eb="2">
      <t>テキヨウ</t>
    </rPh>
    <rPh sb="2" eb="4">
      <t>カイシ</t>
    </rPh>
    <rPh sb="4" eb="5">
      <t>ビ</t>
    </rPh>
    <phoneticPr fontId="1"/>
  </si>
  <si>
    <t>適用終了日</t>
    <rPh sb="0" eb="2">
      <t>テキヨウ</t>
    </rPh>
    <rPh sb="2" eb="5">
      <t>シュウリョウビ</t>
    </rPh>
    <phoneticPr fontId="1"/>
  </si>
  <si>
    <t>lngstocksubjectcode</t>
  </si>
  <si>
    <t>lngstockitemcode</t>
  </si>
  <si>
    <t>lngcustomercompanycode</t>
  </si>
  <si>
    <t>bytpayofftargetflag</t>
  </si>
  <si>
    <t>bytpercentinputflag</t>
  </si>
  <si>
    <t>lngproductquantity</t>
  </si>
  <si>
    <t>curproductprice</t>
  </si>
  <si>
    <t>curproductrate</t>
  </si>
  <si>
    <t>cursubtotalprice</t>
  </si>
  <si>
    <t>numeric(15, 6)</t>
  </si>
  <si>
    <t>numeric(14, 4)</t>
  </si>
  <si>
    <t>デフォルト見積原価マスタ</t>
    <phoneticPr fontId="3"/>
  </si>
  <si>
    <t>デフォルト見積原価マスタ</t>
    <phoneticPr fontId="3"/>
  </si>
  <si>
    <t>m_estimatestandardrate</t>
    <phoneticPr fontId="3"/>
  </si>
  <si>
    <t>標準割合コード</t>
  </si>
  <si>
    <t>標準割合</t>
  </si>
  <si>
    <t>lngstandardratecode</t>
  </si>
  <si>
    <t>curstandardrate</t>
  </si>
  <si>
    <t>numeric(16, 6)</t>
  </si>
  <si>
    <t>見積標準割合マスタ</t>
    <phoneticPr fontId="3"/>
  </si>
  <si>
    <t>見積標準割合マスタ</t>
    <phoneticPr fontId="3"/>
  </si>
  <si>
    <t>m_estimatestatus</t>
    <phoneticPr fontId="3"/>
  </si>
  <si>
    <t>見積原価状態コード</t>
    <rPh sb="0" eb="2">
      <t>ミツモリ</t>
    </rPh>
    <rPh sb="2" eb="4">
      <t>ゲンカ</t>
    </rPh>
    <rPh sb="4" eb="6">
      <t>ジョウタイ</t>
    </rPh>
    <phoneticPr fontId="1"/>
  </si>
  <si>
    <t>見積原価状態名称</t>
    <rPh sb="0" eb="2">
      <t>ミツモリ</t>
    </rPh>
    <rPh sb="2" eb="4">
      <t>ゲンカ</t>
    </rPh>
    <rPh sb="4" eb="6">
      <t>ジョウタイ</t>
    </rPh>
    <rPh sb="6" eb="8">
      <t>メイショウ</t>
    </rPh>
    <phoneticPr fontId="1"/>
  </si>
  <si>
    <t>strestimatestatusname</t>
  </si>
  <si>
    <t>見積原価状態マスタ</t>
    <phoneticPr fontId="3"/>
  </si>
  <si>
    <t>見積原価状態マスタ</t>
    <phoneticPr fontId="3"/>
  </si>
  <si>
    <t>m_function</t>
    <phoneticPr fontId="3"/>
  </si>
  <si>
    <t>機能コード</t>
    <rPh sb="0" eb="2">
      <t>キノウ</t>
    </rPh>
    <phoneticPr fontId="1"/>
  </si>
  <si>
    <t>機能名称</t>
    <rPh sb="0" eb="2">
      <t>キノウ</t>
    </rPh>
    <rPh sb="2" eb="4">
      <t>メイショウ</t>
    </rPh>
    <phoneticPr fontId="1"/>
  </si>
  <si>
    <t>機能概要</t>
    <rPh sb="0" eb="2">
      <t>キノウ</t>
    </rPh>
    <rPh sb="2" eb="4">
      <t>ガイヨウ</t>
    </rPh>
    <phoneticPr fontId="1"/>
  </si>
  <si>
    <t>lngfunctioncode</t>
  </si>
  <si>
    <t>strfunctionname</t>
  </si>
  <si>
    <t>strfunctionoutline</t>
  </si>
  <si>
    <t>機能マスタ</t>
    <phoneticPr fontId="3"/>
  </si>
  <si>
    <t>機能マスタ</t>
    <phoneticPr fontId="3"/>
  </si>
  <si>
    <t>m_functionauthority</t>
    <phoneticPr fontId="3"/>
  </si>
  <si>
    <t>機能権限コード</t>
    <rPh sb="0" eb="2">
      <t>キノウ</t>
    </rPh>
    <rPh sb="2" eb="4">
      <t>ケンゲン</t>
    </rPh>
    <phoneticPr fontId="1"/>
  </si>
  <si>
    <t>機能グループコード</t>
    <rPh sb="0" eb="2">
      <t>キノウ</t>
    </rPh>
    <phoneticPr fontId="1"/>
  </si>
  <si>
    <t>ユーザーコード</t>
  </si>
  <si>
    <t>権限有無フラグ</t>
    <rPh sb="0" eb="2">
      <t>ケンゲン</t>
    </rPh>
    <rPh sb="2" eb="4">
      <t>ウム</t>
    </rPh>
    <phoneticPr fontId="1"/>
  </si>
  <si>
    <t>lngfunctionauthoritycode</t>
  </si>
  <si>
    <t>lngfunctiongroupcode</t>
  </si>
  <si>
    <t>lngusercode</t>
  </si>
  <si>
    <t>bytauthorityflag</t>
  </si>
  <si>
    <t>機能権限マスタ</t>
    <phoneticPr fontId="3"/>
  </si>
  <si>
    <t>機能権限マスタ</t>
    <phoneticPr fontId="3"/>
  </si>
  <si>
    <t>m_group</t>
    <phoneticPr fontId="3"/>
  </si>
  <si>
    <t>グループ名称</t>
    <rPh sb="4" eb="6">
      <t>メイショウ</t>
    </rPh>
    <phoneticPr fontId="1"/>
  </si>
  <si>
    <t>strgroupname</t>
  </si>
  <si>
    <t>bytgroupdisplayflag</t>
  </si>
  <si>
    <t>strgroupdisplaycode</t>
  </si>
  <si>
    <t>strgroupdisplayname</t>
  </si>
  <si>
    <t>strgroupdisplaycolor</t>
  </si>
  <si>
    <t>グループマスタ</t>
    <phoneticPr fontId="3"/>
  </si>
  <si>
    <t>グループマスタ</t>
    <phoneticPr fontId="3"/>
  </si>
  <si>
    <t>m_grouprelation</t>
    <phoneticPr fontId="3"/>
  </si>
  <si>
    <t>グループ関連コード</t>
    <rPh sb="4" eb="6">
      <t>カンレン</t>
    </rPh>
    <phoneticPr fontId="1"/>
  </si>
  <si>
    <t>ユーザコード</t>
  </si>
  <si>
    <t>デフォルト値フラグ</t>
    <rPh sb="5" eb="6">
      <t>チ</t>
    </rPh>
    <phoneticPr fontId="1"/>
  </si>
  <si>
    <t>lnggrouprelationcode</t>
  </si>
  <si>
    <t>bytdefaultflag</t>
  </si>
  <si>
    <t>グループ関連マスタ</t>
    <phoneticPr fontId="3"/>
  </si>
  <si>
    <t>グループ関連マスタ</t>
    <phoneticPr fontId="3"/>
  </si>
  <si>
    <t>m_imagerelation</t>
    <phoneticPr fontId="3"/>
  </si>
  <si>
    <t>イメージ関連コード</t>
    <rPh sb="4" eb="6">
      <t>カンレン</t>
    </rPh>
    <phoneticPr fontId="1"/>
  </si>
  <si>
    <t>イメージコード</t>
  </si>
  <si>
    <t>イメージキーコード</t>
  </si>
  <si>
    <t>lngimagerelationcode</t>
  </si>
  <si>
    <t>lngimagecode</t>
  </si>
  <si>
    <t>strimagekeycode</t>
  </si>
  <si>
    <t>イメージ関連マスタ</t>
    <phoneticPr fontId="3"/>
  </si>
  <si>
    <t>イメージ関連マスタ</t>
    <phoneticPr fontId="3"/>
  </si>
  <si>
    <t>m_mailform</t>
    <phoneticPr fontId="3"/>
  </si>
  <si>
    <t>メール雛型コード</t>
    <rPh sb="3" eb="5">
      <t>ヒナガタ</t>
    </rPh>
    <phoneticPr fontId="1"/>
  </si>
  <si>
    <t>メール雛型名称</t>
    <rPh sb="3" eb="5">
      <t>ヒナガタ</t>
    </rPh>
    <rPh sb="5" eb="7">
      <t>メイショウ</t>
    </rPh>
    <phoneticPr fontId="1"/>
  </si>
  <si>
    <t>メールタイトル</t>
  </si>
  <si>
    <t>メール本文</t>
    <rPh sb="3" eb="5">
      <t>ホンブン</t>
    </rPh>
    <phoneticPr fontId="1"/>
  </si>
  <si>
    <t>lngmailformcode</t>
  </si>
  <si>
    <t>strmailformname</t>
  </si>
  <si>
    <t>strsubject</t>
  </si>
  <si>
    <t>strbody</t>
  </si>
  <si>
    <t>メール雛型マスタ</t>
    <phoneticPr fontId="3"/>
  </si>
  <si>
    <t>メール雛型マスタ</t>
    <phoneticPr fontId="3"/>
  </si>
  <si>
    <t>メッセージコード</t>
  </si>
  <si>
    <t>メッセージ内容</t>
    <rPh sb="5" eb="7">
      <t>ナイヨウ</t>
    </rPh>
    <phoneticPr fontId="1"/>
  </si>
  <si>
    <t>メッセージ内容英語版</t>
    <rPh sb="5" eb="7">
      <t>ナイヨウ</t>
    </rPh>
    <rPh sb="7" eb="9">
      <t>エイゴ</t>
    </rPh>
    <rPh sb="9" eb="10">
      <t>バン</t>
    </rPh>
    <phoneticPr fontId="1"/>
  </si>
  <si>
    <t>lngmessagecode</t>
  </si>
  <si>
    <t>strmessagecontent</t>
  </si>
  <si>
    <t>strmessagecontentenglish</t>
  </si>
  <si>
    <t>m_message</t>
    <phoneticPr fontId="3"/>
  </si>
  <si>
    <t>メッセージマスタ</t>
    <phoneticPr fontId="3"/>
  </si>
  <si>
    <t>メッセージマスタ</t>
    <phoneticPr fontId="3"/>
  </si>
  <si>
    <t>m_mold</t>
    <phoneticPr fontId="3"/>
  </si>
  <si>
    <t>金型番号</t>
    <rPh sb="0" eb="2">
      <t>カナガタ</t>
    </rPh>
    <rPh sb="2" eb="4">
      <t>バンゴウ</t>
    </rPh>
    <phoneticPr fontId="1"/>
  </si>
  <si>
    <t>仕入元コード</t>
    <rPh sb="0" eb="2">
      <t>シイレ</t>
    </rPh>
    <rPh sb="2" eb="3">
      <t>モト</t>
    </rPh>
    <phoneticPr fontId="1"/>
  </si>
  <si>
    <t>作成日</t>
    <rPh sb="0" eb="2">
      <t>サクセイ</t>
    </rPh>
    <rPh sb="2" eb="3">
      <t>ビ</t>
    </rPh>
    <phoneticPr fontId="1"/>
  </si>
  <si>
    <t>作成者</t>
    <rPh sb="0" eb="3">
      <t>サクセイシャ</t>
    </rPh>
    <phoneticPr fontId="1"/>
  </si>
  <si>
    <t>更新日</t>
    <rPh sb="0" eb="3">
      <t>コウシンビ</t>
    </rPh>
    <phoneticPr fontId="1"/>
  </si>
  <si>
    <t>moldno</t>
  </si>
  <si>
    <t>vendercode</t>
  </si>
  <si>
    <t>productcode</t>
  </si>
  <si>
    <t>created</t>
  </si>
  <si>
    <t>createby</t>
  </si>
  <si>
    <t>updated</t>
  </si>
  <si>
    <t>updateby</t>
  </si>
  <si>
    <t>version</t>
  </si>
  <si>
    <t>deleteflag</t>
  </si>
  <si>
    <t/>
  </si>
  <si>
    <t>99999</t>
  </si>
  <si>
    <t>0</t>
  </si>
  <si>
    <t>金型マスタ</t>
  </si>
  <si>
    <t>金型マスタ</t>
    <phoneticPr fontId="3"/>
  </si>
  <si>
    <t>m_moldreport</t>
    <phoneticPr fontId="3"/>
  </si>
  <si>
    <t>金型帳票ID</t>
    <rPh sb="0" eb="2">
      <t>カナガタ</t>
    </rPh>
    <rPh sb="2" eb="4">
      <t>チョウヒョウ</t>
    </rPh>
    <phoneticPr fontId="1"/>
  </si>
  <si>
    <t>帳票区分</t>
    <rPh sb="0" eb="2">
      <t>チョウヒョウ</t>
    </rPh>
    <rPh sb="2" eb="4">
      <t>クブン</t>
    </rPh>
    <phoneticPr fontId="1"/>
  </si>
  <si>
    <t>帳票ステータス</t>
    <rPh sb="0" eb="2">
      <t>チョウヒョウ</t>
    </rPh>
    <phoneticPr fontId="1"/>
  </si>
  <si>
    <t>依頼日</t>
    <rPh sb="0" eb="3">
      <t>イライビ</t>
    </rPh>
    <phoneticPr fontId="1"/>
  </si>
  <si>
    <t>TO</t>
  </si>
  <si>
    <t>ATTN</t>
  </si>
  <si>
    <t>CC</t>
  </si>
  <si>
    <t>顧客品番（商品コード）</t>
    <rPh sb="0" eb="2">
      <t>コキャク</t>
    </rPh>
    <rPh sb="2" eb="4">
      <t>シナバン</t>
    </rPh>
    <rPh sb="5" eb="7">
      <t>ショウヒン</t>
    </rPh>
    <phoneticPr fontId="1"/>
  </si>
  <si>
    <t>依頼区分</t>
    <rPh sb="0" eb="2">
      <t>イライ</t>
    </rPh>
    <rPh sb="2" eb="4">
      <t>クブン</t>
    </rPh>
    <phoneticPr fontId="1"/>
  </si>
  <si>
    <t>希望日</t>
    <rPh sb="0" eb="2">
      <t>キボウ</t>
    </rPh>
    <rPh sb="2" eb="3">
      <t>ビ</t>
    </rPh>
    <phoneticPr fontId="1"/>
  </si>
  <si>
    <t>実施日</t>
    <rPh sb="0" eb="3">
      <t>ジッシビ</t>
    </rPh>
    <phoneticPr fontId="1"/>
  </si>
  <si>
    <t>移動方法</t>
    <rPh sb="0" eb="2">
      <t>イドウ</t>
    </rPh>
    <rPh sb="2" eb="4">
      <t>ホウホウ</t>
    </rPh>
    <phoneticPr fontId="1"/>
  </si>
  <si>
    <t>保管工場</t>
    <rPh sb="0" eb="2">
      <t>ホカン</t>
    </rPh>
    <rPh sb="2" eb="4">
      <t>コウジョウ</t>
    </rPh>
    <phoneticPr fontId="1"/>
  </si>
  <si>
    <t>移動先工場</t>
    <rPh sb="0" eb="2">
      <t>イドウ</t>
    </rPh>
    <rPh sb="2" eb="3">
      <t>サキ</t>
    </rPh>
    <rPh sb="3" eb="5">
      <t>コウジョウ</t>
    </rPh>
    <phoneticPr fontId="1"/>
  </si>
  <si>
    <t>指示区分</t>
    <rPh sb="0" eb="2">
      <t>シジ</t>
    </rPh>
    <rPh sb="2" eb="4">
      <t>クブン</t>
    </rPh>
    <phoneticPr fontId="1"/>
  </si>
  <si>
    <t>事業部</t>
    <rPh sb="0" eb="2">
      <t>ジギョウ</t>
    </rPh>
    <rPh sb="2" eb="3">
      <t>ブ</t>
    </rPh>
    <phoneticPr fontId="1"/>
  </si>
  <si>
    <t>KWG部署</t>
    <rPh sb="3" eb="5">
      <t>ブショ</t>
    </rPh>
    <phoneticPr fontId="1"/>
  </si>
  <si>
    <t>KWG部署担当者</t>
    <rPh sb="3" eb="5">
      <t>ブショ</t>
    </rPh>
    <rPh sb="5" eb="8">
      <t>タントウシャ</t>
    </rPh>
    <phoneticPr fontId="1"/>
  </si>
  <si>
    <t>その他</t>
    <rPh sb="2" eb="3">
      <t>タ</t>
    </rPh>
    <phoneticPr fontId="1"/>
  </si>
  <si>
    <t>生産後の処理</t>
    <rPh sb="0" eb="2">
      <t>セイサン</t>
    </rPh>
    <rPh sb="2" eb="3">
      <t>ゴ</t>
    </rPh>
    <rPh sb="4" eb="6">
      <t>ショリ</t>
    </rPh>
    <phoneticPr fontId="1"/>
  </si>
  <si>
    <t>返却予定日</t>
    <rPh sb="0" eb="2">
      <t>ヘンキャク</t>
    </rPh>
    <rPh sb="2" eb="5">
      <t>ヨテイビ</t>
    </rPh>
    <phoneticPr fontId="1"/>
  </si>
  <si>
    <t>欄外備考</t>
    <rPh sb="0" eb="2">
      <t>ランガイ</t>
    </rPh>
    <rPh sb="2" eb="4">
      <t>ビコウ</t>
    </rPh>
    <phoneticPr fontId="1"/>
  </si>
  <si>
    <t>印刷済フラグ</t>
    <rPh sb="0" eb="2">
      <t>インサツ</t>
    </rPh>
    <rPh sb="2" eb="3">
      <t>スミ</t>
    </rPh>
    <phoneticPr fontId="1"/>
  </si>
  <si>
    <t>moldreportid</t>
  </si>
  <si>
    <t>revision</t>
  </si>
  <si>
    <t>reportcategory</t>
  </si>
  <si>
    <t>status</t>
  </si>
  <si>
    <t>requestdate</t>
  </si>
  <si>
    <t>sendto</t>
  </si>
  <si>
    <t>attention</t>
  </si>
  <si>
    <t>carboncopy</t>
  </si>
  <si>
    <t>goodscode</t>
  </si>
  <si>
    <t>requestcategory</t>
  </si>
  <si>
    <t>actionrequestdate</t>
  </si>
  <si>
    <t>actiondate</t>
  </si>
  <si>
    <t>transfermethod</t>
  </si>
  <si>
    <t>sourcefactory</t>
  </si>
  <si>
    <t>destinationfactory</t>
  </si>
  <si>
    <t>instructioncategory</t>
  </si>
  <si>
    <t>customercode</t>
  </si>
  <si>
    <t>kuwagatagroupcode</t>
  </si>
  <si>
    <t>kuwagatausercode</t>
  </si>
  <si>
    <t>note</t>
  </si>
  <si>
    <t>finalkeep</t>
  </si>
  <si>
    <t>returnschedule</t>
  </si>
  <si>
    <t>marginalnote</t>
  </si>
  <si>
    <t>printed</t>
  </si>
  <si>
    <t>character(2)</t>
  </si>
  <si>
    <t>金型帳票マスタ</t>
    <phoneticPr fontId="3"/>
  </si>
  <si>
    <t>金型帳票マスタ</t>
    <phoneticPr fontId="3"/>
  </si>
  <si>
    <t>m_moldreport</t>
    <phoneticPr fontId="3"/>
  </si>
  <si>
    <t>m_monetaryrate</t>
    <phoneticPr fontId="3"/>
  </si>
  <si>
    <t>通貨レートコード</t>
    <rPh sb="0" eb="2">
      <t>ツウカ</t>
    </rPh>
    <phoneticPr fontId="1"/>
  </si>
  <si>
    <t>通貨単位コード</t>
    <rPh sb="0" eb="2">
      <t>ツウカ</t>
    </rPh>
    <rPh sb="2" eb="4">
      <t>タンイ</t>
    </rPh>
    <phoneticPr fontId="1"/>
  </si>
  <si>
    <t>換算レート</t>
    <rPh sb="0" eb="2">
      <t>カンサン</t>
    </rPh>
    <phoneticPr fontId="1"/>
  </si>
  <si>
    <t>適用開始月</t>
    <rPh sb="0" eb="2">
      <t>テキヨウ</t>
    </rPh>
    <rPh sb="2" eb="4">
      <t>カイシ</t>
    </rPh>
    <rPh sb="4" eb="5">
      <t>ツキ</t>
    </rPh>
    <phoneticPr fontId="1"/>
  </si>
  <si>
    <t>適用終了月</t>
    <rPh sb="0" eb="2">
      <t>テキヨウ</t>
    </rPh>
    <rPh sb="2" eb="4">
      <t>シュウリョウ</t>
    </rPh>
    <rPh sb="4" eb="5">
      <t>ツキ</t>
    </rPh>
    <phoneticPr fontId="1"/>
  </si>
  <si>
    <t>通貨レートマスタ</t>
    <phoneticPr fontId="3"/>
  </si>
  <si>
    <t>m_monetaryrateclass</t>
    <phoneticPr fontId="3"/>
  </si>
  <si>
    <t>通貨レート名称</t>
    <rPh sb="0" eb="2">
      <t>ツウカ</t>
    </rPh>
    <rPh sb="5" eb="7">
      <t>メイショウ</t>
    </rPh>
    <phoneticPr fontId="1"/>
  </si>
  <si>
    <t>strmonetaryratename</t>
  </si>
  <si>
    <t>通貨レート区分マスタ</t>
  </si>
  <si>
    <t>通貨レート区分マスタ</t>
    <phoneticPr fontId="3"/>
  </si>
  <si>
    <t>m_monetaryunit</t>
    <phoneticPr fontId="3"/>
  </si>
  <si>
    <t>通貨単位名称</t>
    <rPh sb="0" eb="2">
      <t>ツウカ</t>
    </rPh>
    <rPh sb="2" eb="4">
      <t>タンイ</t>
    </rPh>
    <rPh sb="4" eb="6">
      <t>メイショウ</t>
    </rPh>
    <phoneticPr fontId="1"/>
  </si>
  <si>
    <t>通貨単位記号</t>
    <rPh sb="0" eb="2">
      <t>ツウカ</t>
    </rPh>
    <rPh sb="2" eb="4">
      <t>タンイ</t>
    </rPh>
    <rPh sb="4" eb="6">
      <t>キゴウ</t>
    </rPh>
    <phoneticPr fontId="1"/>
  </si>
  <si>
    <t>strmonetaryunitname</t>
  </si>
  <si>
    <t>strmonetaryunitsign</t>
  </si>
  <si>
    <t>通貨単位マスタ</t>
  </si>
  <si>
    <t>通貨単位マスタ</t>
    <phoneticPr fontId="3"/>
  </si>
  <si>
    <t>m_order</t>
    <phoneticPr fontId="3"/>
  </si>
  <si>
    <t>発注番号</t>
    <rPh sb="0" eb="2">
      <t>ハッチュウ</t>
    </rPh>
    <rPh sb="2" eb="4">
      <t>バンゴウ</t>
    </rPh>
    <phoneticPr fontId="1"/>
  </si>
  <si>
    <t>発注コード</t>
    <rPh sb="0" eb="2">
      <t>ハッチュウ</t>
    </rPh>
    <phoneticPr fontId="1"/>
  </si>
  <si>
    <t>計上日</t>
    <rPh sb="0" eb="3">
      <t>ケイジョウビ</t>
    </rPh>
    <phoneticPr fontId="1"/>
  </si>
  <si>
    <t>会社コード（仕入先）</t>
    <rPh sb="0" eb="2">
      <t>カイシャ</t>
    </rPh>
    <rPh sb="6" eb="8">
      <t>シイレ</t>
    </rPh>
    <rPh sb="8" eb="9">
      <t>サキ</t>
    </rPh>
    <phoneticPr fontId="1"/>
  </si>
  <si>
    <t>グループコード（部門）</t>
    <rPh sb="8" eb="10">
      <t>ブモン</t>
    </rPh>
    <phoneticPr fontId="1"/>
  </si>
  <si>
    <t>ユーザコード（担当者）</t>
    <rPh sb="7" eb="9">
      <t>タントウ</t>
    </rPh>
    <rPh sb="9" eb="10">
      <t>シャ</t>
    </rPh>
    <phoneticPr fontId="1"/>
  </si>
  <si>
    <t>支払条件コード</t>
    <rPh sb="0" eb="2">
      <t>シハラ</t>
    </rPh>
    <rPh sb="2" eb="4">
      <t>ジョウケン</t>
    </rPh>
    <phoneticPr fontId="1"/>
  </si>
  <si>
    <t>納品場所コード</t>
    <rPh sb="0" eb="2">
      <t>ノウヒン</t>
    </rPh>
    <rPh sb="2" eb="4">
      <t>バショ</t>
    </rPh>
    <phoneticPr fontId="1"/>
  </si>
  <si>
    <t>発注有効期限日</t>
    <rPh sb="0" eb="2">
      <t>ハッチュウ</t>
    </rPh>
    <rPh sb="2" eb="4">
      <t>ユウコウ</t>
    </rPh>
    <rPh sb="4" eb="6">
      <t>キゲン</t>
    </rPh>
    <rPh sb="6" eb="7">
      <t>ビ</t>
    </rPh>
    <phoneticPr fontId="1"/>
  </si>
  <si>
    <t>入力者コード</t>
    <rPh sb="0" eb="2">
      <t>ニュウリョク</t>
    </rPh>
    <rPh sb="2" eb="3">
      <t>シャ</t>
    </rPh>
    <phoneticPr fontId="1"/>
  </si>
  <si>
    <t>lngorderno</t>
  </si>
  <si>
    <t>strordercode</t>
  </si>
  <si>
    <t>strrevisecode</t>
  </si>
  <si>
    <t>dtmappropriationdate</t>
  </si>
  <si>
    <t>lngorderstatuscode</t>
  </si>
  <si>
    <t>lngpayconditioncode</t>
  </si>
  <si>
    <t>lngdeliveryplacecode</t>
  </si>
  <si>
    <t>dtmexpirationdate</t>
  </si>
  <si>
    <t>発注マスタ</t>
  </si>
  <si>
    <t>発注マスタ</t>
    <phoneticPr fontId="3"/>
  </si>
  <si>
    <t>m_orderstatus</t>
    <phoneticPr fontId="3"/>
  </si>
  <si>
    <t>発注状態コード</t>
    <rPh sb="0" eb="2">
      <t>ハッチュウ</t>
    </rPh>
    <rPh sb="2" eb="4">
      <t>ジョウタイ</t>
    </rPh>
    <phoneticPr fontId="1"/>
  </si>
  <si>
    <t>発注状態名称</t>
    <rPh sb="0" eb="2">
      <t>ハッチュウ</t>
    </rPh>
    <rPh sb="2" eb="4">
      <t>ジョウタイ</t>
    </rPh>
    <rPh sb="4" eb="6">
      <t>メイショウ</t>
    </rPh>
    <phoneticPr fontId="1"/>
  </si>
  <si>
    <t>strorderstatusname</t>
  </si>
  <si>
    <t>発注状態マスタ</t>
  </si>
  <si>
    <t>発注状態マスタ</t>
    <phoneticPr fontId="3"/>
  </si>
  <si>
    <t>m_organization</t>
    <phoneticPr fontId="3"/>
  </si>
  <si>
    <t>組織名称</t>
    <rPh sb="0" eb="2">
      <t>ソシキ</t>
    </rPh>
    <rPh sb="2" eb="4">
      <t>メイショウ</t>
    </rPh>
    <phoneticPr fontId="1"/>
  </si>
  <si>
    <t>strorganizationname</t>
  </si>
  <si>
    <t>組織マスタ</t>
  </si>
  <si>
    <t>m_paycondition</t>
    <phoneticPr fontId="3"/>
  </si>
  <si>
    <t>支払条件コード</t>
    <rPh sb="0" eb="2">
      <t>シハライ</t>
    </rPh>
    <rPh sb="2" eb="4">
      <t>ジョウケン</t>
    </rPh>
    <phoneticPr fontId="1"/>
  </si>
  <si>
    <t>支払条件名称</t>
    <rPh sb="0" eb="2">
      <t>シハライ</t>
    </rPh>
    <rPh sb="2" eb="4">
      <t>ジョウケン</t>
    </rPh>
    <rPh sb="4" eb="6">
      <t>メイショウ</t>
    </rPh>
    <phoneticPr fontId="1"/>
  </si>
  <si>
    <t>strpayconditionname</t>
  </si>
  <si>
    <t>支払条件マスタ</t>
  </si>
  <si>
    <t>m_product</t>
    <phoneticPr fontId="3"/>
  </si>
  <si>
    <t>製品番号</t>
    <rPh sb="0" eb="2">
      <t>セイヒン</t>
    </rPh>
    <rPh sb="2" eb="4">
      <t>バンゴウ</t>
    </rPh>
    <phoneticPr fontId="1"/>
  </si>
  <si>
    <t>製品名称</t>
    <rPh sb="0" eb="2">
      <t>セイヒン</t>
    </rPh>
    <rPh sb="2" eb="4">
      <t>メイショウ</t>
    </rPh>
    <phoneticPr fontId="1"/>
  </si>
  <si>
    <t>製品名称（英語）</t>
    <rPh sb="0" eb="2">
      <t>セイヒン</t>
    </rPh>
    <rPh sb="2" eb="4">
      <t>メイショウ</t>
    </rPh>
    <rPh sb="5" eb="7">
      <t>エイゴ</t>
    </rPh>
    <phoneticPr fontId="1"/>
  </si>
  <si>
    <t>商品コード</t>
    <rPh sb="0" eb="2">
      <t>ショウヒン</t>
    </rPh>
    <phoneticPr fontId="1"/>
  </si>
  <si>
    <t>商品名称</t>
    <rPh sb="0" eb="2">
      <t>ショウヒン</t>
    </rPh>
    <rPh sb="2" eb="4">
      <t>メイショウ</t>
    </rPh>
    <phoneticPr fontId="1"/>
  </si>
  <si>
    <t>部門コード</t>
    <rPh sb="0" eb="2">
      <t>ブモン</t>
    </rPh>
    <phoneticPr fontId="1"/>
  </si>
  <si>
    <t>担当者コード</t>
    <rPh sb="0" eb="3">
      <t>タントウシャ</t>
    </rPh>
    <phoneticPr fontId="1"/>
  </si>
  <si>
    <t>顧客担当者コード</t>
    <rPh sb="0" eb="2">
      <t>コキャク</t>
    </rPh>
    <rPh sb="2" eb="5">
      <t>タントウシャ</t>
    </rPh>
    <phoneticPr fontId="1"/>
  </si>
  <si>
    <t>顧客担当者</t>
    <rPh sb="0" eb="2">
      <t>コキャク</t>
    </rPh>
    <rPh sb="2" eb="5">
      <t>タントウシャ</t>
    </rPh>
    <phoneticPr fontId="1"/>
  </si>
  <si>
    <t>荷姿単位</t>
    <rPh sb="0" eb="2">
      <t>ニスガタ</t>
    </rPh>
    <rPh sb="2" eb="4">
      <t>タンイ</t>
    </rPh>
    <phoneticPr fontId="1"/>
  </si>
  <si>
    <t>製品単位</t>
    <rPh sb="0" eb="2">
      <t>セイヒン</t>
    </rPh>
    <rPh sb="2" eb="4">
      <t>タンイ</t>
    </rPh>
    <phoneticPr fontId="1"/>
  </si>
  <si>
    <t>内箱（袋）入数</t>
    <rPh sb="0" eb="2">
      <t>ウチバコ</t>
    </rPh>
    <rPh sb="3" eb="4">
      <t>ブクロ</t>
    </rPh>
    <rPh sb="5" eb="7">
      <t>イリスウ</t>
    </rPh>
    <phoneticPr fontId="1"/>
  </si>
  <si>
    <t>カートン入数</t>
    <rPh sb="4" eb="5">
      <t>イ</t>
    </rPh>
    <rPh sb="5" eb="6">
      <t>スウ</t>
    </rPh>
    <phoneticPr fontId="1"/>
  </si>
  <si>
    <t>生産予定数</t>
    <rPh sb="0" eb="2">
      <t>セイサン</t>
    </rPh>
    <rPh sb="2" eb="4">
      <t>ヨテイ</t>
    </rPh>
    <rPh sb="4" eb="5">
      <t>スウ</t>
    </rPh>
    <phoneticPr fontId="1"/>
  </si>
  <si>
    <t>生産予定数の単位</t>
    <rPh sb="0" eb="2">
      <t>セイサン</t>
    </rPh>
    <rPh sb="2" eb="4">
      <t>ヨテイ</t>
    </rPh>
    <rPh sb="4" eb="5">
      <t>スウ</t>
    </rPh>
    <rPh sb="6" eb="8">
      <t>タンイ</t>
    </rPh>
    <phoneticPr fontId="1"/>
  </si>
  <si>
    <t>初回納品数</t>
    <rPh sb="0" eb="2">
      <t>ショカイ</t>
    </rPh>
    <rPh sb="2" eb="5">
      <t>ノウヒンスウ</t>
    </rPh>
    <phoneticPr fontId="1"/>
  </si>
  <si>
    <t>初回納品数の単位</t>
    <rPh sb="0" eb="2">
      <t>ショカイ</t>
    </rPh>
    <rPh sb="2" eb="4">
      <t>ノウヒン</t>
    </rPh>
    <rPh sb="4" eb="5">
      <t>スウ</t>
    </rPh>
    <rPh sb="6" eb="8">
      <t>タンイ</t>
    </rPh>
    <phoneticPr fontId="1"/>
  </si>
  <si>
    <t>生産工場</t>
    <rPh sb="0" eb="2">
      <t>セイサン</t>
    </rPh>
    <rPh sb="2" eb="4">
      <t>コウジョウ</t>
    </rPh>
    <phoneticPr fontId="1"/>
  </si>
  <si>
    <t>アッセンブリ工場</t>
    <rPh sb="6" eb="8">
      <t>コウジョウ</t>
    </rPh>
    <phoneticPr fontId="1"/>
  </si>
  <si>
    <t>納品場所</t>
    <rPh sb="0" eb="2">
      <t>ノウヒン</t>
    </rPh>
    <rPh sb="2" eb="4">
      <t>バショ</t>
    </rPh>
    <phoneticPr fontId="1"/>
  </si>
  <si>
    <t>納品期限日</t>
    <rPh sb="0" eb="2">
      <t>ノウヒン</t>
    </rPh>
    <rPh sb="2" eb="5">
      <t>キゲンビ</t>
    </rPh>
    <phoneticPr fontId="1"/>
  </si>
  <si>
    <t>納価(pcs)</t>
  </si>
  <si>
    <t>上代(pcs)</t>
  </si>
  <si>
    <t>対象年齢</t>
    <rPh sb="0" eb="2">
      <t>タイショウ</t>
    </rPh>
    <rPh sb="2" eb="4">
      <t>ネンレイ</t>
    </rPh>
    <phoneticPr fontId="1"/>
  </si>
  <si>
    <t>ロイヤルティ</t>
  </si>
  <si>
    <t>証紙</t>
    <rPh sb="0" eb="2">
      <t>ショウシ</t>
    </rPh>
    <phoneticPr fontId="1"/>
  </si>
  <si>
    <t>版権元</t>
    <rPh sb="0" eb="2">
      <t>ハンケン</t>
    </rPh>
    <rPh sb="2" eb="3">
      <t>モト</t>
    </rPh>
    <phoneticPr fontId="1"/>
  </si>
  <si>
    <t>版権表示（刻印)</t>
    <rPh sb="0" eb="2">
      <t>ハンケン</t>
    </rPh>
    <rPh sb="2" eb="4">
      <t>ヒョウジ</t>
    </rPh>
    <phoneticPr fontId="1"/>
  </si>
  <si>
    <t>版権表示(印刷物)</t>
  </si>
  <si>
    <t>商品形態</t>
  </si>
  <si>
    <t>製品構成</t>
    <rPh sb="0" eb="2">
      <t>セイヒン</t>
    </rPh>
    <rPh sb="2" eb="4">
      <t>コウセイ</t>
    </rPh>
    <phoneticPr fontId="1"/>
  </si>
  <si>
    <t>アッセンブリ内容</t>
    <rPh sb="6" eb="8">
      <t>ナイヨウ</t>
    </rPh>
    <phoneticPr fontId="1"/>
  </si>
  <si>
    <t>仕様詳細</t>
    <rPh sb="0" eb="2">
      <t>シヨウ</t>
    </rPh>
    <rPh sb="2" eb="4">
      <t>ショウサイ</t>
    </rPh>
    <phoneticPr fontId="1"/>
  </si>
  <si>
    <t>改訂日時</t>
    <rPh sb="0" eb="2">
      <t>カイテイ</t>
    </rPh>
    <rPh sb="2" eb="4">
      <t>ニチジ</t>
    </rPh>
    <phoneticPr fontId="1"/>
  </si>
  <si>
    <t>版権元備考</t>
    <rPh sb="0" eb="1">
      <t>バン</t>
    </rPh>
    <rPh sb="1" eb="2">
      <t>ケン</t>
    </rPh>
    <rPh sb="2" eb="3">
      <t>モト</t>
    </rPh>
    <rPh sb="3" eb="5">
      <t>ビコウ</t>
    </rPh>
    <phoneticPr fontId="1"/>
  </si>
  <si>
    <t>lngproductno</t>
  </si>
  <si>
    <t>strproductname</t>
  </si>
  <si>
    <t>strproductenglishname</t>
  </si>
  <si>
    <t>strgoodscode</t>
  </si>
  <si>
    <t>strgoodsname</t>
  </si>
  <si>
    <t>lnginchargegroupcode</t>
  </si>
  <si>
    <t>lnginchargeusercode</t>
  </si>
  <si>
    <t>lngcustomergroupcode</t>
  </si>
  <si>
    <t>lngcustomerusercode</t>
  </si>
  <si>
    <t>strcustomerusername</t>
  </si>
  <si>
    <t>lngpackingunitcode</t>
  </si>
  <si>
    <t>lngproductunitcode</t>
  </si>
  <si>
    <t>lngboxquantity</t>
  </si>
  <si>
    <t>lngproductionunitcode</t>
  </si>
  <si>
    <t>lngfirstdeliveryquantity</t>
  </si>
  <si>
    <t>lngfirstdeliveryunitcode</t>
  </si>
  <si>
    <t>lngfactorycode</t>
  </si>
  <si>
    <t>lngassemblyfactorycode</t>
  </si>
  <si>
    <t>dtmdeliverylimitdate</t>
  </si>
  <si>
    <t>curretailprice</t>
  </si>
  <si>
    <t>lngtargetagecode</t>
  </si>
  <si>
    <t>lngroyalty</t>
  </si>
  <si>
    <t>strcopyrightdisplaystamp</t>
  </si>
  <si>
    <t>strcopyrightdisplayprint</t>
  </si>
  <si>
    <t>lngproductformcode</t>
  </si>
  <si>
    <t>strproductcomposition</t>
  </si>
  <si>
    <t>strassemblycontents</t>
  </si>
  <si>
    <t>strspecificationdetails</t>
  </si>
  <si>
    <t>strcopyrightnote</t>
  </si>
  <si>
    <t>製品マスタ</t>
  </si>
  <si>
    <t>m_productform</t>
    <phoneticPr fontId="3"/>
  </si>
  <si>
    <t>商品形態コード</t>
    <rPh sb="0" eb="2">
      <t>ショウヒン</t>
    </rPh>
    <rPh sb="2" eb="4">
      <t>ケイタイ</t>
    </rPh>
    <phoneticPr fontId="1"/>
  </si>
  <si>
    <t>商品形態名称</t>
    <rPh sb="0" eb="2">
      <t>ショウヒン</t>
    </rPh>
    <rPh sb="2" eb="4">
      <t>ケイタイ</t>
    </rPh>
    <rPh sb="4" eb="6">
      <t>メイショウ</t>
    </rPh>
    <phoneticPr fontId="1"/>
  </si>
  <si>
    <t>strproductformname</t>
  </si>
  <si>
    <t>商品形態マスタ</t>
  </si>
  <si>
    <t>m_productprice</t>
    <phoneticPr fontId="3"/>
  </si>
  <si>
    <t>製品価格コード</t>
    <rPh sb="0" eb="2">
      <t>セイヒン</t>
    </rPh>
    <rPh sb="2" eb="4">
      <t>カカク</t>
    </rPh>
    <phoneticPr fontId="1"/>
  </si>
  <si>
    <t>売上区分コード</t>
    <rPh sb="0" eb="2">
      <t>ウリアゲ</t>
    </rPh>
    <rPh sb="2" eb="4">
      <t>クブン</t>
    </rPh>
    <phoneticPr fontId="1"/>
  </si>
  <si>
    <t>製品価格</t>
    <rPh sb="0" eb="2">
      <t>セイヒン</t>
    </rPh>
    <rPh sb="2" eb="4">
      <t>カカク</t>
    </rPh>
    <phoneticPr fontId="1"/>
  </si>
  <si>
    <t>lngproductpricecode</t>
  </si>
  <si>
    <t>lngsalesclasscode</t>
  </si>
  <si>
    <t>製品価格マスタ</t>
  </si>
  <si>
    <t>製品価格マスタ</t>
    <phoneticPr fontId="3"/>
  </si>
  <si>
    <t>m_productunit</t>
    <phoneticPr fontId="3"/>
  </si>
  <si>
    <t>製品単位名称</t>
    <rPh sb="0" eb="2">
      <t>セイヒン</t>
    </rPh>
    <rPh sb="2" eb="4">
      <t>タンイ</t>
    </rPh>
    <rPh sb="4" eb="6">
      <t>メイショウ</t>
    </rPh>
    <phoneticPr fontId="1"/>
  </si>
  <si>
    <t>製品換算フラグ</t>
    <rPh sb="0" eb="2">
      <t>セイヒン</t>
    </rPh>
    <rPh sb="2" eb="4">
      <t>カンサン</t>
    </rPh>
    <phoneticPr fontId="1"/>
  </si>
  <si>
    <t>荷姿換算フラグ</t>
    <rPh sb="0" eb="2">
      <t>ニスガタ</t>
    </rPh>
    <rPh sb="2" eb="4">
      <t>カンサン</t>
    </rPh>
    <phoneticPr fontId="1"/>
  </si>
  <si>
    <t>strproductunitname</t>
  </si>
  <si>
    <t>bytproductconversionflag</t>
  </si>
  <si>
    <t>bytpackingconversionflag</t>
  </si>
  <si>
    <t>製品単位マスタ</t>
  </si>
  <si>
    <t>m_receive</t>
    <phoneticPr fontId="3"/>
  </si>
  <si>
    <t>受注番号</t>
    <rPh sb="2" eb="4">
      <t>バンゴウ</t>
    </rPh>
    <phoneticPr fontId="1"/>
  </si>
  <si>
    <t>リビジョン番号</t>
  </si>
  <si>
    <t>受注コード</t>
    <rPh sb="0" eb="2">
      <t>ジュチュウ</t>
    </rPh>
    <phoneticPr fontId="1"/>
  </si>
  <si>
    <t>顧客コード</t>
    <rPh sb="0" eb="2">
      <t>コキャク</t>
    </rPh>
    <phoneticPr fontId="1"/>
  </si>
  <si>
    <t>グープルコード</t>
  </si>
  <si>
    <t>受注状態コード</t>
    <rPh sb="0" eb="2">
      <t>ジュチュウ</t>
    </rPh>
    <rPh sb="2" eb="4">
      <t>ジョウタイ</t>
    </rPh>
    <phoneticPr fontId="1"/>
  </si>
  <si>
    <t>登録日</t>
    <rPh sb="0" eb="2">
      <t>トウロク</t>
    </rPh>
    <rPh sb="2" eb="3">
      <t>ビ</t>
    </rPh>
    <phoneticPr fontId="1"/>
  </si>
  <si>
    <t>顧客受注番号</t>
  </si>
  <si>
    <t>lngreceiveno</t>
  </si>
  <si>
    <t>lngreceivestatuscode</t>
  </si>
  <si>
    <t>strcustomerreceivecode</t>
  </si>
  <si>
    <t>受注マスタ</t>
  </si>
  <si>
    <t>受注状態名称</t>
    <rPh sb="0" eb="2">
      <t>ジュチュウ</t>
    </rPh>
    <rPh sb="2" eb="4">
      <t>ジョウタイ</t>
    </rPh>
    <rPh sb="4" eb="6">
      <t>メイショウ</t>
    </rPh>
    <phoneticPr fontId="1"/>
  </si>
  <si>
    <t>strreceivestatusname</t>
  </si>
  <si>
    <t>受注状態マスタ</t>
  </si>
  <si>
    <t>受注状態マスタ</t>
    <phoneticPr fontId="3"/>
  </si>
  <si>
    <t>m_reportclass</t>
    <phoneticPr fontId="3"/>
  </si>
  <si>
    <t>帳票区分コード</t>
    <rPh sb="0" eb="2">
      <t>チョウヒョウ</t>
    </rPh>
    <rPh sb="2" eb="4">
      <t>クブン</t>
    </rPh>
    <phoneticPr fontId="1"/>
  </si>
  <si>
    <t>帳票区分名称</t>
    <rPh sb="0" eb="2">
      <t>チョウヒョウ</t>
    </rPh>
    <rPh sb="2" eb="4">
      <t>クブン</t>
    </rPh>
    <rPh sb="4" eb="6">
      <t>メイショウ</t>
    </rPh>
    <phoneticPr fontId="1"/>
  </si>
  <si>
    <t>lngreportclasscode</t>
  </si>
  <si>
    <t>strreportclassname</t>
  </si>
  <si>
    <t>帳票区分マスタ</t>
  </si>
  <si>
    <t>m_sales</t>
    <phoneticPr fontId="3"/>
  </si>
  <si>
    <t>売上番号</t>
    <rPh sb="0" eb="2">
      <t>ウリアゲ</t>
    </rPh>
    <rPh sb="2" eb="4">
      <t>バンゴウ</t>
    </rPh>
    <phoneticPr fontId="1"/>
  </si>
  <si>
    <t>売上コード</t>
    <rPh sb="0" eb="2">
      <t>ウリアゲ</t>
    </rPh>
    <phoneticPr fontId="1"/>
  </si>
  <si>
    <t>受注番号</t>
    <rPh sb="0" eb="2">
      <t>ジュチュウ</t>
    </rPh>
    <rPh sb="2" eb="4">
      <t>バンゴウ</t>
    </rPh>
    <phoneticPr fontId="1"/>
  </si>
  <si>
    <t>売上状態コード</t>
    <rPh sb="0" eb="2">
      <t>ウリアゲ</t>
    </rPh>
    <rPh sb="2" eb="4">
      <t>ジョウタイ</t>
    </rPh>
    <phoneticPr fontId="1"/>
  </si>
  <si>
    <t>伝票コード</t>
    <rPh sb="0" eb="1">
      <t>デン</t>
    </rPh>
    <rPh sb="1" eb="2">
      <t>ビョウ</t>
    </rPh>
    <phoneticPr fontId="1"/>
  </si>
  <si>
    <t>lngsalesno</t>
  </si>
  <si>
    <t>strsalescode</t>
  </si>
  <si>
    <t>lngsalesstatuscode</t>
  </si>
  <si>
    <t>strslipcode</t>
  </si>
  <si>
    <t>売上マスタ</t>
    <rPh sb="0" eb="2">
      <t>ウリアゲ</t>
    </rPh>
    <phoneticPr fontId="3"/>
  </si>
  <si>
    <t>売上マスタ</t>
    <rPh sb="0" eb="2">
      <t>ウリアゲ</t>
    </rPh>
    <phoneticPr fontId="3"/>
  </si>
  <si>
    <t>売上区分名称</t>
    <rPh sb="4" eb="6">
      <t>メイショウ</t>
    </rPh>
    <phoneticPr fontId="1"/>
  </si>
  <si>
    <t>strsalesclassname</t>
  </si>
  <si>
    <t>m_salesclass</t>
    <phoneticPr fontId="3"/>
  </si>
  <si>
    <t>売上区分マスタ</t>
  </si>
  <si>
    <t>売上区分マスタ</t>
    <phoneticPr fontId="3"/>
  </si>
  <si>
    <t>m_salesdivision</t>
    <phoneticPr fontId="3"/>
  </si>
  <si>
    <t>売上分類コード</t>
    <rPh sb="0" eb="2">
      <t>ウリアゲ</t>
    </rPh>
    <rPh sb="2" eb="4">
      <t>ブンルイ</t>
    </rPh>
    <phoneticPr fontId="1"/>
  </si>
  <si>
    <t>売上分類名称</t>
    <rPh sb="0" eb="2">
      <t>ウリアゲ</t>
    </rPh>
    <rPh sb="2" eb="4">
      <t>ブンルイ</t>
    </rPh>
    <rPh sb="4" eb="6">
      <t>メイショウ</t>
    </rPh>
    <phoneticPr fontId="1"/>
  </si>
  <si>
    <t>lngsalesdivisioncode</t>
  </si>
  <si>
    <t>strsalesdivisionname</t>
  </si>
  <si>
    <t>売上分類マスタ</t>
  </si>
  <si>
    <t>売上分類マスタ</t>
    <phoneticPr fontId="3"/>
  </si>
  <si>
    <t>m_salesstatus</t>
    <phoneticPr fontId="3"/>
  </si>
  <si>
    <t>売上状態名称</t>
    <rPh sb="0" eb="2">
      <t>ウリアゲ</t>
    </rPh>
    <rPh sb="2" eb="4">
      <t>ジョウタイ</t>
    </rPh>
    <rPh sb="4" eb="6">
      <t>メイショウ</t>
    </rPh>
    <phoneticPr fontId="1"/>
  </si>
  <si>
    <t>strsalesstatusname</t>
  </si>
  <si>
    <t>売上状態マスタ</t>
  </si>
  <si>
    <t>売上状態マスタ</t>
    <phoneticPr fontId="3"/>
  </si>
  <si>
    <t>m_stock</t>
    <phoneticPr fontId="3"/>
  </si>
  <si>
    <t>仕入コード</t>
    <rPh sb="0" eb="2">
      <t>シイレ</t>
    </rPh>
    <phoneticPr fontId="1"/>
  </si>
  <si>
    <t>仕入状態コード</t>
    <rPh sb="0" eb="2">
      <t>シイレ</t>
    </rPh>
    <rPh sb="2" eb="4">
      <t>ジョウタイ</t>
    </rPh>
    <phoneticPr fontId="1"/>
  </si>
  <si>
    <t>lngstockno</t>
  </si>
  <si>
    <t>strstockcode</t>
  </si>
  <si>
    <t>lngstockstatuscode</t>
  </si>
  <si>
    <t>仕入マスタ</t>
  </si>
  <si>
    <t>仕入マスタ</t>
    <phoneticPr fontId="3"/>
  </si>
  <si>
    <t>m_stockclass</t>
    <phoneticPr fontId="3"/>
  </si>
  <si>
    <t>仕入区分コード</t>
    <rPh sb="0" eb="2">
      <t>シイレ</t>
    </rPh>
    <rPh sb="2" eb="4">
      <t>クブン</t>
    </rPh>
    <phoneticPr fontId="1"/>
  </si>
  <si>
    <t>仕入区分名称</t>
    <rPh sb="0" eb="2">
      <t>シイレ</t>
    </rPh>
    <rPh sb="2" eb="4">
      <t>クブン</t>
    </rPh>
    <rPh sb="4" eb="6">
      <t>メイショウ</t>
    </rPh>
    <phoneticPr fontId="1"/>
  </si>
  <si>
    <t>lngstockclasscode</t>
  </si>
  <si>
    <t>strstockclassname</t>
  </si>
  <si>
    <t>仕入区分マスタ</t>
  </si>
  <si>
    <t>仕入区分マスタ</t>
    <phoneticPr fontId="3"/>
  </si>
  <si>
    <t>仕入部品名称</t>
    <rPh sb="0" eb="2">
      <t>シイレ</t>
    </rPh>
    <rPh sb="2" eb="4">
      <t>ブヒン</t>
    </rPh>
    <rPh sb="4" eb="6">
      <t>メイショウ</t>
    </rPh>
    <phoneticPr fontId="1"/>
  </si>
  <si>
    <t>見積原価表示フラグ</t>
    <rPh sb="4" eb="6">
      <t>ヒョウジ</t>
    </rPh>
    <phoneticPr fontId="1"/>
  </si>
  <si>
    <t>strstockitemname</t>
  </si>
  <si>
    <t>bytdisplayestimateflag</t>
  </si>
  <si>
    <t>m_stockitem</t>
    <phoneticPr fontId="3"/>
  </si>
  <si>
    <t>仕入部品マスタ</t>
  </si>
  <si>
    <t>m_stockstatus</t>
    <phoneticPr fontId="3"/>
  </si>
  <si>
    <t>仕入状態名称</t>
    <rPh sb="0" eb="2">
      <t>シイレ</t>
    </rPh>
    <rPh sb="2" eb="4">
      <t>ジョウタイ</t>
    </rPh>
    <rPh sb="4" eb="6">
      <t>メイショウ</t>
    </rPh>
    <phoneticPr fontId="1"/>
  </si>
  <si>
    <t>strstockstatusname</t>
  </si>
  <si>
    <t>仕入状態マスタ</t>
  </si>
  <si>
    <t>仕入科目名称</t>
    <rPh sb="0" eb="2">
      <t>シイレ</t>
    </rPh>
    <rPh sb="2" eb="4">
      <t>カモク</t>
    </rPh>
    <rPh sb="4" eb="6">
      <t>メイショウ</t>
    </rPh>
    <phoneticPr fontId="1"/>
  </si>
  <si>
    <t>strstocksubjectname</t>
  </si>
  <si>
    <t>m_stocksubject</t>
    <phoneticPr fontId="3"/>
  </si>
  <si>
    <t>仕入科目マスタ</t>
  </si>
  <si>
    <t>m_systeminformation</t>
    <phoneticPr fontId="3"/>
  </si>
  <si>
    <t>システムメッセージコード</t>
  </si>
  <si>
    <t>システムメッセージタイトル</t>
  </si>
  <si>
    <t>システムメッセージ本文</t>
    <rPh sb="9" eb="11">
      <t>ホンブン</t>
    </rPh>
    <phoneticPr fontId="1"/>
  </si>
  <si>
    <t>lngsysteminformationcode</t>
  </si>
  <si>
    <t>strsysteminformationtitle</t>
  </si>
  <si>
    <t>strsysteminformationbody</t>
  </si>
  <si>
    <t>システムメッセージマスタ</t>
  </si>
  <si>
    <t>m_targetage</t>
    <phoneticPr fontId="3"/>
  </si>
  <si>
    <t>対象年齢コード</t>
    <rPh sb="0" eb="2">
      <t>タイショウ</t>
    </rPh>
    <rPh sb="2" eb="4">
      <t>ネンレイ</t>
    </rPh>
    <phoneticPr fontId="1"/>
  </si>
  <si>
    <t>対象年齢名称</t>
    <rPh sb="0" eb="2">
      <t>タイショウ</t>
    </rPh>
    <rPh sb="2" eb="4">
      <t>ネンレイ</t>
    </rPh>
    <rPh sb="4" eb="6">
      <t>メイショウ</t>
    </rPh>
    <phoneticPr fontId="1"/>
  </si>
  <si>
    <t>strtargetagename</t>
  </si>
  <si>
    <t>対象年齢マスタ</t>
  </si>
  <si>
    <t>m_tax</t>
    <phoneticPr fontId="3"/>
  </si>
  <si>
    <t>lngtaxcode</t>
  </si>
  <si>
    <t>curtax</t>
  </si>
  <si>
    <t>m_taxclass</t>
    <phoneticPr fontId="3"/>
  </si>
  <si>
    <t>消費税区分コード</t>
    <rPh sb="0" eb="3">
      <t>ショウヒゼイ</t>
    </rPh>
    <rPh sb="3" eb="5">
      <t>クブン</t>
    </rPh>
    <phoneticPr fontId="1"/>
  </si>
  <si>
    <t>消費税区分名称</t>
    <rPh sb="0" eb="3">
      <t>ショウヒゼイ</t>
    </rPh>
    <rPh sb="3" eb="5">
      <t>クブン</t>
    </rPh>
    <rPh sb="5" eb="7">
      <t>メイショウ</t>
    </rPh>
    <phoneticPr fontId="1"/>
  </si>
  <si>
    <t>lngtaxclasscode</t>
  </si>
  <si>
    <t>strtaxclassname</t>
  </si>
  <si>
    <t>消費税区分マスタ</t>
  </si>
  <si>
    <t>ユーザーID</t>
  </si>
  <si>
    <t>パスワード</t>
  </si>
  <si>
    <t>ユーザーフルネーム</t>
  </si>
  <si>
    <t>メール配信許可フラグ</t>
    <rPh sb="3" eb="5">
      <t>ハイシン</t>
    </rPh>
    <rPh sb="5" eb="7">
      <t>キョカ</t>
    </rPh>
    <phoneticPr fontId="1"/>
  </si>
  <si>
    <t>メールアドレス</t>
  </si>
  <si>
    <t>ユーザー表示フラグ</t>
    <rPh sb="4" eb="6">
      <t>ヒョウジ</t>
    </rPh>
    <phoneticPr fontId="1"/>
  </si>
  <si>
    <t>ユーザー表示コード</t>
    <rPh sb="4" eb="6">
      <t>ヒョウジ</t>
    </rPh>
    <phoneticPr fontId="1"/>
  </si>
  <si>
    <t>ユーザー表示名</t>
    <rPh sb="4" eb="6">
      <t>ヒョウジ</t>
    </rPh>
    <rPh sb="6" eb="7">
      <t>メイ</t>
    </rPh>
    <phoneticPr fontId="1"/>
  </si>
  <si>
    <t>ユーザーイメージファイル</t>
  </si>
  <si>
    <t>マイページ情報</t>
    <rPh sb="5" eb="7">
      <t>ジョウホウ</t>
    </rPh>
    <phoneticPr fontId="1"/>
  </si>
  <si>
    <t>struserid</t>
  </si>
  <si>
    <t>strpasswordhash</t>
  </si>
  <si>
    <t>struserfullname</t>
  </si>
  <si>
    <t>bytmailtransmitflag</t>
  </si>
  <si>
    <t>strmailaddress</t>
  </si>
  <si>
    <t>bytuserdisplayflag</t>
  </si>
  <si>
    <t>struserdisplaycode</t>
  </si>
  <si>
    <t>struserimagefilename</t>
  </si>
  <si>
    <t>strmypageinfo</t>
  </si>
  <si>
    <t>character(20)</t>
  </si>
  <si>
    <t>character(32)</t>
  </si>
  <si>
    <t>m_user</t>
    <phoneticPr fontId="3"/>
  </si>
  <si>
    <t>ユーザマスタ</t>
  </si>
  <si>
    <t>申請日</t>
    <rPh sb="0" eb="2">
      <t>シンセイ</t>
    </rPh>
    <rPh sb="2" eb="3">
      <t>ビ</t>
    </rPh>
    <phoneticPr fontId="1"/>
  </si>
  <si>
    <t>完了日</t>
    <rPh sb="0" eb="3">
      <t>カンリョウビ</t>
    </rPh>
    <phoneticPr fontId="1"/>
  </si>
  <si>
    <t>dtmstartdate</t>
  </si>
  <si>
    <t>dtmenddate</t>
  </si>
  <si>
    <t>キャッシュID</t>
  </si>
  <si>
    <t>ハッシュコード</t>
  </si>
  <si>
    <t>データ</t>
  </si>
  <si>
    <t xml:space="preserve">chacheid     </t>
  </si>
  <si>
    <t xml:space="preserve">hashcode     </t>
  </si>
  <si>
    <t xml:space="preserve">created      </t>
  </si>
  <si>
    <t xml:space="preserve">createby     </t>
  </si>
  <si>
    <t xml:space="preserve">updated      </t>
  </si>
  <si>
    <t xml:space="preserve">updateby     </t>
  </si>
  <si>
    <t xml:space="preserve">version      </t>
  </si>
  <si>
    <t xml:space="preserve">deleteflag   </t>
  </si>
  <si>
    <t>キャッシュテーブル</t>
  </si>
  <si>
    <t>t_estimatedetail</t>
    <phoneticPr fontId="3"/>
  </si>
  <si>
    <t>見積原価番号</t>
    <rPh sb="2" eb="4">
      <t>ゲンカ</t>
    </rPh>
    <phoneticPr fontId="1"/>
  </si>
  <si>
    <t>見積原価明細番号</t>
    <rPh sb="2" eb="4">
      <t>ゲンカ</t>
    </rPh>
    <rPh sb="4" eb="6">
      <t>メイサイ</t>
    </rPh>
    <rPh sb="6" eb="8">
      <t>バンゴウ</t>
    </rPh>
    <phoneticPr fontId="1"/>
  </si>
  <si>
    <t>仕入科目コード</t>
    <rPh sb="0" eb="2">
      <t>シイ</t>
    </rPh>
    <rPh sb="2" eb="4">
      <t>カモク</t>
    </rPh>
    <phoneticPr fontId="1"/>
  </si>
  <si>
    <t>仕入部品コード</t>
    <rPh sb="0" eb="2">
      <t>シイ</t>
    </rPh>
    <rPh sb="2" eb="4">
      <t>ブヒン</t>
    </rPh>
    <phoneticPr fontId="1"/>
  </si>
  <si>
    <t>償却対象フラグ</t>
  </si>
  <si>
    <t>為替レート</t>
    <rPh sb="0" eb="2">
      <t>カワセ</t>
    </rPh>
    <phoneticPr fontId="1"/>
  </si>
  <si>
    <t>製品単価</t>
    <rPh sb="0" eb="2">
      <t>セイヒン</t>
    </rPh>
    <rPh sb="2" eb="4">
      <t>タンカ</t>
    </rPh>
    <phoneticPr fontId="1"/>
  </si>
  <si>
    <t>lngestimatedetailno</t>
  </si>
  <si>
    <t>numeric(15,6)</t>
  </si>
  <si>
    <t>見積原価明細テーブル</t>
  </si>
  <si>
    <t>t_goodsplan</t>
    <phoneticPr fontId="3"/>
  </si>
  <si>
    <t>リビジョン日時</t>
  </si>
  <si>
    <t>商品化企画コード</t>
    <rPh sb="0" eb="2">
      <t>ショウヒン</t>
    </rPh>
    <rPh sb="2" eb="3">
      <t>カ</t>
    </rPh>
    <rPh sb="3" eb="5">
      <t>キカク</t>
    </rPh>
    <phoneticPr fontId="1"/>
  </si>
  <si>
    <t>lnggoodsplancode</t>
  </si>
  <si>
    <t>dtmcreationdate</t>
  </si>
  <si>
    <t>dtmrevisiondate</t>
  </si>
  <si>
    <t>商品化企画テーブル</t>
  </si>
  <si>
    <t>t_image</t>
    <phoneticPr fontId="3"/>
  </si>
  <si>
    <t>イメージオブジェクト</t>
  </si>
  <si>
    <t>ディレクトリ名</t>
    <rPh sb="6" eb="7">
      <t>メイ</t>
    </rPh>
    <phoneticPr fontId="1"/>
  </si>
  <si>
    <t>ファイル名</t>
    <rPh sb="4" eb="5">
      <t>メイ</t>
    </rPh>
    <phoneticPr fontId="1"/>
  </si>
  <si>
    <t>ファイルタイプ</t>
  </si>
  <si>
    <t>objimage</t>
  </si>
  <si>
    <t>strdirectoryname</t>
  </si>
  <si>
    <t>strfilename</t>
  </si>
  <si>
    <t>strfiletype</t>
  </si>
  <si>
    <t>lngfilesize</t>
  </si>
  <si>
    <t>oid</t>
  </si>
  <si>
    <t>イメージテーブル</t>
  </si>
  <si>
    <t>t_loginsession</t>
    <phoneticPr fontId="3"/>
  </si>
  <si>
    <t>セッションID</t>
  </si>
  <si>
    <t>ログインユーザーID</t>
  </si>
  <si>
    <t>ログインパスワード</t>
  </si>
  <si>
    <t>ログイン日時</t>
    <rPh sb="4" eb="6">
      <t>ニチジ</t>
    </rPh>
    <phoneticPr fontId="1"/>
  </si>
  <si>
    <t>ログイン成功フラグ</t>
    <rPh sb="4" eb="6">
      <t>セイコウ</t>
    </rPh>
    <phoneticPr fontId="1"/>
  </si>
  <si>
    <t>strsessionid</t>
  </si>
  <si>
    <t>strloginuserid</t>
  </si>
  <si>
    <t>strloginpassword</t>
  </si>
  <si>
    <t>dtmlogintime</t>
  </si>
  <si>
    <t>bytsuccessfulflag</t>
  </si>
  <si>
    <t>ログインセッションテーブル</t>
  </si>
  <si>
    <t>t_moldhistory</t>
    <phoneticPr fontId="3"/>
  </si>
  <si>
    <t>金型NO</t>
    <rPh sb="0" eb="2">
      <t>カナガタ</t>
    </rPh>
    <phoneticPr fontId="1"/>
  </si>
  <si>
    <t>履歴番号</t>
    <rPh sb="0" eb="2">
      <t>リレキ</t>
    </rPh>
    <rPh sb="2" eb="4">
      <t>バンゴウ</t>
    </rPh>
    <phoneticPr fontId="1"/>
  </si>
  <si>
    <t>金型ステータス</t>
    <rPh sb="0" eb="2">
      <t>カナガタ</t>
    </rPh>
    <phoneticPr fontId="1"/>
  </si>
  <si>
    <t>保管元工場</t>
    <rPh sb="0" eb="2">
      <t>ホカン</t>
    </rPh>
    <rPh sb="2" eb="3">
      <t>モト</t>
    </rPh>
    <rPh sb="3" eb="5">
      <t>コウジョウ</t>
    </rPh>
    <phoneticPr fontId="1"/>
  </si>
  <si>
    <t>備考１</t>
    <rPh sb="0" eb="2">
      <t>ビコウ</t>
    </rPh>
    <phoneticPr fontId="1"/>
  </si>
  <si>
    <t>備考２</t>
    <rPh sb="0" eb="2">
      <t>ビコウ</t>
    </rPh>
    <phoneticPr fontId="1"/>
  </si>
  <si>
    <t>備考３</t>
    <rPh sb="0" eb="2">
      <t>ビコウ</t>
    </rPh>
    <phoneticPr fontId="1"/>
  </si>
  <si>
    <t>備考４</t>
    <rPh sb="0" eb="2">
      <t>ビコウ</t>
    </rPh>
    <phoneticPr fontId="1"/>
  </si>
  <si>
    <t>historyno</t>
  </si>
  <si>
    <t>remark1</t>
  </si>
  <si>
    <t>remark2</t>
  </si>
  <si>
    <t>remark3</t>
  </si>
  <si>
    <t>remark4</t>
  </si>
  <si>
    <t>金型履歴テーブル</t>
  </si>
  <si>
    <t>t_moldreportrelation</t>
    <phoneticPr fontId="3"/>
  </si>
  <si>
    <t>金型帳票関連ID</t>
    <rPh sb="0" eb="2">
      <t>カナガタ</t>
    </rPh>
    <rPh sb="2" eb="4">
      <t>チョウヒョウ</t>
    </rPh>
    <rPh sb="4" eb="6">
      <t>カンレン</t>
    </rPh>
    <phoneticPr fontId="1"/>
  </si>
  <si>
    <t>金型履歴NO</t>
    <rPh sb="0" eb="2">
      <t>カナガタ</t>
    </rPh>
    <rPh sb="2" eb="4">
      <t>リレキ</t>
    </rPh>
    <phoneticPr fontId="1"/>
  </si>
  <si>
    <t>moldreportrelationid</t>
  </si>
  <si>
    <t xml:space="preserve"> '00'</t>
  </si>
  <si>
    <t>金型帳票関連テーブル</t>
  </si>
  <si>
    <t>リビジョン</t>
  </si>
  <si>
    <t>順序</t>
    <rPh sb="0" eb="2">
      <t>ジュンジョ</t>
    </rPh>
    <phoneticPr fontId="1"/>
  </si>
  <si>
    <t>金型説明</t>
    <rPh sb="0" eb="2">
      <t>カナガタ</t>
    </rPh>
    <rPh sb="2" eb="4">
      <t>セツメイ</t>
    </rPh>
    <phoneticPr fontId="1"/>
  </si>
  <si>
    <t xml:space="preserve">moldreportid   </t>
  </si>
  <si>
    <t xml:space="preserve">revision       </t>
  </si>
  <si>
    <t xml:space="preserve">listorder      </t>
  </si>
  <si>
    <t xml:space="preserve">moldno         </t>
  </si>
  <si>
    <t>molddescription</t>
  </si>
  <si>
    <t xml:space="preserve">created        </t>
  </si>
  <si>
    <t xml:space="preserve">createby       </t>
  </si>
  <si>
    <t xml:space="preserve">updated        </t>
  </si>
  <si>
    <t xml:space="preserve">updateby       </t>
  </si>
  <si>
    <t xml:space="preserve">version        </t>
  </si>
  <si>
    <t xml:space="preserve">deleteflag     </t>
  </si>
  <si>
    <t>金型帳票詳細</t>
  </si>
  <si>
    <t>t_orderdetail</t>
    <phoneticPr fontId="3"/>
  </si>
  <si>
    <t>発注明細番号</t>
    <rPh sb="0" eb="2">
      <t>ハッチュウ</t>
    </rPh>
    <rPh sb="2" eb="4">
      <t>メイサイ</t>
    </rPh>
    <rPh sb="4" eb="6">
      <t>バンゴウ</t>
    </rPh>
    <phoneticPr fontId="1"/>
  </si>
  <si>
    <t>納品日</t>
    <rPh sb="0" eb="3">
      <t>ノウヒンビ</t>
    </rPh>
    <phoneticPr fontId="1"/>
  </si>
  <si>
    <t>運搬方法コード</t>
    <rPh sb="0" eb="4">
      <t>ウンハンホウホウ</t>
    </rPh>
    <phoneticPr fontId="1"/>
  </si>
  <si>
    <t>消費税コード</t>
    <rPh sb="0" eb="2">
      <t>ショウヒ</t>
    </rPh>
    <rPh sb="2" eb="3">
      <t>ゼイ</t>
    </rPh>
    <phoneticPr fontId="1"/>
  </si>
  <si>
    <t>消費税金額</t>
    <rPh sb="0" eb="3">
      <t>ショウヒゼイ</t>
    </rPh>
    <rPh sb="3" eb="5">
      <t>キンガク</t>
    </rPh>
    <phoneticPr fontId="1"/>
  </si>
  <si>
    <t>小計金額</t>
    <rPh sb="0" eb="2">
      <t>ショウケイ</t>
    </rPh>
    <rPh sb="2" eb="4">
      <t>キンガク</t>
    </rPh>
    <phoneticPr fontId="1"/>
  </si>
  <si>
    <t>lngorderdetailno</t>
  </si>
  <si>
    <t>dtmdeliverydate</t>
  </si>
  <si>
    <t>curtaxprice</t>
  </si>
  <si>
    <t>strmoldno</t>
  </si>
  <si>
    <t>発注明細テーブル</t>
  </si>
  <si>
    <t>t_processinformation</t>
    <phoneticPr fontId="3"/>
  </si>
  <si>
    <t>処理情報コード</t>
    <rPh sb="0" eb="2">
      <t>ショリ</t>
    </rPh>
    <rPh sb="2" eb="4">
      <t>ジョウホウ</t>
    </rPh>
    <phoneticPr fontId="1"/>
  </si>
  <si>
    <t>lngprocessinformationcode</t>
  </si>
  <si>
    <t>処理情報テーブル</t>
  </si>
  <si>
    <t>t_product</t>
    <phoneticPr fontId="3"/>
  </si>
  <si>
    <t>製品サブ番号</t>
    <rPh sb="0" eb="2">
      <t>セイヒン</t>
    </rPh>
    <rPh sb="4" eb="6">
      <t>バンゴウ</t>
    </rPh>
    <phoneticPr fontId="1"/>
  </si>
  <si>
    <t>lngproductsubno</t>
  </si>
  <si>
    <t>製品テーブル</t>
  </si>
  <si>
    <t>t_receivedetail</t>
    <phoneticPr fontId="3"/>
  </si>
  <si>
    <t>受注明細番号</t>
    <rPh sb="0" eb="2">
      <t>ジュチュウ</t>
    </rPh>
    <rPh sb="2" eb="4">
      <t>メイサイ</t>
    </rPh>
    <rPh sb="4" eb="6">
      <t>バンゴウ</t>
    </rPh>
    <phoneticPr fontId="1"/>
  </si>
  <si>
    <t>納品日</t>
    <rPh sb="0" eb="2">
      <t>ノウヒン</t>
    </rPh>
    <rPh sb="2" eb="3">
      <t>ビ</t>
    </rPh>
    <phoneticPr fontId="1"/>
  </si>
  <si>
    <t>lngreceivedetailno</t>
  </si>
  <si>
    <t>受注明細テーブル</t>
  </si>
  <si>
    <t>t_report</t>
    <phoneticPr fontId="3"/>
  </si>
  <si>
    <t>帳票コード</t>
    <rPh sb="0" eb="2">
      <t>チョウヒョウ</t>
    </rPh>
    <phoneticPr fontId="1"/>
  </si>
  <si>
    <t>帳票キーコード</t>
  </si>
  <si>
    <t>帳票名称</t>
    <rPh sb="2" eb="4">
      <t>メイショウ</t>
    </rPh>
    <phoneticPr fontId="1"/>
  </si>
  <si>
    <t>帳票パス名</t>
    <rPh sb="4" eb="5">
      <t>メイ</t>
    </rPh>
    <phoneticPr fontId="1"/>
  </si>
  <si>
    <t>lngreportcode</t>
  </si>
  <si>
    <t>strreportkeycode</t>
  </si>
  <si>
    <t>strreportname</t>
  </si>
  <si>
    <t>strreportpathname</t>
  </si>
  <si>
    <t>帳票テーブル</t>
  </si>
  <si>
    <t>t_salesdetail</t>
    <phoneticPr fontId="3"/>
  </si>
  <si>
    <t>売上明細番号</t>
    <rPh sb="0" eb="2">
      <t>ウリアゲ</t>
    </rPh>
    <rPh sb="2" eb="4">
      <t>メイサイ</t>
    </rPh>
    <rPh sb="4" eb="6">
      <t>バンゴウ</t>
    </rPh>
    <phoneticPr fontId="1"/>
  </si>
  <si>
    <t>消費税金額</t>
    <rPh sb="0" eb="2">
      <t>ショウヒ</t>
    </rPh>
    <rPh sb="2" eb="3">
      <t>ゼイ</t>
    </rPh>
    <rPh sb="3" eb="5">
      <t>キンガク</t>
    </rPh>
    <phoneticPr fontId="1"/>
  </si>
  <si>
    <t>lngsalesdetailno</t>
  </si>
  <si>
    <t>t_sequence</t>
    <phoneticPr fontId="3"/>
  </si>
  <si>
    <t>シーケンス名称</t>
    <rPh sb="5" eb="7">
      <t>メイショウ</t>
    </rPh>
    <phoneticPr fontId="1"/>
  </si>
  <si>
    <t>シーケンス</t>
  </si>
  <si>
    <t>strsequencename</t>
  </si>
  <si>
    <t>lngsequence</t>
  </si>
  <si>
    <t>シーケンステーブル</t>
  </si>
  <si>
    <t>シーケンステーブル</t>
    <phoneticPr fontId="3"/>
  </si>
  <si>
    <t>t_stockdetail</t>
    <phoneticPr fontId="3"/>
  </si>
  <si>
    <t>税額</t>
    <rPh sb="0" eb="2">
      <t>ゼイガク</t>
    </rPh>
    <phoneticPr fontId="1"/>
  </si>
  <si>
    <t>lngstockdetailno</t>
  </si>
  <si>
    <t>仕入明細テーブル</t>
    <phoneticPr fontId="3"/>
  </si>
  <si>
    <t>t_temp</t>
    <phoneticPr fontId="3"/>
  </si>
  <si>
    <t>キー</t>
  </si>
  <si>
    <t>値</t>
    <rPh sb="0" eb="1">
      <t>アタイ</t>
    </rPh>
    <phoneticPr fontId="1"/>
  </si>
  <si>
    <t>strkey</t>
  </si>
  <si>
    <t>テンポラリ番号</t>
    <rPh sb="5" eb="7">
      <t>バンゴウ</t>
    </rPh>
    <phoneticPr fontId="1"/>
  </si>
  <si>
    <t>テンポラリテーブル</t>
  </si>
  <si>
    <t>テンポラリテーブル</t>
    <phoneticPr fontId="3"/>
  </si>
  <si>
    <t>v_dayofweek</t>
    <phoneticPr fontId="3"/>
  </si>
  <si>
    <t>日数</t>
    <rPh sb="0" eb="1">
      <t>ニチ</t>
    </rPh>
    <rPh sb="1" eb="2">
      <t>スウ</t>
    </rPh>
    <phoneticPr fontId="1"/>
  </si>
  <si>
    <t>曜日</t>
    <rPh sb="0" eb="2">
      <t>ヨウビ</t>
    </rPh>
    <phoneticPr fontId="1"/>
  </si>
  <si>
    <t>number</t>
  </si>
  <si>
    <t>tostring</t>
  </si>
  <si>
    <t>曜日ビュー</t>
  </si>
  <si>
    <t>曜日ビュー</t>
    <rPh sb="0" eb="2">
      <t>ヨウビ</t>
    </rPh>
    <phoneticPr fontId="3"/>
  </si>
  <si>
    <t>v_line</t>
    <phoneticPr fontId="3"/>
  </si>
  <si>
    <t>行数ビュー</t>
    <rPh sb="0" eb="2">
      <t>ギョウスウ</t>
    </rPh>
    <phoneticPr fontId="3"/>
  </si>
  <si>
    <t>行数</t>
    <rPh sb="0" eb="2">
      <t>ギョウスウ</t>
    </rPh>
    <phoneticPr fontId="3"/>
  </si>
  <si>
    <t>line</t>
    <phoneticPr fontId="3"/>
  </si>
  <si>
    <t>integer</t>
    <phoneticPr fontId="3"/>
  </si>
  <si>
    <t>行数ビュー</t>
    <rPh sb="0" eb="2">
      <t>ギョウスウ</t>
    </rPh>
    <phoneticPr fontId="3"/>
  </si>
  <si>
    <t>seq_businesscodeid</t>
    <phoneticPr fontId="3"/>
  </si>
  <si>
    <t>seq_businesscodeid</t>
    <phoneticPr fontId="3"/>
  </si>
  <si>
    <t>seq_cacheid</t>
    <phoneticPr fontId="3"/>
  </si>
  <si>
    <t>seq_cacheid</t>
    <phoneticPr fontId="3"/>
  </si>
  <si>
    <t>seq_moldreportrelationid</t>
    <phoneticPr fontId="3"/>
  </si>
  <si>
    <t>seq_moldreportrelationid</t>
    <phoneticPr fontId="3"/>
  </si>
  <si>
    <t>9223372036854775807</t>
    <phoneticPr fontId="3"/>
  </si>
  <si>
    <t>業務コードIDシーケンス</t>
    <phoneticPr fontId="3"/>
  </si>
  <si>
    <t>業務コードIDシーケンス</t>
    <rPh sb="0" eb="2">
      <t>ギョウム</t>
    </rPh>
    <phoneticPr fontId="3"/>
  </si>
  <si>
    <t>キャッシュIDシーケンス</t>
    <phoneticPr fontId="3"/>
  </si>
  <si>
    <t>キャッシュIDシーケンス</t>
    <phoneticPr fontId="3"/>
  </si>
  <si>
    <t>金型帳票関連IDシーケンス</t>
  </si>
  <si>
    <t>金型帳票関連IDシーケンス</t>
    <phoneticPr fontId="3"/>
  </si>
  <si>
    <t>特殊文字マスタ</t>
    <rPh sb="0" eb="2">
      <t>トクシュ</t>
    </rPh>
    <rPh sb="2" eb="4">
      <t>モジ</t>
    </rPh>
    <phoneticPr fontId="3"/>
  </si>
  <si>
    <t>カラム情報</t>
    <rPh sb="3" eb="5">
      <t>ジョウホウ</t>
    </rPh>
    <phoneticPr fontId="3"/>
  </si>
  <si>
    <t>インデックス情報</t>
    <rPh sb="6" eb="8">
      <t>ジョウホウ</t>
    </rPh>
    <phoneticPr fontId="3"/>
  </si>
  <si>
    <t>リレーションシップ情報(FK側)</t>
    <rPh sb="9" eb="11">
      <t>ジョウホウ</t>
    </rPh>
    <rPh sb="14" eb="15">
      <t>ガワ</t>
    </rPh>
    <phoneticPr fontId="3"/>
  </si>
  <si>
    <t>リレーションシップ情報(PK側)</t>
    <rPh sb="9" eb="11">
      <t>ジョウホウ</t>
    </rPh>
    <rPh sb="14" eb="15">
      <t>ガワ</t>
    </rPh>
    <phoneticPr fontId="3"/>
  </si>
  <si>
    <t>m_accessipaddress</t>
    <phoneticPr fontId="3"/>
  </si>
  <si>
    <t>インデックス名</t>
    <rPh sb="6" eb="7">
      <t>メイ</t>
    </rPh>
    <phoneticPr fontId="3"/>
  </si>
  <si>
    <t>m_accessipaddress_pkey</t>
    <phoneticPr fontId="3"/>
  </si>
  <si>
    <t>カラムリスト</t>
    <phoneticPr fontId="3"/>
  </si>
  <si>
    <t>lngaccessipaddresscode</t>
    <phoneticPr fontId="3"/>
  </si>
  <si>
    <t>主キー</t>
    <rPh sb="0" eb="1">
      <t>シュ</t>
    </rPh>
    <phoneticPr fontId="3"/>
  </si>
  <si>
    <t>YES</t>
    <phoneticPr fontId="3"/>
  </si>
  <si>
    <t>ユニーク</t>
    <phoneticPr fontId="3"/>
  </si>
  <si>
    <t>備考</t>
    <rPh sb="0" eb="2">
      <t>ビコウ</t>
    </rPh>
    <phoneticPr fontId="3"/>
  </si>
  <si>
    <t>m_adminfunction_pkey</t>
    <phoneticPr fontId="3"/>
  </si>
  <si>
    <t>m_attribute_pkey</t>
    <phoneticPr fontId="3"/>
  </si>
  <si>
    <t>lngattributecode</t>
    <phoneticPr fontId="3"/>
  </si>
  <si>
    <t>m_attributerelation_pkey</t>
    <phoneticPr fontId="3"/>
  </si>
  <si>
    <t>lngattributerelationcode</t>
    <phoneticPr fontId="3"/>
  </si>
  <si>
    <t>lngcompanycode</t>
    <phoneticPr fontId="3"/>
  </si>
  <si>
    <t>m_authoritygroup_pkey</t>
    <phoneticPr fontId="3"/>
  </si>
  <si>
    <t>lngauthoritygroupcode</t>
    <phoneticPr fontId="3"/>
  </si>
  <si>
    <t>m_businesscode_pkey</t>
    <phoneticPr fontId="3"/>
  </si>
  <si>
    <t>businesscodeid</t>
    <phoneticPr fontId="3"/>
  </si>
  <si>
    <t>businesscodename</t>
    <phoneticPr fontId="3"/>
  </si>
  <si>
    <t>businesscode</t>
    <phoneticPr fontId="3"/>
  </si>
  <si>
    <t>m_cateory_pkey</t>
    <phoneticPr fontId="3"/>
  </si>
  <si>
    <t>lngcategorycode</t>
    <phoneticPr fontId="3"/>
  </si>
  <si>
    <t>m_certificateclass_pkey</t>
    <phoneticPr fontId="3"/>
  </si>
  <si>
    <t>lngcertificateclasscode</t>
    <phoneticPr fontId="3"/>
  </si>
  <si>
    <t>YES</t>
    <phoneticPr fontId="3"/>
  </si>
  <si>
    <t>m_charactar_pkey</t>
    <phoneticPr fontId="3"/>
  </si>
  <si>
    <t>strcharactarcode</t>
    <phoneticPr fontId="3"/>
  </si>
  <si>
    <t>m_closedday_pkey</t>
    <phoneticPr fontId="3"/>
  </si>
  <si>
    <t>lngcloseddaycode</t>
    <phoneticPr fontId="3"/>
  </si>
  <si>
    <t>m_commonfunction_pkey</t>
    <phoneticPr fontId="3"/>
  </si>
  <si>
    <t>lngcommonfunctioncode</t>
    <phoneticPr fontId="3"/>
  </si>
  <si>
    <t>m_company_pkey</t>
    <phoneticPr fontId="3"/>
  </si>
  <si>
    <t>lngcompanycode</t>
    <phoneticPr fontId="3"/>
  </si>
  <si>
    <t>m_conversionclass_pkey</t>
    <phoneticPr fontId="3"/>
  </si>
  <si>
    <t>lngconversionclasscode</t>
    <phoneticPr fontId="3"/>
  </si>
  <si>
    <t>m_copyright_pkey</t>
    <phoneticPr fontId="3"/>
  </si>
  <si>
    <t>lngcopyrightcode</t>
    <phoneticPr fontId="3"/>
  </si>
  <si>
    <t>m_country_pkey</t>
    <phoneticPr fontId="3"/>
  </si>
  <si>
    <t>lngcountrycode</t>
    <phoneticPr fontId="3"/>
  </si>
  <si>
    <t>m_delivery_method_pkey</t>
    <phoneticPr fontId="3"/>
  </si>
  <si>
    <t>lngdeliverymethodcode</t>
    <phoneticPr fontId="3"/>
  </si>
  <si>
    <t>m_estimate_pkey</t>
    <phoneticPr fontId="3"/>
  </si>
  <si>
    <t>lngestimateno</t>
    <phoneticPr fontId="3"/>
  </si>
  <si>
    <t>lngrevisionno</t>
    <phoneticPr fontId="3"/>
  </si>
  <si>
    <t>m_estimate_strproductcode_index</t>
    <phoneticPr fontId="3"/>
  </si>
  <si>
    <t>strproductcode</t>
    <phoneticPr fontId="3"/>
  </si>
  <si>
    <t>m_estimatestatus_pkey</t>
    <phoneticPr fontId="3"/>
  </si>
  <si>
    <t>lngestimatestatuscode</t>
    <phoneticPr fontId="3"/>
  </si>
  <si>
    <t>m_function_pkey</t>
    <phoneticPr fontId="3"/>
  </si>
  <si>
    <t>lngfunctioncode</t>
    <phoneticPr fontId="3"/>
  </si>
  <si>
    <t>m_functionauthority_pkey</t>
    <phoneticPr fontId="3"/>
  </si>
  <si>
    <t>lngfunctionauthoritycode</t>
    <phoneticPr fontId="3"/>
  </si>
  <si>
    <t>m_goodsplanprogress_pkey</t>
    <phoneticPr fontId="3"/>
  </si>
  <si>
    <t>lnggoodsplanprogresscode</t>
    <phoneticPr fontId="3"/>
  </si>
  <si>
    <t>m_group_pkey</t>
    <phoneticPr fontId="3"/>
  </si>
  <si>
    <t>lnggroupcode</t>
    <phoneticPr fontId="3"/>
  </si>
  <si>
    <t>m_grouprelation_pkey</t>
    <phoneticPr fontId="3"/>
  </si>
  <si>
    <t>lnggrouprelationcode</t>
    <phoneticPr fontId="3"/>
  </si>
  <si>
    <t>lngusercode</t>
    <phoneticPr fontId="3"/>
  </si>
  <si>
    <t>m_imagerelation_pkey</t>
    <phoneticPr fontId="3"/>
  </si>
  <si>
    <t>lngimagerelationcode</t>
    <phoneticPr fontId="3"/>
  </si>
  <si>
    <t>lngimagecode</t>
    <phoneticPr fontId="3"/>
  </si>
  <si>
    <t>m_mailform_pkey</t>
    <phoneticPr fontId="3"/>
  </si>
  <si>
    <t>lngmailformcode</t>
    <phoneticPr fontId="3"/>
  </si>
  <si>
    <t>m_message_pkey</t>
    <phoneticPr fontId="3"/>
  </si>
  <si>
    <t>lngmessagecode</t>
    <phoneticPr fontId="3"/>
  </si>
  <si>
    <t>m_mold_pkey</t>
    <phoneticPr fontId="3"/>
  </si>
  <si>
    <t>moldno</t>
    <phoneticPr fontId="3"/>
  </si>
  <si>
    <t>m_moldreport_pkey</t>
    <phoneticPr fontId="3"/>
  </si>
  <si>
    <t>moldreportid</t>
    <phoneticPr fontId="3"/>
  </si>
  <si>
    <t>revision</t>
    <phoneticPr fontId="3"/>
  </si>
  <si>
    <t>No.</t>
    <phoneticPr fontId="3"/>
  </si>
  <si>
    <t>外部キー名</t>
    <rPh sb="0" eb="2">
      <t>ガイブ</t>
    </rPh>
    <rPh sb="4" eb="5">
      <t>メイ</t>
    </rPh>
    <phoneticPr fontId="3"/>
  </si>
  <si>
    <t>t_moldreportrelation_moldreportid_fkey</t>
    <phoneticPr fontId="3"/>
  </si>
  <si>
    <t>カラムリスト</t>
    <phoneticPr fontId="3"/>
  </si>
  <si>
    <t>参照元テーブル物理名</t>
    <rPh sb="0" eb="2">
      <t>サンショウ</t>
    </rPh>
    <rPh sb="2" eb="3">
      <t>モト</t>
    </rPh>
    <rPh sb="7" eb="9">
      <t>ブツリ</t>
    </rPh>
    <rPh sb="9" eb="10">
      <t>メイ</t>
    </rPh>
    <phoneticPr fontId="3"/>
  </si>
  <si>
    <t>t_moldreportrelation</t>
    <phoneticPr fontId="3"/>
  </si>
  <si>
    <t>参照元カラム物理名</t>
    <rPh sb="0" eb="2">
      <t>サンショウ</t>
    </rPh>
    <rPh sb="2" eb="3">
      <t>モト</t>
    </rPh>
    <rPh sb="6" eb="8">
      <t>ブツリ</t>
    </rPh>
    <rPh sb="8" eb="9">
      <t>メイ</t>
    </rPh>
    <phoneticPr fontId="3"/>
  </si>
  <si>
    <t>m_monetaryrateclass_pkey</t>
    <phoneticPr fontId="3"/>
  </si>
  <si>
    <t>lngmonetaryratecode</t>
    <phoneticPr fontId="3"/>
  </si>
  <si>
    <t>m_monetaryunit_pkey</t>
    <phoneticPr fontId="3"/>
  </si>
  <si>
    <t>lngmonetaryunitcode</t>
    <phoneticPr fontId="3"/>
  </si>
  <si>
    <t>m_order_pkey</t>
    <phoneticPr fontId="3"/>
  </si>
  <si>
    <t>m_order_lngorderstatuscode_index</t>
    <phoneticPr fontId="3"/>
  </si>
  <si>
    <t>m_order_strordercode_index</t>
    <phoneticPr fontId="3"/>
  </si>
  <si>
    <t>lngorderno</t>
    <phoneticPr fontId="3"/>
  </si>
  <si>
    <t>lngorderstatuscode</t>
    <phoneticPr fontId="3"/>
  </si>
  <si>
    <t>strordercode</t>
    <phoneticPr fontId="3"/>
  </si>
  <si>
    <t>m_orderstatus_pkey</t>
    <phoneticPr fontId="3"/>
  </si>
  <si>
    <t>m_organization_pkey</t>
    <phoneticPr fontId="3"/>
  </si>
  <si>
    <t>lngorganizationcode</t>
    <phoneticPr fontId="3"/>
  </si>
  <si>
    <t>m_paycondition_pkey</t>
    <phoneticPr fontId="3"/>
  </si>
  <si>
    <t>lngpayconditioncode</t>
    <phoneticPr fontId="3"/>
  </si>
  <si>
    <t>m_product_pkey</t>
    <phoneticPr fontId="3"/>
  </si>
  <si>
    <t>m_product_strproductcode_index</t>
    <phoneticPr fontId="3"/>
  </si>
  <si>
    <t>lngproductno</t>
    <phoneticPr fontId="3"/>
  </si>
  <si>
    <t>m_productform_pkey</t>
    <phoneticPr fontId="3"/>
  </si>
  <si>
    <t>lngproductformcode</t>
    <phoneticPr fontId="3"/>
  </si>
  <si>
    <t>m_productprice_pkey</t>
    <phoneticPr fontId="3"/>
  </si>
  <si>
    <t>lngproductpricecode</t>
    <phoneticPr fontId="3"/>
  </si>
  <si>
    <t>m_productunit_pkey</t>
    <phoneticPr fontId="3"/>
  </si>
  <si>
    <t>lngproductunitcode</t>
    <phoneticPr fontId="3"/>
  </si>
  <si>
    <t>m_receive_pkey</t>
    <phoneticPr fontId="3"/>
  </si>
  <si>
    <t>lngreceiveno</t>
    <phoneticPr fontId="3"/>
  </si>
  <si>
    <t>m_receive_strreceivecode_index</t>
    <phoneticPr fontId="3"/>
  </si>
  <si>
    <t>strreceivecode</t>
    <phoneticPr fontId="3"/>
  </si>
  <si>
    <t>m_receivestatus_pkey</t>
    <phoneticPr fontId="3"/>
  </si>
  <si>
    <t>lngreceivestatuscode</t>
    <phoneticPr fontId="3"/>
  </si>
  <si>
    <t>m_sales_pkey</t>
    <phoneticPr fontId="3"/>
  </si>
  <si>
    <t>lngsalesno</t>
    <phoneticPr fontId="3"/>
  </si>
  <si>
    <t>m_sales_strsalescode_index</t>
    <phoneticPr fontId="3"/>
  </si>
  <si>
    <t>strsalescode</t>
    <phoneticPr fontId="3"/>
  </si>
  <si>
    <t>m_salesclass_pkey</t>
    <phoneticPr fontId="3"/>
  </si>
  <si>
    <t>lngsalesclasscode</t>
    <phoneticPr fontId="3"/>
  </si>
  <si>
    <t>m_salesdivision_pkey</t>
    <phoneticPr fontId="3"/>
  </si>
  <si>
    <t>lngsalesdivisioncode</t>
    <phoneticPr fontId="3"/>
  </si>
  <si>
    <t>m_salesstatus_pkey</t>
    <phoneticPr fontId="3"/>
  </si>
  <si>
    <t>lngsalesstatuscode</t>
    <phoneticPr fontId="3"/>
  </si>
  <si>
    <t>m_stock_pkey</t>
    <phoneticPr fontId="3"/>
  </si>
  <si>
    <t>lngstockno</t>
    <phoneticPr fontId="3"/>
  </si>
  <si>
    <t>m_stokestrstockcode_index</t>
    <phoneticPr fontId="3"/>
  </si>
  <si>
    <t>strstockcode</t>
    <phoneticPr fontId="3"/>
  </si>
  <si>
    <t>m_stockclass_pkey</t>
    <phoneticPr fontId="3"/>
  </si>
  <si>
    <t>lngstockclasscode</t>
    <phoneticPr fontId="3"/>
  </si>
  <si>
    <t>m_stockitem_pkey</t>
    <phoneticPr fontId="3"/>
  </si>
  <si>
    <t>lngstockitemcode</t>
    <phoneticPr fontId="3"/>
  </si>
  <si>
    <t>lngstocksubjectcode</t>
    <phoneticPr fontId="3"/>
  </si>
  <si>
    <t>m_stockstsatus_pkey</t>
    <phoneticPr fontId="3"/>
  </si>
  <si>
    <t>lngstockstatuscode</t>
    <phoneticPr fontId="3"/>
  </si>
  <si>
    <t>m_stocksubject_pkey</t>
    <phoneticPr fontId="3"/>
  </si>
  <si>
    <t>m_systeminformation_pkey</t>
    <phoneticPr fontId="3"/>
  </si>
  <si>
    <t>lngsysteminformationcode</t>
    <phoneticPr fontId="3"/>
  </si>
  <si>
    <t>m_targetage_pkey</t>
    <phoneticPr fontId="3"/>
  </si>
  <si>
    <t>lngtargetagecode</t>
    <phoneticPr fontId="3"/>
  </si>
  <si>
    <t>m_tax_pkey</t>
    <phoneticPr fontId="3"/>
  </si>
  <si>
    <t>lngtaxcode</t>
    <phoneticPr fontId="3"/>
  </si>
  <si>
    <t>m_taxclass_pkey</t>
    <phoneticPr fontId="3"/>
  </si>
  <si>
    <t>lngtaxclasscode</t>
    <phoneticPr fontId="3"/>
  </si>
  <si>
    <t>m_user_pkey</t>
    <phoneticPr fontId="3"/>
  </si>
  <si>
    <t>t_cache_pkey</t>
    <phoneticPr fontId="3"/>
  </si>
  <si>
    <t>chacheid</t>
    <phoneticPr fontId="3"/>
  </si>
  <si>
    <t>t_estimatedetail_pkey</t>
    <phoneticPr fontId="3"/>
  </si>
  <si>
    <t>lngestimatedetailno</t>
    <phoneticPr fontId="3"/>
  </si>
  <si>
    <t>t_goodsplan_pkey</t>
    <phoneticPr fontId="3"/>
  </si>
  <si>
    <t>lnggoodsplancode</t>
    <phoneticPr fontId="3"/>
  </si>
  <si>
    <t>t_goodsplan_lngproductno_idx</t>
    <phoneticPr fontId="3"/>
  </si>
  <si>
    <t>t_image_pkey</t>
    <phoneticPr fontId="3"/>
  </si>
  <si>
    <t>t_loginsession_pkey</t>
    <phoneticPr fontId="3"/>
  </si>
  <si>
    <t>strsessionid</t>
    <phoneticPr fontId="3"/>
  </si>
  <si>
    <t>t_moldhistory_pkey</t>
    <phoneticPr fontId="3"/>
  </si>
  <si>
    <t>historyno</t>
    <phoneticPr fontId="3"/>
  </si>
  <si>
    <t>t_moldreportrelation_moldno_fkey</t>
    <phoneticPr fontId="3"/>
  </si>
  <si>
    <t>t_moldreportdetail_pkey</t>
    <phoneticPr fontId="3"/>
  </si>
  <si>
    <t>listorder</t>
    <phoneticPr fontId="3"/>
  </si>
  <si>
    <t>t_moldreportrelation_pkey</t>
    <phoneticPr fontId="3"/>
  </si>
  <si>
    <t>moldreportrelationid</t>
    <phoneticPr fontId="3"/>
  </si>
  <si>
    <t>参照先テーブル物理名</t>
    <rPh sb="0" eb="2">
      <t>サンショウ</t>
    </rPh>
    <rPh sb="2" eb="3">
      <t>サキ</t>
    </rPh>
    <rPh sb="7" eb="9">
      <t>ブツリ</t>
    </rPh>
    <rPh sb="9" eb="10">
      <t>メイ</t>
    </rPh>
    <phoneticPr fontId="3"/>
  </si>
  <si>
    <t>参照先カラム物理名</t>
    <rPh sb="0" eb="2">
      <t>サンショウ</t>
    </rPh>
    <rPh sb="2" eb="3">
      <t>サキ</t>
    </rPh>
    <rPh sb="6" eb="8">
      <t>ブツリ</t>
    </rPh>
    <rPh sb="8" eb="9">
      <t>メイ</t>
    </rPh>
    <phoneticPr fontId="3"/>
  </si>
  <si>
    <t>t_moldhistory</t>
    <phoneticPr fontId="3"/>
  </si>
  <si>
    <t>m_moldreport</t>
    <phoneticPr fontId="3"/>
  </si>
  <si>
    <t>t_orderdetail_pkey</t>
    <phoneticPr fontId="3"/>
  </si>
  <si>
    <t>lngorderdetailno</t>
    <phoneticPr fontId="3"/>
  </si>
  <si>
    <t>t_processinformation_pkey</t>
    <phoneticPr fontId="3"/>
  </si>
  <si>
    <t>lngprocessinformationcode</t>
    <phoneticPr fontId="3"/>
  </si>
  <si>
    <t>t_product_pkey</t>
    <phoneticPr fontId="3"/>
  </si>
  <si>
    <t>lngproductsubno</t>
    <phoneticPr fontId="3"/>
  </si>
  <si>
    <t>t_receivedetail_pkey</t>
    <phoneticPr fontId="3"/>
  </si>
  <si>
    <t>lngreceivedetailno</t>
    <phoneticPr fontId="3"/>
  </si>
  <si>
    <t>t_report_pkey</t>
    <phoneticPr fontId="3"/>
  </si>
  <si>
    <t>lngreportcode</t>
    <phoneticPr fontId="3"/>
  </si>
  <si>
    <t>t_salesdetail_pkey</t>
    <phoneticPr fontId="3"/>
  </si>
  <si>
    <t>lngsalesdetailno</t>
    <phoneticPr fontId="3"/>
  </si>
  <si>
    <t>t_sequence_pkey</t>
    <phoneticPr fontId="3"/>
  </si>
  <si>
    <t>strsequencename</t>
    <phoneticPr fontId="3"/>
  </si>
  <si>
    <t>t_stockdetail_pkey</t>
    <phoneticPr fontId="3"/>
  </si>
  <si>
    <t>lngstockdetailno</t>
    <phoneticPr fontId="3"/>
  </si>
  <si>
    <t>t_temp_pkey</t>
    <phoneticPr fontId="3"/>
  </si>
  <si>
    <t>lngtempno</t>
    <phoneticPr fontId="3"/>
  </si>
  <si>
    <t>strkey</t>
    <phoneticPr fontId="3"/>
  </si>
  <si>
    <t>上記1.および2.に伴い、不要なテーブル・カラムを削除する</t>
    <rPh sb="0" eb="2">
      <t>ジョウキ</t>
    </rPh>
    <rPh sb="10" eb="11">
      <t>トモナ</t>
    </rPh>
    <rPh sb="13" eb="15">
      <t>フヨウ</t>
    </rPh>
    <rPh sb="25" eb="27">
      <t>サクジョ</t>
    </rPh>
    <phoneticPr fontId="3"/>
  </si>
  <si>
    <t>PK</t>
  </si>
  <si>
    <t>IDX</t>
    <phoneticPr fontId="3"/>
  </si>
  <si>
    <t>m_receivestatus</t>
    <phoneticPr fontId="3"/>
  </si>
  <si>
    <t>発注書マスタ</t>
    <rPh sb="0" eb="3">
      <t>ハッチュウショ</t>
    </rPh>
    <phoneticPr fontId="3"/>
  </si>
  <si>
    <t>m_purchaseorder</t>
    <phoneticPr fontId="3"/>
  </si>
  <si>
    <t>発注書番号</t>
    <rPh sb="0" eb="3">
      <t>ハッチュウショ</t>
    </rPh>
    <rPh sb="3" eb="5">
      <t>バンゴウ</t>
    </rPh>
    <phoneticPr fontId="3"/>
  </si>
  <si>
    <t>lngpurchaseorderno</t>
    <phoneticPr fontId="3"/>
  </si>
  <si>
    <t>リビジョン番号</t>
    <rPh sb="5" eb="7">
      <t>バンゴウ</t>
    </rPh>
    <phoneticPr fontId="3"/>
  </si>
  <si>
    <t>発注コード</t>
    <rPh sb="0" eb="2">
      <t>ハッチュウ</t>
    </rPh>
    <phoneticPr fontId="3"/>
  </si>
  <si>
    <t>仕入先コード</t>
    <rPh sb="0" eb="2">
      <t>シイレ</t>
    </rPh>
    <rPh sb="2" eb="3">
      <t>サキ</t>
    </rPh>
    <phoneticPr fontId="3"/>
  </si>
  <si>
    <t>strcustomercode</t>
    <phoneticPr fontId="3"/>
  </si>
  <si>
    <t>text</t>
    <phoneticPr fontId="3"/>
  </si>
  <si>
    <t>仕入先名</t>
    <rPh sb="0" eb="2">
      <t>シイレ</t>
    </rPh>
    <rPh sb="2" eb="3">
      <t>サキ</t>
    </rPh>
    <rPh sb="3" eb="4">
      <t>メイ</t>
    </rPh>
    <phoneticPr fontId="3"/>
  </si>
  <si>
    <t>strcustomername</t>
    <phoneticPr fontId="3"/>
  </si>
  <si>
    <t>strcustomercompanyname</t>
    <phoneticPr fontId="3"/>
  </si>
  <si>
    <t>仕入先住所</t>
    <rPh sb="0" eb="2">
      <t>シイレ</t>
    </rPh>
    <rPh sb="2" eb="3">
      <t>サキ</t>
    </rPh>
    <rPh sb="3" eb="5">
      <t>ジュウショ</t>
    </rPh>
    <phoneticPr fontId="3"/>
  </si>
  <si>
    <t>strcustomercompanyaddreess</t>
    <phoneticPr fontId="3"/>
  </si>
  <si>
    <t>仕入先電話番号</t>
    <rPh sb="0" eb="2">
      <t>シイレ</t>
    </rPh>
    <rPh sb="2" eb="3">
      <t>サキ</t>
    </rPh>
    <rPh sb="3" eb="5">
      <t>デンワ</t>
    </rPh>
    <rPh sb="5" eb="7">
      <t>バンゴウ</t>
    </rPh>
    <phoneticPr fontId="3"/>
  </si>
  <si>
    <t>strcustomercompanytel</t>
    <phoneticPr fontId="3"/>
  </si>
  <si>
    <t>仕入先FAX番号</t>
    <rPh sb="0" eb="2">
      <t>シイレ</t>
    </rPh>
    <rPh sb="2" eb="3">
      <t>サキ</t>
    </rPh>
    <rPh sb="6" eb="8">
      <t>バンゴウ</t>
    </rPh>
    <phoneticPr fontId="3"/>
  </si>
  <si>
    <t>strcustomercompanyfax</t>
    <phoneticPr fontId="3"/>
  </si>
  <si>
    <t>製品コード</t>
    <rPh sb="0" eb="2">
      <t>セイヒン</t>
    </rPh>
    <phoneticPr fontId="3"/>
  </si>
  <si>
    <t>製品名</t>
    <rPh sb="0" eb="2">
      <t>セイヒン</t>
    </rPh>
    <rPh sb="2" eb="3">
      <t>メイ</t>
    </rPh>
    <phoneticPr fontId="3"/>
  </si>
  <si>
    <t>strproductname</t>
    <phoneticPr fontId="3"/>
  </si>
  <si>
    <t>製品名（英語）</t>
    <rPh sb="0" eb="2">
      <t>セイヒン</t>
    </rPh>
    <rPh sb="2" eb="3">
      <t>メイ</t>
    </rPh>
    <rPh sb="4" eb="6">
      <t>エイゴ</t>
    </rPh>
    <phoneticPr fontId="3"/>
  </si>
  <si>
    <t>strproductenglishname</t>
    <phoneticPr fontId="3"/>
  </si>
  <si>
    <t>発注有効期限日</t>
    <rPh sb="0" eb="2">
      <t>ハッチュウ</t>
    </rPh>
    <rPh sb="2" eb="4">
      <t>ユウコウ</t>
    </rPh>
    <rPh sb="4" eb="6">
      <t>キゲン</t>
    </rPh>
    <rPh sb="6" eb="7">
      <t>ビ</t>
    </rPh>
    <phoneticPr fontId="3"/>
  </si>
  <si>
    <t>dtmexpirationdate</t>
    <phoneticPr fontId="3"/>
  </si>
  <si>
    <t>date</t>
    <phoneticPr fontId="3"/>
  </si>
  <si>
    <t>通貨単位コード</t>
    <rPh sb="0" eb="2">
      <t>ツウカ</t>
    </rPh>
    <rPh sb="2" eb="4">
      <t>タンイ</t>
    </rPh>
    <phoneticPr fontId="3"/>
  </si>
  <si>
    <t>通貨単位</t>
    <rPh sb="0" eb="2">
      <t>ツウカ</t>
    </rPh>
    <rPh sb="2" eb="4">
      <t>タンイ</t>
    </rPh>
    <phoneticPr fontId="3"/>
  </si>
  <si>
    <t>strmonetaryunitsign</t>
    <phoneticPr fontId="3"/>
  </si>
  <si>
    <t>支払条件コード</t>
    <rPh sb="0" eb="2">
      <t>シハライ</t>
    </rPh>
    <rPh sb="2" eb="4">
      <t>ジョウケン</t>
    </rPh>
    <phoneticPr fontId="3"/>
  </si>
  <si>
    <t>支払条件名</t>
    <rPh sb="0" eb="2">
      <t>シハライ</t>
    </rPh>
    <rPh sb="2" eb="4">
      <t>ジョウケン</t>
    </rPh>
    <rPh sb="4" eb="5">
      <t>メイ</t>
    </rPh>
    <phoneticPr fontId="3"/>
  </si>
  <si>
    <t>strpayconditionname</t>
    <phoneticPr fontId="3"/>
  </si>
  <si>
    <t>営業部署コード</t>
    <rPh sb="0" eb="2">
      <t>エイギョウ</t>
    </rPh>
    <rPh sb="2" eb="4">
      <t>ブショ</t>
    </rPh>
    <phoneticPr fontId="3"/>
  </si>
  <si>
    <t>営業部署名</t>
    <rPh sb="0" eb="2">
      <t>エイギョウ</t>
    </rPh>
    <rPh sb="2" eb="4">
      <t>ブショ</t>
    </rPh>
    <rPh sb="4" eb="5">
      <t>メイ</t>
    </rPh>
    <phoneticPr fontId="3"/>
  </si>
  <si>
    <t>strgroupname</t>
    <phoneticPr fontId="3"/>
  </si>
  <si>
    <t>開発担当者コード</t>
    <rPh sb="0" eb="2">
      <t>カイハツ</t>
    </rPh>
    <rPh sb="2" eb="5">
      <t>タントウシャ</t>
    </rPh>
    <phoneticPr fontId="3"/>
  </si>
  <si>
    <t>strusercode</t>
    <phoneticPr fontId="3"/>
  </si>
  <si>
    <t>開発担当者名</t>
    <rPh sb="0" eb="2">
      <t>カイハツ</t>
    </rPh>
    <rPh sb="2" eb="5">
      <t>タントウシャ</t>
    </rPh>
    <rPh sb="5" eb="6">
      <t>メイ</t>
    </rPh>
    <phoneticPr fontId="3"/>
  </si>
  <si>
    <t>strusername</t>
    <phoneticPr fontId="3"/>
  </si>
  <si>
    <t>納品場所コード</t>
    <rPh sb="0" eb="2">
      <t>ノウヒン</t>
    </rPh>
    <rPh sb="2" eb="4">
      <t>バショ</t>
    </rPh>
    <phoneticPr fontId="3"/>
  </si>
  <si>
    <t>納品場所名</t>
    <rPh sb="0" eb="2">
      <t>ノウヒン</t>
    </rPh>
    <rPh sb="2" eb="4">
      <t>バショ</t>
    </rPh>
    <rPh sb="4" eb="5">
      <t>メイ</t>
    </rPh>
    <phoneticPr fontId="3"/>
  </si>
  <si>
    <t>strdeliveryplacename</t>
    <phoneticPr fontId="3"/>
  </si>
  <si>
    <t>合計金額</t>
    <rPh sb="0" eb="2">
      <t>ゴウケイ</t>
    </rPh>
    <rPh sb="2" eb="4">
      <t>キンガク</t>
    </rPh>
    <phoneticPr fontId="3"/>
  </si>
  <si>
    <t>curtotalprice</t>
    <phoneticPr fontId="3"/>
  </si>
  <si>
    <t>numeric(14,4)</t>
    <phoneticPr fontId="3"/>
  </si>
  <si>
    <t>作成日</t>
    <rPh sb="0" eb="3">
      <t>サクセイビ</t>
    </rPh>
    <phoneticPr fontId="3"/>
  </si>
  <si>
    <t>dtminsertdate</t>
    <phoneticPr fontId="3"/>
  </si>
  <si>
    <t>timestamp without time zone</t>
    <phoneticPr fontId="3"/>
  </si>
  <si>
    <t>入力者コード</t>
    <rPh sb="0" eb="2">
      <t>ニュウリョク</t>
    </rPh>
    <rPh sb="2" eb="3">
      <t>シャ</t>
    </rPh>
    <phoneticPr fontId="3"/>
  </si>
  <si>
    <t>strinsertusercode</t>
    <phoneticPr fontId="3"/>
  </si>
  <si>
    <t>入力者名</t>
    <rPh sb="0" eb="2">
      <t>ニュウリョク</t>
    </rPh>
    <rPh sb="2" eb="3">
      <t>シャ</t>
    </rPh>
    <rPh sb="3" eb="4">
      <t>メイ</t>
    </rPh>
    <phoneticPr fontId="3"/>
  </si>
  <si>
    <t>strinsertusername</t>
    <phoneticPr fontId="3"/>
  </si>
  <si>
    <t>strnote</t>
    <phoneticPr fontId="3"/>
  </si>
  <si>
    <t>発注書全枚数</t>
    <rPh sb="0" eb="3">
      <t>ハッチュウショ</t>
    </rPh>
    <rPh sb="3" eb="4">
      <t>ゼン</t>
    </rPh>
    <rPh sb="4" eb="6">
      <t>マイスウ</t>
    </rPh>
    <phoneticPr fontId="3"/>
  </si>
  <si>
    <t>印刷回数</t>
    <rPh sb="0" eb="2">
      <t>インサツ</t>
    </rPh>
    <rPh sb="2" eb="4">
      <t>カイスウ</t>
    </rPh>
    <phoneticPr fontId="1"/>
  </si>
  <si>
    <t>lngprintcount</t>
    <phoneticPr fontId="3"/>
  </si>
  <si>
    <t>m_purchaseorder_pkey</t>
    <phoneticPr fontId="3"/>
  </si>
  <si>
    <t>m_purchaseorder_strordercode_index</t>
    <phoneticPr fontId="3"/>
  </si>
  <si>
    <t>納品伝票マスタ</t>
    <rPh sb="0" eb="2">
      <t>ノウヒン</t>
    </rPh>
    <rPh sb="2" eb="4">
      <t>デンピョウ</t>
    </rPh>
    <phoneticPr fontId="3"/>
  </si>
  <si>
    <t>m_slip</t>
    <phoneticPr fontId="3"/>
  </si>
  <si>
    <t>納品伝票番号</t>
    <rPh sb="0" eb="2">
      <t>ノウヒン</t>
    </rPh>
    <rPh sb="2" eb="4">
      <t>デンピョウ</t>
    </rPh>
    <rPh sb="4" eb="6">
      <t>バンゴウ</t>
    </rPh>
    <phoneticPr fontId="3"/>
  </si>
  <si>
    <t>lngslipno</t>
    <phoneticPr fontId="3"/>
  </si>
  <si>
    <t>納品伝票コード</t>
    <rPh sb="0" eb="2">
      <t>ノウヒン</t>
    </rPh>
    <rPh sb="2" eb="4">
      <t>デンピョウ</t>
    </rPh>
    <phoneticPr fontId="3"/>
  </si>
  <si>
    <t>strslipcode</t>
    <phoneticPr fontId="3"/>
  </si>
  <si>
    <t>納品伝票種別コード</t>
    <rPh sb="0" eb="2">
      <t>ノウヒン</t>
    </rPh>
    <rPh sb="2" eb="4">
      <t>デンピョウ</t>
    </rPh>
    <rPh sb="4" eb="6">
      <t>シュベツ</t>
    </rPh>
    <phoneticPr fontId="3"/>
  </si>
  <si>
    <t>lngslipkindcode</t>
    <phoneticPr fontId="3"/>
  </si>
  <si>
    <t>顧客コード</t>
    <rPh sb="0" eb="2">
      <t>コキャク</t>
    </rPh>
    <phoneticPr fontId="3"/>
  </si>
  <si>
    <t>顧客名</t>
    <rPh sb="0" eb="2">
      <t>コキャク</t>
    </rPh>
    <rPh sb="2" eb="3">
      <t>メイ</t>
    </rPh>
    <phoneticPr fontId="3"/>
  </si>
  <si>
    <t>顧客担当者名</t>
    <rPh sb="0" eb="2">
      <t>コキャク</t>
    </rPh>
    <rPh sb="2" eb="5">
      <t>タントウシャ</t>
    </rPh>
    <rPh sb="5" eb="6">
      <t>メイ</t>
    </rPh>
    <phoneticPr fontId="3"/>
  </si>
  <si>
    <t>strcustomerusername</t>
    <phoneticPr fontId="3"/>
  </si>
  <si>
    <t>納品日</t>
    <rPh sb="0" eb="3">
      <t>ノウヒンビ</t>
    </rPh>
    <phoneticPr fontId="3"/>
  </si>
  <si>
    <t>dtmdeliverydate</t>
    <phoneticPr fontId="3"/>
  </si>
  <si>
    <t>納品場所担当者名</t>
    <rPh sb="0" eb="2">
      <t>ノウヒン</t>
    </rPh>
    <rPh sb="2" eb="4">
      <t>バショ</t>
    </rPh>
    <rPh sb="4" eb="7">
      <t>タントウシャ</t>
    </rPh>
    <rPh sb="7" eb="8">
      <t>メイ</t>
    </rPh>
    <phoneticPr fontId="3"/>
  </si>
  <si>
    <t>strdeliveryplaceusername</t>
    <phoneticPr fontId="3"/>
  </si>
  <si>
    <t>課税区分コード</t>
    <rPh sb="0" eb="2">
      <t>カゼイ</t>
    </rPh>
    <rPh sb="2" eb="4">
      <t>クブン</t>
    </rPh>
    <phoneticPr fontId="3"/>
  </si>
  <si>
    <t>課税区分</t>
    <rPh sb="0" eb="2">
      <t>カゼイ</t>
    </rPh>
    <rPh sb="2" eb="4">
      <t>クブン</t>
    </rPh>
    <phoneticPr fontId="3"/>
  </si>
  <si>
    <t>strtaxclassname</t>
    <phoneticPr fontId="3"/>
  </si>
  <si>
    <t>担当者コード</t>
    <rPh sb="0" eb="3">
      <t>タントウシャ</t>
    </rPh>
    <phoneticPr fontId="3"/>
  </si>
  <si>
    <t>担当者名</t>
    <rPh sb="0" eb="3">
      <t>タントウシャ</t>
    </rPh>
    <rPh sb="3" eb="4">
      <t>メイ</t>
    </rPh>
    <phoneticPr fontId="3"/>
  </si>
  <si>
    <t>m_slip_pkey</t>
    <phoneticPr fontId="3"/>
  </si>
  <si>
    <t>請求書マスタ</t>
    <rPh sb="0" eb="3">
      <t>セイキュウショ</t>
    </rPh>
    <phoneticPr fontId="3"/>
  </si>
  <si>
    <t>m_invoice</t>
    <phoneticPr fontId="3"/>
  </si>
  <si>
    <t>請求書番号</t>
    <rPh sb="0" eb="3">
      <t>セイキュウショ</t>
    </rPh>
    <rPh sb="3" eb="5">
      <t>バンゴウ</t>
    </rPh>
    <phoneticPr fontId="3"/>
  </si>
  <si>
    <t>lnginvoiceno</t>
    <phoneticPr fontId="3"/>
  </si>
  <si>
    <t>請求書コード</t>
    <rPh sb="0" eb="3">
      <t>セイキュウショ</t>
    </rPh>
    <phoneticPr fontId="3"/>
  </si>
  <si>
    <t>strinvoicecode</t>
    <phoneticPr fontId="3"/>
  </si>
  <si>
    <t>請求日</t>
    <rPh sb="0" eb="2">
      <t>セイキュウ</t>
    </rPh>
    <rPh sb="2" eb="3">
      <t>ビ</t>
    </rPh>
    <phoneticPr fontId="3"/>
  </si>
  <si>
    <t>dtminvoicedate</t>
    <phoneticPr fontId="3"/>
  </si>
  <si>
    <t>顧客社名</t>
    <rPh sb="0" eb="2">
      <t>コキャク</t>
    </rPh>
    <rPh sb="2" eb="4">
      <t>シャメイ</t>
    </rPh>
    <phoneticPr fontId="3"/>
  </si>
  <si>
    <t>timestamp(6) without time zone</t>
    <phoneticPr fontId="3"/>
  </si>
  <si>
    <t>作成者コード</t>
    <rPh sb="0" eb="2">
      <t>サクセイ</t>
    </rPh>
    <rPh sb="2" eb="3">
      <t>シャ</t>
    </rPh>
    <phoneticPr fontId="3"/>
  </si>
  <si>
    <t>作成者名</t>
    <rPh sb="0" eb="2">
      <t>サクセイ</t>
    </rPh>
    <rPh sb="2" eb="3">
      <t>シャ</t>
    </rPh>
    <rPh sb="3" eb="4">
      <t>メイ</t>
    </rPh>
    <phoneticPr fontId="3"/>
  </si>
  <si>
    <t>印刷回数</t>
    <rPh sb="0" eb="2">
      <t>インサツ</t>
    </rPh>
    <rPh sb="2" eb="4">
      <t>カイスウ</t>
    </rPh>
    <phoneticPr fontId="3"/>
  </si>
  <si>
    <t>m_invoice_pkey</t>
    <phoneticPr fontId="3"/>
  </si>
  <si>
    <t>納品伝票種別マスタ</t>
    <rPh sb="0" eb="2">
      <t>ノウヒン</t>
    </rPh>
    <rPh sb="2" eb="4">
      <t>デンピョウ</t>
    </rPh>
    <rPh sb="4" eb="6">
      <t>シュベツ</t>
    </rPh>
    <phoneticPr fontId="3"/>
  </si>
  <si>
    <t>m_slipkind</t>
    <phoneticPr fontId="3"/>
  </si>
  <si>
    <t>納品伝票種別名</t>
    <rPh sb="0" eb="2">
      <t>ノウヒン</t>
    </rPh>
    <rPh sb="2" eb="4">
      <t>デンピョウ</t>
    </rPh>
    <rPh sb="4" eb="6">
      <t>シュベツ</t>
    </rPh>
    <rPh sb="6" eb="7">
      <t>メイ</t>
    </rPh>
    <phoneticPr fontId="1"/>
  </si>
  <si>
    <t>strslipkindname</t>
    <phoneticPr fontId="3"/>
  </si>
  <si>
    <t>m_slipkind_pkey</t>
    <phoneticPr fontId="3"/>
  </si>
  <si>
    <t>納品伝票種別関連マスタ</t>
    <rPh sb="0" eb="2">
      <t>ノウヒン</t>
    </rPh>
    <rPh sb="2" eb="4">
      <t>デンピョウ</t>
    </rPh>
    <rPh sb="4" eb="6">
      <t>シュベツ</t>
    </rPh>
    <rPh sb="6" eb="8">
      <t>カンレン</t>
    </rPh>
    <phoneticPr fontId="3"/>
  </si>
  <si>
    <t>m_slipkindrelation</t>
    <phoneticPr fontId="3"/>
  </si>
  <si>
    <t>納品伝票種別関連コード</t>
    <rPh sb="0" eb="2">
      <t>ノウヒン</t>
    </rPh>
    <rPh sb="2" eb="4">
      <t>デンピョウ</t>
    </rPh>
    <rPh sb="4" eb="6">
      <t>シュベツ</t>
    </rPh>
    <rPh sb="6" eb="8">
      <t>カンレン</t>
    </rPh>
    <phoneticPr fontId="3"/>
  </si>
  <si>
    <t>lngslipkindrelationcode</t>
    <phoneticPr fontId="3"/>
  </si>
  <si>
    <t>会社コード</t>
    <rPh sb="0" eb="2">
      <t>カイシャ</t>
    </rPh>
    <phoneticPr fontId="3"/>
  </si>
  <si>
    <t>納品伝票種別コード</t>
    <rPh sb="0" eb="2">
      <t>ノウヒン</t>
    </rPh>
    <rPh sb="2" eb="4">
      <t>デンピョウ</t>
    </rPh>
    <rPh sb="4" eb="6">
      <t>シュベツ</t>
    </rPh>
    <phoneticPr fontId="1"/>
  </si>
  <si>
    <t>請求区分マスタ</t>
    <rPh sb="0" eb="2">
      <t>セイキュウ</t>
    </rPh>
    <rPh sb="2" eb="4">
      <t>クブン</t>
    </rPh>
    <phoneticPr fontId="3"/>
  </si>
  <si>
    <t>発注書詳細テーブル</t>
    <rPh sb="0" eb="3">
      <t>ハッチュウショ</t>
    </rPh>
    <rPh sb="3" eb="5">
      <t>ショウサイ</t>
    </rPh>
    <phoneticPr fontId="3"/>
  </si>
  <si>
    <t>t_purchaseorderdetail</t>
    <phoneticPr fontId="3"/>
  </si>
  <si>
    <t>発注書明細番号</t>
    <rPh sb="0" eb="3">
      <t>ハッチュウショ</t>
    </rPh>
    <rPh sb="3" eb="5">
      <t>メイサイ</t>
    </rPh>
    <rPh sb="5" eb="7">
      <t>バンゴウ</t>
    </rPh>
    <phoneticPr fontId="3"/>
  </si>
  <si>
    <t>lngpurchaseorderdetailno</t>
    <phoneticPr fontId="3"/>
  </si>
  <si>
    <t>仕入部品コード</t>
    <rPh sb="0" eb="2">
      <t>シイレ</t>
    </rPh>
    <rPh sb="2" eb="4">
      <t>ブヒン</t>
    </rPh>
    <phoneticPr fontId="3"/>
  </si>
  <si>
    <t>仕入部品名</t>
    <rPh sb="0" eb="2">
      <t>シイレ</t>
    </rPh>
    <rPh sb="2" eb="4">
      <t>ブヒン</t>
    </rPh>
    <rPh sb="4" eb="5">
      <t>メイ</t>
    </rPh>
    <phoneticPr fontId="3"/>
  </si>
  <si>
    <t>strstockitemname</t>
    <phoneticPr fontId="3"/>
  </si>
  <si>
    <t>運搬方法コード</t>
    <rPh sb="0" eb="2">
      <t>ウンパン</t>
    </rPh>
    <rPh sb="2" eb="4">
      <t>ホウホウ</t>
    </rPh>
    <phoneticPr fontId="3"/>
  </si>
  <si>
    <t>運搬方法名</t>
    <rPh sb="0" eb="2">
      <t>ウンパン</t>
    </rPh>
    <rPh sb="2" eb="4">
      <t>ホウホウ</t>
    </rPh>
    <rPh sb="4" eb="5">
      <t>メイ</t>
    </rPh>
    <phoneticPr fontId="3"/>
  </si>
  <si>
    <t>strdeliverymethodname</t>
    <phoneticPr fontId="3"/>
  </si>
  <si>
    <t>単価</t>
    <rPh sb="0" eb="2">
      <t>タンカ</t>
    </rPh>
    <phoneticPr fontId="3"/>
  </si>
  <si>
    <t>curproductprice</t>
    <phoneticPr fontId="3"/>
  </si>
  <si>
    <t>数量</t>
    <rPh sb="0" eb="2">
      <t>スウリョウ</t>
    </rPh>
    <phoneticPr fontId="3"/>
  </si>
  <si>
    <t>lngproductquantity</t>
    <phoneticPr fontId="3"/>
  </si>
  <si>
    <t>単位コード</t>
    <rPh sb="0" eb="2">
      <t>タンイ</t>
    </rPh>
    <phoneticPr fontId="3"/>
  </si>
  <si>
    <t>単位</t>
    <rPh sb="0" eb="2">
      <t>タンイ</t>
    </rPh>
    <phoneticPr fontId="3"/>
  </si>
  <si>
    <t>strproductunitname</t>
    <phoneticPr fontId="3"/>
  </si>
  <si>
    <t>小計</t>
    <rPh sb="0" eb="2">
      <t>ショウケイ</t>
    </rPh>
    <phoneticPr fontId="3"/>
  </si>
  <si>
    <t>cursubtotalprice</t>
    <phoneticPr fontId="3"/>
  </si>
  <si>
    <t>明細備考</t>
    <rPh sb="0" eb="2">
      <t>メイサイ</t>
    </rPh>
    <rPh sb="2" eb="4">
      <t>ビコウ</t>
    </rPh>
    <phoneticPr fontId="3"/>
  </si>
  <si>
    <t>lngsortkey</t>
    <phoneticPr fontId="3"/>
  </si>
  <si>
    <t>t_purchaseorderdetail_pkey</t>
    <phoneticPr fontId="3"/>
  </si>
  <si>
    <t>納品伝票明細テーブル</t>
    <rPh sb="0" eb="2">
      <t>ノウヒン</t>
    </rPh>
    <rPh sb="2" eb="4">
      <t>デンピョウ</t>
    </rPh>
    <rPh sb="4" eb="6">
      <t>メイサイ</t>
    </rPh>
    <phoneticPr fontId="3"/>
  </si>
  <si>
    <t>t_slipdetail</t>
    <phoneticPr fontId="3"/>
  </si>
  <si>
    <t>納品伝票明細番号</t>
    <rPh sb="0" eb="2">
      <t>ノウヒン</t>
    </rPh>
    <rPh sb="2" eb="4">
      <t>デンピョウ</t>
    </rPh>
    <rPh sb="4" eb="6">
      <t>メイサイ</t>
    </rPh>
    <rPh sb="6" eb="8">
      <t>バンゴウ</t>
    </rPh>
    <phoneticPr fontId="3"/>
  </si>
  <si>
    <t>lngslipdetailno</t>
    <phoneticPr fontId="3"/>
  </si>
  <si>
    <t>顧客受注番号</t>
    <rPh sb="0" eb="2">
      <t>コキャク</t>
    </rPh>
    <rPh sb="2" eb="4">
      <t>ジュチュウ</t>
    </rPh>
    <rPh sb="4" eb="6">
      <t>バンゴウ</t>
    </rPh>
    <phoneticPr fontId="3"/>
  </si>
  <si>
    <t>strcustomersalescode</t>
    <phoneticPr fontId="3"/>
  </si>
  <si>
    <t>顧客品番</t>
    <rPh sb="0" eb="2">
      <t>コキャク</t>
    </rPh>
    <rPh sb="2" eb="4">
      <t>ヒンバン</t>
    </rPh>
    <phoneticPr fontId="3"/>
  </si>
  <si>
    <t>strgoodscode</t>
    <phoneticPr fontId="3"/>
  </si>
  <si>
    <t>売上区分コード</t>
    <rPh sb="0" eb="2">
      <t>ウリアゲ</t>
    </rPh>
    <rPh sb="2" eb="4">
      <t>クブン</t>
    </rPh>
    <phoneticPr fontId="3"/>
  </si>
  <si>
    <t>売上区分名</t>
    <rPh sb="0" eb="2">
      <t>ウリアゲ</t>
    </rPh>
    <rPh sb="2" eb="4">
      <t>クブン</t>
    </rPh>
    <rPh sb="4" eb="5">
      <t>メイ</t>
    </rPh>
    <phoneticPr fontId="3"/>
  </si>
  <si>
    <t>strsalesclassname</t>
    <phoneticPr fontId="3"/>
  </si>
  <si>
    <t>t_slipdetail_pkey</t>
    <phoneticPr fontId="3"/>
  </si>
  <si>
    <t>t_invoicedetail</t>
    <phoneticPr fontId="3"/>
  </si>
  <si>
    <t>請求書明細番号</t>
    <rPh sb="0" eb="3">
      <t>セイキュウショ</t>
    </rPh>
    <rPh sb="3" eb="5">
      <t>メイサイ</t>
    </rPh>
    <rPh sb="5" eb="7">
      <t>バンゴウ</t>
    </rPh>
    <phoneticPr fontId="3"/>
  </si>
  <si>
    <t>lnginvoicedetailno</t>
    <phoneticPr fontId="3"/>
  </si>
  <si>
    <t>curlastmonthbalance</t>
    <phoneticPr fontId="3"/>
  </si>
  <si>
    <t>curthismonthamount</t>
    <phoneticPr fontId="3"/>
  </si>
  <si>
    <t>t_invoicedetail_pkey</t>
    <phoneticPr fontId="3"/>
  </si>
  <si>
    <t>発注書明細テーブル</t>
    <rPh sb="0" eb="3">
      <t>ハッチュウショ</t>
    </rPh>
    <rPh sb="3" eb="5">
      <t>メイサイ</t>
    </rPh>
    <phoneticPr fontId="3"/>
  </si>
  <si>
    <t>sequence_name</t>
    <phoneticPr fontId="3"/>
  </si>
  <si>
    <t xml:space="preserve">last_value   </t>
    <phoneticPr fontId="3"/>
  </si>
  <si>
    <t xml:space="preserve">start_value  </t>
    <phoneticPr fontId="3"/>
  </si>
  <si>
    <t xml:space="preserve">increment_by </t>
    <phoneticPr fontId="3"/>
  </si>
  <si>
    <t xml:space="preserve">max_value    </t>
    <phoneticPr fontId="3"/>
  </si>
  <si>
    <t xml:space="preserve">min_value    </t>
    <phoneticPr fontId="3"/>
  </si>
  <si>
    <t xml:space="preserve">cache_value  </t>
    <phoneticPr fontId="3"/>
  </si>
  <si>
    <t xml:space="preserve">log_cnt      </t>
    <phoneticPr fontId="3"/>
  </si>
  <si>
    <t xml:space="preserve">is_cycled    </t>
    <phoneticPr fontId="3"/>
  </si>
  <si>
    <t xml:space="preserve">is_called    </t>
    <phoneticPr fontId="3"/>
  </si>
  <si>
    <t xml:space="preserve">bigint </t>
    <phoneticPr fontId="3"/>
  </si>
  <si>
    <t xml:space="preserve">text                       </t>
    <phoneticPr fontId="3"/>
  </si>
  <si>
    <t xml:space="preserve">integer                    </t>
    <phoneticPr fontId="3"/>
  </si>
  <si>
    <t>timestamp(6) without time zone</t>
    <phoneticPr fontId="3"/>
  </si>
  <si>
    <t>boolean</t>
    <phoneticPr fontId="3"/>
  </si>
  <si>
    <t>'00'</t>
    <phoneticPr fontId="3"/>
  </si>
  <si>
    <t>lngadminfunctioncode</t>
    <phoneticPr fontId="3"/>
  </si>
  <si>
    <t>lngadminfunctioncode</t>
    <phoneticPr fontId="3"/>
  </si>
  <si>
    <t>行数</t>
    <rPh sb="0" eb="2">
      <t>ギョウスウ</t>
    </rPh>
    <phoneticPr fontId="1"/>
  </si>
  <si>
    <t>lngmaxline</t>
    <phoneticPr fontId="3"/>
  </si>
  <si>
    <t>integer</t>
    <phoneticPr fontId="3"/>
  </si>
  <si>
    <t>dtminsertdate</t>
    <phoneticPr fontId="3"/>
  </si>
  <si>
    <t>登録日時</t>
    <rPh sb="0" eb="2">
      <t>トウロク</t>
    </rPh>
    <rPh sb="2" eb="4">
      <t>ニチジ</t>
    </rPh>
    <phoneticPr fontId="3"/>
  </si>
  <si>
    <t>timestamp(6) without time zone</t>
    <phoneticPr fontId="3"/>
  </si>
  <si>
    <t>改版履歴</t>
    <rPh sb="0" eb="2">
      <t>カイハン</t>
    </rPh>
    <rPh sb="2" eb="4">
      <t>リレキ</t>
    </rPh>
    <phoneticPr fontId="3"/>
  </si>
  <si>
    <t>#</t>
    <phoneticPr fontId="3"/>
  </si>
  <si>
    <t>項目名</t>
    <rPh sb="0" eb="2">
      <t>コウモク</t>
    </rPh>
    <rPh sb="2" eb="3">
      <t>メイ</t>
    </rPh>
    <phoneticPr fontId="3"/>
  </si>
  <si>
    <t>更新内容</t>
    <rPh sb="0" eb="2">
      <t>コウシン</t>
    </rPh>
    <rPh sb="2" eb="4">
      <t>ナイヨウ</t>
    </rPh>
    <phoneticPr fontId="3"/>
  </si>
  <si>
    <t>更新日</t>
    <rPh sb="0" eb="3">
      <t>コウシンビ</t>
    </rPh>
    <phoneticPr fontId="3"/>
  </si>
  <si>
    <t>反映日</t>
    <rPh sb="0" eb="2">
      <t>ハンエイ</t>
    </rPh>
    <rPh sb="2" eb="3">
      <t>ビ</t>
    </rPh>
    <phoneticPr fontId="3"/>
  </si>
  <si>
    <t>更新種別</t>
    <rPh sb="0" eb="2">
      <t>コウシン</t>
    </rPh>
    <rPh sb="2" eb="4">
      <t>シュベツ</t>
    </rPh>
    <phoneticPr fontId="3"/>
  </si>
  <si>
    <t>全体</t>
    <rPh sb="0" eb="2">
      <t>ゼンタイ</t>
    </rPh>
    <phoneticPr fontId="3"/>
  </si>
  <si>
    <t>プルダウンマスタ</t>
    <phoneticPr fontId="3"/>
  </si>
  <si>
    <t>プルダウンマスタ</t>
    <phoneticPr fontId="3"/>
  </si>
  <si>
    <t>新規</t>
  </si>
  <si>
    <t>新規テーブル追加</t>
    <rPh sb="0" eb="2">
      <t>シンキ</t>
    </rPh>
    <rPh sb="6" eb="8">
      <t>ツイカ</t>
    </rPh>
    <phoneticPr fontId="3"/>
  </si>
  <si>
    <t>text</t>
    <phoneticPr fontId="3"/>
  </si>
  <si>
    <t>製品マスタ</t>
    <rPh sb="0" eb="2">
      <t>セイヒン</t>
    </rPh>
    <phoneticPr fontId="3"/>
  </si>
  <si>
    <t>追加</t>
    <rPh sb="0" eb="2">
      <t>ツイカ</t>
    </rPh>
    <phoneticPr fontId="3"/>
  </si>
  <si>
    <t>新規追加</t>
    <rPh sb="0" eb="2">
      <t>シンキ</t>
    </rPh>
    <rPh sb="2" eb="4">
      <t>ツイカ</t>
    </rPh>
    <phoneticPr fontId="3"/>
  </si>
  <si>
    <t>更新理由</t>
    <rPh sb="0" eb="2">
      <t>コウシン</t>
    </rPh>
    <rPh sb="2" eb="4">
      <t>リユウ</t>
    </rPh>
    <phoneticPr fontId="3"/>
  </si>
  <si>
    <t>見積原価計算書プレビューの表示エリア振分けに必要</t>
    <rPh sb="0" eb="2">
      <t>ミツモリ</t>
    </rPh>
    <rPh sb="2" eb="4">
      <t>ゲンカ</t>
    </rPh>
    <rPh sb="4" eb="7">
      <t>ケイサンショ</t>
    </rPh>
    <rPh sb="13" eb="15">
      <t>ヒョウジ</t>
    </rPh>
    <rPh sb="18" eb="20">
      <t>フリワ</t>
    </rPh>
    <rPh sb="22" eb="24">
      <t>ヒツヨウ</t>
    </rPh>
    <phoneticPr fontId="3"/>
  </si>
  <si>
    <t>再販対応</t>
    <rPh sb="0" eb="2">
      <t>サイハン</t>
    </rPh>
    <rPh sb="2" eb="4">
      <t>タイオウ</t>
    </rPh>
    <phoneticPr fontId="3"/>
  </si>
  <si>
    <t>明細行番号</t>
    <rPh sb="0" eb="2">
      <t>メイサイ</t>
    </rPh>
    <rPh sb="2" eb="3">
      <t>ギョウ</t>
    </rPh>
    <rPh sb="3" eb="5">
      <t>バンゴウ</t>
    </rPh>
    <phoneticPr fontId="3"/>
  </si>
  <si>
    <t>見積原価番号</t>
    <rPh sb="0" eb="2">
      <t>ミツモリ</t>
    </rPh>
    <rPh sb="2" eb="4">
      <t>ゲンカ</t>
    </rPh>
    <rPh sb="4" eb="6">
      <t>バンゴウ</t>
    </rPh>
    <phoneticPr fontId="3"/>
  </si>
  <si>
    <t>受注マスタ</t>
    <rPh sb="0" eb="2">
      <t>ジュチュウ</t>
    </rPh>
    <phoneticPr fontId="3"/>
  </si>
  <si>
    <t>次期システムではヘッダと明細を1:1とするため</t>
    <rPh sb="0" eb="2">
      <t>ジキ</t>
    </rPh>
    <rPh sb="12" eb="14">
      <t>メイサイ</t>
    </rPh>
    <phoneticPr fontId="3"/>
  </si>
  <si>
    <t>次期システムでは見積原価明細と紐づけを行うため。</t>
    <rPh sb="0" eb="2">
      <t>ジキ</t>
    </rPh>
    <rPh sb="8" eb="10">
      <t>ミツモリ</t>
    </rPh>
    <rPh sb="10" eb="12">
      <t>ゲンカ</t>
    </rPh>
    <rPh sb="12" eb="14">
      <t>メイサイ</t>
    </rPh>
    <rPh sb="15" eb="16">
      <t>ヒモ</t>
    </rPh>
    <rPh sb="19" eb="20">
      <t>オコナ</t>
    </rPh>
    <phoneticPr fontId="3"/>
  </si>
  <si>
    <t>発注マスタ</t>
    <rPh sb="0" eb="2">
      <t>ハッチュウ</t>
    </rPh>
    <phoneticPr fontId="3"/>
  </si>
  <si>
    <t>変更</t>
    <rPh sb="0" eb="2">
      <t>ヘンコウ</t>
    </rPh>
    <phoneticPr fontId="3"/>
  </si>
  <si>
    <t>PKから除外</t>
    <rPh sb="4" eb="6">
      <t>ジョガイ</t>
    </rPh>
    <phoneticPr fontId="3"/>
  </si>
  <si>
    <t>PKに含めなくとも一意となるうえ、登録後に値の変更が起こりうるため。</t>
    <rPh sb="3" eb="4">
      <t>フク</t>
    </rPh>
    <rPh sb="9" eb="11">
      <t>イチイ</t>
    </rPh>
    <rPh sb="17" eb="19">
      <t>トウロク</t>
    </rPh>
    <rPh sb="19" eb="20">
      <t>ゴ</t>
    </rPh>
    <rPh sb="21" eb="22">
      <t>アタイ</t>
    </rPh>
    <rPh sb="23" eb="25">
      <t>ヘンコウ</t>
    </rPh>
    <rPh sb="26" eb="27">
      <t>オ</t>
    </rPh>
    <phoneticPr fontId="3"/>
  </si>
  <si>
    <t>シート名</t>
    <rPh sb="3" eb="4">
      <t>メイ</t>
    </rPh>
    <phoneticPr fontId="3"/>
  </si>
  <si>
    <t>スキーマ</t>
    <phoneticPr fontId="3"/>
  </si>
  <si>
    <t>オーナー</t>
    <phoneticPr fontId="3"/>
  </si>
  <si>
    <t>種類</t>
    <rPh sb="0" eb="2">
      <t>シュルイ</t>
    </rPh>
    <phoneticPr fontId="3"/>
  </si>
  <si>
    <t>修正が発生した場合は、修正内容を「改訂履歴」に記入し、DBへの反映実績を管理する。</t>
    <rPh sb="0" eb="2">
      <t>シュウセイ</t>
    </rPh>
    <rPh sb="3" eb="5">
      <t>ハッセイ</t>
    </rPh>
    <rPh sb="7" eb="9">
      <t>バアイ</t>
    </rPh>
    <rPh sb="11" eb="13">
      <t>シュウセイ</t>
    </rPh>
    <rPh sb="13" eb="15">
      <t>ナイヨウ</t>
    </rPh>
    <rPh sb="17" eb="19">
      <t>カイテイ</t>
    </rPh>
    <rPh sb="19" eb="21">
      <t>リレキ</t>
    </rPh>
    <rPh sb="23" eb="25">
      <t>キニュウ</t>
    </rPh>
    <rPh sb="31" eb="33">
      <t>ハンエイ</t>
    </rPh>
    <rPh sb="33" eb="35">
      <t>ジッセキ</t>
    </rPh>
    <rPh sb="36" eb="38">
      <t>カンリ</t>
    </rPh>
    <phoneticPr fontId="3"/>
  </si>
  <si>
    <t>排他制御テーブル</t>
    <rPh sb="0" eb="2">
      <t>ハイタ</t>
    </rPh>
    <rPh sb="2" eb="4">
      <t>セイギョ</t>
    </rPh>
    <phoneticPr fontId="3"/>
  </si>
  <si>
    <t>全体</t>
    <rPh sb="0" eb="2">
      <t>ゼンタイ</t>
    </rPh>
    <phoneticPr fontId="3"/>
  </si>
  <si>
    <t>新規</t>
    <phoneticPr fontId="3"/>
  </si>
  <si>
    <t>新規テーブル追加</t>
    <rPh sb="0" eb="2">
      <t>シンキ</t>
    </rPh>
    <rPh sb="6" eb="8">
      <t>ツイカ</t>
    </rPh>
    <phoneticPr fontId="3"/>
  </si>
  <si>
    <t>排他制御テーブル</t>
    <rPh sb="0" eb="2">
      <t>ハイタ</t>
    </rPh>
    <rPh sb="2" eb="4">
      <t>セイギョ</t>
    </rPh>
    <phoneticPr fontId="3"/>
  </si>
  <si>
    <t>t_exclusivecontrol</t>
    <phoneticPr fontId="3"/>
  </si>
  <si>
    <t>機能コード</t>
    <phoneticPr fontId="3"/>
  </si>
  <si>
    <t>ユーザコード</t>
    <phoneticPr fontId="3"/>
  </si>
  <si>
    <t>端末IPアドレス</t>
    <rPh sb="0" eb="2">
      <t>タンマツ</t>
    </rPh>
    <phoneticPr fontId="3"/>
  </si>
  <si>
    <t>stripaddress</t>
    <phoneticPr fontId="3"/>
  </si>
  <si>
    <t>t_exclusivecontrol_pkey</t>
    <phoneticPr fontId="3"/>
  </si>
  <si>
    <t>排他キー1</t>
    <rPh sb="0" eb="2">
      <t>ハイタ</t>
    </rPh>
    <phoneticPr fontId="3"/>
  </si>
  <si>
    <t>排他キー2</t>
    <rPh sb="0" eb="2">
      <t>ハイタ</t>
    </rPh>
    <phoneticPr fontId="3"/>
  </si>
  <si>
    <t>排他キー3</t>
    <rPh sb="0" eb="2">
      <t>ハイタ</t>
    </rPh>
    <phoneticPr fontId="3"/>
  </si>
  <si>
    <t>strexclusivekey1</t>
    <phoneticPr fontId="3"/>
  </si>
  <si>
    <t>strexclusivekey2</t>
    <phoneticPr fontId="3"/>
  </si>
  <si>
    <t>strexclusivekey3</t>
    <phoneticPr fontId="3"/>
  </si>
  <si>
    <t>lngfunctioncode,
strexclusivekey1,
strexclusivekey2,
strexclusivekey3</t>
    <phoneticPr fontId="3"/>
  </si>
  <si>
    <t>'0'</t>
    <phoneticPr fontId="3"/>
  </si>
  <si>
    <t>CURRENT_TIMESTAMP</t>
    <phoneticPr fontId="3"/>
  </si>
  <si>
    <t>納品伝票明細テーブル</t>
    <phoneticPr fontId="3"/>
  </si>
  <si>
    <t>納品書明細と受注明細の紐づけが欠落していたため追加</t>
    <rPh sb="0" eb="3">
      <t>ノウヒンショ</t>
    </rPh>
    <rPh sb="3" eb="5">
      <t>メイサイ</t>
    </rPh>
    <rPh sb="6" eb="8">
      <t>ジュチュウ</t>
    </rPh>
    <rPh sb="8" eb="10">
      <t>メイサイ</t>
    </rPh>
    <rPh sb="11" eb="12">
      <t>ヒモ</t>
    </rPh>
    <rPh sb="15" eb="17">
      <t>ケツラク</t>
    </rPh>
    <rPh sb="23" eb="25">
      <t>ツイカ</t>
    </rPh>
    <phoneticPr fontId="3"/>
  </si>
  <si>
    <t>請求書詳細テーブル</t>
  </si>
  <si>
    <t>請求書明細と売上明細の紐づけが欠落していたため追加</t>
    <rPh sb="0" eb="3">
      <t>セイキュウショ</t>
    </rPh>
    <rPh sb="3" eb="5">
      <t>メイサイ</t>
    </rPh>
    <rPh sb="6" eb="8">
      <t>ウリアゲ</t>
    </rPh>
    <rPh sb="8" eb="10">
      <t>メイサイ</t>
    </rPh>
    <rPh sb="11" eb="12">
      <t>ヒモ</t>
    </rPh>
    <rPh sb="15" eb="17">
      <t>ケツラク</t>
    </rPh>
    <rPh sb="23" eb="25">
      <t>ツイカ</t>
    </rPh>
    <phoneticPr fontId="3"/>
  </si>
  <si>
    <t>受注リビジョン番号</t>
    <rPh sb="0" eb="2">
      <t>ジュチュウ</t>
    </rPh>
    <phoneticPr fontId="3"/>
  </si>
  <si>
    <t>lngreceiverevisionno</t>
    <phoneticPr fontId="3"/>
  </si>
  <si>
    <t>売上リビジョン番号</t>
    <rPh sb="0" eb="2">
      <t>ウリアゲ</t>
    </rPh>
    <rPh sb="7" eb="9">
      <t>バンゴウ</t>
    </rPh>
    <phoneticPr fontId="1"/>
  </si>
  <si>
    <t>lngprintcount</t>
  </si>
  <si>
    <t>無効フラグ</t>
    <phoneticPr fontId="3"/>
  </si>
  <si>
    <t>物理削除の取りやめ</t>
    <rPh sb="0" eb="2">
      <t>ブツリ</t>
    </rPh>
    <rPh sb="2" eb="4">
      <t>サクジョ</t>
    </rPh>
    <rPh sb="5" eb="6">
      <t>ト</t>
    </rPh>
    <phoneticPr fontId="3"/>
  </si>
  <si>
    <t>印字用会社名マスタ</t>
    <rPh sb="0" eb="3">
      <t>インジヨウ</t>
    </rPh>
    <rPh sb="3" eb="6">
      <t>カイシャメイ</t>
    </rPh>
    <phoneticPr fontId="3"/>
  </si>
  <si>
    <t>m_companyprintname</t>
    <phoneticPr fontId="3"/>
  </si>
  <si>
    <t>会社名紐づけマスタ</t>
    <phoneticPr fontId="3"/>
  </si>
  <si>
    <t>一部の顧客は、会社単位ではなく部署単位で登録されており、納品連絡書に印字する会社名が取得できないため。</t>
    <rPh sb="0" eb="2">
      <t>イチブ</t>
    </rPh>
    <rPh sb="3" eb="5">
      <t>コキャク</t>
    </rPh>
    <rPh sb="7" eb="9">
      <t>カイシャ</t>
    </rPh>
    <rPh sb="9" eb="11">
      <t>タンイ</t>
    </rPh>
    <rPh sb="15" eb="17">
      <t>ブショ</t>
    </rPh>
    <rPh sb="17" eb="19">
      <t>タンイ</t>
    </rPh>
    <rPh sb="20" eb="22">
      <t>トウロク</t>
    </rPh>
    <rPh sb="28" eb="30">
      <t>ノウヒン</t>
    </rPh>
    <rPh sb="30" eb="32">
      <t>レンラク</t>
    </rPh>
    <rPh sb="32" eb="33">
      <t>ショ</t>
    </rPh>
    <rPh sb="34" eb="36">
      <t>インジ</t>
    </rPh>
    <rPh sb="38" eb="41">
      <t>カイシャメイ</t>
    </rPh>
    <rPh sb="42" eb="44">
      <t>シュトク</t>
    </rPh>
    <phoneticPr fontId="3"/>
  </si>
  <si>
    <t>印字用会社名マスタ</t>
    <phoneticPr fontId="3"/>
  </si>
  <si>
    <t>一部の顧客は、会社名（部署名）を社内用名称で登録しており、納品書に印字する正式名称がデータとして存在ため。</t>
    <rPh sb="11" eb="13">
      <t>ブショ</t>
    </rPh>
    <rPh sb="13" eb="14">
      <t>メイ</t>
    </rPh>
    <phoneticPr fontId="3"/>
  </si>
  <si>
    <t>印字用会社名</t>
    <rPh sb="0" eb="3">
      <t>インジヨウ</t>
    </rPh>
    <rPh sb="3" eb="6">
      <t>カイシャメイ</t>
    </rPh>
    <phoneticPr fontId="3"/>
  </si>
  <si>
    <t>strprintcompanyname</t>
    <phoneticPr fontId="3"/>
  </si>
  <si>
    <t>m_companyprintname_pkey</t>
    <phoneticPr fontId="3"/>
  </si>
  <si>
    <t>見積原価プレビュー画面の編集ボタン押下時に見積原価書単位で排他制御が必要なため、汎用的な方式でテーブルを提供する。</t>
    <rPh sb="0" eb="2">
      <t>ミツモリ</t>
    </rPh>
    <rPh sb="2" eb="4">
      <t>ゲンカ</t>
    </rPh>
    <rPh sb="9" eb="11">
      <t>ガメン</t>
    </rPh>
    <rPh sb="12" eb="14">
      <t>ヘンシュウ</t>
    </rPh>
    <rPh sb="17" eb="19">
      <t>オウカ</t>
    </rPh>
    <rPh sb="19" eb="20">
      <t>ジ</t>
    </rPh>
    <rPh sb="21" eb="23">
      <t>ミツモリ</t>
    </rPh>
    <rPh sb="23" eb="25">
      <t>ゲンカ</t>
    </rPh>
    <rPh sb="25" eb="26">
      <t>ショ</t>
    </rPh>
    <rPh sb="26" eb="28">
      <t>タンイ</t>
    </rPh>
    <rPh sb="29" eb="31">
      <t>ハイタ</t>
    </rPh>
    <rPh sb="31" eb="33">
      <t>セイギョ</t>
    </rPh>
    <rPh sb="34" eb="36">
      <t>ヒツヨウ</t>
    </rPh>
    <rPh sb="40" eb="43">
      <t>ハンヨウテキ</t>
    </rPh>
    <rPh sb="44" eb="46">
      <t>ホウシキ</t>
    </rPh>
    <rPh sb="52" eb="54">
      <t>テイキョウ</t>
    </rPh>
    <phoneticPr fontId="3"/>
  </si>
  <si>
    <t>売上分類区分紐づけマスタ</t>
    <rPh sb="0" eb="2">
      <t>ウリアゲ</t>
    </rPh>
    <rPh sb="2" eb="4">
      <t>ブンルイ</t>
    </rPh>
    <rPh sb="4" eb="6">
      <t>クブン</t>
    </rPh>
    <rPh sb="6" eb="7">
      <t>ヒモ</t>
    </rPh>
    <phoneticPr fontId="3"/>
  </si>
  <si>
    <t>m_salesclassdivisonlink_pkey</t>
    <phoneticPr fontId="3"/>
  </si>
  <si>
    <t>売上分類区分紐づけマスタ</t>
    <phoneticPr fontId="3"/>
  </si>
  <si>
    <t>見積原価プレビュー画面の売上区分のプルダウンは製品売上と固定費売上で中身が異なるが、振り分けるための項目が現行システムにはないため。</t>
    <rPh sb="0" eb="4">
      <t>ミツモリゲンカ</t>
    </rPh>
    <rPh sb="9" eb="11">
      <t>ガメン</t>
    </rPh>
    <rPh sb="12" eb="14">
      <t>ウリアゲ</t>
    </rPh>
    <rPh sb="14" eb="16">
      <t>クブン</t>
    </rPh>
    <rPh sb="23" eb="25">
      <t>セイヒン</t>
    </rPh>
    <rPh sb="25" eb="27">
      <t>ウリアゲ</t>
    </rPh>
    <rPh sb="28" eb="30">
      <t>コテイ</t>
    </rPh>
    <rPh sb="30" eb="31">
      <t>ヒ</t>
    </rPh>
    <rPh sb="31" eb="33">
      <t>ウリアゲ</t>
    </rPh>
    <rPh sb="34" eb="36">
      <t>ナカミ</t>
    </rPh>
    <rPh sb="37" eb="38">
      <t>コト</t>
    </rPh>
    <rPh sb="42" eb="43">
      <t>フ</t>
    </rPh>
    <rPh sb="44" eb="45">
      <t>ワ</t>
    </rPh>
    <rPh sb="50" eb="52">
      <t>コウモク</t>
    </rPh>
    <rPh sb="53" eb="55">
      <t>ゲンコウ</t>
    </rPh>
    <phoneticPr fontId="3"/>
  </si>
  <si>
    <t>m_salesclassdivisonlink</t>
    <phoneticPr fontId="3"/>
  </si>
  <si>
    <t>lngsalesclasscode,
lngsalesdivisioncode</t>
    <phoneticPr fontId="3"/>
  </si>
  <si>
    <t>ER図反映日</t>
    <rPh sb="2" eb="3">
      <t>ズ</t>
    </rPh>
    <rPh sb="3" eb="5">
      <t>ハンエイ</t>
    </rPh>
    <rPh sb="5" eb="6">
      <t>ビ</t>
    </rPh>
    <phoneticPr fontId="3"/>
  </si>
  <si>
    <t>修正が発生した場合は、修正内容を本シートに記入し、DB、ER図への反映実績を管理すること。</t>
    <rPh sb="16" eb="17">
      <t>ホン</t>
    </rPh>
    <rPh sb="30" eb="31">
      <t>ズ</t>
    </rPh>
    <phoneticPr fontId="3"/>
  </si>
  <si>
    <t>想定レートマスタ</t>
    <rPh sb="0" eb="2">
      <t>ソウテイ</t>
    </rPh>
    <phoneticPr fontId="3"/>
  </si>
  <si>
    <t>全体</t>
    <rPh sb="0" eb="2">
      <t>ゼンタイ</t>
    </rPh>
    <phoneticPr fontId="3"/>
  </si>
  <si>
    <t>削除</t>
    <rPh sb="0" eb="2">
      <t>サクジョ</t>
    </rPh>
    <phoneticPr fontId="3"/>
  </si>
  <si>
    <t>テーブル削除</t>
    <rPh sb="4" eb="6">
      <t>サクジョ</t>
    </rPh>
    <phoneticPr fontId="3"/>
  </si>
  <si>
    <t>社内レート→想定レートに名称変更するのみの対応で済むことが判明。</t>
    <rPh sb="0" eb="2">
      <t>シャナイ</t>
    </rPh>
    <rPh sb="6" eb="8">
      <t>ソウテイ</t>
    </rPh>
    <rPh sb="12" eb="14">
      <t>メイショウ</t>
    </rPh>
    <rPh sb="14" eb="16">
      <t>ヘンコウ</t>
    </rPh>
    <rPh sb="21" eb="23">
      <t>タイオウ</t>
    </rPh>
    <rPh sb="24" eb="25">
      <t>ス</t>
    </rPh>
    <rPh sb="29" eb="31">
      <t>ハンメイ</t>
    </rPh>
    <phoneticPr fontId="3"/>
  </si>
  <si>
    <t>製品マスタ</t>
    <rPh sb="0" eb="2">
      <t>セイヒン</t>
    </rPh>
    <phoneticPr fontId="3"/>
  </si>
  <si>
    <t>リビジョン番号</t>
    <rPh sb="5" eb="7">
      <t>バンゴウ</t>
    </rPh>
    <phoneticPr fontId="3"/>
  </si>
  <si>
    <t>追加</t>
    <rPh sb="0" eb="2">
      <t>ツイカ</t>
    </rPh>
    <phoneticPr fontId="3"/>
  </si>
  <si>
    <t>項目追加</t>
    <rPh sb="0" eb="2">
      <t>コウモク</t>
    </rPh>
    <rPh sb="2" eb="4">
      <t>ツイカ</t>
    </rPh>
    <phoneticPr fontId="3"/>
  </si>
  <si>
    <t>商品管理画面での修正履歴の保持が要件となったため追加。</t>
    <rPh sb="0" eb="2">
      <t>ショウヒン</t>
    </rPh>
    <rPh sb="2" eb="4">
      <t>カンリ</t>
    </rPh>
    <rPh sb="4" eb="6">
      <t>ガメン</t>
    </rPh>
    <rPh sb="8" eb="10">
      <t>シュウセイ</t>
    </rPh>
    <rPh sb="10" eb="12">
      <t>リレキ</t>
    </rPh>
    <rPh sb="13" eb="15">
      <t>ホジ</t>
    </rPh>
    <rPh sb="16" eb="18">
      <t>ヨウケン</t>
    </rPh>
    <rPh sb="24" eb="26">
      <t>ツイカ</t>
    </rPh>
    <phoneticPr fontId="3"/>
  </si>
  <si>
    <t>リビジョン番号</t>
    <rPh sb="5" eb="7">
      <t>バンゴウ</t>
    </rPh>
    <phoneticPr fontId="3"/>
  </si>
  <si>
    <t>lngrevisionno</t>
    <phoneticPr fontId="3"/>
  </si>
  <si>
    <t>PK</t>
    <phoneticPr fontId="3"/>
  </si>
  <si>
    <t>00</t>
    <phoneticPr fontId="3"/>
  </si>
  <si>
    <t>YES</t>
    <phoneticPr fontId="3"/>
  </si>
  <si>
    <t>受注マスタ</t>
    <rPh sb="0" eb="2">
      <t>ジュチュウ</t>
    </rPh>
    <phoneticPr fontId="3"/>
  </si>
  <si>
    <t>見積原価番号</t>
    <rPh sb="0" eb="2">
      <t>ミツモリ</t>
    </rPh>
    <rPh sb="2" eb="4">
      <t>ゲンカ</t>
    </rPh>
    <rPh sb="4" eb="6">
      <t>バンゴウ</t>
    </rPh>
    <phoneticPr fontId="3"/>
  </si>
  <si>
    <t>明細行番号</t>
    <rPh sb="0" eb="2">
      <t>メイサイ</t>
    </rPh>
    <rPh sb="2" eb="3">
      <t>ギョウ</t>
    </rPh>
    <rPh sb="3" eb="5">
      <t>バンゴウ</t>
    </rPh>
    <phoneticPr fontId="3"/>
  </si>
  <si>
    <t>削除</t>
    <rPh sb="0" eb="2">
      <t>サクジョ</t>
    </rPh>
    <phoneticPr fontId="3"/>
  </si>
  <si>
    <t>発注マスタ</t>
    <rPh sb="0" eb="2">
      <t>ハッチュウ</t>
    </rPh>
    <phoneticPr fontId="3"/>
  </si>
  <si>
    <t>項目削除</t>
    <rPh sb="0" eb="2">
      <t>コウモク</t>
    </rPh>
    <rPh sb="2" eb="4">
      <t>サクジョ</t>
    </rPh>
    <phoneticPr fontId="3"/>
  </si>
  <si>
    <t>見積原価明細との紐づけは受注明細テーブルにて行うのが正しい。</t>
    <rPh sb="0" eb="2">
      <t>ミツモリ</t>
    </rPh>
    <rPh sb="2" eb="4">
      <t>ゲンカ</t>
    </rPh>
    <rPh sb="4" eb="6">
      <t>メイサイ</t>
    </rPh>
    <rPh sb="8" eb="9">
      <t>ヒモ</t>
    </rPh>
    <rPh sb="12" eb="14">
      <t>ジュチュウ</t>
    </rPh>
    <rPh sb="14" eb="16">
      <t>メイサイ</t>
    </rPh>
    <rPh sb="22" eb="23">
      <t>オコナ</t>
    </rPh>
    <rPh sb="26" eb="27">
      <t>タダ</t>
    </rPh>
    <phoneticPr fontId="3"/>
  </si>
  <si>
    <t>新規</t>
    <phoneticPr fontId="3"/>
  </si>
  <si>
    <t>項目追加</t>
    <rPh sb="0" eb="2">
      <t>コウモク</t>
    </rPh>
    <rPh sb="2" eb="4">
      <t>ツイカ</t>
    </rPh>
    <phoneticPr fontId="3"/>
  </si>
  <si>
    <t>見積原価明細番号</t>
    <rPh sb="0" eb="2">
      <t>ミツモリ</t>
    </rPh>
    <rPh sb="2" eb="4">
      <t>ゲンカ</t>
    </rPh>
    <rPh sb="4" eb="6">
      <t>メイサイ</t>
    </rPh>
    <rPh sb="6" eb="8">
      <t>バンゴウ</t>
    </rPh>
    <phoneticPr fontId="3"/>
  </si>
  <si>
    <t>見積原価明細との紐づけは発注明細テーブルにて行うのが正しい。</t>
    <rPh sb="0" eb="2">
      <t>ミツモリ</t>
    </rPh>
    <rPh sb="2" eb="4">
      <t>ゲンカ</t>
    </rPh>
    <rPh sb="4" eb="6">
      <t>メイサイ</t>
    </rPh>
    <rPh sb="8" eb="9">
      <t>ヒモ</t>
    </rPh>
    <rPh sb="14" eb="16">
      <t>メイサイ</t>
    </rPh>
    <rPh sb="22" eb="23">
      <t>オコナ</t>
    </rPh>
    <rPh sb="26" eb="27">
      <t>タダ</t>
    </rPh>
    <phoneticPr fontId="3"/>
  </si>
  <si>
    <t>受注明細テーブル</t>
    <rPh sb="0" eb="2">
      <t>ジュチュウ</t>
    </rPh>
    <rPh sb="2" eb="4">
      <t>メイサイ</t>
    </rPh>
    <phoneticPr fontId="3"/>
  </si>
  <si>
    <t>発注明細テーブル</t>
    <rPh sb="2" eb="4">
      <t>メイサイ</t>
    </rPh>
    <phoneticPr fontId="3"/>
  </si>
  <si>
    <t>発注書マスタ</t>
    <rPh sb="0" eb="2">
      <t>ハッチュウ</t>
    </rPh>
    <rPh sb="2" eb="3">
      <t>ショ</t>
    </rPh>
    <phoneticPr fontId="3"/>
  </si>
  <si>
    <t>発注書明細テーブル</t>
    <rPh sb="0" eb="2">
      <t>ハッチュウ</t>
    </rPh>
    <rPh sb="2" eb="3">
      <t>ショ</t>
    </rPh>
    <rPh sb="3" eb="5">
      <t>メイサイ</t>
    </rPh>
    <phoneticPr fontId="3"/>
  </si>
  <si>
    <t>通貨レート名</t>
  </si>
  <si>
    <t>通貨レート名</t>
    <rPh sb="0" eb="2">
      <t>ツウカ</t>
    </rPh>
    <rPh sb="5" eb="6">
      <t>メイ</t>
    </rPh>
    <phoneticPr fontId="1"/>
  </si>
  <si>
    <t>strmonetaryratename</t>
    <phoneticPr fontId="3"/>
  </si>
  <si>
    <t>レート区分の扱いは現行通りとなったため</t>
    <rPh sb="3" eb="5">
      <t>クブン</t>
    </rPh>
    <rPh sb="6" eb="7">
      <t>アツカ</t>
    </rPh>
    <rPh sb="9" eb="11">
      <t>ゲンコウ</t>
    </rPh>
    <rPh sb="11" eb="12">
      <t>ドオ</t>
    </rPh>
    <phoneticPr fontId="3"/>
  </si>
  <si>
    <t>発注番号</t>
  </si>
  <si>
    <t>発注番号</t>
    <rPh sb="0" eb="2">
      <t>ハッチュウ</t>
    </rPh>
    <rPh sb="2" eb="4">
      <t>バンゴウ</t>
    </rPh>
    <phoneticPr fontId="3"/>
  </si>
  <si>
    <t>発注明細番号</t>
  </si>
  <si>
    <t>発注明細番号</t>
    <rPh sb="0" eb="2">
      <t>ハッチュウ</t>
    </rPh>
    <rPh sb="2" eb="4">
      <t>メイサイ</t>
    </rPh>
    <rPh sb="4" eb="6">
      <t>バンゴウ</t>
    </rPh>
    <phoneticPr fontId="3"/>
  </si>
  <si>
    <t>発注リビジョン番号</t>
  </si>
  <si>
    <t>発注リビジョン番号</t>
    <rPh sb="0" eb="2">
      <t>ハッチュウ</t>
    </rPh>
    <rPh sb="7" eb="9">
      <t>バンゴウ</t>
    </rPh>
    <phoneticPr fontId="3"/>
  </si>
  <si>
    <t>lngorderrevisionno</t>
    <phoneticPr fontId="3"/>
  </si>
  <si>
    <t>仕入マスタ</t>
    <rPh sb="0" eb="2">
      <t>シイレ</t>
    </rPh>
    <phoneticPr fontId="3"/>
  </si>
  <si>
    <t>仕入明細テーブル</t>
    <rPh sb="0" eb="2">
      <t>シイレ</t>
    </rPh>
    <rPh sb="2" eb="4">
      <t>メイサイ</t>
    </rPh>
    <phoneticPr fontId="3"/>
  </si>
  <si>
    <t>発注番号</t>
    <phoneticPr fontId="3"/>
  </si>
  <si>
    <t>仕入明細テーブルへ移動</t>
    <rPh sb="0" eb="2">
      <t>シイレ</t>
    </rPh>
    <rPh sb="2" eb="4">
      <t>メイサイ</t>
    </rPh>
    <rPh sb="9" eb="11">
      <t>イドウ</t>
    </rPh>
    <phoneticPr fontId="3"/>
  </si>
  <si>
    <t>仕入マスタより移動</t>
    <rPh sb="0" eb="2">
      <t>シイレ</t>
    </rPh>
    <rPh sb="7" eb="9">
      <t>イドウ</t>
    </rPh>
    <phoneticPr fontId="3"/>
  </si>
  <si>
    <t>発注明細と発注ヘッダが1:1となり、明細単位での紐づけとなるため</t>
    <rPh sb="0" eb="2">
      <t>ハッチュウ</t>
    </rPh>
    <rPh sb="2" eb="4">
      <t>メイサイ</t>
    </rPh>
    <rPh sb="5" eb="7">
      <t>ハッチュウ</t>
    </rPh>
    <rPh sb="18" eb="20">
      <t>メイサイ</t>
    </rPh>
    <rPh sb="20" eb="22">
      <t>タンイ</t>
    </rPh>
    <rPh sb="24" eb="25">
      <t>ヒモ</t>
    </rPh>
    <phoneticPr fontId="3"/>
  </si>
  <si>
    <t>見積原価マスタ</t>
  </si>
  <si>
    <t>発注書マスタ</t>
  </si>
  <si>
    <t>納品伝票明細テーブル</t>
  </si>
  <si>
    <t>製品マスタの再販対応に伴う項目追加</t>
    <rPh sb="0" eb="2">
      <t>セイヒン</t>
    </rPh>
    <rPh sb="6" eb="8">
      <t>サイハン</t>
    </rPh>
    <rPh sb="8" eb="10">
      <t>タイオウ</t>
    </rPh>
    <rPh sb="11" eb="12">
      <t>トモナ</t>
    </rPh>
    <rPh sb="13" eb="15">
      <t>コウモク</t>
    </rPh>
    <rPh sb="15" eb="17">
      <t>ツイカ</t>
    </rPh>
    <phoneticPr fontId="3"/>
  </si>
  <si>
    <t>strrevisecode</t>
    <phoneticPr fontId="3"/>
  </si>
  <si>
    <t>lngestimateno,strrevisecode,lngrevisionno</t>
  </si>
  <si>
    <t>lngproductno,strrevisecode,lngrevisionno</t>
  </si>
  <si>
    <t>物理名修正</t>
    <rPh sb="0" eb="2">
      <t>ブツリ</t>
    </rPh>
    <rPh sb="2" eb="3">
      <t>メイ</t>
    </rPh>
    <rPh sb="3" eb="5">
      <t>シュウセイ</t>
    </rPh>
    <phoneticPr fontId="3"/>
  </si>
  <si>
    <t>スペルミスあったため。</t>
    <phoneticPr fontId="3"/>
  </si>
  <si>
    <t>製品マスタ</t>
    <rPh sb="0" eb="2">
      <t>セイヒン</t>
    </rPh>
    <phoneticPr fontId="3"/>
  </si>
  <si>
    <t>変更</t>
    <rPh sb="0" eb="2">
      <t>ヘンコウ</t>
    </rPh>
    <phoneticPr fontId="3"/>
  </si>
  <si>
    <t>不要</t>
    <rPh sb="0" eb="2">
      <t>フヨウ</t>
    </rPh>
    <phoneticPr fontId="3"/>
  </si>
  <si>
    <t>lngcartonquantity</t>
    <phoneticPr fontId="3"/>
  </si>
  <si>
    <t>入数</t>
    <rPh sb="0" eb="1">
      <t>イ</t>
    </rPh>
    <rPh sb="1" eb="2">
      <t>スウ</t>
    </rPh>
    <phoneticPr fontId="1"/>
  </si>
  <si>
    <t>lngquantity</t>
    <phoneticPr fontId="3"/>
  </si>
  <si>
    <t>入数</t>
    <rPh sb="0" eb="2">
      <t>イリスウ</t>
    </rPh>
    <phoneticPr fontId="3"/>
  </si>
  <si>
    <t>追加</t>
    <rPh sb="0" eb="2">
      <t>ツイカ</t>
    </rPh>
    <phoneticPr fontId="3"/>
  </si>
  <si>
    <t>項目追加</t>
    <rPh sb="0" eb="2">
      <t>コウモク</t>
    </rPh>
    <rPh sb="2" eb="4">
      <t>ツイカ</t>
    </rPh>
    <phoneticPr fontId="3"/>
  </si>
  <si>
    <t>製品単位の概念が存在するため</t>
    <rPh sb="0" eb="2">
      <t>セイヒン</t>
    </rPh>
    <rPh sb="2" eb="4">
      <t>タンイ</t>
    </rPh>
    <rPh sb="5" eb="7">
      <t>ガイネン</t>
    </rPh>
    <rPh sb="8" eb="10">
      <t>ソンザイ</t>
    </rPh>
    <phoneticPr fontId="3"/>
  </si>
  <si>
    <t>消費税額</t>
    <rPh sb="0" eb="3">
      <t>ショウヒゼイ</t>
    </rPh>
    <rPh sb="3" eb="4">
      <t>ガク</t>
    </rPh>
    <phoneticPr fontId="3"/>
  </si>
  <si>
    <t>請求期間(FROM)</t>
    <rPh sb="0" eb="2">
      <t>セイキュウ</t>
    </rPh>
    <rPh sb="2" eb="4">
      <t>キカン</t>
    </rPh>
    <phoneticPr fontId="3"/>
  </si>
  <si>
    <t>請求期間(TO)</t>
    <rPh sb="0" eb="2">
      <t>セイキュウ</t>
    </rPh>
    <rPh sb="2" eb="4">
      <t>キカン</t>
    </rPh>
    <phoneticPr fontId="3"/>
  </si>
  <si>
    <t>dtmchargeternstart</t>
    <phoneticPr fontId="3"/>
  </si>
  <si>
    <t>dtmchargeternend</t>
    <phoneticPr fontId="3"/>
  </si>
  <si>
    <t>納品書番号</t>
    <rPh sb="0" eb="3">
      <t>ノウヒンショ</t>
    </rPh>
    <rPh sb="3" eb="5">
      <t>バンゴウ</t>
    </rPh>
    <phoneticPr fontId="1"/>
  </si>
  <si>
    <t>納品書リビジョン番号</t>
    <rPh sb="0" eb="3">
      <t>ノウヒンショ</t>
    </rPh>
    <rPh sb="8" eb="10">
      <t>バンゴウ</t>
    </rPh>
    <phoneticPr fontId="1"/>
  </si>
  <si>
    <t>消費税率</t>
    <rPh sb="0" eb="2">
      <t>ショウヒ</t>
    </rPh>
    <rPh sb="2" eb="4">
      <t>ゼイリツ</t>
    </rPh>
    <phoneticPr fontId="3"/>
  </si>
  <si>
    <t>curtax</t>
    <phoneticPr fontId="3"/>
  </si>
  <si>
    <t>納品伝票マスタ</t>
    <rPh sb="0" eb="2">
      <t>ノウヒン</t>
    </rPh>
    <rPh sb="2" eb="4">
      <t>デンピョウ</t>
    </rPh>
    <phoneticPr fontId="3"/>
  </si>
  <si>
    <t>消費税率</t>
    <rPh sb="0" eb="3">
      <t>ショウヒゼイ</t>
    </rPh>
    <rPh sb="3" eb="4">
      <t>リツ</t>
    </rPh>
    <phoneticPr fontId="3"/>
  </si>
  <si>
    <t>請求書発行時参照情報として必要なため</t>
    <rPh sb="0" eb="3">
      <t>セイキュウショ</t>
    </rPh>
    <rPh sb="3" eb="5">
      <t>ハッコウ</t>
    </rPh>
    <rPh sb="5" eb="6">
      <t>ジ</t>
    </rPh>
    <rPh sb="6" eb="8">
      <t>サンショウ</t>
    </rPh>
    <rPh sb="8" eb="10">
      <t>ジョウホウ</t>
    </rPh>
    <rPh sb="13" eb="15">
      <t>ヒツヨウ</t>
    </rPh>
    <phoneticPr fontId="3"/>
  </si>
  <si>
    <t>請求書マスタ</t>
    <rPh sb="0" eb="3">
      <t>セイキュウショ</t>
    </rPh>
    <phoneticPr fontId="3"/>
  </si>
  <si>
    <t>請求書明細テーブル</t>
    <rPh sb="0" eb="3">
      <t>セイキュウショ</t>
    </rPh>
    <rPh sb="3" eb="5">
      <t>メイサイ</t>
    </rPh>
    <phoneticPr fontId="3"/>
  </si>
  <si>
    <t>請求書明細テーブル</t>
    <rPh sb="0" eb="2">
      <t>セイキュウ</t>
    </rPh>
    <rPh sb="2" eb="3">
      <t>ショ</t>
    </rPh>
    <rPh sb="3" eb="5">
      <t>メイサイ</t>
    </rPh>
    <phoneticPr fontId="3"/>
  </si>
  <si>
    <t>論理名称</t>
    <rPh sb="0" eb="2">
      <t>ロンリ</t>
    </rPh>
    <rPh sb="2" eb="4">
      <t>メイショウ</t>
    </rPh>
    <phoneticPr fontId="3"/>
  </si>
  <si>
    <t>変更</t>
    <rPh sb="0" eb="2">
      <t>ヘンコウ</t>
    </rPh>
    <phoneticPr fontId="3"/>
  </si>
  <si>
    <t>全体</t>
    <rPh sb="0" eb="2">
      <t>ゼンタイ</t>
    </rPh>
    <phoneticPr fontId="3"/>
  </si>
  <si>
    <t>項目見直し</t>
    <rPh sb="0" eb="2">
      <t>コウモク</t>
    </rPh>
    <rPh sb="2" eb="4">
      <t>ミナオ</t>
    </rPh>
    <phoneticPr fontId="3"/>
  </si>
  <si>
    <t>詳細→明細</t>
    <rPh sb="0" eb="2">
      <t>ショウサイ</t>
    </rPh>
    <rPh sb="3" eb="5">
      <t>メイサイ</t>
    </rPh>
    <phoneticPr fontId="3"/>
  </si>
  <si>
    <t>命名規則と不一致</t>
    <rPh sb="0" eb="2">
      <t>メイメイ</t>
    </rPh>
    <rPh sb="2" eb="4">
      <t>キソク</t>
    </rPh>
    <rPh sb="5" eb="8">
      <t>フイッチ</t>
    </rPh>
    <phoneticPr fontId="3"/>
  </si>
  <si>
    <t>請求書書式と一致せず</t>
    <rPh sb="0" eb="3">
      <t>セイキュウショ</t>
    </rPh>
    <rPh sb="3" eb="5">
      <t>ショシキ</t>
    </rPh>
    <rPh sb="6" eb="8">
      <t>イッチ</t>
    </rPh>
    <phoneticPr fontId="3"/>
  </si>
  <si>
    <t>消費税率</t>
    <rPh sb="0" eb="3">
      <t>ショウヒゼイ</t>
    </rPh>
    <rPh sb="3" eb="4">
      <t>リツ</t>
    </rPh>
    <phoneticPr fontId="3"/>
  </si>
  <si>
    <t>curtax</t>
    <phoneticPr fontId="3"/>
  </si>
  <si>
    <t>lngsliprevisionno</t>
    <phoneticPr fontId="3"/>
  </si>
  <si>
    <t>担当者コード、担当者名</t>
    <rPh sb="0" eb="3">
      <t>タントウシャ</t>
    </rPh>
    <rPh sb="7" eb="10">
      <t>タントウシャ</t>
    </rPh>
    <rPh sb="10" eb="11">
      <t>メイ</t>
    </rPh>
    <phoneticPr fontId="3"/>
  </si>
  <si>
    <t>項目もれ</t>
    <rPh sb="0" eb="2">
      <t>コウモク</t>
    </rPh>
    <phoneticPr fontId="3"/>
  </si>
  <si>
    <t>前月請求残額</t>
    <rPh sb="0" eb="2">
      <t>ゼンゲツ</t>
    </rPh>
    <rPh sb="2" eb="4">
      <t>セイキュウ</t>
    </rPh>
    <rPh sb="4" eb="6">
      <t>ザンガク</t>
    </rPh>
    <phoneticPr fontId="3"/>
  </si>
  <si>
    <t>パーセント入力値</t>
    <rPh sb="5" eb="7">
      <t>ニュウリョク</t>
    </rPh>
    <rPh sb="7" eb="8">
      <t>チ</t>
    </rPh>
    <phoneticPr fontId="1"/>
  </si>
  <si>
    <t>次期システムで見積原価書ダウンロード時にセルに反映する必要があるため。</t>
    <rPh sb="0" eb="2">
      <t>ジキ</t>
    </rPh>
    <rPh sb="7" eb="9">
      <t>ミツモリ</t>
    </rPh>
    <rPh sb="9" eb="11">
      <t>ゲンカ</t>
    </rPh>
    <rPh sb="11" eb="12">
      <t>ショ</t>
    </rPh>
    <rPh sb="18" eb="19">
      <t>ジ</t>
    </rPh>
    <rPh sb="23" eb="25">
      <t>ハンエイ</t>
    </rPh>
    <rPh sb="27" eb="29">
      <t>ヒツヨウ</t>
    </rPh>
    <phoneticPr fontId="3"/>
  </si>
  <si>
    <t>課税区分名</t>
    <rPh sb="0" eb="2">
      <t>カゼイ</t>
    </rPh>
    <rPh sb="2" eb="4">
      <t>クブン</t>
    </rPh>
    <rPh sb="4" eb="5">
      <t>メイ</t>
    </rPh>
    <phoneticPr fontId="3"/>
  </si>
  <si>
    <t>通貨、課税区分での検索対応のため</t>
    <rPh sb="0" eb="2">
      <t>ツウカ</t>
    </rPh>
    <rPh sb="3" eb="5">
      <t>カゼイ</t>
    </rPh>
    <rPh sb="5" eb="7">
      <t>クブン</t>
    </rPh>
    <rPh sb="9" eb="11">
      <t>ケンサク</t>
    </rPh>
    <rPh sb="11" eb="13">
      <t>タイオウ</t>
    </rPh>
    <phoneticPr fontId="3"/>
  </si>
  <si>
    <t>text</t>
    <phoneticPr fontId="3"/>
  </si>
  <si>
    <t>納品書NO</t>
    <rPh sb="0" eb="3">
      <t>ノウヒンショ</t>
    </rPh>
    <phoneticPr fontId="3"/>
  </si>
  <si>
    <t>売上マスタ</t>
    <rPh sb="0" eb="2">
      <t>ウリアゲ</t>
    </rPh>
    <phoneticPr fontId="3"/>
  </si>
  <si>
    <t>現行既存項目のため復活</t>
    <rPh sb="0" eb="2">
      <t>ゲンコウ</t>
    </rPh>
    <rPh sb="2" eb="4">
      <t>キゾン</t>
    </rPh>
    <rPh sb="4" eb="6">
      <t>コウモク</t>
    </rPh>
    <rPh sb="9" eb="11">
      <t>フッカツ</t>
    </rPh>
    <phoneticPr fontId="3"/>
  </si>
  <si>
    <t>serializeddata</t>
    <phoneticPr fontId="3"/>
  </si>
  <si>
    <t>nextval('seq_cacheid'::regclass)</t>
    <phoneticPr fontId="3"/>
  </si>
  <si>
    <t>製品状態マスタ</t>
    <rPh sb="0" eb="2">
      <t>セイヒン</t>
    </rPh>
    <rPh sb="2" eb="4">
      <t>ジョウタイ</t>
    </rPh>
    <phoneticPr fontId="3"/>
  </si>
  <si>
    <t>削除</t>
    <rPh sb="0" eb="2">
      <t>サクジョ</t>
    </rPh>
    <phoneticPr fontId="3"/>
  </si>
  <si>
    <t>次期では不要なため</t>
    <rPh sb="0" eb="2">
      <t>ジキ</t>
    </rPh>
    <rPh sb="4" eb="6">
      <t>フヨウ</t>
    </rPh>
    <phoneticPr fontId="3"/>
  </si>
  <si>
    <t>顧客部門コード</t>
    <rPh sb="0" eb="2">
      <t>コキャク</t>
    </rPh>
    <rPh sb="2" eb="4">
      <t>ブモン</t>
    </rPh>
    <phoneticPr fontId="1"/>
  </si>
  <si>
    <t>論理名変更（末尾に「コード」追加）</t>
    <rPh sb="0" eb="2">
      <t>ロンリ</t>
    </rPh>
    <rPh sb="2" eb="3">
      <t>メイ</t>
    </rPh>
    <rPh sb="3" eb="5">
      <t>ヘンコウ</t>
    </rPh>
    <rPh sb="6" eb="8">
      <t>マツビ</t>
    </rPh>
    <rPh sb="14" eb="16">
      <t>ツイカ</t>
    </rPh>
    <phoneticPr fontId="3"/>
  </si>
  <si>
    <t>使用実態とあっていないため</t>
    <rPh sb="0" eb="2">
      <t>シヨウ</t>
    </rPh>
    <rPh sb="2" eb="4">
      <t>ジッタイ</t>
    </rPh>
    <phoneticPr fontId="3"/>
  </si>
  <si>
    <t>製品マスタ</t>
    <rPh sb="0" eb="2">
      <t>セイヒン</t>
    </rPh>
    <phoneticPr fontId="3"/>
  </si>
  <si>
    <t>会社マスタ</t>
    <rPh sb="0" eb="2">
      <t>カイシャ</t>
    </rPh>
    <phoneticPr fontId="3"/>
  </si>
  <si>
    <t>省略名称</t>
    <rPh sb="0" eb="2">
      <t>ショウリャク</t>
    </rPh>
    <rPh sb="2" eb="4">
      <t>メイショウ</t>
    </rPh>
    <phoneticPr fontId="3"/>
  </si>
  <si>
    <t>宛先名称に変更</t>
    <rPh sb="0" eb="2">
      <t>アテサキ</t>
    </rPh>
    <rPh sb="2" eb="4">
      <t>メイショウ</t>
    </rPh>
    <rPh sb="5" eb="7">
      <t>ヘンコウ</t>
    </rPh>
    <phoneticPr fontId="3"/>
  </si>
  <si>
    <t>データエクスポート</t>
    <phoneticPr fontId="3"/>
  </si>
  <si>
    <t>現行でも使用されていないため</t>
    <rPh sb="0" eb="2">
      <t>ゲンコウ</t>
    </rPh>
    <rPh sb="4" eb="6">
      <t>シヨウ</t>
    </rPh>
    <phoneticPr fontId="3"/>
  </si>
  <si>
    <t>仕入先コード</t>
    <rPh sb="0" eb="3">
      <t>シイレサキ</t>
    </rPh>
    <phoneticPr fontId="1"/>
  </si>
  <si>
    <t>仕入マスタ</t>
    <rPh sb="0" eb="2">
      <t>シイレ</t>
    </rPh>
    <phoneticPr fontId="3"/>
  </si>
  <si>
    <t>顧客コード</t>
    <phoneticPr fontId="3"/>
  </si>
  <si>
    <t>変更</t>
    <rPh sb="0" eb="2">
      <t>ヘンコウ</t>
    </rPh>
    <phoneticPr fontId="3"/>
  </si>
  <si>
    <t>論理名を仕入先コードに変更</t>
    <rPh sb="0" eb="2">
      <t>ロンリ</t>
    </rPh>
    <rPh sb="2" eb="3">
      <t>メイ</t>
    </rPh>
    <rPh sb="4" eb="6">
      <t>シイレ</t>
    </rPh>
    <rPh sb="6" eb="7">
      <t>サキ</t>
    </rPh>
    <rPh sb="11" eb="13">
      <t>ヘンコウ</t>
    </rPh>
    <phoneticPr fontId="3"/>
  </si>
  <si>
    <t>顧客</t>
    <phoneticPr fontId="3"/>
  </si>
  <si>
    <t>顧客部門</t>
    <phoneticPr fontId="3"/>
  </si>
  <si>
    <t>表示順コード</t>
  </si>
  <si>
    <t>表示用ソートキーに変更</t>
    <rPh sb="9" eb="11">
      <t>ヘンコウ</t>
    </rPh>
    <phoneticPr fontId="3"/>
  </si>
  <si>
    <t>他の明細テーブルと名称を統一</t>
    <rPh sb="0" eb="1">
      <t>タ</t>
    </rPh>
    <rPh sb="2" eb="4">
      <t>メイサイ</t>
    </rPh>
    <rPh sb="9" eb="11">
      <t>メイショウ</t>
    </rPh>
    <rPh sb="12" eb="14">
      <t>トウイツ</t>
    </rPh>
    <phoneticPr fontId="3"/>
  </si>
  <si>
    <t>発注番号</t>
    <rPh sb="0" eb="2">
      <t>ハッチュウ</t>
    </rPh>
    <phoneticPr fontId="3"/>
  </si>
  <si>
    <t>項目削除</t>
    <rPh sb="0" eb="2">
      <t>コウモク</t>
    </rPh>
    <rPh sb="2" eb="4">
      <t>サクジョ</t>
    </rPh>
    <phoneticPr fontId="3"/>
  </si>
  <si>
    <t>仕入マスタに存在するため不要</t>
    <rPh sb="0" eb="2">
      <t>シイレ</t>
    </rPh>
    <rPh sb="6" eb="8">
      <t>ソンザイ</t>
    </rPh>
    <rPh sb="12" eb="14">
      <t>フヨウ</t>
    </rPh>
    <phoneticPr fontId="3"/>
  </si>
  <si>
    <t>受注番号</t>
    <rPh sb="0" eb="2">
      <t>ジュチュウ</t>
    </rPh>
    <rPh sb="2" eb="4">
      <t>バンゴウ</t>
    </rPh>
    <phoneticPr fontId="3"/>
  </si>
  <si>
    <t>売上マスタに存在するため不要</t>
    <rPh sb="0" eb="2">
      <t>ウリアゲ</t>
    </rPh>
    <rPh sb="6" eb="8">
      <t>ソンザイ</t>
    </rPh>
    <rPh sb="12" eb="14">
      <t>フヨウ</t>
    </rPh>
    <phoneticPr fontId="3"/>
  </si>
  <si>
    <t>請求区分が請求書の項目として必要なくなったため。</t>
    <rPh sb="0" eb="2">
      <t>セイキュウ</t>
    </rPh>
    <rPh sb="2" eb="4">
      <t>クブン</t>
    </rPh>
    <rPh sb="5" eb="8">
      <t>セイキュウショ</t>
    </rPh>
    <rPh sb="9" eb="11">
      <t>コウモク</t>
    </rPh>
    <rPh sb="14" eb="16">
      <t>ヒツヨウ</t>
    </rPh>
    <phoneticPr fontId="3"/>
  </si>
  <si>
    <t>納品伝票マスタ</t>
    <rPh sb="0" eb="2">
      <t>ノウヒン</t>
    </rPh>
    <rPh sb="2" eb="4">
      <t>デンピョウ</t>
    </rPh>
    <phoneticPr fontId="3"/>
  </si>
  <si>
    <t>仕入先コード</t>
    <rPh sb="0" eb="3">
      <t>シイレサキ</t>
    </rPh>
    <phoneticPr fontId="3"/>
  </si>
  <si>
    <t>納品書にない項目のため削除</t>
    <rPh sb="0" eb="3">
      <t>ノウヒンショ</t>
    </rPh>
    <rPh sb="6" eb="8">
      <t>コウモク</t>
    </rPh>
    <rPh sb="11" eb="13">
      <t>サクジョ</t>
    </rPh>
    <phoneticPr fontId="3"/>
  </si>
  <si>
    <t>納品伝票種別コード</t>
    <phoneticPr fontId="3"/>
  </si>
  <si>
    <t>顧客コードと納品伝票種別関連マスタで取得可能であるため。</t>
    <rPh sb="0" eb="2">
      <t>コキャク</t>
    </rPh>
    <rPh sb="6" eb="8">
      <t>ノウヒン</t>
    </rPh>
    <rPh sb="8" eb="10">
      <t>デンピョウ</t>
    </rPh>
    <rPh sb="10" eb="12">
      <t>シュベツ</t>
    </rPh>
    <rPh sb="12" eb="14">
      <t>カンレン</t>
    </rPh>
    <rPh sb="18" eb="20">
      <t>シュトク</t>
    </rPh>
    <rPh sb="20" eb="22">
      <t>カノウ</t>
    </rPh>
    <phoneticPr fontId="3"/>
  </si>
  <si>
    <t>請求書マスタ</t>
    <rPh sb="0" eb="3">
      <t>セイキュウショ</t>
    </rPh>
    <phoneticPr fontId="3"/>
  </si>
  <si>
    <t>請求明細全枚数</t>
    <rPh sb="0" eb="2">
      <t>セイキュウ</t>
    </rPh>
    <rPh sb="2" eb="4">
      <t>メイサイ</t>
    </rPh>
    <rPh sb="4" eb="5">
      <t>ゼン</t>
    </rPh>
    <rPh sb="5" eb="7">
      <t>マイスウ</t>
    </rPh>
    <phoneticPr fontId="3"/>
  </si>
  <si>
    <t>明細件数で取得可能なため不要</t>
    <rPh sb="0" eb="2">
      <t>メイサイ</t>
    </rPh>
    <rPh sb="2" eb="4">
      <t>ケンスウ</t>
    </rPh>
    <rPh sb="5" eb="7">
      <t>シュトク</t>
    </rPh>
    <rPh sb="7" eb="9">
      <t>カノウ</t>
    </rPh>
    <rPh sb="12" eb="14">
      <t>フヨウ</t>
    </rPh>
    <phoneticPr fontId="3"/>
  </si>
  <si>
    <t>発注書マスタ</t>
    <rPh sb="0" eb="3">
      <t>ハッチュウショ</t>
    </rPh>
    <phoneticPr fontId="3"/>
  </si>
  <si>
    <t>仕入先社名</t>
    <rPh sb="0" eb="3">
      <t>シイレサキ</t>
    </rPh>
    <rPh sb="3" eb="5">
      <t>シャメイ</t>
    </rPh>
    <phoneticPr fontId="3"/>
  </si>
  <si>
    <t>POにない項目のため削除</t>
    <rPh sb="5" eb="7">
      <t>コウモク</t>
    </rPh>
    <rPh sb="10" eb="12">
      <t>サクジョ</t>
    </rPh>
    <phoneticPr fontId="3"/>
  </si>
  <si>
    <t>製品状態コード</t>
    <rPh sb="0" eb="2">
      <t>セイヒン</t>
    </rPh>
    <rPh sb="2" eb="4">
      <t>ジョウタイ</t>
    </rPh>
    <phoneticPr fontId="3"/>
  </si>
  <si>
    <t>製品売上</t>
    <rPh sb="0" eb="2">
      <t>セイヒン</t>
    </rPh>
    <rPh sb="2" eb="4">
      <t>ウリアゲ</t>
    </rPh>
    <phoneticPr fontId="3"/>
  </si>
  <si>
    <t>納品日</t>
    <rPh sb="0" eb="3">
      <t>ノウヒンビ</t>
    </rPh>
    <phoneticPr fontId="3"/>
  </si>
  <si>
    <t>論理名を売上計上日に変更</t>
    <rPh sb="0" eb="2">
      <t>ロンリ</t>
    </rPh>
    <rPh sb="2" eb="3">
      <t>メイ</t>
    </rPh>
    <rPh sb="4" eb="6">
      <t>ウリアゲ</t>
    </rPh>
    <rPh sb="6" eb="9">
      <t>ケイジョウビ</t>
    </rPh>
    <rPh sb="10" eb="12">
      <t>ヘンコウ</t>
    </rPh>
    <phoneticPr fontId="3"/>
  </si>
  <si>
    <t>論理名を仕入計上日に変更</t>
    <rPh sb="0" eb="2">
      <t>ロンリ</t>
    </rPh>
    <rPh sb="2" eb="3">
      <t>メイ</t>
    </rPh>
    <rPh sb="4" eb="6">
      <t>シイレ</t>
    </rPh>
    <rPh sb="6" eb="9">
      <t>ケイジョウビ</t>
    </rPh>
    <rPh sb="10" eb="12">
      <t>ヘンコウ</t>
    </rPh>
    <phoneticPr fontId="3"/>
  </si>
  <si>
    <t>ユーザー指摘</t>
    <rPh sb="4" eb="6">
      <t>シテキ</t>
    </rPh>
    <phoneticPr fontId="3"/>
  </si>
  <si>
    <t>SQL</t>
    <phoneticPr fontId="3"/>
  </si>
  <si>
    <t xml:space="preserve">SELECT ((((t1.line + t2.line) + t3.line) + t4.line) + t5.line) AS line FROM (((SELECT 0 AS line UNION ALL SELECT 1 AS line) UNION ALL SELECT 2 AS line) UNION ALL SELECT 3 AS line) t1, (((SELECT 0 AS line UNION ALL SELECT 4 AS line) UNION ALL SELECT 8 AS line) UNION ALL SELECT 12 AS line) t2, (((SELECT 0 AS line UNION ALL SELECT 16 AS line) UNION ALL SELECT 32 AS line) UNION ALL SELECT 48 AS line) t3, (((SELECT 0 AS line UNION ALL SELECT 64 AS line) UNION ALL SELECT 128 AS line) UNION ALL SELECT 192 AS line) t4, (((SELECT 0 AS line UNION ALL SELECT 256 AS line) UNION ALL SELECT 512 AS line) UNION ALL SELECT 768 AS line) t5 ORDER BY ((((t1.line + t2.line) + t3.line) + t4.line) + t5.line);
</t>
    <phoneticPr fontId="3"/>
  </si>
  <si>
    <t xml:space="preserve">SELECT t1.line AS number, CASE WHEN (t1.line = 0) THEN '日'::text WHEN (t1.line = 1) THEN '月'::text WHEN (t1.line = 2) THEN '火'::text WHEN (t1.line = 3) THEN '水'::text WHEN (t1.line = 4) THEN '木'::text WHEN (t1.line = 5) THEN '金'::text WHEN (t1.line = 6) THEN '土'::text ELSE NULL::text END AS tostring FROM ((((((SELECT 0 AS line UNION ALL SELECT 1 AS line) UNION ALL SELECT 2 AS line) UNION ALL SELECT 3 AS line) UNION ALL SELECT 4 AS line) UNION ALL SELECT 5 AS line) UNION ALL SELECT 6 AS line) t1;
</t>
    <phoneticPr fontId="3"/>
  </si>
  <si>
    <t>受注明細テーブル</t>
    <rPh sb="0" eb="2">
      <t>ジュチュウ</t>
    </rPh>
    <phoneticPr fontId="3"/>
  </si>
  <si>
    <t>入数</t>
    <rPh sb="0" eb="2">
      <t>イリスウ</t>
    </rPh>
    <phoneticPr fontId="1"/>
  </si>
  <si>
    <t>御請求金額</t>
    <rPh sb="0" eb="1">
      <t>ゴ</t>
    </rPh>
    <rPh sb="1" eb="3">
      <t>セイキュウ</t>
    </rPh>
    <rPh sb="3" eb="5">
      <t>キンガク</t>
    </rPh>
    <phoneticPr fontId="3"/>
  </si>
  <si>
    <t>当月請求金額</t>
    <rPh sb="0" eb="2">
      <t>トウゲツ</t>
    </rPh>
    <rPh sb="2" eb="4">
      <t>セイキュウ</t>
    </rPh>
    <rPh sb="4" eb="6">
      <t>キンガク</t>
    </rPh>
    <phoneticPr fontId="3"/>
  </si>
  <si>
    <t>論理名をご請求金額に変更</t>
    <rPh sb="0" eb="2">
      <t>ロンリ</t>
    </rPh>
    <rPh sb="2" eb="3">
      <t>メイ</t>
    </rPh>
    <rPh sb="5" eb="7">
      <t>セイキュウ</t>
    </rPh>
    <rPh sb="7" eb="9">
      <t>キンガク</t>
    </rPh>
    <rPh sb="10" eb="12">
      <t>ヘンコウ</t>
    </rPh>
    <phoneticPr fontId="3"/>
  </si>
  <si>
    <t>lngunitquantity</t>
    <phoneticPr fontId="3"/>
  </si>
  <si>
    <t>製品マスタ</t>
    <rPh sb="0" eb="2">
      <t>セイヒン</t>
    </rPh>
    <phoneticPr fontId="3"/>
  </si>
  <si>
    <t>開発担当者コード</t>
    <rPh sb="0" eb="2">
      <t>カイハツ</t>
    </rPh>
    <rPh sb="2" eb="5">
      <t>タントウシャ</t>
    </rPh>
    <phoneticPr fontId="3"/>
  </si>
  <si>
    <t>追加</t>
    <rPh sb="0" eb="2">
      <t>ツイカ</t>
    </rPh>
    <phoneticPr fontId="3"/>
  </si>
  <si>
    <t>項目追加</t>
    <rPh sb="0" eb="2">
      <t>コウモク</t>
    </rPh>
    <rPh sb="2" eb="4">
      <t>ツイカ</t>
    </rPh>
    <phoneticPr fontId="3"/>
  </si>
  <si>
    <t>次期見積原価計算書の新規項目であるため</t>
    <rPh sb="0" eb="2">
      <t>ジキ</t>
    </rPh>
    <rPh sb="2" eb="4">
      <t>ミツモリ</t>
    </rPh>
    <rPh sb="4" eb="6">
      <t>ゲンカ</t>
    </rPh>
    <rPh sb="6" eb="9">
      <t>ケイサンショ</t>
    </rPh>
    <rPh sb="10" eb="12">
      <t>シンキ</t>
    </rPh>
    <rPh sb="12" eb="14">
      <t>コウモク</t>
    </rPh>
    <phoneticPr fontId="3"/>
  </si>
  <si>
    <t>開発担当者コード</t>
    <rPh sb="0" eb="2">
      <t>カイハツ</t>
    </rPh>
    <rPh sb="2" eb="5">
      <t>タントウシャ</t>
    </rPh>
    <phoneticPr fontId="1"/>
  </si>
  <si>
    <t>lngdevelopusercode</t>
    <phoneticPr fontId="3"/>
  </si>
  <si>
    <t>受注マスタ</t>
    <rPh sb="0" eb="2">
      <t>ジュチュウ</t>
    </rPh>
    <phoneticPr fontId="3"/>
  </si>
  <si>
    <t>削除</t>
    <rPh sb="0" eb="2">
      <t>サクジョ</t>
    </rPh>
    <phoneticPr fontId="3"/>
  </si>
  <si>
    <t>項目削除</t>
    <rPh sb="0" eb="2">
      <t>コウモク</t>
    </rPh>
    <rPh sb="2" eb="4">
      <t>サクジョ</t>
    </rPh>
    <phoneticPr fontId="3"/>
  </si>
  <si>
    <t>次期システムでは不要な項目のため</t>
    <rPh sb="0" eb="2">
      <t>ジキ</t>
    </rPh>
    <rPh sb="8" eb="10">
      <t>フヨウ</t>
    </rPh>
    <rPh sb="11" eb="13">
      <t>コウモク</t>
    </rPh>
    <phoneticPr fontId="3"/>
  </si>
  <si>
    <t>合計金額</t>
    <rPh sb="0" eb="2">
      <t>ゴウケイ</t>
    </rPh>
    <rPh sb="2" eb="4">
      <t>キンガク</t>
    </rPh>
    <phoneticPr fontId="3"/>
  </si>
  <si>
    <t>備考</t>
    <rPh sb="0" eb="2">
      <t>ビコウ</t>
    </rPh>
    <phoneticPr fontId="3"/>
  </si>
  <si>
    <t>発注マスタ</t>
    <rPh sb="0" eb="2">
      <t>ハッチュウ</t>
    </rPh>
    <phoneticPr fontId="3"/>
  </si>
  <si>
    <t>テーブル</t>
    <phoneticPr fontId="3"/>
  </si>
  <si>
    <t>削除</t>
    <rPh sb="0" eb="2">
      <t>サクジョ</t>
    </rPh>
    <phoneticPr fontId="3"/>
  </si>
  <si>
    <t>仕入部品マスタと売上分類区分紐づけマスタにて設定させるため。</t>
    <rPh sb="0" eb="2">
      <t>シイレ</t>
    </rPh>
    <rPh sb="2" eb="4">
      <t>ブヒン</t>
    </rPh>
    <rPh sb="22" eb="24">
      <t>セッテイ</t>
    </rPh>
    <phoneticPr fontId="3"/>
  </si>
  <si>
    <t>仕入部品マスタ</t>
    <rPh sb="0" eb="2">
      <t>シイレ</t>
    </rPh>
    <rPh sb="2" eb="4">
      <t>ブヒン</t>
    </rPh>
    <phoneticPr fontId="3"/>
  </si>
  <si>
    <t>エリアコード</t>
    <phoneticPr fontId="3"/>
  </si>
  <si>
    <t>追加</t>
    <rPh sb="0" eb="2">
      <t>ツイカ</t>
    </rPh>
    <phoneticPr fontId="3"/>
  </si>
  <si>
    <t>項目追加</t>
    <rPh sb="0" eb="2">
      <t>コウモク</t>
    </rPh>
    <rPh sb="2" eb="4">
      <t>ツイカ</t>
    </rPh>
    <phoneticPr fontId="3"/>
  </si>
  <si>
    <t>プルダウンマスタの機能吸収</t>
    <rPh sb="9" eb="11">
      <t>キノウ</t>
    </rPh>
    <rPh sb="11" eb="13">
      <t>キュウシュウ</t>
    </rPh>
    <phoneticPr fontId="3"/>
  </si>
  <si>
    <t>売上分類区分紐づけマスタ</t>
    <phoneticPr fontId="3"/>
  </si>
  <si>
    <t>変更</t>
    <rPh sb="0" eb="2">
      <t>ヘンコウ</t>
    </rPh>
    <phoneticPr fontId="3"/>
  </si>
  <si>
    <t>追加保留</t>
    <rPh sb="0" eb="2">
      <t>ツイカ</t>
    </rPh>
    <rPh sb="2" eb="4">
      <t>ホリュウ</t>
    </rPh>
    <phoneticPr fontId="3"/>
  </si>
  <si>
    <t>lngstocksubjectcode</t>
    <phoneticPr fontId="3"/>
  </si>
  <si>
    <t>発注マスタと1:1となるため追加</t>
    <rPh sb="0" eb="2">
      <t>ハッチュウ</t>
    </rPh>
    <rPh sb="14" eb="16">
      <t>ツイカ</t>
    </rPh>
    <phoneticPr fontId="3"/>
  </si>
  <si>
    <t>仕入明細と発注マスタが1:1となるため削除</t>
    <rPh sb="0" eb="2">
      <t>シイレ</t>
    </rPh>
    <rPh sb="2" eb="4">
      <t>メイサイ</t>
    </rPh>
    <rPh sb="5" eb="7">
      <t>ハッチュウ</t>
    </rPh>
    <rPh sb="19" eb="21">
      <t>サクジョ</t>
    </rPh>
    <phoneticPr fontId="3"/>
  </si>
  <si>
    <t>納期</t>
    <rPh sb="0" eb="2">
      <t>ノウキ</t>
    </rPh>
    <phoneticPr fontId="1"/>
  </si>
  <si>
    <t>dtmdelivery</t>
    <phoneticPr fontId="3"/>
  </si>
  <si>
    <t>見積原価明細テーブル</t>
    <phoneticPr fontId="3"/>
  </si>
  <si>
    <t>納期</t>
    <rPh sb="0" eb="2">
      <t>ノウキ</t>
    </rPh>
    <phoneticPr fontId="3"/>
  </si>
  <si>
    <t>追加</t>
    <rPh sb="0" eb="2">
      <t>ツイカ</t>
    </rPh>
    <phoneticPr fontId="3"/>
  </si>
  <si>
    <t>項目追加</t>
    <rPh sb="0" eb="2">
      <t>コウモク</t>
    </rPh>
    <rPh sb="2" eb="4">
      <t>ツイカ</t>
    </rPh>
    <phoneticPr fontId="3"/>
  </si>
  <si>
    <t>テーブル結合のコスト削減のため</t>
    <rPh sb="4" eb="6">
      <t>ケツゴウ</t>
    </rPh>
    <rPh sb="10" eb="12">
      <t>サクゲン</t>
    </rPh>
    <phoneticPr fontId="3"/>
  </si>
  <si>
    <t>lngdeliveryplacecode</t>
    <phoneticPr fontId="3"/>
  </si>
  <si>
    <t>lnginsertusercode</t>
    <phoneticPr fontId="3"/>
  </si>
  <si>
    <t>text→integerに変更の上、物理名も変更</t>
    <rPh sb="13" eb="15">
      <t>ヘンコウ</t>
    </rPh>
    <rPh sb="16" eb="17">
      <t>ウエ</t>
    </rPh>
    <rPh sb="18" eb="20">
      <t>ブツリ</t>
    </rPh>
    <rPh sb="20" eb="21">
      <t>メイ</t>
    </rPh>
    <rPh sb="22" eb="24">
      <t>ヘンコウ</t>
    </rPh>
    <phoneticPr fontId="3"/>
  </si>
  <si>
    <t>定義誤り</t>
    <rPh sb="0" eb="2">
      <t>テイギ</t>
    </rPh>
    <rPh sb="2" eb="3">
      <t>アヤマ</t>
    </rPh>
    <phoneticPr fontId="3"/>
  </si>
  <si>
    <t>不要な項目であるため</t>
    <rPh sb="0" eb="2">
      <t>フヨウ</t>
    </rPh>
    <rPh sb="3" eb="5">
      <t>コウモク</t>
    </rPh>
    <phoneticPr fontId="3"/>
  </si>
  <si>
    <t>lngcustomercode</t>
    <phoneticPr fontId="3"/>
  </si>
  <si>
    <t>strcompanyname</t>
    <phoneticPr fontId="3"/>
  </si>
  <si>
    <t>straddress1</t>
    <phoneticPr fontId="3"/>
  </si>
  <si>
    <t>strfax1</t>
    <phoneticPr fontId="3"/>
  </si>
  <si>
    <t>lngmonetaryunitcode</t>
    <phoneticPr fontId="3"/>
  </si>
  <si>
    <t>lngmonetaryratecode</t>
    <phoneticPr fontId="3"/>
  </si>
  <si>
    <t>dtmapplystartdate</t>
    <phoneticPr fontId="3"/>
  </si>
  <si>
    <t>PK</t>
    <phoneticPr fontId="3"/>
  </si>
  <si>
    <t>lngpayconditioncode</t>
    <phoneticPr fontId="3"/>
  </si>
  <si>
    <t>struserdisplayname</t>
    <phoneticPr fontId="3"/>
  </si>
  <si>
    <t>仕入科目コード</t>
    <rPh sb="0" eb="2">
      <t>シイレ</t>
    </rPh>
    <rPh sb="2" eb="4">
      <t>カモク</t>
    </rPh>
    <phoneticPr fontId="3"/>
  </si>
  <si>
    <t>仕入科目コード</t>
    <rPh sb="0" eb="2">
      <t>シイレ</t>
    </rPh>
    <rPh sb="2" eb="4">
      <t>カモク</t>
    </rPh>
    <phoneticPr fontId="3"/>
  </si>
  <si>
    <t>定義もれ</t>
    <rPh sb="0" eb="2">
      <t>テイギ</t>
    </rPh>
    <phoneticPr fontId="3"/>
  </si>
  <si>
    <t>lngstockitemcode</t>
    <phoneticPr fontId="3"/>
  </si>
  <si>
    <t>lngstocksubjectcode</t>
    <phoneticPr fontId="3"/>
  </si>
  <si>
    <t>lngproductionquantity</t>
    <phoneticPr fontId="3"/>
  </si>
  <si>
    <t>発注マスタ</t>
    <rPh sb="0" eb="2">
      <t>ハッチュウ</t>
    </rPh>
    <phoneticPr fontId="3"/>
  </si>
  <si>
    <t>削除</t>
    <rPh sb="0" eb="2">
      <t>サクジョ</t>
    </rPh>
    <phoneticPr fontId="3"/>
  </si>
  <si>
    <t>項目削除</t>
    <rPh sb="0" eb="2">
      <t>コウモク</t>
    </rPh>
    <rPh sb="2" eb="4">
      <t>サクジョ</t>
    </rPh>
    <phoneticPr fontId="3"/>
  </si>
  <si>
    <t>発注明細にあるため不要</t>
    <rPh sb="0" eb="2">
      <t>ハッチュウ</t>
    </rPh>
    <rPh sb="2" eb="4">
      <t>メイサイ</t>
    </rPh>
    <rPh sb="9" eb="11">
      <t>フヨウ</t>
    </rPh>
    <phoneticPr fontId="3"/>
  </si>
  <si>
    <t>受注明細にあるため不要</t>
    <rPh sb="0" eb="2">
      <t>ジュチュウ</t>
    </rPh>
    <rPh sb="2" eb="4">
      <t>メイサイ</t>
    </rPh>
    <rPh sb="9" eb="11">
      <t>フヨウ</t>
    </rPh>
    <phoneticPr fontId="3"/>
  </si>
  <si>
    <t>受注マスタ</t>
    <rPh sb="0" eb="2">
      <t>ジュチュウ</t>
    </rPh>
    <phoneticPr fontId="3"/>
  </si>
  <si>
    <t>締め日コード名</t>
  </si>
  <si>
    <t>変更</t>
    <rPh sb="0" eb="2">
      <t>ヘンコウ</t>
    </rPh>
    <phoneticPr fontId="3"/>
  </si>
  <si>
    <t>「コード名」という表記が表すものが不明瞭であるため。</t>
    <rPh sb="4" eb="5">
      <t>メイ</t>
    </rPh>
    <rPh sb="9" eb="11">
      <t>ヒョウキ</t>
    </rPh>
    <rPh sb="12" eb="13">
      <t>アラワ</t>
    </rPh>
    <rPh sb="17" eb="20">
      <t>フメイリョウ</t>
    </rPh>
    <phoneticPr fontId="3"/>
  </si>
  <si>
    <t>締め日マスタ</t>
    <rPh sb="0" eb="1">
      <t>シ</t>
    </rPh>
    <rPh sb="2" eb="3">
      <t>ビ</t>
    </rPh>
    <phoneticPr fontId="3"/>
  </si>
  <si>
    <t>締め日名称</t>
    <rPh sb="0" eb="1">
      <t>シ</t>
    </rPh>
    <rPh sb="2" eb="3">
      <t>ビ</t>
    </rPh>
    <rPh sb="3" eb="5">
      <t>メイショウ</t>
    </rPh>
    <phoneticPr fontId="1"/>
  </si>
  <si>
    <t>製品マスタ</t>
    <rPh sb="0" eb="2">
      <t>セイヒン</t>
    </rPh>
    <phoneticPr fontId="3"/>
  </si>
  <si>
    <t>論理名を締め日名称に変更</t>
    <rPh sb="0" eb="2">
      <t>ロンリ</t>
    </rPh>
    <rPh sb="2" eb="3">
      <t>メイ</t>
    </rPh>
    <rPh sb="7" eb="9">
      <t>メイショウ</t>
    </rPh>
    <rPh sb="10" eb="12">
      <t>ヘンコウ</t>
    </rPh>
    <phoneticPr fontId="3"/>
  </si>
  <si>
    <t>論理名を顧客商品コードに変更</t>
    <rPh sb="0" eb="2">
      <t>ロンリ</t>
    </rPh>
    <rPh sb="2" eb="3">
      <t>メイ</t>
    </rPh>
    <rPh sb="4" eb="6">
      <t>コキャク</t>
    </rPh>
    <rPh sb="6" eb="8">
      <t>ショウヒン</t>
    </rPh>
    <rPh sb="12" eb="14">
      <t>ヘンコウ</t>
    </rPh>
    <phoneticPr fontId="3"/>
  </si>
  <si>
    <t>論理名を顧客商品名称に変更</t>
    <rPh sb="0" eb="2">
      <t>ロンリ</t>
    </rPh>
    <rPh sb="2" eb="3">
      <t>メイ</t>
    </rPh>
    <rPh sb="4" eb="6">
      <t>コキャク</t>
    </rPh>
    <rPh sb="6" eb="8">
      <t>ショウヒン</t>
    </rPh>
    <rPh sb="8" eb="10">
      <t>メイショウ</t>
    </rPh>
    <rPh sb="11" eb="13">
      <t>ヘンコウ</t>
    </rPh>
    <phoneticPr fontId="3"/>
  </si>
  <si>
    <t>論理名から用途がわかりにくいため</t>
    <rPh sb="0" eb="2">
      <t>ロンリ</t>
    </rPh>
    <rPh sb="2" eb="3">
      <t>メイ</t>
    </rPh>
    <rPh sb="5" eb="7">
      <t>ヨウト</t>
    </rPh>
    <phoneticPr fontId="3"/>
  </si>
  <si>
    <t>顧客商品コード</t>
    <rPh sb="0" eb="2">
      <t>コキャク</t>
    </rPh>
    <rPh sb="2" eb="4">
      <t>ショウヒン</t>
    </rPh>
    <phoneticPr fontId="1"/>
  </si>
  <si>
    <t>㏄</t>
    <phoneticPr fontId="1"/>
  </si>
  <si>
    <t>発注状態</t>
    <rPh sb="0" eb="2">
      <t>ハッチュウ</t>
    </rPh>
    <rPh sb="2" eb="4">
      <t>ジョウタイ</t>
    </rPh>
    <phoneticPr fontId="3"/>
  </si>
  <si>
    <t>論理名を発注状態コードに変更</t>
    <rPh sb="0" eb="2">
      <t>ロンリ</t>
    </rPh>
    <rPh sb="2" eb="3">
      <t>メイ</t>
    </rPh>
    <rPh sb="4" eb="6">
      <t>ハッチュウ</t>
    </rPh>
    <rPh sb="6" eb="8">
      <t>ジョウタイ</t>
    </rPh>
    <rPh sb="12" eb="14">
      <t>ヘンコウ</t>
    </rPh>
    <phoneticPr fontId="3"/>
  </si>
  <si>
    <t>名称の不一致を修正</t>
    <rPh sb="0" eb="2">
      <t>メイショウ</t>
    </rPh>
    <rPh sb="3" eb="6">
      <t>フイッチ</t>
    </rPh>
    <rPh sb="7" eb="9">
      <t>シュウセイ</t>
    </rPh>
    <phoneticPr fontId="3"/>
  </si>
  <si>
    <t>発注マスタ</t>
    <rPh sb="0" eb="2">
      <t>ハッチュウ</t>
    </rPh>
    <phoneticPr fontId="3"/>
  </si>
  <si>
    <t>見積原価ステータス</t>
    <rPh sb="0" eb="2">
      <t>ミツモリ</t>
    </rPh>
    <rPh sb="2" eb="4">
      <t>ゲンカ</t>
    </rPh>
    <phoneticPr fontId="1"/>
  </si>
  <si>
    <t>見積原価状態ステータス</t>
    <phoneticPr fontId="3"/>
  </si>
  <si>
    <t>同義語が重複しているため</t>
    <rPh sb="0" eb="3">
      <t>ドウギゴ</t>
    </rPh>
    <rPh sb="4" eb="6">
      <t>ジュウフク</t>
    </rPh>
    <phoneticPr fontId="3"/>
  </si>
  <si>
    <t>固定費</t>
    <phoneticPr fontId="3"/>
  </si>
  <si>
    <t>意味合いとして正しい単語に変更</t>
    <rPh sb="0" eb="3">
      <t>イミア</t>
    </rPh>
    <rPh sb="7" eb="8">
      <t>タダ</t>
    </rPh>
    <rPh sb="10" eb="12">
      <t>タンゴ</t>
    </rPh>
    <rPh sb="13" eb="15">
      <t>ヘンコウ</t>
    </rPh>
    <phoneticPr fontId="3"/>
  </si>
  <si>
    <t>テーブル名</t>
    <rPh sb="4" eb="5">
      <t>メイ</t>
    </rPh>
    <phoneticPr fontId="3"/>
  </si>
  <si>
    <t>用途に合わせたいため</t>
    <rPh sb="0" eb="2">
      <t>ヨウト</t>
    </rPh>
    <rPh sb="3" eb="4">
      <t>ア</t>
    </rPh>
    <phoneticPr fontId="3"/>
  </si>
  <si>
    <t>消費税率マスタ</t>
    <rPh sb="3" eb="4">
      <t>リツ</t>
    </rPh>
    <phoneticPr fontId="3"/>
  </si>
  <si>
    <t>消費税率マスタ</t>
    <rPh sb="0" eb="3">
      <t>ショウヒゼイ</t>
    </rPh>
    <rPh sb="3" eb="4">
      <t>リツ</t>
    </rPh>
    <phoneticPr fontId="3"/>
  </si>
  <si>
    <t>消費税コード</t>
    <rPh sb="0" eb="3">
      <t>ショウヒゼイ</t>
    </rPh>
    <phoneticPr fontId="3"/>
  </si>
  <si>
    <t>消費税</t>
    <rPh sb="0" eb="3">
      <t>ショウヒゼイ</t>
    </rPh>
    <phoneticPr fontId="3"/>
  </si>
  <si>
    <t>消費税率コード</t>
    <rPh sb="0" eb="3">
      <t>ショウヒゼイ</t>
    </rPh>
    <rPh sb="3" eb="4">
      <t>リツ</t>
    </rPh>
    <phoneticPr fontId="1"/>
  </si>
  <si>
    <t>発注明細テーブル</t>
    <rPh sb="0" eb="2">
      <t>ハッチュウ</t>
    </rPh>
    <rPh sb="2" eb="4">
      <t>メイサイ</t>
    </rPh>
    <phoneticPr fontId="3"/>
  </si>
  <si>
    <t>受注明細テーブル</t>
    <rPh sb="0" eb="2">
      <t>ジュチュウ</t>
    </rPh>
    <rPh sb="2" eb="4">
      <t>メイサイ</t>
    </rPh>
    <phoneticPr fontId="3"/>
  </si>
  <si>
    <t>仕入明細テーブル</t>
    <rPh sb="0" eb="2">
      <t>シイレ</t>
    </rPh>
    <rPh sb="2" eb="4">
      <t>メイサイ</t>
    </rPh>
    <phoneticPr fontId="3"/>
  </si>
  <si>
    <t>売上明細テーブル</t>
    <rPh sb="0" eb="2">
      <t>ウリアゲ</t>
    </rPh>
    <rPh sb="2" eb="4">
      <t>メイサイ</t>
    </rPh>
    <phoneticPr fontId="3"/>
  </si>
  <si>
    <t>消費税率コード</t>
    <rPh sb="0" eb="2">
      <t>ショウヒ</t>
    </rPh>
    <rPh sb="2" eb="3">
      <t>ゼイ</t>
    </rPh>
    <rPh sb="3" eb="4">
      <t>リツ</t>
    </rPh>
    <phoneticPr fontId="1"/>
  </si>
  <si>
    <t>通貨単位名</t>
    <rPh sb="4" eb="5">
      <t>メイ</t>
    </rPh>
    <phoneticPr fontId="3"/>
  </si>
  <si>
    <t>出力項目とは通貨単位のみ</t>
    <rPh sb="0" eb="2">
      <t>シュツリョク</t>
    </rPh>
    <rPh sb="2" eb="4">
      <t>コウモク</t>
    </rPh>
    <rPh sb="6" eb="8">
      <t>ツウカ</t>
    </rPh>
    <rPh sb="8" eb="10">
      <t>タンイ</t>
    </rPh>
    <phoneticPr fontId="3"/>
  </si>
  <si>
    <t>発注書マスタ</t>
    <phoneticPr fontId="3"/>
  </si>
  <si>
    <t>lngreceiveno</t>
    <phoneticPr fontId="3"/>
  </si>
  <si>
    <t>売上明細テーブル</t>
    <rPh sb="0" eb="2">
      <t>ウリアゲ</t>
    </rPh>
    <rPh sb="2" eb="4">
      <t>メイサイ</t>
    </rPh>
    <phoneticPr fontId="3"/>
  </si>
  <si>
    <t>受注マスタと1:1となるため追加</t>
    <rPh sb="0" eb="2">
      <t>ジュチュウ</t>
    </rPh>
    <rPh sb="14" eb="16">
      <t>ツイカ</t>
    </rPh>
    <phoneticPr fontId="3"/>
  </si>
  <si>
    <t>受注明細と受注マスタが1:1となるため削除</t>
    <rPh sb="0" eb="2">
      <t>ジュチュウ</t>
    </rPh>
    <rPh sb="2" eb="4">
      <t>メイサイ</t>
    </rPh>
    <rPh sb="5" eb="7">
      <t>ジュチュウ</t>
    </rPh>
    <rPh sb="19" eb="21">
      <t>サクジョ</t>
    </rPh>
    <phoneticPr fontId="3"/>
  </si>
  <si>
    <t>通貨コード</t>
    <rPh sb="0" eb="2">
      <t>ツウカ</t>
    </rPh>
    <phoneticPr fontId="3"/>
  </si>
  <si>
    <t>論理名を見積原価ステータスに変更</t>
    <rPh sb="14" eb="16">
      <t>ヘンコウ</t>
    </rPh>
    <phoneticPr fontId="3"/>
  </si>
  <si>
    <t>論理名を償却費に変更</t>
    <rPh sb="4" eb="6">
      <t>ショウキャク</t>
    </rPh>
    <rPh sb="6" eb="7">
      <t>ヒ</t>
    </rPh>
    <rPh sb="8" eb="10">
      <t>ヘンコウ</t>
    </rPh>
    <phoneticPr fontId="3"/>
  </si>
  <si>
    <t>論理名を消費税率マスタ→消費税率マスタに変更</t>
    <rPh sb="12" eb="15">
      <t>ショウヒゼイ</t>
    </rPh>
    <rPh sb="15" eb="16">
      <t>リツ</t>
    </rPh>
    <rPh sb="20" eb="22">
      <t>ヘンコウ</t>
    </rPh>
    <phoneticPr fontId="3"/>
  </si>
  <si>
    <t>論理名を消費税率コードに変更</t>
    <rPh sb="4" eb="7">
      <t>ショウヒゼイ</t>
    </rPh>
    <rPh sb="7" eb="8">
      <t>リツ</t>
    </rPh>
    <rPh sb="12" eb="14">
      <t>ヘンコウ</t>
    </rPh>
    <phoneticPr fontId="3"/>
  </si>
  <si>
    <t>論理名を消費税率</t>
    <phoneticPr fontId="3"/>
  </si>
  <si>
    <t>全テーブル</t>
    <rPh sb="0" eb="1">
      <t>ゼン</t>
    </rPh>
    <phoneticPr fontId="3"/>
  </si>
  <si>
    <t>リバイズコード</t>
    <phoneticPr fontId="3"/>
  </si>
  <si>
    <t>変更</t>
    <rPh sb="0" eb="2">
      <t>ヘンコウ</t>
    </rPh>
    <phoneticPr fontId="3"/>
  </si>
  <si>
    <t>論理名を再販コードに変更</t>
    <rPh sb="0" eb="2">
      <t>ロンリ</t>
    </rPh>
    <rPh sb="2" eb="3">
      <t>メイ</t>
    </rPh>
    <rPh sb="4" eb="6">
      <t>サイハン</t>
    </rPh>
    <rPh sb="10" eb="12">
      <t>ヘンコウ</t>
    </rPh>
    <phoneticPr fontId="3"/>
  </si>
  <si>
    <t>リビジョンとの違いが分かりにくいため</t>
    <rPh sb="7" eb="8">
      <t>チガ</t>
    </rPh>
    <rPh sb="10" eb="11">
      <t>ワ</t>
    </rPh>
    <phoneticPr fontId="3"/>
  </si>
  <si>
    <t>再販コード</t>
  </si>
  <si>
    <t>lngmonetaryratecode</t>
    <phoneticPr fontId="3"/>
  </si>
  <si>
    <t>発注書明細テーブル</t>
    <rPh sb="0" eb="3">
      <t>ハッチュウショ</t>
    </rPh>
    <rPh sb="3" eb="5">
      <t>メイサイ</t>
    </rPh>
    <phoneticPr fontId="3"/>
  </si>
  <si>
    <t>timestamp without time zone</t>
    <phoneticPr fontId="3"/>
  </si>
  <si>
    <t>strreceivecode</t>
    <phoneticPr fontId="3"/>
  </si>
  <si>
    <t>製品リビジョン番号</t>
    <rPh sb="0" eb="2">
      <t>セイヒン</t>
    </rPh>
    <rPh sb="7" eb="9">
      <t>バンゴウ</t>
    </rPh>
    <phoneticPr fontId="1"/>
  </si>
  <si>
    <t>lngproductrevisionno</t>
    <phoneticPr fontId="3"/>
  </si>
  <si>
    <t>商品リビジョン番号</t>
    <rPh sb="0" eb="2">
      <t>ショウヒン</t>
    </rPh>
    <rPh sb="7" eb="9">
      <t>バンゴウ</t>
    </rPh>
    <phoneticPr fontId="3"/>
  </si>
  <si>
    <t>追加</t>
    <rPh sb="0" eb="2">
      <t>ツイカ</t>
    </rPh>
    <phoneticPr fontId="3"/>
  </si>
  <si>
    <t>項目追加</t>
    <rPh sb="0" eb="2">
      <t>コウモク</t>
    </rPh>
    <rPh sb="2" eb="4">
      <t>ツイカ</t>
    </rPh>
    <phoneticPr fontId="3"/>
  </si>
  <si>
    <t>パーセント入力値</t>
    <phoneticPr fontId="3"/>
  </si>
  <si>
    <t>見積原価明細テーブル</t>
    <phoneticPr fontId="3"/>
  </si>
  <si>
    <t>「単価」が該当の項目であるため</t>
    <rPh sb="1" eb="3">
      <t>タンカ</t>
    </rPh>
    <rPh sb="5" eb="7">
      <t>ガイトウ</t>
    </rPh>
    <rPh sb="8" eb="10">
      <t>コウモク</t>
    </rPh>
    <phoneticPr fontId="3"/>
  </si>
  <si>
    <t>単価</t>
    <rPh sb="0" eb="2">
      <t>タンカ</t>
    </rPh>
    <phoneticPr fontId="3"/>
  </si>
  <si>
    <t>論理名をパーセント入力値に変更</t>
    <rPh sb="0" eb="2">
      <t>ロンリ</t>
    </rPh>
    <rPh sb="2" eb="3">
      <t>メイ</t>
    </rPh>
    <rPh sb="9" eb="11">
      <t>ニュウリョク</t>
    </rPh>
    <rPh sb="11" eb="12">
      <t>チ</t>
    </rPh>
    <rPh sb="13" eb="15">
      <t>ヘンコウ</t>
    </rPh>
    <phoneticPr fontId="3"/>
  </si>
  <si>
    <t>論理名が用途と一致していないため</t>
    <rPh sb="0" eb="2">
      <t>ロンリ</t>
    </rPh>
    <rPh sb="2" eb="3">
      <t>メイ</t>
    </rPh>
    <rPh sb="4" eb="6">
      <t>ヨウト</t>
    </rPh>
    <rPh sb="7" eb="9">
      <t>イッチ</t>
    </rPh>
    <phoneticPr fontId="3"/>
  </si>
  <si>
    <t>lngestimateno</t>
    <phoneticPr fontId="3"/>
  </si>
  <si>
    <t>製品情報の修正により、製品のみリビジョン番号が上がるケースがあるため、明示的に項目として保持する必要があるため。</t>
    <rPh sb="0" eb="2">
      <t>セイヒン</t>
    </rPh>
    <rPh sb="2" eb="4">
      <t>ジョウホウ</t>
    </rPh>
    <rPh sb="5" eb="7">
      <t>シュウセイ</t>
    </rPh>
    <rPh sb="11" eb="13">
      <t>セイヒン</t>
    </rPh>
    <rPh sb="20" eb="22">
      <t>バンゴウ</t>
    </rPh>
    <rPh sb="23" eb="24">
      <t>ア</t>
    </rPh>
    <rPh sb="35" eb="38">
      <t>メイジテキ</t>
    </rPh>
    <rPh sb="39" eb="41">
      <t>コウモク</t>
    </rPh>
    <rPh sb="44" eb="46">
      <t>ホジ</t>
    </rPh>
    <rPh sb="48" eb="50">
      <t>ヒツヨウ</t>
    </rPh>
    <phoneticPr fontId="3"/>
  </si>
  <si>
    <t>仕入科目コード</t>
  </si>
  <si>
    <t>NOT NULL解除</t>
    <rPh sb="8" eb="10">
      <t>カイジョ</t>
    </rPh>
    <phoneticPr fontId="3"/>
  </si>
  <si>
    <t>PK解除時の解除もれ</t>
    <rPh sb="2" eb="4">
      <t>カイジョ</t>
    </rPh>
    <rPh sb="4" eb="5">
      <t>ジ</t>
    </rPh>
    <rPh sb="6" eb="8">
      <t>カイジョ</t>
    </rPh>
    <phoneticPr fontId="3"/>
  </si>
  <si>
    <t>納品伝票マスタ</t>
    <rPh sb="0" eb="2">
      <t>ノウヒン</t>
    </rPh>
    <rPh sb="2" eb="4">
      <t>デンピョウ</t>
    </rPh>
    <phoneticPr fontId="3"/>
  </si>
  <si>
    <t>署名マスタ</t>
    <rPh sb="0" eb="2">
      <t>ショメイ</t>
    </rPh>
    <phoneticPr fontId="3"/>
  </si>
  <si>
    <t>署名マスタ</t>
    <rPh sb="0" eb="2">
      <t>ショメイ</t>
    </rPh>
    <phoneticPr fontId="3"/>
  </si>
  <si>
    <t>全体</t>
    <rPh sb="0" eb="2">
      <t>ゼンタイ</t>
    </rPh>
    <phoneticPr fontId="3"/>
  </si>
  <si>
    <t>グループコード</t>
    <phoneticPr fontId="3"/>
  </si>
  <si>
    <t>m_signature</t>
    <phoneticPr fontId="3"/>
  </si>
  <si>
    <t>署名画像ファイル名</t>
    <rPh sb="0" eb="2">
      <t>ショメイ</t>
    </rPh>
    <rPh sb="2" eb="4">
      <t>ガゾウ</t>
    </rPh>
    <rPh sb="8" eb="9">
      <t>メイ</t>
    </rPh>
    <phoneticPr fontId="3"/>
  </si>
  <si>
    <t>txtsignaturefilename</t>
    <phoneticPr fontId="3"/>
  </si>
  <si>
    <t>追加</t>
    <rPh sb="0" eb="2">
      <t>ツイカ</t>
    </rPh>
    <phoneticPr fontId="3"/>
  </si>
  <si>
    <t>テーブル追加</t>
    <rPh sb="4" eb="6">
      <t>ツイカ</t>
    </rPh>
    <phoneticPr fontId="3"/>
  </si>
  <si>
    <t>PO署名イメージ追加のため</t>
    <rPh sb="2" eb="4">
      <t>ショメイ</t>
    </rPh>
    <rPh sb="8" eb="10">
      <t>ツイカ</t>
    </rPh>
    <phoneticPr fontId="3"/>
  </si>
  <si>
    <t>消費税率</t>
    <rPh sb="0" eb="3">
      <t>ショウヒゼイ</t>
    </rPh>
    <rPh sb="3" eb="4">
      <t>リツ</t>
    </rPh>
    <phoneticPr fontId="1"/>
  </si>
  <si>
    <t>優先順位</t>
    <rPh sb="0" eb="2">
      <t>ユウセン</t>
    </rPh>
    <rPh sb="2" eb="4">
      <t>ジュンイ</t>
    </rPh>
    <phoneticPr fontId="1"/>
  </si>
  <si>
    <t>lngpriority</t>
    <phoneticPr fontId="3"/>
  </si>
  <si>
    <t>integer</t>
    <phoneticPr fontId="3"/>
  </si>
  <si>
    <t>優先順位</t>
    <phoneticPr fontId="3"/>
  </si>
  <si>
    <t>新税制では食品とそれ以外で税率が異なるため。</t>
    <rPh sb="0" eb="3">
      <t>シンゼイセイ</t>
    </rPh>
    <rPh sb="5" eb="7">
      <t>ショクヒン</t>
    </rPh>
    <rPh sb="10" eb="12">
      <t>イガイ</t>
    </rPh>
    <rPh sb="13" eb="15">
      <t>ゼイリツ</t>
    </rPh>
    <rPh sb="16" eb="17">
      <t>コト</t>
    </rPh>
    <phoneticPr fontId="3"/>
  </si>
  <si>
    <t>支払期限</t>
    <rPh sb="0" eb="2">
      <t>シハライ</t>
    </rPh>
    <rPh sb="2" eb="4">
      <t>キゲン</t>
    </rPh>
    <phoneticPr fontId="3"/>
  </si>
  <si>
    <t>dtmpaymentlimit</t>
    <phoneticPr fontId="3"/>
  </si>
  <si>
    <t>支払期限</t>
    <rPh sb="0" eb="2">
      <t>シハライ</t>
    </rPh>
    <rPh sb="2" eb="4">
      <t>キゲン</t>
    </rPh>
    <phoneticPr fontId="3"/>
  </si>
  <si>
    <t>DEBIT NOTE記載事項のため追加</t>
    <rPh sb="10" eb="12">
      <t>キサイ</t>
    </rPh>
    <rPh sb="12" eb="14">
      <t>ジコウ</t>
    </rPh>
    <rPh sb="17" eb="19">
      <t>ツイカ</t>
    </rPh>
    <phoneticPr fontId="3"/>
  </si>
  <si>
    <t>支払方法コード</t>
    <rPh sb="0" eb="2">
      <t>シハライ</t>
    </rPh>
    <rPh sb="2" eb="4">
      <t>ホウホウ</t>
    </rPh>
    <phoneticPr fontId="3"/>
  </si>
  <si>
    <t>lngpaymentmethodcode</t>
    <phoneticPr fontId="3"/>
  </si>
  <si>
    <t>支払方法コード</t>
    <phoneticPr fontId="3"/>
  </si>
  <si>
    <t>支払方法マスタ</t>
    <rPh sb="2" eb="4">
      <t>ホウホウ</t>
    </rPh>
    <phoneticPr fontId="3"/>
  </si>
  <si>
    <t>m_paymentmethod</t>
    <phoneticPr fontId="3"/>
  </si>
  <si>
    <t>m_paymentmethod</t>
    <phoneticPr fontId="3"/>
  </si>
  <si>
    <t>支払方法マスタ</t>
    <rPh sb="2" eb="4">
      <t>ホウホウ</t>
    </rPh>
    <phoneticPr fontId="3"/>
  </si>
  <si>
    <t>支払方法コード</t>
    <rPh sb="0" eb="2">
      <t>シハライ</t>
    </rPh>
    <rPh sb="2" eb="4">
      <t>ホウホウ</t>
    </rPh>
    <phoneticPr fontId="1"/>
  </si>
  <si>
    <t>支払方法名称</t>
    <rPh sb="0" eb="2">
      <t>シハライ</t>
    </rPh>
    <rPh sb="2" eb="4">
      <t>ホウホウ</t>
    </rPh>
    <rPh sb="4" eb="6">
      <t>メイショウ</t>
    </rPh>
    <phoneticPr fontId="1"/>
  </si>
  <si>
    <t>strpaymentmethodname</t>
    <phoneticPr fontId="3"/>
  </si>
  <si>
    <t>支払方法マスタ</t>
    <rPh sb="0" eb="2">
      <t>シハライ</t>
    </rPh>
    <rPh sb="2" eb="4">
      <t>ホウホウ</t>
    </rPh>
    <phoneticPr fontId="3"/>
  </si>
  <si>
    <t>見積原価リビジョン番号</t>
    <rPh sb="2" eb="4">
      <t>ゲンカ</t>
    </rPh>
    <rPh sb="9" eb="11">
      <t>バンゴウ</t>
    </rPh>
    <phoneticPr fontId="1"/>
  </si>
  <si>
    <t>見積原価リビジョン番号</t>
    <rPh sb="0" eb="2">
      <t>ミツモリ</t>
    </rPh>
    <rPh sb="2" eb="4">
      <t>ゲンカ</t>
    </rPh>
    <rPh sb="9" eb="11">
      <t>バンゴウ</t>
    </rPh>
    <phoneticPr fontId="1"/>
  </si>
  <si>
    <t>見積原価書修正により、明細数が変動した場合、見積原価書と受発注明細のリビジョン番号が一致しなくなるため。</t>
    <rPh sb="0" eb="2">
      <t>ミツモリ</t>
    </rPh>
    <rPh sb="2" eb="4">
      <t>ゲンカ</t>
    </rPh>
    <rPh sb="4" eb="5">
      <t>ショ</t>
    </rPh>
    <rPh sb="5" eb="7">
      <t>シュウセイ</t>
    </rPh>
    <rPh sb="11" eb="13">
      <t>メイサイ</t>
    </rPh>
    <rPh sb="13" eb="14">
      <t>スウ</t>
    </rPh>
    <rPh sb="15" eb="17">
      <t>ヘンドウ</t>
    </rPh>
    <rPh sb="19" eb="21">
      <t>バアイ</t>
    </rPh>
    <rPh sb="22" eb="24">
      <t>ミツモリ</t>
    </rPh>
    <rPh sb="24" eb="26">
      <t>ゲンカ</t>
    </rPh>
    <rPh sb="26" eb="27">
      <t>ショ</t>
    </rPh>
    <rPh sb="28" eb="31">
      <t>ジュハッチュウ</t>
    </rPh>
    <rPh sb="31" eb="33">
      <t>メイサイ</t>
    </rPh>
    <rPh sb="39" eb="41">
      <t>バンゴウ</t>
    </rPh>
    <rPh sb="42" eb="44">
      <t>イッチ</t>
    </rPh>
    <phoneticPr fontId="3"/>
  </si>
  <si>
    <t>受注リビジョン番号</t>
    <rPh sb="0" eb="2">
      <t>ジュチュウ</t>
    </rPh>
    <rPh sb="7" eb="9">
      <t>バンゴウ</t>
    </rPh>
    <phoneticPr fontId="1"/>
  </si>
  <si>
    <t>PK不足</t>
    <rPh sb="2" eb="4">
      <t>フソク</t>
    </rPh>
    <phoneticPr fontId="3"/>
  </si>
  <si>
    <t>仕入明細テーブル</t>
    <rPh sb="0" eb="2">
      <t>シイレ</t>
    </rPh>
    <rPh sb="2" eb="4">
      <t>メイサイ</t>
    </rPh>
    <phoneticPr fontId="3"/>
  </si>
  <si>
    <t>発注リビジョン番号</t>
    <phoneticPr fontId="3"/>
  </si>
  <si>
    <t>発注リビジョン番号</t>
    <rPh sb="0" eb="2">
      <t>ハッチュウ</t>
    </rPh>
    <rPh sb="7" eb="9">
      <t>バンゴウ</t>
    </rPh>
    <phoneticPr fontId="1"/>
  </si>
  <si>
    <t>lngorderrevisionno</t>
    <phoneticPr fontId="3"/>
  </si>
  <si>
    <t>m_groupattribute</t>
    <phoneticPr fontId="3"/>
  </si>
  <si>
    <t>グループ属性マスタ</t>
    <phoneticPr fontId="3"/>
  </si>
  <si>
    <t>グループ属性コード</t>
    <rPh sb="4" eb="6">
      <t>ゾクセイ</t>
    </rPh>
    <phoneticPr fontId="1"/>
  </si>
  <si>
    <t>グループ属性名</t>
    <rPh sb="4" eb="6">
      <t>ゾクセイ</t>
    </rPh>
    <rPh sb="6" eb="7">
      <t>メイ</t>
    </rPh>
    <phoneticPr fontId="1"/>
  </si>
  <si>
    <t>m_groupattributerelation</t>
    <phoneticPr fontId="3"/>
  </si>
  <si>
    <t>グループ属性関連マスタ</t>
    <phoneticPr fontId="3"/>
  </si>
  <si>
    <t>グループ属性関連コード</t>
    <rPh sb="4" eb="6">
      <t>ゾクセイ</t>
    </rPh>
    <rPh sb="6" eb="8">
      <t>カンレン</t>
    </rPh>
    <phoneticPr fontId="1"/>
  </si>
  <si>
    <t>グループコード</t>
    <phoneticPr fontId="1"/>
  </si>
  <si>
    <t>m_groupattributerelation_pkey</t>
    <phoneticPr fontId="3"/>
  </si>
  <si>
    <t>m_groupattribute_pkey</t>
    <phoneticPr fontId="3"/>
  </si>
  <si>
    <t>グループ属性マスタ</t>
    <rPh sb="4" eb="6">
      <t>ゾクセイ</t>
    </rPh>
    <phoneticPr fontId="3"/>
  </si>
  <si>
    <t>全体</t>
    <rPh sb="0" eb="2">
      <t>ゼンタイ</t>
    </rPh>
    <phoneticPr fontId="3"/>
  </si>
  <si>
    <t>追加</t>
    <rPh sb="0" eb="2">
      <t>ツイカ</t>
    </rPh>
    <phoneticPr fontId="3"/>
  </si>
  <si>
    <t>テーブル追加</t>
    <rPh sb="4" eb="6">
      <t>ツイカ</t>
    </rPh>
    <phoneticPr fontId="3"/>
  </si>
  <si>
    <t>見積原価書営業部署プルダウン対象絞込み</t>
    <rPh sb="0" eb="2">
      <t>ミツモリ</t>
    </rPh>
    <rPh sb="2" eb="4">
      <t>ゲンカ</t>
    </rPh>
    <rPh sb="4" eb="5">
      <t>ショ</t>
    </rPh>
    <rPh sb="5" eb="7">
      <t>エイギョウ</t>
    </rPh>
    <rPh sb="7" eb="9">
      <t>ブショ</t>
    </rPh>
    <rPh sb="14" eb="16">
      <t>タイショウ</t>
    </rPh>
    <rPh sb="16" eb="17">
      <t>シボリ</t>
    </rPh>
    <rPh sb="17" eb="18">
      <t>コ</t>
    </rPh>
    <phoneticPr fontId="3"/>
  </si>
  <si>
    <t>グループ属性関連マスタ</t>
    <rPh sb="4" eb="6">
      <t>ゾクセイ</t>
    </rPh>
    <rPh sb="6" eb="8">
      <t>カンレン</t>
    </rPh>
    <phoneticPr fontId="3"/>
  </si>
  <si>
    <t>lngestimaterevisionno</t>
    <phoneticPr fontId="3"/>
  </si>
  <si>
    <t>会社マスタ</t>
    <phoneticPr fontId="3"/>
  </si>
  <si>
    <t>表示会社許可</t>
    <phoneticPr fontId="3"/>
  </si>
  <si>
    <t>変更</t>
    <rPh sb="0" eb="2">
      <t>ヘンコウ</t>
    </rPh>
    <phoneticPr fontId="3"/>
  </si>
  <si>
    <t>論理名を会社表示許可フラグに変更</t>
    <rPh sb="0" eb="2">
      <t>ロンリ</t>
    </rPh>
    <rPh sb="2" eb="3">
      <t>メイ</t>
    </rPh>
    <rPh sb="4" eb="6">
      <t>カイシャ</t>
    </rPh>
    <rPh sb="6" eb="8">
      <t>ヒョウジ</t>
    </rPh>
    <rPh sb="8" eb="10">
      <t>キョカ</t>
    </rPh>
    <rPh sb="14" eb="16">
      <t>ヘンコウ</t>
    </rPh>
    <phoneticPr fontId="3"/>
  </si>
  <si>
    <t>和名から正しい用途が把握できないため</t>
    <rPh sb="0" eb="2">
      <t>ワメイ</t>
    </rPh>
    <rPh sb="4" eb="5">
      <t>タダ</t>
    </rPh>
    <rPh sb="7" eb="9">
      <t>ヨウト</t>
    </rPh>
    <rPh sb="10" eb="12">
      <t>ハアク</t>
    </rPh>
    <phoneticPr fontId="3"/>
  </si>
  <si>
    <t>会社表示許可フラグ</t>
    <rPh sb="0" eb="2">
      <t>カイシャ</t>
    </rPh>
    <rPh sb="2" eb="4">
      <t>ヒョウジ</t>
    </rPh>
    <rPh sb="4" eb="6">
      <t>キョカ</t>
    </rPh>
    <phoneticPr fontId="1"/>
  </si>
  <si>
    <t>表示会社コード</t>
    <phoneticPr fontId="3"/>
  </si>
  <si>
    <t>論理名を表示用会社コードに変更</t>
    <rPh sb="0" eb="2">
      <t>ロンリ</t>
    </rPh>
    <rPh sb="2" eb="3">
      <t>メイ</t>
    </rPh>
    <rPh sb="6" eb="7">
      <t>ヨウ</t>
    </rPh>
    <rPh sb="13" eb="15">
      <t>ヘンコウ</t>
    </rPh>
    <phoneticPr fontId="3"/>
  </si>
  <si>
    <t>表示用会社コード</t>
    <rPh sb="0" eb="2">
      <t>ヒョウジ</t>
    </rPh>
    <rPh sb="2" eb="3">
      <t>ヨウ</t>
    </rPh>
    <rPh sb="3" eb="5">
      <t>カイシャ</t>
    </rPh>
    <phoneticPr fontId="1"/>
  </si>
  <si>
    <t>表示会社名称</t>
    <phoneticPr fontId="3"/>
  </si>
  <si>
    <t>表示用会社名称</t>
    <rPh sb="0" eb="2">
      <t>ヒョウジ</t>
    </rPh>
    <rPh sb="2" eb="3">
      <t>ヨウ</t>
    </rPh>
    <rPh sb="3" eb="5">
      <t>カイシャ</t>
    </rPh>
    <rPh sb="5" eb="7">
      <t>メイショウ</t>
    </rPh>
    <phoneticPr fontId="1"/>
  </si>
  <si>
    <t>表示グループ許可</t>
    <phoneticPr fontId="3"/>
  </si>
  <si>
    <t>論理名を表示用会社名称に変更</t>
    <rPh sb="0" eb="2">
      <t>ロンリ</t>
    </rPh>
    <rPh sb="2" eb="3">
      <t>メイ</t>
    </rPh>
    <rPh sb="6" eb="7">
      <t>ヨウ</t>
    </rPh>
    <rPh sb="12" eb="14">
      <t>ヘンコウ</t>
    </rPh>
    <phoneticPr fontId="3"/>
  </si>
  <si>
    <t>グループマスタ</t>
    <phoneticPr fontId="3"/>
  </si>
  <si>
    <t>グループ表示許可フラグ</t>
    <rPh sb="6" eb="8">
      <t>キョカ</t>
    </rPh>
    <phoneticPr fontId="1"/>
  </si>
  <si>
    <t>論理名をグループ表示許可フラグに変更</t>
    <rPh sb="0" eb="2">
      <t>ロンリ</t>
    </rPh>
    <rPh sb="2" eb="3">
      <t>メイ</t>
    </rPh>
    <rPh sb="16" eb="18">
      <t>ヘンコウ</t>
    </rPh>
    <phoneticPr fontId="3"/>
  </si>
  <si>
    <t>表示グループコード</t>
    <phoneticPr fontId="3"/>
  </si>
  <si>
    <t>論理名を表示用グループコードに変更</t>
    <rPh sb="0" eb="2">
      <t>ロンリ</t>
    </rPh>
    <rPh sb="2" eb="3">
      <t>メイ</t>
    </rPh>
    <rPh sb="6" eb="7">
      <t>ヨウ</t>
    </rPh>
    <rPh sb="15" eb="17">
      <t>ヘンコウ</t>
    </rPh>
    <phoneticPr fontId="3"/>
  </si>
  <si>
    <t>表示用グループコード</t>
    <rPh sb="0" eb="2">
      <t>ヒョウジ</t>
    </rPh>
    <rPh sb="2" eb="3">
      <t>ヨウ</t>
    </rPh>
    <phoneticPr fontId="1"/>
  </si>
  <si>
    <t>表示グループ名称</t>
    <phoneticPr fontId="3"/>
  </si>
  <si>
    <t>論理名を表示用グループ名称に変更</t>
    <rPh sb="0" eb="2">
      <t>ロンリ</t>
    </rPh>
    <rPh sb="2" eb="3">
      <t>メイ</t>
    </rPh>
    <rPh sb="6" eb="7">
      <t>ヨウ</t>
    </rPh>
    <rPh sb="14" eb="16">
      <t>ヘンコウ</t>
    </rPh>
    <phoneticPr fontId="3"/>
  </si>
  <si>
    <t>表示用グループ名称</t>
    <rPh sb="2" eb="3">
      <t>ヨウ</t>
    </rPh>
    <rPh sb="7" eb="9">
      <t>メイショウ</t>
    </rPh>
    <phoneticPr fontId="1"/>
  </si>
  <si>
    <t>表示グループカラー</t>
    <phoneticPr fontId="3"/>
  </si>
  <si>
    <t>論理名をグループ表示カラーに変更</t>
    <rPh sb="0" eb="2">
      <t>ロンリ</t>
    </rPh>
    <rPh sb="2" eb="3">
      <t>メイ</t>
    </rPh>
    <rPh sb="14" eb="16">
      <t>ヘンコウ</t>
    </rPh>
    <phoneticPr fontId="3"/>
  </si>
  <si>
    <t>グループ表示カラー</t>
    <phoneticPr fontId="3"/>
  </si>
  <si>
    <t>ユーザマスタ</t>
    <phoneticPr fontId="3"/>
  </si>
  <si>
    <t>論理名を表示用ユーザーコードに変更</t>
    <rPh sb="0" eb="2">
      <t>ロンリ</t>
    </rPh>
    <rPh sb="2" eb="3">
      <t>メイ</t>
    </rPh>
    <rPh sb="6" eb="7">
      <t>ヨウ</t>
    </rPh>
    <rPh sb="15" eb="17">
      <t>ヘンコウ</t>
    </rPh>
    <phoneticPr fontId="3"/>
  </si>
  <si>
    <t>論理名を表示用ユーザー名称に変更</t>
    <rPh sb="0" eb="2">
      <t>ロンリ</t>
    </rPh>
    <rPh sb="2" eb="3">
      <t>メイ</t>
    </rPh>
    <rPh sb="6" eb="7">
      <t>ヨウ</t>
    </rPh>
    <rPh sb="14" eb="16">
      <t>ヘンコウ</t>
    </rPh>
    <phoneticPr fontId="3"/>
  </si>
  <si>
    <t>表示用ユーザーコード</t>
    <rPh sb="0" eb="3">
      <t>ヒョウジヨウ</t>
    </rPh>
    <phoneticPr fontId="1"/>
  </si>
  <si>
    <t>表示用ユーザー名</t>
    <rPh sb="0" eb="3">
      <t>ヒョウジヨウ</t>
    </rPh>
    <rPh sb="7" eb="8">
      <t>メイ</t>
    </rPh>
    <phoneticPr fontId="1"/>
  </si>
  <si>
    <t>計画原価</t>
    <rPh sb="0" eb="2">
      <t>ケイカク</t>
    </rPh>
    <rPh sb="2" eb="4">
      <t>ゲンカ</t>
    </rPh>
    <phoneticPr fontId="1"/>
  </si>
  <si>
    <t>計画原価小計</t>
    <rPh sb="4" eb="6">
      <t>ショウケイ</t>
    </rPh>
    <phoneticPr fontId="3"/>
  </si>
  <si>
    <t>論理名を計画原価に変更</t>
    <rPh sb="0" eb="2">
      <t>ロンリ</t>
    </rPh>
    <rPh sb="2" eb="3">
      <t>メイ</t>
    </rPh>
    <rPh sb="4" eb="6">
      <t>ケイカク</t>
    </rPh>
    <rPh sb="6" eb="8">
      <t>ゲンカ</t>
    </rPh>
    <rPh sb="9" eb="11">
      <t>ヘンコウ</t>
    </rPh>
    <phoneticPr fontId="3"/>
  </si>
  <si>
    <t>小計ではなく1明細の金額を表す項目であるため</t>
    <rPh sb="0" eb="2">
      <t>ショウケイ</t>
    </rPh>
    <rPh sb="7" eb="9">
      <t>メイサイ</t>
    </rPh>
    <rPh sb="10" eb="12">
      <t>キンガク</t>
    </rPh>
    <rPh sb="13" eb="14">
      <t>アラワ</t>
    </rPh>
    <rPh sb="15" eb="17">
      <t>コウモク</t>
    </rPh>
    <phoneticPr fontId="3"/>
  </si>
  <si>
    <t>論理名を製品単位コードに変更</t>
    <rPh sb="0" eb="2">
      <t>ロンリ</t>
    </rPh>
    <rPh sb="2" eb="3">
      <t>メイ</t>
    </rPh>
    <rPh sb="4" eb="6">
      <t>セイヒン</t>
    </rPh>
    <rPh sb="6" eb="8">
      <t>タンイ</t>
    </rPh>
    <rPh sb="12" eb="14">
      <t>ヘンコウ</t>
    </rPh>
    <phoneticPr fontId="3"/>
  </si>
  <si>
    <t>論理名を製品単位名に変更</t>
    <rPh sb="0" eb="2">
      <t>ロンリ</t>
    </rPh>
    <rPh sb="2" eb="3">
      <t>メイ</t>
    </rPh>
    <rPh sb="4" eb="6">
      <t>セイヒン</t>
    </rPh>
    <rPh sb="6" eb="8">
      <t>タンイ</t>
    </rPh>
    <rPh sb="8" eb="9">
      <t>メイ</t>
    </rPh>
    <rPh sb="10" eb="12">
      <t>ヘンコウ</t>
    </rPh>
    <phoneticPr fontId="3"/>
  </si>
  <si>
    <t>納品伝票明細テーブル</t>
    <phoneticPr fontId="3"/>
  </si>
  <si>
    <t>製品単位コード</t>
    <rPh sb="0" eb="2">
      <t>セイヒン</t>
    </rPh>
    <rPh sb="2" eb="4">
      <t>タンイ</t>
    </rPh>
    <phoneticPr fontId="3"/>
  </si>
  <si>
    <t>製品単位名</t>
    <rPh sb="0" eb="2">
      <t>セイヒン</t>
    </rPh>
    <rPh sb="2" eb="4">
      <t>タンイ</t>
    </rPh>
    <rPh sb="4" eb="5">
      <t>メイ</t>
    </rPh>
    <phoneticPr fontId="3"/>
  </si>
  <si>
    <t>仕入先コードマスタ</t>
    <rPh sb="0" eb="2">
      <t>シイレ</t>
    </rPh>
    <rPh sb="2" eb="3">
      <t>サキ</t>
    </rPh>
    <phoneticPr fontId="3"/>
  </si>
  <si>
    <t>m_stockcompanycode</t>
    <phoneticPr fontId="3"/>
  </si>
  <si>
    <t>仕入先コードマスタ</t>
    <rPh sb="0" eb="3">
      <t>シイレサキ</t>
    </rPh>
    <phoneticPr fontId="3"/>
  </si>
  <si>
    <t>strstockcompanycode</t>
    <phoneticPr fontId="3"/>
  </si>
  <si>
    <t>lngcompanyno</t>
    <phoneticPr fontId="3"/>
  </si>
  <si>
    <t>会社番号</t>
    <rPh sb="0" eb="2">
      <t>カイシャ</t>
    </rPh>
    <rPh sb="2" eb="4">
      <t>バンゴウ</t>
    </rPh>
    <phoneticPr fontId="1"/>
  </si>
  <si>
    <t>m_stockcompanycode_pkey</t>
    <phoneticPr fontId="3"/>
  </si>
  <si>
    <t>仕入先コードマスタ</t>
    <rPh sb="0" eb="2">
      <t>シイレ</t>
    </rPh>
    <rPh sb="2" eb="3">
      <t>サキ</t>
    </rPh>
    <phoneticPr fontId="3"/>
  </si>
  <si>
    <t>テーブル全体</t>
    <rPh sb="4" eb="6">
      <t>ゼンタイ</t>
    </rPh>
    <phoneticPr fontId="3"/>
  </si>
  <si>
    <t>テーブル追加</t>
    <rPh sb="4" eb="6">
      <t>ツイカ</t>
    </rPh>
    <phoneticPr fontId="3"/>
  </si>
  <si>
    <t>指定書式納品書に必要なため</t>
    <rPh sb="0" eb="2">
      <t>シテイ</t>
    </rPh>
    <rPh sb="2" eb="4">
      <t>ショシキ</t>
    </rPh>
    <rPh sb="4" eb="7">
      <t>ノウヒンショ</t>
    </rPh>
    <rPh sb="8" eb="10">
      <t>ヒツヨウ</t>
    </rPh>
    <phoneticPr fontId="3"/>
  </si>
  <si>
    <t>請求書マスタ</t>
    <rPh sb="0" eb="3">
      <t>セイキュウショ</t>
    </rPh>
    <phoneticPr fontId="3"/>
  </si>
  <si>
    <t>消費税率</t>
    <rPh sb="0" eb="3">
      <t>ショウヒゼイ</t>
    </rPh>
    <rPh sb="3" eb="4">
      <t>リツ</t>
    </rPh>
    <phoneticPr fontId="3"/>
  </si>
  <si>
    <t>項目追加</t>
    <rPh sb="0" eb="2">
      <t>コウモク</t>
    </rPh>
    <rPh sb="2" eb="4">
      <t>ツイカ</t>
    </rPh>
    <phoneticPr fontId="3"/>
  </si>
  <si>
    <t>税制改正に伴い、税率の表示が義務付けられたため。</t>
    <rPh sb="0" eb="2">
      <t>ゼイセイ</t>
    </rPh>
    <rPh sb="2" eb="4">
      <t>カイセイ</t>
    </rPh>
    <rPh sb="5" eb="6">
      <t>トモナ</t>
    </rPh>
    <rPh sb="8" eb="10">
      <t>ゼイリツ</t>
    </rPh>
    <rPh sb="11" eb="13">
      <t>ヒョウジ</t>
    </rPh>
    <rPh sb="14" eb="17">
      <t>ギムヅ</t>
    </rPh>
    <phoneticPr fontId="3"/>
  </si>
  <si>
    <t>テーブル全体</t>
    <rPh sb="4" eb="6">
      <t>ゼンタイ</t>
    </rPh>
    <phoneticPr fontId="3"/>
  </si>
  <si>
    <t>削除</t>
    <rPh sb="0" eb="2">
      <t>サクジョ</t>
    </rPh>
    <phoneticPr fontId="3"/>
  </si>
  <si>
    <t>テーブル削除</t>
    <rPh sb="4" eb="6">
      <t>サクジョ</t>
    </rPh>
    <phoneticPr fontId="3"/>
  </si>
  <si>
    <t>印字用会社名マスタと用途重複</t>
    <rPh sb="0" eb="3">
      <t>インジヨウ</t>
    </rPh>
    <rPh sb="3" eb="6">
      <t>カイシャメイ</t>
    </rPh>
    <rPh sb="10" eb="12">
      <t>ヨウト</t>
    </rPh>
    <rPh sb="12" eb="14">
      <t>ジュウフク</t>
    </rPh>
    <phoneticPr fontId="3"/>
  </si>
  <si>
    <t>m_companynamelink</t>
  </si>
  <si>
    <t>public</t>
  </si>
  <si>
    <t>kids</t>
  </si>
  <si>
    <t>TABLE</t>
  </si>
  <si>
    <t>消費税率1</t>
    <rPh sb="0" eb="3">
      <t>ショウヒゼイ</t>
    </rPh>
    <rPh sb="3" eb="4">
      <t>リツ</t>
    </rPh>
    <phoneticPr fontId="3"/>
  </si>
  <si>
    <t>消費税額1</t>
    <rPh sb="0" eb="3">
      <t>ショウヒゼイ</t>
    </rPh>
    <rPh sb="3" eb="4">
      <t>ガク</t>
    </rPh>
    <phoneticPr fontId="3"/>
  </si>
  <si>
    <t>消費税率1に変更</t>
    <rPh sb="0" eb="3">
      <t>ショウヒゼイ</t>
    </rPh>
    <rPh sb="3" eb="4">
      <t>リツ</t>
    </rPh>
    <rPh sb="6" eb="8">
      <t>ヘンコウ</t>
    </rPh>
    <phoneticPr fontId="3"/>
  </si>
  <si>
    <t>消費税額1に変更</t>
    <rPh sb="0" eb="3">
      <t>ショウヒゼイ</t>
    </rPh>
    <rPh sb="3" eb="4">
      <t>ガク</t>
    </rPh>
    <phoneticPr fontId="3"/>
  </si>
  <si>
    <t>税制改正に伴い、税率毎の表示が義務付けられたため。</t>
    <rPh sb="0" eb="2">
      <t>ゼイセイ</t>
    </rPh>
    <rPh sb="2" eb="4">
      <t>カイセイ</t>
    </rPh>
    <rPh sb="5" eb="6">
      <t>トモナ</t>
    </rPh>
    <rPh sb="8" eb="10">
      <t>ゼイリツ</t>
    </rPh>
    <rPh sb="10" eb="11">
      <t>ゴト</t>
    </rPh>
    <rPh sb="12" eb="14">
      <t>ヒョウジ</t>
    </rPh>
    <rPh sb="15" eb="18">
      <t>ギムヅ</t>
    </rPh>
    <phoneticPr fontId="3"/>
  </si>
  <si>
    <t>消費税率2</t>
    <rPh sb="0" eb="3">
      <t>ショウヒゼイ</t>
    </rPh>
    <rPh sb="3" eb="4">
      <t>リツ</t>
    </rPh>
    <phoneticPr fontId="3"/>
  </si>
  <si>
    <t>消費税額2</t>
    <rPh sb="0" eb="3">
      <t>ショウヒゼイ</t>
    </rPh>
    <rPh sb="3" eb="4">
      <t>ガク</t>
    </rPh>
    <phoneticPr fontId="3"/>
  </si>
  <si>
    <t>税抜金額1</t>
    <rPh sb="0" eb="2">
      <t>ゼイヌキ</t>
    </rPh>
    <rPh sb="2" eb="4">
      <t>キンガク</t>
    </rPh>
    <phoneticPr fontId="3"/>
  </si>
  <si>
    <t>税抜金額2</t>
    <rPh sb="0" eb="2">
      <t>ゼイヌキ</t>
    </rPh>
    <rPh sb="2" eb="4">
      <t>キンガク</t>
    </rPh>
    <phoneticPr fontId="3"/>
  </si>
  <si>
    <t>curtax1</t>
    <phoneticPr fontId="3"/>
  </si>
  <si>
    <t>curtaxprice1</t>
    <phoneticPr fontId="3"/>
  </si>
  <si>
    <t>cursubtotal1</t>
    <phoneticPr fontId="3"/>
  </si>
  <si>
    <t>cursubtotal2</t>
    <phoneticPr fontId="3"/>
  </si>
  <si>
    <t>curtax2</t>
    <phoneticPr fontId="3"/>
  </si>
  <si>
    <t>curtaxprice2</t>
    <phoneticPr fontId="3"/>
  </si>
  <si>
    <t>宛先名称</t>
    <phoneticPr fontId="3"/>
  </si>
  <si>
    <t>会社マスタ</t>
    <rPh sb="0" eb="2">
      <t>カイシャ</t>
    </rPh>
    <phoneticPr fontId="3"/>
  </si>
  <si>
    <t>削除</t>
    <rPh sb="0" eb="2">
      <t>サクジョ</t>
    </rPh>
    <phoneticPr fontId="3"/>
  </si>
  <si>
    <t>宛先に称する名称は現行の仕様に存在するため不要。</t>
    <rPh sb="0" eb="2">
      <t>アテサキ</t>
    </rPh>
    <rPh sb="3" eb="4">
      <t>ショウ</t>
    </rPh>
    <rPh sb="6" eb="8">
      <t>メイショウ</t>
    </rPh>
    <rPh sb="9" eb="11">
      <t>ゲンコウ</t>
    </rPh>
    <rPh sb="12" eb="14">
      <t>シヨウ</t>
    </rPh>
    <rPh sb="15" eb="17">
      <t>ソンザイ</t>
    </rPh>
    <rPh sb="21" eb="23">
      <t>フヨウ</t>
    </rPh>
    <phoneticPr fontId="3"/>
  </si>
  <si>
    <t>省略名称</t>
    <rPh sb="0" eb="2">
      <t>ショウリャク</t>
    </rPh>
    <rPh sb="2" eb="4">
      <t>メイショウ</t>
    </rPh>
    <rPh sb="3" eb="4">
      <t>アテナ</t>
    </rPh>
    <phoneticPr fontId="1"/>
  </si>
  <si>
    <t>strshortname</t>
    <phoneticPr fontId="3"/>
  </si>
  <si>
    <t>省略名称</t>
    <phoneticPr fontId="3"/>
  </si>
  <si>
    <t>追加</t>
    <rPh sb="0" eb="2">
      <t>ツイカ</t>
    </rPh>
    <phoneticPr fontId="3"/>
  </si>
  <si>
    <t>項目追加</t>
    <rPh sb="0" eb="4">
      <t>コウモクツイカ</t>
    </rPh>
    <phoneticPr fontId="3"/>
  </si>
  <si>
    <t>見積原価計算書プルダウン用に省略した名称が必要なため。</t>
    <rPh sb="0" eb="2">
      <t>ミツモリ</t>
    </rPh>
    <rPh sb="2" eb="4">
      <t>ゲンカ</t>
    </rPh>
    <rPh sb="4" eb="7">
      <t>ケイサンショ</t>
    </rPh>
    <rPh sb="12" eb="13">
      <t>ヨウ</t>
    </rPh>
    <rPh sb="14" eb="16">
      <t>ショウリャク</t>
    </rPh>
    <rPh sb="18" eb="20">
      <t>メイショウ</t>
    </rPh>
    <rPh sb="21" eb="23">
      <t>ヒツヨウ</t>
    </rPh>
    <phoneticPr fontId="3"/>
  </si>
  <si>
    <t>発注マスタ</t>
    <rPh sb="0" eb="2">
      <t>ハッチュウ</t>
    </rPh>
    <phoneticPr fontId="3"/>
  </si>
  <si>
    <t>発注有効期限日</t>
    <rPh sb="0" eb="2">
      <t>ハッチュウ</t>
    </rPh>
    <rPh sb="2" eb="4">
      <t>ユウコウ</t>
    </rPh>
    <rPh sb="4" eb="6">
      <t>キゲン</t>
    </rPh>
    <rPh sb="6" eb="7">
      <t>ヒ</t>
    </rPh>
    <phoneticPr fontId="3"/>
  </si>
  <si>
    <t>発注書マスタと重複</t>
    <rPh sb="0" eb="3">
      <t>ハッチュウショ</t>
    </rPh>
    <rPh sb="7" eb="9">
      <t>ジュウフク</t>
    </rPh>
    <phoneticPr fontId="3"/>
  </si>
  <si>
    <t>仕入計上日</t>
    <rPh sb="0" eb="2">
      <t>シイレ</t>
    </rPh>
    <rPh sb="2" eb="5">
      <t>ケイジョウビ</t>
    </rPh>
    <phoneticPr fontId="3"/>
  </si>
  <si>
    <t>売上計上日</t>
    <phoneticPr fontId="3"/>
  </si>
  <si>
    <t>lngattributerelationcode</t>
    <phoneticPr fontId="3"/>
  </si>
  <si>
    <t>lngattributecode</t>
    <phoneticPr fontId="3"/>
  </si>
  <si>
    <t>発注書マスタ</t>
    <rPh sb="0" eb="3">
      <t>ハッチュウショ</t>
    </rPh>
    <phoneticPr fontId="3"/>
  </si>
  <si>
    <t>POのヘッダ部に通貨名称を表示する部分があるため追加</t>
    <rPh sb="6" eb="7">
      <t>ブ</t>
    </rPh>
    <rPh sb="8" eb="10">
      <t>ツウカ</t>
    </rPh>
    <rPh sb="10" eb="12">
      <t>メイショウ</t>
    </rPh>
    <rPh sb="13" eb="15">
      <t>ヒョウジ</t>
    </rPh>
    <rPh sb="17" eb="19">
      <t>ブブン</t>
    </rPh>
    <rPh sb="24" eb="26">
      <t>ツイカ</t>
    </rPh>
    <phoneticPr fontId="3"/>
  </si>
  <si>
    <t>納品伝票マスタ</t>
    <rPh sb="0" eb="2">
      <t>ノウヒン</t>
    </rPh>
    <rPh sb="2" eb="4">
      <t>デンピョウ</t>
    </rPh>
    <phoneticPr fontId="3"/>
  </si>
  <si>
    <t>顧客会社名</t>
    <rPh sb="0" eb="2">
      <t>コキャク</t>
    </rPh>
    <rPh sb="2" eb="5">
      <t>カイシャメイ</t>
    </rPh>
    <phoneticPr fontId="3"/>
  </si>
  <si>
    <t>顧客電話番号</t>
    <rPh sb="0" eb="2">
      <t>コキャク</t>
    </rPh>
    <rPh sb="2" eb="4">
      <t>デンワ</t>
    </rPh>
    <rPh sb="4" eb="6">
      <t>バンゴウ</t>
    </rPh>
    <phoneticPr fontId="3"/>
  </si>
  <si>
    <t>顧客FAX番号</t>
    <rPh sb="0" eb="2">
      <t>コキャク</t>
    </rPh>
    <rPh sb="5" eb="7">
      <t>バンゴウ</t>
    </rPh>
    <phoneticPr fontId="3"/>
  </si>
  <si>
    <t>顧客電話番号</t>
    <rPh sb="0" eb="2">
      <t>コキャク</t>
    </rPh>
    <rPh sb="2" eb="4">
      <t>デンワ</t>
    </rPh>
    <rPh sb="4" eb="6">
      <t>バンゴウ</t>
    </rPh>
    <phoneticPr fontId="3"/>
  </si>
  <si>
    <t>strcustomerphoneno</t>
    <phoneticPr fontId="3"/>
  </si>
  <si>
    <t>顧客FAX番号</t>
    <rPh sb="0" eb="2">
      <t>コキャク</t>
    </rPh>
    <rPh sb="5" eb="7">
      <t>バンゴウ</t>
    </rPh>
    <phoneticPr fontId="3"/>
  </si>
  <si>
    <t>strcustomerfaxno</t>
    <phoneticPr fontId="3"/>
  </si>
  <si>
    <t>顧客指定納品書向けの納品連絡書に必要な項目のため</t>
    <rPh sb="0" eb="2">
      <t>コキャク</t>
    </rPh>
    <rPh sb="2" eb="4">
      <t>シテイ</t>
    </rPh>
    <rPh sb="4" eb="7">
      <t>ノウヒンショ</t>
    </rPh>
    <rPh sb="7" eb="8">
      <t>ム</t>
    </rPh>
    <rPh sb="10" eb="12">
      <t>ノウヒン</t>
    </rPh>
    <rPh sb="12" eb="14">
      <t>レンラク</t>
    </rPh>
    <rPh sb="14" eb="15">
      <t>ショ</t>
    </rPh>
    <rPh sb="16" eb="18">
      <t>ヒツヨウ</t>
    </rPh>
    <rPh sb="19" eb="21">
      <t>コウモク</t>
    </rPh>
    <phoneticPr fontId="3"/>
  </si>
  <si>
    <t>顧客住所1</t>
    <rPh sb="0" eb="2">
      <t>コキャク</t>
    </rPh>
    <rPh sb="2" eb="4">
      <t>ジュウショ</t>
    </rPh>
    <phoneticPr fontId="3"/>
  </si>
  <si>
    <t>顧客住所2</t>
    <rPh sb="0" eb="2">
      <t>コキャク</t>
    </rPh>
    <rPh sb="2" eb="4">
      <t>ジュウショ</t>
    </rPh>
    <phoneticPr fontId="3"/>
  </si>
  <si>
    <t>顧客住所3</t>
    <rPh sb="0" eb="2">
      <t>コキャク</t>
    </rPh>
    <rPh sb="2" eb="4">
      <t>ジュウショ</t>
    </rPh>
    <phoneticPr fontId="3"/>
  </si>
  <si>
    <t>顧客住所4</t>
    <rPh sb="0" eb="2">
      <t>コキャク</t>
    </rPh>
    <rPh sb="2" eb="4">
      <t>ジュウショ</t>
    </rPh>
    <phoneticPr fontId="3"/>
  </si>
  <si>
    <t>顧客住所1</t>
    <rPh sb="0" eb="2">
      <t>コキャク</t>
    </rPh>
    <rPh sb="2" eb="4">
      <t>ジュウショ</t>
    </rPh>
    <phoneticPr fontId="3"/>
  </si>
  <si>
    <t>顧客住所2</t>
    <rPh sb="0" eb="2">
      <t>コキャク</t>
    </rPh>
    <rPh sb="2" eb="4">
      <t>ジュウショ</t>
    </rPh>
    <phoneticPr fontId="3"/>
  </si>
  <si>
    <t>顧客住所3</t>
    <rPh sb="0" eb="2">
      <t>コキャク</t>
    </rPh>
    <rPh sb="2" eb="4">
      <t>ジュウショ</t>
    </rPh>
    <phoneticPr fontId="3"/>
  </si>
  <si>
    <t>顧客住所4</t>
    <rPh sb="0" eb="2">
      <t>コキャク</t>
    </rPh>
    <rPh sb="2" eb="4">
      <t>ジュウショ</t>
    </rPh>
    <phoneticPr fontId="3"/>
  </si>
  <si>
    <t>strcustomeraddress1</t>
    <phoneticPr fontId="3"/>
  </si>
  <si>
    <t>strcustomeraddress2</t>
    <phoneticPr fontId="3"/>
  </si>
  <si>
    <t>strcustomeraddress3</t>
    <phoneticPr fontId="3"/>
  </si>
  <si>
    <t>strcustomeraddress4</t>
    <phoneticPr fontId="3"/>
  </si>
  <si>
    <t>仕入先コード（出荷者）</t>
    <rPh sb="0" eb="3">
      <t>シイレサキ</t>
    </rPh>
    <rPh sb="7" eb="10">
      <t>シュッカシャ</t>
    </rPh>
    <phoneticPr fontId="3"/>
  </si>
  <si>
    <t>strshippercode</t>
    <phoneticPr fontId="3"/>
  </si>
  <si>
    <t>仕入先コード（出荷者）</t>
    <phoneticPr fontId="3"/>
  </si>
  <si>
    <t>顧客指定納品書に必要な項目のため</t>
    <rPh sb="0" eb="2">
      <t>コキャク</t>
    </rPh>
    <rPh sb="2" eb="4">
      <t>シテイ</t>
    </rPh>
    <rPh sb="4" eb="7">
      <t>ノウヒンショ</t>
    </rPh>
    <rPh sb="8" eb="10">
      <t>ヒツヨウ</t>
    </rPh>
    <rPh sb="11" eb="13">
      <t>コウモク</t>
    </rPh>
    <phoneticPr fontId="3"/>
  </si>
  <si>
    <t>商品化企画テーブル</t>
    <rPh sb="0" eb="3">
      <t>ショウヒンカ</t>
    </rPh>
    <rPh sb="3" eb="5">
      <t>キカク</t>
    </rPh>
    <phoneticPr fontId="3"/>
  </si>
  <si>
    <t>再販コード</t>
    <phoneticPr fontId="3"/>
  </si>
  <si>
    <t>追加</t>
    <rPh sb="0" eb="2">
      <t>ツイカ</t>
    </rPh>
    <phoneticPr fontId="3"/>
  </si>
  <si>
    <t>再販対応</t>
    <rPh sb="0" eb="2">
      <t>サイハン</t>
    </rPh>
    <rPh sb="2" eb="4">
      <t>タイオウ</t>
    </rPh>
    <phoneticPr fontId="3"/>
  </si>
  <si>
    <t>償却費</t>
    <phoneticPr fontId="3"/>
  </si>
  <si>
    <t>論理名変更（末尾に「合計」追加）</t>
    <rPh sb="0" eb="2">
      <t>ロンリ</t>
    </rPh>
    <rPh sb="2" eb="3">
      <t>メイ</t>
    </rPh>
    <rPh sb="3" eb="5">
      <t>ヘンコウ</t>
    </rPh>
    <rPh sb="6" eb="8">
      <t>マツビ</t>
    </rPh>
    <rPh sb="10" eb="12">
      <t>ゴウケイ</t>
    </rPh>
    <rPh sb="13" eb="15">
      <t>ツイカ</t>
    </rPh>
    <phoneticPr fontId="3"/>
  </si>
  <si>
    <t>次期見積原価計算書の項目名と一致させるため</t>
    <rPh sb="0" eb="2">
      <t>ジキ</t>
    </rPh>
    <rPh sb="2" eb="9">
      <t>ミツモリゲンカケイサンショ</t>
    </rPh>
    <rPh sb="10" eb="12">
      <t>コウモク</t>
    </rPh>
    <rPh sb="12" eb="13">
      <t>メイ</t>
    </rPh>
    <rPh sb="14" eb="16">
      <t>イッチ</t>
    </rPh>
    <phoneticPr fontId="3"/>
  </si>
  <si>
    <t>償却費合計</t>
    <rPh sb="0" eb="2">
      <t>ショウキャク</t>
    </rPh>
    <rPh sb="2" eb="3">
      <t>ヒ</t>
    </rPh>
    <rPh sb="3" eb="5">
      <t>ゴウケイ</t>
    </rPh>
    <phoneticPr fontId="1"/>
  </si>
  <si>
    <t>合計金額</t>
    <phoneticPr fontId="3"/>
  </si>
  <si>
    <t>売上総利益に論理名変更</t>
    <rPh sb="0" eb="2">
      <t>ウリアゲ</t>
    </rPh>
    <rPh sb="2" eb="5">
      <t>ソウリエキ</t>
    </rPh>
    <rPh sb="6" eb="8">
      <t>ロンリ</t>
    </rPh>
    <rPh sb="8" eb="9">
      <t>メイ</t>
    </rPh>
    <rPh sb="9" eb="11">
      <t>ヘンコウ</t>
    </rPh>
    <phoneticPr fontId="3"/>
  </si>
  <si>
    <t>売上総利益</t>
    <rPh sb="0" eb="2">
      <t>ウリアゲ</t>
    </rPh>
    <rPh sb="2" eb="5">
      <t>ソウリエキ</t>
    </rPh>
    <phoneticPr fontId="1"/>
  </si>
  <si>
    <t>予定売上高</t>
    <phoneticPr fontId="3"/>
  </si>
  <si>
    <t>製品売上高に論理名変更</t>
    <rPh sb="0" eb="2">
      <t>セイヒン</t>
    </rPh>
    <rPh sb="2" eb="4">
      <t>ウリアゲ</t>
    </rPh>
    <rPh sb="4" eb="5">
      <t>ダカ</t>
    </rPh>
    <rPh sb="6" eb="8">
      <t>ロンリ</t>
    </rPh>
    <rPh sb="8" eb="9">
      <t>メイ</t>
    </rPh>
    <rPh sb="9" eb="11">
      <t>ヘンコウ</t>
    </rPh>
    <phoneticPr fontId="3"/>
  </si>
  <si>
    <t>製品売上高</t>
    <phoneticPr fontId="1"/>
  </si>
  <si>
    <t>営業利益</t>
    <rPh sb="0" eb="2">
      <t>エイギョウ</t>
    </rPh>
    <rPh sb="2" eb="4">
      <t>リエキ</t>
    </rPh>
    <phoneticPr fontId="1"/>
  </si>
  <si>
    <t>利益</t>
    <rPh sb="0" eb="2">
      <t>リエキ</t>
    </rPh>
    <phoneticPr fontId="3"/>
  </si>
  <si>
    <t>営業利益に論理名変更</t>
    <rPh sb="0" eb="4">
      <t>エイギョウリエキ</t>
    </rPh>
    <rPh sb="5" eb="7">
      <t>ロンリ</t>
    </rPh>
    <rPh sb="7" eb="8">
      <t>メイ</t>
    </rPh>
    <rPh sb="8" eb="10">
      <t>ヘンコウ</t>
    </rPh>
    <phoneticPr fontId="3"/>
  </si>
  <si>
    <t>売上区分マスタ</t>
    <rPh sb="0" eb="2">
      <t>ウリアゲ</t>
    </rPh>
    <rPh sb="2" eb="4">
      <t>クブン</t>
    </rPh>
    <phoneticPr fontId="3"/>
  </si>
  <si>
    <t>納品書備考の売上区分に関する印字制御が要件に追加されたため</t>
    <rPh sb="0" eb="3">
      <t>ノウヒンショ</t>
    </rPh>
    <rPh sb="3" eb="5">
      <t>ビコウ</t>
    </rPh>
    <rPh sb="6" eb="8">
      <t>ウリアゲ</t>
    </rPh>
    <rPh sb="8" eb="10">
      <t>クブン</t>
    </rPh>
    <rPh sb="11" eb="12">
      <t>カン</t>
    </rPh>
    <rPh sb="14" eb="16">
      <t>インジ</t>
    </rPh>
    <rPh sb="16" eb="18">
      <t>セイギョ</t>
    </rPh>
    <rPh sb="19" eb="21">
      <t>ヨウケン</t>
    </rPh>
    <rPh sb="22" eb="24">
      <t>ツイカ</t>
    </rPh>
    <phoneticPr fontId="3"/>
  </si>
  <si>
    <t>納品書明細の売上区分に関するバリデーション制御の仕様変更に伴う対応</t>
    <rPh sb="0" eb="3">
      <t>ノウヒンショ</t>
    </rPh>
    <rPh sb="3" eb="5">
      <t>メイサイ</t>
    </rPh>
    <rPh sb="6" eb="8">
      <t>ウリアゲ</t>
    </rPh>
    <rPh sb="8" eb="10">
      <t>クブン</t>
    </rPh>
    <rPh sb="11" eb="12">
      <t>カン</t>
    </rPh>
    <rPh sb="21" eb="23">
      <t>セイギョ</t>
    </rPh>
    <rPh sb="24" eb="26">
      <t>シヨウ</t>
    </rPh>
    <rPh sb="26" eb="28">
      <t>ヘンコウ</t>
    </rPh>
    <rPh sb="29" eb="30">
      <t>トモナ</t>
    </rPh>
    <rPh sb="31" eb="33">
      <t>タイオウ</t>
    </rPh>
    <phoneticPr fontId="3"/>
  </si>
  <si>
    <t>納品書備考出力フラグ</t>
    <rPh sb="0" eb="2">
      <t>ノウヒン</t>
    </rPh>
    <rPh sb="2" eb="3">
      <t>ショ</t>
    </rPh>
    <rPh sb="3" eb="5">
      <t>ビコウ</t>
    </rPh>
    <rPh sb="5" eb="7">
      <t>シュツリョク</t>
    </rPh>
    <phoneticPr fontId="3"/>
  </si>
  <si>
    <t>明細統一フラグ</t>
    <rPh sb="0" eb="2">
      <t>メイサイ</t>
    </rPh>
    <rPh sb="2" eb="4">
      <t>トウイツ</t>
    </rPh>
    <phoneticPr fontId="3"/>
  </si>
  <si>
    <t>納品書備考出力フラグ</t>
    <phoneticPr fontId="3"/>
  </si>
  <si>
    <t>明細統一フラグ</t>
    <phoneticPr fontId="3"/>
  </si>
  <si>
    <t>bytprintslipnoteflg</t>
    <phoneticPr fontId="3"/>
  </si>
  <si>
    <t>bytdetailunifiedflg</t>
    <phoneticPr fontId="3"/>
  </si>
  <si>
    <t>lngsalesclasscode</t>
    <phoneticPr fontId="3"/>
  </si>
  <si>
    <t>売上区分コード</t>
    <phoneticPr fontId="3"/>
  </si>
  <si>
    <t>見積原価計算書エリア区分マスタ</t>
    <rPh sb="0" eb="2">
      <t>ミツモリ</t>
    </rPh>
    <rPh sb="2" eb="4">
      <t>ゲンカ</t>
    </rPh>
    <rPh sb="4" eb="6">
      <t>ケイサン</t>
    </rPh>
    <rPh sb="6" eb="7">
      <t>ショ</t>
    </rPh>
    <rPh sb="10" eb="12">
      <t>クブン</t>
    </rPh>
    <phoneticPr fontId="3"/>
  </si>
  <si>
    <t>m_estimateareaclass</t>
    <phoneticPr fontId="3"/>
  </si>
  <si>
    <t>見積原価計算書エリア区分マスタ</t>
    <phoneticPr fontId="3"/>
  </si>
  <si>
    <t>見積原価計算書エリア区分マスタ</t>
    <rPh sb="0" eb="2">
      <t>ミツモリ</t>
    </rPh>
    <rPh sb="2" eb="4">
      <t>ゲンカ</t>
    </rPh>
    <rPh sb="4" eb="7">
      <t>ケイサンショ</t>
    </rPh>
    <rPh sb="10" eb="12">
      <t>クブン</t>
    </rPh>
    <phoneticPr fontId="3"/>
  </si>
  <si>
    <t>テーブル追加</t>
    <rPh sb="4" eb="6">
      <t>ツイカ</t>
    </rPh>
    <phoneticPr fontId="3"/>
  </si>
  <si>
    <t>仕入部品マスタの表示エリアコードの値を定義するマスタが存在していなかったため追加。</t>
    <rPh sb="0" eb="2">
      <t>シイレ</t>
    </rPh>
    <rPh sb="2" eb="4">
      <t>ブヒン</t>
    </rPh>
    <rPh sb="8" eb="10">
      <t>ヒョウジ</t>
    </rPh>
    <rPh sb="17" eb="18">
      <t>アタイ</t>
    </rPh>
    <rPh sb="19" eb="21">
      <t>テイギ</t>
    </rPh>
    <rPh sb="27" eb="29">
      <t>ソンザイ</t>
    </rPh>
    <rPh sb="38" eb="40">
      <t>ツイカ</t>
    </rPh>
    <phoneticPr fontId="3"/>
  </si>
  <si>
    <t>見積原価計算書エリア区分コード名</t>
    <rPh sb="0" eb="2">
      <t>ミツモリ</t>
    </rPh>
    <rPh sb="2" eb="4">
      <t>ゲンカ</t>
    </rPh>
    <rPh sb="4" eb="7">
      <t>ケイサンショ</t>
    </rPh>
    <rPh sb="10" eb="12">
      <t>クブン</t>
    </rPh>
    <rPh sb="15" eb="16">
      <t>メイ</t>
    </rPh>
    <phoneticPr fontId="1"/>
  </si>
  <si>
    <t>見積原価計算書エリア区分番号</t>
    <rPh sb="0" eb="2">
      <t>ミツモリ</t>
    </rPh>
    <rPh sb="2" eb="4">
      <t>ゲンカ</t>
    </rPh>
    <rPh sb="4" eb="7">
      <t>ケイサンショ</t>
    </rPh>
    <rPh sb="10" eb="12">
      <t>クブン</t>
    </rPh>
    <rPh sb="12" eb="14">
      <t>バンゴウ</t>
    </rPh>
    <phoneticPr fontId="3"/>
  </si>
  <si>
    <t>lngestimateareaclassno</t>
    <phoneticPr fontId="3"/>
  </si>
  <si>
    <t>strestimateareaclassname</t>
    <phoneticPr fontId="3"/>
  </si>
  <si>
    <t>m_estimateareaclass_pkey</t>
    <phoneticPr fontId="3"/>
  </si>
  <si>
    <t>売上分類区分紐づけマスタ</t>
    <phoneticPr fontId="3"/>
  </si>
  <si>
    <t>仕入部品マスタ</t>
    <phoneticPr fontId="3"/>
  </si>
  <si>
    <t>対象エリアコード</t>
    <phoneticPr fontId="3"/>
  </si>
  <si>
    <t>見積原価計算書エリア区分番号に変更</t>
    <rPh sb="15" eb="17">
      <t>ヘンコウ</t>
    </rPh>
    <phoneticPr fontId="3"/>
  </si>
  <si>
    <t>見積原価計算書エリア区分マスタ追加に伴う名称変更</t>
    <rPh sb="15" eb="17">
      <t>ツイカ</t>
    </rPh>
    <rPh sb="18" eb="19">
      <t>トモナ</t>
    </rPh>
    <rPh sb="20" eb="22">
      <t>メイショウ</t>
    </rPh>
    <rPh sb="22" eb="24">
      <t>ヘンコウ</t>
    </rPh>
    <phoneticPr fontId="3"/>
  </si>
  <si>
    <t>消費税区分コード</t>
    <rPh sb="0" eb="3">
      <t>ショウヒゼイ</t>
    </rPh>
    <rPh sb="3" eb="5">
      <t>クブン</t>
    </rPh>
    <phoneticPr fontId="3"/>
  </si>
  <si>
    <t>消費税率コード</t>
    <rPh sb="0" eb="3">
      <t>ショウヒゼイ</t>
    </rPh>
    <rPh sb="3" eb="4">
      <t>リツ</t>
    </rPh>
    <phoneticPr fontId="3"/>
  </si>
  <si>
    <t>消費税金額</t>
    <rPh sb="0" eb="3">
      <t>ショウヒゼイ</t>
    </rPh>
    <rPh sb="3" eb="5">
      <t>キンガク</t>
    </rPh>
    <phoneticPr fontId="3"/>
  </si>
  <si>
    <t>削除</t>
    <rPh sb="0" eb="2">
      <t>サクジョ</t>
    </rPh>
    <phoneticPr fontId="3"/>
  </si>
  <si>
    <t>不要な項目のため</t>
    <rPh sb="0" eb="2">
      <t>フヨウ</t>
    </rPh>
    <rPh sb="3" eb="5">
      <t>コウモク</t>
    </rPh>
    <phoneticPr fontId="3"/>
  </si>
  <si>
    <t>項目削除</t>
    <rPh sb="0" eb="2">
      <t>コウモク</t>
    </rPh>
    <rPh sb="2" eb="4">
      <t>サクジョ</t>
    </rPh>
    <phoneticPr fontId="3"/>
  </si>
  <si>
    <t>テーブル削除</t>
    <rPh sb="4" eb="6">
      <t>サクジョ</t>
    </rPh>
    <phoneticPr fontId="3"/>
  </si>
  <si>
    <t>次期では不要なため</t>
    <rPh sb="0" eb="2">
      <t>ジキ</t>
    </rPh>
    <rPh sb="4" eb="6">
      <t>フヨウ</t>
    </rPh>
    <phoneticPr fontId="3"/>
  </si>
  <si>
    <t>変更</t>
    <rPh sb="0" eb="2">
      <t>ヘンコウ</t>
    </rPh>
    <phoneticPr fontId="3"/>
  </si>
  <si>
    <t>論理名を会社コードに変更</t>
    <rPh sb="0" eb="2">
      <t>ロンリ</t>
    </rPh>
    <rPh sb="2" eb="3">
      <t>メイ</t>
    </rPh>
    <rPh sb="4" eb="6">
      <t>カイシャ</t>
    </rPh>
    <rPh sb="10" eb="12">
      <t>ヘンコウ</t>
    </rPh>
    <phoneticPr fontId="3"/>
  </si>
  <si>
    <t>仕入データでは仕入先が設定されるため</t>
    <rPh sb="0" eb="2">
      <t>シイレ</t>
    </rPh>
    <rPh sb="7" eb="10">
      <t>シイレサキ</t>
    </rPh>
    <rPh sb="11" eb="13">
      <t>セッテイ</t>
    </rPh>
    <phoneticPr fontId="3"/>
  </si>
  <si>
    <t>顧客商品名</t>
    <rPh sb="0" eb="2">
      <t>コキャク</t>
    </rPh>
    <rPh sb="2" eb="4">
      <t>ショウヒン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</si>
</sst>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6" formatCode="&quot;¥&quot;#,##0;[Red]&quot;¥&quot;\-#,##0"/>
  </numFmts>
  <fonts count="20">
    <font>
      <sz val="11"/>
      <color theme="1"/>
      <name val="ＭＳ Ｐゴシック"/>
      <family val="2"/>
      <scheme val="minor"/>
    </font>
    <font>
      <sz val="11"/>
      <color rgb="FF9C0006"/>
      <name val="ＭＳ Ｐゴシック"/>
      <family val="2"/>
      <charset val="128"/>
      <scheme val="minor"/>
    </font>
    <font>
      <sz val="26"/>
      <color theme="1"/>
      <name val="ＭＳ Ｐゴシック"/>
      <family val="2"/>
      <scheme val="minor"/>
    </font>
    <font>
      <sz val="6"/>
      <name val="ＭＳ Ｐゴシック"/>
      <family val="3"/>
      <charset val="128"/>
      <scheme val="minor"/>
    </font>
    <font>
      <sz val="16"/>
      <color theme="1"/>
      <name val="ＭＳ Ｐゴシック"/>
      <family val="2"/>
      <scheme val="minor"/>
    </font>
    <font>
      <u/>
      <sz val="11"/>
      <color theme="10"/>
      <name val="ＭＳ Ｐゴシック"/>
      <family val="2"/>
      <scheme val="minor"/>
    </font>
    <font>
      <b/>
      <sz val="12"/>
      <color theme="1"/>
      <name val="ＭＳ Ｐゴシック"/>
      <family val="3"/>
      <charset val="128"/>
      <scheme val="minor"/>
    </font>
    <font>
      <b/>
      <sz val="11"/>
      <color theme="0"/>
      <name val="ＭＳ Ｐゴシック"/>
      <family val="3"/>
      <charset val="128"/>
      <scheme val="minor"/>
    </font>
    <font>
      <sz val="11"/>
      <color theme="1"/>
      <name val="ＭＳ Ｐゴシック"/>
      <family val="2"/>
      <scheme val="minor"/>
    </font>
    <font>
      <sz val="10"/>
      <color theme="1"/>
      <name val="ＭＳ Ｐゴシック"/>
      <family val="2"/>
      <scheme val="minor"/>
    </font>
    <font>
      <sz val="10"/>
      <color theme="1"/>
      <name val="ＭＳ Ｐゴシック"/>
      <family val="3"/>
      <charset val="128"/>
      <scheme val="minor"/>
    </font>
    <font>
      <sz val="11"/>
      <color theme="1"/>
      <name val="ＭＳ Ｐゴシック"/>
      <family val="3"/>
      <charset val="128"/>
      <scheme val="minor"/>
    </font>
    <font>
      <b/>
      <i/>
      <sz val="12"/>
      <color theme="1"/>
      <name val="ＭＳ Ｐゴシック"/>
      <family val="3"/>
      <charset val="128"/>
      <scheme val="minor"/>
    </font>
    <font>
      <b/>
      <i/>
      <sz val="11"/>
      <color theme="1"/>
      <name val="ＭＳ Ｐゴシック"/>
      <family val="3"/>
      <charset val="128"/>
      <scheme val="minor"/>
    </font>
    <font>
      <sz val="11"/>
      <name val="ＭＳ Ｐゴシック"/>
      <family val="3"/>
      <charset val="128"/>
      <scheme val="minor"/>
    </font>
    <font>
      <sz val="12"/>
      <color theme="1"/>
      <name val="ＭＳ Ｐゴシック"/>
      <family val="3"/>
      <charset val="128"/>
      <scheme val="minor"/>
    </font>
    <font>
      <sz val="11"/>
      <color rgb="FF000000"/>
      <name val="ＭＳ Ｐゴシック"/>
      <family val="3"/>
      <charset val="128"/>
    </font>
    <font>
      <sz val="11"/>
      <color rgb="FFFF0000"/>
      <name val="ＭＳ Ｐゴシック"/>
      <family val="2"/>
      <scheme val="minor"/>
    </font>
    <font>
      <b/>
      <sz val="9"/>
      <color indexed="81"/>
      <name val="MS P ゴシック"/>
      <family val="3"/>
      <charset val="128"/>
    </font>
    <font>
      <sz val="11"/>
      <name val="ＭＳ Ｐゴシック"/>
      <family val="2"/>
      <scheme val="minor"/>
    </font>
  </fonts>
  <fills count="6">
    <fill>
      <patternFill patternType="none"/>
    </fill>
    <fill>
      <patternFill patternType="gray125"/>
    </fill>
    <fill>
      <patternFill patternType="solid">
        <fgColor rgb="FF002060"/>
        <bgColor indexed="64"/>
      </patternFill>
    </fill>
    <fill>
      <patternFill patternType="solid">
        <fgColor rgb="FF0070C0"/>
        <bgColor indexed="64"/>
      </patternFill>
    </fill>
    <fill>
      <patternFill patternType="solid">
        <fgColor theme="3" tint="0.79998168889431442"/>
        <bgColor indexed="64"/>
      </patternFill>
    </fill>
    <fill>
      <patternFill patternType="solid">
        <fgColor theme="8" tint="0.59999389629810485"/>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theme="0"/>
      </right>
      <top style="medium">
        <color indexed="64"/>
      </top>
      <bottom style="thin">
        <color indexed="64"/>
      </bottom>
      <diagonal/>
    </border>
    <border>
      <left style="thin">
        <color theme="0"/>
      </left>
      <right style="thin">
        <color theme="0"/>
      </right>
      <top style="medium">
        <color indexed="64"/>
      </top>
      <bottom style="thin">
        <color indexed="64"/>
      </bottom>
      <diagonal/>
    </border>
    <border>
      <left style="thin">
        <color theme="0"/>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thin">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thin">
        <color indexed="64"/>
      </right>
      <top style="thin">
        <color theme="0"/>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theme="0"/>
      </left>
      <right/>
      <top style="thin">
        <color theme="0"/>
      </top>
      <bottom style="medium">
        <color indexed="64"/>
      </bottom>
      <diagonal/>
    </border>
    <border>
      <left style="thin">
        <color theme="0"/>
      </left>
      <right/>
      <top style="medium">
        <color indexed="64"/>
      </top>
      <bottom style="thin">
        <color theme="0"/>
      </bottom>
      <diagonal/>
    </border>
    <border>
      <left style="thin">
        <color theme="0"/>
      </left>
      <right/>
      <top style="thin">
        <color theme="0"/>
      </top>
      <bottom style="thin">
        <color theme="0"/>
      </bottom>
      <diagonal/>
    </border>
    <border>
      <left style="medium">
        <color indexed="64"/>
      </left>
      <right style="thin">
        <color theme="0"/>
      </right>
      <top style="medium">
        <color indexed="64"/>
      </top>
      <bottom/>
      <diagonal/>
    </border>
    <border>
      <left style="thin">
        <color theme="0"/>
      </left>
      <right style="thin">
        <color theme="0"/>
      </right>
      <top style="medium">
        <color indexed="64"/>
      </top>
      <bottom/>
      <diagonal/>
    </border>
    <border>
      <left style="thin">
        <color theme="0"/>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style="thin">
        <color indexed="64"/>
      </right>
      <top style="medium">
        <color indexed="64"/>
      </top>
      <bottom/>
      <diagonal/>
    </border>
    <border>
      <left style="thin">
        <color theme="0"/>
      </left>
      <right/>
      <top style="medium">
        <color indexed="64"/>
      </top>
      <bottom style="thin">
        <color indexed="64"/>
      </bottom>
      <diagonal/>
    </border>
    <border>
      <left/>
      <right style="thin">
        <color theme="0"/>
      </right>
      <top style="medium">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auto="1"/>
      </left>
      <right/>
      <top style="medium">
        <color indexed="64"/>
      </top>
      <bottom/>
      <diagonal/>
    </border>
    <border>
      <left style="medium">
        <color auto="1"/>
      </left>
      <right/>
      <top style="thin">
        <color auto="1"/>
      </top>
      <bottom style="medium">
        <color auto="1"/>
      </bottom>
      <diagonal/>
    </border>
    <border>
      <left style="thin">
        <color indexed="64"/>
      </left>
      <right style="medium">
        <color indexed="64"/>
      </right>
      <top/>
      <bottom style="thin">
        <color indexed="64"/>
      </bottom>
      <diagonal/>
    </border>
  </borders>
  <cellStyleXfs count="4">
    <xf numFmtId="0" fontId="0" fillId="0" borderId="0"/>
    <xf numFmtId="0" fontId="5" fillId="0" borderId="0" applyNumberFormat="0" applyFill="0" applyBorder="0" applyAlignment="0" applyProtection="0"/>
    <xf numFmtId="0" fontId="8" fillId="0" borderId="0"/>
    <xf numFmtId="6" fontId="8" fillId="0" borderId="0" applyFont="0" applyFill="0" applyBorder="0" applyAlignment="0" applyProtection="0">
      <alignment vertical="center"/>
    </xf>
  </cellStyleXfs>
  <cellXfs count="348">
    <xf numFmtId="0" fontId="0" fillId="0" borderId="0" xfId="0"/>
    <xf numFmtId="0" fontId="6" fillId="0" borderId="0" xfId="0" applyFont="1"/>
    <xf numFmtId="0" fontId="0" fillId="0" borderId="0" xfId="0" applyAlignment="1">
      <alignment vertical="center"/>
    </xf>
    <xf numFmtId="0" fontId="0" fillId="0" borderId="11" xfId="0" applyBorder="1"/>
    <xf numFmtId="0" fontId="0" fillId="0" borderId="13" xfId="0" applyBorder="1"/>
    <xf numFmtId="0" fontId="7" fillId="3" borderId="16" xfId="0" applyFont="1" applyFill="1" applyBorder="1"/>
    <xf numFmtId="0" fontId="7" fillId="3" borderId="16" xfId="0" applyFont="1" applyFill="1" applyBorder="1" applyAlignment="1">
      <alignment horizontal="center"/>
    </xf>
    <xf numFmtId="0" fontId="12" fillId="0" borderId="0" xfId="0" applyFont="1"/>
    <xf numFmtId="0" fontId="13" fillId="0" borderId="0" xfId="0" applyFont="1"/>
    <xf numFmtId="0" fontId="11" fillId="0" borderId="13" xfId="0" applyFont="1" applyBorder="1"/>
    <xf numFmtId="0" fontId="7" fillId="3" borderId="44" xfId="0" applyFont="1" applyFill="1" applyBorder="1" applyAlignment="1">
      <alignment horizontal="center"/>
    </xf>
    <xf numFmtId="0" fontId="14" fillId="0" borderId="0" xfId="0" applyFont="1" applyAlignment="1">
      <alignment horizontal="center"/>
    </xf>
    <xf numFmtId="0" fontId="14" fillId="0" borderId="13" xfId="0" applyFont="1" applyBorder="1"/>
    <xf numFmtId="0" fontId="14" fillId="0" borderId="8" xfId="0" applyFont="1" applyBorder="1" applyAlignment="1">
      <alignment vertical="top"/>
    </xf>
    <xf numFmtId="0" fontId="7" fillId="3" borderId="44" xfId="0" applyFont="1" applyFill="1" applyBorder="1"/>
    <xf numFmtId="0" fontId="11" fillId="0" borderId="13" xfId="0" applyFont="1" applyBorder="1" applyAlignment="1">
      <alignment vertical="top"/>
    </xf>
    <xf numFmtId="0" fontId="0" fillId="0" borderId="50" xfId="0" applyBorder="1"/>
    <xf numFmtId="0" fontId="0" fillId="0" borderId="0" xfId="0"/>
    <xf numFmtId="0" fontId="0" fillId="0" borderId="11" xfId="0" applyBorder="1"/>
    <xf numFmtId="0" fontId="0" fillId="0" borderId="11" xfId="0" applyBorder="1"/>
    <xf numFmtId="0" fontId="0" fillId="0" borderId="0" xfId="0"/>
    <xf numFmtId="0" fontId="0" fillId="0" borderId="1" xfId="0" applyBorder="1" applyAlignment="1">
      <alignment vertical="top"/>
    </xf>
    <xf numFmtId="0" fontId="0" fillId="0" borderId="0" xfId="0" applyAlignment="1">
      <alignment vertical="top"/>
    </xf>
    <xf numFmtId="0" fontId="0" fillId="0" borderId="0" xfId="0" applyAlignment="1">
      <alignment vertical="top" wrapText="1"/>
    </xf>
    <xf numFmtId="0" fontId="0" fillId="0" borderId="1" xfId="0" applyBorder="1" applyAlignment="1">
      <alignment vertical="top" wrapText="1"/>
    </xf>
    <xf numFmtId="14" fontId="0" fillId="0" borderId="1" xfId="0" applyNumberFormat="1" applyBorder="1" applyAlignment="1">
      <alignment vertical="top"/>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0" xfId="0"/>
    <xf numFmtId="0" fontId="0" fillId="0" borderId="11" xfId="0" applyBorder="1"/>
    <xf numFmtId="0" fontId="0" fillId="0" borderId="13" xfId="0" applyBorder="1"/>
    <xf numFmtId="0" fontId="0" fillId="0" borderId="13" xfId="0" applyBorder="1" applyAlignment="1">
      <alignment vertical="top"/>
    </xf>
    <xf numFmtId="0" fontId="0" fillId="0" borderId="0" xfId="0" applyAlignment="1">
      <alignment vertical="top"/>
    </xf>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3" xfId="0" applyBorder="1"/>
    <xf numFmtId="0" fontId="0" fillId="4" borderId="1" xfId="0" applyFill="1" applyBorder="1"/>
    <xf numFmtId="0" fontId="0" fillId="5" borderId="1" xfId="0" applyFill="1" applyBorder="1"/>
    <xf numFmtId="0" fontId="5" fillId="5" borderId="1" xfId="1" applyFill="1" applyBorder="1"/>
    <xf numFmtId="0" fontId="14" fillId="5" borderId="1" xfId="0" applyFont="1" applyFill="1" applyBorder="1"/>
    <xf numFmtId="0" fontId="7" fillId="2" borderId="4" xfId="0" applyFont="1" applyFill="1" applyBorder="1" applyAlignment="1">
      <alignment horizontal="center"/>
    </xf>
    <xf numFmtId="0" fontId="7" fillId="3" borderId="4" xfId="0" applyFont="1" applyFill="1" applyBorder="1" applyAlignment="1">
      <alignment horizontal="center"/>
    </xf>
    <xf numFmtId="0" fontId="7" fillId="3" borderId="1" xfId="0" applyFont="1" applyFill="1" applyBorder="1" applyAlignment="1">
      <alignment horizontal="center"/>
    </xf>
    <xf numFmtId="0" fontId="7" fillId="2" borderId="2" xfId="0" applyFont="1" applyFill="1" applyBorder="1" applyAlignment="1">
      <alignment horizontal="center"/>
    </xf>
    <xf numFmtId="0" fontId="0" fillId="4" borderId="5" xfId="0" applyFill="1" applyBorder="1"/>
    <xf numFmtId="0" fontId="14" fillId="5" borderId="5" xfId="0" applyFont="1" applyFill="1" applyBorder="1"/>
    <xf numFmtId="0" fontId="5" fillId="5" borderId="5" xfId="1" applyFill="1"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13" xfId="0" applyBorder="1" applyAlignment="1">
      <alignment vertical="top"/>
    </xf>
    <xf numFmtId="0" fontId="0" fillId="0" borderId="0" xfId="0"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13" xfId="0" applyBorder="1" applyAlignment="1">
      <alignment vertical="top"/>
    </xf>
    <xf numFmtId="0" fontId="0" fillId="0" borderId="0" xfId="0" applyAlignment="1">
      <alignment vertical="top"/>
    </xf>
    <xf numFmtId="0" fontId="0" fillId="0" borderId="0" xfId="0"/>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14" fillId="0" borderId="8" xfId="0" applyFont="1"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3" xfId="0" applyBorder="1"/>
    <xf numFmtId="0" fontId="0" fillId="0" borderId="49" xfId="0" applyBorder="1"/>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11" xfId="0" applyBorder="1"/>
    <xf numFmtId="0" fontId="0" fillId="0" borderId="13" xfId="0" applyBorder="1"/>
    <xf numFmtId="0" fontId="0" fillId="0" borderId="13" xfId="0" applyBorder="1" applyAlignment="1">
      <alignment vertical="top"/>
    </xf>
    <xf numFmtId="0" fontId="0" fillId="0" borderId="0" xfId="0" applyAlignment="1">
      <alignment vertical="top"/>
    </xf>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1" xfId="0" applyFill="1"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11" fillId="0" borderId="13" xfId="0" applyFont="1" applyBorder="1" applyAlignment="1">
      <alignment vertical="top"/>
    </xf>
    <xf numFmtId="0" fontId="0" fillId="0" borderId="1" xfId="0" applyBorder="1" applyAlignment="1">
      <alignment vertical="top"/>
    </xf>
    <xf numFmtId="0" fontId="0" fillId="0" borderId="11" xfId="0" applyBorder="1"/>
    <xf numFmtId="0" fontId="0" fillId="0" borderId="13" xfId="0" applyBorder="1"/>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 xfId="0" applyBorder="1" applyAlignment="1">
      <alignment vertical="top"/>
    </xf>
    <xf numFmtId="0" fontId="2" fillId="0" borderId="0" xfId="0" applyFont="1" applyAlignment="1">
      <alignment horizontal="right"/>
    </xf>
    <xf numFmtId="0" fontId="4" fillId="0" borderId="0" xfId="0" applyFont="1" applyAlignment="1">
      <alignment horizontal="right"/>
    </xf>
    <xf numFmtId="14" fontId="4" fillId="0" borderId="0" xfId="0" applyNumberFormat="1" applyFont="1" applyAlignment="1">
      <alignment horizontal="right"/>
    </xf>
    <xf numFmtId="0" fontId="0" fillId="0" borderId="1" xfId="0" applyBorder="1"/>
    <xf numFmtId="0" fontId="0" fillId="0" borderId="14" xfId="0" applyBorder="1"/>
    <xf numFmtId="0" fontId="0" fillId="0" borderId="12" xfId="0" applyBorder="1"/>
    <xf numFmtId="0" fontId="0" fillId="0" borderId="1" xfId="0" applyBorder="1" applyAlignment="1">
      <alignment horizontal="left"/>
    </xf>
    <xf numFmtId="0" fontId="0" fillId="0" borderId="12"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0" fillId="0" borderId="9" xfId="0" applyBorder="1"/>
    <xf numFmtId="0" fontId="0" fillId="0" borderId="10" xfId="0" applyBorder="1"/>
    <xf numFmtId="0" fontId="0" fillId="0" borderId="15" xfId="0" applyBorder="1"/>
    <xf numFmtId="49" fontId="0" fillId="0" borderId="1" xfId="0" applyNumberFormat="1" applyBorder="1"/>
    <xf numFmtId="49" fontId="0" fillId="0" borderId="12" xfId="0" applyNumberFormat="1" applyBorder="1"/>
    <xf numFmtId="0" fontId="7" fillId="3" borderId="17" xfId="0" applyFont="1" applyFill="1" applyBorder="1" applyAlignment="1">
      <alignment horizontal="center"/>
    </xf>
    <xf numFmtId="0" fontId="7" fillId="3" borderId="59" xfId="0" applyFont="1" applyFill="1" applyBorder="1" applyAlignment="1">
      <alignment horizontal="center"/>
    </xf>
    <xf numFmtId="0" fontId="7" fillId="3" borderId="60" xfId="0" applyFont="1" applyFill="1" applyBorder="1" applyAlignment="1">
      <alignment horizontal="center"/>
    </xf>
    <xf numFmtId="0" fontId="7" fillId="3" borderId="18" xfId="0" applyFont="1" applyFill="1" applyBorder="1" applyAlignment="1">
      <alignment horizontal="center"/>
    </xf>
    <xf numFmtId="0" fontId="7" fillId="3" borderId="21" xfId="0" applyFont="1" applyFill="1" applyBorder="1" applyAlignment="1">
      <alignment vertical="center"/>
    </xf>
    <xf numFmtId="0" fontId="7" fillId="3" borderId="22" xfId="0" applyFont="1" applyFill="1" applyBorder="1" applyAlignment="1">
      <alignment vertical="center"/>
    </xf>
    <xf numFmtId="0" fontId="7" fillId="3" borderId="24" xfId="0" applyFont="1" applyFill="1" applyBorder="1" applyAlignment="1">
      <alignment vertical="center"/>
    </xf>
    <xf numFmtId="0" fontId="7" fillId="3" borderId="19" xfId="0" applyFont="1" applyFill="1" applyBorder="1" applyAlignment="1">
      <alignment vertical="center"/>
    </xf>
    <xf numFmtId="0" fontId="7" fillId="3" borderId="25" xfId="0" applyFont="1" applyFill="1" applyBorder="1" applyAlignment="1">
      <alignment vertical="center"/>
    </xf>
    <xf numFmtId="0" fontId="7" fillId="3" borderId="26" xfId="0" applyFont="1" applyFill="1" applyBorder="1" applyAlignment="1">
      <alignment vertical="center"/>
    </xf>
    <xf numFmtId="0" fontId="7" fillId="3" borderId="22" xfId="0" applyFont="1" applyFill="1" applyBorder="1"/>
    <xf numFmtId="0" fontId="7" fillId="3" borderId="23" xfId="0" applyFont="1" applyFill="1" applyBorder="1"/>
    <xf numFmtId="0" fontId="7" fillId="3" borderId="19" xfId="0" applyFont="1" applyFill="1" applyBorder="1"/>
    <xf numFmtId="0" fontId="7" fillId="3" borderId="20" xfId="0" applyFont="1" applyFill="1" applyBorder="1"/>
    <xf numFmtId="0" fontId="7" fillId="3" borderId="26" xfId="0" applyFont="1" applyFill="1" applyBorder="1"/>
    <xf numFmtId="0" fontId="7" fillId="3" borderId="27" xfId="0" applyFont="1" applyFill="1" applyBorder="1"/>
    <xf numFmtId="0" fontId="0" fillId="0" borderId="33" xfId="0" applyBorder="1"/>
    <xf numFmtId="0" fontId="0" fillId="0" borderId="34" xfId="0" applyBorder="1"/>
    <xf numFmtId="0" fontId="0" fillId="0" borderId="35" xfId="0" applyBorder="1"/>
    <xf numFmtId="0" fontId="0" fillId="0" borderId="7" xfId="0" applyBorder="1"/>
    <xf numFmtId="0" fontId="0" fillId="0" borderId="0" xfId="0"/>
    <xf numFmtId="0" fontId="0" fillId="0" borderId="36" xfId="0" applyBorder="1"/>
    <xf numFmtId="0" fontId="0" fillId="0" borderId="37" xfId="0" applyBorder="1"/>
    <xf numFmtId="0" fontId="0" fillId="0" borderId="38" xfId="0" applyBorder="1"/>
    <xf numFmtId="0" fontId="0" fillId="0" borderId="39" xfId="0" applyBorder="1"/>
    <xf numFmtId="0" fontId="7" fillId="3" borderId="45" xfId="0" applyFont="1" applyFill="1" applyBorder="1" applyAlignment="1">
      <alignment horizontal="center"/>
    </xf>
    <xf numFmtId="0" fontId="7" fillId="3" borderId="46" xfId="0" applyFont="1" applyFill="1" applyBorder="1" applyAlignment="1">
      <alignment horizontal="center"/>
    </xf>
    <xf numFmtId="0" fontId="11" fillId="0" borderId="11" xfId="0" applyFont="1" applyBorder="1" applyAlignment="1">
      <alignment vertical="top"/>
    </xf>
    <xf numFmtId="0" fontId="11" fillId="0" borderId="13" xfId="0" applyFont="1" applyBorder="1" applyAlignment="1">
      <alignment vertical="top"/>
    </xf>
    <xf numFmtId="0" fontId="0" fillId="0" borderId="1" xfId="0" applyBorder="1" applyAlignment="1">
      <alignment vertical="top"/>
    </xf>
    <xf numFmtId="0" fontId="0" fillId="0" borderId="14" xfId="0" applyBorder="1" applyAlignment="1">
      <alignment vertical="top"/>
    </xf>
    <xf numFmtId="0" fontId="0" fillId="0" borderId="40" xfId="0" applyBorder="1"/>
    <xf numFmtId="0" fontId="0" fillId="0" borderId="12" xfId="0" applyBorder="1" applyAlignment="1">
      <alignment vertical="top"/>
    </xf>
    <xf numFmtId="0" fontId="0" fillId="0" borderId="15" xfId="0" applyBorder="1" applyAlignment="1">
      <alignment vertical="top"/>
    </xf>
    <xf numFmtId="0" fontId="11" fillId="0" borderId="8" xfId="0" applyFont="1" applyBorder="1" applyAlignment="1">
      <alignment vertical="top"/>
    </xf>
    <xf numFmtId="0" fontId="0" fillId="0" borderId="9" xfId="0" applyBorder="1" applyAlignment="1">
      <alignment vertical="top"/>
    </xf>
    <xf numFmtId="0" fontId="0" fillId="0" borderId="10" xfId="0" applyBorder="1" applyAlignment="1">
      <alignment vertical="top"/>
    </xf>
    <xf numFmtId="0" fontId="14" fillId="0" borderId="14" xfId="0" applyFont="1" applyBorder="1"/>
    <xf numFmtId="0" fontId="14" fillId="0" borderId="15" xfId="0" applyFont="1" applyBorder="1"/>
    <xf numFmtId="0" fontId="0" fillId="0" borderId="5" xfId="0" applyBorder="1"/>
    <xf numFmtId="0" fontId="0" fillId="0" borderId="72" xfId="0" applyBorder="1"/>
    <xf numFmtId="0" fontId="0" fillId="0" borderId="6" xfId="0" applyBorder="1"/>
    <xf numFmtId="0" fontId="0" fillId="0" borderId="73" xfId="0" applyBorder="1"/>
    <xf numFmtId="0" fontId="19" fillId="0" borderId="1" xfId="0" applyFont="1" applyBorder="1"/>
    <xf numFmtId="0" fontId="0" fillId="0" borderId="3" xfId="0" applyBorder="1"/>
    <xf numFmtId="0" fontId="14" fillId="0" borderId="34" xfId="0" applyFont="1" applyBorder="1"/>
    <xf numFmtId="0" fontId="14" fillId="0" borderId="9" xfId="0" applyFont="1" applyBorder="1" applyAlignment="1">
      <alignment vertical="top"/>
    </xf>
    <xf numFmtId="0" fontId="14" fillId="0" borderId="9" xfId="0" applyFont="1" applyBorder="1"/>
    <xf numFmtId="0" fontId="14" fillId="0" borderId="10" xfId="0" applyFont="1" applyBorder="1"/>
    <xf numFmtId="0" fontId="0" fillId="0" borderId="8" xfId="0" applyBorder="1"/>
    <xf numFmtId="0" fontId="0" fillId="0" borderId="11" xfId="0" applyBorder="1"/>
    <xf numFmtId="0" fontId="0" fillId="0" borderId="13" xfId="0" applyBorder="1"/>
    <xf numFmtId="0" fontId="7" fillId="3" borderId="42" xfId="0" applyFont="1" applyFill="1" applyBorder="1"/>
    <xf numFmtId="0" fontId="7" fillId="3" borderId="43" xfId="0" applyFont="1" applyFill="1" applyBorder="1"/>
    <xf numFmtId="0" fontId="7" fillId="3" borderId="41" xfId="0" applyFont="1" applyFill="1" applyBorder="1"/>
    <xf numFmtId="0" fontId="14" fillId="0" borderId="8" xfId="0" applyFont="1" applyBorder="1" applyAlignment="1">
      <alignment vertical="top"/>
    </xf>
    <xf numFmtId="0" fontId="14" fillId="0" borderId="13" xfId="0" applyFont="1" applyBorder="1" applyAlignment="1">
      <alignment vertical="top"/>
    </xf>
    <xf numFmtId="0" fontId="14" fillId="0" borderId="14" xfId="0" applyFont="1" applyBorder="1" applyAlignment="1">
      <alignment vertical="top"/>
    </xf>
    <xf numFmtId="0" fontId="14" fillId="0" borderId="38" xfId="0" applyFont="1" applyBorder="1"/>
    <xf numFmtId="0" fontId="0" fillId="0" borderId="1" xfId="0" quotePrefix="1" applyBorder="1"/>
    <xf numFmtId="0" fontId="0" fillId="0" borderId="11" xfId="0" applyBorder="1" applyAlignment="1">
      <alignment vertical="top"/>
    </xf>
    <xf numFmtId="0" fontId="0" fillId="0" borderId="13" xfId="0" applyBorder="1" applyAlignment="1">
      <alignment vertical="top"/>
    </xf>
    <xf numFmtId="0" fontId="0" fillId="0" borderId="54" xfId="0" applyBorder="1"/>
    <xf numFmtId="0" fontId="0" fillId="0" borderId="8" xfId="0" applyBorder="1" applyAlignment="1">
      <alignment vertical="top"/>
    </xf>
    <xf numFmtId="0" fontId="0" fillId="0" borderId="29" xfId="0" applyBorder="1" applyAlignment="1">
      <alignment vertical="top"/>
    </xf>
    <xf numFmtId="0" fontId="0" fillId="0" borderId="14" xfId="0" quotePrefix="1" applyBorder="1"/>
    <xf numFmtId="0" fontId="17" fillId="0" borderId="14" xfId="0" applyFont="1" applyBorder="1"/>
    <xf numFmtId="0" fontId="0" fillId="0" borderId="29" xfId="0" applyBorder="1"/>
    <xf numFmtId="0" fontId="0" fillId="0" borderId="49" xfId="0" applyBorder="1" applyAlignment="1">
      <alignment vertical="top"/>
    </xf>
    <xf numFmtId="0" fontId="0" fillId="0" borderId="50" xfId="0" applyBorder="1" applyAlignment="1">
      <alignment vertical="top"/>
    </xf>
    <xf numFmtId="0" fontId="0" fillId="0" borderId="47" xfId="0" applyBorder="1" applyAlignment="1">
      <alignment vertical="top"/>
    </xf>
    <xf numFmtId="0" fontId="0" fillId="0" borderId="40" xfId="0" applyBorder="1" applyAlignment="1">
      <alignment vertical="top"/>
    </xf>
    <xf numFmtId="0" fontId="0" fillId="0" borderId="48" xfId="0" applyBorder="1" applyAlignment="1">
      <alignment vertical="top"/>
    </xf>
    <xf numFmtId="0" fontId="0" fillId="0" borderId="37" xfId="0" applyBorder="1" applyAlignment="1">
      <alignment vertical="top"/>
    </xf>
    <xf numFmtId="0" fontId="0" fillId="0" borderId="38" xfId="0" applyBorder="1" applyAlignment="1">
      <alignment vertical="top"/>
    </xf>
    <xf numFmtId="0" fontId="0" fillId="0" borderId="51" xfId="0" applyBorder="1" applyAlignment="1">
      <alignment vertical="top"/>
    </xf>
    <xf numFmtId="0" fontId="0" fillId="0" borderId="52" xfId="0" applyBorder="1" applyAlignment="1">
      <alignment vertical="top"/>
    </xf>
    <xf numFmtId="0" fontId="0" fillId="0" borderId="39" xfId="0" applyBorder="1" applyAlignment="1">
      <alignment vertical="top"/>
    </xf>
    <xf numFmtId="0" fontId="0" fillId="0" borderId="55" xfId="0" applyBorder="1"/>
    <xf numFmtId="0" fontId="14" fillId="0" borderId="49" xfId="0" applyFont="1" applyBorder="1" applyAlignment="1">
      <alignment vertical="top"/>
    </xf>
    <xf numFmtId="0" fontId="14" fillId="0" borderId="29" xfId="0" applyFont="1" applyBorder="1" applyAlignment="1">
      <alignment vertical="top"/>
    </xf>
    <xf numFmtId="0" fontId="14" fillId="0" borderId="29" xfId="0" applyFont="1" applyBorder="1"/>
    <xf numFmtId="0" fontId="14" fillId="0" borderId="30" xfId="0" applyFont="1" applyBorder="1"/>
    <xf numFmtId="0" fontId="14" fillId="0" borderId="0" xfId="0" applyFont="1"/>
    <xf numFmtId="0" fontId="0" fillId="0" borderId="30" xfId="0" applyBorder="1"/>
    <xf numFmtId="0" fontId="0" fillId="0" borderId="28" xfId="0" applyBorder="1"/>
    <xf numFmtId="0" fontId="0" fillId="0" borderId="31" xfId="0" applyBorder="1"/>
    <xf numFmtId="0" fontId="0" fillId="0" borderId="32" xfId="0" applyBorder="1"/>
    <xf numFmtId="0" fontId="0" fillId="0" borderId="62" xfId="0" applyBorder="1"/>
    <xf numFmtId="0" fontId="0" fillId="0" borderId="64" xfId="0" applyBorder="1"/>
    <xf numFmtId="0" fontId="0" fillId="0" borderId="63" xfId="0" applyBorder="1"/>
    <xf numFmtId="0" fontId="9" fillId="0" borderId="1" xfId="0" applyFont="1" applyBorder="1"/>
    <xf numFmtId="0" fontId="10" fillId="0" borderId="1" xfId="0" applyFont="1" applyBorder="1"/>
    <xf numFmtId="0" fontId="10" fillId="0" borderId="14" xfId="0" applyFont="1" applyBorder="1"/>
    <xf numFmtId="0" fontId="14" fillId="0" borderId="56" xfId="0" applyFont="1" applyBorder="1" applyAlignment="1">
      <alignment vertical="top"/>
    </xf>
    <xf numFmtId="0" fontId="14" fillId="0" borderId="57" xfId="0" applyFont="1" applyBorder="1" applyAlignment="1">
      <alignment vertical="top"/>
    </xf>
    <xf numFmtId="0" fontId="14" fillId="0" borderId="50" xfId="0" applyFont="1" applyBorder="1" applyAlignment="1">
      <alignment vertical="top"/>
    </xf>
    <xf numFmtId="0" fontId="14" fillId="0" borderId="33" xfId="0" applyFont="1" applyBorder="1" applyAlignment="1">
      <alignment vertical="top"/>
    </xf>
    <xf numFmtId="0" fontId="14" fillId="0" borderId="34" xfId="0" applyFont="1" applyBorder="1" applyAlignment="1">
      <alignment vertical="top"/>
    </xf>
    <xf numFmtId="0" fontId="14" fillId="0" borderId="58" xfId="0" applyFont="1" applyBorder="1" applyAlignment="1">
      <alignment vertical="top"/>
    </xf>
    <xf numFmtId="0" fontId="14" fillId="0" borderId="7" xfId="0" applyFont="1" applyBorder="1" applyAlignment="1">
      <alignment vertical="top"/>
    </xf>
    <xf numFmtId="0" fontId="14" fillId="0" borderId="0" xfId="0" applyFont="1" applyAlignment="1">
      <alignment vertical="top"/>
    </xf>
    <xf numFmtId="0" fontId="14" fillId="0" borderId="53" xfId="0" applyFont="1" applyBorder="1" applyAlignment="1">
      <alignment vertical="top"/>
    </xf>
    <xf numFmtId="0" fontId="14" fillId="0" borderId="37" xfId="0" applyFont="1" applyBorder="1" applyAlignment="1">
      <alignment vertical="top"/>
    </xf>
    <xf numFmtId="0" fontId="14" fillId="0" borderId="38" xfId="0" applyFont="1" applyBorder="1" applyAlignment="1">
      <alignment vertical="top"/>
    </xf>
    <xf numFmtId="0" fontId="14" fillId="0" borderId="51" xfId="0" applyFont="1" applyBorder="1" applyAlignment="1">
      <alignment vertical="top"/>
    </xf>
    <xf numFmtId="0" fontId="14" fillId="0" borderId="35" xfId="0" applyFont="1" applyBorder="1" applyAlignment="1">
      <alignment vertical="top"/>
    </xf>
    <xf numFmtId="0" fontId="14" fillId="0" borderId="36" xfId="0" applyFont="1" applyBorder="1" applyAlignment="1">
      <alignment vertical="top"/>
    </xf>
    <xf numFmtId="0" fontId="14" fillId="0" borderId="39" xfId="0" applyFont="1" applyBorder="1" applyAlignment="1">
      <alignment vertical="top"/>
    </xf>
    <xf numFmtId="0" fontId="0" fillId="0" borderId="76" xfId="0" applyBorder="1"/>
    <xf numFmtId="0" fontId="17" fillId="0" borderId="1" xfId="0" applyFont="1" applyBorder="1"/>
    <xf numFmtId="0" fontId="15" fillId="0" borderId="11" xfId="0" applyFont="1" applyBorder="1" applyAlignment="1">
      <alignment vertical="top"/>
    </xf>
    <xf numFmtId="0" fontId="15" fillId="0" borderId="13" xfId="0" applyFont="1" applyBorder="1" applyAlignment="1">
      <alignment vertical="top"/>
    </xf>
    <xf numFmtId="0" fontId="7" fillId="3" borderId="74" xfId="0" applyFont="1" applyFill="1" applyBorder="1"/>
    <xf numFmtId="0" fontId="7" fillId="3" borderId="34" xfId="0" applyFont="1" applyFill="1" applyBorder="1"/>
    <xf numFmtId="0" fontId="7" fillId="3" borderId="35" xfId="0" applyFont="1" applyFill="1" applyBorder="1"/>
    <xf numFmtId="6" fontId="0" fillId="0" borderId="75" xfId="3" applyFont="1" applyBorder="1" applyAlignment="1">
      <alignment vertical="top" wrapText="1"/>
    </xf>
    <xf numFmtId="6" fontId="0" fillId="0" borderId="63" xfId="3" applyFont="1" applyBorder="1" applyAlignment="1">
      <alignment vertical="top" wrapText="1"/>
    </xf>
    <xf numFmtId="6" fontId="0" fillId="0" borderId="65" xfId="3" applyFont="1" applyBorder="1" applyAlignment="1">
      <alignment vertical="top" wrapText="1"/>
    </xf>
    <xf numFmtId="0" fontId="0" fillId="0" borderId="75" xfId="0" applyBorder="1" applyAlignment="1">
      <alignment vertical="top" wrapText="1"/>
    </xf>
    <xf numFmtId="0" fontId="0" fillId="0" borderId="63" xfId="0" applyBorder="1" applyAlignment="1">
      <alignment vertical="top" wrapText="1"/>
    </xf>
    <xf numFmtId="0" fontId="0" fillId="0" borderId="65" xfId="0" applyBorder="1" applyAlignment="1">
      <alignment vertical="top" wrapText="1"/>
    </xf>
    <xf numFmtId="0" fontId="0" fillId="0" borderId="7" xfId="0" applyBorder="1" applyAlignment="1">
      <alignment vertical="top"/>
    </xf>
    <xf numFmtId="0" fontId="0" fillId="0" borderId="0" xfId="0" applyAlignment="1">
      <alignment vertical="top"/>
    </xf>
    <xf numFmtId="0" fontId="0" fillId="0" borderId="36" xfId="0" applyBorder="1" applyAlignment="1">
      <alignment vertical="top"/>
    </xf>
    <xf numFmtId="0" fontId="0" fillId="0" borderId="61" xfId="0" applyBorder="1"/>
    <xf numFmtId="0" fontId="0" fillId="0" borderId="14" xfId="0" applyBorder="1" applyAlignment="1">
      <alignment shrinkToFit="1"/>
    </xf>
    <xf numFmtId="0" fontId="11" fillId="0" borderId="49" xfId="0" applyFont="1" applyBorder="1" applyAlignment="1">
      <alignment vertical="top"/>
    </xf>
    <xf numFmtId="0" fontId="11" fillId="0" borderId="57" xfId="0" applyFont="1" applyBorder="1" applyAlignment="1">
      <alignment vertical="top"/>
    </xf>
    <xf numFmtId="0" fontId="0" fillId="0" borderId="53" xfId="0" applyBorder="1" applyAlignment="1">
      <alignment vertical="top"/>
    </xf>
    <xf numFmtId="0" fontId="0" fillId="0" borderId="1" xfId="0" applyBorder="1" applyAlignment="1">
      <alignment shrinkToFit="1"/>
    </xf>
    <xf numFmtId="0" fontId="11" fillId="0" borderId="50" xfId="0" applyFont="1" applyBorder="1" applyAlignment="1">
      <alignment vertical="top"/>
    </xf>
    <xf numFmtId="0" fontId="0" fillId="0" borderId="62" xfId="0" applyBorder="1" applyAlignment="1">
      <alignment vertical="top"/>
    </xf>
    <xf numFmtId="0" fontId="0" fillId="0" borderId="63" xfId="0" applyBorder="1" applyAlignment="1">
      <alignment vertical="top"/>
    </xf>
    <xf numFmtId="0" fontId="0" fillId="0" borderId="64" xfId="0" applyBorder="1" applyAlignment="1">
      <alignment vertical="top"/>
    </xf>
    <xf numFmtId="0" fontId="0" fillId="0" borderId="65" xfId="0" applyBorder="1" applyAlignment="1">
      <alignment vertical="top"/>
    </xf>
    <xf numFmtId="0" fontId="0" fillId="0" borderId="68" xfId="0" applyBorder="1"/>
    <xf numFmtId="0" fontId="0" fillId="0" borderId="51" xfId="0" applyBorder="1"/>
    <xf numFmtId="0" fontId="11" fillId="0" borderId="66" xfId="0" applyFont="1" applyBorder="1" applyAlignment="1">
      <alignment vertical="top"/>
    </xf>
    <xf numFmtId="0" fontId="11" fillId="0" borderId="67" xfId="0" applyFont="1" applyBorder="1" applyAlignment="1">
      <alignment vertical="top"/>
    </xf>
    <xf numFmtId="0" fontId="0" fillId="0" borderId="0" xfId="0" applyBorder="1"/>
    <xf numFmtId="0" fontId="0" fillId="0" borderId="53" xfId="0" applyBorder="1"/>
    <xf numFmtId="0" fontId="0" fillId="0" borderId="14" xfId="0" applyBorder="1" applyAlignment="1">
      <alignment vertical="top" wrapText="1"/>
    </xf>
    <xf numFmtId="0" fontId="0" fillId="0" borderId="69" xfId="0" applyBorder="1"/>
    <xf numFmtId="0" fontId="0" fillId="0" borderId="70" xfId="0" applyBorder="1"/>
    <xf numFmtId="0" fontId="0" fillId="0" borderId="71" xfId="0" applyBorder="1"/>
    <xf numFmtId="0" fontId="0" fillId="0" borderId="65" xfId="0" applyBorder="1"/>
  </cellXfs>
  <cellStyles count="4">
    <cellStyle name="ハイパーリンク" xfId="1" builtinId="8"/>
    <cellStyle name="通貨" xfId="3" builtinId="7"/>
    <cellStyle name="標準" xfId="0" builtinId="0"/>
    <cellStyle name="標準 2" xfId="2" xr:uid="{00000000-0005-0000-0000-000002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DEADB421-1E79-465E-9942-289DE1E1FF63}">
      <tableStyleElement type="wholeTable" dxfId="1"/>
      <tableStyleElement type="headerRow" dxfId="0"/>
    </tableStyle>
  </tableStyles>
  <colors>
    <mruColors>
      <color rgb="FF7F7F7F"/>
      <color rgb="FFA6A6A6"/>
      <color rgb="FFD7D69B"/>
      <color rgb="FFC3D69B"/>
      <color rgb="FFD7E4BD"/>
      <color rgb="FFFFCC66"/>
      <color rgb="FFFFCCCC"/>
      <color rgb="FFCCFFCC"/>
      <color rgb="FFA0B1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723900</xdr:colOff>
          <xdr:row>0</xdr:row>
          <xdr:rowOff>68580</xdr:rowOff>
        </xdr:from>
        <xdr:to>
          <xdr:col>9</xdr:col>
          <xdr:colOff>2049780</xdr:colOff>
          <xdr:row>0</xdr:row>
          <xdr:rowOff>388620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変更分SQL生成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121920</xdr:rowOff>
        </xdr:from>
        <xdr:to>
          <xdr:col>6</xdr:col>
          <xdr:colOff>312420</xdr:colOff>
          <xdr:row>2</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SQL生成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spPr>
      <a:bodyPr vertOverflow="clip" horzOverflow="clip" wrap="square" lIns="0" tIns="0" rIns="0" bIns="0" rtlCol="0" anchor="ctr" anchorCtr="1">
        <a:spAutoFit/>
      </a:bodyPr>
      <a:lstStyle>
        <a:defPPr algn="l">
          <a:defRPr kumimoji="1" sz="1100"/>
        </a:defPPr>
      </a:lstStyle>
      <a:style>
        <a:lnRef idx="0">
          <a:scrgbClr r="0" g="0" b="0"/>
        </a:lnRef>
        <a:fillRef idx="0">
          <a:scrgbClr r="0" g="0" b="0"/>
        </a:fillRef>
        <a:effectRef idx="0">
          <a:scrgbClr r="0" g="0" b="0"/>
        </a:effectRef>
        <a:fontRef idx="minor">
          <a:schemeClr val="tx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7:AK25"/>
  <sheetViews>
    <sheetView topLeftCell="A37" workbookViewId="0"/>
  </sheetViews>
  <sheetFormatPr defaultColWidth="3.6640625" defaultRowHeight="13.2"/>
  <sheetData>
    <row r="17" spans="1:37" ht="30">
      <c r="A17" s="186" t="s">
        <v>0</v>
      </c>
      <c r="B17" s="186"/>
      <c r="C17" s="186"/>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6"/>
      <c r="AI17" s="186"/>
      <c r="AJ17" s="186"/>
      <c r="AK17" s="186"/>
    </row>
    <row r="18" spans="1:37" ht="30">
      <c r="A18" s="186" t="s">
        <v>1</v>
      </c>
      <c r="B18" s="186"/>
      <c r="C18" s="186"/>
      <c r="D18" s="186"/>
      <c r="E18" s="186"/>
      <c r="F18" s="186"/>
      <c r="G18" s="186"/>
      <c r="H18" s="186"/>
      <c r="I18" s="186"/>
      <c r="J18" s="186"/>
      <c r="K18" s="186"/>
      <c r="L18" s="186"/>
      <c r="M18" s="186"/>
      <c r="N18" s="186"/>
      <c r="O18" s="186"/>
      <c r="P18" s="186"/>
      <c r="Q18" s="186"/>
      <c r="R18" s="186"/>
      <c r="S18" s="186"/>
      <c r="T18" s="186"/>
      <c r="U18" s="186"/>
      <c r="V18" s="186"/>
      <c r="W18" s="186"/>
      <c r="X18" s="186"/>
      <c r="Y18" s="186"/>
      <c r="Z18" s="186"/>
      <c r="AA18" s="186"/>
      <c r="AB18" s="186"/>
      <c r="AC18" s="186"/>
      <c r="AD18" s="186"/>
      <c r="AE18" s="186"/>
      <c r="AF18" s="186"/>
      <c r="AG18" s="186"/>
      <c r="AH18" s="186"/>
      <c r="AI18" s="186"/>
      <c r="AJ18" s="186"/>
      <c r="AK18" s="186"/>
    </row>
    <row r="19" spans="1:37" ht="30">
      <c r="A19" s="186" t="s">
        <v>2</v>
      </c>
      <c r="B19" s="186"/>
      <c r="C19" s="186"/>
      <c r="D19" s="186"/>
      <c r="E19" s="186"/>
      <c r="F19" s="186"/>
      <c r="G19" s="186"/>
      <c r="H19" s="186"/>
      <c r="I19" s="186"/>
      <c r="J19" s="186"/>
      <c r="K19" s="186"/>
      <c r="L19" s="186"/>
      <c r="M19" s="186"/>
      <c r="N19" s="186"/>
      <c r="O19" s="186"/>
      <c r="P19" s="186"/>
      <c r="Q19" s="186"/>
      <c r="R19" s="186"/>
      <c r="S19" s="186"/>
      <c r="T19" s="186"/>
      <c r="U19" s="186"/>
      <c r="V19" s="186"/>
      <c r="W19" s="186"/>
      <c r="X19" s="186"/>
      <c r="Y19" s="186"/>
      <c r="Z19" s="186"/>
      <c r="AA19" s="186"/>
      <c r="AB19" s="186"/>
      <c r="AC19" s="186"/>
      <c r="AD19" s="186"/>
      <c r="AE19" s="186"/>
      <c r="AF19" s="186"/>
      <c r="AG19" s="186"/>
      <c r="AH19" s="186"/>
      <c r="AI19" s="186"/>
      <c r="AJ19" s="186"/>
      <c r="AK19" s="186"/>
    </row>
    <row r="24" spans="1:37" ht="19.2">
      <c r="A24" s="187" t="s">
        <v>3</v>
      </c>
      <c r="B24" s="187"/>
      <c r="C24" s="187"/>
      <c r="D24" s="187"/>
      <c r="E24" s="187"/>
      <c r="F24" s="187"/>
      <c r="G24" s="187"/>
      <c r="H24" s="187"/>
      <c r="I24" s="187"/>
      <c r="J24" s="187"/>
      <c r="K24" s="187"/>
      <c r="L24" s="187"/>
      <c r="M24" s="187"/>
      <c r="N24" s="187"/>
      <c r="O24" s="187"/>
      <c r="P24" s="187"/>
      <c r="Q24" s="187"/>
      <c r="R24" s="187"/>
      <c r="S24" s="187"/>
      <c r="T24" s="187"/>
      <c r="U24" s="187"/>
      <c r="V24" s="187"/>
      <c r="W24" s="187"/>
      <c r="X24" s="187"/>
      <c r="Y24" s="187"/>
      <c r="Z24" s="187"/>
      <c r="AA24" s="187"/>
      <c r="AB24" s="187"/>
      <c r="AC24" s="187"/>
      <c r="AD24" s="187"/>
      <c r="AE24" s="187"/>
      <c r="AF24" s="187"/>
      <c r="AG24" s="187"/>
      <c r="AH24" s="187"/>
      <c r="AI24" s="187"/>
      <c r="AJ24" s="187"/>
      <c r="AK24" s="187"/>
    </row>
    <row r="25" spans="1:37" ht="19.2">
      <c r="A25" s="188">
        <v>43481</v>
      </c>
      <c r="B25" s="188"/>
      <c r="C25" s="188"/>
      <c r="D25" s="188"/>
      <c r="E25" s="188"/>
      <c r="F25" s="188"/>
      <c r="G25" s="188"/>
      <c r="H25" s="188"/>
      <c r="I25" s="188"/>
      <c r="J25" s="188"/>
      <c r="K25" s="188"/>
      <c r="L25" s="188"/>
      <c r="M25" s="188"/>
      <c r="N25" s="188"/>
      <c r="O25" s="188"/>
      <c r="P25" s="188"/>
      <c r="Q25" s="188"/>
      <c r="R25" s="188"/>
      <c r="S25" s="188"/>
      <c r="T25" s="188"/>
      <c r="U25" s="188"/>
      <c r="V25" s="188"/>
      <c r="W25" s="188"/>
      <c r="X25" s="188"/>
      <c r="Y25" s="188"/>
      <c r="Z25" s="188"/>
      <c r="AA25" s="188"/>
      <c r="AB25" s="188"/>
      <c r="AC25" s="188"/>
      <c r="AD25" s="188"/>
      <c r="AE25" s="188"/>
      <c r="AF25" s="188"/>
      <c r="AG25" s="188"/>
      <c r="AH25" s="188"/>
      <c r="AI25" s="188"/>
      <c r="AJ25" s="188"/>
      <c r="AK25" s="188"/>
    </row>
  </sheetData>
  <mergeCells count="5">
    <mergeCell ref="A17:AK17"/>
    <mergeCell ref="A18:AK18"/>
    <mergeCell ref="A19:AK19"/>
    <mergeCell ref="A24:AK24"/>
    <mergeCell ref="A25:AK25"/>
  </mergeCells>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M199"/>
  <sheetViews>
    <sheetView tabSelected="1" zoomScale="85" zoomScaleNormal="85" workbookViewId="0">
      <pane ySplit="2" topLeftCell="A183" activePane="bottomLeft" state="frozen"/>
      <selection pane="bottomLeft" activeCell="B195" sqref="B195"/>
    </sheetView>
  </sheetViews>
  <sheetFormatPr defaultColWidth="6.77734375" defaultRowHeight="13.2"/>
  <cols>
    <col min="1" max="1" width="4.6640625" style="22" customWidth="1"/>
    <col min="2" max="2" width="22.109375" style="22" bestFit="1" customWidth="1"/>
    <col min="3" max="3" width="24.109375" style="22" bestFit="1" customWidth="1"/>
    <col min="4" max="6" width="16.5546875" style="22" hidden="1" customWidth="1"/>
    <col min="7" max="7" width="20.109375" style="22" customWidth="1"/>
    <col min="8" max="8" width="9.5546875" style="22" bestFit="1" customWidth="1"/>
    <col min="9" max="9" width="43" style="22" customWidth="1"/>
    <col min="10" max="10" width="43" style="23" customWidth="1"/>
    <col min="11" max="12" width="11.88671875" style="22" bestFit="1" customWidth="1"/>
    <col min="13" max="13" width="12.109375" bestFit="1" customWidth="1"/>
  </cols>
  <sheetData>
    <row r="1" spans="1:13" ht="74.400000000000006" customHeight="1">
      <c r="A1" s="22" t="s">
        <v>1352</v>
      </c>
      <c r="G1" s="22" t="s">
        <v>1432</v>
      </c>
    </row>
    <row r="2" spans="1:13">
      <c r="A2" s="26" t="s">
        <v>1353</v>
      </c>
      <c r="B2" s="26" t="s">
        <v>161</v>
      </c>
      <c r="C2" s="26" t="s">
        <v>1380</v>
      </c>
      <c r="D2" s="26" t="s">
        <v>1381</v>
      </c>
      <c r="E2" s="26" t="s">
        <v>1382</v>
      </c>
      <c r="F2" s="26" t="s">
        <v>1383</v>
      </c>
      <c r="G2" s="26" t="s">
        <v>1354</v>
      </c>
      <c r="H2" s="26" t="s">
        <v>1358</v>
      </c>
      <c r="I2" s="26" t="s">
        <v>1355</v>
      </c>
      <c r="J2" s="27" t="s">
        <v>1368</v>
      </c>
      <c r="K2" s="26" t="s">
        <v>1356</v>
      </c>
      <c r="L2" s="26" t="s">
        <v>1357</v>
      </c>
      <c r="M2" s="26" t="s">
        <v>1431</v>
      </c>
    </row>
    <row r="3" spans="1:13" ht="26.4">
      <c r="A3" s="21">
        <f t="shared" ref="A3:A10" si="0">ROW()-3</f>
        <v>0</v>
      </c>
      <c r="B3" s="21" t="s">
        <v>1361</v>
      </c>
      <c r="C3" s="21" t="str">
        <f>IFERROR(VLOOKUP($B3,オブジェクト一覧!$C$5:$I$102,2,FALSE),"")</f>
        <v/>
      </c>
      <c r="D3" s="21" t="str">
        <f>IFERROR(VLOOKUP($B3,オブジェクト一覧!$C$5:$I$102,5,FALSE),"")</f>
        <v/>
      </c>
      <c r="E3" s="21" t="str">
        <f>IFERROR(VLOOKUP($B3,オブジェクト一覧!$C$5:$I$102,6,FALSE),"")</f>
        <v/>
      </c>
      <c r="F3" s="21" t="str">
        <f>IFERROR(VLOOKUP($B3,オブジェクト一覧!$C$5:$I$102,7,FALSE),"")</f>
        <v/>
      </c>
      <c r="G3" s="21" t="s">
        <v>1359</v>
      </c>
      <c r="H3" s="21" t="s">
        <v>1362</v>
      </c>
      <c r="I3" s="21" t="s">
        <v>1363</v>
      </c>
      <c r="J3" s="24" t="s">
        <v>1369</v>
      </c>
      <c r="K3" s="25">
        <v>43608</v>
      </c>
      <c r="L3" s="25">
        <v>43608</v>
      </c>
      <c r="M3" s="25">
        <v>43613</v>
      </c>
    </row>
    <row r="4" spans="1:13">
      <c r="A4" s="21">
        <f t="shared" si="0"/>
        <v>1</v>
      </c>
      <c r="B4" s="21" t="s">
        <v>1365</v>
      </c>
      <c r="C4" s="56" t="str">
        <f>IFERROR(VLOOKUP($B4,オブジェクト一覧!$C$5:$I$102,2,FALSE),"")</f>
        <v>m_product</v>
      </c>
      <c r="D4" s="56" t="str">
        <f>IFERROR(VLOOKUP($B4,オブジェクト一覧!$C$5:$I$102,5,FALSE),"")</f>
        <v>public</v>
      </c>
      <c r="E4" s="56" t="str">
        <f>IFERROR(VLOOKUP($B4,オブジェクト一覧!$C$5:$I$102,6,FALSE),"")</f>
        <v>kids</v>
      </c>
      <c r="F4" s="56" t="str">
        <f>IFERROR(VLOOKUP($B4,オブジェクト一覧!$C$5:$I$102,7,FALSE),"")</f>
        <v>TABLE</v>
      </c>
      <c r="G4" s="21" t="s">
        <v>1704</v>
      </c>
      <c r="H4" s="21" t="s">
        <v>1366</v>
      </c>
      <c r="I4" s="21" t="s">
        <v>1367</v>
      </c>
      <c r="J4" s="24" t="s">
        <v>1370</v>
      </c>
      <c r="K4" s="25">
        <v>43608</v>
      </c>
      <c r="L4" s="25">
        <v>43608</v>
      </c>
      <c r="M4" s="25">
        <v>43613</v>
      </c>
    </row>
    <row r="5" spans="1:13">
      <c r="A5" s="21">
        <f t="shared" si="0"/>
        <v>2</v>
      </c>
      <c r="B5" s="21" t="s">
        <v>1373</v>
      </c>
      <c r="C5" s="56" t="str">
        <f>IFERROR(VLOOKUP($B5,オブジェクト一覧!$C$5:$I$102,2,FALSE),"")</f>
        <v>m_receive</v>
      </c>
      <c r="D5" s="56" t="str">
        <f>IFERROR(VLOOKUP($B5,オブジェクト一覧!$C$5:$I$102,5,FALSE),"")</f>
        <v>public</v>
      </c>
      <c r="E5" s="56" t="str">
        <f>IFERROR(VLOOKUP($B5,オブジェクト一覧!$C$5:$I$102,6,FALSE),"")</f>
        <v>kids</v>
      </c>
      <c r="F5" s="56" t="str">
        <f>IFERROR(VLOOKUP($B5,オブジェクト一覧!$C$5:$I$102,7,FALSE),"")</f>
        <v>TABLE</v>
      </c>
      <c r="G5" s="21" t="s">
        <v>1371</v>
      </c>
      <c r="H5" s="21" t="s">
        <v>1366</v>
      </c>
      <c r="I5" s="21" t="s">
        <v>1367</v>
      </c>
      <c r="J5" s="24" t="s">
        <v>1374</v>
      </c>
      <c r="K5" s="25">
        <v>43608</v>
      </c>
      <c r="L5" s="25">
        <v>43608</v>
      </c>
      <c r="M5" s="25">
        <v>43613</v>
      </c>
    </row>
    <row r="6" spans="1:13" ht="26.4">
      <c r="A6" s="21">
        <f t="shared" si="0"/>
        <v>3</v>
      </c>
      <c r="B6" s="21" t="s">
        <v>1373</v>
      </c>
      <c r="C6" s="56" t="str">
        <f>IFERROR(VLOOKUP($B6,オブジェクト一覧!$C$5:$I$102,2,FALSE),"")</f>
        <v>m_receive</v>
      </c>
      <c r="D6" s="56" t="str">
        <f>IFERROR(VLOOKUP($B6,オブジェクト一覧!$C$5:$I$102,5,FALSE),"")</f>
        <v>public</v>
      </c>
      <c r="E6" s="56" t="str">
        <f>IFERROR(VLOOKUP($B6,オブジェクト一覧!$C$5:$I$102,6,FALSE),"")</f>
        <v>kids</v>
      </c>
      <c r="F6" s="56" t="str">
        <f>IFERROR(VLOOKUP($B6,オブジェクト一覧!$C$5:$I$102,7,FALSE),"")</f>
        <v>TABLE</v>
      </c>
      <c r="G6" s="21" t="s">
        <v>1372</v>
      </c>
      <c r="H6" s="21" t="s">
        <v>1366</v>
      </c>
      <c r="I6" s="21" t="s">
        <v>1367</v>
      </c>
      <c r="J6" s="24" t="s">
        <v>1375</v>
      </c>
      <c r="K6" s="25">
        <v>43608</v>
      </c>
      <c r="L6" s="25">
        <v>43608</v>
      </c>
      <c r="M6" s="25">
        <v>43613</v>
      </c>
    </row>
    <row r="7" spans="1:13" s="20" customFormat="1">
      <c r="A7" s="21">
        <f t="shared" si="0"/>
        <v>4</v>
      </c>
      <c r="B7" s="21" t="s">
        <v>1376</v>
      </c>
      <c r="C7" s="56" t="str">
        <f>IFERROR(VLOOKUP($B7,オブジェクト一覧!$C$5:$I$102,2,FALSE),"")</f>
        <v>m_order</v>
      </c>
      <c r="D7" s="56" t="str">
        <f>IFERROR(VLOOKUP($B7,オブジェクト一覧!$C$5:$I$102,5,FALSE),"")</f>
        <v>public</v>
      </c>
      <c r="E7" s="56" t="str">
        <f>IFERROR(VLOOKUP($B7,オブジェクト一覧!$C$5:$I$102,6,FALSE),"")</f>
        <v>kids</v>
      </c>
      <c r="F7" s="56" t="str">
        <f>IFERROR(VLOOKUP($B7,オブジェクト一覧!$C$5:$I$102,7,FALSE),"")</f>
        <v>TABLE</v>
      </c>
      <c r="G7" s="21" t="s">
        <v>1371</v>
      </c>
      <c r="H7" s="21" t="s">
        <v>1366</v>
      </c>
      <c r="I7" s="21" t="s">
        <v>1367</v>
      </c>
      <c r="J7" s="24" t="s">
        <v>1374</v>
      </c>
      <c r="K7" s="25">
        <v>43608</v>
      </c>
      <c r="L7" s="25">
        <v>43608</v>
      </c>
      <c r="M7" s="25">
        <v>43613</v>
      </c>
    </row>
    <row r="8" spans="1:13" s="20" customFormat="1" ht="26.4">
      <c r="A8" s="21">
        <f t="shared" si="0"/>
        <v>5</v>
      </c>
      <c r="B8" s="21" t="s">
        <v>1376</v>
      </c>
      <c r="C8" s="56" t="str">
        <f>IFERROR(VLOOKUP($B8,オブジェクト一覧!$C$5:$I$102,2,FALSE),"")</f>
        <v>m_order</v>
      </c>
      <c r="D8" s="56" t="str">
        <f>IFERROR(VLOOKUP($B8,オブジェクト一覧!$C$5:$I$102,5,FALSE),"")</f>
        <v>public</v>
      </c>
      <c r="E8" s="56" t="str">
        <f>IFERROR(VLOOKUP($B8,オブジェクト一覧!$C$5:$I$102,6,FALSE),"")</f>
        <v>kids</v>
      </c>
      <c r="F8" s="56" t="str">
        <f>IFERROR(VLOOKUP($B8,オブジェクト一覧!$C$5:$I$102,7,FALSE),"")</f>
        <v>TABLE</v>
      </c>
      <c r="G8" s="21" t="s">
        <v>1372</v>
      </c>
      <c r="H8" s="21" t="s">
        <v>1366</v>
      </c>
      <c r="I8" s="21" t="s">
        <v>1367</v>
      </c>
      <c r="J8" s="24" t="s">
        <v>1375</v>
      </c>
      <c r="K8" s="25">
        <v>43608</v>
      </c>
      <c r="L8" s="25">
        <v>43608</v>
      </c>
      <c r="M8" s="25">
        <v>43613</v>
      </c>
    </row>
    <row r="9" spans="1:13" s="20" customFormat="1" ht="26.4">
      <c r="A9" s="21">
        <f t="shared" si="0"/>
        <v>6</v>
      </c>
      <c r="B9" s="21" t="s">
        <v>841</v>
      </c>
      <c r="C9" s="56" t="str">
        <f>IFERROR(VLOOKUP($B9,オブジェクト一覧!$C$5:$I$102,2,FALSE),"")</f>
        <v>t_estimatedetail</v>
      </c>
      <c r="D9" s="56" t="str">
        <f>IFERROR(VLOOKUP($B9,オブジェクト一覧!$C$5:$I$102,5,FALSE),"")</f>
        <v>public</v>
      </c>
      <c r="E9" s="56" t="str">
        <f>IFERROR(VLOOKUP($B9,オブジェクト一覧!$C$5:$I$102,6,FALSE),"")</f>
        <v>kids</v>
      </c>
      <c r="F9" s="56" t="str">
        <f>IFERROR(VLOOKUP($B9,オブジェクト一覧!$C$5:$I$102,7,FALSE),"")</f>
        <v>TABLE</v>
      </c>
      <c r="G9" s="21" t="s">
        <v>834</v>
      </c>
      <c r="H9" s="21" t="s">
        <v>1377</v>
      </c>
      <c r="I9" s="21" t="s">
        <v>1378</v>
      </c>
      <c r="J9" s="24" t="s">
        <v>1379</v>
      </c>
      <c r="K9" s="25">
        <v>43608</v>
      </c>
      <c r="L9" s="25">
        <v>43608</v>
      </c>
      <c r="M9" s="25">
        <v>43613</v>
      </c>
    </row>
    <row r="10" spans="1:13" s="20" customFormat="1" ht="39.6">
      <c r="A10" s="21">
        <f t="shared" si="0"/>
        <v>7</v>
      </c>
      <c r="B10" s="21" t="s">
        <v>1385</v>
      </c>
      <c r="C10" s="56" t="str">
        <f>IFERROR(VLOOKUP($B10,オブジェクト一覧!$C$5:$I$102,2,FALSE),"")</f>
        <v>t_exclusivecontrol</v>
      </c>
      <c r="D10" s="56" t="str">
        <f>IFERROR(VLOOKUP($B10,オブジェクト一覧!$C$5:$I$102,5,FALSE),"")</f>
        <v>public</v>
      </c>
      <c r="E10" s="56" t="str">
        <f>IFERROR(VLOOKUP($B10,オブジェクト一覧!$C$5:$I$102,6,FALSE),"")</f>
        <v>kids</v>
      </c>
      <c r="F10" s="56" t="str">
        <f>IFERROR(VLOOKUP($B10,オブジェクト一覧!$C$5:$I$102,7,FALSE),"")</f>
        <v>TABLE</v>
      </c>
      <c r="G10" s="21" t="s">
        <v>1386</v>
      </c>
      <c r="H10" s="21" t="s">
        <v>1387</v>
      </c>
      <c r="I10" s="21" t="s">
        <v>1388</v>
      </c>
      <c r="J10" s="24" t="s">
        <v>1424</v>
      </c>
      <c r="K10" s="25">
        <v>43609</v>
      </c>
      <c r="L10" s="25">
        <v>43609</v>
      </c>
      <c r="M10" s="25">
        <v>43613</v>
      </c>
    </row>
    <row r="11" spans="1:13" s="20" customFormat="1" ht="26.4">
      <c r="A11" s="21">
        <f t="shared" ref="A11:A75" si="1">ROW()-3</f>
        <v>8</v>
      </c>
      <c r="B11" s="21" t="s">
        <v>1405</v>
      </c>
      <c r="C11" s="56" t="str">
        <f>IFERROR(VLOOKUP($B11,オブジェクト一覧!$C$5:$I$102,2,FALSE),"")</f>
        <v>t_slipdetail</v>
      </c>
      <c r="D11" s="56" t="str">
        <f>IFERROR(VLOOKUP($B11,オブジェクト一覧!$C$5:$I$102,5,FALSE),"")</f>
        <v>public</v>
      </c>
      <c r="E11" s="56" t="str">
        <f>IFERROR(VLOOKUP($B11,オブジェクト一覧!$C$5:$I$102,6,FALSE),"")</f>
        <v>kids</v>
      </c>
      <c r="F11" s="56" t="str">
        <f>IFERROR(VLOOKUP($B11,オブジェクト一覧!$C$5:$I$102,7,FALSE),"")</f>
        <v>TABLE</v>
      </c>
      <c r="G11" s="21" t="s">
        <v>690</v>
      </c>
      <c r="H11" s="34" t="s">
        <v>1366</v>
      </c>
      <c r="I11" s="34" t="s">
        <v>1367</v>
      </c>
      <c r="J11" s="24" t="s">
        <v>1406</v>
      </c>
      <c r="K11" s="25">
        <v>43610</v>
      </c>
      <c r="L11" s="25">
        <v>43610</v>
      </c>
      <c r="M11" s="25">
        <v>43613</v>
      </c>
    </row>
    <row r="12" spans="1:13" s="20" customFormat="1" ht="26.4">
      <c r="A12" s="21">
        <f t="shared" si="1"/>
        <v>9</v>
      </c>
      <c r="B12" s="34" t="s">
        <v>1405</v>
      </c>
      <c r="C12" s="56" t="str">
        <f>IFERROR(VLOOKUP($B12,オブジェクト一覧!$C$5:$I$102,2,FALSE),"")</f>
        <v>t_slipdetail</v>
      </c>
      <c r="D12" s="56" t="str">
        <f>IFERROR(VLOOKUP($B12,オブジェクト一覧!$C$5:$I$102,5,FALSE),"")</f>
        <v>public</v>
      </c>
      <c r="E12" s="56" t="str">
        <f>IFERROR(VLOOKUP($B12,オブジェクト一覧!$C$5:$I$102,6,FALSE),"")</f>
        <v>kids</v>
      </c>
      <c r="F12" s="56" t="str">
        <f>IFERROR(VLOOKUP($B12,オブジェクト一覧!$C$5:$I$102,7,FALSE),"")</f>
        <v>TABLE</v>
      </c>
      <c r="G12" s="21" t="s">
        <v>930</v>
      </c>
      <c r="H12" s="34" t="s">
        <v>1366</v>
      </c>
      <c r="I12" s="34" t="s">
        <v>1367</v>
      </c>
      <c r="J12" s="24" t="s">
        <v>1406</v>
      </c>
      <c r="K12" s="25">
        <v>43610</v>
      </c>
      <c r="L12" s="25">
        <v>43610</v>
      </c>
      <c r="M12" s="25">
        <v>43613</v>
      </c>
    </row>
    <row r="13" spans="1:13" s="20" customFormat="1" ht="26.4">
      <c r="A13" s="21">
        <f t="shared" si="1"/>
        <v>10</v>
      </c>
      <c r="B13" s="34" t="s">
        <v>1405</v>
      </c>
      <c r="C13" s="56" t="str">
        <f>IFERROR(VLOOKUP($B13,オブジェクト一覧!$C$5:$I$102,2,FALSE),"")</f>
        <v>t_slipdetail</v>
      </c>
      <c r="D13" s="56" t="str">
        <f>IFERROR(VLOOKUP($B13,オブジェクト一覧!$C$5:$I$102,5,FALSE),"")</f>
        <v>public</v>
      </c>
      <c r="E13" s="56" t="str">
        <f>IFERROR(VLOOKUP($B13,オブジェクト一覧!$C$5:$I$102,6,FALSE),"")</f>
        <v>kids</v>
      </c>
      <c r="F13" s="56" t="str">
        <f>IFERROR(VLOOKUP($B13,オブジェクト一覧!$C$5:$I$102,7,FALSE),"")</f>
        <v>TABLE</v>
      </c>
      <c r="G13" s="21" t="s">
        <v>1409</v>
      </c>
      <c r="H13" s="34" t="s">
        <v>1366</v>
      </c>
      <c r="I13" s="34" t="s">
        <v>1367</v>
      </c>
      <c r="J13" s="24" t="s">
        <v>1406</v>
      </c>
      <c r="K13" s="25">
        <v>43610</v>
      </c>
      <c r="L13" s="25">
        <v>43610</v>
      </c>
      <c r="M13" s="25">
        <v>43613</v>
      </c>
    </row>
    <row r="14" spans="1:13" s="20" customFormat="1" ht="26.4">
      <c r="A14" s="21">
        <f t="shared" si="1"/>
        <v>11</v>
      </c>
      <c r="B14" s="21" t="s">
        <v>1407</v>
      </c>
      <c r="C14" s="56" t="str">
        <f>IFERROR(VLOOKUP($B14,オブジェクト一覧!$C$5:$I$102,2,FALSE),"")</f>
        <v/>
      </c>
      <c r="D14" s="56" t="str">
        <f>IFERROR(VLOOKUP($B14,オブジェクト一覧!$C$5:$I$102,5,FALSE),"")</f>
        <v/>
      </c>
      <c r="E14" s="56" t="str">
        <f>IFERROR(VLOOKUP($B14,オブジェクト一覧!$C$5:$I$102,6,FALSE),"")</f>
        <v/>
      </c>
      <c r="F14" s="56" t="str">
        <f>IFERROR(VLOOKUP($B14,オブジェクト一覧!$C$5:$I$102,7,FALSE),"")</f>
        <v/>
      </c>
      <c r="G14" s="21" t="s">
        <v>713</v>
      </c>
      <c r="H14" s="34" t="s">
        <v>1366</v>
      </c>
      <c r="I14" s="34" t="s">
        <v>1367</v>
      </c>
      <c r="J14" s="24" t="s">
        <v>1408</v>
      </c>
      <c r="K14" s="25">
        <v>43610</v>
      </c>
      <c r="L14" s="25">
        <v>43610</v>
      </c>
      <c r="M14" s="25">
        <v>43613</v>
      </c>
    </row>
    <row r="15" spans="1:13" s="20" customFormat="1" ht="26.4">
      <c r="A15" s="21">
        <f t="shared" si="1"/>
        <v>12</v>
      </c>
      <c r="B15" s="34" t="s">
        <v>1407</v>
      </c>
      <c r="C15" s="56" t="str">
        <f>IFERROR(VLOOKUP($B15,オブジェクト一覧!$C$5:$I$102,2,FALSE),"")</f>
        <v/>
      </c>
      <c r="D15" s="56" t="str">
        <f>IFERROR(VLOOKUP($B15,オブジェクト一覧!$C$5:$I$102,5,FALSE),"")</f>
        <v/>
      </c>
      <c r="E15" s="56" t="str">
        <f>IFERROR(VLOOKUP($B15,オブジェクト一覧!$C$5:$I$102,6,FALSE),"")</f>
        <v/>
      </c>
      <c r="F15" s="56" t="str">
        <f>IFERROR(VLOOKUP($B15,オブジェクト一覧!$C$5:$I$102,7,FALSE),"")</f>
        <v/>
      </c>
      <c r="G15" s="21" t="s">
        <v>945</v>
      </c>
      <c r="H15" s="34" t="s">
        <v>1366</v>
      </c>
      <c r="I15" s="34" t="s">
        <v>1367</v>
      </c>
      <c r="J15" s="24" t="s">
        <v>1408</v>
      </c>
      <c r="K15" s="25">
        <v>43610</v>
      </c>
      <c r="L15" s="25">
        <v>43610</v>
      </c>
      <c r="M15" s="25">
        <v>43613</v>
      </c>
    </row>
    <row r="16" spans="1:13" s="20" customFormat="1" ht="26.4">
      <c r="A16" s="21">
        <f t="shared" si="1"/>
        <v>13</v>
      </c>
      <c r="B16" s="34" t="s">
        <v>1407</v>
      </c>
      <c r="C16" s="56" t="str">
        <f>IFERROR(VLOOKUP($B16,オブジェクト一覧!$C$5:$I$102,2,FALSE),"")</f>
        <v/>
      </c>
      <c r="D16" s="56" t="str">
        <f>IFERROR(VLOOKUP($B16,オブジェクト一覧!$C$5:$I$102,5,FALSE),"")</f>
        <v/>
      </c>
      <c r="E16" s="56" t="str">
        <f>IFERROR(VLOOKUP($B16,オブジェクト一覧!$C$5:$I$102,6,FALSE),"")</f>
        <v/>
      </c>
      <c r="F16" s="56" t="str">
        <f>IFERROR(VLOOKUP($B16,オブジェクト一覧!$C$5:$I$102,7,FALSE),"")</f>
        <v/>
      </c>
      <c r="G16" s="21" t="s">
        <v>1411</v>
      </c>
      <c r="H16" s="34" t="s">
        <v>1366</v>
      </c>
      <c r="I16" s="34" t="s">
        <v>1367</v>
      </c>
      <c r="J16" s="24" t="s">
        <v>1408</v>
      </c>
      <c r="K16" s="25">
        <v>43610</v>
      </c>
      <c r="L16" s="25">
        <v>43610</v>
      </c>
      <c r="M16" s="25">
        <v>43613</v>
      </c>
    </row>
    <row r="17" spans="1:13" s="20" customFormat="1">
      <c r="A17" s="21">
        <f t="shared" si="1"/>
        <v>14</v>
      </c>
      <c r="B17" s="36" t="s">
        <v>1405</v>
      </c>
      <c r="C17" s="56" t="str">
        <f>IFERROR(VLOOKUP($B17,オブジェクト一覧!$C$5:$I$102,2,FALSE),"")</f>
        <v>t_slipdetail</v>
      </c>
      <c r="D17" s="56" t="str">
        <f>IFERROR(VLOOKUP($B17,オブジェクト一覧!$C$5:$I$102,5,FALSE),"")</f>
        <v>public</v>
      </c>
      <c r="E17" s="56" t="str">
        <f>IFERROR(VLOOKUP($B17,オブジェクト一覧!$C$5:$I$102,6,FALSE),"")</f>
        <v>kids</v>
      </c>
      <c r="F17" s="56" t="str">
        <f>IFERROR(VLOOKUP($B17,オブジェクト一覧!$C$5:$I$102,7,FALSE),"")</f>
        <v>TABLE</v>
      </c>
      <c r="G17" s="21" t="s">
        <v>1413</v>
      </c>
      <c r="H17" s="36" t="s">
        <v>1366</v>
      </c>
      <c r="I17" s="36" t="s">
        <v>1367</v>
      </c>
      <c r="J17" s="24" t="s">
        <v>1414</v>
      </c>
      <c r="K17" s="25">
        <v>43610</v>
      </c>
      <c r="L17" s="25">
        <v>43610</v>
      </c>
      <c r="M17" s="25">
        <v>43613</v>
      </c>
    </row>
    <row r="18" spans="1:13" s="20" customFormat="1">
      <c r="A18" s="21">
        <f t="shared" si="1"/>
        <v>15</v>
      </c>
      <c r="B18" s="36" t="s">
        <v>1407</v>
      </c>
      <c r="C18" s="56" t="str">
        <f>IFERROR(VLOOKUP($B18,オブジェクト一覧!$C$5:$I$102,2,FALSE),"")</f>
        <v/>
      </c>
      <c r="D18" s="56" t="str">
        <f>IFERROR(VLOOKUP($B18,オブジェクト一覧!$C$5:$I$102,5,FALSE),"")</f>
        <v/>
      </c>
      <c r="E18" s="56" t="str">
        <f>IFERROR(VLOOKUP($B18,オブジェクト一覧!$C$5:$I$102,6,FALSE),"")</f>
        <v/>
      </c>
      <c r="F18" s="56" t="str">
        <f>IFERROR(VLOOKUP($B18,オブジェクト一覧!$C$5:$I$102,7,FALSE),"")</f>
        <v/>
      </c>
      <c r="G18" s="36" t="s">
        <v>1413</v>
      </c>
      <c r="H18" s="36" t="s">
        <v>1366</v>
      </c>
      <c r="I18" s="36" t="s">
        <v>1367</v>
      </c>
      <c r="J18" s="24" t="s">
        <v>1414</v>
      </c>
      <c r="K18" s="25">
        <v>43610</v>
      </c>
      <c r="L18" s="25">
        <v>43610</v>
      </c>
      <c r="M18" s="25">
        <v>43613</v>
      </c>
    </row>
    <row r="19" spans="1:13" s="20" customFormat="1" ht="39.6">
      <c r="A19" s="21">
        <f t="shared" si="1"/>
        <v>16</v>
      </c>
      <c r="B19" s="21" t="s">
        <v>1417</v>
      </c>
      <c r="C19" s="56" t="str">
        <f>IFERROR(VLOOKUP($B19,オブジェクト一覧!$C$5:$I$102,2,FALSE),"")</f>
        <v/>
      </c>
      <c r="D19" s="56" t="str">
        <f>IFERROR(VLOOKUP($B19,オブジェクト一覧!$C$5:$I$102,5,FALSE),"")</f>
        <v/>
      </c>
      <c r="E19" s="56" t="str">
        <f>IFERROR(VLOOKUP($B19,オブジェクト一覧!$C$5:$I$102,6,FALSE),"")</f>
        <v/>
      </c>
      <c r="F19" s="56" t="str">
        <f>IFERROR(VLOOKUP($B19,オブジェクト一覧!$C$5:$I$102,7,FALSE),"")</f>
        <v/>
      </c>
      <c r="G19" s="50" t="s">
        <v>1359</v>
      </c>
      <c r="H19" s="50" t="s">
        <v>1387</v>
      </c>
      <c r="I19" s="50" t="s">
        <v>1363</v>
      </c>
      <c r="J19" s="24" t="s">
        <v>1418</v>
      </c>
      <c r="K19" s="25">
        <v>43613</v>
      </c>
      <c r="L19" s="25">
        <v>43614</v>
      </c>
      <c r="M19" s="25">
        <v>43690</v>
      </c>
    </row>
    <row r="20" spans="1:13" s="20" customFormat="1" ht="39.6">
      <c r="A20" s="21">
        <f t="shared" si="1"/>
        <v>17</v>
      </c>
      <c r="B20" s="50" t="s">
        <v>1419</v>
      </c>
      <c r="C20" s="56" t="str">
        <f>IFERROR(VLOOKUP($B20,オブジェクト一覧!$C$5:$I$102,2,FALSE),"")</f>
        <v>m_companyprintname</v>
      </c>
      <c r="D20" s="56" t="str">
        <f>IFERROR(VLOOKUP($B20,オブジェクト一覧!$C$5:$I$102,5,FALSE),"")</f>
        <v>public</v>
      </c>
      <c r="E20" s="56" t="str">
        <f>IFERROR(VLOOKUP($B20,オブジェクト一覧!$C$5:$I$102,6,FALSE),"")</f>
        <v>kids</v>
      </c>
      <c r="F20" s="56" t="str">
        <f>IFERROR(VLOOKUP($B20,オブジェクト一覧!$C$5:$I$102,7,FALSE),"")</f>
        <v>TABLE</v>
      </c>
      <c r="G20" s="50" t="s">
        <v>1359</v>
      </c>
      <c r="H20" s="50" t="s">
        <v>1387</v>
      </c>
      <c r="I20" s="50" t="s">
        <v>1363</v>
      </c>
      <c r="J20" s="24" t="s">
        <v>1420</v>
      </c>
      <c r="K20" s="25">
        <v>43613</v>
      </c>
      <c r="L20" s="25">
        <v>43614</v>
      </c>
      <c r="M20" s="25">
        <v>43690</v>
      </c>
    </row>
    <row r="21" spans="1:13" s="20" customFormat="1" ht="39.6">
      <c r="A21" s="21">
        <f t="shared" si="1"/>
        <v>18</v>
      </c>
      <c r="B21" s="21" t="s">
        <v>1427</v>
      </c>
      <c r="C21" s="56" t="str">
        <f>IFERROR(VLOOKUP($B21,オブジェクト一覧!$C$5:$I$102,2,FALSE),"")</f>
        <v>m_salesclassdivisonlink</v>
      </c>
      <c r="D21" s="56" t="str">
        <f>IFERROR(VLOOKUP($B21,オブジェクト一覧!$C$5:$I$102,5,FALSE),"")</f>
        <v>public</v>
      </c>
      <c r="E21" s="56" t="str">
        <f>IFERROR(VLOOKUP($B21,オブジェクト一覧!$C$5:$I$102,6,FALSE),"")</f>
        <v>kids</v>
      </c>
      <c r="F21" s="56" t="str">
        <f>IFERROR(VLOOKUP($B21,オブジェクト一覧!$C$5:$I$102,7,FALSE),"")</f>
        <v>TABLE</v>
      </c>
      <c r="G21" s="56" t="s">
        <v>1359</v>
      </c>
      <c r="H21" s="56" t="s">
        <v>1387</v>
      </c>
      <c r="I21" s="56" t="s">
        <v>1363</v>
      </c>
      <c r="J21" s="24" t="s">
        <v>1428</v>
      </c>
      <c r="K21" s="25">
        <v>43614</v>
      </c>
      <c r="L21" s="25">
        <v>43614</v>
      </c>
      <c r="M21" s="25">
        <v>43690</v>
      </c>
    </row>
    <row r="22" spans="1:13" s="20" customFormat="1" ht="26.4">
      <c r="A22" s="21">
        <f t="shared" si="1"/>
        <v>19</v>
      </c>
      <c r="B22" s="21" t="s">
        <v>1433</v>
      </c>
      <c r="C22" s="56" t="str">
        <f>IFERROR(VLOOKUP($B22,オブジェクト一覧!$C$5:$I$102,2,FALSE),"")</f>
        <v/>
      </c>
      <c r="D22" s="56" t="str">
        <f>IFERROR(VLOOKUP($B22,オブジェクト一覧!$C$5:$I$102,5,FALSE),"")</f>
        <v/>
      </c>
      <c r="E22" s="56" t="str">
        <f>IFERROR(VLOOKUP($B22,オブジェクト一覧!$C$5:$I$102,6,FALSE),"")</f>
        <v/>
      </c>
      <c r="F22" s="56" t="str">
        <f>IFERROR(VLOOKUP($B22,オブジェクト一覧!$C$5:$I$102,7,FALSE),"")</f>
        <v/>
      </c>
      <c r="G22" s="21" t="s">
        <v>1434</v>
      </c>
      <c r="H22" s="21" t="s">
        <v>1435</v>
      </c>
      <c r="I22" s="21" t="s">
        <v>1436</v>
      </c>
      <c r="J22" s="24" t="s">
        <v>1437</v>
      </c>
      <c r="K22" s="25">
        <v>43620</v>
      </c>
      <c r="L22" s="25">
        <v>43620</v>
      </c>
      <c r="M22" s="25">
        <v>43690</v>
      </c>
    </row>
    <row r="23" spans="1:13" s="35" customFormat="1" ht="26.4">
      <c r="A23" s="36">
        <f t="shared" si="1"/>
        <v>20</v>
      </c>
      <c r="B23" s="36" t="s">
        <v>1438</v>
      </c>
      <c r="C23" s="56" t="str">
        <f>IFERROR(VLOOKUP($B23,オブジェクト一覧!$C$5:$I$102,2,FALSE),"")</f>
        <v>m_product</v>
      </c>
      <c r="D23" s="56" t="str">
        <f>IFERROR(VLOOKUP($B23,オブジェクト一覧!$C$5:$I$102,5,FALSE),"")</f>
        <v>public</v>
      </c>
      <c r="E23" s="56" t="str">
        <f>IFERROR(VLOOKUP($B23,オブジェクト一覧!$C$5:$I$102,6,FALSE),"")</f>
        <v>kids</v>
      </c>
      <c r="F23" s="56" t="str">
        <f>IFERROR(VLOOKUP($B23,オブジェクト一覧!$C$5:$I$102,7,FALSE),"")</f>
        <v>TABLE</v>
      </c>
      <c r="G23" s="36" t="s">
        <v>1439</v>
      </c>
      <c r="H23" s="36" t="s">
        <v>1440</v>
      </c>
      <c r="I23" s="36" t="s">
        <v>1441</v>
      </c>
      <c r="J23" s="24" t="s">
        <v>1442</v>
      </c>
      <c r="K23" s="25">
        <v>43622</v>
      </c>
      <c r="L23" s="25">
        <v>43623</v>
      </c>
      <c r="M23" s="25">
        <v>43690</v>
      </c>
    </row>
    <row r="24" spans="1:13" s="35" customFormat="1" ht="26.4">
      <c r="A24" s="36">
        <f t="shared" si="1"/>
        <v>21</v>
      </c>
      <c r="B24" s="36" t="s">
        <v>1448</v>
      </c>
      <c r="C24" s="56" t="str">
        <f>IFERROR(VLOOKUP($B24,オブジェクト一覧!$C$5:$I$102,2,FALSE),"")</f>
        <v>m_receive</v>
      </c>
      <c r="D24" s="56" t="str">
        <f>IFERROR(VLOOKUP($B24,オブジェクト一覧!$C$5:$I$102,5,FALSE),"")</f>
        <v>public</v>
      </c>
      <c r="E24" s="56" t="str">
        <f>IFERROR(VLOOKUP($B24,オブジェクト一覧!$C$5:$I$102,6,FALSE),"")</f>
        <v>kids</v>
      </c>
      <c r="F24" s="56" t="str">
        <f>IFERROR(VLOOKUP($B24,オブジェクト一覧!$C$5:$I$102,7,FALSE),"")</f>
        <v>TABLE</v>
      </c>
      <c r="G24" s="36" t="s">
        <v>1449</v>
      </c>
      <c r="H24" s="36" t="s">
        <v>1451</v>
      </c>
      <c r="I24" s="36" t="s">
        <v>1453</v>
      </c>
      <c r="J24" s="24" t="s">
        <v>1454</v>
      </c>
      <c r="K24" s="25">
        <v>43623</v>
      </c>
      <c r="L24" s="25">
        <v>43623</v>
      </c>
      <c r="M24" s="25">
        <v>43690</v>
      </c>
    </row>
    <row r="25" spans="1:13" s="35" customFormat="1" ht="26.4">
      <c r="A25" s="36">
        <f t="shared" si="1"/>
        <v>22</v>
      </c>
      <c r="B25" s="63" t="s">
        <v>1448</v>
      </c>
      <c r="C25" s="56" t="str">
        <f>IFERROR(VLOOKUP($B25,オブジェクト一覧!$C$5:$I$102,2,FALSE),"")</f>
        <v>m_receive</v>
      </c>
      <c r="D25" s="56" t="str">
        <f>IFERROR(VLOOKUP($B25,オブジェクト一覧!$C$5:$I$102,5,FALSE),"")</f>
        <v>public</v>
      </c>
      <c r="E25" s="56" t="str">
        <f>IFERROR(VLOOKUP($B25,オブジェクト一覧!$C$5:$I$102,6,FALSE),"")</f>
        <v>kids</v>
      </c>
      <c r="F25" s="56" t="str">
        <f>IFERROR(VLOOKUP($B25,オブジェクト一覧!$C$5:$I$102,7,FALSE),"")</f>
        <v>TABLE</v>
      </c>
      <c r="G25" s="36" t="s">
        <v>1450</v>
      </c>
      <c r="H25" s="63" t="s">
        <v>1451</v>
      </c>
      <c r="I25" s="63" t="s">
        <v>1453</v>
      </c>
      <c r="J25" s="24" t="s">
        <v>1454</v>
      </c>
      <c r="K25" s="25">
        <v>43623</v>
      </c>
      <c r="L25" s="25">
        <v>43623</v>
      </c>
      <c r="M25" s="25">
        <v>43690</v>
      </c>
    </row>
    <row r="26" spans="1:13" s="35" customFormat="1" ht="26.4">
      <c r="A26" s="36">
        <f t="shared" si="1"/>
        <v>23</v>
      </c>
      <c r="B26" s="63" t="s">
        <v>1452</v>
      </c>
      <c r="C26" s="63" t="str">
        <f>IFERROR(VLOOKUP($B26,オブジェクト一覧!$C$5:$I$102,2,FALSE),"")</f>
        <v>m_order</v>
      </c>
      <c r="D26" s="63" t="str">
        <f>IFERROR(VLOOKUP($B26,オブジェクト一覧!$C$5:$I$102,5,FALSE),"")</f>
        <v>public</v>
      </c>
      <c r="E26" s="63" t="str">
        <f>IFERROR(VLOOKUP($B26,オブジェクト一覧!$C$5:$I$102,6,FALSE),"")</f>
        <v>kids</v>
      </c>
      <c r="F26" s="63" t="str">
        <f>IFERROR(VLOOKUP($B26,オブジェクト一覧!$C$5:$I$102,7,FALSE),"")</f>
        <v>TABLE</v>
      </c>
      <c r="G26" s="63" t="s">
        <v>1449</v>
      </c>
      <c r="H26" s="63" t="s">
        <v>1451</v>
      </c>
      <c r="I26" s="63" t="s">
        <v>1453</v>
      </c>
      <c r="J26" s="24" t="s">
        <v>1454</v>
      </c>
      <c r="K26" s="25">
        <v>43623</v>
      </c>
      <c r="L26" s="25">
        <v>43623</v>
      </c>
      <c r="M26" s="25">
        <v>43690</v>
      </c>
    </row>
    <row r="27" spans="1:13" s="35" customFormat="1" ht="26.4">
      <c r="A27" s="36">
        <f t="shared" si="1"/>
        <v>24</v>
      </c>
      <c r="B27" s="63" t="s">
        <v>1452</v>
      </c>
      <c r="C27" s="63" t="str">
        <f>IFERROR(VLOOKUP($B27,オブジェクト一覧!$C$5:$I$102,2,FALSE),"")</f>
        <v>m_order</v>
      </c>
      <c r="D27" s="63" t="str">
        <f>IFERROR(VLOOKUP($B27,オブジェクト一覧!$C$5:$I$102,5,FALSE),"")</f>
        <v>public</v>
      </c>
      <c r="E27" s="63" t="str">
        <f>IFERROR(VLOOKUP($B27,オブジェクト一覧!$C$5:$I$102,6,FALSE),"")</f>
        <v>kids</v>
      </c>
      <c r="F27" s="63" t="str">
        <f>IFERROR(VLOOKUP($B27,オブジェクト一覧!$C$5:$I$102,7,FALSE),"")</f>
        <v>TABLE</v>
      </c>
      <c r="G27" s="63" t="s">
        <v>1450</v>
      </c>
      <c r="H27" s="63" t="s">
        <v>1451</v>
      </c>
      <c r="I27" s="63" t="s">
        <v>1453</v>
      </c>
      <c r="J27" s="24" t="s">
        <v>1454</v>
      </c>
      <c r="K27" s="25">
        <v>43623</v>
      </c>
      <c r="L27" s="25">
        <v>43623</v>
      </c>
      <c r="M27" s="25">
        <v>43690</v>
      </c>
    </row>
    <row r="28" spans="1:13" s="35" customFormat="1" ht="26.4">
      <c r="A28" s="36">
        <f t="shared" si="1"/>
        <v>25</v>
      </c>
      <c r="B28" s="36" t="s">
        <v>1459</v>
      </c>
      <c r="C28" s="56" t="str">
        <f>IFERROR(VLOOKUP($B28,オブジェクト一覧!$C$5:$I$102,2,FALSE),"")</f>
        <v>t_receivedetail</v>
      </c>
      <c r="D28" s="56" t="str">
        <f>IFERROR(VLOOKUP($B28,オブジェクト一覧!$C$5:$I$102,5,FALSE),"")</f>
        <v>public</v>
      </c>
      <c r="E28" s="56" t="str">
        <f>IFERROR(VLOOKUP($B28,オブジェクト一覧!$C$5:$I$102,6,FALSE),"")</f>
        <v>kids</v>
      </c>
      <c r="F28" s="56" t="str">
        <f>IFERROR(VLOOKUP($B28,オブジェクト一覧!$C$5:$I$102,7,FALSE),"")</f>
        <v>TABLE</v>
      </c>
      <c r="G28" s="63" t="s">
        <v>1449</v>
      </c>
      <c r="H28" s="36" t="s">
        <v>1455</v>
      </c>
      <c r="I28" s="36" t="s">
        <v>1456</v>
      </c>
      <c r="J28" s="24" t="s">
        <v>1454</v>
      </c>
      <c r="K28" s="25">
        <v>43623</v>
      </c>
      <c r="L28" s="25">
        <v>43623</v>
      </c>
      <c r="M28" s="25">
        <v>43690</v>
      </c>
    </row>
    <row r="29" spans="1:13" s="35" customFormat="1" ht="26.4">
      <c r="A29" s="36">
        <f t="shared" si="1"/>
        <v>26</v>
      </c>
      <c r="B29" s="63" t="s">
        <v>1459</v>
      </c>
      <c r="C29" s="56" t="str">
        <f>IFERROR(VLOOKUP($B29,オブジェクト一覧!$C$5:$I$102,2,FALSE),"")</f>
        <v>t_receivedetail</v>
      </c>
      <c r="D29" s="56" t="str">
        <f>IFERROR(VLOOKUP($B29,オブジェクト一覧!$C$5:$I$102,5,FALSE),"")</f>
        <v>public</v>
      </c>
      <c r="E29" s="56" t="str">
        <f>IFERROR(VLOOKUP($B29,オブジェクト一覧!$C$5:$I$102,6,FALSE),"")</f>
        <v>kids</v>
      </c>
      <c r="F29" s="56" t="str">
        <f>IFERROR(VLOOKUP($B29,オブジェクト一覧!$C$5:$I$102,7,FALSE),"")</f>
        <v>TABLE</v>
      </c>
      <c r="G29" s="36" t="s">
        <v>1457</v>
      </c>
      <c r="H29" s="63" t="s">
        <v>1455</v>
      </c>
      <c r="I29" s="63" t="s">
        <v>1456</v>
      </c>
      <c r="J29" s="24" t="s">
        <v>1454</v>
      </c>
      <c r="K29" s="25">
        <v>43623</v>
      </c>
      <c r="L29" s="25">
        <v>43623</v>
      </c>
      <c r="M29" s="25">
        <v>43690</v>
      </c>
    </row>
    <row r="30" spans="1:13" s="35" customFormat="1" ht="26.4">
      <c r="A30" s="36">
        <f t="shared" si="1"/>
        <v>27</v>
      </c>
      <c r="B30" s="63" t="s">
        <v>1460</v>
      </c>
      <c r="C30" s="63" t="str">
        <f>IFERROR(VLOOKUP($B30,オブジェクト一覧!$C$5:$I$102,2,FALSE),"")</f>
        <v>t_orderdetail</v>
      </c>
      <c r="D30" s="63" t="str">
        <f>IFERROR(VLOOKUP($B30,オブジェクト一覧!$C$5:$I$102,5,FALSE),"")</f>
        <v>public</v>
      </c>
      <c r="E30" s="63" t="str">
        <f>IFERROR(VLOOKUP($B30,オブジェクト一覧!$C$5:$I$102,6,FALSE),"")</f>
        <v>kids</v>
      </c>
      <c r="F30" s="63" t="str">
        <f>IFERROR(VLOOKUP($B30,オブジェクト一覧!$C$5:$I$102,7,FALSE),"")</f>
        <v>TABLE</v>
      </c>
      <c r="G30" s="63" t="s">
        <v>1449</v>
      </c>
      <c r="H30" s="63" t="s">
        <v>1455</v>
      </c>
      <c r="I30" s="63" t="s">
        <v>1456</v>
      </c>
      <c r="J30" s="24" t="s">
        <v>1458</v>
      </c>
      <c r="K30" s="25">
        <v>43623</v>
      </c>
      <c r="L30" s="25">
        <v>43623</v>
      </c>
      <c r="M30" s="25">
        <v>43690</v>
      </c>
    </row>
    <row r="31" spans="1:13" s="35" customFormat="1" ht="26.4">
      <c r="A31" s="36">
        <f t="shared" si="1"/>
        <v>28</v>
      </c>
      <c r="B31" s="63" t="s">
        <v>1460</v>
      </c>
      <c r="C31" s="63" t="str">
        <f>IFERROR(VLOOKUP($B31,オブジェクト一覧!$C$5:$I$102,2,FALSE),"")</f>
        <v>t_orderdetail</v>
      </c>
      <c r="D31" s="63" t="str">
        <f>IFERROR(VLOOKUP($B31,オブジェクト一覧!$C$5:$I$102,5,FALSE),"")</f>
        <v>public</v>
      </c>
      <c r="E31" s="63" t="str">
        <f>IFERROR(VLOOKUP($B31,オブジェクト一覧!$C$5:$I$102,6,FALSE),"")</f>
        <v>kids</v>
      </c>
      <c r="F31" s="63" t="str">
        <f>IFERROR(VLOOKUP($B31,オブジェクト一覧!$C$5:$I$102,7,FALSE),"")</f>
        <v>TABLE</v>
      </c>
      <c r="G31" s="63" t="s">
        <v>1457</v>
      </c>
      <c r="H31" s="63" t="s">
        <v>1455</v>
      </c>
      <c r="I31" s="63" t="s">
        <v>1456</v>
      </c>
      <c r="J31" s="24" t="s">
        <v>1458</v>
      </c>
      <c r="K31" s="25">
        <v>43623</v>
      </c>
      <c r="L31" s="25">
        <v>43623</v>
      </c>
      <c r="M31" s="25">
        <v>43690</v>
      </c>
    </row>
    <row r="32" spans="1:13" s="35" customFormat="1">
      <c r="A32" s="36">
        <f t="shared" si="1"/>
        <v>29</v>
      </c>
      <c r="B32" s="36" t="s">
        <v>1461</v>
      </c>
      <c r="C32" s="56" t="str">
        <f>IFERROR(VLOOKUP($B32,オブジェクト一覧!$C$5:$I$102,2,FALSE),"")</f>
        <v>m_purchaseorder</v>
      </c>
      <c r="D32" s="56" t="str">
        <f>IFERROR(VLOOKUP($B32,オブジェクト一覧!$C$5:$I$102,5,FALSE),"")</f>
        <v>public</v>
      </c>
      <c r="E32" s="56" t="str">
        <f>IFERROR(VLOOKUP($B32,オブジェクト一覧!$C$5:$I$102,6,FALSE),"")</f>
        <v>kids</v>
      </c>
      <c r="F32" s="56" t="str">
        <f>IFERROR(VLOOKUP($B32,オブジェクト一覧!$C$5:$I$102,7,FALSE),"")</f>
        <v>TABLE</v>
      </c>
      <c r="G32" s="67" t="s">
        <v>109</v>
      </c>
      <c r="H32" s="67" t="s">
        <v>1387</v>
      </c>
      <c r="I32" s="67" t="s">
        <v>1441</v>
      </c>
      <c r="J32" s="24" t="s">
        <v>1466</v>
      </c>
      <c r="K32" s="25">
        <v>43624</v>
      </c>
      <c r="L32" s="25">
        <v>43624</v>
      </c>
      <c r="M32" s="25">
        <v>43690</v>
      </c>
    </row>
    <row r="33" spans="1:13" s="35" customFormat="1">
      <c r="A33" s="36">
        <f t="shared" si="1"/>
        <v>30</v>
      </c>
      <c r="B33" s="67" t="s">
        <v>1461</v>
      </c>
      <c r="C33" s="56" t="str">
        <f>IFERROR(VLOOKUP($B33,オブジェクト一覧!$C$5:$I$102,2,FALSE),"")</f>
        <v>m_purchaseorder</v>
      </c>
      <c r="D33" s="56" t="str">
        <f>IFERROR(VLOOKUP($B33,オブジェクト一覧!$C$5:$I$102,5,FALSE),"")</f>
        <v>public</v>
      </c>
      <c r="E33" s="56" t="str">
        <f>IFERROR(VLOOKUP($B33,オブジェクト一覧!$C$5:$I$102,6,FALSE),"")</f>
        <v>kids</v>
      </c>
      <c r="F33" s="56" t="str">
        <f>IFERROR(VLOOKUP($B33,オブジェクト一覧!$C$5:$I$102,7,FALSE),"")</f>
        <v>TABLE</v>
      </c>
      <c r="G33" s="67" t="s">
        <v>1463</v>
      </c>
      <c r="H33" s="67" t="s">
        <v>1387</v>
      </c>
      <c r="I33" s="67" t="s">
        <v>1441</v>
      </c>
      <c r="J33" s="24" t="s">
        <v>1466</v>
      </c>
      <c r="K33" s="25">
        <v>43624</v>
      </c>
      <c r="L33" s="25">
        <v>43624</v>
      </c>
      <c r="M33" s="25">
        <v>43690</v>
      </c>
    </row>
    <row r="34" spans="1:13" s="35" customFormat="1" ht="26.4">
      <c r="A34" s="36">
        <f t="shared" si="1"/>
        <v>31</v>
      </c>
      <c r="B34" s="36" t="s">
        <v>1462</v>
      </c>
      <c r="C34" s="56" t="str">
        <f>IFERROR(VLOOKUP($B34,オブジェクト一覧!$C$5:$I$102,2,FALSE),"")</f>
        <v>t_purchaseorderdetail</v>
      </c>
      <c r="D34" s="56" t="str">
        <f>IFERROR(VLOOKUP($B34,オブジェクト一覧!$C$5:$I$102,5,FALSE),"")</f>
        <v>public</v>
      </c>
      <c r="E34" s="56" t="str">
        <f>IFERROR(VLOOKUP($B34,オブジェクト一覧!$C$5:$I$102,6,FALSE),"")</f>
        <v>kids</v>
      </c>
      <c r="F34" s="56" t="str">
        <f>IFERROR(VLOOKUP($B34,オブジェクト一覧!$C$5:$I$102,7,FALSE),"")</f>
        <v>TABLE</v>
      </c>
      <c r="G34" s="36" t="s">
        <v>1467</v>
      </c>
      <c r="H34" s="67" t="s">
        <v>1387</v>
      </c>
      <c r="I34" s="67" t="s">
        <v>1441</v>
      </c>
      <c r="J34" s="24" t="s">
        <v>1479</v>
      </c>
      <c r="K34" s="25">
        <v>43624</v>
      </c>
      <c r="L34" s="25">
        <v>43624</v>
      </c>
      <c r="M34" s="25">
        <v>43690</v>
      </c>
    </row>
    <row r="35" spans="1:13" s="35" customFormat="1" ht="26.4">
      <c r="A35" s="36">
        <f t="shared" si="1"/>
        <v>32</v>
      </c>
      <c r="B35" s="67" t="s">
        <v>1462</v>
      </c>
      <c r="C35" s="56" t="str">
        <f>IFERROR(VLOOKUP($B35,オブジェクト一覧!$C$5:$I$102,2,FALSE),"")</f>
        <v>t_purchaseorderdetail</v>
      </c>
      <c r="D35" s="56" t="str">
        <f>IFERROR(VLOOKUP($B35,オブジェクト一覧!$C$5:$I$102,5,FALSE),"")</f>
        <v>public</v>
      </c>
      <c r="E35" s="56" t="str">
        <f>IFERROR(VLOOKUP($B35,オブジェクト一覧!$C$5:$I$102,6,FALSE),"")</f>
        <v>kids</v>
      </c>
      <c r="F35" s="56" t="str">
        <f>IFERROR(VLOOKUP($B35,オブジェクト一覧!$C$5:$I$102,7,FALSE),"")</f>
        <v>TABLE</v>
      </c>
      <c r="G35" s="36" t="s">
        <v>1469</v>
      </c>
      <c r="H35" s="67" t="s">
        <v>1387</v>
      </c>
      <c r="I35" s="67" t="s">
        <v>1441</v>
      </c>
      <c r="J35" s="24" t="s">
        <v>1479</v>
      </c>
      <c r="K35" s="25">
        <v>43624</v>
      </c>
      <c r="L35" s="25">
        <v>43624</v>
      </c>
      <c r="M35" s="25">
        <v>43690</v>
      </c>
    </row>
    <row r="36" spans="1:13" s="35" customFormat="1" ht="26.4">
      <c r="A36" s="36">
        <f t="shared" si="1"/>
        <v>33</v>
      </c>
      <c r="B36" s="67" t="s">
        <v>1462</v>
      </c>
      <c r="C36" s="56" t="str">
        <f>IFERROR(VLOOKUP($B36,オブジェクト一覧!$C$5:$I$102,2,FALSE),"")</f>
        <v>t_purchaseorderdetail</v>
      </c>
      <c r="D36" s="56" t="str">
        <f>IFERROR(VLOOKUP($B36,オブジェクト一覧!$C$5:$I$102,5,FALSE),"")</f>
        <v>public</v>
      </c>
      <c r="E36" s="56" t="str">
        <f>IFERROR(VLOOKUP($B36,オブジェクト一覧!$C$5:$I$102,6,FALSE),"")</f>
        <v>kids</v>
      </c>
      <c r="F36" s="56" t="str">
        <f>IFERROR(VLOOKUP($B36,オブジェクト一覧!$C$5:$I$102,7,FALSE),"")</f>
        <v>TABLE</v>
      </c>
      <c r="G36" s="36" t="s">
        <v>1471</v>
      </c>
      <c r="H36" s="67" t="s">
        <v>1387</v>
      </c>
      <c r="I36" s="67" t="s">
        <v>1441</v>
      </c>
      <c r="J36" s="24" t="s">
        <v>1479</v>
      </c>
      <c r="K36" s="25">
        <v>43624</v>
      </c>
      <c r="L36" s="25">
        <v>43624</v>
      </c>
      <c r="M36" s="25">
        <v>43690</v>
      </c>
    </row>
    <row r="37" spans="1:13" s="35" customFormat="1" ht="26.4">
      <c r="A37" s="36">
        <f t="shared" si="1"/>
        <v>34</v>
      </c>
      <c r="B37" s="36" t="s">
        <v>1474</v>
      </c>
      <c r="C37" s="56" t="str">
        <f>IFERROR(VLOOKUP($B37,オブジェクト一覧!$C$5:$I$102,2,FALSE),"")</f>
        <v>m_stock</v>
      </c>
      <c r="D37" s="56" t="str">
        <f>IFERROR(VLOOKUP($B37,オブジェクト一覧!$C$5:$I$102,5,FALSE),"")</f>
        <v>public</v>
      </c>
      <c r="E37" s="56" t="str">
        <f>IFERROR(VLOOKUP($B37,オブジェクト一覧!$C$5:$I$102,6,FALSE),"")</f>
        <v>kids</v>
      </c>
      <c r="F37" s="56" t="str">
        <f>IFERROR(VLOOKUP($B37,オブジェクト一覧!$C$5:$I$102,7,FALSE),"")</f>
        <v>TABLE</v>
      </c>
      <c r="G37" s="36" t="s">
        <v>1476</v>
      </c>
      <c r="H37" s="67" t="s">
        <v>1435</v>
      </c>
      <c r="I37" s="36" t="s">
        <v>1477</v>
      </c>
      <c r="J37" s="24" t="s">
        <v>1479</v>
      </c>
      <c r="K37" s="25">
        <v>43624</v>
      </c>
      <c r="L37" s="25">
        <v>43624</v>
      </c>
      <c r="M37" s="25">
        <v>43690</v>
      </c>
    </row>
    <row r="38" spans="1:13" s="35" customFormat="1" ht="26.4">
      <c r="A38" s="36">
        <f t="shared" si="1"/>
        <v>35</v>
      </c>
      <c r="B38" s="36" t="s">
        <v>1475</v>
      </c>
      <c r="C38" s="56" t="str">
        <f>IFERROR(VLOOKUP($B38,オブジェクト一覧!$C$5:$I$102,2,FALSE),"")</f>
        <v>t_stockdetail</v>
      </c>
      <c r="D38" s="56" t="str">
        <f>IFERROR(VLOOKUP($B38,オブジェクト一覧!$C$5:$I$102,5,FALSE),"")</f>
        <v>public</v>
      </c>
      <c r="E38" s="56" t="str">
        <f>IFERROR(VLOOKUP($B38,オブジェクト一覧!$C$5:$I$102,6,FALSE),"")</f>
        <v>kids</v>
      </c>
      <c r="F38" s="56" t="str">
        <f>IFERROR(VLOOKUP($B38,オブジェクト一覧!$C$5:$I$102,7,FALSE),"")</f>
        <v>TABLE</v>
      </c>
      <c r="G38" s="67" t="s">
        <v>1476</v>
      </c>
      <c r="H38" s="67" t="s">
        <v>1387</v>
      </c>
      <c r="I38" s="36" t="s">
        <v>1478</v>
      </c>
      <c r="J38" s="24" t="s">
        <v>1479</v>
      </c>
      <c r="K38" s="25">
        <v>43624</v>
      </c>
      <c r="L38" s="25">
        <v>43628</v>
      </c>
      <c r="M38" s="25">
        <v>43690</v>
      </c>
    </row>
    <row r="39" spans="1:13" s="69" customFormat="1" ht="26.4">
      <c r="A39" s="70">
        <f t="shared" si="1"/>
        <v>36</v>
      </c>
      <c r="B39" s="70" t="s">
        <v>1475</v>
      </c>
      <c r="C39" s="70" t="str">
        <f>IFERROR(VLOOKUP($B39,オブジェクト一覧!$C$5:$I$102,2,FALSE),"")</f>
        <v>t_stockdetail</v>
      </c>
      <c r="D39" s="70" t="str">
        <f>IFERROR(VLOOKUP($B39,オブジェクト一覧!$C$5:$I$102,5,FALSE),"")</f>
        <v>public</v>
      </c>
      <c r="E39" s="70" t="str">
        <f>IFERROR(VLOOKUP($B39,オブジェクト一覧!$C$5:$I$102,6,FALSE),"")</f>
        <v>kids</v>
      </c>
      <c r="F39" s="70" t="str">
        <f>IFERROR(VLOOKUP($B39,オブジェクト一覧!$C$5:$I$102,7,FALSE),"")</f>
        <v>TABLE</v>
      </c>
      <c r="G39" s="70" t="s">
        <v>1469</v>
      </c>
      <c r="H39" s="70" t="s">
        <v>1387</v>
      </c>
      <c r="I39" s="70" t="s">
        <v>1441</v>
      </c>
      <c r="J39" s="24" t="s">
        <v>1479</v>
      </c>
      <c r="K39" s="25">
        <v>43624</v>
      </c>
      <c r="L39" s="25">
        <v>43628</v>
      </c>
      <c r="M39" s="25">
        <v>43690</v>
      </c>
    </row>
    <row r="40" spans="1:13" s="72" customFormat="1">
      <c r="A40" s="73">
        <f t="shared" si="1"/>
        <v>37</v>
      </c>
      <c r="B40" s="73" t="s">
        <v>1480</v>
      </c>
      <c r="C40" s="73" t="str">
        <f>IFERROR(VLOOKUP($B40,オブジェクト一覧!$C$5:$I$102,2,FALSE),"")</f>
        <v>m_estimate</v>
      </c>
      <c r="D40" s="73" t="str">
        <f>IFERROR(VLOOKUP($B40,オブジェクト一覧!$C$5:$I$102,5,FALSE),"")</f>
        <v>public</v>
      </c>
      <c r="E40" s="73" t="str">
        <f>IFERROR(VLOOKUP($B40,オブジェクト一覧!$C$5:$I$102,6,FALSE),"")</f>
        <v>kids</v>
      </c>
      <c r="F40" s="73" t="str">
        <f>IFERROR(VLOOKUP($B40,オブジェクト一覧!$C$5:$I$102,7,FALSE),"")</f>
        <v>TABLE</v>
      </c>
      <c r="G40" s="73" t="s">
        <v>1704</v>
      </c>
      <c r="H40" s="73" t="s">
        <v>1387</v>
      </c>
      <c r="I40" s="73" t="s">
        <v>1441</v>
      </c>
      <c r="J40" s="24" t="s">
        <v>1483</v>
      </c>
      <c r="K40" s="25">
        <v>43628</v>
      </c>
      <c r="L40" s="25">
        <v>43628</v>
      </c>
      <c r="M40" s="25">
        <v>43690</v>
      </c>
    </row>
    <row r="41" spans="1:13" s="72" customFormat="1">
      <c r="A41" s="73">
        <f t="shared" si="1"/>
        <v>38</v>
      </c>
      <c r="B41" s="73" t="s">
        <v>920</v>
      </c>
      <c r="C41" s="73" t="str">
        <f>IFERROR(VLOOKUP($B41,オブジェクト一覧!$C$5:$I$102,2,FALSE),"")</f>
        <v>t_orderdetail</v>
      </c>
      <c r="D41" s="73" t="str">
        <f>IFERROR(VLOOKUP($B41,オブジェクト一覧!$C$5:$I$102,5,FALSE),"")</f>
        <v>public</v>
      </c>
      <c r="E41" s="73" t="str">
        <f>IFERROR(VLOOKUP($B41,オブジェクト一覧!$C$5:$I$102,6,FALSE),"")</f>
        <v>kids</v>
      </c>
      <c r="F41" s="73" t="str">
        <f>IFERROR(VLOOKUP($B41,オブジェクト一覧!$C$5:$I$102,7,FALSE),"")</f>
        <v>TABLE</v>
      </c>
      <c r="G41" s="73" t="s">
        <v>1704</v>
      </c>
      <c r="H41" s="73" t="s">
        <v>1387</v>
      </c>
      <c r="I41" s="73" t="s">
        <v>1441</v>
      </c>
      <c r="J41" s="24" t="s">
        <v>1483</v>
      </c>
      <c r="K41" s="25">
        <v>43628</v>
      </c>
      <c r="L41" s="25">
        <v>43628</v>
      </c>
      <c r="M41" s="25">
        <v>43690</v>
      </c>
    </row>
    <row r="42" spans="1:13" s="72" customFormat="1">
      <c r="A42" s="73">
        <f t="shared" si="1"/>
        <v>39</v>
      </c>
      <c r="B42" s="73" t="s">
        <v>933</v>
      </c>
      <c r="C42" s="73" t="str">
        <f>IFERROR(VLOOKUP($B42,オブジェクト一覧!$C$5:$I$102,2,FALSE),"")</f>
        <v>t_receivedetail</v>
      </c>
      <c r="D42" s="73" t="str">
        <f>IFERROR(VLOOKUP($B42,オブジェクト一覧!$C$5:$I$102,5,FALSE),"")</f>
        <v>public</v>
      </c>
      <c r="E42" s="73" t="str">
        <f>IFERROR(VLOOKUP($B42,オブジェクト一覧!$C$5:$I$102,6,FALSE),"")</f>
        <v>kids</v>
      </c>
      <c r="F42" s="73" t="str">
        <f>IFERROR(VLOOKUP($B42,オブジェクト一覧!$C$5:$I$102,7,FALSE),"")</f>
        <v>TABLE</v>
      </c>
      <c r="G42" s="73" t="s">
        <v>1704</v>
      </c>
      <c r="H42" s="73" t="s">
        <v>1387</v>
      </c>
      <c r="I42" s="73" t="s">
        <v>1441</v>
      </c>
      <c r="J42" s="24" t="s">
        <v>1483</v>
      </c>
      <c r="K42" s="25">
        <v>43628</v>
      </c>
      <c r="L42" s="25">
        <v>43628</v>
      </c>
      <c r="M42" s="25">
        <v>43690</v>
      </c>
    </row>
    <row r="43" spans="1:13" s="72" customFormat="1">
      <c r="A43" s="73">
        <f t="shared" si="1"/>
        <v>40</v>
      </c>
      <c r="B43" s="73" t="s">
        <v>96</v>
      </c>
      <c r="C43" s="73" t="str">
        <f>IFERROR(VLOOKUP($B43,オブジェクト一覧!$C$5:$I$102,2,FALSE),"")</f>
        <v>t_salesdetail</v>
      </c>
      <c r="D43" s="73" t="str">
        <f>IFERROR(VLOOKUP($B43,オブジェクト一覧!$C$5:$I$102,5,FALSE),"")</f>
        <v>public</v>
      </c>
      <c r="E43" s="73" t="str">
        <f>IFERROR(VLOOKUP($B43,オブジェクト一覧!$C$5:$I$102,6,FALSE),"")</f>
        <v>kids</v>
      </c>
      <c r="F43" s="73" t="str">
        <f>IFERROR(VLOOKUP($B43,オブジェクト一覧!$C$5:$I$102,7,FALSE),"")</f>
        <v>TABLE</v>
      </c>
      <c r="G43" s="73" t="s">
        <v>1704</v>
      </c>
      <c r="H43" s="73" t="s">
        <v>1387</v>
      </c>
      <c r="I43" s="73" t="s">
        <v>1441</v>
      </c>
      <c r="J43" s="24" t="s">
        <v>1483</v>
      </c>
      <c r="K43" s="25">
        <v>43628</v>
      </c>
      <c r="L43" s="25">
        <v>43628</v>
      </c>
      <c r="M43" s="25">
        <v>43690</v>
      </c>
    </row>
    <row r="44" spans="1:13" s="72" customFormat="1">
      <c r="A44" s="73">
        <f t="shared" si="1"/>
        <v>41</v>
      </c>
      <c r="B44" s="73" t="s">
        <v>97</v>
      </c>
      <c r="C44" s="73" t="str">
        <f>IFERROR(VLOOKUP($B44,オブジェクト一覧!$C$5:$I$102,2,FALSE),"")</f>
        <v>t_stockdetail</v>
      </c>
      <c r="D44" s="73" t="str">
        <f>IFERROR(VLOOKUP($B44,オブジェクト一覧!$C$5:$I$102,5,FALSE),"")</f>
        <v>public</v>
      </c>
      <c r="E44" s="73" t="str">
        <f>IFERROR(VLOOKUP($B44,オブジェクト一覧!$C$5:$I$102,6,FALSE),"")</f>
        <v>kids</v>
      </c>
      <c r="F44" s="73" t="str">
        <f>IFERROR(VLOOKUP($B44,オブジェクト一覧!$C$5:$I$102,7,FALSE),"")</f>
        <v>TABLE</v>
      </c>
      <c r="G44" s="73" t="s">
        <v>1704</v>
      </c>
      <c r="H44" s="73" t="s">
        <v>1387</v>
      </c>
      <c r="I44" s="73" t="s">
        <v>1441</v>
      </c>
      <c r="J44" s="24" t="s">
        <v>1483</v>
      </c>
      <c r="K44" s="25">
        <v>43628</v>
      </c>
      <c r="L44" s="25">
        <v>43628</v>
      </c>
      <c r="M44" s="25">
        <v>43690</v>
      </c>
    </row>
    <row r="45" spans="1:13" s="72" customFormat="1">
      <c r="A45" s="73">
        <f t="shared" si="1"/>
        <v>42</v>
      </c>
      <c r="B45" s="125" t="s">
        <v>1706</v>
      </c>
      <c r="C45" s="73" t="str">
        <f>IFERROR(VLOOKUP($B45,オブジェクト一覧!$C$5:$I$102,2,FALSE),"")</f>
        <v>t_purchaseorderdetail</v>
      </c>
      <c r="D45" s="73" t="str">
        <f>IFERROR(VLOOKUP($B45,オブジェクト一覧!$C$5:$I$102,5,FALSE),"")</f>
        <v>public</v>
      </c>
      <c r="E45" s="73" t="str">
        <f>IFERROR(VLOOKUP($B45,オブジェクト一覧!$C$5:$I$102,6,FALSE),"")</f>
        <v>kids</v>
      </c>
      <c r="F45" s="73" t="str">
        <f>IFERROR(VLOOKUP($B45,オブジェクト一覧!$C$5:$I$102,7,FALSE),"")</f>
        <v>TABLE</v>
      </c>
      <c r="G45" s="73" t="s">
        <v>1704</v>
      </c>
      <c r="H45" s="73" t="s">
        <v>1387</v>
      </c>
      <c r="I45" s="73" t="s">
        <v>1441</v>
      </c>
      <c r="J45" s="24" t="s">
        <v>1483</v>
      </c>
      <c r="K45" s="25">
        <v>43628</v>
      </c>
      <c r="L45" s="25">
        <v>43628</v>
      </c>
      <c r="M45" s="25">
        <v>43690</v>
      </c>
    </row>
    <row r="46" spans="1:13" s="72" customFormat="1">
      <c r="A46" s="73">
        <f t="shared" si="1"/>
        <v>43</v>
      </c>
      <c r="B46" s="73" t="s">
        <v>1482</v>
      </c>
      <c r="C46" s="73" t="str">
        <f>IFERROR(VLOOKUP($B46,オブジェクト一覧!$C$5:$I$102,2,FALSE),"")</f>
        <v>t_slipdetail</v>
      </c>
      <c r="D46" s="73" t="str">
        <f>IFERROR(VLOOKUP($B46,オブジェクト一覧!$C$5:$I$102,5,FALSE),"")</f>
        <v>public</v>
      </c>
      <c r="E46" s="73" t="str">
        <f>IFERROR(VLOOKUP($B46,オブジェクト一覧!$C$5:$I$102,6,FALSE),"")</f>
        <v>kids</v>
      </c>
      <c r="F46" s="73" t="str">
        <f>IFERROR(VLOOKUP($B46,オブジェクト一覧!$C$5:$I$102,7,FALSE),"")</f>
        <v>TABLE</v>
      </c>
      <c r="G46" s="73" t="s">
        <v>1704</v>
      </c>
      <c r="H46" s="73" t="s">
        <v>1387</v>
      </c>
      <c r="I46" s="73" t="s">
        <v>1441</v>
      </c>
      <c r="J46" s="24" t="s">
        <v>1483</v>
      </c>
      <c r="K46" s="25">
        <v>43628</v>
      </c>
      <c r="L46" s="25">
        <v>43628</v>
      </c>
      <c r="M46" s="25">
        <v>43690</v>
      </c>
    </row>
    <row r="47" spans="1:13" s="72" customFormat="1">
      <c r="A47" s="73">
        <f t="shared" si="1"/>
        <v>44</v>
      </c>
      <c r="B47" s="77" t="s">
        <v>1480</v>
      </c>
      <c r="C47" s="73" t="str">
        <f>IFERROR(VLOOKUP($B47,オブジェクト一覧!$C$5:$I$102,2,FALSE),"")</f>
        <v>m_estimate</v>
      </c>
      <c r="D47" s="73" t="str">
        <f>IFERROR(VLOOKUP($B47,オブジェクト一覧!$C$5:$I$102,5,FALSE),"")</f>
        <v>public</v>
      </c>
      <c r="E47" s="73" t="str">
        <f>IFERROR(VLOOKUP($B47,オブジェクト一覧!$C$5:$I$102,6,FALSE),"")</f>
        <v>kids</v>
      </c>
      <c r="F47" s="73" t="str">
        <f>IFERROR(VLOOKUP($B47,オブジェクト一覧!$C$5:$I$102,7,FALSE),"")</f>
        <v>TABLE</v>
      </c>
      <c r="G47" s="77" t="s">
        <v>1704</v>
      </c>
      <c r="H47" s="73" t="s">
        <v>1490</v>
      </c>
      <c r="I47" s="73" t="s">
        <v>1487</v>
      </c>
      <c r="J47" s="24" t="s">
        <v>1488</v>
      </c>
      <c r="K47" s="25">
        <v>43631</v>
      </c>
      <c r="L47" s="25">
        <v>43631</v>
      </c>
      <c r="M47" s="25" t="s">
        <v>1491</v>
      </c>
    </row>
    <row r="48" spans="1:13" s="35" customFormat="1">
      <c r="A48" s="36">
        <f t="shared" si="1"/>
        <v>45</v>
      </c>
      <c r="B48" s="77" t="s">
        <v>920</v>
      </c>
      <c r="C48" s="56" t="str">
        <f>IFERROR(VLOOKUP($B48,オブジェクト一覧!$C$5:$I$102,2,FALSE),"")</f>
        <v>t_orderdetail</v>
      </c>
      <c r="D48" s="56" t="str">
        <f>IFERROR(VLOOKUP($B48,オブジェクト一覧!$C$5:$I$102,5,FALSE),"")</f>
        <v>public</v>
      </c>
      <c r="E48" s="56" t="str">
        <f>IFERROR(VLOOKUP($B48,オブジェクト一覧!$C$5:$I$102,6,FALSE),"")</f>
        <v>kids</v>
      </c>
      <c r="F48" s="56" t="str">
        <f>IFERROR(VLOOKUP($B48,オブジェクト一覧!$C$5:$I$102,7,FALSE),"")</f>
        <v>TABLE</v>
      </c>
      <c r="G48" s="77" t="s">
        <v>1704</v>
      </c>
      <c r="H48" s="77" t="s">
        <v>1490</v>
      </c>
      <c r="I48" s="77" t="s">
        <v>1487</v>
      </c>
      <c r="J48" s="24" t="s">
        <v>1488</v>
      </c>
      <c r="K48" s="25">
        <v>43631</v>
      </c>
      <c r="L48" s="25">
        <v>43631</v>
      </c>
      <c r="M48" s="25" t="s">
        <v>1491</v>
      </c>
    </row>
    <row r="49" spans="1:13" s="35" customFormat="1">
      <c r="A49" s="36">
        <f t="shared" si="1"/>
        <v>46</v>
      </c>
      <c r="B49" s="77" t="s">
        <v>933</v>
      </c>
      <c r="C49" s="56" t="str">
        <f>IFERROR(VLOOKUP($B49,オブジェクト一覧!$C$5:$I$102,2,FALSE),"")</f>
        <v>t_receivedetail</v>
      </c>
      <c r="D49" s="56" t="str">
        <f>IFERROR(VLOOKUP($B49,オブジェクト一覧!$C$5:$I$102,5,FALSE),"")</f>
        <v>public</v>
      </c>
      <c r="E49" s="56" t="str">
        <f>IFERROR(VLOOKUP($B49,オブジェクト一覧!$C$5:$I$102,6,FALSE),"")</f>
        <v>kids</v>
      </c>
      <c r="F49" s="56" t="str">
        <f>IFERROR(VLOOKUP($B49,オブジェクト一覧!$C$5:$I$102,7,FALSE),"")</f>
        <v>TABLE</v>
      </c>
      <c r="G49" s="77" t="s">
        <v>1704</v>
      </c>
      <c r="H49" s="77" t="s">
        <v>1490</v>
      </c>
      <c r="I49" s="77" t="s">
        <v>1487</v>
      </c>
      <c r="J49" s="24" t="s">
        <v>1488</v>
      </c>
      <c r="K49" s="25">
        <v>43631</v>
      </c>
      <c r="L49" s="25">
        <v>43631</v>
      </c>
      <c r="M49" s="25" t="s">
        <v>1491</v>
      </c>
    </row>
    <row r="50" spans="1:13" s="35" customFormat="1">
      <c r="A50" s="36">
        <f t="shared" si="1"/>
        <v>47</v>
      </c>
      <c r="B50" s="77" t="s">
        <v>96</v>
      </c>
      <c r="C50" s="56" t="str">
        <f>IFERROR(VLOOKUP($B50,オブジェクト一覧!$C$5:$I$102,2,FALSE),"")</f>
        <v>t_salesdetail</v>
      </c>
      <c r="D50" s="56" t="str">
        <f>IFERROR(VLOOKUP($B50,オブジェクト一覧!$C$5:$I$102,5,FALSE),"")</f>
        <v>public</v>
      </c>
      <c r="E50" s="56" t="str">
        <f>IFERROR(VLOOKUP($B50,オブジェクト一覧!$C$5:$I$102,6,FALSE),"")</f>
        <v>kids</v>
      </c>
      <c r="F50" s="56" t="str">
        <f>IFERROR(VLOOKUP($B50,オブジェクト一覧!$C$5:$I$102,7,FALSE),"")</f>
        <v>TABLE</v>
      </c>
      <c r="G50" s="77" t="s">
        <v>1704</v>
      </c>
      <c r="H50" s="77" t="s">
        <v>1490</v>
      </c>
      <c r="I50" s="77" t="s">
        <v>1487</v>
      </c>
      <c r="J50" s="24" t="s">
        <v>1488</v>
      </c>
      <c r="K50" s="25">
        <v>43631</v>
      </c>
      <c r="L50" s="25">
        <v>43631</v>
      </c>
      <c r="M50" s="25" t="s">
        <v>1491</v>
      </c>
    </row>
    <row r="51" spans="1:13" s="35" customFormat="1">
      <c r="A51" s="36">
        <f t="shared" si="1"/>
        <v>48</v>
      </c>
      <c r="B51" s="77" t="s">
        <v>97</v>
      </c>
      <c r="C51" s="56" t="str">
        <f>IFERROR(VLOOKUP($B51,オブジェクト一覧!$C$5:$I$102,2,FALSE),"")</f>
        <v>t_stockdetail</v>
      </c>
      <c r="D51" s="56" t="str">
        <f>IFERROR(VLOOKUP($B51,オブジェクト一覧!$C$5:$I$102,5,FALSE),"")</f>
        <v>public</v>
      </c>
      <c r="E51" s="56" t="str">
        <f>IFERROR(VLOOKUP($B51,オブジェクト一覧!$C$5:$I$102,6,FALSE),"")</f>
        <v>kids</v>
      </c>
      <c r="F51" s="56" t="str">
        <f>IFERROR(VLOOKUP($B51,オブジェクト一覧!$C$5:$I$102,7,FALSE),"")</f>
        <v>TABLE</v>
      </c>
      <c r="G51" s="77" t="s">
        <v>1704</v>
      </c>
      <c r="H51" s="77" t="s">
        <v>1490</v>
      </c>
      <c r="I51" s="77" t="s">
        <v>1487</v>
      </c>
      <c r="J51" s="24" t="s">
        <v>1488</v>
      </c>
      <c r="K51" s="25">
        <v>43631</v>
      </c>
      <c r="L51" s="25">
        <v>43631</v>
      </c>
      <c r="M51" s="25" t="s">
        <v>1491</v>
      </c>
    </row>
    <row r="52" spans="1:13" s="76" customFormat="1">
      <c r="A52" s="77">
        <f t="shared" si="1"/>
        <v>49</v>
      </c>
      <c r="B52" s="77" t="s">
        <v>1481</v>
      </c>
      <c r="C52" s="77" t="str">
        <f>IFERROR(VLOOKUP($B52,オブジェクト一覧!$C$5:$I$102,2,FALSE),"")</f>
        <v>m_purchaseorder</v>
      </c>
      <c r="D52" s="77" t="str">
        <f>IFERROR(VLOOKUP($B52,オブジェクト一覧!$C$5:$I$102,5,FALSE),"")</f>
        <v>public</v>
      </c>
      <c r="E52" s="77" t="str">
        <f>IFERROR(VLOOKUP($B52,オブジェクト一覧!$C$5:$I$102,6,FALSE),"")</f>
        <v>kids</v>
      </c>
      <c r="F52" s="77" t="str">
        <f>IFERROR(VLOOKUP($B52,オブジェクト一覧!$C$5:$I$102,7,FALSE),"")</f>
        <v>TABLE</v>
      </c>
      <c r="G52" s="77" t="s">
        <v>1704</v>
      </c>
      <c r="H52" s="77" t="s">
        <v>1490</v>
      </c>
      <c r="I52" s="77" t="s">
        <v>1487</v>
      </c>
      <c r="J52" s="24" t="s">
        <v>1488</v>
      </c>
      <c r="K52" s="25">
        <v>43631</v>
      </c>
      <c r="L52" s="25">
        <v>43631</v>
      </c>
      <c r="M52" s="25" t="s">
        <v>1491</v>
      </c>
    </row>
    <row r="53" spans="1:13" s="76" customFormat="1">
      <c r="A53" s="77">
        <f t="shared" si="1"/>
        <v>50</v>
      </c>
      <c r="B53" s="77" t="s">
        <v>1482</v>
      </c>
      <c r="C53" s="77" t="str">
        <f>IFERROR(VLOOKUP($B53,オブジェクト一覧!$C$5:$I$102,2,FALSE),"")</f>
        <v>t_slipdetail</v>
      </c>
      <c r="D53" s="77" t="str">
        <f>IFERROR(VLOOKUP($B53,オブジェクト一覧!$C$5:$I$102,5,FALSE),"")</f>
        <v>public</v>
      </c>
      <c r="E53" s="77" t="str">
        <f>IFERROR(VLOOKUP($B53,オブジェクト一覧!$C$5:$I$102,6,FALSE),"")</f>
        <v>kids</v>
      </c>
      <c r="F53" s="77" t="str">
        <f>IFERROR(VLOOKUP($B53,オブジェクト一覧!$C$5:$I$102,7,FALSE),"")</f>
        <v>TABLE</v>
      </c>
      <c r="G53" s="77" t="s">
        <v>1704</v>
      </c>
      <c r="H53" s="77" t="s">
        <v>1490</v>
      </c>
      <c r="I53" s="77" t="s">
        <v>1487</v>
      </c>
      <c r="J53" s="24" t="s">
        <v>1488</v>
      </c>
      <c r="K53" s="25">
        <v>43631</v>
      </c>
      <c r="L53" s="25">
        <v>43631</v>
      </c>
      <c r="M53" s="25" t="s">
        <v>1491</v>
      </c>
    </row>
    <row r="54" spans="1:13" s="76" customFormat="1">
      <c r="A54" s="77">
        <f t="shared" si="1"/>
        <v>51</v>
      </c>
      <c r="B54" s="77" t="s">
        <v>1489</v>
      </c>
      <c r="C54" s="77" t="str">
        <f>IFERROR(VLOOKUP($B54,オブジェクト一覧!$C$5:$I$102,2,FALSE),"")</f>
        <v>m_product</v>
      </c>
      <c r="D54" s="77" t="str">
        <f>IFERROR(VLOOKUP($B54,オブジェクト一覧!$C$5:$I$102,5,FALSE),"")</f>
        <v>public</v>
      </c>
      <c r="E54" s="77" t="str">
        <f>IFERROR(VLOOKUP($B54,オブジェクト一覧!$C$5:$I$102,6,FALSE),"")</f>
        <v>kids</v>
      </c>
      <c r="F54" s="77" t="str">
        <f>IFERROR(VLOOKUP($B54,オブジェクト一覧!$C$5:$I$102,7,FALSE),"")</f>
        <v>TABLE</v>
      </c>
      <c r="G54" s="77" t="s">
        <v>1704</v>
      </c>
      <c r="H54" s="77" t="s">
        <v>1490</v>
      </c>
      <c r="I54" s="77" t="s">
        <v>1487</v>
      </c>
      <c r="J54" s="24" t="s">
        <v>1488</v>
      </c>
      <c r="K54" s="25">
        <v>43631</v>
      </c>
      <c r="L54" s="25">
        <v>43631</v>
      </c>
      <c r="M54" s="25" t="s">
        <v>1491</v>
      </c>
    </row>
    <row r="55" spans="1:13" s="76" customFormat="1">
      <c r="A55" s="77">
        <f t="shared" si="1"/>
        <v>52</v>
      </c>
      <c r="B55" s="79" t="s">
        <v>96</v>
      </c>
      <c r="C55" s="77" t="str">
        <f>IFERROR(VLOOKUP($B55,オブジェクト一覧!$C$5:$I$102,2,FALSE),"")</f>
        <v>t_salesdetail</v>
      </c>
      <c r="D55" s="77" t="str">
        <f>IFERROR(VLOOKUP($B55,オブジェクト一覧!$C$5:$I$102,5,FALSE),"")</f>
        <v>public</v>
      </c>
      <c r="E55" s="77" t="str">
        <f>IFERROR(VLOOKUP($B55,オブジェクト一覧!$C$5:$I$102,6,FALSE),"")</f>
        <v>kids</v>
      </c>
      <c r="F55" s="77" t="str">
        <f>IFERROR(VLOOKUP($B55,オブジェクト一覧!$C$5:$I$102,7,FALSE),"")</f>
        <v>TABLE</v>
      </c>
      <c r="G55" s="77" t="s">
        <v>1495</v>
      </c>
      <c r="H55" s="77" t="s">
        <v>1496</v>
      </c>
      <c r="I55" s="77" t="s">
        <v>1497</v>
      </c>
      <c r="J55" s="24" t="s">
        <v>1498</v>
      </c>
      <c r="K55" s="25">
        <v>43641</v>
      </c>
      <c r="L55" s="25">
        <v>43641</v>
      </c>
      <c r="M55" s="25">
        <v>43690</v>
      </c>
    </row>
    <row r="56" spans="1:13" s="76" customFormat="1">
      <c r="A56" s="77">
        <f t="shared" si="1"/>
        <v>53</v>
      </c>
      <c r="B56" s="79" t="s">
        <v>1482</v>
      </c>
      <c r="C56" s="77" t="str">
        <f>IFERROR(VLOOKUP($B56,オブジェクト一覧!$C$5:$I$102,2,FALSE),"")</f>
        <v>t_slipdetail</v>
      </c>
      <c r="D56" s="77" t="str">
        <f>IFERROR(VLOOKUP($B56,オブジェクト一覧!$C$5:$I$102,5,FALSE),"")</f>
        <v>public</v>
      </c>
      <c r="E56" s="77" t="str">
        <f>IFERROR(VLOOKUP($B56,オブジェクト一覧!$C$5:$I$102,6,FALSE),"")</f>
        <v>kids</v>
      </c>
      <c r="F56" s="77" t="str">
        <f>IFERROR(VLOOKUP($B56,オブジェクト一覧!$C$5:$I$102,7,FALSE),"")</f>
        <v>TABLE</v>
      </c>
      <c r="G56" s="79" t="s">
        <v>1495</v>
      </c>
      <c r="H56" s="79" t="s">
        <v>1496</v>
      </c>
      <c r="I56" s="79" t="s">
        <v>1497</v>
      </c>
      <c r="J56" s="24" t="s">
        <v>1498</v>
      </c>
      <c r="K56" s="25">
        <v>43641</v>
      </c>
      <c r="L56" s="25">
        <v>43641</v>
      </c>
      <c r="M56" s="25">
        <v>43690</v>
      </c>
    </row>
    <row r="57" spans="1:13" s="76" customFormat="1">
      <c r="A57" s="77">
        <f t="shared" si="1"/>
        <v>54</v>
      </c>
      <c r="B57" s="77" t="s">
        <v>1508</v>
      </c>
      <c r="C57" s="77" t="str">
        <f>IFERROR(VLOOKUP($B57,オブジェクト一覧!$C$5:$I$102,2,FALSE),"")</f>
        <v>m_slip</v>
      </c>
      <c r="D57" s="77" t="str">
        <f>IFERROR(VLOOKUP($B57,オブジェクト一覧!$C$5:$I$102,5,FALSE),"")</f>
        <v>public</v>
      </c>
      <c r="E57" s="77" t="str">
        <f>IFERROR(VLOOKUP($B57,オブジェクト一覧!$C$5:$I$102,6,FALSE),"")</f>
        <v>kids</v>
      </c>
      <c r="F57" s="77" t="str">
        <f>IFERROR(VLOOKUP($B57,オブジェクト一覧!$C$5:$I$102,7,FALSE),"")</f>
        <v>TABLE</v>
      </c>
      <c r="G57" s="77" t="s">
        <v>1509</v>
      </c>
      <c r="H57" s="82" t="s">
        <v>1366</v>
      </c>
      <c r="I57" s="82" t="s">
        <v>1441</v>
      </c>
      <c r="J57" s="24" t="s">
        <v>1510</v>
      </c>
      <c r="K57" s="25">
        <v>43641</v>
      </c>
      <c r="L57" s="25">
        <v>43641</v>
      </c>
      <c r="M57" s="25">
        <v>43690</v>
      </c>
    </row>
    <row r="58" spans="1:13" s="76" customFormat="1">
      <c r="A58" s="77">
        <f t="shared" si="1"/>
        <v>55</v>
      </c>
      <c r="B58" s="77" t="s">
        <v>1511</v>
      </c>
      <c r="C58" s="77" t="str">
        <f>IFERROR(VLOOKUP($B58,オブジェクト一覧!$C$5:$I$102,2,FALSE),"")</f>
        <v>m_invoice</v>
      </c>
      <c r="D58" s="77" t="str">
        <f>IFERROR(VLOOKUP($B58,オブジェクト一覧!$C$5:$I$102,5,FALSE),"")</f>
        <v>public</v>
      </c>
      <c r="E58" s="77" t="str">
        <f>IFERROR(VLOOKUP($B58,オブジェクト一覧!$C$5:$I$102,6,FALSE),"")</f>
        <v>kids</v>
      </c>
      <c r="F58" s="77" t="str">
        <f>IFERROR(VLOOKUP($B58,オブジェクト一覧!$C$5:$I$102,7,FALSE),"")</f>
        <v>TABLE</v>
      </c>
      <c r="G58" s="77" t="s">
        <v>1516</v>
      </c>
      <c r="H58" s="77" t="s">
        <v>1515</v>
      </c>
      <c r="I58" s="77" t="s">
        <v>1517</v>
      </c>
      <c r="J58" s="24" t="s">
        <v>1520</v>
      </c>
      <c r="K58" s="25">
        <v>43641</v>
      </c>
      <c r="L58" s="25">
        <v>43641</v>
      </c>
      <c r="M58" s="25">
        <v>43690</v>
      </c>
    </row>
    <row r="59" spans="1:13" s="81" customFormat="1">
      <c r="A59" s="82">
        <f t="shared" si="1"/>
        <v>56</v>
      </c>
      <c r="B59" s="82" t="s">
        <v>1513</v>
      </c>
      <c r="C59" s="82" t="str">
        <f>IFERROR(VLOOKUP($B59,オブジェクト一覧!$C$5:$I$102,2,FALSE),"")</f>
        <v>t_invoicedetail</v>
      </c>
      <c r="D59" s="82" t="str">
        <f>IFERROR(VLOOKUP($B59,オブジェクト一覧!$C$5:$I$102,5,FALSE),"")</f>
        <v>public</v>
      </c>
      <c r="E59" s="82" t="str">
        <f>IFERROR(VLOOKUP($B59,オブジェクト一覧!$C$5:$I$102,6,FALSE),"")</f>
        <v>kids</v>
      </c>
      <c r="F59" s="82" t="str">
        <f>IFERROR(VLOOKUP($B59,オブジェクト一覧!$C$5:$I$102,7,FALSE),"")</f>
        <v>TABLE</v>
      </c>
      <c r="G59" s="82" t="s">
        <v>1514</v>
      </c>
      <c r="H59" s="82" t="s">
        <v>1515</v>
      </c>
      <c r="I59" s="82" t="s">
        <v>1518</v>
      </c>
      <c r="J59" s="24" t="s">
        <v>1519</v>
      </c>
      <c r="K59" s="25">
        <v>43641</v>
      </c>
      <c r="L59" s="25">
        <v>43641</v>
      </c>
      <c r="M59" s="25">
        <v>43690</v>
      </c>
    </row>
    <row r="60" spans="1:13" s="81" customFormat="1">
      <c r="A60" s="82">
        <f t="shared" si="1"/>
        <v>57</v>
      </c>
      <c r="B60" s="82" t="s">
        <v>1513</v>
      </c>
      <c r="C60" s="82" t="str">
        <f>IFERROR(VLOOKUP($B60,オブジェクト一覧!$C$5:$I$102,2,FALSE),"")</f>
        <v>t_invoicedetail</v>
      </c>
      <c r="D60" s="82" t="str">
        <f>IFERROR(VLOOKUP($B60,オブジェクト一覧!$C$5:$I$102,5,FALSE),"")</f>
        <v>public</v>
      </c>
      <c r="E60" s="82" t="str">
        <f>IFERROR(VLOOKUP($B60,オブジェクト一覧!$C$5:$I$102,6,FALSE),"")</f>
        <v>kids</v>
      </c>
      <c r="F60" s="82" t="str">
        <f>IFERROR(VLOOKUP($B60,オブジェクト一覧!$C$5:$I$102,7,FALSE),"")</f>
        <v>TABLE</v>
      </c>
      <c r="G60" s="82" t="s">
        <v>1516</v>
      </c>
      <c r="H60" s="82" t="s">
        <v>1515</v>
      </c>
      <c r="I60" s="82" t="s">
        <v>1517</v>
      </c>
      <c r="J60" s="24" t="s">
        <v>1520</v>
      </c>
      <c r="K60" s="25">
        <v>43641</v>
      </c>
      <c r="L60" s="25">
        <v>43641</v>
      </c>
      <c r="M60" s="25">
        <v>43690</v>
      </c>
    </row>
    <row r="61" spans="1:13" s="81" customFormat="1">
      <c r="A61" s="82">
        <f t="shared" si="1"/>
        <v>58</v>
      </c>
      <c r="B61" s="85" t="s">
        <v>1261</v>
      </c>
      <c r="C61" s="85" t="str">
        <f>IFERROR(VLOOKUP($B61,オブジェクト一覧!$C$5:$I$102,2,FALSE),"")</f>
        <v>m_invoice</v>
      </c>
      <c r="D61" s="85" t="str">
        <f>IFERROR(VLOOKUP($B61,オブジェクト一覧!$C$5:$I$102,5,FALSE),"")</f>
        <v>public</v>
      </c>
      <c r="E61" s="85" t="str">
        <f>IFERROR(VLOOKUP($B61,オブジェクト一覧!$C$5:$I$102,6,FALSE),"")</f>
        <v>kids</v>
      </c>
      <c r="F61" s="85" t="str">
        <f>IFERROR(VLOOKUP($B61,オブジェクト一覧!$C$5:$I$102,7,FALSE),"")</f>
        <v>TABLE</v>
      </c>
      <c r="G61" s="82" t="s">
        <v>1524</v>
      </c>
      <c r="H61" s="85" t="s">
        <v>1366</v>
      </c>
      <c r="I61" s="85" t="s">
        <v>1517</v>
      </c>
      <c r="J61" s="24" t="s">
        <v>1525</v>
      </c>
      <c r="K61" s="25">
        <v>43642</v>
      </c>
      <c r="L61" s="25">
        <v>43648</v>
      </c>
      <c r="M61" s="25">
        <v>43690</v>
      </c>
    </row>
    <row r="62" spans="1:13" s="81" customFormat="1" ht="26.4">
      <c r="A62" s="82">
        <f t="shared" si="1"/>
        <v>59</v>
      </c>
      <c r="B62" s="86" t="s">
        <v>841</v>
      </c>
      <c r="C62" s="82" t="str">
        <f>IFERROR(VLOOKUP($B62,オブジェクト一覧!$C$5:$I$102,2,FALSE),"")</f>
        <v>t_estimatedetail</v>
      </c>
      <c r="D62" s="82" t="str">
        <f>IFERROR(VLOOKUP($B62,オブジェクト一覧!$C$5:$I$102,5,FALSE),"")</f>
        <v>public</v>
      </c>
      <c r="E62" s="82" t="str">
        <f>IFERROR(VLOOKUP($B62,オブジェクト一覧!$C$5:$I$102,6,FALSE),"")</f>
        <v>kids</v>
      </c>
      <c r="F62" s="82" t="str">
        <f>IFERROR(VLOOKUP($B62,オブジェクト一覧!$C$5:$I$102,7,FALSE),"")</f>
        <v>TABLE</v>
      </c>
      <c r="G62" s="82" t="s">
        <v>1527</v>
      </c>
      <c r="H62" s="86" t="s">
        <v>1366</v>
      </c>
      <c r="I62" s="86" t="s">
        <v>1441</v>
      </c>
      <c r="J62" s="24" t="s">
        <v>1528</v>
      </c>
      <c r="K62" s="25">
        <v>43642</v>
      </c>
      <c r="L62" s="25">
        <v>43648</v>
      </c>
      <c r="M62" s="25">
        <v>43690</v>
      </c>
    </row>
    <row r="63" spans="1:13" s="81" customFormat="1">
      <c r="A63" s="82">
        <f t="shared" si="1"/>
        <v>60</v>
      </c>
      <c r="B63" s="89" t="s">
        <v>1261</v>
      </c>
      <c r="C63" s="82" t="str">
        <f>IFERROR(VLOOKUP($B63,オブジェクト一覧!$C$5:$I$102,2,FALSE),"")</f>
        <v>m_invoice</v>
      </c>
      <c r="D63" s="82" t="str">
        <f>IFERROR(VLOOKUP($B63,オブジェクト一覧!$C$5:$I$102,5,FALSE),"")</f>
        <v>public</v>
      </c>
      <c r="E63" s="82" t="str">
        <f>IFERROR(VLOOKUP($B63,オブジェクト一覧!$C$5:$I$102,6,FALSE),"")</f>
        <v>kids</v>
      </c>
      <c r="F63" s="82" t="str">
        <f>IFERROR(VLOOKUP($B63,オブジェクト一覧!$C$5:$I$102,7,FALSE),"")</f>
        <v>TABLE</v>
      </c>
      <c r="G63" s="89" t="s">
        <v>1359</v>
      </c>
      <c r="H63" s="89" t="s">
        <v>1377</v>
      </c>
      <c r="I63" s="89" t="s">
        <v>1517</v>
      </c>
      <c r="J63" s="24" t="s">
        <v>1530</v>
      </c>
      <c r="K63" s="25">
        <v>43644</v>
      </c>
      <c r="L63" s="25">
        <v>43648</v>
      </c>
      <c r="M63" s="25">
        <v>43690</v>
      </c>
    </row>
    <row r="64" spans="1:13" s="81" customFormat="1">
      <c r="A64" s="82">
        <f t="shared" si="1"/>
        <v>61</v>
      </c>
      <c r="B64" s="82" t="s">
        <v>1533</v>
      </c>
      <c r="C64" s="82" t="str">
        <f>IFERROR(VLOOKUP($B64,オブジェクト一覧!$C$5:$I$102,2,FALSE),"")</f>
        <v>m_sales</v>
      </c>
      <c r="D64" s="82" t="str">
        <f>IFERROR(VLOOKUP($B64,オブジェクト一覧!$C$5:$I$102,5,FALSE),"")</f>
        <v>public</v>
      </c>
      <c r="E64" s="82" t="str">
        <f>IFERROR(VLOOKUP($B64,オブジェクト一覧!$C$5:$I$102,6,FALSE),"")</f>
        <v>kids</v>
      </c>
      <c r="F64" s="82" t="str">
        <f>IFERROR(VLOOKUP($B64,オブジェクト一覧!$C$5:$I$102,7,FALSE),"")</f>
        <v>TABLE</v>
      </c>
      <c r="G64" s="82" t="s">
        <v>1532</v>
      </c>
      <c r="H64" s="91" t="s">
        <v>1366</v>
      </c>
      <c r="I64" s="91" t="s">
        <v>1441</v>
      </c>
      <c r="J64" s="24" t="s">
        <v>1534</v>
      </c>
      <c r="K64" s="25">
        <v>43651</v>
      </c>
      <c r="L64" s="25">
        <v>43651</v>
      </c>
      <c r="M64" s="25"/>
    </row>
    <row r="65" spans="1:13" s="81" customFormat="1">
      <c r="A65" s="82">
        <f t="shared" si="1"/>
        <v>62</v>
      </c>
      <c r="B65" s="82" t="s">
        <v>1537</v>
      </c>
      <c r="C65" s="82" t="str">
        <f>IFERROR(VLOOKUP($B65,オブジェクト一覧!$C$5:$I$102,2,FALSE),"")</f>
        <v/>
      </c>
      <c r="D65" s="82" t="str">
        <f>IFERROR(VLOOKUP($B65,オブジェクト一覧!$C$5:$I$102,5,FALSE),"")</f>
        <v/>
      </c>
      <c r="E65" s="82" t="str">
        <f>IFERROR(VLOOKUP($B65,オブジェクト一覧!$C$5:$I$102,6,FALSE),"")</f>
        <v/>
      </c>
      <c r="F65" s="82" t="str">
        <f>IFERROR(VLOOKUP($B65,オブジェクト一覧!$C$5:$I$102,7,FALSE),"")</f>
        <v/>
      </c>
      <c r="G65" s="82"/>
      <c r="H65" s="82" t="s">
        <v>1538</v>
      </c>
      <c r="I65" s="82" t="s">
        <v>1436</v>
      </c>
      <c r="J65" s="24" t="s">
        <v>1539</v>
      </c>
      <c r="K65" s="25">
        <v>43654</v>
      </c>
      <c r="L65" s="25">
        <v>43654</v>
      </c>
      <c r="M65" s="25">
        <v>43690</v>
      </c>
    </row>
    <row r="66" spans="1:13" s="81" customFormat="1">
      <c r="A66" s="82">
        <f t="shared" si="1"/>
        <v>63</v>
      </c>
      <c r="B66" s="82" t="s">
        <v>1543</v>
      </c>
      <c r="C66" s="82" t="str">
        <f>IFERROR(VLOOKUP($B66,オブジェクト一覧!$C$5:$I$102,2,FALSE),"")</f>
        <v>m_product</v>
      </c>
      <c r="D66" s="82" t="str">
        <f>IFERROR(VLOOKUP($B66,オブジェクト一覧!$C$5:$I$102,5,FALSE),"")</f>
        <v>public</v>
      </c>
      <c r="E66" s="82" t="str">
        <f>IFERROR(VLOOKUP($B66,オブジェクト一覧!$C$5:$I$102,6,FALSE),"")</f>
        <v>kids</v>
      </c>
      <c r="F66" s="82" t="str">
        <f>IFERROR(VLOOKUP($B66,オブジェクト一覧!$C$5:$I$102,7,FALSE),"")</f>
        <v>TABLE</v>
      </c>
      <c r="G66" s="82" t="s">
        <v>1554</v>
      </c>
      <c r="H66" s="94" t="s">
        <v>1377</v>
      </c>
      <c r="I66" s="82" t="s">
        <v>1541</v>
      </c>
      <c r="J66" s="24" t="s">
        <v>1542</v>
      </c>
      <c r="K66" s="25">
        <v>43654</v>
      </c>
      <c r="L66" s="25">
        <v>43662</v>
      </c>
      <c r="M66" s="25">
        <v>43690</v>
      </c>
    </row>
    <row r="67" spans="1:13" s="81" customFormat="1">
      <c r="A67" s="82">
        <f t="shared" si="1"/>
        <v>64</v>
      </c>
      <c r="B67" s="94" t="s">
        <v>1543</v>
      </c>
      <c r="C67" s="82" t="str">
        <f>IFERROR(VLOOKUP($B67,オブジェクト一覧!$C$5:$I$102,2,FALSE),"")</f>
        <v>m_product</v>
      </c>
      <c r="D67" s="82" t="str">
        <f>IFERROR(VLOOKUP($B67,オブジェクト一覧!$C$5:$I$102,5,FALSE),"")</f>
        <v>public</v>
      </c>
      <c r="E67" s="82" t="str">
        <f>IFERROR(VLOOKUP($B67,オブジェクト一覧!$C$5:$I$102,6,FALSE),"")</f>
        <v>kids</v>
      </c>
      <c r="F67" s="82" t="str">
        <f>IFERROR(VLOOKUP($B67,オブジェクト一覧!$C$5:$I$102,7,FALSE),"")</f>
        <v>TABLE</v>
      </c>
      <c r="G67" s="82" t="s">
        <v>1555</v>
      </c>
      <c r="H67" s="94" t="s">
        <v>1377</v>
      </c>
      <c r="I67" s="94" t="s">
        <v>1541</v>
      </c>
      <c r="J67" s="24" t="s">
        <v>1542</v>
      </c>
      <c r="K67" s="25">
        <v>43654</v>
      </c>
      <c r="L67" s="25">
        <v>43662</v>
      </c>
      <c r="M67" s="25">
        <v>43690</v>
      </c>
    </row>
    <row r="68" spans="1:13" s="81" customFormat="1">
      <c r="A68" s="82">
        <f t="shared" si="1"/>
        <v>65</v>
      </c>
      <c r="B68" s="82" t="s">
        <v>1544</v>
      </c>
      <c r="C68" s="82" t="str">
        <f>IFERROR(VLOOKUP($B68,オブジェクト一覧!$C$5:$I$102,2,FALSE),"")</f>
        <v>m_company</v>
      </c>
      <c r="D68" s="82" t="str">
        <f>IFERROR(VLOOKUP($B68,オブジェクト一覧!$C$5:$I$102,5,FALSE),"")</f>
        <v>public</v>
      </c>
      <c r="E68" s="82" t="str">
        <f>IFERROR(VLOOKUP($B68,オブジェクト一覧!$C$5:$I$102,6,FALSE),"")</f>
        <v>kids</v>
      </c>
      <c r="F68" s="82" t="str">
        <f>IFERROR(VLOOKUP($B68,オブジェクト一覧!$C$5:$I$102,7,FALSE),"")</f>
        <v>TABLE</v>
      </c>
      <c r="G68" s="82" t="s">
        <v>1545</v>
      </c>
      <c r="H68" s="94" t="s">
        <v>1377</v>
      </c>
      <c r="I68" s="82" t="s">
        <v>1546</v>
      </c>
      <c r="J68" s="24" t="s">
        <v>1542</v>
      </c>
      <c r="K68" s="25">
        <v>43654</v>
      </c>
      <c r="L68" s="25">
        <v>43662</v>
      </c>
      <c r="M68" s="25">
        <v>43690</v>
      </c>
    </row>
    <row r="69" spans="1:13" s="93" customFormat="1">
      <c r="A69" s="94">
        <f t="shared" si="1"/>
        <v>66</v>
      </c>
      <c r="B69" s="94" t="s">
        <v>1547</v>
      </c>
      <c r="C69" s="94" t="str">
        <f>IFERROR(VLOOKUP($B69,オブジェクト一覧!$C$5:$I$102,2,FALSE),"")</f>
        <v/>
      </c>
      <c r="D69" s="94" t="str">
        <f>IFERROR(VLOOKUP($B69,オブジェクト一覧!$C$5:$I$102,5,FALSE),"")</f>
        <v/>
      </c>
      <c r="E69" s="94" t="str">
        <f>IFERROR(VLOOKUP($B69,オブジェクト一覧!$C$5:$I$102,6,FALSE),"")</f>
        <v/>
      </c>
      <c r="F69" s="94" t="str">
        <f>IFERROR(VLOOKUP($B69,オブジェクト一覧!$C$5:$I$102,7,FALSE),"")</f>
        <v/>
      </c>
      <c r="G69" s="94"/>
      <c r="H69" s="94" t="s">
        <v>1538</v>
      </c>
      <c r="I69" s="94" t="s">
        <v>1436</v>
      </c>
      <c r="J69" s="24" t="s">
        <v>1548</v>
      </c>
      <c r="K69" s="25">
        <v>43654</v>
      </c>
      <c r="L69" s="25">
        <v>43654</v>
      </c>
      <c r="M69" s="25">
        <v>43690</v>
      </c>
    </row>
    <row r="70" spans="1:13" s="93" customFormat="1">
      <c r="A70" s="94">
        <f t="shared" si="1"/>
        <v>67</v>
      </c>
      <c r="B70" s="94" t="s">
        <v>1550</v>
      </c>
      <c r="C70" s="94" t="str">
        <f>IFERROR(VLOOKUP($B70,オブジェクト一覧!$C$5:$I$102,2,FALSE),"")</f>
        <v>m_stock</v>
      </c>
      <c r="D70" s="94" t="str">
        <f>IFERROR(VLOOKUP($B70,オブジェクト一覧!$C$5:$I$102,5,FALSE),"")</f>
        <v>public</v>
      </c>
      <c r="E70" s="94" t="str">
        <f>IFERROR(VLOOKUP($B70,オブジェクト一覧!$C$5:$I$102,6,FALSE),"")</f>
        <v>kids</v>
      </c>
      <c r="F70" s="94" t="str">
        <f>IFERROR(VLOOKUP($B70,オブジェクト一覧!$C$5:$I$102,7,FALSE),"")</f>
        <v>TABLE</v>
      </c>
      <c r="G70" s="94" t="s">
        <v>1551</v>
      </c>
      <c r="H70" s="94" t="s">
        <v>1552</v>
      </c>
      <c r="I70" s="94" t="s">
        <v>1553</v>
      </c>
      <c r="J70" s="24" t="s">
        <v>1542</v>
      </c>
      <c r="K70" s="25">
        <v>43654</v>
      </c>
      <c r="L70" s="25">
        <v>43662</v>
      </c>
      <c r="M70" s="25">
        <v>43690</v>
      </c>
    </row>
    <row r="71" spans="1:13" s="93" customFormat="1">
      <c r="A71" s="94">
        <f t="shared" si="1"/>
        <v>68</v>
      </c>
      <c r="B71" s="94" t="s">
        <v>96</v>
      </c>
      <c r="C71" s="94" t="str">
        <f>IFERROR(VLOOKUP($B71,オブジェクト一覧!$C$5:$I$102,2,FALSE),"")</f>
        <v>t_salesdetail</v>
      </c>
      <c r="D71" s="94" t="str">
        <f>IFERROR(VLOOKUP($B71,オブジェクト一覧!$C$5:$I$102,5,FALSE),"")</f>
        <v>public</v>
      </c>
      <c r="E71" s="94" t="str">
        <f>IFERROR(VLOOKUP($B71,オブジェクト一覧!$C$5:$I$102,6,FALSE),"")</f>
        <v>kids</v>
      </c>
      <c r="F71" s="94" t="str">
        <f>IFERROR(VLOOKUP($B71,オブジェクト一覧!$C$5:$I$102,7,FALSE),"")</f>
        <v>TABLE</v>
      </c>
      <c r="G71" s="94" t="s">
        <v>1556</v>
      </c>
      <c r="H71" s="94" t="s">
        <v>1552</v>
      </c>
      <c r="I71" s="94" t="s">
        <v>1557</v>
      </c>
      <c r="J71" s="24" t="s">
        <v>1558</v>
      </c>
      <c r="K71" s="25">
        <v>43654</v>
      </c>
      <c r="L71" s="25">
        <v>43662</v>
      </c>
      <c r="M71" s="25">
        <v>43690</v>
      </c>
    </row>
    <row r="72" spans="1:13" s="93" customFormat="1">
      <c r="A72" s="94">
        <f t="shared" si="1"/>
        <v>69</v>
      </c>
      <c r="B72" s="94" t="s">
        <v>1475</v>
      </c>
      <c r="C72" s="94" t="str">
        <f>IFERROR(VLOOKUP($B72,オブジェクト一覧!$C$5:$I$102,2,FALSE),"")</f>
        <v>t_stockdetail</v>
      </c>
      <c r="D72" s="94" t="str">
        <f>IFERROR(VLOOKUP($B72,オブジェクト一覧!$C$5:$I$102,5,FALSE),"")</f>
        <v>public</v>
      </c>
      <c r="E72" s="94" t="str">
        <f>IFERROR(VLOOKUP($B72,オブジェクト一覧!$C$5:$I$102,6,FALSE),"")</f>
        <v>kids</v>
      </c>
      <c r="F72" s="94" t="str">
        <f>IFERROR(VLOOKUP($B72,オブジェクト一覧!$C$5:$I$102,7,FALSE),"")</f>
        <v>TABLE</v>
      </c>
      <c r="G72" s="94" t="s">
        <v>1559</v>
      </c>
      <c r="H72" s="94" t="s">
        <v>1538</v>
      </c>
      <c r="I72" s="94" t="s">
        <v>1560</v>
      </c>
      <c r="J72" s="24" t="s">
        <v>1561</v>
      </c>
      <c r="K72" s="25">
        <v>43654</v>
      </c>
      <c r="L72" s="25">
        <v>43662</v>
      </c>
      <c r="M72" s="25">
        <v>43690</v>
      </c>
    </row>
    <row r="73" spans="1:13" s="93" customFormat="1">
      <c r="A73" s="94">
        <f t="shared" si="1"/>
        <v>70</v>
      </c>
      <c r="B73" s="94" t="s">
        <v>96</v>
      </c>
      <c r="C73" s="94" t="str">
        <f>IFERROR(VLOOKUP($B73,オブジェクト一覧!$C$5:$I$102,2,FALSE),"")</f>
        <v>t_salesdetail</v>
      </c>
      <c r="D73" s="94" t="str">
        <f>IFERROR(VLOOKUP($B73,オブジェクト一覧!$C$5:$I$102,5,FALSE),"")</f>
        <v>public</v>
      </c>
      <c r="E73" s="94" t="str">
        <f>IFERROR(VLOOKUP($B73,オブジェクト一覧!$C$5:$I$102,6,FALSE),"")</f>
        <v>kids</v>
      </c>
      <c r="F73" s="94" t="str">
        <f>IFERROR(VLOOKUP($B73,オブジェクト一覧!$C$5:$I$102,7,FALSE),"")</f>
        <v>TABLE</v>
      </c>
      <c r="G73" s="94" t="s">
        <v>1562</v>
      </c>
      <c r="H73" s="94" t="s">
        <v>1538</v>
      </c>
      <c r="I73" s="94" t="s">
        <v>1560</v>
      </c>
      <c r="J73" s="24" t="s">
        <v>1563</v>
      </c>
      <c r="K73" s="25">
        <v>43654</v>
      </c>
      <c r="L73" s="25">
        <v>43662</v>
      </c>
      <c r="M73" s="25">
        <v>43690</v>
      </c>
    </row>
    <row r="74" spans="1:13" s="93" customFormat="1" ht="26.4">
      <c r="A74" s="94">
        <f t="shared" si="1"/>
        <v>71</v>
      </c>
      <c r="B74" s="39" t="s">
        <v>1286</v>
      </c>
      <c r="C74" s="94" t="str">
        <f>IFERROR(VLOOKUP($B74,オブジェクト一覧!$C$5:$I$102,2,FALSE),"")</f>
        <v/>
      </c>
      <c r="D74" s="94" t="str">
        <f>IFERROR(VLOOKUP($B74,オブジェクト一覧!$C$5:$I$102,5,FALSE),"")</f>
        <v/>
      </c>
      <c r="E74" s="94" t="str">
        <f>IFERROR(VLOOKUP($B74,オブジェクト一覧!$C$5:$I$102,6,FALSE),"")</f>
        <v/>
      </c>
      <c r="F74" s="94" t="str">
        <f>IFERROR(VLOOKUP($B74,オブジェクト一覧!$C$5:$I$102,7,FALSE),"")</f>
        <v/>
      </c>
      <c r="G74" s="94"/>
      <c r="H74" s="94" t="s">
        <v>1538</v>
      </c>
      <c r="I74" s="94" t="s">
        <v>1436</v>
      </c>
      <c r="J74" s="24" t="s">
        <v>1564</v>
      </c>
      <c r="K74" s="25">
        <v>43654</v>
      </c>
      <c r="L74" s="25">
        <v>43654</v>
      </c>
      <c r="M74" s="25">
        <v>43690</v>
      </c>
    </row>
    <row r="75" spans="1:13" s="93" customFormat="1">
      <c r="A75" s="94">
        <f t="shared" si="1"/>
        <v>72</v>
      </c>
      <c r="B75" s="94" t="s">
        <v>1565</v>
      </c>
      <c r="C75" s="94" t="str">
        <f>IFERROR(VLOOKUP($B75,オブジェクト一覧!$C$5:$I$102,2,FALSE),"")</f>
        <v>m_slip</v>
      </c>
      <c r="D75" s="94" t="str">
        <f>IFERROR(VLOOKUP($B75,オブジェクト一覧!$C$5:$I$102,5,FALSE),"")</f>
        <v>public</v>
      </c>
      <c r="E75" s="94" t="str">
        <f>IFERROR(VLOOKUP($B75,オブジェクト一覧!$C$5:$I$102,6,FALSE),"")</f>
        <v>kids</v>
      </c>
      <c r="F75" s="94" t="str">
        <f>IFERROR(VLOOKUP($B75,オブジェクト一覧!$C$5:$I$102,7,FALSE),"")</f>
        <v>TABLE</v>
      </c>
      <c r="G75" s="94" t="s">
        <v>1566</v>
      </c>
      <c r="H75" s="94" t="s">
        <v>1538</v>
      </c>
      <c r="I75" s="94" t="s">
        <v>1560</v>
      </c>
      <c r="J75" s="24" t="s">
        <v>1567</v>
      </c>
      <c r="K75" s="25">
        <v>43654</v>
      </c>
      <c r="L75" s="25">
        <v>43662</v>
      </c>
      <c r="M75" s="25">
        <v>43690</v>
      </c>
    </row>
    <row r="76" spans="1:13" s="93" customFormat="1" ht="26.4">
      <c r="A76" s="94">
        <f t="shared" ref="A76:A184" si="2">ROW()-3</f>
        <v>73</v>
      </c>
      <c r="B76" s="94" t="s">
        <v>1565</v>
      </c>
      <c r="C76" s="94" t="str">
        <f>IFERROR(VLOOKUP($B76,オブジェクト一覧!$C$5:$I$102,2,FALSE),"")</f>
        <v>m_slip</v>
      </c>
      <c r="D76" s="94" t="str">
        <f>IFERROR(VLOOKUP($B76,オブジェクト一覧!$C$5:$I$102,5,FALSE),"")</f>
        <v>public</v>
      </c>
      <c r="E76" s="94" t="str">
        <f>IFERROR(VLOOKUP($B76,オブジェクト一覧!$C$5:$I$102,6,FALSE),"")</f>
        <v>kids</v>
      </c>
      <c r="F76" s="94" t="str">
        <f>IFERROR(VLOOKUP($B76,オブジェクト一覧!$C$5:$I$102,7,FALSE),"")</f>
        <v>TABLE</v>
      </c>
      <c r="G76" s="94" t="s">
        <v>1568</v>
      </c>
      <c r="H76" s="94" t="s">
        <v>1538</v>
      </c>
      <c r="I76" s="94" t="s">
        <v>1560</v>
      </c>
      <c r="J76" s="24" t="s">
        <v>1569</v>
      </c>
      <c r="K76" s="25">
        <v>43654</v>
      </c>
      <c r="L76" s="25">
        <v>43662</v>
      </c>
      <c r="M76" s="25">
        <v>43690</v>
      </c>
    </row>
    <row r="77" spans="1:13" s="93" customFormat="1">
      <c r="A77" s="94">
        <f t="shared" si="2"/>
        <v>74</v>
      </c>
      <c r="B77" s="94" t="s">
        <v>1570</v>
      </c>
      <c r="C77" s="94" t="str">
        <f>IFERROR(VLOOKUP($B77,オブジェクト一覧!$C$5:$I$102,2,FALSE),"")</f>
        <v>m_invoice</v>
      </c>
      <c r="D77" s="94" t="str">
        <f>IFERROR(VLOOKUP($B77,オブジェクト一覧!$C$5:$I$102,5,FALSE),"")</f>
        <v>public</v>
      </c>
      <c r="E77" s="94" t="str">
        <f>IFERROR(VLOOKUP($B77,オブジェクト一覧!$C$5:$I$102,6,FALSE),"")</f>
        <v>kids</v>
      </c>
      <c r="F77" s="94" t="str">
        <f>IFERROR(VLOOKUP($B77,オブジェクト一覧!$C$5:$I$102,7,FALSE),"")</f>
        <v>TABLE</v>
      </c>
      <c r="G77" s="94" t="s">
        <v>1571</v>
      </c>
      <c r="H77" s="94" t="s">
        <v>1538</v>
      </c>
      <c r="I77" s="94" t="s">
        <v>1560</v>
      </c>
      <c r="J77" s="24" t="s">
        <v>1572</v>
      </c>
      <c r="K77" s="25">
        <v>43654</v>
      </c>
      <c r="L77" s="25">
        <v>43662</v>
      </c>
      <c r="M77" s="25">
        <v>43690</v>
      </c>
    </row>
    <row r="78" spans="1:13" s="93" customFormat="1">
      <c r="A78" s="94">
        <f t="shared" si="2"/>
        <v>75</v>
      </c>
      <c r="B78" s="94" t="s">
        <v>1573</v>
      </c>
      <c r="C78" s="94" t="str">
        <f>IFERROR(VLOOKUP($B78,オブジェクト一覧!$C$5:$I$102,2,FALSE),"")</f>
        <v>m_purchaseorder</v>
      </c>
      <c r="D78" s="94" t="str">
        <f>IFERROR(VLOOKUP($B78,オブジェクト一覧!$C$5:$I$102,5,FALSE),"")</f>
        <v>public</v>
      </c>
      <c r="E78" s="94" t="str">
        <f>IFERROR(VLOOKUP($B78,オブジェクト一覧!$C$5:$I$102,6,FALSE),"")</f>
        <v>kids</v>
      </c>
      <c r="F78" s="94" t="str">
        <f>IFERROR(VLOOKUP($B78,オブジェクト一覧!$C$5:$I$102,7,FALSE),"")</f>
        <v>TABLE</v>
      </c>
      <c r="G78" s="94" t="s">
        <v>1574</v>
      </c>
      <c r="H78" s="94" t="s">
        <v>1538</v>
      </c>
      <c r="I78" s="94" t="s">
        <v>1560</v>
      </c>
      <c r="J78" s="24" t="s">
        <v>1575</v>
      </c>
      <c r="K78" s="25">
        <v>43654</v>
      </c>
      <c r="L78" s="25">
        <v>43662</v>
      </c>
      <c r="M78" s="25">
        <v>43690</v>
      </c>
    </row>
    <row r="79" spans="1:13" s="93" customFormat="1">
      <c r="A79" s="94">
        <f t="shared" si="2"/>
        <v>76</v>
      </c>
      <c r="B79" s="94" t="s">
        <v>1543</v>
      </c>
      <c r="C79" s="94" t="str">
        <f>IFERROR(VLOOKUP($B79,オブジェクト一覧!$C$5:$I$102,2,FALSE),"")</f>
        <v>m_product</v>
      </c>
      <c r="D79" s="94" t="str">
        <f>IFERROR(VLOOKUP($B79,オブジェクト一覧!$C$5:$I$102,5,FALSE),"")</f>
        <v>public</v>
      </c>
      <c r="E79" s="94" t="str">
        <f>IFERROR(VLOOKUP($B79,オブジェクト一覧!$C$5:$I$102,6,FALSE),"")</f>
        <v>kids</v>
      </c>
      <c r="F79" s="94" t="str">
        <f>IFERROR(VLOOKUP($B79,オブジェクト一覧!$C$5:$I$102,7,FALSE),"")</f>
        <v>TABLE</v>
      </c>
      <c r="G79" s="94" t="s">
        <v>1576</v>
      </c>
      <c r="H79" s="94" t="s">
        <v>1538</v>
      </c>
      <c r="I79" s="94" t="s">
        <v>1560</v>
      </c>
      <c r="J79" s="24" t="s">
        <v>1548</v>
      </c>
      <c r="K79" s="25">
        <v>43654</v>
      </c>
      <c r="L79" s="25">
        <v>43662</v>
      </c>
      <c r="M79" s="25">
        <v>43690</v>
      </c>
    </row>
    <row r="80" spans="1:13" s="93" customFormat="1">
      <c r="A80" s="94">
        <f t="shared" si="2"/>
        <v>77</v>
      </c>
      <c r="B80" s="95" t="s">
        <v>96</v>
      </c>
      <c r="C80" s="94" t="str">
        <f>IFERROR(VLOOKUP($B80,オブジェクト一覧!$C$5:$I$102,2,FALSE),"")</f>
        <v>t_salesdetail</v>
      </c>
      <c r="D80" s="94" t="str">
        <f>IFERROR(VLOOKUP($B80,オブジェクト一覧!$C$5:$I$102,5,FALSE),"")</f>
        <v>public</v>
      </c>
      <c r="E80" s="94" t="str">
        <f>IFERROR(VLOOKUP($B80,オブジェクト一覧!$C$5:$I$102,6,FALSE),"")</f>
        <v>kids</v>
      </c>
      <c r="F80" s="94" t="str">
        <f>IFERROR(VLOOKUP($B80,オブジェクト一覧!$C$5:$I$102,7,FALSE),"")</f>
        <v>TABLE</v>
      </c>
      <c r="G80" s="94" t="s">
        <v>1578</v>
      </c>
      <c r="H80" s="95" t="s">
        <v>1377</v>
      </c>
      <c r="I80" s="94" t="s">
        <v>1579</v>
      </c>
      <c r="J80" s="24" t="s">
        <v>1581</v>
      </c>
      <c r="K80" s="25">
        <v>43654</v>
      </c>
      <c r="L80" s="25">
        <v>43662</v>
      </c>
      <c r="M80" s="25">
        <v>43690</v>
      </c>
    </row>
    <row r="81" spans="1:13" s="93" customFormat="1">
      <c r="A81" s="94">
        <f t="shared" si="2"/>
        <v>78</v>
      </c>
      <c r="B81" s="95" t="s">
        <v>1475</v>
      </c>
      <c r="C81" s="94" t="str">
        <f>IFERROR(VLOOKUP($B81,オブジェクト一覧!$C$5:$I$102,2,FALSE),"")</f>
        <v>t_stockdetail</v>
      </c>
      <c r="D81" s="94" t="str">
        <f>IFERROR(VLOOKUP($B81,オブジェクト一覧!$C$5:$I$102,5,FALSE),"")</f>
        <v>public</v>
      </c>
      <c r="E81" s="94" t="str">
        <f>IFERROR(VLOOKUP($B81,オブジェクト一覧!$C$5:$I$102,6,FALSE),"")</f>
        <v>kids</v>
      </c>
      <c r="F81" s="94" t="str">
        <f>IFERROR(VLOOKUP($B81,オブジェクト一覧!$C$5:$I$102,7,FALSE),"")</f>
        <v>TABLE</v>
      </c>
      <c r="G81" s="95" t="s">
        <v>1578</v>
      </c>
      <c r="H81" s="95" t="s">
        <v>1377</v>
      </c>
      <c r="I81" s="95" t="s">
        <v>1580</v>
      </c>
      <c r="J81" s="24" t="s">
        <v>1581</v>
      </c>
      <c r="K81" s="25">
        <v>43654</v>
      </c>
      <c r="L81" s="25">
        <v>43662</v>
      </c>
      <c r="M81" s="25">
        <v>43690</v>
      </c>
    </row>
    <row r="82" spans="1:13" s="97" customFormat="1">
      <c r="A82" s="98">
        <f t="shared" si="2"/>
        <v>79</v>
      </c>
      <c r="B82" s="98" t="s">
        <v>1585</v>
      </c>
      <c r="C82" s="98" t="str">
        <f>IFERROR(VLOOKUP($B82,オブジェクト一覧!$C$5:$I$102,2,FALSE),"")</f>
        <v>t_receivedetail</v>
      </c>
      <c r="D82" s="98" t="str">
        <f>IFERROR(VLOOKUP($B82,オブジェクト一覧!$C$5:$I$102,5,FALSE),"")</f>
        <v>public</v>
      </c>
      <c r="E82" s="98" t="str">
        <f>IFERROR(VLOOKUP($B82,オブジェクト一覧!$C$5:$I$102,6,FALSE),"")</f>
        <v>kids</v>
      </c>
      <c r="F82" s="98" t="str">
        <f>IFERROR(VLOOKUP($B82,オブジェクト一覧!$C$5:$I$102,7,FALSE),"")</f>
        <v>TABLE</v>
      </c>
      <c r="G82" s="98" t="s">
        <v>1495</v>
      </c>
      <c r="H82" s="98" t="s">
        <v>1366</v>
      </c>
      <c r="I82" s="98" t="s">
        <v>1441</v>
      </c>
      <c r="J82" s="24" t="s">
        <v>1498</v>
      </c>
      <c r="K82" s="25">
        <v>43661</v>
      </c>
      <c r="L82" s="25">
        <v>43662</v>
      </c>
      <c r="M82" s="25">
        <v>43690</v>
      </c>
    </row>
    <row r="83" spans="1:13" s="100" customFormat="1">
      <c r="A83" s="101">
        <f t="shared" si="2"/>
        <v>80</v>
      </c>
      <c r="B83" s="101" t="s">
        <v>1261</v>
      </c>
      <c r="C83" s="101" t="str">
        <f>IFERROR(VLOOKUP($B83,オブジェクト一覧!$C$5:$I$102,2,FALSE),"")</f>
        <v>m_invoice</v>
      </c>
      <c r="D83" s="101" t="str">
        <f>IFERROR(VLOOKUP($B83,オブジェクト一覧!$C$5:$I$102,5,FALSE),"")</f>
        <v>public</v>
      </c>
      <c r="E83" s="101" t="str">
        <f>IFERROR(VLOOKUP($B83,オブジェクト一覧!$C$5:$I$102,6,FALSE),"")</f>
        <v>kids</v>
      </c>
      <c r="F83" s="101" t="str">
        <f>IFERROR(VLOOKUP($B83,オブジェクト一覧!$C$5:$I$102,7,FALSE),"")</f>
        <v>TABLE</v>
      </c>
      <c r="G83" s="101" t="s">
        <v>1588</v>
      </c>
      <c r="H83" s="101" t="s">
        <v>1377</v>
      </c>
      <c r="I83" s="101" t="s">
        <v>1589</v>
      </c>
      <c r="J83" s="24" t="s">
        <v>1581</v>
      </c>
      <c r="K83" s="25">
        <v>43662</v>
      </c>
      <c r="L83" s="25">
        <v>43662</v>
      </c>
      <c r="M83" s="25">
        <v>43690</v>
      </c>
    </row>
    <row r="84" spans="1:13" s="100" customFormat="1">
      <c r="A84" s="101">
        <f t="shared" si="2"/>
        <v>81</v>
      </c>
      <c r="B84" s="101" t="s">
        <v>1591</v>
      </c>
      <c r="C84" s="101" t="str">
        <f>IFERROR(VLOOKUP($B84,オブジェクト一覧!$C$5:$I$102,2,FALSE),"")</f>
        <v>m_product</v>
      </c>
      <c r="D84" s="101" t="str">
        <f>IFERROR(VLOOKUP($B84,オブジェクト一覧!$C$5:$I$102,5,FALSE),"")</f>
        <v>public</v>
      </c>
      <c r="E84" s="101" t="str">
        <f>IFERROR(VLOOKUP($B84,オブジェクト一覧!$C$5:$I$102,6,FALSE),"")</f>
        <v>kids</v>
      </c>
      <c r="F84" s="101" t="str">
        <f>IFERROR(VLOOKUP($B84,オブジェクト一覧!$C$5:$I$102,7,FALSE),"")</f>
        <v>TABLE</v>
      </c>
      <c r="G84" s="101" t="s">
        <v>1592</v>
      </c>
      <c r="H84" s="101" t="s">
        <v>1593</v>
      </c>
      <c r="I84" s="101" t="s">
        <v>1594</v>
      </c>
      <c r="J84" s="24" t="s">
        <v>1595</v>
      </c>
      <c r="K84" s="25">
        <v>43665</v>
      </c>
      <c r="L84" s="25">
        <v>43675</v>
      </c>
      <c r="M84" s="25">
        <v>43690</v>
      </c>
    </row>
    <row r="85" spans="1:13" s="100" customFormat="1">
      <c r="A85" s="101">
        <f t="shared" si="2"/>
        <v>82</v>
      </c>
      <c r="B85" s="101" t="s">
        <v>1598</v>
      </c>
      <c r="C85" s="101" t="str">
        <f>IFERROR(VLOOKUP($B85,オブジェクト一覧!$C$5:$I$102,2,FALSE),"")</f>
        <v>m_receive</v>
      </c>
      <c r="D85" s="101" t="str">
        <f>IFERROR(VLOOKUP($B85,オブジェクト一覧!$C$5:$I$102,5,FALSE),"")</f>
        <v>public</v>
      </c>
      <c r="E85" s="101" t="str">
        <f>IFERROR(VLOOKUP($B85,オブジェクト一覧!$C$5:$I$102,6,FALSE),"")</f>
        <v>kids</v>
      </c>
      <c r="F85" s="101" t="str">
        <f>IFERROR(VLOOKUP($B85,オブジェクト一覧!$C$5:$I$102,7,FALSE),"")</f>
        <v>TABLE</v>
      </c>
      <c r="G85" s="101" t="s">
        <v>1602</v>
      </c>
      <c r="H85" s="101" t="s">
        <v>1599</v>
      </c>
      <c r="I85" s="101" t="s">
        <v>1600</v>
      </c>
      <c r="J85" s="24" t="s">
        <v>1601</v>
      </c>
      <c r="K85" s="25">
        <v>43665</v>
      </c>
      <c r="L85" s="25">
        <v>43675</v>
      </c>
      <c r="M85" s="25">
        <v>43690</v>
      </c>
    </row>
    <row r="86" spans="1:13" s="100" customFormat="1">
      <c r="A86" s="101">
        <f t="shared" si="2"/>
        <v>83</v>
      </c>
      <c r="B86" s="103" t="s">
        <v>1598</v>
      </c>
      <c r="C86" s="101" t="str">
        <f>IFERROR(VLOOKUP($B86,オブジェクト一覧!$C$5:$I$102,2,FALSE),"")</f>
        <v>m_receive</v>
      </c>
      <c r="D86" s="101" t="str">
        <f>IFERROR(VLOOKUP($B86,オブジェクト一覧!$C$5:$I$102,5,FALSE),"")</f>
        <v>public</v>
      </c>
      <c r="E86" s="101" t="str">
        <f>IFERROR(VLOOKUP($B86,オブジェクト一覧!$C$5:$I$102,6,FALSE),"")</f>
        <v>kids</v>
      </c>
      <c r="F86" s="101" t="str">
        <f>IFERROR(VLOOKUP($B86,オブジェクト一覧!$C$5:$I$102,7,FALSE),"")</f>
        <v>TABLE</v>
      </c>
      <c r="G86" s="101" t="s">
        <v>1603</v>
      </c>
      <c r="H86" s="103" t="s">
        <v>1599</v>
      </c>
      <c r="I86" s="103" t="s">
        <v>1600</v>
      </c>
      <c r="J86" s="24" t="s">
        <v>1601</v>
      </c>
      <c r="K86" s="25">
        <v>43665</v>
      </c>
      <c r="L86" s="25">
        <v>43675</v>
      </c>
      <c r="M86" s="25">
        <v>43690</v>
      </c>
    </row>
    <row r="87" spans="1:13" s="100" customFormat="1">
      <c r="A87" s="101">
        <f t="shared" si="2"/>
        <v>84</v>
      </c>
      <c r="B87" s="101" t="s">
        <v>1604</v>
      </c>
      <c r="C87" s="101" t="str">
        <f>IFERROR(VLOOKUP($B87,オブジェクト一覧!$C$5:$I$102,2,FALSE),"")</f>
        <v>m_order</v>
      </c>
      <c r="D87" s="101" t="str">
        <f>IFERROR(VLOOKUP($B87,オブジェクト一覧!$C$5:$I$102,5,FALSE),"")</f>
        <v>public</v>
      </c>
      <c r="E87" s="101" t="str">
        <f>IFERROR(VLOOKUP($B87,オブジェクト一覧!$C$5:$I$102,6,FALSE),"")</f>
        <v>kids</v>
      </c>
      <c r="F87" s="101" t="str">
        <f>IFERROR(VLOOKUP($B87,オブジェクト一覧!$C$5:$I$102,7,FALSE),"")</f>
        <v>TABLE</v>
      </c>
      <c r="G87" s="103" t="s">
        <v>1602</v>
      </c>
      <c r="H87" s="103" t="s">
        <v>1599</v>
      </c>
      <c r="I87" s="103" t="s">
        <v>1600</v>
      </c>
      <c r="J87" s="24" t="s">
        <v>1601</v>
      </c>
      <c r="K87" s="25">
        <v>43665</v>
      </c>
      <c r="L87" s="25">
        <v>43675</v>
      </c>
      <c r="M87" s="25">
        <v>43690</v>
      </c>
    </row>
    <row r="88" spans="1:13" s="100" customFormat="1">
      <c r="A88" s="101">
        <f t="shared" si="2"/>
        <v>85</v>
      </c>
      <c r="B88" s="103" t="s">
        <v>1604</v>
      </c>
      <c r="C88" s="101" t="str">
        <f>IFERROR(VLOOKUP($B88,オブジェクト一覧!$C$5:$I$102,2,FALSE),"")</f>
        <v>m_order</v>
      </c>
      <c r="D88" s="101" t="str">
        <f>IFERROR(VLOOKUP($B88,オブジェクト一覧!$C$5:$I$102,5,FALSE),"")</f>
        <v>public</v>
      </c>
      <c r="E88" s="101" t="str">
        <f>IFERROR(VLOOKUP($B88,オブジェクト一覧!$C$5:$I$102,6,FALSE),"")</f>
        <v>kids</v>
      </c>
      <c r="F88" s="101" t="str">
        <f>IFERROR(VLOOKUP($B88,オブジェクト一覧!$C$5:$I$102,7,FALSE),"")</f>
        <v>TABLE</v>
      </c>
      <c r="G88" s="103" t="s">
        <v>1603</v>
      </c>
      <c r="H88" s="103" t="s">
        <v>1599</v>
      </c>
      <c r="I88" s="103" t="s">
        <v>1600</v>
      </c>
      <c r="J88" s="24" t="s">
        <v>1601</v>
      </c>
      <c r="K88" s="25">
        <v>43665</v>
      </c>
      <c r="L88" s="25">
        <v>43675</v>
      </c>
      <c r="M88" s="25">
        <v>43690</v>
      </c>
    </row>
    <row r="89" spans="1:13" s="100" customFormat="1" ht="26.4">
      <c r="A89" s="101">
        <f t="shared" si="2"/>
        <v>86</v>
      </c>
      <c r="B89" s="101" t="s">
        <v>1360</v>
      </c>
      <c r="C89" s="101" t="str">
        <f>IFERROR(VLOOKUP($B89,オブジェクト一覧!$C$5:$I$102,2,FALSE),"")</f>
        <v/>
      </c>
      <c r="D89" s="101" t="str">
        <f>IFERROR(VLOOKUP($B89,オブジェクト一覧!$C$5:$I$102,5,FALSE),"")</f>
        <v/>
      </c>
      <c r="E89" s="101" t="str">
        <f>IFERROR(VLOOKUP($B89,オブジェクト一覧!$C$5:$I$102,6,FALSE),"")</f>
        <v/>
      </c>
      <c r="F89" s="101" t="str">
        <f>IFERROR(VLOOKUP($B89,オブジェクト一覧!$C$5:$I$102,7,FALSE),"")</f>
        <v/>
      </c>
      <c r="G89" s="101" t="s">
        <v>1605</v>
      </c>
      <c r="H89" s="101" t="s">
        <v>1606</v>
      </c>
      <c r="I89" s="101" t="s">
        <v>1436</v>
      </c>
      <c r="J89" s="24" t="s">
        <v>1607</v>
      </c>
      <c r="K89" s="25">
        <v>43675</v>
      </c>
      <c r="L89" s="25">
        <v>43675</v>
      </c>
      <c r="M89" s="25">
        <v>43690</v>
      </c>
    </row>
    <row r="90" spans="1:13" s="100" customFormat="1">
      <c r="A90" s="101">
        <f t="shared" si="2"/>
        <v>87</v>
      </c>
      <c r="B90" s="101" t="s">
        <v>1608</v>
      </c>
      <c r="C90" s="101" t="str">
        <f>IFERROR(VLOOKUP($B90,オブジェクト一覧!$C$5:$I$102,2,FALSE),"")</f>
        <v>m_stockitem</v>
      </c>
      <c r="D90" s="101" t="str">
        <f>IFERROR(VLOOKUP($B90,オブジェクト一覧!$C$5:$I$102,5,FALSE),"")</f>
        <v>public</v>
      </c>
      <c r="E90" s="101" t="str">
        <f>IFERROR(VLOOKUP($B90,オブジェクト一覧!$C$5:$I$102,6,FALSE),"")</f>
        <v>kids</v>
      </c>
      <c r="F90" s="101" t="str">
        <f>IFERROR(VLOOKUP($B90,オブジェクト一覧!$C$5:$I$102,7,FALSE),"")</f>
        <v>TABLE</v>
      </c>
      <c r="G90" s="101" t="s">
        <v>1609</v>
      </c>
      <c r="H90" s="101" t="s">
        <v>1610</v>
      </c>
      <c r="I90" s="101" t="s">
        <v>1611</v>
      </c>
      <c r="J90" s="24" t="s">
        <v>1612</v>
      </c>
      <c r="K90" s="25">
        <v>43675</v>
      </c>
      <c r="L90" s="25">
        <v>43675</v>
      </c>
      <c r="M90" s="25">
        <v>43690</v>
      </c>
    </row>
    <row r="91" spans="1:13" s="100" customFormat="1">
      <c r="A91" s="101">
        <f t="shared" si="2"/>
        <v>88</v>
      </c>
      <c r="B91" s="101" t="s">
        <v>1613</v>
      </c>
      <c r="C91" s="101" t="str">
        <f>IFERROR(VLOOKUP($B91,オブジェクト一覧!$C$5:$I$102,2,FALSE),"")</f>
        <v>m_salesclassdivisonlink</v>
      </c>
      <c r="D91" s="101" t="str">
        <f>IFERROR(VLOOKUP($B91,オブジェクト一覧!$C$5:$I$102,5,FALSE),"")</f>
        <v>public</v>
      </c>
      <c r="E91" s="101" t="str">
        <f>IFERROR(VLOOKUP($B91,オブジェクト一覧!$C$5:$I$102,6,FALSE),"")</f>
        <v>kids</v>
      </c>
      <c r="F91" s="101" t="str">
        <f>IFERROR(VLOOKUP($B91,オブジェクト一覧!$C$5:$I$102,7,FALSE),"")</f>
        <v>TABLE</v>
      </c>
      <c r="G91" s="106" t="s">
        <v>1609</v>
      </c>
      <c r="H91" s="106" t="s">
        <v>1610</v>
      </c>
      <c r="I91" s="106" t="s">
        <v>1611</v>
      </c>
      <c r="J91" s="24" t="s">
        <v>1612</v>
      </c>
      <c r="K91" s="25">
        <v>43675</v>
      </c>
      <c r="L91" s="25">
        <v>43675</v>
      </c>
      <c r="M91" s="25">
        <v>43690</v>
      </c>
    </row>
    <row r="92" spans="1:13" s="100" customFormat="1">
      <c r="A92" s="101">
        <f t="shared" si="2"/>
        <v>89</v>
      </c>
      <c r="B92" s="109" t="s">
        <v>1480</v>
      </c>
      <c r="C92" s="101" t="str">
        <f>IFERROR(VLOOKUP($B92,オブジェクト一覧!$C$5:$I$102,2,FALSE),"")</f>
        <v>m_estimate</v>
      </c>
      <c r="D92" s="101" t="str">
        <f>IFERROR(VLOOKUP($B92,オブジェクト一覧!$C$5:$I$102,5,FALSE),"")</f>
        <v>public</v>
      </c>
      <c r="E92" s="101" t="str">
        <f>IFERROR(VLOOKUP($B92,オブジェクト一覧!$C$5:$I$102,6,FALSE),"")</f>
        <v>kids</v>
      </c>
      <c r="F92" s="101" t="str">
        <f>IFERROR(VLOOKUP($B92,オブジェクト一覧!$C$5:$I$102,7,FALSE),"")</f>
        <v>TABLE</v>
      </c>
      <c r="G92" s="101" t="s">
        <v>1577</v>
      </c>
      <c r="H92" s="101" t="s">
        <v>1614</v>
      </c>
      <c r="I92" s="109" t="s">
        <v>1441</v>
      </c>
      <c r="J92" s="24" t="s">
        <v>1595</v>
      </c>
      <c r="K92" s="25">
        <v>43676</v>
      </c>
      <c r="L92" s="25">
        <v>43676</v>
      </c>
      <c r="M92" s="25">
        <v>43690</v>
      </c>
    </row>
    <row r="93" spans="1:13" s="100" customFormat="1">
      <c r="A93" s="101">
        <f t="shared" si="2"/>
        <v>90</v>
      </c>
      <c r="B93" s="111" t="s">
        <v>1480</v>
      </c>
      <c r="C93" s="109" t="str">
        <f>IFERROR(VLOOKUP($B93,オブジェクト一覧!$C$5:$I$102,2,FALSE),"")</f>
        <v>m_estimate</v>
      </c>
      <c r="D93" s="109" t="str">
        <f>IFERROR(VLOOKUP($B93,オブジェクト一覧!$C$5:$I$102,5,FALSE),"")</f>
        <v>public</v>
      </c>
      <c r="E93" s="109" t="str">
        <f>IFERROR(VLOOKUP($B93,オブジェクト一覧!$C$5:$I$102,6,FALSE),"")</f>
        <v>kids</v>
      </c>
      <c r="F93" s="109" t="str">
        <f>IFERROR(VLOOKUP($B93,オブジェクト一覧!$C$5:$I$102,7,FALSE),"")</f>
        <v>TABLE</v>
      </c>
      <c r="G93" s="109" t="s">
        <v>1577</v>
      </c>
      <c r="H93" s="109" t="s">
        <v>1435</v>
      </c>
      <c r="I93" s="109" t="s">
        <v>1453</v>
      </c>
      <c r="J93" s="24" t="s">
        <v>1615</v>
      </c>
      <c r="K93" s="25">
        <v>43676</v>
      </c>
      <c r="L93" s="25">
        <v>43676</v>
      </c>
      <c r="M93" s="25">
        <v>43690</v>
      </c>
    </row>
    <row r="94" spans="1:13" s="110" customFormat="1">
      <c r="A94" s="111">
        <f t="shared" si="2"/>
        <v>91</v>
      </c>
      <c r="B94" s="111" t="s">
        <v>1475</v>
      </c>
      <c r="C94" s="111" t="str">
        <f>IFERROR(VLOOKUP($B94,オブジェクト一覧!$C$5:$I$102,2,FALSE),"")</f>
        <v>t_stockdetail</v>
      </c>
      <c r="D94" s="111" t="str">
        <f>IFERROR(VLOOKUP($B94,オブジェクト一覧!$C$5:$I$102,5,FALSE),"")</f>
        <v>public</v>
      </c>
      <c r="E94" s="111" t="str">
        <f>IFERROR(VLOOKUP($B94,オブジェクト一覧!$C$5:$I$102,6,FALSE),"")</f>
        <v>kids</v>
      </c>
      <c r="F94" s="111" t="str">
        <f>IFERROR(VLOOKUP($B94,オブジェクト一覧!$C$5:$I$102,7,FALSE),"")</f>
        <v>TABLE</v>
      </c>
      <c r="G94" s="111" t="s">
        <v>1559</v>
      </c>
      <c r="H94" s="111" t="s">
        <v>1366</v>
      </c>
      <c r="I94" s="111" t="s">
        <v>1366</v>
      </c>
      <c r="J94" s="24" t="s">
        <v>1617</v>
      </c>
      <c r="K94" s="25">
        <v>43677</v>
      </c>
      <c r="L94" s="25">
        <v>43677</v>
      </c>
      <c r="M94" s="25">
        <v>43690</v>
      </c>
    </row>
    <row r="95" spans="1:13" s="110" customFormat="1">
      <c r="A95" s="111">
        <f t="shared" si="2"/>
        <v>92</v>
      </c>
      <c r="B95" s="111" t="s">
        <v>1474</v>
      </c>
      <c r="C95" s="111" t="str">
        <f>IFERROR(VLOOKUP($B95,オブジェクト一覧!$C$5:$I$102,2,FALSE),"")</f>
        <v>m_stock</v>
      </c>
      <c r="D95" s="111" t="str">
        <f>IFERROR(VLOOKUP($B95,オブジェクト一覧!$C$5:$I$102,5,FALSE),"")</f>
        <v>public</v>
      </c>
      <c r="E95" s="111" t="str">
        <f>IFERROR(VLOOKUP($B95,オブジェクト一覧!$C$5:$I$102,6,FALSE),"")</f>
        <v>kids</v>
      </c>
      <c r="F95" s="111" t="str">
        <f>IFERROR(VLOOKUP($B95,オブジェクト一覧!$C$5:$I$102,7,FALSE),"")</f>
        <v>TABLE</v>
      </c>
      <c r="G95" s="111" t="s">
        <v>1559</v>
      </c>
      <c r="H95" s="111" t="s">
        <v>1435</v>
      </c>
      <c r="I95" s="111" t="s">
        <v>1453</v>
      </c>
      <c r="J95" s="24" t="s">
        <v>1618</v>
      </c>
      <c r="K95" s="25">
        <v>43677</v>
      </c>
      <c r="L95" s="25">
        <v>43677</v>
      </c>
      <c r="M95" s="25">
        <v>43690</v>
      </c>
    </row>
    <row r="96" spans="1:13" s="100" customFormat="1">
      <c r="A96" s="101">
        <f t="shared" si="2"/>
        <v>93</v>
      </c>
      <c r="B96" s="101" t="s">
        <v>1621</v>
      </c>
      <c r="C96" s="101" t="str">
        <f>IFERROR(VLOOKUP($B96,オブジェクト一覧!$C$5:$I$102,2,FALSE),"")</f>
        <v>t_estimatedetail</v>
      </c>
      <c r="D96" s="101" t="str">
        <f>IFERROR(VLOOKUP($B96,オブジェクト一覧!$C$5:$I$102,5,FALSE),"")</f>
        <v>public</v>
      </c>
      <c r="E96" s="101" t="str">
        <f>IFERROR(VLOOKUP($B96,オブジェクト一覧!$C$5:$I$102,6,FALSE),"")</f>
        <v>kids</v>
      </c>
      <c r="F96" s="101" t="str">
        <f>IFERROR(VLOOKUP($B96,オブジェクト一覧!$C$5:$I$102,7,FALSE),"")</f>
        <v>TABLE</v>
      </c>
      <c r="G96" s="101" t="s">
        <v>1622</v>
      </c>
      <c r="H96" s="101" t="s">
        <v>1623</v>
      </c>
      <c r="I96" s="101" t="s">
        <v>1624</v>
      </c>
      <c r="J96" s="24" t="s">
        <v>1625</v>
      </c>
      <c r="K96" s="25">
        <v>43679</v>
      </c>
      <c r="L96" s="25">
        <v>43679</v>
      </c>
      <c r="M96" s="25">
        <v>43690</v>
      </c>
    </row>
    <row r="97" spans="1:13" s="100" customFormat="1">
      <c r="A97" s="101">
        <f t="shared" si="2"/>
        <v>94</v>
      </c>
      <c r="B97" s="101" t="s">
        <v>1181</v>
      </c>
      <c r="C97" s="101" t="str">
        <f>IFERROR(VLOOKUP($B97,オブジェクト一覧!$C$5:$I$102,2,FALSE),"")</f>
        <v>m_purchaseorder</v>
      </c>
      <c r="D97" s="101" t="str">
        <f>IFERROR(VLOOKUP($B97,オブジェクト一覧!$C$5:$I$102,5,FALSE),"")</f>
        <v>public</v>
      </c>
      <c r="E97" s="101" t="str">
        <f>IFERROR(VLOOKUP($B97,オブジェクト一覧!$C$5:$I$102,6,FALSE),"")</f>
        <v>kids</v>
      </c>
      <c r="F97" s="101" t="str">
        <f>IFERROR(VLOOKUP($B97,オブジェクト一覧!$C$5:$I$102,7,FALSE),"")</f>
        <v>TABLE</v>
      </c>
      <c r="G97" s="101" t="s">
        <v>1213</v>
      </c>
      <c r="H97" s="116" t="s">
        <v>1377</v>
      </c>
      <c r="I97" s="101" t="s">
        <v>1628</v>
      </c>
      <c r="J97" s="24" t="s">
        <v>1629</v>
      </c>
      <c r="K97" s="25">
        <v>43682</v>
      </c>
      <c r="L97" s="25">
        <v>43682</v>
      </c>
      <c r="M97" s="25">
        <v>43690</v>
      </c>
    </row>
    <row r="98" spans="1:13" s="100" customFormat="1">
      <c r="A98" s="101">
        <f t="shared" si="2"/>
        <v>95</v>
      </c>
      <c r="B98" s="116" t="s">
        <v>1181</v>
      </c>
      <c r="C98" s="101" t="str">
        <f>IFERROR(VLOOKUP($B98,オブジェクト一覧!$C$5:$I$102,2,FALSE),"")</f>
        <v>m_purchaseorder</v>
      </c>
      <c r="D98" s="101" t="str">
        <f>IFERROR(VLOOKUP($B98,オブジェクト一覧!$C$5:$I$102,5,FALSE),"")</f>
        <v>public</v>
      </c>
      <c r="E98" s="101" t="str">
        <f>IFERROR(VLOOKUP($B98,オブジェクト一覧!$C$5:$I$102,6,FALSE),"")</f>
        <v>kids</v>
      </c>
      <c r="F98" s="101" t="str">
        <f>IFERROR(VLOOKUP($B98,オブジェクト一覧!$C$5:$I$102,7,FALSE),"")</f>
        <v>TABLE</v>
      </c>
      <c r="G98" s="101" t="s">
        <v>1216</v>
      </c>
      <c r="H98" s="116" t="s">
        <v>1377</v>
      </c>
      <c r="I98" s="116" t="s">
        <v>1628</v>
      </c>
      <c r="J98" s="24" t="s">
        <v>1629</v>
      </c>
      <c r="K98" s="25">
        <v>43682</v>
      </c>
      <c r="L98" s="25">
        <v>43682</v>
      </c>
      <c r="M98" s="25">
        <v>43690</v>
      </c>
    </row>
    <row r="99" spans="1:13" s="100" customFormat="1">
      <c r="A99" s="101">
        <f t="shared" si="2"/>
        <v>96</v>
      </c>
      <c r="B99" s="116" t="s">
        <v>1181</v>
      </c>
      <c r="C99" s="101" t="str">
        <f>IFERROR(VLOOKUP($B99,オブジェクト一覧!$C$5:$I$102,2,FALSE),"")</f>
        <v>m_purchaseorder</v>
      </c>
      <c r="D99" s="101" t="str">
        <f>IFERROR(VLOOKUP($B99,オブジェクト一覧!$C$5:$I$102,5,FALSE),"")</f>
        <v>public</v>
      </c>
      <c r="E99" s="101" t="str">
        <f>IFERROR(VLOOKUP($B99,オブジェクト一覧!$C$5:$I$102,6,FALSE),"")</f>
        <v>kids</v>
      </c>
      <c r="F99" s="101" t="str">
        <f>IFERROR(VLOOKUP($B99,オブジェクト一覧!$C$5:$I$102,7,FALSE),"")</f>
        <v>TABLE</v>
      </c>
      <c r="G99" s="101" t="s">
        <v>1220</v>
      </c>
      <c r="H99" s="116" t="s">
        <v>1377</v>
      </c>
      <c r="I99" s="116" t="s">
        <v>1628</v>
      </c>
      <c r="J99" s="24" t="s">
        <v>1629</v>
      </c>
      <c r="K99" s="25">
        <v>43682</v>
      </c>
      <c r="L99" s="25">
        <v>43682</v>
      </c>
      <c r="M99" s="25">
        <v>43690</v>
      </c>
    </row>
    <row r="100" spans="1:13" s="100" customFormat="1">
      <c r="A100" s="101">
        <f t="shared" si="2"/>
        <v>97</v>
      </c>
      <c r="B100" s="116" t="s">
        <v>1181</v>
      </c>
      <c r="C100" s="101" t="str">
        <f>IFERROR(VLOOKUP($B100,オブジェクト一覧!$C$5:$I$102,2,FALSE),"")</f>
        <v>m_purchaseorder</v>
      </c>
      <c r="D100" s="101" t="str">
        <f>IFERROR(VLOOKUP($B100,オブジェクト一覧!$C$5:$I$102,5,FALSE),"")</f>
        <v>public</v>
      </c>
      <c r="E100" s="101" t="str">
        <f>IFERROR(VLOOKUP($B100,オブジェクト一覧!$C$5:$I$102,6,FALSE),"")</f>
        <v>kids</v>
      </c>
      <c r="F100" s="101" t="str">
        <f>IFERROR(VLOOKUP($B100,オブジェクト一覧!$C$5:$I$102,7,FALSE),"")</f>
        <v>TABLE</v>
      </c>
      <c r="G100" s="101" t="s">
        <v>1229</v>
      </c>
      <c r="H100" s="116" t="s">
        <v>1377</v>
      </c>
      <c r="I100" s="116" t="s">
        <v>1628</v>
      </c>
      <c r="J100" s="24" t="s">
        <v>1629</v>
      </c>
      <c r="K100" s="25">
        <v>43682</v>
      </c>
      <c r="L100" s="25">
        <v>43682</v>
      </c>
      <c r="M100" s="25">
        <v>43690</v>
      </c>
    </row>
    <row r="101" spans="1:13" s="115" customFormat="1">
      <c r="A101" s="116">
        <f t="shared" si="2"/>
        <v>98</v>
      </c>
      <c r="B101" s="116" t="s">
        <v>1181</v>
      </c>
      <c r="C101" s="116" t="str">
        <f>IFERROR(VLOOKUP($B101,オブジェクト一覧!$C$5:$I$102,2,FALSE),"")</f>
        <v>m_purchaseorder</v>
      </c>
      <c r="D101" s="116" t="str">
        <f>IFERROR(VLOOKUP($B101,オブジェクト一覧!$C$5:$I$102,5,FALSE),"")</f>
        <v>public</v>
      </c>
      <c r="E101" s="116" t="str">
        <f>IFERROR(VLOOKUP($B101,オブジェクト一覧!$C$5:$I$102,6,FALSE),"")</f>
        <v>kids</v>
      </c>
      <c r="F101" s="116" t="str">
        <f>IFERROR(VLOOKUP($B101,オブジェクト一覧!$C$5:$I$102,7,FALSE),"")</f>
        <v>TABLE</v>
      </c>
      <c r="G101" s="116" t="s">
        <v>1234</v>
      </c>
      <c r="H101" s="116" t="s">
        <v>1435</v>
      </c>
      <c r="I101" s="116" t="s">
        <v>1453</v>
      </c>
      <c r="J101" s="24" t="s">
        <v>1630</v>
      </c>
      <c r="K101" s="25">
        <v>43682</v>
      </c>
      <c r="L101" s="25">
        <v>43682</v>
      </c>
      <c r="M101" s="25">
        <v>43690</v>
      </c>
    </row>
    <row r="102" spans="1:13" s="115" customFormat="1">
      <c r="A102" s="116">
        <f t="shared" si="2"/>
        <v>99</v>
      </c>
      <c r="B102" s="116" t="s">
        <v>1181</v>
      </c>
      <c r="C102" s="116" t="str">
        <f>IFERROR(VLOOKUP($B102,オブジェクト一覧!$C$5:$I$102,2,FALSE),"")</f>
        <v>m_purchaseorder</v>
      </c>
      <c r="D102" s="116" t="str">
        <f>IFERROR(VLOOKUP($B102,オブジェクト一覧!$C$5:$I$102,5,FALSE),"")</f>
        <v>public</v>
      </c>
      <c r="E102" s="116" t="str">
        <f>IFERROR(VLOOKUP($B102,オブジェクト一覧!$C$5:$I$102,6,FALSE),"")</f>
        <v>kids</v>
      </c>
      <c r="F102" s="116" t="str">
        <f>IFERROR(VLOOKUP($B102,オブジェクト一覧!$C$5:$I$102,7,FALSE),"")</f>
        <v>TABLE</v>
      </c>
      <c r="G102" s="116" t="s">
        <v>1187</v>
      </c>
      <c r="H102" s="116" t="s">
        <v>1377</v>
      </c>
      <c r="I102" s="116" t="s">
        <v>1628</v>
      </c>
      <c r="J102" s="24" t="s">
        <v>1629</v>
      </c>
      <c r="K102" s="25">
        <v>43682</v>
      </c>
      <c r="L102" s="25">
        <v>43682</v>
      </c>
      <c r="M102" s="25">
        <v>43690</v>
      </c>
    </row>
    <row r="103" spans="1:13" s="115" customFormat="1">
      <c r="A103" s="116">
        <f t="shared" si="2"/>
        <v>100</v>
      </c>
      <c r="B103" s="116" t="s">
        <v>1462</v>
      </c>
      <c r="C103" s="116" t="str">
        <f>IFERROR(VLOOKUP($B103,オブジェクト一覧!$C$5:$I$102,2,FALSE),"")</f>
        <v>t_purchaseorderdetail</v>
      </c>
      <c r="D103" s="116" t="str">
        <f>IFERROR(VLOOKUP($B103,オブジェクト一覧!$C$5:$I$102,5,FALSE),"")</f>
        <v>public</v>
      </c>
      <c r="E103" s="116" t="str">
        <f>IFERROR(VLOOKUP($B103,オブジェクト一覧!$C$5:$I$102,6,FALSE),"")</f>
        <v>kids</v>
      </c>
      <c r="F103" s="116" t="str">
        <f>IFERROR(VLOOKUP($B103,オブジェクト一覧!$C$5:$I$102,7,FALSE),"")</f>
        <v>TABLE</v>
      </c>
      <c r="G103" s="116" t="s">
        <v>1642</v>
      </c>
      <c r="H103" s="118" t="s">
        <v>1366</v>
      </c>
      <c r="I103" s="118" t="s">
        <v>1441</v>
      </c>
      <c r="J103" s="24" t="s">
        <v>1643</v>
      </c>
      <c r="K103" s="25">
        <v>43682</v>
      </c>
      <c r="L103" s="25">
        <v>43682</v>
      </c>
      <c r="M103" s="25">
        <v>43690</v>
      </c>
    </row>
    <row r="104" spans="1:13" s="115" customFormat="1">
      <c r="A104" s="116">
        <f t="shared" si="2"/>
        <v>101</v>
      </c>
      <c r="B104" s="116" t="s">
        <v>1647</v>
      </c>
      <c r="C104" s="116" t="str">
        <f>IFERROR(VLOOKUP($B104,オブジェクト一覧!$C$5:$I$102,2,FALSE),"")</f>
        <v>m_order</v>
      </c>
      <c r="D104" s="116" t="str">
        <f>IFERROR(VLOOKUP($B104,オブジェクト一覧!$C$5:$I$102,5,FALSE),"")</f>
        <v>public</v>
      </c>
      <c r="E104" s="116" t="str">
        <f>IFERROR(VLOOKUP($B104,オブジェクト一覧!$C$5:$I$102,6,FALSE),"")</f>
        <v>kids</v>
      </c>
      <c r="F104" s="116" t="str">
        <f>IFERROR(VLOOKUP($B104,オブジェクト一覧!$C$5:$I$102,7,FALSE),"")</f>
        <v>TABLE</v>
      </c>
      <c r="G104" s="116" t="s">
        <v>1704</v>
      </c>
      <c r="H104" s="116" t="s">
        <v>1648</v>
      </c>
      <c r="I104" s="116" t="s">
        <v>1649</v>
      </c>
      <c r="J104" s="24" t="s">
        <v>1650</v>
      </c>
      <c r="K104" s="25">
        <v>43683</v>
      </c>
      <c r="L104" s="25">
        <v>43683</v>
      </c>
      <c r="M104" s="25">
        <v>43690</v>
      </c>
    </row>
    <row r="105" spans="1:13" s="115" customFormat="1">
      <c r="A105" s="116">
        <f t="shared" si="2"/>
        <v>102</v>
      </c>
      <c r="B105" s="116" t="s">
        <v>1652</v>
      </c>
      <c r="C105" s="116" t="str">
        <f>IFERROR(VLOOKUP($B105,オブジェクト一覧!$C$5:$I$102,2,FALSE),"")</f>
        <v>m_receive</v>
      </c>
      <c r="D105" s="116" t="str">
        <f>IFERROR(VLOOKUP($B105,オブジェクト一覧!$C$5:$I$102,5,FALSE),"")</f>
        <v>public</v>
      </c>
      <c r="E105" s="116" t="str">
        <f>IFERROR(VLOOKUP($B105,オブジェクト一覧!$C$5:$I$102,6,FALSE),"")</f>
        <v>kids</v>
      </c>
      <c r="F105" s="116" t="str">
        <f>IFERROR(VLOOKUP($B105,オブジェクト一覧!$C$5:$I$102,7,FALSE),"")</f>
        <v>TABLE</v>
      </c>
      <c r="G105" s="120" t="s">
        <v>1704</v>
      </c>
      <c r="H105" s="120" t="s">
        <v>1648</v>
      </c>
      <c r="I105" s="120" t="s">
        <v>1649</v>
      </c>
      <c r="J105" s="24" t="s">
        <v>1651</v>
      </c>
      <c r="K105" s="25">
        <v>43683</v>
      </c>
      <c r="L105" s="25">
        <v>43683</v>
      </c>
      <c r="M105" s="25">
        <v>43690</v>
      </c>
    </row>
    <row r="106" spans="1:13" s="115" customFormat="1" ht="26.4">
      <c r="A106" s="116">
        <f t="shared" si="2"/>
        <v>103</v>
      </c>
      <c r="B106" s="116" t="s">
        <v>1656</v>
      </c>
      <c r="C106" s="116" t="str">
        <f>IFERROR(VLOOKUP($B106,オブジェクト一覧!$C$5:$I$102,2,FALSE),"")</f>
        <v>m_closedday</v>
      </c>
      <c r="D106" s="116" t="str">
        <f>IFERROR(VLOOKUP($B106,オブジェクト一覧!$C$5:$I$102,5,FALSE),"")</f>
        <v>public</v>
      </c>
      <c r="E106" s="116" t="str">
        <f>IFERROR(VLOOKUP($B106,オブジェクト一覧!$C$5:$I$102,6,FALSE),"")</f>
        <v>kids</v>
      </c>
      <c r="F106" s="116" t="str">
        <f>IFERROR(VLOOKUP($B106,オブジェクト一覧!$C$5:$I$102,7,FALSE),"")</f>
        <v>TABLE</v>
      </c>
      <c r="G106" s="121" t="s">
        <v>1653</v>
      </c>
      <c r="H106" s="116" t="s">
        <v>1654</v>
      </c>
      <c r="I106" s="116" t="s">
        <v>1659</v>
      </c>
      <c r="J106" s="24" t="s">
        <v>1655</v>
      </c>
      <c r="K106" s="25">
        <v>43685</v>
      </c>
      <c r="L106" s="25">
        <v>43690</v>
      </c>
      <c r="M106" s="25">
        <v>43690</v>
      </c>
    </row>
    <row r="107" spans="1:13" s="115" customFormat="1">
      <c r="A107" s="116">
        <f t="shared" si="2"/>
        <v>104</v>
      </c>
      <c r="B107" s="116" t="s">
        <v>1658</v>
      </c>
      <c r="C107" s="116" t="str">
        <f>IFERROR(VLOOKUP($B107,オブジェクト一覧!$C$5:$I$102,2,FALSE),"")</f>
        <v>m_product</v>
      </c>
      <c r="D107" s="116" t="str">
        <f>IFERROR(VLOOKUP($B107,オブジェクト一覧!$C$5:$I$102,5,FALSE),"")</f>
        <v>public</v>
      </c>
      <c r="E107" s="116" t="str">
        <f>IFERROR(VLOOKUP($B107,オブジェクト一覧!$C$5:$I$102,6,FALSE),"")</f>
        <v>kids</v>
      </c>
      <c r="F107" s="116" t="str">
        <f>IFERROR(VLOOKUP($B107,オブジェクト一覧!$C$5:$I$102,7,FALSE),"")</f>
        <v>TABLE</v>
      </c>
      <c r="G107" s="116" t="s">
        <v>606</v>
      </c>
      <c r="H107" s="123" t="s">
        <v>1377</v>
      </c>
      <c r="I107" s="116" t="s">
        <v>1660</v>
      </c>
      <c r="J107" s="24" t="s">
        <v>1662</v>
      </c>
      <c r="K107" s="25">
        <v>43689</v>
      </c>
      <c r="L107" s="25">
        <v>43690</v>
      </c>
      <c r="M107" s="25">
        <v>43690</v>
      </c>
    </row>
    <row r="108" spans="1:13" s="115" customFormat="1">
      <c r="A108" s="116">
        <f t="shared" si="2"/>
        <v>105</v>
      </c>
      <c r="B108" s="123" t="s">
        <v>1658</v>
      </c>
      <c r="C108" s="116" t="str">
        <f>IFERROR(VLOOKUP($B108,オブジェクト一覧!$C$5:$I$102,2,FALSE),"")</f>
        <v>m_product</v>
      </c>
      <c r="D108" s="116" t="str">
        <f>IFERROR(VLOOKUP($B108,オブジェクト一覧!$C$5:$I$102,5,FALSE),"")</f>
        <v>public</v>
      </c>
      <c r="E108" s="116" t="str">
        <f>IFERROR(VLOOKUP($B108,オブジェクト一覧!$C$5:$I$102,6,FALSE),"")</f>
        <v>kids</v>
      </c>
      <c r="F108" s="116" t="str">
        <f>IFERROR(VLOOKUP($B108,オブジェクト一覧!$C$5:$I$102,7,FALSE),"")</f>
        <v>TABLE</v>
      </c>
      <c r="G108" s="116" t="s">
        <v>607</v>
      </c>
      <c r="H108" s="123" t="s">
        <v>1377</v>
      </c>
      <c r="I108" s="123" t="s">
        <v>1661</v>
      </c>
      <c r="J108" s="24" t="s">
        <v>1662</v>
      </c>
      <c r="K108" s="25">
        <v>43689</v>
      </c>
      <c r="L108" s="25">
        <v>43690</v>
      </c>
      <c r="M108" s="25">
        <v>43690</v>
      </c>
    </row>
    <row r="109" spans="1:13" s="115" customFormat="1">
      <c r="A109" s="116">
        <f t="shared" si="2"/>
        <v>106</v>
      </c>
      <c r="B109" s="116" t="s">
        <v>1668</v>
      </c>
      <c r="C109" s="116" t="str">
        <f>IFERROR(VLOOKUP($B109,オブジェクト一覧!$C$5:$I$102,2,FALSE),"")</f>
        <v>m_order</v>
      </c>
      <c r="D109" s="116" t="str">
        <f>IFERROR(VLOOKUP($B109,オブジェクト一覧!$C$5:$I$102,5,FALSE),"")</f>
        <v>public</v>
      </c>
      <c r="E109" s="116" t="str">
        <f>IFERROR(VLOOKUP($B109,オブジェクト一覧!$C$5:$I$102,6,FALSE),"")</f>
        <v>kids</v>
      </c>
      <c r="F109" s="116" t="str">
        <f>IFERROR(VLOOKUP($B109,オブジェクト一覧!$C$5:$I$102,7,FALSE),"")</f>
        <v>TABLE</v>
      </c>
      <c r="G109" s="116" t="s">
        <v>1665</v>
      </c>
      <c r="H109" s="123" t="s">
        <v>1377</v>
      </c>
      <c r="I109" s="116" t="s">
        <v>1666</v>
      </c>
      <c r="J109" s="24" t="s">
        <v>1667</v>
      </c>
      <c r="K109" s="25">
        <v>43689</v>
      </c>
      <c r="L109" s="25">
        <v>43690</v>
      </c>
      <c r="M109" s="25">
        <v>43690</v>
      </c>
    </row>
    <row r="110" spans="1:13" s="115" customFormat="1">
      <c r="A110" s="116">
        <f t="shared" si="2"/>
        <v>107</v>
      </c>
      <c r="B110" s="123" t="s">
        <v>1480</v>
      </c>
      <c r="C110" s="116" t="str">
        <f>IFERROR(VLOOKUP($B110,オブジェクト一覧!$C$5:$I$102,2,FALSE),"")</f>
        <v>m_estimate</v>
      </c>
      <c r="D110" s="116" t="str">
        <f>IFERROR(VLOOKUP($B110,オブジェクト一覧!$C$5:$I$102,5,FALSE),"")</f>
        <v>public</v>
      </c>
      <c r="E110" s="116" t="str">
        <f>IFERROR(VLOOKUP($B110,オブジェクト一覧!$C$5:$I$102,6,FALSE),"")</f>
        <v>kids</v>
      </c>
      <c r="F110" s="116" t="str">
        <f>IFERROR(VLOOKUP($B110,オブジェクト一覧!$C$5:$I$102,7,FALSE),"")</f>
        <v>TABLE</v>
      </c>
      <c r="G110" s="116" t="s">
        <v>1670</v>
      </c>
      <c r="H110" s="123" t="s">
        <v>1377</v>
      </c>
      <c r="I110" s="123" t="s">
        <v>1694</v>
      </c>
      <c r="J110" s="24" t="s">
        <v>1671</v>
      </c>
      <c r="K110" s="25">
        <v>43689</v>
      </c>
      <c r="L110" s="25">
        <v>43690</v>
      </c>
      <c r="M110" s="25">
        <v>43690</v>
      </c>
    </row>
    <row r="111" spans="1:13" s="115" customFormat="1">
      <c r="A111" s="116">
        <f t="shared" si="2"/>
        <v>108</v>
      </c>
      <c r="B111" s="123" t="s">
        <v>1480</v>
      </c>
      <c r="C111" s="116" t="str">
        <f>IFERROR(VLOOKUP($B111,オブジェクト一覧!$C$5:$I$102,2,FALSE),"")</f>
        <v>m_estimate</v>
      </c>
      <c r="D111" s="116" t="str">
        <f>IFERROR(VLOOKUP($B111,オブジェクト一覧!$C$5:$I$102,5,FALSE),"")</f>
        <v>public</v>
      </c>
      <c r="E111" s="116" t="str">
        <f>IFERROR(VLOOKUP($B111,オブジェクト一覧!$C$5:$I$102,6,FALSE),"")</f>
        <v>kids</v>
      </c>
      <c r="F111" s="116" t="str">
        <f>IFERROR(VLOOKUP($B111,オブジェクト一覧!$C$5:$I$102,7,FALSE),"")</f>
        <v>TABLE</v>
      </c>
      <c r="G111" s="116" t="s">
        <v>1672</v>
      </c>
      <c r="H111" s="123" t="s">
        <v>1377</v>
      </c>
      <c r="I111" s="116" t="s">
        <v>1695</v>
      </c>
      <c r="J111" s="24" t="s">
        <v>1673</v>
      </c>
      <c r="K111" s="25">
        <v>43689</v>
      </c>
      <c r="L111" s="25">
        <v>43690</v>
      </c>
      <c r="M111" s="25">
        <v>43690</v>
      </c>
    </row>
    <row r="112" spans="1:13" s="115" customFormat="1">
      <c r="A112" s="116">
        <f t="shared" si="2"/>
        <v>109</v>
      </c>
      <c r="B112" s="116" t="s">
        <v>1677</v>
      </c>
      <c r="C112" s="116" t="str">
        <f>IFERROR(VLOOKUP($B112,オブジェクト一覧!$C$5:$I$102,2,FALSE),"")</f>
        <v>m_tax</v>
      </c>
      <c r="D112" s="116" t="str">
        <f>IFERROR(VLOOKUP($B112,オブジェクト一覧!$C$5:$I$102,5,FALSE),"")</f>
        <v>public</v>
      </c>
      <c r="E112" s="116" t="str">
        <f>IFERROR(VLOOKUP($B112,オブジェクト一覧!$C$5:$I$102,6,FALSE),"")</f>
        <v>kids</v>
      </c>
      <c r="F112" s="116" t="str">
        <f>IFERROR(VLOOKUP($B112,オブジェクト一覧!$C$5:$I$102,7,FALSE),"")</f>
        <v>TABLE</v>
      </c>
      <c r="G112" s="116" t="s">
        <v>1674</v>
      </c>
      <c r="H112" s="123" t="s">
        <v>1377</v>
      </c>
      <c r="I112" s="116" t="s">
        <v>1696</v>
      </c>
      <c r="J112" s="24" t="s">
        <v>1675</v>
      </c>
      <c r="K112" s="25">
        <v>43689</v>
      </c>
      <c r="L112" s="25">
        <v>43690</v>
      </c>
      <c r="M112" s="25">
        <v>43690</v>
      </c>
    </row>
    <row r="113" spans="1:13" s="122" customFormat="1">
      <c r="A113" s="123">
        <f t="shared" si="2"/>
        <v>110</v>
      </c>
      <c r="B113" s="123" t="s">
        <v>1677</v>
      </c>
      <c r="C113" s="123" t="str">
        <f>IFERROR(VLOOKUP($B113,オブジェクト一覧!$C$5:$I$102,2,FALSE),"")</f>
        <v>m_tax</v>
      </c>
      <c r="D113" s="123" t="str">
        <f>IFERROR(VLOOKUP($B113,オブジェクト一覧!$C$5:$I$102,5,FALSE),"")</f>
        <v>public</v>
      </c>
      <c r="E113" s="123" t="str">
        <f>IFERROR(VLOOKUP($B113,オブジェクト一覧!$C$5:$I$102,6,FALSE),"")</f>
        <v>kids</v>
      </c>
      <c r="F113" s="123" t="str">
        <f>IFERROR(VLOOKUP($B113,オブジェクト一覧!$C$5:$I$102,7,FALSE),"")</f>
        <v>TABLE</v>
      </c>
      <c r="G113" s="123" t="s">
        <v>1678</v>
      </c>
      <c r="H113" s="123" t="s">
        <v>1377</v>
      </c>
      <c r="I113" s="123" t="s">
        <v>1697</v>
      </c>
      <c r="J113" s="24" t="s">
        <v>1675</v>
      </c>
      <c r="K113" s="25">
        <v>43689</v>
      </c>
      <c r="L113" s="25">
        <v>43690</v>
      </c>
      <c r="M113" s="25">
        <v>43690</v>
      </c>
    </row>
    <row r="114" spans="1:13" s="122" customFormat="1">
      <c r="A114" s="123">
        <f t="shared" si="2"/>
        <v>111</v>
      </c>
      <c r="B114" s="123" t="s">
        <v>1677</v>
      </c>
      <c r="C114" s="123" t="str">
        <f>IFERROR(VLOOKUP($B114,オブジェクト一覧!$C$5:$I$102,2,FALSE),"")</f>
        <v>m_tax</v>
      </c>
      <c r="D114" s="123" t="str">
        <f>IFERROR(VLOOKUP($B114,オブジェクト一覧!$C$5:$I$102,5,FALSE),"")</f>
        <v>public</v>
      </c>
      <c r="E114" s="123" t="str">
        <f>IFERROR(VLOOKUP($B114,オブジェクト一覧!$C$5:$I$102,6,FALSE),"")</f>
        <v>kids</v>
      </c>
      <c r="F114" s="123" t="str">
        <f>IFERROR(VLOOKUP($B114,オブジェクト一覧!$C$5:$I$102,7,FALSE),"")</f>
        <v>TABLE</v>
      </c>
      <c r="G114" s="123" t="s">
        <v>1679</v>
      </c>
      <c r="H114" s="123" t="s">
        <v>1377</v>
      </c>
      <c r="I114" s="123" t="s">
        <v>1698</v>
      </c>
      <c r="J114" s="24" t="s">
        <v>1675</v>
      </c>
      <c r="K114" s="25">
        <v>43689</v>
      </c>
      <c r="L114" s="25">
        <v>43690</v>
      </c>
      <c r="M114" s="25">
        <v>43690</v>
      </c>
    </row>
    <row r="115" spans="1:13" s="122" customFormat="1">
      <c r="A115" s="123">
        <f t="shared" si="2"/>
        <v>112</v>
      </c>
      <c r="B115" s="123" t="s">
        <v>1681</v>
      </c>
      <c r="C115" s="123" t="str">
        <f>IFERROR(VLOOKUP($B115,オブジェクト一覧!$C$5:$I$102,2,FALSE),"")</f>
        <v>t_orderdetail</v>
      </c>
      <c r="D115" s="123" t="str">
        <f>IFERROR(VLOOKUP($B115,オブジェクト一覧!$C$5:$I$102,5,FALSE),"")</f>
        <v>public</v>
      </c>
      <c r="E115" s="123" t="str">
        <f>IFERROR(VLOOKUP($B115,オブジェクト一覧!$C$5:$I$102,6,FALSE),"")</f>
        <v>kids</v>
      </c>
      <c r="F115" s="123" t="str">
        <f>IFERROR(VLOOKUP($B115,オブジェクト一覧!$C$5:$I$102,7,FALSE),"")</f>
        <v>TABLE</v>
      </c>
      <c r="G115" s="123" t="s">
        <v>1678</v>
      </c>
      <c r="H115" s="123" t="s">
        <v>1377</v>
      </c>
      <c r="I115" s="123" t="s">
        <v>1697</v>
      </c>
      <c r="J115" s="24" t="s">
        <v>1675</v>
      </c>
      <c r="K115" s="25">
        <v>43689</v>
      </c>
      <c r="L115" s="25">
        <v>43690</v>
      </c>
      <c r="M115" s="25">
        <v>43690</v>
      </c>
    </row>
    <row r="116" spans="1:13" s="122" customFormat="1">
      <c r="A116" s="123">
        <f t="shared" si="2"/>
        <v>113</v>
      </c>
      <c r="B116" s="123" t="s">
        <v>1683</v>
      </c>
      <c r="C116" s="123" t="str">
        <f>IFERROR(VLOOKUP($B116,オブジェクト一覧!$C$5:$I$102,2,FALSE),"")</f>
        <v>t_stockdetail</v>
      </c>
      <c r="D116" s="123" t="str">
        <f>IFERROR(VLOOKUP($B116,オブジェクト一覧!$C$5:$I$102,5,FALSE),"")</f>
        <v>public</v>
      </c>
      <c r="E116" s="123" t="str">
        <f>IFERROR(VLOOKUP($B116,オブジェクト一覧!$C$5:$I$102,6,FALSE),"")</f>
        <v>kids</v>
      </c>
      <c r="F116" s="123" t="str">
        <f>IFERROR(VLOOKUP($B116,オブジェクト一覧!$C$5:$I$102,7,FALSE),"")</f>
        <v>TABLE</v>
      </c>
      <c r="G116" s="123" t="s">
        <v>1678</v>
      </c>
      <c r="H116" s="123" t="s">
        <v>1377</v>
      </c>
      <c r="I116" s="123" t="s">
        <v>1697</v>
      </c>
      <c r="J116" s="24" t="s">
        <v>1675</v>
      </c>
      <c r="K116" s="25">
        <v>43689</v>
      </c>
      <c r="L116" s="25">
        <v>43690</v>
      </c>
      <c r="M116" s="25">
        <v>43690</v>
      </c>
    </row>
    <row r="117" spans="1:13" s="122" customFormat="1">
      <c r="A117" s="123">
        <f t="shared" si="2"/>
        <v>114</v>
      </c>
      <c r="B117" s="123" t="s">
        <v>1684</v>
      </c>
      <c r="C117" s="123" t="str">
        <f>IFERROR(VLOOKUP($B117,オブジェクト一覧!$C$5:$I$102,2,FALSE),"")</f>
        <v>t_salesdetail</v>
      </c>
      <c r="D117" s="123" t="str">
        <f>IFERROR(VLOOKUP($B117,オブジェクト一覧!$C$5:$I$102,5,FALSE),"")</f>
        <v>public</v>
      </c>
      <c r="E117" s="123" t="str">
        <f>IFERROR(VLOOKUP($B117,オブジェクト一覧!$C$5:$I$102,6,FALSE),"")</f>
        <v>kids</v>
      </c>
      <c r="F117" s="123" t="str">
        <f>IFERROR(VLOOKUP($B117,オブジェクト一覧!$C$5:$I$102,7,FALSE),"")</f>
        <v>TABLE</v>
      </c>
      <c r="G117" s="123" t="s">
        <v>1678</v>
      </c>
      <c r="H117" s="123" t="s">
        <v>1377</v>
      </c>
      <c r="I117" s="123" t="s">
        <v>1697</v>
      </c>
      <c r="J117" s="24" t="s">
        <v>1675</v>
      </c>
      <c r="K117" s="25">
        <v>43689</v>
      </c>
      <c r="L117" s="25">
        <v>43690</v>
      </c>
      <c r="M117" s="25">
        <v>43690</v>
      </c>
    </row>
    <row r="118" spans="1:13" s="122" customFormat="1">
      <c r="A118" s="123">
        <f t="shared" si="2"/>
        <v>115</v>
      </c>
      <c r="B118" s="123" t="s">
        <v>1682</v>
      </c>
      <c r="C118" s="123" t="str">
        <f>IFERROR(VLOOKUP($B118,オブジェクト一覧!$C$5:$I$102,2,FALSE),"")</f>
        <v>t_receivedetail</v>
      </c>
      <c r="D118" s="123" t="str">
        <f>IFERROR(VLOOKUP($B118,オブジェクト一覧!$C$5:$I$102,5,FALSE),"")</f>
        <v>public</v>
      </c>
      <c r="E118" s="123" t="str">
        <f>IFERROR(VLOOKUP($B118,オブジェクト一覧!$C$5:$I$102,6,FALSE),"")</f>
        <v>kids</v>
      </c>
      <c r="F118" s="123" t="str">
        <f>IFERROR(VLOOKUP($B118,オブジェクト一覧!$C$5:$I$102,7,FALSE),"")</f>
        <v>TABLE</v>
      </c>
      <c r="G118" s="123" t="s">
        <v>787</v>
      </c>
      <c r="H118" s="123" t="s">
        <v>1435</v>
      </c>
      <c r="I118" s="123" t="s">
        <v>1453</v>
      </c>
      <c r="J118" s="24" t="s">
        <v>1630</v>
      </c>
      <c r="K118" s="25">
        <v>43689</v>
      </c>
      <c r="L118" s="25">
        <v>43690</v>
      </c>
      <c r="M118" s="25">
        <v>43690</v>
      </c>
    </row>
    <row r="119" spans="1:13" s="122" customFormat="1">
      <c r="A119" s="123">
        <f t="shared" si="2"/>
        <v>116</v>
      </c>
      <c r="B119" s="123" t="s">
        <v>1682</v>
      </c>
      <c r="C119" s="123" t="str">
        <f>IFERROR(VLOOKUP($B119,オブジェクト一覧!$C$5:$I$102,2,FALSE),"")</f>
        <v>t_receivedetail</v>
      </c>
      <c r="D119" s="123" t="str">
        <f>IFERROR(VLOOKUP($B119,オブジェクト一覧!$C$5:$I$102,5,FALSE),"")</f>
        <v>public</v>
      </c>
      <c r="E119" s="123" t="str">
        <f>IFERROR(VLOOKUP($B119,オブジェクト一覧!$C$5:$I$102,6,FALSE),"")</f>
        <v>kids</v>
      </c>
      <c r="F119" s="123" t="str">
        <f>IFERROR(VLOOKUP($B119,オブジェクト一覧!$C$5:$I$102,7,FALSE),"")</f>
        <v>TABLE</v>
      </c>
      <c r="G119" s="123" t="s">
        <v>913</v>
      </c>
      <c r="H119" s="123" t="s">
        <v>1435</v>
      </c>
      <c r="I119" s="123" t="s">
        <v>1453</v>
      </c>
      <c r="J119" s="24" t="s">
        <v>1630</v>
      </c>
      <c r="K119" s="25">
        <v>43689</v>
      </c>
      <c r="L119" s="25">
        <v>43690</v>
      </c>
      <c r="M119" s="25">
        <v>43690</v>
      </c>
    </row>
    <row r="120" spans="1:13" s="122" customFormat="1">
      <c r="A120" s="123">
        <f t="shared" si="2"/>
        <v>117</v>
      </c>
      <c r="B120" s="123" t="s">
        <v>1682</v>
      </c>
      <c r="C120" s="123" t="str">
        <f>IFERROR(VLOOKUP($B120,オブジェクト一覧!$C$5:$I$102,2,FALSE),"")</f>
        <v>t_receivedetail</v>
      </c>
      <c r="D120" s="123" t="str">
        <f>IFERROR(VLOOKUP($B120,オブジェクト一覧!$C$5:$I$102,5,FALSE),"")</f>
        <v>public</v>
      </c>
      <c r="E120" s="123" t="str">
        <f>IFERROR(VLOOKUP($B120,オブジェクト一覧!$C$5:$I$102,6,FALSE),"")</f>
        <v>kids</v>
      </c>
      <c r="F120" s="123" t="str">
        <f>IFERROR(VLOOKUP($B120,オブジェクト一覧!$C$5:$I$102,7,FALSE),"")</f>
        <v>TABLE</v>
      </c>
      <c r="G120" s="123" t="s">
        <v>914</v>
      </c>
      <c r="H120" s="123" t="s">
        <v>1435</v>
      </c>
      <c r="I120" s="123" t="s">
        <v>1453</v>
      </c>
      <c r="J120" s="24" t="s">
        <v>1630</v>
      </c>
      <c r="K120" s="25">
        <v>43689</v>
      </c>
      <c r="L120" s="25">
        <v>43690</v>
      </c>
      <c r="M120" s="25">
        <v>43690</v>
      </c>
    </row>
    <row r="121" spans="1:13" s="122" customFormat="1">
      <c r="A121" s="123">
        <f t="shared" si="2"/>
        <v>118</v>
      </c>
      <c r="B121" s="123" t="s">
        <v>1688</v>
      </c>
      <c r="C121" s="123" t="str">
        <f>IFERROR(VLOOKUP($B121,オブジェクト一覧!$C$5:$I$102,2,FALSE),"")</f>
        <v>m_purchaseorder</v>
      </c>
      <c r="D121" s="123" t="str">
        <f>IFERROR(VLOOKUP($B121,オブジェクト一覧!$C$5:$I$102,5,FALSE),"")</f>
        <v>public</v>
      </c>
      <c r="E121" s="123" t="str">
        <f>IFERROR(VLOOKUP($B121,オブジェクト一覧!$C$5:$I$102,6,FALSE),"")</f>
        <v>kids</v>
      </c>
      <c r="F121" s="123" t="str">
        <f>IFERROR(VLOOKUP($B121,オブジェクト一覧!$C$5:$I$102,7,FALSE),"")</f>
        <v>TABLE</v>
      </c>
      <c r="G121" s="123" t="s">
        <v>1686</v>
      </c>
      <c r="H121" s="123" t="s">
        <v>1435</v>
      </c>
      <c r="I121" s="123" t="s">
        <v>1453</v>
      </c>
      <c r="J121" s="24" t="s">
        <v>1687</v>
      </c>
      <c r="K121" s="25">
        <v>43689</v>
      </c>
      <c r="L121" s="25">
        <v>43690</v>
      </c>
      <c r="M121" s="25">
        <v>43690</v>
      </c>
    </row>
    <row r="122" spans="1:13" s="122" customFormat="1">
      <c r="A122" s="123">
        <f t="shared" si="2"/>
        <v>119</v>
      </c>
      <c r="B122" s="123" t="s">
        <v>1690</v>
      </c>
      <c r="C122" s="123" t="str">
        <f>IFERROR(VLOOKUP($B122,オブジェクト一覧!$C$5:$I$102,2,FALSE),"")</f>
        <v>t_salesdetail</v>
      </c>
      <c r="D122" s="123" t="str">
        <f>IFERROR(VLOOKUP($B122,オブジェクト一覧!$C$5:$I$102,5,FALSE),"")</f>
        <v>public</v>
      </c>
      <c r="E122" s="123" t="str">
        <f>IFERROR(VLOOKUP($B122,オブジェクト一覧!$C$5:$I$102,6,FALSE),"")</f>
        <v>kids</v>
      </c>
      <c r="F122" s="123" t="str">
        <f>IFERROR(VLOOKUP($B122,オブジェクト一覧!$C$5:$I$102,7,FALSE),"")</f>
        <v>TABLE</v>
      </c>
      <c r="G122" s="123" t="s">
        <v>1562</v>
      </c>
      <c r="H122" s="123" t="s">
        <v>1366</v>
      </c>
      <c r="I122" s="123" t="s">
        <v>1366</v>
      </c>
      <c r="J122" s="24" t="s">
        <v>1691</v>
      </c>
      <c r="K122" s="25">
        <v>43689</v>
      </c>
      <c r="L122" s="25">
        <v>43690</v>
      </c>
      <c r="M122" s="25">
        <v>43690</v>
      </c>
    </row>
    <row r="123" spans="1:13" s="122" customFormat="1">
      <c r="A123" s="123">
        <f t="shared" si="2"/>
        <v>120</v>
      </c>
      <c r="B123" s="123" t="s">
        <v>722</v>
      </c>
      <c r="C123" s="123" t="str">
        <f>IFERROR(VLOOKUP($B123,オブジェクト一覧!$C$5:$I$102,2,FALSE),"")</f>
        <v>m_sales</v>
      </c>
      <c r="D123" s="123" t="str">
        <f>IFERROR(VLOOKUP($B123,オブジェクト一覧!$C$5:$I$102,5,FALSE),"")</f>
        <v>public</v>
      </c>
      <c r="E123" s="123" t="str">
        <f>IFERROR(VLOOKUP($B123,オブジェクト一覧!$C$5:$I$102,6,FALSE),"")</f>
        <v>kids</v>
      </c>
      <c r="F123" s="123" t="str">
        <f>IFERROR(VLOOKUP($B123,オブジェクト一覧!$C$5:$I$102,7,FALSE),"")</f>
        <v>TABLE</v>
      </c>
      <c r="G123" s="123" t="s">
        <v>1562</v>
      </c>
      <c r="H123" s="123" t="s">
        <v>1435</v>
      </c>
      <c r="I123" s="123" t="s">
        <v>1453</v>
      </c>
      <c r="J123" s="24" t="s">
        <v>1692</v>
      </c>
      <c r="K123" s="25">
        <v>43689</v>
      </c>
      <c r="L123" s="25">
        <v>43690</v>
      </c>
      <c r="M123" s="25">
        <v>43690</v>
      </c>
    </row>
    <row r="124" spans="1:13" s="122" customFormat="1">
      <c r="A124" s="123">
        <f t="shared" si="2"/>
        <v>121</v>
      </c>
      <c r="B124" s="123" t="s">
        <v>1699</v>
      </c>
      <c r="C124" s="123" t="str">
        <f>IFERROR(VLOOKUP($B124,オブジェクト一覧!$C$5:$I$102,2,FALSE),"")</f>
        <v/>
      </c>
      <c r="D124" s="123" t="str">
        <f>IFERROR(VLOOKUP($B124,オブジェクト一覧!$C$5:$I$102,5,FALSE),"")</f>
        <v/>
      </c>
      <c r="E124" s="123" t="str">
        <f>IFERROR(VLOOKUP($B124,オブジェクト一覧!$C$5:$I$102,6,FALSE),"")</f>
        <v/>
      </c>
      <c r="F124" s="123" t="str">
        <f>IFERROR(VLOOKUP($B124,オブジェクト一覧!$C$5:$I$102,7,FALSE),"")</f>
        <v/>
      </c>
      <c r="G124" s="123" t="s">
        <v>1700</v>
      </c>
      <c r="H124" s="123" t="s">
        <v>1701</v>
      </c>
      <c r="I124" s="123" t="s">
        <v>1702</v>
      </c>
      <c r="J124" s="24" t="s">
        <v>1703</v>
      </c>
      <c r="K124" s="25">
        <v>43690</v>
      </c>
      <c r="L124" s="25">
        <v>43690</v>
      </c>
      <c r="M124" s="25">
        <v>43690</v>
      </c>
    </row>
    <row r="125" spans="1:13" s="122" customFormat="1" ht="39.6">
      <c r="A125" s="123">
        <f t="shared" si="2"/>
        <v>122</v>
      </c>
      <c r="B125" s="127" t="s">
        <v>1480</v>
      </c>
      <c r="C125" s="123" t="str">
        <f>IFERROR(VLOOKUP($B125,オブジェクト一覧!$C$5:$I$102,2,FALSE),"")</f>
        <v>m_estimate</v>
      </c>
      <c r="D125" s="123" t="str">
        <f>IFERROR(VLOOKUP($B125,オブジェクト一覧!$C$5:$I$102,5,FALSE),"")</f>
        <v>public</v>
      </c>
      <c r="E125" s="123" t="str">
        <f>IFERROR(VLOOKUP($B125,オブジェクト一覧!$C$5:$I$102,6,FALSE),"")</f>
        <v>kids</v>
      </c>
      <c r="F125" s="123" t="str">
        <f>IFERROR(VLOOKUP($B125,オブジェクト一覧!$C$5:$I$102,7,FALSE),"")</f>
        <v>TABLE</v>
      </c>
      <c r="G125" s="123" t="s">
        <v>1711</v>
      </c>
      <c r="H125" s="123" t="s">
        <v>1712</v>
      </c>
      <c r="I125" s="123" t="s">
        <v>1713</v>
      </c>
      <c r="J125" s="24" t="s">
        <v>1721</v>
      </c>
      <c r="K125" s="25">
        <v>43691</v>
      </c>
      <c r="L125" s="25">
        <v>43690</v>
      </c>
      <c r="M125" s="25">
        <v>43696</v>
      </c>
    </row>
    <row r="126" spans="1:13" s="122" customFormat="1">
      <c r="A126" s="123">
        <f t="shared" si="2"/>
        <v>123</v>
      </c>
      <c r="B126" s="123" t="s">
        <v>1715</v>
      </c>
      <c r="C126" s="123" t="str">
        <f>IFERROR(VLOOKUP($B126,オブジェクト一覧!$C$5:$I$102,2,FALSE),"")</f>
        <v>t_estimatedetail</v>
      </c>
      <c r="D126" s="123" t="str">
        <f>IFERROR(VLOOKUP($B126,オブジェクト一覧!$C$5:$I$102,5,FALSE),"")</f>
        <v>public</v>
      </c>
      <c r="E126" s="123" t="str">
        <f>IFERROR(VLOOKUP($B126,オブジェクト一覧!$C$5:$I$102,6,FALSE),"")</f>
        <v>kids</v>
      </c>
      <c r="F126" s="123" t="str">
        <f>IFERROR(VLOOKUP($B126,オブジェクト一覧!$C$5:$I$102,7,FALSE),"")</f>
        <v>TABLE</v>
      </c>
      <c r="G126" s="123" t="s">
        <v>1714</v>
      </c>
      <c r="H126" s="127" t="s">
        <v>1435</v>
      </c>
      <c r="I126" s="127" t="s">
        <v>1453</v>
      </c>
      <c r="J126" s="24" t="s">
        <v>1716</v>
      </c>
      <c r="K126" s="25">
        <v>43691</v>
      </c>
      <c r="L126" s="25">
        <v>43691</v>
      </c>
      <c r="M126" s="25">
        <v>43696</v>
      </c>
    </row>
    <row r="127" spans="1:13" s="122" customFormat="1">
      <c r="A127" s="123">
        <f t="shared" si="2"/>
        <v>124</v>
      </c>
      <c r="B127" s="127" t="s">
        <v>1715</v>
      </c>
      <c r="C127" s="127" t="str">
        <f>IFERROR(VLOOKUP($B127,オブジェクト一覧!$C$5:$I$102,2,FALSE),"")</f>
        <v>t_estimatedetail</v>
      </c>
      <c r="D127" s="127" t="str">
        <f>IFERROR(VLOOKUP($B127,オブジェクト一覧!$C$5:$I$102,5,FALSE),"")</f>
        <v>public</v>
      </c>
      <c r="E127" s="127" t="str">
        <f>IFERROR(VLOOKUP($B127,オブジェクト一覧!$C$5:$I$102,6,FALSE),"")</f>
        <v>kids</v>
      </c>
      <c r="F127" s="127" t="str">
        <f>IFERROR(VLOOKUP($B127,オブジェクト一覧!$C$5:$I$102,7,FALSE),"")</f>
        <v>TABLE</v>
      </c>
      <c r="G127" s="127" t="s">
        <v>1717</v>
      </c>
      <c r="H127" s="127" t="s">
        <v>1377</v>
      </c>
      <c r="I127" s="127" t="s">
        <v>1718</v>
      </c>
      <c r="J127" s="24" t="s">
        <v>1719</v>
      </c>
      <c r="K127" s="25">
        <v>43691</v>
      </c>
      <c r="L127" s="25">
        <v>43691</v>
      </c>
      <c r="M127" s="25">
        <v>43696</v>
      </c>
    </row>
    <row r="128" spans="1:13" s="122" customFormat="1">
      <c r="A128" s="123">
        <f t="shared" si="2"/>
        <v>125</v>
      </c>
      <c r="B128" s="129" t="s">
        <v>1621</v>
      </c>
      <c r="C128" s="123" t="str">
        <f>IFERROR(VLOOKUP($B128,オブジェクト一覧!$C$5:$I$102,2,FALSE),"")</f>
        <v>t_estimatedetail</v>
      </c>
      <c r="D128" s="123" t="str">
        <f>IFERROR(VLOOKUP($B128,オブジェクト一覧!$C$5:$I$102,5,FALSE),"")</f>
        <v>public</v>
      </c>
      <c r="E128" s="123" t="str">
        <f>IFERROR(VLOOKUP($B128,オブジェクト一覧!$C$5:$I$102,6,FALSE),"")</f>
        <v>kids</v>
      </c>
      <c r="F128" s="123" t="str">
        <f>IFERROR(VLOOKUP($B128,オブジェクト一覧!$C$5:$I$102,7,FALSE),"")</f>
        <v>TABLE</v>
      </c>
      <c r="G128" s="123" t="s">
        <v>1722</v>
      </c>
      <c r="H128" s="130" t="s">
        <v>1377</v>
      </c>
      <c r="I128" s="123" t="s">
        <v>1723</v>
      </c>
      <c r="J128" s="24" t="s">
        <v>1724</v>
      </c>
      <c r="K128" s="25">
        <v>43692</v>
      </c>
      <c r="L128" s="25">
        <v>43692</v>
      </c>
      <c r="M128" s="25" t="s">
        <v>1491</v>
      </c>
    </row>
    <row r="129" spans="1:13" s="122" customFormat="1">
      <c r="A129" s="123">
        <f t="shared" si="2"/>
        <v>126</v>
      </c>
      <c r="B129" s="123" t="s">
        <v>1725</v>
      </c>
      <c r="C129" s="123" t="str">
        <f>IFERROR(VLOOKUP($B129,オブジェクト一覧!$C$5:$I$102,2,FALSE),"")</f>
        <v>m_slip</v>
      </c>
      <c r="D129" s="123" t="str">
        <f>IFERROR(VLOOKUP($B129,オブジェクト一覧!$C$5:$I$102,5,FALSE),"")</f>
        <v>public</v>
      </c>
      <c r="E129" s="123" t="str">
        <f>IFERROR(VLOOKUP($B129,オブジェクト一覧!$C$5:$I$102,6,FALSE),"")</f>
        <v>kids</v>
      </c>
      <c r="F129" s="123" t="str">
        <f>IFERROR(VLOOKUP($B129,オブジェクト一覧!$C$5:$I$102,7,FALSE),"")</f>
        <v>TABLE</v>
      </c>
      <c r="G129" s="123" t="s">
        <v>1220</v>
      </c>
      <c r="H129" s="130" t="s">
        <v>1377</v>
      </c>
      <c r="I129" s="130" t="s">
        <v>1628</v>
      </c>
      <c r="J129" s="24" t="s">
        <v>1629</v>
      </c>
      <c r="K129" s="25">
        <v>43698</v>
      </c>
      <c r="L129" s="25">
        <v>43698</v>
      </c>
      <c r="M129" s="25" t="s">
        <v>1491</v>
      </c>
    </row>
    <row r="130" spans="1:13" s="122" customFormat="1">
      <c r="A130" s="123">
        <f t="shared" si="2"/>
        <v>127</v>
      </c>
      <c r="B130" s="123" t="s">
        <v>1513</v>
      </c>
      <c r="C130" s="123" t="str">
        <f>IFERROR(VLOOKUP($B130,オブジェクト一覧!$C$5:$I$102,2,FALSE),"")</f>
        <v>t_invoicedetail</v>
      </c>
      <c r="D130" s="123" t="str">
        <f>IFERROR(VLOOKUP($B130,オブジェクト一覧!$C$5:$I$102,5,FALSE),"")</f>
        <v>public</v>
      </c>
      <c r="E130" s="123" t="str">
        <f>IFERROR(VLOOKUP($B130,オブジェクト一覧!$C$5:$I$102,6,FALSE),"")</f>
        <v>kids</v>
      </c>
      <c r="F130" s="123" t="str">
        <f>IFERROR(VLOOKUP($B130,オブジェクト一覧!$C$5:$I$102,7,FALSE),"")</f>
        <v>TABLE</v>
      </c>
      <c r="G130" s="130" t="s">
        <v>1220</v>
      </c>
      <c r="H130" s="130" t="s">
        <v>1377</v>
      </c>
      <c r="I130" s="130" t="s">
        <v>1628</v>
      </c>
      <c r="J130" s="24" t="s">
        <v>1629</v>
      </c>
      <c r="K130" s="25">
        <v>43698</v>
      </c>
      <c r="L130" s="25">
        <v>43698</v>
      </c>
      <c r="M130" s="25" t="s">
        <v>1491</v>
      </c>
    </row>
    <row r="131" spans="1:13" s="122" customFormat="1">
      <c r="A131" s="123">
        <f t="shared" si="2"/>
        <v>128</v>
      </c>
      <c r="B131" s="123" t="s">
        <v>1727</v>
      </c>
      <c r="C131" s="123" t="str">
        <f>IFERROR(VLOOKUP($B131,オブジェクト一覧!$C$5:$I$102,2,FALSE),"")</f>
        <v>m_signature</v>
      </c>
      <c r="D131" s="123" t="str">
        <f>IFERROR(VLOOKUP($B131,オブジェクト一覧!$C$5:$I$102,5,FALSE),"")</f>
        <v>public</v>
      </c>
      <c r="E131" s="123" t="str">
        <f>IFERROR(VLOOKUP($B131,オブジェクト一覧!$C$5:$I$102,6,FALSE),"")</f>
        <v>kids</v>
      </c>
      <c r="F131" s="123" t="str">
        <f>IFERROR(VLOOKUP($B131,オブジェクト一覧!$C$5:$I$102,7,FALSE),"")</f>
        <v>TABLE</v>
      </c>
      <c r="G131" s="123" t="s">
        <v>1728</v>
      </c>
      <c r="H131" s="123" t="s">
        <v>1733</v>
      </c>
      <c r="I131" s="123" t="s">
        <v>1734</v>
      </c>
      <c r="J131" s="24" t="s">
        <v>1735</v>
      </c>
      <c r="K131" s="25">
        <v>43699</v>
      </c>
      <c r="L131" s="25">
        <v>43699</v>
      </c>
      <c r="M131" s="25">
        <v>43713</v>
      </c>
    </row>
    <row r="132" spans="1:13" s="122" customFormat="1">
      <c r="A132" s="123">
        <f t="shared" si="2"/>
        <v>129</v>
      </c>
      <c r="B132" s="137" t="s">
        <v>1688</v>
      </c>
      <c r="C132" s="123" t="str">
        <f>IFERROR(VLOOKUP($B132,オブジェクト一覧!$C$5:$I$102,2,FALSE),"")</f>
        <v>m_purchaseorder</v>
      </c>
      <c r="D132" s="123" t="str">
        <f>IFERROR(VLOOKUP($B132,オブジェクト一覧!$C$5:$I$102,5,FALSE),"")</f>
        <v>public</v>
      </c>
      <c r="E132" s="123" t="str">
        <f>IFERROR(VLOOKUP($B132,オブジェクト一覧!$C$5:$I$102,6,FALSE),"")</f>
        <v>kids</v>
      </c>
      <c r="F132" s="123" t="str">
        <f>IFERROR(VLOOKUP($B132,オブジェクト一覧!$C$5:$I$102,7,FALSE),"")</f>
        <v>TABLE</v>
      </c>
      <c r="G132" s="123" t="s">
        <v>1731</v>
      </c>
      <c r="H132" s="137" t="s">
        <v>1366</v>
      </c>
      <c r="I132" s="137" t="s">
        <v>1441</v>
      </c>
      <c r="J132" s="24" t="s">
        <v>1735</v>
      </c>
      <c r="K132" s="25">
        <v>43699</v>
      </c>
      <c r="L132" s="25">
        <v>43699</v>
      </c>
      <c r="M132" s="25">
        <v>43713</v>
      </c>
    </row>
    <row r="133" spans="1:13" s="122" customFormat="1" ht="26.4" customHeight="1">
      <c r="A133" s="123">
        <f t="shared" si="2"/>
        <v>130</v>
      </c>
      <c r="B133" s="123" t="s">
        <v>1677</v>
      </c>
      <c r="C133" s="123" t="str">
        <f>IFERROR(VLOOKUP($B133,オブジェクト一覧!$C$5:$I$102,2,FALSE),"")</f>
        <v>m_tax</v>
      </c>
      <c r="D133" s="123" t="str">
        <f>IFERROR(VLOOKUP($B133,オブジェクト一覧!$C$5:$I$102,5,FALSE),"")</f>
        <v>public</v>
      </c>
      <c r="E133" s="123" t="str">
        <f>IFERROR(VLOOKUP($B133,オブジェクト一覧!$C$5:$I$102,6,FALSE),"")</f>
        <v>kids</v>
      </c>
      <c r="F133" s="123" t="str">
        <f>IFERROR(VLOOKUP($B133,オブジェクト一覧!$C$5:$I$102,7,FALSE),"")</f>
        <v>TABLE</v>
      </c>
      <c r="G133" s="123" t="s">
        <v>1740</v>
      </c>
      <c r="H133" s="139" t="s">
        <v>1366</v>
      </c>
      <c r="I133" s="139" t="s">
        <v>1441</v>
      </c>
      <c r="J133" s="24" t="s">
        <v>1741</v>
      </c>
      <c r="K133" s="25">
        <v>43699</v>
      </c>
      <c r="L133" s="25">
        <v>43699</v>
      </c>
      <c r="M133" s="25">
        <v>43713</v>
      </c>
    </row>
    <row r="134" spans="1:13" s="138" customFormat="1">
      <c r="A134" s="139">
        <f t="shared" si="2"/>
        <v>131</v>
      </c>
      <c r="B134" s="139" t="s">
        <v>1239</v>
      </c>
      <c r="C134" s="139" t="str">
        <f>IFERROR(VLOOKUP($B134,オブジェクト一覧!$C$5:$I$102,2,FALSE),"")</f>
        <v>m_slip</v>
      </c>
      <c r="D134" s="139" t="str">
        <f>IFERROR(VLOOKUP($B134,オブジェクト一覧!$C$5:$I$102,5,FALSE),"")</f>
        <v>public</v>
      </c>
      <c r="E134" s="139" t="str">
        <f>IFERROR(VLOOKUP($B134,オブジェクト一覧!$C$5:$I$102,6,FALSE),"")</f>
        <v>kids</v>
      </c>
      <c r="F134" s="139" t="str">
        <f>IFERROR(VLOOKUP($B134,オブジェクト一覧!$C$5:$I$102,7,FALSE),"")</f>
        <v>TABLE</v>
      </c>
      <c r="G134" s="139" t="s">
        <v>1744</v>
      </c>
      <c r="H134" s="139" t="s">
        <v>1366</v>
      </c>
      <c r="I134" s="139" t="s">
        <v>1441</v>
      </c>
      <c r="J134" s="24" t="s">
        <v>1745</v>
      </c>
      <c r="K134" s="25">
        <v>43699</v>
      </c>
      <c r="L134" s="25">
        <v>43699</v>
      </c>
      <c r="M134" s="25">
        <v>43713</v>
      </c>
    </row>
    <row r="135" spans="1:13" s="138" customFormat="1">
      <c r="A135" s="139">
        <f t="shared" si="2"/>
        <v>132</v>
      </c>
      <c r="B135" s="142" t="s">
        <v>1239</v>
      </c>
      <c r="C135" s="139" t="str">
        <f>IFERROR(VLOOKUP($B135,オブジェクト一覧!$C$5:$I$102,2,FALSE),"")</f>
        <v>m_slip</v>
      </c>
      <c r="D135" s="139" t="str">
        <f>IFERROR(VLOOKUP($B135,オブジェクト一覧!$C$5:$I$102,5,FALSE),"")</f>
        <v>public</v>
      </c>
      <c r="E135" s="139" t="str">
        <f>IFERROR(VLOOKUP($B135,オブジェクト一覧!$C$5:$I$102,6,FALSE),"")</f>
        <v>kids</v>
      </c>
      <c r="F135" s="139" t="str">
        <f>IFERROR(VLOOKUP($B135,オブジェクト一覧!$C$5:$I$102,7,FALSE),"")</f>
        <v>TABLE</v>
      </c>
      <c r="G135" s="139" t="s">
        <v>1748</v>
      </c>
      <c r="H135" s="142" t="s">
        <v>1366</v>
      </c>
      <c r="I135" s="142" t="s">
        <v>1441</v>
      </c>
      <c r="J135" s="24" t="s">
        <v>1745</v>
      </c>
      <c r="K135" s="25">
        <v>43701</v>
      </c>
      <c r="L135" s="25">
        <v>43699</v>
      </c>
      <c r="M135" s="25">
        <v>43713</v>
      </c>
    </row>
    <row r="136" spans="1:13" s="138" customFormat="1">
      <c r="A136" s="139">
        <f t="shared" si="2"/>
        <v>133</v>
      </c>
      <c r="B136" s="139" t="s">
        <v>1756</v>
      </c>
      <c r="C136" s="139" t="str">
        <f>IFERROR(VLOOKUP($B136,オブジェクト一覧!$C$5:$I$102,2,FALSE),"")</f>
        <v>m_paymentmethod</v>
      </c>
      <c r="D136" s="139" t="str">
        <f>IFERROR(VLOOKUP($B136,オブジェクト一覧!$C$5:$I$102,5,FALSE),"")</f>
        <v>public</v>
      </c>
      <c r="E136" s="139" t="str">
        <f>IFERROR(VLOOKUP($B136,オブジェクト一覧!$C$5:$I$102,6,FALSE),"")</f>
        <v>kids</v>
      </c>
      <c r="F136" s="139" t="str">
        <f>IFERROR(VLOOKUP($B136,オブジェクト一覧!$C$5:$I$102,7,FALSE),"")</f>
        <v>TABLE</v>
      </c>
      <c r="G136" s="142" t="s">
        <v>1359</v>
      </c>
      <c r="H136" s="142" t="s">
        <v>1366</v>
      </c>
      <c r="I136" s="142" t="s">
        <v>1734</v>
      </c>
      <c r="J136" s="24" t="s">
        <v>1745</v>
      </c>
      <c r="K136" s="25">
        <v>43701</v>
      </c>
      <c r="L136" s="25">
        <v>43699</v>
      </c>
      <c r="M136" s="25">
        <v>43713</v>
      </c>
    </row>
    <row r="137" spans="1:13" s="145" customFormat="1" ht="39.6">
      <c r="A137" s="146">
        <f t="shared" si="2"/>
        <v>134</v>
      </c>
      <c r="B137" s="146" t="s">
        <v>1459</v>
      </c>
      <c r="C137" s="146" t="str">
        <f>IFERROR(VLOOKUP($B137,オブジェクト一覧!$C$5:$I$102,2,FALSE),"")</f>
        <v>t_receivedetail</v>
      </c>
      <c r="D137" s="146" t="str">
        <f>IFERROR(VLOOKUP($B137,オブジェクト一覧!$C$5:$I$102,5,FALSE),"")</f>
        <v>public</v>
      </c>
      <c r="E137" s="146" t="str">
        <f>IFERROR(VLOOKUP($B137,オブジェクト一覧!$C$5:$I$102,6,FALSE),"")</f>
        <v>kids</v>
      </c>
      <c r="F137" s="146" t="str">
        <f>IFERROR(VLOOKUP($B137,オブジェクト一覧!$C$5:$I$102,7,FALSE),"")</f>
        <v>TABLE</v>
      </c>
      <c r="G137" s="146" t="s">
        <v>1758</v>
      </c>
      <c r="H137" s="146" t="s">
        <v>1366</v>
      </c>
      <c r="I137" s="146" t="s">
        <v>1441</v>
      </c>
      <c r="J137" s="24" t="s">
        <v>1759</v>
      </c>
      <c r="K137" s="25">
        <v>43705</v>
      </c>
      <c r="L137" s="25">
        <v>43699</v>
      </c>
      <c r="M137" s="25">
        <v>43713</v>
      </c>
    </row>
    <row r="138" spans="1:13" s="138" customFormat="1" ht="39.6">
      <c r="A138" s="139">
        <f t="shared" si="2"/>
        <v>135</v>
      </c>
      <c r="B138" s="146" t="s">
        <v>1681</v>
      </c>
      <c r="C138" s="146" t="str">
        <f>IFERROR(VLOOKUP($B138,オブジェクト一覧!$C$5:$I$102,2,FALSE),"")</f>
        <v>t_orderdetail</v>
      </c>
      <c r="D138" s="146" t="str">
        <f>IFERROR(VLOOKUP($B138,オブジェクト一覧!$C$5:$I$102,5,FALSE),"")</f>
        <v>public</v>
      </c>
      <c r="E138" s="146" t="str">
        <f>IFERROR(VLOOKUP($B138,オブジェクト一覧!$C$5:$I$102,6,FALSE),"")</f>
        <v>kids</v>
      </c>
      <c r="F138" s="146" t="str">
        <f>IFERROR(VLOOKUP($B138,オブジェクト一覧!$C$5:$I$102,7,FALSE),"")</f>
        <v>TABLE</v>
      </c>
      <c r="G138" s="146" t="s">
        <v>1758</v>
      </c>
      <c r="H138" s="146" t="s">
        <v>1366</v>
      </c>
      <c r="I138" s="146" t="s">
        <v>1441</v>
      </c>
      <c r="J138" s="24" t="s">
        <v>1759</v>
      </c>
      <c r="K138" s="25">
        <v>43705</v>
      </c>
      <c r="L138" s="25">
        <v>43699</v>
      </c>
      <c r="M138" s="25">
        <v>43713</v>
      </c>
    </row>
    <row r="139" spans="1:13" s="138" customFormat="1">
      <c r="A139" s="139">
        <f t="shared" si="2"/>
        <v>136</v>
      </c>
      <c r="B139" s="139" t="s">
        <v>1684</v>
      </c>
      <c r="C139" s="139" t="str">
        <f>IFERROR(VLOOKUP($B139,オブジェクト一覧!$C$5:$I$102,2,FALSE),"")</f>
        <v>t_salesdetail</v>
      </c>
      <c r="D139" s="139" t="str">
        <f>IFERROR(VLOOKUP($B139,オブジェクト一覧!$C$5:$I$102,5,FALSE),"")</f>
        <v>public</v>
      </c>
      <c r="E139" s="139" t="str">
        <f>IFERROR(VLOOKUP($B139,オブジェクト一覧!$C$5:$I$102,6,FALSE),"")</f>
        <v>kids</v>
      </c>
      <c r="F139" s="139" t="str">
        <f>IFERROR(VLOOKUP($B139,オブジェクト一覧!$C$5:$I$102,7,FALSE),"")</f>
        <v>TABLE</v>
      </c>
      <c r="G139" s="139" t="s">
        <v>1409</v>
      </c>
      <c r="H139" s="146" t="s">
        <v>1366</v>
      </c>
      <c r="I139" s="146" t="s">
        <v>1441</v>
      </c>
      <c r="J139" s="24" t="s">
        <v>1761</v>
      </c>
      <c r="K139" s="25">
        <v>43705</v>
      </c>
      <c r="L139" s="25">
        <v>43699</v>
      </c>
      <c r="M139" s="25">
        <v>43713</v>
      </c>
    </row>
    <row r="140" spans="1:13" s="138" customFormat="1">
      <c r="A140" s="139">
        <f t="shared" si="2"/>
        <v>137</v>
      </c>
      <c r="B140" s="139" t="s">
        <v>1762</v>
      </c>
      <c r="C140" s="139" t="str">
        <f>IFERROR(VLOOKUP($B140,オブジェクト一覧!$C$5:$I$102,2,FALSE),"")</f>
        <v>t_stockdetail</v>
      </c>
      <c r="D140" s="139" t="str">
        <f>IFERROR(VLOOKUP($B140,オブジェクト一覧!$C$5:$I$102,5,FALSE),"")</f>
        <v>public</v>
      </c>
      <c r="E140" s="139" t="str">
        <f>IFERROR(VLOOKUP($B140,オブジェクト一覧!$C$5:$I$102,6,FALSE),"")</f>
        <v>kids</v>
      </c>
      <c r="F140" s="139" t="str">
        <f>IFERROR(VLOOKUP($B140,オブジェクト一覧!$C$5:$I$102,7,FALSE),"")</f>
        <v>TABLE</v>
      </c>
      <c r="G140" s="139" t="s">
        <v>1763</v>
      </c>
      <c r="H140" s="146" t="s">
        <v>1366</v>
      </c>
      <c r="I140" s="146" t="s">
        <v>1441</v>
      </c>
      <c r="J140" s="24" t="s">
        <v>1761</v>
      </c>
      <c r="K140" s="25">
        <v>43705</v>
      </c>
      <c r="L140" s="25">
        <v>43699</v>
      </c>
      <c r="M140" s="25">
        <v>43713</v>
      </c>
    </row>
    <row r="141" spans="1:13" s="138" customFormat="1">
      <c r="A141" s="139">
        <f t="shared" si="2"/>
        <v>138</v>
      </c>
      <c r="B141" s="139" t="s">
        <v>1776</v>
      </c>
      <c r="C141" s="139" t="str">
        <f>IFERROR(VLOOKUP($B141,オブジェクト一覧!$C$5:$I$102,2,FALSE),"")</f>
        <v>m_groupattribute</v>
      </c>
      <c r="D141" s="139" t="str">
        <f>IFERROR(VLOOKUP($B141,オブジェクト一覧!$C$5:$I$102,5,FALSE),"")</f>
        <v>public</v>
      </c>
      <c r="E141" s="139" t="str">
        <f>IFERROR(VLOOKUP($B141,オブジェクト一覧!$C$5:$I$102,6,FALSE),"")</f>
        <v>kids</v>
      </c>
      <c r="F141" s="139" t="str">
        <f>IFERROR(VLOOKUP($B141,オブジェクト一覧!$C$5:$I$102,7,FALSE),"")</f>
        <v>TABLE</v>
      </c>
      <c r="G141" s="139" t="s">
        <v>1777</v>
      </c>
      <c r="H141" s="139" t="s">
        <v>1778</v>
      </c>
      <c r="I141" s="139" t="s">
        <v>1779</v>
      </c>
      <c r="J141" s="24" t="s">
        <v>1780</v>
      </c>
      <c r="K141" s="25">
        <v>43705</v>
      </c>
      <c r="L141" s="25">
        <v>43699</v>
      </c>
      <c r="M141" s="25">
        <v>43713</v>
      </c>
    </row>
    <row r="142" spans="1:13" s="138" customFormat="1">
      <c r="A142" s="139">
        <f t="shared" si="2"/>
        <v>139</v>
      </c>
      <c r="B142" s="146" t="s">
        <v>1781</v>
      </c>
      <c r="C142" s="146" t="str">
        <f>IFERROR(VLOOKUP($B142,オブジェクト一覧!$C$5:$I$102,2,FALSE),"")</f>
        <v>m_groupattributerelation</v>
      </c>
      <c r="D142" s="146" t="str">
        <f>IFERROR(VLOOKUP($B142,オブジェクト一覧!$C$5:$I$102,5,FALSE),"")</f>
        <v>public</v>
      </c>
      <c r="E142" s="146" t="str">
        <f>IFERROR(VLOOKUP($B142,オブジェクト一覧!$C$5:$I$102,6,FALSE),"")</f>
        <v>kids</v>
      </c>
      <c r="F142" s="146" t="str">
        <f>IFERROR(VLOOKUP($B142,オブジェクト一覧!$C$5:$I$102,7,FALSE),"")</f>
        <v>TABLE</v>
      </c>
      <c r="G142" s="146" t="s">
        <v>1777</v>
      </c>
      <c r="H142" s="146" t="s">
        <v>1778</v>
      </c>
      <c r="I142" s="146" t="s">
        <v>1779</v>
      </c>
      <c r="J142" s="24" t="s">
        <v>1780</v>
      </c>
      <c r="K142" s="25">
        <v>43705</v>
      </c>
      <c r="L142" s="25">
        <v>43699</v>
      </c>
      <c r="M142" s="25">
        <v>43713</v>
      </c>
    </row>
    <row r="143" spans="1:13" s="145" customFormat="1">
      <c r="A143" s="146">
        <f t="shared" si="2"/>
        <v>140</v>
      </c>
      <c r="B143" s="146" t="s">
        <v>1783</v>
      </c>
      <c r="C143" s="146" t="str">
        <f>IFERROR(VLOOKUP($B143,オブジェクト一覧!$C$5:$I$102,2,FALSE),"")</f>
        <v>m_company</v>
      </c>
      <c r="D143" s="146" t="str">
        <f>IFERROR(VLOOKUP($B143,オブジェクト一覧!$C$5:$I$102,5,FALSE),"")</f>
        <v>public</v>
      </c>
      <c r="E143" s="146" t="str">
        <f>IFERROR(VLOOKUP($B143,オブジェクト一覧!$C$5:$I$102,6,FALSE),"")</f>
        <v>kids</v>
      </c>
      <c r="F143" s="146" t="str">
        <f>IFERROR(VLOOKUP($B143,オブジェクト一覧!$C$5:$I$102,7,FALSE),"")</f>
        <v>TABLE</v>
      </c>
      <c r="G143" s="146" t="s">
        <v>1784</v>
      </c>
      <c r="H143" s="146" t="s">
        <v>1785</v>
      </c>
      <c r="I143" s="146" t="s">
        <v>1786</v>
      </c>
      <c r="J143" s="24" t="s">
        <v>1787</v>
      </c>
      <c r="K143" s="25">
        <v>43706</v>
      </c>
      <c r="L143" s="25">
        <v>43710</v>
      </c>
      <c r="M143" s="25">
        <v>43713</v>
      </c>
    </row>
    <row r="144" spans="1:13" s="145" customFormat="1">
      <c r="A144" s="146">
        <f t="shared" si="2"/>
        <v>141</v>
      </c>
      <c r="B144" s="150" t="s">
        <v>1783</v>
      </c>
      <c r="C144" s="146" t="str">
        <f>IFERROR(VLOOKUP($B144,オブジェクト一覧!$C$5:$I$102,2,FALSE),"")</f>
        <v>m_company</v>
      </c>
      <c r="D144" s="146" t="str">
        <f>IFERROR(VLOOKUP($B144,オブジェクト一覧!$C$5:$I$102,5,FALSE),"")</f>
        <v>public</v>
      </c>
      <c r="E144" s="146" t="str">
        <f>IFERROR(VLOOKUP($B144,オブジェクト一覧!$C$5:$I$102,6,FALSE),"")</f>
        <v>kids</v>
      </c>
      <c r="F144" s="146" t="str">
        <f>IFERROR(VLOOKUP($B144,オブジェクト一覧!$C$5:$I$102,7,FALSE),"")</f>
        <v>TABLE</v>
      </c>
      <c r="G144" s="146" t="s">
        <v>1789</v>
      </c>
      <c r="H144" s="150" t="s">
        <v>1785</v>
      </c>
      <c r="I144" s="146" t="s">
        <v>1790</v>
      </c>
      <c r="J144" s="24" t="s">
        <v>1787</v>
      </c>
      <c r="K144" s="25">
        <v>43706</v>
      </c>
      <c r="L144" s="25">
        <v>43710</v>
      </c>
      <c r="M144" s="25">
        <v>43713</v>
      </c>
    </row>
    <row r="145" spans="1:13" s="145" customFormat="1">
      <c r="A145" s="146">
        <f t="shared" si="2"/>
        <v>142</v>
      </c>
      <c r="B145" s="150" t="s">
        <v>1783</v>
      </c>
      <c r="C145" s="146" t="str">
        <f>IFERROR(VLOOKUP($B145,オブジェクト一覧!$C$5:$I$102,2,FALSE),"")</f>
        <v>m_company</v>
      </c>
      <c r="D145" s="146" t="str">
        <f>IFERROR(VLOOKUP($B145,オブジェクト一覧!$C$5:$I$102,5,FALSE),"")</f>
        <v>public</v>
      </c>
      <c r="E145" s="146" t="str">
        <f>IFERROR(VLOOKUP($B145,オブジェクト一覧!$C$5:$I$102,6,FALSE),"")</f>
        <v>kids</v>
      </c>
      <c r="F145" s="146" t="str">
        <f>IFERROR(VLOOKUP($B145,オブジェクト一覧!$C$5:$I$102,7,FALSE),"")</f>
        <v>TABLE</v>
      </c>
      <c r="G145" s="146" t="s">
        <v>1792</v>
      </c>
      <c r="H145" s="150" t="s">
        <v>1785</v>
      </c>
      <c r="I145" s="146" t="s">
        <v>1795</v>
      </c>
      <c r="J145" s="24" t="s">
        <v>1787</v>
      </c>
      <c r="K145" s="25">
        <v>43706</v>
      </c>
      <c r="L145" s="25">
        <v>43710</v>
      </c>
      <c r="M145" s="25">
        <v>43713</v>
      </c>
    </row>
    <row r="146" spans="1:13" s="145" customFormat="1">
      <c r="A146" s="146">
        <f t="shared" si="2"/>
        <v>143</v>
      </c>
      <c r="B146" s="146" t="s">
        <v>1796</v>
      </c>
      <c r="C146" s="146" t="str">
        <f>IFERROR(VLOOKUP($B146,オブジェクト一覧!$C$5:$I$102,2,FALSE),"")</f>
        <v>m_group</v>
      </c>
      <c r="D146" s="146" t="str">
        <f>IFERROR(VLOOKUP($B146,オブジェクト一覧!$C$5:$I$102,5,FALSE),"")</f>
        <v>public</v>
      </c>
      <c r="E146" s="146" t="str">
        <f>IFERROR(VLOOKUP($B146,オブジェクト一覧!$C$5:$I$102,6,FALSE),"")</f>
        <v>kids</v>
      </c>
      <c r="F146" s="146" t="str">
        <f>IFERROR(VLOOKUP($B146,オブジェクト一覧!$C$5:$I$102,7,FALSE),"")</f>
        <v>TABLE</v>
      </c>
      <c r="G146" s="146" t="s">
        <v>1794</v>
      </c>
      <c r="H146" s="150" t="s">
        <v>1785</v>
      </c>
      <c r="I146" s="146" t="s">
        <v>1798</v>
      </c>
      <c r="J146" s="24" t="s">
        <v>1787</v>
      </c>
      <c r="K146" s="25">
        <v>43706</v>
      </c>
      <c r="L146" s="25">
        <v>43710</v>
      </c>
      <c r="M146" s="25">
        <v>43713</v>
      </c>
    </row>
    <row r="147" spans="1:13" s="145" customFormat="1">
      <c r="A147" s="146">
        <f t="shared" si="2"/>
        <v>144</v>
      </c>
      <c r="B147" s="150" t="s">
        <v>1796</v>
      </c>
      <c r="C147" s="146" t="str">
        <f>IFERROR(VLOOKUP($B147,オブジェクト一覧!$C$5:$I$102,2,FALSE),"")</f>
        <v>m_group</v>
      </c>
      <c r="D147" s="146" t="str">
        <f>IFERROR(VLOOKUP($B147,オブジェクト一覧!$C$5:$I$102,5,FALSE),"")</f>
        <v>public</v>
      </c>
      <c r="E147" s="146" t="str">
        <f>IFERROR(VLOOKUP($B147,オブジェクト一覧!$C$5:$I$102,6,FALSE),"")</f>
        <v>kids</v>
      </c>
      <c r="F147" s="146" t="str">
        <f>IFERROR(VLOOKUP($B147,オブジェクト一覧!$C$5:$I$102,7,FALSE),"")</f>
        <v>TABLE</v>
      </c>
      <c r="G147" s="146" t="s">
        <v>1799</v>
      </c>
      <c r="H147" s="150" t="s">
        <v>1785</v>
      </c>
      <c r="I147" s="146" t="s">
        <v>1800</v>
      </c>
      <c r="J147" s="24" t="s">
        <v>1787</v>
      </c>
      <c r="K147" s="25">
        <v>43706</v>
      </c>
      <c r="L147" s="25">
        <v>43710</v>
      </c>
      <c r="M147" s="25">
        <v>43713</v>
      </c>
    </row>
    <row r="148" spans="1:13" s="145" customFormat="1">
      <c r="A148" s="146">
        <f t="shared" si="2"/>
        <v>145</v>
      </c>
      <c r="B148" s="150" t="s">
        <v>1796</v>
      </c>
      <c r="C148" s="146" t="str">
        <f>IFERROR(VLOOKUP($B148,オブジェクト一覧!$C$5:$I$102,2,FALSE),"")</f>
        <v>m_group</v>
      </c>
      <c r="D148" s="146" t="str">
        <f>IFERROR(VLOOKUP($B148,オブジェクト一覧!$C$5:$I$102,5,FALSE),"")</f>
        <v>public</v>
      </c>
      <c r="E148" s="146" t="str">
        <f>IFERROR(VLOOKUP($B148,オブジェクト一覧!$C$5:$I$102,6,FALSE),"")</f>
        <v>kids</v>
      </c>
      <c r="F148" s="146" t="str">
        <f>IFERROR(VLOOKUP($B148,オブジェクト一覧!$C$5:$I$102,7,FALSE),"")</f>
        <v>TABLE</v>
      </c>
      <c r="G148" s="146" t="s">
        <v>1802</v>
      </c>
      <c r="H148" s="150" t="s">
        <v>1785</v>
      </c>
      <c r="I148" s="146" t="s">
        <v>1803</v>
      </c>
      <c r="J148" s="24" t="s">
        <v>1787</v>
      </c>
      <c r="K148" s="25">
        <v>43706</v>
      </c>
      <c r="L148" s="25">
        <v>43710</v>
      </c>
      <c r="M148" s="25">
        <v>43713</v>
      </c>
    </row>
    <row r="149" spans="1:13" s="145" customFormat="1">
      <c r="A149" s="146">
        <f t="shared" si="2"/>
        <v>146</v>
      </c>
      <c r="B149" s="150" t="s">
        <v>1796</v>
      </c>
      <c r="C149" s="150" t="str">
        <f>IFERROR(VLOOKUP($B149,オブジェクト一覧!$C$5:$I$102,2,FALSE),"")</f>
        <v>m_group</v>
      </c>
      <c r="D149" s="150" t="str">
        <f>IFERROR(VLOOKUP($B149,オブジェクト一覧!$C$5:$I$102,5,FALSE),"")</f>
        <v>public</v>
      </c>
      <c r="E149" s="150" t="str">
        <f>IFERROR(VLOOKUP($B149,オブジェクト一覧!$C$5:$I$102,6,FALSE),"")</f>
        <v>kids</v>
      </c>
      <c r="F149" s="150" t="str">
        <f>IFERROR(VLOOKUP($B149,オブジェクト一覧!$C$5:$I$102,7,FALSE),"")</f>
        <v>TABLE</v>
      </c>
      <c r="G149" s="146" t="s">
        <v>1805</v>
      </c>
      <c r="H149" s="150" t="s">
        <v>1785</v>
      </c>
      <c r="I149" s="146" t="s">
        <v>1806</v>
      </c>
      <c r="J149" s="24" t="s">
        <v>1787</v>
      </c>
      <c r="K149" s="25">
        <v>43706</v>
      </c>
      <c r="L149" s="25">
        <v>43710</v>
      </c>
      <c r="M149" s="25">
        <v>43713</v>
      </c>
    </row>
    <row r="150" spans="1:13" s="145" customFormat="1">
      <c r="A150" s="146">
        <f t="shared" si="2"/>
        <v>147</v>
      </c>
      <c r="B150" s="146" t="s">
        <v>1808</v>
      </c>
      <c r="C150" s="146" t="str">
        <f>IFERROR(VLOOKUP($B150,オブジェクト一覧!$C$5:$I$102,2,FALSE),"")</f>
        <v>m_user</v>
      </c>
      <c r="D150" s="146" t="str">
        <f>IFERROR(VLOOKUP($B150,オブジェクト一覧!$C$5:$I$102,5,FALSE),"")</f>
        <v>public</v>
      </c>
      <c r="E150" s="146" t="str">
        <f>IFERROR(VLOOKUP($B150,オブジェクト一覧!$C$5:$I$102,6,FALSE),"")</f>
        <v>kids</v>
      </c>
      <c r="F150" s="146" t="str">
        <f>IFERROR(VLOOKUP($B150,オブジェクト一覧!$C$5:$I$102,7,FALSE),"")</f>
        <v>TABLE</v>
      </c>
      <c r="G150" s="150" t="s">
        <v>798</v>
      </c>
      <c r="H150" s="150" t="s">
        <v>1785</v>
      </c>
      <c r="I150" s="150" t="s">
        <v>1809</v>
      </c>
      <c r="J150" s="24" t="s">
        <v>1787</v>
      </c>
      <c r="K150" s="25">
        <v>43706</v>
      </c>
      <c r="L150" s="25">
        <v>43710</v>
      </c>
      <c r="M150" s="25">
        <v>43713</v>
      </c>
    </row>
    <row r="151" spans="1:13" s="145" customFormat="1">
      <c r="A151" s="146">
        <f t="shared" si="2"/>
        <v>148</v>
      </c>
      <c r="B151" s="150" t="s">
        <v>1808</v>
      </c>
      <c r="C151" s="146" t="str">
        <f>IFERROR(VLOOKUP($B151,オブジェクト一覧!$C$5:$I$102,2,FALSE),"")</f>
        <v>m_user</v>
      </c>
      <c r="D151" s="146" t="str">
        <f>IFERROR(VLOOKUP($B151,オブジェクト一覧!$C$5:$I$102,5,FALSE),"")</f>
        <v>public</v>
      </c>
      <c r="E151" s="146" t="str">
        <f>IFERROR(VLOOKUP($B151,オブジェクト一覧!$C$5:$I$102,6,FALSE),"")</f>
        <v>kids</v>
      </c>
      <c r="F151" s="146" t="str">
        <f>IFERROR(VLOOKUP($B151,オブジェクト一覧!$C$5:$I$102,7,FALSE),"")</f>
        <v>TABLE</v>
      </c>
      <c r="G151" s="150" t="s">
        <v>799</v>
      </c>
      <c r="H151" s="146" t="s">
        <v>1785</v>
      </c>
      <c r="I151" s="150" t="s">
        <v>1810</v>
      </c>
      <c r="J151" s="24" t="s">
        <v>1787</v>
      </c>
      <c r="K151" s="25">
        <v>43706</v>
      </c>
      <c r="L151" s="25">
        <v>43710</v>
      </c>
      <c r="M151" s="25">
        <v>43713</v>
      </c>
    </row>
    <row r="152" spans="1:13" s="122" customFormat="1">
      <c r="A152" s="123">
        <f t="shared" si="2"/>
        <v>149</v>
      </c>
      <c r="B152" s="151" t="s">
        <v>1621</v>
      </c>
      <c r="C152" s="151" t="str">
        <f>IFERROR(VLOOKUP($B152,オブジェクト一覧!$C$5:$I$102,2,FALSE),"")</f>
        <v>t_estimatedetail</v>
      </c>
      <c r="D152" s="151" t="str">
        <f>IFERROR(VLOOKUP($B152,オブジェクト一覧!$C$5:$I$102,5,FALSE),"")</f>
        <v>public</v>
      </c>
      <c r="E152" s="151" t="str">
        <f>IFERROR(VLOOKUP($B152,オブジェクト一覧!$C$5:$I$102,6,FALSE),"")</f>
        <v>kids</v>
      </c>
      <c r="F152" s="151" t="str">
        <f>IFERROR(VLOOKUP($B152,オブジェクト一覧!$C$5:$I$102,7,FALSE),"")</f>
        <v>TABLE</v>
      </c>
      <c r="G152" s="123" t="s">
        <v>1814</v>
      </c>
      <c r="H152" s="151" t="s">
        <v>1377</v>
      </c>
      <c r="I152" s="123" t="s">
        <v>1815</v>
      </c>
      <c r="J152" s="24" t="s">
        <v>1816</v>
      </c>
      <c r="K152" s="25">
        <v>43706</v>
      </c>
      <c r="L152" s="25">
        <v>43710</v>
      </c>
      <c r="M152" s="25">
        <v>43713</v>
      </c>
    </row>
    <row r="153" spans="1:13" s="149" customFormat="1">
      <c r="A153" s="150">
        <f t="shared" si="2"/>
        <v>150</v>
      </c>
      <c r="B153" s="150" t="s">
        <v>1462</v>
      </c>
      <c r="C153" s="151" t="str">
        <f>IFERROR(VLOOKUP($B153,オブジェクト一覧!$C$5:$I$102,2,FALSE),"")</f>
        <v>t_purchaseorderdetail</v>
      </c>
      <c r="D153" s="151" t="str">
        <f>IFERROR(VLOOKUP($B153,オブジェクト一覧!$C$5:$I$102,5,FALSE),"")</f>
        <v>public</v>
      </c>
      <c r="E153" s="151" t="str">
        <f>IFERROR(VLOOKUP($B153,オブジェクト一覧!$C$5:$I$102,6,FALSE),"")</f>
        <v>kids</v>
      </c>
      <c r="F153" s="151" t="str">
        <f>IFERROR(VLOOKUP($B153,オブジェクト一覧!$C$5:$I$102,7,FALSE),"")</f>
        <v>TABLE</v>
      </c>
      <c r="G153" s="150" t="s">
        <v>1301</v>
      </c>
      <c r="H153" s="152" t="s">
        <v>1377</v>
      </c>
      <c r="I153" s="152" t="s">
        <v>1817</v>
      </c>
      <c r="J153" s="24" t="s">
        <v>1787</v>
      </c>
      <c r="K153" s="25">
        <v>43706</v>
      </c>
      <c r="L153" s="25">
        <v>43710</v>
      </c>
      <c r="M153" s="25">
        <v>43713</v>
      </c>
    </row>
    <row r="154" spans="1:13" s="149" customFormat="1">
      <c r="A154" s="150">
        <f t="shared" si="2"/>
        <v>151</v>
      </c>
      <c r="B154" s="152" t="s">
        <v>1462</v>
      </c>
      <c r="C154" s="151" t="str">
        <f>IFERROR(VLOOKUP($B154,オブジェクト一覧!$C$5:$I$102,2,FALSE),"")</f>
        <v>t_purchaseorderdetail</v>
      </c>
      <c r="D154" s="151" t="str">
        <f>IFERROR(VLOOKUP($B154,オブジェクト一覧!$C$5:$I$102,5,FALSE),"")</f>
        <v>public</v>
      </c>
      <c r="E154" s="151" t="str">
        <f>IFERROR(VLOOKUP($B154,オブジェクト一覧!$C$5:$I$102,6,FALSE),"")</f>
        <v>kids</v>
      </c>
      <c r="F154" s="151" t="str">
        <f>IFERROR(VLOOKUP($B154,オブジェクト一覧!$C$5:$I$102,7,FALSE),"")</f>
        <v>TABLE</v>
      </c>
      <c r="G154" s="150" t="s">
        <v>1302</v>
      </c>
      <c r="H154" s="152" t="s">
        <v>1377</v>
      </c>
      <c r="I154" s="152" t="s">
        <v>1818</v>
      </c>
      <c r="J154" s="24" t="s">
        <v>1787</v>
      </c>
      <c r="K154" s="25">
        <v>43706</v>
      </c>
      <c r="L154" s="25">
        <v>43710</v>
      </c>
      <c r="M154" s="25">
        <v>43713</v>
      </c>
    </row>
    <row r="155" spans="1:13" s="149" customFormat="1">
      <c r="A155" s="150">
        <f t="shared" si="2"/>
        <v>152</v>
      </c>
      <c r="B155" s="150" t="s">
        <v>1819</v>
      </c>
      <c r="C155" s="151" t="str">
        <f>IFERROR(VLOOKUP($B155,オブジェクト一覧!$C$5:$I$102,2,FALSE),"")</f>
        <v>t_slipdetail</v>
      </c>
      <c r="D155" s="151" t="str">
        <f>IFERROR(VLOOKUP($B155,オブジェクト一覧!$C$5:$I$102,5,FALSE),"")</f>
        <v>public</v>
      </c>
      <c r="E155" s="151" t="str">
        <f>IFERROR(VLOOKUP($B155,オブジェクト一覧!$C$5:$I$102,6,FALSE),"")</f>
        <v>kids</v>
      </c>
      <c r="F155" s="151" t="str">
        <f>IFERROR(VLOOKUP($B155,オブジェクト一覧!$C$5:$I$102,7,FALSE),"")</f>
        <v>TABLE</v>
      </c>
      <c r="G155" s="152" t="s">
        <v>1301</v>
      </c>
      <c r="H155" s="152" t="s">
        <v>1377</v>
      </c>
      <c r="I155" s="152" t="s">
        <v>1817</v>
      </c>
      <c r="J155" s="24" t="s">
        <v>1787</v>
      </c>
      <c r="K155" s="25">
        <v>43706</v>
      </c>
      <c r="L155" s="25">
        <v>43710</v>
      </c>
      <c r="M155" s="25">
        <v>43713</v>
      </c>
    </row>
    <row r="156" spans="1:13" s="149" customFormat="1">
      <c r="A156" s="150">
        <f t="shared" si="2"/>
        <v>153</v>
      </c>
      <c r="B156" s="152" t="s">
        <v>1819</v>
      </c>
      <c r="C156" s="151" t="str">
        <f>IFERROR(VLOOKUP($B156,オブジェクト一覧!$C$5:$I$102,2,FALSE),"")</f>
        <v>t_slipdetail</v>
      </c>
      <c r="D156" s="151" t="str">
        <f>IFERROR(VLOOKUP($B156,オブジェクト一覧!$C$5:$I$102,5,FALSE),"")</f>
        <v>public</v>
      </c>
      <c r="E156" s="151" t="str">
        <f>IFERROR(VLOOKUP($B156,オブジェクト一覧!$C$5:$I$102,6,FALSE),"")</f>
        <v>kids</v>
      </c>
      <c r="F156" s="151" t="str">
        <f>IFERROR(VLOOKUP($B156,オブジェクト一覧!$C$5:$I$102,7,FALSE),"")</f>
        <v>TABLE</v>
      </c>
      <c r="G156" s="152" t="s">
        <v>1302</v>
      </c>
      <c r="H156" s="152" t="s">
        <v>1377</v>
      </c>
      <c r="I156" s="152" t="s">
        <v>1818</v>
      </c>
      <c r="J156" s="24" t="s">
        <v>1787</v>
      </c>
      <c r="K156" s="25">
        <v>43706</v>
      </c>
      <c r="L156" s="25">
        <v>43710</v>
      </c>
      <c r="M156" s="25">
        <v>43713</v>
      </c>
    </row>
    <row r="157" spans="1:13" s="149" customFormat="1">
      <c r="A157" s="150">
        <f t="shared" si="2"/>
        <v>154</v>
      </c>
      <c r="B157" s="150" t="s">
        <v>1829</v>
      </c>
      <c r="C157" s="151" t="str">
        <f>IFERROR(VLOOKUP($B157,オブジェクト一覧!$C$5:$I$102,2,FALSE),"")</f>
        <v>m_stockcompanycode</v>
      </c>
      <c r="D157" s="151" t="str">
        <f>IFERROR(VLOOKUP($B157,オブジェクト一覧!$C$5:$I$102,5,FALSE),"")</f>
        <v>public</v>
      </c>
      <c r="E157" s="151" t="str">
        <f>IFERROR(VLOOKUP($B157,オブジェクト一覧!$C$5:$I$102,6,FALSE),"")</f>
        <v>kids</v>
      </c>
      <c r="F157" s="151" t="str">
        <f>IFERROR(VLOOKUP($B157,オブジェクト一覧!$C$5:$I$102,7,FALSE),"")</f>
        <v>TABLE</v>
      </c>
      <c r="G157" s="150" t="s">
        <v>1830</v>
      </c>
      <c r="H157" s="150" t="s">
        <v>1366</v>
      </c>
      <c r="I157" s="150" t="s">
        <v>1831</v>
      </c>
      <c r="J157" s="24" t="s">
        <v>1832</v>
      </c>
      <c r="K157" s="25">
        <v>43710</v>
      </c>
      <c r="L157" s="25">
        <v>43710</v>
      </c>
      <c r="M157" s="25">
        <v>43713</v>
      </c>
    </row>
    <row r="158" spans="1:13" s="149" customFormat="1" ht="26.4">
      <c r="A158" s="150">
        <f t="shared" si="2"/>
        <v>155</v>
      </c>
      <c r="B158" s="150" t="s">
        <v>1833</v>
      </c>
      <c r="C158" s="151" t="str">
        <f>IFERROR(VLOOKUP($B158,オブジェクト一覧!$C$5:$I$102,2,FALSE),"")</f>
        <v>m_invoice</v>
      </c>
      <c r="D158" s="151" t="str">
        <f>IFERROR(VLOOKUP($B158,オブジェクト一覧!$C$5:$I$102,5,FALSE),"")</f>
        <v>public</v>
      </c>
      <c r="E158" s="151" t="str">
        <f>IFERROR(VLOOKUP($B158,オブジェクト一覧!$C$5:$I$102,6,FALSE),"")</f>
        <v>kids</v>
      </c>
      <c r="F158" s="151" t="str">
        <f>IFERROR(VLOOKUP($B158,オブジェクト一覧!$C$5:$I$102,7,FALSE),"")</f>
        <v>TABLE</v>
      </c>
      <c r="G158" s="150" t="s">
        <v>1834</v>
      </c>
      <c r="H158" s="157" t="s">
        <v>1366</v>
      </c>
      <c r="I158" s="150" t="s">
        <v>1835</v>
      </c>
      <c r="J158" s="24" t="s">
        <v>1836</v>
      </c>
      <c r="K158" s="25">
        <v>43712</v>
      </c>
      <c r="L158" s="25">
        <v>43713</v>
      </c>
      <c r="M158" s="25">
        <v>43713</v>
      </c>
    </row>
    <row r="159" spans="1:13" s="149" customFormat="1">
      <c r="A159" s="150">
        <f t="shared" si="2"/>
        <v>156</v>
      </c>
      <c r="B159" s="150" t="s">
        <v>1417</v>
      </c>
      <c r="C159" s="151" t="s">
        <v>1841</v>
      </c>
      <c r="D159" s="151" t="s">
        <v>1842</v>
      </c>
      <c r="E159" s="151" t="s">
        <v>1843</v>
      </c>
      <c r="F159" s="151" t="s">
        <v>1844</v>
      </c>
      <c r="G159" s="150" t="s">
        <v>1837</v>
      </c>
      <c r="H159" s="150" t="s">
        <v>1838</v>
      </c>
      <c r="I159" s="150" t="s">
        <v>1839</v>
      </c>
      <c r="J159" s="162" t="s">
        <v>1840</v>
      </c>
      <c r="K159" s="25">
        <v>43712</v>
      </c>
      <c r="L159" s="25">
        <v>43713</v>
      </c>
      <c r="M159" s="25">
        <v>43713</v>
      </c>
    </row>
    <row r="160" spans="1:13" s="149" customFormat="1" ht="26.4">
      <c r="A160" s="150">
        <f t="shared" si="2"/>
        <v>157</v>
      </c>
      <c r="B160" s="159" t="s">
        <v>1261</v>
      </c>
      <c r="C160" s="151" t="str">
        <f>IFERROR(VLOOKUP($B160,オブジェクト一覧!$C$5:$I$102,2,FALSE),"")</f>
        <v>m_invoice</v>
      </c>
      <c r="D160" s="151" t="str">
        <f>IFERROR(VLOOKUP($B160,オブジェクト一覧!$C$5:$I$102,5,FALSE),"")</f>
        <v>public</v>
      </c>
      <c r="E160" s="151" t="str">
        <f>IFERROR(VLOOKUP($B160,オブジェクト一覧!$C$5:$I$102,6,FALSE),"")</f>
        <v>kids</v>
      </c>
      <c r="F160" s="151" t="str">
        <f>IFERROR(VLOOKUP($B160,オブジェクト一覧!$C$5:$I$102,7,FALSE),"")</f>
        <v>TABLE</v>
      </c>
      <c r="G160" s="159" t="s">
        <v>1509</v>
      </c>
      <c r="H160" s="159" t="s">
        <v>1377</v>
      </c>
      <c r="I160" s="150" t="s">
        <v>1847</v>
      </c>
      <c r="J160" s="24" t="s">
        <v>1849</v>
      </c>
      <c r="K160" s="25">
        <v>43713</v>
      </c>
      <c r="L160" s="25">
        <v>43713</v>
      </c>
      <c r="M160" s="25">
        <v>43713</v>
      </c>
    </row>
    <row r="161" spans="1:13" s="149" customFormat="1" ht="26.4">
      <c r="A161" s="150">
        <f t="shared" si="2"/>
        <v>158</v>
      </c>
      <c r="B161" s="159" t="s">
        <v>1261</v>
      </c>
      <c r="C161" s="151" t="str">
        <f>IFERROR(VLOOKUP($B161,オブジェクト一覧!$C$5:$I$102,2,FALSE),"")</f>
        <v>m_invoice</v>
      </c>
      <c r="D161" s="151" t="str">
        <f>IFERROR(VLOOKUP($B161,オブジェクト一覧!$C$5:$I$102,5,FALSE),"")</f>
        <v>public</v>
      </c>
      <c r="E161" s="151" t="str">
        <f>IFERROR(VLOOKUP($B161,オブジェクト一覧!$C$5:$I$102,6,FALSE),"")</f>
        <v>kids</v>
      </c>
      <c r="F161" s="151" t="str">
        <f>IFERROR(VLOOKUP($B161,オブジェクト一覧!$C$5:$I$102,7,FALSE),"")</f>
        <v>TABLE</v>
      </c>
      <c r="G161" s="159" t="s">
        <v>1499</v>
      </c>
      <c r="H161" s="159" t="s">
        <v>1377</v>
      </c>
      <c r="I161" s="150" t="s">
        <v>1848</v>
      </c>
      <c r="J161" s="24" t="s">
        <v>1849</v>
      </c>
      <c r="K161" s="25">
        <v>43713</v>
      </c>
      <c r="L161" s="25">
        <v>43713</v>
      </c>
      <c r="M161" s="25">
        <v>43713</v>
      </c>
    </row>
    <row r="162" spans="1:13" s="149" customFormat="1" ht="26.4">
      <c r="A162" s="150">
        <f t="shared" si="2"/>
        <v>159</v>
      </c>
      <c r="B162" s="159" t="s">
        <v>1261</v>
      </c>
      <c r="C162" s="159" t="str">
        <f>IFERROR(VLOOKUP($B162,オブジェクト一覧!$C$5:$I$102,2,FALSE),"")</f>
        <v>m_invoice</v>
      </c>
      <c r="D162" s="159" t="str">
        <f>IFERROR(VLOOKUP($B162,オブジェクト一覧!$C$5:$I$102,5,FALSE),"")</f>
        <v>public</v>
      </c>
      <c r="E162" s="159" t="str">
        <f>IFERROR(VLOOKUP($B162,オブジェクト一覧!$C$5:$I$102,6,FALSE),"")</f>
        <v>kids</v>
      </c>
      <c r="F162" s="159" t="str">
        <f>IFERROR(VLOOKUP($B162,オブジェクト一覧!$C$5:$I$102,7,FALSE),"")</f>
        <v>TABLE</v>
      </c>
      <c r="G162" s="159" t="s">
        <v>1850</v>
      </c>
      <c r="H162" s="159" t="s">
        <v>1366</v>
      </c>
      <c r="I162" s="159" t="s">
        <v>1441</v>
      </c>
      <c r="J162" s="24" t="s">
        <v>1849</v>
      </c>
      <c r="K162" s="25">
        <v>43713</v>
      </c>
      <c r="L162" s="25">
        <v>43713</v>
      </c>
      <c r="M162" s="25">
        <v>43713</v>
      </c>
    </row>
    <row r="163" spans="1:13" s="149" customFormat="1" ht="26.4">
      <c r="A163" s="150">
        <f t="shared" si="2"/>
        <v>160</v>
      </c>
      <c r="B163" s="159" t="s">
        <v>1261</v>
      </c>
      <c r="C163" s="159" t="str">
        <f>IFERROR(VLOOKUP($B163,オブジェクト一覧!$C$5:$I$102,2,FALSE),"")</f>
        <v>m_invoice</v>
      </c>
      <c r="D163" s="159" t="str">
        <f>IFERROR(VLOOKUP($B163,オブジェクト一覧!$C$5:$I$102,5,FALSE),"")</f>
        <v>public</v>
      </c>
      <c r="E163" s="159" t="str">
        <f>IFERROR(VLOOKUP($B163,オブジェクト一覧!$C$5:$I$102,6,FALSE),"")</f>
        <v>kids</v>
      </c>
      <c r="F163" s="159" t="str">
        <f>IFERROR(VLOOKUP($B163,オブジェクト一覧!$C$5:$I$102,7,FALSE),"")</f>
        <v>TABLE</v>
      </c>
      <c r="G163" s="159" t="s">
        <v>1851</v>
      </c>
      <c r="H163" s="159" t="s">
        <v>1366</v>
      </c>
      <c r="I163" s="159" t="s">
        <v>1441</v>
      </c>
      <c r="J163" s="24" t="s">
        <v>1849</v>
      </c>
      <c r="K163" s="25">
        <v>43713</v>
      </c>
      <c r="L163" s="25">
        <v>43713</v>
      </c>
      <c r="M163" s="25">
        <v>43713</v>
      </c>
    </row>
    <row r="164" spans="1:13" s="158" customFormat="1" ht="26.4">
      <c r="A164" s="159">
        <f t="shared" si="2"/>
        <v>161</v>
      </c>
      <c r="B164" s="159" t="s">
        <v>1261</v>
      </c>
      <c r="C164" s="159" t="str">
        <f>IFERROR(VLOOKUP($B164,オブジェクト一覧!$C$5:$I$102,2,FALSE),"")</f>
        <v>m_invoice</v>
      </c>
      <c r="D164" s="159" t="str">
        <f>IFERROR(VLOOKUP($B164,オブジェクト一覧!$C$5:$I$102,5,FALSE),"")</f>
        <v>public</v>
      </c>
      <c r="E164" s="159" t="str">
        <f>IFERROR(VLOOKUP($B164,オブジェクト一覧!$C$5:$I$102,6,FALSE),"")</f>
        <v>kids</v>
      </c>
      <c r="F164" s="159" t="str">
        <f>IFERROR(VLOOKUP($B164,オブジェクト一覧!$C$5:$I$102,7,FALSE),"")</f>
        <v>TABLE</v>
      </c>
      <c r="G164" s="159" t="s">
        <v>1852</v>
      </c>
      <c r="H164" s="159" t="s">
        <v>1366</v>
      </c>
      <c r="I164" s="159" t="s">
        <v>1441</v>
      </c>
      <c r="J164" s="24" t="s">
        <v>1849</v>
      </c>
      <c r="K164" s="25">
        <v>43713</v>
      </c>
      <c r="L164" s="25">
        <v>43713</v>
      </c>
      <c r="M164" s="25">
        <v>43713</v>
      </c>
    </row>
    <row r="165" spans="1:13" s="158" customFormat="1" ht="26.4">
      <c r="A165" s="159">
        <f t="shared" si="2"/>
        <v>162</v>
      </c>
      <c r="B165" s="159" t="s">
        <v>1261</v>
      </c>
      <c r="C165" s="159" t="str">
        <f>IFERROR(VLOOKUP($B165,オブジェクト一覧!$C$5:$I$102,2,FALSE),"")</f>
        <v>m_invoice</v>
      </c>
      <c r="D165" s="159" t="str">
        <f>IFERROR(VLOOKUP($B165,オブジェクト一覧!$C$5:$I$102,5,FALSE),"")</f>
        <v>public</v>
      </c>
      <c r="E165" s="159" t="str">
        <f>IFERROR(VLOOKUP($B165,オブジェクト一覧!$C$5:$I$102,6,FALSE),"")</f>
        <v>kids</v>
      </c>
      <c r="F165" s="159" t="str">
        <f>IFERROR(VLOOKUP($B165,オブジェクト一覧!$C$5:$I$102,7,FALSE),"")</f>
        <v>TABLE</v>
      </c>
      <c r="G165" s="159" t="s">
        <v>1853</v>
      </c>
      <c r="H165" s="159" t="s">
        <v>1366</v>
      </c>
      <c r="I165" s="159" t="s">
        <v>1441</v>
      </c>
      <c r="J165" s="24" t="s">
        <v>1849</v>
      </c>
      <c r="K165" s="25">
        <v>43713</v>
      </c>
      <c r="L165" s="25">
        <v>43713</v>
      </c>
      <c r="M165" s="25">
        <v>43713</v>
      </c>
    </row>
    <row r="166" spans="1:13" s="149" customFormat="1" ht="26.4">
      <c r="A166" s="150">
        <f t="shared" si="2"/>
        <v>163</v>
      </c>
      <c r="B166" s="150" t="s">
        <v>1861</v>
      </c>
      <c r="C166" s="151" t="str">
        <f>IFERROR(VLOOKUP($B166,オブジェクト一覧!$C$5:$I$102,2,FALSE),"")</f>
        <v>m_company</v>
      </c>
      <c r="D166" s="151" t="str">
        <f>IFERROR(VLOOKUP($B166,オブジェクト一覧!$C$5:$I$102,5,FALSE),"")</f>
        <v>public</v>
      </c>
      <c r="E166" s="151" t="str">
        <f>IFERROR(VLOOKUP($B166,オブジェクト一覧!$C$5:$I$102,6,FALSE),"")</f>
        <v>kids</v>
      </c>
      <c r="F166" s="151" t="str">
        <f>IFERROR(VLOOKUP($B166,オブジェクト一覧!$C$5:$I$102,7,FALSE),"")</f>
        <v>TABLE</v>
      </c>
      <c r="G166" s="150" t="s">
        <v>1860</v>
      </c>
      <c r="H166" s="150" t="s">
        <v>1862</v>
      </c>
      <c r="I166" s="150" t="s">
        <v>1453</v>
      </c>
      <c r="J166" s="24" t="s">
        <v>1863</v>
      </c>
      <c r="K166" s="25">
        <v>43713</v>
      </c>
      <c r="L166" s="25">
        <v>43713</v>
      </c>
      <c r="M166" s="25">
        <v>43713</v>
      </c>
    </row>
    <row r="167" spans="1:13" s="149" customFormat="1" ht="26.4">
      <c r="A167" s="150">
        <f t="shared" si="2"/>
        <v>164</v>
      </c>
      <c r="B167" s="159" t="s">
        <v>1861</v>
      </c>
      <c r="C167" s="159" t="str">
        <f>IFERROR(VLOOKUP($B167,オブジェクト一覧!$C$5:$I$102,2,FALSE),"")</f>
        <v>m_company</v>
      </c>
      <c r="D167" s="151" t="str">
        <f>IFERROR(VLOOKUP($B167,オブジェクト一覧!$C$5:$I$102,5,FALSE),"")</f>
        <v>public</v>
      </c>
      <c r="E167" s="151" t="str">
        <f>IFERROR(VLOOKUP($B167,オブジェクト一覧!$C$5:$I$102,6,FALSE),"")</f>
        <v>kids</v>
      </c>
      <c r="F167" s="151" t="str">
        <f>IFERROR(VLOOKUP($B167,オブジェクト一覧!$C$5:$I$102,7,FALSE),"")</f>
        <v>TABLE</v>
      </c>
      <c r="G167" s="150" t="s">
        <v>1866</v>
      </c>
      <c r="H167" s="150" t="s">
        <v>1867</v>
      </c>
      <c r="I167" s="150" t="s">
        <v>1868</v>
      </c>
      <c r="J167" s="24" t="s">
        <v>1869</v>
      </c>
      <c r="K167" s="25">
        <v>43713</v>
      </c>
      <c r="L167" s="25">
        <v>43713</v>
      </c>
      <c r="M167" s="25">
        <v>43713</v>
      </c>
    </row>
    <row r="168" spans="1:13" s="158" customFormat="1">
      <c r="A168" s="159">
        <f t="shared" si="2"/>
        <v>165</v>
      </c>
      <c r="B168" s="159" t="s">
        <v>1870</v>
      </c>
      <c r="C168" s="159" t="str">
        <f>IFERROR(VLOOKUP($B168,オブジェクト一覧!$C$5:$I$102,2,FALSE),"")</f>
        <v>m_order</v>
      </c>
      <c r="D168" s="159" t="str">
        <f>IFERROR(VLOOKUP($B168,オブジェクト一覧!$C$5:$I$102,5,FALSE),"")</f>
        <v>public</v>
      </c>
      <c r="E168" s="159" t="str">
        <f>IFERROR(VLOOKUP($B168,オブジェクト一覧!$C$5:$I$102,6,FALSE),"")</f>
        <v>kids</v>
      </c>
      <c r="F168" s="159" t="str">
        <f>IFERROR(VLOOKUP($B168,オブジェクト一覧!$C$5:$I$102,7,FALSE),"")</f>
        <v>TABLE</v>
      </c>
      <c r="G168" s="159" t="s">
        <v>1871</v>
      </c>
      <c r="H168" s="159" t="s">
        <v>1862</v>
      </c>
      <c r="I168" s="159" t="s">
        <v>1453</v>
      </c>
      <c r="J168" s="24" t="s">
        <v>1872</v>
      </c>
      <c r="K168" s="25">
        <v>43713</v>
      </c>
      <c r="L168" s="25">
        <v>43713</v>
      </c>
      <c r="M168" s="25">
        <v>43713</v>
      </c>
    </row>
    <row r="169" spans="1:13" s="158" customFormat="1">
      <c r="A169" s="159">
        <f t="shared" si="2"/>
        <v>166</v>
      </c>
      <c r="B169" s="159" t="s">
        <v>1475</v>
      </c>
      <c r="C169" s="159" t="str">
        <f>IFERROR(VLOOKUP($B169,オブジェクト一覧!$C$5:$I$102,2,FALSE),"")</f>
        <v>t_stockdetail</v>
      </c>
      <c r="D169" s="159" t="str">
        <f>IFERROR(VLOOKUP($B169,オブジェクト一覧!$C$5:$I$102,5,FALSE),"")</f>
        <v>public</v>
      </c>
      <c r="E169" s="159" t="str">
        <f>IFERROR(VLOOKUP($B169,オブジェクト一覧!$C$5:$I$102,6,FALSE),"")</f>
        <v>kids</v>
      </c>
      <c r="F169" s="159" t="str">
        <f>IFERROR(VLOOKUP($B169,オブジェクト一覧!$C$5:$I$102,7,FALSE),"")</f>
        <v>TABLE</v>
      </c>
      <c r="G169" s="159" t="s">
        <v>1873</v>
      </c>
      <c r="H169" s="159" t="s">
        <v>1862</v>
      </c>
      <c r="I169" s="159" t="s">
        <v>1453</v>
      </c>
      <c r="J169" s="24" t="s">
        <v>1561</v>
      </c>
      <c r="K169" s="25">
        <v>43713</v>
      </c>
      <c r="L169" s="25">
        <v>43713</v>
      </c>
      <c r="M169" s="25">
        <v>43713</v>
      </c>
    </row>
    <row r="170" spans="1:13" s="158" customFormat="1">
      <c r="A170" s="159">
        <f t="shared" si="2"/>
        <v>167</v>
      </c>
      <c r="B170" s="159" t="s">
        <v>1684</v>
      </c>
      <c r="C170" s="159" t="str">
        <f>IFERROR(VLOOKUP($B170,オブジェクト一覧!$C$5:$I$102,2,FALSE),"")</f>
        <v>t_salesdetail</v>
      </c>
      <c r="D170" s="159" t="str">
        <f>IFERROR(VLOOKUP($B170,オブジェクト一覧!$C$5:$I$102,5,FALSE),"")</f>
        <v>public</v>
      </c>
      <c r="E170" s="159" t="str">
        <f>IFERROR(VLOOKUP($B170,オブジェクト一覧!$C$5:$I$102,6,FALSE),"")</f>
        <v>kids</v>
      </c>
      <c r="F170" s="159" t="str">
        <f>IFERROR(VLOOKUP($B170,オブジェクト一覧!$C$5:$I$102,7,FALSE),"")</f>
        <v>TABLE</v>
      </c>
      <c r="G170" s="159" t="s">
        <v>1874</v>
      </c>
      <c r="H170" s="159" t="s">
        <v>1862</v>
      </c>
      <c r="I170" s="159" t="s">
        <v>1453</v>
      </c>
      <c r="J170" s="24" t="s">
        <v>1563</v>
      </c>
      <c r="K170" s="25">
        <v>43713</v>
      </c>
      <c r="L170" s="25">
        <v>43713</v>
      </c>
      <c r="M170" s="25">
        <v>43713</v>
      </c>
    </row>
    <row r="171" spans="1:13" s="158" customFormat="1" ht="26.4">
      <c r="A171" s="159">
        <f t="shared" si="2"/>
        <v>168</v>
      </c>
      <c r="B171" s="159" t="s">
        <v>1877</v>
      </c>
      <c r="C171" s="159" t="str">
        <f>IFERROR(VLOOKUP($B171,オブジェクト一覧!$C$5:$I$102,2,FALSE),"")</f>
        <v>m_purchaseorder</v>
      </c>
      <c r="D171" s="159" t="str">
        <f>IFERROR(VLOOKUP($B171,オブジェクト一覧!$C$5:$I$102,5,FALSE),"")</f>
        <v>public</v>
      </c>
      <c r="E171" s="159" t="str">
        <f>IFERROR(VLOOKUP($B171,オブジェクト一覧!$C$5:$I$102,6,FALSE),"")</f>
        <v>kids</v>
      </c>
      <c r="F171" s="159" t="str">
        <f>IFERROR(VLOOKUP($B171,オブジェクト一覧!$C$5:$I$102,7,FALSE),"")</f>
        <v>TABLE</v>
      </c>
      <c r="G171" s="164" t="s">
        <v>1686</v>
      </c>
      <c r="H171" s="164" t="s">
        <v>1366</v>
      </c>
      <c r="I171" s="164" t="s">
        <v>1868</v>
      </c>
      <c r="J171" s="24" t="s">
        <v>1878</v>
      </c>
      <c r="K171" s="25">
        <v>43714</v>
      </c>
      <c r="L171" s="25">
        <v>43714</v>
      </c>
      <c r="M171" s="25"/>
    </row>
    <row r="172" spans="1:13" s="158" customFormat="1" ht="26.4">
      <c r="A172" s="159">
        <f t="shared" si="2"/>
        <v>169</v>
      </c>
      <c r="B172" s="159" t="s">
        <v>1879</v>
      </c>
      <c r="C172" s="159" t="str">
        <f>IFERROR(VLOOKUP($B172,オブジェクト一覧!$C$5:$I$102,2,FALSE),"")</f>
        <v>m_slip</v>
      </c>
      <c r="D172" s="159" t="str">
        <f>IFERROR(VLOOKUP($B172,オブジェクト一覧!$C$5:$I$102,5,FALSE),"")</f>
        <v>public</v>
      </c>
      <c r="E172" s="159" t="str">
        <f>IFERROR(VLOOKUP($B172,オブジェクト一覧!$C$5:$I$102,6,FALSE),"")</f>
        <v>kids</v>
      </c>
      <c r="F172" s="159" t="str">
        <f>IFERROR(VLOOKUP($B172,オブジェクト一覧!$C$5:$I$102,7,FALSE),"")</f>
        <v>TABLE</v>
      </c>
      <c r="G172" s="159" t="s">
        <v>1880</v>
      </c>
      <c r="H172" s="167" t="s">
        <v>1366</v>
      </c>
      <c r="I172" s="167" t="s">
        <v>1868</v>
      </c>
      <c r="J172" s="24" t="s">
        <v>1887</v>
      </c>
      <c r="K172" s="25">
        <v>43720</v>
      </c>
      <c r="L172" s="25">
        <v>43720</v>
      </c>
      <c r="M172" s="25"/>
    </row>
    <row r="173" spans="1:13" s="168" customFormat="1">
      <c r="A173" s="169">
        <f t="shared" si="2"/>
        <v>170</v>
      </c>
      <c r="B173" s="169" t="s">
        <v>1239</v>
      </c>
      <c r="C173" s="169" t="str">
        <f>IFERROR(VLOOKUP($B173,オブジェクト一覧!$C$5:$I$102,2,FALSE),"")</f>
        <v>m_slip</v>
      </c>
      <c r="D173" s="169" t="str">
        <f>IFERROR(VLOOKUP($B173,オブジェクト一覧!$C$5:$I$102,5,FALSE),"")</f>
        <v>public</v>
      </c>
      <c r="E173" s="169" t="str">
        <f>IFERROR(VLOOKUP($B173,オブジェクト一覧!$C$5:$I$102,6,FALSE),"")</f>
        <v>kids</v>
      </c>
      <c r="F173" s="169" t="str">
        <f>IFERROR(VLOOKUP($B173,オブジェクト一覧!$C$5:$I$102,7,FALSE),"")</f>
        <v>TABLE</v>
      </c>
      <c r="G173" s="169" t="s">
        <v>1888</v>
      </c>
      <c r="H173" s="169" t="s">
        <v>1366</v>
      </c>
      <c r="I173" s="169" t="s">
        <v>1868</v>
      </c>
      <c r="J173" s="24" t="s">
        <v>1745</v>
      </c>
      <c r="K173" s="25">
        <v>43720</v>
      </c>
      <c r="L173" s="25">
        <v>43720</v>
      </c>
      <c r="M173" s="25"/>
    </row>
    <row r="174" spans="1:13" s="168" customFormat="1">
      <c r="A174" s="169">
        <f t="shared" si="2"/>
        <v>171</v>
      </c>
      <c r="B174" s="169" t="s">
        <v>1239</v>
      </c>
      <c r="C174" s="169" t="str">
        <f>IFERROR(VLOOKUP($B174,オブジェクト一覧!$C$5:$I$102,2,FALSE),"")</f>
        <v>m_slip</v>
      </c>
      <c r="D174" s="169" t="str">
        <f>IFERROR(VLOOKUP($B174,オブジェクト一覧!$C$5:$I$102,5,FALSE),"")</f>
        <v>public</v>
      </c>
      <c r="E174" s="169" t="str">
        <f>IFERROR(VLOOKUP($B174,オブジェクト一覧!$C$5:$I$102,6,FALSE),"")</f>
        <v>kids</v>
      </c>
      <c r="F174" s="169" t="str">
        <f>IFERROR(VLOOKUP($B174,オブジェクト一覧!$C$5:$I$102,7,FALSE),"")</f>
        <v>TABLE</v>
      </c>
      <c r="G174" s="169" t="s">
        <v>1889</v>
      </c>
      <c r="H174" s="169" t="s">
        <v>1366</v>
      </c>
      <c r="I174" s="169" t="s">
        <v>1868</v>
      </c>
      <c r="J174" s="24" t="s">
        <v>1745</v>
      </c>
      <c r="K174" s="25">
        <v>43720</v>
      </c>
      <c r="L174" s="25">
        <v>43720</v>
      </c>
      <c r="M174" s="25"/>
    </row>
    <row r="175" spans="1:13" s="158" customFormat="1">
      <c r="A175" s="159">
        <f t="shared" si="2"/>
        <v>172</v>
      </c>
      <c r="B175" s="169" t="s">
        <v>1239</v>
      </c>
      <c r="C175" s="159" t="str">
        <f>IFERROR(VLOOKUP($B175,オブジェクト一覧!$C$5:$I$102,2,FALSE),"")</f>
        <v>m_slip</v>
      </c>
      <c r="D175" s="159" t="str">
        <f>IFERROR(VLOOKUP($B175,オブジェクト一覧!$C$5:$I$102,5,FALSE),"")</f>
        <v>public</v>
      </c>
      <c r="E175" s="159" t="str">
        <f>IFERROR(VLOOKUP($B175,オブジェクト一覧!$C$5:$I$102,6,FALSE),"")</f>
        <v>kids</v>
      </c>
      <c r="F175" s="159" t="str">
        <f>IFERROR(VLOOKUP($B175,オブジェクト一覧!$C$5:$I$102,7,FALSE),"")</f>
        <v>TABLE</v>
      </c>
      <c r="G175" s="159" t="s">
        <v>1890</v>
      </c>
      <c r="H175" s="169" t="s">
        <v>1366</v>
      </c>
      <c r="I175" s="169" t="s">
        <v>1868</v>
      </c>
      <c r="J175" s="24" t="s">
        <v>1745</v>
      </c>
      <c r="K175" s="25">
        <v>43720</v>
      </c>
      <c r="L175" s="25">
        <v>43720</v>
      </c>
      <c r="M175" s="25"/>
    </row>
    <row r="176" spans="1:13" s="168" customFormat="1">
      <c r="A176" s="169">
        <f t="shared" si="2"/>
        <v>173</v>
      </c>
      <c r="B176" s="169" t="s">
        <v>1239</v>
      </c>
      <c r="C176" s="169" t="str">
        <f>IFERROR(VLOOKUP($B176,オブジェクト一覧!$C$5:$I$102,2,FALSE),"")</f>
        <v>m_slip</v>
      </c>
      <c r="D176" s="169" t="str">
        <f>IFERROR(VLOOKUP($B176,オブジェクト一覧!$C$5:$I$102,5,FALSE),"")</f>
        <v>public</v>
      </c>
      <c r="E176" s="169" t="str">
        <f>IFERROR(VLOOKUP($B176,オブジェクト一覧!$C$5:$I$102,6,FALSE),"")</f>
        <v>kids</v>
      </c>
      <c r="F176" s="169" t="str">
        <f>IFERROR(VLOOKUP($B176,オブジェクト一覧!$C$5:$I$102,7,FALSE),"")</f>
        <v>TABLE</v>
      </c>
      <c r="G176" s="169" t="s">
        <v>1891</v>
      </c>
      <c r="H176" s="169" t="s">
        <v>1366</v>
      </c>
      <c r="I176" s="169" t="s">
        <v>1868</v>
      </c>
      <c r="J176" s="24" t="s">
        <v>1745</v>
      </c>
      <c r="K176" s="25">
        <v>43720</v>
      </c>
      <c r="L176" s="25">
        <v>43720</v>
      </c>
      <c r="M176" s="25"/>
    </row>
    <row r="177" spans="1:13" s="158" customFormat="1">
      <c r="A177" s="159">
        <f t="shared" si="2"/>
        <v>174</v>
      </c>
      <c r="B177" s="169" t="s">
        <v>1239</v>
      </c>
      <c r="C177" s="169" t="str">
        <f>IFERROR(VLOOKUP($B177,オブジェクト一覧!$C$5:$I$102,2,FALSE),"")</f>
        <v>m_slip</v>
      </c>
      <c r="D177" s="159" t="str">
        <f>IFERROR(VLOOKUP($B177,オブジェクト一覧!$C$5:$I$102,5,FALSE),"")</f>
        <v>public</v>
      </c>
      <c r="E177" s="159" t="str">
        <f>IFERROR(VLOOKUP($B177,オブジェクト一覧!$C$5:$I$102,6,FALSE),"")</f>
        <v>kids</v>
      </c>
      <c r="F177" s="159" t="str">
        <f>IFERROR(VLOOKUP($B177,オブジェクト一覧!$C$5:$I$102,7,FALSE),"")</f>
        <v>TABLE</v>
      </c>
      <c r="G177" s="159" t="s">
        <v>1881</v>
      </c>
      <c r="H177" s="169" t="s">
        <v>1366</v>
      </c>
      <c r="I177" s="169" t="s">
        <v>1868</v>
      </c>
      <c r="J177" s="24" t="s">
        <v>1745</v>
      </c>
      <c r="K177" s="25">
        <v>43720</v>
      </c>
      <c r="L177" s="25">
        <v>43720</v>
      </c>
      <c r="M177" s="25"/>
    </row>
    <row r="178" spans="1:13" s="158" customFormat="1">
      <c r="A178" s="159">
        <f t="shared" si="2"/>
        <v>175</v>
      </c>
      <c r="B178" s="169" t="s">
        <v>1239</v>
      </c>
      <c r="C178" s="159" t="str">
        <f>IFERROR(VLOOKUP($B178,オブジェクト一覧!$C$5:$I$102,2,FALSE),"")</f>
        <v>m_slip</v>
      </c>
      <c r="D178" s="159" t="str">
        <f>IFERROR(VLOOKUP($B178,オブジェクト一覧!$C$5:$I$102,5,FALSE),"")</f>
        <v>public</v>
      </c>
      <c r="E178" s="159" t="str">
        <f>IFERROR(VLOOKUP($B178,オブジェクト一覧!$C$5:$I$102,6,FALSE),"")</f>
        <v>kids</v>
      </c>
      <c r="F178" s="159" t="str">
        <f>IFERROR(VLOOKUP($B178,オブジェクト一覧!$C$5:$I$102,7,FALSE),"")</f>
        <v>TABLE</v>
      </c>
      <c r="G178" s="159" t="s">
        <v>1882</v>
      </c>
      <c r="H178" s="169" t="s">
        <v>1366</v>
      </c>
      <c r="I178" s="169" t="s">
        <v>1868</v>
      </c>
      <c r="J178" s="24" t="s">
        <v>1745</v>
      </c>
      <c r="K178" s="25">
        <v>43720</v>
      </c>
      <c r="L178" s="25">
        <v>43720</v>
      </c>
      <c r="M178" s="25"/>
    </row>
    <row r="179" spans="1:13" s="149" customFormat="1">
      <c r="A179" s="150">
        <f t="shared" si="2"/>
        <v>176</v>
      </c>
      <c r="B179" s="169" t="s">
        <v>1239</v>
      </c>
      <c r="C179" s="151" t="str">
        <f>IFERROR(VLOOKUP($B179,オブジェクト一覧!$C$5:$I$102,2,FALSE),"")</f>
        <v>m_slip</v>
      </c>
      <c r="D179" s="151" t="str">
        <f>IFERROR(VLOOKUP($B179,オブジェクト一覧!$C$5:$I$102,5,FALSE),"")</f>
        <v>public</v>
      </c>
      <c r="E179" s="151" t="str">
        <f>IFERROR(VLOOKUP($B179,オブジェクト一覧!$C$5:$I$102,6,FALSE),"")</f>
        <v>kids</v>
      </c>
      <c r="F179" s="151" t="str">
        <f>IFERROR(VLOOKUP($B179,オブジェクト一覧!$C$5:$I$102,7,FALSE),"")</f>
        <v>TABLE</v>
      </c>
      <c r="G179" s="150" t="s">
        <v>1902</v>
      </c>
      <c r="H179" s="169" t="s">
        <v>1366</v>
      </c>
      <c r="I179" s="169" t="s">
        <v>1868</v>
      </c>
      <c r="J179" s="24" t="s">
        <v>1903</v>
      </c>
      <c r="K179" s="25">
        <v>43720</v>
      </c>
      <c r="L179" s="25">
        <v>43720</v>
      </c>
      <c r="M179" s="25"/>
    </row>
    <row r="180" spans="1:13" s="149" customFormat="1">
      <c r="A180" s="150">
        <f t="shared" si="2"/>
        <v>177</v>
      </c>
      <c r="B180" s="150" t="s">
        <v>1904</v>
      </c>
      <c r="C180" s="151" t="str">
        <f>IFERROR(VLOOKUP($B180,オブジェクト一覧!$C$5:$I$102,2,FALSE),"")</f>
        <v>t_goodsplan</v>
      </c>
      <c r="D180" s="151" t="str">
        <f>IFERROR(VLOOKUP($B180,オブジェクト一覧!$C$5:$I$102,5,FALSE),"")</f>
        <v>public</v>
      </c>
      <c r="E180" s="151" t="str">
        <f>IFERROR(VLOOKUP($B180,オブジェクト一覧!$C$5:$I$102,6,FALSE),"")</f>
        <v>kids</v>
      </c>
      <c r="F180" s="151" t="str">
        <f>IFERROR(VLOOKUP($B180,オブジェクト一覧!$C$5:$I$102,7,FALSE),"")</f>
        <v>TABLE</v>
      </c>
      <c r="G180" s="150" t="s">
        <v>1905</v>
      </c>
      <c r="H180" s="150" t="s">
        <v>1906</v>
      </c>
      <c r="I180" s="172" t="s">
        <v>1868</v>
      </c>
      <c r="J180" s="24" t="s">
        <v>1907</v>
      </c>
      <c r="K180" s="25">
        <v>43724</v>
      </c>
      <c r="L180" s="25">
        <v>43720</v>
      </c>
      <c r="M180" s="25"/>
    </row>
    <row r="181" spans="1:13" s="122" customFormat="1" ht="26.4" customHeight="1">
      <c r="A181" s="123">
        <f t="shared" si="2"/>
        <v>178</v>
      </c>
      <c r="B181" s="175" t="s">
        <v>1480</v>
      </c>
      <c r="C181" s="151" t="str">
        <f>IFERROR(VLOOKUP($B181,オブジェクト一覧!$C$5:$I$102,2,FALSE),"")</f>
        <v>m_estimate</v>
      </c>
      <c r="D181" s="151" t="str">
        <f>IFERROR(VLOOKUP($B181,オブジェクト一覧!$C$5:$I$102,5,FALSE),"")</f>
        <v>public</v>
      </c>
      <c r="E181" s="151" t="str">
        <f>IFERROR(VLOOKUP($B181,オブジェクト一覧!$C$5:$I$102,6,FALSE),"")</f>
        <v>kids</v>
      </c>
      <c r="F181" s="151" t="str">
        <f>IFERROR(VLOOKUP($B181,オブジェクト一覧!$C$5:$I$102,7,FALSE),"")</f>
        <v>TABLE</v>
      </c>
      <c r="G181" s="123" t="s">
        <v>1908</v>
      </c>
      <c r="H181" s="123" t="s">
        <v>1377</v>
      </c>
      <c r="I181" s="123" t="s">
        <v>1909</v>
      </c>
      <c r="J181" s="24" t="s">
        <v>1910</v>
      </c>
      <c r="K181" s="25">
        <v>43726</v>
      </c>
      <c r="L181" s="25">
        <v>43726</v>
      </c>
      <c r="M181" s="25"/>
    </row>
    <row r="182" spans="1:13" s="171" customFormat="1" ht="26.4" customHeight="1">
      <c r="A182" s="172">
        <f t="shared" si="2"/>
        <v>179</v>
      </c>
      <c r="B182" s="175" t="s">
        <v>1480</v>
      </c>
      <c r="C182" s="172" t="str">
        <f>IFERROR(VLOOKUP($B182,オブジェクト一覧!$C$5:$I$102,2,FALSE),"")</f>
        <v>m_estimate</v>
      </c>
      <c r="D182" s="172" t="str">
        <f>IFERROR(VLOOKUP($B182,オブジェクト一覧!$C$5:$I$102,5,FALSE),"")</f>
        <v>public</v>
      </c>
      <c r="E182" s="172" t="str">
        <f>IFERROR(VLOOKUP($B182,オブジェクト一覧!$C$5:$I$102,6,FALSE),"")</f>
        <v>kids</v>
      </c>
      <c r="F182" s="172" t="str">
        <f>IFERROR(VLOOKUP($B182,オブジェクト一覧!$C$5:$I$102,7,FALSE),"")</f>
        <v>TABLE</v>
      </c>
      <c r="G182" s="172" t="s">
        <v>1912</v>
      </c>
      <c r="H182" s="175" t="s">
        <v>1377</v>
      </c>
      <c r="I182" s="175" t="s">
        <v>1913</v>
      </c>
      <c r="J182" s="24" t="s">
        <v>1910</v>
      </c>
      <c r="K182" s="25">
        <v>43726</v>
      </c>
      <c r="L182" s="25">
        <v>43726</v>
      </c>
      <c r="M182" s="25"/>
    </row>
    <row r="183" spans="1:13" s="171" customFormat="1" ht="26.4" customHeight="1">
      <c r="A183" s="172">
        <f t="shared" ref="A183" si="3">ROW()-3</f>
        <v>180</v>
      </c>
      <c r="B183" s="175" t="s">
        <v>1480</v>
      </c>
      <c r="C183" s="175" t="str">
        <f>IFERROR(VLOOKUP($B183,オブジェクト一覧!$C$5:$I$102,2,FALSE),"")</f>
        <v>m_estimate</v>
      </c>
      <c r="D183" s="172" t="str">
        <f>IFERROR(VLOOKUP($B183,オブジェクト一覧!$C$5:$I$102,5,FALSE),"")</f>
        <v>public</v>
      </c>
      <c r="E183" s="172" t="str">
        <f>IFERROR(VLOOKUP($B183,オブジェクト一覧!$C$5:$I$102,6,FALSE),"")</f>
        <v>kids</v>
      </c>
      <c r="F183" s="172" t="str">
        <f>IFERROR(VLOOKUP($B183,オブジェクト一覧!$C$5:$I$102,7,FALSE),"")</f>
        <v>TABLE</v>
      </c>
      <c r="G183" s="172" t="s">
        <v>1915</v>
      </c>
      <c r="H183" s="175" t="s">
        <v>1377</v>
      </c>
      <c r="I183" s="175" t="s">
        <v>1916</v>
      </c>
      <c r="J183" s="24" t="s">
        <v>1910</v>
      </c>
      <c r="K183" s="25">
        <v>43726</v>
      </c>
      <c r="L183" s="25">
        <v>43726</v>
      </c>
      <c r="M183" s="25"/>
    </row>
    <row r="184" spans="1:13" s="174" customFormat="1" ht="26.4" customHeight="1">
      <c r="A184" s="175">
        <f t="shared" si="2"/>
        <v>181</v>
      </c>
      <c r="B184" s="175" t="s">
        <v>1480</v>
      </c>
      <c r="C184" s="175" t="str">
        <f>IFERROR(VLOOKUP($B184,オブジェクト一覧!$C$5:$I$102,2,FALSE),"")</f>
        <v>m_estimate</v>
      </c>
      <c r="D184" s="175" t="str">
        <f>IFERROR(VLOOKUP($B184,オブジェクト一覧!$C$5:$I$102,5,FALSE),"")</f>
        <v>public</v>
      </c>
      <c r="E184" s="175" t="str">
        <f>IFERROR(VLOOKUP($B184,オブジェクト一覧!$C$5:$I$102,6,FALSE),"")</f>
        <v>kids</v>
      </c>
      <c r="F184" s="175" t="str">
        <f>IFERROR(VLOOKUP($B184,オブジェクト一覧!$C$5:$I$102,7,FALSE),"")</f>
        <v>TABLE</v>
      </c>
      <c r="G184" s="175" t="s">
        <v>1919</v>
      </c>
      <c r="H184" s="175" t="s">
        <v>1377</v>
      </c>
      <c r="I184" s="175" t="s">
        <v>1920</v>
      </c>
      <c r="J184" s="24" t="s">
        <v>1910</v>
      </c>
      <c r="K184" s="25">
        <v>43726</v>
      </c>
      <c r="L184" s="25">
        <v>43726</v>
      </c>
      <c r="M184" s="25"/>
    </row>
    <row r="185" spans="1:13" s="174" customFormat="1" ht="26.4">
      <c r="A185" s="175">
        <f t="shared" ref="A185:A199" si="4">ROW()-3</f>
        <v>182</v>
      </c>
      <c r="B185" s="175" t="s">
        <v>1921</v>
      </c>
      <c r="C185" s="175" t="str">
        <f>IFERROR(VLOOKUP($B185,オブジェクト一覧!$C$5:$I$102,2,FALSE),"")</f>
        <v>m_salesclass</v>
      </c>
      <c r="D185" s="175" t="str">
        <f>IFERROR(VLOOKUP($B185,オブジェクト一覧!$C$5:$I$102,5,FALSE),"")</f>
        <v>public</v>
      </c>
      <c r="E185" s="175" t="str">
        <f>IFERROR(VLOOKUP($B185,オブジェクト一覧!$C$5:$I$102,6,FALSE),"")</f>
        <v>kids</v>
      </c>
      <c r="F185" s="175" t="str">
        <f>IFERROR(VLOOKUP($B185,オブジェクト一覧!$C$5:$I$102,7,FALSE),"")</f>
        <v>TABLE</v>
      </c>
      <c r="G185" s="175" t="s">
        <v>1924</v>
      </c>
      <c r="H185" s="175" t="s">
        <v>1366</v>
      </c>
      <c r="I185" s="175" t="s">
        <v>1868</v>
      </c>
      <c r="J185" s="24" t="s">
        <v>1922</v>
      </c>
      <c r="K185" s="25">
        <v>43726</v>
      </c>
      <c r="L185" s="25">
        <v>43726</v>
      </c>
      <c r="M185" s="25"/>
    </row>
    <row r="186" spans="1:13" s="174" customFormat="1" ht="26.4">
      <c r="A186" s="175">
        <f t="shared" si="4"/>
        <v>183</v>
      </c>
      <c r="B186" s="175" t="s">
        <v>1921</v>
      </c>
      <c r="C186" s="175" t="str">
        <f>IFERROR(VLOOKUP($B186,オブジェクト一覧!$C$5:$I$102,2,FALSE),"")</f>
        <v>m_salesclass</v>
      </c>
      <c r="D186" s="175" t="str">
        <f>IFERROR(VLOOKUP($B186,オブジェクト一覧!$C$5:$I$102,5,FALSE),"")</f>
        <v>public</v>
      </c>
      <c r="E186" s="175" t="str">
        <f>IFERROR(VLOOKUP($B186,オブジェクト一覧!$C$5:$I$102,6,FALSE),"")</f>
        <v>kids</v>
      </c>
      <c r="F186" s="175" t="str">
        <f>IFERROR(VLOOKUP($B186,オブジェクト一覧!$C$5:$I$102,7,FALSE),"")</f>
        <v>TABLE</v>
      </c>
      <c r="G186" s="175" t="s">
        <v>1925</v>
      </c>
      <c r="H186" s="175" t="s">
        <v>1366</v>
      </c>
      <c r="I186" s="175" t="s">
        <v>1868</v>
      </c>
      <c r="J186" s="24" t="s">
        <v>1923</v>
      </c>
      <c r="K186" s="25">
        <v>43726</v>
      </c>
      <c r="L186" s="25">
        <v>43726</v>
      </c>
      <c r="M186" s="25"/>
    </row>
    <row r="187" spans="1:13" s="174" customFormat="1" ht="26.4">
      <c r="A187" s="175">
        <f t="shared" si="4"/>
        <v>184</v>
      </c>
      <c r="B187" s="175" t="s">
        <v>1239</v>
      </c>
      <c r="C187" s="175" t="str">
        <f>IFERROR(VLOOKUP($B187,オブジェクト一覧!$C$5:$I$102,2,FALSE),"")</f>
        <v>m_slip</v>
      </c>
      <c r="D187" s="175" t="str">
        <f>IFERROR(VLOOKUP($B187,オブジェクト一覧!$C$5:$I$102,5,FALSE),"")</f>
        <v>public</v>
      </c>
      <c r="E187" s="175" t="str">
        <f>IFERROR(VLOOKUP($B187,オブジェクト一覧!$C$5:$I$102,6,FALSE),"")</f>
        <v>kids</v>
      </c>
      <c r="F187" s="175" t="str">
        <f>IFERROR(VLOOKUP($B187,オブジェクト一覧!$C$5:$I$102,7,FALSE),"")</f>
        <v>TABLE</v>
      </c>
      <c r="G187" s="175" t="s">
        <v>1931</v>
      </c>
      <c r="H187" s="175" t="s">
        <v>1366</v>
      </c>
      <c r="I187" s="175" t="s">
        <v>1868</v>
      </c>
      <c r="J187" s="24" t="s">
        <v>1922</v>
      </c>
      <c r="K187" s="25">
        <v>43726</v>
      </c>
      <c r="L187" s="25">
        <v>43726</v>
      </c>
      <c r="M187" s="25"/>
    </row>
    <row r="188" spans="1:13" s="174" customFormat="1" ht="26.4">
      <c r="A188" s="175">
        <f t="shared" si="4"/>
        <v>185</v>
      </c>
      <c r="B188" s="175" t="s">
        <v>1934</v>
      </c>
      <c r="C188" s="175" t="str">
        <f>IFERROR(VLOOKUP($B188,オブジェクト一覧!$C$5:$I$102,2,FALSE),"")</f>
        <v>m_estimateareaclass</v>
      </c>
      <c r="D188" s="175" t="str">
        <f>IFERROR(VLOOKUP($B188,オブジェクト一覧!$C$5:$I$102,5,FALSE),"")</f>
        <v>public</v>
      </c>
      <c r="E188" s="175" t="str">
        <f>IFERROR(VLOOKUP($B188,オブジェクト一覧!$C$5:$I$102,6,FALSE),"")</f>
        <v>kids</v>
      </c>
      <c r="F188" s="175" t="str">
        <f>IFERROR(VLOOKUP($B188,オブジェクト一覧!$C$5:$I$102,7,FALSE),"")</f>
        <v>TABLE</v>
      </c>
      <c r="G188" s="179" t="s">
        <v>1830</v>
      </c>
      <c r="H188" s="179" t="s">
        <v>1366</v>
      </c>
      <c r="I188" s="175" t="s">
        <v>1936</v>
      </c>
      <c r="J188" s="24" t="s">
        <v>1937</v>
      </c>
      <c r="K188" s="25">
        <v>43733</v>
      </c>
      <c r="L188" s="25">
        <v>43733</v>
      </c>
      <c r="M188" s="25"/>
    </row>
    <row r="189" spans="1:13" s="174" customFormat="1" ht="26.4">
      <c r="A189" s="175">
        <f t="shared" si="4"/>
        <v>186</v>
      </c>
      <c r="B189" s="175" t="s">
        <v>1943</v>
      </c>
      <c r="C189" s="175" t="str">
        <f>IFERROR(VLOOKUP($B189,オブジェクト一覧!$C$5:$I$102,2,FALSE),"")</f>
        <v>m_salesclassdivisonlink</v>
      </c>
      <c r="D189" s="175" t="str">
        <f>IFERROR(VLOOKUP($B189,オブジェクト一覧!$C$5:$I$102,5,FALSE),"")</f>
        <v>public</v>
      </c>
      <c r="E189" s="175" t="str">
        <f>IFERROR(VLOOKUP($B189,オブジェクト一覧!$C$5:$I$102,6,FALSE),"")</f>
        <v>kids</v>
      </c>
      <c r="F189" s="175" t="str">
        <f>IFERROR(VLOOKUP($B189,オブジェクト一覧!$C$5:$I$102,7,FALSE),"")</f>
        <v>TABLE</v>
      </c>
      <c r="G189" s="175" t="s">
        <v>1945</v>
      </c>
      <c r="H189" s="182" t="s">
        <v>1377</v>
      </c>
      <c r="I189" s="175" t="s">
        <v>1946</v>
      </c>
      <c r="J189" s="24" t="s">
        <v>1947</v>
      </c>
      <c r="K189" s="25">
        <v>43733</v>
      </c>
      <c r="L189" s="25">
        <v>43733</v>
      </c>
      <c r="M189" s="25"/>
    </row>
    <row r="190" spans="1:13" s="174" customFormat="1" ht="26.4">
      <c r="A190" s="175">
        <f t="shared" si="4"/>
        <v>187</v>
      </c>
      <c r="B190" s="175" t="s">
        <v>1944</v>
      </c>
      <c r="C190" s="175" t="str">
        <f>IFERROR(VLOOKUP($B190,オブジェクト一覧!$C$5:$I$102,2,FALSE),"")</f>
        <v>m_stockitem</v>
      </c>
      <c r="D190" s="175" t="str">
        <f>IFERROR(VLOOKUP($B190,オブジェクト一覧!$C$5:$I$102,5,FALSE),"")</f>
        <v>public</v>
      </c>
      <c r="E190" s="175" t="str">
        <f>IFERROR(VLOOKUP($B190,オブジェクト一覧!$C$5:$I$102,6,FALSE),"")</f>
        <v>kids</v>
      </c>
      <c r="F190" s="175" t="str">
        <f>IFERROR(VLOOKUP($B190,オブジェクト一覧!$C$5:$I$102,7,FALSE),"")</f>
        <v>TABLE</v>
      </c>
      <c r="G190" s="175" t="s">
        <v>1945</v>
      </c>
      <c r="H190" s="182" t="s">
        <v>1377</v>
      </c>
      <c r="I190" s="182" t="s">
        <v>1946</v>
      </c>
      <c r="J190" s="24" t="s">
        <v>1947</v>
      </c>
      <c r="K190" s="25">
        <v>43733</v>
      </c>
      <c r="L190" s="25">
        <v>43733</v>
      </c>
      <c r="M190" s="25"/>
    </row>
    <row r="191" spans="1:13" s="174" customFormat="1">
      <c r="A191" s="175">
        <f t="shared" si="4"/>
        <v>188</v>
      </c>
      <c r="B191" s="184" t="s">
        <v>1681</v>
      </c>
      <c r="C191" s="175" t="str">
        <f>IFERROR(VLOOKUP($B191,オブジェクト一覧!$C$5:$I$102,2,FALSE),"")</f>
        <v>t_orderdetail</v>
      </c>
      <c r="D191" s="175" t="str">
        <f>IFERROR(VLOOKUP($B191,オブジェクト一覧!$C$5:$I$102,5,FALSE),"")</f>
        <v>public</v>
      </c>
      <c r="E191" s="175" t="str">
        <f>IFERROR(VLOOKUP($B191,オブジェクト一覧!$C$5:$I$102,6,FALSE),"")</f>
        <v>kids</v>
      </c>
      <c r="F191" s="175" t="str">
        <f>IFERROR(VLOOKUP($B191,オブジェクト一覧!$C$5:$I$102,7,FALSE),"")</f>
        <v>TABLE</v>
      </c>
      <c r="G191" s="175" t="s">
        <v>1948</v>
      </c>
      <c r="H191" s="175" t="s">
        <v>1951</v>
      </c>
      <c r="I191" s="175" t="s">
        <v>1953</v>
      </c>
      <c r="J191" s="184" t="s">
        <v>1952</v>
      </c>
      <c r="K191" s="25">
        <v>43738</v>
      </c>
      <c r="L191" s="25"/>
      <c r="M191" s="25">
        <v>43738</v>
      </c>
    </row>
    <row r="192" spans="1:13" s="174" customFormat="1">
      <c r="A192" s="175">
        <f t="shared" si="4"/>
        <v>189</v>
      </c>
      <c r="B192" s="184" t="s">
        <v>1681</v>
      </c>
      <c r="C192" s="175" t="str">
        <f>IFERROR(VLOOKUP($B192,オブジェクト一覧!$C$5:$I$102,2,FALSE),"")</f>
        <v>t_orderdetail</v>
      </c>
      <c r="D192" s="175" t="str">
        <f>IFERROR(VLOOKUP($B192,オブジェクト一覧!$C$5:$I$102,5,FALSE),"")</f>
        <v>public</v>
      </c>
      <c r="E192" s="175" t="str">
        <f>IFERROR(VLOOKUP($B192,オブジェクト一覧!$C$5:$I$102,6,FALSE),"")</f>
        <v>kids</v>
      </c>
      <c r="F192" s="175" t="str">
        <f>IFERROR(VLOOKUP($B192,オブジェクト一覧!$C$5:$I$102,7,FALSE),"")</f>
        <v>TABLE</v>
      </c>
      <c r="G192" s="175" t="s">
        <v>1949</v>
      </c>
      <c r="H192" s="184" t="s">
        <v>1951</v>
      </c>
      <c r="I192" s="184" t="s">
        <v>1953</v>
      </c>
      <c r="J192" s="184" t="s">
        <v>1952</v>
      </c>
      <c r="K192" s="25">
        <v>43738</v>
      </c>
      <c r="L192" s="25"/>
      <c r="M192" s="25">
        <v>43738</v>
      </c>
    </row>
    <row r="193" spans="1:13" s="183" customFormat="1">
      <c r="A193" s="184">
        <f t="shared" si="4"/>
        <v>190</v>
      </c>
      <c r="B193" s="184" t="s">
        <v>1681</v>
      </c>
      <c r="C193" s="184" t="str">
        <f>IFERROR(VLOOKUP($B193,オブジェクト一覧!$C$5:$I$102,2,FALSE),"")</f>
        <v>t_orderdetail</v>
      </c>
      <c r="D193" s="184" t="str">
        <f>IFERROR(VLOOKUP($B193,オブジェクト一覧!$C$5:$I$102,5,FALSE),"")</f>
        <v>public</v>
      </c>
      <c r="E193" s="184" t="str">
        <f>IFERROR(VLOOKUP($B193,オブジェクト一覧!$C$5:$I$102,6,FALSE),"")</f>
        <v>kids</v>
      </c>
      <c r="F193" s="184" t="str">
        <f>IFERROR(VLOOKUP($B193,オブジェクト一覧!$C$5:$I$102,7,FALSE),"")</f>
        <v>TABLE</v>
      </c>
      <c r="G193" s="184" t="s">
        <v>1950</v>
      </c>
      <c r="H193" s="184" t="s">
        <v>1951</v>
      </c>
      <c r="I193" s="184" t="s">
        <v>1953</v>
      </c>
      <c r="J193" s="184" t="s">
        <v>1952</v>
      </c>
      <c r="K193" s="25">
        <v>43738</v>
      </c>
      <c r="L193" s="25"/>
      <c r="M193" s="25">
        <v>43738</v>
      </c>
    </row>
    <row r="194" spans="1:13" s="183" customFormat="1">
      <c r="A194" s="184">
        <f t="shared" si="4"/>
        <v>191</v>
      </c>
      <c r="B194" s="162" t="s">
        <v>236</v>
      </c>
      <c r="C194" s="184" t="s">
        <v>25</v>
      </c>
      <c r="D194" s="184" t="str">
        <f>IFERROR(VLOOKUP($B194,オブジェクト一覧!$C$5:$I$102,5,FALSE),"")</f>
        <v>public</v>
      </c>
      <c r="E194" s="184" t="str">
        <f>IFERROR(VLOOKUP($B194,オブジェクト一覧!$C$5:$I$102,6,FALSE),"")</f>
        <v>kids</v>
      </c>
      <c r="F194" s="184" t="str">
        <f>IFERROR(VLOOKUP($B194,オブジェクト一覧!$C$5:$I$102,7,FALSE),"")</f>
        <v>TABLE</v>
      </c>
      <c r="G194" s="185" t="s">
        <v>1830</v>
      </c>
      <c r="H194" s="185" t="s">
        <v>1435</v>
      </c>
      <c r="I194" s="184" t="s">
        <v>1954</v>
      </c>
      <c r="J194" s="24" t="s">
        <v>1955</v>
      </c>
      <c r="K194" s="25">
        <v>43752</v>
      </c>
      <c r="L194" s="25"/>
      <c r="M194" s="25">
        <v>43752</v>
      </c>
    </row>
    <row r="195" spans="1:13" s="183" customFormat="1">
      <c r="A195" s="184">
        <f t="shared" si="4"/>
        <v>192</v>
      </c>
      <c r="B195" s="185" t="s">
        <v>1621</v>
      </c>
      <c r="C195" s="184" t="str">
        <f>IFERROR(VLOOKUP($B195,オブジェクト一覧!$C$5:$I$102,2,FALSE),"")</f>
        <v>t_estimatedetail</v>
      </c>
      <c r="D195" s="184" t="str">
        <f>IFERROR(VLOOKUP($B195,オブジェクト一覧!$C$5:$I$102,5,FALSE),"")</f>
        <v>public</v>
      </c>
      <c r="E195" s="184" t="str">
        <f>IFERROR(VLOOKUP($B195,オブジェクト一覧!$C$5:$I$102,6,FALSE),"")</f>
        <v>kids</v>
      </c>
      <c r="F195" s="184" t="str">
        <f>IFERROR(VLOOKUP($B195,オブジェクト一覧!$C$5:$I$102,7,FALSE),"")</f>
        <v>TABLE</v>
      </c>
      <c r="G195" s="184" t="s">
        <v>1551</v>
      </c>
      <c r="H195" s="184" t="s">
        <v>1956</v>
      </c>
      <c r="I195" s="184" t="s">
        <v>1957</v>
      </c>
      <c r="J195" s="24" t="s">
        <v>1958</v>
      </c>
      <c r="K195" s="25">
        <v>43752</v>
      </c>
      <c r="L195" s="25"/>
      <c r="M195" s="25">
        <v>43752</v>
      </c>
    </row>
    <row r="196" spans="1:13" s="183" customFormat="1">
      <c r="A196" s="184">
        <f t="shared" si="4"/>
        <v>193</v>
      </c>
      <c r="B196" s="184"/>
      <c r="C196" s="184" t="str">
        <f>IFERROR(VLOOKUP($B196,オブジェクト一覧!$C$5:$I$102,2,FALSE),"")</f>
        <v/>
      </c>
      <c r="D196" s="184" t="str">
        <f>IFERROR(VLOOKUP($B196,オブジェクト一覧!$C$5:$I$102,5,FALSE),"")</f>
        <v/>
      </c>
      <c r="E196" s="184" t="str">
        <f>IFERROR(VLOOKUP($B196,オブジェクト一覧!$C$5:$I$102,6,FALSE),"")</f>
        <v/>
      </c>
      <c r="F196" s="184" t="str">
        <f>IFERROR(VLOOKUP($B196,オブジェクト一覧!$C$5:$I$102,7,FALSE),"")</f>
        <v/>
      </c>
      <c r="G196" s="184"/>
      <c r="H196" s="184"/>
      <c r="I196" s="184"/>
      <c r="J196" s="24"/>
      <c r="K196" s="25"/>
      <c r="L196" s="25"/>
      <c r="M196" s="25"/>
    </row>
    <row r="197" spans="1:13" s="183" customFormat="1">
      <c r="A197" s="184">
        <f t="shared" si="4"/>
        <v>194</v>
      </c>
      <c r="B197" s="184"/>
      <c r="C197" s="184" t="str">
        <f>IFERROR(VLOOKUP($B197,オブジェクト一覧!$C$5:$I$102,2,FALSE),"")</f>
        <v/>
      </c>
      <c r="D197" s="184" t="str">
        <f>IFERROR(VLOOKUP($B197,オブジェクト一覧!$C$5:$I$102,5,FALSE),"")</f>
        <v/>
      </c>
      <c r="E197" s="184" t="str">
        <f>IFERROR(VLOOKUP($B197,オブジェクト一覧!$C$5:$I$102,6,FALSE),"")</f>
        <v/>
      </c>
      <c r="F197" s="184" t="str">
        <f>IFERROR(VLOOKUP($B197,オブジェクト一覧!$C$5:$I$102,7,FALSE),"")</f>
        <v/>
      </c>
      <c r="G197" s="184"/>
      <c r="H197" s="184"/>
      <c r="I197" s="184"/>
      <c r="J197" s="24"/>
      <c r="K197" s="25"/>
      <c r="L197" s="25"/>
      <c r="M197" s="25"/>
    </row>
    <row r="198" spans="1:13" s="183" customFormat="1">
      <c r="A198" s="184">
        <f t="shared" si="4"/>
        <v>195</v>
      </c>
      <c r="B198" s="184"/>
      <c r="C198" s="184" t="str">
        <f>IFERROR(VLOOKUP($B198,オブジェクト一覧!$C$5:$I$102,2,FALSE),"")</f>
        <v/>
      </c>
      <c r="D198" s="184" t="str">
        <f>IFERROR(VLOOKUP($B198,オブジェクト一覧!$C$5:$I$102,5,FALSE),"")</f>
        <v/>
      </c>
      <c r="E198" s="184" t="str">
        <f>IFERROR(VLOOKUP($B198,オブジェクト一覧!$C$5:$I$102,6,FALSE),"")</f>
        <v/>
      </c>
      <c r="F198" s="184" t="str">
        <f>IFERROR(VLOOKUP($B198,オブジェクト一覧!$C$5:$I$102,7,FALSE),"")</f>
        <v/>
      </c>
      <c r="G198" s="184"/>
      <c r="H198" s="184"/>
      <c r="I198" s="184"/>
      <c r="J198" s="24"/>
      <c r="K198" s="25"/>
      <c r="L198" s="25"/>
      <c r="M198" s="25"/>
    </row>
    <row r="199" spans="1:13" s="183" customFormat="1">
      <c r="A199" s="184">
        <f t="shared" si="4"/>
        <v>196</v>
      </c>
      <c r="B199" s="184"/>
      <c r="C199" s="184" t="str">
        <f>IFERROR(VLOOKUP($B199,オブジェクト一覧!$C$5:$I$102,2,FALSE),"")</f>
        <v/>
      </c>
      <c r="D199" s="184" t="str">
        <f>IFERROR(VLOOKUP($B199,オブジェクト一覧!$C$5:$I$102,5,FALSE),"")</f>
        <v/>
      </c>
      <c r="E199" s="184" t="str">
        <f>IFERROR(VLOOKUP($B199,オブジェクト一覧!$C$5:$I$102,6,FALSE),"")</f>
        <v/>
      </c>
      <c r="F199" s="184" t="str">
        <f>IFERROR(VLOOKUP($B199,オブジェクト一覧!$C$5:$I$102,7,FALSE),"")</f>
        <v/>
      </c>
      <c r="G199" s="184"/>
      <c r="H199" s="184"/>
      <c r="I199" s="184"/>
      <c r="J199" s="24"/>
      <c r="K199" s="25"/>
      <c r="L199" s="25"/>
      <c r="M199" s="25"/>
    </row>
  </sheetData>
  <phoneticPr fontId="3"/>
  <dataValidations disablePrompts="1" count="1">
    <dataValidation type="list" allowBlank="1" showInputMessage="1" showErrorMessage="1" sqref="H3" xr:uid="{0ACA8043-CEA9-47F1-9EFB-D8D02F3E1B67}">
      <formula1>",新規,変更,削除"</formula1>
    </dataValidation>
  </dataValidations>
  <pageMargins left="0.70866141732283472" right="0.70866141732283472" top="0.74803149606299213" bottom="0.74803149606299213" header="0.31496062992125984" footer="0.31496062992125984"/>
  <pageSetup paperSize="9"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723900</xdr:colOff>
                    <xdr:row>0</xdr:row>
                    <xdr:rowOff>68580</xdr:rowOff>
                  </from>
                  <to>
                    <xdr:col>9</xdr:col>
                    <xdr:colOff>2049780</xdr:colOff>
                    <xdr:row>0</xdr:row>
                    <xdr:rowOff>388620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C8"/>
  <sheetViews>
    <sheetView workbookViewId="0">
      <selection activeCell="C8" sqref="C8"/>
    </sheetView>
  </sheetViews>
  <sheetFormatPr defaultColWidth="3.6640625" defaultRowHeight="13.2"/>
  <sheetData>
    <row r="2" spans="2:3">
      <c r="B2">
        <v>1</v>
      </c>
      <c r="C2" t="s">
        <v>4</v>
      </c>
    </row>
    <row r="4" spans="2:3">
      <c r="B4">
        <v>2</v>
      </c>
      <c r="C4" t="s">
        <v>5</v>
      </c>
    </row>
    <row r="6" spans="2:3">
      <c r="B6">
        <v>3</v>
      </c>
      <c r="C6" t="s">
        <v>1177</v>
      </c>
    </row>
    <row r="8" spans="2:3">
      <c r="B8">
        <v>4</v>
      </c>
      <c r="C8" t="s">
        <v>1384</v>
      </c>
    </row>
  </sheetData>
  <phoneticPr fontId="3"/>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I102"/>
  <sheetViews>
    <sheetView zoomScaleNormal="100" workbookViewId="0">
      <pane ySplit="4" topLeftCell="A80" activePane="bottomLeft" state="frozen"/>
      <selection pane="bottomLeft" activeCell="D82" sqref="D82"/>
    </sheetView>
  </sheetViews>
  <sheetFormatPr defaultColWidth="3.6640625" defaultRowHeight="13.2"/>
  <cols>
    <col min="2" max="2" width="4.44140625" bestFit="1" customWidth="1"/>
    <col min="3" max="3" width="25.88671875" bestFit="1" customWidth="1"/>
    <col min="4" max="4" width="22.6640625" bestFit="1" customWidth="1"/>
    <col min="5" max="5" width="9.77734375" bestFit="1" customWidth="1"/>
    <col min="6" max="6" width="9.44140625" bestFit="1" customWidth="1"/>
    <col min="7" max="7" width="9.33203125" bestFit="1" customWidth="1"/>
    <col min="8" max="8" width="9.5546875" bestFit="1" customWidth="1"/>
    <col min="9" max="9" width="11.6640625" bestFit="1" customWidth="1"/>
  </cols>
  <sheetData>
    <row r="2" spans="2:9" ht="14.4">
      <c r="B2" s="1" t="s">
        <v>6</v>
      </c>
    </row>
    <row r="4" spans="2:9">
      <c r="B4" s="45" t="s">
        <v>7</v>
      </c>
      <c r="C4" s="44" t="s">
        <v>161</v>
      </c>
      <c r="D4" s="43" t="s">
        <v>15</v>
      </c>
      <c r="E4" s="42" t="s">
        <v>8</v>
      </c>
      <c r="F4" s="42" t="s">
        <v>9</v>
      </c>
      <c r="G4" s="42" t="s">
        <v>10</v>
      </c>
      <c r="H4" s="42" t="s">
        <v>12</v>
      </c>
      <c r="I4" s="43" t="s">
        <v>13</v>
      </c>
    </row>
    <row r="5" spans="2:9">
      <c r="B5" s="38">
        <f>ROW()-4</f>
        <v>1</v>
      </c>
      <c r="C5" s="39" t="s">
        <v>986</v>
      </c>
      <c r="D5" s="40" t="s">
        <v>979</v>
      </c>
      <c r="E5" s="38" t="s">
        <v>16</v>
      </c>
      <c r="F5" s="38" t="s">
        <v>17</v>
      </c>
      <c r="G5" s="38" t="s">
        <v>11</v>
      </c>
      <c r="H5" s="38" t="s">
        <v>18</v>
      </c>
      <c r="I5" s="41" t="s">
        <v>14</v>
      </c>
    </row>
    <row r="6" spans="2:9">
      <c r="B6" s="38">
        <f t="shared" ref="B6:B66" si="0">ROW()-4</f>
        <v>2</v>
      </c>
      <c r="C6" s="39" t="s">
        <v>989</v>
      </c>
      <c r="D6" s="40" t="s">
        <v>981</v>
      </c>
      <c r="E6" s="38" t="s">
        <v>16</v>
      </c>
      <c r="F6" s="38" t="s">
        <v>17</v>
      </c>
      <c r="G6" s="38" t="s">
        <v>11</v>
      </c>
      <c r="H6" s="38" t="s">
        <v>18</v>
      </c>
      <c r="I6" s="41" t="s">
        <v>14</v>
      </c>
    </row>
    <row r="7" spans="2:9">
      <c r="B7" s="38">
        <f t="shared" si="0"/>
        <v>3</v>
      </c>
      <c r="C7" s="39" t="s">
        <v>991</v>
      </c>
      <c r="D7" s="40" t="s">
        <v>983</v>
      </c>
      <c r="E7" s="38" t="s">
        <v>16</v>
      </c>
      <c r="F7" s="38" t="s">
        <v>17</v>
      </c>
      <c r="G7" s="38" t="s">
        <v>11</v>
      </c>
      <c r="H7" s="38" t="s">
        <v>18</v>
      </c>
      <c r="I7" s="41" t="s">
        <v>14</v>
      </c>
    </row>
    <row r="8" spans="2:9">
      <c r="B8" s="38">
        <f t="shared" si="0"/>
        <v>4</v>
      </c>
      <c r="C8" s="39" t="s">
        <v>163</v>
      </c>
      <c r="D8" s="40" t="s">
        <v>153</v>
      </c>
      <c r="E8" s="38" t="s">
        <v>16</v>
      </c>
      <c r="F8" s="38" t="s">
        <v>17</v>
      </c>
      <c r="G8" s="38" t="s">
        <v>11</v>
      </c>
      <c r="H8" s="38" t="s">
        <v>18</v>
      </c>
      <c r="I8" s="41" t="s">
        <v>19</v>
      </c>
    </row>
    <row r="9" spans="2:9">
      <c r="B9" s="38">
        <f t="shared" si="0"/>
        <v>5</v>
      </c>
      <c r="C9" s="39" t="s">
        <v>170</v>
      </c>
      <c r="D9" s="40" t="s">
        <v>160</v>
      </c>
      <c r="E9" s="38" t="s">
        <v>16</v>
      </c>
      <c r="F9" s="38" t="s">
        <v>17</v>
      </c>
      <c r="G9" s="38" t="s">
        <v>11</v>
      </c>
      <c r="H9" s="38" t="s">
        <v>18</v>
      </c>
      <c r="I9" s="41" t="s">
        <v>19</v>
      </c>
    </row>
    <row r="10" spans="2:9">
      <c r="B10" s="38">
        <f t="shared" si="0"/>
        <v>6</v>
      </c>
      <c r="C10" s="39" t="s">
        <v>178</v>
      </c>
      <c r="D10" s="40" t="s">
        <v>171</v>
      </c>
      <c r="E10" s="38" t="s">
        <v>16</v>
      </c>
      <c r="F10" s="38" t="s">
        <v>17</v>
      </c>
      <c r="G10" s="38" t="s">
        <v>11</v>
      </c>
      <c r="H10" s="38" t="s">
        <v>18</v>
      </c>
      <c r="I10" s="41" t="s">
        <v>19</v>
      </c>
    </row>
    <row r="11" spans="2:9">
      <c r="B11" s="38">
        <f t="shared" si="0"/>
        <v>7</v>
      </c>
      <c r="C11" s="39" t="s">
        <v>185</v>
      </c>
      <c r="D11" s="40" t="s">
        <v>179</v>
      </c>
      <c r="E11" s="38" t="s">
        <v>16</v>
      </c>
      <c r="F11" s="38" t="s">
        <v>17</v>
      </c>
      <c r="G11" s="38" t="s">
        <v>11</v>
      </c>
      <c r="H11" s="38" t="s">
        <v>18</v>
      </c>
      <c r="I11" s="41" t="s">
        <v>19</v>
      </c>
    </row>
    <row r="12" spans="2:9">
      <c r="B12" s="38">
        <f t="shared" si="0"/>
        <v>8</v>
      </c>
      <c r="C12" s="39" t="s">
        <v>189</v>
      </c>
      <c r="D12" s="40" t="s">
        <v>186</v>
      </c>
      <c r="E12" s="38" t="s">
        <v>16</v>
      </c>
      <c r="F12" s="38" t="s">
        <v>17</v>
      </c>
      <c r="G12" s="38" t="s">
        <v>11</v>
      </c>
      <c r="H12" s="38" t="s">
        <v>18</v>
      </c>
      <c r="I12" s="41" t="s">
        <v>19</v>
      </c>
    </row>
    <row r="13" spans="2:9">
      <c r="B13" s="38">
        <f t="shared" si="0"/>
        <v>9</v>
      </c>
      <c r="C13" s="39" t="s">
        <v>198</v>
      </c>
      <c r="D13" s="40" t="s">
        <v>23</v>
      </c>
      <c r="E13" s="38" t="s">
        <v>16</v>
      </c>
      <c r="F13" s="38" t="s">
        <v>17</v>
      </c>
      <c r="G13" s="38" t="s">
        <v>11</v>
      </c>
      <c r="H13" s="38" t="s">
        <v>18</v>
      </c>
      <c r="I13" s="41" t="s">
        <v>19</v>
      </c>
    </row>
    <row r="14" spans="2:9">
      <c r="B14" s="38">
        <f t="shared" si="0"/>
        <v>10</v>
      </c>
      <c r="C14" s="39" t="s">
        <v>227</v>
      </c>
      <c r="D14" s="40" t="s">
        <v>24</v>
      </c>
      <c r="E14" s="38" t="s">
        <v>16</v>
      </c>
      <c r="F14" s="38" t="s">
        <v>17</v>
      </c>
      <c r="G14" s="38" t="s">
        <v>11</v>
      </c>
      <c r="H14" s="38" t="s">
        <v>18</v>
      </c>
      <c r="I14" s="41" t="s">
        <v>19</v>
      </c>
    </row>
    <row r="15" spans="2:9">
      <c r="B15" s="38">
        <f t="shared" si="0"/>
        <v>11</v>
      </c>
      <c r="C15" s="39" t="s">
        <v>237</v>
      </c>
      <c r="D15" s="40" t="s">
        <v>25</v>
      </c>
      <c r="E15" s="38" t="s">
        <v>16</v>
      </c>
      <c r="F15" s="38" t="s">
        <v>17</v>
      </c>
      <c r="G15" s="38" t="s">
        <v>11</v>
      </c>
      <c r="H15" s="38" t="s">
        <v>18</v>
      </c>
      <c r="I15" s="41" t="s">
        <v>19</v>
      </c>
    </row>
    <row r="16" spans="2:9">
      <c r="B16" s="38">
        <f t="shared" si="0"/>
        <v>12</v>
      </c>
      <c r="C16" s="39" t="s">
        <v>246</v>
      </c>
      <c r="D16" s="40" t="s">
        <v>26</v>
      </c>
      <c r="E16" s="38" t="s">
        <v>16</v>
      </c>
      <c r="F16" s="38" t="s">
        <v>17</v>
      </c>
      <c r="G16" s="38" t="s">
        <v>11</v>
      </c>
      <c r="H16" s="38" t="s">
        <v>18</v>
      </c>
      <c r="I16" s="41" t="s">
        <v>19</v>
      </c>
    </row>
    <row r="17" spans="2:9">
      <c r="B17" s="38">
        <f t="shared" si="0"/>
        <v>13</v>
      </c>
      <c r="C17" s="39" t="s">
        <v>257</v>
      </c>
      <c r="D17" s="40" t="s">
        <v>247</v>
      </c>
      <c r="E17" s="38" t="s">
        <v>16</v>
      </c>
      <c r="F17" s="38" t="s">
        <v>17</v>
      </c>
      <c r="G17" s="38" t="s">
        <v>11</v>
      </c>
      <c r="H17" s="38" t="s">
        <v>18</v>
      </c>
      <c r="I17" s="41" t="s">
        <v>19</v>
      </c>
    </row>
    <row r="18" spans="2:9">
      <c r="B18" s="38">
        <f t="shared" si="0"/>
        <v>14</v>
      </c>
      <c r="C18" s="39" t="s">
        <v>265</v>
      </c>
      <c r="D18" s="40" t="s">
        <v>27</v>
      </c>
      <c r="E18" s="38" t="s">
        <v>16</v>
      </c>
      <c r="F18" s="38" t="s">
        <v>17</v>
      </c>
      <c r="G18" s="38" t="s">
        <v>11</v>
      </c>
      <c r="H18" s="38" t="s">
        <v>18</v>
      </c>
      <c r="I18" s="41" t="s">
        <v>19</v>
      </c>
    </row>
    <row r="19" spans="2:9">
      <c r="B19" s="38">
        <f t="shared" si="0"/>
        <v>15</v>
      </c>
      <c r="C19" s="39" t="s">
        <v>272</v>
      </c>
      <c r="D19" s="40" t="s">
        <v>28</v>
      </c>
      <c r="E19" s="38" t="s">
        <v>16</v>
      </c>
      <c r="F19" s="38" t="s">
        <v>17</v>
      </c>
      <c r="G19" s="38" t="s">
        <v>11</v>
      </c>
      <c r="H19" s="38" t="s">
        <v>18</v>
      </c>
      <c r="I19" s="41" t="s">
        <v>19</v>
      </c>
    </row>
    <row r="20" spans="2:9">
      <c r="B20" s="38">
        <f t="shared" si="0"/>
        <v>16</v>
      </c>
      <c r="C20" s="39" t="s">
        <v>304</v>
      </c>
      <c r="D20" s="40" t="s">
        <v>29</v>
      </c>
      <c r="E20" s="38" t="s">
        <v>16</v>
      </c>
      <c r="F20" s="38" t="s">
        <v>17</v>
      </c>
      <c r="G20" s="38" t="s">
        <v>11</v>
      </c>
      <c r="H20" s="38" t="s">
        <v>18</v>
      </c>
      <c r="I20" s="41" t="s">
        <v>19</v>
      </c>
    </row>
    <row r="21" spans="2:9">
      <c r="B21" s="38">
        <f t="shared" si="0"/>
        <v>17</v>
      </c>
      <c r="C21" s="39" t="s">
        <v>311</v>
      </c>
      <c r="D21" s="40" t="s">
        <v>30</v>
      </c>
      <c r="E21" s="38" t="s">
        <v>16</v>
      </c>
      <c r="F21" s="38" t="s">
        <v>17</v>
      </c>
      <c r="G21" s="38" t="s">
        <v>11</v>
      </c>
      <c r="H21" s="38" t="s">
        <v>18</v>
      </c>
      <c r="I21" s="41" t="s">
        <v>19</v>
      </c>
    </row>
    <row r="22" spans="2:9">
      <c r="B22" s="38">
        <f t="shared" si="0"/>
        <v>18</v>
      </c>
      <c r="C22" s="39" t="s">
        <v>318</v>
      </c>
      <c r="D22" s="40" t="s">
        <v>31</v>
      </c>
      <c r="E22" s="38" t="s">
        <v>16</v>
      </c>
      <c r="F22" s="38" t="s">
        <v>17</v>
      </c>
      <c r="G22" s="38" t="s">
        <v>11</v>
      </c>
      <c r="H22" s="38" t="s">
        <v>18</v>
      </c>
      <c r="I22" s="41" t="s">
        <v>19</v>
      </c>
    </row>
    <row r="23" spans="2:9">
      <c r="B23" s="38">
        <f t="shared" si="0"/>
        <v>19</v>
      </c>
      <c r="C23" s="39" t="s">
        <v>325</v>
      </c>
      <c r="D23" s="40" t="s">
        <v>32</v>
      </c>
      <c r="E23" s="38" t="s">
        <v>16</v>
      </c>
      <c r="F23" s="38" t="s">
        <v>17</v>
      </c>
      <c r="G23" s="38" t="s">
        <v>11</v>
      </c>
      <c r="H23" s="38" t="s">
        <v>18</v>
      </c>
      <c r="I23" s="41" t="s">
        <v>19</v>
      </c>
    </row>
    <row r="24" spans="2:9">
      <c r="B24" s="38">
        <f t="shared" si="0"/>
        <v>20</v>
      </c>
      <c r="C24" s="39" t="s">
        <v>332</v>
      </c>
      <c r="D24" s="48" t="s">
        <v>340</v>
      </c>
      <c r="E24" s="46" t="s">
        <v>16</v>
      </c>
      <c r="F24" s="46" t="s">
        <v>17</v>
      </c>
      <c r="G24" s="46" t="s">
        <v>11</v>
      </c>
      <c r="H24" s="46" t="s">
        <v>18</v>
      </c>
      <c r="I24" s="47" t="s">
        <v>19</v>
      </c>
    </row>
    <row r="25" spans="2:9">
      <c r="B25" s="38">
        <f t="shared" si="0"/>
        <v>21</v>
      </c>
      <c r="C25" s="39" t="s">
        <v>370</v>
      </c>
      <c r="D25" s="40" t="s">
        <v>33</v>
      </c>
      <c r="E25" s="38" t="s">
        <v>16</v>
      </c>
      <c r="F25" s="38" t="s">
        <v>17</v>
      </c>
      <c r="G25" s="38" t="s">
        <v>11</v>
      </c>
      <c r="H25" s="38" t="s">
        <v>18</v>
      </c>
      <c r="I25" s="41" t="s">
        <v>19</v>
      </c>
    </row>
    <row r="26" spans="2:9">
      <c r="B26" s="38">
        <f t="shared" si="0"/>
        <v>22</v>
      </c>
      <c r="C26" s="39" t="s">
        <v>394</v>
      </c>
      <c r="D26" s="40" t="s">
        <v>34</v>
      </c>
      <c r="E26" s="38" t="s">
        <v>16</v>
      </c>
      <c r="F26" s="38" t="s">
        <v>17</v>
      </c>
      <c r="G26" s="38" t="s">
        <v>11</v>
      </c>
      <c r="H26" s="38" t="s">
        <v>18</v>
      </c>
      <c r="I26" s="41" t="s">
        <v>19</v>
      </c>
    </row>
    <row r="27" spans="2:9">
      <c r="B27" s="38">
        <f t="shared" si="0"/>
        <v>23</v>
      </c>
      <c r="C27" s="39" t="s">
        <v>402</v>
      </c>
      <c r="D27" s="40" t="s">
        <v>395</v>
      </c>
      <c r="E27" s="38" t="s">
        <v>16</v>
      </c>
      <c r="F27" s="38" t="s">
        <v>17</v>
      </c>
      <c r="G27" s="38" t="s">
        <v>11</v>
      </c>
      <c r="H27" s="38" t="s">
        <v>18</v>
      </c>
      <c r="I27" s="41" t="s">
        <v>19</v>
      </c>
    </row>
    <row r="28" spans="2:9">
      <c r="B28" s="38">
        <f t="shared" si="0"/>
        <v>24</v>
      </c>
      <c r="C28" s="39" t="s">
        <v>408</v>
      </c>
      <c r="D28" s="40" t="s">
        <v>403</v>
      </c>
      <c r="E28" s="38" t="s">
        <v>16</v>
      </c>
      <c r="F28" s="38" t="s">
        <v>17</v>
      </c>
      <c r="G28" s="38" t="s">
        <v>11</v>
      </c>
      <c r="H28" s="38" t="s">
        <v>18</v>
      </c>
      <c r="I28" s="41" t="s">
        <v>19</v>
      </c>
    </row>
    <row r="29" spans="2:9">
      <c r="B29" s="38">
        <f t="shared" si="0"/>
        <v>25</v>
      </c>
      <c r="C29" s="39" t="s">
        <v>417</v>
      </c>
      <c r="D29" s="40" t="s">
        <v>36</v>
      </c>
      <c r="E29" s="38" t="s">
        <v>16</v>
      </c>
      <c r="F29" s="38" t="s">
        <v>17</v>
      </c>
      <c r="G29" s="38" t="s">
        <v>11</v>
      </c>
      <c r="H29" s="38" t="s">
        <v>18</v>
      </c>
      <c r="I29" s="41" t="s">
        <v>19</v>
      </c>
    </row>
    <row r="30" spans="2:9">
      <c r="B30" s="38">
        <f t="shared" si="0"/>
        <v>26</v>
      </c>
      <c r="C30" s="39" t="s">
        <v>428</v>
      </c>
      <c r="D30" s="40" t="s">
        <v>418</v>
      </c>
      <c r="E30" s="38" t="s">
        <v>16</v>
      </c>
      <c r="F30" s="38" t="s">
        <v>17</v>
      </c>
      <c r="G30" s="38" t="s">
        <v>11</v>
      </c>
      <c r="H30" s="38" t="s">
        <v>18</v>
      </c>
      <c r="I30" s="41" t="s">
        <v>19</v>
      </c>
    </row>
    <row r="31" spans="2:9">
      <c r="B31" s="38">
        <f t="shared" si="0"/>
        <v>27</v>
      </c>
      <c r="C31" s="39" t="s">
        <v>339</v>
      </c>
      <c r="D31" s="48" t="s">
        <v>341</v>
      </c>
      <c r="E31" s="46" t="s">
        <v>16</v>
      </c>
      <c r="F31" s="46" t="s">
        <v>17</v>
      </c>
      <c r="G31" s="46" t="s">
        <v>11</v>
      </c>
      <c r="H31" s="46" t="s">
        <v>18</v>
      </c>
      <c r="I31" s="47" t="s">
        <v>19</v>
      </c>
    </row>
    <row r="32" spans="2:9">
      <c r="B32" s="38">
        <f t="shared" si="0"/>
        <v>28</v>
      </c>
      <c r="C32" s="39" t="s">
        <v>437</v>
      </c>
      <c r="D32" s="40" t="s">
        <v>38</v>
      </c>
      <c r="E32" s="38" t="s">
        <v>16</v>
      </c>
      <c r="F32" s="38" t="s">
        <v>17</v>
      </c>
      <c r="G32" s="38" t="s">
        <v>11</v>
      </c>
      <c r="H32" s="38" t="s">
        <v>18</v>
      </c>
      <c r="I32" s="41" t="s">
        <v>19</v>
      </c>
    </row>
    <row r="33" spans="2:9">
      <c r="B33" s="38">
        <f t="shared" si="0"/>
        <v>29</v>
      </c>
      <c r="C33" s="39" t="s">
        <v>445</v>
      </c>
      <c r="D33" s="40" t="s">
        <v>39</v>
      </c>
      <c r="E33" s="38" t="s">
        <v>16</v>
      </c>
      <c r="F33" s="38" t="s">
        <v>17</v>
      </c>
      <c r="G33" s="38" t="s">
        <v>11</v>
      </c>
      <c r="H33" s="38" t="s">
        <v>18</v>
      </c>
      <c r="I33" s="41" t="s">
        <v>19</v>
      </c>
    </row>
    <row r="34" spans="2:9">
      <c r="B34" s="38">
        <f t="shared" si="0"/>
        <v>30</v>
      </c>
      <c r="C34" s="39" t="s">
        <v>454</v>
      </c>
      <c r="D34" s="40" t="s">
        <v>40</v>
      </c>
      <c r="E34" s="38" t="s">
        <v>16</v>
      </c>
      <c r="F34" s="38" t="s">
        <v>17</v>
      </c>
      <c r="G34" s="38" t="s">
        <v>11</v>
      </c>
      <c r="H34" s="38" t="s">
        <v>18</v>
      </c>
      <c r="I34" s="41" t="s">
        <v>19</v>
      </c>
    </row>
    <row r="35" spans="2:9">
      <c r="B35" s="38">
        <f t="shared" si="0"/>
        <v>31</v>
      </c>
      <c r="C35" s="39" t="s">
        <v>465</v>
      </c>
      <c r="D35" s="40" t="s">
        <v>41</v>
      </c>
      <c r="E35" s="38" t="s">
        <v>16</v>
      </c>
      <c r="F35" s="38" t="s">
        <v>17</v>
      </c>
      <c r="G35" s="38" t="s">
        <v>11</v>
      </c>
      <c r="H35" s="38" t="s">
        <v>18</v>
      </c>
      <c r="I35" s="41" t="s">
        <v>19</v>
      </c>
    </row>
    <row r="36" spans="2:9">
      <c r="B36" s="38">
        <f t="shared" si="0"/>
        <v>32</v>
      </c>
      <c r="C36" s="39" t="s">
        <v>474</v>
      </c>
      <c r="D36" s="40" t="s">
        <v>42</v>
      </c>
      <c r="E36" s="38" t="s">
        <v>16</v>
      </c>
      <c r="F36" s="38" t="s">
        <v>17</v>
      </c>
      <c r="G36" s="38" t="s">
        <v>11</v>
      </c>
      <c r="H36" s="38" t="s">
        <v>18</v>
      </c>
      <c r="I36" s="41" t="s">
        <v>19</v>
      </c>
    </row>
    <row r="37" spans="2:9">
      <c r="B37" s="38">
        <f t="shared" si="0"/>
        <v>33</v>
      </c>
      <c r="C37" s="39" t="s">
        <v>494</v>
      </c>
      <c r="D37" s="40" t="s">
        <v>81</v>
      </c>
      <c r="E37" s="38" t="s">
        <v>16</v>
      </c>
      <c r="F37" s="38" t="s">
        <v>17</v>
      </c>
      <c r="G37" s="38" t="s">
        <v>11</v>
      </c>
      <c r="H37" s="38" t="s">
        <v>18</v>
      </c>
      <c r="I37" s="41" t="s">
        <v>19</v>
      </c>
    </row>
    <row r="38" spans="2:9">
      <c r="B38" s="38">
        <f t="shared" si="0"/>
        <v>34</v>
      </c>
      <c r="C38" s="39" t="s">
        <v>545</v>
      </c>
      <c r="D38" s="40" t="s">
        <v>546</v>
      </c>
      <c r="E38" s="38" t="s">
        <v>16</v>
      </c>
      <c r="F38" s="38" t="s">
        <v>17</v>
      </c>
      <c r="G38" s="38" t="s">
        <v>11</v>
      </c>
      <c r="H38" s="38" t="s">
        <v>18</v>
      </c>
      <c r="I38" s="41" t="s">
        <v>19</v>
      </c>
    </row>
    <row r="39" spans="2:9">
      <c r="B39" s="38">
        <f t="shared" si="0"/>
        <v>35</v>
      </c>
      <c r="C39" s="39" t="s">
        <v>553</v>
      </c>
      <c r="D39" s="40" t="s">
        <v>43</v>
      </c>
      <c r="E39" s="38" t="s">
        <v>16</v>
      </c>
      <c r="F39" s="38" t="s">
        <v>17</v>
      </c>
      <c r="G39" s="38" t="s">
        <v>11</v>
      </c>
      <c r="H39" s="38" t="s">
        <v>18</v>
      </c>
      <c r="I39" s="41" t="s">
        <v>19</v>
      </c>
    </row>
    <row r="40" spans="2:9">
      <c r="B40" s="38">
        <f t="shared" si="0"/>
        <v>36</v>
      </c>
      <c r="C40" s="39" t="s">
        <v>557</v>
      </c>
      <c r="D40" s="40" t="s">
        <v>44</v>
      </c>
      <c r="E40" s="38" t="s">
        <v>16</v>
      </c>
      <c r="F40" s="38" t="s">
        <v>17</v>
      </c>
      <c r="G40" s="38" t="s">
        <v>11</v>
      </c>
      <c r="H40" s="38" t="s">
        <v>18</v>
      </c>
      <c r="I40" s="41" t="s">
        <v>19</v>
      </c>
    </row>
    <row r="41" spans="2:9">
      <c r="B41" s="38">
        <f t="shared" si="0"/>
        <v>37</v>
      </c>
      <c r="C41" s="39" t="s">
        <v>564</v>
      </c>
      <c r="D41" s="40" t="s">
        <v>45</v>
      </c>
      <c r="E41" s="38" t="s">
        <v>16</v>
      </c>
      <c r="F41" s="38" t="s">
        <v>17</v>
      </c>
      <c r="G41" s="38" t="s">
        <v>11</v>
      </c>
      <c r="H41" s="38" t="s">
        <v>18</v>
      </c>
      <c r="I41" s="41" t="s">
        <v>19</v>
      </c>
    </row>
    <row r="42" spans="2:9">
      <c r="B42" s="38">
        <f t="shared" si="0"/>
        <v>38</v>
      </c>
      <c r="C42" s="39" t="s">
        <v>585</v>
      </c>
      <c r="D42" s="40" t="s">
        <v>46</v>
      </c>
      <c r="E42" s="38" t="s">
        <v>16</v>
      </c>
      <c r="F42" s="38" t="s">
        <v>17</v>
      </c>
      <c r="G42" s="38" t="s">
        <v>11</v>
      </c>
      <c r="H42" s="38" t="s">
        <v>18</v>
      </c>
      <c r="I42" s="41" t="s">
        <v>19</v>
      </c>
    </row>
    <row r="43" spans="2:9">
      <c r="B43" s="38">
        <f t="shared" si="0"/>
        <v>39</v>
      </c>
      <c r="C43" s="39" t="s">
        <v>591</v>
      </c>
      <c r="D43" s="40" t="s">
        <v>47</v>
      </c>
      <c r="E43" s="38" t="s">
        <v>16</v>
      </c>
      <c r="F43" s="38" t="s">
        <v>17</v>
      </c>
      <c r="G43" s="38" t="s">
        <v>11</v>
      </c>
      <c r="H43" s="38" t="s">
        <v>18</v>
      </c>
      <c r="I43" s="41" t="s">
        <v>19</v>
      </c>
    </row>
    <row r="44" spans="2:9">
      <c r="B44" s="38">
        <f t="shared" si="0"/>
        <v>40</v>
      </c>
      <c r="C44" s="39" t="s">
        <v>596</v>
      </c>
      <c r="D44" s="40" t="s">
        <v>48</v>
      </c>
      <c r="E44" s="38" t="s">
        <v>16</v>
      </c>
      <c r="F44" s="38" t="s">
        <v>17</v>
      </c>
      <c r="G44" s="38" t="s">
        <v>11</v>
      </c>
      <c r="H44" s="38" t="s">
        <v>18</v>
      </c>
      <c r="I44" s="41" t="s">
        <v>19</v>
      </c>
    </row>
    <row r="45" spans="2:9">
      <c r="B45" s="38">
        <f t="shared" si="0"/>
        <v>41</v>
      </c>
      <c r="C45" s="39" t="s">
        <v>601</v>
      </c>
      <c r="D45" s="40" t="s">
        <v>49</v>
      </c>
      <c r="E45" s="38" t="s">
        <v>16</v>
      </c>
      <c r="F45" s="38" t="s">
        <v>17</v>
      </c>
      <c r="G45" s="38" t="s">
        <v>11</v>
      </c>
      <c r="H45" s="38" t="s">
        <v>18</v>
      </c>
      <c r="I45" s="41" t="s">
        <v>19</v>
      </c>
    </row>
    <row r="46" spans="2:9">
      <c r="B46" s="38">
        <f t="shared" si="0"/>
        <v>42</v>
      </c>
      <c r="C46" s="39" t="s">
        <v>667</v>
      </c>
      <c r="D46" s="40" t="s">
        <v>50</v>
      </c>
      <c r="E46" s="38" t="s">
        <v>16</v>
      </c>
      <c r="F46" s="38" t="s">
        <v>17</v>
      </c>
      <c r="G46" s="38" t="s">
        <v>11</v>
      </c>
      <c r="H46" s="38" t="s">
        <v>18</v>
      </c>
      <c r="I46" s="41" t="s">
        <v>19</v>
      </c>
    </row>
    <row r="47" spans="2:9">
      <c r="B47" s="38">
        <f t="shared" si="0"/>
        <v>43</v>
      </c>
      <c r="C47" s="39" t="s">
        <v>672</v>
      </c>
      <c r="D47" s="40" t="s">
        <v>51</v>
      </c>
      <c r="E47" s="38" t="s">
        <v>16</v>
      </c>
      <c r="F47" s="38" t="s">
        <v>17</v>
      </c>
      <c r="G47" s="38" t="s">
        <v>11</v>
      </c>
      <c r="H47" s="38" t="s">
        <v>18</v>
      </c>
      <c r="I47" s="41" t="s">
        <v>19</v>
      </c>
    </row>
    <row r="48" spans="2:9">
      <c r="B48" s="38">
        <f t="shared" si="0"/>
        <v>44</v>
      </c>
      <c r="C48" s="39" t="s">
        <v>679</v>
      </c>
      <c r="D48" s="48" t="s">
        <v>52</v>
      </c>
      <c r="E48" s="38" t="s">
        <v>16</v>
      </c>
      <c r="F48" s="38" t="s">
        <v>17</v>
      </c>
      <c r="G48" s="38" t="s">
        <v>11</v>
      </c>
      <c r="H48" s="38" t="s">
        <v>18</v>
      </c>
      <c r="I48" s="41" t="s">
        <v>19</v>
      </c>
    </row>
    <row r="49" spans="2:9">
      <c r="B49" s="38">
        <f t="shared" si="0"/>
        <v>45</v>
      </c>
      <c r="C49" s="39" t="s">
        <v>688</v>
      </c>
      <c r="D49" s="40" t="s">
        <v>53</v>
      </c>
      <c r="E49" s="38" t="s">
        <v>16</v>
      </c>
      <c r="F49" s="38" t="s">
        <v>17</v>
      </c>
      <c r="G49" s="38" t="s">
        <v>11</v>
      </c>
      <c r="H49" s="38" t="s">
        <v>18</v>
      </c>
      <c r="I49" s="41" t="s">
        <v>19</v>
      </c>
    </row>
    <row r="50" spans="2:9">
      <c r="B50" s="38">
        <f t="shared" si="0"/>
        <v>46</v>
      </c>
      <c r="C50" s="39" t="s">
        <v>701</v>
      </c>
      <c r="D50" s="40" t="s">
        <v>54</v>
      </c>
      <c r="E50" s="38" t="s">
        <v>16</v>
      </c>
      <c r="F50" s="38" t="s">
        <v>17</v>
      </c>
      <c r="G50" s="38" t="s">
        <v>11</v>
      </c>
      <c r="H50" s="38" t="s">
        <v>18</v>
      </c>
      <c r="I50" s="41" t="s">
        <v>19</v>
      </c>
    </row>
    <row r="51" spans="2:9">
      <c r="B51" s="38">
        <f t="shared" si="0"/>
        <v>47</v>
      </c>
      <c r="C51" s="39" t="s">
        <v>704</v>
      </c>
      <c r="D51" s="40" t="s">
        <v>1180</v>
      </c>
      <c r="E51" s="38" t="s">
        <v>16</v>
      </c>
      <c r="F51" s="38" t="s">
        <v>17</v>
      </c>
      <c r="G51" s="38" t="s">
        <v>11</v>
      </c>
      <c r="H51" s="38" t="s">
        <v>18</v>
      </c>
      <c r="I51" s="41" t="s">
        <v>19</v>
      </c>
    </row>
    <row r="52" spans="2:9">
      <c r="B52" s="38">
        <f t="shared" si="0"/>
        <v>48</v>
      </c>
      <c r="C52" s="39" t="s">
        <v>711</v>
      </c>
      <c r="D52" s="40" t="s">
        <v>55</v>
      </c>
      <c r="E52" s="38" t="s">
        <v>16</v>
      </c>
      <c r="F52" s="38" t="s">
        <v>17</v>
      </c>
      <c r="G52" s="38" t="s">
        <v>11</v>
      </c>
      <c r="H52" s="38" t="s">
        <v>18</v>
      </c>
      <c r="I52" s="41" t="s">
        <v>19</v>
      </c>
    </row>
    <row r="53" spans="2:9">
      <c r="B53" s="38">
        <f t="shared" si="0"/>
        <v>49</v>
      </c>
      <c r="C53" s="39" t="s">
        <v>723</v>
      </c>
      <c r="D53" s="40" t="s">
        <v>56</v>
      </c>
      <c r="E53" s="38" t="s">
        <v>16</v>
      </c>
      <c r="F53" s="38" t="s">
        <v>17</v>
      </c>
      <c r="G53" s="38" t="s">
        <v>11</v>
      </c>
      <c r="H53" s="38" t="s">
        <v>18</v>
      </c>
      <c r="I53" s="41" t="s">
        <v>19</v>
      </c>
    </row>
    <row r="54" spans="2:9">
      <c r="B54" s="38">
        <f t="shared" si="0"/>
        <v>50</v>
      </c>
      <c r="C54" s="39" t="s">
        <v>727</v>
      </c>
      <c r="D54" s="40" t="s">
        <v>57</v>
      </c>
      <c r="E54" s="38" t="s">
        <v>16</v>
      </c>
      <c r="F54" s="38" t="s">
        <v>17</v>
      </c>
      <c r="G54" s="38" t="s">
        <v>11</v>
      </c>
      <c r="H54" s="38" t="s">
        <v>18</v>
      </c>
      <c r="I54" s="41" t="s">
        <v>19</v>
      </c>
    </row>
    <row r="55" spans="2:9">
      <c r="B55" s="38">
        <f t="shared" si="0"/>
        <v>51</v>
      </c>
      <c r="C55" s="39" t="s">
        <v>734</v>
      </c>
      <c r="D55" s="40" t="s">
        <v>58</v>
      </c>
      <c r="E55" s="38" t="s">
        <v>16</v>
      </c>
      <c r="F55" s="38" t="s">
        <v>17</v>
      </c>
      <c r="G55" s="38" t="s">
        <v>11</v>
      </c>
      <c r="H55" s="38" t="s">
        <v>18</v>
      </c>
      <c r="I55" s="41" t="s">
        <v>19</v>
      </c>
    </row>
    <row r="56" spans="2:9">
      <c r="B56" s="38">
        <f t="shared" si="0"/>
        <v>52</v>
      </c>
      <c r="C56" s="39" t="s">
        <v>739</v>
      </c>
      <c r="D56" s="40" t="s">
        <v>59</v>
      </c>
      <c r="E56" s="38" t="s">
        <v>16</v>
      </c>
      <c r="F56" s="38" t="s">
        <v>17</v>
      </c>
      <c r="G56" s="38" t="s">
        <v>11</v>
      </c>
      <c r="H56" s="38" t="s">
        <v>18</v>
      </c>
      <c r="I56" s="41" t="s">
        <v>19</v>
      </c>
    </row>
    <row r="57" spans="2:9">
      <c r="B57" s="38">
        <f t="shared" si="0"/>
        <v>53</v>
      </c>
      <c r="C57" s="39" t="s">
        <v>747</v>
      </c>
      <c r="D57" s="40" t="s">
        <v>60</v>
      </c>
      <c r="E57" s="38" t="s">
        <v>16</v>
      </c>
      <c r="F57" s="38" t="s">
        <v>17</v>
      </c>
      <c r="G57" s="38" t="s">
        <v>11</v>
      </c>
      <c r="H57" s="38" t="s">
        <v>18</v>
      </c>
      <c r="I57" s="41" t="s">
        <v>19</v>
      </c>
    </row>
    <row r="58" spans="2:9">
      <c r="B58" s="38">
        <f t="shared" si="0"/>
        <v>54</v>
      </c>
      <c r="C58" s="39" t="s">
        <v>754</v>
      </c>
      <c r="D58" s="40" t="s">
        <v>61</v>
      </c>
      <c r="E58" s="38" t="s">
        <v>16</v>
      </c>
      <c r="F58" s="38" t="s">
        <v>17</v>
      </c>
      <c r="G58" s="38" t="s">
        <v>11</v>
      </c>
      <c r="H58" s="38" t="s">
        <v>18</v>
      </c>
      <c r="I58" s="41" t="s">
        <v>19</v>
      </c>
    </row>
    <row r="59" spans="2:9">
      <c r="B59" s="38">
        <f t="shared" si="0"/>
        <v>55</v>
      </c>
      <c r="C59" s="39" t="s">
        <v>761</v>
      </c>
      <c r="D59" s="40" t="s">
        <v>62</v>
      </c>
      <c r="E59" s="38" t="s">
        <v>16</v>
      </c>
      <c r="F59" s="38" t="s">
        <v>17</v>
      </c>
      <c r="G59" s="38" t="s">
        <v>11</v>
      </c>
      <c r="H59" s="38" t="s">
        <v>18</v>
      </c>
      <c r="I59" s="41" t="s">
        <v>19</v>
      </c>
    </row>
    <row r="60" spans="2:9">
      <c r="B60" s="38">
        <f t="shared" si="0"/>
        <v>56</v>
      </c>
      <c r="C60" s="39" t="s">
        <v>765</v>
      </c>
      <c r="D60" s="40" t="s">
        <v>63</v>
      </c>
      <c r="E60" s="38" t="s">
        <v>16</v>
      </c>
      <c r="F60" s="38" t="s">
        <v>17</v>
      </c>
      <c r="G60" s="38" t="s">
        <v>11</v>
      </c>
      <c r="H60" s="38" t="s">
        <v>18</v>
      </c>
      <c r="I60" s="41" t="s">
        <v>19</v>
      </c>
    </row>
    <row r="61" spans="2:9">
      <c r="B61" s="38">
        <f t="shared" si="0"/>
        <v>57</v>
      </c>
      <c r="C61" s="39" t="s">
        <v>769</v>
      </c>
      <c r="D61" s="40" t="s">
        <v>82</v>
      </c>
      <c r="E61" s="38" t="s">
        <v>16</v>
      </c>
      <c r="F61" s="38" t="s">
        <v>17</v>
      </c>
      <c r="G61" s="38" t="s">
        <v>11</v>
      </c>
      <c r="H61" s="38" t="s">
        <v>18</v>
      </c>
      <c r="I61" s="41" t="s">
        <v>19</v>
      </c>
    </row>
    <row r="62" spans="2:9">
      <c r="B62" s="38">
        <f t="shared" si="0"/>
        <v>58</v>
      </c>
      <c r="C62" s="39" t="s">
        <v>777</v>
      </c>
      <c r="D62" s="40" t="s">
        <v>64</v>
      </c>
      <c r="E62" s="38" t="s">
        <v>16</v>
      </c>
      <c r="F62" s="38" t="s">
        <v>17</v>
      </c>
      <c r="G62" s="38" t="s">
        <v>11</v>
      </c>
      <c r="H62" s="38" t="s">
        <v>18</v>
      </c>
      <c r="I62" s="41" t="s">
        <v>19</v>
      </c>
    </row>
    <row r="63" spans="2:9">
      <c r="B63" s="38">
        <f t="shared" si="0"/>
        <v>59</v>
      </c>
      <c r="C63" s="39" t="s">
        <v>782</v>
      </c>
      <c r="D63" s="40" t="s">
        <v>65</v>
      </c>
      <c r="E63" s="38" t="s">
        <v>16</v>
      </c>
      <c r="F63" s="38" t="s">
        <v>17</v>
      </c>
      <c r="G63" s="38" t="s">
        <v>11</v>
      </c>
      <c r="H63" s="38" t="s">
        <v>18</v>
      </c>
      <c r="I63" s="41" t="s">
        <v>19</v>
      </c>
    </row>
    <row r="64" spans="2:9">
      <c r="B64" s="38">
        <f t="shared" si="0"/>
        <v>60</v>
      </c>
      <c r="C64" s="39" t="s">
        <v>1676</v>
      </c>
      <c r="D64" s="40" t="s">
        <v>66</v>
      </c>
      <c r="E64" s="38" t="s">
        <v>16</v>
      </c>
      <c r="F64" s="38" t="s">
        <v>17</v>
      </c>
      <c r="G64" s="38" t="s">
        <v>11</v>
      </c>
      <c r="H64" s="38" t="s">
        <v>18</v>
      </c>
      <c r="I64" s="41" t="s">
        <v>19</v>
      </c>
    </row>
    <row r="65" spans="2:9">
      <c r="B65" s="38">
        <f t="shared" si="0"/>
        <v>61</v>
      </c>
      <c r="C65" s="39" t="s">
        <v>791</v>
      </c>
      <c r="D65" s="40" t="s">
        <v>83</v>
      </c>
      <c r="E65" s="38" t="s">
        <v>16</v>
      </c>
      <c r="F65" s="38" t="s">
        <v>17</v>
      </c>
      <c r="G65" s="38" t="s">
        <v>11</v>
      </c>
      <c r="H65" s="38" t="s">
        <v>18</v>
      </c>
      <c r="I65" s="41" t="s">
        <v>19</v>
      </c>
    </row>
    <row r="66" spans="2:9">
      <c r="B66" s="38">
        <f t="shared" si="0"/>
        <v>62</v>
      </c>
      <c r="C66" s="39" t="s">
        <v>814</v>
      </c>
      <c r="D66" s="40" t="s">
        <v>67</v>
      </c>
      <c r="E66" s="38" t="s">
        <v>16</v>
      </c>
      <c r="F66" s="38" t="s">
        <v>17</v>
      </c>
      <c r="G66" s="38" t="s">
        <v>11</v>
      </c>
      <c r="H66" s="38" t="s">
        <v>18</v>
      </c>
      <c r="I66" s="41" t="s">
        <v>19</v>
      </c>
    </row>
    <row r="67" spans="2:9">
      <c r="B67" s="38">
        <f t="shared" ref="B67:B85" si="1">ROW()-4</f>
        <v>63</v>
      </c>
      <c r="C67" s="39" t="s">
        <v>830</v>
      </c>
      <c r="D67" s="40" t="s">
        <v>84</v>
      </c>
      <c r="E67" s="38" t="s">
        <v>16</v>
      </c>
      <c r="F67" s="38" t="s">
        <v>17</v>
      </c>
      <c r="G67" s="38" t="s">
        <v>11</v>
      </c>
      <c r="H67" s="38" t="s">
        <v>18</v>
      </c>
      <c r="I67" s="41" t="s">
        <v>19</v>
      </c>
    </row>
    <row r="68" spans="2:9">
      <c r="B68" s="38">
        <f t="shared" si="1"/>
        <v>64</v>
      </c>
      <c r="C68" s="39" t="s">
        <v>841</v>
      </c>
      <c r="D68" s="40" t="s">
        <v>68</v>
      </c>
      <c r="E68" s="38" t="s">
        <v>16</v>
      </c>
      <c r="F68" s="38" t="s">
        <v>17</v>
      </c>
      <c r="G68" s="38" t="s">
        <v>11</v>
      </c>
      <c r="H68" s="38" t="s">
        <v>18</v>
      </c>
      <c r="I68" s="41" t="s">
        <v>19</v>
      </c>
    </row>
    <row r="69" spans="2:9">
      <c r="B69" s="38">
        <f t="shared" si="1"/>
        <v>65</v>
      </c>
      <c r="C69" s="39" t="s">
        <v>848</v>
      </c>
      <c r="D69" s="40" t="s">
        <v>69</v>
      </c>
      <c r="E69" s="38" t="s">
        <v>16</v>
      </c>
      <c r="F69" s="38" t="s">
        <v>17</v>
      </c>
      <c r="G69" s="38" t="s">
        <v>11</v>
      </c>
      <c r="H69" s="38" t="s">
        <v>18</v>
      </c>
      <c r="I69" s="41" t="s">
        <v>19</v>
      </c>
    </row>
    <row r="70" spans="2:9">
      <c r="B70" s="38">
        <f t="shared" si="1"/>
        <v>66</v>
      </c>
      <c r="C70" s="39" t="s">
        <v>860</v>
      </c>
      <c r="D70" s="40" t="s">
        <v>70</v>
      </c>
      <c r="E70" s="38" t="s">
        <v>16</v>
      </c>
      <c r="F70" s="38" t="s">
        <v>17</v>
      </c>
      <c r="G70" s="38" t="s">
        <v>11</v>
      </c>
      <c r="H70" s="38" t="s">
        <v>18</v>
      </c>
      <c r="I70" s="41" t="s">
        <v>19</v>
      </c>
    </row>
    <row r="71" spans="2:9">
      <c r="B71" s="38">
        <f t="shared" si="1"/>
        <v>67</v>
      </c>
      <c r="C71" s="39" t="s">
        <v>872</v>
      </c>
      <c r="D71" s="40" t="s">
        <v>71</v>
      </c>
      <c r="E71" s="38" t="s">
        <v>16</v>
      </c>
      <c r="F71" s="38" t="s">
        <v>17</v>
      </c>
      <c r="G71" s="38" t="s">
        <v>11</v>
      </c>
      <c r="H71" s="38" t="s">
        <v>18</v>
      </c>
      <c r="I71" s="41" t="s">
        <v>19</v>
      </c>
    </row>
    <row r="72" spans="2:9">
      <c r="B72" s="38">
        <f t="shared" si="1"/>
        <v>68</v>
      </c>
      <c r="C72" s="39" t="s">
        <v>887</v>
      </c>
      <c r="D72" s="40" t="s">
        <v>85</v>
      </c>
      <c r="E72" s="38" t="s">
        <v>16</v>
      </c>
      <c r="F72" s="38" t="s">
        <v>17</v>
      </c>
      <c r="G72" s="38" t="s">
        <v>11</v>
      </c>
      <c r="H72" s="38" t="s">
        <v>18</v>
      </c>
      <c r="I72" s="41" t="s">
        <v>19</v>
      </c>
    </row>
    <row r="73" spans="2:9">
      <c r="B73" s="38">
        <f t="shared" si="1"/>
        <v>69</v>
      </c>
      <c r="C73" s="39" t="s">
        <v>908</v>
      </c>
      <c r="D73" s="40" t="s">
        <v>86</v>
      </c>
      <c r="E73" s="38" t="s">
        <v>16</v>
      </c>
      <c r="F73" s="38" t="s">
        <v>17</v>
      </c>
      <c r="G73" s="38" t="s">
        <v>11</v>
      </c>
      <c r="H73" s="38" t="s">
        <v>18</v>
      </c>
      <c r="I73" s="41" t="s">
        <v>19</v>
      </c>
    </row>
    <row r="74" spans="2:9">
      <c r="B74" s="38">
        <f t="shared" si="1"/>
        <v>70</v>
      </c>
      <c r="C74" s="39" t="s">
        <v>893</v>
      </c>
      <c r="D74" s="40" t="s">
        <v>87</v>
      </c>
      <c r="E74" s="38" t="s">
        <v>16</v>
      </c>
      <c r="F74" s="38" t="s">
        <v>17</v>
      </c>
      <c r="G74" s="38" t="s">
        <v>11</v>
      </c>
      <c r="H74" s="38" t="s">
        <v>18</v>
      </c>
      <c r="I74" s="41" t="s">
        <v>19</v>
      </c>
    </row>
    <row r="75" spans="2:9">
      <c r="B75" s="38">
        <f t="shared" si="1"/>
        <v>71</v>
      </c>
      <c r="C75" s="39" t="s">
        <v>920</v>
      </c>
      <c r="D75" s="40" t="s">
        <v>88</v>
      </c>
      <c r="E75" s="38" t="s">
        <v>16</v>
      </c>
      <c r="F75" s="38" t="s">
        <v>17</v>
      </c>
      <c r="G75" s="38" t="s">
        <v>11</v>
      </c>
      <c r="H75" s="38" t="s">
        <v>18</v>
      </c>
      <c r="I75" s="41" t="s">
        <v>19</v>
      </c>
    </row>
    <row r="76" spans="2:9">
      <c r="B76" s="38">
        <f t="shared" si="1"/>
        <v>72</v>
      </c>
      <c r="C76" s="39" t="s">
        <v>924</v>
      </c>
      <c r="D76" s="40" t="s">
        <v>72</v>
      </c>
      <c r="E76" s="38" t="s">
        <v>16</v>
      </c>
      <c r="F76" s="38" t="s">
        <v>17</v>
      </c>
      <c r="G76" s="38" t="s">
        <v>11</v>
      </c>
      <c r="H76" s="38" t="s">
        <v>18</v>
      </c>
      <c r="I76" s="41" t="s">
        <v>19</v>
      </c>
    </row>
    <row r="77" spans="2:9">
      <c r="B77" s="38">
        <f t="shared" si="1"/>
        <v>73</v>
      </c>
      <c r="C77" s="39" t="s">
        <v>928</v>
      </c>
      <c r="D77" s="40" t="s">
        <v>73</v>
      </c>
      <c r="E77" s="38" t="s">
        <v>16</v>
      </c>
      <c r="F77" s="38" t="s">
        <v>17</v>
      </c>
      <c r="G77" s="38" t="s">
        <v>11</v>
      </c>
      <c r="H77" s="38" t="s">
        <v>18</v>
      </c>
      <c r="I77" s="41" t="s">
        <v>19</v>
      </c>
    </row>
    <row r="78" spans="2:9">
      <c r="B78" s="38">
        <f t="shared" si="1"/>
        <v>74</v>
      </c>
      <c r="C78" s="39" t="s">
        <v>933</v>
      </c>
      <c r="D78" s="40" t="s">
        <v>74</v>
      </c>
      <c r="E78" s="38" t="s">
        <v>16</v>
      </c>
      <c r="F78" s="38" t="s">
        <v>17</v>
      </c>
      <c r="G78" s="38" t="s">
        <v>11</v>
      </c>
      <c r="H78" s="38" t="s">
        <v>18</v>
      </c>
      <c r="I78" s="41" t="s">
        <v>19</v>
      </c>
    </row>
    <row r="79" spans="2:9">
      <c r="B79" s="38">
        <f t="shared" si="1"/>
        <v>75</v>
      </c>
      <c r="C79" s="39" t="s">
        <v>943</v>
      </c>
      <c r="D79" s="40" t="s">
        <v>75</v>
      </c>
      <c r="E79" s="38" t="s">
        <v>16</v>
      </c>
      <c r="F79" s="38" t="s">
        <v>17</v>
      </c>
      <c r="G79" s="38" t="s">
        <v>11</v>
      </c>
      <c r="H79" s="38" t="s">
        <v>18</v>
      </c>
      <c r="I79" s="41" t="s">
        <v>19</v>
      </c>
    </row>
    <row r="80" spans="2:9">
      <c r="B80" s="38">
        <f t="shared" si="1"/>
        <v>76</v>
      </c>
      <c r="C80" s="39" t="s">
        <v>96</v>
      </c>
      <c r="D80" s="40" t="s">
        <v>76</v>
      </c>
      <c r="E80" s="38" t="s">
        <v>16</v>
      </c>
      <c r="F80" s="38" t="s">
        <v>17</v>
      </c>
      <c r="G80" s="38" t="s">
        <v>11</v>
      </c>
      <c r="H80" s="38" t="s">
        <v>18</v>
      </c>
      <c r="I80" s="41" t="s">
        <v>19</v>
      </c>
    </row>
    <row r="81" spans="2:9">
      <c r="B81" s="38">
        <f t="shared" si="1"/>
        <v>77</v>
      </c>
      <c r="C81" s="39" t="s">
        <v>953</v>
      </c>
      <c r="D81" s="40" t="s">
        <v>77</v>
      </c>
      <c r="E81" s="38" t="s">
        <v>16</v>
      </c>
      <c r="F81" s="38" t="s">
        <v>17</v>
      </c>
      <c r="G81" s="38" t="s">
        <v>11</v>
      </c>
      <c r="H81" s="38" t="s">
        <v>18</v>
      </c>
      <c r="I81" s="41" t="s">
        <v>19</v>
      </c>
    </row>
    <row r="82" spans="2:9">
      <c r="B82" s="38">
        <f t="shared" si="1"/>
        <v>78</v>
      </c>
      <c r="C82" s="39" t="s">
        <v>958</v>
      </c>
      <c r="D82" s="40" t="s">
        <v>78</v>
      </c>
      <c r="E82" s="38" t="s">
        <v>16</v>
      </c>
      <c r="F82" s="38" t="s">
        <v>17</v>
      </c>
      <c r="G82" s="38" t="s">
        <v>11</v>
      </c>
      <c r="H82" s="38" t="s">
        <v>18</v>
      </c>
      <c r="I82" s="41" t="s">
        <v>19</v>
      </c>
    </row>
    <row r="83" spans="2:9">
      <c r="B83" s="38">
        <f t="shared" si="1"/>
        <v>79</v>
      </c>
      <c r="C83" s="39" t="s">
        <v>964</v>
      </c>
      <c r="D83" s="40" t="s">
        <v>79</v>
      </c>
      <c r="E83" s="38" t="s">
        <v>16</v>
      </c>
      <c r="F83" s="38" t="s">
        <v>17</v>
      </c>
      <c r="G83" s="38" t="s">
        <v>11</v>
      </c>
      <c r="H83" s="38" t="s">
        <v>18</v>
      </c>
      <c r="I83" s="41" t="s">
        <v>19</v>
      </c>
    </row>
    <row r="84" spans="2:9">
      <c r="B84" s="38">
        <f t="shared" si="1"/>
        <v>80</v>
      </c>
      <c r="C84" s="39" t="s">
        <v>971</v>
      </c>
      <c r="D84" s="40" t="s">
        <v>89</v>
      </c>
      <c r="E84" s="38" t="s">
        <v>16</v>
      </c>
      <c r="F84" s="38" t="s">
        <v>17</v>
      </c>
      <c r="G84" s="38" t="s">
        <v>11</v>
      </c>
      <c r="H84" s="38" t="s">
        <v>18</v>
      </c>
      <c r="I84" s="41" t="s">
        <v>91</v>
      </c>
    </row>
    <row r="85" spans="2:9">
      <c r="B85" s="38">
        <f t="shared" si="1"/>
        <v>81</v>
      </c>
      <c r="C85" s="39" t="s">
        <v>978</v>
      </c>
      <c r="D85" s="40" t="s">
        <v>90</v>
      </c>
      <c r="E85" s="38" t="s">
        <v>16</v>
      </c>
      <c r="F85" s="38" t="s">
        <v>17</v>
      </c>
      <c r="G85" s="38" t="s">
        <v>11</v>
      </c>
      <c r="H85" s="38" t="s">
        <v>18</v>
      </c>
      <c r="I85" s="41" t="s">
        <v>20</v>
      </c>
    </row>
    <row r="86" spans="2:9">
      <c r="B86" s="38">
        <f>ROW()-4</f>
        <v>82</v>
      </c>
      <c r="C86" s="39" t="s">
        <v>1181</v>
      </c>
      <c r="D86" s="40" t="s">
        <v>1182</v>
      </c>
      <c r="E86" s="38" t="s">
        <v>16</v>
      </c>
      <c r="F86" s="38" t="s">
        <v>17</v>
      </c>
      <c r="G86" s="38" t="s">
        <v>11</v>
      </c>
      <c r="H86" s="38" t="s">
        <v>18</v>
      </c>
      <c r="I86" s="41" t="s">
        <v>19</v>
      </c>
    </row>
    <row r="87" spans="2:9">
      <c r="B87" s="38">
        <f t="shared" ref="B87:B102" si="2">ROW()-4</f>
        <v>83</v>
      </c>
      <c r="C87" s="39" t="s">
        <v>1239</v>
      </c>
      <c r="D87" s="40" t="s">
        <v>1240</v>
      </c>
      <c r="E87" s="38" t="s">
        <v>16</v>
      </c>
      <c r="F87" s="38" t="s">
        <v>17</v>
      </c>
      <c r="G87" s="38" t="s">
        <v>11</v>
      </c>
      <c r="H87" s="38" t="s">
        <v>18</v>
      </c>
      <c r="I87" s="41" t="s">
        <v>19</v>
      </c>
    </row>
    <row r="88" spans="2:9">
      <c r="B88" s="38">
        <f t="shared" si="2"/>
        <v>84</v>
      </c>
      <c r="C88" s="39" t="s">
        <v>1261</v>
      </c>
      <c r="D88" s="40" t="s">
        <v>1262</v>
      </c>
      <c r="E88" s="38" t="s">
        <v>16</v>
      </c>
      <c r="F88" s="38" t="s">
        <v>17</v>
      </c>
      <c r="G88" s="38" t="s">
        <v>11</v>
      </c>
      <c r="H88" s="38" t="s">
        <v>18</v>
      </c>
      <c r="I88" s="41" t="s">
        <v>19</v>
      </c>
    </row>
    <row r="89" spans="2:9">
      <c r="B89" s="38">
        <f t="shared" si="2"/>
        <v>85</v>
      </c>
      <c r="C89" s="39" t="s">
        <v>1275</v>
      </c>
      <c r="D89" s="40" t="s">
        <v>1276</v>
      </c>
      <c r="E89" s="38" t="s">
        <v>16</v>
      </c>
      <c r="F89" s="38" t="s">
        <v>17</v>
      </c>
      <c r="G89" s="38" t="s">
        <v>11</v>
      </c>
      <c r="H89" s="38" t="s">
        <v>18</v>
      </c>
      <c r="I89" s="41" t="s">
        <v>19</v>
      </c>
    </row>
    <row r="90" spans="2:9">
      <c r="B90" s="38">
        <f t="shared" si="2"/>
        <v>86</v>
      </c>
      <c r="C90" s="39" t="s">
        <v>1280</v>
      </c>
      <c r="D90" s="40" t="s">
        <v>1281</v>
      </c>
      <c r="E90" s="38" t="s">
        <v>16</v>
      </c>
      <c r="F90" s="38" t="s">
        <v>17</v>
      </c>
      <c r="G90" s="38" t="s">
        <v>11</v>
      </c>
      <c r="H90" s="38" t="s">
        <v>18</v>
      </c>
      <c r="I90" s="41" t="s">
        <v>19</v>
      </c>
    </row>
    <row r="91" spans="2:9">
      <c r="B91" s="38">
        <f t="shared" si="2"/>
        <v>87</v>
      </c>
      <c r="C91" s="39" t="s">
        <v>1327</v>
      </c>
      <c r="D91" s="40" t="s">
        <v>1288</v>
      </c>
      <c r="E91" s="38" t="s">
        <v>16</v>
      </c>
      <c r="F91" s="38" t="s">
        <v>17</v>
      </c>
      <c r="G91" s="38" t="s">
        <v>11</v>
      </c>
      <c r="H91" s="38" t="s">
        <v>18</v>
      </c>
      <c r="I91" s="41" t="s">
        <v>19</v>
      </c>
    </row>
    <row r="92" spans="2:9">
      <c r="B92" s="38">
        <f t="shared" si="2"/>
        <v>88</v>
      </c>
      <c r="C92" s="39" t="s">
        <v>1309</v>
      </c>
      <c r="D92" s="40" t="s">
        <v>1310</v>
      </c>
      <c r="E92" s="38" t="s">
        <v>16</v>
      </c>
      <c r="F92" s="38" t="s">
        <v>17</v>
      </c>
      <c r="G92" s="38" t="s">
        <v>11</v>
      </c>
      <c r="H92" s="38" t="s">
        <v>18</v>
      </c>
      <c r="I92" s="41" t="s">
        <v>19</v>
      </c>
    </row>
    <row r="93" spans="2:9">
      <c r="B93" s="38">
        <f t="shared" si="2"/>
        <v>89</v>
      </c>
      <c r="C93" s="39" t="s">
        <v>1512</v>
      </c>
      <c r="D93" s="40" t="s">
        <v>1321</v>
      </c>
      <c r="E93" s="38" t="s">
        <v>16</v>
      </c>
      <c r="F93" s="38" t="s">
        <v>17</v>
      </c>
      <c r="G93" s="38" t="s">
        <v>11</v>
      </c>
      <c r="H93" s="38" t="s">
        <v>18</v>
      </c>
      <c r="I93" s="41" t="s">
        <v>19</v>
      </c>
    </row>
    <row r="94" spans="2:9" s="28" customFormat="1">
      <c r="B94" s="38">
        <f t="shared" si="2"/>
        <v>90</v>
      </c>
      <c r="C94" s="39" t="s">
        <v>1389</v>
      </c>
      <c r="D94" s="40" t="s">
        <v>1390</v>
      </c>
      <c r="E94" s="38" t="s">
        <v>16</v>
      </c>
      <c r="F94" s="38" t="s">
        <v>17</v>
      </c>
      <c r="G94" s="38" t="s">
        <v>11</v>
      </c>
      <c r="H94" s="38" t="s">
        <v>18</v>
      </c>
      <c r="I94" s="41" t="s">
        <v>19</v>
      </c>
    </row>
    <row r="95" spans="2:9" s="55" customFormat="1">
      <c r="B95" s="38">
        <f t="shared" si="2"/>
        <v>91</v>
      </c>
      <c r="C95" s="39" t="s">
        <v>1415</v>
      </c>
      <c r="D95" s="40" t="s">
        <v>1416</v>
      </c>
      <c r="E95" s="38" t="s">
        <v>16</v>
      </c>
      <c r="F95" s="38" t="s">
        <v>17</v>
      </c>
      <c r="G95" s="38" t="s">
        <v>11</v>
      </c>
      <c r="H95" s="38" t="s">
        <v>18</v>
      </c>
      <c r="I95" s="41" t="s">
        <v>19</v>
      </c>
    </row>
    <row r="96" spans="2:9">
      <c r="B96" s="38">
        <f t="shared" si="2"/>
        <v>92</v>
      </c>
      <c r="C96" s="39" t="s">
        <v>1726</v>
      </c>
      <c r="D96" s="40" t="s">
        <v>1730</v>
      </c>
      <c r="E96" s="38" t="s">
        <v>16</v>
      </c>
      <c r="F96" s="38" t="s">
        <v>17</v>
      </c>
      <c r="G96" s="38" t="s">
        <v>11</v>
      </c>
      <c r="H96" s="38" t="s">
        <v>18</v>
      </c>
      <c r="I96" s="41" t="s">
        <v>19</v>
      </c>
    </row>
    <row r="97" spans="2:9" s="141" customFormat="1">
      <c r="B97" s="38">
        <f t="shared" si="2"/>
        <v>93</v>
      </c>
      <c r="C97" s="39" t="s">
        <v>1749</v>
      </c>
      <c r="D97" s="40" t="s">
        <v>1750</v>
      </c>
      <c r="E97" s="38" t="s">
        <v>16</v>
      </c>
      <c r="F97" s="38" t="s">
        <v>17</v>
      </c>
      <c r="G97" s="38" t="s">
        <v>11</v>
      </c>
      <c r="H97" s="38" t="s">
        <v>18</v>
      </c>
      <c r="I97" s="41" t="s">
        <v>19</v>
      </c>
    </row>
    <row r="98" spans="2:9" s="145" customFormat="1">
      <c r="B98" s="38">
        <f t="shared" si="2"/>
        <v>94</v>
      </c>
      <c r="C98" s="39" t="s">
        <v>1767</v>
      </c>
      <c r="D98" s="40" t="s">
        <v>1766</v>
      </c>
      <c r="E98" s="38" t="s">
        <v>16</v>
      </c>
      <c r="F98" s="38" t="s">
        <v>17</v>
      </c>
      <c r="G98" s="38" t="s">
        <v>11</v>
      </c>
      <c r="H98" s="38" t="s">
        <v>18</v>
      </c>
      <c r="I98" s="41" t="s">
        <v>19</v>
      </c>
    </row>
    <row r="99" spans="2:9" s="145" customFormat="1">
      <c r="B99" s="38">
        <f t="shared" si="2"/>
        <v>95</v>
      </c>
      <c r="C99" s="39" t="s">
        <v>1771</v>
      </c>
      <c r="D99" s="40" t="s">
        <v>1770</v>
      </c>
      <c r="E99" s="38" t="s">
        <v>16</v>
      </c>
      <c r="F99" s="38" t="s">
        <v>17</v>
      </c>
      <c r="G99" s="38" t="s">
        <v>11</v>
      </c>
      <c r="H99" s="38" t="s">
        <v>18</v>
      </c>
      <c r="I99" s="41" t="s">
        <v>19</v>
      </c>
    </row>
    <row r="100" spans="2:9" s="153" customFormat="1">
      <c r="B100" s="38">
        <f t="shared" si="2"/>
        <v>96</v>
      </c>
      <c r="C100" s="39" t="s">
        <v>1822</v>
      </c>
      <c r="D100" s="40" t="s">
        <v>1823</v>
      </c>
      <c r="E100" s="38" t="s">
        <v>16</v>
      </c>
      <c r="F100" s="38" t="s">
        <v>17</v>
      </c>
      <c r="G100" s="38" t="s">
        <v>11</v>
      </c>
      <c r="H100" s="38" t="s">
        <v>18</v>
      </c>
      <c r="I100" s="41" t="s">
        <v>19</v>
      </c>
    </row>
    <row r="101" spans="2:9" s="177" customFormat="1">
      <c r="B101" s="38">
        <f t="shared" si="2"/>
        <v>97</v>
      </c>
      <c r="C101" s="39" t="s">
        <v>1425</v>
      </c>
      <c r="D101" s="40" t="s">
        <v>1429</v>
      </c>
      <c r="E101" s="38" t="s">
        <v>16</v>
      </c>
      <c r="F101" s="38" t="s">
        <v>17</v>
      </c>
      <c r="G101" s="38" t="s">
        <v>11</v>
      </c>
      <c r="H101" s="38" t="s">
        <v>18</v>
      </c>
      <c r="I101" s="41" t="s">
        <v>19</v>
      </c>
    </row>
    <row r="102" spans="2:9" s="66" customFormat="1">
      <c r="B102" s="38">
        <f t="shared" si="2"/>
        <v>98</v>
      </c>
      <c r="C102" s="39" t="s">
        <v>1935</v>
      </c>
      <c r="D102" s="40" t="s">
        <v>1933</v>
      </c>
      <c r="E102" s="38" t="s">
        <v>16</v>
      </c>
      <c r="F102" s="38" t="s">
        <v>17</v>
      </c>
      <c r="G102" s="38" t="s">
        <v>11</v>
      </c>
      <c r="H102" s="38" t="s">
        <v>18</v>
      </c>
      <c r="I102" s="41" t="s">
        <v>19</v>
      </c>
    </row>
  </sheetData>
  <phoneticPr fontId="3"/>
  <hyperlinks>
    <hyperlink ref="D8" location="m_accessipaddress!A1" display="m_accessipaddress" xr:uid="{B97EAA1F-EF18-4770-AFA1-B0118E77607F}"/>
    <hyperlink ref="D9" location="m_adminfunction!A1" display="m_adminfunction" xr:uid="{54E0FB13-0774-49A0-A606-040C81AED804}"/>
    <hyperlink ref="D10" location="m_attribute!A1" display="m_attribute" xr:uid="{6AF5BBD3-40A4-4FED-9AD2-818FC42D3B16}"/>
    <hyperlink ref="D11" location="m_attributerelation!A1" display="m_attributerelation" xr:uid="{13F60EDD-96D4-46D4-8D46-169F20A67B40}"/>
    <hyperlink ref="D12" location="m_authoritygroup!A1" display="m_authoritygroup" xr:uid="{35B19F9D-7F21-4EF1-840F-23B2098E0053}"/>
    <hyperlink ref="D13" location="m_businesscode!A1" display="m_businesscode" xr:uid="{25B1CD96-FD2E-4991-8342-78E0CE229CA2}"/>
    <hyperlink ref="D14" location="m_category!A1" display="m_category" xr:uid="{6C1F16E6-B619-44F9-9F87-2AE3FDD54350}"/>
    <hyperlink ref="D15" location="m_categoryrelation!A1" display="m_categoryrelation" xr:uid="{6B65C48B-9E27-4E9A-B223-4F15B7129D27}"/>
    <hyperlink ref="D16" location="m_certificateclass!A1" display="m_certificateclass" xr:uid="{091619F4-88F8-41BE-B981-874579BC1AEB}"/>
    <hyperlink ref="D17" location="m_charactar!A1" display="m_charactar" xr:uid="{0D8CB08A-B1E0-41AA-9148-5C1CF38A8DD2}"/>
    <hyperlink ref="D18" location="m_closedday!A1" display="m_closedday" xr:uid="{7EEC6B58-1B9B-4382-86BC-211776E57431}"/>
    <hyperlink ref="D19" location="m_commonfunction!A1" display="m_commonfunction" xr:uid="{395C2AFC-EBFD-4880-AADD-93385EF592EA}"/>
    <hyperlink ref="D20" location="m_company!A1" display="m_company" xr:uid="{1D1E00CB-1340-451A-B79A-04E2715849AD}"/>
    <hyperlink ref="D21" location="m_conversionclass!A1" display="m_conversionclass" xr:uid="{54BF6FE6-A603-42F0-B72E-ADD9303F23C8}"/>
    <hyperlink ref="D22" location="m_copyright!A1" display="m_copyright" xr:uid="{42D6A24B-1A60-4BDD-A98A-24FC339B7DE5}"/>
    <hyperlink ref="D23" location="m_country!A1" display="m_country" xr:uid="{A061EA4F-0F9E-484E-A6AC-6F3890D26B68}"/>
    <hyperlink ref="D24" location="m_deliverymethod!A1" display="m_deliverymethod" xr:uid="{255C16EF-E446-478B-BABF-595776161A48}"/>
    <hyperlink ref="D31" location="m_goodsplanprogress!A1" display="m_goodsplanprogress" xr:uid="{D1BBCF26-90CF-4E30-A8CE-EF0C7BE5C47F}"/>
    <hyperlink ref="D25" location="m_estimate!A1" display="m_estimate" xr:uid="{D9D54841-5FC3-40FE-A776-A9B82414C0C8}"/>
    <hyperlink ref="D26" location="m_estimatedefault!A1" display="m_estimatedefault" xr:uid="{567B47BC-F491-4D22-851F-C39E2EE1FC1B}"/>
    <hyperlink ref="D27" location="m_estimatestandardrate!A1" display="m_estimatestandardrate" xr:uid="{04B424C4-595B-4BAB-98A7-F2CCC6B075CB}"/>
    <hyperlink ref="D28" location="m_estimatestatus!A1" display="m_estimatestatus" xr:uid="{2D668CAA-6E96-41C6-B909-B8046288AE45}"/>
    <hyperlink ref="D29" location="m_function!A1" display="m_function" xr:uid="{BCAF61D7-76F0-4A1A-A64C-1AC072647C2D}"/>
    <hyperlink ref="D30" location="m_functionauthority!A1" display="m_functionauthority" xr:uid="{30310067-88E3-4B40-B17D-A0EE42E598B4}"/>
    <hyperlink ref="D32" location="m_group!A1" display="m_group" xr:uid="{5593205A-6AF1-4B8D-AB56-D31E4CBC1A03}"/>
    <hyperlink ref="D33" location="m_grouprelation!A1" display="m_grouprelation" xr:uid="{32767503-546C-4A59-8071-3A15CCCC545A}"/>
    <hyperlink ref="D34" location="m_imagerelation!A1" display="m_imagerelation" xr:uid="{DA79B43C-3BFB-443F-AE14-9CEA2E16BF4C}"/>
    <hyperlink ref="D35" location="m_mailform!A1" display="m_mailform" xr:uid="{65D7D84C-8F02-4229-B198-7B57DBD6DEF9}"/>
    <hyperlink ref="D36" location="m_message!A1" display="m_message" xr:uid="{5559E42A-C198-4CC2-B6D7-AB39C41C6819}"/>
    <hyperlink ref="D37" location="m_mold!A1" display="m_mold" xr:uid="{E06272CE-EF8E-4482-A44E-EA7E87C22B73}"/>
    <hyperlink ref="D38" location="m_moldreport!A1" display="m_moldreport" xr:uid="{E2AB2FEC-DDBA-4D22-BC84-866997F9FF73}"/>
    <hyperlink ref="D39" location="m_monetaryrate!A1" display="m_monetaryrate" xr:uid="{3D581B5C-527D-419C-9449-290400DA2E20}"/>
    <hyperlink ref="D40" location="m_monetaryrateclass!A1" display="m_monetaryrateclass" xr:uid="{6B9E986A-3FEA-4BB7-87B4-214C631B24CD}"/>
    <hyperlink ref="D41" location="m_monetaryunit!A1" display="m_monetaryunit" xr:uid="{5989E2B1-350E-44D2-9073-481F2C6A22DA}"/>
    <hyperlink ref="D42" location="m_order!A1" display="m_order" xr:uid="{E3ED845A-0434-497C-BFDE-953EEA8DD1BA}"/>
    <hyperlink ref="D43" location="m_orderstatus!A1" display="m_orderstatus" xr:uid="{5747DAD7-3071-4B08-A37A-47822C3AA876}"/>
    <hyperlink ref="D44" location="m_organization!A1" display="m_organization" xr:uid="{EC6A352E-08EA-4A69-BF5F-189D22F5EE8A}"/>
    <hyperlink ref="D45" location="m_paycondition!A1" display="m_paycondition" xr:uid="{13548B74-0E87-4FEF-B7F3-F5EBC282FE81}"/>
    <hyperlink ref="D46" location="m_product!A1" display="m_product" xr:uid="{5232F9B7-D38F-4539-8F52-D6A900BCA2E3}"/>
    <hyperlink ref="D47" location="m_productform!A1" display="m_productform" xr:uid="{961C440E-6022-49E4-951E-C7D7001E6E47}"/>
    <hyperlink ref="D48" location="m_productprice!A1" display="m_productprice" xr:uid="{8B0ADDED-BD75-4FDE-B5C4-4EEFB1CC7C7C}"/>
    <hyperlink ref="D49" location="m_productunit!A1" display="m_productunit" xr:uid="{B3266002-4581-4392-ADF0-5CF301840750}"/>
    <hyperlink ref="D50" location="m_receive!A1" display="m_receive" xr:uid="{32AAAE3D-99C5-4D63-B55C-F2A7F5F1E4D1}"/>
    <hyperlink ref="D51" location="ｍ_receivestatus!A1" display="m_receivestatus" xr:uid="{E9DA45A9-22F2-43B8-8A8A-08FEBC8CCBC8}"/>
    <hyperlink ref="D52" location="m_reportclass!A1" display="m_reportclass" xr:uid="{3A26B900-AD80-4DBE-9921-5CAD38E5A909}"/>
    <hyperlink ref="D53" location="m_sales!A1" display="m_sales" xr:uid="{482D77B9-9055-4B77-B976-A3B8215E94CF}"/>
    <hyperlink ref="D54" location="m_salesclass!A1" display="m_salesclass" xr:uid="{8F84E078-C5F3-466C-B13C-B03FDA689BED}"/>
    <hyperlink ref="D55" location="m_salesdivision!A1" display="m_salesdivision" xr:uid="{232FA5C7-E227-428C-8641-358D67489A90}"/>
    <hyperlink ref="D56" location="m_salesstatus!A1" display="m_salesstatus" xr:uid="{6F4741EF-85FF-4D0E-8A00-0BD5495D4318}"/>
    <hyperlink ref="D57" location="m_stock!A1" display="m_stock" xr:uid="{A834F920-59E8-4212-90EE-125EEBA30BBA}"/>
    <hyperlink ref="D58" location="m_stockclass!A1" display="m_stockclass" xr:uid="{4ADAE917-C51D-404B-A253-2D9C136139AD}"/>
    <hyperlink ref="D59" location="m_stockitem!A1" display="m_stockitem" xr:uid="{A4F7B7E2-643C-47D4-B84F-F09DCB046304}"/>
    <hyperlink ref="D60" location="m_stockstatus!A1" display="m_stockstatus" xr:uid="{26F0E985-D3B8-4B40-97E9-790430279363}"/>
    <hyperlink ref="D61" location="m_stocksubject!A1" display="m_stocksubject" xr:uid="{363B6041-000E-4D1F-AEC4-A6C73CA4FA51}"/>
    <hyperlink ref="D62" location="m_systeminformation!A1" display="m_systeminformation" xr:uid="{13240E63-D90E-4254-96B7-D769FFF26644}"/>
    <hyperlink ref="D63" location="m_targetage!A1" display="m_targetage" xr:uid="{3271CD44-A8A4-42E8-A0DA-F8F400AE761A}"/>
    <hyperlink ref="D64" location="m_tax!A1" display="m_tax" xr:uid="{1D883D87-9978-4A11-9982-D09E233114F2}"/>
    <hyperlink ref="D65" location="m_taxclass!A1" display="m_taxclass" xr:uid="{E43ACA3E-9E65-41A8-A27C-C6564832478E}"/>
    <hyperlink ref="D66" location="m_user!A1" display="m_user" xr:uid="{57AE3377-C832-4ED8-A909-34EF56840702}"/>
    <hyperlink ref="D67" location="t_cache!A1" display="t_cache" xr:uid="{AB035A70-79CE-4A65-B3B6-A43346B6E43E}"/>
    <hyperlink ref="D68" location="t_estimatedetail!A1" display="t_estimatedetail" xr:uid="{F10861E4-3DE6-4ADC-860F-D920BF4D8718}"/>
    <hyperlink ref="D69" location="t_goodsplan!A1" display="t_goodsplan" xr:uid="{C0FB37DE-5795-4C7F-9044-600D4151373E}"/>
    <hyperlink ref="D70" location="t_image!A1" display="t_image" xr:uid="{EB2A7517-DFF6-4CA2-B8E4-773951A9B328}"/>
    <hyperlink ref="D71" location="t_loginsession!A1" display="t_loginsession" xr:uid="{9BD85FCF-67DF-4489-BEA4-AC22F385E6A6}"/>
    <hyperlink ref="D72" location="t_moldhistory!A1" display="t_moldhistory" xr:uid="{117DA84A-C320-412A-AB4D-1B34ABD00BD4}"/>
    <hyperlink ref="D73" location="t_moldreportdetail!A1" display="t_moldreportdetail" xr:uid="{48ECC8F9-0EF5-434D-BCBE-B751E5D60212}"/>
    <hyperlink ref="D74" location="t_moldreportrelation!A1" display="t_moldreportrelation" xr:uid="{E87E5BDE-987B-4FB8-8DFF-696BAF030120}"/>
    <hyperlink ref="D75" location="t_orderdetail!A1" display="t_orderdetail" xr:uid="{DCA74411-3BCC-4724-BF58-A4BB860747BF}"/>
    <hyperlink ref="D76" location="t_processinformation!A1" display="t_processinformation" xr:uid="{5EEFD624-EB0B-4F67-B5A6-E58DAA22B4F1}"/>
    <hyperlink ref="D77" location="t_product!A1" display="t_product" xr:uid="{6FF49B90-0E78-446E-BEE8-7E384CA57782}"/>
    <hyperlink ref="D78" location="t_receivedetail!A1" display="t_receivedetail" xr:uid="{E85CF854-AB02-4733-88F8-639D11D9F9D8}"/>
    <hyperlink ref="D79" location="t_report!A1" display="t_report" xr:uid="{4ACB5837-F0CE-4533-92F0-0EB564199630}"/>
    <hyperlink ref="D80" location="t_salesdetail!A1" display="t_salesdetail" xr:uid="{6B9A4B56-EC3D-4CB2-9556-5AC02666CE17}"/>
    <hyperlink ref="D81" location="t_sequence!A1" display="t_sequence" xr:uid="{9666038A-4712-4501-A224-44E80F25A8AF}"/>
    <hyperlink ref="D82" location="t_stockdetail!A1" display="t_stockdetail" xr:uid="{4BE13873-3484-41CA-B6A1-D79DF654EA31}"/>
    <hyperlink ref="D83" location="t_temp!A1" display="t_temp" xr:uid="{75E48C4E-5350-4D1B-8D1B-1F730A2A1DE7}"/>
    <hyperlink ref="D84" location="v_dayofweek!A1" display="v_dayofweek" xr:uid="{7F570DE5-18C4-4B83-83D6-0859A352E742}"/>
    <hyperlink ref="D85" location="v_line!A1" display="v_line" xr:uid="{FAE6536C-FDA8-40F7-85E1-8994C946CD5E}"/>
    <hyperlink ref="D5" location="seq_businesscodeid!A1" display="seq_businesscodeid" xr:uid="{30F60B2E-D2BA-4271-9C7C-048C388BC236}"/>
    <hyperlink ref="D6" location="seq_cacheid!A1" display="seq_cacheid" xr:uid="{29941E4E-8671-4C62-855C-589B30FD0C5D}"/>
    <hyperlink ref="D7" location="seq_moldreportrelationid!A1" display="seq_moldreportrelationid" xr:uid="{52800345-C8F0-4987-A6F9-C799E3014EDF}"/>
    <hyperlink ref="D92" location="t_slipdetail!A1" display="t_slipdetail" xr:uid="{4CEC2D9D-7601-4DA8-A28B-EB364BE4B9BA}"/>
    <hyperlink ref="D89" location="m_slipkind!A1" display="m_slipkind" xr:uid="{56F77630-6E4C-4F41-B8AA-381310117D89}"/>
    <hyperlink ref="D90" location="m_slipkindrelation!A1" display="m_slipkindrelation" xr:uid="{6716B55B-9DE0-4E6D-B9CA-46CA3ED0B604}"/>
    <hyperlink ref="D88" location="m_invoice!A1" display="m_invoice" xr:uid="{7BB3FBE7-C617-4094-8718-9DE4DFF96B41}"/>
    <hyperlink ref="D93" location="t_invoicedetail!A1" display="t_invoicedetail" xr:uid="{545915DF-1A90-45DE-A638-C9BEDD8AB5EE}"/>
    <hyperlink ref="D86" location="m_purchaseorder!A1" display="m_purchaseorder" xr:uid="{4DDDB052-77F3-4444-8091-781BB2BC2857}"/>
    <hyperlink ref="D91" location="t_purchaseorderdetail!A1" display="t_purchaseorderdetail" xr:uid="{50A53A42-B2A2-4B59-92EE-312711156435}"/>
    <hyperlink ref="D87" location="m_slip!A1" display="m_slip" xr:uid="{DA7ECB0A-9272-4775-9FDB-EDB1992E62E9}"/>
    <hyperlink ref="D94" location="t_exclusivecontrol!A1" display="t_exclusivecontrol" xr:uid="{C33EC8FA-5F47-4E52-BAB0-4BE0256FBB61}"/>
    <hyperlink ref="D95" location="m_companyprintname!A1" display="m_companyprintname" xr:uid="{EACC849A-8A57-4881-8D79-57D0A3053814}"/>
    <hyperlink ref="D102" location="m_estimateareaclass!A1" display="m_salesclassdivisonlink" xr:uid="{432D7F4B-C753-4FC7-BF93-483A9679AD40}"/>
    <hyperlink ref="D96" location="m_signature!A1" display="m_signature" xr:uid="{30C01B1C-65F4-495C-BA9A-BB3C1A9D050D}"/>
    <hyperlink ref="D97" location="m_paycondition!A1" display="m_paycondition" xr:uid="{DB857CD8-7E50-4140-80AB-B0B623085CBD}"/>
    <hyperlink ref="D98" location="m_groupattribute!A1" display="m_groupattribute" xr:uid="{BA8466BB-B6C1-46D1-82A6-0BC4CBAB42DD}"/>
    <hyperlink ref="D99" location="m_groupattributerelation!A1" display="m_groupattributerelation" xr:uid="{48A9EFDD-5C0B-4B0D-893F-D11399769FED}"/>
    <hyperlink ref="D100" location="m_groupattributerelation!A1" display="m_groupattributerelation" xr:uid="{411E778D-30B4-43D2-B899-CB490F77C79B}"/>
    <hyperlink ref="D101" location="m_salesclassdivisonlink!A1" display="m_salesclassdivisonlink" xr:uid="{DBABB27E-EAFC-4150-B2C9-B4961AB1DC92}"/>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0</xdr:row>
                    <xdr:rowOff>121920</xdr:rowOff>
                  </from>
                  <to>
                    <xdr:col>6</xdr:col>
                    <xdr:colOff>312420</xdr:colOff>
                    <xdr:row>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07FEB-35E4-49E2-A8B3-858277A26C8B}">
  <sheetPr codeName="Sheet5"/>
  <dimension ref="B1:AK17"/>
  <sheetViews>
    <sheetView workbookViewId="0">
      <selection activeCell="U23" sqref="U23"/>
    </sheetView>
  </sheetViews>
  <sheetFormatPr defaultColWidth="3.6640625" defaultRowHeight="13.2"/>
  <sheetData>
    <row r="1" spans="2:37" ht="13.8" thickBot="1"/>
    <row r="2" spans="2:37">
      <c r="B2" s="205" t="s">
        <v>92</v>
      </c>
      <c r="C2" s="206"/>
      <c r="D2" s="206"/>
      <c r="E2" s="206"/>
      <c r="F2" s="211" t="s">
        <v>93</v>
      </c>
      <c r="G2" s="211"/>
      <c r="H2" s="212"/>
      <c r="I2" s="196" t="s">
        <v>987</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980</v>
      </c>
      <c r="J4" s="190"/>
      <c r="K4" s="190"/>
      <c r="L4" s="190"/>
      <c r="M4" s="190"/>
      <c r="N4" s="198"/>
    </row>
    <row r="6" spans="2:37" ht="13.8" thickBot="1"/>
    <row r="7" spans="2:37">
      <c r="B7" s="5" t="s">
        <v>7</v>
      </c>
      <c r="C7" s="201" t="s">
        <v>93</v>
      </c>
      <c r="D7" s="201"/>
      <c r="E7" s="201"/>
      <c r="F7" s="201"/>
      <c r="G7" s="201"/>
      <c r="H7" s="201"/>
      <c r="I7" s="201" t="s">
        <v>94</v>
      </c>
      <c r="J7" s="201"/>
      <c r="K7" s="201"/>
      <c r="L7" s="201"/>
      <c r="M7" s="201"/>
      <c r="N7" s="201"/>
      <c r="O7" s="201"/>
      <c r="P7" s="201"/>
      <c r="Q7" s="201" t="s">
        <v>140</v>
      </c>
      <c r="R7" s="201"/>
      <c r="S7" s="201"/>
      <c r="T7" s="201"/>
      <c r="U7" s="201"/>
      <c r="V7" s="201"/>
      <c r="W7" s="201"/>
      <c r="X7" s="201"/>
      <c r="Y7" s="202" t="s">
        <v>149</v>
      </c>
      <c r="Z7" s="203"/>
      <c r="AA7" s="202" t="s">
        <v>1179</v>
      </c>
      <c r="AB7" s="203"/>
      <c r="AC7" s="201" t="s">
        <v>150</v>
      </c>
      <c r="AD7" s="201"/>
      <c r="AE7" s="201" t="s">
        <v>152</v>
      </c>
      <c r="AF7" s="201"/>
      <c r="AG7" s="201"/>
      <c r="AH7" s="201"/>
      <c r="AI7" s="201"/>
      <c r="AJ7" s="201"/>
      <c r="AK7" s="204"/>
    </row>
    <row r="8" spans="2:37">
      <c r="B8" s="3">
        <v>1</v>
      </c>
      <c r="C8" s="189" t="s">
        <v>98</v>
      </c>
      <c r="D8" s="189"/>
      <c r="E8" s="189"/>
      <c r="F8" s="189"/>
      <c r="G8" s="189"/>
      <c r="H8" s="189"/>
      <c r="I8" s="189" t="s">
        <v>122</v>
      </c>
      <c r="J8" s="189"/>
      <c r="K8" s="189"/>
      <c r="L8" s="189"/>
      <c r="M8" s="189"/>
      <c r="N8" s="189"/>
      <c r="O8" s="189"/>
      <c r="P8" s="189"/>
      <c r="Q8" s="189" t="s">
        <v>141</v>
      </c>
      <c r="R8" s="189"/>
      <c r="S8" s="189"/>
      <c r="T8" s="189"/>
      <c r="U8" s="189"/>
      <c r="V8" s="189"/>
      <c r="W8" s="189"/>
      <c r="X8" s="189"/>
      <c r="Y8" s="189"/>
      <c r="Z8" s="189"/>
      <c r="AA8" s="189"/>
      <c r="AB8" s="189"/>
      <c r="AC8" s="189"/>
      <c r="AD8" s="189"/>
      <c r="AE8" s="189" t="s">
        <v>980</v>
      </c>
      <c r="AF8" s="189"/>
      <c r="AG8" s="189"/>
      <c r="AH8" s="189"/>
      <c r="AI8" s="189"/>
      <c r="AJ8" s="189"/>
      <c r="AK8" s="191"/>
    </row>
    <row r="9" spans="2:37">
      <c r="B9" s="3">
        <v>2</v>
      </c>
      <c r="C9" s="189" t="s">
        <v>99</v>
      </c>
      <c r="D9" s="189"/>
      <c r="E9" s="189"/>
      <c r="F9" s="189"/>
      <c r="G9" s="189"/>
      <c r="H9" s="189"/>
      <c r="I9" s="189" t="s">
        <v>123</v>
      </c>
      <c r="J9" s="189"/>
      <c r="K9" s="189"/>
      <c r="L9" s="189"/>
      <c r="M9" s="189"/>
      <c r="N9" s="189"/>
      <c r="O9" s="189"/>
      <c r="P9" s="189"/>
      <c r="Q9" s="189" t="s">
        <v>142</v>
      </c>
      <c r="R9" s="189"/>
      <c r="S9" s="189"/>
      <c r="T9" s="189"/>
      <c r="U9" s="189"/>
      <c r="V9" s="189"/>
      <c r="W9" s="189"/>
      <c r="X9" s="189"/>
      <c r="Y9" s="189"/>
      <c r="Z9" s="189"/>
      <c r="AA9" s="189"/>
      <c r="AB9" s="189"/>
      <c r="AC9" s="189"/>
      <c r="AD9" s="189"/>
      <c r="AE9" s="189">
        <v>24</v>
      </c>
      <c r="AF9" s="189"/>
      <c r="AG9" s="189"/>
      <c r="AH9" s="189"/>
      <c r="AI9" s="189"/>
      <c r="AJ9" s="189"/>
      <c r="AK9" s="191"/>
    </row>
    <row r="10" spans="2:37">
      <c r="B10" s="3">
        <v>3</v>
      </c>
      <c r="C10" s="189" t="s">
        <v>100</v>
      </c>
      <c r="D10" s="189"/>
      <c r="E10" s="189"/>
      <c r="F10" s="189"/>
      <c r="G10" s="189"/>
      <c r="H10" s="189"/>
      <c r="I10" s="189" t="s">
        <v>124</v>
      </c>
      <c r="J10" s="189"/>
      <c r="K10" s="189"/>
      <c r="L10" s="189"/>
      <c r="M10" s="189"/>
      <c r="N10" s="189"/>
      <c r="O10" s="189"/>
      <c r="P10" s="189"/>
      <c r="Q10" s="189" t="s">
        <v>142</v>
      </c>
      <c r="R10" s="189"/>
      <c r="S10" s="189"/>
      <c r="T10" s="189"/>
      <c r="U10" s="189"/>
      <c r="V10" s="189"/>
      <c r="W10" s="189"/>
      <c r="X10" s="189"/>
      <c r="Y10" s="189"/>
      <c r="Z10" s="189"/>
      <c r="AA10" s="189"/>
      <c r="AB10" s="189"/>
      <c r="AC10" s="189"/>
      <c r="AD10" s="189"/>
      <c r="AE10" s="189">
        <v>0</v>
      </c>
      <c r="AF10" s="189"/>
      <c r="AG10" s="189"/>
      <c r="AH10" s="189"/>
      <c r="AI10" s="189"/>
      <c r="AJ10" s="189"/>
      <c r="AK10" s="191"/>
    </row>
    <row r="11" spans="2:37">
      <c r="B11" s="3">
        <v>4</v>
      </c>
      <c r="C11" s="189" t="s">
        <v>101</v>
      </c>
      <c r="D11" s="189"/>
      <c r="E11" s="189"/>
      <c r="F11" s="189"/>
      <c r="G11" s="189"/>
      <c r="H11" s="189"/>
      <c r="I11" s="189" t="s">
        <v>125</v>
      </c>
      <c r="J11" s="189"/>
      <c r="K11" s="189"/>
      <c r="L11" s="189"/>
      <c r="M11" s="189"/>
      <c r="N11" s="189"/>
      <c r="O11" s="189"/>
      <c r="P11" s="189"/>
      <c r="Q11" s="189" t="s">
        <v>142</v>
      </c>
      <c r="R11" s="189"/>
      <c r="S11" s="189"/>
      <c r="T11" s="189"/>
      <c r="U11" s="189"/>
      <c r="V11" s="189"/>
      <c r="W11" s="189"/>
      <c r="X11" s="189"/>
      <c r="Y11" s="189"/>
      <c r="Z11" s="189"/>
      <c r="AA11" s="189"/>
      <c r="AB11" s="189"/>
      <c r="AC11" s="189"/>
      <c r="AD11" s="189"/>
      <c r="AE11" s="189">
        <v>1</v>
      </c>
      <c r="AF11" s="189"/>
      <c r="AG11" s="189"/>
      <c r="AH11" s="189"/>
      <c r="AI11" s="189"/>
      <c r="AJ11" s="189"/>
      <c r="AK11" s="191"/>
    </row>
    <row r="12" spans="2:37">
      <c r="B12" s="3">
        <v>5</v>
      </c>
      <c r="C12" s="189" t="s">
        <v>102</v>
      </c>
      <c r="D12" s="189"/>
      <c r="E12" s="189"/>
      <c r="F12" s="189"/>
      <c r="G12" s="189"/>
      <c r="H12" s="189"/>
      <c r="I12" s="189" t="s">
        <v>126</v>
      </c>
      <c r="J12" s="189"/>
      <c r="K12" s="189"/>
      <c r="L12" s="189"/>
      <c r="M12" s="189"/>
      <c r="N12" s="189"/>
      <c r="O12" s="189"/>
      <c r="P12" s="189"/>
      <c r="Q12" s="189" t="s">
        <v>142</v>
      </c>
      <c r="R12" s="189"/>
      <c r="S12" s="189"/>
      <c r="T12" s="189"/>
      <c r="U12" s="189"/>
      <c r="V12" s="189"/>
      <c r="W12" s="189"/>
      <c r="X12" s="189"/>
      <c r="Y12" s="189"/>
      <c r="Z12" s="189"/>
      <c r="AA12" s="189"/>
      <c r="AB12" s="189"/>
      <c r="AC12" s="189"/>
      <c r="AD12" s="189"/>
      <c r="AE12" s="199" t="s">
        <v>985</v>
      </c>
      <c r="AF12" s="199"/>
      <c r="AG12" s="199"/>
      <c r="AH12" s="199"/>
      <c r="AI12" s="199"/>
      <c r="AJ12" s="199"/>
      <c r="AK12" s="200"/>
    </row>
    <row r="13" spans="2:37">
      <c r="B13" s="3">
        <v>6</v>
      </c>
      <c r="C13" s="189" t="s">
        <v>103</v>
      </c>
      <c r="D13" s="189"/>
      <c r="E13" s="189"/>
      <c r="F13" s="189"/>
      <c r="G13" s="189"/>
      <c r="H13" s="189"/>
      <c r="I13" s="189" t="s">
        <v>127</v>
      </c>
      <c r="J13" s="189"/>
      <c r="K13" s="189"/>
      <c r="L13" s="189"/>
      <c r="M13" s="189"/>
      <c r="N13" s="189"/>
      <c r="O13" s="189"/>
      <c r="P13" s="189"/>
      <c r="Q13" s="189" t="s">
        <v>142</v>
      </c>
      <c r="R13" s="189"/>
      <c r="S13" s="189"/>
      <c r="T13" s="189"/>
      <c r="U13" s="189"/>
      <c r="V13" s="189"/>
      <c r="W13" s="189"/>
      <c r="X13" s="189"/>
      <c r="Y13" s="189"/>
      <c r="Z13" s="189"/>
      <c r="AA13" s="189"/>
      <c r="AB13" s="189"/>
      <c r="AC13" s="189"/>
      <c r="AD13" s="189"/>
      <c r="AE13" s="189">
        <v>0</v>
      </c>
      <c r="AF13" s="189"/>
      <c r="AG13" s="189"/>
      <c r="AH13" s="189"/>
      <c r="AI13" s="189"/>
      <c r="AJ13" s="189"/>
      <c r="AK13" s="191"/>
    </row>
    <row r="14" spans="2:37">
      <c r="B14" s="3">
        <v>7</v>
      </c>
      <c r="C14" s="189" t="s">
        <v>104</v>
      </c>
      <c r="D14" s="189"/>
      <c r="E14" s="189"/>
      <c r="F14" s="189"/>
      <c r="G14" s="189"/>
      <c r="H14" s="189"/>
      <c r="I14" s="189" t="s">
        <v>128</v>
      </c>
      <c r="J14" s="189"/>
      <c r="K14" s="189"/>
      <c r="L14" s="189"/>
      <c r="M14" s="189"/>
      <c r="N14" s="189"/>
      <c r="O14" s="189"/>
      <c r="P14" s="189"/>
      <c r="Q14" s="189" t="s">
        <v>142</v>
      </c>
      <c r="R14" s="189"/>
      <c r="S14" s="189"/>
      <c r="T14" s="189"/>
      <c r="U14" s="189"/>
      <c r="V14" s="189"/>
      <c r="W14" s="189"/>
      <c r="X14" s="189"/>
      <c r="Y14" s="189"/>
      <c r="Z14" s="189"/>
      <c r="AA14" s="189"/>
      <c r="AB14" s="189"/>
      <c r="AC14" s="189"/>
      <c r="AD14" s="189"/>
      <c r="AE14" s="189">
        <v>1</v>
      </c>
      <c r="AF14" s="189"/>
      <c r="AG14" s="189"/>
      <c r="AH14" s="189"/>
      <c r="AI14" s="189"/>
      <c r="AJ14" s="189"/>
      <c r="AK14" s="191"/>
    </row>
    <row r="15" spans="2:37">
      <c r="B15" s="3">
        <v>8</v>
      </c>
      <c r="C15" s="189" t="s">
        <v>105</v>
      </c>
      <c r="D15" s="189"/>
      <c r="E15" s="189"/>
      <c r="F15" s="189"/>
      <c r="G15" s="189"/>
      <c r="H15" s="189"/>
      <c r="I15" s="189" t="s">
        <v>129</v>
      </c>
      <c r="J15" s="189"/>
      <c r="K15" s="189"/>
      <c r="L15" s="189"/>
      <c r="M15" s="189"/>
      <c r="N15" s="189"/>
      <c r="O15" s="189"/>
      <c r="P15" s="189"/>
      <c r="Q15" s="189" t="s">
        <v>142</v>
      </c>
      <c r="R15" s="189"/>
      <c r="S15" s="189"/>
      <c r="T15" s="189"/>
      <c r="U15" s="189"/>
      <c r="V15" s="189"/>
      <c r="W15" s="189"/>
      <c r="X15" s="189"/>
      <c r="Y15" s="189"/>
      <c r="Z15" s="189"/>
      <c r="AA15" s="189"/>
      <c r="AB15" s="189"/>
      <c r="AC15" s="189"/>
      <c r="AD15" s="189"/>
      <c r="AE15" s="189">
        <v>8</v>
      </c>
      <c r="AF15" s="189"/>
      <c r="AG15" s="189"/>
      <c r="AH15" s="189"/>
      <c r="AI15" s="189"/>
      <c r="AJ15" s="189"/>
      <c r="AK15" s="191"/>
    </row>
    <row r="16" spans="2:37">
      <c r="B16" s="3">
        <v>9</v>
      </c>
      <c r="C16" s="189" t="s">
        <v>106</v>
      </c>
      <c r="D16" s="189"/>
      <c r="E16" s="189"/>
      <c r="F16" s="189"/>
      <c r="G16" s="189"/>
      <c r="H16" s="189"/>
      <c r="I16" s="189" t="s">
        <v>130</v>
      </c>
      <c r="J16" s="189"/>
      <c r="K16" s="189"/>
      <c r="L16" s="189"/>
      <c r="M16" s="189"/>
      <c r="N16" s="189"/>
      <c r="O16" s="189"/>
      <c r="P16" s="189"/>
      <c r="Q16" s="189" t="s">
        <v>143</v>
      </c>
      <c r="R16" s="189"/>
      <c r="S16" s="189"/>
      <c r="T16" s="189"/>
      <c r="U16" s="189"/>
      <c r="V16" s="189"/>
      <c r="W16" s="189"/>
      <c r="X16" s="189"/>
      <c r="Y16" s="189"/>
      <c r="Z16" s="189"/>
      <c r="AA16" s="189"/>
      <c r="AB16" s="189"/>
      <c r="AC16" s="189"/>
      <c r="AD16" s="189"/>
      <c r="AE16" s="192" t="b">
        <v>0</v>
      </c>
      <c r="AF16" s="192"/>
      <c r="AG16" s="192"/>
      <c r="AH16" s="192"/>
      <c r="AI16" s="192"/>
      <c r="AJ16" s="192"/>
      <c r="AK16" s="193"/>
    </row>
    <row r="17" spans="2:37" ht="13.8" thickBot="1">
      <c r="B17" s="4">
        <v>10</v>
      </c>
      <c r="C17" s="190" t="s">
        <v>107</v>
      </c>
      <c r="D17" s="190"/>
      <c r="E17" s="190"/>
      <c r="F17" s="190"/>
      <c r="G17" s="190"/>
      <c r="H17" s="190"/>
      <c r="I17" s="190" t="s">
        <v>131</v>
      </c>
      <c r="J17" s="190"/>
      <c r="K17" s="190"/>
      <c r="L17" s="190"/>
      <c r="M17" s="190"/>
      <c r="N17" s="190"/>
      <c r="O17" s="190"/>
      <c r="P17" s="190"/>
      <c r="Q17" s="190" t="s">
        <v>143</v>
      </c>
      <c r="R17" s="190"/>
      <c r="S17" s="190"/>
      <c r="T17" s="190"/>
      <c r="U17" s="190"/>
      <c r="V17" s="190"/>
      <c r="W17" s="190"/>
      <c r="X17" s="190"/>
      <c r="Y17" s="190"/>
      <c r="Z17" s="190"/>
      <c r="AA17" s="190"/>
      <c r="AB17" s="190"/>
      <c r="AC17" s="190"/>
      <c r="AD17" s="190"/>
      <c r="AE17" s="194" t="b">
        <v>1</v>
      </c>
      <c r="AF17" s="194"/>
      <c r="AG17" s="194"/>
      <c r="AH17" s="194"/>
      <c r="AI17" s="194"/>
      <c r="AJ17" s="194"/>
      <c r="AK17" s="195"/>
    </row>
  </sheetData>
  <mergeCells count="84">
    <mergeCell ref="B2:E4"/>
    <mergeCell ref="F2:H2"/>
    <mergeCell ref="F3:H3"/>
    <mergeCell ref="F4:H4"/>
    <mergeCell ref="C7:H7"/>
    <mergeCell ref="Q7:X7"/>
    <mergeCell ref="AA7:AB7"/>
    <mergeCell ref="AC7:AD7"/>
    <mergeCell ref="AE7:AK7"/>
    <mergeCell ref="C8:H8"/>
    <mergeCell ref="I8:P8"/>
    <mergeCell ref="Q8:X8"/>
    <mergeCell ref="I7:P7"/>
    <mergeCell ref="Y7:Z7"/>
    <mergeCell ref="Y8:Z8"/>
    <mergeCell ref="C9:H9"/>
    <mergeCell ref="I9:P9"/>
    <mergeCell ref="Q9:X9"/>
    <mergeCell ref="C10:H10"/>
    <mergeCell ref="I10:P10"/>
    <mergeCell ref="Q10:X10"/>
    <mergeCell ref="C11:H11"/>
    <mergeCell ref="I11:P11"/>
    <mergeCell ref="Q11:X11"/>
    <mergeCell ref="C12:H12"/>
    <mergeCell ref="I12:P12"/>
    <mergeCell ref="Q12:X12"/>
    <mergeCell ref="C13:H13"/>
    <mergeCell ref="I13:P13"/>
    <mergeCell ref="Q13:X13"/>
    <mergeCell ref="C14:H14"/>
    <mergeCell ref="I14:P14"/>
    <mergeCell ref="Q14:X14"/>
    <mergeCell ref="C17:H17"/>
    <mergeCell ref="I17:P17"/>
    <mergeCell ref="Q17:X17"/>
    <mergeCell ref="AA8:AB8"/>
    <mergeCell ref="AA9:AB9"/>
    <mergeCell ref="AA10:AB10"/>
    <mergeCell ref="AA11:AB11"/>
    <mergeCell ref="AA12:AB12"/>
    <mergeCell ref="AA13:AB13"/>
    <mergeCell ref="AA14:AB14"/>
    <mergeCell ref="C15:H15"/>
    <mergeCell ref="I15:P15"/>
    <mergeCell ref="Q15:X15"/>
    <mergeCell ref="C16:H16"/>
    <mergeCell ref="I16:P16"/>
    <mergeCell ref="Q16:X16"/>
    <mergeCell ref="AA15:AB15"/>
    <mergeCell ref="AA16:AB16"/>
    <mergeCell ref="AA17:AB17"/>
    <mergeCell ref="AC8:AD8"/>
    <mergeCell ref="AC9:AD9"/>
    <mergeCell ref="AC10:AD10"/>
    <mergeCell ref="AC11:AD11"/>
    <mergeCell ref="AC12:AD12"/>
    <mergeCell ref="AC13:AD13"/>
    <mergeCell ref="AC14:AD14"/>
    <mergeCell ref="AE15:AK15"/>
    <mergeCell ref="AE16:AK16"/>
    <mergeCell ref="AE17:AK17"/>
    <mergeCell ref="I2:N2"/>
    <mergeCell ref="I3:N3"/>
    <mergeCell ref="I4:N4"/>
    <mergeCell ref="AC15:AD15"/>
    <mergeCell ref="AC16:AD16"/>
    <mergeCell ref="AC17:AD17"/>
    <mergeCell ref="AE8:AK8"/>
    <mergeCell ref="AE9:AK9"/>
    <mergeCell ref="AE10:AK10"/>
    <mergeCell ref="AE11:AK11"/>
    <mergeCell ref="AE12:AK12"/>
    <mergeCell ref="AE13:AK13"/>
    <mergeCell ref="AE14:AK14"/>
    <mergeCell ref="Y14:Z14"/>
    <mergeCell ref="Y15:Z15"/>
    <mergeCell ref="Y16:Z16"/>
    <mergeCell ref="Y17:Z17"/>
    <mergeCell ref="Y9:Z9"/>
    <mergeCell ref="Y10:Z10"/>
    <mergeCell ref="Y11:Z11"/>
    <mergeCell ref="Y12:Z12"/>
    <mergeCell ref="Y13:Z13"/>
  </mergeCells>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CCDCF-21C7-415A-B4F3-71DAA4DD4135}">
  <sheetPr codeName="Sheet6"/>
  <dimension ref="B1:AK17"/>
  <sheetViews>
    <sheetView workbookViewId="0">
      <selection activeCell="Q16" sqref="Q16:X16"/>
    </sheetView>
  </sheetViews>
  <sheetFormatPr defaultColWidth="3.6640625" defaultRowHeight="13.2"/>
  <sheetData>
    <row r="1" spans="2:37" ht="13.8" thickBot="1"/>
    <row r="2" spans="2:37">
      <c r="B2" s="205" t="s">
        <v>92</v>
      </c>
      <c r="C2" s="206"/>
      <c r="D2" s="206"/>
      <c r="E2" s="206"/>
      <c r="F2" s="211" t="s">
        <v>93</v>
      </c>
      <c r="G2" s="211"/>
      <c r="H2" s="212"/>
      <c r="I2" s="217" t="s">
        <v>988</v>
      </c>
      <c r="J2" s="218"/>
      <c r="K2" s="218"/>
      <c r="L2" s="218"/>
      <c r="M2" s="218"/>
      <c r="N2" s="219"/>
    </row>
    <row r="3" spans="2:37">
      <c r="B3" s="207"/>
      <c r="C3" s="208"/>
      <c r="D3" s="208"/>
      <c r="E3" s="208"/>
      <c r="F3" s="213" t="s">
        <v>10</v>
      </c>
      <c r="G3" s="213"/>
      <c r="H3" s="214"/>
      <c r="I3" s="220" t="s">
        <v>11</v>
      </c>
      <c r="J3" s="221"/>
      <c r="K3" s="221"/>
      <c r="L3" s="221"/>
      <c r="M3" s="221"/>
      <c r="N3" s="222"/>
    </row>
    <row r="4" spans="2:37" ht="13.8" thickBot="1">
      <c r="B4" s="209"/>
      <c r="C4" s="210"/>
      <c r="D4" s="210"/>
      <c r="E4" s="210"/>
      <c r="F4" s="215" t="s">
        <v>94</v>
      </c>
      <c r="G4" s="215"/>
      <c r="H4" s="216"/>
      <c r="I4" s="223" t="s">
        <v>982</v>
      </c>
      <c r="J4" s="224"/>
      <c r="K4" s="224"/>
      <c r="L4" s="224"/>
      <c r="M4" s="224"/>
      <c r="N4" s="225"/>
    </row>
    <row r="6" spans="2:37" ht="13.8" thickBot="1"/>
    <row r="7" spans="2:37">
      <c r="B7" s="5" t="s">
        <v>7</v>
      </c>
      <c r="C7" s="201" t="s">
        <v>93</v>
      </c>
      <c r="D7" s="201"/>
      <c r="E7" s="201"/>
      <c r="F7" s="201"/>
      <c r="G7" s="201"/>
      <c r="H7" s="201"/>
      <c r="I7" s="201" t="s">
        <v>94</v>
      </c>
      <c r="J7" s="201"/>
      <c r="K7" s="201"/>
      <c r="L7" s="201"/>
      <c r="M7" s="201"/>
      <c r="N7" s="201"/>
      <c r="O7" s="201"/>
      <c r="P7" s="201"/>
      <c r="Q7" s="201" t="s">
        <v>140</v>
      </c>
      <c r="R7" s="201"/>
      <c r="S7" s="201"/>
      <c r="T7" s="201"/>
      <c r="U7" s="201"/>
      <c r="V7" s="201"/>
      <c r="W7" s="201"/>
      <c r="X7" s="201"/>
      <c r="Y7" s="202" t="s">
        <v>149</v>
      </c>
      <c r="Z7" s="203"/>
      <c r="AA7" s="202" t="s">
        <v>1179</v>
      </c>
      <c r="AB7" s="203"/>
      <c r="AC7" s="201" t="s">
        <v>150</v>
      </c>
      <c r="AD7" s="201"/>
      <c r="AE7" s="201" t="s">
        <v>152</v>
      </c>
      <c r="AF7" s="201"/>
      <c r="AG7" s="201"/>
      <c r="AH7" s="201"/>
      <c r="AI7" s="201"/>
      <c r="AJ7" s="201"/>
      <c r="AK7" s="204"/>
    </row>
    <row r="8" spans="2:37">
      <c r="B8" s="3">
        <v>1</v>
      </c>
      <c r="C8" s="189" t="s">
        <v>98</v>
      </c>
      <c r="D8" s="189"/>
      <c r="E8" s="189"/>
      <c r="F8" s="189"/>
      <c r="G8" s="189"/>
      <c r="H8" s="189"/>
      <c r="I8" s="189" t="s">
        <v>1328</v>
      </c>
      <c r="J8" s="189"/>
      <c r="K8" s="189"/>
      <c r="L8" s="189"/>
      <c r="M8" s="189"/>
      <c r="N8" s="189"/>
      <c r="O8" s="189"/>
      <c r="P8" s="189"/>
      <c r="Q8" s="189" t="s">
        <v>141</v>
      </c>
      <c r="R8" s="189"/>
      <c r="S8" s="189"/>
      <c r="T8" s="189"/>
      <c r="U8" s="189"/>
      <c r="V8" s="189"/>
      <c r="W8" s="189"/>
      <c r="X8" s="189"/>
      <c r="Y8" s="189"/>
      <c r="Z8" s="189"/>
      <c r="AA8" s="189"/>
      <c r="AB8" s="189"/>
      <c r="AC8" s="189"/>
      <c r="AD8" s="189"/>
      <c r="AE8" s="189" t="s">
        <v>982</v>
      </c>
      <c r="AF8" s="189"/>
      <c r="AG8" s="189"/>
      <c r="AH8" s="189"/>
      <c r="AI8" s="189"/>
      <c r="AJ8" s="189"/>
      <c r="AK8" s="191"/>
    </row>
    <row r="9" spans="2:37">
      <c r="B9" s="3">
        <v>2</v>
      </c>
      <c r="C9" s="189" t="s">
        <v>99</v>
      </c>
      <c r="D9" s="189"/>
      <c r="E9" s="189"/>
      <c r="F9" s="189"/>
      <c r="G9" s="189"/>
      <c r="H9" s="189"/>
      <c r="I9" s="189" t="s">
        <v>1329</v>
      </c>
      <c r="J9" s="189"/>
      <c r="K9" s="189"/>
      <c r="L9" s="189"/>
      <c r="M9" s="189"/>
      <c r="N9" s="189"/>
      <c r="O9" s="189"/>
      <c r="P9" s="189"/>
      <c r="Q9" s="189" t="s">
        <v>142</v>
      </c>
      <c r="R9" s="189"/>
      <c r="S9" s="189"/>
      <c r="T9" s="189"/>
      <c r="U9" s="189"/>
      <c r="V9" s="189"/>
      <c r="W9" s="189"/>
      <c r="X9" s="189"/>
      <c r="Y9" s="189"/>
      <c r="Z9" s="189"/>
      <c r="AA9" s="189"/>
      <c r="AB9" s="189"/>
      <c r="AC9" s="189"/>
      <c r="AD9" s="189"/>
      <c r="AE9" s="189">
        <v>21</v>
      </c>
      <c r="AF9" s="189"/>
      <c r="AG9" s="189"/>
      <c r="AH9" s="189"/>
      <c r="AI9" s="189"/>
      <c r="AJ9" s="189"/>
      <c r="AK9" s="191"/>
    </row>
    <row r="10" spans="2:37">
      <c r="B10" s="3">
        <v>3</v>
      </c>
      <c r="C10" s="189" t="s">
        <v>100</v>
      </c>
      <c r="D10" s="189"/>
      <c r="E10" s="189"/>
      <c r="F10" s="189"/>
      <c r="G10" s="189"/>
      <c r="H10" s="189"/>
      <c r="I10" s="189" t="s">
        <v>1330</v>
      </c>
      <c r="J10" s="189"/>
      <c r="K10" s="189"/>
      <c r="L10" s="189"/>
      <c r="M10" s="189"/>
      <c r="N10" s="189"/>
      <c r="O10" s="189"/>
      <c r="P10" s="189"/>
      <c r="Q10" s="189" t="s">
        <v>142</v>
      </c>
      <c r="R10" s="189"/>
      <c r="S10" s="189"/>
      <c r="T10" s="189"/>
      <c r="U10" s="189"/>
      <c r="V10" s="189"/>
      <c r="W10" s="189"/>
      <c r="X10" s="189"/>
      <c r="Y10" s="189"/>
      <c r="Z10" s="189"/>
      <c r="AA10" s="189"/>
      <c r="AB10" s="189"/>
      <c r="AC10" s="189"/>
      <c r="AD10" s="189"/>
      <c r="AE10" s="189">
        <v>0</v>
      </c>
      <c r="AF10" s="189"/>
      <c r="AG10" s="189"/>
      <c r="AH10" s="189"/>
      <c r="AI10" s="189"/>
      <c r="AJ10" s="189"/>
      <c r="AK10" s="191"/>
    </row>
    <row r="11" spans="2:37">
      <c r="B11" s="3">
        <v>4</v>
      </c>
      <c r="C11" s="189" t="s">
        <v>101</v>
      </c>
      <c r="D11" s="189"/>
      <c r="E11" s="189"/>
      <c r="F11" s="189"/>
      <c r="G11" s="189"/>
      <c r="H11" s="189"/>
      <c r="I11" s="189" t="s">
        <v>1331</v>
      </c>
      <c r="J11" s="189"/>
      <c r="K11" s="189"/>
      <c r="L11" s="189"/>
      <c r="M11" s="189"/>
      <c r="N11" s="189"/>
      <c r="O11" s="189"/>
      <c r="P11" s="189"/>
      <c r="Q11" s="189" t="s">
        <v>142</v>
      </c>
      <c r="R11" s="189"/>
      <c r="S11" s="189"/>
      <c r="T11" s="189"/>
      <c r="U11" s="189"/>
      <c r="V11" s="189"/>
      <c r="W11" s="189"/>
      <c r="X11" s="189"/>
      <c r="Y11" s="189"/>
      <c r="Z11" s="189"/>
      <c r="AA11" s="189"/>
      <c r="AB11" s="189"/>
      <c r="AC11" s="189"/>
      <c r="AD11" s="189"/>
      <c r="AE11" s="189">
        <v>1</v>
      </c>
      <c r="AF11" s="189"/>
      <c r="AG11" s="189"/>
      <c r="AH11" s="189"/>
      <c r="AI11" s="189"/>
      <c r="AJ11" s="189"/>
      <c r="AK11" s="191"/>
    </row>
    <row r="12" spans="2:37">
      <c r="B12" s="3">
        <v>5</v>
      </c>
      <c r="C12" s="189" t="s">
        <v>102</v>
      </c>
      <c r="D12" s="189"/>
      <c r="E12" s="189"/>
      <c r="F12" s="189"/>
      <c r="G12" s="189"/>
      <c r="H12" s="189"/>
      <c r="I12" s="189" t="s">
        <v>1332</v>
      </c>
      <c r="J12" s="189"/>
      <c r="K12" s="189"/>
      <c r="L12" s="189"/>
      <c r="M12" s="189"/>
      <c r="N12" s="189"/>
      <c r="O12" s="189"/>
      <c r="P12" s="189"/>
      <c r="Q12" s="189" t="s">
        <v>142</v>
      </c>
      <c r="R12" s="189"/>
      <c r="S12" s="189"/>
      <c r="T12" s="189"/>
      <c r="U12" s="189"/>
      <c r="V12" s="189"/>
      <c r="W12" s="189"/>
      <c r="X12" s="189"/>
      <c r="Y12" s="189"/>
      <c r="Z12" s="189"/>
      <c r="AA12" s="189"/>
      <c r="AB12" s="189"/>
      <c r="AC12" s="189"/>
      <c r="AD12" s="189"/>
      <c r="AE12" s="199" t="s">
        <v>985</v>
      </c>
      <c r="AF12" s="199"/>
      <c r="AG12" s="199"/>
      <c r="AH12" s="199"/>
      <c r="AI12" s="199"/>
      <c r="AJ12" s="199"/>
      <c r="AK12" s="200"/>
    </row>
    <row r="13" spans="2:37">
      <c r="B13" s="3">
        <v>6</v>
      </c>
      <c r="C13" s="189" t="s">
        <v>103</v>
      </c>
      <c r="D13" s="189"/>
      <c r="E13" s="189"/>
      <c r="F13" s="189"/>
      <c r="G13" s="189"/>
      <c r="H13" s="189"/>
      <c r="I13" s="189" t="s">
        <v>1333</v>
      </c>
      <c r="J13" s="189"/>
      <c r="K13" s="189"/>
      <c r="L13" s="189"/>
      <c r="M13" s="189"/>
      <c r="N13" s="189"/>
      <c r="O13" s="189"/>
      <c r="P13" s="189"/>
      <c r="Q13" s="189" t="s">
        <v>142</v>
      </c>
      <c r="R13" s="189"/>
      <c r="S13" s="189"/>
      <c r="T13" s="189"/>
      <c r="U13" s="189"/>
      <c r="V13" s="189"/>
      <c r="W13" s="189"/>
      <c r="X13" s="189"/>
      <c r="Y13" s="189"/>
      <c r="Z13" s="189"/>
      <c r="AA13" s="189"/>
      <c r="AB13" s="189"/>
      <c r="AC13" s="189"/>
      <c r="AD13" s="189"/>
      <c r="AE13" s="189">
        <v>0</v>
      </c>
      <c r="AF13" s="189"/>
      <c r="AG13" s="189"/>
      <c r="AH13" s="189"/>
      <c r="AI13" s="189"/>
      <c r="AJ13" s="189"/>
      <c r="AK13" s="191"/>
    </row>
    <row r="14" spans="2:37">
      <c r="B14" s="3">
        <v>7</v>
      </c>
      <c r="C14" s="189" t="s">
        <v>104</v>
      </c>
      <c r="D14" s="189"/>
      <c r="E14" s="189"/>
      <c r="F14" s="189"/>
      <c r="G14" s="189"/>
      <c r="H14" s="189"/>
      <c r="I14" s="189" t="s">
        <v>1334</v>
      </c>
      <c r="J14" s="189"/>
      <c r="K14" s="189"/>
      <c r="L14" s="189"/>
      <c r="M14" s="189"/>
      <c r="N14" s="189"/>
      <c r="O14" s="189"/>
      <c r="P14" s="189"/>
      <c r="Q14" s="189" t="s">
        <v>1338</v>
      </c>
      <c r="R14" s="189"/>
      <c r="S14" s="189"/>
      <c r="T14" s="189"/>
      <c r="U14" s="189"/>
      <c r="V14" s="189"/>
      <c r="W14" s="189"/>
      <c r="X14" s="189"/>
      <c r="Y14" s="189"/>
      <c r="Z14" s="189"/>
      <c r="AA14" s="189"/>
      <c r="AB14" s="189"/>
      <c r="AC14" s="189"/>
      <c r="AD14" s="189"/>
      <c r="AE14" s="189">
        <v>1</v>
      </c>
      <c r="AF14" s="189"/>
      <c r="AG14" s="189"/>
      <c r="AH14" s="189"/>
      <c r="AI14" s="189"/>
      <c r="AJ14" s="189"/>
      <c r="AK14" s="191"/>
    </row>
    <row r="15" spans="2:37">
      <c r="B15" s="3">
        <v>8</v>
      </c>
      <c r="C15" s="189" t="s">
        <v>105</v>
      </c>
      <c r="D15" s="189"/>
      <c r="E15" s="189"/>
      <c r="F15" s="189"/>
      <c r="G15" s="189"/>
      <c r="H15" s="189"/>
      <c r="I15" s="189" t="s">
        <v>1335</v>
      </c>
      <c r="J15" s="189"/>
      <c r="K15" s="189"/>
      <c r="L15" s="189"/>
      <c r="M15" s="189"/>
      <c r="N15" s="189"/>
      <c r="O15" s="189"/>
      <c r="P15" s="189"/>
      <c r="Q15" s="189" t="s">
        <v>1338</v>
      </c>
      <c r="R15" s="189"/>
      <c r="S15" s="189"/>
      <c r="T15" s="189"/>
      <c r="U15" s="189"/>
      <c r="V15" s="189"/>
      <c r="W15" s="189"/>
      <c r="X15" s="189"/>
      <c r="Y15" s="189"/>
      <c r="Z15" s="189"/>
      <c r="AA15" s="189"/>
      <c r="AB15" s="189"/>
      <c r="AC15" s="189"/>
      <c r="AD15" s="189"/>
      <c r="AE15" s="189">
        <v>32</v>
      </c>
      <c r="AF15" s="189"/>
      <c r="AG15" s="189"/>
      <c r="AH15" s="189"/>
      <c r="AI15" s="189"/>
      <c r="AJ15" s="189"/>
      <c r="AK15" s="191"/>
    </row>
    <row r="16" spans="2:37">
      <c r="B16" s="3">
        <v>9</v>
      </c>
      <c r="C16" s="189" t="s">
        <v>106</v>
      </c>
      <c r="D16" s="189"/>
      <c r="E16" s="189"/>
      <c r="F16" s="189"/>
      <c r="G16" s="189"/>
      <c r="H16" s="189"/>
      <c r="I16" s="189" t="s">
        <v>1336</v>
      </c>
      <c r="J16" s="189"/>
      <c r="K16" s="189"/>
      <c r="L16" s="189"/>
      <c r="M16" s="189"/>
      <c r="N16" s="189"/>
      <c r="O16" s="189"/>
      <c r="P16" s="189"/>
      <c r="Q16" s="189" t="s">
        <v>143</v>
      </c>
      <c r="R16" s="189"/>
      <c r="S16" s="189"/>
      <c r="T16" s="189"/>
      <c r="U16" s="189"/>
      <c r="V16" s="189"/>
      <c r="W16" s="189"/>
      <c r="X16" s="189"/>
      <c r="Y16" s="189"/>
      <c r="Z16" s="189"/>
      <c r="AA16" s="189"/>
      <c r="AB16" s="189"/>
      <c r="AC16" s="189"/>
      <c r="AD16" s="189"/>
      <c r="AE16" s="192" t="b">
        <v>0</v>
      </c>
      <c r="AF16" s="192"/>
      <c r="AG16" s="192"/>
      <c r="AH16" s="192"/>
      <c r="AI16" s="192"/>
      <c r="AJ16" s="192"/>
      <c r="AK16" s="193"/>
    </row>
    <row r="17" spans="2:37" ht="13.8" thickBot="1">
      <c r="B17" s="4">
        <v>10</v>
      </c>
      <c r="C17" s="190" t="s">
        <v>107</v>
      </c>
      <c r="D17" s="190"/>
      <c r="E17" s="190"/>
      <c r="F17" s="190"/>
      <c r="G17" s="190"/>
      <c r="H17" s="190"/>
      <c r="I17" s="190" t="s">
        <v>1337</v>
      </c>
      <c r="J17" s="190"/>
      <c r="K17" s="190"/>
      <c r="L17" s="190"/>
      <c r="M17" s="190"/>
      <c r="N17" s="190"/>
      <c r="O17" s="190"/>
      <c r="P17" s="190"/>
      <c r="Q17" s="190" t="s">
        <v>143</v>
      </c>
      <c r="R17" s="190"/>
      <c r="S17" s="190"/>
      <c r="T17" s="190"/>
      <c r="U17" s="190"/>
      <c r="V17" s="190"/>
      <c r="W17" s="190"/>
      <c r="X17" s="190"/>
      <c r="Y17" s="190"/>
      <c r="Z17" s="190"/>
      <c r="AA17" s="190"/>
      <c r="AB17" s="190"/>
      <c r="AC17" s="190"/>
      <c r="AD17" s="190"/>
      <c r="AE17" s="194" t="b">
        <v>1</v>
      </c>
      <c r="AF17" s="194"/>
      <c r="AG17" s="194"/>
      <c r="AH17" s="194"/>
      <c r="AI17" s="194"/>
      <c r="AJ17" s="194"/>
      <c r="AK17" s="195"/>
    </row>
  </sheetData>
  <mergeCells count="84">
    <mergeCell ref="I7:P7"/>
    <mergeCell ref="I2:N2"/>
    <mergeCell ref="I3:N3"/>
    <mergeCell ref="I4:N4"/>
    <mergeCell ref="B2:E4"/>
    <mergeCell ref="F2:H2"/>
    <mergeCell ref="F3:H3"/>
    <mergeCell ref="F4:H4"/>
    <mergeCell ref="C7:H7"/>
    <mergeCell ref="C8:H8"/>
    <mergeCell ref="I8:P8"/>
    <mergeCell ref="Q8:X8"/>
    <mergeCell ref="AA8:AB8"/>
    <mergeCell ref="AC8:AD8"/>
    <mergeCell ref="AE9:AK9"/>
    <mergeCell ref="Q7:X7"/>
    <mergeCell ref="AA7:AB7"/>
    <mergeCell ref="AC7:AD7"/>
    <mergeCell ref="AE7:AK7"/>
    <mergeCell ref="AE8:AK8"/>
    <mergeCell ref="Y7:Z7"/>
    <mergeCell ref="Y8:Z8"/>
    <mergeCell ref="C9:H9"/>
    <mergeCell ref="I9:P9"/>
    <mergeCell ref="Q9:X9"/>
    <mergeCell ref="AA9:AB9"/>
    <mergeCell ref="AC9:AD9"/>
    <mergeCell ref="Y9:Z9"/>
    <mergeCell ref="AE11:AK11"/>
    <mergeCell ref="C10:H10"/>
    <mergeCell ref="I10:P10"/>
    <mergeCell ref="Q10:X10"/>
    <mergeCell ref="AA10:AB10"/>
    <mergeCell ref="AC10:AD10"/>
    <mergeCell ref="AE10:AK10"/>
    <mergeCell ref="C11:H11"/>
    <mergeCell ref="I11:P11"/>
    <mergeCell ref="Q11:X11"/>
    <mergeCell ref="AA11:AB11"/>
    <mergeCell ref="AC11:AD11"/>
    <mergeCell ref="Y10:Z10"/>
    <mergeCell ref="Y11:Z11"/>
    <mergeCell ref="AE13:AK13"/>
    <mergeCell ref="C12:H12"/>
    <mergeCell ref="I12:P12"/>
    <mergeCell ref="Q12:X12"/>
    <mergeCell ref="AA12:AB12"/>
    <mergeCell ref="AC12:AD12"/>
    <mergeCell ref="AE12:AK12"/>
    <mergeCell ref="C13:H13"/>
    <mergeCell ref="I13:P13"/>
    <mergeCell ref="Q13:X13"/>
    <mergeCell ref="AA13:AB13"/>
    <mergeCell ref="AC13:AD13"/>
    <mergeCell ref="Y12:Z12"/>
    <mergeCell ref="Y13:Z13"/>
    <mergeCell ref="AE15:AK15"/>
    <mergeCell ref="C14:H14"/>
    <mergeCell ref="I14:P14"/>
    <mergeCell ref="Q14:X14"/>
    <mergeCell ref="AA14:AB14"/>
    <mergeCell ref="AC14:AD14"/>
    <mergeCell ref="AE14:AK14"/>
    <mergeCell ref="C15:H15"/>
    <mergeCell ref="I15:P15"/>
    <mergeCell ref="Q15:X15"/>
    <mergeCell ref="AA15:AB15"/>
    <mergeCell ref="AC15:AD15"/>
    <mergeCell ref="Y14:Z14"/>
    <mergeCell ref="Y15:Z15"/>
    <mergeCell ref="AE17:AK17"/>
    <mergeCell ref="C16:H16"/>
    <mergeCell ref="I16:P16"/>
    <mergeCell ref="Q16:X16"/>
    <mergeCell ref="AA16:AB16"/>
    <mergeCell ref="AC16:AD16"/>
    <mergeCell ref="AE16:AK16"/>
    <mergeCell ref="C17:H17"/>
    <mergeCell ref="I17:P17"/>
    <mergeCell ref="Q17:X17"/>
    <mergeCell ref="AA17:AB17"/>
    <mergeCell ref="AC17:AD17"/>
    <mergeCell ref="Y16:Z16"/>
    <mergeCell ref="Y17:Z17"/>
  </mergeCells>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A1681-0E5F-47D3-A569-9ECDE1B86386}">
  <sheetPr codeName="Sheet7"/>
  <dimension ref="B1:AK17"/>
  <sheetViews>
    <sheetView workbookViewId="0">
      <selection activeCell="Y7" sqref="Y7:AB7"/>
    </sheetView>
  </sheetViews>
  <sheetFormatPr defaultColWidth="3.6640625" defaultRowHeight="13.2"/>
  <sheetData>
    <row r="1" spans="2:37" ht="13.8" thickBot="1"/>
    <row r="2" spans="2:37">
      <c r="B2" s="205" t="s">
        <v>92</v>
      </c>
      <c r="C2" s="206"/>
      <c r="D2" s="206"/>
      <c r="E2" s="206"/>
      <c r="F2" s="211" t="s">
        <v>93</v>
      </c>
      <c r="G2" s="211"/>
      <c r="H2" s="212"/>
      <c r="I2" s="196" t="s">
        <v>990</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984</v>
      </c>
      <c r="J4" s="190"/>
      <c r="K4" s="190"/>
      <c r="L4" s="190"/>
      <c r="M4" s="190"/>
      <c r="N4" s="190"/>
      <c r="O4" s="198"/>
    </row>
    <row r="6" spans="2:37" ht="13.8" thickBot="1"/>
    <row r="7" spans="2:37">
      <c r="B7" s="5" t="s">
        <v>7</v>
      </c>
      <c r="C7" s="201" t="s">
        <v>93</v>
      </c>
      <c r="D7" s="201"/>
      <c r="E7" s="201"/>
      <c r="F7" s="201"/>
      <c r="G7" s="201"/>
      <c r="H7" s="201"/>
      <c r="I7" s="201" t="s">
        <v>94</v>
      </c>
      <c r="J7" s="201"/>
      <c r="K7" s="201"/>
      <c r="L7" s="201"/>
      <c r="M7" s="201"/>
      <c r="N7" s="201"/>
      <c r="O7" s="201"/>
      <c r="P7" s="201"/>
      <c r="Q7" s="201" t="s">
        <v>140</v>
      </c>
      <c r="R7" s="201"/>
      <c r="S7" s="201"/>
      <c r="T7" s="201"/>
      <c r="U7" s="201"/>
      <c r="V7" s="201"/>
      <c r="W7" s="201"/>
      <c r="X7" s="201"/>
      <c r="Y7" s="202" t="s">
        <v>149</v>
      </c>
      <c r="Z7" s="203"/>
      <c r="AA7" s="202" t="s">
        <v>1179</v>
      </c>
      <c r="AB7" s="203"/>
      <c r="AC7" s="201" t="s">
        <v>150</v>
      </c>
      <c r="AD7" s="201"/>
      <c r="AE7" s="201" t="s">
        <v>152</v>
      </c>
      <c r="AF7" s="201"/>
      <c r="AG7" s="201"/>
      <c r="AH7" s="201"/>
      <c r="AI7" s="201"/>
      <c r="AJ7" s="201"/>
      <c r="AK7" s="204"/>
    </row>
    <row r="8" spans="2:37">
      <c r="B8" s="3">
        <v>1</v>
      </c>
      <c r="C8" s="189" t="s">
        <v>98</v>
      </c>
      <c r="D8" s="189"/>
      <c r="E8" s="189"/>
      <c r="F8" s="189"/>
      <c r="G8" s="189"/>
      <c r="H8" s="189"/>
      <c r="I8" s="189" t="s">
        <v>122</v>
      </c>
      <c r="J8" s="189"/>
      <c r="K8" s="189"/>
      <c r="L8" s="189"/>
      <c r="M8" s="189"/>
      <c r="N8" s="189"/>
      <c r="O8" s="189"/>
      <c r="P8" s="189"/>
      <c r="Q8" s="189" t="s">
        <v>141</v>
      </c>
      <c r="R8" s="189"/>
      <c r="S8" s="189"/>
      <c r="T8" s="189"/>
      <c r="U8" s="189"/>
      <c r="V8" s="189"/>
      <c r="W8" s="189"/>
      <c r="X8" s="189"/>
      <c r="Y8" s="189"/>
      <c r="Z8" s="189"/>
      <c r="AA8" s="189"/>
      <c r="AB8" s="189"/>
      <c r="AC8" s="189"/>
      <c r="AD8" s="189"/>
      <c r="AE8" s="189" t="s">
        <v>984</v>
      </c>
      <c r="AF8" s="189"/>
      <c r="AG8" s="189"/>
      <c r="AH8" s="189"/>
      <c r="AI8" s="189"/>
      <c r="AJ8" s="189"/>
      <c r="AK8" s="191"/>
    </row>
    <row r="9" spans="2:37">
      <c r="B9" s="3">
        <v>2</v>
      </c>
      <c r="C9" s="189" t="s">
        <v>99</v>
      </c>
      <c r="D9" s="189"/>
      <c r="E9" s="189"/>
      <c r="F9" s="189"/>
      <c r="G9" s="189"/>
      <c r="H9" s="189"/>
      <c r="I9" s="189" t="s">
        <v>123</v>
      </c>
      <c r="J9" s="189"/>
      <c r="K9" s="189"/>
      <c r="L9" s="189"/>
      <c r="M9" s="189"/>
      <c r="N9" s="189"/>
      <c r="O9" s="189"/>
      <c r="P9" s="189"/>
      <c r="Q9" s="189" t="s">
        <v>142</v>
      </c>
      <c r="R9" s="189"/>
      <c r="S9" s="189"/>
      <c r="T9" s="189"/>
      <c r="U9" s="189"/>
      <c r="V9" s="189"/>
      <c r="W9" s="189"/>
      <c r="X9" s="189"/>
      <c r="Y9" s="189"/>
      <c r="Z9" s="189"/>
      <c r="AA9" s="189"/>
      <c r="AB9" s="189"/>
      <c r="AC9" s="189"/>
      <c r="AD9" s="189"/>
      <c r="AE9" s="189">
        <v>0</v>
      </c>
      <c r="AF9" s="189"/>
      <c r="AG9" s="189"/>
      <c r="AH9" s="189"/>
      <c r="AI9" s="189"/>
      <c r="AJ9" s="189"/>
      <c r="AK9" s="191"/>
    </row>
    <row r="10" spans="2:37">
      <c r="B10" s="3">
        <v>3</v>
      </c>
      <c r="C10" s="189" t="s">
        <v>100</v>
      </c>
      <c r="D10" s="189"/>
      <c r="E10" s="189"/>
      <c r="F10" s="189"/>
      <c r="G10" s="189"/>
      <c r="H10" s="189"/>
      <c r="I10" s="189" t="s">
        <v>124</v>
      </c>
      <c r="J10" s="189"/>
      <c r="K10" s="189"/>
      <c r="L10" s="189"/>
      <c r="M10" s="189"/>
      <c r="N10" s="189"/>
      <c r="O10" s="189"/>
      <c r="P10" s="189"/>
      <c r="Q10" s="189" t="s">
        <v>142</v>
      </c>
      <c r="R10" s="189"/>
      <c r="S10" s="189"/>
      <c r="T10" s="189"/>
      <c r="U10" s="189"/>
      <c r="V10" s="189"/>
      <c r="W10" s="189"/>
      <c r="X10" s="189"/>
      <c r="Y10" s="189"/>
      <c r="Z10" s="189"/>
      <c r="AA10" s="189"/>
      <c r="AB10" s="189"/>
      <c r="AC10" s="189"/>
      <c r="AD10" s="189"/>
      <c r="AE10" s="189">
        <v>0</v>
      </c>
      <c r="AF10" s="189"/>
      <c r="AG10" s="189"/>
      <c r="AH10" s="189"/>
      <c r="AI10" s="189"/>
      <c r="AJ10" s="189"/>
      <c r="AK10" s="191"/>
    </row>
    <row r="11" spans="2:37">
      <c r="B11" s="3">
        <v>4</v>
      </c>
      <c r="C11" s="189" t="s">
        <v>101</v>
      </c>
      <c r="D11" s="189"/>
      <c r="E11" s="189"/>
      <c r="F11" s="189"/>
      <c r="G11" s="189"/>
      <c r="H11" s="189"/>
      <c r="I11" s="189" t="s">
        <v>125</v>
      </c>
      <c r="J11" s="189"/>
      <c r="K11" s="189"/>
      <c r="L11" s="189"/>
      <c r="M11" s="189"/>
      <c r="N11" s="189"/>
      <c r="O11" s="189"/>
      <c r="P11" s="189"/>
      <c r="Q11" s="189" t="s">
        <v>142</v>
      </c>
      <c r="R11" s="189"/>
      <c r="S11" s="189"/>
      <c r="T11" s="189"/>
      <c r="U11" s="189"/>
      <c r="V11" s="189"/>
      <c r="W11" s="189"/>
      <c r="X11" s="189"/>
      <c r="Y11" s="189"/>
      <c r="Z11" s="189"/>
      <c r="AA11" s="189"/>
      <c r="AB11" s="189"/>
      <c r="AC11" s="189"/>
      <c r="AD11" s="189"/>
      <c r="AE11" s="189">
        <v>1</v>
      </c>
      <c r="AF11" s="189"/>
      <c r="AG11" s="189"/>
      <c r="AH11" s="189"/>
      <c r="AI11" s="189"/>
      <c r="AJ11" s="189"/>
      <c r="AK11" s="191"/>
    </row>
    <row r="12" spans="2:37">
      <c r="B12" s="3">
        <v>5</v>
      </c>
      <c r="C12" s="189" t="s">
        <v>102</v>
      </c>
      <c r="D12" s="189"/>
      <c r="E12" s="189"/>
      <c r="F12" s="189"/>
      <c r="G12" s="189"/>
      <c r="H12" s="189"/>
      <c r="I12" s="189" t="s">
        <v>126</v>
      </c>
      <c r="J12" s="189"/>
      <c r="K12" s="189"/>
      <c r="L12" s="189"/>
      <c r="M12" s="189"/>
      <c r="N12" s="189"/>
      <c r="O12" s="189"/>
      <c r="P12" s="189"/>
      <c r="Q12" s="189" t="s">
        <v>142</v>
      </c>
      <c r="R12" s="189"/>
      <c r="S12" s="189"/>
      <c r="T12" s="189"/>
      <c r="U12" s="189"/>
      <c r="V12" s="189"/>
      <c r="W12" s="189"/>
      <c r="X12" s="189"/>
      <c r="Y12" s="189"/>
      <c r="Z12" s="189"/>
      <c r="AA12" s="189"/>
      <c r="AB12" s="189"/>
      <c r="AC12" s="189"/>
      <c r="AD12" s="189"/>
      <c r="AE12" s="199" t="s">
        <v>985</v>
      </c>
      <c r="AF12" s="199"/>
      <c r="AG12" s="199"/>
      <c r="AH12" s="199"/>
      <c r="AI12" s="199"/>
      <c r="AJ12" s="199"/>
      <c r="AK12" s="200"/>
    </row>
    <row r="13" spans="2:37">
      <c r="B13" s="3">
        <v>6</v>
      </c>
      <c r="C13" s="189" t="s">
        <v>103</v>
      </c>
      <c r="D13" s="189"/>
      <c r="E13" s="189"/>
      <c r="F13" s="189"/>
      <c r="G13" s="189"/>
      <c r="H13" s="189"/>
      <c r="I13" s="189" t="s">
        <v>127</v>
      </c>
      <c r="J13" s="189"/>
      <c r="K13" s="189"/>
      <c r="L13" s="189"/>
      <c r="M13" s="189"/>
      <c r="N13" s="189"/>
      <c r="O13" s="189"/>
      <c r="P13" s="189"/>
      <c r="Q13" s="189" t="s">
        <v>142</v>
      </c>
      <c r="R13" s="189"/>
      <c r="S13" s="189"/>
      <c r="T13" s="189"/>
      <c r="U13" s="189"/>
      <c r="V13" s="189"/>
      <c r="W13" s="189"/>
      <c r="X13" s="189"/>
      <c r="Y13" s="189"/>
      <c r="Z13" s="189"/>
      <c r="AA13" s="189"/>
      <c r="AB13" s="189"/>
      <c r="AC13" s="189"/>
      <c r="AD13" s="189"/>
      <c r="AE13" s="189">
        <v>0</v>
      </c>
      <c r="AF13" s="189"/>
      <c r="AG13" s="189"/>
      <c r="AH13" s="189"/>
      <c r="AI13" s="189"/>
      <c r="AJ13" s="189"/>
      <c r="AK13" s="191"/>
    </row>
    <row r="14" spans="2:37">
      <c r="B14" s="3">
        <v>7</v>
      </c>
      <c r="C14" s="189" t="s">
        <v>104</v>
      </c>
      <c r="D14" s="189"/>
      <c r="E14" s="189"/>
      <c r="F14" s="189"/>
      <c r="G14" s="189"/>
      <c r="H14" s="189"/>
      <c r="I14" s="189" t="s">
        <v>128</v>
      </c>
      <c r="J14" s="189"/>
      <c r="K14" s="189"/>
      <c r="L14" s="189"/>
      <c r="M14" s="189"/>
      <c r="N14" s="189"/>
      <c r="O14" s="189"/>
      <c r="P14" s="189"/>
      <c r="Q14" s="189" t="s">
        <v>142</v>
      </c>
      <c r="R14" s="189"/>
      <c r="S14" s="189"/>
      <c r="T14" s="189"/>
      <c r="U14" s="189"/>
      <c r="V14" s="189"/>
      <c r="W14" s="189"/>
      <c r="X14" s="189"/>
      <c r="Y14" s="189"/>
      <c r="Z14" s="189"/>
      <c r="AA14" s="189"/>
      <c r="AB14" s="189"/>
      <c r="AC14" s="189"/>
      <c r="AD14" s="189"/>
      <c r="AE14" s="189">
        <v>1</v>
      </c>
      <c r="AF14" s="189"/>
      <c r="AG14" s="189"/>
      <c r="AH14" s="189"/>
      <c r="AI14" s="189"/>
      <c r="AJ14" s="189"/>
      <c r="AK14" s="191"/>
    </row>
    <row r="15" spans="2:37">
      <c r="B15" s="3">
        <v>8</v>
      </c>
      <c r="C15" s="189" t="s">
        <v>105</v>
      </c>
      <c r="D15" s="189"/>
      <c r="E15" s="189"/>
      <c r="F15" s="189"/>
      <c r="G15" s="189"/>
      <c r="H15" s="189"/>
      <c r="I15" s="189" t="s">
        <v>129</v>
      </c>
      <c r="J15" s="189"/>
      <c r="K15" s="189"/>
      <c r="L15" s="189"/>
      <c r="M15" s="189"/>
      <c r="N15" s="189"/>
      <c r="O15" s="189"/>
      <c r="P15" s="189"/>
      <c r="Q15" s="189" t="s">
        <v>142</v>
      </c>
      <c r="R15" s="189"/>
      <c r="S15" s="189"/>
      <c r="T15" s="189"/>
      <c r="U15" s="189"/>
      <c r="V15" s="189"/>
      <c r="W15" s="189"/>
      <c r="X15" s="189"/>
      <c r="Y15" s="189"/>
      <c r="Z15" s="189"/>
      <c r="AA15" s="189"/>
      <c r="AB15" s="189"/>
      <c r="AC15" s="189"/>
      <c r="AD15" s="189"/>
      <c r="AE15" s="189">
        <v>0</v>
      </c>
      <c r="AF15" s="189"/>
      <c r="AG15" s="189"/>
      <c r="AH15" s="189"/>
      <c r="AI15" s="189"/>
      <c r="AJ15" s="189"/>
      <c r="AK15" s="191"/>
    </row>
    <row r="16" spans="2:37">
      <c r="B16" s="3">
        <v>9</v>
      </c>
      <c r="C16" s="189" t="s">
        <v>106</v>
      </c>
      <c r="D16" s="189"/>
      <c r="E16" s="189"/>
      <c r="F16" s="189"/>
      <c r="G16" s="189"/>
      <c r="H16" s="189"/>
      <c r="I16" s="189" t="s">
        <v>130</v>
      </c>
      <c r="J16" s="189"/>
      <c r="K16" s="189"/>
      <c r="L16" s="189"/>
      <c r="M16" s="189"/>
      <c r="N16" s="189"/>
      <c r="O16" s="189"/>
      <c r="P16" s="189"/>
      <c r="Q16" s="189" t="s">
        <v>143</v>
      </c>
      <c r="R16" s="189"/>
      <c r="S16" s="189"/>
      <c r="T16" s="189"/>
      <c r="U16" s="189"/>
      <c r="V16" s="189"/>
      <c r="W16" s="189"/>
      <c r="X16" s="189"/>
      <c r="Y16" s="189"/>
      <c r="Z16" s="189"/>
      <c r="AA16" s="189"/>
      <c r="AB16" s="189"/>
      <c r="AC16" s="189"/>
      <c r="AD16" s="189"/>
      <c r="AE16" s="192" t="b">
        <v>0</v>
      </c>
      <c r="AF16" s="192"/>
      <c r="AG16" s="192"/>
      <c r="AH16" s="192"/>
      <c r="AI16" s="192"/>
      <c r="AJ16" s="192"/>
      <c r="AK16" s="193"/>
    </row>
    <row r="17" spans="2:37" ht="13.8" thickBot="1">
      <c r="B17" s="4">
        <v>10</v>
      </c>
      <c r="C17" s="190" t="s">
        <v>107</v>
      </c>
      <c r="D17" s="190"/>
      <c r="E17" s="190"/>
      <c r="F17" s="190"/>
      <c r="G17" s="190"/>
      <c r="H17" s="190"/>
      <c r="I17" s="190" t="s">
        <v>131</v>
      </c>
      <c r="J17" s="190"/>
      <c r="K17" s="190"/>
      <c r="L17" s="190"/>
      <c r="M17" s="190"/>
      <c r="N17" s="190"/>
      <c r="O17" s="190"/>
      <c r="P17" s="190"/>
      <c r="Q17" s="190" t="s">
        <v>143</v>
      </c>
      <c r="R17" s="190"/>
      <c r="S17" s="190"/>
      <c r="T17" s="190"/>
      <c r="U17" s="190"/>
      <c r="V17" s="190"/>
      <c r="W17" s="190"/>
      <c r="X17" s="190"/>
      <c r="Y17" s="190"/>
      <c r="Z17" s="190"/>
      <c r="AA17" s="190"/>
      <c r="AB17" s="190"/>
      <c r="AC17" s="190"/>
      <c r="AD17" s="190"/>
      <c r="AE17" s="194" t="b">
        <v>0</v>
      </c>
      <c r="AF17" s="194"/>
      <c r="AG17" s="194"/>
      <c r="AH17" s="194"/>
      <c r="AI17" s="194"/>
      <c r="AJ17" s="194"/>
      <c r="AK17" s="195"/>
    </row>
  </sheetData>
  <mergeCells count="84">
    <mergeCell ref="I7:P7"/>
    <mergeCell ref="I2:O2"/>
    <mergeCell ref="I3:O3"/>
    <mergeCell ref="I4:O4"/>
    <mergeCell ref="B2:E4"/>
    <mergeCell ref="F2:H2"/>
    <mergeCell ref="F3:H3"/>
    <mergeCell ref="F4:H4"/>
    <mergeCell ref="C7:H7"/>
    <mergeCell ref="C8:H8"/>
    <mergeCell ref="I8:P8"/>
    <mergeCell ref="Q8:X8"/>
    <mergeCell ref="AA8:AB8"/>
    <mergeCell ref="AC8:AD8"/>
    <mergeCell ref="AE9:AK9"/>
    <mergeCell ref="Q7:X7"/>
    <mergeCell ref="AA7:AB7"/>
    <mergeCell ref="AC7:AD7"/>
    <mergeCell ref="AE7:AK7"/>
    <mergeCell ref="AE8:AK8"/>
    <mergeCell ref="Y7:Z7"/>
    <mergeCell ref="Y8:Z8"/>
    <mergeCell ref="C9:H9"/>
    <mergeCell ref="I9:P9"/>
    <mergeCell ref="Q9:X9"/>
    <mergeCell ref="AA9:AB9"/>
    <mergeCell ref="AC9:AD9"/>
    <mergeCell ref="Y9:Z9"/>
    <mergeCell ref="AE11:AK11"/>
    <mergeCell ref="C10:H10"/>
    <mergeCell ref="I10:P10"/>
    <mergeCell ref="Q10:X10"/>
    <mergeCell ref="AA10:AB10"/>
    <mergeCell ref="AC10:AD10"/>
    <mergeCell ref="AE10:AK10"/>
    <mergeCell ref="C11:H11"/>
    <mergeCell ref="I11:P11"/>
    <mergeCell ref="Q11:X11"/>
    <mergeCell ref="AA11:AB11"/>
    <mergeCell ref="AC11:AD11"/>
    <mergeCell ref="Y10:Z10"/>
    <mergeCell ref="Y11:Z11"/>
    <mergeCell ref="AE13:AK13"/>
    <mergeCell ref="C12:H12"/>
    <mergeCell ref="I12:P12"/>
    <mergeCell ref="Q12:X12"/>
    <mergeCell ref="AA12:AB12"/>
    <mergeCell ref="AC12:AD12"/>
    <mergeCell ref="AE12:AK12"/>
    <mergeCell ref="C13:H13"/>
    <mergeCell ref="I13:P13"/>
    <mergeCell ref="Q13:X13"/>
    <mergeCell ref="AA13:AB13"/>
    <mergeCell ref="AC13:AD13"/>
    <mergeCell ref="Y12:Z12"/>
    <mergeCell ref="Y13:Z13"/>
    <mergeCell ref="AE15:AK15"/>
    <mergeCell ref="C14:H14"/>
    <mergeCell ref="I14:P14"/>
    <mergeCell ref="Q14:X14"/>
    <mergeCell ref="AA14:AB14"/>
    <mergeCell ref="AC14:AD14"/>
    <mergeCell ref="AE14:AK14"/>
    <mergeCell ref="C15:H15"/>
    <mergeCell ref="I15:P15"/>
    <mergeCell ref="Q15:X15"/>
    <mergeCell ref="AA15:AB15"/>
    <mergeCell ref="AC15:AD15"/>
    <mergeCell ref="Y14:Z14"/>
    <mergeCell ref="Y15:Z15"/>
    <mergeCell ref="AE17:AK17"/>
    <mergeCell ref="C16:H16"/>
    <mergeCell ref="I16:P16"/>
    <mergeCell ref="Q16:X16"/>
    <mergeCell ref="AA16:AB16"/>
    <mergeCell ref="AC16:AD16"/>
    <mergeCell ref="AE16:AK16"/>
    <mergeCell ref="C17:H17"/>
    <mergeCell ref="I17:P17"/>
    <mergeCell ref="Q17:X17"/>
    <mergeCell ref="AA17:AB17"/>
    <mergeCell ref="AC17:AD17"/>
    <mergeCell ref="Y16:Z16"/>
    <mergeCell ref="Y17:Z17"/>
  </mergeCells>
  <phoneticPr fontI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E35F9-5AB2-4D10-B26B-7A8F92475AC9}">
  <sheetPr codeName="Sheet8"/>
  <dimension ref="B1:AK25"/>
  <sheetViews>
    <sheetView workbookViewId="0"/>
  </sheetViews>
  <sheetFormatPr defaultColWidth="3.6640625" defaultRowHeight="13.2"/>
  <sheetData>
    <row r="1" spans="2:37" ht="13.8" thickBot="1"/>
    <row r="2" spans="2:37">
      <c r="B2" s="205" t="s">
        <v>95</v>
      </c>
      <c r="C2" s="206"/>
      <c r="D2" s="206"/>
      <c r="E2" s="206"/>
      <c r="F2" s="211" t="s">
        <v>93</v>
      </c>
      <c r="G2" s="211"/>
      <c r="H2" s="212"/>
      <c r="I2" s="196" t="s">
        <v>154</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997</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155</v>
      </c>
      <c r="D9" s="189"/>
      <c r="E9" s="189"/>
      <c r="F9" s="189"/>
      <c r="G9" s="189"/>
      <c r="H9" s="189"/>
      <c r="I9" s="189" t="s">
        <v>157</v>
      </c>
      <c r="J9" s="189"/>
      <c r="K9" s="189"/>
      <c r="L9" s="189"/>
      <c r="M9" s="189"/>
      <c r="N9" s="189"/>
      <c r="O9" s="189"/>
      <c r="P9" s="189"/>
      <c r="Q9" s="189" t="s">
        <v>146</v>
      </c>
      <c r="R9" s="189"/>
      <c r="S9" s="189"/>
      <c r="T9" s="189"/>
      <c r="U9" s="189"/>
      <c r="V9" s="189"/>
      <c r="W9" s="189"/>
      <c r="X9" s="189"/>
      <c r="Y9" s="189" t="s">
        <v>149</v>
      </c>
      <c r="Z9" s="189"/>
      <c r="AA9" s="189"/>
      <c r="AB9" s="189"/>
      <c r="AC9" s="189"/>
      <c r="AD9" s="189"/>
      <c r="AE9" s="189"/>
      <c r="AF9" s="189"/>
      <c r="AG9" s="189"/>
      <c r="AH9" s="189"/>
      <c r="AI9" s="189"/>
      <c r="AJ9" s="189"/>
      <c r="AK9" s="191"/>
    </row>
    <row r="10" spans="2:37">
      <c r="B10" s="3">
        <v>2</v>
      </c>
      <c r="C10" s="189" t="s">
        <v>156</v>
      </c>
      <c r="D10" s="189"/>
      <c r="E10" s="189"/>
      <c r="F10" s="189"/>
      <c r="G10" s="189"/>
      <c r="H10" s="189"/>
      <c r="I10" s="189" t="s">
        <v>158</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118</v>
      </c>
      <c r="D11" s="190"/>
      <c r="E11" s="190"/>
      <c r="F11" s="190"/>
      <c r="G11" s="190"/>
      <c r="H11" s="190"/>
      <c r="I11" s="190" t="s">
        <v>159</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6" t="s">
        <v>7</v>
      </c>
      <c r="C15" s="201" t="s">
        <v>998</v>
      </c>
      <c r="D15" s="201"/>
      <c r="E15" s="201"/>
      <c r="F15" s="201"/>
      <c r="G15" s="201"/>
      <c r="H15" s="201"/>
      <c r="I15" s="201"/>
      <c r="J15" s="201"/>
      <c r="K15" s="201"/>
      <c r="L15" s="201" t="s">
        <v>1000</v>
      </c>
      <c r="M15" s="201"/>
      <c r="N15" s="201"/>
      <c r="O15" s="201"/>
      <c r="P15" s="201"/>
      <c r="Q15" s="201"/>
      <c r="R15" s="201"/>
      <c r="S15" s="201"/>
      <c r="T15" s="201"/>
      <c r="U15" s="201"/>
      <c r="V15" s="201" t="s">
        <v>1002</v>
      </c>
      <c r="W15" s="201"/>
      <c r="X15" s="201"/>
      <c r="Y15" s="201" t="s">
        <v>1004</v>
      </c>
      <c r="Z15" s="201"/>
      <c r="AA15" s="201"/>
      <c r="AB15" s="201" t="s">
        <v>1005</v>
      </c>
      <c r="AC15" s="201"/>
      <c r="AD15" s="201"/>
      <c r="AE15" s="201"/>
      <c r="AF15" s="201"/>
      <c r="AG15" s="201"/>
      <c r="AH15" s="201"/>
      <c r="AI15" s="204"/>
    </row>
    <row r="16" spans="2:37" ht="13.8" thickBot="1">
      <c r="B16" s="9">
        <v>1</v>
      </c>
      <c r="C16" s="190" t="s">
        <v>999</v>
      </c>
      <c r="D16" s="190"/>
      <c r="E16" s="190"/>
      <c r="F16" s="190"/>
      <c r="G16" s="190"/>
      <c r="H16" s="190"/>
      <c r="I16" s="190"/>
      <c r="J16" s="190"/>
      <c r="K16" s="190"/>
      <c r="L16" s="190" t="s">
        <v>1001</v>
      </c>
      <c r="M16" s="190"/>
      <c r="N16" s="190"/>
      <c r="O16" s="190"/>
      <c r="P16" s="190"/>
      <c r="Q16" s="190"/>
      <c r="R16" s="190"/>
      <c r="S16" s="190"/>
      <c r="T16" s="190"/>
      <c r="U16" s="190"/>
      <c r="V16" s="190" t="s">
        <v>1003</v>
      </c>
      <c r="W16" s="190"/>
      <c r="X16" s="190"/>
      <c r="Y16" s="190" t="s">
        <v>1003</v>
      </c>
      <c r="Z16" s="190"/>
      <c r="AA16" s="190"/>
      <c r="AB16" s="190"/>
      <c r="AC16" s="190"/>
      <c r="AD16" s="190"/>
      <c r="AE16" s="190"/>
      <c r="AF16" s="190"/>
      <c r="AG16" s="190"/>
      <c r="AH16" s="190"/>
      <c r="AI16" s="198"/>
    </row>
    <row r="17" spans="2:35">
      <c r="B17" s="8"/>
    </row>
    <row r="18" spans="2:35">
      <c r="B18" s="8"/>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1">
    <mergeCell ref="C25:L25"/>
    <mergeCell ref="M25:T25"/>
    <mergeCell ref="U25:AC25"/>
    <mergeCell ref="AD25:AI25"/>
    <mergeCell ref="C21:L21"/>
    <mergeCell ref="M21:T21"/>
    <mergeCell ref="U21:AC21"/>
    <mergeCell ref="AD21:AI21"/>
    <mergeCell ref="C24:L24"/>
    <mergeCell ref="M24:T24"/>
    <mergeCell ref="U24:AC24"/>
    <mergeCell ref="AD24:AI24"/>
    <mergeCell ref="AE8:AK8"/>
    <mergeCell ref="AE9:AK9"/>
    <mergeCell ref="AE10:AK10"/>
    <mergeCell ref="AE11:AK11"/>
    <mergeCell ref="C20:L20"/>
    <mergeCell ref="M20:T20"/>
    <mergeCell ref="U20:AC20"/>
    <mergeCell ref="AD20:AI20"/>
    <mergeCell ref="AA8:AB8"/>
    <mergeCell ref="AA9:AB9"/>
    <mergeCell ref="AA10:AB10"/>
    <mergeCell ref="AA11:AB11"/>
    <mergeCell ref="AC8:AD8"/>
    <mergeCell ref="AC9:AD9"/>
    <mergeCell ref="AC10:AD10"/>
    <mergeCell ref="AC11:AD11"/>
    <mergeCell ref="I10:P10"/>
    <mergeCell ref="I11:P11"/>
    <mergeCell ref="C9:H9"/>
    <mergeCell ref="Q8:X8"/>
    <mergeCell ref="Q9:X9"/>
    <mergeCell ref="Q10:X10"/>
    <mergeCell ref="Q11:X11"/>
    <mergeCell ref="I2:O2"/>
    <mergeCell ref="I3:O3"/>
    <mergeCell ref="I4:O4"/>
    <mergeCell ref="C15:K15"/>
    <mergeCell ref="C16:K16"/>
    <mergeCell ref="L15:U15"/>
    <mergeCell ref="L16:U16"/>
    <mergeCell ref="B2:E4"/>
    <mergeCell ref="F2:H2"/>
    <mergeCell ref="F3:H3"/>
    <mergeCell ref="F4:H4"/>
    <mergeCell ref="C8:H8"/>
    <mergeCell ref="C10:H10"/>
    <mergeCell ref="C11:H11"/>
    <mergeCell ref="I8:P8"/>
    <mergeCell ref="I9:P9"/>
    <mergeCell ref="V16:X16"/>
    <mergeCell ref="Y15:AA15"/>
    <mergeCell ref="Y16:AA16"/>
    <mergeCell ref="AB15:AI15"/>
    <mergeCell ref="AB16:AI16"/>
    <mergeCell ref="Y8:Z8"/>
    <mergeCell ref="Y9:Z9"/>
    <mergeCell ref="Y10:Z10"/>
    <mergeCell ref="Y11:Z11"/>
    <mergeCell ref="V15:X15"/>
  </mergeCells>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54B61-B70D-4B6F-8512-85F1C0D0F276}">
  <sheetPr codeName="Sheet9"/>
  <dimension ref="B1:AK25"/>
  <sheetViews>
    <sheetView workbookViewId="0">
      <selection activeCell="Q19" sqref="Q19"/>
    </sheetView>
  </sheetViews>
  <sheetFormatPr defaultColWidth="3.6640625" defaultRowHeight="13.2"/>
  <sheetData>
    <row r="1" spans="2:37" ht="13.8" thickBot="1"/>
    <row r="2" spans="2:37">
      <c r="B2" s="205" t="s">
        <v>95</v>
      </c>
      <c r="C2" s="206"/>
      <c r="D2" s="206"/>
      <c r="E2" s="206"/>
      <c r="F2" s="211" t="s">
        <v>93</v>
      </c>
      <c r="G2" s="211"/>
      <c r="H2" s="212"/>
      <c r="I2" s="196" t="s">
        <v>169</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21</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164</v>
      </c>
      <c r="D9" s="189"/>
      <c r="E9" s="189"/>
      <c r="F9" s="189"/>
      <c r="G9" s="189"/>
      <c r="H9" s="189"/>
      <c r="I9" s="189" t="s">
        <v>1344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165</v>
      </c>
      <c r="D10" s="189"/>
      <c r="E10" s="189"/>
      <c r="F10" s="189"/>
      <c r="G10" s="189"/>
      <c r="H10" s="189"/>
      <c r="I10" s="189" t="s">
        <v>167</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166</v>
      </c>
      <c r="D11" s="190"/>
      <c r="E11" s="190"/>
      <c r="F11" s="190"/>
      <c r="G11" s="190"/>
      <c r="H11" s="190"/>
      <c r="I11" s="190" t="s">
        <v>168</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6" t="s">
        <v>7</v>
      </c>
      <c r="C15" s="201" t="s">
        <v>998</v>
      </c>
      <c r="D15" s="201"/>
      <c r="E15" s="201"/>
      <c r="F15" s="201"/>
      <c r="G15" s="201"/>
      <c r="H15" s="201"/>
      <c r="I15" s="201"/>
      <c r="J15" s="201"/>
      <c r="K15" s="201"/>
      <c r="L15" s="201" t="s">
        <v>1000</v>
      </c>
      <c r="M15" s="201"/>
      <c r="N15" s="201"/>
      <c r="O15" s="201"/>
      <c r="P15" s="201"/>
      <c r="Q15" s="201"/>
      <c r="R15" s="201"/>
      <c r="S15" s="201"/>
      <c r="T15" s="201"/>
      <c r="U15" s="201"/>
      <c r="V15" s="201" t="s">
        <v>1002</v>
      </c>
      <c r="W15" s="201"/>
      <c r="X15" s="201"/>
      <c r="Y15" s="201" t="s">
        <v>1004</v>
      </c>
      <c r="Z15" s="201"/>
      <c r="AA15" s="201"/>
      <c r="AB15" s="201" t="s">
        <v>1005</v>
      </c>
      <c r="AC15" s="201"/>
      <c r="AD15" s="201"/>
      <c r="AE15" s="201"/>
      <c r="AF15" s="201"/>
      <c r="AG15" s="201"/>
      <c r="AH15" s="201"/>
      <c r="AI15" s="204"/>
    </row>
    <row r="16" spans="2:37" ht="13.8" thickBot="1">
      <c r="B16" s="9">
        <v>1</v>
      </c>
      <c r="C16" s="190" t="s">
        <v>1006</v>
      </c>
      <c r="D16" s="190"/>
      <c r="E16" s="190"/>
      <c r="F16" s="190"/>
      <c r="G16" s="190"/>
      <c r="H16" s="190"/>
      <c r="I16" s="190"/>
      <c r="J16" s="190"/>
      <c r="K16" s="190"/>
      <c r="L16" s="190" t="s">
        <v>1345</v>
      </c>
      <c r="M16" s="190"/>
      <c r="N16" s="190"/>
      <c r="O16" s="190"/>
      <c r="P16" s="190"/>
      <c r="Q16" s="190"/>
      <c r="R16" s="190"/>
      <c r="S16" s="190"/>
      <c r="T16" s="190"/>
      <c r="U16" s="190"/>
      <c r="V16" s="190" t="s">
        <v>1003</v>
      </c>
      <c r="W16" s="190"/>
      <c r="X16" s="190"/>
      <c r="Y16" s="190" t="s">
        <v>1003</v>
      </c>
      <c r="Z16" s="190"/>
      <c r="AA16" s="190"/>
      <c r="AB16" s="190"/>
      <c r="AC16" s="190"/>
      <c r="AD16" s="190"/>
      <c r="AE16" s="190"/>
      <c r="AF16" s="190"/>
      <c r="AG16" s="190"/>
      <c r="AH16" s="190"/>
      <c r="AI16" s="198"/>
    </row>
    <row r="17" spans="2:35">
      <c r="B17" s="8"/>
    </row>
    <row r="18" spans="2:35">
      <c r="B18" s="8"/>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1">
    <mergeCell ref="C25:L25"/>
    <mergeCell ref="M25:T25"/>
    <mergeCell ref="U25:AC25"/>
    <mergeCell ref="AD25:AI25"/>
    <mergeCell ref="C21:L21"/>
    <mergeCell ref="M21:T21"/>
    <mergeCell ref="U21:AC21"/>
    <mergeCell ref="AD21:AI21"/>
    <mergeCell ref="C24:L24"/>
    <mergeCell ref="M24:T24"/>
    <mergeCell ref="U24:AC24"/>
    <mergeCell ref="AD24:AI24"/>
    <mergeCell ref="C20:L20"/>
    <mergeCell ref="M20:T20"/>
    <mergeCell ref="U20:AC20"/>
    <mergeCell ref="AD20:AI20"/>
    <mergeCell ref="C10:H10"/>
    <mergeCell ref="AA11:AB11"/>
    <mergeCell ref="V15:X15"/>
    <mergeCell ref="Y15:AA15"/>
    <mergeCell ref="AB15:AI15"/>
    <mergeCell ref="C16:K16"/>
    <mergeCell ref="L16:U16"/>
    <mergeCell ref="V16:X16"/>
    <mergeCell ref="Y16:AA16"/>
    <mergeCell ref="AB16:AI16"/>
    <mergeCell ref="Y10:Z10"/>
    <mergeCell ref="Y11:Z11"/>
    <mergeCell ref="AC10:AD10"/>
    <mergeCell ref="B2:E4"/>
    <mergeCell ref="F2:H2"/>
    <mergeCell ref="F3:H3"/>
    <mergeCell ref="F4:H4"/>
    <mergeCell ref="C8:H8"/>
    <mergeCell ref="C15:K15"/>
    <mergeCell ref="L15:U15"/>
    <mergeCell ref="Q8:X8"/>
    <mergeCell ref="C11:H11"/>
    <mergeCell ref="I10:P10"/>
    <mergeCell ref="I11:P11"/>
    <mergeCell ref="Q10:X10"/>
    <mergeCell ref="Q11:X11"/>
    <mergeCell ref="C9:H9"/>
    <mergeCell ref="I8:P8"/>
    <mergeCell ref="I9:P9"/>
    <mergeCell ref="AC11:AD11"/>
    <mergeCell ref="AC8:AD8"/>
    <mergeCell ref="AE10:AK10"/>
    <mergeCell ref="AE11:AK11"/>
    <mergeCell ref="I2:M2"/>
    <mergeCell ref="I3:M3"/>
    <mergeCell ref="I4:M4"/>
    <mergeCell ref="AA9:AB9"/>
    <mergeCell ref="Q9:X9"/>
    <mergeCell ref="AA8:AB8"/>
    <mergeCell ref="Y8:Z8"/>
    <mergeCell ref="Y9:Z9"/>
    <mergeCell ref="AA10:AB10"/>
    <mergeCell ref="AE8:AK8"/>
    <mergeCell ref="AE9:AK9"/>
    <mergeCell ref="AC9:AD9"/>
  </mergeCells>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41872-3B63-45C2-8075-78A2641FE920}">
  <sheetPr codeName="Sheet10"/>
  <dimension ref="B1:AK24"/>
  <sheetViews>
    <sheetView workbookViewId="0"/>
  </sheetViews>
  <sheetFormatPr defaultColWidth="3.6640625" defaultRowHeight="13.2"/>
  <sheetData>
    <row r="1" spans="2:37" ht="13.8" thickBot="1"/>
    <row r="2" spans="2:37">
      <c r="B2" s="205" t="s">
        <v>95</v>
      </c>
      <c r="C2" s="206"/>
      <c r="D2" s="206"/>
      <c r="E2" s="206"/>
      <c r="F2" s="211" t="s">
        <v>93</v>
      </c>
      <c r="G2" s="211"/>
      <c r="H2" s="212"/>
      <c r="I2" s="196" t="s">
        <v>173</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172</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174</v>
      </c>
      <c r="D9" s="189"/>
      <c r="E9" s="189"/>
      <c r="F9" s="189"/>
      <c r="G9" s="189"/>
      <c r="H9" s="189"/>
      <c r="I9" s="189" t="s">
        <v>176</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175</v>
      </c>
      <c r="D10" s="190"/>
      <c r="E10" s="190"/>
      <c r="F10" s="190"/>
      <c r="G10" s="190"/>
      <c r="H10" s="190"/>
      <c r="I10" s="190" t="s">
        <v>177</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6" t="s">
        <v>7</v>
      </c>
      <c r="C14" s="201" t="s">
        <v>998</v>
      </c>
      <c r="D14" s="201"/>
      <c r="E14" s="201"/>
      <c r="F14" s="201"/>
      <c r="G14" s="201"/>
      <c r="H14" s="201"/>
      <c r="I14" s="201"/>
      <c r="J14" s="201"/>
      <c r="K14" s="201"/>
      <c r="L14" s="201" t="s">
        <v>1000</v>
      </c>
      <c r="M14" s="201"/>
      <c r="N14" s="201"/>
      <c r="O14" s="201"/>
      <c r="P14" s="201"/>
      <c r="Q14" s="201"/>
      <c r="R14" s="201"/>
      <c r="S14" s="201"/>
      <c r="T14" s="201"/>
      <c r="U14" s="201"/>
      <c r="V14" s="201" t="s">
        <v>1002</v>
      </c>
      <c r="W14" s="201"/>
      <c r="X14" s="201"/>
      <c r="Y14" s="201" t="s">
        <v>1004</v>
      </c>
      <c r="Z14" s="201"/>
      <c r="AA14" s="201"/>
      <c r="AB14" s="201" t="s">
        <v>1005</v>
      </c>
      <c r="AC14" s="201"/>
      <c r="AD14" s="201"/>
      <c r="AE14" s="201"/>
      <c r="AF14" s="201"/>
      <c r="AG14" s="201"/>
      <c r="AH14" s="201"/>
      <c r="AI14" s="204"/>
    </row>
    <row r="15" spans="2:37" ht="13.8" thickBot="1">
      <c r="B15" s="9">
        <v>1</v>
      </c>
      <c r="C15" s="190" t="s">
        <v>1007</v>
      </c>
      <c r="D15" s="190"/>
      <c r="E15" s="190"/>
      <c r="F15" s="190"/>
      <c r="G15" s="190"/>
      <c r="H15" s="190"/>
      <c r="I15" s="190"/>
      <c r="J15" s="190"/>
      <c r="K15" s="190"/>
      <c r="L15" s="190" t="s">
        <v>1008</v>
      </c>
      <c r="M15" s="190"/>
      <c r="N15" s="190"/>
      <c r="O15" s="190"/>
      <c r="P15" s="190"/>
      <c r="Q15" s="190"/>
      <c r="R15" s="190"/>
      <c r="S15" s="190"/>
      <c r="T15" s="190"/>
      <c r="U15" s="190"/>
      <c r="V15" s="190" t="s">
        <v>1003</v>
      </c>
      <c r="W15" s="190"/>
      <c r="X15" s="190"/>
      <c r="Y15" s="190" t="s">
        <v>1003</v>
      </c>
      <c r="Z15" s="190"/>
      <c r="AA15" s="190"/>
      <c r="AB15" s="190"/>
      <c r="AC15" s="190"/>
      <c r="AD15" s="190"/>
      <c r="AE15" s="190"/>
      <c r="AF15" s="190"/>
      <c r="AG15" s="190"/>
      <c r="AH15" s="190"/>
      <c r="AI15" s="198"/>
    </row>
    <row r="16" spans="2:37">
      <c r="B16" s="8"/>
    </row>
    <row r="17" spans="2:35">
      <c r="B17" s="8"/>
    </row>
    <row r="18" spans="2:35" ht="15" thickBot="1">
      <c r="B18" s="7" t="s">
        <v>995</v>
      </c>
    </row>
    <row r="19" spans="2:35">
      <c r="B19" s="14" t="s">
        <v>1069</v>
      </c>
      <c r="C19" s="226" t="s">
        <v>1070</v>
      </c>
      <c r="D19" s="226"/>
      <c r="E19" s="226"/>
      <c r="F19" s="226"/>
      <c r="G19" s="226"/>
      <c r="H19" s="226"/>
      <c r="I19" s="226"/>
      <c r="J19" s="226"/>
      <c r="K19" s="226"/>
      <c r="L19" s="226"/>
      <c r="M19" s="226" t="s">
        <v>1072</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4"/>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54">
    <mergeCell ref="C24:L24"/>
    <mergeCell ref="M24:T24"/>
    <mergeCell ref="U24:AC24"/>
    <mergeCell ref="AD24:AI24"/>
    <mergeCell ref="C20:L20"/>
    <mergeCell ref="M20:T20"/>
    <mergeCell ref="U20:AC20"/>
    <mergeCell ref="AD20:AI20"/>
    <mergeCell ref="C23:L23"/>
    <mergeCell ref="M23:T23"/>
    <mergeCell ref="U23:AC23"/>
    <mergeCell ref="AD23:AI23"/>
    <mergeCell ref="I10:P10"/>
    <mergeCell ref="Q9:X9"/>
    <mergeCell ref="Q10:X10"/>
    <mergeCell ref="C19:L19"/>
    <mergeCell ref="M19:T19"/>
    <mergeCell ref="U19:AC19"/>
    <mergeCell ref="C15:K15"/>
    <mergeCell ref="L15:U15"/>
    <mergeCell ref="V15:X15"/>
    <mergeCell ref="Y15:AA15"/>
    <mergeCell ref="AB15:AI15"/>
    <mergeCell ref="AD19:AI19"/>
    <mergeCell ref="I8:P8"/>
    <mergeCell ref="I2:M2"/>
    <mergeCell ref="I3:M3"/>
    <mergeCell ref="I4:M4"/>
    <mergeCell ref="C14:K14"/>
    <mergeCell ref="L14:U14"/>
    <mergeCell ref="B2:E4"/>
    <mergeCell ref="F2:H2"/>
    <mergeCell ref="F3:H3"/>
    <mergeCell ref="F4:H4"/>
    <mergeCell ref="C8:H8"/>
    <mergeCell ref="Q8:X8"/>
    <mergeCell ref="V14:X14"/>
    <mergeCell ref="C9:H9"/>
    <mergeCell ref="C10:H10"/>
    <mergeCell ref="I9:P9"/>
    <mergeCell ref="Y8:Z8"/>
    <mergeCell ref="Y9:Z9"/>
    <mergeCell ref="Y10:Z10"/>
    <mergeCell ref="Y14:AA14"/>
    <mergeCell ref="AB14:AI14"/>
    <mergeCell ref="AA8:AB8"/>
    <mergeCell ref="AC8:AD8"/>
    <mergeCell ref="AE8:AK8"/>
    <mergeCell ref="AA9:AB9"/>
    <mergeCell ref="AC9:AD9"/>
    <mergeCell ref="AA10:AB10"/>
    <mergeCell ref="AC10:AD10"/>
    <mergeCell ref="AE9:AK9"/>
    <mergeCell ref="AE10:AK10"/>
  </mergeCells>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6D739-35BE-487E-8B38-4988538D7850}">
  <sheetPr codeName="Sheet11"/>
  <dimension ref="B1:AK26"/>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180</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22</v>
      </c>
      <c r="J4" s="190"/>
      <c r="K4" s="190"/>
      <c r="L4" s="190"/>
      <c r="M4" s="190"/>
      <c r="N4" s="198"/>
    </row>
    <row r="5" spans="2:37">
      <c r="B5" s="2"/>
      <c r="C5" s="2"/>
      <c r="D5" s="2"/>
      <c r="E5" s="2"/>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181</v>
      </c>
      <c r="D9" s="189"/>
      <c r="E9" s="189"/>
      <c r="F9" s="189"/>
      <c r="G9" s="189"/>
      <c r="H9" s="189"/>
      <c r="I9" s="189" t="s">
        <v>183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182</v>
      </c>
      <c r="D10" s="189"/>
      <c r="E10" s="189"/>
      <c r="F10" s="189"/>
      <c r="G10" s="189"/>
      <c r="H10" s="189"/>
      <c r="I10" s="189" t="s">
        <v>184</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ht="13.8" thickBot="1">
      <c r="B11" s="4">
        <v>3</v>
      </c>
      <c r="C11" s="190" t="s">
        <v>174</v>
      </c>
      <c r="D11" s="190"/>
      <c r="E11" s="190"/>
      <c r="F11" s="190"/>
      <c r="G11" s="190"/>
      <c r="H11" s="190"/>
      <c r="I11" s="190" t="s">
        <v>176</v>
      </c>
      <c r="J11" s="190"/>
      <c r="K11" s="190"/>
      <c r="L11" s="190"/>
      <c r="M11" s="190"/>
      <c r="N11" s="190"/>
      <c r="O11" s="190"/>
      <c r="P11" s="190"/>
      <c r="Q11" s="190" t="s">
        <v>146</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6" t="s">
        <v>7</v>
      </c>
      <c r="C15" s="201" t="s">
        <v>998</v>
      </c>
      <c r="D15" s="201"/>
      <c r="E15" s="201"/>
      <c r="F15" s="201"/>
      <c r="G15" s="201"/>
      <c r="H15" s="201"/>
      <c r="I15" s="201"/>
      <c r="J15" s="201"/>
      <c r="K15" s="201"/>
      <c r="L15" s="201" t="s">
        <v>1000</v>
      </c>
      <c r="M15" s="201"/>
      <c r="N15" s="201"/>
      <c r="O15" s="201"/>
      <c r="P15" s="201"/>
      <c r="Q15" s="201"/>
      <c r="R15" s="201"/>
      <c r="S15" s="201"/>
      <c r="T15" s="201"/>
      <c r="U15" s="201"/>
      <c r="V15" s="201" t="s">
        <v>1002</v>
      </c>
      <c r="W15" s="201"/>
      <c r="X15" s="201"/>
      <c r="Y15" s="201" t="s">
        <v>1004</v>
      </c>
      <c r="Z15" s="201"/>
      <c r="AA15" s="201"/>
      <c r="AB15" s="201" t="s">
        <v>1005</v>
      </c>
      <c r="AC15" s="201"/>
      <c r="AD15" s="201"/>
      <c r="AE15" s="201"/>
      <c r="AF15" s="201"/>
      <c r="AG15" s="201"/>
      <c r="AH15" s="201"/>
      <c r="AI15" s="204"/>
    </row>
    <row r="16" spans="2:37">
      <c r="B16" s="228">
        <v>1</v>
      </c>
      <c r="C16" s="230" t="s">
        <v>1009</v>
      </c>
      <c r="D16" s="230"/>
      <c r="E16" s="230"/>
      <c r="F16" s="230"/>
      <c r="G16" s="230"/>
      <c r="H16" s="230"/>
      <c r="I16" s="230"/>
      <c r="J16" s="230"/>
      <c r="K16" s="230"/>
      <c r="L16" s="232" t="s">
        <v>1010</v>
      </c>
      <c r="M16" s="232"/>
      <c r="N16" s="232"/>
      <c r="O16" s="232"/>
      <c r="P16" s="232"/>
      <c r="Q16" s="232"/>
      <c r="R16" s="232"/>
      <c r="S16" s="232"/>
      <c r="T16" s="232"/>
      <c r="U16" s="232"/>
      <c r="V16" s="230" t="s">
        <v>1003</v>
      </c>
      <c r="W16" s="230"/>
      <c r="X16" s="230"/>
      <c r="Y16" s="230" t="s">
        <v>1003</v>
      </c>
      <c r="Z16" s="230"/>
      <c r="AA16" s="230"/>
      <c r="AB16" s="230"/>
      <c r="AC16" s="230"/>
      <c r="AD16" s="230"/>
      <c r="AE16" s="230"/>
      <c r="AF16" s="230"/>
      <c r="AG16" s="230"/>
      <c r="AH16" s="230"/>
      <c r="AI16" s="233"/>
    </row>
    <row r="17" spans="2:35" ht="13.8" thickBot="1">
      <c r="B17" s="229"/>
      <c r="C17" s="231"/>
      <c r="D17" s="231"/>
      <c r="E17" s="231"/>
      <c r="F17" s="231"/>
      <c r="G17" s="231"/>
      <c r="H17" s="231"/>
      <c r="I17" s="231"/>
      <c r="J17" s="231"/>
      <c r="K17" s="231"/>
      <c r="L17" s="224" t="s">
        <v>1011</v>
      </c>
      <c r="M17" s="224"/>
      <c r="N17" s="224"/>
      <c r="O17" s="224"/>
      <c r="P17" s="224"/>
      <c r="Q17" s="224"/>
      <c r="R17" s="224"/>
      <c r="S17" s="224"/>
      <c r="T17" s="224"/>
      <c r="U17" s="224"/>
      <c r="V17" s="231"/>
      <c r="W17" s="231"/>
      <c r="X17" s="231"/>
      <c r="Y17" s="231"/>
      <c r="Z17" s="231"/>
      <c r="AA17" s="231"/>
      <c r="AB17" s="231"/>
      <c r="AC17" s="231"/>
      <c r="AD17" s="231"/>
      <c r="AE17" s="231"/>
      <c r="AF17" s="231"/>
      <c r="AG17" s="231"/>
      <c r="AH17" s="231"/>
      <c r="AI17" s="234"/>
    </row>
    <row r="18" spans="2:35">
      <c r="B18" s="8"/>
    </row>
    <row r="19" spans="2:35">
      <c r="B19" s="8"/>
    </row>
    <row r="20" spans="2:35" ht="15" thickBot="1">
      <c r="B20" s="7" t="s">
        <v>995</v>
      </c>
    </row>
    <row r="21" spans="2:35">
      <c r="B21" s="14" t="s">
        <v>1069</v>
      </c>
      <c r="C21" s="226" t="s">
        <v>1070</v>
      </c>
      <c r="D21" s="226"/>
      <c r="E21" s="226"/>
      <c r="F21" s="226"/>
      <c r="G21" s="226"/>
      <c r="H21" s="226"/>
      <c r="I21" s="226"/>
      <c r="J21" s="226"/>
      <c r="K21" s="226"/>
      <c r="L21" s="226"/>
      <c r="M21" s="226" t="s">
        <v>1072</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4"/>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63">
    <mergeCell ref="C26:L26"/>
    <mergeCell ref="M26:T26"/>
    <mergeCell ref="U26:AC26"/>
    <mergeCell ref="AD26:AI26"/>
    <mergeCell ref="C22:L22"/>
    <mergeCell ref="M22:T22"/>
    <mergeCell ref="U22:AC22"/>
    <mergeCell ref="AD22:AI22"/>
    <mergeCell ref="C25:L25"/>
    <mergeCell ref="M25:T25"/>
    <mergeCell ref="U25:AC25"/>
    <mergeCell ref="AD25:AI25"/>
    <mergeCell ref="C21:L21"/>
    <mergeCell ref="M21:T21"/>
    <mergeCell ref="U21:AC21"/>
    <mergeCell ref="I11:P11"/>
    <mergeCell ref="Q11:X11"/>
    <mergeCell ref="AA11:AB11"/>
    <mergeCell ref="AC11:AD11"/>
    <mergeCell ref="AB15:AI15"/>
    <mergeCell ref="L16:U16"/>
    <mergeCell ref="AB16:AI17"/>
    <mergeCell ref="AD21:AI21"/>
    <mergeCell ref="AE10:AK10"/>
    <mergeCell ref="AE11:AK11"/>
    <mergeCell ref="AA10:AB10"/>
    <mergeCell ref="AC10:AD10"/>
    <mergeCell ref="AC8:AD8"/>
    <mergeCell ref="AE8:AK8"/>
    <mergeCell ref="AA9:AB9"/>
    <mergeCell ref="AC9:AD9"/>
    <mergeCell ref="AE9:AK9"/>
    <mergeCell ref="I8:P8"/>
    <mergeCell ref="I2:N2"/>
    <mergeCell ref="I3:N3"/>
    <mergeCell ref="I4:N4"/>
    <mergeCell ref="C15:K15"/>
    <mergeCell ref="L15:U15"/>
    <mergeCell ref="B2:E4"/>
    <mergeCell ref="F2:H2"/>
    <mergeCell ref="F3:H3"/>
    <mergeCell ref="F4:H4"/>
    <mergeCell ref="C8:H8"/>
    <mergeCell ref="Q8:X8"/>
    <mergeCell ref="C9:H9"/>
    <mergeCell ref="Q9:X9"/>
    <mergeCell ref="Q10:X10"/>
    <mergeCell ref="Y8:Z8"/>
    <mergeCell ref="Y9:Z9"/>
    <mergeCell ref="Y10:Z10"/>
    <mergeCell ref="Y11:Z11"/>
    <mergeCell ref="B16:B17"/>
    <mergeCell ref="C16:K17"/>
    <mergeCell ref="L17:U17"/>
    <mergeCell ref="V16:X17"/>
    <mergeCell ref="Y16:AA17"/>
    <mergeCell ref="V15:X15"/>
    <mergeCell ref="Y15:AA15"/>
    <mergeCell ref="C10:H10"/>
    <mergeCell ref="C11:H11"/>
    <mergeCell ref="I9:P9"/>
    <mergeCell ref="AA8:AB8"/>
    <mergeCell ref="I10:P10"/>
  </mergeCells>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97ECE-B64A-4141-994B-3415672A0B93}">
  <sheetPr codeName="Sheet12"/>
  <dimension ref="B1:AK25"/>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188</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187</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190</v>
      </c>
      <c r="D9" s="189"/>
      <c r="E9" s="189"/>
      <c r="F9" s="189"/>
      <c r="G9" s="189"/>
      <c r="H9" s="189"/>
      <c r="I9" s="189" t="s">
        <v>193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191</v>
      </c>
      <c r="D10" s="189"/>
      <c r="E10" s="189"/>
      <c r="F10" s="189"/>
      <c r="G10" s="189"/>
      <c r="H10" s="189"/>
      <c r="I10" s="189" t="s">
        <v>194</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192</v>
      </c>
      <c r="D11" s="190"/>
      <c r="E11" s="190"/>
      <c r="F11" s="190"/>
      <c r="G11" s="190"/>
      <c r="H11" s="190"/>
      <c r="I11" s="190" t="s">
        <v>195</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6" t="s">
        <v>7</v>
      </c>
      <c r="C15" s="201" t="s">
        <v>998</v>
      </c>
      <c r="D15" s="201"/>
      <c r="E15" s="201"/>
      <c r="F15" s="201"/>
      <c r="G15" s="201"/>
      <c r="H15" s="201"/>
      <c r="I15" s="201"/>
      <c r="J15" s="201"/>
      <c r="K15" s="201"/>
      <c r="L15" s="201" t="s">
        <v>1000</v>
      </c>
      <c r="M15" s="201"/>
      <c r="N15" s="201"/>
      <c r="O15" s="201"/>
      <c r="P15" s="201"/>
      <c r="Q15" s="201"/>
      <c r="R15" s="201"/>
      <c r="S15" s="201"/>
      <c r="T15" s="201"/>
      <c r="U15" s="201"/>
      <c r="V15" s="201" t="s">
        <v>1002</v>
      </c>
      <c r="W15" s="201"/>
      <c r="X15" s="201"/>
      <c r="Y15" s="201" t="s">
        <v>1004</v>
      </c>
      <c r="Z15" s="201"/>
      <c r="AA15" s="201"/>
      <c r="AB15" s="201" t="s">
        <v>1005</v>
      </c>
      <c r="AC15" s="201"/>
      <c r="AD15" s="201"/>
      <c r="AE15" s="201"/>
      <c r="AF15" s="201"/>
      <c r="AG15" s="201"/>
      <c r="AH15" s="201"/>
      <c r="AI15" s="204"/>
    </row>
    <row r="16" spans="2:37" ht="13.8" thickBot="1">
      <c r="B16" s="9">
        <v>1</v>
      </c>
      <c r="C16" s="190" t="s">
        <v>1012</v>
      </c>
      <c r="D16" s="190"/>
      <c r="E16" s="190"/>
      <c r="F16" s="190"/>
      <c r="G16" s="190"/>
      <c r="H16" s="190"/>
      <c r="I16" s="190"/>
      <c r="J16" s="190"/>
      <c r="K16" s="190"/>
      <c r="L16" s="190" t="s">
        <v>1013</v>
      </c>
      <c r="M16" s="190"/>
      <c r="N16" s="190"/>
      <c r="O16" s="190"/>
      <c r="P16" s="190"/>
      <c r="Q16" s="190"/>
      <c r="R16" s="190"/>
      <c r="S16" s="190"/>
      <c r="T16" s="190"/>
      <c r="U16" s="190"/>
      <c r="V16" s="190" t="s">
        <v>1003</v>
      </c>
      <c r="W16" s="190"/>
      <c r="X16" s="190"/>
      <c r="Y16" s="190" t="s">
        <v>1003</v>
      </c>
      <c r="Z16" s="190"/>
      <c r="AA16" s="190"/>
      <c r="AB16" s="190"/>
      <c r="AC16" s="190"/>
      <c r="AD16" s="190"/>
      <c r="AE16" s="190"/>
      <c r="AF16" s="190"/>
      <c r="AG16" s="190"/>
      <c r="AH16" s="190"/>
      <c r="AI16" s="198"/>
    </row>
    <row r="17" spans="2:35">
      <c r="B17" s="8"/>
    </row>
    <row r="18" spans="2:35">
      <c r="B18" s="8"/>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1">
    <mergeCell ref="C25:L25"/>
    <mergeCell ref="M25:T25"/>
    <mergeCell ref="U25:AC25"/>
    <mergeCell ref="AD25:AI25"/>
    <mergeCell ref="C21:L21"/>
    <mergeCell ref="M21:T21"/>
    <mergeCell ref="U21:AC21"/>
    <mergeCell ref="AD21:AI21"/>
    <mergeCell ref="C24:L24"/>
    <mergeCell ref="M24:T24"/>
    <mergeCell ref="U24:AC24"/>
    <mergeCell ref="AD24:AI24"/>
    <mergeCell ref="AD20:AI20"/>
    <mergeCell ref="AE9:AK9"/>
    <mergeCell ref="AE10:AK10"/>
    <mergeCell ref="V16:X16"/>
    <mergeCell ref="Y16:AA16"/>
    <mergeCell ref="AB16:AI16"/>
    <mergeCell ref="AA10:AB10"/>
    <mergeCell ref="Y10:Z10"/>
    <mergeCell ref="AA11:AB11"/>
    <mergeCell ref="Y11:Z11"/>
    <mergeCell ref="V15:X15"/>
    <mergeCell ref="Y15:AA15"/>
    <mergeCell ref="Q11:X11"/>
    <mergeCell ref="AB15:AI15"/>
    <mergeCell ref="Q10:X10"/>
    <mergeCell ref="C20:L20"/>
    <mergeCell ref="M20:T20"/>
    <mergeCell ref="C16:K16"/>
    <mergeCell ref="L16:U16"/>
    <mergeCell ref="U20:AC20"/>
    <mergeCell ref="C15:K15"/>
    <mergeCell ref="L15:U15"/>
    <mergeCell ref="B2:E4"/>
    <mergeCell ref="F2:H2"/>
    <mergeCell ref="F3:H3"/>
    <mergeCell ref="F4:H4"/>
    <mergeCell ref="C8:H8"/>
    <mergeCell ref="Q8:X8"/>
    <mergeCell ref="Q9:X9"/>
    <mergeCell ref="C9:H9"/>
    <mergeCell ref="C10:H10"/>
    <mergeCell ref="C11:H11"/>
    <mergeCell ref="I9:P9"/>
    <mergeCell ref="I10:P10"/>
    <mergeCell ref="I11:P11"/>
    <mergeCell ref="I8:P8"/>
    <mergeCell ref="AC8:AD8"/>
    <mergeCell ref="AE8:AK8"/>
    <mergeCell ref="AA9:AB9"/>
    <mergeCell ref="AE11:AK11"/>
    <mergeCell ref="AC10:AD10"/>
    <mergeCell ref="AC11:AD11"/>
    <mergeCell ref="AC9:AD9"/>
    <mergeCell ref="AA8:AB8"/>
    <mergeCell ref="Y8:Z8"/>
    <mergeCell ref="Y9:Z9"/>
    <mergeCell ref="I2:N2"/>
    <mergeCell ref="I3:N3"/>
    <mergeCell ref="I4:N4"/>
  </mergeCells>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FB23E-FFD3-4D12-9166-A844E7C3D50F}">
  <sheetPr codeName="Sheet13"/>
  <dimension ref="B1:AK34"/>
  <sheetViews>
    <sheetView workbookViewId="0">
      <selection activeCell="I8" sqref="I8:P8"/>
    </sheetView>
  </sheetViews>
  <sheetFormatPr defaultColWidth="3.6640625" defaultRowHeight="13.2"/>
  <sheetData>
    <row r="1" spans="2:37" ht="13.8" thickBot="1"/>
    <row r="2" spans="2:37">
      <c r="B2" s="205" t="s">
        <v>95</v>
      </c>
      <c r="C2" s="206"/>
      <c r="D2" s="206"/>
      <c r="E2" s="206"/>
      <c r="F2" s="211" t="s">
        <v>93</v>
      </c>
      <c r="G2" s="211"/>
      <c r="H2" s="212"/>
      <c r="I2" s="196" t="s">
        <v>197</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196</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199</v>
      </c>
      <c r="D9" s="189"/>
      <c r="E9" s="189"/>
      <c r="F9" s="189"/>
      <c r="G9" s="189"/>
      <c r="H9" s="189"/>
      <c r="I9" s="189" t="s">
        <v>209</v>
      </c>
      <c r="J9" s="189"/>
      <c r="K9" s="189"/>
      <c r="L9" s="189"/>
      <c r="M9" s="189"/>
      <c r="N9" s="189"/>
      <c r="O9" s="189"/>
      <c r="P9" s="189"/>
      <c r="Q9" s="189" t="s">
        <v>219</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200</v>
      </c>
      <c r="D10" s="189"/>
      <c r="E10" s="189"/>
      <c r="F10" s="189"/>
      <c r="G10" s="189"/>
      <c r="H10" s="189"/>
      <c r="I10" s="189" t="s">
        <v>210</v>
      </c>
      <c r="J10" s="189"/>
      <c r="K10" s="189"/>
      <c r="L10" s="189"/>
      <c r="M10" s="189"/>
      <c r="N10" s="189"/>
      <c r="O10" s="189"/>
      <c r="P10" s="189"/>
      <c r="Q10" s="189" t="s">
        <v>220</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201</v>
      </c>
      <c r="D11" s="189"/>
      <c r="E11" s="189"/>
      <c r="F11" s="189"/>
      <c r="G11" s="189"/>
      <c r="H11" s="189"/>
      <c r="I11" s="189" t="s">
        <v>211</v>
      </c>
      <c r="J11" s="189"/>
      <c r="K11" s="189"/>
      <c r="L11" s="189"/>
      <c r="M11" s="189"/>
      <c r="N11" s="189"/>
      <c r="O11" s="189"/>
      <c r="P11" s="189"/>
      <c r="Q11" s="189" t="s">
        <v>220</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c r="B12" s="3">
        <v>4</v>
      </c>
      <c r="C12" s="189" t="s">
        <v>202</v>
      </c>
      <c r="D12" s="189"/>
      <c r="E12" s="189"/>
      <c r="F12" s="189"/>
      <c r="G12" s="189"/>
      <c r="H12" s="189"/>
      <c r="I12" s="189" t="s">
        <v>212</v>
      </c>
      <c r="J12" s="189"/>
      <c r="K12" s="189"/>
      <c r="L12" s="189"/>
      <c r="M12" s="189"/>
      <c r="N12" s="189"/>
      <c r="O12" s="189"/>
      <c r="P12" s="189"/>
      <c r="Q12" s="189" t="s">
        <v>220</v>
      </c>
      <c r="R12" s="189"/>
      <c r="S12" s="189"/>
      <c r="T12" s="189"/>
      <c r="U12" s="189"/>
      <c r="V12" s="189"/>
      <c r="W12" s="189"/>
      <c r="X12" s="189"/>
      <c r="Y12" s="189"/>
      <c r="Z12" s="189"/>
      <c r="AA12" s="189"/>
      <c r="AB12" s="189"/>
      <c r="AC12" s="189"/>
      <c r="AD12" s="189"/>
      <c r="AE12" s="189" t="s">
        <v>223</v>
      </c>
      <c r="AF12" s="189"/>
      <c r="AG12" s="189"/>
      <c r="AH12" s="189"/>
      <c r="AI12" s="189"/>
      <c r="AJ12" s="189"/>
      <c r="AK12" s="191"/>
    </row>
    <row r="13" spans="2:37">
      <c r="B13" s="3">
        <v>5</v>
      </c>
      <c r="C13" s="189" t="s">
        <v>203</v>
      </c>
      <c r="D13" s="189"/>
      <c r="E13" s="189"/>
      <c r="F13" s="189"/>
      <c r="G13" s="189"/>
      <c r="H13" s="189"/>
      <c r="I13" s="189" t="s">
        <v>213</v>
      </c>
      <c r="J13" s="189"/>
      <c r="K13" s="189"/>
      <c r="L13" s="189"/>
      <c r="M13" s="189"/>
      <c r="N13" s="189"/>
      <c r="O13" s="189"/>
      <c r="P13" s="189"/>
      <c r="Q13" s="189" t="s">
        <v>221</v>
      </c>
      <c r="R13" s="189"/>
      <c r="S13" s="189"/>
      <c r="T13" s="189"/>
      <c r="U13" s="189"/>
      <c r="V13" s="189"/>
      <c r="W13" s="189"/>
      <c r="X13" s="189"/>
      <c r="Y13" s="189"/>
      <c r="Z13" s="189"/>
      <c r="AA13" s="189"/>
      <c r="AB13" s="189"/>
      <c r="AC13" s="189" t="s">
        <v>151</v>
      </c>
      <c r="AD13" s="189"/>
      <c r="AE13" s="189"/>
      <c r="AF13" s="189"/>
      <c r="AG13" s="189"/>
      <c r="AH13" s="189"/>
      <c r="AI13" s="189"/>
      <c r="AJ13" s="189"/>
      <c r="AK13" s="191"/>
    </row>
    <row r="14" spans="2:37">
      <c r="B14" s="3">
        <v>6</v>
      </c>
      <c r="C14" s="189" t="s">
        <v>204</v>
      </c>
      <c r="D14" s="189"/>
      <c r="E14" s="189"/>
      <c r="F14" s="189"/>
      <c r="G14" s="189"/>
      <c r="H14" s="189"/>
      <c r="I14" s="189" t="s">
        <v>214</v>
      </c>
      <c r="J14" s="189"/>
      <c r="K14" s="189"/>
      <c r="L14" s="189"/>
      <c r="M14" s="189"/>
      <c r="N14" s="189"/>
      <c r="O14" s="189"/>
      <c r="P14" s="189"/>
      <c r="Q14" s="189" t="s">
        <v>219</v>
      </c>
      <c r="R14" s="189"/>
      <c r="S14" s="189"/>
      <c r="T14" s="189"/>
      <c r="U14" s="189"/>
      <c r="V14" s="189"/>
      <c r="W14" s="189"/>
      <c r="X14" s="189"/>
      <c r="Y14" s="189"/>
      <c r="Z14" s="189"/>
      <c r="AA14" s="189"/>
      <c r="AB14" s="189"/>
      <c r="AC14" s="189" t="s">
        <v>151</v>
      </c>
      <c r="AD14" s="189"/>
      <c r="AE14" s="189">
        <v>99999</v>
      </c>
      <c r="AF14" s="189"/>
      <c r="AG14" s="189"/>
      <c r="AH14" s="189"/>
      <c r="AI14" s="189"/>
      <c r="AJ14" s="189"/>
      <c r="AK14" s="191"/>
    </row>
    <row r="15" spans="2:37">
      <c r="B15" s="3">
        <v>7</v>
      </c>
      <c r="C15" s="189" t="s">
        <v>205</v>
      </c>
      <c r="D15" s="189"/>
      <c r="E15" s="189"/>
      <c r="F15" s="189"/>
      <c r="G15" s="189"/>
      <c r="H15" s="189"/>
      <c r="I15" s="189" t="s">
        <v>215</v>
      </c>
      <c r="J15" s="189"/>
      <c r="K15" s="189"/>
      <c r="L15" s="189"/>
      <c r="M15" s="189"/>
      <c r="N15" s="189"/>
      <c r="O15" s="189"/>
      <c r="P15" s="189"/>
      <c r="Q15" s="189" t="s">
        <v>221</v>
      </c>
      <c r="R15" s="189"/>
      <c r="S15" s="189"/>
      <c r="T15" s="189"/>
      <c r="U15" s="189"/>
      <c r="V15" s="189"/>
      <c r="W15" s="189"/>
      <c r="X15" s="189"/>
      <c r="Y15" s="189"/>
      <c r="Z15" s="189"/>
      <c r="AA15" s="189"/>
      <c r="AB15" s="189"/>
      <c r="AC15" s="189" t="s">
        <v>151</v>
      </c>
      <c r="AD15" s="189"/>
      <c r="AE15" s="189"/>
      <c r="AF15" s="189"/>
      <c r="AG15" s="189"/>
      <c r="AH15" s="189"/>
      <c r="AI15" s="189"/>
      <c r="AJ15" s="189"/>
      <c r="AK15" s="191"/>
    </row>
    <row r="16" spans="2:37">
      <c r="B16" s="3">
        <v>8</v>
      </c>
      <c r="C16" s="189" t="s">
        <v>206</v>
      </c>
      <c r="D16" s="189"/>
      <c r="E16" s="189"/>
      <c r="F16" s="189"/>
      <c r="G16" s="189"/>
      <c r="H16" s="189"/>
      <c r="I16" s="189" t="s">
        <v>216</v>
      </c>
      <c r="J16" s="189"/>
      <c r="K16" s="189"/>
      <c r="L16" s="189"/>
      <c r="M16" s="189"/>
      <c r="N16" s="189"/>
      <c r="O16" s="189"/>
      <c r="P16" s="189"/>
      <c r="Q16" s="189" t="s">
        <v>219</v>
      </c>
      <c r="R16" s="189"/>
      <c r="S16" s="189"/>
      <c r="T16" s="189"/>
      <c r="U16" s="189"/>
      <c r="V16" s="189"/>
      <c r="W16" s="189"/>
      <c r="X16" s="189"/>
      <c r="Y16" s="189"/>
      <c r="Z16" s="189"/>
      <c r="AA16" s="189"/>
      <c r="AB16" s="189"/>
      <c r="AC16" s="189" t="s">
        <v>151</v>
      </c>
      <c r="AD16" s="189"/>
      <c r="AE16" s="189">
        <v>99999</v>
      </c>
      <c r="AF16" s="189"/>
      <c r="AG16" s="189"/>
      <c r="AH16" s="189"/>
      <c r="AI16" s="189"/>
      <c r="AJ16" s="189"/>
      <c r="AK16" s="191"/>
    </row>
    <row r="17" spans="2:37">
      <c r="B17" s="3">
        <v>9</v>
      </c>
      <c r="C17" s="189" t="s">
        <v>207</v>
      </c>
      <c r="D17" s="189"/>
      <c r="E17" s="189"/>
      <c r="F17" s="189"/>
      <c r="G17" s="189"/>
      <c r="H17" s="189"/>
      <c r="I17" s="189" t="s">
        <v>217</v>
      </c>
      <c r="J17" s="189"/>
      <c r="K17" s="189"/>
      <c r="L17" s="189"/>
      <c r="M17" s="189"/>
      <c r="N17" s="189"/>
      <c r="O17" s="189"/>
      <c r="P17" s="189"/>
      <c r="Q17" s="189" t="s">
        <v>219</v>
      </c>
      <c r="R17" s="189"/>
      <c r="S17" s="189"/>
      <c r="T17" s="189"/>
      <c r="U17" s="189"/>
      <c r="V17" s="189"/>
      <c r="W17" s="189"/>
      <c r="X17" s="189"/>
      <c r="Y17" s="189"/>
      <c r="Z17" s="189"/>
      <c r="AA17" s="189"/>
      <c r="AB17" s="189"/>
      <c r="AC17" s="189" t="s">
        <v>151</v>
      </c>
      <c r="AD17" s="189"/>
      <c r="AE17" s="189">
        <v>0</v>
      </c>
      <c r="AF17" s="189"/>
      <c r="AG17" s="189"/>
      <c r="AH17" s="189"/>
      <c r="AI17" s="189"/>
      <c r="AJ17" s="189"/>
      <c r="AK17" s="191"/>
    </row>
    <row r="18" spans="2:37" ht="13.8" thickBot="1">
      <c r="B18" s="4">
        <v>10</v>
      </c>
      <c r="C18" s="190" t="s">
        <v>208</v>
      </c>
      <c r="D18" s="190"/>
      <c r="E18" s="190"/>
      <c r="F18" s="190"/>
      <c r="G18" s="190"/>
      <c r="H18" s="190"/>
      <c r="I18" s="190" t="s">
        <v>218</v>
      </c>
      <c r="J18" s="190"/>
      <c r="K18" s="190"/>
      <c r="L18" s="190"/>
      <c r="M18" s="190"/>
      <c r="N18" s="190"/>
      <c r="O18" s="190"/>
      <c r="P18" s="190"/>
      <c r="Q18" s="190" t="s">
        <v>222</v>
      </c>
      <c r="R18" s="190"/>
      <c r="S18" s="190"/>
      <c r="T18" s="190"/>
      <c r="U18" s="190"/>
      <c r="V18" s="190"/>
      <c r="W18" s="190"/>
      <c r="X18" s="190"/>
      <c r="Y18" s="190"/>
      <c r="Z18" s="190"/>
      <c r="AA18" s="190"/>
      <c r="AB18" s="190"/>
      <c r="AC18" s="190" t="s">
        <v>151</v>
      </c>
      <c r="AD18" s="190"/>
      <c r="AE18" s="190" t="s">
        <v>224</v>
      </c>
      <c r="AF18" s="190"/>
      <c r="AG18" s="190"/>
      <c r="AH18" s="190"/>
      <c r="AI18" s="190"/>
      <c r="AJ18" s="190"/>
      <c r="AK18" s="198"/>
    </row>
    <row r="21" spans="2:37" ht="15" thickBot="1">
      <c r="B21" s="7" t="s">
        <v>994</v>
      </c>
    </row>
    <row r="22" spans="2:37" ht="13.8" thickBot="1">
      <c r="B22" s="10" t="s">
        <v>7</v>
      </c>
      <c r="C22" s="226" t="s">
        <v>998</v>
      </c>
      <c r="D22" s="226"/>
      <c r="E22" s="226"/>
      <c r="F22" s="226"/>
      <c r="G22" s="226"/>
      <c r="H22" s="226"/>
      <c r="I22" s="226"/>
      <c r="J22" s="226"/>
      <c r="K22" s="226"/>
      <c r="L22" s="226" t="s">
        <v>1000</v>
      </c>
      <c r="M22" s="226"/>
      <c r="N22" s="226"/>
      <c r="O22" s="226"/>
      <c r="P22" s="226"/>
      <c r="Q22" s="226"/>
      <c r="R22" s="226"/>
      <c r="S22" s="226"/>
      <c r="T22" s="226"/>
      <c r="U22" s="226"/>
      <c r="V22" s="226" t="s">
        <v>1002</v>
      </c>
      <c r="W22" s="226"/>
      <c r="X22" s="226"/>
      <c r="Y22" s="226" t="s">
        <v>1004</v>
      </c>
      <c r="Z22" s="226"/>
      <c r="AA22" s="226"/>
      <c r="AB22" s="226" t="s">
        <v>1005</v>
      </c>
      <c r="AC22" s="226"/>
      <c r="AD22" s="226"/>
      <c r="AE22" s="226"/>
      <c r="AF22" s="226"/>
      <c r="AG22" s="226"/>
      <c r="AH22" s="226"/>
      <c r="AI22" s="227"/>
    </row>
    <row r="23" spans="2:37">
      <c r="B23" s="235">
        <v>1</v>
      </c>
      <c r="C23" s="236" t="s">
        <v>1014</v>
      </c>
      <c r="D23" s="236"/>
      <c r="E23" s="236"/>
      <c r="F23" s="236"/>
      <c r="G23" s="236"/>
      <c r="H23" s="236"/>
      <c r="I23" s="236"/>
      <c r="J23" s="236"/>
      <c r="K23" s="236"/>
      <c r="L23" s="218" t="s">
        <v>1015</v>
      </c>
      <c r="M23" s="218"/>
      <c r="N23" s="218"/>
      <c r="O23" s="218"/>
      <c r="P23" s="218"/>
      <c r="Q23" s="218"/>
      <c r="R23" s="218"/>
      <c r="S23" s="218"/>
      <c r="T23" s="218"/>
      <c r="U23" s="218"/>
      <c r="V23" s="236" t="s">
        <v>1003</v>
      </c>
      <c r="W23" s="236"/>
      <c r="X23" s="236"/>
      <c r="Y23" s="236" t="s">
        <v>1003</v>
      </c>
      <c r="Z23" s="236"/>
      <c r="AA23" s="236"/>
      <c r="AB23" s="236"/>
      <c r="AC23" s="236"/>
      <c r="AD23" s="236"/>
      <c r="AE23" s="236"/>
      <c r="AF23" s="236"/>
      <c r="AG23" s="236"/>
      <c r="AH23" s="236"/>
      <c r="AI23" s="237"/>
    </row>
    <row r="24" spans="2:37">
      <c r="B24" s="228"/>
      <c r="C24" s="230"/>
      <c r="D24" s="230"/>
      <c r="E24" s="230"/>
      <c r="F24" s="230"/>
      <c r="G24" s="230"/>
      <c r="H24" s="230"/>
      <c r="I24" s="230"/>
      <c r="J24" s="230"/>
      <c r="K24" s="230"/>
      <c r="L24" s="221" t="s">
        <v>1016</v>
      </c>
      <c r="M24" s="221"/>
      <c r="N24" s="221"/>
      <c r="O24" s="221"/>
      <c r="P24" s="221"/>
      <c r="Q24" s="221"/>
      <c r="R24" s="221"/>
      <c r="S24" s="221"/>
      <c r="T24" s="221"/>
      <c r="U24" s="221"/>
      <c r="V24" s="230"/>
      <c r="W24" s="230"/>
      <c r="X24" s="230"/>
      <c r="Y24" s="230"/>
      <c r="Z24" s="230"/>
      <c r="AA24" s="230"/>
      <c r="AB24" s="230"/>
      <c r="AC24" s="230"/>
      <c r="AD24" s="230"/>
      <c r="AE24" s="230"/>
      <c r="AF24" s="230"/>
      <c r="AG24" s="230"/>
      <c r="AH24" s="230"/>
      <c r="AI24" s="233"/>
    </row>
    <row r="25" spans="2:37" ht="13.8" thickBot="1">
      <c r="B25" s="229"/>
      <c r="C25" s="231"/>
      <c r="D25" s="231"/>
      <c r="E25" s="231"/>
      <c r="F25" s="231"/>
      <c r="G25" s="231"/>
      <c r="H25" s="231"/>
      <c r="I25" s="231"/>
      <c r="J25" s="231"/>
      <c r="K25" s="231"/>
      <c r="L25" s="224" t="s">
        <v>1017</v>
      </c>
      <c r="M25" s="224"/>
      <c r="N25" s="224"/>
      <c r="O25" s="224"/>
      <c r="P25" s="224"/>
      <c r="Q25" s="224"/>
      <c r="R25" s="224"/>
      <c r="S25" s="224"/>
      <c r="T25" s="224"/>
      <c r="U25" s="224"/>
      <c r="V25" s="231"/>
      <c r="W25" s="231"/>
      <c r="X25" s="231"/>
      <c r="Y25" s="231"/>
      <c r="Z25" s="231"/>
      <c r="AA25" s="231"/>
      <c r="AB25" s="231"/>
      <c r="AC25" s="231"/>
      <c r="AD25" s="231"/>
      <c r="AE25" s="231"/>
      <c r="AF25" s="231"/>
      <c r="AG25" s="231"/>
      <c r="AH25" s="231"/>
      <c r="AI25" s="234"/>
    </row>
    <row r="26" spans="2:37">
      <c r="B26" s="8"/>
    </row>
    <row r="27" spans="2:37">
      <c r="B27" s="8"/>
    </row>
    <row r="28" spans="2:37" ht="15" thickBot="1">
      <c r="B28" s="7" t="s">
        <v>995</v>
      </c>
    </row>
    <row r="29" spans="2:37">
      <c r="B29" s="14" t="s">
        <v>1069</v>
      </c>
      <c r="C29" s="226" t="s">
        <v>1070</v>
      </c>
      <c r="D29" s="226"/>
      <c r="E29" s="226"/>
      <c r="F29" s="226"/>
      <c r="G29" s="226"/>
      <c r="H29" s="226"/>
      <c r="I29" s="226"/>
      <c r="J29" s="226"/>
      <c r="K29" s="226"/>
      <c r="L29" s="226"/>
      <c r="M29" s="226" t="s">
        <v>1072</v>
      </c>
      <c r="N29" s="226"/>
      <c r="O29" s="226"/>
      <c r="P29" s="226"/>
      <c r="Q29" s="226"/>
      <c r="R29" s="226"/>
      <c r="S29" s="226"/>
      <c r="T29" s="226"/>
      <c r="U29" s="226" t="s">
        <v>1154</v>
      </c>
      <c r="V29" s="226"/>
      <c r="W29" s="226"/>
      <c r="X29" s="226"/>
      <c r="Y29" s="226"/>
      <c r="Z29" s="226"/>
      <c r="AA29" s="226"/>
      <c r="AB29" s="226"/>
      <c r="AC29" s="226"/>
      <c r="AD29" s="226" t="s">
        <v>1155</v>
      </c>
      <c r="AE29" s="226"/>
      <c r="AF29" s="226"/>
      <c r="AG29" s="226"/>
      <c r="AH29" s="226"/>
      <c r="AI29" s="227"/>
    </row>
    <row r="30" spans="2:37" ht="13.8" thickBot="1">
      <c r="B30" s="4"/>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8"/>
    </row>
    <row r="32" spans="2:37" ht="15" thickBot="1">
      <c r="B32" s="7" t="s">
        <v>996</v>
      </c>
    </row>
    <row r="33" spans="2:35">
      <c r="B33" s="14" t="s">
        <v>1069</v>
      </c>
      <c r="C33" s="226" t="s">
        <v>1070</v>
      </c>
      <c r="D33" s="226"/>
      <c r="E33" s="226"/>
      <c r="F33" s="226"/>
      <c r="G33" s="226"/>
      <c r="H33" s="226"/>
      <c r="I33" s="226"/>
      <c r="J33" s="226"/>
      <c r="K33" s="226"/>
      <c r="L33" s="226"/>
      <c r="M33" s="226" t="s">
        <v>1072</v>
      </c>
      <c r="N33" s="226"/>
      <c r="O33" s="226"/>
      <c r="P33" s="226"/>
      <c r="Q33" s="226"/>
      <c r="R33" s="226"/>
      <c r="S33" s="226"/>
      <c r="T33" s="226"/>
      <c r="U33" s="226" t="s">
        <v>1154</v>
      </c>
      <c r="V33" s="226"/>
      <c r="W33" s="226"/>
      <c r="X33" s="226"/>
      <c r="Y33" s="226"/>
      <c r="Z33" s="226"/>
      <c r="AA33" s="226"/>
      <c r="AB33" s="226"/>
      <c r="AC33" s="226"/>
      <c r="AD33" s="226" t="s">
        <v>1155</v>
      </c>
      <c r="AE33" s="226"/>
      <c r="AF33" s="226"/>
      <c r="AG33" s="226"/>
      <c r="AH33" s="226"/>
      <c r="AI33" s="227"/>
    </row>
    <row r="34" spans="2:35" ht="13.8" thickBot="1">
      <c r="B34" s="4"/>
      <c r="C34" s="190"/>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8"/>
    </row>
  </sheetData>
  <mergeCells count="113">
    <mergeCell ref="C33:L33"/>
    <mergeCell ref="M33:T33"/>
    <mergeCell ref="U33:AC33"/>
    <mergeCell ref="AD33:AI33"/>
    <mergeCell ref="C34:L34"/>
    <mergeCell ref="M34:T34"/>
    <mergeCell ref="U34:AC34"/>
    <mergeCell ref="AD34:AI34"/>
    <mergeCell ref="C29:L29"/>
    <mergeCell ref="M29:T29"/>
    <mergeCell ref="U29:AC29"/>
    <mergeCell ref="AD29:AI29"/>
    <mergeCell ref="C30:L30"/>
    <mergeCell ref="M30:T30"/>
    <mergeCell ref="U30:AC30"/>
    <mergeCell ref="AD30:AI30"/>
    <mergeCell ref="C17:H17"/>
    <mergeCell ref="C18:H18"/>
    <mergeCell ref="I17:P17"/>
    <mergeCell ref="I18:P18"/>
    <mergeCell ref="C9:H9"/>
    <mergeCell ref="C10:H10"/>
    <mergeCell ref="C11:H11"/>
    <mergeCell ref="C12:H12"/>
    <mergeCell ref="C13:H13"/>
    <mergeCell ref="C14:H14"/>
    <mergeCell ref="C15:H15"/>
    <mergeCell ref="C16:H16"/>
    <mergeCell ref="AA11:AB11"/>
    <mergeCell ref="AA9:AB9"/>
    <mergeCell ref="AA10:AB10"/>
    <mergeCell ref="Q17:X17"/>
    <mergeCell ref="Q18:X18"/>
    <mergeCell ref="I9:P9"/>
    <mergeCell ref="I10:P10"/>
    <mergeCell ref="I11:P11"/>
    <mergeCell ref="I12:P12"/>
    <mergeCell ref="I13:P13"/>
    <mergeCell ref="I14:P14"/>
    <mergeCell ref="I15:P15"/>
    <mergeCell ref="I16:P16"/>
    <mergeCell ref="AE17:AK17"/>
    <mergeCell ref="AE18:AK18"/>
    <mergeCell ref="AC12:AD12"/>
    <mergeCell ref="AC15:AD15"/>
    <mergeCell ref="AC16:AD16"/>
    <mergeCell ref="AC17:AD17"/>
    <mergeCell ref="AC18:AD18"/>
    <mergeCell ref="AE14:AK14"/>
    <mergeCell ref="AA17:AB17"/>
    <mergeCell ref="AA18:AB18"/>
    <mergeCell ref="AA12:AB12"/>
    <mergeCell ref="AA13:AB13"/>
    <mergeCell ref="AA14:AB14"/>
    <mergeCell ref="AA15:AB15"/>
    <mergeCell ref="AA16:AB16"/>
    <mergeCell ref="B2:E4"/>
    <mergeCell ref="F2:H2"/>
    <mergeCell ref="F3:H3"/>
    <mergeCell ref="F4:H4"/>
    <mergeCell ref="C8:H8"/>
    <mergeCell ref="I8:P8"/>
    <mergeCell ref="I2:M2"/>
    <mergeCell ref="I3:M3"/>
    <mergeCell ref="I4:M4"/>
    <mergeCell ref="AA8:AB8"/>
    <mergeCell ref="Y23:AA25"/>
    <mergeCell ref="AB23:AI25"/>
    <mergeCell ref="L23:U23"/>
    <mergeCell ref="C22:K22"/>
    <mergeCell ref="L22:U22"/>
    <mergeCell ref="V22:X22"/>
    <mergeCell ref="Y22:AA22"/>
    <mergeCell ref="AB22:AI22"/>
    <mergeCell ref="L24:U24"/>
    <mergeCell ref="AC11:AD11"/>
    <mergeCell ref="AC13:AD13"/>
    <mergeCell ref="AC14:AD14"/>
    <mergeCell ref="AE9:AK9"/>
    <mergeCell ref="AE10:AK10"/>
    <mergeCell ref="AE11:AK11"/>
    <mergeCell ref="AE12:AK12"/>
    <mergeCell ref="AE13:AK13"/>
    <mergeCell ref="AC8:AD8"/>
    <mergeCell ref="AE8:AK8"/>
    <mergeCell ref="AC9:AD9"/>
    <mergeCell ref="AC10:AD10"/>
    <mergeCell ref="AE15:AK15"/>
    <mergeCell ref="AE16:AK16"/>
    <mergeCell ref="B23:B25"/>
    <mergeCell ref="C23:K25"/>
    <mergeCell ref="L25:U25"/>
    <mergeCell ref="V23:X25"/>
    <mergeCell ref="Y8:Z8"/>
    <mergeCell ref="Y9:Z9"/>
    <mergeCell ref="Y10:Z10"/>
    <mergeCell ref="Y11:Z11"/>
    <mergeCell ref="Y12:Z12"/>
    <mergeCell ref="Y13:Z13"/>
    <mergeCell ref="Y14:Z14"/>
    <mergeCell ref="Y15:Z15"/>
    <mergeCell ref="Y16:Z16"/>
    <mergeCell ref="Y17:Z17"/>
    <mergeCell ref="Y18:Z18"/>
    <mergeCell ref="Q8:X8"/>
    <mergeCell ref="Q9:X9"/>
    <mergeCell ref="Q10:X10"/>
    <mergeCell ref="Q11:X11"/>
    <mergeCell ref="Q12:X12"/>
    <mergeCell ref="Q13:X13"/>
    <mergeCell ref="Q14:X14"/>
    <mergeCell ref="Q15:X15"/>
    <mergeCell ref="Q16:X16"/>
  </mergeCells>
  <phoneticPr fontId="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1530-68AF-414E-AEB3-26C1ABF98451}">
  <sheetPr codeName="Sheet14"/>
  <dimension ref="B1:AK26"/>
  <sheetViews>
    <sheetView workbookViewId="0">
      <selection activeCell="I11" sqref="I11:P11"/>
    </sheetView>
  </sheetViews>
  <sheetFormatPr defaultColWidth="3.6640625" defaultRowHeight="13.2"/>
  <sheetData>
    <row r="1" spans="2:37" ht="13.8" thickBot="1"/>
    <row r="2" spans="2:37">
      <c r="B2" s="205" t="s">
        <v>95</v>
      </c>
      <c r="C2" s="206"/>
      <c r="D2" s="206"/>
      <c r="E2" s="206"/>
      <c r="F2" s="211" t="s">
        <v>93</v>
      </c>
      <c r="G2" s="211"/>
      <c r="H2" s="212"/>
      <c r="I2" s="196" t="s">
        <v>226</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225</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228</v>
      </c>
      <c r="D9" s="189"/>
      <c r="E9" s="189"/>
      <c r="F9" s="189"/>
      <c r="G9" s="189"/>
      <c r="H9" s="189"/>
      <c r="I9" s="189" t="s">
        <v>232</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229</v>
      </c>
      <c r="D10" s="189"/>
      <c r="E10" s="189"/>
      <c r="F10" s="189"/>
      <c r="G10" s="189"/>
      <c r="H10" s="189"/>
      <c r="I10" s="189" t="s">
        <v>233</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230</v>
      </c>
      <c r="D11" s="189"/>
      <c r="E11" s="189"/>
      <c r="F11" s="189"/>
      <c r="G11" s="189"/>
      <c r="H11" s="189"/>
      <c r="I11" s="189" t="s">
        <v>234</v>
      </c>
      <c r="J11" s="189"/>
      <c r="K11" s="189"/>
      <c r="L11" s="189"/>
      <c r="M11" s="189"/>
      <c r="N11" s="189"/>
      <c r="O11" s="189"/>
      <c r="P11" s="189"/>
      <c r="Q11" s="189" t="s">
        <v>143</v>
      </c>
      <c r="R11" s="189"/>
      <c r="S11" s="189"/>
      <c r="T11" s="189"/>
      <c r="U11" s="189"/>
      <c r="V11" s="189"/>
      <c r="W11" s="189"/>
      <c r="X11" s="189"/>
      <c r="Y11" s="189"/>
      <c r="Z11" s="189"/>
      <c r="AA11" s="189"/>
      <c r="AB11" s="189"/>
      <c r="AC11" s="189"/>
      <c r="AD11" s="189"/>
      <c r="AE11" s="189"/>
      <c r="AF11" s="189"/>
      <c r="AG11" s="189"/>
      <c r="AH11" s="189"/>
      <c r="AI11" s="189"/>
      <c r="AJ11" s="189"/>
      <c r="AK11" s="191"/>
    </row>
    <row r="12" spans="2:37" ht="13.8" thickBot="1">
      <c r="B12" s="4">
        <v>4</v>
      </c>
      <c r="C12" s="190" t="s">
        <v>231</v>
      </c>
      <c r="D12" s="190"/>
      <c r="E12" s="190"/>
      <c r="F12" s="190"/>
      <c r="G12" s="190"/>
      <c r="H12" s="190"/>
      <c r="I12" s="190" t="s">
        <v>235</v>
      </c>
      <c r="J12" s="190"/>
      <c r="K12" s="190"/>
      <c r="L12" s="190"/>
      <c r="M12" s="190"/>
      <c r="N12" s="190"/>
      <c r="O12" s="190"/>
      <c r="P12" s="190"/>
      <c r="Q12" s="190" t="s">
        <v>146</v>
      </c>
      <c r="R12" s="190"/>
      <c r="S12" s="190"/>
      <c r="T12" s="190"/>
      <c r="U12" s="190"/>
      <c r="V12" s="190"/>
      <c r="W12" s="190"/>
      <c r="X12" s="190"/>
      <c r="Y12" s="190"/>
      <c r="Z12" s="190"/>
      <c r="AA12" s="190"/>
      <c r="AB12" s="190"/>
      <c r="AC12" s="190"/>
      <c r="AD12" s="190"/>
      <c r="AE12" s="190"/>
      <c r="AF12" s="190"/>
      <c r="AG12" s="190"/>
      <c r="AH12" s="190"/>
      <c r="AI12" s="190"/>
      <c r="AJ12" s="190"/>
      <c r="AK12" s="198"/>
    </row>
    <row r="15" spans="2:37" ht="15" thickBot="1">
      <c r="B15" s="7" t="s">
        <v>994</v>
      </c>
    </row>
    <row r="16" spans="2:37">
      <c r="B16" s="6" t="s">
        <v>7</v>
      </c>
      <c r="C16" s="201" t="s">
        <v>998</v>
      </c>
      <c r="D16" s="201"/>
      <c r="E16" s="201"/>
      <c r="F16" s="201"/>
      <c r="G16" s="201"/>
      <c r="H16" s="201"/>
      <c r="I16" s="201"/>
      <c r="J16" s="201"/>
      <c r="K16" s="201"/>
      <c r="L16" s="201" t="s">
        <v>1000</v>
      </c>
      <c r="M16" s="201"/>
      <c r="N16" s="201"/>
      <c r="O16" s="201"/>
      <c r="P16" s="201"/>
      <c r="Q16" s="201"/>
      <c r="R16" s="201"/>
      <c r="S16" s="201"/>
      <c r="T16" s="201"/>
      <c r="U16" s="201"/>
      <c r="V16" s="201" t="s">
        <v>1002</v>
      </c>
      <c r="W16" s="201"/>
      <c r="X16" s="201"/>
      <c r="Y16" s="201" t="s">
        <v>1004</v>
      </c>
      <c r="Z16" s="201"/>
      <c r="AA16" s="201"/>
      <c r="AB16" s="201" t="s">
        <v>1005</v>
      </c>
      <c r="AC16" s="201"/>
      <c r="AD16" s="201"/>
      <c r="AE16" s="201"/>
      <c r="AF16" s="201"/>
      <c r="AG16" s="201"/>
      <c r="AH16" s="201"/>
      <c r="AI16" s="204"/>
    </row>
    <row r="17" spans="2:35" ht="13.8" thickBot="1">
      <c r="B17" s="9">
        <v>1</v>
      </c>
      <c r="C17" s="190" t="s">
        <v>1018</v>
      </c>
      <c r="D17" s="190"/>
      <c r="E17" s="190"/>
      <c r="F17" s="190"/>
      <c r="G17" s="190"/>
      <c r="H17" s="190"/>
      <c r="I17" s="190"/>
      <c r="J17" s="190"/>
      <c r="K17" s="190"/>
      <c r="L17" s="190" t="s">
        <v>1019</v>
      </c>
      <c r="M17" s="190"/>
      <c r="N17" s="190"/>
      <c r="O17" s="190"/>
      <c r="P17" s="190"/>
      <c r="Q17" s="190"/>
      <c r="R17" s="190"/>
      <c r="S17" s="190"/>
      <c r="T17" s="190"/>
      <c r="U17" s="190"/>
      <c r="V17" s="190" t="s">
        <v>1003</v>
      </c>
      <c r="W17" s="190"/>
      <c r="X17" s="190"/>
      <c r="Y17" s="190" t="s">
        <v>1003</v>
      </c>
      <c r="Z17" s="190"/>
      <c r="AA17" s="190"/>
      <c r="AB17" s="190"/>
      <c r="AC17" s="190"/>
      <c r="AD17" s="190"/>
      <c r="AE17" s="190"/>
      <c r="AF17" s="190"/>
      <c r="AG17" s="190"/>
      <c r="AH17" s="190"/>
      <c r="AI17" s="198"/>
    </row>
    <row r="18" spans="2:35">
      <c r="B18" s="8"/>
    </row>
    <row r="19" spans="2:35">
      <c r="B19" s="8"/>
    </row>
    <row r="20" spans="2:35" ht="15" thickBot="1">
      <c r="B20" s="7" t="s">
        <v>995</v>
      </c>
    </row>
    <row r="21" spans="2:35">
      <c r="B21" s="14" t="s">
        <v>1069</v>
      </c>
      <c r="C21" s="226" t="s">
        <v>1070</v>
      </c>
      <c r="D21" s="226"/>
      <c r="E21" s="226"/>
      <c r="F21" s="226"/>
      <c r="G21" s="226"/>
      <c r="H21" s="226"/>
      <c r="I21" s="226"/>
      <c r="J21" s="226"/>
      <c r="K21" s="226"/>
      <c r="L21" s="226"/>
      <c r="M21" s="226" t="s">
        <v>1072</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4"/>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68">
    <mergeCell ref="C25:L25"/>
    <mergeCell ref="M25:T25"/>
    <mergeCell ref="U25:AC25"/>
    <mergeCell ref="AD25:AI25"/>
    <mergeCell ref="C26:L26"/>
    <mergeCell ref="M26:T26"/>
    <mergeCell ref="U26:AC26"/>
    <mergeCell ref="AD26:AI26"/>
    <mergeCell ref="C21:L21"/>
    <mergeCell ref="M21:T21"/>
    <mergeCell ref="U21:AC21"/>
    <mergeCell ref="AD21:AI21"/>
    <mergeCell ref="C22:L22"/>
    <mergeCell ref="M22:T22"/>
    <mergeCell ref="U22:AC22"/>
    <mergeCell ref="AD22:AI22"/>
    <mergeCell ref="AC10:AD10"/>
    <mergeCell ref="AC11:AD11"/>
    <mergeCell ref="AC12:AD12"/>
    <mergeCell ref="AE9:AK9"/>
    <mergeCell ref="AE10:AK10"/>
    <mergeCell ref="AE11:AK11"/>
    <mergeCell ref="AE12:AK12"/>
    <mergeCell ref="Q10:X10"/>
    <mergeCell ref="Q11:X11"/>
    <mergeCell ref="Q12:X12"/>
    <mergeCell ref="AA10:AB10"/>
    <mergeCell ref="AA11:AB11"/>
    <mergeCell ref="AA12:AB12"/>
    <mergeCell ref="C12:H12"/>
    <mergeCell ref="I9:P9"/>
    <mergeCell ref="I10:P10"/>
    <mergeCell ref="I11:P11"/>
    <mergeCell ref="I12:P12"/>
    <mergeCell ref="AA8:AB8"/>
    <mergeCell ref="AC8:AD8"/>
    <mergeCell ref="AE8:AK8"/>
    <mergeCell ref="AA9:AB9"/>
    <mergeCell ref="AC9:AD9"/>
    <mergeCell ref="I8:P8"/>
    <mergeCell ref="I2:M2"/>
    <mergeCell ref="I3:M3"/>
    <mergeCell ref="I4:M4"/>
    <mergeCell ref="C16:K16"/>
    <mergeCell ref="L16:U16"/>
    <mergeCell ref="B2:E4"/>
    <mergeCell ref="F2:H2"/>
    <mergeCell ref="F3:H3"/>
    <mergeCell ref="F4:H4"/>
    <mergeCell ref="C8:H8"/>
    <mergeCell ref="Q8:X8"/>
    <mergeCell ref="Q9:X9"/>
    <mergeCell ref="C9:H9"/>
    <mergeCell ref="C10:H10"/>
    <mergeCell ref="C11:H11"/>
    <mergeCell ref="V16:X16"/>
    <mergeCell ref="Y16:AA16"/>
    <mergeCell ref="AB16:AI16"/>
    <mergeCell ref="C17:K17"/>
    <mergeCell ref="L17:U17"/>
    <mergeCell ref="V17:X17"/>
    <mergeCell ref="Y17:AA17"/>
    <mergeCell ref="AB17:AI17"/>
    <mergeCell ref="Y8:Z8"/>
    <mergeCell ref="Y9:Z9"/>
    <mergeCell ref="Y10:Z10"/>
    <mergeCell ref="Y11:Z11"/>
    <mergeCell ref="Y12:Z12"/>
  </mergeCells>
  <phoneticPr fontId="3"/>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BA94B-C2F0-4774-9297-CBDB3C01D2EA}">
  <sheetPr codeName="Sheet16"/>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245</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240</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241</v>
      </c>
      <c r="D9" s="189"/>
      <c r="E9" s="189"/>
      <c r="F9" s="189"/>
      <c r="G9" s="189"/>
      <c r="H9" s="189"/>
      <c r="I9" s="189" t="s">
        <v>243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242</v>
      </c>
      <c r="D10" s="190"/>
      <c r="E10" s="190"/>
      <c r="F10" s="190"/>
      <c r="G10" s="190"/>
      <c r="H10" s="190"/>
      <c r="I10" s="190" t="s">
        <v>244</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1020</v>
      </c>
      <c r="D15" s="238"/>
      <c r="E15" s="238"/>
      <c r="F15" s="238"/>
      <c r="G15" s="238"/>
      <c r="H15" s="238"/>
      <c r="I15" s="238"/>
      <c r="J15" s="238"/>
      <c r="K15" s="238"/>
      <c r="L15" s="238" t="s">
        <v>1021</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AA10:AB10"/>
    <mergeCell ref="AC10:AD10"/>
    <mergeCell ref="AE9:AK9"/>
    <mergeCell ref="AE10:AK10"/>
    <mergeCell ref="C9:H9"/>
    <mergeCell ref="C10:H10"/>
    <mergeCell ref="I9:P9"/>
    <mergeCell ref="I10:P10"/>
    <mergeCell ref="Q9:X9"/>
    <mergeCell ref="Q10:X10"/>
    <mergeCell ref="Y10:Z10"/>
    <mergeCell ref="Q8:X8"/>
    <mergeCell ref="AA8:AB8"/>
    <mergeCell ref="AC8:AD8"/>
    <mergeCell ref="AE8:AK8"/>
    <mergeCell ref="AA9:AB9"/>
    <mergeCell ref="AC9:AD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BFAB3-0AF9-460A-80EF-7E393FA25BC5}">
  <sheetPr codeName="Sheet17"/>
  <dimension ref="B1:AK25"/>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992</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248</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249</v>
      </c>
      <c r="D9" s="189"/>
      <c r="E9" s="189"/>
      <c r="F9" s="189"/>
      <c r="G9" s="189"/>
      <c r="H9" s="189"/>
      <c r="I9" s="189" t="s">
        <v>253</v>
      </c>
      <c r="J9" s="189"/>
      <c r="K9" s="189"/>
      <c r="L9" s="189"/>
      <c r="M9" s="189"/>
      <c r="N9" s="189"/>
      <c r="O9" s="189"/>
      <c r="P9" s="189"/>
      <c r="Q9" s="189" t="s">
        <v>144</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250</v>
      </c>
      <c r="D10" s="189"/>
      <c r="E10" s="189"/>
      <c r="F10" s="189"/>
      <c r="G10" s="189"/>
      <c r="H10" s="189"/>
      <c r="I10" s="189" t="s">
        <v>254</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251</v>
      </c>
      <c r="D11" s="189"/>
      <c r="E11" s="189"/>
      <c r="F11" s="189"/>
      <c r="G11" s="189"/>
      <c r="H11" s="189"/>
      <c r="I11" s="189" t="s">
        <v>255</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ht="13.8" thickBot="1">
      <c r="B12" s="4">
        <v>4</v>
      </c>
      <c r="C12" s="190" t="s">
        <v>252</v>
      </c>
      <c r="D12" s="190"/>
      <c r="E12" s="190"/>
      <c r="F12" s="190"/>
      <c r="G12" s="190"/>
      <c r="H12" s="190"/>
      <c r="I12" s="190" t="s">
        <v>256</v>
      </c>
      <c r="J12" s="190"/>
      <c r="K12" s="190"/>
      <c r="L12" s="190"/>
      <c r="M12" s="190"/>
      <c r="N12" s="190"/>
      <c r="O12" s="190"/>
      <c r="P12" s="190"/>
      <c r="Q12" s="190" t="s">
        <v>143</v>
      </c>
      <c r="R12" s="190"/>
      <c r="S12" s="190"/>
      <c r="T12" s="190"/>
      <c r="U12" s="190"/>
      <c r="V12" s="190"/>
      <c r="W12" s="190"/>
      <c r="X12" s="190"/>
      <c r="Y12" s="190"/>
      <c r="Z12" s="190"/>
      <c r="AA12" s="190"/>
      <c r="AB12" s="190"/>
      <c r="AC12" s="190"/>
      <c r="AD12" s="190"/>
      <c r="AE12" s="190"/>
      <c r="AF12" s="190"/>
      <c r="AG12" s="190"/>
      <c r="AH12" s="190"/>
      <c r="AI12" s="190"/>
      <c r="AJ12" s="190"/>
      <c r="AK12" s="198"/>
    </row>
    <row r="15" spans="2:37" ht="15" thickBot="1">
      <c r="B15" s="7" t="s">
        <v>994</v>
      </c>
    </row>
    <row r="16" spans="2:37">
      <c r="B16" s="10" t="s">
        <v>7</v>
      </c>
      <c r="C16" s="226" t="s">
        <v>998</v>
      </c>
      <c r="D16" s="226"/>
      <c r="E16" s="226"/>
      <c r="F16" s="226"/>
      <c r="G16" s="226"/>
      <c r="H16" s="226"/>
      <c r="I16" s="226"/>
      <c r="J16" s="226"/>
      <c r="K16" s="226"/>
      <c r="L16" s="226" t="s">
        <v>1000</v>
      </c>
      <c r="M16" s="226"/>
      <c r="N16" s="226"/>
      <c r="O16" s="226"/>
      <c r="P16" s="226"/>
      <c r="Q16" s="226"/>
      <c r="R16" s="226"/>
      <c r="S16" s="226"/>
      <c r="T16" s="226"/>
      <c r="U16" s="226"/>
      <c r="V16" s="226" t="s">
        <v>1002</v>
      </c>
      <c r="W16" s="226"/>
      <c r="X16" s="226"/>
      <c r="Y16" s="226" t="s">
        <v>1004</v>
      </c>
      <c r="Z16" s="226"/>
      <c r="AA16" s="226"/>
      <c r="AB16" s="226" t="s">
        <v>1005</v>
      </c>
      <c r="AC16" s="226"/>
      <c r="AD16" s="226"/>
      <c r="AE16" s="226"/>
      <c r="AF16" s="226"/>
      <c r="AG16" s="226"/>
      <c r="AH16" s="226"/>
      <c r="AI16" s="227"/>
    </row>
    <row r="17" spans="2:35" ht="13.8" thickBot="1">
      <c r="B17" s="12">
        <v>1</v>
      </c>
      <c r="C17" s="238" t="s">
        <v>1023</v>
      </c>
      <c r="D17" s="238"/>
      <c r="E17" s="238"/>
      <c r="F17" s="238"/>
      <c r="G17" s="238"/>
      <c r="H17" s="238"/>
      <c r="I17" s="238"/>
      <c r="J17" s="238"/>
      <c r="K17" s="238"/>
      <c r="L17" s="238" t="s">
        <v>1024</v>
      </c>
      <c r="M17" s="238"/>
      <c r="N17" s="238"/>
      <c r="O17" s="238"/>
      <c r="P17" s="238"/>
      <c r="Q17" s="238"/>
      <c r="R17" s="238"/>
      <c r="S17" s="238"/>
      <c r="T17" s="238"/>
      <c r="U17" s="238"/>
      <c r="V17" s="238" t="s">
        <v>1022</v>
      </c>
      <c r="W17" s="238"/>
      <c r="X17" s="238"/>
      <c r="Y17" s="238" t="s">
        <v>1022</v>
      </c>
      <c r="Z17" s="238"/>
      <c r="AA17" s="238"/>
      <c r="AB17" s="238"/>
      <c r="AC17" s="238"/>
      <c r="AD17" s="238"/>
      <c r="AE17" s="238"/>
      <c r="AF17" s="238"/>
      <c r="AG17" s="238"/>
      <c r="AH17" s="238"/>
      <c r="AI17" s="239"/>
    </row>
    <row r="18" spans="2:35">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8">
    <mergeCell ref="C24:L24"/>
    <mergeCell ref="M24:T24"/>
    <mergeCell ref="U24:AC24"/>
    <mergeCell ref="AD24:AI24"/>
    <mergeCell ref="C25:L25"/>
    <mergeCell ref="M25:T25"/>
    <mergeCell ref="U25:AC25"/>
    <mergeCell ref="AD25:AI25"/>
    <mergeCell ref="C20:L20"/>
    <mergeCell ref="M20:T20"/>
    <mergeCell ref="U20:AC20"/>
    <mergeCell ref="AD20:AI20"/>
    <mergeCell ref="C21:L21"/>
    <mergeCell ref="M21:T21"/>
    <mergeCell ref="U21:AC21"/>
    <mergeCell ref="AD21:AI21"/>
    <mergeCell ref="C17:K17"/>
    <mergeCell ref="L17:U17"/>
    <mergeCell ref="V17:X17"/>
    <mergeCell ref="Y17:AA17"/>
    <mergeCell ref="AB17:AI17"/>
    <mergeCell ref="C16:K16"/>
    <mergeCell ref="L16:U16"/>
    <mergeCell ref="V16:X16"/>
    <mergeCell ref="Y16:AA16"/>
    <mergeCell ref="AB16:AI16"/>
    <mergeCell ref="AC10:AD10"/>
    <mergeCell ref="AC11:AD11"/>
    <mergeCell ref="AC12:AD12"/>
    <mergeCell ref="AE9:AK9"/>
    <mergeCell ref="AE10:AK10"/>
    <mergeCell ref="AE11:AK11"/>
    <mergeCell ref="AE12:AK12"/>
    <mergeCell ref="Q10:X10"/>
    <mergeCell ref="Q11:X11"/>
    <mergeCell ref="Q12:X12"/>
    <mergeCell ref="AA10:AB10"/>
    <mergeCell ref="AA11:AB11"/>
    <mergeCell ref="AA12:AB12"/>
    <mergeCell ref="Y10:Z10"/>
    <mergeCell ref="Y11:Z11"/>
    <mergeCell ref="Y12:Z12"/>
    <mergeCell ref="C9:H9"/>
    <mergeCell ref="C10:H10"/>
    <mergeCell ref="C11:H11"/>
    <mergeCell ref="C12:H12"/>
    <mergeCell ref="I9:P9"/>
    <mergeCell ref="I10:P10"/>
    <mergeCell ref="I11:P11"/>
    <mergeCell ref="I12:P12"/>
    <mergeCell ref="Q8:X8"/>
    <mergeCell ref="AA8:AB8"/>
    <mergeCell ref="AC8:AD8"/>
    <mergeCell ref="AE8:AK8"/>
    <mergeCell ref="AA9:AB9"/>
    <mergeCell ref="AC9:AD9"/>
    <mergeCell ref="Q9:X9"/>
    <mergeCell ref="Y8:Z8"/>
    <mergeCell ref="Y9:Z9"/>
    <mergeCell ref="I8:P8"/>
    <mergeCell ref="I2:M2"/>
    <mergeCell ref="I3:M3"/>
    <mergeCell ref="I4:M4"/>
    <mergeCell ref="B2:E4"/>
    <mergeCell ref="F2:H2"/>
    <mergeCell ref="F3:H3"/>
    <mergeCell ref="F4:H4"/>
    <mergeCell ref="C8:H8"/>
  </mergeCells>
  <phoneticPr fontId="3"/>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5B5F1-9385-4B22-8786-1E3EFC4D68AF}">
  <sheetPr codeName="Sheet18"/>
  <dimension ref="B1:AK24"/>
  <sheetViews>
    <sheetView workbookViewId="0">
      <selection activeCell="C11" sqref="C11:H11"/>
    </sheetView>
  </sheetViews>
  <sheetFormatPr defaultColWidth="3.6640625" defaultRowHeight="13.2"/>
  <sheetData>
    <row r="1" spans="2:37" ht="13.8" thickBot="1"/>
    <row r="2" spans="2:37">
      <c r="B2" s="205" t="s">
        <v>95</v>
      </c>
      <c r="C2" s="206"/>
      <c r="D2" s="206"/>
      <c r="E2" s="206"/>
      <c r="F2" s="211" t="s">
        <v>93</v>
      </c>
      <c r="G2" s="211"/>
      <c r="H2" s="212"/>
      <c r="I2" s="196" t="s">
        <v>264</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258</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259</v>
      </c>
      <c r="D9" s="189"/>
      <c r="E9" s="189"/>
      <c r="F9" s="189"/>
      <c r="G9" s="189"/>
      <c r="H9" s="189"/>
      <c r="I9" s="189" t="s">
        <v>261</v>
      </c>
      <c r="J9" s="189"/>
      <c r="K9" s="189"/>
      <c r="L9" s="189"/>
      <c r="M9" s="189"/>
      <c r="N9" s="189"/>
      <c r="O9" s="189"/>
      <c r="P9" s="189"/>
      <c r="Q9" s="189" t="s">
        <v>146</v>
      </c>
      <c r="R9" s="189"/>
      <c r="S9" s="189"/>
      <c r="T9" s="189"/>
      <c r="U9" s="189"/>
      <c r="V9" s="189"/>
      <c r="W9" s="189"/>
      <c r="X9" s="189"/>
      <c r="Y9" s="189" t="s">
        <v>149</v>
      </c>
      <c r="Z9" s="189"/>
      <c r="AA9" s="189" t="s">
        <v>149</v>
      </c>
      <c r="AB9" s="189"/>
      <c r="AC9" s="189" t="s">
        <v>151</v>
      </c>
      <c r="AD9" s="189"/>
      <c r="AE9" s="189"/>
      <c r="AF9" s="189"/>
      <c r="AG9" s="189"/>
      <c r="AH9" s="189"/>
      <c r="AI9" s="189"/>
      <c r="AJ9" s="189"/>
      <c r="AK9" s="191"/>
    </row>
    <row r="10" spans="2:37">
      <c r="B10" s="3">
        <v>2</v>
      </c>
      <c r="C10" s="189" t="s">
        <v>1657</v>
      </c>
      <c r="D10" s="189"/>
      <c r="E10" s="189"/>
      <c r="F10" s="189"/>
      <c r="G10" s="189"/>
      <c r="H10" s="189"/>
      <c r="I10" s="189" t="s">
        <v>262</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260</v>
      </c>
      <c r="D11" s="190"/>
      <c r="E11" s="190"/>
      <c r="F11" s="190"/>
      <c r="G11" s="190"/>
      <c r="H11" s="190"/>
      <c r="I11" s="190" t="s">
        <v>263</v>
      </c>
      <c r="J11" s="190"/>
      <c r="K11" s="190"/>
      <c r="L11" s="190"/>
      <c r="M11" s="190"/>
      <c r="N11" s="190"/>
      <c r="O11" s="190"/>
      <c r="P11" s="190"/>
      <c r="Q11" s="190" t="s">
        <v>146</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10" t="s">
        <v>7</v>
      </c>
      <c r="C15" s="226" t="s">
        <v>998</v>
      </c>
      <c r="D15" s="226"/>
      <c r="E15" s="226"/>
      <c r="F15" s="226"/>
      <c r="G15" s="226"/>
      <c r="H15" s="226"/>
      <c r="I15" s="226"/>
      <c r="J15" s="226"/>
      <c r="K15" s="226"/>
      <c r="L15" s="226" t="s">
        <v>1000</v>
      </c>
      <c r="M15" s="226"/>
      <c r="N15" s="226"/>
      <c r="O15" s="226"/>
      <c r="P15" s="226"/>
      <c r="Q15" s="226"/>
      <c r="R15" s="226"/>
      <c r="S15" s="226"/>
      <c r="T15" s="226"/>
      <c r="U15" s="226"/>
      <c r="V15" s="226" t="s">
        <v>1002</v>
      </c>
      <c r="W15" s="226"/>
      <c r="X15" s="226"/>
      <c r="Y15" s="226" t="s">
        <v>1004</v>
      </c>
      <c r="Z15" s="226"/>
      <c r="AA15" s="226"/>
      <c r="AB15" s="226" t="s">
        <v>1005</v>
      </c>
      <c r="AC15" s="226"/>
      <c r="AD15" s="226"/>
      <c r="AE15" s="226"/>
      <c r="AF15" s="226"/>
      <c r="AG15" s="226"/>
      <c r="AH15" s="226"/>
      <c r="AI15" s="227"/>
    </row>
    <row r="16" spans="2:37" ht="13.8" thickBot="1">
      <c r="B16" s="12">
        <v>1</v>
      </c>
      <c r="C16" s="238" t="s">
        <v>1025</v>
      </c>
      <c r="D16" s="238"/>
      <c r="E16" s="238"/>
      <c r="F16" s="238"/>
      <c r="G16" s="238"/>
      <c r="H16" s="238"/>
      <c r="I16" s="238"/>
      <c r="J16" s="238"/>
      <c r="K16" s="238"/>
      <c r="L16" s="238" t="s">
        <v>1026</v>
      </c>
      <c r="M16" s="238"/>
      <c r="N16" s="238"/>
      <c r="O16" s="238"/>
      <c r="P16" s="238"/>
      <c r="Q16" s="238"/>
      <c r="R16" s="238"/>
      <c r="S16" s="238"/>
      <c r="T16" s="238"/>
      <c r="U16" s="238"/>
      <c r="V16" s="238" t="s">
        <v>1022</v>
      </c>
      <c r="W16" s="238"/>
      <c r="X16" s="238"/>
      <c r="Y16" s="238" t="s">
        <v>1022</v>
      </c>
      <c r="Z16" s="238"/>
      <c r="AA16" s="238"/>
      <c r="AB16" s="238"/>
      <c r="AC16" s="238"/>
      <c r="AD16" s="238"/>
      <c r="AE16" s="238"/>
      <c r="AF16" s="238"/>
      <c r="AG16" s="238"/>
      <c r="AH16" s="238"/>
      <c r="AI16" s="239"/>
    </row>
    <row r="17" spans="2:35">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row>
    <row r="18" spans="2:35" ht="15" thickBot="1">
      <c r="B18" s="7" t="s">
        <v>995</v>
      </c>
    </row>
    <row r="19" spans="2:35">
      <c r="B19" s="14" t="s">
        <v>1069</v>
      </c>
      <c r="C19" s="226" t="s">
        <v>1070</v>
      </c>
      <c r="D19" s="226"/>
      <c r="E19" s="226"/>
      <c r="F19" s="226"/>
      <c r="G19" s="226"/>
      <c r="H19" s="226"/>
      <c r="I19" s="226"/>
      <c r="J19" s="226"/>
      <c r="K19" s="226"/>
      <c r="L19" s="226"/>
      <c r="M19" s="226" t="s">
        <v>1072</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4"/>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61">
    <mergeCell ref="C23:L23"/>
    <mergeCell ref="M23:T23"/>
    <mergeCell ref="U23:AC23"/>
    <mergeCell ref="AD23:AI23"/>
    <mergeCell ref="C24:L24"/>
    <mergeCell ref="M24:T24"/>
    <mergeCell ref="U24:AC24"/>
    <mergeCell ref="AD24:AI24"/>
    <mergeCell ref="C19:L19"/>
    <mergeCell ref="M19:T19"/>
    <mergeCell ref="U19:AC19"/>
    <mergeCell ref="AD19:AI19"/>
    <mergeCell ref="C20:L20"/>
    <mergeCell ref="M20:T20"/>
    <mergeCell ref="U20:AC20"/>
    <mergeCell ref="AD20:AI20"/>
    <mergeCell ref="C16:K16"/>
    <mergeCell ref="L16:U16"/>
    <mergeCell ref="V16:X16"/>
    <mergeCell ref="Y16:AA16"/>
    <mergeCell ref="AB16:AI16"/>
    <mergeCell ref="C15:K15"/>
    <mergeCell ref="L15:U15"/>
    <mergeCell ref="V15:X15"/>
    <mergeCell ref="Y15:AA15"/>
    <mergeCell ref="AB15:AI15"/>
    <mergeCell ref="AE10:AK10"/>
    <mergeCell ref="AE11:AK11"/>
    <mergeCell ref="Q10:X10"/>
    <mergeCell ref="Q11:X11"/>
    <mergeCell ref="AA10:AB10"/>
    <mergeCell ref="AA11:AB11"/>
    <mergeCell ref="AC10:AD10"/>
    <mergeCell ref="AC11:AD11"/>
    <mergeCell ref="Y10:Z10"/>
    <mergeCell ref="Y11:Z11"/>
    <mergeCell ref="C9:H9"/>
    <mergeCell ref="C10:H10"/>
    <mergeCell ref="C11:H11"/>
    <mergeCell ref="I9:P9"/>
    <mergeCell ref="I10:P10"/>
    <mergeCell ref="I11:P11"/>
    <mergeCell ref="Q8:X8"/>
    <mergeCell ref="AA8:AB8"/>
    <mergeCell ref="AC8:AD8"/>
    <mergeCell ref="AE8:AK8"/>
    <mergeCell ref="AA9:AB9"/>
    <mergeCell ref="AC9:AD9"/>
    <mergeCell ref="Q9:X9"/>
    <mergeCell ref="AE9:AK9"/>
    <mergeCell ref="Y8:Z8"/>
    <mergeCell ref="Y9:Z9"/>
    <mergeCell ref="I8:P8"/>
    <mergeCell ref="I2:M2"/>
    <mergeCell ref="I3:M3"/>
    <mergeCell ref="I4:M4"/>
    <mergeCell ref="B2:E4"/>
    <mergeCell ref="F2:H2"/>
    <mergeCell ref="F3:H3"/>
    <mergeCell ref="F4:H4"/>
    <mergeCell ref="C8:H8"/>
  </mergeCells>
  <phoneticPr fontId="3"/>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41FB-7D4C-4B3D-AD55-224D0E62F42A}">
  <sheetPr codeName="Sheet19"/>
  <dimension ref="B1:AK24"/>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271</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266</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267</v>
      </c>
      <c r="D9" s="189"/>
      <c r="E9" s="189"/>
      <c r="F9" s="189"/>
      <c r="G9" s="189"/>
      <c r="H9" s="189"/>
      <c r="I9" s="189" t="s">
        <v>270</v>
      </c>
      <c r="J9" s="189"/>
      <c r="K9" s="189"/>
      <c r="L9" s="189"/>
      <c r="M9" s="189"/>
      <c r="N9" s="189"/>
      <c r="O9" s="189"/>
      <c r="P9" s="189"/>
      <c r="Q9" s="189" t="s">
        <v>146</v>
      </c>
      <c r="R9" s="189"/>
      <c r="S9" s="189"/>
      <c r="T9" s="189"/>
      <c r="U9" s="189"/>
      <c r="V9" s="189"/>
      <c r="W9" s="189"/>
      <c r="X9" s="189"/>
      <c r="Y9" s="189" t="s">
        <v>149</v>
      </c>
      <c r="Z9" s="189"/>
      <c r="AA9" s="189" t="s">
        <v>149</v>
      </c>
      <c r="AB9" s="189"/>
      <c r="AC9" s="189" t="s">
        <v>151</v>
      </c>
      <c r="AD9" s="189"/>
      <c r="AE9" s="189"/>
      <c r="AF9" s="189"/>
      <c r="AG9" s="189"/>
      <c r="AH9" s="189"/>
      <c r="AI9" s="189"/>
      <c r="AJ9" s="189"/>
      <c r="AK9" s="191"/>
    </row>
    <row r="10" spans="2:37">
      <c r="B10" s="3">
        <v>2</v>
      </c>
      <c r="C10" s="189" t="s">
        <v>268</v>
      </c>
      <c r="D10" s="189"/>
      <c r="E10" s="189"/>
      <c r="F10" s="189"/>
      <c r="G10" s="189"/>
      <c r="H10" s="189"/>
      <c r="I10" s="189" t="s">
        <v>167</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269</v>
      </c>
      <c r="D11" s="190"/>
      <c r="E11" s="190"/>
      <c r="F11" s="190"/>
      <c r="G11" s="190"/>
      <c r="H11" s="190"/>
      <c r="I11" s="190" t="s">
        <v>168</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10" t="s">
        <v>7</v>
      </c>
      <c r="C15" s="226" t="s">
        <v>998</v>
      </c>
      <c r="D15" s="226"/>
      <c r="E15" s="226"/>
      <c r="F15" s="226"/>
      <c r="G15" s="226"/>
      <c r="H15" s="226"/>
      <c r="I15" s="226"/>
      <c r="J15" s="226"/>
      <c r="K15" s="226"/>
      <c r="L15" s="226" t="s">
        <v>1000</v>
      </c>
      <c r="M15" s="226"/>
      <c r="N15" s="226"/>
      <c r="O15" s="226"/>
      <c r="P15" s="226"/>
      <c r="Q15" s="226"/>
      <c r="R15" s="226"/>
      <c r="S15" s="226"/>
      <c r="T15" s="226"/>
      <c r="U15" s="226"/>
      <c r="V15" s="226" t="s">
        <v>1002</v>
      </c>
      <c r="W15" s="226"/>
      <c r="X15" s="226"/>
      <c r="Y15" s="226" t="s">
        <v>1004</v>
      </c>
      <c r="Z15" s="226"/>
      <c r="AA15" s="226"/>
      <c r="AB15" s="226" t="s">
        <v>1005</v>
      </c>
      <c r="AC15" s="226"/>
      <c r="AD15" s="226"/>
      <c r="AE15" s="226"/>
      <c r="AF15" s="226"/>
      <c r="AG15" s="226"/>
      <c r="AH15" s="226"/>
      <c r="AI15" s="227"/>
    </row>
    <row r="16" spans="2:37" ht="13.8" thickBot="1">
      <c r="B16" s="12">
        <v>1</v>
      </c>
      <c r="C16" s="238" t="s">
        <v>1027</v>
      </c>
      <c r="D16" s="238"/>
      <c r="E16" s="238"/>
      <c r="F16" s="238"/>
      <c r="G16" s="238"/>
      <c r="H16" s="238"/>
      <c r="I16" s="238"/>
      <c r="J16" s="238"/>
      <c r="K16" s="238"/>
      <c r="L16" s="238" t="s">
        <v>1028</v>
      </c>
      <c r="M16" s="238"/>
      <c r="N16" s="238"/>
      <c r="O16" s="238"/>
      <c r="P16" s="238"/>
      <c r="Q16" s="238"/>
      <c r="R16" s="238"/>
      <c r="S16" s="238"/>
      <c r="T16" s="238"/>
      <c r="U16" s="238"/>
      <c r="V16" s="238" t="s">
        <v>1022</v>
      </c>
      <c r="W16" s="238"/>
      <c r="X16" s="238"/>
      <c r="Y16" s="238" t="s">
        <v>1022</v>
      </c>
      <c r="Z16" s="238"/>
      <c r="AA16" s="238"/>
      <c r="AB16" s="238"/>
      <c r="AC16" s="238"/>
      <c r="AD16" s="238"/>
      <c r="AE16" s="238"/>
      <c r="AF16" s="238"/>
      <c r="AG16" s="238"/>
      <c r="AH16" s="238"/>
      <c r="AI16" s="239"/>
    </row>
    <row r="17" spans="2:35">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row>
    <row r="18" spans="2:35" ht="15" thickBot="1">
      <c r="B18" s="7" t="s">
        <v>995</v>
      </c>
    </row>
    <row r="19" spans="2:35">
      <c r="B19" s="14" t="s">
        <v>1069</v>
      </c>
      <c r="C19" s="226" t="s">
        <v>1070</v>
      </c>
      <c r="D19" s="226"/>
      <c r="E19" s="226"/>
      <c r="F19" s="226"/>
      <c r="G19" s="226"/>
      <c r="H19" s="226"/>
      <c r="I19" s="226"/>
      <c r="J19" s="226"/>
      <c r="K19" s="226"/>
      <c r="L19" s="226"/>
      <c r="M19" s="226" t="s">
        <v>1072</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4"/>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61">
    <mergeCell ref="C23:L23"/>
    <mergeCell ref="M23:T23"/>
    <mergeCell ref="U23:AC23"/>
    <mergeCell ref="AD23:AI23"/>
    <mergeCell ref="C24:L24"/>
    <mergeCell ref="M24:T24"/>
    <mergeCell ref="U24:AC24"/>
    <mergeCell ref="AD24:AI24"/>
    <mergeCell ref="C19:L19"/>
    <mergeCell ref="M19:T19"/>
    <mergeCell ref="U19:AC19"/>
    <mergeCell ref="AD19:AI19"/>
    <mergeCell ref="C20:L20"/>
    <mergeCell ref="M20:T20"/>
    <mergeCell ref="U20:AC20"/>
    <mergeCell ref="AD20:AI20"/>
    <mergeCell ref="C16:K16"/>
    <mergeCell ref="L16:U16"/>
    <mergeCell ref="V16:X16"/>
    <mergeCell ref="Y16:AA16"/>
    <mergeCell ref="AB16:AI16"/>
    <mergeCell ref="C15:K15"/>
    <mergeCell ref="L15:U15"/>
    <mergeCell ref="V15:X15"/>
    <mergeCell ref="Y15:AA15"/>
    <mergeCell ref="AB15:AI15"/>
    <mergeCell ref="AE10:AK10"/>
    <mergeCell ref="AE11:AK11"/>
    <mergeCell ref="Q10:X10"/>
    <mergeCell ref="Q11:X11"/>
    <mergeCell ref="AA10:AB10"/>
    <mergeCell ref="AA11:AB11"/>
    <mergeCell ref="AC10:AD10"/>
    <mergeCell ref="AC11:AD11"/>
    <mergeCell ref="Y10:Z10"/>
    <mergeCell ref="Y11:Z11"/>
    <mergeCell ref="C9:H9"/>
    <mergeCell ref="C10:H10"/>
    <mergeCell ref="C11:H11"/>
    <mergeCell ref="I9:P9"/>
    <mergeCell ref="I10:P10"/>
    <mergeCell ref="I11:P11"/>
    <mergeCell ref="Q8:X8"/>
    <mergeCell ref="AA8:AB8"/>
    <mergeCell ref="AC8:AD8"/>
    <mergeCell ref="AE8:AK8"/>
    <mergeCell ref="AA9:AB9"/>
    <mergeCell ref="AC9:AD9"/>
    <mergeCell ref="Q9:X9"/>
    <mergeCell ref="AE9:AK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6200-C43D-4852-8A7B-1DD372E601EA}">
  <sheetPr codeName="Sheet20"/>
  <dimension ref="B1:AK41"/>
  <sheetViews>
    <sheetView workbookViewId="0">
      <selection activeCell="C17" sqref="C17:H17"/>
    </sheetView>
  </sheetViews>
  <sheetFormatPr defaultColWidth="3.6640625" defaultRowHeight="13.2"/>
  <sheetData>
    <row r="1" spans="2:37" ht="13.8" thickBot="1"/>
    <row r="2" spans="2:37">
      <c r="B2" s="205" t="s">
        <v>95</v>
      </c>
      <c r="C2" s="206"/>
      <c r="D2" s="206"/>
      <c r="E2" s="206"/>
      <c r="F2" s="211" t="s">
        <v>93</v>
      </c>
      <c r="G2" s="211"/>
      <c r="H2" s="212"/>
      <c r="I2" s="196" t="s">
        <v>303</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273</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182</v>
      </c>
      <c r="D9" s="189"/>
      <c r="E9" s="189"/>
      <c r="F9" s="189"/>
      <c r="G9" s="189"/>
      <c r="H9" s="189"/>
      <c r="I9" s="189" t="s">
        <v>184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274</v>
      </c>
      <c r="D10" s="189"/>
      <c r="E10" s="189"/>
      <c r="F10" s="189"/>
      <c r="G10" s="189"/>
      <c r="H10" s="189"/>
      <c r="I10" s="189" t="s">
        <v>289</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275</v>
      </c>
      <c r="D11" s="189"/>
      <c r="E11" s="189"/>
      <c r="F11" s="189"/>
      <c r="G11" s="189"/>
      <c r="H11" s="189"/>
      <c r="I11" s="189" t="s">
        <v>290</v>
      </c>
      <c r="J11" s="189"/>
      <c r="K11" s="189"/>
      <c r="L11" s="189"/>
      <c r="M11" s="189"/>
      <c r="N11" s="189"/>
      <c r="O11" s="189"/>
      <c r="P11" s="189"/>
      <c r="Q11" s="189" t="s">
        <v>146</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276</v>
      </c>
      <c r="D12" s="189"/>
      <c r="E12" s="189"/>
      <c r="F12" s="189"/>
      <c r="G12" s="189"/>
      <c r="H12" s="189"/>
      <c r="I12" s="189" t="s">
        <v>291</v>
      </c>
      <c r="J12" s="189"/>
      <c r="K12" s="189"/>
      <c r="L12" s="189"/>
      <c r="M12" s="189"/>
      <c r="N12" s="189"/>
      <c r="O12" s="189"/>
      <c r="P12" s="189"/>
      <c r="Q12" s="189" t="s">
        <v>143</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277</v>
      </c>
      <c r="D13" s="189"/>
      <c r="E13" s="189"/>
      <c r="F13" s="189"/>
      <c r="G13" s="189"/>
      <c r="H13" s="189"/>
      <c r="I13" s="189" t="s">
        <v>1632</v>
      </c>
      <c r="J13" s="189"/>
      <c r="K13" s="189"/>
      <c r="L13" s="189"/>
      <c r="M13" s="189"/>
      <c r="N13" s="189"/>
      <c r="O13" s="189"/>
      <c r="P13" s="189"/>
      <c r="Q13" s="189" t="s">
        <v>144</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1788</v>
      </c>
      <c r="D14" s="189"/>
      <c r="E14" s="189"/>
      <c r="F14" s="189"/>
      <c r="G14" s="189"/>
      <c r="H14" s="189"/>
      <c r="I14" s="189" t="s">
        <v>292</v>
      </c>
      <c r="J14" s="189"/>
      <c r="K14" s="189"/>
      <c r="L14" s="189"/>
      <c r="M14" s="189"/>
      <c r="N14" s="189"/>
      <c r="O14" s="189"/>
      <c r="P14" s="189"/>
      <c r="Q14" s="189" t="s">
        <v>143</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7</v>
      </c>
      <c r="C15" s="189" t="s">
        <v>1791</v>
      </c>
      <c r="D15" s="189"/>
      <c r="E15" s="189"/>
      <c r="F15" s="189"/>
      <c r="G15" s="189"/>
      <c r="H15" s="189"/>
      <c r="I15" s="189" t="s">
        <v>293</v>
      </c>
      <c r="J15" s="189"/>
      <c r="K15" s="189"/>
      <c r="L15" s="189"/>
      <c r="M15" s="189"/>
      <c r="N15" s="189"/>
      <c r="O15" s="189"/>
      <c r="P15" s="189"/>
      <c r="Q15" s="189" t="s">
        <v>144</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8</v>
      </c>
      <c r="C16" s="189" t="s">
        <v>1793</v>
      </c>
      <c r="D16" s="189"/>
      <c r="E16" s="189"/>
      <c r="F16" s="189"/>
      <c r="G16" s="189"/>
      <c r="H16" s="189"/>
      <c r="I16" s="189" t="s">
        <v>294</v>
      </c>
      <c r="J16" s="189"/>
      <c r="K16" s="189"/>
      <c r="L16" s="189"/>
      <c r="M16" s="189"/>
      <c r="N16" s="189"/>
      <c r="O16" s="189"/>
      <c r="P16" s="189"/>
      <c r="Q16" s="189" t="s">
        <v>144</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3">
        <v>9</v>
      </c>
      <c r="C17" s="240" t="s">
        <v>1864</v>
      </c>
      <c r="D17" s="241"/>
      <c r="E17" s="241"/>
      <c r="F17" s="241"/>
      <c r="G17" s="241"/>
      <c r="H17" s="242"/>
      <c r="I17" s="240" t="s">
        <v>1865</v>
      </c>
      <c r="J17" s="241"/>
      <c r="K17" s="241"/>
      <c r="L17" s="241"/>
      <c r="M17" s="241"/>
      <c r="N17" s="241"/>
      <c r="O17" s="241"/>
      <c r="P17" s="242"/>
      <c r="Q17" s="240" t="s">
        <v>144</v>
      </c>
      <c r="R17" s="241"/>
      <c r="S17" s="241"/>
      <c r="T17" s="241"/>
      <c r="U17" s="241"/>
      <c r="V17" s="241"/>
      <c r="W17" s="241"/>
      <c r="X17" s="242"/>
      <c r="Y17" s="240"/>
      <c r="Z17" s="242"/>
      <c r="AA17" s="240"/>
      <c r="AB17" s="242"/>
      <c r="AC17" s="240"/>
      <c r="AD17" s="242"/>
      <c r="AE17" s="240"/>
      <c r="AF17" s="241"/>
      <c r="AG17" s="241"/>
      <c r="AH17" s="241"/>
      <c r="AI17" s="241"/>
      <c r="AJ17" s="241"/>
      <c r="AK17" s="243"/>
    </row>
    <row r="18" spans="2:37">
      <c r="B18" s="3">
        <v>10</v>
      </c>
      <c r="C18" s="189" t="s">
        <v>278</v>
      </c>
      <c r="D18" s="189"/>
      <c r="E18" s="189"/>
      <c r="F18" s="189"/>
      <c r="G18" s="189"/>
      <c r="H18" s="189"/>
      <c r="I18" s="189" t="s">
        <v>295</v>
      </c>
      <c r="J18" s="189"/>
      <c r="K18" s="189"/>
      <c r="L18" s="189"/>
      <c r="M18" s="189"/>
      <c r="N18" s="189"/>
      <c r="O18" s="189"/>
      <c r="P18" s="189"/>
      <c r="Q18" s="189" t="s">
        <v>145</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3">
        <v>11</v>
      </c>
      <c r="C19" s="189" t="s">
        <v>279</v>
      </c>
      <c r="D19" s="189"/>
      <c r="E19" s="189"/>
      <c r="F19" s="189"/>
      <c r="G19" s="189"/>
      <c r="H19" s="189"/>
      <c r="I19" s="189" t="s">
        <v>1633</v>
      </c>
      <c r="J19" s="189"/>
      <c r="K19" s="189"/>
      <c r="L19" s="189"/>
      <c r="M19" s="189"/>
      <c r="N19" s="189"/>
      <c r="O19" s="189"/>
      <c r="P19" s="189"/>
      <c r="Q19" s="189" t="s">
        <v>144</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3">
        <v>12</v>
      </c>
      <c r="C20" s="189" t="s">
        <v>280</v>
      </c>
      <c r="D20" s="189"/>
      <c r="E20" s="189"/>
      <c r="F20" s="189"/>
      <c r="G20" s="189"/>
      <c r="H20" s="189"/>
      <c r="I20" s="189" t="s">
        <v>296</v>
      </c>
      <c r="J20" s="189"/>
      <c r="K20" s="189"/>
      <c r="L20" s="189"/>
      <c r="M20" s="189"/>
      <c r="N20" s="189"/>
      <c r="O20" s="189"/>
      <c r="P20" s="189"/>
      <c r="Q20" s="189" t="s">
        <v>144</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3">
        <v>13</v>
      </c>
      <c r="C21" s="189" t="s">
        <v>281</v>
      </c>
      <c r="D21" s="189"/>
      <c r="E21" s="189"/>
      <c r="F21" s="189"/>
      <c r="G21" s="189"/>
      <c r="H21" s="189"/>
      <c r="I21" s="189" t="s">
        <v>297</v>
      </c>
      <c r="J21" s="189"/>
      <c r="K21" s="189"/>
      <c r="L21" s="189"/>
      <c r="M21" s="189"/>
      <c r="N21" s="189"/>
      <c r="O21" s="189"/>
      <c r="P21" s="189"/>
      <c r="Q21" s="189" t="s">
        <v>144</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3">
        <v>14</v>
      </c>
      <c r="C22" s="189" t="s">
        <v>282</v>
      </c>
      <c r="D22" s="189"/>
      <c r="E22" s="189"/>
      <c r="F22" s="189"/>
      <c r="G22" s="189"/>
      <c r="H22" s="189"/>
      <c r="I22" s="189" t="s">
        <v>298</v>
      </c>
      <c r="J22" s="189"/>
      <c r="K22" s="189"/>
      <c r="L22" s="189"/>
      <c r="M22" s="189"/>
      <c r="N22" s="189"/>
      <c r="O22" s="189"/>
      <c r="P22" s="189"/>
      <c r="Q22" s="189" t="s">
        <v>144</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3">
        <v>15</v>
      </c>
      <c r="C23" s="189" t="s">
        <v>283</v>
      </c>
      <c r="D23" s="189"/>
      <c r="E23" s="189"/>
      <c r="F23" s="189"/>
      <c r="G23" s="189"/>
      <c r="H23" s="189"/>
      <c r="I23" s="189" t="s">
        <v>299</v>
      </c>
      <c r="J23" s="189"/>
      <c r="K23" s="189"/>
      <c r="L23" s="189"/>
      <c r="M23" s="189"/>
      <c r="N23" s="189"/>
      <c r="O23" s="189"/>
      <c r="P23" s="189"/>
      <c r="Q23" s="189" t="s">
        <v>144</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3">
        <v>16</v>
      </c>
      <c r="C24" s="189" t="s">
        <v>284</v>
      </c>
      <c r="D24" s="189"/>
      <c r="E24" s="189"/>
      <c r="F24" s="189"/>
      <c r="G24" s="189"/>
      <c r="H24" s="189"/>
      <c r="I24" s="189" t="s">
        <v>300</v>
      </c>
      <c r="J24" s="189"/>
      <c r="K24" s="189"/>
      <c r="L24" s="189"/>
      <c r="M24" s="189"/>
      <c r="N24" s="189"/>
      <c r="O24" s="189"/>
      <c r="P24" s="189"/>
      <c r="Q24" s="189" t="s">
        <v>144</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3">
        <v>17</v>
      </c>
      <c r="C25" s="189" t="s">
        <v>285</v>
      </c>
      <c r="D25" s="189"/>
      <c r="E25" s="189"/>
      <c r="F25" s="189"/>
      <c r="G25" s="189"/>
      <c r="H25" s="189"/>
      <c r="I25" s="189" t="s">
        <v>1634</v>
      </c>
      <c r="J25" s="189"/>
      <c r="K25" s="189"/>
      <c r="L25" s="189"/>
      <c r="M25" s="189"/>
      <c r="N25" s="189"/>
      <c r="O25" s="189"/>
      <c r="P25" s="189"/>
      <c r="Q25" s="189" t="s">
        <v>144</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3">
        <v>18</v>
      </c>
      <c r="C26" s="189" t="s">
        <v>286</v>
      </c>
      <c r="D26" s="189"/>
      <c r="E26" s="189"/>
      <c r="F26" s="189"/>
      <c r="G26" s="189"/>
      <c r="H26" s="189"/>
      <c r="I26" s="189" t="s">
        <v>301</v>
      </c>
      <c r="J26" s="189"/>
      <c r="K26" s="189"/>
      <c r="L26" s="189"/>
      <c r="M26" s="189"/>
      <c r="N26" s="189"/>
      <c r="O26" s="189"/>
      <c r="P26" s="189"/>
      <c r="Q26" s="189" t="s">
        <v>144</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3">
        <v>19</v>
      </c>
      <c r="C27" s="189" t="s">
        <v>287</v>
      </c>
      <c r="D27" s="189"/>
      <c r="E27" s="189"/>
      <c r="F27" s="189"/>
      <c r="G27" s="189"/>
      <c r="H27" s="189"/>
      <c r="I27" s="189" t="s">
        <v>302</v>
      </c>
      <c r="J27" s="189"/>
      <c r="K27" s="189"/>
      <c r="L27" s="189"/>
      <c r="M27" s="189"/>
      <c r="N27" s="189"/>
      <c r="O27" s="189"/>
      <c r="P27" s="189"/>
      <c r="Q27" s="189" t="s">
        <v>144</v>
      </c>
      <c r="R27" s="189"/>
      <c r="S27" s="189"/>
      <c r="T27" s="189"/>
      <c r="U27" s="189"/>
      <c r="V27" s="189"/>
      <c r="W27" s="189"/>
      <c r="X27" s="189"/>
      <c r="Y27" s="189"/>
      <c r="Z27" s="189"/>
      <c r="AA27" s="189"/>
      <c r="AB27" s="189"/>
      <c r="AC27" s="189"/>
      <c r="AD27" s="189"/>
      <c r="AE27" s="189"/>
      <c r="AF27" s="189"/>
      <c r="AG27" s="189"/>
      <c r="AH27" s="189"/>
      <c r="AI27" s="189"/>
      <c r="AJ27" s="189"/>
      <c r="AK27" s="191"/>
    </row>
    <row r="28" spans="2:37" ht="13.8" thickBot="1">
      <c r="B28" s="4">
        <v>20</v>
      </c>
      <c r="C28" s="190" t="s">
        <v>288</v>
      </c>
      <c r="D28" s="190"/>
      <c r="E28" s="190"/>
      <c r="F28" s="190"/>
      <c r="G28" s="190"/>
      <c r="H28" s="190"/>
      <c r="I28" s="190" t="s">
        <v>261</v>
      </c>
      <c r="J28" s="190"/>
      <c r="K28" s="190"/>
      <c r="L28" s="190"/>
      <c r="M28" s="190"/>
      <c r="N28" s="190"/>
      <c r="O28" s="190"/>
      <c r="P28" s="190"/>
      <c r="Q28" s="190" t="s">
        <v>146</v>
      </c>
      <c r="R28" s="190"/>
      <c r="S28" s="190"/>
      <c r="T28" s="190"/>
      <c r="U28" s="190"/>
      <c r="V28" s="190"/>
      <c r="W28" s="190"/>
      <c r="X28" s="190"/>
      <c r="Y28" s="190"/>
      <c r="Z28" s="190"/>
      <c r="AA28" s="190"/>
      <c r="AB28" s="190"/>
      <c r="AC28" s="190"/>
      <c r="AD28" s="190"/>
      <c r="AE28" s="190"/>
      <c r="AF28" s="190"/>
      <c r="AG28" s="190"/>
      <c r="AH28" s="190"/>
      <c r="AI28" s="190"/>
      <c r="AJ28" s="190"/>
      <c r="AK28" s="198"/>
    </row>
    <row r="31" spans="2:37" ht="15" thickBot="1">
      <c r="B31" s="7" t="s">
        <v>994</v>
      </c>
    </row>
    <row r="32" spans="2:37">
      <c r="B32" s="10" t="s">
        <v>7</v>
      </c>
      <c r="C32" s="226" t="s">
        <v>998</v>
      </c>
      <c r="D32" s="226"/>
      <c r="E32" s="226"/>
      <c r="F32" s="226"/>
      <c r="G32" s="226"/>
      <c r="H32" s="226"/>
      <c r="I32" s="226"/>
      <c r="J32" s="226"/>
      <c r="K32" s="226"/>
      <c r="L32" s="226" t="s">
        <v>1000</v>
      </c>
      <c r="M32" s="226"/>
      <c r="N32" s="226"/>
      <c r="O32" s="226"/>
      <c r="P32" s="226"/>
      <c r="Q32" s="226"/>
      <c r="R32" s="226"/>
      <c r="S32" s="226"/>
      <c r="T32" s="226"/>
      <c r="U32" s="226"/>
      <c r="V32" s="226" t="s">
        <v>1002</v>
      </c>
      <c r="W32" s="226"/>
      <c r="X32" s="226"/>
      <c r="Y32" s="226" t="s">
        <v>1004</v>
      </c>
      <c r="Z32" s="226"/>
      <c r="AA32" s="226"/>
      <c r="AB32" s="226" t="s">
        <v>1005</v>
      </c>
      <c r="AC32" s="226"/>
      <c r="AD32" s="226"/>
      <c r="AE32" s="226"/>
      <c r="AF32" s="226"/>
      <c r="AG32" s="226"/>
      <c r="AH32" s="226"/>
      <c r="AI32" s="227"/>
    </row>
    <row r="33" spans="2:35" ht="13.8" thickBot="1">
      <c r="B33" s="12">
        <v>1</v>
      </c>
      <c r="C33" s="238" t="s">
        <v>1029</v>
      </c>
      <c r="D33" s="238"/>
      <c r="E33" s="238"/>
      <c r="F33" s="238"/>
      <c r="G33" s="238"/>
      <c r="H33" s="238"/>
      <c r="I33" s="238"/>
      <c r="J33" s="238"/>
      <c r="K33" s="238"/>
      <c r="L33" s="238" t="s">
        <v>1030</v>
      </c>
      <c r="M33" s="238"/>
      <c r="N33" s="238"/>
      <c r="O33" s="238"/>
      <c r="P33" s="238"/>
      <c r="Q33" s="238"/>
      <c r="R33" s="238"/>
      <c r="S33" s="238"/>
      <c r="T33" s="238"/>
      <c r="U33" s="238"/>
      <c r="V33" s="238" t="s">
        <v>1022</v>
      </c>
      <c r="W33" s="238"/>
      <c r="X33" s="238"/>
      <c r="Y33" s="238" t="s">
        <v>1022</v>
      </c>
      <c r="Z33" s="238"/>
      <c r="AA33" s="238"/>
      <c r="AB33" s="238"/>
      <c r="AC33" s="238"/>
      <c r="AD33" s="238"/>
      <c r="AE33" s="238"/>
      <c r="AF33" s="238"/>
      <c r="AG33" s="238"/>
      <c r="AH33" s="238"/>
      <c r="AI33" s="239"/>
    </row>
    <row r="34" spans="2:35">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row>
    <row r="35" spans="2:35" ht="15" thickBot="1">
      <c r="B35" s="7" t="s">
        <v>995</v>
      </c>
    </row>
    <row r="36" spans="2:35">
      <c r="B36" s="14" t="s">
        <v>1069</v>
      </c>
      <c r="C36" s="226" t="s">
        <v>1070</v>
      </c>
      <c r="D36" s="226"/>
      <c r="E36" s="226"/>
      <c r="F36" s="226"/>
      <c r="G36" s="226"/>
      <c r="H36" s="226"/>
      <c r="I36" s="226"/>
      <c r="J36" s="226"/>
      <c r="K36" s="226"/>
      <c r="L36" s="226"/>
      <c r="M36" s="226" t="s">
        <v>1072</v>
      </c>
      <c r="N36" s="226"/>
      <c r="O36" s="226"/>
      <c r="P36" s="226"/>
      <c r="Q36" s="226"/>
      <c r="R36" s="226"/>
      <c r="S36" s="226"/>
      <c r="T36" s="226"/>
      <c r="U36" s="226" t="s">
        <v>1154</v>
      </c>
      <c r="V36" s="226"/>
      <c r="W36" s="226"/>
      <c r="X36" s="226"/>
      <c r="Y36" s="226"/>
      <c r="Z36" s="226"/>
      <c r="AA36" s="226"/>
      <c r="AB36" s="226"/>
      <c r="AC36" s="226"/>
      <c r="AD36" s="226" t="s">
        <v>1155</v>
      </c>
      <c r="AE36" s="226"/>
      <c r="AF36" s="226"/>
      <c r="AG36" s="226"/>
      <c r="AH36" s="226"/>
      <c r="AI36" s="227"/>
    </row>
    <row r="37" spans="2:35" ht="13.8" thickBot="1">
      <c r="B37" s="4"/>
      <c r="C37" s="190"/>
      <c r="D37" s="190"/>
      <c r="E37" s="190"/>
      <c r="F37" s="190"/>
      <c r="G37" s="190"/>
      <c r="H37" s="190"/>
      <c r="I37" s="190"/>
      <c r="J37" s="190"/>
      <c r="K37" s="190"/>
      <c r="L37" s="190"/>
      <c r="M37" s="190"/>
      <c r="N37" s="190"/>
      <c r="O37" s="190"/>
      <c r="P37" s="190"/>
      <c r="Q37" s="190"/>
      <c r="R37" s="190"/>
      <c r="S37" s="190"/>
      <c r="T37" s="190"/>
      <c r="U37" s="190"/>
      <c r="V37" s="190"/>
      <c r="W37" s="190"/>
      <c r="X37" s="190"/>
      <c r="Y37" s="190"/>
      <c r="Z37" s="190"/>
      <c r="AA37" s="190"/>
      <c r="AB37" s="190"/>
      <c r="AC37" s="190"/>
      <c r="AD37" s="190"/>
      <c r="AE37" s="190"/>
      <c r="AF37" s="190"/>
      <c r="AG37" s="190"/>
      <c r="AH37" s="190"/>
      <c r="AI37" s="198"/>
    </row>
    <row r="39" spans="2:35" ht="15" thickBot="1">
      <c r="B39" s="7" t="s">
        <v>996</v>
      </c>
    </row>
    <row r="40" spans="2:35">
      <c r="B40" s="14" t="s">
        <v>1069</v>
      </c>
      <c r="C40" s="226" t="s">
        <v>1070</v>
      </c>
      <c r="D40" s="226"/>
      <c r="E40" s="226"/>
      <c r="F40" s="226"/>
      <c r="G40" s="226"/>
      <c r="H40" s="226"/>
      <c r="I40" s="226"/>
      <c r="J40" s="226"/>
      <c r="K40" s="226"/>
      <c r="L40" s="226"/>
      <c r="M40" s="226" t="s">
        <v>1072</v>
      </c>
      <c r="N40" s="226"/>
      <c r="O40" s="226"/>
      <c r="P40" s="226"/>
      <c r="Q40" s="226"/>
      <c r="R40" s="226"/>
      <c r="S40" s="226"/>
      <c r="T40" s="226"/>
      <c r="U40" s="226" t="s">
        <v>1154</v>
      </c>
      <c r="V40" s="226"/>
      <c r="W40" s="226"/>
      <c r="X40" s="226"/>
      <c r="Y40" s="226"/>
      <c r="Z40" s="226"/>
      <c r="AA40" s="226"/>
      <c r="AB40" s="226"/>
      <c r="AC40" s="226"/>
      <c r="AD40" s="226" t="s">
        <v>1155</v>
      </c>
      <c r="AE40" s="226"/>
      <c r="AF40" s="226"/>
      <c r="AG40" s="226"/>
      <c r="AH40" s="226"/>
      <c r="AI40" s="227"/>
    </row>
    <row r="41" spans="2:35" ht="13.8" thickBot="1">
      <c r="B41" s="4"/>
      <c r="C41" s="190"/>
      <c r="D41" s="190"/>
      <c r="E41" s="190"/>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8"/>
    </row>
  </sheetData>
  <mergeCells count="180">
    <mergeCell ref="C37:L37"/>
    <mergeCell ref="M37:T37"/>
    <mergeCell ref="U37:AC37"/>
    <mergeCell ref="AD37:AI37"/>
    <mergeCell ref="C40:L40"/>
    <mergeCell ref="M40:T40"/>
    <mergeCell ref="U40:AC40"/>
    <mergeCell ref="AD40:AI40"/>
    <mergeCell ref="C41:L41"/>
    <mergeCell ref="M41:T41"/>
    <mergeCell ref="U41:AC41"/>
    <mergeCell ref="AD41:AI41"/>
    <mergeCell ref="C33:K33"/>
    <mergeCell ref="L33:U33"/>
    <mergeCell ref="V33:X33"/>
    <mergeCell ref="Y33:AA33"/>
    <mergeCell ref="AB33:AI33"/>
    <mergeCell ref="C36:L36"/>
    <mergeCell ref="M36:T36"/>
    <mergeCell ref="U36:AC36"/>
    <mergeCell ref="AD36:AI36"/>
    <mergeCell ref="AE15:AK15"/>
    <mergeCell ref="AE16:AK16"/>
    <mergeCell ref="AE18:AK18"/>
    <mergeCell ref="AE19:AK19"/>
    <mergeCell ref="AE20:AK20"/>
    <mergeCell ref="C32:K32"/>
    <mergeCell ref="L32:U32"/>
    <mergeCell ref="V32:X32"/>
    <mergeCell ref="Y32:AA32"/>
    <mergeCell ref="AB32:AI32"/>
    <mergeCell ref="AC22:AD22"/>
    <mergeCell ref="AC23:AD23"/>
    <mergeCell ref="AE27:AK27"/>
    <mergeCell ref="AE28:AK28"/>
    <mergeCell ref="AE21:AK21"/>
    <mergeCell ref="AE22:AK22"/>
    <mergeCell ref="AE23:AK23"/>
    <mergeCell ref="AE24:AK24"/>
    <mergeCell ref="AE25:AK25"/>
    <mergeCell ref="AE26:AK26"/>
    <mergeCell ref="AA27:AB27"/>
    <mergeCell ref="AA28:AB28"/>
    <mergeCell ref="AA22:AB22"/>
    <mergeCell ref="AA23:AB23"/>
    <mergeCell ref="AC28:AD28"/>
    <mergeCell ref="AC18:AD18"/>
    <mergeCell ref="AC19:AD19"/>
    <mergeCell ref="AC20:AD20"/>
    <mergeCell ref="AC21:AD21"/>
    <mergeCell ref="AA18:AB18"/>
    <mergeCell ref="AA19:AB19"/>
    <mergeCell ref="AA26:AB26"/>
    <mergeCell ref="AC10:AD10"/>
    <mergeCell ref="AC11:AD11"/>
    <mergeCell ref="AC12:AD12"/>
    <mergeCell ref="AC13:AD13"/>
    <mergeCell ref="AC14:AD14"/>
    <mergeCell ref="AC15:AD15"/>
    <mergeCell ref="AC16:AD16"/>
    <mergeCell ref="AA20:AB20"/>
    <mergeCell ref="AA21:AB21"/>
    <mergeCell ref="AA15:AB15"/>
    <mergeCell ref="AA16:AB16"/>
    <mergeCell ref="I28:P28"/>
    <mergeCell ref="Q9:X9"/>
    <mergeCell ref="Q10:X10"/>
    <mergeCell ref="Q11:X11"/>
    <mergeCell ref="Q12:X12"/>
    <mergeCell ref="Q13:X13"/>
    <mergeCell ref="Q14:X14"/>
    <mergeCell ref="I19:P19"/>
    <mergeCell ref="I20:P20"/>
    <mergeCell ref="I21:P21"/>
    <mergeCell ref="I22:P22"/>
    <mergeCell ref="I23:P23"/>
    <mergeCell ref="I24:P24"/>
    <mergeCell ref="Q28:X28"/>
    <mergeCell ref="Q27:X27"/>
    <mergeCell ref="Q22:X22"/>
    <mergeCell ref="Q23:X23"/>
    <mergeCell ref="Q24:X24"/>
    <mergeCell ref="Q25:X25"/>
    <mergeCell ref="Q26:X26"/>
    <mergeCell ref="Q15:X15"/>
    <mergeCell ref="Q16:X16"/>
    <mergeCell ref="Q18:X18"/>
    <mergeCell ref="Q19:X19"/>
    <mergeCell ref="C28:H28"/>
    <mergeCell ref="I9:P9"/>
    <mergeCell ref="I10:P10"/>
    <mergeCell ref="I11:P11"/>
    <mergeCell ref="I12:P12"/>
    <mergeCell ref="I13:P13"/>
    <mergeCell ref="I14:P14"/>
    <mergeCell ref="I15:P15"/>
    <mergeCell ref="I16:P16"/>
    <mergeCell ref="I18:P18"/>
    <mergeCell ref="C22:H22"/>
    <mergeCell ref="C23:H23"/>
    <mergeCell ref="C24:H24"/>
    <mergeCell ref="C25:H25"/>
    <mergeCell ref="C26:H26"/>
    <mergeCell ref="C27:H27"/>
    <mergeCell ref="C15:H15"/>
    <mergeCell ref="C16:H16"/>
    <mergeCell ref="C18:H18"/>
    <mergeCell ref="C19:H19"/>
    <mergeCell ref="C20:H20"/>
    <mergeCell ref="C21:H21"/>
    <mergeCell ref="C9:H9"/>
    <mergeCell ref="C10:H10"/>
    <mergeCell ref="C11:H11"/>
    <mergeCell ref="C12:H12"/>
    <mergeCell ref="C13:H13"/>
    <mergeCell ref="C14:H14"/>
    <mergeCell ref="Q8:X8"/>
    <mergeCell ref="AA8:AB8"/>
    <mergeCell ref="AC8:AD8"/>
    <mergeCell ref="AE8:AK8"/>
    <mergeCell ref="AA9:AB9"/>
    <mergeCell ref="AC9:AD9"/>
    <mergeCell ref="AA10:AB10"/>
    <mergeCell ref="AA11:AB11"/>
    <mergeCell ref="AA12:AB12"/>
    <mergeCell ref="AA13:AB13"/>
    <mergeCell ref="AA14:AB14"/>
    <mergeCell ref="AE9:AK9"/>
    <mergeCell ref="AE10:AK10"/>
    <mergeCell ref="AE11:AK11"/>
    <mergeCell ref="AE12:AK12"/>
    <mergeCell ref="AE13:AK13"/>
    <mergeCell ref="AE14:AK14"/>
    <mergeCell ref="Y8:Z8"/>
    <mergeCell ref="Y9:Z9"/>
    <mergeCell ref="Y10:Z10"/>
    <mergeCell ref="B2:E4"/>
    <mergeCell ref="F2:H2"/>
    <mergeCell ref="F3:H3"/>
    <mergeCell ref="F4:H4"/>
    <mergeCell ref="C8:H8"/>
    <mergeCell ref="I8:P8"/>
    <mergeCell ref="I2:L2"/>
    <mergeCell ref="I3:L3"/>
    <mergeCell ref="I4:L4"/>
    <mergeCell ref="Y28:Z28"/>
    <mergeCell ref="Y11:Z11"/>
    <mergeCell ref="Y12:Z12"/>
    <mergeCell ref="Y13:Z13"/>
    <mergeCell ref="Y14:Z14"/>
    <mergeCell ref="Y15:Z15"/>
    <mergeCell ref="Y16:Z16"/>
    <mergeCell ref="Y18:Z18"/>
    <mergeCell ref="Y19:Z19"/>
    <mergeCell ref="Y20:Z20"/>
    <mergeCell ref="Y21:Z21"/>
    <mergeCell ref="Y22:Z22"/>
    <mergeCell ref="Y23:Z23"/>
    <mergeCell ref="Y24:Z24"/>
    <mergeCell ref="Y25:Z25"/>
    <mergeCell ref="C17:H17"/>
    <mergeCell ref="I17:P17"/>
    <mergeCell ref="Q17:X17"/>
    <mergeCell ref="Y17:Z17"/>
    <mergeCell ref="AA17:AB17"/>
    <mergeCell ref="AC17:AD17"/>
    <mergeCell ref="AE17:AK17"/>
    <mergeCell ref="Y26:Z26"/>
    <mergeCell ref="Y27:Z27"/>
    <mergeCell ref="I25:P25"/>
    <mergeCell ref="I26:P26"/>
    <mergeCell ref="I27:P27"/>
    <mergeCell ref="Q20:X20"/>
    <mergeCell ref="Q21:X21"/>
    <mergeCell ref="AA24:AB24"/>
    <mergeCell ref="AA25:AB25"/>
    <mergeCell ref="AC24:AD24"/>
    <mergeCell ref="AC25:AD25"/>
    <mergeCell ref="AC26:AD26"/>
    <mergeCell ref="AC27:AD27"/>
  </mergeCells>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377BA-4087-4C97-B193-3374B720767B}">
  <sheetPr codeName="Sheet21"/>
  <dimension ref="B1:AK23"/>
  <sheetViews>
    <sheetView workbookViewId="0">
      <selection activeCell="AA9" sqref="AA9:AB9"/>
    </sheetView>
  </sheetViews>
  <sheetFormatPr defaultColWidth="3.6640625" defaultRowHeight="13.2"/>
  <sheetData>
    <row r="1" spans="2:37" ht="13.8" thickBot="1"/>
    <row r="2" spans="2:37">
      <c r="B2" s="205" t="s">
        <v>95</v>
      </c>
      <c r="C2" s="206"/>
      <c r="D2" s="206"/>
      <c r="E2" s="206"/>
      <c r="F2" s="211" t="s">
        <v>93</v>
      </c>
      <c r="G2" s="211"/>
      <c r="H2" s="212"/>
      <c r="I2" s="196" t="s">
        <v>310</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305</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306</v>
      </c>
      <c r="D9" s="189"/>
      <c r="E9" s="189"/>
      <c r="F9" s="189"/>
      <c r="G9" s="189"/>
      <c r="H9" s="189"/>
      <c r="I9" s="189" t="s">
        <v>308</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307</v>
      </c>
      <c r="D10" s="190"/>
      <c r="E10" s="190"/>
      <c r="F10" s="190"/>
      <c r="G10" s="190"/>
      <c r="H10" s="190"/>
      <c r="I10" s="190" t="s">
        <v>309</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1031</v>
      </c>
      <c r="D15" s="238"/>
      <c r="E15" s="238"/>
      <c r="F15" s="238"/>
      <c r="G15" s="238"/>
      <c r="H15" s="238"/>
      <c r="I15" s="238"/>
      <c r="J15" s="238"/>
      <c r="K15" s="238"/>
      <c r="L15" s="238" t="s">
        <v>1032</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AA10:AB10"/>
    <mergeCell ref="AC10:AD10"/>
    <mergeCell ref="AE9:AK9"/>
    <mergeCell ref="AE10:AK10"/>
    <mergeCell ref="C9:H9"/>
    <mergeCell ref="C10:H10"/>
    <mergeCell ref="I9:P9"/>
    <mergeCell ref="I10:P10"/>
    <mergeCell ref="Q9:X9"/>
    <mergeCell ref="Q10:X10"/>
    <mergeCell ref="Y10:Z10"/>
    <mergeCell ref="Q8:X8"/>
    <mergeCell ref="AA8:AB8"/>
    <mergeCell ref="AC8:AD8"/>
    <mergeCell ref="AE8:AK8"/>
    <mergeCell ref="AA9:AB9"/>
    <mergeCell ref="AC9:AD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A4EF9-7ED0-48D1-ADAE-1F1CB5CBE177}">
  <sheetPr codeName="Sheet22"/>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317</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312</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313</v>
      </c>
      <c r="D9" s="189"/>
      <c r="E9" s="189"/>
      <c r="F9" s="189"/>
      <c r="G9" s="189"/>
      <c r="H9" s="189"/>
      <c r="I9" s="189" t="s">
        <v>315</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314</v>
      </c>
      <c r="D10" s="190"/>
      <c r="E10" s="190"/>
      <c r="F10" s="190"/>
      <c r="G10" s="190"/>
      <c r="H10" s="190"/>
      <c r="I10" s="190" t="s">
        <v>316</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1033</v>
      </c>
      <c r="D15" s="238"/>
      <c r="E15" s="238"/>
      <c r="F15" s="238"/>
      <c r="G15" s="238"/>
      <c r="H15" s="238"/>
      <c r="I15" s="238"/>
      <c r="J15" s="238"/>
      <c r="K15" s="238"/>
      <c r="L15" s="238" t="s">
        <v>1034</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AA10:AB10"/>
    <mergeCell ref="AC10:AD10"/>
    <mergeCell ref="AE9:AK9"/>
    <mergeCell ref="AE10:AK10"/>
    <mergeCell ref="C9:H9"/>
    <mergeCell ref="C10:H10"/>
    <mergeCell ref="I9:P9"/>
    <mergeCell ref="I10:P10"/>
    <mergeCell ref="Q9:X9"/>
    <mergeCell ref="Q10:X10"/>
    <mergeCell ref="Y10:Z10"/>
    <mergeCell ref="Q8:X8"/>
    <mergeCell ref="AA8:AB8"/>
    <mergeCell ref="AC8:AD8"/>
    <mergeCell ref="AE8:AK8"/>
    <mergeCell ref="AA9:AB9"/>
    <mergeCell ref="AC9:AD9"/>
    <mergeCell ref="Y8:Z8"/>
    <mergeCell ref="Y9:Z9"/>
    <mergeCell ref="I8:P8"/>
    <mergeCell ref="I2:M2"/>
    <mergeCell ref="I3:M3"/>
    <mergeCell ref="I4:M4"/>
    <mergeCell ref="B2:E4"/>
    <mergeCell ref="F2:H2"/>
    <mergeCell ref="F3:H3"/>
    <mergeCell ref="F4:H4"/>
    <mergeCell ref="C8:H8"/>
  </mergeCells>
  <phoneticPr fontId="3"/>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7D8AC-CE2C-48A1-83D4-14F41206A30B}">
  <sheetPr codeName="Sheet23"/>
  <dimension ref="B1:AK24"/>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324</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319</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274</v>
      </c>
      <c r="D9" s="189"/>
      <c r="E9" s="189"/>
      <c r="F9" s="189"/>
      <c r="G9" s="189"/>
      <c r="H9" s="189"/>
      <c r="I9" s="189" t="s">
        <v>289</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320</v>
      </c>
      <c r="D10" s="189"/>
      <c r="E10" s="189"/>
      <c r="F10" s="189"/>
      <c r="G10" s="189"/>
      <c r="H10" s="189"/>
      <c r="I10" s="189" t="s">
        <v>322</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321</v>
      </c>
      <c r="D11" s="190"/>
      <c r="E11" s="190"/>
      <c r="F11" s="190"/>
      <c r="G11" s="190"/>
      <c r="H11" s="190"/>
      <c r="I11" s="190" t="s">
        <v>323</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10" t="s">
        <v>7</v>
      </c>
      <c r="C15" s="226" t="s">
        <v>998</v>
      </c>
      <c r="D15" s="226"/>
      <c r="E15" s="226"/>
      <c r="F15" s="226"/>
      <c r="G15" s="226"/>
      <c r="H15" s="226"/>
      <c r="I15" s="226"/>
      <c r="J15" s="226"/>
      <c r="K15" s="226"/>
      <c r="L15" s="226" t="s">
        <v>1000</v>
      </c>
      <c r="M15" s="226"/>
      <c r="N15" s="226"/>
      <c r="O15" s="226"/>
      <c r="P15" s="226"/>
      <c r="Q15" s="226"/>
      <c r="R15" s="226"/>
      <c r="S15" s="226"/>
      <c r="T15" s="226"/>
      <c r="U15" s="226"/>
      <c r="V15" s="226" t="s">
        <v>1002</v>
      </c>
      <c r="W15" s="226"/>
      <c r="X15" s="226"/>
      <c r="Y15" s="226" t="s">
        <v>1004</v>
      </c>
      <c r="Z15" s="226"/>
      <c r="AA15" s="226"/>
      <c r="AB15" s="226" t="s">
        <v>1005</v>
      </c>
      <c r="AC15" s="226"/>
      <c r="AD15" s="226"/>
      <c r="AE15" s="226"/>
      <c r="AF15" s="226"/>
      <c r="AG15" s="226"/>
      <c r="AH15" s="226"/>
      <c r="AI15" s="227"/>
    </row>
    <row r="16" spans="2:37" ht="13.8" thickBot="1">
      <c r="B16" s="12">
        <v>1</v>
      </c>
      <c r="C16" s="238" t="s">
        <v>1035</v>
      </c>
      <c r="D16" s="238"/>
      <c r="E16" s="238"/>
      <c r="F16" s="238"/>
      <c r="G16" s="238"/>
      <c r="H16" s="238"/>
      <c r="I16" s="238"/>
      <c r="J16" s="238"/>
      <c r="K16" s="238"/>
      <c r="L16" s="238" t="s">
        <v>1036</v>
      </c>
      <c r="M16" s="238"/>
      <c r="N16" s="238"/>
      <c r="O16" s="238"/>
      <c r="P16" s="238"/>
      <c r="Q16" s="238"/>
      <c r="R16" s="238"/>
      <c r="S16" s="238"/>
      <c r="T16" s="238"/>
      <c r="U16" s="238"/>
      <c r="V16" s="238" t="s">
        <v>1022</v>
      </c>
      <c r="W16" s="238"/>
      <c r="X16" s="238"/>
      <c r="Y16" s="238" t="s">
        <v>1022</v>
      </c>
      <c r="Z16" s="238"/>
      <c r="AA16" s="238"/>
      <c r="AB16" s="238"/>
      <c r="AC16" s="238"/>
      <c r="AD16" s="238"/>
      <c r="AE16" s="238"/>
      <c r="AF16" s="238"/>
      <c r="AG16" s="238"/>
      <c r="AH16" s="238"/>
      <c r="AI16" s="239"/>
    </row>
    <row r="17" spans="2:35">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row>
    <row r="18" spans="2:35" ht="15" thickBot="1">
      <c r="B18" s="7" t="s">
        <v>995</v>
      </c>
    </row>
    <row r="19" spans="2:35">
      <c r="B19" s="14" t="s">
        <v>1069</v>
      </c>
      <c r="C19" s="226" t="s">
        <v>1070</v>
      </c>
      <c r="D19" s="226"/>
      <c r="E19" s="226"/>
      <c r="F19" s="226"/>
      <c r="G19" s="226"/>
      <c r="H19" s="226"/>
      <c r="I19" s="226"/>
      <c r="J19" s="226"/>
      <c r="K19" s="226"/>
      <c r="L19" s="226"/>
      <c r="M19" s="226" t="s">
        <v>1072</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4"/>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61">
    <mergeCell ref="C23:L23"/>
    <mergeCell ref="M23:T23"/>
    <mergeCell ref="U23:AC23"/>
    <mergeCell ref="AD23:AI23"/>
    <mergeCell ref="C24:L24"/>
    <mergeCell ref="M24:T24"/>
    <mergeCell ref="U24:AC24"/>
    <mergeCell ref="AD24:AI24"/>
    <mergeCell ref="C19:L19"/>
    <mergeCell ref="M19:T19"/>
    <mergeCell ref="U19:AC19"/>
    <mergeCell ref="AD19:AI19"/>
    <mergeCell ref="C20:L20"/>
    <mergeCell ref="M20:T20"/>
    <mergeCell ref="U20:AC20"/>
    <mergeCell ref="AD20:AI20"/>
    <mergeCell ref="C16:K16"/>
    <mergeCell ref="L16:U16"/>
    <mergeCell ref="V16:X16"/>
    <mergeCell ref="Y16:AA16"/>
    <mergeCell ref="AB16:AI16"/>
    <mergeCell ref="C15:K15"/>
    <mergeCell ref="L15:U15"/>
    <mergeCell ref="V15:X15"/>
    <mergeCell ref="Y15:AA15"/>
    <mergeCell ref="AB15:AI15"/>
    <mergeCell ref="AE10:AK10"/>
    <mergeCell ref="AE11:AK11"/>
    <mergeCell ref="Q10:X10"/>
    <mergeCell ref="Q11:X11"/>
    <mergeCell ref="AA10:AB10"/>
    <mergeCell ref="AA11:AB11"/>
    <mergeCell ref="AC10:AD10"/>
    <mergeCell ref="AC11:AD11"/>
    <mergeCell ref="Y10:Z10"/>
    <mergeCell ref="Y11:Z11"/>
    <mergeCell ref="C9:H9"/>
    <mergeCell ref="C10:H10"/>
    <mergeCell ref="C11:H11"/>
    <mergeCell ref="I9:P9"/>
    <mergeCell ref="I10:P10"/>
    <mergeCell ref="I11:P11"/>
    <mergeCell ref="Q8:X8"/>
    <mergeCell ref="AA8:AB8"/>
    <mergeCell ref="AC8:AD8"/>
    <mergeCell ref="AE8:AK8"/>
    <mergeCell ref="AA9:AB9"/>
    <mergeCell ref="AC9:AD9"/>
    <mergeCell ref="Q9:X9"/>
    <mergeCell ref="AE9:AK9"/>
    <mergeCell ref="Y8:Z8"/>
    <mergeCell ref="Y9:Z9"/>
    <mergeCell ref="I8:P8"/>
    <mergeCell ref="I2:L2"/>
    <mergeCell ref="I3:L3"/>
    <mergeCell ref="I4:L4"/>
    <mergeCell ref="B2:E4"/>
    <mergeCell ref="F2:H2"/>
    <mergeCell ref="F3:H3"/>
    <mergeCell ref="F4:H4"/>
    <mergeCell ref="C8:H8"/>
  </mergeCells>
  <phoneticPr fontId="3"/>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5C7A6-A53E-49F8-9FD4-A35C4709DCF4}">
  <sheetPr codeName="Sheet24"/>
  <dimension ref="B1:AK23"/>
  <sheetViews>
    <sheetView workbookViewId="0">
      <selection activeCell="I4" sqref="I4:N4"/>
    </sheetView>
  </sheetViews>
  <sheetFormatPr defaultColWidth="3.6640625" defaultRowHeight="13.2"/>
  <sheetData>
    <row r="1" spans="2:37" ht="13.8" thickBot="1"/>
    <row r="2" spans="2:37">
      <c r="B2" s="205" t="s">
        <v>95</v>
      </c>
      <c r="C2" s="206"/>
      <c r="D2" s="206"/>
      <c r="E2" s="206"/>
      <c r="F2" s="211" t="s">
        <v>93</v>
      </c>
      <c r="G2" s="211"/>
      <c r="H2" s="212"/>
      <c r="I2" s="196" t="s">
        <v>331</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326</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327</v>
      </c>
      <c r="D9" s="189"/>
      <c r="E9" s="189"/>
      <c r="F9" s="189"/>
      <c r="G9" s="189"/>
      <c r="H9" s="189"/>
      <c r="I9" s="189" t="s">
        <v>329</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328</v>
      </c>
      <c r="D10" s="190"/>
      <c r="E10" s="190"/>
      <c r="F10" s="190"/>
      <c r="G10" s="190"/>
      <c r="H10" s="190"/>
      <c r="I10" s="190" t="s">
        <v>330</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1037</v>
      </c>
      <c r="D15" s="238"/>
      <c r="E15" s="238"/>
      <c r="F15" s="238"/>
      <c r="G15" s="238"/>
      <c r="H15" s="238"/>
      <c r="I15" s="238"/>
      <c r="J15" s="238"/>
      <c r="K15" s="238"/>
      <c r="L15" s="238" t="s">
        <v>1038</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AA10:AB10"/>
    <mergeCell ref="AC10:AD10"/>
    <mergeCell ref="AE9:AK9"/>
    <mergeCell ref="AE10:AK10"/>
    <mergeCell ref="C9:H9"/>
    <mergeCell ref="C10:H10"/>
    <mergeCell ref="I9:P9"/>
    <mergeCell ref="I10:P10"/>
    <mergeCell ref="Q9:X9"/>
    <mergeCell ref="Q10:X10"/>
    <mergeCell ref="Y10:Z10"/>
    <mergeCell ref="Q8:X8"/>
    <mergeCell ref="AA8:AB8"/>
    <mergeCell ref="AC8:AD8"/>
    <mergeCell ref="AE8:AK8"/>
    <mergeCell ref="AA9:AB9"/>
    <mergeCell ref="AC9:AD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55E1-12E0-4AD9-81DF-AE8F9C9D2952}">
  <sheetPr codeName="Sheet25"/>
  <dimension ref="B1:AK41"/>
  <sheetViews>
    <sheetView topLeftCell="A7" workbookViewId="0">
      <selection activeCell="C21" sqref="C21:H21"/>
    </sheetView>
  </sheetViews>
  <sheetFormatPr defaultColWidth="3.6640625" defaultRowHeight="13.2"/>
  <sheetData>
    <row r="1" spans="2:37" ht="13.8" thickBot="1"/>
    <row r="2" spans="2:37">
      <c r="B2" s="205" t="s">
        <v>95</v>
      </c>
      <c r="C2" s="206"/>
      <c r="D2" s="206"/>
      <c r="E2" s="206"/>
      <c r="F2" s="211" t="s">
        <v>93</v>
      </c>
      <c r="G2" s="211"/>
      <c r="H2" s="212"/>
      <c r="I2" s="196" t="s">
        <v>369</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342</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343</v>
      </c>
      <c r="D9" s="189"/>
      <c r="E9" s="189"/>
      <c r="F9" s="189"/>
      <c r="G9" s="189"/>
      <c r="H9" s="189"/>
      <c r="I9" s="189" t="s">
        <v>353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75">
        <v>2</v>
      </c>
      <c r="C10" s="189" t="s">
        <v>344</v>
      </c>
      <c r="D10" s="189"/>
      <c r="E10" s="189"/>
      <c r="F10" s="189"/>
      <c r="G10" s="189"/>
      <c r="H10" s="189"/>
      <c r="I10" s="189" t="s">
        <v>354</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75">
        <v>4</v>
      </c>
      <c r="C11" s="189" t="s">
        <v>115</v>
      </c>
      <c r="D11" s="189"/>
      <c r="E11" s="189"/>
      <c r="F11" s="189"/>
      <c r="G11" s="189"/>
      <c r="H11" s="189"/>
      <c r="I11" s="189" t="s">
        <v>355</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s="72" customFormat="1">
      <c r="B12" s="75">
        <v>5</v>
      </c>
      <c r="C12" s="244" t="s">
        <v>1704</v>
      </c>
      <c r="D12" s="244"/>
      <c r="E12" s="244"/>
      <c r="F12" s="244"/>
      <c r="G12" s="244"/>
      <c r="H12" s="244"/>
      <c r="I12" s="244" t="s">
        <v>579</v>
      </c>
      <c r="J12" s="244"/>
      <c r="K12" s="244"/>
      <c r="L12" s="244"/>
      <c r="M12" s="244"/>
      <c r="N12" s="244"/>
      <c r="O12" s="244"/>
      <c r="P12" s="244"/>
      <c r="Q12" s="244" t="s">
        <v>1189</v>
      </c>
      <c r="R12" s="244"/>
      <c r="S12" s="244"/>
      <c r="T12" s="244"/>
      <c r="U12" s="244"/>
      <c r="V12" s="244"/>
      <c r="W12" s="244"/>
      <c r="X12" s="244"/>
      <c r="Y12" s="189"/>
      <c r="Z12" s="189"/>
      <c r="AA12" s="189"/>
      <c r="AB12" s="189"/>
      <c r="AC12" s="189"/>
      <c r="AD12" s="189"/>
      <c r="AE12" s="189"/>
      <c r="AF12" s="189"/>
      <c r="AG12" s="189"/>
      <c r="AH12" s="189"/>
      <c r="AI12" s="189"/>
      <c r="AJ12" s="189"/>
      <c r="AK12" s="191"/>
    </row>
    <row r="13" spans="2:37">
      <c r="B13" s="75">
        <v>6</v>
      </c>
      <c r="C13" s="245" t="s">
        <v>345</v>
      </c>
      <c r="D13" s="245"/>
      <c r="E13" s="245"/>
      <c r="F13" s="245"/>
      <c r="G13" s="245"/>
      <c r="H13" s="245"/>
      <c r="I13" s="245" t="s">
        <v>356</v>
      </c>
      <c r="J13" s="245"/>
      <c r="K13" s="245"/>
      <c r="L13" s="245"/>
      <c r="M13" s="245"/>
      <c r="N13" s="245"/>
      <c r="O13" s="245"/>
      <c r="P13" s="245"/>
      <c r="Q13" s="245" t="s">
        <v>143</v>
      </c>
      <c r="R13" s="245"/>
      <c r="S13" s="245"/>
      <c r="T13" s="245"/>
      <c r="U13" s="245"/>
      <c r="V13" s="245"/>
      <c r="W13" s="245"/>
      <c r="X13" s="245"/>
      <c r="Y13" s="189"/>
      <c r="Z13" s="189"/>
      <c r="AA13" s="189"/>
      <c r="AB13" s="189"/>
      <c r="AC13" s="189"/>
      <c r="AD13" s="189"/>
      <c r="AE13" s="189"/>
      <c r="AF13" s="189"/>
      <c r="AG13" s="189"/>
      <c r="AH13" s="189"/>
      <c r="AI13" s="189"/>
      <c r="AJ13" s="189"/>
      <c r="AK13" s="191"/>
    </row>
    <row r="14" spans="2:37">
      <c r="B14" s="75">
        <v>7</v>
      </c>
      <c r="C14" s="189" t="s">
        <v>1669</v>
      </c>
      <c r="D14" s="189"/>
      <c r="E14" s="189"/>
      <c r="F14" s="189"/>
      <c r="G14" s="189"/>
      <c r="H14" s="189"/>
      <c r="I14" s="189" t="s">
        <v>357</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75">
        <v>8</v>
      </c>
      <c r="C15" s="189" t="s">
        <v>1911</v>
      </c>
      <c r="D15" s="189"/>
      <c r="E15" s="189"/>
      <c r="F15" s="189"/>
      <c r="G15" s="189"/>
      <c r="H15" s="189"/>
      <c r="I15" s="189" t="s">
        <v>358</v>
      </c>
      <c r="J15" s="189"/>
      <c r="K15" s="189"/>
      <c r="L15" s="189"/>
      <c r="M15" s="189"/>
      <c r="N15" s="189"/>
      <c r="O15" s="189"/>
      <c r="P15" s="189"/>
      <c r="Q15" s="189" t="s">
        <v>367</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75">
        <v>9</v>
      </c>
      <c r="C16" s="189" t="s">
        <v>346</v>
      </c>
      <c r="D16" s="189"/>
      <c r="E16" s="189"/>
      <c r="F16" s="189"/>
      <c r="G16" s="189"/>
      <c r="H16" s="189"/>
      <c r="I16" s="189" t="s">
        <v>359</v>
      </c>
      <c r="J16" s="189"/>
      <c r="K16" s="189"/>
      <c r="L16" s="189"/>
      <c r="M16" s="189"/>
      <c r="N16" s="189"/>
      <c r="O16" s="189"/>
      <c r="P16" s="189"/>
      <c r="Q16" s="189" t="s">
        <v>367</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75">
        <v>10</v>
      </c>
      <c r="C17" s="189" t="s">
        <v>1914</v>
      </c>
      <c r="D17" s="189"/>
      <c r="E17" s="189"/>
      <c r="F17" s="189"/>
      <c r="G17" s="189"/>
      <c r="H17" s="189"/>
      <c r="I17" s="189" t="s">
        <v>360</v>
      </c>
      <c r="J17" s="189"/>
      <c r="K17" s="189"/>
      <c r="L17" s="189"/>
      <c r="M17" s="189"/>
      <c r="N17" s="189"/>
      <c r="O17" s="189"/>
      <c r="P17" s="189"/>
      <c r="Q17" s="189" t="s">
        <v>367</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75">
        <v>10</v>
      </c>
      <c r="C18" s="189" t="s">
        <v>348</v>
      </c>
      <c r="D18" s="189"/>
      <c r="E18" s="189"/>
      <c r="F18" s="189"/>
      <c r="G18" s="189"/>
      <c r="H18" s="189"/>
      <c r="I18" s="189" t="s">
        <v>361</v>
      </c>
      <c r="J18" s="189"/>
      <c r="K18" s="189"/>
      <c r="L18" s="189"/>
      <c r="M18" s="189"/>
      <c r="N18" s="189"/>
      <c r="O18" s="189"/>
      <c r="P18" s="189"/>
      <c r="Q18" s="189" t="s">
        <v>367</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75">
        <v>11</v>
      </c>
      <c r="C19" s="189" t="s">
        <v>1917</v>
      </c>
      <c r="D19" s="189"/>
      <c r="E19" s="189"/>
      <c r="F19" s="189"/>
      <c r="G19" s="189"/>
      <c r="H19" s="189"/>
      <c r="I19" s="189" t="s">
        <v>362</v>
      </c>
      <c r="J19" s="189"/>
      <c r="K19" s="189"/>
      <c r="L19" s="189"/>
      <c r="M19" s="189"/>
      <c r="N19" s="189"/>
      <c r="O19" s="189"/>
      <c r="P19" s="189"/>
      <c r="Q19" s="189" t="s">
        <v>367</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75">
        <v>12</v>
      </c>
      <c r="C20" s="189" t="s">
        <v>1918</v>
      </c>
      <c r="D20" s="189"/>
      <c r="E20" s="189"/>
      <c r="F20" s="189"/>
      <c r="G20" s="189"/>
      <c r="H20" s="189"/>
      <c r="I20" s="189" t="s">
        <v>363</v>
      </c>
      <c r="J20" s="189"/>
      <c r="K20" s="189"/>
      <c r="L20" s="189"/>
      <c r="M20" s="189"/>
      <c r="N20" s="189"/>
      <c r="O20" s="189"/>
      <c r="P20" s="189"/>
      <c r="Q20" s="189" t="s">
        <v>367</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75">
        <v>13</v>
      </c>
      <c r="C21" s="189" t="s">
        <v>349</v>
      </c>
      <c r="D21" s="189"/>
      <c r="E21" s="189"/>
      <c r="F21" s="189"/>
      <c r="G21" s="189"/>
      <c r="H21" s="189"/>
      <c r="I21" s="189" t="s">
        <v>364</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75">
        <v>14</v>
      </c>
      <c r="C22" s="189" t="s">
        <v>252</v>
      </c>
      <c r="D22" s="189"/>
      <c r="E22" s="189"/>
      <c r="F22" s="189"/>
      <c r="G22" s="189"/>
      <c r="H22" s="189"/>
      <c r="I22" s="189" t="s">
        <v>132</v>
      </c>
      <c r="J22" s="189"/>
      <c r="K22" s="189"/>
      <c r="L22" s="189"/>
      <c r="M22" s="189"/>
      <c r="N22" s="189"/>
      <c r="O22" s="189"/>
      <c r="P22" s="189"/>
      <c r="Q22" s="189" t="s">
        <v>143</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75">
        <v>15</v>
      </c>
      <c r="C23" s="189" t="s">
        <v>350</v>
      </c>
      <c r="D23" s="189"/>
      <c r="E23" s="189"/>
      <c r="F23" s="189"/>
      <c r="G23" s="189"/>
      <c r="H23" s="189"/>
      <c r="I23" s="189" t="s">
        <v>138</v>
      </c>
      <c r="J23" s="189"/>
      <c r="K23" s="189"/>
      <c r="L23" s="189"/>
      <c r="M23" s="189"/>
      <c r="N23" s="189"/>
      <c r="O23" s="189"/>
      <c r="P23" s="189"/>
      <c r="Q23" s="189" t="s">
        <v>368</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75">
        <v>16</v>
      </c>
      <c r="C24" s="189" t="s">
        <v>351</v>
      </c>
      <c r="D24" s="189"/>
      <c r="E24" s="189"/>
      <c r="F24" s="189"/>
      <c r="G24" s="189"/>
      <c r="H24" s="189"/>
      <c r="I24" s="189" t="s">
        <v>365</v>
      </c>
      <c r="J24" s="189"/>
      <c r="K24" s="189"/>
      <c r="L24" s="189"/>
      <c r="M24" s="189"/>
      <c r="N24" s="189"/>
      <c r="O24" s="189"/>
      <c r="P24" s="189"/>
      <c r="Q24" s="189" t="s">
        <v>146</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75">
        <v>17</v>
      </c>
      <c r="C25" s="189" t="s">
        <v>352</v>
      </c>
      <c r="D25" s="189"/>
      <c r="E25" s="189"/>
      <c r="F25" s="189"/>
      <c r="G25" s="189"/>
      <c r="H25" s="189"/>
      <c r="I25" s="189" t="s">
        <v>366</v>
      </c>
      <c r="J25" s="189"/>
      <c r="K25" s="189"/>
      <c r="L25" s="189"/>
      <c r="M25" s="189"/>
      <c r="N25" s="189"/>
      <c r="O25" s="189"/>
      <c r="P25" s="189"/>
      <c r="Q25" s="189" t="s">
        <v>146</v>
      </c>
      <c r="R25" s="189"/>
      <c r="S25" s="189"/>
      <c r="T25" s="189"/>
      <c r="U25" s="189"/>
      <c r="V25" s="189"/>
      <c r="W25" s="189"/>
      <c r="X25" s="189"/>
      <c r="Y25" s="189"/>
      <c r="Z25" s="189"/>
      <c r="AA25" s="189"/>
      <c r="AB25" s="189"/>
      <c r="AC25" s="189"/>
      <c r="AD25" s="189"/>
      <c r="AE25" s="189"/>
      <c r="AF25" s="189"/>
      <c r="AG25" s="189"/>
      <c r="AH25" s="189"/>
      <c r="AI25" s="189"/>
      <c r="AJ25" s="189"/>
      <c r="AK25" s="191"/>
    </row>
    <row r="26" spans="2:37" s="126" customFormat="1">
      <c r="B26" s="128">
        <v>17</v>
      </c>
      <c r="C26" s="189" t="s">
        <v>118</v>
      </c>
      <c r="D26" s="189"/>
      <c r="E26" s="189"/>
      <c r="F26" s="189"/>
      <c r="G26" s="189"/>
      <c r="H26" s="189"/>
      <c r="I26" s="189" t="s">
        <v>159</v>
      </c>
      <c r="J26" s="189"/>
      <c r="K26" s="189"/>
      <c r="L26" s="189"/>
      <c r="M26" s="189"/>
      <c r="N26" s="189"/>
      <c r="O26" s="189"/>
      <c r="P26" s="189"/>
      <c r="Q26" s="189" t="s">
        <v>144</v>
      </c>
      <c r="R26" s="189"/>
      <c r="S26" s="189"/>
      <c r="T26" s="189"/>
      <c r="U26" s="189"/>
      <c r="V26" s="189"/>
      <c r="W26" s="189"/>
      <c r="X26" s="189"/>
      <c r="Y26" s="189"/>
      <c r="Z26" s="189"/>
      <c r="AA26" s="189"/>
      <c r="AB26" s="189"/>
      <c r="AC26" s="189"/>
      <c r="AD26" s="189"/>
      <c r="AE26" s="189"/>
      <c r="AF26" s="189"/>
      <c r="AG26" s="189"/>
      <c r="AH26" s="189"/>
      <c r="AI26" s="189"/>
      <c r="AJ26" s="189"/>
      <c r="AK26" s="191"/>
    </row>
    <row r="27" spans="2:37" ht="13.8" thickBot="1">
      <c r="B27" s="4">
        <v>18</v>
      </c>
      <c r="C27" s="190" t="s">
        <v>1709</v>
      </c>
      <c r="D27" s="190"/>
      <c r="E27" s="190"/>
      <c r="F27" s="190"/>
      <c r="G27" s="190"/>
      <c r="H27" s="190"/>
      <c r="I27" s="190" t="s">
        <v>1710</v>
      </c>
      <c r="J27" s="190"/>
      <c r="K27" s="190"/>
      <c r="L27" s="190"/>
      <c r="M27" s="190"/>
      <c r="N27" s="190"/>
      <c r="O27" s="190"/>
      <c r="P27" s="190"/>
      <c r="Q27" s="190" t="s">
        <v>146</v>
      </c>
      <c r="R27" s="190"/>
      <c r="S27" s="190"/>
      <c r="T27" s="190"/>
      <c r="U27" s="190"/>
      <c r="V27" s="190"/>
      <c r="W27" s="190"/>
      <c r="X27" s="190"/>
      <c r="Y27" s="190"/>
      <c r="Z27" s="190"/>
      <c r="AA27" s="190"/>
      <c r="AB27" s="190"/>
      <c r="AC27" s="190"/>
      <c r="AD27" s="190"/>
      <c r="AE27" s="190"/>
      <c r="AF27" s="190"/>
      <c r="AG27" s="190"/>
      <c r="AH27" s="190"/>
      <c r="AI27" s="190"/>
      <c r="AJ27" s="190"/>
      <c r="AK27" s="198"/>
    </row>
    <row r="30" spans="2:37" ht="15" thickBot="1">
      <c r="B30" s="7" t="s">
        <v>994</v>
      </c>
    </row>
    <row r="31" spans="2:37" ht="13.8" thickBot="1">
      <c r="B31" s="10" t="s">
        <v>7</v>
      </c>
      <c r="C31" s="226" t="s">
        <v>998</v>
      </c>
      <c r="D31" s="226"/>
      <c r="E31" s="226"/>
      <c r="F31" s="226"/>
      <c r="G31" s="226"/>
      <c r="H31" s="226"/>
      <c r="I31" s="226"/>
      <c r="J31" s="226"/>
      <c r="K31" s="226"/>
      <c r="L31" s="226" t="s">
        <v>1000</v>
      </c>
      <c r="M31" s="226"/>
      <c r="N31" s="226"/>
      <c r="O31" s="226"/>
      <c r="P31" s="226"/>
      <c r="Q31" s="226"/>
      <c r="R31" s="226"/>
      <c r="S31" s="226"/>
      <c r="T31" s="226"/>
      <c r="U31" s="226"/>
      <c r="V31" s="226" t="s">
        <v>1002</v>
      </c>
      <c r="W31" s="226"/>
      <c r="X31" s="226"/>
      <c r="Y31" s="226" t="s">
        <v>1004</v>
      </c>
      <c r="Z31" s="226"/>
      <c r="AA31" s="226"/>
      <c r="AB31" s="226" t="s">
        <v>1005</v>
      </c>
      <c r="AC31" s="226"/>
      <c r="AD31" s="226"/>
      <c r="AE31" s="226"/>
      <c r="AF31" s="226"/>
      <c r="AG31" s="226"/>
      <c r="AH31" s="226"/>
      <c r="AI31" s="227"/>
    </row>
    <row r="32" spans="2:37">
      <c r="B32" s="74">
        <v>1</v>
      </c>
      <c r="C32" s="247" t="s">
        <v>1039</v>
      </c>
      <c r="D32" s="247"/>
      <c r="E32" s="247"/>
      <c r="F32" s="247"/>
      <c r="G32" s="247"/>
      <c r="H32" s="247"/>
      <c r="I32" s="247"/>
      <c r="J32" s="247"/>
      <c r="K32" s="247"/>
      <c r="L32" s="246" t="s">
        <v>1485</v>
      </c>
      <c r="M32" s="246"/>
      <c r="N32" s="246"/>
      <c r="O32" s="246"/>
      <c r="P32" s="246"/>
      <c r="Q32" s="246"/>
      <c r="R32" s="246"/>
      <c r="S32" s="246"/>
      <c r="T32" s="246"/>
      <c r="U32" s="246"/>
      <c r="V32" s="247" t="s">
        <v>1022</v>
      </c>
      <c r="W32" s="247"/>
      <c r="X32" s="247"/>
      <c r="Y32" s="247" t="s">
        <v>1022</v>
      </c>
      <c r="Z32" s="247"/>
      <c r="AA32" s="247"/>
      <c r="AB32" s="248"/>
      <c r="AC32" s="248"/>
      <c r="AD32" s="248"/>
      <c r="AE32" s="248"/>
      <c r="AF32" s="248"/>
      <c r="AG32" s="248"/>
      <c r="AH32" s="248"/>
      <c r="AI32" s="249"/>
    </row>
    <row r="33" spans="2:35" ht="13.8" thickBot="1">
      <c r="B33" s="12">
        <v>2</v>
      </c>
      <c r="C33" s="238" t="s">
        <v>1042</v>
      </c>
      <c r="D33" s="238"/>
      <c r="E33" s="238"/>
      <c r="F33" s="238"/>
      <c r="G33" s="238"/>
      <c r="H33" s="238"/>
      <c r="I33" s="238"/>
      <c r="J33" s="238"/>
      <c r="K33" s="238"/>
      <c r="L33" s="238" t="s">
        <v>1043</v>
      </c>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9"/>
    </row>
    <row r="34" spans="2:35">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row>
    <row r="35" spans="2:35" ht="15" thickBot="1">
      <c r="B35" s="7" t="s">
        <v>995</v>
      </c>
    </row>
    <row r="36" spans="2:35">
      <c r="B36" s="14" t="s">
        <v>1069</v>
      </c>
      <c r="C36" s="226" t="s">
        <v>1070</v>
      </c>
      <c r="D36" s="226"/>
      <c r="E36" s="226"/>
      <c r="F36" s="226"/>
      <c r="G36" s="226"/>
      <c r="H36" s="226"/>
      <c r="I36" s="226"/>
      <c r="J36" s="226"/>
      <c r="K36" s="226"/>
      <c r="L36" s="226"/>
      <c r="M36" s="226" t="s">
        <v>1072</v>
      </c>
      <c r="N36" s="226"/>
      <c r="O36" s="226"/>
      <c r="P36" s="226"/>
      <c r="Q36" s="226"/>
      <c r="R36" s="226"/>
      <c r="S36" s="226"/>
      <c r="T36" s="226"/>
      <c r="U36" s="226" t="s">
        <v>1154</v>
      </c>
      <c r="V36" s="226"/>
      <c r="W36" s="226"/>
      <c r="X36" s="226"/>
      <c r="Y36" s="226"/>
      <c r="Z36" s="226"/>
      <c r="AA36" s="226"/>
      <c r="AB36" s="226"/>
      <c r="AC36" s="226"/>
      <c r="AD36" s="226" t="s">
        <v>1155</v>
      </c>
      <c r="AE36" s="226"/>
      <c r="AF36" s="226"/>
      <c r="AG36" s="226"/>
      <c r="AH36" s="226"/>
      <c r="AI36" s="227"/>
    </row>
    <row r="37" spans="2:35" ht="13.8" thickBot="1">
      <c r="B37" s="4"/>
      <c r="C37" s="190"/>
      <c r="D37" s="190"/>
      <c r="E37" s="190"/>
      <c r="F37" s="190"/>
      <c r="G37" s="190"/>
      <c r="H37" s="190"/>
      <c r="I37" s="190"/>
      <c r="J37" s="190"/>
      <c r="K37" s="190"/>
      <c r="L37" s="190"/>
      <c r="M37" s="190"/>
      <c r="N37" s="190"/>
      <c r="O37" s="190"/>
      <c r="P37" s="190"/>
      <c r="Q37" s="190"/>
      <c r="R37" s="190"/>
      <c r="S37" s="190"/>
      <c r="T37" s="190"/>
      <c r="U37" s="190"/>
      <c r="V37" s="190"/>
      <c r="W37" s="190"/>
      <c r="X37" s="190"/>
      <c r="Y37" s="190"/>
      <c r="Z37" s="190"/>
      <c r="AA37" s="190"/>
      <c r="AB37" s="190"/>
      <c r="AC37" s="190"/>
      <c r="AD37" s="190"/>
      <c r="AE37" s="190"/>
      <c r="AF37" s="190"/>
      <c r="AG37" s="190"/>
      <c r="AH37" s="190"/>
      <c r="AI37" s="198"/>
    </row>
    <row r="39" spans="2:35" ht="15" thickBot="1">
      <c r="B39" s="7" t="s">
        <v>996</v>
      </c>
    </row>
    <row r="40" spans="2:35">
      <c r="B40" s="14" t="s">
        <v>1069</v>
      </c>
      <c r="C40" s="226" t="s">
        <v>1070</v>
      </c>
      <c r="D40" s="226"/>
      <c r="E40" s="226"/>
      <c r="F40" s="226"/>
      <c r="G40" s="226"/>
      <c r="H40" s="226"/>
      <c r="I40" s="226"/>
      <c r="J40" s="226"/>
      <c r="K40" s="226"/>
      <c r="L40" s="226"/>
      <c r="M40" s="226" t="s">
        <v>1072</v>
      </c>
      <c r="N40" s="226"/>
      <c r="O40" s="226"/>
      <c r="P40" s="226"/>
      <c r="Q40" s="226"/>
      <c r="R40" s="226"/>
      <c r="S40" s="226"/>
      <c r="T40" s="226"/>
      <c r="U40" s="226" t="s">
        <v>1154</v>
      </c>
      <c r="V40" s="226"/>
      <c r="W40" s="226"/>
      <c r="X40" s="226"/>
      <c r="Y40" s="226"/>
      <c r="Z40" s="226"/>
      <c r="AA40" s="226"/>
      <c r="AB40" s="226"/>
      <c r="AC40" s="226"/>
      <c r="AD40" s="226" t="s">
        <v>1155</v>
      </c>
      <c r="AE40" s="226"/>
      <c r="AF40" s="226"/>
      <c r="AG40" s="226"/>
      <c r="AH40" s="226"/>
      <c r="AI40" s="227"/>
    </row>
    <row r="41" spans="2:35" ht="13.8" thickBot="1">
      <c r="B41" s="4"/>
      <c r="C41" s="190"/>
      <c r="D41" s="190"/>
      <c r="E41" s="190"/>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8"/>
    </row>
  </sheetData>
  <mergeCells count="178">
    <mergeCell ref="C41:L41"/>
    <mergeCell ref="M41:T41"/>
    <mergeCell ref="U41:AC41"/>
    <mergeCell ref="AD41:AI41"/>
    <mergeCell ref="C36:L36"/>
    <mergeCell ref="M36:T36"/>
    <mergeCell ref="U36:AC36"/>
    <mergeCell ref="AD36:AI36"/>
    <mergeCell ref="C37:L37"/>
    <mergeCell ref="M37:T37"/>
    <mergeCell ref="U37:AC37"/>
    <mergeCell ref="AD37:AI37"/>
    <mergeCell ref="C40:L40"/>
    <mergeCell ref="M40:T40"/>
    <mergeCell ref="U40:AC40"/>
    <mergeCell ref="AD40:AI40"/>
    <mergeCell ref="V32:X32"/>
    <mergeCell ref="Y32:AA32"/>
    <mergeCell ref="AB32:AI32"/>
    <mergeCell ref="Y27:Z27"/>
    <mergeCell ref="Q27:X27"/>
    <mergeCell ref="Q22:X22"/>
    <mergeCell ref="Q23:X23"/>
    <mergeCell ref="Y25:Z25"/>
    <mergeCell ref="C23:H23"/>
    <mergeCell ref="C24:H24"/>
    <mergeCell ref="C25:H25"/>
    <mergeCell ref="Q24:X24"/>
    <mergeCell ref="Q25:X25"/>
    <mergeCell ref="C22:H22"/>
    <mergeCell ref="AE24:AK24"/>
    <mergeCell ref="AC27:AD27"/>
    <mergeCell ref="C26:H26"/>
    <mergeCell ref="I26:P26"/>
    <mergeCell ref="Q26:X26"/>
    <mergeCell ref="Y26:Z26"/>
    <mergeCell ref="AA26:AB26"/>
    <mergeCell ref="AC26:AD26"/>
    <mergeCell ref="AE26:AK26"/>
    <mergeCell ref="AC20:AD20"/>
    <mergeCell ref="AC21:AD21"/>
    <mergeCell ref="AC22:AD22"/>
    <mergeCell ref="AC23:AD23"/>
    <mergeCell ref="AC24:AD24"/>
    <mergeCell ref="AC25:AD25"/>
    <mergeCell ref="C33:K33"/>
    <mergeCell ref="L33:U33"/>
    <mergeCell ref="V33:X33"/>
    <mergeCell ref="Y33:AA33"/>
    <mergeCell ref="AB33:AI33"/>
    <mergeCell ref="C31:K31"/>
    <mergeCell ref="L31:U31"/>
    <mergeCell ref="V31:X31"/>
    <mergeCell ref="Y31:AA31"/>
    <mergeCell ref="AB31:AI31"/>
    <mergeCell ref="L32:U32"/>
    <mergeCell ref="I22:P22"/>
    <mergeCell ref="I23:P23"/>
    <mergeCell ref="I24:P24"/>
    <mergeCell ref="I25:P25"/>
    <mergeCell ref="I27:P27"/>
    <mergeCell ref="C27:H27"/>
    <mergeCell ref="C32:K32"/>
    <mergeCell ref="Q13:X13"/>
    <mergeCell ref="Q14:X14"/>
    <mergeCell ref="Q15:X15"/>
    <mergeCell ref="Q16:X16"/>
    <mergeCell ref="Q17:X17"/>
    <mergeCell ref="AA20:AB20"/>
    <mergeCell ref="AA21:AB21"/>
    <mergeCell ref="AA22:AB22"/>
    <mergeCell ref="AA19:AB19"/>
    <mergeCell ref="AA13:AB13"/>
    <mergeCell ref="AA14:AB14"/>
    <mergeCell ref="AA15:AB15"/>
    <mergeCell ref="AA16:AB16"/>
    <mergeCell ref="AA17:AB17"/>
    <mergeCell ref="AA18:AB18"/>
    <mergeCell ref="Y13:Z13"/>
    <mergeCell ref="Y14:Z14"/>
    <mergeCell ref="Y15:Z15"/>
    <mergeCell ref="C13:H13"/>
    <mergeCell ref="C14:H14"/>
    <mergeCell ref="C15:H15"/>
    <mergeCell ref="I21:P21"/>
    <mergeCell ref="C12:H12"/>
    <mergeCell ref="I12:P12"/>
    <mergeCell ref="I9:P9"/>
    <mergeCell ref="I10:P10"/>
    <mergeCell ref="I11:P11"/>
    <mergeCell ref="I13:P13"/>
    <mergeCell ref="I14:P14"/>
    <mergeCell ref="C16:H16"/>
    <mergeCell ref="C17:H17"/>
    <mergeCell ref="C18:H18"/>
    <mergeCell ref="C19:H19"/>
    <mergeCell ref="I16:P16"/>
    <mergeCell ref="I17:P17"/>
    <mergeCell ref="C9:H9"/>
    <mergeCell ref="C10:H10"/>
    <mergeCell ref="C11:H11"/>
    <mergeCell ref="I15:P15"/>
    <mergeCell ref="C20:H20"/>
    <mergeCell ref="C21:H21"/>
    <mergeCell ref="I18:P18"/>
    <mergeCell ref="AE13:AK13"/>
    <mergeCell ref="AE14:AK14"/>
    <mergeCell ref="AE15:AK15"/>
    <mergeCell ref="AA25:AB25"/>
    <mergeCell ref="AA27:AB27"/>
    <mergeCell ref="AA23:AB23"/>
    <mergeCell ref="AA24:AB24"/>
    <mergeCell ref="AC11:AD11"/>
    <mergeCell ref="AC13:AD13"/>
    <mergeCell ref="AC14:AD14"/>
    <mergeCell ref="AC15:AD15"/>
    <mergeCell ref="AC16:AD16"/>
    <mergeCell ref="AC17:AD17"/>
    <mergeCell ref="AC18:AD18"/>
    <mergeCell ref="AC19:AD19"/>
    <mergeCell ref="AE25:AK25"/>
    <mergeCell ref="AE27:AK27"/>
    <mergeCell ref="AE19:AK19"/>
    <mergeCell ref="AE20:AK20"/>
    <mergeCell ref="AE21:AK21"/>
    <mergeCell ref="AE22:AK22"/>
    <mergeCell ref="AA11:AB11"/>
    <mergeCell ref="AA12:AB12"/>
    <mergeCell ref="AE23:AK23"/>
    <mergeCell ref="Q10:X10"/>
    <mergeCell ref="Y8:Z8"/>
    <mergeCell ref="Y9:Z9"/>
    <mergeCell ref="Y10:Z10"/>
    <mergeCell ref="AE9:AK9"/>
    <mergeCell ref="AE10:AK10"/>
    <mergeCell ref="Q8:X8"/>
    <mergeCell ref="AC12:AD12"/>
    <mergeCell ref="AE12:AK12"/>
    <mergeCell ref="AE11:AK11"/>
    <mergeCell ref="Q11:X11"/>
    <mergeCell ref="Q12:X12"/>
    <mergeCell ref="Y12:Z12"/>
    <mergeCell ref="Y11:Z11"/>
    <mergeCell ref="AE16:AK16"/>
    <mergeCell ref="AE17:AK17"/>
    <mergeCell ref="AE18:AK18"/>
    <mergeCell ref="Y24:Z24"/>
    <mergeCell ref="Y21:Z21"/>
    <mergeCell ref="Y22:Z22"/>
    <mergeCell ref="Y23:Z23"/>
    <mergeCell ref="B2:E4"/>
    <mergeCell ref="F2:H2"/>
    <mergeCell ref="F3:H3"/>
    <mergeCell ref="F4:H4"/>
    <mergeCell ref="C8:H8"/>
    <mergeCell ref="I8:P8"/>
    <mergeCell ref="I2:M2"/>
    <mergeCell ref="I3:M3"/>
    <mergeCell ref="I4:M4"/>
    <mergeCell ref="AA8:AB8"/>
    <mergeCell ref="AC8:AD8"/>
    <mergeCell ref="AE8:AK8"/>
    <mergeCell ref="AA9:AB9"/>
    <mergeCell ref="AA10:AB10"/>
    <mergeCell ref="AC9:AD9"/>
    <mergeCell ref="AC10:AD10"/>
    <mergeCell ref="Q9:X9"/>
    <mergeCell ref="I19:P19"/>
    <mergeCell ref="I20:P20"/>
    <mergeCell ref="Q18:X18"/>
    <mergeCell ref="Q19:X19"/>
    <mergeCell ref="Q20:X20"/>
    <mergeCell ref="Q21:X21"/>
    <mergeCell ref="Y16:Z16"/>
    <mergeCell ref="Y17:Z17"/>
    <mergeCell ref="Y18:Z18"/>
    <mergeCell ref="Y19:Z19"/>
    <mergeCell ref="Y20:Z20"/>
  </mergeCells>
  <phoneticPr fontId="3"/>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2FD08-3FA8-438B-9598-C4ED4C9C98FA}">
  <sheetPr codeName="Sheet26"/>
  <dimension ref="B1:AK35"/>
  <sheetViews>
    <sheetView topLeftCell="A12" workbookViewId="0">
      <selection activeCell="I12" sqref="I12:P12"/>
    </sheetView>
  </sheetViews>
  <sheetFormatPr defaultColWidth="3.6640625" defaultRowHeight="13.2"/>
  <sheetData>
    <row r="1" spans="2:37" ht="13.8" thickBot="1"/>
    <row r="2" spans="2:37">
      <c r="B2" s="205" t="s">
        <v>95</v>
      </c>
      <c r="C2" s="206"/>
      <c r="D2" s="206"/>
      <c r="E2" s="206"/>
      <c r="F2" s="211" t="s">
        <v>93</v>
      </c>
      <c r="G2" s="211"/>
      <c r="H2" s="212"/>
      <c r="I2" s="196" t="s">
        <v>393</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371</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117</v>
      </c>
      <c r="D9" s="189"/>
      <c r="E9" s="189"/>
      <c r="F9" s="189"/>
      <c r="G9" s="189"/>
      <c r="H9" s="189"/>
      <c r="I9" s="189" t="s">
        <v>382</v>
      </c>
      <c r="J9" s="189"/>
      <c r="K9" s="189"/>
      <c r="L9" s="189"/>
      <c r="M9" s="189"/>
      <c r="N9" s="189"/>
      <c r="O9" s="189"/>
      <c r="P9" s="189"/>
      <c r="Q9" s="189" t="s">
        <v>146</v>
      </c>
      <c r="R9" s="189"/>
      <c r="S9" s="189"/>
      <c r="T9" s="189"/>
      <c r="U9" s="189"/>
      <c r="V9" s="189"/>
      <c r="W9" s="189"/>
      <c r="X9" s="189"/>
      <c r="Y9" s="189"/>
      <c r="Z9" s="189"/>
      <c r="AA9" s="189"/>
      <c r="AB9" s="189"/>
      <c r="AC9" s="189"/>
      <c r="AD9" s="189"/>
      <c r="AE9" s="189"/>
      <c r="AF9" s="189"/>
      <c r="AG9" s="189"/>
      <c r="AH9" s="189"/>
      <c r="AI9" s="189"/>
      <c r="AJ9" s="189"/>
      <c r="AK9" s="191"/>
    </row>
    <row r="10" spans="2:37">
      <c r="B10" s="3">
        <v>2</v>
      </c>
      <c r="C10" s="189" t="s">
        <v>120</v>
      </c>
      <c r="D10" s="189"/>
      <c r="E10" s="189"/>
      <c r="F10" s="189"/>
      <c r="G10" s="189"/>
      <c r="H10" s="189"/>
      <c r="I10" s="189" t="s">
        <v>383</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372</v>
      </c>
      <c r="D11" s="189"/>
      <c r="E11" s="189"/>
      <c r="F11" s="189"/>
      <c r="G11" s="189"/>
      <c r="H11" s="189"/>
      <c r="I11" s="189" t="s">
        <v>384</v>
      </c>
      <c r="J11" s="189"/>
      <c r="K11" s="189"/>
      <c r="L11" s="189"/>
      <c r="M11" s="189"/>
      <c r="N11" s="189"/>
      <c r="O11" s="189"/>
      <c r="P11" s="189"/>
      <c r="Q11" s="189" t="s">
        <v>146</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373</v>
      </c>
      <c r="D12" s="189"/>
      <c r="E12" s="189"/>
      <c r="F12" s="189"/>
      <c r="G12" s="189"/>
      <c r="H12" s="189"/>
      <c r="I12" s="189" t="s">
        <v>385</v>
      </c>
      <c r="J12" s="189"/>
      <c r="K12" s="189"/>
      <c r="L12" s="189"/>
      <c r="M12" s="189"/>
      <c r="N12" s="189"/>
      <c r="O12" s="189"/>
      <c r="P12" s="189"/>
      <c r="Q12" s="189" t="s">
        <v>143</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374</v>
      </c>
      <c r="D13" s="189"/>
      <c r="E13" s="189"/>
      <c r="F13" s="189"/>
      <c r="G13" s="189"/>
      <c r="H13" s="189"/>
      <c r="I13" s="189" t="s">
        <v>386</v>
      </c>
      <c r="J13" s="189"/>
      <c r="K13" s="189"/>
      <c r="L13" s="189"/>
      <c r="M13" s="189"/>
      <c r="N13" s="189"/>
      <c r="O13" s="189"/>
      <c r="P13" s="189"/>
      <c r="Q13" s="189" t="s">
        <v>143</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375</v>
      </c>
      <c r="D14" s="189"/>
      <c r="E14" s="189"/>
      <c r="F14" s="189"/>
      <c r="G14" s="189"/>
      <c r="H14" s="189"/>
      <c r="I14" s="189" t="s">
        <v>134</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7</v>
      </c>
      <c r="C15" s="189" t="s">
        <v>109</v>
      </c>
      <c r="D15" s="189"/>
      <c r="E15" s="189"/>
      <c r="F15" s="189"/>
      <c r="G15" s="189"/>
      <c r="H15" s="189"/>
      <c r="I15" s="189" t="s">
        <v>133</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8</v>
      </c>
      <c r="C16" s="189" t="s">
        <v>110</v>
      </c>
      <c r="D16" s="189"/>
      <c r="E16" s="189"/>
      <c r="F16" s="189"/>
      <c r="G16" s="189"/>
      <c r="H16" s="189"/>
      <c r="I16" s="189" t="s">
        <v>135</v>
      </c>
      <c r="J16" s="189"/>
      <c r="K16" s="189"/>
      <c r="L16" s="189"/>
      <c r="M16" s="189"/>
      <c r="N16" s="189"/>
      <c r="O16" s="189"/>
      <c r="P16" s="189"/>
      <c r="Q16" s="189" t="s">
        <v>391</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3">
        <v>9</v>
      </c>
      <c r="C17" s="189" t="s">
        <v>376</v>
      </c>
      <c r="D17" s="189"/>
      <c r="E17" s="189"/>
      <c r="F17" s="189"/>
      <c r="G17" s="189"/>
      <c r="H17" s="189"/>
      <c r="I17" s="189" t="s">
        <v>387</v>
      </c>
      <c r="J17" s="189"/>
      <c r="K17" s="189"/>
      <c r="L17" s="189"/>
      <c r="M17" s="189"/>
      <c r="N17" s="189"/>
      <c r="O17" s="189"/>
      <c r="P17" s="189"/>
      <c r="Q17" s="189" t="s">
        <v>146</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3">
        <v>10</v>
      </c>
      <c r="C18" s="189" t="s">
        <v>377</v>
      </c>
      <c r="D18" s="189"/>
      <c r="E18" s="189"/>
      <c r="F18" s="189"/>
      <c r="G18" s="189"/>
      <c r="H18" s="189"/>
      <c r="I18" s="189" t="s">
        <v>388</v>
      </c>
      <c r="J18" s="189"/>
      <c r="K18" s="189"/>
      <c r="L18" s="189"/>
      <c r="M18" s="189"/>
      <c r="N18" s="189"/>
      <c r="O18" s="189"/>
      <c r="P18" s="189"/>
      <c r="Q18" s="189" t="s">
        <v>392</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3">
        <v>11</v>
      </c>
      <c r="C19" s="189" t="s">
        <v>378</v>
      </c>
      <c r="D19" s="189"/>
      <c r="E19" s="189"/>
      <c r="F19" s="189"/>
      <c r="G19" s="189"/>
      <c r="H19" s="189"/>
      <c r="I19" s="189" t="s">
        <v>389</v>
      </c>
      <c r="J19" s="189"/>
      <c r="K19" s="189"/>
      <c r="L19" s="189"/>
      <c r="M19" s="189"/>
      <c r="N19" s="189"/>
      <c r="O19" s="189"/>
      <c r="P19" s="189"/>
      <c r="Q19" s="189" t="s">
        <v>391</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3">
        <v>12</v>
      </c>
      <c r="C20" s="189" t="s">
        <v>379</v>
      </c>
      <c r="D20" s="189"/>
      <c r="E20" s="189"/>
      <c r="F20" s="189"/>
      <c r="G20" s="189"/>
      <c r="H20" s="189"/>
      <c r="I20" s="189" t="s">
        <v>390</v>
      </c>
      <c r="J20" s="189"/>
      <c r="K20" s="189"/>
      <c r="L20" s="189"/>
      <c r="M20" s="189"/>
      <c r="N20" s="189"/>
      <c r="O20" s="189"/>
      <c r="P20" s="189"/>
      <c r="Q20" s="189" t="s">
        <v>392</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3">
        <v>13</v>
      </c>
      <c r="C21" s="189" t="s">
        <v>380</v>
      </c>
      <c r="D21" s="189"/>
      <c r="E21" s="189"/>
      <c r="F21" s="189"/>
      <c r="G21" s="189"/>
      <c r="H21" s="189"/>
      <c r="I21" s="189" t="s">
        <v>136</v>
      </c>
      <c r="J21" s="189"/>
      <c r="K21" s="189"/>
      <c r="L21" s="189"/>
      <c r="M21" s="189"/>
      <c r="N21" s="189"/>
      <c r="O21" s="189"/>
      <c r="P21" s="189"/>
      <c r="Q21" s="189" t="s">
        <v>147</v>
      </c>
      <c r="R21" s="189"/>
      <c r="S21" s="189"/>
      <c r="T21" s="189"/>
      <c r="U21" s="189"/>
      <c r="V21" s="189"/>
      <c r="W21" s="189"/>
      <c r="X21" s="189"/>
      <c r="Y21" s="189"/>
      <c r="Z21" s="189"/>
      <c r="AA21" s="189"/>
      <c r="AB21" s="189"/>
      <c r="AC21" s="189"/>
      <c r="AD21" s="189"/>
      <c r="AE21" s="189"/>
      <c r="AF21" s="189"/>
      <c r="AG21" s="189"/>
      <c r="AH21" s="189"/>
      <c r="AI21" s="189"/>
      <c r="AJ21" s="189"/>
      <c r="AK21" s="191"/>
    </row>
    <row r="22" spans="2:37" ht="13.8" thickBot="1">
      <c r="B22" s="4">
        <v>14</v>
      </c>
      <c r="C22" s="190" t="s">
        <v>381</v>
      </c>
      <c r="D22" s="190"/>
      <c r="E22" s="190"/>
      <c r="F22" s="190"/>
      <c r="G22" s="190"/>
      <c r="H22" s="190"/>
      <c r="I22" s="190" t="s">
        <v>137</v>
      </c>
      <c r="J22" s="190"/>
      <c r="K22" s="190"/>
      <c r="L22" s="190"/>
      <c r="M22" s="190"/>
      <c r="N22" s="190"/>
      <c r="O22" s="190"/>
      <c r="P22" s="190"/>
      <c r="Q22" s="190" t="s">
        <v>147</v>
      </c>
      <c r="R22" s="190"/>
      <c r="S22" s="190"/>
      <c r="T22" s="190"/>
      <c r="U22" s="190"/>
      <c r="V22" s="190"/>
      <c r="W22" s="190"/>
      <c r="X22" s="190"/>
      <c r="Y22" s="190"/>
      <c r="Z22" s="190"/>
      <c r="AA22" s="190"/>
      <c r="AB22" s="190"/>
      <c r="AC22" s="190"/>
      <c r="AD22" s="190"/>
      <c r="AE22" s="190"/>
      <c r="AF22" s="190"/>
      <c r="AG22" s="190"/>
      <c r="AH22" s="190"/>
      <c r="AI22" s="190"/>
      <c r="AJ22" s="190"/>
      <c r="AK22" s="198"/>
    </row>
    <row r="25" spans="2:37" ht="15" thickBot="1">
      <c r="B25" s="7" t="s">
        <v>994</v>
      </c>
    </row>
    <row r="26" spans="2:37">
      <c r="B26" s="10" t="s">
        <v>7</v>
      </c>
      <c r="C26" s="226" t="s">
        <v>998</v>
      </c>
      <c r="D26" s="226"/>
      <c r="E26" s="226"/>
      <c r="F26" s="226"/>
      <c r="G26" s="226"/>
      <c r="H26" s="226"/>
      <c r="I26" s="226"/>
      <c r="J26" s="226"/>
      <c r="K26" s="226"/>
      <c r="L26" s="226" t="s">
        <v>1000</v>
      </c>
      <c r="M26" s="226"/>
      <c r="N26" s="226"/>
      <c r="O26" s="226"/>
      <c r="P26" s="226"/>
      <c r="Q26" s="226"/>
      <c r="R26" s="226"/>
      <c r="S26" s="226"/>
      <c r="T26" s="226"/>
      <c r="U26" s="226"/>
      <c r="V26" s="226" t="s">
        <v>1002</v>
      </c>
      <c r="W26" s="226"/>
      <c r="X26" s="226"/>
      <c r="Y26" s="226" t="s">
        <v>1004</v>
      </c>
      <c r="Z26" s="226"/>
      <c r="AA26" s="226"/>
      <c r="AB26" s="226" t="s">
        <v>1005</v>
      </c>
      <c r="AC26" s="226"/>
      <c r="AD26" s="226"/>
      <c r="AE26" s="226"/>
      <c r="AF26" s="226"/>
      <c r="AG26" s="226"/>
      <c r="AH26" s="226"/>
      <c r="AI26" s="227"/>
    </row>
    <row r="27" spans="2:37" ht="13.8" thickBot="1">
      <c r="B27" s="4"/>
      <c r="C27" s="190"/>
      <c r="D27" s="190"/>
      <c r="E27" s="190"/>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8"/>
    </row>
    <row r="29" spans="2:37" ht="15" thickBot="1">
      <c r="B29" s="7" t="s">
        <v>995</v>
      </c>
    </row>
    <row r="30" spans="2:37">
      <c r="B30" s="14" t="s">
        <v>1069</v>
      </c>
      <c r="C30" s="226" t="s">
        <v>1070</v>
      </c>
      <c r="D30" s="226"/>
      <c r="E30" s="226"/>
      <c r="F30" s="226"/>
      <c r="G30" s="226"/>
      <c r="H30" s="226"/>
      <c r="I30" s="226"/>
      <c r="J30" s="226"/>
      <c r="K30" s="226"/>
      <c r="L30" s="226"/>
      <c r="M30" s="226" t="s">
        <v>1072</v>
      </c>
      <c r="N30" s="226"/>
      <c r="O30" s="226"/>
      <c r="P30" s="226"/>
      <c r="Q30" s="226"/>
      <c r="R30" s="226"/>
      <c r="S30" s="226"/>
      <c r="T30" s="226"/>
      <c r="U30" s="226" t="s">
        <v>1154</v>
      </c>
      <c r="V30" s="226"/>
      <c r="W30" s="226"/>
      <c r="X30" s="226"/>
      <c r="Y30" s="226"/>
      <c r="Z30" s="226"/>
      <c r="AA30" s="226"/>
      <c r="AB30" s="226"/>
      <c r="AC30" s="226"/>
      <c r="AD30" s="226" t="s">
        <v>1155</v>
      </c>
      <c r="AE30" s="226"/>
      <c r="AF30" s="226"/>
      <c r="AG30" s="226"/>
      <c r="AH30" s="226"/>
      <c r="AI30" s="227"/>
    </row>
    <row r="31" spans="2:37" ht="13.8" thickBot="1">
      <c r="B31" s="4"/>
      <c r="C31" s="190"/>
      <c r="D31" s="190"/>
      <c r="E31" s="190"/>
      <c r="F31" s="190"/>
      <c r="G31" s="190"/>
      <c r="H31" s="190"/>
      <c r="I31" s="190"/>
      <c r="J31" s="190"/>
      <c r="K31" s="190"/>
      <c r="L31" s="190"/>
      <c r="M31" s="190"/>
      <c r="N31" s="190"/>
      <c r="O31" s="190"/>
      <c r="P31" s="190"/>
      <c r="Q31" s="190"/>
      <c r="R31" s="190"/>
      <c r="S31" s="190"/>
      <c r="T31" s="190"/>
      <c r="U31" s="190"/>
      <c r="V31" s="190"/>
      <c r="W31" s="190"/>
      <c r="X31" s="190"/>
      <c r="Y31" s="190"/>
      <c r="Z31" s="190"/>
      <c r="AA31" s="190"/>
      <c r="AB31" s="190"/>
      <c r="AC31" s="190"/>
      <c r="AD31" s="190"/>
      <c r="AE31" s="190"/>
      <c r="AF31" s="190"/>
      <c r="AG31" s="190"/>
      <c r="AH31" s="190"/>
      <c r="AI31" s="198"/>
    </row>
    <row r="33" spans="2:35" ht="15" thickBot="1">
      <c r="B33" s="7" t="s">
        <v>996</v>
      </c>
    </row>
    <row r="34" spans="2:35">
      <c r="B34" s="14" t="s">
        <v>1069</v>
      </c>
      <c r="C34" s="226" t="s">
        <v>1070</v>
      </c>
      <c r="D34" s="226"/>
      <c r="E34" s="226"/>
      <c r="F34" s="226"/>
      <c r="G34" s="226"/>
      <c r="H34" s="226"/>
      <c r="I34" s="226"/>
      <c r="J34" s="226"/>
      <c r="K34" s="226"/>
      <c r="L34" s="226"/>
      <c r="M34" s="226" t="s">
        <v>1072</v>
      </c>
      <c r="N34" s="226"/>
      <c r="O34" s="226"/>
      <c r="P34" s="226"/>
      <c r="Q34" s="226"/>
      <c r="R34" s="226"/>
      <c r="S34" s="226"/>
      <c r="T34" s="226"/>
      <c r="U34" s="226" t="s">
        <v>1154</v>
      </c>
      <c r="V34" s="226"/>
      <c r="W34" s="226"/>
      <c r="X34" s="226"/>
      <c r="Y34" s="226"/>
      <c r="Z34" s="226"/>
      <c r="AA34" s="226"/>
      <c r="AB34" s="226"/>
      <c r="AC34" s="226"/>
      <c r="AD34" s="226" t="s">
        <v>1155</v>
      </c>
      <c r="AE34" s="226"/>
      <c r="AF34" s="226"/>
      <c r="AG34" s="226"/>
      <c r="AH34" s="226"/>
      <c r="AI34" s="227"/>
    </row>
    <row r="35" spans="2:35" ht="13.8" thickBot="1">
      <c r="B35" s="4"/>
      <c r="C35" s="190"/>
      <c r="D35" s="190"/>
      <c r="E35" s="190"/>
      <c r="F35" s="190"/>
      <c r="G35" s="190"/>
      <c r="H35" s="190"/>
      <c r="I35" s="190"/>
      <c r="J35" s="190"/>
      <c r="K35" s="190"/>
      <c r="L35" s="190"/>
      <c r="M35" s="190"/>
      <c r="N35" s="190"/>
      <c r="O35" s="190"/>
      <c r="P35" s="190"/>
      <c r="Q35" s="190"/>
      <c r="R35" s="190"/>
      <c r="S35" s="190"/>
      <c r="T35" s="190"/>
      <c r="U35" s="190"/>
      <c r="V35" s="190"/>
      <c r="W35" s="190"/>
      <c r="X35" s="190"/>
      <c r="Y35" s="190"/>
      <c r="Z35" s="190"/>
      <c r="AA35" s="190"/>
      <c r="AB35" s="190"/>
      <c r="AC35" s="190"/>
      <c r="AD35" s="190"/>
      <c r="AE35" s="190"/>
      <c r="AF35" s="190"/>
      <c r="AG35" s="190"/>
      <c r="AH35" s="190"/>
      <c r="AI35" s="198"/>
    </row>
  </sheetData>
  <mergeCells count="138">
    <mergeCell ref="C34:L34"/>
    <mergeCell ref="M34:T34"/>
    <mergeCell ref="U34:AC34"/>
    <mergeCell ref="AD34:AI34"/>
    <mergeCell ref="C35:L35"/>
    <mergeCell ref="M35:T35"/>
    <mergeCell ref="U35:AC35"/>
    <mergeCell ref="AD35:AI35"/>
    <mergeCell ref="C30:L30"/>
    <mergeCell ref="M30:T30"/>
    <mergeCell ref="U30:AC30"/>
    <mergeCell ref="AD30:AI30"/>
    <mergeCell ref="C31:L31"/>
    <mergeCell ref="M31:T31"/>
    <mergeCell ref="U31:AC31"/>
    <mergeCell ref="AD31:AI31"/>
    <mergeCell ref="C27:K27"/>
    <mergeCell ref="L27:U27"/>
    <mergeCell ref="V27:X27"/>
    <mergeCell ref="Y27:AA27"/>
    <mergeCell ref="AB27:AI27"/>
    <mergeCell ref="C26:K26"/>
    <mergeCell ref="L26:U26"/>
    <mergeCell ref="V26:X26"/>
    <mergeCell ref="Y26:AA26"/>
    <mergeCell ref="AB26:AI26"/>
    <mergeCell ref="AE22:AK22"/>
    <mergeCell ref="AE15:AK15"/>
    <mergeCell ref="AE16:AK16"/>
    <mergeCell ref="AE17:AK17"/>
    <mergeCell ref="AE18:AK18"/>
    <mergeCell ref="AE19:AK19"/>
    <mergeCell ref="AE20:AK20"/>
    <mergeCell ref="AE10:AK10"/>
    <mergeCell ref="AE11:AK11"/>
    <mergeCell ref="AE12:AK12"/>
    <mergeCell ref="AE13:AK13"/>
    <mergeCell ref="AE21:AK21"/>
    <mergeCell ref="AE14:AK14"/>
    <mergeCell ref="AC17:AD17"/>
    <mergeCell ref="AC18:AD18"/>
    <mergeCell ref="AC19:AD19"/>
    <mergeCell ref="AC20:AD20"/>
    <mergeCell ref="AC21:AD21"/>
    <mergeCell ref="AC22:AD22"/>
    <mergeCell ref="AA21:AB21"/>
    <mergeCell ref="AA22:AB22"/>
    <mergeCell ref="AC9:AD9"/>
    <mergeCell ref="AC10:AD10"/>
    <mergeCell ref="AC11:AD11"/>
    <mergeCell ref="AC12:AD12"/>
    <mergeCell ref="AC13:AD13"/>
    <mergeCell ref="AC14:AD14"/>
    <mergeCell ref="AC15:AD15"/>
    <mergeCell ref="AC16:AD16"/>
    <mergeCell ref="AA15:AB15"/>
    <mergeCell ref="AA16:AB16"/>
    <mergeCell ref="AA17:AB17"/>
    <mergeCell ref="AA18:AB18"/>
    <mergeCell ref="AA19:AB19"/>
    <mergeCell ref="AA20:AB20"/>
    <mergeCell ref="AA9:AB9"/>
    <mergeCell ref="AA10:AB10"/>
    <mergeCell ref="AA11:AB11"/>
    <mergeCell ref="AA12:AB12"/>
    <mergeCell ref="AA13:AB13"/>
    <mergeCell ref="AA14:AB14"/>
    <mergeCell ref="Q22:X22"/>
    <mergeCell ref="Q11:X11"/>
    <mergeCell ref="Q12:X12"/>
    <mergeCell ref="Q13:X13"/>
    <mergeCell ref="Q14:X14"/>
    <mergeCell ref="Q15:X15"/>
    <mergeCell ref="Q16:X16"/>
    <mergeCell ref="Q17:X17"/>
    <mergeCell ref="Q18:X18"/>
    <mergeCell ref="Q19:X19"/>
    <mergeCell ref="Q20:X20"/>
    <mergeCell ref="Q21:X21"/>
    <mergeCell ref="Y11:Z11"/>
    <mergeCell ref="Y12:Z12"/>
    <mergeCell ref="Y13:Z13"/>
    <mergeCell ref="Y14:Z14"/>
    <mergeCell ref="Y15:Z15"/>
    <mergeCell ref="Y16:Z16"/>
    <mergeCell ref="Y17:Z17"/>
    <mergeCell ref="Y18:Z18"/>
    <mergeCell ref="C21:H21"/>
    <mergeCell ref="I22:P22"/>
    <mergeCell ref="I11:P11"/>
    <mergeCell ref="I12:P12"/>
    <mergeCell ref="I13:P13"/>
    <mergeCell ref="I14:P14"/>
    <mergeCell ref="I15:P15"/>
    <mergeCell ref="I16:P16"/>
    <mergeCell ref="I17:P17"/>
    <mergeCell ref="I18:P18"/>
    <mergeCell ref="I19:P19"/>
    <mergeCell ref="I20:P20"/>
    <mergeCell ref="I21:P21"/>
    <mergeCell ref="AA8:AB8"/>
    <mergeCell ref="AC8:AD8"/>
    <mergeCell ref="AE8:AK8"/>
    <mergeCell ref="C9:H9"/>
    <mergeCell ref="I8:P8"/>
    <mergeCell ref="AE9:AK9"/>
    <mergeCell ref="C8:H8"/>
    <mergeCell ref="C10:H10"/>
    <mergeCell ref="I9:P9"/>
    <mergeCell ref="I10:P10"/>
    <mergeCell ref="Q9:X9"/>
    <mergeCell ref="Q10:X10"/>
    <mergeCell ref="Q8:X8"/>
    <mergeCell ref="Y10:Z10"/>
    <mergeCell ref="Y19:Z19"/>
    <mergeCell ref="Y20:Z20"/>
    <mergeCell ref="Y21:Z21"/>
    <mergeCell ref="Y22:Z22"/>
    <mergeCell ref="I2:O2"/>
    <mergeCell ref="I3:O3"/>
    <mergeCell ref="I4:O4"/>
    <mergeCell ref="B2:E4"/>
    <mergeCell ref="F2:H2"/>
    <mergeCell ref="F3:H3"/>
    <mergeCell ref="F4:H4"/>
    <mergeCell ref="Y8:Z8"/>
    <mergeCell ref="Y9:Z9"/>
    <mergeCell ref="C22:H22"/>
    <mergeCell ref="C11:H11"/>
    <mergeCell ref="C12:H12"/>
    <mergeCell ref="C13:H13"/>
    <mergeCell ref="C14:H14"/>
    <mergeCell ref="C15:H15"/>
    <mergeCell ref="C16:H16"/>
    <mergeCell ref="C17:H17"/>
    <mergeCell ref="C18:H18"/>
    <mergeCell ref="C19:H19"/>
    <mergeCell ref="C20:H20"/>
  </mergeCells>
  <phoneticPr fontId="3"/>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6291-DEBC-42B6-ACB7-C83E350407C1}">
  <sheetPr codeName="Sheet27"/>
  <dimension ref="B1:AK25"/>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401</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80</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396</v>
      </c>
      <c r="D9" s="189"/>
      <c r="E9" s="189"/>
      <c r="F9" s="189"/>
      <c r="G9" s="189"/>
      <c r="H9" s="189"/>
      <c r="I9" s="189" t="s">
        <v>398</v>
      </c>
      <c r="J9" s="189"/>
      <c r="K9" s="189"/>
      <c r="L9" s="189"/>
      <c r="M9" s="189"/>
      <c r="N9" s="189"/>
      <c r="O9" s="189"/>
      <c r="P9" s="189"/>
      <c r="Q9" s="189" t="s">
        <v>146</v>
      </c>
      <c r="R9" s="189"/>
      <c r="S9" s="189"/>
      <c r="T9" s="189"/>
      <c r="U9" s="189"/>
      <c r="V9" s="189"/>
      <c r="W9" s="189"/>
      <c r="X9" s="189"/>
      <c r="Y9" s="189"/>
      <c r="Z9" s="189"/>
      <c r="AA9" s="189"/>
      <c r="AB9" s="189"/>
      <c r="AC9" s="189"/>
      <c r="AD9" s="189"/>
      <c r="AE9" s="189"/>
      <c r="AF9" s="189"/>
      <c r="AG9" s="189"/>
      <c r="AH9" s="189"/>
      <c r="AI9" s="189"/>
      <c r="AJ9" s="189"/>
      <c r="AK9" s="191"/>
    </row>
    <row r="10" spans="2:37">
      <c r="B10" s="3">
        <v>2</v>
      </c>
      <c r="C10" s="189" t="s">
        <v>397</v>
      </c>
      <c r="D10" s="189"/>
      <c r="E10" s="189"/>
      <c r="F10" s="189"/>
      <c r="G10" s="189"/>
      <c r="H10" s="189"/>
      <c r="I10" s="189" t="s">
        <v>399</v>
      </c>
      <c r="J10" s="189"/>
      <c r="K10" s="189"/>
      <c r="L10" s="189"/>
      <c r="M10" s="189"/>
      <c r="N10" s="189"/>
      <c r="O10" s="189"/>
      <c r="P10" s="189"/>
      <c r="Q10" s="189" t="s">
        <v>400</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380</v>
      </c>
      <c r="D11" s="189"/>
      <c r="E11" s="189"/>
      <c r="F11" s="189"/>
      <c r="G11" s="189"/>
      <c r="H11" s="189"/>
      <c r="I11" s="189" t="s">
        <v>136</v>
      </c>
      <c r="J11" s="189"/>
      <c r="K11" s="189"/>
      <c r="L11" s="189"/>
      <c r="M11" s="189"/>
      <c r="N11" s="189"/>
      <c r="O11" s="189"/>
      <c r="P11" s="189"/>
      <c r="Q11" s="189" t="s">
        <v>147</v>
      </c>
      <c r="R11" s="189"/>
      <c r="S11" s="189"/>
      <c r="T11" s="189"/>
      <c r="U11" s="189"/>
      <c r="V11" s="189"/>
      <c r="W11" s="189"/>
      <c r="X11" s="189"/>
      <c r="Y11" s="189"/>
      <c r="Z11" s="189"/>
      <c r="AA11" s="189"/>
      <c r="AB11" s="189"/>
      <c r="AC11" s="189"/>
      <c r="AD11" s="189"/>
      <c r="AE11" s="189"/>
      <c r="AF11" s="189"/>
      <c r="AG11" s="189"/>
      <c r="AH11" s="189"/>
      <c r="AI11" s="189"/>
      <c r="AJ11" s="189"/>
      <c r="AK11" s="191"/>
    </row>
    <row r="12" spans="2:37" ht="13.8" thickBot="1">
      <c r="B12" s="4">
        <v>4</v>
      </c>
      <c r="C12" s="190" t="s">
        <v>381</v>
      </c>
      <c r="D12" s="190"/>
      <c r="E12" s="190"/>
      <c r="F12" s="190"/>
      <c r="G12" s="190"/>
      <c r="H12" s="190"/>
      <c r="I12" s="190" t="s">
        <v>137</v>
      </c>
      <c r="J12" s="190"/>
      <c r="K12" s="190"/>
      <c r="L12" s="190"/>
      <c r="M12" s="190"/>
      <c r="N12" s="190"/>
      <c r="O12" s="190"/>
      <c r="P12" s="190"/>
      <c r="Q12" s="190" t="s">
        <v>147</v>
      </c>
      <c r="R12" s="190"/>
      <c r="S12" s="190"/>
      <c r="T12" s="190"/>
      <c r="U12" s="190"/>
      <c r="V12" s="190"/>
      <c r="W12" s="190"/>
      <c r="X12" s="190"/>
      <c r="Y12" s="190"/>
      <c r="Z12" s="190"/>
      <c r="AA12" s="190"/>
      <c r="AB12" s="190"/>
      <c r="AC12" s="190"/>
      <c r="AD12" s="190"/>
      <c r="AE12" s="190"/>
      <c r="AF12" s="190"/>
      <c r="AG12" s="190"/>
      <c r="AH12" s="190"/>
      <c r="AI12" s="190"/>
      <c r="AJ12" s="190"/>
      <c r="AK12" s="198"/>
    </row>
    <row r="15" spans="2:37" ht="15" thickBot="1">
      <c r="B15" s="7" t="s">
        <v>994</v>
      </c>
    </row>
    <row r="16" spans="2:37">
      <c r="B16" s="10" t="s">
        <v>7</v>
      </c>
      <c r="C16" s="226" t="s">
        <v>998</v>
      </c>
      <c r="D16" s="226"/>
      <c r="E16" s="226"/>
      <c r="F16" s="226"/>
      <c r="G16" s="226"/>
      <c r="H16" s="226"/>
      <c r="I16" s="226"/>
      <c r="J16" s="226"/>
      <c r="K16" s="226"/>
      <c r="L16" s="226" t="s">
        <v>1000</v>
      </c>
      <c r="M16" s="226"/>
      <c r="N16" s="226"/>
      <c r="O16" s="226"/>
      <c r="P16" s="226"/>
      <c r="Q16" s="226"/>
      <c r="R16" s="226"/>
      <c r="S16" s="226"/>
      <c r="T16" s="226"/>
      <c r="U16" s="226"/>
      <c r="V16" s="226" t="s">
        <v>1002</v>
      </c>
      <c r="W16" s="226"/>
      <c r="X16" s="226"/>
      <c r="Y16" s="226" t="s">
        <v>1004</v>
      </c>
      <c r="Z16" s="226"/>
      <c r="AA16" s="226"/>
      <c r="AB16" s="226" t="s">
        <v>1005</v>
      </c>
      <c r="AC16" s="226"/>
      <c r="AD16" s="226"/>
      <c r="AE16" s="226"/>
      <c r="AF16" s="226"/>
      <c r="AG16" s="226"/>
      <c r="AH16" s="226"/>
      <c r="AI16" s="227"/>
    </row>
    <row r="17" spans="2:35" ht="13.8" thickBot="1">
      <c r="B17" s="4"/>
      <c r="C17" s="190"/>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c r="AE17" s="190"/>
      <c r="AF17" s="190"/>
      <c r="AG17" s="190"/>
      <c r="AH17" s="190"/>
      <c r="AI17" s="198"/>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8">
    <mergeCell ref="C24:L24"/>
    <mergeCell ref="M24:T24"/>
    <mergeCell ref="U24:AC24"/>
    <mergeCell ref="AD24:AI24"/>
    <mergeCell ref="C25:L25"/>
    <mergeCell ref="M25:T25"/>
    <mergeCell ref="U25:AC25"/>
    <mergeCell ref="AD25:AI25"/>
    <mergeCell ref="C20:L20"/>
    <mergeCell ref="M20:T20"/>
    <mergeCell ref="U20:AC20"/>
    <mergeCell ref="AD20:AI20"/>
    <mergeCell ref="C21:L21"/>
    <mergeCell ref="M21:T21"/>
    <mergeCell ref="U21:AC21"/>
    <mergeCell ref="AD21:AI21"/>
    <mergeCell ref="C17:K17"/>
    <mergeCell ref="L17:U17"/>
    <mergeCell ref="V17:X17"/>
    <mergeCell ref="Y17:AA17"/>
    <mergeCell ref="AB17:AI17"/>
    <mergeCell ref="C16:K16"/>
    <mergeCell ref="L16:U16"/>
    <mergeCell ref="V16:X16"/>
    <mergeCell ref="Y16:AA16"/>
    <mergeCell ref="AB16:AI16"/>
    <mergeCell ref="AC12:AD12"/>
    <mergeCell ref="AE9:AK9"/>
    <mergeCell ref="AE10:AK10"/>
    <mergeCell ref="AE11:AK11"/>
    <mergeCell ref="AE12:AK12"/>
    <mergeCell ref="AC10:AD10"/>
    <mergeCell ref="AC9:AD9"/>
    <mergeCell ref="AC11:AD11"/>
    <mergeCell ref="AA9:AB9"/>
    <mergeCell ref="AA10:AB10"/>
    <mergeCell ref="AA11:AB11"/>
    <mergeCell ref="AA12:AB12"/>
    <mergeCell ref="Q10:X10"/>
    <mergeCell ref="Q9:X9"/>
    <mergeCell ref="Y12:Z12"/>
    <mergeCell ref="Q11:X11"/>
    <mergeCell ref="Y10:Z10"/>
    <mergeCell ref="Y11:Z11"/>
    <mergeCell ref="Y9:Z9"/>
    <mergeCell ref="Q12:X12"/>
    <mergeCell ref="C12:H12"/>
    <mergeCell ref="I9:P9"/>
    <mergeCell ref="I10:P10"/>
    <mergeCell ref="I11:P11"/>
    <mergeCell ref="I12:P12"/>
    <mergeCell ref="C10:H10"/>
    <mergeCell ref="C9:H9"/>
    <mergeCell ref="C11:H11"/>
    <mergeCell ref="AE8:AK8"/>
    <mergeCell ref="I2:O2"/>
    <mergeCell ref="I3:O3"/>
    <mergeCell ref="I4:O4"/>
    <mergeCell ref="B2:E4"/>
    <mergeCell ref="F2:H2"/>
    <mergeCell ref="F3:H3"/>
    <mergeCell ref="F4:H4"/>
    <mergeCell ref="Y8:Z8"/>
    <mergeCell ref="I8:P8"/>
    <mergeCell ref="C8:H8"/>
    <mergeCell ref="Q8:X8"/>
    <mergeCell ref="AA8:AB8"/>
    <mergeCell ref="AC8:AD8"/>
  </mergeCells>
  <phoneticPr fontId="3"/>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47FA2-F045-4B47-A0CF-9D05A899B027}">
  <sheetPr codeName="Sheet28"/>
  <dimension ref="B1:AK23"/>
  <sheetViews>
    <sheetView workbookViewId="0"/>
  </sheetViews>
  <sheetFormatPr defaultColWidth="3.6640625" defaultRowHeight="13.2"/>
  <sheetData>
    <row r="1" spans="2:37" ht="13.8" thickBot="1"/>
    <row r="2" spans="2:37">
      <c r="B2" s="205" t="s">
        <v>95</v>
      </c>
      <c r="C2" s="206"/>
      <c r="D2" s="206"/>
      <c r="E2" s="206"/>
      <c r="F2" s="211" t="s">
        <v>93</v>
      </c>
      <c r="G2" s="211"/>
      <c r="H2" s="212"/>
      <c r="I2" s="196" t="s">
        <v>407</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35</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404</v>
      </c>
      <c r="D9" s="189"/>
      <c r="E9" s="189"/>
      <c r="F9" s="189"/>
      <c r="G9" s="189"/>
      <c r="H9" s="189"/>
      <c r="I9" s="189" t="s">
        <v>357</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405</v>
      </c>
      <c r="D10" s="190"/>
      <c r="E10" s="190"/>
      <c r="F10" s="190"/>
      <c r="G10" s="190"/>
      <c r="H10" s="190"/>
      <c r="I10" s="190" t="s">
        <v>406</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4">
        <v>1</v>
      </c>
      <c r="C15" s="190" t="s">
        <v>1044</v>
      </c>
      <c r="D15" s="190"/>
      <c r="E15" s="190"/>
      <c r="F15" s="190"/>
      <c r="G15" s="190"/>
      <c r="H15" s="190"/>
      <c r="I15" s="190"/>
      <c r="J15" s="190"/>
      <c r="K15" s="190"/>
      <c r="L15" s="190" t="s">
        <v>1045</v>
      </c>
      <c r="M15" s="190"/>
      <c r="N15" s="190"/>
      <c r="O15" s="190"/>
      <c r="P15" s="190"/>
      <c r="Q15" s="190"/>
      <c r="R15" s="190"/>
      <c r="S15" s="190"/>
      <c r="T15" s="190"/>
      <c r="U15" s="190"/>
      <c r="V15" s="190" t="s">
        <v>1022</v>
      </c>
      <c r="W15" s="190"/>
      <c r="X15" s="190"/>
      <c r="Y15" s="190" t="s">
        <v>1022</v>
      </c>
      <c r="Z15" s="190"/>
      <c r="AA15" s="190"/>
      <c r="AB15" s="190"/>
      <c r="AC15" s="190"/>
      <c r="AD15" s="190"/>
      <c r="AE15" s="190"/>
      <c r="AF15" s="190"/>
      <c r="AG15" s="190"/>
      <c r="AH15" s="190"/>
      <c r="AI15" s="198"/>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AA10:AB10"/>
    <mergeCell ref="AC10:AD10"/>
    <mergeCell ref="AE9:AK9"/>
    <mergeCell ref="AE10:AK10"/>
    <mergeCell ref="C9:H9"/>
    <mergeCell ref="C10:H10"/>
    <mergeCell ref="I9:P9"/>
    <mergeCell ref="I10:P10"/>
    <mergeCell ref="Q9:X9"/>
    <mergeCell ref="Q10:X10"/>
    <mergeCell ref="Y10:Z10"/>
    <mergeCell ref="Q8:X8"/>
    <mergeCell ref="AA8:AB8"/>
    <mergeCell ref="AC8:AD8"/>
    <mergeCell ref="AE8:AK8"/>
    <mergeCell ref="AA9:AB9"/>
    <mergeCell ref="AC9:AD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32C8-6B44-4054-8E4B-30FF2CB61E93}">
  <sheetPr codeName="Sheet29"/>
  <dimension ref="B1:AK24"/>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53"/>
      <c r="I2" s="250" t="s">
        <v>416</v>
      </c>
      <c r="J2" s="196"/>
      <c r="K2" s="196"/>
      <c r="L2" s="197"/>
    </row>
    <row r="3" spans="2:37">
      <c r="B3" s="207"/>
      <c r="C3" s="208"/>
      <c r="D3" s="208"/>
      <c r="E3" s="208"/>
      <c r="F3" s="213" t="s">
        <v>10</v>
      </c>
      <c r="G3" s="213"/>
      <c r="H3" s="254"/>
      <c r="I3" s="251" t="s">
        <v>11</v>
      </c>
      <c r="J3" s="189"/>
      <c r="K3" s="189"/>
      <c r="L3" s="191"/>
    </row>
    <row r="4" spans="2:37" ht="13.8" thickBot="1">
      <c r="B4" s="209"/>
      <c r="C4" s="210"/>
      <c r="D4" s="210"/>
      <c r="E4" s="210"/>
      <c r="F4" s="215" t="s">
        <v>94</v>
      </c>
      <c r="G4" s="215"/>
      <c r="H4" s="255"/>
      <c r="I4" s="252" t="s">
        <v>409</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410</v>
      </c>
      <c r="D9" s="189"/>
      <c r="E9" s="189"/>
      <c r="F9" s="189"/>
      <c r="G9" s="189"/>
      <c r="H9" s="189"/>
      <c r="I9" s="189" t="s">
        <v>413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411</v>
      </c>
      <c r="D10" s="189"/>
      <c r="E10" s="189"/>
      <c r="F10" s="189"/>
      <c r="G10" s="189"/>
      <c r="H10" s="189"/>
      <c r="I10" s="189" t="s">
        <v>414</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412</v>
      </c>
      <c r="D11" s="190"/>
      <c r="E11" s="190"/>
      <c r="F11" s="190"/>
      <c r="G11" s="190"/>
      <c r="H11" s="190"/>
      <c r="I11" s="190" t="s">
        <v>415</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10" t="s">
        <v>7</v>
      </c>
      <c r="C15" s="226" t="s">
        <v>998</v>
      </c>
      <c r="D15" s="226"/>
      <c r="E15" s="226"/>
      <c r="F15" s="226"/>
      <c r="G15" s="226"/>
      <c r="H15" s="226"/>
      <c r="I15" s="226"/>
      <c r="J15" s="226"/>
      <c r="K15" s="226"/>
      <c r="L15" s="226" t="s">
        <v>1000</v>
      </c>
      <c r="M15" s="226"/>
      <c r="N15" s="226"/>
      <c r="O15" s="226"/>
      <c r="P15" s="226"/>
      <c r="Q15" s="226"/>
      <c r="R15" s="226"/>
      <c r="S15" s="226"/>
      <c r="T15" s="226"/>
      <c r="U15" s="226"/>
      <c r="V15" s="226" t="s">
        <v>1002</v>
      </c>
      <c r="W15" s="226"/>
      <c r="X15" s="226"/>
      <c r="Y15" s="226" t="s">
        <v>1004</v>
      </c>
      <c r="Z15" s="226"/>
      <c r="AA15" s="226"/>
      <c r="AB15" s="226" t="s">
        <v>1005</v>
      </c>
      <c r="AC15" s="226"/>
      <c r="AD15" s="226"/>
      <c r="AE15" s="226"/>
      <c r="AF15" s="226"/>
      <c r="AG15" s="226"/>
      <c r="AH15" s="226"/>
      <c r="AI15" s="227"/>
    </row>
    <row r="16" spans="2:37" ht="13.8" thickBot="1">
      <c r="B16" s="4">
        <v>1</v>
      </c>
      <c r="C16" s="190" t="s">
        <v>1046</v>
      </c>
      <c r="D16" s="190"/>
      <c r="E16" s="190"/>
      <c r="F16" s="190"/>
      <c r="G16" s="190"/>
      <c r="H16" s="190"/>
      <c r="I16" s="190"/>
      <c r="J16" s="190"/>
      <c r="K16" s="190"/>
      <c r="L16" s="190" t="s">
        <v>1047</v>
      </c>
      <c r="M16" s="190"/>
      <c r="N16" s="190"/>
      <c r="O16" s="190"/>
      <c r="P16" s="190"/>
      <c r="Q16" s="190"/>
      <c r="R16" s="190"/>
      <c r="S16" s="190"/>
      <c r="T16" s="190"/>
      <c r="U16" s="190"/>
      <c r="V16" s="190" t="s">
        <v>1022</v>
      </c>
      <c r="W16" s="190"/>
      <c r="X16" s="190"/>
      <c r="Y16" s="190" t="s">
        <v>1022</v>
      </c>
      <c r="Z16" s="190"/>
      <c r="AA16" s="190"/>
      <c r="AB16" s="190"/>
      <c r="AC16" s="190"/>
      <c r="AD16" s="190"/>
      <c r="AE16" s="190"/>
      <c r="AF16" s="190"/>
      <c r="AG16" s="190"/>
      <c r="AH16" s="190"/>
      <c r="AI16" s="198"/>
    </row>
    <row r="18" spans="2:35" ht="15" thickBot="1">
      <c r="B18" s="7" t="s">
        <v>995</v>
      </c>
    </row>
    <row r="19" spans="2:35">
      <c r="B19" s="14" t="s">
        <v>1069</v>
      </c>
      <c r="C19" s="226" t="s">
        <v>1070</v>
      </c>
      <c r="D19" s="226"/>
      <c r="E19" s="226"/>
      <c r="F19" s="226"/>
      <c r="G19" s="226"/>
      <c r="H19" s="226"/>
      <c r="I19" s="226"/>
      <c r="J19" s="226"/>
      <c r="K19" s="226"/>
      <c r="L19" s="226"/>
      <c r="M19" s="226" t="s">
        <v>1072</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4"/>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61">
    <mergeCell ref="C23:L23"/>
    <mergeCell ref="M23:T23"/>
    <mergeCell ref="U23:AC23"/>
    <mergeCell ref="AD23:AI23"/>
    <mergeCell ref="C24:L24"/>
    <mergeCell ref="M24:T24"/>
    <mergeCell ref="U24:AC24"/>
    <mergeCell ref="AD24:AI24"/>
    <mergeCell ref="C19:L19"/>
    <mergeCell ref="M19:T19"/>
    <mergeCell ref="U19:AC19"/>
    <mergeCell ref="AD19:AI19"/>
    <mergeCell ref="C20:L20"/>
    <mergeCell ref="M20:T20"/>
    <mergeCell ref="U20:AC20"/>
    <mergeCell ref="AD20:AI20"/>
    <mergeCell ref="C16:K16"/>
    <mergeCell ref="L16:U16"/>
    <mergeCell ref="V16:X16"/>
    <mergeCell ref="Y16:AA16"/>
    <mergeCell ref="AB16:AI16"/>
    <mergeCell ref="C15:K15"/>
    <mergeCell ref="L15:U15"/>
    <mergeCell ref="V15:X15"/>
    <mergeCell ref="Y15:AA15"/>
    <mergeCell ref="AB15:AI15"/>
    <mergeCell ref="AE10:AK10"/>
    <mergeCell ref="AE11:AK11"/>
    <mergeCell ref="Q10:X10"/>
    <mergeCell ref="Q11:X11"/>
    <mergeCell ref="AA10:AB10"/>
    <mergeCell ref="AA11:AB11"/>
    <mergeCell ref="AC10:AD10"/>
    <mergeCell ref="AC11:AD11"/>
    <mergeCell ref="Y10:Z10"/>
    <mergeCell ref="Y11:Z11"/>
    <mergeCell ref="C9:H9"/>
    <mergeCell ref="C10:H10"/>
    <mergeCell ref="C11:H11"/>
    <mergeCell ref="I9:P9"/>
    <mergeCell ref="I10:P10"/>
    <mergeCell ref="I11:P11"/>
    <mergeCell ref="Q8:X8"/>
    <mergeCell ref="AA8:AB8"/>
    <mergeCell ref="AC8:AD8"/>
    <mergeCell ref="AE8:AK8"/>
    <mergeCell ref="AA9:AB9"/>
    <mergeCell ref="AC9:AD9"/>
    <mergeCell ref="Q9:X9"/>
    <mergeCell ref="AE9:AK9"/>
    <mergeCell ref="Y8:Z8"/>
    <mergeCell ref="Y9:Z9"/>
    <mergeCell ref="I8:P8"/>
    <mergeCell ref="I2:L2"/>
    <mergeCell ref="I3:L3"/>
    <mergeCell ref="I4:L4"/>
    <mergeCell ref="B2:E4"/>
    <mergeCell ref="F2:H2"/>
    <mergeCell ref="F3:H3"/>
    <mergeCell ref="F4:H4"/>
    <mergeCell ref="C8:H8"/>
  </mergeCells>
  <phoneticPr fontId="3"/>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9F24B-2C49-4BE0-BE09-285D4151786C}">
  <sheetPr codeName="Sheet30"/>
  <dimension ref="B1:AK26"/>
  <sheetViews>
    <sheetView workbookViewId="0">
      <selection activeCell="I4" sqref="I4:N4"/>
    </sheetView>
  </sheetViews>
  <sheetFormatPr defaultColWidth="3.6640625" defaultRowHeight="13.2"/>
  <sheetData>
    <row r="1" spans="2:37" ht="13.8" thickBot="1"/>
    <row r="2" spans="2:37">
      <c r="B2" s="205" t="s">
        <v>95</v>
      </c>
      <c r="C2" s="206"/>
      <c r="D2" s="206"/>
      <c r="E2" s="206"/>
      <c r="F2" s="211" t="s">
        <v>93</v>
      </c>
      <c r="G2" s="211"/>
      <c r="H2" s="212"/>
      <c r="I2" s="196" t="s">
        <v>427</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37</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419</v>
      </c>
      <c r="D9" s="189"/>
      <c r="E9" s="189"/>
      <c r="F9" s="189"/>
      <c r="G9" s="189"/>
      <c r="H9" s="189"/>
      <c r="I9" s="189" t="s">
        <v>423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410</v>
      </c>
      <c r="D10" s="189"/>
      <c r="E10" s="189"/>
      <c r="F10" s="189"/>
      <c r="G10" s="189"/>
      <c r="H10" s="189"/>
      <c r="I10" s="189" t="s">
        <v>413</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420</v>
      </c>
      <c r="D11" s="189"/>
      <c r="E11" s="189"/>
      <c r="F11" s="189"/>
      <c r="G11" s="189"/>
      <c r="H11" s="189"/>
      <c r="I11" s="189" t="s">
        <v>424</v>
      </c>
      <c r="J11" s="189"/>
      <c r="K11" s="189"/>
      <c r="L11" s="189"/>
      <c r="M11" s="189"/>
      <c r="N11" s="189"/>
      <c r="O11" s="189"/>
      <c r="P11" s="189"/>
      <c r="Q11" s="189" t="s">
        <v>146</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421</v>
      </c>
      <c r="D12" s="189"/>
      <c r="E12" s="189"/>
      <c r="F12" s="189"/>
      <c r="G12" s="189"/>
      <c r="H12" s="189"/>
      <c r="I12" s="189" t="s">
        <v>425</v>
      </c>
      <c r="J12" s="189"/>
      <c r="K12" s="189"/>
      <c r="L12" s="189"/>
      <c r="M12" s="189"/>
      <c r="N12" s="189"/>
      <c r="O12" s="189"/>
      <c r="P12" s="189"/>
      <c r="Q12" s="189" t="s">
        <v>146</v>
      </c>
      <c r="R12" s="189"/>
      <c r="S12" s="189"/>
      <c r="T12" s="189"/>
      <c r="U12" s="189"/>
      <c r="V12" s="189"/>
      <c r="W12" s="189"/>
      <c r="X12" s="189"/>
      <c r="Y12" s="189"/>
      <c r="Z12" s="189"/>
      <c r="AA12" s="189"/>
      <c r="AB12" s="189"/>
      <c r="AC12" s="189"/>
      <c r="AD12" s="189"/>
      <c r="AE12" s="189"/>
      <c r="AF12" s="189"/>
      <c r="AG12" s="189"/>
      <c r="AH12" s="189"/>
      <c r="AI12" s="189"/>
      <c r="AJ12" s="189"/>
      <c r="AK12" s="191"/>
    </row>
    <row r="13" spans="2:37" ht="13.8" thickBot="1">
      <c r="B13" s="4">
        <v>5</v>
      </c>
      <c r="C13" s="190" t="s">
        <v>422</v>
      </c>
      <c r="D13" s="190"/>
      <c r="E13" s="190"/>
      <c r="F13" s="190"/>
      <c r="G13" s="190"/>
      <c r="H13" s="190"/>
      <c r="I13" s="190" t="s">
        <v>426</v>
      </c>
      <c r="J13" s="190"/>
      <c r="K13" s="190"/>
      <c r="L13" s="190"/>
      <c r="M13" s="190"/>
      <c r="N13" s="190"/>
      <c r="O13" s="190"/>
      <c r="P13" s="190"/>
      <c r="Q13" s="190" t="s">
        <v>143</v>
      </c>
      <c r="R13" s="190"/>
      <c r="S13" s="190"/>
      <c r="T13" s="190"/>
      <c r="U13" s="190"/>
      <c r="V13" s="190"/>
      <c r="W13" s="190"/>
      <c r="X13" s="190"/>
      <c r="Y13" s="190"/>
      <c r="Z13" s="190"/>
      <c r="AA13" s="190"/>
      <c r="AB13" s="190"/>
      <c r="AC13" s="190"/>
      <c r="AD13" s="190"/>
      <c r="AE13" s="190"/>
      <c r="AF13" s="190"/>
      <c r="AG13" s="190"/>
      <c r="AH13" s="190"/>
      <c r="AI13" s="190"/>
      <c r="AJ13" s="190"/>
      <c r="AK13" s="198"/>
    </row>
    <row r="16" spans="2:37" ht="15" thickBot="1">
      <c r="B16" s="7" t="s">
        <v>994</v>
      </c>
    </row>
    <row r="17" spans="2:35">
      <c r="B17" s="10" t="s">
        <v>7</v>
      </c>
      <c r="C17" s="226" t="s">
        <v>998</v>
      </c>
      <c r="D17" s="226"/>
      <c r="E17" s="226"/>
      <c r="F17" s="226"/>
      <c r="G17" s="226"/>
      <c r="H17" s="226"/>
      <c r="I17" s="226"/>
      <c r="J17" s="226"/>
      <c r="K17" s="226"/>
      <c r="L17" s="226" t="s">
        <v>1000</v>
      </c>
      <c r="M17" s="226"/>
      <c r="N17" s="226"/>
      <c r="O17" s="226"/>
      <c r="P17" s="226"/>
      <c r="Q17" s="226"/>
      <c r="R17" s="226"/>
      <c r="S17" s="226"/>
      <c r="T17" s="226"/>
      <c r="U17" s="226"/>
      <c r="V17" s="226" t="s">
        <v>1002</v>
      </c>
      <c r="W17" s="226"/>
      <c r="X17" s="226"/>
      <c r="Y17" s="226" t="s">
        <v>1004</v>
      </c>
      <c r="Z17" s="226"/>
      <c r="AA17" s="226"/>
      <c r="AB17" s="226" t="s">
        <v>1005</v>
      </c>
      <c r="AC17" s="226"/>
      <c r="AD17" s="226"/>
      <c r="AE17" s="226"/>
      <c r="AF17" s="226"/>
      <c r="AG17" s="226"/>
      <c r="AH17" s="226"/>
      <c r="AI17" s="227"/>
    </row>
    <row r="18" spans="2:35" ht="13.8" thickBot="1">
      <c r="B18" s="4">
        <v>1</v>
      </c>
      <c r="C18" s="190" t="s">
        <v>1048</v>
      </c>
      <c r="D18" s="190"/>
      <c r="E18" s="190"/>
      <c r="F18" s="190"/>
      <c r="G18" s="190"/>
      <c r="H18" s="190"/>
      <c r="I18" s="190"/>
      <c r="J18" s="190"/>
      <c r="K18" s="190"/>
      <c r="L18" s="190" t="s">
        <v>1049</v>
      </c>
      <c r="M18" s="190"/>
      <c r="N18" s="190"/>
      <c r="O18" s="190"/>
      <c r="P18" s="190"/>
      <c r="Q18" s="190"/>
      <c r="R18" s="190"/>
      <c r="S18" s="190"/>
      <c r="T18" s="190"/>
      <c r="U18" s="190"/>
      <c r="V18" s="190" t="s">
        <v>1022</v>
      </c>
      <c r="W18" s="190"/>
      <c r="X18" s="190"/>
      <c r="Y18" s="190" t="s">
        <v>1022</v>
      </c>
      <c r="Z18" s="190"/>
      <c r="AA18" s="190"/>
      <c r="AB18" s="190"/>
      <c r="AC18" s="190"/>
      <c r="AD18" s="190"/>
      <c r="AE18" s="190"/>
      <c r="AF18" s="190"/>
      <c r="AG18" s="190"/>
      <c r="AH18" s="190"/>
      <c r="AI18" s="198"/>
    </row>
    <row r="20" spans="2:35" ht="15" thickBot="1">
      <c r="B20" s="7" t="s">
        <v>995</v>
      </c>
    </row>
    <row r="21" spans="2:35">
      <c r="B21" s="14" t="s">
        <v>1069</v>
      </c>
      <c r="C21" s="226" t="s">
        <v>1070</v>
      </c>
      <c r="D21" s="226"/>
      <c r="E21" s="226"/>
      <c r="F21" s="226"/>
      <c r="G21" s="226"/>
      <c r="H21" s="226"/>
      <c r="I21" s="226"/>
      <c r="J21" s="226"/>
      <c r="K21" s="226"/>
      <c r="L21" s="226"/>
      <c r="M21" s="226" t="s">
        <v>1072</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4"/>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75">
    <mergeCell ref="C25:L25"/>
    <mergeCell ref="M25:T25"/>
    <mergeCell ref="U25:AC25"/>
    <mergeCell ref="AD25:AI25"/>
    <mergeCell ref="C26:L26"/>
    <mergeCell ref="M26:T26"/>
    <mergeCell ref="U26:AC26"/>
    <mergeCell ref="AD26:AI26"/>
    <mergeCell ref="C21:L21"/>
    <mergeCell ref="M21:T21"/>
    <mergeCell ref="U21:AC21"/>
    <mergeCell ref="AD21:AI21"/>
    <mergeCell ref="C22:L22"/>
    <mergeCell ref="M22:T22"/>
    <mergeCell ref="U22:AC22"/>
    <mergeCell ref="AD22:AI22"/>
    <mergeCell ref="C18:K18"/>
    <mergeCell ref="L18:U18"/>
    <mergeCell ref="V18:X18"/>
    <mergeCell ref="Y18:AA18"/>
    <mergeCell ref="AB18:AI18"/>
    <mergeCell ref="C17:K17"/>
    <mergeCell ref="L17:U17"/>
    <mergeCell ref="V17:X17"/>
    <mergeCell ref="Y17:AA17"/>
    <mergeCell ref="AB17:AI17"/>
    <mergeCell ref="AC10:AD10"/>
    <mergeCell ref="AC11:AD11"/>
    <mergeCell ref="AC12:AD12"/>
    <mergeCell ref="AC13:AD13"/>
    <mergeCell ref="AE9:AK9"/>
    <mergeCell ref="AE10:AK10"/>
    <mergeCell ref="AE11:AK11"/>
    <mergeCell ref="AE12:AK12"/>
    <mergeCell ref="AE13:AK13"/>
    <mergeCell ref="Q10:X10"/>
    <mergeCell ref="Q11:X11"/>
    <mergeCell ref="Q12:X12"/>
    <mergeCell ref="Q13:X13"/>
    <mergeCell ref="AA10:AB10"/>
    <mergeCell ref="AA11:AB11"/>
    <mergeCell ref="AA12:AB12"/>
    <mergeCell ref="AA13:AB13"/>
    <mergeCell ref="Y10:Z10"/>
    <mergeCell ref="Y11:Z11"/>
    <mergeCell ref="Y12:Z12"/>
    <mergeCell ref="Y13:Z13"/>
    <mergeCell ref="C9:H9"/>
    <mergeCell ref="C10:H10"/>
    <mergeCell ref="C11:H11"/>
    <mergeCell ref="C12:H12"/>
    <mergeCell ref="C13:H13"/>
    <mergeCell ref="I9:P9"/>
    <mergeCell ref="I10:P10"/>
    <mergeCell ref="I11:P11"/>
    <mergeCell ref="I12:P12"/>
    <mergeCell ref="I13:P13"/>
    <mergeCell ref="Q8:X8"/>
    <mergeCell ref="AA8:AB8"/>
    <mergeCell ref="AC8:AD8"/>
    <mergeCell ref="AE8:AK8"/>
    <mergeCell ref="AA9:AB9"/>
    <mergeCell ref="AC9:AD9"/>
    <mergeCell ref="Q9:X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74E8B-3E1A-45D5-9E3A-51FC535579FE}">
  <sheetPr codeName="Sheet31"/>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338</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333</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334</v>
      </c>
      <c r="D9" s="189"/>
      <c r="E9" s="189"/>
      <c r="F9" s="189"/>
      <c r="G9" s="189"/>
      <c r="H9" s="189"/>
      <c r="I9" s="189" t="s">
        <v>336</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335</v>
      </c>
      <c r="D10" s="190"/>
      <c r="E10" s="190"/>
      <c r="F10" s="190"/>
      <c r="G10" s="190"/>
      <c r="H10" s="190"/>
      <c r="I10" s="190" t="s">
        <v>337</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4">
        <v>1</v>
      </c>
      <c r="C15" s="190" t="s">
        <v>1050</v>
      </c>
      <c r="D15" s="190"/>
      <c r="E15" s="190"/>
      <c r="F15" s="190"/>
      <c r="G15" s="190"/>
      <c r="H15" s="190"/>
      <c r="I15" s="190"/>
      <c r="J15" s="190"/>
      <c r="K15" s="190"/>
      <c r="L15" s="190" t="s">
        <v>1051</v>
      </c>
      <c r="M15" s="190"/>
      <c r="N15" s="190"/>
      <c r="O15" s="190"/>
      <c r="P15" s="190"/>
      <c r="Q15" s="190"/>
      <c r="R15" s="190"/>
      <c r="S15" s="190"/>
      <c r="T15" s="190"/>
      <c r="U15" s="190"/>
      <c r="V15" s="190" t="s">
        <v>1022</v>
      </c>
      <c r="W15" s="190"/>
      <c r="X15" s="190"/>
      <c r="Y15" s="190" t="s">
        <v>1022</v>
      </c>
      <c r="Z15" s="190"/>
      <c r="AA15" s="190"/>
      <c r="AB15" s="190"/>
      <c r="AC15" s="190"/>
      <c r="AD15" s="190"/>
      <c r="AE15" s="190"/>
      <c r="AF15" s="190"/>
      <c r="AG15" s="190"/>
      <c r="AH15" s="190"/>
      <c r="AI15" s="198"/>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AA10:AB10"/>
    <mergeCell ref="AC10:AD10"/>
    <mergeCell ref="AE9:AK9"/>
    <mergeCell ref="AE10:AK10"/>
    <mergeCell ref="C9:H9"/>
    <mergeCell ref="C10:H10"/>
    <mergeCell ref="I9:P9"/>
    <mergeCell ref="I10:P10"/>
    <mergeCell ref="Q9:X9"/>
    <mergeCell ref="Q10:X10"/>
    <mergeCell ref="Y10:Z10"/>
    <mergeCell ref="Q8:X8"/>
    <mergeCell ref="AA8:AB8"/>
    <mergeCell ref="AC8:AD8"/>
    <mergeCell ref="AE8:AK8"/>
    <mergeCell ref="AA9:AB9"/>
    <mergeCell ref="AC9:AD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8C9CF-F67A-4DBC-B2FF-D41032DAEB56}">
  <sheetPr codeName="Sheet32"/>
  <dimension ref="B1:AK28"/>
  <sheetViews>
    <sheetView workbookViewId="0">
      <selection activeCell="C16" sqref="C16"/>
    </sheetView>
  </sheetViews>
  <sheetFormatPr defaultColWidth="3.6640625" defaultRowHeight="13.2"/>
  <sheetData>
    <row r="1" spans="2:37" ht="13.8" thickBot="1"/>
    <row r="2" spans="2:37">
      <c r="B2" s="205" t="s">
        <v>95</v>
      </c>
      <c r="C2" s="206"/>
      <c r="D2" s="206"/>
      <c r="E2" s="206"/>
      <c r="F2" s="211" t="s">
        <v>93</v>
      </c>
      <c r="G2" s="211"/>
      <c r="H2" s="212"/>
      <c r="I2" s="196" t="s">
        <v>436</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429</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238</v>
      </c>
      <c r="D9" s="189"/>
      <c r="E9" s="189"/>
      <c r="F9" s="189"/>
      <c r="G9" s="189"/>
      <c r="H9" s="189"/>
      <c r="I9" s="189" t="s">
        <v>239</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182</v>
      </c>
      <c r="D10" s="189"/>
      <c r="E10" s="189"/>
      <c r="F10" s="189"/>
      <c r="G10" s="189"/>
      <c r="H10" s="189"/>
      <c r="I10" s="189" t="s">
        <v>184</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430</v>
      </c>
      <c r="D11" s="189"/>
      <c r="E11" s="189"/>
      <c r="F11" s="189"/>
      <c r="G11" s="189"/>
      <c r="H11" s="189"/>
      <c r="I11" s="189" t="s">
        <v>431</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1797</v>
      </c>
      <c r="D12" s="189"/>
      <c r="E12" s="189"/>
      <c r="F12" s="189"/>
      <c r="G12" s="189"/>
      <c r="H12" s="189"/>
      <c r="I12" s="189" t="s">
        <v>432</v>
      </c>
      <c r="J12" s="189"/>
      <c r="K12" s="189"/>
      <c r="L12" s="189"/>
      <c r="M12" s="189"/>
      <c r="N12" s="189"/>
      <c r="O12" s="189"/>
      <c r="P12" s="189"/>
      <c r="Q12" s="189" t="s">
        <v>143</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1801</v>
      </c>
      <c r="D13" s="189"/>
      <c r="E13" s="189"/>
      <c r="F13" s="189"/>
      <c r="G13" s="189"/>
      <c r="H13" s="189"/>
      <c r="I13" s="189" t="s">
        <v>433</v>
      </c>
      <c r="J13" s="189"/>
      <c r="K13" s="189"/>
      <c r="L13" s="189"/>
      <c r="M13" s="189"/>
      <c r="N13" s="189"/>
      <c r="O13" s="189"/>
      <c r="P13" s="189"/>
      <c r="Q13" s="189" t="s">
        <v>144</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1804</v>
      </c>
      <c r="D14" s="189"/>
      <c r="E14" s="189"/>
      <c r="F14" s="189"/>
      <c r="G14" s="189"/>
      <c r="H14" s="189"/>
      <c r="I14" s="189" t="s">
        <v>434</v>
      </c>
      <c r="J14" s="189"/>
      <c r="K14" s="189"/>
      <c r="L14" s="189"/>
      <c r="M14" s="189"/>
      <c r="N14" s="189"/>
      <c r="O14" s="189"/>
      <c r="P14" s="189"/>
      <c r="Q14" s="189" t="s">
        <v>144</v>
      </c>
      <c r="R14" s="189"/>
      <c r="S14" s="189"/>
      <c r="T14" s="189"/>
      <c r="U14" s="189"/>
      <c r="V14" s="189"/>
      <c r="W14" s="189"/>
      <c r="X14" s="189"/>
      <c r="Y14" s="189"/>
      <c r="Z14" s="189"/>
      <c r="AA14" s="189"/>
      <c r="AB14" s="189"/>
      <c r="AC14" s="189"/>
      <c r="AD14" s="189"/>
      <c r="AE14" s="189"/>
      <c r="AF14" s="189"/>
      <c r="AG14" s="189"/>
      <c r="AH14" s="189"/>
      <c r="AI14" s="189"/>
      <c r="AJ14" s="189"/>
      <c r="AK14" s="191"/>
    </row>
    <row r="15" spans="2:37" ht="13.8" thickBot="1">
      <c r="B15" s="4">
        <v>7</v>
      </c>
      <c r="C15" s="190" t="s">
        <v>1807</v>
      </c>
      <c r="D15" s="190"/>
      <c r="E15" s="190"/>
      <c r="F15" s="190"/>
      <c r="G15" s="190"/>
      <c r="H15" s="190"/>
      <c r="I15" s="190" t="s">
        <v>435</v>
      </c>
      <c r="J15" s="190"/>
      <c r="K15" s="190"/>
      <c r="L15" s="190"/>
      <c r="M15" s="190"/>
      <c r="N15" s="190"/>
      <c r="O15" s="190"/>
      <c r="P15" s="190"/>
      <c r="Q15" s="190" t="s">
        <v>144</v>
      </c>
      <c r="R15" s="190"/>
      <c r="S15" s="190"/>
      <c r="T15" s="190"/>
      <c r="U15" s="190"/>
      <c r="V15" s="190"/>
      <c r="W15" s="190"/>
      <c r="X15" s="190"/>
      <c r="Y15" s="190"/>
      <c r="Z15" s="190"/>
      <c r="AA15" s="190"/>
      <c r="AB15" s="190"/>
      <c r="AC15" s="190"/>
      <c r="AD15" s="190"/>
      <c r="AE15" s="190"/>
      <c r="AF15" s="190"/>
      <c r="AG15" s="190"/>
      <c r="AH15" s="190"/>
      <c r="AI15" s="190"/>
      <c r="AJ15" s="190"/>
      <c r="AK15" s="198"/>
    </row>
    <row r="18" spans="2:35" ht="15" thickBot="1">
      <c r="B18" s="7" t="s">
        <v>994</v>
      </c>
    </row>
    <row r="19" spans="2:35">
      <c r="B19" s="10" t="s">
        <v>7</v>
      </c>
      <c r="C19" s="226" t="s">
        <v>998</v>
      </c>
      <c r="D19" s="226"/>
      <c r="E19" s="226"/>
      <c r="F19" s="226"/>
      <c r="G19" s="226"/>
      <c r="H19" s="226"/>
      <c r="I19" s="226"/>
      <c r="J19" s="226"/>
      <c r="K19" s="226"/>
      <c r="L19" s="226" t="s">
        <v>1000</v>
      </c>
      <c r="M19" s="226"/>
      <c r="N19" s="226"/>
      <c r="O19" s="226"/>
      <c r="P19" s="226"/>
      <c r="Q19" s="226"/>
      <c r="R19" s="226"/>
      <c r="S19" s="226"/>
      <c r="T19" s="226"/>
      <c r="U19" s="226"/>
      <c r="V19" s="226" t="s">
        <v>1002</v>
      </c>
      <c r="W19" s="226"/>
      <c r="X19" s="226"/>
      <c r="Y19" s="226" t="s">
        <v>1004</v>
      </c>
      <c r="Z19" s="226"/>
      <c r="AA19" s="226"/>
      <c r="AB19" s="226" t="s">
        <v>1005</v>
      </c>
      <c r="AC19" s="226"/>
      <c r="AD19" s="226"/>
      <c r="AE19" s="226"/>
      <c r="AF19" s="226"/>
      <c r="AG19" s="226"/>
      <c r="AH19" s="226"/>
      <c r="AI19" s="227"/>
    </row>
    <row r="20" spans="2:35" ht="13.8" thickBot="1">
      <c r="B20" s="4">
        <v>1</v>
      </c>
      <c r="C20" s="190" t="s">
        <v>1052</v>
      </c>
      <c r="D20" s="190"/>
      <c r="E20" s="190"/>
      <c r="F20" s="190"/>
      <c r="G20" s="190"/>
      <c r="H20" s="190"/>
      <c r="I20" s="190"/>
      <c r="J20" s="190"/>
      <c r="K20" s="190"/>
      <c r="L20" s="190" t="s">
        <v>1053</v>
      </c>
      <c r="M20" s="190"/>
      <c r="N20" s="190"/>
      <c r="O20" s="190"/>
      <c r="P20" s="190"/>
      <c r="Q20" s="190"/>
      <c r="R20" s="190"/>
      <c r="S20" s="190"/>
      <c r="T20" s="190"/>
      <c r="U20" s="190"/>
      <c r="V20" s="190" t="s">
        <v>1022</v>
      </c>
      <c r="W20" s="190"/>
      <c r="X20" s="190"/>
      <c r="Y20" s="190" t="s">
        <v>1022</v>
      </c>
      <c r="Z20" s="190"/>
      <c r="AA20" s="190"/>
      <c r="AB20" s="190"/>
      <c r="AC20" s="190"/>
      <c r="AD20" s="190"/>
      <c r="AE20" s="190"/>
      <c r="AF20" s="190"/>
      <c r="AG20" s="190"/>
      <c r="AH20" s="190"/>
      <c r="AI20" s="198"/>
    </row>
    <row r="22" spans="2:35" ht="15" thickBot="1">
      <c r="B22" s="7" t="s">
        <v>995</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row r="26" spans="2:35" ht="15" thickBot="1">
      <c r="B26" s="7" t="s">
        <v>996</v>
      </c>
    </row>
    <row r="27" spans="2:35">
      <c r="B27" s="14" t="s">
        <v>1069</v>
      </c>
      <c r="C27" s="226" t="s">
        <v>1070</v>
      </c>
      <c r="D27" s="226"/>
      <c r="E27" s="226"/>
      <c r="F27" s="226"/>
      <c r="G27" s="226"/>
      <c r="H27" s="226"/>
      <c r="I27" s="226"/>
      <c r="J27" s="226"/>
      <c r="K27" s="226"/>
      <c r="L27" s="226"/>
      <c r="M27" s="226" t="s">
        <v>1072</v>
      </c>
      <c r="N27" s="226"/>
      <c r="O27" s="226"/>
      <c r="P27" s="226"/>
      <c r="Q27" s="226"/>
      <c r="R27" s="226"/>
      <c r="S27" s="226"/>
      <c r="T27" s="226"/>
      <c r="U27" s="226" t="s">
        <v>1154</v>
      </c>
      <c r="V27" s="226"/>
      <c r="W27" s="226"/>
      <c r="X27" s="226"/>
      <c r="Y27" s="226"/>
      <c r="Z27" s="226"/>
      <c r="AA27" s="226"/>
      <c r="AB27" s="226"/>
      <c r="AC27" s="226"/>
      <c r="AD27" s="226" t="s">
        <v>1155</v>
      </c>
      <c r="AE27" s="226"/>
      <c r="AF27" s="226"/>
      <c r="AG27" s="226"/>
      <c r="AH27" s="226"/>
      <c r="AI27" s="227"/>
    </row>
    <row r="28" spans="2:35" ht="13.8" thickBot="1">
      <c r="B28" s="4"/>
      <c r="C28" s="190"/>
      <c r="D28" s="190"/>
      <c r="E28" s="190"/>
      <c r="F28" s="190"/>
      <c r="G28" s="190"/>
      <c r="H28" s="190"/>
      <c r="I28" s="190"/>
      <c r="J28" s="190"/>
      <c r="K28" s="190"/>
      <c r="L28" s="190"/>
      <c r="M28" s="190"/>
      <c r="N28" s="190"/>
      <c r="O28" s="190"/>
      <c r="P28" s="190"/>
      <c r="Q28" s="190"/>
      <c r="R28" s="190"/>
      <c r="S28" s="190"/>
      <c r="T28" s="190"/>
      <c r="U28" s="190"/>
      <c r="V28" s="190"/>
      <c r="W28" s="190"/>
      <c r="X28" s="190"/>
      <c r="Y28" s="190"/>
      <c r="Z28" s="190"/>
      <c r="AA28" s="190"/>
      <c r="AB28" s="190"/>
      <c r="AC28" s="190"/>
      <c r="AD28" s="190"/>
      <c r="AE28" s="190"/>
      <c r="AF28" s="190"/>
      <c r="AG28" s="190"/>
      <c r="AH28" s="190"/>
      <c r="AI28" s="198"/>
    </row>
  </sheetData>
  <mergeCells count="89">
    <mergeCell ref="C27:L27"/>
    <mergeCell ref="M27:T27"/>
    <mergeCell ref="U27:AC27"/>
    <mergeCell ref="AD27:AI27"/>
    <mergeCell ref="C28:L28"/>
    <mergeCell ref="M28:T28"/>
    <mergeCell ref="U28:AC28"/>
    <mergeCell ref="AD28:AI28"/>
    <mergeCell ref="C23:L23"/>
    <mergeCell ref="M23:T23"/>
    <mergeCell ref="U23:AC23"/>
    <mergeCell ref="AD23:AI23"/>
    <mergeCell ref="C24:L24"/>
    <mergeCell ref="M24:T24"/>
    <mergeCell ref="U24:AC24"/>
    <mergeCell ref="AD24:AI24"/>
    <mergeCell ref="C20:K20"/>
    <mergeCell ref="L20:U20"/>
    <mergeCell ref="V20:X20"/>
    <mergeCell ref="Y20:AA20"/>
    <mergeCell ref="AB20:AI20"/>
    <mergeCell ref="C19:K19"/>
    <mergeCell ref="L19:U19"/>
    <mergeCell ref="V19:X19"/>
    <mergeCell ref="Y19:AA19"/>
    <mergeCell ref="AB19:AI19"/>
    <mergeCell ref="AE15:AK15"/>
    <mergeCell ref="AC10:AD10"/>
    <mergeCell ref="AC11:AD11"/>
    <mergeCell ref="AC12:AD12"/>
    <mergeCell ref="AC13:AD13"/>
    <mergeCell ref="AC14:AD14"/>
    <mergeCell ref="AC15:AD15"/>
    <mergeCell ref="AE10:AK10"/>
    <mergeCell ref="AE11:AK11"/>
    <mergeCell ref="AE12:AK12"/>
    <mergeCell ref="AE13:AK13"/>
    <mergeCell ref="AE14:AK14"/>
    <mergeCell ref="AA15:AB15"/>
    <mergeCell ref="Q10:X10"/>
    <mergeCell ref="Q11:X11"/>
    <mergeCell ref="Q12:X12"/>
    <mergeCell ref="Q13:X13"/>
    <mergeCell ref="Q14:X14"/>
    <mergeCell ref="Q15:X15"/>
    <mergeCell ref="AA10:AB10"/>
    <mergeCell ref="AA11:AB11"/>
    <mergeCell ref="AA12:AB12"/>
    <mergeCell ref="AA13:AB13"/>
    <mergeCell ref="AA14:AB14"/>
    <mergeCell ref="Y10:Z10"/>
    <mergeCell ref="Y11:Z11"/>
    <mergeCell ref="Y12:Z12"/>
    <mergeCell ref="Y13:Z13"/>
    <mergeCell ref="C15:H15"/>
    <mergeCell ref="I9:P9"/>
    <mergeCell ref="I10:P10"/>
    <mergeCell ref="I11:P11"/>
    <mergeCell ref="I12:P12"/>
    <mergeCell ref="I13:P13"/>
    <mergeCell ref="I14:P14"/>
    <mergeCell ref="I15:P15"/>
    <mergeCell ref="C9:H9"/>
    <mergeCell ref="C10:H10"/>
    <mergeCell ref="C11:H11"/>
    <mergeCell ref="C12:H12"/>
    <mergeCell ref="C13:H13"/>
    <mergeCell ref="C14:H14"/>
    <mergeCell ref="AA8:AB8"/>
    <mergeCell ref="AC8:AD8"/>
    <mergeCell ref="AE8:AK8"/>
    <mergeCell ref="AA9:AB9"/>
    <mergeCell ref="AC9:AD9"/>
    <mergeCell ref="AE9:AK9"/>
    <mergeCell ref="B2:E4"/>
    <mergeCell ref="F2:H2"/>
    <mergeCell ref="F3:H3"/>
    <mergeCell ref="F4:H4"/>
    <mergeCell ref="C8:H8"/>
    <mergeCell ref="Y14:Z14"/>
    <mergeCell ref="Y15:Z15"/>
    <mergeCell ref="I8:P8"/>
    <mergeCell ref="I2:M2"/>
    <mergeCell ref="I3:M3"/>
    <mergeCell ref="I4:M4"/>
    <mergeCell ref="Q8:X8"/>
    <mergeCell ref="Q9:X9"/>
    <mergeCell ref="Y8:Z8"/>
    <mergeCell ref="Y9:Z9"/>
  </mergeCells>
  <phoneticPr fontId="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0F6D2-5835-4E5F-A3E9-95BF5B1ACF61}">
  <sheetPr codeName="Sheet33"/>
  <dimension ref="B1:AK26"/>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444</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438</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439</v>
      </c>
      <c r="D9" s="189"/>
      <c r="E9" s="189"/>
      <c r="F9" s="189"/>
      <c r="G9" s="189"/>
      <c r="H9" s="189"/>
      <c r="I9" s="189" t="s">
        <v>442</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440</v>
      </c>
      <c r="D10" s="189"/>
      <c r="E10" s="189"/>
      <c r="F10" s="189"/>
      <c r="G10" s="189"/>
      <c r="H10" s="189"/>
      <c r="I10" s="189" t="s">
        <v>425</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238</v>
      </c>
      <c r="D11" s="189"/>
      <c r="E11" s="189"/>
      <c r="F11" s="189"/>
      <c r="G11" s="189"/>
      <c r="H11" s="189"/>
      <c r="I11" s="189" t="s">
        <v>239</v>
      </c>
      <c r="J11" s="189"/>
      <c r="K11" s="189"/>
      <c r="L11" s="189"/>
      <c r="M11" s="189"/>
      <c r="N11" s="189"/>
      <c r="O11" s="189"/>
      <c r="P11" s="189"/>
      <c r="Q11" s="189" t="s">
        <v>146</v>
      </c>
      <c r="R11" s="189"/>
      <c r="S11" s="189"/>
      <c r="T11" s="189"/>
      <c r="U11" s="189"/>
      <c r="V11" s="189"/>
      <c r="W11" s="189"/>
      <c r="X11" s="189"/>
      <c r="Y11" s="189"/>
      <c r="Z11" s="189"/>
      <c r="AA11" s="189"/>
      <c r="AB11" s="189"/>
      <c r="AC11" s="189"/>
      <c r="AD11" s="189"/>
      <c r="AE11" s="189"/>
      <c r="AF11" s="189"/>
      <c r="AG11" s="189"/>
      <c r="AH11" s="189"/>
      <c r="AI11" s="189"/>
      <c r="AJ11" s="189"/>
      <c r="AK11" s="191"/>
    </row>
    <row r="12" spans="2:37" ht="13.8" thickBot="1">
      <c r="B12" s="4">
        <v>4</v>
      </c>
      <c r="C12" s="190" t="s">
        <v>441</v>
      </c>
      <c r="D12" s="190"/>
      <c r="E12" s="190"/>
      <c r="F12" s="190"/>
      <c r="G12" s="190"/>
      <c r="H12" s="190"/>
      <c r="I12" s="190" t="s">
        <v>443</v>
      </c>
      <c r="J12" s="190"/>
      <c r="K12" s="190"/>
      <c r="L12" s="190"/>
      <c r="M12" s="190"/>
      <c r="N12" s="190"/>
      <c r="O12" s="190"/>
      <c r="P12" s="190"/>
      <c r="Q12" s="190" t="s">
        <v>143</v>
      </c>
      <c r="R12" s="190"/>
      <c r="S12" s="190"/>
      <c r="T12" s="190"/>
      <c r="U12" s="190"/>
      <c r="V12" s="190"/>
      <c r="W12" s="190"/>
      <c r="X12" s="190"/>
      <c r="Y12" s="190"/>
      <c r="Z12" s="190"/>
      <c r="AA12" s="190"/>
      <c r="AB12" s="190"/>
      <c r="AC12" s="190"/>
      <c r="AD12" s="190"/>
      <c r="AE12" s="190"/>
      <c r="AF12" s="190"/>
      <c r="AG12" s="190"/>
      <c r="AH12" s="190"/>
      <c r="AI12" s="190"/>
      <c r="AJ12" s="190"/>
      <c r="AK12" s="198"/>
    </row>
    <row r="15" spans="2:37" ht="15" thickBot="1">
      <c r="B15" s="7" t="s">
        <v>994</v>
      </c>
    </row>
    <row r="16" spans="2:37" ht="13.8" thickBot="1">
      <c r="B16" s="10" t="s">
        <v>7</v>
      </c>
      <c r="C16" s="226" t="s">
        <v>998</v>
      </c>
      <c r="D16" s="226"/>
      <c r="E16" s="226"/>
      <c r="F16" s="226"/>
      <c r="G16" s="226"/>
      <c r="H16" s="226"/>
      <c r="I16" s="226"/>
      <c r="J16" s="226"/>
      <c r="K16" s="226"/>
      <c r="L16" s="226" t="s">
        <v>1000</v>
      </c>
      <c r="M16" s="226"/>
      <c r="N16" s="226"/>
      <c r="O16" s="226"/>
      <c r="P16" s="226"/>
      <c r="Q16" s="226"/>
      <c r="R16" s="226"/>
      <c r="S16" s="226"/>
      <c r="T16" s="226"/>
      <c r="U16" s="226"/>
      <c r="V16" s="226" t="s">
        <v>1002</v>
      </c>
      <c r="W16" s="226"/>
      <c r="X16" s="226"/>
      <c r="Y16" s="226" t="s">
        <v>1004</v>
      </c>
      <c r="Z16" s="226"/>
      <c r="AA16" s="226"/>
      <c r="AB16" s="226" t="s">
        <v>1005</v>
      </c>
      <c r="AC16" s="226"/>
      <c r="AD16" s="226"/>
      <c r="AE16" s="226"/>
      <c r="AF16" s="226"/>
      <c r="AG16" s="226"/>
      <c r="AH16" s="226"/>
      <c r="AI16" s="227"/>
    </row>
    <row r="17" spans="2:35">
      <c r="B17" s="256">
        <v>1</v>
      </c>
      <c r="C17" s="247" t="s">
        <v>1054</v>
      </c>
      <c r="D17" s="247"/>
      <c r="E17" s="247"/>
      <c r="F17" s="247"/>
      <c r="G17" s="247"/>
      <c r="H17" s="247"/>
      <c r="I17" s="247"/>
      <c r="J17" s="247"/>
      <c r="K17" s="247"/>
      <c r="L17" s="246" t="s">
        <v>1055</v>
      </c>
      <c r="M17" s="246"/>
      <c r="N17" s="246"/>
      <c r="O17" s="246"/>
      <c r="P17" s="246"/>
      <c r="Q17" s="246"/>
      <c r="R17" s="246"/>
      <c r="S17" s="246"/>
      <c r="T17" s="246"/>
      <c r="U17" s="246"/>
      <c r="V17" s="247" t="s">
        <v>1022</v>
      </c>
      <c r="W17" s="247"/>
      <c r="X17" s="247"/>
      <c r="Y17" s="247" t="s">
        <v>1022</v>
      </c>
      <c r="Z17" s="247"/>
      <c r="AA17" s="247"/>
      <c r="AB17" s="248"/>
      <c r="AC17" s="248"/>
      <c r="AD17" s="248"/>
      <c r="AE17" s="248"/>
      <c r="AF17" s="248"/>
      <c r="AG17" s="248"/>
      <c r="AH17" s="248"/>
      <c r="AI17" s="249"/>
    </row>
    <row r="18" spans="2:35" ht="13.8" thickBot="1">
      <c r="B18" s="257"/>
      <c r="C18" s="258"/>
      <c r="D18" s="258"/>
      <c r="E18" s="258"/>
      <c r="F18" s="258"/>
      <c r="G18" s="258"/>
      <c r="H18" s="258"/>
      <c r="I18" s="258"/>
      <c r="J18" s="258"/>
      <c r="K18" s="258"/>
      <c r="L18" s="259" t="s">
        <v>1056</v>
      </c>
      <c r="M18" s="259"/>
      <c r="N18" s="259"/>
      <c r="O18" s="259"/>
      <c r="P18" s="259"/>
      <c r="Q18" s="259"/>
      <c r="R18" s="259"/>
      <c r="S18" s="259"/>
      <c r="T18" s="259"/>
      <c r="U18" s="259"/>
      <c r="V18" s="258"/>
      <c r="W18" s="258"/>
      <c r="X18" s="258"/>
      <c r="Y18" s="258"/>
      <c r="Z18" s="258"/>
      <c r="AA18" s="258"/>
      <c r="AB18" s="238"/>
      <c r="AC18" s="238"/>
      <c r="AD18" s="238"/>
      <c r="AE18" s="238"/>
      <c r="AF18" s="238"/>
      <c r="AG18" s="238"/>
      <c r="AH18" s="238"/>
      <c r="AI18" s="239"/>
    </row>
    <row r="20" spans="2:35" ht="15" thickBot="1">
      <c r="B20" s="7" t="s">
        <v>995</v>
      </c>
    </row>
    <row r="21" spans="2:35">
      <c r="B21" s="14" t="s">
        <v>1069</v>
      </c>
      <c r="C21" s="226" t="s">
        <v>1070</v>
      </c>
      <c r="D21" s="226"/>
      <c r="E21" s="226"/>
      <c r="F21" s="226"/>
      <c r="G21" s="226"/>
      <c r="H21" s="226"/>
      <c r="I21" s="226"/>
      <c r="J21" s="226"/>
      <c r="K21" s="226"/>
      <c r="L21" s="226"/>
      <c r="M21" s="226" t="s">
        <v>1072</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4"/>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70">
    <mergeCell ref="C26:L26"/>
    <mergeCell ref="M26:T26"/>
    <mergeCell ref="U26:AC26"/>
    <mergeCell ref="AD26:AI26"/>
    <mergeCell ref="C22:L22"/>
    <mergeCell ref="M22:T22"/>
    <mergeCell ref="U22:AC22"/>
    <mergeCell ref="AD22:AI22"/>
    <mergeCell ref="C25:L25"/>
    <mergeCell ref="M25:T25"/>
    <mergeCell ref="U25:AC25"/>
    <mergeCell ref="AD25:AI25"/>
    <mergeCell ref="AB17:AI18"/>
    <mergeCell ref="L18:U18"/>
    <mergeCell ref="C21:L21"/>
    <mergeCell ref="M21:T21"/>
    <mergeCell ref="U21:AC21"/>
    <mergeCell ref="AD21:AI21"/>
    <mergeCell ref="B17:B18"/>
    <mergeCell ref="C17:K18"/>
    <mergeCell ref="L17:U17"/>
    <mergeCell ref="V17:X18"/>
    <mergeCell ref="Y17:AA18"/>
    <mergeCell ref="C16:K16"/>
    <mergeCell ref="L16:U16"/>
    <mergeCell ref="V16:X16"/>
    <mergeCell ref="Y16:AA16"/>
    <mergeCell ref="AB16:AI16"/>
    <mergeCell ref="AC10:AD10"/>
    <mergeCell ref="AC11:AD11"/>
    <mergeCell ref="AC12:AD12"/>
    <mergeCell ref="AE9:AK9"/>
    <mergeCell ref="AE10:AK10"/>
    <mergeCell ref="AE11:AK11"/>
    <mergeCell ref="AE12:AK12"/>
    <mergeCell ref="Q10:X10"/>
    <mergeCell ref="Q11:X11"/>
    <mergeCell ref="Q12:X12"/>
    <mergeCell ref="AA10:AB10"/>
    <mergeCell ref="AA11:AB11"/>
    <mergeCell ref="AA12:AB12"/>
    <mergeCell ref="Y10:Z10"/>
    <mergeCell ref="Y11:Z11"/>
    <mergeCell ref="Y12:Z12"/>
    <mergeCell ref="C9:H9"/>
    <mergeCell ref="C10:H10"/>
    <mergeCell ref="C11:H11"/>
    <mergeCell ref="C12:H12"/>
    <mergeCell ref="I9:P9"/>
    <mergeCell ref="I10:P10"/>
    <mergeCell ref="I11:P11"/>
    <mergeCell ref="I12:P12"/>
    <mergeCell ref="Q8:X8"/>
    <mergeCell ref="AA8:AB8"/>
    <mergeCell ref="AC8:AD8"/>
    <mergeCell ref="AE8:AK8"/>
    <mergeCell ref="AA9:AB9"/>
    <mergeCell ref="AC9:AD9"/>
    <mergeCell ref="Q9:X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0FC-9680-4273-AE3E-458DAC4D2FB1}">
  <sheetPr codeName="Sheet34"/>
  <dimension ref="B1:AK26"/>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453</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446</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447</v>
      </c>
      <c r="D9" s="189"/>
      <c r="E9" s="189"/>
      <c r="F9" s="189"/>
      <c r="G9" s="189"/>
      <c r="H9" s="189"/>
      <c r="I9" s="189" t="s">
        <v>450</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448</v>
      </c>
      <c r="D10" s="189"/>
      <c r="E10" s="189"/>
      <c r="F10" s="189"/>
      <c r="G10" s="189"/>
      <c r="H10" s="189"/>
      <c r="I10" s="189" t="s">
        <v>451</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410</v>
      </c>
      <c r="D11" s="189"/>
      <c r="E11" s="189"/>
      <c r="F11" s="189"/>
      <c r="G11" s="189"/>
      <c r="H11" s="189"/>
      <c r="I11" s="189" t="s">
        <v>413</v>
      </c>
      <c r="J11" s="189"/>
      <c r="K11" s="189"/>
      <c r="L11" s="189"/>
      <c r="M11" s="189"/>
      <c r="N11" s="189"/>
      <c r="O11" s="189"/>
      <c r="P11" s="189"/>
      <c r="Q11" s="189" t="s">
        <v>146</v>
      </c>
      <c r="R11" s="189"/>
      <c r="S11" s="189"/>
      <c r="T11" s="189"/>
      <c r="U11" s="189"/>
      <c r="V11" s="189"/>
      <c r="W11" s="189"/>
      <c r="X11" s="189"/>
      <c r="Y11" s="189"/>
      <c r="Z11" s="189"/>
      <c r="AA11" s="189"/>
      <c r="AB11" s="189"/>
      <c r="AC11" s="189"/>
      <c r="AD11" s="189"/>
      <c r="AE11" s="189"/>
      <c r="AF11" s="189"/>
      <c r="AG11" s="189"/>
      <c r="AH11" s="189"/>
      <c r="AI11" s="189"/>
      <c r="AJ11" s="189"/>
      <c r="AK11" s="191"/>
    </row>
    <row r="12" spans="2:37" ht="13.8" thickBot="1">
      <c r="B12" s="4">
        <v>4</v>
      </c>
      <c r="C12" s="190" t="s">
        <v>449</v>
      </c>
      <c r="D12" s="190"/>
      <c r="E12" s="190"/>
      <c r="F12" s="190"/>
      <c r="G12" s="190"/>
      <c r="H12" s="190"/>
      <c r="I12" s="190" t="s">
        <v>452</v>
      </c>
      <c r="J12" s="190"/>
      <c r="K12" s="190"/>
      <c r="L12" s="190"/>
      <c r="M12" s="190"/>
      <c r="N12" s="190"/>
      <c r="O12" s="190"/>
      <c r="P12" s="190"/>
      <c r="Q12" s="190" t="s">
        <v>144</v>
      </c>
      <c r="R12" s="190"/>
      <c r="S12" s="190"/>
      <c r="T12" s="190"/>
      <c r="U12" s="190"/>
      <c r="V12" s="190"/>
      <c r="W12" s="190"/>
      <c r="X12" s="190"/>
      <c r="Y12" s="190"/>
      <c r="Z12" s="190"/>
      <c r="AA12" s="190"/>
      <c r="AB12" s="190"/>
      <c r="AC12" s="190"/>
      <c r="AD12" s="190"/>
      <c r="AE12" s="190"/>
      <c r="AF12" s="190"/>
      <c r="AG12" s="190"/>
      <c r="AH12" s="190"/>
      <c r="AI12" s="190"/>
      <c r="AJ12" s="190"/>
      <c r="AK12" s="198"/>
    </row>
    <row r="15" spans="2:37" ht="15" thickBot="1">
      <c r="B15" s="7" t="s">
        <v>994</v>
      </c>
    </row>
    <row r="16" spans="2:37" ht="13.8" thickBot="1">
      <c r="B16" s="10" t="s">
        <v>7</v>
      </c>
      <c r="C16" s="226" t="s">
        <v>998</v>
      </c>
      <c r="D16" s="226"/>
      <c r="E16" s="226"/>
      <c r="F16" s="226"/>
      <c r="G16" s="226"/>
      <c r="H16" s="226"/>
      <c r="I16" s="226"/>
      <c r="J16" s="226"/>
      <c r="K16" s="226"/>
      <c r="L16" s="226" t="s">
        <v>1000</v>
      </c>
      <c r="M16" s="226"/>
      <c r="N16" s="226"/>
      <c r="O16" s="226"/>
      <c r="P16" s="226"/>
      <c r="Q16" s="226"/>
      <c r="R16" s="226"/>
      <c r="S16" s="226"/>
      <c r="T16" s="226"/>
      <c r="U16" s="226"/>
      <c r="V16" s="226" t="s">
        <v>1002</v>
      </c>
      <c r="W16" s="226"/>
      <c r="X16" s="226"/>
      <c r="Y16" s="226" t="s">
        <v>1004</v>
      </c>
      <c r="Z16" s="226"/>
      <c r="AA16" s="226"/>
      <c r="AB16" s="226" t="s">
        <v>1005</v>
      </c>
      <c r="AC16" s="226"/>
      <c r="AD16" s="226"/>
      <c r="AE16" s="226"/>
      <c r="AF16" s="226"/>
      <c r="AG16" s="226"/>
      <c r="AH16" s="226"/>
      <c r="AI16" s="227"/>
    </row>
    <row r="17" spans="2:35">
      <c r="B17" s="256">
        <v>1</v>
      </c>
      <c r="C17" s="247" t="s">
        <v>1057</v>
      </c>
      <c r="D17" s="247"/>
      <c r="E17" s="247"/>
      <c r="F17" s="247"/>
      <c r="G17" s="247"/>
      <c r="H17" s="247"/>
      <c r="I17" s="247"/>
      <c r="J17" s="247"/>
      <c r="K17" s="247"/>
      <c r="L17" s="246" t="s">
        <v>1058</v>
      </c>
      <c r="M17" s="246"/>
      <c r="N17" s="246"/>
      <c r="O17" s="246"/>
      <c r="P17" s="246"/>
      <c r="Q17" s="246"/>
      <c r="R17" s="246"/>
      <c r="S17" s="246"/>
      <c r="T17" s="246"/>
      <c r="U17" s="246"/>
      <c r="V17" s="247" t="s">
        <v>1022</v>
      </c>
      <c r="W17" s="247"/>
      <c r="X17" s="247"/>
      <c r="Y17" s="247" t="s">
        <v>1022</v>
      </c>
      <c r="Z17" s="247"/>
      <c r="AA17" s="247"/>
      <c r="AB17" s="248"/>
      <c r="AC17" s="248"/>
      <c r="AD17" s="248"/>
      <c r="AE17" s="248"/>
      <c r="AF17" s="248"/>
      <c r="AG17" s="248"/>
      <c r="AH17" s="248"/>
      <c r="AI17" s="249"/>
    </row>
    <row r="18" spans="2:35" ht="13.8" thickBot="1">
      <c r="B18" s="257"/>
      <c r="C18" s="258"/>
      <c r="D18" s="258"/>
      <c r="E18" s="258"/>
      <c r="F18" s="258"/>
      <c r="G18" s="258"/>
      <c r="H18" s="258"/>
      <c r="I18" s="258"/>
      <c r="J18" s="258"/>
      <c r="K18" s="258"/>
      <c r="L18" s="259" t="s">
        <v>1059</v>
      </c>
      <c r="M18" s="259"/>
      <c r="N18" s="259"/>
      <c r="O18" s="259"/>
      <c r="P18" s="259"/>
      <c r="Q18" s="259"/>
      <c r="R18" s="259"/>
      <c r="S18" s="259"/>
      <c r="T18" s="259"/>
      <c r="U18" s="259"/>
      <c r="V18" s="258"/>
      <c r="W18" s="258"/>
      <c r="X18" s="258"/>
      <c r="Y18" s="258"/>
      <c r="Z18" s="258"/>
      <c r="AA18" s="258"/>
      <c r="AB18" s="238"/>
      <c r="AC18" s="238"/>
      <c r="AD18" s="238"/>
      <c r="AE18" s="238"/>
      <c r="AF18" s="238"/>
      <c r="AG18" s="238"/>
      <c r="AH18" s="238"/>
      <c r="AI18" s="239"/>
    </row>
    <row r="20" spans="2:35" ht="15" thickBot="1">
      <c r="B20" s="7" t="s">
        <v>995</v>
      </c>
    </row>
    <row r="21" spans="2:35">
      <c r="B21" s="14" t="s">
        <v>1069</v>
      </c>
      <c r="C21" s="226" t="s">
        <v>1070</v>
      </c>
      <c r="D21" s="226"/>
      <c r="E21" s="226"/>
      <c r="F21" s="226"/>
      <c r="G21" s="226"/>
      <c r="H21" s="226"/>
      <c r="I21" s="226"/>
      <c r="J21" s="226"/>
      <c r="K21" s="226"/>
      <c r="L21" s="226"/>
      <c r="M21" s="226" t="s">
        <v>1072</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4"/>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70">
    <mergeCell ref="C26:L26"/>
    <mergeCell ref="M26:T26"/>
    <mergeCell ref="U26:AC26"/>
    <mergeCell ref="AD26:AI26"/>
    <mergeCell ref="C22:L22"/>
    <mergeCell ref="M22:T22"/>
    <mergeCell ref="U22:AC22"/>
    <mergeCell ref="AD22:AI22"/>
    <mergeCell ref="C25:L25"/>
    <mergeCell ref="M25:T25"/>
    <mergeCell ref="U25:AC25"/>
    <mergeCell ref="AD25:AI25"/>
    <mergeCell ref="AB17:AI18"/>
    <mergeCell ref="L18:U18"/>
    <mergeCell ref="C21:L21"/>
    <mergeCell ref="M21:T21"/>
    <mergeCell ref="U21:AC21"/>
    <mergeCell ref="AD21:AI21"/>
    <mergeCell ref="B17:B18"/>
    <mergeCell ref="C17:K18"/>
    <mergeCell ref="L17:U17"/>
    <mergeCell ref="V17:X18"/>
    <mergeCell ref="Y17:AA18"/>
    <mergeCell ref="C16:K16"/>
    <mergeCell ref="L16:U16"/>
    <mergeCell ref="V16:X16"/>
    <mergeCell ref="Y16:AA16"/>
    <mergeCell ref="AB16:AI16"/>
    <mergeCell ref="AE10:AK10"/>
    <mergeCell ref="AE11:AK11"/>
    <mergeCell ref="AE12:AK12"/>
    <mergeCell ref="Q11:X11"/>
    <mergeCell ref="Q12:X12"/>
    <mergeCell ref="AA11:AB11"/>
    <mergeCell ref="AA12:AB12"/>
    <mergeCell ref="AC11:AD11"/>
    <mergeCell ref="AC12:AD12"/>
    <mergeCell ref="AA10:AB10"/>
    <mergeCell ref="AC10:AD10"/>
    <mergeCell ref="Q10:X10"/>
    <mergeCell ref="Y10:Z10"/>
    <mergeCell ref="Y11:Z11"/>
    <mergeCell ref="Y12:Z12"/>
    <mergeCell ref="C9:H9"/>
    <mergeCell ref="C10:H10"/>
    <mergeCell ref="C11:H11"/>
    <mergeCell ref="C12:H12"/>
    <mergeCell ref="I9:P9"/>
    <mergeCell ref="I10:P10"/>
    <mergeCell ref="I11:P11"/>
    <mergeCell ref="I12:P12"/>
    <mergeCell ref="Q8:X8"/>
    <mergeCell ref="AA8:AB8"/>
    <mergeCell ref="AC8:AD8"/>
    <mergeCell ref="AE8:AK8"/>
    <mergeCell ref="AA9:AB9"/>
    <mergeCell ref="AC9:AD9"/>
    <mergeCell ref="Q9:X9"/>
    <mergeCell ref="AE9:AK9"/>
    <mergeCell ref="Y8:Z8"/>
    <mergeCell ref="Y9:Z9"/>
    <mergeCell ref="I8:P8"/>
    <mergeCell ref="I2:N2"/>
    <mergeCell ref="I3:N3"/>
    <mergeCell ref="I4:N4"/>
    <mergeCell ref="B2:E4"/>
    <mergeCell ref="F2:H2"/>
    <mergeCell ref="F3:H3"/>
    <mergeCell ref="F4:H4"/>
    <mergeCell ref="C8:H8"/>
  </mergeCells>
  <phoneticPr fontId="3"/>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F5685-2457-400C-82F9-7109B4E7C81E}">
  <sheetPr codeName="Sheet35"/>
  <dimension ref="B1:AK28"/>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464</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455</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456</v>
      </c>
      <c r="D9" s="189"/>
      <c r="E9" s="189"/>
      <c r="F9" s="189"/>
      <c r="G9" s="189"/>
      <c r="H9" s="189"/>
      <c r="I9" s="189" t="s">
        <v>460</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457</v>
      </c>
      <c r="D10" s="189"/>
      <c r="E10" s="189"/>
      <c r="F10" s="189"/>
      <c r="G10" s="189"/>
      <c r="H10" s="189"/>
      <c r="I10" s="189" t="s">
        <v>461</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410</v>
      </c>
      <c r="D11" s="189"/>
      <c r="E11" s="189"/>
      <c r="F11" s="189"/>
      <c r="G11" s="189"/>
      <c r="H11" s="189"/>
      <c r="I11" s="189" t="s">
        <v>413</v>
      </c>
      <c r="J11" s="189"/>
      <c r="K11" s="189"/>
      <c r="L11" s="189"/>
      <c r="M11" s="189"/>
      <c r="N11" s="189"/>
      <c r="O11" s="189"/>
      <c r="P11" s="189"/>
      <c r="Q11" s="189" t="s">
        <v>146</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458</v>
      </c>
      <c r="D12" s="189"/>
      <c r="E12" s="189"/>
      <c r="F12" s="189"/>
      <c r="G12" s="189"/>
      <c r="H12" s="189"/>
      <c r="I12" s="189" t="s">
        <v>462</v>
      </c>
      <c r="J12" s="189"/>
      <c r="K12" s="189"/>
      <c r="L12" s="189"/>
      <c r="M12" s="189"/>
      <c r="N12" s="189"/>
      <c r="O12" s="189"/>
      <c r="P12" s="189"/>
      <c r="Q12" s="189" t="s">
        <v>144</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459</v>
      </c>
      <c r="D13" s="189"/>
      <c r="E13" s="189"/>
      <c r="F13" s="189"/>
      <c r="G13" s="189"/>
      <c r="H13" s="189"/>
      <c r="I13" s="189" t="s">
        <v>463</v>
      </c>
      <c r="J13" s="189"/>
      <c r="K13" s="189"/>
      <c r="L13" s="189"/>
      <c r="M13" s="189"/>
      <c r="N13" s="189"/>
      <c r="O13" s="189"/>
      <c r="P13" s="189"/>
      <c r="Q13" s="189" t="s">
        <v>144</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108</v>
      </c>
      <c r="D14" s="189"/>
      <c r="E14" s="189"/>
      <c r="F14" s="189"/>
      <c r="G14" s="189"/>
      <c r="H14" s="189"/>
      <c r="I14" s="189" t="s">
        <v>132</v>
      </c>
      <c r="J14" s="189"/>
      <c r="K14" s="189"/>
      <c r="L14" s="189"/>
      <c r="M14" s="189"/>
      <c r="N14" s="189"/>
      <c r="O14" s="189"/>
      <c r="P14" s="189"/>
      <c r="Q14" s="189" t="s">
        <v>143</v>
      </c>
      <c r="R14" s="189"/>
      <c r="S14" s="189"/>
      <c r="T14" s="189"/>
      <c r="U14" s="189"/>
      <c r="V14" s="189"/>
      <c r="W14" s="189"/>
      <c r="X14" s="189"/>
      <c r="Y14" s="189"/>
      <c r="Z14" s="189"/>
      <c r="AA14" s="189"/>
      <c r="AB14" s="189"/>
      <c r="AC14" s="189"/>
      <c r="AD14" s="189"/>
      <c r="AE14" s="189"/>
      <c r="AF14" s="189"/>
      <c r="AG14" s="189"/>
      <c r="AH14" s="189"/>
      <c r="AI14" s="189"/>
      <c r="AJ14" s="189"/>
      <c r="AK14" s="191"/>
    </row>
    <row r="15" spans="2:37" ht="13.8" thickBot="1">
      <c r="B15" s="4">
        <v>7</v>
      </c>
      <c r="C15" s="190" t="s">
        <v>118</v>
      </c>
      <c r="D15" s="190"/>
      <c r="E15" s="190"/>
      <c r="F15" s="190"/>
      <c r="G15" s="190"/>
      <c r="H15" s="190"/>
      <c r="I15" s="190" t="s">
        <v>159</v>
      </c>
      <c r="J15" s="190"/>
      <c r="K15" s="190"/>
      <c r="L15" s="190"/>
      <c r="M15" s="190"/>
      <c r="N15" s="190"/>
      <c r="O15" s="190"/>
      <c r="P15" s="190"/>
      <c r="Q15" s="190" t="s">
        <v>144</v>
      </c>
      <c r="R15" s="190"/>
      <c r="S15" s="190"/>
      <c r="T15" s="190"/>
      <c r="U15" s="190"/>
      <c r="V15" s="190"/>
      <c r="W15" s="190"/>
      <c r="X15" s="190"/>
      <c r="Y15" s="190"/>
      <c r="Z15" s="190"/>
      <c r="AA15" s="190"/>
      <c r="AB15" s="190"/>
      <c r="AC15" s="190"/>
      <c r="AD15" s="190"/>
      <c r="AE15" s="190"/>
      <c r="AF15" s="190"/>
      <c r="AG15" s="190"/>
      <c r="AH15" s="190"/>
      <c r="AI15" s="190"/>
      <c r="AJ15" s="190"/>
      <c r="AK15" s="198"/>
    </row>
    <row r="18" spans="2:35" ht="15" thickBot="1">
      <c r="B18" s="7" t="s">
        <v>994</v>
      </c>
    </row>
    <row r="19" spans="2:35">
      <c r="B19" s="10" t="s">
        <v>7</v>
      </c>
      <c r="C19" s="226" t="s">
        <v>998</v>
      </c>
      <c r="D19" s="226"/>
      <c r="E19" s="226"/>
      <c r="F19" s="226"/>
      <c r="G19" s="226"/>
      <c r="H19" s="226"/>
      <c r="I19" s="226"/>
      <c r="J19" s="226"/>
      <c r="K19" s="226"/>
      <c r="L19" s="226" t="s">
        <v>1000</v>
      </c>
      <c r="M19" s="226"/>
      <c r="N19" s="226"/>
      <c r="O19" s="226"/>
      <c r="P19" s="226"/>
      <c r="Q19" s="226"/>
      <c r="R19" s="226"/>
      <c r="S19" s="226"/>
      <c r="T19" s="226"/>
      <c r="U19" s="226"/>
      <c r="V19" s="226" t="s">
        <v>1002</v>
      </c>
      <c r="W19" s="226"/>
      <c r="X19" s="226"/>
      <c r="Y19" s="226" t="s">
        <v>1004</v>
      </c>
      <c r="Z19" s="226"/>
      <c r="AA19" s="226"/>
      <c r="AB19" s="226" t="s">
        <v>1005</v>
      </c>
      <c r="AC19" s="226"/>
      <c r="AD19" s="226"/>
      <c r="AE19" s="226"/>
      <c r="AF19" s="226"/>
      <c r="AG19" s="226"/>
      <c r="AH19" s="226"/>
      <c r="AI19" s="227"/>
    </row>
    <row r="20" spans="2:35" ht="13.8" thickBot="1">
      <c r="B20" s="4">
        <v>1</v>
      </c>
      <c r="C20" s="190" t="s">
        <v>1060</v>
      </c>
      <c r="D20" s="190"/>
      <c r="E20" s="190"/>
      <c r="F20" s="190"/>
      <c r="G20" s="190"/>
      <c r="H20" s="190"/>
      <c r="I20" s="190"/>
      <c r="J20" s="190"/>
      <c r="K20" s="190"/>
      <c r="L20" s="190" t="s">
        <v>1061</v>
      </c>
      <c r="M20" s="190"/>
      <c r="N20" s="190"/>
      <c r="O20" s="190"/>
      <c r="P20" s="190"/>
      <c r="Q20" s="190"/>
      <c r="R20" s="190"/>
      <c r="S20" s="190"/>
      <c r="T20" s="190"/>
      <c r="U20" s="190"/>
      <c r="V20" s="190" t="s">
        <v>1022</v>
      </c>
      <c r="W20" s="190"/>
      <c r="X20" s="190"/>
      <c r="Y20" s="190" t="s">
        <v>1022</v>
      </c>
      <c r="Z20" s="190"/>
      <c r="AA20" s="190"/>
      <c r="AB20" s="190"/>
      <c r="AC20" s="190"/>
      <c r="AD20" s="190"/>
      <c r="AE20" s="190"/>
      <c r="AF20" s="190"/>
      <c r="AG20" s="190"/>
      <c r="AH20" s="190"/>
      <c r="AI20" s="198"/>
    </row>
    <row r="22" spans="2:35" ht="15" thickBot="1">
      <c r="B22" s="7" t="s">
        <v>995</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row r="26" spans="2:35" ht="15" thickBot="1">
      <c r="B26" s="7" t="s">
        <v>996</v>
      </c>
    </row>
    <row r="27" spans="2:35">
      <c r="B27" s="14" t="s">
        <v>1069</v>
      </c>
      <c r="C27" s="226" t="s">
        <v>1070</v>
      </c>
      <c r="D27" s="226"/>
      <c r="E27" s="226"/>
      <c r="F27" s="226"/>
      <c r="G27" s="226"/>
      <c r="H27" s="226"/>
      <c r="I27" s="226"/>
      <c r="J27" s="226"/>
      <c r="K27" s="226"/>
      <c r="L27" s="226"/>
      <c r="M27" s="226" t="s">
        <v>1072</v>
      </c>
      <c r="N27" s="226"/>
      <c r="O27" s="226"/>
      <c r="P27" s="226"/>
      <c r="Q27" s="226"/>
      <c r="R27" s="226"/>
      <c r="S27" s="226"/>
      <c r="T27" s="226"/>
      <c r="U27" s="226" t="s">
        <v>1154</v>
      </c>
      <c r="V27" s="226"/>
      <c r="W27" s="226"/>
      <c r="X27" s="226"/>
      <c r="Y27" s="226"/>
      <c r="Z27" s="226"/>
      <c r="AA27" s="226"/>
      <c r="AB27" s="226"/>
      <c r="AC27" s="226"/>
      <c r="AD27" s="226" t="s">
        <v>1155</v>
      </c>
      <c r="AE27" s="226"/>
      <c r="AF27" s="226"/>
      <c r="AG27" s="226"/>
      <c r="AH27" s="226"/>
      <c r="AI27" s="227"/>
    </row>
    <row r="28" spans="2:35" ht="13.8" thickBot="1">
      <c r="B28" s="4"/>
      <c r="C28" s="190"/>
      <c r="D28" s="190"/>
      <c r="E28" s="190"/>
      <c r="F28" s="190"/>
      <c r="G28" s="190"/>
      <c r="H28" s="190"/>
      <c r="I28" s="190"/>
      <c r="J28" s="190"/>
      <c r="K28" s="190"/>
      <c r="L28" s="190"/>
      <c r="M28" s="190"/>
      <c r="N28" s="190"/>
      <c r="O28" s="190"/>
      <c r="P28" s="190"/>
      <c r="Q28" s="190"/>
      <c r="R28" s="190"/>
      <c r="S28" s="190"/>
      <c r="T28" s="190"/>
      <c r="U28" s="190"/>
      <c r="V28" s="190"/>
      <c r="W28" s="190"/>
      <c r="X28" s="190"/>
      <c r="Y28" s="190"/>
      <c r="Z28" s="190"/>
      <c r="AA28" s="190"/>
      <c r="AB28" s="190"/>
      <c r="AC28" s="190"/>
      <c r="AD28" s="190"/>
      <c r="AE28" s="190"/>
      <c r="AF28" s="190"/>
      <c r="AG28" s="190"/>
      <c r="AH28" s="190"/>
      <c r="AI28" s="198"/>
    </row>
  </sheetData>
  <mergeCells count="89">
    <mergeCell ref="C27:L27"/>
    <mergeCell ref="M27:T27"/>
    <mergeCell ref="U27:AC27"/>
    <mergeCell ref="AD27:AI27"/>
    <mergeCell ref="C28:L28"/>
    <mergeCell ref="M28:T28"/>
    <mergeCell ref="U28:AC28"/>
    <mergeCell ref="AD28:AI28"/>
    <mergeCell ref="C23:L23"/>
    <mergeCell ref="M23:T23"/>
    <mergeCell ref="U23:AC23"/>
    <mergeCell ref="AD23:AI23"/>
    <mergeCell ref="C24:L24"/>
    <mergeCell ref="M24:T24"/>
    <mergeCell ref="U24:AC24"/>
    <mergeCell ref="AD24:AI24"/>
    <mergeCell ref="C20:K20"/>
    <mergeCell ref="L20:U20"/>
    <mergeCell ref="V20:X20"/>
    <mergeCell ref="Y20:AA20"/>
    <mergeCell ref="AB20:AI20"/>
    <mergeCell ref="C19:K19"/>
    <mergeCell ref="L19:U19"/>
    <mergeCell ref="V19:X19"/>
    <mergeCell ref="Y19:AA19"/>
    <mergeCell ref="AB19:AI19"/>
    <mergeCell ref="AE15:AK15"/>
    <mergeCell ref="AC10:AD10"/>
    <mergeCell ref="AC11:AD11"/>
    <mergeCell ref="AC12:AD12"/>
    <mergeCell ref="AC13:AD13"/>
    <mergeCell ref="AC14:AD14"/>
    <mergeCell ref="AC15:AD15"/>
    <mergeCell ref="AE10:AK10"/>
    <mergeCell ref="AE11:AK11"/>
    <mergeCell ref="AE12:AK12"/>
    <mergeCell ref="AE13:AK13"/>
    <mergeCell ref="AE14:AK14"/>
    <mergeCell ref="AA15:AB15"/>
    <mergeCell ref="Q10:X10"/>
    <mergeCell ref="Q11:X11"/>
    <mergeCell ref="Q12:X12"/>
    <mergeCell ref="Q13:X13"/>
    <mergeCell ref="Q14:X14"/>
    <mergeCell ref="Q15:X15"/>
    <mergeCell ref="AA10:AB10"/>
    <mergeCell ref="AA11:AB11"/>
    <mergeCell ref="AA12:AB12"/>
    <mergeCell ref="AA13:AB13"/>
    <mergeCell ref="AA14:AB14"/>
    <mergeCell ref="Y10:Z10"/>
    <mergeCell ref="Y11:Z11"/>
    <mergeCell ref="Y12:Z12"/>
    <mergeCell ref="Y13:Z13"/>
    <mergeCell ref="C15:H15"/>
    <mergeCell ref="I9:P9"/>
    <mergeCell ref="I10:P10"/>
    <mergeCell ref="I11:P11"/>
    <mergeCell ref="I12:P12"/>
    <mergeCell ref="I13:P13"/>
    <mergeCell ref="I14:P14"/>
    <mergeCell ref="I15:P15"/>
    <mergeCell ref="C9:H9"/>
    <mergeCell ref="C10:H10"/>
    <mergeCell ref="C11:H11"/>
    <mergeCell ref="C12:H12"/>
    <mergeCell ref="C13:H13"/>
    <mergeCell ref="C14:H14"/>
    <mergeCell ref="AA8:AB8"/>
    <mergeCell ref="AC8:AD8"/>
    <mergeCell ref="AE8:AK8"/>
    <mergeCell ref="AA9:AB9"/>
    <mergeCell ref="AC9:AD9"/>
    <mergeCell ref="AE9:AK9"/>
    <mergeCell ref="B2:E4"/>
    <mergeCell ref="F2:H2"/>
    <mergeCell ref="F3:H3"/>
    <mergeCell ref="F4:H4"/>
    <mergeCell ref="C8:H8"/>
    <mergeCell ref="Y14:Z14"/>
    <mergeCell ref="Y15:Z15"/>
    <mergeCell ref="I8:P8"/>
    <mergeCell ref="I2:M2"/>
    <mergeCell ref="I3:M3"/>
    <mergeCell ref="I4:M4"/>
    <mergeCell ref="Q8:X8"/>
    <mergeCell ref="Q9:X9"/>
    <mergeCell ref="Y8:Z8"/>
    <mergeCell ref="Y9:Z9"/>
  </mergeCells>
  <phoneticPr fontId="3"/>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4DB68-4ED4-4317-AD6B-47DE5CF95AD6}">
  <sheetPr codeName="Sheet36"/>
  <dimension ref="B1:AK24"/>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473</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472</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466</v>
      </c>
      <c r="D9" s="189"/>
      <c r="E9" s="189"/>
      <c r="F9" s="189"/>
      <c r="G9" s="189"/>
      <c r="H9" s="189"/>
      <c r="I9" s="189" t="s">
        <v>469</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467</v>
      </c>
      <c r="D10" s="189"/>
      <c r="E10" s="189"/>
      <c r="F10" s="189"/>
      <c r="G10" s="189"/>
      <c r="H10" s="189"/>
      <c r="I10" s="189" t="s">
        <v>470</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468</v>
      </c>
      <c r="D11" s="190"/>
      <c r="E11" s="190"/>
      <c r="F11" s="190"/>
      <c r="G11" s="190"/>
      <c r="H11" s="190"/>
      <c r="I11" s="190" t="s">
        <v>471</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10" t="s">
        <v>7</v>
      </c>
      <c r="C15" s="226" t="s">
        <v>998</v>
      </c>
      <c r="D15" s="226"/>
      <c r="E15" s="226"/>
      <c r="F15" s="226"/>
      <c r="G15" s="226"/>
      <c r="H15" s="226"/>
      <c r="I15" s="226"/>
      <c r="J15" s="226"/>
      <c r="K15" s="226"/>
      <c r="L15" s="226" t="s">
        <v>1000</v>
      </c>
      <c r="M15" s="226"/>
      <c r="N15" s="226"/>
      <c r="O15" s="226"/>
      <c r="P15" s="226"/>
      <c r="Q15" s="226"/>
      <c r="R15" s="226"/>
      <c r="S15" s="226"/>
      <c r="T15" s="226"/>
      <c r="U15" s="226"/>
      <c r="V15" s="226" t="s">
        <v>1002</v>
      </c>
      <c r="W15" s="226"/>
      <c r="X15" s="226"/>
      <c r="Y15" s="226" t="s">
        <v>1004</v>
      </c>
      <c r="Z15" s="226"/>
      <c r="AA15" s="226"/>
      <c r="AB15" s="226" t="s">
        <v>1005</v>
      </c>
      <c r="AC15" s="226"/>
      <c r="AD15" s="226"/>
      <c r="AE15" s="226"/>
      <c r="AF15" s="226"/>
      <c r="AG15" s="226"/>
      <c r="AH15" s="226"/>
      <c r="AI15" s="227"/>
    </row>
    <row r="16" spans="2:37" ht="13.8" thickBot="1">
      <c r="B16" s="4">
        <v>1</v>
      </c>
      <c r="C16" s="190" t="s">
        <v>1062</v>
      </c>
      <c r="D16" s="190"/>
      <c r="E16" s="190"/>
      <c r="F16" s="190"/>
      <c r="G16" s="190"/>
      <c r="H16" s="190"/>
      <c r="I16" s="190"/>
      <c r="J16" s="190"/>
      <c r="K16" s="190"/>
      <c r="L16" s="190" t="s">
        <v>1063</v>
      </c>
      <c r="M16" s="190"/>
      <c r="N16" s="190"/>
      <c r="O16" s="190"/>
      <c r="P16" s="190"/>
      <c r="Q16" s="190"/>
      <c r="R16" s="190"/>
      <c r="S16" s="190"/>
      <c r="T16" s="190"/>
      <c r="U16" s="190"/>
      <c r="V16" s="190" t="s">
        <v>1022</v>
      </c>
      <c r="W16" s="190"/>
      <c r="X16" s="190"/>
      <c r="Y16" s="190" t="s">
        <v>1022</v>
      </c>
      <c r="Z16" s="190"/>
      <c r="AA16" s="190"/>
      <c r="AB16" s="190"/>
      <c r="AC16" s="190"/>
      <c r="AD16" s="190"/>
      <c r="AE16" s="190"/>
      <c r="AF16" s="190"/>
      <c r="AG16" s="190"/>
      <c r="AH16" s="190"/>
      <c r="AI16" s="198"/>
    </row>
    <row r="18" spans="2:35" ht="15" thickBot="1">
      <c r="B18" s="7" t="s">
        <v>995</v>
      </c>
    </row>
    <row r="19" spans="2:35">
      <c r="B19" s="14" t="s">
        <v>1069</v>
      </c>
      <c r="C19" s="226" t="s">
        <v>1070</v>
      </c>
      <c r="D19" s="226"/>
      <c r="E19" s="226"/>
      <c r="F19" s="226"/>
      <c r="G19" s="226"/>
      <c r="H19" s="226"/>
      <c r="I19" s="226"/>
      <c r="J19" s="226"/>
      <c r="K19" s="226"/>
      <c r="L19" s="226"/>
      <c r="M19" s="226" t="s">
        <v>1072</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4"/>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61">
    <mergeCell ref="C23:L23"/>
    <mergeCell ref="M23:T23"/>
    <mergeCell ref="U23:AC23"/>
    <mergeCell ref="AD23:AI23"/>
    <mergeCell ref="C24:L24"/>
    <mergeCell ref="M24:T24"/>
    <mergeCell ref="U24:AC24"/>
    <mergeCell ref="AD24:AI24"/>
    <mergeCell ref="C19:L19"/>
    <mergeCell ref="M19:T19"/>
    <mergeCell ref="U19:AC19"/>
    <mergeCell ref="AD19:AI19"/>
    <mergeCell ref="C20:L20"/>
    <mergeCell ref="M20:T20"/>
    <mergeCell ref="U20:AC20"/>
    <mergeCell ref="AD20:AI20"/>
    <mergeCell ref="C16:K16"/>
    <mergeCell ref="L16:U16"/>
    <mergeCell ref="V16:X16"/>
    <mergeCell ref="Y16:AA16"/>
    <mergeCell ref="AB16:AI16"/>
    <mergeCell ref="C15:K15"/>
    <mergeCell ref="L15:U15"/>
    <mergeCell ref="V15:X15"/>
    <mergeCell ref="Y15:AA15"/>
    <mergeCell ref="AB15:AI15"/>
    <mergeCell ref="AE10:AK10"/>
    <mergeCell ref="AE11:AK11"/>
    <mergeCell ref="Q10:X10"/>
    <mergeCell ref="Q11:X11"/>
    <mergeCell ref="AA10:AB10"/>
    <mergeCell ref="AA11:AB11"/>
    <mergeCell ref="AC10:AD10"/>
    <mergeCell ref="AC11:AD11"/>
    <mergeCell ref="Y10:Z10"/>
    <mergeCell ref="Y11:Z11"/>
    <mergeCell ref="C9:H9"/>
    <mergeCell ref="C10:H10"/>
    <mergeCell ref="C11:H11"/>
    <mergeCell ref="I9:P9"/>
    <mergeCell ref="I10:P10"/>
    <mergeCell ref="I11:P11"/>
    <mergeCell ref="Q8:X8"/>
    <mergeCell ref="AA8:AB8"/>
    <mergeCell ref="AC8:AD8"/>
    <mergeCell ref="AE8:AK8"/>
    <mergeCell ref="AA9:AB9"/>
    <mergeCell ref="AC9:AD9"/>
    <mergeCell ref="Q9:X9"/>
    <mergeCell ref="AE9:AK9"/>
    <mergeCell ref="Y8:Z8"/>
    <mergeCell ref="Y9:Z9"/>
    <mergeCell ref="I8:P8"/>
    <mergeCell ref="I2:M2"/>
    <mergeCell ref="I3:M3"/>
    <mergeCell ref="I4:M4"/>
    <mergeCell ref="B2:E4"/>
    <mergeCell ref="F2:H2"/>
    <mergeCell ref="F3:H3"/>
    <mergeCell ref="F4:H4"/>
    <mergeCell ref="C8:H8"/>
  </mergeCells>
  <phoneticPr fontId="3"/>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BABF6-4751-42BD-90F3-11E5012AB3C6}">
  <sheetPr codeName="Sheet37"/>
  <dimension ref="B1:AK30"/>
  <sheetViews>
    <sheetView workbookViewId="0">
      <selection activeCell="C11" sqref="C11:H11"/>
    </sheetView>
  </sheetViews>
  <sheetFormatPr defaultColWidth="3.6640625" defaultRowHeight="13.2"/>
  <sheetData>
    <row r="1" spans="2:37" ht="13.8" thickBot="1"/>
    <row r="2" spans="2:37">
      <c r="B2" s="205" t="s">
        <v>95</v>
      </c>
      <c r="C2" s="206"/>
      <c r="D2" s="206"/>
      <c r="E2" s="206"/>
      <c r="F2" s="211" t="s">
        <v>93</v>
      </c>
      <c r="G2" s="211"/>
      <c r="H2" s="212"/>
      <c r="I2" s="196" t="s">
        <v>493</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475</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476</v>
      </c>
      <c r="D9" s="189"/>
      <c r="E9" s="189"/>
      <c r="F9" s="189"/>
      <c r="G9" s="189"/>
      <c r="H9" s="189"/>
      <c r="I9" s="189" t="s">
        <v>481</v>
      </c>
      <c r="J9" s="189"/>
      <c r="K9" s="189"/>
      <c r="L9" s="189"/>
      <c r="M9" s="189"/>
      <c r="N9" s="189"/>
      <c r="O9" s="189"/>
      <c r="P9" s="189"/>
      <c r="Q9" s="189" t="s">
        <v>144</v>
      </c>
      <c r="R9" s="189"/>
      <c r="S9" s="189"/>
      <c r="T9" s="189"/>
      <c r="U9" s="189"/>
      <c r="V9" s="189"/>
      <c r="W9" s="189"/>
      <c r="X9" s="189"/>
      <c r="Y9" s="189" t="s">
        <v>149</v>
      </c>
      <c r="Z9" s="189"/>
      <c r="AA9" s="189"/>
      <c r="AB9" s="189"/>
      <c r="AC9" s="189" t="s">
        <v>151</v>
      </c>
      <c r="AD9" s="189"/>
      <c r="AE9" s="189" t="s">
        <v>490</v>
      </c>
      <c r="AF9" s="189"/>
      <c r="AG9" s="189"/>
      <c r="AH9" s="189"/>
      <c r="AI9" s="189"/>
      <c r="AJ9" s="189"/>
      <c r="AK9" s="191"/>
    </row>
    <row r="10" spans="2:37">
      <c r="B10" s="3">
        <v>2</v>
      </c>
      <c r="C10" s="189" t="s">
        <v>477</v>
      </c>
      <c r="D10" s="189"/>
      <c r="E10" s="189"/>
      <c r="F10" s="189"/>
      <c r="G10" s="189"/>
      <c r="H10" s="189"/>
      <c r="I10" s="189" t="s">
        <v>482</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t="s">
        <v>490</v>
      </c>
      <c r="AF10" s="189"/>
      <c r="AG10" s="189"/>
      <c r="AH10" s="189"/>
      <c r="AI10" s="189"/>
      <c r="AJ10" s="189"/>
      <c r="AK10" s="191"/>
    </row>
    <row r="11" spans="2:37">
      <c r="B11" s="3">
        <v>3</v>
      </c>
      <c r="C11" s="189" t="s">
        <v>115</v>
      </c>
      <c r="D11" s="189"/>
      <c r="E11" s="189"/>
      <c r="F11" s="189"/>
      <c r="G11" s="189"/>
      <c r="H11" s="189"/>
      <c r="I11" s="189" t="s">
        <v>483</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t="s">
        <v>223</v>
      </c>
      <c r="AF11" s="189"/>
      <c r="AG11" s="189"/>
      <c r="AH11" s="189"/>
      <c r="AI11" s="189"/>
      <c r="AJ11" s="189"/>
      <c r="AK11" s="191"/>
    </row>
    <row r="12" spans="2:37">
      <c r="B12" s="3">
        <v>4</v>
      </c>
      <c r="C12" s="189" t="s">
        <v>478</v>
      </c>
      <c r="D12" s="189"/>
      <c r="E12" s="189"/>
      <c r="F12" s="189"/>
      <c r="G12" s="189"/>
      <c r="H12" s="189"/>
      <c r="I12" s="189" t="s">
        <v>484</v>
      </c>
      <c r="J12" s="189"/>
      <c r="K12" s="189"/>
      <c r="L12" s="189"/>
      <c r="M12" s="189"/>
      <c r="N12" s="189"/>
      <c r="O12" s="189"/>
      <c r="P12" s="189"/>
      <c r="Q12" s="189" t="s">
        <v>221</v>
      </c>
      <c r="R12" s="189"/>
      <c r="S12" s="189"/>
      <c r="T12" s="189"/>
      <c r="U12" s="189"/>
      <c r="V12" s="189"/>
      <c r="W12" s="189"/>
      <c r="X12" s="189"/>
      <c r="Y12" s="189"/>
      <c r="Z12" s="189"/>
      <c r="AA12" s="189"/>
      <c r="AB12" s="189"/>
      <c r="AC12" s="189" t="s">
        <v>151</v>
      </c>
      <c r="AD12" s="189"/>
      <c r="AE12" s="189" t="s">
        <v>490</v>
      </c>
      <c r="AF12" s="189"/>
      <c r="AG12" s="189"/>
      <c r="AH12" s="189"/>
      <c r="AI12" s="189"/>
      <c r="AJ12" s="189"/>
      <c r="AK12" s="191"/>
    </row>
    <row r="13" spans="2:37">
      <c r="B13" s="3">
        <v>5</v>
      </c>
      <c r="C13" s="189" t="s">
        <v>479</v>
      </c>
      <c r="D13" s="189"/>
      <c r="E13" s="189"/>
      <c r="F13" s="189"/>
      <c r="G13" s="189"/>
      <c r="H13" s="189"/>
      <c r="I13" s="189" t="s">
        <v>485</v>
      </c>
      <c r="J13" s="189"/>
      <c r="K13" s="189"/>
      <c r="L13" s="189"/>
      <c r="M13" s="189"/>
      <c r="N13" s="189"/>
      <c r="O13" s="189"/>
      <c r="P13" s="189"/>
      <c r="Q13" s="189" t="s">
        <v>146</v>
      </c>
      <c r="R13" s="189"/>
      <c r="S13" s="189"/>
      <c r="T13" s="189"/>
      <c r="U13" s="189"/>
      <c r="V13" s="189"/>
      <c r="W13" s="189"/>
      <c r="X13" s="189"/>
      <c r="Y13" s="189"/>
      <c r="Z13" s="189"/>
      <c r="AA13" s="189"/>
      <c r="AB13" s="189"/>
      <c r="AC13" s="189" t="s">
        <v>151</v>
      </c>
      <c r="AD13" s="189"/>
      <c r="AE13" s="189" t="s">
        <v>491</v>
      </c>
      <c r="AF13" s="189"/>
      <c r="AG13" s="189"/>
      <c r="AH13" s="189"/>
      <c r="AI13" s="189"/>
      <c r="AJ13" s="189"/>
      <c r="AK13" s="191"/>
    </row>
    <row r="14" spans="2:37">
      <c r="B14" s="3">
        <v>6</v>
      </c>
      <c r="C14" s="189" t="s">
        <v>480</v>
      </c>
      <c r="D14" s="189"/>
      <c r="E14" s="189"/>
      <c r="F14" s="189"/>
      <c r="G14" s="189"/>
      <c r="H14" s="189"/>
      <c r="I14" s="189" t="s">
        <v>486</v>
      </c>
      <c r="J14" s="189"/>
      <c r="K14" s="189"/>
      <c r="L14" s="189"/>
      <c r="M14" s="189"/>
      <c r="N14" s="189"/>
      <c r="O14" s="189"/>
      <c r="P14" s="189"/>
      <c r="Q14" s="189" t="s">
        <v>221</v>
      </c>
      <c r="R14" s="189"/>
      <c r="S14" s="189"/>
      <c r="T14" s="189"/>
      <c r="U14" s="189"/>
      <c r="V14" s="189"/>
      <c r="W14" s="189"/>
      <c r="X14" s="189"/>
      <c r="Y14" s="189"/>
      <c r="Z14" s="189"/>
      <c r="AA14" s="189"/>
      <c r="AB14" s="189"/>
      <c r="AC14" s="189" t="s">
        <v>151</v>
      </c>
      <c r="AD14" s="189"/>
      <c r="AE14" s="189"/>
      <c r="AF14" s="189"/>
      <c r="AG14" s="189"/>
      <c r="AH14" s="189"/>
      <c r="AI14" s="189"/>
      <c r="AJ14" s="189"/>
      <c r="AK14" s="191"/>
    </row>
    <row r="15" spans="2:37">
      <c r="B15" s="3">
        <v>7</v>
      </c>
      <c r="C15" s="189" t="s">
        <v>206</v>
      </c>
      <c r="D15" s="189"/>
      <c r="E15" s="189"/>
      <c r="F15" s="189"/>
      <c r="G15" s="189"/>
      <c r="H15" s="189"/>
      <c r="I15" s="189" t="s">
        <v>487</v>
      </c>
      <c r="J15" s="189"/>
      <c r="K15" s="189"/>
      <c r="L15" s="189"/>
      <c r="M15" s="189"/>
      <c r="N15" s="189"/>
      <c r="O15" s="189"/>
      <c r="P15" s="189"/>
      <c r="Q15" s="189" t="s">
        <v>146</v>
      </c>
      <c r="R15" s="189"/>
      <c r="S15" s="189"/>
      <c r="T15" s="189"/>
      <c r="U15" s="189"/>
      <c r="V15" s="189"/>
      <c r="W15" s="189"/>
      <c r="X15" s="189"/>
      <c r="Y15" s="189"/>
      <c r="Z15" s="189"/>
      <c r="AA15" s="189"/>
      <c r="AB15" s="189"/>
      <c r="AC15" s="189" t="s">
        <v>151</v>
      </c>
      <c r="AD15" s="189"/>
      <c r="AE15" s="189" t="s">
        <v>491</v>
      </c>
      <c r="AF15" s="189"/>
      <c r="AG15" s="189"/>
      <c r="AH15" s="189"/>
      <c r="AI15" s="189"/>
      <c r="AJ15" s="189"/>
      <c r="AK15" s="191"/>
    </row>
    <row r="16" spans="2:37">
      <c r="B16" s="3">
        <v>8</v>
      </c>
      <c r="C16" s="189" t="s">
        <v>207</v>
      </c>
      <c r="D16" s="189"/>
      <c r="E16" s="189"/>
      <c r="F16" s="189"/>
      <c r="G16" s="189"/>
      <c r="H16" s="189"/>
      <c r="I16" s="189" t="s">
        <v>488</v>
      </c>
      <c r="J16" s="189"/>
      <c r="K16" s="189"/>
      <c r="L16" s="189"/>
      <c r="M16" s="189"/>
      <c r="N16" s="189"/>
      <c r="O16" s="189"/>
      <c r="P16" s="189"/>
      <c r="Q16" s="189" t="s">
        <v>146</v>
      </c>
      <c r="R16" s="189"/>
      <c r="S16" s="189"/>
      <c r="T16" s="189"/>
      <c r="U16" s="189"/>
      <c r="V16" s="189"/>
      <c r="W16" s="189"/>
      <c r="X16" s="189"/>
      <c r="Y16" s="189"/>
      <c r="Z16" s="189"/>
      <c r="AA16" s="189"/>
      <c r="AB16" s="189"/>
      <c r="AC16" s="189" t="s">
        <v>151</v>
      </c>
      <c r="AD16" s="189"/>
      <c r="AE16" s="189" t="s">
        <v>492</v>
      </c>
      <c r="AF16" s="189"/>
      <c r="AG16" s="189"/>
      <c r="AH16" s="189"/>
      <c r="AI16" s="189"/>
      <c r="AJ16" s="189"/>
      <c r="AK16" s="191"/>
    </row>
    <row r="17" spans="2:37" ht="13.8" thickBot="1">
      <c r="B17" s="4">
        <v>9</v>
      </c>
      <c r="C17" s="190" t="s">
        <v>208</v>
      </c>
      <c r="D17" s="190"/>
      <c r="E17" s="190"/>
      <c r="F17" s="190"/>
      <c r="G17" s="190"/>
      <c r="H17" s="190"/>
      <c r="I17" s="190" t="s">
        <v>489</v>
      </c>
      <c r="J17" s="190"/>
      <c r="K17" s="190"/>
      <c r="L17" s="190"/>
      <c r="M17" s="190"/>
      <c r="N17" s="190"/>
      <c r="O17" s="190"/>
      <c r="P17" s="190"/>
      <c r="Q17" s="190" t="s">
        <v>143</v>
      </c>
      <c r="R17" s="190"/>
      <c r="S17" s="190"/>
      <c r="T17" s="190"/>
      <c r="U17" s="190"/>
      <c r="V17" s="190"/>
      <c r="W17" s="190"/>
      <c r="X17" s="190"/>
      <c r="Y17" s="190"/>
      <c r="Z17" s="190"/>
      <c r="AA17" s="190"/>
      <c r="AB17" s="190"/>
      <c r="AC17" s="190" t="s">
        <v>151</v>
      </c>
      <c r="AD17" s="190"/>
      <c r="AE17" s="190" t="s">
        <v>224</v>
      </c>
      <c r="AF17" s="190"/>
      <c r="AG17" s="190"/>
      <c r="AH17" s="190"/>
      <c r="AI17" s="190"/>
      <c r="AJ17" s="190"/>
      <c r="AK17" s="198"/>
    </row>
    <row r="20" spans="2:37" ht="15" thickBot="1">
      <c r="B20" s="7" t="s">
        <v>994</v>
      </c>
    </row>
    <row r="21" spans="2:37">
      <c r="B21" s="10" t="s">
        <v>7</v>
      </c>
      <c r="C21" s="226" t="s">
        <v>998</v>
      </c>
      <c r="D21" s="226"/>
      <c r="E21" s="226"/>
      <c r="F21" s="226"/>
      <c r="G21" s="226"/>
      <c r="H21" s="226"/>
      <c r="I21" s="226"/>
      <c r="J21" s="226"/>
      <c r="K21" s="226"/>
      <c r="L21" s="226" t="s">
        <v>1000</v>
      </c>
      <c r="M21" s="226"/>
      <c r="N21" s="226"/>
      <c r="O21" s="226"/>
      <c r="P21" s="226"/>
      <c r="Q21" s="226"/>
      <c r="R21" s="226"/>
      <c r="S21" s="226"/>
      <c r="T21" s="226"/>
      <c r="U21" s="226"/>
      <c r="V21" s="226" t="s">
        <v>1002</v>
      </c>
      <c r="W21" s="226"/>
      <c r="X21" s="226"/>
      <c r="Y21" s="226" t="s">
        <v>1004</v>
      </c>
      <c r="Z21" s="226"/>
      <c r="AA21" s="226"/>
      <c r="AB21" s="226" t="s">
        <v>1005</v>
      </c>
      <c r="AC21" s="226"/>
      <c r="AD21" s="226"/>
      <c r="AE21" s="226"/>
      <c r="AF21" s="226"/>
      <c r="AG21" s="226"/>
      <c r="AH21" s="226"/>
      <c r="AI21" s="227"/>
    </row>
    <row r="22" spans="2:37" ht="13.8" thickBot="1">
      <c r="B22" s="4">
        <v>1</v>
      </c>
      <c r="C22" s="190" t="s">
        <v>1064</v>
      </c>
      <c r="D22" s="190"/>
      <c r="E22" s="190"/>
      <c r="F22" s="190"/>
      <c r="G22" s="190"/>
      <c r="H22" s="190"/>
      <c r="I22" s="190"/>
      <c r="J22" s="190"/>
      <c r="K22" s="190"/>
      <c r="L22" s="190" t="s">
        <v>1065</v>
      </c>
      <c r="M22" s="190"/>
      <c r="N22" s="190"/>
      <c r="O22" s="190"/>
      <c r="P22" s="190"/>
      <c r="Q22" s="190"/>
      <c r="R22" s="190"/>
      <c r="S22" s="190"/>
      <c r="T22" s="190"/>
      <c r="U22" s="190"/>
      <c r="V22" s="190" t="s">
        <v>1022</v>
      </c>
      <c r="W22" s="190"/>
      <c r="X22" s="190"/>
      <c r="Y22" s="190" t="s">
        <v>1022</v>
      </c>
      <c r="Z22" s="190"/>
      <c r="AA22" s="190"/>
      <c r="AB22" s="190"/>
      <c r="AC22" s="190"/>
      <c r="AD22" s="190"/>
      <c r="AE22" s="190"/>
      <c r="AF22" s="190"/>
      <c r="AG22" s="190"/>
      <c r="AH22" s="190"/>
      <c r="AI22" s="198"/>
    </row>
    <row r="24" spans="2:37" ht="15" thickBot="1">
      <c r="B24" s="7" t="s">
        <v>995</v>
      </c>
    </row>
    <row r="25" spans="2:37">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7"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row r="28" spans="2:37" ht="15" thickBot="1">
      <c r="B28" s="7" t="s">
        <v>996</v>
      </c>
    </row>
    <row r="29" spans="2:37">
      <c r="B29" s="14" t="s">
        <v>1069</v>
      </c>
      <c r="C29" s="226" t="s">
        <v>1070</v>
      </c>
      <c r="D29" s="226"/>
      <c r="E29" s="226"/>
      <c r="F29" s="226"/>
      <c r="G29" s="226"/>
      <c r="H29" s="226"/>
      <c r="I29" s="226"/>
      <c r="J29" s="226"/>
      <c r="K29" s="226"/>
      <c r="L29" s="226"/>
      <c r="M29" s="226" t="s">
        <v>1072</v>
      </c>
      <c r="N29" s="226"/>
      <c r="O29" s="226"/>
      <c r="P29" s="226"/>
      <c r="Q29" s="226"/>
      <c r="R29" s="226"/>
      <c r="S29" s="226"/>
      <c r="T29" s="226"/>
      <c r="U29" s="226" t="s">
        <v>1154</v>
      </c>
      <c r="V29" s="226"/>
      <c r="W29" s="226"/>
      <c r="X29" s="226"/>
      <c r="Y29" s="226"/>
      <c r="Z29" s="226"/>
      <c r="AA29" s="226"/>
      <c r="AB29" s="226"/>
      <c r="AC29" s="226"/>
      <c r="AD29" s="226" t="s">
        <v>1155</v>
      </c>
      <c r="AE29" s="226"/>
      <c r="AF29" s="226"/>
      <c r="AG29" s="226"/>
      <c r="AH29" s="226"/>
      <c r="AI29" s="227"/>
    </row>
    <row r="30" spans="2:37" ht="13.8" thickBot="1">
      <c r="B30" s="4"/>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8"/>
    </row>
  </sheetData>
  <mergeCells count="103">
    <mergeCell ref="C30:L30"/>
    <mergeCell ref="M30:T30"/>
    <mergeCell ref="U30:AC30"/>
    <mergeCell ref="AD30:AI30"/>
    <mergeCell ref="C25:L25"/>
    <mergeCell ref="M25:T25"/>
    <mergeCell ref="U25:AC25"/>
    <mergeCell ref="AD25:AI25"/>
    <mergeCell ref="C26:L26"/>
    <mergeCell ref="M26:T26"/>
    <mergeCell ref="U26:AC26"/>
    <mergeCell ref="AD26:AI26"/>
    <mergeCell ref="C29:L29"/>
    <mergeCell ref="M29:T29"/>
    <mergeCell ref="U29:AC29"/>
    <mergeCell ref="AD29:AI29"/>
    <mergeCell ref="C21:K21"/>
    <mergeCell ref="L21:U21"/>
    <mergeCell ref="V21:X21"/>
    <mergeCell ref="Y21:AA21"/>
    <mergeCell ref="AB21:AI21"/>
    <mergeCell ref="C22:K22"/>
    <mergeCell ref="L22:U22"/>
    <mergeCell ref="V22:X22"/>
    <mergeCell ref="Y22:AA22"/>
    <mergeCell ref="AB22:AI22"/>
    <mergeCell ref="AE8:AK8"/>
    <mergeCell ref="AA9:AB9"/>
    <mergeCell ref="AC9:AD9"/>
    <mergeCell ref="B2:E4"/>
    <mergeCell ref="F2:H2"/>
    <mergeCell ref="F3:H3"/>
    <mergeCell ref="F4:H4"/>
    <mergeCell ref="C8:H8"/>
    <mergeCell ref="I8:P8"/>
    <mergeCell ref="AE9:AK9"/>
    <mergeCell ref="I2:L2"/>
    <mergeCell ref="I3:L3"/>
    <mergeCell ref="I4:L4"/>
    <mergeCell ref="Q8:X8"/>
    <mergeCell ref="AA8:AB8"/>
    <mergeCell ref="AC8:AD8"/>
    <mergeCell ref="Q9:X9"/>
    <mergeCell ref="Y8:Z8"/>
    <mergeCell ref="Y9:Z9"/>
    <mergeCell ref="C15:H15"/>
    <mergeCell ref="C16:H16"/>
    <mergeCell ref="C17:H17"/>
    <mergeCell ref="I9:P9"/>
    <mergeCell ref="I10:P10"/>
    <mergeCell ref="I11:P11"/>
    <mergeCell ref="I12:P12"/>
    <mergeCell ref="I13:P13"/>
    <mergeCell ref="I14:P14"/>
    <mergeCell ref="I15:P15"/>
    <mergeCell ref="C9:H9"/>
    <mergeCell ref="C10:H10"/>
    <mergeCell ref="C11:H11"/>
    <mergeCell ref="C12:H12"/>
    <mergeCell ref="C13:H13"/>
    <mergeCell ref="C14:H14"/>
    <mergeCell ref="I16:P16"/>
    <mergeCell ref="I17:P17"/>
    <mergeCell ref="Q13:X13"/>
    <mergeCell ref="Q14:X14"/>
    <mergeCell ref="Q15:X15"/>
    <mergeCell ref="Q16:X16"/>
    <mergeCell ref="Q17:X17"/>
    <mergeCell ref="AA10:AB10"/>
    <mergeCell ref="AA11:AB11"/>
    <mergeCell ref="AA12:AB12"/>
    <mergeCell ref="AA13:AB13"/>
    <mergeCell ref="AA14:AB14"/>
    <mergeCell ref="AA15:AB15"/>
    <mergeCell ref="AA16:AB16"/>
    <mergeCell ref="AA17:AB17"/>
    <mergeCell ref="Y13:Z13"/>
    <mergeCell ref="Y14:Z14"/>
    <mergeCell ref="Y15:Z15"/>
    <mergeCell ref="Y16:Z16"/>
    <mergeCell ref="Y17:Z17"/>
    <mergeCell ref="Y10:Z10"/>
    <mergeCell ref="Y11:Z11"/>
    <mergeCell ref="Y12:Z12"/>
    <mergeCell ref="Q10:X10"/>
    <mergeCell ref="Q11:X11"/>
    <mergeCell ref="Q12:X12"/>
    <mergeCell ref="AE13:AK13"/>
    <mergeCell ref="AE14:AK14"/>
    <mergeCell ref="AE15:AK15"/>
    <mergeCell ref="AE16:AK16"/>
    <mergeCell ref="AE17:AK17"/>
    <mergeCell ref="AE10:AK10"/>
    <mergeCell ref="AE11:AK11"/>
    <mergeCell ref="AE12:AK12"/>
    <mergeCell ref="AC12:AD12"/>
    <mergeCell ref="AC13:AD13"/>
    <mergeCell ref="AC14:AD14"/>
    <mergeCell ref="AC10:AD10"/>
    <mergeCell ref="AC15:AD15"/>
    <mergeCell ref="AC16:AD16"/>
    <mergeCell ref="AC17:AD17"/>
    <mergeCell ref="AC11:AD11"/>
  </mergeCells>
  <phoneticPr fontId="3"/>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DAF08-E0CA-4D46-A0CB-6369E26B3D87}">
  <sheetPr codeName="Sheet38"/>
  <dimension ref="B1:AK54"/>
  <sheetViews>
    <sheetView topLeftCell="A11" workbookViewId="0">
      <selection activeCell="Q37" sqref="Q37:X37"/>
    </sheetView>
  </sheetViews>
  <sheetFormatPr defaultColWidth="3.6640625" defaultRowHeight="13.2"/>
  <sheetData>
    <row r="1" spans="2:37" ht="13.8" thickBot="1"/>
    <row r="2" spans="2:37">
      <c r="B2" s="205" t="s">
        <v>95</v>
      </c>
      <c r="C2" s="206"/>
      <c r="D2" s="206"/>
      <c r="E2" s="206"/>
      <c r="F2" s="211" t="s">
        <v>93</v>
      </c>
      <c r="G2" s="211"/>
      <c r="H2" s="212"/>
      <c r="I2" s="196" t="s">
        <v>544</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495</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496</v>
      </c>
      <c r="D9" s="189"/>
      <c r="E9" s="189"/>
      <c r="F9" s="189"/>
      <c r="G9" s="189"/>
      <c r="H9" s="189"/>
      <c r="I9" s="189" t="s">
        <v>519</v>
      </c>
      <c r="J9" s="189"/>
      <c r="K9" s="189"/>
      <c r="L9" s="189"/>
      <c r="M9" s="189"/>
      <c r="N9" s="189"/>
      <c r="O9" s="189"/>
      <c r="P9" s="189"/>
      <c r="Q9" s="189" t="s">
        <v>144</v>
      </c>
      <c r="R9" s="189"/>
      <c r="S9" s="189"/>
      <c r="T9" s="189"/>
      <c r="U9" s="189"/>
      <c r="V9" s="189"/>
      <c r="W9" s="189"/>
      <c r="X9" s="189"/>
      <c r="Y9" s="189" t="s">
        <v>149</v>
      </c>
      <c r="Z9" s="189"/>
      <c r="AA9" s="189"/>
      <c r="AB9" s="189"/>
      <c r="AC9" s="189" t="s">
        <v>151</v>
      </c>
      <c r="AD9" s="189"/>
      <c r="AE9" s="189" t="s">
        <v>490</v>
      </c>
      <c r="AF9" s="189"/>
      <c r="AG9" s="189"/>
      <c r="AH9" s="189"/>
      <c r="AI9" s="189"/>
      <c r="AJ9" s="189"/>
      <c r="AK9" s="191"/>
    </row>
    <row r="10" spans="2:37">
      <c r="B10" s="3">
        <v>2</v>
      </c>
      <c r="C10" s="189" t="s">
        <v>207</v>
      </c>
      <c r="D10" s="189"/>
      <c r="E10" s="189"/>
      <c r="F10" s="189"/>
      <c r="G10" s="189"/>
      <c r="H10" s="189"/>
      <c r="I10" s="189" t="s">
        <v>520</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t="s">
        <v>492</v>
      </c>
      <c r="AF10" s="189"/>
      <c r="AG10" s="189"/>
      <c r="AH10" s="189"/>
      <c r="AI10" s="189"/>
      <c r="AJ10" s="189"/>
      <c r="AK10" s="191"/>
    </row>
    <row r="11" spans="2:37">
      <c r="B11" s="3">
        <v>3</v>
      </c>
      <c r="C11" s="189" t="s">
        <v>497</v>
      </c>
      <c r="D11" s="189"/>
      <c r="E11" s="189"/>
      <c r="F11" s="189"/>
      <c r="G11" s="189"/>
      <c r="H11" s="189"/>
      <c r="I11" s="189" t="s">
        <v>521</v>
      </c>
      <c r="J11" s="189"/>
      <c r="K11" s="189"/>
      <c r="L11" s="189"/>
      <c r="M11" s="189"/>
      <c r="N11" s="189"/>
      <c r="O11" s="189"/>
      <c r="P11" s="189"/>
      <c r="Q11" s="189" t="s">
        <v>543</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498</v>
      </c>
      <c r="D12" s="189"/>
      <c r="E12" s="189"/>
      <c r="F12" s="189"/>
      <c r="G12" s="189"/>
      <c r="H12" s="189"/>
      <c r="I12" s="189" t="s">
        <v>522</v>
      </c>
      <c r="J12" s="189"/>
      <c r="K12" s="189"/>
      <c r="L12" s="189"/>
      <c r="M12" s="189"/>
      <c r="N12" s="189"/>
      <c r="O12" s="189"/>
      <c r="P12" s="189"/>
      <c r="Q12" s="189" t="s">
        <v>543</v>
      </c>
      <c r="R12" s="189"/>
      <c r="S12" s="189"/>
      <c r="T12" s="189"/>
      <c r="U12" s="189"/>
      <c r="V12" s="189"/>
      <c r="W12" s="189"/>
      <c r="X12" s="189"/>
      <c r="Y12" s="189"/>
      <c r="Z12" s="189"/>
      <c r="AA12" s="189"/>
      <c r="AB12" s="189"/>
      <c r="AC12" s="189"/>
      <c r="AD12" s="189"/>
      <c r="AE12" s="260" t="s">
        <v>1343</v>
      </c>
      <c r="AF12" s="189"/>
      <c r="AG12" s="189"/>
      <c r="AH12" s="189"/>
      <c r="AI12" s="189"/>
      <c r="AJ12" s="189"/>
      <c r="AK12" s="191"/>
    </row>
    <row r="13" spans="2:37">
      <c r="B13" s="3">
        <v>5</v>
      </c>
      <c r="C13" s="189" t="s">
        <v>499</v>
      </c>
      <c r="D13" s="189"/>
      <c r="E13" s="189"/>
      <c r="F13" s="189"/>
      <c r="G13" s="189"/>
      <c r="H13" s="189"/>
      <c r="I13" s="189" t="s">
        <v>523</v>
      </c>
      <c r="J13" s="189"/>
      <c r="K13" s="189"/>
      <c r="L13" s="189"/>
      <c r="M13" s="189"/>
      <c r="N13" s="189"/>
      <c r="O13" s="189"/>
      <c r="P13" s="189"/>
      <c r="Q13" s="189" t="s">
        <v>147</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500</v>
      </c>
      <c r="D14" s="189"/>
      <c r="E14" s="189"/>
      <c r="F14" s="189"/>
      <c r="G14" s="189"/>
      <c r="H14" s="189"/>
      <c r="I14" s="189" t="s">
        <v>524</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7</v>
      </c>
      <c r="C15" s="189" t="s">
        <v>501</v>
      </c>
      <c r="D15" s="189"/>
      <c r="E15" s="189"/>
      <c r="F15" s="189"/>
      <c r="G15" s="189"/>
      <c r="H15" s="189"/>
      <c r="I15" s="189" t="s">
        <v>525</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8</v>
      </c>
      <c r="C16" s="189" t="s">
        <v>502</v>
      </c>
      <c r="D16" s="189"/>
      <c r="E16" s="189"/>
      <c r="F16" s="189"/>
      <c r="G16" s="189"/>
      <c r="H16" s="189"/>
      <c r="I16" s="189" t="s">
        <v>526</v>
      </c>
      <c r="J16" s="189"/>
      <c r="K16" s="189"/>
      <c r="L16" s="189"/>
      <c r="M16" s="189"/>
      <c r="N16" s="189"/>
      <c r="O16" s="189"/>
      <c r="P16" s="189"/>
      <c r="Q16" s="189" t="s">
        <v>146</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3">
        <v>9</v>
      </c>
      <c r="C17" s="189" t="s">
        <v>115</v>
      </c>
      <c r="D17" s="189"/>
      <c r="E17" s="189"/>
      <c r="F17" s="189"/>
      <c r="G17" s="189"/>
      <c r="H17" s="189"/>
      <c r="I17" s="189" t="s">
        <v>483</v>
      </c>
      <c r="J17" s="189"/>
      <c r="K17" s="189"/>
      <c r="L17" s="189"/>
      <c r="M17" s="189"/>
      <c r="N17" s="189"/>
      <c r="O17" s="189"/>
      <c r="P17" s="189"/>
      <c r="Q17" s="189" t="s">
        <v>144</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3">
        <v>10</v>
      </c>
      <c r="C18" s="189" t="s">
        <v>503</v>
      </c>
      <c r="D18" s="189"/>
      <c r="E18" s="189"/>
      <c r="F18" s="189"/>
      <c r="G18" s="189"/>
      <c r="H18" s="189"/>
      <c r="I18" s="189" t="s">
        <v>527</v>
      </c>
      <c r="J18" s="189"/>
      <c r="K18" s="189"/>
      <c r="L18" s="189"/>
      <c r="M18" s="189"/>
      <c r="N18" s="189"/>
      <c r="O18" s="189"/>
      <c r="P18" s="189"/>
      <c r="Q18" s="189" t="s">
        <v>144</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3">
        <v>11</v>
      </c>
      <c r="C19" s="189" t="s">
        <v>504</v>
      </c>
      <c r="D19" s="189"/>
      <c r="E19" s="189"/>
      <c r="F19" s="189"/>
      <c r="G19" s="189"/>
      <c r="H19" s="189"/>
      <c r="I19" s="189" t="s">
        <v>528</v>
      </c>
      <c r="J19" s="189"/>
      <c r="K19" s="189"/>
      <c r="L19" s="189"/>
      <c r="M19" s="189"/>
      <c r="N19" s="189"/>
      <c r="O19" s="189"/>
      <c r="P19" s="189"/>
      <c r="Q19" s="189" t="s">
        <v>543</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3">
        <v>12</v>
      </c>
      <c r="C20" s="189" t="s">
        <v>505</v>
      </c>
      <c r="D20" s="189"/>
      <c r="E20" s="189"/>
      <c r="F20" s="189"/>
      <c r="G20" s="189"/>
      <c r="H20" s="189"/>
      <c r="I20" s="189" t="s">
        <v>529</v>
      </c>
      <c r="J20" s="189"/>
      <c r="K20" s="189"/>
      <c r="L20" s="189"/>
      <c r="M20" s="189"/>
      <c r="N20" s="189"/>
      <c r="O20" s="189"/>
      <c r="P20" s="189"/>
      <c r="Q20" s="189" t="s">
        <v>147</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3">
        <v>13</v>
      </c>
      <c r="C21" s="189" t="s">
        <v>506</v>
      </c>
      <c r="D21" s="189"/>
      <c r="E21" s="189"/>
      <c r="F21" s="189"/>
      <c r="G21" s="189"/>
      <c r="H21" s="189"/>
      <c r="I21" s="189" t="s">
        <v>530</v>
      </c>
      <c r="J21" s="189"/>
      <c r="K21" s="189"/>
      <c r="L21" s="189"/>
      <c r="M21" s="189"/>
      <c r="N21" s="189"/>
      <c r="O21" s="189"/>
      <c r="P21" s="189"/>
      <c r="Q21" s="189" t="s">
        <v>147</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3">
        <v>14</v>
      </c>
      <c r="C22" s="189" t="s">
        <v>507</v>
      </c>
      <c r="D22" s="189"/>
      <c r="E22" s="189"/>
      <c r="F22" s="189"/>
      <c r="G22" s="189"/>
      <c r="H22" s="189"/>
      <c r="I22" s="189" t="s">
        <v>531</v>
      </c>
      <c r="J22" s="189"/>
      <c r="K22" s="189"/>
      <c r="L22" s="189"/>
      <c r="M22" s="189"/>
      <c r="N22" s="189"/>
      <c r="O22" s="189"/>
      <c r="P22" s="189"/>
      <c r="Q22" s="189" t="s">
        <v>543</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3">
        <v>15</v>
      </c>
      <c r="C23" s="189" t="s">
        <v>508</v>
      </c>
      <c r="D23" s="189"/>
      <c r="E23" s="189"/>
      <c r="F23" s="189"/>
      <c r="G23" s="189"/>
      <c r="H23" s="189"/>
      <c r="I23" s="189" t="s">
        <v>532</v>
      </c>
      <c r="J23" s="189"/>
      <c r="K23" s="189"/>
      <c r="L23" s="189"/>
      <c r="M23" s="189"/>
      <c r="N23" s="189"/>
      <c r="O23" s="189"/>
      <c r="P23" s="189"/>
      <c r="Q23" s="189" t="s">
        <v>146</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3">
        <v>16</v>
      </c>
      <c r="C24" s="189" t="s">
        <v>509</v>
      </c>
      <c r="D24" s="189"/>
      <c r="E24" s="189"/>
      <c r="F24" s="189"/>
      <c r="G24" s="189"/>
      <c r="H24" s="189"/>
      <c r="I24" s="189" t="s">
        <v>533</v>
      </c>
      <c r="J24" s="189"/>
      <c r="K24" s="189"/>
      <c r="L24" s="189"/>
      <c r="M24" s="189"/>
      <c r="N24" s="189"/>
      <c r="O24" s="189"/>
      <c r="P24" s="189"/>
      <c r="Q24" s="189" t="s">
        <v>146</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3">
        <v>17</v>
      </c>
      <c r="C25" s="189" t="s">
        <v>510</v>
      </c>
      <c r="D25" s="189"/>
      <c r="E25" s="189"/>
      <c r="F25" s="189"/>
      <c r="G25" s="189"/>
      <c r="H25" s="189"/>
      <c r="I25" s="189" t="s">
        <v>534</v>
      </c>
      <c r="J25" s="189"/>
      <c r="K25" s="189"/>
      <c r="L25" s="189"/>
      <c r="M25" s="189"/>
      <c r="N25" s="189"/>
      <c r="O25" s="189"/>
      <c r="P25" s="189"/>
      <c r="Q25" s="189" t="s">
        <v>144</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3">
        <v>18</v>
      </c>
      <c r="C26" s="189" t="s">
        <v>511</v>
      </c>
      <c r="D26" s="189"/>
      <c r="E26" s="189"/>
      <c r="F26" s="189"/>
      <c r="G26" s="189"/>
      <c r="H26" s="189"/>
      <c r="I26" s="189" t="s">
        <v>535</v>
      </c>
      <c r="J26" s="189"/>
      <c r="K26" s="189"/>
      <c r="L26" s="189"/>
      <c r="M26" s="189"/>
      <c r="N26" s="189"/>
      <c r="O26" s="189"/>
      <c r="P26" s="189"/>
      <c r="Q26" s="189" t="s">
        <v>146</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3">
        <v>19</v>
      </c>
      <c r="C27" s="189" t="s">
        <v>512</v>
      </c>
      <c r="D27" s="189"/>
      <c r="E27" s="189"/>
      <c r="F27" s="189"/>
      <c r="G27" s="189"/>
      <c r="H27" s="189"/>
      <c r="I27" s="189" t="s">
        <v>536</v>
      </c>
      <c r="J27" s="189"/>
      <c r="K27" s="189"/>
      <c r="L27" s="189"/>
      <c r="M27" s="189"/>
      <c r="N27" s="189"/>
      <c r="O27" s="189"/>
      <c r="P27" s="189"/>
      <c r="Q27" s="189" t="s">
        <v>146</v>
      </c>
      <c r="R27" s="189"/>
      <c r="S27" s="189"/>
      <c r="T27" s="189"/>
      <c r="U27" s="189"/>
      <c r="V27" s="189"/>
      <c r="W27" s="189"/>
      <c r="X27" s="189"/>
      <c r="Y27" s="189"/>
      <c r="Z27" s="189"/>
      <c r="AA27" s="189"/>
      <c r="AB27" s="189"/>
      <c r="AC27" s="189"/>
      <c r="AD27" s="189"/>
      <c r="AE27" s="189"/>
      <c r="AF27" s="189"/>
      <c r="AG27" s="189"/>
      <c r="AH27" s="189"/>
      <c r="AI27" s="189"/>
      <c r="AJ27" s="189"/>
      <c r="AK27" s="191"/>
    </row>
    <row r="28" spans="2:37">
      <c r="B28" s="3">
        <v>20</v>
      </c>
      <c r="C28" s="189" t="s">
        <v>513</v>
      </c>
      <c r="D28" s="189"/>
      <c r="E28" s="189"/>
      <c r="F28" s="189"/>
      <c r="G28" s="189"/>
      <c r="H28" s="189"/>
      <c r="I28" s="189" t="s">
        <v>537</v>
      </c>
      <c r="J28" s="189"/>
      <c r="K28" s="189"/>
      <c r="L28" s="189"/>
      <c r="M28" s="189"/>
      <c r="N28" s="189"/>
      <c r="O28" s="189"/>
      <c r="P28" s="189"/>
      <c r="Q28" s="189" t="s">
        <v>146</v>
      </c>
      <c r="R28" s="189"/>
      <c r="S28" s="189"/>
      <c r="T28" s="189"/>
      <c r="U28" s="189"/>
      <c r="V28" s="189"/>
      <c r="W28" s="189"/>
      <c r="X28" s="189"/>
      <c r="Y28" s="189"/>
      <c r="Z28" s="189"/>
      <c r="AA28" s="189"/>
      <c r="AB28" s="189"/>
      <c r="AC28" s="189"/>
      <c r="AD28" s="189"/>
      <c r="AE28" s="189"/>
      <c r="AF28" s="189"/>
      <c r="AG28" s="189"/>
      <c r="AH28" s="189"/>
      <c r="AI28" s="189"/>
      <c r="AJ28" s="189"/>
      <c r="AK28" s="191"/>
    </row>
    <row r="29" spans="2:37">
      <c r="B29" s="3">
        <v>21</v>
      </c>
      <c r="C29" s="189" t="s">
        <v>514</v>
      </c>
      <c r="D29" s="189"/>
      <c r="E29" s="189"/>
      <c r="F29" s="189"/>
      <c r="G29" s="189"/>
      <c r="H29" s="189"/>
      <c r="I29" s="189" t="s">
        <v>538</v>
      </c>
      <c r="J29" s="189"/>
      <c r="K29" s="189"/>
      <c r="L29" s="189"/>
      <c r="M29" s="189"/>
      <c r="N29" s="189"/>
      <c r="O29" s="189"/>
      <c r="P29" s="189"/>
      <c r="Q29" s="189" t="s">
        <v>144</v>
      </c>
      <c r="R29" s="189"/>
      <c r="S29" s="189"/>
      <c r="T29" s="189"/>
      <c r="U29" s="189"/>
      <c r="V29" s="189"/>
      <c r="W29" s="189"/>
      <c r="X29" s="189"/>
      <c r="Y29" s="189"/>
      <c r="Z29" s="189"/>
      <c r="AA29" s="189"/>
      <c r="AB29" s="189"/>
      <c r="AC29" s="189"/>
      <c r="AD29" s="189"/>
      <c r="AE29" s="189"/>
      <c r="AF29" s="189"/>
      <c r="AG29" s="189"/>
      <c r="AH29" s="189"/>
      <c r="AI29" s="189"/>
      <c r="AJ29" s="189"/>
      <c r="AK29" s="191"/>
    </row>
    <row r="30" spans="2:37">
      <c r="B30" s="3">
        <v>22</v>
      </c>
      <c r="C30" s="189" t="s">
        <v>515</v>
      </c>
      <c r="D30" s="189"/>
      <c r="E30" s="189"/>
      <c r="F30" s="189"/>
      <c r="G30" s="189"/>
      <c r="H30" s="189"/>
      <c r="I30" s="189" t="s">
        <v>539</v>
      </c>
      <c r="J30" s="189"/>
      <c r="K30" s="189"/>
      <c r="L30" s="189"/>
      <c r="M30" s="189"/>
      <c r="N30" s="189"/>
      <c r="O30" s="189"/>
      <c r="P30" s="189"/>
      <c r="Q30" s="189" t="s">
        <v>543</v>
      </c>
      <c r="R30" s="189"/>
      <c r="S30" s="189"/>
      <c r="T30" s="189"/>
      <c r="U30" s="189"/>
      <c r="V30" s="189"/>
      <c r="W30" s="189"/>
      <c r="X30" s="189"/>
      <c r="Y30" s="189"/>
      <c r="Z30" s="189"/>
      <c r="AA30" s="189"/>
      <c r="AB30" s="189"/>
      <c r="AC30" s="189"/>
      <c r="AD30" s="189"/>
      <c r="AE30" s="189" t="s">
        <v>223</v>
      </c>
      <c r="AF30" s="189"/>
      <c r="AG30" s="189"/>
      <c r="AH30" s="189"/>
      <c r="AI30" s="189"/>
      <c r="AJ30" s="189"/>
      <c r="AK30" s="191"/>
    </row>
    <row r="31" spans="2:37">
      <c r="B31" s="3">
        <v>23</v>
      </c>
      <c r="C31" s="189" t="s">
        <v>516</v>
      </c>
      <c r="D31" s="189"/>
      <c r="E31" s="189"/>
      <c r="F31" s="189"/>
      <c r="G31" s="189"/>
      <c r="H31" s="189"/>
      <c r="I31" s="189" t="s">
        <v>540</v>
      </c>
      <c r="J31" s="189"/>
      <c r="K31" s="189"/>
      <c r="L31" s="189"/>
      <c r="M31" s="189"/>
      <c r="N31" s="189"/>
      <c r="O31" s="189"/>
      <c r="P31" s="189"/>
      <c r="Q31" s="189" t="s">
        <v>147</v>
      </c>
      <c r="R31" s="189"/>
      <c r="S31" s="189"/>
      <c r="T31" s="189"/>
      <c r="U31" s="189"/>
      <c r="V31" s="189"/>
      <c r="W31" s="189"/>
      <c r="X31" s="189"/>
      <c r="Y31" s="189"/>
      <c r="Z31" s="189"/>
      <c r="AA31" s="189"/>
      <c r="AB31" s="189"/>
      <c r="AC31" s="189"/>
      <c r="AD31" s="189"/>
      <c r="AE31" s="189"/>
      <c r="AF31" s="189"/>
      <c r="AG31" s="189"/>
      <c r="AH31" s="189"/>
      <c r="AI31" s="189"/>
      <c r="AJ31" s="189"/>
      <c r="AK31" s="191"/>
    </row>
    <row r="32" spans="2:37">
      <c r="B32" s="3">
        <v>24</v>
      </c>
      <c r="C32" s="189" t="s">
        <v>517</v>
      </c>
      <c r="D32" s="189"/>
      <c r="E32" s="189"/>
      <c r="F32" s="189"/>
      <c r="G32" s="189"/>
      <c r="H32" s="189"/>
      <c r="I32" s="189" t="s">
        <v>541</v>
      </c>
      <c r="J32" s="189"/>
      <c r="K32" s="189"/>
      <c r="L32" s="189"/>
      <c r="M32" s="189"/>
      <c r="N32" s="189"/>
      <c r="O32" s="189"/>
      <c r="P32" s="189"/>
      <c r="Q32" s="189" t="s">
        <v>144</v>
      </c>
      <c r="R32" s="189"/>
      <c r="S32" s="189"/>
      <c r="T32" s="189"/>
      <c r="U32" s="189"/>
      <c r="V32" s="189"/>
      <c r="W32" s="189"/>
      <c r="X32" s="189"/>
      <c r="Y32" s="189"/>
      <c r="Z32" s="189"/>
      <c r="AA32" s="189"/>
      <c r="AB32" s="189"/>
      <c r="AC32" s="189"/>
      <c r="AD32" s="189"/>
      <c r="AE32" s="189" t="s">
        <v>223</v>
      </c>
      <c r="AF32" s="189"/>
      <c r="AG32" s="189"/>
      <c r="AH32" s="189"/>
      <c r="AI32" s="189"/>
      <c r="AJ32" s="189"/>
      <c r="AK32" s="191"/>
    </row>
    <row r="33" spans="2:37">
      <c r="B33" s="3">
        <v>25</v>
      </c>
      <c r="C33" s="189" t="s">
        <v>518</v>
      </c>
      <c r="D33" s="189"/>
      <c r="E33" s="189"/>
      <c r="F33" s="189"/>
      <c r="G33" s="189"/>
      <c r="H33" s="189"/>
      <c r="I33" s="189" t="s">
        <v>542</v>
      </c>
      <c r="J33" s="189"/>
      <c r="K33" s="189"/>
      <c r="L33" s="189"/>
      <c r="M33" s="189"/>
      <c r="N33" s="189"/>
      <c r="O33" s="189"/>
      <c r="P33" s="189"/>
      <c r="Q33" s="189" t="s">
        <v>143</v>
      </c>
      <c r="R33" s="189"/>
      <c r="S33" s="189"/>
      <c r="T33" s="189"/>
      <c r="U33" s="189"/>
      <c r="V33" s="189"/>
      <c r="W33" s="189"/>
      <c r="X33" s="189"/>
      <c r="Y33" s="189"/>
      <c r="Z33" s="189"/>
      <c r="AA33" s="189"/>
      <c r="AB33" s="189"/>
      <c r="AC33" s="189"/>
      <c r="AD33" s="189"/>
      <c r="AE33" s="189" t="s">
        <v>224</v>
      </c>
      <c r="AF33" s="189"/>
      <c r="AG33" s="189"/>
      <c r="AH33" s="189"/>
      <c r="AI33" s="189"/>
      <c r="AJ33" s="189"/>
      <c r="AK33" s="191"/>
    </row>
    <row r="34" spans="2:37">
      <c r="B34" s="3">
        <v>26</v>
      </c>
      <c r="C34" s="189" t="s">
        <v>478</v>
      </c>
      <c r="D34" s="189"/>
      <c r="E34" s="189"/>
      <c r="F34" s="189"/>
      <c r="G34" s="189"/>
      <c r="H34" s="189"/>
      <c r="I34" s="189" t="s">
        <v>484</v>
      </c>
      <c r="J34" s="189"/>
      <c r="K34" s="189"/>
      <c r="L34" s="189"/>
      <c r="M34" s="189"/>
      <c r="N34" s="189"/>
      <c r="O34" s="189"/>
      <c r="P34" s="189"/>
      <c r="Q34" s="189" t="s">
        <v>221</v>
      </c>
      <c r="R34" s="189"/>
      <c r="S34" s="189"/>
      <c r="T34" s="189"/>
      <c r="U34" s="189"/>
      <c r="V34" s="189"/>
      <c r="W34" s="189"/>
      <c r="X34" s="189"/>
      <c r="Y34" s="189"/>
      <c r="Z34" s="189"/>
      <c r="AA34" s="189"/>
      <c r="AB34" s="189"/>
      <c r="AC34" s="189" t="s">
        <v>151</v>
      </c>
      <c r="AD34" s="189"/>
      <c r="AE34" s="189"/>
      <c r="AF34" s="189"/>
      <c r="AG34" s="189"/>
      <c r="AH34" s="189"/>
      <c r="AI34" s="189"/>
      <c r="AJ34" s="189"/>
      <c r="AK34" s="191"/>
    </row>
    <row r="35" spans="2:37">
      <c r="B35" s="3">
        <v>27</v>
      </c>
      <c r="C35" s="189" t="s">
        <v>479</v>
      </c>
      <c r="D35" s="189"/>
      <c r="E35" s="189"/>
      <c r="F35" s="189"/>
      <c r="G35" s="189"/>
      <c r="H35" s="189"/>
      <c r="I35" s="189" t="s">
        <v>485</v>
      </c>
      <c r="J35" s="189"/>
      <c r="K35" s="189"/>
      <c r="L35" s="189"/>
      <c r="M35" s="189"/>
      <c r="N35" s="189"/>
      <c r="O35" s="189"/>
      <c r="P35" s="189"/>
      <c r="Q35" s="189" t="s">
        <v>146</v>
      </c>
      <c r="R35" s="189"/>
      <c r="S35" s="189"/>
      <c r="T35" s="189"/>
      <c r="U35" s="189"/>
      <c r="V35" s="189"/>
      <c r="W35" s="189"/>
      <c r="X35" s="189"/>
      <c r="Y35" s="189"/>
      <c r="Z35" s="189"/>
      <c r="AA35" s="189"/>
      <c r="AB35" s="189"/>
      <c r="AC35" s="189" t="s">
        <v>151</v>
      </c>
      <c r="AD35" s="189"/>
      <c r="AE35" s="189" t="s">
        <v>491</v>
      </c>
      <c r="AF35" s="189"/>
      <c r="AG35" s="189"/>
      <c r="AH35" s="189"/>
      <c r="AI35" s="189"/>
      <c r="AJ35" s="189"/>
      <c r="AK35" s="191"/>
    </row>
    <row r="36" spans="2:37">
      <c r="B36" s="3">
        <v>28</v>
      </c>
      <c r="C36" s="189" t="s">
        <v>480</v>
      </c>
      <c r="D36" s="189"/>
      <c r="E36" s="189"/>
      <c r="F36" s="189"/>
      <c r="G36" s="189"/>
      <c r="H36" s="189"/>
      <c r="I36" s="189" t="s">
        <v>486</v>
      </c>
      <c r="J36" s="189"/>
      <c r="K36" s="189"/>
      <c r="L36" s="189"/>
      <c r="M36" s="189"/>
      <c r="N36" s="189"/>
      <c r="O36" s="189"/>
      <c r="P36" s="189"/>
      <c r="Q36" s="189" t="s">
        <v>221</v>
      </c>
      <c r="R36" s="189"/>
      <c r="S36" s="189"/>
      <c r="T36" s="189"/>
      <c r="U36" s="189"/>
      <c r="V36" s="189"/>
      <c r="W36" s="189"/>
      <c r="X36" s="189"/>
      <c r="Y36" s="189"/>
      <c r="Z36" s="189"/>
      <c r="AA36" s="189"/>
      <c r="AB36" s="189"/>
      <c r="AC36" s="189" t="s">
        <v>151</v>
      </c>
      <c r="AD36" s="189"/>
      <c r="AE36" s="189"/>
      <c r="AF36" s="189"/>
      <c r="AG36" s="189"/>
      <c r="AH36" s="189"/>
      <c r="AI36" s="189"/>
      <c r="AJ36" s="189"/>
      <c r="AK36" s="191"/>
    </row>
    <row r="37" spans="2:37">
      <c r="B37" s="3">
        <v>29</v>
      </c>
      <c r="C37" s="189" t="s">
        <v>206</v>
      </c>
      <c r="D37" s="189"/>
      <c r="E37" s="189"/>
      <c r="F37" s="189"/>
      <c r="G37" s="189"/>
      <c r="H37" s="189"/>
      <c r="I37" s="189" t="s">
        <v>487</v>
      </c>
      <c r="J37" s="189"/>
      <c r="K37" s="189"/>
      <c r="L37" s="189"/>
      <c r="M37" s="189"/>
      <c r="N37" s="189"/>
      <c r="O37" s="189"/>
      <c r="P37" s="189"/>
      <c r="Q37" s="189" t="s">
        <v>146</v>
      </c>
      <c r="R37" s="189"/>
      <c r="S37" s="189"/>
      <c r="T37" s="189"/>
      <c r="U37" s="189"/>
      <c r="V37" s="189"/>
      <c r="W37" s="189"/>
      <c r="X37" s="189"/>
      <c r="Y37" s="189"/>
      <c r="Z37" s="189"/>
      <c r="AA37" s="189"/>
      <c r="AB37" s="189"/>
      <c r="AC37" s="189" t="s">
        <v>151</v>
      </c>
      <c r="AD37" s="189"/>
      <c r="AE37" s="189" t="s">
        <v>491</v>
      </c>
      <c r="AF37" s="189"/>
      <c r="AG37" s="189"/>
      <c r="AH37" s="189"/>
      <c r="AI37" s="189"/>
      <c r="AJ37" s="189"/>
      <c r="AK37" s="191"/>
    </row>
    <row r="38" spans="2:37">
      <c r="B38" s="3">
        <v>30</v>
      </c>
      <c r="C38" s="189" t="s">
        <v>207</v>
      </c>
      <c r="D38" s="189"/>
      <c r="E38" s="189"/>
      <c r="F38" s="189"/>
      <c r="G38" s="189"/>
      <c r="H38" s="189"/>
      <c r="I38" s="189" t="s">
        <v>488</v>
      </c>
      <c r="J38" s="189"/>
      <c r="K38" s="189"/>
      <c r="L38" s="189"/>
      <c r="M38" s="189"/>
      <c r="N38" s="189"/>
      <c r="O38" s="189"/>
      <c r="P38" s="189"/>
      <c r="Q38" s="189" t="s">
        <v>146</v>
      </c>
      <c r="R38" s="189"/>
      <c r="S38" s="189"/>
      <c r="T38" s="189"/>
      <c r="U38" s="189"/>
      <c r="V38" s="189"/>
      <c r="W38" s="189"/>
      <c r="X38" s="189"/>
      <c r="Y38" s="189"/>
      <c r="Z38" s="189"/>
      <c r="AA38" s="189"/>
      <c r="AB38" s="189"/>
      <c r="AC38" s="189" t="s">
        <v>151</v>
      </c>
      <c r="AD38" s="189"/>
      <c r="AE38" s="189" t="s">
        <v>492</v>
      </c>
      <c r="AF38" s="189"/>
      <c r="AG38" s="189"/>
      <c r="AH38" s="189"/>
      <c r="AI38" s="189"/>
      <c r="AJ38" s="189"/>
      <c r="AK38" s="191"/>
    </row>
    <row r="39" spans="2:37" ht="13.8" thickBot="1">
      <c r="B39" s="4">
        <v>31</v>
      </c>
      <c r="C39" s="190" t="s">
        <v>208</v>
      </c>
      <c r="D39" s="190"/>
      <c r="E39" s="190"/>
      <c r="F39" s="190"/>
      <c r="G39" s="190"/>
      <c r="H39" s="190"/>
      <c r="I39" s="190" t="s">
        <v>489</v>
      </c>
      <c r="J39" s="190"/>
      <c r="K39" s="190"/>
      <c r="L39" s="190"/>
      <c r="M39" s="190"/>
      <c r="N39" s="190"/>
      <c r="O39" s="190"/>
      <c r="P39" s="190"/>
      <c r="Q39" s="190" t="s">
        <v>143</v>
      </c>
      <c r="R39" s="190"/>
      <c r="S39" s="190"/>
      <c r="T39" s="190"/>
      <c r="U39" s="190"/>
      <c r="V39" s="190"/>
      <c r="W39" s="190"/>
      <c r="X39" s="190"/>
      <c r="Y39" s="190"/>
      <c r="Z39" s="190"/>
      <c r="AA39" s="190"/>
      <c r="AB39" s="190"/>
      <c r="AC39" s="190" t="s">
        <v>151</v>
      </c>
      <c r="AD39" s="190"/>
      <c r="AE39" s="190" t="s">
        <v>224</v>
      </c>
      <c r="AF39" s="190"/>
      <c r="AG39" s="190"/>
      <c r="AH39" s="190"/>
      <c r="AI39" s="190"/>
      <c r="AJ39" s="190"/>
      <c r="AK39" s="198"/>
    </row>
    <row r="42" spans="2:37" ht="15" thickBot="1">
      <c r="B42" s="7" t="s">
        <v>994</v>
      </c>
    </row>
    <row r="43" spans="2:37" ht="13.8" thickBot="1">
      <c r="B43" s="10" t="s">
        <v>7</v>
      </c>
      <c r="C43" s="226" t="s">
        <v>998</v>
      </c>
      <c r="D43" s="226"/>
      <c r="E43" s="226"/>
      <c r="F43" s="226"/>
      <c r="G43" s="226"/>
      <c r="H43" s="226"/>
      <c r="I43" s="226"/>
      <c r="J43" s="226"/>
      <c r="K43" s="226"/>
      <c r="L43" s="226" t="s">
        <v>1000</v>
      </c>
      <c r="M43" s="226"/>
      <c r="N43" s="226"/>
      <c r="O43" s="226"/>
      <c r="P43" s="226"/>
      <c r="Q43" s="226"/>
      <c r="R43" s="226"/>
      <c r="S43" s="226"/>
      <c r="T43" s="226"/>
      <c r="U43" s="226"/>
      <c r="V43" s="226" t="s">
        <v>1002</v>
      </c>
      <c r="W43" s="226"/>
      <c r="X43" s="226"/>
      <c r="Y43" s="226" t="s">
        <v>1004</v>
      </c>
      <c r="Z43" s="226"/>
      <c r="AA43" s="226"/>
      <c r="AB43" s="226" t="s">
        <v>1005</v>
      </c>
      <c r="AC43" s="226"/>
      <c r="AD43" s="226"/>
      <c r="AE43" s="226"/>
      <c r="AF43" s="226"/>
      <c r="AG43" s="226"/>
      <c r="AH43" s="226"/>
      <c r="AI43" s="227"/>
    </row>
    <row r="44" spans="2:37">
      <c r="B44" s="256">
        <v>1</v>
      </c>
      <c r="C44" s="247" t="s">
        <v>1066</v>
      </c>
      <c r="D44" s="247"/>
      <c r="E44" s="247"/>
      <c r="F44" s="247"/>
      <c r="G44" s="247"/>
      <c r="H44" s="247"/>
      <c r="I44" s="247"/>
      <c r="J44" s="247"/>
      <c r="K44" s="247"/>
      <c r="L44" s="246" t="s">
        <v>1067</v>
      </c>
      <c r="M44" s="246"/>
      <c r="N44" s="246"/>
      <c r="O44" s="246"/>
      <c r="P44" s="246"/>
      <c r="Q44" s="246"/>
      <c r="R44" s="246"/>
      <c r="S44" s="246"/>
      <c r="T44" s="246"/>
      <c r="U44" s="246"/>
      <c r="V44" s="247" t="s">
        <v>1022</v>
      </c>
      <c r="W44" s="247"/>
      <c r="X44" s="247"/>
      <c r="Y44" s="247" t="s">
        <v>1022</v>
      </c>
      <c r="Z44" s="247"/>
      <c r="AA44" s="247"/>
      <c r="AB44" s="248"/>
      <c r="AC44" s="248"/>
      <c r="AD44" s="248"/>
      <c r="AE44" s="248"/>
      <c r="AF44" s="248"/>
      <c r="AG44" s="248"/>
      <c r="AH44" s="248"/>
      <c r="AI44" s="249"/>
    </row>
    <row r="45" spans="2:37" ht="13.8" thickBot="1">
      <c r="B45" s="257"/>
      <c r="C45" s="258"/>
      <c r="D45" s="258"/>
      <c r="E45" s="258"/>
      <c r="F45" s="258"/>
      <c r="G45" s="258"/>
      <c r="H45" s="258"/>
      <c r="I45" s="258"/>
      <c r="J45" s="258"/>
      <c r="K45" s="258"/>
      <c r="L45" s="259" t="s">
        <v>1068</v>
      </c>
      <c r="M45" s="259"/>
      <c r="N45" s="259"/>
      <c r="O45" s="259"/>
      <c r="P45" s="259"/>
      <c r="Q45" s="259"/>
      <c r="R45" s="259"/>
      <c r="S45" s="259"/>
      <c r="T45" s="259"/>
      <c r="U45" s="259"/>
      <c r="V45" s="258"/>
      <c r="W45" s="258"/>
      <c r="X45" s="258"/>
      <c r="Y45" s="258"/>
      <c r="Z45" s="258"/>
      <c r="AA45" s="258"/>
      <c r="AB45" s="238"/>
      <c r="AC45" s="238"/>
      <c r="AD45" s="238"/>
      <c r="AE45" s="238"/>
      <c r="AF45" s="238"/>
      <c r="AG45" s="238"/>
      <c r="AH45" s="238"/>
      <c r="AI45" s="239"/>
    </row>
    <row r="47" spans="2:37" ht="15" thickBot="1">
      <c r="B47" s="7" t="s">
        <v>995</v>
      </c>
    </row>
    <row r="48" spans="2:37">
      <c r="B48" s="14" t="s">
        <v>1069</v>
      </c>
      <c r="C48" s="226" t="s">
        <v>1070</v>
      </c>
      <c r="D48" s="226"/>
      <c r="E48" s="226"/>
      <c r="F48" s="226"/>
      <c r="G48" s="226"/>
      <c r="H48" s="226"/>
      <c r="I48" s="226"/>
      <c r="J48" s="226"/>
      <c r="K48" s="226"/>
      <c r="L48" s="226"/>
      <c r="M48" s="226" t="s">
        <v>1072</v>
      </c>
      <c r="N48" s="226"/>
      <c r="O48" s="226"/>
      <c r="P48" s="226"/>
      <c r="Q48" s="226"/>
      <c r="R48" s="226"/>
      <c r="S48" s="226"/>
      <c r="T48" s="226"/>
      <c r="U48" s="226" t="s">
        <v>1154</v>
      </c>
      <c r="V48" s="226"/>
      <c r="W48" s="226"/>
      <c r="X48" s="226"/>
      <c r="Y48" s="226"/>
      <c r="Z48" s="226"/>
      <c r="AA48" s="226"/>
      <c r="AB48" s="226"/>
      <c r="AC48" s="226"/>
      <c r="AD48" s="226" t="s">
        <v>1155</v>
      </c>
      <c r="AE48" s="226"/>
      <c r="AF48" s="226"/>
      <c r="AG48" s="226"/>
      <c r="AH48" s="226"/>
      <c r="AI48" s="227"/>
    </row>
    <row r="49" spans="2:35" ht="13.8" thickBot="1">
      <c r="B49" s="4"/>
      <c r="C49" s="190"/>
      <c r="D49" s="190"/>
      <c r="E49" s="190"/>
      <c r="F49" s="190"/>
      <c r="G49" s="190"/>
      <c r="H49" s="190"/>
      <c r="I49" s="190"/>
      <c r="J49" s="190"/>
      <c r="K49" s="190"/>
      <c r="L49" s="190"/>
      <c r="M49" s="190"/>
      <c r="N49" s="190"/>
      <c r="O49" s="190"/>
      <c r="P49" s="190"/>
      <c r="Q49" s="190"/>
      <c r="R49" s="190"/>
      <c r="S49" s="190"/>
      <c r="T49" s="190"/>
      <c r="U49" s="190"/>
      <c r="V49" s="190"/>
      <c r="W49" s="190"/>
      <c r="X49" s="190"/>
      <c r="Y49" s="190"/>
      <c r="Z49" s="190"/>
      <c r="AA49" s="190"/>
      <c r="AB49" s="190"/>
      <c r="AC49" s="190"/>
      <c r="AD49" s="190"/>
      <c r="AE49" s="190"/>
      <c r="AF49" s="190"/>
      <c r="AG49" s="190"/>
      <c r="AH49" s="190"/>
      <c r="AI49" s="198"/>
    </row>
    <row r="51" spans="2:35" ht="15" thickBot="1">
      <c r="B51" s="7" t="s">
        <v>996</v>
      </c>
    </row>
    <row r="52" spans="2:35">
      <c r="B52" s="5" t="s">
        <v>1069</v>
      </c>
      <c r="C52" s="201" t="s">
        <v>1070</v>
      </c>
      <c r="D52" s="201"/>
      <c r="E52" s="201"/>
      <c r="F52" s="201"/>
      <c r="G52" s="201"/>
      <c r="H52" s="201"/>
      <c r="I52" s="201"/>
      <c r="J52" s="201"/>
      <c r="K52" s="201"/>
      <c r="L52" s="201"/>
      <c r="M52" s="201" t="s">
        <v>1072</v>
      </c>
      <c r="N52" s="201"/>
      <c r="O52" s="201"/>
      <c r="P52" s="201"/>
      <c r="Q52" s="201"/>
      <c r="R52" s="201"/>
      <c r="S52" s="201"/>
      <c r="T52" s="201"/>
      <c r="U52" s="201" t="s">
        <v>1073</v>
      </c>
      <c r="V52" s="201"/>
      <c r="W52" s="201"/>
      <c r="X52" s="201"/>
      <c r="Y52" s="201"/>
      <c r="Z52" s="201"/>
      <c r="AA52" s="201"/>
      <c r="AB52" s="201"/>
      <c r="AC52" s="201"/>
      <c r="AD52" s="201" t="s">
        <v>1075</v>
      </c>
      <c r="AE52" s="201"/>
      <c r="AF52" s="201"/>
      <c r="AG52" s="201"/>
      <c r="AH52" s="201"/>
      <c r="AI52" s="204"/>
    </row>
    <row r="53" spans="2:35">
      <c r="B53" s="261">
        <v>1</v>
      </c>
      <c r="C53" s="230" t="s">
        <v>1071</v>
      </c>
      <c r="D53" s="230"/>
      <c r="E53" s="230"/>
      <c r="F53" s="230"/>
      <c r="G53" s="230"/>
      <c r="H53" s="230"/>
      <c r="I53" s="230"/>
      <c r="J53" s="230"/>
      <c r="K53" s="230"/>
      <c r="L53" s="230"/>
      <c r="M53" s="189" t="s">
        <v>1067</v>
      </c>
      <c r="N53" s="189"/>
      <c r="O53" s="189"/>
      <c r="P53" s="189"/>
      <c r="Q53" s="189"/>
      <c r="R53" s="189"/>
      <c r="S53" s="189"/>
      <c r="T53" s="189"/>
      <c r="U53" s="230" t="s">
        <v>1074</v>
      </c>
      <c r="V53" s="230"/>
      <c r="W53" s="230"/>
      <c r="X53" s="230"/>
      <c r="Y53" s="230"/>
      <c r="Z53" s="230"/>
      <c r="AA53" s="230"/>
      <c r="AB53" s="230"/>
      <c r="AC53" s="230"/>
      <c r="AD53" s="189" t="s">
        <v>1067</v>
      </c>
      <c r="AE53" s="189"/>
      <c r="AF53" s="189"/>
      <c r="AG53" s="189"/>
      <c r="AH53" s="189"/>
      <c r="AI53" s="191"/>
    </row>
    <row r="54" spans="2:35" ht="13.8" thickBot="1">
      <c r="B54" s="262"/>
      <c r="C54" s="231"/>
      <c r="D54" s="231"/>
      <c r="E54" s="231"/>
      <c r="F54" s="231"/>
      <c r="G54" s="231"/>
      <c r="H54" s="231"/>
      <c r="I54" s="231"/>
      <c r="J54" s="231"/>
      <c r="K54" s="231"/>
      <c r="L54" s="231"/>
      <c r="M54" s="190" t="s">
        <v>1068</v>
      </c>
      <c r="N54" s="190"/>
      <c r="O54" s="190"/>
      <c r="P54" s="190"/>
      <c r="Q54" s="190"/>
      <c r="R54" s="190"/>
      <c r="S54" s="190"/>
      <c r="T54" s="190"/>
      <c r="U54" s="231"/>
      <c r="V54" s="231"/>
      <c r="W54" s="231"/>
      <c r="X54" s="231"/>
      <c r="Y54" s="231"/>
      <c r="Z54" s="231"/>
      <c r="AA54" s="231"/>
      <c r="AB54" s="231"/>
      <c r="AC54" s="231"/>
      <c r="AD54" s="190" t="s">
        <v>1068</v>
      </c>
      <c r="AE54" s="190"/>
      <c r="AF54" s="190"/>
      <c r="AG54" s="190"/>
      <c r="AH54" s="190"/>
      <c r="AI54" s="198"/>
    </row>
  </sheetData>
  <mergeCells count="262">
    <mergeCell ref="AD49:AI49"/>
    <mergeCell ref="C52:L52"/>
    <mergeCell ref="M52:T52"/>
    <mergeCell ref="U52:AC52"/>
    <mergeCell ref="AD52:AI52"/>
    <mergeCell ref="B53:B54"/>
    <mergeCell ref="C53:L54"/>
    <mergeCell ref="M53:T53"/>
    <mergeCell ref="M54:T54"/>
    <mergeCell ref="U53:AC54"/>
    <mergeCell ref="AD53:AI53"/>
    <mergeCell ref="AD54:AI54"/>
    <mergeCell ref="C49:L49"/>
    <mergeCell ref="Q8:X8"/>
    <mergeCell ref="AA8:AB8"/>
    <mergeCell ref="AC8:AD8"/>
    <mergeCell ref="AE8:AK8"/>
    <mergeCell ref="AA9:AB9"/>
    <mergeCell ref="AA10:AB10"/>
    <mergeCell ref="AC9:AD9"/>
    <mergeCell ref="C43:K43"/>
    <mergeCell ref="L43:U43"/>
    <mergeCell ref="V43:X43"/>
    <mergeCell ref="Y43:AA43"/>
    <mergeCell ref="AB43:AI43"/>
    <mergeCell ref="Q23:X23"/>
    <mergeCell ref="Q24:X24"/>
    <mergeCell ref="Q25:X25"/>
    <mergeCell ref="Q26:X26"/>
    <mergeCell ref="Q15:X15"/>
    <mergeCell ref="Q16:X16"/>
    <mergeCell ref="Q17:X17"/>
    <mergeCell ref="Q18:X18"/>
    <mergeCell ref="Q19:X19"/>
    <mergeCell ref="Q20:X20"/>
    <mergeCell ref="C9:H9"/>
    <mergeCell ref="C10:H10"/>
    <mergeCell ref="B2:E4"/>
    <mergeCell ref="F2:H2"/>
    <mergeCell ref="F3:H3"/>
    <mergeCell ref="F4:H4"/>
    <mergeCell ref="C8:H8"/>
    <mergeCell ref="I8:P8"/>
    <mergeCell ref="I2:M2"/>
    <mergeCell ref="I3:M3"/>
    <mergeCell ref="I4:M4"/>
    <mergeCell ref="B44:B45"/>
    <mergeCell ref="C44:K45"/>
    <mergeCell ref="L44:U44"/>
    <mergeCell ref="L45:U45"/>
    <mergeCell ref="M49:T49"/>
    <mergeCell ref="U49:AC49"/>
    <mergeCell ref="AC12:AD12"/>
    <mergeCell ref="AC13:AD13"/>
    <mergeCell ref="AC14:AD14"/>
    <mergeCell ref="AC15:AD15"/>
    <mergeCell ref="AC16:AD16"/>
    <mergeCell ref="C48:L48"/>
    <mergeCell ref="M48:T48"/>
    <mergeCell ref="U48:AC48"/>
    <mergeCell ref="AD48:AI48"/>
    <mergeCell ref="AC37:AD37"/>
    <mergeCell ref="AC38:AD38"/>
    <mergeCell ref="AC39:AD39"/>
    <mergeCell ref="V44:X45"/>
    <mergeCell ref="Y44:AA45"/>
    <mergeCell ref="AB44:AI45"/>
    <mergeCell ref="Q32:X32"/>
    <mergeCell ref="Q21:X21"/>
    <mergeCell ref="Q22:X22"/>
    <mergeCell ref="C11:H11"/>
    <mergeCell ref="C12:H12"/>
    <mergeCell ref="C13:H13"/>
    <mergeCell ref="C14:H14"/>
    <mergeCell ref="AC34:AD34"/>
    <mergeCell ref="AC35:AD35"/>
    <mergeCell ref="AC36:AD36"/>
    <mergeCell ref="C31:H31"/>
    <mergeCell ref="C32:H32"/>
    <mergeCell ref="C21:H21"/>
    <mergeCell ref="C22:H22"/>
    <mergeCell ref="C23:H23"/>
    <mergeCell ref="C24:H24"/>
    <mergeCell ref="C25:H25"/>
    <mergeCell ref="C26:H26"/>
    <mergeCell ref="C15:H15"/>
    <mergeCell ref="C16:H16"/>
    <mergeCell ref="C17:H17"/>
    <mergeCell ref="C18:H18"/>
    <mergeCell ref="C19:H19"/>
    <mergeCell ref="C20:H20"/>
    <mergeCell ref="I20:P20"/>
    <mergeCell ref="I21:P21"/>
    <mergeCell ref="I22:P22"/>
    <mergeCell ref="I23:P23"/>
    <mergeCell ref="C39:H39"/>
    <mergeCell ref="I9:P9"/>
    <mergeCell ref="I10:P10"/>
    <mergeCell ref="I11:P11"/>
    <mergeCell ref="I12:P12"/>
    <mergeCell ref="I13:P13"/>
    <mergeCell ref="I14:P14"/>
    <mergeCell ref="I15:P15"/>
    <mergeCell ref="I16:P16"/>
    <mergeCell ref="I17:P17"/>
    <mergeCell ref="C33:H33"/>
    <mergeCell ref="C34:H34"/>
    <mergeCell ref="C35:H35"/>
    <mergeCell ref="C36:H36"/>
    <mergeCell ref="C37:H37"/>
    <mergeCell ref="C38:H38"/>
    <mergeCell ref="C27:H27"/>
    <mergeCell ref="C28:H28"/>
    <mergeCell ref="C29:H29"/>
    <mergeCell ref="C30:H30"/>
    <mergeCell ref="I36:P36"/>
    <mergeCell ref="I37:P37"/>
    <mergeCell ref="I38:P38"/>
    <mergeCell ref="I39:P39"/>
    <mergeCell ref="Q9:X9"/>
    <mergeCell ref="Q10:X10"/>
    <mergeCell ref="Q11:X11"/>
    <mergeCell ref="Q12:X12"/>
    <mergeCell ref="Q13:X13"/>
    <mergeCell ref="Q14:X14"/>
    <mergeCell ref="I30:P30"/>
    <mergeCell ref="I31:P31"/>
    <mergeCell ref="I32:P32"/>
    <mergeCell ref="I33:P33"/>
    <mergeCell ref="I34:P34"/>
    <mergeCell ref="I35:P35"/>
    <mergeCell ref="I24:P24"/>
    <mergeCell ref="I25:P25"/>
    <mergeCell ref="I26:P26"/>
    <mergeCell ref="I27:P27"/>
    <mergeCell ref="I28:P28"/>
    <mergeCell ref="I29:P29"/>
    <mergeCell ref="I18:P18"/>
    <mergeCell ref="I19:P19"/>
    <mergeCell ref="Q31:X31"/>
    <mergeCell ref="Q39:X39"/>
    <mergeCell ref="Q33:X33"/>
    <mergeCell ref="AA11:AB11"/>
    <mergeCell ref="AA12:AB12"/>
    <mergeCell ref="AA13:AB13"/>
    <mergeCell ref="AA14:AB14"/>
    <mergeCell ref="AA15:AB15"/>
    <mergeCell ref="AA16:AB16"/>
    <mergeCell ref="AA17:AB17"/>
    <mergeCell ref="AA18:AB18"/>
    <mergeCell ref="AA19:AB19"/>
    <mergeCell ref="Q34:X34"/>
    <mergeCell ref="Q35:X35"/>
    <mergeCell ref="Q36:X36"/>
    <mergeCell ref="Q37:X37"/>
    <mergeCell ref="Q38:X38"/>
    <mergeCell ref="Q27:X27"/>
    <mergeCell ref="Q28:X28"/>
    <mergeCell ref="Q29:X29"/>
    <mergeCell ref="Q30:X30"/>
    <mergeCell ref="AA38:AB38"/>
    <mergeCell ref="AA39:AB39"/>
    <mergeCell ref="Y17:Z17"/>
    <mergeCell ref="Y18:Z18"/>
    <mergeCell ref="AA20:AB20"/>
    <mergeCell ref="AA21:AB21"/>
    <mergeCell ref="AC31:AD31"/>
    <mergeCell ref="AC32:AD32"/>
    <mergeCell ref="AC33:AD33"/>
    <mergeCell ref="AC27:AD27"/>
    <mergeCell ref="AC28:AD28"/>
    <mergeCell ref="AC29:AD29"/>
    <mergeCell ref="AC30:AD30"/>
    <mergeCell ref="AA22:AB22"/>
    <mergeCell ref="AA23:AB23"/>
    <mergeCell ref="AA24:AB24"/>
    <mergeCell ref="AA25:AB25"/>
    <mergeCell ref="AA32:AB32"/>
    <mergeCell ref="AA33:AB33"/>
    <mergeCell ref="AA34:AB34"/>
    <mergeCell ref="AA35:AB35"/>
    <mergeCell ref="AA36:AB36"/>
    <mergeCell ref="AA37:AB37"/>
    <mergeCell ref="AA26:AB26"/>
    <mergeCell ref="AA27:AB27"/>
    <mergeCell ref="AA28:AB28"/>
    <mergeCell ref="AA29:AB29"/>
    <mergeCell ref="AA30:AB30"/>
    <mergeCell ref="AA31:AB31"/>
    <mergeCell ref="AE9:AK9"/>
    <mergeCell ref="AE10:AK10"/>
    <mergeCell ref="AE11:AK11"/>
    <mergeCell ref="AE12:AK12"/>
    <mergeCell ref="AE13:AK13"/>
    <mergeCell ref="AE14:AK14"/>
    <mergeCell ref="AE15:AK15"/>
    <mergeCell ref="AC25:AD25"/>
    <mergeCell ref="AC26:AD26"/>
    <mergeCell ref="AC19:AD19"/>
    <mergeCell ref="AC20:AD20"/>
    <mergeCell ref="AC21:AD21"/>
    <mergeCell ref="AC22:AD22"/>
    <mergeCell ref="AC23:AD23"/>
    <mergeCell ref="AC24:AD24"/>
    <mergeCell ref="AE22:AK22"/>
    <mergeCell ref="AE23:AK23"/>
    <mergeCell ref="AE24:AK24"/>
    <mergeCell ref="AE25:AK25"/>
    <mergeCell ref="AE26:AK26"/>
    <mergeCell ref="AC17:AD17"/>
    <mergeCell ref="AC18:AD18"/>
    <mergeCell ref="AC10:AD10"/>
    <mergeCell ref="AC11:AD11"/>
    <mergeCell ref="AE27:AK27"/>
    <mergeCell ref="AE16:AK16"/>
    <mergeCell ref="AE17:AK17"/>
    <mergeCell ref="AE18:AK18"/>
    <mergeCell ref="AE19:AK19"/>
    <mergeCell ref="AE20:AK20"/>
    <mergeCell ref="AE21:AK21"/>
    <mergeCell ref="AE34:AK34"/>
    <mergeCell ref="AE35:AK35"/>
    <mergeCell ref="AE36:AK36"/>
    <mergeCell ref="AE37:AK37"/>
    <mergeCell ref="AE38:AK38"/>
    <mergeCell ref="AE39:AK39"/>
    <mergeCell ref="AE28:AK28"/>
    <mergeCell ref="AE29:AK29"/>
    <mergeCell ref="AE30:AK30"/>
    <mergeCell ref="AE31:AK31"/>
    <mergeCell ref="AE32:AK32"/>
    <mergeCell ref="AE33:AK33"/>
    <mergeCell ref="Y8:Z8"/>
    <mergeCell ref="Y9:Z9"/>
    <mergeCell ref="Y10:Z10"/>
    <mergeCell ref="Y11:Z11"/>
    <mergeCell ref="Y12:Z12"/>
    <mergeCell ref="Y13:Z13"/>
    <mergeCell ref="Y14:Z14"/>
    <mergeCell ref="Y15:Z15"/>
    <mergeCell ref="Y16:Z16"/>
    <mergeCell ref="Y19:Z19"/>
    <mergeCell ref="Y20:Z20"/>
    <mergeCell ref="Y21:Z21"/>
    <mergeCell ref="Y22:Z22"/>
    <mergeCell ref="Y23:Z23"/>
    <mergeCell ref="Y24:Z24"/>
    <mergeCell ref="Y25:Z25"/>
    <mergeCell ref="Y35:Z35"/>
    <mergeCell ref="Y36:Z36"/>
    <mergeCell ref="Y37:Z37"/>
    <mergeCell ref="Y38:Z38"/>
    <mergeCell ref="Y39:Z39"/>
    <mergeCell ref="Y26:Z26"/>
    <mergeCell ref="Y27:Z27"/>
    <mergeCell ref="Y28:Z28"/>
    <mergeCell ref="Y29:Z29"/>
    <mergeCell ref="Y30:Z30"/>
    <mergeCell ref="Y31:Z31"/>
    <mergeCell ref="Y32:Z32"/>
    <mergeCell ref="Y33:Z33"/>
    <mergeCell ref="Y34:Z34"/>
  </mergeCells>
  <phoneticPr fontId="3"/>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76634-165D-4FB6-9A9B-78F515204EBB}">
  <sheetPr codeName="Sheet39"/>
  <dimension ref="B1:AK26"/>
  <sheetViews>
    <sheetView workbookViewId="0">
      <selection activeCell="I12" sqref="I12:P12"/>
    </sheetView>
  </sheetViews>
  <sheetFormatPr defaultColWidth="3.6640625" defaultRowHeight="13.2"/>
  <sheetData>
    <row r="1" spans="2:37" ht="13.8" thickBot="1"/>
    <row r="2" spans="2:37">
      <c r="B2" s="205" t="s">
        <v>95</v>
      </c>
      <c r="C2" s="206"/>
      <c r="D2" s="206"/>
      <c r="E2" s="206"/>
      <c r="F2" s="211" t="s">
        <v>93</v>
      </c>
      <c r="G2" s="211"/>
      <c r="H2" s="212"/>
      <c r="I2" s="196" t="s">
        <v>162</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547</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548</v>
      </c>
      <c r="D9" s="189"/>
      <c r="E9" s="189"/>
      <c r="F9" s="189"/>
      <c r="G9" s="189"/>
      <c r="H9" s="189"/>
      <c r="I9" s="189" t="s">
        <v>1636</v>
      </c>
      <c r="J9" s="189"/>
      <c r="K9" s="189"/>
      <c r="L9" s="189"/>
      <c r="M9" s="189"/>
      <c r="N9" s="189"/>
      <c r="O9" s="189"/>
      <c r="P9" s="189"/>
      <c r="Q9" s="189" t="s">
        <v>146</v>
      </c>
      <c r="R9" s="189"/>
      <c r="S9" s="189"/>
      <c r="T9" s="189"/>
      <c r="U9" s="189"/>
      <c r="V9" s="189"/>
      <c r="W9" s="189"/>
      <c r="X9" s="189"/>
      <c r="Y9" s="189"/>
      <c r="Z9" s="189"/>
      <c r="AA9" s="189"/>
      <c r="AB9" s="189"/>
      <c r="AC9" s="189" t="s">
        <v>151</v>
      </c>
      <c r="AD9" s="189"/>
      <c r="AE9" s="189"/>
      <c r="AF9" s="189"/>
      <c r="AG9" s="189"/>
      <c r="AH9" s="189"/>
      <c r="AI9" s="189"/>
      <c r="AJ9" s="189"/>
      <c r="AK9" s="191"/>
    </row>
    <row r="10" spans="2:37">
      <c r="B10" s="3">
        <v>2</v>
      </c>
      <c r="C10" s="189" t="s">
        <v>549</v>
      </c>
      <c r="D10" s="189"/>
      <c r="E10" s="189"/>
      <c r="F10" s="189"/>
      <c r="G10" s="189"/>
      <c r="H10" s="189"/>
      <c r="I10" s="189" t="s">
        <v>1635</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550</v>
      </c>
      <c r="D11" s="189"/>
      <c r="E11" s="189"/>
      <c r="F11" s="189"/>
      <c r="G11" s="189"/>
      <c r="H11" s="189"/>
      <c r="I11" s="189" t="s">
        <v>135</v>
      </c>
      <c r="J11" s="189"/>
      <c r="K11" s="189"/>
      <c r="L11" s="189"/>
      <c r="M11" s="189"/>
      <c r="N11" s="189"/>
      <c r="O11" s="189"/>
      <c r="P11" s="189"/>
      <c r="Q11" s="189" t="s">
        <v>400</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551</v>
      </c>
      <c r="D12" s="189"/>
      <c r="E12" s="189"/>
      <c r="F12" s="189"/>
      <c r="G12" s="189"/>
      <c r="H12" s="189"/>
      <c r="I12" s="189" t="s">
        <v>1637</v>
      </c>
      <c r="J12" s="189"/>
      <c r="K12" s="189"/>
      <c r="L12" s="189"/>
      <c r="M12" s="189"/>
      <c r="N12" s="189"/>
      <c r="O12" s="189"/>
      <c r="P12" s="189"/>
      <c r="Q12" s="189" t="s">
        <v>147</v>
      </c>
      <c r="R12" s="189"/>
      <c r="S12" s="189"/>
      <c r="T12" s="189"/>
      <c r="U12" s="189"/>
      <c r="V12" s="189"/>
      <c r="W12" s="189"/>
      <c r="X12" s="189"/>
      <c r="Y12" s="189"/>
      <c r="Z12" s="189"/>
      <c r="AA12" s="189"/>
      <c r="AB12" s="189"/>
      <c r="AC12" s="189"/>
      <c r="AD12" s="189"/>
      <c r="AE12" s="189"/>
      <c r="AF12" s="189"/>
      <c r="AG12" s="189"/>
      <c r="AH12" s="189"/>
      <c r="AI12" s="189"/>
      <c r="AJ12" s="189"/>
      <c r="AK12" s="191"/>
    </row>
    <row r="13" spans="2:37" ht="13.8" thickBot="1">
      <c r="B13" s="4">
        <v>5</v>
      </c>
      <c r="C13" s="190" t="s">
        <v>552</v>
      </c>
      <c r="D13" s="190"/>
      <c r="E13" s="190"/>
      <c r="F13" s="190"/>
      <c r="G13" s="190"/>
      <c r="H13" s="190"/>
      <c r="I13" s="190" t="s">
        <v>137</v>
      </c>
      <c r="J13" s="190"/>
      <c r="K13" s="190"/>
      <c r="L13" s="190"/>
      <c r="M13" s="190"/>
      <c r="N13" s="190"/>
      <c r="O13" s="190"/>
      <c r="P13" s="190"/>
      <c r="Q13" s="190" t="s">
        <v>147</v>
      </c>
      <c r="R13" s="190"/>
      <c r="S13" s="190"/>
      <c r="T13" s="190"/>
      <c r="U13" s="190"/>
      <c r="V13" s="190"/>
      <c r="W13" s="190"/>
      <c r="X13" s="190"/>
      <c r="Y13" s="190"/>
      <c r="Z13" s="190"/>
      <c r="AA13" s="190"/>
      <c r="AB13" s="190"/>
      <c r="AC13" s="190"/>
      <c r="AD13" s="190"/>
      <c r="AE13" s="190"/>
      <c r="AF13" s="190"/>
      <c r="AG13" s="190"/>
      <c r="AH13" s="190"/>
      <c r="AI13" s="190"/>
      <c r="AJ13" s="190"/>
      <c r="AK13" s="198"/>
    </row>
    <row r="16" spans="2:37" ht="15" thickBot="1">
      <c r="B16" s="7" t="s">
        <v>994</v>
      </c>
    </row>
    <row r="17" spans="2:35">
      <c r="B17" s="10" t="s">
        <v>7</v>
      </c>
      <c r="C17" s="226" t="s">
        <v>998</v>
      </c>
      <c r="D17" s="226"/>
      <c r="E17" s="226"/>
      <c r="F17" s="226"/>
      <c r="G17" s="226"/>
      <c r="H17" s="226"/>
      <c r="I17" s="226"/>
      <c r="J17" s="226"/>
      <c r="K17" s="226"/>
      <c r="L17" s="226" t="s">
        <v>1000</v>
      </c>
      <c r="M17" s="226"/>
      <c r="N17" s="226"/>
      <c r="O17" s="226"/>
      <c r="P17" s="226"/>
      <c r="Q17" s="226"/>
      <c r="R17" s="226"/>
      <c r="S17" s="226"/>
      <c r="T17" s="226"/>
      <c r="U17" s="226"/>
      <c r="V17" s="226" t="s">
        <v>1002</v>
      </c>
      <c r="W17" s="226"/>
      <c r="X17" s="226"/>
      <c r="Y17" s="226" t="s">
        <v>1004</v>
      </c>
      <c r="Z17" s="226"/>
      <c r="AA17" s="226"/>
      <c r="AB17" s="226" t="s">
        <v>1005</v>
      </c>
      <c r="AC17" s="226"/>
      <c r="AD17" s="226"/>
      <c r="AE17" s="226"/>
      <c r="AF17" s="226"/>
      <c r="AG17" s="226"/>
      <c r="AH17" s="226"/>
      <c r="AI17" s="227"/>
    </row>
    <row r="18" spans="2:35" ht="13.8" thickBot="1">
      <c r="B18" s="4"/>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190"/>
      <c r="AC18" s="190"/>
      <c r="AD18" s="190"/>
      <c r="AE18" s="190"/>
      <c r="AF18" s="190"/>
      <c r="AG18" s="190"/>
      <c r="AH18" s="190"/>
      <c r="AI18" s="198"/>
    </row>
    <row r="20" spans="2:35" ht="15" thickBot="1">
      <c r="B20" s="7" t="s">
        <v>995</v>
      </c>
    </row>
    <row r="21" spans="2:35">
      <c r="B21" s="14" t="s">
        <v>1069</v>
      </c>
      <c r="C21" s="226" t="s">
        <v>1070</v>
      </c>
      <c r="D21" s="226"/>
      <c r="E21" s="226"/>
      <c r="F21" s="226"/>
      <c r="G21" s="226"/>
      <c r="H21" s="226"/>
      <c r="I21" s="226"/>
      <c r="J21" s="226"/>
      <c r="K21" s="226"/>
      <c r="L21" s="226"/>
      <c r="M21" s="226" t="s">
        <v>1072</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4"/>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75">
    <mergeCell ref="C25:L25"/>
    <mergeCell ref="M25:T25"/>
    <mergeCell ref="U25:AC25"/>
    <mergeCell ref="AD25:AI25"/>
    <mergeCell ref="C26:L26"/>
    <mergeCell ref="M26:T26"/>
    <mergeCell ref="U26:AC26"/>
    <mergeCell ref="AD26:AI26"/>
    <mergeCell ref="C21:L21"/>
    <mergeCell ref="M21:T21"/>
    <mergeCell ref="U21:AC21"/>
    <mergeCell ref="AD21:AI21"/>
    <mergeCell ref="C22:L22"/>
    <mergeCell ref="M22:T22"/>
    <mergeCell ref="U22:AC22"/>
    <mergeCell ref="AD22:AI22"/>
    <mergeCell ref="V17:X17"/>
    <mergeCell ref="Y17:AA17"/>
    <mergeCell ref="AB17:AI17"/>
    <mergeCell ref="C18:K18"/>
    <mergeCell ref="L18:U18"/>
    <mergeCell ref="V18:X18"/>
    <mergeCell ref="Y18:AA18"/>
    <mergeCell ref="AB18:AI18"/>
    <mergeCell ref="I8:P8"/>
    <mergeCell ref="I2:N2"/>
    <mergeCell ref="I3:N3"/>
    <mergeCell ref="I4:N4"/>
    <mergeCell ref="C17:K17"/>
    <mergeCell ref="L17:U17"/>
    <mergeCell ref="B2:E4"/>
    <mergeCell ref="F2:H2"/>
    <mergeCell ref="F3:H3"/>
    <mergeCell ref="F4:H4"/>
    <mergeCell ref="C8:H8"/>
    <mergeCell ref="Q8:X8"/>
    <mergeCell ref="C10:H10"/>
    <mergeCell ref="C11:H11"/>
    <mergeCell ref="C12:H12"/>
    <mergeCell ref="C13:H13"/>
    <mergeCell ref="AA8:AB8"/>
    <mergeCell ref="AC8:AD8"/>
    <mergeCell ref="AE8:AK8"/>
    <mergeCell ref="AC9:AD9"/>
    <mergeCell ref="Q9:X9"/>
    <mergeCell ref="AA9:AB9"/>
    <mergeCell ref="AE9:AK9"/>
    <mergeCell ref="AC12:AD12"/>
    <mergeCell ref="AC13:AD13"/>
    <mergeCell ref="C9:H9"/>
    <mergeCell ref="Q10:X10"/>
    <mergeCell ref="Q11:X11"/>
    <mergeCell ref="Q12:X12"/>
    <mergeCell ref="Q13:X13"/>
    <mergeCell ref="I9:P9"/>
    <mergeCell ref="I10:P10"/>
    <mergeCell ref="I11:P11"/>
    <mergeCell ref="I12:P12"/>
    <mergeCell ref="I13:P13"/>
    <mergeCell ref="AE10:AK10"/>
    <mergeCell ref="AE11:AK11"/>
    <mergeCell ref="AE12:AK12"/>
    <mergeCell ref="AE13:AK13"/>
    <mergeCell ref="Y8:Z8"/>
    <mergeCell ref="Y9:Z9"/>
    <mergeCell ref="Y10:Z10"/>
    <mergeCell ref="Y11:Z11"/>
    <mergeCell ref="Y12:Z12"/>
    <mergeCell ref="Y13:Z13"/>
    <mergeCell ref="AA10:AB10"/>
    <mergeCell ref="AA11:AB11"/>
    <mergeCell ref="AA12:AB12"/>
    <mergeCell ref="AA13:AB13"/>
    <mergeCell ref="AC10:AD10"/>
    <mergeCell ref="AC11:AD11"/>
  </mergeCells>
  <phoneticPr fontId="3"/>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E9D5C-79FA-4BD4-B96E-49E88C2D6739}">
  <sheetPr codeName="Sheet40"/>
  <dimension ref="B1:AK23"/>
  <sheetViews>
    <sheetView workbookViewId="0">
      <selection activeCell="I9" sqref="I9:P9"/>
    </sheetView>
  </sheetViews>
  <sheetFormatPr defaultColWidth="3.6640625" defaultRowHeight="13.2"/>
  <sheetData>
    <row r="1" spans="2:37" ht="13.8" thickBot="1"/>
    <row r="2" spans="2:37">
      <c r="B2" s="205" t="s">
        <v>95</v>
      </c>
      <c r="C2" s="206"/>
      <c r="D2" s="206"/>
      <c r="E2" s="206"/>
      <c r="F2" s="211" t="s">
        <v>93</v>
      </c>
      <c r="G2" s="211"/>
      <c r="H2" s="212"/>
      <c r="I2" s="196" t="s">
        <v>558</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554</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548</v>
      </c>
      <c r="D9" s="189"/>
      <c r="E9" s="189"/>
      <c r="F9" s="189"/>
      <c r="G9" s="189"/>
      <c r="H9" s="189"/>
      <c r="I9" s="189" t="s">
        <v>1636</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555</v>
      </c>
      <c r="D10" s="190"/>
      <c r="E10" s="190"/>
      <c r="F10" s="190"/>
      <c r="G10" s="190"/>
      <c r="H10" s="190"/>
      <c r="I10" s="190" t="s">
        <v>556</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4">
        <v>1</v>
      </c>
      <c r="C15" s="190" t="s">
        <v>1076</v>
      </c>
      <c r="D15" s="190"/>
      <c r="E15" s="190"/>
      <c r="F15" s="190"/>
      <c r="G15" s="190"/>
      <c r="H15" s="190"/>
      <c r="I15" s="190"/>
      <c r="J15" s="190"/>
      <c r="K15" s="190"/>
      <c r="L15" s="190" t="s">
        <v>1077</v>
      </c>
      <c r="M15" s="190"/>
      <c r="N15" s="190"/>
      <c r="O15" s="190"/>
      <c r="P15" s="190"/>
      <c r="Q15" s="190"/>
      <c r="R15" s="190"/>
      <c r="S15" s="190"/>
      <c r="T15" s="190"/>
      <c r="U15" s="190"/>
      <c r="V15" s="190" t="s">
        <v>1022</v>
      </c>
      <c r="W15" s="190"/>
      <c r="X15" s="190"/>
      <c r="Y15" s="190" t="s">
        <v>1022</v>
      </c>
      <c r="Z15" s="190"/>
      <c r="AA15" s="190"/>
      <c r="AB15" s="190"/>
      <c r="AC15" s="190"/>
      <c r="AD15" s="190"/>
      <c r="AE15" s="190"/>
      <c r="AF15" s="190"/>
      <c r="AG15" s="190"/>
      <c r="AH15" s="190"/>
      <c r="AI15" s="198"/>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N2"/>
    <mergeCell ref="I3:N3"/>
    <mergeCell ref="I4:N4"/>
    <mergeCell ref="Q8:X8"/>
    <mergeCell ref="AA8:AB8"/>
    <mergeCell ref="Y10:Z10"/>
    <mergeCell ref="AA10:AB10"/>
    <mergeCell ref="AC10:AD10"/>
    <mergeCell ref="AE9:AK9"/>
    <mergeCell ref="AE10:AK10"/>
  </mergeCells>
  <phoneticPr fontId="3"/>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56D4F-CB29-4DB8-A9D1-C50D14363D38}">
  <sheetPr codeName="Sheet41"/>
  <dimension ref="B1:AK24"/>
  <sheetViews>
    <sheetView workbookViewId="0">
      <selection activeCell="A10" sqref="A10:XFD10"/>
    </sheetView>
  </sheetViews>
  <sheetFormatPr defaultColWidth="3.6640625" defaultRowHeight="13.2"/>
  <sheetData>
    <row r="1" spans="2:37" ht="13.8" thickBot="1"/>
    <row r="2" spans="2:37">
      <c r="B2" s="205" t="s">
        <v>95</v>
      </c>
      <c r="C2" s="206"/>
      <c r="D2" s="206"/>
      <c r="E2" s="206"/>
      <c r="F2" s="211" t="s">
        <v>93</v>
      </c>
      <c r="G2" s="211"/>
      <c r="H2" s="212"/>
      <c r="I2" s="196" t="s">
        <v>565</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559</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549</v>
      </c>
      <c r="D9" s="189"/>
      <c r="E9" s="189"/>
      <c r="F9" s="189"/>
      <c r="G9" s="189"/>
      <c r="H9" s="189"/>
      <c r="I9" s="189" t="s">
        <v>1635</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560</v>
      </c>
      <c r="D10" s="189"/>
      <c r="E10" s="189"/>
      <c r="F10" s="189"/>
      <c r="G10" s="189"/>
      <c r="H10" s="189"/>
      <c r="I10" s="189" t="s">
        <v>562</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4">
        <v>3</v>
      </c>
      <c r="C11" s="190" t="s">
        <v>561</v>
      </c>
      <c r="D11" s="190"/>
      <c r="E11" s="190"/>
      <c r="F11" s="190"/>
      <c r="G11" s="190"/>
      <c r="H11" s="190"/>
      <c r="I11" s="190" t="s">
        <v>563</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10" t="s">
        <v>7</v>
      </c>
      <c r="C15" s="226" t="s">
        <v>998</v>
      </c>
      <c r="D15" s="226"/>
      <c r="E15" s="226"/>
      <c r="F15" s="226"/>
      <c r="G15" s="226"/>
      <c r="H15" s="226"/>
      <c r="I15" s="226"/>
      <c r="J15" s="226"/>
      <c r="K15" s="226"/>
      <c r="L15" s="226" t="s">
        <v>1000</v>
      </c>
      <c r="M15" s="226"/>
      <c r="N15" s="226"/>
      <c r="O15" s="226"/>
      <c r="P15" s="226"/>
      <c r="Q15" s="226"/>
      <c r="R15" s="226"/>
      <c r="S15" s="226"/>
      <c r="T15" s="226"/>
      <c r="U15" s="226"/>
      <c r="V15" s="226" t="s">
        <v>1002</v>
      </c>
      <c r="W15" s="226"/>
      <c r="X15" s="226"/>
      <c r="Y15" s="226" t="s">
        <v>1004</v>
      </c>
      <c r="Z15" s="226"/>
      <c r="AA15" s="226"/>
      <c r="AB15" s="226" t="s">
        <v>1005</v>
      </c>
      <c r="AC15" s="226"/>
      <c r="AD15" s="226"/>
      <c r="AE15" s="226"/>
      <c r="AF15" s="226"/>
      <c r="AG15" s="226"/>
      <c r="AH15" s="226"/>
      <c r="AI15" s="227"/>
    </row>
    <row r="16" spans="2:37" ht="13.8" thickBot="1">
      <c r="B16" s="4">
        <v>1</v>
      </c>
      <c r="C16" s="190" t="s">
        <v>1078</v>
      </c>
      <c r="D16" s="190"/>
      <c r="E16" s="190"/>
      <c r="F16" s="190"/>
      <c r="G16" s="190"/>
      <c r="H16" s="190"/>
      <c r="I16" s="190"/>
      <c r="J16" s="190"/>
      <c r="K16" s="190"/>
      <c r="L16" s="190" t="s">
        <v>1079</v>
      </c>
      <c r="M16" s="190"/>
      <c r="N16" s="190"/>
      <c r="O16" s="190"/>
      <c r="P16" s="190"/>
      <c r="Q16" s="190"/>
      <c r="R16" s="190"/>
      <c r="S16" s="190"/>
      <c r="T16" s="190"/>
      <c r="U16" s="190"/>
      <c r="V16" s="190" t="s">
        <v>1022</v>
      </c>
      <c r="W16" s="190"/>
      <c r="X16" s="190"/>
      <c r="Y16" s="190" t="s">
        <v>1022</v>
      </c>
      <c r="Z16" s="190"/>
      <c r="AA16" s="190"/>
      <c r="AB16" s="190"/>
      <c r="AC16" s="190"/>
      <c r="AD16" s="190"/>
      <c r="AE16" s="190"/>
      <c r="AF16" s="190"/>
      <c r="AG16" s="190"/>
      <c r="AH16" s="190"/>
      <c r="AI16" s="198"/>
    </row>
    <row r="18" spans="2:35" ht="15" thickBot="1">
      <c r="B18" s="7" t="s">
        <v>995</v>
      </c>
    </row>
    <row r="19" spans="2:35">
      <c r="B19" s="14" t="s">
        <v>1069</v>
      </c>
      <c r="C19" s="226" t="s">
        <v>1070</v>
      </c>
      <c r="D19" s="226"/>
      <c r="E19" s="226"/>
      <c r="F19" s="226"/>
      <c r="G19" s="226"/>
      <c r="H19" s="226"/>
      <c r="I19" s="226"/>
      <c r="J19" s="226"/>
      <c r="K19" s="226"/>
      <c r="L19" s="226"/>
      <c r="M19" s="226" t="s">
        <v>1072</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4"/>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61">
    <mergeCell ref="C23:L23"/>
    <mergeCell ref="M23:T23"/>
    <mergeCell ref="U23:AC23"/>
    <mergeCell ref="AD23:AI23"/>
    <mergeCell ref="C24:L24"/>
    <mergeCell ref="M24:T24"/>
    <mergeCell ref="U24:AC24"/>
    <mergeCell ref="AD24:AI24"/>
    <mergeCell ref="C19:L19"/>
    <mergeCell ref="M19:T19"/>
    <mergeCell ref="U19:AC19"/>
    <mergeCell ref="AD19:AI19"/>
    <mergeCell ref="C20:L20"/>
    <mergeCell ref="M20:T20"/>
    <mergeCell ref="U20:AC20"/>
    <mergeCell ref="AD20:AI20"/>
    <mergeCell ref="C16:K16"/>
    <mergeCell ref="L16:U16"/>
    <mergeCell ref="V16:X16"/>
    <mergeCell ref="Y16:AA16"/>
    <mergeCell ref="AB16:AI16"/>
    <mergeCell ref="C15:K15"/>
    <mergeCell ref="L15:U15"/>
    <mergeCell ref="V15:X15"/>
    <mergeCell ref="Y15:AA15"/>
    <mergeCell ref="AB15:AI15"/>
    <mergeCell ref="Y10:Z10"/>
    <mergeCell ref="Y11:Z11"/>
    <mergeCell ref="B2:E4"/>
    <mergeCell ref="F2:H2"/>
    <mergeCell ref="F3:H3"/>
    <mergeCell ref="F4:H4"/>
    <mergeCell ref="C8:H8"/>
    <mergeCell ref="C10:H10"/>
    <mergeCell ref="C11:H11"/>
    <mergeCell ref="I10:P10"/>
    <mergeCell ref="I11:P11"/>
    <mergeCell ref="AC9:AD9"/>
    <mergeCell ref="Q9:X9"/>
    <mergeCell ref="AE9:AK9"/>
    <mergeCell ref="I8:P8"/>
    <mergeCell ref="C9:H9"/>
    <mergeCell ref="Y8:Z8"/>
    <mergeCell ref="Y9:Z9"/>
    <mergeCell ref="I9:P9"/>
    <mergeCell ref="AE10:AK10"/>
    <mergeCell ref="AE11:AK11"/>
    <mergeCell ref="I2:M2"/>
    <mergeCell ref="I3:M3"/>
    <mergeCell ref="I4:M4"/>
    <mergeCell ref="Q10:X10"/>
    <mergeCell ref="Q11:X11"/>
    <mergeCell ref="AA10:AB10"/>
    <mergeCell ref="AA11:AB11"/>
    <mergeCell ref="AC10:AD10"/>
    <mergeCell ref="AC11:AD11"/>
    <mergeCell ref="Q8:X8"/>
    <mergeCell ref="AA8:AB8"/>
    <mergeCell ref="AC8:AD8"/>
    <mergeCell ref="AE8:AK8"/>
    <mergeCell ref="AA9:AB9"/>
  </mergeCells>
  <phoneticPr fontId="3"/>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A1F65-98B3-45B2-B937-35700770CA0E}">
  <sheetPr codeName="Sheet42"/>
  <dimension ref="B1:AK40"/>
  <sheetViews>
    <sheetView workbookViewId="0">
      <selection activeCell="I15" sqref="I15:P15"/>
    </sheetView>
  </sheetViews>
  <sheetFormatPr defaultColWidth="3.6640625" defaultRowHeight="13.2"/>
  <sheetData>
    <row r="1" spans="2:37" ht="13.8" thickBot="1"/>
    <row r="2" spans="2:37">
      <c r="B2" s="205" t="s">
        <v>95</v>
      </c>
      <c r="C2" s="206"/>
      <c r="D2" s="206"/>
      <c r="E2" s="206"/>
      <c r="F2" s="211" t="s">
        <v>93</v>
      </c>
      <c r="G2" s="211"/>
      <c r="H2" s="212"/>
      <c r="I2" s="196" t="s">
        <v>586</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566</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567</v>
      </c>
      <c r="D9" s="189"/>
      <c r="E9" s="189"/>
      <c r="F9" s="189"/>
      <c r="G9" s="189"/>
      <c r="H9" s="189"/>
      <c r="I9" s="189" t="s">
        <v>577</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344</v>
      </c>
      <c r="D10" s="189"/>
      <c r="E10" s="189"/>
      <c r="F10" s="189"/>
      <c r="G10" s="189"/>
      <c r="H10" s="189"/>
      <c r="I10" s="189" t="s">
        <v>354</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568</v>
      </c>
      <c r="D11" s="189"/>
      <c r="E11" s="189"/>
      <c r="F11" s="189"/>
      <c r="G11" s="189"/>
      <c r="H11" s="189"/>
      <c r="I11" s="189" t="s">
        <v>578</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5</v>
      </c>
      <c r="C12" s="189" t="s">
        <v>569</v>
      </c>
      <c r="D12" s="189"/>
      <c r="E12" s="189"/>
      <c r="F12" s="189"/>
      <c r="G12" s="189"/>
      <c r="H12" s="189"/>
      <c r="I12" s="189" t="s">
        <v>580</v>
      </c>
      <c r="J12" s="189"/>
      <c r="K12" s="189"/>
      <c r="L12" s="189"/>
      <c r="M12" s="189"/>
      <c r="N12" s="189"/>
      <c r="O12" s="189"/>
      <c r="P12" s="189"/>
      <c r="Q12" s="189" t="s">
        <v>147</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6</v>
      </c>
      <c r="C13" s="189" t="s">
        <v>570</v>
      </c>
      <c r="D13" s="189"/>
      <c r="E13" s="189"/>
      <c r="F13" s="189"/>
      <c r="G13" s="189"/>
      <c r="H13" s="189"/>
      <c r="I13" s="189" t="s">
        <v>384</v>
      </c>
      <c r="J13" s="189"/>
      <c r="K13" s="189"/>
      <c r="L13" s="189"/>
      <c r="M13" s="189"/>
      <c r="N13" s="189"/>
      <c r="O13" s="189"/>
      <c r="P13" s="189"/>
      <c r="Q13" s="189" t="s">
        <v>146</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7</v>
      </c>
      <c r="C14" s="189" t="s">
        <v>571</v>
      </c>
      <c r="D14" s="189"/>
      <c r="E14" s="189"/>
      <c r="F14" s="189"/>
      <c r="G14" s="189"/>
      <c r="H14" s="189"/>
      <c r="I14" s="189" t="s">
        <v>239</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8</v>
      </c>
      <c r="C15" s="189" t="s">
        <v>572</v>
      </c>
      <c r="D15" s="189"/>
      <c r="E15" s="189"/>
      <c r="F15" s="189"/>
      <c r="G15" s="189"/>
      <c r="H15" s="189"/>
      <c r="I15" s="189" t="s">
        <v>425</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9</v>
      </c>
      <c r="C16" s="189" t="s">
        <v>1664</v>
      </c>
      <c r="D16" s="189"/>
      <c r="E16" s="189"/>
      <c r="F16" s="189"/>
      <c r="G16" s="189"/>
      <c r="H16" s="189"/>
      <c r="I16" s="189" t="s">
        <v>581</v>
      </c>
      <c r="J16" s="189"/>
      <c r="K16" s="189"/>
      <c r="L16" s="189"/>
      <c r="M16" s="189"/>
      <c r="N16" s="189"/>
      <c r="O16" s="189"/>
      <c r="P16" s="189"/>
      <c r="Q16" s="189" t="s">
        <v>146</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3">
        <v>10</v>
      </c>
      <c r="C17" s="189" t="s">
        <v>549</v>
      </c>
      <c r="D17" s="189"/>
      <c r="E17" s="189"/>
      <c r="F17" s="189"/>
      <c r="G17" s="189"/>
      <c r="H17" s="189"/>
      <c r="I17" s="189" t="s">
        <v>134</v>
      </c>
      <c r="J17" s="189"/>
      <c r="K17" s="189"/>
      <c r="L17" s="189"/>
      <c r="M17" s="189"/>
      <c r="N17" s="189"/>
      <c r="O17" s="189"/>
      <c r="P17" s="189"/>
      <c r="Q17" s="189" t="s">
        <v>146</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3">
        <v>11</v>
      </c>
      <c r="C18" s="189" t="s">
        <v>548</v>
      </c>
      <c r="D18" s="189"/>
      <c r="E18" s="189"/>
      <c r="F18" s="189"/>
      <c r="G18" s="189"/>
      <c r="H18" s="189"/>
      <c r="I18" s="189" t="s">
        <v>133</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3">
        <v>12</v>
      </c>
      <c r="C19" s="189" t="s">
        <v>550</v>
      </c>
      <c r="D19" s="189"/>
      <c r="E19" s="189"/>
      <c r="F19" s="189"/>
      <c r="G19" s="189"/>
      <c r="H19" s="189"/>
      <c r="I19" s="189" t="s">
        <v>135</v>
      </c>
      <c r="J19" s="189"/>
      <c r="K19" s="189"/>
      <c r="L19" s="189"/>
      <c r="M19" s="189"/>
      <c r="N19" s="189"/>
      <c r="O19" s="189"/>
      <c r="P19" s="189"/>
      <c r="Q19" s="189" t="s">
        <v>391</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3">
        <v>13</v>
      </c>
      <c r="C20" s="189" t="s">
        <v>573</v>
      </c>
      <c r="D20" s="189"/>
      <c r="E20" s="189"/>
      <c r="F20" s="189"/>
      <c r="G20" s="189"/>
      <c r="H20" s="189"/>
      <c r="I20" s="189" t="s">
        <v>582</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3">
        <v>15</v>
      </c>
      <c r="C21" s="189" t="s">
        <v>574</v>
      </c>
      <c r="D21" s="189"/>
      <c r="E21" s="189"/>
      <c r="F21" s="189"/>
      <c r="G21" s="189"/>
      <c r="H21" s="189"/>
      <c r="I21" s="189" t="s">
        <v>583</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64">
        <v>18</v>
      </c>
      <c r="C22" s="189" t="s">
        <v>576</v>
      </c>
      <c r="D22" s="189"/>
      <c r="E22" s="189"/>
      <c r="F22" s="189"/>
      <c r="G22" s="189"/>
      <c r="H22" s="189"/>
      <c r="I22" s="189" t="s">
        <v>364</v>
      </c>
      <c r="J22" s="189"/>
      <c r="K22" s="189"/>
      <c r="L22" s="189"/>
      <c r="M22" s="189"/>
      <c r="N22" s="189"/>
      <c r="O22" s="189"/>
      <c r="P22" s="189"/>
      <c r="Q22" s="189" t="s">
        <v>146</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64">
        <v>19</v>
      </c>
      <c r="C23" s="189" t="s">
        <v>252</v>
      </c>
      <c r="D23" s="189"/>
      <c r="E23" s="189"/>
      <c r="F23" s="189"/>
      <c r="G23" s="189"/>
      <c r="H23" s="189"/>
      <c r="I23" s="189" t="s">
        <v>132</v>
      </c>
      <c r="J23" s="189"/>
      <c r="K23" s="189"/>
      <c r="L23" s="189"/>
      <c r="M23" s="189"/>
      <c r="N23" s="189"/>
      <c r="O23" s="189"/>
      <c r="P23" s="189"/>
      <c r="Q23" s="189" t="s">
        <v>143</v>
      </c>
      <c r="R23" s="189"/>
      <c r="S23" s="189"/>
      <c r="T23" s="189"/>
      <c r="U23" s="189"/>
      <c r="V23" s="189"/>
      <c r="W23" s="189"/>
      <c r="X23" s="189"/>
      <c r="Y23" s="189"/>
      <c r="Z23" s="189"/>
      <c r="AA23" s="189"/>
      <c r="AB23" s="189"/>
      <c r="AC23" s="189"/>
      <c r="AD23" s="189"/>
      <c r="AE23" s="189"/>
      <c r="AF23" s="189"/>
      <c r="AG23" s="189"/>
      <c r="AH23" s="189"/>
      <c r="AI23" s="189"/>
      <c r="AJ23" s="189"/>
      <c r="AK23" s="191"/>
    </row>
    <row r="24" spans="2:37" ht="13.8" thickBot="1">
      <c r="B24" s="4">
        <v>20</v>
      </c>
      <c r="C24" s="190" t="s">
        <v>350</v>
      </c>
      <c r="D24" s="190"/>
      <c r="E24" s="190"/>
      <c r="F24" s="190"/>
      <c r="G24" s="190"/>
      <c r="H24" s="190"/>
      <c r="I24" s="190" t="s">
        <v>138</v>
      </c>
      <c r="J24" s="190"/>
      <c r="K24" s="190"/>
      <c r="L24" s="190"/>
      <c r="M24" s="190"/>
      <c r="N24" s="190"/>
      <c r="O24" s="190"/>
      <c r="P24" s="190"/>
      <c r="Q24" s="190" t="s">
        <v>221</v>
      </c>
      <c r="R24" s="190"/>
      <c r="S24" s="190"/>
      <c r="T24" s="190"/>
      <c r="U24" s="190"/>
      <c r="V24" s="190"/>
      <c r="W24" s="190"/>
      <c r="X24" s="190"/>
      <c r="Y24" s="190"/>
      <c r="Z24" s="190"/>
      <c r="AA24" s="190"/>
      <c r="AB24" s="190"/>
      <c r="AC24" s="190"/>
      <c r="AD24" s="190"/>
      <c r="AE24" s="190"/>
      <c r="AF24" s="190"/>
      <c r="AG24" s="190"/>
      <c r="AH24" s="190"/>
      <c r="AI24" s="190"/>
      <c r="AJ24" s="190"/>
      <c r="AK24" s="198"/>
    </row>
    <row r="27" spans="2:37" ht="15" thickBot="1">
      <c r="B27" s="7" t="s">
        <v>994</v>
      </c>
    </row>
    <row r="28" spans="2:37" ht="13.8" thickBot="1">
      <c r="B28" s="10" t="s">
        <v>7</v>
      </c>
      <c r="C28" s="226" t="s">
        <v>998</v>
      </c>
      <c r="D28" s="226"/>
      <c r="E28" s="226"/>
      <c r="F28" s="226"/>
      <c r="G28" s="226"/>
      <c r="H28" s="226"/>
      <c r="I28" s="226"/>
      <c r="J28" s="226"/>
      <c r="K28" s="226"/>
      <c r="L28" s="226" t="s">
        <v>1000</v>
      </c>
      <c r="M28" s="226"/>
      <c r="N28" s="226"/>
      <c r="O28" s="226"/>
      <c r="P28" s="226"/>
      <c r="Q28" s="226"/>
      <c r="R28" s="226"/>
      <c r="S28" s="226"/>
      <c r="T28" s="226"/>
      <c r="U28" s="226"/>
      <c r="V28" s="226" t="s">
        <v>1002</v>
      </c>
      <c r="W28" s="226"/>
      <c r="X28" s="226"/>
      <c r="Y28" s="226" t="s">
        <v>1004</v>
      </c>
      <c r="Z28" s="226"/>
      <c r="AA28" s="226"/>
      <c r="AB28" s="226" t="s">
        <v>1005</v>
      </c>
      <c r="AC28" s="226"/>
      <c r="AD28" s="226"/>
      <c r="AE28" s="226"/>
      <c r="AF28" s="226"/>
      <c r="AG28" s="226"/>
      <c r="AH28" s="226"/>
      <c r="AI28" s="227"/>
    </row>
    <row r="29" spans="2:37">
      <c r="B29" s="264">
        <v>1</v>
      </c>
      <c r="C29" s="236" t="s">
        <v>1080</v>
      </c>
      <c r="D29" s="236"/>
      <c r="E29" s="236"/>
      <c r="F29" s="236"/>
      <c r="G29" s="236"/>
      <c r="H29" s="236"/>
      <c r="I29" s="236"/>
      <c r="J29" s="236"/>
      <c r="K29" s="236"/>
      <c r="L29" s="263" t="s">
        <v>1083</v>
      </c>
      <c r="M29" s="263"/>
      <c r="N29" s="263"/>
      <c r="O29" s="263"/>
      <c r="P29" s="263"/>
      <c r="Q29" s="263"/>
      <c r="R29" s="263"/>
      <c r="S29" s="263"/>
      <c r="T29" s="263"/>
      <c r="U29" s="263"/>
      <c r="V29" s="236" t="s">
        <v>1022</v>
      </c>
      <c r="W29" s="236"/>
      <c r="X29" s="236"/>
      <c r="Y29" s="236" t="s">
        <v>1022</v>
      </c>
      <c r="Z29" s="236"/>
      <c r="AA29" s="236"/>
      <c r="AB29" s="236"/>
      <c r="AC29" s="236"/>
      <c r="AD29" s="236"/>
      <c r="AE29" s="236"/>
      <c r="AF29" s="236"/>
      <c r="AG29" s="236"/>
      <c r="AH29" s="236"/>
      <c r="AI29" s="237"/>
    </row>
    <row r="30" spans="2:37">
      <c r="B30" s="261"/>
      <c r="C30" s="265"/>
      <c r="D30" s="265"/>
      <c r="E30" s="265"/>
      <c r="F30" s="265"/>
      <c r="G30" s="265"/>
      <c r="H30" s="265"/>
      <c r="I30" s="265"/>
      <c r="J30" s="265"/>
      <c r="K30" s="265"/>
      <c r="L30" s="245" t="s">
        <v>1041</v>
      </c>
      <c r="M30" s="245"/>
      <c r="N30" s="245"/>
      <c r="O30" s="245"/>
      <c r="P30" s="245"/>
      <c r="Q30" s="245"/>
      <c r="R30" s="245"/>
      <c r="S30" s="245"/>
      <c r="T30" s="245"/>
      <c r="U30" s="245"/>
      <c r="V30" s="230"/>
      <c r="W30" s="230"/>
      <c r="X30" s="230"/>
      <c r="Y30" s="230"/>
      <c r="Z30" s="230"/>
      <c r="AA30" s="230"/>
      <c r="AB30" s="230"/>
      <c r="AC30" s="230"/>
      <c r="AD30" s="230"/>
      <c r="AE30" s="230"/>
      <c r="AF30" s="230"/>
      <c r="AG30" s="230"/>
      <c r="AH30" s="230"/>
      <c r="AI30" s="233"/>
    </row>
    <row r="31" spans="2:37">
      <c r="B31" s="3">
        <v>2</v>
      </c>
      <c r="C31" s="189" t="s">
        <v>1081</v>
      </c>
      <c r="D31" s="189"/>
      <c r="E31" s="189"/>
      <c r="F31" s="189"/>
      <c r="G31" s="189"/>
      <c r="H31" s="189"/>
      <c r="I31" s="189"/>
      <c r="J31" s="189"/>
      <c r="K31" s="189"/>
      <c r="L31" s="189" t="s">
        <v>1084</v>
      </c>
      <c r="M31" s="189"/>
      <c r="N31" s="189"/>
      <c r="O31" s="189"/>
      <c r="P31" s="189"/>
      <c r="Q31" s="189"/>
      <c r="R31" s="189"/>
      <c r="S31" s="189"/>
      <c r="T31" s="189"/>
      <c r="U31" s="189"/>
      <c r="V31" s="189"/>
      <c r="W31" s="189"/>
      <c r="X31" s="189"/>
      <c r="Y31" s="189"/>
      <c r="Z31" s="189"/>
      <c r="AA31" s="189"/>
      <c r="AB31" s="189"/>
      <c r="AC31" s="189"/>
      <c r="AD31" s="189"/>
      <c r="AE31" s="189"/>
      <c r="AF31" s="189"/>
      <c r="AG31" s="189"/>
      <c r="AH31" s="189"/>
      <c r="AI31" s="191"/>
    </row>
    <row r="32" spans="2:37" ht="13.8" thickBot="1">
      <c r="B32" s="4">
        <v>3</v>
      </c>
      <c r="C32" s="190" t="s">
        <v>1082</v>
      </c>
      <c r="D32" s="190"/>
      <c r="E32" s="190"/>
      <c r="F32" s="190"/>
      <c r="G32" s="190"/>
      <c r="H32" s="190"/>
      <c r="I32" s="190"/>
      <c r="J32" s="190"/>
      <c r="K32" s="190"/>
      <c r="L32" s="190" t="s">
        <v>1085</v>
      </c>
      <c r="M32" s="190"/>
      <c r="N32" s="190"/>
      <c r="O32" s="190"/>
      <c r="P32" s="190"/>
      <c r="Q32" s="190"/>
      <c r="R32" s="190"/>
      <c r="S32" s="190"/>
      <c r="T32" s="190"/>
      <c r="U32" s="190"/>
      <c r="V32" s="190"/>
      <c r="W32" s="190"/>
      <c r="X32" s="190"/>
      <c r="Y32" s="190"/>
      <c r="Z32" s="190"/>
      <c r="AA32" s="190"/>
      <c r="AB32" s="190"/>
      <c r="AC32" s="190"/>
      <c r="AD32" s="190"/>
      <c r="AE32" s="190"/>
      <c r="AF32" s="190"/>
      <c r="AG32" s="190"/>
      <c r="AH32" s="190"/>
      <c r="AI32" s="198"/>
    </row>
    <row r="34" spans="2:35" ht="15" thickBot="1">
      <c r="B34" s="7" t="s">
        <v>995</v>
      </c>
    </row>
    <row r="35" spans="2:35">
      <c r="B35" s="14" t="s">
        <v>1069</v>
      </c>
      <c r="C35" s="226" t="s">
        <v>1070</v>
      </c>
      <c r="D35" s="226"/>
      <c r="E35" s="226"/>
      <c r="F35" s="226"/>
      <c r="G35" s="226"/>
      <c r="H35" s="226"/>
      <c r="I35" s="226"/>
      <c r="J35" s="226"/>
      <c r="K35" s="226"/>
      <c r="L35" s="226"/>
      <c r="M35" s="226" t="s">
        <v>1072</v>
      </c>
      <c r="N35" s="226"/>
      <c r="O35" s="226"/>
      <c r="P35" s="226"/>
      <c r="Q35" s="226"/>
      <c r="R35" s="226"/>
      <c r="S35" s="226"/>
      <c r="T35" s="226"/>
      <c r="U35" s="226" t="s">
        <v>1154</v>
      </c>
      <c r="V35" s="226"/>
      <c r="W35" s="226"/>
      <c r="X35" s="226"/>
      <c r="Y35" s="226"/>
      <c r="Z35" s="226"/>
      <c r="AA35" s="226"/>
      <c r="AB35" s="226"/>
      <c r="AC35" s="226"/>
      <c r="AD35" s="226" t="s">
        <v>1155</v>
      </c>
      <c r="AE35" s="226"/>
      <c r="AF35" s="226"/>
      <c r="AG35" s="226"/>
      <c r="AH35" s="226"/>
      <c r="AI35" s="227"/>
    </row>
    <row r="36" spans="2:35" ht="13.8" thickBot="1">
      <c r="B36" s="4"/>
      <c r="C36" s="190"/>
      <c r="D36" s="190"/>
      <c r="E36" s="190"/>
      <c r="F36" s="190"/>
      <c r="G36" s="190"/>
      <c r="H36" s="190"/>
      <c r="I36" s="190"/>
      <c r="J36" s="190"/>
      <c r="K36" s="190"/>
      <c r="L36" s="190"/>
      <c r="M36" s="190"/>
      <c r="N36" s="190"/>
      <c r="O36" s="190"/>
      <c r="P36" s="190"/>
      <c r="Q36" s="190"/>
      <c r="R36" s="190"/>
      <c r="S36" s="190"/>
      <c r="T36" s="190"/>
      <c r="U36" s="190"/>
      <c r="V36" s="190"/>
      <c r="W36" s="190"/>
      <c r="X36" s="190"/>
      <c r="Y36" s="190"/>
      <c r="Z36" s="190"/>
      <c r="AA36" s="190"/>
      <c r="AB36" s="190"/>
      <c r="AC36" s="190"/>
      <c r="AD36" s="190"/>
      <c r="AE36" s="190"/>
      <c r="AF36" s="190"/>
      <c r="AG36" s="190"/>
      <c r="AH36" s="190"/>
      <c r="AI36" s="198"/>
    </row>
    <row r="38" spans="2:35" ht="15" thickBot="1">
      <c r="B38" s="7" t="s">
        <v>996</v>
      </c>
    </row>
    <row r="39" spans="2:35">
      <c r="B39" s="14" t="s">
        <v>1069</v>
      </c>
      <c r="C39" s="226" t="s">
        <v>1070</v>
      </c>
      <c r="D39" s="226"/>
      <c r="E39" s="226"/>
      <c r="F39" s="226"/>
      <c r="G39" s="226"/>
      <c r="H39" s="226"/>
      <c r="I39" s="226"/>
      <c r="J39" s="226"/>
      <c r="K39" s="226"/>
      <c r="L39" s="226"/>
      <c r="M39" s="226" t="s">
        <v>1072</v>
      </c>
      <c r="N39" s="226"/>
      <c r="O39" s="226"/>
      <c r="P39" s="226"/>
      <c r="Q39" s="226"/>
      <c r="R39" s="226"/>
      <c r="S39" s="226"/>
      <c r="T39" s="226"/>
      <c r="U39" s="226" t="s">
        <v>1154</v>
      </c>
      <c r="V39" s="226"/>
      <c r="W39" s="226"/>
      <c r="X39" s="226"/>
      <c r="Y39" s="226"/>
      <c r="Z39" s="226"/>
      <c r="AA39" s="226"/>
      <c r="AB39" s="226"/>
      <c r="AC39" s="226"/>
      <c r="AD39" s="226" t="s">
        <v>1155</v>
      </c>
      <c r="AE39" s="226"/>
      <c r="AF39" s="226"/>
      <c r="AG39" s="226"/>
      <c r="AH39" s="226"/>
      <c r="AI39" s="227"/>
    </row>
    <row r="40" spans="2:35" ht="13.8" thickBot="1">
      <c r="B40" s="4"/>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8"/>
    </row>
  </sheetData>
  <mergeCells count="164">
    <mergeCell ref="C40:L40"/>
    <mergeCell ref="M40:T40"/>
    <mergeCell ref="U40:AC40"/>
    <mergeCell ref="AD40:AI40"/>
    <mergeCell ref="C35:L35"/>
    <mergeCell ref="M35:T35"/>
    <mergeCell ref="U35:AC35"/>
    <mergeCell ref="AD35:AI35"/>
    <mergeCell ref="C36:L36"/>
    <mergeCell ref="M36:T36"/>
    <mergeCell ref="U36:AC36"/>
    <mergeCell ref="AD36:AI36"/>
    <mergeCell ref="C39:L39"/>
    <mergeCell ref="M39:T39"/>
    <mergeCell ref="U39:AC39"/>
    <mergeCell ref="AD39:AI39"/>
    <mergeCell ref="C32:K32"/>
    <mergeCell ref="L32:U32"/>
    <mergeCell ref="V32:X32"/>
    <mergeCell ref="Y32:AA32"/>
    <mergeCell ref="AB32:AI32"/>
    <mergeCell ref="B29:B30"/>
    <mergeCell ref="C29:K30"/>
    <mergeCell ref="V29:X30"/>
    <mergeCell ref="Y29:AA30"/>
    <mergeCell ref="AB29:AI30"/>
    <mergeCell ref="L30:U30"/>
    <mergeCell ref="C31:K31"/>
    <mergeCell ref="L31:U31"/>
    <mergeCell ref="V31:X31"/>
    <mergeCell ref="Y31:AA31"/>
    <mergeCell ref="AB31:AI31"/>
    <mergeCell ref="C28:K28"/>
    <mergeCell ref="L28:U28"/>
    <mergeCell ref="V28:X28"/>
    <mergeCell ref="Y28:AA28"/>
    <mergeCell ref="AB28:AI28"/>
    <mergeCell ref="L29:U29"/>
    <mergeCell ref="AE8:AK8"/>
    <mergeCell ref="AA9:AB9"/>
    <mergeCell ref="AC9:AD9"/>
    <mergeCell ref="AE9:AK9"/>
    <mergeCell ref="C11:H11"/>
    <mergeCell ref="AA11:AB11"/>
    <mergeCell ref="C22:H22"/>
    <mergeCell ref="C23:H23"/>
    <mergeCell ref="C24:H24"/>
    <mergeCell ref="I11:P11"/>
    <mergeCell ref="I12:P12"/>
    <mergeCell ref="I13:P13"/>
    <mergeCell ref="C18:H18"/>
    <mergeCell ref="C19:H19"/>
    <mergeCell ref="C20:H20"/>
    <mergeCell ref="C21:H21"/>
    <mergeCell ref="C12:H12"/>
    <mergeCell ref="AA10:AB10"/>
    <mergeCell ref="C9:H9"/>
    <mergeCell ref="C10:H10"/>
    <mergeCell ref="Q8:X8"/>
    <mergeCell ref="AA8:AB8"/>
    <mergeCell ref="AC8:AD8"/>
    <mergeCell ref="I9:P9"/>
    <mergeCell ref="I10:P10"/>
    <mergeCell ref="Y8:Z8"/>
    <mergeCell ref="Y9:Z9"/>
    <mergeCell ref="Y10:Z10"/>
    <mergeCell ref="Q9:X9"/>
    <mergeCell ref="Q10:X10"/>
    <mergeCell ref="B2:E4"/>
    <mergeCell ref="F2:H2"/>
    <mergeCell ref="F3:H3"/>
    <mergeCell ref="F4:H4"/>
    <mergeCell ref="C8:H8"/>
    <mergeCell ref="I8:P8"/>
    <mergeCell ref="I2:L2"/>
    <mergeCell ref="I3:L3"/>
    <mergeCell ref="I4:L4"/>
    <mergeCell ref="C13:H13"/>
    <mergeCell ref="C14:H14"/>
    <mergeCell ref="C15:H15"/>
    <mergeCell ref="C16:H16"/>
    <mergeCell ref="C17:H17"/>
    <mergeCell ref="Q11:X11"/>
    <mergeCell ref="Q12:X12"/>
    <mergeCell ref="Q13:X13"/>
    <mergeCell ref="Q14:X14"/>
    <mergeCell ref="Q15:X15"/>
    <mergeCell ref="I14:P14"/>
    <mergeCell ref="I15:P15"/>
    <mergeCell ref="Q24:X24"/>
    <mergeCell ref="Q16:X16"/>
    <mergeCell ref="Q17:X17"/>
    <mergeCell ref="Q18:X18"/>
    <mergeCell ref="Q19:X19"/>
    <mergeCell ref="Q20:X20"/>
    <mergeCell ref="I23:P23"/>
    <mergeCell ref="I24:P24"/>
    <mergeCell ref="I21:P21"/>
    <mergeCell ref="I22:P22"/>
    <mergeCell ref="Q21:X21"/>
    <mergeCell ref="I20:P20"/>
    <mergeCell ref="I16:P16"/>
    <mergeCell ref="I17:P17"/>
    <mergeCell ref="I18:P18"/>
    <mergeCell ref="I19:P19"/>
    <mergeCell ref="Q22:X22"/>
    <mergeCell ref="Q23:X23"/>
    <mergeCell ref="AA23:AB23"/>
    <mergeCell ref="AA24:AB24"/>
    <mergeCell ref="AC11:AD11"/>
    <mergeCell ref="AC12:AD12"/>
    <mergeCell ref="AC13:AD13"/>
    <mergeCell ref="AC14:AD14"/>
    <mergeCell ref="AC15:AD15"/>
    <mergeCell ref="AA18:AB18"/>
    <mergeCell ref="AA19:AB19"/>
    <mergeCell ref="AA20:AB20"/>
    <mergeCell ref="AA21:AB21"/>
    <mergeCell ref="AA12:AB12"/>
    <mergeCell ref="AA13:AB13"/>
    <mergeCell ref="AA14:AB14"/>
    <mergeCell ref="AA15:AB15"/>
    <mergeCell ref="AA16:AB16"/>
    <mergeCell ref="AA17:AB17"/>
    <mergeCell ref="AC22:AD22"/>
    <mergeCell ref="AC23:AD23"/>
    <mergeCell ref="AC24:AD24"/>
    <mergeCell ref="AC16:AD16"/>
    <mergeCell ref="AC17:AD17"/>
    <mergeCell ref="AC18:AD18"/>
    <mergeCell ref="AE24:AK24"/>
    <mergeCell ref="AE21:AK21"/>
    <mergeCell ref="AE22:AK22"/>
    <mergeCell ref="AE23:AK23"/>
    <mergeCell ref="AC21:AD21"/>
    <mergeCell ref="AE15:AK15"/>
    <mergeCell ref="AE16:AK16"/>
    <mergeCell ref="AE17:AK17"/>
    <mergeCell ref="AE18:AK18"/>
    <mergeCell ref="AE19:AK19"/>
    <mergeCell ref="AE20:AK20"/>
    <mergeCell ref="AE10:AK10"/>
    <mergeCell ref="AE11:AK11"/>
    <mergeCell ref="AE12:AK12"/>
    <mergeCell ref="AE13:AK13"/>
    <mergeCell ref="AE14:AK14"/>
    <mergeCell ref="Y19:Z19"/>
    <mergeCell ref="Y20:Z20"/>
    <mergeCell ref="Y21:Z21"/>
    <mergeCell ref="Y22:Z22"/>
    <mergeCell ref="AC19:AD19"/>
    <mergeCell ref="AC20:AD20"/>
    <mergeCell ref="AA22:AB22"/>
    <mergeCell ref="AC10:AD10"/>
    <mergeCell ref="Y23:Z23"/>
    <mergeCell ref="Y24:Z24"/>
    <mergeCell ref="Y11:Z11"/>
    <mergeCell ref="Y12:Z12"/>
    <mergeCell ref="Y13:Z13"/>
    <mergeCell ref="Y14:Z14"/>
    <mergeCell ref="Y15:Z15"/>
    <mergeCell ref="Y16:Z16"/>
    <mergeCell ref="Y17:Z17"/>
    <mergeCell ref="Y18:Z18"/>
  </mergeCells>
  <phoneticPr fontId="3"/>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ED25A-7432-4B89-B1D7-26FC966CAD37}">
  <sheetPr codeName="Sheet43"/>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592</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587</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588</v>
      </c>
      <c r="D9" s="189"/>
      <c r="E9" s="189"/>
      <c r="F9" s="189"/>
      <c r="G9" s="189"/>
      <c r="H9" s="189"/>
      <c r="I9" s="189" t="s">
        <v>581</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589</v>
      </c>
      <c r="D10" s="190"/>
      <c r="E10" s="190"/>
      <c r="F10" s="190"/>
      <c r="G10" s="190"/>
      <c r="H10" s="190"/>
      <c r="I10" s="190" t="s">
        <v>590</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4">
        <v>1</v>
      </c>
      <c r="C15" s="190" t="s">
        <v>1086</v>
      </c>
      <c r="D15" s="190"/>
      <c r="E15" s="190"/>
      <c r="F15" s="190"/>
      <c r="G15" s="190"/>
      <c r="H15" s="190"/>
      <c r="I15" s="190"/>
      <c r="J15" s="190"/>
      <c r="K15" s="190"/>
      <c r="L15" s="190" t="s">
        <v>1084</v>
      </c>
      <c r="M15" s="190"/>
      <c r="N15" s="190"/>
      <c r="O15" s="190"/>
      <c r="P15" s="190"/>
      <c r="Q15" s="190"/>
      <c r="R15" s="190"/>
      <c r="S15" s="190"/>
      <c r="T15" s="190"/>
      <c r="U15" s="190"/>
      <c r="V15" s="190" t="s">
        <v>1022</v>
      </c>
      <c r="W15" s="190"/>
      <c r="X15" s="190"/>
      <c r="Y15" s="190" t="s">
        <v>1022</v>
      </c>
      <c r="Z15" s="190"/>
      <c r="AA15" s="190"/>
      <c r="AB15" s="190"/>
      <c r="AC15" s="190"/>
      <c r="AD15" s="190"/>
      <c r="AE15" s="190"/>
      <c r="AF15" s="190"/>
      <c r="AG15" s="190"/>
      <c r="AH15" s="190"/>
      <c r="AI15" s="198"/>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84839-FE60-4938-9FA0-5103BAE313BC}">
  <sheetPr codeName="Sheet44"/>
  <dimension ref="B1:AK23"/>
  <sheetViews>
    <sheetView workbookViewId="0"/>
  </sheetViews>
  <sheetFormatPr defaultColWidth="3.6640625" defaultRowHeight="13.2"/>
  <sheetData>
    <row r="1" spans="2:37" ht="13.8" thickBot="1"/>
    <row r="2" spans="2:37">
      <c r="B2" s="205" t="s">
        <v>95</v>
      </c>
      <c r="C2" s="206"/>
      <c r="D2" s="206"/>
      <c r="E2" s="206"/>
      <c r="F2" s="211" t="s">
        <v>93</v>
      </c>
      <c r="G2" s="211"/>
      <c r="H2" s="212"/>
      <c r="I2" s="196" t="s">
        <v>596</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593</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275</v>
      </c>
      <c r="D9" s="189"/>
      <c r="E9" s="189"/>
      <c r="F9" s="189"/>
      <c r="G9" s="189"/>
      <c r="H9" s="189"/>
      <c r="I9" s="189" t="s">
        <v>290</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594</v>
      </c>
      <c r="D10" s="190"/>
      <c r="E10" s="190"/>
      <c r="F10" s="190"/>
      <c r="G10" s="190"/>
      <c r="H10" s="190"/>
      <c r="I10" s="190" t="s">
        <v>595</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4">
        <v>1</v>
      </c>
      <c r="C15" s="190" t="s">
        <v>1087</v>
      </c>
      <c r="D15" s="190"/>
      <c r="E15" s="190"/>
      <c r="F15" s="190"/>
      <c r="G15" s="190"/>
      <c r="H15" s="190"/>
      <c r="I15" s="190"/>
      <c r="J15" s="190"/>
      <c r="K15" s="190"/>
      <c r="L15" s="190" t="s">
        <v>1088</v>
      </c>
      <c r="M15" s="190"/>
      <c r="N15" s="190"/>
      <c r="O15" s="190"/>
      <c r="P15" s="190"/>
      <c r="Q15" s="190"/>
      <c r="R15" s="190"/>
      <c r="S15" s="190"/>
      <c r="T15" s="190"/>
      <c r="U15" s="190"/>
      <c r="V15" s="190" t="s">
        <v>1022</v>
      </c>
      <c r="W15" s="190"/>
      <c r="X15" s="190"/>
      <c r="Y15" s="190" t="s">
        <v>1022</v>
      </c>
      <c r="Z15" s="190"/>
      <c r="AA15" s="190"/>
      <c r="AB15" s="190"/>
      <c r="AC15" s="190"/>
      <c r="AD15" s="190"/>
      <c r="AE15" s="190"/>
      <c r="AF15" s="190"/>
      <c r="AG15" s="190"/>
      <c r="AH15" s="190"/>
      <c r="AI15" s="198"/>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2F844-289F-4730-8EF7-2E1E23990728}">
  <sheetPr codeName="Sheet45"/>
  <dimension ref="B1:AK23"/>
  <sheetViews>
    <sheetView workbookViewId="0"/>
  </sheetViews>
  <sheetFormatPr defaultColWidth="3.6640625" defaultRowHeight="13.2"/>
  <sheetData>
    <row r="1" spans="2:37" ht="13.8" thickBot="1"/>
    <row r="2" spans="2:37">
      <c r="B2" s="205" t="s">
        <v>95</v>
      </c>
      <c r="C2" s="206"/>
      <c r="D2" s="206"/>
      <c r="E2" s="206"/>
      <c r="F2" s="211" t="s">
        <v>93</v>
      </c>
      <c r="G2" s="211"/>
      <c r="H2" s="212"/>
      <c r="I2" s="196" t="s">
        <v>601</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597</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1638</v>
      </c>
      <c r="Z8" s="203"/>
      <c r="AA8" s="202" t="s">
        <v>1179</v>
      </c>
      <c r="AB8" s="203"/>
      <c r="AC8" s="201" t="s">
        <v>150</v>
      </c>
      <c r="AD8" s="201"/>
      <c r="AE8" s="201" t="s">
        <v>152</v>
      </c>
      <c r="AF8" s="201"/>
      <c r="AG8" s="201"/>
      <c r="AH8" s="201"/>
      <c r="AI8" s="201"/>
      <c r="AJ8" s="201"/>
      <c r="AK8" s="204"/>
    </row>
    <row r="9" spans="2:37">
      <c r="B9" s="3">
        <v>1</v>
      </c>
      <c r="C9" s="189" t="s">
        <v>598</v>
      </c>
      <c r="D9" s="189"/>
      <c r="E9" s="189"/>
      <c r="F9" s="189"/>
      <c r="G9" s="189"/>
      <c r="H9" s="189"/>
      <c r="I9" s="189" t="s">
        <v>1639</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599</v>
      </c>
      <c r="D10" s="190"/>
      <c r="E10" s="190"/>
      <c r="F10" s="190"/>
      <c r="G10" s="190"/>
      <c r="H10" s="190"/>
      <c r="I10" s="190" t="s">
        <v>600</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4">
        <v>1</v>
      </c>
      <c r="C15" s="190" t="s">
        <v>1089</v>
      </c>
      <c r="D15" s="190"/>
      <c r="E15" s="190"/>
      <c r="F15" s="190"/>
      <c r="G15" s="190"/>
      <c r="H15" s="190"/>
      <c r="I15" s="190"/>
      <c r="J15" s="190"/>
      <c r="K15" s="190"/>
      <c r="L15" s="190" t="s">
        <v>1090</v>
      </c>
      <c r="M15" s="190"/>
      <c r="N15" s="190"/>
      <c r="O15" s="190"/>
      <c r="P15" s="190"/>
      <c r="Q15" s="190"/>
      <c r="R15" s="190"/>
      <c r="S15" s="190"/>
      <c r="T15" s="190"/>
      <c r="U15" s="190"/>
      <c r="V15" s="190" t="s">
        <v>1022</v>
      </c>
      <c r="W15" s="190"/>
      <c r="X15" s="190"/>
      <c r="Y15" s="190" t="s">
        <v>1022</v>
      </c>
      <c r="Z15" s="190"/>
      <c r="AA15" s="190"/>
      <c r="AB15" s="190"/>
      <c r="AC15" s="190"/>
      <c r="AD15" s="190"/>
      <c r="AE15" s="190"/>
      <c r="AF15" s="190"/>
      <c r="AG15" s="190"/>
      <c r="AH15" s="190"/>
      <c r="AI15" s="198"/>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E5639-C806-4B8E-A9E7-1450E2FF41BD}">
  <sheetPr codeName="Sheet46"/>
  <dimension ref="B1:AK68"/>
  <sheetViews>
    <sheetView workbookViewId="0">
      <selection activeCell="C15" sqref="C15:H15"/>
    </sheetView>
  </sheetViews>
  <sheetFormatPr defaultColWidth="3.6640625" defaultRowHeight="13.2"/>
  <sheetData>
    <row r="1" spans="2:37" ht="13.8" thickBot="1"/>
    <row r="2" spans="2:37">
      <c r="B2" s="205" t="s">
        <v>95</v>
      </c>
      <c r="C2" s="206"/>
      <c r="D2" s="206"/>
      <c r="E2" s="206"/>
      <c r="F2" s="211" t="s">
        <v>93</v>
      </c>
      <c r="G2" s="211"/>
      <c r="H2" s="212"/>
      <c r="I2" s="196" t="s">
        <v>667</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602</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603</v>
      </c>
      <c r="D9" s="189"/>
      <c r="E9" s="189"/>
      <c r="F9" s="189"/>
      <c r="G9" s="189"/>
      <c r="H9" s="189"/>
      <c r="I9" s="189" t="s">
        <v>638</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115</v>
      </c>
      <c r="D10" s="189"/>
      <c r="E10" s="189"/>
      <c r="F10" s="189"/>
      <c r="G10" s="189"/>
      <c r="H10" s="189"/>
      <c r="I10" s="189" t="s">
        <v>355</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604</v>
      </c>
      <c r="D11" s="189"/>
      <c r="E11" s="189"/>
      <c r="F11" s="189"/>
      <c r="G11" s="189"/>
      <c r="H11" s="189"/>
      <c r="I11" s="189" t="s">
        <v>639</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605</v>
      </c>
      <c r="D12" s="189"/>
      <c r="E12" s="189"/>
      <c r="F12" s="189"/>
      <c r="G12" s="189"/>
      <c r="H12" s="189"/>
      <c r="I12" s="189" t="s">
        <v>640</v>
      </c>
      <c r="J12" s="189"/>
      <c r="K12" s="189"/>
      <c r="L12" s="189"/>
      <c r="M12" s="189"/>
      <c r="N12" s="189"/>
      <c r="O12" s="189"/>
      <c r="P12" s="189"/>
      <c r="Q12" s="189" t="s">
        <v>144</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1663</v>
      </c>
      <c r="D13" s="189"/>
      <c r="E13" s="189"/>
      <c r="F13" s="189"/>
      <c r="G13" s="189"/>
      <c r="H13" s="189"/>
      <c r="I13" s="189" t="s">
        <v>641</v>
      </c>
      <c r="J13" s="189"/>
      <c r="K13" s="189"/>
      <c r="L13" s="189"/>
      <c r="M13" s="189"/>
      <c r="N13" s="189"/>
      <c r="O13" s="189"/>
      <c r="P13" s="189"/>
      <c r="Q13" s="189" t="s">
        <v>144</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1959</v>
      </c>
      <c r="D14" s="189"/>
      <c r="E14" s="189"/>
      <c r="F14" s="189"/>
      <c r="G14" s="189"/>
      <c r="H14" s="189"/>
      <c r="I14" s="189" t="s">
        <v>642</v>
      </c>
      <c r="J14" s="189"/>
      <c r="K14" s="189"/>
      <c r="L14" s="189"/>
      <c r="M14" s="189"/>
      <c r="N14" s="189"/>
      <c r="O14" s="189"/>
      <c r="P14" s="189"/>
      <c r="Q14" s="189" t="s">
        <v>144</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104">
        <v>7</v>
      </c>
      <c r="C15" s="189" t="s">
        <v>608</v>
      </c>
      <c r="D15" s="189"/>
      <c r="E15" s="189"/>
      <c r="F15" s="189"/>
      <c r="G15" s="189"/>
      <c r="H15" s="189"/>
      <c r="I15" s="189" t="s">
        <v>643</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104">
        <v>8</v>
      </c>
      <c r="C16" s="189" t="s">
        <v>609</v>
      </c>
      <c r="D16" s="189"/>
      <c r="E16" s="189"/>
      <c r="F16" s="189"/>
      <c r="G16" s="189"/>
      <c r="H16" s="189"/>
      <c r="I16" s="189" t="s">
        <v>644</v>
      </c>
      <c r="J16" s="189"/>
      <c r="K16" s="189"/>
      <c r="L16" s="189"/>
      <c r="M16" s="189"/>
      <c r="N16" s="189"/>
      <c r="O16" s="189"/>
      <c r="P16" s="189"/>
      <c r="Q16" s="189" t="s">
        <v>146</v>
      </c>
      <c r="R16" s="189"/>
      <c r="S16" s="189"/>
      <c r="T16" s="189"/>
      <c r="U16" s="189"/>
      <c r="V16" s="189"/>
      <c r="W16" s="189"/>
      <c r="X16" s="189"/>
      <c r="Y16" s="189"/>
      <c r="Z16" s="189"/>
      <c r="AA16" s="189"/>
      <c r="AB16" s="189"/>
      <c r="AC16" s="189"/>
      <c r="AD16" s="189"/>
      <c r="AE16" s="189"/>
      <c r="AF16" s="189"/>
      <c r="AG16" s="189"/>
      <c r="AH16" s="189"/>
      <c r="AI16" s="189"/>
      <c r="AJ16" s="189"/>
      <c r="AK16" s="191"/>
    </row>
    <row r="17" spans="2:37" s="102" customFormat="1">
      <c r="B17" s="104">
        <v>9</v>
      </c>
      <c r="C17" s="189" t="s">
        <v>1596</v>
      </c>
      <c r="D17" s="189"/>
      <c r="E17" s="189"/>
      <c r="F17" s="189"/>
      <c r="G17" s="189"/>
      <c r="H17" s="189"/>
      <c r="I17" s="189" t="s">
        <v>1597</v>
      </c>
      <c r="J17" s="189"/>
      <c r="K17" s="189"/>
      <c r="L17" s="189"/>
      <c r="M17" s="189"/>
      <c r="N17" s="189"/>
      <c r="O17" s="189"/>
      <c r="P17" s="189"/>
      <c r="Q17" s="189" t="s">
        <v>146</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104">
        <v>10</v>
      </c>
      <c r="C18" s="189" t="s">
        <v>576</v>
      </c>
      <c r="D18" s="189"/>
      <c r="E18" s="189"/>
      <c r="F18" s="189"/>
      <c r="G18" s="189"/>
      <c r="H18" s="189"/>
      <c r="I18" s="189" t="s">
        <v>364</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104">
        <v>11</v>
      </c>
      <c r="C19" s="189" t="s">
        <v>693</v>
      </c>
      <c r="D19" s="189"/>
      <c r="E19" s="189"/>
      <c r="F19" s="189"/>
      <c r="G19" s="189"/>
      <c r="H19" s="189"/>
      <c r="I19" s="189" t="s">
        <v>384</v>
      </c>
      <c r="J19" s="189"/>
      <c r="K19" s="189"/>
      <c r="L19" s="189"/>
      <c r="M19" s="189"/>
      <c r="N19" s="189"/>
      <c r="O19" s="189"/>
      <c r="P19" s="189"/>
      <c r="Q19" s="189" t="s">
        <v>146</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104">
        <v>12</v>
      </c>
      <c r="C20" s="189" t="s">
        <v>1540</v>
      </c>
      <c r="D20" s="189"/>
      <c r="E20" s="189"/>
      <c r="F20" s="189"/>
      <c r="G20" s="189"/>
      <c r="H20" s="189"/>
      <c r="I20" s="189" t="s">
        <v>645</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104">
        <v>13</v>
      </c>
      <c r="C21" s="189" t="s">
        <v>610</v>
      </c>
      <c r="D21" s="189"/>
      <c r="E21" s="189"/>
      <c r="F21" s="189"/>
      <c r="G21" s="189"/>
      <c r="H21" s="189"/>
      <c r="I21" s="189" t="s">
        <v>646</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104">
        <v>14</v>
      </c>
      <c r="C22" s="189" t="s">
        <v>611</v>
      </c>
      <c r="D22" s="189"/>
      <c r="E22" s="189"/>
      <c r="F22" s="189"/>
      <c r="G22" s="189"/>
      <c r="H22" s="189"/>
      <c r="I22" s="189" t="s">
        <v>647</v>
      </c>
      <c r="J22" s="189"/>
      <c r="K22" s="189"/>
      <c r="L22" s="189"/>
      <c r="M22" s="189"/>
      <c r="N22" s="189"/>
      <c r="O22" s="189"/>
      <c r="P22" s="189"/>
      <c r="Q22" s="189" t="s">
        <v>144</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104">
        <v>15</v>
      </c>
      <c r="C23" s="189" t="s">
        <v>612</v>
      </c>
      <c r="D23" s="189"/>
      <c r="E23" s="189"/>
      <c r="F23" s="189"/>
      <c r="G23" s="189"/>
      <c r="H23" s="189"/>
      <c r="I23" s="189" t="s">
        <v>648</v>
      </c>
      <c r="J23" s="189"/>
      <c r="K23" s="189"/>
      <c r="L23" s="189"/>
      <c r="M23" s="189"/>
      <c r="N23" s="189"/>
      <c r="O23" s="189"/>
      <c r="P23" s="189"/>
      <c r="Q23" s="189" t="s">
        <v>146</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104">
        <v>16</v>
      </c>
      <c r="C24" s="189" t="s">
        <v>613</v>
      </c>
      <c r="D24" s="189"/>
      <c r="E24" s="189"/>
      <c r="F24" s="189"/>
      <c r="G24" s="189"/>
      <c r="H24" s="189"/>
      <c r="I24" s="189" t="s">
        <v>649</v>
      </c>
      <c r="J24" s="189"/>
      <c r="K24" s="189"/>
      <c r="L24" s="189"/>
      <c r="M24" s="189"/>
      <c r="N24" s="189"/>
      <c r="O24" s="189"/>
      <c r="P24" s="189"/>
      <c r="Q24" s="189" t="s">
        <v>146</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104">
        <v>17</v>
      </c>
      <c r="C25" s="189" t="s">
        <v>614</v>
      </c>
      <c r="D25" s="189"/>
      <c r="E25" s="189"/>
      <c r="F25" s="189"/>
      <c r="G25" s="189"/>
      <c r="H25" s="189"/>
      <c r="I25" s="189" t="s">
        <v>650</v>
      </c>
      <c r="J25" s="189"/>
      <c r="K25" s="189"/>
      <c r="L25" s="189"/>
      <c r="M25" s="189"/>
      <c r="N25" s="189"/>
      <c r="O25" s="189"/>
      <c r="P25" s="189"/>
      <c r="Q25" s="189" t="s">
        <v>146</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104">
        <v>18</v>
      </c>
      <c r="C26" s="189" t="s">
        <v>615</v>
      </c>
      <c r="D26" s="189"/>
      <c r="E26" s="189"/>
      <c r="F26" s="189"/>
      <c r="G26" s="189"/>
      <c r="H26" s="189"/>
      <c r="I26" s="189" t="s">
        <v>1492</v>
      </c>
      <c r="J26" s="189"/>
      <c r="K26" s="189"/>
      <c r="L26" s="189"/>
      <c r="M26" s="189"/>
      <c r="N26" s="189"/>
      <c r="O26" s="189"/>
      <c r="P26" s="189"/>
      <c r="Q26" s="189" t="s">
        <v>146</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104">
        <v>19</v>
      </c>
      <c r="C27" s="189" t="s">
        <v>616</v>
      </c>
      <c r="D27" s="189"/>
      <c r="E27" s="189"/>
      <c r="F27" s="189"/>
      <c r="G27" s="189"/>
      <c r="H27" s="189"/>
      <c r="I27" s="189" t="s">
        <v>1646</v>
      </c>
      <c r="J27" s="189"/>
      <c r="K27" s="189"/>
      <c r="L27" s="189"/>
      <c r="M27" s="189"/>
      <c r="N27" s="189"/>
      <c r="O27" s="189"/>
      <c r="P27" s="189"/>
      <c r="Q27" s="189" t="s">
        <v>146</v>
      </c>
      <c r="R27" s="189"/>
      <c r="S27" s="189"/>
      <c r="T27" s="189"/>
      <c r="U27" s="189"/>
      <c r="V27" s="189"/>
      <c r="W27" s="189"/>
      <c r="X27" s="189"/>
      <c r="Y27" s="189"/>
      <c r="Z27" s="189"/>
      <c r="AA27" s="189"/>
      <c r="AB27" s="189"/>
      <c r="AC27" s="189"/>
      <c r="AD27" s="189"/>
      <c r="AE27" s="189"/>
      <c r="AF27" s="189"/>
      <c r="AG27" s="189"/>
      <c r="AH27" s="189"/>
      <c r="AI27" s="189"/>
      <c r="AJ27" s="189"/>
      <c r="AK27" s="191"/>
    </row>
    <row r="28" spans="2:37">
      <c r="B28" s="104">
        <v>20</v>
      </c>
      <c r="C28" s="189" t="s">
        <v>617</v>
      </c>
      <c r="D28" s="189"/>
      <c r="E28" s="189"/>
      <c r="F28" s="189"/>
      <c r="G28" s="189"/>
      <c r="H28" s="189"/>
      <c r="I28" s="189" t="s">
        <v>651</v>
      </c>
      <c r="J28" s="189"/>
      <c r="K28" s="189"/>
      <c r="L28" s="189"/>
      <c r="M28" s="189"/>
      <c r="N28" s="189"/>
      <c r="O28" s="189"/>
      <c r="P28" s="189"/>
      <c r="Q28" s="189" t="s">
        <v>146</v>
      </c>
      <c r="R28" s="189"/>
      <c r="S28" s="189"/>
      <c r="T28" s="189"/>
      <c r="U28" s="189"/>
      <c r="V28" s="189"/>
      <c r="W28" s="189"/>
      <c r="X28" s="189"/>
      <c r="Y28" s="189"/>
      <c r="Z28" s="189"/>
      <c r="AA28" s="189"/>
      <c r="AB28" s="189"/>
      <c r="AC28" s="189"/>
      <c r="AD28" s="189"/>
      <c r="AE28" s="189"/>
      <c r="AF28" s="189"/>
      <c r="AG28" s="189"/>
      <c r="AH28" s="189"/>
      <c r="AI28" s="189"/>
      <c r="AJ28" s="189"/>
      <c r="AK28" s="191"/>
    </row>
    <row r="29" spans="2:37">
      <c r="B29" s="104">
        <v>21</v>
      </c>
      <c r="C29" s="189" t="s">
        <v>618</v>
      </c>
      <c r="D29" s="189"/>
      <c r="E29" s="189"/>
      <c r="F29" s="189"/>
      <c r="G29" s="189"/>
      <c r="H29" s="189"/>
      <c r="I29" s="189" t="s">
        <v>652</v>
      </c>
      <c r="J29" s="189"/>
      <c r="K29" s="189"/>
      <c r="L29" s="189"/>
      <c r="M29" s="189"/>
      <c r="N29" s="189"/>
      <c r="O29" s="189"/>
      <c r="P29" s="189"/>
      <c r="Q29" s="189" t="s">
        <v>146</v>
      </c>
      <c r="R29" s="189"/>
      <c r="S29" s="189"/>
      <c r="T29" s="189"/>
      <c r="U29" s="189"/>
      <c r="V29" s="189"/>
      <c r="W29" s="189"/>
      <c r="X29" s="189"/>
      <c r="Y29" s="189"/>
      <c r="Z29" s="189"/>
      <c r="AA29" s="189"/>
      <c r="AB29" s="189"/>
      <c r="AC29" s="189"/>
      <c r="AD29" s="189"/>
      <c r="AE29" s="189"/>
      <c r="AF29" s="189"/>
      <c r="AG29" s="189"/>
      <c r="AH29" s="189"/>
      <c r="AI29" s="189"/>
      <c r="AJ29" s="189"/>
      <c r="AK29" s="191"/>
    </row>
    <row r="30" spans="2:37">
      <c r="B30" s="104">
        <v>22</v>
      </c>
      <c r="C30" s="189" t="s">
        <v>619</v>
      </c>
      <c r="D30" s="189"/>
      <c r="E30" s="189"/>
      <c r="F30" s="189"/>
      <c r="G30" s="189"/>
      <c r="H30" s="189"/>
      <c r="I30" s="189" t="s">
        <v>653</v>
      </c>
      <c r="J30" s="189"/>
      <c r="K30" s="189"/>
      <c r="L30" s="189"/>
      <c r="M30" s="189"/>
      <c r="N30" s="189"/>
      <c r="O30" s="189"/>
      <c r="P30" s="189"/>
      <c r="Q30" s="189" t="s">
        <v>146</v>
      </c>
      <c r="R30" s="189"/>
      <c r="S30" s="189"/>
      <c r="T30" s="189"/>
      <c r="U30" s="189"/>
      <c r="V30" s="189"/>
      <c r="W30" s="189"/>
      <c r="X30" s="189"/>
      <c r="Y30" s="189"/>
      <c r="Z30" s="189"/>
      <c r="AA30" s="189"/>
      <c r="AB30" s="189"/>
      <c r="AC30" s="189"/>
      <c r="AD30" s="189"/>
      <c r="AE30" s="189"/>
      <c r="AF30" s="189"/>
      <c r="AG30" s="189"/>
      <c r="AH30" s="189"/>
      <c r="AI30" s="189"/>
      <c r="AJ30" s="189"/>
      <c r="AK30" s="191"/>
    </row>
    <row r="31" spans="2:37">
      <c r="B31" s="104">
        <v>23</v>
      </c>
      <c r="C31" s="189" t="s">
        <v>620</v>
      </c>
      <c r="D31" s="189"/>
      <c r="E31" s="189"/>
      <c r="F31" s="189"/>
      <c r="G31" s="189"/>
      <c r="H31" s="189"/>
      <c r="I31" s="189" t="s">
        <v>654</v>
      </c>
      <c r="J31" s="189"/>
      <c r="K31" s="189"/>
      <c r="L31" s="189"/>
      <c r="M31" s="189"/>
      <c r="N31" s="189"/>
      <c r="O31" s="189"/>
      <c r="P31" s="189"/>
      <c r="Q31" s="189" t="s">
        <v>146</v>
      </c>
      <c r="R31" s="189"/>
      <c r="S31" s="189"/>
      <c r="T31" s="189"/>
      <c r="U31" s="189"/>
      <c r="V31" s="189"/>
      <c r="W31" s="189"/>
      <c r="X31" s="189"/>
      <c r="Y31" s="189"/>
      <c r="Z31" s="189"/>
      <c r="AA31" s="189"/>
      <c r="AB31" s="189"/>
      <c r="AC31" s="189"/>
      <c r="AD31" s="189"/>
      <c r="AE31" s="189"/>
      <c r="AF31" s="189"/>
      <c r="AG31" s="189"/>
      <c r="AH31" s="189"/>
      <c r="AI31" s="189"/>
      <c r="AJ31" s="189"/>
      <c r="AK31" s="191"/>
    </row>
    <row r="32" spans="2:37">
      <c r="B32" s="104">
        <v>24</v>
      </c>
      <c r="C32" s="189" t="s">
        <v>621</v>
      </c>
      <c r="D32" s="189"/>
      <c r="E32" s="189"/>
      <c r="F32" s="189"/>
      <c r="G32" s="189"/>
      <c r="H32" s="189"/>
      <c r="I32" s="189" t="s">
        <v>655</v>
      </c>
      <c r="J32" s="189"/>
      <c r="K32" s="189"/>
      <c r="L32" s="189"/>
      <c r="M32" s="189"/>
      <c r="N32" s="189"/>
      <c r="O32" s="189"/>
      <c r="P32" s="189"/>
      <c r="Q32" s="189" t="s">
        <v>146</v>
      </c>
      <c r="R32" s="189"/>
      <c r="S32" s="189"/>
      <c r="T32" s="189"/>
      <c r="U32" s="189"/>
      <c r="V32" s="189"/>
      <c r="W32" s="189"/>
      <c r="X32" s="189"/>
      <c r="Y32" s="189"/>
      <c r="Z32" s="189"/>
      <c r="AA32" s="189"/>
      <c r="AB32" s="189"/>
      <c r="AC32" s="189"/>
      <c r="AD32" s="189"/>
      <c r="AE32" s="189"/>
      <c r="AF32" s="189"/>
      <c r="AG32" s="189"/>
      <c r="AH32" s="189"/>
      <c r="AI32" s="189"/>
      <c r="AJ32" s="189"/>
      <c r="AK32" s="191"/>
    </row>
    <row r="33" spans="2:37">
      <c r="B33" s="104">
        <v>25</v>
      </c>
      <c r="C33" s="189" t="s">
        <v>622</v>
      </c>
      <c r="D33" s="189"/>
      <c r="E33" s="189"/>
      <c r="F33" s="189"/>
      <c r="G33" s="189"/>
      <c r="H33" s="189"/>
      <c r="I33" s="189" t="s">
        <v>583</v>
      </c>
      <c r="J33" s="189"/>
      <c r="K33" s="189"/>
      <c r="L33" s="189"/>
      <c r="M33" s="189"/>
      <c r="N33" s="189"/>
      <c r="O33" s="189"/>
      <c r="P33" s="189"/>
      <c r="Q33" s="189" t="s">
        <v>146</v>
      </c>
      <c r="R33" s="189"/>
      <c r="S33" s="189"/>
      <c r="T33" s="189"/>
      <c r="U33" s="189"/>
      <c r="V33" s="189"/>
      <c r="W33" s="189"/>
      <c r="X33" s="189"/>
      <c r="Y33" s="189"/>
      <c r="Z33" s="189"/>
      <c r="AA33" s="189"/>
      <c r="AB33" s="189"/>
      <c r="AC33" s="189"/>
      <c r="AD33" s="189"/>
      <c r="AE33" s="189"/>
      <c r="AF33" s="189"/>
      <c r="AG33" s="189"/>
      <c r="AH33" s="189"/>
      <c r="AI33" s="189"/>
      <c r="AJ33" s="189"/>
      <c r="AK33" s="191"/>
    </row>
    <row r="34" spans="2:37">
      <c r="B34" s="104">
        <v>26</v>
      </c>
      <c r="C34" s="189" t="s">
        <v>623</v>
      </c>
      <c r="D34" s="189"/>
      <c r="E34" s="189"/>
      <c r="F34" s="189"/>
      <c r="G34" s="189"/>
      <c r="H34" s="189"/>
      <c r="I34" s="189" t="s">
        <v>656</v>
      </c>
      <c r="J34" s="189"/>
      <c r="K34" s="189"/>
      <c r="L34" s="189"/>
      <c r="M34" s="189"/>
      <c r="N34" s="189"/>
      <c r="O34" s="189"/>
      <c r="P34" s="189"/>
      <c r="Q34" s="189" t="s">
        <v>147</v>
      </c>
      <c r="R34" s="189"/>
      <c r="S34" s="189"/>
      <c r="T34" s="189"/>
      <c r="U34" s="189"/>
      <c r="V34" s="189"/>
      <c r="W34" s="189"/>
      <c r="X34" s="189"/>
      <c r="Y34" s="189"/>
      <c r="Z34" s="189"/>
      <c r="AA34" s="189"/>
      <c r="AB34" s="189"/>
      <c r="AC34" s="189"/>
      <c r="AD34" s="189"/>
      <c r="AE34" s="189"/>
      <c r="AF34" s="189"/>
      <c r="AG34" s="189"/>
      <c r="AH34" s="189"/>
      <c r="AI34" s="189"/>
      <c r="AJ34" s="189"/>
      <c r="AK34" s="191"/>
    </row>
    <row r="35" spans="2:37">
      <c r="B35" s="104">
        <v>27</v>
      </c>
      <c r="C35" s="189" t="s">
        <v>624</v>
      </c>
      <c r="D35" s="189"/>
      <c r="E35" s="189"/>
      <c r="F35" s="189"/>
      <c r="G35" s="189"/>
      <c r="H35" s="189"/>
      <c r="I35" s="189" t="s">
        <v>388</v>
      </c>
      <c r="J35" s="189"/>
      <c r="K35" s="189"/>
      <c r="L35" s="189"/>
      <c r="M35" s="189"/>
      <c r="N35" s="189"/>
      <c r="O35" s="189"/>
      <c r="P35" s="189"/>
      <c r="Q35" s="189" t="s">
        <v>392</v>
      </c>
      <c r="R35" s="189"/>
      <c r="S35" s="189"/>
      <c r="T35" s="189"/>
      <c r="U35" s="189"/>
      <c r="V35" s="189"/>
      <c r="W35" s="189"/>
      <c r="X35" s="189"/>
      <c r="Y35" s="189"/>
      <c r="Z35" s="189"/>
      <c r="AA35" s="189"/>
      <c r="AB35" s="189"/>
      <c r="AC35" s="189"/>
      <c r="AD35" s="189"/>
      <c r="AE35" s="189"/>
      <c r="AF35" s="189"/>
      <c r="AG35" s="189"/>
      <c r="AH35" s="189"/>
      <c r="AI35" s="189"/>
      <c r="AJ35" s="189"/>
      <c r="AK35" s="191"/>
    </row>
    <row r="36" spans="2:37">
      <c r="B36" s="104">
        <v>28</v>
      </c>
      <c r="C36" s="189" t="s">
        <v>625</v>
      </c>
      <c r="D36" s="189"/>
      <c r="E36" s="189"/>
      <c r="F36" s="189"/>
      <c r="G36" s="189"/>
      <c r="H36" s="189"/>
      <c r="I36" s="189" t="s">
        <v>657</v>
      </c>
      <c r="J36" s="189"/>
      <c r="K36" s="189"/>
      <c r="L36" s="189"/>
      <c r="M36" s="189"/>
      <c r="N36" s="189"/>
      <c r="O36" s="189"/>
      <c r="P36" s="189"/>
      <c r="Q36" s="189" t="s">
        <v>392</v>
      </c>
      <c r="R36" s="189"/>
      <c r="S36" s="189"/>
      <c r="T36" s="189"/>
      <c r="U36" s="189"/>
      <c r="V36" s="189"/>
      <c r="W36" s="189"/>
      <c r="X36" s="189"/>
      <c r="Y36" s="189"/>
      <c r="Z36" s="189"/>
      <c r="AA36" s="189"/>
      <c r="AB36" s="189"/>
      <c r="AC36" s="189"/>
      <c r="AD36" s="189"/>
      <c r="AE36" s="189"/>
      <c r="AF36" s="189"/>
      <c r="AG36" s="189"/>
      <c r="AH36" s="189"/>
      <c r="AI36" s="189"/>
      <c r="AJ36" s="189"/>
      <c r="AK36" s="191"/>
    </row>
    <row r="37" spans="2:37">
      <c r="B37" s="104">
        <v>29</v>
      </c>
      <c r="C37" s="189" t="s">
        <v>626</v>
      </c>
      <c r="D37" s="189"/>
      <c r="E37" s="189"/>
      <c r="F37" s="189"/>
      <c r="G37" s="189"/>
      <c r="H37" s="189"/>
      <c r="I37" s="189" t="s">
        <v>658</v>
      </c>
      <c r="J37" s="189"/>
      <c r="K37" s="189"/>
      <c r="L37" s="189"/>
      <c r="M37" s="189"/>
      <c r="N37" s="189"/>
      <c r="O37" s="189"/>
      <c r="P37" s="189"/>
      <c r="Q37" s="189" t="s">
        <v>146</v>
      </c>
      <c r="R37" s="189"/>
      <c r="S37" s="189"/>
      <c r="T37" s="189"/>
      <c r="U37" s="189"/>
      <c r="V37" s="189"/>
      <c r="W37" s="189"/>
      <c r="X37" s="189"/>
      <c r="Y37" s="189"/>
      <c r="Z37" s="189"/>
      <c r="AA37" s="189"/>
      <c r="AB37" s="189"/>
      <c r="AC37" s="189"/>
      <c r="AD37" s="189"/>
      <c r="AE37" s="189"/>
      <c r="AF37" s="189"/>
      <c r="AG37" s="189"/>
      <c r="AH37" s="189"/>
      <c r="AI37" s="189"/>
      <c r="AJ37" s="189"/>
      <c r="AK37" s="191"/>
    </row>
    <row r="38" spans="2:37">
      <c r="B38" s="104">
        <v>30</v>
      </c>
      <c r="C38" s="189" t="s">
        <v>627</v>
      </c>
      <c r="D38" s="189"/>
      <c r="E38" s="189"/>
      <c r="F38" s="189"/>
      <c r="G38" s="189"/>
      <c r="H38" s="189"/>
      <c r="I38" s="189" t="s">
        <v>659</v>
      </c>
      <c r="J38" s="189"/>
      <c r="K38" s="189"/>
      <c r="L38" s="189"/>
      <c r="M38" s="189"/>
      <c r="N38" s="189"/>
      <c r="O38" s="189"/>
      <c r="P38" s="189"/>
      <c r="Q38" s="189" t="s">
        <v>392</v>
      </c>
      <c r="R38" s="189"/>
      <c r="S38" s="189"/>
      <c r="T38" s="189"/>
      <c r="U38" s="189"/>
      <c r="V38" s="189"/>
      <c r="W38" s="189"/>
      <c r="X38" s="189"/>
      <c r="Y38" s="189"/>
      <c r="Z38" s="189"/>
      <c r="AA38" s="189"/>
      <c r="AB38" s="189"/>
      <c r="AC38" s="189"/>
      <c r="AD38" s="189"/>
      <c r="AE38" s="189"/>
      <c r="AF38" s="189"/>
      <c r="AG38" s="189"/>
      <c r="AH38" s="189"/>
      <c r="AI38" s="189"/>
      <c r="AJ38" s="189"/>
      <c r="AK38" s="191"/>
    </row>
    <row r="39" spans="2:37">
      <c r="B39" s="104">
        <v>31</v>
      </c>
      <c r="C39" s="189" t="s">
        <v>628</v>
      </c>
      <c r="D39" s="189"/>
      <c r="E39" s="189"/>
      <c r="F39" s="189"/>
      <c r="G39" s="189"/>
      <c r="H39" s="189"/>
      <c r="I39" s="189" t="s">
        <v>243</v>
      </c>
      <c r="J39" s="189"/>
      <c r="K39" s="189"/>
      <c r="L39" s="189"/>
      <c r="M39" s="189"/>
      <c r="N39" s="189"/>
      <c r="O39" s="189"/>
      <c r="P39" s="189"/>
      <c r="Q39" s="189" t="s">
        <v>146</v>
      </c>
      <c r="R39" s="189"/>
      <c r="S39" s="189"/>
      <c r="T39" s="189"/>
      <c r="U39" s="189"/>
      <c r="V39" s="189"/>
      <c r="W39" s="189"/>
      <c r="X39" s="189"/>
      <c r="Y39" s="189"/>
      <c r="Z39" s="189"/>
      <c r="AA39" s="189"/>
      <c r="AB39" s="189"/>
      <c r="AC39" s="189"/>
      <c r="AD39" s="189"/>
      <c r="AE39" s="189"/>
      <c r="AF39" s="189"/>
      <c r="AG39" s="189"/>
      <c r="AH39" s="189"/>
      <c r="AI39" s="189"/>
      <c r="AJ39" s="189"/>
      <c r="AK39" s="191"/>
    </row>
    <row r="40" spans="2:37">
      <c r="B40" s="104">
        <v>32</v>
      </c>
      <c r="C40" s="189" t="s">
        <v>629</v>
      </c>
      <c r="D40" s="189"/>
      <c r="E40" s="189"/>
      <c r="F40" s="189"/>
      <c r="G40" s="189"/>
      <c r="H40" s="189"/>
      <c r="I40" s="189" t="s">
        <v>315</v>
      </c>
      <c r="J40" s="189"/>
      <c r="K40" s="189"/>
      <c r="L40" s="189"/>
      <c r="M40" s="189"/>
      <c r="N40" s="189"/>
      <c r="O40" s="189"/>
      <c r="P40" s="189"/>
      <c r="Q40" s="189" t="s">
        <v>146</v>
      </c>
      <c r="R40" s="189"/>
      <c r="S40" s="189"/>
      <c r="T40" s="189"/>
      <c r="U40" s="189"/>
      <c r="V40" s="189"/>
      <c r="W40" s="189"/>
      <c r="X40" s="189"/>
      <c r="Y40" s="189"/>
      <c r="Z40" s="189"/>
      <c r="AA40" s="189"/>
      <c r="AB40" s="189"/>
      <c r="AC40" s="189"/>
      <c r="AD40" s="189"/>
      <c r="AE40" s="189"/>
      <c r="AF40" s="189"/>
      <c r="AG40" s="189"/>
      <c r="AH40" s="189"/>
      <c r="AI40" s="189"/>
      <c r="AJ40" s="189"/>
      <c r="AK40" s="191"/>
    </row>
    <row r="41" spans="2:37">
      <c r="B41" s="104">
        <v>33</v>
      </c>
      <c r="C41" s="189" t="s">
        <v>630</v>
      </c>
      <c r="D41" s="189"/>
      <c r="E41" s="189"/>
      <c r="F41" s="189"/>
      <c r="G41" s="189"/>
      <c r="H41" s="189"/>
      <c r="I41" s="189" t="s">
        <v>660</v>
      </c>
      <c r="J41" s="189"/>
      <c r="K41" s="189"/>
      <c r="L41" s="189"/>
      <c r="M41" s="189"/>
      <c r="N41" s="189"/>
      <c r="O41" s="189"/>
      <c r="P41" s="189"/>
      <c r="Q41" s="189" t="s">
        <v>144</v>
      </c>
      <c r="R41" s="189"/>
      <c r="S41" s="189"/>
      <c r="T41" s="189"/>
      <c r="U41" s="189"/>
      <c r="V41" s="189"/>
      <c r="W41" s="189"/>
      <c r="X41" s="189"/>
      <c r="Y41" s="189"/>
      <c r="Z41" s="189"/>
      <c r="AA41" s="189"/>
      <c r="AB41" s="189"/>
      <c r="AC41" s="189"/>
      <c r="AD41" s="189"/>
      <c r="AE41" s="189"/>
      <c r="AF41" s="189"/>
      <c r="AG41" s="189"/>
      <c r="AH41" s="189"/>
      <c r="AI41" s="189"/>
      <c r="AJ41" s="189"/>
      <c r="AK41" s="191"/>
    </row>
    <row r="42" spans="2:37">
      <c r="B42" s="104">
        <v>34</v>
      </c>
      <c r="C42" s="189" t="s">
        <v>631</v>
      </c>
      <c r="D42" s="189"/>
      <c r="E42" s="189"/>
      <c r="F42" s="189"/>
      <c r="G42" s="189"/>
      <c r="H42" s="189"/>
      <c r="I42" s="189" t="s">
        <v>661</v>
      </c>
      <c r="J42" s="189"/>
      <c r="K42" s="189"/>
      <c r="L42" s="189"/>
      <c r="M42" s="189"/>
      <c r="N42" s="189"/>
      <c r="O42" s="189"/>
      <c r="P42" s="189"/>
      <c r="Q42" s="189" t="s">
        <v>144</v>
      </c>
      <c r="R42" s="189"/>
      <c r="S42" s="189"/>
      <c r="T42" s="189"/>
      <c r="U42" s="189"/>
      <c r="V42" s="189"/>
      <c r="W42" s="189"/>
      <c r="X42" s="189"/>
      <c r="Y42" s="189"/>
      <c r="Z42" s="189"/>
      <c r="AA42" s="189"/>
      <c r="AB42" s="189"/>
      <c r="AC42" s="189"/>
      <c r="AD42" s="189"/>
      <c r="AE42" s="189"/>
      <c r="AF42" s="189"/>
      <c r="AG42" s="189"/>
      <c r="AH42" s="189"/>
      <c r="AI42" s="189"/>
      <c r="AJ42" s="189"/>
      <c r="AK42" s="191"/>
    </row>
    <row r="43" spans="2:37">
      <c r="B43" s="104">
        <v>35</v>
      </c>
      <c r="C43" s="189" t="s">
        <v>632</v>
      </c>
      <c r="D43" s="189"/>
      <c r="E43" s="189"/>
      <c r="F43" s="189"/>
      <c r="G43" s="189"/>
      <c r="H43" s="189"/>
      <c r="I43" s="189" t="s">
        <v>662</v>
      </c>
      <c r="J43" s="189"/>
      <c r="K43" s="189"/>
      <c r="L43" s="189"/>
      <c r="M43" s="189"/>
      <c r="N43" s="189"/>
      <c r="O43" s="189"/>
      <c r="P43" s="189"/>
      <c r="Q43" s="189" t="s">
        <v>146</v>
      </c>
      <c r="R43" s="189"/>
      <c r="S43" s="189"/>
      <c r="T43" s="189"/>
      <c r="U43" s="189"/>
      <c r="V43" s="189"/>
      <c r="W43" s="189"/>
      <c r="X43" s="189"/>
      <c r="Y43" s="189"/>
      <c r="Z43" s="189"/>
      <c r="AA43" s="189"/>
      <c r="AB43" s="189"/>
      <c r="AC43" s="189"/>
      <c r="AD43" s="189"/>
      <c r="AE43" s="189"/>
      <c r="AF43" s="189"/>
      <c r="AG43" s="189"/>
      <c r="AH43" s="189"/>
      <c r="AI43" s="189"/>
      <c r="AJ43" s="189"/>
      <c r="AK43" s="191"/>
    </row>
    <row r="44" spans="2:37">
      <c r="B44" s="104">
        <v>36</v>
      </c>
      <c r="C44" s="189" t="s">
        <v>633</v>
      </c>
      <c r="D44" s="189"/>
      <c r="E44" s="189"/>
      <c r="F44" s="189"/>
      <c r="G44" s="189"/>
      <c r="H44" s="189"/>
      <c r="I44" s="189" t="s">
        <v>663</v>
      </c>
      <c r="J44" s="189"/>
      <c r="K44" s="189"/>
      <c r="L44" s="189"/>
      <c r="M44" s="189"/>
      <c r="N44" s="189"/>
      <c r="O44" s="189"/>
      <c r="P44" s="189"/>
      <c r="Q44" s="189" t="s">
        <v>144</v>
      </c>
      <c r="R44" s="189"/>
      <c r="S44" s="189"/>
      <c r="T44" s="189"/>
      <c r="U44" s="189"/>
      <c r="V44" s="189"/>
      <c r="W44" s="189"/>
      <c r="X44" s="189"/>
      <c r="Y44" s="189"/>
      <c r="Z44" s="189"/>
      <c r="AA44" s="189"/>
      <c r="AB44" s="189"/>
      <c r="AC44" s="189"/>
      <c r="AD44" s="189"/>
      <c r="AE44" s="189"/>
      <c r="AF44" s="189"/>
      <c r="AG44" s="189"/>
      <c r="AH44" s="189"/>
      <c r="AI44" s="189"/>
      <c r="AJ44" s="189"/>
      <c r="AK44" s="191"/>
    </row>
    <row r="45" spans="2:37">
      <c r="B45" s="104">
        <v>37</v>
      </c>
      <c r="C45" s="189" t="s">
        <v>634</v>
      </c>
      <c r="D45" s="189"/>
      <c r="E45" s="189"/>
      <c r="F45" s="189"/>
      <c r="G45" s="189"/>
      <c r="H45" s="189"/>
      <c r="I45" s="189" t="s">
        <v>664</v>
      </c>
      <c r="J45" s="189"/>
      <c r="K45" s="189"/>
      <c r="L45" s="189"/>
      <c r="M45" s="189"/>
      <c r="N45" s="189"/>
      <c r="O45" s="189"/>
      <c r="P45" s="189"/>
      <c r="Q45" s="189" t="s">
        <v>144</v>
      </c>
      <c r="R45" s="189"/>
      <c r="S45" s="189"/>
      <c r="T45" s="189"/>
      <c r="U45" s="189"/>
      <c r="V45" s="189"/>
      <c r="W45" s="189"/>
      <c r="X45" s="189"/>
      <c r="Y45" s="189"/>
      <c r="Z45" s="189"/>
      <c r="AA45" s="189"/>
      <c r="AB45" s="189"/>
      <c r="AC45" s="189"/>
      <c r="AD45" s="189"/>
      <c r="AE45" s="189"/>
      <c r="AF45" s="189"/>
      <c r="AG45" s="189"/>
      <c r="AH45" s="189"/>
      <c r="AI45" s="189"/>
      <c r="AJ45" s="189"/>
      <c r="AK45" s="191"/>
    </row>
    <row r="46" spans="2:37">
      <c r="B46" s="104">
        <v>38</v>
      </c>
      <c r="C46" s="189" t="s">
        <v>635</v>
      </c>
      <c r="D46" s="189"/>
      <c r="E46" s="189"/>
      <c r="F46" s="189"/>
      <c r="G46" s="189"/>
      <c r="H46" s="189"/>
      <c r="I46" s="189" t="s">
        <v>665</v>
      </c>
      <c r="J46" s="189"/>
      <c r="K46" s="189"/>
      <c r="L46" s="189"/>
      <c r="M46" s="189"/>
      <c r="N46" s="189"/>
      <c r="O46" s="189"/>
      <c r="P46" s="189"/>
      <c r="Q46" s="189" t="s">
        <v>144</v>
      </c>
      <c r="R46" s="189"/>
      <c r="S46" s="189"/>
      <c r="T46" s="189"/>
      <c r="U46" s="189"/>
      <c r="V46" s="189"/>
      <c r="W46" s="189"/>
      <c r="X46" s="189"/>
      <c r="Y46" s="189"/>
      <c r="Z46" s="189"/>
      <c r="AA46" s="189"/>
      <c r="AB46" s="189"/>
      <c r="AC46" s="189"/>
      <c r="AD46" s="189"/>
      <c r="AE46" s="189"/>
      <c r="AF46" s="189"/>
      <c r="AG46" s="189"/>
      <c r="AH46" s="189"/>
      <c r="AI46" s="189"/>
      <c r="AJ46" s="189"/>
      <c r="AK46" s="191"/>
    </row>
    <row r="47" spans="2:37">
      <c r="B47" s="104">
        <v>39</v>
      </c>
      <c r="C47" s="189" t="s">
        <v>118</v>
      </c>
      <c r="D47" s="189"/>
      <c r="E47" s="189"/>
      <c r="F47" s="189"/>
      <c r="G47" s="189"/>
      <c r="H47" s="189"/>
      <c r="I47" s="189" t="s">
        <v>159</v>
      </c>
      <c r="J47" s="189"/>
      <c r="K47" s="189"/>
      <c r="L47" s="189"/>
      <c r="M47" s="189"/>
      <c r="N47" s="189"/>
      <c r="O47" s="189"/>
      <c r="P47" s="189"/>
      <c r="Q47" s="189" t="s">
        <v>144</v>
      </c>
      <c r="R47" s="189"/>
      <c r="S47" s="189"/>
      <c r="T47" s="189"/>
      <c r="U47" s="189"/>
      <c r="V47" s="189"/>
      <c r="W47" s="189"/>
      <c r="X47" s="189"/>
      <c r="Y47" s="189"/>
      <c r="Z47" s="189"/>
      <c r="AA47" s="189"/>
      <c r="AB47" s="189"/>
      <c r="AC47" s="189"/>
      <c r="AD47" s="189"/>
      <c r="AE47" s="189"/>
      <c r="AF47" s="189"/>
      <c r="AG47" s="189"/>
      <c r="AH47" s="189"/>
      <c r="AI47" s="189"/>
      <c r="AJ47" s="189"/>
      <c r="AK47" s="191"/>
    </row>
    <row r="48" spans="2:37">
      <c r="B48" s="104">
        <v>40</v>
      </c>
      <c r="C48" s="189" t="s">
        <v>252</v>
      </c>
      <c r="D48" s="189"/>
      <c r="E48" s="189"/>
      <c r="F48" s="189"/>
      <c r="G48" s="189"/>
      <c r="H48" s="189"/>
      <c r="I48" s="189" t="s">
        <v>132</v>
      </c>
      <c r="J48" s="189"/>
      <c r="K48" s="189"/>
      <c r="L48" s="189"/>
      <c r="M48" s="189"/>
      <c r="N48" s="189"/>
      <c r="O48" s="189"/>
      <c r="P48" s="189"/>
      <c r="Q48" s="189" t="s">
        <v>143</v>
      </c>
      <c r="R48" s="189"/>
      <c r="S48" s="189"/>
      <c r="T48" s="189"/>
      <c r="U48" s="189"/>
      <c r="V48" s="189"/>
      <c r="W48" s="189"/>
      <c r="X48" s="189"/>
      <c r="Y48" s="189"/>
      <c r="Z48" s="189"/>
      <c r="AA48" s="189"/>
      <c r="AB48" s="189"/>
      <c r="AC48" s="189"/>
      <c r="AD48" s="189"/>
      <c r="AE48" s="189"/>
      <c r="AF48" s="189"/>
      <c r="AG48" s="189"/>
      <c r="AH48" s="189"/>
      <c r="AI48" s="189"/>
      <c r="AJ48" s="189"/>
      <c r="AK48" s="191"/>
    </row>
    <row r="49" spans="2:37">
      <c r="B49" s="104">
        <v>41</v>
      </c>
      <c r="C49" s="189" t="s">
        <v>350</v>
      </c>
      <c r="D49" s="189"/>
      <c r="E49" s="189"/>
      <c r="F49" s="189"/>
      <c r="G49" s="189"/>
      <c r="H49" s="189"/>
      <c r="I49" s="189" t="s">
        <v>138</v>
      </c>
      <c r="J49" s="189"/>
      <c r="K49" s="189"/>
      <c r="L49" s="189"/>
      <c r="M49" s="189"/>
      <c r="N49" s="189"/>
      <c r="O49" s="189"/>
      <c r="P49" s="189"/>
      <c r="Q49" s="189" t="s">
        <v>221</v>
      </c>
      <c r="R49" s="189"/>
      <c r="S49" s="189"/>
      <c r="T49" s="189"/>
      <c r="U49" s="189"/>
      <c r="V49" s="189"/>
      <c r="W49" s="189"/>
      <c r="X49" s="189"/>
      <c r="Y49" s="189"/>
      <c r="Z49" s="189"/>
      <c r="AA49" s="189"/>
      <c r="AB49" s="189"/>
      <c r="AC49" s="189"/>
      <c r="AD49" s="189"/>
      <c r="AE49" s="189"/>
      <c r="AF49" s="189"/>
      <c r="AG49" s="189"/>
      <c r="AH49" s="189"/>
      <c r="AI49" s="189"/>
      <c r="AJ49" s="189"/>
      <c r="AK49" s="191"/>
    </row>
    <row r="50" spans="2:37">
      <c r="B50" s="104">
        <v>42</v>
      </c>
      <c r="C50" s="189" t="s">
        <v>636</v>
      </c>
      <c r="D50" s="189"/>
      <c r="E50" s="189"/>
      <c r="F50" s="189"/>
      <c r="G50" s="189"/>
      <c r="H50" s="189"/>
      <c r="I50" s="189" t="s">
        <v>139</v>
      </c>
      <c r="J50" s="189"/>
      <c r="K50" s="189"/>
      <c r="L50" s="189"/>
      <c r="M50" s="189"/>
      <c r="N50" s="189"/>
      <c r="O50" s="189"/>
      <c r="P50" s="189"/>
      <c r="Q50" s="189" t="s">
        <v>221</v>
      </c>
      <c r="R50" s="189"/>
      <c r="S50" s="189"/>
      <c r="T50" s="189"/>
      <c r="U50" s="189"/>
      <c r="V50" s="189"/>
      <c r="W50" s="189"/>
      <c r="X50" s="189"/>
      <c r="Y50" s="189"/>
      <c r="Z50" s="189"/>
      <c r="AA50" s="189"/>
      <c r="AB50" s="189"/>
      <c r="AC50" s="189"/>
      <c r="AD50" s="189"/>
      <c r="AE50" s="189"/>
      <c r="AF50" s="189"/>
      <c r="AG50" s="189"/>
      <c r="AH50" s="189"/>
      <c r="AI50" s="189"/>
      <c r="AJ50" s="189"/>
      <c r="AK50" s="191"/>
    </row>
    <row r="51" spans="2:37">
      <c r="B51" s="104">
        <v>43</v>
      </c>
      <c r="C51" s="189" t="s">
        <v>637</v>
      </c>
      <c r="D51" s="189"/>
      <c r="E51" s="189"/>
      <c r="F51" s="189"/>
      <c r="G51" s="189"/>
      <c r="H51" s="189"/>
      <c r="I51" s="189" t="s">
        <v>666</v>
      </c>
      <c r="J51" s="189"/>
      <c r="K51" s="189"/>
      <c r="L51" s="189"/>
      <c r="M51" s="189"/>
      <c r="N51" s="189"/>
      <c r="O51" s="189"/>
      <c r="P51" s="189"/>
      <c r="Q51" s="189" t="s">
        <v>144</v>
      </c>
      <c r="R51" s="189"/>
      <c r="S51" s="189"/>
      <c r="T51" s="189"/>
      <c r="U51" s="189"/>
      <c r="V51" s="189"/>
      <c r="W51" s="189"/>
      <c r="X51" s="189"/>
      <c r="Y51" s="189"/>
      <c r="Z51" s="189"/>
      <c r="AA51" s="189"/>
      <c r="AB51" s="189"/>
      <c r="AC51" s="189"/>
      <c r="AD51" s="189"/>
      <c r="AE51" s="189"/>
      <c r="AF51" s="189"/>
      <c r="AG51" s="189"/>
      <c r="AH51" s="189"/>
      <c r="AI51" s="189"/>
      <c r="AJ51" s="189"/>
      <c r="AK51" s="191"/>
    </row>
    <row r="52" spans="2:37" s="20" customFormat="1">
      <c r="B52" s="104">
        <v>44</v>
      </c>
      <c r="C52" s="189" t="s">
        <v>228</v>
      </c>
      <c r="D52" s="189"/>
      <c r="E52" s="189"/>
      <c r="F52" s="189"/>
      <c r="G52" s="189"/>
      <c r="H52" s="189"/>
      <c r="I52" s="189" t="s">
        <v>232</v>
      </c>
      <c r="J52" s="189"/>
      <c r="K52" s="189"/>
      <c r="L52" s="189"/>
      <c r="M52" s="189"/>
      <c r="N52" s="189"/>
      <c r="O52" s="189"/>
      <c r="P52" s="189"/>
      <c r="Q52" s="189" t="s">
        <v>146</v>
      </c>
      <c r="R52" s="189"/>
      <c r="S52" s="189"/>
      <c r="T52" s="189"/>
      <c r="U52" s="189"/>
      <c r="V52" s="189"/>
      <c r="W52" s="189"/>
      <c r="X52" s="189"/>
      <c r="Y52" s="189"/>
      <c r="Z52" s="189"/>
      <c r="AA52" s="189"/>
      <c r="AB52" s="189"/>
      <c r="AC52" s="189"/>
      <c r="AD52" s="189"/>
      <c r="AE52" s="189"/>
      <c r="AF52" s="189"/>
      <c r="AG52" s="189"/>
      <c r="AH52" s="189"/>
      <c r="AI52" s="189"/>
      <c r="AJ52" s="189"/>
      <c r="AK52" s="191"/>
    </row>
    <row r="53" spans="2:37" s="61" customFormat="1">
      <c r="B53" s="104">
        <v>45</v>
      </c>
      <c r="C53" s="189" t="s">
        <v>1443</v>
      </c>
      <c r="D53" s="189"/>
      <c r="E53" s="189"/>
      <c r="F53" s="189"/>
      <c r="G53" s="189"/>
      <c r="H53" s="189"/>
      <c r="I53" s="189" t="s">
        <v>1444</v>
      </c>
      <c r="J53" s="189"/>
      <c r="K53" s="189"/>
      <c r="L53" s="189"/>
      <c r="M53" s="189"/>
      <c r="N53" s="189"/>
      <c r="O53" s="189"/>
      <c r="P53" s="189"/>
      <c r="Q53" s="189" t="s">
        <v>146</v>
      </c>
      <c r="R53" s="189"/>
      <c r="S53" s="189"/>
      <c r="T53" s="189"/>
      <c r="U53" s="189"/>
      <c r="V53" s="189"/>
      <c r="W53" s="189"/>
      <c r="X53" s="189"/>
      <c r="Y53" s="189" t="s">
        <v>149</v>
      </c>
      <c r="Z53" s="189"/>
      <c r="AA53" s="189"/>
      <c r="AB53" s="189"/>
      <c r="AC53" s="189" t="s">
        <v>1447</v>
      </c>
      <c r="AD53" s="189"/>
      <c r="AE53" s="189">
        <v>0</v>
      </c>
      <c r="AF53" s="189"/>
      <c r="AG53" s="189"/>
      <c r="AH53" s="189"/>
      <c r="AI53" s="189"/>
      <c r="AJ53" s="189"/>
      <c r="AK53" s="191"/>
    </row>
    <row r="54" spans="2:37" ht="13.8" thickBot="1">
      <c r="B54" s="4">
        <v>46</v>
      </c>
      <c r="C54" s="267" t="s">
        <v>1704</v>
      </c>
      <c r="D54" s="267"/>
      <c r="E54" s="267"/>
      <c r="F54" s="267"/>
      <c r="G54" s="267"/>
      <c r="H54" s="267"/>
      <c r="I54" s="267" t="s">
        <v>1484</v>
      </c>
      <c r="J54" s="267"/>
      <c r="K54" s="267"/>
      <c r="L54" s="267"/>
      <c r="M54" s="267"/>
      <c r="N54" s="267"/>
      <c r="O54" s="267"/>
      <c r="P54" s="267"/>
      <c r="Q54" s="267" t="s">
        <v>1364</v>
      </c>
      <c r="R54" s="267"/>
      <c r="S54" s="267"/>
      <c r="T54" s="267"/>
      <c r="U54" s="267"/>
      <c r="V54" s="267"/>
      <c r="W54" s="267"/>
      <c r="X54" s="267"/>
      <c r="Y54" s="190" t="s">
        <v>1445</v>
      </c>
      <c r="Z54" s="190"/>
      <c r="AA54" s="190"/>
      <c r="AB54" s="190"/>
      <c r="AC54" s="190" t="s">
        <v>1447</v>
      </c>
      <c r="AD54" s="190"/>
      <c r="AE54" s="266" t="s">
        <v>1446</v>
      </c>
      <c r="AF54" s="190"/>
      <c r="AG54" s="190"/>
      <c r="AH54" s="190"/>
      <c r="AI54" s="190"/>
      <c r="AJ54" s="190"/>
      <c r="AK54" s="198"/>
    </row>
    <row r="57" spans="2:37" ht="15" thickBot="1">
      <c r="B57" s="7" t="s">
        <v>994</v>
      </c>
    </row>
    <row r="58" spans="2:37">
      <c r="B58" s="10" t="s">
        <v>7</v>
      </c>
      <c r="C58" s="226" t="s">
        <v>998</v>
      </c>
      <c r="D58" s="226"/>
      <c r="E58" s="226"/>
      <c r="F58" s="226"/>
      <c r="G58" s="226"/>
      <c r="H58" s="226"/>
      <c r="I58" s="226"/>
      <c r="J58" s="226"/>
      <c r="K58" s="226"/>
      <c r="L58" s="226" t="s">
        <v>1000</v>
      </c>
      <c r="M58" s="226"/>
      <c r="N58" s="226"/>
      <c r="O58" s="226"/>
      <c r="P58" s="226"/>
      <c r="Q58" s="226"/>
      <c r="R58" s="226"/>
      <c r="S58" s="226"/>
      <c r="T58" s="226"/>
      <c r="U58" s="226"/>
      <c r="V58" s="226" t="s">
        <v>1002</v>
      </c>
      <c r="W58" s="226"/>
      <c r="X58" s="226"/>
      <c r="Y58" s="226" t="s">
        <v>1004</v>
      </c>
      <c r="Z58" s="226"/>
      <c r="AA58" s="226"/>
      <c r="AB58" s="226" t="s">
        <v>1005</v>
      </c>
      <c r="AC58" s="226"/>
      <c r="AD58" s="226"/>
      <c r="AE58" s="226"/>
      <c r="AF58" s="226"/>
      <c r="AG58" s="226"/>
      <c r="AH58" s="226"/>
      <c r="AI58" s="227"/>
    </row>
    <row r="59" spans="2:37">
      <c r="B59" s="3">
        <v>1</v>
      </c>
      <c r="C59" s="189" t="s">
        <v>1091</v>
      </c>
      <c r="D59" s="189"/>
      <c r="E59" s="189"/>
      <c r="F59" s="189"/>
      <c r="G59" s="189"/>
      <c r="H59" s="189"/>
      <c r="I59" s="189"/>
      <c r="J59" s="189"/>
      <c r="K59" s="189"/>
      <c r="L59" s="189" t="s">
        <v>1486</v>
      </c>
      <c r="M59" s="189"/>
      <c r="N59" s="189"/>
      <c r="O59" s="189"/>
      <c r="P59" s="189"/>
      <c r="Q59" s="189"/>
      <c r="R59" s="189"/>
      <c r="S59" s="189"/>
      <c r="T59" s="189"/>
      <c r="U59" s="189"/>
      <c r="V59" s="189" t="s">
        <v>1022</v>
      </c>
      <c r="W59" s="189"/>
      <c r="X59" s="189"/>
      <c r="Y59" s="189" t="s">
        <v>1022</v>
      </c>
      <c r="Z59" s="189"/>
      <c r="AA59" s="189"/>
      <c r="AB59" s="189"/>
      <c r="AC59" s="189"/>
      <c r="AD59" s="189"/>
      <c r="AE59" s="189"/>
      <c r="AF59" s="189"/>
      <c r="AG59" s="189"/>
      <c r="AH59" s="189"/>
      <c r="AI59" s="191"/>
    </row>
    <row r="60" spans="2:37" ht="13.8" thickBot="1">
      <c r="B60" s="4">
        <v>2</v>
      </c>
      <c r="C60" s="190" t="s">
        <v>1092</v>
      </c>
      <c r="D60" s="190"/>
      <c r="E60" s="190"/>
      <c r="F60" s="190"/>
      <c r="G60" s="190"/>
      <c r="H60" s="190"/>
      <c r="I60" s="190"/>
      <c r="J60" s="190"/>
      <c r="K60" s="190"/>
      <c r="L60" s="190" t="s">
        <v>1043</v>
      </c>
      <c r="M60" s="190"/>
      <c r="N60" s="190"/>
      <c r="O60" s="190"/>
      <c r="P60" s="190"/>
      <c r="Q60" s="190"/>
      <c r="R60" s="190"/>
      <c r="S60" s="190"/>
      <c r="T60" s="190"/>
      <c r="U60" s="190"/>
      <c r="V60" s="190"/>
      <c r="W60" s="190"/>
      <c r="X60" s="190"/>
      <c r="Y60" s="190"/>
      <c r="Z60" s="190"/>
      <c r="AA60" s="190"/>
      <c r="AB60" s="190"/>
      <c r="AC60" s="190"/>
      <c r="AD60" s="190"/>
      <c r="AE60" s="190"/>
      <c r="AF60" s="190"/>
      <c r="AG60" s="190"/>
      <c r="AH60" s="190"/>
      <c r="AI60" s="198"/>
    </row>
    <row r="62" spans="2:37" ht="15" thickBot="1">
      <c r="B62" s="7" t="s">
        <v>995</v>
      </c>
    </row>
    <row r="63" spans="2:37">
      <c r="B63" s="14" t="s">
        <v>1069</v>
      </c>
      <c r="C63" s="226" t="s">
        <v>1070</v>
      </c>
      <c r="D63" s="226"/>
      <c r="E63" s="226"/>
      <c r="F63" s="226"/>
      <c r="G63" s="226"/>
      <c r="H63" s="226"/>
      <c r="I63" s="226"/>
      <c r="J63" s="226"/>
      <c r="K63" s="226"/>
      <c r="L63" s="226"/>
      <c r="M63" s="226" t="s">
        <v>1072</v>
      </c>
      <c r="N63" s="226"/>
      <c r="O63" s="226"/>
      <c r="P63" s="226"/>
      <c r="Q63" s="226"/>
      <c r="R63" s="226"/>
      <c r="S63" s="226"/>
      <c r="T63" s="226"/>
      <c r="U63" s="226" t="s">
        <v>1154</v>
      </c>
      <c r="V63" s="226"/>
      <c r="W63" s="226"/>
      <c r="X63" s="226"/>
      <c r="Y63" s="226"/>
      <c r="Z63" s="226"/>
      <c r="AA63" s="226"/>
      <c r="AB63" s="226"/>
      <c r="AC63" s="226"/>
      <c r="AD63" s="226" t="s">
        <v>1155</v>
      </c>
      <c r="AE63" s="226"/>
      <c r="AF63" s="226"/>
      <c r="AG63" s="226"/>
      <c r="AH63" s="226"/>
      <c r="AI63" s="227"/>
    </row>
    <row r="64" spans="2:37" ht="13.8" thickBot="1">
      <c r="B64" s="4"/>
      <c r="C64" s="190"/>
      <c r="D64" s="190"/>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8"/>
    </row>
    <row r="66" spans="2:35" ht="15" thickBot="1">
      <c r="B66" s="7" t="s">
        <v>996</v>
      </c>
    </row>
    <row r="67" spans="2:35">
      <c r="B67" s="14" t="s">
        <v>1069</v>
      </c>
      <c r="C67" s="226" t="s">
        <v>1070</v>
      </c>
      <c r="D67" s="226"/>
      <c r="E67" s="226"/>
      <c r="F67" s="226"/>
      <c r="G67" s="226"/>
      <c r="H67" s="226"/>
      <c r="I67" s="226"/>
      <c r="J67" s="226"/>
      <c r="K67" s="226"/>
      <c r="L67" s="226"/>
      <c r="M67" s="226" t="s">
        <v>1072</v>
      </c>
      <c r="N67" s="226"/>
      <c r="O67" s="226"/>
      <c r="P67" s="226"/>
      <c r="Q67" s="226"/>
      <c r="R67" s="226"/>
      <c r="S67" s="226"/>
      <c r="T67" s="226"/>
      <c r="U67" s="226" t="s">
        <v>1154</v>
      </c>
      <c r="V67" s="226"/>
      <c r="W67" s="226"/>
      <c r="X67" s="226"/>
      <c r="Y67" s="226"/>
      <c r="Z67" s="226"/>
      <c r="AA67" s="226"/>
      <c r="AB67" s="226"/>
      <c r="AC67" s="226"/>
      <c r="AD67" s="226" t="s">
        <v>1155</v>
      </c>
      <c r="AE67" s="226"/>
      <c r="AF67" s="226"/>
      <c r="AG67" s="226"/>
      <c r="AH67" s="226"/>
      <c r="AI67" s="227"/>
    </row>
    <row r="68" spans="2:35" ht="13.8" thickBot="1">
      <c r="B68" s="4"/>
      <c r="C68" s="190"/>
      <c r="D68" s="190"/>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8"/>
    </row>
  </sheetData>
  <mergeCells count="367">
    <mergeCell ref="C64:L64"/>
    <mergeCell ref="M64:T64"/>
    <mergeCell ref="U64:AC64"/>
    <mergeCell ref="AD64:AI64"/>
    <mergeCell ref="C67:L67"/>
    <mergeCell ref="M67:T67"/>
    <mergeCell ref="U67:AC67"/>
    <mergeCell ref="AD67:AI67"/>
    <mergeCell ref="C68:L68"/>
    <mergeCell ref="M68:T68"/>
    <mergeCell ref="U68:AC68"/>
    <mergeCell ref="AD68:AI68"/>
    <mergeCell ref="C60:K60"/>
    <mergeCell ref="L60:U60"/>
    <mergeCell ref="V60:X60"/>
    <mergeCell ref="Y60:AA60"/>
    <mergeCell ref="AB60:AI60"/>
    <mergeCell ref="C63:L63"/>
    <mergeCell ref="M63:T63"/>
    <mergeCell ref="U63:AC63"/>
    <mergeCell ref="AD63:AI63"/>
    <mergeCell ref="C58:K58"/>
    <mergeCell ref="L58:U58"/>
    <mergeCell ref="V58:X58"/>
    <mergeCell ref="Y58:AA58"/>
    <mergeCell ref="AB58:AI58"/>
    <mergeCell ref="C59:K59"/>
    <mergeCell ref="L59:U59"/>
    <mergeCell ref="V59:X59"/>
    <mergeCell ref="Y59:AA59"/>
    <mergeCell ref="AB59:AI59"/>
    <mergeCell ref="B2:E4"/>
    <mergeCell ref="F2:H2"/>
    <mergeCell ref="F3:H3"/>
    <mergeCell ref="F4:H4"/>
    <mergeCell ref="C8:H8"/>
    <mergeCell ref="I8:P8"/>
    <mergeCell ref="C9:H9"/>
    <mergeCell ref="Y8:Z8"/>
    <mergeCell ref="Y9:Z9"/>
    <mergeCell ref="Q8:X8"/>
    <mergeCell ref="C10:H10"/>
    <mergeCell ref="C11:H11"/>
    <mergeCell ref="C12:H12"/>
    <mergeCell ref="C13:H13"/>
    <mergeCell ref="C14:H14"/>
    <mergeCell ref="AE8:AK8"/>
    <mergeCell ref="AA9:AB9"/>
    <mergeCell ref="AC9:AD9"/>
    <mergeCell ref="Q9:X9"/>
    <mergeCell ref="AA8:AB8"/>
    <mergeCell ref="AC8:AD8"/>
    <mergeCell ref="Y10:Z10"/>
    <mergeCell ref="Y11:Z11"/>
    <mergeCell ref="Y12:Z12"/>
    <mergeCell ref="Y13:Z13"/>
    <mergeCell ref="Y14:Z14"/>
    <mergeCell ref="Q18:X18"/>
    <mergeCell ref="Q19:X19"/>
    <mergeCell ref="Q20:X20"/>
    <mergeCell ref="Q21:X21"/>
    <mergeCell ref="Q22:X22"/>
    <mergeCell ref="Q10:X10"/>
    <mergeCell ref="Q11:X11"/>
    <mergeCell ref="Q12:X12"/>
    <mergeCell ref="Q13:X13"/>
    <mergeCell ref="Q14:X14"/>
    <mergeCell ref="Q15:X15"/>
    <mergeCell ref="C23:H23"/>
    <mergeCell ref="C24:H24"/>
    <mergeCell ref="C25:H25"/>
    <mergeCell ref="C26:H26"/>
    <mergeCell ref="C27:H27"/>
    <mergeCell ref="AA20:AB20"/>
    <mergeCell ref="AA21:AB21"/>
    <mergeCell ref="AA22:AB22"/>
    <mergeCell ref="C15:H15"/>
    <mergeCell ref="C16:H16"/>
    <mergeCell ref="C18:H18"/>
    <mergeCell ref="C19:H19"/>
    <mergeCell ref="C20:H20"/>
    <mergeCell ref="C21:H21"/>
    <mergeCell ref="I18:P18"/>
    <mergeCell ref="I19:P19"/>
    <mergeCell ref="I20:P20"/>
    <mergeCell ref="I21:P21"/>
    <mergeCell ref="I22:P22"/>
    <mergeCell ref="Y20:Z20"/>
    <mergeCell ref="Y21:Z21"/>
    <mergeCell ref="Y22:Z22"/>
    <mergeCell ref="C22:H22"/>
    <mergeCell ref="Q16:X16"/>
    <mergeCell ref="C53:H53"/>
    <mergeCell ref="I53:P53"/>
    <mergeCell ref="C34:H34"/>
    <mergeCell ref="C35:H35"/>
    <mergeCell ref="C36:H36"/>
    <mergeCell ref="C37:H37"/>
    <mergeCell ref="C38:H38"/>
    <mergeCell ref="C39:H39"/>
    <mergeCell ref="C28:H28"/>
    <mergeCell ref="C29:H29"/>
    <mergeCell ref="C30:H30"/>
    <mergeCell ref="C31:H31"/>
    <mergeCell ref="C32:H32"/>
    <mergeCell ref="C33:H33"/>
    <mergeCell ref="C43:H43"/>
    <mergeCell ref="C44:H44"/>
    <mergeCell ref="C45:H45"/>
    <mergeCell ref="C52:H52"/>
    <mergeCell ref="I52:P52"/>
    <mergeCell ref="I51:P51"/>
    <mergeCell ref="I48:P48"/>
    <mergeCell ref="I49:P49"/>
    <mergeCell ref="I50:P50"/>
    <mergeCell ref="I46:P46"/>
    <mergeCell ref="I23:P23"/>
    <mergeCell ref="C54:H54"/>
    <mergeCell ref="I9:P9"/>
    <mergeCell ref="I10:P10"/>
    <mergeCell ref="I11:P11"/>
    <mergeCell ref="I12:P12"/>
    <mergeCell ref="I13:P13"/>
    <mergeCell ref="I14:P14"/>
    <mergeCell ref="I15:P15"/>
    <mergeCell ref="I16:P16"/>
    <mergeCell ref="C46:H46"/>
    <mergeCell ref="C47:H47"/>
    <mergeCell ref="C48:H48"/>
    <mergeCell ref="C49:H49"/>
    <mergeCell ref="C50:H50"/>
    <mergeCell ref="C51:H51"/>
    <mergeCell ref="C40:H40"/>
    <mergeCell ref="C41:H41"/>
    <mergeCell ref="I54:P54"/>
    <mergeCell ref="I42:P42"/>
    <mergeCell ref="I43:P43"/>
    <mergeCell ref="I44:P44"/>
    <mergeCell ref="I45:P45"/>
    <mergeCell ref="C42:H42"/>
    <mergeCell ref="I47:P47"/>
    <mergeCell ref="I36:P36"/>
    <mergeCell ref="I37:P37"/>
    <mergeCell ref="I38:P38"/>
    <mergeCell ref="I39:P39"/>
    <mergeCell ref="I40:P40"/>
    <mergeCell ref="I41:P41"/>
    <mergeCell ref="Q23:X23"/>
    <mergeCell ref="Q24:X24"/>
    <mergeCell ref="Q25:X25"/>
    <mergeCell ref="Q26:X26"/>
    <mergeCell ref="Q27:X27"/>
    <mergeCell ref="Q28:X28"/>
    <mergeCell ref="I24:P24"/>
    <mergeCell ref="I25:P25"/>
    <mergeCell ref="I26:P26"/>
    <mergeCell ref="I27:P27"/>
    <mergeCell ref="I28:P28"/>
    <mergeCell ref="I29:P29"/>
    <mergeCell ref="Q46:X46"/>
    <mergeCell ref="Q35:X35"/>
    <mergeCell ref="Q36:X36"/>
    <mergeCell ref="Q37:X37"/>
    <mergeCell ref="Q39:X39"/>
    <mergeCell ref="Q40:X40"/>
    <mergeCell ref="Q29:X29"/>
    <mergeCell ref="Q30:X30"/>
    <mergeCell ref="Q31:X31"/>
    <mergeCell ref="Q32:X32"/>
    <mergeCell ref="Q33:X33"/>
    <mergeCell ref="Q34:X34"/>
    <mergeCell ref="I30:P30"/>
    <mergeCell ref="I31:P31"/>
    <mergeCell ref="I32:P32"/>
    <mergeCell ref="I33:P33"/>
    <mergeCell ref="I34:P34"/>
    <mergeCell ref="I35:P35"/>
    <mergeCell ref="Q54:X54"/>
    <mergeCell ref="AA10:AB10"/>
    <mergeCell ref="AA11:AB11"/>
    <mergeCell ref="AA12:AB12"/>
    <mergeCell ref="AA13:AB13"/>
    <mergeCell ref="AA14:AB14"/>
    <mergeCell ref="AA15:AB15"/>
    <mergeCell ref="AA16:AB16"/>
    <mergeCell ref="AA18:AB18"/>
    <mergeCell ref="AA19:AB19"/>
    <mergeCell ref="Q47:X47"/>
    <mergeCell ref="Q48:X48"/>
    <mergeCell ref="Q49:X49"/>
    <mergeCell ref="Q50:X50"/>
    <mergeCell ref="Q51:X51"/>
    <mergeCell ref="Q41:X41"/>
    <mergeCell ref="Q42:X42"/>
    <mergeCell ref="AA34:AB34"/>
    <mergeCell ref="AA35:AB35"/>
    <mergeCell ref="AA36:AB36"/>
    <mergeCell ref="Q43:X43"/>
    <mergeCell ref="Q44:X44"/>
    <mergeCell ref="Q45:X45"/>
    <mergeCell ref="Q38:X38"/>
    <mergeCell ref="AA26:AB26"/>
    <mergeCell ref="AA27:AB27"/>
    <mergeCell ref="AA28:AB28"/>
    <mergeCell ref="AA29:AB29"/>
    <mergeCell ref="AA30:AB30"/>
    <mergeCell ref="AA31:AB31"/>
    <mergeCell ref="AA50:AB50"/>
    <mergeCell ref="AA51:AB51"/>
    <mergeCell ref="AA23:AB23"/>
    <mergeCell ref="AA24:AB24"/>
    <mergeCell ref="AA25:AB25"/>
    <mergeCell ref="AA54:AB54"/>
    <mergeCell ref="AC10:AD10"/>
    <mergeCell ref="AC11:AD11"/>
    <mergeCell ref="AC12:AD12"/>
    <mergeCell ref="AC13:AD13"/>
    <mergeCell ref="AC14:AD14"/>
    <mergeCell ref="AC15:AD15"/>
    <mergeCell ref="AA44:AB44"/>
    <mergeCell ref="AA45:AB45"/>
    <mergeCell ref="AA46:AB46"/>
    <mergeCell ref="AA47:AB47"/>
    <mergeCell ref="AA48:AB48"/>
    <mergeCell ref="AA49:AB49"/>
    <mergeCell ref="AA38:AB38"/>
    <mergeCell ref="AA39:AB39"/>
    <mergeCell ref="AA40:AB40"/>
    <mergeCell ref="AA41:AB41"/>
    <mergeCell ref="AA42:AB42"/>
    <mergeCell ref="AA43:AB43"/>
    <mergeCell ref="AA32:AB32"/>
    <mergeCell ref="AA33:AB33"/>
    <mergeCell ref="AC23:AD23"/>
    <mergeCell ref="AC24:AD24"/>
    <mergeCell ref="AA37:AB37"/>
    <mergeCell ref="AC25:AD25"/>
    <mergeCell ref="AC26:AD26"/>
    <mergeCell ref="AC27:AD27"/>
    <mergeCell ref="AC28:AD28"/>
    <mergeCell ref="AC16:AD16"/>
    <mergeCell ref="AC18:AD18"/>
    <mergeCell ref="AC19:AD19"/>
    <mergeCell ref="AC20:AD20"/>
    <mergeCell ref="AC21:AD21"/>
    <mergeCell ref="AC22:AD22"/>
    <mergeCell ref="AC45:AD45"/>
    <mergeCell ref="AC46:AD46"/>
    <mergeCell ref="AC35:AD35"/>
    <mergeCell ref="AC36:AD36"/>
    <mergeCell ref="AC37:AD37"/>
    <mergeCell ref="AC38:AD38"/>
    <mergeCell ref="AC39:AD39"/>
    <mergeCell ref="AC40:AD40"/>
    <mergeCell ref="AC29:AD29"/>
    <mergeCell ref="AC30:AD30"/>
    <mergeCell ref="AC31:AD31"/>
    <mergeCell ref="AC32:AD32"/>
    <mergeCell ref="AC33:AD33"/>
    <mergeCell ref="AC34:AD34"/>
    <mergeCell ref="AE20:AK20"/>
    <mergeCell ref="AE21:AK21"/>
    <mergeCell ref="AE22:AK22"/>
    <mergeCell ref="AE23:AK23"/>
    <mergeCell ref="AE24:AK24"/>
    <mergeCell ref="AC54:AD54"/>
    <mergeCell ref="AE9:AK9"/>
    <mergeCell ref="AE10:AK10"/>
    <mergeCell ref="AE11:AK11"/>
    <mergeCell ref="AE12:AK12"/>
    <mergeCell ref="AE13:AK13"/>
    <mergeCell ref="AE14:AK14"/>
    <mergeCell ref="AE15:AK15"/>
    <mergeCell ref="AE16:AK16"/>
    <mergeCell ref="AE18:AK18"/>
    <mergeCell ref="AC47:AD47"/>
    <mergeCell ref="AC48:AD48"/>
    <mergeCell ref="AC49:AD49"/>
    <mergeCell ref="AC50:AD50"/>
    <mergeCell ref="AC51:AD51"/>
    <mergeCell ref="AC41:AD41"/>
    <mergeCell ref="AC42:AD42"/>
    <mergeCell ref="AC43:AD43"/>
    <mergeCell ref="AC44:AD44"/>
    <mergeCell ref="AE54:AK54"/>
    <mergeCell ref="I2:L2"/>
    <mergeCell ref="I3:L3"/>
    <mergeCell ref="I4:L4"/>
    <mergeCell ref="AE43:AK43"/>
    <mergeCell ref="AE44:AK44"/>
    <mergeCell ref="AE45:AK45"/>
    <mergeCell ref="AE46:AK46"/>
    <mergeCell ref="AE47:AK47"/>
    <mergeCell ref="AE48:AK48"/>
    <mergeCell ref="AE37:AK37"/>
    <mergeCell ref="AE38:AK38"/>
    <mergeCell ref="AE39:AK39"/>
    <mergeCell ref="AE40:AK40"/>
    <mergeCell ref="AE41:AK41"/>
    <mergeCell ref="AE42:AK42"/>
    <mergeCell ref="AE31:AK31"/>
    <mergeCell ref="AE32:AK32"/>
    <mergeCell ref="AE33:AK33"/>
    <mergeCell ref="AE34:AK34"/>
    <mergeCell ref="AE35:AK35"/>
    <mergeCell ref="AE36:AK36"/>
    <mergeCell ref="AE25:AK25"/>
    <mergeCell ref="AE26:AK26"/>
    <mergeCell ref="Y15:Z15"/>
    <mergeCell ref="Y16:Z16"/>
    <mergeCell ref="Y18:Z18"/>
    <mergeCell ref="Y19:Z19"/>
    <mergeCell ref="Y23:Z23"/>
    <mergeCell ref="Y24:Z24"/>
    <mergeCell ref="Y25:Z25"/>
    <mergeCell ref="Y26:Z26"/>
    <mergeCell ref="Y27:Z27"/>
    <mergeCell ref="Y54:Z54"/>
    <mergeCell ref="Y38:Z38"/>
    <mergeCell ref="Y39:Z39"/>
    <mergeCell ref="Y40:Z40"/>
    <mergeCell ref="Y41:Z41"/>
    <mergeCell ref="Y42:Z42"/>
    <mergeCell ref="Y43:Z43"/>
    <mergeCell ref="Y44:Z44"/>
    <mergeCell ref="Y45:Z45"/>
    <mergeCell ref="Y46:Z46"/>
    <mergeCell ref="Y47:Z47"/>
    <mergeCell ref="Y48:Z48"/>
    <mergeCell ref="Y49:Z49"/>
    <mergeCell ref="Y50:Z50"/>
    <mergeCell ref="Y51:Z51"/>
    <mergeCell ref="AE51:AK51"/>
    <mergeCell ref="Q53:X53"/>
    <mergeCell ref="Y53:Z53"/>
    <mergeCell ref="AA53:AB53"/>
    <mergeCell ref="AC53:AD53"/>
    <mergeCell ref="AE53:AK53"/>
    <mergeCell ref="Q52:X52"/>
    <mergeCell ref="Y52:Z52"/>
    <mergeCell ref="AA52:AB52"/>
    <mergeCell ref="AC52:AD52"/>
    <mergeCell ref="AE52:AK52"/>
    <mergeCell ref="C17:H17"/>
    <mergeCell ref="I17:P17"/>
    <mergeCell ref="Q17:X17"/>
    <mergeCell ref="Y17:Z17"/>
    <mergeCell ref="AA17:AB17"/>
    <mergeCell ref="AC17:AD17"/>
    <mergeCell ref="AE17:AK17"/>
    <mergeCell ref="AE49:AK49"/>
    <mergeCell ref="AE50:AK50"/>
    <mergeCell ref="Y37:Z37"/>
    <mergeCell ref="Y28:Z28"/>
    <mergeCell ref="Y29:Z29"/>
    <mergeCell ref="Y30:Z30"/>
    <mergeCell ref="Y31:Z31"/>
    <mergeCell ref="Y32:Z32"/>
    <mergeCell ref="Y33:Z33"/>
    <mergeCell ref="Y34:Z34"/>
    <mergeCell ref="Y35:Z35"/>
    <mergeCell ref="Y36:Z36"/>
    <mergeCell ref="AE27:AK27"/>
    <mergeCell ref="AE28:AK28"/>
    <mergeCell ref="AE29:AK29"/>
    <mergeCell ref="AE30:AK30"/>
    <mergeCell ref="AE19:AK19"/>
  </mergeCells>
  <phoneticPr fontId="3"/>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29AE-C293-4A56-BACE-9CF839BADB93}">
  <sheetPr codeName="Sheet47"/>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672</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668</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669</v>
      </c>
      <c r="D9" s="189"/>
      <c r="E9" s="189"/>
      <c r="F9" s="189"/>
      <c r="G9" s="189"/>
      <c r="H9" s="189"/>
      <c r="I9" s="189" t="s">
        <v>662</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670</v>
      </c>
      <c r="D10" s="190"/>
      <c r="E10" s="190"/>
      <c r="F10" s="190"/>
      <c r="G10" s="190"/>
      <c r="H10" s="190"/>
      <c r="I10" s="190" t="s">
        <v>671</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4">
        <v>1</v>
      </c>
      <c r="C15" s="190" t="s">
        <v>1094</v>
      </c>
      <c r="D15" s="190"/>
      <c r="E15" s="190"/>
      <c r="F15" s="190"/>
      <c r="G15" s="190"/>
      <c r="H15" s="190"/>
      <c r="I15" s="190"/>
      <c r="J15" s="190"/>
      <c r="K15" s="190"/>
      <c r="L15" s="190" t="s">
        <v>1095</v>
      </c>
      <c r="M15" s="190"/>
      <c r="N15" s="190"/>
      <c r="O15" s="190"/>
      <c r="P15" s="190"/>
      <c r="Q15" s="190"/>
      <c r="R15" s="190"/>
      <c r="S15" s="190"/>
      <c r="T15" s="190"/>
      <c r="U15" s="190"/>
      <c r="V15" s="190" t="s">
        <v>1022</v>
      </c>
      <c r="W15" s="190"/>
      <c r="X15" s="190"/>
      <c r="Y15" s="190" t="s">
        <v>1022</v>
      </c>
      <c r="Z15" s="190"/>
      <c r="AA15" s="190"/>
      <c r="AB15" s="190"/>
      <c r="AC15" s="190"/>
      <c r="AD15" s="190"/>
      <c r="AE15" s="190"/>
      <c r="AF15" s="190"/>
      <c r="AG15" s="190"/>
      <c r="AH15" s="190"/>
      <c r="AI15" s="198"/>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4E39-E3CD-420B-AA6E-CEB6201F4597}">
  <sheetPr codeName="Sheet48"/>
  <dimension ref="B1:AK29"/>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680</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673</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674</v>
      </c>
      <c r="D9" s="189"/>
      <c r="E9" s="189"/>
      <c r="F9" s="189"/>
      <c r="G9" s="189"/>
      <c r="H9" s="189"/>
      <c r="I9" s="189" t="s">
        <v>677</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603</v>
      </c>
      <c r="D10" s="189"/>
      <c r="E10" s="189"/>
      <c r="F10" s="189"/>
      <c r="G10" s="189"/>
      <c r="H10" s="189"/>
      <c r="I10" s="189" t="s">
        <v>638</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117</v>
      </c>
      <c r="D11" s="189"/>
      <c r="E11" s="189"/>
      <c r="F11" s="189"/>
      <c r="G11" s="189"/>
      <c r="H11" s="189"/>
      <c r="I11" s="189" t="s">
        <v>382</v>
      </c>
      <c r="J11" s="189"/>
      <c r="K11" s="189"/>
      <c r="L11" s="189"/>
      <c r="M11" s="189"/>
      <c r="N11" s="189"/>
      <c r="O11" s="189"/>
      <c r="P11" s="189"/>
      <c r="Q11" s="189" t="s">
        <v>146</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120</v>
      </c>
      <c r="D12" s="189"/>
      <c r="E12" s="189"/>
      <c r="F12" s="189"/>
      <c r="G12" s="189"/>
      <c r="H12" s="189"/>
      <c r="I12" s="189" t="s">
        <v>383</v>
      </c>
      <c r="J12" s="189"/>
      <c r="K12" s="189"/>
      <c r="L12" s="189"/>
      <c r="M12" s="189"/>
      <c r="N12" s="189"/>
      <c r="O12" s="189"/>
      <c r="P12" s="189"/>
      <c r="Q12" s="189" t="s">
        <v>146</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675</v>
      </c>
      <c r="D13" s="189"/>
      <c r="E13" s="189"/>
      <c r="F13" s="189"/>
      <c r="G13" s="189"/>
      <c r="H13" s="189"/>
      <c r="I13" s="189" t="s">
        <v>678</v>
      </c>
      <c r="J13" s="189"/>
      <c r="K13" s="189"/>
      <c r="L13" s="189"/>
      <c r="M13" s="189"/>
      <c r="N13" s="189"/>
      <c r="O13" s="189"/>
      <c r="P13" s="189"/>
      <c r="Q13" s="189" t="s">
        <v>146</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549</v>
      </c>
      <c r="D14" s="189"/>
      <c r="E14" s="189"/>
      <c r="F14" s="189"/>
      <c r="G14" s="189"/>
      <c r="H14" s="189"/>
      <c r="I14" s="189" t="s">
        <v>134</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ht="13.8" thickBot="1">
      <c r="B15" s="4">
        <v>7</v>
      </c>
      <c r="C15" s="190" t="s">
        <v>676</v>
      </c>
      <c r="D15" s="190"/>
      <c r="E15" s="190"/>
      <c r="F15" s="190"/>
      <c r="G15" s="190"/>
      <c r="H15" s="190"/>
      <c r="I15" s="190" t="s">
        <v>388</v>
      </c>
      <c r="J15" s="190"/>
      <c r="K15" s="190"/>
      <c r="L15" s="190"/>
      <c r="M15" s="190"/>
      <c r="N15" s="190"/>
      <c r="O15" s="190"/>
      <c r="P15" s="190"/>
      <c r="Q15" s="190" t="s">
        <v>392</v>
      </c>
      <c r="R15" s="190"/>
      <c r="S15" s="190"/>
      <c r="T15" s="190"/>
      <c r="U15" s="190"/>
      <c r="V15" s="190"/>
      <c r="W15" s="190"/>
      <c r="X15" s="190"/>
      <c r="Y15" s="190"/>
      <c r="Z15" s="190"/>
      <c r="AA15" s="190"/>
      <c r="AB15" s="190"/>
      <c r="AC15" s="190"/>
      <c r="AD15" s="190"/>
      <c r="AE15" s="190"/>
      <c r="AF15" s="190"/>
      <c r="AG15" s="190"/>
      <c r="AH15" s="190"/>
      <c r="AI15" s="190"/>
      <c r="AJ15" s="190"/>
      <c r="AK15" s="198"/>
    </row>
    <row r="18" spans="2:35" ht="15" thickBot="1">
      <c r="B18" s="7" t="s">
        <v>994</v>
      </c>
    </row>
    <row r="19" spans="2:35">
      <c r="B19" s="10" t="s">
        <v>7</v>
      </c>
      <c r="C19" s="226" t="s">
        <v>998</v>
      </c>
      <c r="D19" s="226"/>
      <c r="E19" s="226"/>
      <c r="F19" s="226"/>
      <c r="G19" s="226"/>
      <c r="H19" s="226"/>
      <c r="I19" s="226"/>
      <c r="J19" s="226"/>
      <c r="K19" s="226"/>
      <c r="L19" s="226" t="s">
        <v>1000</v>
      </c>
      <c r="M19" s="226"/>
      <c r="N19" s="226"/>
      <c r="O19" s="226"/>
      <c r="P19" s="226"/>
      <c r="Q19" s="226"/>
      <c r="R19" s="226"/>
      <c r="S19" s="226"/>
      <c r="T19" s="226"/>
      <c r="U19" s="226"/>
      <c r="V19" s="226" t="s">
        <v>1002</v>
      </c>
      <c r="W19" s="226"/>
      <c r="X19" s="226"/>
      <c r="Y19" s="226" t="s">
        <v>1004</v>
      </c>
      <c r="Z19" s="226"/>
      <c r="AA19" s="226"/>
      <c r="AB19" s="226" t="s">
        <v>1005</v>
      </c>
      <c r="AC19" s="226"/>
      <c r="AD19" s="226"/>
      <c r="AE19" s="226"/>
      <c r="AF19" s="226"/>
      <c r="AG19" s="226"/>
      <c r="AH19" s="226"/>
      <c r="AI19" s="227"/>
    </row>
    <row r="20" spans="2:35">
      <c r="B20" s="269">
        <v>1</v>
      </c>
      <c r="C20" s="271" t="s">
        <v>1096</v>
      </c>
      <c r="D20" s="272"/>
      <c r="E20" s="272"/>
      <c r="F20" s="272"/>
      <c r="G20" s="272"/>
      <c r="H20" s="272"/>
      <c r="I20" s="272"/>
      <c r="J20" s="272"/>
      <c r="K20" s="273"/>
      <c r="L20" s="268" t="s">
        <v>1097</v>
      </c>
      <c r="M20" s="268"/>
      <c r="N20" s="268"/>
      <c r="O20" s="268"/>
      <c r="P20" s="268"/>
      <c r="Q20" s="268"/>
      <c r="R20" s="268"/>
      <c r="S20" s="268"/>
      <c r="T20" s="268"/>
      <c r="U20" s="268"/>
      <c r="V20" s="271" t="s">
        <v>1022</v>
      </c>
      <c r="W20" s="272"/>
      <c r="X20" s="273"/>
      <c r="Y20" s="271" t="s">
        <v>1022</v>
      </c>
      <c r="Z20" s="272"/>
      <c r="AA20" s="273"/>
      <c r="AB20" s="271"/>
      <c r="AC20" s="272"/>
      <c r="AD20" s="272"/>
      <c r="AE20" s="272"/>
      <c r="AF20" s="272"/>
      <c r="AG20" s="272"/>
      <c r="AH20" s="272"/>
      <c r="AI20" s="277"/>
    </row>
    <row r="21" spans="2:35" ht="13.8" thickBot="1">
      <c r="B21" s="270"/>
      <c r="C21" s="274"/>
      <c r="D21" s="275"/>
      <c r="E21" s="275"/>
      <c r="F21" s="275"/>
      <c r="G21" s="275"/>
      <c r="H21" s="275"/>
      <c r="I21" s="275"/>
      <c r="J21" s="275"/>
      <c r="K21" s="276"/>
      <c r="L21" s="279" t="s">
        <v>1093</v>
      </c>
      <c r="M21" s="279"/>
      <c r="N21" s="279"/>
      <c r="O21" s="279"/>
      <c r="P21" s="279"/>
      <c r="Q21" s="279"/>
      <c r="R21" s="279"/>
      <c r="S21" s="279"/>
      <c r="T21" s="279"/>
      <c r="U21" s="279"/>
      <c r="V21" s="274"/>
      <c r="W21" s="275"/>
      <c r="X21" s="276"/>
      <c r="Y21" s="274"/>
      <c r="Z21" s="275"/>
      <c r="AA21" s="276"/>
      <c r="AB21" s="274"/>
      <c r="AC21" s="275"/>
      <c r="AD21" s="275"/>
      <c r="AE21" s="275"/>
      <c r="AF21" s="275"/>
      <c r="AG21" s="275"/>
      <c r="AH21" s="275"/>
      <c r="AI21" s="278"/>
    </row>
    <row r="23" spans="2:35" ht="15" thickBot="1">
      <c r="B23" s="7" t="s">
        <v>995</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row r="27" spans="2:35" ht="15" thickBot="1">
      <c r="B27" s="7" t="s">
        <v>996</v>
      </c>
    </row>
    <row r="28" spans="2:35">
      <c r="B28" s="14" t="s">
        <v>1069</v>
      </c>
      <c r="C28" s="226" t="s">
        <v>1070</v>
      </c>
      <c r="D28" s="226"/>
      <c r="E28" s="226"/>
      <c r="F28" s="226"/>
      <c r="G28" s="226"/>
      <c r="H28" s="226"/>
      <c r="I28" s="226"/>
      <c r="J28" s="226"/>
      <c r="K28" s="226"/>
      <c r="L28" s="226"/>
      <c r="M28" s="226" t="s">
        <v>1072</v>
      </c>
      <c r="N28" s="226"/>
      <c r="O28" s="226"/>
      <c r="P28" s="226"/>
      <c r="Q28" s="226"/>
      <c r="R28" s="226"/>
      <c r="S28" s="226"/>
      <c r="T28" s="226"/>
      <c r="U28" s="226" t="s">
        <v>1154</v>
      </c>
      <c r="V28" s="226"/>
      <c r="W28" s="226"/>
      <c r="X28" s="226"/>
      <c r="Y28" s="226"/>
      <c r="Z28" s="226"/>
      <c r="AA28" s="226"/>
      <c r="AB28" s="226"/>
      <c r="AC28" s="226"/>
      <c r="AD28" s="226" t="s">
        <v>1155</v>
      </c>
      <c r="AE28" s="226"/>
      <c r="AF28" s="226"/>
      <c r="AG28" s="226"/>
      <c r="AH28" s="226"/>
      <c r="AI28" s="227"/>
    </row>
    <row r="29" spans="2:35" ht="13.8" thickBot="1">
      <c r="B29" s="4"/>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8"/>
    </row>
  </sheetData>
  <mergeCells count="91">
    <mergeCell ref="C28:L28"/>
    <mergeCell ref="M28:T28"/>
    <mergeCell ref="U28:AC28"/>
    <mergeCell ref="AD28:AI28"/>
    <mergeCell ref="C29:L29"/>
    <mergeCell ref="M29:T29"/>
    <mergeCell ref="U29:AC29"/>
    <mergeCell ref="AD29:AI29"/>
    <mergeCell ref="C24:L24"/>
    <mergeCell ref="M24:T24"/>
    <mergeCell ref="U24:AC24"/>
    <mergeCell ref="AD24:AI24"/>
    <mergeCell ref="C25:L25"/>
    <mergeCell ref="M25:T25"/>
    <mergeCell ref="U25:AC25"/>
    <mergeCell ref="AD25:AI25"/>
    <mergeCell ref="B20:B21"/>
    <mergeCell ref="C20:K21"/>
    <mergeCell ref="V20:X21"/>
    <mergeCell ref="Y20:AA21"/>
    <mergeCell ref="AB20:AI21"/>
    <mergeCell ref="L21:U21"/>
    <mergeCell ref="AB19:AI19"/>
    <mergeCell ref="L20:U20"/>
    <mergeCell ref="I8:P8"/>
    <mergeCell ref="C19:K19"/>
    <mergeCell ref="L19:U19"/>
    <mergeCell ref="V19:X19"/>
    <mergeCell ref="Y19:AA19"/>
    <mergeCell ref="Q8:X8"/>
    <mergeCell ref="AA8:AB8"/>
    <mergeCell ref="AC8:AD8"/>
    <mergeCell ref="AE8:AK8"/>
    <mergeCell ref="AA9:AB9"/>
    <mergeCell ref="AC9:AD9"/>
    <mergeCell ref="AA10:AB10"/>
    <mergeCell ref="AC10:AD10"/>
    <mergeCell ref="C9:H9"/>
    <mergeCell ref="Q9:X9"/>
    <mergeCell ref="Q10:X10"/>
    <mergeCell ref="Q11:X11"/>
    <mergeCell ref="B2:E4"/>
    <mergeCell ref="F2:H2"/>
    <mergeCell ref="F3:H3"/>
    <mergeCell ref="F4:H4"/>
    <mergeCell ref="C8:H8"/>
    <mergeCell ref="C13:H13"/>
    <mergeCell ref="C14:H14"/>
    <mergeCell ref="C15:H15"/>
    <mergeCell ref="I9:P9"/>
    <mergeCell ref="I10:P10"/>
    <mergeCell ref="I11:P11"/>
    <mergeCell ref="I12:P12"/>
    <mergeCell ref="I13:P13"/>
    <mergeCell ref="I14:P14"/>
    <mergeCell ref="I15:P15"/>
    <mergeCell ref="C12:H12"/>
    <mergeCell ref="C10:H10"/>
    <mergeCell ref="C11:H11"/>
    <mergeCell ref="Q14:X14"/>
    <mergeCell ref="Q15:X15"/>
    <mergeCell ref="AA11:AB11"/>
    <mergeCell ref="AA12:AB12"/>
    <mergeCell ref="AA13:AB13"/>
    <mergeCell ref="AA14:AB14"/>
    <mergeCell ref="AA15:AB15"/>
    <mergeCell ref="Q12:X12"/>
    <mergeCell ref="Y13:Z13"/>
    <mergeCell ref="Y14:Z14"/>
    <mergeCell ref="Y15:Z15"/>
    <mergeCell ref="AE14:AK14"/>
    <mergeCell ref="AE15:AK15"/>
    <mergeCell ref="I2:M2"/>
    <mergeCell ref="I3:M3"/>
    <mergeCell ref="I4:M4"/>
    <mergeCell ref="AC11:AD11"/>
    <mergeCell ref="AC12:AD12"/>
    <mergeCell ref="AC13:AD13"/>
    <mergeCell ref="AC14:AD14"/>
    <mergeCell ref="AC15:AD15"/>
    <mergeCell ref="AE9:AK9"/>
    <mergeCell ref="AE10:AK10"/>
    <mergeCell ref="AE11:AK11"/>
    <mergeCell ref="AE12:AK12"/>
    <mergeCell ref="AE13:AK13"/>
    <mergeCell ref="Q13:X13"/>
    <mergeCell ref="Y8:Z8"/>
    <mergeCell ref="Y9:Z9"/>
    <mergeCell ref="Y10:Z10"/>
    <mergeCell ref="Y11:Z11"/>
    <mergeCell ref="Y12:Z12"/>
  </mergeCells>
  <phoneticPr fontId="3"/>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D83A1-F263-4386-A4B4-4934A15C05DD}">
  <sheetPr codeName="Sheet50"/>
  <dimension ref="B1:AK25"/>
  <sheetViews>
    <sheetView workbookViewId="0">
      <selection activeCell="I9" sqref="I9:P9"/>
    </sheetView>
  </sheetViews>
  <sheetFormatPr defaultColWidth="3.6640625" defaultRowHeight="13.2"/>
  <sheetData>
    <row r="1" spans="2:37" ht="13.8" thickBot="1"/>
    <row r="2" spans="2:37">
      <c r="B2" s="205" t="s">
        <v>95</v>
      </c>
      <c r="C2" s="206"/>
      <c r="D2" s="206"/>
      <c r="E2" s="206"/>
      <c r="F2" s="211" t="s">
        <v>93</v>
      </c>
      <c r="G2" s="211"/>
      <c r="H2" s="212"/>
      <c r="I2" s="196" t="s">
        <v>688</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681</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116</v>
      </c>
      <c r="D9" s="189"/>
      <c r="E9" s="189"/>
      <c r="F9" s="189"/>
      <c r="G9" s="189"/>
      <c r="H9" s="189"/>
      <c r="I9" s="189" t="s">
        <v>649</v>
      </c>
      <c r="J9" s="189"/>
      <c r="K9" s="189"/>
      <c r="L9" s="189"/>
      <c r="M9" s="189"/>
      <c r="N9" s="189"/>
      <c r="O9" s="189"/>
      <c r="P9" s="189"/>
      <c r="Q9" s="189" t="s">
        <v>146</v>
      </c>
      <c r="R9" s="189"/>
      <c r="S9" s="189"/>
      <c r="T9" s="189"/>
      <c r="U9" s="189"/>
      <c r="V9" s="189"/>
      <c r="W9" s="189"/>
      <c r="X9" s="189"/>
      <c r="Y9" s="189" t="s">
        <v>149</v>
      </c>
      <c r="Z9" s="189"/>
      <c r="AA9" s="189" t="s">
        <v>149</v>
      </c>
      <c r="AB9" s="189"/>
      <c r="AC9" s="189" t="s">
        <v>151</v>
      </c>
      <c r="AD9" s="189"/>
      <c r="AE9" s="189"/>
      <c r="AF9" s="189"/>
      <c r="AG9" s="189"/>
      <c r="AH9" s="189"/>
      <c r="AI9" s="189"/>
      <c r="AJ9" s="189"/>
      <c r="AK9" s="191"/>
    </row>
    <row r="10" spans="2:37">
      <c r="B10" s="3">
        <v>2</v>
      </c>
      <c r="C10" s="189" t="s">
        <v>682</v>
      </c>
      <c r="D10" s="189"/>
      <c r="E10" s="189"/>
      <c r="F10" s="189"/>
      <c r="G10" s="189"/>
      <c r="H10" s="189"/>
      <c r="I10" s="189" t="s">
        <v>685</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683</v>
      </c>
      <c r="D11" s="189"/>
      <c r="E11" s="189"/>
      <c r="F11" s="189"/>
      <c r="G11" s="189"/>
      <c r="H11" s="189"/>
      <c r="I11" s="189" t="s">
        <v>686</v>
      </c>
      <c r="J11" s="189"/>
      <c r="K11" s="189"/>
      <c r="L11" s="189"/>
      <c r="M11" s="189"/>
      <c r="N11" s="189"/>
      <c r="O11" s="189"/>
      <c r="P11" s="189"/>
      <c r="Q11" s="189" t="s">
        <v>143</v>
      </c>
      <c r="R11" s="189"/>
      <c r="S11" s="189"/>
      <c r="T11" s="189"/>
      <c r="U11" s="189"/>
      <c r="V11" s="189"/>
      <c r="W11" s="189"/>
      <c r="X11" s="189"/>
      <c r="Y11" s="189"/>
      <c r="Z11" s="189"/>
      <c r="AA11" s="189"/>
      <c r="AB11" s="189"/>
      <c r="AC11" s="189"/>
      <c r="AD11" s="189"/>
      <c r="AE11" s="189"/>
      <c r="AF11" s="189"/>
      <c r="AG11" s="189"/>
      <c r="AH11" s="189"/>
      <c r="AI11" s="189"/>
      <c r="AJ11" s="189"/>
      <c r="AK11" s="191"/>
    </row>
    <row r="12" spans="2:37" ht="13.8" thickBot="1">
      <c r="B12" s="4">
        <v>4</v>
      </c>
      <c r="C12" s="190" t="s">
        <v>684</v>
      </c>
      <c r="D12" s="190"/>
      <c r="E12" s="190"/>
      <c r="F12" s="190"/>
      <c r="G12" s="190"/>
      <c r="H12" s="190"/>
      <c r="I12" s="190" t="s">
        <v>687</v>
      </c>
      <c r="J12" s="190"/>
      <c r="K12" s="190"/>
      <c r="L12" s="190"/>
      <c r="M12" s="190"/>
      <c r="N12" s="190"/>
      <c r="O12" s="190"/>
      <c r="P12" s="190"/>
      <c r="Q12" s="190" t="s">
        <v>143</v>
      </c>
      <c r="R12" s="190"/>
      <c r="S12" s="190"/>
      <c r="T12" s="190"/>
      <c r="U12" s="190"/>
      <c r="V12" s="190"/>
      <c r="W12" s="190"/>
      <c r="X12" s="190"/>
      <c r="Y12" s="190"/>
      <c r="Z12" s="190"/>
      <c r="AA12" s="190"/>
      <c r="AB12" s="190"/>
      <c r="AC12" s="190"/>
      <c r="AD12" s="190"/>
      <c r="AE12" s="190"/>
      <c r="AF12" s="190"/>
      <c r="AG12" s="190"/>
      <c r="AH12" s="190"/>
      <c r="AI12" s="190"/>
      <c r="AJ12" s="190"/>
      <c r="AK12" s="198"/>
    </row>
    <row r="15" spans="2:37" ht="15" thickBot="1">
      <c r="B15" s="7" t="s">
        <v>994</v>
      </c>
    </row>
    <row r="16" spans="2:37">
      <c r="B16" s="10" t="s">
        <v>7</v>
      </c>
      <c r="C16" s="226" t="s">
        <v>998</v>
      </c>
      <c r="D16" s="226"/>
      <c r="E16" s="226"/>
      <c r="F16" s="226"/>
      <c r="G16" s="226"/>
      <c r="H16" s="226"/>
      <c r="I16" s="226"/>
      <c r="J16" s="226"/>
      <c r="K16" s="226"/>
      <c r="L16" s="226" t="s">
        <v>1000</v>
      </c>
      <c r="M16" s="226"/>
      <c r="N16" s="226"/>
      <c r="O16" s="226"/>
      <c r="P16" s="226"/>
      <c r="Q16" s="226"/>
      <c r="R16" s="226"/>
      <c r="S16" s="226"/>
      <c r="T16" s="226"/>
      <c r="U16" s="226"/>
      <c r="V16" s="226" t="s">
        <v>1002</v>
      </c>
      <c r="W16" s="226"/>
      <c r="X16" s="226"/>
      <c r="Y16" s="226" t="s">
        <v>1004</v>
      </c>
      <c r="Z16" s="226"/>
      <c r="AA16" s="226"/>
      <c r="AB16" s="226" t="s">
        <v>1005</v>
      </c>
      <c r="AC16" s="226"/>
      <c r="AD16" s="226"/>
      <c r="AE16" s="226"/>
      <c r="AF16" s="226"/>
      <c r="AG16" s="226"/>
      <c r="AH16" s="226"/>
      <c r="AI16" s="227"/>
    </row>
    <row r="17" spans="2:35" ht="13.8" thickBot="1">
      <c r="B17" s="4">
        <v>1</v>
      </c>
      <c r="C17" s="190" t="s">
        <v>1098</v>
      </c>
      <c r="D17" s="190"/>
      <c r="E17" s="190"/>
      <c r="F17" s="190"/>
      <c r="G17" s="190"/>
      <c r="H17" s="190"/>
      <c r="I17" s="190"/>
      <c r="J17" s="190"/>
      <c r="K17" s="190"/>
      <c r="L17" s="190" t="s">
        <v>1099</v>
      </c>
      <c r="M17" s="190"/>
      <c r="N17" s="190"/>
      <c r="O17" s="190"/>
      <c r="P17" s="190"/>
      <c r="Q17" s="190"/>
      <c r="R17" s="190"/>
      <c r="S17" s="190"/>
      <c r="T17" s="190"/>
      <c r="U17" s="190"/>
      <c r="V17" s="190" t="s">
        <v>1022</v>
      </c>
      <c r="W17" s="190"/>
      <c r="X17" s="190"/>
      <c r="Y17" s="190" t="s">
        <v>1022</v>
      </c>
      <c r="Z17" s="190"/>
      <c r="AA17" s="190"/>
      <c r="AB17" s="190"/>
      <c r="AC17" s="190"/>
      <c r="AD17" s="190"/>
      <c r="AE17" s="190"/>
      <c r="AF17" s="190"/>
      <c r="AG17" s="190"/>
      <c r="AH17" s="190"/>
      <c r="AI17" s="198"/>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8">
    <mergeCell ref="C24:L24"/>
    <mergeCell ref="M24:T24"/>
    <mergeCell ref="U24:AC24"/>
    <mergeCell ref="AD24:AI24"/>
    <mergeCell ref="C25:L25"/>
    <mergeCell ref="M25:T25"/>
    <mergeCell ref="U25:AC25"/>
    <mergeCell ref="AD25:AI25"/>
    <mergeCell ref="C20:L20"/>
    <mergeCell ref="M20:T20"/>
    <mergeCell ref="U20:AC20"/>
    <mergeCell ref="AD20:AI20"/>
    <mergeCell ref="C21:L21"/>
    <mergeCell ref="M21:T21"/>
    <mergeCell ref="U21:AC21"/>
    <mergeCell ref="AD21:AI21"/>
    <mergeCell ref="V16:X16"/>
    <mergeCell ref="Y16:AA16"/>
    <mergeCell ref="AB16:AI16"/>
    <mergeCell ref="C17:K17"/>
    <mergeCell ref="L17:U17"/>
    <mergeCell ref="V17:X17"/>
    <mergeCell ref="Y17:AA17"/>
    <mergeCell ref="AB17:AI17"/>
    <mergeCell ref="I8:P8"/>
    <mergeCell ref="I2:M2"/>
    <mergeCell ref="I3:M3"/>
    <mergeCell ref="I4:M4"/>
    <mergeCell ref="C16:K16"/>
    <mergeCell ref="L16:U16"/>
    <mergeCell ref="B2:E4"/>
    <mergeCell ref="F2:H2"/>
    <mergeCell ref="F3:H3"/>
    <mergeCell ref="F4:H4"/>
    <mergeCell ref="C8:H8"/>
    <mergeCell ref="Q8:X8"/>
    <mergeCell ref="Q9:X9"/>
    <mergeCell ref="C9:H9"/>
    <mergeCell ref="C10:H10"/>
    <mergeCell ref="C11:H11"/>
    <mergeCell ref="AA8:AB8"/>
    <mergeCell ref="AC8:AD8"/>
    <mergeCell ref="AE8:AK8"/>
    <mergeCell ref="AA9:AB9"/>
    <mergeCell ref="AC9:AD9"/>
    <mergeCell ref="C12:H12"/>
    <mergeCell ref="I9:P9"/>
    <mergeCell ref="I10:P10"/>
    <mergeCell ref="I11:P11"/>
    <mergeCell ref="I12:P12"/>
    <mergeCell ref="Q10:X10"/>
    <mergeCell ref="Q11:X11"/>
    <mergeCell ref="Q12:X12"/>
    <mergeCell ref="AA10:AB10"/>
    <mergeCell ref="AA11:AB11"/>
    <mergeCell ref="AA12:AB12"/>
    <mergeCell ref="AC10:AD10"/>
    <mergeCell ref="AC11:AD11"/>
    <mergeCell ref="AC12:AD12"/>
    <mergeCell ref="AE9:AK9"/>
    <mergeCell ref="AE10:AK10"/>
    <mergeCell ref="AE11:AK11"/>
    <mergeCell ref="AE12:AK12"/>
    <mergeCell ref="Y8:Z8"/>
    <mergeCell ref="Y9:Z9"/>
    <mergeCell ref="Y10:Z10"/>
    <mergeCell ref="Y11:Z11"/>
    <mergeCell ref="Y12:Z12"/>
  </mergeCells>
  <phoneticPr fontId="3"/>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371A-E4A1-45D7-953D-B97978873CE7}">
  <sheetPr codeName="Sheet51"/>
  <dimension ref="B1:AK38"/>
  <sheetViews>
    <sheetView workbookViewId="0">
      <selection activeCell="Q21" sqref="Q21:X21"/>
    </sheetView>
  </sheetViews>
  <sheetFormatPr defaultColWidth="3.6640625" defaultRowHeight="13.2"/>
  <sheetData>
    <row r="1" spans="2:37" ht="13.8" thickBot="1"/>
    <row r="2" spans="2:37">
      <c r="B2" s="205" t="s">
        <v>95</v>
      </c>
      <c r="C2" s="206"/>
      <c r="D2" s="206"/>
      <c r="E2" s="206"/>
      <c r="F2" s="211" t="s">
        <v>93</v>
      </c>
      <c r="G2" s="211"/>
      <c r="H2" s="212"/>
      <c r="I2" s="196" t="s">
        <v>701</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689</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690</v>
      </c>
      <c r="D9" s="189"/>
      <c r="E9" s="189"/>
      <c r="F9" s="189"/>
      <c r="G9" s="189"/>
      <c r="H9" s="189"/>
      <c r="I9" s="189" t="s">
        <v>698</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691</v>
      </c>
      <c r="D10" s="189"/>
      <c r="E10" s="189"/>
      <c r="F10" s="189"/>
      <c r="G10" s="189"/>
      <c r="H10" s="189"/>
      <c r="I10" s="189" t="s">
        <v>354</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692</v>
      </c>
      <c r="D11" s="189"/>
      <c r="E11" s="189"/>
      <c r="F11" s="189"/>
      <c r="G11" s="189"/>
      <c r="H11" s="189"/>
      <c r="I11" s="189" t="s">
        <v>1708</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5</v>
      </c>
      <c r="C12" s="189" t="s">
        <v>111</v>
      </c>
      <c r="D12" s="189"/>
      <c r="E12" s="189"/>
      <c r="F12" s="189"/>
      <c r="G12" s="189"/>
      <c r="H12" s="189"/>
      <c r="I12" s="189" t="s">
        <v>580</v>
      </c>
      <c r="J12" s="189"/>
      <c r="K12" s="189"/>
      <c r="L12" s="189"/>
      <c r="M12" s="189"/>
      <c r="N12" s="189"/>
      <c r="O12" s="189"/>
      <c r="P12" s="189"/>
      <c r="Q12" s="189" t="s">
        <v>147</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6</v>
      </c>
      <c r="C13" s="189" t="s">
        <v>693</v>
      </c>
      <c r="D13" s="189"/>
      <c r="E13" s="189"/>
      <c r="F13" s="189"/>
      <c r="G13" s="189"/>
      <c r="H13" s="189"/>
      <c r="I13" s="189" t="s">
        <v>384</v>
      </c>
      <c r="J13" s="189"/>
      <c r="K13" s="189"/>
      <c r="L13" s="189"/>
      <c r="M13" s="189"/>
      <c r="N13" s="189"/>
      <c r="O13" s="189"/>
      <c r="P13" s="189"/>
      <c r="Q13" s="189" t="s">
        <v>146</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7</v>
      </c>
      <c r="C14" s="189" t="s">
        <v>694</v>
      </c>
      <c r="D14" s="189"/>
      <c r="E14" s="189"/>
      <c r="F14" s="189"/>
      <c r="G14" s="189"/>
      <c r="H14" s="189"/>
      <c r="I14" s="189" t="s">
        <v>239</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104">
        <v>8</v>
      </c>
      <c r="C15" s="189" t="s">
        <v>440</v>
      </c>
      <c r="D15" s="189"/>
      <c r="E15" s="189"/>
      <c r="F15" s="189"/>
      <c r="G15" s="189"/>
      <c r="H15" s="189"/>
      <c r="I15" s="189" t="s">
        <v>425</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104">
        <v>9</v>
      </c>
      <c r="C16" s="189" t="s">
        <v>695</v>
      </c>
      <c r="D16" s="189"/>
      <c r="E16" s="189"/>
      <c r="F16" s="189"/>
      <c r="G16" s="189"/>
      <c r="H16" s="189"/>
      <c r="I16" s="189" t="s">
        <v>699</v>
      </c>
      <c r="J16" s="189"/>
      <c r="K16" s="189"/>
      <c r="L16" s="189"/>
      <c r="M16" s="189"/>
      <c r="N16" s="189"/>
      <c r="O16" s="189"/>
      <c r="P16" s="189"/>
      <c r="Q16" s="189" t="s">
        <v>146</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104">
        <v>10</v>
      </c>
      <c r="C17" s="189" t="s">
        <v>375</v>
      </c>
      <c r="D17" s="189"/>
      <c r="E17" s="189"/>
      <c r="F17" s="189"/>
      <c r="G17" s="189"/>
      <c r="H17" s="189"/>
      <c r="I17" s="189" t="s">
        <v>134</v>
      </c>
      <c r="J17" s="189"/>
      <c r="K17" s="189"/>
      <c r="L17" s="189"/>
      <c r="M17" s="189"/>
      <c r="N17" s="189"/>
      <c r="O17" s="189"/>
      <c r="P17" s="189"/>
      <c r="Q17" s="189" t="s">
        <v>146</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104">
        <v>11</v>
      </c>
      <c r="C18" s="189" t="s">
        <v>109</v>
      </c>
      <c r="D18" s="189"/>
      <c r="E18" s="189"/>
      <c r="F18" s="189"/>
      <c r="G18" s="189"/>
      <c r="H18" s="189"/>
      <c r="I18" s="189" t="s">
        <v>133</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104">
        <v>12</v>
      </c>
      <c r="C19" s="189" t="s">
        <v>550</v>
      </c>
      <c r="D19" s="189"/>
      <c r="E19" s="189"/>
      <c r="F19" s="189"/>
      <c r="G19" s="189"/>
      <c r="H19" s="189"/>
      <c r="I19" s="189" t="s">
        <v>135</v>
      </c>
      <c r="J19" s="189"/>
      <c r="K19" s="189"/>
      <c r="L19" s="189"/>
      <c r="M19" s="189"/>
      <c r="N19" s="189"/>
      <c r="O19" s="189"/>
      <c r="P19" s="189"/>
      <c r="Q19" s="189" t="s">
        <v>391</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104">
        <v>13</v>
      </c>
      <c r="C20" s="189" t="s">
        <v>576</v>
      </c>
      <c r="D20" s="189"/>
      <c r="E20" s="189"/>
      <c r="F20" s="189"/>
      <c r="G20" s="189"/>
      <c r="H20" s="189"/>
      <c r="I20" s="189" t="s">
        <v>364</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104">
        <v>14</v>
      </c>
      <c r="C21" s="189" t="s">
        <v>252</v>
      </c>
      <c r="D21" s="189"/>
      <c r="E21" s="189"/>
      <c r="F21" s="189"/>
      <c r="G21" s="189"/>
      <c r="H21" s="189"/>
      <c r="I21" s="189" t="s">
        <v>132</v>
      </c>
      <c r="J21" s="189"/>
      <c r="K21" s="189"/>
      <c r="L21" s="189"/>
      <c r="M21" s="189"/>
      <c r="N21" s="189"/>
      <c r="O21" s="189"/>
      <c r="P21" s="189"/>
      <c r="Q21" s="189" t="s">
        <v>143</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104">
        <v>15</v>
      </c>
      <c r="C22" s="189" t="s">
        <v>696</v>
      </c>
      <c r="D22" s="189"/>
      <c r="E22" s="189"/>
      <c r="F22" s="189"/>
      <c r="G22" s="189"/>
      <c r="H22" s="189"/>
      <c r="I22" s="189" t="s">
        <v>138</v>
      </c>
      <c r="J22" s="189"/>
      <c r="K22" s="189"/>
      <c r="L22" s="189"/>
      <c r="M22" s="189"/>
      <c r="N22" s="189"/>
      <c r="O22" s="189"/>
      <c r="P22" s="189"/>
      <c r="Q22" s="189" t="s">
        <v>221</v>
      </c>
      <c r="R22" s="189"/>
      <c r="S22" s="189"/>
      <c r="T22" s="189"/>
      <c r="U22" s="189"/>
      <c r="V22" s="189"/>
      <c r="W22" s="189"/>
      <c r="X22" s="189"/>
      <c r="Y22" s="189"/>
      <c r="Z22" s="189"/>
      <c r="AA22" s="189"/>
      <c r="AB22" s="189"/>
      <c r="AC22" s="189"/>
      <c r="AD22" s="189"/>
      <c r="AE22" s="189"/>
      <c r="AF22" s="189"/>
      <c r="AG22" s="189"/>
      <c r="AH22" s="189"/>
      <c r="AI22" s="189"/>
      <c r="AJ22" s="189"/>
      <c r="AK22" s="191"/>
    </row>
    <row r="23" spans="2:37" ht="13.8" thickBot="1">
      <c r="B23" s="4">
        <v>16</v>
      </c>
      <c r="C23" s="190" t="s">
        <v>697</v>
      </c>
      <c r="D23" s="190"/>
      <c r="E23" s="190"/>
      <c r="F23" s="190"/>
      <c r="G23" s="190"/>
      <c r="H23" s="190"/>
      <c r="I23" s="190" t="s">
        <v>700</v>
      </c>
      <c r="J23" s="190"/>
      <c r="K23" s="190"/>
      <c r="L23" s="190"/>
      <c r="M23" s="190"/>
      <c r="N23" s="190"/>
      <c r="O23" s="190"/>
      <c r="P23" s="190"/>
      <c r="Q23" s="190" t="s">
        <v>144</v>
      </c>
      <c r="R23" s="190"/>
      <c r="S23" s="190"/>
      <c r="T23" s="190"/>
      <c r="U23" s="190"/>
      <c r="V23" s="190"/>
      <c r="W23" s="190"/>
      <c r="X23" s="190"/>
      <c r="Y23" s="190"/>
      <c r="Z23" s="190"/>
      <c r="AA23" s="190"/>
      <c r="AB23" s="190"/>
      <c r="AC23" s="190"/>
      <c r="AD23" s="190"/>
      <c r="AE23" s="190"/>
      <c r="AF23" s="190"/>
      <c r="AG23" s="190"/>
      <c r="AH23" s="190"/>
      <c r="AI23" s="190"/>
      <c r="AJ23" s="190"/>
      <c r="AK23" s="198"/>
    </row>
    <row r="26" spans="2:37" ht="15" thickBot="1">
      <c r="B26" s="7" t="s">
        <v>994</v>
      </c>
    </row>
    <row r="27" spans="2:37" ht="13.8" thickBot="1">
      <c r="B27" s="10" t="s">
        <v>7</v>
      </c>
      <c r="C27" s="226" t="s">
        <v>998</v>
      </c>
      <c r="D27" s="226"/>
      <c r="E27" s="226"/>
      <c r="F27" s="226"/>
      <c r="G27" s="226"/>
      <c r="H27" s="226"/>
      <c r="I27" s="226"/>
      <c r="J27" s="226"/>
      <c r="K27" s="226"/>
      <c r="L27" s="226" t="s">
        <v>1000</v>
      </c>
      <c r="M27" s="226"/>
      <c r="N27" s="226"/>
      <c r="O27" s="226"/>
      <c r="P27" s="226"/>
      <c r="Q27" s="226"/>
      <c r="R27" s="226"/>
      <c r="S27" s="226"/>
      <c r="T27" s="226"/>
      <c r="U27" s="226"/>
      <c r="V27" s="226" t="s">
        <v>1002</v>
      </c>
      <c r="W27" s="226"/>
      <c r="X27" s="226"/>
      <c r="Y27" s="226" t="s">
        <v>1004</v>
      </c>
      <c r="Z27" s="226"/>
      <c r="AA27" s="226"/>
      <c r="AB27" s="226" t="s">
        <v>1005</v>
      </c>
      <c r="AC27" s="226"/>
      <c r="AD27" s="226"/>
      <c r="AE27" s="226"/>
      <c r="AF27" s="226"/>
      <c r="AG27" s="226"/>
      <c r="AH27" s="226"/>
      <c r="AI27" s="227"/>
    </row>
    <row r="28" spans="2:37">
      <c r="B28" s="256">
        <v>1</v>
      </c>
      <c r="C28" s="247" t="s">
        <v>1100</v>
      </c>
      <c r="D28" s="247"/>
      <c r="E28" s="247"/>
      <c r="F28" s="247"/>
      <c r="G28" s="247"/>
      <c r="H28" s="247"/>
      <c r="I28" s="247"/>
      <c r="J28" s="247"/>
      <c r="K28" s="247"/>
      <c r="L28" s="246" t="s">
        <v>1101</v>
      </c>
      <c r="M28" s="246"/>
      <c r="N28" s="246"/>
      <c r="O28" s="246"/>
      <c r="P28" s="246"/>
      <c r="Q28" s="246"/>
      <c r="R28" s="246"/>
      <c r="S28" s="246"/>
      <c r="T28" s="246"/>
      <c r="U28" s="246"/>
      <c r="V28" s="247" t="s">
        <v>1022</v>
      </c>
      <c r="W28" s="247"/>
      <c r="X28" s="247"/>
      <c r="Y28" s="247" t="s">
        <v>1022</v>
      </c>
      <c r="Z28" s="247"/>
      <c r="AA28" s="247"/>
      <c r="AB28" s="248"/>
      <c r="AC28" s="248"/>
      <c r="AD28" s="248"/>
      <c r="AE28" s="248"/>
      <c r="AF28" s="248"/>
      <c r="AG28" s="248"/>
      <c r="AH28" s="248"/>
      <c r="AI28" s="249"/>
    </row>
    <row r="29" spans="2:37">
      <c r="B29" s="280"/>
      <c r="C29" s="281"/>
      <c r="D29" s="281"/>
      <c r="E29" s="281"/>
      <c r="F29" s="281"/>
      <c r="G29" s="281"/>
      <c r="H29" s="281"/>
      <c r="I29" s="281"/>
      <c r="J29" s="281"/>
      <c r="K29" s="281"/>
      <c r="L29" s="284" t="s">
        <v>1041</v>
      </c>
      <c r="M29" s="284"/>
      <c r="N29" s="284"/>
      <c r="O29" s="284"/>
      <c r="P29" s="284"/>
      <c r="Q29" s="284"/>
      <c r="R29" s="284"/>
      <c r="S29" s="284"/>
      <c r="T29" s="284"/>
      <c r="U29" s="284"/>
      <c r="V29" s="281"/>
      <c r="W29" s="281"/>
      <c r="X29" s="281"/>
      <c r="Y29" s="281"/>
      <c r="Z29" s="281"/>
      <c r="AA29" s="281"/>
      <c r="AB29" s="282"/>
      <c r="AC29" s="282"/>
      <c r="AD29" s="282"/>
      <c r="AE29" s="282"/>
      <c r="AF29" s="282"/>
      <c r="AG29" s="282"/>
      <c r="AH29" s="282"/>
      <c r="AI29" s="283"/>
    </row>
    <row r="30" spans="2:37" ht="13.8" thickBot="1">
      <c r="B30" s="12">
        <v>2</v>
      </c>
      <c r="C30" s="238" t="s">
        <v>1102</v>
      </c>
      <c r="D30" s="238"/>
      <c r="E30" s="238"/>
      <c r="F30" s="238"/>
      <c r="G30" s="238"/>
      <c r="H30" s="238"/>
      <c r="I30" s="238"/>
      <c r="J30" s="238"/>
      <c r="K30" s="238"/>
      <c r="L30" s="238" t="s">
        <v>1103</v>
      </c>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9"/>
    </row>
    <row r="31" spans="2:37">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row>
    <row r="32" spans="2:37" ht="15" thickBot="1">
      <c r="B32" s="7" t="s">
        <v>995</v>
      </c>
    </row>
    <row r="33" spans="2:35">
      <c r="B33" s="14" t="s">
        <v>1069</v>
      </c>
      <c r="C33" s="226" t="s">
        <v>1070</v>
      </c>
      <c r="D33" s="226"/>
      <c r="E33" s="226"/>
      <c r="F33" s="226"/>
      <c r="G33" s="226"/>
      <c r="H33" s="226"/>
      <c r="I33" s="226"/>
      <c r="J33" s="226"/>
      <c r="K33" s="226"/>
      <c r="L33" s="226"/>
      <c r="M33" s="226" t="s">
        <v>1072</v>
      </c>
      <c r="N33" s="226"/>
      <c r="O33" s="226"/>
      <c r="P33" s="226"/>
      <c r="Q33" s="226"/>
      <c r="R33" s="226"/>
      <c r="S33" s="226"/>
      <c r="T33" s="226"/>
      <c r="U33" s="226" t="s">
        <v>1154</v>
      </c>
      <c r="V33" s="226"/>
      <c r="W33" s="226"/>
      <c r="X33" s="226"/>
      <c r="Y33" s="226"/>
      <c r="Z33" s="226"/>
      <c r="AA33" s="226"/>
      <c r="AB33" s="226"/>
      <c r="AC33" s="226"/>
      <c r="AD33" s="226" t="s">
        <v>1155</v>
      </c>
      <c r="AE33" s="226"/>
      <c r="AF33" s="226"/>
      <c r="AG33" s="226"/>
      <c r="AH33" s="226"/>
      <c r="AI33" s="227"/>
    </row>
    <row r="34" spans="2:35" ht="13.8" thickBot="1">
      <c r="B34" s="4"/>
      <c r="C34" s="190"/>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8"/>
    </row>
    <row r="36" spans="2:35" ht="15" thickBot="1">
      <c r="B36" s="7" t="s">
        <v>996</v>
      </c>
    </row>
    <row r="37" spans="2:35">
      <c r="B37" s="14" t="s">
        <v>1069</v>
      </c>
      <c r="C37" s="226" t="s">
        <v>1070</v>
      </c>
      <c r="D37" s="226"/>
      <c r="E37" s="226"/>
      <c r="F37" s="226"/>
      <c r="G37" s="226"/>
      <c r="H37" s="226"/>
      <c r="I37" s="226"/>
      <c r="J37" s="226"/>
      <c r="K37" s="226"/>
      <c r="L37" s="226"/>
      <c r="M37" s="226" t="s">
        <v>1072</v>
      </c>
      <c r="N37" s="226"/>
      <c r="O37" s="226"/>
      <c r="P37" s="226"/>
      <c r="Q37" s="226"/>
      <c r="R37" s="226"/>
      <c r="S37" s="226"/>
      <c r="T37" s="226"/>
      <c r="U37" s="226" t="s">
        <v>1154</v>
      </c>
      <c r="V37" s="226"/>
      <c r="W37" s="226"/>
      <c r="X37" s="226"/>
      <c r="Y37" s="226"/>
      <c r="Z37" s="226"/>
      <c r="AA37" s="226"/>
      <c r="AB37" s="226"/>
      <c r="AC37" s="226"/>
      <c r="AD37" s="226" t="s">
        <v>1155</v>
      </c>
      <c r="AE37" s="226"/>
      <c r="AF37" s="226"/>
      <c r="AG37" s="226"/>
      <c r="AH37" s="226"/>
      <c r="AI37" s="227"/>
    </row>
    <row r="38" spans="2:35" ht="13.8" thickBot="1">
      <c r="B38" s="4"/>
      <c r="C38" s="190"/>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190"/>
      <c r="AD38" s="190"/>
      <c r="AE38" s="190"/>
      <c r="AF38" s="190"/>
      <c r="AG38" s="190"/>
      <c r="AH38" s="190"/>
      <c r="AI38" s="198"/>
    </row>
  </sheetData>
  <mergeCells count="152">
    <mergeCell ref="C34:L34"/>
    <mergeCell ref="M34:T34"/>
    <mergeCell ref="U34:AC34"/>
    <mergeCell ref="AD34:AI34"/>
    <mergeCell ref="C37:L37"/>
    <mergeCell ref="M37:T37"/>
    <mergeCell ref="U37:AC37"/>
    <mergeCell ref="AD37:AI37"/>
    <mergeCell ref="C38:L38"/>
    <mergeCell ref="M38:T38"/>
    <mergeCell ref="U38:AC38"/>
    <mergeCell ref="AD38:AI38"/>
    <mergeCell ref="C30:K30"/>
    <mergeCell ref="L30:U30"/>
    <mergeCell ref="V30:X30"/>
    <mergeCell ref="Y30:AA30"/>
    <mergeCell ref="AB30:AI30"/>
    <mergeCell ref="C33:L33"/>
    <mergeCell ref="M33:T33"/>
    <mergeCell ref="U33:AC33"/>
    <mergeCell ref="AD33:AI33"/>
    <mergeCell ref="C27:K27"/>
    <mergeCell ref="L27:U27"/>
    <mergeCell ref="V27:X27"/>
    <mergeCell ref="Y27:AA27"/>
    <mergeCell ref="AB27:AI27"/>
    <mergeCell ref="B28:B29"/>
    <mergeCell ref="C28:K29"/>
    <mergeCell ref="L28:U28"/>
    <mergeCell ref="V28:X29"/>
    <mergeCell ref="Y28:AA29"/>
    <mergeCell ref="AB28:AI29"/>
    <mergeCell ref="L29:U29"/>
    <mergeCell ref="AE8:AK8"/>
    <mergeCell ref="AA9:AB9"/>
    <mergeCell ref="AC9:AD9"/>
    <mergeCell ref="B2:E4"/>
    <mergeCell ref="F2:H2"/>
    <mergeCell ref="F3:H3"/>
    <mergeCell ref="F4:H4"/>
    <mergeCell ref="C8:H8"/>
    <mergeCell ref="I8:P8"/>
    <mergeCell ref="Q8:X8"/>
    <mergeCell ref="AA8:AB8"/>
    <mergeCell ref="AC8:AD8"/>
    <mergeCell ref="Q9:X9"/>
    <mergeCell ref="Y8:Z8"/>
    <mergeCell ref="I2:L2"/>
    <mergeCell ref="I3:L3"/>
    <mergeCell ref="I4:L4"/>
    <mergeCell ref="AE9:AK9"/>
    <mergeCell ref="Q10:X10"/>
    <mergeCell ref="Q11:X11"/>
    <mergeCell ref="Y9:Z9"/>
    <mergeCell ref="Y10:Z10"/>
    <mergeCell ref="Y11:Z11"/>
    <mergeCell ref="I22:P22"/>
    <mergeCell ref="I16:P16"/>
    <mergeCell ref="I21:P21"/>
    <mergeCell ref="Q19:X19"/>
    <mergeCell ref="Q20:X20"/>
    <mergeCell ref="Q21:X21"/>
    <mergeCell ref="Q22:X22"/>
    <mergeCell ref="Y21:Z21"/>
    <mergeCell ref="Y22:Z22"/>
    <mergeCell ref="Y12:Z12"/>
    <mergeCell ref="Y13:Z13"/>
    <mergeCell ref="Y20:Z20"/>
    <mergeCell ref="Y14:Z14"/>
    <mergeCell ref="Y15:Z15"/>
    <mergeCell ref="Y16:Z16"/>
    <mergeCell ref="Y17:Z17"/>
    <mergeCell ref="Y18:Z18"/>
    <mergeCell ref="AA10:AB10"/>
    <mergeCell ref="AC10:AD10"/>
    <mergeCell ref="C9:H9"/>
    <mergeCell ref="C10:H10"/>
    <mergeCell ref="C11:H11"/>
    <mergeCell ref="AA11:AB11"/>
    <mergeCell ref="AA20:AB20"/>
    <mergeCell ref="AC12:AD12"/>
    <mergeCell ref="AC13:AD13"/>
    <mergeCell ref="AC18:AD18"/>
    <mergeCell ref="AA12:AB12"/>
    <mergeCell ref="AA13:AB13"/>
    <mergeCell ref="Q12:X12"/>
    <mergeCell ref="Q13:X13"/>
    <mergeCell ref="Q14:X14"/>
    <mergeCell ref="I17:P17"/>
    <mergeCell ref="I18:P18"/>
    <mergeCell ref="I19:P19"/>
    <mergeCell ref="Q15:X15"/>
    <mergeCell ref="Q16:X16"/>
    <mergeCell ref="Q17:X17"/>
    <mergeCell ref="Q18:X18"/>
    <mergeCell ref="AC11:AD11"/>
    <mergeCell ref="AC14:AD14"/>
    <mergeCell ref="C22:H22"/>
    <mergeCell ref="C23:H23"/>
    <mergeCell ref="I9:P9"/>
    <mergeCell ref="I10:P10"/>
    <mergeCell ref="I11:P11"/>
    <mergeCell ref="I12:P12"/>
    <mergeCell ref="I13:P13"/>
    <mergeCell ref="I14:P14"/>
    <mergeCell ref="I15:P15"/>
    <mergeCell ref="C18:H18"/>
    <mergeCell ref="C19:H19"/>
    <mergeCell ref="C20:H20"/>
    <mergeCell ref="C21:H21"/>
    <mergeCell ref="C12:H12"/>
    <mergeCell ref="C13:H13"/>
    <mergeCell ref="C14:H14"/>
    <mergeCell ref="C15:H15"/>
    <mergeCell ref="C16:H16"/>
    <mergeCell ref="C17:H17"/>
    <mergeCell ref="I23:P23"/>
    <mergeCell ref="I20:P20"/>
    <mergeCell ref="AE10:AK10"/>
    <mergeCell ref="AE11:AK11"/>
    <mergeCell ref="AE12:AK12"/>
    <mergeCell ref="AE13:AK13"/>
    <mergeCell ref="AE14:AK14"/>
    <mergeCell ref="AE15:AK15"/>
    <mergeCell ref="AC16:AD16"/>
    <mergeCell ref="AC17:AD17"/>
    <mergeCell ref="Q23:X23"/>
    <mergeCell ref="AE20:AK20"/>
    <mergeCell ref="AE21:AK21"/>
    <mergeCell ref="Y19:Z19"/>
    <mergeCell ref="AE16:AK16"/>
    <mergeCell ref="AE17:AK17"/>
    <mergeCell ref="AE18:AK18"/>
    <mergeCell ref="AE19:AK19"/>
    <mergeCell ref="AC22:AD22"/>
    <mergeCell ref="AC23:AD23"/>
    <mergeCell ref="AA14:AB14"/>
    <mergeCell ref="Y23:Z23"/>
    <mergeCell ref="AA23:AB23"/>
    <mergeCell ref="AA22:AB22"/>
    <mergeCell ref="AC20:AD20"/>
    <mergeCell ref="AC21:AD21"/>
    <mergeCell ref="AC15:AD15"/>
    <mergeCell ref="AE23:AK23"/>
    <mergeCell ref="AC19:AD19"/>
    <mergeCell ref="AA21:AB21"/>
    <mergeCell ref="AA18:AB18"/>
    <mergeCell ref="AA19:AB19"/>
    <mergeCell ref="AA15:AB15"/>
    <mergeCell ref="AA16:AB16"/>
    <mergeCell ref="AA17:AB17"/>
    <mergeCell ref="AE22:AK22"/>
  </mergeCells>
  <phoneticPr fontId="3"/>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70812-AE96-4A9E-BC79-F61BDCD24AAA}">
  <sheetPr codeName="Sheet52"/>
  <dimension ref="B1:AK23"/>
  <sheetViews>
    <sheetView workbookViewId="0">
      <selection activeCell="T6" sqref="T6"/>
    </sheetView>
  </sheetViews>
  <sheetFormatPr defaultColWidth="3.6640625" defaultRowHeight="13.2"/>
  <sheetData>
    <row r="1" spans="2:37" ht="13.8" thickBot="1"/>
    <row r="2" spans="2:37">
      <c r="B2" s="205" t="s">
        <v>95</v>
      </c>
      <c r="C2" s="206"/>
      <c r="D2" s="206"/>
      <c r="E2" s="206"/>
      <c r="F2" s="211" t="s">
        <v>93</v>
      </c>
      <c r="G2" s="211"/>
      <c r="H2" s="212"/>
      <c r="I2" s="196" t="s">
        <v>705</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1180</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695</v>
      </c>
      <c r="D9" s="189"/>
      <c r="E9" s="189"/>
      <c r="F9" s="189"/>
      <c r="G9" s="189"/>
      <c r="H9" s="189"/>
      <c r="I9" s="189" t="s">
        <v>699</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702</v>
      </c>
      <c r="D10" s="190"/>
      <c r="E10" s="190"/>
      <c r="F10" s="190"/>
      <c r="G10" s="190"/>
      <c r="H10" s="190"/>
      <c r="I10" s="190" t="s">
        <v>703</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1104</v>
      </c>
      <c r="D15" s="238"/>
      <c r="E15" s="238"/>
      <c r="F15" s="238"/>
      <c r="G15" s="238"/>
      <c r="H15" s="238"/>
      <c r="I15" s="238"/>
      <c r="J15" s="238"/>
      <c r="K15" s="238"/>
      <c r="L15" s="238" t="s">
        <v>1105</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D495D-01CC-489F-B1F7-F4C6C469AAD0}">
  <sheetPr codeName="Sheet53"/>
  <dimension ref="B1:AK23"/>
  <sheetViews>
    <sheetView workbookViewId="0"/>
  </sheetViews>
  <sheetFormatPr defaultColWidth="3.6640625" defaultRowHeight="13.2"/>
  <sheetData>
    <row r="1" spans="2:37" ht="13.8" thickBot="1"/>
    <row r="2" spans="2:37">
      <c r="B2" s="205" t="s">
        <v>95</v>
      </c>
      <c r="C2" s="206"/>
      <c r="D2" s="206"/>
      <c r="E2" s="206"/>
      <c r="F2" s="211" t="s">
        <v>93</v>
      </c>
      <c r="G2" s="211"/>
      <c r="H2" s="212"/>
      <c r="I2" s="196" t="s">
        <v>711</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706</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707</v>
      </c>
      <c r="D9" s="189"/>
      <c r="E9" s="189"/>
      <c r="F9" s="189"/>
      <c r="G9" s="189"/>
      <c r="H9" s="189"/>
      <c r="I9" s="189" t="s">
        <v>709</v>
      </c>
      <c r="J9" s="189"/>
      <c r="K9" s="189"/>
      <c r="L9" s="189"/>
      <c r="M9" s="189"/>
      <c r="N9" s="189"/>
      <c r="O9" s="189"/>
      <c r="P9" s="189"/>
      <c r="Q9" s="189" t="s">
        <v>146</v>
      </c>
      <c r="R9" s="189"/>
      <c r="S9" s="189"/>
      <c r="T9" s="189"/>
      <c r="U9" s="189"/>
      <c r="V9" s="189"/>
      <c r="W9" s="189"/>
      <c r="X9" s="189"/>
      <c r="Y9" s="189"/>
      <c r="Z9" s="189"/>
      <c r="AA9" s="189"/>
      <c r="AB9" s="189"/>
      <c r="AC9" s="189"/>
      <c r="AD9" s="189"/>
      <c r="AE9" s="189"/>
      <c r="AF9" s="189"/>
      <c r="AG9" s="189"/>
      <c r="AH9" s="189"/>
      <c r="AI9" s="189"/>
      <c r="AJ9" s="189"/>
      <c r="AK9" s="191"/>
    </row>
    <row r="10" spans="2:37" ht="13.8" thickBot="1">
      <c r="B10" s="4">
        <v>2</v>
      </c>
      <c r="C10" s="190" t="s">
        <v>708</v>
      </c>
      <c r="D10" s="190"/>
      <c r="E10" s="190"/>
      <c r="F10" s="190"/>
      <c r="G10" s="190"/>
      <c r="H10" s="190"/>
      <c r="I10" s="190" t="s">
        <v>710</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c r="C15" s="238"/>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V14:X14"/>
    <mergeCell ref="Y14:AA14"/>
    <mergeCell ref="AB14:AI14"/>
    <mergeCell ref="C15:K15"/>
    <mergeCell ref="L15:U15"/>
    <mergeCell ref="V15:X15"/>
    <mergeCell ref="Y15:AA15"/>
    <mergeCell ref="AB15:AI15"/>
    <mergeCell ref="I2:M2"/>
    <mergeCell ref="I3:M3"/>
    <mergeCell ref="I4:M4"/>
    <mergeCell ref="C14:K14"/>
    <mergeCell ref="L14:U14"/>
    <mergeCell ref="B2:E4"/>
    <mergeCell ref="F2:H2"/>
    <mergeCell ref="F3:H3"/>
    <mergeCell ref="F4:H4"/>
    <mergeCell ref="C8:H8"/>
    <mergeCell ref="C10:H10"/>
    <mergeCell ref="I9:P9"/>
    <mergeCell ref="I10:P10"/>
    <mergeCell ref="Q9:X9"/>
    <mergeCell ref="Q10:X10"/>
    <mergeCell ref="Q8:X8"/>
    <mergeCell ref="AA8:AB8"/>
    <mergeCell ref="AC8:AD8"/>
    <mergeCell ref="AE8:AK8"/>
    <mergeCell ref="C9:H9"/>
    <mergeCell ref="I8:P8"/>
    <mergeCell ref="AA9:AB9"/>
    <mergeCell ref="Y8:Z8"/>
    <mergeCell ref="Y9:Z9"/>
    <mergeCell ref="Y10:Z10"/>
    <mergeCell ref="AA10:AB10"/>
    <mergeCell ref="AC9:AD9"/>
    <mergeCell ref="AC10:AD10"/>
    <mergeCell ref="AE9:AK9"/>
    <mergeCell ref="AE10:AK10"/>
  </mergeCells>
  <phoneticPr fontId="3"/>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E0647-0D74-42AA-9911-32D377B1E64F}">
  <sheetPr codeName="Sheet54"/>
  <dimension ref="B1:AK41"/>
  <sheetViews>
    <sheetView workbookViewId="0">
      <selection activeCell="A12" sqref="A12:XFD12"/>
    </sheetView>
  </sheetViews>
  <sheetFormatPr defaultColWidth="3.6640625" defaultRowHeight="13.2"/>
  <sheetData>
    <row r="1" spans="2:37" ht="13.8" thickBot="1"/>
    <row r="2" spans="2:37">
      <c r="B2" s="205" t="s">
        <v>95</v>
      </c>
      <c r="C2" s="206"/>
      <c r="D2" s="206"/>
      <c r="E2" s="206"/>
      <c r="F2" s="211" t="s">
        <v>93</v>
      </c>
      <c r="G2" s="211"/>
      <c r="H2" s="212"/>
      <c r="I2" s="196" t="s">
        <v>722</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712</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713</v>
      </c>
      <c r="D9" s="189"/>
      <c r="E9" s="189"/>
      <c r="F9" s="189"/>
      <c r="G9" s="189"/>
      <c r="H9" s="189"/>
      <c r="I9" s="189" t="s">
        <v>718</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344</v>
      </c>
      <c r="D10" s="189"/>
      <c r="E10" s="189"/>
      <c r="F10" s="189"/>
      <c r="G10" s="189"/>
      <c r="H10" s="189"/>
      <c r="I10" s="189" t="s">
        <v>354</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714</v>
      </c>
      <c r="D11" s="189"/>
      <c r="E11" s="189"/>
      <c r="F11" s="189"/>
      <c r="G11" s="189"/>
      <c r="H11" s="189"/>
      <c r="I11" s="189" t="s">
        <v>719</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5</v>
      </c>
      <c r="C12" s="189" t="s">
        <v>111</v>
      </c>
      <c r="D12" s="189"/>
      <c r="E12" s="189"/>
      <c r="F12" s="189"/>
      <c r="G12" s="189"/>
      <c r="H12" s="189"/>
      <c r="I12" s="189" t="s">
        <v>580</v>
      </c>
      <c r="J12" s="189"/>
      <c r="K12" s="189"/>
      <c r="L12" s="189"/>
      <c r="M12" s="189"/>
      <c r="N12" s="189"/>
      <c r="O12" s="189"/>
      <c r="P12" s="189"/>
      <c r="Q12" s="189" t="s">
        <v>147</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6</v>
      </c>
      <c r="C13" s="189" t="s">
        <v>693</v>
      </c>
      <c r="D13" s="189"/>
      <c r="E13" s="189"/>
      <c r="F13" s="189"/>
      <c r="G13" s="189"/>
      <c r="H13" s="189"/>
      <c r="I13" s="189" t="s">
        <v>384</v>
      </c>
      <c r="J13" s="189"/>
      <c r="K13" s="189"/>
      <c r="L13" s="189"/>
      <c r="M13" s="189"/>
      <c r="N13" s="189"/>
      <c r="O13" s="189"/>
      <c r="P13" s="189"/>
      <c r="Q13" s="189" t="s">
        <v>146</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7</v>
      </c>
      <c r="C14" s="189" t="s">
        <v>238</v>
      </c>
      <c r="D14" s="189"/>
      <c r="E14" s="189"/>
      <c r="F14" s="189"/>
      <c r="G14" s="189"/>
      <c r="H14" s="189"/>
      <c r="I14" s="189" t="s">
        <v>239</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8</v>
      </c>
      <c r="C15" s="189" t="s">
        <v>440</v>
      </c>
      <c r="D15" s="189"/>
      <c r="E15" s="189"/>
      <c r="F15" s="189"/>
      <c r="G15" s="189"/>
      <c r="H15" s="189"/>
      <c r="I15" s="189" t="s">
        <v>425</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9</v>
      </c>
      <c r="C16" s="189" t="s">
        <v>716</v>
      </c>
      <c r="D16" s="189"/>
      <c r="E16" s="189"/>
      <c r="F16" s="189"/>
      <c r="G16" s="189"/>
      <c r="H16" s="189"/>
      <c r="I16" s="189" t="s">
        <v>720</v>
      </c>
      <c r="J16" s="189"/>
      <c r="K16" s="189"/>
      <c r="L16" s="189"/>
      <c r="M16" s="189"/>
      <c r="N16" s="189"/>
      <c r="O16" s="189"/>
      <c r="P16" s="189"/>
      <c r="Q16" s="189" t="s">
        <v>146</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3">
        <v>10</v>
      </c>
      <c r="C17" s="189" t="s">
        <v>375</v>
      </c>
      <c r="D17" s="189"/>
      <c r="E17" s="189"/>
      <c r="F17" s="189"/>
      <c r="G17" s="189"/>
      <c r="H17" s="189"/>
      <c r="I17" s="189" t="s">
        <v>134</v>
      </c>
      <c r="J17" s="189"/>
      <c r="K17" s="189"/>
      <c r="L17" s="189"/>
      <c r="M17" s="189"/>
      <c r="N17" s="189"/>
      <c r="O17" s="189"/>
      <c r="P17" s="189"/>
      <c r="Q17" s="189" t="s">
        <v>146</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3">
        <v>11</v>
      </c>
      <c r="C18" s="189" t="s">
        <v>109</v>
      </c>
      <c r="D18" s="189"/>
      <c r="E18" s="189"/>
      <c r="F18" s="189"/>
      <c r="G18" s="189"/>
      <c r="H18" s="189"/>
      <c r="I18" s="189" t="s">
        <v>133</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3">
        <v>12</v>
      </c>
      <c r="C19" s="189" t="s">
        <v>550</v>
      </c>
      <c r="D19" s="189"/>
      <c r="E19" s="189"/>
      <c r="F19" s="189"/>
      <c r="G19" s="189"/>
      <c r="H19" s="189"/>
      <c r="I19" s="189" t="s">
        <v>135</v>
      </c>
      <c r="J19" s="189"/>
      <c r="K19" s="189"/>
      <c r="L19" s="189"/>
      <c r="M19" s="189"/>
      <c r="N19" s="189"/>
      <c r="O19" s="189"/>
      <c r="P19" s="189"/>
      <c r="Q19" s="189" t="s">
        <v>391</v>
      </c>
      <c r="R19" s="189"/>
      <c r="S19" s="189"/>
      <c r="T19" s="189"/>
      <c r="U19" s="189"/>
      <c r="V19" s="189"/>
      <c r="W19" s="189"/>
      <c r="X19" s="189"/>
      <c r="Y19" s="189"/>
      <c r="Z19" s="189"/>
      <c r="AA19" s="189"/>
      <c r="AB19" s="189"/>
      <c r="AC19" s="189"/>
      <c r="AD19" s="189"/>
      <c r="AE19" s="189"/>
      <c r="AF19" s="189"/>
      <c r="AG19" s="189"/>
      <c r="AH19" s="189"/>
      <c r="AI19" s="189"/>
      <c r="AJ19" s="189"/>
      <c r="AK19" s="191"/>
    </row>
    <row r="20" spans="2:37" s="90" customFormat="1">
      <c r="B20" s="92">
        <v>13</v>
      </c>
      <c r="C20" s="189" t="s">
        <v>1532</v>
      </c>
      <c r="D20" s="189"/>
      <c r="E20" s="189"/>
      <c r="F20" s="189"/>
      <c r="G20" s="189"/>
      <c r="H20" s="189"/>
      <c r="I20" s="189" t="s">
        <v>1244</v>
      </c>
      <c r="J20" s="189"/>
      <c r="K20" s="189"/>
      <c r="L20" s="189"/>
      <c r="M20" s="189"/>
      <c r="N20" s="189"/>
      <c r="O20" s="189"/>
      <c r="P20" s="189"/>
      <c r="Q20" s="189" t="s">
        <v>1531</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3">
        <v>13</v>
      </c>
      <c r="C21" s="189" t="s">
        <v>1263</v>
      </c>
      <c r="D21" s="189"/>
      <c r="E21" s="189"/>
      <c r="F21" s="189"/>
      <c r="G21" s="189"/>
      <c r="H21" s="189"/>
      <c r="I21" s="189" t="s">
        <v>1264</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3">
        <v>14</v>
      </c>
      <c r="C22" s="189" t="s">
        <v>347</v>
      </c>
      <c r="D22" s="189"/>
      <c r="E22" s="189"/>
      <c r="F22" s="189"/>
      <c r="G22" s="189"/>
      <c r="H22" s="189"/>
      <c r="I22" s="189" t="s">
        <v>360</v>
      </c>
      <c r="J22" s="189"/>
      <c r="K22" s="189"/>
      <c r="L22" s="189"/>
      <c r="M22" s="189"/>
      <c r="N22" s="189"/>
      <c r="O22" s="189"/>
      <c r="P22" s="189"/>
      <c r="Q22" s="189" t="s">
        <v>392</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3">
        <v>15</v>
      </c>
      <c r="C23" s="189" t="s">
        <v>118</v>
      </c>
      <c r="D23" s="189"/>
      <c r="E23" s="189"/>
      <c r="F23" s="189"/>
      <c r="G23" s="189"/>
      <c r="H23" s="189"/>
      <c r="I23" s="189" t="s">
        <v>159</v>
      </c>
      <c r="J23" s="189"/>
      <c r="K23" s="189"/>
      <c r="L23" s="189"/>
      <c r="M23" s="189"/>
      <c r="N23" s="189"/>
      <c r="O23" s="189"/>
      <c r="P23" s="189"/>
      <c r="Q23" s="189" t="s">
        <v>144</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3">
        <v>16</v>
      </c>
      <c r="C24" s="189" t="s">
        <v>576</v>
      </c>
      <c r="D24" s="189"/>
      <c r="E24" s="189"/>
      <c r="F24" s="189"/>
      <c r="G24" s="189"/>
      <c r="H24" s="189"/>
      <c r="I24" s="189" t="s">
        <v>364</v>
      </c>
      <c r="J24" s="189"/>
      <c r="K24" s="189"/>
      <c r="L24" s="189"/>
      <c r="M24" s="189"/>
      <c r="N24" s="189"/>
      <c r="O24" s="189"/>
      <c r="P24" s="189"/>
      <c r="Q24" s="189" t="s">
        <v>146</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3">
        <v>17</v>
      </c>
      <c r="C25" s="189" t="s">
        <v>252</v>
      </c>
      <c r="D25" s="189"/>
      <c r="E25" s="189"/>
      <c r="F25" s="189"/>
      <c r="G25" s="189"/>
      <c r="H25" s="189"/>
      <c r="I25" s="189" t="s">
        <v>132</v>
      </c>
      <c r="J25" s="189"/>
      <c r="K25" s="189"/>
      <c r="L25" s="189"/>
      <c r="M25" s="189"/>
      <c r="N25" s="189"/>
      <c r="O25" s="189"/>
      <c r="P25" s="189"/>
      <c r="Q25" s="189" t="s">
        <v>143</v>
      </c>
      <c r="R25" s="189"/>
      <c r="S25" s="189"/>
      <c r="T25" s="189"/>
      <c r="U25" s="189"/>
      <c r="V25" s="189"/>
      <c r="W25" s="189"/>
      <c r="X25" s="189"/>
      <c r="Y25" s="189"/>
      <c r="Z25" s="189"/>
      <c r="AA25" s="189"/>
      <c r="AB25" s="189"/>
      <c r="AC25" s="189"/>
      <c r="AD25" s="189"/>
      <c r="AE25" s="189"/>
      <c r="AF25" s="189"/>
      <c r="AG25" s="189"/>
      <c r="AH25" s="189"/>
      <c r="AI25" s="189"/>
      <c r="AJ25" s="189"/>
      <c r="AK25" s="191"/>
    </row>
    <row r="26" spans="2:37" ht="13.8" thickBot="1">
      <c r="B26" s="4">
        <v>18</v>
      </c>
      <c r="C26" s="190" t="s">
        <v>696</v>
      </c>
      <c r="D26" s="190"/>
      <c r="E26" s="190"/>
      <c r="F26" s="190"/>
      <c r="G26" s="190"/>
      <c r="H26" s="190"/>
      <c r="I26" s="190" t="s">
        <v>138</v>
      </c>
      <c r="J26" s="190"/>
      <c r="K26" s="190"/>
      <c r="L26" s="190"/>
      <c r="M26" s="190"/>
      <c r="N26" s="190"/>
      <c r="O26" s="190"/>
      <c r="P26" s="190"/>
      <c r="Q26" s="190" t="s">
        <v>221</v>
      </c>
      <c r="R26" s="190"/>
      <c r="S26" s="190"/>
      <c r="T26" s="190"/>
      <c r="U26" s="190"/>
      <c r="V26" s="190"/>
      <c r="W26" s="190"/>
      <c r="X26" s="190"/>
      <c r="Y26" s="190"/>
      <c r="Z26" s="190"/>
      <c r="AA26" s="190"/>
      <c r="AB26" s="190"/>
      <c r="AC26" s="190"/>
      <c r="AD26" s="190"/>
      <c r="AE26" s="190"/>
      <c r="AF26" s="190"/>
      <c r="AG26" s="190"/>
      <c r="AH26" s="190"/>
      <c r="AI26" s="190"/>
      <c r="AJ26" s="190"/>
      <c r="AK26" s="198"/>
    </row>
    <row r="29" spans="2:37" ht="15" thickBot="1">
      <c r="B29" s="7" t="s">
        <v>994</v>
      </c>
    </row>
    <row r="30" spans="2:37" ht="13.8" thickBot="1">
      <c r="B30" s="10" t="s">
        <v>7</v>
      </c>
      <c r="C30" s="226" t="s">
        <v>998</v>
      </c>
      <c r="D30" s="226"/>
      <c r="E30" s="226"/>
      <c r="F30" s="226"/>
      <c r="G30" s="226"/>
      <c r="H30" s="226"/>
      <c r="I30" s="226"/>
      <c r="J30" s="226"/>
      <c r="K30" s="226"/>
      <c r="L30" s="226" t="s">
        <v>1000</v>
      </c>
      <c r="M30" s="226"/>
      <c r="N30" s="226"/>
      <c r="O30" s="226"/>
      <c r="P30" s="226"/>
      <c r="Q30" s="226"/>
      <c r="R30" s="226"/>
      <c r="S30" s="226"/>
      <c r="T30" s="226"/>
      <c r="U30" s="226"/>
      <c r="V30" s="226" t="s">
        <v>1002</v>
      </c>
      <c r="W30" s="226"/>
      <c r="X30" s="226"/>
      <c r="Y30" s="226" t="s">
        <v>1004</v>
      </c>
      <c r="Z30" s="226"/>
      <c r="AA30" s="226"/>
      <c r="AB30" s="226" t="s">
        <v>1005</v>
      </c>
      <c r="AC30" s="226"/>
      <c r="AD30" s="226"/>
      <c r="AE30" s="226"/>
      <c r="AF30" s="226"/>
      <c r="AG30" s="226"/>
      <c r="AH30" s="226"/>
      <c r="AI30" s="227"/>
    </row>
    <row r="31" spans="2:37">
      <c r="B31" s="256">
        <v>1</v>
      </c>
      <c r="C31" s="247" t="s">
        <v>1106</v>
      </c>
      <c r="D31" s="247"/>
      <c r="E31" s="247"/>
      <c r="F31" s="247"/>
      <c r="G31" s="247"/>
      <c r="H31" s="247"/>
      <c r="I31" s="247"/>
      <c r="J31" s="247"/>
      <c r="K31" s="247"/>
      <c r="L31" s="246" t="s">
        <v>1107</v>
      </c>
      <c r="M31" s="246"/>
      <c r="N31" s="246"/>
      <c r="O31" s="246"/>
      <c r="P31" s="246"/>
      <c r="Q31" s="246"/>
      <c r="R31" s="246"/>
      <c r="S31" s="246"/>
      <c r="T31" s="246"/>
      <c r="U31" s="246"/>
      <c r="V31" s="247" t="s">
        <v>1022</v>
      </c>
      <c r="W31" s="247"/>
      <c r="X31" s="247"/>
      <c r="Y31" s="247" t="s">
        <v>1022</v>
      </c>
      <c r="Z31" s="247"/>
      <c r="AA31" s="247"/>
      <c r="AB31" s="248"/>
      <c r="AC31" s="248"/>
      <c r="AD31" s="248"/>
      <c r="AE31" s="248"/>
      <c r="AF31" s="248"/>
      <c r="AG31" s="248"/>
      <c r="AH31" s="248"/>
      <c r="AI31" s="249"/>
    </row>
    <row r="32" spans="2:37">
      <c r="B32" s="280"/>
      <c r="C32" s="281"/>
      <c r="D32" s="281"/>
      <c r="E32" s="281"/>
      <c r="F32" s="281"/>
      <c r="G32" s="281"/>
      <c r="H32" s="281"/>
      <c r="I32" s="281"/>
      <c r="J32" s="281"/>
      <c r="K32" s="281"/>
      <c r="L32" s="284" t="s">
        <v>1041</v>
      </c>
      <c r="M32" s="284"/>
      <c r="N32" s="284"/>
      <c r="O32" s="284"/>
      <c r="P32" s="284"/>
      <c r="Q32" s="284"/>
      <c r="R32" s="284"/>
      <c r="S32" s="284"/>
      <c r="T32" s="284"/>
      <c r="U32" s="284"/>
      <c r="V32" s="281"/>
      <c r="W32" s="281"/>
      <c r="X32" s="281"/>
      <c r="Y32" s="281"/>
      <c r="Z32" s="281"/>
      <c r="AA32" s="281"/>
      <c r="AB32" s="282"/>
      <c r="AC32" s="282"/>
      <c r="AD32" s="282"/>
      <c r="AE32" s="282"/>
      <c r="AF32" s="282"/>
      <c r="AG32" s="282"/>
      <c r="AH32" s="282"/>
      <c r="AI32" s="283"/>
    </row>
    <row r="33" spans="2:35" ht="13.8" thickBot="1">
      <c r="B33" s="12">
        <v>2</v>
      </c>
      <c r="C33" s="238" t="s">
        <v>1108</v>
      </c>
      <c r="D33" s="238"/>
      <c r="E33" s="238"/>
      <c r="F33" s="238"/>
      <c r="G33" s="238"/>
      <c r="H33" s="238"/>
      <c r="I33" s="238"/>
      <c r="J33" s="238"/>
      <c r="K33" s="238"/>
      <c r="L33" s="238" t="s">
        <v>1109</v>
      </c>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9"/>
    </row>
    <row r="34" spans="2:35">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row>
    <row r="35" spans="2:35" ht="15" thickBot="1">
      <c r="B35" s="7" t="s">
        <v>995</v>
      </c>
    </row>
    <row r="36" spans="2:35">
      <c r="B36" s="14" t="s">
        <v>1069</v>
      </c>
      <c r="C36" s="226" t="s">
        <v>1070</v>
      </c>
      <c r="D36" s="226"/>
      <c r="E36" s="226"/>
      <c r="F36" s="226"/>
      <c r="G36" s="226"/>
      <c r="H36" s="226"/>
      <c r="I36" s="226"/>
      <c r="J36" s="226"/>
      <c r="K36" s="226"/>
      <c r="L36" s="226"/>
      <c r="M36" s="226" t="s">
        <v>1072</v>
      </c>
      <c r="N36" s="226"/>
      <c r="O36" s="226"/>
      <c r="P36" s="226"/>
      <c r="Q36" s="226"/>
      <c r="R36" s="226"/>
      <c r="S36" s="226"/>
      <c r="T36" s="226"/>
      <c r="U36" s="226" t="s">
        <v>1154</v>
      </c>
      <c r="V36" s="226"/>
      <c r="W36" s="226"/>
      <c r="X36" s="226"/>
      <c r="Y36" s="226"/>
      <c r="Z36" s="226"/>
      <c r="AA36" s="226"/>
      <c r="AB36" s="226"/>
      <c r="AC36" s="226"/>
      <c r="AD36" s="226" t="s">
        <v>1155</v>
      </c>
      <c r="AE36" s="226"/>
      <c r="AF36" s="226"/>
      <c r="AG36" s="226"/>
      <c r="AH36" s="226"/>
      <c r="AI36" s="227"/>
    </row>
    <row r="37" spans="2:35" ht="13.8" thickBot="1">
      <c r="B37" s="4"/>
      <c r="C37" s="190"/>
      <c r="D37" s="190"/>
      <c r="E37" s="190"/>
      <c r="F37" s="190"/>
      <c r="G37" s="190"/>
      <c r="H37" s="190"/>
      <c r="I37" s="190"/>
      <c r="J37" s="190"/>
      <c r="K37" s="190"/>
      <c r="L37" s="190"/>
      <c r="M37" s="190"/>
      <c r="N37" s="190"/>
      <c r="O37" s="190"/>
      <c r="P37" s="190"/>
      <c r="Q37" s="190"/>
      <c r="R37" s="190"/>
      <c r="S37" s="190"/>
      <c r="T37" s="190"/>
      <c r="U37" s="190"/>
      <c r="V37" s="190"/>
      <c r="W37" s="190"/>
      <c r="X37" s="190"/>
      <c r="Y37" s="190"/>
      <c r="Z37" s="190"/>
      <c r="AA37" s="190"/>
      <c r="AB37" s="190"/>
      <c r="AC37" s="190"/>
      <c r="AD37" s="190"/>
      <c r="AE37" s="190"/>
      <c r="AF37" s="190"/>
      <c r="AG37" s="190"/>
      <c r="AH37" s="190"/>
      <c r="AI37" s="198"/>
    </row>
    <row r="39" spans="2:35" ht="15" thickBot="1">
      <c r="B39" s="7" t="s">
        <v>996</v>
      </c>
    </row>
    <row r="40" spans="2:35">
      <c r="B40" s="14" t="s">
        <v>1069</v>
      </c>
      <c r="C40" s="226" t="s">
        <v>1070</v>
      </c>
      <c r="D40" s="226"/>
      <c r="E40" s="226"/>
      <c r="F40" s="226"/>
      <c r="G40" s="226"/>
      <c r="H40" s="226"/>
      <c r="I40" s="226"/>
      <c r="J40" s="226"/>
      <c r="K40" s="226"/>
      <c r="L40" s="226"/>
      <c r="M40" s="226" t="s">
        <v>1072</v>
      </c>
      <c r="N40" s="226"/>
      <c r="O40" s="226"/>
      <c r="P40" s="226"/>
      <c r="Q40" s="226"/>
      <c r="R40" s="226"/>
      <c r="S40" s="226"/>
      <c r="T40" s="226"/>
      <c r="U40" s="226" t="s">
        <v>1154</v>
      </c>
      <c r="V40" s="226"/>
      <c r="W40" s="226"/>
      <c r="X40" s="226"/>
      <c r="Y40" s="226"/>
      <c r="Z40" s="226"/>
      <c r="AA40" s="226"/>
      <c r="AB40" s="226"/>
      <c r="AC40" s="226"/>
      <c r="AD40" s="226" t="s">
        <v>1155</v>
      </c>
      <c r="AE40" s="226"/>
      <c r="AF40" s="226"/>
      <c r="AG40" s="226"/>
      <c r="AH40" s="226"/>
      <c r="AI40" s="227"/>
    </row>
    <row r="41" spans="2:35" ht="13.8" thickBot="1">
      <c r="B41" s="4"/>
      <c r="C41" s="190"/>
      <c r="D41" s="190"/>
      <c r="E41" s="190"/>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8"/>
    </row>
  </sheetData>
  <mergeCells count="173">
    <mergeCell ref="AB30:AI30"/>
    <mergeCell ref="I26:P26"/>
    <mergeCell ref="I23:P23"/>
    <mergeCell ref="AA22:AB22"/>
    <mergeCell ref="AA23:AB23"/>
    <mergeCell ref="AA24:AB24"/>
    <mergeCell ref="AE23:AK23"/>
    <mergeCell ref="AE24:AK24"/>
    <mergeCell ref="AE25:AK25"/>
    <mergeCell ref="AE26:AK26"/>
    <mergeCell ref="Q26:X26"/>
    <mergeCell ref="I24:P24"/>
    <mergeCell ref="I25:P25"/>
    <mergeCell ref="Q23:X23"/>
    <mergeCell ref="Q24:X24"/>
    <mergeCell ref="Q25:X25"/>
    <mergeCell ref="Y22:Z22"/>
    <mergeCell ref="Y23:Z23"/>
    <mergeCell ref="Y24:Z24"/>
    <mergeCell ref="Y25:Z25"/>
    <mergeCell ref="C40:L40"/>
    <mergeCell ref="M40:T40"/>
    <mergeCell ref="U40:AC40"/>
    <mergeCell ref="AD40:AI40"/>
    <mergeCell ref="C41:L41"/>
    <mergeCell ref="M41:T41"/>
    <mergeCell ref="U41:AC41"/>
    <mergeCell ref="AD41:AI41"/>
    <mergeCell ref="C33:K33"/>
    <mergeCell ref="L33:U33"/>
    <mergeCell ref="V33:X33"/>
    <mergeCell ref="Y33:AA33"/>
    <mergeCell ref="AB33:AI33"/>
    <mergeCell ref="C36:L36"/>
    <mergeCell ref="M36:T36"/>
    <mergeCell ref="U36:AC36"/>
    <mergeCell ref="AD36:AI36"/>
    <mergeCell ref="C37:L37"/>
    <mergeCell ref="M37:T37"/>
    <mergeCell ref="U37:AC37"/>
    <mergeCell ref="AD37:AI37"/>
    <mergeCell ref="B31:B32"/>
    <mergeCell ref="C31:K32"/>
    <mergeCell ref="L31:U31"/>
    <mergeCell ref="V31:X32"/>
    <mergeCell ref="Y31:AA32"/>
    <mergeCell ref="AB31:AI32"/>
    <mergeCell ref="L32:U32"/>
    <mergeCell ref="AE8:AK8"/>
    <mergeCell ref="AA9:AB9"/>
    <mergeCell ref="AC9:AD9"/>
    <mergeCell ref="C11:H11"/>
    <mergeCell ref="AA11:AB11"/>
    <mergeCell ref="Q11:X11"/>
    <mergeCell ref="C25:H25"/>
    <mergeCell ref="C26:H26"/>
    <mergeCell ref="I11:P11"/>
    <mergeCell ref="I12:P12"/>
    <mergeCell ref="I13:P13"/>
    <mergeCell ref="I14:P14"/>
    <mergeCell ref="I15:P15"/>
    <mergeCell ref="C30:K30"/>
    <mergeCell ref="L30:U30"/>
    <mergeCell ref="V30:X30"/>
    <mergeCell ref="Y30:AA30"/>
    <mergeCell ref="B2:E4"/>
    <mergeCell ref="F2:H2"/>
    <mergeCell ref="F3:H3"/>
    <mergeCell ref="F4:H4"/>
    <mergeCell ref="C8:H8"/>
    <mergeCell ref="I8:P8"/>
    <mergeCell ref="AA10:AB10"/>
    <mergeCell ref="AC10:AD10"/>
    <mergeCell ref="C9:H9"/>
    <mergeCell ref="C10:H10"/>
    <mergeCell ref="Q8:X8"/>
    <mergeCell ref="AA8:AB8"/>
    <mergeCell ref="AC8:AD8"/>
    <mergeCell ref="Q9:X9"/>
    <mergeCell ref="Q10:X10"/>
    <mergeCell ref="I9:P9"/>
    <mergeCell ref="I10:P10"/>
    <mergeCell ref="Y9:Z9"/>
    <mergeCell ref="Y10:Z10"/>
    <mergeCell ref="I2:L2"/>
    <mergeCell ref="I3:L3"/>
    <mergeCell ref="I4:L4"/>
    <mergeCell ref="Y8:Z8"/>
    <mergeCell ref="C18:H18"/>
    <mergeCell ref="C19:H19"/>
    <mergeCell ref="C21:H21"/>
    <mergeCell ref="C22:H22"/>
    <mergeCell ref="C23:H23"/>
    <mergeCell ref="C24:H24"/>
    <mergeCell ref="C12:H12"/>
    <mergeCell ref="C13:H13"/>
    <mergeCell ref="C14:H14"/>
    <mergeCell ref="C15:H15"/>
    <mergeCell ref="C16:H16"/>
    <mergeCell ref="C17:H17"/>
    <mergeCell ref="C20:H20"/>
    <mergeCell ref="Q12:X12"/>
    <mergeCell ref="Q13:X13"/>
    <mergeCell ref="AA18:AB18"/>
    <mergeCell ref="I16:P16"/>
    <mergeCell ref="I17:P17"/>
    <mergeCell ref="I18:P18"/>
    <mergeCell ref="I19:P19"/>
    <mergeCell ref="I21:P21"/>
    <mergeCell ref="I22:P22"/>
    <mergeCell ref="Q14:X14"/>
    <mergeCell ref="Q15:X15"/>
    <mergeCell ref="Q16:X16"/>
    <mergeCell ref="Q17:X17"/>
    <mergeCell ref="Q18:X18"/>
    <mergeCell ref="Q19:X19"/>
    <mergeCell ref="I20:P20"/>
    <mergeCell ref="Q20:X20"/>
    <mergeCell ref="AA15:AB15"/>
    <mergeCell ref="AA16:AB16"/>
    <mergeCell ref="AA17:AB17"/>
    <mergeCell ref="Q21:X21"/>
    <mergeCell ref="Q22:X22"/>
    <mergeCell ref="Y19:Z19"/>
    <mergeCell ref="Y21:Z21"/>
    <mergeCell ref="AE9:AK9"/>
    <mergeCell ref="AE10:AK10"/>
    <mergeCell ref="AE11:AK11"/>
    <mergeCell ref="AE12:AK12"/>
    <mergeCell ref="AE13:AK13"/>
    <mergeCell ref="AE14:AK14"/>
    <mergeCell ref="AE15:AK15"/>
    <mergeCell ref="AC17:AD17"/>
    <mergeCell ref="AC16:AD16"/>
    <mergeCell ref="AE16:AK16"/>
    <mergeCell ref="AE17:AK17"/>
    <mergeCell ref="AC11:AD11"/>
    <mergeCell ref="AC12:AD12"/>
    <mergeCell ref="AC13:AD13"/>
    <mergeCell ref="AC14:AD14"/>
    <mergeCell ref="AC15:AD15"/>
    <mergeCell ref="AE19:AK19"/>
    <mergeCell ref="AE21:AK21"/>
    <mergeCell ref="AE22:AK22"/>
    <mergeCell ref="AC25:AD25"/>
    <mergeCell ref="AC26:AD26"/>
    <mergeCell ref="AA19:AB19"/>
    <mergeCell ref="Y26:Z26"/>
    <mergeCell ref="AC18:AD18"/>
    <mergeCell ref="AC22:AD22"/>
    <mergeCell ref="AC23:AD23"/>
    <mergeCell ref="AC24:AD24"/>
    <mergeCell ref="AA25:AB25"/>
    <mergeCell ref="AA26:AB26"/>
    <mergeCell ref="Y20:Z20"/>
    <mergeCell ref="AA20:AB20"/>
    <mergeCell ref="AC20:AD20"/>
    <mergeCell ref="AE20:AK20"/>
    <mergeCell ref="AA21:AB21"/>
    <mergeCell ref="AC19:AD19"/>
    <mergeCell ref="AC21:AD21"/>
    <mergeCell ref="Y11:Z11"/>
    <mergeCell ref="Y12:Z12"/>
    <mergeCell ref="Y13:Z13"/>
    <mergeCell ref="Y14:Z14"/>
    <mergeCell ref="Y15:Z15"/>
    <mergeCell ref="Y16:Z16"/>
    <mergeCell ref="Y17:Z17"/>
    <mergeCell ref="Y18:Z18"/>
    <mergeCell ref="AE18:AK18"/>
    <mergeCell ref="AA14:AB14"/>
    <mergeCell ref="AA12:AB12"/>
    <mergeCell ref="AA13:AB13"/>
  </mergeCells>
  <phoneticPr fontId="3"/>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4C0D-CBBC-407A-A954-4E913C0B302E}">
  <sheetPr codeName="Sheet55"/>
  <dimension ref="B1:AK25"/>
  <sheetViews>
    <sheetView workbookViewId="0">
      <selection activeCell="C9" sqref="C9:H9"/>
    </sheetView>
  </sheetViews>
  <sheetFormatPr defaultColWidth="3.6640625" defaultRowHeight="13.2"/>
  <sheetData>
    <row r="1" spans="2:37" ht="13.8" thickBot="1"/>
    <row r="2" spans="2:37">
      <c r="B2" s="205" t="s">
        <v>95</v>
      </c>
      <c r="C2" s="206"/>
      <c r="D2" s="206"/>
      <c r="E2" s="206"/>
      <c r="F2" s="211" t="s">
        <v>93</v>
      </c>
      <c r="G2" s="211"/>
      <c r="H2" s="212"/>
      <c r="I2" s="196" t="s">
        <v>728</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726</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112</v>
      </c>
      <c r="D9" s="189"/>
      <c r="E9" s="189"/>
      <c r="F9" s="189"/>
      <c r="G9" s="189"/>
      <c r="H9" s="189"/>
      <c r="I9" s="189" t="s">
        <v>1930</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s="174" customFormat="1">
      <c r="B10" s="176">
        <v>2</v>
      </c>
      <c r="C10" s="189" t="s">
        <v>724</v>
      </c>
      <c r="D10" s="189"/>
      <c r="E10" s="189"/>
      <c r="F10" s="189"/>
      <c r="G10" s="189"/>
      <c r="H10" s="189"/>
      <c r="I10" s="189" t="s">
        <v>725</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s="174" customFormat="1">
      <c r="B11" s="176">
        <v>3</v>
      </c>
      <c r="C11" s="189" t="s">
        <v>1926</v>
      </c>
      <c r="D11" s="189"/>
      <c r="E11" s="189"/>
      <c r="F11" s="189"/>
      <c r="G11" s="189"/>
      <c r="H11" s="189"/>
      <c r="I11" s="189" t="s">
        <v>1928</v>
      </c>
      <c r="J11" s="189"/>
      <c r="K11" s="189"/>
      <c r="L11" s="189"/>
      <c r="M11" s="189"/>
      <c r="N11" s="189"/>
      <c r="O11" s="189"/>
      <c r="P11" s="189"/>
      <c r="Q11" s="189" t="s">
        <v>143</v>
      </c>
      <c r="R11" s="189"/>
      <c r="S11" s="189"/>
      <c r="T11" s="189"/>
      <c r="U11" s="189"/>
      <c r="V11" s="189"/>
      <c r="W11" s="189"/>
      <c r="X11" s="189"/>
      <c r="Y11" s="189"/>
      <c r="Z11" s="189"/>
      <c r="AA11" s="189"/>
      <c r="AB11" s="189"/>
      <c r="AC11" s="189"/>
      <c r="AD11" s="189"/>
      <c r="AE11" s="189"/>
      <c r="AF11" s="189"/>
      <c r="AG11" s="189"/>
      <c r="AH11" s="189"/>
      <c r="AI11" s="189"/>
      <c r="AJ11" s="189"/>
      <c r="AK11" s="191"/>
    </row>
    <row r="12" spans="2:37" ht="13.8" thickBot="1">
      <c r="B12" s="4">
        <v>4</v>
      </c>
      <c r="C12" s="190" t="s">
        <v>1927</v>
      </c>
      <c r="D12" s="190"/>
      <c r="E12" s="190"/>
      <c r="F12" s="190"/>
      <c r="G12" s="190"/>
      <c r="H12" s="190"/>
      <c r="I12" s="190" t="s">
        <v>1929</v>
      </c>
      <c r="J12" s="190"/>
      <c r="K12" s="190"/>
      <c r="L12" s="190"/>
      <c r="M12" s="190"/>
      <c r="N12" s="190"/>
      <c r="O12" s="190"/>
      <c r="P12" s="190"/>
      <c r="Q12" s="190" t="s">
        <v>143</v>
      </c>
      <c r="R12" s="190"/>
      <c r="S12" s="190"/>
      <c r="T12" s="190"/>
      <c r="U12" s="190"/>
      <c r="V12" s="190"/>
      <c r="W12" s="190"/>
      <c r="X12" s="190"/>
      <c r="Y12" s="190"/>
      <c r="Z12" s="190"/>
      <c r="AA12" s="190"/>
      <c r="AB12" s="190"/>
      <c r="AC12" s="190"/>
      <c r="AD12" s="190"/>
      <c r="AE12" s="190"/>
      <c r="AF12" s="190"/>
      <c r="AG12" s="190"/>
      <c r="AH12" s="190"/>
      <c r="AI12" s="190"/>
      <c r="AJ12" s="190"/>
      <c r="AK12" s="198"/>
    </row>
    <row r="15" spans="2:37" ht="15" thickBot="1">
      <c r="B15" s="7" t="s">
        <v>994</v>
      </c>
    </row>
    <row r="16" spans="2:37">
      <c r="B16" s="10" t="s">
        <v>7</v>
      </c>
      <c r="C16" s="226" t="s">
        <v>998</v>
      </c>
      <c r="D16" s="226"/>
      <c r="E16" s="226"/>
      <c r="F16" s="226"/>
      <c r="G16" s="226"/>
      <c r="H16" s="226"/>
      <c r="I16" s="226"/>
      <c r="J16" s="226"/>
      <c r="K16" s="226"/>
      <c r="L16" s="226" t="s">
        <v>1000</v>
      </c>
      <c r="M16" s="226"/>
      <c r="N16" s="226"/>
      <c r="O16" s="226"/>
      <c r="P16" s="226"/>
      <c r="Q16" s="226"/>
      <c r="R16" s="226"/>
      <c r="S16" s="226"/>
      <c r="T16" s="226"/>
      <c r="U16" s="226"/>
      <c r="V16" s="226" t="s">
        <v>1002</v>
      </c>
      <c r="W16" s="226"/>
      <c r="X16" s="226"/>
      <c r="Y16" s="226" t="s">
        <v>1004</v>
      </c>
      <c r="Z16" s="226"/>
      <c r="AA16" s="226"/>
      <c r="AB16" s="226" t="s">
        <v>1005</v>
      </c>
      <c r="AC16" s="226"/>
      <c r="AD16" s="226"/>
      <c r="AE16" s="226"/>
      <c r="AF16" s="226"/>
      <c r="AG16" s="226"/>
      <c r="AH16" s="226"/>
      <c r="AI16" s="227"/>
    </row>
    <row r="17" spans="2:35" ht="13.8" thickBot="1">
      <c r="B17" s="12">
        <v>1</v>
      </c>
      <c r="C17" s="238" t="s">
        <v>1110</v>
      </c>
      <c r="D17" s="238"/>
      <c r="E17" s="238"/>
      <c r="F17" s="238"/>
      <c r="G17" s="238"/>
      <c r="H17" s="238"/>
      <c r="I17" s="238"/>
      <c r="J17" s="238"/>
      <c r="K17" s="238"/>
      <c r="L17" s="238" t="s">
        <v>1111</v>
      </c>
      <c r="M17" s="238"/>
      <c r="N17" s="238"/>
      <c r="O17" s="238"/>
      <c r="P17" s="238"/>
      <c r="Q17" s="238"/>
      <c r="R17" s="238"/>
      <c r="S17" s="238"/>
      <c r="T17" s="238"/>
      <c r="U17" s="238"/>
      <c r="V17" s="238" t="s">
        <v>1022</v>
      </c>
      <c r="W17" s="238"/>
      <c r="X17" s="238"/>
      <c r="Y17" s="238" t="s">
        <v>1022</v>
      </c>
      <c r="Z17" s="238"/>
      <c r="AA17" s="238"/>
      <c r="AB17" s="238"/>
      <c r="AC17" s="238"/>
      <c r="AD17" s="238"/>
      <c r="AE17" s="238"/>
      <c r="AF17" s="238"/>
      <c r="AG17" s="238"/>
      <c r="AH17" s="238"/>
      <c r="AI17" s="239"/>
    </row>
    <row r="18" spans="2:35">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8">
    <mergeCell ref="C24:L24"/>
    <mergeCell ref="M24:T24"/>
    <mergeCell ref="U24:AC24"/>
    <mergeCell ref="AD24:AI24"/>
    <mergeCell ref="C25:L25"/>
    <mergeCell ref="M25:T25"/>
    <mergeCell ref="U25:AC25"/>
    <mergeCell ref="AD25:AI25"/>
    <mergeCell ref="C20:L20"/>
    <mergeCell ref="M20:T20"/>
    <mergeCell ref="U20:AC20"/>
    <mergeCell ref="AD20:AI20"/>
    <mergeCell ref="C21:L21"/>
    <mergeCell ref="M21:T21"/>
    <mergeCell ref="U21:AC21"/>
    <mergeCell ref="AD21:AI21"/>
    <mergeCell ref="C17:K17"/>
    <mergeCell ref="L17:U17"/>
    <mergeCell ref="V17:X17"/>
    <mergeCell ref="Y17:AA17"/>
    <mergeCell ref="AB17:AI17"/>
    <mergeCell ref="C16:K16"/>
    <mergeCell ref="L16:U16"/>
    <mergeCell ref="V16:X16"/>
    <mergeCell ref="Y16:AA16"/>
    <mergeCell ref="AB16:AI16"/>
    <mergeCell ref="B2:E4"/>
    <mergeCell ref="F2:H2"/>
    <mergeCell ref="F3:H3"/>
    <mergeCell ref="F4:H4"/>
    <mergeCell ref="C8:H8"/>
    <mergeCell ref="C9:H9"/>
    <mergeCell ref="C12:H12"/>
    <mergeCell ref="I9:P9"/>
    <mergeCell ref="I12:P12"/>
    <mergeCell ref="Q9:X9"/>
    <mergeCell ref="Q12:X12"/>
    <mergeCell ref="C10:H10"/>
    <mergeCell ref="I10:P10"/>
    <mergeCell ref="Q10:X10"/>
    <mergeCell ref="C11:H11"/>
    <mergeCell ref="I11:P11"/>
    <mergeCell ref="Q11:X11"/>
    <mergeCell ref="AC8:AD8"/>
    <mergeCell ref="AE8:AK8"/>
    <mergeCell ref="AA9:AB9"/>
    <mergeCell ref="AC9:AD9"/>
    <mergeCell ref="I8:P8"/>
    <mergeCell ref="Y8:Z8"/>
    <mergeCell ref="Y9:Z9"/>
    <mergeCell ref="I2:M2"/>
    <mergeCell ref="I3:M3"/>
    <mergeCell ref="I4:M4"/>
    <mergeCell ref="Q8:X8"/>
    <mergeCell ref="AA8:AB8"/>
    <mergeCell ref="Y12:Z12"/>
    <mergeCell ref="AA12:AB12"/>
    <mergeCell ref="AC12:AD12"/>
    <mergeCell ref="AE9:AK9"/>
    <mergeCell ref="AE12:AK12"/>
    <mergeCell ref="Y10:Z10"/>
    <mergeCell ref="AA10:AB10"/>
    <mergeCell ref="AC10:AD10"/>
    <mergeCell ref="AE10:AK10"/>
    <mergeCell ref="Y11:Z11"/>
    <mergeCell ref="AA11:AB11"/>
    <mergeCell ref="AC11:AD11"/>
    <mergeCell ref="AE11:AK11"/>
  </mergeCells>
  <phoneticPr fontId="3"/>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81E81-C81F-4603-BEF9-112DD38165F0}">
  <sheetPr codeName="Sheet56"/>
  <dimension ref="B1:AK23"/>
  <sheetViews>
    <sheetView workbookViewId="0"/>
  </sheetViews>
  <sheetFormatPr defaultColWidth="3.6640625" defaultRowHeight="13.2"/>
  <sheetData>
    <row r="1" spans="2:37" ht="13.8" thickBot="1"/>
    <row r="2" spans="2:37">
      <c r="B2" s="205" t="s">
        <v>95</v>
      </c>
      <c r="C2" s="206"/>
      <c r="D2" s="206"/>
      <c r="E2" s="206"/>
      <c r="F2" s="211" t="s">
        <v>93</v>
      </c>
      <c r="G2" s="211"/>
      <c r="H2" s="212"/>
      <c r="I2" s="196" t="s">
        <v>735</v>
      </c>
      <c r="J2" s="196"/>
      <c r="K2" s="196"/>
      <c r="L2" s="196"/>
      <c r="M2" s="197"/>
    </row>
    <row r="3" spans="2:37" ht="13.8" thickBot="1">
      <c r="B3" s="207"/>
      <c r="C3" s="208"/>
      <c r="D3" s="208"/>
      <c r="E3" s="208"/>
      <c r="F3" s="213" t="s">
        <v>10</v>
      </c>
      <c r="G3" s="213"/>
      <c r="H3" s="214"/>
      <c r="I3" s="268" t="s">
        <v>11</v>
      </c>
      <c r="J3" s="268"/>
      <c r="K3" s="268"/>
      <c r="L3" s="268"/>
      <c r="M3" s="285"/>
    </row>
    <row r="4" spans="2:37" ht="13.8" thickBot="1">
      <c r="B4" s="209"/>
      <c r="C4" s="210"/>
      <c r="D4" s="210"/>
      <c r="E4" s="210"/>
      <c r="F4" s="215" t="s">
        <v>94</v>
      </c>
      <c r="G4" s="215"/>
      <c r="H4" s="255"/>
      <c r="I4" s="286" t="s">
        <v>729</v>
      </c>
      <c r="J4" s="287"/>
      <c r="K4" s="287"/>
      <c r="L4" s="287"/>
      <c r="M4" s="28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730</v>
      </c>
      <c r="D9" s="189"/>
      <c r="E9" s="189"/>
      <c r="F9" s="189"/>
      <c r="G9" s="189"/>
      <c r="H9" s="189"/>
      <c r="I9" s="189" t="s">
        <v>732</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731</v>
      </c>
      <c r="D10" s="190"/>
      <c r="E10" s="190"/>
      <c r="F10" s="190"/>
      <c r="G10" s="190"/>
      <c r="H10" s="190"/>
      <c r="I10" s="190" t="s">
        <v>733</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1112</v>
      </c>
      <c r="D15" s="238"/>
      <c r="E15" s="238"/>
      <c r="F15" s="238"/>
      <c r="G15" s="238"/>
      <c r="H15" s="238"/>
      <c r="I15" s="238"/>
      <c r="J15" s="238"/>
      <c r="K15" s="238"/>
      <c r="L15" s="238" t="s">
        <v>1113</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15BE-0083-4147-9F25-E18698403AAC}">
  <sheetPr codeName="Sheet57"/>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740</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736</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716</v>
      </c>
      <c r="D9" s="189"/>
      <c r="E9" s="189"/>
      <c r="F9" s="189"/>
      <c r="G9" s="189"/>
      <c r="H9" s="189"/>
      <c r="I9" s="189" t="s">
        <v>720</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737</v>
      </c>
      <c r="D10" s="190"/>
      <c r="E10" s="190"/>
      <c r="F10" s="190"/>
      <c r="G10" s="190"/>
      <c r="H10" s="190"/>
      <c r="I10" s="190" t="s">
        <v>738</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1114</v>
      </c>
      <c r="D15" s="238"/>
      <c r="E15" s="238"/>
      <c r="F15" s="238"/>
      <c r="G15" s="238"/>
      <c r="H15" s="238"/>
      <c r="I15" s="238"/>
      <c r="J15" s="238"/>
      <c r="K15" s="238"/>
      <c r="L15" s="238" t="s">
        <v>1115</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0A461-51D4-40C1-BBA9-A595466696C4}">
  <sheetPr codeName="Sheet58"/>
  <dimension ref="B1:AK43"/>
  <sheetViews>
    <sheetView workbookViewId="0"/>
  </sheetViews>
  <sheetFormatPr defaultColWidth="3.6640625" defaultRowHeight="13.2"/>
  <sheetData>
    <row r="1" spans="2:37" ht="13.8" thickBot="1"/>
    <row r="2" spans="2:37">
      <c r="B2" s="205" t="s">
        <v>95</v>
      </c>
      <c r="C2" s="206"/>
      <c r="D2" s="206"/>
      <c r="E2" s="206"/>
      <c r="F2" s="211" t="s">
        <v>93</v>
      </c>
      <c r="G2" s="211"/>
      <c r="H2" s="212"/>
      <c r="I2" s="196" t="s">
        <v>748</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741</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113</v>
      </c>
      <c r="D9" s="189"/>
      <c r="E9" s="189"/>
      <c r="F9" s="189"/>
      <c r="G9" s="189"/>
      <c r="H9" s="189"/>
      <c r="I9" s="189" t="s">
        <v>744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344</v>
      </c>
      <c r="D10" s="189"/>
      <c r="E10" s="189"/>
      <c r="F10" s="189"/>
      <c r="G10" s="189"/>
      <c r="H10" s="189"/>
      <c r="I10" s="189" t="s">
        <v>354</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742</v>
      </c>
      <c r="D11" s="189"/>
      <c r="E11" s="189"/>
      <c r="F11" s="189"/>
      <c r="G11" s="189"/>
      <c r="H11" s="189"/>
      <c r="I11" s="189" t="s">
        <v>745</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80">
        <v>5</v>
      </c>
      <c r="C12" s="189" t="s">
        <v>111</v>
      </c>
      <c r="D12" s="189"/>
      <c r="E12" s="189"/>
      <c r="F12" s="189"/>
      <c r="G12" s="189"/>
      <c r="H12" s="189"/>
      <c r="I12" s="189" t="s">
        <v>580</v>
      </c>
      <c r="J12" s="189"/>
      <c r="K12" s="189"/>
      <c r="L12" s="189"/>
      <c r="M12" s="189"/>
      <c r="N12" s="189"/>
      <c r="O12" s="189"/>
      <c r="P12" s="189"/>
      <c r="Q12" s="189" t="s">
        <v>147</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80">
        <v>6</v>
      </c>
      <c r="C13" s="189" t="s">
        <v>1549</v>
      </c>
      <c r="D13" s="189"/>
      <c r="E13" s="189"/>
      <c r="F13" s="189"/>
      <c r="G13" s="189"/>
      <c r="H13" s="189"/>
      <c r="I13" s="189" t="s">
        <v>384</v>
      </c>
      <c r="J13" s="189"/>
      <c r="K13" s="189"/>
      <c r="L13" s="189"/>
      <c r="M13" s="189"/>
      <c r="N13" s="189"/>
      <c r="O13" s="189"/>
      <c r="P13" s="189"/>
      <c r="Q13" s="189" t="s">
        <v>146</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80">
        <v>7</v>
      </c>
      <c r="C14" s="189" t="s">
        <v>238</v>
      </c>
      <c r="D14" s="189"/>
      <c r="E14" s="189"/>
      <c r="F14" s="189"/>
      <c r="G14" s="189"/>
      <c r="H14" s="189"/>
      <c r="I14" s="189" t="s">
        <v>239</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8</v>
      </c>
      <c r="C15" s="189" t="s">
        <v>440</v>
      </c>
      <c r="D15" s="189"/>
      <c r="E15" s="189"/>
      <c r="F15" s="189"/>
      <c r="G15" s="189"/>
      <c r="H15" s="189"/>
      <c r="I15" s="189" t="s">
        <v>425</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9</v>
      </c>
      <c r="C16" s="189" t="s">
        <v>743</v>
      </c>
      <c r="D16" s="189"/>
      <c r="E16" s="189"/>
      <c r="F16" s="189"/>
      <c r="G16" s="189"/>
      <c r="H16" s="189"/>
      <c r="I16" s="189" t="s">
        <v>746</v>
      </c>
      <c r="J16" s="189"/>
      <c r="K16" s="189"/>
      <c r="L16" s="189"/>
      <c r="M16" s="189"/>
      <c r="N16" s="189"/>
      <c r="O16" s="189"/>
      <c r="P16" s="189"/>
      <c r="Q16" s="189" t="s">
        <v>146</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3">
        <v>10</v>
      </c>
      <c r="C17" s="189" t="s">
        <v>375</v>
      </c>
      <c r="D17" s="189"/>
      <c r="E17" s="189"/>
      <c r="F17" s="189"/>
      <c r="G17" s="189"/>
      <c r="H17" s="189"/>
      <c r="I17" s="189" t="s">
        <v>134</v>
      </c>
      <c r="J17" s="189"/>
      <c r="K17" s="189"/>
      <c r="L17" s="189"/>
      <c r="M17" s="189"/>
      <c r="N17" s="189"/>
      <c r="O17" s="189"/>
      <c r="P17" s="189"/>
      <c r="Q17" s="189" t="s">
        <v>146</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3">
        <v>11</v>
      </c>
      <c r="C18" s="189" t="s">
        <v>109</v>
      </c>
      <c r="D18" s="189"/>
      <c r="E18" s="189"/>
      <c r="F18" s="189"/>
      <c r="G18" s="189"/>
      <c r="H18" s="189"/>
      <c r="I18" s="189" t="s">
        <v>133</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3">
        <v>12</v>
      </c>
      <c r="C19" s="189" t="s">
        <v>550</v>
      </c>
      <c r="D19" s="189"/>
      <c r="E19" s="189"/>
      <c r="F19" s="189"/>
      <c r="G19" s="189"/>
      <c r="H19" s="189"/>
      <c r="I19" s="189" t="s">
        <v>135</v>
      </c>
      <c r="J19" s="189"/>
      <c r="K19" s="189"/>
      <c r="L19" s="189"/>
      <c r="M19" s="189"/>
      <c r="N19" s="189"/>
      <c r="O19" s="189"/>
      <c r="P19" s="189"/>
      <c r="Q19" s="189" t="s">
        <v>391</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3">
        <v>13</v>
      </c>
      <c r="C20" s="189" t="s">
        <v>598</v>
      </c>
      <c r="D20" s="189"/>
      <c r="E20" s="189"/>
      <c r="F20" s="189"/>
      <c r="G20" s="189"/>
      <c r="H20" s="189"/>
      <c r="I20" s="189" t="s">
        <v>582</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3">
        <v>14</v>
      </c>
      <c r="C21" s="189" t="s">
        <v>717</v>
      </c>
      <c r="D21" s="189"/>
      <c r="E21" s="189"/>
      <c r="F21" s="189"/>
      <c r="G21" s="189"/>
      <c r="H21" s="189"/>
      <c r="I21" s="189" t="s">
        <v>721</v>
      </c>
      <c r="J21" s="189"/>
      <c r="K21" s="189"/>
      <c r="L21" s="189"/>
      <c r="M21" s="189"/>
      <c r="N21" s="189"/>
      <c r="O21" s="189"/>
      <c r="P21" s="189"/>
      <c r="Q21" s="189" t="s">
        <v>144</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3">
        <v>15</v>
      </c>
      <c r="C22" s="189" t="s">
        <v>347</v>
      </c>
      <c r="D22" s="189"/>
      <c r="E22" s="189"/>
      <c r="F22" s="189"/>
      <c r="G22" s="189"/>
      <c r="H22" s="189"/>
      <c r="I22" s="189" t="s">
        <v>360</v>
      </c>
      <c r="J22" s="189"/>
      <c r="K22" s="189"/>
      <c r="L22" s="189"/>
      <c r="M22" s="189"/>
      <c r="N22" s="189"/>
      <c r="O22" s="189"/>
      <c r="P22" s="189"/>
      <c r="Q22" s="189" t="s">
        <v>392</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3">
        <v>16</v>
      </c>
      <c r="C23" s="189" t="s">
        <v>574</v>
      </c>
      <c r="D23" s="189"/>
      <c r="E23" s="189"/>
      <c r="F23" s="189"/>
      <c r="G23" s="189"/>
      <c r="H23" s="189"/>
      <c r="I23" s="189" t="s">
        <v>583</v>
      </c>
      <c r="J23" s="189"/>
      <c r="K23" s="189"/>
      <c r="L23" s="189"/>
      <c r="M23" s="189"/>
      <c r="N23" s="189"/>
      <c r="O23" s="189"/>
      <c r="P23" s="189"/>
      <c r="Q23" s="189" t="s">
        <v>146</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3">
        <v>17</v>
      </c>
      <c r="C24" s="189" t="s">
        <v>575</v>
      </c>
      <c r="D24" s="189"/>
      <c r="E24" s="189"/>
      <c r="F24" s="189"/>
      <c r="G24" s="189"/>
      <c r="H24" s="189"/>
      <c r="I24" s="189" t="s">
        <v>584</v>
      </c>
      <c r="J24" s="189"/>
      <c r="K24" s="189"/>
      <c r="L24" s="189"/>
      <c r="M24" s="189"/>
      <c r="N24" s="189"/>
      <c r="O24" s="189"/>
      <c r="P24" s="189"/>
      <c r="Q24" s="189" t="s">
        <v>147</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3">
        <v>18</v>
      </c>
      <c r="C25" s="189" t="s">
        <v>118</v>
      </c>
      <c r="D25" s="189"/>
      <c r="E25" s="189"/>
      <c r="F25" s="189"/>
      <c r="G25" s="189"/>
      <c r="H25" s="189"/>
      <c r="I25" s="189" t="s">
        <v>159</v>
      </c>
      <c r="J25" s="189"/>
      <c r="K25" s="189"/>
      <c r="L25" s="189"/>
      <c r="M25" s="189"/>
      <c r="N25" s="189"/>
      <c r="O25" s="189"/>
      <c r="P25" s="189"/>
      <c r="Q25" s="189" t="s">
        <v>144</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3">
        <v>19</v>
      </c>
      <c r="C26" s="189" t="s">
        <v>576</v>
      </c>
      <c r="D26" s="189"/>
      <c r="E26" s="189"/>
      <c r="F26" s="189"/>
      <c r="G26" s="189"/>
      <c r="H26" s="189"/>
      <c r="I26" s="189" t="s">
        <v>364</v>
      </c>
      <c r="J26" s="189"/>
      <c r="K26" s="189"/>
      <c r="L26" s="189"/>
      <c r="M26" s="189"/>
      <c r="N26" s="189"/>
      <c r="O26" s="189"/>
      <c r="P26" s="189"/>
      <c r="Q26" s="189" t="s">
        <v>146</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3">
        <v>20</v>
      </c>
      <c r="C27" s="189" t="s">
        <v>252</v>
      </c>
      <c r="D27" s="189"/>
      <c r="E27" s="189"/>
      <c r="F27" s="189"/>
      <c r="G27" s="189"/>
      <c r="H27" s="189"/>
      <c r="I27" s="189" t="s">
        <v>132</v>
      </c>
      <c r="J27" s="189"/>
      <c r="K27" s="189"/>
      <c r="L27" s="189"/>
      <c r="M27" s="189"/>
      <c r="N27" s="189"/>
      <c r="O27" s="189"/>
      <c r="P27" s="189"/>
      <c r="Q27" s="189" t="s">
        <v>143</v>
      </c>
      <c r="R27" s="189"/>
      <c r="S27" s="189"/>
      <c r="T27" s="189"/>
      <c r="U27" s="189"/>
      <c r="V27" s="189"/>
      <c r="W27" s="189"/>
      <c r="X27" s="189"/>
      <c r="Y27" s="189"/>
      <c r="Z27" s="189"/>
      <c r="AA27" s="189"/>
      <c r="AB27" s="189"/>
      <c r="AC27" s="189"/>
      <c r="AD27" s="189"/>
      <c r="AE27" s="189"/>
      <c r="AF27" s="189"/>
      <c r="AG27" s="189"/>
      <c r="AH27" s="189"/>
      <c r="AI27" s="189"/>
      <c r="AJ27" s="189"/>
      <c r="AK27" s="191"/>
    </row>
    <row r="28" spans="2:37" ht="13.8" thickBot="1">
      <c r="B28" s="4">
        <v>21</v>
      </c>
      <c r="C28" s="190" t="s">
        <v>696</v>
      </c>
      <c r="D28" s="190"/>
      <c r="E28" s="190"/>
      <c r="F28" s="190"/>
      <c r="G28" s="190"/>
      <c r="H28" s="190"/>
      <c r="I28" s="190" t="s">
        <v>138</v>
      </c>
      <c r="J28" s="190"/>
      <c r="K28" s="190"/>
      <c r="L28" s="190"/>
      <c r="M28" s="190"/>
      <c r="N28" s="190"/>
      <c r="O28" s="190"/>
      <c r="P28" s="190"/>
      <c r="Q28" s="190" t="s">
        <v>221</v>
      </c>
      <c r="R28" s="190"/>
      <c r="S28" s="190"/>
      <c r="T28" s="190"/>
      <c r="U28" s="190"/>
      <c r="V28" s="190"/>
      <c r="W28" s="190"/>
      <c r="X28" s="190"/>
      <c r="Y28" s="190"/>
      <c r="Z28" s="190"/>
      <c r="AA28" s="190"/>
      <c r="AB28" s="190"/>
      <c r="AC28" s="190"/>
      <c r="AD28" s="190"/>
      <c r="AE28" s="190"/>
      <c r="AF28" s="190"/>
      <c r="AG28" s="190"/>
      <c r="AH28" s="190"/>
      <c r="AI28" s="190"/>
      <c r="AJ28" s="190"/>
      <c r="AK28" s="198"/>
    </row>
    <row r="31" spans="2:37" ht="15" thickBot="1">
      <c r="B31" s="7" t="s">
        <v>994</v>
      </c>
    </row>
    <row r="32" spans="2:37" ht="13.8" thickBot="1">
      <c r="B32" s="10" t="s">
        <v>7</v>
      </c>
      <c r="C32" s="226" t="s">
        <v>998</v>
      </c>
      <c r="D32" s="226"/>
      <c r="E32" s="226"/>
      <c r="F32" s="226"/>
      <c r="G32" s="226"/>
      <c r="H32" s="226"/>
      <c r="I32" s="226"/>
      <c r="J32" s="226"/>
      <c r="K32" s="226"/>
      <c r="L32" s="226" t="s">
        <v>1000</v>
      </c>
      <c r="M32" s="226"/>
      <c r="N32" s="226"/>
      <c r="O32" s="226"/>
      <c r="P32" s="226"/>
      <c r="Q32" s="226"/>
      <c r="R32" s="226"/>
      <c r="S32" s="226"/>
      <c r="T32" s="226"/>
      <c r="U32" s="226"/>
      <c r="V32" s="226" t="s">
        <v>1002</v>
      </c>
      <c r="W32" s="226"/>
      <c r="X32" s="226"/>
      <c r="Y32" s="226" t="s">
        <v>1004</v>
      </c>
      <c r="Z32" s="226"/>
      <c r="AA32" s="226"/>
      <c r="AB32" s="226" t="s">
        <v>1005</v>
      </c>
      <c r="AC32" s="226"/>
      <c r="AD32" s="226"/>
      <c r="AE32" s="226"/>
      <c r="AF32" s="226"/>
      <c r="AG32" s="226"/>
      <c r="AH32" s="226"/>
      <c r="AI32" s="227"/>
    </row>
    <row r="33" spans="2:35">
      <c r="B33" s="256">
        <v>1</v>
      </c>
      <c r="C33" s="247" t="s">
        <v>1116</v>
      </c>
      <c r="D33" s="247"/>
      <c r="E33" s="247"/>
      <c r="F33" s="247"/>
      <c r="G33" s="247"/>
      <c r="H33" s="247"/>
      <c r="I33" s="247"/>
      <c r="J33" s="247"/>
      <c r="K33" s="247"/>
      <c r="L33" s="246" t="s">
        <v>1117</v>
      </c>
      <c r="M33" s="246"/>
      <c r="N33" s="246"/>
      <c r="O33" s="246"/>
      <c r="P33" s="246"/>
      <c r="Q33" s="246"/>
      <c r="R33" s="246"/>
      <c r="S33" s="246"/>
      <c r="T33" s="246"/>
      <c r="U33" s="246"/>
      <c r="V33" s="247" t="s">
        <v>1022</v>
      </c>
      <c r="W33" s="247"/>
      <c r="X33" s="247"/>
      <c r="Y33" s="247" t="s">
        <v>1022</v>
      </c>
      <c r="Z33" s="247"/>
      <c r="AA33" s="247"/>
      <c r="AB33" s="248"/>
      <c r="AC33" s="248"/>
      <c r="AD33" s="248"/>
      <c r="AE33" s="248"/>
      <c r="AF33" s="248"/>
      <c r="AG33" s="248"/>
      <c r="AH33" s="248"/>
      <c r="AI33" s="249"/>
    </row>
    <row r="34" spans="2:35">
      <c r="B34" s="280"/>
      <c r="C34" s="281"/>
      <c r="D34" s="281"/>
      <c r="E34" s="281"/>
      <c r="F34" s="281"/>
      <c r="G34" s="281"/>
      <c r="H34" s="281"/>
      <c r="I34" s="281"/>
      <c r="J34" s="281"/>
      <c r="K34" s="281"/>
      <c r="L34" s="284" t="s">
        <v>1041</v>
      </c>
      <c r="M34" s="284"/>
      <c r="N34" s="284"/>
      <c r="O34" s="284"/>
      <c r="P34" s="284"/>
      <c r="Q34" s="284"/>
      <c r="R34" s="284"/>
      <c r="S34" s="284"/>
      <c r="T34" s="284"/>
      <c r="U34" s="284"/>
      <c r="V34" s="281"/>
      <c r="W34" s="281"/>
      <c r="X34" s="281"/>
      <c r="Y34" s="281"/>
      <c r="Z34" s="281"/>
      <c r="AA34" s="281"/>
      <c r="AB34" s="282"/>
      <c r="AC34" s="282"/>
      <c r="AD34" s="282"/>
      <c r="AE34" s="282"/>
      <c r="AF34" s="282"/>
      <c r="AG34" s="282"/>
      <c r="AH34" s="282"/>
      <c r="AI34" s="283"/>
    </row>
    <row r="35" spans="2:35" ht="13.8" thickBot="1">
      <c r="B35" s="12">
        <v>2</v>
      </c>
      <c r="C35" s="238" t="s">
        <v>1118</v>
      </c>
      <c r="D35" s="238"/>
      <c r="E35" s="238"/>
      <c r="F35" s="238"/>
      <c r="G35" s="238"/>
      <c r="H35" s="238"/>
      <c r="I35" s="238"/>
      <c r="J35" s="238"/>
      <c r="K35" s="238"/>
      <c r="L35" s="238" t="s">
        <v>1119</v>
      </c>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9"/>
    </row>
    <row r="36" spans="2:35">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row>
    <row r="37" spans="2:35" ht="15" thickBot="1">
      <c r="B37" s="7" t="s">
        <v>995</v>
      </c>
    </row>
    <row r="38" spans="2:35">
      <c r="B38" s="14" t="s">
        <v>1069</v>
      </c>
      <c r="C38" s="226" t="s">
        <v>1070</v>
      </c>
      <c r="D38" s="226"/>
      <c r="E38" s="226"/>
      <c r="F38" s="226"/>
      <c r="G38" s="226"/>
      <c r="H38" s="226"/>
      <c r="I38" s="226"/>
      <c r="J38" s="226"/>
      <c r="K38" s="226"/>
      <c r="L38" s="226"/>
      <c r="M38" s="226" t="s">
        <v>1072</v>
      </c>
      <c r="N38" s="226"/>
      <c r="O38" s="226"/>
      <c r="P38" s="226"/>
      <c r="Q38" s="226"/>
      <c r="R38" s="226"/>
      <c r="S38" s="226"/>
      <c r="T38" s="226"/>
      <c r="U38" s="226" t="s">
        <v>1154</v>
      </c>
      <c r="V38" s="226"/>
      <c r="W38" s="226"/>
      <c r="X38" s="226"/>
      <c r="Y38" s="226"/>
      <c r="Z38" s="226"/>
      <c r="AA38" s="226"/>
      <c r="AB38" s="226"/>
      <c r="AC38" s="226"/>
      <c r="AD38" s="226" t="s">
        <v>1155</v>
      </c>
      <c r="AE38" s="226"/>
      <c r="AF38" s="226"/>
      <c r="AG38" s="226"/>
      <c r="AH38" s="226"/>
      <c r="AI38" s="227"/>
    </row>
    <row r="39" spans="2:35" ht="13.8" thickBot="1">
      <c r="B39" s="4"/>
      <c r="C39" s="190"/>
      <c r="D39" s="190"/>
      <c r="E39" s="190"/>
      <c r="F39" s="190"/>
      <c r="G39" s="190"/>
      <c r="H39" s="190"/>
      <c r="I39" s="190"/>
      <c r="J39" s="190"/>
      <c r="K39" s="190"/>
      <c r="L39" s="190"/>
      <c r="M39" s="190"/>
      <c r="N39" s="190"/>
      <c r="O39" s="190"/>
      <c r="P39" s="190"/>
      <c r="Q39" s="190"/>
      <c r="R39" s="190"/>
      <c r="S39" s="190"/>
      <c r="T39" s="190"/>
      <c r="U39" s="190"/>
      <c r="V39" s="190"/>
      <c r="W39" s="190"/>
      <c r="X39" s="190"/>
      <c r="Y39" s="190"/>
      <c r="Z39" s="190"/>
      <c r="AA39" s="190"/>
      <c r="AB39" s="190"/>
      <c r="AC39" s="190"/>
      <c r="AD39" s="190"/>
      <c r="AE39" s="190"/>
      <c r="AF39" s="190"/>
      <c r="AG39" s="190"/>
      <c r="AH39" s="190"/>
      <c r="AI39" s="198"/>
    </row>
    <row r="41" spans="2:35" ht="15" thickBot="1">
      <c r="B41" s="7" t="s">
        <v>996</v>
      </c>
    </row>
    <row r="42" spans="2:35">
      <c r="B42" s="14" t="s">
        <v>1069</v>
      </c>
      <c r="C42" s="226" t="s">
        <v>1070</v>
      </c>
      <c r="D42" s="226"/>
      <c r="E42" s="226"/>
      <c r="F42" s="226"/>
      <c r="G42" s="226"/>
      <c r="H42" s="226"/>
      <c r="I42" s="226"/>
      <c r="J42" s="226"/>
      <c r="K42" s="226"/>
      <c r="L42" s="226"/>
      <c r="M42" s="226" t="s">
        <v>1072</v>
      </c>
      <c r="N42" s="226"/>
      <c r="O42" s="226"/>
      <c r="P42" s="226"/>
      <c r="Q42" s="226"/>
      <c r="R42" s="226"/>
      <c r="S42" s="226"/>
      <c r="T42" s="226"/>
      <c r="U42" s="226" t="s">
        <v>1154</v>
      </c>
      <c r="V42" s="226"/>
      <c r="W42" s="226"/>
      <c r="X42" s="226"/>
      <c r="Y42" s="226"/>
      <c r="Z42" s="226"/>
      <c r="AA42" s="226"/>
      <c r="AB42" s="226"/>
      <c r="AC42" s="226"/>
      <c r="AD42" s="226" t="s">
        <v>1155</v>
      </c>
      <c r="AE42" s="226"/>
      <c r="AF42" s="226"/>
      <c r="AG42" s="226"/>
      <c r="AH42" s="226"/>
      <c r="AI42" s="227"/>
    </row>
    <row r="43" spans="2:35" ht="13.8" thickBot="1">
      <c r="B43" s="4"/>
      <c r="C43" s="190"/>
      <c r="D43" s="190"/>
      <c r="E43" s="190"/>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8"/>
    </row>
  </sheetData>
  <mergeCells count="187">
    <mergeCell ref="C39:L39"/>
    <mergeCell ref="M39:T39"/>
    <mergeCell ref="U39:AC39"/>
    <mergeCell ref="AD39:AI39"/>
    <mergeCell ref="C42:L42"/>
    <mergeCell ref="M42:T42"/>
    <mergeCell ref="U42:AC42"/>
    <mergeCell ref="AD42:AI42"/>
    <mergeCell ref="C43:L43"/>
    <mergeCell ref="M43:T43"/>
    <mergeCell ref="U43:AC43"/>
    <mergeCell ref="AD43:AI43"/>
    <mergeCell ref="C35:K35"/>
    <mergeCell ref="L35:U35"/>
    <mergeCell ref="V35:X35"/>
    <mergeCell ref="Y35:AA35"/>
    <mergeCell ref="AB35:AI35"/>
    <mergeCell ref="C38:L38"/>
    <mergeCell ref="M38:T38"/>
    <mergeCell ref="U38:AC38"/>
    <mergeCell ref="AD38:AI38"/>
    <mergeCell ref="C32:K32"/>
    <mergeCell ref="L32:U32"/>
    <mergeCell ref="V32:X32"/>
    <mergeCell ref="Y32:AA32"/>
    <mergeCell ref="AB32:AI32"/>
    <mergeCell ref="B33:B34"/>
    <mergeCell ref="C33:K34"/>
    <mergeCell ref="L33:U33"/>
    <mergeCell ref="V33:X34"/>
    <mergeCell ref="Y33:AA34"/>
    <mergeCell ref="AB33:AI34"/>
    <mergeCell ref="L34:U34"/>
    <mergeCell ref="AE8:AK8"/>
    <mergeCell ref="AA9:AB9"/>
    <mergeCell ref="AC9:AD9"/>
    <mergeCell ref="B2:E4"/>
    <mergeCell ref="F2:H2"/>
    <mergeCell ref="F3:H3"/>
    <mergeCell ref="F4:H4"/>
    <mergeCell ref="C8:H8"/>
    <mergeCell ref="I8:P8"/>
    <mergeCell ref="AE9:AK9"/>
    <mergeCell ref="I2:L2"/>
    <mergeCell ref="I3:L3"/>
    <mergeCell ref="I4:L4"/>
    <mergeCell ref="AA10:AB10"/>
    <mergeCell ref="AC10:AD10"/>
    <mergeCell ref="C9:H9"/>
    <mergeCell ref="C10:H10"/>
    <mergeCell ref="C11:H11"/>
    <mergeCell ref="AC11:AD11"/>
    <mergeCell ref="Q8:X8"/>
    <mergeCell ref="AA8:AB8"/>
    <mergeCell ref="AC8:AD8"/>
    <mergeCell ref="AA11:AB11"/>
    <mergeCell ref="Y9:Z9"/>
    <mergeCell ref="Y10:Z10"/>
    <mergeCell ref="Y11:Z11"/>
    <mergeCell ref="Y8:Z8"/>
    <mergeCell ref="C24:H24"/>
    <mergeCell ref="C25:H25"/>
    <mergeCell ref="C26:H26"/>
    <mergeCell ref="C27:H27"/>
    <mergeCell ref="C28:H28"/>
    <mergeCell ref="I9:P9"/>
    <mergeCell ref="I10:P10"/>
    <mergeCell ref="I11:P11"/>
    <mergeCell ref="I12:P12"/>
    <mergeCell ref="C18:H18"/>
    <mergeCell ref="C19:H19"/>
    <mergeCell ref="C20:H20"/>
    <mergeCell ref="C21:H21"/>
    <mergeCell ref="C22:H22"/>
    <mergeCell ref="C23:H23"/>
    <mergeCell ref="C12:H12"/>
    <mergeCell ref="C13:H13"/>
    <mergeCell ref="C14:H14"/>
    <mergeCell ref="C15:H15"/>
    <mergeCell ref="C16:H16"/>
    <mergeCell ref="C17:H17"/>
    <mergeCell ref="I25:P25"/>
    <mergeCell ref="I26:P26"/>
    <mergeCell ref="I27:P27"/>
    <mergeCell ref="Q19:X19"/>
    <mergeCell ref="I28:P28"/>
    <mergeCell ref="Q9:X9"/>
    <mergeCell ref="Q10:X10"/>
    <mergeCell ref="Q11:X11"/>
    <mergeCell ref="Q12:X12"/>
    <mergeCell ref="Q13:X13"/>
    <mergeCell ref="I19:P19"/>
    <mergeCell ref="I20:P20"/>
    <mergeCell ref="I21:P21"/>
    <mergeCell ref="I22:P22"/>
    <mergeCell ref="I23:P23"/>
    <mergeCell ref="I24:P24"/>
    <mergeCell ref="I13:P13"/>
    <mergeCell ref="I14:P14"/>
    <mergeCell ref="I15:P15"/>
    <mergeCell ref="I16:P16"/>
    <mergeCell ref="I17:P17"/>
    <mergeCell ref="I18:P18"/>
    <mergeCell ref="Q26:X26"/>
    <mergeCell ref="Q27:X27"/>
    <mergeCell ref="Q28:X28"/>
    <mergeCell ref="Q24:X24"/>
    <mergeCell ref="Y24:Z24"/>
    <mergeCell ref="Y25:Z25"/>
    <mergeCell ref="AA12:AB12"/>
    <mergeCell ref="AA13:AB13"/>
    <mergeCell ref="AA14:AB14"/>
    <mergeCell ref="AA15:AB15"/>
    <mergeCell ref="AA16:AB16"/>
    <mergeCell ref="Q20:X20"/>
    <mergeCell ref="Q21:X21"/>
    <mergeCell ref="Q22:X22"/>
    <mergeCell ref="Q23:X23"/>
    <mergeCell ref="Y12:Z12"/>
    <mergeCell ref="Y13:Z13"/>
    <mergeCell ref="AA17:AB17"/>
    <mergeCell ref="AA18:AB18"/>
    <mergeCell ref="AA19:AB19"/>
    <mergeCell ref="AA20:AB20"/>
    <mergeCell ref="AA21:AB21"/>
    <mergeCell ref="AA22:AB22"/>
    <mergeCell ref="Q14:X14"/>
    <mergeCell ref="Q15:X15"/>
    <mergeCell ref="Q16:X16"/>
    <mergeCell ref="Q17:X17"/>
    <mergeCell ref="Q18:X18"/>
    <mergeCell ref="Y14:Z14"/>
    <mergeCell ref="AE22:AK22"/>
    <mergeCell ref="AE23:AK23"/>
    <mergeCell ref="AE24:AK24"/>
    <mergeCell ref="AE13:AK13"/>
    <mergeCell ref="AE14:AK14"/>
    <mergeCell ref="AE15:AK15"/>
    <mergeCell ref="AE16:AK16"/>
    <mergeCell ref="AE17:AK17"/>
    <mergeCell ref="AE18:AK18"/>
    <mergeCell ref="AA23:AB23"/>
    <mergeCell ref="AA24:AB24"/>
    <mergeCell ref="AC24:AD24"/>
    <mergeCell ref="AC22:AD22"/>
    <mergeCell ref="AC23:AD23"/>
    <mergeCell ref="Y15:Z15"/>
    <mergeCell ref="Y16:Z16"/>
    <mergeCell ref="Y17:Z17"/>
    <mergeCell ref="Y18:Z18"/>
    <mergeCell ref="Y19:Z19"/>
    <mergeCell ref="Y20:Z20"/>
    <mergeCell ref="Y21:Z21"/>
    <mergeCell ref="Y22:Z22"/>
    <mergeCell ref="Y23:Z23"/>
    <mergeCell ref="AE10:AK10"/>
    <mergeCell ref="AE11:AK11"/>
    <mergeCell ref="AE12:AK12"/>
    <mergeCell ref="AC18:AD18"/>
    <mergeCell ref="AC19:AD19"/>
    <mergeCell ref="AC20:AD20"/>
    <mergeCell ref="AC21:AD21"/>
    <mergeCell ref="AC12:AD12"/>
    <mergeCell ref="AC13:AD13"/>
    <mergeCell ref="AE19:AK19"/>
    <mergeCell ref="AE20:AK20"/>
    <mergeCell ref="AE21:AK21"/>
    <mergeCell ref="AC14:AD14"/>
    <mergeCell ref="AC15:AD15"/>
    <mergeCell ref="AC16:AD16"/>
    <mergeCell ref="AC17:AD17"/>
    <mergeCell ref="AA28:AB28"/>
    <mergeCell ref="Y26:Z26"/>
    <mergeCell ref="Y27:Z27"/>
    <mergeCell ref="Y28:Z28"/>
    <mergeCell ref="AE26:AK26"/>
    <mergeCell ref="AE27:AK27"/>
    <mergeCell ref="AE28:AK28"/>
    <mergeCell ref="AC25:AD25"/>
    <mergeCell ref="Q25:X25"/>
    <mergeCell ref="AC27:AD27"/>
    <mergeCell ref="AC28:AD28"/>
    <mergeCell ref="AE25:AK25"/>
    <mergeCell ref="AA26:AB26"/>
    <mergeCell ref="AA27:AB27"/>
    <mergeCell ref="AA25:AB25"/>
    <mergeCell ref="AC26:AD26"/>
  </mergeCells>
  <phoneticPr fontId="3"/>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57903-83CA-4A38-AB43-9A8E237882CF}">
  <sheetPr codeName="Sheet59"/>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755</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749</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750</v>
      </c>
      <c r="D9" s="189"/>
      <c r="E9" s="189"/>
      <c r="F9" s="189"/>
      <c r="G9" s="189"/>
      <c r="H9" s="189"/>
      <c r="I9" s="189" t="s">
        <v>752</v>
      </c>
      <c r="J9" s="189"/>
      <c r="K9" s="189"/>
      <c r="L9" s="189"/>
      <c r="M9" s="189"/>
      <c r="N9" s="189"/>
      <c r="O9" s="189"/>
      <c r="P9" s="189"/>
      <c r="Q9" s="189" t="s">
        <v>146</v>
      </c>
      <c r="R9" s="189"/>
      <c r="S9" s="189"/>
      <c r="T9" s="189"/>
      <c r="U9" s="189"/>
      <c r="V9" s="189"/>
      <c r="W9" s="189"/>
      <c r="X9" s="189"/>
      <c r="Y9" s="189" t="s">
        <v>149</v>
      </c>
      <c r="Z9" s="189"/>
      <c r="AA9" s="189" t="s">
        <v>149</v>
      </c>
      <c r="AB9" s="189"/>
      <c r="AC9" s="189" t="s">
        <v>151</v>
      </c>
      <c r="AD9" s="189"/>
      <c r="AE9" s="189"/>
      <c r="AF9" s="189"/>
      <c r="AG9" s="189"/>
      <c r="AH9" s="189"/>
      <c r="AI9" s="189"/>
      <c r="AJ9" s="189"/>
      <c r="AK9" s="191"/>
    </row>
    <row r="10" spans="2:37" ht="13.8" thickBot="1">
      <c r="B10" s="4">
        <v>2</v>
      </c>
      <c r="C10" s="190" t="s">
        <v>751</v>
      </c>
      <c r="D10" s="190"/>
      <c r="E10" s="190"/>
      <c r="F10" s="190"/>
      <c r="G10" s="190"/>
      <c r="H10" s="190"/>
      <c r="I10" s="190" t="s">
        <v>753</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1120</v>
      </c>
      <c r="D15" s="238"/>
      <c r="E15" s="238"/>
      <c r="F15" s="238"/>
      <c r="G15" s="238"/>
      <c r="H15" s="238"/>
      <c r="I15" s="238"/>
      <c r="J15" s="238"/>
      <c r="K15" s="238"/>
      <c r="L15" s="238" t="s">
        <v>1121</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A61C5-ABE4-4B14-BE7F-9903D1B9C590}">
  <sheetPr codeName="Sheet60"/>
  <dimension ref="B1:AK29"/>
  <sheetViews>
    <sheetView workbookViewId="0">
      <selection activeCell="I2" sqref="I2:M2"/>
    </sheetView>
  </sheetViews>
  <sheetFormatPr defaultColWidth="3.6640625" defaultRowHeight="13.2"/>
  <sheetData>
    <row r="1" spans="2:37" ht="13.8" thickBot="1"/>
    <row r="2" spans="2:37">
      <c r="B2" s="205" t="s">
        <v>95</v>
      </c>
      <c r="C2" s="206"/>
      <c r="D2" s="206"/>
      <c r="E2" s="206"/>
      <c r="F2" s="211" t="s">
        <v>93</v>
      </c>
      <c r="G2" s="211"/>
      <c r="H2" s="212"/>
      <c r="I2" s="196" t="s">
        <v>761</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760</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120</v>
      </c>
      <c r="D9" s="189"/>
      <c r="E9" s="189"/>
      <c r="F9" s="189"/>
      <c r="G9" s="189"/>
      <c r="H9" s="189"/>
      <c r="I9" s="189" t="s">
        <v>1644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117</v>
      </c>
      <c r="D10" s="189"/>
      <c r="E10" s="189"/>
      <c r="F10" s="189"/>
      <c r="G10" s="189"/>
      <c r="H10" s="189"/>
      <c r="I10" s="189" t="s">
        <v>1645</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756</v>
      </c>
      <c r="D11" s="189"/>
      <c r="E11" s="189"/>
      <c r="F11" s="189"/>
      <c r="G11" s="189"/>
      <c r="H11" s="189"/>
      <c r="I11" s="189" t="s">
        <v>758</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230</v>
      </c>
      <c r="D12" s="189"/>
      <c r="E12" s="189"/>
      <c r="F12" s="189"/>
      <c r="G12" s="189"/>
      <c r="H12" s="189"/>
      <c r="I12" s="189" t="s">
        <v>234</v>
      </c>
      <c r="J12" s="189"/>
      <c r="K12" s="189"/>
      <c r="L12" s="189"/>
      <c r="M12" s="189"/>
      <c r="N12" s="189"/>
      <c r="O12" s="189"/>
      <c r="P12" s="189"/>
      <c r="Q12" s="189" t="s">
        <v>143</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252</v>
      </c>
      <c r="D13" s="189"/>
      <c r="E13" s="189"/>
      <c r="F13" s="189"/>
      <c r="G13" s="189"/>
      <c r="H13" s="189"/>
      <c r="I13" s="189" t="s">
        <v>132</v>
      </c>
      <c r="J13" s="189"/>
      <c r="K13" s="189"/>
      <c r="L13" s="189"/>
      <c r="M13" s="189"/>
      <c r="N13" s="189"/>
      <c r="O13" s="189"/>
      <c r="P13" s="189"/>
      <c r="Q13" s="189" t="s">
        <v>143</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108">
        <v>6</v>
      </c>
      <c r="C14" s="268" t="s">
        <v>757</v>
      </c>
      <c r="D14" s="268"/>
      <c r="E14" s="268"/>
      <c r="F14" s="268"/>
      <c r="G14" s="268"/>
      <c r="H14" s="268"/>
      <c r="I14" s="268" t="s">
        <v>759</v>
      </c>
      <c r="J14" s="268"/>
      <c r="K14" s="268"/>
      <c r="L14" s="268"/>
      <c r="M14" s="268"/>
      <c r="N14" s="268"/>
      <c r="O14" s="268"/>
      <c r="P14" s="268"/>
      <c r="Q14" s="268" t="s">
        <v>143</v>
      </c>
      <c r="R14" s="268"/>
      <c r="S14" s="268"/>
      <c r="T14" s="268"/>
      <c r="U14" s="268"/>
      <c r="V14" s="268"/>
      <c r="W14" s="268"/>
      <c r="X14" s="268"/>
      <c r="Y14" s="268"/>
      <c r="Z14" s="268"/>
      <c r="AA14" s="268"/>
      <c r="AB14" s="268"/>
      <c r="AC14" s="268"/>
      <c r="AD14" s="268"/>
      <c r="AE14" s="268"/>
      <c r="AF14" s="268"/>
      <c r="AG14" s="268"/>
      <c r="AH14" s="268"/>
      <c r="AI14" s="268"/>
      <c r="AJ14" s="268"/>
      <c r="AK14" s="285"/>
    </row>
    <row r="15" spans="2:37" s="105" customFormat="1" ht="13.8" thickBot="1">
      <c r="B15" s="107">
        <v>7</v>
      </c>
      <c r="C15" s="289" t="s">
        <v>1939</v>
      </c>
      <c r="D15" s="291"/>
      <c r="E15" s="291"/>
      <c r="F15" s="291"/>
      <c r="G15" s="291"/>
      <c r="H15" s="290"/>
      <c r="I15" s="289" t="s">
        <v>1940</v>
      </c>
      <c r="J15" s="291"/>
      <c r="K15" s="291"/>
      <c r="L15" s="291"/>
      <c r="M15" s="291"/>
      <c r="N15" s="291"/>
      <c r="O15" s="291"/>
      <c r="P15" s="290"/>
      <c r="Q15" s="289" t="s">
        <v>977</v>
      </c>
      <c r="R15" s="291"/>
      <c r="S15" s="291"/>
      <c r="T15" s="291"/>
      <c r="U15" s="291"/>
      <c r="V15" s="291"/>
      <c r="W15" s="291"/>
      <c r="X15" s="290"/>
      <c r="Y15" s="289"/>
      <c r="Z15" s="290"/>
      <c r="AA15" s="289"/>
      <c r="AB15" s="290"/>
      <c r="AC15" s="289"/>
      <c r="AD15" s="290"/>
      <c r="AE15" s="190"/>
      <c r="AF15" s="190"/>
      <c r="AG15" s="190"/>
      <c r="AH15" s="190"/>
      <c r="AI15" s="190"/>
      <c r="AJ15" s="190"/>
      <c r="AK15" s="198"/>
    </row>
    <row r="18" spans="2:35" ht="15" thickBot="1">
      <c r="B18" s="7" t="s">
        <v>994</v>
      </c>
    </row>
    <row r="19" spans="2:35" ht="13.8" thickBot="1">
      <c r="B19" s="10" t="s">
        <v>7</v>
      </c>
      <c r="C19" s="226" t="s">
        <v>998</v>
      </c>
      <c r="D19" s="226"/>
      <c r="E19" s="226"/>
      <c r="F19" s="226"/>
      <c r="G19" s="226"/>
      <c r="H19" s="226"/>
      <c r="I19" s="226"/>
      <c r="J19" s="226"/>
      <c r="K19" s="226"/>
      <c r="L19" s="226" t="s">
        <v>1000</v>
      </c>
      <c r="M19" s="226"/>
      <c r="N19" s="226"/>
      <c r="O19" s="226"/>
      <c r="P19" s="226"/>
      <c r="Q19" s="226"/>
      <c r="R19" s="226"/>
      <c r="S19" s="226"/>
      <c r="T19" s="226"/>
      <c r="U19" s="226"/>
      <c r="V19" s="226" t="s">
        <v>1002</v>
      </c>
      <c r="W19" s="226"/>
      <c r="X19" s="226"/>
      <c r="Y19" s="226" t="s">
        <v>1004</v>
      </c>
      <c r="Z19" s="226"/>
      <c r="AA19" s="226"/>
      <c r="AB19" s="226" t="s">
        <v>1005</v>
      </c>
      <c r="AC19" s="226"/>
      <c r="AD19" s="226"/>
      <c r="AE19" s="226"/>
      <c r="AF19" s="226"/>
      <c r="AG19" s="226"/>
      <c r="AH19" s="226"/>
      <c r="AI19" s="227"/>
    </row>
    <row r="20" spans="2:35">
      <c r="B20" s="256">
        <v>1</v>
      </c>
      <c r="C20" s="247" t="s">
        <v>1122</v>
      </c>
      <c r="D20" s="247"/>
      <c r="E20" s="247"/>
      <c r="F20" s="247"/>
      <c r="G20" s="247"/>
      <c r="H20" s="247"/>
      <c r="I20" s="247"/>
      <c r="J20" s="247"/>
      <c r="K20" s="247"/>
      <c r="L20" s="246" t="s">
        <v>1123</v>
      </c>
      <c r="M20" s="246"/>
      <c r="N20" s="246"/>
      <c r="O20" s="246"/>
      <c r="P20" s="246"/>
      <c r="Q20" s="246"/>
      <c r="R20" s="246"/>
      <c r="S20" s="246"/>
      <c r="T20" s="246"/>
      <c r="U20" s="246"/>
      <c r="V20" s="247" t="s">
        <v>1022</v>
      </c>
      <c r="W20" s="247"/>
      <c r="X20" s="247"/>
      <c r="Y20" s="247" t="s">
        <v>1022</v>
      </c>
      <c r="Z20" s="247"/>
      <c r="AA20" s="247"/>
      <c r="AB20" s="248"/>
      <c r="AC20" s="248"/>
      <c r="AD20" s="248"/>
      <c r="AE20" s="248"/>
      <c r="AF20" s="248"/>
      <c r="AG20" s="248"/>
      <c r="AH20" s="248"/>
      <c r="AI20" s="249"/>
    </row>
    <row r="21" spans="2:35" ht="13.8" thickBot="1">
      <c r="B21" s="257"/>
      <c r="C21" s="258"/>
      <c r="D21" s="258"/>
      <c r="E21" s="258"/>
      <c r="F21" s="258"/>
      <c r="G21" s="258"/>
      <c r="H21" s="258"/>
      <c r="I21" s="258"/>
      <c r="J21" s="258"/>
      <c r="K21" s="258"/>
      <c r="L21" s="259" t="s">
        <v>1124</v>
      </c>
      <c r="M21" s="259"/>
      <c r="N21" s="259"/>
      <c r="O21" s="259"/>
      <c r="P21" s="259"/>
      <c r="Q21" s="259"/>
      <c r="R21" s="259"/>
      <c r="S21" s="259"/>
      <c r="T21" s="259"/>
      <c r="U21" s="259"/>
      <c r="V21" s="258"/>
      <c r="W21" s="258"/>
      <c r="X21" s="258"/>
      <c r="Y21" s="258"/>
      <c r="Z21" s="258"/>
      <c r="AA21" s="258"/>
      <c r="AB21" s="238"/>
      <c r="AC21" s="238"/>
      <c r="AD21" s="238"/>
      <c r="AE21" s="238"/>
      <c r="AF21" s="238"/>
      <c r="AG21" s="238"/>
      <c r="AH21" s="238"/>
      <c r="AI21" s="239"/>
    </row>
    <row r="23" spans="2:35" ht="15" thickBot="1">
      <c r="B23" s="7" t="s">
        <v>995</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row r="27" spans="2:35" ht="15" thickBot="1">
      <c r="B27" s="7" t="s">
        <v>996</v>
      </c>
    </row>
    <row r="28" spans="2:35">
      <c r="B28" s="14" t="s">
        <v>1069</v>
      </c>
      <c r="C28" s="226" t="s">
        <v>1070</v>
      </c>
      <c r="D28" s="226"/>
      <c r="E28" s="226"/>
      <c r="F28" s="226"/>
      <c r="G28" s="226"/>
      <c r="H28" s="226"/>
      <c r="I28" s="226"/>
      <c r="J28" s="226"/>
      <c r="K28" s="226"/>
      <c r="L28" s="226"/>
      <c r="M28" s="226" t="s">
        <v>1072</v>
      </c>
      <c r="N28" s="226"/>
      <c r="O28" s="226"/>
      <c r="P28" s="226"/>
      <c r="Q28" s="226"/>
      <c r="R28" s="226"/>
      <c r="S28" s="226"/>
      <c r="T28" s="226"/>
      <c r="U28" s="226" t="s">
        <v>1154</v>
      </c>
      <c r="V28" s="226"/>
      <c r="W28" s="226"/>
      <c r="X28" s="226"/>
      <c r="Y28" s="226"/>
      <c r="Z28" s="226"/>
      <c r="AA28" s="226"/>
      <c r="AB28" s="226"/>
      <c r="AC28" s="226"/>
      <c r="AD28" s="226" t="s">
        <v>1155</v>
      </c>
      <c r="AE28" s="226"/>
      <c r="AF28" s="226"/>
      <c r="AG28" s="226"/>
      <c r="AH28" s="226"/>
      <c r="AI28" s="227"/>
    </row>
    <row r="29" spans="2:35" ht="13.8" thickBot="1">
      <c r="B29" s="4"/>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8"/>
    </row>
  </sheetData>
  <mergeCells count="91">
    <mergeCell ref="AC15:AD15"/>
    <mergeCell ref="AE15:AK15"/>
    <mergeCell ref="C15:H15"/>
    <mergeCell ref="I15:P15"/>
    <mergeCell ref="Q15:X15"/>
    <mergeCell ref="Y15:Z15"/>
    <mergeCell ref="AA15:AB15"/>
    <mergeCell ref="C28:L28"/>
    <mergeCell ref="M28:T28"/>
    <mergeCell ref="U28:AC28"/>
    <mergeCell ref="AD28:AI28"/>
    <mergeCell ref="C29:L29"/>
    <mergeCell ref="M29:T29"/>
    <mergeCell ref="U29:AC29"/>
    <mergeCell ref="AD29:AI29"/>
    <mergeCell ref="C24:L24"/>
    <mergeCell ref="M24:T24"/>
    <mergeCell ref="U24:AC24"/>
    <mergeCell ref="AD24:AI24"/>
    <mergeCell ref="C25:L25"/>
    <mergeCell ref="M25:T25"/>
    <mergeCell ref="U25:AC25"/>
    <mergeCell ref="AD25:AI25"/>
    <mergeCell ref="V19:X19"/>
    <mergeCell ref="Y19:AA19"/>
    <mergeCell ref="AB19:AI19"/>
    <mergeCell ref="B20:B21"/>
    <mergeCell ref="C20:K21"/>
    <mergeCell ref="L20:U20"/>
    <mergeCell ref="V20:X21"/>
    <mergeCell ref="Y20:AA21"/>
    <mergeCell ref="AB20:AI21"/>
    <mergeCell ref="L21:U21"/>
    <mergeCell ref="I8:P8"/>
    <mergeCell ref="I2:M2"/>
    <mergeCell ref="I3:M3"/>
    <mergeCell ref="I4:M4"/>
    <mergeCell ref="C19:K19"/>
    <mergeCell ref="L19:U19"/>
    <mergeCell ref="B2:E4"/>
    <mergeCell ref="F2:H2"/>
    <mergeCell ref="F3:H3"/>
    <mergeCell ref="F4:H4"/>
    <mergeCell ref="C8:H8"/>
    <mergeCell ref="Q8:X8"/>
    <mergeCell ref="C13:H13"/>
    <mergeCell ref="C14:H14"/>
    <mergeCell ref="I12:P12"/>
    <mergeCell ref="I13:P13"/>
    <mergeCell ref="AA8:AB8"/>
    <mergeCell ref="AC8:AD8"/>
    <mergeCell ref="AE8:AK8"/>
    <mergeCell ref="AA9:AB9"/>
    <mergeCell ref="AC9:AD9"/>
    <mergeCell ref="AA10:AB10"/>
    <mergeCell ref="AC10:AD10"/>
    <mergeCell ref="C9:H9"/>
    <mergeCell ref="C10:H10"/>
    <mergeCell ref="C11:H11"/>
    <mergeCell ref="Q9:X9"/>
    <mergeCell ref="Q10:X10"/>
    <mergeCell ref="Q11:X11"/>
    <mergeCell ref="I9:P9"/>
    <mergeCell ref="I10:P10"/>
    <mergeCell ref="I11:P11"/>
    <mergeCell ref="AC11:AD11"/>
    <mergeCell ref="I14:P14"/>
    <mergeCell ref="C12:H12"/>
    <mergeCell ref="Q13:X13"/>
    <mergeCell ref="Q14:X14"/>
    <mergeCell ref="AA11:AB11"/>
    <mergeCell ref="AA12:AB12"/>
    <mergeCell ref="AA13:AB13"/>
    <mergeCell ref="AA14:AB14"/>
    <mergeCell ref="Q12:X12"/>
    <mergeCell ref="Y13:Z13"/>
    <mergeCell ref="Y14:Z14"/>
    <mergeCell ref="AC12:AD12"/>
    <mergeCell ref="AC13:AD13"/>
    <mergeCell ref="AC14:AD14"/>
    <mergeCell ref="AE9:AK9"/>
    <mergeCell ref="AE10:AK10"/>
    <mergeCell ref="AE11:AK11"/>
    <mergeCell ref="AE12:AK12"/>
    <mergeCell ref="AE13:AK13"/>
    <mergeCell ref="AE14:AK14"/>
    <mergeCell ref="Y8:Z8"/>
    <mergeCell ref="Y9:Z9"/>
    <mergeCell ref="Y10:Z10"/>
    <mergeCell ref="Y11:Z11"/>
    <mergeCell ref="Y12:Z12"/>
  </mergeCells>
  <phoneticPr fontId="3"/>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3332-170D-42C6-B251-B38FCDBDB189}">
  <sheetPr codeName="Sheet61"/>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765</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762</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743</v>
      </c>
      <c r="D9" s="189"/>
      <c r="E9" s="189"/>
      <c r="F9" s="189"/>
      <c r="G9" s="189"/>
      <c r="H9" s="189"/>
      <c r="I9" s="189" t="s">
        <v>746</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763</v>
      </c>
      <c r="D10" s="190"/>
      <c r="E10" s="190"/>
      <c r="F10" s="190"/>
      <c r="G10" s="190"/>
      <c r="H10" s="190"/>
      <c r="I10" s="190" t="s">
        <v>764</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1125</v>
      </c>
      <c r="D15" s="238"/>
      <c r="E15" s="238"/>
      <c r="F15" s="238"/>
      <c r="G15" s="238"/>
      <c r="H15" s="238"/>
      <c r="I15" s="238"/>
      <c r="J15" s="238"/>
      <c r="K15" s="238"/>
      <c r="L15" s="238" t="s">
        <v>1126</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B00D9-6905-4397-A3CB-E3115A90E10F}">
  <sheetPr codeName="Sheet62"/>
  <dimension ref="B1:AK28"/>
  <sheetViews>
    <sheetView workbookViewId="0">
      <selection activeCell="I14" sqref="I14:P14"/>
    </sheetView>
  </sheetViews>
  <sheetFormatPr defaultColWidth="3.6640625" defaultRowHeight="13.2"/>
  <sheetData>
    <row r="1" spans="2:37" ht="13.8" thickBot="1"/>
    <row r="2" spans="2:37">
      <c r="B2" s="205" t="s">
        <v>95</v>
      </c>
      <c r="C2" s="206"/>
      <c r="D2" s="206"/>
      <c r="E2" s="206"/>
      <c r="F2" s="211" t="s">
        <v>93</v>
      </c>
      <c r="G2" s="211"/>
      <c r="H2" s="212"/>
      <c r="I2" s="196" t="s">
        <v>769</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768</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117</v>
      </c>
      <c r="D9" s="189"/>
      <c r="E9" s="189"/>
      <c r="F9" s="189"/>
      <c r="G9" s="189"/>
      <c r="H9" s="189"/>
      <c r="I9" s="189" t="s">
        <v>382</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750</v>
      </c>
      <c r="D10" s="189"/>
      <c r="E10" s="189"/>
      <c r="F10" s="189"/>
      <c r="G10" s="189"/>
      <c r="H10" s="189"/>
      <c r="I10" s="189" t="s">
        <v>752</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766</v>
      </c>
      <c r="D11" s="189"/>
      <c r="E11" s="189"/>
      <c r="F11" s="189"/>
      <c r="G11" s="189"/>
      <c r="H11" s="189"/>
      <c r="I11" s="189" t="s">
        <v>767</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230</v>
      </c>
      <c r="D12" s="189"/>
      <c r="E12" s="189"/>
      <c r="F12" s="189"/>
      <c r="G12" s="189"/>
      <c r="H12" s="189"/>
      <c r="I12" s="189" t="s">
        <v>234</v>
      </c>
      <c r="J12" s="189"/>
      <c r="K12" s="189"/>
      <c r="L12" s="189"/>
      <c r="M12" s="189"/>
      <c r="N12" s="189"/>
      <c r="O12" s="189"/>
      <c r="P12" s="189"/>
      <c r="Q12" s="189" t="s">
        <v>143</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252</v>
      </c>
      <c r="D13" s="189"/>
      <c r="E13" s="189"/>
      <c r="F13" s="189"/>
      <c r="G13" s="189"/>
      <c r="H13" s="189"/>
      <c r="I13" s="189" t="s">
        <v>132</v>
      </c>
      <c r="J13" s="189"/>
      <c r="K13" s="189"/>
      <c r="L13" s="189"/>
      <c r="M13" s="189"/>
      <c r="N13" s="189"/>
      <c r="O13" s="189"/>
      <c r="P13" s="189"/>
      <c r="Q13" s="189" t="s">
        <v>143</v>
      </c>
      <c r="R13" s="189"/>
      <c r="S13" s="189"/>
      <c r="T13" s="189"/>
      <c r="U13" s="189"/>
      <c r="V13" s="189"/>
      <c r="W13" s="189"/>
      <c r="X13" s="189"/>
      <c r="Y13" s="189"/>
      <c r="Z13" s="189"/>
      <c r="AA13" s="189"/>
      <c r="AB13" s="189"/>
      <c r="AC13" s="189"/>
      <c r="AD13" s="189"/>
      <c r="AE13" s="189"/>
      <c r="AF13" s="189"/>
      <c r="AG13" s="189"/>
      <c r="AH13" s="189"/>
      <c r="AI13" s="189"/>
      <c r="AJ13" s="189"/>
      <c r="AK13" s="191"/>
    </row>
    <row r="14" spans="2:37" ht="13.8" thickBot="1">
      <c r="B14" s="4">
        <v>6</v>
      </c>
      <c r="C14" s="190" t="s">
        <v>757</v>
      </c>
      <c r="D14" s="190"/>
      <c r="E14" s="190"/>
      <c r="F14" s="190"/>
      <c r="G14" s="190"/>
      <c r="H14" s="190"/>
      <c r="I14" s="190" t="s">
        <v>759</v>
      </c>
      <c r="J14" s="190"/>
      <c r="K14" s="190"/>
      <c r="L14" s="190"/>
      <c r="M14" s="190"/>
      <c r="N14" s="190"/>
      <c r="O14" s="190"/>
      <c r="P14" s="190"/>
      <c r="Q14" s="190" t="s">
        <v>143</v>
      </c>
      <c r="R14" s="190"/>
      <c r="S14" s="190"/>
      <c r="T14" s="190"/>
      <c r="U14" s="190"/>
      <c r="V14" s="190"/>
      <c r="W14" s="190"/>
      <c r="X14" s="190"/>
      <c r="Y14" s="190"/>
      <c r="Z14" s="190"/>
      <c r="AA14" s="190"/>
      <c r="AB14" s="190"/>
      <c r="AC14" s="190"/>
      <c r="AD14" s="190"/>
      <c r="AE14" s="190"/>
      <c r="AF14" s="190"/>
      <c r="AG14" s="190"/>
      <c r="AH14" s="190"/>
      <c r="AI14" s="190"/>
      <c r="AJ14" s="190"/>
      <c r="AK14" s="198"/>
    </row>
    <row r="17" spans="2:35" ht="15" thickBot="1">
      <c r="B17" s="7" t="s">
        <v>994</v>
      </c>
    </row>
    <row r="18" spans="2:35" ht="13.8" thickBot="1">
      <c r="B18" s="10" t="s">
        <v>7</v>
      </c>
      <c r="C18" s="226" t="s">
        <v>998</v>
      </c>
      <c r="D18" s="226"/>
      <c r="E18" s="226"/>
      <c r="F18" s="226"/>
      <c r="G18" s="226"/>
      <c r="H18" s="226"/>
      <c r="I18" s="226"/>
      <c r="J18" s="226"/>
      <c r="K18" s="226"/>
      <c r="L18" s="226" t="s">
        <v>1000</v>
      </c>
      <c r="M18" s="226"/>
      <c r="N18" s="226"/>
      <c r="O18" s="226"/>
      <c r="P18" s="226"/>
      <c r="Q18" s="226"/>
      <c r="R18" s="226"/>
      <c r="S18" s="226"/>
      <c r="T18" s="226"/>
      <c r="U18" s="226"/>
      <c r="V18" s="226" t="s">
        <v>1002</v>
      </c>
      <c r="W18" s="226"/>
      <c r="X18" s="226"/>
      <c r="Y18" s="226" t="s">
        <v>1004</v>
      </c>
      <c r="Z18" s="226"/>
      <c r="AA18" s="226"/>
      <c r="AB18" s="226" t="s">
        <v>1005</v>
      </c>
      <c r="AC18" s="226"/>
      <c r="AD18" s="226"/>
      <c r="AE18" s="226"/>
      <c r="AF18" s="226"/>
      <c r="AG18" s="226"/>
      <c r="AH18" s="226"/>
      <c r="AI18" s="227"/>
    </row>
    <row r="19" spans="2:35">
      <c r="B19" s="256">
        <v>1</v>
      </c>
      <c r="C19" s="247" t="s">
        <v>1127</v>
      </c>
      <c r="D19" s="247"/>
      <c r="E19" s="247"/>
      <c r="F19" s="247"/>
      <c r="G19" s="247"/>
      <c r="H19" s="247"/>
      <c r="I19" s="247"/>
      <c r="J19" s="247"/>
      <c r="K19" s="247"/>
      <c r="L19" s="246" t="s">
        <v>1124</v>
      </c>
      <c r="M19" s="246"/>
      <c r="N19" s="246"/>
      <c r="O19" s="246"/>
      <c r="P19" s="246"/>
      <c r="Q19" s="246"/>
      <c r="R19" s="246"/>
      <c r="S19" s="246"/>
      <c r="T19" s="246"/>
      <c r="U19" s="246"/>
      <c r="V19" s="247" t="s">
        <v>1022</v>
      </c>
      <c r="W19" s="247"/>
      <c r="X19" s="247"/>
      <c r="Y19" s="247" t="s">
        <v>1022</v>
      </c>
      <c r="Z19" s="247"/>
      <c r="AA19" s="247"/>
      <c r="AB19" s="248"/>
      <c r="AC19" s="248"/>
      <c r="AD19" s="248"/>
      <c r="AE19" s="248"/>
      <c r="AF19" s="248"/>
      <c r="AG19" s="248"/>
      <c r="AH19" s="248"/>
      <c r="AI19" s="249"/>
    </row>
    <row r="20" spans="2:35" ht="13.8" thickBot="1">
      <c r="B20" s="257"/>
      <c r="C20" s="258"/>
      <c r="D20" s="258"/>
      <c r="E20" s="258"/>
      <c r="F20" s="258"/>
      <c r="G20" s="258"/>
      <c r="H20" s="258"/>
      <c r="I20" s="258"/>
      <c r="J20" s="258"/>
      <c r="K20" s="258"/>
      <c r="L20" s="259" t="s">
        <v>1121</v>
      </c>
      <c r="M20" s="259"/>
      <c r="N20" s="259"/>
      <c r="O20" s="259"/>
      <c r="P20" s="259"/>
      <c r="Q20" s="259"/>
      <c r="R20" s="259"/>
      <c r="S20" s="259"/>
      <c r="T20" s="259"/>
      <c r="U20" s="259"/>
      <c r="V20" s="258"/>
      <c r="W20" s="258"/>
      <c r="X20" s="258"/>
      <c r="Y20" s="258"/>
      <c r="Z20" s="258"/>
      <c r="AA20" s="258"/>
      <c r="AB20" s="238"/>
      <c r="AC20" s="238"/>
      <c r="AD20" s="238"/>
      <c r="AE20" s="238"/>
      <c r="AF20" s="238"/>
      <c r="AG20" s="238"/>
      <c r="AH20" s="238"/>
      <c r="AI20" s="239"/>
    </row>
    <row r="22" spans="2:35" ht="15" thickBot="1">
      <c r="B22" s="7" t="s">
        <v>995</v>
      </c>
    </row>
    <row r="23" spans="2:35">
      <c r="B23" s="14" t="s">
        <v>1069</v>
      </c>
      <c r="C23" s="226" t="s">
        <v>1070</v>
      </c>
      <c r="D23" s="226"/>
      <c r="E23" s="226"/>
      <c r="F23" s="226"/>
      <c r="G23" s="226"/>
      <c r="H23" s="226"/>
      <c r="I23" s="226"/>
      <c r="J23" s="226"/>
      <c r="K23" s="226"/>
      <c r="L23" s="226"/>
      <c r="M23" s="226" t="s">
        <v>1072</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row r="26" spans="2:35" ht="15" thickBot="1">
      <c r="B26" s="7" t="s">
        <v>996</v>
      </c>
    </row>
    <row r="27" spans="2:35">
      <c r="B27" s="14" t="s">
        <v>1069</v>
      </c>
      <c r="C27" s="226" t="s">
        <v>1070</v>
      </c>
      <c r="D27" s="226"/>
      <c r="E27" s="226"/>
      <c r="F27" s="226"/>
      <c r="G27" s="226"/>
      <c r="H27" s="226"/>
      <c r="I27" s="226"/>
      <c r="J27" s="226"/>
      <c r="K27" s="226"/>
      <c r="L27" s="226"/>
      <c r="M27" s="226" t="s">
        <v>1072</v>
      </c>
      <c r="N27" s="226"/>
      <c r="O27" s="226"/>
      <c r="P27" s="226"/>
      <c r="Q27" s="226"/>
      <c r="R27" s="226"/>
      <c r="S27" s="226"/>
      <c r="T27" s="226"/>
      <c r="U27" s="226" t="s">
        <v>1154</v>
      </c>
      <c r="V27" s="226"/>
      <c r="W27" s="226"/>
      <c r="X27" s="226"/>
      <c r="Y27" s="226"/>
      <c r="Z27" s="226"/>
      <c r="AA27" s="226"/>
      <c r="AB27" s="226"/>
      <c r="AC27" s="226"/>
      <c r="AD27" s="226" t="s">
        <v>1155</v>
      </c>
      <c r="AE27" s="226"/>
      <c r="AF27" s="226"/>
      <c r="AG27" s="226"/>
      <c r="AH27" s="226"/>
      <c r="AI27" s="227"/>
    </row>
    <row r="28" spans="2:35" ht="13.8" thickBot="1">
      <c r="B28" s="4"/>
      <c r="C28" s="190"/>
      <c r="D28" s="190"/>
      <c r="E28" s="190"/>
      <c r="F28" s="190"/>
      <c r="G28" s="190"/>
      <c r="H28" s="190"/>
      <c r="I28" s="190"/>
      <c r="J28" s="190"/>
      <c r="K28" s="190"/>
      <c r="L28" s="190"/>
      <c r="M28" s="190"/>
      <c r="N28" s="190"/>
      <c r="O28" s="190"/>
      <c r="P28" s="190"/>
      <c r="Q28" s="190"/>
      <c r="R28" s="190"/>
      <c r="S28" s="190"/>
      <c r="T28" s="190"/>
      <c r="U28" s="190"/>
      <c r="V28" s="190"/>
      <c r="W28" s="190"/>
      <c r="X28" s="190"/>
      <c r="Y28" s="190"/>
      <c r="Z28" s="190"/>
      <c r="AA28" s="190"/>
      <c r="AB28" s="190"/>
      <c r="AC28" s="190"/>
      <c r="AD28" s="190"/>
      <c r="AE28" s="190"/>
      <c r="AF28" s="190"/>
      <c r="AG28" s="190"/>
      <c r="AH28" s="190"/>
      <c r="AI28" s="198"/>
    </row>
  </sheetData>
  <mergeCells count="84">
    <mergeCell ref="C27:L27"/>
    <mergeCell ref="M27:T27"/>
    <mergeCell ref="U27:AC27"/>
    <mergeCell ref="AD27:AI27"/>
    <mergeCell ref="C28:L28"/>
    <mergeCell ref="M28:T28"/>
    <mergeCell ref="U28:AC28"/>
    <mergeCell ref="AD28:AI28"/>
    <mergeCell ref="C23:L23"/>
    <mergeCell ref="M23:T23"/>
    <mergeCell ref="U23:AC23"/>
    <mergeCell ref="AD23:AI23"/>
    <mergeCell ref="C24:L24"/>
    <mergeCell ref="M24:T24"/>
    <mergeCell ref="U24:AC24"/>
    <mergeCell ref="AD24:AI24"/>
    <mergeCell ref="V18:X18"/>
    <mergeCell ref="Y18:AA18"/>
    <mergeCell ref="AB18:AI18"/>
    <mergeCell ref="B19:B20"/>
    <mergeCell ref="C19:K20"/>
    <mergeCell ref="L19:U19"/>
    <mergeCell ref="V19:X20"/>
    <mergeCell ref="Y19:AA20"/>
    <mergeCell ref="AB19:AI20"/>
    <mergeCell ref="L20:U20"/>
    <mergeCell ref="I8:P8"/>
    <mergeCell ref="I2:M2"/>
    <mergeCell ref="I3:M3"/>
    <mergeCell ref="I4:M4"/>
    <mergeCell ref="C18:K18"/>
    <mergeCell ref="L18:U18"/>
    <mergeCell ref="B2:E4"/>
    <mergeCell ref="F2:H2"/>
    <mergeCell ref="F3:H3"/>
    <mergeCell ref="F4:H4"/>
    <mergeCell ref="C8:H8"/>
    <mergeCell ref="Q8:X8"/>
    <mergeCell ref="C13:H13"/>
    <mergeCell ref="C14:H14"/>
    <mergeCell ref="I12:P12"/>
    <mergeCell ref="I13:P13"/>
    <mergeCell ref="AA8:AB8"/>
    <mergeCell ref="AC8:AD8"/>
    <mergeCell ref="AE8:AK8"/>
    <mergeCell ref="AA9:AB9"/>
    <mergeCell ref="AC9:AD9"/>
    <mergeCell ref="AA10:AB10"/>
    <mergeCell ref="AC10:AD10"/>
    <mergeCell ref="C9:H9"/>
    <mergeCell ref="C10:H10"/>
    <mergeCell ref="C11:H11"/>
    <mergeCell ref="Q9:X9"/>
    <mergeCell ref="Q10:X10"/>
    <mergeCell ref="Q11:X11"/>
    <mergeCell ref="I9:P9"/>
    <mergeCell ref="I10:P10"/>
    <mergeCell ref="I11:P11"/>
    <mergeCell ref="AC11:AD11"/>
    <mergeCell ref="I14:P14"/>
    <mergeCell ref="C12:H12"/>
    <mergeCell ref="Q13:X13"/>
    <mergeCell ref="Q14:X14"/>
    <mergeCell ref="AA11:AB11"/>
    <mergeCell ref="AA12:AB12"/>
    <mergeCell ref="AA13:AB13"/>
    <mergeCell ref="AA14:AB14"/>
    <mergeCell ref="Q12:X12"/>
    <mergeCell ref="Y13:Z13"/>
    <mergeCell ref="Y14:Z14"/>
    <mergeCell ref="AC12:AD12"/>
    <mergeCell ref="AC13:AD13"/>
    <mergeCell ref="AC14:AD14"/>
    <mergeCell ref="AE9:AK9"/>
    <mergeCell ref="AE10:AK10"/>
    <mergeCell ref="AE11:AK11"/>
    <mergeCell ref="AE12:AK12"/>
    <mergeCell ref="AE13:AK13"/>
    <mergeCell ref="AE14:AK14"/>
    <mergeCell ref="Y8:Z8"/>
    <mergeCell ref="Y9:Z9"/>
    <mergeCell ref="Y10:Z10"/>
    <mergeCell ref="Y11:Z11"/>
    <mergeCell ref="Y12:Z12"/>
  </mergeCells>
  <phoneticPr fontId="3"/>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F3EFA-01DA-4CD9-BC5D-8F2A4EEE1639}">
  <sheetPr codeName="Sheet63"/>
  <dimension ref="B1:AK25"/>
  <sheetViews>
    <sheetView topLeftCell="A4" workbookViewId="0"/>
  </sheetViews>
  <sheetFormatPr defaultColWidth="3.6640625" defaultRowHeight="13.2"/>
  <sheetData>
    <row r="1" spans="2:37" ht="13.8" thickBot="1"/>
    <row r="2" spans="2:37">
      <c r="B2" s="205" t="s">
        <v>95</v>
      </c>
      <c r="C2" s="206"/>
      <c r="D2" s="206"/>
      <c r="E2" s="206"/>
      <c r="F2" s="211" t="s">
        <v>93</v>
      </c>
      <c r="G2" s="211"/>
      <c r="H2" s="212"/>
      <c r="I2" s="196" t="s">
        <v>777</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770</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292" t="s">
        <v>771</v>
      </c>
      <c r="D9" s="292"/>
      <c r="E9" s="292"/>
      <c r="F9" s="292"/>
      <c r="G9" s="292"/>
      <c r="H9" s="292"/>
      <c r="I9" s="189" t="s">
        <v>774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293" t="s">
        <v>772</v>
      </c>
      <c r="D10" s="293"/>
      <c r="E10" s="293"/>
      <c r="F10" s="293"/>
      <c r="G10" s="293"/>
      <c r="H10" s="293"/>
      <c r="I10" s="189" t="s">
        <v>775</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s="17" customFormat="1">
      <c r="B11" s="18">
        <v>3</v>
      </c>
      <c r="C11" s="293" t="s">
        <v>1350</v>
      </c>
      <c r="D11" s="293"/>
      <c r="E11" s="293"/>
      <c r="F11" s="293"/>
      <c r="G11" s="293"/>
      <c r="H11" s="293"/>
      <c r="I11" s="189" t="s">
        <v>1349</v>
      </c>
      <c r="J11" s="189"/>
      <c r="K11" s="189"/>
      <c r="L11" s="189"/>
      <c r="M11" s="189"/>
      <c r="N11" s="189"/>
      <c r="O11" s="189"/>
      <c r="P11" s="189"/>
      <c r="Q11" s="189" t="s">
        <v>1351</v>
      </c>
      <c r="R11" s="189"/>
      <c r="S11" s="189"/>
      <c r="T11" s="189"/>
      <c r="U11" s="189"/>
      <c r="V11" s="189"/>
      <c r="W11" s="189"/>
      <c r="X11" s="189"/>
      <c r="Y11" s="189"/>
      <c r="Z11" s="189"/>
      <c r="AA11" s="189"/>
      <c r="AB11" s="189"/>
      <c r="AC11" s="189"/>
      <c r="AD11" s="189"/>
      <c r="AE11" s="189"/>
      <c r="AF11" s="189"/>
      <c r="AG11" s="189"/>
      <c r="AH11" s="189"/>
      <c r="AI11" s="189"/>
      <c r="AJ11" s="189"/>
      <c r="AK11" s="191"/>
    </row>
    <row r="12" spans="2:37" ht="13.8" thickBot="1">
      <c r="B12" s="4">
        <v>4</v>
      </c>
      <c r="C12" s="294" t="s">
        <v>773</v>
      </c>
      <c r="D12" s="294"/>
      <c r="E12" s="294"/>
      <c r="F12" s="294"/>
      <c r="G12" s="294"/>
      <c r="H12" s="294"/>
      <c r="I12" s="190" t="s">
        <v>776</v>
      </c>
      <c r="J12" s="190"/>
      <c r="K12" s="190"/>
      <c r="L12" s="190"/>
      <c r="M12" s="190"/>
      <c r="N12" s="190"/>
      <c r="O12" s="190"/>
      <c r="P12" s="190"/>
      <c r="Q12" s="190" t="s">
        <v>144</v>
      </c>
      <c r="R12" s="190"/>
      <c r="S12" s="190"/>
      <c r="T12" s="190"/>
      <c r="U12" s="190"/>
      <c r="V12" s="190"/>
      <c r="W12" s="190"/>
      <c r="X12" s="190"/>
      <c r="Y12" s="190"/>
      <c r="Z12" s="190"/>
      <c r="AA12" s="190"/>
      <c r="AB12" s="190"/>
      <c r="AC12" s="190"/>
      <c r="AD12" s="190"/>
      <c r="AE12" s="190"/>
      <c r="AF12" s="190"/>
      <c r="AG12" s="190"/>
      <c r="AH12" s="190"/>
      <c r="AI12" s="190"/>
      <c r="AJ12" s="190"/>
      <c r="AK12" s="198"/>
    </row>
    <row r="15" spans="2:37" ht="15" thickBot="1">
      <c r="B15" s="7" t="s">
        <v>994</v>
      </c>
    </row>
    <row r="16" spans="2:37">
      <c r="B16" s="10" t="s">
        <v>7</v>
      </c>
      <c r="C16" s="226" t="s">
        <v>998</v>
      </c>
      <c r="D16" s="226"/>
      <c r="E16" s="226"/>
      <c r="F16" s="226"/>
      <c r="G16" s="226"/>
      <c r="H16" s="226"/>
      <c r="I16" s="226"/>
      <c r="J16" s="226"/>
      <c r="K16" s="226"/>
      <c r="L16" s="226" t="s">
        <v>1000</v>
      </c>
      <c r="M16" s="226"/>
      <c r="N16" s="226"/>
      <c r="O16" s="226"/>
      <c r="P16" s="226"/>
      <c r="Q16" s="226"/>
      <c r="R16" s="226"/>
      <c r="S16" s="226"/>
      <c r="T16" s="226"/>
      <c r="U16" s="226"/>
      <c r="V16" s="226" t="s">
        <v>1002</v>
      </c>
      <c r="W16" s="226"/>
      <c r="X16" s="226"/>
      <c r="Y16" s="226" t="s">
        <v>1004</v>
      </c>
      <c r="Z16" s="226"/>
      <c r="AA16" s="226"/>
      <c r="AB16" s="226" t="s">
        <v>1005</v>
      </c>
      <c r="AC16" s="226"/>
      <c r="AD16" s="226"/>
      <c r="AE16" s="226"/>
      <c r="AF16" s="226"/>
      <c r="AG16" s="226"/>
      <c r="AH16" s="226"/>
      <c r="AI16" s="227"/>
    </row>
    <row r="17" spans="2:35" ht="13.8" thickBot="1">
      <c r="B17" s="12">
        <v>1</v>
      </c>
      <c r="C17" s="238" t="s">
        <v>1128</v>
      </c>
      <c r="D17" s="238"/>
      <c r="E17" s="238"/>
      <c r="F17" s="238"/>
      <c r="G17" s="238"/>
      <c r="H17" s="238"/>
      <c r="I17" s="238"/>
      <c r="J17" s="238"/>
      <c r="K17" s="238"/>
      <c r="L17" s="238" t="s">
        <v>1129</v>
      </c>
      <c r="M17" s="238"/>
      <c r="N17" s="238"/>
      <c r="O17" s="238"/>
      <c r="P17" s="238"/>
      <c r="Q17" s="238"/>
      <c r="R17" s="238"/>
      <c r="S17" s="238"/>
      <c r="T17" s="238"/>
      <c r="U17" s="238"/>
      <c r="V17" s="238" t="s">
        <v>1022</v>
      </c>
      <c r="W17" s="238"/>
      <c r="X17" s="238"/>
      <c r="Y17" s="238" t="s">
        <v>1022</v>
      </c>
      <c r="Z17" s="238"/>
      <c r="AA17" s="238"/>
      <c r="AB17" s="238"/>
      <c r="AC17" s="238"/>
      <c r="AD17" s="238"/>
      <c r="AE17" s="238"/>
      <c r="AF17" s="238"/>
      <c r="AG17" s="238"/>
      <c r="AH17" s="238"/>
      <c r="AI17" s="239"/>
    </row>
    <row r="18" spans="2:35">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8">
    <mergeCell ref="C24:L24"/>
    <mergeCell ref="M24:T24"/>
    <mergeCell ref="U24:AC24"/>
    <mergeCell ref="AD24:AI24"/>
    <mergeCell ref="C25:L25"/>
    <mergeCell ref="M25:T25"/>
    <mergeCell ref="U25:AC25"/>
    <mergeCell ref="AD25:AI25"/>
    <mergeCell ref="C20:L20"/>
    <mergeCell ref="M20:T20"/>
    <mergeCell ref="U20:AC20"/>
    <mergeCell ref="AD20:AI20"/>
    <mergeCell ref="C21:L21"/>
    <mergeCell ref="M21:T21"/>
    <mergeCell ref="U21:AC21"/>
    <mergeCell ref="AD21:AI21"/>
    <mergeCell ref="AB16:AI16"/>
    <mergeCell ref="C17:K17"/>
    <mergeCell ref="L17:U17"/>
    <mergeCell ref="V17:X17"/>
    <mergeCell ref="Y17:AA17"/>
    <mergeCell ref="AB17:AI17"/>
    <mergeCell ref="C9:H9"/>
    <mergeCell ref="Y8:Z8"/>
    <mergeCell ref="C16:K16"/>
    <mergeCell ref="L16:U16"/>
    <mergeCell ref="V16:X16"/>
    <mergeCell ref="Y16:AA16"/>
    <mergeCell ref="C10:H10"/>
    <mergeCell ref="C12:H12"/>
    <mergeCell ref="I10:P10"/>
    <mergeCell ref="I12:P12"/>
    <mergeCell ref="C11:H11"/>
    <mergeCell ref="I11:P11"/>
    <mergeCell ref="Q12:X12"/>
    <mergeCell ref="AA11:AB11"/>
    <mergeCell ref="Y10:Z10"/>
    <mergeCell ref="Q10:X10"/>
    <mergeCell ref="B2:E4"/>
    <mergeCell ref="F2:H2"/>
    <mergeCell ref="F3:H3"/>
    <mergeCell ref="F4:H4"/>
    <mergeCell ref="C8:H8"/>
    <mergeCell ref="AE8:AK8"/>
    <mergeCell ref="AA9:AB9"/>
    <mergeCell ref="AC9:AD9"/>
    <mergeCell ref="AE9:AK9"/>
    <mergeCell ref="I2:O2"/>
    <mergeCell ref="I3:O3"/>
    <mergeCell ref="I4:O4"/>
    <mergeCell ref="Y9:Z9"/>
    <mergeCell ref="I9:P9"/>
    <mergeCell ref="AA8:AB8"/>
    <mergeCell ref="AC8:AD8"/>
    <mergeCell ref="Q8:X8"/>
    <mergeCell ref="Q9:X9"/>
    <mergeCell ref="I8:P8"/>
    <mergeCell ref="Y12:Z12"/>
    <mergeCell ref="Q11:X11"/>
    <mergeCell ref="Y11:Z11"/>
    <mergeCell ref="AC11:AD11"/>
    <mergeCell ref="AE11:AK11"/>
    <mergeCell ref="AE10:AK10"/>
    <mergeCell ref="AE12:AK12"/>
    <mergeCell ref="AA10:AB10"/>
    <mergeCell ref="AA12:AB12"/>
    <mergeCell ref="AC10:AD10"/>
    <mergeCell ref="AC12:AD12"/>
  </mergeCells>
  <phoneticPr fontId="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F0055-C59A-4834-8663-AC6F8AD75A86}">
  <sheetPr codeName="Sheet64"/>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782</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778</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779</v>
      </c>
      <c r="D9" s="189"/>
      <c r="E9" s="189"/>
      <c r="F9" s="189"/>
      <c r="G9" s="189"/>
      <c r="H9" s="189"/>
      <c r="I9" s="189" t="s">
        <v>658</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780</v>
      </c>
      <c r="D10" s="190"/>
      <c r="E10" s="190"/>
      <c r="F10" s="190"/>
      <c r="G10" s="190"/>
      <c r="H10" s="190"/>
      <c r="I10" s="190" t="s">
        <v>781</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1130</v>
      </c>
      <c r="D15" s="238"/>
      <c r="E15" s="238"/>
      <c r="F15" s="238"/>
      <c r="G15" s="238"/>
      <c r="H15" s="238"/>
      <c r="I15" s="238"/>
      <c r="J15" s="238"/>
      <c r="K15" s="238"/>
      <c r="L15" s="238" t="s">
        <v>1131</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M2"/>
    <mergeCell ref="I3:M3"/>
    <mergeCell ref="I4:M4"/>
    <mergeCell ref="Q8:X8"/>
    <mergeCell ref="AA8:AB8"/>
    <mergeCell ref="Y10:Z10"/>
    <mergeCell ref="AA10:AB10"/>
    <mergeCell ref="AC10:AD10"/>
    <mergeCell ref="AE9:AK9"/>
    <mergeCell ref="AE10:AK10"/>
  </mergeCells>
  <phoneticPr fontId="3"/>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0F6E8-EEB7-4C85-9931-D37131C9F8AA}">
  <sheetPr codeName="Sheet65"/>
  <dimension ref="B1:AK26"/>
  <sheetViews>
    <sheetView workbookViewId="0">
      <selection activeCell="I11" sqref="I11:P11"/>
    </sheetView>
  </sheetViews>
  <sheetFormatPr defaultColWidth="3.6640625" defaultRowHeight="13.2"/>
  <sheetData>
    <row r="1" spans="2:37" ht="13.8" thickBot="1"/>
    <row r="2" spans="2:37">
      <c r="B2" s="205" t="s">
        <v>95</v>
      </c>
      <c r="C2" s="206"/>
      <c r="D2" s="206"/>
      <c r="E2" s="206"/>
      <c r="F2" s="211" t="s">
        <v>93</v>
      </c>
      <c r="G2" s="211"/>
      <c r="H2" s="212"/>
      <c r="I2" s="196" t="s">
        <v>1676</v>
      </c>
      <c r="J2" s="196"/>
      <c r="K2" s="196"/>
      <c r="L2" s="197"/>
    </row>
    <row r="3" spans="2:37">
      <c r="B3" s="207"/>
      <c r="C3" s="208"/>
      <c r="D3" s="208"/>
      <c r="E3" s="208"/>
      <c r="F3" s="213" t="s">
        <v>10</v>
      </c>
      <c r="G3" s="213"/>
      <c r="H3" s="214"/>
      <c r="I3" s="189" t="s">
        <v>11</v>
      </c>
      <c r="J3" s="189"/>
      <c r="K3" s="189"/>
      <c r="L3" s="191"/>
    </row>
    <row r="4" spans="2:37" ht="13.8" thickBot="1">
      <c r="B4" s="209"/>
      <c r="C4" s="210"/>
      <c r="D4" s="210"/>
      <c r="E4" s="210"/>
      <c r="F4" s="215" t="s">
        <v>94</v>
      </c>
      <c r="G4" s="215"/>
      <c r="H4" s="216"/>
      <c r="I4" s="190" t="s">
        <v>783</v>
      </c>
      <c r="J4" s="190"/>
      <c r="K4" s="190"/>
      <c r="L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1680</v>
      </c>
      <c r="D9" s="189"/>
      <c r="E9" s="189"/>
      <c r="F9" s="189"/>
      <c r="G9" s="189"/>
      <c r="H9" s="189"/>
      <c r="I9" s="189" t="s">
        <v>784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1736</v>
      </c>
      <c r="D10" s="189"/>
      <c r="E10" s="189"/>
      <c r="F10" s="189"/>
      <c r="G10" s="189"/>
      <c r="H10" s="189"/>
      <c r="I10" s="189" t="s">
        <v>785</v>
      </c>
      <c r="J10" s="189"/>
      <c r="K10" s="189"/>
      <c r="L10" s="189"/>
      <c r="M10" s="189"/>
      <c r="N10" s="189"/>
      <c r="O10" s="189"/>
      <c r="P10" s="189"/>
      <c r="Q10" s="189" t="s">
        <v>392</v>
      </c>
      <c r="R10" s="189"/>
      <c r="S10" s="189"/>
      <c r="T10" s="189"/>
      <c r="U10" s="189"/>
      <c r="V10" s="189"/>
      <c r="W10" s="189"/>
      <c r="X10" s="189"/>
      <c r="Y10" s="189"/>
      <c r="Z10" s="189"/>
      <c r="AA10" s="189"/>
      <c r="AB10" s="189"/>
      <c r="AC10" s="189"/>
      <c r="AD10" s="189"/>
      <c r="AE10" s="189"/>
      <c r="AF10" s="189"/>
      <c r="AG10" s="189"/>
      <c r="AH10" s="189"/>
      <c r="AI10" s="189"/>
      <c r="AJ10" s="189"/>
      <c r="AK10" s="191"/>
    </row>
    <row r="11" spans="2:37" s="138" customFormat="1">
      <c r="B11" s="140">
        <v>3</v>
      </c>
      <c r="C11" s="189" t="s">
        <v>1737</v>
      </c>
      <c r="D11" s="189"/>
      <c r="E11" s="189"/>
      <c r="F11" s="189"/>
      <c r="G11" s="189"/>
      <c r="H11" s="189"/>
      <c r="I11" s="189" t="s">
        <v>1738</v>
      </c>
      <c r="J11" s="189"/>
      <c r="K11" s="189"/>
      <c r="L11" s="189"/>
      <c r="M11" s="189"/>
      <c r="N11" s="189"/>
      <c r="O11" s="189"/>
      <c r="P11" s="189"/>
      <c r="Q11" s="189" t="s">
        <v>1739</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140">
        <v>4</v>
      </c>
      <c r="C12" s="189" t="s">
        <v>380</v>
      </c>
      <c r="D12" s="189"/>
      <c r="E12" s="189"/>
      <c r="F12" s="189"/>
      <c r="G12" s="189"/>
      <c r="H12" s="189"/>
      <c r="I12" s="189" t="s">
        <v>136</v>
      </c>
      <c r="J12" s="189"/>
      <c r="K12" s="189"/>
      <c r="L12" s="189"/>
      <c r="M12" s="189"/>
      <c r="N12" s="189"/>
      <c r="O12" s="189"/>
      <c r="P12" s="189"/>
      <c r="Q12" s="189" t="s">
        <v>147</v>
      </c>
      <c r="R12" s="189"/>
      <c r="S12" s="189"/>
      <c r="T12" s="189"/>
      <c r="U12" s="189"/>
      <c r="V12" s="189"/>
      <c r="W12" s="189"/>
      <c r="X12" s="189"/>
      <c r="Y12" s="189"/>
      <c r="Z12" s="189"/>
      <c r="AA12" s="189"/>
      <c r="AB12" s="189"/>
      <c r="AC12" s="189"/>
      <c r="AD12" s="189"/>
      <c r="AE12" s="189"/>
      <c r="AF12" s="189"/>
      <c r="AG12" s="189"/>
      <c r="AH12" s="189"/>
      <c r="AI12" s="189"/>
      <c r="AJ12" s="189"/>
      <c r="AK12" s="191"/>
    </row>
    <row r="13" spans="2:37" ht="13.8" thickBot="1">
      <c r="B13" s="4">
        <v>5</v>
      </c>
      <c r="C13" s="190" t="s">
        <v>381</v>
      </c>
      <c r="D13" s="190"/>
      <c r="E13" s="190"/>
      <c r="F13" s="190"/>
      <c r="G13" s="190"/>
      <c r="H13" s="190"/>
      <c r="I13" s="190" t="s">
        <v>137</v>
      </c>
      <c r="J13" s="190"/>
      <c r="K13" s="190"/>
      <c r="L13" s="190"/>
      <c r="M13" s="190"/>
      <c r="N13" s="190"/>
      <c r="O13" s="190"/>
      <c r="P13" s="190"/>
      <c r="Q13" s="190" t="s">
        <v>147</v>
      </c>
      <c r="R13" s="190"/>
      <c r="S13" s="190"/>
      <c r="T13" s="190"/>
      <c r="U13" s="190"/>
      <c r="V13" s="190"/>
      <c r="W13" s="190"/>
      <c r="X13" s="190"/>
      <c r="Y13" s="190"/>
      <c r="Z13" s="190"/>
      <c r="AA13" s="190"/>
      <c r="AB13" s="190"/>
      <c r="AC13" s="190"/>
      <c r="AD13" s="190"/>
      <c r="AE13" s="190"/>
      <c r="AF13" s="190"/>
      <c r="AG13" s="190"/>
      <c r="AH13" s="190"/>
      <c r="AI13" s="190"/>
      <c r="AJ13" s="190"/>
      <c r="AK13" s="198"/>
    </row>
    <row r="16" spans="2:37" ht="15" thickBot="1">
      <c r="B16" s="7" t="s">
        <v>994</v>
      </c>
    </row>
    <row r="17" spans="2:35">
      <c r="B17" s="10" t="s">
        <v>7</v>
      </c>
      <c r="C17" s="226" t="s">
        <v>998</v>
      </c>
      <c r="D17" s="226"/>
      <c r="E17" s="226"/>
      <c r="F17" s="226"/>
      <c r="G17" s="226"/>
      <c r="H17" s="226"/>
      <c r="I17" s="226"/>
      <c r="J17" s="226"/>
      <c r="K17" s="226"/>
      <c r="L17" s="226" t="s">
        <v>1000</v>
      </c>
      <c r="M17" s="226"/>
      <c r="N17" s="226"/>
      <c r="O17" s="226"/>
      <c r="P17" s="226"/>
      <c r="Q17" s="226"/>
      <c r="R17" s="226"/>
      <c r="S17" s="226"/>
      <c r="T17" s="226"/>
      <c r="U17" s="226"/>
      <c r="V17" s="226" t="s">
        <v>1002</v>
      </c>
      <c r="W17" s="226"/>
      <c r="X17" s="226"/>
      <c r="Y17" s="226" t="s">
        <v>1004</v>
      </c>
      <c r="Z17" s="226"/>
      <c r="AA17" s="226"/>
      <c r="AB17" s="226" t="s">
        <v>1005</v>
      </c>
      <c r="AC17" s="226"/>
      <c r="AD17" s="226"/>
      <c r="AE17" s="226"/>
      <c r="AF17" s="226"/>
      <c r="AG17" s="226"/>
      <c r="AH17" s="226"/>
      <c r="AI17" s="227"/>
    </row>
    <row r="18" spans="2:35" ht="13.8" thickBot="1">
      <c r="B18" s="12">
        <v>1</v>
      </c>
      <c r="C18" s="238" t="s">
        <v>1132</v>
      </c>
      <c r="D18" s="238"/>
      <c r="E18" s="238"/>
      <c r="F18" s="238"/>
      <c r="G18" s="238"/>
      <c r="H18" s="238"/>
      <c r="I18" s="238"/>
      <c r="J18" s="238"/>
      <c r="K18" s="238"/>
      <c r="L18" s="238" t="s">
        <v>1133</v>
      </c>
      <c r="M18" s="238"/>
      <c r="N18" s="238"/>
      <c r="O18" s="238"/>
      <c r="P18" s="238"/>
      <c r="Q18" s="238"/>
      <c r="R18" s="238"/>
      <c r="S18" s="238"/>
      <c r="T18" s="238"/>
      <c r="U18" s="238"/>
      <c r="V18" s="238" t="s">
        <v>1022</v>
      </c>
      <c r="W18" s="238"/>
      <c r="X18" s="238"/>
      <c r="Y18" s="238" t="s">
        <v>1022</v>
      </c>
      <c r="Z18" s="238"/>
      <c r="AA18" s="238"/>
      <c r="AB18" s="238"/>
      <c r="AC18" s="238"/>
      <c r="AD18" s="238"/>
      <c r="AE18" s="238"/>
      <c r="AF18" s="238"/>
      <c r="AG18" s="238"/>
      <c r="AH18" s="238"/>
      <c r="AI18" s="239"/>
    </row>
    <row r="19" spans="2:35">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row>
    <row r="20" spans="2:35" ht="15" thickBot="1">
      <c r="B20" s="7" t="s">
        <v>995</v>
      </c>
    </row>
    <row r="21" spans="2:35">
      <c r="B21" s="14" t="s">
        <v>1069</v>
      </c>
      <c r="C21" s="226" t="s">
        <v>1070</v>
      </c>
      <c r="D21" s="226"/>
      <c r="E21" s="226"/>
      <c r="F21" s="226"/>
      <c r="G21" s="226"/>
      <c r="H21" s="226"/>
      <c r="I21" s="226"/>
      <c r="J21" s="226"/>
      <c r="K21" s="226"/>
      <c r="L21" s="226"/>
      <c r="M21" s="226" t="s">
        <v>1072</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4"/>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75">
    <mergeCell ref="C25:L25"/>
    <mergeCell ref="M25:T25"/>
    <mergeCell ref="U25:AC25"/>
    <mergeCell ref="AD25:AI25"/>
    <mergeCell ref="C26:L26"/>
    <mergeCell ref="M26:T26"/>
    <mergeCell ref="U26:AC26"/>
    <mergeCell ref="AD26:AI26"/>
    <mergeCell ref="C21:L21"/>
    <mergeCell ref="M21:T21"/>
    <mergeCell ref="U21:AC21"/>
    <mergeCell ref="AD21:AI21"/>
    <mergeCell ref="C22:L22"/>
    <mergeCell ref="M22:T22"/>
    <mergeCell ref="U22:AC22"/>
    <mergeCell ref="AD22:AI22"/>
    <mergeCell ref="V17:X17"/>
    <mergeCell ref="Y17:AA17"/>
    <mergeCell ref="AB17:AI17"/>
    <mergeCell ref="C18:K18"/>
    <mergeCell ref="L18:U18"/>
    <mergeCell ref="V18:X18"/>
    <mergeCell ref="Y18:AA18"/>
    <mergeCell ref="AB18:AI18"/>
    <mergeCell ref="I8:P8"/>
    <mergeCell ref="I2:L2"/>
    <mergeCell ref="I3:L3"/>
    <mergeCell ref="I4:L4"/>
    <mergeCell ref="C17:K17"/>
    <mergeCell ref="L17:U17"/>
    <mergeCell ref="B2:E4"/>
    <mergeCell ref="F2:H2"/>
    <mergeCell ref="F3:H3"/>
    <mergeCell ref="F4:H4"/>
    <mergeCell ref="C8:H8"/>
    <mergeCell ref="Q8:X8"/>
    <mergeCell ref="Q9:X9"/>
    <mergeCell ref="C9:H9"/>
    <mergeCell ref="C10:H10"/>
    <mergeCell ref="C12:H12"/>
    <mergeCell ref="AA8:AB8"/>
    <mergeCell ref="AC8:AD8"/>
    <mergeCell ref="AE8:AK8"/>
    <mergeCell ref="AA9:AB9"/>
    <mergeCell ref="AC9:AD9"/>
    <mergeCell ref="C13:H13"/>
    <mergeCell ref="I9:P9"/>
    <mergeCell ref="I10:P10"/>
    <mergeCell ref="I12:P12"/>
    <mergeCell ref="I13:P13"/>
    <mergeCell ref="C11:H11"/>
    <mergeCell ref="I11:P11"/>
    <mergeCell ref="Q10:X10"/>
    <mergeCell ref="Q12:X12"/>
    <mergeCell ref="Q13:X13"/>
    <mergeCell ref="AA10:AB10"/>
    <mergeCell ref="AA12:AB12"/>
    <mergeCell ref="AA13:AB13"/>
    <mergeCell ref="Q11:X11"/>
    <mergeCell ref="Y11:Z11"/>
    <mergeCell ref="AA11:AB11"/>
    <mergeCell ref="AC10:AD10"/>
    <mergeCell ref="AC12:AD12"/>
    <mergeCell ref="AC13:AD13"/>
    <mergeCell ref="AE9:AK9"/>
    <mergeCell ref="AE10:AK10"/>
    <mergeCell ref="AE12:AK12"/>
    <mergeCell ref="AE13:AK13"/>
    <mergeCell ref="AC11:AD11"/>
    <mergeCell ref="AE11:AK11"/>
    <mergeCell ref="Y8:Z8"/>
    <mergeCell ref="Y9:Z9"/>
    <mergeCell ref="Y10:Z10"/>
    <mergeCell ref="Y12:Z12"/>
    <mergeCell ref="Y13:Z13"/>
  </mergeCells>
  <phoneticPr fontId="3"/>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B8709-89FD-48C0-BC2A-8181D090C24A}">
  <sheetPr codeName="Sheet66"/>
  <dimension ref="B1:AK23"/>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791</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786</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787</v>
      </c>
      <c r="D9" s="189"/>
      <c r="E9" s="189"/>
      <c r="F9" s="189"/>
      <c r="G9" s="189"/>
      <c r="H9" s="189"/>
      <c r="I9" s="189" t="s">
        <v>789</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788</v>
      </c>
      <c r="D10" s="190"/>
      <c r="E10" s="190"/>
      <c r="F10" s="190"/>
      <c r="G10" s="190"/>
      <c r="H10" s="190"/>
      <c r="I10" s="190" t="s">
        <v>790</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1134</v>
      </c>
      <c r="D15" s="238"/>
      <c r="E15" s="238"/>
      <c r="F15" s="238"/>
      <c r="G15" s="238"/>
      <c r="H15" s="238"/>
      <c r="I15" s="238"/>
      <c r="J15" s="238"/>
      <c r="K15" s="238"/>
      <c r="L15" s="238" t="s">
        <v>1135</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N2"/>
    <mergeCell ref="I3:N3"/>
    <mergeCell ref="I4:N4"/>
    <mergeCell ref="Q8:X8"/>
    <mergeCell ref="AA8:AB8"/>
    <mergeCell ref="Y10:Z10"/>
    <mergeCell ref="AA10:AB10"/>
    <mergeCell ref="AC10:AD10"/>
    <mergeCell ref="AE9:AK9"/>
    <mergeCell ref="AE10:AK10"/>
  </mergeCells>
  <phoneticPr fontId="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90A46-918D-4FD4-9D3C-E4CD5B921535}">
  <sheetPr codeName="Sheet67"/>
  <dimension ref="B1:AK38"/>
  <sheetViews>
    <sheetView workbookViewId="0">
      <selection activeCell="I22" sqref="I22:P22"/>
    </sheetView>
  </sheetViews>
  <sheetFormatPr defaultColWidth="3.6640625" defaultRowHeight="13.2"/>
  <sheetData>
    <row r="1" spans="2:37" ht="13.8" thickBot="1"/>
    <row r="2" spans="2:37">
      <c r="B2" s="205" t="s">
        <v>95</v>
      </c>
      <c r="C2" s="206"/>
      <c r="D2" s="206"/>
      <c r="E2" s="206"/>
      <c r="F2" s="211" t="s">
        <v>93</v>
      </c>
      <c r="G2" s="211"/>
      <c r="H2" s="212"/>
      <c r="I2" s="196" t="s">
        <v>814</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813</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292" t="s">
        <v>440</v>
      </c>
      <c r="D9" s="292"/>
      <c r="E9" s="292"/>
      <c r="F9" s="292"/>
      <c r="G9" s="292"/>
      <c r="H9" s="292"/>
      <c r="I9" s="189" t="s">
        <v>425</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293" t="s">
        <v>182</v>
      </c>
      <c r="D10" s="293"/>
      <c r="E10" s="293"/>
      <c r="F10" s="293"/>
      <c r="G10" s="293"/>
      <c r="H10" s="293"/>
      <c r="I10" s="189" t="s">
        <v>184</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293" t="s">
        <v>190</v>
      </c>
      <c r="D11" s="293"/>
      <c r="E11" s="293"/>
      <c r="F11" s="293"/>
      <c r="G11" s="293"/>
      <c r="H11" s="293"/>
      <c r="I11" s="189" t="s">
        <v>193</v>
      </c>
      <c r="J11" s="189"/>
      <c r="K11" s="189"/>
      <c r="L11" s="189"/>
      <c r="M11" s="189"/>
      <c r="N11" s="189"/>
      <c r="O11" s="189"/>
      <c r="P11" s="189"/>
      <c r="Q11" s="189" t="s">
        <v>146</v>
      </c>
      <c r="R11" s="189"/>
      <c r="S11" s="189"/>
      <c r="T11" s="189"/>
      <c r="U11" s="189"/>
      <c r="V11" s="189"/>
      <c r="W11" s="189"/>
      <c r="X11" s="189"/>
      <c r="Y11" s="189"/>
      <c r="Z11" s="189"/>
      <c r="AA11" s="189"/>
      <c r="AB11" s="189"/>
      <c r="AC11" s="189" t="s">
        <v>151</v>
      </c>
      <c r="AD11" s="189"/>
      <c r="AE11" s="189"/>
      <c r="AF11" s="189"/>
      <c r="AG11" s="189"/>
      <c r="AH11" s="189"/>
      <c r="AI11" s="189"/>
      <c r="AJ11" s="189"/>
      <c r="AK11" s="191"/>
    </row>
    <row r="12" spans="2:37">
      <c r="B12" s="3">
        <v>4</v>
      </c>
      <c r="C12" s="293" t="s">
        <v>792</v>
      </c>
      <c r="D12" s="293"/>
      <c r="E12" s="293"/>
      <c r="F12" s="293"/>
      <c r="G12" s="293"/>
      <c r="H12" s="293"/>
      <c r="I12" s="189" t="s">
        <v>802</v>
      </c>
      <c r="J12" s="189"/>
      <c r="K12" s="189"/>
      <c r="L12" s="189"/>
      <c r="M12" s="189"/>
      <c r="N12" s="189"/>
      <c r="O12" s="189"/>
      <c r="P12" s="189"/>
      <c r="Q12" s="189" t="s">
        <v>811</v>
      </c>
      <c r="R12" s="189"/>
      <c r="S12" s="189"/>
      <c r="T12" s="189"/>
      <c r="U12" s="189"/>
      <c r="V12" s="189"/>
      <c r="W12" s="189"/>
      <c r="X12" s="189"/>
      <c r="Y12" s="189"/>
      <c r="Z12" s="189"/>
      <c r="AA12" s="189"/>
      <c r="AB12" s="189"/>
      <c r="AC12" s="189" t="s">
        <v>151</v>
      </c>
      <c r="AD12" s="189"/>
      <c r="AE12" s="189"/>
      <c r="AF12" s="189"/>
      <c r="AG12" s="189"/>
      <c r="AH12" s="189"/>
      <c r="AI12" s="189"/>
      <c r="AJ12" s="189"/>
      <c r="AK12" s="191"/>
    </row>
    <row r="13" spans="2:37">
      <c r="B13" s="3">
        <v>5</v>
      </c>
      <c r="C13" s="293" t="s">
        <v>793</v>
      </c>
      <c r="D13" s="293"/>
      <c r="E13" s="293"/>
      <c r="F13" s="293"/>
      <c r="G13" s="293"/>
      <c r="H13" s="293"/>
      <c r="I13" s="189" t="s">
        <v>803</v>
      </c>
      <c r="J13" s="189"/>
      <c r="K13" s="189"/>
      <c r="L13" s="189"/>
      <c r="M13" s="189"/>
      <c r="N13" s="189"/>
      <c r="O13" s="189"/>
      <c r="P13" s="189"/>
      <c r="Q13" s="189" t="s">
        <v>812</v>
      </c>
      <c r="R13" s="189"/>
      <c r="S13" s="189"/>
      <c r="T13" s="189"/>
      <c r="U13" s="189"/>
      <c r="V13" s="189"/>
      <c r="W13" s="189"/>
      <c r="X13" s="189"/>
      <c r="Y13" s="189"/>
      <c r="Z13" s="189"/>
      <c r="AA13" s="189"/>
      <c r="AB13" s="189"/>
      <c r="AC13" s="189" t="s">
        <v>151</v>
      </c>
      <c r="AD13" s="189"/>
      <c r="AE13" s="189"/>
      <c r="AF13" s="189"/>
      <c r="AG13" s="189"/>
      <c r="AH13" s="189"/>
      <c r="AI13" s="189"/>
      <c r="AJ13" s="189"/>
      <c r="AK13" s="191"/>
    </row>
    <row r="14" spans="2:37">
      <c r="B14" s="3">
        <v>6</v>
      </c>
      <c r="C14" s="293" t="s">
        <v>794</v>
      </c>
      <c r="D14" s="293"/>
      <c r="E14" s="293"/>
      <c r="F14" s="293"/>
      <c r="G14" s="293"/>
      <c r="H14" s="293"/>
      <c r="I14" s="189" t="s">
        <v>804</v>
      </c>
      <c r="J14" s="189"/>
      <c r="K14" s="189"/>
      <c r="L14" s="189"/>
      <c r="M14" s="189"/>
      <c r="N14" s="189"/>
      <c r="O14" s="189"/>
      <c r="P14" s="189"/>
      <c r="Q14" s="189" t="s">
        <v>144</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7</v>
      </c>
      <c r="C15" s="293" t="s">
        <v>795</v>
      </c>
      <c r="D15" s="293"/>
      <c r="E15" s="293"/>
      <c r="F15" s="293"/>
      <c r="G15" s="293"/>
      <c r="H15" s="293"/>
      <c r="I15" s="189" t="s">
        <v>805</v>
      </c>
      <c r="J15" s="189"/>
      <c r="K15" s="189"/>
      <c r="L15" s="189"/>
      <c r="M15" s="189"/>
      <c r="N15" s="189"/>
      <c r="O15" s="189"/>
      <c r="P15" s="189"/>
      <c r="Q15" s="189" t="s">
        <v>143</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8</v>
      </c>
      <c r="C16" s="293" t="s">
        <v>796</v>
      </c>
      <c r="D16" s="293"/>
      <c r="E16" s="293"/>
      <c r="F16" s="293"/>
      <c r="G16" s="293"/>
      <c r="H16" s="293"/>
      <c r="I16" s="189" t="s">
        <v>806</v>
      </c>
      <c r="J16" s="189"/>
      <c r="K16" s="189"/>
      <c r="L16" s="189"/>
      <c r="M16" s="189"/>
      <c r="N16" s="189"/>
      <c r="O16" s="189"/>
      <c r="P16" s="189"/>
      <c r="Q16" s="189" t="s">
        <v>144</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3">
        <v>9</v>
      </c>
      <c r="C17" s="293" t="s">
        <v>797</v>
      </c>
      <c r="D17" s="293"/>
      <c r="E17" s="293"/>
      <c r="F17" s="293"/>
      <c r="G17" s="293"/>
      <c r="H17" s="293"/>
      <c r="I17" s="189" t="s">
        <v>807</v>
      </c>
      <c r="J17" s="189"/>
      <c r="K17" s="189"/>
      <c r="L17" s="189"/>
      <c r="M17" s="189"/>
      <c r="N17" s="189"/>
      <c r="O17" s="189"/>
      <c r="P17" s="189"/>
      <c r="Q17" s="189" t="s">
        <v>143</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3">
        <v>10</v>
      </c>
      <c r="C18" s="293" t="s">
        <v>1811</v>
      </c>
      <c r="D18" s="293"/>
      <c r="E18" s="293"/>
      <c r="F18" s="293"/>
      <c r="G18" s="293"/>
      <c r="H18" s="293"/>
      <c r="I18" s="189" t="s">
        <v>808</v>
      </c>
      <c r="J18" s="189"/>
      <c r="K18" s="189"/>
      <c r="L18" s="189"/>
      <c r="M18" s="189"/>
      <c r="N18" s="189"/>
      <c r="O18" s="189"/>
      <c r="P18" s="189"/>
      <c r="Q18" s="189" t="s">
        <v>144</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3">
        <v>11</v>
      </c>
      <c r="C19" s="293" t="s">
        <v>1812</v>
      </c>
      <c r="D19" s="293"/>
      <c r="E19" s="293"/>
      <c r="F19" s="293"/>
      <c r="G19" s="293"/>
      <c r="H19" s="293"/>
      <c r="I19" s="189" t="s">
        <v>1640</v>
      </c>
      <c r="J19" s="189"/>
      <c r="K19" s="189"/>
      <c r="L19" s="189"/>
      <c r="M19" s="189"/>
      <c r="N19" s="189"/>
      <c r="O19" s="189"/>
      <c r="P19" s="189"/>
      <c r="Q19" s="189" t="s">
        <v>144</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3">
        <v>12</v>
      </c>
      <c r="C20" s="293" t="s">
        <v>252</v>
      </c>
      <c r="D20" s="293"/>
      <c r="E20" s="293"/>
      <c r="F20" s="293"/>
      <c r="G20" s="293"/>
      <c r="H20" s="293"/>
      <c r="I20" s="189" t="s">
        <v>132</v>
      </c>
      <c r="J20" s="189"/>
      <c r="K20" s="189"/>
      <c r="L20" s="189"/>
      <c r="M20" s="189"/>
      <c r="N20" s="189"/>
      <c r="O20" s="189"/>
      <c r="P20" s="189"/>
      <c r="Q20" s="189" t="s">
        <v>143</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3">
        <v>13</v>
      </c>
      <c r="C21" s="293" t="s">
        <v>155</v>
      </c>
      <c r="D21" s="293"/>
      <c r="E21" s="293"/>
      <c r="F21" s="293"/>
      <c r="G21" s="293"/>
      <c r="H21" s="293"/>
      <c r="I21" s="189" t="s">
        <v>157</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3">
        <v>14</v>
      </c>
      <c r="C22" s="293" t="s">
        <v>800</v>
      </c>
      <c r="D22" s="293"/>
      <c r="E22" s="293"/>
      <c r="F22" s="293"/>
      <c r="G22" s="293"/>
      <c r="H22" s="293"/>
      <c r="I22" s="189" t="s">
        <v>809</v>
      </c>
      <c r="J22" s="189"/>
      <c r="K22" s="189"/>
      <c r="L22" s="189"/>
      <c r="M22" s="189"/>
      <c r="N22" s="189"/>
      <c r="O22" s="189"/>
      <c r="P22" s="189"/>
      <c r="Q22" s="189" t="s">
        <v>144</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3">
        <v>15</v>
      </c>
      <c r="C23" s="293" t="s">
        <v>801</v>
      </c>
      <c r="D23" s="293"/>
      <c r="E23" s="293"/>
      <c r="F23" s="293"/>
      <c r="G23" s="293"/>
      <c r="H23" s="293"/>
      <c r="I23" s="189" t="s">
        <v>810</v>
      </c>
      <c r="J23" s="189"/>
      <c r="K23" s="189"/>
      <c r="L23" s="189"/>
      <c r="M23" s="189"/>
      <c r="N23" s="189"/>
      <c r="O23" s="189"/>
      <c r="P23" s="189"/>
      <c r="Q23" s="189" t="s">
        <v>144</v>
      </c>
      <c r="R23" s="189"/>
      <c r="S23" s="189"/>
      <c r="T23" s="189"/>
      <c r="U23" s="189"/>
      <c r="V23" s="189"/>
      <c r="W23" s="189"/>
      <c r="X23" s="189"/>
      <c r="Y23" s="189"/>
      <c r="Z23" s="189"/>
      <c r="AA23" s="189"/>
      <c r="AB23" s="189"/>
      <c r="AC23" s="189"/>
      <c r="AD23" s="189"/>
      <c r="AE23" s="189"/>
      <c r="AF23" s="189"/>
      <c r="AG23" s="189"/>
      <c r="AH23" s="189"/>
      <c r="AI23" s="189"/>
      <c r="AJ23" s="189"/>
      <c r="AK23" s="191"/>
    </row>
    <row r="24" spans="2:37" ht="13.8" thickBot="1">
      <c r="B24" s="4">
        <v>16</v>
      </c>
      <c r="C24" s="294" t="s">
        <v>118</v>
      </c>
      <c r="D24" s="294"/>
      <c r="E24" s="294"/>
      <c r="F24" s="294"/>
      <c r="G24" s="294"/>
      <c r="H24" s="294"/>
      <c r="I24" s="190" t="s">
        <v>159</v>
      </c>
      <c r="J24" s="190"/>
      <c r="K24" s="190"/>
      <c r="L24" s="190"/>
      <c r="M24" s="190"/>
      <c r="N24" s="190"/>
      <c r="O24" s="190"/>
      <c r="P24" s="190"/>
      <c r="Q24" s="190" t="s">
        <v>144</v>
      </c>
      <c r="R24" s="190"/>
      <c r="S24" s="190"/>
      <c r="T24" s="190"/>
      <c r="U24" s="190"/>
      <c r="V24" s="190"/>
      <c r="W24" s="190"/>
      <c r="X24" s="190"/>
      <c r="Y24" s="190"/>
      <c r="Z24" s="190"/>
      <c r="AA24" s="190"/>
      <c r="AB24" s="190"/>
      <c r="AC24" s="190"/>
      <c r="AD24" s="190"/>
      <c r="AE24" s="190"/>
      <c r="AF24" s="190"/>
      <c r="AG24" s="190"/>
      <c r="AH24" s="190"/>
      <c r="AI24" s="190"/>
      <c r="AJ24" s="190"/>
      <c r="AK24" s="198"/>
    </row>
    <row r="27" spans="2:37" ht="15" thickBot="1">
      <c r="B27" s="7" t="s">
        <v>994</v>
      </c>
    </row>
    <row r="28" spans="2:37" ht="13.8" thickBot="1">
      <c r="B28" s="10" t="s">
        <v>7</v>
      </c>
      <c r="C28" s="226" t="s">
        <v>998</v>
      </c>
      <c r="D28" s="226"/>
      <c r="E28" s="226"/>
      <c r="F28" s="226"/>
      <c r="G28" s="226"/>
      <c r="H28" s="226"/>
      <c r="I28" s="226"/>
      <c r="J28" s="226"/>
      <c r="K28" s="226"/>
      <c r="L28" s="226" t="s">
        <v>1000</v>
      </c>
      <c r="M28" s="226"/>
      <c r="N28" s="226"/>
      <c r="O28" s="226"/>
      <c r="P28" s="226"/>
      <c r="Q28" s="226"/>
      <c r="R28" s="226"/>
      <c r="S28" s="226"/>
      <c r="T28" s="226"/>
      <c r="U28" s="226"/>
      <c r="V28" s="226" t="s">
        <v>1002</v>
      </c>
      <c r="W28" s="226"/>
      <c r="X28" s="226"/>
      <c r="Y28" s="226" t="s">
        <v>1004</v>
      </c>
      <c r="Z28" s="226"/>
      <c r="AA28" s="226"/>
      <c r="AB28" s="226" t="s">
        <v>1005</v>
      </c>
      <c r="AC28" s="226"/>
      <c r="AD28" s="226"/>
      <c r="AE28" s="226"/>
      <c r="AF28" s="226"/>
      <c r="AG28" s="226"/>
      <c r="AH28" s="226"/>
      <c r="AI28" s="227"/>
    </row>
    <row r="29" spans="2:37">
      <c r="B29" s="256">
        <v>1</v>
      </c>
      <c r="C29" s="247" t="s">
        <v>1136</v>
      </c>
      <c r="D29" s="247"/>
      <c r="E29" s="247"/>
      <c r="F29" s="247"/>
      <c r="G29" s="247"/>
      <c r="H29" s="247"/>
      <c r="I29" s="247"/>
      <c r="J29" s="247"/>
      <c r="K29" s="247"/>
      <c r="L29" s="246" t="s">
        <v>1056</v>
      </c>
      <c r="M29" s="246"/>
      <c r="N29" s="246"/>
      <c r="O29" s="246"/>
      <c r="P29" s="246"/>
      <c r="Q29" s="246"/>
      <c r="R29" s="246"/>
      <c r="S29" s="246"/>
      <c r="T29" s="246"/>
      <c r="U29" s="246"/>
      <c r="V29" s="247" t="s">
        <v>1022</v>
      </c>
      <c r="W29" s="247"/>
      <c r="X29" s="247"/>
      <c r="Y29" s="247" t="s">
        <v>1022</v>
      </c>
      <c r="Z29" s="247"/>
      <c r="AA29" s="247"/>
      <c r="AB29" s="248"/>
      <c r="AC29" s="248"/>
      <c r="AD29" s="248"/>
      <c r="AE29" s="248"/>
      <c r="AF29" s="248"/>
      <c r="AG29" s="248"/>
      <c r="AH29" s="248"/>
      <c r="AI29" s="249"/>
    </row>
    <row r="30" spans="2:37" ht="13.8" thickBot="1">
      <c r="B30" s="257"/>
      <c r="C30" s="258"/>
      <c r="D30" s="258"/>
      <c r="E30" s="258"/>
      <c r="F30" s="258"/>
      <c r="G30" s="258"/>
      <c r="H30" s="258"/>
      <c r="I30" s="258"/>
      <c r="J30" s="258"/>
      <c r="K30" s="258"/>
      <c r="L30" s="259" t="s">
        <v>1030</v>
      </c>
      <c r="M30" s="259"/>
      <c r="N30" s="259"/>
      <c r="O30" s="259"/>
      <c r="P30" s="259"/>
      <c r="Q30" s="259"/>
      <c r="R30" s="259"/>
      <c r="S30" s="259"/>
      <c r="T30" s="259"/>
      <c r="U30" s="259"/>
      <c r="V30" s="258"/>
      <c r="W30" s="258"/>
      <c r="X30" s="258"/>
      <c r="Y30" s="258"/>
      <c r="Z30" s="258"/>
      <c r="AA30" s="258"/>
      <c r="AB30" s="238"/>
      <c r="AC30" s="238"/>
      <c r="AD30" s="238"/>
      <c r="AE30" s="238"/>
      <c r="AF30" s="238"/>
      <c r="AG30" s="238"/>
      <c r="AH30" s="238"/>
      <c r="AI30" s="239"/>
    </row>
    <row r="32" spans="2:37" ht="15" thickBot="1">
      <c r="B32" s="7" t="s">
        <v>995</v>
      </c>
    </row>
    <row r="33" spans="2:35">
      <c r="B33" s="14" t="s">
        <v>1069</v>
      </c>
      <c r="C33" s="226" t="s">
        <v>1070</v>
      </c>
      <c r="D33" s="226"/>
      <c r="E33" s="226"/>
      <c r="F33" s="226"/>
      <c r="G33" s="226"/>
      <c r="H33" s="226"/>
      <c r="I33" s="226"/>
      <c r="J33" s="226"/>
      <c r="K33" s="226"/>
      <c r="L33" s="226"/>
      <c r="M33" s="226" t="s">
        <v>1072</v>
      </c>
      <c r="N33" s="226"/>
      <c r="O33" s="226"/>
      <c r="P33" s="226"/>
      <c r="Q33" s="226"/>
      <c r="R33" s="226"/>
      <c r="S33" s="226"/>
      <c r="T33" s="226"/>
      <c r="U33" s="226" t="s">
        <v>1154</v>
      </c>
      <c r="V33" s="226"/>
      <c r="W33" s="226"/>
      <c r="X33" s="226"/>
      <c r="Y33" s="226"/>
      <c r="Z33" s="226"/>
      <c r="AA33" s="226"/>
      <c r="AB33" s="226"/>
      <c r="AC33" s="226"/>
      <c r="AD33" s="226" t="s">
        <v>1155</v>
      </c>
      <c r="AE33" s="226"/>
      <c r="AF33" s="226"/>
      <c r="AG33" s="226"/>
      <c r="AH33" s="226"/>
      <c r="AI33" s="227"/>
    </row>
    <row r="34" spans="2:35" ht="13.8" thickBot="1">
      <c r="B34" s="4"/>
      <c r="C34" s="190"/>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8"/>
    </row>
    <row r="36" spans="2:35" ht="15" thickBot="1">
      <c r="B36" s="7" t="s">
        <v>996</v>
      </c>
    </row>
    <row r="37" spans="2:35">
      <c r="B37" s="14" t="s">
        <v>1069</v>
      </c>
      <c r="C37" s="226" t="s">
        <v>1070</v>
      </c>
      <c r="D37" s="226"/>
      <c r="E37" s="226"/>
      <c r="F37" s="226"/>
      <c r="G37" s="226"/>
      <c r="H37" s="226"/>
      <c r="I37" s="226"/>
      <c r="J37" s="226"/>
      <c r="K37" s="226"/>
      <c r="L37" s="226"/>
      <c r="M37" s="226" t="s">
        <v>1072</v>
      </c>
      <c r="N37" s="226"/>
      <c r="O37" s="226"/>
      <c r="P37" s="226"/>
      <c r="Q37" s="226"/>
      <c r="R37" s="226"/>
      <c r="S37" s="226"/>
      <c r="T37" s="226"/>
      <c r="U37" s="226" t="s">
        <v>1154</v>
      </c>
      <c r="V37" s="226"/>
      <c r="W37" s="226"/>
      <c r="X37" s="226"/>
      <c r="Y37" s="226"/>
      <c r="Z37" s="226"/>
      <c r="AA37" s="226"/>
      <c r="AB37" s="226"/>
      <c r="AC37" s="226"/>
      <c r="AD37" s="226" t="s">
        <v>1155</v>
      </c>
      <c r="AE37" s="226"/>
      <c r="AF37" s="226"/>
      <c r="AG37" s="226"/>
      <c r="AH37" s="226"/>
      <c r="AI37" s="227"/>
    </row>
    <row r="38" spans="2:35" ht="13.8" thickBot="1">
      <c r="B38" s="4"/>
      <c r="C38" s="190"/>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190"/>
      <c r="AD38" s="190"/>
      <c r="AE38" s="190"/>
      <c r="AF38" s="190"/>
      <c r="AG38" s="190"/>
      <c r="AH38" s="190"/>
      <c r="AI38" s="198"/>
    </row>
  </sheetData>
  <mergeCells count="154">
    <mergeCell ref="C38:L38"/>
    <mergeCell ref="M38:T38"/>
    <mergeCell ref="U38:AC38"/>
    <mergeCell ref="AD38:AI38"/>
    <mergeCell ref="C33:L33"/>
    <mergeCell ref="M33:T33"/>
    <mergeCell ref="U33:AC33"/>
    <mergeCell ref="AD33:AI33"/>
    <mergeCell ref="C34:L34"/>
    <mergeCell ref="M34:T34"/>
    <mergeCell ref="U34:AC34"/>
    <mergeCell ref="AD34:AI34"/>
    <mergeCell ref="C37:L37"/>
    <mergeCell ref="M37:T37"/>
    <mergeCell ref="U37:AC37"/>
    <mergeCell ref="AD37:AI37"/>
    <mergeCell ref="C28:K28"/>
    <mergeCell ref="L28:U28"/>
    <mergeCell ref="V28:X28"/>
    <mergeCell ref="Y28:AA28"/>
    <mergeCell ref="AB28:AI28"/>
    <mergeCell ref="B29:B30"/>
    <mergeCell ref="C29:K30"/>
    <mergeCell ref="L29:U29"/>
    <mergeCell ref="V29:X30"/>
    <mergeCell ref="Y29:AA30"/>
    <mergeCell ref="AB29:AI30"/>
    <mergeCell ref="L30:U30"/>
    <mergeCell ref="AE8:AK8"/>
    <mergeCell ref="AA9:AB9"/>
    <mergeCell ref="AA10:AB10"/>
    <mergeCell ref="AC9:AD9"/>
    <mergeCell ref="AC10:AD10"/>
    <mergeCell ref="B2:E4"/>
    <mergeCell ref="F2:H2"/>
    <mergeCell ref="F3:H3"/>
    <mergeCell ref="F4:H4"/>
    <mergeCell ref="C8:H8"/>
    <mergeCell ref="I8:P8"/>
    <mergeCell ref="AC11:AD11"/>
    <mergeCell ref="AC12:AD12"/>
    <mergeCell ref="AC13:AD13"/>
    <mergeCell ref="C9:H9"/>
    <mergeCell ref="C10:H10"/>
    <mergeCell ref="C11:H11"/>
    <mergeCell ref="C12:H12"/>
    <mergeCell ref="C13:H13"/>
    <mergeCell ref="Q8:X8"/>
    <mergeCell ref="AA8:AB8"/>
    <mergeCell ref="AC8:AD8"/>
    <mergeCell ref="Q9:X9"/>
    <mergeCell ref="Q10:X10"/>
    <mergeCell ref="Q11:X11"/>
    <mergeCell ref="Q12:X12"/>
    <mergeCell ref="Q13:X13"/>
    <mergeCell ref="Y8:Z8"/>
    <mergeCell ref="Y9:Z9"/>
    <mergeCell ref="Y10:Z10"/>
    <mergeCell ref="Y13:Z13"/>
    <mergeCell ref="C20:H20"/>
    <mergeCell ref="C21:H21"/>
    <mergeCell ref="C22:H22"/>
    <mergeCell ref="C23:H23"/>
    <mergeCell ref="C24:H24"/>
    <mergeCell ref="I9:P9"/>
    <mergeCell ref="I10:P10"/>
    <mergeCell ref="I11:P11"/>
    <mergeCell ref="I12:P12"/>
    <mergeCell ref="I13:P13"/>
    <mergeCell ref="C14:H14"/>
    <mergeCell ref="C15:H15"/>
    <mergeCell ref="C16:H16"/>
    <mergeCell ref="C17:H17"/>
    <mergeCell ref="C18:H18"/>
    <mergeCell ref="C19:H19"/>
    <mergeCell ref="I20:P20"/>
    <mergeCell ref="I21:P21"/>
    <mergeCell ref="I22:P22"/>
    <mergeCell ref="I23:P23"/>
    <mergeCell ref="I24:P24"/>
    <mergeCell ref="I14:P14"/>
    <mergeCell ref="I15:P15"/>
    <mergeCell ref="I16:P16"/>
    <mergeCell ref="I17:P17"/>
    <mergeCell ref="I18:P18"/>
    <mergeCell ref="I19:P19"/>
    <mergeCell ref="Q20:X20"/>
    <mergeCell ref="Q21:X21"/>
    <mergeCell ref="Q22:X22"/>
    <mergeCell ref="Q23:X23"/>
    <mergeCell ref="Q24:X24"/>
    <mergeCell ref="AA11:AB11"/>
    <mergeCell ref="AA12:AB12"/>
    <mergeCell ref="AA13:AB13"/>
    <mergeCell ref="AA14:AB14"/>
    <mergeCell ref="AA15:AB15"/>
    <mergeCell ref="Q14:X14"/>
    <mergeCell ref="Q15:X15"/>
    <mergeCell ref="Q16:X16"/>
    <mergeCell ref="Q17:X17"/>
    <mergeCell ref="Q18:X18"/>
    <mergeCell ref="Q19:X19"/>
    <mergeCell ref="AA23:AB23"/>
    <mergeCell ref="AA24:AB24"/>
    <mergeCell ref="AA21:AB21"/>
    <mergeCell ref="Y11:Z11"/>
    <mergeCell ref="Y12:Z12"/>
    <mergeCell ref="AC14:AD14"/>
    <mergeCell ref="AC15:AD15"/>
    <mergeCell ref="AC16:AD16"/>
    <mergeCell ref="AC17:AD17"/>
    <mergeCell ref="AC18:AD18"/>
    <mergeCell ref="AC19:AD19"/>
    <mergeCell ref="AC20:AD20"/>
    <mergeCell ref="AA16:AB16"/>
    <mergeCell ref="AA17:AB17"/>
    <mergeCell ref="AA18:AB18"/>
    <mergeCell ref="AA19:AB19"/>
    <mergeCell ref="AA20:AB20"/>
    <mergeCell ref="AE21:AK21"/>
    <mergeCell ref="AE22:AK22"/>
    <mergeCell ref="AE23:AK23"/>
    <mergeCell ref="AE24:AK24"/>
    <mergeCell ref="I2:M2"/>
    <mergeCell ref="I3:M3"/>
    <mergeCell ref="I4:M4"/>
    <mergeCell ref="AE15:AK15"/>
    <mergeCell ref="AE16:AK16"/>
    <mergeCell ref="AE17:AK17"/>
    <mergeCell ref="AE18:AK18"/>
    <mergeCell ref="AE19:AK19"/>
    <mergeCell ref="AE20:AK20"/>
    <mergeCell ref="AC21:AD21"/>
    <mergeCell ref="AC22:AD22"/>
    <mergeCell ref="AC23:AD23"/>
    <mergeCell ref="AC24:AD24"/>
    <mergeCell ref="AE9:AK9"/>
    <mergeCell ref="AE10:AK10"/>
    <mergeCell ref="AE11:AK11"/>
    <mergeCell ref="AE12:AK12"/>
    <mergeCell ref="AE13:AK13"/>
    <mergeCell ref="AE14:AK14"/>
    <mergeCell ref="AA22:AB22"/>
    <mergeCell ref="Y23:Z23"/>
    <mergeCell ref="Y24:Z24"/>
    <mergeCell ref="Y14:Z14"/>
    <mergeCell ref="Y15:Z15"/>
    <mergeCell ref="Y16:Z16"/>
    <mergeCell ref="Y17:Z17"/>
    <mergeCell ref="Y18:Z18"/>
    <mergeCell ref="Y19:Z19"/>
    <mergeCell ref="Y20:Z20"/>
    <mergeCell ref="Y21:Z21"/>
    <mergeCell ref="Y22:Z22"/>
  </mergeCells>
  <phoneticPr fontId="3"/>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1A2A5-B5A2-4DEA-8C67-F53248AD8906}">
  <sheetPr codeName="Sheet68"/>
  <dimension ref="B1:AK30"/>
  <sheetViews>
    <sheetView workbookViewId="0">
      <selection activeCell="AQ12" sqref="AQ12"/>
    </sheetView>
  </sheetViews>
  <sheetFormatPr defaultColWidth="3.6640625" defaultRowHeight="13.2"/>
  <sheetData>
    <row r="1" spans="2:37" ht="13.8" thickBot="1"/>
    <row r="2" spans="2:37">
      <c r="B2" s="205" t="s">
        <v>95</v>
      </c>
      <c r="C2" s="206"/>
      <c r="D2" s="206"/>
      <c r="E2" s="206"/>
      <c r="F2" s="211" t="s">
        <v>93</v>
      </c>
      <c r="G2" s="211"/>
      <c r="H2" s="212"/>
      <c r="I2" s="196" t="s">
        <v>830</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84</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819</v>
      </c>
      <c r="D9" s="189"/>
      <c r="E9" s="189"/>
      <c r="F9" s="189"/>
      <c r="G9" s="189"/>
      <c r="H9" s="189"/>
      <c r="I9" s="189" t="s">
        <v>822</v>
      </c>
      <c r="J9" s="189"/>
      <c r="K9" s="189"/>
      <c r="L9" s="189"/>
      <c r="M9" s="189"/>
      <c r="N9" s="189"/>
      <c r="O9" s="189"/>
      <c r="P9" s="189"/>
      <c r="Q9" s="189" t="s">
        <v>219</v>
      </c>
      <c r="R9" s="189"/>
      <c r="S9" s="189"/>
      <c r="T9" s="189"/>
      <c r="U9" s="189"/>
      <c r="V9" s="189"/>
      <c r="W9" s="189"/>
      <c r="X9" s="189"/>
      <c r="Y9" s="189" t="s">
        <v>149</v>
      </c>
      <c r="Z9" s="189"/>
      <c r="AA9" s="189"/>
      <c r="AB9" s="189"/>
      <c r="AC9" s="189" t="s">
        <v>151</v>
      </c>
      <c r="AD9" s="189"/>
      <c r="AE9" s="189" t="s">
        <v>1536</v>
      </c>
      <c r="AF9" s="189"/>
      <c r="AG9" s="189"/>
      <c r="AH9" s="189"/>
      <c r="AI9" s="189"/>
      <c r="AJ9" s="189"/>
      <c r="AK9" s="191"/>
    </row>
    <row r="10" spans="2:37">
      <c r="B10" s="3">
        <v>2</v>
      </c>
      <c r="C10" s="189" t="s">
        <v>820</v>
      </c>
      <c r="D10" s="189"/>
      <c r="E10" s="189"/>
      <c r="F10" s="189"/>
      <c r="G10" s="189"/>
      <c r="H10" s="189"/>
      <c r="I10" s="189" t="s">
        <v>823</v>
      </c>
      <c r="J10" s="189"/>
      <c r="K10" s="189"/>
      <c r="L10" s="189"/>
      <c r="M10" s="189"/>
      <c r="N10" s="189"/>
      <c r="O10" s="189"/>
      <c r="P10" s="189"/>
      <c r="Q10" s="189" t="s">
        <v>220</v>
      </c>
      <c r="R10" s="189"/>
      <c r="S10" s="189"/>
      <c r="T10" s="189"/>
      <c r="U10" s="189"/>
      <c r="V10" s="189"/>
      <c r="W10" s="189"/>
      <c r="X10" s="189"/>
      <c r="Y10" s="189"/>
      <c r="Z10" s="189"/>
      <c r="AA10" s="189"/>
      <c r="AB10" s="189"/>
      <c r="AC10" s="189" t="s">
        <v>151</v>
      </c>
      <c r="AD10" s="189"/>
      <c r="AE10" s="189" t="s">
        <v>490</v>
      </c>
      <c r="AF10" s="189"/>
      <c r="AG10" s="189"/>
      <c r="AH10" s="189"/>
      <c r="AI10" s="189"/>
      <c r="AJ10" s="189"/>
      <c r="AK10" s="191"/>
    </row>
    <row r="11" spans="2:37">
      <c r="B11" s="3">
        <v>3</v>
      </c>
      <c r="C11" s="189" t="s">
        <v>821</v>
      </c>
      <c r="D11" s="189"/>
      <c r="E11" s="189"/>
      <c r="F11" s="189"/>
      <c r="G11" s="189"/>
      <c r="H11" s="189"/>
      <c r="I11" s="189" t="s">
        <v>1535</v>
      </c>
      <c r="J11" s="189"/>
      <c r="K11" s="189"/>
      <c r="L11" s="189"/>
      <c r="M11" s="189"/>
      <c r="N11" s="189"/>
      <c r="O11" s="189"/>
      <c r="P11" s="189"/>
      <c r="Q11" s="189" t="s">
        <v>220</v>
      </c>
      <c r="R11" s="189"/>
      <c r="S11" s="189"/>
      <c r="T11" s="189"/>
      <c r="U11" s="189"/>
      <c r="V11" s="189"/>
      <c r="W11" s="189"/>
      <c r="X11" s="189"/>
      <c r="Y11" s="189"/>
      <c r="Z11" s="189"/>
      <c r="AA11" s="189"/>
      <c r="AB11" s="189"/>
      <c r="AC11" s="189" t="s">
        <v>151</v>
      </c>
      <c r="AD11" s="189"/>
      <c r="AE11" s="189"/>
      <c r="AF11" s="189"/>
      <c r="AG11" s="189"/>
      <c r="AH11" s="189"/>
      <c r="AI11" s="189"/>
      <c r="AJ11" s="189"/>
      <c r="AK11" s="191"/>
    </row>
    <row r="12" spans="2:37">
      <c r="B12" s="3">
        <v>4</v>
      </c>
      <c r="C12" s="189" t="s">
        <v>478</v>
      </c>
      <c r="D12" s="189"/>
      <c r="E12" s="189"/>
      <c r="F12" s="189"/>
      <c r="G12" s="189"/>
      <c r="H12" s="189"/>
      <c r="I12" s="189" t="s">
        <v>824</v>
      </c>
      <c r="J12" s="189"/>
      <c r="K12" s="189"/>
      <c r="L12" s="189"/>
      <c r="M12" s="189"/>
      <c r="N12" s="189"/>
      <c r="O12" s="189"/>
      <c r="P12" s="189"/>
      <c r="Q12" s="189" t="s">
        <v>221</v>
      </c>
      <c r="R12" s="189"/>
      <c r="S12" s="189"/>
      <c r="T12" s="189"/>
      <c r="U12" s="189"/>
      <c r="V12" s="189"/>
      <c r="W12" s="189"/>
      <c r="X12" s="189"/>
      <c r="Y12" s="189"/>
      <c r="Z12" s="189"/>
      <c r="AA12" s="189"/>
      <c r="AB12" s="189"/>
      <c r="AC12" s="189" t="s">
        <v>151</v>
      </c>
      <c r="AD12" s="189"/>
      <c r="AE12" s="189"/>
      <c r="AF12" s="189"/>
      <c r="AG12" s="189"/>
      <c r="AH12" s="189"/>
      <c r="AI12" s="189"/>
      <c r="AJ12" s="189"/>
      <c r="AK12" s="191"/>
    </row>
    <row r="13" spans="2:37">
      <c r="B13" s="3">
        <v>5</v>
      </c>
      <c r="C13" s="189" t="s">
        <v>479</v>
      </c>
      <c r="D13" s="189"/>
      <c r="E13" s="189"/>
      <c r="F13" s="189"/>
      <c r="G13" s="189"/>
      <c r="H13" s="189"/>
      <c r="I13" s="189" t="s">
        <v>825</v>
      </c>
      <c r="J13" s="189"/>
      <c r="K13" s="189"/>
      <c r="L13" s="189"/>
      <c r="M13" s="189"/>
      <c r="N13" s="189"/>
      <c r="O13" s="189"/>
      <c r="P13" s="189"/>
      <c r="Q13" s="189" t="s">
        <v>219</v>
      </c>
      <c r="R13" s="189"/>
      <c r="S13" s="189"/>
      <c r="T13" s="189"/>
      <c r="U13" s="189"/>
      <c r="V13" s="189"/>
      <c r="W13" s="189"/>
      <c r="X13" s="189"/>
      <c r="Y13" s="189"/>
      <c r="Z13" s="189"/>
      <c r="AA13" s="189"/>
      <c r="AB13" s="189"/>
      <c r="AC13" s="189" t="s">
        <v>151</v>
      </c>
      <c r="AD13" s="189"/>
      <c r="AE13" s="189">
        <v>99999</v>
      </c>
      <c r="AF13" s="189"/>
      <c r="AG13" s="189"/>
      <c r="AH13" s="189"/>
      <c r="AI13" s="189"/>
      <c r="AJ13" s="189"/>
      <c r="AK13" s="191"/>
    </row>
    <row r="14" spans="2:37">
      <c r="B14" s="3">
        <v>6</v>
      </c>
      <c r="C14" s="189" t="s">
        <v>480</v>
      </c>
      <c r="D14" s="189"/>
      <c r="E14" s="189"/>
      <c r="F14" s="189"/>
      <c r="G14" s="189"/>
      <c r="H14" s="189"/>
      <c r="I14" s="189" t="s">
        <v>826</v>
      </c>
      <c r="J14" s="189"/>
      <c r="K14" s="189"/>
      <c r="L14" s="189"/>
      <c r="M14" s="189"/>
      <c r="N14" s="189"/>
      <c r="O14" s="189"/>
      <c r="P14" s="189"/>
      <c r="Q14" s="189" t="s">
        <v>221</v>
      </c>
      <c r="R14" s="189"/>
      <c r="S14" s="189"/>
      <c r="T14" s="189"/>
      <c r="U14" s="189"/>
      <c r="V14" s="189"/>
      <c r="W14" s="189"/>
      <c r="X14" s="189"/>
      <c r="Y14" s="189"/>
      <c r="Z14" s="189"/>
      <c r="AA14" s="189"/>
      <c r="AB14" s="189"/>
      <c r="AC14" s="189" t="s">
        <v>151</v>
      </c>
      <c r="AD14" s="189"/>
      <c r="AE14" s="189"/>
      <c r="AF14" s="189"/>
      <c r="AG14" s="189"/>
      <c r="AH14" s="189"/>
      <c r="AI14" s="189"/>
      <c r="AJ14" s="189"/>
      <c r="AK14" s="191"/>
    </row>
    <row r="15" spans="2:37">
      <c r="B15" s="3">
        <v>7</v>
      </c>
      <c r="C15" s="189" t="s">
        <v>206</v>
      </c>
      <c r="D15" s="189"/>
      <c r="E15" s="189"/>
      <c r="F15" s="189"/>
      <c r="G15" s="189"/>
      <c r="H15" s="189"/>
      <c r="I15" s="189" t="s">
        <v>827</v>
      </c>
      <c r="J15" s="189"/>
      <c r="K15" s="189"/>
      <c r="L15" s="189"/>
      <c r="M15" s="189"/>
      <c r="N15" s="189"/>
      <c r="O15" s="189"/>
      <c r="P15" s="189"/>
      <c r="Q15" s="189" t="s">
        <v>219</v>
      </c>
      <c r="R15" s="189"/>
      <c r="S15" s="189"/>
      <c r="T15" s="189"/>
      <c r="U15" s="189"/>
      <c r="V15" s="189"/>
      <c r="W15" s="189"/>
      <c r="X15" s="189"/>
      <c r="Y15" s="189"/>
      <c r="Z15" s="189"/>
      <c r="AA15" s="189"/>
      <c r="AB15" s="189"/>
      <c r="AC15" s="189" t="s">
        <v>151</v>
      </c>
      <c r="AD15" s="189"/>
      <c r="AE15" s="189">
        <v>99999</v>
      </c>
      <c r="AF15" s="189"/>
      <c r="AG15" s="189"/>
      <c r="AH15" s="189"/>
      <c r="AI15" s="189"/>
      <c r="AJ15" s="189"/>
      <c r="AK15" s="191"/>
    </row>
    <row r="16" spans="2:37">
      <c r="B16" s="3">
        <v>8</v>
      </c>
      <c r="C16" s="189" t="s">
        <v>207</v>
      </c>
      <c r="D16" s="189"/>
      <c r="E16" s="189"/>
      <c r="F16" s="189"/>
      <c r="G16" s="189"/>
      <c r="H16" s="189"/>
      <c r="I16" s="189" t="s">
        <v>828</v>
      </c>
      <c r="J16" s="189"/>
      <c r="K16" s="189"/>
      <c r="L16" s="189"/>
      <c r="M16" s="189"/>
      <c r="N16" s="189"/>
      <c r="O16" s="189"/>
      <c r="P16" s="189"/>
      <c r="Q16" s="189" t="s">
        <v>219</v>
      </c>
      <c r="R16" s="189"/>
      <c r="S16" s="189"/>
      <c r="T16" s="189"/>
      <c r="U16" s="189"/>
      <c r="V16" s="189"/>
      <c r="W16" s="189"/>
      <c r="X16" s="189"/>
      <c r="Y16" s="189"/>
      <c r="Z16" s="189"/>
      <c r="AA16" s="189"/>
      <c r="AB16" s="189"/>
      <c r="AC16" s="189" t="s">
        <v>151</v>
      </c>
      <c r="AD16" s="189"/>
      <c r="AE16" s="189">
        <v>0</v>
      </c>
      <c r="AF16" s="189"/>
      <c r="AG16" s="189"/>
      <c r="AH16" s="189"/>
      <c r="AI16" s="189"/>
      <c r="AJ16" s="189"/>
      <c r="AK16" s="191"/>
    </row>
    <row r="17" spans="2:37" ht="13.8" thickBot="1">
      <c r="B17" s="4">
        <v>9</v>
      </c>
      <c r="C17" s="190" t="s">
        <v>208</v>
      </c>
      <c r="D17" s="190"/>
      <c r="E17" s="190"/>
      <c r="F17" s="190"/>
      <c r="G17" s="190"/>
      <c r="H17" s="190"/>
      <c r="I17" s="190" t="s">
        <v>829</v>
      </c>
      <c r="J17" s="190"/>
      <c r="K17" s="190"/>
      <c r="L17" s="190"/>
      <c r="M17" s="190"/>
      <c r="N17" s="190"/>
      <c r="O17" s="190"/>
      <c r="P17" s="190"/>
      <c r="Q17" s="190" t="s">
        <v>222</v>
      </c>
      <c r="R17" s="190"/>
      <c r="S17" s="190"/>
      <c r="T17" s="190"/>
      <c r="U17" s="190"/>
      <c r="V17" s="190"/>
      <c r="W17" s="190"/>
      <c r="X17" s="190"/>
      <c r="Y17" s="190"/>
      <c r="Z17" s="190"/>
      <c r="AA17" s="190"/>
      <c r="AB17" s="190"/>
      <c r="AC17" s="190" t="s">
        <v>151</v>
      </c>
      <c r="AD17" s="190"/>
      <c r="AE17" s="190" t="s">
        <v>224</v>
      </c>
      <c r="AF17" s="190"/>
      <c r="AG17" s="190"/>
      <c r="AH17" s="190"/>
      <c r="AI17" s="190"/>
      <c r="AJ17" s="190"/>
      <c r="AK17" s="198"/>
    </row>
    <row r="20" spans="2:37" ht="15" thickBot="1">
      <c r="B20" s="7" t="s">
        <v>994</v>
      </c>
    </row>
    <row r="21" spans="2:37">
      <c r="B21" s="10" t="s">
        <v>7</v>
      </c>
      <c r="C21" s="226" t="s">
        <v>998</v>
      </c>
      <c r="D21" s="226"/>
      <c r="E21" s="226"/>
      <c r="F21" s="226"/>
      <c r="G21" s="226"/>
      <c r="H21" s="226"/>
      <c r="I21" s="226"/>
      <c r="J21" s="226"/>
      <c r="K21" s="226"/>
      <c r="L21" s="226" t="s">
        <v>1000</v>
      </c>
      <c r="M21" s="226"/>
      <c r="N21" s="226"/>
      <c r="O21" s="226"/>
      <c r="P21" s="226"/>
      <c r="Q21" s="226"/>
      <c r="R21" s="226"/>
      <c r="S21" s="226"/>
      <c r="T21" s="226"/>
      <c r="U21" s="226"/>
      <c r="V21" s="226" t="s">
        <v>1002</v>
      </c>
      <c r="W21" s="226"/>
      <c r="X21" s="226"/>
      <c r="Y21" s="226" t="s">
        <v>1004</v>
      </c>
      <c r="Z21" s="226"/>
      <c r="AA21" s="226"/>
      <c r="AB21" s="226" t="s">
        <v>1005</v>
      </c>
      <c r="AC21" s="226"/>
      <c r="AD21" s="226"/>
      <c r="AE21" s="226"/>
      <c r="AF21" s="226"/>
      <c r="AG21" s="226"/>
      <c r="AH21" s="226"/>
      <c r="AI21" s="227"/>
    </row>
    <row r="22" spans="2:37" ht="13.8" thickBot="1">
      <c r="B22" s="12">
        <v>1</v>
      </c>
      <c r="C22" s="238" t="s">
        <v>1137</v>
      </c>
      <c r="D22" s="238"/>
      <c r="E22" s="238"/>
      <c r="F22" s="238"/>
      <c r="G22" s="238"/>
      <c r="H22" s="238"/>
      <c r="I22" s="238"/>
      <c r="J22" s="238"/>
      <c r="K22" s="238"/>
      <c r="L22" s="238" t="s">
        <v>1138</v>
      </c>
      <c r="M22" s="238"/>
      <c r="N22" s="238"/>
      <c r="O22" s="238"/>
      <c r="P22" s="238"/>
      <c r="Q22" s="238"/>
      <c r="R22" s="238"/>
      <c r="S22" s="238"/>
      <c r="T22" s="238"/>
      <c r="U22" s="238"/>
      <c r="V22" s="238" t="s">
        <v>1022</v>
      </c>
      <c r="W22" s="238"/>
      <c r="X22" s="238"/>
      <c r="Y22" s="238" t="s">
        <v>1022</v>
      </c>
      <c r="Z22" s="238"/>
      <c r="AA22" s="238"/>
      <c r="AB22" s="238"/>
      <c r="AC22" s="238"/>
      <c r="AD22" s="238"/>
      <c r="AE22" s="238"/>
      <c r="AF22" s="238"/>
      <c r="AG22" s="238"/>
      <c r="AH22" s="238"/>
      <c r="AI22" s="239"/>
    </row>
    <row r="23" spans="2:37">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row>
    <row r="24" spans="2:37" ht="15" thickBot="1">
      <c r="B24" s="7" t="s">
        <v>995</v>
      </c>
    </row>
    <row r="25" spans="2:37">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7"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row r="28" spans="2:37" ht="15" thickBot="1">
      <c r="B28" s="7" t="s">
        <v>996</v>
      </c>
    </row>
    <row r="29" spans="2:37">
      <c r="B29" s="14" t="s">
        <v>1069</v>
      </c>
      <c r="C29" s="226" t="s">
        <v>1070</v>
      </c>
      <c r="D29" s="226"/>
      <c r="E29" s="226"/>
      <c r="F29" s="226"/>
      <c r="G29" s="226"/>
      <c r="H29" s="226"/>
      <c r="I29" s="226"/>
      <c r="J29" s="226"/>
      <c r="K29" s="226"/>
      <c r="L29" s="226"/>
      <c r="M29" s="226" t="s">
        <v>1072</v>
      </c>
      <c r="N29" s="226"/>
      <c r="O29" s="226"/>
      <c r="P29" s="226"/>
      <c r="Q29" s="226"/>
      <c r="R29" s="226"/>
      <c r="S29" s="226"/>
      <c r="T29" s="226"/>
      <c r="U29" s="226" t="s">
        <v>1154</v>
      </c>
      <c r="V29" s="226"/>
      <c r="W29" s="226"/>
      <c r="X29" s="226"/>
      <c r="Y29" s="226"/>
      <c r="Z29" s="226"/>
      <c r="AA29" s="226"/>
      <c r="AB29" s="226"/>
      <c r="AC29" s="226"/>
      <c r="AD29" s="226" t="s">
        <v>1155</v>
      </c>
      <c r="AE29" s="226"/>
      <c r="AF29" s="226"/>
      <c r="AG29" s="226"/>
      <c r="AH29" s="226"/>
      <c r="AI29" s="227"/>
    </row>
    <row r="30" spans="2:37" ht="13.8" thickBot="1">
      <c r="B30" s="4"/>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8"/>
    </row>
  </sheetData>
  <mergeCells count="103">
    <mergeCell ref="C26:L26"/>
    <mergeCell ref="M26:T26"/>
    <mergeCell ref="U26:AC26"/>
    <mergeCell ref="AD26:AI26"/>
    <mergeCell ref="C29:L29"/>
    <mergeCell ref="M29:T29"/>
    <mergeCell ref="U29:AC29"/>
    <mergeCell ref="AD29:AI29"/>
    <mergeCell ref="C30:L30"/>
    <mergeCell ref="M30:T30"/>
    <mergeCell ref="U30:AC30"/>
    <mergeCell ref="AD30:AI30"/>
    <mergeCell ref="C22:K22"/>
    <mergeCell ref="L22:U22"/>
    <mergeCell ref="V22:X22"/>
    <mergeCell ref="Y22:AA22"/>
    <mergeCell ref="AB22:AI22"/>
    <mergeCell ref="C25:L25"/>
    <mergeCell ref="M25:T25"/>
    <mergeCell ref="U25:AC25"/>
    <mergeCell ref="AD25:AI25"/>
    <mergeCell ref="Y21:AA21"/>
    <mergeCell ref="Q8:X8"/>
    <mergeCell ref="AA8:AB8"/>
    <mergeCell ref="AC8:AD8"/>
    <mergeCell ref="AC16:AD16"/>
    <mergeCell ref="AC17:AD17"/>
    <mergeCell ref="C9:H9"/>
    <mergeCell ref="C10:H10"/>
    <mergeCell ref="C11:H11"/>
    <mergeCell ref="C12:H12"/>
    <mergeCell ref="C13:H13"/>
    <mergeCell ref="C14:H14"/>
    <mergeCell ref="AB21:AI21"/>
    <mergeCell ref="AE17:AK17"/>
    <mergeCell ref="AC10:AD10"/>
    <mergeCell ref="AC11:AD11"/>
    <mergeCell ref="AC12:AD12"/>
    <mergeCell ref="AC13:AD13"/>
    <mergeCell ref="AC14:AD14"/>
    <mergeCell ref="AC15:AD15"/>
    <mergeCell ref="Q12:X12"/>
    <mergeCell ref="Q13:X13"/>
    <mergeCell ref="AE12:AK12"/>
    <mergeCell ref="AE13:AK13"/>
    <mergeCell ref="B2:E4"/>
    <mergeCell ref="F2:H2"/>
    <mergeCell ref="F3:H3"/>
    <mergeCell ref="F4:H4"/>
    <mergeCell ref="C8:H8"/>
    <mergeCell ref="I8:P8"/>
    <mergeCell ref="C21:K21"/>
    <mergeCell ref="L21:U21"/>
    <mergeCell ref="V21:X21"/>
    <mergeCell ref="C17:H17"/>
    <mergeCell ref="I9:P9"/>
    <mergeCell ref="I10:P10"/>
    <mergeCell ref="I11:P11"/>
    <mergeCell ref="I12:P12"/>
    <mergeCell ref="I13:P13"/>
    <mergeCell ref="I14:P14"/>
    <mergeCell ref="I15:P15"/>
    <mergeCell ref="I16:P16"/>
    <mergeCell ref="I17:P17"/>
    <mergeCell ref="C15:H15"/>
    <mergeCell ref="C16:H16"/>
    <mergeCell ref="Q15:X15"/>
    <mergeCell ref="Q10:X10"/>
    <mergeCell ref="Q11:X11"/>
    <mergeCell ref="AE14:AK14"/>
    <mergeCell ref="AE15:AK15"/>
    <mergeCell ref="Q16:X16"/>
    <mergeCell ref="I2:N2"/>
    <mergeCell ref="I3:N3"/>
    <mergeCell ref="I4:N4"/>
    <mergeCell ref="AE10:AK10"/>
    <mergeCell ref="AE11:AK11"/>
    <mergeCell ref="AA15:AB15"/>
    <mergeCell ref="AA16:AB16"/>
    <mergeCell ref="AE16:AK16"/>
    <mergeCell ref="Q14:X14"/>
    <mergeCell ref="AA13:AB13"/>
    <mergeCell ref="AA14:AB14"/>
    <mergeCell ref="AE8:AK8"/>
    <mergeCell ref="AA9:AB9"/>
    <mergeCell ref="AC9:AD9"/>
    <mergeCell ref="Q9:X9"/>
    <mergeCell ref="AE9:AK9"/>
    <mergeCell ref="Q17:X17"/>
    <mergeCell ref="AA10:AB10"/>
    <mergeCell ref="AA11:AB11"/>
    <mergeCell ref="AA12:AB12"/>
    <mergeCell ref="Y8:Z8"/>
    <mergeCell ref="Y9:Z9"/>
    <mergeCell ref="Y10:Z10"/>
    <mergeCell ref="Y11:Z11"/>
    <mergeCell ref="Y12:Z12"/>
    <mergeCell ref="Y13:Z13"/>
    <mergeCell ref="Y14:Z14"/>
    <mergeCell ref="Y15:Z15"/>
    <mergeCell ref="Y16:Z16"/>
    <mergeCell ref="Y17:Z17"/>
    <mergeCell ref="AA17:AB17"/>
  </mergeCells>
  <phoneticPr fontId="3"/>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FF3FD-0EB9-4019-97F0-6F135604409C}">
  <sheetPr codeName="Sheet69"/>
  <dimension ref="B1:AK43"/>
  <sheetViews>
    <sheetView workbookViewId="0">
      <selection activeCell="C14" sqref="C14:H14"/>
    </sheetView>
  </sheetViews>
  <sheetFormatPr defaultColWidth="3.6640625" defaultRowHeight="13.2"/>
  <sheetData>
    <row r="1" spans="2:37" ht="13.8" thickBot="1"/>
    <row r="2" spans="2:37">
      <c r="B2" s="205" t="s">
        <v>95</v>
      </c>
      <c r="C2" s="206"/>
      <c r="D2" s="206"/>
      <c r="E2" s="206"/>
      <c r="F2" s="211" t="s">
        <v>93</v>
      </c>
      <c r="G2" s="211"/>
      <c r="H2" s="212"/>
      <c r="I2" s="196" t="s">
        <v>841</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831</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832</v>
      </c>
      <c r="D9" s="189"/>
      <c r="E9" s="189"/>
      <c r="F9" s="189"/>
      <c r="G9" s="189"/>
      <c r="H9" s="189"/>
      <c r="I9" s="189" t="s">
        <v>353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833</v>
      </c>
      <c r="D10" s="189"/>
      <c r="E10" s="189"/>
      <c r="F10" s="189"/>
      <c r="G10" s="189"/>
      <c r="H10" s="189"/>
      <c r="I10" s="189" t="s">
        <v>839</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344</v>
      </c>
      <c r="D11" s="189"/>
      <c r="E11" s="189"/>
      <c r="F11" s="189"/>
      <c r="G11" s="189"/>
      <c r="H11" s="189"/>
      <c r="I11" s="189" t="s">
        <v>354</v>
      </c>
      <c r="J11" s="189"/>
      <c r="K11" s="189"/>
      <c r="L11" s="189"/>
      <c r="M11" s="189"/>
      <c r="N11" s="189"/>
      <c r="O11" s="189"/>
      <c r="P11" s="189"/>
      <c r="Q11" s="189" t="s">
        <v>146</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c r="B12" s="3">
        <v>4</v>
      </c>
      <c r="C12" s="189" t="s">
        <v>834</v>
      </c>
      <c r="D12" s="189"/>
      <c r="E12" s="189"/>
      <c r="F12" s="189"/>
      <c r="G12" s="189"/>
      <c r="H12" s="189"/>
      <c r="I12" s="189" t="s">
        <v>1124</v>
      </c>
      <c r="J12" s="189"/>
      <c r="K12" s="189"/>
      <c r="L12" s="189"/>
      <c r="M12" s="189"/>
      <c r="N12" s="189"/>
      <c r="O12" s="189"/>
      <c r="P12" s="189"/>
      <c r="Q12" s="189" t="s">
        <v>146</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835</v>
      </c>
      <c r="D13" s="189"/>
      <c r="E13" s="189"/>
      <c r="F13" s="189"/>
      <c r="G13" s="189"/>
      <c r="H13" s="189"/>
      <c r="I13" s="189" t="s">
        <v>1123</v>
      </c>
      <c r="J13" s="189"/>
      <c r="K13" s="189"/>
      <c r="L13" s="189"/>
      <c r="M13" s="189"/>
      <c r="N13" s="189"/>
      <c r="O13" s="189"/>
      <c r="P13" s="189"/>
      <c r="Q13" s="189" t="s">
        <v>146</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182</v>
      </c>
      <c r="D14" s="189"/>
      <c r="E14" s="189"/>
      <c r="F14" s="189"/>
      <c r="G14" s="189"/>
      <c r="H14" s="189"/>
      <c r="I14" s="189" t="s">
        <v>384</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s="113" customFormat="1">
      <c r="B15" s="114">
        <v>6</v>
      </c>
      <c r="C15" s="189" t="s">
        <v>1619</v>
      </c>
      <c r="D15" s="189"/>
      <c r="E15" s="189"/>
      <c r="F15" s="189"/>
      <c r="G15" s="189"/>
      <c r="H15" s="189"/>
      <c r="I15" s="189" t="s">
        <v>1620</v>
      </c>
      <c r="J15" s="189"/>
      <c r="K15" s="189"/>
      <c r="L15" s="189"/>
      <c r="M15" s="189"/>
      <c r="N15" s="189"/>
      <c r="O15" s="189"/>
      <c r="P15" s="189"/>
      <c r="Q15" s="189" t="s">
        <v>1707</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7</v>
      </c>
      <c r="C16" s="189" t="s">
        <v>836</v>
      </c>
      <c r="D16" s="189"/>
      <c r="E16" s="189"/>
      <c r="F16" s="189"/>
      <c r="G16" s="189"/>
      <c r="H16" s="189"/>
      <c r="I16" s="189" t="s">
        <v>385</v>
      </c>
      <c r="J16" s="189"/>
      <c r="K16" s="189"/>
      <c r="L16" s="189"/>
      <c r="M16" s="189"/>
      <c r="N16" s="189"/>
      <c r="O16" s="189"/>
      <c r="P16" s="189"/>
      <c r="Q16" s="189" t="s">
        <v>143</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87">
        <v>8</v>
      </c>
      <c r="C17" s="189" t="s">
        <v>374</v>
      </c>
      <c r="D17" s="189"/>
      <c r="E17" s="189"/>
      <c r="F17" s="189"/>
      <c r="G17" s="189"/>
      <c r="H17" s="189"/>
      <c r="I17" s="189" t="s">
        <v>386</v>
      </c>
      <c r="J17" s="189"/>
      <c r="K17" s="189"/>
      <c r="L17" s="189"/>
      <c r="M17" s="189"/>
      <c r="N17" s="189"/>
      <c r="O17" s="189"/>
      <c r="P17" s="189"/>
      <c r="Q17" s="189" t="s">
        <v>143</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87">
        <v>10</v>
      </c>
      <c r="C18" s="189" t="s">
        <v>549</v>
      </c>
      <c r="D18" s="189"/>
      <c r="E18" s="189"/>
      <c r="F18" s="189"/>
      <c r="G18" s="189"/>
      <c r="H18" s="189"/>
      <c r="I18" s="189" t="s">
        <v>134</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87">
        <v>11</v>
      </c>
      <c r="C19" s="189" t="s">
        <v>548</v>
      </c>
      <c r="D19" s="189"/>
      <c r="E19" s="189"/>
      <c r="F19" s="189"/>
      <c r="G19" s="189"/>
      <c r="H19" s="189"/>
      <c r="I19" s="189" t="s">
        <v>133</v>
      </c>
      <c r="J19" s="189"/>
      <c r="K19" s="189"/>
      <c r="L19" s="189"/>
      <c r="M19" s="189"/>
      <c r="N19" s="189"/>
      <c r="O19" s="189"/>
      <c r="P19" s="189"/>
      <c r="Q19" s="189" t="s">
        <v>146</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87">
        <v>12</v>
      </c>
      <c r="C20" s="189" t="s">
        <v>837</v>
      </c>
      <c r="D20" s="189"/>
      <c r="E20" s="189"/>
      <c r="F20" s="189"/>
      <c r="G20" s="189"/>
      <c r="H20" s="189"/>
      <c r="I20" s="189" t="s">
        <v>135</v>
      </c>
      <c r="J20" s="189"/>
      <c r="K20" s="189"/>
      <c r="L20" s="189"/>
      <c r="M20" s="189"/>
      <c r="N20" s="189"/>
      <c r="O20" s="189"/>
      <c r="P20" s="189"/>
      <c r="Q20" s="189" t="s">
        <v>840</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87">
        <v>13</v>
      </c>
      <c r="C21" s="189" t="s">
        <v>351</v>
      </c>
      <c r="D21" s="189"/>
      <c r="E21" s="189"/>
      <c r="F21" s="189"/>
      <c r="G21" s="189"/>
      <c r="H21" s="189"/>
      <c r="I21" s="189" t="s">
        <v>387</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87">
        <v>14</v>
      </c>
      <c r="C22" s="189" t="s">
        <v>838</v>
      </c>
      <c r="D22" s="189"/>
      <c r="E22" s="189"/>
      <c r="F22" s="189"/>
      <c r="G22" s="189"/>
      <c r="H22" s="189"/>
      <c r="I22" s="189" t="s">
        <v>388</v>
      </c>
      <c r="J22" s="189"/>
      <c r="K22" s="189"/>
      <c r="L22" s="189"/>
      <c r="M22" s="189"/>
      <c r="N22" s="189"/>
      <c r="O22" s="189"/>
      <c r="P22" s="189"/>
      <c r="Q22" s="189" t="s">
        <v>367</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87">
        <v>15</v>
      </c>
      <c r="C23" s="189" t="s">
        <v>1527</v>
      </c>
      <c r="D23" s="189"/>
      <c r="E23" s="189"/>
      <c r="F23" s="189"/>
      <c r="G23" s="189"/>
      <c r="H23" s="189"/>
      <c r="I23" s="189" t="s">
        <v>389</v>
      </c>
      <c r="J23" s="189"/>
      <c r="K23" s="189"/>
      <c r="L23" s="189"/>
      <c r="M23" s="189"/>
      <c r="N23" s="189"/>
      <c r="O23" s="189"/>
      <c r="P23" s="189"/>
      <c r="Q23" s="189" t="s">
        <v>840</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87">
        <v>16</v>
      </c>
      <c r="C24" s="189" t="s">
        <v>1813</v>
      </c>
      <c r="D24" s="189"/>
      <c r="E24" s="189"/>
      <c r="F24" s="189"/>
      <c r="G24" s="189"/>
      <c r="H24" s="189"/>
      <c r="I24" s="189" t="s">
        <v>390</v>
      </c>
      <c r="J24" s="189"/>
      <c r="K24" s="189"/>
      <c r="L24" s="189"/>
      <c r="M24" s="189"/>
      <c r="N24" s="189"/>
      <c r="O24" s="189"/>
      <c r="P24" s="189"/>
      <c r="Q24" s="189" t="s">
        <v>367</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87">
        <v>17</v>
      </c>
      <c r="C25" s="189" t="s">
        <v>118</v>
      </c>
      <c r="D25" s="189"/>
      <c r="E25" s="189"/>
      <c r="F25" s="189"/>
      <c r="G25" s="189"/>
      <c r="H25" s="189"/>
      <c r="I25" s="189" t="s">
        <v>159</v>
      </c>
      <c r="J25" s="189"/>
      <c r="K25" s="189"/>
      <c r="L25" s="189"/>
      <c r="M25" s="189"/>
      <c r="N25" s="189"/>
      <c r="O25" s="189"/>
      <c r="P25" s="189"/>
      <c r="Q25" s="189" t="s">
        <v>144</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87">
        <v>18</v>
      </c>
      <c r="C26" s="189" t="s">
        <v>231</v>
      </c>
      <c r="D26" s="189"/>
      <c r="E26" s="189"/>
      <c r="F26" s="189"/>
      <c r="G26" s="189"/>
      <c r="H26" s="189"/>
      <c r="I26" s="189" t="s">
        <v>235</v>
      </c>
      <c r="J26" s="189"/>
      <c r="K26" s="189"/>
      <c r="L26" s="189"/>
      <c r="M26" s="189"/>
      <c r="N26" s="189"/>
      <c r="O26" s="189"/>
      <c r="P26" s="189"/>
      <c r="Q26" s="189" t="s">
        <v>146</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87">
        <v>19</v>
      </c>
      <c r="C27" s="189" t="s">
        <v>730</v>
      </c>
      <c r="D27" s="189"/>
      <c r="E27" s="189"/>
      <c r="F27" s="189"/>
      <c r="G27" s="189"/>
      <c r="H27" s="189"/>
      <c r="I27" s="189" t="s">
        <v>732</v>
      </c>
      <c r="J27" s="189"/>
      <c r="K27" s="189"/>
      <c r="L27" s="189"/>
      <c r="M27" s="189"/>
      <c r="N27" s="189"/>
      <c r="O27" s="189"/>
      <c r="P27" s="189"/>
      <c r="Q27" s="189" t="s">
        <v>146</v>
      </c>
      <c r="R27" s="189"/>
      <c r="S27" s="189"/>
      <c r="T27" s="189"/>
      <c r="U27" s="189"/>
      <c r="V27" s="189"/>
      <c r="W27" s="189"/>
      <c r="X27" s="189"/>
      <c r="Y27" s="189"/>
      <c r="Z27" s="189"/>
      <c r="AA27" s="189"/>
      <c r="AB27" s="189"/>
      <c r="AC27" s="189"/>
      <c r="AD27" s="189"/>
      <c r="AE27" s="189"/>
      <c r="AF27" s="189"/>
      <c r="AG27" s="189"/>
      <c r="AH27" s="189"/>
      <c r="AI27" s="189"/>
      <c r="AJ27" s="189"/>
      <c r="AK27" s="191"/>
    </row>
    <row r="28" spans="2:37" ht="13.8" thickBot="1">
      <c r="B28" s="4">
        <v>20</v>
      </c>
      <c r="C28" s="190" t="s">
        <v>675</v>
      </c>
      <c r="D28" s="190"/>
      <c r="E28" s="190"/>
      <c r="F28" s="190"/>
      <c r="G28" s="190"/>
      <c r="H28" s="190"/>
      <c r="I28" s="190" t="s">
        <v>678</v>
      </c>
      <c r="J28" s="190"/>
      <c r="K28" s="190"/>
      <c r="L28" s="190"/>
      <c r="M28" s="190"/>
      <c r="N28" s="190"/>
      <c r="O28" s="190"/>
      <c r="P28" s="190"/>
      <c r="Q28" s="190" t="s">
        <v>146</v>
      </c>
      <c r="R28" s="190"/>
      <c r="S28" s="190"/>
      <c r="T28" s="190"/>
      <c r="U28" s="190"/>
      <c r="V28" s="190"/>
      <c r="W28" s="190"/>
      <c r="X28" s="190"/>
      <c r="Y28" s="190"/>
      <c r="Z28" s="190"/>
      <c r="AA28" s="190"/>
      <c r="AB28" s="190"/>
      <c r="AC28" s="190"/>
      <c r="AD28" s="190"/>
      <c r="AE28" s="190"/>
      <c r="AF28" s="190"/>
      <c r="AG28" s="190"/>
      <c r="AH28" s="190"/>
      <c r="AI28" s="190"/>
      <c r="AJ28" s="190"/>
      <c r="AK28" s="198"/>
    </row>
    <row r="31" spans="2:37" ht="15" thickBot="1">
      <c r="B31" s="7" t="s">
        <v>994</v>
      </c>
    </row>
    <row r="32" spans="2:37" ht="13.8" thickBot="1">
      <c r="B32" s="10" t="s">
        <v>7</v>
      </c>
      <c r="C32" s="226" t="s">
        <v>998</v>
      </c>
      <c r="D32" s="226"/>
      <c r="E32" s="226"/>
      <c r="F32" s="226"/>
      <c r="G32" s="226"/>
      <c r="H32" s="226"/>
      <c r="I32" s="226"/>
      <c r="J32" s="226"/>
      <c r="K32" s="226"/>
      <c r="L32" s="226" t="s">
        <v>1000</v>
      </c>
      <c r="M32" s="226"/>
      <c r="N32" s="226"/>
      <c r="O32" s="226"/>
      <c r="P32" s="226"/>
      <c r="Q32" s="226"/>
      <c r="R32" s="226"/>
      <c r="S32" s="226"/>
      <c r="T32" s="226"/>
      <c r="U32" s="226"/>
      <c r="V32" s="226" t="s">
        <v>1002</v>
      </c>
      <c r="W32" s="226"/>
      <c r="X32" s="226"/>
      <c r="Y32" s="226" t="s">
        <v>1004</v>
      </c>
      <c r="Z32" s="226"/>
      <c r="AA32" s="226"/>
      <c r="AB32" s="226" t="s">
        <v>1005</v>
      </c>
      <c r="AC32" s="226"/>
      <c r="AD32" s="226"/>
      <c r="AE32" s="226"/>
      <c r="AF32" s="226"/>
      <c r="AG32" s="226"/>
      <c r="AH32" s="226"/>
      <c r="AI32" s="227"/>
    </row>
    <row r="33" spans="2:35">
      <c r="B33" s="295">
        <v>1</v>
      </c>
      <c r="C33" s="298" t="s">
        <v>1139</v>
      </c>
      <c r="D33" s="299"/>
      <c r="E33" s="299"/>
      <c r="F33" s="299"/>
      <c r="G33" s="299"/>
      <c r="H33" s="299"/>
      <c r="I33" s="299"/>
      <c r="J33" s="299"/>
      <c r="K33" s="300"/>
      <c r="L33" s="246" t="s">
        <v>1040</v>
      </c>
      <c r="M33" s="246"/>
      <c r="N33" s="246"/>
      <c r="O33" s="246"/>
      <c r="P33" s="246"/>
      <c r="Q33" s="246"/>
      <c r="R33" s="246"/>
      <c r="S33" s="246"/>
      <c r="T33" s="246"/>
      <c r="U33" s="246"/>
      <c r="V33" s="298" t="s">
        <v>1022</v>
      </c>
      <c r="W33" s="299"/>
      <c r="X33" s="300"/>
      <c r="Y33" s="298" t="s">
        <v>1022</v>
      </c>
      <c r="Z33" s="299"/>
      <c r="AA33" s="300"/>
      <c r="AB33" s="298"/>
      <c r="AC33" s="299"/>
      <c r="AD33" s="299"/>
      <c r="AE33" s="299"/>
      <c r="AF33" s="299"/>
      <c r="AG33" s="299"/>
      <c r="AH33" s="299"/>
      <c r="AI33" s="307"/>
    </row>
    <row r="34" spans="2:35">
      <c r="B34" s="296"/>
      <c r="C34" s="301"/>
      <c r="D34" s="302"/>
      <c r="E34" s="302"/>
      <c r="F34" s="302"/>
      <c r="G34" s="302"/>
      <c r="H34" s="302"/>
      <c r="I34" s="302"/>
      <c r="J34" s="302"/>
      <c r="K34" s="303"/>
      <c r="L34" s="284" t="s">
        <v>1140</v>
      </c>
      <c r="M34" s="284"/>
      <c r="N34" s="284"/>
      <c r="O34" s="284"/>
      <c r="P34" s="284"/>
      <c r="Q34" s="284"/>
      <c r="R34" s="284"/>
      <c r="S34" s="284"/>
      <c r="T34" s="284"/>
      <c r="U34" s="284"/>
      <c r="V34" s="301"/>
      <c r="W34" s="302"/>
      <c r="X34" s="303"/>
      <c r="Y34" s="301"/>
      <c r="Z34" s="302"/>
      <c r="AA34" s="303"/>
      <c r="AB34" s="301"/>
      <c r="AC34" s="302"/>
      <c r="AD34" s="302"/>
      <c r="AE34" s="302"/>
      <c r="AF34" s="302"/>
      <c r="AG34" s="302"/>
      <c r="AH34" s="302"/>
      <c r="AI34" s="308"/>
    </row>
    <row r="35" spans="2:35" ht="13.8" thickBot="1">
      <c r="B35" s="297"/>
      <c r="C35" s="304"/>
      <c r="D35" s="305"/>
      <c r="E35" s="305"/>
      <c r="F35" s="305"/>
      <c r="G35" s="305"/>
      <c r="H35" s="305"/>
      <c r="I35" s="305"/>
      <c r="J35" s="305"/>
      <c r="K35" s="306"/>
      <c r="L35" s="259" t="s">
        <v>354</v>
      </c>
      <c r="M35" s="259"/>
      <c r="N35" s="259"/>
      <c r="O35" s="259"/>
      <c r="P35" s="259"/>
      <c r="Q35" s="259"/>
      <c r="R35" s="259"/>
      <c r="S35" s="259"/>
      <c r="T35" s="259"/>
      <c r="U35" s="259"/>
      <c r="V35" s="304"/>
      <c r="W35" s="305"/>
      <c r="X35" s="306"/>
      <c r="Y35" s="304"/>
      <c r="Z35" s="305"/>
      <c r="AA35" s="306"/>
      <c r="AB35" s="304"/>
      <c r="AC35" s="305"/>
      <c r="AD35" s="305"/>
      <c r="AE35" s="305"/>
      <c r="AF35" s="305"/>
      <c r="AG35" s="305"/>
      <c r="AH35" s="305"/>
      <c r="AI35" s="309"/>
    </row>
    <row r="37" spans="2:35" ht="15" thickBot="1">
      <c r="B37" s="7" t="s">
        <v>995</v>
      </c>
    </row>
    <row r="38" spans="2:35">
      <c r="B38" s="14" t="s">
        <v>1069</v>
      </c>
      <c r="C38" s="226" t="s">
        <v>1070</v>
      </c>
      <c r="D38" s="226"/>
      <c r="E38" s="226"/>
      <c r="F38" s="226"/>
      <c r="G38" s="226"/>
      <c r="H38" s="226"/>
      <c r="I38" s="226"/>
      <c r="J38" s="226"/>
      <c r="K38" s="226"/>
      <c r="L38" s="226"/>
      <c r="M38" s="226" t="s">
        <v>1072</v>
      </c>
      <c r="N38" s="226"/>
      <c r="O38" s="226"/>
      <c r="P38" s="226"/>
      <c r="Q38" s="226"/>
      <c r="R38" s="226"/>
      <c r="S38" s="226"/>
      <c r="T38" s="226"/>
      <c r="U38" s="226" t="s">
        <v>1154</v>
      </c>
      <c r="V38" s="226"/>
      <c r="W38" s="226"/>
      <c r="X38" s="226"/>
      <c r="Y38" s="226"/>
      <c r="Z38" s="226"/>
      <c r="AA38" s="226"/>
      <c r="AB38" s="226"/>
      <c r="AC38" s="226"/>
      <c r="AD38" s="226" t="s">
        <v>1155</v>
      </c>
      <c r="AE38" s="226"/>
      <c r="AF38" s="226"/>
      <c r="AG38" s="226"/>
      <c r="AH38" s="226"/>
      <c r="AI38" s="227"/>
    </row>
    <row r="39" spans="2:35" ht="13.8" thickBot="1">
      <c r="B39" s="4"/>
      <c r="C39" s="190"/>
      <c r="D39" s="190"/>
      <c r="E39" s="190"/>
      <c r="F39" s="190"/>
      <c r="G39" s="190"/>
      <c r="H39" s="190"/>
      <c r="I39" s="190"/>
      <c r="J39" s="190"/>
      <c r="K39" s="190"/>
      <c r="L39" s="190"/>
      <c r="M39" s="190"/>
      <c r="N39" s="190"/>
      <c r="O39" s="190"/>
      <c r="P39" s="190"/>
      <c r="Q39" s="190"/>
      <c r="R39" s="190"/>
      <c r="S39" s="190"/>
      <c r="T39" s="190"/>
      <c r="U39" s="190"/>
      <c r="V39" s="190"/>
      <c r="W39" s="190"/>
      <c r="X39" s="190"/>
      <c r="Y39" s="190"/>
      <c r="Z39" s="190"/>
      <c r="AA39" s="190"/>
      <c r="AB39" s="190"/>
      <c r="AC39" s="190"/>
      <c r="AD39" s="190"/>
      <c r="AE39" s="190"/>
      <c r="AF39" s="190"/>
      <c r="AG39" s="190"/>
      <c r="AH39" s="190"/>
      <c r="AI39" s="198"/>
    </row>
    <row r="41" spans="2:35" ht="15" thickBot="1">
      <c r="B41" s="7" t="s">
        <v>996</v>
      </c>
    </row>
    <row r="42" spans="2:35">
      <c r="B42" s="14" t="s">
        <v>1069</v>
      </c>
      <c r="C42" s="226" t="s">
        <v>1070</v>
      </c>
      <c r="D42" s="226"/>
      <c r="E42" s="226"/>
      <c r="F42" s="226"/>
      <c r="G42" s="226"/>
      <c r="H42" s="226"/>
      <c r="I42" s="226"/>
      <c r="J42" s="226"/>
      <c r="K42" s="226"/>
      <c r="L42" s="226"/>
      <c r="M42" s="226" t="s">
        <v>1072</v>
      </c>
      <c r="N42" s="226"/>
      <c r="O42" s="226"/>
      <c r="P42" s="226"/>
      <c r="Q42" s="226"/>
      <c r="R42" s="226"/>
      <c r="S42" s="226"/>
      <c r="T42" s="226"/>
      <c r="U42" s="226" t="s">
        <v>1154</v>
      </c>
      <c r="V42" s="226"/>
      <c r="W42" s="226"/>
      <c r="X42" s="226"/>
      <c r="Y42" s="226"/>
      <c r="Z42" s="226"/>
      <c r="AA42" s="226"/>
      <c r="AB42" s="226"/>
      <c r="AC42" s="226"/>
      <c r="AD42" s="226" t="s">
        <v>1155</v>
      </c>
      <c r="AE42" s="226"/>
      <c r="AF42" s="226"/>
      <c r="AG42" s="226"/>
      <c r="AH42" s="226"/>
      <c r="AI42" s="227"/>
    </row>
    <row r="43" spans="2:35" ht="13.8" thickBot="1">
      <c r="B43" s="4"/>
      <c r="C43" s="190"/>
      <c r="D43" s="190"/>
      <c r="E43" s="190"/>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8"/>
    </row>
  </sheetData>
  <mergeCells count="183">
    <mergeCell ref="C43:L43"/>
    <mergeCell ref="M43:T43"/>
    <mergeCell ref="U43:AC43"/>
    <mergeCell ref="AD43:AI43"/>
    <mergeCell ref="C38:L38"/>
    <mergeCell ref="M38:T38"/>
    <mergeCell ref="U38:AC38"/>
    <mergeCell ref="AD38:AI38"/>
    <mergeCell ref="C39:L39"/>
    <mergeCell ref="M39:T39"/>
    <mergeCell ref="U39:AC39"/>
    <mergeCell ref="AD39:AI39"/>
    <mergeCell ref="C42:L42"/>
    <mergeCell ref="M42:T42"/>
    <mergeCell ref="U42:AC42"/>
    <mergeCell ref="AD42:AI42"/>
    <mergeCell ref="B33:B35"/>
    <mergeCell ref="C33:K35"/>
    <mergeCell ref="V33:X35"/>
    <mergeCell ref="Y33:AA35"/>
    <mergeCell ref="AB33:AI35"/>
    <mergeCell ref="C32:K32"/>
    <mergeCell ref="L32:U32"/>
    <mergeCell ref="V32:X32"/>
    <mergeCell ref="Y32:AA32"/>
    <mergeCell ref="AB32:AI32"/>
    <mergeCell ref="L33:U33"/>
    <mergeCell ref="L34:U34"/>
    <mergeCell ref="L35:U35"/>
    <mergeCell ref="Q8:X8"/>
    <mergeCell ref="AA8:AB8"/>
    <mergeCell ref="AC8:AD8"/>
    <mergeCell ref="AE8:AK8"/>
    <mergeCell ref="AA9:AB9"/>
    <mergeCell ref="AC9:AD9"/>
    <mergeCell ref="B2:E4"/>
    <mergeCell ref="F2:H2"/>
    <mergeCell ref="F3:H3"/>
    <mergeCell ref="F4:H4"/>
    <mergeCell ref="C8:H8"/>
    <mergeCell ref="I8:P8"/>
    <mergeCell ref="I2:O2"/>
    <mergeCell ref="I3:O3"/>
    <mergeCell ref="I4:O4"/>
    <mergeCell ref="Y8:Z8"/>
    <mergeCell ref="Y9:Z9"/>
    <mergeCell ref="AE9:AK9"/>
    <mergeCell ref="C11:H11"/>
    <mergeCell ref="C12:H12"/>
    <mergeCell ref="C13:H13"/>
    <mergeCell ref="C14:H14"/>
    <mergeCell ref="AA10:AB10"/>
    <mergeCell ref="AC10:AD10"/>
    <mergeCell ref="AA11:AB11"/>
    <mergeCell ref="AC11:AD11"/>
    <mergeCell ref="AA12:AB12"/>
    <mergeCell ref="AC12:AD12"/>
    <mergeCell ref="Y10:Z10"/>
    <mergeCell ref="Y11:Z11"/>
    <mergeCell ref="Y12:Z12"/>
    <mergeCell ref="Y13:Z13"/>
    <mergeCell ref="Y14:Z14"/>
    <mergeCell ref="C28:H28"/>
    <mergeCell ref="I9:P9"/>
    <mergeCell ref="I10:P10"/>
    <mergeCell ref="I11:P11"/>
    <mergeCell ref="I12:P12"/>
    <mergeCell ref="I13:P13"/>
    <mergeCell ref="I14:P14"/>
    <mergeCell ref="I16:P16"/>
    <mergeCell ref="I17:P17"/>
    <mergeCell ref="I18:P18"/>
    <mergeCell ref="C22:H22"/>
    <mergeCell ref="C23:H23"/>
    <mergeCell ref="C24:H24"/>
    <mergeCell ref="C25:H25"/>
    <mergeCell ref="C26:H26"/>
    <mergeCell ref="C27:H27"/>
    <mergeCell ref="C16:H16"/>
    <mergeCell ref="C17:H17"/>
    <mergeCell ref="C18:H18"/>
    <mergeCell ref="C19:H19"/>
    <mergeCell ref="C20:H20"/>
    <mergeCell ref="C21:H21"/>
    <mergeCell ref="C9:H9"/>
    <mergeCell ref="C10:H10"/>
    <mergeCell ref="I27:P27"/>
    <mergeCell ref="I28:P28"/>
    <mergeCell ref="Q9:X9"/>
    <mergeCell ref="Q10:X10"/>
    <mergeCell ref="Q11:X11"/>
    <mergeCell ref="Q12:X12"/>
    <mergeCell ref="Q13:X13"/>
    <mergeCell ref="Q14:X14"/>
    <mergeCell ref="I19:P19"/>
    <mergeCell ref="I20:P20"/>
    <mergeCell ref="I21:P21"/>
    <mergeCell ref="I22:P22"/>
    <mergeCell ref="I23:P23"/>
    <mergeCell ref="I24:P24"/>
    <mergeCell ref="AA27:AB27"/>
    <mergeCell ref="AA28:AB28"/>
    <mergeCell ref="Q28:X28"/>
    <mergeCell ref="AA13:AB13"/>
    <mergeCell ref="AA14:AB14"/>
    <mergeCell ref="AA16:AB16"/>
    <mergeCell ref="AA17:AB17"/>
    <mergeCell ref="AA18:AB18"/>
    <mergeCell ref="AA19:AB19"/>
    <mergeCell ref="AA20:AB20"/>
    <mergeCell ref="AA21:AB21"/>
    <mergeCell ref="AA22:AB22"/>
    <mergeCell ref="Q22:X22"/>
    <mergeCell ref="Q23:X23"/>
    <mergeCell ref="Q24:X24"/>
    <mergeCell ref="Q25:X25"/>
    <mergeCell ref="Q26:X26"/>
    <mergeCell ref="Q27:X27"/>
    <mergeCell ref="Q16:X16"/>
    <mergeCell ref="Q17:X17"/>
    <mergeCell ref="Q18:X18"/>
    <mergeCell ref="Q19:X19"/>
    <mergeCell ref="Q20:X20"/>
    <mergeCell ref="Q21:X21"/>
    <mergeCell ref="AE10:AK10"/>
    <mergeCell ref="AE11:AK11"/>
    <mergeCell ref="AE12:AK12"/>
    <mergeCell ref="AE13:AK13"/>
    <mergeCell ref="AE14:AK14"/>
    <mergeCell ref="AE16:AK16"/>
    <mergeCell ref="AC20:AD20"/>
    <mergeCell ref="AC21:AD21"/>
    <mergeCell ref="AC13:AD13"/>
    <mergeCell ref="AC14:AD14"/>
    <mergeCell ref="AC16:AD16"/>
    <mergeCell ref="AC17:AD17"/>
    <mergeCell ref="AC18:AD18"/>
    <mergeCell ref="AC19:AD19"/>
    <mergeCell ref="AE27:AK27"/>
    <mergeCell ref="AE28:AK28"/>
    <mergeCell ref="AE17:AK17"/>
    <mergeCell ref="AE18:AK18"/>
    <mergeCell ref="AE19:AK19"/>
    <mergeCell ref="AE20:AK20"/>
    <mergeCell ref="AE21:AK21"/>
    <mergeCell ref="AE22:AK22"/>
    <mergeCell ref="AC26:AD26"/>
    <mergeCell ref="AC27:AD27"/>
    <mergeCell ref="AC28:AD28"/>
    <mergeCell ref="AC22:AD22"/>
    <mergeCell ref="AC23:AD23"/>
    <mergeCell ref="AC24:AD24"/>
    <mergeCell ref="AC25:AD25"/>
    <mergeCell ref="AE23:AK23"/>
    <mergeCell ref="AE24:AK24"/>
    <mergeCell ref="Y27:Z27"/>
    <mergeCell ref="Y28:Z28"/>
    <mergeCell ref="Y16:Z16"/>
    <mergeCell ref="Y17:Z17"/>
    <mergeCell ref="Y18:Z18"/>
    <mergeCell ref="Y19:Z19"/>
    <mergeCell ref="Y20:Z20"/>
    <mergeCell ref="Y21:Z21"/>
    <mergeCell ref="Y22:Z22"/>
    <mergeCell ref="Y23:Z23"/>
    <mergeCell ref="Y24:Z24"/>
    <mergeCell ref="C15:H15"/>
    <mergeCell ref="I15:P15"/>
    <mergeCell ref="Q15:X15"/>
    <mergeCell ref="Y15:Z15"/>
    <mergeCell ref="AA15:AB15"/>
    <mergeCell ref="AC15:AD15"/>
    <mergeCell ref="AE15:AK15"/>
    <mergeCell ref="Y25:Z25"/>
    <mergeCell ref="Y26:Z26"/>
    <mergeCell ref="AE25:AK25"/>
    <mergeCell ref="AE26:AK26"/>
    <mergeCell ref="AA23:AB23"/>
    <mergeCell ref="AA24:AB24"/>
    <mergeCell ref="AA25:AB25"/>
    <mergeCell ref="AA26:AB26"/>
    <mergeCell ref="I25:P25"/>
    <mergeCell ref="I26:P26"/>
  </mergeCells>
  <phoneticPr fontId="3"/>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1829B-929B-4114-9A8D-463D33BBBBE4}">
  <sheetPr codeName="Sheet71"/>
  <dimension ref="B1:AK30"/>
  <sheetViews>
    <sheetView workbookViewId="0">
      <selection activeCell="Y10" sqref="Y10:AD10"/>
    </sheetView>
  </sheetViews>
  <sheetFormatPr defaultColWidth="3.6640625" defaultRowHeight="13.2"/>
  <sheetData>
    <row r="1" spans="2:37" ht="13.8" thickBot="1"/>
    <row r="2" spans="2:37">
      <c r="B2" s="205" t="s">
        <v>95</v>
      </c>
      <c r="C2" s="206"/>
      <c r="D2" s="206"/>
      <c r="E2" s="206"/>
      <c r="F2" s="211" t="s">
        <v>93</v>
      </c>
      <c r="G2" s="211"/>
      <c r="H2" s="212"/>
      <c r="I2" s="196" t="s">
        <v>848</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842</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844</v>
      </c>
      <c r="D9" s="189"/>
      <c r="E9" s="189"/>
      <c r="F9" s="189"/>
      <c r="G9" s="189"/>
      <c r="H9" s="189"/>
      <c r="I9" s="189" t="s">
        <v>845</v>
      </c>
      <c r="J9" s="189"/>
      <c r="K9" s="189"/>
      <c r="L9" s="189"/>
      <c r="M9" s="189"/>
      <c r="N9" s="189"/>
      <c r="O9" s="189"/>
      <c r="P9" s="189"/>
      <c r="Q9" s="189" t="s">
        <v>146</v>
      </c>
      <c r="R9" s="189"/>
      <c r="S9" s="189"/>
      <c r="T9" s="189"/>
      <c r="U9" s="189"/>
      <c r="V9" s="189"/>
      <c r="W9" s="189"/>
      <c r="X9" s="189"/>
      <c r="Y9" s="240" t="s">
        <v>149</v>
      </c>
      <c r="Z9" s="242"/>
      <c r="AA9" s="240"/>
      <c r="AB9" s="242"/>
      <c r="AC9" s="189" t="s">
        <v>151</v>
      </c>
      <c r="AD9" s="189"/>
      <c r="AE9" s="189"/>
      <c r="AF9" s="189"/>
      <c r="AG9" s="189"/>
      <c r="AH9" s="189"/>
      <c r="AI9" s="189"/>
      <c r="AJ9" s="189"/>
      <c r="AK9" s="191"/>
    </row>
    <row r="10" spans="2:37">
      <c r="B10" s="3">
        <v>2</v>
      </c>
      <c r="C10" s="189" t="s">
        <v>691</v>
      </c>
      <c r="D10" s="189"/>
      <c r="E10" s="189"/>
      <c r="F10" s="189"/>
      <c r="G10" s="189"/>
      <c r="H10" s="189"/>
      <c r="I10" s="189" t="s">
        <v>354</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311" t="s">
        <v>1704</v>
      </c>
      <c r="D11" s="311"/>
      <c r="E11" s="311"/>
      <c r="F11" s="311"/>
      <c r="G11" s="311"/>
      <c r="H11" s="311"/>
      <c r="I11" s="311" t="s">
        <v>1484</v>
      </c>
      <c r="J11" s="311"/>
      <c r="K11" s="311"/>
      <c r="L11" s="311"/>
      <c r="M11" s="311"/>
      <c r="N11" s="311"/>
      <c r="O11" s="311"/>
      <c r="P11" s="311"/>
      <c r="Q11" s="311" t="s">
        <v>1189</v>
      </c>
      <c r="R11" s="311"/>
      <c r="S11" s="311"/>
      <c r="T11" s="311"/>
      <c r="U11" s="311"/>
      <c r="V11" s="311"/>
      <c r="W11" s="311"/>
      <c r="X11" s="311"/>
      <c r="Y11" s="189" t="s">
        <v>149</v>
      </c>
      <c r="Z11" s="189"/>
      <c r="AA11" s="189"/>
      <c r="AB11" s="189"/>
      <c r="AC11" s="189" t="s">
        <v>151</v>
      </c>
      <c r="AD11" s="189"/>
      <c r="AE11" s="260" t="s">
        <v>1446</v>
      </c>
      <c r="AF11" s="189"/>
      <c r="AG11" s="189"/>
      <c r="AH11" s="189"/>
      <c r="AI11" s="189"/>
      <c r="AJ11" s="189"/>
      <c r="AK11" s="191"/>
    </row>
    <row r="12" spans="2:37" s="171" customFormat="1">
      <c r="B12" s="173">
        <v>3</v>
      </c>
      <c r="C12" s="245" t="s">
        <v>603</v>
      </c>
      <c r="D12" s="245"/>
      <c r="E12" s="245"/>
      <c r="F12" s="245"/>
      <c r="G12" s="245"/>
      <c r="H12" s="245"/>
      <c r="I12" s="245" t="s">
        <v>638</v>
      </c>
      <c r="J12" s="245"/>
      <c r="K12" s="245"/>
      <c r="L12" s="245"/>
      <c r="M12" s="245"/>
      <c r="N12" s="245"/>
      <c r="O12" s="245"/>
      <c r="P12" s="245"/>
      <c r="Q12" s="245" t="s">
        <v>146</v>
      </c>
      <c r="R12" s="245"/>
      <c r="S12" s="245"/>
      <c r="T12" s="245"/>
      <c r="U12" s="245"/>
      <c r="V12" s="245"/>
      <c r="W12" s="245"/>
      <c r="X12" s="245"/>
      <c r="Y12" s="245"/>
      <c r="Z12" s="245"/>
      <c r="AA12" s="245"/>
      <c r="AB12" s="245"/>
      <c r="AC12" s="245"/>
      <c r="AD12" s="245"/>
      <c r="AE12" s="245"/>
      <c r="AF12" s="245"/>
      <c r="AG12" s="245"/>
      <c r="AH12" s="245"/>
      <c r="AI12" s="245"/>
      <c r="AJ12" s="245"/>
      <c r="AK12" s="310"/>
    </row>
    <row r="13" spans="2:37">
      <c r="B13" s="3">
        <v>4</v>
      </c>
      <c r="C13" s="189" t="s">
        <v>350</v>
      </c>
      <c r="D13" s="189"/>
      <c r="E13" s="189"/>
      <c r="F13" s="189"/>
      <c r="G13" s="189"/>
      <c r="H13" s="189"/>
      <c r="I13" s="189" t="s">
        <v>846</v>
      </c>
      <c r="J13" s="189"/>
      <c r="K13" s="189"/>
      <c r="L13" s="189"/>
      <c r="M13" s="189"/>
      <c r="N13" s="189"/>
      <c r="O13" s="189"/>
      <c r="P13" s="189"/>
      <c r="Q13" s="189" t="s">
        <v>221</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5</v>
      </c>
      <c r="C14" s="189" t="s">
        <v>843</v>
      </c>
      <c r="D14" s="189"/>
      <c r="E14" s="189"/>
      <c r="F14" s="189"/>
      <c r="G14" s="189"/>
      <c r="H14" s="189"/>
      <c r="I14" s="189" t="s">
        <v>847</v>
      </c>
      <c r="J14" s="189"/>
      <c r="K14" s="189"/>
      <c r="L14" s="189"/>
      <c r="M14" s="189"/>
      <c r="N14" s="189"/>
      <c r="O14" s="189"/>
      <c r="P14" s="189"/>
      <c r="Q14" s="189" t="s">
        <v>221</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6</v>
      </c>
      <c r="C15" s="189" t="s">
        <v>334</v>
      </c>
      <c r="D15" s="189"/>
      <c r="E15" s="189"/>
      <c r="F15" s="189"/>
      <c r="G15" s="189"/>
      <c r="H15" s="189"/>
      <c r="I15" s="189" t="s">
        <v>336</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ht="13.8" thickBot="1">
      <c r="B16" s="4">
        <v>7</v>
      </c>
      <c r="C16" s="190" t="s">
        <v>349</v>
      </c>
      <c r="D16" s="190"/>
      <c r="E16" s="190"/>
      <c r="F16" s="190"/>
      <c r="G16" s="190"/>
      <c r="H16" s="190"/>
      <c r="I16" s="190" t="s">
        <v>364</v>
      </c>
      <c r="J16" s="190"/>
      <c r="K16" s="190"/>
      <c r="L16" s="190"/>
      <c r="M16" s="190"/>
      <c r="N16" s="190"/>
      <c r="O16" s="190"/>
      <c r="P16" s="190"/>
      <c r="Q16" s="190" t="s">
        <v>146</v>
      </c>
      <c r="R16" s="190"/>
      <c r="S16" s="190"/>
      <c r="T16" s="190"/>
      <c r="U16" s="190"/>
      <c r="V16" s="190"/>
      <c r="W16" s="190"/>
      <c r="X16" s="190"/>
      <c r="Y16" s="190"/>
      <c r="Z16" s="190"/>
      <c r="AA16" s="190"/>
      <c r="AB16" s="190"/>
      <c r="AC16" s="190"/>
      <c r="AD16" s="190"/>
      <c r="AE16" s="190"/>
      <c r="AF16" s="190"/>
      <c r="AG16" s="190"/>
      <c r="AH16" s="190"/>
      <c r="AI16" s="190"/>
      <c r="AJ16" s="190"/>
      <c r="AK16" s="198"/>
    </row>
    <row r="19" spans="2:35" ht="15" thickBot="1">
      <c r="B19" s="7" t="s">
        <v>994</v>
      </c>
    </row>
    <row r="20" spans="2:35" ht="13.8" thickBot="1">
      <c r="B20" s="10" t="s">
        <v>7</v>
      </c>
      <c r="C20" s="226" t="s">
        <v>998</v>
      </c>
      <c r="D20" s="226"/>
      <c r="E20" s="226"/>
      <c r="F20" s="226"/>
      <c r="G20" s="226"/>
      <c r="H20" s="226"/>
      <c r="I20" s="226"/>
      <c r="J20" s="226"/>
      <c r="K20" s="226"/>
      <c r="L20" s="226" t="s">
        <v>1000</v>
      </c>
      <c r="M20" s="226"/>
      <c r="N20" s="226"/>
      <c r="O20" s="226"/>
      <c r="P20" s="226"/>
      <c r="Q20" s="226"/>
      <c r="R20" s="226"/>
      <c r="S20" s="226"/>
      <c r="T20" s="226"/>
      <c r="U20" s="226"/>
      <c r="V20" s="226" t="s">
        <v>1002</v>
      </c>
      <c r="W20" s="226"/>
      <c r="X20" s="226"/>
      <c r="Y20" s="226" t="s">
        <v>1004</v>
      </c>
      <c r="Z20" s="226"/>
      <c r="AA20" s="226"/>
      <c r="AB20" s="226" t="s">
        <v>1005</v>
      </c>
      <c r="AC20" s="226"/>
      <c r="AD20" s="226"/>
      <c r="AE20" s="226"/>
      <c r="AF20" s="226"/>
      <c r="AG20" s="226"/>
      <c r="AH20" s="226"/>
      <c r="AI20" s="227"/>
    </row>
    <row r="21" spans="2:35">
      <c r="B21" s="13">
        <v>1</v>
      </c>
      <c r="C21" s="247" t="s">
        <v>1141</v>
      </c>
      <c r="D21" s="247"/>
      <c r="E21" s="247"/>
      <c r="F21" s="247"/>
      <c r="G21" s="247"/>
      <c r="H21" s="247"/>
      <c r="I21" s="247"/>
      <c r="J21" s="247"/>
      <c r="K21" s="247"/>
      <c r="L21" s="246" t="s">
        <v>1142</v>
      </c>
      <c r="M21" s="246"/>
      <c r="N21" s="246"/>
      <c r="O21" s="246"/>
      <c r="P21" s="246"/>
      <c r="Q21" s="246"/>
      <c r="R21" s="246"/>
      <c r="S21" s="246"/>
      <c r="T21" s="246"/>
      <c r="U21" s="246"/>
      <c r="V21" s="247" t="s">
        <v>1022</v>
      </c>
      <c r="W21" s="247"/>
      <c r="X21" s="247"/>
      <c r="Y21" s="247" t="s">
        <v>1022</v>
      </c>
      <c r="Z21" s="247"/>
      <c r="AA21" s="247"/>
      <c r="AB21" s="248"/>
      <c r="AC21" s="248"/>
      <c r="AD21" s="248"/>
      <c r="AE21" s="248"/>
      <c r="AF21" s="248"/>
      <c r="AG21" s="248"/>
      <c r="AH21" s="248"/>
      <c r="AI21" s="249"/>
    </row>
    <row r="22" spans="2:35" ht="13.8" thickBot="1">
      <c r="B22" s="12">
        <v>2</v>
      </c>
      <c r="C22" s="238" t="s">
        <v>1143</v>
      </c>
      <c r="D22" s="238"/>
      <c r="E22" s="238"/>
      <c r="F22" s="238"/>
      <c r="G22" s="238"/>
      <c r="H22" s="238"/>
      <c r="I22" s="238"/>
      <c r="J22" s="238"/>
      <c r="K22" s="238"/>
      <c r="L22" s="238" t="s">
        <v>1093</v>
      </c>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9"/>
    </row>
    <row r="23" spans="2:35">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row>
    <row r="24" spans="2:35" ht="15" thickBot="1">
      <c r="B24" s="7" t="s">
        <v>995</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row r="28" spans="2:35" ht="15" thickBot="1">
      <c r="B28" s="7" t="s">
        <v>996</v>
      </c>
    </row>
    <row r="29" spans="2:35">
      <c r="B29" s="14" t="s">
        <v>1069</v>
      </c>
      <c r="C29" s="226" t="s">
        <v>1070</v>
      </c>
      <c r="D29" s="226"/>
      <c r="E29" s="226"/>
      <c r="F29" s="226"/>
      <c r="G29" s="226"/>
      <c r="H29" s="226"/>
      <c r="I29" s="226"/>
      <c r="J29" s="226"/>
      <c r="K29" s="226"/>
      <c r="L29" s="226"/>
      <c r="M29" s="226" t="s">
        <v>1072</v>
      </c>
      <c r="N29" s="226"/>
      <c r="O29" s="226"/>
      <c r="P29" s="226"/>
      <c r="Q29" s="226"/>
      <c r="R29" s="226"/>
      <c r="S29" s="226"/>
      <c r="T29" s="226"/>
      <c r="U29" s="226" t="s">
        <v>1154</v>
      </c>
      <c r="V29" s="226"/>
      <c r="W29" s="226"/>
      <c r="X29" s="226"/>
      <c r="Y29" s="226"/>
      <c r="Z29" s="226"/>
      <c r="AA29" s="226"/>
      <c r="AB29" s="226"/>
      <c r="AC29" s="226"/>
      <c r="AD29" s="226" t="s">
        <v>1155</v>
      </c>
      <c r="AE29" s="226"/>
      <c r="AF29" s="226"/>
      <c r="AG29" s="226"/>
      <c r="AH29" s="226"/>
      <c r="AI29" s="227"/>
    </row>
    <row r="30" spans="2:35" ht="13.8" thickBot="1">
      <c r="B30" s="4"/>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8"/>
    </row>
  </sheetData>
  <mergeCells count="101">
    <mergeCell ref="C30:L30"/>
    <mergeCell ref="M30:T30"/>
    <mergeCell ref="U30:AC30"/>
    <mergeCell ref="AD30:AI30"/>
    <mergeCell ref="C25:L25"/>
    <mergeCell ref="M25:T25"/>
    <mergeCell ref="U25:AC25"/>
    <mergeCell ref="AD25:AI25"/>
    <mergeCell ref="C26:L26"/>
    <mergeCell ref="M26:T26"/>
    <mergeCell ref="U26:AC26"/>
    <mergeCell ref="AD26:AI26"/>
    <mergeCell ref="C29:L29"/>
    <mergeCell ref="M29:T29"/>
    <mergeCell ref="U29:AC29"/>
    <mergeCell ref="AD29:AI29"/>
    <mergeCell ref="Y20:AA20"/>
    <mergeCell ref="AB20:AI20"/>
    <mergeCell ref="C21:K21"/>
    <mergeCell ref="L21:U21"/>
    <mergeCell ref="V21:X21"/>
    <mergeCell ref="Y21:AA21"/>
    <mergeCell ref="AB21:AI21"/>
    <mergeCell ref="C22:K22"/>
    <mergeCell ref="L22:U22"/>
    <mergeCell ref="V22:X22"/>
    <mergeCell ref="Y22:AA22"/>
    <mergeCell ref="AB22:AI22"/>
    <mergeCell ref="I8:P8"/>
    <mergeCell ref="I2:N2"/>
    <mergeCell ref="I3:N3"/>
    <mergeCell ref="I4:N4"/>
    <mergeCell ref="C20:K20"/>
    <mergeCell ref="L20:U20"/>
    <mergeCell ref="B2:E4"/>
    <mergeCell ref="F2:H2"/>
    <mergeCell ref="F3:H3"/>
    <mergeCell ref="F4:H4"/>
    <mergeCell ref="C8:H8"/>
    <mergeCell ref="Q8:X8"/>
    <mergeCell ref="Q9:X9"/>
    <mergeCell ref="C16:H16"/>
    <mergeCell ref="I9:P9"/>
    <mergeCell ref="I10:P10"/>
    <mergeCell ref="V20:X20"/>
    <mergeCell ref="C9:H9"/>
    <mergeCell ref="C10:H10"/>
    <mergeCell ref="C11:H11"/>
    <mergeCell ref="C13:H13"/>
    <mergeCell ref="C14:H14"/>
    <mergeCell ref="C12:H12"/>
    <mergeCell ref="I11:P11"/>
    <mergeCell ref="I13:P13"/>
    <mergeCell ref="I14:P14"/>
    <mergeCell ref="I12:P12"/>
    <mergeCell ref="C15:H15"/>
    <mergeCell ref="AA16:AB16"/>
    <mergeCell ref="Q10:X10"/>
    <mergeCell ref="Q11:X11"/>
    <mergeCell ref="Q13:X13"/>
    <mergeCell ref="Q14:X14"/>
    <mergeCell ref="Q15:X15"/>
    <mergeCell ref="Q16:X16"/>
    <mergeCell ref="AA10:AB10"/>
    <mergeCell ref="AA11:AB11"/>
    <mergeCell ref="AA13:AB13"/>
    <mergeCell ref="AA14:AB14"/>
    <mergeCell ref="AA15:AB15"/>
    <mergeCell ref="Y14:Z14"/>
    <mergeCell ref="Y15:Z15"/>
    <mergeCell ref="Y16:Z16"/>
    <mergeCell ref="I15:P15"/>
    <mergeCell ref="I16:P16"/>
    <mergeCell ref="Y13:Z13"/>
    <mergeCell ref="Q12:X12"/>
    <mergeCell ref="Y12:Z12"/>
    <mergeCell ref="AE16:AK16"/>
    <mergeCell ref="AC10:AD10"/>
    <mergeCell ref="AC11:AD11"/>
    <mergeCell ref="AC13:AD13"/>
    <mergeCell ref="AC14:AD14"/>
    <mergeCell ref="AC15:AD15"/>
    <mergeCell ref="AC16:AD16"/>
    <mergeCell ref="AE10:AK10"/>
    <mergeCell ref="AE11:AK11"/>
    <mergeCell ref="AE13:AK13"/>
    <mergeCell ref="AE14:AK14"/>
    <mergeCell ref="AE15:AK15"/>
    <mergeCell ref="AA12:AB12"/>
    <mergeCell ref="AC12:AD12"/>
    <mergeCell ref="AE12:AK12"/>
    <mergeCell ref="Y8:Z8"/>
    <mergeCell ref="Y9:Z9"/>
    <mergeCell ref="Y10:Z10"/>
    <mergeCell ref="Y11:Z11"/>
    <mergeCell ref="AA8:AB8"/>
    <mergeCell ref="AC8:AD8"/>
    <mergeCell ref="AE8:AK8"/>
    <mergeCell ref="AA9:AB9"/>
    <mergeCell ref="AC9:AD9"/>
    <mergeCell ref="AE9:AK9"/>
  </mergeCells>
  <phoneticPr fontId="3"/>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85B0-DB8A-426C-8708-0252F5E9FC63}">
  <sheetPr codeName="Sheet72"/>
  <dimension ref="B1:AK29"/>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860</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849</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449</v>
      </c>
      <c r="D9" s="189"/>
      <c r="E9" s="189"/>
      <c r="F9" s="189"/>
      <c r="G9" s="189"/>
      <c r="H9" s="189"/>
      <c r="I9" s="189" t="s">
        <v>451</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850</v>
      </c>
      <c r="D10" s="189"/>
      <c r="E10" s="189"/>
      <c r="F10" s="189"/>
      <c r="G10" s="189"/>
      <c r="H10" s="189"/>
      <c r="I10" s="189" t="s">
        <v>854</v>
      </c>
      <c r="J10" s="189"/>
      <c r="K10" s="189"/>
      <c r="L10" s="189"/>
      <c r="M10" s="189"/>
      <c r="N10" s="189"/>
      <c r="O10" s="189"/>
      <c r="P10" s="189"/>
      <c r="Q10" s="189" t="s">
        <v>859</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851</v>
      </c>
      <c r="D11" s="189"/>
      <c r="E11" s="189"/>
      <c r="F11" s="189"/>
      <c r="G11" s="189"/>
      <c r="H11" s="189"/>
      <c r="I11" s="189" t="s">
        <v>855</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852</v>
      </c>
      <c r="D12" s="189"/>
      <c r="E12" s="189"/>
      <c r="F12" s="189"/>
      <c r="G12" s="189"/>
      <c r="H12" s="189"/>
      <c r="I12" s="189" t="s">
        <v>856</v>
      </c>
      <c r="J12" s="189"/>
      <c r="K12" s="189"/>
      <c r="L12" s="189"/>
      <c r="M12" s="189"/>
      <c r="N12" s="189"/>
      <c r="O12" s="189"/>
      <c r="P12" s="189"/>
      <c r="Q12" s="189" t="s">
        <v>144</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853</v>
      </c>
      <c r="D13" s="189"/>
      <c r="E13" s="189"/>
      <c r="F13" s="189"/>
      <c r="G13" s="189"/>
      <c r="H13" s="189"/>
      <c r="I13" s="189" t="s">
        <v>857</v>
      </c>
      <c r="J13" s="189"/>
      <c r="K13" s="189"/>
      <c r="L13" s="189"/>
      <c r="M13" s="189"/>
      <c r="N13" s="189"/>
      <c r="O13" s="189"/>
      <c r="P13" s="189"/>
      <c r="Q13" s="189" t="s">
        <v>144</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121</v>
      </c>
      <c r="D14" s="189"/>
      <c r="E14" s="189"/>
      <c r="F14" s="189"/>
      <c r="G14" s="189"/>
      <c r="H14" s="189"/>
      <c r="I14" s="189" t="s">
        <v>858</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7</v>
      </c>
      <c r="C15" s="189" t="s">
        <v>118</v>
      </c>
      <c r="D15" s="189"/>
      <c r="E15" s="189"/>
      <c r="F15" s="189"/>
      <c r="G15" s="189"/>
      <c r="H15" s="189"/>
      <c r="I15" s="189" t="s">
        <v>159</v>
      </c>
      <c r="J15" s="189"/>
      <c r="K15" s="189"/>
      <c r="L15" s="189"/>
      <c r="M15" s="189"/>
      <c r="N15" s="189"/>
      <c r="O15" s="189"/>
      <c r="P15" s="189"/>
      <c r="Q15" s="189" t="s">
        <v>144</v>
      </c>
      <c r="R15" s="189"/>
      <c r="S15" s="189"/>
      <c r="T15" s="189"/>
      <c r="U15" s="189"/>
      <c r="V15" s="189"/>
      <c r="W15" s="189"/>
      <c r="X15" s="189"/>
      <c r="Y15" s="189"/>
      <c r="Z15" s="189"/>
      <c r="AA15" s="189"/>
      <c r="AB15" s="189"/>
      <c r="AC15" s="189"/>
      <c r="AD15" s="189"/>
      <c r="AE15" s="189"/>
      <c r="AF15" s="189"/>
      <c r="AG15" s="189"/>
      <c r="AH15" s="189"/>
      <c r="AI15" s="189"/>
      <c r="AJ15" s="189"/>
      <c r="AK15" s="191"/>
    </row>
    <row r="16" spans="2:37" ht="13.8" thickBot="1">
      <c r="B16" s="4">
        <v>8</v>
      </c>
      <c r="C16" s="190" t="s">
        <v>252</v>
      </c>
      <c r="D16" s="190"/>
      <c r="E16" s="190"/>
      <c r="F16" s="190"/>
      <c r="G16" s="190"/>
      <c r="H16" s="190"/>
      <c r="I16" s="190" t="s">
        <v>256</v>
      </c>
      <c r="J16" s="190"/>
      <c r="K16" s="190"/>
      <c r="L16" s="190"/>
      <c r="M16" s="190"/>
      <c r="N16" s="190"/>
      <c r="O16" s="190"/>
      <c r="P16" s="190"/>
      <c r="Q16" s="190" t="s">
        <v>143</v>
      </c>
      <c r="R16" s="190"/>
      <c r="S16" s="190"/>
      <c r="T16" s="190"/>
      <c r="U16" s="190"/>
      <c r="V16" s="190"/>
      <c r="W16" s="190"/>
      <c r="X16" s="190"/>
      <c r="Y16" s="190"/>
      <c r="Z16" s="190"/>
      <c r="AA16" s="190"/>
      <c r="AB16" s="190"/>
      <c r="AC16" s="190"/>
      <c r="AD16" s="190"/>
      <c r="AE16" s="190"/>
      <c r="AF16" s="190"/>
      <c r="AG16" s="190"/>
      <c r="AH16" s="190"/>
      <c r="AI16" s="190"/>
      <c r="AJ16" s="190"/>
      <c r="AK16" s="198"/>
    </row>
    <row r="19" spans="2:35" ht="15" thickBot="1">
      <c r="B19" s="7" t="s">
        <v>994</v>
      </c>
    </row>
    <row r="20" spans="2:35">
      <c r="B20" s="10" t="s">
        <v>7</v>
      </c>
      <c r="C20" s="226" t="s">
        <v>998</v>
      </c>
      <c r="D20" s="226"/>
      <c r="E20" s="226"/>
      <c r="F20" s="226"/>
      <c r="G20" s="226"/>
      <c r="H20" s="226"/>
      <c r="I20" s="226"/>
      <c r="J20" s="226"/>
      <c r="K20" s="226"/>
      <c r="L20" s="226" t="s">
        <v>1000</v>
      </c>
      <c r="M20" s="226"/>
      <c r="N20" s="226"/>
      <c r="O20" s="226"/>
      <c r="P20" s="226"/>
      <c r="Q20" s="226"/>
      <c r="R20" s="226"/>
      <c r="S20" s="226"/>
      <c r="T20" s="226"/>
      <c r="U20" s="226"/>
      <c r="V20" s="226" t="s">
        <v>1002</v>
      </c>
      <c r="W20" s="226"/>
      <c r="X20" s="226"/>
      <c r="Y20" s="226" t="s">
        <v>1004</v>
      </c>
      <c r="Z20" s="226"/>
      <c r="AA20" s="226"/>
      <c r="AB20" s="226" t="s">
        <v>1005</v>
      </c>
      <c r="AC20" s="226"/>
      <c r="AD20" s="226"/>
      <c r="AE20" s="226"/>
      <c r="AF20" s="226"/>
      <c r="AG20" s="226"/>
      <c r="AH20" s="226"/>
      <c r="AI20" s="227"/>
    </row>
    <row r="21" spans="2:35" ht="13.8" thickBot="1">
      <c r="B21" s="12">
        <v>1</v>
      </c>
      <c r="C21" s="238" t="s">
        <v>1144</v>
      </c>
      <c r="D21" s="238"/>
      <c r="E21" s="238"/>
      <c r="F21" s="238"/>
      <c r="G21" s="238"/>
      <c r="H21" s="238"/>
      <c r="I21" s="238"/>
      <c r="J21" s="238"/>
      <c r="K21" s="238"/>
      <c r="L21" s="238" t="s">
        <v>1059</v>
      </c>
      <c r="M21" s="238"/>
      <c r="N21" s="238"/>
      <c r="O21" s="238"/>
      <c r="P21" s="238"/>
      <c r="Q21" s="238"/>
      <c r="R21" s="238"/>
      <c r="S21" s="238"/>
      <c r="T21" s="238"/>
      <c r="U21" s="238"/>
      <c r="V21" s="238" t="s">
        <v>1022</v>
      </c>
      <c r="W21" s="238"/>
      <c r="X21" s="238"/>
      <c r="Y21" s="238" t="s">
        <v>1022</v>
      </c>
      <c r="Z21" s="238"/>
      <c r="AA21" s="238"/>
      <c r="AB21" s="238"/>
      <c r="AC21" s="238"/>
      <c r="AD21" s="238"/>
      <c r="AE21" s="238"/>
      <c r="AF21" s="238"/>
      <c r="AG21" s="238"/>
      <c r="AH21" s="238"/>
      <c r="AI21" s="239"/>
    </row>
    <row r="22" spans="2:35">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2:35" ht="15" thickBot="1">
      <c r="B23" s="7" t="s">
        <v>995</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row r="27" spans="2:35" ht="15" thickBot="1">
      <c r="B27" s="7" t="s">
        <v>996</v>
      </c>
    </row>
    <row r="28" spans="2:35">
      <c r="B28" s="14" t="s">
        <v>1069</v>
      </c>
      <c r="C28" s="226" t="s">
        <v>1070</v>
      </c>
      <c r="D28" s="226"/>
      <c r="E28" s="226"/>
      <c r="F28" s="226"/>
      <c r="G28" s="226"/>
      <c r="H28" s="226"/>
      <c r="I28" s="226"/>
      <c r="J28" s="226"/>
      <c r="K28" s="226"/>
      <c r="L28" s="226"/>
      <c r="M28" s="226" t="s">
        <v>1072</v>
      </c>
      <c r="N28" s="226"/>
      <c r="O28" s="226"/>
      <c r="P28" s="226"/>
      <c r="Q28" s="226"/>
      <c r="R28" s="226"/>
      <c r="S28" s="226"/>
      <c r="T28" s="226"/>
      <c r="U28" s="226" t="s">
        <v>1154</v>
      </c>
      <c r="V28" s="226"/>
      <c r="W28" s="226"/>
      <c r="X28" s="226"/>
      <c r="Y28" s="226"/>
      <c r="Z28" s="226"/>
      <c r="AA28" s="226"/>
      <c r="AB28" s="226"/>
      <c r="AC28" s="226"/>
      <c r="AD28" s="226" t="s">
        <v>1155</v>
      </c>
      <c r="AE28" s="226"/>
      <c r="AF28" s="226"/>
      <c r="AG28" s="226"/>
      <c r="AH28" s="226"/>
      <c r="AI28" s="227"/>
    </row>
    <row r="29" spans="2:35" ht="13.8" thickBot="1">
      <c r="B29" s="4"/>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8"/>
    </row>
  </sheetData>
  <mergeCells count="96">
    <mergeCell ref="C28:L28"/>
    <mergeCell ref="M28:T28"/>
    <mergeCell ref="U28:AC28"/>
    <mergeCell ref="AD28:AI28"/>
    <mergeCell ref="C29:L29"/>
    <mergeCell ref="M29:T29"/>
    <mergeCell ref="U29:AC29"/>
    <mergeCell ref="AD29:AI29"/>
    <mergeCell ref="C24:L24"/>
    <mergeCell ref="M24:T24"/>
    <mergeCell ref="U24:AC24"/>
    <mergeCell ref="AD24:AI24"/>
    <mergeCell ref="C25:L25"/>
    <mergeCell ref="M25:T25"/>
    <mergeCell ref="U25:AC25"/>
    <mergeCell ref="AD25:AI25"/>
    <mergeCell ref="V20:X20"/>
    <mergeCell ref="Y20:AA20"/>
    <mergeCell ref="AB20:AI20"/>
    <mergeCell ref="C21:K21"/>
    <mergeCell ref="L21:U21"/>
    <mergeCell ref="V21:X21"/>
    <mergeCell ref="Y21:AA21"/>
    <mergeCell ref="AB21:AI21"/>
    <mergeCell ref="I8:P8"/>
    <mergeCell ref="I2:M2"/>
    <mergeCell ref="I3:M3"/>
    <mergeCell ref="I4:M4"/>
    <mergeCell ref="C20:K20"/>
    <mergeCell ref="L20:U20"/>
    <mergeCell ref="B2:E4"/>
    <mergeCell ref="F2:H2"/>
    <mergeCell ref="F3:H3"/>
    <mergeCell ref="F4:H4"/>
    <mergeCell ref="C8:H8"/>
    <mergeCell ref="Q8:X8"/>
    <mergeCell ref="Q9:X9"/>
    <mergeCell ref="C15:H15"/>
    <mergeCell ref="C16:H16"/>
    <mergeCell ref="I9:P9"/>
    <mergeCell ref="AA8:AB8"/>
    <mergeCell ref="AC8:AD8"/>
    <mergeCell ref="AE8:AK8"/>
    <mergeCell ref="AA9:AB9"/>
    <mergeCell ref="AC9:AD9"/>
    <mergeCell ref="I15:P15"/>
    <mergeCell ref="I16:P16"/>
    <mergeCell ref="C9:H9"/>
    <mergeCell ref="C10:H10"/>
    <mergeCell ref="C11:H11"/>
    <mergeCell ref="C12:H12"/>
    <mergeCell ref="C13:H13"/>
    <mergeCell ref="C14:H14"/>
    <mergeCell ref="I10:P10"/>
    <mergeCell ref="I11:P11"/>
    <mergeCell ref="I12:P12"/>
    <mergeCell ref="I13:P13"/>
    <mergeCell ref="I14:P14"/>
    <mergeCell ref="Q16:X16"/>
    <mergeCell ref="AA10:AB10"/>
    <mergeCell ref="AA11:AB11"/>
    <mergeCell ref="AA12:AB12"/>
    <mergeCell ref="AA13:AB13"/>
    <mergeCell ref="AA14:AB14"/>
    <mergeCell ref="AA15:AB15"/>
    <mergeCell ref="AA16:AB16"/>
    <mergeCell ref="Q10:X10"/>
    <mergeCell ref="Q11:X11"/>
    <mergeCell ref="Q12:X12"/>
    <mergeCell ref="Q13:X13"/>
    <mergeCell ref="Q14:X14"/>
    <mergeCell ref="Q15:X15"/>
    <mergeCell ref="Y13:Z13"/>
    <mergeCell ref="Y14:Z14"/>
    <mergeCell ref="AC16:AD16"/>
    <mergeCell ref="AE9:AK9"/>
    <mergeCell ref="AE10:AK10"/>
    <mergeCell ref="AE11:AK11"/>
    <mergeCell ref="AE12:AK12"/>
    <mergeCell ref="AE13:AK13"/>
    <mergeCell ref="AE14:AK14"/>
    <mergeCell ref="AE15:AK15"/>
    <mergeCell ref="AE16:AK16"/>
    <mergeCell ref="AC10:AD10"/>
    <mergeCell ref="AC11:AD11"/>
    <mergeCell ref="AC12:AD12"/>
    <mergeCell ref="AC13:AD13"/>
    <mergeCell ref="AC14:AD14"/>
    <mergeCell ref="AC15:AD15"/>
    <mergeCell ref="Y15:Z15"/>
    <mergeCell ref="Y16:Z16"/>
    <mergeCell ref="Y8:Z8"/>
    <mergeCell ref="Y9:Z9"/>
    <mergeCell ref="Y10:Z10"/>
    <mergeCell ref="Y11:Z11"/>
    <mergeCell ref="Y12:Z12"/>
  </mergeCells>
  <phoneticPr fontId="3"/>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F6AC1-0913-4AD2-B7DB-C5872C194786}">
  <sheetPr codeName="Sheet73"/>
  <dimension ref="B1:AK29"/>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872</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861</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862</v>
      </c>
      <c r="D9" s="189"/>
      <c r="E9" s="189"/>
      <c r="F9" s="189"/>
      <c r="G9" s="189"/>
      <c r="H9" s="189"/>
      <c r="I9" s="189" t="s">
        <v>867</v>
      </c>
      <c r="J9" s="189"/>
      <c r="K9" s="189"/>
      <c r="L9" s="189"/>
      <c r="M9" s="189"/>
      <c r="N9" s="189"/>
      <c r="O9" s="189"/>
      <c r="P9" s="189"/>
      <c r="Q9" s="189" t="s">
        <v>144</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421</v>
      </c>
      <c r="D10" s="189"/>
      <c r="E10" s="189"/>
      <c r="F10" s="189"/>
      <c r="G10" s="189"/>
      <c r="H10" s="189"/>
      <c r="I10" s="189" t="s">
        <v>425</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863</v>
      </c>
      <c r="D11" s="189"/>
      <c r="E11" s="189"/>
      <c r="F11" s="189"/>
      <c r="G11" s="189"/>
      <c r="H11" s="189"/>
      <c r="I11" s="189" t="s">
        <v>868</v>
      </c>
      <c r="J11" s="189"/>
      <c r="K11" s="189"/>
      <c r="L11" s="189"/>
      <c r="M11" s="189"/>
      <c r="N11" s="189"/>
      <c r="O11" s="189"/>
      <c r="P11" s="189"/>
      <c r="Q11" s="189" t="s">
        <v>811</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864</v>
      </c>
      <c r="D12" s="189"/>
      <c r="E12" s="189"/>
      <c r="F12" s="189"/>
      <c r="G12" s="189"/>
      <c r="H12" s="189"/>
      <c r="I12" s="189" t="s">
        <v>869</v>
      </c>
      <c r="J12" s="189"/>
      <c r="K12" s="189"/>
      <c r="L12" s="189"/>
      <c r="M12" s="189"/>
      <c r="N12" s="189"/>
      <c r="O12" s="189"/>
      <c r="P12" s="189"/>
      <c r="Q12" s="189" t="s">
        <v>812</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865</v>
      </c>
      <c r="D13" s="189"/>
      <c r="E13" s="189"/>
      <c r="F13" s="189"/>
      <c r="G13" s="189"/>
      <c r="H13" s="189"/>
      <c r="I13" s="189" t="s">
        <v>870</v>
      </c>
      <c r="J13" s="189"/>
      <c r="K13" s="189"/>
      <c r="L13" s="189"/>
      <c r="M13" s="189"/>
      <c r="N13" s="189"/>
      <c r="O13" s="189"/>
      <c r="P13" s="189"/>
      <c r="Q13" s="189" t="s">
        <v>221</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156</v>
      </c>
      <c r="D14" s="189"/>
      <c r="E14" s="189"/>
      <c r="F14" s="189"/>
      <c r="G14" s="189"/>
      <c r="H14" s="189"/>
      <c r="I14" s="189" t="s">
        <v>158</v>
      </c>
      <c r="J14" s="189"/>
      <c r="K14" s="189"/>
      <c r="L14" s="189"/>
      <c r="M14" s="189"/>
      <c r="N14" s="189"/>
      <c r="O14" s="189"/>
      <c r="P14" s="189"/>
      <c r="Q14" s="189" t="s">
        <v>144</v>
      </c>
      <c r="R14" s="189"/>
      <c r="S14" s="189"/>
      <c r="T14" s="189"/>
      <c r="U14" s="189"/>
      <c r="V14" s="189"/>
      <c r="W14" s="189"/>
      <c r="X14" s="189"/>
      <c r="Y14" s="189"/>
      <c r="Z14" s="189"/>
      <c r="AA14" s="189"/>
      <c r="AB14" s="189"/>
      <c r="AC14" s="189"/>
      <c r="AD14" s="189"/>
      <c r="AE14" s="189"/>
      <c r="AF14" s="189"/>
      <c r="AG14" s="189"/>
      <c r="AH14" s="189"/>
      <c r="AI14" s="189"/>
      <c r="AJ14" s="189"/>
      <c r="AK14" s="191"/>
    </row>
    <row r="15" spans="2:37" ht="13.8" thickBot="1">
      <c r="B15" s="4">
        <v>7</v>
      </c>
      <c r="C15" s="190" t="s">
        <v>866</v>
      </c>
      <c r="D15" s="190"/>
      <c r="E15" s="190"/>
      <c r="F15" s="190"/>
      <c r="G15" s="190"/>
      <c r="H15" s="190"/>
      <c r="I15" s="190" t="s">
        <v>871</v>
      </c>
      <c r="J15" s="190"/>
      <c r="K15" s="190"/>
      <c r="L15" s="190"/>
      <c r="M15" s="190"/>
      <c r="N15" s="190"/>
      <c r="O15" s="190"/>
      <c r="P15" s="190"/>
      <c r="Q15" s="190" t="s">
        <v>143</v>
      </c>
      <c r="R15" s="190"/>
      <c r="S15" s="190"/>
      <c r="T15" s="190"/>
      <c r="U15" s="190"/>
      <c r="V15" s="190"/>
      <c r="W15" s="190"/>
      <c r="X15" s="190"/>
      <c r="Y15" s="190"/>
      <c r="Z15" s="190"/>
      <c r="AA15" s="190"/>
      <c r="AB15" s="190"/>
      <c r="AC15" s="190"/>
      <c r="AD15" s="190"/>
      <c r="AE15" s="190"/>
      <c r="AF15" s="190"/>
      <c r="AG15" s="190"/>
      <c r="AH15" s="190"/>
      <c r="AI15" s="190"/>
      <c r="AJ15" s="190"/>
      <c r="AK15" s="198"/>
    </row>
    <row r="18" spans="2:35" ht="15" thickBot="1">
      <c r="B18" s="7" t="s">
        <v>994</v>
      </c>
    </row>
    <row r="19" spans="2:35">
      <c r="B19" s="10" t="s">
        <v>7</v>
      </c>
      <c r="C19" s="226" t="s">
        <v>998</v>
      </c>
      <c r="D19" s="226"/>
      <c r="E19" s="226"/>
      <c r="F19" s="226"/>
      <c r="G19" s="226"/>
      <c r="H19" s="226"/>
      <c r="I19" s="226"/>
      <c r="J19" s="226"/>
      <c r="K19" s="226"/>
      <c r="L19" s="226" t="s">
        <v>1000</v>
      </c>
      <c r="M19" s="226"/>
      <c r="N19" s="226"/>
      <c r="O19" s="226"/>
      <c r="P19" s="226"/>
      <c r="Q19" s="226"/>
      <c r="R19" s="226"/>
      <c r="S19" s="226"/>
      <c r="T19" s="226"/>
      <c r="U19" s="226"/>
      <c r="V19" s="226" t="s">
        <v>1002</v>
      </c>
      <c r="W19" s="226"/>
      <c r="X19" s="226"/>
      <c r="Y19" s="226" t="s">
        <v>1004</v>
      </c>
      <c r="Z19" s="226"/>
      <c r="AA19" s="226"/>
      <c r="AB19" s="226" t="s">
        <v>1005</v>
      </c>
      <c r="AC19" s="226"/>
      <c r="AD19" s="226"/>
      <c r="AE19" s="226"/>
      <c r="AF19" s="226"/>
      <c r="AG19" s="226"/>
      <c r="AH19" s="226"/>
      <c r="AI19" s="227"/>
    </row>
    <row r="20" spans="2:35" ht="13.8" thickBot="1">
      <c r="B20" s="12">
        <v>1</v>
      </c>
      <c r="C20" s="238" t="s">
        <v>1145</v>
      </c>
      <c r="D20" s="238"/>
      <c r="E20" s="238"/>
      <c r="F20" s="238"/>
      <c r="G20" s="238"/>
      <c r="H20" s="238"/>
      <c r="I20" s="238"/>
      <c r="J20" s="238"/>
      <c r="K20" s="238"/>
      <c r="L20" s="238" t="s">
        <v>1146</v>
      </c>
      <c r="M20" s="238"/>
      <c r="N20" s="238"/>
      <c r="O20" s="238"/>
      <c r="P20" s="238"/>
      <c r="Q20" s="238"/>
      <c r="R20" s="238"/>
      <c r="S20" s="238"/>
      <c r="T20" s="238"/>
      <c r="U20" s="238"/>
      <c r="V20" s="238" t="s">
        <v>1022</v>
      </c>
      <c r="W20" s="238"/>
      <c r="X20" s="238"/>
      <c r="Y20" s="238" t="s">
        <v>1022</v>
      </c>
      <c r="Z20" s="238"/>
      <c r="AA20" s="238"/>
      <c r="AB20" s="238"/>
      <c r="AC20" s="238"/>
      <c r="AD20" s="238"/>
      <c r="AE20" s="238"/>
      <c r="AF20" s="238"/>
      <c r="AG20" s="238"/>
      <c r="AH20" s="238"/>
      <c r="AI20" s="239"/>
    </row>
    <row r="21" spans="2:35">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3" spans="2:35" ht="15" thickBot="1">
      <c r="B23" s="7" t="s">
        <v>995</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row r="27" spans="2:35" ht="15" thickBot="1">
      <c r="B27" s="7" t="s">
        <v>996</v>
      </c>
    </row>
    <row r="28" spans="2:35">
      <c r="B28" s="14" t="s">
        <v>1069</v>
      </c>
      <c r="C28" s="226" t="s">
        <v>1070</v>
      </c>
      <c r="D28" s="226"/>
      <c r="E28" s="226"/>
      <c r="F28" s="226"/>
      <c r="G28" s="226"/>
      <c r="H28" s="226"/>
      <c r="I28" s="226"/>
      <c r="J28" s="226"/>
      <c r="K28" s="226"/>
      <c r="L28" s="226"/>
      <c r="M28" s="226" t="s">
        <v>1072</v>
      </c>
      <c r="N28" s="226"/>
      <c r="O28" s="226"/>
      <c r="P28" s="226"/>
      <c r="Q28" s="226"/>
      <c r="R28" s="226"/>
      <c r="S28" s="226"/>
      <c r="T28" s="226"/>
      <c r="U28" s="226" t="s">
        <v>1154</v>
      </c>
      <c r="V28" s="226"/>
      <c r="W28" s="226"/>
      <c r="X28" s="226"/>
      <c r="Y28" s="226"/>
      <c r="Z28" s="226"/>
      <c r="AA28" s="226"/>
      <c r="AB28" s="226"/>
      <c r="AC28" s="226"/>
      <c r="AD28" s="226" t="s">
        <v>1155</v>
      </c>
      <c r="AE28" s="226"/>
      <c r="AF28" s="226"/>
      <c r="AG28" s="226"/>
      <c r="AH28" s="226"/>
      <c r="AI28" s="227"/>
    </row>
    <row r="29" spans="2:35" ht="13.8" thickBot="1">
      <c r="B29" s="4"/>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8"/>
    </row>
  </sheetData>
  <mergeCells count="89">
    <mergeCell ref="C28:L28"/>
    <mergeCell ref="M28:T28"/>
    <mergeCell ref="U28:AC28"/>
    <mergeCell ref="AD28:AI28"/>
    <mergeCell ref="C29:L29"/>
    <mergeCell ref="M29:T29"/>
    <mergeCell ref="U29:AC29"/>
    <mergeCell ref="AD29:AI29"/>
    <mergeCell ref="C24:L24"/>
    <mergeCell ref="M24:T24"/>
    <mergeCell ref="U24:AC24"/>
    <mergeCell ref="AD24:AI24"/>
    <mergeCell ref="C25:L25"/>
    <mergeCell ref="M25:T25"/>
    <mergeCell ref="U25:AC25"/>
    <mergeCell ref="AD25:AI25"/>
    <mergeCell ref="V19:X19"/>
    <mergeCell ref="Y19:AA19"/>
    <mergeCell ref="AB19:AI19"/>
    <mergeCell ref="C20:K20"/>
    <mergeCell ref="L20:U20"/>
    <mergeCell ref="V20:X20"/>
    <mergeCell ref="Y20:AA20"/>
    <mergeCell ref="AB20:AI20"/>
    <mergeCell ref="I8:P8"/>
    <mergeCell ref="I2:O2"/>
    <mergeCell ref="I3:O3"/>
    <mergeCell ref="I4:O4"/>
    <mergeCell ref="C19:K19"/>
    <mergeCell ref="L19:U19"/>
    <mergeCell ref="B2:E4"/>
    <mergeCell ref="F2:H2"/>
    <mergeCell ref="F3:H3"/>
    <mergeCell ref="F4:H4"/>
    <mergeCell ref="C8:H8"/>
    <mergeCell ref="Q8:X8"/>
    <mergeCell ref="Q9:X9"/>
    <mergeCell ref="C15:H15"/>
    <mergeCell ref="I9:P9"/>
    <mergeCell ref="I10:P10"/>
    <mergeCell ref="AA8:AB8"/>
    <mergeCell ref="AC8:AD8"/>
    <mergeCell ref="AE8:AK8"/>
    <mergeCell ref="AA9:AB9"/>
    <mergeCell ref="AC9:AD9"/>
    <mergeCell ref="AE9:AK9"/>
    <mergeCell ref="I11:P11"/>
    <mergeCell ref="I12:P12"/>
    <mergeCell ref="I13:P13"/>
    <mergeCell ref="I14:P14"/>
    <mergeCell ref="I15:P15"/>
    <mergeCell ref="C9:H9"/>
    <mergeCell ref="C10:H10"/>
    <mergeCell ref="C11:H11"/>
    <mergeCell ref="C12:H12"/>
    <mergeCell ref="C13:H13"/>
    <mergeCell ref="C14:H14"/>
    <mergeCell ref="AA15:AB15"/>
    <mergeCell ref="Q10:X10"/>
    <mergeCell ref="Q11:X11"/>
    <mergeCell ref="Q12:X12"/>
    <mergeCell ref="Q13:X13"/>
    <mergeCell ref="Q14:X14"/>
    <mergeCell ref="Q15:X15"/>
    <mergeCell ref="AA10:AB10"/>
    <mergeCell ref="AA11:AB11"/>
    <mergeCell ref="AA12:AB12"/>
    <mergeCell ref="AA13:AB13"/>
    <mergeCell ref="AA14:AB14"/>
    <mergeCell ref="Y13:Z13"/>
    <mergeCell ref="Y14:Z14"/>
    <mergeCell ref="Y15:Z15"/>
    <mergeCell ref="AE15:AK15"/>
    <mergeCell ref="AC10:AD10"/>
    <mergeCell ref="AC11:AD11"/>
    <mergeCell ref="AC12:AD12"/>
    <mergeCell ref="AC13:AD13"/>
    <mergeCell ref="AC14:AD14"/>
    <mergeCell ref="AC15:AD15"/>
    <mergeCell ref="AE10:AK10"/>
    <mergeCell ref="AE11:AK11"/>
    <mergeCell ref="AE12:AK12"/>
    <mergeCell ref="AE13:AK13"/>
    <mergeCell ref="AE14:AK14"/>
    <mergeCell ref="Y8:Z8"/>
    <mergeCell ref="Y9:Z9"/>
    <mergeCell ref="Y10:Z10"/>
    <mergeCell ref="Y11:Z11"/>
    <mergeCell ref="Y12:Z12"/>
  </mergeCells>
  <phoneticPr fontId="3"/>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28581-AB9F-4828-94DE-AA9A758B8C23}">
  <sheetPr codeName="Sheet74"/>
  <dimension ref="B1:AK39"/>
  <sheetViews>
    <sheetView topLeftCell="A6" workbookViewId="0">
      <selection activeCell="Q21" sqref="Q21:X21"/>
    </sheetView>
  </sheetViews>
  <sheetFormatPr defaultColWidth="3.6640625" defaultRowHeight="13.2"/>
  <sheetData>
    <row r="1" spans="2:37" ht="13.8" thickBot="1"/>
    <row r="2" spans="2:37">
      <c r="B2" s="205" t="s">
        <v>95</v>
      </c>
      <c r="C2" s="206"/>
      <c r="D2" s="206"/>
      <c r="E2" s="206"/>
      <c r="F2" s="211" t="s">
        <v>93</v>
      </c>
      <c r="G2" s="211"/>
      <c r="H2" s="212"/>
      <c r="I2" s="196" t="s">
        <v>887</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873</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874</v>
      </c>
      <c r="D9" s="189"/>
      <c r="E9" s="189"/>
      <c r="F9" s="189"/>
      <c r="G9" s="189"/>
      <c r="H9" s="189"/>
      <c r="I9" s="189" t="s">
        <v>481</v>
      </c>
      <c r="J9" s="189"/>
      <c r="K9" s="189"/>
      <c r="L9" s="189"/>
      <c r="M9" s="189"/>
      <c r="N9" s="189"/>
      <c r="O9" s="189"/>
      <c r="P9" s="189"/>
      <c r="Q9" s="189" t="s">
        <v>144</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875</v>
      </c>
      <c r="D10" s="189"/>
      <c r="E10" s="189"/>
      <c r="F10" s="189"/>
      <c r="G10" s="189"/>
      <c r="H10" s="189"/>
      <c r="I10" s="189" t="s">
        <v>882</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t="s">
        <v>492</v>
      </c>
      <c r="AF10" s="189"/>
      <c r="AG10" s="189"/>
      <c r="AH10" s="189"/>
      <c r="AI10" s="189"/>
      <c r="AJ10" s="189"/>
      <c r="AK10" s="191"/>
    </row>
    <row r="11" spans="2:37">
      <c r="B11" s="3">
        <v>3</v>
      </c>
      <c r="C11" s="189" t="s">
        <v>876</v>
      </c>
      <c r="D11" s="189"/>
      <c r="E11" s="189"/>
      <c r="F11" s="189"/>
      <c r="G11" s="189"/>
      <c r="H11" s="189"/>
      <c r="I11" s="189" t="s">
        <v>522</v>
      </c>
      <c r="J11" s="189"/>
      <c r="K11" s="189"/>
      <c r="L11" s="189"/>
      <c r="M11" s="189"/>
      <c r="N11" s="189"/>
      <c r="O11" s="189"/>
      <c r="P11" s="189"/>
      <c r="Q11" s="189" t="s">
        <v>543</v>
      </c>
      <c r="R11" s="189"/>
      <c r="S11" s="189"/>
      <c r="T11" s="189"/>
      <c r="U11" s="189"/>
      <c r="V11" s="189"/>
      <c r="W11" s="189"/>
      <c r="X11" s="189"/>
      <c r="Y11" s="189"/>
      <c r="Z11" s="189"/>
      <c r="AA11" s="189"/>
      <c r="AB11" s="189"/>
      <c r="AC11" s="189"/>
      <c r="AD11" s="189"/>
      <c r="AE11" s="189" t="s">
        <v>892</v>
      </c>
      <c r="AF11" s="189"/>
      <c r="AG11" s="189"/>
      <c r="AH11" s="189"/>
      <c r="AI11" s="189"/>
      <c r="AJ11" s="189"/>
      <c r="AK11" s="191"/>
    </row>
    <row r="12" spans="2:37">
      <c r="B12" s="3">
        <v>4</v>
      </c>
      <c r="C12" s="189" t="s">
        <v>506</v>
      </c>
      <c r="D12" s="189"/>
      <c r="E12" s="189"/>
      <c r="F12" s="189"/>
      <c r="G12" s="189"/>
      <c r="H12" s="189"/>
      <c r="I12" s="189" t="s">
        <v>530</v>
      </c>
      <c r="J12" s="189"/>
      <c r="K12" s="189"/>
      <c r="L12" s="189"/>
      <c r="M12" s="189"/>
      <c r="N12" s="189"/>
      <c r="O12" s="189"/>
      <c r="P12" s="189"/>
      <c r="Q12" s="189" t="s">
        <v>147</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877</v>
      </c>
      <c r="D13" s="189"/>
      <c r="E13" s="189"/>
      <c r="F13" s="189"/>
      <c r="G13" s="189"/>
      <c r="H13" s="189"/>
      <c r="I13" s="189" t="s">
        <v>532</v>
      </c>
      <c r="J13" s="189"/>
      <c r="K13" s="189"/>
      <c r="L13" s="189"/>
      <c r="M13" s="189"/>
      <c r="N13" s="189"/>
      <c r="O13" s="189"/>
      <c r="P13" s="189"/>
      <c r="Q13" s="189" t="s">
        <v>146</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6</v>
      </c>
      <c r="C14" s="189" t="s">
        <v>509</v>
      </c>
      <c r="D14" s="189"/>
      <c r="E14" s="189"/>
      <c r="F14" s="189"/>
      <c r="G14" s="189"/>
      <c r="H14" s="189"/>
      <c r="I14" s="189" t="s">
        <v>533</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7</v>
      </c>
      <c r="C15" s="189" t="s">
        <v>878</v>
      </c>
      <c r="D15" s="189"/>
      <c r="E15" s="189"/>
      <c r="F15" s="189"/>
      <c r="G15" s="189"/>
      <c r="H15" s="189"/>
      <c r="I15" s="189" t="s">
        <v>883</v>
      </c>
      <c r="J15" s="189"/>
      <c r="K15" s="189"/>
      <c r="L15" s="189"/>
      <c r="M15" s="189"/>
      <c r="N15" s="189"/>
      <c r="O15" s="189"/>
      <c r="P15" s="189"/>
      <c r="Q15" s="189" t="s">
        <v>144</v>
      </c>
      <c r="R15" s="189"/>
      <c r="S15" s="189"/>
      <c r="T15" s="189"/>
      <c r="U15" s="189"/>
      <c r="V15" s="189"/>
      <c r="W15" s="189"/>
      <c r="X15" s="189"/>
      <c r="Y15" s="189"/>
      <c r="Z15" s="189"/>
      <c r="AA15" s="189"/>
      <c r="AB15" s="189"/>
      <c r="AC15" s="189"/>
      <c r="AD15" s="189"/>
      <c r="AE15" s="189" t="s">
        <v>223</v>
      </c>
      <c r="AF15" s="189"/>
      <c r="AG15" s="189"/>
      <c r="AH15" s="189"/>
      <c r="AI15" s="189"/>
      <c r="AJ15" s="189"/>
      <c r="AK15" s="191"/>
    </row>
    <row r="16" spans="2:37">
      <c r="B16" s="3">
        <v>8</v>
      </c>
      <c r="C16" s="189" t="s">
        <v>879</v>
      </c>
      <c r="D16" s="189"/>
      <c r="E16" s="189"/>
      <c r="F16" s="189"/>
      <c r="G16" s="189"/>
      <c r="H16" s="189"/>
      <c r="I16" s="189" t="s">
        <v>884</v>
      </c>
      <c r="J16" s="189"/>
      <c r="K16" s="189"/>
      <c r="L16" s="189"/>
      <c r="M16" s="189"/>
      <c r="N16" s="189"/>
      <c r="O16" s="189"/>
      <c r="P16" s="189"/>
      <c r="Q16" s="189" t="s">
        <v>144</v>
      </c>
      <c r="R16" s="189"/>
      <c r="S16" s="189"/>
      <c r="T16" s="189"/>
      <c r="U16" s="189"/>
      <c r="V16" s="189"/>
      <c r="W16" s="189"/>
      <c r="X16" s="189"/>
      <c r="Y16" s="189"/>
      <c r="Z16" s="189"/>
      <c r="AA16" s="189"/>
      <c r="AB16" s="189"/>
      <c r="AC16" s="189"/>
      <c r="AD16" s="189"/>
      <c r="AE16" s="189" t="s">
        <v>223</v>
      </c>
      <c r="AF16" s="189"/>
      <c r="AG16" s="189"/>
      <c r="AH16" s="189"/>
      <c r="AI16" s="189"/>
      <c r="AJ16" s="189"/>
      <c r="AK16" s="191"/>
    </row>
    <row r="17" spans="2:37">
      <c r="B17" s="3">
        <v>9</v>
      </c>
      <c r="C17" s="189" t="s">
        <v>880</v>
      </c>
      <c r="D17" s="189"/>
      <c r="E17" s="189"/>
      <c r="F17" s="189"/>
      <c r="G17" s="189"/>
      <c r="H17" s="189"/>
      <c r="I17" s="189" t="s">
        <v>885</v>
      </c>
      <c r="J17" s="189"/>
      <c r="K17" s="189"/>
      <c r="L17" s="189"/>
      <c r="M17" s="189"/>
      <c r="N17" s="189"/>
      <c r="O17" s="189"/>
      <c r="P17" s="189"/>
      <c r="Q17" s="189" t="s">
        <v>144</v>
      </c>
      <c r="R17" s="189"/>
      <c r="S17" s="189"/>
      <c r="T17" s="189"/>
      <c r="U17" s="189"/>
      <c r="V17" s="189"/>
      <c r="W17" s="189"/>
      <c r="X17" s="189"/>
      <c r="Y17" s="189"/>
      <c r="Z17" s="189"/>
      <c r="AA17" s="189"/>
      <c r="AB17" s="189"/>
      <c r="AC17" s="189"/>
      <c r="AD17" s="189"/>
      <c r="AE17" s="189" t="s">
        <v>223</v>
      </c>
      <c r="AF17" s="189"/>
      <c r="AG17" s="189"/>
      <c r="AH17" s="189"/>
      <c r="AI17" s="189"/>
      <c r="AJ17" s="189"/>
      <c r="AK17" s="191"/>
    </row>
    <row r="18" spans="2:37">
      <c r="B18" s="3">
        <v>10</v>
      </c>
      <c r="C18" s="189" t="s">
        <v>881</v>
      </c>
      <c r="D18" s="189"/>
      <c r="E18" s="189"/>
      <c r="F18" s="189"/>
      <c r="G18" s="189"/>
      <c r="H18" s="189"/>
      <c r="I18" s="189" t="s">
        <v>886</v>
      </c>
      <c r="J18" s="189"/>
      <c r="K18" s="189"/>
      <c r="L18" s="189"/>
      <c r="M18" s="189"/>
      <c r="N18" s="189"/>
      <c r="O18" s="189"/>
      <c r="P18" s="189"/>
      <c r="Q18" s="189" t="s">
        <v>144</v>
      </c>
      <c r="R18" s="189"/>
      <c r="S18" s="189"/>
      <c r="T18" s="189"/>
      <c r="U18" s="189"/>
      <c r="V18" s="189"/>
      <c r="W18" s="189"/>
      <c r="X18" s="189"/>
      <c r="Y18" s="189"/>
      <c r="Z18" s="189"/>
      <c r="AA18" s="189"/>
      <c r="AB18" s="189"/>
      <c r="AC18" s="189"/>
      <c r="AD18" s="189"/>
      <c r="AE18" s="189" t="s">
        <v>223</v>
      </c>
      <c r="AF18" s="189"/>
      <c r="AG18" s="189"/>
      <c r="AH18" s="189"/>
      <c r="AI18" s="189"/>
      <c r="AJ18" s="189"/>
      <c r="AK18" s="191"/>
    </row>
    <row r="19" spans="2:37">
      <c r="B19" s="3">
        <v>11</v>
      </c>
      <c r="C19" s="189" t="s">
        <v>478</v>
      </c>
      <c r="D19" s="189"/>
      <c r="E19" s="189"/>
      <c r="F19" s="189"/>
      <c r="G19" s="189"/>
      <c r="H19" s="189"/>
      <c r="I19" s="189" t="s">
        <v>484</v>
      </c>
      <c r="J19" s="189"/>
      <c r="K19" s="189"/>
      <c r="L19" s="189"/>
      <c r="M19" s="189"/>
      <c r="N19" s="189"/>
      <c r="O19" s="189"/>
      <c r="P19" s="189"/>
      <c r="Q19" s="189" t="s">
        <v>221</v>
      </c>
      <c r="R19" s="189"/>
      <c r="S19" s="189"/>
      <c r="T19" s="189"/>
      <c r="U19" s="189"/>
      <c r="V19" s="189"/>
      <c r="W19" s="189"/>
      <c r="X19" s="189"/>
      <c r="Y19" s="189"/>
      <c r="Z19" s="189"/>
      <c r="AA19" s="189"/>
      <c r="AB19" s="189"/>
      <c r="AC19" s="189" t="s">
        <v>151</v>
      </c>
      <c r="AD19" s="189"/>
      <c r="AE19" s="189"/>
      <c r="AF19" s="189"/>
      <c r="AG19" s="189"/>
      <c r="AH19" s="189"/>
      <c r="AI19" s="189"/>
      <c r="AJ19" s="189"/>
      <c r="AK19" s="191"/>
    </row>
    <row r="20" spans="2:37">
      <c r="B20" s="3">
        <v>12</v>
      </c>
      <c r="C20" s="189" t="s">
        <v>204</v>
      </c>
      <c r="D20" s="189"/>
      <c r="E20" s="189"/>
      <c r="F20" s="189"/>
      <c r="G20" s="189"/>
      <c r="H20" s="189"/>
      <c r="I20" s="189" t="s">
        <v>485</v>
      </c>
      <c r="J20" s="189"/>
      <c r="K20" s="189"/>
      <c r="L20" s="189"/>
      <c r="M20" s="189"/>
      <c r="N20" s="189"/>
      <c r="O20" s="189"/>
      <c r="P20" s="189"/>
      <c r="Q20" s="189" t="s">
        <v>146</v>
      </c>
      <c r="R20" s="189"/>
      <c r="S20" s="189"/>
      <c r="T20" s="189"/>
      <c r="U20" s="189"/>
      <c r="V20" s="189"/>
      <c r="W20" s="189"/>
      <c r="X20" s="189"/>
      <c r="Y20" s="189"/>
      <c r="Z20" s="189"/>
      <c r="AA20" s="189"/>
      <c r="AB20" s="189"/>
      <c r="AC20" s="189" t="s">
        <v>151</v>
      </c>
      <c r="AD20" s="189"/>
      <c r="AE20" s="189" t="s">
        <v>491</v>
      </c>
      <c r="AF20" s="189"/>
      <c r="AG20" s="189"/>
      <c r="AH20" s="189"/>
      <c r="AI20" s="189"/>
      <c r="AJ20" s="189"/>
      <c r="AK20" s="191"/>
    </row>
    <row r="21" spans="2:37">
      <c r="B21" s="3">
        <v>13</v>
      </c>
      <c r="C21" s="189" t="s">
        <v>480</v>
      </c>
      <c r="D21" s="189"/>
      <c r="E21" s="189"/>
      <c r="F21" s="189"/>
      <c r="G21" s="189"/>
      <c r="H21" s="189"/>
      <c r="I21" s="189" t="s">
        <v>486</v>
      </c>
      <c r="J21" s="189"/>
      <c r="K21" s="189"/>
      <c r="L21" s="189"/>
      <c r="M21" s="189"/>
      <c r="N21" s="189"/>
      <c r="O21" s="189"/>
      <c r="P21" s="189"/>
      <c r="Q21" s="189" t="s">
        <v>221</v>
      </c>
      <c r="R21" s="189"/>
      <c r="S21" s="189"/>
      <c r="T21" s="189"/>
      <c r="U21" s="189"/>
      <c r="V21" s="189"/>
      <c r="W21" s="189"/>
      <c r="X21" s="189"/>
      <c r="Y21" s="189"/>
      <c r="Z21" s="189"/>
      <c r="AA21" s="189"/>
      <c r="AB21" s="189"/>
      <c r="AC21" s="189" t="s">
        <v>151</v>
      </c>
      <c r="AD21" s="189"/>
      <c r="AE21" s="189"/>
      <c r="AF21" s="189"/>
      <c r="AG21" s="189"/>
      <c r="AH21" s="189"/>
      <c r="AI21" s="189"/>
      <c r="AJ21" s="189"/>
      <c r="AK21" s="191"/>
    </row>
    <row r="22" spans="2:37">
      <c r="B22" s="3">
        <v>14</v>
      </c>
      <c r="C22" s="189" t="s">
        <v>206</v>
      </c>
      <c r="D22" s="189"/>
      <c r="E22" s="189"/>
      <c r="F22" s="189"/>
      <c r="G22" s="189"/>
      <c r="H22" s="189"/>
      <c r="I22" s="189" t="s">
        <v>487</v>
      </c>
      <c r="J22" s="189"/>
      <c r="K22" s="189"/>
      <c r="L22" s="189"/>
      <c r="M22" s="189"/>
      <c r="N22" s="189"/>
      <c r="O22" s="189"/>
      <c r="P22" s="189"/>
      <c r="Q22" s="189" t="s">
        <v>146</v>
      </c>
      <c r="R22" s="189"/>
      <c r="S22" s="189"/>
      <c r="T22" s="189"/>
      <c r="U22" s="189"/>
      <c r="V22" s="189"/>
      <c r="W22" s="189"/>
      <c r="X22" s="189"/>
      <c r="Y22" s="189"/>
      <c r="Z22" s="189"/>
      <c r="AA22" s="189"/>
      <c r="AB22" s="189"/>
      <c r="AC22" s="189" t="s">
        <v>151</v>
      </c>
      <c r="AD22" s="189"/>
      <c r="AE22" s="189" t="s">
        <v>491</v>
      </c>
      <c r="AF22" s="189"/>
      <c r="AG22" s="189"/>
      <c r="AH22" s="189"/>
      <c r="AI22" s="189"/>
      <c r="AJ22" s="189"/>
      <c r="AK22" s="191"/>
    </row>
    <row r="23" spans="2:37">
      <c r="B23" s="3">
        <v>15</v>
      </c>
      <c r="C23" s="189" t="s">
        <v>207</v>
      </c>
      <c r="D23" s="189"/>
      <c r="E23" s="189"/>
      <c r="F23" s="189"/>
      <c r="G23" s="189"/>
      <c r="H23" s="189"/>
      <c r="I23" s="189" t="s">
        <v>488</v>
      </c>
      <c r="J23" s="189"/>
      <c r="K23" s="189"/>
      <c r="L23" s="189"/>
      <c r="M23" s="189"/>
      <c r="N23" s="189"/>
      <c r="O23" s="189"/>
      <c r="P23" s="189"/>
      <c r="Q23" s="189" t="s">
        <v>146</v>
      </c>
      <c r="R23" s="189"/>
      <c r="S23" s="189"/>
      <c r="T23" s="189"/>
      <c r="U23" s="189"/>
      <c r="V23" s="189"/>
      <c r="W23" s="189"/>
      <c r="X23" s="189"/>
      <c r="Y23" s="189"/>
      <c r="Z23" s="189"/>
      <c r="AA23" s="189"/>
      <c r="AB23" s="189"/>
      <c r="AC23" s="189" t="s">
        <v>151</v>
      </c>
      <c r="AD23" s="189"/>
      <c r="AE23" s="189" t="s">
        <v>492</v>
      </c>
      <c r="AF23" s="189"/>
      <c r="AG23" s="189"/>
      <c r="AH23" s="189"/>
      <c r="AI23" s="189"/>
      <c r="AJ23" s="189"/>
      <c r="AK23" s="191"/>
    </row>
    <row r="24" spans="2:37" ht="13.8" thickBot="1">
      <c r="B24" s="4">
        <v>16</v>
      </c>
      <c r="C24" s="190" t="s">
        <v>208</v>
      </c>
      <c r="D24" s="190"/>
      <c r="E24" s="190"/>
      <c r="F24" s="190"/>
      <c r="G24" s="190"/>
      <c r="H24" s="190"/>
      <c r="I24" s="190" t="s">
        <v>489</v>
      </c>
      <c r="J24" s="190"/>
      <c r="K24" s="190"/>
      <c r="L24" s="190"/>
      <c r="M24" s="190"/>
      <c r="N24" s="190"/>
      <c r="O24" s="190"/>
      <c r="P24" s="190"/>
      <c r="Q24" s="190" t="s">
        <v>222</v>
      </c>
      <c r="R24" s="190"/>
      <c r="S24" s="190"/>
      <c r="T24" s="190"/>
      <c r="U24" s="190"/>
      <c r="V24" s="190"/>
      <c r="W24" s="190"/>
      <c r="X24" s="190"/>
      <c r="Y24" s="190"/>
      <c r="Z24" s="190"/>
      <c r="AA24" s="190"/>
      <c r="AB24" s="190"/>
      <c r="AC24" s="190" t="s">
        <v>151</v>
      </c>
      <c r="AD24" s="190"/>
      <c r="AE24" s="190" t="s">
        <v>224</v>
      </c>
      <c r="AF24" s="190"/>
      <c r="AG24" s="190"/>
      <c r="AH24" s="190"/>
      <c r="AI24" s="190"/>
      <c r="AJ24" s="190"/>
      <c r="AK24" s="198"/>
    </row>
    <row r="27" spans="2:37" ht="15" thickBot="1">
      <c r="B27" s="7" t="s">
        <v>994</v>
      </c>
    </row>
    <row r="28" spans="2:37" ht="13.8" thickBot="1">
      <c r="B28" s="10" t="s">
        <v>7</v>
      </c>
      <c r="C28" s="226" t="s">
        <v>998</v>
      </c>
      <c r="D28" s="226"/>
      <c r="E28" s="226"/>
      <c r="F28" s="226"/>
      <c r="G28" s="226"/>
      <c r="H28" s="226"/>
      <c r="I28" s="226"/>
      <c r="J28" s="226"/>
      <c r="K28" s="226"/>
      <c r="L28" s="226" t="s">
        <v>1000</v>
      </c>
      <c r="M28" s="226"/>
      <c r="N28" s="226"/>
      <c r="O28" s="226"/>
      <c r="P28" s="226"/>
      <c r="Q28" s="226"/>
      <c r="R28" s="226"/>
      <c r="S28" s="226"/>
      <c r="T28" s="226"/>
      <c r="U28" s="226"/>
      <c r="V28" s="226" t="s">
        <v>1002</v>
      </c>
      <c r="W28" s="226"/>
      <c r="X28" s="226"/>
      <c r="Y28" s="226" t="s">
        <v>1004</v>
      </c>
      <c r="Z28" s="226"/>
      <c r="AA28" s="226"/>
      <c r="AB28" s="226" t="s">
        <v>1005</v>
      </c>
      <c r="AC28" s="226"/>
      <c r="AD28" s="226"/>
      <c r="AE28" s="226"/>
      <c r="AF28" s="226"/>
      <c r="AG28" s="226"/>
      <c r="AH28" s="226"/>
      <c r="AI28" s="227"/>
    </row>
    <row r="29" spans="2:37">
      <c r="B29" s="256">
        <v>1</v>
      </c>
      <c r="C29" s="247" t="s">
        <v>1147</v>
      </c>
      <c r="D29" s="247"/>
      <c r="E29" s="247"/>
      <c r="F29" s="247"/>
      <c r="G29" s="247"/>
      <c r="H29" s="247"/>
      <c r="I29" s="247"/>
      <c r="J29" s="247"/>
      <c r="K29" s="247"/>
      <c r="L29" s="246" t="s">
        <v>1065</v>
      </c>
      <c r="M29" s="246"/>
      <c r="N29" s="246"/>
      <c r="O29" s="246"/>
      <c r="P29" s="246"/>
      <c r="Q29" s="246"/>
      <c r="R29" s="246"/>
      <c r="S29" s="246"/>
      <c r="T29" s="246"/>
      <c r="U29" s="246"/>
      <c r="V29" s="247" t="s">
        <v>1022</v>
      </c>
      <c r="W29" s="247"/>
      <c r="X29" s="247"/>
      <c r="Y29" s="247" t="s">
        <v>1022</v>
      </c>
      <c r="Z29" s="247"/>
      <c r="AA29" s="247"/>
      <c r="AB29" s="248"/>
      <c r="AC29" s="248"/>
      <c r="AD29" s="248"/>
      <c r="AE29" s="248"/>
      <c r="AF29" s="248"/>
      <c r="AG29" s="248"/>
      <c r="AH29" s="248"/>
      <c r="AI29" s="249"/>
    </row>
    <row r="30" spans="2:37" ht="13.8" thickBot="1">
      <c r="B30" s="257"/>
      <c r="C30" s="258"/>
      <c r="D30" s="258"/>
      <c r="E30" s="258"/>
      <c r="F30" s="258"/>
      <c r="G30" s="258"/>
      <c r="H30" s="258"/>
      <c r="I30" s="258"/>
      <c r="J30" s="258"/>
      <c r="K30" s="258"/>
      <c r="L30" s="259" t="s">
        <v>1148</v>
      </c>
      <c r="M30" s="259"/>
      <c r="N30" s="259"/>
      <c r="O30" s="259"/>
      <c r="P30" s="259"/>
      <c r="Q30" s="259"/>
      <c r="R30" s="259"/>
      <c r="S30" s="259"/>
      <c r="T30" s="259"/>
      <c r="U30" s="259"/>
      <c r="V30" s="258"/>
      <c r="W30" s="258"/>
      <c r="X30" s="258"/>
      <c r="Y30" s="258"/>
      <c r="Z30" s="258"/>
      <c r="AA30" s="258"/>
      <c r="AB30" s="238"/>
      <c r="AC30" s="238"/>
      <c r="AD30" s="238"/>
      <c r="AE30" s="238"/>
      <c r="AF30" s="238"/>
      <c r="AG30" s="238"/>
      <c r="AH30" s="238"/>
      <c r="AI30" s="239"/>
    </row>
    <row r="32" spans="2:37" ht="15" thickBot="1">
      <c r="B32" s="7" t="s">
        <v>995</v>
      </c>
    </row>
    <row r="33" spans="2:35">
      <c r="B33" s="14" t="s">
        <v>1069</v>
      </c>
      <c r="C33" s="226" t="s">
        <v>1070</v>
      </c>
      <c r="D33" s="226"/>
      <c r="E33" s="226"/>
      <c r="F33" s="226"/>
      <c r="G33" s="226"/>
      <c r="H33" s="226"/>
      <c r="I33" s="226"/>
      <c r="J33" s="226"/>
      <c r="K33" s="226"/>
      <c r="L33" s="226"/>
      <c r="M33" s="226" t="s">
        <v>1072</v>
      </c>
      <c r="N33" s="226"/>
      <c r="O33" s="226"/>
      <c r="P33" s="226"/>
      <c r="Q33" s="226"/>
      <c r="R33" s="226"/>
      <c r="S33" s="226"/>
      <c r="T33" s="226"/>
      <c r="U33" s="226" t="s">
        <v>1154</v>
      </c>
      <c r="V33" s="226"/>
      <c r="W33" s="226"/>
      <c r="X33" s="226"/>
      <c r="Y33" s="226"/>
      <c r="Z33" s="226"/>
      <c r="AA33" s="226"/>
      <c r="AB33" s="226"/>
      <c r="AC33" s="226"/>
      <c r="AD33" s="226" t="s">
        <v>1155</v>
      </c>
      <c r="AE33" s="226"/>
      <c r="AF33" s="226"/>
      <c r="AG33" s="226"/>
      <c r="AH33" s="226"/>
      <c r="AI33" s="227"/>
    </row>
    <row r="34" spans="2:35" ht="13.8" thickBot="1">
      <c r="B34" s="4"/>
      <c r="C34" s="190"/>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8"/>
    </row>
    <row r="35" spans="2:35">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row>
    <row r="36" spans="2:35" ht="15" thickBot="1">
      <c r="B36" s="7" t="s">
        <v>996</v>
      </c>
    </row>
    <row r="37" spans="2:35">
      <c r="B37" s="5" t="s">
        <v>1069</v>
      </c>
      <c r="C37" s="201" t="s">
        <v>1070</v>
      </c>
      <c r="D37" s="201"/>
      <c r="E37" s="201"/>
      <c r="F37" s="201"/>
      <c r="G37" s="201"/>
      <c r="H37" s="201"/>
      <c r="I37" s="201"/>
      <c r="J37" s="201"/>
      <c r="K37" s="201"/>
      <c r="L37" s="201"/>
      <c r="M37" s="201" t="s">
        <v>1072</v>
      </c>
      <c r="N37" s="201"/>
      <c r="O37" s="201"/>
      <c r="P37" s="201"/>
      <c r="Q37" s="201"/>
      <c r="R37" s="201"/>
      <c r="S37" s="201"/>
      <c r="T37" s="201"/>
      <c r="U37" s="201" t="s">
        <v>1073</v>
      </c>
      <c r="V37" s="201"/>
      <c r="W37" s="201"/>
      <c r="X37" s="201"/>
      <c r="Y37" s="201"/>
      <c r="Z37" s="201"/>
      <c r="AA37" s="201"/>
      <c r="AB37" s="201"/>
      <c r="AC37" s="201"/>
      <c r="AD37" s="201" t="s">
        <v>1075</v>
      </c>
      <c r="AE37" s="201"/>
      <c r="AF37" s="201"/>
      <c r="AG37" s="201"/>
      <c r="AH37" s="201"/>
      <c r="AI37" s="204"/>
    </row>
    <row r="38" spans="2:35">
      <c r="B38" s="261">
        <v>1</v>
      </c>
      <c r="C38" s="230" t="s">
        <v>1149</v>
      </c>
      <c r="D38" s="230"/>
      <c r="E38" s="230"/>
      <c r="F38" s="230"/>
      <c r="G38" s="230"/>
      <c r="H38" s="230"/>
      <c r="I38" s="230"/>
      <c r="J38" s="230"/>
      <c r="K38" s="230"/>
      <c r="L38" s="230"/>
      <c r="M38" s="268" t="s">
        <v>1065</v>
      </c>
      <c r="N38" s="268"/>
      <c r="O38" s="268"/>
      <c r="P38" s="268"/>
      <c r="Q38" s="268"/>
      <c r="R38" s="268"/>
      <c r="S38" s="268"/>
      <c r="T38" s="268"/>
      <c r="U38" s="230" t="s">
        <v>1074</v>
      </c>
      <c r="V38" s="230"/>
      <c r="W38" s="230"/>
      <c r="X38" s="230"/>
      <c r="Y38" s="230"/>
      <c r="Z38" s="230"/>
      <c r="AA38" s="230"/>
      <c r="AB38" s="230"/>
      <c r="AC38" s="230"/>
      <c r="AD38" s="189" t="s">
        <v>1065</v>
      </c>
      <c r="AE38" s="189"/>
      <c r="AF38" s="189"/>
      <c r="AG38" s="189"/>
      <c r="AH38" s="189"/>
      <c r="AI38" s="191"/>
    </row>
    <row r="39" spans="2:35" ht="13.8" thickBot="1">
      <c r="B39" s="262"/>
      <c r="C39" s="231"/>
      <c r="D39" s="231"/>
      <c r="E39" s="231"/>
      <c r="F39" s="231"/>
      <c r="G39" s="231"/>
      <c r="H39" s="231"/>
      <c r="I39" s="231"/>
      <c r="J39" s="231"/>
      <c r="K39" s="231"/>
      <c r="L39" s="231"/>
      <c r="M39" s="279" t="s">
        <v>1148</v>
      </c>
      <c r="N39" s="279"/>
      <c r="O39" s="279"/>
      <c r="P39" s="279"/>
      <c r="Q39" s="279"/>
      <c r="R39" s="279"/>
      <c r="S39" s="279"/>
      <c r="T39" s="279"/>
      <c r="U39" s="231"/>
      <c r="V39" s="231"/>
      <c r="W39" s="231"/>
      <c r="X39" s="231"/>
      <c r="Y39" s="231"/>
      <c r="Z39" s="231"/>
      <c r="AA39" s="231"/>
      <c r="AB39" s="231"/>
      <c r="AC39" s="231"/>
      <c r="AD39" s="190" t="s">
        <v>1148</v>
      </c>
      <c r="AE39" s="190"/>
      <c r="AF39" s="190"/>
      <c r="AG39" s="190"/>
      <c r="AH39" s="190"/>
      <c r="AI39" s="198"/>
    </row>
  </sheetData>
  <mergeCells count="157">
    <mergeCell ref="M34:T34"/>
    <mergeCell ref="U34:AC34"/>
    <mergeCell ref="AD34:AI34"/>
    <mergeCell ref="C37:L37"/>
    <mergeCell ref="M37:T37"/>
    <mergeCell ref="U37:AC37"/>
    <mergeCell ref="AD37:AI37"/>
    <mergeCell ref="B38:B39"/>
    <mergeCell ref="C38:L39"/>
    <mergeCell ref="M38:T38"/>
    <mergeCell ref="U38:AC39"/>
    <mergeCell ref="AD38:AI38"/>
    <mergeCell ref="M39:T39"/>
    <mergeCell ref="AD39:AI39"/>
    <mergeCell ref="C28:K28"/>
    <mergeCell ref="L28:U28"/>
    <mergeCell ref="V28:X28"/>
    <mergeCell ref="Y28:AA28"/>
    <mergeCell ref="AB28:AI28"/>
    <mergeCell ref="B29:B30"/>
    <mergeCell ref="C29:K30"/>
    <mergeCell ref="L29:U29"/>
    <mergeCell ref="V29:X30"/>
    <mergeCell ref="Y29:AA30"/>
    <mergeCell ref="AB29:AI30"/>
    <mergeCell ref="L30:U30"/>
    <mergeCell ref="C33:L33"/>
    <mergeCell ref="M33:T33"/>
    <mergeCell ref="U33:AC33"/>
    <mergeCell ref="AD33:AI33"/>
    <mergeCell ref="C34:L34"/>
    <mergeCell ref="AE8:AK8"/>
    <mergeCell ref="AA9:AB9"/>
    <mergeCell ref="AA10:AB10"/>
    <mergeCell ref="AC9:AD9"/>
    <mergeCell ref="AC10:AD10"/>
    <mergeCell ref="AE9:AK9"/>
    <mergeCell ref="AE10:AK10"/>
    <mergeCell ref="AC24:AD24"/>
    <mergeCell ref="AC23:AD23"/>
    <mergeCell ref="AC22:AD22"/>
    <mergeCell ref="AC21:AD21"/>
    <mergeCell ref="AC20:AD20"/>
    <mergeCell ref="AC19:AD19"/>
    <mergeCell ref="AA8:AB8"/>
    <mergeCell ref="AC8:AD8"/>
    <mergeCell ref="AA11:AB11"/>
    <mergeCell ref="AA12:AB12"/>
    <mergeCell ref="AA13:AB13"/>
    <mergeCell ref="AA14:AB14"/>
    <mergeCell ref="B2:E4"/>
    <mergeCell ref="F2:H2"/>
    <mergeCell ref="F3:H3"/>
    <mergeCell ref="F4:H4"/>
    <mergeCell ref="C8:H8"/>
    <mergeCell ref="I8:P8"/>
    <mergeCell ref="Y8:Z8"/>
    <mergeCell ref="Y9:Z9"/>
    <mergeCell ref="Y10:Z10"/>
    <mergeCell ref="Q8:X8"/>
    <mergeCell ref="C21:H21"/>
    <mergeCell ref="C22:H22"/>
    <mergeCell ref="C23:H23"/>
    <mergeCell ref="C24:H24"/>
    <mergeCell ref="I9:P9"/>
    <mergeCell ref="I10:P10"/>
    <mergeCell ref="I11:P11"/>
    <mergeCell ref="I12:P12"/>
    <mergeCell ref="I13:P13"/>
    <mergeCell ref="I14:P14"/>
    <mergeCell ref="C15:H15"/>
    <mergeCell ref="C16:H16"/>
    <mergeCell ref="C17:H17"/>
    <mergeCell ref="C18:H18"/>
    <mergeCell ref="C19:H19"/>
    <mergeCell ref="C20:H20"/>
    <mergeCell ref="C9:H9"/>
    <mergeCell ref="C10:H10"/>
    <mergeCell ref="C11:H11"/>
    <mergeCell ref="C12:H12"/>
    <mergeCell ref="C13:H13"/>
    <mergeCell ref="C14:H14"/>
    <mergeCell ref="I21:P21"/>
    <mergeCell ref="I22:P22"/>
    <mergeCell ref="I23:P23"/>
    <mergeCell ref="I24:P24"/>
    <mergeCell ref="Q9:X9"/>
    <mergeCell ref="Q10:X10"/>
    <mergeCell ref="Q11:X11"/>
    <mergeCell ref="Q12:X12"/>
    <mergeCell ref="Q13:X13"/>
    <mergeCell ref="Q14:X14"/>
    <mergeCell ref="I15:P15"/>
    <mergeCell ref="I16:P16"/>
    <mergeCell ref="I17:P17"/>
    <mergeCell ref="I18:P18"/>
    <mergeCell ref="I19:P19"/>
    <mergeCell ref="I20:P20"/>
    <mergeCell ref="Q21:X21"/>
    <mergeCell ref="Q22:X22"/>
    <mergeCell ref="Q23:X23"/>
    <mergeCell ref="Q24:X24"/>
    <mergeCell ref="Q15:X15"/>
    <mergeCell ref="Q16:X16"/>
    <mergeCell ref="Q17:X17"/>
    <mergeCell ref="Q18:X18"/>
    <mergeCell ref="Q19:X19"/>
    <mergeCell ref="Q20:X20"/>
    <mergeCell ref="AE23:AK23"/>
    <mergeCell ref="AE24:AK24"/>
    <mergeCell ref="I2:N2"/>
    <mergeCell ref="I3:N3"/>
    <mergeCell ref="I4:N4"/>
    <mergeCell ref="AE17:AK17"/>
    <mergeCell ref="AE18:AK18"/>
    <mergeCell ref="AE19:AK19"/>
    <mergeCell ref="AE20:AK20"/>
    <mergeCell ref="AE21:AK21"/>
    <mergeCell ref="AE22:AK22"/>
    <mergeCell ref="AE11:AK11"/>
    <mergeCell ref="AE12:AK12"/>
    <mergeCell ref="AE13:AK13"/>
    <mergeCell ref="AE14:AK14"/>
    <mergeCell ref="AE15:AK15"/>
    <mergeCell ref="AE16:AK16"/>
    <mergeCell ref="AA23:AB23"/>
    <mergeCell ref="AA24:AB24"/>
    <mergeCell ref="AC11:AD11"/>
    <mergeCell ref="AC12:AD12"/>
    <mergeCell ref="AC13:AD13"/>
    <mergeCell ref="AC14:AD14"/>
    <mergeCell ref="AC15:AD15"/>
    <mergeCell ref="Y23:Z23"/>
    <mergeCell ref="Y24:Z24"/>
    <mergeCell ref="Y11:Z11"/>
    <mergeCell ref="Y12:Z12"/>
    <mergeCell ref="Y13:Z13"/>
    <mergeCell ref="Y14:Z14"/>
    <mergeCell ref="Y15:Z15"/>
    <mergeCell ref="Y16:Z16"/>
    <mergeCell ref="Y17:Z17"/>
    <mergeCell ref="Y18:Z18"/>
    <mergeCell ref="Y19:Z19"/>
    <mergeCell ref="Y20:Z20"/>
    <mergeCell ref="AA21:AB21"/>
    <mergeCell ref="AA22:AB22"/>
    <mergeCell ref="AA15:AB15"/>
    <mergeCell ref="AA16:AB16"/>
    <mergeCell ref="AC16:AD16"/>
    <mergeCell ref="AC17:AD17"/>
    <mergeCell ref="AC18:AD18"/>
    <mergeCell ref="AA17:AB17"/>
    <mergeCell ref="Y21:Z21"/>
    <mergeCell ref="Y22:Z22"/>
    <mergeCell ref="AA18:AB18"/>
    <mergeCell ref="AA19:AB19"/>
    <mergeCell ref="AA20:AB20"/>
  </mergeCells>
  <phoneticPr fontId="3"/>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7F1BA-6226-43F3-A24C-7137BC1D1114}">
  <sheetPr codeName="Sheet75"/>
  <dimension ref="B1:AK34"/>
  <sheetViews>
    <sheetView topLeftCell="A7" workbookViewId="0">
      <selection activeCell="Q16" sqref="Q16:X16"/>
    </sheetView>
  </sheetViews>
  <sheetFormatPr defaultColWidth="3.6640625" defaultRowHeight="13.2"/>
  <sheetData>
    <row r="1" spans="2:37" ht="13.8" thickBot="1"/>
    <row r="2" spans="2:37">
      <c r="B2" s="205" t="s">
        <v>95</v>
      </c>
      <c r="C2" s="206"/>
      <c r="D2" s="206"/>
      <c r="E2" s="206"/>
      <c r="F2" s="211" t="s">
        <v>93</v>
      </c>
      <c r="G2" s="211"/>
      <c r="H2" s="212"/>
      <c r="I2" s="196" t="s">
        <v>908</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86</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496</v>
      </c>
      <c r="D9" s="189"/>
      <c r="E9" s="189"/>
      <c r="F9" s="189"/>
      <c r="G9" s="189"/>
      <c r="H9" s="189"/>
      <c r="I9" s="189" t="s">
        <v>897</v>
      </c>
      <c r="J9" s="189"/>
      <c r="K9" s="189"/>
      <c r="L9" s="189"/>
      <c r="M9" s="189"/>
      <c r="N9" s="189"/>
      <c r="O9" s="189"/>
      <c r="P9" s="189"/>
      <c r="Q9" s="189" t="s">
        <v>220</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894</v>
      </c>
      <c r="D10" s="189"/>
      <c r="E10" s="189"/>
      <c r="F10" s="189"/>
      <c r="G10" s="189"/>
      <c r="H10" s="189"/>
      <c r="I10" s="189" t="s">
        <v>898</v>
      </c>
      <c r="J10" s="189"/>
      <c r="K10" s="189"/>
      <c r="L10" s="189"/>
      <c r="M10" s="189"/>
      <c r="N10" s="189"/>
      <c r="O10" s="189"/>
      <c r="P10" s="189"/>
      <c r="Q10" s="189" t="s">
        <v>219</v>
      </c>
      <c r="R10" s="189"/>
      <c r="S10" s="189"/>
      <c r="T10" s="189"/>
      <c r="U10" s="189"/>
      <c r="V10" s="189"/>
      <c r="W10" s="189"/>
      <c r="X10" s="189"/>
      <c r="Y10" s="189" t="s">
        <v>149</v>
      </c>
      <c r="Z10" s="189"/>
      <c r="AA10" s="189"/>
      <c r="AB10" s="189"/>
      <c r="AC10" s="189" t="s">
        <v>151</v>
      </c>
      <c r="AD10" s="189"/>
      <c r="AE10" s="189">
        <v>0</v>
      </c>
      <c r="AF10" s="189"/>
      <c r="AG10" s="189"/>
      <c r="AH10" s="189"/>
      <c r="AI10" s="189"/>
      <c r="AJ10" s="189"/>
      <c r="AK10" s="191"/>
    </row>
    <row r="11" spans="2:37">
      <c r="B11" s="3">
        <v>3</v>
      </c>
      <c r="C11" s="189" t="s">
        <v>895</v>
      </c>
      <c r="D11" s="189"/>
      <c r="E11" s="189"/>
      <c r="F11" s="189"/>
      <c r="G11" s="189"/>
      <c r="H11" s="189"/>
      <c r="I11" s="189" t="s">
        <v>899</v>
      </c>
      <c r="J11" s="189"/>
      <c r="K11" s="189"/>
      <c r="L11" s="189"/>
      <c r="M11" s="189"/>
      <c r="N11" s="189"/>
      <c r="O11" s="189"/>
      <c r="P11" s="189"/>
      <c r="Q11" s="189" t="s">
        <v>1340</v>
      </c>
      <c r="R11" s="189"/>
      <c r="S11" s="189"/>
      <c r="T11" s="189"/>
      <c r="U11" s="189"/>
      <c r="V11" s="189"/>
      <c r="W11" s="189"/>
      <c r="X11" s="189"/>
      <c r="Y11" s="189" t="s">
        <v>149</v>
      </c>
      <c r="Z11" s="189"/>
      <c r="AA11" s="189"/>
      <c r="AB11" s="189"/>
      <c r="AC11" s="189" t="s">
        <v>151</v>
      </c>
      <c r="AD11" s="189"/>
      <c r="AE11" s="189">
        <v>1</v>
      </c>
      <c r="AF11" s="189"/>
      <c r="AG11" s="189"/>
      <c r="AH11" s="189"/>
      <c r="AI11" s="189"/>
      <c r="AJ11" s="189"/>
      <c r="AK11" s="191"/>
    </row>
    <row r="12" spans="2:37">
      <c r="B12" s="3">
        <v>4</v>
      </c>
      <c r="C12" s="189" t="s">
        <v>874</v>
      </c>
      <c r="D12" s="189"/>
      <c r="E12" s="189"/>
      <c r="F12" s="189"/>
      <c r="G12" s="189"/>
      <c r="H12" s="189"/>
      <c r="I12" s="189" t="s">
        <v>900</v>
      </c>
      <c r="J12" s="189"/>
      <c r="K12" s="189"/>
      <c r="L12" s="189"/>
      <c r="M12" s="189"/>
      <c r="N12" s="189"/>
      <c r="O12" s="189"/>
      <c r="P12" s="189"/>
      <c r="Q12" s="189" t="s">
        <v>1339</v>
      </c>
      <c r="R12" s="189"/>
      <c r="S12" s="189"/>
      <c r="T12" s="189"/>
      <c r="U12" s="189"/>
      <c r="V12" s="189"/>
      <c r="W12" s="189"/>
      <c r="X12" s="189"/>
      <c r="Y12" s="189"/>
      <c r="Z12" s="189"/>
      <c r="AA12" s="189"/>
      <c r="AB12" s="189"/>
      <c r="AC12" s="189"/>
      <c r="AD12" s="189"/>
      <c r="AE12" s="189" t="s">
        <v>223</v>
      </c>
      <c r="AF12" s="189"/>
      <c r="AG12" s="189"/>
      <c r="AH12" s="189"/>
      <c r="AI12" s="189"/>
      <c r="AJ12" s="189"/>
      <c r="AK12" s="191"/>
    </row>
    <row r="13" spans="2:37">
      <c r="B13" s="3">
        <v>5</v>
      </c>
      <c r="C13" s="189" t="s">
        <v>896</v>
      </c>
      <c r="D13" s="189"/>
      <c r="E13" s="189"/>
      <c r="F13" s="189"/>
      <c r="G13" s="189"/>
      <c r="H13" s="189"/>
      <c r="I13" s="189" t="s">
        <v>901</v>
      </c>
      <c r="J13" s="189"/>
      <c r="K13" s="189"/>
      <c r="L13" s="189"/>
      <c r="M13" s="189"/>
      <c r="N13" s="189"/>
      <c r="O13" s="189"/>
      <c r="P13" s="189"/>
      <c r="Q13" s="189" t="s">
        <v>1339</v>
      </c>
      <c r="R13" s="189"/>
      <c r="S13" s="189"/>
      <c r="T13" s="189"/>
      <c r="U13" s="189"/>
      <c r="V13" s="189"/>
      <c r="W13" s="189"/>
      <c r="X13" s="189"/>
      <c r="Y13" s="189"/>
      <c r="Z13" s="189"/>
      <c r="AA13" s="189"/>
      <c r="AB13" s="189"/>
      <c r="AC13" s="189"/>
      <c r="AD13" s="189"/>
      <c r="AE13" s="189" t="s">
        <v>223</v>
      </c>
      <c r="AF13" s="189"/>
      <c r="AG13" s="189"/>
      <c r="AH13" s="189"/>
      <c r="AI13" s="189"/>
      <c r="AJ13" s="189"/>
      <c r="AK13" s="191"/>
    </row>
    <row r="14" spans="2:37">
      <c r="B14" s="3">
        <v>6</v>
      </c>
      <c r="C14" s="189" t="s">
        <v>478</v>
      </c>
      <c r="D14" s="189"/>
      <c r="E14" s="189"/>
      <c r="F14" s="189"/>
      <c r="G14" s="189"/>
      <c r="H14" s="189"/>
      <c r="I14" s="189" t="s">
        <v>902</v>
      </c>
      <c r="J14" s="189"/>
      <c r="K14" s="189"/>
      <c r="L14" s="189"/>
      <c r="M14" s="189"/>
      <c r="N14" s="189"/>
      <c r="O14" s="189"/>
      <c r="P14" s="189"/>
      <c r="Q14" s="189" t="s">
        <v>1341</v>
      </c>
      <c r="R14" s="189"/>
      <c r="S14" s="189"/>
      <c r="T14" s="189"/>
      <c r="U14" s="189"/>
      <c r="V14" s="189"/>
      <c r="W14" s="189"/>
      <c r="X14" s="189"/>
      <c r="Y14" s="189"/>
      <c r="Z14" s="189"/>
      <c r="AA14" s="189"/>
      <c r="AB14" s="189"/>
      <c r="AC14" s="189" t="s">
        <v>151</v>
      </c>
      <c r="AD14" s="189"/>
      <c r="AE14" s="189"/>
      <c r="AF14" s="189"/>
      <c r="AG14" s="189"/>
      <c r="AH14" s="189"/>
      <c r="AI14" s="189"/>
      <c r="AJ14" s="189"/>
      <c r="AK14" s="191"/>
    </row>
    <row r="15" spans="2:37">
      <c r="B15" s="3">
        <v>7</v>
      </c>
      <c r="C15" s="189" t="s">
        <v>204</v>
      </c>
      <c r="D15" s="189"/>
      <c r="E15" s="189"/>
      <c r="F15" s="189"/>
      <c r="G15" s="189"/>
      <c r="H15" s="189"/>
      <c r="I15" s="189" t="s">
        <v>903</v>
      </c>
      <c r="J15" s="189"/>
      <c r="K15" s="189"/>
      <c r="L15" s="189"/>
      <c r="M15" s="189"/>
      <c r="N15" s="189"/>
      <c r="O15" s="189"/>
      <c r="P15" s="189"/>
      <c r="Q15" s="189" t="s">
        <v>1340</v>
      </c>
      <c r="R15" s="189"/>
      <c r="S15" s="189"/>
      <c r="T15" s="189"/>
      <c r="U15" s="189"/>
      <c r="V15" s="189"/>
      <c r="W15" s="189"/>
      <c r="X15" s="189"/>
      <c r="Y15" s="189"/>
      <c r="Z15" s="189"/>
      <c r="AA15" s="189"/>
      <c r="AB15" s="189"/>
      <c r="AC15" s="189" t="s">
        <v>151</v>
      </c>
      <c r="AD15" s="189"/>
      <c r="AE15" s="189">
        <v>99999</v>
      </c>
      <c r="AF15" s="189"/>
      <c r="AG15" s="189"/>
      <c r="AH15" s="189"/>
      <c r="AI15" s="189"/>
      <c r="AJ15" s="189"/>
      <c r="AK15" s="191"/>
    </row>
    <row r="16" spans="2:37">
      <c r="B16" s="3">
        <v>8</v>
      </c>
      <c r="C16" s="189" t="s">
        <v>480</v>
      </c>
      <c r="D16" s="189"/>
      <c r="E16" s="189"/>
      <c r="F16" s="189"/>
      <c r="G16" s="189"/>
      <c r="H16" s="189"/>
      <c r="I16" s="189" t="s">
        <v>904</v>
      </c>
      <c r="J16" s="189"/>
      <c r="K16" s="189"/>
      <c r="L16" s="189"/>
      <c r="M16" s="189"/>
      <c r="N16" s="189"/>
      <c r="O16" s="189"/>
      <c r="P16" s="189"/>
      <c r="Q16" s="189" t="s">
        <v>1341</v>
      </c>
      <c r="R16" s="189"/>
      <c r="S16" s="189"/>
      <c r="T16" s="189"/>
      <c r="U16" s="189"/>
      <c r="V16" s="189"/>
      <c r="W16" s="189"/>
      <c r="X16" s="189"/>
      <c r="Y16" s="189"/>
      <c r="Z16" s="189"/>
      <c r="AA16" s="189"/>
      <c r="AB16" s="189"/>
      <c r="AC16" s="189" t="s">
        <v>151</v>
      </c>
      <c r="AD16" s="189"/>
      <c r="AE16" s="189"/>
      <c r="AF16" s="189"/>
      <c r="AG16" s="189"/>
      <c r="AH16" s="189"/>
      <c r="AI16" s="189"/>
      <c r="AJ16" s="189"/>
      <c r="AK16" s="191"/>
    </row>
    <row r="17" spans="2:37">
      <c r="B17" s="3">
        <v>9</v>
      </c>
      <c r="C17" s="189" t="s">
        <v>206</v>
      </c>
      <c r="D17" s="189"/>
      <c r="E17" s="189"/>
      <c r="F17" s="189"/>
      <c r="G17" s="189"/>
      <c r="H17" s="189"/>
      <c r="I17" s="189" t="s">
        <v>905</v>
      </c>
      <c r="J17" s="189"/>
      <c r="K17" s="189"/>
      <c r="L17" s="189"/>
      <c r="M17" s="189"/>
      <c r="N17" s="189"/>
      <c r="O17" s="189"/>
      <c r="P17" s="189"/>
      <c r="Q17" s="189" t="s">
        <v>1340</v>
      </c>
      <c r="R17" s="189"/>
      <c r="S17" s="189"/>
      <c r="T17" s="189"/>
      <c r="U17" s="189"/>
      <c r="V17" s="189"/>
      <c r="W17" s="189"/>
      <c r="X17" s="189"/>
      <c r="Y17" s="189"/>
      <c r="Z17" s="189"/>
      <c r="AA17" s="189"/>
      <c r="AB17" s="189"/>
      <c r="AC17" s="189" t="s">
        <v>151</v>
      </c>
      <c r="AD17" s="189"/>
      <c r="AE17" s="189">
        <v>99999</v>
      </c>
      <c r="AF17" s="189"/>
      <c r="AG17" s="189"/>
      <c r="AH17" s="189"/>
      <c r="AI17" s="189"/>
      <c r="AJ17" s="189"/>
      <c r="AK17" s="191"/>
    </row>
    <row r="18" spans="2:37">
      <c r="B18" s="3">
        <v>10</v>
      </c>
      <c r="C18" s="189" t="s">
        <v>207</v>
      </c>
      <c r="D18" s="189"/>
      <c r="E18" s="189"/>
      <c r="F18" s="189"/>
      <c r="G18" s="189"/>
      <c r="H18" s="189"/>
      <c r="I18" s="189" t="s">
        <v>906</v>
      </c>
      <c r="J18" s="189"/>
      <c r="K18" s="189"/>
      <c r="L18" s="189"/>
      <c r="M18" s="189"/>
      <c r="N18" s="189"/>
      <c r="O18" s="189"/>
      <c r="P18" s="189"/>
      <c r="Q18" s="189" t="s">
        <v>1340</v>
      </c>
      <c r="R18" s="189"/>
      <c r="S18" s="189"/>
      <c r="T18" s="189"/>
      <c r="U18" s="189"/>
      <c r="V18" s="189"/>
      <c r="W18" s="189"/>
      <c r="X18" s="189"/>
      <c r="Y18" s="189"/>
      <c r="Z18" s="189"/>
      <c r="AA18" s="189"/>
      <c r="AB18" s="189"/>
      <c r="AC18" s="189" t="s">
        <v>151</v>
      </c>
      <c r="AD18" s="189"/>
      <c r="AE18" s="189">
        <v>0</v>
      </c>
      <c r="AF18" s="189"/>
      <c r="AG18" s="189"/>
      <c r="AH18" s="189"/>
      <c r="AI18" s="189"/>
      <c r="AJ18" s="189"/>
      <c r="AK18" s="191"/>
    </row>
    <row r="19" spans="2:37" ht="13.8" thickBot="1">
      <c r="B19" s="4">
        <v>11</v>
      </c>
      <c r="C19" s="190" t="s">
        <v>208</v>
      </c>
      <c r="D19" s="190"/>
      <c r="E19" s="190"/>
      <c r="F19" s="190"/>
      <c r="G19" s="190"/>
      <c r="H19" s="190"/>
      <c r="I19" s="190" t="s">
        <v>907</v>
      </c>
      <c r="J19" s="190"/>
      <c r="K19" s="190"/>
      <c r="L19" s="190"/>
      <c r="M19" s="190"/>
      <c r="N19" s="190"/>
      <c r="O19" s="190"/>
      <c r="P19" s="190"/>
      <c r="Q19" s="190" t="s">
        <v>1342</v>
      </c>
      <c r="R19" s="190"/>
      <c r="S19" s="190"/>
      <c r="T19" s="190"/>
      <c r="U19" s="190"/>
      <c r="V19" s="190"/>
      <c r="W19" s="190"/>
      <c r="X19" s="190"/>
      <c r="Y19" s="190"/>
      <c r="Z19" s="190"/>
      <c r="AA19" s="190"/>
      <c r="AB19" s="190"/>
      <c r="AC19" s="190" t="s">
        <v>151</v>
      </c>
      <c r="AD19" s="190"/>
      <c r="AE19" s="190" t="s">
        <v>224</v>
      </c>
      <c r="AF19" s="190"/>
      <c r="AG19" s="190"/>
      <c r="AH19" s="190"/>
      <c r="AI19" s="190"/>
      <c r="AJ19" s="190"/>
      <c r="AK19" s="198"/>
    </row>
    <row r="22" spans="2:37" ht="15" thickBot="1">
      <c r="B22" s="7" t="s">
        <v>994</v>
      </c>
    </row>
    <row r="23" spans="2:37" ht="13.8" thickBot="1">
      <c r="B23" s="10" t="s">
        <v>7</v>
      </c>
      <c r="C23" s="226" t="s">
        <v>998</v>
      </c>
      <c r="D23" s="226"/>
      <c r="E23" s="226"/>
      <c r="F23" s="226"/>
      <c r="G23" s="226"/>
      <c r="H23" s="226"/>
      <c r="I23" s="226"/>
      <c r="J23" s="226"/>
      <c r="K23" s="226"/>
      <c r="L23" s="226" t="s">
        <v>1000</v>
      </c>
      <c r="M23" s="226"/>
      <c r="N23" s="226"/>
      <c r="O23" s="226"/>
      <c r="P23" s="226"/>
      <c r="Q23" s="226"/>
      <c r="R23" s="226"/>
      <c r="S23" s="226"/>
      <c r="T23" s="226"/>
      <c r="U23" s="226"/>
      <c r="V23" s="226" t="s">
        <v>1002</v>
      </c>
      <c r="W23" s="226"/>
      <c r="X23" s="226"/>
      <c r="Y23" s="226" t="s">
        <v>1004</v>
      </c>
      <c r="Z23" s="226"/>
      <c r="AA23" s="226"/>
      <c r="AB23" s="226" t="s">
        <v>1005</v>
      </c>
      <c r="AC23" s="226"/>
      <c r="AD23" s="226"/>
      <c r="AE23" s="226"/>
      <c r="AF23" s="226"/>
      <c r="AG23" s="226"/>
      <c r="AH23" s="226"/>
      <c r="AI23" s="227"/>
    </row>
    <row r="24" spans="2:37" ht="14.4" customHeight="1">
      <c r="B24" s="312">
        <v>1</v>
      </c>
      <c r="C24" s="230" t="s">
        <v>1150</v>
      </c>
      <c r="D24" s="230"/>
      <c r="E24" s="230"/>
      <c r="F24" s="230"/>
      <c r="G24" s="230"/>
      <c r="H24" s="230"/>
      <c r="I24" s="230"/>
      <c r="J24" s="230"/>
      <c r="K24" s="230"/>
      <c r="L24" s="246" t="s">
        <v>1067</v>
      </c>
      <c r="M24" s="246"/>
      <c r="N24" s="246"/>
      <c r="O24" s="246"/>
      <c r="P24" s="246"/>
      <c r="Q24" s="246"/>
      <c r="R24" s="246"/>
      <c r="S24" s="246"/>
      <c r="T24" s="246"/>
      <c r="U24" s="246"/>
      <c r="V24" s="230" t="s">
        <v>1022</v>
      </c>
      <c r="W24" s="230"/>
      <c r="X24" s="230"/>
      <c r="Y24" s="230" t="s">
        <v>1022</v>
      </c>
      <c r="Z24" s="230"/>
      <c r="AA24" s="230"/>
      <c r="AB24" s="230"/>
      <c r="AC24" s="230"/>
      <c r="AD24" s="230"/>
      <c r="AE24" s="230"/>
      <c r="AF24" s="230"/>
      <c r="AG24" s="230"/>
      <c r="AH24" s="230"/>
      <c r="AI24" s="233"/>
    </row>
    <row r="25" spans="2:37" ht="14.4" customHeight="1">
      <c r="B25" s="312"/>
      <c r="C25" s="230"/>
      <c r="D25" s="230"/>
      <c r="E25" s="230"/>
      <c r="F25" s="230"/>
      <c r="G25" s="230"/>
      <c r="H25" s="230"/>
      <c r="I25" s="230"/>
      <c r="J25" s="230"/>
      <c r="K25" s="230"/>
      <c r="L25" s="284" t="s">
        <v>1068</v>
      </c>
      <c r="M25" s="284"/>
      <c r="N25" s="284"/>
      <c r="O25" s="284"/>
      <c r="P25" s="284"/>
      <c r="Q25" s="284"/>
      <c r="R25" s="284"/>
      <c r="S25" s="284"/>
      <c r="T25" s="284"/>
      <c r="U25" s="284"/>
      <c r="V25" s="230"/>
      <c r="W25" s="230"/>
      <c r="X25" s="230"/>
      <c r="Y25" s="230"/>
      <c r="Z25" s="230"/>
      <c r="AA25" s="230"/>
      <c r="AB25" s="230"/>
      <c r="AC25" s="230"/>
      <c r="AD25" s="230"/>
      <c r="AE25" s="230"/>
      <c r="AF25" s="230"/>
      <c r="AG25" s="230"/>
      <c r="AH25" s="230"/>
      <c r="AI25" s="233"/>
    </row>
    <row r="26" spans="2:37" ht="14.4" customHeight="1" thickBot="1">
      <c r="B26" s="313"/>
      <c r="C26" s="231"/>
      <c r="D26" s="231"/>
      <c r="E26" s="231"/>
      <c r="F26" s="231"/>
      <c r="G26" s="231"/>
      <c r="H26" s="231"/>
      <c r="I26" s="231"/>
      <c r="J26" s="231"/>
      <c r="K26" s="231"/>
      <c r="L26" s="259" t="s">
        <v>1151</v>
      </c>
      <c r="M26" s="259"/>
      <c r="N26" s="259"/>
      <c r="O26" s="259"/>
      <c r="P26" s="259"/>
      <c r="Q26" s="259"/>
      <c r="R26" s="259"/>
      <c r="S26" s="259"/>
      <c r="T26" s="259"/>
      <c r="U26" s="259"/>
      <c r="V26" s="231"/>
      <c r="W26" s="231"/>
      <c r="X26" s="231"/>
      <c r="Y26" s="231"/>
      <c r="Z26" s="231"/>
      <c r="AA26" s="231"/>
      <c r="AB26" s="231"/>
      <c r="AC26" s="231"/>
      <c r="AD26" s="231"/>
      <c r="AE26" s="231"/>
      <c r="AF26" s="231"/>
      <c r="AG26" s="231"/>
      <c r="AH26" s="231"/>
      <c r="AI26" s="234"/>
    </row>
    <row r="28" spans="2:37" ht="15" thickBot="1">
      <c r="B28" s="7" t="s">
        <v>995</v>
      </c>
    </row>
    <row r="29" spans="2:37">
      <c r="B29" s="14" t="s">
        <v>1069</v>
      </c>
      <c r="C29" s="226" t="s">
        <v>1070</v>
      </c>
      <c r="D29" s="226"/>
      <c r="E29" s="226"/>
      <c r="F29" s="226"/>
      <c r="G29" s="226"/>
      <c r="H29" s="226"/>
      <c r="I29" s="226"/>
      <c r="J29" s="226"/>
      <c r="K29" s="226"/>
      <c r="L29" s="226"/>
      <c r="M29" s="226" t="s">
        <v>1072</v>
      </c>
      <c r="N29" s="226"/>
      <c r="O29" s="226"/>
      <c r="P29" s="226"/>
      <c r="Q29" s="226"/>
      <c r="R29" s="226"/>
      <c r="S29" s="226"/>
      <c r="T29" s="226"/>
      <c r="U29" s="226" t="s">
        <v>1154</v>
      </c>
      <c r="V29" s="226"/>
      <c r="W29" s="226"/>
      <c r="X29" s="226"/>
      <c r="Y29" s="226"/>
      <c r="Z29" s="226"/>
      <c r="AA29" s="226"/>
      <c r="AB29" s="226"/>
      <c r="AC29" s="226"/>
      <c r="AD29" s="226" t="s">
        <v>1155</v>
      </c>
      <c r="AE29" s="226"/>
      <c r="AF29" s="226"/>
      <c r="AG29" s="226"/>
      <c r="AH29" s="226"/>
      <c r="AI29" s="227"/>
    </row>
    <row r="30" spans="2:37" ht="13.8" thickBot="1">
      <c r="B30" s="4"/>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8"/>
    </row>
    <row r="32" spans="2:37" ht="15" thickBot="1">
      <c r="B32" s="7" t="s">
        <v>996</v>
      </c>
    </row>
    <row r="33" spans="2:35">
      <c r="B33" s="14" t="s">
        <v>1069</v>
      </c>
      <c r="C33" s="226" t="s">
        <v>1070</v>
      </c>
      <c r="D33" s="226"/>
      <c r="E33" s="226"/>
      <c r="F33" s="226"/>
      <c r="G33" s="226"/>
      <c r="H33" s="226"/>
      <c r="I33" s="226"/>
      <c r="J33" s="226"/>
      <c r="K33" s="226"/>
      <c r="L33" s="226"/>
      <c r="M33" s="226" t="s">
        <v>1072</v>
      </c>
      <c r="N33" s="226"/>
      <c r="O33" s="226"/>
      <c r="P33" s="226"/>
      <c r="Q33" s="226"/>
      <c r="R33" s="226"/>
      <c r="S33" s="226"/>
      <c r="T33" s="226"/>
      <c r="U33" s="226" t="s">
        <v>1154</v>
      </c>
      <c r="V33" s="226"/>
      <c r="W33" s="226"/>
      <c r="X33" s="226"/>
      <c r="Y33" s="226"/>
      <c r="Z33" s="226"/>
      <c r="AA33" s="226"/>
      <c r="AB33" s="226"/>
      <c r="AC33" s="226"/>
      <c r="AD33" s="226" t="s">
        <v>1155</v>
      </c>
      <c r="AE33" s="226"/>
      <c r="AF33" s="226"/>
      <c r="AG33" s="226"/>
      <c r="AH33" s="226"/>
      <c r="AI33" s="227"/>
    </row>
    <row r="34" spans="2:35" ht="13.8" thickBot="1">
      <c r="B34" s="4"/>
      <c r="C34" s="190"/>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8"/>
    </row>
  </sheetData>
  <mergeCells count="120">
    <mergeCell ref="C34:L34"/>
    <mergeCell ref="M34:T34"/>
    <mergeCell ref="U34:AC34"/>
    <mergeCell ref="AD34:AI34"/>
    <mergeCell ref="C29:L29"/>
    <mergeCell ref="M29:T29"/>
    <mergeCell ref="U29:AC29"/>
    <mergeCell ref="AD29:AI29"/>
    <mergeCell ref="C30:L30"/>
    <mergeCell ref="M30:T30"/>
    <mergeCell ref="U30:AC30"/>
    <mergeCell ref="AD30:AI30"/>
    <mergeCell ref="L24:U24"/>
    <mergeCell ref="L25:U25"/>
    <mergeCell ref="L26:U26"/>
    <mergeCell ref="B24:B26"/>
    <mergeCell ref="C24:K26"/>
    <mergeCell ref="V24:X26"/>
    <mergeCell ref="Y24:AA26"/>
    <mergeCell ref="AB24:AI26"/>
    <mergeCell ref="C33:L33"/>
    <mergeCell ref="M33:T33"/>
    <mergeCell ref="U33:AC33"/>
    <mergeCell ref="AD33:AI33"/>
    <mergeCell ref="AC8:AD8"/>
    <mergeCell ref="I19:P19"/>
    <mergeCell ref="C15:H15"/>
    <mergeCell ref="C16:H16"/>
    <mergeCell ref="C17:H17"/>
    <mergeCell ref="C18:H18"/>
    <mergeCell ref="C19:H19"/>
    <mergeCell ref="I15:P15"/>
    <mergeCell ref="I16:P16"/>
    <mergeCell ref="I17:P17"/>
    <mergeCell ref="I18:P18"/>
    <mergeCell ref="I8:P8"/>
    <mergeCell ref="C10:H10"/>
    <mergeCell ref="C11:H11"/>
    <mergeCell ref="C12:H12"/>
    <mergeCell ref="C13:H13"/>
    <mergeCell ref="I9:P9"/>
    <mergeCell ref="I10:P10"/>
    <mergeCell ref="I11:P11"/>
    <mergeCell ref="I12:P12"/>
    <mergeCell ref="I13:P13"/>
    <mergeCell ref="I14:P14"/>
    <mergeCell ref="Q11:X11"/>
    <mergeCell ref="Q12:X12"/>
    <mergeCell ref="C23:K23"/>
    <mergeCell ref="L23:U23"/>
    <mergeCell ref="V23:X23"/>
    <mergeCell ref="Y23:AA23"/>
    <mergeCell ref="B2:E4"/>
    <mergeCell ref="F2:H2"/>
    <mergeCell ref="F3:H3"/>
    <mergeCell ref="F4:H4"/>
    <mergeCell ref="C8:H8"/>
    <mergeCell ref="Q8:X8"/>
    <mergeCell ref="AA8:AB8"/>
    <mergeCell ref="AB23:AI23"/>
    <mergeCell ref="AE8:AK8"/>
    <mergeCell ref="AA9:AB9"/>
    <mergeCell ref="AA10:AB10"/>
    <mergeCell ref="Q9:X9"/>
    <mergeCell ref="Q10:X10"/>
    <mergeCell ref="C14:H14"/>
    <mergeCell ref="AA11:AB11"/>
    <mergeCell ref="AC9:AD9"/>
    <mergeCell ref="AC10:AD10"/>
    <mergeCell ref="AC11:AD11"/>
    <mergeCell ref="AC14:AD14"/>
    <mergeCell ref="C9:H9"/>
    <mergeCell ref="Q13:X13"/>
    <mergeCell ref="Q14:X14"/>
    <mergeCell ref="Q15:X15"/>
    <mergeCell ref="AE15:AK15"/>
    <mergeCell ref="Q17:X17"/>
    <mergeCell ref="Q18:X18"/>
    <mergeCell ref="Q19:X19"/>
    <mergeCell ref="AA12:AB12"/>
    <mergeCell ref="AA13:AB13"/>
    <mergeCell ref="AA14:AB14"/>
    <mergeCell ref="AA15:AB15"/>
    <mergeCell ref="AA16:AB16"/>
    <mergeCell ref="AA17:AB17"/>
    <mergeCell ref="AA18:AB18"/>
    <mergeCell ref="Q16:X16"/>
    <mergeCell ref="AC16:AD16"/>
    <mergeCell ref="AC17:AD17"/>
    <mergeCell ref="AC18:AD18"/>
    <mergeCell ref="AC19:AD19"/>
    <mergeCell ref="AE16:AK16"/>
    <mergeCell ref="AE17:AK17"/>
    <mergeCell ref="AE18:AK18"/>
    <mergeCell ref="AE19:AK19"/>
    <mergeCell ref="AC15:AD15"/>
    <mergeCell ref="I2:N2"/>
    <mergeCell ref="I3:N3"/>
    <mergeCell ref="I4:N4"/>
    <mergeCell ref="AA19:AB19"/>
    <mergeCell ref="AC12:AD12"/>
    <mergeCell ref="AC13:AD13"/>
    <mergeCell ref="AE9:AK9"/>
    <mergeCell ref="AE10:AK10"/>
    <mergeCell ref="AE11:AK11"/>
    <mergeCell ref="AE12:AK12"/>
    <mergeCell ref="AE13:AK13"/>
    <mergeCell ref="AE14:AK14"/>
    <mergeCell ref="Y8:Z8"/>
    <mergeCell ref="Y9:Z9"/>
    <mergeCell ref="Y10:Z10"/>
    <mergeCell ref="Y11:Z11"/>
    <mergeCell ref="Y12:Z12"/>
    <mergeCell ref="Y13:Z13"/>
    <mergeCell ref="Y14:Z14"/>
    <mergeCell ref="Y15:Z15"/>
    <mergeCell ref="Y16:Z16"/>
    <mergeCell ref="Y17:Z17"/>
    <mergeCell ref="Y18:Z18"/>
    <mergeCell ref="Y19:Z19"/>
  </mergeCells>
  <phoneticPr fontId="3"/>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AA5D-C7C9-4427-8AE7-D128CE31B4CB}">
  <sheetPr codeName="Sheet76"/>
  <dimension ref="B1:AK35"/>
  <sheetViews>
    <sheetView workbookViewId="0">
      <selection activeCell="A15" sqref="A15:XFD15"/>
    </sheetView>
  </sheetViews>
  <sheetFormatPr defaultColWidth="3.6640625" defaultRowHeight="13.2"/>
  <sheetData>
    <row r="1" spans="2:37" ht="13.8" thickBot="1"/>
    <row r="2" spans="2:37">
      <c r="B2" s="205" t="s">
        <v>95</v>
      </c>
      <c r="C2" s="206"/>
      <c r="D2" s="206"/>
      <c r="E2" s="206"/>
      <c r="F2" s="211" t="s">
        <v>93</v>
      </c>
      <c r="G2" s="211"/>
      <c r="H2" s="212"/>
      <c r="I2" s="196" t="s">
        <v>893</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888</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889</v>
      </c>
      <c r="D9" s="189"/>
      <c r="E9" s="189"/>
      <c r="F9" s="189"/>
      <c r="G9" s="189"/>
      <c r="H9" s="189"/>
      <c r="I9" s="189" t="s">
        <v>891</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874</v>
      </c>
      <c r="D10" s="189"/>
      <c r="E10" s="189"/>
      <c r="F10" s="189"/>
      <c r="G10" s="189"/>
      <c r="H10" s="189"/>
      <c r="I10" s="189" t="s">
        <v>481</v>
      </c>
      <c r="J10" s="189"/>
      <c r="K10" s="189"/>
      <c r="L10" s="189"/>
      <c r="M10" s="189"/>
      <c r="N10" s="189"/>
      <c r="O10" s="189"/>
      <c r="P10" s="189"/>
      <c r="Q10" s="189" t="s">
        <v>144</v>
      </c>
      <c r="R10" s="189"/>
      <c r="S10" s="189"/>
      <c r="T10" s="189"/>
      <c r="U10" s="189"/>
      <c r="V10" s="189"/>
      <c r="W10" s="189"/>
      <c r="X10" s="189"/>
      <c r="Y10" s="189"/>
      <c r="Z10" s="189"/>
      <c r="AA10" s="189"/>
      <c r="AB10" s="189"/>
      <c r="AC10" s="189" t="s">
        <v>151</v>
      </c>
      <c r="AD10" s="189"/>
      <c r="AE10" s="189" t="s">
        <v>492</v>
      </c>
      <c r="AF10" s="189"/>
      <c r="AG10" s="189"/>
      <c r="AH10" s="189"/>
      <c r="AI10" s="189"/>
      <c r="AJ10" s="189"/>
      <c r="AK10" s="191"/>
    </row>
    <row r="11" spans="2:37">
      <c r="B11" s="3">
        <v>3</v>
      </c>
      <c r="C11" s="189" t="s">
        <v>890</v>
      </c>
      <c r="D11" s="189"/>
      <c r="E11" s="189"/>
      <c r="F11" s="189"/>
      <c r="G11" s="189"/>
      <c r="H11" s="189"/>
      <c r="I11" s="189" t="s">
        <v>882</v>
      </c>
      <c r="J11" s="189"/>
      <c r="K11" s="189"/>
      <c r="L11" s="189"/>
      <c r="M11" s="189"/>
      <c r="N11" s="189"/>
      <c r="O11" s="189"/>
      <c r="P11" s="189"/>
      <c r="Q11" s="189" t="s">
        <v>146</v>
      </c>
      <c r="R11" s="189"/>
      <c r="S11" s="189"/>
      <c r="T11" s="189"/>
      <c r="U11" s="189"/>
      <c r="V11" s="189"/>
      <c r="W11" s="189"/>
      <c r="X11" s="189"/>
      <c r="Y11" s="189"/>
      <c r="Z11" s="189"/>
      <c r="AA11" s="189"/>
      <c r="AB11" s="189"/>
      <c r="AC11" s="189" t="s">
        <v>151</v>
      </c>
      <c r="AD11" s="189"/>
      <c r="AE11" s="189"/>
      <c r="AF11" s="189"/>
      <c r="AG11" s="189"/>
      <c r="AH11" s="189"/>
      <c r="AI11" s="189"/>
      <c r="AJ11" s="189"/>
      <c r="AK11" s="191"/>
    </row>
    <row r="12" spans="2:37">
      <c r="B12" s="3">
        <v>4</v>
      </c>
      <c r="C12" s="189" t="s">
        <v>496</v>
      </c>
      <c r="D12" s="189"/>
      <c r="E12" s="189"/>
      <c r="F12" s="189"/>
      <c r="G12" s="189"/>
      <c r="H12" s="189"/>
      <c r="I12" s="189" t="s">
        <v>519</v>
      </c>
      <c r="J12" s="189"/>
      <c r="K12" s="189"/>
      <c r="L12" s="189"/>
      <c r="M12" s="189"/>
      <c r="N12" s="189"/>
      <c r="O12" s="189"/>
      <c r="P12" s="189"/>
      <c r="Q12" s="189" t="s">
        <v>144</v>
      </c>
      <c r="R12" s="189"/>
      <c r="S12" s="189"/>
      <c r="T12" s="189"/>
      <c r="U12" s="189"/>
      <c r="V12" s="189"/>
      <c r="W12" s="189"/>
      <c r="X12" s="189"/>
      <c r="Y12" s="189"/>
      <c r="Z12" s="189"/>
      <c r="AA12" s="189"/>
      <c r="AB12" s="189"/>
      <c r="AC12" s="189" t="s">
        <v>151</v>
      </c>
      <c r="AD12" s="189"/>
      <c r="AE12" s="189" t="s">
        <v>492</v>
      </c>
      <c r="AF12" s="189"/>
      <c r="AG12" s="189"/>
      <c r="AH12" s="189"/>
      <c r="AI12" s="189"/>
      <c r="AJ12" s="189"/>
      <c r="AK12" s="191"/>
    </row>
    <row r="13" spans="2:37">
      <c r="B13" s="3">
        <v>5</v>
      </c>
      <c r="C13" s="189" t="s">
        <v>207</v>
      </c>
      <c r="D13" s="189"/>
      <c r="E13" s="189"/>
      <c r="F13" s="189"/>
      <c r="G13" s="189"/>
      <c r="H13" s="189"/>
      <c r="I13" s="189" t="s">
        <v>520</v>
      </c>
      <c r="J13" s="189"/>
      <c r="K13" s="189"/>
      <c r="L13" s="189"/>
      <c r="M13" s="189"/>
      <c r="N13" s="189"/>
      <c r="O13" s="189"/>
      <c r="P13" s="189"/>
      <c r="Q13" s="189" t="s">
        <v>146</v>
      </c>
      <c r="R13" s="189"/>
      <c r="S13" s="189"/>
      <c r="T13" s="189"/>
      <c r="U13" s="189"/>
      <c r="V13" s="189"/>
      <c r="W13" s="189"/>
      <c r="X13" s="189"/>
      <c r="Y13" s="189"/>
      <c r="Z13" s="189"/>
      <c r="AA13" s="189"/>
      <c r="AB13" s="189"/>
      <c r="AC13" s="189" t="s">
        <v>151</v>
      </c>
      <c r="AD13" s="189"/>
      <c r="AE13" s="189"/>
      <c r="AF13" s="189"/>
      <c r="AG13" s="189"/>
      <c r="AH13" s="189"/>
      <c r="AI13" s="189"/>
      <c r="AJ13" s="189"/>
      <c r="AK13" s="191"/>
    </row>
    <row r="14" spans="2:37">
      <c r="B14" s="3">
        <v>6</v>
      </c>
      <c r="C14" s="189" t="s">
        <v>478</v>
      </c>
      <c r="D14" s="189"/>
      <c r="E14" s="189"/>
      <c r="F14" s="189"/>
      <c r="G14" s="189"/>
      <c r="H14" s="189"/>
      <c r="I14" s="189" t="s">
        <v>484</v>
      </c>
      <c r="J14" s="189"/>
      <c r="K14" s="189"/>
      <c r="L14" s="189"/>
      <c r="M14" s="189"/>
      <c r="N14" s="189"/>
      <c r="O14" s="189"/>
      <c r="P14" s="189"/>
      <c r="Q14" s="189" t="s">
        <v>221</v>
      </c>
      <c r="R14" s="189"/>
      <c r="S14" s="189"/>
      <c r="T14" s="189"/>
      <c r="U14" s="189"/>
      <c r="V14" s="189"/>
      <c r="W14" s="189"/>
      <c r="X14" s="189"/>
      <c r="Y14" s="189"/>
      <c r="Z14" s="189"/>
      <c r="AA14" s="189"/>
      <c r="AB14" s="189"/>
      <c r="AC14" s="189" t="s">
        <v>151</v>
      </c>
      <c r="AD14" s="189"/>
      <c r="AE14" s="189"/>
      <c r="AF14" s="189"/>
      <c r="AG14" s="189"/>
      <c r="AH14" s="189"/>
      <c r="AI14" s="189"/>
      <c r="AJ14" s="189"/>
      <c r="AK14" s="191"/>
    </row>
    <row r="15" spans="2:37">
      <c r="B15" s="3">
        <v>7</v>
      </c>
      <c r="C15" s="189" t="s">
        <v>204</v>
      </c>
      <c r="D15" s="189"/>
      <c r="E15" s="189"/>
      <c r="F15" s="189"/>
      <c r="G15" s="189"/>
      <c r="H15" s="189"/>
      <c r="I15" s="189" t="s">
        <v>485</v>
      </c>
      <c r="J15" s="189"/>
      <c r="K15" s="189"/>
      <c r="L15" s="189"/>
      <c r="M15" s="189"/>
      <c r="N15" s="189"/>
      <c r="O15" s="189"/>
      <c r="P15" s="189"/>
      <c r="Q15" s="189" t="s">
        <v>146</v>
      </c>
      <c r="R15" s="189"/>
      <c r="S15" s="189"/>
      <c r="T15" s="189"/>
      <c r="U15" s="189"/>
      <c r="V15" s="189"/>
      <c r="W15" s="189"/>
      <c r="X15" s="189"/>
      <c r="Y15" s="189"/>
      <c r="Z15" s="189"/>
      <c r="AA15" s="189"/>
      <c r="AB15" s="189"/>
      <c r="AC15" s="189" t="s">
        <v>151</v>
      </c>
      <c r="AD15" s="189"/>
      <c r="AE15" s="189" t="s">
        <v>491</v>
      </c>
      <c r="AF15" s="189"/>
      <c r="AG15" s="189"/>
      <c r="AH15" s="189"/>
      <c r="AI15" s="189"/>
      <c r="AJ15" s="189"/>
      <c r="AK15" s="191"/>
    </row>
    <row r="16" spans="2:37">
      <c r="B16" s="3">
        <v>8</v>
      </c>
      <c r="C16" s="189" t="s">
        <v>480</v>
      </c>
      <c r="D16" s="189"/>
      <c r="E16" s="189"/>
      <c r="F16" s="189"/>
      <c r="G16" s="189"/>
      <c r="H16" s="189"/>
      <c r="I16" s="189" t="s">
        <v>486</v>
      </c>
      <c r="J16" s="189"/>
      <c r="K16" s="189"/>
      <c r="L16" s="189"/>
      <c r="M16" s="189"/>
      <c r="N16" s="189"/>
      <c r="O16" s="189"/>
      <c r="P16" s="189"/>
      <c r="Q16" s="189" t="s">
        <v>221</v>
      </c>
      <c r="R16" s="189"/>
      <c r="S16" s="189"/>
      <c r="T16" s="189"/>
      <c r="U16" s="189"/>
      <c r="V16" s="189"/>
      <c r="W16" s="189"/>
      <c r="X16" s="189"/>
      <c r="Y16" s="189"/>
      <c r="Z16" s="189"/>
      <c r="AA16" s="189"/>
      <c r="AB16" s="189"/>
      <c r="AC16" s="189" t="s">
        <v>151</v>
      </c>
      <c r="AD16" s="189"/>
      <c r="AE16" s="189"/>
      <c r="AF16" s="189"/>
      <c r="AG16" s="189"/>
      <c r="AH16" s="189"/>
      <c r="AI16" s="189"/>
      <c r="AJ16" s="189"/>
      <c r="AK16" s="191"/>
    </row>
    <row r="17" spans="2:37">
      <c r="B17" s="3">
        <v>9</v>
      </c>
      <c r="C17" s="189" t="s">
        <v>206</v>
      </c>
      <c r="D17" s="189"/>
      <c r="E17" s="189"/>
      <c r="F17" s="189"/>
      <c r="G17" s="189"/>
      <c r="H17" s="189"/>
      <c r="I17" s="189" t="s">
        <v>487</v>
      </c>
      <c r="J17" s="189"/>
      <c r="K17" s="189"/>
      <c r="L17" s="189"/>
      <c r="M17" s="189"/>
      <c r="N17" s="189"/>
      <c r="O17" s="189"/>
      <c r="P17" s="189"/>
      <c r="Q17" s="189" t="s">
        <v>146</v>
      </c>
      <c r="R17" s="189"/>
      <c r="S17" s="189"/>
      <c r="T17" s="189"/>
      <c r="U17" s="189"/>
      <c r="V17" s="189"/>
      <c r="W17" s="189"/>
      <c r="X17" s="189"/>
      <c r="Y17" s="189"/>
      <c r="Z17" s="189"/>
      <c r="AA17" s="189"/>
      <c r="AB17" s="189"/>
      <c r="AC17" s="189" t="s">
        <v>151</v>
      </c>
      <c r="AD17" s="189"/>
      <c r="AE17" s="189" t="s">
        <v>491</v>
      </c>
      <c r="AF17" s="189"/>
      <c r="AG17" s="189"/>
      <c r="AH17" s="189"/>
      <c r="AI17" s="189"/>
      <c r="AJ17" s="189"/>
      <c r="AK17" s="191"/>
    </row>
    <row r="18" spans="2:37">
      <c r="B18" s="3">
        <v>10</v>
      </c>
      <c r="C18" s="189" t="s">
        <v>207</v>
      </c>
      <c r="D18" s="189"/>
      <c r="E18" s="189"/>
      <c r="F18" s="189"/>
      <c r="G18" s="189"/>
      <c r="H18" s="189"/>
      <c r="I18" s="189" t="s">
        <v>488</v>
      </c>
      <c r="J18" s="189"/>
      <c r="K18" s="189"/>
      <c r="L18" s="189"/>
      <c r="M18" s="189"/>
      <c r="N18" s="189"/>
      <c r="O18" s="189"/>
      <c r="P18" s="189"/>
      <c r="Q18" s="189" t="s">
        <v>146</v>
      </c>
      <c r="R18" s="189"/>
      <c r="S18" s="189"/>
      <c r="T18" s="189"/>
      <c r="U18" s="189"/>
      <c r="V18" s="189"/>
      <c r="W18" s="189"/>
      <c r="X18" s="189"/>
      <c r="Y18" s="189"/>
      <c r="Z18" s="189"/>
      <c r="AA18" s="189"/>
      <c r="AB18" s="189"/>
      <c r="AC18" s="189" t="s">
        <v>151</v>
      </c>
      <c r="AD18" s="189"/>
      <c r="AE18" s="189" t="s">
        <v>492</v>
      </c>
      <c r="AF18" s="189"/>
      <c r="AG18" s="189"/>
      <c r="AH18" s="189"/>
      <c r="AI18" s="189"/>
      <c r="AJ18" s="189"/>
      <c r="AK18" s="191"/>
    </row>
    <row r="19" spans="2:37" ht="13.8" thickBot="1">
      <c r="B19" s="4">
        <v>11</v>
      </c>
      <c r="C19" s="190" t="s">
        <v>208</v>
      </c>
      <c r="D19" s="190"/>
      <c r="E19" s="190"/>
      <c r="F19" s="190"/>
      <c r="G19" s="190"/>
      <c r="H19" s="190"/>
      <c r="I19" s="190" t="s">
        <v>489</v>
      </c>
      <c r="J19" s="190"/>
      <c r="K19" s="190"/>
      <c r="L19" s="190"/>
      <c r="M19" s="190"/>
      <c r="N19" s="190"/>
      <c r="O19" s="190"/>
      <c r="P19" s="190"/>
      <c r="Q19" s="190" t="s">
        <v>143</v>
      </c>
      <c r="R19" s="190"/>
      <c r="S19" s="190"/>
      <c r="T19" s="190"/>
      <c r="U19" s="190"/>
      <c r="V19" s="190"/>
      <c r="W19" s="190"/>
      <c r="X19" s="190"/>
      <c r="Y19" s="190"/>
      <c r="Z19" s="190"/>
      <c r="AA19" s="190"/>
      <c r="AB19" s="190"/>
      <c r="AC19" s="190" t="s">
        <v>151</v>
      </c>
      <c r="AD19" s="190"/>
      <c r="AE19" s="190" t="s">
        <v>224</v>
      </c>
      <c r="AF19" s="190"/>
      <c r="AG19" s="190"/>
      <c r="AH19" s="190"/>
      <c r="AI19" s="190"/>
      <c r="AJ19" s="190"/>
      <c r="AK19" s="198"/>
    </row>
    <row r="22" spans="2:37" ht="15" thickBot="1">
      <c r="B22" s="7" t="s">
        <v>994</v>
      </c>
    </row>
    <row r="23" spans="2:37">
      <c r="B23" s="10" t="s">
        <v>7</v>
      </c>
      <c r="C23" s="226" t="s">
        <v>998</v>
      </c>
      <c r="D23" s="226"/>
      <c r="E23" s="226"/>
      <c r="F23" s="226"/>
      <c r="G23" s="226"/>
      <c r="H23" s="226"/>
      <c r="I23" s="226"/>
      <c r="J23" s="226"/>
      <c r="K23" s="226"/>
      <c r="L23" s="226" t="s">
        <v>1000</v>
      </c>
      <c r="M23" s="226"/>
      <c r="N23" s="226"/>
      <c r="O23" s="226"/>
      <c r="P23" s="226"/>
      <c r="Q23" s="226"/>
      <c r="R23" s="226"/>
      <c r="S23" s="226"/>
      <c r="T23" s="226"/>
      <c r="U23" s="226"/>
      <c r="V23" s="226" t="s">
        <v>1002</v>
      </c>
      <c r="W23" s="226"/>
      <c r="X23" s="226"/>
      <c r="Y23" s="226" t="s">
        <v>1004</v>
      </c>
      <c r="Z23" s="226"/>
      <c r="AA23" s="226"/>
      <c r="AB23" s="226" t="s">
        <v>1005</v>
      </c>
      <c r="AC23" s="226"/>
      <c r="AD23" s="226"/>
      <c r="AE23" s="226"/>
      <c r="AF23" s="226"/>
      <c r="AG23" s="226"/>
      <c r="AH23" s="226"/>
      <c r="AI23" s="227"/>
    </row>
    <row r="24" spans="2:37" ht="13.8" thickBot="1">
      <c r="B24" s="12">
        <v>1</v>
      </c>
      <c r="C24" s="238" t="s">
        <v>1152</v>
      </c>
      <c r="D24" s="238"/>
      <c r="E24" s="238"/>
      <c r="F24" s="238"/>
      <c r="G24" s="238"/>
      <c r="H24" s="238"/>
      <c r="I24" s="238"/>
      <c r="J24" s="238"/>
      <c r="K24" s="238"/>
      <c r="L24" s="238" t="s">
        <v>1153</v>
      </c>
      <c r="M24" s="238"/>
      <c r="N24" s="238"/>
      <c r="O24" s="238"/>
      <c r="P24" s="238"/>
      <c r="Q24" s="238"/>
      <c r="R24" s="238"/>
      <c r="S24" s="238"/>
      <c r="T24" s="238"/>
      <c r="U24" s="238"/>
      <c r="V24" s="238" t="s">
        <v>1022</v>
      </c>
      <c r="W24" s="238"/>
      <c r="X24" s="238"/>
      <c r="Y24" s="238" t="s">
        <v>1022</v>
      </c>
      <c r="Z24" s="238"/>
      <c r="AA24" s="238"/>
      <c r="AB24" s="238"/>
      <c r="AC24" s="238"/>
      <c r="AD24" s="238"/>
      <c r="AE24" s="238"/>
      <c r="AF24" s="238"/>
      <c r="AG24" s="238"/>
      <c r="AH24" s="238"/>
      <c r="AI24" s="239"/>
    </row>
    <row r="25" spans="2:37">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2:37" ht="15" thickBot="1">
      <c r="B26" s="7" t="s">
        <v>995</v>
      </c>
    </row>
    <row r="27" spans="2:37" ht="13.8" thickBot="1">
      <c r="B27" s="14" t="s">
        <v>1069</v>
      </c>
      <c r="C27" s="226" t="s">
        <v>1070</v>
      </c>
      <c r="D27" s="226"/>
      <c r="E27" s="226"/>
      <c r="F27" s="226"/>
      <c r="G27" s="226"/>
      <c r="H27" s="226"/>
      <c r="I27" s="226"/>
      <c r="J27" s="226"/>
      <c r="K27" s="226"/>
      <c r="L27" s="226"/>
      <c r="M27" s="226" t="s">
        <v>1072</v>
      </c>
      <c r="N27" s="226"/>
      <c r="O27" s="226"/>
      <c r="P27" s="226"/>
      <c r="Q27" s="226"/>
      <c r="R27" s="226"/>
      <c r="S27" s="226"/>
      <c r="T27" s="226"/>
      <c r="U27" s="226" t="s">
        <v>1154</v>
      </c>
      <c r="V27" s="226"/>
      <c r="W27" s="226"/>
      <c r="X27" s="226"/>
      <c r="Y27" s="226"/>
      <c r="Z27" s="226"/>
      <c r="AA27" s="226"/>
      <c r="AB27" s="226"/>
      <c r="AC27" s="226"/>
      <c r="AD27" s="226" t="s">
        <v>1155</v>
      </c>
      <c r="AE27" s="226"/>
      <c r="AF27" s="226"/>
      <c r="AG27" s="226"/>
      <c r="AH27" s="226"/>
      <c r="AI27" s="227"/>
    </row>
    <row r="28" spans="2:37">
      <c r="B28" s="264">
        <v>1</v>
      </c>
      <c r="C28" s="236" t="s">
        <v>1149</v>
      </c>
      <c r="D28" s="236"/>
      <c r="E28" s="236"/>
      <c r="F28" s="236"/>
      <c r="G28" s="236"/>
      <c r="H28" s="236"/>
      <c r="I28" s="236"/>
      <c r="J28" s="236"/>
      <c r="K28" s="236"/>
      <c r="L28" s="236"/>
      <c r="M28" s="263" t="s">
        <v>1065</v>
      </c>
      <c r="N28" s="263"/>
      <c r="O28" s="263"/>
      <c r="P28" s="263"/>
      <c r="Q28" s="263"/>
      <c r="R28" s="263"/>
      <c r="S28" s="263"/>
      <c r="T28" s="263"/>
      <c r="U28" s="236" t="s">
        <v>1156</v>
      </c>
      <c r="V28" s="236"/>
      <c r="W28" s="236"/>
      <c r="X28" s="236"/>
      <c r="Y28" s="236"/>
      <c r="Z28" s="236"/>
      <c r="AA28" s="236"/>
      <c r="AB28" s="236"/>
      <c r="AC28" s="236"/>
      <c r="AD28" s="196" t="s">
        <v>1065</v>
      </c>
      <c r="AE28" s="196"/>
      <c r="AF28" s="196"/>
      <c r="AG28" s="196"/>
      <c r="AH28" s="196"/>
      <c r="AI28" s="197"/>
    </row>
    <row r="29" spans="2:37">
      <c r="B29" s="261"/>
      <c r="C29" s="230"/>
      <c r="D29" s="230"/>
      <c r="E29" s="230"/>
      <c r="F29" s="230"/>
      <c r="G29" s="230"/>
      <c r="H29" s="230"/>
      <c r="I29" s="230"/>
      <c r="J29" s="230"/>
      <c r="K29" s="230"/>
      <c r="L29" s="230"/>
      <c r="M29" s="245" t="s">
        <v>1148</v>
      </c>
      <c r="N29" s="245"/>
      <c r="O29" s="245"/>
      <c r="P29" s="245"/>
      <c r="Q29" s="245"/>
      <c r="R29" s="245"/>
      <c r="S29" s="245"/>
      <c r="T29" s="245"/>
      <c r="U29" s="230"/>
      <c r="V29" s="230"/>
      <c r="W29" s="230"/>
      <c r="X29" s="230"/>
      <c r="Y29" s="230"/>
      <c r="Z29" s="230"/>
      <c r="AA29" s="230"/>
      <c r="AB29" s="230"/>
      <c r="AC29" s="230"/>
      <c r="AD29" s="189" t="s">
        <v>1148</v>
      </c>
      <c r="AE29" s="189"/>
      <c r="AF29" s="189"/>
      <c r="AG29" s="189"/>
      <c r="AH29" s="189"/>
      <c r="AI29" s="191"/>
    </row>
    <row r="30" spans="2:37">
      <c r="B30" s="261">
        <v>2</v>
      </c>
      <c r="C30" s="230" t="s">
        <v>1071</v>
      </c>
      <c r="D30" s="230"/>
      <c r="E30" s="230"/>
      <c r="F30" s="230"/>
      <c r="G30" s="230"/>
      <c r="H30" s="230"/>
      <c r="I30" s="230"/>
      <c r="J30" s="230"/>
      <c r="K30" s="230"/>
      <c r="L30" s="230"/>
      <c r="M30" s="268" t="s">
        <v>1067</v>
      </c>
      <c r="N30" s="268"/>
      <c r="O30" s="268"/>
      <c r="P30" s="268"/>
      <c r="Q30" s="268"/>
      <c r="R30" s="268"/>
      <c r="S30" s="268"/>
      <c r="T30" s="268"/>
      <c r="U30" s="230" t="s">
        <v>1157</v>
      </c>
      <c r="V30" s="230"/>
      <c r="W30" s="230"/>
      <c r="X30" s="230"/>
      <c r="Y30" s="230"/>
      <c r="Z30" s="230"/>
      <c r="AA30" s="230"/>
      <c r="AB30" s="230"/>
      <c r="AC30" s="230"/>
      <c r="AD30" s="189" t="s">
        <v>1067</v>
      </c>
      <c r="AE30" s="189"/>
      <c r="AF30" s="189"/>
      <c r="AG30" s="189"/>
      <c r="AH30" s="189"/>
      <c r="AI30" s="191"/>
    </row>
    <row r="31" spans="2:37" ht="13.8" thickBot="1">
      <c r="B31" s="262"/>
      <c r="C31" s="231"/>
      <c r="D31" s="231"/>
      <c r="E31" s="231"/>
      <c r="F31" s="231"/>
      <c r="G31" s="231"/>
      <c r="H31" s="231"/>
      <c r="I31" s="231"/>
      <c r="J31" s="231"/>
      <c r="K31" s="231"/>
      <c r="L31" s="231"/>
      <c r="M31" s="279" t="s">
        <v>1068</v>
      </c>
      <c r="N31" s="279"/>
      <c r="O31" s="279"/>
      <c r="P31" s="279"/>
      <c r="Q31" s="279"/>
      <c r="R31" s="279"/>
      <c r="S31" s="279"/>
      <c r="T31" s="279"/>
      <c r="U31" s="231"/>
      <c r="V31" s="231"/>
      <c r="W31" s="231"/>
      <c r="X31" s="231"/>
      <c r="Y31" s="231"/>
      <c r="Z31" s="231"/>
      <c r="AA31" s="231"/>
      <c r="AB31" s="231"/>
      <c r="AC31" s="231"/>
      <c r="AD31" s="190" t="s">
        <v>1068</v>
      </c>
      <c r="AE31" s="190"/>
      <c r="AF31" s="190"/>
      <c r="AG31" s="190"/>
      <c r="AH31" s="190"/>
      <c r="AI31" s="198"/>
    </row>
    <row r="33" spans="2:35" ht="15" thickBot="1">
      <c r="B33" s="7" t="s">
        <v>996</v>
      </c>
    </row>
    <row r="34" spans="2:35">
      <c r="B34" s="14" t="s">
        <v>1069</v>
      </c>
      <c r="C34" s="226" t="s">
        <v>1070</v>
      </c>
      <c r="D34" s="226"/>
      <c r="E34" s="226"/>
      <c r="F34" s="226"/>
      <c r="G34" s="226"/>
      <c r="H34" s="226"/>
      <c r="I34" s="226"/>
      <c r="J34" s="226"/>
      <c r="K34" s="226"/>
      <c r="L34" s="226"/>
      <c r="M34" s="226" t="s">
        <v>1072</v>
      </c>
      <c r="N34" s="226"/>
      <c r="O34" s="226"/>
      <c r="P34" s="226"/>
      <c r="Q34" s="226"/>
      <c r="R34" s="226"/>
      <c r="S34" s="226"/>
      <c r="T34" s="226"/>
      <c r="U34" s="226" t="s">
        <v>1154</v>
      </c>
      <c r="V34" s="226"/>
      <c r="W34" s="226"/>
      <c r="X34" s="226"/>
      <c r="Y34" s="226"/>
      <c r="Z34" s="226"/>
      <c r="AA34" s="226"/>
      <c r="AB34" s="226"/>
      <c r="AC34" s="226"/>
      <c r="AD34" s="226" t="s">
        <v>1155</v>
      </c>
      <c r="AE34" s="226"/>
      <c r="AF34" s="226"/>
      <c r="AG34" s="226"/>
      <c r="AH34" s="226"/>
      <c r="AI34" s="227"/>
    </row>
    <row r="35" spans="2:35" ht="13.8" thickBot="1">
      <c r="B35" s="4"/>
      <c r="C35" s="190"/>
      <c r="D35" s="190"/>
      <c r="E35" s="190"/>
      <c r="F35" s="190"/>
      <c r="G35" s="190"/>
      <c r="H35" s="190"/>
      <c r="I35" s="190"/>
      <c r="J35" s="190"/>
      <c r="K35" s="190"/>
      <c r="L35" s="190"/>
      <c r="M35" s="190"/>
      <c r="N35" s="190"/>
      <c r="O35" s="190"/>
      <c r="P35" s="190"/>
      <c r="Q35" s="190"/>
      <c r="R35" s="190"/>
      <c r="S35" s="190"/>
      <c r="T35" s="190"/>
      <c r="U35" s="190"/>
      <c r="V35" s="190"/>
      <c r="W35" s="190"/>
      <c r="X35" s="190"/>
      <c r="Y35" s="190"/>
      <c r="Z35" s="190"/>
      <c r="AA35" s="190"/>
      <c r="AB35" s="190"/>
      <c r="AC35" s="190"/>
      <c r="AD35" s="190"/>
      <c r="AE35" s="190"/>
      <c r="AF35" s="190"/>
      <c r="AG35" s="190"/>
      <c r="AH35" s="190"/>
      <c r="AI35" s="198"/>
    </row>
  </sheetData>
  <mergeCells count="127">
    <mergeCell ref="C34:L34"/>
    <mergeCell ref="M34:T34"/>
    <mergeCell ref="U34:AC34"/>
    <mergeCell ref="AD34:AI34"/>
    <mergeCell ref="C35:L35"/>
    <mergeCell ref="M35:T35"/>
    <mergeCell ref="U35:AC35"/>
    <mergeCell ref="AD35:AI35"/>
    <mergeCell ref="B30:B31"/>
    <mergeCell ref="C30:L31"/>
    <mergeCell ref="M30:T30"/>
    <mergeCell ref="U30:AC31"/>
    <mergeCell ref="AD30:AI30"/>
    <mergeCell ref="M31:T31"/>
    <mergeCell ref="AD31:AI31"/>
    <mergeCell ref="C27:L27"/>
    <mergeCell ref="M27:T27"/>
    <mergeCell ref="U27:AC27"/>
    <mergeCell ref="AD27:AI27"/>
    <mergeCell ref="B28:B29"/>
    <mergeCell ref="C28:L29"/>
    <mergeCell ref="M28:T28"/>
    <mergeCell ref="U28:AC29"/>
    <mergeCell ref="AD28:AI28"/>
    <mergeCell ref="M29:T29"/>
    <mergeCell ref="AD29:AI29"/>
    <mergeCell ref="AB23:AI23"/>
    <mergeCell ref="C24:K24"/>
    <mergeCell ref="L24:U24"/>
    <mergeCell ref="V24:X24"/>
    <mergeCell ref="Y24:AA24"/>
    <mergeCell ref="AB24:AI24"/>
    <mergeCell ref="I8:P8"/>
    <mergeCell ref="C23:K23"/>
    <mergeCell ref="L23:U23"/>
    <mergeCell ref="V23:X23"/>
    <mergeCell ref="Y23:AA23"/>
    <mergeCell ref="AA9:AB9"/>
    <mergeCell ref="AC9:AD9"/>
    <mergeCell ref="Q9:X9"/>
    <mergeCell ref="C14:H14"/>
    <mergeCell ref="AC10:AD10"/>
    <mergeCell ref="AC11:AD11"/>
    <mergeCell ref="AC12:AD12"/>
    <mergeCell ref="AC13:AD13"/>
    <mergeCell ref="AC14:AD14"/>
    <mergeCell ref="C9:H9"/>
    <mergeCell ref="C10:H10"/>
    <mergeCell ref="C11:H11"/>
    <mergeCell ref="C12:H12"/>
    <mergeCell ref="B2:E4"/>
    <mergeCell ref="F2:H2"/>
    <mergeCell ref="F3:H3"/>
    <mergeCell ref="F4:H4"/>
    <mergeCell ref="C8:H8"/>
    <mergeCell ref="Q8:X8"/>
    <mergeCell ref="AA8:AB8"/>
    <mergeCell ref="AC8:AD8"/>
    <mergeCell ref="AE8:AK8"/>
    <mergeCell ref="I2:O2"/>
    <mergeCell ref="I3:O3"/>
    <mergeCell ref="I4:O4"/>
    <mergeCell ref="Y8:Z8"/>
    <mergeCell ref="Q10:X10"/>
    <mergeCell ref="Q11:X11"/>
    <mergeCell ref="Q12:X12"/>
    <mergeCell ref="Q13:X13"/>
    <mergeCell ref="Q14:X14"/>
    <mergeCell ref="Q15:X15"/>
    <mergeCell ref="C13:H13"/>
    <mergeCell ref="I18:P18"/>
    <mergeCell ref="I19:P19"/>
    <mergeCell ref="C15:H15"/>
    <mergeCell ref="C16:H16"/>
    <mergeCell ref="C17:H17"/>
    <mergeCell ref="C18:H18"/>
    <mergeCell ref="C19:H19"/>
    <mergeCell ref="Q18:X18"/>
    <mergeCell ref="Q19:X19"/>
    <mergeCell ref="Q16:X16"/>
    <mergeCell ref="Q17:X17"/>
    <mergeCell ref="I14:P14"/>
    <mergeCell ref="I15:P15"/>
    <mergeCell ref="I16:P16"/>
    <mergeCell ref="I17:P17"/>
    <mergeCell ref="AA16:AB16"/>
    <mergeCell ref="AA17:AB17"/>
    <mergeCell ref="AE19:AK19"/>
    <mergeCell ref="AA10:AB10"/>
    <mergeCell ref="AA11:AB11"/>
    <mergeCell ref="AA12:AB12"/>
    <mergeCell ref="AA13:AB13"/>
    <mergeCell ref="AA14:AB14"/>
    <mergeCell ref="AA15:AB15"/>
    <mergeCell ref="AE11:AK11"/>
    <mergeCell ref="AE12:AK12"/>
    <mergeCell ref="AE13:AK13"/>
    <mergeCell ref="AE14:AK14"/>
    <mergeCell ref="AC16:AD16"/>
    <mergeCell ref="AC17:AD17"/>
    <mergeCell ref="AC18:AD18"/>
    <mergeCell ref="AC19:AD19"/>
    <mergeCell ref="AC15:AD15"/>
    <mergeCell ref="Y19:Z19"/>
    <mergeCell ref="I9:P9"/>
    <mergeCell ref="I10:P10"/>
    <mergeCell ref="I11:P11"/>
    <mergeCell ref="I12:P12"/>
    <mergeCell ref="I13:P13"/>
    <mergeCell ref="AE15:AK15"/>
    <mergeCell ref="AE16:AK16"/>
    <mergeCell ref="AE17:AK17"/>
    <mergeCell ref="AE18:AK18"/>
    <mergeCell ref="Y9:Z9"/>
    <mergeCell ref="Y10:Z10"/>
    <mergeCell ref="Y11:Z11"/>
    <mergeCell ref="Y12:Z12"/>
    <mergeCell ref="Y13:Z13"/>
    <mergeCell ref="Y14:Z14"/>
    <mergeCell ref="Y15:Z15"/>
    <mergeCell ref="Y16:Z16"/>
    <mergeCell ref="Y17:Z17"/>
    <mergeCell ref="Y18:Z18"/>
    <mergeCell ref="AA18:AB18"/>
    <mergeCell ref="AA19:AB19"/>
    <mergeCell ref="AE9:AK9"/>
    <mergeCell ref="AE10:AK10"/>
  </mergeCells>
  <phoneticPr fontId="3"/>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58F7D-F986-4C09-89B7-2C2771614C8C}">
  <sheetPr codeName="Sheet77"/>
  <dimension ref="B1:AK46"/>
  <sheetViews>
    <sheetView topLeftCell="A7" workbookViewId="0">
      <selection activeCell="I32" sqref="I32"/>
    </sheetView>
  </sheetViews>
  <sheetFormatPr defaultColWidth="3.6640625" defaultRowHeight="13.2"/>
  <sheetData>
    <row r="1" spans="2:37" ht="13.8" thickBot="1"/>
    <row r="2" spans="2:37">
      <c r="B2" s="205" t="s">
        <v>95</v>
      </c>
      <c r="C2" s="206"/>
      <c r="D2" s="206"/>
      <c r="E2" s="206"/>
      <c r="F2" s="211" t="s">
        <v>93</v>
      </c>
      <c r="G2" s="211"/>
      <c r="H2" s="212"/>
      <c r="I2" s="196" t="s">
        <v>920</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909</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567</v>
      </c>
      <c r="D9" s="189"/>
      <c r="E9" s="189"/>
      <c r="F9" s="189"/>
      <c r="G9" s="189"/>
      <c r="H9" s="189"/>
      <c r="I9" s="189" t="s">
        <v>577</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910</v>
      </c>
      <c r="D10" s="189"/>
      <c r="E10" s="189"/>
      <c r="F10" s="189"/>
      <c r="G10" s="189"/>
      <c r="H10" s="189"/>
      <c r="I10" s="189" t="s">
        <v>916</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344</v>
      </c>
      <c r="D11" s="189"/>
      <c r="E11" s="189"/>
      <c r="F11" s="189"/>
      <c r="G11" s="189"/>
      <c r="H11" s="189"/>
      <c r="I11" s="189" t="s">
        <v>354</v>
      </c>
      <c r="J11" s="189"/>
      <c r="K11" s="189"/>
      <c r="L11" s="189"/>
      <c r="M11" s="189"/>
      <c r="N11" s="189"/>
      <c r="O11" s="189"/>
      <c r="P11" s="189"/>
      <c r="Q11" s="189" t="s">
        <v>146</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c r="B12" s="75">
        <v>4</v>
      </c>
      <c r="C12" s="189" t="s">
        <v>115</v>
      </c>
      <c r="D12" s="189"/>
      <c r="E12" s="189"/>
      <c r="F12" s="189"/>
      <c r="G12" s="189"/>
      <c r="H12" s="189"/>
      <c r="I12" s="189" t="s">
        <v>355</v>
      </c>
      <c r="J12" s="189"/>
      <c r="K12" s="189"/>
      <c r="L12" s="189"/>
      <c r="M12" s="189"/>
      <c r="N12" s="189"/>
      <c r="O12" s="189"/>
      <c r="P12" s="189"/>
      <c r="Q12" s="189" t="s">
        <v>144</v>
      </c>
      <c r="R12" s="189"/>
      <c r="S12" s="189"/>
      <c r="T12" s="189"/>
      <c r="U12" s="189"/>
      <c r="V12" s="189"/>
      <c r="W12" s="189"/>
      <c r="X12" s="189"/>
      <c r="Y12" s="189"/>
      <c r="Z12" s="189"/>
      <c r="AA12" s="189"/>
      <c r="AB12" s="189"/>
      <c r="AC12" s="189"/>
      <c r="AD12" s="189"/>
      <c r="AE12" s="189"/>
      <c r="AF12" s="189"/>
      <c r="AG12" s="189"/>
      <c r="AH12" s="189"/>
      <c r="AI12" s="189"/>
      <c r="AJ12" s="189"/>
      <c r="AK12" s="191"/>
    </row>
    <row r="13" spans="2:37" s="72" customFormat="1">
      <c r="B13" s="75">
        <v>5</v>
      </c>
      <c r="C13" s="244" t="s">
        <v>1704</v>
      </c>
      <c r="D13" s="244"/>
      <c r="E13" s="244"/>
      <c r="F13" s="244"/>
      <c r="G13" s="244"/>
      <c r="H13" s="244"/>
      <c r="I13" s="244" t="s">
        <v>579</v>
      </c>
      <c r="J13" s="244"/>
      <c r="K13" s="244"/>
      <c r="L13" s="244"/>
      <c r="M13" s="244"/>
      <c r="N13" s="244"/>
      <c r="O13" s="244"/>
      <c r="P13" s="244"/>
      <c r="Q13" s="244" t="s">
        <v>1189</v>
      </c>
      <c r="R13" s="244"/>
      <c r="S13" s="244"/>
      <c r="T13" s="244"/>
      <c r="U13" s="244"/>
      <c r="V13" s="244"/>
      <c r="W13" s="244"/>
      <c r="X13" s="244"/>
      <c r="Y13" s="189"/>
      <c r="Z13" s="189"/>
      <c r="AA13" s="189"/>
      <c r="AB13" s="189"/>
      <c r="AC13" s="189"/>
      <c r="AD13" s="189"/>
      <c r="AE13" s="189"/>
      <c r="AF13" s="189"/>
      <c r="AG13" s="189"/>
      <c r="AH13" s="189"/>
      <c r="AI13" s="189"/>
      <c r="AJ13" s="189"/>
      <c r="AK13" s="191"/>
    </row>
    <row r="14" spans="2:37">
      <c r="B14" s="75">
        <v>6</v>
      </c>
      <c r="C14" s="189" t="s">
        <v>117</v>
      </c>
      <c r="D14" s="189"/>
      <c r="E14" s="189"/>
      <c r="F14" s="189"/>
      <c r="G14" s="189"/>
      <c r="H14" s="189"/>
      <c r="I14" s="189" t="s">
        <v>1616</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75">
        <v>7</v>
      </c>
      <c r="C15" s="189" t="s">
        <v>120</v>
      </c>
      <c r="D15" s="189"/>
      <c r="E15" s="189"/>
      <c r="F15" s="189"/>
      <c r="G15" s="189"/>
      <c r="H15" s="189"/>
      <c r="I15" s="189" t="s">
        <v>383</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75">
        <v>8</v>
      </c>
      <c r="C16" s="189" t="s">
        <v>911</v>
      </c>
      <c r="D16" s="189"/>
      <c r="E16" s="189"/>
      <c r="F16" s="189"/>
      <c r="G16" s="189"/>
      <c r="H16" s="189"/>
      <c r="I16" s="189" t="s">
        <v>917</v>
      </c>
      <c r="J16" s="189"/>
      <c r="K16" s="189"/>
      <c r="L16" s="189"/>
      <c r="M16" s="189"/>
      <c r="N16" s="189"/>
      <c r="O16" s="189"/>
      <c r="P16" s="189"/>
      <c r="Q16" s="189" t="s">
        <v>147</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75">
        <v>9</v>
      </c>
      <c r="C17" s="189" t="s">
        <v>912</v>
      </c>
      <c r="D17" s="189"/>
      <c r="E17" s="189"/>
      <c r="F17" s="189"/>
      <c r="G17" s="189"/>
      <c r="H17" s="189"/>
      <c r="I17" s="189" t="s">
        <v>329</v>
      </c>
      <c r="J17" s="189"/>
      <c r="K17" s="189"/>
      <c r="L17" s="189"/>
      <c r="M17" s="189"/>
      <c r="N17" s="189"/>
      <c r="O17" s="189"/>
      <c r="P17" s="189"/>
      <c r="Q17" s="189" t="s">
        <v>146</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75">
        <v>10</v>
      </c>
      <c r="C18" s="189" t="s">
        <v>306</v>
      </c>
      <c r="D18" s="189"/>
      <c r="E18" s="189"/>
      <c r="F18" s="189"/>
      <c r="G18" s="189"/>
      <c r="H18" s="189"/>
      <c r="I18" s="189" t="s">
        <v>308</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75">
        <v>11</v>
      </c>
      <c r="C19" s="189" t="s">
        <v>676</v>
      </c>
      <c r="D19" s="189"/>
      <c r="E19" s="189"/>
      <c r="F19" s="189"/>
      <c r="G19" s="189"/>
      <c r="H19" s="189"/>
      <c r="I19" s="189" t="s">
        <v>388</v>
      </c>
      <c r="J19" s="189"/>
      <c r="K19" s="189"/>
      <c r="L19" s="189"/>
      <c r="M19" s="189"/>
      <c r="N19" s="189"/>
      <c r="O19" s="189"/>
      <c r="P19" s="189"/>
      <c r="Q19" s="189" t="s">
        <v>392</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75">
        <v>12</v>
      </c>
      <c r="C20" s="189" t="s">
        <v>351</v>
      </c>
      <c r="D20" s="189"/>
      <c r="E20" s="189"/>
      <c r="F20" s="189"/>
      <c r="G20" s="189"/>
      <c r="H20" s="189"/>
      <c r="I20" s="189" t="s">
        <v>387</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75">
        <v>13</v>
      </c>
      <c r="C21" s="189" t="s">
        <v>116</v>
      </c>
      <c r="D21" s="189"/>
      <c r="E21" s="189"/>
      <c r="F21" s="189"/>
      <c r="G21" s="189"/>
      <c r="H21" s="189"/>
      <c r="I21" s="189" t="s">
        <v>649</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75">
        <v>14</v>
      </c>
      <c r="C22" s="189" t="s">
        <v>787</v>
      </c>
      <c r="D22" s="189"/>
      <c r="E22" s="189"/>
      <c r="F22" s="189"/>
      <c r="G22" s="189"/>
      <c r="H22" s="189"/>
      <c r="I22" s="189" t="s">
        <v>789</v>
      </c>
      <c r="J22" s="189"/>
      <c r="K22" s="189"/>
      <c r="L22" s="189"/>
      <c r="M22" s="189"/>
      <c r="N22" s="189"/>
      <c r="O22" s="189"/>
      <c r="P22" s="189"/>
      <c r="Q22" s="189" t="s">
        <v>146</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75">
        <v>15</v>
      </c>
      <c r="C23" s="189" t="s">
        <v>1685</v>
      </c>
      <c r="D23" s="189"/>
      <c r="E23" s="189"/>
      <c r="F23" s="189"/>
      <c r="G23" s="189"/>
      <c r="H23" s="189"/>
      <c r="I23" s="189" t="s">
        <v>784</v>
      </c>
      <c r="J23" s="189"/>
      <c r="K23" s="189"/>
      <c r="L23" s="189"/>
      <c r="M23" s="189"/>
      <c r="N23" s="189"/>
      <c r="O23" s="189"/>
      <c r="P23" s="189"/>
      <c r="Q23" s="189" t="s">
        <v>146</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75">
        <v>16</v>
      </c>
      <c r="C24" s="189" t="s">
        <v>914</v>
      </c>
      <c r="D24" s="189"/>
      <c r="E24" s="189"/>
      <c r="F24" s="189"/>
      <c r="G24" s="189"/>
      <c r="H24" s="189"/>
      <c r="I24" s="189" t="s">
        <v>918</v>
      </c>
      <c r="J24" s="189"/>
      <c r="K24" s="189"/>
      <c r="L24" s="189"/>
      <c r="M24" s="189"/>
      <c r="N24" s="189"/>
      <c r="O24" s="189"/>
      <c r="P24" s="189"/>
      <c r="Q24" s="189" t="s">
        <v>392</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75">
        <v>17</v>
      </c>
      <c r="C25" s="189" t="s">
        <v>915</v>
      </c>
      <c r="D25" s="189"/>
      <c r="E25" s="189"/>
      <c r="F25" s="189"/>
      <c r="G25" s="189"/>
      <c r="H25" s="189"/>
      <c r="I25" s="189" t="s">
        <v>390</v>
      </c>
      <c r="J25" s="189"/>
      <c r="K25" s="189"/>
      <c r="L25" s="189"/>
      <c r="M25" s="189"/>
      <c r="N25" s="189"/>
      <c r="O25" s="189"/>
      <c r="P25" s="189"/>
      <c r="Q25" s="189" t="s">
        <v>392</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75">
        <v>18</v>
      </c>
      <c r="C26" s="189" t="s">
        <v>118</v>
      </c>
      <c r="D26" s="189"/>
      <c r="E26" s="189"/>
      <c r="F26" s="189"/>
      <c r="G26" s="189"/>
      <c r="H26" s="189"/>
      <c r="I26" s="189" t="s">
        <v>159</v>
      </c>
      <c r="J26" s="189"/>
      <c r="K26" s="189"/>
      <c r="L26" s="189"/>
      <c r="M26" s="189"/>
      <c r="N26" s="189"/>
      <c r="O26" s="189"/>
      <c r="P26" s="189"/>
      <c r="Q26" s="189" t="s">
        <v>144</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75">
        <v>19</v>
      </c>
      <c r="C27" s="189" t="s">
        <v>476</v>
      </c>
      <c r="D27" s="189"/>
      <c r="E27" s="189"/>
      <c r="F27" s="189"/>
      <c r="G27" s="189"/>
      <c r="H27" s="189"/>
      <c r="I27" s="189" t="s">
        <v>919</v>
      </c>
      <c r="J27" s="189"/>
      <c r="K27" s="189"/>
      <c r="L27" s="189"/>
      <c r="M27" s="189"/>
      <c r="N27" s="189"/>
      <c r="O27" s="189"/>
      <c r="P27" s="189"/>
      <c r="Q27" s="189" t="s">
        <v>144</v>
      </c>
      <c r="R27" s="189"/>
      <c r="S27" s="189"/>
      <c r="T27" s="189"/>
      <c r="U27" s="189"/>
      <c r="V27" s="189"/>
      <c r="W27" s="189"/>
      <c r="X27" s="189"/>
      <c r="Y27" s="189"/>
      <c r="Z27" s="189"/>
      <c r="AA27" s="189"/>
      <c r="AB27" s="189"/>
      <c r="AC27" s="189"/>
      <c r="AD27" s="189"/>
      <c r="AE27" s="189"/>
      <c r="AF27" s="189"/>
      <c r="AG27" s="189"/>
      <c r="AH27" s="189"/>
      <c r="AI27" s="189"/>
      <c r="AJ27" s="189"/>
      <c r="AK27" s="191"/>
    </row>
    <row r="28" spans="2:37" s="62" customFormat="1">
      <c r="B28" s="75">
        <v>20</v>
      </c>
      <c r="C28" s="189" t="s">
        <v>119</v>
      </c>
      <c r="D28" s="189"/>
      <c r="E28" s="189"/>
      <c r="F28" s="189"/>
      <c r="G28" s="189"/>
      <c r="H28" s="189"/>
      <c r="I28" s="189" t="s">
        <v>235</v>
      </c>
      <c r="J28" s="189"/>
      <c r="K28" s="189"/>
      <c r="L28" s="189"/>
      <c r="M28" s="189"/>
      <c r="N28" s="189"/>
      <c r="O28" s="189"/>
      <c r="P28" s="189"/>
      <c r="Q28" s="189" t="s">
        <v>146</v>
      </c>
      <c r="R28" s="189"/>
      <c r="S28" s="189"/>
      <c r="T28" s="189"/>
      <c r="U28" s="189"/>
      <c r="V28" s="189"/>
      <c r="W28" s="189"/>
      <c r="X28" s="189"/>
      <c r="Y28" s="189"/>
      <c r="Z28" s="189"/>
      <c r="AA28" s="189"/>
      <c r="AB28" s="189"/>
      <c r="AC28" s="189"/>
      <c r="AD28" s="189"/>
      <c r="AE28" s="189"/>
      <c r="AF28" s="189"/>
      <c r="AG28" s="189"/>
      <c r="AH28" s="189"/>
      <c r="AI28" s="189"/>
      <c r="AJ28" s="189"/>
      <c r="AK28" s="191"/>
    </row>
    <row r="29" spans="2:37" s="62" customFormat="1">
      <c r="B29" s="75">
        <v>21</v>
      </c>
      <c r="C29" s="189" t="s">
        <v>832</v>
      </c>
      <c r="D29" s="189"/>
      <c r="E29" s="189"/>
      <c r="F29" s="189"/>
      <c r="G29" s="189"/>
      <c r="H29" s="189"/>
      <c r="I29" s="189" t="s">
        <v>353</v>
      </c>
      <c r="J29" s="189"/>
      <c r="K29" s="189"/>
      <c r="L29" s="189"/>
      <c r="M29" s="189"/>
      <c r="N29" s="189"/>
      <c r="O29" s="189"/>
      <c r="P29" s="189"/>
      <c r="Q29" s="189" t="s">
        <v>146</v>
      </c>
      <c r="R29" s="189"/>
      <c r="S29" s="189"/>
      <c r="T29" s="189"/>
      <c r="U29" s="189"/>
      <c r="V29" s="189"/>
      <c r="W29" s="189"/>
      <c r="X29" s="189"/>
      <c r="Y29" s="189"/>
      <c r="Z29" s="189"/>
      <c r="AA29" s="189"/>
      <c r="AB29" s="189"/>
      <c r="AC29" s="189"/>
      <c r="AD29" s="189"/>
      <c r="AE29" s="189"/>
      <c r="AF29" s="189"/>
      <c r="AG29" s="189"/>
      <c r="AH29" s="189"/>
      <c r="AI29" s="189"/>
      <c r="AJ29" s="189"/>
      <c r="AK29" s="191"/>
    </row>
    <row r="30" spans="2:37" s="145" customFormat="1">
      <c r="B30" s="147">
        <v>21</v>
      </c>
      <c r="C30" s="189" t="s">
        <v>833</v>
      </c>
      <c r="D30" s="189"/>
      <c r="E30" s="189"/>
      <c r="F30" s="189"/>
      <c r="G30" s="189"/>
      <c r="H30" s="189"/>
      <c r="I30" s="189" t="s">
        <v>839</v>
      </c>
      <c r="J30" s="189"/>
      <c r="K30" s="189"/>
      <c r="L30" s="189"/>
      <c r="M30" s="189"/>
      <c r="N30" s="189"/>
      <c r="O30" s="189"/>
      <c r="P30" s="189"/>
      <c r="Q30" s="189" t="s">
        <v>146</v>
      </c>
      <c r="R30" s="189"/>
      <c r="S30" s="189"/>
      <c r="T30" s="189"/>
      <c r="U30" s="189"/>
      <c r="V30" s="189"/>
      <c r="W30" s="189"/>
      <c r="X30" s="189"/>
      <c r="Y30" s="189"/>
      <c r="Z30" s="189"/>
      <c r="AA30" s="189"/>
      <c r="AB30" s="189"/>
      <c r="AC30" s="189"/>
      <c r="AD30" s="189"/>
      <c r="AE30" s="189"/>
      <c r="AF30" s="189"/>
      <c r="AG30" s="189"/>
      <c r="AH30" s="189"/>
      <c r="AI30" s="189"/>
      <c r="AJ30" s="189"/>
      <c r="AK30" s="191"/>
    </row>
    <row r="31" spans="2:37" s="62" customFormat="1" ht="13.8" thickBot="1">
      <c r="B31" s="65">
        <v>22</v>
      </c>
      <c r="C31" s="190" t="s">
        <v>1757</v>
      </c>
      <c r="D31" s="190"/>
      <c r="E31" s="190"/>
      <c r="F31" s="190"/>
      <c r="G31" s="190"/>
      <c r="H31" s="190"/>
      <c r="I31" s="190" t="s">
        <v>1782</v>
      </c>
      <c r="J31" s="190"/>
      <c r="K31" s="190"/>
      <c r="L31" s="190"/>
      <c r="M31" s="190"/>
      <c r="N31" s="190"/>
      <c r="O31" s="190"/>
      <c r="P31" s="190"/>
      <c r="Q31" s="190" t="s">
        <v>146</v>
      </c>
      <c r="R31" s="190"/>
      <c r="S31" s="190"/>
      <c r="T31" s="190"/>
      <c r="U31" s="190"/>
      <c r="V31" s="190"/>
      <c r="W31" s="190"/>
      <c r="X31" s="190"/>
      <c r="Y31" s="190"/>
      <c r="Z31" s="190"/>
      <c r="AA31" s="190"/>
      <c r="AB31" s="190"/>
      <c r="AC31" s="190"/>
      <c r="AD31" s="190"/>
      <c r="AE31" s="190"/>
      <c r="AF31" s="190"/>
      <c r="AG31" s="190"/>
      <c r="AH31" s="190"/>
      <c r="AI31" s="190"/>
      <c r="AJ31" s="190"/>
      <c r="AK31" s="198"/>
    </row>
    <row r="34" spans="2:35" ht="15" thickBot="1">
      <c r="B34" s="7" t="s">
        <v>994</v>
      </c>
    </row>
    <row r="35" spans="2:35" ht="13.8" thickBot="1">
      <c r="B35" s="10" t="s">
        <v>7</v>
      </c>
      <c r="C35" s="226" t="s">
        <v>998</v>
      </c>
      <c r="D35" s="226"/>
      <c r="E35" s="226"/>
      <c r="F35" s="226"/>
      <c r="G35" s="226"/>
      <c r="H35" s="226"/>
      <c r="I35" s="226"/>
      <c r="J35" s="226"/>
      <c r="K35" s="226"/>
      <c r="L35" s="226" t="s">
        <v>1000</v>
      </c>
      <c r="M35" s="226"/>
      <c r="N35" s="226"/>
      <c r="O35" s="226"/>
      <c r="P35" s="226"/>
      <c r="Q35" s="226"/>
      <c r="R35" s="226"/>
      <c r="S35" s="226"/>
      <c r="T35" s="226"/>
      <c r="U35" s="226"/>
      <c r="V35" s="226" t="s">
        <v>1002</v>
      </c>
      <c r="W35" s="226"/>
      <c r="X35" s="226"/>
      <c r="Y35" s="226" t="s">
        <v>1004</v>
      </c>
      <c r="Z35" s="226"/>
      <c r="AA35" s="226"/>
      <c r="AB35" s="226" t="s">
        <v>1005</v>
      </c>
      <c r="AC35" s="226"/>
      <c r="AD35" s="226"/>
      <c r="AE35" s="226"/>
      <c r="AF35" s="226"/>
      <c r="AG35" s="226"/>
      <c r="AH35" s="226"/>
      <c r="AI35" s="227"/>
    </row>
    <row r="36" spans="2:35" ht="14.4" customHeight="1">
      <c r="B36" s="312">
        <v>1</v>
      </c>
      <c r="C36" s="230" t="s">
        <v>1158</v>
      </c>
      <c r="D36" s="230"/>
      <c r="E36" s="230"/>
      <c r="F36" s="230"/>
      <c r="G36" s="230"/>
      <c r="H36" s="230"/>
      <c r="I36" s="230"/>
      <c r="J36" s="230"/>
      <c r="K36" s="230"/>
      <c r="L36" s="246" t="s">
        <v>1083</v>
      </c>
      <c r="M36" s="246"/>
      <c r="N36" s="246"/>
      <c r="O36" s="246"/>
      <c r="P36" s="246"/>
      <c r="Q36" s="246"/>
      <c r="R36" s="246"/>
      <c r="S36" s="246"/>
      <c r="T36" s="246"/>
      <c r="U36" s="246"/>
      <c r="V36" s="230" t="s">
        <v>1022</v>
      </c>
      <c r="W36" s="230"/>
      <c r="X36" s="230"/>
      <c r="Y36" s="230" t="s">
        <v>1022</v>
      </c>
      <c r="Z36" s="230"/>
      <c r="AA36" s="230"/>
      <c r="AB36" s="230"/>
      <c r="AC36" s="230"/>
      <c r="AD36" s="230"/>
      <c r="AE36" s="230"/>
      <c r="AF36" s="230"/>
      <c r="AG36" s="230"/>
      <c r="AH36" s="230"/>
      <c r="AI36" s="233"/>
    </row>
    <row r="37" spans="2:35" ht="14.4" customHeight="1">
      <c r="B37" s="312"/>
      <c r="C37" s="230"/>
      <c r="D37" s="230"/>
      <c r="E37" s="230"/>
      <c r="F37" s="230"/>
      <c r="G37" s="230"/>
      <c r="H37" s="230"/>
      <c r="I37" s="230"/>
      <c r="J37" s="230"/>
      <c r="K37" s="230"/>
      <c r="L37" s="284" t="s">
        <v>1159</v>
      </c>
      <c r="M37" s="284"/>
      <c r="N37" s="284"/>
      <c r="O37" s="284"/>
      <c r="P37" s="284"/>
      <c r="Q37" s="284"/>
      <c r="R37" s="284"/>
      <c r="S37" s="284"/>
      <c r="T37" s="284"/>
      <c r="U37" s="284"/>
      <c r="V37" s="230"/>
      <c r="W37" s="230"/>
      <c r="X37" s="230"/>
      <c r="Y37" s="230"/>
      <c r="Z37" s="230"/>
      <c r="AA37" s="230"/>
      <c r="AB37" s="230"/>
      <c r="AC37" s="230"/>
      <c r="AD37" s="230"/>
      <c r="AE37" s="230"/>
      <c r="AF37" s="230"/>
      <c r="AG37" s="230"/>
      <c r="AH37" s="230"/>
      <c r="AI37" s="233"/>
    </row>
    <row r="38" spans="2:35" ht="14.4" customHeight="1" thickBot="1">
      <c r="B38" s="313"/>
      <c r="C38" s="231"/>
      <c r="D38" s="231"/>
      <c r="E38" s="231"/>
      <c r="F38" s="231"/>
      <c r="G38" s="231"/>
      <c r="H38" s="231"/>
      <c r="I38" s="231"/>
      <c r="J38" s="231"/>
      <c r="K38" s="231"/>
      <c r="L38" s="259" t="s">
        <v>1041</v>
      </c>
      <c r="M38" s="259"/>
      <c r="N38" s="259"/>
      <c r="O38" s="259"/>
      <c r="P38" s="259"/>
      <c r="Q38" s="259"/>
      <c r="R38" s="259"/>
      <c r="S38" s="259"/>
      <c r="T38" s="259"/>
      <c r="U38" s="259"/>
      <c r="V38" s="231"/>
      <c r="W38" s="231"/>
      <c r="X38" s="231"/>
      <c r="Y38" s="231"/>
      <c r="Z38" s="231"/>
      <c r="AA38" s="231"/>
      <c r="AB38" s="231"/>
      <c r="AC38" s="231"/>
      <c r="AD38" s="231"/>
      <c r="AE38" s="231"/>
      <c r="AF38" s="231"/>
      <c r="AG38" s="231"/>
      <c r="AH38" s="231"/>
      <c r="AI38" s="234"/>
    </row>
    <row r="40" spans="2:35" ht="15" thickBot="1">
      <c r="B40" s="7" t="s">
        <v>995</v>
      </c>
    </row>
    <row r="41" spans="2:35">
      <c r="B41" s="14" t="s">
        <v>1069</v>
      </c>
      <c r="C41" s="226" t="s">
        <v>1070</v>
      </c>
      <c r="D41" s="226"/>
      <c r="E41" s="226"/>
      <c r="F41" s="226"/>
      <c r="G41" s="226"/>
      <c r="H41" s="226"/>
      <c r="I41" s="226"/>
      <c r="J41" s="226"/>
      <c r="K41" s="226"/>
      <c r="L41" s="226"/>
      <c r="M41" s="226" t="s">
        <v>1072</v>
      </c>
      <c r="N41" s="226"/>
      <c r="O41" s="226"/>
      <c r="P41" s="226"/>
      <c r="Q41" s="226"/>
      <c r="R41" s="226"/>
      <c r="S41" s="226"/>
      <c r="T41" s="226"/>
      <c r="U41" s="226" t="s">
        <v>1154</v>
      </c>
      <c r="V41" s="226"/>
      <c r="W41" s="226"/>
      <c r="X41" s="226"/>
      <c r="Y41" s="226"/>
      <c r="Z41" s="226"/>
      <c r="AA41" s="226"/>
      <c r="AB41" s="226"/>
      <c r="AC41" s="226"/>
      <c r="AD41" s="226" t="s">
        <v>1155</v>
      </c>
      <c r="AE41" s="226"/>
      <c r="AF41" s="226"/>
      <c r="AG41" s="226"/>
      <c r="AH41" s="226"/>
      <c r="AI41" s="227"/>
    </row>
    <row r="42" spans="2:35" ht="13.8" thickBot="1">
      <c r="B42" s="4"/>
      <c r="C42" s="190"/>
      <c r="D42" s="190"/>
      <c r="E42" s="190"/>
      <c r="F42" s="190"/>
      <c r="G42" s="190"/>
      <c r="H42" s="190"/>
      <c r="I42" s="190"/>
      <c r="J42" s="190"/>
      <c r="K42" s="190"/>
      <c r="L42" s="190"/>
      <c r="M42" s="190"/>
      <c r="N42" s="190"/>
      <c r="O42" s="190"/>
      <c r="P42" s="190"/>
      <c r="Q42" s="190"/>
      <c r="R42" s="190"/>
      <c r="S42" s="190"/>
      <c r="T42" s="190"/>
      <c r="U42" s="190"/>
      <c r="V42" s="190"/>
      <c r="W42" s="190"/>
      <c r="X42" s="190"/>
      <c r="Y42" s="190"/>
      <c r="Z42" s="190"/>
      <c r="AA42" s="190"/>
      <c r="AB42" s="190"/>
      <c r="AC42" s="190"/>
      <c r="AD42" s="190"/>
      <c r="AE42" s="190"/>
      <c r="AF42" s="190"/>
      <c r="AG42" s="190"/>
      <c r="AH42" s="190"/>
      <c r="AI42" s="198"/>
    </row>
    <row r="44" spans="2:35" ht="15" thickBot="1">
      <c r="B44" s="7" t="s">
        <v>996</v>
      </c>
    </row>
    <row r="45" spans="2:35">
      <c r="B45" s="14" t="s">
        <v>1069</v>
      </c>
      <c r="C45" s="226" t="s">
        <v>1070</v>
      </c>
      <c r="D45" s="226"/>
      <c r="E45" s="226"/>
      <c r="F45" s="226"/>
      <c r="G45" s="226"/>
      <c r="H45" s="226"/>
      <c r="I45" s="226"/>
      <c r="J45" s="226"/>
      <c r="K45" s="226"/>
      <c r="L45" s="226"/>
      <c r="M45" s="226" t="s">
        <v>1072</v>
      </c>
      <c r="N45" s="226"/>
      <c r="O45" s="226"/>
      <c r="P45" s="226"/>
      <c r="Q45" s="226"/>
      <c r="R45" s="226"/>
      <c r="S45" s="226"/>
      <c r="T45" s="226"/>
      <c r="U45" s="226" t="s">
        <v>1154</v>
      </c>
      <c r="V45" s="226"/>
      <c r="W45" s="226"/>
      <c r="X45" s="226"/>
      <c r="Y45" s="226"/>
      <c r="Z45" s="226"/>
      <c r="AA45" s="226"/>
      <c r="AB45" s="226"/>
      <c r="AC45" s="226"/>
      <c r="AD45" s="226" t="s">
        <v>1155</v>
      </c>
      <c r="AE45" s="226"/>
      <c r="AF45" s="226"/>
      <c r="AG45" s="226"/>
      <c r="AH45" s="226"/>
      <c r="AI45" s="227"/>
    </row>
    <row r="46" spans="2:35" ht="13.8" thickBot="1">
      <c r="B46" s="4"/>
      <c r="C46" s="190"/>
      <c r="D46" s="190"/>
      <c r="E46" s="190"/>
      <c r="F46" s="190"/>
      <c r="G46" s="190"/>
      <c r="H46" s="190"/>
      <c r="I46" s="190"/>
      <c r="J46" s="190"/>
      <c r="K46" s="190"/>
      <c r="L46" s="190"/>
      <c r="M46" s="190"/>
      <c r="N46" s="190"/>
      <c r="O46" s="190"/>
      <c r="P46" s="190"/>
      <c r="Q46" s="190"/>
      <c r="R46" s="190"/>
      <c r="S46" s="190"/>
      <c r="T46" s="190"/>
      <c r="U46" s="190"/>
      <c r="V46" s="190"/>
      <c r="W46" s="190"/>
      <c r="X46" s="190"/>
      <c r="Y46" s="190"/>
      <c r="Z46" s="190"/>
      <c r="AA46" s="190"/>
      <c r="AB46" s="190"/>
      <c r="AC46" s="190"/>
      <c r="AD46" s="190"/>
      <c r="AE46" s="190"/>
      <c r="AF46" s="190"/>
      <c r="AG46" s="190"/>
      <c r="AH46" s="190"/>
      <c r="AI46" s="198"/>
    </row>
  </sheetData>
  <mergeCells count="204">
    <mergeCell ref="C30:H30"/>
    <mergeCell ref="I30:P30"/>
    <mergeCell ref="Q30:X30"/>
    <mergeCell ref="Y30:Z30"/>
    <mergeCell ref="AA30:AB30"/>
    <mergeCell ref="AC30:AD30"/>
    <mergeCell ref="AE30:AK30"/>
    <mergeCell ref="C28:H28"/>
    <mergeCell ref="I28:P28"/>
    <mergeCell ref="Q28:X28"/>
    <mergeCell ref="Y28:Z28"/>
    <mergeCell ref="AA28:AB28"/>
    <mergeCell ref="AC28:AD28"/>
    <mergeCell ref="AE28:AK28"/>
    <mergeCell ref="C29:H29"/>
    <mergeCell ref="I29:P29"/>
    <mergeCell ref="Q29:X29"/>
    <mergeCell ref="Y29:Z29"/>
    <mergeCell ref="AA29:AB29"/>
    <mergeCell ref="AC29:AD29"/>
    <mergeCell ref="AE29:AK29"/>
    <mergeCell ref="C31:H31"/>
    <mergeCell ref="I31:P31"/>
    <mergeCell ref="Q31:X31"/>
    <mergeCell ref="Y31:Z31"/>
    <mergeCell ref="AA31:AB31"/>
    <mergeCell ref="AC31:AD31"/>
    <mergeCell ref="AE31:AK31"/>
    <mergeCell ref="C46:L46"/>
    <mergeCell ref="M46:T46"/>
    <mergeCell ref="U46:AC46"/>
    <mergeCell ref="AD46:AI46"/>
    <mergeCell ref="C41:L41"/>
    <mergeCell ref="M41:T41"/>
    <mergeCell ref="U41:AC41"/>
    <mergeCell ref="AD41:AI41"/>
    <mergeCell ref="C42:L42"/>
    <mergeCell ref="M42:T42"/>
    <mergeCell ref="U42:AC42"/>
    <mergeCell ref="AD42:AI42"/>
    <mergeCell ref="C45:L45"/>
    <mergeCell ref="M45:T45"/>
    <mergeCell ref="U45:AC45"/>
    <mergeCell ref="AD45:AI45"/>
    <mergeCell ref="C35:K35"/>
    <mergeCell ref="L35:U35"/>
    <mergeCell ref="V35:X35"/>
    <mergeCell ref="Y35:AA35"/>
    <mergeCell ref="AB35:AI35"/>
    <mergeCell ref="B36:B38"/>
    <mergeCell ref="C36:K38"/>
    <mergeCell ref="L36:U36"/>
    <mergeCell ref="V36:X38"/>
    <mergeCell ref="Y36:AA38"/>
    <mergeCell ref="AB36:AI38"/>
    <mergeCell ref="L37:U37"/>
    <mergeCell ref="L38:U38"/>
    <mergeCell ref="AE8:AK8"/>
    <mergeCell ref="AA9:AB9"/>
    <mergeCell ref="AC9:AD9"/>
    <mergeCell ref="B2:E4"/>
    <mergeCell ref="F2:H2"/>
    <mergeCell ref="F3:H3"/>
    <mergeCell ref="F4:H4"/>
    <mergeCell ref="C8:H8"/>
    <mergeCell ref="I8:P8"/>
    <mergeCell ref="I2:M2"/>
    <mergeCell ref="I3:M3"/>
    <mergeCell ref="I4:M4"/>
    <mergeCell ref="C9:H9"/>
    <mergeCell ref="C10:H10"/>
    <mergeCell ref="C11:H11"/>
    <mergeCell ref="Q8:X8"/>
    <mergeCell ref="AA8:AB8"/>
    <mergeCell ref="AC8:AD8"/>
    <mergeCell ref="Q9:X9"/>
    <mergeCell ref="Q10:X10"/>
    <mergeCell ref="Q11:X11"/>
    <mergeCell ref="Y8:Z8"/>
    <mergeCell ref="Y9:Z9"/>
    <mergeCell ref="Y10:Z10"/>
    <mergeCell ref="Y11:Z11"/>
    <mergeCell ref="C25:H25"/>
    <mergeCell ref="C26:H26"/>
    <mergeCell ref="C27:H27"/>
    <mergeCell ref="I9:P9"/>
    <mergeCell ref="I10:P10"/>
    <mergeCell ref="I11:P11"/>
    <mergeCell ref="I12:P12"/>
    <mergeCell ref="I14:P14"/>
    <mergeCell ref="I15:P15"/>
    <mergeCell ref="C19:H19"/>
    <mergeCell ref="C20:H20"/>
    <mergeCell ref="C21:H21"/>
    <mergeCell ref="C22:H22"/>
    <mergeCell ref="C23:H23"/>
    <mergeCell ref="C24:H24"/>
    <mergeCell ref="C12:H12"/>
    <mergeCell ref="C14:H14"/>
    <mergeCell ref="C15:H15"/>
    <mergeCell ref="C16:H16"/>
    <mergeCell ref="C17:H17"/>
    <mergeCell ref="C18:H18"/>
    <mergeCell ref="I25:P25"/>
    <mergeCell ref="I26:P26"/>
    <mergeCell ref="I27:P27"/>
    <mergeCell ref="Q14:X14"/>
    <mergeCell ref="I22:P22"/>
    <mergeCell ref="I23:P23"/>
    <mergeCell ref="I24:P24"/>
    <mergeCell ref="I16:P16"/>
    <mergeCell ref="I17:P17"/>
    <mergeCell ref="I18:P18"/>
    <mergeCell ref="I19:P19"/>
    <mergeCell ref="I20:P20"/>
    <mergeCell ref="I21:P21"/>
    <mergeCell ref="Q18:X18"/>
    <mergeCell ref="Y17:Z17"/>
    <mergeCell ref="Q27:X27"/>
    <mergeCell ref="AA12:AB12"/>
    <mergeCell ref="AA14:AB14"/>
    <mergeCell ref="AA15:AB15"/>
    <mergeCell ref="AA16:AB16"/>
    <mergeCell ref="AA17:AB17"/>
    <mergeCell ref="AA18:AB18"/>
    <mergeCell ref="Q19:X19"/>
    <mergeCell ref="Q20:X20"/>
    <mergeCell ref="Q21:X21"/>
    <mergeCell ref="Q22:X22"/>
    <mergeCell ref="Q23:X23"/>
    <mergeCell ref="Q24:X24"/>
    <mergeCell ref="AA26:AB26"/>
    <mergeCell ref="AA27:AB27"/>
    <mergeCell ref="AA22:AB22"/>
    <mergeCell ref="AA23:AB23"/>
    <mergeCell ref="AA24:AB24"/>
    <mergeCell ref="Y12:Z12"/>
    <mergeCell ref="Y14:Z14"/>
    <mergeCell ref="Y15:Z15"/>
    <mergeCell ref="Y16:Z16"/>
    <mergeCell ref="Q12:X12"/>
    <mergeCell ref="AA25:AB25"/>
    <mergeCell ref="AA21:AB21"/>
    <mergeCell ref="AC19:AD19"/>
    <mergeCell ref="AC20:AD20"/>
    <mergeCell ref="AC21:AD21"/>
    <mergeCell ref="AC22:AD22"/>
    <mergeCell ref="AC23:AD23"/>
    <mergeCell ref="AC24:AD24"/>
    <mergeCell ref="AE9:AK9"/>
    <mergeCell ref="AE10:AK10"/>
    <mergeCell ref="AE11:AK11"/>
    <mergeCell ref="AE12:AK12"/>
    <mergeCell ref="AE14:AK14"/>
    <mergeCell ref="AE15:AK15"/>
    <mergeCell ref="AC14:AD14"/>
    <mergeCell ref="AC15:AD15"/>
    <mergeCell ref="AC16:AD16"/>
    <mergeCell ref="AC12:AD12"/>
    <mergeCell ref="AA10:AB10"/>
    <mergeCell ref="AC10:AD10"/>
    <mergeCell ref="AA11:AB11"/>
    <mergeCell ref="AC11:AD11"/>
    <mergeCell ref="AE27:AK27"/>
    <mergeCell ref="AE16:AK16"/>
    <mergeCell ref="AE17:AK17"/>
    <mergeCell ref="AE18:AK18"/>
    <mergeCell ref="AE19:AK19"/>
    <mergeCell ref="AE20:AK20"/>
    <mergeCell ref="AE21:AK21"/>
    <mergeCell ref="AC25:AD25"/>
    <mergeCell ref="AC26:AD26"/>
    <mergeCell ref="AC27:AD27"/>
    <mergeCell ref="AE22:AK22"/>
    <mergeCell ref="AE23:AK23"/>
    <mergeCell ref="AE24:AK24"/>
    <mergeCell ref="AE25:AK25"/>
    <mergeCell ref="AE26:AK26"/>
    <mergeCell ref="AC17:AD17"/>
    <mergeCell ref="AC18:AD18"/>
    <mergeCell ref="C13:H13"/>
    <mergeCell ref="I13:P13"/>
    <mergeCell ref="Q13:X13"/>
    <mergeCell ref="Y13:Z13"/>
    <mergeCell ref="AA13:AB13"/>
    <mergeCell ref="AC13:AD13"/>
    <mergeCell ref="AE13:AK13"/>
    <mergeCell ref="Y27:Z27"/>
    <mergeCell ref="Y18:Z18"/>
    <mergeCell ref="Y19:Z19"/>
    <mergeCell ref="Y20:Z20"/>
    <mergeCell ref="Y21:Z21"/>
    <mergeCell ref="Y22:Z22"/>
    <mergeCell ref="Y23:Z23"/>
    <mergeCell ref="Y24:Z24"/>
    <mergeCell ref="Y25:Z25"/>
    <mergeCell ref="Y26:Z26"/>
    <mergeCell ref="AA19:AB19"/>
    <mergeCell ref="AA20:AB20"/>
    <mergeCell ref="Q25:X25"/>
    <mergeCell ref="Q26:X26"/>
    <mergeCell ref="Q15:X15"/>
    <mergeCell ref="Q16:X16"/>
    <mergeCell ref="Q17:X17"/>
  </mergeCells>
  <phoneticPr fontId="3"/>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1B44D-E3D7-45E3-979E-2E22B0E46257}">
  <sheetPr codeName="Sheet78"/>
  <dimension ref="B1:AK27"/>
  <sheetViews>
    <sheetView workbookViewId="0"/>
  </sheetViews>
  <sheetFormatPr defaultColWidth="3.6640625" defaultRowHeight="13.2"/>
  <sheetData>
    <row r="1" spans="2:37" ht="13.8" thickBot="1"/>
    <row r="2" spans="2:37">
      <c r="B2" s="205" t="s">
        <v>95</v>
      </c>
      <c r="C2" s="206"/>
      <c r="D2" s="206"/>
      <c r="E2" s="206"/>
      <c r="F2" s="211" t="s">
        <v>93</v>
      </c>
      <c r="G2" s="211"/>
      <c r="H2" s="212"/>
      <c r="I2" s="196" t="s">
        <v>924</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921</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922</v>
      </c>
      <c r="D9" s="189"/>
      <c r="E9" s="189"/>
      <c r="F9" s="189"/>
      <c r="G9" s="189"/>
      <c r="H9" s="189"/>
      <c r="I9" s="189" t="s">
        <v>923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410</v>
      </c>
      <c r="D10" s="189"/>
      <c r="E10" s="189"/>
      <c r="F10" s="189"/>
      <c r="G10" s="189"/>
      <c r="H10" s="189"/>
      <c r="I10" s="189" t="s">
        <v>413</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696</v>
      </c>
      <c r="D11" s="189"/>
      <c r="E11" s="189"/>
      <c r="F11" s="189"/>
      <c r="G11" s="189"/>
      <c r="H11" s="189"/>
      <c r="I11" s="189" t="s">
        <v>138</v>
      </c>
      <c r="J11" s="189"/>
      <c r="K11" s="189"/>
      <c r="L11" s="189"/>
      <c r="M11" s="189"/>
      <c r="N11" s="189"/>
      <c r="O11" s="189"/>
      <c r="P11" s="189"/>
      <c r="Q11" s="189" t="s">
        <v>221</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349</v>
      </c>
      <c r="D12" s="189"/>
      <c r="E12" s="189"/>
      <c r="F12" s="189"/>
      <c r="G12" s="189"/>
      <c r="H12" s="189"/>
      <c r="I12" s="189" t="s">
        <v>364</v>
      </c>
      <c r="J12" s="189"/>
      <c r="K12" s="189"/>
      <c r="L12" s="189"/>
      <c r="M12" s="189"/>
      <c r="N12" s="189"/>
      <c r="O12" s="189"/>
      <c r="P12" s="189"/>
      <c r="Q12" s="189" t="s">
        <v>146</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815</v>
      </c>
      <c r="D13" s="189"/>
      <c r="E13" s="189"/>
      <c r="F13" s="189"/>
      <c r="G13" s="189"/>
      <c r="H13" s="189"/>
      <c r="I13" s="189" t="s">
        <v>817</v>
      </c>
      <c r="J13" s="189"/>
      <c r="K13" s="189"/>
      <c r="L13" s="189"/>
      <c r="M13" s="189"/>
      <c r="N13" s="189"/>
      <c r="O13" s="189"/>
      <c r="P13" s="189"/>
      <c r="Q13" s="189" t="s">
        <v>147</v>
      </c>
      <c r="R13" s="189"/>
      <c r="S13" s="189"/>
      <c r="T13" s="189"/>
      <c r="U13" s="189"/>
      <c r="V13" s="189"/>
      <c r="W13" s="189"/>
      <c r="X13" s="189"/>
      <c r="Y13" s="189"/>
      <c r="Z13" s="189"/>
      <c r="AA13" s="189"/>
      <c r="AB13" s="189"/>
      <c r="AC13" s="189"/>
      <c r="AD13" s="189"/>
      <c r="AE13" s="189"/>
      <c r="AF13" s="189"/>
      <c r="AG13" s="189"/>
      <c r="AH13" s="189"/>
      <c r="AI13" s="189"/>
      <c r="AJ13" s="189"/>
      <c r="AK13" s="191"/>
    </row>
    <row r="14" spans="2:37" ht="13.8" thickBot="1">
      <c r="B14" s="4">
        <v>6</v>
      </c>
      <c r="C14" s="190" t="s">
        <v>816</v>
      </c>
      <c r="D14" s="190"/>
      <c r="E14" s="190"/>
      <c r="F14" s="190"/>
      <c r="G14" s="190"/>
      <c r="H14" s="190"/>
      <c r="I14" s="190" t="s">
        <v>818</v>
      </c>
      <c r="J14" s="190"/>
      <c r="K14" s="190"/>
      <c r="L14" s="190"/>
      <c r="M14" s="190"/>
      <c r="N14" s="190"/>
      <c r="O14" s="190"/>
      <c r="P14" s="190"/>
      <c r="Q14" s="190" t="s">
        <v>147</v>
      </c>
      <c r="R14" s="190"/>
      <c r="S14" s="190"/>
      <c r="T14" s="190"/>
      <c r="U14" s="190"/>
      <c r="V14" s="190"/>
      <c r="W14" s="190"/>
      <c r="X14" s="190"/>
      <c r="Y14" s="190"/>
      <c r="Z14" s="190"/>
      <c r="AA14" s="190"/>
      <c r="AB14" s="190"/>
      <c r="AC14" s="190"/>
      <c r="AD14" s="190"/>
      <c r="AE14" s="190"/>
      <c r="AF14" s="190"/>
      <c r="AG14" s="190"/>
      <c r="AH14" s="190"/>
      <c r="AI14" s="190"/>
      <c r="AJ14" s="190"/>
      <c r="AK14" s="198"/>
    </row>
    <row r="17" spans="2:35" ht="15" thickBot="1">
      <c r="B17" s="7" t="s">
        <v>994</v>
      </c>
    </row>
    <row r="18" spans="2:35">
      <c r="B18" s="10" t="s">
        <v>7</v>
      </c>
      <c r="C18" s="226" t="s">
        <v>998</v>
      </c>
      <c r="D18" s="226"/>
      <c r="E18" s="226"/>
      <c r="F18" s="226"/>
      <c r="G18" s="226"/>
      <c r="H18" s="226"/>
      <c r="I18" s="226"/>
      <c r="J18" s="226"/>
      <c r="K18" s="226"/>
      <c r="L18" s="226" t="s">
        <v>1000</v>
      </c>
      <c r="M18" s="226"/>
      <c r="N18" s="226"/>
      <c r="O18" s="226"/>
      <c r="P18" s="226"/>
      <c r="Q18" s="226"/>
      <c r="R18" s="226"/>
      <c r="S18" s="226"/>
      <c r="T18" s="226"/>
      <c r="U18" s="226"/>
      <c r="V18" s="226" t="s">
        <v>1002</v>
      </c>
      <c r="W18" s="226"/>
      <c r="X18" s="226"/>
      <c r="Y18" s="226" t="s">
        <v>1004</v>
      </c>
      <c r="Z18" s="226"/>
      <c r="AA18" s="226"/>
      <c r="AB18" s="226" t="s">
        <v>1005</v>
      </c>
      <c r="AC18" s="226"/>
      <c r="AD18" s="226"/>
      <c r="AE18" s="226"/>
      <c r="AF18" s="226"/>
      <c r="AG18" s="226"/>
      <c r="AH18" s="226"/>
      <c r="AI18" s="227"/>
    </row>
    <row r="19" spans="2:35" ht="13.8" thickBot="1">
      <c r="B19" s="12">
        <v>1</v>
      </c>
      <c r="C19" s="238" t="s">
        <v>1160</v>
      </c>
      <c r="D19" s="238"/>
      <c r="E19" s="238"/>
      <c r="F19" s="238"/>
      <c r="G19" s="238"/>
      <c r="H19" s="238"/>
      <c r="I19" s="238"/>
      <c r="J19" s="238"/>
      <c r="K19" s="238"/>
      <c r="L19" s="238" t="s">
        <v>1161</v>
      </c>
      <c r="M19" s="238"/>
      <c r="N19" s="238"/>
      <c r="O19" s="238"/>
      <c r="P19" s="238"/>
      <c r="Q19" s="238"/>
      <c r="R19" s="238"/>
      <c r="S19" s="238"/>
      <c r="T19" s="238"/>
      <c r="U19" s="238"/>
      <c r="V19" s="238" t="s">
        <v>1022</v>
      </c>
      <c r="W19" s="238"/>
      <c r="X19" s="238"/>
      <c r="Y19" s="238" t="s">
        <v>1022</v>
      </c>
      <c r="Z19" s="238"/>
      <c r="AA19" s="238"/>
      <c r="AB19" s="238"/>
      <c r="AC19" s="238"/>
      <c r="AD19" s="238"/>
      <c r="AE19" s="238"/>
      <c r="AF19" s="238"/>
      <c r="AG19" s="238"/>
      <c r="AH19" s="238"/>
      <c r="AI19" s="239"/>
    </row>
    <row r="20" spans="2:35">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row>
    <row r="21" spans="2:35" ht="15" thickBot="1">
      <c r="B21" s="7" t="s">
        <v>995</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row r="25" spans="2:35" ht="15" thickBot="1">
      <c r="B25" s="7" t="s">
        <v>996</v>
      </c>
    </row>
    <row r="26" spans="2:35">
      <c r="B26" s="14" t="s">
        <v>1069</v>
      </c>
      <c r="C26" s="226" t="s">
        <v>1070</v>
      </c>
      <c r="D26" s="226"/>
      <c r="E26" s="226"/>
      <c r="F26" s="226"/>
      <c r="G26" s="226"/>
      <c r="H26" s="226"/>
      <c r="I26" s="226"/>
      <c r="J26" s="226"/>
      <c r="K26" s="226"/>
      <c r="L26" s="226"/>
      <c r="M26" s="226" t="s">
        <v>1072</v>
      </c>
      <c r="N26" s="226"/>
      <c r="O26" s="226"/>
      <c r="P26" s="226"/>
      <c r="Q26" s="226"/>
      <c r="R26" s="226"/>
      <c r="S26" s="226"/>
      <c r="T26" s="226"/>
      <c r="U26" s="226" t="s">
        <v>1154</v>
      </c>
      <c r="V26" s="226"/>
      <c r="W26" s="226"/>
      <c r="X26" s="226"/>
      <c r="Y26" s="226"/>
      <c r="Z26" s="226"/>
      <c r="AA26" s="226"/>
      <c r="AB26" s="226"/>
      <c r="AC26" s="226"/>
      <c r="AD26" s="226" t="s">
        <v>1155</v>
      </c>
      <c r="AE26" s="226"/>
      <c r="AF26" s="226"/>
      <c r="AG26" s="226"/>
      <c r="AH26" s="226"/>
      <c r="AI26" s="227"/>
    </row>
    <row r="27" spans="2:35" ht="13.8" thickBot="1">
      <c r="B27" s="4"/>
      <c r="C27" s="190"/>
      <c r="D27" s="190"/>
      <c r="E27" s="190"/>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8"/>
    </row>
  </sheetData>
  <mergeCells count="82">
    <mergeCell ref="C26:L26"/>
    <mergeCell ref="M26:T26"/>
    <mergeCell ref="U26:AC26"/>
    <mergeCell ref="AD26:AI26"/>
    <mergeCell ref="C27:L27"/>
    <mergeCell ref="M27:T27"/>
    <mergeCell ref="U27:AC27"/>
    <mergeCell ref="AD27:AI27"/>
    <mergeCell ref="C22:L22"/>
    <mergeCell ref="M22:T22"/>
    <mergeCell ref="U22:AC22"/>
    <mergeCell ref="AD22:AI22"/>
    <mergeCell ref="C23:L23"/>
    <mergeCell ref="M23:T23"/>
    <mergeCell ref="U23:AC23"/>
    <mergeCell ref="AD23:AI23"/>
    <mergeCell ref="C19:K19"/>
    <mergeCell ref="L19:U19"/>
    <mergeCell ref="V19:X19"/>
    <mergeCell ref="Y19:AA19"/>
    <mergeCell ref="AB19:AI19"/>
    <mergeCell ref="AC8:AD8"/>
    <mergeCell ref="C9:H9"/>
    <mergeCell ref="C10:H10"/>
    <mergeCell ref="C11:H11"/>
    <mergeCell ref="C12:H12"/>
    <mergeCell ref="I8:P8"/>
    <mergeCell ref="I9:P9"/>
    <mergeCell ref="I10:P10"/>
    <mergeCell ref="I11:P11"/>
    <mergeCell ref="I12:P12"/>
    <mergeCell ref="Y8:Z8"/>
    <mergeCell ref="Y9:Z9"/>
    <mergeCell ref="C18:K18"/>
    <mergeCell ref="L18:U18"/>
    <mergeCell ref="V18:X18"/>
    <mergeCell ref="Y18:AA18"/>
    <mergeCell ref="Q8:X8"/>
    <mergeCell ref="AA8:AB8"/>
    <mergeCell ref="C13:H13"/>
    <mergeCell ref="C14:H14"/>
    <mergeCell ref="AA13:AB13"/>
    <mergeCell ref="AA14:AB14"/>
    <mergeCell ref="AB18:AI18"/>
    <mergeCell ref="AE8:AK8"/>
    <mergeCell ref="AA9:AB9"/>
    <mergeCell ref="AC9:AD9"/>
    <mergeCell ref="Q9:X9"/>
    <mergeCell ref="I14:P14"/>
    <mergeCell ref="B2:E4"/>
    <mergeCell ref="F2:H2"/>
    <mergeCell ref="F3:H3"/>
    <mergeCell ref="F4:H4"/>
    <mergeCell ref="C8:H8"/>
    <mergeCell ref="I13:P13"/>
    <mergeCell ref="Q12:X12"/>
    <mergeCell ref="Q13:X13"/>
    <mergeCell ref="Q14:X14"/>
    <mergeCell ref="AA10:AB10"/>
    <mergeCell ref="AA11:AB11"/>
    <mergeCell ref="AA12:AB12"/>
    <mergeCell ref="Y13:Z13"/>
    <mergeCell ref="Y14:Z14"/>
    <mergeCell ref="Y10:Z10"/>
    <mergeCell ref="Y11:Z11"/>
    <mergeCell ref="Y12:Z12"/>
    <mergeCell ref="AE14:AK14"/>
    <mergeCell ref="I2:N2"/>
    <mergeCell ref="I3:N3"/>
    <mergeCell ref="I4:N4"/>
    <mergeCell ref="AC10:AD10"/>
    <mergeCell ref="AC11:AD11"/>
    <mergeCell ref="AC12:AD12"/>
    <mergeCell ref="AC13:AD13"/>
    <mergeCell ref="AC14:AD14"/>
    <mergeCell ref="AE9:AK9"/>
    <mergeCell ref="AE10:AK10"/>
    <mergeCell ref="AE11:AK11"/>
    <mergeCell ref="AE12:AK12"/>
    <mergeCell ref="AE13:AK13"/>
    <mergeCell ref="Q10:X10"/>
    <mergeCell ref="Q11:X11"/>
  </mergeCells>
  <phoneticPr fontId="3"/>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3BECD-5E0A-495A-82B9-56DFE940C80A}">
  <sheetPr codeName="Sheet79"/>
  <dimension ref="B1:AK27"/>
  <sheetViews>
    <sheetView topLeftCell="A4" workbookViewId="0"/>
  </sheetViews>
  <sheetFormatPr defaultColWidth="3.6640625" defaultRowHeight="13.2"/>
  <sheetData>
    <row r="1" spans="2:37" ht="13.8" thickBot="1"/>
    <row r="2" spans="2:37">
      <c r="B2" s="205" t="s">
        <v>95</v>
      </c>
      <c r="C2" s="206"/>
      <c r="D2" s="206"/>
      <c r="E2" s="206"/>
      <c r="F2" s="211" t="s">
        <v>93</v>
      </c>
      <c r="G2" s="211"/>
      <c r="H2" s="212"/>
      <c r="I2" s="196" t="s">
        <v>928</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925</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926</v>
      </c>
      <c r="D9" s="189"/>
      <c r="E9" s="189"/>
      <c r="F9" s="189"/>
      <c r="G9" s="189"/>
      <c r="H9" s="189"/>
      <c r="I9" s="189" t="s">
        <v>927</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603</v>
      </c>
      <c r="D10" s="189"/>
      <c r="E10" s="189"/>
      <c r="F10" s="189"/>
      <c r="G10" s="189"/>
      <c r="H10" s="189"/>
      <c r="I10" s="189" t="s">
        <v>638</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117</v>
      </c>
      <c r="D11" s="189"/>
      <c r="E11" s="189"/>
      <c r="F11" s="189"/>
      <c r="G11" s="189"/>
      <c r="H11" s="189"/>
      <c r="I11" s="189" t="s">
        <v>382</v>
      </c>
      <c r="J11" s="189"/>
      <c r="K11" s="189"/>
      <c r="L11" s="189"/>
      <c r="M11" s="189"/>
      <c r="N11" s="189"/>
      <c r="O11" s="189"/>
      <c r="P11" s="189"/>
      <c r="Q11" s="189" t="s">
        <v>146</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120</v>
      </c>
      <c r="D12" s="189"/>
      <c r="E12" s="189"/>
      <c r="F12" s="189"/>
      <c r="G12" s="189"/>
      <c r="H12" s="189"/>
      <c r="I12" s="189" t="s">
        <v>383</v>
      </c>
      <c r="J12" s="189"/>
      <c r="K12" s="189"/>
      <c r="L12" s="189"/>
      <c r="M12" s="189"/>
      <c r="N12" s="189"/>
      <c r="O12" s="189"/>
      <c r="P12" s="189"/>
      <c r="Q12" s="189" t="s">
        <v>146</v>
      </c>
      <c r="R12" s="189"/>
      <c r="S12" s="189"/>
      <c r="T12" s="189"/>
      <c r="U12" s="189"/>
      <c r="V12" s="189"/>
      <c r="W12" s="189"/>
      <c r="X12" s="189"/>
      <c r="Y12" s="189"/>
      <c r="Z12" s="189"/>
      <c r="AA12" s="189"/>
      <c r="AB12" s="189"/>
      <c r="AC12" s="189"/>
      <c r="AD12" s="189"/>
      <c r="AE12" s="189"/>
      <c r="AF12" s="189"/>
      <c r="AG12" s="189"/>
      <c r="AH12" s="189"/>
      <c r="AI12" s="189"/>
      <c r="AJ12" s="189"/>
      <c r="AK12" s="191"/>
    </row>
    <row r="13" spans="2:37" ht="13.8" thickBot="1">
      <c r="B13" s="4">
        <v>5</v>
      </c>
      <c r="C13" s="190" t="s">
        <v>118</v>
      </c>
      <c r="D13" s="190"/>
      <c r="E13" s="190"/>
      <c r="F13" s="190"/>
      <c r="G13" s="190"/>
      <c r="H13" s="190"/>
      <c r="I13" s="190" t="s">
        <v>159</v>
      </c>
      <c r="J13" s="190"/>
      <c r="K13" s="190"/>
      <c r="L13" s="190"/>
      <c r="M13" s="190"/>
      <c r="N13" s="190"/>
      <c r="O13" s="190"/>
      <c r="P13" s="190"/>
      <c r="Q13" s="190" t="s">
        <v>144</v>
      </c>
      <c r="R13" s="190"/>
      <c r="S13" s="190"/>
      <c r="T13" s="190"/>
      <c r="U13" s="190"/>
      <c r="V13" s="190"/>
      <c r="W13" s="190"/>
      <c r="X13" s="190"/>
      <c r="Y13" s="190"/>
      <c r="Z13" s="190"/>
      <c r="AA13" s="190"/>
      <c r="AB13" s="190"/>
      <c r="AC13" s="190"/>
      <c r="AD13" s="190"/>
      <c r="AE13" s="190"/>
      <c r="AF13" s="190"/>
      <c r="AG13" s="190"/>
      <c r="AH13" s="190"/>
      <c r="AI13" s="190"/>
      <c r="AJ13" s="190"/>
      <c r="AK13" s="198"/>
    </row>
    <row r="16" spans="2:37" ht="15" thickBot="1">
      <c r="B16" s="7" t="s">
        <v>994</v>
      </c>
    </row>
    <row r="17" spans="2:35" ht="13.8" thickBot="1">
      <c r="B17" s="10" t="s">
        <v>7</v>
      </c>
      <c r="C17" s="226" t="s">
        <v>998</v>
      </c>
      <c r="D17" s="226"/>
      <c r="E17" s="226"/>
      <c r="F17" s="226"/>
      <c r="G17" s="226"/>
      <c r="H17" s="226"/>
      <c r="I17" s="226"/>
      <c r="J17" s="226"/>
      <c r="K17" s="226"/>
      <c r="L17" s="226" t="s">
        <v>1000</v>
      </c>
      <c r="M17" s="226"/>
      <c r="N17" s="226"/>
      <c r="O17" s="226"/>
      <c r="P17" s="226"/>
      <c r="Q17" s="226"/>
      <c r="R17" s="226"/>
      <c r="S17" s="226"/>
      <c r="T17" s="226"/>
      <c r="U17" s="226"/>
      <c r="V17" s="226" t="s">
        <v>1002</v>
      </c>
      <c r="W17" s="226"/>
      <c r="X17" s="226"/>
      <c r="Y17" s="226" t="s">
        <v>1004</v>
      </c>
      <c r="Z17" s="226"/>
      <c r="AA17" s="226"/>
      <c r="AB17" s="226" t="s">
        <v>1005</v>
      </c>
      <c r="AC17" s="226"/>
      <c r="AD17" s="226"/>
      <c r="AE17" s="226"/>
      <c r="AF17" s="226"/>
      <c r="AG17" s="226"/>
      <c r="AH17" s="226"/>
      <c r="AI17" s="227"/>
    </row>
    <row r="18" spans="2:35">
      <c r="B18" s="256">
        <v>1</v>
      </c>
      <c r="C18" s="247" t="s">
        <v>1162</v>
      </c>
      <c r="D18" s="247"/>
      <c r="E18" s="247"/>
      <c r="F18" s="247"/>
      <c r="G18" s="247"/>
      <c r="H18" s="247"/>
      <c r="I18" s="247"/>
      <c r="J18" s="247"/>
      <c r="K18" s="247"/>
      <c r="L18" s="246" t="s">
        <v>1163</v>
      </c>
      <c r="M18" s="246"/>
      <c r="N18" s="246"/>
      <c r="O18" s="246"/>
      <c r="P18" s="246"/>
      <c r="Q18" s="246"/>
      <c r="R18" s="246"/>
      <c r="S18" s="246"/>
      <c r="T18" s="246"/>
      <c r="U18" s="246"/>
      <c r="V18" s="247" t="s">
        <v>1022</v>
      </c>
      <c r="W18" s="247"/>
      <c r="X18" s="247"/>
      <c r="Y18" s="247" t="s">
        <v>1022</v>
      </c>
      <c r="Z18" s="247"/>
      <c r="AA18" s="247"/>
      <c r="AB18" s="248"/>
      <c r="AC18" s="248"/>
      <c r="AD18" s="248"/>
      <c r="AE18" s="248"/>
      <c r="AF18" s="248"/>
      <c r="AG18" s="248"/>
      <c r="AH18" s="248"/>
      <c r="AI18" s="249"/>
    </row>
    <row r="19" spans="2:35" ht="13.8" thickBot="1">
      <c r="B19" s="257"/>
      <c r="C19" s="258"/>
      <c r="D19" s="258"/>
      <c r="E19" s="258"/>
      <c r="F19" s="258"/>
      <c r="G19" s="258"/>
      <c r="H19" s="258"/>
      <c r="I19" s="258"/>
      <c r="J19" s="258"/>
      <c r="K19" s="258"/>
      <c r="L19" s="259" t="s">
        <v>1093</v>
      </c>
      <c r="M19" s="259"/>
      <c r="N19" s="259"/>
      <c r="O19" s="259"/>
      <c r="P19" s="259"/>
      <c r="Q19" s="259"/>
      <c r="R19" s="259"/>
      <c r="S19" s="259"/>
      <c r="T19" s="259"/>
      <c r="U19" s="259"/>
      <c r="V19" s="258"/>
      <c r="W19" s="258"/>
      <c r="X19" s="258"/>
      <c r="Y19" s="258"/>
      <c r="Z19" s="258"/>
      <c r="AA19" s="258"/>
      <c r="AB19" s="238"/>
      <c r="AC19" s="238"/>
      <c r="AD19" s="238"/>
      <c r="AE19" s="238"/>
      <c r="AF19" s="238"/>
      <c r="AG19" s="238"/>
      <c r="AH19" s="238"/>
      <c r="AI19" s="239"/>
    </row>
    <row r="21" spans="2:35" ht="15" thickBot="1">
      <c r="B21" s="7" t="s">
        <v>995</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row r="25" spans="2:35" ht="15" thickBot="1">
      <c r="B25" s="7" t="s">
        <v>996</v>
      </c>
    </row>
    <row r="26" spans="2:35">
      <c r="B26" s="14" t="s">
        <v>1069</v>
      </c>
      <c r="C26" s="226" t="s">
        <v>1070</v>
      </c>
      <c r="D26" s="226"/>
      <c r="E26" s="226"/>
      <c r="F26" s="226"/>
      <c r="G26" s="226"/>
      <c r="H26" s="226"/>
      <c r="I26" s="226"/>
      <c r="J26" s="226"/>
      <c r="K26" s="226"/>
      <c r="L26" s="226"/>
      <c r="M26" s="226" t="s">
        <v>1072</v>
      </c>
      <c r="N26" s="226"/>
      <c r="O26" s="226"/>
      <c r="P26" s="226"/>
      <c r="Q26" s="226"/>
      <c r="R26" s="226"/>
      <c r="S26" s="226"/>
      <c r="T26" s="226"/>
      <c r="U26" s="226" t="s">
        <v>1154</v>
      </c>
      <c r="V26" s="226"/>
      <c r="W26" s="226"/>
      <c r="X26" s="226"/>
      <c r="Y26" s="226"/>
      <c r="Z26" s="226"/>
      <c r="AA26" s="226"/>
      <c r="AB26" s="226"/>
      <c r="AC26" s="226"/>
      <c r="AD26" s="226" t="s">
        <v>1155</v>
      </c>
      <c r="AE26" s="226"/>
      <c r="AF26" s="226"/>
      <c r="AG26" s="226"/>
      <c r="AH26" s="226"/>
      <c r="AI26" s="227"/>
    </row>
    <row r="27" spans="2:35" ht="13.8" thickBot="1">
      <c r="B27" s="4"/>
      <c r="C27" s="190"/>
      <c r="D27" s="190"/>
      <c r="E27" s="190"/>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8"/>
    </row>
  </sheetData>
  <mergeCells count="77">
    <mergeCell ref="C27:L27"/>
    <mergeCell ref="M27:T27"/>
    <mergeCell ref="U27:AC27"/>
    <mergeCell ref="AD27:AI27"/>
    <mergeCell ref="C23:L23"/>
    <mergeCell ref="M23:T23"/>
    <mergeCell ref="U23:AC23"/>
    <mergeCell ref="AD23:AI23"/>
    <mergeCell ref="C26:L26"/>
    <mergeCell ref="M26:T26"/>
    <mergeCell ref="U26:AC26"/>
    <mergeCell ref="AD26:AI26"/>
    <mergeCell ref="AB18:AI19"/>
    <mergeCell ref="L19:U19"/>
    <mergeCell ref="C22:L22"/>
    <mergeCell ref="M22:T22"/>
    <mergeCell ref="U22:AC22"/>
    <mergeCell ref="AD22:AI22"/>
    <mergeCell ref="B18:B19"/>
    <mergeCell ref="C18:K19"/>
    <mergeCell ref="L18:U18"/>
    <mergeCell ref="V18:X19"/>
    <mergeCell ref="Y18:AA19"/>
    <mergeCell ref="I8:P8"/>
    <mergeCell ref="C17:K17"/>
    <mergeCell ref="L17:U17"/>
    <mergeCell ref="V17:X17"/>
    <mergeCell ref="Y17:AA17"/>
    <mergeCell ref="AA8:AB8"/>
    <mergeCell ref="Q10:X10"/>
    <mergeCell ref="Q11:X11"/>
    <mergeCell ref="Q12:X12"/>
    <mergeCell ref="C13:H13"/>
    <mergeCell ref="I9:P9"/>
    <mergeCell ref="I10:P10"/>
    <mergeCell ref="I11:P11"/>
    <mergeCell ref="I12:P12"/>
    <mergeCell ref="I13:P13"/>
    <mergeCell ref="AB17:AI17"/>
    <mergeCell ref="B2:E4"/>
    <mergeCell ref="F2:H2"/>
    <mergeCell ref="F3:H3"/>
    <mergeCell ref="F4:H4"/>
    <mergeCell ref="C8:H8"/>
    <mergeCell ref="AE8:AK8"/>
    <mergeCell ref="AA9:AB9"/>
    <mergeCell ref="AC9:AD9"/>
    <mergeCell ref="AE9:AK9"/>
    <mergeCell ref="Q9:X9"/>
    <mergeCell ref="Q8:X8"/>
    <mergeCell ref="AC8:AD8"/>
    <mergeCell ref="AE11:AK11"/>
    <mergeCell ref="AE12:AK12"/>
    <mergeCell ref="Y11:Z11"/>
    <mergeCell ref="Y12:Z12"/>
    <mergeCell ref="Y10:Z10"/>
    <mergeCell ref="C9:H9"/>
    <mergeCell ref="C10:H10"/>
    <mergeCell ref="C11:H11"/>
    <mergeCell ref="C12:H12"/>
    <mergeCell ref="Y13:Z13"/>
    <mergeCell ref="AE13:AK13"/>
    <mergeCell ref="I2:M2"/>
    <mergeCell ref="I3:M3"/>
    <mergeCell ref="I4:M4"/>
    <mergeCell ref="Q13:X13"/>
    <mergeCell ref="AA11:AB11"/>
    <mergeCell ref="AA12:AB12"/>
    <mergeCell ref="AA13:AB13"/>
    <mergeCell ref="AC11:AD11"/>
    <mergeCell ref="AC12:AD12"/>
    <mergeCell ref="AC13:AD13"/>
    <mergeCell ref="AA10:AB10"/>
    <mergeCell ref="AC10:AD10"/>
    <mergeCell ref="Y8:Z8"/>
    <mergeCell ref="Y9:Z9"/>
    <mergeCell ref="AE10:AK10"/>
  </mergeCells>
  <phoneticPr fontId="3"/>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CAE24-3A6D-4BDF-80D7-58AE944F207A}">
  <sheetPr codeName="Sheet80"/>
  <dimension ref="B1:AK41"/>
  <sheetViews>
    <sheetView topLeftCell="A43" workbookViewId="0">
      <selection activeCell="I27" sqref="I27"/>
    </sheetView>
  </sheetViews>
  <sheetFormatPr defaultColWidth="3.6640625" defaultRowHeight="13.2"/>
  <sheetData>
    <row r="1" spans="2:37" ht="13.8" thickBot="1"/>
    <row r="2" spans="2:37">
      <c r="B2" s="205" t="s">
        <v>95</v>
      </c>
      <c r="C2" s="206"/>
      <c r="D2" s="206"/>
      <c r="E2" s="206"/>
      <c r="F2" s="211" t="s">
        <v>93</v>
      </c>
      <c r="G2" s="211"/>
      <c r="H2" s="212"/>
      <c r="I2" s="196" t="s">
        <v>933</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929</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690</v>
      </c>
      <c r="D9" s="189"/>
      <c r="E9" s="189"/>
      <c r="F9" s="189"/>
      <c r="G9" s="189"/>
      <c r="H9" s="189"/>
      <c r="I9" s="189" t="s">
        <v>698</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930</v>
      </c>
      <c r="D10" s="189"/>
      <c r="E10" s="189"/>
      <c r="F10" s="189"/>
      <c r="G10" s="189"/>
      <c r="H10" s="189"/>
      <c r="I10" s="189" t="s">
        <v>932</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691</v>
      </c>
      <c r="D11" s="189"/>
      <c r="E11" s="189"/>
      <c r="F11" s="189"/>
      <c r="G11" s="189"/>
      <c r="H11" s="189"/>
      <c r="I11" s="189" t="s">
        <v>354</v>
      </c>
      <c r="J11" s="189"/>
      <c r="K11" s="189"/>
      <c r="L11" s="189"/>
      <c r="M11" s="189"/>
      <c r="N11" s="189"/>
      <c r="O11" s="189"/>
      <c r="P11" s="189"/>
      <c r="Q11" s="189" t="s">
        <v>146</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c r="B12" s="3">
        <v>4</v>
      </c>
      <c r="C12" s="189" t="s">
        <v>115</v>
      </c>
      <c r="D12" s="189"/>
      <c r="E12" s="189"/>
      <c r="F12" s="189"/>
      <c r="G12" s="189"/>
      <c r="H12" s="189"/>
      <c r="I12" s="189" t="s">
        <v>355</v>
      </c>
      <c r="J12" s="189"/>
      <c r="K12" s="189"/>
      <c r="L12" s="189"/>
      <c r="M12" s="189"/>
      <c r="N12" s="189"/>
      <c r="O12" s="189"/>
      <c r="P12" s="189"/>
      <c r="Q12" s="189" t="s">
        <v>144</v>
      </c>
      <c r="R12" s="189"/>
      <c r="S12" s="189"/>
      <c r="T12" s="189"/>
      <c r="U12" s="189"/>
      <c r="V12" s="189"/>
      <c r="W12" s="189"/>
      <c r="X12" s="189"/>
      <c r="Y12" s="189"/>
      <c r="Z12" s="189"/>
      <c r="AA12" s="189"/>
      <c r="AB12" s="189"/>
      <c r="AC12" s="189"/>
      <c r="AD12" s="189"/>
      <c r="AE12" s="189"/>
      <c r="AF12" s="189"/>
      <c r="AG12" s="189"/>
      <c r="AH12" s="189"/>
      <c r="AI12" s="189"/>
      <c r="AJ12" s="189"/>
      <c r="AK12" s="191"/>
    </row>
    <row r="13" spans="2:37" s="72" customFormat="1">
      <c r="B13" s="75">
        <v>5</v>
      </c>
      <c r="C13" s="244" t="s">
        <v>1704</v>
      </c>
      <c r="D13" s="244"/>
      <c r="E13" s="244"/>
      <c r="F13" s="244"/>
      <c r="G13" s="244"/>
      <c r="H13" s="244"/>
      <c r="I13" s="244" t="s">
        <v>579</v>
      </c>
      <c r="J13" s="244"/>
      <c r="K13" s="244"/>
      <c r="L13" s="244"/>
      <c r="M13" s="244"/>
      <c r="N13" s="244"/>
      <c r="O13" s="244"/>
      <c r="P13" s="244"/>
      <c r="Q13" s="244" t="s">
        <v>1189</v>
      </c>
      <c r="R13" s="244"/>
      <c r="S13" s="244"/>
      <c r="T13" s="244"/>
      <c r="U13" s="244"/>
      <c r="V13" s="244"/>
      <c r="W13" s="244"/>
      <c r="X13" s="244"/>
      <c r="Y13" s="189"/>
      <c r="Z13" s="189"/>
      <c r="AA13" s="189"/>
      <c r="AB13" s="189"/>
      <c r="AC13" s="189"/>
      <c r="AD13" s="189"/>
      <c r="AE13" s="189"/>
      <c r="AF13" s="189"/>
      <c r="AG13" s="189"/>
      <c r="AH13" s="189"/>
      <c r="AI13" s="189"/>
      <c r="AJ13" s="189"/>
      <c r="AK13" s="191"/>
    </row>
    <row r="14" spans="2:37">
      <c r="B14" s="75">
        <v>6</v>
      </c>
      <c r="C14" s="189" t="s">
        <v>675</v>
      </c>
      <c r="D14" s="189"/>
      <c r="E14" s="189"/>
      <c r="F14" s="189"/>
      <c r="G14" s="189"/>
      <c r="H14" s="189"/>
      <c r="I14" s="189" t="s">
        <v>678</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75">
        <v>7</v>
      </c>
      <c r="C15" s="189" t="s">
        <v>931</v>
      </c>
      <c r="D15" s="189"/>
      <c r="E15" s="189"/>
      <c r="F15" s="189"/>
      <c r="G15" s="189"/>
      <c r="H15" s="189"/>
      <c r="I15" s="189" t="s">
        <v>917</v>
      </c>
      <c r="J15" s="189"/>
      <c r="K15" s="189"/>
      <c r="L15" s="189"/>
      <c r="M15" s="189"/>
      <c r="N15" s="189"/>
      <c r="O15" s="189"/>
      <c r="P15" s="189"/>
      <c r="Q15" s="189" t="s">
        <v>147</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75">
        <v>8</v>
      </c>
      <c r="C16" s="189" t="s">
        <v>306</v>
      </c>
      <c r="D16" s="189"/>
      <c r="E16" s="189"/>
      <c r="F16" s="189"/>
      <c r="G16" s="189"/>
      <c r="H16" s="189"/>
      <c r="I16" s="189" t="s">
        <v>308</v>
      </c>
      <c r="J16" s="189"/>
      <c r="K16" s="189"/>
      <c r="L16" s="189"/>
      <c r="M16" s="189"/>
      <c r="N16" s="189"/>
      <c r="O16" s="189"/>
      <c r="P16" s="189"/>
      <c r="Q16" s="189" t="s">
        <v>146</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75">
        <v>9</v>
      </c>
      <c r="C17" s="189" t="s">
        <v>676</v>
      </c>
      <c r="D17" s="189"/>
      <c r="E17" s="189"/>
      <c r="F17" s="189"/>
      <c r="G17" s="189"/>
      <c r="H17" s="189"/>
      <c r="I17" s="189" t="s">
        <v>388</v>
      </c>
      <c r="J17" s="189"/>
      <c r="K17" s="189"/>
      <c r="L17" s="189"/>
      <c r="M17" s="189"/>
      <c r="N17" s="189"/>
      <c r="O17" s="189"/>
      <c r="P17" s="189"/>
      <c r="Q17" s="189" t="s">
        <v>392</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75">
        <v>10</v>
      </c>
      <c r="C18" s="189" t="s">
        <v>351</v>
      </c>
      <c r="D18" s="189"/>
      <c r="E18" s="189"/>
      <c r="F18" s="189"/>
      <c r="G18" s="189"/>
      <c r="H18" s="189"/>
      <c r="I18" s="189" t="s">
        <v>387</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75">
        <v>11</v>
      </c>
      <c r="C19" s="189" t="s">
        <v>116</v>
      </c>
      <c r="D19" s="189"/>
      <c r="E19" s="189"/>
      <c r="F19" s="189"/>
      <c r="G19" s="189"/>
      <c r="H19" s="189"/>
      <c r="I19" s="189" t="s">
        <v>649</v>
      </c>
      <c r="J19" s="189"/>
      <c r="K19" s="189"/>
      <c r="L19" s="189"/>
      <c r="M19" s="189"/>
      <c r="N19" s="189"/>
      <c r="O19" s="189"/>
      <c r="P19" s="189"/>
      <c r="Q19" s="189" t="s">
        <v>146</v>
      </c>
      <c r="R19" s="189"/>
      <c r="S19" s="189"/>
      <c r="T19" s="189"/>
      <c r="U19" s="189"/>
      <c r="V19" s="189"/>
      <c r="W19" s="189"/>
      <c r="X19" s="189"/>
      <c r="Y19" s="189"/>
      <c r="Z19" s="189"/>
      <c r="AA19" s="189"/>
      <c r="AB19" s="189"/>
      <c r="AC19" s="189"/>
      <c r="AD19" s="189"/>
      <c r="AE19" s="189"/>
      <c r="AF19" s="189"/>
      <c r="AG19" s="189"/>
      <c r="AH19" s="189"/>
      <c r="AI19" s="189"/>
      <c r="AJ19" s="189"/>
      <c r="AK19" s="191"/>
    </row>
    <row r="20" spans="2:37" s="97" customFormat="1">
      <c r="B20" s="99">
        <v>10</v>
      </c>
      <c r="C20" s="189" t="s">
        <v>1586</v>
      </c>
      <c r="D20" s="189"/>
      <c r="E20" s="189"/>
      <c r="F20" s="189"/>
      <c r="G20" s="189"/>
      <c r="H20" s="189"/>
      <c r="I20" s="189" t="s">
        <v>1590</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75">
        <v>15</v>
      </c>
      <c r="C21" s="189" t="s">
        <v>915</v>
      </c>
      <c r="D21" s="189"/>
      <c r="E21" s="189"/>
      <c r="F21" s="189"/>
      <c r="G21" s="189"/>
      <c r="H21" s="189"/>
      <c r="I21" s="189" t="s">
        <v>390</v>
      </c>
      <c r="J21" s="189"/>
      <c r="K21" s="189"/>
      <c r="L21" s="189"/>
      <c r="M21" s="189"/>
      <c r="N21" s="189"/>
      <c r="O21" s="189"/>
      <c r="P21" s="189"/>
      <c r="Q21" s="189" t="s">
        <v>392</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75">
        <v>16</v>
      </c>
      <c r="C22" s="189" t="s">
        <v>118</v>
      </c>
      <c r="D22" s="189"/>
      <c r="E22" s="189"/>
      <c r="F22" s="189"/>
      <c r="G22" s="189"/>
      <c r="H22" s="189"/>
      <c r="I22" s="189" t="s">
        <v>159</v>
      </c>
      <c r="J22" s="189"/>
      <c r="K22" s="189"/>
      <c r="L22" s="189"/>
      <c r="M22" s="189"/>
      <c r="N22" s="189"/>
      <c r="O22" s="189"/>
      <c r="P22" s="189"/>
      <c r="Q22" s="189" t="s">
        <v>144</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75">
        <v>17</v>
      </c>
      <c r="C23" s="189" t="s">
        <v>231</v>
      </c>
      <c r="D23" s="189"/>
      <c r="E23" s="189"/>
      <c r="F23" s="189"/>
      <c r="G23" s="189"/>
      <c r="H23" s="189"/>
      <c r="I23" s="189" t="s">
        <v>235</v>
      </c>
      <c r="J23" s="189"/>
      <c r="K23" s="189"/>
      <c r="L23" s="189"/>
      <c r="M23" s="189"/>
      <c r="N23" s="189"/>
      <c r="O23" s="189"/>
      <c r="P23" s="189"/>
      <c r="Q23" s="189" t="s">
        <v>146</v>
      </c>
      <c r="R23" s="189"/>
      <c r="S23" s="189"/>
      <c r="T23" s="189"/>
      <c r="U23" s="189"/>
      <c r="V23" s="189"/>
      <c r="W23" s="189"/>
      <c r="X23" s="189"/>
      <c r="Y23" s="189"/>
      <c r="Z23" s="189"/>
      <c r="AA23" s="189"/>
      <c r="AB23" s="189"/>
      <c r="AC23" s="189"/>
      <c r="AD23" s="189"/>
      <c r="AE23" s="189"/>
      <c r="AF23" s="189"/>
      <c r="AG23" s="189"/>
      <c r="AH23" s="189"/>
      <c r="AI23" s="189"/>
      <c r="AJ23" s="189"/>
      <c r="AK23" s="191"/>
    </row>
    <row r="24" spans="2:37" s="62" customFormat="1">
      <c r="B24" s="75">
        <v>18</v>
      </c>
      <c r="C24" s="189" t="s">
        <v>832</v>
      </c>
      <c r="D24" s="189"/>
      <c r="E24" s="189"/>
      <c r="F24" s="189"/>
      <c r="G24" s="189"/>
      <c r="H24" s="189"/>
      <c r="I24" s="189" t="s">
        <v>1720</v>
      </c>
      <c r="J24" s="189"/>
      <c r="K24" s="189"/>
      <c r="L24" s="189"/>
      <c r="M24" s="189"/>
      <c r="N24" s="189"/>
      <c r="O24" s="189"/>
      <c r="P24" s="189"/>
      <c r="Q24" s="189" t="s">
        <v>146</v>
      </c>
      <c r="R24" s="189"/>
      <c r="S24" s="189"/>
      <c r="T24" s="189"/>
      <c r="U24" s="189"/>
      <c r="V24" s="189"/>
      <c r="W24" s="189"/>
      <c r="X24" s="189"/>
      <c r="Y24" s="189"/>
      <c r="Z24" s="189"/>
      <c r="AA24" s="189"/>
      <c r="AB24" s="189"/>
      <c r="AC24" s="189"/>
      <c r="AD24" s="189"/>
      <c r="AE24" s="189"/>
      <c r="AF24" s="189"/>
      <c r="AG24" s="189"/>
      <c r="AH24" s="189"/>
      <c r="AI24" s="189"/>
      <c r="AJ24" s="189"/>
      <c r="AK24" s="191"/>
    </row>
    <row r="25" spans="2:37" s="145" customFormat="1">
      <c r="B25" s="147">
        <v>18</v>
      </c>
      <c r="C25" s="189" t="s">
        <v>833</v>
      </c>
      <c r="D25" s="189"/>
      <c r="E25" s="189"/>
      <c r="F25" s="189"/>
      <c r="G25" s="189"/>
      <c r="H25" s="189"/>
      <c r="I25" s="189" t="s">
        <v>839</v>
      </c>
      <c r="J25" s="189"/>
      <c r="K25" s="189"/>
      <c r="L25" s="189"/>
      <c r="M25" s="189"/>
      <c r="N25" s="189"/>
      <c r="O25" s="189"/>
      <c r="P25" s="189"/>
      <c r="Q25" s="189" t="s">
        <v>146</v>
      </c>
      <c r="R25" s="189"/>
      <c r="S25" s="189"/>
      <c r="T25" s="189"/>
      <c r="U25" s="189"/>
      <c r="V25" s="189"/>
      <c r="W25" s="189"/>
      <c r="X25" s="189"/>
      <c r="Y25" s="189"/>
      <c r="Z25" s="189"/>
      <c r="AA25" s="189"/>
      <c r="AB25" s="189"/>
      <c r="AC25" s="189"/>
      <c r="AD25" s="189"/>
      <c r="AE25" s="189"/>
      <c r="AF25" s="189"/>
      <c r="AG25" s="189"/>
      <c r="AH25" s="189"/>
      <c r="AI25" s="189"/>
      <c r="AJ25" s="189"/>
      <c r="AK25" s="191"/>
    </row>
    <row r="26" spans="2:37" s="62" customFormat="1" ht="13.8" thickBot="1">
      <c r="B26" s="65">
        <v>19</v>
      </c>
      <c r="C26" s="190" t="s">
        <v>1757</v>
      </c>
      <c r="D26" s="190"/>
      <c r="E26" s="190"/>
      <c r="F26" s="190"/>
      <c r="G26" s="190"/>
      <c r="H26" s="190"/>
      <c r="I26" s="190" t="s">
        <v>1782</v>
      </c>
      <c r="J26" s="190"/>
      <c r="K26" s="190"/>
      <c r="L26" s="190"/>
      <c r="M26" s="190"/>
      <c r="N26" s="190"/>
      <c r="O26" s="190"/>
      <c r="P26" s="190"/>
      <c r="Q26" s="190" t="s">
        <v>146</v>
      </c>
      <c r="R26" s="190"/>
      <c r="S26" s="190"/>
      <c r="T26" s="190"/>
      <c r="U26" s="190"/>
      <c r="V26" s="190"/>
      <c r="W26" s="190"/>
      <c r="X26" s="190"/>
      <c r="Y26" s="190"/>
      <c r="Z26" s="190"/>
      <c r="AA26" s="190"/>
      <c r="AB26" s="190"/>
      <c r="AC26" s="190"/>
      <c r="AD26" s="190"/>
      <c r="AE26" s="190"/>
      <c r="AF26" s="190"/>
      <c r="AG26" s="190"/>
      <c r="AH26" s="190"/>
      <c r="AI26" s="190"/>
      <c r="AJ26" s="190"/>
      <c r="AK26" s="198"/>
    </row>
    <row r="29" spans="2:37" ht="15" thickBot="1">
      <c r="B29" s="7" t="s">
        <v>994</v>
      </c>
    </row>
    <row r="30" spans="2:37" ht="13.8" thickBot="1">
      <c r="B30" s="10" t="s">
        <v>7</v>
      </c>
      <c r="C30" s="226" t="s">
        <v>998</v>
      </c>
      <c r="D30" s="226"/>
      <c r="E30" s="226"/>
      <c r="F30" s="226"/>
      <c r="G30" s="226"/>
      <c r="H30" s="226"/>
      <c r="I30" s="226"/>
      <c r="J30" s="226"/>
      <c r="K30" s="226"/>
      <c r="L30" s="226" t="s">
        <v>1000</v>
      </c>
      <c r="M30" s="226"/>
      <c r="N30" s="226"/>
      <c r="O30" s="226"/>
      <c r="P30" s="226"/>
      <c r="Q30" s="226"/>
      <c r="R30" s="226"/>
      <c r="S30" s="226"/>
      <c r="T30" s="226"/>
      <c r="U30" s="226"/>
      <c r="V30" s="226" t="s">
        <v>1002</v>
      </c>
      <c r="W30" s="226"/>
      <c r="X30" s="226"/>
      <c r="Y30" s="226" t="s">
        <v>1004</v>
      </c>
      <c r="Z30" s="226"/>
      <c r="AA30" s="226"/>
      <c r="AB30" s="226" t="s">
        <v>1005</v>
      </c>
      <c r="AC30" s="226"/>
      <c r="AD30" s="226"/>
      <c r="AE30" s="226"/>
      <c r="AF30" s="226"/>
      <c r="AG30" s="226"/>
      <c r="AH30" s="226"/>
      <c r="AI30" s="227"/>
    </row>
    <row r="31" spans="2:37" ht="14.4" customHeight="1">
      <c r="B31" s="312">
        <v>1</v>
      </c>
      <c r="C31" s="230" t="s">
        <v>1164</v>
      </c>
      <c r="D31" s="230"/>
      <c r="E31" s="230"/>
      <c r="F31" s="230"/>
      <c r="G31" s="230"/>
      <c r="H31" s="230"/>
      <c r="I31" s="230"/>
      <c r="J31" s="230"/>
      <c r="K31" s="230"/>
      <c r="L31" s="246" t="s">
        <v>1165</v>
      </c>
      <c r="M31" s="246"/>
      <c r="N31" s="246"/>
      <c r="O31" s="246"/>
      <c r="P31" s="246"/>
      <c r="Q31" s="246"/>
      <c r="R31" s="246"/>
      <c r="S31" s="246"/>
      <c r="T31" s="246"/>
      <c r="U31" s="246"/>
      <c r="V31" s="230" t="s">
        <v>1022</v>
      </c>
      <c r="W31" s="230"/>
      <c r="X31" s="230"/>
      <c r="Y31" s="230" t="s">
        <v>1022</v>
      </c>
      <c r="Z31" s="230"/>
      <c r="AA31" s="230"/>
      <c r="AB31" s="230"/>
      <c r="AC31" s="230"/>
      <c r="AD31" s="230"/>
      <c r="AE31" s="230"/>
      <c r="AF31" s="230"/>
      <c r="AG31" s="230"/>
      <c r="AH31" s="230"/>
      <c r="AI31" s="233"/>
    </row>
    <row r="32" spans="2:37" ht="14.4" customHeight="1">
      <c r="B32" s="312"/>
      <c r="C32" s="230"/>
      <c r="D32" s="230"/>
      <c r="E32" s="230"/>
      <c r="F32" s="230"/>
      <c r="G32" s="230"/>
      <c r="H32" s="230"/>
      <c r="I32" s="230"/>
      <c r="J32" s="230"/>
      <c r="K32" s="230"/>
      <c r="L32" s="284" t="s">
        <v>1101</v>
      </c>
      <c r="M32" s="284"/>
      <c r="N32" s="284"/>
      <c r="O32" s="284"/>
      <c r="P32" s="284"/>
      <c r="Q32" s="284"/>
      <c r="R32" s="284"/>
      <c r="S32" s="284"/>
      <c r="T32" s="284"/>
      <c r="U32" s="284"/>
      <c r="V32" s="230"/>
      <c r="W32" s="230"/>
      <c r="X32" s="230"/>
      <c r="Y32" s="230"/>
      <c r="Z32" s="230"/>
      <c r="AA32" s="230"/>
      <c r="AB32" s="230"/>
      <c r="AC32" s="230"/>
      <c r="AD32" s="230"/>
      <c r="AE32" s="230"/>
      <c r="AF32" s="230"/>
      <c r="AG32" s="230"/>
      <c r="AH32" s="230"/>
      <c r="AI32" s="233"/>
    </row>
    <row r="33" spans="2:35" ht="14.4" customHeight="1" thickBot="1">
      <c r="B33" s="313"/>
      <c r="C33" s="231"/>
      <c r="D33" s="231"/>
      <c r="E33" s="231"/>
      <c r="F33" s="231"/>
      <c r="G33" s="231"/>
      <c r="H33" s="231"/>
      <c r="I33" s="231"/>
      <c r="J33" s="231"/>
      <c r="K33" s="231"/>
      <c r="L33" s="259" t="s">
        <v>1041</v>
      </c>
      <c r="M33" s="259"/>
      <c r="N33" s="259"/>
      <c r="O33" s="259"/>
      <c r="P33" s="259"/>
      <c r="Q33" s="259"/>
      <c r="R33" s="259"/>
      <c r="S33" s="259"/>
      <c r="T33" s="259"/>
      <c r="U33" s="259"/>
      <c r="V33" s="231"/>
      <c r="W33" s="231"/>
      <c r="X33" s="231"/>
      <c r="Y33" s="231"/>
      <c r="Z33" s="231"/>
      <c r="AA33" s="231"/>
      <c r="AB33" s="231"/>
      <c r="AC33" s="231"/>
      <c r="AD33" s="231"/>
      <c r="AE33" s="231"/>
      <c r="AF33" s="231"/>
      <c r="AG33" s="231"/>
      <c r="AH33" s="231"/>
      <c r="AI33" s="234"/>
    </row>
    <row r="35" spans="2:35" ht="15" thickBot="1">
      <c r="B35" s="7" t="s">
        <v>995</v>
      </c>
    </row>
    <row r="36" spans="2:35">
      <c r="B36" s="14" t="s">
        <v>1069</v>
      </c>
      <c r="C36" s="226" t="s">
        <v>1070</v>
      </c>
      <c r="D36" s="226"/>
      <c r="E36" s="226"/>
      <c r="F36" s="226"/>
      <c r="G36" s="226"/>
      <c r="H36" s="226"/>
      <c r="I36" s="226"/>
      <c r="J36" s="226"/>
      <c r="K36" s="226"/>
      <c r="L36" s="226"/>
      <c r="M36" s="226" t="s">
        <v>1072</v>
      </c>
      <c r="N36" s="226"/>
      <c r="O36" s="226"/>
      <c r="P36" s="226"/>
      <c r="Q36" s="226"/>
      <c r="R36" s="226"/>
      <c r="S36" s="226"/>
      <c r="T36" s="226"/>
      <c r="U36" s="226" t="s">
        <v>1154</v>
      </c>
      <c r="V36" s="226"/>
      <c r="W36" s="226"/>
      <c r="X36" s="226"/>
      <c r="Y36" s="226"/>
      <c r="Z36" s="226"/>
      <c r="AA36" s="226"/>
      <c r="AB36" s="226"/>
      <c r="AC36" s="226"/>
      <c r="AD36" s="226" t="s">
        <v>1155</v>
      </c>
      <c r="AE36" s="226"/>
      <c r="AF36" s="226"/>
      <c r="AG36" s="226"/>
      <c r="AH36" s="226"/>
      <c r="AI36" s="227"/>
    </row>
    <row r="37" spans="2:35" ht="13.8" thickBot="1">
      <c r="B37" s="4"/>
      <c r="C37" s="190"/>
      <c r="D37" s="190"/>
      <c r="E37" s="190"/>
      <c r="F37" s="190"/>
      <c r="G37" s="190"/>
      <c r="H37" s="190"/>
      <c r="I37" s="190"/>
      <c r="J37" s="190"/>
      <c r="K37" s="190"/>
      <c r="L37" s="190"/>
      <c r="M37" s="190"/>
      <c r="N37" s="190"/>
      <c r="O37" s="190"/>
      <c r="P37" s="190"/>
      <c r="Q37" s="190"/>
      <c r="R37" s="190"/>
      <c r="S37" s="190"/>
      <c r="T37" s="190"/>
      <c r="U37" s="190"/>
      <c r="V37" s="190"/>
      <c r="W37" s="190"/>
      <c r="X37" s="190"/>
      <c r="Y37" s="190"/>
      <c r="Z37" s="190"/>
      <c r="AA37" s="190"/>
      <c r="AB37" s="190"/>
      <c r="AC37" s="190"/>
      <c r="AD37" s="190"/>
      <c r="AE37" s="190"/>
      <c r="AF37" s="190"/>
      <c r="AG37" s="190"/>
      <c r="AH37" s="190"/>
      <c r="AI37" s="198"/>
    </row>
    <row r="39" spans="2:35" ht="15" thickBot="1">
      <c r="B39" s="7" t="s">
        <v>996</v>
      </c>
    </row>
    <row r="40" spans="2:35">
      <c r="B40" s="14" t="s">
        <v>1069</v>
      </c>
      <c r="C40" s="226" t="s">
        <v>1070</v>
      </c>
      <c r="D40" s="226"/>
      <c r="E40" s="226"/>
      <c r="F40" s="226"/>
      <c r="G40" s="226"/>
      <c r="H40" s="226"/>
      <c r="I40" s="226"/>
      <c r="J40" s="226"/>
      <c r="K40" s="226"/>
      <c r="L40" s="226"/>
      <c r="M40" s="226" t="s">
        <v>1072</v>
      </c>
      <c r="N40" s="226"/>
      <c r="O40" s="226"/>
      <c r="P40" s="226"/>
      <c r="Q40" s="226"/>
      <c r="R40" s="226"/>
      <c r="S40" s="226"/>
      <c r="T40" s="226"/>
      <c r="U40" s="226" t="s">
        <v>1154</v>
      </c>
      <c r="V40" s="226"/>
      <c r="W40" s="226"/>
      <c r="X40" s="226"/>
      <c r="Y40" s="226"/>
      <c r="Z40" s="226"/>
      <c r="AA40" s="226"/>
      <c r="AB40" s="226"/>
      <c r="AC40" s="226"/>
      <c r="AD40" s="226" t="s">
        <v>1155</v>
      </c>
      <c r="AE40" s="226"/>
      <c r="AF40" s="226"/>
      <c r="AG40" s="226"/>
      <c r="AH40" s="226"/>
      <c r="AI40" s="227"/>
    </row>
    <row r="41" spans="2:35" ht="13.8" thickBot="1">
      <c r="B41" s="4"/>
      <c r="C41" s="190"/>
      <c r="D41" s="190"/>
      <c r="E41" s="190"/>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8"/>
    </row>
  </sheetData>
  <mergeCells count="169">
    <mergeCell ref="C24:H24"/>
    <mergeCell ref="I24:P24"/>
    <mergeCell ref="Q24:X24"/>
    <mergeCell ref="Y24:Z24"/>
    <mergeCell ref="AA24:AB24"/>
    <mergeCell ref="AC24:AD24"/>
    <mergeCell ref="AE24:AK24"/>
    <mergeCell ref="C26:H26"/>
    <mergeCell ref="I26:P26"/>
    <mergeCell ref="Q26:X26"/>
    <mergeCell ref="Y26:Z26"/>
    <mergeCell ref="AA26:AB26"/>
    <mergeCell ref="AC26:AD26"/>
    <mergeCell ref="AE26:AK26"/>
    <mergeCell ref="C25:H25"/>
    <mergeCell ref="I25:P25"/>
    <mergeCell ref="Q25:X25"/>
    <mergeCell ref="Y25:Z25"/>
    <mergeCell ref="AA25:AB25"/>
    <mergeCell ref="AC25:AD25"/>
    <mergeCell ref="AE25:AK25"/>
    <mergeCell ref="C41:L41"/>
    <mergeCell ref="M41:T41"/>
    <mergeCell ref="U41:AC41"/>
    <mergeCell ref="AD41:AI41"/>
    <mergeCell ref="C36:L36"/>
    <mergeCell ref="M36:T36"/>
    <mergeCell ref="U36:AC36"/>
    <mergeCell ref="AD36:AI36"/>
    <mergeCell ref="C37:L37"/>
    <mergeCell ref="M37:T37"/>
    <mergeCell ref="U37:AC37"/>
    <mergeCell ref="AD37:AI37"/>
    <mergeCell ref="C40:L40"/>
    <mergeCell ref="M40:T40"/>
    <mergeCell ref="U40:AC40"/>
    <mergeCell ref="AD40:AI40"/>
    <mergeCell ref="C30:K30"/>
    <mergeCell ref="L30:U30"/>
    <mergeCell ref="V30:X30"/>
    <mergeCell ref="Y30:AA30"/>
    <mergeCell ref="AB30:AI30"/>
    <mergeCell ref="B31:B33"/>
    <mergeCell ref="C31:K33"/>
    <mergeCell ref="L31:U31"/>
    <mergeCell ref="V31:X33"/>
    <mergeCell ref="Y31:AA33"/>
    <mergeCell ref="AB31:AI33"/>
    <mergeCell ref="L32:U32"/>
    <mergeCell ref="L33:U33"/>
    <mergeCell ref="AE8:AK8"/>
    <mergeCell ref="AA9:AB9"/>
    <mergeCell ref="AC9:AD9"/>
    <mergeCell ref="B2:E4"/>
    <mergeCell ref="F2:H2"/>
    <mergeCell ref="F3:H3"/>
    <mergeCell ref="F4:H4"/>
    <mergeCell ref="C8:H8"/>
    <mergeCell ref="I8:P8"/>
    <mergeCell ref="AA10:AB10"/>
    <mergeCell ref="AC10:AD10"/>
    <mergeCell ref="AA11:AB11"/>
    <mergeCell ref="AC11:AD11"/>
    <mergeCell ref="C9:H9"/>
    <mergeCell ref="C10:H10"/>
    <mergeCell ref="C11:H11"/>
    <mergeCell ref="Q8:X8"/>
    <mergeCell ref="AA8:AB8"/>
    <mergeCell ref="AC8:AD8"/>
    <mergeCell ref="Q9:X9"/>
    <mergeCell ref="Q10:X10"/>
    <mergeCell ref="Q11:X11"/>
    <mergeCell ref="Y8:Z8"/>
    <mergeCell ref="Y9:Z9"/>
    <mergeCell ref="Y10:Z10"/>
    <mergeCell ref="Y11:Z11"/>
    <mergeCell ref="I20:P20"/>
    <mergeCell ref="Q20:X20"/>
    <mergeCell ref="C23:H23"/>
    <mergeCell ref="I9:P9"/>
    <mergeCell ref="I10:P10"/>
    <mergeCell ref="I11:P11"/>
    <mergeCell ref="I12:P12"/>
    <mergeCell ref="I14:P14"/>
    <mergeCell ref="I15:P15"/>
    <mergeCell ref="I16:P16"/>
    <mergeCell ref="I17:P17"/>
    <mergeCell ref="I18:P18"/>
    <mergeCell ref="C19:H19"/>
    <mergeCell ref="C21:H21"/>
    <mergeCell ref="C22:H22"/>
    <mergeCell ref="C12:H12"/>
    <mergeCell ref="C14:H14"/>
    <mergeCell ref="C15:H15"/>
    <mergeCell ref="C16:H16"/>
    <mergeCell ref="C17:H17"/>
    <mergeCell ref="C18:H18"/>
    <mergeCell ref="I23:P23"/>
    <mergeCell ref="I21:P21"/>
    <mergeCell ref="I22:P22"/>
    <mergeCell ref="Q23:X23"/>
    <mergeCell ref="AA12:AB12"/>
    <mergeCell ref="AA14:AB14"/>
    <mergeCell ref="AA15:AB15"/>
    <mergeCell ref="AA16:AB16"/>
    <mergeCell ref="AA17:AB17"/>
    <mergeCell ref="AA18:AB18"/>
    <mergeCell ref="AA19:AB19"/>
    <mergeCell ref="Q19:X19"/>
    <mergeCell ref="Q21:X21"/>
    <mergeCell ref="Q22:X22"/>
    <mergeCell ref="Y12:Z12"/>
    <mergeCell ref="Y14:Z14"/>
    <mergeCell ref="Y15:Z15"/>
    <mergeCell ref="Y16:Z16"/>
    <mergeCell ref="Y17:Z17"/>
    <mergeCell ref="Y18:Z18"/>
    <mergeCell ref="Q12:X12"/>
    <mergeCell ref="Q14:X14"/>
    <mergeCell ref="Q15:X15"/>
    <mergeCell ref="Q16:X16"/>
    <mergeCell ref="Q17:X17"/>
    <mergeCell ref="AA21:AB21"/>
    <mergeCell ref="AA22:AB22"/>
    <mergeCell ref="AA23:AB23"/>
    <mergeCell ref="AC12:AD12"/>
    <mergeCell ref="AC14:AD14"/>
    <mergeCell ref="AC15:AD15"/>
    <mergeCell ref="AC16:AD16"/>
    <mergeCell ref="AC17:AD17"/>
    <mergeCell ref="AC18:AD18"/>
    <mergeCell ref="AA20:AB20"/>
    <mergeCell ref="AC20:AD20"/>
    <mergeCell ref="C20:H20"/>
    <mergeCell ref="Y20:Z20"/>
    <mergeCell ref="AE20:AK20"/>
    <mergeCell ref="Y21:Z21"/>
    <mergeCell ref="Y22:Z22"/>
    <mergeCell ref="Y23:Z23"/>
    <mergeCell ref="AE23:AK23"/>
    <mergeCell ref="I2:N2"/>
    <mergeCell ref="I3:N3"/>
    <mergeCell ref="I4:N4"/>
    <mergeCell ref="AE19:AK19"/>
    <mergeCell ref="AE21:AK21"/>
    <mergeCell ref="AE22:AK22"/>
    <mergeCell ref="AC23:AD23"/>
    <mergeCell ref="AE9:AK9"/>
    <mergeCell ref="AE10:AK10"/>
    <mergeCell ref="AE11:AK11"/>
    <mergeCell ref="AE12:AK12"/>
    <mergeCell ref="AE14:AK14"/>
    <mergeCell ref="AE15:AK15"/>
    <mergeCell ref="AE16:AK16"/>
    <mergeCell ref="AE17:AK17"/>
    <mergeCell ref="AC21:AD21"/>
    <mergeCell ref="AC22:AD22"/>
    <mergeCell ref="C13:H13"/>
    <mergeCell ref="I13:P13"/>
    <mergeCell ref="Q13:X13"/>
    <mergeCell ref="Y13:Z13"/>
    <mergeCell ref="AA13:AB13"/>
    <mergeCell ref="AC13:AD13"/>
    <mergeCell ref="AE13:AK13"/>
    <mergeCell ref="Y19:Z19"/>
    <mergeCell ref="AE18:AK18"/>
    <mergeCell ref="AC19:AD19"/>
    <mergeCell ref="Q18:X18"/>
    <mergeCell ref="I19:P19"/>
  </mergeCells>
  <phoneticPr fontId="3"/>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1530E-6DE2-4BB7-BADB-A14487C62D1C}">
  <sheetPr codeName="Sheet81"/>
  <dimension ref="B1:AK26"/>
  <sheetViews>
    <sheetView workbookViewId="0">
      <selection activeCell="I4" sqref="I4:M4"/>
    </sheetView>
  </sheetViews>
  <sheetFormatPr defaultColWidth="3.6640625" defaultRowHeight="13.2"/>
  <sheetData>
    <row r="1" spans="2:37" ht="13.8" thickBot="1"/>
    <row r="2" spans="2:37">
      <c r="B2" s="205" t="s">
        <v>95</v>
      </c>
      <c r="C2" s="206"/>
      <c r="D2" s="206"/>
      <c r="E2" s="206"/>
      <c r="F2" s="211" t="s">
        <v>93</v>
      </c>
      <c r="G2" s="211"/>
      <c r="H2" s="212"/>
      <c r="I2" s="196" t="s">
        <v>943</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934</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935</v>
      </c>
      <c r="D9" s="189"/>
      <c r="E9" s="189"/>
      <c r="F9" s="189"/>
      <c r="G9" s="189"/>
      <c r="H9" s="189"/>
      <c r="I9" s="189" t="s">
        <v>939</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707</v>
      </c>
      <c r="D10" s="189"/>
      <c r="E10" s="189"/>
      <c r="F10" s="189"/>
      <c r="G10" s="189"/>
      <c r="H10" s="189"/>
      <c r="I10" s="189" t="s">
        <v>709</v>
      </c>
      <c r="J10" s="189"/>
      <c r="K10" s="189"/>
      <c r="L10" s="189"/>
      <c r="M10" s="189"/>
      <c r="N10" s="189"/>
      <c r="O10" s="189"/>
      <c r="P10" s="189"/>
      <c r="Q10" s="189" t="s">
        <v>146</v>
      </c>
      <c r="R10" s="189"/>
      <c r="S10" s="189"/>
      <c r="T10" s="189"/>
      <c r="U10" s="189"/>
      <c r="V10" s="189"/>
      <c r="W10" s="189"/>
      <c r="X10" s="189"/>
      <c r="Y10" s="189"/>
      <c r="Z10" s="189"/>
      <c r="AA10" s="189"/>
      <c r="AB10" s="189"/>
      <c r="AC10" s="189"/>
      <c r="AD10" s="189"/>
      <c r="AE10" s="189"/>
      <c r="AF10" s="189"/>
      <c r="AG10" s="189"/>
      <c r="AH10" s="189"/>
      <c r="AI10" s="189"/>
      <c r="AJ10" s="189"/>
      <c r="AK10" s="191"/>
    </row>
    <row r="11" spans="2:37">
      <c r="B11" s="3">
        <v>3</v>
      </c>
      <c r="C11" s="189" t="s">
        <v>936</v>
      </c>
      <c r="D11" s="189"/>
      <c r="E11" s="189"/>
      <c r="F11" s="189"/>
      <c r="G11" s="189"/>
      <c r="H11" s="189"/>
      <c r="I11" s="189" t="s">
        <v>940</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937</v>
      </c>
      <c r="D12" s="189"/>
      <c r="E12" s="189"/>
      <c r="F12" s="189"/>
      <c r="G12" s="189"/>
      <c r="H12" s="189"/>
      <c r="I12" s="189" t="s">
        <v>941</v>
      </c>
      <c r="J12" s="189"/>
      <c r="K12" s="189"/>
      <c r="L12" s="189"/>
      <c r="M12" s="189"/>
      <c r="N12" s="189"/>
      <c r="O12" s="189"/>
      <c r="P12" s="189"/>
      <c r="Q12" s="189" t="s">
        <v>144</v>
      </c>
      <c r="R12" s="189"/>
      <c r="S12" s="189"/>
      <c r="T12" s="189"/>
      <c r="U12" s="189"/>
      <c r="V12" s="189"/>
      <c r="W12" s="189"/>
      <c r="X12" s="189"/>
      <c r="Y12" s="189"/>
      <c r="Z12" s="189"/>
      <c r="AA12" s="189"/>
      <c r="AB12" s="189"/>
      <c r="AC12" s="189"/>
      <c r="AD12" s="189"/>
      <c r="AE12" s="189"/>
      <c r="AF12" s="189"/>
      <c r="AG12" s="189"/>
      <c r="AH12" s="189"/>
      <c r="AI12" s="189"/>
      <c r="AJ12" s="189"/>
      <c r="AK12" s="191"/>
    </row>
    <row r="13" spans="2:37" ht="13.8" thickBot="1">
      <c r="B13" s="4">
        <v>5</v>
      </c>
      <c r="C13" s="190" t="s">
        <v>938</v>
      </c>
      <c r="D13" s="190"/>
      <c r="E13" s="190"/>
      <c r="F13" s="190"/>
      <c r="G13" s="190"/>
      <c r="H13" s="190"/>
      <c r="I13" s="190" t="s">
        <v>942</v>
      </c>
      <c r="J13" s="190"/>
      <c r="K13" s="190"/>
      <c r="L13" s="190"/>
      <c r="M13" s="190"/>
      <c r="N13" s="190"/>
      <c r="O13" s="190"/>
      <c r="P13" s="190"/>
      <c r="Q13" s="190" t="s">
        <v>144</v>
      </c>
      <c r="R13" s="190"/>
      <c r="S13" s="190"/>
      <c r="T13" s="190"/>
      <c r="U13" s="190"/>
      <c r="V13" s="190"/>
      <c r="W13" s="190"/>
      <c r="X13" s="190"/>
      <c r="Y13" s="190"/>
      <c r="Z13" s="190"/>
      <c r="AA13" s="190"/>
      <c r="AB13" s="190"/>
      <c r="AC13" s="190"/>
      <c r="AD13" s="190"/>
      <c r="AE13" s="190"/>
      <c r="AF13" s="190"/>
      <c r="AG13" s="190"/>
      <c r="AH13" s="190"/>
      <c r="AI13" s="190"/>
      <c r="AJ13" s="190"/>
      <c r="AK13" s="198"/>
    </row>
    <row r="16" spans="2:37" ht="15" thickBot="1">
      <c r="B16" s="7" t="s">
        <v>994</v>
      </c>
    </row>
    <row r="17" spans="2:35">
      <c r="B17" s="10" t="s">
        <v>7</v>
      </c>
      <c r="C17" s="226" t="s">
        <v>998</v>
      </c>
      <c r="D17" s="226"/>
      <c r="E17" s="226"/>
      <c r="F17" s="226"/>
      <c r="G17" s="226"/>
      <c r="H17" s="226"/>
      <c r="I17" s="226"/>
      <c r="J17" s="226"/>
      <c r="K17" s="226"/>
      <c r="L17" s="226" t="s">
        <v>1000</v>
      </c>
      <c r="M17" s="226"/>
      <c r="N17" s="226"/>
      <c r="O17" s="226"/>
      <c r="P17" s="226"/>
      <c r="Q17" s="226"/>
      <c r="R17" s="226"/>
      <c r="S17" s="226"/>
      <c r="T17" s="226"/>
      <c r="U17" s="226"/>
      <c r="V17" s="226" t="s">
        <v>1002</v>
      </c>
      <c r="W17" s="226"/>
      <c r="X17" s="226"/>
      <c r="Y17" s="226" t="s">
        <v>1004</v>
      </c>
      <c r="Z17" s="226"/>
      <c r="AA17" s="226"/>
      <c r="AB17" s="226" t="s">
        <v>1005</v>
      </c>
      <c r="AC17" s="226"/>
      <c r="AD17" s="226"/>
      <c r="AE17" s="226"/>
      <c r="AF17" s="226"/>
      <c r="AG17" s="226"/>
      <c r="AH17" s="226"/>
      <c r="AI17" s="227"/>
    </row>
    <row r="18" spans="2:35" ht="13.8" thickBot="1">
      <c r="B18" s="12">
        <v>1</v>
      </c>
      <c r="C18" s="238" t="s">
        <v>1166</v>
      </c>
      <c r="D18" s="238"/>
      <c r="E18" s="238"/>
      <c r="F18" s="238"/>
      <c r="G18" s="238"/>
      <c r="H18" s="238"/>
      <c r="I18" s="238"/>
      <c r="J18" s="238"/>
      <c r="K18" s="238"/>
      <c r="L18" s="238" t="s">
        <v>1167</v>
      </c>
      <c r="M18" s="238"/>
      <c r="N18" s="238"/>
      <c r="O18" s="238"/>
      <c r="P18" s="238"/>
      <c r="Q18" s="238"/>
      <c r="R18" s="238"/>
      <c r="S18" s="238"/>
      <c r="T18" s="238"/>
      <c r="U18" s="238"/>
      <c r="V18" s="238" t="s">
        <v>1022</v>
      </c>
      <c r="W18" s="238"/>
      <c r="X18" s="238"/>
      <c r="Y18" s="238" t="s">
        <v>1022</v>
      </c>
      <c r="Z18" s="238"/>
      <c r="AA18" s="238"/>
      <c r="AB18" s="238"/>
      <c r="AC18" s="238"/>
      <c r="AD18" s="238"/>
      <c r="AE18" s="238"/>
      <c r="AF18" s="238"/>
      <c r="AG18" s="238"/>
      <c r="AH18" s="238"/>
      <c r="AI18" s="239"/>
    </row>
    <row r="19" spans="2:35">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row>
    <row r="20" spans="2:35" ht="15" thickBot="1">
      <c r="B20" s="7" t="s">
        <v>995</v>
      </c>
    </row>
    <row r="21" spans="2:35">
      <c r="B21" s="14" t="s">
        <v>1069</v>
      </c>
      <c r="C21" s="226" t="s">
        <v>1070</v>
      </c>
      <c r="D21" s="226"/>
      <c r="E21" s="226"/>
      <c r="F21" s="226"/>
      <c r="G21" s="226"/>
      <c r="H21" s="226"/>
      <c r="I21" s="226"/>
      <c r="J21" s="226"/>
      <c r="K21" s="226"/>
      <c r="L21" s="226"/>
      <c r="M21" s="226" t="s">
        <v>1072</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4"/>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1069</v>
      </c>
      <c r="C25" s="226" t="s">
        <v>1070</v>
      </c>
      <c r="D25" s="226"/>
      <c r="E25" s="226"/>
      <c r="F25" s="226"/>
      <c r="G25" s="226"/>
      <c r="H25" s="226"/>
      <c r="I25" s="226"/>
      <c r="J25" s="226"/>
      <c r="K25" s="226"/>
      <c r="L25" s="226"/>
      <c r="M25" s="226" t="s">
        <v>1072</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4"/>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75">
    <mergeCell ref="C26:L26"/>
    <mergeCell ref="M26:T26"/>
    <mergeCell ref="U26:AC26"/>
    <mergeCell ref="AD26:AI26"/>
    <mergeCell ref="C22:L22"/>
    <mergeCell ref="M22:T22"/>
    <mergeCell ref="U22:AC22"/>
    <mergeCell ref="AD22:AI22"/>
    <mergeCell ref="C25:L25"/>
    <mergeCell ref="M25:T25"/>
    <mergeCell ref="U25:AC25"/>
    <mergeCell ref="AD25:AI25"/>
    <mergeCell ref="C21:L21"/>
    <mergeCell ref="M21:T21"/>
    <mergeCell ref="U21:AC21"/>
    <mergeCell ref="AD21:AI21"/>
    <mergeCell ref="V17:X17"/>
    <mergeCell ref="Y17:AA17"/>
    <mergeCell ref="AB17:AI17"/>
    <mergeCell ref="C18:K18"/>
    <mergeCell ref="L18:U18"/>
    <mergeCell ref="V18:X18"/>
    <mergeCell ref="Y18:AA18"/>
    <mergeCell ref="AB18:AI18"/>
    <mergeCell ref="I8:P8"/>
    <mergeCell ref="I2:M2"/>
    <mergeCell ref="I3:M3"/>
    <mergeCell ref="I4:M4"/>
    <mergeCell ref="C17:K17"/>
    <mergeCell ref="L17:U17"/>
    <mergeCell ref="B2:E4"/>
    <mergeCell ref="F2:H2"/>
    <mergeCell ref="F3:H3"/>
    <mergeCell ref="F4:H4"/>
    <mergeCell ref="C8:H8"/>
    <mergeCell ref="Q8:X8"/>
    <mergeCell ref="Q9:X9"/>
    <mergeCell ref="I9:P9"/>
    <mergeCell ref="I10:P10"/>
    <mergeCell ref="I11:P11"/>
    <mergeCell ref="AA8:AB8"/>
    <mergeCell ref="AC8:AD8"/>
    <mergeCell ref="AE8:AK8"/>
    <mergeCell ref="AA9:AB9"/>
    <mergeCell ref="AC9:AD9"/>
    <mergeCell ref="I12:P12"/>
    <mergeCell ref="I13:P13"/>
    <mergeCell ref="C9:H9"/>
    <mergeCell ref="C10:H10"/>
    <mergeCell ref="C11:H11"/>
    <mergeCell ref="C12:H12"/>
    <mergeCell ref="C13:H13"/>
    <mergeCell ref="Q10:X10"/>
    <mergeCell ref="Q11:X11"/>
    <mergeCell ref="Q12:X12"/>
    <mergeCell ref="Q13:X13"/>
    <mergeCell ref="AA10:AB10"/>
    <mergeCell ref="AA11:AB11"/>
    <mergeCell ref="AA12:AB12"/>
    <mergeCell ref="AA13:AB13"/>
    <mergeCell ref="Y13:Z13"/>
    <mergeCell ref="AC10:AD10"/>
    <mergeCell ref="AC11:AD11"/>
    <mergeCell ref="AC12:AD12"/>
    <mergeCell ref="AC13:AD13"/>
    <mergeCell ref="AE9:AK9"/>
    <mergeCell ref="AE10:AK10"/>
    <mergeCell ref="AE11:AK11"/>
    <mergeCell ref="AE12:AK12"/>
    <mergeCell ref="AE13:AK13"/>
    <mergeCell ref="Y8:Z8"/>
    <mergeCell ref="Y9:Z9"/>
    <mergeCell ref="Y10:Z10"/>
    <mergeCell ref="Y11:Z11"/>
    <mergeCell ref="Y12:Z12"/>
  </mergeCells>
  <phoneticPr fontId="3"/>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25FBA-1AB3-42DE-AAB9-A26F6F4299C4}">
  <sheetPr codeName="Sheet82"/>
  <dimension ref="B1:AK43"/>
  <sheetViews>
    <sheetView topLeftCell="A7" workbookViewId="0">
      <selection activeCell="I17" sqref="I17:P17"/>
    </sheetView>
  </sheetViews>
  <sheetFormatPr defaultColWidth="3.6640625" defaultRowHeight="13.2"/>
  <sheetData>
    <row r="1" spans="2:37" ht="13.8" thickBot="1"/>
    <row r="2" spans="2:37">
      <c r="B2" s="205" t="s">
        <v>95</v>
      </c>
      <c r="C2" s="206"/>
      <c r="D2" s="206"/>
      <c r="E2" s="206"/>
      <c r="F2" s="211" t="s">
        <v>93</v>
      </c>
      <c r="G2" s="211"/>
      <c r="H2" s="212"/>
      <c r="I2" s="196" t="s">
        <v>96</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944</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713</v>
      </c>
      <c r="D9" s="189"/>
      <c r="E9" s="189"/>
      <c r="F9" s="189"/>
      <c r="G9" s="189"/>
      <c r="H9" s="189"/>
      <c r="I9" s="189" t="s">
        <v>718</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945</v>
      </c>
      <c r="D10" s="189"/>
      <c r="E10" s="189"/>
      <c r="F10" s="189"/>
      <c r="G10" s="189"/>
      <c r="H10" s="189"/>
      <c r="I10" s="189" t="s">
        <v>947</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344</v>
      </c>
      <c r="D11" s="189"/>
      <c r="E11" s="189"/>
      <c r="F11" s="189"/>
      <c r="G11" s="189"/>
      <c r="H11" s="189"/>
      <c r="I11" s="189" t="s">
        <v>354</v>
      </c>
      <c r="J11" s="189"/>
      <c r="K11" s="189"/>
      <c r="L11" s="189"/>
      <c r="M11" s="189"/>
      <c r="N11" s="189"/>
      <c r="O11" s="189"/>
      <c r="P11" s="189"/>
      <c r="Q11" s="189" t="s">
        <v>146</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c r="B12" s="3">
        <v>4</v>
      </c>
      <c r="C12" s="189" t="s">
        <v>115</v>
      </c>
      <c r="D12" s="189"/>
      <c r="E12" s="189"/>
      <c r="F12" s="189"/>
      <c r="G12" s="189"/>
      <c r="H12" s="189"/>
      <c r="I12" s="189" t="s">
        <v>355</v>
      </c>
      <c r="J12" s="189"/>
      <c r="K12" s="189"/>
      <c r="L12" s="189"/>
      <c r="M12" s="189"/>
      <c r="N12" s="189"/>
      <c r="O12" s="189"/>
      <c r="P12" s="189"/>
      <c r="Q12" s="189" t="s">
        <v>144</v>
      </c>
      <c r="R12" s="189"/>
      <c r="S12" s="189"/>
      <c r="T12" s="189"/>
      <c r="U12" s="189"/>
      <c r="V12" s="189"/>
      <c r="W12" s="189"/>
      <c r="X12" s="189"/>
      <c r="Y12" s="189"/>
      <c r="Z12" s="189"/>
      <c r="AA12" s="189"/>
      <c r="AB12" s="189"/>
      <c r="AC12" s="189"/>
      <c r="AD12" s="189"/>
      <c r="AE12" s="189"/>
      <c r="AF12" s="189"/>
      <c r="AG12" s="189"/>
      <c r="AH12" s="189"/>
      <c r="AI12" s="189"/>
      <c r="AJ12" s="189"/>
      <c r="AK12" s="191"/>
    </row>
    <row r="13" spans="2:37" s="72" customFormat="1">
      <c r="B13" s="75">
        <v>5</v>
      </c>
      <c r="C13" s="244" t="s">
        <v>1704</v>
      </c>
      <c r="D13" s="244"/>
      <c r="E13" s="244"/>
      <c r="F13" s="244"/>
      <c r="G13" s="244"/>
      <c r="H13" s="244"/>
      <c r="I13" s="244" t="s">
        <v>579</v>
      </c>
      <c r="J13" s="244"/>
      <c r="K13" s="244"/>
      <c r="L13" s="244"/>
      <c r="M13" s="244"/>
      <c r="N13" s="244"/>
      <c r="O13" s="244"/>
      <c r="P13" s="244"/>
      <c r="Q13" s="244" t="s">
        <v>1189</v>
      </c>
      <c r="R13" s="244"/>
      <c r="S13" s="244"/>
      <c r="T13" s="244"/>
      <c r="U13" s="244"/>
      <c r="V13" s="244"/>
      <c r="W13" s="244"/>
      <c r="X13" s="244"/>
      <c r="Y13" s="189"/>
      <c r="Z13" s="189"/>
      <c r="AA13" s="189"/>
      <c r="AB13" s="189"/>
      <c r="AC13" s="189"/>
      <c r="AD13" s="189"/>
      <c r="AE13" s="189"/>
      <c r="AF13" s="189"/>
      <c r="AG13" s="189"/>
      <c r="AH13" s="189"/>
      <c r="AI13" s="189"/>
      <c r="AJ13" s="189"/>
      <c r="AK13" s="191"/>
    </row>
    <row r="14" spans="2:37">
      <c r="B14" s="80">
        <v>6</v>
      </c>
      <c r="C14" s="189" t="s">
        <v>675</v>
      </c>
      <c r="D14" s="189"/>
      <c r="E14" s="189"/>
      <c r="F14" s="189"/>
      <c r="G14" s="189"/>
      <c r="H14" s="189"/>
      <c r="I14" s="189" t="s">
        <v>678</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s="78" customFormat="1">
      <c r="B15" s="80">
        <v>8</v>
      </c>
      <c r="C15" s="189" t="s">
        <v>306</v>
      </c>
      <c r="D15" s="189"/>
      <c r="E15" s="189"/>
      <c r="F15" s="189"/>
      <c r="G15" s="189"/>
      <c r="H15" s="189"/>
      <c r="I15" s="189" t="s">
        <v>308</v>
      </c>
      <c r="J15" s="189"/>
      <c r="K15" s="189"/>
      <c r="L15" s="189"/>
      <c r="M15" s="189"/>
      <c r="N15" s="189"/>
      <c r="O15" s="189"/>
      <c r="P15" s="189"/>
      <c r="Q15" s="189" t="s">
        <v>146</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80">
        <v>9</v>
      </c>
      <c r="C16" s="189" t="s">
        <v>1493</v>
      </c>
      <c r="D16" s="189"/>
      <c r="E16" s="189"/>
      <c r="F16" s="189"/>
      <c r="G16" s="189"/>
      <c r="H16" s="189"/>
      <c r="I16" s="189" t="s">
        <v>1494</v>
      </c>
      <c r="J16" s="189"/>
      <c r="K16" s="189"/>
      <c r="L16" s="189"/>
      <c r="M16" s="189"/>
      <c r="N16" s="189"/>
      <c r="O16" s="189"/>
      <c r="P16" s="189"/>
      <c r="Q16" s="189" t="s">
        <v>146</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80">
        <v>10</v>
      </c>
      <c r="C17" s="189" t="s">
        <v>676</v>
      </c>
      <c r="D17" s="189"/>
      <c r="E17" s="189"/>
      <c r="F17" s="189"/>
      <c r="G17" s="189"/>
      <c r="H17" s="189"/>
      <c r="I17" s="189" t="s">
        <v>388</v>
      </c>
      <c r="J17" s="189"/>
      <c r="K17" s="189"/>
      <c r="L17" s="189"/>
      <c r="M17" s="189"/>
      <c r="N17" s="189"/>
      <c r="O17" s="189"/>
      <c r="P17" s="189"/>
      <c r="Q17" s="189" t="s">
        <v>392</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80">
        <v>11</v>
      </c>
      <c r="C18" s="189" t="s">
        <v>351</v>
      </c>
      <c r="D18" s="189"/>
      <c r="E18" s="189"/>
      <c r="F18" s="189"/>
      <c r="G18" s="189"/>
      <c r="H18" s="189"/>
      <c r="I18" s="189" t="s">
        <v>387</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80">
        <v>12</v>
      </c>
      <c r="C19" s="189" t="s">
        <v>116</v>
      </c>
      <c r="D19" s="189"/>
      <c r="E19" s="189"/>
      <c r="F19" s="189"/>
      <c r="G19" s="189"/>
      <c r="H19" s="189"/>
      <c r="I19" s="189" t="s">
        <v>649</v>
      </c>
      <c r="J19" s="189"/>
      <c r="K19" s="189"/>
      <c r="L19" s="189"/>
      <c r="M19" s="189"/>
      <c r="N19" s="189"/>
      <c r="O19" s="189"/>
      <c r="P19" s="189"/>
      <c r="Q19" s="189" t="s">
        <v>146</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80">
        <v>13</v>
      </c>
      <c r="C20" s="189" t="s">
        <v>787</v>
      </c>
      <c r="D20" s="189"/>
      <c r="E20" s="189"/>
      <c r="F20" s="189"/>
      <c r="G20" s="189"/>
      <c r="H20" s="189"/>
      <c r="I20" s="189" t="s">
        <v>789</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80">
        <v>14</v>
      </c>
      <c r="C21" s="189" t="s">
        <v>1680</v>
      </c>
      <c r="D21" s="189"/>
      <c r="E21" s="189"/>
      <c r="F21" s="189"/>
      <c r="G21" s="189"/>
      <c r="H21" s="189"/>
      <c r="I21" s="189" t="s">
        <v>784</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80">
        <v>15</v>
      </c>
      <c r="C22" s="189" t="s">
        <v>946</v>
      </c>
      <c r="D22" s="189"/>
      <c r="E22" s="189"/>
      <c r="F22" s="189"/>
      <c r="G22" s="189"/>
      <c r="H22" s="189"/>
      <c r="I22" s="189" t="s">
        <v>918</v>
      </c>
      <c r="J22" s="189"/>
      <c r="K22" s="189"/>
      <c r="L22" s="189"/>
      <c r="M22" s="189"/>
      <c r="N22" s="189"/>
      <c r="O22" s="189"/>
      <c r="P22" s="189"/>
      <c r="Q22" s="189" t="s">
        <v>392</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80">
        <v>16</v>
      </c>
      <c r="C23" s="189" t="s">
        <v>915</v>
      </c>
      <c r="D23" s="189"/>
      <c r="E23" s="189"/>
      <c r="F23" s="189"/>
      <c r="G23" s="189"/>
      <c r="H23" s="189"/>
      <c r="I23" s="189" t="s">
        <v>390</v>
      </c>
      <c r="J23" s="189"/>
      <c r="K23" s="189"/>
      <c r="L23" s="189"/>
      <c r="M23" s="189"/>
      <c r="N23" s="189"/>
      <c r="O23" s="189"/>
      <c r="P23" s="189"/>
      <c r="Q23" s="189" t="s">
        <v>392</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80">
        <v>17</v>
      </c>
      <c r="C24" s="189" t="s">
        <v>118</v>
      </c>
      <c r="D24" s="189"/>
      <c r="E24" s="189"/>
      <c r="F24" s="189"/>
      <c r="G24" s="189"/>
      <c r="H24" s="189"/>
      <c r="I24" s="189" t="s">
        <v>159</v>
      </c>
      <c r="J24" s="189"/>
      <c r="K24" s="189"/>
      <c r="L24" s="189"/>
      <c r="M24" s="189"/>
      <c r="N24" s="189"/>
      <c r="O24" s="189"/>
      <c r="P24" s="189"/>
      <c r="Q24" s="189" t="s">
        <v>144</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80">
        <v>18</v>
      </c>
      <c r="C25" s="189" t="s">
        <v>119</v>
      </c>
      <c r="D25" s="189"/>
      <c r="E25" s="189"/>
      <c r="F25" s="189"/>
      <c r="G25" s="189"/>
      <c r="H25" s="189"/>
      <c r="I25" s="189" t="s">
        <v>235</v>
      </c>
      <c r="J25" s="189"/>
      <c r="K25" s="189"/>
      <c r="L25" s="189"/>
      <c r="M25" s="189"/>
      <c r="N25" s="189"/>
      <c r="O25" s="189"/>
      <c r="P25" s="189"/>
      <c r="Q25" s="189" t="s">
        <v>146</v>
      </c>
      <c r="R25" s="189"/>
      <c r="S25" s="189"/>
      <c r="T25" s="189"/>
      <c r="U25" s="189"/>
      <c r="V25" s="189"/>
      <c r="W25" s="189"/>
      <c r="X25" s="189"/>
      <c r="Y25" s="189"/>
      <c r="Z25" s="189"/>
      <c r="AA25" s="189"/>
      <c r="AB25" s="189"/>
      <c r="AC25" s="189"/>
      <c r="AD25" s="189"/>
      <c r="AE25" s="189"/>
      <c r="AF25" s="189"/>
      <c r="AG25" s="189"/>
      <c r="AH25" s="189"/>
      <c r="AI25" s="189"/>
      <c r="AJ25" s="189"/>
      <c r="AK25" s="191"/>
    </row>
    <row r="26" spans="2:37" s="122" customFormat="1">
      <c r="B26" s="124">
        <v>18</v>
      </c>
      <c r="C26" s="189" t="s">
        <v>715</v>
      </c>
      <c r="D26" s="189"/>
      <c r="E26" s="189"/>
      <c r="F26" s="189"/>
      <c r="G26" s="189"/>
      <c r="H26" s="189"/>
      <c r="I26" s="189" t="s">
        <v>1689</v>
      </c>
      <c r="J26" s="189"/>
      <c r="K26" s="189"/>
      <c r="L26" s="189"/>
      <c r="M26" s="189"/>
      <c r="N26" s="189"/>
      <c r="O26" s="189"/>
      <c r="P26" s="189"/>
      <c r="Q26" s="189" t="s">
        <v>146</v>
      </c>
      <c r="R26" s="189"/>
      <c r="S26" s="189"/>
      <c r="T26" s="189"/>
      <c r="U26" s="189"/>
      <c r="V26" s="189"/>
      <c r="W26" s="189"/>
      <c r="X26" s="189"/>
      <c r="Y26" s="189"/>
      <c r="Z26" s="189"/>
      <c r="AA26" s="189"/>
      <c r="AB26" s="189"/>
      <c r="AC26" s="189"/>
      <c r="AD26" s="189"/>
      <c r="AE26" s="189"/>
      <c r="AF26" s="189"/>
      <c r="AG26" s="189"/>
      <c r="AH26" s="189"/>
      <c r="AI26" s="189"/>
      <c r="AJ26" s="189"/>
      <c r="AK26" s="191"/>
    </row>
    <row r="27" spans="2:37" s="145" customFormat="1">
      <c r="B27" s="108">
        <v>20</v>
      </c>
      <c r="C27" s="268" t="s">
        <v>930</v>
      </c>
      <c r="D27" s="268"/>
      <c r="E27" s="268"/>
      <c r="F27" s="268"/>
      <c r="G27" s="268"/>
      <c r="H27" s="268"/>
      <c r="I27" s="268" t="s">
        <v>1165</v>
      </c>
      <c r="J27" s="268"/>
      <c r="K27" s="268"/>
      <c r="L27" s="268"/>
      <c r="M27" s="268"/>
      <c r="N27" s="268"/>
      <c r="O27" s="268"/>
      <c r="P27" s="268"/>
      <c r="Q27" s="268" t="s">
        <v>146</v>
      </c>
      <c r="R27" s="268"/>
      <c r="S27" s="268"/>
      <c r="T27" s="268"/>
      <c r="U27" s="268"/>
      <c r="V27" s="268"/>
      <c r="W27" s="268"/>
      <c r="X27" s="268"/>
      <c r="Y27" s="268"/>
      <c r="Z27" s="268"/>
      <c r="AA27" s="268"/>
      <c r="AB27" s="268"/>
      <c r="AC27" s="268"/>
      <c r="AD27" s="268"/>
      <c r="AE27" s="268"/>
      <c r="AF27" s="268"/>
      <c r="AG27" s="268"/>
      <c r="AH27" s="268"/>
      <c r="AI27" s="268"/>
      <c r="AJ27" s="268"/>
      <c r="AK27" s="285"/>
    </row>
    <row r="28" spans="2:37" ht="13.8" thickBot="1">
      <c r="B28" s="148">
        <v>20</v>
      </c>
      <c r="C28" s="190" t="s">
        <v>1760</v>
      </c>
      <c r="D28" s="190"/>
      <c r="E28" s="190"/>
      <c r="F28" s="190"/>
      <c r="G28" s="190"/>
      <c r="H28" s="190"/>
      <c r="I28" s="190" t="s">
        <v>1410</v>
      </c>
      <c r="J28" s="190"/>
      <c r="K28" s="190"/>
      <c r="L28" s="190"/>
      <c r="M28" s="190"/>
      <c r="N28" s="190"/>
      <c r="O28" s="190"/>
      <c r="P28" s="190"/>
      <c r="Q28" s="190" t="s">
        <v>146</v>
      </c>
      <c r="R28" s="190"/>
      <c r="S28" s="190"/>
      <c r="T28" s="190"/>
      <c r="U28" s="190"/>
      <c r="V28" s="190"/>
      <c r="W28" s="190"/>
      <c r="X28" s="190"/>
      <c r="Y28" s="190"/>
      <c r="Z28" s="190"/>
      <c r="AA28" s="190"/>
      <c r="AB28" s="190"/>
      <c r="AC28" s="190"/>
      <c r="AD28" s="190"/>
      <c r="AE28" s="190"/>
      <c r="AF28" s="190"/>
      <c r="AG28" s="190"/>
      <c r="AH28" s="190"/>
      <c r="AI28" s="190"/>
      <c r="AJ28" s="190"/>
      <c r="AK28" s="198"/>
    </row>
    <row r="31" spans="2:37" ht="15" thickBot="1">
      <c r="B31" s="7" t="s">
        <v>994</v>
      </c>
    </row>
    <row r="32" spans="2:37" ht="13.8" thickBot="1">
      <c r="B32" s="10" t="s">
        <v>7</v>
      </c>
      <c r="C32" s="226" t="s">
        <v>998</v>
      </c>
      <c r="D32" s="226"/>
      <c r="E32" s="226"/>
      <c r="F32" s="226"/>
      <c r="G32" s="226"/>
      <c r="H32" s="226"/>
      <c r="I32" s="226"/>
      <c r="J32" s="226"/>
      <c r="K32" s="226"/>
      <c r="L32" s="226" t="s">
        <v>1000</v>
      </c>
      <c r="M32" s="226"/>
      <c r="N32" s="226"/>
      <c r="O32" s="226"/>
      <c r="P32" s="226"/>
      <c r="Q32" s="226"/>
      <c r="R32" s="226"/>
      <c r="S32" s="226"/>
      <c r="T32" s="226"/>
      <c r="U32" s="226"/>
      <c r="V32" s="226" t="s">
        <v>1002</v>
      </c>
      <c r="W32" s="226"/>
      <c r="X32" s="226"/>
      <c r="Y32" s="226" t="s">
        <v>1004</v>
      </c>
      <c r="Z32" s="226"/>
      <c r="AA32" s="226"/>
      <c r="AB32" s="226" t="s">
        <v>1005</v>
      </c>
      <c r="AC32" s="226"/>
      <c r="AD32" s="226"/>
      <c r="AE32" s="226"/>
      <c r="AF32" s="226"/>
      <c r="AG32" s="226"/>
      <c r="AH32" s="226"/>
      <c r="AI32" s="227"/>
    </row>
    <row r="33" spans="2:35" ht="14.4" customHeight="1">
      <c r="B33" s="312">
        <v>1</v>
      </c>
      <c r="C33" s="230" t="s">
        <v>1168</v>
      </c>
      <c r="D33" s="230"/>
      <c r="E33" s="230"/>
      <c r="F33" s="230"/>
      <c r="G33" s="230"/>
      <c r="H33" s="230"/>
      <c r="I33" s="230"/>
      <c r="J33" s="230"/>
      <c r="K33" s="230"/>
      <c r="L33" s="246" t="s">
        <v>1107</v>
      </c>
      <c r="M33" s="246"/>
      <c r="N33" s="246"/>
      <c r="O33" s="246"/>
      <c r="P33" s="246"/>
      <c r="Q33" s="246"/>
      <c r="R33" s="246"/>
      <c r="S33" s="246"/>
      <c r="T33" s="246"/>
      <c r="U33" s="246"/>
      <c r="V33" s="230" t="s">
        <v>1022</v>
      </c>
      <c r="W33" s="230"/>
      <c r="X33" s="230"/>
      <c r="Y33" s="230" t="s">
        <v>1022</v>
      </c>
      <c r="Z33" s="230"/>
      <c r="AA33" s="230"/>
      <c r="AB33" s="230"/>
      <c r="AC33" s="230"/>
      <c r="AD33" s="230"/>
      <c r="AE33" s="230"/>
      <c r="AF33" s="230"/>
      <c r="AG33" s="230"/>
      <c r="AH33" s="230"/>
      <c r="AI33" s="233"/>
    </row>
    <row r="34" spans="2:35" ht="14.4" customHeight="1">
      <c r="B34" s="312"/>
      <c r="C34" s="230"/>
      <c r="D34" s="230"/>
      <c r="E34" s="230"/>
      <c r="F34" s="230"/>
      <c r="G34" s="230"/>
      <c r="H34" s="230"/>
      <c r="I34" s="230"/>
      <c r="J34" s="230"/>
      <c r="K34" s="230"/>
      <c r="L34" s="284" t="s">
        <v>1169</v>
      </c>
      <c r="M34" s="284"/>
      <c r="N34" s="284"/>
      <c r="O34" s="284"/>
      <c r="P34" s="284"/>
      <c r="Q34" s="284"/>
      <c r="R34" s="284"/>
      <c r="S34" s="284"/>
      <c r="T34" s="284"/>
      <c r="U34" s="284"/>
      <c r="V34" s="230"/>
      <c r="W34" s="230"/>
      <c r="X34" s="230"/>
      <c r="Y34" s="230"/>
      <c r="Z34" s="230"/>
      <c r="AA34" s="230"/>
      <c r="AB34" s="230"/>
      <c r="AC34" s="230"/>
      <c r="AD34" s="230"/>
      <c r="AE34" s="230"/>
      <c r="AF34" s="230"/>
      <c r="AG34" s="230"/>
      <c r="AH34" s="230"/>
      <c r="AI34" s="233"/>
    </row>
    <row r="35" spans="2:35" ht="14.4" customHeight="1" thickBot="1">
      <c r="B35" s="313"/>
      <c r="C35" s="231"/>
      <c r="D35" s="231"/>
      <c r="E35" s="231"/>
      <c r="F35" s="231"/>
      <c r="G35" s="231"/>
      <c r="H35" s="231"/>
      <c r="I35" s="231"/>
      <c r="J35" s="231"/>
      <c r="K35" s="231"/>
      <c r="L35" s="259" t="s">
        <v>1041</v>
      </c>
      <c r="M35" s="259"/>
      <c r="N35" s="259"/>
      <c r="O35" s="259"/>
      <c r="P35" s="259"/>
      <c r="Q35" s="259"/>
      <c r="R35" s="259"/>
      <c r="S35" s="259"/>
      <c r="T35" s="259"/>
      <c r="U35" s="259"/>
      <c r="V35" s="231"/>
      <c r="W35" s="231"/>
      <c r="X35" s="231"/>
      <c r="Y35" s="231"/>
      <c r="Z35" s="231"/>
      <c r="AA35" s="231"/>
      <c r="AB35" s="231"/>
      <c r="AC35" s="231"/>
      <c r="AD35" s="231"/>
      <c r="AE35" s="231"/>
      <c r="AF35" s="231"/>
      <c r="AG35" s="231"/>
      <c r="AH35" s="231"/>
      <c r="AI35" s="234"/>
    </row>
    <row r="37" spans="2:35" ht="15" thickBot="1">
      <c r="B37" s="7" t="s">
        <v>995</v>
      </c>
    </row>
    <row r="38" spans="2:35">
      <c r="B38" s="14" t="s">
        <v>1069</v>
      </c>
      <c r="C38" s="226" t="s">
        <v>1070</v>
      </c>
      <c r="D38" s="226"/>
      <c r="E38" s="226"/>
      <c r="F38" s="226"/>
      <c r="G38" s="226"/>
      <c r="H38" s="226"/>
      <c r="I38" s="226"/>
      <c r="J38" s="226"/>
      <c r="K38" s="226"/>
      <c r="L38" s="226"/>
      <c r="M38" s="226" t="s">
        <v>1072</v>
      </c>
      <c r="N38" s="226"/>
      <c r="O38" s="226"/>
      <c r="P38" s="226"/>
      <c r="Q38" s="226"/>
      <c r="R38" s="226"/>
      <c r="S38" s="226"/>
      <c r="T38" s="226"/>
      <c r="U38" s="226" t="s">
        <v>1154</v>
      </c>
      <c r="V38" s="226"/>
      <c r="W38" s="226"/>
      <c r="X38" s="226"/>
      <c r="Y38" s="226"/>
      <c r="Z38" s="226"/>
      <c r="AA38" s="226"/>
      <c r="AB38" s="226"/>
      <c r="AC38" s="226"/>
      <c r="AD38" s="226" t="s">
        <v>1155</v>
      </c>
      <c r="AE38" s="226"/>
      <c r="AF38" s="226"/>
      <c r="AG38" s="226"/>
      <c r="AH38" s="226"/>
      <c r="AI38" s="227"/>
    </row>
    <row r="39" spans="2:35" ht="13.8" thickBot="1">
      <c r="B39" s="4"/>
      <c r="C39" s="190"/>
      <c r="D39" s="190"/>
      <c r="E39" s="190"/>
      <c r="F39" s="190"/>
      <c r="G39" s="190"/>
      <c r="H39" s="190"/>
      <c r="I39" s="190"/>
      <c r="J39" s="190"/>
      <c r="K39" s="190"/>
      <c r="L39" s="190"/>
      <c r="M39" s="190"/>
      <c r="N39" s="190"/>
      <c r="O39" s="190"/>
      <c r="P39" s="190"/>
      <c r="Q39" s="190"/>
      <c r="R39" s="190"/>
      <c r="S39" s="190"/>
      <c r="T39" s="190"/>
      <c r="U39" s="190"/>
      <c r="V39" s="190"/>
      <c r="W39" s="190"/>
      <c r="X39" s="190"/>
      <c r="Y39" s="190"/>
      <c r="Z39" s="190"/>
      <c r="AA39" s="190"/>
      <c r="AB39" s="190"/>
      <c r="AC39" s="190"/>
      <c r="AD39" s="190"/>
      <c r="AE39" s="190"/>
      <c r="AF39" s="190"/>
      <c r="AG39" s="190"/>
      <c r="AH39" s="190"/>
      <c r="AI39" s="198"/>
    </row>
    <row r="41" spans="2:35" ht="15" thickBot="1">
      <c r="B41" s="7" t="s">
        <v>996</v>
      </c>
    </row>
    <row r="42" spans="2:35">
      <c r="B42" s="14" t="s">
        <v>1069</v>
      </c>
      <c r="C42" s="226" t="s">
        <v>1070</v>
      </c>
      <c r="D42" s="226"/>
      <c r="E42" s="226"/>
      <c r="F42" s="226"/>
      <c r="G42" s="226"/>
      <c r="H42" s="226"/>
      <c r="I42" s="226"/>
      <c r="J42" s="226"/>
      <c r="K42" s="226"/>
      <c r="L42" s="226"/>
      <c r="M42" s="226" t="s">
        <v>1072</v>
      </c>
      <c r="N42" s="226"/>
      <c r="O42" s="226"/>
      <c r="P42" s="226"/>
      <c r="Q42" s="226"/>
      <c r="R42" s="226"/>
      <c r="S42" s="226"/>
      <c r="T42" s="226"/>
      <c r="U42" s="226" t="s">
        <v>1154</v>
      </c>
      <c r="V42" s="226"/>
      <c r="W42" s="226"/>
      <c r="X42" s="226"/>
      <c r="Y42" s="226"/>
      <c r="Z42" s="226"/>
      <c r="AA42" s="226"/>
      <c r="AB42" s="226"/>
      <c r="AC42" s="226"/>
      <c r="AD42" s="226" t="s">
        <v>1155</v>
      </c>
      <c r="AE42" s="226"/>
      <c r="AF42" s="226"/>
      <c r="AG42" s="226"/>
      <c r="AH42" s="226"/>
      <c r="AI42" s="227"/>
    </row>
    <row r="43" spans="2:35" ht="13.8" thickBot="1">
      <c r="B43" s="4"/>
      <c r="C43" s="190"/>
      <c r="D43" s="190"/>
      <c r="E43" s="190"/>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8"/>
    </row>
  </sheetData>
  <mergeCells count="183">
    <mergeCell ref="C27:H27"/>
    <mergeCell ref="I27:P27"/>
    <mergeCell ref="Q27:X27"/>
    <mergeCell ref="Y27:Z27"/>
    <mergeCell ref="AA27:AB27"/>
    <mergeCell ref="AC27:AD27"/>
    <mergeCell ref="AE27:AK27"/>
    <mergeCell ref="C43:L43"/>
    <mergeCell ref="M43:T43"/>
    <mergeCell ref="U43:AC43"/>
    <mergeCell ref="AD43:AI43"/>
    <mergeCell ref="C38:L38"/>
    <mergeCell ref="M38:T38"/>
    <mergeCell ref="U38:AC38"/>
    <mergeCell ref="AD38:AI38"/>
    <mergeCell ref="C39:L39"/>
    <mergeCell ref="M39:T39"/>
    <mergeCell ref="U39:AC39"/>
    <mergeCell ref="AD39:AI39"/>
    <mergeCell ref="C42:L42"/>
    <mergeCell ref="M42:T42"/>
    <mergeCell ref="U42:AC42"/>
    <mergeCell ref="AD42:AI42"/>
    <mergeCell ref="C32:K32"/>
    <mergeCell ref="L32:U32"/>
    <mergeCell ref="V32:X32"/>
    <mergeCell ref="Y32:AA32"/>
    <mergeCell ref="AB32:AI32"/>
    <mergeCell ref="B33:B35"/>
    <mergeCell ref="C33:K35"/>
    <mergeCell ref="L33:U33"/>
    <mergeCell ref="V33:X35"/>
    <mergeCell ref="Y33:AA35"/>
    <mergeCell ref="AB33:AI35"/>
    <mergeCell ref="L34:U34"/>
    <mergeCell ref="L35:U35"/>
    <mergeCell ref="AE8:AK8"/>
    <mergeCell ref="AA9:AB9"/>
    <mergeCell ref="AC9:AD9"/>
    <mergeCell ref="B2:E4"/>
    <mergeCell ref="F2:H2"/>
    <mergeCell ref="F3:H3"/>
    <mergeCell ref="F4:H4"/>
    <mergeCell ref="C8:H8"/>
    <mergeCell ref="I8:P8"/>
    <mergeCell ref="AA10:AB10"/>
    <mergeCell ref="AC10:AD10"/>
    <mergeCell ref="AA11:AB11"/>
    <mergeCell ref="AC11:AD11"/>
    <mergeCell ref="C9:H9"/>
    <mergeCell ref="C10:H10"/>
    <mergeCell ref="C11:H11"/>
    <mergeCell ref="Q8:X8"/>
    <mergeCell ref="AA8:AB8"/>
    <mergeCell ref="AC8:AD8"/>
    <mergeCell ref="Q9:X9"/>
    <mergeCell ref="Q10:X10"/>
    <mergeCell ref="Q11:X11"/>
    <mergeCell ref="Y8:Z8"/>
    <mergeCell ref="Y9:Z9"/>
    <mergeCell ref="Y10:Z10"/>
    <mergeCell ref="Y11:Z11"/>
    <mergeCell ref="C25:H25"/>
    <mergeCell ref="C28:H28"/>
    <mergeCell ref="I9:P9"/>
    <mergeCell ref="I10:P10"/>
    <mergeCell ref="I11:P11"/>
    <mergeCell ref="I12:P12"/>
    <mergeCell ref="I14:P14"/>
    <mergeCell ref="I16:P16"/>
    <mergeCell ref="C19:H19"/>
    <mergeCell ref="C20:H20"/>
    <mergeCell ref="C21:H21"/>
    <mergeCell ref="C22:H22"/>
    <mergeCell ref="C23:H23"/>
    <mergeCell ref="C24:H24"/>
    <mergeCell ref="C12:H12"/>
    <mergeCell ref="C14:H14"/>
    <mergeCell ref="C16:H16"/>
    <mergeCell ref="C17:H17"/>
    <mergeCell ref="C18:H18"/>
    <mergeCell ref="I23:P23"/>
    <mergeCell ref="I24:P24"/>
    <mergeCell ref="I17:P17"/>
    <mergeCell ref="I18:P18"/>
    <mergeCell ref="I19:P19"/>
    <mergeCell ref="I20:P20"/>
    <mergeCell ref="Q17:X17"/>
    <mergeCell ref="Q18:X18"/>
    <mergeCell ref="Q19:X19"/>
    <mergeCell ref="Q20:X20"/>
    <mergeCell ref="Q16:X16"/>
    <mergeCell ref="AA25:AB25"/>
    <mergeCell ref="AA28:AB28"/>
    <mergeCell ref="Q28:X28"/>
    <mergeCell ref="Q21:X21"/>
    <mergeCell ref="Q22:X22"/>
    <mergeCell ref="Q23:X23"/>
    <mergeCell ref="Q24:X24"/>
    <mergeCell ref="Q25:X25"/>
    <mergeCell ref="Y22:Z22"/>
    <mergeCell ref="Y23:Z23"/>
    <mergeCell ref="Y24:Z24"/>
    <mergeCell ref="Y25:Z25"/>
    <mergeCell ref="Y28:Z28"/>
    <mergeCell ref="Y17:Z17"/>
    <mergeCell ref="Y18:Z18"/>
    <mergeCell ref="Y19:Z19"/>
    <mergeCell ref="Y20:Z20"/>
    <mergeCell ref="Y21:Z21"/>
    <mergeCell ref="AE28:AK28"/>
    <mergeCell ref="I2:N2"/>
    <mergeCell ref="I3:N3"/>
    <mergeCell ref="I4:N4"/>
    <mergeCell ref="AE17:AK17"/>
    <mergeCell ref="AE18:AK18"/>
    <mergeCell ref="AE19:AK19"/>
    <mergeCell ref="AE20:AK20"/>
    <mergeCell ref="AE21:AK21"/>
    <mergeCell ref="AE22:AK22"/>
    <mergeCell ref="AC25:AD25"/>
    <mergeCell ref="AC28:AD28"/>
    <mergeCell ref="AE9:AK9"/>
    <mergeCell ref="AE10:AK10"/>
    <mergeCell ref="AE11:AK11"/>
    <mergeCell ref="AE12:AK12"/>
    <mergeCell ref="AE14:AK14"/>
    <mergeCell ref="AE16:AK16"/>
    <mergeCell ref="AC19:AD19"/>
    <mergeCell ref="AC20:AD20"/>
    <mergeCell ref="I25:P25"/>
    <mergeCell ref="I28:P28"/>
    <mergeCell ref="I21:P21"/>
    <mergeCell ref="Y16:Z16"/>
    <mergeCell ref="AC21:AD21"/>
    <mergeCell ref="AC16:AD16"/>
    <mergeCell ref="AC17:AD17"/>
    <mergeCell ref="AC18:AD18"/>
    <mergeCell ref="AA16:AB16"/>
    <mergeCell ref="AA17:AB17"/>
    <mergeCell ref="AA18:AB18"/>
    <mergeCell ref="AA19:AB19"/>
    <mergeCell ref="AA20:AB20"/>
    <mergeCell ref="AA21:AB21"/>
    <mergeCell ref="C13:H13"/>
    <mergeCell ref="I13:P13"/>
    <mergeCell ref="Q13:X13"/>
    <mergeCell ref="Y13:Z13"/>
    <mergeCell ref="AA13:AB13"/>
    <mergeCell ref="AC13:AD13"/>
    <mergeCell ref="AE13:AK13"/>
    <mergeCell ref="Y12:Z12"/>
    <mergeCell ref="Y14:Z14"/>
    <mergeCell ref="AC12:AD12"/>
    <mergeCell ref="AC14:AD14"/>
    <mergeCell ref="AA12:AB12"/>
    <mergeCell ref="AA14:AB14"/>
    <mergeCell ref="Q12:X12"/>
    <mergeCell ref="Q14:X14"/>
    <mergeCell ref="C26:H26"/>
    <mergeCell ref="I26:P26"/>
    <mergeCell ref="Q26:X26"/>
    <mergeCell ref="Y26:Z26"/>
    <mergeCell ref="AA26:AB26"/>
    <mergeCell ref="AC26:AD26"/>
    <mergeCell ref="AE26:AK26"/>
    <mergeCell ref="C15:H15"/>
    <mergeCell ref="I15:P15"/>
    <mergeCell ref="Q15:X15"/>
    <mergeCell ref="Y15:Z15"/>
    <mergeCell ref="AA15:AB15"/>
    <mergeCell ref="AC15:AD15"/>
    <mergeCell ref="AE15:AK15"/>
    <mergeCell ref="AE23:AK23"/>
    <mergeCell ref="AE24:AK24"/>
    <mergeCell ref="AC22:AD22"/>
    <mergeCell ref="AC23:AD23"/>
    <mergeCell ref="AC24:AD24"/>
    <mergeCell ref="AE25:AK25"/>
    <mergeCell ref="I22:P22"/>
    <mergeCell ref="AA22:AB22"/>
    <mergeCell ref="AA23:AB23"/>
    <mergeCell ref="AA24:AB24"/>
  </mergeCells>
  <phoneticPr fontId="3"/>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47160-F185-42D1-A447-BA2662325213}">
  <sheetPr codeName="Sheet83"/>
  <dimension ref="B1:AK23"/>
  <sheetViews>
    <sheetView topLeftCell="A10" workbookViewId="0">
      <selection activeCell="Y8" sqref="Y8:Z8"/>
    </sheetView>
  </sheetViews>
  <sheetFormatPr defaultColWidth="3.6640625" defaultRowHeight="13.2"/>
  <sheetData>
    <row r="1" spans="2:37" ht="13.8" thickBot="1"/>
    <row r="2" spans="2:37">
      <c r="B2" s="205" t="s">
        <v>95</v>
      </c>
      <c r="C2" s="206"/>
      <c r="D2" s="206"/>
      <c r="E2" s="206"/>
      <c r="F2" s="211" t="s">
        <v>93</v>
      </c>
      <c r="G2" s="211"/>
      <c r="H2" s="212"/>
      <c r="I2" s="196" t="s">
        <v>954</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948</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949</v>
      </c>
      <c r="D9" s="189"/>
      <c r="E9" s="189"/>
      <c r="F9" s="189"/>
      <c r="G9" s="189"/>
      <c r="H9" s="189"/>
      <c r="I9" s="189" t="s">
        <v>951</v>
      </c>
      <c r="J9" s="189"/>
      <c r="K9" s="189"/>
      <c r="L9" s="189"/>
      <c r="M9" s="189"/>
      <c r="N9" s="189"/>
      <c r="O9" s="189"/>
      <c r="P9" s="189"/>
      <c r="Q9" s="189" t="s">
        <v>144</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4">
        <v>2</v>
      </c>
      <c r="C10" s="190" t="s">
        <v>950</v>
      </c>
      <c r="D10" s="190"/>
      <c r="E10" s="190"/>
      <c r="F10" s="190"/>
      <c r="G10" s="190"/>
      <c r="H10" s="190"/>
      <c r="I10" s="190" t="s">
        <v>952</v>
      </c>
      <c r="J10" s="190"/>
      <c r="K10" s="190"/>
      <c r="L10" s="190"/>
      <c r="M10" s="190"/>
      <c r="N10" s="190"/>
      <c r="O10" s="190"/>
      <c r="P10" s="190"/>
      <c r="Q10" s="190" t="s">
        <v>146</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2">
        <v>1</v>
      </c>
      <c r="C15" s="238" t="s">
        <v>1170</v>
      </c>
      <c r="D15" s="238"/>
      <c r="E15" s="238"/>
      <c r="F15" s="238"/>
      <c r="G15" s="238"/>
      <c r="H15" s="238"/>
      <c r="I15" s="238"/>
      <c r="J15" s="238"/>
      <c r="K15" s="238"/>
      <c r="L15" s="238" t="s">
        <v>1171</v>
      </c>
      <c r="M15" s="238"/>
      <c r="N15" s="238"/>
      <c r="O15" s="238"/>
      <c r="P15" s="238"/>
      <c r="Q15" s="238"/>
      <c r="R15" s="238"/>
      <c r="S15" s="238"/>
      <c r="T15" s="238"/>
      <c r="U15" s="238"/>
      <c r="V15" s="238" t="s">
        <v>1022</v>
      </c>
      <c r="W15" s="238"/>
      <c r="X15" s="238"/>
      <c r="Y15" s="238" t="s">
        <v>1022</v>
      </c>
      <c r="Z15" s="238"/>
      <c r="AA15" s="238"/>
      <c r="AB15" s="238"/>
      <c r="AC15" s="238"/>
      <c r="AD15" s="238"/>
      <c r="AE15" s="238"/>
      <c r="AF15" s="238"/>
      <c r="AG15" s="238"/>
      <c r="AH15" s="238"/>
      <c r="AI15" s="239"/>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995</v>
      </c>
    </row>
    <row r="18" spans="2:35">
      <c r="B18" s="14" t="s">
        <v>1069</v>
      </c>
      <c r="C18" s="226" t="s">
        <v>1070</v>
      </c>
      <c r="D18" s="226"/>
      <c r="E18" s="226"/>
      <c r="F18" s="226"/>
      <c r="G18" s="226"/>
      <c r="H18" s="226"/>
      <c r="I18" s="226"/>
      <c r="J18" s="226"/>
      <c r="K18" s="226"/>
      <c r="L18" s="226"/>
      <c r="M18" s="226" t="s">
        <v>1072</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1069</v>
      </c>
      <c r="C22" s="226" t="s">
        <v>1070</v>
      </c>
      <c r="D22" s="226"/>
      <c r="E22" s="226"/>
      <c r="F22" s="226"/>
      <c r="G22" s="226"/>
      <c r="H22" s="226"/>
      <c r="I22" s="226"/>
      <c r="J22" s="226"/>
      <c r="K22" s="226"/>
      <c r="L22" s="226"/>
      <c r="M22" s="226" t="s">
        <v>1072</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5:K15"/>
    <mergeCell ref="L15:U15"/>
    <mergeCell ref="V15:X15"/>
    <mergeCell ref="Y15:AA15"/>
    <mergeCell ref="AB15:AI15"/>
    <mergeCell ref="C14:K14"/>
    <mergeCell ref="L14:U14"/>
    <mergeCell ref="V14:X14"/>
    <mergeCell ref="Y14:AA14"/>
    <mergeCell ref="AB14:AI14"/>
    <mergeCell ref="B2:E4"/>
    <mergeCell ref="F2:H2"/>
    <mergeCell ref="F3:H3"/>
    <mergeCell ref="F4:H4"/>
    <mergeCell ref="C8:H8"/>
    <mergeCell ref="C9:H9"/>
    <mergeCell ref="C10:H10"/>
    <mergeCell ref="I9:P9"/>
    <mergeCell ref="I10:P10"/>
    <mergeCell ref="Q9:X9"/>
    <mergeCell ref="Q10:X10"/>
    <mergeCell ref="AC8:AD8"/>
    <mergeCell ref="AE8:AK8"/>
    <mergeCell ref="AA9:AB9"/>
    <mergeCell ref="AC9:AD9"/>
    <mergeCell ref="I8:P8"/>
    <mergeCell ref="Y8:Z8"/>
    <mergeCell ref="Y9:Z9"/>
    <mergeCell ref="I2:N2"/>
    <mergeCell ref="I3:N3"/>
    <mergeCell ref="I4:N4"/>
    <mergeCell ref="Q8:X8"/>
    <mergeCell ref="AA8:AB8"/>
    <mergeCell ref="Y10:Z10"/>
    <mergeCell ref="AA10:AB10"/>
    <mergeCell ref="AC10:AD10"/>
    <mergeCell ref="AE9:AK9"/>
    <mergeCell ref="AE10:AK10"/>
  </mergeCells>
  <phoneticPr fontId="3"/>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80696-991F-4D34-A556-D6323B800416}">
  <sheetPr codeName="Sheet84"/>
  <dimension ref="B1:AK45"/>
  <sheetViews>
    <sheetView topLeftCell="A4" workbookViewId="0">
      <selection activeCell="I20" sqref="I20:P20"/>
    </sheetView>
  </sheetViews>
  <sheetFormatPr defaultColWidth="3.6640625" defaultRowHeight="13.2"/>
  <sheetData>
    <row r="1" spans="2:37" ht="13.8" thickBot="1"/>
    <row r="2" spans="2:37">
      <c r="B2" s="205" t="s">
        <v>95</v>
      </c>
      <c r="C2" s="206"/>
      <c r="D2" s="206"/>
      <c r="E2" s="206"/>
      <c r="F2" s="211" t="s">
        <v>93</v>
      </c>
      <c r="G2" s="211"/>
      <c r="H2" s="212"/>
      <c r="I2" s="196" t="s">
        <v>97</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955</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113</v>
      </c>
      <c r="D9" s="189"/>
      <c r="E9" s="189"/>
      <c r="F9" s="189"/>
      <c r="G9" s="189"/>
      <c r="H9" s="189"/>
      <c r="I9" s="189" t="s">
        <v>744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114</v>
      </c>
      <c r="D10" s="189"/>
      <c r="E10" s="189"/>
      <c r="F10" s="189"/>
      <c r="G10" s="189"/>
      <c r="H10" s="189"/>
      <c r="I10" s="189" t="s">
        <v>957</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344</v>
      </c>
      <c r="D11" s="189"/>
      <c r="E11" s="189"/>
      <c r="F11" s="189"/>
      <c r="G11" s="189"/>
      <c r="H11" s="189"/>
      <c r="I11" s="189" t="s">
        <v>354</v>
      </c>
      <c r="J11" s="189"/>
      <c r="K11" s="189"/>
      <c r="L11" s="189"/>
      <c r="M11" s="189"/>
      <c r="N11" s="189"/>
      <c r="O11" s="189"/>
      <c r="P11" s="189"/>
      <c r="Q11" s="189" t="s">
        <v>146</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s="110" customFormat="1">
      <c r="B12" s="112">
        <v>4</v>
      </c>
      <c r="C12" s="189" t="s">
        <v>567</v>
      </c>
      <c r="D12" s="189"/>
      <c r="E12" s="189"/>
      <c r="F12" s="189"/>
      <c r="G12" s="189"/>
      <c r="H12" s="189"/>
      <c r="I12" s="189" t="s">
        <v>577</v>
      </c>
      <c r="J12" s="189"/>
      <c r="K12" s="189"/>
      <c r="L12" s="189"/>
      <c r="M12" s="189"/>
      <c r="N12" s="189"/>
      <c r="O12" s="189"/>
      <c r="P12" s="189"/>
      <c r="Q12" s="189" t="s">
        <v>146</v>
      </c>
      <c r="R12" s="189"/>
      <c r="S12" s="189"/>
      <c r="T12" s="189"/>
      <c r="U12" s="189"/>
      <c r="V12" s="189"/>
      <c r="W12" s="189"/>
      <c r="X12" s="189"/>
      <c r="Y12" s="189"/>
      <c r="Z12" s="189"/>
      <c r="AA12" s="189"/>
      <c r="AB12" s="189"/>
      <c r="AC12" s="189"/>
      <c r="AD12" s="189"/>
      <c r="AE12" s="189"/>
      <c r="AF12" s="189"/>
      <c r="AG12" s="189"/>
      <c r="AH12" s="189"/>
      <c r="AI12" s="189"/>
      <c r="AJ12" s="189"/>
      <c r="AK12" s="191"/>
    </row>
    <row r="13" spans="2:37" s="69" customFormat="1">
      <c r="B13" s="71">
        <v>5</v>
      </c>
      <c r="C13" s="189" t="s">
        <v>910</v>
      </c>
      <c r="D13" s="189"/>
      <c r="E13" s="189"/>
      <c r="F13" s="189"/>
      <c r="G13" s="189"/>
      <c r="H13" s="189"/>
      <c r="I13" s="189" t="s">
        <v>916</v>
      </c>
      <c r="J13" s="189"/>
      <c r="K13" s="189"/>
      <c r="L13" s="189"/>
      <c r="M13" s="189"/>
      <c r="N13" s="189"/>
      <c r="O13" s="189"/>
      <c r="P13" s="189"/>
      <c r="Q13" s="189" t="s">
        <v>146</v>
      </c>
      <c r="R13" s="189"/>
      <c r="S13" s="189"/>
      <c r="T13" s="189"/>
      <c r="U13" s="189"/>
      <c r="V13" s="189"/>
      <c r="W13" s="189"/>
      <c r="X13" s="189"/>
      <c r="Y13" s="189"/>
      <c r="Z13" s="189"/>
      <c r="AA13" s="189"/>
      <c r="AB13" s="189"/>
      <c r="AC13" s="189"/>
      <c r="AD13" s="189"/>
      <c r="AE13" s="189"/>
      <c r="AF13" s="189"/>
      <c r="AG13" s="189"/>
      <c r="AH13" s="189"/>
      <c r="AI13" s="189"/>
      <c r="AJ13" s="189"/>
      <c r="AK13" s="191"/>
    </row>
    <row r="14" spans="2:37" s="145" customFormat="1">
      <c r="B14" s="147">
        <v>5</v>
      </c>
      <c r="C14" s="189" t="s">
        <v>1764</v>
      </c>
      <c r="D14" s="189"/>
      <c r="E14" s="189"/>
      <c r="F14" s="189"/>
      <c r="G14" s="189"/>
      <c r="H14" s="189"/>
      <c r="I14" s="189" t="s">
        <v>1765</v>
      </c>
      <c r="J14" s="189"/>
      <c r="K14" s="189"/>
      <c r="L14" s="189"/>
      <c r="M14" s="189"/>
      <c r="N14" s="189"/>
      <c r="O14" s="189"/>
      <c r="P14" s="189"/>
      <c r="Q14" s="189" t="s">
        <v>146</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75">
        <v>6</v>
      </c>
      <c r="C15" s="189" t="s">
        <v>115</v>
      </c>
      <c r="D15" s="189"/>
      <c r="E15" s="189"/>
      <c r="F15" s="189"/>
      <c r="G15" s="189"/>
      <c r="H15" s="189"/>
      <c r="I15" s="189" t="s">
        <v>355</v>
      </c>
      <c r="J15" s="189"/>
      <c r="K15" s="189"/>
      <c r="L15" s="189"/>
      <c r="M15" s="189"/>
      <c r="N15" s="189"/>
      <c r="O15" s="189"/>
      <c r="P15" s="189"/>
      <c r="Q15" s="189" t="s">
        <v>144</v>
      </c>
      <c r="R15" s="189"/>
      <c r="S15" s="189"/>
      <c r="T15" s="189"/>
      <c r="U15" s="189"/>
      <c r="V15" s="189"/>
      <c r="W15" s="189"/>
      <c r="X15" s="189"/>
      <c r="Y15" s="189"/>
      <c r="Z15" s="189"/>
      <c r="AA15" s="189"/>
      <c r="AB15" s="189"/>
      <c r="AC15" s="189"/>
      <c r="AD15" s="189"/>
      <c r="AE15" s="189"/>
      <c r="AF15" s="189"/>
      <c r="AG15" s="189"/>
      <c r="AH15" s="189"/>
      <c r="AI15" s="189"/>
      <c r="AJ15" s="189"/>
      <c r="AK15" s="191"/>
    </row>
    <row r="16" spans="2:37" s="72" customFormat="1">
      <c r="B16" s="75">
        <v>7</v>
      </c>
      <c r="C16" s="244" t="s">
        <v>1704</v>
      </c>
      <c r="D16" s="244"/>
      <c r="E16" s="244"/>
      <c r="F16" s="244"/>
      <c r="G16" s="244"/>
      <c r="H16" s="244"/>
      <c r="I16" s="244" t="s">
        <v>579</v>
      </c>
      <c r="J16" s="244"/>
      <c r="K16" s="244"/>
      <c r="L16" s="244"/>
      <c r="M16" s="244"/>
      <c r="N16" s="244"/>
      <c r="O16" s="244"/>
      <c r="P16" s="244"/>
      <c r="Q16" s="244" t="s">
        <v>1189</v>
      </c>
      <c r="R16" s="244"/>
      <c r="S16" s="244"/>
      <c r="T16" s="244"/>
      <c r="U16" s="244"/>
      <c r="V16" s="244"/>
      <c r="W16" s="244"/>
      <c r="X16" s="244"/>
      <c r="Y16" s="189"/>
      <c r="Z16" s="189"/>
      <c r="AA16" s="189"/>
      <c r="AB16" s="189"/>
      <c r="AC16" s="189"/>
      <c r="AD16" s="189"/>
      <c r="AE16" s="189"/>
      <c r="AF16" s="189"/>
      <c r="AG16" s="189"/>
      <c r="AH16" s="189"/>
      <c r="AI16" s="189"/>
      <c r="AJ16" s="189"/>
      <c r="AK16" s="191"/>
    </row>
    <row r="17" spans="2:37">
      <c r="B17" s="75">
        <v>8</v>
      </c>
      <c r="C17" s="189" t="s">
        <v>117</v>
      </c>
      <c r="D17" s="189"/>
      <c r="E17" s="189"/>
      <c r="F17" s="189"/>
      <c r="G17" s="189"/>
      <c r="H17" s="189"/>
      <c r="I17" s="189" t="s">
        <v>382</v>
      </c>
      <c r="J17" s="189"/>
      <c r="K17" s="189"/>
      <c r="L17" s="189"/>
      <c r="M17" s="189"/>
      <c r="N17" s="189"/>
      <c r="O17" s="189"/>
      <c r="P17" s="189"/>
      <c r="Q17" s="189" t="s">
        <v>146</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75">
        <v>9</v>
      </c>
      <c r="C18" s="189" t="s">
        <v>120</v>
      </c>
      <c r="D18" s="189"/>
      <c r="E18" s="189"/>
      <c r="F18" s="189"/>
      <c r="G18" s="189"/>
      <c r="H18" s="189"/>
      <c r="I18" s="189" t="s">
        <v>383</v>
      </c>
      <c r="J18" s="189"/>
      <c r="K18" s="189"/>
      <c r="L18" s="189"/>
      <c r="M18" s="189"/>
      <c r="N18" s="189"/>
      <c r="O18" s="189"/>
      <c r="P18" s="189"/>
      <c r="Q18" s="189" t="s">
        <v>146</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75">
        <v>11</v>
      </c>
      <c r="C19" s="189" t="s">
        <v>912</v>
      </c>
      <c r="D19" s="189"/>
      <c r="E19" s="189"/>
      <c r="F19" s="189"/>
      <c r="G19" s="189"/>
      <c r="H19" s="189"/>
      <c r="I19" s="189" t="s">
        <v>329</v>
      </c>
      <c r="J19" s="189"/>
      <c r="K19" s="189"/>
      <c r="L19" s="189"/>
      <c r="M19" s="189"/>
      <c r="N19" s="189"/>
      <c r="O19" s="189"/>
      <c r="P19" s="189"/>
      <c r="Q19" s="189" t="s">
        <v>146</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75">
        <v>12</v>
      </c>
      <c r="C20" s="189" t="s">
        <v>306</v>
      </c>
      <c r="D20" s="189"/>
      <c r="E20" s="189"/>
      <c r="F20" s="189"/>
      <c r="G20" s="189"/>
      <c r="H20" s="189"/>
      <c r="I20" s="189" t="s">
        <v>308</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75">
        <v>13</v>
      </c>
      <c r="C21" s="189" t="s">
        <v>676</v>
      </c>
      <c r="D21" s="189"/>
      <c r="E21" s="189"/>
      <c r="F21" s="189"/>
      <c r="G21" s="189"/>
      <c r="H21" s="189"/>
      <c r="I21" s="189" t="s">
        <v>388</v>
      </c>
      <c r="J21" s="189"/>
      <c r="K21" s="189"/>
      <c r="L21" s="189"/>
      <c r="M21" s="189"/>
      <c r="N21" s="189"/>
      <c r="O21" s="189"/>
      <c r="P21" s="189"/>
      <c r="Q21" s="189" t="s">
        <v>392</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75">
        <v>14</v>
      </c>
      <c r="C22" s="189" t="s">
        <v>351</v>
      </c>
      <c r="D22" s="189"/>
      <c r="E22" s="189"/>
      <c r="F22" s="189"/>
      <c r="G22" s="189"/>
      <c r="H22" s="189"/>
      <c r="I22" s="189" t="s">
        <v>387</v>
      </c>
      <c r="J22" s="189"/>
      <c r="K22" s="189"/>
      <c r="L22" s="189"/>
      <c r="M22" s="189"/>
      <c r="N22" s="189"/>
      <c r="O22" s="189"/>
      <c r="P22" s="189"/>
      <c r="Q22" s="189" t="s">
        <v>146</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75">
        <v>15</v>
      </c>
      <c r="C23" s="189" t="s">
        <v>116</v>
      </c>
      <c r="D23" s="189"/>
      <c r="E23" s="189"/>
      <c r="F23" s="189"/>
      <c r="G23" s="189"/>
      <c r="H23" s="189"/>
      <c r="I23" s="189" t="s">
        <v>649</v>
      </c>
      <c r="J23" s="189"/>
      <c r="K23" s="189"/>
      <c r="L23" s="189"/>
      <c r="M23" s="189"/>
      <c r="N23" s="189"/>
      <c r="O23" s="189"/>
      <c r="P23" s="189"/>
      <c r="Q23" s="189" t="s">
        <v>146</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75">
        <v>16</v>
      </c>
      <c r="C24" s="189" t="s">
        <v>787</v>
      </c>
      <c r="D24" s="189"/>
      <c r="E24" s="189"/>
      <c r="F24" s="189"/>
      <c r="G24" s="189"/>
      <c r="H24" s="189"/>
      <c r="I24" s="189" t="s">
        <v>789</v>
      </c>
      <c r="J24" s="189"/>
      <c r="K24" s="189"/>
      <c r="L24" s="189"/>
      <c r="M24" s="189"/>
      <c r="N24" s="189"/>
      <c r="O24" s="189"/>
      <c r="P24" s="189"/>
      <c r="Q24" s="189" t="s">
        <v>146</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75">
        <v>17</v>
      </c>
      <c r="C25" s="189" t="s">
        <v>1680</v>
      </c>
      <c r="D25" s="189"/>
      <c r="E25" s="189"/>
      <c r="F25" s="189"/>
      <c r="G25" s="189"/>
      <c r="H25" s="189"/>
      <c r="I25" s="189" t="s">
        <v>784</v>
      </c>
      <c r="J25" s="189"/>
      <c r="K25" s="189"/>
      <c r="L25" s="189"/>
      <c r="M25" s="189"/>
      <c r="N25" s="189"/>
      <c r="O25" s="189"/>
      <c r="P25" s="189"/>
      <c r="Q25" s="189" t="s">
        <v>146</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75">
        <v>18</v>
      </c>
      <c r="C26" s="189" t="s">
        <v>956</v>
      </c>
      <c r="D26" s="189"/>
      <c r="E26" s="189"/>
      <c r="F26" s="189"/>
      <c r="G26" s="189"/>
      <c r="H26" s="189"/>
      <c r="I26" s="189" t="s">
        <v>918</v>
      </c>
      <c r="J26" s="189"/>
      <c r="K26" s="189"/>
      <c r="L26" s="189"/>
      <c r="M26" s="189"/>
      <c r="N26" s="189"/>
      <c r="O26" s="189"/>
      <c r="P26" s="189"/>
      <c r="Q26" s="189" t="s">
        <v>392</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75">
        <v>19</v>
      </c>
      <c r="C27" s="189" t="s">
        <v>915</v>
      </c>
      <c r="D27" s="189"/>
      <c r="E27" s="189"/>
      <c r="F27" s="189"/>
      <c r="G27" s="189"/>
      <c r="H27" s="189"/>
      <c r="I27" s="189" t="s">
        <v>390</v>
      </c>
      <c r="J27" s="189"/>
      <c r="K27" s="189"/>
      <c r="L27" s="189"/>
      <c r="M27" s="189"/>
      <c r="N27" s="189"/>
      <c r="O27" s="189"/>
      <c r="P27" s="189"/>
      <c r="Q27" s="189" t="s">
        <v>392</v>
      </c>
      <c r="R27" s="189"/>
      <c r="S27" s="189"/>
      <c r="T27" s="189"/>
      <c r="U27" s="189"/>
      <c r="V27" s="189"/>
      <c r="W27" s="189"/>
      <c r="X27" s="189"/>
      <c r="Y27" s="189"/>
      <c r="Z27" s="189"/>
      <c r="AA27" s="189"/>
      <c r="AB27" s="189"/>
      <c r="AC27" s="189"/>
      <c r="AD27" s="189"/>
      <c r="AE27" s="189"/>
      <c r="AF27" s="189"/>
      <c r="AG27" s="189"/>
      <c r="AH27" s="189"/>
      <c r="AI27" s="189"/>
      <c r="AJ27" s="189"/>
      <c r="AK27" s="191"/>
    </row>
    <row r="28" spans="2:37">
      <c r="B28" s="75">
        <v>20</v>
      </c>
      <c r="C28" s="189" t="s">
        <v>118</v>
      </c>
      <c r="D28" s="189"/>
      <c r="E28" s="189"/>
      <c r="F28" s="189"/>
      <c r="G28" s="189"/>
      <c r="H28" s="189"/>
      <c r="I28" s="189" t="s">
        <v>159</v>
      </c>
      <c r="J28" s="189"/>
      <c r="K28" s="189"/>
      <c r="L28" s="189"/>
      <c r="M28" s="189"/>
      <c r="N28" s="189"/>
      <c r="O28" s="189"/>
      <c r="P28" s="189"/>
      <c r="Q28" s="189" t="s">
        <v>144</v>
      </c>
      <c r="R28" s="189"/>
      <c r="S28" s="189"/>
      <c r="T28" s="189"/>
      <c r="U28" s="189"/>
      <c r="V28" s="189"/>
      <c r="W28" s="189"/>
      <c r="X28" s="189"/>
      <c r="Y28" s="189"/>
      <c r="Z28" s="189"/>
      <c r="AA28" s="189"/>
      <c r="AB28" s="189"/>
      <c r="AC28" s="189"/>
      <c r="AD28" s="189"/>
      <c r="AE28" s="189"/>
      <c r="AF28" s="189"/>
      <c r="AG28" s="189"/>
      <c r="AH28" s="189"/>
      <c r="AI28" s="189"/>
      <c r="AJ28" s="189"/>
      <c r="AK28" s="191"/>
    </row>
    <row r="29" spans="2:37">
      <c r="B29" s="75">
        <v>21</v>
      </c>
      <c r="C29" s="189" t="s">
        <v>476</v>
      </c>
      <c r="D29" s="189"/>
      <c r="E29" s="189"/>
      <c r="F29" s="189"/>
      <c r="G29" s="189"/>
      <c r="H29" s="189"/>
      <c r="I29" s="189" t="s">
        <v>919</v>
      </c>
      <c r="J29" s="189"/>
      <c r="K29" s="189"/>
      <c r="L29" s="189"/>
      <c r="M29" s="189"/>
      <c r="N29" s="189"/>
      <c r="O29" s="189"/>
      <c r="P29" s="189"/>
      <c r="Q29" s="189" t="s">
        <v>144</v>
      </c>
      <c r="R29" s="189"/>
      <c r="S29" s="189"/>
      <c r="T29" s="189"/>
      <c r="U29" s="189"/>
      <c r="V29" s="189"/>
      <c r="W29" s="189"/>
      <c r="X29" s="189"/>
      <c r="Y29" s="189"/>
      <c r="Z29" s="189"/>
      <c r="AA29" s="189"/>
      <c r="AB29" s="189"/>
      <c r="AC29" s="189"/>
      <c r="AD29" s="189"/>
      <c r="AE29" s="189"/>
      <c r="AF29" s="189"/>
      <c r="AG29" s="189"/>
      <c r="AH29" s="189"/>
      <c r="AI29" s="189"/>
      <c r="AJ29" s="189"/>
      <c r="AK29" s="191"/>
    </row>
    <row r="30" spans="2:37" ht="13.8" thickBot="1">
      <c r="B30" s="4">
        <v>22</v>
      </c>
      <c r="C30" s="190" t="s">
        <v>119</v>
      </c>
      <c r="D30" s="190"/>
      <c r="E30" s="190"/>
      <c r="F30" s="190"/>
      <c r="G30" s="190"/>
      <c r="H30" s="190"/>
      <c r="I30" s="190" t="s">
        <v>235</v>
      </c>
      <c r="J30" s="190"/>
      <c r="K30" s="190"/>
      <c r="L30" s="190"/>
      <c r="M30" s="190"/>
      <c r="N30" s="190"/>
      <c r="O30" s="190"/>
      <c r="P30" s="190"/>
      <c r="Q30" s="190" t="s">
        <v>146</v>
      </c>
      <c r="R30" s="190"/>
      <c r="S30" s="190"/>
      <c r="T30" s="190"/>
      <c r="U30" s="190"/>
      <c r="V30" s="190"/>
      <c r="W30" s="190"/>
      <c r="X30" s="190"/>
      <c r="Y30" s="190"/>
      <c r="Z30" s="190"/>
      <c r="AA30" s="190"/>
      <c r="AB30" s="190"/>
      <c r="AC30" s="190"/>
      <c r="AD30" s="190"/>
      <c r="AE30" s="190"/>
      <c r="AF30" s="190"/>
      <c r="AG30" s="190"/>
      <c r="AH30" s="190"/>
      <c r="AI30" s="190"/>
      <c r="AJ30" s="190"/>
      <c r="AK30" s="198"/>
    </row>
    <row r="33" spans="2:35" ht="15" thickBot="1">
      <c r="B33" s="7" t="s">
        <v>994</v>
      </c>
    </row>
    <row r="34" spans="2:35" ht="13.8" thickBot="1">
      <c r="B34" s="10" t="s">
        <v>7</v>
      </c>
      <c r="C34" s="226" t="s">
        <v>998</v>
      </c>
      <c r="D34" s="226"/>
      <c r="E34" s="226"/>
      <c r="F34" s="226"/>
      <c r="G34" s="226"/>
      <c r="H34" s="226"/>
      <c r="I34" s="226"/>
      <c r="J34" s="226"/>
      <c r="K34" s="226"/>
      <c r="L34" s="226" t="s">
        <v>1000</v>
      </c>
      <c r="M34" s="226"/>
      <c r="N34" s="226"/>
      <c r="O34" s="226"/>
      <c r="P34" s="226"/>
      <c r="Q34" s="226"/>
      <c r="R34" s="226"/>
      <c r="S34" s="226"/>
      <c r="T34" s="226"/>
      <c r="U34" s="226"/>
      <c r="V34" s="226" t="s">
        <v>1002</v>
      </c>
      <c r="W34" s="226"/>
      <c r="X34" s="226"/>
      <c r="Y34" s="226" t="s">
        <v>1004</v>
      </c>
      <c r="Z34" s="226"/>
      <c r="AA34" s="226"/>
      <c r="AB34" s="226" t="s">
        <v>1005</v>
      </c>
      <c r="AC34" s="226"/>
      <c r="AD34" s="226"/>
      <c r="AE34" s="226"/>
      <c r="AF34" s="226"/>
      <c r="AG34" s="226"/>
      <c r="AH34" s="226"/>
      <c r="AI34" s="227"/>
    </row>
    <row r="35" spans="2:35" ht="14.4" customHeight="1">
      <c r="B35" s="312">
        <v>1</v>
      </c>
      <c r="C35" s="230" t="s">
        <v>1172</v>
      </c>
      <c r="D35" s="230"/>
      <c r="E35" s="230"/>
      <c r="F35" s="230"/>
      <c r="G35" s="230"/>
      <c r="H35" s="230"/>
      <c r="I35" s="230"/>
      <c r="J35" s="230"/>
      <c r="K35" s="230"/>
      <c r="L35" s="246" t="s">
        <v>1117</v>
      </c>
      <c r="M35" s="246"/>
      <c r="N35" s="246"/>
      <c r="O35" s="246"/>
      <c r="P35" s="246"/>
      <c r="Q35" s="246"/>
      <c r="R35" s="246"/>
      <c r="S35" s="246"/>
      <c r="T35" s="246"/>
      <c r="U35" s="246"/>
      <c r="V35" s="230" t="s">
        <v>1022</v>
      </c>
      <c r="W35" s="230"/>
      <c r="X35" s="230"/>
      <c r="Y35" s="230" t="s">
        <v>1022</v>
      </c>
      <c r="Z35" s="230"/>
      <c r="AA35" s="230"/>
      <c r="AB35" s="230"/>
      <c r="AC35" s="230"/>
      <c r="AD35" s="230"/>
      <c r="AE35" s="230"/>
      <c r="AF35" s="230"/>
      <c r="AG35" s="230"/>
      <c r="AH35" s="230"/>
      <c r="AI35" s="233"/>
    </row>
    <row r="36" spans="2:35" ht="14.4" customHeight="1">
      <c r="B36" s="312"/>
      <c r="C36" s="230"/>
      <c r="D36" s="230"/>
      <c r="E36" s="230"/>
      <c r="F36" s="230"/>
      <c r="G36" s="230"/>
      <c r="H36" s="230"/>
      <c r="I36" s="230"/>
      <c r="J36" s="230"/>
      <c r="K36" s="230"/>
      <c r="L36" s="284" t="s">
        <v>1173</v>
      </c>
      <c r="M36" s="284"/>
      <c r="N36" s="284"/>
      <c r="O36" s="284"/>
      <c r="P36" s="284"/>
      <c r="Q36" s="284"/>
      <c r="R36" s="284"/>
      <c r="S36" s="284"/>
      <c r="T36" s="284"/>
      <c r="U36" s="284"/>
      <c r="V36" s="230"/>
      <c r="W36" s="230"/>
      <c r="X36" s="230"/>
      <c r="Y36" s="230"/>
      <c r="Z36" s="230"/>
      <c r="AA36" s="230"/>
      <c r="AB36" s="230"/>
      <c r="AC36" s="230"/>
      <c r="AD36" s="230"/>
      <c r="AE36" s="230"/>
      <c r="AF36" s="230"/>
      <c r="AG36" s="230"/>
      <c r="AH36" s="230"/>
      <c r="AI36" s="233"/>
    </row>
    <row r="37" spans="2:35" ht="14.4" customHeight="1" thickBot="1">
      <c r="B37" s="313"/>
      <c r="C37" s="231"/>
      <c r="D37" s="231"/>
      <c r="E37" s="231"/>
      <c r="F37" s="231"/>
      <c r="G37" s="231"/>
      <c r="H37" s="231"/>
      <c r="I37" s="231"/>
      <c r="J37" s="231"/>
      <c r="K37" s="231"/>
      <c r="L37" s="259" t="s">
        <v>1041</v>
      </c>
      <c r="M37" s="259"/>
      <c r="N37" s="259"/>
      <c r="O37" s="259"/>
      <c r="P37" s="259"/>
      <c r="Q37" s="259"/>
      <c r="R37" s="259"/>
      <c r="S37" s="259"/>
      <c r="T37" s="259"/>
      <c r="U37" s="259"/>
      <c r="V37" s="231"/>
      <c r="W37" s="231"/>
      <c r="X37" s="231"/>
      <c r="Y37" s="231"/>
      <c r="Z37" s="231"/>
      <c r="AA37" s="231"/>
      <c r="AB37" s="231"/>
      <c r="AC37" s="231"/>
      <c r="AD37" s="231"/>
      <c r="AE37" s="231"/>
      <c r="AF37" s="231"/>
      <c r="AG37" s="231"/>
      <c r="AH37" s="231"/>
      <c r="AI37" s="234"/>
    </row>
    <row r="39" spans="2:35" ht="15" thickBot="1">
      <c r="B39" s="7" t="s">
        <v>995</v>
      </c>
    </row>
    <row r="40" spans="2:35">
      <c r="B40" s="14" t="s">
        <v>1069</v>
      </c>
      <c r="C40" s="226" t="s">
        <v>1070</v>
      </c>
      <c r="D40" s="226"/>
      <c r="E40" s="226"/>
      <c r="F40" s="226"/>
      <c r="G40" s="226"/>
      <c r="H40" s="226"/>
      <c r="I40" s="226"/>
      <c r="J40" s="226"/>
      <c r="K40" s="226"/>
      <c r="L40" s="226"/>
      <c r="M40" s="226" t="s">
        <v>1072</v>
      </c>
      <c r="N40" s="226"/>
      <c r="O40" s="226"/>
      <c r="P40" s="226"/>
      <c r="Q40" s="226"/>
      <c r="R40" s="226"/>
      <c r="S40" s="226"/>
      <c r="T40" s="226"/>
      <c r="U40" s="226" t="s">
        <v>1154</v>
      </c>
      <c r="V40" s="226"/>
      <c r="W40" s="226"/>
      <c r="X40" s="226"/>
      <c r="Y40" s="226"/>
      <c r="Z40" s="226"/>
      <c r="AA40" s="226"/>
      <c r="AB40" s="226"/>
      <c r="AC40" s="226"/>
      <c r="AD40" s="226" t="s">
        <v>1155</v>
      </c>
      <c r="AE40" s="226"/>
      <c r="AF40" s="226"/>
      <c r="AG40" s="226"/>
      <c r="AH40" s="226"/>
      <c r="AI40" s="227"/>
    </row>
    <row r="41" spans="2:35" ht="13.8" thickBot="1">
      <c r="B41" s="4"/>
      <c r="C41" s="190"/>
      <c r="D41" s="190"/>
      <c r="E41" s="190"/>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8"/>
    </row>
    <row r="43" spans="2:35" ht="15" thickBot="1">
      <c r="B43" s="7" t="s">
        <v>996</v>
      </c>
    </row>
    <row r="44" spans="2:35">
      <c r="B44" s="14" t="s">
        <v>1069</v>
      </c>
      <c r="C44" s="226" t="s">
        <v>1070</v>
      </c>
      <c r="D44" s="226"/>
      <c r="E44" s="226"/>
      <c r="F44" s="226"/>
      <c r="G44" s="226"/>
      <c r="H44" s="226"/>
      <c r="I44" s="226"/>
      <c r="J44" s="226"/>
      <c r="K44" s="226"/>
      <c r="L44" s="226"/>
      <c r="M44" s="226" t="s">
        <v>1072</v>
      </c>
      <c r="N44" s="226"/>
      <c r="O44" s="226"/>
      <c r="P44" s="226"/>
      <c r="Q44" s="226"/>
      <c r="R44" s="226"/>
      <c r="S44" s="226"/>
      <c r="T44" s="226"/>
      <c r="U44" s="226" t="s">
        <v>1154</v>
      </c>
      <c r="V44" s="226"/>
      <c r="W44" s="226"/>
      <c r="X44" s="226"/>
      <c r="Y44" s="226"/>
      <c r="Z44" s="226"/>
      <c r="AA44" s="226"/>
      <c r="AB44" s="226"/>
      <c r="AC44" s="226"/>
      <c r="AD44" s="226" t="s">
        <v>1155</v>
      </c>
      <c r="AE44" s="226"/>
      <c r="AF44" s="226"/>
      <c r="AG44" s="226"/>
      <c r="AH44" s="226"/>
      <c r="AI44" s="227"/>
    </row>
    <row r="45" spans="2:35" ht="13.8" thickBot="1">
      <c r="B45" s="4"/>
      <c r="C45" s="190"/>
      <c r="D45" s="190"/>
      <c r="E45" s="190"/>
      <c r="F45" s="190"/>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c r="AF45" s="190"/>
      <c r="AG45" s="190"/>
      <c r="AH45" s="190"/>
      <c r="AI45" s="198"/>
    </row>
  </sheetData>
  <mergeCells count="197">
    <mergeCell ref="C14:H14"/>
    <mergeCell ref="I14:P14"/>
    <mergeCell ref="Q14:X14"/>
    <mergeCell ref="Y14:Z14"/>
    <mergeCell ref="AA14:AB14"/>
    <mergeCell ref="AC14:AD14"/>
    <mergeCell ref="AE14:AK14"/>
    <mergeCell ref="C13:H13"/>
    <mergeCell ref="I13:P13"/>
    <mergeCell ref="Q13:X13"/>
    <mergeCell ref="Y13:Z13"/>
    <mergeCell ref="AA13:AB13"/>
    <mergeCell ref="AC13:AD13"/>
    <mergeCell ref="AE13:AK13"/>
    <mergeCell ref="C45:L45"/>
    <mergeCell ref="M45:T45"/>
    <mergeCell ref="U45:AC45"/>
    <mergeCell ref="AD45:AI45"/>
    <mergeCell ref="C40:L40"/>
    <mergeCell ref="M40:T40"/>
    <mergeCell ref="U40:AC40"/>
    <mergeCell ref="AD40:AI40"/>
    <mergeCell ref="C41:L41"/>
    <mergeCell ref="M41:T41"/>
    <mergeCell ref="U41:AC41"/>
    <mergeCell ref="AD41:AI41"/>
    <mergeCell ref="C44:L44"/>
    <mergeCell ref="M44:T44"/>
    <mergeCell ref="U44:AC44"/>
    <mergeCell ref="AD44:AI44"/>
    <mergeCell ref="C34:K34"/>
    <mergeCell ref="L34:U34"/>
    <mergeCell ref="V34:X34"/>
    <mergeCell ref="Y34:AA34"/>
    <mergeCell ref="AB34:AI34"/>
    <mergeCell ref="B35:B37"/>
    <mergeCell ref="C35:K37"/>
    <mergeCell ref="L35:U35"/>
    <mergeCell ref="V35:X37"/>
    <mergeCell ref="Y35:AA37"/>
    <mergeCell ref="AB35:AI37"/>
    <mergeCell ref="L36:U36"/>
    <mergeCell ref="L37:U37"/>
    <mergeCell ref="AE8:AK8"/>
    <mergeCell ref="AA9:AB9"/>
    <mergeCell ref="AC9:AD9"/>
    <mergeCell ref="B2:E4"/>
    <mergeCell ref="F2:H2"/>
    <mergeCell ref="F3:H3"/>
    <mergeCell ref="F4:H4"/>
    <mergeCell ref="C8:H8"/>
    <mergeCell ref="I8:P8"/>
    <mergeCell ref="I2:N2"/>
    <mergeCell ref="I3:N3"/>
    <mergeCell ref="I4:N4"/>
    <mergeCell ref="AE9:AK9"/>
    <mergeCell ref="C9:H9"/>
    <mergeCell ref="C10:H10"/>
    <mergeCell ref="C11:H11"/>
    <mergeCell ref="Q8:X8"/>
    <mergeCell ref="AA8:AB8"/>
    <mergeCell ref="AC8:AD8"/>
    <mergeCell ref="Q9:X9"/>
    <mergeCell ref="Q10:X10"/>
    <mergeCell ref="Q11:X11"/>
    <mergeCell ref="Y8:Z8"/>
    <mergeCell ref="Y9:Z9"/>
    <mergeCell ref="Y10:Z10"/>
    <mergeCell ref="Y11:Z11"/>
    <mergeCell ref="AA10:AB10"/>
    <mergeCell ref="AC10:AD10"/>
    <mergeCell ref="AA11:AB11"/>
    <mergeCell ref="AC11:AD11"/>
    <mergeCell ref="C27:H27"/>
    <mergeCell ref="C28:H28"/>
    <mergeCell ref="C29:H29"/>
    <mergeCell ref="C30:H30"/>
    <mergeCell ref="I9:P9"/>
    <mergeCell ref="I10:P10"/>
    <mergeCell ref="I11:P11"/>
    <mergeCell ref="I15:P15"/>
    <mergeCell ref="I17:P17"/>
    <mergeCell ref="I18:P18"/>
    <mergeCell ref="C21:H21"/>
    <mergeCell ref="C22:H22"/>
    <mergeCell ref="C23:H23"/>
    <mergeCell ref="C24:H24"/>
    <mergeCell ref="C25:H25"/>
    <mergeCell ref="C26:H26"/>
    <mergeCell ref="C15:H15"/>
    <mergeCell ref="C17:H17"/>
    <mergeCell ref="C18:H18"/>
    <mergeCell ref="C19:H19"/>
    <mergeCell ref="C20:H20"/>
    <mergeCell ref="I30:P30"/>
    <mergeCell ref="I27:P27"/>
    <mergeCell ref="I28:P28"/>
    <mergeCell ref="I29:P29"/>
    <mergeCell ref="I19:P19"/>
    <mergeCell ref="I20:P20"/>
    <mergeCell ref="I21:P21"/>
    <mergeCell ref="I22:P22"/>
    <mergeCell ref="I23:P23"/>
    <mergeCell ref="Q27:X27"/>
    <mergeCell ref="Q28:X28"/>
    <mergeCell ref="Q29:X29"/>
    <mergeCell ref="Q19:X19"/>
    <mergeCell ref="Q20:X20"/>
    <mergeCell ref="I24:P24"/>
    <mergeCell ref="I25:P25"/>
    <mergeCell ref="I26:P26"/>
    <mergeCell ref="AA15:AB15"/>
    <mergeCell ref="AA17:AB17"/>
    <mergeCell ref="AA18:AB18"/>
    <mergeCell ref="AA19:AB19"/>
    <mergeCell ref="AA20:AB20"/>
    <mergeCell ref="Q21:X21"/>
    <mergeCell ref="Q22:X22"/>
    <mergeCell ref="Q23:X23"/>
    <mergeCell ref="Q15:X15"/>
    <mergeCell ref="Q17:X17"/>
    <mergeCell ref="Q18:X18"/>
    <mergeCell ref="Y19:Z19"/>
    <mergeCell ref="AE10:AK10"/>
    <mergeCell ref="AE11:AK11"/>
    <mergeCell ref="AE15:AK15"/>
    <mergeCell ref="AE17:AK17"/>
    <mergeCell ref="AE18:AK18"/>
    <mergeCell ref="AE24:AK24"/>
    <mergeCell ref="AE25:AK25"/>
    <mergeCell ref="AE19:AK19"/>
    <mergeCell ref="AE20:AK20"/>
    <mergeCell ref="AE21:AK21"/>
    <mergeCell ref="AE22:AK22"/>
    <mergeCell ref="AE23:AK23"/>
    <mergeCell ref="AE16:AK16"/>
    <mergeCell ref="AE12:AK12"/>
    <mergeCell ref="C12:H12"/>
    <mergeCell ref="I12:P12"/>
    <mergeCell ref="Q12:X12"/>
    <mergeCell ref="Y12:Z12"/>
    <mergeCell ref="AA12:AB12"/>
    <mergeCell ref="AC12:AD12"/>
    <mergeCell ref="Y30:Z30"/>
    <mergeCell ref="Y20:Z20"/>
    <mergeCell ref="Y21:Z21"/>
    <mergeCell ref="Y22:Z22"/>
    <mergeCell ref="Y23:Z23"/>
    <mergeCell ref="Y24:Z24"/>
    <mergeCell ref="Y25:Z25"/>
    <mergeCell ref="Y26:Z26"/>
    <mergeCell ref="Y27:Z27"/>
    <mergeCell ref="Y28:Z28"/>
    <mergeCell ref="AC15:AD15"/>
    <mergeCell ref="AC17:AD17"/>
    <mergeCell ref="AA26:AB26"/>
    <mergeCell ref="Y15:Z15"/>
    <mergeCell ref="Y17:Z17"/>
    <mergeCell ref="AA21:AB21"/>
    <mergeCell ref="AA22:AB22"/>
    <mergeCell ref="AA23:AB23"/>
    <mergeCell ref="AC23:AD23"/>
    <mergeCell ref="AC24:AD24"/>
    <mergeCell ref="C16:H16"/>
    <mergeCell ref="I16:P16"/>
    <mergeCell ref="Q16:X16"/>
    <mergeCell ref="Y16:Z16"/>
    <mergeCell ref="AA16:AB16"/>
    <mergeCell ref="AC16:AD16"/>
    <mergeCell ref="Y18:Z18"/>
    <mergeCell ref="AC18:AD18"/>
    <mergeCell ref="AC19:AD19"/>
    <mergeCell ref="AC20:AD20"/>
    <mergeCell ref="AC21:AD21"/>
    <mergeCell ref="AC22:AD22"/>
    <mergeCell ref="Q30:X30"/>
    <mergeCell ref="Q24:X24"/>
    <mergeCell ref="Q25:X25"/>
    <mergeCell ref="Q26:X26"/>
    <mergeCell ref="AA28:AB28"/>
    <mergeCell ref="AA29:AB29"/>
    <mergeCell ref="AA30:AB30"/>
    <mergeCell ref="AA24:AB24"/>
    <mergeCell ref="AE26:AK26"/>
    <mergeCell ref="AE27:AK27"/>
    <mergeCell ref="AE28:AK28"/>
    <mergeCell ref="AE29:AK29"/>
    <mergeCell ref="AC28:AD28"/>
    <mergeCell ref="AC29:AD29"/>
    <mergeCell ref="AC25:AD25"/>
    <mergeCell ref="AC26:AD26"/>
    <mergeCell ref="AA27:AB27"/>
    <mergeCell ref="AC27:AD27"/>
    <mergeCell ref="AA25:AB25"/>
    <mergeCell ref="AE30:AK30"/>
    <mergeCell ref="Y29:Z29"/>
    <mergeCell ref="AC30:AD30"/>
  </mergeCells>
  <phoneticPr fontId="3"/>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DCD25-CF26-400F-9B13-CFBB6AA76D7B}">
  <sheetPr codeName="Sheet85"/>
  <dimension ref="B1:AK25"/>
  <sheetViews>
    <sheetView workbookViewId="0">
      <selection activeCell="Y8" sqref="Y8:AB8"/>
    </sheetView>
  </sheetViews>
  <sheetFormatPr defaultColWidth="3.6640625" defaultRowHeight="13.2"/>
  <sheetData>
    <row r="1" spans="2:37" ht="13.8" thickBot="1"/>
    <row r="2" spans="2:37">
      <c r="B2" s="205" t="s">
        <v>95</v>
      </c>
      <c r="C2" s="206"/>
      <c r="D2" s="206"/>
      <c r="E2" s="206"/>
      <c r="F2" s="211" t="s">
        <v>93</v>
      </c>
      <c r="G2" s="211"/>
      <c r="H2" s="212"/>
      <c r="I2" s="196" t="s">
        <v>965</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959</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3">
        <v>1</v>
      </c>
      <c r="C9" s="189" t="s">
        <v>963</v>
      </c>
      <c r="D9" s="189"/>
      <c r="E9" s="189"/>
      <c r="F9" s="189"/>
      <c r="G9" s="189"/>
      <c r="H9" s="189"/>
      <c r="I9" s="189" t="s">
        <v>366</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960</v>
      </c>
      <c r="D10" s="189"/>
      <c r="E10" s="189"/>
      <c r="F10" s="189"/>
      <c r="G10" s="189"/>
      <c r="H10" s="189"/>
      <c r="I10" s="189" t="s">
        <v>962</v>
      </c>
      <c r="J10" s="189"/>
      <c r="K10" s="189"/>
      <c r="L10" s="189"/>
      <c r="M10" s="189"/>
      <c r="N10" s="189"/>
      <c r="O10" s="189"/>
      <c r="P10" s="189"/>
      <c r="Q10" s="189" t="s">
        <v>144</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ht="13.8" thickBot="1">
      <c r="B11" s="4">
        <v>3</v>
      </c>
      <c r="C11" s="190" t="s">
        <v>961</v>
      </c>
      <c r="D11" s="190"/>
      <c r="E11" s="190"/>
      <c r="F11" s="190"/>
      <c r="G11" s="190"/>
      <c r="H11" s="190"/>
      <c r="I11" s="190" t="s">
        <v>168</v>
      </c>
      <c r="J11" s="190"/>
      <c r="K11" s="190"/>
      <c r="L11" s="190"/>
      <c r="M11" s="190"/>
      <c r="N11" s="190"/>
      <c r="O11" s="190"/>
      <c r="P11" s="190"/>
      <c r="Q11" s="190" t="s">
        <v>144</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ht="13.8" thickBot="1">
      <c r="B15" s="10" t="s">
        <v>7</v>
      </c>
      <c r="C15" s="226" t="s">
        <v>998</v>
      </c>
      <c r="D15" s="226"/>
      <c r="E15" s="226"/>
      <c r="F15" s="226"/>
      <c r="G15" s="226"/>
      <c r="H15" s="226"/>
      <c r="I15" s="226"/>
      <c r="J15" s="226"/>
      <c r="K15" s="226"/>
      <c r="L15" s="226" t="s">
        <v>1000</v>
      </c>
      <c r="M15" s="226"/>
      <c r="N15" s="226"/>
      <c r="O15" s="226"/>
      <c r="P15" s="226"/>
      <c r="Q15" s="226"/>
      <c r="R15" s="226"/>
      <c r="S15" s="226"/>
      <c r="T15" s="226"/>
      <c r="U15" s="226"/>
      <c r="V15" s="226" t="s">
        <v>1002</v>
      </c>
      <c r="W15" s="226"/>
      <c r="X15" s="226"/>
      <c r="Y15" s="226" t="s">
        <v>1004</v>
      </c>
      <c r="Z15" s="226"/>
      <c r="AA15" s="226"/>
      <c r="AB15" s="226" t="s">
        <v>1005</v>
      </c>
      <c r="AC15" s="226"/>
      <c r="AD15" s="226"/>
      <c r="AE15" s="226"/>
      <c r="AF15" s="226"/>
      <c r="AG15" s="226"/>
      <c r="AH15" s="226"/>
      <c r="AI15" s="227"/>
    </row>
    <row r="16" spans="2:37">
      <c r="B16" s="256">
        <v>1</v>
      </c>
      <c r="C16" s="247" t="s">
        <v>1174</v>
      </c>
      <c r="D16" s="247"/>
      <c r="E16" s="247"/>
      <c r="F16" s="247"/>
      <c r="G16" s="247"/>
      <c r="H16" s="247"/>
      <c r="I16" s="247"/>
      <c r="J16" s="247"/>
      <c r="K16" s="247"/>
      <c r="L16" s="246" t="s">
        <v>1175</v>
      </c>
      <c r="M16" s="246"/>
      <c r="N16" s="246"/>
      <c r="O16" s="246"/>
      <c r="P16" s="246"/>
      <c r="Q16" s="246"/>
      <c r="R16" s="246"/>
      <c r="S16" s="246"/>
      <c r="T16" s="246"/>
      <c r="U16" s="246"/>
      <c r="V16" s="247" t="s">
        <v>1022</v>
      </c>
      <c r="W16" s="247"/>
      <c r="X16" s="247"/>
      <c r="Y16" s="247" t="s">
        <v>1022</v>
      </c>
      <c r="Z16" s="247"/>
      <c r="AA16" s="247"/>
      <c r="AB16" s="248"/>
      <c r="AC16" s="248"/>
      <c r="AD16" s="248"/>
      <c r="AE16" s="248"/>
      <c r="AF16" s="248"/>
      <c r="AG16" s="248"/>
      <c r="AH16" s="248"/>
      <c r="AI16" s="249"/>
    </row>
    <row r="17" spans="2:35" ht="13.8" thickBot="1">
      <c r="B17" s="257"/>
      <c r="C17" s="258"/>
      <c r="D17" s="258"/>
      <c r="E17" s="258"/>
      <c r="F17" s="258"/>
      <c r="G17" s="258"/>
      <c r="H17" s="258"/>
      <c r="I17" s="258"/>
      <c r="J17" s="258"/>
      <c r="K17" s="258"/>
      <c r="L17" s="259" t="s">
        <v>1176</v>
      </c>
      <c r="M17" s="259"/>
      <c r="N17" s="259"/>
      <c r="O17" s="259"/>
      <c r="P17" s="259"/>
      <c r="Q17" s="259"/>
      <c r="R17" s="259"/>
      <c r="S17" s="259"/>
      <c r="T17" s="259"/>
      <c r="U17" s="259"/>
      <c r="V17" s="258"/>
      <c r="W17" s="258"/>
      <c r="X17" s="258"/>
      <c r="Y17" s="258"/>
      <c r="Z17" s="258"/>
      <c r="AA17" s="258"/>
      <c r="AB17" s="238"/>
      <c r="AC17" s="238"/>
      <c r="AD17" s="238"/>
      <c r="AE17" s="238"/>
      <c r="AF17" s="238"/>
      <c r="AG17" s="238"/>
      <c r="AH17" s="238"/>
      <c r="AI17" s="239"/>
    </row>
    <row r="19" spans="2:35" ht="15" thickBot="1">
      <c r="B19" s="7" t="s">
        <v>995</v>
      </c>
    </row>
    <row r="20" spans="2:35">
      <c r="B20" s="14" t="s">
        <v>1069</v>
      </c>
      <c r="C20" s="226" t="s">
        <v>1070</v>
      </c>
      <c r="D20" s="226"/>
      <c r="E20" s="226"/>
      <c r="F20" s="226"/>
      <c r="G20" s="226"/>
      <c r="H20" s="226"/>
      <c r="I20" s="226"/>
      <c r="J20" s="226"/>
      <c r="K20" s="226"/>
      <c r="L20" s="226"/>
      <c r="M20" s="226" t="s">
        <v>1072</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1069</v>
      </c>
      <c r="C24" s="226" t="s">
        <v>1070</v>
      </c>
      <c r="D24" s="226"/>
      <c r="E24" s="226"/>
      <c r="F24" s="226"/>
      <c r="G24" s="226"/>
      <c r="H24" s="226"/>
      <c r="I24" s="226"/>
      <c r="J24" s="226"/>
      <c r="K24" s="226"/>
      <c r="L24" s="226"/>
      <c r="M24" s="226" t="s">
        <v>1072</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3">
    <mergeCell ref="C24:L24"/>
    <mergeCell ref="M24:T24"/>
    <mergeCell ref="U24:AC24"/>
    <mergeCell ref="AD24:AI24"/>
    <mergeCell ref="C25:L25"/>
    <mergeCell ref="M25:T25"/>
    <mergeCell ref="U25:AC25"/>
    <mergeCell ref="AD25:AI25"/>
    <mergeCell ref="C20:L20"/>
    <mergeCell ref="M20:T20"/>
    <mergeCell ref="U20:AC20"/>
    <mergeCell ref="AD20:AI20"/>
    <mergeCell ref="C21:L21"/>
    <mergeCell ref="M21:T21"/>
    <mergeCell ref="U21:AC21"/>
    <mergeCell ref="AD21:AI21"/>
    <mergeCell ref="V15:X15"/>
    <mergeCell ref="Y15:AA15"/>
    <mergeCell ref="AB15:AI15"/>
    <mergeCell ref="B16:B17"/>
    <mergeCell ref="C16:K17"/>
    <mergeCell ref="L16:U16"/>
    <mergeCell ref="V16:X17"/>
    <mergeCell ref="Y16:AA17"/>
    <mergeCell ref="AB16:AI17"/>
    <mergeCell ref="L17:U17"/>
    <mergeCell ref="I8:P8"/>
    <mergeCell ref="I2:N2"/>
    <mergeCell ref="I3:N3"/>
    <mergeCell ref="I4:N4"/>
    <mergeCell ref="C15:K15"/>
    <mergeCell ref="L15:U15"/>
    <mergeCell ref="B2:E4"/>
    <mergeCell ref="F2:H2"/>
    <mergeCell ref="F3:H3"/>
    <mergeCell ref="F4:H4"/>
    <mergeCell ref="C8:H8"/>
    <mergeCell ref="Q8:X8"/>
    <mergeCell ref="C9:H9"/>
    <mergeCell ref="C10:H10"/>
    <mergeCell ref="C11:H11"/>
    <mergeCell ref="I9:P9"/>
    <mergeCell ref="Q9:X9"/>
    <mergeCell ref="Q10:X10"/>
    <mergeCell ref="I10:P10"/>
    <mergeCell ref="I11:P11"/>
    <mergeCell ref="Q11:X11"/>
    <mergeCell ref="Y8:Z8"/>
    <mergeCell ref="Y9:Z9"/>
    <mergeCell ref="Y10:Z10"/>
    <mergeCell ref="Y11:Z11"/>
    <mergeCell ref="AE10:AK10"/>
    <mergeCell ref="AE11:AK11"/>
    <mergeCell ref="AA10:AB10"/>
    <mergeCell ref="AC10:AD10"/>
    <mergeCell ref="AA11:AB11"/>
    <mergeCell ref="AC11:AD11"/>
    <mergeCell ref="AA8:AB8"/>
    <mergeCell ref="AC8:AD8"/>
    <mergeCell ref="AE8:AK8"/>
    <mergeCell ref="AA9:AB9"/>
    <mergeCell ref="AC9:AD9"/>
    <mergeCell ref="AE9:AK9"/>
  </mergeCells>
  <phoneticPr fontId="3"/>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88C58-B99C-4F05-9678-F8C1D2B5DCCC}">
  <sheetPr codeName="Sheet86"/>
  <dimension ref="B1:AI14"/>
  <sheetViews>
    <sheetView workbookViewId="0"/>
  </sheetViews>
  <sheetFormatPr defaultColWidth="3.6640625" defaultRowHeight="13.2"/>
  <sheetData>
    <row r="1" spans="2:35" ht="13.8" thickBot="1"/>
    <row r="2" spans="2:35">
      <c r="B2" s="205" t="s">
        <v>95</v>
      </c>
      <c r="C2" s="206"/>
      <c r="D2" s="206"/>
      <c r="E2" s="206"/>
      <c r="F2" s="211" t="s">
        <v>93</v>
      </c>
      <c r="G2" s="211"/>
      <c r="H2" s="212"/>
      <c r="I2" s="196" t="s">
        <v>972</v>
      </c>
      <c r="J2" s="196"/>
      <c r="K2" s="196"/>
      <c r="L2" s="197"/>
    </row>
    <row r="3" spans="2:35">
      <c r="B3" s="207"/>
      <c r="C3" s="208"/>
      <c r="D3" s="208"/>
      <c r="E3" s="208"/>
      <c r="F3" s="213" t="s">
        <v>10</v>
      </c>
      <c r="G3" s="213"/>
      <c r="H3" s="214"/>
      <c r="I3" s="189" t="s">
        <v>11</v>
      </c>
      <c r="J3" s="189"/>
      <c r="K3" s="189"/>
      <c r="L3" s="191"/>
    </row>
    <row r="4" spans="2:35" ht="13.8" thickBot="1">
      <c r="B4" s="209"/>
      <c r="C4" s="210"/>
      <c r="D4" s="210"/>
      <c r="E4" s="210"/>
      <c r="F4" s="215" t="s">
        <v>94</v>
      </c>
      <c r="G4" s="215"/>
      <c r="H4" s="216"/>
      <c r="I4" s="190" t="s">
        <v>966</v>
      </c>
      <c r="J4" s="190"/>
      <c r="K4" s="190"/>
      <c r="L4" s="198"/>
    </row>
    <row r="6" spans="2:35" s="96" customFormat="1"/>
    <row r="7" spans="2:35" ht="13.8" thickBot="1"/>
    <row r="8" spans="2:35">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1" t="s">
        <v>148</v>
      </c>
      <c r="Z8" s="201"/>
      <c r="AA8" s="201" t="s">
        <v>150</v>
      </c>
      <c r="AB8" s="201"/>
      <c r="AC8" s="201" t="s">
        <v>152</v>
      </c>
      <c r="AD8" s="201"/>
      <c r="AE8" s="201"/>
      <c r="AF8" s="201"/>
      <c r="AG8" s="201"/>
      <c r="AH8" s="201"/>
      <c r="AI8" s="204"/>
    </row>
    <row r="9" spans="2:35">
      <c r="B9" s="3">
        <v>1</v>
      </c>
      <c r="C9" s="189" t="s">
        <v>967</v>
      </c>
      <c r="D9" s="189"/>
      <c r="E9" s="189"/>
      <c r="F9" s="189"/>
      <c r="G9" s="189"/>
      <c r="H9" s="189"/>
      <c r="I9" s="189" t="s">
        <v>969</v>
      </c>
      <c r="J9" s="189"/>
      <c r="K9" s="189"/>
      <c r="L9" s="189"/>
      <c r="M9" s="189"/>
      <c r="N9" s="189"/>
      <c r="O9" s="189"/>
      <c r="P9" s="189"/>
      <c r="Q9" s="189" t="s">
        <v>219</v>
      </c>
      <c r="R9" s="189"/>
      <c r="S9" s="189"/>
      <c r="T9" s="189"/>
      <c r="U9" s="189"/>
      <c r="V9" s="189"/>
      <c r="W9" s="189"/>
      <c r="X9" s="189"/>
      <c r="Y9" s="189"/>
      <c r="Z9" s="189"/>
      <c r="AA9" s="189"/>
      <c r="AB9" s="189"/>
      <c r="AC9" s="189"/>
      <c r="AD9" s="189"/>
      <c r="AE9" s="189"/>
      <c r="AF9" s="189"/>
      <c r="AG9" s="189"/>
      <c r="AH9" s="189"/>
      <c r="AI9" s="191"/>
    </row>
    <row r="10" spans="2:35" ht="13.8" thickBot="1">
      <c r="B10" s="4">
        <v>2</v>
      </c>
      <c r="C10" s="190" t="s">
        <v>968</v>
      </c>
      <c r="D10" s="190"/>
      <c r="E10" s="190"/>
      <c r="F10" s="190"/>
      <c r="G10" s="190"/>
      <c r="H10" s="190"/>
      <c r="I10" s="190" t="s">
        <v>970</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8"/>
    </row>
    <row r="12" spans="2:35" ht="13.8" thickBot="1"/>
    <row r="13" spans="2:35">
      <c r="B13" s="314" t="s">
        <v>1582</v>
      </c>
      <c r="C13" s="315"/>
      <c r="D13" s="315"/>
      <c r="E13" s="315"/>
      <c r="F13" s="315"/>
      <c r="G13" s="315"/>
      <c r="H13" s="315"/>
      <c r="I13" s="315"/>
      <c r="J13" s="315"/>
      <c r="K13" s="315"/>
      <c r="L13" s="315"/>
      <c r="M13" s="315"/>
      <c r="N13" s="315"/>
      <c r="O13" s="315"/>
      <c r="P13" s="315"/>
      <c r="Q13" s="315"/>
      <c r="R13" s="315"/>
      <c r="S13" s="315"/>
      <c r="T13" s="315"/>
      <c r="U13" s="315"/>
      <c r="V13" s="315"/>
      <c r="W13" s="315"/>
      <c r="X13" s="315"/>
      <c r="Y13" s="315"/>
      <c r="Z13" s="315"/>
      <c r="AA13" s="315"/>
      <c r="AB13" s="315"/>
      <c r="AC13" s="315"/>
      <c r="AD13" s="315"/>
      <c r="AE13" s="315"/>
      <c r="AF13" s="315"/>
      <c r="AG13" s="315"/>
      <c r="AH13" s="315"/>
      <c r="AI13" s="316"/>
    </row>
    <row r="14" spans="2:35" s="23" customFormat="1" ht="53.4" customHeight="1" thickBot="1">
      <c r="B14" s="317" t="s">
        <v>1584</v>
      </c>
      <c r="C14" s="318"/>
      <c r="D14" s="318"/>
      <c r="E14" s="318"/>
      <c r="F14" s="318"/>
      <c r="G14" s="318"/>
      <c r="H14" s="318"/>
      <c r="I14" s="318"/>
      <c r="J14" s="318"/>
      <c r="K14" s="318"/>
      <c r="L14" s="318"/>
      <c r="M14" s="318"/>
      <c r="N14" s="318"/>
      <c r="O14" s="318"/>
      <c r="P14" s="318"/>
      <c r="Q14" s="318"/>
      <c r="R14" s="318"/>
      <c r="S14" s="318"/>
      <c r="T14" s="318"/>
      <c r="U14" s="318"/>
      <c r="V14" s="318"/>
      <c r="W14" s="318"/>
      <c r="X14" s="318"/>
      <c r="Y14" s="318"/>
      <c r="Z14" s="318"/>
      <c r="AA14" s="318"/>
      <c r="AB14" s="318"/>
      <c r="AC14" s="318"/>
      <c r="AD14" s="318"/>
      <c r="AE14" s="318"/>
      <c r="AF14" s="318"/>
      <c r="AG14" s="318"/>
      <c r="AH14" s="318"/>
      <c r="AI14" s="319"/>
    </row>
  </sheetData>
  <mergeCells count="27">
    <mergeCell ref="I2:L2"/>
    <mergeCell ref="I3:L3"/>
    <mergeCell ref="I4:L4"/>
    <mergeCell ref="B2:E4"/>
    <mergeCell ref="F2:H2"/>
    <mergeCell ref="F3:H3"/>
    <mergeCell ref="F4:H4"/>
    <mergeCell ref="Y8:Z8"/>
    <mergeCell ref="AA8:AB8"/>
    <mergeCell ref="AC8:AI8"/>
    <mergeCell ref="C9:H9"/>
    <mergeCell ref="I8:P8"/>
    <mergeCell ref="Y9:Z9"/>
    <mergeCell ref="C8:H8"/>
    <mergeCell ref="Q8:X8"/>
    <mergeCell ref="I9:P9"/>
    <mergeCell ref="Q9:X9"/>
    <mergeCell ref="B13:AI13"/>
    <mergeCell ref="B14:AI14"/>
    <mergeCell ref="Y10:Z10"/>
    <mergeCell ref="AA9:AB9"/>
    <mergeCell ref="AA10:AB10"/>
    <mergeCell ref="AC9:AI9"/>
    <mergeCell ref="AC10:AI10"/>
    <mergeCell ref="C10:H10"/>
    <mergeCell ref="I10:P10"/>
    <mergeCell ref="Q10:X10"/>
  </mergeCells>
  <phoneticPr fontId="3"/>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0550-24B6-45D2-9154-B2232D309BBE}">
  <sheetPr codeName="Sheet87"/>
  <dimension ref="B1:AI13"/>
  <sheetViews>
    <sheetView workbookViewId="0">
      <selection activeCell="AA25" sqref="AA25"/>
    </sheetView>
  </sheetViews>
  <sheetFormatPr defaultColWidth="3.6640625" defaultRowHeight="13.2"/>
  <sheetData>
    <row r="1" spans="2:35" ht="13.8" thickBot="1"/>
    <row r="2" spans="2:35">
      <c r="B2" s="205" t="s">
        <v>95</v>
      </c>
      <c r="C2" s="206"/>
      <c r="D2" s="206"/>
      <c r="E2" s="206"/>
      <c r="F2" s="211" t="s">
        <v>93</v>
      </c>
      <c r="G2" s="211"/>
      <c r="H2" s="212"/>
      <c r="I2" s="196" t="s">
        <v>974</v>
      </c>
      <c r="J2" s="196"/>
      <c r="K2" s="196"/>
      <c r="L2" s="197"/>
    </row>
    <row r="3" spans="2:35">
      <c r="B3" s="207"/>
      <c r="C3" s="208"/>
      <c r="D3" s="208"/>
      <c r="E3" s="208"/>
      <c r="F3" s="213" t="s">
        <v>10</v>
      </c>
      <c r="G3" s="213"/>
      <c r="H3" s="214"/>
      <c r="I3" s="189" t="s">
        <v>11</v>
      </c>
      <c r="J3" s="189"/>
      <c r="K3" s="189"/>
      <c r="L3" s="191"/>
    </row>
    <row r="4" spans="2:35" ht="13.8" thickBot="1">
      <c r="B4" s="209"/>
      <c r="C4" s="210"/>
      <c r="D4" s="210"/>
      <c r="E4" s="210"/>
      <c r="F4" s="215" t="s">
        <v>94</v>
      </c>
      <c r="G4" s="215"/>
      <c r="H4" s="216"/>
      <c r="I4" s="190" t="s">
        <v>973</v>
      </c>
      <c r="J4" s="190"/>
      <c r="K4" s="190"/>
      <c r="L4" s="198"/>
    </row>
    <row r="6" spans="2:35" s="96" customFormat="1"/>
    <row r="7" spans="2:35" ht="13.8" thickBot="1"/>
    <row r="8" spans="2:35">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1" t="s">
        <v>148</v>
      </c>
      <c r="Z8" s="201"/>
      <c r="AA8" s="201" t="s">
        <v>150</v>
      </c>
      <c r="AB8" s="201"/>
      <c r="AC8" s="201" t="s">
        <v>152</v>
      </c>
      <c r="AD8" s="201"/>
      <c r="AE8" s="201"/>
      <c r="AF8" s="201"/>
      <c r="AG8" s="201"/>
      <c r="AH8" s="201"/>
      <c r="AI8" s="204"/>
    </row>
    <row r="9" spans="2:35" ht="13.8" thickBot="1">
      <c r="B9" s="4">
        <v>1</v>
      </c>
      <c r="C9" s="190" t="s">
        <v>975</v>
      </c>
      <c r="D9" s="190"/>
      <c r="E9" s="190"/>
      <c r="F9" s="190"/>
      <c r="G9" s="190"/>
      <c r="H9" s="190"/>
      <c r="I9" s="190" t="s">
        <v>976</v>
      </c>
      <c r="J9" s="190"/>
      <c r="K9" s="190"/>
      <c r="L9" s="190"/>
      <c r="M9" s="190"/>
      <c r="N9" s="190"/>
      <c r="O9" s="190"/>
      <c r="P9" s="190"/>
      <c r="Q9" s="190" t="s">
        <v>977</v>
      </c>
      <c r="R9" s="190"/>
      <c r="S9" s="190"/>
      <c r="T9" s="190"/>
      <c r="U9" s="190"/>
      <c r="V9" s="190"/>
      <c r="W9" s="190"/>
      <c r="X9" s="190"/>
      <c r="Y9" s="190"/>
      <c r="Z9" s="190"/>
      <c r="AA9" s="190"/>
      <c r="AB9" s="190"/>
      <c r="AC9" s="190"/>
      <c r="AD9" s="190"/>
      <c r="AE9" s="190"/>
      <c r="AF9" s="190"/>
      <c r="AG9" s="190"/>
      <c r="AH9" s="190"/>
      <c r="AI9" s="198"/>
    </row>
    <row r="11" spans="2:35" ht="13.8" thickBot="1"/>
    <row r="12" spans="2:35">
      <c r="B12" s="314" t="s">
        <v>1582</v>
      </c>
      <c r="C12" s="315"/>
      <c r="D12" s="315"/>
      <c r="E12" s="315"/>
      <c r="F12" s="315"/>
      <c r="G12" s="315"/>
      <c r="H12" s="315"/>
      <c r="I12" s="315"/>
      <c r="J12" s="315"/>
      <c r="K12" s="315"/>
      <c r="L12" s="315"/>
      <c r="M12" s="315"/>
      <c r="N12" s="315"/>
      <c r="O12" s="315"/>
      <c r="P12" s="315"/>
      <c r="Q12" s="315"/>
      <c r="R12" s="315"/>
      <c r="S12" s="315"/>
      <c r="T12" s="315"/>
      <c r="U12" s="315"/>
      <c r="V12" s="315"/>
      <c r="W12" s="315"/>
      <c r="X12" s="315"/>
      <c r="Y12" s="315"/>
      <c r="Z12" s="315"/>
      <c r="AA12" s="315"/>
      <c r="AB12" s="315"/>
      <c r="AC12" s="315"/>
      <c r="AD12" s="315"/>
      <c r="AE12" s="315"/>
      <c r="AF12" s="315"/>
      <c r="AG12" s="315"/>
      <c r="AH12" s="315"/>
      <c r="AI12" s="316"/>
    </row>
    <row r="13" spans="2:35" ht="106.2" customHeight="1" thickBot="1">
      <c r="B13" s="320" t="s">
        <v>1583</v>
      </c>
      <c r="C13" s="321"/>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2"/>
    </row>
  </sheetData>
  <mergeCells count="21">
    <mergeCell ref="I2:L2"/>
    <mergeCell ref="I3:L3"/>
    <mergeCell ref="I4:L4"/>
    <mergeCell ref="B2:E4"/>
    <mergeCell ref="F2:H2"/>
    <mergeCell ref="F3:H3"/>
    <mergeCell ref="F4:H4"/>
    <mergeCell ref="B12:AI12"/>
    <mergeCell ref="B13:AI13"/>
    <mergeCell ref="AC9:AI9"/>
    <mergeCell ref="I8:P8"/>
    <mergeCell ref="C9:H9"/>
    <mergeCell ref="I9:P9"/>
    <mergeCell ref="Q9:X9"/>
    <mergeCell ref="Y9:Z9"/>
    <mergeCell ref="AA9:AB9"/>
    <mergeCell ref="C8:H8"/>
    <mergeCell ref="Q8:X8"/>
    <mergeCell ref="Y8:Z8"/>
    <mergeCell ref="AA8:AB8"/>
    <mergeCell ref="AC8:AI8"/>
  </mergeCells>
  <phoneticPr fontId="3"/>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D8919-9914-4307-BE6C-0E9AB1CA2D6B}">
  <sheetPr codeName="Sheet88"/>
  <dimension ref="B1:AK56"/>
  <sheetViews>
    <sheetView topLeftCell="A15" workbookViewId="0">
      <selection activeCell="I36" sqref="I36:P36"/>
    </sheetView>
  </sheetViews>
  <sheetFormatPr defaultColWidth="3.6640625" defaultRowHeight="13.2"/>
  <sheetData>
    <row r="1" spans="2:37" ht="13.8" thickBot="1"/>
    <row r="2" spans="2:37">
      <c r="B2" s="205" t="s">
        <v>95</v>
      </c>
      <c r="C2" s="206"/>
      <c r="D2" s="206"/>
      <c r="E2" s="206"/>
      <c r="F2" s="211" t="s">
        <v>93</v>
      </c>
      <c r="G2" s="211"/>
      <c r="H2" s="212"/>
      <c r="I2" s="196" t="s">
        <v>1181</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1182</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1183</v>
      </c>
      <c r="D9" s="189"/>
      <c r="E9" s="189"/>
      <c r="F9" s="189"/>
      <c r="G9" s="189"/>
      <c r="H9" s="189"/>
      <c r="I9" s="189" t="s">
        <v>1184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1185</v>
      </c>
      <c r="D10" s="189"/>
      <c r="E10" s="189"/>
      <c r="F10" s="189"/>
      <c r="G10" s="189"/>
      <c r="H10" s="189"/>
      <c r="I10" s="189" t="s">
        <v>1041</v>
      </c>
      <c r="J10" s="189"/>
      <c r="K10" s="189"/>
      <c r="L10" s="189"/>
      <c r="M10" s="189"/>
      <c r="N10" s="189"/>
      <c r="O10" s="189"/>
      <c r="P10" s="189"/>
      <c r="Q10" s="189" t="s">
        <v>977</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1186</v>
      </c>
      <c r="D11" s="189"/>
      <c r="E11" s="189"/>
      <c r="F11" s="189"/>
      <c r="G11" s="189"/>
      <c r="H11" s="189"/>
      <c r="I11" s="189" t="s">
        <v>1085</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3">
        <v>4</v>
      </c>
      <c r="C12" s="189" t="s">
        <v>1187</v>
      </c>
      <c r="D12" s="189"/>
      <c r="E12" s="189"/>
      <c r="F12" s="189"/>
      <c r="G12" s="189"/>
      <c r="H12" s="189"/>
      <c r="I12" s="189" t="s">
        <v>1631</v>
      </c>
      <c r="J12" s="189"/>
      <c r="K12" s="189"/>
      <c r="L12" s="189"/>
      <c r="M12" s="189"/>
      <c r="N12" s="189"/>
      <c r="O12" s="189"/>
      <c r="P12" s="189"/>
      <c r="Q12" s="189" t="s">
        <v>977</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3">
        <v>5</v>
      </c>
      <c r="C13" s="189" t="s">
        <v>1190</v>
      </c>
      <c r="D13" s="189"/>
      <c r="E13" s="189"/>
      <c r="F13" s="189"/>
      <c r="G13" s="189"/>
      <c r="H13" s="189"/>
      <c r="I13" s="189" t="s">
        <v>1191</v>
      </c>
      <c r="J13" s="189"/>
      <c r="K13" s="189"/>
      <c r="L13" s="189"/>
      <c r="M13" s="189"/>
      <c r="N13" s="189"/>
      <c r="O13" s="189"/>
      <c r="P13" s="189"/>
      <c r="Q13" s="189" t="s">
        <v>1189</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3">
        <v>7</v>
      </c>
      <c r="C14" s="189" t="s">
        <v>1193</v>
      </c>
      <c r="D14" s="189"/>
      <c r="E14" s="189"/>
      <c r="F14" s="189"/>
      <c r="G14" s="189"/>
      <c r="H14" s="189"/>
      <c r="I14" s="331" t="s">
        <v>1194</v>
      </c>
      <c r="J14" s="331"/>
      <c r="K14" s="331"/>
      <c r="L14" s="331"/>
      <c r="M14" s="331"/>
      <c r="N14" s="331"/>
      <c r="O14" s="331"/>
      <c r="P14" s="331"/>
      <c r="Q14" s="189" t="s">
        <v>1189</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3">
        <v>8</v>
      </c>
      <c r="C15" s="189" t="s">
        <v>1195</v>
      </c>
      <c r="D15" s="189"/>
      <c r="E15" s="189"/>
      <c r="F15" s="189"/>
      <c r="G15" s="189"/>
      <c r="H15" s="189"/>
      <c r="I15" s="189" t="s">
        <v>1196</v>
      </c>
      <c r="J15" s="189"/>
      <c r="K15" s="189"/>
      <c r="L15" s="189"/>
      <c r="M15" s="189"/>
      <c r="N15" s="189"/>
      <c r="O15" s="189"/>
      <c r="P15" s="189"/>
      <c r="Q15" s="189" t="s">
        <v>1189</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3">
        <v>9</v>
      </c>
      <c r="C16" s="189" t="s">
        <v>1197</v>
      </c>
      <c r="D16" s="189"/>
      <c r="E16" s="189"/>
      <c r="F16" s="189"/>
      <c r="G16" s="189"/>
      <c r="H16" s="189"/>
      <c r="I16" s="189" t="s">
        <v>1198</v>
      </c>
      <c r="J16" s="189"/>
      <c r="K16" s="189"/>
      <c r="L16" s="189"/>
      <c r="M16" s="189"/>
      <c r="N16" s="189"/>
      <c r="O16" s="189"/>
      <c r="P16" s="189"/>
      <c r="Q16" s="189" t="s">
        <v>1189</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75">
        <v>10</v>
      </c>
      <c r="C17" s="189" t="s">
        <v>1199</v>
      </c>
      <c r="D17" s="189"/>
      <c r="E17" s="189"/>
      <c r="F17" s="189"/>
      <c r="G17" s="189"/>
      <c r="H17" s="189"/>
      <c r="I17" s="189" t="s">
        <v>1043</v>
      </c>
      <c r="J17" s="189"/>
      <c r="K17" s="189"/>
      <c r="L17" s="189"/>
      <c r="M17" s="189"/>
      <c r="N17" s="189"/>
      <c r="O17" s="189"/>
      <c r="P17" s="189"/>
      <c r="Q17" s="189" t="s">
        <v>144</v>
      </c>
      <c r="R17" s="189"/>
      <c r="S17" s="189"/>
      <c r="T17" s="189"/>
      <c r="U17" s="189"/>
      <c r="V17" s="189"/>
      <c r="W17" s="189"/>
      <c r="X17" s="189"/>
      <c r="Y17" s="189"/>
      <c r="Z17" s="189"/>
      <c r="AA17" s="189"/>
      <c r="AB17" s="189"/>
      <c r="AC17" s="189"/>
      <c r="AD17" s="189"/>
      <c r="AE17" s="189"/>
      <c r="AF17" s="189"/>
      <c r="AG17" s="189"/>
      <c r="AH17" s="189"/>
      <c r="AI17" s="189"/>
      <c r="AJ17" s="189"/>
      <c r="AK17" s="191"/>
    </row>
    <row r="18" spans="2:37" s="72" customFormat="1">
      <c r="B18" s="75">
        <v>11</v>
      </c>
      <c r="C18" s="244" t="s">
        <v>1704</v>
      </c>
      <c r="D18" s="244"/>
      <c r="E18" s="244"/>
      <c r="F18" s="244"/>
      <c r="G18" s="244"/>
      <c r="H18" s="244"/>
      <c r="I18" s="244" t="s">
        <v>579</v>
      </c>
      <c r="J18" s="244"/>
      <c r="K18" s="244"/>
      <c r="L18" s="244"/>
      <c r="M18" s="244"/>
      <c r="N18" s="244"/>
      <c r="O18" s="244"/>
      <c r="P18" s="244"/>
      <c r="Q18" s="244" t="s">
        <v>1189</v>
      </c>
      <c r="R18" s="244"/>
      <c r="S18" s="244"/>
      <c r="T18" s="244"/>
      <c r="U18" s="244"/>
      <c r="V18" s="244"/>
      <c r="W18" s="244"/>
      <c r="X18" s="244"/>
      <c r="Y18" s="189"/>
      <c r="Z18" s="189"/>
      <c r="AA18" s="189"/>
      <c r="AB18" s="189"/>
      <c r="AC18" s="189"/>
      <c r="AD18" s="189"/>
      <c r="AE18" s="189"/>
      <c r="AF18" s="189"/>
      <c r="AG18" s="189"/>
      <c r="AH18" s="189"/>
      <c r="AI18" s="189"/>
      <c r="AJ18" s="189"/>
      <c r="AK18" s="191"/>
    </row>
    <row r="19" spans="2:37">
      <c r="B19" s="75">
        <v>12</v>
      </c>
      <c r="C19" s="189" t="s">
        <v>1200</v>
      </c>
      <c r="D19" s="189"/>
      <c r="E19" s="189"/>
      <c r="F19" s="189"/>
      <c r="G19" s="189"/>
      <c r="H19" s="189"/>
      <c r="I19" s="189" t="s">
        <v>1201</v>
      </c>
      <c r="J19" s="189"/>
      <c r="K19" s="189"/>
      <c r="L19" s="189"/>
      <c r="M19" s="189"/>
      <c r="N19" s="189"/>
      <c r="O19" s="189"/>
      <c r="P19" s="189"/>
      <c r="Q19" s="189" t="s">
        <v>144</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75">
        <v>13</v>
      </c>
      <c r="C20" s="189" t="s">
        <v>1202</v>
      </c>
      <c r="D20" s="189"/>
      <c r="E20" s="189"/>
      <c r="F20" s="189"/>
      <c r="G20" s="189"/>
      <c r="H20" s="189"/>
      <c r="I20" s="189" t="s">
        <v>1203</v>
      </c>
      <c r="J20" s="189"/>
      <c r="K20" s="189"/>
      <c r="L20" s="189"/>
      <c r="M20" s="189"/>
      <c r="N20" s="189"/>
      <c r="O20" s="189"/>
      <c r="P20" s="189"/>
      <c r="Q20" s="189" t="s">
        <v>144</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75">
        <v>14</v>
      </c>
      <c r="C21" s="189" t="s">
        <v>1204</v>
      </c>
      <c r="D21" s="189"/>
      <c r="E21" s="189"/>
      <c r="F21" s="189"/>
      <c r="G21" s="189"/>
      <c r="H21" s="189"/>
      <c r="I21" s="189" t="s">
        <v>1205</v>
      </c>
      <c r="J21" s="189"/>
      <c r="K21" s="189"/>
      <c r="L21" s="189"/>
      <c r="M21" s="189"/>
      <c r="N21" s="189"/>
      <c r="O21" s="189"/>
      <c r="P21" s="189"/>
      <c r="Q21" s="189" t="s">
        <v>1206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165">
        <v>15</v>
      </c>
      <c r="C22" s="189" t="s">
        <v>1693</v>
      </c>
      <c r="D22" s="189"/>
      <c r="E22" s="189"/>
      <c r="F22" s="189"/>
      <c r="G22" s="189"/>
      <c r="H22" s="189"/>
      <c r="I22" s="189" t="s">
        <v>1079</v>
      </c>
      <c r="J22" s="189"/>
      <c r="K22" s="189"/>
      <c r="L22" s="189"/>
      <c r="M22" s="189"/>
      <c r="N22" s="189"/>
      <c r="O22" s="189"/>
      <c r="P22" s="189"/>
      <c r="Q22" s="189" t="s">
        <v>977</v>
      </c>
      <c r="R22" s="189"/>
      <c r="S22" s="189"/>
      <c r="T22" s="189"/>
      <c r="U22" s="189"/>
      <c r="V22" s="189"/>
      <c r="W22" s="189"/>
      <c r="X22" s="189"/>
      <c r="Y22" s="189"/>
      <c r="Z22" s="189"/>
      <c r="AA22" s="189"/>
      <c r="AB22" s="189"/>
      <c r="AC22" s="189"/>
      <c r="AD22" s="189"/>
      <c r="AE22" s="189"/>
      <c r="AF22" s="189"/>
      <c r="AG22" s="189"/>
      <c r="AH22" s="189"/>
      <c r="AI22" s="189"/>
      <c r="AJ22" s="189"/>
      <c r="AK22" s="191"/>
    </row>
    <row r="23" spans="2:37" s="163" customFormat="1">
      <c r="B23" s="165">
        <v>16</v>
      </c>
      <c r="C23" s="189" t="s">
        <v>560</v>
      </c>
      <c r="D23" s="189"/>
      <c r="E23" s="189"/>
      <c r="F23" s="189"/>
      <c r="G23" s="189"/>
      <c r="H23" s="189"/>
      <c r="I23" s="189" t="s">
        <v>562</v>
      </c>
      <c r="J23" s="189"/>
      <c r="K23" s="189"/>
      <c r="L23" s="189"/>
      <c r="M23" s="189"/>
      <c r="N23" s="189"/>
      <c r="O23" s="189"/>
      <c r="P23" s="189"/>
      <c r="Q23" s="189" t="s">
        <v>144</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165">
        <v>17</v>
      </c>
      <c r="C24" s="189" t="s">
        <v>1208</v>
      </c>
      <c r="D24" s="189"/>
      <c r="E24" s="189"/>
      <c r="F24" s="189"/>
      <c r="G24" s="189"/>
      <c r="H24" s="189"/>
      <c r="I24" s="189" t="s">
        <v>1209</v>
      </c>
      <c r="J24" s="189"/>
      <c r="K24" s="189"/>
      <c r="L24" s="189"/>
      <c r="M24" s="189"/>
      <c r="N24" s="189"/>
      <c r="O24" s="189"/>
      <c r="P24" s="189"/>
      <c r="Q24" s="189" t="s">
        <v>1189</v>
      </c>
      <c r="R24" s="189"/>
      <c r="S24" s="189"/>
      <c r="T24" s="189"/>
      <c r="U24" s="189"/>
      <c r="V24" s="189"/>
      <c r="W24" s="189"/>
      <c r="X24" s="189"/>
      <c r="Y24" s="189"/>
      <c r="Z24" s="189"/>
      <c r="AA24" s="189"/>
      <c r="AB24" s="189"/>
      <c r="AC24" s="189"/>
      <c r="AD24" s="189"/>
      <c r="AE24" s="189"/>
      <c r="AF24" s="189"/>
      <c r="AG24" s="189"/>
      <c r="AH24" s="189"/>
      <c r="AI24" s="189"/>
      <c r="AJ24" s="189"/>
      <c r="AK24" s="191"/>
    </row>
    <row r="25" spans="2:37" s="66" customFormat="1">
      <c r="B25" s="165">
        <v>18</v>
      </c>
      <c r="C25" s="189" t="s">
        <v>548</v>
      </c>
      <c r="D25" s="189"/>
      <c r="E25" s="189"/>
      <c r="F25" s="189"/>
      <c r="G25" s="189"/>
      <c r="H25" s="189"/>
      <c r="I25" s="189" t="s">
        <v>1705</v>
      </c>
      <c r="J25" s="189"/>
      <c r="K25" s="189"/>
      <c r="L25" s="189"/>
      <c r="M25" s="189"/>
      <c r="N25" s="189"/>
      <c r="O25" s="189"/>
      <c r="P25" s="189"/>
      <c r="Q25" s="189" t="s">
        <v>146</v>
      </c>
      <c r="R25" s="189"/>
      <c r="S25" s="189"/>
      <c r="T25" s="189"/>
      <c r="U25" s="189"/>
      <c r="V25" s="189"/>
      <c r="W25" s="189"/>
      <c r="X25" s="189"/>
      <c r="Y25" s="189"/>
      <c r="Z25" s="189"/>
      <c r="AA25" s="189"/>
      <c r="AB25" s="189"/>
      <c r="AC25" s="189"/>
      <c r="AD25" s="189"/>
      <c r="AE25" s="189"/>
      <c r="AF25" s="189"/>
      <c r="AG25" s="189"/>
      <c r="AH25" s="189"/>
      <c r="AI25" s="189"/>
      <c r="AJ25" s="189"/>
      <c r="AK25" s="191"/>
    </row>
    <row r="26" spans="2:37" s="66" customFormat="1">
      <c r="B26" s="165">
        <v>19</v>
      </c>
      <c r="C26" s="189" t="s">
        <v>1464</v>
      </c>
      <c r="D26" s="189"/>
      <c r="E26" s="189"/>
      <c r="F26" s="189"/>
      <c r="G26" s="189"/>
      <c r="H26" s="189"/>
      <c r="I26" s="189" t="s">
        <v>1465</v>
      </c>
      <c r="J26" s="189"/>
      <c r="K26" s="189"/>
      <c r="L26" s="189"/>
      <c r="M26" s="189"/>
      <c r="N26" s="189"/>
      <c r="O26" s="189"/>
      <c r="P26" s="189"/>
      <c r="Q26" s="189" t="s">
        <v>1189</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165">
        <v>20</v>
      </c>
      <c r="C27" s="189" t="s">
        <v>1210</v>
      </c>
      <c r="D27" s="189"/>
      <c r="E27" s="189"/>
      <c r="F27" s="189"/>
      <c r="G27" s="189"/>
      <c r="H27" s="189"/>
      <c r="I27" s="189" t="s">
        <v>1090</v>
      </c>
      <c r="J27" s="189"/>
      <c r="K27" s="189"/>
      <c r="L27" s="189"/>
      <c r="M27" s="189"/>
      <c r="N27" s="189"/>
      <c r="O27" s="189"/>
      <c r="P27" s="189"/>
      <c r="Q27" s="189" t="s">
        <v>977</v>
      </c>
      <c r="R27" s="189"/>
      <c r="S27" s="189"/>
      <c r="T27" s="189"/>
      <c r="U27" s="189"/>
      <c r="V27" s="189"/>
      <c r="W27" s="189"/>
      <c r="X27" s="189"/>
      <c r="Y27" s="189"/>
      <c r="Z27" s="189"/>
      <c r="AA27" s="189"/>
      <c r="AB27" s="189"/>
      <c r="AC27" s="189"/>
      <c r="AD27" s="189"/>
      <c r="AE27" s="189"/>
      <c r="AF27" s="189"/>
      <c r="AG27" s="189"/>
      <c r="AH27" s="189"/>
      <c r="AI27" s="189"/>
      <c r="AJ27" s="189"/>
      <c r="AK27" s="191"/>
    </row>
    <row r="28" spans="2:37">
      <c r="B28" s="165">
        <v>21</v>
      </c>
      <c r="C28" s="189" t="s">
        <v>1211</v>
      </c>
      <c r="D28" s="189"/>
      <c r="E28" s="189"/>
      <c r="F28" s="189"/>
      <c r="G28" s="189"/>
      <c r="H28" s="189"/>
      <c r="I28" s="189" t="s">
        <v>1212</v>
      </c>
      <c r="J28" s="189"/>
      <c r="K28" s="189"/>
      <c r="L28" s="189"/>
      <c r="M28" s="189"/>
      <c r="N28" s="189"/>
      <c r="O28" s="189"/>
      <c r="P28" s="189"/>
      <c r="Q28" s="189" t="s">
        <v>1189</v>
      </c>
      <c r="R28" s="189"/>
      <c r="S28" s="189"/>
      <c r="T28" s="189"/>
      <c r="U28" s="189"/>
      <c r="V28" s="189"/>
      <c r="W28" s="189"/>
      <c r="X28" s="189"/>
      <c r="Y28" s="189"/>
      <c r="Z28" s="189"/>
      <c r="AA28" s="189"/>
      <c r="AB28" s="189"/>
      <c r="AC28" s="189"/>
      <c r="AD28" s="189"/>
      <c r="AE28" s="189"/>
      <c r="AF28" s="189"/>
      <c r="AG28" s="189"/>
      <c r="AH28" s="189"/>
      <c r="AI28" s="189"/>
      <c r="AJ28" s="189"/>
      <c r="AK28" s="191"/>
    </row>
    <row r="29" spans="2:37">
      <c r="B29" s="165">
        <v>22</v>
      </c>
      <c r="C29" s="189" t="s">
        <v>1213</v>
      </c>
      <c r="D29" s="189"/>
      <c r="E29" s="189"/>
      <c r="F29" s="189"/>
      <c r="G29" s="189"/>
      <c r="H29" s="189"/>
      <c r="I29" s="189" t="s">
        <v>1053</v>
      </c>
      <c r="J29" s="189"/>
      <c r="K29" s="189"/>
      <c r="L29" s="189"/>
      <c r="M29" s="189"/>
      <c r="N29" s="189"/>
      <c r="O29" s="189"/>
      <c r="P29" s="189"/>
      <c r="Q29" s="189" t="s">
        <v>977</v>
      </c>
      <c r="R29" s="189"/>
      <c r="S29" s="189"/>
      <c r="T29" s="189"/>
      <c r="U29" s="189"/>
      <c r="V29" s="189"/>
      <c r="W29" s="189"/>
      <c r="X29" s="189"/>
      <c r="Y29" s="189"/>
      <c r="Z29" s="189"/>
      <c r="AA29" s="189"/>
      <c r="AB29" s="189"/>
      <c r="AC29" s="189"/>
      <c r="AD29" s="189"/>
      <c r="AE29" s="189"/>
      <c r="AF29" s="189"/>
      <c r="AG29" s="189"/>
      <c r="AH29" s="189"/>
      <c r="AI29" s="189"/>
      <c r="AJ29" s="189"/>
      <c r="AK29" s="191"/>
    </row>
    <row r="30" spans="2:37">
      <c r="B30" s="165">
        <v>23</v>
      </c>
      <c r="C30" s="189" t="s">
        <v>1214</v>
      </c>
      <c r="D30" s="189"/>
      <c r="E30" s="189"/>
      <c r="F30" s="189"/>
      <c r="G30" s="189"/>
      <c r="H30" s="189"/>
      <c r="I30" s="189" t="s">
        <v>1215</v>
      </c>
      <c r="J30" s="189"/>
      <c r="K30" s="189"/>
      <c r="L30" s="189"/>
      <c r="M30" s="189"/>
      <c r="N30" s="189"/>
      <c r="O30" s="189"/>
      <c r="P30" s="189"/>
      <c r="Q30" s="189" t="s">
        <v>1189</v>
      </c>
      <c r="R30" s="189"/>
      <c r="S30" s="189"/>
      <c r="T30" s="189"/>
      <c r="U30" s="189"/>
      <c r="V30" s="189"/>
      <c r="W30" s="189"/>
      <c r="X30" s="189"/>
      <c r="Y30" s="189"/>
      <c r="Z30" s="189"/>
      <c r="AA30" s="189"/>
      <c r="AB30" s="189"/>
      <c r="AC30" s="189"/>
      <c r="AD30" s="189"/>
      <c r="AE30" s="189"/>
      <c r="AF30" s="189"/>
      <c r="AG30" s="189"/>
      <c r="AH30" s="189"/>
      <c r="AI30" s="189"/>
      <c r="AJ30" s="189"/>
      <c r="AK30" s="191"/>
    </row>
    <row r="31" spans="2:37">
      <c r="B31" s="165">
        <v>24</v>
      </c>
      <c r="C31" s="240" t="s">
        <v>1731</v>
      </c>
      <c r="D31" s="241"/>
      <c r="E31" s="241"/>
      <c r="F31" s="241"/>
      <c r="G31" s="241"/>
      <c r="H31" s="242"/>
      <c r="I31" s="240" t="s">
        <v>1732</v>
      </c>
      <c r="J31" s="241"/>
      <c r="K31" s="241"/>
      <c r="L31" s="241"/>
      <c r="M31" s="241"/>
      <c r="N31" s="241"/>
      <c r="O31" s="241"/>
      <c r="P31" s="242"/>
      <c r="Q31" s="240" t="s">
        <v>1189</v>
      </c>
      <c r="R31" s="241"/>
      <c r="S31" s="241"/>
      <c r="T31" s="241"/>
      <c r="U31" s="241"/>
      <c r="V31" s="241"/>
      <c r="W31" s="241"/>
      <c r="X31" s="242"/>
      <c r="Y31" s="189"/>
      <c r="Z31" s="189"/>
      <c r="AA31" s="189"/>
      <c r="AB31" s="189"/>
      <c r="AC31" s="189"/>
      <c r="AD31" s="189"/>
      <c r="AE31" s="189"/>
      <c r="AF31" s="189"/>
      <c r="AG31" s="189"/>
      <c r="AH31" s="189"/>
      <c r="AI31" s="189"/>
      <c r="AJ31" s="189"/>
      <c r="AK31" s="191"/>
    </row>
    <row r="32" spans="2:37" s="136" customFormat="1">
      <c r="B32" s="165">
        <v>25</v>
      </c>
      <c r="C32" s="189" t="s">
        <v>1216</v>
      </c>
      <c r="D32" s="189"/>
      <c r="E32" s="189"/>
      <c r="F32" s="189"/>
      <c r="G32" s="189"/>
      <c r="H32" s="189"/>
      <c r="I32" s="189" t="s">
        <v>1056</v>
      </c>
      <c r="J32" s="189"/>
      <c r="K32" s="189"/>
      <c r="L32" s="189"/>
      <c r="M32" s="189"/>
      <c r="N32" s="189"/>
      <c r="O32" s="189"/>
      <c r="P32" s="189"/>
      <c r="Q32" s="189" t="s">
        <v>977</v>
      </c>
      <c r="R32" s="189"/>
      <c r="S32" s="189"/>
      <c r="T32" s="189"/>
      <c r="U32" s="189"/>
      <c r="V32" s="189"/>
      <c r="W32" s="189"/>
      <c r="X32" s="189"/>
      <c r="Y32" s="189"/>
      <c r="Z32" s="189"/>
      <c r="AA32" s="189"/>
      <c r="AB32" s="189"/>
      <c r="AC32" s="189"/>
      <c r="AD32" s="189"/>
      <c r="AE32" s="189"/>
      <c r="AF32" s="189"/>
      <c r="AG32" s="189"/>
      <c r="AH32" s="189"/>
      <c r="AI32" s="189"/>
      <c r="AJ32" s="189"/>
      <c r="AK32" s="191"/>
    </row>
    <row r="33" spans="2:37">
      <c r="B33" s="165">
        <v>26</v>
      </c>
      <c r="C33" s="245" t="s">
        <v>1218</v>
      </c>
      <c r="D33" s="245"/>
      <c r="E33" s="245"/>
      <c r="F33" s="245"/>
      <c r="G33" s="245"/>
      <c r="H33" s="245"/>
      <c r="I33" s="245" t="s">
        <v>1219</v>
      </c>
      <c r="J33" s="245"/>
      <c r="K33" s="245"/>
      <c r="L33" s="245"/>
      <c r="M33" s="245"/>
      <c r="N33" s="245"/>
      <c r="O33" s="245"/>
      <c r="P33" s="245"/>
      <c r="Q33" s="245" t="s">
        <v>1189</v>
      </c>
      <c r="R33" s="245"/>
      <c r="S33" s="245"/>
      <c r="T33" s="245"/>
      <c r="U33" s="245"/>
      <c r="V33" s="245"/>
      <c r="W33" s="245"/>
      <c r="X33" s="245"/>
      <c r="Y33" s="189"/>
      <c r="Z33" s="189"/>
      <c r="AA33" s="189"/>
      <c r="AB33" s="189"/>
      <c r="AC33" s="189"/>
      <c r="AD33" s="189"/>
      <c r="AE33" s="189"/>
      <c r="AF33" s="189"/>
      <c r="AG33" s="189"/>
      <c r="AH33" s="189"/>
      <c r="AI33" s="189"/>
      <c r="AJ33" s="189"/>
      <c r="AK33" s="191"/>
    </row>
    <row r="34" spans="2:37">
      <c r="B34" s="165">
        <v>27</v>
      </c>
      <c r="C34" s="189" t="s">
        <v>1220</v>
      </c>
      <c r="D34" s="189"/>
      <c r="E34" s="189"/>
      <c r="F34" s="189"/>
      <c r="G34" s="189"/>
      <c r="H34" s="189"/>
      <c r="I34" s="189" t="s">
        <v>1626</v>
      </c>
      <c r="J34" s="189"/>
      <c r="K34" s="189"/>
      <c r="L34" s="189"/>
      <c r="M34" s="189"/>
      <c r="N34" s="189"/>
      <c r="O34" s="189"/>
      <c r="P34" s="189"/>
      <c r="Q34" s="189" t="s">
        <v>977</v>
      </c>
      <c r="R34" s="189"/>
      <c r="S34" s="189"/>
      <c r="T34" s="189"/>
      <c r="U34" s="189"/>
      <c r="V34" s="189"/>
      <c r="W34" s="189"/>
      <c r="X34" s="189"/>
      <c r="Y34" s="189"/>
      <c r="Z34" s="189"/>
      <c r="AA34" s="189"/>
      <c r="AB34" s="189"/>
      <c r="AC34" s="189"/>
      <c r="AD34" s="189"/>
      <c r="AE34" s="189"/>
      <c r="AF34" s="189"/>
      <c r="AG34" s="189"/>
      <c r="AH34" s="189"/>
      <c r="AI34" s="189"/>
      <c r="AJ34" s="189"/>
      <c r="AK34" s="191"/>
    </row>
    <row r="35" spans="2:37">
      <c r="B35" s="165">
        <v>28</v>
      </c>
      <c r="C35" s="189" t="s">
        <v>1221</v>
      </c>
      <c r="D35" s="189"/>
      <c r="E35" s="189"/>
      <c r="F35" s="189"/>
      <c r="G35" s="189"/>
      <c r="H35" s="189"/>
      <c r="I35" s="189" t="s">
        <v>1222</v>
      </c>
      <c r="J35" s="189"/>
      <c r="K35" s="189"/>
      <c r="L35" s="189"/>
      <c r="M35" s="189"/>
      <c r="N35" s="189"/>
      <c r="O35" s="189"/>
      <c r="P35" s="189"/>
      <c r="Q35" s="189" t="s">
        <v>1189</v>
      </c>
      <c r="R35" s="189"/>
      <c r="S35" s="189"/>
      <c r="T35" s="189"/>
      <c r="U35" s="189"/>
      <c r="V35" s="189"/>
      <c r="W35" s="189"/>
      <c r="X35" s="189"/>
      <c r="Y35" s="189"/>
      <c r="Z35" s="189"/>
      <c r="AA35" s="189"/>
      <c r="AB35" s="189"/>
      <c r="AC35" s="189"/>
      <c r="AD35" s="189"/>
      <c r="AE35" s="189"/>
      <c r="AF35" s="189"/>
      <c r="AG35" s="189"/>
      <c r="AH35" s="189"/>
      <c r="AI35" s="189"/>
      <c r="AJ35" s="189"/>
      <c r="AK35" s="191"/>
    </row>
    <row r="36" spans="2:37">
      <c r="B36" s="165">
        <v>29</v>
      </c>
      <c r="C36" s="189" t="s">
        <v>1223</v>
      </c>
      <c r="D36" s="189"/>
      <c r="E36" s="189"/>
      <c r="F36" s="189"/>
      <c r="G36" s="189"/>
      <c r="H36" s="189"/>
      <c r="I36" s="189" t="s">
        <v>1224</v>
      </c>
      <c r="J36" s="189"/>
      <c r="K36" s="189"/>
      <c r="L36" s="189"/>
      <c r="M36" s="189"/>
      <c r="N36" s="189"/>
      <c r="O36" s="189"/>
      <c r="P36" s="189"/>
      <c r="Q36" s="189" t="s">
        <v>1225</v>
      </c>
      <c r="R36" s="189"/>
      <c r="S36" s="189"/>
      <c r="T36" s="189"/>
      <c r="U36" s="189"/>
      <c r="V36" s="189"/>
      <c r="W36" s="189"/>
      <c r="X36" s="189"/>
      <c r="Y36" s="189"/>
      <c r="Z36" s="189"/>
      <c r="AA36" s="189"/>
      <c r="AB36" s="189"/>
      <c r="AC36" s="189"/>
      <c r="AD36" s="189"/>
      <c r="AE36" s="189"/>
      <c r="AF36" s="189"/>
      <c r="AG36" s="189"/>
      <c r="AH36" s="189"/>
      <c r="AI36" s="189"/>
      <c r="AJ36" s="189"/>
      <c r="AK36" s="191"/>
    </row>
    <row r="37" spans="2:37">
      <c r="B37" s="165">
        <v>30</v>
      </c>
      <c r="C37" s="189" t="s">
        <v>1226</v>
      </c>
      <c r="D37" s="189"/>
      <c r="E37" s="189"/>
      <c r="F37" s="189"/>
      <c r="G37" s="189"/>
      <c r="H37" s="189"/>
      <c r="I37" s="189" t="s">
        <v>1227</v>
      </c>
      <c r="J37" s="189"/>
      <c r="K37" s="189"/>
      <c r="L37" s="189"/>
      <c r="M37" s="189"/>
      <c r="N37" s="189"/>
      <c r="O37" s="189"/>
      <c r="P37" s="189"/>
      <c r="Q37" s="189" t="s">
        <v>1228</v>
      </c>
      <c r="R37" s="189"/>
      <c r="S37" s="189"/>
      <c r="T37" s="189"/>
      <c r="U37" s="189"/>
      <c r="V37" s="189"/>
      <c r="W37" s="189"/>
      <c r="X37" s="189"/>
      <c r="Y37" s="189"/>
      <c r="Z37" s="189"/>
      <c r="AA37" s="189"/>
      <c r="AB37" s="189"/>
      <c r="AC37" s="189"/>
      <c r="AD37" s="189"/>
      <c r="AE37" s="189"/>
      <c r="AF37" s="189"/>
      <c r="AG37" s="189"/>
      <c r="AH37" s="189"/>
      <c r="AI37" s="189"/>
      <c r="AJ37" s="189"/>
      <c r="AK37" s="191"/>
    </row>
    <row r="38" spans="2:37">
      <c r="B38" s="165">
        <v>31</v>
      </c>
      <c r="C38" s="189" t="s">
        <v>1229</v>
      </c>
      <c r="D38" s="189"/>
      <c r="E38" s="189"/>
      <c r="F38" s="189"/>
      <c r="G38" s="189"/>
      <c r="H38" s="189"/>
      <c r="I38" s="189" t="s">
        <v>1627</v>
      </c>
      <c r="J38" s="189"/>
      <c r="K38" s="189"/>
      <c r="L38" s="189"/>
      <c r="M38" s="189"/>
      <c r="N38" s="189"/>
      <c r="O38" s="189"/>
      <c r="P38" s="189"/>
      <c r="Q38" s="189" t="s">
        <v>977</v>
      </c>
      <c r="R38" s="189"/>
      <c r="S38" s="189"/>
      <c r="T38" s="189"/>
      <c r="U38" s="189"/>
      <c r="V38" s="189"/>
      <c r="W38" s="189"/>
      <c r="X38" s="189"/>
      <c r="Y38" s="189"/>
      <c r="Z38" s="189"/>
      <c r="AA38" s="189"/>
      <c r="AB38" s="189"/>
      <c r="AC38" s="189"/>
      <c r="AD38" s="189"/>
      <c r="AE38" s="189"/>
      <c r="AF38" s="189"/>
      <c r="AG38" s="189"/>
      <c r="AH38" s="189"/>
      <c r="AI38" s="189"/>
      <c r="AJ38" s="189"/>
      <c r="AK38" s="191"/>
    </row>
    <row r="39" spans="2:37">
      <c r="B39" s="165">
        <v>32</v>
      </c>
      <c r="C39" s="189" t="s">
        <v>1231</v>
      </c>
      <c r="D39" s="189"/>
      <c r="E39" s="189"/>
      <c r="F39" s="189"/>
      <c r="G39" s="189"/>
      <c r="H39" s="189"/>
      <c r="I39" s="189" t="s">
        <v>1232</v>
      </c>
      <c r="J39" s="189"/>
      <c r="K39" s="189"/>
      <c r="L39" s="189"/>
      <c r="M39" s="189"/>
      <c r="N39" s="189"/>
      <c r="O39" s="189"/>
      <c r="P39" s="189"/>
      <c r="Q39" s="189" t="s">
        <v>1189</v>
      </c>
      <c r="R39" s="189"/>
      <c r="S39" s="189"/>
      <c r="T39" s="189"/>
      <c r="U39" s="189"/>
      <c r="V39" s="189"/>
      <c r="W39" s="189"/>
      <c r="X39" s="189"/>
      <c r="Y39" s="189"/>
      <c r="Z39" s="189"/>
      <c r="AA39" s="189"/>
      <c r="AB39" s="189"/>
      <c r="AC39" s="189"/>
      <c r="AD39" s="189"/>
      <c r="AE39" s="189"/>
      <c r="AF39" s="189"/>
      <c r="AG39" s="189"/>
      <c r="AH39" s="189"/>
      <c r="AI39" s="189"/>
      <c r="AJ39" s="189"/>
      <c r="AK39" s="191"/>
    </row>
    <row r="40" spans="2:37">
      <c r="B40" s="165">
        <v>33</v>
      </c>
      <c r="C40" s="189" t="s">
        <v>1005</v>
      </c>
      <c r="D40" s="189"/>
      <c r="E40" s="189"/>
      <c r="F40" s="189"/>
      <c r="G40" s="189"/>
      <c r="H40" s="189"/>
      <c r="I40" s="189" t="s">
        <v>1233</v>
      </c>
      <c r="J40" s="189"/>
      <c r="K40" s="189"/>
      <c r="L40" s="189"/>
      <c r="M40" s="189"/>
      <c r="N40" s="189"/>
      <c r="O40" s="189"/>
      <c r="P40" s="189"/>
      <c r="Q40" s="189" t="s">
        <v>1189</v>
      </c>
      <c r="R40" s="189"/>
      <c r="S40" s="189"/>
      <c r="T40" s="189"/>
      <c r="U40" s="189"/>
      <c r="V40" s="189"/>
      <c r="W40" s="189"/>
      <c r="X40" s="189"/>
      <c r="Y40" s="189"/>
      <c r="Z40" s="189"/>
      <c r="AA40" s="189"/>
      <c r="AB40" s="189"/>
      <c r="AC40" s="189"/>
      <c r="AD40" s="189"/>
      <c r="AE40" s="189"/>
      <c r="AF40" s="189"/>
      <c r="AG40" s="189"/>
      <c r="AH40" s="189"/>
      <c r="AI40" s="189"/>
      <c r="AJ40" s="189"/>
      <c r="AK40" s="191"/>
    </row>
    <row r="41" spans="2:37" ht="13.8" thickBot="1">
      <c r="B41" s="4">
        <v>34</v>
      </c>
      <c r="C41" s="190" t="s">
        <v>1235</v>
      </c>
      <c r="D41" s="190"/>
      <c r="E41" s="190"/>
      <c r="F41" s="190"/>
      <c r="G41" s="190"/>
      <c r="H41" s="190"/>
      <c r="I41" s="190" t="s">
        <v>1236</v>
      </c>
      <c r="J41" s="190"/>
      <c r="K41" s="190"/>
      <c r="L41" s="190"/>
      <c r="M41" s="190"/>
      <c r="N41" s="190"/>
      <c r="O41" s="190"/>
      <c r="P41" s="190"/>
      <c r="Q41" s="190" t="s">
        <v>977</v>
      </c>
      <c r="R41" s="190"/>
      <c r="S41" s="190"/>
      <c r="T41" s="190"/>
      <c r="U41" s="190"/>
      <c r="V41" s="190"/>
      <c r="W41" s="190"/>
      <c r="X41" s="190"/>
      <c r="Y41" s="190"/>
      <c r="Z41" s="190"/>
      <c r="AA41" s="190"/>
      <c r="AB41" s="190"/>
      <c r="AC41" s="190"/>
      <c r="AD41" s="190"/>
      <c r="AE41" s="190"/>
      <c r="AF41" s="190"/>
      <c r="AG41" s="190"/>
      <c r="AH41" s="190"/>
      <c r="AI41" s="190"/>
      <c r="AJ41" s="190"/>
      <c r="AK41" s="198"/>
    </row>
    <row r="44" spans="2:37" ht="15" thickBot="1">
      <c r="B44" s="7" t="s">
        <v>994</v>
      </c>
    </row>
    <row r="45" spans="2:37">
      <c r="B45" s="6" t="s">
        <v>7</v>
      </c>
      <c r="C45" s="201" t="s">
        <v>998</v>
      </c>
      <c r="D45" s="201"/>
      <c r="E45" s="201"/>
      <c r="F45" s="201"/>
      <c r="G45" s="201"/>
      <c r="H45" s="201"/>
      <c r="I45" s="201"/>
      <c r="J45" s="201"/>
      <c r="K45" s="201"/>
      <c r="L45" s="201" t="s">
        <v>1000</v>
      </c>
      <c r="M45" s="201"/>
      <c r="N45" s="201"/>
      <c r="O45" s="201"/>
      <c r="P45" s="201"/>
      <c r="Q45" s="201"/>
      <c r="R45" s="201"/>
      <c r="S45" s="201"/>
      <c r="T45" s="201"/>
      <c r="U45" s="201"/>
      <c r="V45" s="201" t="s">
        <v>1002</v>
      </c>
      <c r="W45" s="201"/>
      <c r="X45" s="201"/>
      <c r="Y45" s="201" t="s">
        <v>1004</v>
      </c>
      <c r="Z45" s="201"/>
      <c r="AA45" s="201"/>
      <c r="AB45" s="201" t="s">
        <v>1005</v>
      </c>
      <c r="AC45" s="201"/>
      <c r="AD45" s="201"/>
      <c r="AE45" s="201"/>
      <c r="AF45" s="201"/>
      <c r="AG45" s="201"/>
      <c r="AH45" s="201"/>
      <c r="AI45" s="204"/>
    </row>
    <row r="46" spans="2:37">
      <c r="B46" s="328">
        <v>1</v>
      </c>
      <c r="C46" s="271" t="s">
        <v>1237</v>
      </c>
      <c r="D46" s="272"/>
      <c r="E46" s="272"/>
      <c r="F46" s="272"/>
      <c r="G46" s="272"/>
      <c r="H46" s="272"/>
      <c r="I46" s="272"/>
      <c r="J46" s="272"/>
      <c r="K46" s="273"/>
      <c r="L46" s="268" t="s">
        <v>1184</v>
      </c>
      <c r="M46" s="268"/>
      <c r="N46" s="268"/>
      <c r="O46" s="268"/>
      <c r="P46" s="268"/>
      <c r="Q46" s="268"/>
      <c r="R46" s="268"/>
      <c r="S46" s="268"/>
      <c r="T46" s="268"/>
      <c r="U46" s="268"/>
      <c r="V46" s="271" t="s">
        <v>151</v>
      </c>
      <c r="W46" s="272"/>
      <c r="X46" s="273"/>
      <c r="Y46" s="271" t="s">
        <v>151</v>
      </c>
      <c r="Z46" s="272"/>
      <c r="AA46" s="273"/>
      <c r="AB46" s="271"/>
      <c r="AC46" s="272"/>
      <c r="AD46" s="272"/>
      <c r="AE46" s="272"/>
      <c r="AF46" s="272"/>
      <c r="AG46" s="272"/>
      <c r="AH46" s="272"/>
      <c r="AI46" s="277"/>
    </row>
    <row r="47" spans="2:37">
      <c r="B47" s="329"/>
      <c r="C47" s="323"/>
      <c r="D47" s="324"/>
      <c r="E47" s="324"/>
      <c r="F47" s="324"/>
      <c r="G47" s="324"/>
      <c r="H47" s="324"/>
      <c r="I47" s="324"/>
      <c r="J47" s="324"/>
      <c r="K47" s="330"/>
      <c r="L47" s="326" t="s">
        <v>1041</v>
      </c>
      <c r="M47" s="326"/>
      <c r="N47" s="326"/>
      <c r="O47" s="326"/>
      <c r="P47" s="326"/>
      <c r="Q47" s="326"/>
      <c r="R47" s="326"/>
      <c r="S47" s="326"/>
      <c r="T47" s="326"/>
      <c r="U47" s="326"/>
      <c r="V47" s="323"/>
      <c r="W47" s="324"/>
      <c r="X47" s="330"/>
      <c r="Y47" s="323"/>
      <c r="Z47" s="324"/>
      <c r="AA47" s="330"/>
      <c r="AB47" s="323"/>
      <c r="AC47" s="324"/>
      <c r="AD47" s="324"/>
      <c r="AE47" s="324"/>
      <c r="AF47" s="324"/>
      <c r="AG47" s="324"/>
      <c r="AH47" s="324"/>
      <c r="AI47" s="325"/>
    </row>
    <row r="48" spans="2:37" ht="13.8" thickBot="1">
      <c r="B48" s="9">
        <v>2</v>
      </c>
      <c r="C48" s="327" t="s">
        <v>1238</v>
      </c>
      <c r="D48" s="327"/>
      <c r="E48" s="327"/>
      <c r="F48" s="327"/>
      <c r="G48" s="327"/>
      <c r="H48" s="327"/>
      <c r="I48" s="327"/>
      <c r="J48" s="327"/>
      <c r="K48" s="327"/>
      <c r="L48" s="190" t="s">
        <v>1085</v>
      </c>
      <c r="M48" s="190"/>
      <c r="N48" s="190"/>
      <c r="O48" s="190"/>
      <c r="P48" s="190"/>
      <c r="Q48" s="190"/>
      <c r="R48" s="190"/>
      <c r="S48" s="190"/>
      <c r="T48" s="190"/>
      <c r="U48" s="190"/>
      <c r="V48" s="190"/>
      <c r="W48" s="190"/>
      <c r="X48" s="190"/>
      <c r="Y48" s="190"/>
      <c r="Z48" s="190"/>
      <c r="AA48" s="190"/>
      <c r="AB48" s="190"/>
      <c r="AC48" s="190"/>
      <c r="AD48" s="190"/>
      <c r="AE48" s="190"/>
      <c r="AF48" s="190"/>
      <c r="AG48" s="190"/>
      <c r="AH48" s="190"/>
      <c r="AI48" s="198"/>
    </row>
    <row r="49" spans="2:35">
      <c r="B49" s="8"/>
    </row>
    <row r="50" spans="2:35" ht="15" thickBot="1">
      <c r="B50" s="7" t="s">
        <v>995</v>
      </c>
    </row>
    <row r="51" spans="2:35">
      <c r="B51" s="14" t="s">
        <v>7</v>
      </c>
      <c r="C51" s="226" t="s">
        <v>1070</v>
      </c>
      <c r="D51" s="226"/>
      <c r="E51" s="226"/>
      <c r="F51" s="226"/>
      <c r="G51" s="226"/>
      <c r="H51" s="226"/>
      <c r="I51" s="226"/>
      <c r="J51" s="226"/>
      <c r="K51" s="226"/>
      <c r="L51" s="226"/>
      <c r="M51" s="226" t="s">
        <v>1000</v>
      </c>
      <c r="N51" s="226"/>
      <c r="O51" s="226"/>
      <c r="P51" s="226"/>
      <c r="Q51" s="226"/>
      <c r="R51" s="226"/>
      <c r="S51" s="226"/>
      <c r="T51" s="226"/>
      <c r="U51" s="226" t="s">
        <v>1154</v>
      </c>
      <c r="V51" s="226"/>
      <c r="W51" s="226"/>
      <c r="X51" s="226"/>
      <c r="Y51" s="226"/>
      <c r="Z51" s="226"/>
      <c r="AA51" s="226"/>
      <c r="AB51" s="226"/>
      <c r="AC51" s="226"/>
      <c r="AD51" s="226" t="s">
        <v>1155</v>
      </c>
      <c r="AE51" s="226"/>
      <c r="AF51" s="226"/>
      <c r="AG51" s="226"/>
      <c r="AH51" s="226"/>
      <c r="AI51" s="227"/>
    </row>
    <row r="52" spans="2:35" ht="13.8" thickBot="1">
      <c r="B52" s="4"/>
      <c r="C52" s="190"/>
      <c r="D52" s="190"/>
      <c r="E52" s="190"/>
      <c r="F52" s="190"/>
      <c r="G52" s="190"/>
      <c r="H52" s="190"/>
      <c r="I52" s="190"/>
      <c r="J52" s="190"/>
      <c r="K52" s="190"/>
      <c r="L52" s="190"/>
      <c r="M52" s="190"/>
      <c r="N52" s="190"/>
      <c r="O52" s="190"/>
      <c r="P52" s="190"/>
      <c r="Q52" s="190"/>
      <c r="R52" s="190"/>
      <c r="S52" s="190"/>
      <c r="T52" s="190"/>
      <c r="U52" s="190"/>
      <c r="V52" s="190"/>
      <c r="W52" s="190"/>
      <c r="X52" s="190"/>
      <c r="Y52" s="190"/>
      <c r="Z52" s="190"/>
      <c r="AA52" s="190"/>
      <c r="AB52" s="190"/>
      <c r="AC52" s="190"/>
      <c r="AD52" s="190"/>
      <c r="AE52" s="190"/>
      <c r="AF52" s="190"/>
      <c r="AG52" s="190"/>
      <c r="AH52" s="190"/>
      <c r="AI52" s="198"/>
    </row>
    <row r="54" spans="2:35" ht="15" thickBot="1">
      <c r="B54" s="7" t="s">
        <v>996</v>
      </c>
    </row>
    <row r="55" spans="2:35">
      <c r="B55" s="14" t="s">
        <v>7</v>
      </c>
      <c r="C55" s="226" t="s">
        <v>1070</v>
      </c>
      <c r="D55" s="226"/>
      <c r="E55" s="226"/>
      <c r="F55" s="226"/>
      <c r="G55" s="226"/>
      <c r="H55" s="226"/>
      <c r="I55" s="226"/>
      <c r="J55" s="226"/>
      <c r="K55" s="226"/>
      <c r="L55" s="226"/>
      <c r="M55" s="226" t="s">
        <v>1000</v>
      </c>
      <c r="N55" s="226"/>
      <c r="O55" s="226"/>
      <c r="P55" s="226"/>
      <c r="Q55" s="226"/>
      <c r="R55" s="226"/>
      <c r="S55" s="226"/>
      <c r="T55" s="226"/>
      <c r="U55" s="226" t="s">
        <v>1154</v>
      </c>
      <c r="V55" s="226"/>
      <c r="W55" s="226"/>
      <c r="X55" s="226"/>
      <c r="Y55" s="226"/>
      <c r="Z55" s="226"/>
      <c r="AA55" s="226"/>
      <c r="AB55" s="226"/>
      <c r="AC55" s="226"/>
      <c r="AD55" s="226" t="s">
        <v>1155</v>
      </c>
      <c r="AE55" s="226"/>
      <c r="AF55" s="226"/>
      <c r="AG55" s="226"/>
      <c r="AH55" s="226"/>
      <c r="AI55" s="227"/>
    </row>
    <row r="56" spans="2:35" ht="13.8" thickBot="1">
      <c r="B56" s="4"/>
      <c r="C56" s="190"/>
      <c r="D56" s="190"/>
      <c r="E56" s="190"/>
      <c r="F56" s="190"/>
      <c r="G56" s="190"/>
      <c r="H56" s="190"/>
      <c r="I56" s="190"/>
      <c r="J56" s="190"/>
      <c r="K56" s="190"/>
      <c r="L56" s="190"/>
      <c r="M56" s="190"/>
      <c r="N56" s="190"/>
      <c r="O56" s="190"/>
      <c r="P56" s="190"/>
      <c r="Q56" s="190"/>
      <c r="R56" s="190"/>
      <c r="S56" s="190"/>
      <c r="T56" s="190"/>
      <c r="U56" s="190"/>
      <c r="V56" s="190"/>
      <c r="W56" s="190"/>
      <c r="X56" s="190"/>
      <c r="Y56" s="190"/>
      <c r="Z56" s="190"/>
      <c r="AA56" s="190"/>
      <c r="AB56" s="190"/>
      <c r="AC56" s="190"/>
      <c r="AD56" s="190"/>
      <c r="AE56" s="190"/>
      <c r="AF56" s="190"/>
      <c r="AG56" s="190"/>
      <c r="AH56" s="190"/>
      <c r="AI56" s="198"/>
    </row>
  </sheetData>
  <mergeCells count="278">
    <mergeCell ref="C23:H23"/>
    <mergeCell ref="I23:P23"/>
    <mergeCell ref="Q23:X23"/>
    <mergeCell ref="Y23:Z23"/>
    <mergeCell ref="AA23:AB23"/>
    <mergeCell ref="AC23:AD23"/>
    <mergeCell ref="AE23:AK23"/>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C14:H14"/>
    <mergeCell ref="I14:P14"/>
    <mergeCell ref="Q14:X14"/>
    <mergeCell ref="Y14:Z14"/>
    <mergeCell ref="AA14:AB14"/>
    <mergeCell ref="AC14:AD14"/>
    <mergeCell ref="AE14:AK14"/>
    <mergeCell ref="AE12:AK12"/>
    <mergeCell ref="C13:H13"/>
    <mergeCell ref="I13:P13"/>
    <mergeCell ref="Q13:X13"/>
    <mergeCell ref="Y13:Z13"/>
    <mergeCell ref="AA13:AB13"/>
    <mergeCell ref="AC13:AD13"/>
    <mergeCell ref="AE13:AK13"/>
    <mergeCell ref="C12:H12"/>
    <mergeCell ref="I12:P12"/>
    <mergeCell ref="Q12:X12"/>
    <mergeCell ref="Y12:Z12"/>
    <mergeCell ref="AA12:AB12"/>
    <mergeCell ref="AC12:AD12"/>
    <mergeCell ref="AE15:AK15"/>
    <mergeCell ref="C16:H16"/>
    <mergeCell ref="I16:P16"/>
    <mergeCell ref="Q16:X16"/>
    <mergeCell ref="Y16:Z16"/>
    <mergeCell ref="AA16:AB16"/>
    <mergeCell ref="AC16:AD16"/>
    <mergeCell ref="AE16:AK16"/>
    <mergeCell ref="C15:H15"/>
    <mergeCell ref="I15:P15"/>
    <mergeCell ref="Q15:X15"/>
    <mergeCell ref="Y15:Z15"/>
    <mergeCell ref="AA15:AB15"/>
    <mergeCell ref="AC15:AD15"/>
    <mergeCell ref="AC21:AD21"/>
    <mergeCell ref="AE21:AK21"/>
    <mergeCell ref="C20:H20"/>
    <mergeCell ref="I20:P20"/>
    <mergeCell ref="Q20:X20"/>
    <mergeCell ref="Y20:Z20"/>
    <mergeCell ref="AA20:AB20"/>
    <mergeCell ref="AC20:AD20"/>
    <mergeCell ref="AE17:AK17"/>
    <mergeCell ref="C19:H19"/>
    <mergeCell ref="I19:P19"/>
    <mergeCell ref="Q19:X19"/>
    <mergeCell ref="Y19:Z19"/>
    <mergeCell ref="AA19:AB19"/>
    <mergeCell ref="AC19:AD19"/>
    <mergeCell ref="AE19:AK19"/>
    <mergeCell ref="C17:H17"/>
    <mergeCell ref="I17:P17"/>
    <mergeCell ref="Q17:X17"/>
    <mergeCell ref="Y17:Z17"/>
    <mergeCell ref="AA17:AB17"/>
    <mergeCell ref="AC17:AD17"/>
    <mergeCell ref="C27:H27"/>
    <mergeCell ref="I27:P27"/>
    <mergeCell ref="Q27:X27"/>
    <mergeCell ref="Y27:Z27"/>
    <mergeCell ref="AA27:AB27"/>
    <mergeCell ref="AC27:AD27"/>
    <mergeCell ref="AE27:AK27"/>
    <mergeCell ref="C24:H24"/>
    <mergeCell ref="I24:P24"/>
    <mergeCell ref="Q24:X24"/>
    <mergeCell ref="Y24:Z24"/>
    <mergeCell ref="AA24:AB24"/>
    <mergeCell ref="AC24:AD24"/>
    <mergeCell ref="C25:H25"/>
    <mergeCell ref="I25:P25"/>
    <mergeCell ref="Q25:X25"/>
    <mergeCell ref="Y25:Z25"/>
    <mergeCell ref="AA25:AB25"/>
    <mergeCell ref="AC25:AD25"/>
    <mergeCell ref="AE25:AK25"/>
    <mergeCell ref="C26:H26"/>
    <mergeCell ref="I26:P26"/>
    <mergeCell ref="Q26:X26"/>
    <mergeCell ref="Y26:Z26"/>
    <mergeCell ref="C32:H32"/>
    <mergeCell ref="I32:P32"/>
    <mergeCell ref="Q32:X32"/>
    <mergeCell ref="Y32:Z32"/>
    <mergeCell ref="AA32:AB32"/>
    <mergeCell ref="AC32:AD32"/>
    <mergeCell ref="AE32:AK32"/>
    <mergeCell ref="AE28:AK28"/>
    <mergeCell ref="C29:H29"/>
    <mergeCell ref="I29:P29"/>
    <mergeCell ref="Q29:X29"/>
    <mergeCell ref="Y29:Z29"/>
    <mergeCell ref="AA29:AB29"/>
    <mergeCell ref="AC29:AD29"/>
    <mergeCell ref="AE29:AK29"/>
    <mergeCell ref="C28:H28"/>
    <mergeCell ref="I28:P28"/>
    <mergeCell ref="Q28:X28"/>
    <mergeCell ref="Y28:Z28"/>
    <mergeCell ref="AA28:AB28"/>
    <mergeCell ref="AC28:AD28"/>
    <mergeCell ref="AE30:AK30"/>
    <mergeCell ref="C31:H31"/>
    <mergeCell ref="I31:P31"/>
    <mergeCell ref="Q31:X31"/>
    <mergeCell ref="Y31:Z31"/>
    <mergeCell ref="AA31:AB31"/>
    <mergeCell ref="AC31:AD31"/>
    <mergeCell ref="AE31:AK31"/>
    <mergeCell ref="C30:H30"/>
    <mergeCell ref="I30:P30"/>
    <mergeCell ref="Q30:X30"/>
    <mergeCell ref="Y30:Z30"/>
    <mergeCell ref="AA30:AB30"/>
    <mergeCell ref="AC30:AD30"/>
    <mergeCell ref="AE33:AK33"/>
    <mergeCell ref="C34:H34"/>
    <mergeCell ref="I34:P34"/>
    <mergeCell ref="Q34:X34"/>
    <mergeCell ref="Y34:Z34"/>
    <mergeCell ref="AA34:AB34"/>
    <mergeCell ref="AC34:AD34"/>
    <mergeCell ref="AE34:AK34"/>
    <mergeCell ref="C33:H33"/>
    <mergeCell ref="I33:P33"/>
    <mergeCell ref="Q33:X33"/>
    <mergeCell ref="Y33:Z33"/>
    <mergeCell ref="AA33:AB33"/>
    <mergeCell ref="AC33:AD33"/>
    <mergeCell ref="AE35:AK35"/>
    <mergeCell ref="C36:H36"/>
    <mergeCell ref="I36:P36"/>
    <mergeCell ref="Q36:X36"/>
    <mergeCell ref="Y36:Z36"/>
    <mergeCell ref="AA36:AB36"/>
    <mergeCell ref="AC36:AD36"/>
    <mergeCell ref="AE36:AK36"/>
    <mergeCell ref="C35:H35"/>
    <mergeCell ref="I35:P35"/>
    <mergeCell ref="Q35:X35"/>
    <mergeCell ref="Y35:Z35"/>
    <mergeCell ref="AA35:AB35"/>
    <mergeCell ref="AC35:AD35"/>
    <mergeCell ref="AE37:AK37"/>
    <mergeCell ref="C38:H38"/>
    <mergeCell ref="I38:P38"/>
    <mergeCell ref="Q38:X38"/>
    <mergeCell ref="Y38:Z38"/>
    <mergeCell ref="AA38:AB38"/>
    <mergeCell ref="AC38:AD38"/>
    <mergeCell ref="AE38:AK38"/>
    <mergeCell ref="C37:H37"/>
    <mergeCell ref="I37:P37"/>
    <mergeCell ref="Q37:X37"/>
    <mergeCell ref="Y37:Z37"/>
    <mergeCell ref="AA37:AB37"/>
    <mergeCell ref="AC37:AD37"/>
    <mergeCell ref="AE39:AK39"/>
    <mergeCell ref="C40:H40"/>
    <mergeCell ref="I40:P40"/>
    <mergeCell ref="Q40:X40"/>
    <mergeCell ref="Y40:Z40"/>
    <mergeCell ref="AA40:AB40"/>
    <mergeCell ref="AC40:AD40"/>
    <mergeCell ref="AE40:AK40"/>
    <mergeCell ref="C39:H39"/>
    <mergeCell ref="I39:P39"/>
    <mergeCell ref="Q39:X39"/>
    <mergeCell ref="Y39:Z39"/>
    <mergeCell ref="AA39:AB39"/>
    <mergeCell ref="AC39:AD39"/>
    <mergeCell ref="B46:B47"/>
    <mergeCell ref="C46:K47"/>
    <mergeCell ref="L46:U46"/>
    <mergeCell ref="V46:X47"/>
    <mergeCell ref="Y46:AA47"/>
    <mergeCell ref="C41:H41"/>
    <mergeCell ref="I41:P41"/>
    <mergeCell ref="Q41:X41"/>
    <mergeCell ref="Y41:Z41"/>
    <mergeCell ref="AA41:AB41"/>
    <mergeCell ref="AC41:AD41"/>
    <mergeCell ref="AE41:AK41"/>
    <mergeCell ref="AB46:AI47"/>
    <mergeCell ref="L47:U47"/>
    <mergeCell ref="C48:K48"/>
    <mergeCell ref="L48:U48"/>
    <mergeCell ref="V48:X48"/>
    <mergeCell ref="Y48:AA48"/>
    <mergeCell ref="AB48:AI48"/>
    <mergeCell ref="C45:K45"/>
    <mergeCell ref="L45:U45"/>
    <mergeCell ref="V45:X45"/>
    <mergeCell ref="Y45:AA45"/>
    <mergeCell ref="AB45:AI45"/>
    <mergeCell ref="C55:L55"/>
    <mergeCell ref="M55:T55"/>
    <mergeCell ref="U55:AC55"/>
    <mergeCell ref="AD55:AI55"/>
    <mergeCell ref="C56:L56"/>
    <mergeCell ref="M56:T56"/>
    <mergeCell ref="U56:AC56"/>
    <mergeCell ref="AD56:AI56"/>
    <mergeCell ref="C51:L51"/>
    <mergeCell ref="M51:T51"/>
    <mergeCell ref="U51:AC51"/>
    <mergeCell ref="AD51:AI51"/>
    <mergeCell ref="C52:L52"/>
    <mergeCell ref="M52:T52"/>
    <mergeCell ref="U52:AC52"/>
    <mergeCell ref="AD52:AI52"/>
    <mergeCell ref="AA26:AB26"/>
    <mergeCell ref="AC26:AD26"/>
    <mergeCell ref="AE26:AK26"/>
    <mergeCell ref="C18:H18"/>
    <mergeCell ref="I18:P18"/>
    <mergeCell ref="Q18:X18"/>
    <mergeCell ref="Y18:Z18"/>
    <mergeCell ref="AA18:AB18"/>
    <mergeCell ref="AC18:AD18"/>
    <mergeCell ref="AE18:AK18"/>
    <mergeCell ref="AE24:AK24"/>
    <mergeCell ref="C22:H22"/>
    <mergeCell ref="I22:P22"/>
    <mergeCell ref="Q22:X22"/>
    <mergeCell ref="Y22:Z22"/>
    <mergeCell ref="AA22:AB22"/>
    <mergeCell ref="AC22:AD22"/>
    <mergeCell ref="AE22:AK22"/>
    <mergeCell ref="AE20:AK20"/>
    <mergeCell ref="C21:H21"/>
    <mergeCell ref="I21:P21"/>
    <mergeCell ref="Q21:X21"/>
    <mergeCell ref="Y21:Z21"/>
    <mergeCell ref="AA21:AB21"/>
  </mergeCells>
  <phoneticPr fontId="3"/>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CE080-576F-408D-9508-401E883FAFEC}">
  <sheetPr codeName="Sheet89"/>
  <dimension ref="B1:AK58"/>
  <sheetViews>
    <sheetView topLeftCell="A7" workbookViewId="0">
      <selection activeCell="C28" sqref="C28:H28"/>
    </sheetView>
  </sheetViews>
  <sheetFormatPr defaultColWidth="3.6640625" defaultRowHeight="13.2"/>
  <sheetData>
    <row r="1" spans="2:37" ht="13.8" thickBot="1"/>
    <row r="2" spans="2:37">
      <c r="B2" s="205" t="s">
        <v>95</v>
      </c>
      <c r="C2" s="206"/>
      <c r="D2" s="206"/>
      <c r="E2" s="206"/>
      <c r="F2" s="211" t="s">
        <v>93</v>
      </c>
      <c r="G2" s="211"/>
      <c r="H2" s="212"/>
      <c r="I2" s="196" t="s">
        <v>1239</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1240</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1241</v>
      </c>
      <c r="D9" s="189"/>
      <c r="E9" s="189"/>
      <c r="F9" s="189"/>
      <c r="G9" s="189"/>
      <c r="H9" s="189"/>
      <c r="I9" s="189" t="s">
        <v>1242</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1185</v>
      </c>
      <c r="D10" s="189"/>
      <c r="E10" s="189"/>
      <c r="F10" s="189"/>
      <c r="G10" s="189"/>
      <c r="H10" s="189"/>
      <c r="I10" s="189" t="s">
        <v>1041</v>
      </c>
      <c r="J10" s="189"/>
      <c r="K10" s="189"/>
      <c r="L10" s="189"/>
      <c r="M10" s="189"/>
      <c r="N10" s="189"/>
      <c r="O10" s="189"/>
      <c r="P10" s="189"/>
      <c r="Q10" s="189" t="s">
        <v>977</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1243</v>
      </c>
      <c r="D11" s="189"/>
      <c r="E11" s="189"/>
      <c r="F11" s="189"/>
      <c r="G11" s="189"/>
      <c r="H11" s="189"/>
      <c r="I11" s="189" t="s">
        <v>1244</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170">
        <v>4</v>
      </c>
      <c r="C12" s="189" t="s">
        <v>713</v>
      </c>
      <c r="D12" s="189"/>
      <c r="E12" s="189"/>
      <c r="F12" s="189"/>
      <c r="G12" s="189"/>
      <c r="H12" s="189"/>
      <c r="I12" s="189" t="s">
        <v>718</v>
      </c>
      <c r="J12" s="189"/>
      <c r="K12" s="189"/>
      <c r="L12" s="189"/>
      <c r="M12" s="189"/>
      <c r="N12" s="189"/>
      <c r="O12" s="189"/>
      <c r="P12" s="189"/>
      <c r="Q12" s="189" t="s">
        <v>146</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170">
        <v>5</v>
      </c>
      <c r="C13" s="189" t="s">
        <v>1247</v>
      </c>
      <c r="D13" s="189"/>
      <c r="E13" s="189"/>
      <c r="F13" s="189"/>
      <c r="G13" s="189"/>
      <c r="H13" s="189"/>
      <c r="I13" s="189" t="s">
        <v>1188</v>
      </c>
      <c r="J13" s="189"/>
      <c r="K13" s="189"/>
      <c r="L13" s="189"/>
      <c r="M13" s="189"/>
      <c r="N13" s="189"/>
      <c r="O13" s="189"/>
      <c r="P13" s="189"/>
      <c r="Q13" s="189" t="s">
        <v>1189</v>
      </c>
      <c r="R13" s="189"/>
      <c r="S13" s="189"/>
      <c r="T13" s="189"/>
      <c r="U13" s="189"/>
      <c r="V13" s="189"/>
      <c r="W13" s="189"/>
      <c r="X13" s="189"/>
      <c r="Y13" s="189"/>
      <c r="Z13" s="189"/>
      <c r="AA13" s="189"/>
      <c r="AB13" s="189"/>
      <c r="AC13" s="189"/>
      <c r="AD13" s="189"/>
      <c r="AE13" s="189"/>
      <c r="AF13" s="189"/>
      <c r="AG13" s="189"/>
      <c r="AH13" s="189"/>
      <c r="AI13" s="189"/>
      <c r="AJ13" s="189"/>
      <c r="AK13" s="191"/>
    </row>
    <row r="14" spans="2:37" s="166" customFormat="1">
      <c r="B14" s="170">
        <v>6</v>
      </c>
      <c r="C14" s="189" t="s">
        <v>1269</v>
      </c>
      <c r="D14" s="189"/>
      <c r="E14" s="189"/>
      <c r="F14" s="189"/>
      <c r="G14" s="189"/>
      <c r="H14" s="189"/>
      <c r="I14" s="189" t="s">
        <v>1192</v>
      </c>
      <c r="J14" s="189"/>
      <c r="K14" s="189"/>
      <c r="L14" s="189"/>
      <c r="M14" s="189"/>
      <c r="N14" s="189"/>
      <c r="O14" s="189"/>
      <c r="P14" s="189"/>
      <c r="Q14" s="189" t="s">
        <v>1189</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170">
        <v>7</v>
      </c>
      <c r="C15" s="189" t="s">
        <v>1248</v>
      </c>
      <c r="D15" s="189"/>
      <c r="E15" s="189"/>
      <c r="F15" s="189"/>
      <c r="G15" s="189"/>
      <c r="H15" s="189"/>
      <c r="I15" s="189" t="s">
        <v>1191</v>
      </c>
      <c r="J15" s="189"/>
      <c r="K15" s="189"/>
      <c r="L15" s="189"/>
      <c r="M15" s="189"/>
      <c r="N15" s="189"/>
      <c r="O15" s="189"/>
      <c r="P15" s="189"/>
      <c r="Q15" s="189" t="s">
        <v>1189</v>
      </c>
      <c r="R15" s="189"/>
      <c r="S15" s="189"/>
      <c r="T15" s="189"/>
      <c r="U15" s="189"/>
      <c r="V15" s="189"/>
      <c r="W15" s="189"/>
      <c r="X15" s="189"/>
      <c r="Y15" s="189"/>
      <c r="Z15" s="189"/>
      <c r="AA15" s="189"/>
      <c r="AB15" s="189"/>
      <c r="AC15" s="189"/>
      <c r="AD15" s="189"/>
      <c r="AE15" s="189"/>
      <c r="AF15" s="189"/>
      <c r="AG15" s="189"/>
      <c r="AH15" s="189"/>
      <c r="AI15" s="189"/>
      <c r="AJ15" s="189"/>
      <c r="AK15" s="191"/>
    </row>
    <row r="16" spans="2:37" s="168" customFormat="1">
      <c r="B16" s="170">
        <v>8</v>
      </c>
      <c r="C16" s="189" t="s">
        <v>1892</v>
      </c>
      <c r="D16" s="189"/>
      <c r="E16" s="189"/>
      <c r="F16" s="189"/>
      <c r="G16" s="189"/>
      <c r="H16" s="189"/>
      <c r="I16" s="189" t="s">
        <v>1896</v>
      </c>
      <c r="J16" s="189"/>
      <c r="K16" s="189"/>
      <c r="L16" s="189"/>
      <c r="M16" s="189"/>
      <c r="N16" s="189"/>
      <c r="O16" s="189"/>
      <c r="P16" s="189"/>
      <c r="Q16" s="189" t="s">
        <v>1189</v>
      </c>
      <c r="R16" s="189"/>
      <c r="S16" s="189"/>
      <c r="T16" s="189"/>
      <c r="U16" s="189"/>
      <c r="V16" s="189"/>
      <c r="W16" s="189"/>
      <c r="X16" s="189"/>
      <c r="Y16" s="189"/>
      <c r="Z16" s="189"/>
      <c r="AA16" s="189"/>
      <c r="AB16" s="189"/>
      <c r="AC16" s="189"/>
      <c r="AD16" s="189"/>
      <c r="AE16" s="189"/>
      <c r="AF16" s="189"/>
      <c r="AG16" s="189"/>
      <c r="AH16" s="189"/>
      <c r="AI16" s="189"/>
      <c r="AJ16" s="189"/>
      <c r="AK16" s="191"/>
    </row>
    <row r="17" spans="2:37" s="168" customFormat="1">
      <c r="B17" s="170">
        <v>8</v>
      </c>
      <c r="C17" s="189" t="s">
        <v>1893</v>
      </c>
      <c r="D17" s="189"/>
      <c r="E17" s="189"/>
      <c r="F17" s="189"/>
      <c r="G17" s="189"/>
      <c r="H17" s="189"/>
      <c r="I17" s="189" t="s">
        <v>1897</v>
      </c>
      <c r="J17" s="189"/>
      <c r="K17" s="189"/>
      <c r="L17" s="189"/>
      <c r="M17" s="189"/>
      <c r="N17" s="189"/>
      <c r="O17" s="189"/>
      <c r="P17" s="189"/>
      <c r="Q17" s="189" t="s">
        <v>1189</v>
      </c>
      <c r="R17" s="189"/>
      <c r="S17" s="189"/>
      <c r="T17" s="189"/>
      <c r="U17" s="189"/>
      <c r="V17" s="189"/>
      <c r="W17" s="189"/>
      <c r="X17" s="189"/>
      <c r="Y17" s="189"/>
      <c r="Z17" s="189"/>
      <c r="AA17" s="189"/>
      <c r="AB17" s="189"/>
      <c r="AC17" s="189"/>
      <c r="AD17" s="189"/>
      <c r="AE17" s="189"/>
      <c r="AF17" s="189"/>
      <c r="AG17" s="189"/>
      <c r="AH17" s="189"/>
      <c r="AI17" s="189"/>
      <c r="AJ17" s="189"/>
      <c r="AK17" s="191"/>
    </row>
    <row r="18" spans="2:37" s="168" customFormat="1">
      <c r="B18" s="170">
        <v>8</v>
      </c>
      <c r="C18" s="189" t="s">
        <v>1894</v>
      </c>
      <c r="D18" s="189"/>
      <c r="E18" s="189"/>
      <c r="F18" s="189"/>
      <c r="G18" s="189"/>
      <c r="H18" s="189"/>
      <c r="I18" s="189" t="s">
        <v>1898</v>
      </c>
      <c r="J18" s="189"/>
      <c r="K18" s="189"/>
      <c r="L18" s="189"/>
      <c r="M18" s="189"/>
      <c r="N18" s="189"/>
      <c r="O18" s="189"/>
      <c r="P18" s="189"/>
      <c r="Q18" s="189" t="s">
        <v>1189</v>
      </c>
      <c r="R18" s="189"/>
      <c r="S18" s="189"/>
      <c r="T18" s="189"/>
      <c r="U18" s="189"/>
      <c r="V18" s="189"/>
      <c r="W18" s="189"/>
      <c r="X18" s="189"/>
      <c r="Y18" s="189"/>
      <c r="Z18" s="189"/>
      <c r="AA18" s="189"/>
      <c r="AB18" s="189"/>
      <c r="AC18" s="189"/>
      <c r="AD18" s="189"/>
      <c r="AE18" s="189"/>
      <c r="AF18" s="189"/>
      <c r="AG18" s="189"/>
      <c r="AH18" s="189"/>
      <c r="AI18" s="189"/>
      <c r="AJ18" s="189"/>
      <c r="AK18" s="191"/>
    </row>
    <row r="19" spans="2:37" s="168" customFormat="1">
      <c r="B19" s="170">
        <v>8</v>
      </c>
      <c r="C19" s="189" t="s">
        <v>1895</v>
      </c>
      <c r="D19" s="189"/>
      <c r="E19" s="189"/>
      <c r="F19" s="189"/>
      <c r="G19" s="189"/>
      <c r="H19" s="189"/>
      <c r="I19" s="189" t="s">
        <v>1899</v>
      </c>
      <c r="J19" s="189"/>
      <c r="K19" s="189"/>
      <c r="L19" s="189"/>
      <c r="M19" s="189"/>
      <c r="N19" s="189"/>
      <c r="O19" s="189"/>
      <c r="P19" s="189"/>
      <c r="Q19" s="189" t="s">
        <v>1189</v>
      </c>
      <c r="R19" s="189"/>
      <c r="S19" s="189"/>
      <c r="T19" s="189"/>
      <c r="U19" s="189"/>
      <c r="V19" s="189"/>
      <c r="W19" s="189"/>
      <c r="X19" s="189"/>
      <c r="Y19" s="189"/>
      <c r="Z19" s="189"/>
      <c r="AA19" s="189"/>
      <c r="AB19" s="189"/>
      <c r="AC19" s="189"/>
      <c r="AD19" s="189"/>
      <c r="AE19" s="189"/>
      <c r="AF19" s="189"/>
      <c r="AG19" s="189"/>
      <c r="AH19" s="189"/>
      <c r="AI19" s="189"/>
      <c r="AJ19" s="189"/>
      <c r="AK19" s="191"/>
    </row>
    <row r="20" spans="2:37" s="168" customFormat="1">
      <c r="B20" s="170">
        <v>9</v>
      </c>
      <c r="C20" s="189" t="s">
        <v>1883</v>
      </c>
      <c r="D20" s="189"/>
      <c r="E20" s="189"/>
      <c r="F20" s="189"/>
      <c r="G20" s="189"/>
      <c r="H20" s="189"/>
      <c r="I20" s="189" t="s">
        <v>1884</v>
      </c>
      <c r="J20" s="189"/>
      <c r="K20" s="189"/>
      <c r="L20" s="189"/>
      <c r="M20" s="189"/>
      <c r="N20" s="189"/>
      <c r="O20" s="189"/>
      <c r="P20" s="189"/>
      <c r="Q20" s="189" t="s">
        <v>1189</v>
      </c>
      <c r="R20" s="189"/>
      <c r="S20" s="189"/>
      <c r="T20" s="189"/>
      <c r="U20" s="189"/>
      <c r="V20" s="189"/>
      <c r="W20" s="189"/>
      <c r="X20" s="189"/>
      <c r="Y20" s="189"/>
      <c r="Z20" s="189"/>
      <c r="AA20" s="189"/>
      <c r="AB20" s="189"/>
      <c r="AC20" s="189"/>
      <c r="AD20" s="189"/>
      <c r="AE20" s="189"/>
      <c r="AF20" s="189"/>
      <c r="AG20" s="189"/>
      <c r="AH20" s="189"/>
      <c r="AI20" s="189"/>
      <c r="AJ20" s="189"/>
      <c r="AK20" s="191"/>
    </row>
    <row r="21" spans="2:37" s="168" customFormat="1">
      <c r="B21" s="170">
        <v>10</v>
      </c>
      <c r="C21" s="189" t="s">
        <v>1885</v>
      </c>
      <c r="D21" s="189"/>
      <c r="E21" s="189"/>
      <c r="F21" s="189"/>
      <c r="G21" s="189"/>
      <c r="H21" s="189"/>
      <c r="I21" s="189" t="s">
        <v>1886</v>
      </c>
      <c r="J21" s="189"/>
      <c r="K21" s="189"/>
      <c r="L21" s="189"/>
      <c r="M21" s="189"/>
      <c r="N21" s="189"/>
      <c r="O21" s="189"/>
      <c r="P21" s="189"/>
      <c r="Q21" s="189" t="s">
        <v>1189</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170">
        <v>11</v>
      </c>
      <c r="C22" s="189" t="s">
        <v>1249</v>
      </c>
      <c r="D22" s="189"/>
      <c r="E22" s="189"/>
      <c r="F22" s="189"/>
      <c r="G22" s="189"/>
      <c r="H22" s="189"/>
      <c r="I22" s="189" t="s">
        <v>1250</v>
      </c>
      <c r="J22" s="189"/>
      <c r="K22" s="189"/>
      <c r="L22" s="189"/>
      <c r="M22" s="189"/>
      <c r="N22" s="189"/>
      <c r="O22" s="189"/>
      <c r="P22" s="189"/>
      <c r="Q22" s="189" t="s">
        <v>1189</v>
      </c>
      <c r="R22" s="189"/>
      <c r="S22" s="189"/>
      <c r="T22" s="189"/>
      <c r="U22" s="189"/>
      <c r="V22" s="189"/>
      <c r="W22" s="189"/>
      <c r="X22" s="189"/>
      <c r="Y22" s="189"/>
      <c r="Z22" s="189"/>
      <c r="AA22" s="189"/>
      <c r="AB22" s="189"/>
      <c r="AC22" s="189"/>
      <c r="AD22" s="189"/>
      <c r="AE22" s="189"/>
      <c r="AF22" s="189"/>
      <c r="AG22" s="189"/>
      <c r="AH22" s="189"/>
      <c r="AI22" s="189"/>
      <c r="AJ22" s="189"/>
      <c r="AK22" s="191"/>
    </row>
    <row r="23" spans="2:37" s="168" customFormat="1">
      <c r="B23" s="170">
        <v>5</v>
      </c>
      <c r="C23" s="189" t="s">
        <v>1900</v>
      </c>
      <c r="D23" s="189"/>
      <c r="E23" s="189"/>
      <c r="F23" s="189"/>
      <c r="G23" s="189"/>
      <c r="H23" s="189"/>
      <c r="I23" s="189" t="s">
        <v>1901</v>
      </c>
      <c r="J23" s="189"/>
      <c r="K23" s="189"/>
      <c r="L23" s="189"/>
      <c r="M23" s="189"/>
      <c r="N23" s="189"/>
      <c r="O23" s="189"/>
      <c r="P23" s="189"/>
      <c r="Q23" s="189" t="s">
        <v>1189</v>
      </c>
      <c r="R23" s="189"/>
      <c r="S23" s="189"/>
      <c r="T23" s="189"/>
      <c r="U23" s="189"/>
      <c r="V23" s="189"/>
      <c r="W23" s="189"/>
      <c r="X23" s="189"/>
      <c r="Y23" s="189"/>
      <c r="Z23" s="189"/>
      <c r="AA23" s="189"/>
      <c r="AB23" s="189"/>
      <c r="AC23" s="189"/>
      <c r="AD23" s="189"/>
      <c r="AE23" s="189"/>
      <c r="AF23" s="189"/>
      <c r="AG23" s="189"/>
      <c r="AH23" s="189"/>
      <c r="AI23" s="189"/>
      <c r="AJ23" s="189"/>
      <c r="AK23" s="191"/>
    </row>
    <row r="24" spans="2:37" s="138" customFormat="1">
      <c r="B24" s="170">
        <v>12</v>
      </c>
      <c r="C24" s="189" t="s">
        <v>1251</v>
      </c>
      <c r="D24" s="189"/>
      <c r="E24" s="189"/>
      <c r="F24" s="189"/>
      <c r="G24" s="189"/>
      <c r="H24" s="189"/>
      <c r="I24" s="189" t="s">
        <v>1252</v>
      </c>
      <c r="J24" s="189"/>
      <c r="K24" s="189"/>
      <c r="L24" s="189"/>
      <c r="M24" s="189"/>
      <c r="N24" s="189"/>
      <c r="O24" s="189"/>
      <c r="P24" s="189"/>
      <c r="Q24" s="189" t="s">
        <v>1206</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170">
        <v>13</v>
      </c>
      <c r="C25" s="189" t="s">
        <v>1220</v>
      </c>
      <c r="D25" s="189"/>
      <c r="E25" s="189"/>
      <c r="F25" s="189"/>
      <c r="G25" s="189"/>
      <c r="H25" s="189"/>
      <c r="I25" s="189" t="s">
        <v>1626</v>
      </c>
      <c r="J25" s="189"/>
      <c r="K25" s="189"/>
      <c r="L25" s="189"/>
      <c r="M25" s="189"/>
      <c r="N25" s="189"/>
      <c r="O25" s="189"/>
      <c r="P25" s="189"/>
      <c r="Q25" s="189" t="s">
        <v>977</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170">
        <v>14</v>
      </c>
      <c r="C26" s="189" t="s">
        <v>1221</v>
      </c>
      <c r="D26" s="189"/>
      <c r="E26" s="189"/>
      <c r="F26" s="189"/>
      <c r="G26" s="189"/>
      <c r="H26" s="189"/>
      <c r="I26" s="189" t="s">
        <v>1222</v>
      </c>
      <c r="J26" s="189"/>
      <c r="K26" s="189"/>
      <c r="L26" s="189"/>
      <c r="M26" s="189"/>
      <c r="N26" s="189"/>
      <c r="O26" s="189"/>
      <c r="P26" s="189"/>
      <c r="Q26" s="189" t="s">
        <v>1189</v>
      </c>
      <c r="R26" s="189"/>
      <c r="S26" s="189"/>
      <c r="T26" s="189"/>
      <c r="U26" s="189"/>
      <c r="V26" s="189"/>
      <c r="W26" s="189"/>
      <c r="X26" s="189"/>
      <c r="Y26" s="189"/>
      <c r="Z26" s="189"/>
      <c r="AA26" s="189"/>
      <c r="AB26" s="189"/>
      <c r="AC26" s="189"/>
      <c r="AD26" s="189"/>
      <c r="AE26" s="189"/>
      <c r="AF26" s="189"/>
      <c r="AG26" s="189"/>
      <c r="AH26" s="189"/>
      <c r="AI26" s="189"/>
      <c r="AJ26" s="189"/>
      <c r="AK26" s="191"/>
    </row>
    <row r="27" spans="2:37">
      <c r="B27" s="170">
        <v>15</v>
      </c>
      <c r="C27" s="189" t="s">
        <v>1253</v>
      </c>
      <c r="D27" s="189"/>
      <c r="E27" s="189"/>
      <c r="F27" s="189"/>
      <c r="G27" s="189"/>
      <c r="H27" s="189"/>
      <c r="I27" s="189" t="s">
        <v>1254</v>
      </c>
      <c r="J27" s="189"/>
      <c r="K27" s="189"/>
      <c r="L27" s="189"/>
      <c r="M27" s="189"/>
      <c r="N27" s="189"/>
      <c r="O27" s="189"/>
      <c r="P27" s="189"/>
      <c r="Q27" s="189" t="s">
        <v>1189</v>
      </c>
      <c r="R27" s="189"/>
      <c r="S27" s="189"/>
      <c r="T27" s="189"/>
      <c r="U27" s="189"/>
      <c r="V27" s="189"/>
      <c r="W27" s="189"/>
      <c r="X27" s="189"/>
      <c r="Y27" s="189"/>
      <c r="Z27" s="189"/>
      <c r="AA27" s="189"/>
      <c r="AB27" s="189"/>
      <c r="AC27" s="189"/>
      <c r="AD27" s="189"/>
      <c r="AE27" s="189"/>
      <c r="AF27" s="189"/>
      <c r="AG27" s="189"/>
      <c r="AH27" s="189"/>
      <c r="AI27" s="189"/>
      <c r="AJ27" s="189"/>
      <c r="AK27" s="191"/>
    </row>
    <row r="28" spans="2:37" s="174" customFormat="1">
      <c r="B28" s="176">
        <v>16</v>
      </c>
      <c r="C28" s="189" t="s">
        <v>1317</v>
      </c>
      <c r="D28" s="189"/>
      <c r="E28" s="189"/>
      <c r="F28" s="189"/>
      <c r="G28" s="189"/>
      <c r="H28" s="189"/>
      <c r="I28" s="189" t="s">
        <v>1111</v>
      </c>
      <c r="J28" s="189"/>
      <c r="K28" s="189"/>
      <c r="L28" s="189"/>
      <c r="M28" s="189"/>
      <c r="N28" s="189"/>
      <c r="O28" s="189"/>
      <c r="P28" s="189"/>
      <c r="Q28" s="189" t="s">
        <v>977</v>
      </c>
      <c r="R28" s="189"/>
      <c r="S28" s="189"/>
      <c r="T28" s="189"/>
      <c r="U28" s="189"/>
      <c r="V28" s="189"/>
      <c r="W28" s="189"/>
      <c r="X28" s="189"/>
      <c r="Y28" s="189"/>
      <c r="Z28" s="189"/>
      <c r="AA28" s="189"/>
      <c r="AB28" s="189"/>
      <c r="AC28" s="189"/>
      <c r="AD28" s="189"/>
      <c r="AE28" s="189"/>
      <c r="AF28" s="189"/>
      <c r="AG28" s="189"/>
      <c r="AH28" s="189"/>
      <c r="AI28" s="189"/>
      <c r="AJ28" s="189"/>
      <c r="AK28" s="191"/>
    </row>
    <row r="29" spans="2:37" s="141" customFormat="1">
      <c r="B29" s="170">
        <v>16</v>
      </c>
      <c r="C29" s="189" t="s">
        <v>1746</v>
      </c>
      <c r="D29" s="189"/>
      <c r="E29" s="189"/>
      <c r="F29" s="189"/>
      <c r="G29" s="189"/>
      <c r="H29" s="189"/>
      <c r="I29" s="189" t="s">
        <v>1747</v>
      </c>
      <c r="J29" s="189"/>
      <c r="K29" s="189"/>
      <c r="L29" s="189"/>
      <c r="M29" s="189"/>
      <c r="N29" s="189"/>
      <c r="O29" s="189"/>
      <c r="P29" s="189"/>
      <c r="Q29" s="189" t="s">
        <v>977</v>
      </c>
      <c r="R29" s="189"/>
      <c r="S29" s="189"/>
      <c r="T29" s="189"/>
      <c r="U29" s="189"/>
      <c r="V29" s="189"/>
      <c r="W29" s="189"/>
      <c r="X29" s="189"/>
      <c r="Y29" s="189"/>
      <c r="Z29" s="189"/>
      <c r="AA29" s="189"/>
      <c r="AB29" s="189"/>
      <c r="AC29" s="189"/>
      <c r="AD29" s="189"/>
      <c r="AE29" s="189"/>
      <c r="AF29" s="189"/>
      <c r="AG29" s="189"/>
      <c r="AH29" s="189"/>
      <c r="AI29" s="189"/>
      <c r="AJ29" s="189"/>
      <c r="AK29" s="191"/>
    </row>
    <row r="30" spans="2:37">
      <c r="B30" s="170">
        <v>17</v>
      </c>
      <c r="C30" s="189" t="s">
        <v>1742</v>
      </c>
      <c r="D30" s="189"/>
      <c r="E30" s="189"/>
      <c r="F30" s="189"/>
      <c r="G30" s="189"/>
      <c r="H30" s="189"/>
      <c r="I30" s="189" t="s">
        <v>1743</v>
      </c>
      <c r="J30" s="189"/>
      <c r="K30" s="189"/>
      <c r="L30" s="189"/>
      <c r="M30" s="189"/>
      <c r="N30" s="189"/>
      <c r="O30" s="189"/>
      <c r="P30" s="189"/>
      <c r="Q30" s="189" t="s">
        <v>1206</v>
      </c>
      <c r="R30" s="189"/>
      <c r="S30" s="189"/>
      <c r="T30" s="189"/>
      <c r="U30" s="189"/>
      <c r="V30" s="189"/>
      <c r="W30" s="189"/>
      <c r="X30" s="189"/>
      <c r="Y30" s="189"/>
      <c r="Z30" s="189"/>
      <c r="AA30" s="189"/>
      <c r="AB30" s="189"/>
      <c r="AC30" s="189"/>
      <c r="AD30" s="189"/>
      <c r="AE30" s="189"/>
      <c r="AF30" s="189"/>
      <c r="AG30" s="189"/>
      <c r="AH30" s="189"/>
      <c r="AI30" s="189"/>
      <c r="AJ30" s="189"/>
      <c r="AK30" s="191"/>
    </row>
    <row r="31" spans="2:37">
      <c r="B31" s="170">
        <v>18</v>
      </c>
      <c r="C31" s="189" t="s">
        <v>1255</v>
      </c>
      <c r="D31" s="189"/>
      <c r="E31" s="189"/>
      <c r="F31" s="189"/>
      <c r="G31" s="189"/>
      <c r="H31" s="189"/>
      <c r="I31" s="189" t="s">
        <v>1135</v>
      </c>
      <c r="J31" s="189"/>
      <c r="K31" s="189"/>
      <c r="L31" s="189"/>
      <c r="M31" s="189"/>
      <c r="N31" s="189"/>
      <c r="O31" s="189"/>
      <c r="P31" s="189"/>
      <c r="Q31" s="189" t="s">
        <v>977</v>
      </c>
      <c r="R31" s="189"/>
      <c r="S31" s="189"/>
      <c r="T31" s="189"/>
      <c r="U31" s="189"/>
      <c r="V31" s="189"/>
      <c r="W31" s="189"/>
      <c r="X31" s="189"/>
      <c r="Y31" s="189"/>
      <c r="Z31" s="189"/>
      <c r="AA31" s="189"/>
      <c r="AB31" s="189"/>
      <c r="AC31" s="189"/>
      <c r="AD31" s="189"/>
      <c r="AE31" s="189"/>
      <c r="AF31" s="189"/>
      <c r="AG31" s="189"/>
      <c r="AH31" s="189"/>
      <c r="AI31" s="189"/>
      <c r="AJ31" s="189"/>
      <c r="AK31" s="191"/>
    </row>
    <row r="32" spans="2:37">
      <c r="B32" s="170">
        <v>19</v>
      </c>
      <c r="C32" s="189" t="s">
        <v>1256</v>
      </c>
      <c r="D32" s="189"/>
      <c r="E32" s="189"/>
      <c r="F32" s="189"/>
      <c r="G32" s="189"/>
      <c r="H32" s="189"/>
      <c r="I32" s="189" t="s">
        <v>1257</v>
      </c>
      <c r="J32" s="189"/>
      <c r="K32" s="189"/>
      <c r="L32" s="189"/>
      <c r="M32" s="189"/>
      <c r="N32" s="189"/>
      <c r="O32" s="189"/>
      <c r="P32" s="189"/>
      <c r="Q32" s="189" t="s">
        <v>1189</v>
      </c>
      <c r="R32" s="189"/>
      <c r="S32" s="189"/>
      <c r="T32" s="189"/>
      <c r="U32" s="189"/>
      <c r="V32" s="189"/>
      <c r="W32" s="189"/>
      <c r="X32" s="189"/>
      <c r="Y32" s="189"/>
      <c r="Z32" s="189"/>
      <c r="AA32" s="189"/>
      <c r="AB32" s="189"/>
      <c r="AC32" s="189"/>
      <c r="AD32" s="189"/>
      <c r="AE32" s="189"/>
      <c r="AF32" s="189"/>
      <c r="AG32" s="189"/>
      <c r="AH32" s="189"/>
      <c r="AI32" s="189"/>
      <c r="AJ32" s="189"/>
      <c r="AK32" s="191"/>
    </row>
    <row r="33" spans="2:37" s="81" customFormat="1">
      <c r="B33" s="170">
        <v>20</v>
      </c>
      <c r="C33" s="189" t="s">
        <v>1506</v>
      </c>
      <c r="D33" s="189"/>
      <c r="E33" s="189"/>
      <c r="F33" s="189"/>
      <c r="G33" s="189"/>
      <c r="H33" s="189"/>
      <c r="I33" s="189" t="s">
        <v>1507</v>
      </c>
      <c r="J33" s="189"/>
      <c r="K33" s="189"/>
      <c r="L33" s="189"/>
      <c r="M33" s="189"/>
      <c r="N33" s="189"/>
      <c r="O33" s="189"/>
      <c r="P33" s="189"/>
      <c r="Q33" s="189" t="s">
        <v>1225</v>
      </c>
      <c r="R33" s="189"/>
      <c r="S33" s="189"/>
      <c r="T33" s="189"/>
      <c r="U33" s="189"/>
      <c r="V33" s="189"/>
      <c r="W33" s="189"/>
      <c r="X33" s="189"/>
      <c r="Y33" s="189"/>
      <c r="Z33" s="189"/>
      <c r="AA33" s="189"/>
      <c r="AB33" s="189"/>
      <c r="AC33" s="189"/>
      <c r="AD33" s="189"/>
      <c r="AE33" s="189"/>
      <c r="AF33" s="189"/>
      <c r="AG33" s="189"/>
      <c r="AH33" s="189"/>
      <c r="AI33" s="189"/>
      <c r="AJ33" s="189"/>
      <c r="AK33" s="191"/>
    </row>
    <row r="34" spans="2:37">
      <c r="B34" s="170">
        <v>21</v>
      </c>
      <c r="C34" s="189" t="s">
        <v>1258</v>
      </c>
      <c r="D34" s="189"/>
      <c r="E34" s="189"/>
      <c r="F34" s="189"/>
      <c r="G34" s="189"/>
      <c r="H34" s="189"/>
      <c r="I34" s="189" t="s">
        <v>1217</v>
      </c>
      <c r="J34" s="189"/>
      <c r="K34" s="189"/>
      <c r="L34" s="189"/>
      <c r="M34" s="189"/>
      <c r="N34" s="189"/>
      <c r="O34" s="189"/>
      <c r="P34" s="189"/>
      <c r="Q34" s="189" t="s">
        <v>1189</v>
      </c>
      <c r="R34" s="189"/>
      <c r="S34" s="189"/>
      <c r="T34" s="189"/>
      <c r="U34" s="189"/>
      <c r="V34" s="189"/>
      <c r="W34" s="189"/>
      <c r="X34" s="189"/>
      <c r="Y34" s="189"/>
      <c r="Z34" s="189"/>
      <c r="AA34" s="189"/>
      <c r="AB34" s="189"/>
      <c r="AC34" s="189"/>
      <c r="AD34" s="189"/>
      <c r="AE34" s="189"/>
      <c r="AF34" s="189"/>
      <c r="AG34" s="189"/>
      <c r="AH34" s="189"/>
      <c r="AI34" s="189"/>
      <c r="AJ34" s="189"/>
      <c r="AK34" s="191"/>
    </row>
    <row r="35" spans="2:37">
      <c r="B35" s="170">
        <v>22</v>
      </c>
      <c r="C35" s="189" t="s">
        <v>1259</v>
      </c>
      <c r="D35" s="189"/>
      <c r="E35" s="189"/>
      <c r="F35" s="189"/>
      <c r="G35" s="189"/>
      <c r="H35" s="189"/>
      <c r="I35" s="189" t="s">
        <v>1219</v>
      </c>
      <c r="J35" s="189"/>
      <c r="K35" s="189"/>
      <c r="L35" s="189"/>
      <c r="M35" s="189"/>
      <c r="N35" s="189"/>
      <c r="O35" s="189"/>
      <c r="P35" s="189"/>
      <c r="Q35" s="189" t="s">
        <v>1189</v>
      </c>
      <c r="R35" s="189"/>
      <c r="S35" s="189"/>
      <c r="T35" s="189"/>
      <c r="U35" s="189"/>
      <c r="V35" s="189"/>
      <c r="W35" s="189"/>
      <c r="X35" s="189"/>
      <c r="Y35" s="189"/>
      <c r="Z35" s="189"/>
      <c r="AA35" s="189"/>
      <c r="AB35" s="189"/>
      <c r="AC35" s="189"/>
      <c r="AD35" s="189"/>
      <c r="AE35" s="189"/>
      <c r="AF35" s="189"/>
      <c r="AG35" s="189"/>
      <c r="AH35" s="189"/>
      <c r="AI35" s="189"/>
      <c r="AJ35" s="189"/>
      <c r="AK35" s="191"/>
    </row>
    <row r="36" spans="2:37">
      <c r="B36" s="170">
        <v>23</v>
      </c>
      <c r="C36" s="189" t="s">
        <v>1223</v>
      </c>
      <c r="D36" s="189"/>
      <c r="E36" s="189"/>
      <c r="F36" s="189"/>
      <c r="G36" s="189"/>
      <c r="H36" s="189"/>
      <c r="I36" s="189" t="s">
        <v>1224</v>
      </c>
      <c r="J36" s="189"/>
      <c r="K36" s="189"/>
      <c r="L36" s="189"/>
      <c r="M36" s="189"/>
      <c r="N36" s="189"/>
      <c r="O36" s="189"/>
      <c r="P36" s="189"/>
      <c r="Q36" s="189" t="s">
        <v>1225</v>
      </c>
      <c r="R36" s="189"/>
      <c r="S36" s="189"/>
      <c r="T36" s="189"/>
      <c r="U36" s="189"/>
      <c r="V36" s="189"/>
      <c r="W36" s="189"/>
      <c r="X36" s="189"/>
      <c r="Y36" s="189"/>
      <c r="Z36" s="189"/>
      <c r="AA36" s="189"/>
      <c r="AB36" s="189"/>
      <c r="AC36" s="189"/>
      <c r="AD36" s="189"/>
      <c r="AE36" s="189"/>
      <c r="AF36" s="189"/>
      <c r="AG36" s="189"/>
      <c r="AH36" s="189"/>
      <c r="AI36" s="189"/>
      <c r="AJ36" s="189"/>
      <c r="AK36" s="191"/>
    </row>
    <row r="37" spans="2:37">
      <c r="B37" s="170">
        <v>24</v>
      </c>
      <c r="C37" s="189" t="s">
        <v>1207</v>
      </c>
      <c r="D37" s="189"/>
      <c r="E37" s="189"/>
      <c r="F37" s="189"/>
      <c r="G37" s="189"/>
      <c r="H37" s="189"/>
      <c r="I37" s="189" t="s">
        <v>1079</v>
      </c>
      <c r="J37" s="189"/>
      <c r="K37" s="189"/>
      <c r="L37" s="189"/>
      <c r="M37" s="189"/>
      <c r="N37" s="189"/>
      <c r="O37" s="189"/>
      <c r="P37" s="189"/>
      <c r="Q37" s="189" t="s">
        <v>977</v>
      </c>
      <c r="R37" s="189"/>
      <c r="S37" s="189"/>
      <c r="T37" s="189"/>
      <c r="U37" s="189"/>
      <c r="V37" s="189"/>
      <c r="W37" s="189"/>
      <c r="X37" s="189"/>
      <c r="Y37" s="189"/>
      <c r="Z37" s="189"/>
      <c r="AA37" s="189"/>
      <c r="AB37" s="189"/>
      <c r="AC37" s="189"/>
      <c r="AD37" s="189"/>
      <c r="AE37" s="189"/>
      <c r="AF37" s="189"/>
      <c r="AG37" s="189"/>
      <c r="AH37" s="189"/>
      <c r="AI37" s="189"/>
      <c r="AJ37" s="189"/>
      <c r="AK37" s="191"/>
    </row>
    <row r="38" spans="2:37">
      <c r="B38" s="170">
        <v>25</v>
      </c>
      <c r="C38" s="189" t="s">
        <v>1208</v>
      </c>
      <c r="D38" s="189"/>
      <c r="E38" s="189"/>
      <c r="F38" s="189"/>
      <c r="G38" s="189"/>
      <c r="H38" s="189"/>
      <c r="I38" s="189" t="s">
        <v>1209</v>
      </c>
      <c r="J38" s="189"/>
      <c r="K38" s="189"/>
      <c r="L38" s="189"/>
      <c r="M38" s="189"/>
      <c r="N38" s="189"/>
      <c r="O38" s="189"/>
      <c r="P38" s="189"/>
      <c r="Q38" s="189" t="s">
        <v>1189</v>
      </c>
      <c r="R38" s="189"/>
      <c r="S38" s="189"/>
      <c r="T38" s="189"/>
      <c r="U38" s="189"/>
      <c r="V38" s="189"/>
      <c r="W38" s="189"/>
      <c r="X38" s="189"/>
      <c r="Y38" s="189"/>
      <c r="Z38" s="189"/>
      <c r="AA38" s="189"/>
      <c r="AB38" s="189"/>
      <c r="AC38" s="189"/>
      <c r="AD38" s="189"/>
      <c r="AE38" s="189"/>
      <c r="AF38" s="189"/>
      <c r="AG38" s="189"/>
      <c r="AH38" s="189"/>
      <c r="AI38" s="189"/>
      <c r="AJ38" s="189"/>
      <c r="AK38" s="191"/>
    </row>
    <row r="39" spans="2:37">
      <c r="B39" s="170">
        <v>26</v>
      </c>
      <c r="C39" s="189" t="s">
        <v>1226</v>
      </c>
      <c r="D39" s="189"/>
      <c r="E39" s="189"/>
      <c r="F39" s="189"/>
      <c r="G39" s="189"/>
      <c r="H39" s="189"/>
      <c r="I39" s="189" t="s">
        <v>1227</v>
      </c>
      <c r="J39" s="189"/>
      <c r="K39" s="189"/>
      <c r="L39" s="189"/>
      <c r="M39" s="189"/>
      <c r="N39" s="189"/>
      <c r="O39" s="189"/>
      <c r="P39" s="189"/>
      <c r="Q39" s="189" t="s">
        <v>1228</v>
      </c>
      <c r="R39" s="189"/>
      <c r="S39" s="189"/>
      <c r="T39" s="189"/>
      <c r="U39" s="189"/>
      <c r="V39" s="189"/>
      <c r="W39" s="189"/>
      <c r="X39" s="189"/>
      <c r="Y39" s="189"/>
      <c r="Z39" s="189"/>
      <c r="AA39" s="189"/>
      <c r="AB39" s="189"/>
      <c r="AC39" s="189"/>
      <c r="AD39" s="189"/>
      <c r="AE39" s="189"/>
      <c r="AF39" s="189"/>
      <c r="AG39" s="189"/>
      <c r="AH39" s="189"/>
      <c r="AI39" s="189"/>
      <c r="AJ39" s="189"/>
      <c r="AK39" s="191"/>
    </row>
    <row r="40" spans="2:37">
      <c r="B40" s="170">
        <v>27</v>
      </c>
      <c r="C40" s="189" t="s">
        <v>1229</v>
      </c>
      <c r="D40" s="189"/>
      <c r="E40" s="189"/>
      <c r="F40" s="189"/>
      <c r="G40" s="189"/>
      <c r="H40" s="189"/>
      <c r="I40" s="189" t="s">
        <v>1230</v>
      </c>
      <c r="J40" s="189"/>
      <c r="K40" s="189"/>
      <c r="L40" s="189"/>
      <c r="M40" s="189"/>
      <c r="N40" s="189"/>
      <c r="O40" s="189"/>
      <c r="P40" s="189"/>
      <c r="Q40" s="189" t="s">
        <v>1189</v>
      </c>
      <c r="R40" s="189"/>
      <c r="S40" s="189"/>
      <c r="T40" s="189"/>
      <c r="U40" s="189"/>
      <c r="V40" s="189"/>
      <c r="W40" s="189"/>
      <c r="X40" s="189"/>
      <c r="Y40" s="189"/>
      <c r="Z40" s="189"/>
      <c r="AA40" s="189"/>
      <c r="AB40" s="189"/>
      <c r="AC40" s="189"/>
      <c r="AD40" s="189"/>
      <c r="AE40" s="189"/>
      <c r="AF40" s="189"/>
      <c r="AG40" s="189"/>
      <c r="AH40" s="189"/>
      <c r="AI40" s="189"/>
      <c r="AJ40" s="189"/>
      <c r="AK40" s="191"/>
    </row>
    <row r="41" spans="2:37">
      <c r="B41" s="170">
        <v>28</v>
      </c>
      <c r="C41" s="189" t="s">
        <v>1231</v>
      </c>
      <c r="D41" s="189"/>
      <c r="E41" s="189"/>
      <c r="F41" s="189"/>
      <c r="G41" s="189"/>
      <c r="H41" s="189"/>
      <c r="I41" s="189" t="s">
        <v>1232</v>
      </c>
      <c r="J41" s="189"/>
      <c r="K41" s="189"/>
      <c r="L41" s="189"/>
      <c r="M41" s="189"/>
      <c r="N41" s="189"/>
      <c r="O41" s="189"/>
      <c r="P41" s="189"/>
      <c r="Q41" s="189" t="s">
        <v>1189</v>
      </c>
      <c r="R41" s="189"/>
      <c r="S41" s="189"/>
      <c r="T41" s="189"/>
      <c r="U41" s="189"/>
      <c r="V41" s="189"/>
      <c r="W41" s="189"/>
      <c r="X41" s="189"/>
      <c r="Y41" s="189"/>
      <c r="Z41" s="189"/>
      <c r="AA41" s="189"/>
      <c r="AB41" s="189"/>
      <c r="AC41" s="189"/>
      <c r="AD41" s="189"/>
      <c r="AE41" s="189"/>
      <c r="AF41" s="189"/>
      <c r="AG41" s="189"/>
      <c r="AH41" s="189"/>
      <c r="AI41" s="189"/>
      <c r="AJ41" s="189"/>
      <c r="AK41" s="191"/>
    </row>
    <row r="42" spans="2:37" s="35" customFormat="1">
      <c r="B42" s="170">
        <v>29</v>
      </c>
      <c r="C42" s="189" t="s">
        <v>1005</v>
      </c>
      <c r="D42" s="189"/>
      <c r="E42" s="189"/>
      <c r="F42" s="189"/>
      <c r="G42" s="189"/>
      <c r="H42" s="189"/>
      <c r="I42" s="189" t="s">
        <v>1233</v>
      </c>
      <c r="J42" s="189"/>
      <c r="K42" s="189"/>
      <c r="L42" s="189"/>
      <c r="M42" s="189"/>
      <c r="N42" s="189"/>
      <c r="O42" s="189"/>
      <c r="P42" s="189"/>
      <c r="Q42" s="189" t="s">
        <v>1189</v>
      </c>
      <c r="R42" s="189"/>
      <c r="S42" s="189"/>
      <c r="T42" s="189"/>
      <c r="U42" s="189"/>
      <c r="V42" s="189"/>
      <c r="W42" s="189"/>
      <c r="X42" s="189"/>
      <c r="Y42" s="189"/>
      <c r="Z42" s="189"/>
      <c r="AA42" s="189"/>
      <c r="AB42" s="189"/>
      <c r="AC42" s="189"/>
      <c r="AD42" s="189"/>
      <c r="AE42" s="189"/>
      <c r="AF42" s="189"/>
      <c r="AG42" s="189"/>
      <c r="AH42" s="189"/>
      <c r="AI42" s="189"/>
      <c r="AJ42" s="189"/>
      <c r="AK42" s="191"/>
    </row>
    <row r="43" spans="2:37">
      <c r="B43" s="170">
        <v>30</v>
      </c>
      <c r="C43" s="189" t="s">
        <v>1235</v>
      </c>
      <c r="D43" s="189"/>
      <c r="E43" s="189"/>
      <c r="F43" s="189"/>
      <c r="G43" s="189"/>
      <c r="H43" s="189"/>
      <c r="I43" s="189" t="s">
        <v>1412</v>
      </c>
      <c r="J43" s="189"/>
      <c r="K43" s="189"/>
      <c r="L43" s="189"/>
      <c r="M43" s="189"/>
      <c r="N43" s="189"/>
      <c r="O43" s="189"/>
      <c r="P43" s="189"/>
      <c r="Q43" s="189" t="s">
        <v>146</v>
      </c>
      <c r="R43" s="189"/>
      <c r="S43" s="189"/>
      <c r="T43" s="189"/>
      <c r="U43" s="189"/>
      <c r="V43" s="189"/>
      <c r="W43" s="189"/>
      <c r="X43" s="189"/>
      <c r="Y43" s="189"/>
      <c r="Z43" s="189"/>
      <c r="AA43" s="189"/>
      <c r="AB43" s="189"/>
      <c r="AC43" s="189"/>
      <c r="AD43" s="189"/>
      <c r="AE43" s="189"/>
      <c r="AF43" s="189"/>
      <c r="AG43" s="189"/>
      <c r="AH43" s="189"/>
      <c r="AI43" s="189"/>
      <c r="AJ43" s="189"/>
      <c r="AK43" s="191"/>
    </row>
    <row r="44" spans="2:37" s="35" customFormat="1" ht="13.8" thickBot="1">
      <c r="B44" s="37">
        <v>31</v>
      </c>
      <c r="C44" s="190" t="s">
        <v>252</v>
      </c>
      <c r="D44" s="190"/>
      <c r="E44" s="190"/>
      <c r="F44" s="190"/>
      <c r="G44" s="190"/>
      <c r="H44" s="190"/>
      <c r="I44" s="190" t="s">
        <v>132</v>
      </c>
      <c r="J44" s="190"/>
      <c r="K44" s="190"/>
      <c r="L44" s="190"/>
      <c r="M44" s="190"/>
      <c r="N44" s="190"/>
      <c r="O44" s="190"/>
      <c r="P44" s="190"/>
      <c r="Q44" s="190" t="s">
        <v>143</v>
      </c>
      <c r="R44" s="190"/>
      <c r="S44" s="190"/>
      <c r="T44" s="190"/>
      <c r="U44" s="190"/>
      <c r="V44" s="190"/>
      <c r="W44" s="190"/>
      <c r="X44" s="190"/>
      <c r="Y44" s="190"/>
      <c r="Z44" s="190"/>
      <c r="AA44" s="190"/>
      <c r="AB44" s="190"/>
      <c r="AC44" s="190"/>
      <c r="AD44" s="190"/>
      <c r="AE44" s="190"/>
      <c r="AF44" s="190"/>
      <c r="AG44" s="190"/>
      <c r="AH44" s="190"/>
      <c r="AI44" s="190"/>
      <c r="AJ44" s="190"/>
      <c r="AK44" s="198"/>
    </row>
    <row r="47" spans="2:37" ht="15" thickBot="1">
      <c r="B47" s="7" t="s">
        <v>994</v>
      </c>
    </row>
    <row r="48" spans="2:37">
      <c r="B48" s="6" t="s">
        <v>7</v>
      </c>
      <c r="C48" s="201" t="s">
        <v>998</v>
      </c>
      <c r="D48" s="201"/>
      <c r="E48" s="201"/>
      <c r="F48" s="201"/>
      <c r="G48" s="201"/>
      <c r="H48" s="201"/>
      <c r="I48" s="201"/>
      <c r="J48" s="201"/>
      <c r="K48" s="201"/>
      <c r="L48" s="201" t="s">
        <v>1000</v>
      </c>
      <c r="M48" s="201"/>
      <c r="N48" s="201"/>
      <c r="O48" s="201"/>
      <c r="P48" s="201"/>
      <c r="Q48" s="201"/>
      <c r="R48" s="201"/>
      <c r="S48" s="201"/>
      <c r="T48" s="201"/>
      <c r="U48" s="201"/>
      <c r="V48" s="201" t="s">
        <v>1002</v>
      </c>
      <c r="W48" s="201"/>
      <c r="X48" s="201"/>
      <c r="Y48" s="201" t="s">
        <v>1004</v>
      </c>
      <c r="Z48" s="201"/>
      <c r="AA48" s="201"/>
      <c r="AB48" s="201" t="s">
        <v>1005</v>
      </c>
      <c r="AC48" s="201"/>
      <c r="AD48" s="201"/>
      <c r="AE48" s="201"/>
      <c r="AF48" s="201"/>
      <c r="AG48" s="201"/>
      <c r="AH48" s="201"/>
      <c r="AI48" s="204"/>
    </row>
    <row r="49" spans="2:35">
      <c r="B49" s="328">
        <v>1</v>
      </c>
      <c r="C49" s="271" t="s">
        <v>1260</v>
      </c>
      <c r="D49" s="272"/>
      <c r="E49" s="272"/>
      <c r="F49" s="272"/>
      <c r="G49" s="272"/>
      <c r="H49" s="272"/>
      <c r="I49" s="272"/>
      <c r="J49" s="272"/>
      <c r="K49" s="273"/>
      <c r="L49" s="268" t="s">
        <v>1242</v>
      </c>
      <c r="M49" s="268"/>
      <c r="N49" s="268"/>
      <c r="O49" s="268"/>
      <c r="P49" s="268"/>
      <c r="Q49" s="268"/>
      <c r="R49" s="268"/>
      <c r="S49" s="268"/>
      <c r="T49" s="268"/>
      <c r="U49" s="268"/>
      <c r="V49" s="271" t="s">
        <v>151</v>
      </c>
      <c r="W49" s="272"/>
      <c r="X49" s="273"/>
      <c r="Y49" s="271" t="s">
        <v>151</v>
      </c>
      <c r="Z49" s="272"/>
      <c r="AA49" s="273"/>
      <c r="AB49" s="271"/>
      <c r="AC49" s="272"/>
      <c r="AD49" s="272"/>
      <c r="AE49" s="272"/>
      <c r="AF49" s="272"/>
      <c r="AG49" s="272"/>
      <c r="AH49" s="272"/>
      <c r="AI49" s="277"/>
    </row>
    <row r="50" spans="2:35" ht="13.8" thickBot="1">
      <c r="B50" s="332"/>
      <c r="C50" s="274"/>
      <c r="D50" s="275"/>
      <c r="E50" s="275"/>
      <c r="F50" s="275"/>
      <c r="G50" s="275"/>
      <c r="H50" s="275"/>
      <c r="I50" s="275"/>
      <c r="J50" s="275"/>
      <c r="K50" s="276"/>
      <c r="L50" s="279" t="s">
        <v>1041</v>
      </c>
      <c r="M50" s="279"/>
      <c r="N50" s="279"/>
      <c r="O50" s="279"/>
      <c r="P50" s="279"/>
      <c r="Q50" s="279"/>
      <c r="R50" s="279"/>
      <c r="S50" s="279"/>
      <c r="T50" s="279"/>
      <c r="U50" s="279"/>
      <c r="V50" s="274"/>
      <c r="W50" s="275"/>
      <c r="X50" s="276"/>
      <c r="Y50" s="274"/>
      <c r="Z50" s="275"/>
      <c r="AA50" s="276"/>
      <c r="AB50" s="274"/>
      <c r="AC50" s="275"/>
      <c r="AD50" s="275"/>
      <c r="AE50" s="275"/>
      <c r="AF50" s="275"/>
      <c r="AG50" s="275"/>
      <c r="AH50" s="275"/>
      <c r="AI50" s="278"/>
    </row>
    <row r="51" spans="2:35">
      <c r="B51" s="8"/>
    </row>
    <row r="52" spans="2:35" ht="15" thickBot="1">
      <c r="B52" s="7" t="s">
        <v>995</v>
      </c>
    </row>
    <row r="53" spans="2:35">
      <c r="B53" s="14" t="s">
        <v>7</v>
      </c>
      <c r="C53" s="226" t="s">
        <v>1070</v>
      </c>
      <c r="D53" s="226"/>
      <c r="E53" s="226"/>
      <c r="F53" s="226"/>
      <c r="G53" s="226"/>
      <c r="H53" s="226"/>
      <c r="I53" s="226"/>
      <c r="J53" s="226"/>
      <c r="K53" s="226"/>
      <c r="L53" s="226"/>
      <c r="M53" s="226" t="s">
        <v>1000</v>
      </c>
      <c r="N53" s="226"/>
      <c r="O53" s="226"/>
      <c r="P53" s="226"/>
      <c r="Q53" s="226"/>
      <c r="R53" s="226"/>
      <c r="S53" s="226"/>
      <c r="T53" s="226"/>
      <c r="U53" s="226" t="s">
        <v>1154</v>
      </c>
      <c r="V53" s="226"/>
      <c r="W53" s="226"/>
      <c r="X53" s="226"/>
      <c r="Y53" s="226"/>
      <c r="Z53" s="226"/>
      <c r="AA53" s="226"/>
      <c r="AB53" s="226"/>
      <c r="AC53" s="226"/>
      <c r="AD53" s="226" t="s">
        <v>1155</v>
      </c>
      <c r="AE53" s="226"/>
      <c r="AF53" s="226"/>
      <c r="AG53" s="226"/>
      <c r="AH53" s="226"/>
      <c r="AI53" s="227"/>
    </row>
    <row r="54" spans="2:35" ht="13.8" thickBot="1">
      <c r="B54" s="4"/>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8"/>
    </row>
    <row r="56" spans="2:35" ht="15" thickBot="1">
      <c r="B56" s="7" t="s">
        <v>996</v>
      </c>
    </row>
    <row r="57" spans="2:35">
      <c r="B57" s="14" t="s">
        <v>7</v>
      </c>
      <c r="C57" s="226" t="s">
        <v>1070</v>
      </c>
      <c r="D57" s="226"/>
      <c r="E57" s="226"/>
      <c r="F57" s="226"/>
      <c r="G57" s="226"/>
      <c r="H57" s="226"/>
      <c r="I57" s="226"/>
      <c r="J57" s="226"/>
      <c r="K57" s="226"/>
      <c r="L57" s="226"/>
      <c r="M57" s="226" t="s">
        <v>1000</v>
      </c>
      <c r="N57" s="226"/>
      <c r="O57" s="226"/>
      <c r="P57" s="226"/>
      <c r="Q57" s="226"/>
      <c r="R57" s="226"/>
      <c r="S57" s="226"/>
      <c r="T57" s="226"/>
      <c r="U57" s="226" t="s">
        <v>1154</v>
      </c>
      <c r="V57" s="226"/>
      <c r="W57" s="226"/>
      <c r="X57" s="226"/>
      <c r="Y57" s="226"/>
      <c r="Z57" s="226"/>
      <c r="AA57" s="226"/>
      <c r="AB57" s="226"/>
      <c r="AC57" s="226"/>
      <c r="AD57" s="226" t="s">
        <v>1155</v>
      </c>
      <c r="AE57" s="226"/>
      <c r="AF57" s="226"/>
      <c r="AG57" s="226"/>
      <c r="AH57" s="226"/>
      <c r="AI57" s="227"/>
    </row>
    <row r="58" spans="2:35" ht="13.8" thickBot="1">
      <c r="B58" s="4"/>
      <c r="C58" s="190"/>
      <c r="D58" s="190"/>
      <c r="E58" s="190"/>
      <c r="F58" s="190"/>
      <c r="G58" s="190"/>
      <c r="H58" s="190"/>
      <c r="I58" s="190"/>
      <c r="J58" s="190"/>
      <c r="K58" s="190"/>
      <c r="L58" s="190"/>
      <c r="M58" s="190"/>
      <c r="N58" s="190"/>
      <c r="O58" s="190"/>
      <c r="P58" s="190"/>
      <c r="Q58" s="190"/>
      <c r="R58" s="190"/>
      <c r="S58" s="190"/>
      <c r="T58" s="190"/>
      <c r="U58" s="190"/>
      <c r="V58" s="190"/>
      <c r="W58" s="190"/>
      <c r="X58" s="190"/>
      <c r="Y58" s="190"/>
      <c r="Z58" s="190"/>
      <c r="AA58" s="190"/>
      <c r="AB58" s="190"/>
      <c r="AC58" s="190"/>
      <c r="AD58" s="190"/>
      <c r="AE58" s="190"/>
      <c r="AF58" s="190"/>
      <c r="AG58" s="190"/>
      <c r="AH58" s="190"/>
      <c r="AI58" s="198"/>
    </row>
  </sheetData>
  <mergeCells count="294">
    <mergeCell ref="AA26:AB26"/>
    <mergeCell ref="AC26:AD26"/>
    <mergeCell ref="AA24:AB24"/>
    <mergeCell ref="AC24:AD24"/>
    <mergeCell ref="AE24:AK24"/>
    <mergeCell ref="C26:H26"/>
    <mergeCell ref="I26:P26"/>
    <mergeCell ref="Q26:X26"/>
    <mergeCell ref="Y26:Z26"/>
    <mergeCell ref="C21:H21"/>
    <mergeCell ref="I21:P21"/>
    <mergeCell ref="Q21:X21"/>
    <mergeCell ref="Y21:Z21"/>
    <mergeCell ref="AA21:AB21"/>
    <mergeCell ref="AC21:AD21"/>
    <mergeCell ref="AE21:AK21"/>
    <mergeCell ref="Y17:Z17"/>
    <mergeCell ref="AA17:AB17"/>
    <mergeCell ref="AC17:AD17"/>
    <mergeCell ref="AE17:AK17"/>
    <mergeCell ref="C18:H18"/>
    <mergeCell ref="I18:P18"/>
    <mergeCell ref="Q18:X18"/>
    <mergeCell ref="Y18:Z18"/>
    <mergeCell ref="AA18:AB18"/>
    <mergeCell ref="AC18:AD18"/>
    <mergeCell ref="AE18:AK18"/>
    <mergeCell ref="C19:H19"/>
    <mergeCell ref="I19:P19"/>
    <mergeCell ref="Q19:X19"/>
    <mergeCell ref="I20:P20"/>
    <mergeCell ref="Q20:X20"/>
    <mergeCell ref="Y20:Z20"/>
    <mergeCell ref="C16:H16"/>
    <mergeCell ref="I16:P16"/>
    <mergeCell ref="Q16:X16"/>
    <mergeCell ref="Y16:Z16"/>
    <mergeCell ref="AA16:AB16"/>
    <mergeCell ref="AC16:AD16"/>
    <mergeCell ref="C17:H17"/>
    <mergeCell ref="I17:P17"/>
    <mergeCell ref="Q17:X17"/>
    <mergeCell ref="AA20:AB20"/>
    <mergeCell ref="AC20:AD20"/>
    <mergeCell ref="AE20:AK20"/>
    <mergeCell ref="Y19:Z19"/>
    <mergeCell ref="AA19:AB19"/>
    <mergeCell ref="AC19:AD19"/>
    <mergeCell ref="AE19:AK19"/>
    <mergeCell ref="AC11:AD11"/>
    <mergeCell ref="AE11:AK11"/>
    <mergeCell ref="AA14:AB14"/>
    <mergeCell ref="Y11:Z11"/>
    <mergeCell ref="AA11:AB11"/>
    <mergeCell ref="C33:H33"/>
    <mergeCell ref="I33:P33"/>
    <mergeCell ref="Q33:X33"/>
    <mergeCell ref="Y33:Z33"/>
    <mergeCell ref="AA33:AB33"/>
    <mergeCell ref="AC33:AD33"/>
    <mergeCell ref="AE33:AK33"/>
    <mergeCell ref="AE12:AK12"/>
    <mergeCell ref="C12:H12"/>
    <mergeCell ref="I12:P12"/>
    <mergeCell ref="Q12:X12"/>
    <mergeCell ref="Y12:Z12"/>
    <mergeCell ref="AA12:AB12"/>
    <mergeCell ref="AC12:AD12"/>
    <mergeCell ref="C22:H22"/>
    <mergeCell ref="I22:P22"/>
    <mergeCell ref="Q22:X22"/>
    <mergeCell ref="Y22:Z22"/>
    <mergeCell ref="AA22:AB22"/>
    <mergeCell ref="AC22:AD22"/>
    <mergeCell ref="AE16:AK16"/>
    <mergeCell ref="C20:H20"/>
    <mergeCell ref="Q14:X14"/>
    <mergeCell ref="Y14:Z14"/>
    <mergeCell ref="AE8:AK8"/>
    <mergeCell ref="C9:H9"/>
    <mergeCell ref="I9:P9"/>
    <mergeCell ref="Q9:X9"/>
    <mergeCell ref="Y9:Z9"/>
    <mergeCell ref="AA9:AB9"/>
    <mergeCell ref="AC9:AD9"/>
    <mergeCell ref="AE9:AK9"/>
    <mergeCell ref="C8:H8"/>
    <mergeCell ref="Q8:X8"/>
    <mergeCell ref="Y8:Z8"/>
    <mergeCell ref="AA8:AB8"/>
    <mergeCell ref="AC8:AD8"/>
    <mergeCell ref="I8:P8"/>
    <mergeCell ref="Q11:X11"/>
    <mergeCell ref="B2:E4"/>
    <mergeCell ref="F2:H2"/>
    <mergeCell ref="I2:O2"/>
    <mergeCell ref="F3:H3"/>
    <mergeCell ref="I3:O3"/>
    <mergeCell ref="F4:H4"/>
    <mergeCell ref="I4:O4"/>
    <mergeCell ref="C10:H10"/>
    <mergeCell ref="I10:P10"/>
    <mergeCell ref="Q10:X10"/>
    <mergeCell ref="Y10:Z10"/>
    <mergeCell ref="AA10:AB10"/>
    <mergeCell ref="AE13:AK13"/>
    <mergeCell ref="C15:H15"/>
    <mergeCell ref="I15:P15"/>
    <mergeCell ref="Q15:X15"/>
    <mergeCell ref="Y15:Z15"/>
    <mergeCell ref="AA15:AB15"/>
    <mergeCell ref="AC15:AD15"/>
    <mergeCell ref="AE15:AK15"/>
    <mergeCell ref="C13:H13"/>
    <mergeCell ref="I13:P13"/>
    <mergeCell ref="Q13:X13"/>
    <mergeCell ref="Y13:Z13"/>
    <mergeCell ref="AA13:AB13"/>
    <mergeCell ref="AC13:AD13"/>
    <mergeCell ref="AC10:AD10"/>
    <mergeCell ref="AE10:AK10"/>
    <mergeCell ref="C11:H11"/>
    <mergeCell ref="C14:H14"/>
    <mergeCell ref="I14:P14"/>
    <mergeCell ref="AC14:AD14"/>
    <mergeCell ref="AE14:AK14"/>
    <mergeCell ref="I11:P11"/>
    <mergeCell ref="AE30:AK30"/>
    <mergeCell ref="C25:H25"/>
    <mergeCell ref="I25:P25"/>
    <mergeCell ref="Q25:X25"/>
    <mergeCell ref="Y25:Z25"/>
    <mergeCell ref="AA25:AB25"/>
    <mergeCell ref="AC25:AD25"/>
    <mergeCell ref="AE25:AK25"/>
    <mergeCell ref="C30:H30"/>
    <mergeCell ref="I30:P30"/>
    <mergeCell ref="Q30:X30"/>
    <mergeCell ref="Y30:Z30"/>
    <mergeCell ref="AA30:AB30"/>
    <mergeCell ref="AC30:AD30"/>
    <mergeCell ref="C28:H28"/>
    <mergeCell ref="I28:P28"/>
    <mergeCell ref="Q28:X28"/>
    <mergeCell ref="Y28:Z28"/>
    <mergeCell ref="AA28:AB28"/>
    <mergeCell ref="AC28:AD28"/>
    <mergeCell ref="AE28:AK28"/>
    <mergeCell ref="C29:H29"/>
    <mergeCell ref="I29:P29"/>
    <mergeCell ref="Q29:X29"/>
    <mergeCell ref="AE31:AK31"/>
    <mergeCell ref="C32:H32"/>
    <mergeCell ref="I32:P32"/>
    <mergeCell ref="Q32:X32"/>
    <mergeCell ref="Y32:Z32"/>
    <mergeCell ref="AA32:AB32"/>
    <mergeCell ref="AC32:AD32"/>
    <mergeCell ref="AE32:AK32"/>
    <mergeCell ref="C31:H31"/>
    <mergeCell ref="I31:P31"/>
    <mergeCell ref="Q31:X31"/>
    <mergeCell ref="Y31:Z31"/>
    <mergeCell ref="AA31:AB31"/>
    <mergeCell ref="AC31:AD31"/>
    <mergeCell ref="AE34:AK34"/>
    <mergeCell ref="C35:H35"/>
    <mergeCell ref="I35:P35"/>
    <mergeCell ref="Q35:X35"/>
    <mergeCell ref="Y35:Z35"/>
    <mergeCell ref="AA35:AB35"/>
    <mergeCell ref="AC35:AD35"/>
    <mergeCell ref="AE35:AK35"/>
    <mergeCell ref="C34:H34"/>
    <mergeCell ref="I34:P34"/>
    <mergeCell ref="Q34:X34"/>
    <mergeCell ref="Y34:Z34"/>
    <mergeCell ref="AA34:AB34"/>
    <mergeCell ref="AC34:AD34"/>
    <mergeCell ref="AE36:AK36"/>
    <mergeCell ref="C37:H37"/>
    <mergeCell ref="I37:P37"/>
    <mergeCell ref="Q37:X37"/>
    <mergeCell ref="Y37:Z37"/>
    <mergeCell ref="AA37:AB37"/>
    <mergeCell ref="AC37:AD37"/>
    <mergeCell ref="AE37:AK37"/>
    <mergeCell ref="C36:H36"/>
    <mergeCell ref="I36:P36"/>
    <mergeCell ref="Q36:X36"/>
    <mergeCell ref="Y36:Z36"/>
    <mergeCell ref="AA36:AB36"/>
    <mergeCell ref="AC36:AD36"/>
    <mergeCell ref="AE38:AK38"/>
    <mergeCell ref="C39:H39"/>
    <mergeCell ref="I39:P39"/>
    <mergeCell ref="Q39:X39"/>
    <mergeCell ref="Y39:Z39"/>
    <mergeCell ref="AA39:AB39"/>
    <mergeCell ref="AC39:AD39"/>
    <mergeCell ref="AE39:AK39"/>
    <mergeCell ref="C38:H38"/>
    <mergeCell ref="I38:P38"/>
    <mergeCell ref="Q38:X38"/>
    <mergeCell ref="Y38:Z38"/>
    <mergeCell ref="AA38:AB38"/>
    <mergeCell ref="AC38:AD38"/>
    <mergeCell ref="B49:B50"/>
    <mergeCell ref="C49:K50"/>
    <mergeCell ref="L49:U49"/>
    <mergeCell ref="V49:X50"/>
    <mergeCell ref="Y49:AA50"/>
    <mergeCell ref="AB49:AI50"/>
    <mergeCell ref="L50:U50"/>
    <mergeCell ref="C48:K48"/>
    <mergeCell ref="L48:U48"/>
    <mergeCell ref="V48:X48"/>
    <mergeCell ref="Y48:AA48"/>
    <mergeCell ref="AB48:AI48"/>
    <mergeCell ref="C57:L57"/>
    <mergeCell ref="M57:T57"/>
    <mergeCell ref="U57:AC57"/>
    <mergeCell ref="AD57:AI57"/>
    <mergeCell ref="C58:L58"/>
    <mergeCell ref="M58:T58"/>
    <mergeCell ref="U58:AC58"/>
    <mergeCell ref="AD58:AI58"/>
    <mergeCell ref="C53:L53"/>
    <mergeCell ref="M53:T53"/>
    <mergeCell ref="U53:AC53"/>
    <mergeCell ref="AD53:AI53"/>
    <mergeCell ref="C54:L54"/>
    <mergeCell ref="M54:T54"/>
    <mergeCell ref="U54:AC54"/>
    <mergeCell ref="AD54:AI54"/>
    <mergeCell ref="C44:H44"/>
    <mergeCell ref="I44:P44"/>
    <mergeCell ref="Q44:X44"/>
    <mergeCell ref="Y44:Z44"/>
    <mergeCell ref="AA44:AB44"/>
    <mergeCell ref="AC44:AD44"/>
    <mergeCell ref="AE44:AK44"/>
    <mergeCell ref="AE43:AK43"/>
    <mergeCell ref="C43:H43"/>
    <mergeCell ref="I43:P43"/>
    <mergeCell ref="Q43:X43"/>
    <mergeCell ref="Y43:Z43"/>
    <mergeCell ref="AA43:AB43"/>
    <mergeCell ref="AC43:AD43"/>
    <mergeCell ref="C42:H42"/>
    <mergeCell ref="I42:P42"/>
    <mergeCell ref="Q42:X42"/>
    <mergeCell ref="Y42:Z42"/>
    <mergeCell ref="AA42:AB42"/>
    <mergeCell ref="AC42:AD42"/>
    <mergeCell ref="AE42:AK42"/>
    <mergeCell ref="AE40:AK40"/>
    <mergeCell ref="C41:H41"/>
    <mergeCell ref="I41:P41"/>
    <mergeCell ref="Q41:X41"/>
    <mergeCell ref="Y41:Z41"/>
    <mergeCell ref="AA41:AB41"/>
    <mergeCell ref="AC41:AD41"/>
    <mergeCell ref="AE41:AK41"/>
    <mergeCell ref="C40:H40"/>
    <mergeCell ref="I40:P40"/>
    <mergeCell ref="Q40:X40"/>
    <mergeCell ref="Y40:Z40"/>
    <mergeCell ref="AA40:AB40"/>
    <mergeCell ref="AC40:AD40"/>
    <mergeCell ref="AE22:AK22"/>
    <mergeCell ref="C24:H24"/>
    <mergeCell ref="I24:P24"/>
    <mergeCell ref="Q24:X24"/>
    <mergeCell ref="Y24:Z24"/>
    <mergeCell ref="Y29:Z29"/>
    <mergeCell ref="AA29:AB29"/>
    <mergeCell ref="AC29:AD29"/>
    <mergeCell ref="AE29:AK29"/>
    <mergeCell ref="I27:P27"/>
    <mergeCell ref="Q27:X27"/>
    <mergeCell ref="Y27:Z27"/>
    <mergeCell ref="AA27:AB27"/>
    <mergeCell ref="AC27:AD27"/>
    <mergeCell ref="AE27:AK27"/>
    <mergeCell ref="C23:H23"/>
    <mergeCell ref="I23:P23"/>
    <mergeCell ref="Q23:X23"/>
    <mergeCell ref="Y23:Z23"/>
    <mergeCell ref="AA23:AB23"/>
    <mergeCell ref="AC23:AD23"/>
    <mergeCell ref="AE23:AK23"/>
    <mergeCell ref="AE26:AK26"/>
    <mergeCell ref="C27:H27"/>
  </mergeCells>
  <phoneticPr fontId="3"/>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C54A8-57C3-4AD9-9B5B-AE343465FA19}">
  <sheetPr codeName="Sheet90"/>
  <dimension ref="B1:AK51"/>
  <sheetViews>
    <sheetView topLeftCell="A25" zoomScaleNormal="100" workbookViewId="0">
      <selection activeCell="I11" sqref="I11:P11"/>
    </sheetView>
  </sheetViews>
  <sheetFormatPr defaultColWidth="3.6640625" defaultRowHeight="13.2"/>
  <sheetData>
    <row r="1" spans="2:37" ht="13.8" thickBot="1"/>
    <row r="2" spans="2:37">
      <c r="B2" s="205" t="s">
        <v>95</v>
      </c>
      <c r="C2" s="206"/>
      <c r="D2" s="206"/>
      <c r="E2" s="206"/>
      <c r="F2" s="211" t="s">
        <v>93</v>
      </c>
      <c r="G2" s="211"/>
      <c r="H2" s="212"/>
      <c r="I2" s="196" t="s">
        <v>1261</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1262</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1263</v>
      </c>
      <c r="D9" s="189"/>
      <c r="E9" s="189"/>
      <c r="F9" s="189"/>
      <c r="G9" s="189"/>
      <c r="H9" s="189"/>
      <c r="I9" s="189" t="s">
        <v>1264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1185</v>
      </c>
      <c r="D10" s="189"/>
      <c r="E10" s="189"/>
      <c r="F10" s="189"/>
      <c r="G10" s="189"/>
      <c r="H10" s="189"/>
      <c r="I10" s="189" t="s">
        <v>1041</v>
      </c>
      <c r="J10" s="189"/>
      <c r="K10" s="189"/>
      <c r="L10" s="189"/>
      <c r="M10" s="189"/>
      <c r="N10" s="189"/>
      <c r="O10" s="189"/>
      <c r="P10" s="189"/>
      <c r="Q10" s="189" t="s">
        <v>977</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1265</v>
      </c>
      <c r="D11" s="189"/>
      <c r="E11" s="189"/>
      <c r="F11" s="189"/>
      <c r="G11" s="189"/>
      <c r="H11" s="189"/>
      <c r="I11" s="189" t="s">
        <v>1266</v>
      </c>
      <c r="J11" s="189"/>
      <c r="K11" s="189"/>
      <c r="L11" s="189"/>
      <c r="M11" s="189"/>
      <c r="N11" s="189"/>
      <c r="O11" s="189"/>
      <c r="P11" s="189"/>
      <c r="Q11" s="189" t="s">
        <v>144</v>
      </c>
      <c r="R11" s="189"/>
      <c r="S11" s="189"/>
      <c r="T11" s="189"/>
      <c r="U11" s="189"/>
      <c r="V11" s="189"/>
      <c r="W11" s="189"/>
      <c r="X11" s="189"/>
      <c r="Y11" s="189"/>
      <c r="Z11" s="189"/>
      <c r="AA11" s="189"/>
      <c r="AB11" s="189"/>
      <c r="AC11" s="189"/>
      <c r="AD11" s="189"/>
      <c r="AE11" s="189"/>
      <c r="AF11" s="189"/>
      <c r="AG11" s="189"/>
      <c r="AH11" s="189"/>
      <c r="AI11" s="189"/>
      <c r="AJ11" s="189"/>
      <c r="AK11" s="191"/>
    </row>
    <row r="12" spans="2:37">
      <c r="B12" s="83">
        <v>4</v>
      </c>
      <c r="C12" s="189" t="s">
        <v>1267</v>
      </c>
      <c r="D12" s="189"/>
      <c r="E12" s="189"/>
      <c r="F12" s="189"/>
      <c r="G12" s="189"/>
      <c r="H12" s="189"/>
      <c r="I12" s="189" t="s">
        <v>1268</v>
      </c>
      <c r="J12" s="189"/>
      <c r="K12" s="189"/>
      <c r="L12" s="189"/>
      <c r="M12" s="189"/>
      <c r="N12" s="189"/>
      <c r="O12" s="189"/>
      <c r="P12" s="189"/>
      <c r="Q12" s="189" t="s">
        <v>1206</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83">
        <v>5</v>
      </c>
      <c r="C13" s="189" t="s">
        <v>1247</v>
      </c>
      <c r="D13" s="189"/>
      <c r="E13" s="189"/>
      <c r="F13" s="189"/>
      <c r="G13" s="189"/>
      <c r="H13" s="189"/>
      <c r="I13" s="189" t="s">
        <v>1188</v>
      </c>
      <c r="J13" s="189"/>
      <c r="K13" s="189"/>
      <c r="L13" s="189"/>
      <c r="M13" s="189"/>
      <c r="N13" s="189"/>
      <c r="O13" s="189"/>
      <c r="P13" s="189"/>
      <c r="Q13" s="189" t="s">
        <v>1189</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83">
        <v>6</v>
      </c>
      <c r="C14" s="189" t="s">
        <v>1248</v>
      </c>
      <c r="D14" s="189"/>
      <c r="E14" s="189"/>
      <c r="F14" s="189"/>
      <c r="G14" s="189"/>
      <c r="H14" s="189"/>
      <c r="I14" s="189" t="s">
        <v>1191</v>
      </c>
      <c r="J14" s="189"/>
      <c r="K14" s="189"/>
      <c r="L14" s="189"/>
      <c r="M14" s="189"/>
      <c r="N14" s="189"/>
      <c r="O14" s="189"/>
      <c r="P14" s="189"/>
      <c r="Q14" s="189" t="s">
        <v>1189</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83">
        <v>7</v>
      </c>
      <c r="C15" s="189" t="s">
        <v>1269</v>
      </c>
      <c r="D15" s="189"/>
      <c r="E15" s="189"/>
      <c r="F15" s="189"/>
      <c r="G15" s="189"/>
      <c r="H15" s="189"/>
      <c r="I15" s="189" t="s">
        <v>1192</v>
      </c>
      <c r="J15" s="189"/>
      <c r="K15" s="189"/>
      <c r="L15" s="189"/>
      <c r="M15" s="189"/>
      <c r="N15" s="189"/>
      <c r="O15" s="189"/>
      <c r="P15" s="189"/>
      <c r="Q15" s="189" t="s">
        <v>1189</v>
      </c>
      <c r="R15" s="189"/>
      <c r="S15" s="189"/>
      <c r="T15" s="189"/>
      <c r="U15" s="189"/>
      <c r="V15" s="189"/>
      <c r="W15" s="189"/>
      <c r="X15" s="189"/>
      <c r="Y15" s="189"/>
      <c r="Z15" s="189"/>
      <c r="AA15" s="189"/>
      <c r="AB15" s="189"/>
      <c r="AC15" s="189"/>
      <c r="AD15" s="189"/>
      <c r="AE15" s="189"/>
      <c r="AF15" s="189"/>
      <c r="AG15" s="189"/>
      <c r="AH15" s="189"/>
      <c r="AI15" s="189"/>
      <c r="AJ15" s="189"/>
      <c r="AK15" s="191"/>
    </row>
    <row r="16" spans="2:37" s="81" customFormat="1">
      <c r="B16" s="160">
        <v>8</v>
      </c>
      <c r="C16" s="189" t="s">
        <v>1500</v>
      </c>
      <c r="D16" s="189"/>
      <c r="E16" s="189"/>
      <c r="F16" s="189"/>
      <c r="G16" s="189"/>
      <c r="H16" s="189"/>
      <c r="I16" s="189" t="s">
        <v>1502</v>
      </c>
      <c r="J16" s="189"/>
      <c r="K16" s="189"/>
      <c r="L16" s="189"/>
      <c r="M16" s="189"/>
      <c r="N16" s="189"/>
      <c r="O16" s="189"/>
      <c r="P16" s="189"/>
      <c r="Q16" s="189" t="s">
        <v>1206</v>
      </c>
      <c r="R16" s="189"/>
      <c r="S16" s="189"/>
      <c r="T16" s="189"/>
      <c r="U16" s="189"/>
      <c r="V16" s="189"/>
      <c r="W16" s="189"/>
      <c r="X16" s="189"/>
      <c r="Y16" s="189"/>
      <c r="Z16" s="189"/>
      <c r="AA16" s="189"/>
      <c r="AB16" s="189"/>
      <c r="AC16" s="189"/>
      <c r="AD16" s="189"/>
      <c r="AE16" s="189"/>
      <c r="AF16" s="189"/>
      <c r="AG16" s="189"/>
      <c r="AH16" s="189"/>
      <c r="AI16" s="189"/>
      <c r="AJ16" s="189"/>
      <c r="AK16" s="191"/>
    </row>
    <row r="17" spans="2:37" s="81" customFormat="1">
      <c r="B17" s="160">
        <v>9</v>
      </c>
      <c r="C17" s="189" t="s">
        <v>1501</v>
      </c>
      <c r="D17" s="189"/>
      <c r="E17" s="189"/>
      <c r="F17" s="189"/>
      <c r="G17" s="189"/>
      <c r="H17" s="189"/>
      <c r="I17" s="189" t="s">
        <v>1503</v>
      </c>
      <c r="J17" s="189"/>
      <c r="K17" s="189"/>
      <c r="L17" s="189"/>
      <c r="M17" s="189"/>
      <c r="N17" s="189"/>
      <c r="O17" s="189"/>
      <c r="P17" s="189"/>
      <c r="Q17" s="189" t="s">
        <v>1206</v>
      </c>
      <c r="R17" s="189"/>
      <c r="S17" s="189"/>
      <c r="T17" s="189"/>
      <c r="U17" s="189"/>
      <c r="V17" s="189"/>
      <c r="W17" s="189"/>
      <c r="X17" s="189"/>
      <c r="Y17" s="189"/>
      <c r="Z17" s="189"/>
      <c r="AA17" s="189"/>
      <c r="AB17" s="189"/>
      <c r="AC17" s="189"/>
      <c r="AD17" s="189"/>
      <c r="AE17" s="189"/>
      <c r="AF17" s="189"/>
      <c r="AG17" s="189"/>
      <c r="AH17" s="189"/>
      <c r="AI17" s="189"/>
      <c r="AJ17" s="189"/>
      <c r="AK17" s="191"/>
    </row>
    <row r="18" spans="2:37" s="81" customFormat="1">
      <c r="B18" s="160">
        <v>10</v>
      </c>
      <c r="C18" s="189" t="s">
        <v>1526</v>
      </c>
      <c r="D18" s="189"/>
      <c r="E18" s="189"/>
      <c r="F18" s="189"/>
      <c r="G18" s="189"/>
      <c r="H18" s="189"/>
      <c r="I18" s="189" t="s">
        <v>1324</v>
      </c>
      <c r="J18" s="189"/>
      <c r="K18" s="189"/>
      <c r="L18" s="189"/>
      <c r="M18" s="189"/>
      <c r="N18" s="189"/>
      <c r="O18" s="189"/>
      <c r="P18" s="189"/>
      <c r="Q18" s="189" t="s">
        <v>392</v>
      </c>
      <c r="R18" s="189"/>
      <c r="S18" s="189"/>
      <c r="T18" s="189"/>
      <c r="U18" s="189"/>
      <c r="V18" s="189"/>
      <c r="W18" s="189"/>
      <c r="X18" s="189"/>
      <c r="Y18" s="189"/>
      <c r="Z18" s="189"/>
      <c r="AA18" s="189"/>
      <c r="AB18" s="189"/>
      <c r="AC18" s="189"/>
      <c r="AD18" s="189"/>
      <c r="AE18" s="189"/>
      <c r="AF18" s="189"/>
      <c r="AG18" s="189"/>
      <c r="AH18" s="189"/>
      <c r="AI18" s="189"/>
      <c r="AJ18" s="189"/>
      <c r="AK18" s="191"/>
    </row>
    <row r="19" spans="2:37" s="81" customFormat="1">
      <c r="B19" s="160">
        <v>11</v>
      </c>
      <c r="C19" s="189" t="s">
        <v>1587</v>
      </c>
      <c r="D19" s="189"/>
      <c r="E19" s="189"/>
      <c r="F19" s="189"/>
      <c r="G19" s="189"/>
      <c r="H19" s="189"/>
      <c r="I19" s="189" t="s">
        <v>1325</v>
      </c>
      <c r="J19" s="189"/>
      <c r="K19" s="189"/>
      <c r="L19" s="189"/>
      <c r="M19" s="189"/>
      <c r="N19" s="189"/>
      <c r="O19" s="189"/>
      <c r="P19" s="189"/>
      <c r="Q19" s="189" t="s">
        <v>392</v>
      </c>
      <c r="R19" s="189"/>
      <c r="S19" s="189"/>
      <c r="T19" s="189"/>
      <c r="U19" s="189"/>
      <c r="V19" s="189"/>
      <c r="W19" s="189"/>
      <c r="X19" s="189"/>
      <c r="Y19" s="189"/>
      <c r="Z19" s="189"/>
      <c r="AA19" s="189"/>
      <c r="AB19" s="189"/>
      <c r="AC19" s="189"/>
      <c r="AD19" s="189"/>
      <c r="AE19" s="189"/>
      <c r="AF19" s="189"/>
      <c r="AG19" s="189"/>
      <c r="AH19" s="189"/>
      <c r="AI19" s="189"/>
      <c r="AJ19" s="189"/>
      <c r="AK19" s="191"/>
    </row>
    <row r="20" spans="2:37" s="88" customFormat="1">
      <c r="B20" s="160">
        <v>12</v>
      </c>
      <c r="C20" s="189" t="s">
        <v>1207</v>
      </c>
      <c r="D20" s="189"/>
      <c r="E20" s="189"/>
      <c r="F20" s="189"/>
      <c r="G20" s="189"/>
      <c r="H20" s="189"/>
      <c r="I20" s="189" t="s">
        <v>1079</v>
      </c>
      <c r="J20" s="189"/>
      <c r="K20" s="189"/>
      <c r="L20" s="189"/>
      <c r="M20" s="189"/>
      <c r="N20" s="189"/>
      <c r="O20" s="189"/>
      <c r="P20" s="189"/>
      <c r="Q20" s="189" t="s">
        <v>977</v>
      </c>
      <c r="R20" s="189"/>
      <c r="S20" s="189"/>
      <c r="T20" s="189"/>
      <c r="U20" s="189"/>
      <c r="V20" s="189"/>
      <c r="W20" s="189"/>
      <c r="X20" s="189"/>
      <c r="Y20" s="189"/>
      <c r="Z20" s="189"/>
      <c r="AA20" s="189"/>
      <c r="AB20" s="189"/>
      <c r="AC20" s="189"/>
      <c r="AD20" s="189"/>
      <c r="AE20" s="189"/>
      <c r="AF20" s="189"/>
      <c r="AG20" s="189"/>
      <c r="AH20" s="189"/>
      <c r="AI20" s="189"/>
      <c r="AJ20" s="189"/>
      <c r="AK20" s="191"/>
    </row>
    <row r="21" spans="2:37" s="88" customFormat="1">
      <c r="B21" s="160">
        <v>13</v>
      </c>
      <c r="C21" s="189" t="s">
        <v>1208</v>
      </c>
      <c r="D21" s="189"/>
      <c r="E21" s="189"/>
      <c r="F21" s="189"/>
      <c r="G21" s="189"/>
      <c r="H21" s="189"/>
      <c r="I21" s="189" t="s">
        <v>1209</v>
      </c>
      <c r="J21" s="189"/>
      <c r="K21" s="189"/>
      <c r="L21" s="189"/>
      <c r="M21" s="189"/>
      <c r="N21" s="189"/>
      <c r="O21" s="189"/>
      <c r="P21" s="189"/>
      <c r="Q21" s="189" t="s">
        <v>1189</v>
      </c>
      <c r="R21" s="189"/>
      <c r="S21" s="189"/>
      <c r="T21" s="189"/>
      <c r="U21" s="189"/>
      <c r="V21" s="189"/>
      <c r="W21" s="189"/>
      <c r="X21" s="189"/>
      <c r="Y21" s="189"/>
      <c r="Z21" s="189"/>
      <c r="AA21" s="189"/>
      <c r="AB21" s="189"/>
      <c r="AC21" s="189"/>
      <c r="AD21" s="189"/>
      <c r="AE21" s="189"/>
      <c r="AF21" s="189"/>
      <c r="AG21" s="189"/>
      <c r="AH21" s="189"/>
      <c r="AI21" s="189"/>
      <c r="AJ21" s="189"/>
      <c r="AK21" s="191"/>
    </row>
    <row r="22" spans="2:37" s="88" customFormat="1">
      <c r="B22" s="160">
        <v>14</v>
      </c>
      <c r="C22" s="189" t="s">
        <v>1255</v>
      </c>
      <c r="D22" s="189"/>
      <c r="E22" s="189"/>
      <c r="F22" s="189"/>
      <c r="G22" s="189"/>
      <c r="H22" s="189"/>
      <c r="I22" s="189" t="s">
        <v>1135</v>
      </c>
      <c r="J22" s="189"/>
      <c r="K22" s="189"/>
      <c r="L22" s="189"/>
      <c r="M22" s="189"/>
      <c r="N22" s="189"/>
      <c r="O22" s="189"/>
      <c r="P22" s="189"/>
      <c r="Q22" s="189" t="s">
        <v>977</v>
      </c>
      <c r="R22" s="189"/>
      <c r="S22" s="189"/>
      <c r="T22" s="189"/>
      <c r="U22" s="189"/>
      <c r="V22" s="189"/>
      <c r="W22" s="189"/>
      <c r="X22" s="189"/>
      <c r="Y22" s="189"/>
      <c r="Z22" s="189"/>
      <c r="AA22" s="189"/>
      <c r="AB22" s="189"/>
      <c r="AC22" s="189"/>
      <c r="AD22" s="189"/>
      <c r="AE22" s="189"/>
      <c r="AF22" s="189"/>
      <c r="AG22" s="189"/>
      <c r="AH22" s="189"/>
      <c r="AI22" s="189"/>
      <c r="AJ22" s="189"/>
      <c r="AK22" s="191"/>
    </row>
    <row r="23" spans="2:37" s="88" customFormat="1">
      <c r="B23" s="160">
        <v>15</v>
      </c>
      <c r="C23" s="189" t="s">
        <v>1529</v>
      </c>
      <c r="D23" s="189"/>
      <c r="E23" s="189"/>
      <c r="F23" s="189"/>
      <c r="G23" s="189"/>
      <c r="H23" s="189"/>
      <c r="I23" s="189" t="s">
        <v>1257</v>
      </c>
      <c r="J23" s="189"/>
      <c r="K23" s="189"/>
      <c r="L23" s="189"/>
      <c r="M23" s="189"/>
      <c r="N23" s="189"/>
      <c r="O23" s="189"/>
      <c r="P23" s="189"/>
      <c r="Q23" s="189" t="s">
        <v>1189</v>
      </c>
      <c r="R23" s="189"/>
      <c r="S23" s="189"/>
      <c r="T23" s="189"/>
      <c r="U23" s="189"/>
      <c r="V23" s="189"/>
      <c r="W23" s="189"/>
      <c r="X23" s="189"/>
      <c r="Y23" s="189"/>
      <c r="Z23" s="189"/>
      <c r="AA23" s="189"/>
      <c r="AB23" s="189"/>
      <c r="AC23" s="189"/>
      <c r="AD23" s="189"/>
      <c r="AE23" s="189"/>
      <c r="AF23" s="189"/>
      <c r="AG23" s="189"/>
      <c r="AH23" s="189"/>
      <c r="AI23" s="189"/>
      <c r="AJ23" s="189"/>
      <c r="AK23" s="191"/>
    </row>
    <row r="24" spans="2:37" s="158" customFormat="1">
      <c r="B24" s="160">
        <v>16</v>
      </c>
      <c r="C24" s="189" t="s">
        <v>1852</v>
      </c>
      <c r="D24" s="189"/>
      <c r="E24" s="189"/>
      <c r="F24" s="189"/>
      <c r="G24" s="189"/>
      <c r="H24" s="189"/>
      <c r="I24" s="240" t="s">
        <v>1856</v>
      </c>
      <c r="J24" s="241"/>
      <c r="K24" s="241"/>
      <c r="L24" s="241"/>
      <c r="M24" s="241"/>
      <c r="N24" s="241"/>
      <c r="O24" s="241"/>
      <c r="P24" s="242"/>
      <c r="Q24" s="189" t="s">
        <v>392</v>
      </c>
      <c r="R24" s="189"/>
      <c r="S24" s="189"/>
      <c r="T24" s="189"/>
      <c r="U24" s="189"/>
      <c r="V24" s="189"/>
      <c r="W24" s="189"/>
      <c r="X24" s="189"/>
      <c r="Y24" s="189"/>
      <c r="Z24" s="189"/>
      <c r="AA24" s="189"/>
      <c r="AB24" s="189"/>
      <c r="AC24" s="189"/>
      <c r="AD24" s="189"/>
      <c r="AE24" s="189"/>
      <c r="AF24" s="189"/>
      <c r="AG24" s="189"/>
      <c r="AH24" s="189"/>
      <c r="AI24" s="189"/>
      <c r="AJ24" s="189"/>
      <c r="AK24" s="191"/>
    </row>
    <row r="25" spans="2:37" s="156" customFormat="1">
      <c r="B25" s="160">
        <v>17</v>
      </c>
      <c r="C25" s="189" t="s">
        <v>1845</v>
      </c>
      <c r="D25" s="189"/>
      <c r="E25" s="189"/>
      <c r="F25" s="189"/>
      <c r="G25" s="189"/>
      <c r="H25" s="189"/>
      <c r="I25" s="240" t="s">
        <v>1854</v>
      </c>
      <c r="J25" s="241"/>
      <c r="K25" s="241"/>
      <c r="L25" s="241"/>
      <c r="M25" s="241"/>
      <c r="N25" s="241"/>
      <c r="O25" s="241"/>
      <c r="P25" s="242"/>
      <c r="Q25" s="189" t="s">
        <v>392</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160">
        <v>18</v>
      </c>
      <c r="C26" s="189" t="s">
        <v>1846</v>
      </c>
      <c r="D26" s="189"/>
      <c r="E26" s="189"/>
      <c r="F26" s="189"/>
      <c r="G26" s="189"/>
      <c r="H26" s="189"/>
      <c r="I26" s="189" t="s">
        <v>1855</v>
      </c>
      <c r="J26" s="189"/>
      <c r="K26" s="189"/>
      <c r="L26" s="189"/>
      <c r="M26" s="189"/>
      <c r="N26" s="189"/>
      <c r="O26" s="189"/>
      <c r="P26" s="189"/>
      <c r="Q26" s="189" t="s">
        <v>392</v>
      </c>
      <c r="R26" s="189"/>
      <c r="S26" s="189"/>
      <c r="T26" s="189"/>
      <c r="U26" s="189"/>
      <c r="V26" s="189"/>
      <c r="W26" s="189"/>
      <c r="X26" s="189"/>
      <c r="Y26" s="189"/>
      <c r="Z26" s="189"/>
      <c r="AA26" s="189"/>
      <c r="AB26" s="189"/>
      <c r="AC26" s="189"/>
      <c r="AD26" s="189"/>
      <c r="AE26" s="189"/>
      <c r="AF26" s="189"/>
      <c r="AG26" s="189"/>
      <c r="AH26" s="189"/>
      <c r="AI26" s="189"/>
      <c r="AJ26" s="189"/>
      <c r="AK26" s="191"/>
    </row>
    <row r="27" spans="2:37" s="158" customFormat="1">
      <c r="B27" s="160">
        <v>19</v>
      </c>
      <c r="C27" s="189" t="s">
        <v>1853</v>
      </c>
      <c r="D27" s="189"/>
      <c r="E27" s="189"/>
      <c r="F27" s="189"/>
      <c r="G27" s="189"/>
      <c r="H27" s="189"/>
      <c r="I27" s="240" t="s">
        <v>1857</v>
      </c>
      <c r="J27" s="241"/>
      <c r="K27" s="241"/>
      <c r="L27" s="241"/>
      <c r="M27" s="241"/>
      <c r="N27" s="241"/>
      <c r="O27" s="241"/>
      <c r="P27" s="242"/>
      <c r="Q27" s="189" t="s">
        <v>392</v>
      </c>
      <c r="R27" s="189"/>
      <c r="S27" s="189"/>
      <c r="T27" s="189"/>
      <c r="U27" s="189"/>
      <c r="V27" s="189"/>
      <c r="W27" s="189"/>
      <c r="X27" s="189"/>
      <c r="Y27" s="189"/>
      <c r="Z27" s="189"/>
      <c r="AA27" s="189"/>
      <c r="AB27" s="189"/>
      <c r="AC27" s="189"/>
      <c r="AD27" s="189"/>
      <c r="AE27" s="189"/>
      <c r="AF27" s="189"/>
      <c r="AG27" s="189"/>
      <c r="AH27" s="189"/>
      <c r="AI27" s="189"/>
      <c r="AJ27" s="189"/>
      <c r="AK27" s="191"/>
    </row>
    <row r="28" spans="2:37" s="158" customFormat="1">
      <c r="B28" s="160">
        <v>20</v>
      </c>
      <c r="C28" s="189" t="s">
        <v>1850</v>
      </c>
      <c r="D28" s="189"/>
      <c r="E28" s="189"/>
      <c r="F28" s="189"/>
      <c r="G28" s="189"/>
      <c r="H28" s="189"/>
      <c r="I28" s="240" t="s">
        <v>1858</v>
      </c>
      <c r="J28" s="241"/>
      <c r="K28" s="241"/>
      <c r="L28" s="241"/>
      <c r="M28" s="241"/>
      <c r="N28" s="241"/>
      <c r="O28" s="241"/>
      <c r="P28" s="242"/>
      <c r="Q28" s="189" t="s">
        <v>392</v>
      </c>
      <c r="R28" s="189"/>
      <c r="S28" s="189"/>
      <c r="T28" s="189"/>
      <c r="U28" s="189"/>
      <c r="V28" s="189"/>
      <c r="W28" s="189"/>
      <c r="X28" s="189"/>
      <c r="Y28" s="189"/>
      <c r="Z28" s="189"/>
      <c r="AA28" s="189"/>
      <c r="AB28" s="189"/>
      <c r="AC28" s="189"/>
      <c r="AD28" s="189"/>
      <c r="AE28" s="189"/>
      <c r="AF28" s="189"/>
      <c r="AG28" s="189"/>
      <c r="AH28" s="189"/>
      <c r="AI28" s="189"/>
      <c r="AJ28" s="189"/>
      <c r="AK28" s="191"/>
    </row>
    <row r="29" spans="2:37" s="158" customFormat="1">
      <c r="B29" s="160">
        <v>21</v>
      </c>
      <c r="C29" s="189" t="s">
        <v>1851</v>
      </c>
      <c r="D29" s="189"/>
      <c r="E29" s="189"/>
      <c r="F29" s="189"/>
      <c r="G29" s="189"/>
      <c r="H29" s="189"/>
      <c r="I29" s="189" t="s">
        <v>1859</v>
      </c>
      <c r="J29" s="189"/>
      <c r="K29" s="189"/>
      <c r="L29" s="189"/>
      <c r="M29" s="189"/>
      <c r="N29" s="189"/>
      <c r="O29" s="189"/>
      <c r="P29" s="189"/>
      <c r="Q29" s="189" t="s">
        <v>392</v>
      </c>
      <c r="R29" s="189"/>
      <c r="S29" s="189"/>
      <c r="T29" s="189"/>
      <c r="U29" s="189"/>
      <c r="V29" s="189"/>
      <c r="W29" s="189"/>
      <c r="X29" s="189"/>
      <c r="Y29" s="189"/>
      <c r="Z29" s="189"/>
      <c r="AA29" s="189"/>
      <c r="AB29" s="189"/>
      <c r="AC29" s="189"/>
      <c r="AD29" s="189"/>
      <c r="AE29" s="189"/>
      <c r="AF29" s="189"/>
      <c r="AG29" s="189"/>
      <c r="AH29" s="189"/>
      <c r="AI29" s="189"/>
      <c r="AJ29" s="189"/>
      <c r="AK29" s="191"/>
    </row>
    <row r="30" spans="2:37">
      <c r="B30" s="160">
        <v>22</v>
      </c>
      <c r="C30" s="189" t="s">
        <v>1226</v>
      </c>
      <c r="D30" s="189"/>
      <c r="E30" s="189"/>
      <c r="F30" s="189"/>
      <c r="G30" s="189"/>
      <c r="H30" s="189"/>
      <c r="I30" s="189" t="s">
        <v>1227</v>
      </c>
      <c r="J30" s="189"/>
      <c r="K30" s="189"/>
      <c r="L30" s="189"/>
      <c r="M30" s="189"/>
      <c r="N30" s="189"/>
      <c r="O30" s="189"/>
      <c r="P30" s="189"/>
      <c r="Q30" s="331" t="s">
        <v>1270</v>
      </c>
      <c r="R30" s="331"/>
      <c r="S30" s="331"/>
      <c r="T30" s="331"/>
      <c r="U30" s="331"/>
      <c r="V30" s="331"/>
      <c r="W30" s="331"/>
      <c r="X30" s="331"/>
      <c r="Y30" s="189"/>
      <c r="Z30" s="189"/>
      <c r="AA30" s="189"/>
      <c r="AB30" s="189"/>
      <c r="AC30" s="189"/>
      <c r="AD30" s="189"/>
      <c r="AE30" s="189"/>
      <c r="AF30" s="189"/>
      <c r="AG30" s="189"/>
      <c r="AH30" s="189"/>
      <c r="AI30" s="189"/>
      <c r="AJ30" s="189"/>
      <c r="AK30" s="191"/>
    </row>
    <row r="31" spans="2:37" s="84" customFormat="1">
      <c r="B31" s="160">
        <v>23</v>
      </c>
      <c r="C31" s="189" t="s">
        <v>1258</v>
      </c>
      <c r="D31" s="189"/>
      <c r="E31" s="189"/>
      <c r="F31" s="189"/>
      <c r="G31" s="189"/>
      <c r="H31" s="189"/>
      <c r="I31" s="189" t="s">
        <v>1217</v>
      </c>
      <c r="J31" s="189"/>
      <c r="K31" s="189"/>
      <c r="L31" s="189"/>
      <c r="M31" s="189"/>
      <c r="N31" s="189"/>
      <c r="O31" s="189"/>
      <c r="P31" s="189"/>
      <c r="Q31" s="189" t="s">
        <v>1189</v>
      </c>
      <c r="R31" s="189"/>
      <c r="S31" s="189"/>
      <c r="T31" s="189"/>
      <c r="U31" s="189"/>
      <c r="V31" s="189"/>
      <c r="W31" s="189"/>
      <c r="X31" s="189"/>
      <c r="Y31" s="189"/>
      <c r="Z31" s="189"/>
      <c r="AA31" s="189"/>
      <c r="AB31" s="189"/>
      <c r="AC31" s="189"/>
      <c r="AD31" s="189"/>
      <c r="AE31" s="189"/>
      <c r="AF31" s="189"/>
      <c r="AG31" s="189"/>
      <c r="AH31" s="189"/>
      <c r="AI31" s="189"/>
      <c r="AJ31" s="189"/>
      <c r="AK31" s="191"/>
    </row>
    <row r="32" spans="2:37" s="84" customFormat="1">
      <c r="B32" s="160">
        <v>24</v>
      </c>
      <c r="C32" s="189" t="s">
        <v>1259</v>
      </c>
      <c r="D32" s="189"/>
      <c r="E32" s="189"/>
      <c r="F32" s="189"/>
      <c r="G32" s="189"/>
      <c r="H32" s="189"/>
      <c r="I32" s="189" t="s">
        <v>1219</v>
      </c>
      <c r="J32" s="189"/>
      <c r="K32" s="189"/>
      <c r="L32" s="189"/>
      <c r="M32" s="189"/>
      <c r="N32" s="189"/>
      <c r="O32" s="189"/>
      <c r="P32" s="189"/>
      <c r="Q32" s="189" t="s">
        <v>1189</v>
      </c>
      <c r="R32" s="189"/>
      <c r="S32" s="189"/>
      <c r="T32" s="189"/>
      <c r="U32" s="189"/>
      <c r="V32" s="189"/>
      <c r="W32" s="189"/>
      <c r="X32" s="189"/>
      <c r="Y32" s="189"/>
      <c r="Z32" s="189"/>
      <c r="AA32" s="189"/>
      <c r="AB32" s="189"/>
      <c r="AC32" s="189"/>
      <c r="AD32" s="189"/>
      <c r="AE32" s="189"/>
      <c r="AF32" s="189"/>
      <c r="AG32" s="189"/>
      <c r="AH32" s="189"/>
      <c r="AI32" s="189"/>
      <c r="AJ32" s="189"/>
      <c r="AK32" s="191"/>
    </row>
    <row r="33" spans="2:37">
      <c r="B33" s="160">
        <v>25</v>
      </c>
      <c r="C33" s="189" t="s">
        <v>1271</v>
      </c>
      <c r="D33" s="189"/>
      <c r="E33" s="189"/>
      <c r="F33" s="189"/>
      <c r="G33" s="189"/>
      <c r="H33" s="189"/>
      <c r="I33" s="189" t="s">
        <v>1230</v>
      </c>
      <c r="J33" s="189"/>
      <c r="K33" s="189"/>
      <c r="L33" s="189"/>
      <c r="M33" s="189"/>
      <c r="N33" s="189"/>
      <c r="O33" s="189"/>
      <c r="P33" s="189"/>
      <c r="Q33" s="189" t="s">
        <v>1189</v>
      </c>
      <c r="R33" s="189"/>
      <c r="S33" s="189"/>
      <c r="T33" s="189"/>
      <c r="U33" s="189"/>
      <c r="V33" s="189"/>
      <c r="W33" s="189"/>
      <c r="X33" s="189"/>
      <c r="Y33" s="189"/>
      <c r="Z33" s="189"/>
      <c r="AA33" s="189"/>
      <c r="AB33" s="189"/>
      <c r="AC33" s="189"/>
      <c r="AD33" s="189"/>
      <c r="AE33" s="189"/>
      <c r="AF33" s="189"/>
      <c r="AG33" s="189"/>
      <c r="AH33" s="189"/>
      <c r="AI33" s="189"/>
      <c r="AJ33" s="189"/>
      <c r="AK33" s="191"/>
    </row>
    <row r="34" spans="2:37">
      <c r="B34" s="160">
        <v>26</v>
      </c>
      <c r="C34" s="189" t="s">
        <v>1272</v>
      </c>
      <c r="D34" s="189"/>
      <c r="E34" s="189"/>
      <c r="F34" s="189"/>
      <c r="G34" s="189"/>
      <c r="H34" s="189"/>
      <c r="I34" s="189" t="s">
        <v>1232</v>
      </c>
      <c r="J34" s="189"/>
      <c r="K34" s="189"/>
      <c r="L34" s="189"/>
      <c r="M34" s="189"/>
      <c r="N34" s="189"/>
      <c r="O34" s="189"/>
      <c r="P34" s="189"/>
      <c r="Q34" s="189" t="s">
        <v>1189</v>
      </c>
      <c r="R34" s="189"/>
      <c r="S34" s="189"/>
      <c r="T34" s="189"/>
      <c r="U34" s="189"/>
      <c r="V34" s="189"/>
      <c r="W34" s="189"/>
      <c r="X34" s="189"/>
      <c r="Y34" s="189"/>
      <c r="Z34" s="189"/>
      <c r="AA34" s="189"/>
      <c r="AB34" s="189"/>
      <c r="AC34" s="189"/>
      <c r="AD34" s="189"/>
      <c r="AE34" s="189"/>
      <c r="AF34" s="189"/>
      <c r="AG34" s="189"/>
      <c r="AH34" s="189"/>
      <c r="AI34" s="189"/>
      <c r="AJ34" s="189"/>
      <c r="AK34" s="191"/>
    </row>
    <row r="35" spans="2:37">
      <c r="B35" s="160">
        <v>27</v>
      </c>
      <c r="C35" s="189" t="s">
        <v>1005</v>
      </c>
      <c r="D35" s="189"/>
      <c r="E35" s="189"/>
      <c r="F35" s="189"/>
      <c r="G35" s="189"/>
      <c r="H35" s="189"/>
      <c r="I35" s="189" t="s">
        <v>1233</v>
      </c>
      <c r="J35" s="189"/>
      <c r="K35" s="189"/>
      <c r="L35" s="189"/>
      <c r="M35" s="189"/>
      <c r="N35" s="189"/>
      <c r="O35" s="189"/>
      <c r="P35" s="189"/>
      <c r="Q35" s="189" t="s">
        <v>1189</v>
      </c>
      <c r="R35" s="189"/>
      <c r="S35" s="189"/>
      <c r="T35" s="189"/>
      <c r="U35" s="189"/>
      <c r="V35" s="189"/>
      <c r="W35" s="189"/>
      <c r="X35" s="189"/>
      <c r="Y35" s="189"/>
      <c r="Z35" s="189"/>
      <c r="AA35" s="189"/>
      <c r="AB35" s="189"/>
      <c r="AC35" s="189"/>
      <c r="AD35" s="189"/>
      <c r="AE35" s="189"/>
      <c r="AF35" s="189"/>
      <c r="AG35" s="189"/>
      <c r="AH35" s="189"/>
      <c r="AI35" s="189"/>
      <c r="AJ35" s="189"/>
      <c r="AK35" s="191"/>
    </row>
    <row r="36" spans="2:37">
      <c r="B36" s="160">
        <v>28</v>
      </c>
      <c r="C36" s="189" t="s">
        <v>1273</v>
      </c>
      <c r="D36" s="189"/>
      <c r="E36" s="189"/>
      <c r="F36" s="189"/>
      <c r="G36" s="189"/>
      <c r="H36" s="189"/>
      <c r="I36" s="189" t="s">
        <v>1236</v>
      </c>
      <c r="J36" s="189"/>
      <c r="K36" s="189"/>
      <c r="L36" s="189"/>
      <c r="M36" s="189"/>
      <c r="N36" s="189"/>
      <c r="O36" s="189"/>
      <c r="P36" s="189"/>
      <c r="Q36" s="189" t="s">
        <v>977</v>
      </c>
      <c r="R36" s="189"/>
      <c r="S36" s="189"/>
      <c r="T36" s="189"/>
      <c r="U36" s="189"/>
      <c r="V36" s="189"/>
      <c r="W36" s="189"/>
      <c r="X36" s="189"/>
      <c r="Y36" s="189"/>
      <c r="Z36" s="189"/>
      <c r="AA36" s="189"/>
      <c r="AB36" s="189"/>
      <c r="AC36" s="189"/>
      <c r="AD36" s="189"/>
      <c r="AE36" s="189"/>
      <c r="AF36" s="189"/>
      <c r="AG36" s="189"/>
      <c r="AH36" s="189"/>
      <c r="AI36" s="189"/>
      <c r="AJ36" s="189"/>
      <c r="AK36" s="191"/>
    </row>
    <row r="37" spans="2:37" s="35" customFormat="1" ht="13.8" thickBot="1">
      <c r="B37" s="161">
        <v>29</v>
      </c>
      <c r="C37" s="190" t="s">
        <v>252</v>
      </c>
      <c r="D37" s="190"/>
      <c r="E37" s="190"/>
      <c r="F37" s="190"/>
      <c r="G37" s="190"/>
      <c r="H37" s="190"/>
      <c r="I37" s="190" t="s">
        <v>132</v>
      </c>
      <c r="J37" s="190"/>
      <c r="K37" s="190"/>
      <c r="L37" s="190"/>
      <c r="M37" s="190"/>
      <c r="N37" s="190"/>
      <c r="O37" s="190"/>
      <c r="P37" s="190"/>
      <c r="Q37" s="190" t="s">
        <v>143</v>
      </c>
      <c r="R37" s="190"/>
      <c r="S37" s="190"/>
      <c r="T37" s="190"/>
      <c r="U37" s="190"/>
      <c r="V37" s="190"/>
      <c r="W37" s="190"/>
      <c r="X37" s="190"/>
      <c r="Y37" s="190"/>
      <c r="Z37" s="190"/>
      <c r="AA37" s="190"/>
      <c r="AB37" s="190"/>
      <c r="AC37" s="190"/>
      <c r="AD37" s="190"/>
      <c r="AE37" s="190"/>
      <c r="AF37" s="190"/>
      <c r="AG37" s="190"/>
      <c r="AH37" s="190"/>
      <c r="AI37" s="190"/>
      <c r="AJ37" s="190"/>
      <c r="AK37" s="198"/>
    </row>
    <row r="40" spans="2:37" ht="15" thickBot="1">
      <c r="B40" s="7" t="s">
        <v>994</v>
      </c>
    </row>
    <row r="41" spans="2:37">
      <c r="B41" s="6" t="s">
        <v>7</v>
      </c>
      <c r="C41" s="201" t="s">
        <v>998</v>
      </c>
      <c r="D41" s="201"/>
      <c r="E41" s="201"/>
      <c r="F41" s="201"/>
      <c r="G41" s="201"/>
      <c r="H41" s="201"/>
      <c r="I41" s="201"/>
      <c r="J41" s="201"/>
      <c r="K41" s="201"/>
      <c r="L41" s="201" t="s">
        <v>1000</v>
      </c>
      <c r="M41" s="201"/>
      <c r="N41" s="201"/>
      <c r="O41" s="201"/>
      <c r="P41" s="201"/>
      <c r="Q41" s="201"/>
      <c r="R41" s="201"/>
      <c r="S41" s="201"/>
      <c r="T41" s="201"/>
      <c r="U41" s="201"/>
      <c r="V41" s="201" t="s">
        <v>1002</v>
      </c>
      <c r="W41" s="201"/>
      <c r="X41" s="201"/>
      <c r="Y41" s="201" t="s">
        <v>1004</v>
      </c>
      <c r="Z41" s="201"/>
      <c r="AA41" s="201"/>
      <c r="AB41" s="201" t="s">
        <v>1005</v>
      </c>
      <c r="AC41" s="201"/>
      <c r="AD41" s="201"/>
      <c r="AE41" s="201"/>
      <c r="AF41" s="201"/>
      <c r="AG41" s="201"/>
      <c r="AH41" s="201"/>
      <c r="AI41" s="204"/>
    </row>
    <row r="42" spans="2:37">
      <c r="B42" s="328">
        <v>1</v>
      </c>
      <c r="C42" s="271" t="s">
        <v>1274</v>
      </c>
      <c r="D42" s="272"/>
      <c r="E42" s="272"/>
      <c r="F42" s="272"/>
      <c r="G42" s="272"/>
      <c r="H42" s="272"/>
      <c r="I42" s="272"/>
      <c r="J42" s="272"/>
      <c r="K42" s="273"/>
      <c r="L42" s="268" t="s">
        <v>1264</v>
      </c>
      <c r="M42" s="268"/>
      <c r="N42" s="268"/>
      <c r="O42" s="268"/>
      <c r="P42" s="268"/>
      <c r="Q42" s="268"/>
      <c r="R42" s="268"/>
      <c r="S42" s="268"/>
      <c r="T42" s="268"/>
      <c r="U42" s="268"/>
      <c r="V42" s="271" t="s">
        <v>151</v>
      </c>
      <c r="W42" s="272"/>
      <c r="X42" s="273"/>
      <c r="Y42" s="271" t="s">
        <v>151</v>
      </c>
      <c r="Z42" s="272"/>
      <c r="AA42" s="273"/>
      <c r="AB42" s="271"/>
      <c r="AC42" s="272"/>
      <c r="AD42" s="272"/>
      <c r="AE42" s="272"/>
      <c r="AF42" s="272"/>
      <c r="AG42" s="272"/>
      <c r="AH42" s="272"/>
      <c r="AI42" s="277"/>
    </row>
    <row r="43" spans="2:37" ht="13.8" thickBot="1">
      <c r="B43" s="332"/>
      <c r="C43" s="274"/>
      <c r="D43" s="275"/>
      <c r="E43" s="275"/>
      <c r="F43" s="275"/>
      <c r="G43" s="275"/>
      <c r="H43" s="275"/>
      <c r="I43" s="275"/>
      <c r="J43" s="275"/>
      <c r="K43" s="276"/>
      <c r="L43" s="279" t="s">
        <v>1041</v>
      </c>
      <c r="M43" s="279"/>
      <c r="N43" s="279"/>
      <c r="O43" s="279"/>
      <c r="P43" s="279"/>
      <c r="Q43" s="279"/>
      <c r="R43" s="279"/>
      <c r="S43" s="279"/>
      <c r="T43" s="279"/>
      <c r="U43" s="279"/>
      <c r="V43" s="274"/>
      <c r="W43" s="275"/>
      <c r="X43" s="276"/>
      <c r="Y43" s="274"/>
      <c r="Z43" s="275"/>
      <c r="AA43" s="276"/>
      <c r="AB43" s="274"/>
      <c r="AC43" s="275"/>
      <c r="AD43" s="275"/>
      <c r="AE43" s="275"/>
      <c r="AF43" s="275"/>
      <c r="AG43" s="275"/>
      <c r="AH43" s="275"/>
      <c r="AI43" s="278"/>
    </row>
    <row r="44" spans="2:37">
      <c r="B44" s="8"/>
    </row>
    <row r="45" spans="2:37" ht="15" thickBot="1">
      <c r="B45" s="7" t="s">
        <v>995</v>
      </c>
    </row>
    <row r="46" spans="2:37">
      <c r="B46" s="14" t="s">
        <v>7</v>
      </c>
      <c r="C46" s="226" t="s">
        <v>1070</v>
      </c>
      <c r="D46" s="226"/>
      <c r="E46" s="226"/>
      <c r="F46" s="226"/>
      <c r="G46" s="226"/>
      <c r="H46" s="226"/>
      <c r="I46" s="226"/>
      <c r="J46" s="226"/>
      <c r="K46" s="226"/>
      <c r="L46" s="226"/>
      <c r="M46" s="226" t="s">
        <v>1000</v>
      </c>
      <c r="N46" s="226"/>
      <c r="O46" s="226"/>
      <c r="P46" s="226"/>
      <c r="Q46" s="226"/>
      <c r="R46" s="226"/>
      <c r="S46" s="226"/>
      <c r="T46" s="226"/>
      <c r="U46" s="226" t="s">
        <v>1154</v>
      </c>
      <c r="V46" s="226"/>
      <c r="W46" s="226"/>
      <c r="X46" s="226"/>
      <c r="Y46" s="226"/>
      <c r="Z46" s="226"/>
      <c r="AA46" s="226"/>
      <c r="AB46" s="226"/>
      <c r="AC46" s="226"/>
      <c r="AD46" s="226" t="s">
        <v>1155</v>
      </c>
      <c r="AE46" s="226"/>
      <c r="AF46" s="226"/>
      <c r="AG46" s="226"/>
      <c r="AH46" s="226"/>
      <c r="AI46" s="227"/>
    </row>
    <row r="47" spans="2:37" ht="13.8" thickBot="1">
      <c r="B47" s="4"/>
      <c r="C47" s="190"/>
      <c r="D47" s="190"/>
      <c r="E47" s="190"/>
      <c r="F47" s="190"/>
      <c r="G47" s="190"/>
      <c r="H47" s="190"/>
      <c r="I47" s="190"/>
      <c r="J47" s="190"/>
      <c r="K47" s="190"/>
      <c r="L47" s="190"/>
      <c r="M47" s="190"/>
      <c r="N47" s="190"/>
      <c r="O47" s="190"/>
      <c r="P47" s="190"/>
      <c r="Q47" s="190"/>
      <c r="R47" s="190"/>
      <c r="S47" s="190"/>
      <c r="T47" s="190"/>
      <c r="U47" s="190"/>
      <c r="V47" s="190"/>
      <c r="W47" s="190"/>
      <c r="X47" s="190"/>
      <c r="Y47" s="190"/>
      <c r="Z47" s="190"/>
      <c r="AA47" s="190"/>
      <c r="AB47" s="190"/>
      <c r="AC47" s="190"/>
      <c r="AD47" s="190"/>
      <c r="AE47" s="190"/>
      <c r="AF47" s="190"/>
      <c r="AG47" s="190"/>
      <c r="AH47" s="190"/>
      <c r="AI47" s="198"/>
    </row>
    <row r="49" spans="2:35" ht="15" thickBot="1">
      <c r="B49" s="7" t="s">
        <v>996</v>
      </c>
    </row>
    <row r="50" spans="2:35">
      <c r="B50" s="14" t="s">
        <v>7</v>
      </c>
      <c r="C50" s="226" t="s">
        <v>1070</v>
      </c>
      <c r="D50" s="226"/>
      <c r="E50" s="226"/>
      <c r="F50" s="226"/>
      <c r="G50" s="226"/>
      <c r="H50" s="226"/>
      <c r="I50" s="226"/>
      <c r="J50" s="226"/>
      <c r="K50" s="226"/>
      <c r="L50" s="226"/>
      <c r="M50" s="226" t="s">
        <v>1000</v>
      </c>
      <c r="N50" s="226"/>
      <c r="O50" s="226"/>
      <c r="P50" s="226"/>
      <c r="Q50" s="226"/>
      <c r="R50" s="226"/>
      <c r="S50" s="226"/>
      <c r="T50" s="226"/>
      <c r="U50" s="226" t="s">
        <v>1154</v>
      </c>
      <c r="V50" s="226"/>
      <c r="W50" s="226"/>
      <c r="X50" s="226"/>
      <c r="Y50" s="226"/>
      <c r="Z50" s="226"/>
      <c r="AA50" s="226"/>
      <c r="AB50" s="226"/>
      <c r="AC50" s="226"/>
      <c r="AD50" s="226" t="s">
        <v>1155</v>
      </c>
      <c r="AE50" s="226"/>
      <c r="AF50" s="226"/>
      <c r="AG50" s="226"/>
      <c r="AH50" s="226"/>
      <c r="AI50" s="227"/>
    </row>
    <row r="51" spans="2:35" ht="13.8" thickBot="1">
      <c r="B51" s="4"/>
      <c r="C51" s="190"/>
      <c r="D51" s="190"/>
      <c r="E51" s="190"/>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8"/>
    </row>
  </sheetData>
  <mergeCells count="245">
    <mergeCell ref="Q21:X21"/>
    <mergeCell ref="Y21:Z21"/>
    <mergeCell ref="AA21:AB21"/>
    <mergeCell ref="AC21:AD21"/>
    <mergeCell ref="AE21:AK21"/>
    <mergeCell ref="C21:H21"/>
    <mergeCell ref="I21:P21"/>
    <mergeCell ref="C27:H27"/>
    <mergeCell ref="I27:P27"/>
    <mergeCell ref="Q27:X27"/>
    <mergeCell ref="Y27:Z27"/>
    <mergeCell ref="AA27:AB27"/>
    <mergeCell ref="AC27:AD27"/>
    <mergeCell ref="AE27:AK27"/>
    <mergeCell ref="C25:H25"/>
    <mergeCell ref="I25:P25"/>
    <mergeCell ref="Q25:X25"/>
    <mergeCell ref="Y25:Z25"/>
    <mergeCell ref="AA25:AB25"/>
    <mergeCell ref="AC25:AD25"/>
    <mergeCell ref="AE25:AK25"/>
    <mergeCell ref="AE26:AK26"/>
    <mergeCell ref="Q26:X26"/>
    <mergeCell ref="C26:H26"/>
    <mergeCell ref="I26:P26"/>
    <mergeCell ref="Y26:Z26"/>
    <mergeCell ref="C24:H24"/>
    <mergeCell ref="I24:P24"/>
    <mergeCell ref="AE23:AK23"/>
    <mergeCell ref="Q24:X24"/>
    <mergeCell ref="Y24:Z24"/>
    <mergeCell ref="AA24:AB24"/>
    <mergeCell ref="AC24:AD24"/>
    <mergeCell ref="AE24:AK24"/>
    <mergeCell ref="AA26:AB26"/>
    <mergeCell ref="AC26:AD26"/>
    <mergeCell ref="C16:H16"/>
    <mergeCell ref="I16:P16"/>
    <mergeCell ref="Q16:X16"/>
    <mergeCell ref="Y16:Z16"/>
    <mergeCell ref="AA16:AB16"/>
    <mergeCell ref="AC16:AD16"/>
    <mergeCell ref="AE16:AK16"/>
    <mergeCell ref="C17:H17"/>
    <mergeCell ref="I17:P17"/>
    <mergeCell ref="Q17:X17"/>
    <mergeCell ref="Y17:Z17"/>
    <mergeCell ref="AA17:AB17"/>
    <mergeCell ref="AC17:AD17"/>
    <mergeCell ref="AE17:AK17"/>
    <mergeCell ref="AE18:AK18"/>
    <mergeCell ref="C18:H18"/>
    <mergeCell ref="I18:P18"/>
    <mergeCell ref="Q18:X18"/>
    <mergeCell ref="Y18:Z18"/>
    <mergeCell ref="AA18:AB18"/>
    <mergeCell ref="AC18:AD18"/>
    <mergeCell ref="C20:H20"/>
    <mergeCell ref="I20:P20"/>
    <mergeCell ref="Q20:X20"/>
    <mergeCell ref="Y20:Z20"/>
    <mergeCell ref="AA20:AB20"/>
    <mergeCell ref="AC20:AD20"/>
    <mergeCell ref="AE20:AK20"/>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AE12:AK12"/>
    <mergeCell ref="C13:H13"/>
    <mergeCell ref="I13:P13"/>
    <mergeCell ref="Q13:X13"/>
    <mergeCell ref="Y13:Z13"/>
    <mergeCell ref="AA13:AB13"/>
    <mergeCell ref="AC13:AD13"/>
    <mergeCell ref="AE13:AK13"/>
    <mergeCell ref="C12:H12"/>
    <mergeCell ref="I12:P12"/>
    <mergeCell ref="Q12:X12"/>
    <mergeCell ref="Y12:Z12"/>
    <mergeCell ref="AA12:AB12"/>
    <mergeCell ref="AC12:AD12"/>
    <mergeCell ref="AE14:AK14"/>
    <mergeCell ref="C15:H15"/>
    <mergeCell ref="I15:P15"/>
    <mergeCell ref="Q15:X15"/>
    <mergeCell ref="Y15:Z15"/>
    <mergeCell ref="AA15:AB15"/>
    <mergeCell ref="AC15:AD15"/>
    <mergeCell ref="AE15:AK15"/>
    <mergeCell ref="C14:H14"/>
    <mergeCell ref="I14:P14"/>
    <mergeCell ref="Q14:X14"/>
    <mergeCell ref="Y14:Z14"/>
    <mergeCell ref="AA14:AB14"/>
    <mergeCell ref="AC14:AD14"/>
    <mergeCell ref="AC34:AD34"/>
    <mergeCell ref="AE34:AK34"/>
    <mergeCell ref="C33:H33"/>
    <mergeCell ref="I33:P33"/>
    <mergeCell ref="C19:H19"/>
    <mergeCell ref="I19:P19"/>
    <mergeCell ref="Q19:X19"/>
    <mergeCell ref="Y19:Z19"/>
    <mergeCell ref="AA19:AB19"/>
    <mergeCell ref="AC19:AD19"/>
    <mergeCell ref="AE19:AK19"/>
    <mergeCell ref="C22:H22"/>
    <mergeCell ref="I22:P22"/>
    <mergeCell ref="Q22:X22"/>
    <mergeCell ref="Y22:Z22"/>
    <mergeCell ref="AA22:AB22"/>
    <mergeCell ref="AC22:AD22"/>
    <mergeCell ref="AE22:AK22"/>
    <mergeCell ref="C23:H23"/>
    <mergeCell ref="I23:P23"/>
    <mergeCell ref="Q23:X23"/>
    <mergeCell ref="Y23:Z23"/>
    <mergeCell ref="AA23:AB23"/>
    <mergeCell ref="AC23:AD23"/>
    <mergeCell ref="C30:H30"/>
    <mergeCell ref="I30:P30"/>
    <mergeCell ref="Q30:X30"/>
    <mergeCell ref="Y30:Z30"/>
    <mergeCell ref="AA30:AB30"/>
    <mergeCell ref="AC30:AD30"/>
    <mergeCell ref="AE30:AK30"/>
    <mergeCell ref="C28:H28"/>
    <mergeCell ref="I28:P28"/>
    <mergeCell ref="Q28:X28"/>
    <mergeCell ref="Y28:Z28"/>
    <mergeCell ref="AA28:AB28"/>
    <mergeCell ref="AC28:AD28"/>
    <mergeCell ref="AE28:AK28"/>
    <mergeCell ref="C29:H29"/>
    <mergeCell ref="I29:P29"/>
    <mergeCell ref="Q29:X29"/>
    <mergeCell ref="Y29:Z29"/>
    <mergeCell ref="AA29:AB29"/>
    <mergeCell ref="AC29:AD29"/>
    <mergeCell ref="AE29:AK29"/>
    <mergeCell ref="Q33:X33"/>
    <mergeCell ref="Y33:Z33"/>
    <mergeCell ref="AA33:AB33"/>
    <mergeCell ref="AC33:AD33"/>
    <mergeCell ref="B42:B43"/>
    <mergeCell ref="C42:K43"/>
    <mergeCell ref="L42:U42"/>
    <mergeCell ref="V42:X43"/>
    <mergeCell ref="Y42:AA43"/>
    <mergeCell ref="AB42:AI43"/>
    <mergeCell ref="L43:U43"/>
    <mergeCell ref="C37:H37"/>
    <mergeCell ref="I37:P37"/>
    <mergeCell ref="Q37:X37"/>
    <mergeCell ref="Y37:Z37"/>
    <mergeCell ref="AA37:AB37"/>
    <mergeCell ref="AC37:AD37"/>
    <mergeCell ref="AE37:AK37"/>
    <mergeCell ref="AE33:AK33"/>
    <mergeCell ref="C34:H34"/>
    <mergeCell ref="I34:P34"/>
    <mergeCell ref="Q34:X34"/>
    <mergeCell ref="Y34:Z34"/>
    <mergeCell ref="AA34:AB34"/>
    <mergeCell ref="AE35:AK35"/>
    <mergeCell ref="C36:H36"/>
    <mergeCell ref="I36:P36"/>
    <mergeCell ref="Q36:X36"/>
    <mergeCell ref="Y36:Z36"/>
    <mergeCell ref="AA36:AB36"/>
    <mergeCell ref="AC36:AD36"/>
    <mergeCell ref="AE36:AK36"/>
    <mergeCell ref="C35:H35"/>
    <mergeCell ref="I35:P35"/>
    <mergeCell ref="Q35:X35"/>
    <mergeCell ref="Y35:Z35"/>
    <mergeCell ref="AA35:AB35"/>
    <mergeCell ref="AC35:AD35"/>
    <mergeCell ref="C46:L46"/>
    <mergeCell ref="M46:T46"/>
    <mergeCell ref="U46:AC46"/>
    <mergeCell ref="AD46:AI46"/>
    <mergeCell ref="C41:K41"/>
    <mergeCell ref="L41:U41"/>
    <mergeCell ref="V41:X41"/>
    <mergeCell ref="Y41:AA41"/>
    <mergeCell ref="AB41:AI41"/>
    <mergeCell ref="C51:L51"/>
    <mergeCell ref="M51:T51"/>
    <mergeCell ref="U51:AC51"/>
    <mergeCell ref="AD51:AI51"/>
    <mergeCell ref="C47:L47"/>
    <mergeCell ref="M47:T47"/>
    <mergeCell ref="U47:AC47"/>
    <mergeCell ref="AD47:AI47"/>
    <mergeCell ref="C50:L50"/>
    <mergeCell ref="M50:T50"/>
    <mergeCell ref="U50:AC50"/>
    <mergeCell ref="AD50:AI50"/>
    <mergeCell ref="C31:H31"/>
    <mergeCell ref="I31:P31"/>
    <mergeCell ref="Q31:X31"/>
    <mergeCell ref="Y31:Z31"/>
    <mergeCell ref="AA31:AB31"/>
    <mergeCell ref="AC31:AD31"/>
    <mergeCell ref="AE31:AK31"/>
    <mergeCell ref="C32:H32"/>
    <mergeCell ref="I32:P32"/>
    <mergeCell ref="Q32:X32"/>
    <mergeCell ref="Y32:Z32"/>
    <mergeCell ref="AA32:AB32"/>
    <mergeCell ref="AC32:AD32"/>
    <mergeCell ref="AE32:AK32"/>
  </mergeCells>
  <phoneticPr fontId="3"/>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83EA7-C4E6-496C-AD87-A68F000E7897}">
  <sheetPr codeName="Sheet91"/>
  <dimension ref="B1:AK24"/>
  <sheetViews>
    <sheetView workbookViewId="0">
      <selection activeCell="Q11" sqref="C9:X11"/>
    </sheetView>
  </sheetViews>
  <sheetFormatPr defaultColWidth="3.6640625" defaultRowHeight="13.2"/>
  <sheetData>
    <row r="1" spans="2:37" ht="13.8" thickBot="1"/>
    <row r="2" spans="2:37">
      <c r="B2" s="205" t="s">
        <v>95</v>
      </c>
      <c r="C2" s="206"/>
      <c r="D2" s="206"/>
      <c r="E2" s="206"/>
      <c r="F2" s="211" t="s">
        <v>93</v>
      </c>
      <c r="G2" s="211"/>
      <c r="H2" s="212"/>
      <c r="I2" s="196" t="s">
        <v>1275</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1276</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1245</v>
      </c>
      <c r="D9" s="189"/>
      <c r="E9" s="189"/>
      <c r="F9" s="189"/>
      <c r="G9" s="189"/>
      <c r="H9" s="189"/>
      <c r="I9" s="189" t="s">
        <v>1246</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1277</v>
      </c>
      <c r="D10" s="189"/>
      <c r="E10" s="189"/>
      <c r="F10" s="189"/>
      <c r="G10" s="189"/>
      <c r="H10" s="189"/>
      <c r="I10" s="189" t="s">
        <v>1278</v>
      </c>
      <c r="J10" s="189"/>
      <c r="K10" s="189"/>
      <c r="L10" s="189"/>
      <c r="M10" s="189"/>
      <c r="N10" s="189"/>
      <c r="O10" s="189"/>
      <c r="P10" s="189"/>
      <c r="Q10" s="189" t="s">
        <v>144</v>
      </c>
      <c r="R10" s="189"/>
      <c r="S10" s="189"/>
      <c r="T10" s="189"/>
      <c r="U10" s="189"/>
      <c r="V10" s="189"/>
      <c r="W10" s="189"/>
      <c r="X10" s="189"/>
      <c r="Y10" s="189"/>
      <c r="Z10" s="189"/>
      <c r="AA10" s="189"/>
      <c r="AB10" s="189"/>
      <c r="AC10" s="189"/>
      <c r="AD10" s="189"/>
      <c r="AE10" s="189"/>
      <c r="AF10" s="189"/>
      <c r="AG10" s="189"/>
      <c r="AH10" s="189"/>
      <c r="AI10" s="189"/>
      <c r="AJ10" s="189"/>
      <c r="AK10" s="191"/>
    </row>
    <row r="11" spans="2:37" ht="13.8" thickBot="1">
      <c r="B11" s="16">
        <v>3</v>
      </c>
      <c r="C11" s="279" t="s">
        <v>1346</v>
      </c>
      <c r="D11" s="279"/>
      <c r="E11" s="279"/>
      <c r="F11" s="279"/>
      <c r="G11" s="279"/>
      <c r="H11" s="279"/>
      <c r="I11" s="279" t="s">
        <v>1347</v>
      </c>
      <c r="J11" s="279"/>
      <c r="K11" s="279"/>
      <c r="L11" s="279"/>
      <c r="M11" s="279"/>
      <c r="N11" s="279"/>
      <c r="O11" s="279"/>
      <c r="P11" s="279"/>
      <c r="Q11" s="279" t="s">
        <v>1348</v>
      </c>
      <c r="R11" s="279"/>
      <c r="S11" s="279"/>
      <c r="T11" s="279"/>
      <c r="U11" s="279"/>
      <c r="V11" s="279"/>
      <c r="W11" s="279"/>
      <c r="X11" s="279"/>
      <c r="Y11" s="279"/>
      <c r="Z11" s="279"/>
      <c r="AA11" s="279"/>
      <c r="AB11" s="279"/>
      <c r="AC11" s="279"/>
      <c r="AD11" s="279"/>
      <c r="AE11" s="279"/>
      <c r="AF11" s="279"/>
      <c r="AG11" s="279"/>
      <c r="AH11" s="279"/>
      <c r="AI11" s="279"/>
      <c r="AJ11" s="279"/>
      <c r="AK11" s="337"/>
    </row>
    <row r="14" spans="2:37" ht="15" thickBot="1">
      <c r="B14" s="7" t="s">
        <v>994</v>
      </c>
    </row>
    <row r="15" spans="2:37">
      <c r="B15" s="6" t="s">
        <v>7</v>
      </c>
      <c r="C15" s="201" t="s">
        <v>998</v>
      </c>
      <c r="D15" s="201"/>
      <c r="E15" s="201"/>
      <c r="F15" s="201"/>
      <c r="G15" s="201"/>
      <c r="H15" s="201"/>
      <c r="I15" s="201"/>
      <c r="J15" s="201"/>
      <c r="K15" s="201"/>
      <c r="L15" s="201" t="s">
        <v>1000</v>
      </c>
      <c r="M15" s="201"/>
      <c r="N15" s="201"/>
      <c r="O15" s="201"/>
      <c r="P15" s="201"/>
      <c r="Q15" s="201"/>
      <c r="R15" s="201"/>
      <c r="S15" s="201"/>
      <c r="T15" s="201"/>
      <c r="U15" s="201"/>
      <c r="V15" s="201" t="s">
        <v>1002</v>
      </c>
      <c r="W15" s="201"/>
      <c r="X15" s="201"/>
      <c r="Y15" s="201" t="s">
        <v>1004</v>
      </c>
      <c r="Z15" s="201"/>
      <c r="AA15" s="201"/>
      <c r="AB15" s="201" t="s">
        <v>1005</v>
      </c>
      <c r="AC15" s="201"/>
      <c r="AD15" s="201"/>
      <c r="AE15" s="201"/>
      <c r="AF15" s="201"/>
      <c r="AG15" s="201"/>
      <c r="AH15" s="201"/>
      <c r="AI15" s="204"/>
    </row>
    <row r="16" spans="2:37" ht="13.8" thickBot="1">
      <c r="B16" s="15">
        <v>1</v>
      </c>
      <c r="C16" s="333" t="s">
        <v>1279</v>
      </c>
      <c r="D16" s="334"/>
      <c r="E16" s="334"/>
      <c r="F16" s="334"/>
      <c r="G16" s="334"/>
      <c r="H16" s="334"/>
      <c r="I16" s="334"/>
      <c r="J16" s="334"/>
      <c r="K16" s="335"/>
      <c r="L16" s="190" t="s">
        <v>1246</v>
      </c>
      <c r="M16" s="190"/>
      <c r="N16" s="190"/>
      <c r="O16" s="190"/>
      <c r="P16" s="190"/>
      <c r="Q16" s="190"/>
      <c r="R16" s="190"/>
      <c r="S16" s="190"/>
      <c r="T16" s="190"/>
      <c r="U16" s="190"/>
      <c r="V16" s="333" t="s">
        <v>151</v>
      </c>
      <c r="W16" s="334"/>
      <c r="X16" s="335"/>
      <c r="Y16" s="333" t="s">
        <v>151</v>
      </c>
      <c r="Z16" s="334"/>
      <c r="AA16" s="335"/>
      <c r="AB16" s="333"/>
      <c r="AC16" s="334"/>
      <c r="AD16" s="334"/>
      <c r="AE16" s="334"/>
      <c r="AF16" s="334"/>
      <c r="AG16" s="334"/>
      <c r="AH16" s="334"/>
      <c r="AI16" s="336"/>
    </row>
    <row r="17" spans="2:35">
      <c r="B17" s="8"/>
    </row>
    <row r="18" spans="2:35" ht="15" thickBot="1">
      <c r="B18" s="7" t="s">
        <v>995</v>
      </c>
    </row>
    <row r="19" spans="2:35">
      <c r="B19" s="14" t="s">
        <v>7</v>
      </c>
      <c r="C19" s="226" t="s">
        <v>1070</v>
      </c>
      <c r="D19" s="226"/>
      <c r="E19" s="226"/>
      <c r="F19" s="226"/>
      <c r="G19" s="226"/>
      <c r="H19" s="226"/>
      <c r="I19" s="226"/>
      <c r="J19" s="226"/>
      <c r="K19" s="226"/>
      <c r="L19" s="226"/>
      <c r="M19" s="226" t="s">
        <v>1000</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4"/>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7</v>
      </c>
      <c r="C23" s="226" t="s">
        <v>1070</v>
      </c>
      <c r="D23" s="226"/>
      <c r="E23" s="226"/>
      <c r="F23" s="226"/>
      <c r="G23" s="226"/>
      <c r="H23" s="226"/>
      <c r="I23" s="226"/>
      <c r="J23" s="226"/>
      <c r="K23" s="226"/>
      <c r="L23" s="226"/>
      <c r="M23" s="226" t="s">
        <v>1000</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4"/>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61">
    <mergeCell ref="AC10:AD10"/>
    <mergeCell ref="AE10:AK10"/>
    <mergeCell ref="C10:H10"/>
    <mergeCell ref="I10:P10"/>
    <mergeCell ref="Q10:X10"/>
    <mergeCell ref="Y10:Z10"/>
    <mergeCell ref="AA10:AB10"/>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C19:L19"/>
    <mergeCell ref="M19:T19"/>
    <mergeCell ref="U19:AC19"/>
    <mergeCell ref="AD19:AI19"/>
    <mergeCell ref="AE11:AK11"/>
    <mergeCell ref="C15:K15"/>
    <mergeCell ref="L15:U15"/>
    <mergeCell ref="V15:X15"/>
    <mergeCell ref="Y15:AA15"/>
    <mergeCell ref="AB15:AI15"/>
    <mergeCell ref="C11:H11"/>
    <mergeCell ref="I11:P11"/>
    <mergeCell ref="Q11:X11"/>
    <mergeCell ref="Y11:Z11"/>
    <mergeCell ref="AA11:AB11"/>
    <mergeCell ref="AC11:AD11"/>
    <mergeCell ref="C16:K16"/>
    <mergeCell ref="L16:U16"/>
    <mergeCell ref="V16:X16"/>
    <mergeCell ref="Y16:AA16"/>
    <mergeCell ref="AB16:AI16"/>
    <mergeCell ref="C24:L24"/>
    <mergeCell ref="M24:T24"/>
    <mergeCell ref="U24:AC24"/>
    <mergeCell ref="AD24:AI24"/>
    <mergeCell ref="C20:L20"/>
    <mergeCell ref="M20:T20"/>
    <mergeCell ref="U20:AC20"/>
    <mergeCell ref="AD20:AI20"/>
    <mergeCell ref="C23:L23"/>
    <mergeCell ref="M23:T23"/>
    <mergeCell ref="U23:AC23"/>
    <mergeCell ref="AD23:AI23"/>
  </mergeCells>
  <phoneticPr fontId="3"/>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D4D0-FAA2-4972-A9D2-097E090BDA20}">
  <sheetPr codeName="Sheet92"/>
  <dimension ref="B1:AK25"/>
  <sheetViews>
    <sheetView workbookViewId="0">
      <selection activeCell="C11" sqref="C11:H11"/>
    </sheetView>
  </sheetViews>
  <sheetFormatPr defaultColWidth="3.6640625" defaultRowHeight="13.2"/>
  <sheetData>
    <row r="1" spans="2:37" ht="13.8" thickBot="1"/>
    <row r="2" spans="2:37">
      <c r="B2" s="205" t="s">
        <v>95</v>
      </c>
      <c r="C2" s="206"/>
      <c r="D2" s="206"/>
      <c r="E2" s="206"/>
      <c r="F2" s="211" t="s">
        <v>93</v>
      </c>
      <c r="G2" s="211"/>
      <c r="H2" s="212"/>
      <c r="I2" s="196" t="s">
        <v>1280</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1281</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331" t="s">
        <v>1282</v>
      </c>
      <c r="D9" s="331"/>
      <c r="E9" s="331"/>
      <c r="F9" s="331"/>
      <c r="G9" s="331"/>
      <c r="H9" s="331"/>
      <c r="I9" s="189" t="s">
        <v>1283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1284</v>
      </c>
      <c r="D10" s="189"/>
      <c r="E10" s="189"/>
      <c r="F10" s="189"/>
      <c r="G10" s="189"/>
      <c r="H10" s="189"/>
      <c r="I10" s="189" t="s">
        <v>1011</v>
      </c>
      <c r="J10" s="189"/>
      <c r="K10" s="189"/>
      <c r="L10" s="189"/>
      <c r="M10" s="189"/>
      <c r="N10" s="189"/>
      <c r="O10" s="189"/>
      <c r="P10" s="189"/>
      <c r="Q10" s="189" t="s">
        <v>977</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ht="13.8" thickBot="1">
      <c r="B11" s="4">
        <v>3</v>
      </c>
      <c r="C11" s="190" t="s">
        <v>1285</v>
      </c>
      <c r="D11" s="190"/>
      <c r="E11" s="190"/>
      <c r="F11" s="190"/>
      <c r="G11" s="190"/>
      <c r="H11" s="190"/>
      <c r="I11" s="190" t="s">
        <v>1246</v>
      </c>
      <c r="J11" s="190"/>
      <c r="K11" s="190"/>
      <c r="L11" s="190"/>
      <c r="M11" s="190"/>
      <c r="N11" s="190"/>
      <c r="O11" s="190"/>
      <c r="P11" s="190"/>
      <c r="Q11" s="190" t="s">
        <v>977</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6" t="s">
        <v>7</v>
      </c>
      <c r="C15" s="201" t="s">
        <v>998</v>
      </c>
      <c r="D15" s="201"/>
      <c r="E15" s="201"/>
      <c r="F15" s="201"/>
      <c r="G15" s="201"/>
      <c r="H15" s="201"/>
      <c r="I15" s="201"/>
      <c r="J15" s="201"/>
      <c r="K15" s="201"/>
      <c r="L15" s="201" t="s">
        <v>1000</v>
      </c>
      <c r="M15" s="201"/>
      <c r="N15" s="201"/>
      <c r="O15" s="201"/>
      <c r="P15" s="201"/>
      <c r="Q15" s="201"/>
      <c r="R15" s="201"/>
      <c r="S15" s="201"/>
      <c r="T15" s="201"/>
      <c r="U15" s="201"/>
      <c r="V15" s="201" t="s">
        <v>1002</v>
      </c>
      <c r="W15" s="201"/>
      <c r="X15" s="201"/>
      <c r="Y15" s="201" t="s">
        <v>1004</v>
      </c>
      <c r="Z15" s="201"/>
      <c r="AA15" s="201"/>
      <c r="AB15" s="201" t="s">
        <v>1005</v>
      </c>
      <c r="AC15" s="201"/>
      <c r="AD15" s="201"/>
      <c r="AE15" s="201"/>
      <c r="AF15" s="201"/>
      <c r="AG15" s="201"/>
      <c r="AH15" s="201"/>
      <c r="AI15" s="204"/>
    </row>
    <row r="16" spans="2:37">
      <c r="B16" s="339">
        <v>1</v>
      </c>
      <c r="C16" s="271" t="s">
        <v>1279</v>
      </c>
      <c r="D16" s="272"/>
      <c r="E16" s="272"/>
      <c r="F16" s="272"/>
      <c r="G16" s="272"/>
      <c r="H16" s="272"/>
      <c r="I16" s="272"/>
      <c r="J16" s="272"/>
      <c r="K16" s="273"/>
      <c r="L16" s="268" t="s">
        <v>1283</v>
      </c>
      <c r="M16" s="268"/>
      <c r="N16" s="268"/>
      <c r="O16" s="268"/>
      <c r="P16" s="268"/>
      <c r="Q16" s="268"/>
      <c r="R16" s="268"/>
      <c r="S16" s="268"/>
      <c r="T16" s="268"/>
      <c r="U16" s="268"/>
      <c r="V16" s="271" t="s">
        <v>151</v>
      </c>
      <c r="W16" s="272"/>
      <c r="X16" s="272"/>
      <c r="Y16" s="271" t="s">
        <v>151</v>
      </c>
      <c r="Z16" s="272"/>
      <c r="AA16" s="273"/>
      <c r="AB16" s="272"/>
      <c r="AC16" s="272"/>
      <c r="AD16" s="272"/>
      <c r="AE16" s="272"/>
      <c r="AF16" s="272"/>
      <c r="AG16" s="272"/>
      <c r="AH16" s="272"/>
      <c r="AI16" s="277"/>
    </row>
    <row r="17" spans="2:35" ht="13.8" thickBot="1">
      <c r="B17" s="340"/>
      <c r="C17" s="274"/>
      <c r="D17" s="275"/>
      <c r="E17" s="275"/>
      <c r="F17" s="275"/>
      <c r="G17" s="275"/>
      <c r="H17" s="275"/>
      <c r="I17" s="275"/>
      <c r="J17" s="275"/>
      <c r="K17" s="276"/>
      <c r="L17" s="223" t="s">
        <v>1011</v>
      </c>
      <c r="M17" s="224"/>
      <c r="N17" s="224"/>
      <c r="O17" s="224"/>
      <c r="P17" s="224"/>
      <c r="Q17" s="224"/>
      <c r="R17" s="224"/>
      <c r="S17" s="224"/>
      <c r="T17" s="224"/>
      <c r="U17" s="338"/>
      <c r="V17" s="274"/>
      <c r="W17" s="275"/>
      <c r="X17" s="275"/>
      <c r="Y17" s="274"/>
      <c r="Z17" s="275"/>
      <c r="AA17" s="276"/>
      <c r="AB17" s="275"/>
      <c r="AC17" s="275"/>
      <c r="AD17" s="275"/>
      <c r="AE17" s="275"/>
      <c r="AF17" s="275"/>
      <c r="AG17" s="275"/>
      <c r="AH17" s="275"/>
      <c r="AI17" s="278"/>
    </row>
    <row r="18" spans="2:35">
      <c r="B18" s="8"/>
    </row>
    <row r="19" spans="2:35" ht="15" thickBot="1">
      <c r="B19" s="7" t="s">
        <v>995</v>
      </c>
    </row>
    <row r="20" spans="2:35">
      <c r="B20" s="14" t="s">
        <v>7</v>
      </c>
      <c r="C20" s="226" t="s">
        <v>1070</v>
      </c>
      <c r="D20" s="226"/>
      <c r="E20" s="226"/>
      <c r="F20" s="226"/>
      <c r="G20" s="226"/>
      <c r="H20" s="226"/>
      <c r="I20" s="226"/>
      <c r="J20" s="226"/>
      <c r="K20" s="226"/>
      <c r="L20" s="226"/>
      <c r="M20" s="226" t="s">
        <v>1000</v>
      </c>
      <c r="N20" s="226"/>
      <c r="O20" s="226"/>
      <c r="P20" s="226"/>
      <c r="Q20" s="226"/>
      <c r="R20" s="226"/>
      <c r="S20" s="226"/>
      <c r="T20" s="226"/>
      <c r="U20" s="226" t="s">
        <v>1154</v>
      </c>
      <c r="V20" s="226"/>
      <c r="W20" s="226"/>
      <c r="X20" s="226"/>
      <c r="Y20" s="226"/>
      <c r="Z20" s="226"/>
      <c r="AA20" s="226"/>
      <c r="AB20" s="226"/>
      <c r="AC20" s="226"/>
      <c r="AD20" s="226" t="s">
        <v>1155</v>
      </c>
      <c r="AE20" s="226"/>
      <c r="AF20" s="226"/>
      <c r="AG20" s="226"/>
      <c r="AH20" s="226"/>
      <c r="AI20" s="227"/>
    </row>
    <row r="21" spans="2:35" ht="13.8" thickBot="1">
      <c r="B21" s="4"/>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8"/>
    </row>
    <row r="23" spans="2:35" ht="15" thickBot="1">
      <c r="B23" s="7" t="s">
        <v>996</v>
      </c>
    </row>
    <row r="24" spans="2:35">
      <c r="B24" s="14" t="s">
        <v>7</v>
      </c>
      <c r="C24" s="226" t="s">
        <v>1070</v>
      </c>
      <c r="D24" s="226"/>
      <c r="E24" s="226"/>
      <c r="F24" s="226"/>
      <c r="G24" s="226"/>
      <c r="H24" s="226"/>
      <c r="I24" s="226"/>
      <c r="J24" s="226"/>
      <c r="K24" s="226"/>
      <c r="L24" s="226"/>
      <c r="M24" s="226" t="s">
        <v>1000</v>
      </c>
      <c r="N24" s="226"/>
      <c r="O24" s="226"/>
      <c r="P24" s="226"/>
      <c r="Q24" s="226"/>
      <c r="R24" s="226"/>
      <c r="S24" s="226"/>
      <c r="T24" s="226"/>
      <c r="U24" s="226" t="s">
        <v>1154</v>
      </c>
      <c r="V24" s="226"/>
      <c r="W24" s="226"/>
      <c r="X24" s="226"/>
      <c r="Y24" s="226"/>
      <c r="Z24" s="226"/>
      <c r="AA24" s="226"/>
      <c r="AB24" s="226"/>
      <c r="AC24" s="226"/>
      <c r="AD24" s="226" t="s">
        <v>1155</v>
      </c>
      <c r="AE24" s="226"/>
      <c r="AF24" s="226"/>
      <c r="AG24" s="226"/>
      <c r="AH24" s="226"/>
      <c r="AI24" s="227"/>
    </row>
    <row r="25" spans="2:35" ht="13.8" thickBot="1">
      <c r="B25" s="4"/>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8"/>
    </row>
  </sheetData>
  <mergeCells count="63">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B16:B17"/>
    <mergeCell ref="C16:K17"/>
    <mergeCell ref="L16:U16"/>
    <mergeCell ref="V16:X17"/>
    <mergeCell ref="Y16:AA17"/>
    <mergeCell ref="C15:K15"/>
    <mergeCell ref="L15:U15"/>
    <mergeCell ref="V15:X15"/>
    <mergeCell ref="Y15:AA15"/>
    <mergeCell ref="AB15:AI15"/>
    <mergeCell ref="AB16:AI17"/>
    <mergeCell ref="L17:U17"/>
    <mergeCell ref="C20:L20"/>
    <mergeCell ref="M20:T20"/>
    <mergeCell ref="U20:AC20"/>
    <mergeCell ref="AD20:AI20"/>
    <mergeCell ref="C25:L25"/>
    <mergeCell ref="M25:T25"/>
    <mergeCell ref="U25:AC25"/>
    <mergeCell ref="AD25:AI25"/>
    <mergeCell ref="C21:L21"/>
    <mergeCell ref="M21:T21"/>
    <mergeCell ref="U21:AC21"/>
    <mergeCell ref="AD21:AI21"/>
    <mergeCell ref="C24:L24"/>
    <mergeCell ref="M24:T24"/>
    <mergeCell ref="U24:AC24"/>
    <mergeCell ref="AD24:AI24"/>
  </mergeCells>
  <phoneticPr fontId="3"/>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0667D-7447-4D68-BCD8-3AFDE0AD84C1}">
  <sheetPr codeName="Sheet94"/>
  <dimension ref="B1:AK42"/>
  <sheetViews>
    <sheetView workbookViewId="0">
      <selection activeCell="I11" sqref="I11:P11"/>
    </sheetView>
  </sheetViews>
  <sheetFormatPr defaultColWidth="3.6640625" defaultRowHeight="13.2"/>
  <sheetData>
    <row r="1" spans="2:37" ht="13.8" thickBot="1"/>
    <row r="2" spans="2:37">
      <c r="B2" s="205" t="s">
        <v>95</v>
      </c>
      <c r="C2" s="206"/>
      <c r="D2" s="206"/>
      <c r="E2" s="206"/>
      <c r="F2" s="211" t="s">
        <v>93</v>
      </c>
      <c r="G2" s="211"/>
      <c r="H2" s="212"/>
      <c r="I2" s="196" t="s">
        <v>1287</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1288</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1183</v>
      </c>
      <c r="D9" s="189"/>
      <c r="E9" s="189"/>
      <c r="F9" s="189"/>
      <c r="G9" s="189"/>
      <c r="H9" s="189"/>
      <c r="I9" s="189" t="s">
        <v>1184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1289</v>
      </c>
      <c r="D10" s="189"/>
      <c r="E10" s="189"/>
      <c r="F10" s="189"/>
      <c r="G10" s="189"/>
      <c r="H10" s="189"/>
      <c r="I10" s="189" t="s">
        <v>1290</v>
      </c>
      <c r="J10" s="189"/>
      <c r="K10" s="189"/>
      <c r="L10" s="189"/>
      <c r="M10" s="189"/>
      <c r="N10" s="189"/>
      <c r="O10" s="189"/>
      <c r="P10" s="189"/>
      <c r="Q10" s="189" t="s">
        <v>977</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1185</v>
      </c>
      <c r="D11" s="189"/>
      <c r="E11" s="189"/>
      <c r="F11" s="189"/>
      <c r="G11" s="189"/>
      <c r="H11" s="189"/>
      <c r="I11" s="189" t="s">
        <v>1041</v>
      </c>
      <c r="J11" s="189"/>
      <c r="K11" s="189"/>
      <c r="L11" s="189"/>
      <c r="M11" s="189"/>
      <c r="N11" s="189"/>
      <c r="O11" s="189"/>
      <c r="P11" s="189"/>
      <c r="Q11" s="189" t="s">
        <v>977</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s="66" customFormat="1">
      <c r="B12" s="68">
        <v>4</v>
      </c>
      <c r="C12" s="189" t="s">
        <v>1468</v>
      </c>
      <c r="D12" s="189"/>
      <c r="E12" s="189"/>
      <c r="F12" s="189"/>
      <c r="G12" s="189"/>
      <c r="H12" s="189"/>
      <c r="I12" s="189" t="s">
        <v>1083</v>
      </c>
      <c r="J12" s="189"/>
      <c r="K12" s="189"/>
      <c r="L12" s="189"/>
      <c r="M12" s="189"/>
      <c r="N12" s="189"/>
      <c r="O12" s="189"/>
      <c r="P12" s="189"/>
      <c r="Q12" s="189" t="s">
        <v>977</v>
      </c>
      <c r="R12" s="189"/>
      <c r="S12" s="189"/>
      <c r="T12" s="189"/>
      <c r="U12" s="189"/>
      <c r="V12" s="189"/>
      <c r="W12" s="189"/>
      <c r="X12" s="189"/>
      <c r="Y12" s="189"/>
      <c r="Z12" s="189"/>
      <c r="AA12" s="189"/>
      <c r="AB12" s="189"/>
      <c r="AC12" s="189"/>
      <c r="AD12" s="189"/>
      <c r="AE12" s="189"/>
      <c r="AF12" s="189"/>
      <c r="AG12" s="189"/>
      <c r="AH12" s="189"/>
      <c r="AI12" s="189"/>
      <c r="AJ12" s="189"/>
      <c r="AK12" s="191"/>
    </row>
    <row r="13" spans="2:37" s="66" customFormat="1">
      <c r="B13" s="119">
        <v>5</v>
      </c>
      <c r="C13" s="189" t="s">
        <v>1470</v>
      </c>
      <c r="D13" s="189"/>
      <c r="E13" s="189"/>
      <c r="F13" s="189"/>
      <c r="G13" s="189"/>
      <c r="H13" s="189"/>
      <c r="I13" s="189" t="s">
        <v>1159</v>
      </c>
      <c r="J13" s="189"/>
      <c r="K13" s="189"/>
      <c r="L13" s="189"/>
      <c r="M13" s="189"/>
      <c r="N13" s="189"/>
      <c r="O13" s="189"/>
      <c r="P13" s="189"/>
      <c r="Q13" s="189" t="s">
        <v>977</v>
      </c>
      <c r="R13" s="189"/>
      <c r="S13" s="189"/>
      <c r="T13" s="189"/>
      <c r="U13" s="189"/>
      <c r="V13" s="189"/>
      <c r="W13" s="189"/>
      <c r="X13" s="189"/>
      <c r="Y13" s="189"/>
      <c r="Z13" s="189"/>
      <c r="AA13" s="189"/>
      <c r="AB13" s="189"/>
      <c r="AC13" s="189"/>
      <c r="AD13" s="189"/>
      <c r="AE13" s="189"/>
      <c r="AF13" s="189"/>
      <c r="AG13" s="189"/>
      <c r="AH13" s="189"/>
      <c r="AI13" s="189"/>
      <c r="AJ13" s="189"/>
      <c r="AK13" s="191"/>
    </row>
    <row r="14" spans="2:37" s="117" customFormat="1">
      <c r="B14" s="119">
        <v>6</v>
      </c>
      <c r="C14" s="189" t="s">
        <v>1472</v>
      </c>
      <c r="D14" s="189"/>
      <c r="E14" s="189"/>
      <c r="F14" s="189"/>
      <c r="G14" s="189"/>
      <c r="H14" s="189"/>
      <c r="I14" s="189" t="s">
        <v>1473</v>
      </c>
      <c r="J14" s="189"/>
      <c r="K14" s="189"/>
      <c r="L14" s="189"/>
      <c r="M14" s="189"/>
      <c r="N14" s="189"/>
      <c r="O14" s="189"/>
      <c r="P14" s="189"/>
      <c r="Q14" s="189" t="s">
        <v>977</v>
      </c>
      <c r="R14" s="189"/>
      <c r="S14" s="189"/>
      <c r="T14" s="189"/>
      <c r="U14" s="189"/>
      <c r="V14" s="189"/>
      <c r="W14" s="189"/>
      <c r="X14" s="189"/>
      <c r="Y14" s="189"/>
      <c r="Z14" s="189"/>
      <c r="AA14" s="189"/>
      <c r="AB14" s="189"/>
      <c r="AC14" s="189"/>
      <c r="AD14" s="189"/>
      <c r="AE14" s="189"/>
      <c r="AF14" s="189"/>
      <c r="AG14" s="189"/>
      <c r="AH14" s="189"/>
      <c r="AI14" s="189"/>
      <c r="AJ14" s="189"/>
      <c r="AK14" s="191"/>
    </row>
    <row r="15" spans="2:37" s="66" customFormat="1">
      <c r="B15" s="119">
        <v>7</v>
      </c>
      <c r="C15" s="189" t="s">
        <v>1641</v>
      </c>
      <c r="D15" s="189"/>
      <c r="E15" s="189"/>
      <c r="F15" s="189"/>
      <c r="G15" s="189"/>
      <c r="H15" s="189"/>
      <c r="I15" s="189" t="s">
        <v>1124</v>
      </c>
      <c r="J15" s="189"/>
      <c r="K15" s="189"/>
      <c r="L15" s="189"/>
      <c r="M15" s="189"/>
      <c r="N15" s="189"/>
      <c r="O15" s="189"/>
      <c r="P15" s="189"/>
      <c r="Q15" s="189" t="s">
        <v>977</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119">
        <v>8</v>
      </c>
      <c r="C16" s="189" t="s">
        <v>1291</v>
      </c>
      <c r="D16" s="189"/>
      <c r="E16" s="189"/>
      <c r="F16" s="189"/>
      <c r="G16" s="189"/>
      <c r="H16" s="189"/>
      <c r="I16" s="189" t="s">
        <v>1123</v>
      </c>
      <c r="J16" s="189"/>
      <c r="K16" s="189"/>
      <c r="L16" s="189"/>
      <c r="M16" s="189"/>
      <c r="N16" s="189"/>
      <c r="O16" s="189"/>
      <c r="P16" s="189"/>
      <c r="Q16" s="189" t="s">
        <v>977</v>
      </c>
      <c r="R16" s="189"/>
      <c r="S16" s="189"/>
      <c r="T16" s="189"/>
      <c r="U16" s="189"/>
      <c r="V16" s="189"/>
      <c r="W16" s="189"/>
      <c r="X16" s="189"/>
      <c r="Y16" s="189"/>
      <c r="Z16" s="189"/>
      <c r="AA16" s="189"/>
      <c r="AB16" s="189"/>
      <c r="AC16" s="189"/>
      <c r="AD16" s="189"/>
      <c r="AE16" s="189"/>
      <c r="AF16" s="189"/>
      <c r="AG16" s="189"/>
      <c r="AH16" s="189"/>
      <c r="AI16" s="189"/>
      <c r="AJ16" s="189"/>
      <c r="AK16" s="191"/>
    </row>
    <row r="17" spans="2:37">
      <c r="B17" s="119">
        <v>9</v>
      </c>
      <c r="C17" s="189" t="s">
        <v>1292</v>
      </c>
      <c r="D17" s="189"/>
      <c r="E17" s="189"/>
      <c r="F17" s="189"/>
      <c r="G17" s="189"/>
      <c r="H17" s="189"/>
      <c r="I17" s="189" t="s">
        <v>1293</v>
      </c>
      <c r="J17" s="189"/>
      <c r="K17" s="189"/>
      <c r="L17" s="189"/>
      <c r="M17" s="189"/>
      <c r="N17" s="189"/>
      <c r="O17" s="189"/>
      <c r="P17" s="189"/>
      <c r="Q17" s="189" t="s">
        <v>1189</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119">
        <v>10</v>
      </c>
      <c r="C18" s="189" t="s">
        <v>1294</v>
      </c>
      <c r="D18" s="189"/>
      <c r="E18" s="189"/>
      <c r="F18" s="189"/>
      <c r="G18" s="189"/>
      <c r="H18" s="189"/>
      <c r="I18" s="189" t="s">
        <v>1038</v>
      </c>
      <c r="J18" s="189"/>
      <c r="K18" s="189"/>
      <c r="L18" s="189"/>
      <c r="M18" s="189"/>
      <c r="N18" s="189"/>
      <c r="O18" s="189"/>
      <c r="P18" s="189"/>
      <c r="Q18" s="189" t="s">
        <v>977</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119">
        <v>11</v>
      </c>
      <c r="C19" s="189" t="s">
        <v>1295</v>
      </c>
      <c r="D19" s="189"/>
      <c r="E19" s="189"/>
      <c r="F19" s="189"/>
      <c r="G19" s="189"/>
      <c r="H19" s="189"/>
      <c r="I19" s="189" t="s">
        <v>1296</v>
      </c>
      <c r="J19" s="189"/>
      <c r="K19" s="189"/>
      <c r="L19" s="189"/>
      <c r="M19" s="189"/>
      <c r="N19" s="189"/>
      <c r="O19" s="189"/>
      <c r="P19" s="189"/>
      <c r="Q19" s="189" t="s">
        <v>1189</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119">
        <v>12</v>
      </c>
      <c r="C20" s="189" t="s">
        <v>1297</v>
      </c>
      <c r="D20" s="189"/>
      <c r="E20" s="189"/>
      <c r="F20" s="189"/>
      <c r="G20" s="189"/>
      <c r="H20" s="189"/>
      <c r="I20" s="189" t="s">
        <v>1298</v>
      </c>
      <c r="J20" s="189"/>
      <c r="K20" s="189"/>
      <c r="L20" s="189"/>
      <c r="M20" s="189"/>
      <c r="N20" s="189"/>
      <c r="O20" s="189"/>
      <c r="P20" s="189"/>
      <c r="Q20" s="189" t="s">
        <v>1225</v>
      </c>
      <c r="R20" s="189"/>
      <c r="S20" s="189"/>
      <c r="T20" s="189"/>
      <c r="U20" s="189"/>
      <c r="V20" s="189"/>
      <c r="W20" s="189"/>
      <c r="X20" s="189"/>
      <c r="Y20" s="189"/>
      <c r="Z20" s="189"/>
      <c r="AA20" s="189"/>
      <c r="AB20" s="189"/>
      <c r="AC20" s="189"/>
      <c r="AD20" s="189"/>
      <c r="AE20" s="189"/>
      <c r="AF20" s="189"/>
      <c r="AG20" s="189"/>
      <c r="AH20" s="189"/>
      <c r="AI20" s="189"/>
      <c r="AJ20" s="189"/>
      <c r="AK20" s="191"/>
    </row>
    <row r="21" spans="2:37">
      <c r="B21" s="119">
        <v>13</v>
      </c>
      <c r="C21" s="189" t="s">
        <v>1299</v>
      </c>
      <c r="D21" s="189"/>
      <c r="E21" s="189"/>
      <c r="F21" s="189"/>
      <c r="G21" s="189"/>
      <c r="H21" s="189"/>
      <c r="I21" s="189" t="s">
        <v>1300</v>
      </c>
      <c r="J21" s="189"/>
      <c r="K21" s="189"/>
      <c r="L21" s="189"/>
      <c r="M21" s="189"/>
      <c r="N21" s="189"/>
      <c r="O21" s="189"/>
      <c r="P21" s="189"/>
      <c r="Q21" s="189" t="s">
        <v>977</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119">
        <v>14</v>
      </c>
      <c r="C22" s="189" t="s">
        <v>1820</v>
      </c>
      <c r="D22" s="189"/>
      <c r="E22" s="189"/>
      <c r="F22" s="189"/>
      <c r="G22" s="189"/>
      <c r="H22" s="189"/>
      <c r="I22" s="189" t="s">
        <v>1099</v>
      </c>
      <c r="J22" s="189"/>
      <c r="K22" s="189"/>
      <c r="L22" s="189"/>
      <c r="M22" s="189"/>
      <c r="N22" s="189"/>
      <c r="O22" s="189"/>
      <c r="P22" s="189"/>
      <c r="Q22" s="189" t="s">
        <v>977</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119">
        <v>15</v>
      </c>
      <c r="C23" s="189" t="s">
        <v>1821</v>
      </c>
      <c r="D23" s="189"/>
      <c r="E23" s="189"/>
      <c r="F23" s="189"/>
      <c r="G23" s="189"/>
      <c r="H23" s="189"/>
      <c r="I23" s="189" t="s">
        <v>1303</v>
      </c>
      <c r="J23" s="189"/>
      <c r="K23" s="189"/>
      <c r="L23" s="189"/>
      <c r="M23" s="189"/>
      <c r="N23" s="189"/>
      <c r="O23" s="189"/>
      <c r="P23" s="189"/>
      <c r="Q23" s="189" t="s">
        <v>1189</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119">
        <v>16</v>
      </c>
      <c r="C24" s="189" t="s">
        <v>1304</v>
      </c>
      <c r="D24" s="189"/>
      <c r="E24" s="189"/>
      <c r="F24" s="189"/>
      <c r="G24" s="189"/>
      <c r="H24" s="189"/>
      <c r="I24" s="189" t="s">
        <v>1305</v>
      </c>
      <c r="J24" s="189"/>
      <c r="K24" s="189"/>
      <c r="L24" s="189"/>
      <c r="M24" s="189"/>
      <c r="N24" s="189"/>
      <c r="O24" s="189"/>
      <c r="P24" s="189"/>
      <c r="Q24" s="189" t="s">
        <v>1225</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119">
        <v>17</v>
      </c>
      <c r="C25" s="189" t="s">
        <v>1251</v>
      </c>
      <c r="D25" s="189"/>
      <c r="E25" s="189"/>
      <c r="F25" s="189"/>
      <c r="G25" s="189"/>
      <c r="H25" s="189"/>
      <c r="I25" s="189" t="s">
        <v>1252</v>
      </c>
      <c r="J25" s="189"/>
      <c r="K25" s="189"/>
      <c r="L25" s="189"/>
      <c r="M25" s="189"/>
      <c r="N25" s="189"/>
      <c r="O25" s="189"/>
      <c r="P25" s="189"/>
      <c r="Q25" s="189" t="s">
        <v>1206</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119">
        <v>18</v>
      </c>
      <c r="C26" s="189" t="s">
        <v>1306</v>
      </c>
      <c r="D26" s="189"/>
      <c r="E26" s="189"/>
      <c r="F26" s="189"/>
      <c r="G26" s="189"/>
      <c r="H26" s="189"/>
      <c r="I26" s="189" t="s">
        <v>1233</v>
      </c>
      <c r="J26" s="189"/>
      <c r="K26" s="189"/>
      <c r="L26" s="189"/>
      <c r="M26" s="189"/>
      <c r="N26" s="189"/>
      <c r="O26" s="189"/>
      <c r="P26" s="189"/>
      <c r="Q26" s="189" t="s">
        <v>1189</v>
      </c>
      <c r="R26" s="189"/>
      <c r="S26" s="189"/>
      <c r="T26" s="189"/>
      <c r="U26" s="189"/>
      <c r="V26" s="189"/>
      <c r="W26" s="189"/>
      <c r="X26" s="189"/>
      <c r="Y26" s="189"/>
      <c r="Z26" s="189"/>
      <c r="AA26" s="189"/>
      <c r="AB26" s="189"/>
      <c r="AC26" s="189"/>
      <c r="AD26" s="189"/>
      <c r="AE26" s="189"/>
      <c r="AF26" s="189"/>
      <c r="AG26" s="189"/>
      <c r="AH26" s="189"/>
      <c r="AI26" s="189"/>
      <c r="AJ26" s="189"/>
      <c r="AK26" s="191"/>
    </row>
    <row r="27" spans="2:37" ht="13.8" thickBot="1">
      <c r="B27" s="4">
        <v>19</v>
      </c>
      <c r="C27" s="190" t="s">
        <v>231</v>
      </c>
      <c r="D27" s="190"/>
      <c r="E27" s="190"/>
      <c r="F27" s="190"/>
      <c r="G27" s="190"/>
      <c r="H27" s="190"/>
      <c r="I27" s="190" t="s">
        <v>1307</v>
      </c>
      <c r="J27" s="190"/>
      <c r="K27" s="190"/>
      <c r="L27" s="190"/>
      <c r="M27" s="190"/>
      <c r="N27" s="190"/>
      <c r="O27" s="190"/>
      <c r="P27" s="190"/>
      <c r="Q27" s="190" t="s">
        <v>977</v>
      </c>
      <c r="R27" s="190"/>
      <c r="S27" s="190"/>
      <c r="T27" s="190"/>
      <c r="U27" s="190"/>
      <c r="V27" s="190"/>
      <c r="W27" s="190"/>
      <c r="X27" s="190"/>
      <c r="Y27" s="190"/>
      <c r="Z27" s="190"/>
      <c r="AA27" s="190"/>
      <c r="AB27" s="190"/>
      <c r="AC27" s="190"/>
      <c r="AD27" s="190"/>
      <c r="AE27" s="190"/>
      <c r="AF27" s="190"/>
      <c r="AG27" s="190"/>
      <c r="AH27" s="190"/>
      <c r="AI27" s="190"/>
      <c r="AJ27" s="190"/>
      <c r="AK27" s="198"/>
    </row>
    <row r="30" spans="2:37" ht="15" thickBot="1">
      <c r="B30" s="7" t="s">
        <v>994</v>
      </c>
    </row>
    <row r="31" spans="2:37">
      <c r="B31" s="6" t="s">
        <v>7</v>
      </c>
      <c r="C31" s="201" t="s">
        <v>998</v>
      </c>
      <c r="D31" s="201"/>
      <c r="E31" s="201"/>
      <c r="F31" s="201"/>
      <c r="G31" s="201"/>
      <c r="H31" s="201"/>
      <c r="I31" s="201"/>
      <c r="J31" s="201"/>
      <c r="K31" s="201"/>
      <c r="L31" s="201" t="s">
        <v>1000</v>
      </c>
      <c r="M31" s="201"/>
      <c r="N31" s="201"/>
      <c r="O31" s="201"/>
      <c r="P31" s="201"/>
      <c r="Q31" s="201"/>
      <c r="R31" s="201"/>
      <c r="S31" s="201"/>
      <c r="T31" s="201"/>
      <c r="U31" s="201"/>
      <c r="V31" s="201" t="s">
        <v>1002</v>
      </c>
      <c r="W31" s="201"/>
      <c r="X31" s="201"/>
      <c r="Y31" s="201" t="s">
        <v>1004</v>
      </c>
      <c r="Z31" s="201"/>
      <c r="AA31" s="201"/>
      <c r="AB31" s="201" t="s">
        <v>1005</v>
      </c>
      <c r="AC31" s="201"/>
      <c r="AD31" s="201"/>
      <c r="AE31" s="201"/>
      <c r="AF31" s="201"/>
      <c r="AG31" s="201"/>
      <c r="AH31" s="201"/>
      <c r="AI31" s="204"/>
    </row>
    <row r="32" spans="2:37">
      <c r="B32" s="228">
        <v>1</v>
      </c>
      <c r="C32" s="230" t="s">
        <v>1308</v>
      </c>
      <c r="D32" s="230"/>
      <c r="E32" s="230"/>
      <c r="F32" s="230"/>
      <c r="G32" s="230"/>
      <c r="H32" s="230"/>
      <c r="I32" s="230"/>
      <c r="J32" s="230"/>
      <c r="K32" s="230"/>
      <c r="L32" s="232" t="s">
        <v>1184</v>
      </c>
      <c r="M32" s="232"/>
      <c r="N32" s="232"/>
      <c r="O32" s="232"/>
      <c r="P32" s="232"/>
      <c r="Q32" s="232"/>
      <c r="R32" s="232"/>
      <c r="S32" s="232"/>
      <c r="T32" s="232"/>
      <c r="U32" s="232"/>
      <c r="V32" s="230" t="s">
        <v>151</v>
      </c>
      <c r="W32" s="230"/>
      <c r="X32" s="230"/>
      <c r="Y32" s="230" t="s">
        <v>151</v>
      </c>
      <c r="Z32" s="230"/>
      <c r="AA32" s="230"/>
      <c r="AB32" s="230"/>
      <c r="AC32" s="230"/>
      <c r="AD32" s="230"/>
      <c r="AE32" s="230"/>
      <c r="AF32" s="230"/>
      <c r="AG32" s="230"/>
      <c r="AH32" s="230"/>
      <c r="AI32" s="233"/>
    </row>
    <row r="33" spans="2:35">
      <c r="B33" s="228"/>
      <c r="C33" s="230"/>
      <c r="D33" s="230"/>
      <c r="E33" s="230"/>
      <c r="F33" s="230"/>
      <c r="G33" s="230"/>
      <c r="H33" s="230"/>
      <c r="I33" s="230"/>
      <c r="J33" s="230"/>
      <c r="K33" s="230"/>
      <c r="L33" s="221" t="s">
        <v>1290</v>
      </c>
      <c r="M33" s="221"/>
      <c r="N33" s="221"/>
      <c r="O33" s="221"/>
      <c r="P33" s="221"/>
      <c r="Q33" s="221"/>
      <c r="R33" s="221"/>
      <c r="S33" s="221"/>
      <c r="T33" s="221"/>
      <c r="U33" s="221"/>
      <c r="V33" s="230"/>
      <c r="W33" s="230"/>
      <c r="X33" s="230"/>
      <c r="Y33" s="230"/>
      <c r="Z33" s="230"/>
      <c r="AA33" s="230"/>
      <c r="AB33" s="230"/>
      <c r="AC33" s="230"/>
      <c r="AD33" s="230"/>
      <c r="AE33" s="230"/>
      <c r="AF33" s="230"/>
      <c r="AG33" s="230"/>
      <c r="AH33" s="230"/>
      <c r="AI33" s="233"/>
    </row>
    <row r="34" spans="2:35" ht="13.8" thickBot="1">
      <c r="B34" s="229"/>
      <c r="C34" s="231"/>
      <c r="D34" s="231"/>
      <c r="E34" s="231"/>
      <c r="F34" s="231"/>
      <c r="G34" s="231"/>
      <c r="H34" s="231"/>
      <c r="I34" s="231"/>
      <c r="J34" s="231"/>
      <c r="K34" s="231"/>
      <c r="L34" s="224" t="s">
        <v>1041</v>
      </c>
      <c r="M34" s="224"/>
      <c r="N34" s="224"/>
      <c r="O34" s="224"/>
      <c r="P34" s="224"/>
      <c r="Q34" s="224"/>
      <c r="R34" s="224"/>
      <c r="S34" s="224"/>
      <c r="T34" s="224"/>
      <c r="U34" s="224"/>
      <c r="V34" s="231"/>
      <c r="W34" s="231"/>
      <c r="X34" s="231"/>
      <c r="Y34" s="231"/>
      <c r="Z34" s="231"/>
      <c r="AA34" s="231"/>
      <c r="AB34" s="231"/>
      <c r="AC34" s="231"/>
      <c r="AD34" s="231"/>
      <c r="AE34" s="231"/>
      <c r="AF34" s="231"/>
      <c r="AG34" s="231"/>
      <c r="AH34" s="231"/>
      <c r="AI34" s="234"/>
    </row>
    <row r="35" spans="2:35">
      <c r="B35" s="8"/>
    </row>
    <row r="36" spans="2:35" ht="15" thickBot="1">
      <c r="B36" s="7" t="s">
        <v>995</v>
      </c>
    </row>
    <row r="37" spans="2:35">
      <c r="B37" s="14" t="s">
        <v>7</v>
      </c>
      <c r="C37" s="226" t="s">
        <v>1070</v>
      </c>
      <c r="D37" s="226"/>
      <c r="E37" s="226"/>
      <c r="F37" s="226"/>
      <c r="G37" s="226"/>
      <c r="H37" s="226"/>
      <c r="I37" s="226"/>
      <c r="J37" s="226"/>
      <c r="K37" s="226"/>
      <c r="L37" s="226"/>
      <c r="M37" s="226" t="s">
        <v>1000</v>
      </c>
      <c r="N37" s="226"/>
      <c r="O37" s="226"/>
      <c r="P37" s="226"/>
      <c r="Q37" s="226"/>
      <c r="R37" s="226"/>
      <c r="S37" s="226"/>
      <c r="T37" s="226"/>
      <c r="U37" s="226" t="s">
        <v>1154</v>
      </c>
      <c r="V37" s="226"/>
      <c r="W37" s="226"/>
      <c r="X37" s="226"/>
      <c r="Y37" s="226"/>
      <c r="Z37" s="226"/>
      <c r="AA37" s="226"/>
      <c r="AB37" s="226"/>
      <c r="AC37" s="226"/>
      <c r="AD37" s="226" t="s">
        <v>1155</v>
      </c>
      <c r="AE37" s="226"/>
      <c r="AF37" s="226"/>
      <c r="AG37" s="226"/>
      <c r="AH37" s="226"/>
      <c r="AI37" s="227"/>
    </row>
    <row r="38" spans="2:35" ht="13.8" thickBot="1">
      <c r="B38" s="4"/>
      <c r="C38" s="190"/>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190"/>
      <c r="AD38" s="190"/>
      <c r="AE38" s="190"/>
      <c r="AF38" s="190"/>
      <c r="AG38" s="190"/>
      <c r="AH38" s="190"/>
      <c r="AI38" s="198"/>
    </row>
    <row r="40" spans="2:35" ht="15" thickBot="1">
      <c r="B40" s="7" t="s">
        <v>996</v>
      </c>
    </row>
    <row r="41" spans="2:35">
      <c r="B41" s="14" t="s">
        <v>7</v>
      </c>
      <c r="C41" s="226" t="s">
        <v>1070</v>
      </c>
      <c r="D41" s="226"/>
      <c r="E41" s="226"/>
      <c r="F41" s="226"/>
      <c r="G41" s="226"/>
      <c r="H41" s="226"/>
      <c r="I41" s="226"/>
      <c r="J41" s="226"/>
      <c r="K41" s="226"/>
      <c r="L41" s="226"/>
      <c r="M41" s="226" t="s">
        <v>1000</v>
      </c>
      <c r="N41" s="226"/>
      <c r="O41" s="226"/>
      <c r="P41" s="226"/>
      <c r="Q41" s="226"/>
      <c r="R41" s="226"/>
      <c r="S41" s="226"/>
      <c r="T41" s="226"/>
      <c r="U41" s="226" t="s">
        <v>1154</v>
      </c>
      <c r="V41" s="226"/>
      <c r="W41" s="226"/>
      <c r="X41" s="226"/>
      <c r="Y41" s="226"/>
      <c r="Z41" s="226"/>
      <c r="AA41" s="226"/>
      <c r="AB41" s="226"/>
      <c r="AC41" s="226"/>
      <c r="AD41" s="226" t="s">
        <v>1155</v>
      </c>
      <c r="AE41" s="226"/>
      <c r="AF41" s="226"/>
      <c r="AG41" s="226"/>
      <c r="AH41" s="226"/>
      <c r="AI41" s="227"/>
    </row>
    <row r="42" spans="2:35" ht="13.8" thickBot="1">
      <c r="B42" s="4"/>
      <c r="C42" s="190"/>
      <c r="D42" s="190"/>
      <c r="E42" s="190"/>
      <c r="F42" s="190"/>
      <c r="G42" s="190"/>
      <c r="H42" s="190"/>
      <c r="I42" s="190"/>
      <c r="J42" s="190"/>
      <c r="K42" s="190"/>
      <c r="L42" s="190"/>
      <c r="M42" s="190"/>
      <c r="N42" s="190"/>
      <c r="O42" s="190"/>
      <c r="P42" s="190"/>
      <c r="Q42" s="190"/>
      <c r="R42" s="190"/>
      <c r="S42" s="190"/>
      <c r="T42" s="190"/>
      <c r="U42" s="190"/>
      <c r="V42" s="190"/>
      <c r="W42" s="190"/>
      <c r="X42" s="190"/>
      <c r="Y42" s="190"/>
      <c r="Z42" s="190"/>
      <c r="AA42" s="190"/>
      <c r="AB42" s="190"/>
      <c r="AC42" s="190"/>
      <c r="AD42" s="190"/>
      <c r="AE42" s="190"/>
      <c r="AF42" s="190"/>
      <c r="AG42" s="190"/>
      <c r="AH42" s="190"/>
      <c r="AI42" s="198"/>
    </row>
  </sheetData>
  <mergeCells count="176">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AE16:AK16"/>
    <mergeCell ref="C17:H17"/>
    <mergeCell ref="I17:P17"/>
    <mergeCell ref="Q17:X17"/>
    <mergeCell ref="Y17:Z17"/>
    <mergeCell ref="AA17:AB17"/>
    <mergeCell ref="AC17:AD17"/>
    <mergeCell ref="AE17:AK17"/>
    <mergeCell ref="C16:H16"/>
    <mergeCell ref="I16:P16"/>
    <mergeCell ref="Q16:X16"/>
    <mergeCell ref="Y16:Z16"/>
    <mergeCell ref="AA16:AB16"/>
    <mergeCell ref="AC16:AD16"/>
    <mergeCell ref="AE18:AK18"/>
    <mergeCell ref="C19:H19"/>
    <mergeCell ref="I19:P19"/>
    <mergeCell ref="Q19:X19"/>
    <mergeCell ref="Y19:Z19"/>
    <mergeCell ref="AA19:AB19"/>
    <mergeCell ref="AC19:AD19"/>
    <mergeCell ref="AE19:AK19"/>
    <mergeCell ref="C18:H18"/>
    <mergeCell ref="I18:P18"/>
    <mergeCell ref="Q18:X18"/>
    <mergeCell ref="Y18:Z18"/>
    <mergeCell ref="AA18:AB18"/>
    <mergeCell ref="AC18:AD18"/>
    <mergeCell ref="AE20:AK20"/>
    <mergeCell ref="C21:H21"/>
    <mergeCell ref="I21:P21"/>
    <mergeCell ref="Q21:X21"/>
    <mergeCell ref="Y21:Z21"/>
    <mergeCell ref="AA21:AB21"/>
    <mergeCell ref="AC21:AD21"/>
    <mergeCell ref="AE21:AK21"/>
    <mergeCell ref="C20:H20"/>
    <mergeCell ref="I20:P20"/>
    <mergeCell ref="Q20:X20"/>
    <mergeCell ref="Y20:Z20"/>
    <mergeCell ref="AA20:AB20"/>
    <mergeCell ref="AC20:AD20"/>
    <mergeCell ref="AE22:AK22"/>
    <mergeCell ref="C23:H23"/>
    <mergeCell ref="I23:P23"/>
    <mergeCell ref="Q23:X23"/>
    <mergeCell ref="Y23:Z23"/>
    <mergeCell ref="AA23:AB23"/>
    <mergeCell ref="AC23:AD23"/>
    <mergeCell ref="AE23:AK23"/>
    <mergeCell ref="C22:H22"/>
    <mergeCell ref="I22:P22"/>
    <mergeCell ref="Q22:X22"/>
    <mergeCell ref="Y22:Z22"/>
    <mergeCell ref="AA22:AB22"/>
    <mergeCell ref="AC22:AD22"/>
    <mergeCell ref="AE24:AK24"/>
    <mergeCell ref="C25:H25"/>
    <mergeCell ref="I25:P25"/>
    <mergeCell ref="Q25:X25"/>
    <mergeCell ref="Y25:Z25"/>
    <mergeCell ref="AA25:AB25"/>
    <mergeCell ref="AC25:AD25"/>
    <mergeCell ref="AE25:AK25"/>
    <mergeCell ref="C24:H24"/>
    <mergeCell ref="I24:P24"/>
    <mergeCell ref="Q24:X24"/>
    <mergeCell ref="Y24:Z24"/>
    <mergeCell ref="AA24:AB24"/>
    <mergeCell ref="AC24:AD24"/>
    <mergeCell ref="AB31:AI31"/>
    <mergeCell ref="B32:B34"/>
    <mergeCell ref="C32:K34"/>
    <mergeCell ref="L32:U32"/>
    <mergeCell ref="V32:X34"/>
    <mergeCell ref="Y32:AA34"/>
    <mergeCell ref="AE26:AK26"/>
    <mergeCell ref="C27:H27"/>
    <mergeCell ref="I27:P27"/>
    <mergeCell ref="Q27:X27"/>
    <mergeCell ref="Y27:Z27"/>
    <mergeCell ref="AA27:AB27"/>
    <mergeCell ref="AC27:AD27"/>
    <mergeCell ref="AE27:AK27"/>
    <mergeCell ref="C26:H26"/>
    <mergeCell ref="I26:P26"/>
    <mergeCell ref="Q26:X26"/>
    <mergeCell ref="Y26:Z26"/>
    <mergeCell ref="AA26:AB26"/>
    <mergeCell ref="AC26:AD26"/>
    <mergeCell ref="AB32:AI34"/>
    <mergeCell ref="L33:U33"/>
    <mergeCell ref="L34:U34"/>
    <mergeCell ref="Y14:Z14"/>
    <mergeCell ref="AA14:AB14"/>
    <mergeCell ref="AC14:AD14"/>
    <mergeCell ref="AE14:AK14"/>
    <mergeCell ref="C42:L42"/>
    <mergeCell ref="M42:T42"/>
    <mergeCell ref="U42:AC42"/>
    <mergeCell ref="AD42:AI42"/>
    <mergeCell ref="C38:L38"/>
    <mergeCell ref="M38:T38"/>
    <mergeCell ref="U38:AC38"/>
    <mergeCell ref="AD38:AI38"/>
    <mergeCell ref="C41:L41"/>
    <mergeCell ref="M41:T41"/>
    <mergeCell ref="U41:AC41"/>
    <mergeCell ref="AD41:AI41"/>
    <mergeCell ref="C37:L37"/>
    <mergeCell ref="M37:T37"/>
    <mergeCell ref="U37:AC37"/>
    <mergeCell ref="AD37:AI37"/>
    <mergeCell ref="C31:K31"/>
    <mergeCell ref="L31:U31"/>
    <mergeCell ref="V31:X31"/>
    <mergeCell ref="Y31:AA31"/>
    <mergeCell ref="C12:H12"/>
    <mergeCell ref="I12:P12"/>
    <mergeCell ref="Q12:X12"/>
    <mergeCell ref="Y12:Z12"/>
    <mergeCell ref="AA12:AB12"/>
    <mergeCell ref="AC12:AD12"/>
    <mergeCell ref="AE12:AK12"/>
    <mergeCell ref="C15:H15"/>
    <mergeCell ref="I15:P15"/>
    <mergeCell ref="Q15:X15"/>
    <mergeCell ref="Y15:Z15"/>
    <mergeCell ref="AA15:AB15"/>
    <mergeCell ref="AC15:AD15"/>
    <mergeCell ref="AE15:AK15"/>
    <mergeCell ref="C13:H13"/>
    <mergeCell ref="I13:P13"/>
    <mergeCell ref="Q13:X13"/>
    <mergeCell ref="Y13:Z13"/>
    <mergeCell ref="AA13:AB13"/>
    <mergeCell ref="AC13:AD13"/>
    <mergeCell ref="AE13:AK13"/>
    <mergeCell ref="C14:H14"/>
    <mergeCell ref="I14:P14"/>
    <mergeCell ref="Q14:X14"/>
  </mergeCells>
  <phoneticPr fontId="3"/>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844C3-4331-4DD7-B4D4-09CEC5D200A8}">
  <sheetPr codeName="Sheet95"/>
  <dimension ref="B1:AK45"/>
  <sheetViews>
    <sheetView topLeftCell="A4" workbookViewId="0"/>
  </sheetViews>
  <sheetFormatPr defaultColWidth="3.6640625" defaultRowHeight="13.2"/>
  <sheetData>
    <row r="1" spans="2:37" ht="13.8" thickBot="1"/>
    <row r="2" spans="2:37">
      <c r="B2" s="205" t="s">
        <v>95</v>
      </c>
      <c r="C2" s="206"/>
      <c r="D2" s="206"/>
      <c r="E2" s="206"/>
      <c r="F2" s="211" t="s">
        <v>93</v>
      </c>
      <c r="G2" s="211"/>
      <c r="H2" s="212"/>
      <c r="I2" s="196" t="s">
        <v>1309</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1310</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1241</v>
      </c>
      <c r="D9" s="189"/>
      <c r="E9" s="189"/>
      <c r="F9" s="189"/>
      <c r="G9" s="189"/>
      <c r="H9" s="189"/>
      <c r="I9" s="189" t="s">
        <v>1242</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1311</v>
      </c>
      <c r="D10" s="189"/>
      <c r="E10" s="189"/>
      <c r="F10" s="189"/>
      <c r="G10" s="189"/>
      <c r="H10" s="189"/>
      <c r="I10" s="189" t="s">
        <v>1312</v>
      </c>
      <c r="J10" s="189"/>
      <c r="K10" s="189"/>
      <c r="L10" s="189"/>
      <c r="M10" s="189"/>
      <c r="N10" s="189"/>
      <c r="O10" s="189"/>
      <c r="P10" s="189"/>
      <c r="Q10" s="189" t="s">
        <v>977</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1185</v>
      </c>
      <c r="D11" s="189"/>
      <c r="E11" s="189"/>
      <c r="F11" s="189"/>
      <c r="G11" s="189"/>
      <c r="H11" s="189"/>
      <c r="I11" s="189" t="s">
        <v>1041</v>
      </c>
      <c r="J11" s="189"/>
      <c r="K11" s="189"/>
      <c r="L11" s="189"/>
      <c r="M11" s="189"/>
      <c r="N11" s="189"/>
      <c r="O11" s="189"/>
      <c r="P11" s="189"/>
      <c r="Q11" s="189" t="s">
        <v>977</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c r="B12" s="19">
        <v>4</v>
      </c>
      <c r="C12" s="189" t="s">
        <v>1313</v>
      </c>
      <c r="D12" s="189"/>
      <c r="E12" s="189"/>
      <c r="F12" s="189"/>
      <c r="G12" s="189"/>
      <c r="H12" s="189"/>
      <c r="I12" s="189" t="s">
        <v>1314</v>
      </c>
      <c r="J12" s="189"/>
      <c r="K12" s="189"/>
      <c r="L12" s="189"/>
      <c r="M12" s="189"/>
      <c r="N12" s="189"/>
      <c r="O12" s="189"/>
      <c r="P12" s="189"/>
      <c r="Q12" s="189" t="s">
        <v>1189</v>
      </c>
      <c r="R12" s="189"/>
      <c r="S12" s="189"/>
      <c r="T12" s="189"/>
      <c r="U12" s="189"/>
      <c r="V12" s="189"/>
      <c r="W12" s="189"/>
      <c r="X12" s="189"/>
      <c r="Y12" s="189"/>
      <c r="Z12" s="189"/>
      <c r="AA12" s="189"/>
      <c r="AB12" s="189"/>
      <c r="AC12" s="189"/>
      <c r="AD12" s="189"/>
      <c r="AE12" s="189"/>
      <c r="AF12" s="189"/>
      <c r="AG12" s="189"/>
      <c r="AH12" s="189"/>
      <c r="AI12" s="189"/>
      <c r="AJ12" s="189"/>
      <c r="AK12" s="191"/>
    </row>
    <row r="13" spans="2:37">
      <c r="B13" s="19">
        <v>5</v>
      </c>
      <c r="C13" s="189" t="s">
        <v>1317</v>
      </c>
      <c r="D13" s="189"/>
      <c r="E13" s="189"/>
      <c r="F13" s="189"/>
      <c r="G13" s="189"/>
      <c r="H13" s="189"/>
      <c r="I13" s="189" t="s">
        <v>1111</v>
      </c>
      <c r="J13" s="189"/>
      <c r="K13" s="189"/>
      <c r="L13" s="189"/>
      <c r="M13" s="189"/>
      <c r="N13" s="189"/>
      <c r="O13" s="189"/>
      <c r="P13" s="189"/>
      <c r="Q13" s="189" t="s">
        <v>977</v>
      </c>
      <c r="R13" s="189"/>
      <c r="S13" s="189"/>
      <c r="T13" s="189"/>
      <c r="U13" s="189"/>
      <c r="V13" s="189"/>
      <c r="W13" s="189"/>
      <c r="X13" s="189"/>
      <c r="Y13" s="189"/>
      <c r="Z13" s="189"/>
      <c r="AA13" s="189"/>
      <c r="AB13" s="189"/>
      <c r="AC13" s="189"/>
      <c r="AD13" s="189"/>
      <c r="AE13" s="189"/>
      <c r="AF13" s="189"/>
      <c r="AG13" s="189"/>
      <c r="AH13" s="189"/>
      <c r="AI13" s="189"/>
      <c r="AJ13" s="189"/>
      <c r="AK13" s="191"/>
    </row>
    <row r="14" spans="2:37">
      <c r="B14" s="19">
        <v>6</v>
      </c>
      <c r="C14" s="189" t="s">
        <v>1318</v>
      </c>
      <c r="D14" s="189"/>
      <c r="E14" s="189"/>
      <c r="F14" s="189"/>
      <c r="G14" s="189"/>
      <c r="H14" s="189"/>
      <c r="I14" s="189" t="s">
        <v>1319</v>
      </c>
      <c r="J14" s="189"/>
      <c r="K14" s="189"/>
      <c r="L14" s="189"/>
      <c r="M14" s="189"/>
      <c r="N14" s="189"/>
      <c r="O14" s="189"/>
      <c r="P14" s="189"/>
      <c r="Q14" s="189" t="s">
        <v>1189</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75">
        <v>7</v>
      </c>
      <c r="C15" s="189" t="s">
        <v>1315</v>
      </c>
      <c r="D15" s="189"/>
      <c r="E15" s="189"/>
      <c r="F15" s="189"/>
      <c r="G15" s="189"/>
      <c r="H15" s="189"/>
      <c r="I15" s="189" t="s">
        <v>1316</v>
      </c>
      <c r="J15" s="189"/>
      <c r="K15" s="189"/>
      <c r="L15" s="189"/>
      <c r="M15" s="189"/>
      <c r="N15" s="189"/>
      <c r="O15" s="189"/>
      <c r="P15" s="189"/>
      <c r="Q15" s="189" t="s">
        <v>1189</v>
      </c>
      <c r="R15" s="189"/>
      <c r="S15" s="189"/>
      <c r="T15" s="189"/>
      <c r="U15" s="189"/>
      <c r="V15" s="189"/>
      <c r="W15" s="189"/>
      <c r="X15" s="189"/>
      <c r="Y15" s="189"/>
      <c r="Z15" s="189"/>
      <c r="AA15" s="189"/>
      <c r="AB15" s="189"/>
      <c r="AC15" s="189"/>
      <c r="AD15" s="189"/>
      <c r="AE15" s="189"/>
      <c r="AF15" s="189"/>
      <c r="AG15" s="189"/>
      <c r="AH15" s="189"/>
      <c r="AI15" s="189"/>
      <c r="AJ15" s="189"/>
      <c r="AK15" s="191"/>
    </row>
    <row r="16" spans="2:37">
      <c r="B16" s="75">
        <v>8</v>
      </c>
      <c r="C16" s="189" t="s">
        <v>1199</v>
      </c>
      <c r="D16" s="189"/>
      <c r="E16" s="189"/>
      <c r="F16" s="189"/>
      <c r="G16" s="189"/>
      <c r="H16" s="189"/>
      <c r="I16" s="189" t="s">
        <v>1043</v>
      </c>
      <c r="J16" s="189"/>
      <c r="K16" s="189"/>
      <c r="L16" s="189"/>
      <c r="M16" s="189"/>
      <c r="N16" s="189"/>
      <c r="O16" s="189"/>
      <c r="P16" s="189"/>
      <c r="Q16" s="189" t="s">
        <v>1189</v>
      </c>
      <c r="R16" s="189"/>
      <c r="S16" s="189"/>
      <c r="T16" s="189"/>
      <c r="U16" s="189"/>
      <c r="V16" s="189"/>
      <c r="W16" s="189"/>
      <c r="X16" s="189"/>
      <c r="Y16" s="189"/>
      <c r="Z16" s="189"/>
      <c r="AA16" s="189"/>
      <c r="AB16" s="189"/>
      <c r="AC16" s="189"/>
      <c r="AD16" s="189"/>
      <c r="AE16" s="189"/>
      <c r="AF16" s="189"/>
      <c r="AG16" s="189"/>
      <c r="AH16" s="189"/>
      <c r="AI16" s="189"/>
      <c r="AJ16" s="189"/>
      <c r="AK16" s="191"/>
    </row>
    <row r="17" spans="2:37" s="72" customFormat="1">
      <c r="B17" s="75">
        <v>9</v>
      </c>
      <c r="C17" s="244" t="s">
        <v>1704</v>
      </c>
      <c r="D17" s="244"/>
      <c r="E17" s="244"/>
      <c r="F17" s="244"/>
      <c r="G17" s="244"/>
      <c r="H17" s="244"/>
      <c r="I17" s="244" t="s">
        <v>579</v>
      </c>
      <c r="J17" s="244"/>
      <c r="K17" s="244"/>
      <c r="L17" s="244"/>
      <c r="M17" s="244"/>
      <c r="N17" s="244"/>
      <c r="O17" s="244"/>
      <c r="P17" s="244"/>
      <c r="Q17" s="244" t="s">
        <v>1189</v>
      </c>
      <c r="R17" s="244"/>
      <c r="S17" s="244"/>
      <c r="T17" s="244"/>
      <c r="U17" s="244"/>
      <c r="V17" s="244"/>
      <c r="W17" s="244"/>
      <c r="X17" s="244"/>
      <c r="Y17" s="189"/>
      <c r="Z17" s="189"/>
      <c r="AA17" s="189"/>
      <c r="AB17" s="189"/>
      <c r="AC17" s="189"/>
      <c r="AD17" s="189"/>
      <c r="AE17" s="189"/>
      <c r="AF17" s="189"/>
      <c r="AG17" s="189"/>
      <c r="AH17" s="189"/>
      <c r="AI17" s="189"/>
      <c r="AJ17" s="189"/>
      <c r="AK17" s="191"/>
    </row>
    <row r="18" spans="2:37">
      <c r="B18" s="75">
        <v>10</v>
      </c>
      <c r="C18" s="189" t="s">
        <v>1200</v>
      </c>
      <c r="D18" s="189"/>
      <c r="E18" s="189"/>
      <c r="F18" s="189"/>
      <c r="G18" s="189"/>
      <c r="H18" s="189"/>
      <c r="I18" s="189" t="s">
        <v>1201</v>
      </c>
      <c r="J18" s="189"/>
      <c r="K18" s="189"/>
      <c r="L18" s="189"/>
      <c r="M18" s="189"/>
      <c r="N18" s="189"/>
      <c r="O18" s="189"/>
      <c r="P18" s="189"/>
      <c r="Q18" s="189" t="s">
        <v>1189</v>
      </c>
      <c r="R18" s="189"/>
      <c r="S18" s="189"/>
      <c r="T18" s="189"/>
      <c r="U18" s="189"/>
      <c r="V18" s="189"/>
      <c r="W18" s="189"/>
      <c r="X18" s="189"/>
      <c r="Y18" s="189"/>
      <c r="Z18" s="189"/>
      <c r="AA18" s="189"/>
      <c r="AB18" s="189"/>
      <c r="AC18" s="189"/>
      <c r="AD18" s="189"/>
      <c r="AE18" s="189"/>
      <c r="AF18" s="189"/>
      <c r="AG18" s="189"/>
      <c r="AH18" s="189"/>
      <c r="AI18" s="189"/>
      <c r="AJ18" s="189"/>
      <c r="AK18" s="191"/>
    </row>
    <row r="19" spans="2:37">
      <c r="B19" s="75">
        <v>11</v>
      </c>
      <c r="C19" s="189" t="s">
        <v>1202</v>
      </c>
      <c r="D19" s="189"/>
      <c r="E19" s="189"/>
      <c r="F19" s="189"/>
      <c r="G19" s="189"/>
      <c r="H19" s="189"/>
      <c r="I19" s="189" t="s">
        <v>1203</v>
      </c>
      <c r="J19" s="189"/>
      <c r="K19" s="189"/>
      <c r="L19" s="189"/>
      <c r="M19" s="189"/>
      <c r="N19" s="189"/>
      <c r="O19" s="189"/>
      <c r="P19" s="189"/>
      <c r="Q19" s="189" t="s">
        <v>1189</v>
      </c>
      <c r="R19" s="189"/>
      <c r="S19" s="189"/>
      <c r="T19" s="189"/>
      <c r="U19" s="189"/>
      <c r="V19" s="189"/>
      <c r="W19" s="189"/>
      <c r="X19" s="189"/>
      <c r="Y19" s="189"/>
      <c r="Z19" s="189"/>
      <c r="AA19" s="189"/>
      <c r="AB19" s="189"/>
      <c r="AC19" s="189"/>
      <c r="AD19" s="189"/>
      <c r="AE19" s="189"/>
      <c r="AF19" s="189"/>
      <c r="AG19" s="189"/>
      <c r="AH19" s="189"/>
      <c r="AI19" s="189"/>
      <c r="AJ19" s="189"/>
      <c r="AK19" s="191"/>
    </row>
    <row r="20" spans="2:37">
      <c r="B20" s="80">
        <v>12</v>
      </c>
      <c r="C20" s="189" t="s">
        <v>1297</v>
      </c>
      <c r="D20" s="189"/>
      <c r="E20" s="189"/>
      <c r="F20" s="189"/>
      <c r="G20" s="189"/>
      <c r="H20" s="189"/>
      <c r="I20" s="189" t="s">
        <v>1298</v>
      </c>
      <c r="J20" s="189"/>
      <c r="K20" s="189"/>
      <c r="L20" s="189"/>
      <c r="M20" s="189"/>
      <c r="N20" s="189"/>
      <c r="O20" s="189"/>
      <c r="P20" s="189"/>
      <c r="Q20" s="189" t="s">
        <v>1225</v>
      </c>
      <c r="R20" s="189"/>
      <c r="S20" s="189"/>
      <c r="T20" s="189"/>
      <c r="U20" s="189"/>
      <c r="V20" s="189"/>
      <c r="W20" s="189"/>
      <c r="X20" s="189"/>
      <c r="Y20" s="189"/>
      <c r="Z20" s="189"/>
      <c r="AA20" s="189"/>
      <c r="AB20" s="189"/>
      <c r="AC20" s="189"/>
      <c r="AD20" s="189"/>
      <c r="AE20" s="189"/>
      <c r="AF20" s="189"/>
      <c r="AG20" s="189"/>
      <c r="AH20" s="189"/>
      <c r="AI20" s="189"/>
      <c r="AJ20" s="189"/>
      <c r="AK20" s="191"/>
    </row>
    <row r="21" spans="2:37" s="78" customFormat="1">
      <c r="B21" s="80">
        <v>13</v>
      </c>
      <c r="C21" s="189" t="s">
        <v>1493</v>
      </c>
      <c r="D21" s="189"/>
      <c r="E21" s="189"/>
      <c r="F21" s="189"/>
      <c r="G21" s="189"/>
      <c r="H21" s="189"/>
      <c r="I21" s="189" t="s">
        <v>1494</v>
      </c>
      <c r="J21" s="189"/>
      <c r="K21" s="189"/>
      <c r="L21" s="189"/>
      <c r="M21" s="189"/>
      <c r="N21" s="189"/>
      <c r="O21" s="189"/>
      <c r="P21" s="189"/>
      <c r="Q21" s="189" t="s">
        <v>146</v>
      </c>
      <c r="R21" s="189"/>
      <c r="S21" s="189"/>
      <c r="T21" s="189"/>
      <c r="U21" s="189"/>
      <c r="V21" s="189"/>
      <c r="W21" s="189"/>
      <c r="X21" s="189"/>
      <c r="Y21" s="189"/>
      <c r="Z21" s="189"/>
      <c r="AA21" s="189"/>
      <c r="AB21" s="189"/>
      <c r="AC21" s="189"/>
      <c r="AD21" s="189"/>
      <c r="AE21" s="189"/>
      <c r="AF21" s="189"/>
      <c r="AG21" s="189"/>
      <c r="AH21" s="189"/>
      <c r="AI21" s="189"/>
      <c r="AJ21" s="189"/>
      <c r="AK21" s="191"/>
    </row>
    <row r="22" spans="2:37">
      <c r="B22" s="80">
        <v>14</v>
      </c>
      <c r="C22" s="189" t="s">
        <v>1299</v>
      </c>
      <c r="D22" s="189"/>
      <c r="E22" s="189"/>
      <c r="F22" s="189"/>
      <c r="G22" s="189"/>
      <c r="H22" s="189"/>
      <c r="I22" s="189" t="s">
        <v>1300</v>
      </c>
      <c r="J22" s="189"/>
      <c r="K22" s="189"/>
      <c r="L22" s="189"/>
      <c r="M22" s="189"/>
      <c r="N22" s="189"/>
      <c r="O22" s="189"/>
      <c r="P22" s="189"/>
      <c r="Q22" s="189" t="s">
        <v>977</v>
      </c>
      <c r="R22" s="189"/>
      <c r="S22" s="189"/>
      <c r="T22" s="189"/>
      <c r="U22" s="189"/>
      <c r="V22" s="189"/>
      <c r="W22" s="189"/>
      <c r="X22" s="189"/>
      <c r="Y22" s="189"/>
      <c r="Z22" s="189"/>
      <c r="AA22" s="189"/>
      <c r="AB22" s="189"/>
      <c r="AC22" s="189"/>
      <c r="AD22" s="189"/>
      <c r="AE22" s="189"/>
      <c r="AF22" s="189"/>
      <c r="AG22" s="189"/>
      <c r="AH22" s="189"/>
      <c r="AI22" s="189"/>
      <c r="AJ22" s="189"/>
      <c r="AK22" s="191"/>
    </row>
    <row r="23" spans="2:37">
      <c r="B23" s="80">
        <v>15</v>
      </c>
      <c r="C23" s="189" t="s">
        <v>1820</v>
      </c>
      <c r="D23" s="189"/>
      <c r="E23" s="189"/>
      <c r="F23" s="189"/>
      <c r="G23" s="189"/>
      <c r="H23" s="189"/>
      <c r="I23" s="189" t="s">
        <v>1099</v>
      </c>
      <c r="J23" s="189"/>
      <c r="K23" s="189"/>
      <c r="L23" s="189"/>
      <c r="M23" s="189"/>
      <c r="N23" s="189"/>
      <c r="O23" s="189"/>
      <c r="P23" s="189"/>
      <c r="Q23" s="189" t="s">
        <v>977</v>
      </c>
      <c r="R23" s="189"/>
      <c r="S23" s="189"/>
      <c r="T23" s="189"/>
      <c r="U23" s="189"/>
      <c r="V23" s="189"/>
      <c r="W23" s="189"/>
      <c r="X23" s="189"/>
      <c r="Y23" s="189"/>
      <c r="Z23" s="189"/>
      <c r="AA23" s="189"/>
      <c r="AB23" s="189"/>
      <c r="AC23" s="189"/>
      <c r="AD23" s="189"/>
      <c r="AE23" s="189"/>
      <c r="AF23" s="189"/>
      <c r="AG23" s="189"/>
      <c r="AH23" s="189"/>
      <c r="AI23" s="189"/>
      <c r="AJ23" s="189"/>
      <c r="AK23" s="191"/>
    </row>
    <row r="24" spans="2:37">
      <c r="B24" s="80">
        <v>16</v>
      </c>
      <c r="C24" s="189" t="s">
        <v>1821</v>
      </c>
      <c r="D24" s="189"/>
      <c r="E24" s="189"/>
      <c r="F24" s="189"/>
      <c r="G24" s="189"/>
      <c r="H24" s="189"/>
      <c r="I24" s="189" t="s">
        <v>1303</v>
      </c>
      <c r="J24" s="189"/>
      <c r="K24" s="189"/>
      <c r="L24" s="189"/>
      <c r="M24" s="189"/>
      <c r="N24" s="189"/>
      <c r="O24" s="189"/>
      <c r="P24" s="189"/>
      <c r="Q24" s="189" t="s">
        <v>1189</v>
      </c>
      <c r="R24" s="189"/>
      <c r="S24" s="189"/>
      <c r="T24" s="189"/>
      <c r="U24" s="189"/>
      <c r="V24" s="189"/>
      <c r="W24" s="189"/>
      <c r="X24" s="189"/>
      <c r="Y24" s="189"/>
      <c r="Z24" s="189"/>
      <c r="AA24" s="189"/>
      <c r="AB24" s="189"/>
      <c r="AC24" s="189"/>
      <c r="AD24" s="189"/>
      <c r="AE24" s="189"/>
      <c r="AF24" s="189"/>
      <c r="AG24" s="189"/>
      <c r="AH24" s="189"/>
      <c r="AI24" s="189"/>
      <c r="AJ24" s="189"/>
      <c r="AK24" s="191"/>
    </row>
    <row r="25" spans="2:37">
      <c r="B25" s="80">
        <v>17</v>
      </c>
      <c r="C25" s="189" t="s">
        <v>1304</v>
      </c>
      <c r="D25" s="189"/>
      <c r="E25" s="189"/>
      <c r="F25" s="189"/>
      <c r="G25" s="189"/>
      <c r="H25" s="189"/>
      <c r="I25" s="189" t="s">
        <v>1305</v>
      </c>
      <c r="J25" s="189"/>
      <c r="K25" s="189"/>
      <c r="L25" s="189"/>
      <c r="M25" s="189"/>
      <c r="N25" s="189"/>
      <c r="O25" s="189"/>
      <c r="P25" s="189"/>
      <c r="Q25" s="189" t="s">
        <v>1225</v>
      </c>
      <c r="R25" s="189"/>
      <c r="S25" s="189"/>
      <c r="T25" s="189"/>
      <c r="U25" s="189"/>
      <c r="V25" s="189"/>
      <c r="W25" s="189"/>
      <c r="X25" s="189"/>
      <c r="Y25" s="189"/>
      <c r="Z25" s="189"/>
      <c r="AA25" s="189"/>
      <c r="AB25" s="189"/>
      <c r="AC25" s="189"/>
      <c r="AD25" s="189"/>
      <c r="AE25" s="189"/>
      <c r="AF25" s="189"/>
      <c r="AG25" s="189"/>
      <c r="AH25" s="189"/>
      <c r="AI25" s="189"/>
      <c r="AJ25" s="189"/>
      <c r="AK25" s="191"/>
    </row>
    <row r="26" spans="2:37">
      <c r="B26" s="80">
        <v>18</v>
      </c>
      <c r="C26" s="189" t="s">
        <v>1306</v>
      </c>
      <c r="D26" s="189"/>
      <c r="E26" s="189"/>
      <c r="F26" s="189"/>
      <c r="G26" s="189"/>
      <c r="H26" s="189"/>
      <c r="I26" s="189" t="s">
        <v>1233</v>
      </c>
      <c r="J26" s="189"/>
      <c r="K26" s="189"/>
      <c r="L26" s="189"/>
      <c r="M26" s="189"/>
      <c r="N26" s="189"/>
      <c r="O26" s="189"/>
      <c r="P26" s="189"/>
      <c r="Q26" s="189" t="s">
        <v>1189</v>
      </c>
      <c r="R26" s="189"/>
      <c r="S26" s="189"/>
      <c r="T26" s="189"/>
      <c r="U26" s="189"/>
      <c r="V26" s="189"/>
      <c r="W26" s="189"/>
      <c r="X26" s="189"/>
      <c r="Y26" s="189"/>
      <c r="Z26" s="189"/>
      <c r="AA26" s="189"/>
      <c r="AB26" s="189"/>
      <c r="AC26" s="189"/>
      <c r="AD26" s="189"/>
      <c r="AE26" s="189"/>
      <c r="AF26" s="189"/>
      <c r="AG26" s="189"/>
      <c r="AH26" s="189"/>
      <c r="AI26" s="189"/>
      <c r="AJ26" s="189"/>
      <c r="AK26" s="191"/>
    </row>
    <row r="27" spans="2:37" s="33" customFormat="1">
      <c r="B27" s="80">
        <v>19</v>
      </c>
      <c r="C27" s="189" t="s">
        <v>690</v>
      </c>
      <c r="D27" s="189"/>
      <c r="E27" s="189"/>
      <c r="F27" s="189"/>
      <c r="G27" s="189"/>
      <c r="H27" s="189"/>
      <c r="I27" s="189" t="s">
        <v>698</v>
      </c>
      <c r="J27" s="189"/>
      <c r="K27" s="189"/>
      <c r="L27" s="189"/>
      <c r="M27" s="189"/>
      <c r="N27" s="189"/>
      <c r="O27" s="189"/>
      <c r="P27" s="189"/>
      <c r="Q27" s="189" t="s">
        <v>146</v>
      </c>
      <c r="R27" s="189"/>
      <c r="S27" s="189"/>
      <c r="T27" s="189"/>
      <c r="U27" s="189"/>
      <c r="V27" s="189"/>
      <c r="W27" s="189"/>
      <c r="X27" s="189"/>
      <c r="Y27" s="189"/>
      <c r="Z27" s="189"/>
      <c r="AA27" s="189"/>
      <c r="AB27" s="189"/>
      <c r="AC27" s="189"/>
      <c r="AD27" s="189"/>
      <c r="AE27" s="189"/>
      <c r="AF27" s="189"/>
      <c r="AG27" s="189"/>
      <c r="AH27" s="189"/>
      <c r="AI27" s="189"/>
      <c r="AJ27" s="189"/>
      <c r="AK27" s="191"/>
    </row>
    <row r="28" spans="2:37" s="33" customFormat="1">
      <c r="B28" s="80">
        <v>20</v>
      </c>
      <c r="C28" s="189" t="s">
        <v>930</v>
      </c>
      <c r="D28" s="189"/>
      <c r="E28" s="189"/>
      <c r="F28" s="189"/>
      <c r="G28" s="189"/>
      <c r="H28" s="189"/>
      <c r="I28" s="189" t="s">
        <v>932</v>
      </c>
      <c r="J28" s="189"/>
      <c r="K28" s="189"/>
      <c r="L28" s="189"/>
      <c r="M28" s="189"/>
      <c r="N28" s="189"/>
      <c r="O28" s="189"/>
      <c r="P28" s="189"/>
      <c r="Q28" s="189" t="s">
        <v>146</v>
      </c>
      <c r="R28" s="189"/>
      <c r="S28" s="189"/>
      <c r="T28" s="189"/>
      <c r="U28" s="189"/>
      <c r="V28" s="189"/>
      <c r="W28" s="189"/>
      <c r="X28" s="189"/>
      <c r="Y28" s="189"/>
      <c r="Z28" s="189"/>
      <c r="AA28" s="189"/>
      <c r="AB28" s="189"/>
      <c r="AC28" s="189"/>
      <c r="AD28" s="189"/>
      <c r="AE28" s="189"/>
      <c r="AF28" s="189"/>
      <c r="AG28" s="189"/>
      <c r="AH28" s="189"/>
      <c r="AI28" s="189"/>
      <c r="AJ28" s="189"/>
      <c r="AK28" s="191"/>
    </row>
    <row r="29" spans="2:37" s="33" customFormat="1">
      <c r="B29" s="80">
        <v>21</v>
      </c>
      <c r="C29" s="189" t="s">
        <v>1409</v>
      </c>
      <c r="D29" s="189"/>
      <c r="E29" s="189"/>
      <c r="F29" s="189"/>
      <c r="G29" s="189"/>
      <c r="H29" s="189"/>
      <c r="I29" s="189" t="s">
        <v>1410</v>
      </c>
      <c r="J29" s="189"/>
      <c r="K29" s="189"/>
      <c r="L29" s="189"/>
      <c r="M29" s="189"/>
      <c r="N29" s="189"/>
      <c r="O29" s="189"/>
      <c r="P29" s="189"/>
      <c r="Q29" s="189" t="s">
        <v>146</v>
      </c>
      <c r="R29" s="189"/>
      <c r="S29" s="189"/>
      <c r="T29" s="189"/>
      <c r="U29" s="189"/>
      <c r="V29" s="189"/>
      <c r="W29" s="189"/>
      <c r="X29" s="189"/>
      <c r="Y29" s="189"/>
      <c r="Z29" s="189"/>
      <c r="AA29" s="189"/>
      <c r="AB29" s="189"/>
      <c r="AC29" s="189"/>
      <c r="AD29" s="189"/>
      <c r="AE29" s="189"/>
      <c r="AF29" s="189"/>
      <c r="AG29" s="189"/>
      <c r="AH29" s="189"/>
      <c r="AI29" s="189"/>
      <c r="AJ29" s="189"/>
      <c r="AK29" s="191"/>
    </row>
    <row r="30" spans="2:37" ht="13.8" thickBot="1">
      <c r="B30" s="4">
        <v>22</v>
      </c>
      <c r="C30" s="190" t="s">
        <v>231</v>
      </c>
      <c r="D30" s="190"/>
      <c r="E30" s="190"/>
      <c r="F30" s="190"/>
      <c r="G30" s="190"/>
      <c r="H30" s="190"/>
      <c r="I30" s="190" t="s">
        <v>1307</v>
      </c>
      <c r="J30" s="190"/>
      <c r="K30" s="190"/>
      <c r="L30" s="190"/>
      <c r="M30" s="190"/>
      <c r="N30" s="190"/>
      <c r="O30" s="190"/>
      <c r="P30" s="190"/>
      <c r="Q30" s="190" t="s">
        <v>977</v>
      </c>
      <c r="R30" s="190"/>
      <c r="S30" s="190"/>
      <c r="T30" s="190"/>
      <c r="U30" s="190"/>
      <c r="V30" s="190"/>
      <c r="W30" s="190"/>
      <c r="X30" s="190"/>
      <c r="Y30" s="190"/>
      <c r="Z30" s="190"/>
      <c r="AA30" s="190"/>
      <c r="AB30" s="190"/>
      <c r="AC30" s="190"/>
      <c r="AD30" s="190"/>
      <c r="AE30" s="190"/>
      <c r="AF30" s="190"/>
      <c r="AG30" s="190"/>
      <c r="AH30" s="190"/>
      <c r="AI30" s="190"/>
      <c r="AJ30" s="190"/>
      <c r="AK30" s="198"/>
    </row>
    <row r="33" spans="2:35" ht="15" thickBot="1">
      <c r="B33" s="7" t="s">
        <v>994</v>
      </c>
    </row>
    <row r="34" spans="2:35">
      <c r="B34" s="6" t="s">
        <v>7</v>
      </c>
      <c r="C34" s="201" t="s">
        <v>998</v>
      </c>
      <c r="D34" s="201"/>
      <c r="E34" s="201"/>
      <c r="F34" s="201"/>
      <c r="G34" s="201"/>
      <c r="H34" s="201"/>
      <c r="I34" s="201"/>
      <c r="J34" s="201"/>
      <c r="K34" s="201"/>
      <c r="L34" s="201" t="s">
        <v>1000</v>
      </c>
      <c r="M34" s="201"/>
      <c r="N34" s="201"/>
      <c r="O34" s="201"/>
      <c r="P34" s="201"/>
      <c r="Q34" s="201"/>
      <c r="R34" s="201"/>
      <c r="S34" s="201"/>
      <c r="T34" s="201"/>
      <c r="U34" s="201"/>
      <c r="V34" s="201" t="s">
        <v>1002</v>
      </c>
      <c r="W34" s="201"/>
      <c r="X34" s="201"/>
      <c r="Y34" s="201" t="s">
        <v>1004</v>
      </c>
      <c r="Z34" s="201"/>
      <c r="AA34" s="201"/>
      <c r="AB34" s="201" t="s">
        <v>1005</v>
      </c>
      <c r="AC34" s="201"/>
      <c r="AD34" s="201"/>
      <c r="AE34" s="201"/>
      <c r="AF34" s="201"/>
      <c r="AG34" s="201"/>
      <c r="AH34" s="201"/>
      <c r="AI34" s="204"/>
    </row>
    <row r="35" spans="2:35">
      <c r="B35" s="228">
        <v>1</v>
      </c>
      <c r="C35" s="230" t="s">
        <v>1320</v>
      </c>
      <c r="D35" s="230"/>
      <c r="E35" s="230"/>
      <c r="F35" s="230"/>
      <c r="G35" s="230"/>
      <c r="H35" s="230"/>
      <c r="I35" s="230"/>
      <c r="J35" s="230"/>
      <c r="K35" s="230"/>
      <c r="L35" s="232" t="s">
        <v>1242</v>
      </c>
      <c r="M35" s="232"/>
      <c r="N35" s="232"/>
      <c r="O35" s="232"/>
      <c r="P35" s="232"/>
      <c r="Q35" s="232"/>
      <c r="R35" s="232"/>
      <c r="S35" s="232"/>
      <c r="T35" s="232"/>
      <c r="U35" s="232"/>
      <c r="V35" s="230" t="s">
        <v>151</v>
      </c>
      <c r="W35" s="230"/>
      <c r="X35" s="230"/>
      <c r="Y35" s="230" t="s">
        <v>151</v>
      </c>
      <c r="Z35" s="230"/>
      <c r="AA35" s="230"/>
      <c r="AB35" s="230"/>
      <c r="AC35" s="230"/>
      <c r="AD35" s="230"/>
      <c r="AE35" s="230"/>
      <c r="AF35" s="230"/>
      <c r="AG35" s="230"/>
      <c r="AH35" s="230"/>
      <c r="AI35" s="233"/>
    </row>
    <row r="36" spans="2:35">
      <c r="B36" s="228"/>
      <c r="C36" s="230"/>
      <c r="D36" s="230"/>
      <c r="E36" s="230"/>
      <c r="F36" s="230"/>
      <c r="G36" s="230"/>
      <c r="H36" s="230"/>
      <c r="I36" s="230"/>
      <c r="J36" s="230"/>
      <c r="K36" s="230"/>
      <c r="L36" s="341" t="s">
        <v>1312</v>
      </c>
      <c r="M36" s="341"/>
      <c r="N36" s="341"/>
      <c r="O36" s="341"/>
      <c r="P36" s="341"/>
      <c r="Q36" s="341"/>
      <c r="R36" s="341"/>
      <c r="S36" s="341"/>
      <c r="T36" s="341"/>
      <c r="U36" s="341"/>
      <c r="V36" s="230"/>
      <c r="W36" s="230"/>
      <c r="X36" s="230"/>
      <c r="Y36" s="230"/>
      <c r="Z36" s="230"/>
      <c r="AA36" s="230"/>
      <c r="AB36" s="230"/>
      <c r="AC36" s="230"/>
      <c r="AD36" s="230"/>
      <c r="AE36" s="230"/>
      <c r="AF36" s="230"/>
      <c r="AG36" s="230"/>
      <c r="AH36" s="230"/>
      <c r="AI36" s="233"/>
    </row>
    <row r="37" spans="2:35" ht="13.8" thickBot="1">
      <c r="B37" s="229"/>
      <c r="C37" s="231"/>
      <c r="D37" s="231"/>
      <c r="E37" s="231"/>
      <c r="F37" s="231"/>
      <c r="G37" s="231"/>
      <c r="H37" s="231"/>
      <c r="I37" s="231"/>
      <c r="J37" s="231"/>
      <c r="K37" s="231"/>
      <c r="L37" s="224" t="s">
        <v>1041</v>
      </c>
      <c r="M37" s="224"/>
      <c r="N37" s="224"/>
      <c r="O37" s="224"/>
      <c r="P37" s="224"/>
      <c r="Q37" s="224"/>
      <c r="R37" s="224"/>
      <c r="S37" s="224"/>
      <c r="T37" s="224"/>
      <c r="U37" s="224"/>
      <c r="V37" s="231"/>
      <c r="W37" s="231"/>
      <c r="X37" s="231"/>
      <c r="Y37" s="231"/>
      <c r="Z37" s="231"/>
      <c r="AA37" s="231"/>
      <c r="AB37" s="231"/>
      <c r="AC37" s="231"/>
      <c r="AD37" s="231"/>
      <c r="AE37" s="231"/>
      <c r="AF37" s="231"/>
      <c r="AG37" s="231"/>
      <c r="AH37" s="231"/>
      <c r="AI37" s="234"/>
    </row>
    <row r="38" spans="2:35">
      <c r="B38" s="8"/>
    </row>
    <row r="39" spans="2:35" ht="15" thickBot="1">
      <c r="B39" s="7" t="s">
        <v>995</v>
      </c>
    </row>
    <row r="40" spans="2:35">
      <c r="B40" s="14" t="s">
        <v>7</v>
      </c>
      <c r="C40" s="226" t="s">
        <v>1070</v>
      </c>
      <c r="D40" s="226"/>
      <c r="E40" s="226"/>
      <c r="F40" s="226"/>
      <c r="G40" s="226"/>
      <c r="H40" s="226"/>
      <c r="I40" s="226"/>
      <c r="J40" s="226"/>
      <c r="K40" s="226"/>
      <c r="L40" s="226"/>
      <c r="M40" s="226" t="s">
        <v>1000</v>
      </c>
      <c r="N40" s="226"/>
      <c r="O40" s="226"/>
      <c r="P40" s="226"/>
      <c r="Q40" s="226"/>
      <c r="R40" s="226"/>
      <c r="S40" s="226"/>
      <c r="T40" s="226"/>
      <c r="U40" s="226" t="s">
        <v>1154</v>
      </c>
      <c r="V40" s="226"/>
      <c r="W40" s="226"/>
      <c r="X40" s="226"/>
      <c r="Y40" s="226"/>
      <c r="Z40" s="226"/>
      <c r="AA40" s="226"/>
      <c r="AB40" s="226"/>
      <c r="AC40" s="226"/>
      <c r="AD40" s="226" t="s">
        <v>1155</v>
      </c>
      <c r="AE40" s="226"/>
      <c r="AF40" s="226"/>
      <c r="AG40" s="226"/>
      <c r="AH40" s="226"/>
      <c r="AI40" s="227"/>
    </row>
    <row r="41" spans="2:35" ht="13.8" thickBot="1">
      <c r="B41" s="4"/>
      <c r="C41" s="190"/>
      <c r="D41" s="190"/>
      <c r="E41" s="190"/>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8"/>
    </row>
    <row r="43" spans="2:35" ht="15" thickBot="1">
      <c r="B43" s="7" t="s">
        <v>996</v>
      </c>
    </row>
    <row r="44" spans="2:35">
      <c r="B44" s="14" t="s">
        <v>7</v>
      </c>
      <c r="C44" s="226" t="s">
        <v>1070</v>
      </c>
      <c r="D44" s="226"/>
      <c r="E44" s="226"/>
      <c r="F44" s="226"/>
      <c r="G44" s="226"/>
      <c r="H44" s="226"/>
      <c r="I44" s="226"/>
      <c r="J44" s="226"/>
      <c r="K44" s="226"/>
      <c r="L44" s="226"/>
      <c r="M44" s="226" t="s">
        <v>1000</v>
      </c>
      <c r="N44" s="226"/>
      <c r="O44" s="226"/>
      <c r="P44" s="226"/>
      <c r="Q44" s="226"/>
      <c r="R44" s="226"/>
      <c r="S44" s="226"/>
      <c r="T44" s="226"/>
      <c r="U44" s="226" t="s">
        <v>1154</v>
      </c>
      <c r="V44" s="226"/>
      <c r="W44" s="226"/>
      <c r="X44" s="226"/>
      <c r="Y44" s="226"/>
      <c r="Z44" s="226"/>
      <c r="AA44" s="226"/>
      <c r="AB44" s="226"/>
      <c r="AC44" s="226"/>
      <c r="AD44" s="226" t="s">
        <v>1155</v>
      </c>
      <c r="AE44" s="226"/>
      <c r="AF44" s="226"/>
      <c r="AG44" s="226"/>
      <c r="AH44" s="226"/>
      <c r="AI44" s="227"/>
    </row>
    <row r="45" spans="2:35" ht="13.8" thickBot="1">
      <c r="B45" s="4"/>
      <c r="C45" s="190"/>
      <c r="D45" s="190"/>
      <c r="E45" s="190"/>
      <c r="F45" s="190"/>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c r="AF45" s="190"/>
      <c r="AG45" s="190"/>
      <c r="AH45" s="190"/>
      <c r="AI45" s="198"/>
    </row>
  </sheetData>
  <mergeCells count="197">
    <mergeCell ref="C27:H27"/>
    <mergeCell ref="I27:P27"/>
    <mergeCell ref="Q27:X27"/>
    <mergeCell ref="Y27:Z27"/>
    <mergeCell ref="AA27:AB27"/>
    <mergeCell ref="AC27:AD27"/>
    <mergeCell ref="AE27:AK27"/>
    <mergeCell ref="C29:H29"/>
    <mergeCell ref="I29:P29"/>
    <mergeCell ref="Q29:X29"/>
    <mergeCell ref="Y29:Z29"/>
    <mergeCell ref="AA29:AB29"/>
    <mergeCell ref="AC29:AD29"/>
    <mergeCell ref="AE29:AK29"/>
    <mergeCell ref="C28:H28"/>
    <mergeCell ref="I28:P28"/>
    <mergeCell ref="Q28:X28"/>
    <mergeCell ref="Y28:Z28"/>
    <mergeCell ref="AA28:AB28"/>
    <mergeCell ref="AC28:AD28"/>
    <mergeCell ref="AE28:AK28"/>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AE12:AK12"/>
    <mergeCell ref="C15:H15"/>
    <mergeCell ref="I15:P15"/>
    <mergeCell ref="Q15:X15"/>
    <mergeCell ref="Y15:Z15"/>
    <mergeCell ref="AA15:AB15"/>
    <mergeCell ref="AC15:AD15"/>
    <mergeCell ref="AE15:AK15"/>
    <mergeCell ref="C12:H12"/>
    <mergeCell ref="I12:P12"/>
    <mergeCell ref="Q12:X12"/>
    <mergeCell ref="Y12:Z12"/>
    <mergeCell ref="AA12:AB12"/>
    <mergeCell ref="AC12:AD12"/>
    <mergeCell ref="C13:H13"/>
    <mergeCell ref="I13:P13"/>
    <mergeCell ref="Q13:X13"/>
    <mergeCell ref="Y13:Z13"/>
    <mergeCell ref="AA13:AB13"/>
    <mergeCell ref="AC13:AD13"/>
    <mergeCell ref="AE13:AK13"/>
    <mergeCell ref="AE14:AK14"/>
    <mergeCell ref="C16:H16"/>
    <mergeCell ref="I16:P16"/>
    <mergeCell ref="Q16:X16"/>
    <mergeCell ref="Y16:Z16"/>
    <mergeCell ref="AA16:AB16"/>
    <mergeCell ref="AC16:AD16"/>
    <mergeCell ref="AE16:AK16"/>
    <mergeCell ref="C14:H14"/>
    <mergeCell ref="I14:P14"/>
    <mergeCell ref="Q14:X14"/>
    <mergeCell ref="Y14:Z14"/>
    <mergeCell ref="AA14:AB14"/>
    <mergeCell ref="AC14:AD14"/>
    <mergeCell ref="AE18:AK18"/>
    <mergeCell ref="C19:H19"/>
    <mergeCell ref="I19:P19"/>
    <mergeCell ref="Q19:X19"/>
    <mergeCell ref="Y19:Z19"/>
    <mergeCell ref="AA19:AB19"/>
    <mergeCell ref="AC19:AD19"/>
    <mergeCell ref="AE19:AK19"/>
    <mergeCell ref="C18:H18"/>
    <mergeCell ref="I18:P18"/>
    <mergeCell ref="Q18:X18"/>
    <mergeCell ref="Y18:Z18"/>
    <mergeCell ref="AA18:AB18"/>
    <mergeCell ref="AC18:AD18"/>
    <mergeCell ref="AE20:AK20"/>
    <mergeCell ref="C22:H22"/>
    <mergeCell ref="I22:P22"/>
    <mergeCell ref="Q22:X22"/>
    <mergeCell ref="Y22:Z22"/>
    <mergeCell ref="AA22:AB22"/>
    <mergeCell ref="AC22:AD22"/>
    <mergeCell ref="AE22:AK22"/>
    <mergeCell ref="C20:H20"/>
    <mergeCell ref="I20:P20"/>
    <mergeCell ref="Q20:X20"/>
    <mergeCell ref="Y20:Z20"/>
    <mergeCell ref="AA20:AB20"/>
    <mergeCell ref="AC20:AD20"/>
    <mergeCell ref="C21:H21"/>
    <mergeCell ref="I21:P21"/>
    <mergeCell ref="Q21:X21"/>
    <mergeCell ref="Y21:Z21"/>
    <mergeCell ref="AA21:AB21"/>
    <mergeCell ref="AC21:AD21"/>
    <mergeCell ref="AE21:AK21"/>
    <mergeCell ref="AC25:AD25"/>
    <mergeCell ref="AE23:AK23"/>
    <mergeCell ref="C24:H24"/>
    <mergeCell ref="I24:P24"/>
    <mergeCell ref="Q24:X24"/>
    <mergeCell ref="Y24:Z24"/>
    <mergeCell ref="AA24:AB24"/>
    <mergeCell ref="AC24:AD24"/>
    <mergeCell ref="AE24:AK24"/>
    <mergeCell ref="C23:H23"/>
    <mergeCell ref="I23:P23"/>
    <mergeCell ref="Q23:X23"/>
    <mergeCell ref="Y23:Z23"/>
    <mergeCell ref="AA23:AB23"/>
    <mergeCell ref="AC23:AD23"/>
    <mergeCell ref="B35:B37"/>
    <mergeCell ref="C35:K37"/>
    <mergeCell ref="L35:U35"/>
    <mergeCell ref="V35:X37"/>
    <mergeCell ref="Y35:AA37"/>
    <mergeCell ref="AB35:AI37"/>
    <mergeCell ref="L36:U36"/>
    <mergeCell ref="L37:U37"/>
    <mergeCell ref="AE30:AK30"/>
    <mergeCell ref="C34:K34"/>
    <mergeCell ref="L34:U34"/>
    <mergeCell ref="V34:X34"/>
    <mergeCell ref="Y34:AA34"/>
    <mergeCell ref="AB34:AI34"/>
    <mergeCell ref="C30:H30"/>
    <mergeCell ref="I30:P30"/>
    <mergeCell ref="Q30:X30"/>
    <mergeCell ref="Y30:Z30"/>
    <mergeCell ref="AA30:AB30"/>
    <mergeCell ref="AC30:AD30"/>
    <mergeCell ref="C45:L45"/>
    <mergeCell ref="M45:T45"/>
    <mergeCell ref="U45:AC45"/>
    <mergeCell ref="AD45:AI45"/>
    <mergeCell ref="C41:L41"/>
    <mergeCell ref="M41:T41"/>
    <mergeCell ref="U41:AC41"/>
    <mergeCell ref="AD41:AI41"/>
    <mergeCell ref="C44:L44"/>
    <mergeCell ref="M44:T44"/>
    <mergeCell ref="U44:AC44"/>
    <mergeCell ref="AD44:AI44"/>
    <mergeCell ref="C17:H17"/>
    <mergeCell ref="I17:P17"/>
    <mergeCell ref="Q17:X17"/>
    <mergeCell ref="Y17:Z17"/>
    <mergeCell ref="AA17:AB17"/>
    <mergeCell ref="AC17:AD17"/>
    <mergeCell ref="AE17:AK17"/>
    <mergeCell ref="C40:L40"/>
    <mergeCell ref="M40:T40"/>
    <mergeCell ref="U40:AC40"/>
    <mergeCell ref="AD40:AI40"/>
    <mergeCell ref="AE25:AK25"/>
    <mergeCell ref="C26:H26"/>
    <mergeCell ref="I26:P26"/>
    <mergeCell ref="Q26:X26"/>
    <mergeCell ref="Y26:Z26"/>
    <mergeCell ref="AA26:AB26"/>
    <mergeCell ref="AC26:AD26"/>
    <mergeCell ref="AE26:AK26"/>
    <mergeCell ref="C25:H25"/>
    <mergeCell ref="I25:P25"/>
    <mergeCell ref="Q25:X25"/>
    <mergeCell ref="Y25:Z25"/>
    <mergeCell ref="AA25:AB25"/>
  </mergeCells>
  <phoneticPr fontId="3"/>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2C596-0ACE-411D-9004-95495FDC1813}">
  <sheetPr codeName="Sheet96"/>
  <dimension ref="B1:AK36"/>
  <sheetViews>
    <sheetView zoomScaleNormal="100" workbookViewId="0">
      <selection activeCell="Q14" sqref="Q14:X14"/>
    </sheetView>
  </sheetViews>
  <sheetFormatPr defaultColWidth="3.6640625" defaultRowHeight="13.2"/>
  <sheetData>
    <row r="1" spans="2:37" ht="13.8" thickBot="1"/>
    <row r="2" spans="2:37">
      <c r="B2" s="205" t="s">
        <v>95</v>
      </c>
      <c r="C2" s="206"/>
      <c r="D2" s="206"/>
      <c r="E2" s="206"/>
      <c r="F2" s="211" t="s">
        <v>93</v>
      </c>
      <c r="G2" s="211"/>
      <c r="H2" s="212"/>
      <c r="I2" s="196" t="s">
        <v>1512</v>
      </c>
      <c r="J2" s="196"/>
      <c r="K2" s="196"/>
      <c r="L2" s="196"/>
      <c r="M2" s="196"/>
      <c r="N2" s="196"/>
      <c r="O2" s="197"/>
    </row>
    <row r="3" spans="2:37">
      <c r="B3" s="207"/>
      <c r="C3" s="208"/>
      <c r="D3" s="208"/>
      <c r="E3" s="208"/>
      <c r="F3" s="213" t="s">
        <v>10</v>
      </c>
      <c r="G3" s="213"/>
      <c r="H3" s="214"/>
      <c r="I3" s="189" t="s">
        <v>11</v>
      </c>
      <c r="J3" s="189"/>
      <c r="K3" s="189"/>
      <c r="L3" s="189"/>
      <c r="M3" s="189"/>
      <c r="N3" s="189"/>
      <c r="O3" s="191"/>
    </row>
    <row r="4" spans="2:37" ht="13.8" thickBot="1">
      <c r="B4" s="209"/>
      <c r="C4" s="210"/>
      <c r="D4" s="210"/>
      <c r="E4" s="210"/>
      <c r="F4" s="215" t="s">
        <v>94</v>
      </c>
      <c r="G4" s="215"/>
      <c r="H4" s="216"/>
      <c r="I4" s="190" t="s">
        <v>1321</v>
      </c>
      <c r="J4" s="190"/>
      <c r="K4" s="190"/>
      <c r="L4" s="190"/>
      <c r="M4" s="190"/>
      <c r="N4" s="190"/>
      <c r="O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3">
        <v>1</v>
      </c>
      <c r="C9" s="189" t="s">
        <v>1263</v>
      </c>
      <c r="D9" s="189"/>
      <c r="E9" s="189"/>
      <c r="F9" s="189"/>
      <c r="G9" s="189"/>
      <c r="H9" s="189"/>
      <c r="I9" s="189" t="s">
        <v>1264</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3">
        <v>2</v>
      </c>
      <c r="C10" s="189" t="s">
        <v>1322</v>
      </c>
      <c r="D10" s="189"/>
      <c r="E10" s="189"/>
      <c r="F10" s="189"/>
      <c r="G10" s="189"/>
      <c r="H10" s="189"/>
      <c r="I10" s="189" t="s">
        <v>1323</v>
      </c>
      <c r="J10" s="189"/>
      <c r="K10" s="189"/>
      <c r="L10" s="189"/>
      <c r="M10" s="189"/>
      <c r="N10" s="189"/>
      <c r="O10" s="189"/>
      <c r="P10" s="189"/>
      <c r="Q10" s="189" t="s">
        <v>977</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3">
        <v>3</v>
      </c>
      <c r="C11" s="189" t="s">
        <v>1185</v>
      </c>
      <c r="D11" s="189"/>
      <c r="E11" s="189"/>
      <c r="F11" s="189"/>
      <c r="G11" s="189"/>
      <c r="H11" s="189"/>
      <c r="I11" s="189" t="s">
        <v>1041</v>
      </c>
      <c r="J11" s="189"/>
      <c r="K11" s="189"/>
      <c r="L11" s="189"/>
      <c r="M11" s="189"/>
      <c r="N11" s="189"/>
      <c r="O11" s="189"/>
      <c r="P11" s="189"/>
      <c r="Q11" s="189" t="s">
        <v>977</v>
      </c>
      <c r="R11" s="189"/>
      <c r="S11" s="189"/>
      <c r="T11" s="189"/>
      <c r="U11" s="189"/>
      <c r="V11" s="189"/>
      <c r="W11" s="189"/>
      <c r="X11" s="189"/>
      <c r="Y11" s="189" t="s">
        <v>149</v>
      </c>
      <c r="Z11" s="189"/>
      <c r="AA11" s="189"/>
      <c r="AB11" s="189"/>
      <c r="AC11" s="189" t="s">
        <v>151</v>
      </c>
      <c r="AD11" s="189"/>
      <c r="AE11" s="189"/>
      <c r="AF11" s="189"/>
      <c r="AG11" s="189"/>
      <c r="AH11" s="189"/>
      <c r="AI11" s="189"/>
      <c r="AJ11" s="189"/>
      <c r="AK11" s="191"/>
    </row>
    <row r="12" spans="2:37" s="81" customFormat="1">
      <c r="B12" s="83">
        <v>4</v>
      </c>
      <c r="C12" s="189" t="s">
        <v>1251</v>
      </c>
      <c r="D12" s="189"/>
      <c r="E12" s="189"/>
      <c r="F12" s="189"/>
      <c r="G12" s="189"/>
      <c r="H12" s="189"/>
      <c r="I12" s="189" t="s">
        <v>1252</v>
      </c>
      <c r="J12" s="189"/>
      <c r="K12" s="189"/>
      <c r="L12" s="189"/>
      <c r="M12" s="189"/>
      <c r="N12" s="189"/>
      <c r="O12" s="189"/>
      <c r="P12" s="189"/>
      <c r="Q12" s="189" t="s">
        <v>1206</v>
      </c>
      <c r="R12" s="189"/>
      <c r="S12" s="189"/>
      <c r="T12" s="189"/>
      <c r="U12" s="189"/>
      <c r="V12" s="189"/>
      <c r="W12" s="189"/>
      <c r="X12" s="189"/>
      <c r="Y12" s="189"/>
      <c r="Z12" s="189"/>
      <c r="AA12" s="189"/>
      <c r="AB12" s="189"/>
      <c r="AC12" s="189"/>
      <c r="AD12" s="189"/>
      <c r="AE12" s="189"/>
      <c r="AF12" s="189"/>
      <c r="AG12" s="189"/>
      <c r="AH12" s="189"/>
      <c r="AI12" s="189"/>
      <c r="AJ12" s="189"/>
      <c r="AK12" s="191"/>
    </row>
    <row r="13" spans="2:37" s="81" customFormat="1">
      <c r="B13" s="83">
        <v>5</v>
      </c>
      <c r="C13" s="189" t="s">
        <v>1220</v>
      </c>
      <c r="D13" s="189"/>
      <c r="E13" s="189"/>
      <c r="F13" s="189"/>
      <c r="G13" s="189"/>
      <c r="H13" s="189"/>
      <c r="I13" s="189" t="s">
        <v>1626</v>
      </c>
      <c r="J13" s="189"/>
      <c r="K13" s="189"/>
      <c r="L13" s="189"/>
      <c r="M13" s="189"/>
      <c r="N13" s="189"/>
      <c r="O13" s="189"/>
      <c r="P13" s="189"/>
      <c r="Q13" s="189" t="s">
        <v>977</v>
      </c>
      <c r="R13" s="189"/>
      <c r="S13" s="189"/>
      <c r="T13" s="189"/>
      <c r="U13" s="189"/>
      <c r="V13" s="189"/>
      <c r="W13" s="189"/>
      <c r="X13" s="189"/>
      <c r="Y13" s="189"/>
      <c r="Z13" s="189"/>
      <c r="AA13" s="189"/>
      <c r="AB13" s="189"/>
      <c r="AC13" s="189"/>
      <c r="AD13" s="189"/>
      <c r="AE13" s="189"/>
      <c r="AF13" s="189"/>
      <c r="AG13" s="189"/>
      <c r="AH13" s="189"/>
      <c r="AI13" s="189"/>
      <c r="AJ13" s="189"/>
      <c r="AK13" s="191"/>
    </row>
    <row r="14" spans="2:37" s="81" customFormat="1">
      <c r="B14" s="83">
        <v>6</v>
      </c>
      <c r="C14" s="189" t="s">
        <v>1221</v>
      </c>
      <c r="D14" s="189"/>
      <c r="E14" s="189"/>
      <c r="F14" s="189"/>
      <c r="G14" s="189"/>
      <c r="H14" s="189"/>
      <c r="I14" s="189" t="s">
        <v>1222</v>
      </c>
      <c r="J14" s="189"/>
      <c r="K14" s="189"/>
      <c r="L14" s="189"/>
      <c r="M14" s="189"/>
      <c r="N14" s="189"/>
      <c r="O14" s="189"/>
      <c r="P14" s="189"/>
      <c r="Q14" s="189" t="s">
        <v>1189</v>
      </c>
      <c r="R14" s="189"/>
      <c r="S14" s="189"/>
      <c r="T14" s="189"/>
      <c r="U14" s="189"/>
      <c r="V14" s="189"/>
      <c r="W14" s="189"/>
      <c r="X14" s="189"/>
      <c r="Y14" s="189"/>
      <c r="Z14" s="189"/>
      <c r="AA14" s="189"/>
      <c r="AB14" s="189"/>
      <c r="AC14" s="189"/>
      <c r="AD14" s="189"/>
      <c r="AE14" s="189"/>
      <c r="AF14" s="189"/>
      <c r="AG14" s="189"/>
      <c r="AH14" s="189"/>
      <c r="AI14" s="189"/>
      <c r="AJ14" s="189"/>
      <c r="AK14" s="191"/>
    </row>
    <row r="15" spans="2:37">
      <c r="B15" s="83">
        <v>7</v>
      </c>
      <c r="C15" s="189" t="s">
        <v>1304</v>
      </c>
      <c r="D15" s="189"/>
      <c r="E15" s="189"/>
      <c r="F15" s="189"/>
      <c r="G15" s="189"/>
      <c r="H15" s="189"/>
      <c r="I15" s="189" t="s">
        <v>1305</v>
      </c>
      <c r="J15" s="189"/>
      <c r="K15" s="189"/>
      <c r="L15" s="189"/>
      <c r="M15" s="189"/>
      <c r="N15" s="189"/>
      <c r="O15" s="189"/>
      <c r="P15" s="189"/>
      <c r="Q15" s="189" t="s">
        <v>1225</v>
      </c>
      <c r="R15" s="189"/>
      <c r="S15" s="189"/>
      <c r="T15" s="189"/>
      <c r="U15" s="189"/>
      <c r="V15" s="189"/>
      <c r="W15" s="189"/>
      <c r="X15" s="189"/>
      <c r="Y15" s="189"/>
      <c r="Z15" s="189"/>
      <c r="AA15" s="189"/>
      <c r="AB15" s="189"/>
      <c r="AC15" s="189"/>
      <c r="AD15" s="189"/>
      <c r="AE15" s="189"/>
      <c r="AF15" s="189"/>
      <c r="AG15" s="189"/>
      <c r="AH15" s="189"/>
      <c r="AI15" s="189"/>
      <c r="AJ15" s="189"/>
      <c r="AK15" s="191"/>
    </row>
    <row r="16" spans="2:37" s="81" customFormat="1">
      <c r="B16" s="83">
        <v>8</v>
      </c>
      <c r="C16" s="189" t="s">
        <v>1255</v>
      </c>
      <c r="D16" s="189"/>
      <c r="E16" s="189"/>
      <c r="F16" s="189"/>
      <c r="G16" s="189"/>
      <c r="H16" s="189"/>
      <c r="I16" s="189" t="s">
        <v>1135</v>
      </c>
      <c r="J16" s="189"/>
      <c r="K16" s="189"/>
      <c r="L16" s="189"/>
      <c r="M16" s="189"/>
      <c r="N16" s="189"/>
      <c r="O16" s="189"/>
      <c r="P16" s="189"/>
      <c r="Q16" s="189" t="s">
        <v>977</v>
      </c>
      <c r="R16" s="189"/>
      <c r="S16" s="189"/>
      <c r="T16" s="189"/>
      <c r="U16" s="189"/>
      <c r="V16" s="189"/>
      <c r="W16" s="189"/>
      <c r="X16" s="189"/>
      <c r="Y16" s="189"/>
      <c r="Z16" s="189"/>
      <c r="AA16" s="189"/>
      <c r="AB16" s="189"/>
      <c r="AC16" s="189"/>
      <c r="AD16" s="189"/>
      <c r="AE16" s="189"/>
      <c r="AF16" s="189"/>
      <c r="AG16" s="189"/>
      <c r="AH16" s="189"/>
      <c r="AI16" s="189"/>
      <c r="AJ16" s="189"/>
      <c r="AK16" s="191"/>
    </row>
    <row r="17" spans="2:37" s="81" customFormat="1">
      <c r="B17" s="83">
        <v>9</v>
      </c>
      <c r="C17" s="189" t="s">
        <v>1256</v>
      </c>
      <c r="D17" s="189"/>
      <c r="E17" s="189"/>
      <c r="F17" s="189"/>
      <c r="G17" s="189"/>
      <c r="H17" s="189"/>
      <c r="I17" s="189" t="s">
        <v>1257</v>
      </c>
      <c r="J17" s="189"/>
      <c r="K17" s="189"/>
      <c r="L17" s="189"/>
      <c r="M17" s="189"/>
      <c r="N17" s="189"/>
      <c r="O17" s="189"/>
      <c r="P17" s="189"/>
      <c r="Q17" s="189" t="s">
        <v>1189</v>
      </c>
      <c r="R17" s="189"/>
      <c r="S17" s="189"/>
      <c r="T17" s="189"/>
      <c r="U17" s="189"/>
      <c r="V17" s="189"/>
      <c r="W17" s="189"/>
      <c r="X17" s="189"/>
      <c r="Y17" s="189"/>
      <c r="Z17" s="189"/>
      <c r="AA17" s="189"/>
      <c r="AB17" s="189"/>
      <c r="AC17" s="189"/>
      <c r="AD17" s="189"/>
      <c r="AE17" s="189"/>
      <c r="AF17" s="189"/>
      <c r="AG17" s="189"/>
      <c r="AH17" s="189"/>
      <c r="AI17" s="189"/>
      <c r="AJ17" s="189"/>
      <c r="AK17" s="191"/>
    </row>
    <row r="18" spans="2:37">
      <c r="B18" s="83">
        <v>10</v>
      </c>
      <c r="C18" s="189" t="s">
        <v>1521</v>
      </c>
      <c r="D18" s="189"/>
      <c r="E18" s="189"/>
      <c r="F18" s="189"/>
      <c r="G18" s="189"/>
      <c r="H18" s="189"/>
      <c r="I18" s="189" t="s">
        <v>1522</v>
      </c>
      <c r="J18" s="189"/>
      <c r="K18" s="189"/>
      <c r="L18" s="189"/>
      <c r="M18" s="189"/>
      <c r="N18" s="189"/>
      <c r="O18" s="189"/>
      <c r="P18" s="189"/>
      <c r="Q18" s="189" t="s">
        <v>1225</v>
      </c>
      <c r="R18" s="189"/>
      <c r="S18" s="189"/>
      <c r="T18" s="189"/>
      <c r="U18" s="189"/>
      <c r="V18" s="189"/>
      <c r="W18" s="189"/>
      <c r="X18" s="189"/>
      <c r="Y18" s="189"/>
      <c r="Z18" s="189"/>
      <c r="AA18" s="189"/>
      <c r="AB18" s="189"/>
      <c r="AC18" s="189"/>
      <c r="AD18" s="189"/>
      <c r="AE18" s="189"/>
      <c r="AF18" s="189"/>
      <c r="AG18" s="189"/>
      <c r="AH18" s="189"/>
      <c r="AI18" s="189"/>
      <c r="AJ18" s="189"/>
      <c r="AK18" s="191"/>
    </row>
    <row r="19" spans="2:37" s="33" customFormat="1">
      <c r="B19" s="83">
        <v>11</v>
      </c>
      <c r="C19" s="189" t="s">
        <v>1005</v>
      </c>
      <c r="D19" s="189"/>
      <c r="E19" s="189"/>
      <c r="F19" s="189"/>
      <c r="G19" s="189"/>
      <c r="H19" s="189"/>
      <c r="I19" s="189" t="s">
        <v>159</v>
      </c>
      <c r="J19" s="189"/>
      <c r="K19" s="189"/>
      <c r="L19" s="189"/>
      <c r="M19" s="189"/>
      <c r="N19" s="189"/>
      <c r="O19" s="189"/>
      <c r="P19" s="189"/>
      <c r="Q19" s="189" t="s">
        <v>144</v>
      </c>
      <c r="R19" s="189"/>
      <c r="S19" s="189"/>
      <c r="T19" s="189"/>
      <c r="U19" s="189"/>
      <c r="V19" s="189"/>
      <c r="W19" s="189"/>
      <c r="X19" s="189"/>
      <c r="Y19" s="189"/>
      <c r="Z19" s="189"/>
      <c r="AA19" s="189"/>
      <c r="AB19" s="189"/>
      <c r="AC19" s="189"/>
      <c r="AD19" s="189"/>
      <c r="AE19" s="189"/>
      <c r="AF19" s="189"/>
      <c r="AG19" s="189"/>
      <c r="AH19" s="189"/>
      <c r="AI19" s="189"/>
      <c r="AJ19" s="189"/>
      <c r="AK19" s="191"/>
    </row>
    <row r="20" spans="2:37" s="33" customFormat="1">
      <c r="B20" s="83">
        <v>12</v>
      </c>
      <c r="C20" s="189" t="s">
        <v>1504</v>
      </c>
      <c r="D20" s="189"/>
      <c r="E20" s="189"/>
      <c r="F20" s="189"/>
      <c r="G20" s="189"/>
      <c r="H20" s="189"/>
      <c r="I20" s="189" t="s">
        <v>1242</v>
      </c>
      <c r="J20" s="189"/>
      <c r="K20" s="189"/>
      <c r="L20" s="189"/>
      <c r="M20" s="189"/>
      <c r="N20" s="189"/>
      <c r="O20" s="189"/>
      <c r="P20" s="189"/>
      <c r="Q20" s="189" t="s">
        <v>146</v>
      </c>
      <c r="R20" s="189"/>
      <c r="S20" s="189"/>
      <c r="T20" s="189"/>
      <c r="U20" s="189"/>
      <c r="V20" s="189"/>
      <c r="W20" s="189"/>
      <c r="X20" s="189"/>
      <c r="Y20" s="189"/>
      <c r="Z20" s="189"/>
      <c r="AA20" s="189"/>
      <c r="AB20" s="189"/>
      <c r="AC20" s="189"/>
      <c r="AD20" s="189"/>
      <c r="AE20" s="189"/>
      <c r="AF20" s="189"/>
      <c r="AG20" s="189"/>
      <c r="AH20" s="189"/>
      <c r="AI20" s="189"/>
      <c r="AJ20" s="189"/>
      <c r="AK20" s="191"/>
    </row>
    <row r="21" spans="2:37" ht="13.8" thickBot="1">
      <c r="B21" s="16">
        <v>13</v>
      </c>
      <c r="C21" s="190" t="s">
        <v>1505</v>
      </c>
      <c r="D21" s="190"/>
      <c r="E21" s="190"/>
      <c r="F21" s="190"/>
      <c r="G21" s="190"/>
      <c r="H21" s="190"/>
      <c r="I21" s="190" t="s">
        <v>1523</v>
      </c>
      <c r="J21" s="190"/>
      <c r="K21" s="190"/>
      <c r="L21" s="190"/>
      <c r="M21" s="190"/>
      <c r="N21" s="190"/>
      <c r="O21" s="190"/>
      <c r="P21" s="190"/>
      <c r="Q21" s="190" t="s">
        <v>146</v>
      </c>
      <c r="R21" s="190"/>
      <c r="S21" s="190"/>
      <c r="T21" s="190"/>
      <c r="U21" s="190"/>
      <c r="V21" s="190"/>
      <c r="W21" s="190"/>
      <c r="X21" s="190"/>
      <c r="Y21" s="279"/>
      <c r="Z21" s="279"/>
      <c r="AA21" s="279"/>
      <c r="AB21" s="279"/>
      <c r="AC21" s="279"/>
      <c r="AD21" s="279"/>
      <c r="AE21" s="279"/>
      <c r="AF21" s="279"/>
      <c r="AG21" s="279"/>
      <c r="AH21" s="279"/>
      <c r="AI21" s="279"/>
      <c r="AJ21" s="279"/>
      <c r="AK21" s="337"/>
    </row>
    <row r="24" spans="2:37" ht="15" thickBot="1">
      <c r="B24" s="7" t="s">
        <v>994</v>
      </c>
    </row>
    <row r="25" spans="2:37">
      <c r="B25" s="6" t="s">
        <v>7</v>
      </c>
      <c r="C25" s="201" t="s">
        <v>998</v>
      </c>
      <c r="D25" s="201"/>
      <c r="E25" s="201"/>
      <c r="F25" s="201"/>
      <c r="G25" s="201"/>
      <c r="H25" s="201"/>
      <c r="I25" s="201"/>
      <c r="J25" s="201"/>
      <c r="K25" s="201"/>
      <c r="L25" s="201" t="s">
        <v>1000</v>
      </c>
      <c r="M25" s="201"/>
      <c r="N25" s="201"/>
      <c r="O25" s="201"/>
      <c r="P25" s="201"/>
      <c r="Q25" s="201"/>
      <c r="R25" s="201"/>
      <c r="S25" s="201"/>
      <c r="T25" s="201"/>
      <c r="U25" s="201"/>
      <c r="V25" s="201" t="s">
        <v>1002</v>
      </c>
      <c r="W25" s="201"/>
      <c r="X25" s="201"/>
      <c r="Y25" s="201" t="s">
        <v>1004</v>
      </c>
      <c r="Z25" s="201"/>
      <c r="AA25" s="201"/>
      <c r="AB25" s="201" t="s">
        <v>1005</v>
      </c>
      <c r="AC25" s="201"/>
      <c r="AD25" s="201"/>
      <c r="AE25" s="201"/>
      <c r="AF25" s="201"/>
      <c r="AG25" s="201"/>
      <c r="AH25" s="201"/>
      <c r="AI25" s="204"/>
    </row>
    <row r="26" spans="2:37">
      <c r="B26" s="328">
        <v>1</v>
      </c>
      <c r="C26" s="271" t="s">
        <v>1326</v>
      </c>
      <c r="D26" s="272"/>
      <c r="E26" s="272"/>
      <c r="F26" s="272"/>
      <c r="G26" s="272"/>
      <c r="H26" s="272"/>
      <c r="I26" s="272"/>
      <c r="J26" s="272"/>
      <c r="K26" s="273"/>
      <c r="L26" s="268" t="s">
        <v>1264</v>
      </c>
      <c r="M26" s="268"/>
      <c r="N26" s="268"/>
      <c r="O26" s="268"/>
      <c r="P26" s="268"/>
      <c r="Q26" s="268"/>
      <c r="R26" s="268"/>
      <c r="S26" s="268"/>
      <c r="T26" s="268"/>
      <c r="U26" s="268"/>
      <c r="V26" s="271" t="s">
        <v>151</v>
      </c>
      <c r="W26" s="272"/>
      <c r="X26" s="273"/>
      <c r="Y26" s="271" t="s">
        <v>151</v>
      </c>
      <c r="Z26" s="272"/>
      <c r="AA26" s="273"/>
      <c r="AB26" s="271"/>
      <c r="AC26" s="272"/>
      <c r="AD26" s="272"/>
      <c r="AE26" s="272"/>
      <c r="AF26" s="272"/>
      <c r="AG26" s="272"/>
      <c r="AH26" s="272"/>
      <c r="AI26" s="277"/>
    </row>
    <row r="27" spans="2:37">
      <c r="B27" s="329"/>
      <c r="C27" s="323"/>
      <c r="D27" s="324"/>
      <c r="E27" s="324"/>
      <c r="F27" s="324"/>
      <c r="G27" s="324"/>
      <c r="H27" s="324"/>
      <c r="I27" s="324"/>
      <c r="J27" s="324"/>
      <c r="K27" s="330"/>
      <c r="L27" s="220" t="s">
        <v>1323</v>
      </c>
      <c r="M27" s="221"/>
      <c r="N27" s="221"/>
      <c r="O27" s="221"/>
      <c r="P27" s="221"/>
      <c r="Q27" s="221"/>
      <c r="R27" s="221"/>
      <c r="S27" s="221"/>
      <c r="T27" s="221"/>
      <c r="U27" s="342"/>
      <c r="V27" s="323"/>
      <c r="W27" s="324"/>
      <c r="X27" s="330"/>
      <c r="Y27" s="323"/>
      <c r="Z27" s="324"/>
      <c r="AA27" s="330"/>
      <c r="AB27" s="323"/>
      <c r="AC27" s="324"/>
      <c r="AD27" s="324"/>
      <c r="AE27" s="324"/>
      <c r="AF27" s="324"/>
      <c r="AG27" s="324"/>
      <c r="AH27" s="324"/>
      <c r="AI27" s="325"/>
    </row>
    <row r="28" spans="2:37" ht="13.8" thickBot="1">
      <c r="B28" s="332"/>
      <c r="C28" s="274"/>
      <c r="D28" s="275"/>
      <c r="E28" s="275"/>
      <c r="F28" s="275"/>
      <c r="G28" s="275"/>
      <c r="H28" s="275"/>
      <c r="I28" s="275"/>
      <c r="J28" s="275"/>
      <c r="K28" s="276"/>
      <c r="L28" s="279" t="s">
        <v>1041</v>
      </c>
      <c r="M28" s="279"/>
      <c r="N28" s="279"/>
      <c r="O28" s="279"/>
      <c r="P28" s="279"/>
      <c r="Q28" s="279"/>
      <c r="R28" s="279"/>
      <c r="S28" s="279"/>
      <c r="T28" s="279"/>
      <c r="U28" s="279"/>
      <c r="V28" s="274"/>
      <c r="W28" s="275"/>
      <c r="X28" s="276"/>
      <c r="Y28" s="274"/>
      <c r="Z28" s="275"/>
      <c r="AA28" s="276"/>
      <c r="AB28" s="274"/>
      <c r="AC28" s="275"/>
      <c r="AD28" s="275"/>
      <c r="AE28" s="275"/>
      <c r="AF28" s="275"/>
      <c r="AG28" s="275"/>
      <c r="AH28" s="275"/>
      <c r="AI28" s="278"/>
    </row>
    <row r="29" spans="2:37">
      <c r="B29" s="8"/>
    </row>
    <row r="30" spans="2:37" ht="15" thickBot="1">
      <c r="B30" s="7" t="s">
        <v>995</v>
      </c>
    </row>
    <row r="31" spans="2:37">
      <c r="B31" s="14" t="s">
        <v>7</v>
      </c>
      <c r="C31" s="226" t="s">
        <v>1070</v>
      </c>
      <c r="D31" s="226"/>
      <c r="E31" s="226"/>
      <c r="F31" s="226"/>
      <c r="G31" s="226"/>
      <c r="H31" s="226"/>
      <c r="I31" s="226"/>
      <c r="J31" s="226"/>
      <c r="K31" s="226"/>
      <c r="L31" s="226"/>
      <c r="M31" s="226" t="s">
        <v>1000</v>
      </c>
      <c r="N31" s="226"/>
      <c r="O31" s="226"/>
      <c r="P31" s="226"/>
      <c r="Q31" s="226"/>
      <c r="R31" s="226"/>
      <c r="S31" s="226"/>
      <c r="T31" s="226"/>
      <c r="U31" s="226" t="s">
        <v>1154</v>
      </c>
      <c r="V31" s="226"/>
      <c r="W31" s="226"/>
      <c r="X31" s="226"/>
      <c r="Y31" s="226"/>
      <c r="Z31" s="226"/>
      <c r="AA31" s="226"/>
      <c r="AB31" s="226"/>
      <c r="AC31" s="226"/>
      <c r="AD31" s="226" t="s">
        <v>1155</v>
      </c>
      <c r="AE31" s="226"/>
      <c r="AF31" s="226"/>
      <c r="AG31" s="226"/>
      <c r="AH31" s="226"/>
      <c r="AI31" s="227"/>
    </row>
    <row r="32" spans="2:37" ht="13.8" thickBot="1">
      <c r="B32" s="4"/>
      <c r="C32" s="190"/>
      <c r="D32" s="190"/>
      <c r="E32" s="190"/>
      <c r="F32" s="190"/>
      <c r="G32" s="190"/>
      <c r="H32" s="190"/>
      <c r="I32" s="190"/>
      <c r="J32" s="190"/>
      <c r="K32" s="190"/>
      <c r="L32" s="190"/>
      <c r="M32" s="190"/>
      <c r="N32" s="190"/>
      <c r="O32" s="190"/>
      <c r="P32" s="190"/>
      <c r="Q32" s="190"/>
      <c r="R32" s="190"/>
      <c r="S32" s="190"/>
      <c r="T32" s="190"/>
      <c r="U32" s="190"/>
      <c r="V32" s="190"/>
      <c r="W32" s="190"/>
      <c r="X32" s="190"/>
      <c r="Y32" s="190"/>
      <c r="Z32" s="190"/>
      <c r="AA32" s="190"/>
      <c r="AB32" s="190"/>
      <c r="AC32" s="190"/>
      <c r="AD32" s="190"/>
      <c r="AE32" s="190"/>
      <c r="AF32" s="190"/>
      <c r="AG32" s="190"/>
      <c r="AH32" s="190"/>
      <c r="AI32" s="198"/>
    </row>
    <row r="34" spans="2:35" ht="15" thickBot="1">
      <c r="B34" s="7" t="s">
        <v>996</v>
      </c>
    </row>
    <row r="35" spans="2:35">
      <c r="B35" s="14" t="s">
        <v>7</v>
      </c>
      <c r="C35" s="226" t="s">
        <v>1070</v>
      </c>
      <c r="D35" s="226"/>
      <c r="E35" s="226"/>
      <c r="F35" s="226"/>
      <c r="G35" s="226"/>
      <c r="H35" s="226"/>
      <c r="I35" s="226"/>
      <c r="J35" s="226"/>
      <c r="K35" s="226"/>
      <c r="L35" s="226"/>
      <c r="M35" s="226" t="s">
        <v>1000</v>
      </c>
      <c r="N35" s="226"/>
      <c r="O35" s="226"/>
      <c r="P35" s="226"/>
      <c r="Q35" s="226"/>
      <c r="R35" s="226"/>
      <c r="S35" s="226"/>
      <c r="T35" s="226"/>
      <c r="U35" s="226" t="s">
        <v>1154</v>
      </c>
      <c r="V35" s="226"/>
      <c r="W35" s="226"/>
      <c r="X35" s="226"/>
      <c r="Y35" s="226"/>
      <c r="Z35" s="226"/>
      <c r="AA35" s="226"/>
      <c r="AB35" s="226"/>
      <c r="AC35" s="226"/>
      <c r="AD35" s="226" t="s">
        <v>1155</v>
      </c>
      <c r="AE35" s="226"/>
      <c r="AF35" s="226"/>
      <c r="AG35" s="226"/>
      <c r="AH35" s="226"/>
      <c r="AI35" s="227"/>
    </row>
    <row r="36" spans="2:35" ht="13.8" thickBot="1">
      <c r="B36" s="4"/>
      <c r="C36" s="190"/>
      <c r="D36" s="190"/>
      <c r="E36" s="190"/>
      <c r="F36" s="190"/>
      <c r="G36" s="190"/>
      <c r="H36" s="190"/>
      <c r="I36" s="190"/>
      <c r="J36" s="190"/>
      <c r="K36" s="190"/>
      <c r="L36" s="190"/>
      <c r="M36" s="190"/>
      <c r="N36" s="190"/>
      <c r="O36" s="190"/>
      <c r="P36" s="190"/>
      <c r="Q36" s="190"/>
      <c r="R36" s="190"/>
      <c r="S36" s="190"/>
      <c r="T36" s="190"/>
      <c r="U36" s="190"/>
      <c r="V36" s="190"/>
      <c r="W36" s="190"/>
      <c r="X36" s="190"/>
      <c r="Y36" s="190"/>
      <c r="Z36" s="190"/>
      <c r="AA36" s="190"/>
      <c r="AB36" s="190"/>
      <c r="AC36" s="190"/>
      <c r="AD36" s="190"/>
      <c r="AE36" s="190"/>
      <c r="AF36" s="190"/>
      <c r="AG36" s="190"/>
      <c r="AH36" s="190"/>
      <c r="AI36" s="198"/>
    </row>
  </sheetData>
  <mergeCells count="134">
    <mergeCell ref="AE13:AK13"/>
    <mergeCell ref="C14:H14"/>
    <mergeCell ref="I14:P14"/>
    <mergeCell ref="Q14:X14"/>
    <mergeCell ref="C19:H19"/>
    <mergeCell ref="I19:P19"/>
    <mergeCell ref="Q19:X19"/>
    <mergeCell ref="Y19:Z19"/>
    <mergeCell ref="AA19:AB19"/>
    <mergeCell ref="AC19:AD19"/>
    <mergeCell ref="AE19:AK19"/>
    <mergeCell ref="AE16:AK16"/>
    <mergeCell ref="C16:H16"/>
    <mergeCell ref="I16:P16"/>
    <mergeCell ref="Q16:X16"/>
    <mergeCell ref="Y16:Z16"/>
    <mergeCell ref="AA16:AB16"/>
    <mergeCell ref="AC16:AD16"/>
    <mergeCell ref="C20:H20"/>
    <mergeCell ref="I20:P20"/>
    <mergeCell ref="Q20:X20"/>
    <mergeCell ref="Y20:Z20"/>
    <mergeCell ref="AA20:AB20"/>
    <mergeCell ref="AC20:AD20"/>
    <mergeCell ref="AE20:AK20"/>
    <mergeCell ref="C17:H17"/>
    <mergeCell ref="I17:P17"/>
    <mergeCell ref="Q17:X17"/>
    <mergeCell ref="Y17:Z17"/>
    <mergeCell ref="AA17:AB17"/>
    <mergeCell ref="C18:H18"/>
    <mergeCell ref="I18:P18"/>
    <mergeCell ref="Q18:X18"/>
    <mergeCell ref="Y18:Z18"/>
    <mergeCell ref="AA18:AB18"/>
    <mergeCell ref="AC18:AD18"/>
    <mergeCell ref="AE18:AK18"/>
    <mergeCell ref="AC17:AD17"/>
    <mergeCell ref="AE17:AK17"/>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AE12:AK12"/>
    <mergeCell ref="C12:H12"/>
    <mergeCell ref="I12:P12"/>
    <mergeCell ref="Q12:X12"/>
    <mergeCell ref="Y12:Z12"/>
    <mergeCell ref="AA12:AB12"/>
    <mergeCell ref="AC12:AD12"/>
    <mergeCell ref="AE14:AK14"/>
    <mergeCell ref="C15:H15"/>
    <mergeCell ref="I15:P15"/>
    <mergeCell ref="Q15:X15"/>
    <mergeCell ref="Y14:Z14"/>
    <mergeCell ref="AA14:AB14"/>
    <mergeCell ref="AC14:AD14"/>
    <mergeCell ref="C13:H13"/>
    <mergeCell ref="I13:P13"/>
    <mergeCell ref="Q13:X13"/>
    <mergeCell ref="AE15:AK15"/>
    <mergeCell ref="Y15:Z15"/>
    <mergeCell ref="AA15:AB15"/>
    <mergeCell ref="AC15:AD15"/>
    <mergeCell ref="Y13:Z13"/>
    <mergeCell ref="AA13:AB13"/>
    <mergeCell ref="AC13:AD13"/>
    <mergeCell ref="B26:B28"/>
    <mergeCell ref="C26:K28"/>
    <mergeCell ref="L26:U26"/>
    <mergeCell ref="V26:X28"/>
    <mergeCell ref="Y26:AA28"/>
    <mergeCell ref="C21:H21"/>
    <mergeCell ref="I21:P21"/>
    <mergeCell ref="Q21:X21"/>
    <mergeCell ref="Y21:Z21"/>
    <mergeCell ref="AA21:AB21"/>
    <mergeCell ref="AC21:AD21"/>
    <mergeCell ref="AE21:AK21"/>
    <mergeCell ref="AB26:AI28"/>
    <mergeCell ref="L27:U27"/>
    <mergeCell ref="L28:U28"/>
    <mergeCell ref="C31:L31"/>
    <mergeCell ref="M31:T31"/>
    <mergeCell ref="U31:AC31"/>
    <mergeCell ref="AD31:AI31"/>
    <mergeCell ref="C25:K25"/>
    <mergeCell ref="L25:U25"/>
    <mergeCell ref="V25:X25"/>
    <mergeCell ref="Y25:AA25"/>
    <mergeCell ref="AB25:AI25"/>
    <mergeCell ref="C36:L36"/>
    <mergeCell ref="M36:T36"/>
    <mergeCell ref="U36:AC36"/>
    <mergeCell ref="AD36:AI36"/>
    <mergeCell ref="C32:L32"/>
    <mergeCell ref="M32:T32"/>
    <mergeCell ref="U32:AC32"/>
    <mergeCell ref="AD32:AI32"/>
    <mergeCell ref="C35:L35"/>
    <mergeCell ref="M35:T35"/>
    <mergeCell ref="U35:AC35"/>
    <mergeCell ref="AD35:AI35"/>
  </mergeCells>
  <phoneticPr fontId="3"/>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ACFD5-0C61-440B-B97C-F52D1003F4D4}">
  <sheetPr codeName="Sheet99"/>
  <dimension ref="B1:AK28"/>
  <sheetViews>
    <sheetView topLeftCell="A4" workbookViewId="0">
      <selection activeCell="AC13" sqref="AC13:AD13"/>
    </sheetView>
  </sheetViews>
  <sheetFormatPr defaultColWidth="3.6640625" defaultRowHeight="13.2"/>
  <cols>
    <col min="1" max="16384" width="3.6640625" style="28"/>
  </cols>
  <sheetData>
    <row r="1" spans="2:37" ht="13.8" thickBot="1"/>
    <row r="2" spans="2:37">
      <c r="B2" s="205" t="s">
        <v>95</v>
      </c>
      <c r="C2" s="206"/>
      <c r="D2" s="206"/>
      <c r="E2" s="206"/>
      <c r="F2" s="211" t="s">
        <v>93</v>
      </c>
      <c r="G2" s="211"/>
      <c r="H2" s="212"/>
      <c r="I2" s="196" t="s">
        <v>1389</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tr">
        <f ca="1">RIGHT(CELL("filename",A2),LEN(CELL("filename",A2))-FIND("]",CELL("filename",A2)))</f>
        <v>t_exclusivecontrol</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29">
        <v>1</v>
      </c>
      <c r="C9" s="189" t="s">
        <v>1391</v>
      </c>
      <c r="D9" s="189"/>
      <c r="E9" s="189"/>
      <c r="F9" s="189"/>
      <c r="G9" s="189"/>
      <c r="H9" s="189"/>
      <c r="I9" s="189" t="s">
        <v>1047</v>
      </c>
      <c r="J9" s="189"/>
      <c r="K9" s="189"/>
      <c r="L9" s="189"/>
      <c r="M9" s="189"/>
      <c r="N9" s="189"/>
      <c r="O9" s="189"/>
      <c r="P9" s="189"/>
      <c r="Q9" s="189" t="s">
        <v>977</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29">
        <v>2</v>
      </c>
      <c r="C10" s="189" t="s">
        <v>1396</v>
      </c>
      <c r="D10" s="189"/>
      <c r="E10" s="189"/>
      <c r="F10" s="189"/>
      <c r="G10" s="189"/>
      <c r="H10" s="189"/>
      <c r="I10" s="189" t="s">
        <v>1399</v>
      </c>
      <c r="J10" s="189"/>
      <c r="K10" s="189"/>
      <c r="L10" s="189"/>
      <c r="M10" s="189"/>
      <c r="N10" s="189"/>
      <c r="O10" s="189"/>
      <c r="P10" s="189"/>
      <c r="Q10" s="189" t="s">
        <v>1189</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c r="B11" s="29">
        <v>3</v>
      </c>
      <c r="C11" s="189" t="s">
        <v>1397</v>
      </c>
      <c r="D11" s="189"/>
      <c r="E11" s="189"/>
      <c r="F11" s="189"/>
      <c r="G11" s="189"/>
      <c r="H11" s="189"/>
      <c r="I11" s="189" t="s">
        <v>1400</v>
      </c>
      <c r="J11" s="189"/>
      <c r="K11" s="189"/>
      <c r="L11" s="189"/>
      <c r="M11" s="189"/>
      <c r="N11" s="189"/>
      <c r="O11" s="189"/>
      <c r="P11" s="189"/>
      <c r="Q11" s="189" t="s">
        <v>1189</v>
      </c>
      <c r="R11" s="189"/>
      <c r="S11" s="189"/>
      <c r="T11" s="189"/>
      <c r="U11" s="189"/>
      <c r="V11" s="189"/>
      <c r="W11" s="189"/>
      <c r="X11" s="189"/>
      <c r="Y11" s="189" t="s">
        <v>149</v>
      </c>
      <c r="Z11" s="189"/>
      <c r="AA11" s="189"/>
      <c r="AB11" s="189"/>
      <c r="AC11" s="189" t="s">
        <v>151</v>
      </c>
      <c r="AD11" s="189"/>
      <c r="AE11" s="260" t="s">
        <v>1403</v>
      </c>
      <c r="AF11" s="189"/>
      <c r="AG11" s="189"/>
      <c r="AH11" s="189"/>
      <c r="AI11" s="189"/>
      <c r="AJ11" s="189"/>
      <c r="AK11" s="191"/>
    </row>
    <row r="12" spans="2:37">
      <c r="B12" s="29">
        <v>4</v>
      </c>
      <c r="C12" s="189" t="s">
        <v>1398</v>
      </c>
      <c r="D12" s="189"/>
      <c r="E12" s="189"/>
      <c r="F12" s="189"/>
      <c r="G12" s="189"/>
      <c r="H12" s="189"/>
      <c r="I12" s="189" t="s">
        <v>1401</v>
      </c>
      <c r="J12" s="189"/>
      <c r="K12" s="189"/>
      <c r="L12" s="189"/>
      <c r="M12" s="189"/>
      <c r="N12" s="189"/>
      <c r="O12" s="189"/>
      <c r="P12" s="189"/>
      <c r="Q12" s="189" t="s">
        <v>1189</v>
      </c>
      <c r="R12" s="189"/>
      <c r="S12" s="189"/>
      <c r="T12" s="189"/>
      <c r="U12" s="189"/>
      <c r="V12" s="189"/>
      <c r="W12" s="189"/>
      <c r="X12" s="189"/>
      <c r="Y12" s="189" t="s">
        <v>149</v>
      </c>
      <c r="Z12" s="189"/>
      <c r="AA12" s="189"/>
      <c r="AB12" s="189"/>
      <c r="AC12" s="189" t="s">
        <v>151</v>
      </c>
      <c r="AD12" s="189"/>
      <c r="AE12" s="260" t="s">
        <v>1403</v>
      </c>
      <c r="AF12" s="189"/>
      <c r="AG12" s="189"/>
      <c r="AH12" s="189"/>
      <c r="AI12" s="189"/>
      <c r="AJ12" s="189"/>
      <c r="AK12" s="191"/>
    </row>
    <row r="13" spans="2:37">
      <c r="B13" s="29">
        <v>5</v>
      </c>
      <c r="C13" s="189" t="s">
        <v>1392</v>
      </c>
      <c r="D13" s="189"/>
      <c r="E13" s="189"/>
      <c r="F13" s="189"/>
      <c r="G13" s="189"/>
      <c r="H13" s="189"/>
      <c r="I13" s="189" t="s">
        <v>1056</v>
      </c>
      <c r="J13" s="189"/>
      <c r="K13" s="189"/>
      <c r="L13" s="189"/>
      <c r="M13" s="189"/>
      <c r="N13" s="189"/>
      <c r="O13" s="189"/>
      <c r="P13" s="189"/>
      <c r="Q13" s="189" t="s">
        <v>977</v>
      </c>
      <c r="R13" s="189"/>
      <c r="S13" s="189"/>
      <c r="T13" s="189"/>
      <c r="U13" s="189"/>
      <c r="V13" s="189"/>
      <c r="W13" s="189"/>
      <c r="X13" s="189"/>
      <c r="Y13" s="189"/>
      <c r="Z13" s="189"/>
      <c r="AA13" s="189"/>
      <c r="AB13" s="189"/>
      <c r="AC13" s="240"/>
      <c r="AD13" s="242"/>
      <c r="AE13" s="189"/>
      <c r="AF13" s="189"/>
      <c r="AG13" s="189"/>
      <c r="AH13" s="189"/>
      <c r="AI13" s="189"/>
      <c r="AJ13" s="189"/>
      <c r="AK13" s="191"/>
    </row>
    <row r="14" spans="2:37">
      <c r="B14" s="29">
        <v>6</v>
      </c>
      <c r="C14" s="189" t="s">
        <v>1393</v>
      </c>
      <c r="D14" s="189"/>
      <c r="E14" s="189"/>
      <c r="F14" s="189"/>
      <c r="G14" s="189"/>
      <c r="H14" s="189"/>
      <c r="I14" s="189" t="s">
        <v>1394</v>
      </c>
      <c r="J14" s="189"/>
      <c r="K14" s="189"/>
      <c r="L14" s="189"/>
      <c r="M14" s="189"/>
      <c r="N14" s="189"/>
      <c r="O14" s="189"/>
      <c r="P14" s="189"/>
      <c r="Q14" s="189" t="s">
        <v>1189</v>
      </c>
      <c r="R14" s="189"/>
      <c r="S14" s="189"/>
      <c r="T14" s="189"/>
      <c r="U14" s="189"/>
      <c r="V14" s="189"/>
      <c r="W14" s="189"/>
      <c r="X14" s="189"/>
      <c r="Y14" s="189"/>
      <c r="Z14" s="189"/>
      <c r="AA14" s="189"/>
      <c r="AB14" s="189"/>
      <c r="AC14" s="240"/>
      <c r="AD14" s="242"/>
      <c r="AE14" s="189"/>
      <c r="AF14" s="189"/>
      <c r="AG14" s="189"/>
      <c r="AH14" s="189"/>
      <c r="AI14" s="189"/>
      <c r="AJ14" s="189"/>
      <c r="AK14" s="191"/>
    </row>
    <row r="15" spans="2:37" ht="13.8" thickBot="1">
      <c r="B15" s="30">
        <v>7</v>
      </c>
      <c r="C15" s="190" t="s">
        <v>696</v>
      </c>
      <c r="D15" s="190"/>
      <c r="E15" s="190"/>
      <c r="F15" s="190"/>
      <c r="G15" s="190"/>
      <c r="H15" s="190"/>
      <c r="I15" s="190" t="s">
        <v>138</v>
      </c>
      <c r="J15" s="190"/>
      <c r="K15" s="190"/>
      <c r="L15" s="190"/>
      <c r="M15" s="190"/>
      <c r="N15" s="190"/>
      <c r="O15" s="190"/>
      <c r="P15" s="190"/>
      <c r="Q15" s="190" t="s">
        <v>221</v>
      </c>
      <c r="R15" s="190"/>
      <c r="S15" s="190"/>
      <c r="T15" s="190"/>
      <c r="U15" s="190"/>
      <c r="V15" s="190"/>
      <c r="W15" s="190"/>
      <c r="X15" s="190"/>
      <c r="Y15" s="289"/>
      <c r="Z15" s="290"/>
      <c r="AA15" s="289"/>
      <c r="AB15" s="290"/>
      <c r="AC15" s="289"/>
      <c r="AD15" s="290"/>
      <c r="AE15" s="190" t="s">
        <v>1404</v>
      </c>
      <c r="AF15" s="190"/>
      <c r="AG15" s="190"/>
      <c r="AH15" s="190"/>
      <c r="AI15" s="190"/>
      <c r="AJ15" s="190"/>
      <c r="AK15" s="198"/>
    </row>
    <row r="18" spans="2:35" ht="15" thickBot="1">
      <c r="B18" s="7" t="s">
        <v>994</v>
      </c>
    </row>
    <row r="19" spans="2:35">
      <c r="B19" s="10" t="s">
        <v>7</v>
      </c>
      <c r="C19" s="226" t="s">
        <v>998</v>
      </c>
      <c r="D19" s="226"/>
      <c r="E19" s="226"/>
      <c r="F19" s="226"/>
      <c r="G19" s="226"/>
      <c r="H19" s="226"/>
      <c r="I19" s="226"/>
      <c r="J19" s="226"/>
      <c r="K19" s="226"/>
      <c r="L19" s="226" t="s">
        <v>1000</v>
      </c>
      <c r="M19" s="226"/>
      <c r="N19" s="226"/>
      <c r="O19" s="226"/>
      <c r="P19" s="226"/>
      <c r="Q19" s="226"/>
      <c r="R19" s="226"/>
      <c r="S19" s="226"/>
      <c r="T19" s="226"/>
      <c r="U19" s="226"/>
      <c r="V19" s="226" t="s">
        <v>1002</v>
      </c>
      <c r="W19" s="226"/>
      <c r="X19" s="226"/>
      <c r="Y19" s="226" t="s">
        <v>1004</v>
      </c>
      <c r="Z19" s="226"/>
      <c r="AA19" s="226"/>
      <c r="AB19" s="226" t="s">
        <v>1005</v>
      </c>
      <c r="AC19" s="226"/>
      <c r="AD19" s="226"/>
      <c r="AE19" s="226"/>
      <c r="AF19" s="226"/>
      <c r="AG19" s="226"/>
      <c r="AH19" s="226"/>
      <c r="AI19" s="227"/>
    </row>
    <row r="20" spans="2:35" s="32" customFormat="1" ht="55.2" customHeight="1" thickBot="1">
      <c r="B20" s="31">
        <v>1</v>
      </c>
      <c r="C20" s="231" t="s">
        <v>1395</v>
      </c>
      <c r="D20" s="231"/>
      <c r="E20" s="231"/>
      <c r="F20" s="231"/>
      <c r="G20" s="231"/>
      <c r="H20" s="231"/>
      <c r="I20" s="231"/>
      <c r="J20" s="231"/>
      <c r="K20" s="231"/>
      <c r="L20" s="343" t="s">
        <v>1402</v>
      </c>
      <c r="M20" s="231"/>
      <c r="N20" s="231"/>
      <c r="O20" s="231"/>
      <c r="P20" s="231"/>
      <c r="Q20" s="231"/>
      <c r="R20" s="231"/>
      <c r="S20" s="231"/>
      <c r="T20" s="231"/>
      <c r="U20" s="231"/>
      <c r="V20" s="231" t="s">
        <v>151</v>
      </c>
      <c r="W20" s="231"/>
      <c r="X20" s="231"/>
      <c r="Y20" s="231" t="s">
        <v>151</v>
      </c>
      <c r="Z20" s="231"/>
      <c r="AA20" s="231"/>
      <c r="AB20" s="231"/>
      <c r="AC20" s="231"/>
      <c r="AD20" s="231"/>
      <c r="AE20" s="231"/>
      <c r="AF20" s="231"/>
      <c r="AG20" s="231"/>
      <c r="AH20" s="231"/>
      <c r="AI20" s="234"/>
    </row>
    <row r="22" spans="2:35" ht="15" thickBot="1">
      <c r="B22" s="7" t="s">
        <v>995</v>
      </c>
    </row>
    <row r="23" spans="2:35">
      <c r="B23" s="14" t="s">
        <v>7</v>
      </c>
      <c r="C23" s="226" t="s">
        <v>1070</v>
      </c>
      <c r="D23" s="226"/>
      <c r="E23" s="226"/>
      <c r="F23" s="226"/>
      <c r="G23" s="226"/>
      <c r="H23" s="226"/>
      <c r="I23" s="226"/>
      <c r="J23" s="226"/>
      <c r="K23" s="226"/>
      <c r="L23" s="226"/>
      <c r="M23" s="226" t="s">
        <v>1000</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30"/>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row r="26" spans="2:35" ht="15" thickBot="1">
      <c r="B26" s="7" t="s">
        <v>996</v>
      </c>
    </row>
    <row r="27" spans="2:35">
      <c r="B27" s="14" t="s">
        <v>7</v>
      </c>
      <c r="C27" s="226" t="s">
        <v>1070</v>
      </c>
      <c r="D27" s="226"/>
      <c r="E27" s="226"/>
      <c r="F27" s="226"/>
      <c r="G27" s="226"/>
      <c r="H27" s="226"/>
      <c r="I27" s="226"/>
      <c r="J27" s="226"/>
      <c r="K27" s="226"/>
      <c r="L27" s="226"/>
      <c r="M27" s="226" t="s">
        <v>1000</v>
      </c>
      <c r="N27" s="226"/>
      <c r="O27" s="226"/>
      <c r="P27" s="226"/>
      <c r="Q27" s="226"/>
      <c r="R27" s="226"/>
      <c r="S27" s="226"/>
      <c r="T27" s="226"/>
      <c r="U27" s="226" t="s">
        <v>1154</v>
      </c>
      <c r="V27" s="226"/>
      <c r="W27" s="226"/>
      <c r="X27" s="226"/>
      <c r="Y27" s="226"/>
      <c r="Z27" s="226"/>
      <c r="AA27" s="226"/>
      <c r="AB27" s="226"/>
      <c r="AC27" s="226"/>
      <c r="AD27" s="226" t="s">
        <v>1155</v>
      </c>
      <c r="AE27" s="226"/>
      <c r="AF27" s="226"/>
      <c r="AG27" s="226"/>
      <c r="AH27" s="226"/>
      <c r="AI27" s="227"/>
    </row>
    <row r="28" spans="2:35" ht="13.8" thickBot="1">
      <c r="B28" s="30"/>
      <c r="C28" s="190"/>
      <c r="D28" s="190"/>
      <c r="E28" s="190"/>
      <c r="F28" s="190"/>
      <c r="G28" s="190"/>
      <c r="H28" s="190"/>
      <c r="I28" s="190"/>
      <c r="J28" s="190"/>
      <c r="K28" s="190"/>
      <c r="L28" s="190"/>
      <c r="M28" s="190"/>
      <c r="N28" s="190"/>
      <c r="O28" s="190"/>
      <c r="P28" s="190"/>
      <c r="Q28" s="190"/>
      <c r="R28" s="190"/>
      <c r="S28" s="190"/>
      <c r="T28" s="190"/>
      <c r="U28" s="190"/>
      <c r="V28" s="190"/>
      <c r="W28" s="190"/>
      <c r="X28" s="190"/>
      <c r="Y28" s="190"/>
      <c r="Z28" s="190"/>
      <c r="AA28" s="190"/>
      <c r="AB28" s="190"/>
      <c r="AC28" s="190"/>
      <c r="AD28" s="190"/>
      <c r="AE28" s="190"/>
      <c r="AF28" s="190"/>
      <c r="AG28" s="190"/>
      <c r="AH28" s="190"/>
      <c r="AI28" s="198"/>
    </row>
  </sheetData>
  <mergeCells count="89">
    <mergeCell ref="B2:E4"/>
    <mergeCell ref="F2:H2"/>
    <mergeCell ref="I2:N2"/>
    <mergeCell ref="F3:H3"/>
    <mergeCell ref="I3:N3"/>
    <mergeCell ref="F4:H4"/>
    <mergeCell ref="I4:N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5:AK15"/>
    <mergeCell ref="C19:K19"/>
    <mergeCell ref="L19:U19"/>
    <mergeCell ref="V19:X19"/>
    <mergeCell ref="Y19:AA19"/>
    <mergeCell ref="AB19:AI19"/>
    <mergeCell ref="C15:H15"/>
    <mergeCell ref="I15:P15"/>
    <mergeCell ref="Q15:X15"/>
    <mergeCell ref="Y15:Z15"/>
    <mergeCell ref="AA15:AB15"/>
    <mergeCell ref="AC15:AD15"/>
    <mergeCell ref="V20:X20"/>
    <mergeCell ref="Y20:AA20"/>
    <mergeCell ref="AB20:AI20"/>
    <mergeCell ref="C23:L23"/>
    <mergeCell ref="M23:T23"/>
    <mergeCell ref="U23:AC23"/>
    <mergeCell ref="AD23:AI23"/>
    <mergeCell ref="AC14:AD14"/>
    <mergeCell ref="AE14:AK14"/>
    <mergeCell ref="C28:L28"/>
    <mergeCell ref="M28:T28"/>
    <mergeCell ref="U28:AC28"/>
    <mergeCell ref="AD28:AI28"/>
    <mergeCell ref="C24:L24"/>
    <mergeCell ref="M24:T24"/>
    <mergeCell ref="U24:AC24"/>
    <mergeCell ref="AD24:AI24"/>
    <mergeCell ref="C27:L27"/>
    <mergeCell ref="M27:T27"/>
    <mergeCell ref="U27:AC27"/>
    <mergeCell ref="AD27:AI27"/>
    <mergeCell ref="C20:K20"/>
    <mergeCell ref="L20:U20"/>
    <mergeCell ref="C14:H14"/>
    <mergeCell ref="I14:P14"/>
    <mergeCell ref="Q14:X14"/>
    <mergeCell ref="Y14:Z14"/>
    <mergeCell ref="AA14:AB14"/>
    <mergeCell ref="AE12:AK12"/>
    <mergeCell ref="Q13:X13"/>
    <mergeCell ref="C12:H12"/>
    <mergeCell ref="I12:P12"/>
    <mergeCell ref="Q12:X12"/>
    <mergeCell ref="Y12:Z12"/>
    <mergeCell ref="AA12:AB12"/>
    <mergeCell ref="AC12:AD12"/>
    <mergeCell ref="AE13:AK13"/>
    <mergeCell ref="C13:H13"/>
    <mergeCell ref="I13:P13"/>
    <mergeCell ref="Y13:Z13"/>
    <mergeCell ref="AA13:AB13"/>
    <mergeCell ref="AC13:AD13"/>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s>
  <phoneticPr fontId="3"/>
  <pageMargins left="0.7" right="0.7" top="0.75" bottom="0.75" header="0.3" footer="0.3"/>
  <pageSetup paperSize="9"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23EA2-AFE0-46C2-8381-02998608C09B}">
  <sheetPr codeName="Sheet101"/>
  <dimension ref="B1:AK23"/>
  <sheetViews>
    <sheetView workbookViewId="0"/>
  </sheetViews>
  <sheetFormatPr defaultColWidth="3.6640625" defaultRowHeight="13.2"/>
  <cols>
    <col min="1" max="16384" width="3.6640625" style="49"/>
  </cols>
  <sheetData>
    <row r="1" spans="2:37" ht="13.8" thickBot="1"/>
    <row r="2" spans="2:37">
      <c r="B2" s="205" t="s">
        <v>95</v>
      </c>
      <c r="C2" s="206"/>
      <c r="D2" s="206"/>
      <c r="E2" s="206"/>
      <c r="F2" s="211" t="s">
        <v>93</v>
      </c>
      <c r="G2" s="211"/>
      <c r="H2" s="212"/>
      <c r="I2" s="196" t="s">
        <v>1419</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tr">
        <f ca="1">RIGHT(CELL("filename",A2),LEN(CELL("filename",A2))-FIND("]",CELL("filename",A2)))</f>
        <v>m_companyprintname</v>
      </c>
      <c r="J4" s="190"/>
      <c r="K4" s="190"/>
      <c r="L4" s="190"/>
      <c r="M4" s="190"/>
      <c r="N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51">
        <v>1</v>
      </c>
      <c r="C9" s="189" t="s">
        <v>182</v>
      </c>
      <c r="D9" s="189"/>
      <c r="E9" s="189"/>
      <c r="F9" s="189"/>
      <c r="G9" s="189"/>
      <c r="H9" s="189"/>
      <c r="I9" s="189" t="s">
        <v>1011</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52">
        <v>2</v>
      </c>
      <c r="C10" s="190" t="s">
        <v>1421</v>
      </c>
      <c r="D10" s="190"/>
      <c r="E10" s="190"/>
      <c r="F10" s="190"/>
      <c r="G10" s="190"/>
      <c r="H10" s="190"/>
      <c r="I10" s="190" t="s">
        <v>1422</v>
      </c>
      <c r="J10" s="190"/>
      <c r="K10" s="190"/>
      <c r="L10" s="190"/>
      <c r="M10" s="190"/>
      <c r="N10" s="190"/>
      <c r="O10" s="190"/>
      <c r="P10" s="190"/>
      <c r="Q10" s="190" t="s">
        <v>1189</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s="54" customFormat="1" ht="13.8" thickBot="1">
      <c r="B15" s="53">
        <v>1</v>
      </c>
      <c r="C15" s="231" t="s">
        <v>1423</v>
      </c>
      <c r="D15" s="231"/>
      <c r="E15" s="231"/>
      <c r="F15" s="231"/>
      <c r="G15" s="231"/>
      <c r="H15" s="231"/>
      <c r="I15" s="231"/>
      <c r="J15" s="231"/>
      <c r="K15" s="231"/>
      <c r="L15" s="343" t="s">
        <v>1011</v>
      </c>
      <c r="M15" s="231"/>
      <c r="N15" s="231"/>
      <c r="O15" s="231"/>
      <c r="P15" s="231"/>
      <c r="Q15" s="231"/>
      <c r="R15" s="231"/>
      <c r="S15" s="231"/>
      <c r="T15" s="231"/>
      <c r="U15" s="231"/>
      <c r="V15" s="231" t="s">
        <v>151</v>
      </c>
      <c r="W15" s="231"/>
      <c r="X15" s="231"/>
      <c r="Y15" s="231" t="s">
        <v>151</v>
      </c>
      <c r="Z15" s="231"/>
      <c r="AA15" s="231"/>
      <c r="AB15" s="231"/>
      <c r="AC15" s="231"/>
      <c r="AD15" s="231"/>
      <c r="AE15" s="231"/>
      <c r="AF15" s="231"/>
      <c r="AG15" s="231"/>
      <c r="AH15" s="231"/>
      <c r="AI15" s="234"/>
    </row>
    <row r="17" spans="2:35" ht="15" thickBot="1">
      <c r="B17" s="7" t="s">
        <v>995</v>
      </c>
    </row>
    <row r="18" spans="2:35">
      <c r="B18" s="14" t="s">
        <v>7</v>
      </c>
      <c r="C18" s="226" t="s">
        <v>1070</v>
      </c>
      <c r="D18" s="226"/>
      <c r="E18" s="226"/>
      <c r="F18" s="226"/>
      <c r="G18" s="226"/>
      <c r="H18" s="226"/>
      <c r="I18" s="226"/>
      <c r="J18" s="226"/>
      <c r="K18" s="226"/>
      <c r="L18" s="226"/>
      <c r="M18" s="226" t="s">
        <v>1000</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52"/>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7</v>
      </c>
      <c r="C22" s="226" t="s">
        <v>1070</v>
      </c>
      <c r="D22" s="226"/>
      <c r="E22" s="226"/>
      <c r="F22" s="226"/>
      <c r="G22" s="226"/>
      <c r="H22" s="226"/>
      <c r="I22" s="226"/>
      <c r="J22" s="226"/>
      <c r="K22" s="226"/>
      <c r="L22" s="226"/>
      <c r="M22" s="226" t="s">
        <v>1000</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52"/>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B2:E4"/>
    <mergeCell ref="F2:H2"/>
    <mergeCell ref="I2:N2"/>
    <mergeCell ref="F3:H3"/>
    <mergeCell ref="I3:N3"/>
    <mergeCell ref="F4:H4"/>
    <mergeCell ref="I4:N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0:H10"/>
    <mergeCell ref="I10:P10"/>
    <mergeCell ref="Q10:X10"/>
    <mergeCell ref="Y10:Z10"/>
    <mergeCell ref="AA10:AB10"/>
    <mergeCell ref="AC10:AD10"/>
    <mergeCell ref="C15:K15"/>
    <mergeCell ref="L15:U15"/>
    <mergeCell ref="V15:X15"/>
    <mergeCell ref="Y15:AA15"/>
    <mergeCell ref="AB15:AI15"/>
    <mergeCell ref="C14:K14"/>
    <mergeCell ref="L14:U14"/>
    <mergeCell ref="V14:X14"/>
    <mergeCell ref="Y14:AA14"/>
    <mergeCell ref="AB14:AI14"/>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pageSetup paperSize="9" orientation="portrait" verticalDpi="0"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CA3E4-82A6-4F77-A460-7DCA9800BACB}">
  <sheetPr codeName="Sheet102"/>
  <dimension ref="B1:AK24"/>
  <sheetViews>
    <sheetView workbookViewId="0">
      <selection activeCell="C11" sqref="C11:H11"/>
    </sheetView>
  </sheetViews>
  <sheetFormatPr defaultColWidth="3.6640625" defaultRowHeight="13.2"/>
  <cols>
    <col min="1" max="16384" width="3.6640625" style="55"/>
  </cols>
  <sheetData>
    <row r="1" spans="2:37" ht="13.8" thickBot="1"/>
    <row r="2" spans="2:37">
      <c r="B2" s="205" t="s">
        <v>95</v>
      </c>
      <c r="C2" s="206"/>
      <c r="D2" s="206"/>
      <c r="E2" s="206"/>
      <c r="F2" s="211" t="s">
        <v>93</v>
      </c>
      <c r="G2" s="211"/>
      <c r="H2" s="212"/>
      <c r="I2" s="344" t="s">
        <v>1425</v>
      </c>
      <c r="J2" s="345"/>
      <c r="K2" s="345"/>
      <c r="L2" s="345"/>
      <c r="M2" s="345"/>
      <c r="N2" s="345"/>
      <c r="O2" s="345"/>
      <c r="P2" s="346"/>
    </row>
    <row r="3" spans="2:37">
      <c r="B3" s="207"/>
      <c r="C3" s="208"/>
      <c r="D3" s="208"/>
      <c r="E3" s="208"/>
      <c r="F3" s="213" t="s">
        <v>10</v>
      </c>
      <c r="G3" s="213"/>
      <c r="H3" s="214"/>
      <c r="I3" s="240" t="s">
        <v>11</v>
      </c>
      <c r="J3" s="241"/>
      <c r="K3" s="241"/>
      <c r="L3" s="241"/>
      <c r="M3" s="241"/>
      <c r="N3" s="241"/>
      <c r="O3" s="241"/>
      <c r="P3" s="243"/>
    </row>
    <row r="4" spans="2:37" ht="13.8" thickBot="1">
      <c r="B4" s="209"/>
      <c r="C4" s="210"/>
      <c r="D4" s="210"/>
      <c r="E4" s="210"/>
      <c r="F4" s="215" t="s">
        <v>94</v>
      </c>
      <c r="G4" s="215"/>
      <c r="H4" s="216"/>
      <c r="I4" s="289" t="str">
        <f ca="1">RIGHT(CELL("filename",A2),LEN(CELL("filename",A2))-FIND("]",CELL("filename",A2)))</f>
        <v>m_salesclassdivisonlink</v>
      </c>
      <c r="J4" s="291"/>
      <c r="K4" s="291"/>
      <c r="L4" s="291"/>
      <c r="M4" s="291"/>
      <c r="N4" s="291"/>
      <c r="O4" s="291"/>
      <c r="P4" s="347"/>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57">
        <v>1</v>
      </c>
      <c r="C9" s="189" t="s">
        <v>112</v>
      </c>
      <c r="D9" s="189"/>
      <c r="E9" s="189"/>
      <c r="F9" s="189"/>
      <c r="G9" s="189"/>
      <c r="H9" s="189"/>
      <c r="I9" s="189" t="s">
        <v>1111</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108">
        <v>2</v>
      </c>
      <c r="C10" s="268" t="s">
        <v>730</v>
      </c>
      <c r="D10" s="268"/>
      <c r="E10" s="268"/>
      <c r="F10" s="268"/>
      <c r="G10" s="268"/>
      <c r="H10" s="268"/>
      <c r="I10" s="268" t="s">
        <v>1113</v>
      </c>
      <c r="J10" s="268"/>
      <c r="K10" s="268"/>
      <c r="L10" s="268"/>
      <c r="M10" s="268"/>
      <c r="N10" s="268"/>
      <c r="O10" s="268"/>
      <c r="P10" s="268"/>
      <c r="Q10" s="268" t="s">
        <v>146</v>
      </c>
      <c r="R10" s="268"/>
      <c r="S10" s="268"/>
      <c r="T10" s="268"/>
      <c r="U10" s="268"/>
      <c r="V10" s="268"/>
      <c r="W10" s="268"/>
      <c r="X10" s="268"/>
      <c r="Y10" s="268" t="s">
        <v>149</v>
      </c>
      <c r="Z10" s="268"/>
      <c r="AA10" s="268"/>
      <c r="AB10" s="268"/>
      <c r="AC10" s="268" t="s">
        <v>151</v>
      </c>
      <c r="AD10" s="268"/>
      <c r="AE10" s="268"/>
      <c r="AF10" s="268"/>
      <c r="AG10" s="268"/>
      <c r="AH10" s="268"/>
      <c r="AI10" s="268"/>
      <c r="AJ10" s="268"/>
      <c r="AK10" s="285"/>
    </row>
    <row r="11" spans="2:37" s="105" customFormat="1" ht="13.8" thickBot="1">
      <c r="B11" s="107">
        <v>3</v>
      </c>
      <c r="C11" s="289" t="s">
        <v>1939</v>
      </c>
      <c r="D11" s="291"/>
      <c r="E11" s="291"/>
      <c r="F11" s="291"/>
      <c r="G11" s="291"/>
      <c r="H11" s="290"/>
      <c r="I11" s="289" t="s">
        <v>1940</v>
      </c>
      <c r="J11" s="291"/>
      <c r="K11" s="291"/>
      <c r="L11" s="291"/>
      <c r="M11" s="291"/>
      <c r="N11" s="291"/>
      <c r="O11" s="291"/>
      <c r="P11" s="290"/>
      <c r="Q11" s="289" t="s">
        <v>977</v>
      </c>
      <c r="R11" s="291"/>
      <c r="S11" s="291"/>
      <c r="T11" s="291"/>
      <c r="U11" s="291"/>
      <c r="V11" s="291"/>
      <c r="W11" s="291"/>
      <c r="X11" s="290"/>
      <c r="Y11" s="289"/>
      <c r="Z11" s="290"/>
      <c r="AA11" s="289"/>
      <c r="AB11" s="290"/>
      <c r="AC11" s="289"/>
      <c r="AD11" s="290"/>
      <c r="AE11" s="190"/>
      <c r="AF11" s="190"/>
      <c r="AG11" s="190"/>
      <c r="AH11" s="190"/>
      <c r="AI11" s="190"/>
      <c r="AJ11" s="190"/>
      <c r="AK11" s="198"/>
    </row>
    <row r="14" spans="2:37" ht="15" thickBot="1">
      <c r="B14" s="7" t="s">
        <v>994</v>
      </c>
    </row>
    <row r="15" spans="2:37">
      <c r="B15" s="10" t="s">
        <v>7</v>
      </c>
      <c r="C15" s="226" t="s">
        <v>998</v>
      </c>
      <c r="D15" s="226"/>
      <c r="E15" s="226"/>
      <c r="F15" s="226"/>
      <c r="G15" s="226"/>
      <c r="H15" s="226"/>
      <c r="I15" s="226"/>
      <c r="J15" s="226"/>
      <c r="K15" s="226"/>
      <c r="L15" s="226" t="s">
        <v>1000</v>
      </c>
      <c r="M15" s="226"/>
      <c r="N15" s="226"/>
      <c r="O15" s="226"/>
      <c r="P15" s="226"/>
      <c r="Q15" s="226"/>
      <c r="R15" s="226"/>
      <c r="S15" s="226"/>
      <c r="T15" s="226"/>
      <c r="U15" s="226"/>
      <c r="V15" s="226" t="s">
        <v>1002</v>
      </c>
      <c r="W15" s="226"/>
      <c r="X15" s="226"/>
      <c r="Y15" s="226" t="s">
        <v>1004</v>
      </c>
      <c r="Z15" s="226"/>
      <c r="AA15" s="226"/>
      <c r="AB15" s="226" t="s">
        <v>1005</v>
      </c>
      <c r="AC15" s="226"/>
      <c r="AD15" s="226"/>
      <c r="AE15" s="226"/>
      <c r="AF15" s="226"/>
      <c r="AG15" s="226"/>
      <c r="AH15" s="226"/>
      <c r="AI15" s="227"/>
    </row>
    <row r="16" spans="2:37" s="60" customFormat="1" ht="27.6" customHeight="1" thickBot="1">
      <c r="B16" s="59">
        <v>1</v>
      </c>
      <c r="C16" s="231" t="s">
        <v>1426</v>
      </c>
      <c r="D16" s="231"/>
      <c r="E16" s="231"/>
      <c r="F16" s="231"/>
      <c r="G16" s="231"/>
      <c r="H16" s="231"/>
      <c r="I16" s="231"/>
      <c r="J16" s="231"/>
      <c r="K16" s="231"/>
      <c r="L16" s="343" t="s">
        <v>1430</v>
      </c>
      <c r="M16" s="231"/>
      <c r="N16" s="231"/>
      <c r="O16" s="231"/>
      <c r="P16" s="231"/>
      <c r="Q16" s="231"/>
      <c r="R16" s="231"/>
      <c r="S16" s="231"/>
      <c r="T16" s="231"/>
      <c r="U16" s="231"/>
      <c r="V16" s="231" t="s">
        <v>151</v>
      </c>
      <c r="W16" s="231"/>
      <c r="X16" s="231"/>
      <c r="Y16" s="231" t="s">
        <v>151</v>
      </c>
      <c r="Z16" s="231"/>
      <c r="AA16" s="231"/>
      <c r="AB16" s="231"/>
      <c r="AC16" s="231"/>
      <c r="AD16" s="231"/>
      <c r="AE16" s="231"/>
      <c r="AF16" s="231"/>
      <c r="AG16" s="231"/>
      <c r="AH16" s="231"/>
      <c r="AI16" s="234"/>
    </row>
    <row r="18" spans="2:35" ht="15" thickBot="1">
      <c r="B18" s="7" t="s">
        <v>995</v>
      </c>
    </row>
    <row r="19" spans="2:35">
      <c r="B19" s="14" t="s">
        <v>7</v>
      </c>
      <c r="C19" s="226" t="s">
        <v>1070</v>
      </c>
      <c r="D19" s="226"/>
      <c r="E19" s="226"/>
      <c r="F19" s="226"/>
      <c r="G19" s="226"/>
      <c r="H19" s="226"/>
      <c r="I19" s="226"/>
      <c r="J19" s="226"/>
      <c r="K19" s="226"/>
      <c r="L19" s="226"/>
      <c r="M19" s="226" t="s">
        <v>1000</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58"/>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7</v>
      </c>
      <c r="C23" s="226" t="s">
        <v>1070</v>
      </c>
      <c r="D23" s="226"/>
      <c r="E23" s="226"/>
      <c r="F23" s="226"/>
      <c r="G23" s="226"/>
      <c r="H23" s="226"/>
      <c r="I23" s="226"/>
      <c r="J23" s="226"/>
      <c r="K23" s="226"/>
      <c r="L23" s="226"/>
      <c r="M23" s="226" t="s">
        <v>1000</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58"/>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61">
    <mergeCell ref="AA11:AB11"/>
    <mergeCell ref="AC11:AD11"/>
    <mergeCell ref="AE11:AK11"/>
    <mergeCell ref="C24:L24"/>
    <mergeCell ref="M24:T24"/>
    <mergeCell ref="U24:AC24"/>
    <mergeCell ref="AD24:AI24"/>
    <mergeCell ref="U20:AC20"/>
    <mergeCell ref="AD20:AI20"/>
    <mergeCell ref="C23:L23"/>
    <mergeCell ref="M23:T23"/>
    <mergeCell ref="U23:AC23"/>
    <mergeCell ref="AD23:AI23"/>
    <mergeCell ref="V16:X16"/>
    <mergeCell ref="Y16:AA16"/>
    <mergeCell ref="AB16:AI16"/>
    <mergeCell ref="I2:P2"/>
    <mergeCell ref="I3:P3"/>
    <mergeCell ref="I4:P4"/>
    <mergeCell ref="C20:L20"/>
    <mergeCell ref="M20:T20"/>
    <mergeCell ref="C16:K16"/>
    <mergeCell ref="L16:U16"/>
    <mergeCell ref="C19:L19"/>
    <mergeCell ref="M19:T19"/>
    <mergeCell ref="U19:AC19"/>
    <mergeCell ref="Y11:Z11"/>
    <mergeCell ref="AC9:AD9"/>
    <mergeCell ref="B2:E4"/>
    <mergeCell ref="F2:H2"/>
    <mergeCell ref="F3:H3"/>
    <mergeCell ref="F4:H4"/>
    <mergeCell ref="AD19:AI19"/>
    <mergeCell ref="AE10:AK10"/>
    <mergeCell ref="C15:K15"/>
    <mergeCell ref="L15:U15"/>
    <mergeCell ref="V15:X15"/>
    <mergeCell ref="Y15:AA15"/>
    <mergeCell ref="AB15:AI15"/>
    <mergeCell ref="C10:H10"/>
    <mergeCell ref="I10:P10"/>
    <mergeCell ref="Q10:X10"/>
    <mergeCell ref="Y10:Z10"/>
    <mergeCell ref="AA10:AB10"/>
    <mergeCell ref="AC10:AD10"/>
    <mergeCell ref="C11:H11"/>
    <mergeCell ref="I11:P11"/>
    <mergeCell ref="Q11:X11"/>
    <mergeCell ref="AE9:AK9"/>
    <mergeCell ref="C8:H8"/>
    <mergeCell ref="I8:P8"/>
    <mergeCell ref="Q8:X8"/>
    <mergeCell ref="Y8:Z8"/>
    <mergeCell ref="AA8:AB8"/>
    <mergeCell ref="AC8:AD8"/>
    <mergeCell ref="C9:H9"/>
    <mergeCell ref="I9:P9"/>
    <mergeCell ref="Q9:X9"/>
    <mergeCell ref="Y9:Z9"/>
    <mergeCell ref="AA9:AB9"/>
    <mergeCell ref="AE8:AK8"/>
  </mergeCells>
  <phoneticPr fontId="3"/>
  <pageMargins left="0.7" right="0.7" top="0.75" bottom="0.75" header="0.3" footer="0.3"/>
  <pageSetup paperSize="9" orientation="portrait" verticalDpi="0"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5590F-B454-4093-A35D-D9E4E981335D}">
  <sheetPr codeName="Sheet103"/>
  <dimension ref="B1:AK23"/>
  <sheetViews>
    <sheetView workbookViewId="0">
      <selection activeCell="I10" sqref="I10:P10"/>
    </sheetView>
  </sheetViews>
  <sheetFormatPr defaultColWidth="3.6640625" defaultRowHeight="13.2"/>
  <cols>
    <col min="1" max="16384" width="3.6640625" style="131"/>
  </cols>
  <sheetData>
    <row r="1" spans="2:37" ht="13.8" thickBot="1"/>
    <row r="2" spans="2:37">
      <c r="B2" s="205" t="s">
        <v>95</v>
      </c>
      <c r="C2" s="206"/>
      <c r="D2" s="206"/>
      <c r="E2" s="206"/>
      <c r="F2" s="211" t="s">
        <v>93</v>
      </c>
      <c r="G2" s="211"/>
      <c r="H2" s="212"/>
      <c r="I2" s="344" t="s">
        <v>1726</v>
      </c>
      <c r="J2" s="345"/>
      <c r="K2" s="345"/>
      <c r="L2" s="345"/>
      <c r="M2" s="345"/>
      <c r="N2" s="345"/>
      <c r="O2" s="345"/>
      <c r="P2" s="346"/>
    </row>
    <row r="3" spans="2:37">
      <c r="B3" s="207"/>
      <c r="C3" s="208"/>
      <c r="D3" s="208"/>
      <c r="E3" s="208"/>
      <c r="F3" s="213" t="s">
        <v>10</v>
      </c>
      <c r="G3" s="213"/>
      <c r="H3" s="214"/>
      <c r="I3" s="240" t="s">
        <v>11</v>
      </c>
      <c r="J3" s="241"/>
      <c r="K3" s="241"/>
      <c r="L3" s="241"/>
      <c r="M3" s="241"/>
      <c r="N3" s="241"/>
      <c r="O3" s="241"/>
      <c r="P3" s="243"/>
    </row>
    <row r="4" spans="2:37" ht="13.8" thickBot="1">
      <c r="B4" s="209"/>
      <c r="C4" s="210"/>
      <c r="D4" s="210"/>
      <c r="E4" s="210"/>
      <c r="F4" s="215" t="s">
        <v>94</v>
      </c>
      <c r="G4" s="215"/>
      <c r="H4" s="216"/>
      <c r="I4" s="289" t="str">
        <f ca="1">RIGHT(CELL("filename",A2),LEN(CELL("filename",A2))-FIND("]",CELL("filename",A2)))</f>
        <v>m_signature</v>
      </c>
      <c r="J4" s="291"/>
      <c r="K4" s="291"/>
      <c r="L4" s="291"/>
      <c r="M4" s="291"/>
      <c r="N4" s="291"/>
      <c r="O4" s="291"/>
      <c r="P4" s="347"/>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1178</v>
      </c>
      <c r="Z8" s="203"/>
      <c r="AA8" s="202" t="s">
        <v>1179</v>
      </c>
      <c r="AB8" s="203"/>
      <c r="AC8" s="201" t="s">
        <v>150</v>
      </c>
      <c r="AD8" s="201"/>
      <c r="AE8" s="201" t="s">
        <v>152</v>
      </c>
      <c r="AF8" s="201"/>
      <c r="AG8" s="201"/>
      <c r="AH8" s="201"/>
      <c r="AI8" s="201"/>
      <c r="AJ8" s="201"/>
      <c r="AK8" s="204"/>
    </row>
    <row r="9" spans="2:37">
      <c r="B9" s="132">
        <v>1</v>
      </c>
      <c r="C9" s="189" t="s">
        <v>1729</v>
      </c>
      <c r="D9" s="189"/>
      <c r="E9" s="189"/>
      <c r="F9" s="189"/>
      <c r="G9" s="189"/>
      <c r="H9" s="189"/>
      <c r="I9" s="189" t="s">
        <v>1053</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133">
        <v>3</v>
      </c>
      <c r="C10" s="289" t="s">
        <v>1731</v>
      </c>
      <c r="D10" s="291"/>
      <c r="E10" s="291"/>
      <c r="F10" s="291"/>
      <c r="G10" s="291"/>
      <c r="H10" s="290"/>
      <c r="I10" s="289" t="s">
        <v>1732</v>
      </c>
      <c r="J10" s="291"/>
      <c r="K10" s="291"/>
      <c r="L10" s="291"/>
      <c r="M10" s="291"/>
      <c r="N10" s="291"/>
      <c r="O10" s="291"/>
      <c r="P10" s="290"/>
      <c r="Q10" s="289" t="s">
        <v>1189</v>
      </c>
      <c r="R10" s="291"/>
      <c r="S10" s="291"/>
      <c r="T10" s="291"/>
      <c r="U10" s="291"/>
      <c r="V10" s="291"/>
      <c r="W10" s="291"/>
      <c r="X10" s="290"/>
      <c r="Y10" s="289"/>
      <c r="Z10" s="290"/>
      <c r="AA10" s="289"/>
      <c r="AB10" s="290"/>
      <c r="AC10" s="289"/>
      <c r="AD10" s="2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s="135" customFormat="1" ht="27.6" customHeight="1" thickBot="1">
      <c r="B15" s="134"/>
      <c r="C15" s="231"/>
      <c r="D15" s="231"/>
      <c r="E15" s="231"/>
      <c r="F15" s="231"/>
      <c r="G15" s="231"/>
      <c r="H15" s="231"/>
      <c r="I15" s="231"/>
      <c r="J15" s="231"/>
      <c r="K15" s="231"/>
      <c r="L15" s="343"/>
      <c r="M15" s="231"/>
      <c r="N15" s="231"/>
      <c r="O15" s="231"/>
      <c r="P15" s="231"/>
      <c r="Q15" s="231"/>
      <c r="R15" s="231"/>
      <c r="S15" s="231"/>
      <c r="T15" s="231"/>
      <c r="U15" s="231"/>
      <c r="V15" s="231"/>
      <c r="W15" s="231"/>
      <c r="X15" s="231"/>
      <c r="Y15" s="231"/>
      <c r="Z15" s="231"/>
      <c r="AA15" s="231"/>
      <c r="AB15" s="231"/>
      <c r="AC15" s="231"/>
      <c r="AD15" s="231"/>
      <c r="AE15" s="231"/>
      <c r="AF15" s="231"/>
      <c r="AG15" s="231"/>
      <c r="AH15" s="231"/>
      <c r="AI15" s="234"/>
    </row>
    <row r="17" spans="2:35" ht="15" thickBot="1">
      <c r="B17" s="7" t="s">
        <v>995</v>
      </c>
    </row>
    <row r="18" spans="2:35">
      <c r="B18" s="14" t="s">
        <v>7</v>
      </c>
      <c r="C18" s="226" t="s">
        <v>1070</v>
      </c>
      <c r="D18" s="226"/>
      <c r="E18" s="226"/>
      <c r="F18" s="226"/>
      <c r="G18" s="226"/>
      <c r="H18" s="226"/>
      <c r="I18" s="226"/>
      <c r="J18" s="226"/>
      <c r="K18" s="226"/>
      <c r="L18" s="226"/>
      <c r="M18" s="226" t="s">
        <v>1000</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133"/>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7</v>
      </c>
      <c r="C22" s="226" t="s">
        <v>1070</v>
      </c>
      <c r="D22" s="226"/>
      <c r="E22" s="226"/>
      <c r="F22" s="226"/>
      <c r="G22" s="226"/>
      <c r="H22" s="226"/>
      <c r="I22" s="226"/>
      <c r="J22" s="226"/>
      <c r="K22" s="226"/>
      <c r="L22" s="226"/>
      <c r="M22" s="226" t="s">
        <v>1000</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133"/>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4:K14"/>
    <mergeCell ref="L14:U14"/>
    <mergeCell ref="V14:X14"/>
    <mergeCell ref="Y14:AA14"/>
    <mergeCell ref="AB14:AI14"/>
    <mergeCell ref="C15:K15"/>
    <mergeCell ref="L15:U15"/>
    <mergeCell ref="V15:X15"/>
    <mergeCell ref="Y15:AA15"/>
    <mergeCell ref="AB15:AI15"/>
    <mergeCell ref="C10:H10"/>
    <mergeCell ref="I10:P10"/>
    <mergeCell ref="Q10:X10"/>
    <mergeCell ref="Y10:Z10"/>
    <mergeCell ref="AA10:AB10"/>
    <mergeCell ref="AC10:AD10"/>
    <mergeCell ref="AE10:AK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P2"/>
    <mergeCell ref="F3:H3"/>
    <mergeCell ref="I3:P3"/>
    <mergeCell ref="F4:H4"/>
    <mergeCell ref="I4:P4"/>
  </mergeCells>
  <phoneticPr fontId="3"/>
  <pageMargins left="0.7" right="0.7" top="0.75" bottom="0.75" header="0.3" footer="0.3"/>
  <pageSetup paperSize="9" orientation="portrait" verticalDpi="0"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A169A-2AFD-42F1-8ED5-2CCF096BA16F}">
  <sheetPr codeName="Sheet49"/>
  <dimension ref="B1:AK23"/>
  <sheetViews>
    <sheetView workbookViewId="0">
      <selection activeCell="I11" sqref="I11"/>
    </sheetView>
  </sheetViews>
  <sheetFormatPr defaultColWidth="3.6640625" defaultRowHeight="13.2"/>
  <cols>
    <col min="1" max="16384" width="3.6640625" style="141"/>
  </cols>
  <sheetData>
    <row r="1" spans="2:37" ht="13.8" thickBot="1"/>
    <row r="2" spans="2:37">
      <c r="B2" s="205" t="s">
        <v>95</v>
      </c>
      <c r="C2" s="206"/>
      <c r="D2" s="206"/>
      <c r="E2" s="206"/>
      <c r="F2" s="211" t="s">
        <v>93</v>
      </c>
      <c r="G2" s="211"/>
      <c r="H2" s="212"/>
      <c r="I2" s="196" t="s">
        <v>1752</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1751</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143">
        <v>1</v>
      </c>
      <c r="C9" s="189" t="s">
        <v>1753</v>
      </c>
      <c r="D9" s="189"/>
      <c r="E9" s="189"/>
      <c r="F9" s="189"/>
      <c r="G9" s="189"/>
      <c r="H9" s="189"/>
      <c r="I9" s="189" t="s">
        <v>1747</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144">
        <v>2</v>
      </c>
      <c r="C10" s="190" t="s">
        <v>1754</v>
      </c>
      <c r="D10" s="190"/>
      <c r="E10" s="190"/>
      <c r="F10" s="190"/>
      <c r="G10" s="190"/>
      <c r="H10" s="190"/>
      <c r="I10" s="190" t="s">
        <v>1755</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10" t="s">
        <v>7</v>
      </c>
      <c r="C14" s="226" t="s">
        <v>998</v>
      </c>
      <c r="D14" s="226"/>
      <c r="E14" s="226"/>
      <c r="F14" s="226"/>
      <c r="G14" s="226"/>
      <c r="H14" s="226"/>
      <c r="I14" s="226"/>
      <c r="J14" s="226"/>
      <c r="K14" s="226"/>
      <c r="L14" s="226" t="s">
        <v>1000</v>
      </c>
      <c r="M14" s="226"/>
      <c r="N14" s="226"/>
      <c r="O14" s="226"/>
      <c r="P14" s="226"/>
      <c r="Q14" s="226"/>
      <c r="R14" s="226"/>
      <c r="S14" s="226"/>
      <c r="T14" s="226"/>
      <c r="U14" s="226"/>
      <c r="V14" s="226" t="s">
        <v>1002</v>
      </c>
      <c r="W14" s="226"/>
      <c r="X14" s="226"/>
      <c r="Y14" s="226" t="s">
        <v>1004</v>
      </c>
      <c r="Z14" s="226"/>
      <c r="AA14" s="226"/>
      <c r="AB14" s="226" t="s">
        <v>1005</v>
      </c>
      <c r="AC14" s="226"/>
      <c r="AD14" s="226"/>
      <c r="AE14" s="226"/>
      <c r="AF14" s="226"/>
      <c r="AG14" s="226"/>
      <c r="AH14" s="226"/>
      <c r="AI14" s="227"/>
    </row>
    <row r="15" spans="2:37" ht="13.8" thickBot="1">
      <c r="B15" s="144">
        <v>1</v>
      </c>
      <c r="C15" s="190" t="s">
        <v>1089</v>
      </c>
      <c r="D15" s="190"/>
      <c r="E15" s="190"/>
      <c r="F15" s="190"/>
      <c r="G15" s="190"/>
      <c r="H15" s="190"/>
      <c r="I15" s="190"/>
      <c r="J15" s="190"/>
      <c r="K15" s="190"/>
      <c r="L15" s="190" t="s">
        <v>1090</v>
      </c>
      <c r="M15" s="190"/>
      <c r="N15" s="190"/>
      <c r="O15" s="190"/>
      <c r="P15" s="190"/>
      <c r="Q15" s="190"/>
      <c r="R15" s="190"/>
      <c r="S15" s="190"/>
      <c r="T15" s="190"/>
      <c r="U15" s="190"/>
      <c r="V15" s="190" t="s">
        <v>151</v>
      </c>
      <c r="W15" s="190"/>
      <c r="X15" s="190"/>
      <c r="Y15" s="190" t="s">
        <v>151</v>
      </c>
      <c r="Z15" s="190"/>
      <c r="AA15" s="190"/>
      <c r="AB15" s="190"/>
      <c r="AC15" s="190"/>
      <c r="AD15" s="190"/>
      <c r="AE15" s="190"/>
      <c r="AF15" s="190"/>
      <c r="AG15" s="190"/>
      <c r="AH15" s="190"/>
      <c r="AI15" s="198"/>
    </row>
    <row r="17" spans="2:35" ht="15" thickBot="1">
      <c r="B17" s="7" t="s">
        <v>995</v>
      </c>
    </row>
    <row r="18" spans="2:35">
      <c r="B18" s="14" t="s">
        <v>7</v>
      </c>
      <c r="C18" s="226" t="s">
        <v>1070</v>
      </c>
      <c r="D18" s="226"/>
      <c r="E18" s="226"/>
      <c r="F18" s="226"/>
      <c r="G18" s="226"/>
      <c r="H18" s="226"/>
      <c r="I18" s="226"/>
      <c r="J18" s="226"/>
      <c r="K18" s="226"/>
      <c r="L18" s="226"/>
      <c r="M18" s="226" t="s">
        <v>1000</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144"/>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7</v>
      </c>
      <c r="C22" s="226" t="s">
        <v>1070</v>
      </c>
      <c r="D22" s="226"/>
      <c r="E22" s="226"/>
      <c r="F22" s="226"/>
      <c r="G22" s="226"/>
      <c r="H22" s="226"/>
      <c r="I22" s="226"/>
      <c r="J22" s="226"/>
      <c r="K22" s="226"/>
      <c r="L22" s="226"/>
      <c r="M22" s="226" t="s">
        <v>1000</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144"/>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B2:E4"/>
    <mergeCell ref="F2:H2"/>
    <mergeCell ref="I2:M2"/>
    <mergeCell ref="F3:H3"/>
    <mergeCell ref="I3:M3"/>
    <mergeCell ref="F4:H4"/>
    <mergeCell ref="I4:M4"/>
    <mergeCell ref="AE8:AK8"/>
    <mergeCell ref="C9:H9"/>
    <mergeCell ref="I9:P9"/>
    <mergeCell ref="Q9:X9"/>
    <mergeCell ref="Y9:Z9"/>
    <mergeCell ref="AA9:AB9"/>
    <mergeCell ref="AC9:AD9"/>
    <mergeCell ref="AE9:AK9"/>
    <mergeCell ref="C8:H8"/>
    <mergeCell ref="I8:P8"/>
    <mergeCell ref="Q8:X8"/>
    <mergeCell ref="Y8:Z8"/>
    <mergeCell ref="AA8:AB8"/>
    <mergeCell ref="AC8:AD8"/>
    <mergeCell ref="C18:L18"/>
    <mergeCell ref="M18:T18"/>
    <mergeCell ref="U18:AC18"/>
    <mergeCell ref="AD18:AI18"/>
    <mergeCell ref="AE10:AK10"/>
    <mergeCell ref="C14:K14"/>
    <mergeCell ref="L14:U14"/>
    <mergeCell ref="V14:X14"/>
    <mergeCell ref="Y14:AA14"/>
    <mergeCell ref="AB14:AI14"/>
    <mergeCell ref="C10:H10"/>
    <mergeCell ref="I10:P10"/>
    <mergeCell ref="Q10:X10"/>
    <mergeCell ref="Y10:Z10"/>
    <mergeCell ref="AA10:AB10"/>
    <mergeCell ref="AC10:AD10"/>
    <mergeCell ref="C15:K15"/>
    <mergeCell ref="L15:U15"/>
    <mergeCell ref="V15:X15"/>
    <mergeCell ref="Y15:AA15"/>
    <mergeCell ref="AB15:AI15"/>
    <mergeCell ref="C23:L23"/>
    <mergeCell ref="M23:T23"/>
    <mergeCell ref="U23:AC23"/>
    <mergeCell ref="AD23:AI23"/>
    <mergeCell ref="C19:L19"/>
    <mergeCell ref="M19:T19"/>
    <mergeCell ref="U19:AC19"/>
    <mergeCell ref="AD19:AI19"/>
    <mergeCell ref="C22:L22"/>
    <mergeCell ref="M22:T22"/>
    <mergeCell ref="U22:AC22"/>
    <mergeCell ref="AD22:AI22"/>
  </mergeCells>
  <phoneticPr fontId="3"/>
  <pageMargins left="0.7" right="0.7" top="0.75" bottom="0.75" header="0.3" footer="0.3"/>
  <pageSetup paperSize="9" orientation="portrait" verticalDpi="0"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4F02-D68F-4162-B368-FB383E6CDEDC}">
  <sheetPr codeName="Sheet70"/>
  <dimension ref="B1:AK24"/>
  <sheetViews>
    <sheetView workbookViewId="0"/>
  </sheetViews>
  <sheetFormatPr defaultColWidth="3.6640625" defaultRowHeight="13.2"/>
  <cols>
    <col min="1" max="16384" width="3.6640625" style="145"/>
  </cols>
  <sheetData>
    <row r="1" spans="2:37" ht="13.8" thickBot="1"/>
    <row r="2" spans="2:37">
      <c r="B2" s="205" t="s">
        <v>95</v>
      </c>
      <c r="C2" s="206"/>
      <c r="D2" s="206"/>
      <c r="E2" s="206"/>
      <c r="F2" s="211" t="s">
        <v>93</v>
      </c>
      <c r="G2" s="211"/>
      <c r="H2" s="212"/>
      <c r="I2" s="196" t="s">
        <v>1767</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1766</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147">
        <v>1</v>
      </c>
      <c r="C9" s="189" t="s">
        <v>1768</v>
      </c>
      <c r="D9" s="189"/>
      <c r="E9" s="189"/>
      <c r="F9" s="189"/>
      <c r="G9" s="189"/>
      <c r="H9" s="189"/>
      <c r="I9" s="189" t="s">
        <v>176</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148">
        <v>2</v>
      </c>
      <c r="C10" s="190" t="s">
        <v>1769</v>
      </c>
      <c r="D10" s="190"/>
      <c r="E10" s="190"/>
      <c r="F10" s="190"/>
      <c r="G10" s="190"/>
      <c r="H10" s="190"/>
      <c r="I10" s="190" t="s">
        <v>177</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6" t="s">
        <v>7</v>
      </c>
      <c r="C14" s="201" t="s">
        <v>998</v>
      </c>
      <c r="D14" s="201"/>
      <c r="E14" s="201"/>
      <c r="F14" s="201"/>
      <c r="G14" s="201"/>
      <c r="H14" s="201"/>
      <c r="I14" s="201"/>
      <c r="J14" s="201"/>
      <c r="K14" s="201"/>
      <c r="L14" s="201" t="s">
        <v>1000</v>
      </c>
      <c r="M14" s="201"/>
      <c r="N14" s="201"/>
      <c r="O14" s="201"/>
      <c r="P14" s="201"/>
      <c r="Q14" s="201"/>
      <c r="R14" s="201"/>
      <c r="S14" s="201"/>
      <c r="T14" s="201"/>
      <c r="U14" s="201"/>
      <c r="V14" s="201" t="s">
        <v>1002</v>
      </c>
      <c r="W14" s="201"/>
      <c r="X14" s="201"/>
      <c r="Y14" s="201" t="s">
        <v>1004</v>
      </c>
      <c r="Z14" s="201"/>
      <c r="AA14" s="201"/>
      <c r="AB14" s="201" t="s">
        <v>1005</v>
      </c>
      <c r="AC14" s="201"/>
      <c r="AD14" s="201"/>
      <c r="AE14" s="201"/>
      <c r="AF14" s="201"/>
      <c r="AG14" s="201"/>
      <c r="AH14" s="201"/>
      <c r="AI14" s="204"/>
    </row>
    <row r="15" spans="2:37" ht="13.8" thickBot="1">
      <c r="B15" s="9">
        <v>1</v>
      </c>
      <c r="C15" s="190" t="s">
        <v>1775</v>
      </c>
      <c r="D15" s="190"/>
      <c r="E15" s="190"/>
      <c r="F15" s="190"/>
      <c r="G15" s="190"/>
      <c r="H15" s="190"/>
      <c r="I15" s="190"/>
      <c r="J15" s="190"/>
      <c r="K15" s="190"/>
      <c r="L15" s="190" t="s">
        <v>1008</v>
      </c>
      <c r="M15" s="190"/>
      <c r="N15" s="190"/>
      <c r="O15" s="190"/>
      <c r="P15" s="190"/>
      <c r="Q15" s="190"/>
      <c r="R15" s="190"/>
      <c r="S15" s="190"/>
      <c r="T15" s="190"/>
      <c r="U15" s="190"/>
      <c r="V15" s="190" t="s">
        <v>151</v>
      </c>
      <c r="W15" s="190"/>
      <c r="X15" s="190"/>
      <c r="Y15" s="190" t="s">
        <v>151</v>
      </c>
      <c r="Z15" s="190"/>
      <c r="AA15" s="190"/>
      <c r="AB15" s="190"/>
      <c r="AC15" s="190"/>
      <c r="AD15" s="190"/>
      <c r="AE15" s="190"/>
      <c r="AF15" s="190"/>
      <c r="AG15" s="190"/>
      <c r="AH15" s="190"/>
      <c r="AI15" s="198"/>
    </row>
    <row r="16" spans="2:37">
      <c r="B16" s="8"/>
    </row>
    <row r="17" spans="2:35">
      <c r="B17" s="8"/>
    </row>
    <row r="18" spans="2:35" ht="15" thickBot="1">
      <c r="B18" s="7" t="s">
        <v>995</v>
      </c>
    </row>
    <row r="19" spans="2:35">
      <c r="B19" s="14" t="s">
        <v>7</v>
      </c>
      <c r="C19" s="226" t="s">
        <v>1070</v>
      </c>
      <c r="D19" s="226"/>
      <c r="E19" s="226"/>
      <c r="F19" s="226"/>
      <c r="G19" s="226"/>
      <c r="H19" s="226"/>
      <c r="I19" s="226"/>
      <c r="J19" s="226"/>
      <c r="K19" s="226"/>
      <c r="L19" s="226"/>
      <c r="M19" s="226" t="s">
        <v>1000</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148"/>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7</v>
      </c>
      <c r="C23" s="226" t="s">
        <v>1070</v>
      </c>
      <c r="D23" s="226"/>
      <c r="E23" s="226"/>
      <c r="F23" s="226"/>
      <c r="G23" s="226"/>
      <c r="H23" s="226"/>
      <c r="I23" s="226"/>
      <c r="J23" s="226"/>
      <c r="K23" s="226"/>
      <c r="L23" s="226"/>
      <c r="M23" s="226" t="s">
        <v>1000</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148"/>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54">
    <mergeCell ref="C24:L24"/>
    <mergeCell ref="M24:T24"/>
    <mergeCell ref="U24:AC24"/>
    <mergeCell ref="AD24:AI24"/>
    <mergeCell ref="C20:L20"/>
    <mergeCell ref="M20:T20"/>
    <mergeCell ref="U20:AC20"/>
    <mergeCell ref="AD20:AI20"/>
    <mergeCell ref="C23:L23"/>
    <mergeCell ref="M23:T23"/>
    <mergeCell ref="U23:AC23"/>
    <mergeCell ref="AD23:AI23"/>
    <mergeCell ref="C15:K15"/>
    <mergeCell ref="L15:U15"/>
    <mergeCell ref="V15:X15"/>
    <mergeCell ref="Y15:AA15"/>
    <mergeCell ref="AB15:AI15"/>
    <mergeCell ref="C19:L19"/>
    <mergeCell ref="M19:T19"/>
    <mergeCell ref="U19:AC19"/>
    <mergeCell ref="AD19:AI19"/>
    <mergeCell ref="AE10:AK10"/>
    <mergeCell ref="C14:K14"/>
    <mergeCell ref="L14:U14"/>
    <mergeCell ref="V14:X14"/>
    <mergeCell ref="Y14:AA14"/>
    <mergeCell ref="AB14:AI14"/>
    <mergeCell ref="C10:H10"/>
    <mergeCell ref="I10:P10"/>
    <mergeCell ref="Q10:X10"/>
    <mergeCell ref="Y10:Z10"/>
    <mergeCell ref="AA10:AB10"/>
    <mergeCell ref="AC10:AD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M2"/>
    <mergeCell ref="F3:H3"/>
    <mergeCell ref="I3:M3"/>
    <mergeCell ref="F4:H4"/>
    <mergeCell ref="I4:M4"/>
  </mergeCells>
  <phoneticPr fontId="3"/>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C86BE-C3D0-446A-9743-D100107B14D1}">
  <sheetPr codeName="Sheet93"/>
  <dimension ref="B1:AK26"/>
  <sheetViews>
    <sheetView workbookViewId="0"/>
  </sheetViews>
  <sheetFormatPr defaultColWidth="3.6640625" defaultRowHeight="13.2"/>
  <cols>
    <col min="1" max="16384" width="3.6640625" style="145"/>
  </cols>
  <sheetData>
    <row r="1" spans="2:37" ht="13.8" thickBot="1"/>
    <row r="2" spans="2:37">
      <c r="B2" s="205" t="s">
        <v>95</v>
      </c>
      <c r="C2" s="206"/>
      <c r="D2" s="206"/>
      <c r="E2" s="206"/>
      <c r="F2" s="211" t="s">
        <v>93</v>
      </c>
      <c r="G2" s="211"/>
      <c r="H2" s="212"/>
      <c r="I2" s="196" t="s">
        <v>1771</v>
      </c>
      <c r="J2" s="196"/>
      <c r="K2" s="196"/>
      <c r="L2" s="196"/>
      <c r="M2" s="196"/>
      <c r="N2" s="197"/>
    </row>
    <row r="3" spans="2:37">
      <c r="B3" s="207"/>
      <c r="C3" s="208"/>
      <c r="D3" s="208"/>
      <c r="E3" s="208"/>
      <c r="F3" s="213" t="s">
        <v>10</v>
      </c>
      <c r="G3" s="213"/>
      <c r="H3" s="214"/>
      <c r="I3" s="189" t="s">
        <v>11</v>
      </c>
      <c r="J3" s="189"/>
      <c r="K3" s="189"/>
      <c r="L3" s="189"/>
      <c r="M3" s="189"/>
      <c r="N3" s="191"/>
    </row>
    <row r="4" spans="2:37" ht="13.8" thickBot="1">
      <c r="B4" s="209"/>
      <c r="C4" s="210"/>
      <c r="D4" s="210"/>
      <c r="E4" s="210"/>
      <c r="F4" s="215" t="s">
        <v>94</v>
      </c>
      <c r="G4" s="215"/>
      <c r="H4" s="216"/>
      <c r="I4" s="190" t="s">
        <v>1770</v>
      </c>
      <c r="J4" s="190"/>
      <c r="K4" s="190"/>
      <c r="L4" s="190"/>
      <c r="M4" s="190"/>
      <c r="N4" s="198"/>
    </row>
    <row r="5" spans="2:37">
      <c r="B5" s="2"/>
      <c r="C5" s="2"/>
      <c r="D5" s="2"/>
      <c r="E5" s="2"/>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147">
        <v>1</v>
      </c>
      <c r="C9" s="189" t="s">
        <v>1772</v>
      </c>
      <c r="D9" s="189"/>
      <c r="E9" s="189"/>
      <c r="F9" s="189"/>
      <c r="G9" s="189"/>
      <c r="H9" s="189"/>
      <c r="I9" s="189" t="s">
        <v>1875</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c r="B10" s="147">
        <v>2</v>
      </c>
      <c r="C10" s="189" t="s">
        <v>1773</v>
      </c>
      <c r="D10" s="189"/>
      <c r="E10" s="189"/>
      <c r="F10" s="189"/>
      <c r="G10" s="189"/>
      <c r="H10" s="189"/>
      <c r="I10" s="189" t="s">
        <v>1053</v>
      </c>
      <c r="J10" s="189"/>
      <c r="K10" s="189"/>
      <c r="L10" s="189"/>
      <c r="M10" s="189"/>
      <c r="N10" s="189"/>
      <c r="O10" s="189"/>
      <c r="P10" s="189"/>
      <c r="Q10" s="189" t="s">
        <v>146</v>
      </c>
      <c r="R10" s="189"/>
      <c r="S10" s="189"/>
      <c r="T10" s="189"/>
      <c r="U10" s="189"/>
      <c r="V10" s="189"/>
      <c r="W10" s="189"/>
      <c r="X10" s="189"/>
      <c r="Y10" s="189" t="s">
        <v>149</v>
      </c>
      <c r="Z10" s="189"/>
      <c r="AA10" s="189"/>
      <c r="AB10" s="189"/>
      <c r="AC10" s="189" t="s">
        <v>151</v>
      </c>
      <c r="AD10" s="189"/>
      <c r="AE10" s="189"/>
      <c r="AF10" s="189"/>
      <c r="AG10" s="189"/>
      <c r="AH10" s="189"/>
      <c r="AI10" s="189"/>
      <c r="AJ10" s="189"/>
      <c r="AK10" s="191"/>
    </row>
    <row r="11" spans="2:37" ht="13.8" thickBot="1">
      <c r="B11" s="148">
        <v>3</v>
      </c>
      <c r="C11" s="190" t="s">
        <v>1768</v>
      </c>
      <c r="D11" s="190"/>
      <c r="E11" s="190"/>
      <c r="F11" s="190"/>
      <c r="G11" s="190"/>
      <c r="H11" s="190"/>
      <c r="I11" s="190" t="s">
        <v>1876</v>
      </c>
      <c r="J11" s="190"/>
      <c r="K11" s="190"/>
      <c r="L11" s="190"/>
      <c r="M11" s="190"/>
      <c r="N11" s="190"/>
      <c r="O11" s="190"/>
      <c r="P11" s="190"/>
      <c r="Q11" s="190" t="s">
        <v>146</v>
      </c>
      <c r="R11" s="190"/>
      <c r="S11" s="190"/>
      <c r="T11" s="190"/>
      <c r="U11" s="190"/>
      <c r="V11" s="190"/>
      <c r="W11" s="190"/>
      <c r="X11" s="190"/>
      <c r="Y11" s="190"/>
      <c r="Z11" s="190"/>
      <c r="AA11" s="190"/>
      <c r="AB11" s="190"/>
      <c r="AC11" s="190"/>
      <c r="AD11" s="190"/>
      <c r="AE11" s="190"/>
      <c r="AF11" s="190"/>
      <c r="AG11" s="190"/>
      <c r="AH11" s="190"/>
      <c r="AI11" s="190"/>
      <c r="AJ11" s="190"/>
      <c r="AK11" s="198"/>
    </row>
    <row r="14" spans="2:37" ht="15" thickBot="1">
      <c r="B14" s="7" t="s">
        <v>994</v>
      </c>
    </row>
    <row r="15" spans="2:37">
      <c r="B15" s="6" t="s">
        <v>7</v>
      </c>
      <c r="C15" s="201" t="s">
        <v>998</v>
      </c>
      <c r="D15" s="201"/>
      <c r="E15" s="201"/>
      <c r="F15" s="201"/>
      <c r="G15" s="201"/>
      <c r="H15" s="201"/>
      <c r="I15" s="201"/>
      <c r="J15" s="201"/>
      <c r="K15" s="201"/>
      <c r="L15" s="201" t="s">
        <v>1000</v>
      </c>
      <c r="M15" s="201"/>
      <c r="N15" s="201"/>
      <c r="O15" s="201"/>
      <c r="P15" s="201"/>
      <c r="Q15" s="201"/>
      <c r="R15" s="201"/>
      <c r="S15" s="201"/>
      <c r="T15" s="201"/>
      <c r="U15" s="201"/>
      <c r="V15" s="201" t="s">
        <v>1002</v>
      </c>
      <c r="W15" s="201"/>
      <c r="X15" s="201"/>
      <c r="Y15" s="201" t="s">
        <v>1004</v>
      </c>
      <c r="Z15" s="201"/>
      <c r="AA15" s="201"/>
      <c r="AB15" s="201" t="s">
        <v>1005</v>
      </c>
      <c r="AC15" s="201"/>
      <c r="AD15" s="201"/>
      <c r="AE15" s="201"/>
      <c r="AF15" s="201"/>
      <c r="AG15" s="201"/>
      <c r="AH15" s="201"/>
      <c r="AI15" s="204"/>
    </row>
    <row r="16" spans="2:37">
      <c r="B16" s="228">
        <v>1</v>
      </c>
      <c r="C16" s="230" t="s">
        <v>1774</v>
      </c>
      <c r="D16" s="230"/>
      <c r="E16" s="230"/>
      <c r="F16" s="230"/>
      <c r="G16" s="230"/>
      <c r="H16" s="230"/>
      <c r="I16" s="230"/>
      <c r="J16" s="230"/>
      <c r="K16" s="230"/>
      <c r="L16" s="232" t="s">
        <v>1010</v>
      </c>
      <c r="M16" s="232"/>
      <c r="N16" s="232"/>
      <c r="O16" s="232"/>
      <c r="P16" s="232"/>
      <c r="Q16" s="232"/>
      <c r="R16" s="232"/>
      <c r="S16" s="232"/>
      <c r="T16" s="232"/>
      <c r="U16" s="232"/>
      <c r="V16" s="230" t="s">
        <v>151</v>
      </c>
      <c r="W16" s="230"/>
      <c r="X16" s="230"/>
      <c r="Y16" s="230" t="s">
        <v>151</v>
      </c>
      <c r="Z16" s="230"/>
      <c r="AA16" s="230"/>
      <c r="AB16" s="230"/>
      <c r="AC16" s="230"/>
      <c r="AD16" s="230"/>
      <c r="AE16" s="230"/>
      <c r="AF16" s="230"/>
      <c r="AG16" s="230"/>
      <c r="AH16" s="230"/>
      <c r="AI16" s="233"/>
    </row>
    <row r="17" spans="2:35" ht="13.8" thickBot="1">
      <c r="B17" s="229"/>
      <c r="C17" s="231"/>
      <c r="D17" s="231"/>
      <c r="E17" s="231"/>
      <c r="F17" s="231"/>
      <c r="G17" s="231"/>
      <c r="H17" s="231"/>
      <c r="I17" s="231"/>
      <c r="J17" s="231"/>
      <c r="K17" s="231"/>
      <c r="L17" s="224" t="s">
        <v>1053</v>
      </c>
      <c r="M17" s="224"/>
      <c r="N17" s="224"/>
      <c r="O17" s="224"/>
      <c r="P17" s="224"/>
      <c r="Q17" s="224"/>
      <c r="R17" s="224"/>
      <c r="S17" s="224"/>
      <c r="T17" s="224"/>
      <c r="U17" s="224"/>
      <c r="V17" s="231"/>
      <c r="W17" s="231"/>
      <c r="X17" s="231"/>
      <c r="Y17" s="231"/>
      <c r="Z17" s="231"/>
      <c r="AA17" s="231"/>
      <c r="AB17" s="231"/>
      <c r="AC17" s="231"/>
      <c r="AD17" s="231"/>
      <c r="AE17" s="231"/>
      <c r="AF17" s="231"/>
      <c r="AG17" s="231"/>
      <c r="AH17" s="231"/>
      <c r="AI17" s="234"/>
    </row>
    <row r="18" spans="2:35">
      <c r="B18" s="8"/>
    </row>
    <row r="19" spans="2:35">
      <c r="B19" s="8"/>
    </row>
    <row r="20" spans="2:35" ht="15" thickBot="1">
      <c r="B20" s="7" t="s">
        <v>995</v>
      </c>
    </row>
    <row r="21" spans="2:35">
      <c r="B21" s="14" t="s">
        <v>7</v>
      </c>
      <c r="C21" s="226" t="s">
        <v>1070</v>
      </c>
      <c r="D21" s="226"/>
      <c r="E21" s="226"/>
      <c r="F21" s="226"/>
      <c r="G21" s="226"/>
      <c r="H21" s="226"/>
      <c r="I21" s="226"/>
      <c r="J21" s="226"/>
      <c r="K21" s="226"/>
      <c r="L21" s="226"/>
      <c r="M21" s="226" t="s">
        <v>1000</v>
      </c>
      <c r="N21" s="226"/>
      <c r="O21" s="226"/>
      <c r="P21" s="226"/>
      <c r="Q21" s="226"/>
      <c r="R21" s="226"/>
      <c r="S21" s="226"/>
      <c r="T21" s="226"/>
      <c r="U21" s="226" t="s">
        <v>1154</v>
      </c>
      <c r="V21" s="226"/>
      <c r="W21" s="226"/>
      <c r="X21" s="226"/>
      <c r="Y21" s="226"/>
      <c r="Z21" s="226"/>
      <c r="AA21" s="226"/>
      <c r="AB21" s="226"/>
      <c r="AC21" s="226"/>
      <c r="AD21" s="226" t="s">
        <v>1155</v>
      </c>
      <c r="AE21" s="226"/>
      <c r="AF21" s="226"/>
      <c r="AG21" s="226"/>
      <c r="AH21" s="226"/>
      <c r="AI21" s="227"/>
    </row>
    <row r="22" spans="2:35" ht="13.8" thickBot="1">
      <c r="B22" s="148"/>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8"/>
    </row>
    <row r="24" spans="2:35" ht="15" thickBot="1">
      <c r="B24" s="7" t="s">
        <v>996</v>
      </c>
    </row>
    <row r="25" spans="2:35">
      <c r="B25" s="14" t="s">
        <v>7</v>
      </c>
      <c r="C25" s="226" t="s">
        <v>1070</v>
      </c>
      <c r="D25" s="226"/>
      <c r="E25" s="226"/>
      <c r="F25" s="226"/>
      <c r="G25" s="226"/>
      <c r="H25" s="226"/>
      <c r="I25" s="226"/>
      <c r="J25" s="226"/>
      <c r="K25" s="226"/>
      <c r="L25" s="226"/>
      <c r="M25" s="226" t="s">
        <v>1000</v>
      </c>
      <c r="N25" s="226"/>
      <c r="O25" s="226"/>
      <c r="P25" s="226"/>
      <c r="Q25" s="226"/>
      <c r="R25" s="226"/>
      <c r="S25" s="226"/>
      <c r="T25" s="226"/>
      <c r="U25" s="226" t="s">
        <v>1154</v>
      </c>
      <c r="V25" s="226"/>
      <c r="W25" s="226"/>
      <c r="X25" s="226"/>
      <c r="Y25" s="226"/>
      <c r="Z25" s="226"/>
      <c r="AA25" s="226"/>
      <c r="AB25" s="226"/>
      <c r="AC25" s="226"/>
      <c r="AD25" s="226" t="s">
        <v>1155</v>
      </c>
      <c r="AE25" s="226"/>
      <c r="AF25" s="226"/>
      <c r="AG25" s="226"/>
      <c r="AH25" s="226"/>
      <c r="AI25" s="227"/>
    </row>
    <row r="26" spans="2:35" ht="13.8" thickBot="1">
      <c r="B26" s="148"/>
      <c r="C26" s="190"/>
      <c r="D26" s="190"/>
      <c r="E26" s="190"/>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8"/>
    </row>
  </sheetData>
  <mergeCells count="63">
    <mergeCell ref="C26:L26"/>
    <mergeCell ref="M26:T26"/>
    <mergeCell ref="U26:AC26"/>
    <mergeCell ref="AD26:AI26"/>
    <mergeCell ref="C22:L22"/>
    <mergeCell ref="M22:T22"/>
    <mergeCell ref="U22:AC22"/>
    <mergeCell ref="AD22:AI22"/>
    <mergeCell ref="C25:L25"/>
    <mergeCell ref="M25:T25"/>
    <mergeCell ref="U25:AC25"/>
    <mergeCell ref="AD25:AI25"/>
    <mergeCell ref="AB16:AI17"/>
    <mergeCell ref="L17:U17"/>
    <mergeCell ref="C21:L21"/>
    <mergeCell ref="M21:T21"/>
    <mergeCell ref="U21:AC21"/>
    <mergeCell ref="AD21:AI21"/>
    <mergeCell ref="C15:K15"/>
    <mergeCell ref="L15:U15"/>
    <mergeCell ref="V15:X15"/>
    <mergeCell ref="Y15:AA15"/>
    <mergeCell ref="AB15:AI15"/>
    <mergeCell ref="B16:B17"/>
    <mergeCell ref="C16:K17"/>
    <mergeCell ref="L16:U16"/>
    <mergeCell ref="V16:X17"/>
    <mergeCell ref="Y16:AA17"/>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N2"/>
    <mergeCell ref="F3:H3"/>
    <mergeCell ref="I3:N3"/>
    <mergeCell ref="F4:H4"/>
    <mergeCell ref="I4:N4"/>
  </mergeCells>
  <phoneticPr fontId="3"/>
  <pageMargins left="0.7" right="0.7" top="0.75" bottom="0.75" header="0.3" footer="0.3"/>
  <pageSetup paperSize="9" orientation="portrait" verticalDpi="0"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C97C3-895D-4641-8A2A-5CFEEAFABCEF}">
  <sheetPr codeName="Sheet97"/>
  <dimension ref="B1:AK24"/>
  <sheetViews>
    <sheetView workbookViewId="0">
      <selection activeCell="I10" sqref="I10:P10"/>
    </sheetView>
  </sheetViews>
  <sheetFormatPr defaultColWidth="3.6640625" defaultRowHeight="13.2"/>
  <cols>
    <col min="1" max="16384" width="3.6640625" style="153"/>
  </cols>
  <sheetData>
    <row r="1" spans="2:37" ht="13.8" thickBot="1"/>
    <row r="2" spans="2:37">
      <c r="B2" s="205" t="s">
        <v>95</v>
      </c>
      <c r="C2" s="206"/>
      <c r="D2" s="206"/>
      <c r="E2" s="206"/>
      <c r="F2" s="211" t="s">
        <v>93</v>
      </c>
      <c r="G2" s="211"/>
      <c r="H2" s="212"/>
      <c r="I2" s="196" t="s">
        <v>1824</v>
      </c>
      <c r="J2" s="196"/>
      <c r="K2" s="196"/>
      <c r="L2" s="196"/>
      <c r="M2" s="197"/>
    </row>
    <row r="3" spans="2:37">
      <c r="B3" s="207"/>
      <c r="C3" s="208"/>
      <c r="D3" s="208"/>
      <c r="E3" s="208"/>
      <c r="F3" s="213" t="s">
        <v>10</v>
      </c>
      <c r="G3" s="213"/>
      <c r="H3" s="214"/>
      <c r="I3" s="189" t="s">
        <v>11</v>
      </c>
      <c r="J3" s="189"/>
      <c r="K3" s="189"/>
      <c r="L3" s="189"/>
      <c r="M3" s="191"/>
    </row>
    <row r="4" spans="2:37" ht="13.8" thickBot="1">
      <c r="B4" s="209"/>
      <c r="C4" s="210"/>
      <c r="D4" s="210"/>
      <c r="E4" s="210"/>
      <c r="F4" s="215" t="s">
        <v>94</v>
      </c>
      <c r="G4" s="215"/>
      <c r="H4" s="216"/>
      <c r="I4" s="190" t="s">
        <v>1823</v>
      </c>
      <c r="J4" s="190"/>
      <c r="K4" s="190"/>
      <c r="L4" s="190"/>
      <c r="M4" s="198"/>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154">
        <v>1</v>
      </c>
      <c r="C9" s="189" t="s">
        <v>1827</v>
      </c>
      <c r="D9" s="189"/>
      <c r="E9" s="189"/>
      <c r="F9" s="189"/>
      <c r="G9" s="189"/>
      <c r="H9" s="189"/>
      <c r="I9" s="189" t="s">
        <v>1826</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155">
        <v>2</v>
      </c>
      <c r="C10" s="190" t="s">
        <v>372</v>
      </c>
      <c r="D10" s="190"/>
      <c r="E10" s="190"/>
      <c r="F10" s="190"/>
      <c r="G10" s="190"/>
      <c r="H10" s="190"/>
      <c r="I10" s="190" t="s">
        <v>1825</v>
      </c>
      <c r="J10" s="190"/>
      <c r="K10" s="190"/>
      <c r="L10" s="190"/>
      <c r="M10" s="190"/>
      <c r="N10" s="190"/>
      <c r="O10" s="190"/>
      <c r="P10" s="190"/>
      <c r="Q10" s="190" t="s">
        <v>144</v>
      </c>
      <c r="R10" s="190"/>
      <c r="S10" s="190"/>
      <c r="T10" s="190"/>
      <c r="U10" s="190"/>
      <c r="V10" s="190"/>
      <c r="W10" s="190"/>
      <c r="X10" s="190"/>
      <c r="Y10" s="190"/>
      <c r="Z10" s="190"/>
      <c r="AA10" s="190"/>
      <c r="AB10" s="190"/>
      <c r="AC10" s="190"/>
      <c r="AD10" s="190"/>
      <c r="AE10" s="190"/>
      <c r="AF10" s="190"/>
      <c r="AG10" s="190"/>
      <c r="AH10" s="190"/>
      <c r="AI10" s="190"/>
      <c r="AJ10" s="190"/>
      <c r="AK10" s="198"/>
    </row>
    <row r="13" spans="2:37" ht="15" thickBot="1">
      <c r="B13" s="7" t="s">
        <v>994</v>
      </c>
    </row>
    <row r="14" spans="2:37">
      <c r="B14" s="6" t="s">
        <v>7</v>
      </c>
      <c r="C14" s="201" t="s">
        <v>998</v>
      </c>
      <c r="D14" s="201"/>
      <c r="E14" s="201"/>
      <c r="F14" s="201"/>
      <c r="G14" s="201"/>
      <c r="H14" s="201"/>
      <c r="I14" s="201"/>
      <c r="J14" s="201"/>
      <c r="K14" s="201"/>
      <c r="L14" s="201" t="s">
        <v>1000</v>
      </c>
      <c r="M14" s="201"/>
      <c r="N14" s="201"/>
      <c r="O14" s="201"/>
      <c r="P14" s="201"/>
      <c r="Q14" s="201"/>
      <c r="R14" s="201"/>
      <c r="S14" s="201"/>
      <c r="T14" s="201"/>
      <c r="U14" s="201"/>
      <c r="V14" s="201" t="s">
        <v>1002</v>
      </c>
      <c r="W14" s="201"/>
      <c r="X14" s="201"/>
      <c r="Y14" s="201" t="s">
        <v>1004</v>
      </c>
      <c r="Z14" s="201"/>
      <c r="AA14" s="201"/>
      <c r="AB14" s="201" t="s">
        <v>1005</v>
      </c>
      <c r="AC14" s="201"/>
      <c r="AD14" s="201"/>
      <c r="AE14" s="201"/>
      <c r="AF14" s="201"/>
      <c r="AG14" s="201"/>
      <c r="AH14" s="201"/>
      <c r="AI14" s="204"/>
    </row>
    <row r="15" spans="2:37" ht="13.8" thickBot="1">
      <c r="B15" s="9">
        <v>1</v>
      </c>
      <c r="C15" s="190" t="s">
        <v>1828</v>
      </c>
      <c r="D15" s="190"/>
      <c r="E15" s="190"/>
      <c r="F15" s="190"/>
      <c r="G15" s="190"/>
      <c r="H15" s="190"/>
      <c r="I15" s="190"/>
      <c r="J15" s="190"/>
      <c r="K15" s="190"/>
      <c r="L15" s="190" t="s">
        <v>1826</v>
      </c>
      <c r="M15" s="190"/>
      <c r="N15" s="190"/>
      <c r="O15" s="190"/>
      <c r="P15" s="190"/>
      <c r="Q15" s="190"/>
      <c r="R15" s="190"/>
      <c r="S15" s="190"/>
      <c r="T15" s="190"/>
      <c r="U15" s="190"/>
      <c r="V15" s="190" t="s">
        <v>151</v>
      </c>
      <c r="W15" s="190"/>
      <c r="X15" s="190"/>
      <c r="Y15" s="190" t="s">
        <v>151</v>
      </c>
      <c r="Z15" s="190"/>
      <c r="AA15" s="190"/>
      <c r="AB15" s="190"/>
      <c r="AC15" s="190"/>
      <c r="AD15" s="190"/>
      <c r="AE15" s="190"/>
      <c r="AF15" s="190"/>
      <c r="AG15" s="190"/>
      <c r="AH15" s="190"/>
      <c r="AI15" s="198"/>
    </row>
    <row r="16" spans="2:37">
      <c r="B16" s="8"/>
    </row>
    <row r="17" spans="2:35">
      <c r="B17" s="8"/>
    </row>
    <row r="18" spans="2:35" ht="15" thickBot="1">
      <c r="B18" s="7" t="s">
        <v>995</v>
      </c>
    </row>
    <row r="19" spans="2:35">
      <c r="B19" s="14" t="s">
        <v>7</v>
      </c>
      <c r="C19" s="226" t="s">
        <v>1070</v>
      </c>
      <c r="D19" s="226"/>
      <c r="E19" s="226"/>
      <c r="F19" s="226"/>
      <c r="G19" s="226"/>
      <c r="H19" s="226"/>
      <c r="I19" s="226"/>
      <c r="J19" s="226"/>
      <c r="K19" s="226"/>
      <c r="L19" s="226"/>
      <c r="M19" s="226" t="s">
        <v>1000</v>
      </c>
      <c r="N19" s="226"/>
      <c r="O19" s="226"/>
      <c r="P19" s="226"/>
      <c r="Q19" s="226"/>
      <c r="R19" s="226"/>
      <c r="S19" s="226"/>
      <c r="T19" s="226"/>
      <c r="U19" s="226" t="s">
        <v>1154</v>
      </c>
      <c r="V19" s="226"/>
      <c r="W19" s="226"/>
      <c r="X19" s="226"/>
      <c r="Y19" s="226"/>
      <c r="Z19" s="226"/>
      <c r="AA19" s="226"/>
      <c r="AB19" s="226"/>
      <c r="AC19" s="226"/>
      <c r="AD19" s="226" t="s">
        <v>1155</v>
      </c>
      <c r="AE19" s="226"/>
      <c r="AF19" s="226"/>
      <c r="AG19" s="226"/>
      <c r="AH19" s="226"/>
      <c r="AI19" s="227"/>
    </row>
    <row r="20" spans="2:35" ht="13.8" thickBot="1">
      <c r="B20" s="155"/>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8"/>
    </row>
    <row r="22" spans="2:35" ht="15" thickBot="1">
      <c r="B22" s="7" t="s">
        <v>996</v>
      </c>
    </row>
    <row r="23" spans="2:35">
      <c r="B23" s="14" t="s">
        <v>7</v>
      </c>
      <c r="C23" s="226" t="s">
        <v>1070</v>
      </c>
      <c r="D23" s="226"/>
      <c r="E23" s="226"/>
      <c r="F23" s="226"/>
      <c r="G23" s="226"/>
      <c r="H23" s="226"/>
      <c r="I23" s="226"/>
      <c r="J23" s="226"/>
      <c r="K23" s="226"/>
      <c r="L23" s="226"/>
      <c r="M23" s="226" t="s">
        <v>1000</v>
      </c>
      <c r="N23" s="226"/>
      <c r="O23" s="226"/>
      <c r="P23" s="226"/>
      <c r="Q23" s="226"/>
      <c r="R23" s="226"/>
      <c r="S23" s="226"/>
      <c r="T23" s="226"/>
      <c r="U23" s="226" t="s">
        <v>1154</v>
      </c>
      <c r="V23" s="226"/>
      <c r="W23" s="226"/>
      <c r="X23" s="226"/>
      <c r="Y23" s="226"/>
      <c r="Z23" s="226"/>
      <c r="AA23" s="226"/>
      <c r="AB23" s="226"/>
      <c r="AC23" s="226"/>
      <c r="AD23" s="226" t="s">
        <v>1155</v>
      </c>
      <c r="AE23" s="226"/>
      <c r="AF23" s="226"/>
      <c r="AG23" s="226"/>
      <c r="AH23" s="226"/>
      <c r="AI23" s="227"/>
    </row>
    <row r="24" spans="2:35" ht="13.8" thickBot="1">
      <c r="B24" s="155"/>
      <c r="C24" s="190"/>
      <c r="D24" s="190"/>
      <c r="E24" s="190"/>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8"/>
    </row>
  </sheetData>
  <mergeCells count="54">
    <mergeCell ref="B2:E4"/>
    <mergeCell ref="F2:H2"/>
    <mergeCell ref="I2:M2"/>
    <mergeCell ref="F3:H3"/>
    <mergeCell ref="I3:M3"/>
    <mergeCell ref="F4:H4"/>
    <mergeCell ref="I4:M4"/>
    <mergeCell ref="AE8:AK8"/>
    <mergeCell ref="C9:H9"/>
    <mergeCell ref="I9:P9"/>
    <mergeCell ref="Q9:X9"/>
    <mergeCell ref="Y9:Z9"/>
    <mergeCell ref="AA9:AB9"/>
    <mergeCell ref="AC9:AD9"/>
    <mergeCell ref="AE9:AK9"/>
    <mergeCell ref="C8:H8"/>
    <mergeCell ref="I8:P8"/>
    <mergeCell ref="Q8:X8"/>
    <mergeCell ref="Y8:Z8"/>
    <mergeCell ref="AA8:AB8"/>
    <mergeCell ref="AC8:AD8"/>
    <mergeCell ref="C19:L19"/>
    <mergeCell ref="M19:T19"/>
    <mergeCell ref="U19:AC19"/>
    <mergeCell ref="AD19:AI19"/>
    <mergeCell ref="AE10:AK10"/>
    <mergeCell ref="C14:K14"/>
    <mergeCell ref="L14:U14"/>
    <mergeCell ref="V14:X14"/>
    <mergeCell ref="Y14:AA14"/>
    <mergeCell ref="AB14:AI14"/>
    <mergeCell ref="C10:H10"/>
    <mergeCell ref="I10:P10"/>
    <mergeCell ref="Q10:X10"/>
    <mergeCell ref="Y10:Z10"/>
    <mergeCell ref="AA10:AB10"/>
    <mergeCell ref="AC10:AD10"/>
    <mergeCell ref="C15:K15"/>
    <mergeCell ref="L15:U15"/>
    <mergeCell ref="V15:X15"/>
    <mergeCell ref="Y15:AA15"/>
    <mergeCell ref="AB15:AI15"/>
    <mergeCell ref="C24:L24"/>
    <mergeCell ref="M24:T24"/>
    <mergeCell ref="U24:AC24"/>
    <mergeCell ref="AD24:AI24"/>
    <mergeCell ref="C20:L20"/>
    <mergeCell ref="M20:T20"/>
    <mergeCell ref="U20:AC20"/>
    <mergeCell ref="AD20:AI20"/>
    <mergeCell ref="C23:L23"/>
    <mergeCell ref="M23:T23"/>
    <mergeCell ref="U23:AC23"/>
    <mergeCell ref="AD23:AI23"/>
  </mergeCells>
  <phoneticPr fontId="3"/>
  <pageMargins left="0.7" right="0.7" top="0.75" bottom="0.75" header="0.3" footer="0.3"/>
  <pageSetup paperSize="9"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CDB0C-CAC4-4073-8A1B-1A793C9191B7}">
  <sheetPr codeName="Sheet98"/>
  <dimension ref="B1:AK23"/>
  <sheetViews>
    <sheetView workbookViewId="0">
      <selection activeCell="C9" sqref="C9:H9"/>
    </sheetView>
  </sheetViews>
  <sheetFormatPr defaultColWidth="3.6640625" defaultRowHeight="13.2"/>
  <cols>
    <col min="1" max="16384" width="3.6640625" style="177"/>
  </cols>
  <sheetData>
    <row r="1" spans="2:37" ht="13.8" thickBot="1"/>
    <row r="2" spans="2:37">
      <c r="B2" s="205" t="s">
        <v>95</v>
      </c>
      <c r="C2" s="206"/>
      <c r="D2" s="206"/>
      <c r="E2" s="206"/>
      <c r="F2" s="211" t="s">
        <v>93</v>
      </c>
      <c r="G2" s="211"/>
      <c r="H2" s="212"/>
      <c r="I2" s="344" t="s">
        <v>1932</v>
      </c>
      <c r="J2" s="345"/>
      <c r="K2" s="345"/>
      <c r="L2" s="345"/>
      <c r="M2" s="345"/>
      <c r="N2" s="345"/>
      <c r="O2" s="345"/>
      <c r="P2" s="345"/>
      <c r="Q2" s="346"/>
    </row>
    <row r="3" spans="2:37">
      <c r="B3" s="207"/>
      <c r="C3" s="208"/>
      <c r="D3" s="208"/>
      <c r="E3" s="208"/>
      <c r="F3" s="213" t="s">
        <v>10</v>
      </c>
      <c r="G3" s="213"/>
      <c r="H3" s="214"/>
      <c r="I3" s="240" t="s">
        <v>11</v>
      </c>
      <c r="J3" s="241"/>
      <c r="K3" s="241"/>
      <c r="L3" s="241"/>
      <c r="M3" s="241"/>
      <c r="N3" s="241"/>
      <c r="O3" s="241"/>
      <c r="P3" s="241"/>
      <c r="Q3" s="243"/>
    </row>
    <row r="4" spans="2:37" ht="13.8" thickBot="1">
      <c r="B4" s="209"/>
      <c r="C4" s="210"/>
      <c r="D4" s="210"/>
      <c r="E4" s="210"/>
      <c r="F4" s="215" t="s">
        <v>94</v>
      </c>
      <c r="G4" s="215"/>
      <c r="H4" s="216"/>
      <c r="I4" s="289" t="s">
        <v>1933</v>
      </c>
      <c r="J4" s="291"/>
      <c r="K4" s="291"/>
      <c r="L4" s="291"/>
      <c r="M4" s="291"/>
      <c r="N4" s="291"/>
      <c r="O4" s="291"/>
      <c r="P4" s="291"/>
      <c r="Q4" s="347"/>
    </row>
    <row r="7" spans="2:37" ht="15" thickBot="1">
      <c r="B7" s="7" t="s">
        <v>993</v>
      </c>
    </row>
    <row r="8" spans="2:37">
      <c r="B8" s="6" t="s">
        <v>7</v>
      </c>
      <c r="C8" s="201" t="s">
        <v>93</v>
      </c>
      <c r="D8" s="201"/>
      <c r="E8" s="201"/>
      <c r="F8" s="201"/>
      <c r="G8" s="201"/>
      <c r="H8" s="201"/>
      <c r="I8" s="201" t="s">
        <v>94</v>
      </c>
      <c r="J8" s="201"/>
      <c r="K8" s="201"/>
      <c r="L8" s="201"/>
      <c r="M8" s="201"/>
      <c r="N8" s="201"/>
      <c r="O8" s="201"/>
      <c r="P8" s="201"/>
      <c r="Q8" s="201" t="s">
        <v>140</v>
      </c>
      <c r="R8" s="201"/>
      <c r="S8" s="201"/>
      <c r="T8" s="201"/>
      <c r="U8" s="201"/>
      <c r="V8" s="201"/>
      <c r="W8" s="201"/>
      <c r="X8" s="201"/>
      <c r="Y8" s="202" t="s">
        <v>149</v>
      </c>
      <c r="Z8" s="203"/>
      <c r="AA8" s="202" t="s">
        <v>1179</v>
      </c>
      <c r="AB8" s="203"/>
      <c r="AC8" s="201" t="s">
        <v>150</v>
      </c>
      <c r="AD8" s="201"/>
      <c r="AE8" s="201" t="s">
        <v>152</v>
      </c>
      <c r="AF8" s="201"/>
      <c r="AG8" s="201"/>
      <c r="AH8" s="201"/>
      <c r="AI8" s="201"/>
      <c r="AJ8" s="201"/>
      <c r="AK8" s="204"/>
    </row>
    <row r="9" spans="2:37">
      <c r="B9" s="180">
        <v>1</v>
      </c>
      <c r="C9" s="189" t="s">
        <v>1939</v>
      </c>
      <c r="D9" s="189"/>
      <c r="E9" s="189"/>
      <c r="F9" s="189"/>
      <c r="G9" s="189"/>
      <c r="H9" s="189"/>
      <c r="I9" s="189" t="s">
        <v>1940</v>
      </c>
      <c r="J9" s="189"/>
      <c r="K9" s="189"/>
      <c r="L9" s="189"/>
      <c r="M9" s="189"/>
      <c r="N9" s="189"/>
      <c r="O9" s="189"/>
      <c r="P9" s="189"/>
      <c r="Q9" s="189" t="s">
        <v>146</v>
      </c>
      <c r="R9" s="189"/>
      <c r="S9" s="189"/>
      <c r="T9" s="189"/>
      <c r="U9" s="189"/>
      <c r="V9" s="189"/>
      <c r="W9" s="189"/>
      <c r="X9" s="189"/>
      <c r="Y9" s="189" t="s">
        <v>149</v>
      </c>
      <c r="Z9" s="189"/>
      <c r="AA9" s="189"/>
      <c r="AB9" s="189"/>
      <c r="AC9" s="189" t="s">
        <v>151</v>
      </c>
      <c r="AD9" s="189"/>
      <c r="AE9" s="189"/>
      <c r="AF9" s="189"/>
      <c r="AG9" s="189"/>
      <c r="AH9" s="189"/>
      <c r="AI9" s="189"/>
      <c r="AJ9" s="189"/>
      <c r="AK9" s="191"/>
    </row>
    <row r="10" spans="2:37" ht="13.8" thickBot="1">
      <c r="B10" s="16">
        <v>2</v>
      </c>
      <c r="C10" s="279" t="s">
        <v>1938</v>
      </c>
      <c r="D10" s="279"/>
      <c r="E10" s="279"/>
      <c r="F10" s="279"/>
      <c r="G10" s="279"/>
      <c r="H10" s="279"/>
      <c r="I10" s="279" t="s">
        <v>1941</v>
      </c>
      <c r="J10" s="279"/>
      <c r="K10" s="279"/>
      <c r="L10" s="279"/>
      <c r="M10" s="279"/>
      <c r="N10" s="279"/>
      <c r="O10" s="279"/>
      <c r="P10" s="279"/>
      <c r="Q10" s="279" t="s">
        <v>1189</v>
      </c>
      <c r="R10" s="279"/>
      <c r="S10" s="279"/>
      <c r="T10" s="279"/>
      <c r="U10" s="279"/>
      <c r="V10" s="279"/>
      <c r="W10" s="279"/>
      <c r="X10" s="279"/>
      <c r="Y10" s="279"/>
      <c r="Z10" s="279"/>
      <c r="AA10" s="279"/>
      <c r="AB10" s="279"/>
      <c r="AC10" s="279"/>
      <c r="AD10" s="279"/>
      <c r="AE10" s="279"/>
      <c r="AF10" s="279"/>
      <c r="AG10" s="279"/>
      <c r="AH10" s="279"/>
      <c r="AI10" s="279"/>
      <c r="AJ10" s="279"/>
      <c r="AK10" s="337"/>
    </row>
    <row r="13" spans="2:37" ht="15" thickBot="1">
      <c r="B13" s="7" t="s">
        <v>994</v>
      </c>
    </row>
    <row r="14" spans="2:37">
      <c r="B14" s="6" t="s">
        <v>7</v>
      </c>
      <c r="C14" s="201" t="s">
        <v>998</v>
      </c>
      <c r="D14" s="201"/>
      <c r="E14" s="201"/>
      <c r="F14" s="201"/>
      <c r="G14" s="201"/>
      <c r="H14" s="201"/>
      <c r="I14" s="201"/>
      <c r="J14" s="201"/>
      <c r="K14" s="201"/>
      <c r="L14" s="201" t="s">
        <v>1000</v>
      </c>
      <c r="M14" s="201"/>
      <c r="N14" s="201"/>
      <c r="O14" s="201"/>
      <c r="P14" s="201"/>
      <c r="Q14" s="201"/>
      <c r="R14" s="201"/>
      <c r="S14" s="201"/>
      <c r="T14" s="201"/>
      <c r="U14" s="201"/>
      <c r="V14" s="201" t="s">
        <v>1002</v>
      </c>
      <c r="W14" s="201"/>
      <c r="X14" s="201"/>
      <c r="Y14" s="201" t="s">
        <v>1004</v>
      </c>
      <c r="Z14" s="201"/>
      <c r="AA14" s="201"/>
      <c r="AB14" s="201" t="s">
        <v>1005</v>
      </c>
      <c r="AC14" s="201"/>
      <c r="AD14" s="201"/>
      <c r="AE14" s="201"/>
      <c r="AF14" s="201"/>
      <c r="AG14" s="201"/>
      <c r="AH14" s="201"/>
      <c r="AI14" s="204"/>
    </row>
    <row r="15" spans="2:37" ht="13.8" thickBot="1">
      <c r="B15" s="178">
        <v>1</v>
      </c>
      <c r="C15" s="333" t="s">
        <v>1942</v>
      </c>
      <c r="D15" s="334"/>
      <c r="E15" s="334"/>
      <c r="F15" s="334"/>
      <c r="G15" s="334"/>
      <c r="H15" s="334"/>
      <c r="I15" s="334"/>
      <c r="J15" s="334"/>
      <c r="K15" s="335"/>
      <c r="L15" s="190" t="s">
        <v>1940</v>
      </c>
      <c r="M15" s="190"/>
      <c r="N15" s="190"/>
      <c r="O15" s="190"/>
      <c r="P15" s="190"/>
      <c r="Q15" s="190"/>
      <c r="R15" s="190"/>
      <c r="S15" s="190"/>
      <c r="T15" s="190"/>
      <c r="U15" s="190"/>
      <c r="V15" s="333" t="s">
        <v>151</v>
      </c>
      <c r="W15" s="334"/>
      <c r="X15" s="335"/>
      <c r="Y15" s="333" t="s">
        <v>151</v>
      </c>
      <c r="Z15" s="334"/>
      <c r="AA15" s="335"/>
      <c r="AB15" s="333"/>
      <c r="AC15" s="334"/>
      <c r="AD15" s="334"/>
      <c r="AE15" s="334"/>
      <c r="AF15" s="334"/>
      <c r="AG15" s="334"/>
      <c r="AH15" s="334"/>
      <c r="AI15" s="336"/>
    </row>
    <row r="16" spans="2:37">
      <c r="B16" s="8"/>
    </row>
    <row r="17" spans="2:35" ht="15" thickBot="1">
      <c r="B17" s="7" t="s">
        <v>995</v>
      </c>
    </row>
    <row r="18" spans="2:35">
      <c r="B18" s="14" t="s">
        <v>7</v>
      </c>
      <c r="C18" s="226" t="s">
        <v>1070</v>
      </c>
      <c r="D18" s="226"/>
      <c r="E18" s="226"/>
      <c r="F18" s="226"/>
      <c r="G18" s="226"/>
      <c r="H18" s="226"/>
      <c r="I18" s="226"/>
      <c r="J18" s="226"/>
      <c r="K18" s="226"/>
      <c r="L18" s="226"/>
      <c r="M18" s="226" t="s">
        <v>1000</v>
      </c>
      <c r="N18" s="226"/>
      <c r="O18" s="226"/>
      <c r="P18" s="226"/>
      <c r="Q18" s="226"/>
      <c r="R18" s="226"/>
      <c r="S18" s="226"/>
      <c r="T18" s="226"/>
      <c r="U18" s="226" t="s">
        <v>1154</v>
      </c>
      <c r="V18" s="226"/>
      <c r="W18" s="226"/>
      <c r="X18" s="226"/>
      <c r="Y18" s="226"/>
      <c r="Z18" s="226"/>
      <c r="AA18" s="226"/>
      <c r="AB18" s="226"/>
      <c r="AC18" s="226"/>
      <c r="AD18" s="226" t="s">
        <v>1155</v>
      </c>
      <c r="AE18" s="226"/>
      <c r="AF18" s="226"/>
      <c r="AG18" s="226"/>
      <c r="AH18" s="226"/>
      <c r="AI18" s="227"/>
    </row>
    <row r="19" spans="2:35" ht="13.8" thickBot="1">
      <c r="B19" s="181"/>
      <c r="C19" s="190"/>
      <c r="D19" s="190"/>
      <c r="E19" s="190"/>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8"/>
    </row>
    <row r="21" spans="2:35" ht="15" thickBot="1">
      <c r="B21" s="7" t="s">
        <v>996</v>
      </c>
    </row>
    <row r="22" spans="2:35">
      <c r="B22" s="14" t="s">
        <v>7</v>
      </c>
      <c r="C22" s="226" t="s">
        <v>1070</v>
      </c>
      <c r="D22" s="226"/>
      <c r="E22" s="226"/>
      <c r="F22" s="226"/>
      <c r="G22" s="226"/>
      <c r="H22" s="226"/>
      <c r="I22" s="226"/>
      <c r="J22" s="226"/>
      <c r="K22" s="226"/>
      <c r="L22" s="226"/>
      <c r="M22" s="226" t="s">
        <v>1000</v>
      </c>
      <c r="N22" s="226"/>
      <c r="O22" s="226"/>
      <c r="P22" s="226"/>
      <c r="Q22" s="226"/>
      <c r="R22" s="226"/>
      <c r="S22" s="226"/>
      <c r="T22" s="226"/>
      <c r="U22" s="226" t="s">
        <v>1154</v>
      </c>
      <c r="V22" s="226"/>
      <c r="W22" s="226"/>
      <c r="X22" s="226"/>
      <c r="Y22" s="226"/>
      <c r="Z22" s="226"/>
      <c r="AA22" s="226"/>
      <c r="AB22" s="226"/>
      <c r="AC22" s="226"/>
      <c r="AD22" s="226" t="s">
        <v>1155</v>
      </c>
      <c r="AE22" s="226"/>
      <c r="AF22" s="226"/>
      <c r="AG22" s="226"/>
      <c r="AH22" s="226"/>
      <c r="AI22" s="227"/>
    </row>
    <row r="23" spans="2:35" ht="13.8" thickBot="1">
      <c r="B23" s="181"/>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8"/>
    </row>
  </sheetData>
  <mergeCells count="54">
    <mergeCell ref="B2:E4"/>
    <mergeCell ref="F2:H2"/>
    <mergeCell ref="F3:H3"/>
    <mergeCell ref="F4:H4"/>
    <mergeCell ref="I2:Q2"/>
    <mergeCell ref="I3:Q3"/>
    <mergeCell ref="I4:Q4"/>
    <mergeCell ref="AC10:AD10"/>
    <mergeCell ref="AE10:AK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C10:H10"/>
    <mergeCell ref="I10:P10"/>
    <mergeCell ref="Q10:X10"/>
    <mergeCell ref="Y10:Z10"/>
    <mergeCell ref="AA10:AB10"/>
    <mergeCell ref="C15:K15"/>
    <mergeCell ref="L15:U15"/>
    <mergeCell ref="V15:X15"/>
    <mergeCell ref="Y15:AA15"/>
    <mergeCell ref="AB15:AI15"/>
    <mergeCell ref="C14:K14"/>
    <mergeCell ref="L14:U14"/>
    <mergeCell ref="V14:X14"/>
    <mergeCell ref="Y14:AA14"/>
    <mergeCell ref="AB14:AI14"/>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101</vt:i4>
      </vt:variant>
      <vt:variant>
        <vt:lpstr>名前付き一覧</vt:lpstr>
      </vt:variant>
      <vt:variant>
        <vt:i4>30</vt:i4>
      </vt:variant>
    </vt:vector>
  </HeadingPairs>
  <TitlesOfParts>
    <vt:vector size="131" baseType="lpstr">
      <vt:lpstr>表紙</vt:lpstr>
      <vt:lpstr>改訂履歴</vt:lpstr>
      <vt:lpstr>改修内容</vt:lpstr>
      <vt:lpstr>オブジェクト一覧</vt:lpstr>
      <vt:lpstr>seq_businesscodeid</vt:lpstr>
      <vt:lpstr>seq_cacheid</vt:lpstr>
      <vt:lpstr>seq_moldreportrelationid</vt:lpstr>
      <vt:lpstr>m_accessipaddress</vt:lpstr>
      <vt:lpstr>m_adminfunction</vt:lpstr>
      <vt:lpstr>m_attribute</vt:lpstr>
      <vt:lpstr>m_attributerelation</vt:lpstr>
      <vt:lpstr>m_authoritygroup</vt:lpstr>
      <vt:lpstr>m_businesscode</vt:lpstr>
      <vt:lpstr>m_category</vt:lpstr>
      <vt:lpstr>m_certificateclass</vt:lpstr>
      <vt:lpstr>m_charactar</vt:lpstr>
      <vt:lpstr>m_closedday</vt:lpstr>
      <vt:lpstr>m_commonfunction</vt:lpstr>
      <vt:lpstr>m_company</vt:lpstr>
      <vt:lpstr>m_conversionclass</vt:lpstr>
      <vt:lpstr>m_copyright</vt:lpstr>
      <vt:lpstr>m_country</vt:lpstr>
      <vt:lpstr>m_deliverymethod</vt:lpstr>
      <vt:lpstr>m_estimate</vt:lpstr>
      <vt:lpstr>m_estimatedefault</vt:lpstr>
      <vt:lpstr>m_estimatestandardrate</vt:lpstr>
      <vt:lpstr>m_estimatestatus</vt:lpstr>
      <vt:lpstr>m_function</vt:lpstr>
      <vt:lpstr>m_functionauthority</vt:lpstr>
      <vt:lpstr>m_goodsplanprogress</vt:lpstr>
      <vt:lpstr>m_group</vt:lpstr>
      <vt:lpstr>m_grouprelation</vt:lpstr>
      <vt:lpstr>m_imagerelation</vt:lpstr>
      <vt:lpstr>m_mailform</vt:lpstr>
      <vt:lpstr>m_message</vt:lpstr>
      <vt:lpstr>m_mold</vt:lpstr>
      <vt:lpstr>m_moldreport</vt:lpstr>
      <vt:lpstr>m_monetaryrate</vt:lpstr>
      <vt:lpstr>m_monetaryrateclass</vt:lpstr>
      <vt:lpstr>m_monetaryunit</vt:lpstr>
      <vt:lpstr>m_order</vt:lpstr>
      <vt:lpstr>m_orderstatus</vt:lpstr>
      <vt:lpstr>m_organization</vt:lpstr>
      <vt:lpstr>m_paycondition</vt:lpstr>
      <vt:lpstr>m_product</vt:lpstr>
      <vt:lpstr>m_productform</vt:lpstr>
      <vt:lpstr>m_productprice</vt:lpstr>
      <vt:lpstr>m_productunit</vt:lpstr>
      <vt:lpstr>m_receive</vt:lpstr>
      <vt:lpstr>m_receivestatus</vt:lpstr>
      <vt:lpstr>m_reportclass</vt:lpstr>
      <vt:lpstr>m_sales</vt:lpstr>
      <vt:lpstr>m_salesclass</vt:lpstr>
      <vt:lpstr>m_salesdivision</vt:lpstr>
      <vt:lpstr>m_salesstatus</vt:lpstr>
      <vt:lpstr>m_stock</vt:lpstr>
      <vt:lpstr>m_stockclass</vt:lpstr>
      <vt:lpstr>m_stockitem</vt:lpstr>
      <vt:lpstr>m_stockstatus</vt:lpstr>
      <vt:lpstr>m_stocksubject</vt:lpstr>
      <vt:lpstr>m_systeminformation</vt:lpstr>
      <vt:lpstr>m_targetage</vt:lpstr>
      <vt:lpstr>m_tax</vt:lpstr>
      <vt:lpstr>m_taxclass</vt:lpstr>
      <vt:lpstr>m_user</vt:lpstr>
      <vt:lpstr>t_cache</vt:lpstr>
      <vt:lpstr>t_estimatedetail</vt:lpstr>
      <vt:lpstr>t_goodsplan</vt:lpstr>
      <vt:lpstr>t_image</vt:lpstr>
      <vt:lpstr>t_loginsession</vt:lpstr>
      <vt:lpstr>t_moldhistory</vt:lpstr>
      <vt:lpstr>t_moldreportdetail</vt:lpstr>
      <vt:lpstr>t_moldreportrelation</vt:lpstr>
      <vt:lpstr>t_orderdetail</vt:lpstr>
      <vt:lpstr>t_processinformation</vt:lpstr>
      <vt:lpstr>t_product</vt:lpstr>
      <vt:lpstr>t_receivedetail</vt:lpstr>
      <vt:lpstr>t_report</vt:lpstr>
      <vt:lpstr>t_salesdetail</vt:lpstr>
      <vt:lpstr>t_sequence</vt:lpstr>
      <vt:lpstr>t_stockdetail</vt:lpstr>
      <vt:lpstr>t_temp</vt:lpstr>
      <vt:lpstr>v_dayofweek</vt:lpstr>
      <vt:lpstr>v_line</vt:lpstr>
      <vt:lpstr>m_purchaseorder</vt:lpstr>
      <vt:lpstr>m_slip</vt:lpstr>
      <vt:lpstr>m_invoice</vt:lpstr>
      <vt:lpstr>m_slipkind</vt:lpstr>
      <vt:lpstr>m_slipkindrelation</vt:lpstr>
      <vt:lpstr>t_purchaseorderdetail</vt:lpstr>
      <vt:lpstr>t_slipdetail</vt:lpstr>
      <vt:lpstr>t_invoicedetail</vt:lpstr>
      <vt:lpstr>t_exclusivecontrol</vt:lpstr>
      <vt:lpstr>m_companyprintname</vt:lpstr>
      <vt:lpstr>m_salesclassdivisonlink</vt:lpstr>
      <vt:lpstr>m_signature</vt:lpstr>
      <vt:lpstr>m_paymentmethod</vt:lpstr>
      <vt:lpstr>m_groupattribute</vt:lpstr>
      <vt:lpstr>m_groupattributerelation</vt:lpstr>
      <vt:lpstr>m_stockcompanycode</vt:lpstr>
      <vt:lpstr>m_estimateareaclass</vt:lpstr>
      <vt:lpstr>cache_value</vt:lpstr>
      <vt:lpstr>DataType</vt:lpstr>
      <vt:lpstr>Default</vt:lpstr>
      <vt:lpstr>IDX_NO</vt:lpstr>
      <vt:lpstr>increment_by</vt:lpstr>
      <vt:lpstr>is_called</vt:lpstr>
      <vt:lpstr>is_cycled</vt:lpstr>
      <vt:lpstr>last_value</vt:lpstr>
      <vt:lpstr>log_cnt</vt:lpstr>
      <vt:lpstr>LogicalColumnName</vt:lpstr>
      <vt:lpstr>改訂履歴!logicalName</vt:lpstr>
      <vt:lpstr>LogicalObjectName</vt:lpstr>
      <vt:lpstr>max_value</vt:lpstr>
      <vt:lpstr>min_value</vt:lpstr>
      <vt:lpstr>NotNull</vt:lpstr>
      <vt:lpstr>オブジェクト一覧!OBJ_TYPE</vt:lpstr>
      <vt:lpstr>PhysicalColumnName</vt:lpstr>
      <vt:lpstr>PhysicalObjectName</vt:lpstr>
      <vt:lpstr>PK</vt:lpstr>
      <vt:lpstr>改訂履歴!Print_Titles</vt:lpstr>
      <vt:lpstr>改訂履歴!ReflectDate</vt:lpstr>
      <vt:lpstr>オブジェクト一覧!Schema_Name</vt:lpstr>
      <vt:lpstr>sequence_name</vt:lpstr>
      <vt:lpstr>オブジェクト一覧!Sheet_Name</vt:lpstr>
      <vt:lpstr>v_dayofweek!SQL</vt:lpstr>
      <vt:lpstr>v_line!SQL</vt:lpstr>
      <vt:lpstr>start_value</vt:lpstr>
      <vt:lpstr>改訂履歴!targetSchema</vt:lpstr>
      <vt:lpstr>改訂履歴!targetSheet</vt:lpstr>
      <vt:lpstr>改訂履歴!targetType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2019-10-15T06:21:32Z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8ea15bc7-ff13-4b7f-b990-cf40cba6ece1</vt:lpwstr>
  </property>
</Properties>
</file>