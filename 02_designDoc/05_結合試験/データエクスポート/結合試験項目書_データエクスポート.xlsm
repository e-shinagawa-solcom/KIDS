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3\開発\クワガタ\03_H30 KID'Sシステムリニューアル\05_結合試験\データエクスポート\"/>
    </mc:Choice>
  </mc:AlternateContent>
  <xr:revisionPtr revIDLastSave="0" documentId="8_{B755CE54-BC5A-439B-955A-AE35A7B049DE}" xr6:coauthVersionLast="40" xr6:coauthVersionMax="40" xr10:uidLastSave="{00000000-0000-0000-0000-000000000000}"/>
  <bookViews>
    <workbookView xWindow="0" yWindow="0" windowWidth="23040" windowHeight="8736" xr2:uid="{7855FBD0-5EC9-4DBA-9A4B-0C57305BA533}"/>
  </bookViews>
  <sheets>
    <sheet name="表紙" sheetId="9" r:id="rId1"/>
    <sheet name="データエクスポート" sheetId="1" r:id="rId2"/>
    <sheet name="LC予定表検索" sheetId="2" r:id="rId3"/>
    <sheet name="売上レシピ検索" sheetId="3" r:id="rId4"/>
    <sheet name="仕入一覧表検索" sheetId="4" r:id="rId5"/>
    <sheet name="Purchase recipe file検索" sheetId="5" r:id="rId6"/>
    <sheet name="見積原価書検索" sheetId="6" r:id="rId7"/>
    <sheet name="売上見込検索" sheetId="7" r:id="rId8"/>
    <sheet name="売上概算検索" sheetId="8" r:id="rId9"/>
  </sheets>
  <definedNames>
    <definedName name="comp_count" localSheetId="2">LC予定表検索!$C$3</definedName>
    <definedName name="comp_count" localSheetId="5">'Purchase recipe file検索'!$C$3</definedName>
    <definedName name="comp_count" localSheetId="1">データエクスポート!$C$3</definedName>
    <definedName name="comp_count" localSheetId="6">見積原価書検索!$C$3</definedName>
    <definedName name="comp_count" localSheetId="4">仕入一覧表検索!$C$3</definedName>
    <definedName name="comp_count" localSheetId="3">売上レシピ検索!$C$3</definedName>
    <definedName name="comp_count" localSheetId="8">売上概算検索!$C$3</definedName>
    <definedName name="comp_count" localSheetId="7">売上見込検索!$C$3</definedName>
    <definedName name="item_count" localSheetId="2">LC予定表検索!$C$2</definedName>
    <definedName name="item_count" localSheetId="5">'Purchase recipe file検索'!$C$2</definedName>
    <definedName name="item_count" localSheetId="1">データエクスポート!$C$2</definedName>
    <definedName name="item_count" localSheetId="6">見積原価書検索!$C$2</definedName>
    <definedName name="item_count" localSheetId="4">仕入一覧表検索!$C$2</definedName>
    <definedName name="item_count" localSheetId="3">売上レシピ検索!$C$2</definedName>
    <definedName name="item_count" localSheetId="8">売上概算検索!$C$2</definedName>
    <definedName name="item_count" localSheetId="7">売上見込検索!$C$2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9" i="8" l="1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C3" i="8"/>
  <c r="C2" i="8"/>
  <c r="C1" i="8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C3" i="7"/>
  <c r="C2" i="7"/>
  <c r="C1" i="7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C3" i="6"/>
  <c r="C2" i="6"/>
  <c r="C1" i="6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56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C3" i="5"/>
  <c r="C2" i="5"/>
  <c r="C1" i="5"/>
  <c r="A41" i="4" l="1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C3" i="4"/>
  <c r="C2" i="4"/>
  <c r="C1" i="4"/>
  <c r="A15" i="3"/>
  <c r="A18" i="3"/>
  <c r="A17" i="3"/>
  <c r="A16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4" i="3"/>
  <c r="A13" i="3"/>
  <c r="A12" i="3"/>
  <c r="A11" i="3"/>
  <c r="A10" i="3"/>
  <c r="A9" i="3"/>
  <c r="A8" i="3"/>
  <c r="A7" i="3"/>
  <c r="A6" i="3"/>
  <c r="C3" i="3"/>
  <c r="C2" i="3"/>
  <c r="C1" i="3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C3" i="2"/>
  <c r="C2" i="2"/>
  <c r="C1" i="2"/>
  <c r="A59" i="1" l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17" i="1"/>
  <c r="A18" i="1"/>
  <c r="A10" i="1"/>
  <c r="A16" i="1"/>
  <c r="A15" i="1"/>
  <c r="A14" i="1"/>
  <c r="A13" i="1"/>
  <c r="A11" i="1"/>
  <c r="A12" i="1"/>
  <c r="A45" i="1"/>
  <c r="A44" i="1"/>
  <c r="A35" i="1"/>
  <c r="A34" i="1"/>
  <c r="A33" i="1"/>
  <c r="A32" i="1"/>
  <c r="A31" i="1"/>
  <c r="A30" i="1"/>
  <c r="A29" i="1"/>
  <c r="A28" i="1"/>
  <c r="A39" i="1"/>
  <c r="A38" i="1"/>
  <c r="A37" i="1"/>
  <c r="A36" i="1"/>
  <c r="A41" i="1"/>
  <c r="A40" i="1"/>
  <c r="A43" i="1" l="1"/>
  <c r="A42" i="1"/>
  <c r="A27" i="1"/>
  <c r="A26" i="1"/>
  <c r="A25" i="1"/>
  <c r="A24" i="1"/>
  <c r="A23" i="1"/>
  <c r="A22" i="1"/>
  <c r="A21" i="1"/>
  <c r="A20" i="1"/>
  <c r="A19" i="1"/>
  <c r="A9" i="1"/>
  <c r="A8" i="1"/>
  <c r="A7" i="1"/>
  <c r="A6" i="1"/>
  <c r="C3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7664CD9C-C21C-4A40-A6E6-795B277D7FE6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EA50AE90-9E95-47BE-9971-B0F878BA26A3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15CCB369-4C3D-47CD-AB50-71A9BB3ACDC5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7488330C-13D9-44A9-A2A4-68EB03ED2C71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589CC985-1DE5-4429-97A1-80D5B0A9001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9E727D96-5EC8-47EE-AC00-B5EA7AC774FA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62BB221D-0F32-4E4F-939D-E86479B841BA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ECAA8271-0852-45D5-ABEE-36B7ECC0299B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28C0FB37-B047-4290-869D-6E443D550F40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26AA7C10-9702-4DD8-9237-EAC34B2A34F2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6CB77169-10D2-4A97-AB91-E089D528D546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C6E974F8-6DC0-4E30-A983-98F63243C88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4F520B60-3864-4B4B-9E8A-4889E6BBDE60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AA9B3780-0394-4D29-BB82-579EE9A8888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<sst xmlns="http://schemas.openxmlformats.org/spreadsheetml/2006/main" count="410" uniqueCount="143">
  <si>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</si>
  <si>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</si>
  <si>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</si>
  <si>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</si>
  <si>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</si>
  <si>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</si>
  <si>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</si>
  <si>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</si>
  <si>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</si>
  <si>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</si>
  <si>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</si>
  <si>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</si>
  <si>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</si>
  <si>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各ボタン動作確認</t>
    <rPh sb="0" eb="1">
      <t>カク</t>
    </rPh>
    <rPh sb="4" eb="6">
      <t>ドウサ</t>
    </rPh>
    <rPh sb="6" eb="8">
      <t>カクニン</t>
    </rPh>
    <phoneticPr fontId="1"/>
  </si>
  <si>
    <t>画面表示</t>
    <rPh sb="0" eb="2">
      <t>ガメン</t>
    </rPh>
    <rPh sb="2" eb="4">
      <t>ヒョウジ</t>
    </rPh>
    <phoneticPr fontId="1"/>
  </si>
  <si>
    <t>データエクスポートボタンを押下し、データエクスポート画面を表示させる。</t>
    <rPh sb="13" eb="15">
      <t>オウカ</t>
    </rPh>
    <rPh sb="26" eb="28">
      <t>ガメン</t>
    </rPh>
    <rPh sb="29" eb="31">
      <t>ヒョウジ</t>
    </rPh>
    <phoneticPr fontId="1"/>
  </si>
  <si>
    <t>現行と同等の画面で表示されていること。</t>
    <rPh sb="0" eb="2">
      <t>ゲンコウ</t>
    </rPh>
    <rPh sb="3" eb="5">
      <t>ドウトウ</t>
    </rPh>
    <rPh sb="6" eb="8">
      <t>ガメン</t>
    </rPh>
    <rPh sb="9" eb="11">
      <t>ヒョウジ</t>
    </rPh>
    <phoneticPr fontId="1"/>
  </si>
  <si>
    <t>以下のURLをブラウザで開き、トップページを表示する。
http://192.168.1.113</t>
    <rPh sb="0" eb="2">
      <t>イカ</t>
    </rPh>
    <rPh sb="12" eb="13">
      <t>ヒラ</t>
    </rPh>
    <rPh sb="22" eb="24">
      <t>ヒョウジ</t>
    </rPh>
    <phoneticPr fontId="1"/>
  </si>
  <si>
    <t>enterボタンを押下し、ログイン画面を表示する。</t>
    <rPh sb="9" eb="11">
      <t>オウカ</t>
    </rPh>
    <rPh sb="17" eb="19">
      <t>ガメン</t>
    </rPh>
    <rPh sb="20" eb="22">
      <t>ヒョウジ</t>
    </rPh>
    <phoneticPr fontId="1"/>
  </si>
  <si>
    <t>「発注管理」の行の「選択」ボタンを押下する。</t>
    <rPh sb="1" eb="3">
      <t>ハッチュウ</t>
    </rPh>
    <rPh sb="3" eb="5">
      <t>カンリ</t>
    </rPh>
    <rPh sb="7" eb="8">
      <t>ギョウ</t>
    </rPh>
    <rPh sb="10" eb="12">
      <t>センタク</t>
    </rPh>
    <rPh sb="17" eb="19">
      <t>オウカ</t>
    </rPh>
    <phoneticPr fontId="1"/>
  </si>
  <si>
    <t>L/C予定表検索画面が表示されること。</t>
    <rPh sb="3" eb="6">
      <t>ヨテイヒョウ</t>
    </rPh>
    <rPh sb="6" eb="8">
      <t>ケンサク</t>
    </rPh>
    <rPh sb="8" eb="10">
      <t>ガメン</t>
    </rPh>
    <rPh sb="11" eb="13">
      <t>ヒョウジ</t>
    </rPh>
    <phoneticPr fontId="1"/>
  </si>
  <si>
    <t>ナビゲーション画面を開き、「データ一覧」ボタンを押下する。</t>
    <rPh sb="7" eb="9">
      <t>ガメン</t>
    </rPh>
    <rPh sb="10" eb="11">
      <t>ヒラ</t>
    </rPh>
    <rPh sb="17" eb="19">
      <t>イチラン</t>
    </rPh>
    <rPh sb="24" eb="26">
      <t>オウカ</t>
    </rPh>
    <phoneticPr fontId="1"/>
  </si>
  <si>
    <t>データエクスポート画面が表示されること。</t>
    <rPh sb="12" eb="14">
      <t>ヒョウジ</t>
    </rPh>
    <phoneticPr fontId="1"/>
  </si>
  <si>
    <t>売上レシピ検索画面が表示されること。</t>
    <rPh sb="0" eb="2">
      <t>ウリアゲ</t>
    </rPh>
    <rPh sb="5" eb="7">
      <t>ケンサク</t>
    </rPh>
    <rPh sb="7" eb="9">
      <t>ガメン</t>
    </rPh>
    <rPh sb="10" eb="12">
      <t>ヒョウジ</t>
    </rPh>
    <phoneticPr fontId="1"/>
  </si>
  <si>
    <t>「売上管理」の行の「選択」ボタンを押下する。</t>
    <rPh sb="1" eb="3">
      <t>ウリアゲ</t>
    </rPh>
    <rPh sb="3" eb="5">
      <t>カンリ</t>
    </rPh>
    <rPh sb="7" eb="8">
      <t>ギョウ</t>
    </rPh>
    <rPh sb="10" eb="12">
      <t>センタク</t>
    </rPh>
    <rPh sb="17" eb="19">
      <t>オウカ</t>
    </rPh>
    <phoneticPr fontId="1"/>
  </si>
  <si>
    <t>「仕入管理」「仕入一覧表」の行の「選択」ボタンを押下する。</t>
    <rPh sb="1" eb="3">
      <t>シイレ</t>
    </rPh>
    <rPh sb="3" eb="5">
      <t>カンリ</t>
    </rPh>
    <rPh sb="7" eb="9">
      <t>シイレ</t>
    </rPh>
    <rPh sb="9" eb="11">
      <t>イチラン</t>
    </rPh>
    <rPh sb="11" eb="12">
      <t>ヒョウ</t>
    </rPh>
    <rPh sb="14" eb="15">
      <t>ギョウ</t>
    </rPh>
    <rPh sb="17" eb="19">
      <t>センタク</t>
    </rPh>
    <rPh sb="24" eb="26">
      <t>オウカ</t>
    </rPh>
    <phoneticPr fontId="1"/>
  </si>
  <si>
    <t>仕入一覧表検索画面が表示されること。</t>
    <rPh sb="0" eb="2">
      <t>シイレ</t>
    </rPh>
    <rPh sb="2" eb="4">
      <t>イチラン</t>
    </rPh>
    <rPh sb="4" eb="5">
      <t>ヒョウ</t>
    </rPh>
    <rPh sb="5" eb="7">
      <t>ケンサク</t>
    </rPh>
    <rPh sb="7" eb="9">
      <t>ガメン</t>
    </rPh>
    <rPh sb="10" eb="12">
      <t>ヒョウジ</t>
    </rPh>
    <phoneticPr fontId="1"/>
  </si>
  <si>
    <t>「仕入管理」「Purchase recipe file」の行の「選択」ボタンを押下する。</t>
    <rPh sb="1" eb="3">
      <t>シイレ</t>
    </rPh>
    <rPh sb="3" eb="5">
      <t>カンリ</t>
    </rPh>
    <rPh sb="29" eb="30">
      <t>ギョウ</t>
    </rPh>
    <rPh sb="32" eb="34">
      <t>センタク</t>
    </rPh>
    <rPh sb="39" eb="41">
      <t>オウカ</t>
    </rPh>
    <phoneticPr fontId="1"/>
  </si>
  <si>
    <t>Purchase recipe file検索画面が表示されること。</t>
    <rPh sb="20" eb="22">
      <t>ケンサク</t>
    </rPh>
    <rPh sb="22" eb="24">
      <t>ガメン</t>
    </rPh>
    <rPh sb="25" eb="27">
      <t>ヒョウジ</t>
    </rPh>
    <phoneticPr fontId="1"/>
  </si>
  <si>
    <t>「見積原価管理」の行の「選択」ボタンを押下する。</t>
    <rPh sb="1" eb="3">
      <t>ミツモリ</t>
    </rPh>
    <rPh sb="3" eb="5">
      <t>ゲンカ</t>
    </rPh>
    <rPh sb="5" eb="7">
      <t>カンリ</t>
    </rPh>
    <rPh sb="9" eb="10">
      <t>ギョウ</t>
    </rPh>
    <rPh sb="12" eb="14">
      <t>センタク</t>
    </rPh>
    <rPh sb="19" eb="21">
      <t>オウカ</t>
    </rPh>
    <phoneticPr fontId="1"/>
  </si>
  <si>
    <t>見積原価書検索画面が表示されること。</t>
    <rPh sb="0" eb="2">
      <t>ミツモリ</t>
    </rPh>
    <rPh sb="2" eb="4">
      <t>ゲンカ</t>
    </rPh>
    <rPh sb="4" eb="5">
      <t>ショ</t>
    </rPh>
    <rPh sb="5" eb="7">
      <t>ケンサク</t>
    </rPh>
    <rPh sb="7" eb="9">
      <t>ガメン</t>
    </rPh>
    <rPh sb="10" eb="12">
      <t>ヒョウジ</t>
    </rPh>
    <phoneticPr fontId="1"/>
  </si>
  <si>
    <t>「社内統計データ」「売上見込」の行の「選択」ボタンを押下する。</t>
    <rPh sb="1" eb="3">
      <t>シャナイ</t>
    </rPh>
    <rPh sb="3" eb="5">
      <t>トウケイ</t>
    </rPh>
    <rPh sb="10" eb="12">
      <t>ウリアゲ</t>
    </rPh>
    <rPh sb="12" eb="14">
      <t>ミコ</t>
    </rPh>
    <rPh sb="16" eb="17">
      <t>ギョウ</t>
    </rPh>
    <rPh sb="19" eb="21">
      <t>センタク</t>
    </rPh>
    <rPh sb="26" eb="28">
      <t>オウカ</t>
    </rPh>
    <phoneticPr fontId="1"/>
  </si>
  <si>
    <t>社内統計データ 01(売上見込)検索画面が表示されること。</t>
    <rPh sb="0" eb="2">
      <t>シャナイ</t>
    </rPh>
    <rPh sb="2" eb="4">
      <t>トウケイ</t>
    </rPh>
    <rPh sb="11" eb="13">
      <t>ウリアゲ</t>
    </rPh>
    <rPh sb="13" eb="15">
      <t>ミコ</t>
    </rPh>
    <rPh sb="16" eb="18">
      <t>ケンサク</t>
    </rPh>
    <rPh sb="18" eb="20">
      <t>ガメン</t>
    </rPh>
    <rPh sb="21" eb="23">
      <t>ヒョウジ</t>
    </rPh>
    <phoneticPr fontId="1"/>
  </si>
  <si>
    <t>「社内統計データ」「概算売上」の行の「選択」ボタンを押下する。</t>
    <rPh sb="1" eb="3">
      <t>シャナイ</t>
    </rPh>
    <rPh sb="3" eb="5">
      <t>トウケイ</t>
    </rPh>
    <rPh sb="10" eb="12">
      <t>ガイサン</t>
    </rPh>
    <rPh sb="12" eb="14">
      <t>ウリアゲ</t>
    </rPh>
    <rPh sb="16" eb="17">
      <t>ギョウ</t>
    </rPh>
    <rPh sb="19" eb="21">
      <t>センタク</t>
    </rPh>
    <rPh sb="26" eb="28">
      <t>オウカ</t>
    </rPh>
    <phoneticPr fontId="1"/>
  </si>
  <si>
    <t>社内統計データ 02(概算売上)検索画面が表示されること。</t>
    <rPh sb="0" eb="2">
      <t>シャナイ</t>
    </rPh>
    <rPh sb="2" eb="4">
      <t>トウケイ</t>
    </rPh>
    <rPh sb="11" eb="13">
      <t>ガイサン</t>
    </rPh>
    <rPh sb="13" eb="15">
      <t>ウリアゲ</t>
    </rPh>
    <rPh sb="16" eb="18">
      <t>ケンサク</t>
    </rPh>
    <rPh sb="18" eb="20">
      <t>ガメン</t>
    </rPh>
    <rPh sb="21" eb="23">
      <t>ヒョウジ</t>
    </rPh>
    <phoneticPr fontId="1"/>
  </si>
  <si>
    <t>「商品計画書データ」の行の「選択」ボタンを押下する。</t>
    <rPh sb="1" eb="3">
      <t>ショウヒン</t>
    </rPh>
    <rPh sb="3" eb="5">
      <t>ケイカク</t>
    </rPh>
    <rPh sb="5" eb="6">
      <t>ショ</t>
    </rPh>
    <rPh sb="11" eb="12">
      <t>ギョウ</t>
    </rPh>
    <rPh sb="14" eb="16">
      <t>センタク</t>
    </rPh>
    <rPh sb="21" eb="23">
      <t>オウカ</t>
    </rPh>
    <phoneticPr fontId="1"/>
  </si>
  <si>
    <t>商品検索書検索画面が表示されること。</t>
    <rPh sb="0" eb="2">
      <t>ショウヒン</t>
    </rPh>
    <rPh sb="2" eb="4">
      <t>ケンサク</t>
    </rPh>
    <rPh sb="4" eb="5">
      <t>ショ</t>
    </rPh>
    <rPh sb="5" eb="7">
      <t>ケンサク</t>
    </rPh>
    <rPh sb="7" eb="9">
      <t>ガメン</t>
    </rPh>
    <rPh sb="10" eb="12">
      <t>ヒョウジ</t>
    </rPh>
    <phoneticPr fontId="1"/>
  </si>
  <si>
    <t>「発注管理」の行の「選択」ボタンを押下し、L/C予定表検索画面を表示させる。</t>
    <rPh sb="1" eb="3">
      <t>ハッチュウ</t>
    </rPh>
    <rPh sb="3" eb="5">
      <t>カンリ</t>
    </rPh>
    <rPh sb="7" eb="8">
      <t>ギョウ</t>
    </rPh>
    <rPh sb="10" eb="12">
      <t>センタク</t>
    </rPh>
    <rPh sb="17" eb="19">
      <t>オウカ</t>
    </rPh>
    <rPh sb="24" eb="27">
      <t>ヨテイヒョウ</t>
    </rPh>
    <rPh sb="27" eb="29">
      <t>ケンサク</t>
    </rPh>
    <rPh sb="29" eb="31">
      <t>ガメン</t>
    </rPh>
    <rPh sb="32" eb="34">
      <t>ヒョウジ</t>
    </rPh>
    <phoneticPr fontId="1"/>
  </si>
  <si>
    <t xml:space="preserve">画面に以下の値を入力する。
　設定日(FROM)：2014/03/03
　設定日(TO)：2014/03/03
　発注No(FROM)：（未入力）
　発注No(TO)：（未入力）
　L/C予定表：チェックON
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セッテイ</t>
    </rPh>
    <rPh sb="17" eb="18">
      <t>ビ</t>
    </rPh>
    <rPh sb="57" eb="59">
      <t>ハッチュウ</t>
    </rPh>
    <rPh sb="69" eb="72">
      <t>ミニュウリョク</t>
    </rPh>
    <rPh sb="94" eb="97">
      <t>ヨテイヒョウ</t>
    </rPh>
    <phoneticPr fontId="1"/>
  </si>
  <si>
    <t>現行と同等のレイアウト、スタイルで表示されていること。</t>
    <rPh sb="0" eb="2">
      <t>ゲンコウ</t>
    </rPh>
    <rPh sb="3" eb="5">
      <t>ドウトウ</t>
    </rPh>
    <rPh sb="17" eb="19">
      <t>ヒョウジ</t>
    </rPh>
    <phoneticPr fontId="1"/>
  </si>
  <si>
    <t>プレビュー画面が別画面で表示されること。</t>
    <rPh sb="5" eb="7">
      <t>ガメン</t>
    </rPh>
    <rPh sb="8" eb="9">
      <t>ベツ</t>
    </rPh>
    <rPh sb="9" eb="11">
      <t>ガメン</t>
    </rPh>
    <rPh sb="12" eb="14">
      <t>ヒョウジ</t>
    </rPh>
    <phoneticPr fontId="1"/>
  </si>
  <si>
    <t>L/C予定表検索画面が操作可能な状況であること。</t>
    <rPh sb="11" eb="13">
      <t>ソウサ</t>
    </rPh>
    <rPh sb="13" eb="15">
      <t>カノウ</t>
    </rPh>
    <rPh sb="16" eb="18">
      <t>ジョウキョウ</t>
    </rPh>
    <phoneticPr fontId="1"/>
  </si>
  <si>
    <t>L/C予定表検索画面の状態に変化がないこと。</t>
    <rPh sb="11" eb="13">
      <t>ジョウタイ</t>
    </rPh>
    <rPh sb="14" eb="16">
      <t>ヘンカ</t>
    </rPh>
    <phoneticPr fontId="1"/>
  </si>
  <si>
    <t>EXPORTボタンを押下する。</t>
    <rPh sb="10" eb="12">
      <t>オウカ</t>
    </rPh>
    <phoneticPr fontId="1"/>
  </si>
  <si>
    <t>ファイルダウンロードダイアログが表示されること。</t>
    <rPh sb="16" eb="18">
      <t>ヒョウジ</t>
    </rPh>
    <phoneticPr fontId="1"/>
  </si>
  <si>
    <t>ファイルダウンロードダイアログでフォルダ名、ファイル名を以下のように指定してファイルを保存する。
フォルダ名：「マイドキュメント」
ファイル名：LC_new.tsv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</si>
  <si>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「マイドキュメント」フォルダにLC_new.tsvファイルが存在すること。</t>
    <rPh sb="30" eb="32">
      <t>ソンザイ</t>
    </rPh>
    <phoneticPr fontId="1"/>
  </si>
  <si>
    <t>現行システムでも同一条件でL/C予定表検索を行い、以下のフォルダ名、ファイル名でエクスポートする。
フォルダ名：「マイドキュメント」
ファイル名：LC_org.tsv</t>
    <rPh sb="0" eb="2">
      <t>ゲンコウ</t>
    </rPh>
    <rPh sb="8" eb="10">
      <t>ドウイツ</t>
    </rPh>
    <rPh sb="10" eb="12">
      <t>ジョウケン</t>
    </rPh>
    <rPh sb="16" eb="19">
      <t>ヨテイヒョウ</t>
    </rPh>
    <rPh sb="19" eb="21">
      <t>ケンサク</t>
    </rPh>
    <rPh sb="22" eb="23">
      <t>オコナ</t>
    </rPh>
    <rPh sb="25" eb="27">
      <t>イカ</t>
    </rPh>
    <rPh sb="32" eb="33">
      <t>メイ</t>
    </rPh>
    <rPh sb="38" eb="39">
      <t>メイ</t>
    </rPh>
    <phoneticPr fontId="1"/>
  </si>
  <si>
    <t>LC_org.tsvとLC_new.tsvの内容に相違がないこと。</t>
    <rPh sb="22" eb="24">
      <t>ナイヨウ</t>
    </rPh>
    <rPh sb="25" eb="27">
      <t>ソウイ</t>
    </rPh>
    <phoneticPr fontId="1"/>
  </si>
  <si>
    <t>「売上管理」の行の「選択」ボタンを押下し、売上レシピ検索画面を表示させる。</t>
    <rPh sb="1" eb="3">
      <t>ウリアゲ</t>
    </rPh>
    <rPh sb="3" eb="5">
      <t>カンリ</t>
    </rPh>
    <rPh sb="7" eb="8">
      <t>ギョウ</t>
    </rPh>
    <rPh sb="10" eb="12">
      <t>センタク</t>
    </rPh>
    <rPh sb="17" eb="19">
      <t>オウカ</t>
    </rPh>
    <rPh sb="21" eb="23">
      <t>ウリアゲ</t>
    </rPh>
    <rPh sb="26" eb="28">
      <t>ケンサク</t>
    </rPh>
    <rPh sb="28" eb="30">
      <t>ガメン</t>
    </rPh>
    <rPh sb="31" eb="33">
      <t>ヒョウジ</t>
    </rPh>
    <phoneticPr fontId="1"/>
  </si>
  <si>
    <t>画面に以下の値を入力する。
　売上計上日(FROM)：2014/03/01
　売上計上日(TO)：2014/03/01
　部門・顧客別：チェックON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ウリアゲ</t>
    </rPh>
    <rPh sb="17" eb="20">
      <t>ケイジョウビ</t>
    </rPh>
    <phoneticPr fontId="1"/>
  </si>
  <si>
    <t>「タブ区切りファイル」のPREVIEWボタンを押下する。</t>
    <rPh sb="3" eb="5">
      <t>クギ</t>
    </rPh>
    <rPh sb="23" eb="25">
      <t>オウカ</t>
    </rPh>
    <phoneticPr fontId="1"/>
  </si>
  <si>
    <t>「Excelファイル」のPREVIEWボタンを押下する。</t>
    <rPh sb="23" eb="25">
      <t>オウカ</t>
    </rPh>
    <phoneticPr fontId="1"/>
  </si>
  <si>
    <t>PREVIEW画面をブラウザの×ボタンで閉じる。</t>
    <rPh sb="7" eb="9">
      <t>ガメン</t>
    </rPh>
    <rPh sb="20" eb="21">
      <t>ト</t>
    </rPh>
    <phoneticPr fontId="1"/>
  </si>
  <si>
    <t>PREVIEWボタンを押下する。</t>
    <rPh sb="11" eb="13">
      <t>オウカ</t>
    </rPh>
    <phoneticPr fontId="1"/>
  </si>
  <si>
    <t>「タブ区切りファイル」のEXPORTボタンを押下する。</t>
    <rPh sb="22" eb="24">
      <t>オウカ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</si>
  <si>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ファイル名：sales_receipt_new1.tsv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</si>
  <si>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現行システムでも同一条件で売上レシピ検索を行い、以下のフォルダ名、ファイル名でtsvファイルをエクスポートする。
フォルダ名：「マイドキュメント」
ファイル名：sales_receipt_org1.tsv</t>
    <rPh sb="0" eb="2">
      <t>ゲンコウ</t>
    </rPh>
    <rPh sb="8" eb="10">
      <t>ドウイツ</t>
    </rPh>
    <rPh sb="10" eb="12">
      <t>ジョウケン</t>
    </rPh>
    <rPh sb="13" eb="15">
      <t>ウリアゲ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</si>
  <si>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「マイドキュメント」フォルダにsales_receipt_new1.tsvファイルが存在すること。</t>
    <rPh sb="42" eb="44">
      <t>ソンザイ</t>
    </rPh>
    <phoneticPr fontId="1"/>
  </si>
  <si>
    <t>sales_receipt_org1.tsvとsales_receipt_new1.tsvの内容に相違がないこと。</t>
    <rPh sb="46" eb="48">
      <t>ナイヨウ</t>
    </rPh>
    <rPh sb="49" eb="51">
      <t>ソウイ</t>
    </rPh>
    <phoneticPr fontId="1"/>
  </si>
  <si>
    <t>「Excelファイル」のEXPORTボタンを押下する。</t>
    <rPh sb="22" eb="24">
      <t>オウカ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</si>
  <si>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ファイル名：sales_receipt_new1.xls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</si>
  <si>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現行システムでも同一条件で売上レシピ検索を行い、以下のフォルダ名、ファイル名でtsvファイルをエクスポートする。
フォルダ名：「マイドキュメント」
ファイル名：sales_receipt_org1.xls</t>
    <rPh sb="0" eb="2">
      <t>ゲンコウ</t>
    </rPh>
    <rPh sb="8" eb="10">
      <t>ドウイツ</t>
    </rPh>
    <rPh sb="10" eb="12">
      <t>ジョウケン</t>
    </rPh>
    <rPh sb="13" eb="15">
      <t>ウリアゲ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</si>
  <si>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「マイドキュメント」フォルダにsales_receipt_new1.xlsファイルが存在すること。</t>
    <rPh sb="42" eb="44">
      <t>ソンザイ</t>
    </rPh>
    <phoneticPr fontId="1"/>
  </si>
  <si>
    <t>sales_receipt_org1.xlsとsales_receipt_new1.xlsの内容に相違がないこと。</t>
    <rPh sb="46" eb="48">
      <t>ナイヨウ</t>
    </rPh>
    <rPh sb="49" eb="51">
      <t>ソウイ</t>
    </rPh>
    <phoneticPr fontId="1"/>
  </si>
  <si>
    <t>画面に以下の値を入力する。
　売上計上日(FROM)：2014/03/01
　売上計上日(TO)：2014/03/01
　部門・製品別：チェックON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ウリアゲ</t>
    </rPh>
    <rPh sb="17" eb="20">
      <t>ケイジョウビ</t>
    </rPh>
    <rPh sb="64" eb="66">
      <t>セイヒン</t>
    </rPh>
    <phoneticPr fontId="1"/>
  </si>
  <si>
    <t>売上レシピ検索画面が操作可能な状況であること。</t>
    <rPh sb="0" eb="2">
      <t>ウリアゲ</t>
    </rPh>
    <rPh sb="10" eb="12">
      <t>ソウサ</t>
    </rPh>
    <rPh sb="12" eb="14">
      <t>カノウ</t>
    </rPh>
    <rPh sb="15" eb="17">
      <t>ジョウキョウ</t>
    </rPh>
    <phoneticPr fontId="1"/>
  </si>
  <si>
    <t>売上レシピ検索画面の状態に変化がないこと。</t>
    <rPh sb="0" eb="2">
      <t>ウリアゲ</t>
    </rPh>
    <rPh sb="10" eb="12">
      <t>ジョウタイ</t>
    </rPh>
    <rPh sb="13" eb="15">
      <t>ヘンカ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</si>
  <si>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ファイル名：sales_receipt_new2.tsv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</si>
  <si>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「マイドキュメント」フォルダにsales_receipt_new2.tsvファイルが存在すること。</t>
    <rPh sb="42" eb="44">
      <t>ソンザイ</t>
    </rPh>
    <phoneticPr fontId="1"/>
  </si>
  <si>
    <t>現行システムでも同一条件で売上レシピ検索を行い、以下のフォルダ名、ファイル名でtsvファイルをエクスポートする。
フォルダ名：「マイドキュメント」
ファイル名：sales_receipt_org2.tsv</t>
    <rPh sb="0" eb="2">
      <t>ゲンコウ</t>
    </rPh>
    <rPh sb="8" eb="10">
      <t>ドウイツ</t>
    </rPh>
    <rPh sb="10" eb="12">
      <t>ジョウケン</t>
    </rPh>
    <rPh sb="13" eb="15">
      <t>ウリアゲ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</si>
  <si>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sales_receipt_org2.tsvとsales_receipt_new2.tsvの内容に相違がないこと。</t>
    <rPh sb="46" eb="48">
      <t>ナイヨウ</t>
    </rPh>
    <rPh sb="49" eb="51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</si>
  <si>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ファイル名：sales_receipt_new2.xls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</si>
  <si>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「マイドキュメント」フォルダにsales_receipt_new2.xlsファイルが存在すること。</t>
    <rPh sb="42" eb="44">
      <t>ソンザイ</t>
    </rPh>
    <phoneticPr fontId="1"/>
  </si>
  <si>
    <t>現行システムでも同一条件で売上レシピ検索を行い、以下のフォルダ名、ファイル名でtsvファイルをエクスポートする。
フォルダ名：「マイドキュメント」
ファイル名：sales_receipt_org2.xls</t>
    <rPh sb="0" eb="2">
      <t>ゲンコウ</t>
    </rPh>
    <rPh sb="8" eb="10">
      <t>ドウイツ</t>
    </rPh>
    <rPh sb="10" eb="12">
      <t>ジョウケン</t>
    </rPh>
    <rPh sb="13" eb="15">
      <t>ウリアゲ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</si>
  <si>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sales_receipt_org2.xlsとsales_receipt_new2.xlsの内容に相違がないこと。</t>
    <rPh sb="46" eb="48">
      <t>ナイヨウ</t>
    </rPh>
    <rPh sb="49" eb="51">
      <t>ソウイ</t>
    </rPh>
    <phoneticPr fontId="1"/>
  </si>
  <si>
    <t>仕入一覧表検索画面が操作可能な状況であること。</t>
    <rPh sb="10" eb="12">
      <t>ソウサ</t>
    </rPh>
    <rPh sb="12" eb="14">
      <t>カノウ</t>
    </rPh>
    <rPh sb="15" eb="17">
      <t>ジョウキョウ</t>
    </rPh>
    <phoneticPr fontId="1"/>
  </si>
  <si>
    <t>仕入一覧表検索画面の状態に変化がないこと。</t>
    <rPh sb="10" eb="12">
      <t>ジョウタイ</t>
    </rPh>
    <rPh sb="13" eb="15">
      <t>ヘンカ</t>
    </rPh>
    <phoneticPr fontId="1"/>
  </si>
  <si>
    <t>「仕入管理」の行の「選択」ボタンを押下し、仕入一覧表検索画面を表示させる。</t>
    <rPh sb="1" eb="3">
      <t>シイレ</t>
    </rPh>
    <rPh sb="3" eb="5">
      <t>カンリ</t>
    </rPh>
    <rPh sb="7" eb="8">
      <t>ギョウ</t>
    </rPh>
    <rPh sb="10" eb="12">
      <t>センタク</t>
    </rPh>
    <rPh sb="17" eb="19">
      <t>オウカ</t>
    </rPh>
    <rPh sb="26" eb="28">
      <t>ケンサク</t>
    </rPh>
    <rPh sb="28" eb="30">
      <t>ガメン</t>
    </rPh>
    <rPh sb="31" eb="33">
      <t>ヒョウジ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</si>
  <si>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ファイル名：stock_new1.tsv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</si>
  <si>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「マイドキュメント」フォルダにstock_new1.tsvファイルが存在すること。</t>
    <rPh sb="34" eb="36">
      <t>ソンザイ</t>
    </rPh>
    <phoneticPr fontId="1"/>
  </si>
  <si>
    <t>現行システムでも同一条件で仕入一覧表検索を行い、以下のフォルダ名、ファイル名でtsvファイルをエクスポートする。
フォルダ名：「マイドキュメント」
ファイル名：stock_org1.tsv</t>
    <rPh sb="0" eb="2">
      <t>ゲンコウ</t>
    </rPh>
    <rPh sb="8" eb="10">
      <t>ドウイツ</t>
    </rPh>
    <rPh sb="10" eb="12">
      <t>ジョウケン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</si>
  <si>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stock_org1.tsvとstock_new1.tsvの内容に相違がないこと。</t>
    <rPh sb="30" eb="32">
      <t>ナイヨウ</t>
    </rPh>
    <rPh sb="33" eb="3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</si>
  <si>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ファイル名：stock_new1.xls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</si>
  <si>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「マイドキュメント」フォルダにstock_new1.xlsファイルが存在すること。</t>
    <rPh sb="34" eb="36">
      <t>ソンザイ</t>
    </rPh>
    <phoneticPr fontId="1"/>
  </si>
  <si>
    <t>現行システムでも同一条件で仕入一覧表検索を行い、以下のフォルダ名、ファイル名でtsvファイルをエクスポートする。
フォルダ名：「マイドキュメント」
ファイル名：stock_org1.xls</t>
    <rPh sb="0" eb="2">
      <t>ゲンコウ</t>
    </rPh>
    <rPh sb="8" eb="10">
      <t>ドウイツ</t>
    </rPh>
    <rPh sb="10" eb="12">
      <t>ジョウケン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</si>
  <si>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stock_org1.xlsとstock_new1.xlsの内容に相違がないこと。</t>
    <rPh sb="30" eb="32">
      <t>ナイヨウ</t>
    </rPh>
    <rPh sb="33" eb="3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</si>
  <si>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ファイル名：stock_new2.tsv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</si>
  <si>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「マイドキュメント」フォルダにstock_new2.tsvファイルが存在すること。</t>
    <rPh sb="34" eb="36">
      <t>ソンザイ</t>
    </rPh>
    <phoneticPr fontId="1"/>
  </si>
  <si>
    <t>現行システムでも同一条件で仕入一覧表検索を行い、以下のフォルダ名、ファイル名でtsvファイルをエクスポートする。
フォルダ名：「マイドキュメント」
ファイル名：stock_org2.tsv</t>
    <rPh sb="0" eb="2">
      <t>ゲンコウ</t>
    </rPh>
    <rPh sb="8" eb="10">
      <t>ドウイツ</t>
    </rPh>
    <rPh sb="10" eb="12">
      <t>ジョウケン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</si>
  <si>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stock_org2.tsvとstock_new2.tsvの内容に相違がないこと。</t>
    <rPh sb="30" eb="32">
      <t>ナイヨウ</t>
    </rPh>
    <rPh sb="33" eb="3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</si>
  <si>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ファイル名：stock_new2.xls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</si>
  <si>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「マイドキュメント」フォルダにstock_new2.xlsファイルが存在すること。</t>
    <rPh sb="34" eb="36">
      <t>ソンザイ</t>
    </rPh>
    <phoneticPr fontId="1"/>
  </si>
  <si>
    <t>現行システムでも同一条件で仕入一覧表検索を行い、以下のフォルダ名、ファイル名でtsvファイルをエクスポートする。
フォルダ名：「マイドキュメント」
ファイル名：stock_org2.xls</t>
    <rPh sb="0" eb="2">
      <t>ゲンコウ</t>
    </rPh>
    <rPh sb="8" eb="10">
      <t>ドウイツ</t>
    </rPh>
    <rPh sb="10" eb="12">
      <t>ジョウケン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</si>
  <si>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stock_org2.xlsとstock_new2.xlsの内容に相違がないこと。</t>
    <rPh sb="30" eb="32">
      <t>ナイヨウ</t>
    </rPh>
    <rPh sb="33" eb="35">
      <t>ソウイ</t>
    </rPh>
    <phoneticPr fontId="1"/>
  </si>
  <si>
    <t>画面に以下の値を入力する。
　仕入計上日(FROM)：2014/03/01
　仕入計上日(TO)：2014/03/01
　仕入科目・仕入先別：チェックON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</si>
  <si>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画面に以下の値を入力する。
　仕入計上日(FROM)：2014/03/01
　仕入計上日(TO)：2014/03/01
　仕入科目・部門・製品別：チェックON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</si>
  <si>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「仕入管理」の行の「選択」ボタンを押下し、Purchase recipe file検索画面を表示させる。</t>
    <rPh sb="1" eb="3">
      <t>シイレ</t>
    </rPh>
    <rPh sb="3" eb="5">
      <t>カンリ</t>
    </rPh>
    <rPh sb="7" eb="8">
      <t>ギョウ</t>
    </rPh>
    <rPh sb="10" eb="12">
      <t>センタク</t>
    </rPh>
    <rPh sb="17" eb="19">
      <t>オウカ</t>
    </rPh>
    <rPh sb="41" eb="43">
      <t>ケンサク</t>
    </rPh>
    <rPh sb="43" eb="45">
      <t>ガメン</t>
    </rPh>
    <rPh sb="46" eb="48">
      <t>ヒョウジ</t>
    </rPh>
    <phoneticPr fontId="1"/>
  </si>
  <si>
    <t>Purchase recipe file検索画面が操作可能な状況であること。</t>
    <rPh sb="25" eb="27">
      <t>ソウサ</t>
    </rPh>
    <rPh sb="27" eb="29">
      <t>カノウ</t>
    </rPh>
    <rPh sb="30" eb="32">
      <t>ジョウキョウ</t>
    </rPh>
    <phoneticPr fontId="1"/>
  </si>
  <si>
    <t>Purchase recipe file検索画面の状態に変化がないこと。</t>
    <rPh sb="25" eb="27">
      <t>ジョウタイ</t>
    </rPh>
    <rPh sb="28" eb="30">
      <t>ヘンカ</t>
    </rPh>
    <phoneticPr fontId="1"/>
  </si>
  <si>
    <t>画面に以下の値を入力する。
　仕入計上日(FROM)：2014/03/01
　仕入計上日(TO)：2014/03/20
　L/C：チェックON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</si>
  <si>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ファイル名：Purchase_recipe_new1.tsv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</si>
  <si>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「マイドキュメント」フォルダにPurchase_recipe_new1.tsvファイルが存在すること。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</si>
  <si>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ファイル名：Purchase_recipe_org1.tsv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</si>
  <si>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Purchase_recipe_org1.tsvとPurchase_recipe_new1.tsvの内容に相違がないこと。</t>
    <rPh sb="50" eb="52">
      <t>ナイヨウ</t>
    </rPh>
    <rPh sb="53" eb="5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</si>
  <si>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ファイル名：Purchase_recipe_new1.xls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</si>
  <si>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「マイドキュメント」フォルダにPurchase_recipe_new1.xlsファイルが存在すること。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</si>
  <si>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ファイル名：Purchase_recipe_org1.xls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</si>
  <si>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Purchase_recipe_org1.xlsとPurchase_recipe_new1.xlsの内容に相違がないこと。</t>
    <rPh sb="50" eb="52">
      <t>ナイヨウ</t>
    </rPh>
    <rPh sb="53" eb="5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</si>
  <si>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ファイル名：Purchase_recipe_new2.tsv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</si>
  <si>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「マイドキュメント」フォルダにPurchase_recipe_new2.tsvファイルが存在すること。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</si>
  <si>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ファイル名：Purchase_recipe_org2.tsv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</si>
  <si>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Purchase_recipe_org2.tsvとPurchase_recipe_new2.tsvの内容に相違がないこと。</t>
    <rPh sb="50" eb="52">
      <t>ナイヨウ</t>
    </rPh>
    <rPh sb="53" eb="5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</si>
  <si>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ファイル名：Purchase_recipe_new2.xls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</si>
  <si>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「マイドキュメント」フォルダにPurchase_recipe_new2.xlsファイルが存在すること。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</si>
  <si>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ファイル名：Purchase_recipe_org2.xls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</si>
  <si>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Purchase_recipe_org2.xlsとPurchase_recipe_new2.xlsの内容に相違がないこと。</t>
    <rPh sb="50" eb="52">
      <t>ナイヨウ</t>
    </rPh>
    <rPh sb="53" eb="55">
      <t>ソウイ</t>
    </rPh>
    <phoneticPr fontId="1"/>
  </si>
  <si>
    <t>画面に以下の値を入力する。
　仕入計上日(FROM)：2014/03/01
　仕入計上日(TO)：2014/03/20
　T/T：チェックON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</si>
  <si>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画面に以下の値を入力する。
　仕入計上日(FROM)：3014/03/01
　仕入計上日(TO)：3014/03/30
　On Board：チェックON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</si>
  <si>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ファイル名：Purchase_recipe_new3.tsv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</si>
  <si>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「マイドキュメント」フォルダにPurchase_recipe_new3.tsvファイルが存在すること。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</si>
  <si>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ファイル名：Purchase_recipe_org3.tsv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</si>
  <si>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Purchase_recipe_org3.tsvとPurchase_recipe_new3.tsvの内容に相違がないこと。</t>
    <rPh sb="50" eb="52">
      <t>ナイヨウ</t>
    </rPh>
    <rPh sb="53" eb="5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</si>
  <si>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ファイル名：Purchase_recipe_new3.xls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</si>
  <si>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「マイドキュメント」フォルダにPurchase_recipe_new3.xlsファイルが存在すること。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</si>
  <si>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ファイル名：Purchase_recipe_org3.xls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</si>
  <si>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Purchase_recipe_org3.xlsとPurchase_recipe_new3.xlsの内容に相違がないこと。</t>
    <rPh sb="50" eb="52">
      <t>ナイヨウ</t>
    </rPh>
    <rPh sb="53" eb="55">
      <t>ソウイ</t>
    </rPh>
    <phoneticPr fontId="1"/>
  </si>
  <si>
    <t>「発注管理」の行の「選択」ボタンを押下し、見積原価書検索画面を表示させる。</t>
    <rPh sb="1" eb="3">
      <t>ハッチュウ</t>
    </rPh>
    <rPh sb="3" eb="5">
      <t>カンリ</t>
    </rPh>
    <rPh sb="7" eb="8">
      <t>ギョウ</t>
    </rPh>
    <rPh sb="10" eb="12">
      <t>センタク</t>
    </rPh>
    <rPh sb="17" eb="19">
      <t>オウカ</t>
    </rPh>
    <rPh sb="26" eb="28">
      <t>ケンサク</t>
    </rPh>
    <rPh sb="28" eb="30">
      <t>ガメン</t>
    </rPh>
    <rPh sb="31" eb="33">
      <t>ヒョウジ</t>
    </rPh>
    <phoneticPr fontId="1"/>
  </si>
  <si>
    <t>見積原価書検索画面が操作可能な状況であること。</t>
    <rPh sb="10" eb="12">
      <t>ソウサ</t>
    </rPh>
    <rPh sb="12" eb="14">
      <t>カノウ</t>
    </rPh>
    <rPh sb="15" eb="17">
      <t>ジョウキョウ</t>
    </rPh>
    <phoneticPr fontId="1"/>
  </si>
  <si>
    <t>見積原価書検索画面の状態に変化がないこと。</t>
    <rPh sb="10" eb="12">
      <t>ジョウタイ</t>
    </rPh>
    <rPh sb="13" eb="15">
      <t>ヘンカ</t>
    </rPh>
    <phoneticPr fontId="1"/>
  </si>
  <si>
    <t>画面に以下の値を入力する。
　製品コード：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セイヒン</t>
    </rPh>
    <phoneticPr fontId="1"/>
  </si>
  <si>
    <t>実施前提条件：
見積原価書登録機能の結合試験が完了していること。</t>
    <rPh sb="0" eb="2">
      <t>ジッシ</t>
    </rPh>
    <rPh sb="2" eb="4">
      <t>ゼンテイ</t>
    </rPh>
    <rPh sb="4" eb="6">
      <t>ジョウケン</t>
    </rPh>
    <rPh sb="8" eb="10">
      <t>ミツモリ</t>
    </rPh>
    <rPh sb="10" eb="12">
      <t>ゲンカ</t>
    </rPh>
    <rPh sb="12" eb="13">
      <t>ショ</t>
    </rPh>
    <rPh sb="13" eb="15">
      <t>トウロク</t>
    </rPh>
    <rPh sb="15" eb="17">
      <t>キノウ</t>
    </rPh>
    <rPh sb="18" eb="20">
      <t>ケツゴウ</t>
    </rPh>
    <rPh sb="20" eb="22">
      <t>シケン</t>
    </rPh>
    <rPh sb="23" eb="25">
      <t>カンリョウ</t>
    </rPh>
    <phoneticPr fontId="1"/>
  </si>
  <si>
    <t>画面に以下の値を入力する。
　受注・納期(FROM)：
　受注・納期(TO)：
　部門：
　売上区分：「全て」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ジュチュウ</t>
    </rPh>
    <rPh sb="18" eb="20">
      <t>ノウキ</t>
    </rPh>
    <rPh sb="41" eb="43">
      <t>ブモン</t>
    </rPh>
    <rPh sb="46" eb="48">
      <t>ウリアゲ</t>
    </rPh>
    <rPh sb="48" eb="50">
      <t>クブン</t>
    </rPh>
    <rPh sb="52" eb="53">
      <t>スベ</t>
    </rPh>
    <phoneticPr fontId="1"/>
  </si>
  <si>
    <t>「統計データ」の「売上見込」行の「選択」ボタンを押下し、売上見込検索画面を表示させる。</t>
    <rPh sb="1" eb="3">
      <t>トウケイ</t>
    </rPh>
    <rPh sb="9" eb="11">
      <t>ウリアゲ</t>
    </rPh>
    <rPh sb="11" eb="13">
      <t>ミコミ</t>
    </rPh>
    <rPh sb="14" eb="15">
      <t>ギョウ</t>
    </rPh>
    <rPh sb="17" eb="19">
      <t>センタク</t>
    </rPh>
    <rPh sb="24" eb="26">
      <t>オウカ</t>
    </rPh>
    <rPh sb="28" eb="30">
      <t>ウリアゲ</t>
    </rPh>
    <rPh sb="30" eb="32">
      <t>ミコミ</t>
    </rPh>
    <rPh sb="32" eb="34">
      <t>ケンサク</t>
    </rPh>
    <rPh sb="34" eb="36">
      <t>ガメン</t>
    </rPh>
    <rPh sb="37" eb="39">
      <t>ヒョウジ</t>
    </rPh>
    <phoneticPr fontId="1"/>
  </si>
  <si>
    <t>売上見込検索画面が操作可能な状況であること。</t>
    <rPh sb="0" eb="2">
      <t>ウリアゲ</t>
    </rPh>
    <rPh sb="2" eb="4">
      <t>ミコミ</t>
    </rPh>
    <rPh sb="9" eb="11">
      <t>ソウサ</t>
    </rPh>
    <rPh sb="11" eb="13">
      <t>カノウ</t>
    </rPh>
    <rPh sb="14" eb="16">
      <t>ジョウキョウ</t>
    </rPh>
    <phoneticPr fontId="1"/>
  </si>
  <si>
    <t>売上見込検索画面の状態に変化がないこと。</t>
    <rPh sb="0" eb="2">
      <t>ウリアゲ</t>
    </rPh>
    <rPh sb="2" eb="4">
      <t>ミコミ</t>
    </rPh>
    <rPh sb="9" eb="11">
      <t>ジョウタイ</t>
    </rPh>
    <rPh sb="12" eb="14">
      <t>ヘンカ</t>
    </rPh>
    <phoneticPr fontId="1"/>
  </si>
  <si>
    <t>「統計データ」の「売上概算」行の「選択」ボタンを押下し、売上概算検索画面を表示させる。</t>
    <rPh sb="1" eb="3">
      <t>トウケイ</t>
    </rPh>
    <rPh sb="9" eb="11">
      <t>ウリアゲ</t>
    </rPh>
    <rPh sb="11" eb="13">
      <t>ガイサン</t>
    </rPh>
    <rPh sb="14" eb="15">
      <t>ギョウ</t>
    </rPh>
    <rPh sb="17" eb="19">
      <t>センタク</t>
    </rPh>
    <rPh sb="24" eb="26">
      <t>オウカ</t>
    </rPh>
    <rPh sb="28" eb="30">
      <t>ウリアゲ</t>
    </rPh>
    <rPh sb="30" eb="32">
      <t>ガイサン</t>
    </rPh>
    <rPh sb="32" eb="34">
      <t>ケンサク</t>
    </rPh>
    <rPh sb="34" eb="36">
      <t>ガメン</t>
    </rPh>
    <rPh sb="37" eb="39">
      <t>ヒョウジ</t>
    </rPh>
    <phoneticPr fontId="1"/>
  </si>
  <si>
    <t>売上概算検索画面が操作可能な状況であること。</t>
    <rPh sb="0" eb="2">
      <t>ウリアゲ</t>
    </rPh>
    <rPh sb="2" eb="4">
      <t>ガイサン</t>
    </rPh>
    <rPh sb="4" eb="6">
      <t>ケンサク</t>
    </rPh>
    <rPh sb="9" eb="11">
      <t>ソウサ</t>
    </rPh>
    <rPh sb="11" eb="13">
      <t>カノウ</t>
    </rPh>
    <rPh sb="14" eb="16">
      <t>ジョウキョウ</t>
    </rPh>
    <phoneticPr fontId="1"/>
  </si>
  <si>
    <t>売上概算検索画面の状態に変化がないこと。</t>
    <rPh sb="0" eb="2">
      <t>ウリアゲ</t>
    </rPh>
    <rPh sb="2" eb="4">
      <t>ガイサン</t>
    </rPh>
    <rPh sb="4" eb="6">
      <t>ケンサク</t>
    </rPh>
    <rPh sb="9" eb="11">
      <t>ジョウタイ</t>
    </rPh>
    <rPh sb="12" eb="14">
      <t>ヘンカ</t>
    </rPh>
    <phoneticPr fontId="1"/>
  </si>
  <si>
    <t>ファイルダウンロードダイアログでフォルダ名、ファイル名を以下のように指定してファイルを保存する。
フォルダ名：「マイドキュメント」
ファイル名：見積原価書.tsv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rPh sb="72" eb="77">
      <t>ミツモリゲンカショ</t>
    </rPh>
    <phoneticPr fontId="1"/>
  </si>
  <si>
    <t>ファイルダウンロードダイアログでフォルダ名、ファイル名を以下のように指定してファイルを保存する。
フォルダ名：「マイドキュメント」
ファイル名：売上見込.tsv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rPh sb="72" eb="74">
      <t>ウリアゲ</t>
    </rPh>
    <rPh sb="74" eb="76">
      <t>ミコミ</t>
    </rPh>
    <phoneticPr fontId="1"/>
  </si>
  <si>
    <t>ファイルダウンロードダイアログでフォルダ名、ファイル名を以下のように指定してファイルを保存する。
フォルダ名：「マイドキュメント」
ファイル名：売上概算.tsv</t>
  </si>
  <si>
    <t>試験項目数</t>
    <rPh sb="0" eb="2">
      <t>シケン</t>
    </rPh>
    <rPh sb="2" eb="4">
      <t>コウモク</t>
    </rPh>
    <rPh sb="4" eb="5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</si>
</sst>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@&quot;ボタンを押下する&quot;"/>
  </numFmts>
  <fonts count="3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388620</xdr:colOff>
          <xdr:row>1</xdr:row>
          <xdr:rowOff>205740</xdr:rowOff>
        </xdr:from>
        <xdr:to>
          <xdr:col>3</xdr:col>
          <xdr:colOff>548640</xdr:colOff>
          <xdr:row>3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7F76F82F-9F52-4DB1-9D14-1F79DA8C15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04919-861A-49D9-B22D-09C0D8138CB1}">
  <sheetPr codeName="Sheet1"/>
  <dimension ref="A1:B1"/>
  <sheetViews>
    <sheetView tabSelected="1" workbookViewId="0">
      <selection activeCell="D2" sqref="D2"/>
    </sheetView>
  </sheetViews>
  <sheetFormatPr defaultRowHeight="18"/>
  <cols>
    <col min="1" max="1" width="10.3984375" bestFit="1" customWidth="1"/>
  </cols>
  <sheetData>
    <row r="1" spans="1:2">
      <c r="A1" t="s">
        <v>142</v>
      </c>
      <c r="B1">
        <v>141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388620</xdr:colOff>
                    <xdr:row>1</xdr:row>
                    <xdr:rowOff>205740</xdr:rowOff>
                  </from>
                  <to>
                    <xdr:col>3</xdr:col>
                    <xdr:colOff>548640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61"/>
  <sheetViews>
    <sheetView topLeftCell="A10" workbookViewId="0">
      <selection activeCell="C10" sqref="C1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データエクスポート</v>
      </c>
      <c r="D1" s="8"/>
    </row>
    <row r="2" spans="1:10">
      <c r="B2" s="11" t="s">
        <v>9</v>
      </c>
      <c r="C2" s="10">
        <f>COUNTA(D6:D43)</f>
        <v>17</v>
      </c>
    </row>
    <row r="3" spans="1:10">
      <c r="B3" s="11" t="s">
        <v>11</v>
      </c>
      <c r="C3" s="10">
        <f>COUNTA(G6:G43)</f>
        <v>0</v>
      </c>
    </row>
    <row r="4" spans="1:10">
      <c r="B4" s="9"/>
      <c r="C4" s="8"/>
    </row>
    <row r="5" spans="1:10" s="6" customFormat="1">
      <c r="A5" s="7" t="s">
        <v>4</v>
      </c>
      <c r="B5" s="7" t="s">
        <v>6</v>
      </c>
      <c r="C5" s="7" t="s">
        <v>7</v>
      </c>
      <c r="D5" s="7" t="s">
        <v>3</v>
      </c>
      <c r="E5" s="7" t="s">
        <v>2</v>
      </c>
      <c r="F5" s="7" t="s">
        <v>1</v>
      </c>
      <c r="G5" s="7" t="s">
        <v>0</v>
      </c>
      <c r="H5" s="15" t="s">
        <v>8</v>
      </c>
      <c r="I5" s="15"/>
      <c r="J5" s="15"/>
    </row>
    <row r="6" spans="1:10" s="1" customFormat="1" ht="54">
      <c r="A6" s="2">
        <f>ROW()-5</f>
        <v>1</v>
      </c>
      <c r="B6" s="5" t="s">
        <v>14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59" si="0">ROW()-5</f>
        <v>2</v>
      </c>
      <c r="B7" s="5"/>
      <c r="C7" s="5" t="s">
        <v>18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15</v>
      </c>
      <c r="D9" s="5" t="s">
        <v>16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 t="s">
        <v>13</v>
      </c>
      <c r="C10" s="5" t="s">
        <v>19</v>
      </c>
      <c r="D10" s="5" t="s">
        <v>20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6</v>
      </c>
      <c r="B11" s="5"/>
      <c r="C11" s="5" t="s">
        <v>21</v>
      </c>
      <c r="D11" s="5" t="s">
        <v>22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5" t="s">
        <v>24</v>
      </c>
      <c r="D12" s="5" t="s">
        <v>23</v>
      </c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8</v>
      </c>
      <c r="B13" s="5"/>
      <c r="C13" s="5" t="s">
        <v>21</v>
      </c>
      <c r="D13" s="5" t="s">
        <v>22</v>
      </c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9</v>
      </c>
      <c r="B14" s="5"/>
      <c r="C14" s="5" t="s">
        <v>25</v>
      </c>
      <c r="D14" s="5" t="s">
        <v>26</v>
      </c>
      <c r="E14" s="4"/>
      <c r="F14" s="3"/>
      <c r="G14" s="3"/>
      <c r="H14" s="2"/>
      <c r="I14" s="4"/>
      <c r="J14" s="4"/>
    </row>
    <row r="15" spans="1:10" s="1" customFormat="1" ht="36">
      <c r="A15" s="2">
        <f t="shared" si="0"/>
        <v>10</v>
      </c>
      <c r="B15" s="5"/>
      <c r="C15" s="5" t="s">
        <v>21</v>
      </c>
      <c r="D15" s="5" t="s">
        <v>22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11</v>
      </c>
      <c r="B16" s="5"/>
      <c r="C16" s="5" t="s">
        <v>27</v>
      </c>
      <c r="D16" s="5" t="s">
        <v>28</v>
      </c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12</v>
      </c>
      <c r="B17" s="5"/>
      <c r="C17" s="5" t="s">
        <v>21</v>
      </c>
      <c r="D17" s="5" t="s">
        <v>22</v>
      </c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13</v>
      </c>
      <c r="B18" s="5"/>
      <c r="C18" s="5" t="s">
        <v>29</v>
      </c>
      <c r="D18" s="5" t="s">
        <v>30</v>
      </c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14</v>
      </c>
      <c r="B19" s="5"/>
      <c r="C19" s="5" t="s">
        <v>21</v>
      </c>
      <c r="D19" s="5" t="s">
        <v>22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5" t="s">
        <v>31</v>
      </c>
      <c r="D20" s="5" t="s">
        <v>32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16</v>
      </c>
      <c r="B21" s="5"/>
      <c r="C21" s="5" t="s">
        <v>21</v>
      </c>
      <c r="D21" s="5" t="s">
        <v>22</v>
      </c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17</v>
      </c>
      <c r="B22" s="5"/>
      <c r="C22" s="5" t="s">
        <v>33</v>
      </c>
      <c r="D22" s="5" t="s">
        <v>34</v>
      </c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18</v>
      </c>
      <c r="B23" s="5"/>
      <c r="C23" s="5" t="s">
        <v>21</v>
      </c>
      <c r="D23" s="5" t="s">
        <v>22</v>
      </c>
      <c r="E23" s="4"/>
      <c r="F23" s="3"/>
      <c r="G23" s="3"/>
      <c r="H23" s="2"/>
      <c r="I23" s="4"/>
      <c r="J23" s="4"/>
    </row>
    <row r="24" spans="1:10" s="1" customFormat="1" ht="36">
      <c r="A24" s="2">
        <f t="shared" si="0"/>
        <v>19</v>
      </c>
      <c r="B24" s="5"/>
      <c r="C24" s="5" t="s">
        <v>35</v>
      </c>
      <c r="D24" s="5" t="s">
        <v>36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20</v>
      </c>
      <c r="B25" s="5"/>
      <c r="C25" s="5" t="s">
        <v>21</v>
      </c>
      <c r="D25" s="5" t="s">
        <v>22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5"/>
      <c r="D49" s="5"/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13"/>
      <c r="D50" s="5"/>
      <c r="E50" s="4"/>
      <c r="F50" s="3"/>
      <c r="G50" s="3"/>
      <c r="H50" s="2"/>
      <c r="I50" s="4"/>
      <c r="J50" s="4"/>
    </row>
    <row r="51" spans="1:10" s="1" customFormat="1">
      <c r="A51" s="2">
        <f t="shared" si="0"/>
        <v>46</v>
      </c>
      <c r="B51" s="5"/>
      <c r="C51" s="5"/>
      <c r="D51" s="5"/>
      <c r="E51" s="4"/>
      <c r="F51" s="3"/>
      <c r="G51" s="3"/>
      <c r="H51" s="2"/>
      <c r="I51" s="4"/>
      <c r="J51" s="4"/>
    </row>
    <row r="52" spans="1:10" s="1" customFormat="1">
      <c r="A52" s="2">
        <f t="shared" si="0"/>
        <v>47</v>
      </c>
      <c r="B52" s="5"/>
      <c r="C52" s="13"/>
      <c r="D52" s="5"/>
      <c r="E52" s="4"/>
      <c r="F52" s="3"/>
      <c r="G52" s="3"/>
      <c r="H52" s="2"/>
      <c r="I52" s="4"/>
      <c r="J52" s="4"/>
    </row>
    <row r="53" spans="1:10" s="1" customFormat="1">
      <c r="A53" s="2">
        <f t="shared" si="0"/>
        <v>48</v>
      </c>
      <c r="B53" s="5"/>
      <c r="C53" s="5"/>
      <c r="D53" s="5"/>
      <c r="E53" s="4"/>
      <c r="F53" s="3"/>
      <c r="G53" s="3"/>
      <c r="H53" s="2"/>
      <c r="I53" s="4"/>
      <c r="J53" s="4"/>
    </row>
    <row r="54" spans="1:10" s="1" customFormat="1">
      <c r="A54" s="2">
        <f t="shared" si="0"/>
        <v>49</v>
      </c>
      <c r="B54" s="5"/>
      <c r="C54" s="13"/>
      <c r="D54" s="5"/>
      <c r="E54" s="4"/>
      <c r="F54" s="3"/>
      <c r="G54" s="3"/>
      <c r="H54" s="2"/>
      <c r="I54" s="4"/>
      <c r="J54" s="4"/>
    </row>
    <row r="55" spans="1:10" s="1" customFormat="1">
      <c r="A55" s="2">
        <f t="shared" si="0"/>
        <v>50</v>
      </c>
      <c r="B55" s="5"/>
      <c r="C55" s="5"/>
      <c r="D55" s="5"/>
      <c r="E55" s="4"/>
      <c r="F55" s="3"/>
      <c r="G55" s="3"/>
      <c r="H55" s="2"/>
      <c r="I55" s="4"/>
      <c r="J55" s="4"/>
    </row>
    <row r="56" spans="1:10" s="1" customFormat="1">
      <c r="A56" s="2">
        <f t="shared" si="0"/>
        <v>51</v>
      </c>
      <c r="B56" s="5"/>
      <c r="C56" s="13"/>
      <c r="D56" s="5"/>
      <c r="E56" s="4"/>
      <c r="F56" s="3"/>
      <c r="G56" s="3"/>
      <c r="H56" s="2"/>
      <c r="I56" s="4"/>
      <c r="J56" s="4"/>
    </row>
    <row r="57" spans="1:10" s="1" customFormat="1">
      <c r="A57" s="2">
        <f t="shared" si="0"/>
        <v>52</v>
      </c>
      <c r="B57" s="5"/>
      <c r="C57" s="5"/>
      <c r="D57" s="5"/>
      <c r="E57" s="4"/>
      <c r="F57" s="3"/>
      <c r="G57" s="3"/>
      <c r="H57" s="2"/>
      <c r="I57" s="4"/>
      <c r="J57" s="4"/>
    </row>
    <row r="58" spans="1:10" s="1" customFormat="1">
      <c r="A58" s="2">
        <f t="shared" si="0"/>
        <v>53</v>
      </c>
      <c r="B58" s="5"/>
      <c r="C58" s="13"/>
      <c r="D58" s="5"/>
      <c r="E58" s="4"/>
      <c r="F58" s="3"/>
      <c r="G58" s="3"/>
      <c r="H58" s="2"/>
      <c r="I58" s="4"/>
      <c r="J58" s="4"/>
    </row>
    <row r="59" spans="1:10" s="1" customFormat="1">
      <c r="A59" s="2">
        <f t="shared" si="0"/>
        <v>54</v>
      </c>
      <c r="B59" s="5"/>
      <c r="C59" s="5"/>
      <c r="D59" s="5"/>
      <c r="E59" s="4"/>
      <c r="F59" s="3"/>
      <c r="G59" s="3"/>
      <c r="H59" s="2"/>
      <c r="I59" s="4"/>
      <c r="J59" s="4"/>
    </row>
    <row r="61" spans="1:10">
      <c r="B61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09808-D3D9-4A83-8CDA-3EDBB34678A8}">
  <sheetPr codeName="Sheet3"/>
  <dimension ref="A1:J61"/>
  <sheetViews>
    <sheetView topLeftCell="A10" workbookViewId="0">
      <selection activeCell="C17" sqref="C17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LC予定表検索</v>
      </c>
      <c r="D1" s="8"/>
    </row>
    <row r="2" spans="1:10">
      <c r="B2" s="11" t="s">
        <v>9</v>
      </c>
      <c r="C2" s="10">
        <f>COUNTA(D6:D43)</f>
        <v>8</v>
      </c>
    </row>
    <row r="3" spans="1:10">
      <c r="B3" s="11" t="s">
        <v>11</v>
      </c>
      <c r="C3" s="10">
        <f>COUNTA(G6:G43)</f>
        <v>0</v>
      </c>
    </row>
    <row r="4" spans="1:10">
      <c r="B4" s="9"/>
      <c r="C4" s="8"/>
    </row>
    <row r="5" spans="1:10" s="6" customFormat="1">
      <c r="A5" s="12" t="s">
        <v>4</v>
      </c>
      <c r="B5" s="12" t="s">
        <v>6</v>
      </c>
      <c r="C5" s="12" t="s">
        <v>7</v>
      </c>
      <c r="D5" s="12" t="s">
        <v>3</v>
      </c>
      <c r="E5" s="12" t="s">
        <v>2</v>
      </c>
      <c r="F5" s="12" t="s">
        <v>1</v>
      </c>
      <c r="G5" s="12" t="s">
        <v>0</v>
      </c>
      <c r="H5" s="15" t="s">
        <v>8</v>
      </c>
      <c r="I5" s="15"/>
      <c r="J5" s="15"/>
    </row>
    <row r="6" spans="1:10" s="1" customFormat="1" ht="54">
      <c r="A6" s="2">
        <f>ROW()-5</f>
        <v>1</v>
      </c>
      <c r="B6" s="5" t="s">
        <v>14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59" si="0">ROW()-5</f>
        <v>2</v>
      </c>
      <c r="B7" s="5"/>
      <c r="C7" s="5" t="s">
        <v>18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15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37</v>
      </c>
      <c r="D10" s="5" t="s">
        <v>39</v>
      </c>
      <c r="E10" s="4"/>
      <c r="F10" s="3"/>
      <c r="G10" s="3"/>
      <c r="H10" s="2"/>
      <c r="I10" s="4"/>
      <c r="J10" s="4"/>
    </row>
    <row r="11" spans="1:10" s="1" customFormat="1" ht="126">
      <c r="A11" s="2">
        <f t="shared" si="0"/>
        <v>6</v>
      </c>
      <c r="B11" s="5" t="s">
        <v>13</v>
      </c>
      <c r="C11" s="5" t="s">
        <v>38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5" t="s">
        <v>54</v>
      </c>
      <c r="D12" s="5" t="s">
        <v>40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 t="s">
        <v>39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41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53</v>
      </c>
      <c r="D15" s="5" t="s">
        <v>42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43</v>
      </c>
      <c r="D16" s="5" t="s">
        <v>44</v>
      </c>
      <c r="E16" s="4"/>
      <c r="F16" s="3"/>
      <c r="G16" s="3"/>
      <c r="H16" s="2"/>
      <c r="I16" s="4"/>
      <c r="J16" s="4"/>
    </row>
    <row r="17" spans="1:10" s="1" customFormat="1" ht="90">
      <c r="A17" s="2">
        <f t="shared" si="0"/>
        <v>12</v>
      </c>
      <c r="B17" s="5"/>
      <c r="C17" s="5" t="s">
        <v>45</v>
      </c>
      <c r="D17" s="5" t="s">
        <v>46</v>
      </c>
      <c r="E17" s="4"/>
      <c r="F17" s="3"/>
      <c r="G17" s="3"/>
      <c r="H17" s="2"/>
      <c r="I17" s="4"/>
      <c r="J17" s="4"/>
    </row>
    <row r="18" spans="1:10" s="1" customFormat="1" ht="90">
      <c r="A18" s="2">
        <f t="shared" si="0"/>
        <v>13</v>
      </c>
      <c r="B18" s="5"/>
      <c r="C18" s="5" t="s">
        <v>47</v>
      </c>
      <c r="D18" s="5" t="s">
        <v>48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5"/>
      <c r="D49" s="5"/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13"/>
      <c r="D50" s="5"/>
      <c r="E50" s="4"/>
      <c r="F50" s="3"/>
      <c r="G50" s="3"/>
      <c r="H50" s="2"/>
      <c r="I50" s="4"/>
      <c r="J50" s="4"/>
    </row>
    <row r="51" spans="1:10" s="1" customFormat="1">
      <c r="A51" s="2">
        <f t="shared" si="0"/>
        <v>46</v>
      </c>
      <c r="B51" s="5"/>
      <c r="C51" s="5"/>
      <c r="D51" s="5"/>
      <c r="E51" s="4"/>
      <c r="F51" s="3"/>
      <c r="G51" s="3"/>
      <c r="H51" s="2"/>
      <c r="I51" s="4"/>
      <c r="J51" s="4"/>
    </row>
    <row r="52" spans="1:10" s="1" customFormat="1">
      <c r="A52" s="2">
        <f t="shared" si="0"/>
        <v>47</v>
      </c>
      <c r="B52" s="5"/>
      <c r="C52" s="13"/>
      <c r="D52" s="5"/>
      <c r="E52" s="4"/>
      <c r="F52" s="3"/>
      <c r="G52" s="3"/>
      <c r="H52" s="2"/>
      <c r="I52" s="4"/>
      <c r="J52" s="4"/>
    </row>
    <row r="53" spans="1:10" s="1" customFormat="1">
      <c r="A53" s="2">
        <f t="shared" si="0"/>
        <v>48</v>
      </c>
      <c r="B53" s="5"/>
      <c r="C53" s="5"/>
      <c r="D53" s="5"/>
      <c r="E53" s="4"/>
      <c r="F53" s="3"/>
      <c r="G53" s="3"/>
      <c r="H53" s="2"/>
      <c r="I53" s="4"/>
      <c r="J53" s="4"/>
    </row>
    <row r="54" spans="1:10" s="1" customFormat="1">
      <c r="A54" s="2">
        <f t="shared" si="0"/>
        <v>49</v>
      </c>
      <c r="B54" s="5"/>
      <c r="C54" s="13"/>
      <c r="D54" s="5"/>
      <c r="E54" s="4"/>
      <c r="F54" s="3"/>
      <c r="G54" s="3"/>
      <c r="H54" s="2"/>
      <c r="I54" s="4"/>
      <c r="J54" s="4"/>
    </row>
    <row r="55" spans="1:10" s="1" customFormat="1">
      <c r="A55" s="2">
        <f t="shared" si="0"/>
        <v>50</v>
      </c>
      <c r="B55" s="5"/>
      <c r="C55" s="5"/>
      <c r="D55" s="5"/>
      <c r="E55" s="4"/>
      <c r="F55" s="3"/>
      <c r="G55" s="3"/>
      <c r="H55" s="2"/>
      <c r="I55" s="4"/>
      <c r="J55" s="4"/>
    </row>
    <row r="56" spans="1:10" s="1" customFormat="1">
      <c r="A56" s="2">
        <f t="shared" si="0"/>
        <v>51</v>
      </c>
      <c r="B56" s="5"/>
      <c r="C56" s="13"/>
      <c r="D56" s="5"/>
      <c r="E56" s="4"/>
      <c r="F56" s="3"/>
      <c r="G56" s="3"/>
      <c r="H56" s="2"/>
      <c r="I56" s="4"/>
      <c r="J56" s="4"/>
    </row>
    <row r="57" spans="1:10" s="1" customFormat="1">
      <c r="A57" s="2">
        <f t="shared" si="0"/>
        <v>52</v>
      </c>
      <c r="B57" s="5"/>
      <c r="C57" s="5"/>
      <c r="D57" s="5"/>
      <c r="E57" s="4"/>
      <c r="F57" s="3"/>
      <c r="G57" s="3"/>
      <c r="H57" s="2"/>
      <c r="I57" s="4"/>
      <c r="J57" s="4"/>
    </row>
    <row r="58" spans="1:10" s="1" customFormat="1">
      <c r="A58" s="2">
        <f t="shared" si="0"/>
        <v>53</v>
      </c>
      <c r="B58" s="5"/>
      <c r="C58" s="13"/>
      <c r="D58" s="5"/>
      <c r="E58" s="4"/>
      <c r="F58" s="3"/>
      <c r="G58" s="3"/>
      <c r="H58" s="2"/>
      <c r="I58" s="4"/>
      <c r="J58" s="4"/>
    </row>
    <row r="59" spans="1:10" s="1" customFormat="1">
      <c r="A59" s="2">
        <f t="shared" si="0"/>
        <v>54</v>
      </c>
      <c r="B59" s="5"/>
      <c r="C59" s="5"/>
      <c r="D59" s="5"/>
      <c r="E59" s="4"/>
      <c r="F59" s="3"/>
      <c r="G59" s="3"/>
      <c r="H59" s="2"/>
      <c r="I59" s="4"/>
      <c r="J59" s="4"/>
    </row>
    <row r="61" spans="1:10">
      <c r="B61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0FB7-15F1-47C6-9024-4F65F8BE447E}">
  <sheetPr codeName="Sheet4"/>
  <dimension ref="A1:J43"/>
  <sheetViews>
    <sheetView topLeftCell="A4" workbookViewId="0">
      <selection activeCell="C14" sqref="C14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売上レシピ検索</v>
      </c>
      <c r="D1" s="8"/>
    </row>
    <row r="2" spans="1:10">
      <c r="B2" s="11" t="s">
        <v>9</v>
      </c>
      <c r="C2" s="10">
        <f>COUNTA(D6:D41)</f>
        <v>29</v>
      </c>
    </row>
    <row r="3" spans="1:10">
      <c r="B3" s="11" t="s">
        <v>11</v>
      </c>
      <c r="C3" s="10">
        <f>COUNTA(G6:G41)</f>
        <v>0</v>
      </c>
    </row>
    <row r="4" spans="1:10">
      <c r="B4" s="9"/>
      <c r="C4" s="8"/>
    </row>
    <row r="5" spans="1:10" s="6" customFormat="1">
      <c r="A5" s="12" t="s">
        <v>4</v>
      </c>
      <c r="B5" s="12" t="s">
        <v>6</v>
      </c>
      <c r="C5" s="12" t="s">
        <v>7</v>
      </c>
      <c r="D5" s="12" t="s">
        <v>3</v>
      </c>
      <c r="E5" s="12" t="s">
        <v>2</v>
      </c>
      <c r="F5" s="12" t="s">
        <v>1</v>
      </c>
      <c r="G5" s="12" t="s">
        <v>0</v>
      </c>
      <c r="H5" s="15" t="s">
        <v>8</v>
      </c>
      <c r="I5" s="15"/>
      <c r="J5" s="15"/>
    </row>
    <row r="6" spans="1:10" s="1" customFormat="1" ht="54">
      <c r="A6" s="2">
        <f>ROW()-5</f>
        <v>1</v>
      </c>
      <c r="B6" s="5" t="s">
        <v>14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41" si="0">ROW()-5</f>
        <v>2</v>
      </c>
      <c r="B7" s="5"/>
      <c r="C7" s="5" t="s">
        <v>18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15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49</v>
      </c>
      <c r="D10" s="5" t="s">
        <v>39</v>
      </c>
      <c r="E10" s="4"/>
      <c r="F10" s="3"/>
      <c r="G10" s="3"/>
      <c r="H10" s="2"/>
      <c r="I10" s="4"/>
      <c r="J10" s="4"/>
    </row>
    <row r="11" spans="1:10" s="1" customFormat="1" ht="72">
      <c r="A11" s="2">
        <f t="shared" si="0"/>
        <v>6</v>
      </c>
      <c r="B11" s="5" t="s">
        <v>13</v>
      </c>
      <c r="C11" s="5" t="s">
        <v>50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/>
      <c r="C12" s="5" t="s">
        <v>51</v>
      </c>
      <c r="D12" s="5" t="s">
        <v>40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 t="s">
        <v>39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66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53</v>
      </c>
      <c r="D15" s="5" t="s">
        <v>67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11</v>
      </c>
      <c r="B16" s="5"/>
      <c r="C16" s="5" t="s">
        <v>52</v>
      </c>
      <c r="D16" s="5" t="s">
        <v>40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 t="s">
        <v>39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 t="s">
        <v>66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53</v>
      </c>
      <c r="D19" s="5" t="s">
        <v>67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5" t="s">
        <v>55</v>
      </c>
      <c r="D20" s="5" t="s">
        <v>44</v>
      </c>
      <c r="E20" s="4"/>
      <c r="F20" s="3"/>
      <c r="G20" s="3"/>
      <c r="H20" s="2"/>
      <c r="I20" s="4"/>
      <c r="J20" s="4"/>
    </row>
    <row r="21" spans="1:10" s="1" customFormat="1" ht="90">
      <c r="A21" s="2">
        <f t="shared" si="0"/>
        <v>16</v>
      </c>
      <c r="B21" s="5"/>
      <c r="C21" s="5" t="s">
        <v>56</v>
      </c>
      <c r="D21" s="5" t="s">
        <v>58</v>
      </c>
      <c r="E21" s="4"/>
      <c r="F21" s="3"/>
      <c r="G21" s="3"/>
      <c r="H21" s="2"/>
      <c r="I21" s="4"/>
      <c r="J21" s="4"/>
    </row>
    <row r="22" spans="1:10" s="1" customFormat="1" ht="90">
      <c r="A22" s="2">
        <f t="shared" si="0"/>
        <v>17</v>
      </c>
      <c r="B22" s="5"/>
      <c r="C22" s="5" t="s">
        <v>57</v>
      </c>
      <c r="D22" s="5" t="s">
        <v>59</v>
      </c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18</v>
      </c>
      <c r="B23" s="5"/>
      <c r="C23" s="5" t="s">
        <v>60</v>
      </c>
      <c r="D23" s="5" t="s">
        <v>44</v>
      </c>
      <c r="E23" s="4"/>
      <c r="F23" s="3"/>
      <c r="G23" s="3"/>
      <c r="H23" s="2"/>
      <c r="I23" s="4"/>
      <c r="J23" s="4"/>
    </row>
    <row r="24" spans="1:10" s="1" customFormat="1" ht="90">
      <c r="A24" s="2">
        <f t="shared" si="0"/>
        <v>19</v>
      </c>
      <c r="B24" s="5"/>
      <c r="C24" s="5" t="s">
        <v>61</v>
      </c>
      <c r="D24" s="5" t="s">
        <v>63</v>
      </c>
      <c r="E24" s="4"/>
      <c r="F24" s="3"/>
      <c r="G24" s="3"/>
      <c r="H24" s="2"/>
      <c r="I24" s="4"/>
      <c r="J24" s="4"/>
    </row>
    <row r="25" spans="1:10" s="1" customFormat="1" ht="90">
      <c r="A25" s="2">
        <f t="shared" si="0"/>
        <v>20</v>
      </c>
      <c r="B25" s="5"/>
      <c r="C25" s="5" t="s">
        <v>62</v>
      </c>
      <c r="D25" s="5" t="s">
        <v>64</v>
      </c>
      <c r="E25" s="4"/>
      <c r="F25" s="3"/>
      <c r="G25" s="3"/>
      <c r="H25" s="2"/>
      <c r="I25" s="4"/>
      <c r="J25" s="4"/>
    </row>
    <row r="26" spans="1:10" s="1" customFormat="1" ht="72">
      <c r="A26" s="2">
        <f t="shared" si="0"/>
        <v>21</v>
      </c>
      <c r="B26" s="5"/>
      <c r="C26" s="5" t="s">
        <v>65</v>
      </c>
      <c r="D26" s="5"/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22</v>
      </c>
      <c r="B27" s="5"/>
      <c r="C27" s="5" t="s">
        <v>51</v>
      </c>
      <c r="D27" s="5" t="s">
        <v>40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 t="s">
        <v>39</v>
      </c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 t="s">
        <v>66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 t="s">
        <v>53</v>
      </c>
      <c r="D30" s="5" t="s">
        <v>67</v>
      </c>
      <c r="E30" s="4"/>
      <c r="F30" s="3"/>
      <c r="G30" s="3"/>
      <c r="H30" s="2"/>
      <c r="I30" s="4"/>
      <c r="J30" s="4"/>
    </row>
    <row r="31" spans="1:10" s="1" customFormat="1" ht="36">
      <c r="A31" s="2">
        <f t="shared" si="0"/>
        <v>26</v>
      </c>
      <c r="B31" s="5"/>
      <c r="C31" s="5" t="s">
        <v>52</v>
      </c>
      <c r="D31" s="5" t="s">
        <v>40</v>
      </c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 t="s">
        <v>39</v>
      </c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 t="s">
        <v>66</v>
      </c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 t="s">
        <v>53</v>
      </c>
      <c r="D34" s="5" t="s">
        <v>67</v>
      </c>
      <c r="E34" s="4"/>
      <c r="F34" s="3"/>
      <c r="G34" s="3"/>
      <c r="H34" s="2"/>
      <c r="I34" s="4"/>
      <c r="J34" s="4"/>
    </row>
    <row r="35" spans="1:10" s="1" customFormat="1" ht="36">
      <c r="A35" s="2">
        <f t="shared" si="0"/>
        <v>30</v>
      </c>
      <c r="B35" s="5"/>
      <c r="C35" s="5" t="s">
        <v>55</v>
      </c>
      <c r="D35" s="5" t="s">
        <v>44</v>
      </c>
      <c r="E35" s="4"/>
      <c r="F35" s="3"/>
      <c r="G35" s="3"/>
      <c r="H35" s="2"/>
      <c r="I35" s="4"/>
      <c r="J35" s="4"/>
    </row>
    <row r="36" spans="1:10" s="1" customFormat="1" ht="90">
      <c r="A36" s="2">
        <f t="shared" si="0"/>
        <v>31</v>
      </c>
      <c r="B36" s="5"/>
      <c r="C36" s="5" t="s">
        <v>68</v>
      </c>
      <c r="D36" s="5" t="s">
        <v>69</v>
      </c>
      <c r="E36" s="4"/>
      <c r="F36" s="3"/>
      <c r="G36" s="3"/>
      <c r="H36" s="2"/>
      <c r="I36" s="4"/>
      <c r="J36" s="4"/>
    </row>
    <row r="37" spans="1:10" s="1" customFormat="1" ht="90">
      <c r="A37" s="2">
        <f t="shared" si="0"/>
        <v>32</v>
      </c>
      <c r="B37" s="5"/>
      <c r="C37" s="5" t="s">
        <v>70</v>
      </c>
      <c r="D37" s="5" t="s">
        <v>71</v>
      </c>
      <c r="E37" s="4"/>
      <c r="F37" s="3"/>
      <c r="G37" s="3"/>
      <c r="H37" s="2"/>
      <c r="I37" s="4"/>
      <c r="J37" s="4"/>
    </row>
    <row r="38" spans="1:10" s="1" customFormat="1" ht="36">
      <c r="A38" s="2">
        <f t="shared" si="0"/>
        <v>33</v>
      </c>
      <c r="B38" s="5"/>
      <c r="C38" s="5" t="s">
        <v>60</v>
      </c>
      <c r="D38" s="5" t="s">
        <v>44</v>
      </c>
      <c r="E38" s="4"/>
      <c r="F38" s="3"/>
      <c r="G38" s="3"/>
      <c r="H38" s="2"/>
      <c r="I38" s="4"/>
      <c r="J38" s="4"/>
    </row>
    <row r="39" spans="1:10" s="1" customFormat="1" ht="90">
      <c r="A39" s="2">
        <f t="shared" si="0"/>
        <v>34</v>
      </c>
      <c r="B39" s="5"/>
      <c r="C39" s="5" t="s">
        <v>72</v>
      </c>
      <c r="D39" s="5" t="s">
        <v>73</v>
      </c>
      <c r="E39" s="4"/>
      <c r="F39" s="3"/>
      <c r="G39" s="3"/>
      <c r="H39" s="2"/>
      <c r="I39" s="4"/>
      <c r="J39" s="4"/>
    </row>
    <row r="40" spans="1:10" s="1" customFormat="1" ht="90">
      <c r="A40" s="2">
        <f t="shared" si="0"/>
        <v>35</v>
      </c>
      <c r="B40" s="5"/>
      <c r="C40" s="5" t="s">
        <v>74</v>
      </c>
      <c r="D40" s="5" t="s">
        <v>75</v>
      </c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3" spans="1:10">
      <c r="B43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CEB5F-3372-402F-8373-8AA13F1B1178}">
  <sheetPr codeName="Sheet5"/>
  <dimension ref="A1:J43"/>
  <sheetViews>
    <sheetView topLeftCell="A38" workbookViewId="0">
      <selection activeCell="C21" sqref="C21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仕入一覧表検索</v>
      </c>
      <c r="D1" s="8"/>
    </row>
    <row r="2" spans="1:10">
      <c r="B2" s="11" t="s">
        <v>9</v>
      </c>
      <c r="C2" s="10">
        <f>COUNTA(D6:D41)</f>
        <v>29</v>
      </c>
    </row>
    <row r="3" spans="1:10">
      <c r="B3" s="11" t="s">
        <v>11</v>
      </c>
      <c r="C3" s="10">
        <f>COUNTA(G6:G41)</f>
        <v>0</v>
      </c>
    </row>
    <row r="4" spans="1:10">
      <c r="B4" s="9"/>
      <c r="C4" s="8"/>
    </row>
    <row r="5" spans="1:10" s="6" customFormat="1">
      <c r="A5" s="12" t="s">
        <v>4</v>
      </c>
      <c r="B5" s="12" t="s">
        <v>6</v>
      </c>
      <c r="C5" s="12" t="s">
        <v>7</v>
      </c>
      <c r="D5" s="12" t="s">
        <v>3</v>
      </c>
      <c r="E5" s="12" t="s">
        <v>2</v>
      </c>
      <c r="F5" s="12" t="s">
        <v>1</v>
      </c>
      <c r="G5" s="12" t="s">
        <v>0</v>
      </c>
      <c r="H5" s="15" t="s">
        <v>8</v>
      </c>
      <c r="I5" s="15"/>
      <c r="J5" s="15"/>
    </row>
    <row r="6" spans="1:10" s="1" customFormat="1" ht="54">
      <c r="A6" s="2">
        <f>ROW()-5</f>
        <v>1</v>
      </c>
      <c r="B6" s="5" t="s">
        <v>14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41" si="0">ROW()-5</f>
        <v>2</v>
      </c>
      <c r="B7" s="5"/>
      <c r="C7" s="5" t="s">
        <v>18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15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78</v>
      </c>
      <c r="D10" s="5" t="s">
        <v>39</v>
      </c>
      <c r="E10" s="4"/>
      <c r="F10" s="3"/>
      <c r="G10" s="3"/>
      <c r="H10" s="2"/>
      <c r="I10" s="4"/>
      <c r="J10" s="4"/>
    </row>
    <row r="11" spans="1:10" s="1" customFormat="1" ht="72">
      <c r="A11" s="2">
        <f t="shared" si="0"/>
        <v>6</v>
      </c>
      <c r="B11" s="5" t="s">
        <v>13</v>
      </c>
      <c r="C11" s="5" t="s">
        <v>95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/>
      <c r="C12" s="5" t="s">
        <v>51</v>
      </c>
      <c r="D12" s="5" t="s">
        <v>40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 t="s">
        <v>39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76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53</v>
      </c>
      <c r="D15" s="5" t="s">
        <v>77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11</v>
      </c>
      <c r="B16" s="5"/>
      <c r="C16" s="5" t="s">
        <v>52</v>
      </c>
      <c r="D16" s="5" t="s">
        <v>40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 t="s">
        <v>39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 t="s">
        <v>76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53</v>
      </c>
      <c r="D19" s="5" t="s">
        <v>77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5" t="s">
        <v>55</v>
      </c>
      <c r="D20" s="5" t="s">
        <v>44</v>
      </c>
      <c r="E20" s="4"/>
      <c r="F20" s="3"/>
      <c r="G20" s="3"/>
      <c r="H20" s="2"/>
      <c r="I20" s="4"/>
      <c r="J20" s="4"/>
    </row>
    <row r="21" spans="1:10" s="1" customFormat="1" ht="90">
      <c r="A21" s="2">
        <f t="shared" si="0"/>
        <v>16</v>
      </c>
      <c r="B21" s="5"/>
      <c r="C21" s="5" t="s">
        <v>79</v>
      </c>
      <c r="D21" s="5" t="s">
        <v>80</v>
      </c>
      <c r="E21" s="4"/>
      <c r="F21" s="3"/>
      <c r="G21" s="3"/>
      <c r="H21" s="2"/>
      <c r="I21" s="4"/>
      <c r="J21" s="4"/>
    </row>
    <row r="22" spans="1:10" s="1" customFormat="1" ht="90">
      <c r="A22" s="2">
        <f t="shared" si="0"/>
        <v>17</v>
      </c>
      <c r="B22" s="5"/>
      <c r="C22" s="5" t="s">
        <v>81</v>
      </c>
      <c r="D22" s="5" t="s">
        <v>82</v>
      </c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18</v>
      </c>
      <c r="B23" s="5"/>
      <c r="C23" s="5" t="s">
        <v>60</v>
      </c>
      <c r="D23" s="5" t="s">
        <v>44</v>
      </c>
      <c r="E23" s="4"/>
      <c r="F23" s="3"/>
      <c r="G23" s="3"/>
      <c r="H23" s="2"/>
      <c r="I23" s="4"/>
      <c r="J23" s="4"/>
    </row>
    <row r="24" spans="1:10" s="1" customFormat="1" ht="90">
      <c r="A24" s="2">
        <f t="shared" si="0"/>
        <v>19</v>
      </c>
      <c r="B24" s="5"/>
      <c r="C24" s="5" t="s">
        <v>83</v>
      </c>
      <c r="D24" s="5" t="s">
        <v>84</v>
      </c>
      <c r="E24" s="4"/>
      <c r="F24" s="3"/>
      <c r="G24" s="3"/>
      <c r="H24" s="2"/>
      <c r="I24" s="4"/>
      <c r="J24" s="4"/>
    </row>
    <row r="25" spans="1:10" s="1" customFormat="1" ht="90">
      <c r="A25" s="2">
        <f t="shared" si="0"/>
        <v>20</v>
      </c>
      <c r="B25" s="5"/>
      <c r="C25" s="5" t="s">
        <v>85</v>
      </c>
      <c r="D25" s="5" t="s">
        <v>86</v>
      </c>
      <c r="E25" s="4"/>
      <c r="F25" s="3"/>
      <c r="G25" s="3"/>
      <c r="H25" s="2"/>
      <c r="I25" s="4"/>
      <c r="J25" s="4"/>
    </row>
    <row r="26" spans="1:10" s="1" customFormat="1" ht="72">
      <c r="A26" s="2">
        <f t="shared" si="0"/>
        <v>21</v>
      </c>
      <c r="B26" s="5"/>
      <c r="C26" s="5" t="s">
        <v>96</v>
      </c>
      <c r="D26" s="5"/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22</v>
      </c>
      <c r="B27" s="5"/>
      <c r="C27" s="5" t="s">
        <v>51</v>
      </c>
      <c r="D27" s="5" t="s">
        <v>40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 t="s">
        <v>39</v>
      </c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 t="s">
        <v>76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 t="s">
        <v>53</v>
      </c>
      <c r="D30" s="5" t="s">
        <v>77</v>
      </c>
      <c r="E30" s="4"/>
      <c r="F30" s="3"/>
      <c r="G30" s="3"/>
      <c r="H30" s="2"/>
      <c r="I30" s="4"/>
      <c r="J30" s="4"/>
    </row>
    <row r="31" spans="1:10" s="1" customFormat="1" ht="36">
      <c r="A31" s="2">
        <f t="shared" si="0"/>
        <v>26</v>
      </c>
      <c r="B31" s="5"/>
      <c r="C31" s="5" t="s">
        <v>52</v>
      </c>
      <c r="D31" s="5" t="s">
        <v>40</v>
      </c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 t="s">
        <v>39</v>
      </c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 t="s">
        <v>76</v>
      </c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 t="s">
        <v>53</v>
      </c>
      <c r="D34" s="5" t="s">
        <v>77</v>
      </c>
      <c r="E34" s="4"/>
      <c r="F34" s="3"/>
      <c r="G34" s="3"/>
      <c r="H34" s="2"/>
      <c r="I34" s="4"/>
      <c r="J34" s="4"/>
    </row>
    <row r="35" spans="1:10" s="1" customFormat="1" ht="36">
      <c r="A35" s="2">
        <f t="shared" si="0"/>
        <v>30</v>
      </c>
      <c r="B35" s="5"/>
      <c r="C35" s="5" t="s">
        <v>55</v>
      </c>
      <c r="D35" s="5" t="s">
        <v>44</v>
      </c>
      <c r="E35" s="4"/>
      <c r="F35" s="3"/>
      <c r="G35" s="3"/>
      <c r="H35" s="2"/>
      <c r="I35" s="4"/>
      <c r="J35" s="4"/>
    </row>
    <row r="36" spans="1:10" s="1" customFormat="1" ht="90">
      <c r="A36" s="2">
        <f t="shared" si="0"/>
        <v>31</v>
      </c>
      <c r="B36" s="5"/>
      <c r="C36" s="5" t="s">
        <v>87</v>
      </c>
      <c r="D36" s="5" t="s">
        <v>88</v>
      </c>
      <c r="E36" s="4"/>
      <c r="F36" s="3"/>
      <c r="G36" s="3"/>
      <c r="H36" s="2"/>
      <c r="I36" s="4"/>
      <c r="J36" s="4"/>
    </row>
    <row r="37" spans="1:10" s="1" customFormat="1" ht="90">
      <c r="A37" s="2">
        <f t="shared" si="0"/>
        <v>32</v>
      </c>
      <c r="B37" s="5"/>
      <c r="C37" s="5" t="s">
        <v>89</v>
      </c>
      <c r="D37" s="5" t="s">
        <v>90</v>
      </c>
      <c r="E37" s="4"/>
      <c r="F37" s="3"/>
      <c r="G37" s="3"/>
      <c r="H37" s="2"/>
      <c r="I37" s="4"/>
      <c r="J37" s="4"/>
    </row>
    <row r="38" spans="1:10" s="1" customFormat="1" ht="36">
      <c r="A38" s="2">
        <f t="shared" si="0"/>
        <v>33</v>
      </c>
      <c r="B38" s="5"/>
      <c r="C38" s="5" t="s">
        <v>60</v>
      </c>
      <c r="D38" s="5" t="s">
        <v>44</v>
      </c>
      <c r="E38" s="4"/>
      <c r="F38" s="3"/>
      <c r="G38" s="3"/>
      <c r="H38" s="2"/>
      <c r="I38" s="4"/>
      <c r="J38" s="4"/>
    </row>
    <row r="39" spans="1:10" s="1" customFormat="1" ht="90">
      <c r="A39" s="2">
        <f t="shared" si="0"/>
        <v>34</v>
      </c>
      <c r="B39" s="5"/>
      <c r="C39" s="5" t="s">
        <v>91</v>
      </c>
      <c r="D39" s="5" t="s">
        <v>92</v>
      </c>
      <c r="E39" s="4"/>
      <c r="F39" s="3"/>
      <c r="G39" s="3"/>
      <c r="H39" s="2"/>
      <c r="I39" s="4"/>
      <c r="J39" s="4"/>
    </row>
    <row r="40" spans="1:10" s="1" customFormat="1" ht="90">
      <c r="A40" s="2">
        <f t="shared" si="0"/>
        <v>35</v>
      </c>
      <c r="B40" s="5"/>
      <c r="C40" s="5" t="s">
        <v>93</v>
      </c>
      <c r="D40" s="5" t="s">
        <v>94</v>
      </c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3" spans="1:10">
      <c r="B43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964B2-4637-453C-8CE7-93FB3A6AEA4E}">
  <sheetPr codeName="Sheet6"/>
  <dimension ref="A1:J58"/>
  <sheetViews>
    <sheetView topLeftCell="A55" workbookViewId="0">
      <selection activeCell="C52" sqref="C52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Purchase recipe file検索</v>
      </c>
      <c r="D1" s="8"/>
    </row>
    <row r="2" spans="1:10">
      <c r="B2" s="11" t="s">
        <v>9</v>
      </c>
      <c r="C2" s="10">
        <f>COUNTA(D6:D56)</f>
        <v>43</v>
      </c>
    </row>
    <row r="3" spans="1:10">
      <c r="B3" s="11" t="s">
        <v>11</v>
      </c>
      <c r="C3" s="10">
        <f>COUNTA(G6:G56)</f>
        <v>0</v>
      </c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54">
      <c r="A6" s="2">
        <f>ROW()-5</f>
        <v>1</v>
      </c>
      <c r="B6" s="5" t="s">
        <v>14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56" si="0">ROW()-5</f>
        <v>2</v>
      </c>
      <c r="B7" s="5"/>
      <c r="C7" s="5" t="s">
        <v>18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15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97</v>
      </c>
      <c r="D10" s="5" t="s">
        <v>39</v>
      </c>
      <c r="E10" s="4"/>
      <c r="F10" s="3"/>
      <c r="G10" s="3"/>
      <c r="H10" s="2"/>
      <c r="I10" s="4"/>
      <c r="J10" s="4"/>
    </row>
    <row r="11" spans="1:10" s="1" customFormat="1" ht="72">
      <c r="A11" s="2">
        <f t="shared" si="0"/>
        <v>6</v>
      </c>
      <c r="B11" s="5" t="s">
        <v>13</v>
      </c>
      <c r="C11" s="5" t="s">
        <v>100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/>
      <c r="C12" s="5" t="s">
        <v>51</v>
      </c>
      <c r="D12" s="5" t="s">
        <v>40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 t="s">
        <v>39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98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53</v>
      </c>
      <c r="D15" s="5" t="s">
        <v>99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11</v>
      </c>
      <c r="B16" s="5"/>
      <c r="C16" s="5" t="s">
        <v>52</v>
      </c>
      <c r="D16" s="5" t="s">
        <v>40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 t="s">
        <v>39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 t="s">
        <v>98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53</v>
      </c>
      <c r="D19" s="5" t="s">
        <v>99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5" t="s">
        <v>55</v>
      </c>
      <c r="D20" s="5" t="s">
        <v>44</v>
      </c>
      <c r="E20" s="4"/>
      <c r="F20" s="3"/>
      <c r="G20" s="3"/>
      <c r="H20" s="2"/>
      <c r="I20" s="4"/>
      <c r="J20" s="4"/>
    </row>
    <row r="21" spans="1:10" s="1" customFormat="1" ht="90">
      <c r="A21" s="2">
        <f t="shared" si="0"/>
        <v>16</v>
      </c>
      <c r="B21" s="5"/>
      <c r="C21" s="5" t="s">
        <v>101</v>
      </c>
      <c r="D21" s="5" t="s">
        <v>102</v>
      </c>
      <c r="E21" s="4"/>
      <c r="F21" s="3"/>
      <c r="G21" s="3"/>
      <c r="H21" s="2"/>
      <c r="I21" s="4"/>
      <c r="J21" s="4"/>
    </row>
    <row r="22" spans="1:10" s="1" customFormat="1" ht="90">
      <c r="A22" s="2">
        <f t="shared" si="0"/>
        <v>17</v>
      </c>
      <c r="B22" s="5"/>
      <c r="C22" s="5" t="s">
        <v>103</v>
      </c>
      <c r="D22" s="5" t="s">
        <v>104</v>
      </c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18</v>
      </c>
      <c r="B23" s="5"/>
      <c r="C23" s="5" t="s">
        <v>60</v>
      </c>
      <c r="D23" s="5" t="s">
        <v>44</v>
      </c>
      <c r="E23" s="4"/>
      <c r="F23" s="3"/>
      <c r="G23" s="3"/>
      <c r="H23" s="2"/>
      <c r="I23" s="4"/>
      <c r="J23" s="4"/>
    </row>
    <row r="24" spans="1:10" s="1" customFormat="1" ht="90">
      <c r="A24" s="2">
        <f t="shared" si="0"/>
        <v>19</v>
      </c>
      <c r="B24" s="5"/>
      <c r="C24" s="5" t="s">
        <v>105</v>
      </c>
      <c r="D24" s="5" t="s">
        <v>106</v>
      </c>
      <c r="E24" s="4"/>
      <c r="F24" s="3"/>
      <c r="G24" s="3"/>
      <c r="H24" s="2"/>
      <c r="I24" s="4"/>
      <c r="J24" s="4"/>
    </row>
    <row r="25" spans="1:10" s="1" customFormat="1" ht="90">
      <c r="A25" s="2">
        <f t="shared" si="0"/>
        <v>20</v>
      </c>
      <c r="B25" s="5"/>
      <c r="C25" s="5" t="s">
        <v>107</v>
      </c>
      <c r="D25" s="5" t="s">
        <v>108</v>
      </c>
      <c r="E25" s="4"/>
      <c r="F25" s="3"/>
      <c r="G25" s="3"/>
      <c r="H25" s="2"/>
      <c r="I25" s="4"/>
      <c r="J25" s="4"/>
    </row>
    <row r="26" spans="1:10" s="1" customFormat="1" ht="72">
      <c r="A26" s="2">
        <f t="shared" si="0"/>
        <v>21</v>
      </c>
      <c r="B26" s="5"/>
      <c r="C26" s="5" t="s">
        <v>117</v>
      </c>
      <c r="D26" s="5"/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22</v>
      </c>
      <c r="B27" s="5"/>
      <c r="C27" s="5" t="s">
        <v>51</v>
      </c>
      <c r="D27" s="5" t="s">
        <v>40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 t="s">
        <v>39</v>
      </c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 t="s">
        <v>98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 t="s">
        <v>53</v>
      </c>
      <c r="D30" s="5" t="s">
        <v>99</v>
      </c>
      <c r="E30" s="4"/>
      <c r="F30" s="3"/>
      <c r="G30" s="3"/>
      <c r="H30" s="2"/>
      <c r="I30" s="4"/>
      <c r="J30" s="4"/>
    </row>
    <row r="31" spans="1:10" s="1" customFormat="1" ht="36">
      <c r="A31" s="2">
        <f t="shared" si="0"/>
        <v>26</v>
      </c>
      <c r="B31" s="5"/>
      <c r="C31" s="5" t="s">
        <v>52</v>
      </c>
      <c r="D31" s="5" t="s">
        <v>40</v>
      </c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 t="s">
        <v>39</v>
      </c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 t="s">
        <v>98</v>
      </c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 t="s">
        <v>53</v>
      </c>
      <c r="D34" s="5" t="s">
        <v>99</v>
      </c>
      <c r="E34" s="4"/>
      <c r="F34" s="3"/>
      <c r="G34" s="3"/>
      <c r="H34" s="2"/>
      <c r="I34" s="4"/>
      <c r="J34" s="4"/>
    </row>
    <row r="35" spans="1:10" s="1" customFormat="1" ht="36">
      <c r="A35" s="2">
        <f t="shared" si="0"/>
        <v>30</v>
      </c>
      <c r="B35" s="5"/>
      <c r="C35" s="5" t="s">
        <v>55</v>
      </c>
      <c r="D35" s="5" t="s">
        <v>44</v>
      </c>
      <c r="E35" s="4"/>
      <c r="F35" s="3"/>
      <c r="G35" s="3"/>
      <c r="H35" s="2"/>
      <c r="I35" s="4"/>
      <c r="J35" s="4"/>
    </row>
    <row r="36" spans="1:10" s="1" customFormat="1" ht="90">
      <c r="A36" s="2">
        <f t="shared" si="0"/>
        <v>31</v>
      </c>
      <c r="B36" s="5"/>
      <c r="C36" s="5" t="s">
        <v>109</v>
      </c>
      <c r="D36" s="5" t="s">
        <v>110</v>
      </c>
      <c r="E36" s="4"/>
      <c r="F36" s="3"/>
      <c r="G36" s="3"/>
      <c r="H36" s="2"/>
      <c r="I36" s="4"/>
      <c r="J36" s="4"/>
    </row>
    <row r="37" spans="1:10" s="1" customFormat="1" ht="90">
      <c r="A37" s="2">
        <f t="shared" si="0"/>
        <v>32</v>
      </c>
      <c r="B37" s="5"/>
      <c r="C37" s="5" t="s">
        <v>111</v>
      </c>
      <c r="D37" s="5" t="s">
        <v>112</v>
      </c>
      <c r="E37" s="4"/>
      <c r="F37" s="3"/>
      <c r="G37" s="3"/>
      <c r="H37" s="2"/>
      <c r="I37" s="4"/>
      <c r="J37" s="4"/>
    </row>
    <row r="38" spans="1:10" s="1" customFormat="1" ht="36">
      <c r="A38" s="2">
        <f t="shared" si="0"/>
        <v>33</v>
      </c>
      <c r="B38" s="5"/>
      <c r="C38" s="5" t="s">
        <v>60</v>
      </c>
      <c r="D38" s="5" t="s">
        <v>44</v>
      </c>
      <c r="E38" s="4"/>
      <c r="F38" s="3"/>
      <c r="G38" s="3"/>
      <c r="H38" s="2"/>
      <c r="I38" s="4"/>
      <c r="J38" s="4"/>
    </row>
    <row r="39" spans="1:10" s="1" customFormat="1" ht="90">
      <c r="A39" s="2">
        <f t="shared" si="0"/>
        <v>34</v>
      </c>
      <c r="B39" s="5"/>
      <c r="C39" s="5" t="s">
        <v>113</v>
      </c>
      <c r="D39" s="5" t="s">
        <v>114</v>
      </c>
      <c r="E39" s="4"/>
      <c r="F39" s="3"/>
      <c r="G39" s="3"/>
      <c r="H39" s="2"/>
      <c r="I39" s="4"/>
      <c r="J39" s="4"/>
    </row>
    <row r="40" spans="1:10" s="1" customFormat="1" ht="90">
      <c r="A40" s="2">
        <f t="shared" si="0"/>
        <v>35</v>
      </c>
      <c r="B40" s="5"/>
      <c r="C40" s="5" t="s">
        <v>115</v>
      </c>
      <c r="D40" s="5" t="s">
        <v>116</v>
      </c>
      <c r="E40" s="4"/>
      <c r="F40" s="3"/>
      <c r="G40" s="3"/>
      <c r="H40" s="2"/>
      <c r="I40" s="4"/>
      <c r="J40" s="4"/>
    </row>
    <row r="41" spans="1:10" s="1" customFormat="1" ht="72">
      <c r="A41" s="2">
        <f t="shared" si="0"/>
        <v>36</v>
      </c>
      <c r="B41" s="5"/>
      <c r="C41" s="5" t="s">
        <v>118</v>
      </c>
      <c r="D41" s="5"/>
      <c r="E41" s="4"/>
      <c r="F41" s="3"/>
      <c r="G41" s="3"/>
      <c r="H41" s="2"/>
      <c r="I41" s="4"/>
      <c r="J41" s="4"/>
    </row>
    <row r="42" spans="1:10" s="1" customFormat="1" ht="36">
      <c r="A42" s="2">
        <f t="shared" si="0"/>
        <v>37</v>
      </c>
      <c r="B42" s="5"/>
      <c r="C42" s="5" t="s">
        <v>51</v>
      </c>
      <c r="D42" s="5" t="s">
        <v>40</v>
      </c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/>
      <c r="D43" s="5" t="s">
        <v>39</v>
      </c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5"/>
      <c r="D44" s="5" t="s">
        <v>98</v>
      </c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 t="s">
        <v>53</v>
      </c>
      <c r="D45" s="5" t="s">
        <v>99</v>
      </c>
      <c r="E45" s="4"/>
      <c r="F45" s="3"/>
      <c r="G45" s="3"/>
      <c r="H45" s="2"/>
      <c r="I45" s="4"/>
      <c r="J45" s="4"/>
    </row>
    <row r="46" spans="1:10" s="1" customFormat="1" ht="36">
      <c r="A46" s="2">
        <f t="shared" si="0"/>
        <v>41</v>
      </c>
      <c r="B46" s="5"/>
      <c r="C46" s="5" t="s">
        <v>52</v>
      </c>
      <c r="D46" s="5" t="s">
        <v>40</v>
      </c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/>
      <c r="D47" s="5" t="s">
        <v>39</v>
      </c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5"/>
      <c r="D48" s="5" t="s">
        <v>98</v>
      </c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5" t="s">
        <v>53</v>
      </c>
      <c r="D49" s="5" t="s">
        <v>99</v>
      </c>
      <c r="E49" s="4"/>
      <c r="F49" s="3"/>
      <c r="G49" s="3"/>
      <c r="H49" s="2"/>
      <c r="I49" s="4"/>
      <c r="J49" s="4"/>
    </row>
    <row r="50" spans="1:10" s="1" customFormat="1" ht="36">
      <c r="A50" s="2">
        <f t="shared" si="0"/>
        <v>45</v>
      </c>
      <c r="B50" s="5"/>
      <c r="C50" s="5" t="s">
        <v>55</v>
      </c>
      <c r="D50" s="5" t="s">
        <v>44</v>
      </c>
      <c r="E50" s="4"/>
      <c r="F50" s="3"/>
      <c r="G50" s="3"/>
      <c r="H50" s="2"/>
      <c r="I50" s="4"/>
      <c r="J50" s="4"/>
    </row>
    <row r="51" spans="1:10" s="1" customFormat="1" ht="90">
      <c r="A51" s="2">
        <f t="shared" si="0"/>
        <v>46</v>
      </c>
      <c r="B51" s="5"/>
      <c r="C51" s="5" t="s">
        <v>119</v>
      </c>
      <c r="D51" s="5" t="s">
        <v>120</v>
      </c>
      <c r="E51" s="4"/>
      <c r="F51" s="3"/>
      <c r="G51" s="3"/>
      <c r="H51" s="2"/>
      <c r="I51" s="4"/>
      <c r="J51" s="4"/>
    </row>
    <row r="52" spans="1:10" s="1" customFormat="1" ht="90">
      <c r="A52" s="2">
        <f t="shared" si="0"/>
        <v>47</v>
      </c>
      <c r="B52" s="5"/>
      <c r="C52" s="5" t="s">
        <v>121</v>
      </c>
      <c r="D52" s="5" t="s">
        <v>122</v>
      </c>
      <c r="E52" s="4"/>
      <c r="F52" s="3"/>
      <c r="G52" s="3"/>
      <c r="H52" s="2"/>
      <c r="I52" s="4"/>
      <c r="J52" s="4"/>
    </row>
    <row r="53" spans="1:10" s="1" customFormat="1" ht="36">
      <c r="A53" s="2">
        <f t="shared" si="0"/>
        <v>48</v>
      </c>
      <c r="B53" s="5"/>
      <c r="C53" s="5" t="s">
        <v>60</v>
      </c>
      <c r="D53" s="5" t="s">
        <v>44</v>
      </c>
      <c r="E53" s="4"/>
      <c r="F53" s="3"/>
      <c r="G53" s="3"/>
      <c r="H53" s="2"/>
      <c r="I53" s="4"/>
      <c r="J53" s="4"/>
    </row>
    <row r="54" spans="1:10" s="1" customFormat="1" ht="90">
      <c r="A54" s="2">
        <f t="shared" si="0"/>
        <v>49</v>
      </c>
      <c r="B54" s="5"/>
      <c r="C54" s="5" t="s">
        <v>123</v>
      </c>
      <c r="D54" s="5" t="s">
        <v>124</v>
      </c>
      <c r="E54" s="4"/>
      <c r="F54" s="3"/>
      <c r="G54" s="3"/>
      <c r="H54" s="2"/>
      <c r="I54" s="4"/>
      <c r="J54" s="4"/>
    </row>
    <row r="55" spans="1:10" s="1" customFormat="1" ht="90">
      <c r="A55" s="2">
        <f t="shared" si="0"/>
        <v>50</v>
      </c>
      <c r="B55" s="5"/>
      <c r="C55" s="5" t="s">
        <v>125</v>
      </c>
      <c r="D55" s="5" t="s">
        <v>126</v>
      </c>
      <c r="E55" s="4"/>
      <c r="F55" s="3"/>
      <c r="G55" s="3"/>
      <c r="H55" s="2"/>
      <c r="I55" s="4"/>
      <c r="J55" s="4"/>
    </row>
    <row r="56" spans="1:10" s="1" customFormat="1">
      <c r="A56" s="2">
        <f t="shared" si="0"/>
        <v>51</v>
      </c>
      <c r="B56" s="5"/>
      <c r="C56" s="5"/>
      <c r="D56" s="5"/>
      <c r="E56" s="4"/>
      <c r="F56" s="3"/>
      <c r="G56" s="3"/>
      <c r="H56" s="2"/>
      <c r="I56" s="4"/>
      <c r="J56" s="4"/>
    </row>
    <row r="58" spans="1:10">
      <c r="B58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DD332-26C9-4A15-9F33-4C2BB63F9669}">
  <sheetPr codeName="Sheet7"/>
  <dimension ref="A1:J61"/>
  <sheetViews>
    <sheetView topLeftCell="A10" workbookViewId="0">
      <selection activeCell="C18" sqref="C1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見積原価書検索</v>
      </c>
      <c r="D1" s="16" t="s">
        <v>131</v>
      </c>
    </row>
    <row r="2" spans="1:10">
      <c r="B2" s="11" t="s">
        <v>9</v>
      </c>
      <c r="C2" s="10">
        <f>COUNTA(D6:D43)</f>
        <v>5</v>
      </c>
      <c r="D2" s="17"/>
    </row>
    <row r="3" spans="1:10">
      <c r="B3" s="11" t="s">
        <v>11</v>
      </c>
      <c r="C3" s="10">
        <f>COUNTA(G6:G43)</f>
        <v>0</v>
      </c>
      <c r="D3" s="18"/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54">
      <c r="A6" s="2">
        <f>ROW()-5</f>
        <v>1</v>
      </c>
      <c r="B6" s="5" t="s">
        <v>14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59" si="0">ROW()-5</f>
        <v>2</v>
      </c>
      <c r="B7" s="5"/>
      <c r="C7" s="5" t="s">
        <v>18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15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127</v>
      </c>
      <c r="D10" s="5" t="s">
        <v>39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6</v>
      </c>
      <c r="B11" s="5" t="s">
        <v>13</v>
      </c>
      <c r="C11" s="5" t="s">
        <v>130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5" t="s">
        <v>54</v>
      </c>
      <c r="D12" s="5" t="s">
        <v>40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128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53</v>
      </c>
      <c r="D15" s="5" t="s">
        <v>129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43</v>
      </c>
      <c r="D16" s="5" t="s">
        <v>44</v>
      </c>
      <c r="E16" s="4"/>
      <c r="F16" s="3"/>
      <c r="G16" s="3"/>
      <c r="H16" s="2"/>
      <c r="I16" s="4"/>
      <c r="J16" s="4"/>
    </row>
    <row r="17" spans="1:10" s="1" customFormat="1" ht="90">
      <c r="A17" s="2">
        <f t="shared" si="0"/>
        <v>12</v>
      </c>
      <c r="B17" s="5"/>
      <c r="C17" s="5" t="s">
        <v>139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5"/>
      <c r="D49" s="5"/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13"/>
      <c r="D50" s="5"/>
      <c r="E50" s="4"/>
      <c r="F50" s="3"/>
      <c r="G50" s="3"/>
      <c r="H50" s="2"/>
      <c r="I50" s="4"/>
      <c r="J50" s="4"/>
    </row>
    <row r="51" spans="1:10" s="1" customFormat="1">
      <c r="A51" s="2">
        <f t="shared" si="0"/>
        <v>46</v>
      </c>
      <c r="B51" s="5"/>
      <c r="C51" s="5"/>
      <c r="D51" s="5"/>
      <c r="E51" s="4"/>
      <c r="F51" s="3"/>
      <c r="G51" s="3"/>
      <c r="H51" s="2"/>
      <c r="I51" s="4"/>
      <c r="J51" s="4"/>
    </row>
    <row r="52" spans="1:10" s="1" customFormat="1">
      <c r="A52" s="2">
        <f t="shared" si="0"/>
        <v>47</v>
      </c>
      <c r="B52" s="5"/>
      <c r="C52" s="13"/>
      <c r="D52" s="5"/>
      <c r="E52" s="4"/>
      <c r="F52" s="3"/>
      <c r="G52" s="3"/>
      <c r="H52" s="2"/>
      <c r="I52" s="4"/>
      <c r="J52" s="4"/>
    </row>
    <row r="53" spans="1:10" s="1" customFormat="1">
      <c r="A53" s="2">
        <f t="shared" si="0"/>
        <v>48</v>
      </c>
      <c r="B53" s="5"/>
      <c r="C53" s="5"/>
      <c r="D53" s="5"/>
      <c r="E53" s="4"/>
      <c r="F53" s="3"/>
      <c r="G53" s="3"/>
      <c r="H53" s="2"/>
      <c r="I53" s="4"/>
      <c r="J53" s="4"/>
    </row>
    <row r="54" spans="1:10" s="1" customFormat="1">
      <c r="A54" s="2">
        <f t="shared" si="0"/>
        <v>49</v>
      </c>
      <c r="B54" s="5"/>
      <c r="C54" s="13"/>
      <c r="D54" s="5"/>
      <c r="E54" s="4"/>
      <c r="F54" s="3"/>
      <c r="G54" s="3"/>
      <c r="H54" s="2"/>
      <c r="I54" s="4"/>
      <c r="J54" s="4"/>
    </row>
    <row r="55" spans="1:10" s="1" customFormat="1">
      <c r="A55" s="2">
        <f t="shared" si="0"/>
        <v>50</v>
      </c>
      <c r="B55" s="5"/>
      <c r="C55" s="5"/>
      <c r="D55" s="5"/>
      <c r="E55" s="4"/>
      <c r="F55" s="3"/>
      <c r="G55" s="3"/>
      <c r="H55" s="2"/>
      <c r="I55" s="4"/>
      <c r="J55" s="4"/>
    </row>
    <row r="56" spans="1:10" s="1" customFormat="1">
      <c r="A56" s="2">
        <f t="shared" si="0"/>
        <v>51</v>
      </c>
      <c r="B56" s="5"/>
      <c r="C56" s="13"/>
      <c r="D56" s="5"/>
      <c r="E56" s="4"/>
      <c r="F56" s="3"/>
      <c r="G56" s="3"/>
      <c r="H56" s="2"/>
      <c r="I56" s="4"/>
      <c r="J56" s="4"/>
    </row>
    <row r="57" spans="1:10" s="1" customFormat="1">
      <c r="A57" s="2">
        <f t="shared" si="0"/>
        <v>52</v>
      </c>
      <c r="B57" s="5"/>
      <c r="C57" s="5"/>
      <c r="D57" s="5"/>
      <c r="E57" s="4"/>
      <c r="F57" s="3"/>
      <c r="G57" s="3"/>
      <c r="H57" s="2"/>
      <c r="I57" s="4"/>
      <c r="J57" s="4"/>
    </row>
    <row r="58" spans="1:10" s="1" customFormat="1">
      <c r="A58" s="2">
        <f t="shared" si="0"/>
        <v>53</v>
      </c>
      <c r="B58" s="5"/>
      <c r="C58" s="13"/>
      <c r="D58" s="5"/>
      <c r="E58" s="4"/>
      <c r="F58" s="3"/>
      <c r="G58" s="3"/>
      <c r="H58" s="2"/>
      <c r="I58" s="4"/>
      <c r="J58" s="4"/>
    </row>
    <row r="59" spans="1:10" s="1" customFormat="1">
      <c r="A59" s="2">
        <f t="shared" si="0"/>
        <v>54</v>
      </c>
      <c r="B59" s="5"/>
      <c r="C59" s="5"/>
      <c r="D59" s="5"/>
      <c r="E59" s="4"/>
      <c r="F59" s="3"/>
      <c r="G59" s="3"/>
      <c r="H59" s="2"/>
      <c r="I59" s="4"/>
      <c r="J59" s="4"/>
    </row>
    <row r="61" spans="1:10">
      <c r="B61" t="s">
        <v>10</v>
      </c>
    </row>
  </sheetData>
  <mergeCells count="2">
    <mergeCell ref="H5:J5"/>
    <mergeCell ref="D1:D3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D2F17-5857-4190-90AF-212920C8FC90}">
  <sheetPr codeName="Sheet8"/>
  <dimension ref="A1:J61"/>
  <sheetViews>
    <sheetView topLeftCell="A10" workbookViewId="0">
      <selection activeCell="C17" sqref="C17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売上見込検索</v>
      </c>
      <c r="D1" s="16" t="s">
        <v>131</v>
      </c>
    </row>
    <row r="2" spans="1:10">
      <c r="B2" s="11" t="s">
        <v>9</v>
      </c>
      <c r="C2" s="10">
        <f>COUNTA(D6:D43)</f>
        <v>5</v>
      </c>
      <c r="D2" s="17"/>
    </row>
    <row r="3" spans="1:10">
      <c r="B3" s="11" t="s">
        <v>11</v>
      </c>
      <c r="C3" s="10">
        <f>COUNTA(G6:G43)</f>
        <v>0</v>
      </c>
      <c r="D3" s="18"/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54">
      <c r="A6" s="2">
        <f>ROW()-5</f>
        <v>1</v>
      </c>
      <c r="B6" s="5" t="s">
        <v>14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59" si="0">ROW()-5</f>
        <v>2</v>
      </c>
      <c r="B7" s="5"/>
      <c r="C7" s="5" t="s">
        <v>18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15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133</v>
      </c>
      <c r="D10" s="5" t="s">
        <v>39</v>
      </c>
      <c r="E10" s="4"/>
      <c r="F10" s="3"/>
      <c r="G10" s="3"/>
      <c r="H10" s="2"/>
      <c r="I10" s="4"/>
      <c r="J10" s="4"/>
    </row>
    <row r="11" spans="1:10" s="1" customFormat="1" ht="90">
      <c r="A11" s="2">
        <f t="shared" si="0"/>
        <v>6</v>
      </c>
      <c r="B11" s="5" t="s">
        <v>13</v>
      </c>
      <c r="C11" s="5" t="s">
        <v>132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5" t="s">
        <v>54</v>
      </c>
      <c r="D12" s="5" t="s">
        <v>40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134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53</v>
      </c>
      <c r="D15" s="5" t="s">
        <v>135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43</v>
      </c>
      <c r="D16" s="5" t="s">
        <v>44</v>
      </c>
      <c r="E16" s="4"/>
      <c r="F16" s="3"/>
      <c r="G16" s="3"/>
      <c r="H16" s="2"/>
      <c r="I16" s="4"/>
      <c r="J16" s="4"/>
    </row>
    <row r="17" spans="1:10" s="1" customFormat="1" ht="90">
      <c r="A17" s="2">
        <f t="shared" si="0"/>
        <v>12</v>
      </c>
      <c r="B17" s="5"/>
      <c r="C17" s="5" t="s">
        <v>140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5"/>
      <c r="D49" s="5"/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13"/>
      <c r="D50" s="5"/>
      <c r="E50" s="4"/>
      <c r="F50" s="3"/>
      <c r="G50" s="3"/>
      <c r="H50" s="2"/>
      <c r="I50" s="4"/>
      <c r="J50" s="4"/>
    </row>
    <row r="51" spans="1:10" s="1" customFormat="1">
      <c r="A51" s="2">
        <f t="shared" si="0"/>
        <v>46</v>
      </c>
      <c r="B51" s="5"/>
      <c r="C51" s="5"/>
      <c r="D51" s="5"/>
      <c r="E51" s="4"/>
      <c r="F51" s="3"/>
      <c r="G51" s="3"/>
      <c r="H51" s="2"/>
      <c r="I51" s="4"/>
      <c r="J51" s="4"/>
    </row>
    <row r="52" spans="1:10" s="1" customFormat="1">
      <c r="A52" s="2">
        <f t="shared" si="0"/>
        <v>47</v>
      </c>
      <c r="B52" s="5"/>
      <c r="C52" s="13"/>
      <c r="D52" s="5"/>
      <c r="E52" s="4"/>
      <c r="F52" s="3"/>
      <c r="G52" s="3"/>
      <c r="H52" s="2"/>
      <c r="I52" s="4"/>
      <c r="J52" s="4"/>
    </row>
    <row r="53" spans="1:10" s="1" customFormat="1">
      <c r="A53" s="2">
        <f t="shared" si="0"/>
        <v>48</v>
      </c>
      <c r="B53" s="5"/>
      <c r="C53" s="5"/>
      <c r="D53" s="5"/>
      <c r="E53" s="4"/>
      <c r="F53" s="3"/>
      <c r="G53" s="3"/>
      <c r="H53" s="2"/>
      <c r="I53" s="4"/>
      <c r="J53" s="4"/>
    </row>
    <row r="54" spans="1:10" s="1" customFormat="1">
      <c r="A54" s="2">
        <f t="shared" si="0"/>
        <v>49</v>
      </c>
      <c r="B54" s="5"/>
      <c r="C54" s="13"/>
      <c r="D54" s="5"/>
      <c r="E54" s="4"/>
      <c r="F54" s="3"/>
      <c r="G54" s="3"/>
      <c r="H54" s="2"/>
      <c r="I54" s="4"/>
      <c r="J54" s="4"/>
    </row>
    <row r="55" spans="1:10" s="1" customFormat="1">
      <c r="A55" s="2">
        <f t="shared" si="0"/>
        <v>50</v>
      </c>
      <c r="B55" s="5"/>
      <c r="C55" s="5"/>
      <c r="D55" s="5"/>
      <c r="E55" s="4"/>
      <c r="F55" s="3"/>
      <c r="G55" s="3"/>
      <c r="H55" s="2"/>
      <c r="I55" s="4"/>
      <c r="J55" s="4"/>
    </row>
    <row r="56" spans="1:10" s="1" customFormat="1">
      <c r="A56" s="2">
        <f t="shared" si="0"/>
        <v>51</v>
      </c>
      <c r="B56" s="5"/>
      <c r="C56" s="13"/>
      <c r="D56" s="5"/>
      <c r="E56" s="4"/>
      <c r="F56" s="3"/>
      <c r="G56" s="3"/>
      <c r="H56" s="2"/>
      <c r="I56" s="4"/>
      <c r="J56" s="4"/>
    </row>
    <row r="57" spans="1:10" s="1" customFormat="1">
      <c r="A57" s="2">
        <f t="shared" si="0"/>
        <v>52</v>
      </c>
      <c r="B57" s="5"/>
      <c r="C57" s="5"/>
      <c r="D57" s="5"/>
      <c r="E57" s="4"/>
      <c r="F57" s="3"/>
      <c r="G57" s="3"/>
      <c r="H57" s="2"/>
      <c r="I57" s="4"/>
      <c r="J57" s="4"/>
    </row>
    <row r="58" spans="1:10" s="1" customFormat="1">
      <c r="A58" s="2">
        <f t="shared" si="0"/>
        <v>53</v>
      </c>
      <c r="B58" s="5"/>
      <c r="C58" s="13"/>
      <c r="D58" s="5"/>
      <c r="E58" s="4"/>
      <c r="F58" s="3"/>
      <c r="G58" s="3"/>
      <c r="H58" s="2"/>
      <c r="I58" s="4"/>
      <c r="J58" s="4"/>
    </row>
    <row r="59" spans="1:10" s="1" customFormat="1">
      <c r="A59" s="2">
        <f t="shared" si="0"/>
        <v>54</v>
      </c>
      <c r="B59" s="5"/>
      <c r="C59" s="5"/>
      <c r="D59" s="5"/>
      <c r="E59" s="4"/>
      <c r="F59" s="3"/>
      <c r="G59" s="3"/>
      <c r="H59" s="2"/>
      <c r="I59" s="4"/>
      <c r="J59" s="4"/>
    </row>
    <row r="61" spans="1:10">
      <c r="B61" t="s">
        <v>10</v>
      </c>
    </row>
  </sheetData>
  <mergeCells count="2">
    <mergeCell ref="D1:D3"/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4ED3-E957-4D07-B028-4C0DE494D323}">
  <sheetPr codeName="Sheet9"/>
  <dimension ref="A1:J61"/>
  <sheetViews>
    <sheetView topLeftCell="A10" workbookViewId="0">
      <selection activeCell="C18" sqref="C1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売上概算検索</v>
      </c>
      <c r="D1" s="16" t="s">
        <v>131</v>
      </c>
    </row>
    <row r="2" spans="1:10">
      <c r="B2" s="11" t="s">
        <v>9</v>
      </c>
      <c r="C2" s="10">
        <f>COUNTA(D6:D43)</f>
        <v>5</v>
      </c>
      <c r="D2" s="17"/>
    </row>
    <row r="3" spans="1:10">
      <c r="B3" s="11" t="s">
        <v>11</v>
      </c>
      <c r="C3" s="10">
        <f>COUNTA(G6:G43)</f>
        <v>0</v>
      </c>
      <c r="D3" s="18"/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54">
      <c r="A6" s="2">
        <f>ROW()-5</f>
        <v>1</v>
      </c>
      <c r="B6" s="5" t="s">
        <v>14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59" si="0">ROW()-5</f>
        <v>2</v>
      </c>
      <c r="B7" s="5"/>
      <c r="C7" s="5" t="s">
        <v>18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15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136</v>
      </c>
      <c r="D10" s="5" t="s">
        <v>39</v>
      </c>
      <c r="E10" s="4"/>
      <c r="F10" s="3"/>
      <c r="G10" s="3"/>
      <c r="H10" s="2"/>
      <c r="I10" s="4"/>
      <c r="J10" s="4"/>
    </row>
    <row r="11" spans="1:10" s="1" customFormat="1" ht="90">
      <c r="A11" s="2">
        <f t="shared" si="0"/>
        <v>6</v>
      </c>
      <c r="B11" s="5" t="s">
        <v>13</v>
      </c>
      <c r="C11" s="5" t="s">
        <v>132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5" t="s">
        <v>54</v>
      </c>
      <c r="D12" s="5" t="s">
        <v>40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137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53</v>
      </c>
      <c r="D15" s="5" t="s">
        <v>138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43</v>
      </c>
      <c r="D16" s="5" t="s">
        <v>44</v>
      </c>
      <c r="E16" s="4"/>
      <c r="F16" s="3"/>
      <c r="G16" s="3"/>
      <c r="H16" s="2"/>
      <c r="I16" s="4"/>
      <c r="J16" s="4"/>
    </row>
    <row r="17" spans="1:10" s="1" customFormat="1" ht="90">
      <c r="A17" s="2">
        <f t="shared" si="0"/>
        <v>12</v>
      </c>
      <c r="B17" s="5"/>
      <c r="C17" s="5" t="s">
        <v>141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5"/>
      <c r="D49" s="5"/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13"/>
      <c r="D50" s="5"/>
      <c r="E50" s="4"/>
      <c r="F50" s="3"/>
      <c r="G50" s="3"/>
      <c r="H50" s="2"/>
      <c r="I50" s="4"/>
      <c r="J50" s="4"/>
    </row>
    <row r="51" spans="1:10" s="1" customFormat="1">
      <c r="A51" s="2">
        <f t="shared" si="0"/>
        <v>46</v>
      </c>
      <c r="B51" s="5"/>
      <c r="C51" s="5"/>
      <c r="D51" s="5"/>
      <c r="E51" s="4"/>
      <c r="F51" s="3"/>
      <c r="G51" s="3"/>
      <c r="H51" s="2"/>
      <c r="I51" s="4"/>
      <c r="J51" s="4"/>
    </row>
    <row r="52" spans="1:10" s="1" customFormat="1">
      <c r="A52" s="2">
        <f t="shared" si="0"/>
        <v>47</v>
      </c>
      <c r="B52" s="5"/>
      <c r="C52" s="13"/>
      <c r="D52" s="5"/>
      <c r="E52" s="4"/>
      <c r="F52" s="3"/>
      <c r="G52" s="3"/>
      <c r="H52" s="2"/>
      <c r="I52" s="4"/>
      <c r="J52" s="4"/>
    </row>
    <row r="53" spans="1:10" s="1" customFormat="1">
      <c r="A53" s="2">
        <f t="shared" si="0"/>
        <v>48</v>
      </c>
      <c r="B53" s="5"/>
      <c r="C53" s="5"/>
      <c r="D53" s="5"/>
      <c r="E53" s="4"/>
      <c r="F53" s="3"/>
      <c r="G53" s="3"/>
      <c r="H53" s="2"/>
      <c r="I53" s="4"/>
      <c r="J53" s="4"/>
    </row>
    <row r="54" spans="1:10" s="1" customFormat="1">
      <c r="A54" s="2">
        <f t="shared" si="0"/>
        <v>49</v>
      </c>
      <c r="B54" s="5"/>
      <c r="C54" s="13"/>
      <c r="D54" s="5"/>
      <c r="E54" s="4"/>
      <c r="F54" s="3"/>
      <c r="G54" s="3"/>
      <c r="H54" s="2"/>
      <c r="I54" s="4"/>
      <c r="J54" s="4"/>
    </row>
    <row r="55" spans="1:10" s="1" customFormat="1">
      <c r="A55" s="2">
        <f t="shared" si="0"/>
        <v>50</v>
      </c>
      <c r="B55" s="5"/>
      <c r="C55" s="5"/>
      <c r="D55" s="5"/>
      <c r="E55" s="4"/>
      <c r="F55" s="3"/>
      <c r="G55" s="3"/>
      <c r="H55" s="2"/>
      <c r="I55" s="4"/>
      <c r="J55" s="4"/>
    </row>
    <row r="56" spans="1:10" s="1" customFormat="1">
      <c r="A56" s="2">
        <f t="shared" si="0"/>
        <v>51</v>
      </c>
      <c r="B56" s="5"/>
      <c r="C56" s="13"/>
      <c r="D56" s="5"/>
      <c r="E56" s="4"/>
      <c r="F56" s="3"/>
      <c r="G56" s="3"/>
      <c r="H56" s="2"/>
      <c r="I56" s="4"/>
      <c r="J56" s="4"/>
    </row>
    <row r="57" spans="1:10" s="1" customFormat="1">
      <c r="A57" s="2">
        <f t="shared" si="0"/>
        <v>52</v>
      </c>
      <c r="B57" s="5"/>
      <c r="C57" s="5"/>
      <c r="D57" s="5"/>
      <c r="E57" s="4"/>
      <c r="F57" s="3"/>
      <c r="G57" s="3"/>
      <c r="H57" s="2"/>
      <c r="I57" s="4"/>
      <c r="J57" s="4"/>
    </row>
    <row r="58" spans="1:10" s="1" customFormat="1">
      <c r="A58" s="2">
        <f t="shared" si="0"/>
        <v>53</v>
      </c>
      <c r="B58" s="5"/>
      <c r="C58" s="13"/>
      <c r="D58" s="5"/>
      <c r="E58" s="4"/>
      <c r="F58" s="3"/>
      <c r="G58" s="3"/>
      <c r="H58" s="2"/>
      <c r="I58" s="4"/>
      <c r="J58" s="4"/>
    </row>
    <row r="59" spans="1:10" s="1" customFormat="1">
      <c r="A59" s="2">
        <f t="shared" si="0"/>
        <v>54</v>
      </c>
      <c r="B59" s="5"/>
      <c r="C59" s="5"/>
      <c r="D59" s="5"/>
      <c r="E59" s="4"/>
      <c r="F59" s="3"/>
      <c r="G59" s="3"/>
      <c r="H59" s="2"/>
      <c r="I59" s="4"/>
      <c r="J59" s="4"/>
    </row>
    <row r="61" spans="1:10">
      <c r="B61" t="s">
        <v>10</v>
      </c>
    </row>
  </sheetData>
  <mergeCells count="2">
    <mergeCell ref="D1:D3"/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16</vt:i4>
      </vt:variant>
    </vt:vector>
  </HeadingPairs>
  <TitlesOfParts>
    <vt:vector size="25" baseType="lpstr">
      <vt:lpstr>表紙</vt:lpstr>
      <vt:lpstr>データエクスポート</vt:lpstr>
      <vt:lpstr>LC予定表検索</vt:lpstr>
      <vt:lpstr>売上レシピ検索</vt:lpstr>
      <vt:lpstr>仕入一覧表検索</vt:lpstr>
      <vt:lpstr>Purchase recipe file検索</vt:lpstr>
      <vt:lpstr>見積原価書検索</vt:lpstr>
      <vt:lpstr>売上見込検索</vt:lpstr>
      <vt:lpstr>売上概算検索</vt:lpstr>
      <vt:lpstr>LC予定表検索!comp_count</vt:lpstr>
      <vt:lpstr>'Purchase recipe file検索'!comp_count</vt:lpstr>
      <vt:lpstr>データエクスポート!comp_count</vt:lpstr>
      <vt:lpstr>見積原価書検索!comp_count</vt:lpstr>
      <vt:lpstr>仕入一覧表検索!comp_count</vt:lpstr>
      <vt:lpstr>売上レシピ検索!comp_count</vt:lpstr>
      <vt:lpstr>売上概算検索!comp_count</vt:lpstr>
      <vt:lpstr>売上見込検索!comp_count</vt:lpstr>
      <vt:lpstr>LC予定表検索!item_count</vt:lpstr>
      <vt:lpstr>'Purchase recipe file検索'!item_count</vt:lpstr>
      <vt:lpstr>データエクスポート!item_count</vt:lpstr>
      <vt:lpstr>見積原価書検索!item_count</vt:lpstr>
      <vt:lpstr>仕入一覧表検索!item_count</vt:lpstr>
      <vt:lpstr>売上レシピ検索!item_count</vt:lpstr>
      <vt:lpstr>売上概算検索!item_count</vt:lpstr>
      <vt:lpstr>売上見込検索!item_count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2019-05-16T10:14:54Z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