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3\開発\クワガタ\03_H30 KID'Sシステムリニューアル\05_結合試験\受注管理\"/>
    </mc:Choice>
  </mc:AlternateContent>
  <xr:revisionPtr revIDLastSave="0" documentId="13_ncr:1_{1665914A-EB65-4AA9-A6F4-856DB583D358}" xr6:coauthVersionLast="40" xr6:coauthVersionMax="40" xr10:uidLastSave="{00000000-0000-0000-0000-000000000000}"/>
  <bookViews>
    <workbookView xWindow="0" yWindow="0" windowWidth="23040" windowHeight="8376" activeTab="5" xr2:uid="{7855FBD0-5EC9-4DBA-9A4B-0C57305BA533}"/>
  </bookViews>
  <sheets>
    <sheet name="表紙" sheetId="8" r:id="rId1"/>
    <sheet name="受注検索" sheetId="5" r:id="rId2"/>
    <sheet name="受注一覧" sheetId="6" r:id="rId3"/>
    <sheet name="受注詳細" sheetId="7" r:id="rId4"/>
    <sheet name="受注確定" sheetId="10" r:id="rId5"/>
    <sheet name="確定取消" sheetId="11" r:id="rId6"/>
  </sheets>
  <definedNames>
    <definedName name="comp_count" localSheetId="5">確定取消!$C$3</definedName>
    <definedName name="comp_count" localSheetId="2">受注一覧!$C$3</definedName>
    <definedName name="comp_count" localSheetId="4">受注確定!$C$3</definedName>
    <definedName name="comp_count" localSheetId="1">受注検索!$C$3</definedName>
    <definedName name="comp_count" localSheetId="3">受注詳細!$C$3</definedName>
    <definedName name="item_count" localSheetId="5">確定取消!$C$2</definedName>
    <definedName name="item_count" localSheetId="2">受注一覧!$C$2</definedName>
    <definedName name="item_count" localSheetId="4">受注確定!$C$2</definedName>
    <definedName name="item_count" localSheetId="1">受注検索!$C$2</definedName>
    <definedName name="item_count" localSheetId="3">受注詳細!$C$2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 i="11" l="1"/>
  <c r="A33" i="11"/>
  <c r="A32" i="11"/>
  <c r="A31" i="11"/>
  <c r="A30" i="11"/>
  <c r="A39" i="11"/>
  <c r="A38" i="11"/>
  <c r="A37" i="11"/>
  <c r="A36" i="11"/>
  <c r="A35" i="11"/>
  <c r="A29" i="11"/>
  <c r="A28" i="11"/>
  <c r="A27" i="11"/>
  <c r="A26" i="11"/>
  <c r="A25" i="11"/>
  <c r="A24" i="11"/>
  <c r="A23" i="11"/>
  <c r="A22" i="11"/>
  <c r="A21" i="11"/>
  <c r="A20" i="11"/>
  <c r="A19" i="11"/>
  <c r="A18" i="11"/>
  <c r="A17" i="11"/>
  <c r="A16" i="11"/>
  <c r="A15" i="11"/>
  <c r="A14" i="11"/>
  <c r="A13" i="11"/>
  <c r="A12" i="11"/>
  <c r="A11" i="11"/>
  <c r="A10" i="11"/>
  <c r="A9" i="11"/>
  <c r="A8" i="11"/>
  <c r="A7" i="11"/>
  <c r="A6" i="11"/>
  <c r="C3" i="11"/>
  <c r="C2" i="11"/>
  <c r="C1" i="11"/>
  <c r="A73" i="10"/>
  <c r="A72" i="10"/>
  <c r="A71" i="10"/>
  <c r="A70" i="10"/>
  <c r="A75" i="10"/>
  <c r="A74" i="10"/>
  <c r="A49" i="10"/>
  <c r="A52" i="10"/>
  <c r="A50" i="10"/>
  <c r="A48" i="10"/>
  <c r="A47" i="10"/>
  <c r="A46" i="10"/>
  <c r="A54" i="10"/>
  <c r="A53" i="10"/>
  <c r="A51" i="10"/>
  <c r="A56" i="10" l="1"/>
  <c r="A55" i="10"/>
  <c r="A45" i="10"/>
  <c r="A44" i="10"/>
  <c r="A43" i="10"/>
  <c r="A37" i="10"/>
  <c r="A38" i="10"/>
  <c r="A39" i="10"/>
  <c r="A40" i="10"/>
  <c r="A41" i="10"/>
  <c r="A42" i="10"/>
  <c r="A33" i="10"/>
  <c r="A32" i="10"/>
  <c r="A31" i="10"/>
  <c r="A30" i="10"/>
  <c r="A29" i="10"/>
  <c r="A28" i="10"/>
  <c r="A36" i="10"/>
  <c r="A35" i="10"/>
  <c r="A34" i="10"/>
  <c r="A27" i="10"/>
  <c r="A21" i="10"/>
  <c r="A20" i="10"/>
  <c r="A19" i="10"/>
  <c r="A18" i="10"/>
  <c r="A17" i="10"/>
  <c r="A16" i="10"/>
  <c r="A68" i="10"/>
  <c r="A67" i="10"/>
  <c r="A25" i="10"/>
  <c r="A24" i="10"/>
  <c r="A23" i="10"/>
  <c r="A22" i="10"/>
  <c r="A69" i="10"/>
  <c r="A26" i="10"/>
  <c r="A22" i="6" l="1"/>
  <c r="A21" i="6"/>
  <c r="A33" i="6" l="1"/>
  <c r="A32" i="6"/>
  <c r="A31" i="6"/>
  <c r="A66" i="10" l="1"/>
  <c r="A64" i="10"/>
  <c r="A63" i="10"/>
  <c r="A62" i="10"/>
  <c r="A61" i="10"/>
  <c r="A65" i="10"/>
  <c r="A60" i="10"/>
  <c r="A59" i="10"/>
  <c r="A58" i="10"/>
  <c r="A57" i="10"/>
  <c r="A78" i="10"/>
  <c r="A77" i="10"/>
  <c r="A76" i="10"/>
  <c r="A15" i="10"/>
  <c r="A14" i="10"/>
  <c r="A13" i="10"/>
  <c r="A12" i="10"/>
  <c r="A11" i="10"/>
  <c r="A10" i="10"/>
  <c r="A9" i="10"/>
  <c r="A8" i="10"/>
  <c r="A7" i="10"/>
  <c r="A6" i="10"/>
  <c r="C3" i="10"/>
  <c r="C2" i="10"/>
  <c r="C1" i="10"/>
  <c r="A20" i="6" l="1"/>
  <c r="A19" i="6"/>
  <c r="A18" i="6"/>
  <c r="A23" i="6"/>
  <c r="A16" i="6"/>
  <c r="A17" i="7"/>
  <c r="A16" i="7"/>
  <c r="A18" i="7" l="1"/>
  <c r="C3" i="7"/>
  <c r="C2" i="7"/>
  <c r="A15" i="7" l="1"/>
  <c r="A22" i="7"/>
  <c r="A21" i="7"/>
  <c r="A20" i="7"/>
  <c r="A19" i="7"/>
  <c r="A14" i="7"/>
  <c r="A13" i="7"/>
  <c r="A11" i="7"/>
  <c r="A10" i="7"/>
  <c r="A12" i="7"/>
  <c r="A9" i="7"/>
  <c r="A8" i="7"/>
  <c r="A7" i="7"/>
  <c r="A6" i="7"/>
  <c r="C1" i="7"/>
  <c r="A11"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0" i="6"/>
  <c r="A29" i="6"/>
  <c r="A28" i="6"/>
  <c r="A27" i="6"/>
  <c r="A26" i="6"/>
  <c r="A25" i="6"/>
  <c r="A24" i="6"/>
  <c r="A17" i="6"/>
  <c r="A15" i="6"/>
  <c r="A14" i="6"/>
  <c r="A13" i="6"/>
  <c r="A12" i="6"/>
  <c r="A10" i="6"/>
  <c r="A9" i="6"/>
  <c r="A8" i="6"/>
  <c r="A7" i="6"/>
  <c r="A6" i="6"/>
  <c r="C3" i="6"/>
  <c r="C2" i="6"/>
  <c r="C1" i="6"/>
  <c r="A15" i="5"/>
  <c r="A14" i="5"/>
  <c r="A13" i="5"/>
  <c r="A12" i="5"/>
  <c r="A11" i="5"/>
  <c r="A10" i="5"/>
  <c r="A9" i="5"/>
  <c r="A8" i="5"/>
  <c r="A7" i="5"/>
  <c r="A6" i="5"/>
  <c r="C3" i="5"/>
  <c r="C2" i="5"/>
  <c r="C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D8DCC0AF-FB98-4708-AC3D-07043C7D70A1}">
      <text>
        <r>
          <rPr>
            <b/>
            <sz val="9"/>
            <color indexed="81"/>
            <rFont val="MS P ゴシック"/>
            <family val="3"/>
            <charset val="128"/>
          </rPr>
          <t>試験開始した日付を記入する。</t>
        </r>
      </text>
    </comment>
    <comment ref="G5" authorId="0" shapeId="0" xr:uid="{0105D888-C589-4A86-9A49-6EC4CC3D754C}">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CBA95F19-53E7-4EE5-9B8D-D9A6B859B04F}">
      <text>
        <r>
          <rPr>
            <b/>
            <sz val="9"/>
            <color indexed="81"/>
            <rFont val="MS P ゴシック"/>
            <family val="3"/>
            <charset val="128"/>
          </rPr>
          <t>試験開始した日付を記入する。</t>
        </r>
      </text>
    </comment>
    <comment ref="G5" authorId="0" shapeId="0" xr:uid="{7155BF81-35D1-45A0-9B1B-7B461D8AB1DC}">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12E84CE4-5341-4DF1-81A0-5CBA28A21EB2}">
      <text>
        <r>
          <rPr>
            <b/>
            <sz val="9"/>
            <color indexed="81"/>
            <rFont val="MS P ゴシック"/>
            <family val="3"/>
            <charset val="128"/>
          </rPr>
          <t>試験開始した日付を記入する。</t>
        </r>
      </text>
    </comment>
    <comment ref="G5" authorId="0" shapeId="0" xr:uid="{74FDB7A1-DCAC-4508-9215-F8573DFC6928}">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9D764C28-75F7-4A7A-B0E9-1CEB29361C99}">
      <text>
        <r>
          <rPr>
            <b/>
            <sz val="9"/>
            <color indexed="81"/>
            <rFont val="MS P ゴシック"/>
            <family val="3"/>
            <charset val="128"/>
          </rPr>
          <t>試験開始した日付を記入する。</t>
        </r>
      </text>
    </comment>
    <comment ref="G5" authorId="0" shapeId="0" xr:uid="{3DBE3881-09A8-46CD-8D2E-5008FB436FBE}">
      <text>
        <r>
          <rPr>
            <b/>
            <sz val="9"/>
            <color indexed="81"/>
            <rFont val="MS P ゴシック"/>
            <family val="3"/>
            <charset val="128"/>
          </rPr>
          <t>確認OKとなった日付を記入する。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5" authorId="0" shapeId="0" xr:uid="{EAE258F8-416A-4A07-A84D-ED3E561C426C}">
      <text>
        <r>
          <rPr>
            <b/>
            <sz val="9"/>
            <color indexed="81"/>
            <rFont val="MS P ゴシック"/>
            <family val="3"/>
            <charset val="128"/>
          </rPr>
          <t>試験開始した日付を記入する。</t>
        </r>
      </text>
    </comment>
    <comment ref="G5" authorId="0" shapeId="0" xr:uid="{BFCF0D78-7D84-4C3C-9985-EA7DEC74B6B5}">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<sst xmlns="http://schemas.openxmlformats.org/spreadsheetml/2006/main" count="278" uniqueCount="152">
  <si>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</si>
  <si>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</si>
  <si>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</si>
  <si>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</si>
  <si>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</si>
  <si>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</si>
  <si>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</si>
  <si>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</si>
  <si>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</si>
  <si>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</si>
  <si>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</si>
  <si>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完了数</t>
    <rPh sb="0" eb="2">
      <t>カンリョウ</t>
    </rPh>
    <rPh sb="2" eb="3">
      <t>スウ</t>
    </rPh>
    <phoneticPr fontId="1"/>
  </si>
  <si>
    <t>enterボタンを押下する。</t>
    <rPh sb="9" eb="11">
      <t>オウカ</t>
    </rPh>
    <phoneticPr fontId="1"/>
  </si>
  <si>
    <t>以下のURLをブラウザで開く。
http://192.168.1.113</t>
    <rPh sb="0" eb="2">
      <t>イカ</t>
    </rPh>
    <rPh sb="12" eb="13">
      <t>ヒラ</t>
    </rPh>
    <phoneticPr fontId="1"/>
  </si>
  <si>
    <t>ログイン画面にて、以下の値を入力し、LOGINボタンを押下する。
ID：169
PASSWORD：gao</t>
    <rPh sb="4" eb="6">
      <t>ガメン</t>
    </rPh>
    <rPh sb="9" eb="11">
      <t>イカ</t>
    </rPh>
    <rPh sb="12" eb="13">
      <t>アタイ</t>
    </rPh>
    <rPh sb="14" eb="16">
      <t>ニュウリョク</t>
    </rPh>
    <rPh sb="27" eb="29">
      <t>オウカ</t>
    </rPh>
    <phoneticPr fontId="1"/>
  </si>
  <si>
    <t>画面表示</t>
    <rPh sb="0" eb="2">
      <t>ガメン</t>
    </rPh>
    <rPh sb="2" eb="4">
      <t>ヒョウジ</t>
    </rPh>
    <phoneticPr fontId="1"/>
  </si>
  <si>
    <t>閉じるボタンを押下する。</t>
    <rPh sb="0" eb="1">
      <t>ト</t>
    </rPh>
    <rPh sb="7" eb="9">
      <t>オウカ</t>
    </rPh>
    <phoneticPr fontId="1"/>
  </si>
  <si>
    <t>検索ボタン押下</t>
    <rPh sb="0" eb="2">
      <t>ケンサク</t>
    </rPh>
    <rPh sb="5" eb="7">
      <t>オウカ</t>
    </rPh>
    <phoneticPr fontId="1"/>
  </si>
  <si>
    <t>クリアボタン押下</t>
    <rPh sb="6" eb="8">
      <t>オウカ</t>
    </rPh>
    <phoneticPr fontId="1"/>
  </si>
  <si>
    <t>検索条件の入力項目すべてに値を入力する。</t>
    <rPh sb="0" eb="2">
      <t>ケンサク</t>
    </rPh>
    <rPh sb="2" eb="4">
      <t>ジョウケン</t>
    </rPh>
    <rPh sb="5" eb="7">
      <t>ニュウリョク</t>
    </rPh>
    <rPh sb="7" eb="9">
      <t>コウモク</t>
    </rPh>
    <rPh sb="13" eb="14">
      <t>アタイ</t>
    </rPh>
    <rPh sb="15" eb="17">
      <t>ニュウリョク</t>
    </rPh>
    <phoneticPr fontId="1"/>
  </si>
  <si>
    <t>クリアボタンを押下する。</t>
    <rPh sb="7" eb="9">
      <t>オウカ</t>
    </rPh>
    <phoneticPr fontId="1"/>
  </si>
  <si>
    <t>入力項目がすべてクリアされていること。</t>
    <rPh sb="0" eb="2">
      <t>ニュウリョク</t>
    </rPh>
    <rPh sb="2" eb="4">
      <t>コウモク</t>
    </rPh>
    <phoneticPr fontId="1"/>
  </si>
  <si>
    <t>検索ボタンを押下する。</t>
    <rPh sb="0" eb="2">
      <t>ケンサク</t>
    </rPh>
    <rPh sb="6" eb="8">
      <t>オウカ</t>
    </rPh>
    <phoneticPr fontId="1"/>
  </si>
  <si>
    <t>DBを同じ条件で検索した時の件数を表示件数が一致していること。</t>
    <rPh sb="3" eb="4">
      <t>オナ</t>
    </rPh>
    <rPh sb="5" eb="7">
      <t>ジョウケン</t>
    </rPh>
    <rPh sb="8" eb="10">
      <t>ケンサク</t>
    </rPh>
    <rPh sb="12" eb="13">
      <t>トキ</t>
    </rPh>
    <rPh sb="14" eb="16">
      <t>ケンスウ</t>
    </rPh>
    <rPh sb="17" eb="19">
      <t>ヒョウジ</t>
    </rPh>
    <rPh sb="19" eb="21">
      <t>ケンスウ</t>
    </rPh>
    <rPh sb="22" eb="24">
      <t>イッチ</t>
    </rPh>
    <phoneticPr fontId="1"/>
  </si>
  <si>
    <t>任意の検索条件を入力し、入力した項目の「検索」と「表示」をonにする。</t>
    <rPh sb="0" eb="2">
      <t>ニンイ</t>
    </rPh>
    <rPh sb="3" eb="5">
      <t>ケンサク</t>
    </rPh>
    <rPh sb="5" eb="7">
      <t>ジョウケン</t>
    </rPh>
    <rPh sb="8" eb="10">
      <t>ニュウリョク</t>
    </rPh>
    <rPh sb="12" eb="14">
      <t>ニュウリョク</t>
    </rPh>
    <rPh sb="16" eb="18">
      <t>コウモク</t>
    </rPh>
    <rPh sb="20" eb="22">
      <t>ケンサク</t>
    </rPh>
    <rPh sb="25" eb="27">
      <t>ヒョウジ</t>
    </rPh>
    <phoneticPr fontId="1"/>
  </si>
  <si>
    <t>任意の検索条件を入力し、入力した項目の「検索」をonにする。</t>
    <rPh sb="0" eb="2">
      <t>ニンイ</t>
    </rPh>
    <rPh sb="3" eb="5">
      <t>ケンサク</t>
    </rPh>
    <rPh sb="5" eb="7">
      <t>ジョウケン</t>
    </rPh>
    <rPh sb="8" eb="10">
      <t>ニュウリョク</t>
    </rPh>
    <rPh sb="12" eb="14">
      <t>ニュウリョク</t>
    </rPh>
    <rPh sb="16" eb="18">
      <t>コウモク</t>
    </rPh>
    <rPh sb="20" eb="22">
      <t>ケンサク</t>
    </rPh>
    <phoneticPr fontId="1"/>
  </si>
  <si>
    <t>任意の項目の「表示」をonにする。</t>
    <rPh sb="0" eb="2">
      <t>ニンイ</t>
    </rPh>
    <rPh sb="3" eb="5">
      <t>コウモク</t>
    </rPh>
    <rPh sb="7" eb="9">
      <t>ヒョウジ</t>
    </rPh>
    <phoneticPr fontId="1"/>
  </si>
  <si>
    <t>コピーボタン押下</t>
    <rPh sb="6" eb="8">
      <t>オウカ</t>
    </rPh>
    <phoneticPr fontId="1"/>
  </si>
  <si>
    <t>コピーボタンを押下する。</t>
    <rPh sb="7" eb="9">
      <t>オウカ</t>
    </rPh>
    <phoneticPr fontId="1"/>
  </si>
  <si>
    <t>空のExcelブックを開き、そのままペースト操作を行う。</t>
    <rPh sb="0" eb="1">
      <t>カラ</t>
    </rPh>
    <rPh sb="11" eb="12">
      <t>ヒラ</t>
    </rPh>
    <rPh sb="22" eb="24">
      <t>ソウサ</t>
    </rPh>
    <rPh sb="25" eb="26">
      <t>オコナ</t>
    </rPh>
    <phoneticPr fontId="1"/>
  </si>
  <si>
    <t>詳細ボタン押下</t>
    <rPh sb="0" eb="2">
      <t>ショウサイ</t>
    </rPh>
    <rPh sb="5" eb="7">
      <t>オウカ</t>
    </rPh>
    <phoneticPr fontId="1"/>
  </si>
  <si>
    <t>表示されている任意の行の詳細ボタンを押下する。</t>
    <rPh sb="0" eb="2">
      <t>ヒョウジ</t>
    </rPh>
    <rPh sb="7" eb="9">
      <t>ニンイ</t>
    </rPh>
    <rPh sb="10" eb="11">
      <t>ギョウ</t>
    </rPh>
    <rPh sb="12" eb="14">
      <t>ショウサイ</t>
    </rPh>
    <rPh sb="18" eb="20">
      <t>オウカ</t>
    </rPh>
    <phoneticPr fontId="1"/>
  </si>
  <si>
    <t>表示されている内容が、詳細ボタンを押下した行のものであること。</t>
    <rPh sb="0" eb="2">
      <t>ヒョウジ</t>
    </rPh>
    <rPh sb="7" eb="9">
      <t>ナイヨウ</t>
    </rPh>
    <rPh sb="11" eb="13">
      <t>ショウサイ</t>
    </rPh>
    <rPh sb="17" eb="19">
      <t>オウカ</t>
    </rPh>
    <rPh sb="21" eb="22">
      <t>ギョウ</t>
    </rPh>
    <phoneticPr fontId="1"/>
  </si>
  <si>
    <t>表示内容が画面設計書の項目定義通りであること。</t>
    <rPh sb="0" eb="2">
      <t>ヒョウジ</t>
    </rPh>
    <rPh sb="2" eb="4">
      <t>ナイヨウ</t>
    </rPh>
    <rPh sb="5" eb="7">
      <t>ガメン</t>
    </rPh>
    <rPh sb="7" eb="10">
      <t>セッケイショ</t>
    </rPh>
    <rPh sb="11" eb="13">
      <t>コウモク</t>
    </rPh>
    <rPh sb="13" eb="15">
      <t>テイギ</t>
    </rPh>
    <rPh sb="15" eb="16">
      <t>ドオ</t>
    </rPh>
    <phoneticPr fontId="1"/>
  </si>
  <si>
    <t>ウィンドウクローズ</t>
    <phoneticPr fontId="1"/>
  </si>
  <si>
    <t>「再販」の表示がonの場合、前回受注分（=リバイスコードが最大値ではない）の製品マスタ情報が一覧に表示されていること。</t>
    <rPh sb="1" eb="3">
      <t>サイハン</t>
    </rPh>
    <rPh sb="5" eb="7">
      <t>ヒョウジ</t>
    </rPh>
    <rPh sb="11" eb="13">
      <t>バアイ</t>
    </rPh>
    <rPh sb="14" eb="16">
      <t>ゼンカイ</t>
    </rPh>
    <rPh sb="16" eb="18">
      <t>ジュチュウ</t>
    </rPh>
    <rPh sb="18" eb="19">
      <t>ブン</t>
    </rPh>
    <rPh sb="29" eb="32">
      <t>サイダイチ</t>
    </rPh>
    <rPh sb="38" eb="40">
      <t>セイヒン</t>
    </rPh>
    <rPh sb="43" eb="45">
      <t>ジョウホウ</t>
    </rPh>
    <rPh sb="46" eb="48">
      <t>イチラン</t>
    </rPh>
    <rPh sb="49" eb="51">
      <t>ヒョウジ</t>
    </rPh>
    <phoneticPr fontId="1"/>
  </si>
  <si>
    <t>「再販」の表示がoffの場合、今回受注分（=リバイスコードが最大値）の製品マスタ情報だけが一覧に表示されていること。</t>
  </si>
  <si>
    <t>「削除」の表示がonの場合、一番右に削除列が表示されていること。</t>
    <rPh sb="1" eb="3">
      <t>サクジョ</t>
    </rPh>
    <rPh sb="5" eb="7">
      <t>ヒョウジ</t>
    </rPh>
    <rPh sb="11" eb="13">
      <t>バアイ</t>
    </rPh>
    <rPh sb="14" eb="16">
      <t>イチバン</t>
    </rPh>
    <rPh sb="16" eb="17">
      <t>ミギ</t>
    </rPh>
    <rPh sb="18" eb="20">
      <t>サクジョ</t>
    </rPh>
    <rPh sb="20" eb="21">
      <t>レツ</t>
    </rPh>
    <rPh sb="22" eb="24">
      <t>ヒョウジ</t>
    </rPh>
    <phoneticPr fontId="1"/>
  </si>
  <si>
    <t>「削除」の表示がoffの場合、一番右に削除列が表示されていないこと。</t>
    <rPh sb="1" eb="3">
      <t>サクジョ</t>
    </rPh>
    <rPh sb="5" eb="7">
      <t>ヒョウジ</t>
    </rPh>
    <rPh sb="12" eb="14">
      <t>バアイ</t>
    </rPh>
    <rPh sb="15" eb="17">
      <t>イチバン</t>
    </rPh>
    <rPh sb="17" eb="18">
      <t>ミギ</t>
    </rPh>
    <rPh sb="19" eb="21">
      <t>サクジョ</t>
    </rPh>
    <rPh sb="21" eb="22">
      <t>レツ</t>
    </rPh>
    <rPh sb="23" eb="25">
      <t>ヒョウジ</t>
    </rPh>
    <phoneticPr fontId="1"/>
  </si>
  <si>
    <t>任意の行の詳細ボタンを押下する。</t>
    <rPh sb="0" eb="2">
      <t>ニンイ</t>
    </rPh>
    <rPh sb="3" eb="4">
      <t>ギョウ</t>
    </rPh>
    <rPh sb="5" eb="7">
      <t>ショウサイ</t>
    </rPh>
    <rPh sb="11" eb="13">
      <t>オウカ</t>
    </rPh>
    <phoneticPr fontId="1"/>
  </si>
  <si>
    <t>メインメニュー画面で受注検索ボタンを押下する。</t>
    <rPh sb="7" eb="9">
      <t>ガメン</t>
    </rPh>
    <rPh sb="10" eb="12">
      <t>ジュチュウ</t>
    </rPh>
    <rPh sb="12" eb="14">
      <t>ケンサク</t>
    </rPh>
    <rPh sb="18" eb="20">
      <t>オウカ</t>
    </rPh>
    <phoneticPr fontId="1"/>
  </si>
  <si>
    <t>受注検索画面に遷移すること。</t>
    <rPh sb="2" eb="4">
      <t>ケンサク</t>
    </rPh>
    <phoneticPr fontId="1"/>
  </si>
  <si>
    <t>受注一覧画面に遷移すること。</t>
    <rPh sb="2" eb="4">
      <t>イチラン</t>
    </rPh>
    <rPh sb="4" eb="6">
      <t>ガメン</t>
    </rPh>
    <rPh sb="7" eb="9">
      <t>センイ</t>
    </rPh>
    <phoneticPr fontId="1"/>
  </si>
  <si>
    <t>受注一覧画面に表示されている一覧が入力した検索条件をすべて満たしていること。</t>
    <rPh sb="2" eb="4">
      <t>イチラン</t>
    </rPh>
    <rPh sb="4" eb="6">
      <t>ガメン</t>
    </rPh>
    <rPh sb="7" eb="9">
      <t>ヒョウジ</t>
    </rPh>
    <rPh sb="14" eb="16">
      <t>イチラン</t>
    </rPh>
    <rPh sb="17" eb="19">
      <t>ニュウリョク</t>
    </rPh>
    <rPh sb="21" eb="23">
      <t>ケンサク</t>
    </rPh>
    <rPh sb="23" eb="25">
      <t>ジョウケン</t>
    </rPh>
    <rPh sb="29" eb="30">
      <t>ミ</t>
    </rPh>
    <phoneticPr fontId="1"/>
  </si>
  <si>
    <t>メインメニュー画面で受注検索ボタンを押下する。</t>
    <rPh sb="7" eb="9">
      <t>ガメン</t>
    </rPh>
    <rPh sb="12" eb="14">
      <t>ケンサク</t>
    </rPh>
    <rPh sb="18" eb="20">
      <t>オウカ</t>
    </rPh>
    <phoneticPr fontId="1"/>
  </si>
  <si>
    <t>受注検索画面で「表示」をonにした項目すべてが表示されていること。</t>
    <rPh sb="2" eb="4">
      <t>ケンサク</t>
    </rPh>
    <rPh sb="4" eb="6">
      <t>ガメン</t>
    </rPh>
    <rPh sb="8" eb="10">
      <t>ヒョウジ</t>
    </rPh>
    <rPh sb="17" eb="19">
      <t>コウモク</t>
    </rPh>
    <rPh sb="23" eb="25">
      <t>ヒョウジ</t>
    </rPh>
    <phoneticPr fontId="1"/>
  </si>
  <si>
    <t>受注検索画面で「表示」をonにしていない項目すべてが表示されていないこと。</t>
    <rPh sb="2" eb="4">
      <t>ケンサク</t>
    </rPh>
    <rPh sb="4" eb="6">
      <t>ガメン</t>
    </rPh>
    <rPh sb="8" eb="10">
      <t>ヒョウジ</t>
    </rPh>
    <rPh sb="20" eb="22">
      <t>コウモク</t>
    </rPh>
    <rPh sb="26" eb="28">
      <t>ヒョウジ</t>
    </rPh>
    <phoneticPr fontId="1"/>
  </si>
  <si>
    <t>受注一覧画面に表示されている内容が全行全項目ペーストされること。</t>
    <rPh sb="2" eb="4">
      <t>イチラン</t>
    </rPh>
    <rPh sb="4" eb="6">
      <t>ガメン</t>
    </rPh>
    <rPh sb="7" eb="9">
      <t>ヒョウジ</t>
    </rPh>
    <rPh sb="14" eb="16">
      <t>ナイヨウ</t>
    </rPh>
    <rPh sb="17" eb="19">
      <t>ゼンギョウ</t>
    </rPh>
    <rPh sb="19" eb="22">
      <t>ゼンコウモク</t>
    </rPh>
    <phoneticPr fontId="1"/>
  </si>
  <si>
    <t>受注詳細画面が表示されること。</t>
    <rPh sb="2" eb="4">
      <t>ショウサイ</t>
    </rPh>
    <rPh sb="4" eb="6">
      <t>ガメン</t>
    </rPh>
    <rPh sb="7" eb="9">
      <t>ヒョウジ</t>
    </rPh>
    <phoneticPr fontId="1"/>
  </si>
  <si>
    <t>受注詳細画面を閉じる。</t>
    <rPh sb="2" eb="4">
      <t>ショウサイ</t>
    </rPh>
    <rPh sb="4" eb="6">
      <t>ガメン</t>
    </rPh>
    <rPh sb="7" eb="8">
      <t>ト</t>
    </rPh>
    <phoneticPr fontId="1"/>
  </si>
  <si>
    <t>受注一覧画面が活性化されること。</t>
    <rPh sb="2" eb="4">
      <t>イチラン</t>
    </rPh>
    <rPh sb="4" eb="6">
      <t>ガメン</t>
    </rPh>
    <rPh sb="7" eb="10">
      <t>カッセイカ</t>
    </rPh>
    <phoneticPr fontId="1"/>
  </si>
  <si>
    <t>受注詳細画面が閉じること。</t>
    <rPh sb="2" eb="4">
      <t>ショウサイ</t>
    </rPh>
    <rPh sb="4" eb="6">
      <t>ガメン</t>
    </rPh>
    <rPh sb="7" eb="8">
      <t>ト</t>
    </rPh>
    <phoneticPr fontId="1"/>
  </si>
  <si>
    <t>受注一覧画面が活性化すること。</t>
    <rPh sb="2" eb="4">
      <t>イチラン</t>
    </rPh>
    <rPh sb="4" eb="6">
      <t>ガメン</t>
    </rPh>
    <rPh sb="7" eb="10">
      <t>カッセイカ</t>
    </rPh>
    <phoneticPr fontId="1"/>
  </si>
  <si>
    <t>確定ボタン押下</t>
    <rPh sb="0" eb="2">
      <t>カクテイ</t>
    </rPh>
    <rPh sb="5" eb="7">
      <t>オウカ</t>
    </rPh>
    <phoneticPr fontId="1"/>
  </si>
  <si>
    <t>表示されている任意の行の確定ボタンを押下する。</t>
    <rPh sb="0" eb="2">
      <t>ヒョウジ</t>
    </rPh>
    <rPh sb="7" eb="9">
      <t>ニンイ</t>
    </rPh>
    <rPh sb="10" eb="11">
      <t>ギョウ</t>
    </rPh>
    <rPh sb="12" eb="14">
      <t>カクテイ</t>
    </rPh>
    <rPh sb="18" eb="20">
      <t>オウカ</t>
    </rPh>
    <phoneticPr fontId="1"/>
  </si>
  <si>
    <t>受注確定画面が表示されること。</t>
    <rPh sb="0" eb="2">
      <t>ジュチュウ</t>
    </rPh>
    <rPh sb="2" eb="4">
      <t>カクテイ</t>
    </rPh>
    <rPh sb="4" eb="6">
      <t>ガメン</t>
    </rPh>
    <rPh sb="7" eb="9">
      <t>ヒョウジ</t>
    </rPh>
    <phoneticPr fontId="1"/>
  </si>
  <si>
    <t>表示されている内容が、確定ボタンを押下した行のものであること。</t>
    <rPh sb="0" eb="2">
      <t>ヒョウジ</t>
    </rPh>
    <rPh sb="7" eb="9">
      <t>ナイヨウ</t>
    </rPh>
    <rPh sb="11" eb="13">
      <t>カクテイ</t>
    </rPh>
    <rPh sb="17" eb="19">
      <t>オウカ</t>
    </rPh>
    <rPh sb="21" eb="22">
      <t>ギョウ</t>
    </rPh>
    <phoneticPr fontId="1"/>
  </si>
  <si>
    <t>受注確定画面の閉じるボタンを押下する。</t>
    <rPh sb="0" eb="2">
      <t>ジュチュウ</t>
    </rPh>
    <rPh sb="2" eb="4">
      <t>カクテイ</t>
    </rPh>
    <rPh sb="4" eb="6">
      <t>ガメン</t>
    </rPh>
    <rPh sb="7" eb="8">
      <t>ト</t>
    </rPh>
    <rPh sb="14" eb="16">
      <t>オウカ</t>
    </rPh>
    <phoneticPr fontId="1"/>
  </si>
  <si>
    <t>確定取消ボタン押下</t>
    <rPh sb="0" eb="2">
      <t>カクテイ</t>
    </rPh>
    <rPh sb="2" eb="4">
      <t>トリケシ</t>
    </rPh>
    <rPh sb="7" eb="9">
      <t>オウカ</t>
    </rPh>
    <phoneticPr fontId="1"/>
  </si>
  <si>
    <t>受注確定取消画面が表示されること。</t>
    <rPh sb="0" eb="2">
      <t>ジュチュウ</t>
    </rPh>
    <rPh sb="2" eb="4">
      <t>カクテイ</t>
    </rPh>
    <rPh sb="4" eb="6">
      <t>トリケシ</t>
    </rPh>
    <rPh sb="6" eb="8">
      <t>ガメン</t>
    </rPh>
    <rPh sb="9" eb="11">
      <t>ヒョウジ</t>
    </rPh>
    <phoneticPr fontId="1"/>
  </si>
  <si>
    <t>表示されている任意の行の確定取消ボタンを押下する。</t>
    <rPh sb="0" eb="2">
      <t>ヒョウジ</t>
    </rPh>
    <rPh sb="7" eb="9">
      <t>ニンイ</t>
    </rPh>
    <rPh sb="10" eb="11">
      <t>ギョウ</t>
    </rPh>
    <rPh sb="12" eb="14">
      <t>カクテイ</t>
    </rPh>
    <rPh sb="14" eb="16">
      <t>トリケシ</t>
    </rPh>
    <rPh sb="20" eb="22">
      <t>オウカ</t>
    </rPh>
    <phoneticPr fontId="1"/>
  </si>
  <si>
    <t>表示されている内容が、確定取消ボタンを押下した行のものであること。</t>
    <rPh sb="0" eb="2">
      <t>ヒョウジ</t>
    </rPh>
    <rPh sb="7" eb="9">
      <t>ナイヨウ</t>
    </rPh>
    <rPh sb="11" eb="13">
      <t>カクテイ</t>
    </rPh>
    <rPh sb="13" eb="15">
      <t>トリケシ</t>
    </rPh>
    <rPh sb="19" eb="21">
      <t>オウカ</t>
    </rPh>
    <rPh sb="23" eb="24">
      <t>ギョウ</t>
    </rPh>
    <phoneticPr fontId="1"/>
  </si>
  <si>
    <t>受注確定取消画面の閉じるボタンを押下する。</t>
    <rPh sb="0" eb="2">
      <t>ジュチュウ</t>
    </rPh>
    <rPh sb="2" eb="4">
      <t>カクテイ</t>
    </rPh>
    <rPh sb="4" eb="6">
      <t>トリケシ</t>
    </rPh>
    <rPh sb="6" eb="8">
      <t>ガメン</t>
    </rPh>
    <rPh sb="9" eb="10">
      <t>ト</t>
    </rPh>
    <rPh sb="16" eb="18">
      <t>オウカ</t>
    </rPh>
    <phoneticPr fontId="1"/>
  </si>
  <si>
    <t>表示されている受注データの受注状態が「仮受注」の場合、確定列にボタンが表示されていること。</t>
    <rPh sb="0" eb="2">
      <t>ヒョウジ</t>
    </rPh>
    <rPh sb="7" eb="9">
      <t>ジュチュウ</t>
    </rPh>
    <rPh sb="13" eb="15">
      <t>ジュチュウ</t>
    </rPh>
    <rPh sb="15" eb="17">
      <t>ジョウタイ</t>
    </rPh>
    <rPh sb="19" eb="20">
      <t>カリ</t>
    </rPh>
    <rPh sb="20" eb="22">
      <t>ジュチュウ</t>
    </rPh>
    <rPh sb="24" eb="26">
      <t>バアイ</t>
    </rPh>
    <rPh sb="27" eb="29">
      <t>カクテイ</t>
    </rPh>
    <rPh sb="29" eb="30">
      <t>レツ</t>
    </rPh>
    <rPh sb="35" eb="37">
      <t>ヒョウジ</t>
    </rPh>
    <phoneticPr fontId="1"/>
  </si>
  <si>
    <t>表示されている受注データの受注状態が「受注」の場合、確定取消列にボタンが表示されていること。</t>
    <rPh sb="0" eb="2">
      <t>ヒョウジ</t>
    </rPh>
    <rPh sb="7" eb="9">
      <t>ジュチュウ</t>
    </rPh>
    <rPh sb="13" eb="15">
      <t>ジュチュウ</t>
    </rPh>
    <rPh sb="15" eb="17">
      <t>ジョウタイ</t>
    </rPh>
    <rPh sb="19" eb="21">
      <t>ジュチュウ</t>
    </rPh>
    <rPh sb="23" eb="25">
      <t>バアイ</t>
    </rPh>
    <rPh sb="26" eb="28">
      <t>カクテイ</t>
    </rPh>
    <rPh sb="28" eb="30">
      <t>トリケシ</t>
    </rPh>
    <rPh sb="30" eb="31">
      <t>レツ</t>
    </rPh>
    <rPh sb="36" eb="38">
      <t>ヒョウジ</t>
    </rPh>
    <phoneticPr fontId="1"/>
  </si>
  <si>
    <t>画面表示（受注一覧経由）</t>
    <rPh sb="0" eb="2">
      <t>ガメン</t>
    </rPh>
    <rPh sb="2" eb="4">
      <t>ヒョウジ</t>
    </rPh>
    <rPh sb="5" eb="7">
      <t>ジュチュウ</t>
    </rPh>
    <rPh sb="7" eb="9">
      <t>イチラン</t>
    </rPh>
    <rPh sb="9" eb="11">
      <t>ケイユ</t>
    </rPh>
    <phoneticPr fontId="1"/>
  </si>
  <si>
    <t>任意の行の確定ボタンを押下する。</t>
    <rPh sb="0" eb="2">
      <t>ニンイ</t>
    </rPh>
    <rPh sb="3" eb="4">
      <t>ギョウ</t>
    </rPh>
    <rPh sb="5" eb="7">
      <t>カクテイ</t>
    </rPh>
    <rPh sb="11" eb="13">
      <t>オウカ</t>
    </rPh>
    <phoneticPr fontId="1"/>
  </si>
  <si>
    <t>受注確定画面が表示されること。</t>
    <rPh sb="2" eb="4">
      <t>カクテイ</t>
    </rPh>
    <rPh sb="4" eb="6">
      <t>ガメン</t>
    </rPh>
    <rPh sb="7" eb="9">
      <t>ヒョウジ</t>
    </rPh>
    <phoneticPr fontId="1"/>
  </si>
  <si>
    <t>メインメニュー画面で見積原価管理ボタンを押下する。</t>
    <rPh sb="7" eb="9">
      <t>ガメン</t>
    </rPh>
    <rPh sb="10" eb="16">
      <t>ミツモリゲンカカンリ</t>
    </rPh>
    <rPh sb="20" eb="22">
      <t>オウカ</t>
    </rPh>
    <phoneticPr fontId="1"/>
  </si>
  <si>
    <t>見積原価検索ボタンを押下する。</t>
    <rPh sb="0" eb="2">
      <t>ミツモリ</t>
    </rPh>
    <rPh sb="2" eb="4">
      <t>ゲンカ</t>
    </rPh>
    <rPh sb="4" eb="6">
      <t>ケンサク</t>
    </rPh>
    <rPh sb="10" eb="12">
      <t>オウカ</t>
    </rPh>
    <phoneticPr fontId="1"/>
  </si>
  <si>
    <t>「履歴」が表示されていない任意の行の詳細ボタンを押下する。</t>
    <rPh sb="1" eb="3">
      <t>リレキ</t>
    </rPh>
    <rPh sb="5" eb="7">
      <t>ヒョウジ</t>
    </rPh>
    <rPh sb="13" eb="15">
      <t>ニンイ</t>
    </rPh>
    <rPh sb="16" eb="17">
      <t>ギョウ</t>
    </rPh>
    <rPh sb="18" eb="20">
      <t>ショウサイ</t>
    </rPh>
    <rPh sb="24" eb="26">
      <t>オウカ</t>
    </rPh>
    <phoneticPr fontId="1"/>
  </si>
  <si>
    <t>受注確定ボタンを押下する。</t>
    <rPh sb="0" eb="2">
      <t>ジュチュウ</t>
    </rPh>
    <rPh sb="2" eb="4">
      <t>カクテイ</t>
    </rPh>
    <rPh sb="8" eb="10">
      <t>オウカ</t>
    </rPh>
    <phoneticPr fontId="1"/>
  </si>
  <si>
    <t>画面表示（見積原価プレビュー経由）</t>
    <rPh sb="0" eb="2">
      <t>ガメン</t>
    </rPh>
    <rPh sb="2" eb="4">
      <t>ヒョウジ</t>
    </rPh>
    <rPh sb="5" eb="7">
      <t>ミツモリ</t>
    </rPh>
    <rPh sb="7" eb="9">
      <t>ゲンカ</t>
    </rPh>
    <rPh sb="14" eb="16">
      <t>ケイユ</t>
    </rPh>
    <phoneticPr fontId="1"/>
  </si>
  <si>
    <t>受注確定画面に表示されている明細は、受注確定選択チェックがonになっている売上明細だけ全件表示されていること。</t>
    <rPh sb="7" eb="9">
      <t>ヒョウジ</t>
    </rPh>
    <rPh sb="14" eb="16">
      <t>メイサイ</t>
    </rPh>
    <rPh sb="18" eb="20">
      <t>ジュチュウ</t>
    </rPh>
    <rPh sb="20" eb="22">
      <t>カクテイ</t>
    </rPh>
    <rPh sb="22" eb="24">
      <t>センタク</t>
    </rPh>
    <rPh sb="39" eb="41">
      <t>メイサイ</t>
    </rPh>
    <rPh sb="43" eb="45">
      <t>ゼンケン</t>
    </rPh>
    <rPh sb="45" eb="47">
      <t>ヒョウジ</t>
    </rPh>
    <phoneticPr fontId="1"/>
  </si>
  <si>
    <t>確定登録ボタン押下</t>
    <rPh sb="0" eb="2">
      <t>カクテイ</t>
    </rPh>
    <rPh sb="2" eb="4">
      <t>トウロク</t>
    </rPh>
    <rPh sb="7" eb="9">
      <t>オウカ</t>
    </rPh>
    <phoneticPr fontId="1"/>
  </si>
  <si>
    <t>検索条件変更ボタン押下</t>
    <rPh sb="0" eb="2">
      <t>ケンサク</t>
    </rPh>
    <rPh sb="2" eb="4">
      <t>ジョウケン</t>
    </rPh>
    <rPh sb="4" eb="6">
      <t>ヘンコウ</t>
    </rPh>
    <rPh sb="9" eb="11">
      <t>オウカ</t>
    </rPh>
    <phoneticPr fontId="1"/>
  </si>
  <si>
    <t>検索条件変更ボタンを押下する。</t>
    <rPh sb="0" eb="2">
      <t>ケンサク</t>
    </rPh>
    <rPh sb="2" eb="4">
      <t>ジョウケン</t>
    </rPh>
    <rPh sb="4" eb="6">
      <t>ヘンコウ</t>
    </rPh>
    <rPh sb="10" eb="12">
      <t>オウカ</t>
    </rPh>
    <phoneticPr fontId="1"/>
  </si>
  <si>
    <t>検索条件設定画面が別ウィンドウで表示されること。</t>
    <rPh sb="0" eb="2">
      <t>ケンサク</t>
    </rPh>
    <rPh sb="2" eb="4">
      <t>ジョウケン</t>
    </rPh>
    <rPh sb="4" eb="6">
      <t>セッテイ</t>
    </rPh>
    <rPh sb="6" eb="8">
      <t>ガメン</t>
    </rPh>
    <rPh sb="9" eb="10">
      <t>ベツ</t>
    </rPh>
    <rPh sb="16" eb="18">
      <t>ヒョウジ</t>
    </rPh>
    <phoneticPr fontId="1"/>
  </si>
  <si>
    <t>検索条件設定画面の閉じるボタンを押下する。</t>
    <rPh sb="0" eb="2">
      <t>ケンサク</t>
    </rPh>
    <rPh sb="2" eb="4">
      <t>ジョウケン</t>
    </rPh>
    <rPh sb="4" eb="6">
      <t>セッテイ</t>
    </rPh>
    <rPh sb="6" eb="8">
      <t>ガメン</t>
    </rPh>
    <rPh sb="9" eb="10">
      <t>ト</t>
    </rPh>
    <rPh sb="16" eb="18">
      <t>オウカ</t>
    </rPh>
    <phoneticPr fontId="1"/>
  </si>
  <si>
    <t>検索条件設定画面で任意の検索条件を入力する。</t>
    <rPh sb="0" eb="2">
      <t>ケンサク</t>
    </rPh>
    <rPh sb="2" eb="4">
      <t>ジョウケン</t>
    </rPh>
    <rPh sb="4" eb="6">
      <t>セッテイ</t>
    </rPh>
    <rPh sb="6" eb="8">
      <t>ガメン</t>
    </rPh>
    <rPh sb="9" eb="11">
      <t>ニンイ</t>
    </rPh>
    <rPh sb="12" eb="14">
      <t>ケンサク</t>
    </rPh>
    <rPh sb="14" eb="16">
      <t>ジョウケン</t>
    </rPh>
    <rPh sb="17" eb="19">
      <t>ニュウリョク</t>
    </rPh>
    <phoneticPr fontId="1"/>
  </si>
  <si>
    <t>検索条件設定画面が閉じ、受注確定画面が活性化されること。</t>
    <rPh sb="0" eb="2">
      <t>ケンサク</t>
    </rPh>
    <rPh sb="2" eb="4">
      <t>ジョウケン</t>
    </rPh>
    <rPh sb="4" eb="6">
      <t>セッテイ</t>
    </rPh>
    <rPh sb="6" eb="8">
      <t>ガメン</t>
    </rPh>
    <rPh sb="9" eb="10">
      <t>ト</t>
    </rPh>
    <rPh sb="12" eb="14">
      <t>ジュチュウ</t>
    </rPh>
    <rPh sb="14" eb="16">
      <t>カクテイ</t>
    </rPh>
    <rPh sb="16" eb="18">
      <t>ガメン</t>
    </rPh>
    <rPh sb="19" eb="22">
      <t>カッセイカ</t>
    </rPh>
    <phoneticPr fontId="1"/>
  </si>
  <si>
    <t>検索条件設定画面のクリアボタンを押下する。</t>
    <rPh sb="0" eb="2">
      <t>ケンサク</t>
    </rPh>
    <rPh sb="2" eb="4">
      <t>ジョウケン</t>
    </rPh>
    <rPh sb="4" eb="6">
      <t>セッテイ</t>
    </rPh>
    <rPh sb="6" eb="8">
      <t>ガメン</t>
    </rPh>
    <rPh sb="16" eb="18">
      <t>オウカ</t>
    </rPh>
    <phoneticPr fontId="1"/>
  </si>
  <si>
    <t>入力した値がすべてクリアされること。</t>
    <rPh sb="0" eb="2">
      <t>ニュウリョク</t>
    </rPh>
    <rPh sb="4" eb="5">
      <t>アタイ</t>
    </rPh>
    <phoneticPr fontId="1"/>
  </si>
  <si>
    <t>再度、任意の検索条件を入力する。</t>
    <rPh sb="0" eb="2">
      <t>サイド</t>
    </rPh>
    <rPh sb="3" eb="5">
      <t>ニンイ</t>
    </rPh>
    <rPh sb="6" eb="8">
      <t>ケンサク</t>
    </rPh>
    <rPh sb="8" eb="10">
      <t>ジョウケン</t>
    </rPh>
    <rPh sb="11" eb="13">
      <t>ニュウリョク</t>
    </rPh>
    <phoneticPr fontId="1"/>
  </si>
  <si>
    <t>検索条件をすべて満たし、かつ受注状態が「仮受注」である受注明細データが受注確定画面の確定対象明細選択部に追加されること。</t>
    <rPh sb="0" eb="2">
      <t>ケンサク</t>
    </rPh>
    <rPh sb="2" eb="4">
      <t>ジョウケン</t>
    </rPh>
    <rPh sb="8" eb="9">
      <t>ミ</t>
    </rPh>
    <rPh sb="14" eb="16">
      <t>ジュチュウ</t>
    </rPh>
    <rPh sb="16" eb="18">
      <t>ジョウタイ</t>
    </rPh>
    <rPh sb="20" eb="21">
      <t>カリ</t>
    </rPh>
    <rPh sb="21" eb="23">
      <t>ジュチュウ</t>
    </rPh>
    <rPh sb="27" eb="29">
      <t>ジュチュウ</t>
    </rPh>
    <rPh sb="29" eb="31">
      <t>メイサイ</t>
    </rPh>
    <rPh sb="35" eb="37">
      <t>ジュチュウ</t>
    </rPh>
    <rPh sb="37" eb="39">
      <t>カクテイ</t>
    </rPh>
    <rPh sb="39" eb="41">
      <t>ガメン</t>
    </rPh>
    <rPh sb="42" eb="44">
      <t>カクテイ</t>
    </rPh>
    <rPh sb="44" eb="46">
      <t>タイショウ</t>
    </rPh>
    <rPh sb="46" eb="48">
      <t>メイサイ</t>
    </rPh>
    <rPh sb="48" eb="50">
      <t>センタク</t>
    </rPh>
    <rPh sb="50" eb="51">
      <t>ブ</t>
    </rPh>
    <rPh sb="52" eb="54">
      <t>ツイカ</t>
    </rPh>
    <phoneticPr fontId="1"/>
  </si>
  <si>
    <t>確定ボタン押下</t>
    <rPh sb="0" eb="2">
      <t>カクテイ</t>
    </rPh>
    <rPh sb="5" eb="7">
      <t>オウカ</t>
    </rPh>
    <phoneticPr fontId="1"/>
  </si>
  <si>
    <t>確定対象明細行選択部から任意の行の「選択」をonにする。</t>
    <rPh sb="0" eb="2">
      <t>カクテイ</t>
    </rPh>
    <rPh sb="2" eb="4">
      <t>タイショウ</t>
    </rPh>
    <rPh sb="4" eb="6">
      <t>メイサイ</t>
    </rPh>
    <rPh sb="6" eb="7">
      <t>ギョウ</t>
    </rPh>
    <rPh sb="7" eb="9">
      <t>センタク</t>
    </rPh>
    <rPh sb="9" eb="10">
      <t>ブ</t>
    </rPh>
    <rPh sb="12" eb="14">
      <t>ニンイ</t>
    </rPh>
    <rPh sb="15" eb="16">
      <t>ギョウ</t>
    </rPh>
    <rPh sb="18" eb="20">
      <t>センタク</t>
    </rPh>
    <phoneticPr fontId="1"/>
  </si>
  <si>
    <t>確定ボタンを押下する</t>
    <rPh sb="0" eb="2">
      <t>カクテイ</t>
    </rPh>
    <rPh sb="6" eb="8">
      <t>オウカ</t>
    </rPh>
    <phoneticPr fontId="1"/>
  </si>
  <si>
    <t>選択された行の内、既に確定対象明細行選択部に存在しないデータが確定対象明細行選択部の末尾に追加されること。</t>
    <rPh sb="0" eb="2">
      <t>センタク</t>
    </rPh>
    <rPh sb="5" eb="6">
      <t>ギョウ</t>
    </rPh>
    <rPh sb="7" eb="8">
      <t>ウチ</t>
    </rPh>
    <rPh sb="9" eb="10">
      <t>スデ</t>
    </rPh>
    <rPh sb="22" eb="24">
      <t>ソンザイ</t>
    </rPh>
    <rPh sb="42" eb="44">
      <t>マツビ</t>
    </rPh>
    <rPh sb="45" eb="47">
      <t>ツイカ</t>
    </rPh>
    <phoneticPr fontId="1"/>
  </si>
  <si>
    <t>単位入力</t>
    <rPh sb="0" eb="2">
      <t>タンイ</t>
    </rPh>
    <rPh sb="2" eb="4">
      <t>ニュウリョク</t>
    </rPh>
    <phoneticPr fontId="1"/>
  </si>
  <si>
    <t>入数、数量が以下の仕様で変更されること。
入数：紐づく製品マスタのカートン入数
数量：紐づく見積原価明細の数量/入数</t>
    <rPh sb="0" eb="2">
      <t>イリスウ</t>
    </rPh>
    <rPh sb="3" eb="5">
      <t>スウリョウ</t>
    </rPh>
    <rPh sb="6" eb="8">
      <t>イカ</t>
    </rPh>
    <rPh sb="9" eb="11">
      <t>シヨウ</t>
    </rPh>
    <rPh sb="12" eb="14">
      <t>ヘンコウ</t>
    </rPh>
    <rPh sb="21" eb="23">
      <t>イリスウ</t>
    </rPh>
    <rPh sb="24" eb="25">
      <t>ヒモ</t>
    </rPh>
    <rPh sb="27" eb="29">
      <t>セイヒン</t>
    </rPh>
    <rPh sb="37" eb="39">
      <t>イリスウ</t>
    </rPh>
    <rPh sb="40" eb="42">
      <t>スウリョウ</t>
    </rPh>
    <rPh sb="43" eb="44">
      <t>ヒモ</t>
    </rPh>
    <rPh sb="46" eb="48">
      <t>ミツモリ</t>
    </rPh>
    <rPh sb="48" eb="50">
      <t>ゲンカ</t>
    </rPh>
    <rPh sb="50" eb="52">
      <t>メイサイ</t>
    </rPh>
    <rPh sb="53" eb="55">
      <t>スウリョウ</t>
    </rPh>
    <rPh sb="56" eb="58">
      <t>イリスウ</t>
    </rPh>
    <phoneticPr fontId="1"/>
  </si>
  <si>
    <t>入数、数量が以下の仕様で変更されること。
入数：1
数量：紐づく見積原価明細の数量</t>
    <rPh sb="0" eb="2">
      <t>イリスウ</t>
    </rPh>
    <rPh sb="3" eb="5">
      <t>スウリョウ</t>
    </rPh>
    <rPh sb="6" eb="8">
      <t>イカ</t>
    </rPh>
    <rPh sb="9" eb="11">
      <t>シヨウ</t>
    </rPh>
    <rPh sb="12" eb="14">
      <t>ヘンコウ</t>
    </rPh>
    <rPh sb="21" eb="23">
      <t>イリスウ</t>
    </rPh>
    <rPh sb="26" eb="28">
      <t>スウリョウ</t>
    </rPh>
    <rPh sb="29" eb="30">
      <t>ヒモ</t>
    </rPh>
    <rPh sb="32" eb="34">
      <t>ミツモリ</t>
    </rPh>
    <rPh sb="34" eb="36">
      <t>ゲンカ</t>
    </rPh>
    <rPh sb="36" eb="38">
      <t>メイサイ</t>
    </rPh>
    <rPh sb="39" eb="41">
      <t>スウリョウ</t>
    </rPh>
    <phoneticPr fontId="1"/>
  </si>
  <si>
    <t>製品情報ボタン押下</t>
    <rPh sb="0" eb="2">
      <t>セイヒン</t>
    </rPh>
    <rPh sb="2" eb="4">
      <t>ジョウホウ</t>
    </rPh>
    <rPh sb="7" eb="9">
      <t>オウカ</t>
    </rPh>
    <phoneticPr fontId="1"/>
  </si>
  <si>
    <t>明細情報入力部の任意の行の単位を「c/t」に変更する。</t>
    <rPh sb="0" eb="2">
      <t>メイサイ</t>
    </rPh>
    <rPh sb="2" eb="4">
      <t>ジョウホウ</t>
    </rPh>
    <rPh sb="4" eb="6">
      <t>ニュウリョク</t>
    </rPh>
    <rPh sb="6" eb="7">
      <t>ブ</t>
    </rPh>
    <rPh sb="8" eb="10">
      <t>ニンイ</t>
    </rPh>
    <rPh sb="11" eb="12">
      <t>ギョウ</t>
    </rPh>
    <rPh sb="13" eb="15">
      <t>タンイ</t>
    </rPh>
    <rPh sb="22" eb="24">
      <t>ヘンコウ</t>
    </rPh>
    <phoneticPr fontId="1"/>
  </si>
  <si>
    <t>押下した行に紐づく製品マスタの商品修正画面が別ウィンドウで表示されること。</t>
    <rPh sb="0" eb="2">
      <t>オウカ</t>
    </rPh>
    <rPh sb="4" eb="5">
      <t>ギョウ</t>
    </rPh>
    <rPh sb="6" eb="7">
      <t>ヒモ</t>
    </rPh>
    <rPh sb="9" eb="11">
      <t>セイヒン</t>
    </rPh>
    <rPh sb="15" eb="17">
      <t>ショウヒン</t>
    </rPh>
    <rPh sb="17" eb="19">
      <t>シュウセイ</t>
    </rPh>
    <rPh sb="19" eb="21">
      <t>ガメン</t>
    </rPh>
    <rPh sb="22" eb="23">
      <t>ベツ</t>
    </rPh>
    <rPh sb="29" eb="31">
      <t>ヒョウジ</t>
    </rPh>
    <phoneticPr fontId="1"/>
  </si>
  <si>
    <t>明細情報入力部の単位が「c/t」である行の単位を「c/t」以外に変更する。</t>
    <rPh sb="0" eb="2">
      <t>メイサイ</t>
    </rPh>
    <rPh sb="2" eb="4">
      <t>ジョウホウ</t>
    </rPh>
    <rPh sb="4" eb="6">
      <t>ニュウリョク</t>
    </rPh>
    <rPh sb="6" eb="7">
      <t>ブ</t>
    </rPh>
    <rPh sb="8" eb="10">
      <t>タンイ</t>
    </rPh>
    <rPh sb="19" eb="20">
      <t>ギョウ</t>
    </rPh>
    <rPh sb="21" eb="23">
      <t>タンイ</t>
    </rPh>
    <rPh sb="29" eb="31">
      <t>イガイ</t>
    </rPh>
    <rPh sb="32" eb="34">
      <t>ヘンコウ</t>
    </rPh>
    <phoneticPr fontId="1"/>
  </si>
  <si>
    <t>商品修正画面でカートン入数を変更する。</t>
    <rPh sb="0" eb="2">
      <t>ショウヒン</t>
    </rPh>
    <rPh sb="2" eb="4">
      <t>シュウセイ</t>
    </rPh>
    <rPh sb="4" eb="6">
      <t>ガメン</t>
    </rPh>
    <rPh sb="11" eb="13">
      <t>イリスウ</t>
    </rPh>
    <rPh sb="14" eb="16">
      <t>ヘンコウ</t>
    </rPh>
    <phoneticPr fontId="1"/>
  </si>
  <si>
    <t>商品修正画面の登録ボタンを押下する。</t>
    <rPh sb="0" eb="2">
      <t>ショウヒン</t>
    </rPh>
    <rPh sb="2" eb="4">
      <t>シュウセイ</t>
    </rPh>
    <rPh sb="4" eb="6">
      <t>ガメン</t>
    </rPh>
    <rPh sb="7" eb="9">
      <t>トウロク</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</si>
  <si>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</si>
  <si>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登録確認画面が閉じ、受注確定画面が活性化されること。</t>
    <rPh sb="0" eb="2">
      <t>トウロク</t>
    </rPh>
    <rPh sb="2" eb="4">
      <t>カクニン</t>
    </rPh>
    <rPh sb="4" eb="6">
      <t>ガメン</t>
    </rPh>
    <rPh sb="7" eb="8">
      <t>ト</t>
    </rPh>
    <rPh sb="10" eb="12">
      <t>ジュチュウ</t>
    </rPh>
    <rPh sb="12" eb="14">
      <t>カクテイ</t>
    </rPh>
    <rPh sb="14" eb="16">
      <t>ガメン</t>
    </rPh>
    <rPh sb="17" eb="20">
      <t>カッセイカ</t>
    </rPh>
    <phoneticPr fontId="1"/>
  </si>
  <si>
    <t>単位が「c/t」以外である明細情報入力部の任意の行の製品情報ボタンを押下する。</t>
    <rPh sb="0" eb="2">
      <t>タンイ</t>
    </rPh>
    <rPh sb="8" eb="10">
      <t>イガイ</t>
    </rPh>
    <rPh sb="21" eb="23">
      <t>ニンイ</t>
    </rPh>
    <rPh sb="24" eb="25">
      <t>ギョウ</t>
    </rPh>
    <rPh sb="26" eb="28">
      <t>セイヒン</t>
    </rPh>
    <rPh sb="28" eb="30">
      <t>ジョウホウ</t>
    </rPh>
    <rPh sb="34" eb="36">
      <t>オウカ</t>
    </rPh>
    <phoneticPr fontId="1"/>
  </si>
  <si>
    <t>製品情報ボタンを押下した行の単位を「c/t」に変更する。</t>
    <rPh sb="0" eb="2">
      <t>セイヒン</t>
    </rPh>
    <rPh sb="2" eb="4">
      <t>ジョウホウ</t>
    </rPh>
    <rPh sb="8" eb="10">
      <t>オウカ</t>
    </rPh>
    <rPh sb="12" eb="13">
      <t>ギョウ</t>
    </rPh>
    <phoneticPr fontId="1"/>
  </si>
  <si>
    <t>入数に商品修正画面で変更されたカートン入数が表示されていること。</t>
    <rPh sb="0" eb="2">
      <t>イリスウ</t>
    </rPh>
    <rPh sb="3" eb="5">
      <t>ショウヒン</t>
    </rPh>
    <rPh sb="5" eb="7">
      <t>シュウセイ</t>
    </rPh>
    <rPh sb="7" eb="9">
      <t>ガメン</t>
    </rPh>
    <rPh sb="10" eb="12">
      <t>ヘンコウ</t>
    </rPh>
    <rPh sb="19" eb="21">
      <t>イリスウ</t>
    </rPh>
    <rPh sb="22" eb="24">
      <t>ヒョウジ</t>
    </rPh>
    <phoneticPr fontId="1"/>
  </si>
  <si>
    <t>製品情報ボタンを押下した行の単位を「c/t」以外に変更する。</t>
    <rPh sb="0" eb="2">
      <t>セイヒン</t>
    </rPh>
    <rPh sb="2" eb="4">
      <t>ジョウホウ</t>
    </rPh>
    <rPh sb="8" eb="10">
      <t>オウカ</t>
    </rPh>
    <rPh sb="12" eb="13">
      <t>ギョウ</t>
    </rPh>
    <rPh sb="22" eb="24">
      <t>イガイ</t>
    </rPh>
    <phoneticPr fontId="1"/>
  </si>
  <si>
    <t>入数に1が設定されていること。</t>
    <rPh sb="0" eb="2">
      <t>イリスウ</t>
    </rPh>
    <rPh sb="5" eb="7">
      <t>セッテイ</t>
    </rPh>
    <phoneticPr fontId="1"/>
  </si>
  <si>
    <t>最上行へ移動ボタン押下</t>
    <rPh sb="9" eb="11">
      <t>オウカ</t>
    </rPh>
    <phoneticPr fontId="1"/>
  </si>
  <si>
    <t>明細情報入力部の任意の行を選択する。</t>
    <rPh sb="8" eb="10">
      <t>ニンイ</t>
    </rPh>
    <rPh sb="11" eb="12">
      <t>ギョウ</t>
    </rPh>
    <rPh sb="13" eb="15">
      <t>センタク</t>
    </rPh>
    <phoneticPr fontId="1"/>
  </si>
  <si>
    <t>最上行へ移動ボタンを押下する。</t>
    <rPh sb="10" eb="12">
      <t>オウカ</t>
    </rPh>
    <phoneticPr fontId="1"/>
  </si>
  <si>
    <t>選択された行が明細情報入力部の先頭に移動すること。</t>
    <rPh sb="0" eb="2">
      <t>センタク</t>
    </rPh>
    <rPh sb="5" eb="6">
      <t>ギョウ</t>
    </rPh>
    <rPh sb="15" eb="17">
      <t>セントウ</t>
    </rPh>
    <rPh sb="18" eb="20">
      <t>イドウ</t>
    </rPh>
    <phoneticPr fontId="1"/>
  </si>
  <si>
    <t>上の行へ移動ボタン押下</t>
    <rPh sb="0" eb="1">
      <t>ウエ</t>
    </rPh>
    <rPh sb="2" eb="3">
      <t>ギョウ</t>
    </rPh>
    <rPh sb="4" eb="6">
      <t>イドウ</t>
    </rPh>
    <rPh sb="9" eb="11">
      <t>オウカ</t>
    </rPh>
    <phoneticPr fontId="1"/>
  </si>
  <si>
    <t>下の行へ移動ボタン押下</t>
    <rPh sb="0" eb="1">
      <t>シタ</t>
    </rPh>
    <rPh sb="2" eb="3">
      <t>ギョウ</t>
    </rPh>
    <rPh sb="4" eb="6">
      <t>イドウ</t>
    </rPh>
    <rPh sb="9" eb="11">
      <t>オウカ</t>
    </rPh>
    <phoneticPr fontId="1"/>
  </si>
  <si>
    <t>最下行へ移動ボタン押下</t>
    <rPh sb="0" eb="2">
      <t>サイカ</t>
    </rPh>
    <rPh sb="2" eb="3">
      <t>ギョウ</t>
    </rPh>
    <rPh sb="4" eb="6">
      <t>イドウ</t>
    </rPh>
    <rPh sb="9" eb="11">
      <t>オウカ</t>
    </rPh>
    <phoneticPr fontId="1"/>
  </si>
  <si>
    <t>上の行へ移動ボタンを押下する。</t>
    <rPh sb="0" eb="1">
      <t>ウエ</t>
    </rPh>
    <rPh sb="2" eb="3">
      <t>ギョウ</t>
    </rPh>
    <rPh sb="4" eb="6">
      <t>イドウ</t>
    </rPh>
    <rPh sb="10" eb="12">
      <t>オウカ</t>
    </rPh>
    <phoneticPr fontId="1"/>
  </si>
  <si>
    <t>選択された行が1行上に移動すること。</t>
    <rPh sb="0" eb="2">
      <t>センタク</t>
    </rPh>
    <rPh sb="5" eb="6">
      <t>ギョウ</t>
    </rPh>
    <rPh sb="8" eb="9">
      <t>ギョウ</t>
    </rPh>
    <rPh sb="9" eb="10">
      <t>ウエ</t>
    </rPh>
    <rPh sb="11" eb="13">
      <t>イドウ</t>
    </rPh>
    <phoneticPr fontId="1"/>
  </si>
  <si>
    <t>下の行へ移動ボタンを押下する。</t>
    <rPh sb="0" eb="1">
      <t>シタ</t>
    </rPh>
    <rPh sb="2" eb="3">
      <t>ギョウ</t>
    </rPh>
    <rPh sb="4" eb="6">
      <t>イドウ</t>
    </rPh>
    <rPh sb="10" eb="12">
      <t>オウカ</t>
    </rPh>
    <phoneticPr fontId="1"/>
  </si>
  <si>
    <t>選択された行が1行下に移動すること。</t>
    <rPh sb="0" eb="2">
      <t>センタク</t>
    </rPh>
    <rPh sb="5" eb="6">
      <t>ギョウ</t>
    </rPh>
    <rPh sb="8" eb="9">
      <t>ギョウ</t>
    </rPh>
    <rPh sb="9" eb="10">
      <t>シタ</t>
    </rPh>
    <rPh sb="11" eb="13">
      <t>イドウ</t>
    </rPh>
    <phoneticPr fontId="1"/>
  </si>
  <si>
    <t>選択された行が明細情報入力部の最後尾に移動すること。</t>
    <rPh sb="0" eb="2">
      <t>センタク</t>
    </rPh>
    <rPh sb="5" eb="6">
      <t>ギョウ</t>
    </rPh>
    <rPh sb="15" eb="18">
      <t>サイコウビ</t>
    </rPh>
    <rPh sb="19" eb="21">
      <t>イドウ</t>
    </rPh>
    <phoneticPr fontId="1"/>
  </si>
  <si>
    <t>最下行へ移動ボタンを押下する。</t>
    <rPh sb="0" eb="2">
      <t>サイカ</t>
    </rPh>
    <rPh sb="2" eb="3">
      <t>ギョウ</t>
    </rPh>
    <rPh sb="4" eb="6">
      <t>イドウ</t>
    </rPh>
    <rPh sb="10" eb="12">
      <t>オウカ</t>
    </rPh>
    <phoneticPr fontId="1"/>
  </si>
  <si>
    <t>削除ボタン押下</t>
    <rPh sb="0" eb="2">
      <t>サクジョ</t>
    </rPh>
    <rPh sb="5" eb="7">
      <t>オウカ</t>
    </rPh>
    <phoneticPr fontId="1"/>
  </si>
  <si>
    <t>削除ボタンを押下する。</t>
    <rPh sb="0" eb="2">
      <t>サクジョ</t>
    </rPh>
    <rPh sb="6" eb="8">
      <t>オウカ</t>
    </rPh>
    <phoneticPr fontId="1"/>
  </si>
  <si>
    <t>選択された行が明細情報入力部から削除されること。</t>
    <rPh sb="0" eb="2">
      <t>センタク</t>
    </rPh>
    <rPh sb="5" eb="6">
      <t>ギョウ</t>
    </rPh>
    <rPh sb="7" eb="9">
      <t>メイサイ</t>
    </rPh>
    <rPh sb="9" eb="11">
      <t>ジョウホウ</t>
    </rPh>
    <rPh sb="11" eb="13">
      <t>ニュウリョク</t>
    </rPh>
    <rPh sb="13" eb="14">
      <t>ブ</t>
    </rPh>
    <rPh sb="16" eb="18">
      <t>サクジョ</t>
    </rPh>
    <phoneticPr fontId="1"/>
  </si>
  <si>
    <t>全削除ボタン押下</t>
    <rPh sb="0" eb="1">
      <t>ゼン</t>
    </rPh>
    <rPh sb="1" eb="3">
      <t>サクジョ</t>
    </rPh>
    <rPh sb="6" eb="8">
      <t>オウカ</t>
    </rPh>
    <phoneticPr fontId="1"/>
  </si>
  <si>
    <t>全削除ボタンを押下する。</t>
    <rPh sb="0" eb="1">
      <t>ゼン</t>
    </rPh>
    <rPh sb="1" eb="3">
      <t>サクジョ</t>
    </rPh>
    <rPh sb="7" eb="9">
      <t>オウカ</t>
    </rPh>
    <phoneticPr fontId="1"/>
  </si>
  <si>
    <t>明細情報入力部の全行が削除されること。</t>
    <rPh sb="0" eb="2">
      <t>メイサイ</t>
    </rPh>
    <rPh sb="2" eb="4">
      <t>ジョウホウ</t>
    </rPh>
    <rPh sb="4" eb="6">
      <t>ニュウリョク</t>
    </rPh>
    <rPh sb="6" eb="7">
      <t>ブ</t>
    </rPh>
    <rPh sb="8" eb="10">
      <t>ゼンギョウ</t>
    </rPh>
    <rPh sb="11" eb="13">
      <t>サクジョ</t>
    </rPh>
    <phoneticPr fontId="1"/>
  </si>
  <si>
    <t>確定登録ボタンを押下する。</t>
    <rPh sb="0" eb="2">
      <t>カクテイ</t>
    </rPh>
    <rPh sb="2" eb="4">
      <t>トウロク</t>
    </rPh>
    <rPh sb="8" eb="10">
      <t>オウカ</t>
    </rPh>
    <phoneticPr fontId="1"/>
  </si>
  <si>
    <t>明細情報入力部がない旨のエラーメッセージが表示されること。</t>
    <rPh sb="0" eb="2">
      <t>メイサイ</t>
    </rPh>
    <rPh sb="2" eb="4">
      <t>ジョウホウ</t>
    </rPh>
    <rPh sb="4" eb="6">
      <t>ニュウリョク</t>
    </rPh>
    <rPh sb="6" eb="7">
      <t>ブ</t>
    </rPh>
    <rPh sb="10" eb="11">
      <t>ムネ</t>
    </rPh>
    <rPh sb="21" eb="23">
      <t>ヒョウジ</t>
    </rPh>
    <phoneticPr fontId="1"/>
  </si>
  <si>
    <t>顧客受注番号未入力のエラーメッセージが表示されること。</t>
    <rPh sb="0" eb="2">
      <t>コキャク</t>
    </rPh>
    <rPh sb="2" eb="4">
      <t>ジュチュウ</t>
    </rPh>
    <rPh sb="4" eb="6">
      <t>バンゴウ</t>
    </rPh>
    <rPh sb="6" eb="9">
      <t>ミニュウリョク</t>
    </rPh>
    <rPh sb="19" eb="21">
      <t>ヒョウジ</t>
    </rPh>
    <phoneticPr fontId="1"/>
  </si>
  <si>
    <t>確定対象明細行選択部の全行の顧客受注番号を入力する。</t>
    <rPh sb="0" eb="2">
      <t>カクテイ</t>
    </rPh>
    <rPh sb="2" eb="4">
      <t>タイショウ</t>
    </rPh>
    <rPh sb="4" eb="6">
      <t>メイサイ</t>
    </rPh>
    <rPh sb="6" eb="7">
      <t>ギョウ</t>
    </rPh>
    <rPh sb="7" eb="9">
      <t>センタク</t>
    </rPh>
    <rPh sb="9" eb="10">
      <t>ブ</t>
    </rPh>
    <rPh sb="11" eb="12">
      <t>ゼン</t>
    </rPh>
    <rPh sb="12" eb="13">
      <t>ギョウ</t>
    </rPh>
    <rPh sb="14" eb="16">
      <t>コキャク</t>
    </rPh>
    <rPh sb="16" eb="18">
      <t>ジュチュウ</t>
    </rPh>
    <rPh sb="18" eb="20">
      <t>バンゴウ</t>
    </rPh>
    <rPh sb="21" eb="23">
      <t>ニュウリョク</t>
    </rPh>
    <phoneticPr fontId="1"/>
  </si>
  <si>
    <t>商品修正画面でカートン入数を計画数量で割り切れない数に変更する。</t>
    <rPh sb="0" eb="2">
      <t>ショウヒン</t>
    </rPh>
    <rPh sb="2" eb="4">
      <t>シュウセイ</t>
    </rPh>
    <rPh sb="4" eb="6">
      <t>ガメン</t>
    </rPh>
    <rPh sb="11" eb="13">
      <t>イリスウ</t>
    </rPh>
    <rPh sb="14" eb="16">
      <t>ケイカク</t>
    </rPh>
    <rPh sb="16" eb="18">
      <t>スウリョウ</t>
    </rPh>
    <rPh sb="19" eb="20">
      <t>ワ</t>
    </rPh>
    <rPh sb="21" eb="22">
      <t>キ</t>
    </rPh>
    <rPh sb="25" eb="26">
      <t>カズ</t>
    </rPh>
    <rPh sb="27" eb="29">
      <t>ヘンコウ</t>
    </rPh>
    <phoneticPr fontId="1"/>
  </si>
  <si>
    <t>入数不正のエラーメッセージが表示されること。</t>
    <rPh sb="0" eb="2">
      <t>イリスウ</t>
    </rPh>
    <rPh sb="2" eb="4">
      <t>フセイ</t>
    </rPh>
    <rPh sb="14" eb="16">
      <t>ヒョウジ</t>
    </rPh>
    <phoneticPr fontId="1"/>
  </si>
  <si>
    <t>商品修正画面でカートン入数を計画数量で割り切れる数に変更する。</t>
    <rPh sb="0" eb="2">
      <t>ショウヒン</t>
    </rPh>
    <rPh sb="2" eb="4">
      <t>シュウセイ</t>
    </rPh>
    <rPh sb="4" eb="6">
      <t>ガメン</t>
    </rPh>
    <rPh sb="11" eb="13">
      <t>イリスウ</t>
    </rPh>
    <rPh sb="14" eb="16">
      <t>ケイカク</t>
    </rPh>
    <rPh sb="16" eb="18">
      <t>スウリョウ</t>
    </rPh>
    <rPh sb="19" eb="20">
      <t>ワ</t>
    </rPh>
    <rPh sb="21" eb="22">
      <t>キ</t>
    </rPh>
    <rPh sb="24" eb="25">
      <t>カズ</t>
    </rPh>
    <rPh sb="26" eb="28">
      <t>ヘンコウ</t>
    </rPh>
    <phoneticPr fontId="1"/>
  </si>
  <si>
    <t>確定完了画面に遷移すること。</t>
    <rPh sb="0" eb="2">
      <t>カクテイ</t>
    </rPh>
    <rPh sb="2" eb="4">
      <t>カンリョウ</t>
    </rPh>
    <rPh sb="4" eb="6">
      <t>ガメン</t>
    </rPh>
    <rPh sb="7" eb="9">
      <t>センイ</t>
    </rPh>
    <phoneticPr fontId="1"/>
  </si>
  <si>
    <t>確定対象明細行選択部の全行の内容が表示されていること。</t>
    <rPh sb="14" eb="16">
      <t>ナイヨウ</t>
    </rPh>
    <rPh sb="17" eb="19">
      <t>ヒョウジ</t>
    </rPh>
    <phoneticPr fontId="1"/>
  </si>
  <si>
    <t>確定対象明細行選択部の全行の受注マスタの受注ステータスが「受注」になっていること。</t>
    <rPh sb="14" eb="16">
      <t>ジュチュウ</t>
    </rPh>
    <rPh sb="20" eb="22">
      <t>ジュチュウ</t>
    </rPh>
    <rPh sb="29" eb="31">
      <t>ジュチュウ</t>
    </rPh>
    <phoneticPr fontId="1"/>
  </si>
  <si>
    <t>確定対象明細行選択部の全行の顧客受注番号が受注マスタ.顧客コードに反映されていること。</t>
    <rPh sb="14" eb="16">
      <t>コキャク</t>
    </rPh>
    <rPh sb="16" eb="18">
      <t>ジュチュウ</t>
    </rPh>
    <rPh sb="18" eb="20">
      <t>バンゴウ</t>
    </rPh>
    <rPh sb="21" eb="23">
      <t>ジュチュウ</t>
    </rPh>
    <rPh sb="27" eb="29">
      <t>コキャク</t>
    </rPh>
    <rPh sb="33" eb="35">
      <t>ハンエイ</t>
    </rPh>
    <phoneticPr fontId="1"/>
  </si>
  <si>
    <t>任意の行の確定取消ボタンを押下する。</t>
    <rPh sb="0" eb="2">
      <t>ニンイ</t>
    </rPh>
    <rPh sb="3" eb="4">
      <t>ギョウ</t>
    </rPh>
    <rPh sb="5" eb="7">
      <t>カクテイ</t>
    </rPh>
    <rPh sb="7" eb="9">
      <t>トリケシ</t>
    </rPh>
    <rPh sb="13" eb="15">
      <t>オウカ</t>
    </rPh>
    <phoneticPr fontId="1"/>
  </si>
  <si>
    <t>受注確定取消画面が表示されること。</t>
    <rPh sb="2" eb="4">
      <t>カクテイ</t>
    </rPh>
    <rPh sb="4" eb="6">
      <t>トリケシ</t>
    </rPh>
    <rPh sb="6" eb="8">
      <t>ガメン</t>
    </rPh>
    <rPh sb="9" eb="11">
      <t>ヒョウジ</t>
    </rPh>
    <phoneticPr fontId="1"/>
  </si>
  <si>
    <t>確定取消ボタンを押下する。</t>
    <rPh sb="0" eb="2">
      <t>カクテイ</t>
    </rPh>
    <rPh sb="2" eb="4">
      <t>トリケシ</t>
    </rPh>
    <rPh sb="8" eb="10">
      <t>オウカ</t>
    </rPh>
    <phoneticPr fontId="1"/>
  </si>
  <si>
    <t>受注確定取消確認画面が表示されること。</t>
    <rPh sb="2" eb="4">
      <t>カクテイ</t>
    </rPh>
    <rPh sb="4" eb="6">
      <t>トリケシ</t>
    </rPh>
    <rPh sb="6" eb="8">
      <t>カクニン</t>
    </rPh>
    <rPh sb="8" eb="10">
      <t>ガメン</t>
    </rPh>
    <rPh sb="11" eb="13">
      <t>ヒョウジ</t>
    </rPh>
    <phoneticPr fontId="1"/>
  </si>
  <si>
    <t>受注確定取消確認画面に表示されている明細は、確定取消チェックがonになっている売上明細だけ全件表示されていること。</t>
    <rPh sb="4" eb="6">
      <t>トリケシ</t>
    </rPh>
    <rPh sb="6" eb="8">
      <t>カクニン</t>
    </rPh>
    <rPh sb="11" eb="13">
      <t>ヒョウジ</t>
    </rPh>
    <rPh sb="18" eb="20">
      <t>メイサイ</t>
    </rPh>
    <rPh sb="22" eb="24">
      <t>カクテイ</t>
    </rPh>
    <rPh sb="24" eb="26">
      <t>トリケシ</t>
    </rPh>
    <rPh sb="41" eb="43">
      <t>メイサイ</t>
    </rPh>
    <rPh sb="45" eb="47">
      <t>ゼンケン</t>
    </rPh>
    <rPh sb="47" eb="49">
      <t>ヒョウジ</t>
    </rPh>
    <phoneticPr fontId="1"/>
  </si>
  <si>
    <t>任意の売上明細行の確定取消チェックボックスをonにする。</t>
    <rPh sb="0" eb="2">
      <t>ニンイ</t>
    </rPh>
    <rPh sb="3" eb="5">
      <t>ウリアゲ</t>
    </rPh>
    <rPh sb="5" eb="7">
      <t>メイサイ</t>
    </rPh>
    <rPh sb="7" eb="8">
      <t>ギョウ</t>
    </rPh>
    <rPh sb="9" eb="11">
      <t>カクテイ</t>
    </rPh>
    <rPh sb="11" eb="13">
      <t>トリケシ</t>
    </rPh>
    <phoneticPr fontId="1"/>
  </si>
  <si>
    <t>任意の売上明細行の受注確定チェックボックスをonにする。</t>
    <rPh sb="0" eb="2">
      <t>ニンイ</t>
    </rPh>
    <rPh sb="3" eb="5">
      <t>ウリアゲ</t>
    </rPh>
    <rPh sb="5" eb="7">
      <t>メイサイ</t>
    </rPh>
    <rPh sb="7" eb="8">
      <t>ギョウ</t>
    </rPh>
    <rPh sb="9" eb="11">
      <t>ジュチュウ</t>
    </rPh>
    <rPh sb="11" eb="13">
      <t>カクテイ</t>
    </rPh>
    <phoneticPr fontId="1"/>
  </si>
  <si>
    <t>閉じるボタン押下</t>
    <rPh sb="0" eb="1">
      <t>ト</t>
    </rPh>
    <rPh sb="6" eb="8">
      <t>オウカ</t>
    </rPh>
    <phoneticPr fontId="1"/>
  </si>
  <si>
    <t>受注確定取消画面が閉じること。</t>
    <rPh sb="0" eb="2">
      <t>ジュチュウ</t>
    </rPh>
    <rPh sb="2" eb="4">
      <t>カクテイ</t>
    </rPh>
    <rPh sb="4" eb="6">
      <t>トリケシ</t>
    </rPh>
    <rPh sb="6" eb="8">
      <t>ガメン</t>
    </rPh>
    <rPh sb="9" eb="10">
      <t>ト</t>
    </rPh>
    <phoneticPr fontId="1"/>
  </si>
  <si>
    <t>受注取消確定画面を起動した画面が活性化されていること。</t>
    <rPh sb="0" eb="2">
      <t>ジュチュウ</t>
    </rPh>
    <rPh sb="2" eb="4">
      <t>トリケシ</t>
    </rPh>
    <rPh sb="4" eb="6">
      <t>カクテイ</t>
    </rPh>
    <rPh sb="6" eb="8">
      <t>ガメン</t>
    </rPh>
    <rPh sb="9" eb="11">
      <t>キドウ</t>
    </rPh>
    <rPh sb="13" eb="15">
      <t>ガメン</t>
    </rPh>
    <rPh sb="16" eb="19">
      <t>カッセイカ</t>
    </rPh>
    <phoneticPr fontId="1"/>
  </si>
  <si>
    <t>取消ボタン押下</t>
    <rPh sb="0" eb="2">
      <t>トリケシ</t>
    </rPh>
    <rPh sb="5" eb="7">
      <t>オウカ</t>
    </rPh>
    <phoneticPr fontId="1"/>
  </si>
  <si>
    <t>受注取消確定画面を起動した画面の確定取消ボタンを押下する。</t>
    <rPh sb="0" eb="2">
      <t>ジュチュウ</t>
    </rPh>
    <rPh sb="2" eb="4">
      <t>トリケシ</t>
    </rPh>
    <rPh sb="4" eb="6">
      <t>カクテイ</t>
    </rPh>
    <rPh sb="6" eb="8">
      <t>ガメン</t>
    </rPh>
    <rPh sb="9" eb="11">
      <t>キドウ</t>
    </rPh>
    <rPh sb="13" eb="15">
      <t>ガメン</t>
    </rPh>
    <rPh sb="16" eb="18">
      <t>カクテイ</t>
    </rPh>
    <rPh sb="18" eb="20">
      <t>トリケシ</t>
    </rPh>
    <rPh sb="24" eb="26">
      <t>オウカ</t>
    </rPh>
    <phoneticPr fontId="1"/>
  </si>
  <si>
    <t>取消ボタンを押下する。</t>
    <rPh sb="0" eb="2">
      <t>トリケシ</t>
    </rPh>
    <rPh sb="6" eb="8">
      <t>オウカ</t>
    </rPh>
    <phoneticPr fontId="1"/>
  </si>
  <si>
    <t>取消対象明細行の全行の受注マスタの受注ステータスが「仮受注」になっていること。</t>
    <rPh sb="0" eb="2">
      <t>トリケシ</t>
    </rPh>
    <rPh sb="11" eb="13">
      <t>ジュチュウ</t>
    </rPh>
    <rPh sb="17" eb="19">
      <t>ジュチュウ</t>
    </rPh>
    <rPh sb="26" eb="27">
      <t>カリ</t>
    </rPh>
    <rPh sb="27" eb="29">
      <t>ジュチュウ</t>
    </rPh>
    <phoneticPr fontId="1"/>
  </si>
  <si>
    <t>受注確定取消完了画面に遷移すること。</t>
    <rPh sb="0" eb="2">
      <t>ジュチュウ</t>
    </rPh>
    <rPh sb="2" eb="4">
      <t>カクテイ</t>
    </rPh>
    <rPh sb="4" eb="6">
      <t>トリケシ</t>
    </rPh>
    <rPh sb="6" eb="8">
      <t>カンリョウ</t>
    </rPh>
    <rPh sb="8" eb="10">
      <t>ガメン</t>
    </rPh>
    <rPh sb="11" eb="13">
      <t>センイ</t>
    </rPh>
    <phoneticPr fontId="1"/>
  </si>
  <si>
    <t>受注確定取消完了画面に取消対象明細行の全行が表示されていること。</t>
    <rPh sb="0" eb="2">
      <t>ジュチュウ</t>
    </rPh>
    <rPh sb="2" eb="4">
      <t>カクテイ</t>
    </rPh>
    <rPh sb="4" eb="6">
      <t>トリケシ</t>
    </rPh>
    <rPh sb="6" eb="8">
      <t>カンリョウ</t>
    </rPh>
    <rPh sb="8" eb="10">
      <t>ガメン</t>
    </rPh>
    <rPh sb="11" eb="13">
      <t>トリケシ</t>
    </rPh>
    <rPh sb="13" eb="15">
      <t>タイショウ</t>
    </rPh>
    <rPh sb="15" eb="17">
      <t>メイサイ</t>
    </rPh>
    <rPh sb="17" eb="18">
      <t>ギョウ</t>
    </rPh>
    <rPh sb="19" eb="21">
      <t>ゼンギョウ</t>
    </rPh>
    <rPh sb="22" eb="24">
      <t>ヒョウジ</t>
    </rPh>
    <phoneticPr fontId="1"/>
  </si>
  <si>
    <t>受注確定取消完了画面が閉じること。</t>
    <rPh sb="0" eb="2">
      <t>ジュチュウ</t>
    </rPh>
    <rPh sb="2" eb="4">
      <t>カクテイ</t>
    </rPh>
    <rPh sb="4" eb="6">
      <t>トリケシ</t>
    </rPh>
    <rPh sb="6" eb="8">
      <t>カンリョウ</t>
    </rPh>
    <rPh sb="8" eb="10">
      <t>ガメン</t>
    </rPh>
    <rPh sb="11" eb="12">
      <t>ト</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</si>
</sst>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quot;ボタンを押下する&quot;"/>
  </numFmts>
  <fonts count="6">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
      <sz val="11"/>
      <color rgb="FFFF0000"/>
      <name val="游ゴシック"/>
      <family val="2"/>
      <scheme val="minor"/>
    </font>
    <font>
      <sz val="11"/>
      <name val="游ゴシック"/>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9">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176" fontId="0" fillId="0" borderId="1" xfId="0" applyNumberFormat="1" applyBorder="1" applyAlignment="1">
      <alignment horizontal="left" vertical="top" wrapText="1"/>
    </xf>
    <xf numFmtId="0" fontId="0" fillId="0" borderId="1" xfId="0" applyBorder="1" applyAlignment="1">
      <alignment horizontal="center" vertical="center"/>
    </xf>
    <xf numFmtId="0"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487680</xdr:colOff>
          <xdr:row>0</xdr:row>
          <xdr:rowOff>167640</xdr:rowOff>
        </xdr:from>
        <xdr:to>
          <xdr:col>4</xdr:col>
          <xdr:colOff>381000</xdr:colOff>
          <xdr:row>1</xdr:row>
          <xdr:rowOff>205740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344B-3B8B-47F4-809F-F4DF64D3FDD4}">
  <sheetPr codeName="Sheet1"/>
  <dimension ref="A1:B1"/>
  <sheetViews>
    <sheetView workbookViewId="0">
      <selection activeCell="H19" sqref="H19"/>
    </sheetView>
  </sheetViews>
  <sheetFormatPr defaultRowHeight="18"/>
  <cols>
    <col min="1" max="1" width="10.3984375" bestFit="1" customWidth="1"/>
  </cols>
  <sheetData>
    <row r="1" spans="1:2">
      <c r="A1" t="s">
        <v>9</v>
      </c>
      <c r="B1">
        <v>223</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ボタン1_Click">
                <anchor moveWithCells="1">
                  <from>
                    <xdr:col>3</xdr:col>
                    <xdr:colOff>487680</xdr:colOff>
                    <xdr:row>0</xdr:row>
                    <xdr:rowOff>167640</xdr:rowOff>
                  </from>
                  <to>
                    <xdr:col>4</xdr:col>
                    <xdr:colOff>381000</xdr:colOff>
                    <xdr:row>1</xdr:row>
                    <xdr:rowOff>205740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BF667-CC76-4375-BAB1-BE097FBC889A}">
  <sheetPr codeName="Sheet6"/>
  <dimension ref="A1:J17"/>
  <sheetViews>
    <sheetView topLeftCell="A4" workbookViewId="0">
      <selection activeCell="C12" sqref="C1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受注検索</v>
      </c>
      <c r="D1" s="7"/>
    </row>
    <row r="2" spans="1:10">
      <c r="B2" s="10" t="s">
        <v>9</v>
      </c>
      <c r="C2" s="9">
        <f>COUNTA(D6:D15)</f>
        <v>5</v>
      </c>
    </row>
    <row r="3" spans="1:10">
      <c r="B3" s="10" t="s">
        <v>11</v>
      </c>
      <c r="C3" s="9">
        <f>COUNTA(G6:G15)</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15"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40</v>
      </c>
      <c r="D9" s="5" t="s">
        <v>41</v>
      </c>
      <c r="E9" s="4"/>
      <c r="F9" s="3"/>
      <c r="G9" s="3"/>
      <c r="H9" s="2"/>
      <c r="I9" s="4"/>
      <c r="J9" s="4"/>
    </row>
    <row r="10" spans="1:10" s="1" customFormat="1">
      <c r="A10" s="2">
        <f t="shared" si="0"/>
        <v>5</v>
      </c>
      <c r="B10" s="5" t="s">
        <v>18</v>
      </c>
      <c r="C10" s="5" t="s">
        <v>19</v>
      </c>
      <c r="D10" s="5"/>
      <c r="E10" s="4"/>
      <c r="F10" s="3"/>
      <c r="G10" s="3"/>
      <c r="H10" s="2"/>
      <c r="I10" s="4"/>
      <c r="J10" s="4"/>
    </row>
    <row r="11" spans="1:10" s="1" customFormat="1">
      <c r="A11" s="2">
        <f t="shared" si="0"/>
        <v>6</v>
      </c>
      <c r="B11" s="5"/>
      <c r="C11" s="5" t="s">
        <v>20</v>
      </c>
      <c r="D11" s="5" t="s">
        <v>21</v>
      </c>
      <c r="E11" s="4"/>
      <c r="F11" s="3"/>
      <c r="G11" s="3"/>
      <c r="H11" s="2"/>
      <c r="I11" s="4"/>
      <c r="J11" s="4"/>
    </row>
    <row r="12" spans="1:10" s="1" customFormat="1" ht="36">
      <c r="A12" s="2">
        <f t="shared" si="0"/>
        <v>7</v>
      </c>
      <c r="B12" s="5" t="s">
        <v>17</v>
      </c>
      <c r="C12" s="5" t="s">
        <v>24</v>
      </c>
      <c r="D12" s="5"/>
      <c r="E12" s="4"/>
      <c r="F12" s="3"/>
      <c r="G12" s="3"/>
      <c r="H12" s="2"/>
      <c r="I12" s="4"/>
      <c r="J12" s="4"/>
    </row>
    <row r="13" spans="1:10" s="1" customFormat="1">
      <c r="A13" s="2">
        <f t="shared" si="0"/>
        <v>8</v>
      </c>
      <c r="B13" s="5"/>
      <c r="C13" s="5" t="s">
        <v>22</v>
      </c>
      <c r="D13" s="5" t="s">
        <v>42</v>
      </c>
      <c r="E13" s="4"/>
      <c r="F13" s="3"/>
      <c r="G13" s="3"/>
      <c r="H13" s="2"/>
      <c r="I13" s="4"/>
      <c r="J13" s="4"/>
    </row>
    <row r="14" spans="1:10" s="1" customFormat="1" ht="36">
      <c r="A14" s="2">
        <f t="shared" si="0"/>
        <v>9</v>
      </c>
      <c r="B14" s="5"/>
      <c r="C14" s="5"/>
      <c r="D14" s="5" t="s">
        <v>43</v>
      </c>
      <c r="E14" s="4"/>
      <c r="F14" s="3"/>
      <c r="G14" s="3"/>
      <c r="H14" s="2"/>
      <c r="I14" s="4"/>
      <c r="J14" s="4"/>
    </row>
    <row r="15" spans="1:10" s="1" customFormat="1" ht="36">
      <c r="A15" s="2">
        <f t="shared" si="0"/>
        <v>10</v>
      </c>
      <c r="B15" s="5"/>
      <c r="C15" s="5"/>
      <c r="D15" s="5" t="s">
        <v>23</v>
      </c>
      <c r="E15" s="4"/>
      <c r="F15" s="3"/>
      <c r="G15" s="3"/>
      <c r="H15" s="2"/>
      <c r="I15" s="4"/>
      <c r="J15" s="4"/>
    </row>
    <row r="17" spans="2:2">
      <c r="B17" t="s">
        <v>10</v>
      </c>
    </row>
  </sheetData>
  <mergeCells count="1">
    <mergeCell ref="H5:J5"/>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9187-0080-4300-BEC9-ADA64257C5C5}">
  <sheetPr codeName="Sheet7"/>
  <dimension ref="A1:J65"/>
  <sheetViews>
    <sheetView topLeftCell="A19" workbookViewId="0">
      <selection activeCell="D23" sqref="D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受注一覧</v>
      </c>
      <c r="D1" s="7"/>
    </row>
    <row r="2" spans="1:10">
      <c r="B2" s="10" t="s">
        <v>9</v>
      </c>
      <c r="C2" s="9">
        <f>COUNTA(D6:D47)</f>
        <v>21</v>
      </c>
    </row>
    <row r="3" spans="1:10">
      <c r="B3" s="10" t="s">
        <v>11</v>
      </c>
      <c r="C3" s="9">
        <f>COUNTA(G6:G47)</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63"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44</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t="s">
        <v>42</v>
      </c>
      <c r="E12" s="4"/>
      <c r="F12" s="3"/>
      <c r="G12" s="3"/>
      <c r="H12" s="2"/>
      <c r="I12" s="4"/>
      <c r="J12" s="4"/>
    </row>
    <row r="13" spans="1:10" s="1" customFormat="1" ht="36">
      <c r="A13" s="2">
        <f t="shared" si="0"/>
        <v>8</v>
      </c>
      <c r="B13" s="5"/>
      <c r="C13" s="5"/>
      <c r="D13" s="5" t="s">
        <v>43</v>
      </c>
      <c r="E13" s="4"/>
      <c r="F13" s="3"/>
      <c r="G13" s="3"/>
      <c r="H13" s="2"/>
      <c r="I13" s="4"/>
      <c r="J13" s="4"/>
    </row>
    <row r="14" spans="1:10" s="1" customFormat="1" ht="36">
      <c r="A14" s="2">
        <f t="shared" si="0"/>
        <v>9</v>
      </c>
      <c r="B14" s="5"/>
      <c r="C14" s="5"/>
      <c r="D14" s="5" t="s">
        <v>45</v>
      </c>
      <c r="E14" s="4"/>
      <c r="F14" s="3"/>
      <c r="G14" s="3"/>
      <c r="H14" s="2"/>
      <c r="I14" s="4"/>
      <c r="J14" s="4"/>
    </row>
    <row r="15" spans="1:10" s="1" customFormat="1" ht="36">
      <c r="A15" s="2">
        <f t="shared" si="0"/>
        <v>10</v>
      </c>
      <c r="B15" s="5"/>
      <c r="C15" s="5"/>
      <c r="D15" s="5" t="s">
        <v>46</v>
      </c>
      <c r="E15" s="4"/>
      <c r="F15" s="3"/>
      <c r="G15" s="3"/>
      <c r="H15" s="2"/>
      <c r="I15" s="4"/>
      <c r="J15" s="4"/>
    </row>
    <row r="16" spans="1:10" s="1" customFormat="1" ht="36">
      <c r="A16" s="2">
        <f t="shared" si="0"/>
        <v>11</v>
      </c>
      <c r="B16" s="5"/>
      <c r="C16" s="5"/>
      <c r="D16" s="5" t="s">
        <v>23</v>
      </c>
      <c r="E16" s="4"/>
      <c r="F16" s="3"/>
      <c r="G16" s="3"/>
      <c r="H16" s="2"/>
      <c r="I16" s="4"/>
      <c r="J16" s="4"/>
    </row>
    <row r="17" spans="1:10" s="1" customFormat="1" ht="54">
      <c r="A17" s="2">
        <f t="shared" si="0"/>
        <v>12</v>
      </c>
      <c r="B17" s="5"/>
      <c r="C17" s="5"/>
      <c r="D17" s="14" t="s">
        <v>35</v>
      </c>
      <c r="E17" s="4"/>
      <c r="F17" s="3"/>
      <c r="G17" s="3"/>
      <c r="H17" s="2"/>
      <c r="I17" s="4"/>
      <c r="J17" s="4"/>
    </row>
    <row r="18" spans="1:10" s="1" customFormat="1" ht="54">
      <c r="A18" s="2">
        <f t="shared" si="0"/>
        <v>13</v>
      </c>
      <c r="B18" s="5"/>
      <c r="C18" s="5"/>
      <c r="D18" s="14" t="s">
        <v>36</v>
      </c>
      <c r="E18" s="4"/>
      <c r="F18" s="3"/>
      <c r="G18" s="3"/>
      <c r="H18" s="2"/>
      <c r="I18" s="4"/>
      <c r="J18" s="4"/>
    </row>
    <row r="19" spans="1:10" s="1" customFormat="1" ht="36">
      <c r="A19" s="2">
        <f t="shared" si="0"/>
        <v>14</v>
      </c>
      <c r="B19" s="5"/>
      <c r="C19" s="5"/>
      <c r="D19" s="14" t="s">
        <v>37</v>
      </c>
      <c r="E19" s="4"/>
      <c r="F19" s="3"/>
      <c r="G19" s="3"/>
      <c r="H19" s="2"/>
      <c r="I19" s="4"/>
      <c r="J19" s="4"/>
    </row>
    <row r="20" spans="1:10" s="1" customFormat="1" ht="36">
      <c r="A20" s="2">
        <f t="shared" si="0"/>
        <v>15</v>
      </c>
      <c r="B20" s="5"/>
      <c r="C20" s="5"/>
      <c r="D20" s="14" t="s">
        <v>38</v>
      </c>
      <c r="E20" s="4"/>
      <c r="F20" s="3"/>
      <c r="G20" s="3"/>
      <c r="H20" s="2"/>
      <c r="I20" s="4"/>
      <c r="J20" s="4"/>
    </row>
    <row r="21" spans="1:10" s="1" customFormat="1" ht="36">
      <c r="A21" s="2">
        <f t="shared" si="0"/>
        <v>16</v>
      </c>
      <c r="B21" s="5"/>
      <c r="C21" s="5"/>
      <c r="D21" s="14" t="s">
        <v>63</v>
      </c>
      <c r="E21" s="4"/>
      <c r="F21" s="3"/>
      <c r="G21" s="3"/>
      <c r="H21" s="2"/>
      <c r="I21" s="4"/>
      <c r="J21" s="4"/>
    </row>
    <row r="22" spans="1:10" s="1" customFormat="1" ht="36">
      <c r="A22" s="2">
        <f t="shared" si="0"/>
        <v>17</v>
      </c>
      <c r="B22" s="5"/>
      <c r="C22" s="5"/>
      <c r="D22" s="14" t="s">
        <v>64</v>
      </c>
      <c r="E22" s="4"/>
      <c r="F22" s="3"/>
      <c r="G22" s="3"/>
      <c r="H22" s="2"/>
      <c r="I22" s="4"/>
      <c r="J22" s="4"/>
    </row>
    <row r="23" spans="1:10" s="1" customFormat="1">
      <c r="A23" s="2">
        <f t="shared" si="0"/>
        <v>18</v>
      </c>
      <c r="B23" s="5" t="s">
        <v>27</v>
      </c>
      <c r="C23" s="5" t="s">
        <v>28</v>
      </c>
      <c r="D23" s="5"/>
      <c r="E23" s="4"/>
      <c r="F23" s="3"/>
      <c r="G23" s="3"/>
      <c r="H23" s="2"/>
      <c r="I23" s="4"/>
      <c r="J23" s="4"/>
    </row>
    <row r="24" spans="1:10" s="1" customFormat="1" ht="36">
      <c r="A24" s="2">
        <f t="shared" si="0"/>
        <v>19</v>
      </c>
      <c r="B24" s="5"/>
      <c r="C24" s="5" t="s">
        <v>29</v>
      </c>
      <c r="D24" s="5" t="s">
        <v>47</v>
      </c>
      <c r="E24" s="4"/>
      <c r="F24" s="3"/>
      <c r="G24" s="3"/>
      <c r="H24" s="2"/>
      <c r="I24" s="4"/>
      <c r="J24" s="4"/>
    </row>
    <row r="25" spans="1:10" s="1" customFormat="1" ht="36">
      <c r="A25" s="2">
        <f t="shared" si="0"/>
        <v>20</v>
      </c>
      <c r="B25" s="5" t="s">
        <v>30</v>
      </c>
      <c r="C25" s="5" t="s">
        <v>31</v>
      </c>
      <c r="D25" s="5" t="s">
        <v>48</v>
      </c>
      <c r="E25" s="4"/>
      <c r="F25" s="3"/>
      <c r="G25" s="3"/>
      <c r="H25" s="2"/>
      <c r="I25" s="4"/>
      <c r="J25" s="4"/>
    </row>
    <row r="26" spans="1:10" s="1" customFormat="1" ht="36">
      <c r="A26" s="2">
        <f t="shared" si="0"/>
        <v>21</v>
      </c>
      <c r="B26" s="5"/>
      <c r="C26" s="5"/>
      <c r="D26" s="5" t="s">
        <v>32</v>
      </c>
      <c r="E26" s="4"/>
      <c r="F26" s="3"/>
      <c r="G26" s="3"/>
      <c r="H26" s="2"/>
      <c r="I26" s="4"/>
      <c r="J26" s="4"/>
    </row>
    <row r="27" spans="1:10" s="1" customFormat="1">
      <c r="A27" s="2">
        <f t="shared" si="0"/>
        <v>22</v>
      </c>
      <c r="B27" s="5"/>
      <c r="C27" s="5" t="s">
        <v>49</v>
      </c>
      <c r="D27" s="5" t="s">
        <v>50</v>
      </c>
      <c r="E27" s="4"/>
      <c r="F27" s="3"/>
      <c r="G27" s="3"/>
      <c r="H27" s="2"/>
      <c r="I27" s="4"/>
      <c r="J27" s="4"/>
    </row>
    <row r="28" spans="1:10" s="1" customFormat="1" ht="36">
      <c r="A28" s="2">
        <f t="shared" si="0"/>
        <v>23</v>
      </c>
      <c r="B28" s="5" t="s">
        <v>53</v>
      </c>
      <c r="C28" s="5" t="s">
        <v>54</v>
      </c>
      <c r="D28" s="5" t="s">
        <v>55</v>
      </c>
      <c r="E28" s="4"/>
      <c r="F28" s="3"/>
      <c r="G28" s="3"/>
      <c r="H28" s="2"/>
      <c r="I28" s="4"/>
      <c r="J28" s="4"/>
    </row>
    <row r="29" spans="1:10" s="1" customFormat="1" ht="36">
      <c r="A29" s="2">
        <f t="shared" si="0"/>
        <v>24</v>
      </c>
      <c r="B29" s="5"/>
      <c r="C29" s="11"/>
      <c r="D29" s="5" t="s">
        <v>56</v>
      </c>
      <c r="E29" s="4"/>
      <c r="F29" s="3"/>
      <c r="G29" s="3"/>
      <c r="H29" s="2"/>
      <c r="I29" s="4"/>
      <c r="J29" s="4"/>
    </row>
    <row r="30" spans="1:10" s="1" customFormat="1">
      <c r="A30" s="2">
        <f t="shared" si="0"/>
        <v>25</v>
      </c>
      <c r="B30" s="5"/>
      <c r="C30" s="5" t="s">
        <v>57</v>
      </c>
      <c r="D30" s="5" t="s">
        <v>50</v>
      </c>
      <c r="E30" s="4"/>
      <c r="F30" s="3"/>
      <c r="G30" s="3"/>
      <c r="H30" s="2"/>
      <c r="I30" s="4"/>
      <c r="J30" s="4"/>
    </row>
    <row r="31" spans="1:10" s="1" customFormat="1" ht="36">
      <c r="A31" s="2">
        <f t="shared" si="0"/>
        <v>26</v>
      </c>
      <c r="B31" s="5" t="s">
        <v>58</v>
      </c>
      <c r="C31" s="5" t="s">
        <v>60</v>
      </c>
      <c r="D31" s="5" t="s">
        <v>59</v>
      </c>
      <c r="E31" s="4"/>
      <c r="F31" s="3"/>
      <c r="G31" s="3"/>
      <c r="H31" s="2"/>
      <c r="I31" s="4"/>
      <c r="J31" s="4"/>
    </row>
    <row r="32" spans="1:10" s="1" customFormat="1" ht="36">
      <c r="A32" s="2">
        <f t="shared" si="0"/>
        <v>27</v>
      </c>
      <c r="B32" s="5"/>
      <c r="C32" s="11"/>
      <c r="D32" s="5" t="s">
        <v>61</v>
      </c>
      <c r="E32" s="4"/>
      <c r="F32" s="3"/>
      <c r="G32" s="3"/>
      <c r="H32" s="2"/>
      <c r="I32" s="4"/>
      <c r="J32" s="4"/>
    </row>
    <row r="33" spans="1:10" s="1" customFormat="1">
      <c r="A33" s="2">
        <f t="shared" si="0"/>
        <v>28</v>
      </c>
      <c r="B33" s="5"/>
      <c r="C33" s="5" t="s">
        <v>62</v>
      </c>
      <c r="D33" s="5" t="s">
        <v>50</v>
      </c>
      <c r="E33" s="4"/>
      <c r="F33" s="3"/>
      <c r="G33" s="3"/>
      <c r="H33" s="2"/>
      <c r="I33" s="4"/>
      <c r="J33" s="4"/>
    </row>
    <row r="34" spans="1:10" s="1" customFormat="1">
      <c r="A34" s="2">
        <f t="shared" si="0"/>
        <v>29</v>
      </c>
      <c r="B34" s="5"/>
      <c r="C34" s="11"/>
      <c r="D34" s="5"/>
      <c r="E34" s="4"/>
      <c r="F34" s="3"/>
      <c r="G34" s="3"/>
      <c r="H34" s="2"/>
      <c r="I34" s="4"/>
      <c r="J34" s="4"/>
    </row>
    <row r="35" spans="1:10" s="1" customFormat="1">
      <c r="A35" s="2">
        <f t="shared" si="0"/>
        <v>30</v>
      </c>
      <c r="B35" s="5"/>
      <c r="C35" s="5"/>
      <c r="D35" s="5"/>
      <c r="E35" s="4"/>
      <c r="F35" s="3"/>
      <c r="G35" s="3"/>
      <c r="H35" s="2"/>
      <c r="I35" s="4"/>
      <c r="J35" s="4"/>
    </row>
    <row r="36" spans="1:10" s="1" customFormat="1">
      <c r="A36" s="2">
        <f t="shared" si="0"/>
        <v>31</v>
      </c>
      <c r="B36" s="5"/>
      <c r="C36" s="11"/>
      <c r="D36" s="5"/>
      <c r="E36" s="4"/>
      <c r="F36" s="3"/>
      <c r="G36" s="3"/>
      <c r="H36" s="2"/>
      <c r="I36" s="4"/>
      <c r="J36" s="4"/>
    </row>
    <row r="37" spans="1:10" s="1" customFormat="1">
      <c r="A37" s="2">
        <f t="shared" si="0"/>
        <v>32</v>
      </c>
      <c r="B37" s="5"/>
      <c r="C37" s="5"/>
      <c r="D37" s="5"/>
      <c r="E37" s="4"/>
      <c r="F37" s="3"/>
      <c r="G37" s="3"/>
      <c r="H37" s="2"/>
      <c r="I37" s="4"/>
      <c r="J37" s="4"/>
    </row>
    <row r="38" spans="1:10" s="1" customFormat="1">
      <c r="A38" s="2">
        <f t="shared" si="0"/>
        <v>33</v>
      </c>
      <c r="B38" s="5"/>
      <c r="C38" s="11"/>
      <c r="D38" s="5"/>
      <c r="E38" s="4"/>
      <c r="F38" s="3"/>
      <c r="G38" s="3"/>
      <c r="H38" s="2"/>
      <c r="I38" s="4"/>
      <c r="J38" s="4"/>
    </row>
    <row r="39" spans="1:10" s="1" customFormat="1">
      <c r="A39" s="2">
        <f t="shared" si="0"/>
        <v>34</v>
      </c>
      <c r="B39" s="5"/>
      <c r="C39" s="5"/>
      <c r="D39" s="5"/>
      <c r="E39" s="4"/>
      <c r="F39" s="3"/>
      <c r="G39" s="3"/>
      <c r="H39" s="2"/>
      <c r="I39" s="4"/>
      <c r="J39" s="4"/>
    </row>
    <row r="40" spans="1:10" s="1" customFormat="1">
      <c r="A40" s="2">
        <f t="shared" si="0"/>
        <v>35</v>
      </c>
      <c r="B40" s="5"/>
      <c r="C40" s="11"/>
      <c r="D40" s="5"/>
      <c r="E40" s="4"/>
      <c r="F40" s="3"/>
      <c r="G40" s="3"/>
      <c r="H40" s="2"/>
      <c r="I40" s="4"/>
      <c r="J40" s="4"/>
    </row>
    <row r="41" spans="1:10" s="1" customFormat="1">
      <c r="A41" s="2">
        <f t="shared" si="0"/>
        <v>36</v>
      </c>
      <c r="B41" s="5"/>
      <c r="C41" s="5"/>
      <c r="D41" s="5"/>
      <c r="E41" s="4"/>
      <c r="F41" s="3"/>
      <c r="G41" s="3"/>
      <c r="H41" s="2"/>
      <c r="I41" s="4"/>
      <c r="J41" s="4"/>
    </row>
    <row r="42" spans="1:10" s="1" customFormat="1">
      <c r="A42" s="2">
        <f t="shared" si="0"/>
        <v>37</v>
      </c>
      <c r="B42" s="5"/>
      <c r="C42" s="11"/>
      <c r="D42" s="5"/>
      <c r="E42" s="4"/>
      <c r="F42" s="3"/>
      <c r="G42" s="3"/>
      <c r="H42" s="2"/>
      <c r="I42" s="4"/>
      <c r="J42" s="4"/>
    </row>
    <row r="43" spans="1:10" s="1" customFormat="1">
      <c r="A43" s="2">
        <f t="shared" si="0"/>
        <v>38</v>
      </c>
      <c r="B43" s="5"/>
      <c r="C43" s="5"/>
      <c r="D43" s="5"/>
      <c r="E43" s="4"/>
      <c r="F43" s="3"/>
      <c r="G43" s="3"/>
      <c r="H43" s="2"/>
      <c r="I43" s="4"/>
      <c r="J43" s="4"/>
    </row>
    <row r="44" spans="1:10" s="1" customFormat="1">
      <c r="A44" s="2">
        <f t="shared" si="0"/>
        <v>39</v>
      </c>
      <c r="B44" s="5"/>
      <c r="C44" s="11"/>
      <c r="D44" s="5"/>
      <c r="E44" s="4"/>
      <c r="F44" s="3"/>
      <c r="G44" s="3"/>
      <c r="H44" s="2"/>
      <c r="I44" s="4"/>
      <c r="J44" s="4"/>
    </row>
    <row r="45" spans="1:10" s="1" customFormat="1">
      <c r="A45" s="2">
        <f t="shared" si="0"/>
        <v>40</v>
      </c>
      <c r="B45" s="5"/>
      <c r="C45" s="5"/>
      <c r="D45" s="5"/>
      <c r="E45" s="4"/>
      <c r="F45" s="3"/>
      <c r="G45" s="3"/>
      <c r="H45" s="2"/>
      <c r="I45" s="4"/>
      <c r="J45" s="4"/>
    </row>
    <row r="46" spans="1:10" s="1" customFormat="1">
      <c r="A46" s="2">
        <f t="shared" si="0"/>
        <v>41</v>
      </c>
      <c r="B46" s="5"/>
      <c r="C46" s="11"/>
      <c r="D46" s="5"/>
      <c r="E46" s="4"/>
      <c r="F46" s="3"/>
      <c r="G46" s="3"/>
      <c r="H46" s="2"/>
      <c r="I46" s="4"/>
      <c r="J46" s="4"/>
    </row>
    <row r="47" spans="1:10" s="1" customFormat="1">
      <c r="A47" s="2">
        <f t="shared" si="0"/>
        <v>42</v>
      </c>
      <c r="B47" s="5"/>
      <c r="C47" s="5"/>
      <c r="D47" s="5"/>
      <c r="E47" s="4"/>
      <c r="F47" s="3"/>
      <c r="G47" s="3"/>
      <c r="H47" s="2"/>
      <c r="I47" s="4"/>
      <c r="J47" s="4"/>
    </row>
    <row r="48" spans="1:10" s="1" customFormat="1">
      <c r="A48" s="2">
        <f t="shared" si="0"/>
        <v>43</v>
      </c>
      <c r="B48" s="5"/>
      <c r="C48" s="11"/>
      <c r="D48" s="5"/>
      <c r="E48" s="4"/>
      <c r="F48" s="3"/>
      <c r="G48" s="3"/>
      <c r="H48" s="2"/>
      <c r="I48" s="4"/>
      <c r="J48" s="4"/>
    </row>
    <row r="49" spans="1:10" s="1" customFormat="1">
      <c r="A49" s="2">
        <f t="shared" si="0"/>
        <v>44</v>
      </c>
      <c r="B49" s="5"/>
      <c r="C49" s="5"/>
      <c r="D49" s="5"/>
      <c r="E49" s="4"/>
      <c r="F49" s="3"/>
      <c r="G49" s="3"/>
      <c r="H49" s="2"/>
      <c r="I49" s="4"/>
      <c r="J49" s="4"/>
    </row>
    <row r="50" spans="1:10" s="1" customFormat="1">
      <c r="A50" s="2">
        <f t="shared" si="0"/>
        <v>45</v>
      </c>
      <c r="B50" s="5"/>
      <c r="C50" s="11"/>
      <c r="D50" s="5"/>
      <c r="E50" s="4"/>
      <c r="F50" s="3"/>
      <c r="G50" s="3"/>
      <c r="H50" s="2"/>
      <c r="I50" s="4"/>
      <c r="J50" s="4"/>
    </row>
    <row r="51" spans="1:10" s="1" customFormat="1">
      <c r="A51" s="2">
        <f t="shared" si="0"/>
        <v>46</v>
      </c>
      <c r="B51" s="5"/>
      <c r="C51" s="5"/>
      <c r="D51" s="5"/>
      <c r="E51" s="4"/>
      <c r="F51" s="3"/>
      <c r="G51" s="3"/>
      <c r="H51" s="2"/>
      <c r="I51" s="4"/>
      <c r="J51" s="4"/>
    </row>
    <row r="52" spans="1:10" s="1" customFormat="1">
      <c r="A52" s="2">
        <f t="shared" si="0"/>
        <v>47</v>
      </c>
      <c r="B52" s="5"/>
      <c r="C52" s="11"/>
      <c r="D52" s="5"/>
      <c r="E52" s="4"/>
      <c r="F52" s="3"/>
      <c r="G52" s="3"/>
      <c r="H52" s="2"/>
      <c r="I52" s="4"/>
      <c r="J52" s="4"/>
    </row>
    <row r="53" spans="1:10" s="1" customFormat="1">
      <c r="A53" s="2">
        <f t="shared" si="0"/>
        <v>48</v>
      </c>
      <c r="B53" s="5"/>
      <c r="C53" s="5"/>
      <c r="D53" s="5"/>
      <c r="E53" s="4"/>
      <c r="F53" s="3"/>
      <c r="G53" s="3"/>
      <c r="H53" s="2"/>
      <c r="I53" s="4"/>
      <c r="J53" s="4"/>
    </row>
    <row r="54" spans="1:10" s="1" customFormat="1">
      <c r="A54" s="2">
        <f t="shared" si="0"/>
        <v>49</v>
      </c>
      <c r="B54" s="5"/>
      <c r="C54" s="11"/>
      <c r="D54" s="5"/>
      <c r="E54" s="4"/>
      <c r="F54" s="3"/>
      <c r="G54" s="3"/>
      <c r="H54" s="2"/>
      <c r="I54" s="4"/>
      <c r="J54" s="4"/>
    </row>
    <row r="55" spans="1:10" s="1" customFormat="1">
      <c r="A55" s="2">
        <f t="shared" si="0"/>
        <v>50</v>
      </c>
      <c r="B55" s="5"/>
      <c r="C55" s="5"/>
      <c r="D55" s="5"/>
      <c r="E55" s="4"/>
      <c r="F55" s="3"/>
      <c r="G55" s="3"/>
      <c r="H55" s="2"/>
      <c r="I55" s="4"/>
      <c r="J55" s="4"/>
    </row>
    <row r="56" spans="1:10" s="1" customFormat="1">
      <c r="A56" s="2">
        <f t="shared" si="0"/>
        <v>51</v>
      </c>
      <c r="B56" s="5"/>
      <c r="C56" s="11"/>
      <c r="D56" s="5"/>
      <c r="E56" s="4"/>
      <c r="F56" s="3"/>
      <c r="G56" s="3"/>
      <c r="H56" s="2"/>
      <c r="I56" s="4"/>
      <c r="J56" s="4"/>
    </row>
    <row r="57" spans="1:10" s="1" customFormat="1">
      <c r="A57" s="2">
        <f t="shared" si="0"/>
        <v>52</v>
      </c>
      <c r="B57" s="5"/>
      <c r="C57" s="5"/>
      <c r="D57" s="5"/>
      <c r="E57" s="4"/>
      <c r="F57" s="3"/>
      <c r="G57" s="3"/>
      <c r="H57" s="2"/>
      <c r="I57" s="4"/>
      <c r="J57" s="4"/>
    </row>
    <row r="58" spans="1:10" s="1" customFormat="1">
      <c r="A58" s="2">
        <f t="shared" si="0"/>
        <v>53</v>
      </c>
      <c r="B58" s="5"/>
      <c r="C58" s="11"/>
      <c r="D58" s="5"/>
      <c r="E58" s="4"/>
      <c r="F58" s="3"/>
      <c r="G58" s="3"/>
      <c r="H58" s="2"/>
      <c r="I58" s="4"/>
      <c r="J58" s="4"/>
    </row>
    <row r="59" spans="1:10" s="1" customFormat="1">
      <c r="A59" s="2">
        <f t="shared" si="0"/>
        <v>54</v>
      </c>
      <c r="B59" s="5"/>
      <c r="C59" s="5"/>
      <c r="D59" s="5"/>
      <c r="E59" s="4"/>
      <c r="F59" s="3"/>
      <c r="G59" s="3"/>
      <c r="H59" s="2"/>
      <c r="I59" s="4"/>
      <c r="J59" s="4"/>
    </row>
    <row r="60" spans="1:10" s="1" customFormat="1">
      <c r="A60" s="2">
        <f t="shared" si="0"/>
        <v>55</v>
      </c>
      <c r="B60" s="5"/>
      <c r="C60" s="11"/>
      <c r="D60" s="5"/>
      <c r="E60" s="4"/>
      <c r="F60" s="3"/>
      <c r="G60" s="3"/>
      <c r="H60" s="2"/>
      <c r="I60" s="4"/>
      <c r="J60" s="4"/>
    </row>
    <row r="61" spans="1:10" s="1" customFormat="1">
      <c r="A61" s="2">
        <f t="shared" si="0"/>
        <v>56</v>
      </c>
      <c r="B61" s="5"/>
      <c r="C61" s="5"/>
      <c r="D61" s="5"/>
      <c r="E61" s="4"/>
      <c r="F61" s="3"/>
      <c r="G61" s="3"/>
      <c r="H61" s="2"/>
      <c r="I61" s="4"/>
      <c r="J61" s="4"/>
    </row>
    <row r="62" spans="1:10" s="1" customFormat="1">
      <c r="A62" s="2">
        <f t="shared" si="0"/>
        <v>57</v>
      </c>
      <c r="B62" s="5"/>
      <c r="C62" s="11"/>
      <c r="D62" s="5"/>
      <c r="E62" s="4"/>
      <c r="F62" s="3"/>
      <c r="G62" s="3"/>
      <c r="H62" s="2"/>
      <c r="I62" s="4"/>
      <c r="J62" s="4"/>
    </row>
    <row r="63" spans="1:10" s="1" customFormat="1">
      <c r="A63" s="2">
        <f t="shared" si="0"/>
        <v>58</v>
      </c>
      <c r="B63" s="5"/>
      <c r="C63" s="5"/>
      <c r="D63" s="5"/>
      <c r="E63" s="4"/>
      <c r="F63" s="3"/>
      <c r="G63" s="3"/>
      <c r="H63" s="2"/>
      <c r="I63" s="4"/>
      <c r="J63" s="4"/>
    </row>
    <row r="65" spans="2:2">
      <c r="B65" t="s">
        <v>10</v>
      </c>
    </row>
  </sheetData>
  <mergeCells count="1">
    <mergeCell ref="H5:J5"/>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021A6-9D57-409C-B7D4-D0F77F1BBCD2}">
  <sheetPr codeName="Sheet8"/>
  <dimension ref="A1:J24"/>
  <sheetViews>
    <sheetView topLeftCell="A10" workbookViewId="0">
      <selection activeCell="B23" sqref="B23"/>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受注詳細</v>
      </c>
      <c r="D1" s="7"/>
    </row>
    <row r="2" spans="1:10">
      <c r="B2" s="10" t="s">
        <v>9</v>
      </c>
      <c r="C2" s="9">
        <f>COUNTA(D6:D22)</f>
        <v>5</v>
      </c>
    </row>
    <row r="3" spans="1:10">
      <c r="B3" s="10" t="s">
        <v>11</v>
      </c>
      <c r="C3" s="9">
        <f>COUNTA(G6:G22)</f>
        <v>0</v>
      </c>
    </row>
    <row r="4" spans="1:10">
      <c r="B4" s="8"/>
      <c r="C4" s="7"/>
    </row>
    <row r="5" spans="1:10" s="6" customFormat="1">
      <c r="A5" s="12" t="s">
        <v>4</v>
      </c>
      <c r="B5" s="12" t="s">
        <v>6</v>
      </c>
      <c r="C5" s="12" t="s">
        <v>7</v>
      </c>
      <c r="D5" s="12" t="s">
        <v>3</v>
      </c>
      <c r="E5" s="12" t="s">
        <v>2</v>
      </c>
      <c r="F5" s="12" t="s">
        <v>1</v>
      </c>
      <c r="G5" s="12" t="s">
        <v>0</v>
      </c>
      <c r="H5" s="18" t="s">
        <v>8</v>
      </c>
      <c r="I5" s="18"/>
      <c r="J5" s="18"/>
    </row>
    <row r="6" spans="1:10" s="1" customFormat="1" ht="36">
      <c r="A6" s="2">
        <f>ROW()-5</f>
        <v>1</v>
      </c>
      <c r="B6" s="5" t="s">
        <v>15</v>
      </c>
      <c r="C6" s="5" t="s">
        <v>13</v>
      </c>
      <c r="D6" s="5"/>
      <c r="E6" s="4"/>
      <c r="F6" s="3"/>
      <c r="G6" s="3"/>
      <c r="H6" s="2"/>
      <c r="I6" s="4"/>
      <c r="J6" s="4"/>
    </row>
    <row r="7" spans="1:10" s="1" customFormat="1">
      <c r="A7" s="2">
        <f t="shared" ref="A7:A22"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44</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39</v>
      </c>
      <c r="D13" s="5" t="s">
        <v>48</v>
      </c>
      <c r="E13" s="4"/>
      <c r="F13" s="3"/>
      <c r="G13" s="3"/>
      <c r="H13" s="2"/>
      <c r="I13" s="4"/>
      <c r="J13" s="4"/>
    </row>
    <row r="14" spans="1:10" s="1" customFormat="1" ht="36">
      <c r="A14" s="2">
        <f t="shared" si="0"/>
        <v>9</v>
      </c>
      <c r="B14" s="5"/>
      <c r="C14" s="5"/>
      <c r="D14" s="5" t="s">
        <v>32</v>
      </c>
      <c r="E14" s="4"/>
      <c r="F14" s="3"/>
      <c r="G14" s="3"/>
      <c r="H14" s="2"/>
      <c r="I14" s="4"/>
      <c r="J14" s="4"/>
    </row>
    <row r="15" spans="1:10" s="1" customFormat="1">
      <c r="A15" s="2">
        <f t="shared" si="0"/>
        <v>10</v>
      </c>
      <c r="B15" s="5"/>
      <c r="C15" s="5"/>
      <c r="D15" s="5" t="s">
        <v>33</v>
      </c>
      <c r="E15" s="4"/>
      <c r="F15" s="3"/>
      <c r="G15" s="3"/>
      <c r="H15" s="2"/>
      <c r="I15" s="4"/>
      <c r="J15" s="4"/>
    </row>
    <row r="16" spans="1:10" s="1" customFormat="1">
      <c r="A16" s="2">
        <f t="shared" si="0"/>
        <v>11</v>
      </c>
      <c r="B16" s="5" t="s">
        <v>34</v>
      </c>
      <c r="C16" s="13" t="s">
        <v>16</v>
      </c>
      <c r="D16" s="15" t="s">
        <v>51</v>
      </c>
      <c r="E16" s="4"/>
      <c r="F16" s="3"/>
      <c r="G16" s="3"/>
      <c r="H16" s="2"/>
      <c r="I16" s="4"/>
      <c r="J16" s="4"/>
    </row>
    <row r="17" spans="1:10" s="1" customFormat="1">
      <c r="A17" s="2">
        <f t="shared" si="0"/>
        <v>12</v>
      </c>
      <c r="B17" s="5"/>
      <c r="C17" s="5"/>
      <c r="D17" s="15" t="s">
        <v>52</v>
      </c>
      <c r="E17" s="4"/>
      <c r="F17" s="3"/>
      <c r="G17" s="3"/>
      <c r="H17" s="2"/>
      <c r="I17" s="4"/>
      <c r="J17" s="4"/>
    </row>
    <row r="18" spans="1:10" s="1" customFormat="1">
      <c r="A18" s="2">
        <f t="shared" si="0"/>
        <v>13</v>
      </c>
      <c r="B18" s="5"/>
      <c r="C18" s="11"/>
      <c r="D18" s="5"/>
      <c r="E18" s="4"/>
      <c r="F18" s="3"/>
      <c r="G18" s="3"/>
      <c r="H18" s="2"/>
      <c r="I18" s="4"/>
      <c r="J18" s="4"/>
    </row>
    <row r="19" spans="1:10" s="1" customFormat="1">
      <c r="A19" s="2">
        <f t="shared" si="0"/>
        <v>14</v>
      </c>
      <c r="B19" s="5"/>
      <c r="C19" s="5"/>
      <c r="D19" s="5"/>
      <c r="E19" s="4"/>
      <c r="F19" s="3"/>
      <c r="G19" s="3"/>
      <c r="H19" s="2"/>
      <c r="I19" s="4"/>
      <c r="J19" s="4"/>
    </row>
    <row r="20" spans="1:10" s="1" customFormat="1">
      <c r="A20" s="2">
        <f t="shared" si="0"/>
        <v>15</v>
      </c>
      <c r="B20" s="5"/>
      <c r="C20" s="5"/>
      <c r="D20" s="5"/>
      <c r="E20" s="4"/>
      <c r="F20" s="3"/>
      <c r="G20" s="3"/>
      <c r="H20" s="2"/>
      <c r="I20" s="4"/>
      <c r="J20" s="4"/>
    </row>
    <row r="21" spans="1:10" s="1" customFormat="1">
      <c r="A21" s="2">
        <f t="shared" si="0"/>
        <v>16</v>
      </c>
      <c r="B21" s="5"/>
      <c r="C21" s="11"/>
      <c r="D21" s="5"/>
      <c r="E21" s="4"/>
      <c r="F21" s="3"/>
      <c r="G21" s="3"/>
      <c r="H21" s="2"/>
      <c r="I21" s="4"/>
      <c r="J21" s="4"/>
    </row>
    <row r="22" spans="1:10" s="1" customFormat="1">
      <c r="A22" s="2">
        <f t="shared" si="0"/>
        <v>17</v>
      </c>
      <c r="B22" s="5"/>
      <c r="C22" s="5"/>
      <c r="D22" s="5"/>
      <c r="E22" s="4"/>
      <c r="F22" s="3"/>
      <c r="G22" s="3"/>
      <c r="H22" s="2"/>
      <c r="I22" s="4"/>
      <c r="J22" s="4"/>
    </row>
    <row r="24" spans="1:10">
      <c r="B24" t="s">
        <v>10</v>
      </c>
    </row>
  </sheetData>
  <mergeCells count="1">
    <mergeCell ref="H5:J5"/>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BF38-B2C8-4F79-A081-BA3CE5BCD9B4}">
  <sheetPr codeName="Sheet10"/>
  <dimension ref="A1:J80"/>
  <sheetViews>
    <sheetView topLeftCell="A61" workbookViewId="0">
      <selection activeCell="D72" sqref="D72"/>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受注確定</v>
      </c>
      <c r="D1" s="7"/>
    </row>
    <row r="2" spans="1:10">
      <c r="B2" s="10" t="s">
        <v>9</v>
      </c>
      <c r="C2" s="9">
        <f>COUNTA(D6:D78)</f>
        <v>32</v>
      </c>
    </row>
    <row r="3" spans="1:10">
      <c r="B3" s="10" t="s">
        <v>11</v>
      </c>
      <c r="C3" s="9">
        <f>COUNTA(G6:G78)</f>
        <v>0</v>
      </c>
    </row>
    <row r="4" spans="1:10">
      <c r="B4" s="8"/>
      <c r="C4" s="7"/>
    </row>
    <row r="5" spans="1:10" s="6" customFormat="1">
      <c r="A5" s="16" t="s">
        <v>4</v>
      </c>
      <c r="B5" s="16" t="s">
        <v>6</v>
      </c>
      <c r="C5" s="16" t="s">
        <v>7</v>
      </c>
      <c r="D5" s="16" t="s">
        <v>3</v>
      </c>
      <c r="E5" s="16" t="s">
        <v>2</v>
      </c>
      <c r="F5" s="16" t="s">
        <v>1</v>
      </c>
      <c r="G5" s="16" t="s">
        <v>0</v>
      </c>
      <c r="H5" s="18" t="s">
        <v>8</v>
      </c>
      <c r="I5" s="18"/>
      <c r="J5" s="18"/>
    </row>
    <row r="6" spans="1:10" s="1" customFormat="1" ht="36">
      <c r="A6" s="2">
        <f>ROW()-5</f>
        <v>1</v>
      </c>
      <c r="B6" s="5" t="s">
        <v>65</v>
      </c>
      <c r="C6" s="5" t="s">
        <v>13</v>
      </c>
      <c r="D6" s="5"/>
      <c r="E6" s="4"/>
      <c r="F6" s="3"/>
      <c r="G6" s="3"/>
      <c r="H6" s="2"/>
      <c r="I6" s="4"/>
      <c r="J6" s="4"/>
    </row>
    <row r="7" spans="1:10" s="1" customFormat="1">
      <c r="A7" s="2">
        <f t="shared" ref="A7:A78"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44</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66</v>
      </c>
      <c r="D13" s="5" t="s">
        <v>67</v>
      </c>
      <c r="E13" s="4"/>
      <c r="F13" s="3"/>
      <c r="G13" s="3"/>
      <c r="H13" s="2"/>
      <c r="I13" s="4"/>
      <c r="J13" s="4"/>
    </row>
    <row r="14" spans="1:10" s="1" customFormat="1" ht="36">
      <c r="A14" s="2">
        <f t="shared" si="0"/>
        <v>9</v>
      </c>
      <c r="B14" s="5"/>
      <c r="C14" s="5"/>
      <c r="D14" s="5" t="s">
        <v>56</v>
      </c>
      <c r="E14" s="4"/>
      <c r="F14" s="3"/>
      <c r="G14" s="3"/>
      <c r="H14" s="2"/>
      <c r="I14" s="4"/>
      <c r="J14" s="4"/>
    </row>
    <row r="15" spans="1:10" s="1" customFormat="1">
      <c r="A15" s="2">
        <f t="shared" si="0"/>
        <v>10</v>
      </c>
      <c r="B15" s="5"/>
      <c r="C15" s="5"/>
      <c r="D15" s="5" t="s">
        <v>33</v>
      </c>
      <c r="E15" s="4"/>
      <c r="F15" s="3"/>
      <c r="G15" s="3"/>
      <c r="H15" s="2"/>
      <c r="I15" s="4"/>
      <c r="J15" s="4"/>
    </row>
    <row r="16" spans="1:10" s="1" customFormat="1" ht="36">
      <c r="A16" s="2">
        <f t="shared" si="0"/>
        <v>11</v>
      </c>
      <c r="B16" s="5" t="s">
        <v>72</v>
      </c>
      <c r="C16" s="5" t="s">
        <v>13</v>
      </c>
      <c r="D16" s="5"/>
      <c r="E16" s="4"/>
      <c r="F16" s="3"/>
      <c r="G16" s="3"/>
      <c r="H16" s="2"/>
      <c r="I16" s="4"/>
      <c r="J16" s="4"/>
    </row>
    <row r="17" spans="1:10" s="1" customFormat="1">
      <c r="A17" s="2">
        <f t="shared" si="0"/>
        <v>12</v>
      </c>
      <c r="B17" s="5"/>
      <c r="C17" s="5" t="s">
        <v>12</v>
      </c>
      <c r="D17" s="5"/>
      <c r="E17" s="4"/>
      <c r="F17" s="3"/>
      <c r="G17" s="3"/>
      <c r="H17" s="2"/>
      <c r="I17" s="4"/>
      <c r="J17" s="4"/>
    </row>
    <row r="18" spans="1:10" s="1" customFormat="1" ht="72">
      <c r="A18" s="2">
        <f t="shared" si="0"/>
        <v>13</v>
      </c>
      <c r="B18" s="5"/>
      <c r="C18" s="5" t="s">
        <v>14</v>
      </c>
      <c r="D18" s="5"/>
      <c r="E18" s="4"/>
      <c r="F18" s="3"/>
      <c r="G18" s="3"/>
      <c r="H18" s="2"/>
      <c r="I18" s="4"/>
      <c r="J18" s="4"/>
    </row>
    <row r="19" spans="1:10" s="1" customFormat="1" ht="36">
      <c r="A19" s="2">
        <f t="shared" si="0"/>
        <v>14</v>
      </c>
      <c r="B19" s="5"/>
      <c r="C19" s="5" t="s">
        <v>68</v>
      </c>
      <c r="D19" s="5"/>
      <c r="E19" s="4"/>
      <c r="F19" s="3"/>
      <c r="G19" s="3"/>
      <c r="H19" s="2"/>
      <c r="I19" s="4"/>
      <c r="J19" s="4"/>
    </row>
    <row r="20" spans="1:10" s="1" customFormat="1" ht="36">
      <c r="A20" s="2">
        <f t="shared" si="0"/>
        <v>15</v>
      </c>
      <c r="B20" s="5"/>
      <c r="C20" s="5" t="s">
        <v>25</v>
      </c>
      <c r="D20" s="5"/>
      <c r="E20" s="4"/>
      <c r="F20" s="3"/>
      <c r="G20" s="3"/>
      <c r="H20" s="2"/>
      <c r="I20" s="4"/>
      <c r="J20" s="4"/>
    </row>
    <row r="21" spans="1:10" s="1" customFormat="1">
      <c r="A21" s="2">
        <f t="shared" si="0"/>
        <v>16</v>
      </c>
      <c r="B21" s="5"/>
      <c r="C21" s="5" t="s">
        <v>26</v>
      </c>
      <c r="D21" s="5"/>
      <c r="E21" s="4"/>
      <c r="F21" s="3"/>
      <c r="G21" s="3"/>
      <c r="H21" s="2"/>
      <c r="I21" s="4"/>
      <c r="J21" s="4"/>
    </row>
    <row r="22" spans="1:10" s="1" customFormat="1">
      <c r="A22" s="2">
        <f t="shared" si="0"/>
        <v>17</v>
      </c>
      <c r="B22" s="5"/>
      <c r="C22" s="5" t="s">
        <v>69</v>
      </c>
      <c r="D22" s="5"/>
      <c r="E22" s="4"/>
      <c r="F22" s="3"/>
      <c r="G22" s="3"/>
      <c r="H22" s="2"/>
      <c r="I22" s="4"/>
      <c r="J22" s="4"/>
    </row>
    <row r="23" spans="1:10" s="1" customFormat="1" ht="36">
      <c r="A23" s="2">
        <f t="shared" si="0"/>
        <v>18</v>
      </c>
      <c r="B23" s="5"/>
      <c r="C23" s="5" t="s">
        <v>70</v>
      </c>
      <c r="D23" s="5"/>
      <c r="E23" s="4"/>
      <c r="F23" s="3"/>
      <c r="G23" s="3"/>
      <c r="H23" s="2"/>
      <c r="I23" s="4"/>
      <c r="J23" s="4"/>
    </row>
    <row r="24" spans="1:10" s="1" customFormat="1" ht="36">
      <c r="A24" s="2">
        <f t="shared" si="0"/>
        <v>19</v>
      </c>
      <c r="B24" s="5"/>
      <c r="C24" s="13" t="s">
        <v>141</v>
      </c>
      <c r="D24" s="5"/>
      <c r="E24" s="4"/>
      <c r="F24" s="3"/>
      <c r="G24" s="3"/>
      <c r="H24" s="2"/>
      <c r="I24" s="4"/>
      <c r="J24" s="4"/>
    </row>
    <row r="25" spans="1:10" s="1" customFormat="1">
      <c r="A25" s="2">
        <f t="shared" si="0"/>
        <v>20</v>
      </c>
      <c r="B25" s="5"/>
      <c r="C25" s="5" t="s">
        <v>71</v>
      </c>
      <c r="D25" s="5" t="s">
        <v>67</v>
      </c>
      <c r="E25" s="4"/>
      <c r="F25" s="3"/>
      <c r="G25" s="3"/>
      <c r="H25" s="2"/>
      <c r="I25" s="4"/>
      <c r="J25" s="4"/>
    </row>
    <row r="26" spans="1:10" s="1" customFormat="1" ht="36">
      <c r="A26" s="2">
        <f t="shared" si="0"/>
        <v>21</v>
      </c>
      <c r="B26" s="5"/>
      <c r="C26" s="13"/>
      <c r="D26" s="5" t="s">
        <v>73</v>
      </c>
      <c r="E26" s="4"/>
      <c r="F26" s="3"/>
      <c r="G26" s="3"/>
      <c r="H26" s="2"/>
      <c r="I26" s="4"/>
      <c r="J26" s="4"/>
    </row>
    <row r="27" spans="1:10" s="1" customFormat="1">
      <c r="A27" s="2">
        <f t="shared" si="0"/>
        <v>22</v>
      </c>
      <c r="B27" s="5"/>
      <c r="C27" s="5"/>
      <c r="D27" s="5" t="s">
        <v>33</v>
      </c>
      <c r="E27" s="4"/>
      <c r="F27" s="3"/>
      <c r="G27" s="3"/>
      <c r="H27" s="2"/>
      <c r="I27" s="4"/>
      <c r="J27" s="4"/>
    </row>
    <row r="28" spans="1:10" s="1" customFormat="1">
      <c r="A28" s="2">
        <f t="shared" si="0"/>
        <v>23</v>
      </c>
      <c r="B28" s="5" t="s">
        <v>75</v>
      </c>
      <c r="C28" s="13" t="s">
        <v>76</v>
      </c>
      <c r="D28" s="5" t="s">
        <v>77</v>
      </c>
      <c r="E28" s="4"/>
      <c r="F28" s="3"/>
      <c r="G28" s="3"/>
      <c r="H28" s="2"/>
      <c r="I28" s="4"/>
      <c r="J28" s="4"/>
    </row>
    <row r="29" spans="1:10" s="1" customFormat="1" ht="36">
      <c r="A29" s="2">
        <f t="shared" si="0"/>
        <v>24</v>
      </c>
      <c r="B29" s="5"/>
      <c r="C29" s="13" t="s">
        <v>78</v>
      </c>
      <c r="D29" s="5" t="s">
        <v>80</v>
      </c>
      <c r="E29" s="4"/>
      <c r="F29" s="3"/>
      <c r="G29" s="3"/>
      <c r="H29" s="2"/>
      <c r="I29" s="4"/>
      <c r="J29" s="4"/>
    </row>
    <row r="30" spans="1:10" s="1" customFormat="1">
      <c r="A30" s="2">
        <f t="shared" si="0"/>
        <v>25</v>
      </c>
      <c r="B30" s="5"/>
      <c r="C30" s="13" t="s">
        <v>76</v>
      </c>
      <c r="D30" s="5"/>
      <c r="E30" s="4"/>
      <c r="F30" s="3"/>
      <c r="G30" s="3"/>
      <c r="H30" s="2"/>
      <c r="I30" s="4"/>
      <c r="J30" s="4"/>
    </row>
    <row r="31" spans="1:10" s="1" customFormat="1">
      <c r="A31" s="2">
        <f t="shared" si="0"/>
        <v>26</v>
      </c>
      <c r="B31" s="5"/>
      <c r="C31" s="13" t="s">
        <v>79</v>
      </c>
      <c r="D31" s="5"/>
      <c r="E31" s="4"/>
      <c r="F31" s="3"/>
      <c r="G31" s="3"/>
      <c r="H31" s="2"/>
      <c r="I31" s="4"/>
      <c r="J31" s="4"/>
    </row>
    <row r="32" spans="1:10" s="1" customFormat="1">
      <c r="A32" s="2">
        <f t="shared" si="0"/>
        <v>27</v>
      </c>
      <c r="B32" s="5"/>
      <c r="C32" s="13" t="s">
        <v>81</v>
      </c>
      <c r="D32" s="5" t="s">
        <v>82</v>
      </c>
      <c r="E32" s="4"/>
      <c r="F32" s="3"/>
      <c r="G32" s="3"/>
      <c r="H32" s="2"/>
      <c r="I32" s="4"/>
      <c r="J32" s="4"/>
    </row>
    <row r="33" spans="1:10" s="1" customFormat="1">
      <c r="A33" s="2">
        <f t="shared" si="0"/>
        <v>28</v>
      </c>
      <c r="B33" s="5"/>
      <c r="C33" s="5" t="s">
        <v>83</v>
      </c>
      <c r="D33" s="5"/>
      <c r="E33" s="4"/>
      <c r="F33" s="3"/>
      <c r="G33" s="3"/>
      <c r="H33" s="2"/>
      <c r="I33" s="4"/>
      <c r="J33" s="4"/>
    </row>
    <row r="34" spans="1:10" s="1" customFormat="1" ht="36">
      <c r="A34" s="2">
        <f t="shared" si="0"/>
        <v>29</v>
      </c>
      <c r="B34" s="5"/>
      <c r="C34" s="13" t="s">
        <v>22</v>
      </c>
      <c r="D34" s="5" t="s">
        <v>80</v>
      </c>
      <c r="E34" s="4"/>
      <c r="F34" s="3"/>
      <c r="G34" s="3"/>
      <c r="H34" s="2"/>
      <c r="I34" s="4"/>
      <c r="J34" s="4"/>
    </row>
    <row r="35" spans="1:10" s="1" customFormat="1" ht="54">
      <c r="A35" s="2">
        <f t="shared" si="0"/>
        <v>30</v>
      </c>
      <c r="B35" s="5"/>
      <c r="C35" s="13"/>
      <c r="D35" s="5" t="s">
        <v>84</v>
      </c>
      <c r="E35" s="4"/>
      <c r="F35" s="3"/>
      <c r="G35" s="3"/>
      <c r="H35" s="2"/>
      <c r="I35" s="4"/>
      <c r="J35" s="4"/>
    </row>
    <row r="36" spans="1:10" s="1" customFormat="1" ht="36">
      <c r="A36" s="2">
        <f t="shared" si="0"/>
        <v>31</v>
      </c>
      <c r="B36" s="5" t="s">
        <v>85</v>
      </c>
      <c r="C36" s="13" t="s">
        <v>86</v>
      </c>
      <c r="D36" s="5"/>
      <c r="E36" s="4"/>
      <c r="F36" s="3"/>
      <c r="G36" s="3"/>
      <c r="H36" s="2"/>
      <c r="I36" s="4"/>
      <c r="J36" s="4"/>
    </row>
    <row r="37" spans="1:10" s="1" customFormat="1" ht="36">
      <c r="A37" s="2">
        <f t="shared" si="0"/>
        <v>32</v>
      </c>
      <c r="B37" s="5"/>
      <c r="C37" s="13" t="s">
        <v>87</v>
      </c>
      <c r="D37" s="5" t="s">
        <v>88</v>
      </c>
      <c r="E37" s="4"/>
      <c r="F37" s="3"/>
      <c r="G37" s="3"/>
      <c r="H37" s="2"/>
      <c r="I37" s="4"/>
      <c r="J37" s="4"/>
    </row>
    <row r="38" spans="1:10" s="1" customFormat="1" ht="54">
      <c r="A38" s="2">
        <f t="shared" si="0"/>
        <v>33</v>
      </c>
      <c r="B38" s="5" t="s">
        <v>89</v>
      </c>
      <c r="C38" s="13" t="s">
        <v>93</v>
      </c>
      <c r="D38" s="5" t="s">
        <v>90</v>
      </c>
      <c r="E38" s="4"/>
      <c r="F38" s="3"/>
      <c r="G38" s="3"/>
      <c r="H38" s="2"/>
      <c r="I38" s="4"/>
      <c r="J38" s="4"/>
    </row>
    <row r="39" spans="1:10" s="1" customFormat="1" ht="54">
      <c r="A39" s="2">
        <f t="shared" si="0"/>
        <v>34</v>
      </c>
      <c r="B39" s="5"/>
      <c r="C39" s="13" t="s">
        <v>95</v>
      </c>
      <c r="D39" s="5" t="s">
        <v>91</v>
      </c>
      <c r="E39" s="4"/>
      <c r="F39" s="3"/>
      <c r="G39" s="3"/>
      <c r="H39" s="2"/>
      <c r="I39" s="4"/>
      <c r="J39" s="4"/>
    </row>
    <row r="40" spans="1:10" s="1" customFormat="1" ht="36">
      <c r="A40" s="2">
        <f t="shared" si="0"/>
        <v>35</v>
      </c>
      <c r="B40" s="5" t="s">
        <v>92</v>
      </c>
      <c r="C40" s="13" t="s">
        <v>100</v>
      </c>
      <c r="D40" s="5" t="s">
        <v>94</v>
      </c>
      <c r="E40" s="4"/>
      <c r="F40" s="3"/>
      <c r="G40" s="3"/>
      <c r="H40" s="2"/>
      <c r="I40" s="4"/>
      <c r="J40" s="4"/>
    </row>
    <row r="41" spans="1:10" s="1" customFormat="1">
      <c r="A41" s="2">
        <f t="shared" si="0"/>
        <v>36</v>
      </c>
      <c r="B41" s="5"/>
      <c r="C41" s="13" t="s">
        <v>96</v>
      </c>
      <c r="D41" s="5"/>
      <c r="E41" s="4"/>
      <c r="F41" s="3"/>
      <c r="G41" s="3"/>
      <c r="H41" s="2"/>
      <c r="I41" s="4"/>
      <c r="J41" s="4"/>
    </row>
    <row r="42" spans="1:10" s="1" customFormat="1">
      <c r="A42" s="2">
        <f t="shared" si="0"/>
        <v>37</v>
      </c>
      <c r="B42" s="5"/>
      <c r="C42" s="13" t="s">
        <v>97</v>
      </c>
      <c r="D42" s="5"/>
      <c r="E42" s="4"/>
      <c r="F42" s="3"/>
      <c r="G42" s="3"/>
      <c r="H42" s="2"/>
      <c r="I42" s="4"/>
      <c r="J42" s="4"/>
    </row>
    <row r="43" spans="1:10" s="1" customFormat="1">
      <c r="A43" s="2">
        <f t="shared" si="0"/>
        <v>38</v>
      </c>
      <c r="B43" s="5"/>
      <c r="C43" s="13" t="s">
        <v>98</v>
      </c>
      <c r="D43" s="5" t="s">
        <v>99</v>
      </c>
      <c r="E43" s="4"/>
      <c r="F43" s="3"/>
      <c r="G43" s="3"/>
      <c r="H43" s="2"/>
      <c r="I43" s="4"/>
      <c r="J43" s="4"/>
    </row>
    <row r="44" spans="1:10" s="1" customFormat="1" ht="36">
      <c r="A44" s="2">
        <f t="shared" si="0"/>
        <v>39</v>
      </c>
      <c r="B44" s="5"/>
      <c r="C44" s="13" t="s">
        <v>101</v>
      </c>
      <c r="D44" s="5" t="s">
        <v>102</v>
      </c>
      <c r="E44" s="4"/>
      <c r="F44" s="3"/>
      <c r="G44" s="3"/>
      <c r="H44" s="2"/>
      <c r="I44" s="4"/>
      <c r="J44" s="4"/>
    </row>
    <row r="45" spans="1:10" s="1" customFormat="1" ht="36">
      <c r="A45" s="2">
        <f t="shared" si="0"/>
        <v>40</v>
      </c>
      <c r="B45" s="5"/>
      <c r="C45" s="13" t="s">
        <v>103</v>
      </c>
      <c r="D45" s="5" t="s">
        <v>104</v>
      </c>
      <c r="E45" s="4"/>
      <c r="F45" s="3"/>
      <c r="G45" s="3"/>
      <c r="H45" s="2"/>
      <c r="I45" s="4"/>
      <c r="J45" s="4"/>
    </row>
    <row r="46" spans="1:10" s="1" customFormat="1">
      <c r="A46" s="2">
        <f t="shared" si="0"/>
        <v>41</v>
      </c>
      <c r="B46" s="5" t="s">
        <v>105</v>
      </c>
      <c r="C46" s="13" t="s">
        <v>106</v>
      </c>
      <c r="D46" s="5"/>
      <c r="E46" s="4"/>
      <c r="F46" s="3"/>
      <c r="G46" s="3"/>
      <c r="H46" s="2"/>
      <c r="I46" s="4"/>
      <c r="J46" s="4"/>
    </row>
    <row r="47" spans="1:10" s="1" customFormat="1">
      <c r="A47" s="2">
        <f t="shared" si="0"/>
        <v>42</v>
      </c>
      <c r="B47" s="5"/>
      <c r="C47" s="5" t="s">
        <v>107</v>
      </c>
      <c r="D47" s="5" t="s">
        <v>108</v>
      </c>
      <c r="E47" s="4"/>
      <c r="F47" s="3"/>
      <c r="G47" s="3"/>
      <c r="H47" s="2"/>
      <c r="I47" s="4"/>
      <c r="J47" s="4"/>
    </row>
    <row r="48" spans="1:10" s="1" customFormat="1">
      <c r="A48" s="2">
        <f t="shared" si="0"/>
        <v>43</v>
      </c>
      <c r="B48" s="5" t="s">
        <v>109</v>
      </c>
      <c r="C48" s="13" t="s">
        <v>106</v>
      </c>
      <c r="D48" s="5"/>
      <c r="E48" s="4"/>
      <c r="F48" s="3"/>
      <c r="G48" s="3"/>
      <c r="H48" s="2"/>
      <c r="I48" s="4"/>
      <c r="J48" s="4"/>
    </row>
    <row r="49" spans="1:10" s="1" customFormat="1">
      <c r="A49" s="2">
        <f t="shared" si="0"/>
        <v>44</v>
      </c>
      <c r="B49" s="5"/>
      <c r="C49" s="5" t="s">
        <v>112</v>
      </c>
      <c r="D49" s="5" t="s">
        <v>113</v>
      </c>
      <c r="E49" s="4"/>
      <c r="F49" s="3"/>
      <c r="G49" s="3"/>
      <c r="H49" s="2"/>
      <c r="I49" s="4"/>
      <c r="J49" s="4"/>
    </row>
    <row r="50" spans="1:10" s="1" customFormat="1">
      <c r="A50" s="2">
        <f t="shared" si="0"/>
        <v>45</v>
      </c>
      <c r="B50" s="5" t="s">
        <v>110</v>
      </c>
      <c r="C50" s="13" t="s">
        <v>106</v>
      </c>
      <c r="D50" s="5"/>
      <c r="E50" s="4"/>
      <c r="F50" s="3"/>
      <c r="G50" s="3"/>
      <c r="H50" s="2"/>
      <c r="I50" s="4"/>
      <c r="J50" s="4"/>
    </row>
    <row r="51" spans="1:10" s="1" customFormat="1">
      <c r="A51" s="2">
        <f t="shared" si="0"/>
        <v>46</v>
      </c>
      <c r="B51" s="5"/>
      <c r="C51" s="5" t="s">
        <v>114</v>
      </c>
      <c r="D51" s="5" t="s">
        <v>115</v>
      </c>
      <c r="E51" s="4"/>
      <c r="F51" s="3"/>
      <c r="G51" s="3"/>
      <c r="H51" s="2"/>
      <c r="I51" s="4"/>
      <c r="J51" s="4"/>
    </row>
    <row r="52" spans="1:10" s="1" customFormat="1">
      <c r="A52" s="2">
        <f t="shared" si="0"/>
        <v>47</v>
      </c>
      <c r="B52" s="5" t="s">
        <v>111</v>
      </c>
      <c r="C52" s="13" t="s">
        <v>106</v>
      </c>
      <c r="D52" s="5"/>
      <c r="E52" s="4"/>
      <c r="F52" s="3"/>
      <c r="G52" s="3"/>
      <c r="H52" s="2"/>
      <c r="I52" s="4"/>
      <c r="J52" s="4"/>
    </row>
    <row r="53" spans="1:10" s="1" customFormat="1">
      <c r="A53" s="2">
        <f t="shared" si="0"/>
        <v>48</v>
      </c>
      <c r="B53" s="5"/>
      <c r="C53" s="5" t="s">
        <v>117</v>
      </c>
      <c r="D53" s="5" t="s">
        <v>116</v>
      </c>
      <c r="E53" s="4"/>
      <c r="F53" s="3"/>
      <c r="G53" s="3"/>
      <c r="H53" s="2"/>
      <c r="I53" s="4"/>
      <c r="J53" s="4"/>
    </row>
    <row r="54" spans="1:10" s="1" customFormat="1">
      <c r="A54" s="2">
        <f t="shared" si="0"/>
        <v>49</v>
      </c>
      <c r="B54" s="5" t="s">
        <v>118</v>
      </c>
      <c r="C54" s="13" t="s">
        <v>106</v>
      </c>
      <c r="D54" s="5"/>
      <c r="E54" s="4"/>
      <c r="F54" s="3"/>
      <c r="G54" s="3"/>
      <c r="H54" s="2"/>
      <c r="I54" s="4"/>
      <c r="J54" s="4"/>
    </row>
    <row r="55" spans="1:10" s="1" customFormat="1">
      <c r="A55" s="2">
        <f t="shared" si="0"/>
        <v>50</v>
      </c>
      <c r="B55" s="5"/>
      <c r="C55" s="5" t="s">
        <v>119</v>
      </c>
      <c r="D55" s="5" t="s">
        <v>120</v>
      </c>
      <c r="E55" s="4"/>
      <c r="F55" s="3"/>
      <c r="G55" s="3"/>
      <c r="H55" s="2"/>
      <c r="I55" s="4"/>
      <c r="J55" s="4"/>
    </row>
    <row r="56" spans="1:10" s="1" customFormat="1">
      <c r="A56" s="2">
        <f t="shared" si="0"/>
        <v>51</v>
      </c>
      <c r="B56" s="5" t="s">
        <v>121</v>
      </c>
      <c r="C56" s="5" t="s">
        <v>122</v>
      </c>
      <c r="D56" s="5" t="s">
        <v>123</v>
      </c>
      <c r="E56" s="4"/>
      <c r="F56" s="3"/>
      <c r="G56" s="3"/>
      <c r="H56" s="2"/>
      <c r="I56" s="4"/>
      <c r="J56" s="4"/>
    </row>
    <row r="57" spans="1:10" s="1" customFormat="1" ht="36">
      <c r="A57" s="2">
        <f t="shared" si="0"/>
        <v>52</v>
      </c>
      <c r="B57" s="5" t="s">
        <v>74</v>
      </c>
      <c r="C57" s="5" t="s">
        <v>124</v>
      </c>
      <c r="D57" s="5" t="s">
        <v>125</v>
      </c>
      <c r="E57" s="4"/>
      <c r="F57" s="3"/>
      <c r="G57" s="3"/>
      <c r="H57" s="2"/>
      <c r="I57" s="4"/>
      <c r="J57" s="4"/>
    </row>
    <row r="58" spans="1:10" s="1" customFormat="1" ht="36">
      <c r="A58" s="2">
        <f t="shared" si="0"/>
        <v>53</v>
      </c>
      <c r="B58" s="5"/>
      <c r="C58" s="13" t="s">
        <v>86</v>
      </c>
      <c r="D58" s="5"/>
      <c r="E58" s="4"/>
      <c r="F58" s="3"/>
      <c r="G58" s="3"/>
      <c r="H58" s="2"/>
      <c r="I58" s="4"/>
      <c r="J58" s="4"/>
    </row>
    <row r="59" spans="1:10" s="1" customFormat="1">
      <c r="A59" s="2">
        <f t="shared" si="0"/>
        <v>54</v>
      </c>
      <c r="B59" s="5"/>
      <c r="C59" s="13" t="s">
        <v>87</v>
      </c>
      <c r="D59" s="5"/>
      <c r="E59" s="4"/>
      <c r="F59" s="3"/>
      <c r="G59" s="3"/>
      <c r="H59" s="2"/>
      <c r="I59" s="4"/>
      <c r="J59" s="4"/>
    </row>
    <row r="60" spans="1:10" s="1" customFormat="1">
      <c r="A60" s="2">
        <f t="shared" si="0"/>
        <v>55</v>
      </c>
      <c r="B60" s="5"/>
      <c r="C60" s="5" t="s">
        <v>124</v>
      </c>
      <c r="D60" s="5" t="s">
        <v>126</v>
      </c>
      <c r="E60" s="4"/>
      <c r="F60" s="3"/>
      <c r="G60" s="3"/>
      <c r="H60" s="2"/>
      <c r="I60" s="4"/>
      <c r="J60" s="4"/>
    </row>
    <row r="61" spans="1:10" s="1" customFormat="1" ht="36">
      <c r="A61" s="2">
        <f t="shared" si="0"/>
        <v>56</v>
      </c>
      <c r="B61" s="5"/>
      <c r="C61" s="13" t="s">
        <v>127</v>
      </c>
      <c r="D61" s="5"/>
      <c r="E61" s="4"/>
      <c r="F61" s="3"/>
      <c r="G61" s="3"/>
      <c r="H61" s="2"/>
      <c r="I61" s="4"/>
      <c r="J61" s="4"/>
    </row>
    <row r="62" spans="1:10" s="1" customFormat="1" ht="36">
      <c r="A62" s="2">
        <f t="shared" si="0"/>
        <v>57</v>
      </c>
      <c r="B62" s="5"/>
      <c r="C62" s="13" t="s">
        <v>100</v>
      </c>
      <c r="D62" s="5" t="s">
        <v>94</v>
      </c>
      <c r="E62" s="4"/>
      <c r="F62" s="3"/>
      <c r="G62" s="3"/>
      <c r="H62" s="2"/>
      <c r="I62" s="4"/>
      <c r="J62" s="4"/>
    </row>
    <row r="63" spans="1:10" s="1" customFormat="1" ht="36">
      <c r="A63" s="2">
        <f t="shared" si="0"/>
        <v>58</v>
      </c>
      <c r="B63" s="5"/>
      <c r="C63" s="13" t="s">
        <v>128</v>
      </c>
      <c r="D63" s="5"/>
      <c r="E63" s="4"/>
      <c r="F63" s="3"/>
      <c r="G63" s="3"/>
      <c r="H63" s="2"/>
      <c r="I63" s="4"/>
      <c r="J63" s="4"/>
    </row>
    <row r="64" spans="1:10" s="1" customFormat="1">
      <c r="A64" s="2">
        <f t="shared" si="0"/>
        <v>59</v>
      </c>
      <c r="B64" s="5"/>
      <c r="C64" s="13" t="s">
        <v>97</v>
      </c>
      <c r="D64" s="5"/>
      <c r="E64" s="4"/>
      <c r="F64" s="3"/>
      <c r="G64" s="3"/>
      <c r="H64" s="2"/>
      <c r="I64" s="4"/>
      <c r="J64" s="4"/>
    </row>
    <row r="65" spans="1:10" s="1" customFormat="1">
      <c r="A65" s="2">
        <f t="shared" si="0"/>
        <v>60</v>
      </c>
      <c r="B65" s="5"/>
      <c r="C65" s="13" t="s">
        <v>98</v>
      </c>
      <c r="D65" s="5"/>
      <c r="E65" s="4"/>
      <c r="F65" s="3"/>
      <c r="G65" s="3"/>
      <c r="H65" s="2"/>
      <c r="I65" s="4"/>
      <c r="J65" s="4"/>
    </row>
    <row r="66" spans="1:10" s="1" customFormat="1">
      <c r="A66" s="2">
        <f t="shared" si="0"/>
        <v>61</v>
      </c>
      <c r="B66" s="5"/>
      <c r="C66" s="5" t="s">
        <v>124</v>
      </c>
      <c r="D66" s="5" t="s">
        <v>129</v>
      </c>
      <c r="E66" s="4"/>
      <c r="F66" s="3"/>
      <c r="G66" s="3"/>
      <c r="H66" s="2"/>
      <c r="I66" s="4"/>
      <c r="J66" s="4"/>
    </row>
    <row r="67" spans="1:10" s="1" customFormat="1" ht="36">
      <c r="A67" s="2">
        <f t="shared" si="0"/>
        <v>62</v>
      </c>
      <c r="B67" s="5"/>
      <c r="C67" s="13" t="s">
        <v>130</v>
      </c>
      <c r="D67" s="5"/>
      <c r="E67" s="4"/>
      <c r="F67" s="3"/>
      <c r="G67" s="3"/>
      <c r="H67" s="2"/>
      <c r="I67" s="4"/>
      <c r="J67" s="4"/>
    </row>
    <row r="68" spans="1:10" s="1" customFormat="1">
      <c r="A68" s="2">
        <f t="shared" si="0"/>
        <v>63</v>
      </c>
      <c r="B68" s="5"/>
      <c r="C68" s="13" t="s">
        <v>97</v>
      </c>
      <c r="D68" s="5"/>
      <c r="E68" s="4"/>
      <c r="F68" s="3"/>
      <c r="G68" s="3"/>
      <c r="H68" s="2"/>
      <c r="I68" s="4"/>
      <c r="J68" s="4"/>
    </row>
    <row r="69" spans="1:10" s="1" customFormat="1">
      <c r="A69" s="2">
        <f t="shared" si="0"/>
        <v>64</v>
      </c>
      <c r="B69" s="5"/>
      <c r="C69" s="13" t="s">
        <v>98</v>
      </c>
      <c r="D69" s="5"/>
      <c r="E69" s="4"/>
      <c r="F69" s="3"/>
      <c r="G69" s="3"/>
      <c r="H69" s="2"/>
      <c r="I69" s="4"/>
      <c r="J69" s="4"/>
    </row>
    <row r="70" spans="1:10" s="1" customFormat="1">
      <c r="A70" s="2">
        <f t="shared" si="0"/>
        <v>65</v>
      </c>
      <c r="B70" s="5"/>
      <c r="C70" s="5" t="s">
        <v>124</v>
      </c>
      <c r="D70" s="5" t="s">
        <v>131</v>
      </c>
      <c r="E70" s="4"/>
      <c r="F70" s="3"/>
      <c r="G70" s="3"/>
      <c r="H70" s="2"/>
      <c r="I70" s="4"/>
      <c r="J70" s="4"/>
    </row>
    <row r="71" spans="1:10" s="1" customFormat="1">
      <c r="A71" s="2">
        <f t="shared" si="0"/>
        <v>66</v>
      </c>
      <c r="B71" s="5"/>
      <c r="C71" s="13"/>
      <c r="D71" s="5" t="s">
        <v>132</v>
      </c>
      <c r="E71" s="4"/>
      <c r="F71" s="3"/>
      <c r="G71" s="3"/>
      <c r="H71" s="2"/>
      <c r="I71" s="4"/>
      <c r="J71" s="4"/>
    </row>
    <row r="72" spans="1:10" s="1" customFormat="1" ht="36">
      <c r="A72" s="2">
        <f t="shared" si="0"/>
        <v>67</v>
      </c>
      <c r="B72" s="5"/>
      <c r="C72" s="13"/>
      <c r="D72" s="5" t="s">
        <v>133</v>
      </c>
      <c r="E72" s="4"/>
      <c r="F72" s="3"/>
      <c r="G72" s="3"/>
      <c r="H72" s="2"/>
      <c r="I72" s="4"/>
      <c r="J72" s="4"/>
    </row>
    <row r="73" spans="1:10" s="1" customFormat="1" ht="36">
      <c r="A73" s="2">
        <f t="shared" si="0"/>
        <v>68</v>
      </c>
      <c r="B73" s="5"/>
      <c r="C73" s="13"/>
      <c r="D73" s="5" t="s">
        <v>134</v>
      </c>
      <c r="E73" s="4"/>
      <c r="F73" s="3"/>
      <c r="G73" s="3"/>
      <c r="H73" s="2"/>
      <c r="I73" s="4"/>
      <c r="J73" s="4"/>
    </row>
    <row r="74" spans="1:10" s="1" customFormat="1">
      <c r="A74" s="2">
        <f t="shared" si="0"/>
        <v>69</v>
      </c>
      <c r="B74" s="5"/>
      <c r="C74" s="13"/>
      <c r="D74" s="5"/>
      <c r="E74" s="4"/>
      <c r="F74" s="3"/>
      <c r="G74" s="3"/>
      <c r="H74" s="2"/>
      <c r="I74" s="4"/>
      <c r="J74" s="4"/>
    </row>
    <row r="75" spans="1:10" s="1" customFormat="1">
      <c r="A75" s="2">
        <f t="shared" si="0"/>
        <v>70</v>
      </c>
      <c r="B75" s="5"/>
      <c r="C75" s="13"/>
      <c r="D75" s="5"/>
      <c r="E75" s="4"/>
      <c r="F75" s="3"/>
      <c r="G75" s="3"/>
      <c r="H75" s="2"/>
      <c r="I75" s="4"/>
      <c r="J75" s="4"/>
    </row>
    <row r="76" spans="1:10" s="1" customFormat="1">
      <c r="A76" s="2">
        <f t="shared" si="0"/>
        <v>71</v>
      </c>
      <c r="B76" s="5"/>
      <c r="C76" s="13"/>
      <c r="D76" s="5"/>
      <c r="E76" s="4"/>
      <c r="F76" s="3"/>
      <c r="G76" s="3"/>
      <c r="H76" s="2"/>
      <c r="I76" s="4"/>
      <c r="J76" s="4"/>
    </row>
    <row r="77" spans="1:10" s="1" customFormat="1">
      <c r="A77" s="2">
        <f t="shared" si="0"/>
        <v>72</v>
      </c>
      <c r="B77" s="5"/>
      <c r="C77" s="13"/>
      <c r="D77" s="5"/>
      <c r="E77" s="4"/>
      <c r="F77" s="3"/>
      <c r="G77" s="3"/>
      <c r="H77" s="2"/>
      <c r="I77" s="4"/>
      <c r="J77" s="4"/>
    </row>
    <row r="78" spans="1:10" s="1" customFormat="1">
      <c r="A78" s="2">
        <f t="shared" si="0"/>
        <v>73</v>
      </c>
      <c r="B78" s="5"/>
      <c r="C78" s="13"/>
      <c r="D78" s="5"/>
      <c r="E78" s="4"/>
      <c r="F78" s="3"/>
      <c r="G78" s="3"/>
      <c r="H78" s="2"/>
      <c r="I78" s="4"/>
      <c r="J78" s="4"/>
    </row>
    <row r="80" spans="1:10">
      <c r="B80" t="s">
        <v>10</v>
      </c>
    </row>
  </sheetData>
  <mergeCells count="1">
    <mergeCell ref="H5:J5"/>
  </mergeCells>
  <phoneticPr fontId="1"/>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A451B-7397-418A-BCA7-3650FC8BA002}">
  <sheetPr codeName="Sheet11"/>
  <dimension ref="A1:J41"/>
  <sheetViews>
    <sheetView tabSelected="1" topLeftCell="A25" workbookViewId="0">
      <selection activeCell="C31" sqref="C3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確定取消</v>
      </c>
      <c r="D1" s="7"/>
    </row>
    <row r="2" spans="1:10">
      <c r="B2" s="10" t="s">
        <v>9</v>
      </c>
      <c r="C2" s="9">
        <f>COUNTA(D6:D39)</f>
        <v>13</v>
      </c>
    </row>
    <row r="3" spans="1:10">
      <c r="B3" s="10" t="s">
        <v>11</v>
      </c>
      <c r="C3" s="9">
        <f>COUNTA(G6:G39)</f>
        <v>0</v>
      </c>
    </row>
    <row r="4" spans="1:10">
      <c r="B4" s="8"/>
      <c r="C4" s="7"/>
    </row>
    <row r="5" spans="1:10" s="6" customFormat="1">
      <c r="A5" s="17" t="s">
        <v>4</v>
      </c>
      <c r="B5" s="17" t="s">
        <v>6</v>
      </c>
      <c r="C5" s="17" t="s">
        <v>7</v>
      </c>
      <c r="D5" s="17" t="s">
        <v>3</v>
      </c>
      <c r="E5" s="17" t="s">
        <v>2</v>
      </c>
      <c r="F5" s="17" t="s">
        <v>1</v>
      </c>
      <c r="G5" s="17" t="s">
        <v>0</v>
      </c>
      <c r="H5" s="18" t="s">
        <v>8</v>
      </c>
      <c r="I5" s="18"/>
      <c r="J5" s="18"/>
    </row>
    <row r="6" spans="1:10" s="1" customFormat="1" ht="36">
      <c r="A6" s="2">
        <f>ROW()-5</f>
        <v>1</v>
      </c>
      <c r="B6" s="5" t="s">
        <v>65</v>
      </c>
      <c r="C6" s="5" t="s">
        <v>13</v>
      </c>
      <c r="D6" s="5"/>
      <c r="E6" s="4"/>
      <c r="F6" s="3"/>
      <c r="G6" s="3"/>
      <c r="H6" s="2"/>
      <c r="I6" s="4"/>
      <c r="J6" s="4"/>
    </row>
    <row r="7" spans="1:10" s="1" customFormat="1">
      <c r="A7" s="2">
        <f t="shared" ref="A7:A39" si="0">ROW()-5</f>
        <v>2</v>
      </c>
      <c r="B7" s="5"/>
      <c r="C7" s="5" t="s">
        <v>12</v>
      </c>
      <c r="D7" s="5"/>
      <c r="E7" s="4"/>
      <c r="F7" s="3"/>
      <c r="G7" s="3"/>
      <c r="H7" s="2"/>
      <c r="I7" s="4"/>
      <c r="J7" s="4"/>
    </row>
    <row r="8" spans="1:10" s="1" customFormat="1" ht="72">
      <c r="A8" s="2">
        <f t="shared" si="0"/>
        <v>3</v>
      </c>
      <c r="B8" s="5"/>
      <c r="C8" s="5" t="s">
        <v>14</v>
      </c>
      <c r="D8" s="5"/>
      <c r="E8" s="4"/>
      <c r="F8" s="3"/>
      <c r="G8" s="3"/>
      <c r="H8" s="2"/>
      <c r="I8" s="4"/>
      <c r="J8" s="4"/>
    </row>
    <row r="9" spans="1:10" s="1" customFormat="1" ht="36">
      <c r="A9" s="2">
        <f t="shared" si="0"/>
        <v>4</v>
      </c>
      <c r="B9" s="5"/>
      <c r="C9" s="5" t="s">
        <v>44</v>
      </c>
      <c r="D9" s="5"/>
      <c r="E9" s="4"/>
      <c r="F9" s="3"/>
      <c r="G9" s="3"/>
      <c r="H9" s="2"/>
      <c r="I9" s="4"/>
      <c r="J9" s="4"/>
    </row>
    <row r="10" spans="1:10" s="1" customFormat="1" ht="36">
      <c r="A10" s="2">
        <f t="shared" si="0"/>
        <v>5</v>
      </c>
      <c r="B10" s="5"/>
      <c r="C10" s="5" t="s">
        <v>25</v>
      </c>
      <c r="D10" s="5"/>
      <c r="E10" s="4"/>
      <c r="F10" s="3"/>
      <c r="G10" s="3"/>
      <c r="H10" s="2"/>
      <c r="I10" s="4"/>
      <c r="J10" s="4"/>
    </row>
    <row r="11" spans="1:10" s="1" customFormat="1">
      <c r="A11" s="2">
        <f t="shared" si="0"/>
        <v>6</v>
      </c>
      <c r="B11" s="5"/>
      <c r="C11" s="5" t="s">
        <v>26</v>
      </c>
      <c r="D11" s="5"/>
      <c r="E11" s="4"/>
      <c r="F11" s="3"/>
      <c r="G11" s="3"/>
      <c r="H11" s="2"/>
      <c r="I11" s="4"/>
      <c r="J11" s="4"/>
    </row>
    <row r="12" spans="1:10" s="1" customFormat="1">
      <c r="A12" s="2">
        <f t="shared" si="0"/>
        <v>7</v>
      </c>
      <c r="B12" s="5"/>
      <c r="C12" s="5" t="s">
        <v>22</v>
      </c>
      <c r="D12" s="5"/>
      <c r="E12" s="4"/>
      <c r="F12" s="3"/>
      <c r="G12" s="3"/>
      <c r="H12" s="2"/>
      <c r="I12" s="4"/>
      <c r="J12" s="4"/>
    </row>
    <row r="13" spans="1:10" s="1" customFormat="1">
      <c r="A13" s="2">
        <f t="shared" si="0"/>
        <v>8</v>
      </c>
      <c r="B13" s="5"/>
      <c r="C13" s="5" t="s">
        <v>135</v>
      </c>
      <c r="D13" s="5" t="s">
        <v>136</v>
      </c>
      <c r="E13" s="4"/>
      <c r="F13" s="3"/>
      <c r="G13" s="3"/>
      <c r="H13" s="2"/>
      <c r="I13" s="4"/>
      <c r="J13" s="4"/>
    </row>
    <row r="14" spans="1:10" s="1" customFormat="1" ht="36">
      <c r="A14" s="2">
        <f t="shared" si="0"/>
        <v>9</v>
      </c>
      <c r="B14" s="5"/>
      <c r="C14" s="5"/>
      <c r="D14" s="5" t="s">
        <v>61</v>
      </c>
      <c r="E14" s="4"/>
      <c r="F14" s="3"/>
      <c r="G14" s="3"/>
      <c r="H14" s="2"/>
      <c r="I14" s="4"/>
      <c r="J14" s="4"/>
    </row>
    <row r="15" spans="1:10" s="1" customFormat="1">
      <c r="A15" s="2">
        <f t="shared" si="0"/>
        <v>10</v>
      </c>
      <c r="B15" s="5"/>
      <c r="C15" s="5"/>
      <c r="D15" s="5" t="s">
        <v>33</v>
      </c>
      <c r="E15" s="4"/>
      <c r="F15" s="3"/>
      <c r="G15" s="3"/>
      <c r="H15" s="2"/>
      <c r="I15" s="4"/>
      <c r="J15" s="4"/>
    </row>
    <row r="16" spans="1:10" s="1" customFormat="1" ht="36">
      <c r="A16" s="2">
        <f t="shared" si="0"/>
        <v>11</v>
      </c>
      <c r="B16" s="5" t="s">
        <v>72</v>
      </c>
      <c r="C16" s="5" t="s">
        <v>13</v>
      </c>
      <c r="D16" s="5"/>
      <c r="E16" s="4"/>
      <c r="F16" s="3"/>
      <c r="G16" s="3"/>
      <c r="H16" s="2"/>
      <c r="I16" s="4"/>
      <c r="J16" s="4"/>
    </row>
    <row r="17" spans="1:10" s="1" customFormat="1">
      <c r="A17" s="2">
        <f t="shared" si="0"/>
        <v>12</v>
      </c>
      <c r="B17" s="5"/>
      <c r="C17" s="5" t="s">
        <v>12</v>
      </c>
      <c r="D17" s="5"/>
      <c r="E17" s="4"/>
      <c r="F17" s="3"/>
      <c r="G17" s="3"/>
      <c r="H17" s="2"/>
      <c r="I17" s="4"/>
      <c r="J17" s="4"/>
    </row>
    <row r="18" spans="1:10" s="1" customFormat="1" ht="72">
      <c r="A18" s="2">
        <f t="shared" si="0"/>
        <v>13</v>
      </c>
      <c r="B18" s="5"/>
      <c r="C18" s="5" t="s">
        <v>14</v>
      </c>
      <c r="D18" s="5"/>
      <c r="E18" s="4"/>
      <c r="F18" s="3"/>
      <c r="G18" s="3"/>
      <c r="H18" s="2"/>
      <c r="I18" s="4"/>
      <c r="J18" s="4"/>
    </row>
    <row r="19" spans="1:10" s="1" customFormat="1" ht="36">
      <c r="A19" s="2">
        <f t="shared" si="0"/>
        <v>14</v>
      </c>
      <c r="B19" s="5"/>
      <c r="C19" s="5" t="s">
        <v>68</v>
      </c>
      <c r="D19" s="5"/>
      <c r="E19" s="4"/>
      <c r="F19" s="3"/>
      <c r="G19" s="3"/>
      <c r="H19" s="2"/>
      <c r="I19" s="4"/>
      <c r="J19" s="4"/>
    </row>
    <row r="20" spans="1:10" s="1" customFormat="1" ht="36">
      <c r="A20" s="2">
        <f t="shared" si="0"/>
        <v>15</v>
      </c>
      <c r="B20" s="5"/>
      <c r="C20" s="5" t="s">
        <v>25</v>
      </c>
      <c r="D20" s="5"/>
      <c r="E20" s="4"/>
      <c r="F20" s="3"/>
      <c r="G20" s="3"/>
      <c r="H20" s="2"/>
      <c r="I20" s="4"/>
      <c r="J20" s="4"/>
    </row>
    <row r="21" spans="1:10" s="1" customFormat="1">
      <c r="A21" s="2">
        <f t="shared" si="0"/>
        <v>16</v>
      </c>
      <c r="B21" s="5"/>
      <c r="C21" s="5" t="s">
        <v>26</v>
      </c>
      <c r="D21" s="5"/>
      <c r="E21" s="4"/>
      <c r="F21" s="3"/>
      <c r="G21" s="3"/>
      <c r="H21" s="2"/>
      <c r="I21" s="4"/>
      <c r="J21" s="4"/>
    </row>
    <row r="22" spans="1:10" s="1" customFormat="1">
      <c r="A22" s="2">
        <f t="shared" si="0"/>
        <v>17</v>
      </c>
      <c r="B22" s="5"/>
      <c r="C22" s="5" t="s">
        <v>69</v>
      </c>
      <c r="D22" s="5"/>
      <c r="E22" s="4"/>
      <c r="F22" s="3"/>
      <c r="G22" s="3"/>
      <c r="H22" s="2"/>
      <c r="I22" s="4"/>
      <c r="J22" s="4"/>
    </row>
    <row r="23" spans="1:10" s="1" customFormat="1" ht="36">
      <c r="A23" s="2">
        <f t="shared" si="0"/>
        <v>18</v>
      </c>
      <c r="B23" s="5"/>
      <c r="C23" s="5" t="s">
        <v>70</v>
      </c>
      <c r="D23" s="5"/>
      <c r="E23" s="4"/>
      <c r="F23" s="3"/>
      <c r="G23" s="3"/>
      <c r="H23" s="2"/>
      <c r="I23" s="4"/>
      <c r="J23" s="4"/>
    </row>
    <row r="24" spans="1:10" s="1" customFormat="1" ht="36">
      <c r="A24" s="2">
        <f t="shared" si="0"/>
        <v>19</v>
      </c>
      <c r="B24" s="5"/>
      <c r="C24" s="13" t="s">
        <v>140</v>
      </c>
      <c r="D24" s="5"/>
      <c r="E24" s="4"/>
      <c r="F24" s="3"/>
      <c r="G24" s="3"/>
      <c r="H24" s="2"/>
      <c r="I24" s="4"/>
      <c r="J24" s="4"/>
    </row>
    <row r="25" spans="1:10" s="1" customFormat="1">
      <c r="A25" s="2">
        <f t="shared" si="0"/>
        <v>20</v>
      </c>
      <c r="B25" s="5"/>
      <c r="C25" s="5" t="s">
        <v>137</v>
      </c>
      <c r="D25" s="5" t="s">
        <v>138</v>
      </c>
      <c r="E25" s="4"/>
      <c r="F25" s="3"/>
      <c r="G25" s="3"/>
      <c r="H25" s="2"/>
      <c r="I25" s="4"/>
      <c r="J25" s="4"/>
    </row>
    <row r="26" spans="1:10" s="1" customFormat="1" ht="54">
      <c r="A26" s="2">
        <f t="shared" si="0"/>
        <v>21</v>
      </c>
      <c r="B26" s="5"/>
      <c r="C26" s="13"/>
      <c r="D26" s="5" t="s">
        <v>139</v>
      </c>
      <c r="E26" s="4"/>
      <c r="F26" s="3"/>
      <c r="G26" s="3"/>
      <c r="H26" s="2"/>
      <c r="I26" s="4"/>
      <c r="J26" s="4"/>
    </row>
    <row r="27" spans="1:10" s="1" customFormat="1">
      <c r="A27" s="2">
        <f t="shared" si="0"/>
        <v>22</v>
      </c>
      <c r="B27" s="5"/>
      <c r="C27" s="5"/>
      <c r="D27" s="5" t="s">
        <v>33</v>
      </c>
      <c r="E27" s="4"/>
      <c r="F27" s="3"/>
      <c r="G27" s="3"/>
      <c r="H27" s="2"/>
      <c r="I27" s="4"/>
      <c r="J27" s="4"/>
    </row>
    <row r="28" spans="1:10" s="1" customFormat="1">
      <c r="A28" s="2">
        <f t="shared" si="0"/>
        <v>23</v>
      </c>
      <c r="B28" s="5" t="s">
        <v>142</v>
      </c>
      <c r="C28" s="13" t="s">
        <v>16</v>
      </c>
      <c r="D28" s="5" t="s">
        <v>143</v>
      </c>
      <c r="E28" s="4"/>
      <c r="F28" s="3"/>
      <c r="G28" s="3"/>
      <c r="H28" s="2"/>
      <c r="I28" s="4"/>
      <c r="J28" s="4"/>
    </row>
    <row r="29" spans="1:10" s="1" customFormat="1">
      <c r="A29" s="2">
        <f t="shared" si="0"/>
        <v>24</v>
      </c>
      <c r="B29" s="5"/>
      <c r="C29" s="13"/>
      <c r="D29" s="5" t="s">
        <v>144</v>
      </c>
      <c r="E29" s="4"/>
      <c r="F29" s="3"/>
      <c r="G29" s="3"/>
      <c r="H29" s="2"/>
      <c r="I29" s="4"/>
      <c r="J29" s="4"/>
    </row>
    <row r="30" spans="1:10" s="1" customFormat="1" ht="36">
      <c r="A30" s="2">
        <f t="shared" si="0"/>
        <v>25</v>
      </c>
      <c r="B30" s="5" t="s">
        <v>145</v>
      </c>
      <c r="C30" s="5" t="s">
        <v>146</v>
      </c>
      <c r="D30" s="5"/>
      <c r="E30" s="4"/>
      <c r="F30" s="3"/>
      <c r="G30" s="3"/>
      <c r="H30" s="2"/>
      <c r="I30" s="4"/>
      <c r="J30" s="4"/>
    </row>
    <row r="31" spans="1:10" s="1" customFormat="1" ht="36">
      <c r="A31" s="2">
        <f t="shared" si="0"/>
        <v>26</v>
      </c>
      <c r="B31" s="5"/>
      <c r="C31" s="13" t="s">
        <v>147</v>
      </c>
      <c r="D31" s="5" t="s">
        <v>148</v>
      </c>
      <c r="E31" s="4"/>
      <c r="F31" s="3"/>
      <c r="G31" s="3"/>
      <c r="H31" s="2"/>
      <c r="I31" s="4"/>
      <c r="J31" s="4"/>
    </row>
    <row r="32" spans="1:10" s="1" customFormat="1">
      <c r="A32" s="2">
        <f t="shared" si="0"/>
        <v>27</v>
      </c>
      <c r="B32" s="5"/>
      <c r="C32" s="13"/>
      <c r="D32" s="5" t="s">
        <v>149</v>
      </c>
      <c r="E32" s="4"/>
      <c r="F32" s="3"/>
      <c r="G32" s="3"/>
      <c r="H32" s="2"/>
      <c r="I32" s="4"/>
      <c r="J32" s="4"/>
    </row>
    <row r="33" spans="1:10" s="1" customFormat="1" ht="36">
      <c r="A33" s="2">
        <f t="shared" si="0"/>
        <v>28</v>
      </c>
      <c r="B33" s="5"/>
      <c r="C33" s="13"/>
      <c r="D33" s="5" t="s">
        <v>150</v>
      </c>
      <c r="E33" s="4"/>
      <c r="F33" s="3"/>
      <c r="G33" s="3"/>
      <c r="H33" s="2"/>
      <c r="I33" s="4"/>
      <c r="J33" s="4"/>
    </row>
    <row r="34" spans="1:10" s="1" customFormat="1">
      <c r="A34" s="2">
        <f t="shared" si="0"/>
        <v>29</v>
      </c>
      <c r="B34" s="5"/>
      <c r="C34" s="13" t="s">
        <v>16</v>
      </c>
      <c r="D34" s="5" t="s">
        <v>151</v>
      </c>
      <c r="E34" s="4"/>
      <c r="F34" s="3"/>
      <c r="G34" s="3"/>
      <c r="H34" s="2"/>
      <c r="I34" s="4"/>
      <c r="J34" s="4"/>
    </row>
    <row r="35" spans="1:10" s="1" customFormat="1">
      <c r="A35" s="2">
        <f t="shared" si="0"/>
        <v>30</v>
      </c>
      <c r="B35" s="5"/>
      <c r="C35" s="13"/>
      <c r="D35" s="5" t="s">
        <v>144</v>
      </c>
      <c r="E35" s="4"/>
      <c r="F35" s="3"/>
      <c r="G35" s="3"/>
      <c r="H35" s="2"/>
      <c r="I35" s="4"/>
      <c r="J35" s="4"/>
    </row>
    <row r="36" spans="1:10" s="1" customFormat="1">
      <c r="A36" s="2">
        <f t="shared" si="0"/>
        <v>31</v>
      </c>
      <c r="B36" s="5"/>
      <c r="C36" s="13"/>
      <c r="D36" s="5"/>
      <c r="E36" s="4"/>
      <c r="F36" s="3"/>
      <c r="G36" s="3"/>
      <c r="H36" s="2"/>
      <c r="I36" s="4"/>
      <c r="J36" s="4"/>
    </row>
    <row r="37" spans="1:10" s="1" customFormat="1">
      <c r="A37" s="2">
        <f t="shared" si="0"/>
        <v>32</v>
      </c>
      <c r="B37" s="5"/>
      <c r="C37" s="13"/>
      <c r="D37" s="5"/>
      <c r="E37" s="4"/>
      <c r="F37" s="3"/>
      <c r="G37" s="3"/>
      <c r="H37" s="2"/>
      <c r="I37" s="4"/>
      <c r="J37" s="4"/>
    </row>
    <row r="38" spans="1:10" s="1" customFormat="1">
      <c r="A38" s="2">
        <f t="shared" si="0"/>
        <v>33</v>
      </c>
      <c r="B38" s="5"/>
      <c r="C38" s="13"/>
      <c r="D38" s="5"/>
      <c r="E38" s="4"/>
      <c r="F38" s="3"/>
      <c r="G38" s="3"/>
      <c r="H38" s="2"/>
      <c r="I38" s="4"/>
      <c r="J38" s="4"/>
    </row>
    <row r="39" spans="1:10" s="1" customFormat="1">
      <c r="A39" s="2">
        <f t="shared" si="0"/>
        <v>34</v>
      </c>
      <c r="B39" s="5"/>
      <c r="C39" s="13"/>
      <c r="D39" s="5"/>
      <c r="E39" s="4"/>
      <c r="F39" s="3"/>
      <c r="G39" s="3"/>
      <c r="H39" s="2"/>
      <c r="I39" s="4"/>
      <c r="J39" s="4"/>
    </row>
    <row r="41" spans="1:10">
      <c r="B41" t="s">
        <v>10</v>
      </c>
    </row>
  </sheetData>
  <mergeCells count="1">
    <mergeCell ref="H5:J5"/>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10</vt:i4>
      </vt:variant>
    </vt:vector>
  </HeadingPairs>
  <TitlesOfParts>
    <vt:vector size="16" baseType="lpstr">
      <vt:lpstr>表紙</vt:lpstr>
      <vt:lpstr>受注検索</vt:lpstr>
      <vt:lpstr>受注一覧</vt:lpstr>
      <vt:lpstr>受注詳細</vt:lpstr>
      <vt:lpstr>受注確定</vt:lpstr>
      <vt:lpstr>確定取消</vt:lpstr>
      <vt:lpstr>確定取消!comp_count</vt:lpstr>
      <vt:lpstr>受注一覧!comp_count</vt:lpstr>
      <vt:lpstr>受注確定!comp_count</vt:lpstr>
      <vt:lpstr>受注検索!comp_count</vt:lpstr>
      <vt:lpstr>受注詳細!comp_count</vt:lpstr>
      <vt:lpstr>確定取消!item_count</vt:lpstr>
      <vt:lpstr>受注一覧!item_count</vt:lpstr>
      <vt:lpstr>受注確定!item_count</vt:lpstr>
      <vt:lpstr>受注検索!item_count</vt:lpstr>
      <vt:lpstr>受注詳細!item_count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2019-07-02T10:09:59Z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