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SYSTEM\"/>
    </mc:Choice>
  </mc:AlternateContent>
  <xr:revisionPtr revIDLastSave="0" documentId="13_ncr:1_{1458D2C6-72C0-4A10-B7F3-4E09B5A37B54}" xr6:coauthVersionLast="40" xr6:coauthVersionMax="40" xr10:uidLastSave="{00000000-0000-0000-0000-000000000000}"/>
  <bookViews>
    <workbookView xWindow="0" yWindow="0" windowWidth="17256" windowHeight="5280" activeTab="5" xr2:uid="{7855FBD0-5EC9-4DBA-9A4B-0C57305BA533}"/>
  </bookViews>
  <sheets>
    <sheet name="表紙" sheetId="2" r:id="rId1"/>
    <sheet name="SYSTEM" sheetId="3" r:id="rId2"/>
    <sheet name="メッセージ" sheetId="1" r:id="rId3"/>
    <sheet name="管理者メール" sheetId="4" r:id="rId4"/>
    <sheet name="セッション" sheetId="5" r:id="rId5"/>
    <sheet name="サーバ" sheetId="6" r:id="rId6"/>
  </sheets>
  <definedNames>
    <definedName name="comp_count" localSheetId="1">SYSTEM!$C$3</definedName>
    <definedName name="comp_count" localSheetId="5">サーバ!$C$3</definedName>
    <definedName name="comp_count" localSheetId="4">セッション!$C$3</definedName>
    <definedName name="comp_count" localSheetId="2">メッセージ!$C$3</definedName>
    <definedName name="comp_count" localSheetId="3">管理者メール!$C$3</definedName>
    <definedName name="item_count" localSheetId="1">SYSTEM!$C$2</definedName>
    <definedName name="item_count" localSheetId="5">サーバ!$C$2</definedName>
    <definedName name="item_count" localSheetId="4">セッション!$C$2</definedName>
    <definedName name="item_count" localSheetId="2">メッセージ!$C$2</definedName>
    <definedName name="item_count" localSheetId="3">管理者メール!$C$2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6" l="1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C3" i="6"/>
  <c r="C2" i="6"/>
  <c r="C1" i="6"/>
  <c r="A12" i="5"/>
  <c r="A27" i="5"/>
  <c r="A26" i="5"/>
  <c r="A25" i="5"/>
  <c r="A24" i="5"/>
  <c r="A23" i="5"/>
  <c r="A22" i="5"/>
  <c r="A21" i="5"/>
  <c r="A20" i="5"/>
  <c r="A17" i="5"/>
  <c r="A19" i="5"/>
  <c r="A18" i="5"/>
  <c r="A16" i="5"/>
  <c r="A15" i="5"/>
  <c r="A14" i="5"/>
  <c r="A13" i="5"/>
  <c r="A11" i="5"/>
  <c r="A10" i="5"/>
  <c r="A9" i="5"/>
  <c r="A8" i="5"/>
  <c r="A7" i="5"/>
  <c r="A6" i="5"/>
  <c r="C3" i="5"/>
  <c r="C2" i="5"/>
  <c r="C1" i="5"/>
  <c r="A30" i="4"/>
  <c r="A29" i="4"/>
  <c r="A28" i="4"/>
  <c r="A27" i="4"/>
  <c r="A26" i="4"/>
  <c r="A25" i="4"/>
  <c r="A24" i="4"/>
  <c r="A23" i="4"/>
  <c r="A22" i="4"/>
  <c r="A21" i="4"/>
  <c r="A20" i="4"/>
  <c r="A16" i="4"/>
  <c r="A19" i="4"/>
  <c r="A18" i="4"/>
  <c r="A17" i="4"/>
  <c r="A15" i="4"/>
  <c r="A14" i="4"/>
  <c r="A13" i="4"/>
  <c r="A12" i="4"/>
  <c r="A11" i="4"/>
  <c r="A10" i="4"/>
  <c r="A9" i="4"/>
  <c r="A8" i="4"/>
  <c r="A7" i="4"/>
  <c r="A6" i="4"/>
  <c r="C3" i="4"/>
  <c r="C2" i="4"/>
  <c r="C1" i="4"/>
  <c r="A7" i="1"/>
  <c r="A52" i="3" l="1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C3" i="3"/>
  <c r="C2" i="3"/>
  <c r="C1" i="3"/>
  <c r="A21" i="1" l="1"/>
  <c r="A16" i="1"/>
  <c r="A26" i="1"/>
  <c r="A30" i="1" l="1"/>
  <c r="A29" i="1"/>
  <c r="A28" i="1"/>
  <c r="A11" i="1"/>
  <c r="A27" i="1"/>
  <c r="A25" i="1"/>
  <c r="A24" i="1"/>
  <c r="A23" i="1"/>
  <c r="A22" i="1"/>
  <c r="A20" i="1"/>
  <c r="A19" i="1" l="1"/>
  <c r="A18" i="1"/>
  <c r="A17" i="1"/>
  <c r="A15" i="1"/>
  <c r="A14" i="1"/>
  <c r="A13" i="1"/>
  <c r="A12" i="1"/>
  <c r="A10" i="1"/>
  <c r="A9" i="1"/>
  <c r="A8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AD7D52F5-9E76-4018-87EC-C976709DC22A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A4445E27-7AB2-4998-BD55-750E8B6E1B84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C90816F2-250E-4F14-A332-1B5CD986662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6ADC0923-8842-4661-8FEC-01CAAD18E61B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E7373F66-2380-4474-9124-19289FBC49E5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263C0A86-BD17-4E91-A7DB-473B00AF5445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58CA06B9-60E8-44A2-B120-5A8CB103AA13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D39B25B2-4876-4459-84DB-D7407ED5BAA1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<sst xmlns="http://schemas.openxmlformats.org/spreadsheetml/2006/main" count="167" uniqueCount="71">
  <si>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</si>
  <si>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</si>
  <si>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</si>
  <si>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</si>
  <si>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</si>
  <si>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</si>
  <si>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</si>
  <si>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</si>
  <si>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</si>
  <si>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</si>
  <si>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</si>
  <si>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</si>
  <si>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</si>
  <si>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</si>
  <si>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</si>
  <si>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</si>
  <si>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</si>
  <si>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SYSTEMボタンを押下する。</t>
    <rPh sb="10" eb="12">
      <t>オウカ</t>
    </rPh>
    <phoneticPr fontId="1"/>
  </si>
  <si>
    <t>SYSTEM画面に遷移すること。</t>
    <rPh sb="6" eb="8">
      <t>ガメン</t>
    </rPh>
    <rPh sb="9" eb="11">
      <t>センイ</t>
    </rPh>
    <phoneticPr fontId="1"/>
  </si>
  <si>
    <t>現行画面との差がないこと。</t>
    <rPh sb="0" eb="2">
      <t>ゲンコウ</t>
    </rPh>
    <rPh sb="2" eb="4">
      <t>ガメン</t>
    </rPh>
    <rPh sb="6" eb="7">
      <t>サ</t>
    </rPh>
    <phoneticPr fontId="1"/>
  </si>
  <si>
    <t>MAINMENUボタンを押下し、MAINMENU画面に戻る。</t>
    <rPh sb="12" eb="14">
      <t>オウカ</t>
    </rPh>
    <rPh sb="24" eb="26">
      <t>ガメン</t>
    </rPh>
    <rPh sb="27" eb="28">
      <t>モド</t>
    </rPh>
    <phoneticPr fontId="1"/>
  </si>
  <si>
    <t>メッセージボタンを押下する。</t>
    <rPh sb="9" eb="11">
      <t>オウカ</t>
    </rPh>
    <phoneticPr fontId="1"/>
  </si>
  <si>
    <t>メッセージ画面に遷移すること。</t>
    <rPh sb="5" eb="7">
      <t>ガメン</t>
    </rPh>
    <rPh sb="8" eb="10">
      <t>センイ</t>
    </rPh>
    <phoneticPr fontId="1"/>
  </si>
  <si>
    <t>管理者メールボタンを押下する。</t>
    <rPh sb="0" eb="3">
      <t>カンリシャ</t>
    </rPh>
    <rPh sb="10" eb="12">
      <t>オウカ</t>
    </rPh>
    <phoneticPr fontId="1"/>
  </si>
  <si>
    <t>管理者メール画面に遷移すること。</t>
    <rPh sb="0" eb="3">
      <t>カンリシャ</t>
    </rPh>
    <rPh sb="6" eb="8">
      <t>ガメン</t>
    </rPh>
    <rPh sb="9" eb="11">
      <t>センイ</t>
    </rPh>
    <phoneticPr fontId="1"/>
  </si>
  <si>
    <t>セッションボタンを押下する。</t>
    <rPh sb="9" eb="11">
      <t>オウカ</t>
    </rPh>
    <phoneticPr fontId="1"/>
  </si>
  <si>
    <t>セッション画面に遷移すること。</t>
    <rPh sb="5" eb="7">
      <t>ガメン</t>
    </rPh>
    <rPh sb="8" eb="10">
      <t>センイ</t>
    </rPh>
    <phoneticPr fontId="1"/>
  </si>
  <si>
    <t>サーバーボタンを押下する。</t>
    <rPh sb="8" eb="10">
      <t>オウカ</t>
    </rPh>
    <phoneticPr fontId="1"/>
  </si>
  <si>
    <t>サーバー画面に遷移すること。</t>
    <rPh sb="4" eb="6">
      <t>ガメン</t>
    </rPh>
    <rPh sb="7" eb="9">
      <t>センイ</t>
    </rPh>
    <phoneticPr fontId="1"/>
  </si>
  <si>
    <t>メッセージボタンを押下する。</t>
    <rPh sb="9" eb="11">
      <t>オウカ</t>
    </rPh>
    <phoneticPr fontId="1"/>
  </si>
  <si>
    <t>メッセージ画面に遷移すること。</t>
    <rPh sb="5" eb="7">
      <t>ガメン</t>
    </rPh>
    <rPh sb="8" eb="10">
      <t>センイ</t>
    </rPh>
    <phoneticPr fontId="1"/>
  </si>
  <si>
    <t>画面の内容が現行と同じであること。</t>
    <rPh sb="0" eb="2">
      <t>ガメン</t>
    </rPh>
    <rPh sb="3" eb="5">
      <t>ナイヨウ</t>
    </rPh>
    <rPh sb="6" eb="8">
      <t>ゲンコウ</t>
    </rPh>
    <rPh sb="9" eb="10">
      <t>オナ</t>
    </rPh>
    <phoneticPr fontId="1"/>
  </si>
  <si>
    <t>LOGボタンを押下する。</t>
    <rPh sb="7" eb="9">
      <t>オウカ</t>
    </rPh>
    <phoneticPr fontId="1"/>
  </si>
  <si>
    <t>ログ画面に遷移すること。</t>
    <rPh sb="2" eb="4">
      <t>ガメン</t>
    </rPh>
    <rPh sb="5" eb="7">
      <t>センイ</t>
    </rPh>
    <phoneticPr fontId="1"/>
  </si>
  <si>
    <t>NEXTボタンを押下する。</t>
    <rPh sb="8" eb="10">
      <t>オウカ</t>
    </rPh>
    <phoneticPr fontId="1"/>
  </si>
  <si>
    <t>次ページのメッセージ一覧が表示されること。</t>
    <rPh sb="0" eb="1">
      <t>ツギ</t>
    </rPh>
    <rPh sb="10" eb="12">
      <t>イチラン</t>
    </rPh>
    <rPh sb="13" eb="15">
      <t>ヒョウジ</t>
    </rPh>
    <phoneticPr fontId="1"/>
  </si>
  <si>
    <t>PREVボタンを押下する。</t>
    <rPh sb="8" eb="10">
      <t>オウカ</t>
    </rPh>
    <phoneticPr fontId="1"/>
  </si>
  <si>
    <t>全ページのメッセージ一覧が表示されること。</t>
    <rPh sb="0" eb="1">
      <t>ゼン</t>
    </rPh>
    <rPh sb="10" eb="12">
      <t>イチラン</t>
    </rPh>
    <rPh sb="13" eb="15">
      <t>ヒョウジ</t>
    </rPh>
    <phoneticPr fontId="1"/>
  </si>
  <si>
    <t>BACKボタンを押下する。</t>
    <rPh sb="8" eb="10">
      <t>オウカ</t>
    </rPh>
    <phoneticPr fontId="1"/>
  </si>
  <si>
    <t>ボタン操作</t>
    <rPh sb="3" eb="5">
      <t>ソウサ</t>
    </rPh>
    <phoneticPr fontId="1"/>
  </si>
  <si>
    <t>タイトル、メッセージに任意の文字列を入力する。</t>
    <rPh sb="11" eb="13">
      <t>ニンイ</t>
    </rPh>
    <rPh sb="14" eb="17">
      <t>モジレツ</t>
    </rPh>
    <rPh sb="18" eb="20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</si>
  <si>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</si>
  <si>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登録完了画面に遷移すること。</t>
    <rPh sb="0" eb="2">
      <t>トウロク</t>
    </rPh>
    <rPh sb="2" eb="4">
      <t>カンリョウ</t>
    </rPh>
    <rPh sb="4" eb="6">
      <t>ガメン</t>
    </rPh>
    <rPh sb="7" eb="9">
      <t>センイ</t>
    </rPh>
    <phoneticPr fontId="1"/>
  </si>
  <si>
    <t>戻るボタンを押下する。</t>
    <rPh sb="0" eb="1">
      <t>モド</t>
    </rPh>
    <rPh sb="6" eb="8">
      <t>オウカ</t>
    </rPh>
    <phoneticPr fontId="1"/>
  </si>
  <si>
    <t>MAINMENUボタンを押下し、MAINMENU画面に遷移させる。</t>
    <rPh sb="12" eb="14">
      <t>オウカ</t>
    </rPh>
    <rPh sb="24" eb="26">
      <t>ガメン</t>
    </rPh>
    <rPh sb="27" eb="29">
      <t>センイ</t>
    </rPh>
    <phoneticPr fontId="1"/>
  </si>
  <si>
    <t>MAINMENU画面のメッセージに登録されたタイトル、メッセージが表示されていること。</t>
    <rPh sb="8" eb="10">
      <t>ガメン</t>
    </rPh>
    <rPh sb="17" eb="19">
      <t>トウロク</t>
    </rPh>
    <rPh sb="33" eb="35">
      <t>ヒョウジ</t>
    </rPh>
    <phoneticPr fontId="1"/>
  </si>
  <si>
    <t>事前準備</t>
    <rPh sb="0" eb="2">
      <t>ジゼン</t>
    </rPh>
    <rPh sb="2" eb="4">
      <t>ジュンビ</t>
    </rPh>
    <phoneticPr fontId="1"/>
  </si>
  <si>
    <t>現行環境のm_messageテーブルのデータを試験環境にインポートする。</t>
    <rPh sb="0" eb="2">
      <t>ゲンコウ</t>
    </rPh>
    <rPh sb="2" eb="4">
      <t>カンキョウ</t>
    </rPh>
    <rPh sb="23" eb="25">
      <t>シケン</t>
    </rPh>
    <rPh sb="25" eb="27">
      <t>カンキョウ</t>
    </rPh>
    <phoneticPr fontId="1"/>
  </si>
  <si>
    <t>管理者メールボタンを押下する。</t>
    <rPh sb="0" eb="3">
      <t>カンリシャ</t>
    </rPh>
    <rPh sb="10" eb="12">
      <t>オウカ</t>
    </rPh>
    <phoneticPr fontId="1"/>
  </si>
  <si>
    <t>管理者メール画面に遷移すること。</t>
    <rPh sb="0" eb="3">
      <t>カンリシャ</t>
    </rPh>
    <rPh sb="6" eb="8">
      <t>ガメン</t>
    </rPh>
    <rPh sb="9" eb="11">
      <t>センイ</t>
    </rPh>
    <phoneticPr fontId="1"/>
  </si>
  <si>
    <t>管理者メールアドレスに任意のメールアドレスを入力する。</t>
    <rPh sb="0" eb="3">
      <t>カンリシャ</t>
    </rPh>
    <rPh sb="11" eb="13">
      <t>ニンイ</t>
    </rPh>
    <rPh sb="22" eb="24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</si>
  <si>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</si>
  <si>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登録完了画面に遷移すること。</t>
    <rPh sb="0" eb="2">
      <t>トウロク</t>
    </rPh>
    <rPh sb="2" eb="4">
      <t>カンリョウ</t>
    </rPh>
    <rPh sb="4" eb="6">
      <t>ガメン</t>
    </rPh>
    <rPh sb="7" eb="9">
      <t>センイ</t>
    </rPh>
    <phoneticPr fontId="1"/>
  </si>
  <si>
    <t>戻るボタンを押下する。</t>
    <rPh sb="0" eb="1">
      <t>モド</t>
    </rPh>
    <rPh sb="6" eb="8">
      <t>オウカ</t>
    </rPh>
    <phoneticPr fontId="1"/>
  </si>
  <si>
    <t>管理者メールアドレスに入力したメールアドレスが表示されていること。</t>
    <rPh sb="0" eb="3">
      <t>カンリシャ</t>
    </rPh>
    <rPh sb="11" eb="13">
      <t>ニュウリョク</t>
    </rPh>
    <rPh sb="23" eb="25">
      <t>ヒョウジ</t>
    </rPh>
    <phoneticPr fontId="1"/>
  </si>
  <si>
    <t>管理者機能マスタの管理者機能設定値に入力したメールアドレスが登録されていること。</t>
    <rPh sb="0" eb="3">
      <t>カンリシャ</t>
    </rPh>
    <rPh sb="3" eb="5">
      <t>キノウ</t>
    </rPh>
    <rPh sb="18" eb="20">
      <t>ニュウリョク</t>
    </rPh>
    <rPh sb="30" eb="32">
      <t>トウロク</t>
    </rPh>
    <phoneticPr fontId="1"/>
  </si>
  <si>
    <t>セッションボタンを押下する。</t>
    <rPh sb="9" eb="11">
      <t>オウカ</t>
    </rPh>
    <phoneticPr fontId="1"/>
  </si>
  <si>
    <t>セッション画面に遷移すること。</t>
    <rPh sb="5" eb="7">
      <t>ガメン</t>
    </rPh>
    <rPh sb="8" eb="10">
      <t>センイ</t>
    </rPh>
    <phoneticPr fontId="1"/>
  </si>
  <si>
    <t>RELOADボタンを押下する。</t>
    <rPh sb="10" eb="12">
      <t>オウカ</t>
    </rPh>
    <phoneticPr fontId="1"/>
  </si>
  <si>
    <t>メッセージ画面が更新すること。</t>
    <rPh sb="5" eb="7">
      <t>ガメン</t>
    </rPh>
    <rPh sb="8" eb="10">
      <t>コウシン</t>
    </rPh>
    <phoneticPr fontId="1"/>
  </si>
  <si>
    <t>画面の内容（データ以外）が現行と同じであること。</t>
    <rPh sb="0" eb="2">
      <t>ガメン</t>
    </rPh>
    <rPh sb="3" eb="5">
      <t>ナイヨウ</t>
    </rPh>
    <rPh sb="9" eb="11">
      <t>イガイ</t>
    </rPh>
    <rPh sb="13" eb="15">
      <t>ゲンコウ</t>
    </rPh>
    <rPh sb="16" eb="17">
      <t>オナ</t>
    </rPh>
    <phoneticPr fontId="1"/>
  </si>
  <si>
    <t>ログインセッションテーブルの最新データが反映されていること。</t>
    <rPh sb="14" eb="16">
      <t>サイシン</t>
    </rPh>
    <rPh sb="20" eb="22">
      <t>ハンエイ</t>
    </rPh>
    <phoneticPr fontId="1"/>
  </si>
  <si>
    <t>別端末からもログインする。</t>
    <rPh sb="0" eb="1">
      <t>ベツ</t>
    </rPh>
    <rPh sb="1" eb="3">
      <t>タンマツ</t>
    </rPh>
    <phoneticPr fontId="1"/>
  </si>
  <si>
    <t>ログイン中のユーザーのログインセッションテーブルの内容を表示していること。</t>
    <rPh sb="4" eb="5">
      <t>チュウ</t>
    </rPh>
    <rPh sb="25" eb="27">
      <t>ナイヨウ</t>
    </rPh>
    <rPh sb="28" eb="30">
      <t>ヒョウジ</t>
    </rPh>
    <phoneticPr fontId="1"/>
  </si>
  <si>
    <t>サーバボタンを押下する。</t>
    <rPh sb="7" eb="9">
      <t>オウカ</t>
    </rPh>
    <phoneticPr fontId="1"/>
  </si>
  <si>
    <t>アパッチ停止ボタンを押下する。</t>
    <rPh sb="4" eb="6">
      <t>テイシ</t>
    </rPh>
    <rPh sb="10" eb="12">
      <t>オウカ</t>
    </rPh>
    <phoneticPr fontId="1"/>
  </si>
  <si>
    <t>Webサーバーのapacheが停止していること。</t>
    <rPh sb="15" eb="17">
      <t>テイシ</t>
    </rPh>
    <phoneticPr fontId="1"/>
  </si>
  <si>
    <t>アパッチ再起動ボタンを押下する。</t>
    <rPh sb="4" eb="7">
      <t>サイキドウ</t>
    </rPh>
    <rPh sb="11" eb="13">
      <t>オウカ</t>
    </rPh>
    <phoneticPr fontId="1"/>
  </si>
  <si>
    <t>Webサーバーのapacheが起動していること。</t>
    <rPh sb="15" eb="17">
      <t>キドウ</t>
    </rPh>
    <phoneticPr fontId="1"/>
  </si>
  <si>
    <t>再度、アパッチ再起動ボタンを押下する。</t>
    <rPh sb="0" eb="2">
      <t>サイド</t>
    </rPh>
    <phoneticPr fontId="1"/>
  </si>
  <si>
    <t>WebサーバーのapacheのプロセスIDが更新されていること。</t>
    <rPh sb="22" eb="24">
      <t>コウシン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</si>
</sst>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35B42-A628-4F57-B5D1-F8C8C972B8F7}">
  <sheetPr codeName="Sheet3"/>
  <dimension ref="A1:J54"/>
  <sheetViews>
    <sheetView topLeftCell="A7" workbookViewId="0">
      <selection activeCell="D10" sqref="D1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SYSTEM</v>
      </c>
      <c r="D1" s="8"/>
    </row>
    <row r="2" spans="1:10">
      <c r="B2" s="11" t="s">
        <v>9</v>
      </c>
      <c r="C2" s="10">
        <f>COUNTA(D6:D36)</f>
        <v>6</v>
      </c>
    </row>
    <row r="3" spans="1:10">
      <c r="B3" s="11" t="s">
        <v>11</v>
      </c>
      <c r="C3" s="10">
        <f>COUNTA(G6:G36)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14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52" si="0">ROW()-5</f>
        <v>2</v>
      </c>
      <c r="B7" s="5"/>
      <c r="C7" s="14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14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4" t="s">
        <v>17</v>
      </c>
      <c r="D9" s="5" t="s">
        <v>18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/>
      <c r="D10" s="5" t="s">
        <v>19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21</v>
      </c>
      <c r="D11" s="5" t="s">
        <v>22</v>
      </c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14" t="s">
        <v>20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4" t="s">
        <v>17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4" t="s">
        <v>23</v>
      </c>
      <c r="D14" s="5" t="s">
        <v>24</v>
      </c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10</v>
      </c>
      <c r="B15" s="5"/>
      <c r="C15" s="14" t="s">
        <v>20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4" t="s">
        <v>17</v>
      </c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 t="s">
        <v>25</v>
      </c>
      <c r="D17" s="5" t="s">
        <v>26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/>
      <c r="C18" s="14" t="s">
        <v>20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4" t="s">
        <v>17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 t="s">
        <v>27</v>
      </c>
      <c r="D20" s="5" t="s">
        <v>28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4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4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4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4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4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4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4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4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4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4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4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4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4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4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4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4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4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4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4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4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4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4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4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4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14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4"/>
      <c r="D52" s="5"/>
      <c r="E52" s="4"/>
      <c r="F52" s="3"/>
      <c r="G52" s="3"/>
      <c r="H52" s="2"/>
      <c r="I52" s="4"/>
      <c r="J52" s="4"/>
    </row>
    <row r="54" spans="1:10">
      <c r="B54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32"/>
  <sheetViews>
    <sheetView topLeftCell="A10" workbookViewId="0">
      <selection activeCell="C13" sqref="C13:D2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メッセージ</v>
      </c>
      <c r="D1" s="8"/>
    </row>
    <row r="2" spans="1:10">
      <c r="B2" s="11" t="s">
        <v>9</v>
      </c>
      <c r="C2" s="10">
        <f>COUNTA(D6:D26)</f>
        <v>14</v>
      </c>
    </row>
    <row r="3" spans="1:10">
      <c r="B3" s="11" t="s">
        <v>11</v>
      </c>
      <c r="C3" s="10">
        <f>COUNTA(G6:G26)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46</v>
      </c>
      <c r="C6" s="14" t="s">
        <v>47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30" si="0">ROW()-5</f>
        <v>2</v>
      </c>
      <c r="B7" s="5" t="s">
        <v>16</v>
      </c>
      <c r="C7" s="14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3</v>
      </c>
      <c r="B8" s="5"/>
      <c r="C8" s="14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4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17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29</v>
      </c>
      <c r="D11" s="5" t="s">
        <v>30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4"/>
      <c r="D12" s="5" t="s">
        <v>31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39</v>
      </c>
      <c r="C13" s="14" t="s">
        <v>32</v>
      </c>
      <c r="D13" s="5" t="s">
        <v>33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4"/>
      <c r="D14" s="5" t="s">
        <v>31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4" t="s">
        <v>34</v>
      </c>
      <c r="D15" s="5" t="s">
        <v>35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4"/>
      <c r="D16" s="5" t="s">
        <v>31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 t="s">
        <v>36</v>
      </c>
      <c r="D17" s="5" t="s">
        <v>37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4"/>
      <c r="D18" s="5" t="s">
        <v>31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4" t="s">
        <v>38</v>
      </c>
      <c r="D19" s="5" t="s">
        <v>30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 t="s">
        <v>31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/>
      <c r="C21" s="14" t="s">
        <v>40</v>
      </c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 t="s">
        <v>41</v>
      </c>
      <c r="D22" s="5" t="s">
        <v>42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 t="s">
        <v>31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 t="s">
        <v>43</v>
      </c>
      <c r="D24" s="5" t="s">
        <v>30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20</v>
      </c>
      <c r="B25" s="5"/>
      <c r="C25" s="14" t="s">
        <v>44</v>
      </c>
      <c r="D25" s="5" t="s">
        <v>45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4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4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4"/>
      <c r="D30" s="5"/>
      <c r="E30" s="4"/>
      <c r="F30" s="3"/>
      <c r="G30" s="3"/>
      <c r="H30" s="2"/>
      <c r="I30" s="4"/>
      <c r="J30" s="4"/>
    </row>
    <row r="32" spans="1:10">
      <c r="B32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88E1-FC0A-43E6-9237-1D46D614529F}">
  <sheetPr codeName="Sheet4"/>
  <dimension ref="A1:J32"/>
  <sheetViews>
    <sheetView topLeftCell="A9" workbookViewId="0">
      <selection activeCell="D17" sqref="D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管理者メール</v>
      </c>
      <c r="D1" s="8"/>
    </row>
    <row r="2" spans="1:10">
      <c r="B2" s="11" t="s">
        <v>9</v>
      </c>
      <c r="C2" s="10">
        <f>COUNTA(D6:D26)</f>
        <v>8</v>
      </c>
    </row>
    <row r="3" spans="1:10">
      <c r="B3" s="11" t="s">
        <v>11</v>
      </c>
      <c r="C3" s="10">
        <f>COUNTA(G6:G26)</f>
        <v>0</v>
      </c>
    </row>
    <row r="4" spans="1:10">
      <c r="B4" s="9"/>
      <c r="C4" s="8"/>
    </row>
    <row r="5" spans="1:10" s="6" customFormat="1">
      <c r="A5" s="13" t="s">
        <v>4</v>
      </c>
      <c r="B5" s="13" t="s">
        <v>6</v>
      </c>
      <c r="C5" s="13" t="s">
        <v>7</v>
      </c>
      <c r="D5" s="13" t="s">
        <v>3</v>
      </c>
      <c r="E5" s="13" t="s">
        <v>2</v>
      </c>
      <c r="F5" s="13" t="s">
        <v>1</v>
      </c>
      <c r="G5" s="13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46</v>
      </c>
      <c r="C6" s="14" t="s">
        <v>47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ref="A7:A30" si="0">ROW()-5</f>
        <v>2</v>
      </c>
      <c r="B7" s="5" t="s">
        <v>16</v>
      </c>
      <c r="C7" s="14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3</v>
      </c>
      <c r="B8" s="5"/>
      <c r="C8" s="14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4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17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48</v>
      </c>
      <c r="D11" s="5" t="s">
        <v>49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4"/>
      <c r="D12" s="5" t="s">
        <v>31</v>
      </c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14" t="s">
        <v>50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4" t="s">
        <v>51</v>
      </c>
      <c r="D14" s="5" t="s">
        <v>52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4"/>
      <c r="D15" s="5" t="s">
        <v>31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14"/>
      <c r="D16" s="5" t="s">
        <v>55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 t="s">
        <v>53</v>
      </c>
      <c r="D17" s="5" t="s">
        <v>49</v>
      </c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/>
      <c r="C18" s="14"/>
      <c r="D18" s="14" t="s">
        <v>54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4"/>
      <c r="D19" s="5" t="s">
        <v>31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4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4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4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4"/>
      <c r="D30" s="5"/>
      <c r="E30" s="4"/>
      <c r="F30" s="3"/>
      <c r="G30" s="3"/>
      <c r="H30" s="2"/>
      <c r="I30" s="4"/>
      <c r="J30" s="4"/>
    </row>
    <row r="32" spans="1:10">
      <c r="B32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0E4CF-D232-4525-9A18-A29DF9EFD8EF}">
  <sheetPr codeName="Sheet5"/>
  <dimension ref="A1:J29"/>
  <sheetViews>
    <sheetView topLeftCell="A7" workbookViewId="0">
      <selection activeCell="C8" sqref="C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セッション</v>
      </c>
      <c r="D1" s="8"/>
    </row>
    <row r="2" spans="1:10">
      <c r="B2" s="11" t="s">
        <v>9</v>
      </c>
      <c r="C2" s="10">
        <f>COUNTA(D6:D23)</f>
        <v>9</v>
      </c>
    </row>
    <row r="3" spans="1:10">
      <c r="B3" s="11" t="s">
        <v>11</v>
      </c>
      <c r="C3" s="10">
        <f>COUNTA(G6:G23)</f>
        <v>0</v>
      </c>
    </row>
    <row r="4" spans="1:10">
      <c r="B4" s="9"/>
      <c r="C4" s="8"/>
    </row>
    <row r="5" spans="1:10" s="6" customFormat="1">
      <c r="A5" s="13" t="s">
        <v>4</v>
      </c>
      <c r="B5" s="13" t="s">
        <v>6</v>
      </c>
      <c r="C5" s="13" t="s">
        <v>7</v>
      </c>
      <c r="D5" s="13" t="s">
        <v>3</v>
      </c>
      <c r="E5" s="13" t="s">
        <v>2</v>
      </c>
      <c r="F5" s="13" t="s">
        <v>1</v>
      </c>
      <c r="G5" s="13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14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27" si="0">ROW()-5</f>
        <v>2</v>
      </c>
      <c r="B7" s="5"/>
      <c r="C7" s="14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14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4" t="s">
        <v>17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56</v>
      </c>
      <c r="D10" s="5" t="s">
        <v>57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/>
      <c r="D11" s="5" t="s">
        <v>60</v>
      </c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14"/>
      <c r="D12" s="5" t="s">
        <v>63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4" t="s">
        <v>32</v>
      </c>
      <c r="D13" s="5" t="s">
        <v>33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4" t="s">
        <v>34</v>
      </c>
      <c r="D14" s="5" t="s">
        <v>35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4" t="s">
        <v>36</v>
      </c>
      <c r="D15" s="5" t="s">
        <v>37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4" t="s">
        <v>38</v>
      </c>
      <c r="D16" s="5" t="s">
        <v>30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 t="s">
        <v>62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4" t="s">
        <v>58</v>
      </c>
      <c r="D18" s="5" t="s">
        <v>59</v>
      </c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14</v>
      </c>
      <c r="B19" s="5"/>
      <c r="C19" s="14"/>
      <c r="D19" s="5" t="s">
        <v>61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4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9" spans="1:10">
      <c r="B29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6E997-2D99-435E-B7DB-3578A49EDA58}">
  <sheetPr codeName="Sheet6"/>
  <dimension ref="A1:J29"/>
  <sheetViews>
    <sheetView tabSelected="1" topLeftCell="A7" workbookViewId="0">
      <selection activeCell="D16" sqref="D1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サーバ</v>
      </c>
      <c r="D1" s="8"/>
    </row>
    <row r="2" spans="1:10">
      <c r="B2" s="11" t="s">
        <v>9</v>
      </c>
      <c r="C2" s="10">
        <f>COUNTA(D6:D23)</f>
        <v>5</v>
      </c>
    </row>
    <row r="3" spans="1:10">
      <c r="B3" s="11" t="s">
        <v>11</v>
      </c>
      <c r="C3" s="10">
        <f>COUNTA(G6:G23)</f>
        <v>0</v>
      </c>
    </row>
    <row r="4" spans="1:10">
      <c r="B4" s="9"/>
      <c r="C4" s="8"/>
    </row>
    <row r="5" spans="1:10" s="6" customFormat="1">
      <c r="A5" s="13" t="s">
        <v>4</v>
      </c>
      <c r="B5" s="13" t="s">
        <v>6</v>
      </c>
      <c r="C5" s="13" t="s">
        <v>7</v>
      </c>
      <c r="D5" s="13" t="s">
        <v>3</v>
      </c>
      <c r="E5" s="13" t="s">
        <v>2</v>
      </c>
      <c r="F5" s="13" t="s">
        <v>1</v>
      </c>
      <c r="G5" s="13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14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27" si="0">ROW()-5</f>
        <v>2</v>
      </c>
      <c r="B7" s="5"/>
      <c r="C7" s="14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14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4" t="s">
        <v>17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64</v>
      </c>
      <c r="D10" s="5" t="s">
        <v>57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/>
      <c r="D11" s="5" t="s">
        <v>60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4"/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4" t="s">
        <v>65</v>
      </c>
      <c r="D13" s="5" t="s">
        <v>66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4" t="s">
        <v>67</v>
      </c>
      <c r="D14" s="5" t="s">
        <v>68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4" t="s">
        <v>69</v>
      </c>
      <c r="D15" s="5" t="s">
        <v>70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4"/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/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4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4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4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9" spans="1:10">
      <c r="B29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</vt:i4>
      </vt:variant>
    </vt:vector>
  </HeadingPairs>
  <TitlesOfParts>
    <vt:vector size="16" baseType="lpstr">
      <vt:lpstr>表紙</vt:lpstr>
      <vt:lpstr>SYSTEM</vt:lpstr>
      <vt:lpstr>メッセージ</vt:lpstr>
      <vt:lpstr>管理者メール</vt:lpstr>
      <vt:lpstr>セッション</vt:lpstr>
      <vt:lpstr>サーバ</vt:lpstr>
      <vt:lpstr>SYSTEM!comp_count</vt:lpstr>
      <vt:lpstr>サーバ!comp_count</vt:lpstr>
      <vt:lpstr>セッション!comp_count</vt:lpstr>
      <vt:lpstr>メッセージ!comp_count</vt:lpstr>
      <vt:lpstr>管理者メール!comp_count</vt:lpstr>
      <vt:lpstr>SYSTEM!item_count</vt:lpstr>
      <vt:lpstr>サーバ!item_count</vt:lpstr>
      <vt:lpstr>セッション!item_count</vt:lpstr>
      <vt:lpstr>メッセージ!item_count</vt:lpstr>
      <vt:lpstr>管理者メール!item_count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2019-09-06T07:10:42Z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