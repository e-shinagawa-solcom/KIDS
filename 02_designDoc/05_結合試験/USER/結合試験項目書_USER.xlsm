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USER\"/>
    </mc:Choice>
  </mc:AlternateContent>
  <xr:revisionPtr revIDLastSave="0" documentId="13_ncr:1_{7D3752F1-4900-461E-B3FC-90E8FE154E99}" xr6:coauthVersionLast="40" xr6:coauthVersionMax="40" xr10:uidLastSave="{00000000-0000-0000-0000-000000000000}"/>
  <bookViews>
    <workbookView xWindow="0" yWindow="0" windowWidth="17256" windowHeight="5280" activeTab="6" xr2:uid="{7855FBD0-5EC9-4DBA-9A4B-0C57305BA533}"/>
  </bookViews>
  <sheets>
    <sheet name="表紙" sheetId="2" r:id="rId1"/>
    <sheet name="USER" sheetId="1" r:id="rId2"/>
    <sheet name="ユーザー情報" sheetId="3" r:id="rId3"/>
    <sheet name="ユーザー登録" sheetId="4" r:id="rId4"/>
    <sheet name="ユーザー検索" sheetId="5" r:id="rId5"/>
    <sheet name="ユーザー一覧" sheetId="6" r:id="rId6"/>
    <sheet name="ユーザー修正" sheetId="7" r:id="rId7"/>
  </sheets>
  <definedNames>
    <definedName name="comp_count" localSheetId="1">USER!$C$3</definedName>
    <definedName name="comp_count" localSheetId="5">ユーザー一覧!$C$3</definedName>
    <definedName name="comp_count" localSheetId="4">ユーザー検索!$C$3</definedName>
    <definedName name="comp_count" localSheetId="6">ユーザー修正!$C$3</definedName>
    <definedName name="comp_count" localSheetId="2">ユーザー情報!$C$3</definedName>
    <definedName name="comp_count" localSheetId="3">ユーザー登録!$C$3</definedName>
    <definedName name="item_count" localSheetId="1">USER!$C$2</definedName>
    <definedName name="item_count" localSheetId="5">ユーザー一覧!$C$2</definedName>
    <definedName name="item_count" localSheetId="4">ユーザー検索!$C$2</definedName>
    <definedName name="item_count" localSheetId="6">ユーザー修正!$C$2</definedName>
    <definedName name="item_count" localSheetId="2">ユーザー情報!$C$2</definedName>
    <definedName name="item_count" localSheetId="3">ユーザー登録!$C$2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8" i="7" l="1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C3" i="7"/>
  <c r="C2" i="7"/>
  <c r="C1" i="7"/>
  <c r="A11" i="4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C3" i="6"/>
  <c r="C2" i="6"/>
  <c r="C1" i="6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C3" i="5"/>
  <c r="C2" i="5"/>
  <c r="C1" i="5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0" i="4"/>
  <c r="A9" i="4"/>
  <c r="A8" i="4"/>
  <c r="A7" i="4"/>
  <c r="A6" i="4"/>
  <c r="C3" i="4"/>
  <c r="C2" i="4"/>
  <c r="C1" i="4"/>
  <c r="A49" i="3" l="1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C3" i="3"/>
  <c r="C2" i="3"/>
  <c r="C1" i="3"/>
  <c r="A18" i="1" l="1"/>
  <c r="A14" i="1"/>
  <c r="A23" i="1"/>
  <c r="A50" i="1" l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10" i="1"/>
  <c r="A36" i="1"/>
  <c r="A35" i="1"/>
  <c r="A26" i="1"/>
  <c r="A25" i="1"/>
  <c r="A24" i="1"/>
  <c r="A22" i="1"/>
  <c r="A21" i="1"/>
  <c r="A20" i="1"/>
  <c r="A19" i="1"/>
  <c r="A17" i="1"/>
  <c r="A30" i="1"/>
  <c r="A29" i="1"/>
  <c r="A28" i="1"/>
  <c r="A27" i="1"/>
  <c r="A32" i="1"/>
  <c r="A31" i="1"/>
  <c r="A34" i="1" l="1"/>
  <c r="A33" i="1"/>
  <c r="A16" i="1"/>
  <c r="A15" i="1"/>
  <c r="A13" i="1"/>
  <c r="A12" i="1"/>
  <c r="A11" i="1"/>
  <c r="A9" i="1"/>
  <c r="A8" i="1"/>
  <c r="A7" i="1"/>
  <c r="A6" i="1"/>
  <c r="C3" i="1"/>
  <c r="C1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21B4827C-0649-4657-B711-0E7B93DFFE34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CD599208-F934-4F9A-9F7C-EAD84E245A76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39DF3B56-17CF-46FD-836E-43DFF01D8C20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6E88204F-AD82-4ED0-8F65-D463FEE71947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2753A9E7-8A71-4585-8BBF-074B01236D2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E7B3926C-5A1C-45D1-BBC2-868C7B689E6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937DA8EC-678B-4483-AB9B-32D7B5E43A31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ABAAB05A-A791-4C0A-AE35-F6EB45A6342B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5" authorId="0" shapeId="0" xr:uid="{802E76C7-73BE-440E-94FD-601D010C2B79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5" authorId="0" shapeId="0" xr:uid="{E0E11B9D-8581-484F-B7C2-CF4335BE60FA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<sst xmlns="http://schemas.openxmlformats.org/spreadsheetml/2006/main" count="211" uniqueCount="67">
  <si>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</si>
  <si>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</si>
  <si>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</si>
  <si>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</si>
  <si>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</si>
  <si>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</si>
  <si>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</si>
  <si>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</si>
  <si>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</si>
  <si>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</si>
  <si>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</si>
  <si>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</si>
  <si>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</si>
  <si>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</si>
  <si>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</si>
  <si>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</si>
  <si>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</si>
  <si>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USERボタンを押下する。</t>
    <rPh sb="8" eb="10">
      <t>オウカ</t>
    </rPh>
    <phoneticPr fontId="1"/>
  </si>
  <si>
    <t>USER画面に遷移すること。</t>
    <rPh sb="4" eb="6">
      <t>ガメン</t>
    </rPh>
    <rPh sb="7" eb="9">
      <t>センイ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</si>
  <si>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</si>
  <si>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ボタン押下</t>
    <rPh sb="3" eb="5">
      <t>オウカ</t>
    </rPh>
    <phoneticPr fontId="1"/>
  </si>
  <si>
    <t>ユーザー情報ボタンを押下する。</t>
    <rPh sb="4" eb="6">
      <t>ジョウホウ</t>
    </rPh>
    <rPh sb="10" eb="12">
      <t>オウカ</t>
    </rPh>
    <phoneticPr fontId="1"/>
  </si>
  <si>
    <t>ユーザー登録画面に遷移すること。</t>
    <rPh sb="4" eb="6">
      <t>トウロク</t>
    </rPh>
    <rPh sb="6" eb="8">
      <t>ガメン</t>
    </rPh>
    <rPh sb="9" eb="11">
      <t>センイ</t>
    </rPh>
    <phoneticPr fontId="1"/>
  </si>
  <si>
    <t>ログインユーザーのログイン情報が表示されていること。</t>
    <rPh sb="13" eb="15">
      <t>ジョウホウ</t>
    </rPh>
    <rPh sb="16" eb="18">
      <t>ヒョウジ</t>
    </rPh>
    <phoneticPr fontId="1"/>
  </si>
  <si>
    <t>MAINMENUボタンを押下し、MAINMENU画面に遷移させる。</t>
    <rPh sb="12" eb="14">
      <t>オウカ</t>
    </rPh>
    <rPh sb="24" eb="26">
      <t>ガメン</t>
    </rPh>
    <rPh sb="27" eb="29">
      <t>センイ</t>
    </rPh>
    <phoneticPr fontId="1"/>
  </si>
  <si>
    <t>ユーザー登録ボタンを押下する。</t>
    <rPh sb="4" eb="6">
      <t>トウロク</t>
    </rPh>
    <rPh sb="10" eb="12">
      <t>オウカ</t>
    </rPh>
    <phoneticPr fontId="1"/>
  </si>
  <si>
    <t>新規ユーザーの登録画面（ほとんどの項目が未入力）となっていること。</t>
    <rPh sb="0" eb="2">
      <t>シンキ</t>
    </rPh>
    <rPh sb="7" eb="9">
      <t>トウロク</t>
    </rPh>
    <rPh sb="9" eb="11">
      <t>ガメン</t>
    </rPh>
    <rPh sb="17" eb="19">
      <t>コウモク</t>
    </rPh>
    <rPh sb="20" eb="23">
      <t>ミニュウリョク</t>
    </rPh>
    <phoneticPr fontId="1"/>
  </si>
  <si>
    <t>ユーザー検索ボタンを押下する。</t>
    <rPh sb="4" eb="6">
      <t>ケンサク</t>
    </rPh>
    <rPh sb="10" eb="12">
      <t>オウカ</t>
    </rPh>
    <phoneticPr fontId="1"/>
  </si>
  <si>
    <t>ユーザー検索画面に遷移すること。</t>
    <rPh sb="4" eb="6">
      <t>ケンサク</t>
    </rPh>
    <rPh sb="6" eb="8">
      <t>ガメン</t>
    </rPh>
    <rPh sb="9" eb="11">
      <t>センイ</t>
    </rPh>
    <phoneticPr fontId="1"/>
  </si>
  <si>
    <t>現行画面と入力可能項目を比較する。</t>
    <rPh sb="0" eb="2">
      <t>ゲンコウ</t>
    </rPh>
    <rPh sb="2" eb="4">
      <t>ガメン</t>
    </rPh>
    <rPh sb="5" eb="7">
      <t>ニュウリョク</t>
    </rPh>
    <rPh sb="7" eb="9">
      <t>カノウ</t>
    </rPh>
    <rPh sb="9" eb="11">
      <t>コウモク</t>
    </rPh>
    <rPh sb="12" eb="14">
      <t>ヒカク</t>
    </rPh>
    <phoneticPr fontId="1"/>
  </si>
  <si>
    <t>入力可能な項目が現行画面と一致していること。</t>
    <rPh sb="0" eb="2">
      <t>ニュウリョク</t>
    </rPh>
    <rPh sb="2" eb="4">
      <t>カノウ</t>
    </rPh>
    <rPh sb="5" eb="7">
      <t>コウモク</t>
    </rPh>
    <rPh sb="8" eb="10">
      <t>ゲンコウ</t>
    </rPh>
    <rPh sb="10" eb="12">
      <t>ガメン</t>
    </rPh>
    <rPh sb="13" eb="15">
      <t>イッチ</t>
    </rPh>
    <phoneticPr fontId="1"/>
  </si>
  <si>
    <t>クリアボタン押下</t>
    <rPh sb="6" eb="8">
      <t>オウカ</t>
    </rPh>
    <phoneticPr fontId="1"/>
  </si>
  <si>
    <t>任意の入力可能項目の値を変更する。</t>
    <rPh sb="0" eb="2">
      <t>ニンイ</t>
    </rPh>
    <rPh sb="3" eb="5">
      <t>ニュウリョク</t>
    </rPh>
    <rPh sb="5" eb="7">
      <t>カノウ</t>
    </rPh>
    <rPh sb="7" eb="9">
      <t>コウモク</t>
    </rPh>
    <rPh sb="10" eb="11">
      <t>アタイ</t>
    </rPh>
    <rPh sb="12" eb="14">
      <t>ヘンコウ</t>
    </rPh>
    <phoneticPr fontId="1"/>
  </si>
  <si>
    <t>クリアボタンを押下する。</t>
    <rPh sb="7" eb="9">
      <t>オウカ</t>
    </rPh>
    <phoneticPr fontId="1"/>
  </si>
  <si>
    <t>変更した値が表示当初の値に戻ること。</t>
    <rPh sb="0" eb="2">
      <t>ヘンコウ</t>
    </rPh>
    <rPh sb="4" eb="5">
      <t>アタイ</t>
    </rPh>
    <rPh sb="6" eb="8">
      <t>ヒョウジ</t>
    </rPh>
    <rPh sb="8" eb="10">
      <t>トウショ</t>
    </rPh>
    <rPh sb="11" eb="12">
      <t>アタイ</t>
    </rPh>
    <rPh sb="13" eb="14">
      <t>モド</t>
    </rPh>
    <phoneticPr fontId="1"/>
  </si>
  <si>
    <t>登録ボタン押下</t>
    <rPh sb="0" eb="2">
      <t>トウロク</t>
    </rPh>
    <rPh sb="5" eb="7">
      <t>オウカ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</si>
  <si>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</si>
  <si>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</si>
  <si>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登録完了画面の戻るボタンを押下する。</t>
    <rPh sb="0" eb="2">
      <t>トウロク</t>
    </rPh>
    <rPh sb="2" eb="4">
      <t>カンリョウ</t>
    </rPh>
    <rPh sb="4" eb="6">
      <t>ガメン</t>
    </rPh>
    <rPh sb="7" eb="8">
      <t>モド</t>
    </rPh>
    <rPh sb="13" eb="15">
      <t>オウカ</t>
    </rPh>
    <phoneticPr fontId="1"/>
  </si>
  <si>
    <t>ユーザー登録画面に遷移すること。</t>
    <rPh sb="4" eb="6">
      <t>トウロク</t>
    </rPh>
    <rPh sb="6" eb="8">
      <t>ガメン</t>
    </rPh>
    <rPh sb="9" eb="11">
      <t>センイ</t>
    </rPh>
    <phoneticPr fontId="1"/>
  </si>
  <si>
    <t>登録ボタン押下前に変更した内容が反映されていること。</t>
    <rPh sb="0" eb="2">
      <t>トウロク</t>
    </rPh>
    <rPh sb="5" eb="7">
      <t>オウカ</t>
    </rPh>
    <rPh sb="7" eb="8">
      <t>マエ</t>
    </rPh>
    <rPh sb="9" eb="11">
      <t>ヘンコウ</t>
    </rPh>
    <rPh sb="13" eb="15">
      <t>ナイヨウ</t>
    </rPh>
    <rPh sb="16" eb="18">
      <t>ハンエイ</t>
    </rPh>
    <phoneticPr fontId="1"/>
  </si>
  <si>
    <t>ユーザー登録結果確認</t>
    <rPh sb="4" eb="6">
      <t>トウロク</t>
    </rPh>
    <rPh sb="6" eb="8">
      <t>ケッカ</t>
    </rPh>
    <rPh sb="8" eb="10">
      <t>カクニン</t>
    </rPh>
    <phoneticPr fontId="1"/>
  </si>
  <si>
    <t>LOGOUTボタンを押下し、LOGIN画面に遷移させる。</t>
    <rPh sb="10" eb="12">
      <t>オウカ</t>
    </rPh>
    <rPh sb="19" eb="21">
      <t>ガメン</t>
    </rPh>
    <rPh sb="22" eb="24">
      <t>センイ</t>
    </rPh>
    <phoneticPr fontId="1"/>
  </si>
  <si>
    <t>ログインが成功すること。</t>
    <rPh sb="5" eb="7">
      <t>セイコウ</t>
    </rPh>
    <phoneticPr fontId="1"/>
  </si>
  <si>
    <t>登録ボタン押下の試験で登録したユーザー・パスワードでログインする。</t>
    <rPh sb="0" eb="2">
      <t>トウロク</t>
    </rPh>
    <rPh sb="5" eb="7">
      <t>オウカ</t>
    </rPh>
    <rPh sb="8" eb="10">
      <t>シケン</t>
    </rPh>
    <rPh sb="11" eb="13">
      <t>トウロク</t>
    </rPh>
    <phoneticPr fontId="1"/>
  </si>
  <si>
    <t>検索ボタン押下</t>
    <rPh sb="0" eb="2">
      <t>ケンサク</t>
    </rPh>
    <rPh sb="5" eb="7">
      <t>オウカ</t>
    </rPh>
    <phoneticPr fontId="1"/>
  </si>
  <si>
    <t>検索ボタンを押下する。</t>
    <rPh sb="0" eb="2">
      <t>ケンサク</t>
    </rPh>
    <rPh sb="6" eb="8">
      <t>オウカ</t>
    </rPh>
    <phoneticPr fontId="1"/>
  </si>
  <si>
    <t>ユーザー一覧画面に遷移すること。</t>
    <rPh sb="4" eb="6">
      <t>イチラン</t>
    </rPh>
    <rPh sb="6" eb="8">
      <t>ガメン</t>
    </rPh>
    <rPh sb="9" eb="11">
      <t>センイ</t>
    </rPh>
    <phoneticPr fontId="1"/>
  </si>
  <si>
    <t>USERボタンを押下し、USER画面に遷移する。</t>
    <rPh sb="8" eb="10">
      <t>オウカ</t>
    </rPh>
    <rPh sb="16" eb="18">
      <t>ガメン</t>
    </rPh>
    <rPh sb="19" eb="21">
      <t>センイ</t>
    </rPh>
    <phoneticPr fontId="1"/>
  </si>
  <si>
    <t>詳細ボタン押下</t>
    <rPh sb="0" eb="2">
      <t>ショウサイ</t>
    </rPh>
    <rPh sb="5" eb="7">
      <t>オウカ</t>
    </rPh>
    <phoneticPr fontId="1"/>
  </si>
  <si>
    <t>©ボタン押下</t>
    <rPh sb="4" eb="6">
      <t>オウカ</t>
    </rPh>
    <phoneticPr fontId="1"/>
  </si>
  <si>
    <t>©ボタンを押下する。</t>
    <rPh sb="5" eb="7">
      <t>オウカ</t>
    </rPh>
    <phoneticPr fontId="1"/>
  </si>
  <si>
    <t>クリップボードコピー完了のメッセージが表示されること。</t>
    <rPh sb="10" eb="12">
      <t>カンリョウ</t>
    </rPh>
    <rPh sb="19" eb="21">
      <t>ヒョウジ</t>
    </rPh>
    <phoneticPr fontId="1"/>
  </si>
  <si>
    <t>Excelまたはテキストエディタにペーストする。</t>
    <phoneticPr fontId="1"/>
  </si>
  <si>
    <t>ペーストされた内容がユーザー一覧画面の一覧であること。</t>
    <rPh sb="7" eb="9">
      <t>ナイヨウ</t>
    </rPh>
    <rPh sb="14" eb="16">
      <t>イチラン</t>
    </rPh>
    <rPh sb="16" eb="18">
      <t>ガメン</t>
    </rPh>
    <rPh sb="19" eb="21">
      <t>イチラン</t>
    </rPh>
    <phoneticPr fontId="1"/>
  </si>
  <si>
    <t>任意の行の詳細ボタンを押下する。</t>
    <rPh sb="0" eb="2">
      <t>ニンイ</t>
    </rPh>
    <rPh sb="3" eb="4">
      <t>ギョウ</t>
    </rPh>
    <rPh sb="5" eb="7">
      <t>ショウサイ</t>
    </rPh>
    <rPh sb="11" eb="13">
      <t>オウカ</t>
    </rPh>
    <phoneticPr fontId="1"/>
  </si>
  <si>
    <t>ユーザー詳細画面の内容が現行と相違ないこと。</t>
    <rPh sb="4" eb="6">
      <t>ショウサイ</t>
    </rPh>
    <rPh sb="6" eb="8">
      <t>ガメン</t>
    </rPh>
    <rPh sb="9" eb="11">
      <t>ナイヨウ</t>
    </rPh>
    <rPh sb="12" eb="14">
      <t>ゲンコウ</t>
    </rPh>
    <rPh sb="15" eb="17">
      <t>ソウイ</t>
    </rPh>
    <phoneticPr fontId="1"/>
  </si>
  <si>
    <t>ユーザー詳細画面を閉じる。</t>
    <rPh sb="4" eb="6">
      <t>ショウサイ</t>
    </rPh>
    <rPh sb="6" eb="8">
      <t>ガメン</t>
    </rPh>
    <rPh sb="9" eb="10">
      <t>ト</t>
    </rPh>
    <phoneticPr fontId="1"/>
  </si>
  <si>
    <t>ユーザー一覧画面が別ウィンドウで表示すること。</t>
    <rPh sb="4" eb="6">
      <t>イチラン</t>
    </rPh>
    <rPh sb="6" eb="8">
      <t>ガメン</t>
    </rPh>
    <rPh sb="9" eb="10">
      <t>ベツ</t>
    </rPh>
    <rPh sb="16" eb="18">
      <t>ヒョウジ</t>
    </rPh>
    <phoneticPr fontId="1"/>
  </si>
  <si>
    <t>押下された行のユーザーのユーザー詳細画面が別ウィンドウで表示されること。</t>
    <rPh sb="0" eb="2">
      <t>オウカ</t>
    </rPh>
    <rPh sb="5" eb="6">
      <t>ギョウ</t>
    </rPh>
    <rPh sb="16" eb="18">
      <t>ショウサイ</t>
    </rPh>
    <rPh sb="18" eb="20">
      <t>ガメン</t>
    </rPh>
    <rPh sb="21" eb="22">
      <t>ベツ</t>
    </rPh>
    <rPh sb="28" eb="30">
      <t>ヒョウジ</t>
    </rPh>
    <phoneticPr fontId="1"/>
  </si>
  <si>
    <t>修正ボタン押下</t>
    <rPh sb="0" eb="2">
      <t>シュウセイ</t>
    </rPh>
    <rPh sb="5" eb="7">
      <t>オウカ</t>
    </rPh>
    <phoneticPr fontId="1"/>
  </si>
  <si>
    <t>任意の行の修正ボタンを押下する。</t>
    <rPh sb="0" eb="2">
      <t>ニンイ</t>
    </rPh>
    <rPh sb="3" eb="4">
      <t>ギョウ</t>
    </rPh>
    <rPh sb="5" eb="7">
      <t>シュウセイ</t>
    </rPh>
    <rPh sb="11" eb="13">
      <t>オウカ</t>
    </rPh>
    <phoneticPr fontId="1"/>
  </si>
  <si>
    <t>押下された行のユーザーのユーザー修正画面が別ウィンドウで表示されること。</t>
    <rPh sb="0" eb="2">
      <t>オウカ</t>
    </rPh>
    <rPh sb="5" eb="6">
      <t>ギョウ</t>
    </rPh>
    <rPh sb="16" eb="18">
      <t>シュウセイ</t>
    </rPh>
    <rPh sb="18" eb="20">
      <t>ガメン</t>
    </rPh>
    <rPh sb="21" eb="22">
      <t>ベツ</t>
    </rPh>
    <rPh sb="28" eb="30">
      <t>ヒョウジ</t>
    </rPh>
    <phoneticPr fontId="1"/>
  </si>
  <si>
    <t>ユーザー検索ボタンを押下し、ユーザー検索画面に遷移する。</t>
    <rPh sb="4" eb="6">
      <t>ケンサク</t>
    </rPh>
    <rPh sb="10" eb="12">
      <t>オウカ</t>
    </rPh>
    <rPh sb="18" eb="20">
      <t>ケンサク</t>
    </rPh>
    <rPh sb="20" eb="22">
      <t>ガメン</t>
    </rPh>
    <rPh sb="23" eb="25">
      <t>センイ</t>
    </rPh>
    <phoneticPr fontId="1"/>
  </si>
  <si>
    <t>検索ボタンを押下し、ユーザー一覧画面を表示する。</t>
    <rPh sb="0" eb="2">
      <t>ケンサク</t>
    </rPh>
    <rPh sb="6" eb="8">
      <t>オウカ</t>
    </rPh>
    <rPh sb="14" eb="16">
      <t>イチラン</t>
    </rPh>
    <rPh sb="16" eb="18">
      <t>ガメン</t>
    </rPh>
    <rPh sb="19" eb="21">
      <t>ヒョウジ</t>
    </rPh>
    <phoneticPr fontId="1"/>
  </si>
  <si>
    <t>修正したユーザーの行の</t>
    <rPh sb="0" eb="2">
      <t>シュウセイ</t>
    </rPh>
    <rPh sb="9" eb="10">
      <t>ギョウ</t>
    </rPh>
    <phoneticPr fontId="1"/>
  </si>
  <si>
    <t>登録完了画面が閉じ、ユーザー一覧画面が活性化すること。</t>
    <rPh sb="0" eb="2">
      <t>トウロク</t>
    </rPh>
    <rPh sb="2" eb="4">
      <t>カンリョウ</t>
    </rPh>
    <rPh sb="4" eb="6">
      <t>ガメン</t>
    </rPh>
    <rPh sb="7" eb="8">
      <t>ト</t>
    </rPh>
    <rPh sb="14" eb="16">
      <t>イチラン</t>
    </rPh>
    <rPh sb="16" eb="18">
      <t>ガメン</t>
    </rPh>
    <rPh sb="19" eb="22">
      <t>カッセイカ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</si>
</sst>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52"/>
  <sheetViews>
    <sheetView topLeftCell="A15" workbookViewId="0">
      <selection activeCell="C20" sqref="C2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USER</v>
      </c>
      <c r="D1" s="8"/>
    </row>
    <row r="2" spans="1:10">
      <c r="B2" s="11" t="s">
        <v>9</v>
      </c>
      <c r="C2" s="10">
        <f>COUNTA(D6:D34)</f>
        <v>7</v>
      </c>
    </row>
    <row r="3" spans="1:10">
      <c r="B3" s="11" t="s">
        <v>11</v>
      </c>
      <c r="C3" s="10">
        <f>COUNTA(G6:G34)</f>
        <v>0</v>
      </c>
    </row>
    <row r="4" spans="1:10">
      <c r="B4" s="9"/>
      <c r="C4" s="8"/>
    </row>
    <row r="5" spans="1:10" s="6" customFormat="1">
      <c r="A5" s="7" t="s">
        <v>4</v>
      </c>
      <c r="B5" s="7" t="s">
        <v>6</v>
      </c>
      <c r="C5" s="7" t="s">
        <v>7</v>
      </c>
      <c r="D5" s="7" t="s">
        <v>3</v>
      </c>
      <c r="E5" s="7" t="s">
        <v>2</v>
      </c>
      <c r="F5" s="7" t="s">
        <v>1</v>
      </c>
      <c r="G5" s="7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50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17</v>
      </c>
      <c r="D9" s="5" t="s">
        <v>18</v>
      </c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/>
      <c r="D10" s="5" t="s">
        <v>19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 t="s">
        <v>20</v>
      </c>
      <c r="C11" s="5" t="s">
        <v>21</v>
      </c>
      <c r="D11" s="5" t="s">
        <v>22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5"/>
      <c r="D12" s="5" t="s">
        <v>23</v>
      </c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12" t="s">
        <v>24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17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25</v>
      </c>
      <c r="D15" s="5" t="s">
        <v>22</v>
      </c>
      <c r="E15" s="4"/>
      <c r="F15" s="3"/>
      <c r="G15" s="3"/>
      <c r="H15" s="2"/>
      <c r="I15" s="4"/>
      <c r="J15" s="4"/>
    </row>
    <row r="16" spans="1:10" s="1" customFormat="1" ht="36">
      <c r="A16" s="2">
        <f t="shared" si="0"/>
        <v>11</v>
      </c>
      <c r="B16" s="5"/>
      <c r="C16" s="5"/>
      <c r="D16" s="5" t="s">
        <v>26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/>
      <c r="C17" s="12" t="s">
        <v>24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 t="s">
        <v>17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27</v>
      </c>
      <c r="D19" s="5" t="s">
        <v>28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2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2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2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2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2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2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2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2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2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2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2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2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5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12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5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12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5"/>
      <c r="D50" s="5"/>
      <c r="E50" s="4"/>
      <c r="F50" s="3"/>
      <c r="G50" s="3"/>
      <c r="H50" s="2"/>
      <c r="I50" s="4"/>
      <c r="J50" s="4"/>
    </row>
    <row r="52" spans="1:10">
      <c r="B52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5326-9C4E-47CA-BC7B-C6CAD685AA24}">
  <sheetPr codeName="Sheet3"/>
  <dimension ref="A1:J51"/>
  <sheetViews>
    <sheetView topLeftCell="A9" workbookViewId="0">
      <selection activeCell="C10" sqref="C1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ユーザー情報</v>
      </c>
      <c r="D1" s="8"/>
    </row>
    <row r="2" spans="1:10">
      <c r="B2" s="11" t="s">
        <v>9</v>
      </c>
      <c r="C2" s="10">
        <f>COUNTA(D6:D33)</f>
        <v>10</v>
      </c>
    </row>
    <row r="3" spans="1:10">
      <c r="B3" s="11" t="s">
        <v>11</v>
      </c>
      <c r="C3" s="10">
        <f>COUNTA(G6:G33)</f>
        <v>0</v>
      </c>
    </row>
    <row r="4" spans="1:10">
      <c r="B4" s="9"/>
      <c r="C4" s="8"/>
    </row>
    <row r="5" spans="1:10" s="6" customFormat="1">
      <c r="A5" s="13" t="s">
        <v>4</v>
      </c>
      <c r="B5" s="13" t="s">
        <v>6</v>
      </c>
      <c r="C5" s="13" t="s">
        <v>7</v>
      </c>
      <c r="D5" s="13" t="s">
        <v>3</v>
      </c>
      <c r="E5" s="13" t="s">
        <v>2</v>
      </c>
      <c r="F5" s="13" t="s">
        <v>1</v>
      </c>
      <c r="G5" s="13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9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48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 t="s">
        <v>20</v>
      </c>
      <c r="C10" s="5" t="s">
        <v>21</v>
      </c>
      <c r="D10" s="5" t="s">
        <v>22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23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2"/>
      <c r="D12" s="5" t="s">
        <v>19</v>
      </c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29</v>
      </c>
      <c r="D13" s="5" t="s">
        <v>30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 t="s">
        <v>31</v>
      </c>
      <c r="C14" s="5" t="s">
        <v>32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33</v>
      </c>
      <c r="D15" s="5" t="s">
        <v>34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 t="s">
        <v>35</v>
      </c>
      <c r="C16" s="5" t="s">
        <v>32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36</v>
      </c>
      <c r="D17" s="5" t="s">
        <v>37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19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38</v>
      </c>
      <c r="D19" s="5" t="s">
        <v>39</v>
      </c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/>
      <c r="D20" s="5" t="s">
        <v>23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2"/>
      <c r="D21" s="5" t="s">
        <v>40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2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2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2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2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2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2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2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2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2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2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2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2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2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1" spans="1:10">
      <c r="B51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E41F3-ECB9-4721-A51C-F3CCC088DE94}">
  <sheetPr codeName="Sheet4"/>
  <dimension ref="A1:J48"/>
  <sheetViews>
    <sheetView topLeftCell="A8" workbookViewId="0">
      <selection activeCell="C17" sqref="C17:D1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ユーザー登録</v>
      </c>
      <c r="D1" s="8"/>
    </row>
    <row r="2" spans="1:10">
      <c r="B2" s="11" t="s">
        <v>9</v>
      </c>
      <c r="C2" s="10">
        <f>COUNTA(D6:D30)</f>
        <v>8</v>
      </c>
    </row>
    <row r="3" spans="1:10">
      <c r="B3" s="11" t="s">
        <v>11</v>
      </c>
      <c r="C3" s="10">
        <f>COUNTA(G6:G30)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6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48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 t="s">
        <v>20</v>
      </c>
      <c r="C10" s="5" t="s">
        <v>25</v>
      </c>
      <c r="D10" s="5" t="s">
        <v>22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19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31</v>
      </c>
      <c r="C12" s="5" t="s">
        <v>32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33</v>
      </c>
      <c r="D13" s="5" t="s">
        <v>34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 t="s">
        <v>35</v>
      </c>
      <c r="C14" s="5" t="s">
        <v>32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36</v>
      </c>
      <c r="D15" s="5" t="s">
        <v>37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19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38</v>
      </c>
      <c r="D17" s="5" t="s">
        <v>22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2"/>
      <c r="D18" s="5" t="s">
        <v>40</v>
      </c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14</v>
      </c>
      <c r="B19" s="5" t="s">
        <v>41</v>
      </c>
      <c r="C19" s="12" t="s">
        <v>42</v>
      </c>
      <c r="D19" s="5"/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5" t="s">
        <v>44</v>
      </c>
      <c r="D20" s="5" t="s">
        <v>43</v>
      </c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/>
      <c r="C21" s="12" t="s">
        <v>42</v>
      </c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2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2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2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2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2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2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2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2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2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2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5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2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5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2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5"/>
      <c r="D46" s="5"/>
      <c r="E46" s="4"/>
      <c r="F46" s="3"/>
      <c r="G46" s="3"/>
      <c r="H46" s="2"/>
      <c r="I46" s="4"/>
      <c r="J46" s="4"/>
    </row>
    <row r="48" spans="1:10">
      <c r="B48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00C01-EE55-4B63-B7CF-477A3BE1A7D1}">
  <sheetPr codeName="Sheet5"/>
  <dimension ref="A1:J49"/>
  <sheetViews>
    <sheetView topLeftCell="A6" workbookViewId="0">
      <selection activeCell="C9" sqref="C9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ユーザー検索</v>
      </c>
      <c r="D1" s="8"/>
    </row>
    <row r="2" spans="1:10">
      <c r="B2" s="11" t="s">
        <v>9</v>
      </c>
      <c r="C2" s="10">
        <f>COUNTA(D6:D31)</f>
        <v>5</v>
      </c>
    </row>
    <row r="3" spans="1:10">
      <c r="B3" s="11" t="s">
        <v>11</v>
      </c>
      <c r="C3" s="10">
        <f>COUNTA(G6:G31)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5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7" si="0">ROW()-5</f>
        <v>2</v>
      </c>
      <c r="B7" s="5"/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5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5" t="s">
        <v>48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 t="s">
        <v>20</v>
      </c>
      <c r="C10" s="5" t="s">
        <v>27</v>
      </c>
      <c r="D10" s="5" t="s">
        <v>28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2"/>
      <c r="D11" s="5" t="s">
        <v>19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 t="s">
        <v>31</v>
      </c>
      <c r="C12" s="5" t="s">
        <v>32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5" t="s">
        <v>33</v>
      </c>
      <c r="D13" s="5" t="s">
        <v>34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 t="s">
        <v>45</v>
      </c>
      <c r="C14" s="5" t="s">
        <v>32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46</v>
      </c>
      <c r="D15" s="5" t="s">
        <v>47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/>
      <c r="D16" s="5" t="s">
        <v>19</v>
      </c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2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2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2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2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2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2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2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2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2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2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2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2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2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2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9" spans="2:2">
      <c r="B49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B30DA-C1C6-42BA-80FA-0A8DC7841E95}">
  <sheetPr codeName="Sheet6"/>
  <dimension ref="A1:J47"/>
  <sheetViews>
    <sheetView topLeftCell="A8" workbookViewId="0">
      <selection activeCell="D21" sqref="D2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ユーザー一覧</v>
      </c>
      <c r="D1" s="8"/>
    </row>
    <row r="2" spans="1:10">
      <c r="B2" s="11" t="s">
        <v>9</v>
      </c>
      <c r="C2" s="10">
        <f>COUNTA(D6:D29)</f>
        <v>9</v>
      </c>
    </row>
    <row r="3" spans="1:10">
      <c r="B3" s="11" t="s">
        <v>11</v>
      </c>
      <c r="C3" s="10">
        <f>COUNTA(G6:G29)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16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45" si="0">ROW()-5</f>
        <v>2</v>
      </c>
      <c r="B7" s="5"/>
      <c r="C7" s="16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16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6" t="s">
        <v>48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6" t="s">
        <v>27</v>
      </c>
      <c r="D10" s="5" t="s">
        <v>28</v>
      </c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6"/>
      <c r="D11" s="5" t="s">
        <v>19</v>
      </c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6" t="s">
        <v>32</v>
      </c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6" t="s">
        <v>46</v>
      </c>
      <c r="D13" s="5" t="s">
        <v>58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6"/>
      <c r="D14" s="5" t="s">
        <v>19</v>
      </c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 t="s">
        <v>50</v>
      </c>
      <c r="C15" s="16" t="s">
        <v>51</v>
      </c>
      <c r="D15" s="5" t="s">
        <v>52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16" t="s">
        <v>53</v>
      </c>
      <c r="D16" s="5" t="s">
        <v>54</v>
      </c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12</v>
      </c>
      <c r="B17" s="5" t="s">
        <v>49</v>
      </c>
      <c r="C17" s="16" t="s">
        <v>55</v>
      </c>
      <c r="D17" s="5" t="s">
        <v>59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16"/>
      <c r="D18" s="5" t="s">
        <v>56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16" t="s">
        <v>57</v>
      </c>
      <c r="D19" s="5"/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 t="s">
        <v>60</v>
      </c>
      <c r="C20" s="16" t="s">
        <v>61</v>
      </c>
      <c r="D20" s="5" t="s">
        <v>62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6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6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6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6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6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6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6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6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6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6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6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6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6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6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6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6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6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6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16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6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16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6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16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6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16"/>
      <c r="D45" s="5"/>
      <c r="E45" s="4"/>
      <c r="F45" s="3"/>
      <c r="G45" s="3"/>
      <c r="H45" s="2"/>
      <c r="I45" s="4"/>
      <c r="J45" s="4"/>
    </row>
    <row r="47" spans="1:10">
      <c r="B47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33F31-790D-4D20-A3CC-66901F923C9C}">
  <sheetPr codeName="Sheet7"/>
  <dimension ref="A1:J40"/>
  <sheetViews>
    <sheetView tabSelected="1" workbookViewId="0">
      <selection activeCell="D28" sqref="D2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ユーザー修正</v>
      </c>
      <c r="D1" s="8"/>
    </row>
    <row r="2" spans="1:10">
      <c r="B2" s="11" t="s">
        <v>9</v>
      </c>
      <c r="C2" s="10">
        <f>COUNTA(D6:D22)</f>
        <v>7</v>
      </c>
    </row>
    <row r="3" spans="1:10">
      <c r="B3" s="11" t="s">
        <v>11</v>
      </c>
      <c r="C3" s="10">
        <f>COUNTA(G6:G22)</f>
        <v>0</v>
      </c>
    </row>
    <row r="4" spans="1:10">
      <c r="B4" s="9"/>
      <c r="C4" s="8"/>
    </row>
    <row r="5" spans="1:10" s="6" customFormat="1">
      <c r="A5" s="14" t="s">
        <v>4</v>
      </c>
      <c r="B5" s="14" t="s">
        <v>6</v>
      </c>
      <c r="C5" s="14" t="s">
        <v>7</v>
      </c>
      <c r="D5" s="14" t="s">
        <v>3</v>
      </c>
      <c r="E5" s="14" t="s">
        <v>2</v>
      </c>
      <c r="F5" s="14" t="s">
        <v>1</v>
      </c>
      <c r="G5" s="14" t="s">
        <v>0</v>
      </c>
      <c r="H5" s="15" t="s">
        <v>8</v>
      </c>
      <c r="I5" s="15"/>
      <c r="J5" s="15"/>
    </row>
    <row r="6" spans="1:10" s="1" customFormat="1" ht="36">
      <c r="A6" s="2">
        <f>ROW()-5</f>
        <v>1</v>
      </c>
      <c r="B6" s="5" t="s">
        <v>16</v>
      </c>
      <c r="C6" s="16" t="s">
        <v>13</v>
      </c>
      <c r="D6" s="5"/>
      <c r="E6" s="4"/>
      <c r="F6" s="3"/>
      <c r="G6" s="3"/>
      <c r="H6" s="2"/>
      <c r="I6" s="4"/>
      <c r="J6" s="4"/>
    </row>
    <row r="7" spans="1:10" s="1" customFormat="1">
      <c r="A7" s="2">
        <f t="shared" ref="A7:A38" si="0">ROW()-5</f>
        <v>2</v>
      </c>
      <c r="B7" s="5"/>
      <c r="C7" s="16" t="s">
        <v>12</v>
      </c>
      <c r="D7" s="5"/>
      <c r="E7" s="4"/>
      <c r="F7" s="3"/>
      <c r="G7" s="3"/>
      <c r="H7" s="2"/>
      <c r="I7" s="4"/>
      <c r="J7" s="4"/>
    </row>
    <row r="8" spans="1:10" s="1" customFormat="1" ht="72">
      <c r="A8" s="2">
        <f t="shared" si="0"/>
        <v>3</v>
      </c>
      <c r="B8" s="5"/>
      <c r="C8" s="16" t="s">
        <v>14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4</v>
      </c>
      <c r="B9" s="5"/>
      <c r="C9" s="16" t="s">
        <v>48</v>
      </c>
      <c r="D9" s="5"/>
      <c r="E9" s="4"/>
      <c r="F9" s="3"/>
      <c r="G9" s="3"/>
      <c r="H9" s="2"/>
      <c r="I9" s="4"/>
      <c r="J9" s="4"/>
    </row>
    <row r="10" spans="1:10" s="1" customFormat="1" ht="36">
      <c r="A10" s="2">
        <f t="shared" si="0"/>
        <v>5</v>
      </c>
      <c r="B10" s="5"/>
      <c r="C10" s="16" t="s">
        <v>63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6" t="s">
        <v>32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7</v>
      </c>
      <c r="B12" s="5"/>
      <c r="C12" s="16" t="s">
        <v>64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16" t="s">
        <v>61</v>
      </c>
      <c r="D13" s="5" t="s">
        <v>62</v>
      </c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 t="s">
        <v>31</v>
      </c>
      <c r="C14" s="5" t="s">
        <v>32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33</v>
      </c>
      <c r="D15" s="5" t="s">
        <v>34</v>
      </c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 t="s">
        <v>35</v>
      </c>
      <c r="C16" s="5" t="s">
        <v>32</v>
      </c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12</v>
      </c>
      <c r="B17" s="5"/>
      <c r="C17" s="5" t="s">
        <v>36</v>
      </c>
      <c r="D17" s="5" t="s">
        <v>37</v>
      </c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/>
      <c r="D18" s="5" t="s">
        <v>19</v>
      </c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38</v>
      </c>
      <c r="D19" s="5" t="s">
        <v>66</v>
      </c>
      <c r="E19" s="4"/>
      <c r="F19" s="3"/>
      <c r="G19" s="3"/>
      <c r="H19" s="2"/>
      <c r="I19" s="4"/>
      <c r="J19" s="4"/>
    </row>
    <row r="20" spans="1:10" s="1" customFormat="1" ht="36">
      <c r="A20" s="2">
        <f t="shared" si="0"/>
        <v>15</v>
      </c>
      <c r="B20" s="5"/>
      <c r="C20" s="12" t="s">
        <v>65</v>
      </c>
      <c r="D20" s="5" t="s">
        <v>62</v>
      </c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6"/>
      <c r="D21" s="5" t="s">
        <v>40</v>
      </c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16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6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6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6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6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6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6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6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6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6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6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6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6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16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6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16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6"/>
      <c r="D38" s="5"/>
      <c r="E38" s="4"/>
      <c r="F38" s="3"/>
      <c r="G38" s="3"/>
      <c r="H38" s="2"/>
      <c r="I38" s="4"/>
      <c r="J38" s="4"/>
    </row>
    <row r="40" spans="1:10">
      <c r="B40" t="s">
        <v>10</v>
      </c>
    </row>
  </sheetData>
  <mergeCells count="1">
    <mergeCell ref="H5:J5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表紙</vt:lpstr>
      <vt:lpstr>USER</vt:lpstr>
      <vt:lpstr>ユーザー情報</vt:lpstr>
      <vt:lpstr>ユーザー登録</vt:lpstr>
      <vt:lpstr>ユーザー検索</vt:lpstr>
      <vt:lpstr>ユーザー一覧</vt:lpstr>
      <vt:lpstr>ユーザー修正</vt:lpstr>
      <vt:lpstr>USER!comp_count</vt:lpstr>
      <vt:lpstr>ユーザー一覧!comp_count</vt:lpstr>
      <vt:lpstr>ユーザー検索!comp_count</vt:lpstr>
      <vt:lpstr>ユーザー修正!comp_count</vt:lpstr>
      <vt:lpstr>ユーザー情報!comp_count</vt:lpstr>
      <vt:lpstr>ユーザー登録!comp_count</vt:lpstr>
      <vt:lpstr>USER!item_count</vt:lpstr>
      <vt:lpstr>ユーザー一覧!item_count</vt:lpstr>
      <vt:lpstr>ユーザー検索!item_count</vt:lpstr>
      <vt:lpstr>ユーザー修正!item_count</vt:lpstr>
      <vt:lpstr>ユーザー情報!item_count</vt:lpstr>
      <vt:lpstr>ユーザー登録!item_count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2019-09-07T06:17:59Z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