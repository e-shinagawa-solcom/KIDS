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204\開発\クワガタ\03_H30 KID'Sシステムリニューアル\05_結合試験\その他機能\"/>
    </mc:Choice>
  </mc:AlternateContent>
  <xr:revisionPtr revIDLastSave="0" documentId="13_ncr:1_{05968564-D63C-4AF9-91BB-7B4A7E2EF599}" xr6:coauthVersionLast="40" xr6:coauthVersionMax="40" xr10:uidLastSave="{00000000-0000-0000-0000-000000000000}"/>
  <bookViews>
    <workbookView xWindow="0" yWindow="0" windowWidth="17256" windowHeight="5280" activeTab="1" xr2:uid="{7855FBD0-5EC9-4DBA-9A4B-0C57305BA533}"/>
  </bookViews>
  <sheets>
    <sheet name="表紙" sheetId="2" r:id="rId1"/>
    <sheet name="DATA" sheetId="1" r:id="rId2"/>
  </sheets>
  <definedNames>
    <definedName name="comp_count" localSheetId="1">DATA!$C$3</definedName>
    <definedName name="item_count" localSheetId="1">DATA!$C$2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1" l="1"/>
  <c r="A15" i="1"/>
  <c r="A25" i="1"/>
  <c r="A52" i="1" l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10" i="1"/>
  <c r="A38" i="1"/>
  <c r="A37" i="1"/>
  <c r="A28" i="1"/>
  <c r="A27" i="1"/>
  <c r="A26" i="1"/>
  <c r="A24" i="1"/>
  <c r="A23" i="1"/>
  <c r="A22" i="1"/>
  <c r="A21" i="1"/>
  <c r="A19" i="1"/>
  <c r="A32" i="1"/>
  <c r="A31" i="1"/>
  <c r="A30" i="1"/>
  <c r="A29" i="1"/>
  <c r="A34" i="1"/>
  <c r="A33" i="1"/>
  <c r="A36" i="1" l="1"/>
  <c r="A35" i="1"/>
  <c r="A18" i="1"/>
  <c r="A17" i="1"/>
  <c r="A16" i="1"/>
  <c r="A14" i="1"/>
  <c r="A13" i="1"/>
  <c r="A12" i="1"/>
  <c r="A11" i="1"/>
  <c r="A9" i="1"/>
  <c r="A8" i="1"/>
  <c r="A7" i="1"/>
  <c r="A6" i="1"/>
  <c r="C3" i="1"/>
  <c r="C1" i="1"/>
  <c r="C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73729EBE-8117-4DFA-AA14-DAF438897DC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33EF7931-833E-4054-852C-0490A3DD936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<sst xmlns="http://schemas.openxmlformats.org/spreadsheetml/2006/main" count="48" uniqueCount="38">
  <si>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</si>
  <si>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</si>
  <si>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</si>
  <si>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</si>
  <si>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</si>
  <si>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</si>
  <si>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</si>
  <si>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</si>
  <si>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</si>
  <si>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</si>
  <si>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</si>
  <si>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完了数</t>
    <rPh sb="0" eb="2">
      <t>カンリョウ</t>
    </rPh>
    <rPh sb="2" eb="3">
      <t>スウ</t>
    </rPh>
    <phoneticPr fontId="1"/>
  </si>
  <si>
    <t>enterボタンを押下する。</t>
    <rPh sb="9" eb="11">
      <t>オウカ</t>
    </rPh>
    <phoneticPr fontId="1"/>
  </si>
  <si>
    <t>以下のURLをブラウザで開く。
http://192.168.1.113</t>
    <rPh sb="0" eb="2">
      <t>イカ</t>
    </rPh>
    <rPh sb="12" eb="13">
      <t>ヒラ</t>
    </rPh>
    <phoneticPr fontId="1"/>
  </si>
  <si>
    <t>ログイン画面にて、以下の値を入力し、LOGINボタンを押下する。
ID：169
PASSWORD：gao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phoneticPr fontId="1"/>
  </si>
  <si>
    <t>試験項目数</t>
    <rPh sb="0" eb="2">
      <t>シケン</t>
    </rPh>
    <rPh sb="2" eb="4">
      <t>コウモク</t>
    </rPh>
    <rPh sb="4" eb="5">
      <t>スウ</t>
    </rPh>
    <phoneticPr fontId="1"/>
  </si>
  <si>
    <t>初期表示</t>
    <rPh sb="0" eb="2">
      <t>ショキ</t>
    </rPh>
    <rPh sb="2" eb="4">
      <t>ヒョウジ</t>
    </rPh>
    <phoneticPr fontId="1"/>
  </si>
  <si>
    <t>DATAボタンを押下する。</t>
    <rPh sb="8" eb="10">
      <t>オウカ</t>
    </rPh>
    <phoneticPr fontId="1"/>
  </si>
  <si>
    <t>締め処理画面に遷移すること。</t>
    <rPh sb="0" eb="1">
      <t>シ</t>
    </rPh>
    <rPh sb="2" eb="4">
      <t>ショリ</t>
    </rPh>
    <rPh sb="4" eb="6">
      <t>ガメン</t>
    </rPh>
    <rPh sb="7" eb="9">
      <t>センイ</t>
    </rPh>
    <phoneticPr fontId="1"/>
  </si>
  <si>
    <t>現行画面との差が、対象が「売上」、「仕入」である点以外にないこと。</t>
    <rPh sb="0" eb="2">
      <t>ゲンコウ</t>
    </rPh>
    <rPh sb="2" eb="4">
      <t>ガメン</t>
    </rPh>
    <rPh sb="6" eb="7">
      <t>サ</t>
    </rPh>
    <rPh sb="9" eb="11">
      <t>タイショウ</t>
    </rPh>
    <rPh sb="13" eb="15">
      <t>ウリアゲ</t>
    </rPh>
    <rPh sb="18" eb="20">
      <t>シイレ</t>
    </rPh>
    <rPh sb="24" eb="25">
      <t>テン</t>
    </rPh>
    <rPh sb="25" eb="27">
      <t>イガイ</t>
    </rPh>
    <phoneticPr fontId="1"/>
  </si>
  <si>
    <t>締め処理（仕入）</t>
    <rPh sb="0" eb="1">
      <t>シ</t>
    </rPh>
    <rPh sb="2" eb="4">
      <t>ショリ</t>
    </rPh>
    <rPh sb="5" eb="7">
      <t>シイレ</t>
    </rPh>
    <phoneticPr fontId="1"/>
  </si>
  <si>
    <t>計上日のFROM/TOに任意の年月を指定する。
入力形式：YYYY/MM</t>
    <rPh sb="0" eb="2">
      <t>ケイジョウ</t>
    </rPh>
    <rPh sb="2" eb="3">
      <t>ビ</t>
    </rPh>
    <rPh sb="12" eb="14">
      <t>ニンイ</t>
    </rPh>
    <rPh sb="15" eb="17">
      <t>ネンゲツ</t>
    </rPh>
    <rPh sb="18" eb="20">
      <t>シテイ</t>
    </rPh>
    <rPh sb="24" eb="26">
      <t>ニュウリョク</t>
    </rPh>
    <rPh sb="26" eb="28">
      <t>ケイシキ</t>
    </rPh>
    <phoneticPr fontId="1"/>
  </si>
  <si>
    <t>対象の「仕入」のチェックボックスをONにする。</t>
    <rPh sb="0" eb="2">
      <t>タイショウ</t>
    </rPh>
    <rPh sb="4" eb="6">
      <t>シイレ</t>
    </rPh>
    <phoneticPr fontId="1"/>
  </si>
  <si>
    <t>「処理」ボタンを押下する。</t>
    <rPh sb="1" eb="3">
      <t>ショリ</t>
    </rPh>
    <rPh sb="8" eb="10">
      <t>オウカ</t>
    </rPh>
    <phoneticPr fontId="1"/>
  </si>
  <si>
    <t>現行と同じ結果となること。</t>
    <rPh sb="0" eb="2">
      <t>ゲンコウ</t>
    </rPh>
    <rPh sb="3" eb="4">
      <t>オナ</t>
    </rPh>
    <rPh sb="5" eb="7">
      <t>ケッカ</t>
    </rPh>
    <phoneticPr fontId="1"/>
  </si>
  <si>
    <t>仕入マスタを検索し、結果に表示された仕入NOに該当する仕入マスタの仕入ステータスが「締め済」となっていること。</t>
    <rPh sb="0" eb="2">
      <t>シイレ</t>
    </rPh>
    <rPh sb="6" eb="8">
      <t>ケンサク</t>
    </rPh>
    <rPh sb="10" eb="12">
      <t>ケッカ</t>
    </rPh>
    <rPh sb="13" eb="15">
      <t>ヒョウジ</t>
    </rPh>
    <rPh sb="18" eb="20">
      <t>シイレ</t>
    </rPh>
    <rPh sb="23" eb="25">
      <t>ガイトウ</t>
    </rPh>
    <rPh sb="27" eb="29">
      <t>シイレ</t>
    </rPh>
    <rPh sb="33" eb="35">
      <t>シイレ</t>
    </rPh>
    <rPh sb="42" eb="43">
      <t>シ</t>
    </rPh>
    <rPh sb="44" eb="45">
      <t>ズミ</t>
    </rPh>
    <phoneticPr fontId="1"/>
  </si>
  <si>
    <t>戻し処理（仕入）</t>
    <rPh sb="0" eb="1">
      <t>モド</t>
    </rPh>
    <rPh sb="2" eb="4">
      <t>ショリ</t>
    </rPh>
    <rPh sb="5" eb="7">
      <t>シイレ</t>
    </rPh>
    <phoneticPr fontId="1"/>
  </si>
  <si>
    <t>「戻し」ボタンを押下する。</t>
    <rPh sb="1" eb="2">
      <t>モド</t>
    </rPh>
    <rPh sb="8" eb="10">
      <t>オウカ</t>
    </rPh>
    <phoneticPr fontId="1"/>
  </si>
  <si>
    <t>仕入マスタを検索し、結果に表示された仕入NOに該当する仕入マスタの仕入ステータスが「納品済」となっていること。</t>
    <rPh sb="0" eb="2">
      <t>シイレ</t>
    </rPh>
    <rPh sb="6" eb="8">
      <t>ケンサク</t>
    </rPh>
    <rPh sb="10" eb="12">
      <t>ケッカ</t>
    </rPh>
    <rPh sb="13" eb="15">
      <t>ヒョウジ</t>
    </rPh>
    <rPh sb="18" eb="20">
      <t>シイレ</t>
    </rPh>
    <rPh sb="23" eb="25">
      <t>ガイトウ</t>
    </rPh>
    <rPh sb="27" eb="29">
      <t>シイレ</t>
    </rPh>
    <rPh sb="33" eb="35">
      <t>シイレ</t>
    </rPh>
    <rPh sb="42" eb="44">
      <t>ノウヒン</t>
    </rPh>
    <rPh sb="44" eb="45">
      <t>ズミ</t>
    </rPh>
    <phoneticPr fontId="1"/>
  </si>
  <si>
    <t>締め処理（売上）</t>
    <rPh sb="0" eb="1">
      <t>シ</t>
    </rPh>
    <rPh sb="2" eb="4">
      <t>ショリ</t>
    </rPh>
    <phoneticPr fontId="1"/>
  </si>
  <si>
    <t>対象の「売上」のチェックボックスをONにする。</t>
    <rPh sb="0" eb="2">
      <t>タイショウ</t>
    </rPh>
    <phoneticPr fontId="1"/>
  </si>
  <si>
    <t>売上マスタを検索し、結果に表示された売上NOに該当する売上マスタの売上ステータスが「締め済」となっていること。</t>
    <rPh sb="6" eb="8">
      <t>ケンサク</t>
    </rPh>
    <rPh sb="10" eb="12">
      <t>ケッカ</t>
    </rPh>
    <rPh sb="13" eb="15">
      <t>ヒョウジ</t>
    </rPh>
    <rPh sb="23" eb="25">
      <t>ガイトウ</t>
    </rPh>
    <rPh sb="42" eb="43">
      <t>シ</t>
    </rPh>
    <rPh sb="44" eb="45">
      <t>ズミ</t>
    </rPh>
    <phoneticPr fontId="1"/>
  </si>
  <si>
    <t>戻し処理（売上）</t>
    <rPh sb="0" eb="1">
      <t>モド</t>
    </rPh>
    <rPh sb="2" eb="4">
      <t>ショリ</t>
    </rPh>
    <phoneticPr fontId="1"/>
  </si>
  <si>
    <t>売上マスタを検索し、結果に表示された売上NOに該当する売上マスタの売上ステータスが「納品済」となっていること。</t>
    <rPh sb="6" eb="8">
      <t>ケンサク</t>
    </rPh>
    <rPh sb="10" eb="12">
      <t>ケッカ</t>
    </rPh>
    <rPh sb="13" eb="15">
      <t>ヒョウジ</t>
    </rPh>
    <rPh sb="23" eb="25">
      <t>ガイトウ</t>
    </rPh>
    <rPh sb="42" eb="44">
      <t>ノウヒン</t>
    </rPh>
    <rPh sb="44" eb="45">
      <t>ズミ</t>
    </rPh>
    <phoneticPr fontId="1"/>
  </si>
  <si>
    <t>受注マスタを検索し、結果に表示された売上NOの売上明細に紐づく受注マスタの受注ステータスが「締め済」となっていること。</t>
    <rPh sb="0" eb="2">
      <t>ジュチュウ</t>
    </rPh>
    <rPh sb="6" eb="8">
      <t>ケンサク</t>
    </rPh>
    <rPh sb="10" eb="12">
      <t>ケッカ</t>
    </rPh>
    <rPh sb="13" eb="15">
      <t>ヒョウジ</t>
    </rPh>
    <rPh sb="23" eb="25">
      <t>ウリアゲ</t>
    </rPh>
    <rPh sb="25" eb="27">
      <t>メイサイ</t>
    </rPh>
    <rPh sb="28" eb="29">
      <t>ヒモ</t>
    </rPh>
    <rPh sb="31" eb="33">
      <t>ジュチュウ</t>
    </rPh>
    <rPh sb="37" eb="39">
      <t>ジュチュウ</t>
    </rPh>
    <rPh sb="46" eb="47">
      <t>シ</t>
    </rPh>
    <rPh sb="48" eb="49">
      <t>ズミ</t>
    </rPh>
    <phoneticPr fontId="1"/>
  </si>
  <si>
    <t>受注マスタを検索し、結果に表示された売上NOの売上明細に紐づく受注マスタの受注ステータスが「納品済」となっていること。</t>
    <rPh sb="0" eb="2">
      <t>ジュチュウ</t>
    </rPh>
    <rPh sb="6" eb="8">
      <t>ケンサク</t>
    </rPh>
    <rPh sb="10" eb="12">
      <t>ケッカ</t>
    </rPh>
    <rPh sb="13" eb="15">
      <t>ヒョウジ</t>
    </rPh>
    <rPh sb="23" eb="25">
      <t>ウリアゲ</t>
    </rPh>
    <rPh sb="25" eb="27">
      <t>メイサイ</t>
    </rPh>
    <rPh sb="28" eb="29">
      <t>ヒモ</t>
    </rPh>
    <rPh sb="31" eb="33">
      <t>ジュチュウ</t>
    </rPh>
    <rPh sb="37" eb="39">
      <t>ジュチュウ</t>
    </rPh>
    <rPh sb="46" eb="48">
      <t>ノウヒン</t>
    </rPh>
    <rPh sb="48" eb="49">
      <t>ズミ</t>
    </rPh>
    <phoneticPr fontId="1"/>
  </si>
  <si>
    <t>発注マスタを検索し、結果に表示された仕入NOの仕入明細に紐づく発注マスタの発注ステータスが「締め済」となっていること。</t>
    <rPh sb="0" eb="2">
      <t>ハッチュウ</t>
    </rPh>
    <rPh sb="6" eb="8">
      <t>ケンサク</t>
    </rPh>
    <rPh sb="10" eb="12">
      <t>ケッカ</t>
    </rPh>
    <rPh sb="13" eb="15">
      <t>ヒョウジ</t>
    </rPh>
    <rPh sb="18" eb="20">
      <t>シイレ</t>
    </rPh>
    <rPh sb="23" eb="25">
      <t>シイレ</t>
    </rPh>
    <rPh sb="25" eb="27">
      <t>メイサイ</t>
    </rPh>
    <rPh sb="28" eb="29">
      <t>ヒモ</t>
    </rPh>
    <rPh sb="31" eb="33">
      <t>ハッチュウ</t>
    </rPh>
    <rPh sb="37" eb="39">
      <t>ハッチュウ</t>
    </rPh>
    <rPh sb="46" eb="47">
      <t>シ</t>
    </rPh>
    <rPh sb="48" eb="49">
      <t>ズミ</t>
    </rPh>
    <phoneticPr fontId="1"/>
  </si>
  <si>
    <t>発注マスタを検索し、結果に表示された仕入NOの仕入明細に紐づく発注マスタの発注ステータスが「納品済」となっていること。</t>
    <rPh sb="0" eb="2">
      <t>ハッチュウ</t>
    </rPh>
    <rPh sb="6" eb="8">
      <t>ケンサク</t>
    </rPh>
    <rPh sb="10" eb="12">
      <t>ケッカ</t>
    </rPh>
    <rPh sb="13" eb="15">
      <t>ヒョウジ</t>
    </rPh>
    <rPh sb="18" eb="20">
      <t>シイレ</t>
    </rPh>
    <rPh sb="23" eb="25">
      <t>シイレ</t>
    </rPh>
    <rPh sb="25" eb="27">
      <t>メイサイ</t>
    </rPh>
    <rPh sb="28" eb="29">
      <t>ヒモ</t>
    </rPh>
    <rPh sb="31" eb="33">
      <t>ハッチュウ</t>
    </rPh>
    <rPh sb="37" eb="39">
      <t>ハッチュウ</t>
    </rPh>
    <rPh sb="46" eb="48">
      <t>ノウヒン</t>
    </rPh>
    <rPh sb="48" eb="49">
      <t>ズミ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</si>
</sst>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@&quot;ボタンを押下する&quot;"/>
  </numFmts>
  <fonts count="4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176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BF9D62-89C8-469C-A940-E057A5FB6B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205740</xdr:rowOff>
        </xdr:from>
        <xdr:to>
          <xdr:col>3</xdr:col>
          <xdr:colOff>426720</xdr:colOff>
          <xdr:row>2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A5232-92A1-41AA-BC54-8A3CF0EA1069}">
  <sheetPr codeName="Sheet1"/>
  <dimension ref="A1:B1"/>
  <sheetViews>
    <sheetView workbookViewId="0">
      <selection activeCell="F6" sqref="F6"/>
    </sheetView>
  </sheetViews>
  <sheetFormatPr defaultRowHeight="18"/>
  <cols>
    <col min="1" max="1" width="10.3984375" bestFit="1" customWidth="1"/>
  </cols>
  <sheetData>
    <row r="1" spans="1:2">
      <c r="A1" t="s">
        <v>15</v>
      </c>
      <c r="B1">
        <v>32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ボタン1_Click">
                <anchor moveWithCells="1" sizeWithCells="1">
                  <from>
                    <xdr:col>2</xdr:col>
                    <xdr:colOff>266700</xdr:colOff>
                    <xdr:row>0</xdr:row>
                    <xdr:rowOff>205740</xdr:rowOff>
                  </from>
                  <to>
                    <xdr:col>3</xdr:col>
                    <xdr:colOff>426720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33BB-ED83-4FB3-ADFC-AEB779F1FE08}">
  <sheetPr codeName="Sheet2"/>
  <dimension ref="A1:J54"/>
  <sheetViews>
    <sheetView tabSelected="1" topLeftCell="A14" workbookViewId="0">
      <selection activeCell="D17" sqref="D17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DATA</v>
      </c>
      <c r="D1" s="8"/>
    </row>
    <row r="2" spans="1:10">
      <c r="B2" s="11" t="s">
        <v>9</v>
      </c>
      <c r="C2" s="10">
        <f>COUNTA(D6:D36)</f>
        <v>14</v>
      </c>
    </row>
    <row r="3" spans="1:10">
      <c r="B3" s="11" t="s">
        <v>11</v>
      </c>
      <c r="C3" s="10">
        <f>COUNTA(G6:G36)</f>
        <v>0</v>
      </c>
    </row>
    <row r="4" spans="1:10">
      <c r="B4" s="9"/>
      <c r="C4" s="8"/>
    </row>
    <row r="5" spans="1:10" s="6" customFormat="1">
      <c r="A5" s="7" t="s">
        <v>4</v>
      </c>
      <c r="B5" s="7" t="s">
        <v>6</v>
      </c>
      <c r="C5" s="7" t="s">
        <v>7</v>
      </c>
      <c r="D5" s="7" t="s">
        <v>3</v>
      </c>
      <c r="E5" s="7" t="s">
        <v>2</v>
      </c>
      <c r="F5" s="7" t="s">
        <v>1</v>
      </c>
      <c r="G5" s="7" t="s">
        <v>0</v>
      </c>
      <c r="H5" s="13" t="s">
        <v>8</v>
      </c>
      <c r="I5" s="13"/>
      <c r="J5" s="13"/>
    </row>
    <row r="6" spans="1:10" s="1" customFormat="1" ht="36">
      <c r="A6" s="2">
        <f>ROW()-5</f>
        <v>1</v>
      </c>
      <c r="B6" s="5" t="s">
        <v>16</v>
      </c>
      <c r="C6" s="5" t="s">
        <v>13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52" si="0">ROW()-5</f>
        <v>2</v>
      </c>
      <c r="B7" s="5"/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14</v>
      </c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4</v>
      </c>
      <c r="B9" s="5"/>
      <c r="C9" s="5" t="s">
        <v>17</v>
      </c>
      <c r="D9" s="5" t="s">
        <v>18</v>
      </c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5</v>
      </c>
      <c r="B10" s="5"/>
      <c r="C10" s="5"/>
      <c r="D10" s="5" t="s">
        <v>19</v>
      </c>
      <c r="E10" s="4"/>
      <c r="F10" s="3"/>
      <c r="G10" s="3"/>
      <c r="H10" s="2"/>
      <c r="I10" s="4"/>
      <c r="J10" s="4"/>
    </row>
    <row r="11" spans="1:10" s="1" customFormat="1" ht="36">
      <c r="A11" s="2">
        <f t="shared" si="0"/>
        <v>6</v>
      </c>
      <c r="B11" s="5" t="s">
        <v>20</v>
      </c>
      <c r="C11" s="5" t="s">
        <v>21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7</v>
      </c>
      <c r="B12" s="5"/>
      <c r="C12" s="5" t="s">
        <v>22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 t="s">
        <v>23</v>
      </c>
      <c r="D13" s="5" t="s">
        <v>24</v>
      </c>
      <c r="E13" s="4"/>
      <c r="F13" s="3"/>
      <c r="G13" s="3"/>
      <c r="H13" s="2"/>
      <c r="I13" s="4"/>
      <c r="J13" s="4"/>
    </row>
    <row r="14" spans="1:10" s="1" customFormat="1" ht="36">
      <c r="A14" s="2">
        <f t="shared" si="0"/>
        <v>9</v>
      </c>
      <c r="B14" s="5"/>
      <c r="C14" s="12"/>
      <c r="D14" s="5" t="s">
        <v>25</v>
      </c>
      <c r="E14" s="4"/>
      <c r="F14" s="3"/>
      <c r="G14" s="3"/>
      <c r="H14" s="2"/>
      <c r="I14" s="4"/>
      <c r="J14" s="4"/>
    </row>
    <row r="15" spans="1:10" s="1" customFormat="1" ht="54">
      <c r="A15" s="2">
        <f t="shared" si="0"/>
        <v>10</v>
      </c>
      <c r="B15" s="5"/>
      <c r="C15" s="12"/>
      <c r="D15" s="5" t="s">
        <v>36</v>
      </c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11</v>
      </c>
      <c r="B16" s="5" t="s">
        <v>26</v>
      </c>
      <c r="C16" s="5" t="s">
        <v>21</v>
      </c>
      <c r="D16" s="5"/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12</v>
      </c>
      <c r="B17" s="5"/>
      <c r="C17" s="5" t="s">
        <v>22</v>
      </c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5" t="s">
        <v>27</v>
      </c>
      <c r="D18" s="5" t="s">
        <v>24</v>
      </c>
      <c r="E18" s="4"/>
      <c r="F18" s="3"/>
      <c r="G18" s="3"/>
      <c r="H18" s="2"/>
      <c r="I18" s="4"/>
      <c r="J18" s="4"/>
    </row>
    <row r="19" spans="1:10" s="1" customFormat="1" ht="36">
      <c r="A19" s="2">
        <f t="shared" si="0"/>
        <v>14</v>
      </c>
      <c r="B19" s="5"/>
      <c r="C19" s="12"/>
      <c r="D19" s="5" t="s">
        <v>28</v>
      </c>
      <c r="E19" s="4"/>
      <c r="F19" s="3"/>
      <c r="G19" s="3"/>
      <c r="H19" s="2"/>
      <c r="I19" s="4"/>
      <c r="J19" s="4"/>
    </row>
    <row r="20" spans="1:10" s="1" customFormat="1" ht="54">
      <c r="A20" s="2">
        <f t="shared" si="0"/>
        <v>15</v>
      </c>
      <c r="B20" s="5"/>
      <c r="C20" s="12"/>
      <c r="D20" s="5" t="s">
        <v>37</v>
      </c>
      <c r="E20" s="4"/>
      <c r="F20" s="3"/>
      <c r="G20" s="3"/>
      <c r="H20" s="2"/>
      <c r="I20" s="4"/>
      <c r="J20" s="4"/>
    </row>
    <row r="21" spans="1:10" s="1" customFormat="1" ht="36">
      <c r="A21" s="2">
        <f t="shared" si="0"/>
        <v>16</v>
      </c>
      <c r="B21" s="5" t="s">
        <v>29</v>
      </c>
      <c r="C21" s="5" t="s">
        <v>21</v>
      </c>
      <c r="D21" s="5"/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17</v>
      </c>
      <c r="B22" s="5"/>
      <c r="C22" s="5" t="s">
        <v>30</v>
      </c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5" t="s">
        <v>23</v>
      </c>
      <c r="D23" s="5" t="s">
        <v>24</v>
      </c>
      <c r="E23" s="4"/>
      <c r="F23" s="3"/>
      <c r="G23" s="3"/>
      <c r="H23" s="2"/>
      <c r="I23" s="4"/>
      <c r="J23" s="4"/>
    </row>
    <row r="24" spans="1:10" s="1" customFormat="1" ht="36">
      <c r="A24" s="2">
        <f t="shared" si="0"/>
        <v>19</v>
      </c>
      <c r="B24" s="5"/>
      <c r="C24" s="12"/>
      <c r="D24" s="5" t="s">
        <v>31</v>
      </c>
      <c r="E24" s="4"/>
      <c r="F24" s="3"/>
      <c r="G24" s="3"/>
      <c r="H24" s="2"/>
      <c r="I24" s="4"/>
      <c r="J24" s="4"/>
    </row>
    <row r="25" spans="1:10" s="1" customFormat="1" ht="54">
      <c r="A25" s="2">
        <f t="shared" si="0"/>
        <v>20</v>
      </c>
      <c r="B25" s="5"/>
      <c r="C25" s="12"/>
      <c r="D25" s="5" t="s">
        <v>34</v>
      </c>
      <c r="E25" s="4"/>
      <c r="F25" s="3"/>
      <c r="G25" s="3"/>
      <c r="H25" s="2"/>
      <c r="I25" s="4"/>
      <c r="J25" s="4"/>
    </row>
    <row r="26" spans="1:10" s="1" customFormat="1" ht="36">
      <c r="A26" s="2">
        <f t="shared" si="0"/>
        <v>21</v>
      </c>
      <c r="B26" s="5" t="s">
        <v>32</v>
      </c>
      <c r="C26" s="5" t="s">
        <v>21</v>
      </c>
      <c r="D26" s="5"/>
      <c r="E26" s="4"/>
      <c r="F26" s="3"/>
      <c r="G26" s="3"/>
      <c r="H26" s="2"/>
      <c r="I26" s="4"/>
      <c r="J26" s="4"/>
    </row>
    <row r="27" spans="1:10" s="1" customFormat="1" ht="36">
      <c r="A27" s="2">
        <f t="shared" si="0"/>
        <v>22</v>
      </c>
      <c r="B27" s="5"/>
      <c r="C27" s="5" t="s">
        <v>30</v>
      </c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5" t="s">
        <v>27</v>
      </c>
      <c r="D28" s="5" t="s">
        <v>24</v>
      </c>
      <c r="E28" s="4"/>
      <c r="F28" s="3"/>
      <c r="G28" s="3"/>
      <c r="H28" s="2"/>
      <c r="I28" s="4"/>
      <c r="J28" s="4"/>
    </row>
    <row r="29" spans="1:10" s="1" customFormat="1" ht="36">
      <c r="A29" s="2">
        <f t="shared" si="0"/>
        <v>24</v>
      </c>
      <c r="B29" s="5"/>
      <c r="C29" s="12"/>
      <c r="D29" s="5" t="s">
        <v>33</v>
      </c>
      <c r="E29" s="4"/>
      <c r="F29" s="3"/>
      <c r="G29" s="3"/>
      <c r="H29" s="2"/>
      <c r="I29" s="4"/>
      <c r="J29" s="4"/>
    </row>
    <row r="30" spans="1:10" s="1" customFormat="1" ht="54">
      <c r="A30" s="2">
        <f t="shared" si="0"/>
        <v>25</v>
      </c>
      <c r="B30" s="5"/>
      <c r="C30" s="5"/>
      <c r="D30" s="5" t="s">
        <v>35</v>
      </c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2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2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2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2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12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5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12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5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12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5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12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5"/>
      <c r="D46" s="5"/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12"/>
      <c r="D47" s="5"/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5"/>
      <c r="D48" s="5"/>
      <c r="E48" s="4"/>
      <c r="F48" s="3"/>
      <c r="G48" s="3"/>
      <c r="H48" s="2"/>
      <c r="I48" s="4"/>
      <c r="J48" s="4"/>
    </row>
    <row r="49" spans="1:10" s="1" customFormat="1">
      <c r="A49" s="2">
        <f t="shared" si="0"/>
        <v>44</v>
      </c>
      <c r="B49" s="5"/>
      <c r="C49" s="12"/>
      <c r="D49" s="5"/>
      <c r="E49" s="4"/>
      <c r="F49" s="3"/>
      <c r="G49" s="3"/>
      <c r="H49" s="2"/>
      <c r="I49" s="4"/>
      <c r="J49" s="4"/>
    </row>
    <row r="50" spans="1:10" s="1" customFormat="1">
      <c r="A50" s="2">
        <f t="shared" si="0"/>
        <v>45</v>
      </c>
      <c r="B50" s="5"/>
      <c r="C50" s="5"/>
      <c r="D50" s="5"/>
      <c r="E50" s="4"/>
      <c r="F50" s="3"/>
      <c r="G50" s="3"/>
      <c r="H50" s="2"/>
      <c r="I50" s="4"/>
      <c r="J50" s="4"/>
    </row>
    <row r="51" spans="1:10" s="1" customFormat="1">
      <c r="A51" s="2">
        <f t="shared" si="0"/>
        <v>46</v>
      </c>
      <c r="B51" s="5"/>
      <c r="C51" s="12"/>
      <c r="D51" s="5"/>
      <c r="E51" s="4"/>
      <c r="F51" s="3"/>
      <c r="G51" s="3"/>
      <c r="H51" s="2"/>
      <c r="I51" s="4"/>
      <c r="J51" s="4"/>
    </row>
    <row r="52" spans="1:10" s="1" customFormat="1">
      <c r="A52" s="2">
        <f t="shared" si="0"/>
        <v>47</v>
      </c>
      <c r="B52" s="5"/>
      <c r="C52" s="5"/>
      <c r="D52" s="5"/>
      <c r="E52" s="4"/>
      <c r="F52" s="3"/>
      <c r="G52" s="3"/>
      <c r="H52" s="2"/>
      <c r="I52" s="4"/>
      <c r="J52" s="4"/>
    </row>
    <row r="54" spans="1:10">
      <c r="B54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表紙</vt:lpstr>
      <vt:lpstr>DATA</vt:lpstr>
      <vt:lpstr>DATA!comp_count</vt:lpstr>
      <vt:lpstr>DATA!item_count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dcterms:created xsi:type="dcterms:W3CDTF">2019-02-28T04:25:02Z</dcterms:created>
  <dcterms:modified xsi:type="dcterms:W3CDTF">2019-09-06T05:26:39Z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