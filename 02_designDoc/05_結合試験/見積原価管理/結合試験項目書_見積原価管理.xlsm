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見積原価管理\"/>
    </mc:Choice>
  </mc:AlternateContent>
  <xr:revisionPtr revIDLastSave="0" documentId="13_ncr:1_{3FB06163-1465-458A-83E6-F7AD06C1FBA6}" xr6:coauthVersionLast="40" xr6:coauthVersionMax="40" xr10:uidLastSave="{00000000-0000-0000-0000-000000000000}"/>
  <bookViews>
    <workbookView xWindow="0" yWindow="0" windowWidth="23040" windowHeight="8376" firstSheet="2" activeTab="7" xr2:uid="{7855FBD0-5EC9-4DBA-9A4B-0C57305BA533}"/>
  </bookViews>
  <sheets>
    <sheet name="表紙" sheetId="8" r:id="rId1"/>
    <sheet name="見積原価管理" sheetId="1" r:id="rId2"/>
    <sheet name="アップロード" sheetId="2" r:id="rId3"/>
    <sheet name="ワークシート選択" sheetId="3" r:id="rId4"/>
    <sheet name="ワークシート登録" sheetId="4" r:id="rId5"/>
    <sheet name="見積原価検索" sheetId="5" r:id="rId6"/>
    <sheet name="見積原価一覧" sheetId="6" r:id="rId7"/>
    <sheet name="見積原価プレビュー" sheetId="7" r:id="rId8"/>
    <sheet name="見積原価削除" sheetId="9" r:id="rId9"/>
  </sheets>
  <definedNames>
    <definedName name="comp_count" localSheetId="2">アップロード!$C$3</definedName>
    <definedName name="comp_count" localSheetId="3">ワークシート選択!$C$3</definedName>
    <definedName name="comp_count" localSheetId="4">ワークシート登録!$C$3</definedName>
    <definedName name="comp_count" localSheetId="7">見積原価プレビュー!$C$3</definedName>
    <definedName name="comp_count" localSheetId="6">見積原価一覧!$C$3</definedName>
    <definedName name="comp_count" localSheetId="1">見積原価管理!$C$3</definedName>
    <definedName name="comp_count" localSheetId="5">見積原価検索!$C$3</definedName>
    <definedName name="comp_count" localSheetId="8">見積原価削除!$C$3</definedName>
    <definedName name="item_count" localSheetId="2">アップロード!$C$2</definedName>
    <definedName name="item_count" localSheetId="3">ワークシート選択!$C$2</definedName>
    <definedName name="item_count" localSheetId="4">ワークシート登録!$C$2</definedName>
    <definedName name="item_count" localSheetId="7">見積原価プレビュー!$C$2</definedName>
    <definedName name="item_count" localSheetId="6">見積原価一覧!$C$2</definedName>
    <definedName name="item_count" localSheetId="1">見積原価管理!$C$2</definedName>
    <definedName name="item_count" localSheetId="5">見積原価検索!$C$2</definedName>
    <definedName name="item_count" localSheetId="8">見積原価削除!$C$2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2" i="7" l="1"/>
  <c r="A97" i="7"/>
  <c r="A86" i="7"/>
  <c r="A81" i="7"/>
  <c r="A76" i="7"/>
  <c r="A71" i="7"/>
  <c r="A96" i="7" l="1"/>
  <c r="A95" i="7"/>
  <c r="A94" i="7"/>
  <c r="A92" i="7"/>
  <c r="A90" i="7"/>
  <c r="A88" i="7"/>
  <c r="A89" i="7"/>
  <c r="A83" i="7"/>
  <c r="A84" i="7"/>
  <c r="A78" i="7"/>
  <c r="A79" i="7"/>
  <c r="A73" i="7"/>
  <c r="A74" i="7"/>
  <c r="A70" i="7"/>
  <c r="A68" i="7"/>
  <c r="A85" i="7"/>
  <c r="A91" i="7"/>
  <c r="A80" i="7"/>
  <c r="A75" i="7"/>
  <c r="A69" i="7"/>
  <c r="A93" i="7"/>
  <c r="A98" i="7"/>
  <c r="A87" i="7"/>
  <c r="A101" i="7" l="1"/>
  <c r="A100" i="7"/>
  <c r="A99" i="7"/>
  <c r="A82" i="7"/>
  <c r="A77" i="7"/>
  <c r="A72" i="7"/>
  <c r="A67" i="7"/>
  <c r="A167" i="7" l="1"/>
  <c r="A162" i="7"/>
  <c r="A21" i="6" l="1"/>
  <c r="A20" i="6"/>
  <c r="A19" i="6"/>
  <c r="A22" i="6"/>
  <c r="A17" i="6"/>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1" i="9"/>
  <c r="A10" i="9"/>
  <c r="A12" i="9"/>
  <c r="A9" i="9"/>
  <c r="A8" i="9"/>
  <c r="A7" i="9"/>
  <c r="A6" i="9"/>
  <c r="C3" i="9"/>
  <c r="C2" i="9"/>
  <c r="C1" i="9"/>
  <c r="A184" i="7"/>
  <c r="A183" i="7"/>
  <c r="A182" i="7"/>
  <c r="A175" i="7"/>
  <c r="A164" i="7"/>
  <c r="A165" i="7"/>
  <c r="A166" i="7"/>
  <c r="A160" i="7"/>
  <c r="A163" i="7"/>
  <c r="A161" i="7"/>
  <c r="A52" i="7"/>
  <c r="A53" i="7"/>
  <c r="A145" i="7" l="1"/>
  <c r="A144" i="7" l="1"/>
  <c r="A143" i="7"/>
  <c r="A142" i="7"/>
  <c r="A141" i="7"/>
  <c r="A140" i="7"/>
  <c r="A139" i="7"/>
  <c r="A138" i="7"/>
  <c r="A136" i="7"/>
  <c r="A135" i="7"/>
  <c r="A134" i="7"/>
  <c r="A133" i="7"/>
  <c r="A132" i="7"/>
  <c r="A131" i="7"/>
  <c r="A130" i="7"/>
  <c r="A117" i="7"/>
  <c r="A116" i="7"/>
  <c r="A123" i="7"/>
  <c r="A128" i="7"/>
  <c r="A127" i="7"/>
  <c r="A126" i="7"/>
  <c r="A125" i="7"/>
  <c r="A124" i="7"/>
  <c r="A121" i="7"/>
  <c r="A120" i="7"/>
  <c r="A119" i="7"/>
  <c r="A118" i="7"/>
  <c r="A103" i="7"/>
  <c r="A114" i="7"/>
  <c r="A113" i="7"/>
  <c r="A112" i="7"/>
  <c r="A111" i="7"/>
  <c r="A110" i="7"/>
  <c r="A108" i="7"/>
  <c r="A107" i="7"/>
  <c r="A106" i="7"/>
  <c r="A105" i="7"/>
  <c r="A18" i="7"/>
  <c r="A17" i="7" l="1"/>
  <c r="A137" i="7"/>
  <c r="A122" i="7"/>
  <c r="A109" i="7"/>
  <c r="A199" i="7"/>
  <c r="A198" i="7"/>
  <c r="A129" i="7"/>
  <c r="A115" i="7"/>
  <c r="A104" i="7"/>
  <c r="A203" i="7"/>
  <c r="A202" i="7"/>
  <c r="A201" i="7"/>
  <c r="A200" i="7"/>
  <c r="C3" i="7"/>
  <c r="C2" i="7"/>
  <c r="A158" i="7"/>
  <c r="A157" i="7"/>
  <c r="A156" i="7"/>
  <c r="A155" i="7"/>
  <c r="A154" i="7"/>
  <c r="A153" i="7"/>
  <c r="A152" i="7"/>
  <c r="A151" i="7"/>
  <c r="A34" i="7"/>
  <c r="A33" i="7"/>
  <c r="A32" i="7"/>
  <c r="A31" i="7"/>
  <c r="A30" i="7"/>
  <c r="A35" i="7"/>
  <c r="A28" i="7"/>
  <c r="A29" i="7"/>
  <c r="A27" i="7"/>
  <c r="A26" i="7"/>
  <c r="A25" i="7"/>
  <c r="A24" i="7"/>
  <c r="A21" i="7"/>
  <c r="A23" i="7"/>
  <c r="A22" i="7"/>
  <c r="A20" i="7"/>
  <c r="A16" i="7"/>
  <c r="A180" i="7"/>
  <c r="A172" i="7"/>
  <c r="A149" i="7"/>
  <c r="A64" i="7" l="1"/>
  <c r="A63" i="7"/>
  <c r="A62" i="7"/>
  <c r="A61" i="7"/>
  <c r="A60" i="7"/>
  <c r="A59" i="7"/>
  <c r="A44" i="7"/>
  <c r="A43" i="7"/>
  <c r="A42" i="7"/>
  <c r="A41" i="7"/>
  <c r="A39" i="7"/>
  <c r="A40" i="7"/>
  <c r="A58" i="7"/>
  <c r="A57" i="7"/>
  <c r="A56" i="7"/>
  <c r="A55" i="7"/>
  <c r="A38" i="7"/>
  <c r="A37" i="7"/>
  <c r="A15" i="7"/>
  <c r="A207" i="7"/>
  <c r="A206" i="7"/>
  <c r="A205" i="7"/>
  <c r="A197" i="7"/>
  <c r="A204" i="7"/>
  <c r="A196" i="7"/>
  <c r="A195" i="7"/>
  <c r="A194" i="7"/>
  <c r="A193" i="7"/>
  <c r="A192" i="7"/>
  <c r="A191" i="7"/>
  <c r="A190" i="7"/>
  <c r="A189" i="7"/>
  <c r="A188" i="7"/>
  <c r="A187" i="7"/>
  <c r="A186" i="7"/>
  <c r="A185" i="7"/>
  <c r="A181" i="7"/>
  <c r="A179" i="7"/>
  <c r="A178" i="7"/>
  <c r="A177" i="7"/>
  <c r="A176" i="7"/>
  <c r="A174" i="7"/>
  <c r="A173" i="7"/>
  <c r="A171" i="7"/>
  <c r="A170" i="7"/>
  <c r="A169" i="7"/>
  <c r="A168" i="7"/>
  <c r="A159" i="7"/>
  <c r="A150" i="7"/>
  <c r="A148" i="7"/>
  <c r="A147" i="7"/>
  <c r="A146" i="7"/>
  <c r="A65" i="7"/>
  <c r="A66" i="7"/>
  <c r="A54" i="7"/>
  <c r="A51" i="7"/>
  <c r="A50" i="7"/>
  <c r="A49" i="7"/>
  <c r="A48" i="7"/>
  <c r="A47" i="7"/>
  <c r="A46" i="7"/>
  <c r="A45" i="7"/>
  <c r="A36" i="7"/>
  <c r="A19" i="7"/>
  <c r="A14" i="7"/>
  <c r="A13" i="7"/>
  <c r="A11" i="7"/>
  <c r="A10" i="7"/>
  <c r="A12" i="7"/>
  <c r="A9" i="7"/>
  <c r="A8" i="7"/>
  <c r="A7" i="7"/>
  <c r="A6" i="7"/>
  <c r="C1" i="7"/>
  <c r="A12"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18" i="6"/>
  <c r="A16" i="6"/>
  <c r="A15" i="6"/>
  <c r="A14" i="6"/>
  <c r="A13" i="6"/>
  <c r="A11" i="6"/>
  <c r="A10" i="6"/>
  <c r="A9" i="6"/>
  <c r="A8" i="6"/>
  <c r="A7" i="6"/>
  <c r="A6" i="6"/>
  <c r="C3" i="6"/>
  <c r="C2" i="6"/>
  <c r="C1" i="6"/>
  <c r="A16" i="5"/>
  <c r="A15" i="5"/>
  <c r="A14" i="5"/>
  <c r="A13" i="5"/>
  <c r="A12" i="5"/>
  <c r="A11" i="5"/>
  <c r="A10" i="5"/>
  <c r="A9" i="5"/>
  <c r="A8" i="5"/>
  <c r="A7" i="5"/>
  <c r="A6" i="5"/>
  <c r="C3" i="5"/>
  <c r="C2" i="5"/>
  <c r="C1" i="5"/>
  <c r="A71" i="4"/>
  <c r="A70" i="4"/>
  <c r="A69" i="4"/>
  <c r="A74" i="4" l="1"/>
  <c r="A73" i="4"/>
  <c r="A72"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C3" i="4"/>
  <c r="C2" i="4"/>
  <c r="C1" i="4"/>
  <c r="A31" i="3" l="1"/>
  <c r="A30" i="3"/>
  <c r="A29" i="3"/>
  <c r="A28" i="3"/>
  <c r="A27" i="3"/>
  <c r="A26" i="3"/>
  <c r="A25" i="3"/>
  <c r="A24" i="3"/>
  <c r="A23" i="3"/>
  <c r="A22" i="3" l="1"/>
  <c r="A21" i="3"/>
  <c r="A20" i="3"/>
  <c r="A19" i="3"/>
  <c r="A18" i="3"/>
  <c r="A17" i="3"/>
  <c r="A42" i="3"/>
  <c r="A41" i="3"/>
  <c r="A40" i="3"/>
  <c r="A39" i="3"/>
  <c r="A38" i="3"/>
  <c r="A37" i="3"/>
  <c r="A36" i="3"/>
  <c r="A35" i="3"/>
  <c r="A34" i="3"/>
  <c r="A33" i="3"/>
  <c r="A32" i="3"/>
  <c r="A16" i="3"/>
  <c r="A15" i="3"/>
  <c r="A14" i="3"/>
  <c r="A13" i="3"/>
  <c r="A12" i="3"/>
  <c r="A11" i="3"/>
  <c r="A10" i="3"/>
  <c r="A9" i="3"/>
  <c r="A8" i="3"/>
  <c r="A7" i="3"/>
  <c r="A6" i="3"/>
  <c r="C3" i="3"/>
  <c r="C2" i="3"/>
  <c r="C1" i="3"/>
  <c r="A11" i="1" l="1"/>
  <c r="A37" i="2"/>
  <c r="A36" i="2"/>
  <c r="A35" i="2"/>
  <c r="A34" i="2"/>
  <c r="A33" i="2"/>
  <c r="A32" i="2"/>
  <c r="A31" i="2"/>
  <c r="A30" i="2"/>
  <c r="A29" i="2"/>
  <c r="A28" i="2"/>
  <c r="A27" i="2"/>
  <c r="A26" i="2"/>
  <c r="A23" i="2"/>
  <c r="A24" i="2"/>
  <c r="A25" i="2"/>
  <c r="A22" i="2"/>
  <c r="A21" i="2"/>
  <c r="A20" i="2"/>
  <c r="A19" i="2"/>
  <c r="A18" i="2"/>
  <c r="A17" i="2"/>
  <c r="A16" i="2"/>
  <c r="A15" i="2"/>
  <c r="A14" i="2"/>
  <c r="A13" i="2"/>
  <c r="A12" i="2"/>
  <c r="A11" i="2"/>
  <c r="A10" i="2"/>
  <c r="A9" i="2"/>
  <c r="A8" i="2"/>
  <c r="A7" i="2"/>
  <c r="A6" i="2"/>
  <c r="C3" i="2"/>
  <c r="C2" i="2"/>
  <c r="C1" i="2"/>
  <c r="A10" i="1" l="1"/>
  <c r="A12" i="1"/>
  <c r="A18" i="1"/>
  <c r="A17" i="1"/>
  <c r="A16" i="1"/>
  <c r="A15" i="1"/>
  <c r="A13" i="1"/>
  <c r="A14" i="1"/>
  <c r="A9" i="1" l="1"/>
  <c r="A8" i="1"/>
  <c r="A7" i="1"/>
  <c r="A6" i="1"/>
  <c r="C3" i="1"/>
  <c r="C1" i="1"/>
  <c r="C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73729EBE-8117-4DFA-AA14-DAF438897DCB}">
      <text>
        <r>
          <rPr>
            <b/>
            <sz val="9"/>
            <color indexed="81"/>
            <rFont val="MS P ゴシック"/>
            <family val="3"/>
            <charset val="128"/>
          </rPr>
          <t>試験開始した日付を記入する。</t>
        </r>
      </text>
    </comment>
    <comment ref="G5" authorId="0" shapeId="0" xr:uid="{33EF7931-833E-4054-852C-0490A3DD936E}">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35007076-9486-49FF-9E45-FAD7A21A7431}">
      <text>
        <r>
          <rPr>
            <b/>
            <sz val="9"/>
            <color indexed="81"/>
            <rFont val="MS P ゴシック"/>
            <family val="3"/>
            <charset val="128"/>
          </rPr>
          <t>試験開始した日付を記入する。</t>
        </r>
      </text>
    </comment>
    <comment ref="G5" authorId="0" shapeId="0" xr:uid="{35E8467F-3CDA-4130-8B0F-46AF6F2326F5}">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B99DDA9F-D00F-4BF7-91C3-E3D0F6B84636}">
      <text>
        <r>
          <rPr>
            <b/>
            <sz val="9"/>
            <color indexed="81"/>
            <rFont val="MS P ゴシック"/>
            <family val="3"/>
            <charset val="128"/>
          </rPr>
          <t>試験開始した日付を記入する。</t>
        </r>
      </text>
    </comment>
    <comment ref="G5" authorId="0" shapeId="0" xr:uid="{35F270AB-E7C7-4B21-8EAF-D9B92CDD1135}">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C728C28E-F15C-439E-B6AA-1C7705E65C1E}">
      <text>
        <r>
          <rPr>
            <b/>
            <sz val="9"/>
            <color indexed="81"/>
            <rFont val="MS P ゴシック"/>
            <family val="3"/>
            <charset val="128"/>
          </rPr>
          <t>試験開始した日付を記入する。</t>
        </r>
      </text>
    </comment>
    <comment ref="G5" authorId="0" shapeId="0" xr:uid="{2E0A5BBA-547A-4938-A033-0A227B6179C7}">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D8DCC0AF-FB98-4708-AC3D-07043C7D70A1}">
      <text>
        <r>
          <rPr>
            <b/>
            <sz val="9"/>
            <color indexed="81"/>
            <rFont val="MS P ゴシック"/>
            <family val="3"/>
            <charset val="128"/>
          </rPr>
          <t>試験開始した日付を記入する。</t>
        </r>
      </text>
    </comment>
    <comment ref="G5" authorId="0" shapeId="0" xr:uid="{0105D888-C589-4A86-9A49-6EC4CC3D754C}">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CBA95F19-53E7-4EE5-9B8D-D9A6B859B04F}">
      <text>
        <r>
          <rPr>
            <b/>
            <sz val="9"/>
            <color indexed="81"/>
            <rFont val="MS P ゴシック"/>
            <family val="3"/>
            <charset val="128"/>
          </rPr>
          <t>試験開始した日付を記入する。</t>
        </r>
      </text>
    </comment>
    <comment ref="G5" authorId="0" shapeId="0" xr:uid="{7155BF81-35D1-45A0-9B1B-7B461D8AB1DC}">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2E84CE4-5341-4DF1-81A0-5CBA28A21EB2}">
      <text>
        <r>
          <rPr>
            <b/>
            <sz val="9"/>
            <color indexed="81"/>
            <rFont val="MS P ゴシック"/>
            <family val="3"/>
            <charset val="128"/>
          </rPr>
          <t>試験開始した日付を記入する。</t>
        </r>
      </text>
    </comment>
    <comment ref="G5" authorId="0" shapeId="0" xr:uid="{74FDB7A1-DCAC-4508-9215-F8573DFC6928}">
      <text>
        <r>
          <rPr>
            <b/>
            <sz val="9"/>
            <color indexed="81"/>
            <rFont val="MS P ゴシック"/>
            <family val="3"/>
            <charset val="128"/>
          </rPr>
          <t>確認OKとなった日付を記入する。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0C7A4A85-5B04-4AA0-8533-E9978993DEDD}">
      <text>
        <r>
          <rPr>
            <b/>
            <sz val="9"/>
            <color indexed="81"/>
            <rFont val="MS P ゴシック"/>
            <family val="3"/>
            <charset val="128"/>
          </rPr>
          <t>試験開始した日付を記入する。</t>
        </r>
      </text>
    </comment>
    <comment ref="G5" authorId="0" shapeId="0" xr:uid="{679DE3BC-F5F7-410A-81FA-D0C041F6A675}">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<sst xmlns="http://schemas.openxmlformats.org/spreadsheetml/2006/main" count="689" uniqueCount="392">
  <si>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</si>
  <si>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</si>
  <si>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</si>
  <si>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</si>
  <si>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</si>
  <si>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</si>
  <si>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</si>
  <si>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</si>
  <si>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</si>
  <si>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</si>
  <si>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</si>
  <si>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</si>
  <si>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</si>
  <si>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</si>
  <si>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</si>
  <si>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各ボタン動作確認</t>
    <rPh sb="0" eb="1">
      <t>カク</t>
    </rPh>
    <rPh sb="4" eb="6">
      <t>ドウサ</t>
    </rPh>
    <rPh sb="6" eb="8">
      <t>カクニン</t>
    </rPh>
    <phoneticPr fontId="1"/>
  </si>
  <si>
    <t>メインメニュー画面で見積原価管理ボタンを押下する。</t>
    <rPh sb="7" eb="9">
      <t>ガメン</t>
    </rPh>
    <rPh sb="10" eb="16">
      <t>ミツモリゲンカカンリ</t>
    </rPh>
    <rPh sb="20" eb="22">
      <t>オウカ</t>
    </rPh>
    <phoneticPr fontId="1"/>
  </si>
  <si>
    <t>画面表示</t>
    <rPh sb="0" eb="2">
      <t>ガメン</t>
    </rPh>
    <rPh sb="2" eb="4">
      <t>ヒョウジ</t>
    </rPh>
    <phoneticPr fontId="1"/>
  </si>
  <si>
    <t>見積原価管理画面に遷移すること。</t>
    <phoneticPr fontId="1"/>
  </si>
  <si>
    <t>アップロードボタンを押下する。</t>
    <rPh sb="10" eb="12">
      <t>オウカ</t>
    </rPh>
    <phoneticPr fontId="1"/>
  </si>
  <si>
    <t>アップロード画面に遷移すること。</t>
    <rPh sb="6" eb="8">
      <t>ガメン</t>
    </rPh>
    <rPh sb="9" eb="11">
      <t>センイ</t>
    </rPh>
    <phoneticPr fontId="1"/>
  </si>
  <si>
    <t>見積原価検索ボタンを押下する。</t>
    <rPh sb="0" eb="2">
      <t>ミツモリ</t>
    </rPh>
    <rPh sb="2" eb="4">
      <t>ゲンカ</t>
    </rPh>
    <rPh sb="4" eb="6">
      <t>ケンサク</t>
    </rPh>
    <rPh sb="10" eb="12">
      <t>オウカ</t>
    </rPh>
    <phoneticPr fontId="1"/>
  </si>
  <si>
    <t>見積原価検索画面に遷移すること。</t>
    <rPh sb="4" eb="6">
      <t>ケンサク</t>
    </rPh>
    <phoneticPr fontId="1"/>
  </si>
  <si>
    <t>MAINMENUボタンを押下する。</t>
    <rPh sb="12" eb="14">
      <t>オウカ</t>
    </rPh>
    <phoneticPr fontId="1"/>
  </si>
  <si>
    <t>ダウンロードボタンを押下する。</t>
    <rPh sb="10" eb="12">
      <t>オウカ</t>
    </rPh>
    <phoneticPr fontId="1"/>
  </si>
  <si>
    <t>ダウンロード画面に遷移すること。</t>
    <rPh sb="6" eb="8">
      <t>ガメン</t>
    </rPh>
    <rPh sb="9" eb="11">
      <t>センイ</t>
    </rPh>
    <phoneticPr fontId="1"/>
  </si>
  <si>
    <t>現行と比較して、ダウンロードボタンが追加されていること。</t>
    <rPh sb="0" eb="2">
      <t>ゲンコウ</t>
    </rPh>
    <rPh sb="3" eb="5">
      <t>ヒカク</t>
    </rPh>
    <rPh sb="18" eb="20">
      <t>ツイカ</t>
    </rPh>
    <phoneticPr fontId="1"/>
  </si>
  <si>
    <t>それ以外の点については、全て現行システムと同じであること。</t>
    <rPh sb="2" eb="4">
      <t>イガイ</t>
    </rPh>
    <rPh sb="5" eb="6">
      <t>テン</t>
    </rPh>
    <rPh sb="12" eb="13">
      <t>スベ</t>
    </rPh>
    <rPh sb="14" eb="16">
      <t>ゲンコウ</t>
    </rPh>
    <rPh sb="21" eb="22">
      <t>オナ</t>
    </rPh>
    <phoneticPr fontId="1"/>
  </si>
  <si>
    <t>現行画面と同一であること。</t>
    <rPh sb="0" eb="2">
      <t>ゲンコウ</t>
    </rPh>
    <rPh sb="2" eb="4">
      <t>ガメン</t>
    </rPh>
    <rPh sb="5" eb="7">
      <t>ドウイツ</t>
    </rPh>
    <phoneticPr fontId="1"/>
  </si>
  <si>
    <t>参照ボタン</t>
    <rPh sb="0" eb="2">
      <t>サンショウ</t>
    </rPh>
    <phoneticPr fontId="1"/>
  </si>
  <si>
    <t>参照ボタンを押下する。</t>
    <rPh sb="0" eb="2">
      <t>サンショウ</t>
    </rPh>
    <rPh sb="6" eb="8">
      <t>オウカ</t>
    </rPh>
    <phoneticPr fontId="1"/>
  </si>
  <si>
    <t>ファイル選択画面（Windows標準のもの）が表示されること。</t>
    <rPh sb="4" eb="6">
      <t>センタク</t>
    </rPh>
    <rPh sb="6" eb="8">
      <t>ガメン</t>
    </rPh>
    <rPh sb="16" eb="18">
      <t>ヒョウジュン</t>
    </rPh>
    <rPh sb="23" eb="25">
      <t>ヒョウジ</t>
    </rPh>
    <phoneticPr fontId="1"/>
  </si>
  <si>
    <t>ファイル選択画面で任意のファイルを選択する。</t>
    <rPh sb="4" eb="6">
      <t>センタク</t>
    </rPh>
    <rPh sb="6" eb="8">
      <t>ガメン</t>
    </rPh>
    <rPh sb="9" eb="11">
      <t>ニンイ</t>
    </rPh>
    <rPh sb="17" eb="19">
      <t>センタク</t>
    </rPh>
    <phoneticPr fontId="1"/>
  </si>
  <si>
    <t>選択されたファイルのフルパス名が「Excelファイル」に表示されること。</t>
    <rPh sb="0" eb="2">
      <t>センタク</t>
    </rPh>
    <rPh sb="14" eb="15">
      <t>メイ</t>
    </rPh>
    <rPh sb="28" eb="30">
      <t>ヒョウジ</t>
    </rPh>
    <phoneticPr fontId="1"/>
  </si>
  <si>
    <t>Excelファイルパースエラー画面の閉じるボタンを押下する。</t>
    <rPh sb="18" eb="19">
      <t>ト</t>
    </rPh>
    <rPh sb="25" eb="27">
      <t>オウカ</t>
    </rPh>
    <phoneticPr fontId="1"/>
  </si>
  <si>
    <t>Excelファイルパースエラー画面がポップアップ表示されること。</t>
    <rPh sb="15" eb="17">
      <t>ガメン</t>
    </rPh>
    <rPh sb="24" eb="26">
      <t>ヒョウジ</t>
    </rPh>
    <phoneticPr fontId="1"/>
  </si>
  <si>
    <t>ポップアップ表示中はアップロード画面が活性化できないこと。</t>
    <rPh sb="6" eb="9">
      <t>ヒョウジチュウ</t>
    </rPh>
    <rPh sb="16" eb="18">
      <t>ガメン</t>
    </rPh>
    <rPh sb="19" eb="22">
      <t>カッセイカ</t>
    </rPh>
    <phoneticPr fontId="1"/>
  </si>
  <si>
    <t>エラーメッセージが「Excelファイルを指定してください。」であること。</t>
    <phoneticPr fontId="1"/>
  </si>
  <si>
    <t>UPLOADボタン（ファイル形式チェック）</t>
  </si>
  <si>
    <t>UPLOADボタン（シート存在チェック）</t>
    <rPh sb="13" eb="15">
      <t>ソンザイ</t>
    </rPh>
    <phoneticPr fontId="1"/>
  </si>
  <si>
    <t>エラーメッセージが「」であること。</t>
    <phoneticPr fontId="1"/>
  </si>
  <si>
    <t>フィルタ条件は*.xlsxであること</t>
    <rPh sb="4" eb="6">
      <t>ジョウケン</t>
    </rPh>
    <phoneticPr fontId="1"/>
  </si>
  <si>
    <t>ファイル選択画面でxlsx形式以外のファイルを選択する。</t>
    <rPh sb="4" eb="6">
      <t>センタク</t>
    </rPh>
    <rPh sb="6" eb="8">
      <t>ガメン</t>
    </rPh>
    <rPh sb="13" eb="15">
      <t>ケイシキ</t>
    </rPh>
    <rPh sb="15" eb="17">
      <t>イガイ</t>
    </rPh>
    <rPh sb="23" eb="25">
      <t>センタク</t>
    </rPh>
    <phoneticPr fontId="1"/>
  </si>
  <si>
    <t>ファイル選択画面で、見積原価書ではない、xlsx形式の任意のファイルを選択する。</t>
    <rPh sb="4" eb="6">
      <t>センタク</t>
    </rPh>
    <rPh sb="6" eb="8">
      <t>ガメン</t>
    </rPh>
    <rPh sb="10" eb="12">
      <t>ミツモリ</t>
    </rPh>
    <rPh sb="12" eb="14">
      <t>ゲンカ</t>
    </rPh>
    <rPh sb="14" eb="15">
      <t>ショ</t>
    </rPh>
    <rPh sb="24" eb="26">
      <t>ケイシキ</t>
    </rPh>
    <rPh sb="27" eb="29">
      <t>ニンイ</t>
    </rPh>
    <rPh sb="35" eb="37">
      <t>センタク</t>
    </rPh>
    <phoneticPr fontId="1"/>
  </si>
  <si>
    <t>ワークシート選択画面に遷移すること。</t>
    <rPh sb="6" eb="8">
      <t>センタク</t>
    </rPh>
    <rPh sb="8" eb="10">
      <t>ガメン</t>
    </rPh>
    <rPh sb="11" eb="13">
      <t>センイ</t>
    </rPh>
    <phoneticPr fontId="1"/>
  </si>
  <si>
    <t>表示されているワークシートの内容が、アップロードした見積原価書の該当シートの内容と一致していること。</t>
    <rPh sb="0" eb="2">
      <t>ヒョウジ</t>
    </rPh>
    <rPh sb="14" eb="16">
      <t>ナイヨウ</t>
    </rPh>
    <rPh sb="26" eb="28">
      <t>ミツモリ</t>
    </rPh>
    <rPh sb="28" eb="30">
      <t>ゲンカ</t>
    </rPh>
    <rPh sb="30" eb="31">
      <t>ショ</t>
    </rPh>
    <rPh sb="32" eb="34">
      <t>ガイトウ</t>
    </rPh>
    <rPh sb="38" eb="40">
      <t>ナイヨウ</t>
    </rPh>
    <rPh sb="41" eb="43">
      <t>イッチ</t>
    </rPh>
    <phoneticPr fontId="1"/>
  </si>
  <si>
    <t>UPLOADボタン（フォーマットチェックOK）</t>
    <phoneticPr fontId="1"/>
  </si>
  <si>
    <t>UPLOADボタン（フォーマットチェックエラー）</t>
    <phoneticPr fontId="1"/>
  </si>
  <si>
    <t>ファイル選択画面で、フォーマットエラーが全てのシートで発生する、xlsx形式の任意の見積原価計算書を選択する。</t>
    <rPh sb="4" eb="6">
      <t>センタク</t>
    </rPh>
    <rPh sb="6" eb="8">
      <t>ガメン</t>
    </rPh>
    <rPh sb="20" eb="21">
      <t>スベ</t>
    </rPh>
    <rPh sb="27" eb="29">
      <t>ハッセイ</t>
    </rPh>
    <rPh sb="36" eb="38">
      <t>ケイシキ</t>
    </rPh>
    <rPh sb="39" eb="41">
      <t>ニンイ</t>
    </rPh>
    <rPh sb="42" eb="44">
      <t>ミツモリ</t>
    </rPh>
    <rPh sb="44" eb="46">
      <t>ゲンカ</t>
    </rPh>
    <rPh sb="46" eb="49">
      <t>ケイサンショ</t>
    </rPh>
    <rPh sb="50" eb="52">
      <t>センタク</t>
    </rPh>
    <phoneticPr fontId="1"/>
  </si>
  <si>
    <t>ファイル選択画面で、フォーマットエラーがないシートが1つ以上存在する、xlsx形式の任意の見積原価計算書を選択する。</t>
    <rPh sb="4" eb="6">
      <t>センタク</t>
    </rPh>
    <rPh sb="6" eb="8">
      <t>ガメン</t>
    </rPh>
    <rPh sb="28" eb="30">
      <t>イジョウ</t>
    </rPh>
    <rPh sb="30" eb="32">
      <t>ソンザイ</t>
    </rPh>
    <rPh sb="39" eb="41">
      <t>ケイシキ</t>
    </rPh>
    <rPh sb="42" eb="44">
      <t>ニンイ</t>
    </rPh>
    <rPh sb="45" eb="47">
      <t>ミツモリ</t>
    </rPh>
    <rPh sb="47" eb="49">
      <t>ゲンカ</t>
    </rPh>
    <rPh sb="49" eb="52">
      <t>ケイサンショ</t>
    </rPh>
    <rPh sb="53" eb="55">
      <t>センタク</t>
    </rPh>
    <phoneticPr fontId="1"/>
  </si>
  <si>
    <t>初期表示されているシートは、フォーマットチェックでエラーが検出されなかったシートの内、一番左にあったシートであること。</t>
    <rPh sb="0" eb="2">
      <t>ショキ</t>
    </rPh>
    <rPh sb="2" eb="4">
      <t>ヒョウジ</t>
    </rPh>
    <rPh sb="29" eb="31">
      <t>ケンシュツ</t>
    </rPh>
    <rPh sb="41" eb="42">
      <t>ウチ</t>
    </rPh>
    <rPh sb="43" eb="45">
      <t>イチバン</t>
    </rPh>
    <rPh sb="45" eb="46">
      <t>ヒダリ</t>
    </rPh>
    <phoneticPr fontId="1"/>
  </si>
  <si>
    <t>ワークシート選択のプルダウンリストにフォーマットチェックでエラーが検出されなかったシートが全て格納されていること。</t>
    <rPh sb="6" eb="8">
      <t>センタク</t>
    </rPh>
    <rPh sb="33" eb="35">
      <t>ケンシュツ</t>
    </rPh>
    <rPh sb="45" eb="46">
      <t>スベ</t>
    </rPh>
    <rPh sb="47" eb="49">
      <t>カクノウ</t>
    </rPh>
    <phoneticPr fontId="1"/>
  </si>
  <si>
    <t>ワークシート選択プルダウンリストで表示中のシート以外を選択する。</t>
    <rPh sb="6" eb="8">
      <t>センタク</t>
    </rPh>
    <rPh sb="17" eb="20">
      <t>ヒョウジチュウ</t>
    </rPh>
    <rPh sb="24" eb="26">
      <t>イガイ</t>
    </rPh>
    <rPh sb="27" eb="29">
      <t>センタク</t>
    </rPh>
    <phoneticPr fontId="1"/>
  </si>
  <si>
    <t>表示されている内容が選択されたシートの内容となっていること。</t>
    <rPh sb="0" eb="2">
      <t>ヒョウジ</t>
    </rPh>
    <rPh sb="7" eb="9">
      <t>ナイヨウ</t>
    </rPh>
    <rPh sb="10" eb="12">
      <t>センタク</t>
    </rPh>
    <rPh sb="19" eb="21">
      <t>ナイヨウ</t>
    </rPh>
    <phoneticPr fontId="1"/>
  </si>
  <si>
    <t>ワークシート切替</t>
    <rPh sb="6" eb="8">
      <t>キリカエ</t>
    </rPh>
    <phoneticPr fontId="1"/>
  </si>
  <si>
    <t>製品売上の最終行以降の行末が非表示となっていること。</t>
    <rPh sb="0" eb="2">
      <t>セイヒン</t>
    </rPh>
    <rPh sb="2" eb="4">
      <t>ウリアゲ</t>
    </rPh>
    <rPh sb="5" eb="8">
      <t>サイシュウギョウ</t>
    </rPh>
    <rPh sb="8" eb="10">
      <t>イコウ</t>
    </rPh>
    <rPh sb="11" eb="13">
      <t>ギョウマツ</t>
    </rPh>
    <rPh sb="14" eb="17">
      <t>ヒヒョウジ</t>
    </rPh>
    <phoneticPr fontId="1"/>
  </si>
  <si>
    <t>固定費売上の最終行以降の行末が非表示となっていること。</t>
    <rPh sb="0" eb="3">
      <t>コテイヒ</t>
    </rPh>
    <rPh sb="3" eb="5">
      <t>ウリアゲ</t>
    </rPh>
    <rPh sb="6" eb="9">
      <t>サイシュウギョウ</t>
    </rPh>
    <rPh sb="9" eb="11">
      <t>イコウ</t>
    </rPh>
    <rPh sb="12" eb="14">
      <t>ギョウマツ</t>
    </rPh>
    <rPh sb="15" eb="18">
      <t>ヒヒョウジ</t>
    </rPh>
    <phoneticPr fontId="1"/>
  </si>
  <si>
    <t>固定費仕入の最終行以降の行末が非表示となっていること。</t>
    <rPh sb="0" eb="3">
      <t>コテイヒ</t>
    </rPh>
    <rPh sb="3" eb="5">
      <t>シイレ</t>
    </rPh>
    <rPh sb="6" eb="9">
      <t>サイシュウギョウ</t>
    </rPh>
    <rPh sb="9" eb="11">
      <t>イコウ</t>
    </rPh>
    <rPh sb="12" eb="14">
      <t>ギョウマツ</t>
    </rPh>
    <rPh sb="15" eb="18">
      <t>ヒヒョウジ</t>
    </rPh>
    <phoneticPr fontId="1"/>
  </si>
  <si>
    <t>部材費仕入の最終行以降の行末が非表示となっていること。</t>
    <rPh sb="0" eb="2">
      <t>ブザイ</t>
    </rPh>
    <rPh sb="2" eb="3">
      <t>ヒ</t>
    </rPh>
    <rPh sb="3" eb="5">
      <t>シイレ</t>
    </rPh>
    <rPh sb="6" eb="9">
      <t>サイシュウギョウ</t>
    </rPh>
    <rPh sb="9" eb="11">
      <t>イコウ</t>
    </rPh>
    <rPh sb="12" eb="14">
      <t>ギョウマツ</t>
    </rPh>
    <rPh sb="15" eb="18">
      <t>ヒヒョウジ</t>
    </rPh>
    <phoneticPr fontId="1"/>
  </si>
  <si>
    <t>情報表示</t>
    <rPh sb="0" eb="2">
      <t>ジョウホウ</t>
    </rPh>
    <rPh sb="2" eb="4">
      <t>ヒョウジ</t>
    </rPh>
    <phoneticPr fontId="1"/>
  </si>
  <si>
    <t>情報表示ボタンを押下する。</t>
    <rPh sb="0" eb="2">
      <t>ジョウホウ</t>
    </rPh>
    <rPh sb="2" eb="4">
      <t>ヒョウジ</t>
    </rPh>
    <rPh sb="8" eb="10">
      <t>オウカ</t>
    </rPh>
    <phoneticPr fontId="1"/>
  </si>
  <si>
    <t>ワークシート下端の集計行が表示されること。</t>
    <rPh sb="6" eb="8">
      <t>カタン</t>
    </rPh>
    <rPh sb="9" eb="11">
      <t>シュウケイ</t>
    </rPh>
    <rPh sb="11" eb="12">
      <t>ギョウ</t>
    </rPh>
    <rPh sb="13" eb="15">
      <t>ヒョウジ</t>
    </rPh>
    <phoneticPr fontId="1"/>
  </si>
  <si>
    <t>製品売上の最終行以降の行末が表示されること。</t>
    <rPh sb="0" eb="2">
      <t>セイヒン</t>
    </rPh>
    <rPh sb="2" eb="4">
      <t>ウリアゲ</t>
    </rPh>
    <rPh sb="5" eb="8">
      <t>サイシュウギョウ</t>
    </rPh>
    <rPh sb="8" eb="10">
      <t>イコウ</t>
    </rPh>
    <rPh sb="11" eb="13">
      <t>ギョウマツ</t>
    </rPh>
    <rPh sb="14" eb="16">
      <t>ヒョウジ</t>
    </rPh>
    <phoneticPr fontId="1"/>
  </si>
  <si>
    <t>固定費売上の最終行以降の行末が表示されること。</t>
    <rPh sb="0" eb="3">
      <t>コテイヒ</t>
    </rPh>
    <rPh sb="3" eb="5">
      <t>ウリアゲ</t>
    </rPh>
    <rPh sb="6" eb="9">
      <t>サイシュウギョウ</t>
    </rPh>
    <rPh sb="9" eb="11">
      <t>イコウ</t>
    </rPh>
    <rPh sb="12" eb="14">
      <t>ギョウマツ</t>
    </rPh>
    <rPh sb="15" eb="17">
      <t>ヒョウジ</t>
    </rPh>
    <phoneticPr fontId="1"/>
  </si>
  <si>
    <t>固定費仕入の最終行以降の行末が表示されること。</t>
    <rPh sb="0" eb="3">
      <t>コテイヒ</t>
    </rPh>
    <rPh sb="3" eb="5">
      <t>シイレ</t>
    </rPh>
    <rPh sb="6" eb="9">
      <t>サイシュウギョウ</t>
    </rPh>
    <rPh sb="9" eb="11">
      <t>イコウ</t>
    </rPh>
    <rPh sb="12" eb="14">
      <t>ギョウマツ</t>
    </rPh>
    <rPh sb="15" eb="17">
      <t>ヒョウジ</t>
    </rPh>
    <phoneticPr fontId="1"/>
  </si>
  <si>
    <t>部材費仕入の最終行以降の行末が表示されること。</t>
    <rPh sb="0" eb="2">
      <t>ブザイ</t>
    </rPh>
    <rPh sb="2" eb="3">
      <t>ヒ</t>
    </rPh>
    <rPh sb="3" eb="5">
      <t>シイレ</t>
    </rPh>
    <rPh sb="6" eb="9">
      <t>サイシュウギョウ</t>
    </rPh>
    <rPh sb="9" eb="11">
      <t>イコウ</t>
    </rPh>
    <rPh sb="12" eb="14">
      <t>ギョウマツ</t>
    </rPh>
    <rPh sb="15" eb="17">
      <t>ヒョウジ</t>
    </rPh>
    <phoneticPr fontId="1"/>
  </si>
  <si>
    <t>再度情報表示ボタンを押下する</t>
    <rPh sb="0" eb="2">
      <t>サイド</t>
    </rPh>
    <rPh sb="2" eb="4">
      <t>ジョウホウ</t>
    </rPh>
    <rPh sb="4" eb="6">
      <t>ヒョウジ</t>
    </rPh>
    <rPh sb="10" eb="12">
      <t>オウカ</t>
    </rPh>
    <phoneticPr fontId="1"/>
  </si>
  <si>
    <t>製品売上の最終行以降の行末が非表示となること。</t>
    <rPh sb="0" eb="2">
      <t>セイヒン</t>
    </rPh>
    <rPh sb="2" eb="4">
      <t>ウリアゲ</t>
    </rPh>
    <rPh sb="5" eb="8">
      <t>サイシュウギョウ</t>
    </rPh>
    <rPh sb="8" eb="10">
      <t>イコウ</t>
    </rPh>
    <rPh sb="11" eb="13">
      <t>ギョウマツ</t>
    </rPh>
    <rPh sb="14" eb="17">
      <t>ヒヒョウジ</t>
    </rPh>
    <phoneticPr fontId="1"/>
  </si>
  <si>
    <t>固定費売上の最終行以降の行末が非表示となること。</t>
    <rPh sb="0" eb="3">
      <t>コテイヒ</t>
    </rPh>
    <rPh sb="3" eb="5">
      <t>ウリアゲ</t>
    </rPh>
    <rPh sb="6" eb="9">
      <t>サイシュウギョウ</t>
    </rPh>
    <rPh sb="9" eb="11">
      <t>イコウ</t>
    </rPh>
    <rPh sb="12" eb="14">
      <t>ギョウマツ</t>
    </rPh>
    <rPh sb="15" eb="18">
      <t>ヒヒョウジ</t>
    </rPh>
    <phoneticPr fontId="1"/>
  </si>
  <si>
    <t>固定費仕入の最終行以降の行末が非表示となること。</t>
    <rPh sb="0" eb="3">
      <t>コテイヒ</t>
    </rPh>
    <rPh sb="3" eb="5">
      <t>シイレ</t>
    </rPh>
    <rPh sb="6" eb="9">
      <t>サイシュウギョウ</t>
    </rPh>
    <rPh sb="9" eb="11">
      <t>イコウ</t>
    </rPh>
    <rPh sb="12" eb="14">
      <t>ギョウマツ</t>
    </rPh>
    <rPh sb="15" eb="18">
      <t>ヒヒョウジ</t>
    </rPh>
    <phoneticPr fontId="1"/>
  </si>
  <si>
    <t>部材費仕入の最終行以降の行末が非表示となること。</t>
    <rPh sb="0" eb="2">
      <t>ブザイ</t>
    </rPh>
    <rPh sb="2" eb="3">
      <t>ヒ</t>
    </rPh>
    <rPh sb="3" eb="5">
      <t>シイレ</t>
    </rPh>
    <rPh sb="6" eb="9">
      <t>サイシュウギョウ</t>
    </rPh>
    <rPh sb="9" eb="11">
      <t>イコウ</t>
    </rPh>
    <rPh sb="12" eb="14">
      <t>ギョウマツ</t>
    </rPh>
    <rPh sb="15" eb="18">
      <t>ヒヒョウジ</t>
    </rPh>
    <phoneticPr fontId="1"/>
  </si>
  <si>
    <t>ワークシート下端の集計行が非表示となること。</t>
    <rPh sb="6" eb="8">
      <t>カタン</t>
    </rPh>
    <rPh sb="9" eb="11">
      <t>シュウケイ</t>
    </rPh>
    <rPh sb="11" eb="12">
      <t>ギョウ</t>
    </rPh>
    <rPh sb="13" eb="16">
      <t>ヒヒョウジ</t>
    </rPh>
    <phoneticPr fontId="1"/>
  </si>
  <si>
    <t>ワークシート下端の集計行が非表示となっていること。</t>
    <rPh sb="6" eb="8">
      <t>カタン</t>
    </rPh>
    <rPh sb="9" eb="11">
      <t>シュウケイ</t>
    </rPh>
    <rPh sb="11" eb="12">
      <t>ギョウ</t>
    </rPh>
    <rPh sb="13" eb="16">
      <t>ヒヒョウジ</t>
    </rPh>
    <phoneticPr fontId="1"/>
  </si>
  <si>
    <t>閉じるボタン押下</t>
    <rPh sb="0" eb="1">
      <t>ト</t>
    </rPh>
    <rPh sb="6" eb="8">
      <t>オウカ</t>
    </rPh>
    <phoneticPr fontId="1"/>
  </si>
  <si>
    <t>閉じるボタンを押下する。</t>
    <rPh sb="0" eb="1">
      <t>ト</t>
    </rPh>
    <rPh sb="7" eb="9">
      <t>オウカ</t>
    </rPh>
    <phoneticPr fontId="1"/>
  </si>
  <si>
    <t>選択ボタン押下</t>
    <rPh sb="0" eb="2">
      <t>センタク</t>
    </rPh>
    <rPh sb="5" eb="7">
      <t>オウカ</t>
    </rPh>
    <phoneticPr fontId="1"/>
  </si>
  <si>
    <t>選択ボタンを押下する。</t>
    <rPh sb="0" eb="2">
      <t>センタク</t>
    </rPh>
    <rPh sb="6" eb="8">
      <t>オウカ</t>
    </rPh>
    <phoneticPr fontId="1"/>
  </si>
  <si>
    <t>ファイル選択画面で、フォーマットエラー、内容不整合がないシートが1つ以上存在する、xlsx形式の任意の見積原価計算書を選択する。</t>
    <rPh sb="4" eb="6">
      <t>センタク</t>
    </rPh>
    <rPh sb="6" eb="8">
      <t>ガメン</t>
    </rPh>
    <rPh sb="20" eb="22">
      <t>ナイヨウ</t>
    </rPh>
    <rPh sb="22" eb="25">
      <t>フセイゴウ</t>
    </rPh>
    <rPh sb="34" eb="36">
      <t>イジョウ</t>
    </rPh>
    <rPh sb="36" eb="38">
      <t>ソンザイ</t>
    </rPh>
    <rPh sb="45" eb="47">
      <t>ケイシキ</t>
    </rPh>
    <rPh sb="48" eb="50">
      <t>ニンイ</t>
    </rPh>
    <rPh sb="51" eb="53">
      <t>ミツモリ</t>
    </rPh>
    <rPh sb="53" eb="55">
      <t>ゲンカ</t>
    </rPh>
    <rPh sb="55" eb="58">
      <t>ケイサンショ</t>
    </rPh>
    <rPh sb="59" eb="61">
      <t>センタク</t>
    </rPh>
    <phoneticPr fontId="1"/>
  </si>
  <si>
    <t>内容不整合がないワークシートを選択する。</t>
    <rPh sb="0" eb="2">
      <t>ナイヨウ</t>
    </rPh>
    <rPh sb="2" eb="5">
      <t>フセイゴウ</t>
    </rPh>
    <rPh sb="15" eb="17">
      <t>センタク</t>
    </rPh>
    <phoneticPr fontId="1"/>
  </si>
  <si>
    <t>アップロードボタンを押下し、アップロード画面に遷移する。</t>
    <rPh sb="10" eb="12">
      <t>オウカ</t>
    </rPh>
    <rPh sb="20" eb="22">
      <t>ガメン</t>
    </rPh>
    <rPh sb="23" eb="25">
      <t>センイ</t>
    </rPh>
    <phoneticPr fontId="1"/>
  </si>
  <si>
    <t>登録確認ダイアログが表示されること。</t>
    <rPh sb="0" eb="2">
      <t>トウロク</t>
    </rPh>
    <rPh sb="2" eb="4">
      <t>カクニン</t>
    </rPh>
    <rPh sb="10" eb="12">
      <t>ヒョウジ</t>
    </rPh>
    <phoneticPr fontId="1"/>
  </si>
  <si>
    <t>登録確認ダイアログのキャンセルボタンを押下する。</t>
    <rPh sb="0" eb="2">
      <t>トウロク</t>
    </rPh>
    <rPh sb="2" eb="4">
      <t>カクニン</t>
    </rPh>
    <rPh sb="19" eb="21">
      <t>オウカ</t>
    </rPh>
    <phoneticPr fontId="1"/>
  </si>
  <si>
    <t>ワークシート選択画面が活性化されること。</t>
    <rPh sb="6" eb="8">
      <t>センタク</t>
    </rPh>
    <rPh sb="8" eb="10">
      <t>ガメン</t>
    </rPh>
    <rPh sb="11" eb="14">
      <t>カッセイカ</t>
    </rPh>
    <phoneticPr fontId="1"/>
  </si>
  <si>
    <t>登録確認ダイアログのOKボタンを押下する。</t>
    <rPh sb="0" eb="2">
      <t>トウロク</t>
    </rPh>
    <rPh sb="2" eb="4">
      <t>カクニン</t>
    </rPh>
    <rPh sb="16" eb="18">
      <t>オウカ</t>
    </rPh>
    <phoneticPr fontId="1"/>
  </si>
  <si>
    <t>ワークシート登録画面に遷移すること。</t>
    <rPh sb="6" eb="8">
      <t>トウロク</t>
    </rPh>
    <rPh sb="8" eb="10">
      <t>ガメン</t>
    </rPh>
    <rPh sb="11" eb="13">
      <t>センイ</t>
    </rPh>
    <phoneticPr fontId="1"/>
  </si>
  <si>
    <t>登録中断確認ダイアログが表示されること。</t>
    <rPh sb="0" eb="2">
      <t>トウロク</t>
    </rPh>
    <rPh sb="2" eb="4">
      <t>チュウダン</t>
    </rPh>
    <rPh sb="4" eb="6">
      <t>カクニン</t>
    </rPh>
    <rPh sb="12" eb="14">
      <t>ヒョウジ</t>
    </rPh>
    <phoneticPr fontId="1"/>
  </si>
  <si>
    <t>登録中断確認ダイアログのキャンセルボタンを押下する。</t>
    <rPh sb="0" eb="2">
      <t>トウロク</t>
    </rPh>
    <rPh sb="2" eb="4">
      <t>チュウダン</t>
    </rPh>
    <rPh sb="4" eb="6">
      <t>カクニン</t>
    </rPh>
    <rPh sb="21" eb="23">
      <t>オウカ</t>
    </rPh>
    <phoneticPr fontId="1"/>
  </si>
  <si>
    <t>ワークシート登録画面が活性化すること。</t>
    <rPh sb="6" eb="8">
      <t>トウロク</t>
    </rPh>
    <rPh sb="8" eb="10">
      <t>ガメン</t>
    </rPh>
    <rPh sb="11" eb="14">
      <t>カッセイカ</t>
    </rPh>
    <phoneticPr fontId="1"/>
  </si>
  <si>
    <t>登録中断確認ダイアログのOKボタンを押下する。</t>
    <rPh sb="0" eb="2">
      <t>トウロク</t>
    </rPh>
    <rPh sb="2" eb="4">
      <t>チュウダン</t>
    </rPh>
    <rPh sb="4" eb="6">
      <t>カクニン</t>
    </rPh>
    <rPh sb="18" eb="20">
      <t>オウカ</t>
    </rPh>
    <phoneticPr fontId="1"/>
  </si>
  <si>
    <t>ワークシート選択画面に遷移すること。</t>
    <rPh sb="6" eb="10">
      <t>センタクガメン</t>
    </rPh>
    <rPh sb="11" eb="13">
      <t>センイ</t>
    </rPh>
    <phoneticPr fontId="1"/>
  </si>
  <si>
    <t>登録確認ダイアログのOKボタンを押下し、ワークシート登録画面を再度表示させる。</t>
    <rPh sb="0" eb="2">
      <t>トウロク</t>
    </rPh>
    <rPh sb="2" eb="4">
      <t>カクニン</t>
    </rPh>
    <rPh sb="16" eb="18">
      <t>オウカ</t>
    </rPh>
    <rPh sb="26" eb="28">
      <t>トウロク</t>
    </rPh>
    <rPh sb="28" eb="30">
      <t>ガメン</t>
    </rPh>
    <rPh sb="31" eb="33">
      <t>サイド</t>
    </rPh>
    <rPh sb="33" eb="35">
      <t>ヒョウジ</t>
    </rPh>
    <phoneticPr fontId="1"/>
  </si>
  <si>
    <t>ワークシート登録画面の登録ボタンを押下する。</t>
    <rPh sb="6" eb="10">
      <t>トウロクガメン</t>
    </rPh>
    <rPh sb="11" eb="13">
      <t>トウロク</t>
    </rPh>
    <rPh sb="17" eb="19">
      <t>オウカ</t>
    </rPh>
    <phoneticPr fontId="1"/>
  </si>
  <si>
    <t>登録確認ダイアログが表示されること。</t>
    <rPh sb="0" eb="4">
      <t>トウロクカクニン</t>
    </rPh>
    <rPh sb="10" eb="12">
      <t>ヒョウジ</t>
    </rPh>
    <phoneticPr fontId="1"/>
  </si>
  <si>
    <t>登録確認ダイアログのキャンセルボタンを押下する。</t>
    <rPh sb="0" eb="2">
      <t>トウロク</t>
    </rPh>
    <rPh sb="2" eb="4">
      <t>カクニン</t>
    </rPh>
    <rPh sb="19" eb="21">
      <t>オウカ</t>
    </rPh>
    <phoneticPr fontId="1"/>
  </si>
  <si>
    <t>登録確認ダイアログのOKボタンを押下する。</t>
    <rPh sb="0" eb="2">
      <t>トウロク</t>
    </rPh>
    <rPh sb="2" eb="4">
      <t>カクニン</t>
    </rPh>
    <rPh sb="16" eb="18">
      <t>オウカ</t>
    </rPh>
    <phoneticPr fontId="1"/>
  </si>
  <si>
    <t>登録完了メッセージ画面が表示されること。</t>
    <rPh sb="0" eb="2">
      <t>トウロク</t>
    </rPh>
    <rPh sb="2" eb="4">
      <t>カンリョウ</t>
    </rPh>
    <rPh sb="9" eb="11">
      <t>ガメン</t>
    </rPh>
    <rPh sb="12" eb="14">
      <t>ヒョウジ</t>
    </rPh>
    <phoneticPr fontId="1"/>
  </si>
  <si>
    <t>製品マスタが1件新規登録されていること。</t>
    <rPh sb="0" eb="2">
      <t>セイヒン</t>
    </rPh>
    <rPh sb="7" eb="8">
      <t>ケン</t>
    </rPh>
    <rPh sb="8" eb="10">
      <t>シンキ</t>
    </rPh>
    <rPh sb="10" eb="12">
      <t>トウロク</t>
    </rPh>
    <phoneticPr fontId="1"/>
  </si>
  <si>
    <t>登録完了メッセージ画面の閉じるボタンを押下する。</t>
    <rPh sb="0" eb="2">
      <t>トウロク</t>
    </rPh>
    <rPh sb="2" eb="4">
      <t>カンリョウ</t>
    </rPh>
    <rPh sb="9" eb="11">
      <t>ガメン</t>
    </rPh>
    <rPh sb="12" eb="13">
      <t>ト</t>
    </rPh>
    <rPh sb="19" eb="21">
      <t>オウカ</t>
    </rPh>
    <phoneticPr fontId="1"/>
  </si>
  <si>
    <t>登録ボタン押下
（画面遷移）</t>
    <rPh sb="0" eb="2">
      <t>トウロク</t>
    </rPh>
    <rPh sb="5" eb="7">
      <t>オウカ</t>
    </rPh>
    <rPh sb="9" eb="11">
      <t>ガメン</t>
    </rPh>
    <rPh sb="11" eb="13">
      <t>センイ</t>
    </rPh>
    <phoneticPr fontId="1"/>
  </si>
  <si>
    <t>登録ボタン押下
（新規製品登録）</t>
    <rPh sb="0" eb="2">
      <t>トウロク</t>
    </rPh>
    <rPh sb="5" eb="7">
      <t>オウカ</t>
    </rPh>
    <rPh sb="9" eb="11">
      <t>シンキ</t>
    </rPh>
    <rPh sb="11" eb="13">
      <t>セイヒン</t>
    </rPh>
    <rPh sb="13" eb="15">
      <t>トウロク</t>
    </rPh>
    <phoneticPr fontId="1"/>
  </si>
  <si>
    <t>登録された製品マスタの内容が画面設計書通りであること。</t>
    <rPh sb="0" eb="2">
      <t>トウロク</t>
    </rPh>
    <rPh sb="5" eb="7">
      <t>セイヒン</t>
    </rPh>
    <rPh sb="11" eb="13">
      <t>ナイヨウ</t>
    </rPh>
    <rPh sb="14" eb="16">
      <t>ガメン</t>
    </rPh>
    <rPh sb="16" eb="19">
      <t>セッケイショ</t>
    </rPh>
    <rPh sb="19" eb="20">
      <t>ドオ</t>
    </rPh>
    <phoneticPr fontId="1"/>
  </si>
  <si>
    <t>製品マスタの内容を確認する。</t>
    <rPh sb="0" eb="2">
      <t>セイヒン</t>
    </rPh>
    <rPh sb="6" eb="8">
      <t>ナイヨウ</t>
    </rPh>
    <rPh sb="9" eb="11">
      <t>カクニン</t>
    </rPh>
    <phoneticPr fontId="1"/>
  </si>
  <si>
    <t>見積原価マスタの内容を確認する。</t>
    <rPh sb="0" eb="2">
      <t>ミツモリ</t>
    </rPh>
    <rPh sb="2" eb="4">
      <t>ゲンカ</t>
    </rPh>
    <rPh sb="8" eb="10">
      <t>ナイヨウ</t>
    </rPh>
    <rPh sb="11" eb="13">
      <t>カクニン</t>
    </rPh>
    <phoneticPr fontId="1"/>
  </si>
  <si>
    <t>見積原価マスタが1件新規登録されていること。</t>
    <rPh sb="0" eb="2">
      <t>ミツモリ</t>
    </rPh>
    <rPh sb="2" eb="4">
      <t>ゲンカ</t>
    </rPh>
    <rPh sb="9" eb="10">
      <t>ケン</t>
    </rPh>
    <rPh sb="10" eb="12">
      <t>シンキ</t>
    </rPh>
    <rPh sb="12" eb="14">
      <t>トウロク</t>
    </rPh>
    <phoneticPr fontId="1"/>
  </si>
  <si>
    <t>登録された見積原価マスタの内容が画面設計書通りであること。</t>
    <rPh sb="0" eb="2">
      <t>トウロク</t>
    </rPh>
    <rPh sb="5" eb="7">
      <t>ミツモリ</t>
    </rPh>
    <rPh sb="7" eb="9">
      <t>ゲンカ</t>
    </rPh>
    <rPh sb="13" eb="15">
      <t>ナイヨウ</t>
    </rPh>
    <rPh sb="16" eb="18">
      <t>ガメン</t>
    </rPh>
    <rPh sb="18" eb="21">
      <t>セッケイショ</t>
    </rPh>
    <rPh sb="21" eb="22">
      <t>ドオ</t>
    </rPh>
    <phoneticPr fontId="1"/>
  </si>
  <si>
    <t>見積原価明細の内容を確認する。</t>
    <rPh sb="0" eb="2">
      <t>ミツモリ</t>
    </rPh>
    <rPh sb="2" eb="4">
      <t>ゲンカ</t>
    </rPh>
    <rPh sb="4" eb="6">
      <t>メイサイ</t>
    </rPh>
    <rPh sb="7" eb="9">
      <t>ナイヨウ</t>
    </rPh>
    <rPh sb="10" eb="12">
      <t>カクニン</t>
    </rPh>
    <phoneticPr fontId="1"/>
  </si>
  <si>
    <t>登録された見積原価明細全件の内容が画面設計書通りであること。</t>
    <rPh sb="0" eb="2">
      <t>トウロク</t>
    </rPh>
    <rPh sb="5" eb="7">
      <t>ミツモリ</t>
    </rPh>
    <rPh sb="7" eb="9">
      <t>ゲンカ</t>
    </rPh>
    <rPh sb="9" eb="11">
      <t>メイサイ</t>
    </rPh>
    <rPh sb="11" eb="13">
      <t>ゼンケン</t>
    </rPh>
    <rPh sb="14" eb="16">
      <t>ナイヨウ</t>
    </rPh>
    <rPh sb="17" eb="19">
      <t>ガメン</t>
    </rPh>
    <rPh sb="19" eb="22">
      <t>セッケイショ</t>
    </rPh>
    <rPh sb="22" eb="23">
      <t>ドオ</t>
    </rPh>
    <phoneticPr fontId="1"/>
  </si>
  <si>
    <t>見積原価明細が製品売上、固定費売上、仕入それぞれの件数分新規登録されていること。</t>
    <rPh sb="0" eb="2">
      <t>ミツモリ</t>
    </rPh>
    <rPh sb="2" eb="4">
      <t>ゲンカ</t>
    </rPh>
    <rPh sb="4" eb="6">
      <t>メイサイ</t>
    </rPh>
    <rPh sb="7" eb="9">
      <t>セイヒン</t>
    </rPh>
    <rPh sb="9" eb="11">
      <t>ウリアゲ</t>
    </rPh>
    <rPh sb="12" eb="15">
      <t>コテイヒ</t>
    </rPh>
    <rPh sb="15" eb="17">
      <t>ウリアゲ</t>
    </rPh>
    <rPh sb="18" eb="20">
      <t>シイレ</t>
    </rPh>
    <rPh sb="25" eb="27">
      <t>ケンスウ</t>
    </rPh>
    <rPh sb="27" eb="28">
      <t>ブン</t>
    </rPh>
    <rPh sb="28" eb="30">
      <t>シンキ</t>
    </rPh>
    <rPh sb="30" eb="32">
      <t>トウロク</t>
    </rPh>
    <phoneticPr fontId="1"/>
  </si>
  <si>
    <t>受注ヘッダの内容を確認する。</t>
    <rPh sb="0" eb="2">
      <t>ジュチュウ</t>
    </rPh>
    <rPh sb="6" eb="8">
      <t>ナイヨウ</t>
    </rPh>
    <rPh sb="9" eb="11">
      <t>カクニン</t>
    </rPh>
    <phoneticPr fontId="1"/>
  </si>
  <si>
    <t>受注ヘッダが1件新規登録されていること。</t>
    <rPh sb="0" eb="2">
      <t>ジュチュウ</t>
    </rPh>
    <rPh sb="7" eb="12">
      <t>ケンシンキトウロク</t>
    </rPh>
    <phoneticPr fontId="1"/>
  </si>
  <si>
    <t>登録された受注ヘッダの内容が画面設計書通りであること。</t>
    <rPh sb="0" eb="2">
      <t>トウロク</t>
    </rPh>
    <rPh sb="5" eb="7">
      <t>ジュチュウ</t>
    </rPh>
    <rPh sb="11" eb="13">
      <t>ナイヨウ</t>
    </rPh>
    <rPh sb="14" eb="16">
      <t>ガメン</t>
    </rPh>
    <rPh sb="16" eb="19">
      <t>セッケイショ</t>
    </rPh>
    <rPh sb="19" eb="20">
      <t>ドオ</t>
    </rPh>
    <phoneticPr fontId="1"/>
  </si>
  <si>
    <t>受注明細の内容を確認する。</t>
    <rPh sb="0" eb="2">
      <t>ジュチュウ</t>
    </rPh>
    <rPh sb="2" eb="4">
      <t>メイサイ</t>
    </rPh>
    <rPh sb="5" eb="7">
      <t>ナイヨウ</t>
    </rPh>
    <rPh sb="8" eb="10">
      <t>カクニン</t>
    </rPh>
    <phoneticPr fontId="1"/>
  </si>
  <si>
    <t>受注明細が製品売上、固定費売上の件数分新規登録されていること。</t>
    <rPh sb="0" eb="2">
      <t>ジュチュウ</t>
    </rPh>
    <rPh sb="2" eb="4">
      <t>メイサイ</t>
    </rPh>
    <rPh sb="16" eb="18">
      <t>ケンスウ</t>
    </rPh>
    <rPh sb="18" eb="19">
      <t>ブン</t>
    </rPh>
    <rPh sb="19" eb="21">
      <t>シンキ</t>
    </rPh>
    <rPh sb="21" eb="23">
      <t>トウロク</t>
    </rPh>
    <phoneticPr fontId="1"/>
  </si>
  <si>
    <t>登録された受注明細の内容が画面設計書通りであること。</t>
    <rPh sb="0" eb="2">
      <t>トウロク</t>
    </rPh>
    <rPh sb="5" eb="7">
      <t>ジュチュウ</t>
    </rPh>
    <rPh sb="7" eb="9">
      <t>メイサイ</t>
    </rPh>
    <rPh sb="10" eb="12">
      <t>ナイヨウ</t>
    </rPh>
    <rPh sb="13" eb="15">
      <t>ガメン</t>
    </rPh>
    <rPh sb="15" eb="18">
      <t>セッケイショ</t>
    </rPh>
    <rPh sb="18" eb="19">
      <t>ドオ</t>
    </rPh>
    <phoneticPr fontId="1"/>
  </si>
  <si>
    <t>発注ヘッダの内容を確認する。</t>
    <rPh sb="6" eb="8">
      <t>ナイヨウ</t>
    </rPh>
    <rPh sb="9" eb="11">
      <t>カクニン</t>
    </rPh>
    <phoneticPr fontId="1"/>
  </si>
  <si>
    <t>発注ヘッダが1件新規登録されていること。</t>
    <rPh sb="7" eb="12">
      <t>ケンシンキトウロク</t>
    </rPh>
    <phoneticPr fontId="1"/>
  </si>
  <si>
    <t>登録された発注ヘッダの内容が画面設計書通りであること。</t>
    <rPh sb="0" eb="2">
      <t>トウロク</t>
    </rPh>
    <rPh sb="11" eb="13">
      <t>ナイヨウ</t>
    </rPh>
    <rPh sb="14" eb="16">
      <t>ガメン</t>
    </rPh>
    <rPh sb="16" eb="19">
      <t>セッケイショ</t>
    </rPh>
    <rPh sb="19" eb="20">
      <t>ドオ</t>
    </rPh>
    <phoneticPr fontId="1"/>
  </si>
  <si>
    <t>発注明細の内容を確認する。</t>
    <rPh sb="2" eb="4">
      <t>メイサイ</t>
    </rPh>
    <rPh sb="5" eb="7">
      <t>ナイヨウ</t>
    </rPh>
    <rPh sb="8" eb="10">
      <t>カクニン</t>
    </rPh>
    <phoneticPr fontId="1"/>
  </si>
  <si>
    <t>発注明細が製品売上、固定費売上の件数分新規登録されていること。</t>
    <rPh sb="2" eb="4">
      <t>メイサイ</t>
    </rPh>
    <rPh sb="16" eb="18">
      <t>ケンスウ</t>
    </rPh>
    <rPh sb="18" eb="19">
      <t>ブン</t>
    </rPh>
    <rPh sb="19" eb="21">
      <t>シンキ</t>
    </rPh>
    <rPh sb="21" eb="23">
      <t>トウロク</t>
    </rPh>
    <phoneticPr fontId="1"/>
  </si>
  <si>
    <t>登録された発注明細の内容が画面設計書通りであること。</t>
    <rPh sb="0" eb="2">
      <t>トウロク</t>
    </rPh>
    <rPh sb="7" eb="9">
      <t>メイサイ</t>
    </rPh>
    <rPh sb="10" eb="12">
      <t>ナイヨウ</t>
    </rPh>
    <rPh sb="13" eb="15">
      <t>ガメン</t>
    </rPh>
    <rPh sb="15" eb="18">
      <t>セッケイショ</t>
    </rPh>
    <rPh sb="18" eb="19">
      <t>ドオ</t>
    </rPh>
    <phoneticPr fontId="1"/>
  </si>
  <si>
    <t>登録ボタン押下
（再販登録）</t>
    <rPh sb="0" eb="2">
      <t>トウロク</t>
    </rPh>
    <rPh sb="5" eb="7">
      <t>オウカ</t>
    </rPh>
    <rPh sb="9" eb="11">
      <t>サイハン</t>
    </rPh>
    <rPh sb="11" eb="13">
      <t>トウロク</t>
    </rPh>
    <phoneticPr fontId="1"/>
  </si>
  <si>
    <t>既にアップロード済みであるワークシートを含む見積原価計算書を選択する。</t>
    <rPh sb="0" eb="1">
      <t>スデ</t>
    </rPh>
    <rPh sb="8" eb="9">
      <t>ズ</t>
    </rPh>
    <rPh sb="20" eb="21">
      <t>フク</t>
    </rPh>
    <rPh sb="22" eb="24">
      <t>ミツモリ</t>
    </rPh>
    <rPh sb="24" eb="26">
      <t>ゲンカ</t>
    </rPh>
    <rPh sb="26" eb="29">
      <t>ケイサンショ</t>
    </rPh>
    <rPh sb="30" eb="32">
      <t>センタク</t>
    </rPh>
    <phoneticPr fontId="1"/>
  </si>
  <si>
    <t>既にアップロード済みであるワークシートを選択する。</t>
    <rPh sb="0" eb="1">
      <t>スデ</t>
    </rPh>
    <rPh sb="8" eb="9">
      <t>ズ</t>
    </rPh>
    <rPh sb="20" eb="22">
      <t>センタク</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</si>
  <si>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</si>
  <si>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</si>
  <si>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</si>
  <si>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</si>
  <si>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</si>
  <si>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</si>
  <si>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見積原価一覧画面に遷移すること。</t>
    <rPh sb="0" eb="2">
      <t>ミツモリ</t>
    </rPh>
    <rPh sb="2" eb="4">
      <t>ゲンカ</t>
    </rPh>
    <rPh sb="4" eb="6">
      <t>イチラン</t>
    </rPh>
    <rPh sb="6" eb="8">
      <t>ガメン</t>
    </rPh>
    <rPh sb="9" eb="11">
      <t>センイ</t>
    </rPh>
    <phoneticPr fontId="1"/>
  </si>
  <si>
    <t>見積原価一覧画面に表示されている一覧が入力した検索条件をすべて満たしていること。</t>
    <rPh sb="0" eb="2">
      <t>ミツモリ</t>
    </rPh>
    <rPh sb="2" eb="4">
      <t>ゲンカ</t>
    </rPh>
    <rPh sb="4" eb="6">
      <t>イチラン</t>
    </rPh>
    <rPh sb="6" eb="8">
      <t>ガメン</t>
    </rPh>
    <rPh sb="9" eb="11">
      <t>ヒョウジ</t>
    </rPh>
    <rPh sb="16" eb="18">
      <t>イチラン</t>
    </rPh>
    <rPh sb="19" eb="21">
      <t>ニュウリョク</t>
    </rPh>
    <rPh sb="23" eb="25">
      <t>ケンサク</t>
    </rPh>
    <rPh sb="25" eb="27">
      <t>ジョウケン</t>
    </rPh>
    <rPh sb="31" eb="32">
      <t>ミ</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</si>
  <si>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</si>
  <si>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</si>
  <si>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</si>
  <si>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</si>
  <si>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見積原価検索画面で「表示」をonにした項目すべてが表示されていること。</t>
    <rPh sb="0" eb="2">
      <t>ミツモリ</t>
    </rPh>
    <rPh sb="2" eb="4">
      <t>ゲンカ</t>
    </rPh>
    <rPh sb="4" eb="6">
      <t>ケンサク</t>
    </rPh>
    <rPh sb="6" eb="8">
      <t>ガメン</t>
    </rPh>
    <rPh sb="10" eb="12">
      <t>ヒョウジ</t>
    </rPh>
    <rPh sb="19" eb="21">
      <t>コウモク</t>
    </rPh>
    <rPh sb="25" eb="27">
      <t>ヒョウジ</t>
    </rPh>
    <phoneticPr fontId="1"/>
  </si>
  <si>
    <t>見積原価検索画面で「表示」をonにしていない項目すべてが表示されていないこと。</t>
    <rPh sb="0" eb="2">
      <t>ミツモリ</t>
    </rPh>
    <rPh sb="2" eb="4">
      <t>ゲンカ</t>
    </rPh>
    <rPh sb="4" eb="6">
      <t>ケンサク</t>
    </rPh>
    <rPh sb="6" eb="8">
      <t>ガメン</t>
    </rPh>
    <rPh sb="10" eb="12">
      <t>ヒョウジ</t>
    </rPh>
    <rPh sb="22" eb="24">
      <t>コウモク</t>
    </rPh>
    <rPh sb="28" eb="30">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</si>
  <si>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</si>
  <si>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</si>
  <si>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</si>
  <si>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見積原価一覧画面に表示されている内容が全行全項目ペーストされること。</t>
    <rPh sb="0" eb="2">
      <t>ミツモリ</t>
    </rPh>
    <rPh sb="2" eb="4">
      <t>ゲンカ</t>
    </rPh>
    <rPh sb="4" eb="6">
      <t>イチラン</t>
    </rPh>
    <rPh sb="6" eb="8">
      <t>ガメン</t>
    </rPh>
    <rPh sb="9" eb="11">
      <t>ヒョウジ</t>
    </rPh>
    <rPh sb="16" eb="18">
      <t>ナイヨウ</t>
    </rPh>
    <rPh sb="19" eb="21">
      <t>ゼンギョウ</t>
    </rPh>
    <rPh sb="21" eb="24">
      <t>ゼンコウモク</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</si>
  <si>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</si>
  <si>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</si>
  <si>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</si>
  <si>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見積原価プレビュー画面を閉じる。</t>
    <rPh sb="0" eb="2">
      <t>ミツモリ</t>
    </rPh>
    <rPh sb="2" eb="4">
      <t>ゲンカ</t>
    </rPh>
    <rPh sb="9" eb="11">
      <t>ガメン</t>
    </rPh>
    <rPh sb="12" eb="13">
      <t>ト</t>
    </rPh>
    <phoneticPr fontId="1"/>
  </si>
  <si>
    <t>見積原価プレビュー画面が表示されること。</t>
    <rPh sb="0" eb="2">
      <t>ミツモリ</t>
    </rPh>
    <rPh sb="2" eb="4">
      <t>ゲンカ</t>
    </rPh>
    <rPh sb="9" eb="11">
      <t>ガメン</t>
    </rPh>
    <rPh sb="12" eb="14">
      <t>ヒョウジ</t>
    </rPh>
    <phoneticPr fontId="1"/>
  </si>
  <si>
    <t>見積原価一覧画面が活性化されること。</t>
    <rPh sb="0" eb="2">
      <t>ミツモリ</t>
    </rPh>
    <rPh sb="2" eb="4">
      <t>ゲンカ</t>
    </rPh>
    <rPh sb="4" eb="6">
      <t>イチラン</t>
    </rPh>
    <rPh sb="6" eb="8">
      <t>ガメン</t>
    </rPh>
    <rPh sb="9" eb="12">
      <t>カッセイカ</t>
    </rPh>
    <phoneticPr fontId="1"/>
  </si>
  <si>
    <t>再販ボタン押下</t>
    <rPh sb="0" eb="2">
      <t>サイハン</t>
    </rPh>
    <rPh sb="5" eb="7">
      <t>オウカ</t>
    </rPh>
    <phoneticPr fontId="1"/>
  </si>
  <si>
    <t>表示されている任意の行の再販ボタンを押下する。</t>
    <rPh sb="0" eb="2">
      <t>ヒョウジ</t>
    </rPh>
    <rPh sb="7" eb="9">
      <t>ニンイ</t>
    </rPh>
    <rPh sb="10" eb="11">
      <t>ギョウ</t>
    </rPh>
    <rPh sb="12" eb="14">
      <t>サイハン</t>
    </rPh>
    <rPh sb="18" eb="20">
      <t>オウカ</t>
    </rPh>
    <phoneticPr fontId="1"/>
  </si>
  <si>
    <t>再販履歴画面が表示されること。</t>
    <rPh sb="0" eb="2">
      <t>サイハン</t>
    </rPh>
    <rPh sb="2" eb="4">
      <t>リレキ</t>
    </rPh>
    <rPh sb="4" eb="6">
      <t>ガメン</t>
    </rPh>
    <rPh sb="7" eb="9">
      <t>ヒョウジ</t>
    </rPh>
    <phoneticPr fontId="1"/>
  </si>
  <si>
    <t>再販履歴画面の閉じるボタンを押下する。</t>
    <rPh sb="0" eb="2">
      <t>サイハン</t>
    </rPh>
    <rPh sb="2" eb="4">
      <t>リレキ</t>
    </rPh>
    <rPh sb="4" eb="6">
      <t>ガメン</t>
    </rPh>
    <rPh sb="7" eb="8">
      <t>ト</t>
    </rPh>
    <rPh sb="14" eb="16">
      <t>オウカ</t>
    </rPh>
    <phoneticPr fontId="1"/>
  </si>
  <si>
    <t>再販履歴画面が閉じること。</t>
    <rPh sb="0" eb="2">
      <t>サイハン</t>
    </rPh>
    <rPh sb="2" eb="4">
      <t>リレキ</t>
    </rPh>
    <rPh sb="4" eb="6">
      <t>ガメン</t>
    </rPh>
    <rPh sb="7" eb="8">
      <t>ト</t>
    </rPh>
    <phoneticPr fontId="1"/>
  </si>
  <si>
    <t>削除ボタン押下</t>
    <rPh sb="0" eb="2">
      <t>サクジョ</t>
    </rPh>
    <rPh sb="5" eb="7">
      <t>オウカ</t>
    </rPh>
    <phoneticPr fontId="1"/>
  </si>
  <si>
    <t>表示されている任意の行の削除ボタンを押下する。</t>
    <rPh sb="0" eb="2">
      <t>ヒョウジ</t>
    </rPh>
    <rPh sb="7" eb="9">
      <t>ニンイ</t>
    </rPh>
    <rPh sb="10" eb="11">
      <t>ギョウ</t>
    </rPh>
    <rPh sb="12" eb="14">
      <t>サクジョ</t>
    </rPh>
    <rPh sb="18" eb="20">
      <t>オウカ</t>
    </rPh>
    <phoneticPr fontId="1"/>
  </si>
  <si>
    <t>削除確認画面が表示されること。</t>
    <rPh sb="0" eb="2">
      <t>サクジョ</t>
    </rPh>
    <rPh sb="2" eb="4">
      <t>カクニン</t>
    </rPh>
    <rPh sb="4" eb="6">
      <t>ガメン</t>
    </rPh>
    <rPh sb="7" eb="9">
      <t>ヒョウジ</t>
    </rPh>
    <phoneticPr fontId="1"/>
  </si>
  <si>
    <t>表示されている内容が、再販ボタンを押下した行のものであること。</t>
    <rPh sb="0" eb="2">
      <t>ヒョウジ</t>
    </rPh>
    <rPh sb="7" eb="9">
      <t>ナイヨウ</t>
    </rPh>
    <rPh sb="11" eb="13">
      <t>サイハン</t>
    </rPh>
    <rPh sb="17" eb="19">
      <t>オウカ</t>
    </rPh>
    <rPh sb="21" eb="22">
      <t>ギョウ</t>
    </rPh>
    <phoneticPr fontId="1"/>
  </si>
  <si>
    <t>表示されている内容が、削除ボタンを押下した行のものであること。</t>
    <rPh sb="0" eb="2">
      <t>ヒョウジ</t>
    </rPh>
    <rPh sb="7" eb="9">
      <t>ナイヨウ</t>
    </rPh>
    <rPh sb="11" eb="13">
      <t>サクジョ</t>
    </rPh>
    <rPh sb="17" eb="19">
      <t>オウカ</t>
    </rPh>
    <rPh sb="21" eb="22">
      <t>ギョウ</t>
    </rPh>
    <phoneticPr fontId="1"/>
  </si>
  <si>
    <t>削除確認画面の閉じるボタンを押下する。</t>
    <rPh sb="0" eb="2">
      <t>サクジョ</t>
    </rPh>
    <rPh sb="2" eb="4">
      <t>カクニン</t>
    </rPh>
    <rPh sb="4" eb="6">
      <t>ガメン</t>
    </rPh>
    <rPh sb="7" eb="8">
      <t>ト</t>
    </rPh>
    <rPh sb="14" eb="16">
      <t>オウカ</t>
    </rPh>
    <phoneticPr fontId="1"/>
  </si>
  <si>
    <t>「履歴」が表示されていない任意の行の詳細ボタンを押下する。</t>
    <rPh sb="1" eb="3">
      <t>リレキ</t>
    </rPh>
    <rPh sb="5" eb="7">
      <t>ヒョウジ</t>
    </rPh>
    <rPh sb="13" eb="15">
      <t>ニンイ</t>
    </rPh>
    <rPh sb="16" eb="17">
      <t>ギョウ</t>
    </rPh>
    <rPh sb="18" eb="20">
      <t>ショウサイ</t>
    </rPh>
    <rPh sb="24" eb="26">
      <t>オウカ</t>
    </rPh>
    <phoneticPr fontId="1"/>
  </si>
  <si>
    <t>「履歴」が表示されている任意の行の詳細ボタンを押下する。</t>
    <rPh sb="1" eb="3">
      <t>リレキ</t>
    </rPh>
    <rPh sb="5" eb="7">
      <t>ヒョウジ</t>
    </rPh>
    <rPh sb="12" eb="14">
      <t>ニンイ</t>
    </rPh>
    <rPh sb="15" eb="16">
      <t>ギョウ</t>
    </rPh>
    <rPh sb="17" eb="19">
      <t>ショウサイ</t>
    </rPh>
    <rPh sb="23" eb="25">
      <t>オウカ</t>
    </rPh>
    <phoneticPr fontId="1"/>
  </si>
  <si>
    <t>切り替えタブが表示されていること。</t>
    <rPh sb="0" eb="1">
      <t>キ</t>
    </rPh>
    <rPh sb="2" eb="3">
      <t>カ</t>
    </rPh>
    <rPh sb="7" eb="9">
      <t>ヒョウジ</t>
    </rPh>
    <phoneticPr fontId="1"/>
  </si>
  <si>
    <t>切り替えタブ操作</t>
    <rPh sb="0" eb="1">
      <t>キ</t>
    </rPh>
    <rPh sb="2" eb="3">
      <t>カ</t>
    </rPh>
    <rPh sb="6" eb="8">
      <t>ソウサ</t>
    </rPh>
    <phoneticPr fontId="1"/>
  </si>
  <si>
    <t>表示されているタブの数が（リビジョン数-1）であること。</t>
    <rPh sb="0" eb="2">
      <t>ヒョウジ</t>
    </rPh>
    <rPh sb="10" eb="11">
      <t>カズ</t>
    </rPh>
    <rPh sb="18" eb="19">
      <t>スウ</t>
    </rPh>
    <phoneticPr fontId="1"/>
  </si>
  <si>
    <t>表示されているタブボタンを左から順に押下して表示内容を確認する。</t>
    <rPh sb="0" eb="2">
      <t>ヒョウジ</t>
    </rPh>
    <rPh sb="13" eb="14">
      <t>ヒダリ</t>
    </rPh>
    <rPh sb="16" eb="17">
      <t>ジュン</t>
    </rPh>
    <rPh sb="18" eb="20">
      <t>オウカ</t>
    </rPh>
    <rPh sb="22" eb="24">
      <t>ヒョウジ</t>
    </rPh>
    <rPh sb="24" eb="26">
      <t>ナイヨウ</t>
    </rPh>
    <rPh sb="27" eb="29">
      <t>カクニン</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</si>
  <si>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</si>
  <si>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初期表示されているのは最新のリビジョンのものであること。</t>
    <rPh sb="0" eb="2">
      <t>ショキ</t>
    </rPh>
    <rPh sb="2" eb="4">
      <t>ヒョウジ</t>
    </rPh>
    <rPh sb="11" eb="13">
      <t>サイシン</t>
    </rPh>
    <phoneticPr fontId="1"/>
  </si>
  <si>
    <t>URLコピーボタン押下</t>
    <rPh sb="9" eb="11">
      <t>オウカ</t>
    </rPh>
    <phoneticPr fontId="1"/>
  </si>
  <si>
    <t>画面表示
（再販）</t>
    <rPh sb="0" eb="2">
      <t>ガメン</t>
    </rPh>
    <rPh sb="2" eb="4">
      <t>ヒョウジ</t>
    </rPh>
    <rPh sb="6" eb="8">
      <t>サイハン</t>
    </rPh>
    <phoneticPr fontId="1"/>
  </si>
  <si>
    <t>URLコピーボタンを押下する。</t>
    <rPh sb="10" eb="12">
      <t>オウカ</t>
    </rPh>
    <phoneticPr fontId="1"/>
  </si>
  <si>
    <t>メインメニュー画面で使用されているブラウザと同じブラウザをを新規に開く。</t>
    <rPh sb="7" eb="9">
      <t>ガメン</t>
    </rPh>
    <rPh sb="10" eb="12">
      <t>シヨウ</t>
    </rPh>
    <rPh sb="22" eb="23">
      <t>オナ</t>
    </rPh>
    <rPh sb="30" eb="32">
      <t>シンキ</t>
    </rPh>
    <rPh sb="33" eb="34">
      <t>ヒラ</t>
    </rPh>
    <phoneticPr fontId="1"/>
  </si>
  <si>
    <t>新規に開かれたブラウザのアドレスにカーソルを当て、URLを張り付けた後にEnterボタンを押下する。</t>
    <rPh sb="0" eb="2">
      <t>シンキ</t>
    </rPh>
    <rPh sb="3" eb="4">
      <t>ヒラ</t>
    </rPh>
    <rPh sb="22" eb="23">
      <t>ア</t>
    </rPh>
    <rPh sb="29" eb="30">
      <t>ハ</t>
    </rPh>
    <rPh sb="31" eb="32">
      <t>ツ</t>
    </rPh>
    <rPh sb="34" eb="35">
      <t>アト</t>
    </rPh>
    <rPh sb="45" eb="47">
      <t>オウカ</t>
    </rPh>
    <phoneticPr fontId="1"/>
  </si>
  <si>
    <t>閉じた見積原価プレビュー画面と同じ内容が表示されること。</t>
    <rPh sb="0" eb="1">
      <t>ト</t>
    </rPh>
    <rPh sb="3" eb="5">
      <t>ミツモリ</t>
    </rPh>
    <rPh sb="5" eb="7">
      <t>ゲンカ</t>
    </rPh>
    <rPh sb="12" eb="14">
      <t>ガメン</t>
    </rPh>
    <rPh sb="15" eb="16">
      <t>オナ</t>
    </rPh>
    <rPh sb="17" eb="19">
      <t>ナイヨウ</t>
    </rPh>
    <rPh sb="20" eb="22">
      <t>ヒョウジ</t>
    </rPh>
    <phoneticPr fontId="1"/>
  </si>
  <si>
    <t>DOWNLOADボタン押下</t>
    <rPh sb="11" eb="13">
      <t>オウカ</t>
    </rPh>
    <phoneticPr fontId="1"/>
  </si>
  <si>
    <t>DOWNLOADボタンを押下する。</t>
    <rPh sb="12" eb="14">
      <t>オウカ</t>
    </rPh>
    <phoneticPr fontId="1"/>
  </si>
  <si>
    <t>ダウンロード先フォルダ選択画面（ブラウザが提供）が表示されること。</t>
    <rPh sb="6" eb="7">
      <t>サキ</t>
    </rPh>
    <rPh sb="11" eb="13">
      <t>センタク</t>
    </rPh>
    <rPh sb="13" eb="15">
      <t>ガメン</t>
    </rPh>
    <rPh sb="21" eb="23">
      <t>テイキョウ</t>
    </rPh>
    <rPh sb="25" eb="27">
      <t>ヒョウジ</t>
    </rPh>
    <phoneticPr fontId="1"/>
  </si>
  <si>
    <t>任意のダウンロード先を指定する</t>
    <rPh sb="0" eb="2">
      <t>ニンイ</t>
    </rPh>
    <rPh sb="9" eb="10">
      <t>サキ</t>
    </rPh>
    <rPh sb="11" eb="13">
      <t>シテイ</t>
    </rPh>
    <phoneticPr fontId="1"/>
  </si>
  <si>
    <t>指定したフォルダに見積原価書の圧縮ファイルが存在していること。</t>
    <rPh sb="0" eb="2">
      <t>シテイ</t>
    </rPh>
    <rPh sb="9" eb="11">
      <t>ミツモリ</t>
    </rPh>
    <rPh sb="11" eb="13">
      <t>ゲンカ</t>
    </rPh>
    <rPh sb="13" eb="14">
      <t>ショ</t>
    </rPh>
    <rPh sb="15" eb="17">
      <t>アッシュク</t>
    </rPh>
    <rPh sb="22" eb="24">
      <t>ソンザイ</t>
    </rPh>
    <phoneticPr fontId="1"/>
  </si>
  <si>
    <t>見積原価計算書の圧縮ファイルを解凍する。</t>
    <rPh sb="0" eb="2">
      <t>ミツモリ</t>
    </rPh>
    <rPh sb="2" eb="4">
      <t>ゲンカ</t>
    </rPh>
    <rPh sb="4" eb="7">
      <t>ケイサンショ</t>
    </rPh>
    <rPh sb="8" eb="10">
      <t>アッシュク</t>
    </rPh>
    <rPh sb="15" eb="17">
      <t>カイトウ</t>
    </rPh>
    <phoneticPr fontId="1"/>
  </si>
  <si>
    <t>解凍に失敗しないこと。</t>
    <rPh sb="0" eb="2">
      <t>カイトウ</t>
    </rPh>
    <rPh sb="3" eb="5">
      <t>シッパイ</t>
    </rPh>
    <phoneticPr fontId="1"/>
  </si>
  <si>
    <t>解凍した見積原価計算書を開く。</t>
    <rPh sb="0" eb="2">
      <t>カイトウ</t>
    </rPh>
    <rPh sb="4" eb="11">
      <t>ミツモリゲンカケイサンショ</t>
    </rPh>
    <rPh sb="12" eb="13">
      <t>ヒラ</t>
    </rPh>
    <phoneticPr fontId="1"/>
  </si>
  <si>
    <t>オープン時にエラーが発生しないこと。</t>
    <rPh sb="4" eb="5">
      <t>ジ</t>
    </rPh>
    <rPh sb="10" eb="12">
      <t>ハッセイ</t>
    </rPh>
    <phoneticPr fontId="1"/>
  </si>
  <si>
    <t>開いた見積原価計算書の内容を確認する。</t>
    <rPh sb="0" eb="1">
      <t>ヒラ</t>
    </rPh>
    <rPh sb="3" eb="5">
      <t>ミツモリ</t>
    </rPh>
    <rPh sb="5" eb="7">
      <t>ゲンカ</t>
    </rPh>
    <rPh sb="7" eb="10">
      <t>ケイサンショ</t>
    </rPh>
    <rPh sb="11" eb="13">
      <t>ナイヨウ</t>
    </rPh>
    <rPh sb="14" eb="16">
      <t>カクニン</t>
    </rPh>
    <phoneticPr fontId="1"/>
  </si>
  <si>
    <t>見積原価計算書のテンプレートと同じ位置に式が埋め込まれていること。</t>
    <rPh sb="0" eb="2">
      <t>ミツモリ</t>
    </rPh>
    <rPh sb="2" eb="4">
      <t>ゲンカ</t>
    </rPh>
    <rPh sb="4" eb="7">
      <t>ケイサンショ</t>
    </rPh>
    <rPh sb="15" eb="16">
      <t>オナ</t>
    </rPh>
    <rPh sb="17" eb="19">
      <t>イチ</t>
    </rPh>
    <rPh sb="20" eb="21">
      <t>シキ</t>
    </rPh>
    <rPh sb="22" eb="23">
      <t>ウ</t>
    </rPh>
    <rPh sb="24" eb="25">
      <t>コ</t>
    </rPh>
    <phoneticPr fontId="1"/>
  </si>
  <si>
    <t>見積原価プレビュー画面に表示されている内容と差異がないこと。</t>
    <rPh sb="0" eb="2">
      <t>ミツモリ</t>
    </rPh>
    <rPh sb="2" eb="4">
      <t>ゲンカ</t>
    </rPh>
    <rPh sb="9" eb="11">
      <t>ガメン</t>
    </rPh>
    <rPh sb="12" eb="14">
      <t>ヒョウジ</t>
    </rPh>
    <rPh sb="19" eb="21">
      <t>ナイヨウ</t>
    </rPh>
    <rPh sb="22" eb="24">
      <t>サイ</t>
    </rPh>
    <phoneticPr fontId="1"/>
  </si>
  <si>
    <t>タブボタン数分のシートが存在していること。</t>
    <rPh sb="5" eb="6">
      <t>スウ</t>
    </rPh>
    <rPh sb="6" eb="7">
      <t>ブン</t>
    </rPh>
    <rPh sb="12" eb="14">
      <t>ソンザイ</t>
    </rPh>
    <phoneticPr fontId="1"/>
  </si>
  <si>
    <t>各シートとも見積原価プレビュー画面のタブに表示されている内容と差異がないこと。</t>
    <rPh sb="0" eb="1">
      <t>カク</t>
    </rPh>
    <rPh sb="6" eb="8">
      <t>ミツモリ</t>
    </rPh>
    <rPh sb="8" eb="10">
      <t>ゲンカ</t>
    </rPh>
    <rPh sb="15" eb="17">
      <t>ガメン</t>
    </rPh>
    <rPh sb="21" eb="23">
      <t>ヒョウジ</t>
    </rPh>
    <rPh sb="28" eb="30">
      <t>ナイヨウ</t>
    </rPh>
    <rPh sb="31" eb="33">
      <t>サイ</t>
    </rPh>
    <phoneticPr fontId="1"/>
  </si>
  <si>
    <t>印刷ボタン押下</t>
    <rPh sb="0" eb="2">
      <t>インサツ</t>
    </rPh>
    <rPh sb="5" eb="7">
      <t>オウカ</t>
    </rPh>
    <phoneticPr fontId="1"/>
  </si>
  <si>
    <t>印刷ボタンを押下する。</t>
    <rPh sb="0" eb="2">
      <t>インサツ</t>
    </rPh>
    <rPh sb="6" eb="8">
      <t>オウカ</t>
    </rPh>
    <phoneticPr fontId="1"/>
  </si>
  <si>
    <t>見積原価プレビュー画面の内容が印刷されること。</t>
    <rPh sb="0" eb="4">
      <t>ミツモリゲンカ</t>
    </rPh>
    <rPh sb="9" eb="11">
      <t>ガメン</t>
    </rPh>
    <rPh sb="12" eb="14">
      <t>ナイヨウ</t>
    </rPh>
    <rPh sb="15" eb="17">
      <t>インサツ</t>
    </rPh>
    <phoneticPr fontId="1"/>
  </si>
  <si>
    <t>編集ボタンを押下する。</t>
    <rPh sb="0" eb="2">
      <t>ヘンシュウ</t>
    </rPh>
    <rPh sb="6" eb="8">
      <t>オウカ</t>
    </rPh>
    <phoneticPr fontId="1"/>
  </si>
  <si>
    <t>タブ切り替えボタンが非活性化すること</t>
    <rPh sb="2" eb="3">
      <t>キ</t>
    </rPh>
    <rPh sb="4" eb="5">
      <t>カ</t>
    </rPh>
    <rPh sb="10" eb="11">
      <t>ヒ</t>
    </rPh>
    <rPh sb="11" eb="14">
      <t>カッセイカ</t>
    </rPh>
    <phoneticPr fontId="1"/>
  </si>
  <si>
    <t>URLコピーボタン、DOWNLOADボタン、印刷ボタン、編集ボタンが非表示になること。</t>
    <rPh sb="22" eb="24">
      <t>インサツ</t>
    </rPh>
    <rPh sb="28" eb="30">
      <t>ヘンシュウ</t>
    </rPh>
    <rPh sb="34" eb="37">
      <t>ヒヒョウジ</t>
    </rPh>
    <phoneticPr fontId="1"/>
  </si>
  <si>
    <t>中止ボタン、登録ボタンが活性化された状態で表示されること。</t>
    <rPh sb="0" eb="2">
      <t>チュウシ</t>
    </rPh>
    <rPh sb="6" eb="8">
      <t>トウロク</t>
    </rPh>
    <rPh sb="12" eb="15">
      <t>カッセイカ</t>
    </rPh>
    <rPh sb="18" eb="20">
      <t>ジョウタイ</t>
    </rPh>
    <rPh sb="21" eb="23">
      <t>ヒョウジ</t>
    </rPh>
    <phoneticPr fontId="1"/>
  </si>
  <si>
    <t>画面設計書で入力可能と定義されている項目が全て入力可能となっていること。</t>
    <rPh sb="0" eb="2">
      <t>ガメン</t>
    </rPh>
    <rPh sb="2" eb="5">
      <t>セッケイショ</t>
    </rPh>
    <rPh sb="6" eb="8">
      <t>ニュウリョク</t>
    </rPh>
    <rPh sb="8" eb="10">
      <t>カノウ</t>
    </rPh>
    <rPh sb="11" eb="13">
      <t>テイギ</t>
    </rPh>
    <rPh sb="18" eb="20">
      <t>コウモク</t>
    </rPh>
    <rPh sb="21" eb="22">
      <t>スベ</t>
    </rPh>
    <rPh sb="23" eb="25">
      <t>ニュウリョク</t>
    </rPh>
    <rPh sb="25" eb="27">
      <t>カノウ</t>
    </rPh>
    <phoneticPr fontId="1"/>
  </si>
  <si>
    <t>画面設計書で入力不可と定義されている項目が全て入力不能となっていること。</t>
    <rPh sb="0" eb="2">
      <t>ガメン</t>
    </rPh>
    <rPh sb="2" eb="5">
      <t>セッケイショ</t>
    </rPh>
    <rPh sb="6" eb="8">
      <t>ニュウリョク</t>
    </rPh>
    <rPh sb="8" eb="10">
      <t>フカ</t>
    </rPh>
    <rPh sb="11" eb="13">
      <t>テイギ</t>
    </rPh>
    <rPh sb="18" eb="20">
      <t>コウモク</t>
    </rPh>
    <rPh sb="21" eb="22">
      <t>スベ</t>
    </rPh>
    <rPh sb="23" eb="25">
      <t>ニュウリョク</t>
    </rPh>
    <rPh sb="25" eb="27">
      <t>フノウ</t>
    </rPh>
    <phoneticPr fontId="1"/>
  </si>
  <si>
    <t>中止ボタン押下</t>
    <rPh sb="0" eb="2">
      <t>チュウシ</t>
    </rPh>
    <rPh sb="5" eb="7">
      <t>オウカ</t>
    </rPh>
    <phoneticPr fontId="1"/>
  </si>
  <si>
    <t>中止ボタンを押下する。</t>
    <rPh sb="0" eb="2">
      <t>チュウシ</t>
    </rPh>
    <rPh sb="6" eb="8">
      <t>オウカ</t>
    </rPh>
    <phoneticPr fontId="1"/>
  </si>
  <si>
    <t>確認ダイアログが表示されること。</t>
    <rPh sb="0" eb="2">
      <t>カクニン</t>
    </rPh>
    <rPh sb="8" eb="10">
      <t>ヒョウジ</t>
    </rPh>
    <phoneticPr fontId="1"/>
  </si>
  <si>
    <t>確認ダイアログで「いいえ」を選択する。</t>
    <rPh sb="0" eb="2">
      <t>カクニン</t>
    </rPh>
    <rPh sb="14" eb="16">
      <t>センタク</t>
    </rPh>
    <phoneticPr fontId="1"/>
  </si>
  <si>
    <t>タブ切り替えボタンが非活性化であること。</t>
    <rPh sb="2" eb="3">
      <t>キ</t>
    </rPh>
    <rPh sb="4" eb="5">
      <t>カ</t>
    </rPh>
    <rPh sb="10" eb="11">
      <t>ヒ</t>
    </rPh>
    <rPh sb="11" eb="14">
      <t>カッセイカ</t>
    </rPh>
    <phoneticPr fontId="1"/>
  </si>
  <si>
    <t>URLコピーボタン、DOWNLOADボタン、印刷ボタン、編集ボタンが非表示であること。</t>
    <rPh sb="22" eb="24">
      <t>インサツ</t>
    </rPh>
    <rPh sb="28" eb="30">
      <t>ヘンシュウ</t>
    </rPh>
    <rPh sb="34" eb="37">
      <t>ヒヒョウジ</t>
    </rPh>
    <phoneticPr fontId="1"/>
  </si>
  <si>
    <t>中止ボタン、登録ボタンが活性化された状態で表示されていること。</t>
    <rPh sb="0" eb="2">
      <t>チュウシ</t>
    </rPh>
    <rPh sb="6" eb="8">
      <t>トウロク</t>
    </rPh>
    <rPh sb="12" eb="15">
      <t>カッセイカ</t>
    </rPh>
    <rPh sb="18" eb="20">
      <t>ジョウタイ</t>
    </rPh>
    <rPh sb="21" eb="23">
      <t>ヒョウジ</t>
    </rPh>
    <phoneticPr fontId="1"/>
  </si>
  <si>
    <t>確認ダイアログで「はい」を選択する。</t>
    <rPh sb="0" eb="2">
      <t>カクニン</t>
    </rPh>
    <rPh sb="13" eb="15">
      <t>センタク</t>
    </rPh>
    <phoneticPr fontId="1"/>
  </si>
  <si>
    <t>タブ切り替えボタンが活性化されること。</t>
    <rPh sb="2" eb="3">
      <t>キ</t>
    </rPh>
    <rPh sb="4" eb="5">
      <t>カ</t>
    </rPh>
    <rPh sb="10" eb="13">
      <t>カッセイカ</t>
    </rPh>
    <phoneticPr fontId="1"/>
  </si>
  <si>
    <t>中止ボタン、登録ボタンが非表示になること。</t>
    <rPh sb="0" eb="2">
      <t>チュウシ</t>
    </rPh>
    <rPh sb="6" eb="8">
      <t>トウロク</t>
    </rPh>
    <rPh sb="12" eb="13">
      <t>ヒ</t>
    </rPh>
    <rPh sb="13" eb="15">
      <t>ヒョウジ</t>
    </rPh>
    <phoneticPr fontId="1"/>
  </si>
  <si>
    <t>URLコピーボタン、DOWNLOADボタン、印刷ボタン、編集ボタンが活性化されて表示されていること。</t>
    <rPh sb="22" eb="24">
      <t>インサツ</t>
    </rPh>
    <rPh sb="28" eb="30">
      <t>ヘンシュウ</t>
    </rPh>
    <rPh sb="34" eb="37">
      <t>カッセイカ</t>
    </rPh>
    <rPh sb="40" eb="42">
      <t>ヒョウジ</t>
    </rPh>
    <phoneticPr fontId="1"/>
  </si>
  <si>
    <t>受注確定ボタン、受注確定選択チェックボックス、受注ステータス、発注確定ボタン、発注確定取消ボタン、発注確定選択チェックボックス、発注確定取消チェックボックス、発注ステータスが非表示であること。</t>
    <rPh sb="87" eb="90">
      <t>ヒヒョウジ</t>
    </rPh>
    <phoneticPr fontId="1"/>
  </si>
  <si>
    <t>受注確定ボタン、受注確定選択チェックボックス、受注ステータス、発注確定ボタン、発注確定取消ボタン、発注確定選択チェックボックス、発注確定取消チェックボックス、発注ステータスが表示されていること。</t>
    <rPh sb="87" eb="89">
      <t>ヒョウジ</t>
    </rPh>
    <phoneticPr fontId="1"/>
  </si>
  <si>
    <t>製品売上の明細の受注ステータスが該当の受注明細の受注ステータスの値と一致していること。</t>
    <rPh sb="0" eb="2">
      <t>セイヒン</t>
    </rPh>
    <rPh sb="2" eb="4">
      <t>ウリアゲ</t>
    </rPh>
    <rPh sb="5" eb="7">
      <t>メイサイ</t>
    </rPh>
    <rPh sb="8" eb="10">
      <t>ジュチュウ</t>
    </rPh>
    <rPh sb="16" eb="18">
      <t>ガイトウ</t>
    </rPh>
    <rPh sb="19" eb="21">
      <t>ジュチュウ</t>
    </rPh>
    <rPh sb="21" eb="23">
      <t>メイサイ</t>
    </rPh>
    <rPh sb="24" eb="26">
      <t>ジュチュウ</t>
    </rPh>
    <rPh sb="32" eb="33">
      <t>アタイ</t>
    </rPh>
    <rPh sb="34" eb="36">
      <t>イッチ</t>
    </rPh>
    <phoneticPr fontId="1"/>
  </si>
  <si>
    <t>固定費売上の明細の受注ステータスが該当の受注明細の受注ステータスの値と一致していること。</t>
    <rPh sb="0" eb="3">
      <t>コテイヒ</t>
    </rPh>
    <rPh sb="3" eb="5">
      <t>ウリアゲ</t>
    </rPh>
    <rPh sb="6" eb="8">
      <t>メイサイ</t>
    </rPh>
    <rPh sb="9" eb="11">
      <t>ジュチュウ</t>
    </rPh>
    <rPh sb="17" eb="19">
      <t>ガイトウ</t>
    </rPh>
    <rPh sb="20" eb="22">
      <t>ジュチュウ</t>
    </rPh>
    <rPh sb="22" eb="24">
      <t>メイサイ</t>
    </rPh>
    <rPh sb="25" eb="27">
      <t>ジュチュウ</t>
    </rPh>
    <rPh sb="33" eb="34">
      <t>アタイ</t>
    </rPh>
    <rPh sb="35" eb="37">
      <t>イッチ</t>
    </rPh>
    <phoneticPr fontId="1"/>
  </si>
  <si>
    <t>受注ステータスが仮受注である製品売上の明細は、画面設計書で入力可能と定義されている項目が全て入力可能となっていること。</t>
    <rPh sb="0" eb="2">
      <t>ジュチュウ</t>
    </rPh>
    <rPh sb="8" eb="9">
      <t>カリ</t>
    </rPh>
    <rPh sb="9" eb="11">
      <t>ジュチュウ</t>
    </rPh>
    <rPh sb="14" eb="16">
      <t>セイヒン</t>
    </rPh>
    <rPh sb="16" eb="18">
      <t>ウリアゲ</t>
    </rPh>
    <rPh sb="19" eb="21">
      <t>メイサイ</t>
    </rPh>
    <rPh sb="23" eb="25">
      <t>ガメン</t>
    </rPh>
    <rPh sb="25" eb="28">
      <t>セッケイショ</t>
    </rPh>
    <rPh sb="29" eb="31">
      <t>ニュウリョク</t>
    </rPh>
    <rPh sb="31" eb="33">
      <t>カノウ</t>
    </rPh>
    <rPh sb="34" eb="36">
      <t>テイギ</t>
    </rPh>
    <rPh sb="41" eb="43">
      <t>コウモク</t>
    </rPh>
    <rPh sb="44" eb="45">
      <t>スベ</t>
    </rPh>
    <rPh sb="46" eb="48">
      <t>ニュウリョク</t>
    </rPh>
    <rPh sb="48" eb="50">
      <t>カノウ</t>
    </rPh>
    <phoneticPr fontId="1"/>
  </si>
  <si>
    <t>受注ステータスが仮受注以外である製品売上の明細は、画面設計書で入力可能と定義されている項目が全て入力不可能となっていること。</t>
    <rPh sb="0" eb="2">
      <t>ジュチュウ</t>
    </rPh>
    <rPh sb="8" eb="9">
      <t>カリ</t>
    </rPh>
    <rPh sb="9" eb="11">
      <t>ジュチュウ</t>
    </rPh>
    <rPh sb="11" eb="13">
      <t>イガイ</t>
    </rPh>
    <rPh sb="16" eb="18">
      <t>セイヒン</t>
    </rPh>
    <rPh sb="18" eb="20">
      <t>ウリアゲ</t>
    </rPh>
    <rPh sb="21" eb="23">
      <t>メイサイ</t>
    </rPh>
    <rPh sb="25" eb="27">
      <t>ガメン</t>
    </rPh>
    <rPh sb="27" eb="30">
      <t>セッケイショ</t>
    </rPh>
    <rPh sb="31" eb="33">
      <t>ニュウリョク</t>
    </rPh>
    <rPh sb="33" eb="35">
      <t>カノウ</t>
    </rPh>
    <rPh sb="36" eb="38">
      <t>テイギ</t>
    </rPh>
    <rPh sb="43" eb="45">
      <t>コウモク</t>
    </rPh>
    <rPh sb="46" eb="47">
      <t>スベ</t>
    </rPh>
    <rPh sb="48" eb="50">
      <t>ニュウリョク</t>
    </rPh>
    <rPh sb="50" eb="51">
      <t>フ</t>
    </rPh>
    <rPh sb="51" eb="53">
      <t>カノウ</t>
    </rPh>
    <phoneticPr fontId="1"/>
  </si>
  <si>
    <t>受注ステータスが仮受注である固定費売上の明細は、画面設計書で入力可能と定義されている項目が全て入力可能となっていること。</t>
    <rPh sb="0" eb="2">
      <t>ジュチュウ</t>
    </rPh>
    <rPh sb="8" eb="9">
      <t>カリ</t>
    </rPh>
    <rPh sb="9" eb="11">
      <t>ジュチュウ</t>
    </rPh>
    <rPh sb="14" eb="17">
      <t>コテイヒ</t>
    </rPh>
    <rPh sb="17" eb="19">
      <t>ウリアゲ</t>
    </rPh>
    <rPh sb="20" eb="22">
      <t>メイサイ</t>
    </rPh>
    <rPh sb="24" eb="26">
      <t>ガメン</t>
    </rPh>
    <rPh sb="26" eb="29">
      <t>セッケイショ</t>
    </rPh>
    <rPh sb="30" eb="32">
      <t>ニュウリョク</t>
    </rPh>
    <rPh sb="32" eb="34">
      <t>カノウ</t>
    </rPh>
    <rPh sb="35" eb="37">
      <t>テイギ</t>
    </rPh>
    <rPh sb="42" eb="44">
      <t>コウモク</t>
    </rPh>
    <rPh sb="45" eb="46">
      <t>スベ</t>
    </rPh>
    <rPh sb="47" eb="49">
      <t>ニュウリョク</t>
    </rPh>
    <rPh sb="49" eb="51">
      <t>カノウ</t>
    </rPh>
    <phoneticPr fontId="1"/>
  </si>
  <si>
    <t>受注ステータスが仮受注以外である固定費売上の明細は、画面設計書で入力可能と定義されている項目が全て入力不可能となっていること。</t>
    <rPh sb="0" eb="2">
      <t>ジュチュウ</t>
    </rPh>
    <rPh sb="8" eb="9">
      <t>カリ</t>
    </rPh>
    <rPh sb="9" eb="11">
      <t>ジュチュウ</t>
    </rPh>
    <rPh sb="11" eb="13">
      <t>イガイ</t>
    </rPh>
    <rPh sb="16" eb="19">
      <t>コテイヒ</t>
    </rPh>
    <rPh sb="19" eb="21">
      <t>ウリアゲ</t>
    </rPh>
    <rPh sb="22" eb="24">
      <t>メイサイ</t>
    </rPh>
    <rPh sb="26" eb="28">
      <t>ガメン</t>
    </rPh>
    <rPh sb="28" eb="31">
      <t>セッケイショ</t>
    </rPh>
    <rPh sb="32" eb="34">
      <t>ニュウリョク</t>
    </rPh>
    <rPh sb="34" eb="36">
      <t>カノウ</t>
    </rPh>
    <rPh sb="37" eb="39">
      <t>テイギ</t>
    </rPh>
    <rPh sb="44" eb="46">
      <t>コウモク</t>
    </rPh>
    <rPh sb="47" eb="48">
      <t>スベ</t>
    </rPh>
    <rPh sb="49" eb="51">
      <t>ニュウリョク</t>
    </rPh>
    <rPh sb="51" eb="52">
      <t>フ</t>
    </rPh>
    <rPh sb="52" eb="54">
      <t>カノウ</t>
    </rPh>
    <phoneticPr fontId="1"/>
  </si>
  <si>
    <t>明細以外の項目については、画面設計書で入力可と定義されている項目が全て入力可能となっていること。</t>
    <rPh sb="0" eb="2">
      <t>メイサイ</t>
    </rPh>
    <rPh sb="2" eb="4">
      <t>イガイ</t>
    </rPh>
    <rPh sb="5" eb="7">
      <t>コウモク</t>
    </rPh>
    <rPh sb="13" eb="15">
      <t>ガメン</t>
    </rPh>
    <rPh sb="15" eb="18">
      <t>セッケイショ</t>
    </rPh>
    <rPh sb="19" eb="21">
      <t>ニュウリョク</t>
    </rPh>
    <rPh sb="21" eb="22">
      <t>カ</t>
    </rPh>
    <rPh sb="23" eb="25">
      <t>テイギ</t>
    </rPh>
    <rPh sb="30" eb="32">
      <t>コウモク</t>
    </rPh>
    <rPh sb="33" eb="34">
      <t>スベ</t>
    </rPh>
    <rPh sb="35" eb="37">
      <t>ニュウリョク</t>
    </rPh>
    <rPh sb="37" eb="39">
      <t>カノウ</t>
    </rPh>
    <phoneticPr fontId="1"/>
  </si>
  <si>
    <t>明細以外の項目については、画面設計書で入力不可と定義されている項目が全て入力不可能となっていること。</t>
    <rPh sb="0" eb="2">
      <t>メイサイ</t>
    </rPh>
    <rPh sb="2" eb="4">
      <t>イガイ</t>
    </rPh>
    <rPh sb="5" eb="7">
      <t>コウモク</t>
    </rPh>
    <rPh sb="13" eb="15">
      <t>ガメン</t>
    </rPh>
    <rPh sb="15" eb="18">
      <t>セッケイショ</t>
    </rPh>
    <rPh sb="19" eb="21">
      <t>ニュウリョク</t>
    </rPh>
    <rPh sb="21" eb="23">
      <t>フカ</t>
    </rPh>
    <rPh sb="24" eb="26">
      <t>テイギ</t>
    </rPh>
    <rPh sb="31" eb="33">
      <t>コウモク</t>
    </rPh>
    <rPh sb="34" eb="35">
      <t>スベ</t>
    </rPh>
    <rPh sb="36" eb="38">
      <t>ニュウリョク</t>
    </rPh>
    <rPh sb="38" eb="41">
      <t>フカノウ</t>
    </rPh>
    <phoneticPr fontId="1"/>
  </si>
  <si>
    <t>見積原価計算書の全ての表示項目が入力不可となること。</t>
    <rPh sb="0" eb="7">
      <t>ミツモリゲンカケイサンショ</t>
    </rPh>
    <rPh sb="8" eb="9">
      <t>スベ</t>
    </rPh>
    <rPh sb="11" eb="13">
      <t>ヒョウジ</t>
    </rPh>
    <rPh sb="13" eb="15">
      <t>コウモク</t>
    </rPh>
    <rPh sb="16" eb="18">
      <t>ニュウリョク</t>
    </rPh>
    <rPh sb="18" eb="20">
      <t>フカ</t>
    </rPh>
    <phoneticPr fontId="1"/>
  </si>
  <si>
    <t>編集ボタンを押下する。</t>
    <rPh sb="0" eb="2">
      <t>ヘンシュウ</t>
    </rPh>
    <rPh sb="6" eb="8">
      <t>オウカ</t>
    </rPh>
    <phoneticPr fontId="1"/>
  </si>
  <si>
    <t>登録ボタンを押下する。</t>
    <rPh sb="0" eb="2">
      <t>トウロク</t>
    </rPh>
    <rPh sb="6" eb="8">
      <t>オウカ</t>
    </rPh>
    <phoneticPr fontId="1"/>
  </si>
  <si>
    <t>登録確認のダイアログが表示されること。</t>
    <rPh sb="0" eb="2">
      <t>トウロク</t>
    </rPh>
    <rPh sb="2" eb="4">
      <t>カクニン</t>
    </rPh>
    <rPh sb="11" eb="13">
      <t>ヒョウジ</t>
    </rPh>
    <phoneticPr fontId="1"/>
  </si>
  <si>
    <t>見積原価プレビュー画面がフォーカスされること。</t>
    <rPh sb="0" eb="4">
      <t>ミツモリゲンカ</t>
    </rPh>
    <rPh sb="9" eb="11">
      <t>ガメン</t>
    </rPh>
    <phoneticPr fontId="1"/>
  </si>
  <si>
    <t>製品売上の明細の受注ステータスに該当する受注明細の受注ステータスの値が「仮受注」の場合、受注確定チェックボックスが表示されていること。</t>
    <rPh sb="0" eb="2">
      <t>セイヒン</t>
    </rPh>
    <rPh sb="2" eb="4">
      <t>ウリアゲ</t>
    </rPh>
    <rPh sb="5" eb="7">
      <t>メイサイ</t>
    </rPh>
    <rPh sb="8" eb="10">
      <t>ジュチュウ</t>
    </rPh>
    <rPh sb="16" eb="18">
      <t>ガイトウ</t>
    </rPh>
    <rPh sb="20" eb="22">
      <t>ジュチュウ</t>
    </rPh>
    <rPh sb="22" eb="24">
      <t>メイサイ</t>
    </rPh>
    <rPh sb="25" eb="27">
      <t>ジュチュウ</t>
    </rPh>
    <rPh sb="33" eb="34">
      <t>アタイ</t>
    </rPh>
    <rPh sb="36" eb="37">
      <t>カリ</t>
    </rPh>
    <rPh sb="37" eb="39">
      <t>ジュチュウ</t>
    </rPh>
    <rPh sb="41" eb="43">
      <t>バアイ</t>
    </rPh>
    <rPh sb="44" eb="46">
      <t>ジュチュウ</t>
    </rPh>
    <rPh sb="46" eb="48">
      <t>カクテイ</t>
    </rPh>
    <rPh sb="57" eb="59">
      <t>ヒョウジ</t>
    </rPh>
    <phoneticPr fontId="1"/>
  </si>
  <si>
    <t>製品売上の明細の受注ステータスに該当する受注明細の受注ステータスの値が「仮受注」以外の場合、受注確定チェックボックスが表示されていないこと。</t>
    <rPh sb="0" eb="2">
      <t>セイヒン</t>
    </rPh>
    <rPh sb="2" eb="4">
      <t>ウリアゲ</t>
    </rPh>
    <rPh sb="5" eb="7">
      <t>メイサイ</t>
    </rPh>
    <rPh sb="8" eb="10">
      <t>ジュチュウ</t>
    </rPh>
    <rPh sb="16" eb="18">
      <t>ガイトウ</t>
    </rPh>
    <rPh sb="20" eb="22">
      <t>ジュチュウ</t>
    </rPh>
    <rPh sb="22" eb="24">
      <t>メイサイ</t>
    </rPh>
    <rPh sb="25" eb="27">
      <t>ジュチュウ</t>
    </rPh>
    <rPh sb="33" eb="34">
      <t>アタイ</t>
    </rPh>
    <rPh sb="36" eb="37">
      <t>カリ</t>
    </rPh>
    <rPh sb="37" eb="39">
      <t>ジュチュウ</t>
    </rPh>
    <rPh sb="40" eb="42">
      <t>イガイ</t>
    </rPh>
    <rPh sb="43" eb="45">
      <t>バアイ</t>
    </rPh>
    <rPh sb="46" eb="48">
      <t>ジュチュウ</t>
    </rPh>
    <rPh sb="48" eb="50">
      <t>カクテイ</t>
    </rPh>
    <rPh sb="59" eb="61">
      <t>ヒョウジ</t>
    </rPh>
    <phoneticPr fontId="1"/>
  </si>
  <si>
    <t>固定費売上の明細の受注ステータスに該当する受注明細の受注ステータスの値が「仮受注」の場合、受注確定チェックボックスが表示されていること。</t>
    <rPh sb="0" eb="3">
      <t>コテイヒ</t>
    </rPh>
    <rPh sb="3" eb="5">
      <t>ウリアゲ</t>
    </rPh>
    <rPh sb="6" eb="8">
      <t>メイサイ</t>
    </rPh>
    <rPh sb="9" eb="11">
      <t>ジュチュウ</t>
    </rPh>
    <rPh sb="17" eb="19">
      <t>ガイトウ</t>
    </rPh>
    <rPh sb="21" eb="23">
      <t>ジュチュウ</t>
    </rPh>
    <rPh sb="23" eb="25">
      <t>メイサイ</t>
    </rPh>
    <rPh sb="26" eb="28">
      <t>ジュチュウ</t>
    </rPh>
    <rPh sb="34" eb="35">
      <t>アタイ</t>
    </rPh>
    <rPh sb="37" eb="38">
      <t>カリ</t>
    </rPh>
    <rPh sb="38" eb="40">
      <t>ジュチュウ</t>
    </rPh>
    <rPh sb="42" eb="44">
      <t>バアイ</t>
    </rPh>
    <rPh sb="45" eb="47">
      <t>ジュチュウ</t>
    </rPh>
    <rPh sb="47" eb="49">
      <t>カクテイ</t>
    </rPh>
    <rPh sb="58" eb="60">
      <t>ヒョウジ</t>
    </rPh>
    <phoneticPr fontId="1"/>
  </si>
  <si>
    <t>固定費売上の明細の受注ステータスに該当する受注明細の受注ステータスの値が「仮受注」以外の場合、受注確定チェックボックスが表示されていないこと。</t>
    <rPh sb="0" eb="3">
      <t>コテイヒ</t>
    </rPh>
    <rPh sb="3" eb="5">
      <t>ウリアゲ</t>
    </rPh>
    <rPh sb="6" eb="8">
      <t>メイサイ</t>
    </rPh>
    <rPh sb="9" eb="11">
      <t>ジュチュウ</t>
    </rPh>
    <rPh sb="17" eb="19">
      <t>ガイトウ</t>
    </rPh>
    <rPh sb="21" eb="23">
      <t>ジュチュウ</t>
    </rPh>
    <rPh sb="23" eb="25">
      <t>メイサイ</t>
    </rPh>
    <rPh sb="26" eb="28">
      <t>ジュチュウ</t>
    </rPh>
    <rPh sb="34" eb="35">
      <t>アタイ</t>
    </rPh>
    <rPh sb="37" eb="38">
      <t>カリ</t>
    </rPh>
    <rPh sb="38" eb="40">
      <t>ジュチュウ</t>
    </rPh>
    <rPh sb="41" eb="43">
      <t>イガイ</t>
    </rPh>
    <rPh sb="44" eb="46">
      <t>バアイ</t>
    </rPh>
    <rPh sb="47" eb="49">
      <t>ジュチュウ</t>
    </rPh>
    <rPh sb="49" eb="51">
      <t>カクテイ</t>
    </rPh>
    <rPh sb="60" eb="62">
      <t>ヒョウジ</t>
    </rPh>
    <phoneticPr fontId="1"/>
  </si>
  <si>
    <t>受注確定ボタン（製品売上）押下</t>
    <rPh sb="0" eb="2">
      <t>ジュチュウ</t>
    </rPh>
    <rPh sb="2" eb="4">
      <t>カクテイ</t>
    </rPh>
    <rPh sb="8" eb="10">
      <t>セイヒン</t>
    </rPh>
    <rPh sb="10" eb="12">
      <t>ウリアゲ</t>
    </rPh>
    <rPh sb="13" eb="15">
      <t>オウカ</t>
    </rPh>
    <phoneticPr fontId="1"/>
  </si>
  <si>
    <t>受注確定ボタン（固定費売上）押下</t>
    <rPh sb="0" eb="2">
      <t>ジュチュウ</t>
    </rPh>
    <rPh sb="2" eb="4">
      <t>カクテイ</t>
    </rPh>
    <rPh sb="8" eb="11">
      <t>コテイヒ</t>
    </rPh>
    <rPh sb="11" eb="13">
      <t>ウリアゲ</t>
    </rPh>
    <rPh sb="14" eb="16">
      <t>オウカ</t>
    </rPh>
    <phoneticPr fontId="1"/>
  </si>
  <si>
    <t>製品売上の受注確定ボタンを押下する。</t>
    <rPh sb="0" eb="2">
      <t>セイヒン</t>
    </rPh>
    <rPh sb="2" eb="4">
      <t>ウリアゲ</t>
    </rPh>
    <rPh sb="5" eb="7">
      <t>ジュチュウ</t>
    </rPh>
    <rPh sb="7" eb="9">
      <t>カクテイ</t>
    </rPh>
    <rPh sb="13" eb="15">
      <t>オウカ</t>
    </rPh>
    <phoneticPr fontId="1"/>
  </si>
  <si>
    <t>固定費売上の受注確定ボタンを押下する。</t>
    <rPh sb="0" eb="3">
      <t>コテイヒ</t>
    </rPh>
    <rPh sb="3" eb="5">
      <t>ウリアゲ</t>
    </rPh>
    <rPh sb="6" eb="8">
      <t>ジュチュウ</t>
    </rPh>
    <rPh sb="8" eb="10">
      <t>カクテイ</t>
    </rPh>
    <rPh sb="14" eb="16">
      <t>オウカ</t>
    </rPh>
    <phoneticPr fontId="1"/>
  </si>
  <si>
    <t>明細の振り分け位置が、原本の見積原価計算書と一致していること。</t>
    <rPh sb="0" eb="2">
      <t>メイサイ</t>
    </rPh>
    <rPh sb="3" eb="4">
      <t>フ</t>
    </rPh>
    <rPh sb="5" eb="6">
      <t>ワ</t>
    </rPh>
    <rPh sb="7" eb="9">
      <t>イチ</t>
    </rPh>
    <rPh sb="11" eb="13">
      <t>ゲンポン</t>
    </rPh>
    <rPh sb="14" eb="16">
      <t>ミツモリ</t>
    </rPh>
    <rPh sb="16" eb="18">
      <t>ゲンカ</t>
    </rPh>
    <rPh sb="18" eb="21">
      <t>ケイサンショ</t>
    </rPh>
    <rPh sb="22" eb="24">
      <t>イッチ</t>
    </rPh>
    <phoneticPr fontId="1"/>
  </si>
  <si>
    <t>受注確定確認ダイアログでキャンセルボタンを押下する。</t>
    <rPh sb="21" eb="23">
      <t>オウカ</t>
    </rPh>
    <phoneticPr fontId="1"/>
  </si>
  <si>
    <t>見積原価プレビュー画面が活性化すること。</t>
    <rPh sb="0" eb="4">
      <t>ミツモリゲンカ</t>
    </rPh>
    <rPh sb="9" eb="11">
      <t>ガメン</t>
    </rPh>
    <rPh sb="12" eb="15">
      <t>カッセイカ</t>
    </rPh>
    <phoneticPr fontId="1"/>
  </si>
  <si>
    <t>受注確定確認ダイアログでOKボタンを押下する。</t>
    <rPh sb="18" eb="20">
      <t>オウカ</t>
    </rPh>
    <phoneticPr fontId="1"/>
  </si>
  <si>
    <t>受注確定画面が別ウィンドウで開かれること。</t>
    <phoneticPr fontId="1"/>
  </si>
  <si>
    <t>受注確定選択チェックボックスがonになっている製品売上の行が1行以上存在する場合、受注確定確認ダイアログが表示されること。</t>
    <rPh sb="0" eb="2">
      <t>ジュチュウ</t>
    </rPh>
    <rPh sb="2" eb="4">
      <t>カクテイ</t>
    </rPh>
    <rPh sb="4" eb="6">
      <t>センタク</t>
    </rPh>
    <rPh sb="23" eb="25">
      <t>セイヒン</t>
    </rPh>
    <rPh sb="25" eb="27">
      <t>ウリアゲ</t>
    </rPh>
    <rPh sb="28" eb="29">
      <t>ギョウ</t>
    </rPh>
    <rPh sb="31" eb="34">
      <t>ギョウイジョウ</t>
    </rPh>
    <rPh sb="34" eb="36">
      <t>ソンザイ</t>
    </rPh>
    <rPh sb="38" eb="40">
      <t>バアイ</t>
    </rPh>
    <rPh sb="41" eb="43">
      <t>ジュチュウ</t>
    </rPh>
    <rPh sb="43" eb="45">
      <t>カクテイ</t>
    </rPh>
    <rPh sb="45" eb="47">
      <t>カクニン</t>
    </rPh>
    <rPh sb="53" eb="55">
      <t>ヒョウジ</t>
    </rPh>
    <phoneticPr fontId="1"/>
  </si>
  <si>
    <t>製品売上の受注確定選択チェックボックスが全て未選択状態の場合、メッセージ画面がポップアップ表示されること。
「受注を確定する明細行を選択してください。」</t>
    <rPh sb="5" eb="7">
      <t>ジュチュウ</t>
    </rPh>
    <rPh sb="7" eb="9">
      <t>カクテイ</t>
    </rPh>
    <rPh sb="9" eb="11">
      <t>センタク</t>
    </rPh>
    <rPh sb="20" eb="21">
      <t>スベ</t>
    </rPh>
    <rPh sb="22" eb="23">
      <t>ミ</t>
    </rPh>
    <rPh sb="23" eb="25">
      <t>センタク</t>
    </rPh>
    <rPh sb="25" eb="27">
      <t>ジョウタイ</t>
    </rPh>
    <rPh sb="28" eb="30">
      <t>バアイ</t>
    </rPh>
    <rPh sb="36" eb="38">
      <t>ガメン</t>
    </rPh>
    <rPh sb="45" eb="47">
      <t>ヒョウジ</t>
    </rPh>
    <phoneticPr fontId="1"/>
  </si>
  <si>
    <t>固定費売上の受注確定選択チェックボックスが全て未選択状態の場合、メッセージ画面がポップアップ表示されること。
「受注を確定する明細行を選択してください。」</t>
    <rPh sb="0" eb="2">
      <t>コテイ</t>
    </rPh>
    <rPh sb="2" eb="3">
      <t>ヒ</t>
    </rPh>
    <rPh sb="6" eb="8">
      <t>ジュチュウ</t>
    </rPh>
    <rPh sb="8" eb="10">
      <t>カクテイ</t>
    </rPh>
    <rPh sb="10" eb="12">
      <t>センタク</t>
    </rPh>
    <rPh sb="21" eb="22">
      <t>スベ</t>
    </rPh>
    <rPh sb="23" eb="24">
      <t>ミ</t>
    </rPh>
    <rPh sb="24" eb="26">
      <t>センタク</t>
    </rPh>
    <rPh sb="26" eb="28">
      <t>ジョウタイ</t>
    </rPh>
    <rPh sb="29" eb="31">
      <t>バアイ</t>
    </rPh>
    <rPh sb="37" eb="39">
      <t>ガメン</t>
    </rPh>
    <rPh sb="46" eb="48">
      <t>ヒョウジ</t>
    </rPh>
    <phoneticPr fontId="1"/>
  </si>
  <si>
    <t>受注確定画面に表示されている明細が、受注確定選択チェックがonになっている固定費売上明細だけが全件表示されている。</t>
    <rPh sb="7" eb="9">
      <t>ヒョウジ</t>
    </rPh>
    <rPh sb="14" eb="16">
      <t>メイサイ</t>
    </rPh>
    <rPh sb="18" eb="20">
      <t>ジュチュウ</t>
    </rPh>
    <rPh sb="20" eb="22">
      <t>カクテイ</t>
    </rPh>
    <rPh sb="22" eb="24">
      <t>センタク</t>
    </rPh>
    <rPh sb="37" eb="40">
      <t>コテイヒ</t>
    </rPh>
    <rPh sb="42" eb="44">
      <t>メイサイ</t>
    </rPh>
    <rPh sb="47" eb="49">
      <t>ゼンケン</t>
    </rPh>
    <rPh sb="49" eb="51">
      <t>ヒョウジ</t>
    </rPh>
    <phoneticPr fontId="1"/>
  </si>
  <si>
    <t>固定費の明細の発注ステータスが該当の発注明細の発注ステータスの値と一致していること。</t>
    <rPh sb="0" eb="3">
      <t>コテイヒ</t>
    </rPh>
    <rPh sb="4" eb="6">
      <t>メイサイ</t>
    </rPh>
    <rPh sb="7" eb="9">
      <t>ハッチュウ</t>
    </rPh>
    <rPh sb="15" eb="17">
      <t>ガイトウ</t>
    </rPh>
    <rPh sb="18" eb="20">
      <t>ハッチュウ</t>
    </rPh>
    <rPh sb="20" eb="22">
      <t>メイサイ</t>
    </rPh>
    <rPh sb="23" eb="25">
      <t>ハッチュウ</t>
    </rPh>
    <rPh sb="31" eb="32">
      <t>アタイ</t>
    </rPh>
    <rPh sb="33" eb="35">
      <t>イッチ</t>
    </rPh>
    <phoneticPr fontId="1"/>
  </si>
  <si>
    <t>固定費の明細に該当する発注明細の受注ステータスの値が「仮発注」の場合、発注確定チェックボックスが表示されていること。</t>
    <rPh sb="0" eb="3">
      <t>コテイヒ</t>
    </rPh>
    <rPh sb="4" eb="6">
      <t>メイサイ</t>
    </rPh>
    <rPh sb="7" eb="9">
      <t>ガイトウ</t>
    </rPh>
    <rPh sb="11" eb="13">
      <t>ハッチュウ</t>
    </rPh>
    <rPh sb="13" eb="15">
      <t>メイサイ</t>
    </rPh>
    <rPh sb="16" eb="18">
      <t>ジュチュウ</t>
    </rPh>
    <rPh sb="24" eb="25">
      <t>アタイ</t>
    </rPh>
    <rPh sb="27" eb="28">
      <t>カリ</t>
    </rPh>
    <rPh sb="28" eb="30">
      <t>ハッチュウ</t>
    </rPh>
    <rPh sb="32" eb="34">
      <t>バアイ</t>
    </rPh>
    <rPh sb="35" eb="37">
      <t>ハッチュウ</t>
    </rPh>
    <rPh sb="37" eb="39">
      <t>カクテイ</t>
    </rPh>
    <rPh sb="48" eb="50">
      <t>ヒョウジ</t>
    </rPh>
    <phoneticPr fontId="1"/>
  </si>
  <si>
    <t>固定費の明細の発注ステータスに該当する発注明細の受注ステータスの値が「仮発注」以外の場合、発注確定チェックボックスが表示されていないこと。</t>
    <rPh sb="0" eb="3">
      <t>コテイヒ</t>
    </rPh>
    <rPh sb="4" eb="6">
      <t>メイサイ</t>
    </rPh>
    <rPh sb="7" eb="9">
      <t>ハッチュウ</t>
    </rPh>
    <rPh sb="15" eb="17">
      <t>ガイトウ</t>
    </rPh>
    <rPh sb="19" eb="21">
      <t>ハッチュウ</t>
    </rPh>
    <rPh sb="21" eb="23">
      <t>メイサイ</t>
    </rPh>
    <rPh sb="24" eb="26">
      <t>ジュチュウ</t>
    </rPh>
    <rPh sb="32" eb="33">
      <t>アタイ</t>
    </rPh>
    <rPh sb="35" eb="36">
      <t>カリ</t>
    </rPh>
    <rPh sb="36" eb="38">
      <t>ハッチュウ</t>
    </rPh>
    <rPh sb="39" eb="41">
      <t>イガイ</t>
    </rPh>
    <rPh sb="42" eb="44">
      <t>バアイ</t>
    </rPh>
    <rPh sb="45" eb="47">
      <t>ハッチュウ</t>
    </rPh>
    <rPh sb="47" eb="49">
      <t>カクテイ</t>
    </rPh>
    <rPh sb="58" eb="60">
      <t>ヒョウジ</t>
    </rPh>
    <phoneticPr fontId="1"/>
  </si>
  <si>
    <t>固定費の明細の発注ステータスに該当する発注明細の受注ステータスの値が「発注」の場合、発注取消チェックボックスが表示されていること。</t>
    <rPh sb="0" eb="3">
      <t>コテイヒ</t>
    </rPh>
    <rPh sb="4" eb="6">
      <t>メイサイ</t>
    </rPh>
    <rPh sb="7" eb="9">
      <t>ハッチュウ</t>
    </rPh>
    <rPh sb="15" eb="17">
      <t>ガイトウ</t>
    </rPh>
    <rPh sb="19" eb="21">
      <t>ハッチュウ</t>
    </rPh>
    <rPh sb="21" eb="23">
      <t>メイサイ</t>
    </rPh>
    <rPh sb="24" eb="26">
      <t>ジュチュウ</t>
    </rPh>
    <rPh sb="32" eb="33">
      <t>アタイ</t>
    </rPh>
    <rPh sb="35" eb="37">
      <t>ハッチュウ</t>
    </rPh>
    <rPh sb="39" eb="41">
      <t>バアイ</t>
    </rPh>
    <rPh sb="42" eb="44">
      <t>ハッチュウ</t>
    </rPh>
    <rPh sb="44" eb="46">
      <t>トリケシ</t>
    </rPh>
    <rPh sb="55" eb="57">
      <t>ヒョウジ</t>
    </rPh>
    <phoneticPr fontId="1"/>
  </si>
  <si>
    <t>固定費の明細の発注ステータスに該当する発注明細の受注ステータスの値が「発注」以外の場合、発注取消チェックボックスが表示されていないこと。</t>
    <rPh sb="0" eb="3">
      <t>コテイヒ</t>
    </rPh>
    <rPh sb="4" eb="6">
      <t>メイサイ</t>
    </rPh>
    <rPh sb="7" eb="9">
      <t>ハッチュウ</t>
    </rPh>
    <rPh sb="15" eb="17">
      <t>ガイトウ</t>
    </rPh>
    <rPh sb="19" eb="21">
      <t>ハッチュウ</t>
    </rPh>
    <rPh sb="21" eb="23">
      <t>メイサイ</t>
    </rPh>
    <rPh sb="24" eb="26">
      <t>ジュチュウ</t>
    </rPh>
    <rPh sb="32" eb="33">
      <t>アタイ</t>
    </rPh>
    <rPh sb="35" eb="37">
      <t>ハッチュウ</t>
    </rPh>
    <rPh sb="38" eb="40">
      <t>イガイ</t>
    </rPh>
    <rPh sb="41" eb="43">
      <t>バアイ</t>
    </rPh>
    <rPh sb="44" eb="46">
      <t>ハッチュウ</t>
    </rPh>
    <rPh sb="46" eb="48">
      <t>トリケシ</t>
    </rPh>
    <rPh sb="57" eb="59">
      <t>ヒョウジ</t>
    </rPh>
    <phoneticPr fontId="1"/>
  </si>
  <si>
    <t>部材費の明細の発注ステータスが該当の発注明細の発注ステータスの値と一致していること。</t>
    <rPh sb="0" eb="2">
      <t>ブザイ</t>
    </rPh>
    <rPh sb="2" eb="3">
      <t>ヒ</t>
    </rPh>
    <rPh sb="4" eb="6">
      <t>メイサイ</t>
    </rPh>
    <rPh sb="7" eb="9">
      <t>ハッチュウ</t>
    </rPh>
    <rPh sb="15" eb="17">
      <t>ガイトウ</t>
    </rPh>
    <rPh sb="18" eb="20">
      <t>ハッチュウ</t>
    </rPh>
    <rPh sb="20" eb="22">
      <t>メイサイ</t>
    </rPh>
    <rPh sb="23" eb="25">
      <t>ハッチュウ</t>
    </rPh>
    <rPh sb="31" eb="32">
      <t>アタイ</t>
    </rPh>
    <rPh sb="33" eb="35">
      <t>イッチ</t>
    </rPh>
    <phoneticPr fontId="1"/>
  </si>
  <si>
    <t>部材費の明細に該当する発注明細の受注ステータスの値が「仮発注」の場合、発注確定チェックボックスが表示されていること。</t>
    <rPh sb="0" eb="2">
      <t>ブザイ</t>
    </rPh>
    <rPh sb="2" eb="3">
      <t>ヒ</t>
    </rPh>
    <rPh sb="4" eb="6">
      <t>メイサイ</t>
    </rPh>
    <rPh sb="7" eb="9">
      <t>ガイトウ</t>
    </rPh>
    <rPh sb="11" eb="13">
      <t>ハッチュウ</t>
    </rPh>
    <rPh sb="13" eb="15">
      <t>メイサイ</t>
    </rPh>
    <rPh sb="16" eb="18">
      <t>ジュチュウ</t>
    </rPh>
    <rPh sb="24" eb="25">
      <t>アタイ</t>
    </rPh>
    <rPh sb="27" eb="28">
      <t>カリ</t>
    </rPh>
    <rPh sb="28" eb="30">
      <t>ハッチュウ</t>
    </rPh>
    <rPh sb="32" eb="34">
      <t>バアイ</t>
    </rPh>
    <rPh sb="35" eb="37">
      <t>ハッチュウ</t>
    </rPh>
    <rPh sb="37" eb="39">
      <t>カクテイ</t>
    </rPh>
    <rPh sb="48" eb="50">
      <t>ヒョウジ</t>
    </rPh>
    <phoneticPr fontId="1"/>
  </si>
  <si>
    <t>部材費の明細の発注ステータスに該当する発注明細の受注ステータスの値が「仮発注」以外の場合、発注確定チェックボックスが表示されていないこと。</t>
    <rPh sb="0" eb="2">
      <t>ブザイ</t>
    </rPh>
    <rPh sb="2" eb="3">
      <t>ヒ</t>
    </rPh>
    <rPh sb="4" eb="6">
      <t>メイサイ</t>
    </rPh>
    <rPh sb="7" eb="9">
      <t>ハッチュウ</t>
    </rPh>
    <rPh sb="15" eb="17">
      <t>ガイトウ</t>
    </rPh>
    <rPh sb="19" eb="21">
      <t>ハッチュウ</t>
    </rPh>
    <rPh sb="21" eb="23">
      <t>メイサイ</t>
    </rPh>
    <rPh sb="24" eb="26">
      <t>ジュチュウ</t>
    </rPh>
    <rPh sb="32" eb="33">
      <t>アタイ</t>
    </rPh>
    <rPh sb="35" eb="36">
      <t>カリ</t>
    </rPh>
    <rPh sb="36" eb="38">
      <t>ハッチュウ</t>
    </rPh>
    <rPh sb="39" eb="41">
      <t>イガイ</t>
    </rPh>
    <rPh sb="42" eb="44">
      <t>バアイ</t>
    </rPh>
    <rPh sb="45" eb="47">
      <t>ハッチュウ</t>
    </rPh>
    <rPh sb="47" eb="49">
      <t>カクテイ</t>
    </rPh>
    <rPh sb="58" eb="60">
      <t>ヒョウジ</t>
    </rPh>
    <phoneticPr fontId="1"/>
  </si>
  <si>
    <t>部材費の明細の発注ステータスに該当する発注明細の受注ステータスの値が「発注」の場合、発注取消チェックボックスが表示されていること。</t>
    <rPh sb="0" eb="2">
      <t>ブザイ</t>
    </rPh>
    <rPh sb="2" eb="3">
      <t>ヒ</t>
    </rPh>
    <rPh sb="4" eb="6">
      <t>メイサイ</t>
    </rPh>
    <rPh sb="7" eb="9">
      <t>ハッチュウ</t>
    </rPh>
    <rPh sb="15" eb="17">
      <t>ガイトウ</t>
    </rPh>
    <rPh sb="19" eb="21">
      <t>ハッチュウ</t>
    </rPh>
    <rPh sb="21" eb="23">
      <t>メイサイ</t>
    </rPh>
    <rPh sb="24" eb="26">
      <t>ジュチュウ</t>
    </rPh>
    <rPh sb="32" eb="33">
      <t>アタイ</t>
    </rPh>
    <rPh sb="35" eb="37">
      <t>ハッチュウ</t>
    </rPh>
    <rPh sb="39" eb="41">
      <t>バアイ</t>
    </rPh>
    <rPh sb="42" eb="44">
      <t>ハッチュウ</t>
    </rPh>
    <rPh sb="44" eb="46">
      <t>トリケシ</t>
    </rPh>
    <rPh sb="55" eb="57">
      <t>ヒョウジ</t>
    </rPh>
    <phoneticPr fontId="1"/>
  </si>
  <si>
    <t>部材費の明細の発注ステータスに該当する発注明細の受注ステータスの値が「発注」以外の場合、発注取消チェックボックスが表示されていないこと。</t>
    <rPh sb="0" eb="2">
      <t>ブザイ</t>
    </rPh>
    <rPh sb="2" eb="3">
      <t>ヒ</t>
    </rPh>
    <rPh sb="4" eb="6">
      <t>メイサイ</t>
    </rPh>
    <rPh sb="7" eb="9">
      <t>ハッチュウ</t>
    </rPh>
    <rPh sb="15" eb="17">
      <t>ガイトウ</t>
    </rPh>
    <rPh sb="19" eb="21">
      <t>ハッチュウ</t>
    </rPh>
    <rPh sb="21" eb="23">
      <t>メイサイ</t>
    </rPh>
    <rPh sb="24" eb="26">
      <t>ジュチュウ</t>
    </rPh>
    <rPh sb="32" eb="33">
      <t>アタイ</t>
    </rPh>
    <rPh sb="35" eb="37">
      <t>ハッチュウ</t>
    </rPh>
    <rPh sb="38" eb="40">
      <t>イガイ</t>
    </rPh>
    <rPh sb="41" eb="43">
      <t>バアイ</t>
    </rPh>
    <rPh sb="44" eb="46">
      <t>ハッチュウ</t>
    </rPh>
    <rPh sb="46" eb="48">
      <t>トリケシ</t>
    </rPh>
    <rPh sb="57" eb="59">
      <t>ヒョウジ</t>
    </rPh>
    <phoneticPr fontId="1"/>
  </si>
  <si>
    <t>発注確定ボタン（固定費）押下</t>
    <rPh sb="0" eb="2">
      <t>ハッチュウ</t>
    </rPh>
    <rPh sb="2" eb="4">
      <t>カクテイ</t>
    </rPh>
    <rPh sb="8" eb="11">
      <t>コテイヒ</t>
    </rPh>
    <rPh sb="12" eb="14">
      <t>オウカ</t>
    </rPh>
    <phoneticPr fontId="1"/>
  </si>
  <si>
    <t>固定費の発注確定ボタンを押下する。</t>
    <rPh sb="4" eb="6">
      <t>ハッチュウ</t>
    </rPh>
    <rPh sb="6" eb="8">
      <t>カクテイ</t>
    </rPh>
    <rPh sb="12" eb="14">
      <t>オウカ</t>
    </rPh>
    <phoneticPr fontId="1"/>
  </si>
  <si>
    <t>発注確定ボタン（部材費）押下</t>
    <rPh sb="0" eb="2">
      <t>ハッチュウ</t>
    </rPh>
    <rPh sb="2" eb="4">
      <t>カクテイ</t>
    </rPh>
    <rPh sb="8" eb="10">
      <t>ブザイ</t>
    </rPh>
    <rPh sb="10" eb="11">
      <t>ヒ</t>
    </rPh>
    <rPh sb="12" eb="14">
      <t>オウカ</t>
    </rPh>
    <phoneticPr fontId="1"/>
  </si>
  <si>
    <t>部材費の発注確定ボタンを押下する。</t>
    <rPh sb="0" eb="2">
      <t>ブザイ</t>
    </rPh>
    <rPh sb="2" eb="3">
      <t>ヒ</t>
    </rPh>
    <rPh sb="4" eb="6">
      <t>ハッチュウ</t>
    </rPh>
    <rPh sb="6" eb="8">
      <t>カクテイ</t>
    </rPh>
    <rPh sb="12" eb="14">
      <t>オウカ</t>
    </rPh>
    <phoneticPr fontId="1"/>
  </si>
  <si>
    <t>発注取消ボタン（部材費）押下</t>
    <rPh sb="0" eb="2">
      <t>ハッチュウ</t>
    </rPh>
    <rPh sb="2" eb="4">
      <t>トリケシ</t>
    </rPh>
    <rPh sb="8" eb="10">
      <t>ブザイ</t>
    </rPh>
    <rPh sb="10" eb="11">
      <t>ヒ</t>
    </rPh>
    <rPh sb="12" eb="14">
      <t>オウカ</t>
    </rPh>
    <phoneticPr fontId="1"/>
  </si>
  <si>
    <t>発注取消ボタン（固定費）押下</t>
    <rPh sb="0" eb="2">
      <t>ハッチュウ</t>
    </rPh>
    <rPh sb="2" eb="4">
      <t>トリケシ</t>
    </rPh>
    <rPh sb="12" eb="14">
      <t>オウカ</t>
    </rPh>
    <phoneticPr fontId="1"/>
  </si>
  <si>
    <t>固定費の発注取消ボタンを押下する。</t>
    <rPh sb="4" eb="6">
      <t>ハッチュウ</t>
    </rPh>
    <rPh sb="6" eb="8">
      <t>トリケシ</t>
    </rPh>
    <rPh sb="12" eb="14">
      <t>オウカ</t>
    </rPh>
    <phoneticPr fontId="1"/>
  </si>
  <si>
    <t>仕入部材費の発注取消ボタンを押下する。</t>
    <rPh sb="0" eb="2">
      <t>シイレ</t>
    </rPh>
    <rPh sb="2" eb="4">
      <t>ブザイ</t>
    </rPh>
    <rPh sb="4" eb="5">
      <t>ヒ</t>
    </rPh>
    <rPh sb="6" eb="8">
      <t>ハッチュウ</t>
    </rPh>
    <rPh sb="8" eb="10">
      <t>トリケシ</t>
    </rPh>
    <rPh sb="14" eb="16">
      <t>オウカ</t>
    </rPh>
    <phoneticPr fontId="1"/>
  </si>
  <si>
    <t>発注ステータスが仮発注である固定費の明細は、画面設計書で入力可能と定義されている項目が全て入力可能となっていること。</t>
    <rPh sb="0" eb="2">
      <t>ハッチュウ</t>
    </rPh>
    <rPh sb="8" eb="9">
      <t>カリ</t>
    </rPh>
    <rPh sb="9" eb="11">
      <t>ハッチュウ</t>
    </rPh>
    <rPh sb="14" eb="17">
      <t>コテイヒ</t>
    </rPh>
    <rPh sb="18" eb="20">
      <t>メイサイ</t>
    </rPh>
    <rPh sb="22" eb="24">
      <t>ガメン</t>
    </rPh>
    <rPh sb="24" eb="27">
      <t>セッケイショ</t>
    </rPh>
    <rPh sb="28" eb="30">
      <t>ニュウリョク</t>
    </rPh>
    <rPh sb="30" eb="32">
      <t>カノウ</t>
    </rPh>
    <rPh sb="33" eb="35">
      <t>テイギ</t>
    </rPh>
    <rPh sb="40" eb="42">
      <t>コウモク</t>
    </rPh>
    <rPh sb="43" eb="44">
      <t>スベ</t>
    </rPh>
    <rPh sb="45" eb="47">
      <t>ニュウリョク</t>
    </rPh>
    <rPh sb="47" eb="49">
      <t>カノウ</t>
    </rPh>
    <phoneticPr fontId="1"/>
  </si>
  <si>
    <t>発注ステータスが仮発注以外である固定費の明細は、画面設計書で入力可能と定義されている項目が全て入力不可能となっていること。</t>
    <rPh sb="0" eb="2">
      <t>ハッチュウ</t>
    </rPh>
    <rPh sb="8" eb="9">
      <t>カリ</t>
    </rPh>
    <rPh sb="9" eb="11">
      <t>ハッチュウ</t>
    </rPh>
    <rPh sb="11" eb="13">
      <t>イガイ</t>
    </rPh>
    <rPh sb="16" eb="19">
      <t>コテイヒ</t>
    </rPh>
    <rPh sb="20" eb="22">
      <t>メイサイ</t>
    </rPh>
    <rPh sb="24" eb="26">
      <t>ガメン</t>
    </rPh>
    <rPh sb="26" eb="29">
      <t>セッケイショ</t>
    </rPh>
    <rPh sb="30" eb="32">
      <t>ニュウリョク</t>
    </rPh>
    <rPh sb="32" eb="34">
      <t>カノウ</t>
    </rPh>
    <rPh sb="35" eb="37">
      <t>テイギ</t>
    </rPh>
    <rPh sb="42" eb="44">
      <t>コウモク</t>
    </rPh>
    <rPh sb="45" eb="46">
      <t>スベ</t>
    </rPh>
    <rPh sb="47" eb="49">
      <t>ニュウリョク</t>
    </rPh>
    <rPh sb="49" eb="50">
      <t>フ</t>
    </rPh>
    <rPh sb="50" eb="52">
      <t>カノウ</t>
    </rPh>
    <phoneticPr fontId="1"/>
  </si>
  <si>
    <t>発注ステータスが仮発注である部材費の明細は、画面設計書で入力可能と定義されている項目が全て入力可能となっていること。</t>
    <rPh sb="0" eb="2">
      <t>ハッチュウ</t>
    </rPh>
    <rPh sb="8" eb="9">
      <t>カリ</t>
    </rPh>
    <rPh sb="9" eb="11">
      <t>ハッチュウ</t>
    </rPh>
    <rPh sb="14" eb="16">
      <t>ブザイ</t>
    </rPh>
    <rPh sb="16" eb="17">
      <t>ヒ</t>
    </rPh>
    <rPh sb="18" eb="20">
      <t>メイサイ</t>
    </rPh>
    <rPh sb="22" eb="24">
      <t>ガメン</t>
    </rPh>
    <rPh sb="24" eb="27">
      <t>セッケイショ</t>
    </rPh>
    <rPh sb="28" eb="30">
      <t>ニュウリョク</t>
    </rPh>
    <rPh sb="30" eb="32">
      <t>カノウ</t>
    </rPh>
    <rPh sb="33" eb="35">
      <t>テイギ</t>
    </rPh>
    <rPh sb="40" eb="42">
      <t>コウモク</t>
    </rPh>
    <rPh sb="43" eb="44">
      <t>スベ</t>
    </rPh>
    <rPh sb="45" eb="47">
      <t>ニュウリョク</t>
    </rPh>
    <rPh sb="47" eb="49">
      <t>カノウ</t>
    </rPh>
    <phoneticPr fontId="1"/>
  </si>
  <si>
    <t>発注ステータスが仮発注以外である部材費の明細は、画面設計書で入力可能と定義されている項目が全て入力不可能となっていること。</t>
    <rPh sb="0" eb="2">
      <t>ハッチュウ</t>
    </rPh>
    <rPh sb="8" eb="9">
      <t>カリ</t>
    </rPh>
    <rPh sb="9" eb="11">
      <t>ハッチュウ</t>
    </rPh>
    <rPh sb="11" eb="13">
      <t>イガイ</t>
    </rPh>
    <rPh sb="16" eb="18">
      <t>ブザイ</t>
    </rPh>
    <rPh sb="18" eb="19">
      <t>ヒ</t>
    </rPh>
    <rPh sb="20" eb="22">
      <t>メイサイ</t>
    </rPh>
    <rPh sb="24" eb="26">
      <t>ガメン</t>
    </rPh>
    <rPh sb="26" eb="29">
      <t>セッケイショ</t>
    </rPh>
    <rPh sb="30" eb="32">
      <t>ニュウリョク</t>
    </rPh>
    <rPh sb="32" eb="34">
      <t>カノウ</t>
    </rPh>
    <rPh sb="35" eb="37">
      <t>テイギ</t>
    </rPh>
    <rPh sb="42" eb="44">
      <t>コウモク</t>
    </rPh>
    <rPh sb="45" eb="46">
      <t>スベ</t>
    </rPh>
    <rPh sb="47" eb="49">
      <t>ニュウリョク</t>
    </rPh>
    <rPh sb="49" eb="50">
      <t>フ</t>
    </rPh>
    <rPh sb="50" eb="52">
      <t>カノウ</t>
    </rPh>
    <phoneticPr fontId="1"/>
  </si>
  <si>
    <t>固定費の発注確定選択チェックボックスが全て未選択状態の場合、メッセージ画面がポップアップ表示されること。
「発注を確定する明細行を選択してください。」</t>
    <rPh sb="0" eb="2">
      <t>コテイ</t>
    </rPh>
    <rPh sb="2" eb="3">
      <t>ヒ</t>
    </rPh>
    <rPh sb="4" eb="6">
      <t>ハッチュウ</t>
    </rPh>
    <rPh sb="6" eb="8">
      <t>カクテイ</t>
    </rPh>
    <rPh sb="8" eb="10">
      <t>センタク</t>
    </rPh>
    <rPh sb="19" eb="20">
      <t>スベ</t>
    </rPh>
    <rPh sb="21" eb="22">
      <t>ミ</t>
    </rPh>
    <rPh sb="22" eb="24">
      <t>センタク</t>
    </rPh>
    <rPh sb="24" eb="26">
      <t>ジョウタイ</t>
    </rPh>
    <rPh sb="27" eb="29">
      <t>バアイ</t>
    </rPh>
    <rPh sb="35" eb="37">
      <t>ガメン</t>
    </rPh>
    <rPh sb="44" eb="46">
      <t>ヒョウジ</t>
    </rPh>
    <rPh sb="54" eb="56">
      <t>ハッチュウ</t>
    </rPh>
    <phoneticPr fontId="1"/>
  </si>
  <si>
    <t>部材費の発注確定選択チェックボックスが全て未選択状態の場合、メッセージ画面がポップアップ表示されること。
「発注を確定する明細行を選択してください。」</t>
    <rPh sb="0" eb="2">
      <t>ブザイ</t>
    </rPh>
    <rPh sb="2" eb="3">
      <t>ヒ</t>
    </rPh>
    <rPh sb="4" eb="6">
      <t>ハッチュウ</t>
    </rPh>
    <rPh sb="6" eb="8">
      <t>カクテイ</t>
    </rPh>
    <rPh sb="8" eb="10">
      <t>センタク</t>
    </rPh>
    <rPh sb="19" eb="20">
      <t>スベ</t>
    </rPh>
    <rPh sb="21" eb="22">
      <t>ミ</t>
    </rPh>
    <rPh sb="22" eb="24">
      <t>センタク</t>
    </rPh>
    <rPh sb="24" eb="26">
      <t>ジョウタイ</t>
    </rPh>
    <rPh sb="27" eb="29">
      <t>バアイ</t>
    </rPh>
    <rPh sb="35" eb="37">
      <t>ガメン</t>
    </rPh>
    <rPh sb="44" eb="46">
      <t>ヒョウジ</t>
    </rPh>
    <rPh sb="54" eb="56">
      <t>ハッチュウ</t>
    </rPh>
    <phoneticPr fontId="1"/>
  </si>
  <si>
    <t>発注確定確認ダイアログでキャンセルボタンを押下する。</t>
    <rPh sb="0" eb="2">
      <t>ハッチュウ</t>
    </rPh>
    <rPh sb="21" eb="23">
      <t>オウカ</t>
    </rPh>
    <phoneticPr fontId="1"/>
  </si>
  <si>
    <t>発注確定確認ダイアログでOKボタンを押下する。</t>
    <rPh sb="0" eb="2">
      <t>ハッチュウ</t>
    </rPh>
    <rPh sb="18" eb="20">
      <t>オウカ</t>
    </rPh>
    <phoneticPr fontId="1"/>
  </si>
  <si>
    <t>発注確定画面が別ウィンドウで開かれること。</t>
    <rPh sb="0" eb="2">
      <t>ハッチュウ</t>
    </rPh>
    <phoneticPr fontId="1"/>
  </si>
  <si>
    <t>発注確定画面に表示されている明細が、発注確定選択チェックがonになっている固定費明細だけが全件表示されている。</t>
    <rPh sb="0" eb="2">
      <t>ハッチュウ</t>
    </rPh>
    <rPh sb="7" eb="9">
      <t>ヒョウジ</t>
    </rPh>
    <rPh sb="14" eb="16">
      <t>メイサイ</t>
    </rPh>
    <rPh sb="18" eb="20">
      <t>ハッチュウ</t>
    </rPh>
    <rPh sb="20" eb="22">
      <t>カクテイ</t>
    </rPh>
    <rPh sb="22" eb="24">
      <t>センタク</t>
    </rPh>
    <rPh sb="37" eb="40">
      <t>コテイヒ</t>
    </rPh>
    <rPh sb="40" eb="42">
      <t>メイサイ</t>
    </rPh>
    <rPh sb="45" eb="47">
      <t>ゼンケン</t>
    </rPh>
    <rPh sb="47" eb="49">
      <t>ヒョウジ</t>
    </rPh>
    <phoneticPr fontId="1"/>
  </si>
  <si>
    <t>部材費の発注確定ボタンを押下する。</t>
    <rPh sb="0" eb="2">
      <t>ブザイ</t>
    </rPh>
    <rPh sb="4" eb="6">
      <t>ハッチュウ</t>
    </rPh>
    <rPh sb="6" eb="8">
      <t>カクテイ</t>
    </rPh>
    <rPh sb="12" eb="14">
      <t>オウカ</t>
    </rPh>
    <phoneticPr fontId="1"/>
  </si>
  <si>
    <t>発注確定画面に表示されている明細が、発注確定選択チェックがonになっている部材費明細だけが全件表示されている。</t>
    <rPh sb="0" eb="2">
      <t>ハッチュウ</t>
    </rPh>
    <rPh sb="7" eb="9">
      <t>ヒョウジ</t>
    </rPh>
    <rPh sb="14" eb="16">
      <t>メイサイ</t>
    </rPh>
    <rPh sb="18" eb="20">
      <t>ハッチュウ</t>
    </rPh>
    <rPh sb="20" eb="22">
      <t>カクテイ</t>
    </rPh>
    <rPh sb="22" eb="24">
      <t>センタク</t>
    </rPh>
    <rPh sb="37" eb="39">
      <t>ブザイ</t>
    </rPh>
    <rPh sb="39" eb="40">
      <t>ヒ</t>
    </rPh>
    <rPh sb="40" eb="42">
      <t>メイサイ</t>
    </rPh>
    <rPh sb="45" eb="47">
      <t>ゼンケン</t>
    </rPh>
    <rPh sb="47" eb="49">
      <t>ヒョウジ</t>
    </rPh>
    <phoneticPr fontId="1"/>
  </si>
  <si>
    <t>発注確定選択チェックボックスがonになっている部材費の行が1行以上存在し、かつonになっている行の仕入先が全て同じである場合、発注確定確認ダイアログが表示されること。</t>
    <rPh sb="0" eb="2">
      <t>ハッチュウ</t>
    </rPh>
    <rPh sb="2" eb="4">
      <t>カクテイ</t>
    </rPh>
    <rPh sb="4" eb="6">
      <t>センタク</t>
    </rPh>
    <rPh sb="23" eb="25">
      <t>ブザイ</t>
    </rPh>
    <rPh sb="25" eb="26">
      <t>ヒ</t>
    </rPh>
    <rPh sb="27" eb="28">
      <t>ギョウ</t>
    </rPh>
    <rPh sb="30" eb="33">
      <t>ギョウイジョウ</t>
    </rPh>
    <rPh sb="33" eb="35">
      <t>ソンザイ</t>
    </rPh>
    <rPh sb="49" eb="52">
      <t>シイレサキ</t>
    </rPh>
    <rPh sb="53" eb="54">
      <t>スベ</t>
    </rPh>
    <rPh sb="55" eb="56">
      <t>オナ</t>
    </rPh>
    <rPh sb="60" eb="62">
      <t>バアイ</t>
    </rPh>
    <rPh sb="63" eb="65">
      <t>ハッチュウ</t>
    </rPh>
    <rPh sb="65" eb="67">
      <t>カクテイ</t>
    </rPh>
    <rPh sb="67" eb="69">
      <t>カクニン</t>
    </rPh>
    <rPh sb="75" eb="77">
      <t>ヒョウジ</t>
    </rPh>
    <phoneticPr fontId="1"/>
  </si>
  <si>
    <t>発注確定選択チェックボックスがonになっている部材費の行が1行以上存在し、かつonになっている行の仕入先が2種類以上ある場合、メッセージ画面がポップアップ表示されること。
「複数の仕入先が指定されています。」</t>
    <rPh sb="0" eb="2">
      <t>ハッチュウ</t>
    </rPh>
    <rPh sb="2" eb="4">
      <t>カクテイ</t>
    </rPh>
    <rPh sb="4" eb="6">
      <t>センタク</t>
    </rPh>
    <rPh sb="23" eb="25">
      <t>ブザイ</t>
    </rPh>
    <rPh sb="25" eb="26">
      <t>ヒ</t>
    </rPh>
    <rPh sb="27" eb="28">
      <t>ギョウ</t>
    </rPh>
    <rPh sb="30" eb="33">
      <t>ギョウイジョウ</t>
    </rPh>
    <rPh sb="33" eb="35">
      <t>ソンザイ</t>
    </rPh>
    <rPh sb="49" eb="52">
      <t>シイレサキ</t>
    </rPh>
    <rPh sb="54" eb="58">
      <t>シュルイイジョウ</t>
    </rPh>
    <rPh sb="60" eb="62">
      <t>バアイ</t>
    </rPh>
    <rPh sb="68" eb="70">
      <t>ガメン</t>
    </rPh>
    <rPh sb="77" eb="79">
      <t>ヒョウジ</t>
    </rPh>
    <phoneticPr fontId="1"/>
  </si>
  <si>
    <t>発注確定選択チェックボックスがonになっている固定費の行が1行以上存在し、かつonになっている行の仕入先が2種類以上ある場合、メッセージ画面がポップアップ表示されること。
「複数の仕入先が指定されています。」</t>
    <rPh sb="0" eb="2">
      <t>ハッチュウ</t>
    </rPh>
    <rPh sb="2" eb="4">
      <t>カクテイ</t>
    </rPh>
    <rPh sb="4" eb="6">
      <t>センタク</t>
    </rPh>
    <rPh sb="23" eb="25">
      <t>コテイ</t>
    </rPh>
    <rPh sb="25" eb="26">
      <t>ヒ</t>
    </rPh>
    <rPh sb="27" eb="28">
      <t>ギョウ</t>
    </rPh>
    <rPh sb="30" eb="33">
      <t>ギョウイジョウ</t>
    </rPh>
    <rPh sb="33" eb="35">
      <t>ソンザイ</t>
    </rPh>
    <rPh sb="49" eb="52">
      <t>シイレサキ</t>
    </rPh>
    <rPh sb="54" eb="58">
      <t>シュルイイジョウ</t>
    </rPh>
    <rPh sb="60" eb="62">
      <t>バアイ</t>
    </rPh>
    <rPh sb="68" eb="70">
      <t>ガメン</t>
    </rPh>
    <rPh sb="77" eb="79">
      <t>ヒョウジ</t>
    </rPh>
    <phoneticPr fontId="1"/>
  </si>
  <si>
    <t>発注確定選択チェックボックスがonになっている固定費の行が1行以上存在し、かつonになっている行の仕入先が全て同じである場合、発注確定確認ダイアログが表示されること。</t>
    <rPh sb="0" eb="2">
      <t>ハッチュウ</t>
    </rPh>
    <rPh sb="2" eb="4">
      <t>カクテイ</t>
    </rPh>
    <rPh sb="4" eb="6">
      <t>センタク</t>
    </rPh>
    <rPh sb="23" eb="26">
      <t>コテイヒ</t>
    </rPh>
    <rPh sb="26" eb="27">
      <t>ブヒ</t>
    </rPh>
    <rPh sb="27" eb="28">
      <t>ギョウ</t>
    </rPh>
    <rPh sb="30" eb="33">
      <t>ギョウイジョウ</t>
    </rPh>
    <rPh sb="33" eb="35">
      <t>ソンザイ</t>
    </rPh>
    <rPh sb="49" eb="52">
      <t>シイレサキ</t>
    </rPh>
    <rPh sb="53" eb="54">
      <t>スベ</t>
    </rPh>
    <rPh sb="55" eb="56">
      <t>オナ</t>
    </rPh>
    <rPh sb="60" eb="62">
      <t>バアイ</t>
    </rPh>
    <rPh sb="63" eb="65">
      <t>ハッチュウ</t>
    </rPh>
    <rPh sb="65" eb="67">
      <t>カクテイ</t>
    </rPh>
    <rPh sb="67" eb="69">
      <t>カクニン</t>
    </rPh>
    <rPh sb="75" eb="77">
      <t>ヒョウジ</t>
    </rPh>
    <phoneticPr fontId="1"/>
  </si>
  <si>
    <t>ログインしているユーザの権限が「ユーザ」・「ゲスト」・「経理担当者」の場合、メッセージ画面がポップアップ表示されること。
「権限がありません。」</t>
    <rPh sb="43" eb="45">
      <t>ガメン</t>
    </rPh>
    <rPh sb="52" eb="54">
      <t>ヒョウジ</t>
    </rPh>
    <phoneticPr fontId="1"/>
  </si>
  <si>
    <t>固定費の確定取消選択チェックボックスが全て未選択状態の場合、メッセージ画面がポップアップ表示されること。
「発注を確定する明細行を選択してください。」</t>
    <rPh sb="0" eb="2">
      <t>コテイ</t>
    </rPh>
    <rPh sb="2" eb="3">
      <t>ヒ</t>
    </rPh>
    <rPh sb="4" eb="6">
      <t>カクテイ</t>
    </rPh>
    <rPh sb="6" eb="8">
      <t>トリケシ</t>
    </rPh>
    <rPh sb="8" eb="10">
      <t>センタク</t>
    </rPh>
    <rPh sb="19" eb="20">
      <t>スベ</t>
    </rPh>
    <rPh sb="21" eb="22">
      <t>ミ</t>
    </rPh>
    <rPh sb="22" eb="24">
      <t>センタク</t>
    </rPh>
    <rPh sb="24" eb="26">
      <t>ジョウタイ</t>
    </rPh>
    <rPh sb="27" eb="29">
      <t>バアイ</t>
    </rPh>
    <rPh sb="35" eb="37">
      <t>ガメン</t>
    </rPh>
    <rPh sb="44" eb="46">
      <t>ヒョウジ</t>
    </rPh>
    <rPh sb="54" eb="56">
      <t>ハッチュウ</t>
    </rPh>
    <phoneticPr fontId="1"/>
  </si>
  <si>
    <t>確定取消選択チェックボックスがonになっている固定費の行が1行以上存在し、かつonになっている行の仕入先が2種類以上ある場合、メッセージ画面がポップアップ表示されること。
「複数の仕入先が指定されています。」</t>
    <rPh sb="0" eb="2">
      <t>カクテイ</t>
    </rPh>
    <rPh sb="2" eb="4">
      <t>トリケシ</t>
    </rPh>
    <rPh sb="4" eb="6">
      <t>センタク</t>
    </rPh>
    <rPh sb="23" eb="25">
      <t>コテイ</t>
    </rPh>
    <rPh sb="25" eb="26">
      <t>ヒ</t>
    </rPh>
    <rPh sb="27" eb="28">
      <t>ギョウ</t>
    </rPh>
    <rPh sb="30" eb="33">
      <t>ギョウイジョウ</t>
    </rPh>
    <rPh sb="33" eb="35">
      <t>ソンザイ</t>
    </rPh>
    <rPh sb="49" eb="52">
      <t>シイレサキ</t>
    </rPh>
    <rPh sb="54" eb="58">
      <t>シュルイイジョウ</t>
    </rPh>
    <rPh sb="60" eb="62">
      <t>バアイ</t>
    </rPh>
    <rPh sb="68" eb="70">
      <t>ガメン</t>
    </rPh>
    <rPh sb="77" eb="79">
      <t>ヒョウジ</t>
    </rPh>
    <phoneticPr fontId="1"/>
  </si>
  <si>
    <t>確定取消選択チェックボックスがonになっている固定費の行が1行以上存在し、かつonになっている行の仕入先が全て同じである場合、取消確認ダイアログが表示されること。</t>
    <rPh sb="0" eb="2">
      <t>カクテイ</t>
    </rPh>
    <rPh sb="2" eb="4">
      <t>トリケシ</t>
    </rPh>
    <rPh sb="4" eb="6">
      <t>センタク</t>
    </rPh>
    <rPh sb="23" eb="26">
      <t>コテイヒ</t>
    </rPh>
    <rPh sb="26" eb="27">
      <t>ブヒ</t>
    </rPh>
    <rPh sb="27" eb="28">
      <t>ギョウ</t>
    </rPh>
    <rPh sb="30" eb="33">
      <t>ギョウイジョウ</t>
    </rPh>
    <rPh sb="33" eb="35">
      <t>ソンザイ</t>
    </rPh>
    <rPh sb="49" eb="52">
      <t>シイレサキ</t>
    </rPh>
    <rPh sb="53" eb="54">
      <t>スベ</t>
    </rPh>
    <rPh sb="55" eb="56">
      <t>オナ</t>
    </rPh>
    <rPh sb="60" eb="62">
      <t>バアイ</t>
    </rPh>
    <rPh sb="63" eb="65">
      <t>トリケシ</t>
    </rPh>
    <rPh sb="65" eb="67">
      <t>カクニン</t>
    </rPh>
    <rPh sb="73" eb="75">
      <t>ヒョウジ</t>
    </rPh>
    <phoneticPr fontId="1"/>
  </si>
  <si>
    <t>取消確認ダイアログでキャンセルボタンを押下する。</t>
    <rPh sb="0" eb="2">
      <t>トリケシ</t>
    </rPh>
    <rPh sb="19" eb="21">
      <t>オウカ</t>
    </rPh>
    <phoneticPr fontId="1"/>
  </si>
  <si>
    <t>取消確認ダイアログでOKボタンを押下する。</t>
    <rPh sb="0" eb="2">
      <t>トリケシ</t>
    </rPh>
    <rPh sb="2" eb="4">
      <t>カクニン</t>
    </rPh>
    <rPh sb="16" eb="18">
      <t>オウカ</t>
    </rPh>
    <phoneticPr fontId="1"/>
  </si>
  <si>
    <t>発注確定取消画面が別ウィンドウで開かれること。</t>
    <rPh sb="0" eb="2">
      <t>ハッチュウ</t>
    </rPh>
    <rPh sb="4" eb="6">
      <t>トリケシ</t>
    </rPh>
    <phoneticPr fontId="1"/>
  </si>
  <si>
    <t>発注確定取消画面に表示されている明細が、取消選択チェックがonになっている固定費明細だけが全件表示されている。</t>
    <rPh sb="0" eb="2">
      <t>ハッチュウ</t>
    </rPh>
    <rPh sb="4" eb="6">
      <t>トリケシ</t>
    </rPh>
    <rPh sb="9" eb="11">
      <t>ヒョウジ</t>
    </rPh>
    <rPh sb="16" eb="18">
      <t>メイサイ</t>
    </rPh>
    <rPh sb="20" eb="22">
      <t>トリケシ</t>
    </rPh>
    <rPh sb="22" eb="24">
      <t>センタク</t>
    </rPh>
    <rPh sb="37" eb="40">
      <t>コテイヒ</t>
    </rPh>
    <rPh sb="40" eb="42">
      <t>メイサイ</t>
    </rPh>
    <rPh sb="45" eb="47">
      <t>ゼンケン</t>
    </rPh>
    <rPh sb="47" eb="49">
      <t>ヒョウジ</t>
    </rPh>
    <phoneticPr fontId="1"/>
  </si>
  <si>
    <t>部材費の確定取消選択チェックボックスが全て未選択状態の場合、メッセージ画面がポップアップ表示されること。
「発注を確定する明細行を選択してください。」</t>
    <rPh sb="0" eb="2">
      <t>ブザイ</t>
    </rPh>
    <rPh sb="2" eb="3">
      <t>ヒ</t>
    </rPh>
    <rPh sb="4" eb="6">
      <t>カクテイ</t>
    </rPh>
    <rPh sb="6" eb="8">
      <t>トリケシ</t>
    </rPh>
    <rPh sb="8" eb="10">
      <t>センタク</t>
    </rPh>
    <rPh sb="19" eb="20">
      <t>スベ</t>
    </rPh>
    <rPh sb="21" eb="22">
      <t>ミ</t>
    </rPh>
    <rPh sb="22" eb="24">
      <t>センタク</t>
    </rPh>
    <rPh sb="24" eb="26">
      <t>ジョウタイ</t>
    </rPh>
    <rPh sb="27" eb="29">
      <t>バアイ</t>
    </rPh>
    <rPh sb="35" eb="37">
      <t>ガメン</t>
    </rPh>
    <rPh sb="44" eb="46">
      <t>ヒョウジ</t>
    </rPh>
    <rPh sb="54" eb="56">
      <t>ハッチュウ</t>
    </rPh>
    <phoneticPr fontId="1"/>
  </si>
  <si>
    <t>確定取消選択チェックボックスがonになっている部材費の行が1行以上存在し、かつonになっている行の仕入先が2種類以上ある場合、メッセージ画面がポップアップ表示されること。
「複数の仕入先が指定されています。」</t>
    <rPh sb="0" eb="2">
      <t>カクテイ</t>
    </rPh>
    <rPh sb="2" eb="4">
      <t>トリケシ</t>
    </rPh>
    <rPh sb="4" eb="6">
      <t>センタク</t>
    </rPh>
    <rPh sb="23" eb="25">
      <t>ブザイ</t>
    </rPh>
    <rPh sb="25" eb="26">
      <t>ヒ</t>
    </rPh>
    <rPh sb="27" eb="28">
      <t>ギョウ</t>
    </rPh>
    <rPh sb="30" eb="33">
      <t>ギョウイジョウ</t>
    </rPh>
    <rPh sb="33" eb="35">
      <t>ソンザイ</t>
    </rPh>
    <rPh sb="49" eb="52">
      <t>シイレサキ</t>
    </rPh>
    <rPh sb="54" eb="58">
      <t>シュルイイジョウ</t>
    </rPh>
    <rPh sb="60" eb="62">
      <t>バアイ</t>
    </rPh>
    <rPh sb="68" eb="70">
      <t>ガメン</t>
    </rPh>
    <rPh sb="77" eb="79">
      <t>ヒョウジ</t>
    </rPh>
    <phoneticPr fontId="1"/>
  </si>
  <si>
    <t>確定取消選択チェックボックスがonになっている部材費の行が1行以上存在し、かつonになっている行の仕入先が全て同じである場合、取消確認ダイアログが表示されること。</t>
    <rPh sb="0" eb="2">
      <t>カクテイ</t>
    </rPh>
    <rPh sb="2" eb="4">
      <t>トリケシ</t>
    </rPh>
    <rPh sb="4" eb="6">
      <t>センタク</t>
    </rPh>
    <rPh sb="23" eb="25">
      <t>ブザイ</t>
    </rPh>
    <rPh sb="25" eb="26">
      <t>ヒ</t>
    </rPh>
    <rPh sb="26" eb="27">
      <t>ブヒ</t>
    </rPh>
    <rPh sb="27" eb="28">
      <t>ギョウ</t>
    </rPh>
    <rPh sb="30" eb="33">
      <t>ギョウイジョウ</t>
    </rPh>
    <rPh sb="33" eb="35">
      <t>ソンザイ</t>
    </rPh>
    <rPh sb="49" eb="52">
      <t>シイレサキ</t>
    </rPh>
    <rPh sb="53" eb="54">
      <t>スベ</t>
    </rPh>
    <rPh sb="55" eb="56">
      <t>オナ</t>
    </rPh>
    <rPh sb="60" eb="62">
      <t>バアイ</t>
    </rPh>
    <rPh sb="63" eb="65">
      <t>トリケシ</t>
    </rPh>
    <rPh sb="65" eb="67">
      <t>カクニン</t>
    </rPh>
    <rPh sb="73" eb="75">
      <t>ヒョウジ</t>
    </rPh>
    <phoneticPr fontId="1"/>
  </si>
  <si>
    <t>発注確定取消画面に表示されている明細が、取消選択チェックがonになっている部材費明細だけが全件表示されている。</t>
    <rPh sb="0" eb="2">
      <t>ハッチュウ</t>
    </rPh>
    <rPh sb="4" eb="6">
      <t>トリケシ</t>
    </rPh>
    <rPh sb="9" eb="11">
      <t>ヒョウジ</t>
    </rPh>
    <rPh sb="16" eb="18">
      <t>メイサイ</t>
    </rPh>
    <rPh sb="20" eb="22">
      <t>トリケシ</t>
    </rPh>
    <rPh sb="22" eb="24">
      <t>センタク</t>
    </rPh>
    <rPh sb="37" eb="39">
      <t>ブザイ</t>
    </rPh>
    <rPh sb="39" eb="40">
      <t>ヒ</t>
    </rPh>
    <rPh sb="40" eb="42">
      <t>メイサイ</t>
    </rPh>
    <rPh sb="45" eb="47">
      <t>ゼンケン</t>
    </rPh>
    <rPh sb="47" eb="49">
      <t>ヒョウジ</t>
    </rPh>
    <phoneticPr fontId="1"/>
  </si>
  <si>
    <t>修正履歴がない場合、切り替えタブが表示されていないこと。</t>
    <rPh sb="0" eb="2">
      <t>シュウセイ</t>
    </rPh>
    <rPh sb="2" eb="4">
      <t>リレキ</t>
    </rPh>
    <rPh sb="7" eb="9">
      <t>バアイ</t>
    </rPh>
    <rPh sb="10" eb="11">
      <t>キ</t>
    </rPh>
    <rPh sb="12" eb="13">
      <t>カ</t>
    </rPh>
    <rPh sb="17" eb="19">
      <t>ヒョウジ</t>
    </rPh>
    <phoneticPr fontId="1"/>
  </si>
  <si>
    <t>修正履歴がある場合、切り替えタブが表示されていること。</t>
    <rPh sb="0" eb="2">
      <t>シュウセイ</t>
    </rPh>
    <rPh sb="2" eb="4">
      <t>リレキ</t>
    </rPh>
    <rPh sb="7" eb="9">
      <t>バアイ</t>
    </rPh>
    <rPh sb="10" eb="11">
      <t>キ</t>
    </rPh>
    <rPh sb="12" eb="13">
      <t>カ</t>
    </rPh>
    <rPh sb="17" eb="19">
      <t>ヒョウジ</t>
    </rPh>
    <phoneticPr fontId="1"/>
  </si>
  <si>
    <t>1つ右のボタンを押すごとにリビジョンが1古くなっていくこと。</t>
    <rPh sb="2" eb="3">
      <t>ミギ</t>
    </rPh>
    <rPh sb="8" eb="9">
      <t>オ</t>
    </rPh>
    <rPh sb="20" eb="21">
      <t>フル</t>
    </rPh>
    <phoneticPr fontId="1"/>
  </si>
  <si>
    <t>最新ではないリビジョンを表示している場合、編集ボタンが非活性となっていること。</t>
    <rPh sb="0" eb="2">
      <t>サイシン</t>
    </rPh>
    <rPh sb="12" eb="14">
      <t>ヒョウジ</t>
    </rPh>
    <rPh sb="18" eb="20">
      <t>バアイ</t>
    </rPh>
    <rPh sb="21" eb="23">
      <t>ヘンシュウ</t>
    </rPh>
    <rPh sb="27" eb="28">
      <t>ヒ</t>
    </rPh>
    <rPh sb="28" eb="30">
      <t>カッセイ</t>
    </rPh>
    <phoneticPr fontId="1"/>
  </si>
  <si>
    <t>最新のリビジョンを表示している場合、編集ボタンが活性化されていること。</t>
    <rPh sb="0" eb="2">
      <t>サイシン</t>
    </rPh>
    <rPh sb="9" eb="11">
      <t>ヒョウジ</t>
    </rPh>
    <rPh sb="15" eb="17">
      <t>バアイ</t>
    </rPh>
    <rPh sb="18" eb="20">
      <t>ヘンシュウ</t>
    </rPh>
    <rPh sb="24" eb="26">
      <t>カッセイ</t>
    </rPh>
    <rPh sb="26" eb="27">
      <t>カ</t>
    </rPh>
    <phoneticPr fontId="1"/>
  </si>
  <si>
    <t>編集ボタン押下
（押下時に表示データは最新、他ユーザの編集無し）</t>
    <rPh sb="0" eb="2">
      <t>ヘンシュウ</t>
    </rPh>
    <rPh sb="5" eb="7">
      <t>オウカ</t>
    </rPh>
    <rPh sb="9" eb="11">
      <t>オウカ</t>
    </rPh>
    <rPh sb="11" eb="12">
      <t>ジ</t>
    </rPh>
    <rPh sb="13" eb="15">
      <t>ヒョウジ</t>
    </rPh>
    <rPh sb="19" eb="21">
      <t>サイシン</t>
    </rPh>
    <rPh sb="22" eb="23">
      <t>タ</t>
    </rPh>
    <rPh sb="27" eb="29">
      <t>ヘンシュウ</t>
    </rPh>
    <rPh sb="29" eb="30">
      <t>ナ</t>
    </rPh>
    <phoneticPr fontId="1"/>
  </si>
  <si>
    <t>編集ボタン押下
（押下時に表示データは最新、他ユーザの編集あり）</t>
    <rPh sb="0" eb="2">
      <t>ヘンシュウ</t>
    </rPh>
    <rPh sb="5" eb="7">
      <t>オウカ</t>
    </rPh>
    <rPh sb="9" eb="11">
      <t>オウカ</t>
    </rPh>
    <rPh sb="11" eb="12">
      <t>ジ</t>
    </rPh>
    <rPh sb="13" eb="15">
      <t>ヒョウジ</t>
    </rPh>
    <rPh sb="19" eb="21">
      <t>サイシン</t>
    </rPh>
    <rPh sb="22" eb="23">
      <t>タ</t>
    </rPh>
    <rPh sb="27" eb="29">
      <t>ヘンシュウ</t>
    </rPh>
    <phoneticPr fontId="1"/>
  </si>
  <si>
    <t>編集ボタン押下
（押下時に表示データは更新済）</t>
    <rPh sb="0" eb="2">
      <t>ヘンシュウ</t>
    </rPh>
    <rPh sb="5" eb="7">
      <t>オウカ</t>
    </rPh>
    <rPh sb="9" eb="11">
      <t>オウカ</t>
    </rPh>
    <rPh sb="11" eb="12">
      <t>ジ</t>
    </rPh>
    <rPh sb="13" eb="15">
      <t>ヒョウジ</t>
    </rPh>
    <rPh sb="19" eb="21">
      <t>コウシン</t>
    </rPh>
    <rPh sb="21" eb="22">
      <t>ズ</t>
    </rPh>
    <phoneticPr fontId="1"/>
  </si>
  <si>
    <t>登録ボタン押下
（押下時に表示データは最新)</t>
    <rPh sb="0" eb="2">
      <t>トウロク</t>
    </rPh>
    <rPh sb="5" eb="7">
      <t>オウカ</t>
    </rPh>
    <phoneticPr fontId="1"/>
  </si>
  <si>
    <t>別の端末で見積原価プレビュー画面を開き、編集ボタンを押下する。</t>
    <rPh sb="0" eb="1">
      <t>ベツ</t>
    </rPh>
    <rPh sb="2" eb="4">
      <t>タンマツ</t>
    </rPh>
    <rPh sb="5" eb="9">
      <t>ミツモリゲンカ</t>
    </rPh>
    <rPh sb="14" eb="16">
      <t>ガメン</t>
    </rPh>
    <rPh sb="17" eb="18">
      <t>ヒラ</t>
    </rPh>
    <rPh sb="20" eb="22">
      <t>ヘンシュウ</t>
    </rPh>
    <rPh sb="26" eb="28">
      <t>オウカ</t>
    </rPh>
    <phoneticPr fontId="1"/>
  </si>
  <si>
    <t>別の端末で表示中の見積原価書を見積原価プレビュー画面で表示し、編集ボタンを押下する。</t>
    <rPh sb="5" eb="8">
      <t>ヒョウジチュウ</t>
    </rPh>
    <rPh sb="9" eb="11">
      <t>ミツモリ</t>
    </rPh>
    <rPh sb="11" eb="13">
      <t>ゲンカ</t>
    </rPh>
    <rPh sb="13" eb="14">
      <t>ショ</t>
    </rPh>
    <rPh sb="27" eb="29">
      <t>ヒョウジ</t>
    </rPh>
    <rPh sb="31" eb="33">
      <t>ヘンシュウ</t>
    </rPh>
    <rPh sb="37" eb="39">
      <t>オウカ</t>
    </rPh>
    <phoneticPr fontId="1"/>
  </si>
  <si>
    <t>別の端末で見積原価プレビュー画面を開く。</t>
    <rPh sb="0" eb="1">
      <t>ベツ</t>
    </rPh>
    <rPh sb="2" eb="4">
      <t>タンマツ</t>
    </rPh>
    <rPh sb="5" eb="9">
      <t>ミツモリゲンカ</t>
    </rPh>
    <rPh sb="14" eb="16">
      <t>ガメン</t>
    </rPh>
    <rPh sb="17" eb="18">
      <t>ヒラ</t>
    </rPh>
    <phoneticPr fontId="1"/>
  </si>
  <si>
    <t>自端末で見積原価プレビュー画面を開く。</t>
    <rPh sb="0" eb="1">
      <t>ジ</t>
    </rPh>
    <rPh sb="1" eb="3">
      <t>タンマツ</t>
    </rPh>
    <rPh sb="4" eb="8">
      <t>ミツモリゲンカ</t>
    </rPh>
    <rPh sb="13" eb="15">
      <t>ガメン</t>
    </rPh>
    <rPh sb="16" eb="17">
      <t>ヒラ</t>
    </rPh>
    <phoneticPr fontId="1"/>
  </si>
  <si>
    <t>見積原価プレビュー画面を開いた別の端末で見積原価書を修正、登録する。</t>
    <rPh sb="12" eb="13">
      <t>ヒラ</t>
    </rPh>
    <rPh sb="15" eb="16">
      <t>ベツ</t>
    </rPh>
    <rPh sb="17" eb="19">
      <t>タンマツ</t>
    </rPh>
    <rPh sb="20" eb="22">
      <t>ミツモリ</t>
    </rPh>
    <rPh sb="22" eb="24">
      <t>ゲンカ</t>
    </rPh>
    <rPh sb="24" eb="25">
      <t>ショ</t>
    </rPh>
    <rPh sb="26" eb="28">
      <t>シュウセイ</t>
    </rPh>
    <rPh sb="29" eb="31">
      <t>トウロク</t>
    </rPh>
    <phoneticPr fontId="1"/>
  </si>
  <si>
    <t>自端末で編集ボタンを押下する。</t>
    <rPh sb="4" eb="6">
      <t>ヘンシュウ</t>
    </rPh>
    <rPh sb="10" eb="12">
      <t>オウカ</t>
    </rPh>
    <phoneticPr fontId="1"/>
  </si>
  <si>
    <t>ウィンドウクローズ</t>
    <phoneticPr fontId="1"/>
  </si>
  <si>
    <t>編集ボタンを押下する。</t>
    <rPh sb="0" eb="2">
      <t>ヘンシュウ</t>
    </rPh>
    <rPh sb="6" eb="8">
      <t>オウカ</t>
    </rPh>
    <phoneticPr fontId="1"/>
  </si>
  <si>
    <t>再販ボタン表示ケース</t>
    <rPh sb="0" eb="2">
      <t>サイハン</t>
    </rPh>
    <rPh sb="5" eb="7">
      <t>ヒョウジ</t>
    </rPh>
    <phoneticPr fontId="1"/>
  </si>
  <si>
    <t>再販ボタン非表示ケース</t>
    <rPh sb="0" eb="2">
      <t>サイハン</t>
    </rPh>
    <rPh sb="5" eb="6">
      <t>ヒ</t>
    </rPh>
    <rPh sb="6" eb="8">
      <t>ヒョウジ</t>
    </rPh>
    <phoneticPr fontId="1"/>
  </si>
  <si>
    <t>削除ボタン表示ケース</t>
    <rPh sb="0" eb="2">
      <t>サクジョ</t>
    </rPh>
    <rPh sb="5" eb="7">
      <t>ヒョウジ</t>
    </rPh>
    <phoneticPr fontId="1"/>
  </si>
  <si>
    <t>削除ボタン非表示ケース</t>
    <rPh sb="0" eb="2">
      <t>サクジョ</t>
    </rPh>
    <rPh sb="5" eb="6">
      <t>ヒ</t>
    </rPh>
    <rPh sb="6" eb="8">
      <t>ヒョウジ</t>
    </rPh>
    <phoneticPr fontId="1"/>
  </si>
  <si>
    <t>排他制御テーブルに、自端末の見積原価プレビューのレコードが1件登録されていること。</t>
    <rPh sb="0" eb="2">
      <t>ハイタ</t>
    </rPh>
    <rPh sb="2" eb="4">
      <t>セイギョ</t>
    </rPh>
    <rPh sb="10" eb="11">
      <t>ジ</t>
    </rPh>
    <rPh sb="11" eb="13">
      <t>タンマツ</t>
    </rPh>
    <rPh sb="14" eb="16">
      <t>ミツモリ</t>
    </rPh>
    <rPh sb="16" eb="18">
      <t>ゲンカ</t>
    </rPh>
    <rPh sb="30" eb="31">
      <t>ケン</t>
    </rPh>
    <rPh sb="31" eb="33">
      <t>トウロク</t>
    </rPh>
    <phoneticPr fontId="1"/>
  </si>
  <si>
    <t>他ユーザー編集中のエラーメッセージ画面が表示されること。</t>
    <rPh sb="0" eb="1">
      <t>タ</t>
    </rPh>
    <rPh sb="5" eb="8">
      <t>ヘンシュウチュウ</t>
    </rPh>
    <rPh sb="17" eb="19">
      <t>ガメン</t>
    </rPh>
    <rPh sb="20" eb="22">
      <t>ヒョウジ</t>
    </rPh>
    <phoneticPr fontId="1"/>
  </si>
  <si>
    <t>エラーメッセージ画面を閉じた後、見積原価pyレビュー画面が表示モードのままであること。</t>
    <rPh sb="8" eb="10">
      <t>ガメン</t>
    </rPh>
    <rPh sb="11" eb="12">
      <t>ト</t>
    </rPh>
    <rPh sb="14" eb="15">
      <t>アト</t>
    </rPh>
    <rPh sb="16" eb="18">
      <t>ミツモリ</t>
    </rPh>
    <rPh sb="18" eb="20">
      <t>ゲンカ</t>
    </rPh>
    <rPh sb="26" eb="28">
      <t>ガメン</t>
    </rPh>
    <rPh sb="29" eb="31">
      <t>ヒョウジ</t>
    </rPh>
    <phoneticPr fontId="1"/>
  </si>
  <si>
    <t>更新済みエラーのエラーメッセージ画面が表示されること。</t>
    <rPh sb="0" eb="2">
      <t>コウシン</t>
    </rPh>
    <rPh sb="2" eb="3">
      <t>ズ</t>
    </rPh>
    <rPh sb="16" eb="18">
      <t>ガメン</t>
    </rPh>
    <rPh sb="19" eb="21">
      <t>ヒョウジ</t>
    </rPh>
    <phoneticPr fontId="1"/>
  </si>
  <si>
    <t>排他制御テーブルに、自端末の見積原価プレビューのレコードが1件存在していること。</t>
    <rPh sb="0" eb="2">
      <t>ハイタ</t>
    </rPh>
    <rPh sb="2" eb="4">
      <t>セイギョ</t>
    </rPh>
    <rPh sb="10" eb="11">
      <t>ジ</t>
    </rPh>
    <rPh sb="11" eb="13">
      <t>タンマツ</t>
    </rPh>
    <rPh sb="14" eb="16">
      <t>ミツモリ</t>
    </rPh>
    <rPh sb="16" eb="18">
      <t>ゲンカ</t>
    </rPh>
    <rPh sb="30" eb="31">
      <t>ケン</t>
    </rPh>
    <rPh sb="31" eb="33">
      <t>ソンザイ</t>
    </rPh>
    <phoneticPr fontId="1"/>
  </si>
  <si>
    <t>排他制御テーブルに、自端末の見積原価プレビューのレコードが存在していないこと。</t>
  </si>
  <si>
    <t>任意の見積原価計算書の行の削除ボタンを押下する。</t>
    <rPh sb="0" eb="2">
      <t>ニンイ</t>
    </rPh>
    <rPh sb="3" eb="5">
      <t>ミツモリ</t>
    </rPh>
    <rPh sb="5" eb="7">
      <t>ゲンカ</t>
    </rPh>
    <rPh sb="7" eb="10">
      <t>ケイサンショ</t>
    </rPh>
    <rPh sb="11" eb="12">
      <t>ギョウ</t>
    </rPh>
    <rPh sb="13" eb="15">
      <t>サクジョ</t>
    </rPh>
    <rPh sb="19" eb="21">
      <t>オウカ</t>
    </rPh>
    <phoneticPr fontId="1"/>
  </si>
  <si>
    <t>削除確認画面が表示されること。</t>
    <rPh sb="0" eb="2">
      <t>サクジョ</t>
    </rPh>
    <rPh sb="2" eb="4">
      <t>カクニン</t>
    </rPh>
    <rPh sb="4" eb="6">
      <t>ガメン</t>
    </rPh>
    <rPh sb="7" eb="9">
      <t>ヒョウジ</t>
    </rPh>
    <phoneticPr fontId="1"/>
  </si>
  <si>
    <t>削除確認画面に表示されている見積原価計算書の内容が削除ボタンを押下した行のものであること。</t>
    <rPh sb="0" eb="2">
      <t>サクジョ</t>
    </rPh>
    <rPh sb="2" eb="4">
      <t>カクニン</t>
    </rPh>
    <rPh sb="4" eb="6">
      <t>ガメン</t>
    </rPh>
    <rPh sb="7" eb="9">
      <t>ヒョウジ</t>
    </rPh>
    <rPh sb="14" eb="16">
      <t>ミツモリ</t>
    </rPh>
    <rPh sb="16" eb="18">
      <t>ゲンカ</t>
    </rPh>
    <rPh sb="18" eb="21">
      <t>ケイサンショ</t>
    </rPh>
    <rPh sb="22" eb="24">
      <t>ナイヨウ</t>
    </rPh>
    <rPh sb="25" eb="27">
      <t>サクジョ</t>
    </rPh>
    <rPh sb="31" eb="33">
      <t>オウカ</t>
    </rPh>
    <rPh sb="35" eb="36">
      <t>ギョウ</t>
    </rPh>
    <phoneticPr fontId="1"/>
  </si>
  <si>
    <t>「いいえ」ボタンを押下する。</t>
    <rPh sb="9" eb="11">
      <t>オウカ</t>
    </rPh>
    <phoneticPr fontId="1"/>
  </si>
  <si>
    <t>削除確認画面が消えて、見積原価一覧画面が活性化されること。</t>
    <rPh sb="0" eb="2">
      <t>サクジョ</t>
    </rPh>
    <rPh sb="2" eb="4">
      <t>カクニン</t>
    </rPh>
    <rPh sb="4" eb="6">
      <t>ガメン</t>
    </rPh>
    <rPh sb="7" eb="8">
      <t>キ</t>
    </rPh>
    <rPh sb="11" eb="13">
      <t>ミツモリ</t>
    </rPh>
    <rPh sb="13" eb="15">
      <t>ゲンカ</t>
    </rPh>
    <rPh sb="15" eb="17">
      <t>イチラン</t>
    </rPh>
    <rPh sb="17" eb="19">
      <t>ガメン</t>
    </rPh>
    <rPh sb="20" eb="23">
      <t>カッセイカ</t>
    </rPh>
    <phoneticPr fontId="1"/>
  </si>
  <si>
    <t>再度、任意の見積原価計算書の行の削除ボタンを押下する。</t>
    <rPh sb="0" eb="2">
      <t>サイド</t>
    </rPh>
    <rPh sb="3" eb="5">
      <t>ニンイ</t>
    </rPh>
    <rPh sb="6" eb="8">
      <t>ミツモリ</t>
    </rPh>
    <rPh sb="8" eb="10">
      <t>ゲンカ</t>
    </rPh>
    <rPh sb="10" eb="13">
      <t>ケイサンショ</t>
    </rPh>
    <rPh sb="14" eb="15">
      <t>ギョウ</t>
    </rPh>
    <rPh sb="16" eb="18">
      <t>サクジョ</t>
    </rPh>
    <rPh sb="22" eb="24">
      <t>オウカ</t>
    </rPh>
    <phoneticPr fontId="1"/>
  </si>
  <si>
    <t>「はい」ボタンを押下する。</t>
    <rPh sb="8" eb="10">
      <t>オウカ</t>
    </rPh>
    <phoneticPr fontId="1"/>
  </si>
  <si>
    <t>削除実行（本発注、本受注明細なし、他ユーザー編集無し）</t>
    <rPh sb="0" eb="2">
      <t>サクジョ</t>
    </rPh>
    <rPh sb="2" eb="4">
      <t>ジッコウ</t>
    </rPh>
    <rPh sb="5" eb="6">
      <t>ホン</t>
    </rPh>
    <rPh sb="6" eb="8">
      <t>ハッチュウ</t>
    </rPh>
    <rPh sb="9" eb="10">
      <t>ホン</t>
    </rPh>
    <rPh sb="10" eb="12">
      <t>ジュチュウ</t>
    </rPh>
    <rPh sb="12" eb="14">
      <t>メイサイ</t>
    </rPh>
    <rPh sb="17" eb="18">
      <t>タ</t>
    </rPh>
    <rPh sb="22" eb="24">
      <t>ヘンシュウ</t>
    </rPh>
    <rPh sb="24" eb="25">
      <t>ナ</t>
    </rPh>
    <phoneticPr fontId="1"/>
  </si>
  <si>
    <t>以下の仕様で見積原価ヘッダが1件新規登録されていること。
リビジョン番号：-1
製品コード：削除対象のデータの製品コードに"_del"を付与した値
入力者：セッション情報から取得したログインユーザー
作成日時：システム日時
その他の項目：削除対象のデータと同値</t>
    <rPh sb="0" eb="2">
      <t>イカ</t>
    </rPh>
    <rPh sb="3" eb="5">
      <t>シヨウ</t>
    </rPh>
    <rPh sb="6" eb="8">
      <t>ミツモリ</t>
    </rPh>
    <rPh sb="8" eb="10">
      <t>ゲンカ</t>
    </rPh>
    <rPh sb="15" eb="16">
      <t>ケン</t>
    </rPh>
    <rPh sb="16" eb="18">
      <t>シンキ</t>
    </rPh>
    <rPh sb="18" eb="20">
      <t>トウロク</t>
    </rPh>
    <rPh sb="34" eb="36">
      <t>バンゴウ</t>
    </rPh>
    <rPh sb="40" eb="42">
      <t>セイヒン</t>
    </rPh>
    <rPh sb="46" eb="48">
      <t>サクジョ</t>
    </rPh>
    <rPh sb="48" eb="50">
      <t>タイショウ</t>
    </rPh>
    <rPh sb="55" eb="57">
      <t>セイヒン</t>
    </rPh>
    <rPh sb="68" eb="70">
      <t>フヨ</t>
    </rPh>
    <rPh sb="72" eb="73">
      <t>アタイ</t>
    </rPh>
    <rPh sb="74" eb="76">
      <t>ニュウリョク</t>
    </rPh>
    <rPh sb="76" eb="77">
      <t>シャ</t>
    </rPh>
    <rPh sb="83" eb="85">
      <t>ジョウホウ</t>
    </rPh>
    <rPh sb="87" eb="89">
      <t>シュトク</t>
    </rPh>
    <rPh sb="100" eb="102">
      <t>サクセイ</t>
    </rPh>
    <rPh sb="102" eb="104">
      <t>ニチジ</t>
    </rPh>
    <rPh sb="109" eb="111">
      <t>ニチジ</t>
    </rPh>
    <rPh sb="114" eb="115">
      <t>タ</t>
    </rPh>
    <rPh sb="116" eb="118">
      <t>コウモク</t>
    </rPh>
    <rPh sb="119" eb="121">
      <t>サクジョ</t>
    </rPh>
    <rPh sb="121" eb="123">
      <t>タイショウ</t>
    </rPh>
    <rPh sb="128" eb="130">
      <t>ドウチ</t>
    </rPh>
    <phoneticPr fontId="1"/>
  </si>
  <si>
    <t>以下の仕様で受注ヘッダが1件コピー登録されていること。
コピー元：削除対象の見積原価ヘッダと製品コードが同じである最新の受注ヘッダ
製品コード：コピー元データの製品コードの前後に"*"を付与した値
入力者：セッション情報から取得したログインユーザー
作成日時：システム日時
その他の項目：コピー元データと同値</t>
    <rPh sb="0" eb="2">
      <t>イカ</t>
    </rPh>
    <rPh sb="3" eb="5">
      <t>シヨウ</t>
    </rPh>
    <rPh sb="6" eb="8">
      <t>ジュチュウ</t>
    </rPh>
    <rPh sb="13" eb="14">
      <t>ケン</t>
    </rPh>
    <rPh sb="17" eb="19">
      <t>トウロク</t>
    </rPh>
    <rPh sb="31" eb="32">
      <t>モト</t>
    </rPh>
    <rPh sb="33" eb="35">
      <t>サクジョ</t>
    </rPh>
    <rPh sb="35" eb="37">
      <t>タイショウ</t>
    </rPh>
    <rPh sb="38" eb="40">
      <t>ミツモリ</t>
    </rPh>
    <rPh sb="40" eb="42">
      <t>ゲンカ</t>
    </rPh>
    <rPh sb="46" eb="48">
      <t>セイヒン</t>
    </rPh>
    <rPh sb="52" eb="53">
      <t>オナ</t>
    </rPh>
    <rPh sb="57" eb="59">
      <t>サイシン</t>
    </rPh>
    <rPh sb="60" eb="62">
      <t>ジュチュウ</t>
    </rPh>
    <rPh sb="75" eb="76">
      <t>モト</t>
    </rPh>
    <rPh sb="86" eb="88">
      <t>ゼンゴ</t>
    </rPh>
    <rPh sb="147" eb="148">
      <t>モト</t>
    </rPh>
    <rPh sb="152" eb="154">
      <t>ドウチ</t>
    </rPh>
    <phoneticPr fontId="1"/>
  </si>
  <si>
    <t>以下の仕様で発注ヘッダが1件コピー登録されていること。
コピー元：削除対象の見積原価ヘッダと製品コードが同じである最新の発注ヘッダ
製品コード：コピー元データの製品コードの前後に"*"を付与した値
入力者：セッション情報から取得したログインユーザー
作成日時：システム日時
その他の項目：コピー元データと同値</t>
    <rPh sb="0" eb="2">
      <t>イカ</t>
    </rPh>
    <rPh sb="3" eb="5">
      <t>シヨウ</t>
    </rPh>
    <rPh sb="6" eb="8">
      <t>ハッチュウ</t>
    </rPh>
    <rPh sb="13" eb="14">
      <t>ケン</t>
    </rPh>
    <rPh sb="17" eb="19">
      <t>トウロク</t>
    </rPh>
    <rPh sb="31" eb="32">
      <t>モト</t>
    </rPh>
    <rPh sb="33" eb="35">
      <t>サクジョ</t>
    </rPh>
    <rPh sb="35" eb="37">
      <t>タイショウ</t>
    </rPh>
    <rPh sb="38" eb="40">
      <t>ミツモリ</t>
    </rPh>
    <rPh sb="40" eb="42">
      <t>ゲンカ</t>
    </rPh>
    <rPh sb="46" eb="48">
      <t>セイヒン</t>
    </rPh>
    <rPh sb="52" eb="53">
      <t>オナ</t>
    </rPh>
    <rPh sb="57" eb="59">
      <t>サイシン</t>
    </rPh>
    <rPh sb="60" eb="62">
      <t>ハッチュウ</t>
    </rPh>
    <rPh sb="75" eb="76">
      <t>モト</t>
    </rPh>
    <rPh sb="86" eb="88">
      <t>ゼンゴ</t>
    </rPh>
    <rPh sb="147" eb="148">
      <t>モト</t>
    </rPh>
    <rPh sb="152" eb="154">
      <t>ドウチ</t>
    </rPh>
    <phoneticPr fontId="1"/>
  </si>
  <si>
    <t>以下の仕様で製品マスタが1件コピー登録されていること。
コピー元：削除対象の見積原価ヘッダと製品コードが同じである最新の製品マスタ
製品コード：コピー元データの製品コードの前後に"*"を付与した値
入力者：セッション情報から取得したログインユーザー
作成日時：システム日時
その他の項目：コピー元データと同値</t>
    <rPh sb="0" eb="2">
      <t>イカ</t>
    </rPh>
    <rPh sb="3" eb="5">
      <t>シヨウ</t>
    </rPh>
    <rPh sb="6" eb="8">
      <t>セイヒン</t>
    </rPh>
    <rPh sb="13" eb="14">
      <t>ケン</t>
    </rPh>
    <rPh sb="17" eb="19">
      <t>トウロク</t>
    </rPh>
    <rPh sb="31" eb="32">
      <t>モト</t>
    </rPh>
    <rPh sb="33" eb="35">
      <t>サクジョ</t>
    </rPh>
    <rPh sb="35" eb="37">
      <t>タイショウ</t>
    </rPh>
    <rPh sb="38" eb="40">
      <t>ミツモリ</t>
    </rPh>
    <rPh sb="40" eb="42">
      <t>ゲンカ</t>
    </rPh>
    <rPh sb="46" eb="48">
      <t>セイヒン</t>
    </rPh>
    <rPh sb="52" eb="53">
      <t>オナ</t>
    </rPh>
    <rPh sb="57" eb="59">
      <t>サイシン</t>
    </rPh>
    <rPh sb="60" eb="62">
      <t>セイヒン</t>
    </rPh>
    <rPh sb="75" eb="76">
      <t>モト</t>
    </rPh>
    <rPh sb="86" eb="88">
      <t>ゼンゴ</t>
    </rPh>
    <rPh sb="147" eb="148">
      <t>モト</t>
    </rPh>
    <rPh sb="152" eb="154">
      <t>ドウチ</t>
    </rPh>
    <phoneticPr fontId="1"/>
  </si>
  <si>
    <t>行追加ボタン押下</t>
    <rPh sb="0" eb="1">
      <t>ギョウ</t>
    </rPh>
    <rPh sb="1" eb="3">
      <t>ツイカ</t>
    </rPh>
    <rPh sb="6" eb="8">
      <t>オウカ</t>
    </rPh>
    <phoneticPr fontId="1"/>
  </si>
  <si>
    <t>行削除ボタン押下</t>
    <rPh sb="0" eb="1">
      <t>ギョウ</t>
    </rPh>
    <rPh sb="1" eb="3">
      <t>サクジョ</t>
    </rPh>
    <rPh sb="6" eb="8">
      <t>オウカ</t>
    </rPh>
    <phoneticPr fontId="1"/>
  </si>
  <si>
    <t>▲▲ボタン押下</t>
    <phoneticPr fontId="1"/>
  </si>
  <si>
    <t>▲ボタン押下</t>
    <phoneticPr fontId="1"/>
  </si>
  <si>
    <t>▼ボタン押下</t>
    <phoneticPr fontId="1"/>
  </si>
  <si>
    <t>▼▼ボタン押下</t>
    <phoneticPr fontId="1"/>
  </si>
  <si>
    <t>製品売上の任意の行を選択し、▲▲ボタンを押下する。</t>
    <rPh sb="0" eb="2">
      <t>セイヒン</t>
    </rPh>
    <rPh sb="2" eb="4">
      <t>ウリアゲ</t>
    </rPh>
    <rPh sb="5" eb="7">
      <t>ニンイ</t>
    </rPh>
    <rPh sb="8" eb="9">
      <t>ギョウ</t>
    </rPh>
    <rPh sb="10" eb="12">
      <t>センタク</t>
    </rPh>
    <phoneticPr fontId="1"/>
  </si>
  <si>
    <t>選択された行が製品売上の1行目に移動すること。</t>
    <rPh sb="0" eb="2">
      <t>センタク</t>
    </rPh>
    <rPh sb="5" eb="6">
      <t>ギョウ</t>
    </rPh>
    <rPh sb="7" eb="9">
      <t>セイヒン</t>
    </rPh>
    <rPh sb="9" eb="11">
      <t>ウリアゲ</t>
    </rPh>
    <rPh sb="13" eb="15">
      <t>ギョウメ</t>
    </rPh>
    <rPh sb="16" eb="18">
      <t>イドウ</t>
    </rPh>
    <phoneticPr fontId="1"/>
  </si>
  <si>
    <t>固定費売上の任意の行を選択し、▲▲ボタンを押下する。</t>
    <phoneticPr fontId="1"/>
  </si>
  <si>
    <t>減価償却費の任意の行を選択し、▲▲ボタンを押下する。</t>
    <rPh sb="0" eb="5">
      <t>ゲンカショウキャクヒ</t>
    </rPh>
    <phoneticPr fontId="1"/>
  </si>
  <si>
    <t>部材費の任意の行を選択し、▲▲ボタンを押下する。</t>
    <rPh sb="0" eb="2">
      <t>ブザイ</t>
    </rPh>
    <rPh sb="2" eb="3">
      <t>ヒ</t>
    </rPh>
    <phoneticPr fontId="1"/>
  </si>
  <si>
    <t>選択された行が固定費売上の1行目に移動すること。</t>
    <rPh sb="0" eb="2">
      <t>センタク</t>
    </rPh>
    <rPh sb="5" eb="6">
      <t>ギョウ</t>
    </rPh>
    <rPh sb="7" eb="10">
      <t>コテイヒ</t>
    </rPh>
    <rPh sb="10" eb="12">
      <t>ウリアゲ</t>
    </rPh>
    <rPh sb="14" eb="16">
      <t>ギョウメ</t>
    </rPh>
    <rPh sb="17" eb="19">
      <t>イドウ</t>
    </rPh>
    <phoneticPr fontId="1"/>
  </si>
  <si>
    <t>選択された行が減価償却費の1行目に移動すること。</t>
    <rPh sb="0" eb="2">
      <t>センタク</t>
    </rPh>
    <rPh sb="5" eb="6">
      <t>ギョウ</t>
    </rPh>
    <rPh sb="7" eb="9">
      <t>ゲンカ</t>
    </rPh>
    <rPh sb="9" eb="11">
      <t>ショウキャク</t>
    </rPh>
    <rPh sb="11" eb="12">
      <t>ヒ</t>
    </rPh>
    <rPh sb="14" eb="16">
      <t>ギョウメ</t>
    </rPh>
    <rPh sb="17" eb="19">
      <t>イドウ</t>
    </rPh>
    <phoneticPr fontId="1"/>
  </si>
  <si>
    <t>選択された行が部材費の1行目に移動すること。</t>
    <rPh sb="0" eb="2">
      <t>センタク</t>
    </rPh>
    <rPh sb="5" eb="6">
      <t>ギョウ</t>
    </rPh>
    <rPh sb="7" eb="9">
      <t>ブザイ</t>
    </rPh>
    <rPh sb="9" eb="10">
      <t>ヒ</t>
    </rPh>
    <rPh sb="12" eb="14">
      <t>ギョウメ</t>
    </rPh>
    <rPh sb="15" eb="17">
      <t>イドウ</t>
    </rPh>
    <phoneticPr fontId="1"/>
  </si>
  <si>
    <t>製品売上の任意の行を選択し、▼▼ボタンを押下する。</t>
    <rPh sb="0" eb="2">
      <t>セイヒン</t>
    </rPh>
    <rPh sb="2" eb="4">
      <t>ウリアゲ</t>
    </rPh>
    <rPh sb="5" eb="7">
      <t>ニンイ</t>
    </rPh>
    <rPh sb="8" eb="9">
      <t>ギョウ</t>
    </rPh>
    <rPh sb="10" eb="12">
      <t>センタク</t>
    </rPh>
    <phoneticPr fontId="1"/>
  </si>
  <si>
    <t>固定費売上の任意の行を選択し、▼▼ボタンを押下する。</t>
    <phoneticPr fontId="1"/>
  </si>
  <si>
    <t>減価償却費の任意の行を選択し、▼▼ボタンを押下する。</t>
    <rPh sb="0" eb="5">
      <t>ゲンカショウキャクヒ</t>
    </rPh>
    <phoneticPr fontId="1"/>
  </si>
  <si>
    <t>部材費の任意の行を選択し、▼▼ボタンを押下する。</t>
    <rPh sb="0" eb="2">
      <t>ブザイ</t>
    </rPh>
    <rPh sb="2" eb="3">
      <t>ヒ</t>
    </rPh>
    <phoneticPr fontId="1"/>
  </si>
  <si>
    <t>選択された行が製品売上の最終行に移動すること。</t>
    <rPh sb="0" eb="2">
      <t>センタク</t>
    </rPh>
    <rPh sb="5" eb="6">
      <t>ギョウ</t>
    </rPh>
    <rPh sb="7" eb="9">
      <t>セイヒン</t>
    </rPh>
    <rPh sb="9" eb="11">
      <t>ウリアゲ</t>
    </rPh>
    <rPh sb="12" eb="15">
      <t>サイシュウギョウ</t>
    </rPh>
    <rPh sb="16" eb="18">
      <t>イドウ</t>
    </rPh>
    <phoneticPr fontId="1"/>
  </si>
  <si>
    <t>選択された行が固定費売上の最終行に移動すること。</t>
    <rPh sb="0" eb="2">
      <t>センタク</t>
    </rPh>
    <rPh sb="5" eb="6">
      <t>ギョウ</t>
    </rPh>
    <rPh sb="7" eb="10">
      <t>コテイヒ</t>
    </rPh>
    <rPh sb="10" eb="12">
      <t>ウリアゲ</t>
    </rPh>
    <rPh sb="17" eb="19">
      <t>イドウ</t>
    </rPh>
    <phoneticPr fontId="1"/>
  </si>
  <si>
    <t>選択された行が減価償却費の最終行に移動すること。</t>
    <rPh sb="0" eb="2">
      <t>センタク</t>
    </rPh>
    <rPh sb="5" eb="6">
      <t>ギョウ</t>
    </rPh>
    <rPh sb="7" eb="9">
      <t>ゲンカ</t>
    </rPh>
    <rPh sb="9" eb="11">
      <t>ショウキャク</t>
    </rPh>
    <rPh sb="11" eb="12">
      <t>ヒ</t>
    </rPh>
    <rPh sb="17" eb="19">
      <t>イドウ</t>
    </rPh>
    <phoneticPr fontId="1"/>
  </si>
  <si>
    <t>選択された行が部材費の最終行に移動すること。</t>
    <rPh sb="0" eb="2">
      <t>センタク</t>
    </rPh>
    <rPh sb="5" eb="6">
      <t>ギョウ</t>
    </rPh>
    <rPh sb="7" eb="9">
      <t>ブザイ</t>
    </rPh>
    <rPh sb="9" eb="10">
      <t>ヒ</t>
    </rPh>
    <rPh sb="15" eb="17">
      <t>イドウ</t>
    </rPh>
    <phoneticPr fontId="1"/>
  </si>
  <si>
    <t>選択された行が固定費売上の1行上に移動すること。</t>
    <rPh sb="0" eb="2">
      <t>センタク</t>
    </rPh>
    <rPh sb="5" eb="6">
      <t>ギョウ</t>
    </rPh>
    <rPh sb="7" eb="10">
      <t>コテイヒ</t>
    </rPh>
    <rPh sb="10" eb="12">
      <t>ウリアゲ</t>
    </rPh>
    <rPh sb="14" eb="15">
      <t>ギョウ</t>
    </rPh>
    <rPh sb="15" eb="16">
      <t>ウエ</t>
    </rPh>
    <rPh sb="17" eb="19">
      <t>イドウ</t>
    </rPh>
    <phoneticPr fontId="1"/>
  </si>
  <si>
    <t>選択された行が製品売上の1行上に移動すること。</t>
    <rPh sb="0" eb="2">
      <t>センタク</t>
    </rPh>
    <rPh sb="5" eb="6">
      <t>ギョウ</t>
    </rPh>
    <rPh sb="7" eb="9">
      <t>セイヒン</t>
    </rPh>
    <rPh sb="9" eb="11">
      <t>ウリアゲ</t>
    </rPh>
    <rPh sb="13" eb="14">
      <t>ギョウ</t>
    </rPh>
    <rPh sb="16" eb="18">
      <t>イドウ</t>
    </rPh>
    <phoneticPr fontId="1"/>
  </si>
  <si>
    <t>選択された行が減価償却費の1行上に移動すること。</t>
    <rPh sb="0" eb="2">
      <t>センタク</t>
    </rPh>
    <rPh sb="5" eb="6">
      <t>ギョウ</t>
    </rPh>
    <rPh sb="7" eb="9">
      <t>ゲンカ</t>
    </rPh>
    <rPh sb="9" eb="11">
      <t>ショウキャク</t>
    </rPh>
    <rPh sb="11" eb="12">
      <t>ヒ</t>
    </rPh>
    <rPh sb="14" eb="15">
      <t>ギョウ</t>
    </rPh>
    <rPh sb="15" eb="16">
      <t>ウエ</t>
    </rPh>
    <rPh sb="17" eb="19">
      <t>イドウ</t>
    </rPh>
    <phoneticPr fontId="1"/>
  </si>
  <si>
    <t>選択された行が部材費の1行上に移動すること。</t>
    <rPh sb="0" eb="2">
      <t>センタク</t>
    </rPh>
    <rPh sb="5" eb="6">
      <t>ギョウ</t>
    </rPh>
    <rPh sb="7" eb="9">
      <t>ブザイ</t>
    </rPh>
    <rPh sb="9" eb="10">
      <t>ヒ</t>
    </rPh>
    <rPh sb="12" eb="13">
      <t>ギョウ</t>
    </rPh>
    <rPh sb="13" eb="14">
      <t>ウエ</t>
    </rPh>
    <rPh sb="15" eb="17">
      <t>イドウ</t>
    </rPh>
    <phoneticPr fontId="1"/>
  </si>
  <si>
    <t>選択された行が減価償却費の1行下に移動すること。</t>
    <rPh sb="0" eb="2">
      <t>センタク</t>
    </rPh>
    <rPh sb="5" eb="6">
      <t>ギョウ</t>
    </rPh>
    <rPh sb="7" eb="9">
      <t>ゲンカ</t>
    </rPh>
    <rPh sb="9" eb="11">
      <t>ショウキャク</t>
    </rPh>
    <rPh sb="11" eb="12">
      <t>ヒ</t>
    </rPh>
    <rPh sb="14" eb="15">
      <t>ギョウ</t>
    </rPh>
    <rPh sb="17" eb="19">
      <t>イドウ</t>
    </rPh>
    <phoneticPr fontId="1"/>
  </si>
  <si>
    <t>選択された行が部材費の1行下に移動すること。</t>
    <rPh sb="0" eb="2">
      <t>センタク</t>
    </rPh>
    <rPh sb="5" eb="6">
      <t>ギョウ</t>
    </rPh>
    <rPh sb="7" eb="9">
      <t>ブザイ</t>
    </rPh>
    <rPh sb="9" eb="10">
      <t>ヒ</t>
    </rPh>
    <rPh sb="12" eb="13">
      <t>ギョウ</t>
    </rPh>
    <rPh sb="15" eb="17">
      <t>イドウ</t>
    </rPh>
    <phoneticPr fontId="1"/>
  </si>
  <si>
    <t>選択された行が製品売上の1行下に移動すること。</t>
    <rPh sb="0" eb="2">
      <t>センタク</t>
    </rPh>
    <rPh sb="5" eb="6">
      <t>ギョウ</t>
    </rPh>
    <rPh sb="7" eb="9">
      <t>セイヒン</t>
    </rPh>
    <rPh sb="9" eb="11">
      <t>ウリアゲ</t>
    </rPh>
    <rPh sb="13" eb="14">
      <t>ギョウ</t>
    </rPh>
    <rPh sb="16" eb="18">
      <t>イドウ</t>
    </rPh>
    <phoneticPr fontId="1"/>
  </si>
  <si>
    <t>選択された行が固定費売上の1行下に移動すること。</t>
    <rPh sb="0" eb="2">
      <t>センタク</t>
    </rPh>
    <rPh sb="5" eb="6">
      <t>ギョウ</t>
    </rPh>
    <rPh sb="7" eb="10">
      <t>コテイヒ</t>
    </rPh>
    <rPh sb="10" eb="12">
      <t>ウリアゲ</t>
    </rPh>
    <rPh sb="14" eb="15">
      <t>ギョウ</t>
    </rPh>
    <rPh sb="17" eb="19">
      <t>イドウ</t>
    </rPh>
    <phoneticPr fontId="1"/>
  </si>
  <si>
    <t>製品売上の任意の行を選択し、▲ボタンを押下する。</t>
    <rPh sb="0" eb="2">
      <t>セイヒン</t>
    </rPh>
    <rPh sb="2" eb="4">
      <t>ウリアゲ</t>
    </rPh>
    <rPh sb="5" eb="7">
      <t>ニンイ</t>
    </rPh>
    <rPh sb="8" eb="9">
      <t>ギョウ</t>
    </rPh>
    <rPh sb="10" eb="12">
      <t>センタク</t>
    </rPh>
    <phoneticPr fontId="1"/>
  </si>
  <si>
    <t>固定費売上の任意の行を選択し、▲ボタンを押下する。</t>
    <phoneticPr fontId="1"/>
  </si>
  <si>
    <t>減価償却費の任意の行を選択し、▲ボタンを押下する。</t>
    <rPh sb="0" eb="5">
      <t>ゲンカショウキャクヒ</t>
    </rPh>
    <phoneticPr fontId="1"/>
  </si>
  <si>
    <t>部材費の任意の行を選択し、▲ボタンを押下する。</t>
    <rPh sb="0" eb="2">
      <t>ブザイ</t>
    </rPh>
    <rPh sb="2" eb="3">
      <t>ヒ</t>
    </rPh>
    <phoneticPr fontId="1"/>
  </si>
  <si>
    <t>製品売上の任意の行を選択し、▼ボタンを押下する。</t>
    <rPh sb="0" eb="2">
      <t>セイヒン</t>
    </rPh>
    <rPh sb="2" eb="4">
      <t>ウリアゲ</t>
    </rPh>
    <rPh sb="5" eb="7">
      <t>ニンイ</t>
    </rPh>
    <rPh sb="8" eb="9">
      <t>ギョウ</t>
    </rPh>
    <rPh sb="10" eb="12">
      <t>センタク</t>
    </rPh>
    <phoneticPr fontId="1"/>
  </si>
  <si>
    <t>固定費売上の任意の行を選択し、▼ボタンを押下する。</t>
    <phoneticPr fontId="1"/>
  </si>
  <si>
    <t>減価償却費の任意の行を選択し、▼ボタンを押下する。</t>
    <rPh sb="0" eb="5">
      <t>ゲンカショウキャクヒ</t>
    </rPh>
    <phoneticPr fontId="1"/>
  </si>
  <si>
    <t>部材費の任意の行を選択し、▼ボタンを押下する。</t>
    <rPh sb="0" eb="2">
      <t>ブザイ</t>
    </rPh>
    <rPh sb="2" eb="3">
      <t>ヒ</t>
    </rPh>
    <phoneticPr fontId="1"/>
  </si>
  <si>
    <t>選択された行が削除されること。</t>
    <rPh sb="0" eb="2">
      <t>センタク</t>
    </rPh>
    <rPh sb="5" eb="6">
      <t>ギョウ</t>
    </rPh>
    <rPh sb="7" eb="9">
      <t>サクジョ</t>
    </rPh>
    <phoneticPr fontId="1"/>
  </si>
  <si>
    <t>追加された行が製品売上用のプルダウンとなっていること。</t>
    <rPh sb="0" eb="2">
      <t>ツイカ</t>
    </rPh>
    <rPh sb="5" eb="6">
      <t>ギョウ</t>
    </rPh>
    <rPh sb="7" eb="9">
      <t>セイヒン</t>
    </rPh>
    <rPh sb="9" eb="11">
      <t>ウリアゲ</t>
    </rPh>
    <rPh sb="11" eb="12">
      <t>ヨウ</t>
    </rPh>
    <phoneticPr fontId="1"/>
  </si>
  <si>
    <t>追加された行が固定費売上用のプルダウンとなっていること。</t>
    <rPh sb="0" eb="2">
      <t>ツイカ</t>
    </rPh>
    <rPh sb="5" eb="6">
      <t>ギョウ</t>
    </rPh>
    <rPh sb="7" eb="9">
      <t>コテイ</t>
    </rPh>
    <rPh sb="9" eb="10">
      <t>ヒ</t>
    </rPh>
    <rPh sb="10" eb="12">
      <t>ウリアゲ</t>
    </rPh>
    <rPh sb="12" eb="13">
      <t>ヨウ</t>
    </rPh>
    <phoneticPr fontId="1"/>
  </si>
  <si>
    <t>追加された行が減価償却費用のプルダウンとなっていること。</t>
    <rPh sb="0" eb="2">
      <t>ツイカ</t>
    </rPh>
    <rPh sb="5" eb="6">
      <t>ギョウ</t>
    </rPh>
    <rPh sb="7" eb="9">
      <t>ゲンカ</t>
    </rPh>
    <rPh sb="9" eb="11">
      <t>ショウキャク</t>
    </rPh>
    <rPh sb="11" eb="12">
      <t>ヒ</t>
    </rPh>
    <rPh sb="12" eb="13">
      <t>ヨウ</t>
    </rPh>
    <phoneticPr fontId="1"/>
  </si>
  <si>
    <t>追加された行が部材費用（水色）のプルダウンとなっていること。</t>
    <rPh sb="0" eb="2">
      <t>ツイカ</t>
    </rPh>
    <rPh sb="5" eb="6">
      <t>ギョウ</t>
    </rPh>
    <rPh sb="7" eb="9">
      <t>ブザイ</t>
    </rPh>
    <rPh sb="9" eb="10">
      <t>ヒ</t>
    </rPh>
    <rPh sb="10" eb="11">
      <t>ヨウ</t>
    </rPh>
    <rPh sb="12" eb="14">
      <t>ミズイロ</t>
    </rPh>
    <phoneticPr fontId="1"/>
  </si>
  <si>
    <t>追加された行が部材費用（紫色）のプルダウンとなっていること。</t>
    <rPh sb="0" eb="2">
      <t>ツイカ</t>
    </rPh>
    <rPh sb="5" eb="6">
      <t>ギョウ</t>
    </rPh>
    <rPh sb="7" eb="9">
      <t>ブザイ</t>
    </rPh>
    <rPh sb="9" eb="10">
      <t>ヒ</t>
    </rPh>
    <rPh sb="10" eb="11">
      <t>ヨウ</t>
    </rPh>
    <rPh sb="12" eb="13">
      <t>ムラサキ</t>
    </rPh>
    <rPh sb="13" eb="14">
      <t>イロ</t>
    </rPh>
    <phoneticPr fontId="1"/>
  </si>
  <si>
    <t>選択された行の直後に空行が追加されること。</t>
    <rPh sb="0" eb="2">
      <t>センタク</t>
    </rPh>
    <rPh sb="5" eb="6">
      <t>ギョウ</t>
    </rPh>
    <rPh sb="7" eb="9">
      <t>チョクゴ</t>
    </rPh>
    <rPh sb="10" eb="12">
      <t>クウギョウ</t>
    </rPh>
    <rPh sb="13" eb="15">
      <t>ツイカ</t>
    </rPh>
    <phoneticPr fontId="1"/>
  </si>
  <si>
    <t>明細行以外の行を選択し、▲▲ボタンを押下する。</t>
    <rPh sb="0" eb="2">
      <t>メイサイ</t>
    </rPh>
    <rPh sb="2" eb="3">
      <t>ギョウ</t>
    </rPh>
    <rPh sb="3" eb="5">
      <t>イガイ</t>
    </rPh>
    <rPh sb="6" eb="7">
      <t>ギョウ</t>
    </rPh>
    <rPh sb="8" eb="10">
      <t>センタク</t>
    </rPh>
    <phoneticPr fontId="1"/>
  </si>
  <si>
    <t>選択された行が一切移動しないこと。</t>
    <rPh sb="0" eb="2">
      <t>センタク</t>
    </rPh>
    <rPh sb="5" eb="6">
      <t>ギョウ</t>
    </rPh>
    <rPh sb="7" eb="9">
      <t>イッサイ</t>
    </rPh>
    <rPh sb="9" eb="11">
      <t>イドウ</t>
    </rPh>
    <phoneticPr fontId="1"/>
  </si>
  <si>
    <t>明細行以外の行を選択し、▲ボタンを押下する。</t>
    <rPh sb="0" eb="2">
      <t>メイサイ</t>
    </rPh>
    <rPh sb="2" eb="3">
      <t>ギョウ</t>
    </rPh>
    <rPh sb="3" eb="5">
      <t>イガイ</t>
    </rPh>
    <rPh sb="6" eb="7">
      <t>ギョウ</t>
    </rPh>
    <rPh sb="8" eb="10">
      <t>センタク</t>
    </rPh>
    <phoneticPr fontId="1"/>
  </si>
  <si>
    <t>明細行以外の行を選択し、▼ボタンを押下する。</t>
    <rPh sb="0" eb="2">
      <t>メイサイ</t>
    </rPh>
    <rPh sb="2" eb="3">
      <t>ギョウ</t>
    </rPh>
    <rPh sb="3" eb="5">
      <t>イガイ</t>
    </rPh>
    <rPh sb="6" eb="7">
      <t>ギョウ</t>
    </rPh>
    <rPh sb="8" eb="10">
      <t>センタク</t>
    </rPh>
    <phoneticPr fontId="1"/>
  </si>
  <si>
    <t>明細行以外の行を選択し、▼▼ボタンを押下する。</t>
    <rPh sb="0" eb="2">
      <t>メイサイ</t>
    </rPh>
    <rPh sb="2" eb="3">
      <t>ギョウ</t>
    </rPh>
    <rPh sb="3" eb="5">
      <t>イガイ</t>
    </rPh>
    <rPh sb="6" eb="7">
      <t>ギョウ</t>
    </rPh>
    <rPh sb="8" eb="10">
      <t>センタク</t>
    </rPh>
    <phoneticPr fontId="1"/>
  </si>
  <si>
    <t>製品売上の明細を選択して押下</t>
    <rPh sb="0" eb="2">
      <t>セイヒン</t>
    </rPh>
    <rPh sb="2" eb="4">
      <t>ウリアゲ</t>
    </rPh>
    <rPh sb="5" eb="7">
      <t>メイサイ</t>
    </rPh>
    <rPh sb="8" eb="10">
      <t>センタク</t>
    </rPh>
    <rPh sb="12" eb="14">
      <t>オウカ</t>
    </rPh>
    <phoneticPr fontId="1"/>
  </si>
  <si>
    <t>固定費売上の明細を選択して押下</t>
    <rPh sb="0" eb="3">
      <t>コテイヒ</t>
    </rPh>
    <rPh sb="3" eb="5">
      <t>ウリアゲ</t>
    </rPh>
    <phoneticPr fontId="1"/>
  </si>
  <si>
    <t>減価償却費の明細を選択して押下</t>
    <rPh sb="0" eb="5">
      <t>ゲンカショウキャクヒ</t>
    </rPh>
    <phoneticPr fontId="1"/>
  </si>
  <si>
    <t>部材費（水色）の明細を選択して押下</t>
    <rPh sb="0" eb="2">
      <t>ブザイ</t>
    </rPh>
    <rPh sb="2" eb="3">
      <t>ヒ</t>
    </rPh>
    <rPh sb="4" eb="6">
      <t>ミズイロ</t>
    </rPh>
    <phoneticPr fontId="1"/>
  </si>
  <si>
    <t>部材費（紫色）の明細を選択して押下</t>
    <rPh sb="0" eb="2">
      <t>ブザイ</t>
    </rPh>
    <rPh sb="2" eb="3">
      <t>ヒ</t>
    </rPh>
    <rPh sb="4" eb="6">
      <t>ムラサキイロ</t>
    </rPh>
    <phoneticPr fontId="1"/>
  </si>
  <si>
    <t>明細行以外の明細を選択して押下</t>
    <rPh sb="0" eb="2">
      <t>メイサイ</t>
    </rPh>
    <rPh sb="2" eb="3">
      <t>ギョウ</t>
    </rPh>
    <rPh sb="3" eb="5">
      <t>イガイ</t>
    </rPh>
    <phoneticPr fontId="1"/>
  </si>
  <si>
    <t>選択された行の直後に空行が追加されないこと。</t>
    <rPh sb="0" eb="2">
      <t>センタク</t>
    </rPh>
    <rPh sb="5" eb="6">
      <t>ギョウ</t>
    </rPh>
    <rPh sb="7" eb="9">
      <t>チョクゴ</t>
    </rPh>
    <rPh sb="10" eb="12">
      <t>クウギョウ</t>
    </rPh>
    <rPh sb="13" eb="15">
      <t>ツイカ</t>
    </rPh>
    <phoneticPr fontId="1"/>
  </si>
  <si>
    <t>製品売上の明細を選択して押下</t>
    <rPh sb="0" eb="2">
      <t>セイヒン</t>
    </rPh>
    <rPh sb="2" eb="4">
      <t>ウリアゲ</t>
    </rPh>
    <phoneticPr fontId="1"/>
  </si>
  <si>
    <t>部材費の明細を選択して押下</t>
    <rPh sb="0" eb="2">
      <t>ブザイ</t>
    </rPh>
    <rPh sb="2" eb="3">
      <t>ヒ</t>
    </rPh>
    <phoneticPr fontId="1"/>
  </si>
  <si>
    <t>選択された行が削除されないこと。</t>
    <rPh sb="0" eb="2">
      <t>センタク</t>
    </rPh>
    <rPh sb="5" eb="6">
      <t>ギョウ</t>
    </rPh>
    <rPh sb="7" eb="9">
      <t>サクジョ</t>
    </rPh>
    <phoneticPr fontId="1"/>
  </si>
  <si>
    <t>表示している見積原価計算書の見積原価ヘッダの内容が、1件リビジョン番号がUPした状態で見積原価マスタに追加されていること。</t>
    <rPh sb="0" eb="2">
      <t>ヒョウジ</t>
    </rPh>
    <rPh sb="6" eb="8">
      <t>ミツモリ</t>
    </rPh>
    <rPh sb="8" eb="10">
      <t>ゲンカ</t>
    </rPh>
    <rPh sb="10" eb="13">
      <t>ケイサンショ</t>
    </rPh>
    <rPh sb="14" eb="16">
      <t>ミツモリ</t>
    </rPh>
    <rPh sb="16" eb="18">
      <t>ゲンカ</t>
    </rPh>
    <rPh sb="22" eb="24">
      <t>ナイヨウ</t>
    </rPh>
    <rPh sb="27" eb="28">
      <t>ケン</t>
    </rPh>
    <rPh sb="33" eb="35">
      <t>バンゴウ</t>
    </rPh>
    <rPh sb="40" eb="42">
      <t>ジョウタイ</t>
    </rPh>
    <rPh sb="43" eb="45">
      <t>ミツモリ</t>
    </rPh>
    <rPh sb="45" eb="47">
      <t>ゲンカ</t>
    </rPh>
    <rPh sb="51" eb="53">
      <t>ツイカ</t>
    </rPh>
    <phoneticPr fontId="1"/>
  </si>
  <si>
    <t>表示している見積原価計算書の見積原価明細全件の内容が、1件リビジョン番号がUPした状態で見積原価明細に追加されていること。</t>
    <rPh sb="14" eb="16">
      <t>ミツモリ</t>
    </rPh>
    <rPh sb="16" eb="18">
      <t>ゲンカ</t>
    </rPh>
    <rPh sb="18" eb="20">
      <t>メイサイ</t>
    </rPh>
    <rPh sb="20" eb="22">
      <t>ゼンケン</t>
    </rPh>
    <rPh sb="23" eb="25">
      <t>ナイヨウ</t>
    </rPh>
    <rPh sb="44" eb="46">
      <t>ミツモリ</t>
    </rPh>
    <rPh sb="46" eb="48">
      <t>ゲンカ</t>
    </rPh>
    <rPh sb="48" eb="50">
      <t>メイサイ</t>
    </rPh>
    <phoneticPr fontId="1"/>
  </si>
  <si>
    <t>表示している見積原価計算書の製品売上、固定費売上全件の内容が、1件リビジョン番号がUPした状態で受注マスタに追加されていること。</t>
    <rPh sb="14" eb="16">
      <t>セイヒン</t>
    </rPh>
    <rPh sb="16" eb="18">
      <t>ウリアゲ</t>
    </rPh>
    <rPh sb="19" eb="22">
      <t>コテイヒ</t>
    </rPh>
    <rPh sb="22" eb="24">
      <t>ウリアゲ</t>
    </rPh>
    <rPh sb="24" eb="26">
      <t>ゼンケン</t>
    </rPh>
    <rPh sb="27" eb="29">
      <t>ナイヨウ</t>
    </rPh>
    <rPh sb="48" eb="50">
      <t>ジュチュウ</t>
    </rPh>
    <phoneticPr fontId="1"/>
  </si>
  <si>
    <t>表示している見積原価計算書の製品売上、固定費売上全件の内容が、1件リビジョン番号がUPした状態で受注明細に追加されていること。</t>
    <rPh sb="14" eb="16">
      <t>セイヒン</t>
    </rPh>
    <rPh sb="16" eb="18">
      <t>ウリアゲ</t>
    </rPh>
    <rPh sb="19" eb="22">
      <t>コテイヒ</t>
    </rPh>
    <rPh sb="22" eb="24">
      <t>ウリアゲ</t>
    </rPh>
    <rPh sb="24" eb="26">
      <t>ゼンケン</t>
    </rPh>
    <rPh sb="27" eb="29">
      <t>ナイヨウ</t>
    </rPh>
    <rPh sb="48" eb="50">
      <t>ジュチュウ</t>
    </rPh>
    <rPh sb="50" eb="52">
      <t>メイサイ</t>
    </rPh>
    <phoneticPr fontId="1"/>
  </si>
  <si>
    <t>表示している見積原価計算書の原価償却費、部材費全件の内容が、1件リビジョン番号がUPした状態で売上マスタに追加されていること。</t>
    <rPh sb="14" eb="16">
      <t>ゲンカ</t>
    </rPh>
    <rPh sb="16" eb="18">
      <t>ショウキャク</t>
    </rPh>
    <rPh sb="18" eb="19">
      <t>ヒ</t>
    </rPh>
    <rPh sb="20" eb="22">
      <t>ブザイ</t>
    </rPh>
    <rPh sb="22" eb="23">
      <t>ヒ</t>
    </rPh>
    <rPh sb="23" eb="25">
      <t>ゼンケン</t>
    </rPh>
    <rPh sb="26" eb="28">
      <t>ナイヨウ</t>
    </rPh>
    <rPh sb="47" eb="49">
      <t>ウリアゲ</t>
    </rPh>
    <phoneticPr fontId="1"/>
  </si>
  <si>
    <t>表示している見積原価計算書の原価償却費、部材費全件の内容が、1件リビジョン番号がUPした状態で売上明細に追加されていること。</t>
    <rPh sb="26" eb="28">
      <t>ナイヨウ</t>
    </rPh>
    <phoneticPr fontId="1"/>
  </si>
  <si>
    <t>商品マスタが、表示している見積原価計算書の製品情報の内容で1件リビジョン番号がUPした状態で追加されていること。</t>
    <rPh sb="7" eb="9">
      <t>ヒョウジ</t>
    </rPh>
    <rPh sb="13" eb="15">
      <t>ミツモリ</t>
    </rPh>
    <rPh sb="15" eb="17">
      <t>ゲンカ</t>
    </rPh>
    <rPh sb="17" eb="20">
      <t>ケイサンショ</t>
    </rPh>
    <rPh sb="21" eb="23">
      <t>セイヒン</t>
    </rPh>
    <rPh sb="23" eb="25">
      <t>ジョウホウ</t>
    </rPh>
    <rPh sb="26" eb="28">
      <t>ナイヨウ</t>
    </rPh>
    <rPh sb="30" eb="31">
      <t>ケン</t>
    </rPh>
    <rPh sb="36" eb="38">
      <t>バンゴウ</t>
    </rPh>
    <rPh sb="43" eb="45">
      <t>ジョウタイ</t>
    </rPh>
    <rPh sb="46" eb="48">
      <t>ツイカ</t>
    </rPh>
    <phoneticPr fontId="1"/>
  </si>
  <si>
    <t>受注確定画面に表示されている明細は、受注確定選択チェックがonになっている製品売上明細だけ全件表示されていること。</t>
    <rPh sb="7" eb="9">
      <t>ヒョウジ</t>
    </rPh>
    <rPh sb="14" eb="16">
      <t>メイサイ</t>
    </rPh>
    <rPh sb="18" eb="20">
      <t>ジュチュウ</t>
    </rPh>
    <rPh sb="20" eb="22">
      <t>カクテイ</t>
    </rPh>
    <rPh sb="22" eb="24">
      <t>センタク</t>
    </rPh>
    <rPh sb="41" eb="43">
      <t>メイサイ</t>
    </rPh>
    <rPh sb="45" eb="47">
      <t>ゼンケン</t>
    </rPh>
    <rPh sb="47" eb="49">
      <t>ヒョウジ</t>
    </rPh>
    <phoneticPr fontId="1"/>
  </si>
  <si>
    <t>受注確定画面に表示されている明細は、受注確定選択チェックがonになっている固定費売上明細だけ全件表示されていること。</t>
    <rPh sb="7" eb="9">
      <t>ヒョウジ</t>
    </rPh>
    <rPh sb="14" eb="16">
      <t>メイサイ</t>
    </rPh>
    <rPh sb="18" eb="20">
      <t>ジュチュウ</t>
    </rPh>
    <rPh sb="20" eb="22">
      <t>カクテイ</t>
    </rPh>
    <rPh sb="22" eb="24">
      <t>センタク</t>
    </rPh>
    <rPh sb="37" eb="40">
      <t>コテイヒ</t>
    </rPh>
    <rPh sb="42" eb="44">
      <t>メイサイ</t>
    </rPh>
    <rPh sb="46" eb="48">
      <t>ゼンケン</t>
    </rPh>
    <rPh sb="48" eb="50">
      <t>ヒョウジ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</si>
</sst>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1" xfId="0" applyBorder="1"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0" fillId="0" borderId="1" xfId="0" applyBorder="1" applyAlignment="1">
      <alignment horizontal="center" vertical="center"/>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167640</xdr:rowOff>
        </xdr:from>
        <xdr:to>
          <xdr:col>4</xdr:col>
          <xdr:colOff>381000</xdr:colOff>
          <xdr:row>1</xdr:row>
          <xdr:rowOff>205740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167640</xdr:rowOff>
                  </from>
                  <to>
                    <xdr:col>4</xdr:col>
                    <xdr:colOff>381000</xdr:colOff>
                    <xdr:row>1</xdr:row>
                    <xdr:rowOff>205740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833BB-ED83-4FB3-ADFC-AEB779F1FE08}">
  <sheetPr codeName="Sheet2"/>
  <dimension ref="A1:J20"/>
  <sheetViews>
    <sheetView workbookViewId="0">
      <selection activeCell="C18" sqref="C1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見積原価管理</v>
      </c>
      <c r="D1" s="8"/>
    </row>
    <row r="2" spans="1:10">
      <c r="B2" s="11" t="s">
        <v>9</v>
      </c>
      <c r="C2" s="10">
        <f>COUNTA(D6:D18)</f>
        <v>6</v>
      </c>
    </row>
    <row r="3" spans="1:10">
      <c r="B3" s="11" t="s">
        <v>11</v>
      </c>
      <c r="C3" s="10">
        <f>COUNTA(G6:G18)</f>
        <v>0</v>
      </c>
    </row>
    <row r="4" spans="1:10">
      <c r="B4" s="9"/>
      <c r="C4" s="8"/>
    </row>
    <row r="5" spans="1:10" s="6" customFormat="1">
      <c r="A5" s="7" t="s">
        <v>4</v>
      </c>
      <c r="B5" s="7" t="s">
        <v>6</v>
      </c>
      <c r="C5" s="7" t="s">
        <v>7</v>
      </c>
      <c r="D5" s="7" t="s">
        <v>3</v>
      </c>
      <c r="E5" s="7" t="s">
        <v>2</v>
      </c>
      <c r="F5" s="7" t="s">
        <v>1</v>
      </c>
      <c r="G5" s="7" t="s">
        <v>0</v>
      </c>
      <c r="H5" s="20" t="s">
        <v>8</v>
      </c>
      <c r="I5" s="20"/>
      <c r="J5" s="20"/>
    </row>
    <row r="6" spans="1:10" s="1" customFormat="1" ht="36">
      <c r="A6" s="2">
        <f>ROW()-5</f>
        <v>1</v>
      </c>
      <c r="B6" s="5" t="s">
        <v>17</v>
      </c>
      <c r="C6" s="5" t="s">
        <v>13</v>
      </c>
      <c r="D6" s="5"/>
      <c r="E6" s="4"/>
      <c r="F6" s="3"/>
      <c r="G6" s="3"/>
      <c r="H6" s="2"/>
      <c r="I6" s="4"/>
      <c r="J6" s="4"/>
    </row>
    <row r="7" spans="1:10" s="1" customFormat="1">
      <c r="A7" s="2">
        <f t="shared" ref="A7:A18"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16</v>
      </c>
      <c r="D9" s="5" t="s">
        <v>18</v>
      </c>
      <c r="E9" s="4"/>
      <c r="F9" s="3"/>
      <c r="G9" s="3"/>
      <c r="H9" s="2"/>
      <c r="I9" s="4"/>
      <c r="J9" s="4"/>
    </row>
    <row r="10" spans="1:10" s="1" customFormat="1" ht="36">
      <c r="A10" s="2">
        <f t="shared" si="0"/>
        <v>5</v>
      </c>
      <c r="B10" s="5"/>
      <c r="C10" s="5"/>
      <c r="D10" s="5" t="s">
        <v>26</v>
      </c>
      <c r="E10" s="4"/>
      <c r="F10" s="3"/>
      <c r="G10" s="3"/>
      <c r="H10" s="2"/>
      <c r="I10" s="4"/>
      <c r="J10" s="4"/>
    </row>
    <row r="11" spans="1:10" s="1" customFormat="1" ht="36">
      <c r="A11" s="2">
        <f t="shared" si="0"/>
        <v>6</v>
      </c>
      <c r="B11" s="5"/>
      <c r="C11" s="5"/>
      <c r="D11" s="5" t="s">
        <v>27</v>
      </c>
      <c r="E11" s="4"/>
      <c r="F11" s="3"/>
      <c r="G11" s="3"/>
      <c r="H11" s="2"/>
      <c r="I11" s="4"/>
      <c r="J11" s="4"/>
    </row>
    <row r="12" spans="1:10" s="1" customFormat="1">
      <c r="A12" s="2">
        <f t="shared" si="0"/>
        <v>7</v>
      </c>
      <c r="B12" s="5" t="s">
        <v>15</v>
      </c>
      <c r="C12" s="5" t="s">
        <v>19</v>
      </c>
      <c r="D12" s="5" t="s">
        <v>20</v>
      </c>
      <c r="E12" s="4"/>
      <c r="F12" s="3"/>
      <c r="G12" s="3"/>
      <c r="H12" s="2"/>
      <c r="I12" s="4"/>
      <c r="J12" s="4"/>
    </row>
    <row r="13" spans="1:10" s="1" customFormat="1">
      <c r="A13" s="2">
        <f t="shared" si="0"/>
        <v>8</v>
      </c>
      <c r="B13" s="5"/>
      <c r="C13" s="5" t="s">
        <v>23</v>
      </c>
      <c r="D13" s="5"/>
      <c r="E13" s="4"/>
      <c r="F13" s="3"/>
      <c r="G13" s="3"/>
      <c r="H13" s="2"/>
      <c r="I13" s="4"/>
      <c r="J13" s="4"/>
    </row>
    <row r="14" spans="1:10" s="1" customFormat="1" ht="36">
      <c r="A14" s="2">
        <f t="shared" si="0"/>
        <v>9</v>
      </c>
      <c r="B14" s="5"/>
      <c r="C14" s="5" t="s">
        <v>16</v>
      </c>
      <c r="D14" s="5"/>
      <c r="E14" s="4"/>
      <c r="F14" s="3"/>
      <c r="G14" s="3"/>
      <c r="H14" s="2"/>
      <c r="I14" s="4"/>
      <c r="J14" s="4"/>
    </row>
    <row r="15" spans="1:10" s="1" customFormat="1">
      <c r="A15" s="2">
        <f t="shared" si="0"/>
        <v>10</v>
      </c>
      <c r="B15" s="5"/>
      <c r="C15" s="5" t="s">
        <v>21</v>
      </c>
      <c r="D15" s="5" t="s">
        <v>22</v>
      </c>
      <c r="E15" s="4"/>
      <c r="F15" s="3"/>
      <c r="G15" s="3"/>
      <c r="H15" s="2"/>
      <c r="I15" s="4"/>
      <c r="J15" s="4"/>
    </row>
    <row r="16" spans="1:10" s="1" customFormat="1">
      <c r="A16" s="2">
        <f t="shared" si="0"/>
        <v>11</v>
      </c>
      <c r="B16" s="5"/>
      <c r="C16" s="5" t="s">
        <v>23</v>
      </c>
      <c r="D16" s="5"/>
      <c r="E16" s="4"/>
      <c r="F16" s="3"/>
      <c r="G16" s="3"/>
      <c r="H16" s="2"/>
      <c r="I16" s="4"/>
      <c r="J16" s="4"/>
    </row>
    <row r="17" spans="1:10" s="1" customFormat="1" ht="36">
      <c r="A17" s="2">
        <f t="shared" si="0"/>
        <v>12</v>
      </c>
      <c r="B17" s="5"/>
      <c r="C17" s="5" t="s">
        <v>16</v>
      </c>
      <c r="D17" s="5"/>
      <c r="E17" s="4"/>
      <c r="F17" s="3"/>
      <c r="G17" s="3"/>
      <c r="H17" s="2"/>
      <c r="I17" s="4"/>
      <c r="J17" s="4"/>
    </row>
    <row r="18" spans="1:10" s="1" customFormat="1">
      <c r="A18" s="2">
        <f t="shared" si="0"/>
        <v>13</v>
      </c>
      <c r="B18" s="5"/>
      <c r="C18" s="5" t="s">
        <v>24</v>
      </c>
      <c r="D18" s="5" t="s">
        <v>25</v>
      </c>
      <c r="E18" s="4"/>
      <c r="F18" s="3"/>
      <c r="G18" s="3"/>
      <c r="H18" s="2"/>
      <c r="I18" s="4"/>
      <c r="J18" s="4"/>
    </row>
    <row r="20" spans="1:10">
      <c r="B20" t="s">
        <v>10</v>
      </c>
    </row>
  </sheetData>
  <mergeCells count="1">
    <mergeCell ref="H5:J5"/>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91B95-2DDA-4B7F-82E2-067BBB70DAAD}">
  <sheetPr codeName="Sheet3"/>
  <dimension ref="A1:J39"/>
  <sheetViews>
    <sheetView topLeftCell="A33" workbookViewId="0">
      <selection activeCell="B45" sqref="B45"/>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アップロード</v>
      </c>
      <c r="D1" s="8"/>
    </row>
    <row r="2" spans="1:10">
      <c r="B2" s="11" t="s">
        <v>9</v>
      </c>
      <c r="C2" s="10">
        <f>COUNTA(D6:D37)</f>
        <v>19</v>
      </c>
    </row>
    <row r="3" spans="1:10">
      <c r="B3" s="11" t="s">
        <v>11</v>
      </c>
      <c r="C3" s="10">
        <f>COUNTA(G6:G37)</f>
        <v>0</v>
      </c>
    </row>
    <row r="4" spans="1:10">
      <c r="B4" s="9"/>
      <c r="C4" s="8"/>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17</v>
      </c>
      <c r="C6" s="5" t="s">
        <v>13</v>
      </c>
      <c r="D6" s="5"/>
      <c r="E6" s="4"/>
      <c r="F6" s="3"/>
      <c r="G6" s="3"/>
      <c r="H6" s="2"/>
      <c r="I6" s="4"/>
      <c r="J6" s="4"/>
    </row>
    <row r="7" spans="1:10" s="1" customFormat="1">
      <c r="A7" s="2">
        <f t="shared" ref="A7:A37"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16</v>
      </c>
      <c r="D9" s="5" t="s">
        <v>18</v>
      </c>
      <c r="E9" s="4"/>
      <c r="F9" s="3"/>
      <c r="G9" s="3"/>
      <c r="H9" s="2"/>
      <c r="I9" s="4"/>
      <c r="J9" s="4"/>
    </row>
    <row r="10" spans="1:10" s="1" customFormat="1">
      <c r="A10" s="2">
        <f t="shared" si="0"/>
        <v>5</v>
      </c>
      <c r="B10" s="5"/>
      <c r="C10" s="5" t="s">
        <v>19</v>
      </c>
      <c r="D10" s="5" t="s">
        <v>20</v>
      </c>
      <c r="E10" s="4"/>
      <c r="F10" s="3"/>
      <c r="G10" s="3"/>
      <c r="H10" s="2"/>
      <c r="I10" s="4"/>
      <c r="J10" s="4"/>
    </row>
    <row r="11" spans="1:10" s="1" customFormat="1">
      <c r="A11" s="2">
        <f t="shared" si="0"/>
        <v>6</v>
      </c>
      <c r="B11" s="5"/>
      <c r="C11" s="5"/>
      <c r="D11" s="5" t="s">
        <v>28</v>
      </c>
      <c r="E11" s="4"/>
      <c r="F11" s="3"/>
      <c r="G11" s="3"/>
      <c r="H11" s="2"/>
      <c r="I11" s="4"/>
      <c r="J11" s="4"/>
    </row>
    <row r="12" spans="1:10" s="1" customFormat="1" ht="36">
      <c r="A12" s="2">
        <f t="shared" si="0"/>
        <v>7</v>
      </c>
      <c r="B12" s="5" t="s">
        <v>29</v>
      </c>
      <c r="C12" s="5" t="s">
        <v>30</v>
      </c>
      <c r="D12" s="5" t="s">
        <v>31</v>
      </c>
      <c r="E12" s="4"/>
      <c r="F12" s="3"/>
      <c r="G12" s="3"/>
      <c r="H12" s="2"/>
      <c r="I12" s="4"/>
      <c r="J12" s="4"/>
    </row>
    <row r="13" spans="1:10" s="1" customFormat="1">
      <c r="A13" s="2">
        <f t="shared" si="0"/>
        <v>8</v>
      </c>
      <c r="B13" s="5"/>
      <c r="C13" s="5"/>
      <c r="D13" s="5" t="s">
        <v>41</v>
      </c>
      <c r="E13" s="4"/>
      <c r="F13" s="3"/>
      <c r="G13" s="3"/>
      <c r="H13" s="2"/>
      <c r="I13" s="4"/>
      <c r="J13" s="4"/>
    </row>
    <row r="14" spans="1:10" s="1" customFormat="1" ht="36">
      <c r="A14" s="2">
        <f t="shared" si="0"/>
        <v>9</v>
      </c>
      <c r="B14" s="5"/>
      <c r="C14" s="5" t="s">
        <v>32</v>
      </c>
      <c r="D14" s="5" t="s">
        <v>33</v>
      </c>
      <c r="E14" s="4"/>
      <c r="F14" s="3"/>
      <c r="G14" s="3"/>
      <c r="H14" s="2"/>
      <c r="I14" s="4"/>
      <c r="J14" s="4"/>
    </row>
    <row r="15" spans="1:10" s="1" customFormat="1" ht="36">
      <c r="A15" s="2">
        <f t="shared" si="0"/>
        <v>10</v>
      </c>
      <c r="B15" s="5" t="s">
        <v>38</v>
      </c>
      <c r="C15" s="5" t="s">
        <v>13</v>
      </c>
      <c r="D15" s="5"/>
      <c r="E15" s="4"/>
      <c r="F15" s="3"/>
      <c r="G15" s="3"/>
      <c r="H15" s="2"/>
      <c r="I15" s="4"/>
      <c r="J15" s="4"/>
    </row>
    <row r="16" spans="1:10" s="1" customFormat="1">
      <c r="A16" s="2">
        <f t="shared" si="0"/>
        <v>11</v>
      </c>
      <c r="B16" s="5"/>
      <c r="C16" s="5" t="s">
        <v>12</v>
      </c>
      <c r="D16" s="5"/>
      <c r="E16" s="4"/>
      <c r="F16" s="3"/>
      <c r="G16" s="3"/>
      <c r="H16" s="2"/>
      <c r="I16" s="4"/>
      <c r="J16" s="4"/>
    </row>
    <row r="17" spans="1:10" s="1" customFormat="1" ht="72">
      <c r="A17" s="2">
        <f t="shared" si="0"/>
        <v>12</v>
      </c>
      <c r="B17" s="5"/>
      <c r="C17" s="5" t="s">
        <v>14</v>
      </c>
      <c r="D17" s="5"/>
      <c r="E17" s="4"/>
      <c r="F17" s="3"/>
      <c r="G17" s="3"/>
      <c r="H17" s="2"/>
      <c r="I17" s="4"/>
      <c r="J17" s="4"/>
    </row>
    <row r="18" spans="1:10" s="1" customFormat="1" ht="36">
      <c r="A18" s="2">
        <f t="shared" si="0"/>
        <v>13</v>
      </c>
      <c r="B18" s="5"/>
      <c r="C18" s="5" t="s">
        <v>16</v>
      </c>
      <c r="D18" s="5"/>
      <c r="E18" s="4"/>
      <c r="F18" s="3"/>
      <c r="G18" s="3"/>
      <c r="H18" s="2"/>
      <c r="I18" s="4"/>
      <c r="J18" s="4"/>
    </row>
    <row r="19" spans="1:10" s="1" customFormat="1">
      <c r="A19" s="2">
        <f t="shared" si="0"/>
        <v>14</v>
      </c>
      <c r="B19" s="5"/>
      <c r="C19" s="5" t="s">
        <v>19</v>
      </c>
      <c r="D19" s="5"/>
      <c r="E19" s="4"/>
      <c r="F19" s="3"/>
      <c r="G19" s="3"/>
      <c r="H19" s="2"/>
      <c r="I19" s="4"/>
      <c r="J19" s="4"/>
    </row>
    <row r="20" spans="1:10" s="1" customFormat="1">
      <c r="A20" s="2">
        <f t="shared" si="0"/>
        <v>15</v>
      </c>
      <c r="B20" s="5"/>
      <c r="C20" s="5" t="s">
        <v>30</v>
      </c>
      <c r="D20" s="5"/>
      <c r="E20" s="4"/>
      <c r="F20" s="3"/>
      <c r="G20" s="3"/>
      <c r="H20" s="2"/>
      <c r="I20" s="4"/>
      <c r="J20" s="4"/>
    </row>
    <row r="21" spans="1:10" s="1" customFormat="1" ht="36">
      <c r="A21" s="2">
        <f t="shared" si="0"/>
        <v>16</v>
      </c>
      <c r="B21" s="5"/>
      <c r="C21" s="5" t="s">
        <v>42</v>
      </c>
      <c r="D21" s="5"/>
      <c r="E21" s="4"/>
      <c r="F21" s="3"/>
      <c r="G21" s="3"/>
      <c r="H21" s="2"/>
      <c r="I21" s="4"/>
      <c r="J21" s="4"/>
    </row>
    <row r="22" spans="1:10" s="1" customFormat="1" ht="36">
      <c r="A22" s="2">
        <f t="shared" si="0"/>
        <v>17</v>
      </c>
      <c r="B22" s="5"/>
      <c r="C22" s="5" t="s">
        <v>19</v>
      </c>
      <c r="D22" s="5" t="s">
        <v>35</v>
      </c>
      <c r="E22" s="4"/>
      <c r="F22" s="3"/>
      <c r="G22" s="3"/>
      <c r="H22" s="2"/>
      <c r="I22" s="4"/>
      <c r="J22" s="4"/>
    </row>
    <row r="23" spans="1:10" s="1" customFormat="1" ht="36">
      <c r="A23" s="2">
        <f t="shared" si="0"/>
        <v>18</v>
      </c>
      <c r="B23" s="5"/>
      <c r="C23" s="5"/>
      <c r="D23" s="5" t="s">
        <v>37</v>
      </c>
      <c r="E23" s="4"/>
      <c r="F23" s="3"/>
      <c r="G23" s="3"/>
      <c r="H23" s="2"/>
      <c r="I23" s="4"/>
      <c r="J23" s="4"/>
    </row>
    <row r="24" spans="1:10" s="1" customFormat="1" ht="36">
      <c r="A24" s="2">
        <f t="shared" si="0"/>
        <v>19</v>
      </c>
      <c r="B24" s="5"/>
      <c r="C24" s="13"/>
      <c r="D24" s="5" t="s">
        <v>36</v>
      </c>
      <c r="E24" s="4"/>
      <c r="F24" s="3"/>
      <c r="G24" s="3"/>
      <c r="H24" s="2"/>
      <c r="I24" s="4"/>
      <c r="J24" s="4"/>
    </row>
    <row r="25" spans="1:10" s="1" customFormat="1" ht="36">
      <c r="A25" s="2">
        <f t="shared" si="0"/>
        <v>20</v>
      </c>
      <c r="B25" s="5"/>
      <c r="C25" s="5" t="s">
        <v>34</v>
      </c>
      <c r="D25" s="5" t="s">
        <v>20</v>
      </c>
      <c r="E25" s="4"/>
      <c r="F25" s="3"/>
      <c r="G25" s="3"/>
      <c r="H25" s="2"/>
      <c r="I25" s="4"/>
      <c r="J25" s="4"/>
    </row>
    <row r="26" spans="1:10" s="1" customFormat="1" ht="36">
      <c r="A26" s="2">
        <f t="shared" si="0"/>
        <v>21</v>
      </c>
      <c r="B26" s="5" t="s">
        <v>39</v>
      </c>
      <c r="C26" s="5" t="s">
        <v>43</v>
      </c>
      <c r="D26" s="5"/>
      <c r="E26" s="4"/>
      <c r="F26" s="3"/>
      <c r="G26" s="3"/>
      <c r="H26" s="2"/>
      <c r="I26" s="4"/>
      <c r="J26" s="4"/>
    </row>
    <row r="27" spans="1:10" s="1" customFormat="1" ht="36">
      <c r="A27" s="2">
        <f t="shared" si="0"/>
        <v>22</v>
      </c>
      <c r="B27" s="5"/>
      <c r="C27" s="5" t="s">
        <v>19</v>
      </c>
      <c r="D27" s="5" t="s">
        <v>35</v>
      </c>
      <c r="E27" s="4"/>
      <c r="F27" s="3"/>
      <c r="G27" s="3"/>
      <c r="H27" s="2"/>
      <c r="I27" s="4"/>
      <c r="J27" s="4"/>
    </row>
    <row r="28" spans="1:10" s="1" customFormat="1">
      <c r="A28" s="2">
        <f t="shared" si="0"/>
        <v>23</v>
      </c>
      <c r="B28" s="5"/>
      <c r="C28" s="5"/>
      <c r="D28" s="5" t="s">
        <v>40</v>
      </c>
      <c r="E28" s="4"/>
      <c r="F28" s="3"/>
      <c r="G28" s="3"/>
      <c r="H28" s="2"/>
      <c r="I28" s="4"/>
      <c r="J28" s="4"/>
    </row>
    <row r="29" spans="1:10" s="1" customFormat="1" ht="36">
      <c r="A29" s="2">
        <f t="shared" si="0"/>
        <v>24</v>
      </c>
      <c r="B29" s="5"/>
      <c r="C29" s="13"/>
      <c r="D29" s="5" t="s">
        <v>36</v>
      </c>
      <c r="E29" s="4"/>
      <c r="F29" s="3"/>
      <c r="G29" s="3"/>
      <c r="H29" s="2"/>
      <c r="I29" s="4"/>
      <c r="J29" s="4"/>
    </row>
    <row r="30" spans="1:10" s="1" customFormat="1" ht="36">
      <c r="A30" s="2">
        <f t="shared" si="0"/>
        <v>25</v>
      </c>
      <c r="B30" s="5"/>
      <c r="C30" s="5" t="s">
        <v>34</v>
      </c>
      <c r="D30" s="5" t="s">
        <v>20</v>
      </c>
      <c r="E30" s="4"/>
      <c r="F30" s="3"/>
      <c r="G30" s="3"/>
      <c r="H30" s="2"/>
      <c r="I30" s="4"/>
      <c r="J30" s="4"/>
    </row>
    <row r="31" spans="1:10" s="1" customFormat="1" ht="54">
      <c r="A31" s="2">
        <f t="shared" si="0"/>
        <v>26</v>
      </c>
      <c r="B31" s="5" t="s">
        <v>47</v>
      </c>
      <c r="C31" s="5" t="s">
        <v>48</v>
      </c>
      <c r="D31" s="5"/>
      <c r="E31" s="4"/>
      <c r="F31" s="3"/>
      <c r="G31" s="3"/>
      <c r="H31" s="2"/>
      <c r="I31" s="4"/>
      <c r="J31" s="4"/>
    </row>
    <row r="32" spans="1:10" s="1" customFormat="1" ht="36">
      <c r="A32" s="2">
        <f t="shared" si="0"/>
        <v>27</v>
      </c>
      <c r="B32" s="5"/>
      <c r="C32" s="5" t="s">
        <v>19</v>
      </c>
      <c r="D32" s="5" t="s">
        <v>35</v>
      </c>
      <c r="E32" s="4"/>
      <c r="F32" s="3"/>
      <c r="G32" s="3"/>
      <c r="H32" s="2"/>
      <c r="I32" s="4"/>
      <c r="J32" s="4"/>
    </row>
    <row r="33" spans="1:10" s="1" customFormat="1">
      <c r="A33" s="2">
        <f t="shared" si="0"/>
        <v>28</v>
      </c>
      <c r="B33" s="5"/>
      <c r="C33" s="5"/>
      <c r="D33" s="5" t="s">
        <v>40</v>
      </c>
      <c r="E33" s="4"/>
      <c r="F33" s="3"/>
      <c r="G33" s="3"/>
      <c r="H33" s="2"/>
      <c r="I33" s="4"/>
      <c r="J33" s="4"/>
    </row>
    <row r="34" spans="1:10" s="1" customFormat="1" ht="36">
      <c r="A34" s="2">
        <f t="shared" si="0"/>
        <v>29</v>
      </c>
      <c r="B34" s="5"/>
      <c r="C34" s="13"/>
      <c r="D34" s="5" t="s">
        <v>36</v>
      </c>
      <c r="E34" s="4"/>
      <c r="F34" s="3"/>
      <c r="G34" s="3"/>
      <c r="H34" s="2"/>
      <c r="I34" s="4"/>
      <c r="J34" s="4"/>
    </row>
    <row r="35" spans="1:10" s="1" customFormat="1" ht="36">
      <c r="A35" s="2">
        <f t="shared" si="0"/>
        <v>30</v>
      </c>
      <c r="B35" s="5"/>
      <c r="C35" s="5" t="s">
        <v>34</v>
      </c>
      <c r="D35" s="5" t="s">
        <v>20</v>
      </c>
      <c r="E35" s="4"/>
      <c r="F35" s="3"/>
      <c r="G35" s="3"/>
      <c r="H35" s="2"/>
      <c r="I35" s="4"/>
      <c r="J35" s="4"/>
    </row>
    <row r="36" spans="1:10" s="1" customFormat="1" ht="54">
      <c r="A36" s="2">
        <f t="shared" si="0"/>
        <v>31</v>
      </c>
      <c r="B36" s="5" t="s">
        <v>46</v>
      </c>
      <c r="C36" s="5" t="s">
        <v>49</v>
      </c>
      <c r="D36" s="5"/>
      <c r="E36" s="4"/>
      <c r="F36" s="3"/>
      <c r="G36" s="3"/>
      <c r="H36" s="2"/>
      <c r="I36" s="4"/>
      <c r="J36" s="4"/>
    </row>
    <row r="37" spans="1:10" s="1" customFormat="1">
      <c r="A37" s="2">
        <f t="shared" si="0"/>
        <v>32</v>
      </c>
      <c r="B37" s="5"/>
      <c r="C37" s="5" t="s">
        <v>19</v>
      </c>
      <c r="D37" s="5" t="s">
        <v>44</v>
      </c>
      <c r="E37" s="4"/>
      <c r="F37" s="3"/>
      <c r="G37" s="3"/>
      <c r="H37" s="2"/>
      <c r="I37" s="4"/>
      <c r="J37" s="4"/>
    </row>
    <row r="39" spans="1:10">
      <c r="B39" t="s">
        <v>10</v>
      </c>
    </row>
  </sheetData>
  <mergeCells count="1">
    <mergeCell ref="H5:J5"/>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64A8A-615B-4045-B10F-19DFCFFD81DD}">
  <sheetPr codeName="Sheet4"/>
  <dimension ref="A1:J44"/>
  <sheetViews>
    <sheetView topLeftCell="A39" workbookViewId="0">
      <selection activeCell="D16" sqref="D1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ワークシート選択</v>
      </c>
      <c r="D1" s="8"/>
    </row>
    <row r="2" spans="1:10">
      <c r="B2" s="11" t="s">
        <v>9</v>
      </c>
      <c r="C2" s="10">
        <f>COUNTA(D6:D42)</f>
        <v>26</v>
      </c>
    </row>
    <row r="3" spans="1:10">
      <c r="B3" s="11" t="s">
        <v>11</v>
      </c>
      <c r="C3" s="10">
        <f>COUNTA(G6:G42)</f>
        <v>0</v>
      </c>
    </row>
    <row r="4" spans="1:10">
      <c r="B4" s="9"/>
      <c r="C4" s="8"/>
    </row>
    <row r="5" spans="1:10" s="6" customFormat="1">
      <c r="A5" s="14" t="s">
        <v>4</v>
      </c>
      <c r="B5" s="14" t="s">
        <v>6</v>
      </c>
      <c r="C5" s="14" t="s">
        <v>7</v>
      </c>
      <c r="D5" s="14" t="s">
        <v>3</v>
      </c>
      <c r="E5" s="14" t="s">
        <v>2</v>
      </c>
      <c r="F5" s="14" t="s">
        <v>1</v>
      </c>
      <c r="G5" s="14" t="s">
        <v>0</v>
      </c>
      <c r="H5" s="20" t="s">
        <v>8</v>
      </c>
      <c r="I5" s="20"/>
      <c r="J5" s="20"/>
    </row>
    <row r="6" spans="1:10" s="1" customFormat="1" ht="36">
      <c r="A6" s="2">
        <f>ROW()-5</f>
        <v>1</v>
      </c>
      <c r="B6" s="5" t="s">
        <v>17</v>
      </c>
      <c r="C6" s="5" t="s">
        <v>13</v>
      </c>
      <c r="D6" s="5"/>
      <c r="E6" s="4"/>
      <c r="F6" s="3"/>
      <c r="G6" s="3"/>
      <c r="H6" s="2"/>
      <c r="I6" s="4"/>
      <c r="J6" s="4"/>
    </row>
    <row r="7" spans="1:10" s="1" customFormat="1">
      <c r="A7" s="2">
        <f t="shared" ref="A7:A42"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16</v>
      </c>
      <c r="D9" s="5"/>
      <c r="E9" s="4"/>
      <c r="F9" s="3"/>
      <c r="G9" s="3"/>
      <c r="H9" s="2"/>
      <c r="I9" s="4"/>
      <c r="J9" s="4"/>
    </row>
    <row r="10" spans="1:10" s="1" customFormat="1" ht="36">
      <c r="A10" s="2">
        <f t="shared" si="0"/>
        <v>5</v>
      </c>
      <c r="B10" s="5"/>
      <c r="C10" s="5" t="s">
        <v>79</v>
      </c>
      <c r="D10" s="5"/>
      <c r="E10" s="4"/>
      <c r="F10" s="3"/>
      <c r="G10" s="3"/>
      <c r="H10" s="2"/>
      <c r="I10" s="4"/>
      <c r="J10" s="4"/>
    </row>
    <row r="11" spans="1:10" s="1" customFormat="1">
      <c r="A11" s="2">
        <f t="shared" si="0"/>
        <v>6</v>
      </c>
      <c r="B11" s="5"/>
      <c r="C11" s="5" t="s">
        <v>30</v>
      </c>
      <c r="D11" s="5"/>
      <c r="E11" s="4"/>
      <c r="F11" s="3"/>
      <c r="G11" s="3"/>
      <c r="H11" s="2"/>
      <c r="I11" s="4"/>
      <c r="J11" s="4"/>
    </row>
    <row r="12" spans="1:10" s="1" customFormat="1" ht="54">
      <c r="A12" s="2">
        <f t="shared" si="0"/>
        <v>7</v>
      </c>
      <c r="B12" s="5"/>
      <c r="C12" s="5" t="s">
        <v>49</v>
      </c>
      <c r="D12" s="5"/>
      <c r="E12" s="4"/>
      <c r="F12" s="3"/>
      <c r="G12" s="3"/>
      <c r="H12" s="2"/>
      <c r="I12" s="4"/>
      <c r="J12" s="4"/>
    </row>
    <row r="13" spans="1:10" s="1" customFormat="1">
      <c r="A13" s="2">
        <f t="shared" si="0"/>
        <v>8</v>
      </c>
      <c r="B13" s="5"/>
      <c r="C13" s="5" t="s">
        <v>19</v>
      </c>
      <c r="D13" s="5" t="s">
        <v>44</v>
      </c>
      <c r="E13" s="4"/>
      <c r="F13" s="3"/>
      <c r="G13" s="3"/>
      <c r="H13" s="2"/>
      <c r="I13" s="4"/>
      <c r="J13" s="4"/>
    </row>
    <row r="14" spans="1:10" s="1" customFormat="1" ht="54">
      <c r="A14" s="2">
        <f t="shared" si="0"/>
        <v>9</v>
      </c>
      <c r="B14" s="5"/>
      <c r="C14" s="5"/>
      <c r="D14" s="5" t="s">
        <v>51</v>
      </c>
      <c r="E14" s="4"/>
      <c r="F14" s="3"/>
      <c r="G14" s="3"/>
      <c r="H14" s="2"/>
      <c r="I14" s="4"/>
      <c r="J14" s="4"/>
    </row>
    <row r="15" spans="1:10" s="1" customFormat="1" ht="54">
      <c r="A15" s="2">
        <f t="shared" si="0"/>
        <v>10</v>
      </c>
      <c r="B15" s="5"/>
      <c r="C15" s="5"/>
      <c r="D15" s="5" t="s">
        <v>50</v>
      </c>
      <c r="E15" s="4"/>
      <c r="F15" s="3"/>
      <c r="G15" s="3"/>
      <c r="H15" s="2"/>
      <c r="I15" s="4"/>
      <c r="J15" s="4"/>
    </row>
    <row r="16" spans="1:10" s="1" customFormat="1" ht="36">
      <c r="A16" s="2">
        <f t="shared" si="0"/>
        <v>11</v>
      </c>
      <c r="B16" s="5"/>
      <c r="C16" s="5"/>
      <c r="D16" s="5" t="s">
        <v>45</v>
      </c>
      <c r="E16" s="4"/>
      <c r="F16" s="3"/>
      <c r="G16" s="3"/>
      <c r="H16" s="2"/>
      <c r="I16" s="4"/>
      <c r="J16" s="4"/>
    </row>
    <row r="17" spans="1:10" s="1" customFormat="1">
      <c r="A17" s="2">
        <f t="shared" si="0"/>
        <v>12</v>
      </c>
      <c r="B17" s="5"/>
      <c r="C17" s="5"/>
      <c r="D17" s="5" t="s">
        <v>72</v>
      </c>
      <c r="E17" s="4"/>
      <c r="F17" s="3"/>
      <c r="G17" s="3"/>
      <c r="H17" s="2"/>
      <c r="I17" s="4"/>
      <c r="J17" s="4"/>
    </row>
    <row r="18" spans="1:10" s="1" customFormat="1">
      <c r="A18" s="2">
        <f t="shared" si="0"/>
        <v>13</v>
      </c>
      <c r="B18" s="5"/>
      <c r="C18" s="5"/>
      <c r="D18" s="5" t="s">
        <v>55</v>
      </c>
      <c r="E18" s="4"/>
      <c r="F18" s="3"/>
      <c r="G18" s="3"/>
      <c r="H18" s="2"/>
      <c r="I18" s="4"/>
      <c r="J18" s="4"/>
    </row>
    <row r="19" spans="1:10" s="1" customFormat="1">
      <c r="A19" s="2">
        <f t="shared" si="0"/>
        <v>14</v>
      </c>
      <c r="B19" s="5"/>
      <c r="C19" s="5"/>
      <c r="D19" s="5" t="s">
        <v>56</v>
      </c>
      <c r="E19" s="4"/>
      <c r="F19" s="3"/>
      <c r="G19" s="3"/>
      <c r="H19" s="2"/>
      <c r="I19" s="4"/>
      <c r="J19" s="4"/>
    </row>
    <row r="20" spans="1:10" s="1" customFormat="1">
      <c r="A20" s="2">
        <f t="shared" si="0"/>
        <v>15</v>
      </c>
      <c r="B20" s="5"/>
      <c r="C20" s="13"/>
      <c r="D20" s="5" t="s">
        <v>57</v>
      </c>
      <c r="E20" s="4"/>
      <c r="F20" s="3"/>
      <c r="G20" s="3"/>
      <c r="H20" s="2"/>
      <c r="I20" s="4"/>
      <c r="J20" s="4"/>
    </row>
    <row r="21" spans="1:10" s="1" customFormat="1">
      <c r="A21" s="2">
        <f t="shared" si="0"/>
        <v>16</v>
      </c>
      <c r="B21" s="5"/>
      <c r="C21" s="5"/>
      <c r="D21" s="5" t="s">
        <v>58</v>
      </c>
      <c r="E21" s="4"/>
      <c r="F21" s="3"/>
      <c r="G21" s="3"/>
      <c r="H21" s="2"/>
      <c r="I21" s="4"/>
      <c r="J21" s="4"/>
    </row>
    <row r="22" spans="1:10" s="1" customFormat="1">
      <c r="A22" s="2">
        <f t="shared" si="0"/>
        <v>17</v>
      </c>
      <c r="B22" s="5" t="s">
        <v>59</v>
      </c>
      <c r="C22" s="5" t="s">
        <v>60</v>
      </c>
      <c r="D22" s="5" t="s">
        <v>61</v>
      </c>
      <c r="E22" s="4"/>
      <c r="F22" s="3"/>
      <c r="G22" s="3"/>
      <c r="H22" s="2"/>
      <c r="I22" s="4"/>
      <c r="J22" s="4"/>
    </row>
    <row r="23" spans="1:10" s="1" customFormat="1">
      <c r="A23" s="2">
        <f t="shared" si="0"/>
        <v>18</v>
      </c>
      <c r="B23" s="5"/>
      <c r="C23" s="5"/>
      <c r="D23" s="5" t="s">
        <v>62</v>
      </c>
      <c r="E23" s="4"/>
      <c r="F23" s="3"/>
      <c r="G23" s="3"/>
      <c r="H23" s="2"/>
      <c r="I23" s="4"/>
      <c r="J23" s="4"/>
    </row>
    <row r="24" spans="1:10" s="1" customFormat="1">
      <c r="A24" s="2">
        <f t="shared" si="0"/>
        <v>19</v>
      </c>
      <c r="B24" s="5"/>
      <c r="C24" s="5"/>
      <c r="D24" s="5" t="s">
        <v>63</v>
      </c>
      <c r="E24" s="4"/>
      <c r="F24" s="3"/>
      <c r="G24" s="3"/>
      <c r="H24" s="2"/>
      <c r="I24" s="4"/>
      <c r="J24" s="4"/>
    </row>
    <row r="25" spans="1:10" s="1" customFormat="1">
      <c r="A25" s="2">
        <f t="shared" si="0"/>
        <v>20</v>
      </c>
      <c r="B25" s="5"/>
      <c r="C25" s="5"/>
      <c r="D25" s="5" t="s">
        <v>64</v>
      </c>
      <c r="E25" s="4"/>
      <c r="F25" s="3"/>
      <c r="G25" s="3"/>
      <c r="H25" s="2"/>
      <c r="I25" s="4"/>
      <c r="J25" s="4"/>
    </row>
    <row r="26" spans="1:10" s="1" customFormat="1">
      <c r="A26" s="2">
        <f t="shared" si="0"/>
        <v>21</v>
      </c>
      <c r="B26" s="5"/>
      <c r="C26" s="13"/>
      <c r="D26" s="5" t="s">
        <v>65</v>
      </c>
      <c r="E26" s="4"/>
      <c r="F26" s="3"/>
      <c r="G26" s="3"/>
      <c r="H26" s="2"/>
      <c r="I26" s="4"/>
      <c r="J26" s="4"/>
    </row>
    <row r="27" spans="1:10" s="1" customFormat="1">
      <c r="A27" s="2">
        <f t="shared" si="0"/>
        <v>22</v>
      </c>
      <c r="B27" s="5"/>
      <c r="C27" s="5" t="s">
        <v>66</v>
      </c>
      <c r="D27" s="5" t="s">
        <v>71</v>
      </c>
      <c r="E27" s="4"/>
      <c r="F27" s="3"/>
      <c r="G27" s="3"/>
      <c r="H27" s="2"/>
      <c r="I27" s="4"/>
      <c r="J27" s="4"/>
    </row>
    <row r="28" spans="1:10" s="1" customFormat="1">
      <c r="A28" s="2">
        <f t="shared" si="0"/>
        <v>23</v>
      </c>
      <c r="B28" s="5"/>
      <c r="C28" s="5"/>
      <c r="D28" s="5" t="s">
        <v>67</v>
      </c>
      <c r="E28" s="4"/>
      <c r="F28" s="3"/>
      <c r="G28" s="3"/>
      <c r="H28" s="2"/>
      <c r="I28" s="4"/>
      <c r="J28" s="4"/>
    </row>
    <row r="29" spans="1:10" s="1" customFormat="1">
      <c r="A29" s="2">
        <f t="shared" si="0"/>
        <v>24</v>
      </c>
      <c r="B29" s="5"/>
      <c r="C29" s="5"/>
      <c r="D29" s="5" t="s">
        <v>68</v>
      </c>
      <c r="E29" s="4"/>
      <c r="F29" s="3"/>
      <c r="G29" s="3"/>
      <c r="H29" s="2"/>
      <c r="I29" s="4"/>
      <c r="J29" s="4"/>
    </row>
    <row r="30" spans="1:10" s="1" customFormat="1">
      <c r="A30" s="2">
        <f t="shared" si="0"/>
        <v>25</v>
      </c>
      <c r="B30" s="5"/>
      <c r="C30" s="13"/>
      <c r="D30" s="5" t="s">
        <v>69</v>
      </c>
      <c r="E30" s="4"/>
      <c r="F30" s="3"/>
      <c r="G30" s="3"/>
      <c r="H30" s="2"/>
      <c r="I30" s="4"/>
      <c r="J30" s="4"/>
    </row>
    <row r="31" spans="1:10" s="1" customFormat="1">
      <c r="A31" s="2">
        <f t="shared" si="0"/>
        <v>26</v>
      </c>
      <c r="B31" s="5"/>
      <c r="C31" s="5"/>
      <c r="D31" s="5" t="s">
        <v>70</v>
      </c>
      <c r="E31" s="4"/>
      <c r="F31" s="3"/>
      <c r="G31" s="3"/>
      <c r="H31" s="2"/>
      <c r="I31" s="4"/>
      <c r="J31" s="4"/>
    </row>
    <row r="32" spans="1:10" s="1" customFormat="1" ht="36">
      <c r="A32" s="2">
        <f t="shared" si="0"/>
        <v>27</v>
      </c>
      <c r="B32" s="5" t="s">
        <v>54</v>
      </c>
      <c r="C32" s="5" t="s">
        <v>52</v>
      </c>
      <c r="D32" s="5" t="s">
        <v>53</v>
      </c>
      <c r="E32" s="4"/>
      <c r="F32" s="3"/>
      <c r="G32" s="3"/>
      <c r="H32" s="2"/>
      <c r="I32" s="4"/>
      <c r="J32" s="4"/>
    </row>
    <row r="33" spans="1:10" s="1" customFormat="1" ht="36">
      <c r="A33" s="2">
        <f t="shared" si="0"/>
        <v>28</v>
      </c>
      <c r="B33" s="5"/>
      <c r="C33" s="5" t="s">
        <v>60</v>
      </c>
      <c r="D33" s="5" t="s">
        <v>45</v>
      </c>
      <c r="E33" s="4"/>
      <c r="F33" s="3"/>
      <c r="G33" s="3"/>
      <c r="H33" s="2"/>
      <c r="I33" s="4"/>
      <c r="J33" s="4"/>
    </row>
    <row r="34" spans="1:10" s="1" customFormat="1">
      <c r="A34" s="2">
        <f t="shared" si="0"/>
        <v>29</v>
      </c>
      <c r="B34" s="5" t="s">
        <v>73</v>
      </c>
      <c r="C34" s="5" t="s">
        <v>74</v>
      </c>
      <c r="D34" s="5" t="s">
        <v>20</v>
      </c>
      <c r="E34" s="4"/>
      <c r="F34" s="3"/>
      <c r="G34" s="3"/>
      <c r="H34" s="2"/>
      <c r="I34" s="4"/>
      <c r="J34" s="4"/>
    </row>
    <row r="35" spans="1:10" s="1" customFormat="1">
      <c r="A35" s="2">
        <f t="shared" si="0"/>
        <v>30</v>
      </c>
      <c r="B35" s="5" t="s">
        <v>75</v>
      </c>
      <c r="C35" s="5" t="s">
        <v>30</v>
      </c>
      <c r="D35" s="5"/>
      <c r="E35" s="4"/>
      <c r="F35" s="3"/>
      <c r="G35" s="3"/>
      <c r="H35" s="2"/>
      <c r="I35" s="4"/>
      <c r="J35" s="4"/>
    </row>
    <row r="36" spans="1:10" s="1" customFormat="1" ht="54">
      <c r="A36" s="2">
        <f t="shared" si="0"/>
        <v>31</v>
      </c>
      <c r="B36" s="5"/>
      <c r="C36" s="5" t="s">
        <v>77</v>
      </c>
      <c r="D36" s="5"/>
      <c r="E36" s="4"/>
      <c r="F36" s="3"/>
      <c r="G36" s="3"/>
      <c r="H36" s="2"/>
      <c r="I36" s="4"/>
      <c r="J36" s="4"/>
    </row>
    <row r="37" spans="1:10" s="1" customFormat="1">
      <c r="A37" s="2">
        <f t="shared" si="0"/>
        <v>32</v>
      </c>
      <c r="B37" s="5"/>
      <c r="C37" s="5" t="s">
        <v>19</v>
      </c>
      <c r="D37" s="5"/>
      <c r="E37" s="4"/>
      <c r="F37" s="3"/>
      <c r="G37" s="3"/>
      <c r="H37" s="2"/>
      <c r="I37" s="4"/>
      <c r="J37" s="4"/>
    </row>
    <row r="38" spans="1:10" s="1" customFormat="1">
      <c r="A38" s="2">
        <f t="shared" si="0"/>
        <v>33</v>
      </c>
      <c r="B38" s="5"/>
      <c r="C38" s="16" t="s">
        <v>78</v>
      </c>
      <c r="D38" s="5"/>
      <c r="E38" s="4"/>
      <c r="F38" s="3"/>
      <c r="G38" s="3"/>
      <c r="H38" s="2"/>
      <c r="I38" s="4"/>
      <c r="J38" s="4"/>
    </row>
    <row r="39" spans="1:10" s="1" customFormat="1">
      <c r="A39" s="2">
        <f t="shared" si="0"/>
        <v>34</v>
      </c>
      <c r="B39" s="5"/>
      <c r="C39" s="5" t="s">
        <v>76</v>
      </c>
      <c r="D39" s="5" t="s">
        <v>80</v>
      </c>
      <c r="E39" s="4"/>
      <c r="F39" s="3"/>
      <c r="G39" s="3"/>
      <c r="H39" s="2"/>
      <c r="I39" s="4"/>
      <c r="J39" s="4"/>
    </row>
    <row r="40" spans="1:10" s="1" customFormat="1" ht="36">
      <c r="A40" s="2">
        <f t="shared" si="0"/>
        <v>35</v>
      </c>
      <c r="B40" s="5"/>
      <c r="C40" s="5" t="s">
        <v>81</v>
      </c>
      <c r="D40" s="5" t="s">
        <v>82</v>
      </c>
      <c r="E40" s="4"/>
      <c r="F40" s="3"/>
      <c r="G40" s="3"/>
      <c r="H40" s="2"/>
      <c r="I40" s="4"/>
      <c r="J40" s="4"/>
    </row>
    <row r="41" spans="1:10" s="1" customFormat="1">
      <c r="A41" s="2">
        <f t="shared" si="0"/>
        <v>36</v>
      </c>
      <c r="B41" s="5"/>
      <c r="C41" s="5" t="s">
        <v>76</v>
      </c>
      <c r="D41" s="5" t="s">
        <v>80</v>
      </c>
      <c r="E41" s="4"/>
      <c r="F41" s="3"/>
      <c r="G41" s="3"/>
      <c r="H41" s="2"/>
      <c r="I41" s="4"/>
      <c r="J41" s="4"/>
    </row>
    <row r="42" spans="1:10" s="1" customFormat="1">
      <c r="A42" s="2">
        <f t="shared" si="0"/>
        <v>37</v>
      </c>
      <c r="B42" s="5"/>
      <c r="C42" s="5" t="s">
        <v>83</v>
      </c>
      <c r="D42" s="5" t="s">
        <v>84</v>
      </c>
      <c r="E42" s="4"/>
      <c r="F42" s="3"/>
      <c r="G42" s="3"/>
      <c r="H42" s="2"/>
      <c r="I42" s="4"/>
      <c r="J42" s="4"/>
    </row>
    <row r="44" spans="1:10">
      <c r="B44" t="s">
        <v>10</v>
      </c>
    </row>
  </sheetData>
  <mergeCells count="1">
    <mergeCell ref="H5:J5"/>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F343D-4E5E-4F9C-BC09-22BAB696EA2E}">
  <sheetPr codeName="Sheet5"/>
  <dimension ref="A1:J76"/>
  <sheetViews>
    <sheetView topLeftCell="A62" workbookViewId="0">
      <selection activeCell="C81" sqref="C8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ワークシート登録</v>
      </c>
      <c r="D1" s="8"/>
    </row>
    <row r="2" spans="1:10">
      <c r="B2" s="11" t="s">
        <v>9</v>
      </c>
      <c r="C2" s="10">
        <f>COUNTA(D6:D55)</f>
        <v>24</v>
      </c>
    </row>
    <row r="3" spans="1:10">
      <c r="B3" s="11" t="s">
        <v>11</v>
      </c>
      <c r="C3" s="10">
        <f>COUNTA(G6:G55)</f>
        <v>0</v>
      </c>
    </row>
    <row r="4" spans="1:10">
      <c r="B4" s="9"/>
      <c r="C4" s="8"/>
    </row>
    <row r="5" spans="1:10" s="6" customFormat="1">
      <c r="A5" s="15" t="s">
        <v>4</v>
      </c>
      <c r="B5" s="15" t="s">
        <v>6</v>
      </c>
      <c r="C5" s="15" t="s">
        <v>7</v>
      </c>
      <c r="D5" s="15" t="s">
        <v>3</v>
      </c>
      <c r="E5" s="15" t="s">
        <v>2</v>
      </c>
      <c r="F5" s="15" t="s">
        <v>1</v>
      </c>
      <c r="G5" s="15" t="s">
        <v>0</v>
      </c>
      <c r="H5" s="20" t="s">
        <v>8</v>
      </c>
      <c r="I5" s="20"/>
      <c r="J5" s="20"/>
    </row>
    <row r="6" spans="1:10" s="1" customFormat="1" ht="36">
      <c r="A6" s="2">
        <f>ROW()-5</f>
        <v>1</v>
      </c>
      <c r="B6" s="5" t="s">
        <v>17</v>
      </c>
      <c r="C6" s="5" t="s">
        <v>13</v>
      </c>
      <c r="D6" s="5"/>
      <c r="E6" s="4"/>
      <c r="F6" s="3"/>
      <c r="G6" s="3"/>
      <c r="H6" s="2"/>
      <c r="I6" s="4"/>
      <c r="J6" s="4"/>
    </row>
    <row r="7" spans="1:10" s="1" customFormat="1">
      <c r="A7" s="2">
        <f t="shared" ref="A7:A74"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16</v>
      </c>
      <c r="D9" s="5"/>
      <c r="E9" s="4"/>
      <c r="F9" s="3"/>
      <c r="G9" s="3"/>
      <c r="H9" s="2"/>
      <c r="I9" s="4"/>
      <c r="J9" s="4"/>
    </row>
    <row r="10" spans="1:10" s="1" customFormat="1" ht="36">
      <c r="A10" s="2">
        <f t="shared" si="0"/>
        <v>5</v>
      </c>
      <c r="B10" s="5"/>
      <c r="C10" s="5" t="s">
        <v>79</v>
      </c>
      <c r="D10" s="5"/>
      <c r="E10" s="4"/>
      <c r="F10" s="3"/>
      <c r="G10" s="3"/>
      <c r="H10" s="2"/>
      <c r="I10" s="4"/>
      <c r="J10" s="4"/>
    </row>
    <row r="11" spans="1:10" s="1" customFormat="1">
      <c r="A11" s="2">
        <f t="shared" si="0"/>
        <v>6</v>
      </c>
      <c r="B11" s="5"/>
      <c r="C11" s="5" t="s">
        <v>30</v>
      </c>
      <c r="D11" s="5"/>
      <c r="E11" s="4"/>
      <c r="F11" s="3"/>
      <c r="G11" s="3"/>
      <c r="H11" s="2"/>
      <c r="I11" s="4"/>
      <c r="J11" s="4"/>
    </row>
    <row r="12" spans="1:10" s="1" customFormat="1" ht="54">
      <c r="A12" s="2">
        <f t="shared" si="0"/>
        <v>7</v>
      </c>
      <c r="B12" s="5"/>
      <c r="C12" s="5" t="s">
        <v>49</v>
      </c>
      <c r="D12" s="5"/>
      <c r="E12" s="4"/>
      <c r="F12" s="3"/>
      <c r="G12" s="3"/>
      <c r="H12" s="2"/>
      <c r="I12" s="4"/>
      <c r="J12" s="4"/>
    </row>
    <row r="13" spans="1:10" s="1" customFormat="1">
      <c r="A13" s="2">
        <f t="shared" si="0"/>
        <v>8</v>
      </c>
      <c r="B13" s="5"/>
      <c r="C13" s="5" t="s">
        <v>19</v>
      </c>
      <c r="D13" s="5"/>
      <c r="E13" s="4"/>
      <c r="F13" s="3"/>
      <c r="G13" s="3"/>
      <c r="H13" s="2"/>
      <c r="I13" s="4"/>
      <c r="J13" s="4"/>
    </row>
    <row r="14" spans="1:10" s="1" customFormat="1">
      <c r="A14" s="2">
        <f t="shared" si="0"/>
        <v>9</v>
      </c>
      <c r="B14" s="5"/>
      <c r="C14" s="16" t="s">
        <v>78</v>
      </c>
      <c r="D14" s="5"/>
      <c r="E14" s="4"/>
      <c r="F14" s="3"/>
      <c r="G14" s="3"/>
      <c r="H14" s="2"/>
      <c r="I14" s="4"/>
      <c r="J14" s="4"/>
    </row>
    <row r="15" spans="1:10" s="1" customFormat="1">
      <c r="A15" s="2">
        <f t="shared" si="0"/>
        <v>10</v>
      </c>
      <c r="B15" s="5"/>
      <c r="C15" s="5" t="s">
        <v>76</v>
      </c>
      <c r="D15" s="5"/>
      <c r="E15" s="4"/>
      <c r="F15" s="3"/>
      <c r="G15" s="3"/>
      <c r="H15" s="2"/>
      <c r="I15" s="4"/>
      <c r="J15" s="4"/>
    </row>
    <row r="16" spans="1:10" s="1" customFormat="1">
      <c r="A16" s="2">
        <f t="shared" si="0"/>
        <v>11</v>
      </c>
      <c r="B16" s="5"/>
      <c r="C16" s="5" t="s">
        <v>83</v>
      </c>
      <c r="D16" s="5" t="s">
        <v>84</v>
      </c>
      <c r="E16" s="4"/>
      <c r="F16" s="3"/>
      <c r="G16" s="3"/>
      <c r="H16" s="2"/>
      <c r="I16" s="4"/>
      <c r="J16" s="4"/>
    </row>
    <row r="17" spans="1:10" s="1" customFormat="1" ht="36">
      <c r="A17" s="2">
        <f t="shared" si="0"/>
        <v>12</v>
      </c>
      <c r="B17" s="5"/>
      <c r="C17" s="5"/>
      <c r="D17" s="5" t="s">
        <v>45</v>
      </c>
      <c r="E17" s="4"/>
      <c r="F17" s="3"/>
      <c r="G17" s="3"/>
      <c r="H17" s="2"/>
      <c r="I17" s="4"/>
      <c r="J17" s="4"/>
    </row>
    <row r="18" spans="1:10" s="1" customFormat="1">
      <c r="A18" s="2">
        <f t="shared" si="0"/>
        <v>13</v>
      </c>
      <c r="B18" s="5" t="s">
        <v>73</v>
      </c>
      <c r="C18" s="5" t="s">
        <v>74</v>
      </c>
      <c r="D18" s="5" t="s">
        <v>85</v>
      </c>
      <c r="E18" s="4"/>
      <c r="F18" s="3"/>
      <c r="G18" s="3"/>
      <c r="H18" s="2"/>
      <c r="I18" s="4"/>
      <c r="J18" s="4"/>
    </row>
    <row r="19" spans="1:10" s="1" customFormat="1" ht="36">
      <c r="A19" s="2">
        <f t="shared" si="0"/>
        <v>14</v>
      </c>
      <c r="B19" s="5"/>
      <c r="C19" s="5" t="s">
        <v>86</v>
      </c>
      <c r="D19" s="5" t="s">
        <v>87</v>
      </c>
      <c r="E19" s="4"/>
      <c r="F19" s="3"/>
      <c r="G19" s="3"/>
      <c r="H19" s="2"/>
      <c r="I19" s="4"/>
      <c r="J19" s="4"/>
    </row>
    <row r="20" spans="1:10" s="1" customFormat="1">
      <c r="A20" s="2">
        <f t="shared" si="0"/>
        <v>15</v>
      </c>
      <c r="B20" s="5"/>
      <c r="C20" s="5" t="s">
        <v>74</v>
      </c>
      <c r="D20" s="5" t="s">
        <v>85</v>
      </c>
      <c r="E20" s="4"/>
      <c r="F20" s="3"/>
      <c r="G20" s="3"/>
      <c r="H20" s="2"/>
      <c r="I20" s="4"/>
      <c r="J20" s="4"/>
    </row>
    <row r="21" spans="1:10" s="1" customFormat="1" ht="36">
      <c r="A21" s="2">
        <f t="shared" si="0"/>
        <v>16</v>
      </c>
      <c r="B21" s="5"/>
      <c r="C21" s="5" t="s">
        <v>88</v>
      </c>
      <c r="D21" s="5" t="s">
        <v>89</v>
      </c>
      <c r="E21" s="4"/>
      <c r="F21" s="3"/>
      <c r="G21" s="3"/>
      <c r="H21" s="2"/>
      <c r="I21" s="4"/>
      <c r="J21" s="4"/>
    </row>
    <row r="22" spans="1:10" s="1" customFormat="1" ht="36">
      <c r="A22" s="2">
        <f t="shared" si="0"/>
        <v>17</v>
      </c>
      <c r="B22" s="5" t="s">
        <v>98</v>
      </c>
      <c r="C22" s="5" t="s">
        <v>76</v>
      </c>
      <c r="D22" s="5"/>
      <c r="E22" s="4"/>
      <c r="F22" s="3"/>
      <c r="G22" s="3"/>
      <c r="H22" s="2"/>
      <c r="I22" s="4"/>
      <c r="J22" s="4"/>
    </row>
    <row r="23" spans="1:10" s="1" customFormat="1" ht="36">
      <c r="A23" s="2">
        <f t="shared" si="0"/>
        <v>18</v>
      </c>
      <c r="B23" s="5"/>
      <c r="C23" s="5" t="s">
        <v>90</v>
      </c>
      <c r="D23" s="5"/>
      <c r="E23" s="4"/>
      <c r="F23" s="3"/>
      <c r="G23" s="3"/>
      <c r="H23" s="2"/>
      <c r="I23" s="4"/>
      <c r="J23" s="4"/>
    </row>
    <row r="24" spans="1:10" s="1" customFormat="1">
      <c r="A24" s="2">
        <f t="shared" si="0"/>
        <v>19</v>
      </c>
      <c r="B24" s="5"/>
      <c r="C24" s="5" t="s">
        <v>91</v>
      </c>
      <c r="D24" s="5" t="s">
        <v>92</v>
      </c>
      <c r="E24" s="4"/>
      <c r="F24" s="3"/>
      <c r="G24" s="3"/>
      <c r="H24" s="2"/>
      <c r="I24" s="4"/>
      <c r="J24" s="4"/>
    </row>
    <row r="25" spans="1:10" s="1" customFormat="1" ht="36">
      <c r="A25" s="2">
        <f t="shared" si="0"/>
        <v>20</v>
      </c>
      <c r="B25" s="5"/>
      <c r="C25" s="5" t="s">
        <v>93</v>
      </c>
      <c r="D25" s="5" t="s">
        <v>87</v>
      </c>
      <c r="E25" s="4"/>
      <c r="F25" s="3"/>
      <c r="G25" s="3"/>
      <c r="H25" s="2"/>
      <c r="I25" s="4"/>
      <c r="J25" s="4"/>
    </row>
    <row r="26" spans="1:10" s="1" customFormat="1">
      <c r="A26" s="2">
        <f t="shared" si="0"/>
        <v>21</v>
      </c>
      <c r="B26" s="5"/>
      <c r="C26" s="5" t="s">
        <v>91</v>
      </c>
      <c r="D26" s="5"/>
      <c r="E26" s="4"/>
      <c r="F26" s="3"/>
      <c r="G26" s="3"/>
      <c r="H26" s="2"/>
      <c r="I26" s="4"/>
      <c r="J26" s="4"/>
    </row>
    <row r="27" spans="1:10" s="1" customFormat="1">
      <c r="A27" s="2">
        <f t="shared" si="0"/>
        <v>22</v>
      </c>
      <c r="B27" s="5"/>
      <c r="C27" s="5" t="s">
        <v>94</v>
      </c>
      <c r="D27" s="5" t="s">
        <v>95</v>
      </c>
      <c r="E27" s="4"/>
      <c r="F27" s="3"/>
      <c r="G27" s="3"/>
      <c r="H27" s="2"/>
      <c r="I27" s="4"/>
      <c r="J27" s="4"/>
    </row>
    <row r="28" spans="1:10" s="1" customFormat="1" ht="36">
      <c r="A28" s="2">
        <f t="shared" si="0"/>
        <v>23</v>
      </c>
      <c r="B28" s="5"/>
      <c r="C28" s="5" t="s">
        <v>97</v>
      </c>
      <c r="D28" s="5" t="s">
        <v>89</v>
      </c>
      <c r="E28" s="4"/>
      <c r="F28" s="3"/>
      <c r="G28" s="3"/>
      <c r="H28" s="2"/>
      <c r="I28" s="4"/>
      <c r="J28" s="4"/>
    </row>
    <row r="29" spans="1:10" s="1" customFormat="1" ht="36">
      <c r="A29" s="2">
        <f t="shared" si="0"/>
        <v>24</v>
      </c>
      <c r="B29" s="5" t="s">
        <v>99</v>
      </c>
      <c r="C29" s="5" t="s">
        <v>16</v>
      </c>
      <c r="D29" s="5"/>
      <c r="E29" s="4"/>
      <c r="F29" s="3"/>
      <c r="G29" s="3"/>
      <c r="H29" s="2"/>
      <c r="I29" s="4"/>
      <c r="J29" s="4"/>
    </row>
    <row r="30" spans="1:10" s="1" customFormat="1" ht="36">
      <c r="A30" s="2">
        <f t="shared" si="0"/>
        <v>25</v>
      </c>
      <c r="B30" s="5"/>
      <c r="C30" s="5" t="s">
        <v>79</v>
      </c>
      <c r="D30" s="5"/>
      <c r="E30" s="4"/>
      <c r="F30" s="3"/>
      <c r="G30" s="3"/>
      <c r="H30" s="2"/>
      <c r="I30" s="4"/>
      <c r="J30" s="4"/>
    </row>
    <row r="31" spans="1:10" s="1" customFormat="1">
      <c r="A31" s="2">
        <f t="shared" si="0"/>
        <v>26</v>
      </c>
      <c r="B31" s="5"/>
      <c r="C31" s="5" t="s">
        <v>30</v>
      </c>
      <c r="D31" s="5"/>
      <c r="E31" s="4"/>
      <c r="F31" s="3"/>
      <c r="G31" s="3"/>
      <c r="H31" s="2"/>
      <c r="I31" s="4"/>
      <c r="J31" s="4"/>
    </row>
    <row r="32" spans="1:10" s="1" customFormat="1" ht="54">
      <c r="A32" s="2">
        <f t="shared" si="0"/>
        <v>27</v>
      </c>
      <c r="B32" s="5"/>
      <c r="C32" s="5" t="s">
        <v>49</v>
      </c>
      <c r="D32" s="5"/>
      <c r="E32" s="4"/>
      <c r="F32" s="3"/>
      <c r="G32" s="3"/>
      <c r="H32" s="2"/>
      <c r="I32" s="4"/>
      <c r="J32" s="4"/>
    </row>
    <row r="33" spans="1:10" s="1" customFormat="1">
      <c r="A33" s="2">
        <f t="shared" si="0"/>
        <v>28</v>
      </c>
      <c r="B33" s="5"/>
      <c r="C33" s="5" t="s">
        <v>19</v>
      </c>
      <c r="D33" s="5"/>
      <c r="E33" s="4"/>
      <c r="F33" s="3"/>
      <c r="G33" s="3"/>
      <c r="H33" s="2"/>
      <c r="I33" s="4"/>
      <c r="J33" s="4"/>
    </row>
    <row r="34" spans="1:10" s="1" customFormat="1">
      <c r="A34" s="2">
        <f t="shared" si="0"/>
        <v>29</v>
      </c>
      <c r="B34" s="5"/>
      <c r="C34" s="16" t="s">
        <v>78</v>
      </c>
      <c r="D34" s="5"/>
      <c r="E34" s="4"/>
      <c r="F34" s="3"/>
      <c r="G34" s="3"/>
      <c r="H34" s="2"/>
      <c r="I34" s="4"/>
      <c r="J34" s="4"/>
    </row>
    <row r="35" spans="1:10" s="1" customFormat="1">
      <c r="A35" s="2">
        <f t="shared" si="0"/>
        <v>30</v>
      </c>
      <c r="B35" s="5"/>
      <c r="C35" s="5" t="s">
        <v>76</v>
      </c>
      <c r="D35" s="5"/>
      <c r="E35" s="4"/>
      <c r="F35" s="3"/>
      <c r="G35" s="3"/>
      <c r="H35" s="2"/>
      <c r="I35" s="4"/>
      <c r="J35" s="4"/>
    </row>
    <row r="36" spans="1:10" s="1" customFormat="1">
      <c r="A36" s="2">
        <f t="shared" si="0"/>
        <v>31</v>
      </c>
      <c r="B36" s="5"/>
      <c r="C36" s="5" t="s">
        <v>83</v>
      </c>
      <c r="D36" s="5"/>
      <c r="E36" s="4"/>
      <c r="F36" s="3"/>
      <c r="G36" s="3"/>
      <c r="H36" s="2"/>
      <c r="I36" s="4"/>
      <c r="J36" s="4"/>
    </row>
    <row r="37" spans="1:10" s="1" customFormat="1" ht="36">
      <c r="A37" s="2">
        <f t="shared" si="0"/>
        <v>32</v>
      </c>
      <c r="B37" s="5"/>
      <c r="C37" s="5" t="s">
        <v>97</v>
      </c>
      <c r="D37" s="5"/>
      <c r="E37" s="4"/>
      <c r="F37" s="3"/>
      <c r="G37" s="3"/>
      <c r="H37" s="2"/>
      <c r="I37" s="4"/>
      <c r="J37" s="4"/>
    </row>
    <row r="38" spans="1:10" s="1" customFormat="1">
      <c r="A38" s="2">
        <f t="shared" si="0"/>
        <v>33</v>
      </c>
      <c r="B38" s="5"/>
      <c r="C38" s="16" t="s">
        <v>101</v>
      </c>
      <c r="D38" s="5" t="s">
        <v>96</v>
      </c>
      <c r="E38" s="4"/>
      <c r="F38" s="3"/>
      <c r="G38" s="3"/>
      <c r="H38" s="2"/>
      <c r="I38" s="4"/>
      <c r="J38" s="4"/>
    </row>
    <row r="39" spans="1:10" s="1" customFormat="1">
      <c r="A39" s="2">
        <f t="shared" si="0"/>
        <v>34</v>
      </c>
      <c r="B39" s="5"/>
      <c r="C39" s="5"/>
      <c r="D39" s="5" t="s">
        <v>100</v>
      </c>
      <c r="E39" s="4"/>
      <c r="F39" s="3"/>
      <c r="G39" s="3"/>
      <c r="H39" s="2"/>
      <c r="I39" s="4"/>
      <c r="J39" s="4"/>
    </row>
    <row r="40" spans="1:10" s="1" customFormat="1">
      <c r="A40" s="2">
        <f t="shared" si="0"/>
        <v>35</v>
      </c>
      <c r="B40" s="5"/>
      <c r="C40" s="5" t="s">
        <v>102</v>
      </c>
      <c r="D40" s="5" t="s">
        <v>103</v>
      </c>
      <c r="E40" s="4"/>
      <c r="F40" s="3"/>
      <c r="G40" s="3"/>
      <c r="H40" s="2"/>
      <c r="I40" s="4"/>
      <c r="J40" s="4"/>
    </row>
    <row r="41" spans="1:10" s="1" customFormat="1" ht="36">
      <c r="A41" s="2">
        <f t="shared" si="0"/>
        <v>36</v>
      </c>
      <c r="B41" s="5"/>
      <c r="C41" s="5"/>
      <c r="D41" s="5" t="s">
        <v>104</v>
      </c>
      <c r="E41" s="4"/>
      <c r="F41" s="3"/>
      <c r="G41" s="3"/>
      <c r="H41" s="2"/>
      <c r="I41" s="4"/>
      <c r="J41" s="4"/>
    </row>
    <row r="42" spans="1:10" s="1" customFormat="1" ht="36">
      <c r="A42" s="2">
        <f t="shared" si="0"/>
        <v>37</v>
      </c>
      <c r="B42" s="5"/>
      <c r="C42" s="5" t="s">
        <v>105</v>
      </c>
      <c r="D42" s="5" t="s">
        <v>107</v>
      </c>
      <c r="E42" s="4"/>
      <c r="F42" s="3"/>
      <c r="G42" s="3"/>
      <c r="H42" s="2"/>
      <c r="I42" s="4"/>
      <c r="J42" s="4"/>
    </row>
    <row r="43" spans="1:10" s="1" customFormat="1" ht="36">
      <c r="A43" s="2">
        <f t="shared" si="0"/>
        <v>38</v>
      </c>
      <c r="B43" s="5"/>
      <c r="C43" s="5"/>
      <c r="D43" s="5" t="s">
        <v>106</v>
      </c>
      <c r="E43" s="4"/>
      <c r="F43" s="3"/>
      <c r="G43" s="3"/>
      <c r="H43" s="2"/>
      <c r="I43" s="4"/>
      <c r="J43" s="4"/>
    </row>
    <row r="44" spans="1:10" s="1" customFormat="1">
      <c r="A44" s="2">
        <f t="shared" si="0"/>
        <v>39</v>
      </c>
      <c r="B44" s="5"/>
      <c r="C44" s="5" t="s">
        <v>108</v>
      </c>
      <c r="D44" s="5" t="s">
        <v>109</v>
      </c>
      <c r="E44" s="4"/>
      <c r="F44" s="3"/>
      <c r="G44" s="3"/>
      <c r="H44" s="2"/>
      <c r="I44" s="4"/>
      <c r="J44" s="4"/>
    </row>
    <row r="45" spans="1:10" s="1" customFormat="1">
      <c r="A45" s="2">
        <f t="shared" si="0"/>
        <v>40</v>
      </c>
      <c r="B45" s="5"/>
      <c r="C45" s="5"/>
      <c r="D45" s="5" t="s">
        <v>110</v>
      </c>
      <c r="E45" s="4"/>
      <c r="F45" s="3"/>
      <c r="G45" s="3"/>
      <c r="H45" s="2"/>
      <c r="I45" s="4"/>
      <c r="J45" s="4"/>
    </row>
    <row r="46" spans="1:10" s="1" customFormat="1" ht="36">
      <c r="A46" s="2">
        <f t="shared" si="0"/>
        <v>41</v>
      </c>
      <c r="B46" s="5"/>
      <c r="C46" s="16" t="s">
        <v>111</v>
      </c>
      <c r="D46" s="5" t="s">
        <v>112</v>
      </c>
      <c r="E46" s="4"/>
      <c r="F46" s="3"/>
      <c r="G46" s="3"/>
      <c r="H46" s="2"/>
      <c r="I46" s="4"/>
      <c r="J46" s="4"/>
    </row>
    <row r="47" spans="1:10" s="1" customFormat="1">
      <c r="A47" s="2">
        <f t="shared" si="0"/>
        <v>42</v>
      </c>
      <c r="B47" s="5"/>
      <c r="C47" s="5"/>
      <c r="D47" s="5" t="s">
        <v>113</v>
      </c>
      <c r="E47" s="4"/>
      <c r="F47" s="3"/>
      <c r="G47" s="3"/>
      <c r="H47" s="2"/>
      <c r="I47" s="4"/>
      <c r="J47" s="4"/>
    </row>
    <row r="48" spans="1:10" s="1" customFormat="1">
      <c r="A48" s="2">
        <f t="shared" si="0"/>
        <v>43</v>
      </c>
      <c r="B48" s="5"/>
      <c r="C48" s="5" t="s">
        <v>114</v>
      </c>
      <c r="D48" s="5" t="s">
        <v>115</v>
      </c>
      <c r="E48" s="4"/>
      <c r="F48" s="3"/>
      <c r="G48" s="3"/>
      <c r="H48" s="2"/>
      <c r="I48" s="4"/>
      <c r="J48" s="4"/>
    </row>
    <row r="49" spans="1:10" s="1" customFormat="1">
      <c r="A49" s="2">
        <f t="shared" si="0"/>
        <v>44</v>
      </c>
      <c r="B49" s="5"/>
      <c r="C49" s="5"/>
      <c r="D49" s="5" t="s">
        <v>116</v>
      </c>
      <c r="E49" s="4"/>
      <c r="F49" s="3"/>
      <c r="G49" s="3"/>
      <c r="H49" s="2"/>
      <c r="I49" s="4"/>
      <c r="J49" s="4"/>
    </row>
    <row r="50" spans="1:10" s="1" customFormat="1" ht="36">
      <c r="A50" s="2">
        <f t="shared" si="0"/>
        <v>45</v>
      </c>
      <c r="B50" s="5"/>
      <c r="C50" s="16" t="s">
        <v>117</v>
      </c>
      <c r="D50" s="5" t="s">
        <v>118</v>
      </c>
      <c r="E50" s="4"/>
      <c r="F50" s="3"/>
      <c r="G50" s="3"/>
      <c r="H50" s="2"/>
      <c r="I50" s="4"/>
      <c r="J50" s="4"/>
    </row>
    <row r="51" spans="1:10" s="1" customFormat="1">
      <c r="A51" s="2">
        <f t="shared" si="0"/>
        <v>46</v>
      </c>
      <c r="B51" s="5"/>
      <c r="C51" s="5"/>
      <c r="D51" s="5" t="s">
        <v>119</v>
      </c>
      <c r="E51" s="4"/>
      <c r="F51" s="3"/>
      <c r="G51" s="3"/>
      <c r="H51" s="2"/>
      <c r="I51" s="4"/>
      <c r="J51" s="4"/>
    </row>
    <row r="52" spans="1:10" s="1" customFormat="1" ht="36">
      <c r="A52" s="2">
        <f t="shared" si="0"/>
        <v>47</v>
      </c>
      <c r="B52" s="5" t="s">
        <v>120</v>
      </c>
      <c r="C52" s="5" t="s">
        <v>16</v>
      </c>
      <c r="D52" s="5"/>
      <c r="E52" s="4"/>
      <c r="F52" s="3"/>
      <c r="G52" s="3"/>
      <c r="H52" s="2"/>
      <c r="I52" s="4"/>
      <c r="J52" s="4"/>
    </row>
    <row r="53" spans="1:10" s="1" customFormat="1" ht="36">
      <c r="A53" s="2">
        <f t="shared" si="0"/>
        <v>48</v>
      </c>
      <c r="B53" s="5"/>
      <c r="C53" s="5" t="s">
        <v>79</v>
      </c>
      <c r="D53" s="5"/>
      <c r="E53" s="4"/>
      <c r="F53" s="3"/>
      <c r="G53" s="3"/>
      <c r="H53" s="2"/>
      <c r="I53" s="4"/>
      <c r="J53" s="4"/>
    </row>
    <row r="54" spans="1:10" s="1" customFormat="1">
      <c r="A54" s="2">
        <f t="shared" si="0"/>
        <v>49</v>
      </c>
      <c r="B54" s="5"/>
      <c r="C54" s="5" t="s">
        <v>30</v>
      </c>
      <c r="D54" s="5"/>
      <c r="E54" s="4"/>
      <c r="F54" s="3"/>
      <c r="G54" s="3"/>
      <c r="H54" s="2"/>
      <c r="I54" s="4"/>
      <c r="J54" s="4"/>
    </row>
    <row r="55" spans="1:10" s="1" customFormat="1" ht="36">
      <c r="A55" s="2">
        <f t="shared" si="0"/>
        <v>50</v>
      </c>
      <c r="B55" s="5"/>
      <c r="C55" s="5" t="s">
        <v>121</v>
      </c>
      <c r="D55" s="5"/>
      <c r="E55" s="4"/>
      <c r="F55" s="3"/>
      <c r="G55" s="3"/>
      <c r="H55" s="2"/>
      <c r="I55" s="4"/>
      <c r="J55" s="4"/>
    </row>
    <row r="56" spans="1:10" s="1" customFormat="1">
      <c r="A56" s="2">
        <f t="shared" si="0"/>
        <v>51</v>
      </c>
      <c r="B56" s="5"/>
      <c r="C56" s="5" t="s">
        <v>19</v>
      </c>
      <c r="D56" s="5"/>
      <c r="E56" s="4"/>
      <c r="F56" s="3"/>
      <c r="G56" s="3"/>
      <c r="H56" s="2"/>
      <c r="I56" s="4"/>
      <c r="J56" s="4"/>
    </row>
    <row r="57" spans="1:10" s="1" customFormat="1" ht="36">
      <c r="A57" s="2">
        <f t="shared" si="0"/>
        <v>52</v>
      </c>
      <c r="B57" s="5"/>
      <c r="C57" s="16" t="s">
        <v>122</v>
      </c>
      <c r="D57" s="5"/>
      <c r="E57" s="4"/>
      <c r="F57" s="3"/>
      <c r="G57" s="3"/>
      <c r="H57" s="2"/>
      <c r="I57" s="4"/>
      <c r="J57" s="4"/>
    </row>
    <row r="58" spans="1:10" s="1" customFormat="1">
      <c r="A58" s="2">
        <f t="shared" si="0"/>
        <v>53</v>
      </c>
      <c r="B58" s="5"/>
      <c r="C58" s="5" t="s">
        <v>76</v>
      </c>
      <c r="D58" s="5"/>
      <c r="E58" s="4"/>
      <c r="F58" s="3"/>
      <c r="G58" s="3"/>
      <c r="H58" s="2"/>
      <c r="I58" s="4"/>
      <c r="J58" s="4"/>
    </row>
    <row r="59" spans="1:10" s="1" customFormat="1">
      <c r="A59" s="2">
        <f t="shared" si="0"/>
        <v>54</v>
      </c>
      <c r="B59" s="5"/>
      <c r="C59" s="5" t="s">
        <v>83</v>
      </c>
      <c r="D59" s="5"/>
      <c r="E59" s="4"/>
      <c r="F59" s="3"/>
      <c r="G59" s="3"/>
      <c r="H59" s="2"/>
      <c r="I59" s="4"/>
      <c r="J59" s="4"/>
    </row>
    <row r="60" spans="1:10" s="1" customFormat="1" ht="36">
      <c r="A60" s="2">
        <f t="shared" si="0"/>
        <v>55</v>
      </c>
      <c r="B60" s="5"/>
      <c r="C60" s="5" t="s">
        <v>97</v>
      </c>
      <c r="D60" s="5"/>
      <c r="E60" s="4"/>
      <c r="F60" s="3"/>
      <c r="G60" s="3"/>
      <c r="H60" s="2"/>
      <c r="I60" s="4"/>
      <c r="J60" s="4"/>
    </row>
    <row r="61" spans="1:10" s="1" customFormat="1">
      <c r="A61" s="2">
        <f t="shared" si="0"/>
        <v>56</v>
      </c>
      <c r="B61" s="5"/>
      <c r="C61" s="16" t="s">
        <v>101</v>
      </c>
      <c r="D61" s="5" t="s">
        <v>96</v>
      </c>
      <c r="E61" s="4"/>
      <c r="F61" s="3"/>
      <c r="G61" s="3"/>
      <c r="H61" s="2"/>
      <c r="I61" s="4"/>
      <c r="J61" s="4"/>
    </row>
    <row r="62" spans="1:10" s="1" customFormat="1">
      <c r="A62" s="2">
        <f t="shared" si="0"/>
        <v>57</v>
      </c>
      <c r="B62" s="5"/>
      <c r="C62" s="5"/>
      <c r="D62" s="5" t="s">
        <v>100</v>
      </c>
      <c r="E62" s="4"/>
      <c r="F62" s="3"/>
      <c r="G62" s="3"/>
      <c r="H62" s="2"/>
      <c r="I62" s="4"/>
      <c r="J62" s="4"/>
    </row>
    <row r="63" spans="1:10" s="1" customFormat="1">
      <c r="A63" s="2">
        <f t="shared" si="0"/>
        <v>58</v>
      </c>
      <c r="B63" s="5"/>
      <c r="C63" s="5" t="s">
        <v>102</v>
      </c>
      <c r="D63" s="5" t="s">
        <v>103</v>
      </c>
      <c r="E63" s="4"/>
      <c r="F63" s="3"/>
      <c r="G63" s="3"/>
      <c r="H63" s="2"/>
      <c r="I63" s="4"/>
      <c r="J63" s="4"/>
    </row>
    <row r="64" spans="1:10" s="1" customFormat="1" ht="36">
      <c r="A64" s="2">
        <f t="shared" si="0"/>
        <v>59</v>
      </c>
      <c r="B64" s="5"/>
      <c r="C64" s="5"/>
      <c r="D64" s="5" t="s">
        <v>104</v>
      </c>
      <c r="E64" s="4"/>
      <c r="F64" s="3"/>
      <c r="G64" s="3"/>
      <c r="H64" s="2"/>
      <c r="I64" s="4"/>
      <c r="J64" s="4"/>
    </row>
    <row r="65" spans="1:10" s="1" customFormat="1" ht="36">
      <c r="A65" s="2">
        <f t="shared" si="0"/>
        <v>60</v>
      </c>
      <c r="B65" s="5"/>
      <c r="C65" s="5" t="s">
        <v>105</v>
      </c>
      <c r="D65" s="5" t="s">
        <v>107</v>
      </c>
      <c r="E65" s="4"/>
      <c r="F65" s="3"/>
      <c r="G65" s="3"/>
      <c r="H65" s="2"/>
      <c r="I65" s="4"/>
      <c r="J65" s="4"/>
    </row>
    <row r="66" spans="1:10" s="1" customFormat="1" ht="36">
      <c r="A66" s="2">
        <f t="shared" si="0"/>
        <v>61</v>
      </c>
      <c r="B66" s="5"/>
      <c r="C66" s="5"/>
      <c r="D66" s="5" t="s">
        <v>106</v>
      </c>
      <c r="E66" s="4"/>
      <c r="F66" s="3"/>
      <c r="G66" s="3"/>
      <c r="H66" s="2"/>
      <c r="I66" s="4"/>
      <c r="J66" s="4"/>
    </row>
    <row r="67" spans="1:10" s="1" customFormat="1">
      <c r="A67" s="2">
        <f t="shared" si="0"/>
        <v>62</v>
      </c>
      <c r="B67" s="5"/>
      <c r="C67" s="5" t="s">
        <v>108</v>
      </c>
      <c r="D67" s="5" t="s">
        <v>109</v>
      </c>
      <c r="E67" s="4"/>
      <c r="F67" s="3"/>
      <c r="G67" s="3"/>
      <c r="H67" s="2"/>
      <c r="I67" s="4"/>
      <c r="J67" s="4"/>
    </row>
    <row r="68" spans="1:10" s="1" customFormat="1">
      <c r="A68" s="2">
        <f t="shared" si="0"/>
        <v>63</v>
      </c>
      <c r="B68" s="5"/>
      <c r="C68" s="5"/>
      <c r="D68" s="5" t="s">
        <v>110</v>
      </c>
      <c r="E68" s="4"/>
      <c r="F68" s="3"/>
      <c r="G68" s="3"/>
      <c r="H68" s="2"/>
      <c r="I68" s="4"/>
      <c r="J68" s="4"/>
    </row>
    <row r="69" spans="1:10" s="1" customFormat="1" ht="36">
      <c r="A69" s="2">
        <f t="shared" si="0"/>
        <v>64</v>
      </c>
      <c r="B69" s="5"/>
      <c r="C69" s="16" t="s">
        <v>111</v>
      </c>
      <c r="D69" s="5" t="s">
        <v>112</v>
      </c>
      <c r="E69" s="4"/>
      <c r="F69" s="3"/>
      <c r="G69" s="3"/>
      <c r="H69" s="2"/>
      <c r="I69" s="4"/>
      <c r="J69" s="4"/>
    </row>
    <row r="70" spans="1:10" s="1" customFormat="1">
      <c r="A70" s="2">
        <f t="shared" si="0"/>
        <v>65</v>
      </c>
      <c r="B70" s="5"/>
      <c r="C70" s="5"/>
      <c r="D70" s="5" t="s">
        <v>113</v>
      </c>
      <c r="E70" s="4"/>
      <c r="F70" s="3"/>
      <c r="G70" s="3"/>
      <c r="H70" s="2"/>
      <c r="I70" s="4"/>
      <c r="J70" s="4"/>
    </row>
    <row r="71" spans="1:10" s="1" customFormat="1">
      <c r="A71" s="2">
        <f t="shared" si="0"/>
        <v>66</v>
      </c>
      <c r="B71" s="5"/>
      <c r="C71" s="5" t="s">
        <v>114</v>
      </c>
      <c r="D71" s="5" t="s">
        <v>115</v>
      </c>
      <c r="E71" s="4"/>
      <c r="F71" s="3"/>
      <c r="G71" s="3"/>
      <c r="H71" s="2"/>
      <c r="I71" s="4"/>
      <c r="J71" s="4"/>
    </row>
    <row r="72" spans="1:10" s="1" customFormat="1">
      <c r="A72" s="2">
        <f t="shared" si="0"/>
        <v>67</v>
      </c>
      <c r="B72" s="5"/>
      <c r="C72" s="5"/>
      <c r="D72" s="5" t="s">
        <v>116</v>
      </c>
      <c r="E72" s="4"/>
      <c r="F72" s="3"/>
      <c r="G72" s="3"/>
      <c r="H72" s="2"/>
      <c r="I72" s="4"/>
      <c r="J72" s="4"/>
    </row>
    <row r="73" spans="1:10" s="1" customFormat="1" ht="36">
      <c r="A73" s="2">
        <f t="shared" si="0"/>
        <v>68</v>
      </c>
      <c r="B73" s="5"/>
      <c r="C73" s="16" t="s">
        <v>117</v>
      </c>
      <c r="D73" s="5" t="s">
        <v>118</v>
      </c>
      <c r="E73" s="4"/>
      <c r="F73" s="3"/>
      <c r="G73" s="3"/>
      <c r="H73" s="2"/>
      <c r="I73" s="4"/>
      <c r="J73" s="4"/>
    </row>
    <row r="74" spans="1:10" s="1" customFormat="1">
      <c r="A74" s="2">
        <f t="shared" si="0"/>
        <v>69</v>
      </c>
      <c r="B74" s="5"/>
      <c r="C74" s="5"/>
      <c r="D74" s="5" t="s">
        <v>119</v>
      </c>
      <c r="E74" s="4"/>
      <c r="F74" s="3"/>
      <c r="G74" s="3"/>
      <c r="H74" s="2"/>
      <c r="I74" s="4"/>
      <c r="J74" s="4"/>
    </row>
    <row r="76" spans="1:10">
      <c r="B76" t="s">
        <v>10</v>
      </c>
    </row>
  </sheetData>
  <mergeCells count="1">
    <mergeCell ref="H5:J5"/>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8"/>
  <sheetViews>
    <sheetView workbookViewId="0">
      <selection activeCell="C10" sqref="C1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見積原価検索</v>
      </c>
      <c r="D1" s="8"/>
    </row>
    <row r="2" spans="1:10">
      <c r="B2" s="11" t="s">
        <v>9</v>
      </c>
      <c r="C2" s="10">
        <f>COUNTA(D6:D16)</f>
        <v>5</v>
      </c>
    </row>
    <row r="3" spans="1:10">
      <c r="B3" s="11" t="s">
        <v>11</v>
      </c>
      <c r="C3" s="10">
        <f>COUNTA(G6:G16)</f>
        <v>0</v>
      </c>
    </row>
    <row r="4" spans="1:10">
      <c r="B4" s="9"/>
      <c r="C4" s="8"/>
    </row>
    <row r="5" spans="1:10" s="6" customFormat="1">
      <c r="A5" s="15" t="s">
        <v>4</v>
      </c>
      <c r="B5" s="15" t="s">
        <v>6</v>
      </c>
      <c r="C5" s="15" t="s">
        <v>7</v>
      </c>
      <c r="D5" s="15" t="s">
        <v>3</v>
      </c>
      <c r="E5" s="15" t="s">
        <v>2</v>
      </c>
      <c r="F5" s="15" t="s">
        <v>1</v>
      </c>
      <c r="G5" s="15" t="s">
        <v>0</v>
      </c>
      <c r="H5" s="20" t="s">
        <v>8</v>
      </c>
      <c r="I5" s="20"/>
      <c r="J5" s="20"/>
    </row>
    <row r="6" spans="1:10" s="1" customFormat="1" ht="36">
      <c r="A6" s="2">
        <f>ROW()-5</f>
        <v>1</v>
      </c>
      <c r="B6" s="5" t="s">
        <v>17</v>
      </c>
      <c r="C6" s="5" t="s">
        <v>13</v>
      </c>
      <c r="D6" s="5"/>
      <c r="E6" s="4"/>
      <c r="F6" s="3"/>
      <c r="G6" s="3"/>
      <c r="H6" s="2"/>
      <c r="I6" s="4"/>
      <c r="J6" s="4"/>
    </row>
    <row r="7" spans="1:10" s="1" customFormat="1">
      <c r="A7" s="2">
        <f t="shared" ref="A7:A16"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16</v>
      </c>
      <c r="D9" s="5"/>
      <c r="E9" s="4"/>
      <c r="F9" s="3"/>
      <c r="G9" s="3"/>
      <c r="H9" s="2"/>
      <c r="I9" s="4"/>
      <c r="J9" s="4"/>
    </row>
    <row r="10" spans="1:10" s="1" customFormat="1">
      <c r="A10" s="2">
        <f t="shared" si="0"/>
        <v>5</v>
      </c>
      <c r="B10" s="5"/>
      <c r="C10" s="5" t="s">
        <v>21</v>
      </c>
      <c r="D10" s="5" t="s">
        <v>22</v>
      </c>
      <c r="E10" s="4"/>
      <c r="F10" s="3"/>
      <c r="G10" s="3"/>
      <c r="H10" s="2"/>
      <c r="I10" s="4"/>
      <c r="J10" s="4"/>
    </row>
    <row r="11" spans="1:10" s="1" customFormat="1">
      <c r="A11" s="2">
        <f t="shared" si="0"/>
        <v>6</v>
      </c>
      <c r="B11" s="5" t="s">
        <v>124</v>
      </c>
      <c r="C11" s="5" t="s">
        <v>125</v>
      </c>
      <c r="D11" s="5"/>
      <c r="E11" s="4"/>
      <c r="F11" s="3"/>
      <c r="G11" s="3"/>
      <c r="H11" s="2"/>
      <c r="I11" s="4"/>
      <c r="J11" s="4"/>
    </row>
    <row r="12" spans="1:10" s="1" customFormat="1">
      <c r="A12" s="2">
        <f t="shared" si="0"/>
        <v>7</v>
      </c>
      <c r="B12" s="5"/>
      <c r="C12" s="5" t="s">
        <v>126</v>
      </c>
      <c r="D12" s="5" t="s">
        <v>127</v>
      </c>
      <c r="E12" s="4"/>
      <c r="F12" s="3"/>
      <c r="G12" s="3"/>
      <c r="H12" s="2"/>
      <c r="I12" s="4"/>
      <c r="J12" s="4"/>
    </row>
    <row r="13" spans="1:10" s="1" customFormat="1" ht="36">
      <c r="A13" s="2">
        <f t="shared" si="0"/>
        <v>8</v>
      </c>
      <c r="B13" s="5" t="s">
        <v>123</v>
      </c>
      <c r="C13" s="5" t="s">
        <v>132</v>
      </c>
      <c r="D13" s="5"/>
      <c r="E13" s="4"/>
      <c r="F13" s="3"/>
      <c r="G13" s="3"/>
      <c r="H13" s="2"/>
      <c r="I13" s="4"/>
      <c r="J13" s="4"/>
    </row>
    <row r="14" spans="1:10" s="1" customFormat="1">
      <c r="A14" s="2">
        <f t="shared" si="0"/>
        <v>9</v>
      </c>
      <c r="B14" s="5"/>
      <c r="C14" s="5" t="s">
        <v>128</v>
      </c>
      <c r="D14" s="5" t="s">
        <v>129</v>
      </c>
      <c r="E14" s="4"/>
      <c r="F14" s="3"/>
      <c r="G14" s="3"/>
      <c r="H14" s="2"/>
      <c r="I14" s="4"/>
      <c r="J14" s="4"/>
    </row>
    <row r="15" spans="1:10" s="1" customFormat="1" ht="36">
      <c r="A15" s="2">
        <f t="shared" si="0"/>
        <v>10</v>
      </c>
      <c r="B15" s="5"/>
      <c r="C15" s="5"/>
      <c r="D15" s="5" t="s">
        <v>130</v>
      </c>
      <c r="E15" s="4"/>
      <c r="F15" s="3"/>
      <c r="G15" s="3"/>
      <c r="H15" s="2"/>
      <c r="I15" s="4"/>
      <c r="J15" s="4"/>
    </row>
    <row r="16" spans="1:10" s="1" customFormat="1" ht="36">
      <c r="A16" s="2">
        <f t="shared" si="0"/>
        <v>11</v>
      </c>
      <c r="B16" s="5"/>
      <c r="C16" s="5"/>
      <c r="D16" s="5" t="s">
        <v>131</v>
      </c>
      <c r="E16" s="4"/>
      <c r="F16" s="3"/>
      <c r="G16" s="3"/>
      <c r="H16" s="2"/>
      <c r="I16" s="4"/>
      <c r="J16" s="4"/>
    </row>
    <row r="18" spans="2:2">
      <c r="B18" t="s">
        <v>10</v>
      </c>
    </row>
  </sheetData>
  <mergeCells count="1">
    <mergeCell ref="H5:J5"/>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65"/>
  <sheetViews>
    <sheetView workbookViewId="0">
      <selection activeCell="C6" sqref="C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見積原価一覧</v>
      </c>
      <c r="D1" s="8"/>
    </row>
    <row r="2" spans="1:10">
      <c r="B2" s="11" t="s">
        <v>9</v>
      </c>
      <c r="C2" s="10">
        <f>COUNTA(D6:D47)</f>
        <v>20</v>
      </c>
    </row>
    <row r="3" spans="1:10">
      <c r="B3" s="11" t="s">
        <v>11</v>
      </c>
      <c r="C3" s="10">
        <f>COUNTA(G6:G47)</f>
        <v>0</v>
      </c>
    </row>
    <row r="4" spans="1:10">
      <c r="B4" s="9"/>
      <c r="C4" s="8"/>
    </row>
    <row r="5" spans="1:10" s="6" customFormat="1">
      <c r="A5" s="15" t="s">
        <v>4</v>
      </c>
      <c r="B5" s="15" t="s">
        <v>6</v>
      </c>
      <c r="C5" s="15" t="s">
        <v>7</v>
      </c>
      <c r="D5" s="15" t="s">
        <v>3</v>
      </c>
      <c r="E5" s="15" t="s">
        <v>2</v>
      </c>
      <c r="F5" s="15" t="s">
        <v>1</v>
      </c>
      <c r="G5" s="15" t="s">
        <v>0</v>
      </c>
      <c r="H5" s="20" t="s">
        <v>8</v>
      </c>
      <c r="I5" s="20"/>
      <c r="J5" s="20"/>
    </row>
    <row r="6" spans="1:10" s="1" customFormat="1" ht="36">
      <c r="A6" s="2">
        <f>ROW()-5</f>
        <v>1</v>
      </c>
      <c r="B6" s="5" t="s">
        <v>17</v>
      </c>
      <c r="C6" s="5" t="s">
        <v>13</v>
      </c>
      <c r="D6" s="5"/>
      <c r="E6" s="4"/>
      <c r="F6" s="3"/>
      <c r="G6" s="3"/>
      <c r="H6" s="2"/>
      <c r="I6" s="4"/>
      <c r="J6" s="4"/>
    </row>
    <row r="7" spans="1:10" s="1" customFormat="1">
      <c r="A7" s="2">
        <f t="shared" ref="A7:A63"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16</v>
      </c>
      <c r="D9" s="5"/>
      <c r="E9" s="4"/>
      <c r="F9" s="3"/>
      <c r="G9" s="3"/>
      <c r="H9" s="2"/>
      <c r="I9" s="4"/>
      <c r="J9" s="4"/>
    </row>
    <row r="10" spans="1:10" s="1" customFormat="1">
      <c r="A10" s="2">
        <f t="shared" si="0"/>
        <v>5</v>
      </c>
      <c r="B10" s="5"/>
      <c r="C10" s="5" t="s">
        <v>21</v>
      </c>
      <c r="D10" s="5"/>
      <c r="E10" s="4"/>
      <c r="F10" s="3"/>
      <c r="G10" s="3"/>
      <c r="H10" s="2"/>
      <c r="I10" s="4"/>
      <c r="J10" s="4"/>
    </row>
    <row r="11" spans="1:10" s="1" customFormat="1" ht="36">
      <c r="A11" s="2">
        <f t="shared" si="0"/>
        <v>6</v>
      </c>
      <c r="B11" s="5"/>
      <c r="C11" s="5" t="s">
        <v>133</v>
      </c>
      <c r="D11" s="5"/>
      <c r="E11" s="4"/>
      <c r="F11" s="3"/>
      <c r="G11" s="3"/>
      <c r="H11" s="2"/>
      <c r="I11" s="4"/>
      <c r="J11" s="4"/>
    </row>
    <row r="12" spans="1:10" s="1" customFormat="1">
      <c r="A12" s="2">
        <f t="shared" si="0"/>
        <v>7</v>
      </c>
      <c r="B12" s="5"/>
      <c r="C12" s="5" t="s">
        <v>134</v>
      </c>
      <c r="D12" s="5"/>
      <c r="E12" s="4"/>
      <c r="F12" s="3"/>
      <c r="G12" s="3"/>
      <c r="H12" s="2"/>
      <c r="I12" s="4"/>
      <c r="J12" s="4"/>
    </row>
    <row r="13" spans="1:10" s="1" customFormat="1">
      <c r="A13" s="2">
        <f t="shared" si="0"/>
        <v>8</v>
      </c>
      <c r="B13" s="5"/>
      <c r="C13" s="5" t="s">
        <v>128</v>
      </c>
      <c r="D13" s="5" t="s">
        <v>129</v>
      </c>
      <c r="E13" s="4"/>
      <c r="F13" s="3"/>
      <c r="G13" s="3"/>
      <c r="H13" s="2"/>
      <c r="I13" s="4"/>
      <c r="J13" s="4"/>
    </row>
    <row r="14" spans="1:10" s="1" customFormat="1" ht="36">
      <c r="A14" s="2">
        <f t="shared" si="0"/>
        <v>9</v>
      </c>
      <c r="B14" s="5"/>
      <c r="C14" s="5"/>
      <c r="D14" s="5" t="s">
        <v>130</v>
      </c>
      <c r="E14" s="4"/>
      <c r="F14" s="3"/>
      <c r="G14" s="3"/>
      <c r="H14" s="2"/>
      <c r="I14" s="4"/>
      <c r="J14" s="4"/>
    </row>
    <row r="15" spans="1:10" s="1" customFormat="1" ht="36">
      <c r="A15" s="2">
        <f t="shared" si="0"/>
        <v>10</v>
      </c>
      <c r="B15" s="5"/>
      <c r="C15" s="5"/>
      <c r="D15" s="5" t="s">
        <v>135</v>
      </c>
      <c r="E15" s="4"/>
      <c r="F15" s="3"/>
      <c r="G15" s="3"/>
      <c r="H15" s="2"/>
      <c r="I15" s="4"/>
      <c r="J15" s="4"/>
    </row>
    <row r="16" spans="1:10" s="1" customFormat="1" ht="36">
      <c r="A16" s="2">
        <f t="shared" si="0"/>
        <v>11</v>
      </c>
      <c r="B16" s="5"/>
      <c r="C16" s="5"/>
      <c r="D16" s="5" t="s">
        <v>136</v>
      </c>
      <c r="E16" s="4"/>
      <c r="F16" s="3"/>
      <c r="G16" s="3"/>
      <c r="H16" s="2"/>
      <c r="I16" s="4"/>
      <c r="J16" s="4"/>
    </row>
    <row r="17" spans="1:10" s="1" customFormat="1" ht="36">
      <c r="A17" s="2">
        <f t="shared" si="0"/>
        <v>12</v>
      </c>
      <c r="B17" s="5"/>
      <c r="C17" s="5"/>
      <c r="D17" s="5" t="s">
        <v>131</v>
      </c>
      <c r="E17" s="4"/>
      <c r="F17" s="3"/>
      <c r="G17" s="3"/>
      <c r="H17" s="2"/>
      <c r="I17" s="4"/>
      <c r="J17" s="4"/>
    </row>
    <row r="18" spans="1:10" s="1" customFormat="1">
      <c r="A18" s="2">
        <f t="shared" si="0"/>
        <v>13</v>
      </c>
      <c r="B18" s="5"/>
      <c r="C18" s="5"/>
      <c r="D18" s="18" t="s">
        <v>301</v>
      </c>
      <c r="E18" s="4"/>
      <c r="F18" s="3"/>
      <c r="G18" s="3"/>
      <c r="H18" s="2"/>
      <c r="I18" s="4"/>
      <c r="J18" s="4"/>
    </row>
    <row r="19" spans="1:10" s="1" customFormat="1">
      <c r="A19" s="2">
        <f t="shared" si="0"/>
        <v>14</v>
      </c>
      <c r="B19" s="5"/>
      <c r="C19" s="5"/>
      <c r="D19" s="18" t="s">
        <v>302</v>
      </c>
      <c r="E19" s="4"/>
      <c r="F19" s="3"/>
      <c r="G19" s="3"/>
      <c r="H19" s="2"/>
      <c r="I19" s="4"/>
      <c r="J19" s="4"/>
    </row>
    <row r="20" spans="1:10" s="1" customFormat="1">
      <c r="A20" s="2">
        <f t="shared" si="0"/>
        <v>15</v>
      </c>
      <c r="B20" s="5"/>
      <c r="C20" s="5"/>
      <c r="D20" s="18" t="s">
        <v>303</v>
      </c>
      <c r="E20" s="4"/>
      <c r="F20" s="3"/>
      <c r="G20" s="3"/>
      <c r="H20" s="2"/>
      <c r="I20" s="4"/>
      <c r="J20" s="4"/>
    </row>
    <row r="21" spans="1:10" s="1" customFormat="1">
      <c r="A21" s="2">
        <f t="shared" si="0"/>
        <v>16</v>
      </c>
      <c r="B21" s="5"/>
      <c r="C21" s="5"/>
      <c r="D21" s="18" t="s">
        <v>304</v>
      </c>
      <c r="E21" s="4"/>
      <c r="F21" s="3"/>
      <c r="G21" s="3"/>
      <c r="H21" s="2"/>
      <c r="I21" s="4"/>
      <c r="J21" s="4"/>
    </row>
    <row r="22" spans="1:10" s="1" customFormat="1">
      <c r="A22" s="2">
        <f t="shared" si="0"/>
        <v>17</v>
      </c>
      <c r="B22" s="5" t="s">
        <v>137</v>
      </c>
      <c r="C22" s="5" t="s">
        <v>138</v>
      </c>
      <c r="D22" s="5"/>
      <c r="E22" s="4"/>
      <c r="F22" s="3"/>
      <c r="G22" s="3"/>
      <c r="H22" s="2"/>
      <c r="I22" s="4"/>
      <c r="J22" s="4"/>
    </row>
    <row r="23" spans="1:10" s="1" customFormat="1" ht="36">
      <c r="A23" s="2">
        <f t="shared" si="0"/>
        <v>18</v>
      </c>
      <c r="B23" s="5"/>
      <c r="C23" s="5" t="s">
        <v>139</v>
      </c>
      <c r="D23" s="5" t="s">
        <v>140</v>
      </c>
      <c r="E23" s="4"/>
      <c r="F23" s="3"/>
      <c r="G23" s="3"/>
      <c r="H23" s="2"/>
      <c r="I23" s="4"/>
      <c r="J23" s="4"/>
    </row>
    <row r="24" spans="1:10" s="1" customFormat="1" ht="36">
      <c r="A24" s="2">
        <f t="shared" si="0"/>
        <v>19</v>
      </c>
      <c r="B24" s="5" t="s">
        <v>141</v>
      </c>
      <c r="C24" s="5" t="s">
        <v>142</v>
      </c>
      <c r="D24" s="5" t="s">
        <v>145</v>
      </c>
      <c r="E24" s="4"/>
      <c r="F24" s="3"/>
      <c r="G24" s="3"/>
      <c r="H24" s="2"/>
      <c r="I24" s="4"/>
      <c r="J24" s="4"/>
    </row>
    <row r="25" spans="1:10" s="1" customFormat="1" ht="36">
      <c r="A25" s="2">
        <f t="shared" si="0"/>
        <v>20</v>
      </c>
      <c r="B25" s="5"/>
      <c r="C25" s="5"/>
      <c r="D25" s="5" t="s">
        <v>143</v>
      </c>
      <c r="E25" s="4"/>
      <c r="F25" s="3"/>
      <c r="G25" s="3"/>
      <c r="H25" s="2"/>
      <c r="I25" s="4"/>
      <c r="J25" s="4"/>
    </row>
    <row r="26" spans="1:10" s="1" customFormat="1">
      <c r="A26" s="2">
        <f t="shared" si="0"/>
        <v>21</v>
      </c>
      <c r="B26" s="5"/>
      <c r="C26" s="5" t="s">
        <v>144</v>
      </c>
      <c r="D26" s="5" t="s">
        <v>146</v>
      </c>
      <c r="E26" s="4"/>
      <c r="F26" s="3"/>
      <c r="G26" s="3"/>
      <c r="H26" s="2"/>
      <c r="I26" s="4"/>
      <c r="J26" s="4"/>
    </row>
    <row r="27" spans="1:10" s="1" customFormat="1" ht="36">
      <c r="A27" s="2">
        <f t="shared" si="0"/>
        <v>22</v>
      </c>
      <c r="B27" s="5" t="s">
        <v>147</v>
      </c>
      <c r="C27" s="5" t="s">
        <v>148</v>
      </c>
      <c r="D27" s="5" t="s">
        <v>149</v>
      </c>
      <c r="E27" s="4"/>
      <c r="F27" s="3"/>
      <c r="G27" s="3"/>
      <c r="H27" s="2"/>
      <c r="I27" s="4"/>
      <c r="J27" s="4"/>
    </row>
    <row r="28" spans="1:10" s="1" customFormat="1" ht="36">
      <c r="A28" s="2">
        <f t="shared" si="0"/>
        <v>23</v>
      </c>
      <c r="B28" s="5"/>
      <c r="C28" s="5"/>
      <c r="D28" s="5" t="s">
        <v>155</v>
      </c>
      <c r="E28" s="4"/>
      <c r="F28" s="3"/>
      <c r="G28" s="3"/>
      <c r="H28" s="2"/>
      <c r="I28" s="4"/>
      <c r="J28" s="4"/>
    </row>
    <row r="29" spans="1:10" s="1" customFormat="1">
      <c r="A29" s="2">
        <f t="shared" si="0"/>
        <v>24</v>
      </c>
      <c r="B29" s="5"/>
      <c r="C29" s="5" t="s">
        <v>150</v>
      </c>
      <c r="D29" s="5" t="s">
        <v>151</v>
      </c>
      <c r="E29" s="4"/>
      <c r="F29" s="3"/>
      <c r="G29" s="3"/>
      <c r="H29" s="2"/>
      <c r="I29" s="4"/>
      <c r="J29" s="4"/>
    </row>
    <row r="30" spans="1:10" s="1" customFormat="1">
      <c r="A30" s="2">
        <f t="shared" si="0"/>
        <v>25</v>
      </c>
      <c r="B30" s="5"/>
      <c r="C30" s="13"/>
      <c r="D30" s="5" t="s">
        <v>146</v>
      </c>
      <c r="E30" s="4"/>
      <c r="F30" s="3"/>
      <c r="G30" s="3"/>
      <c r="H30" s="2"/>
      <c r="I30" s="4"/>
      <c r="J30" s="4"/>
    </row>
    <row r="31" spans="1:10" s="1" customFormat="1" ht="36">
      <c r="A31" s="2">
        <f t="shared" si="0"/>
        <v>26</v>
      </c>
      <c r="B31" s="5" t="s">
        <v>152</v>
      </c>
      <c r="C31" s="5" t="s">
        <v>153</v>
      </c>
      <c r="D31" s="5" t="s">
        <v>154</v>
      </c>
      <c r="E31" s="4"/>
      <c r="F31" s="3"/>
      <c r="G31" s="3"/>
      <c r="H31" s="2"/>
      <c r="I31" s="4"/>
      <c r="J31" s="4"/>
    </row>
    <row r="32" spans="1:10" s="1" customFormat="1" ht="36">
      <c r="A32" s="2">
        <f t="shared" si="0"/>
        <v>27</v>
      </c>
      <c r="B32" s="5"/>
      <c r="C32" s="13"/>
      <c r="D32" s="5" t="s">
        <v>156</v>
      </c>
      <c r="E32" s="4"/>
      <c r="F32" s="3"/>
      <c r="G32" s="3"/>
      <c r="H32" s="2"/>
      <c r="I32" s="4"/>
      <c r="J32" s="4"/>
    </row>
    <row r="33" spans="1:10" s="1" customFormat="1">
      <c r="A33" s="2">
        <f t="shared" si="0"/>
        <v>28</v>
      </c>
      <c r="B33" s="5"/>
      <c r="C33" s="5" t="s">
        <v>157</v>
      </c>
      <c r="D33" s="5" t="s">
        <v>146</v>
      </c>
      <c r="E33" s="4"/>
      <c r="F33" s="3"/>
      <c r="G33" s="3"/>
      <c r="H33" s="2"/>
      <c r="I33" s="4"/>
      <c r="J33" s="4"/>
    </row>
    <row r="34" spans="1:10" s="1" customFormat="1">
      <c r="A34" s="2">
        <f t="shared" si="0"/>
        <v>29</v>
      </c>
      <c r="B34" s="5"/>
      <c r="C34" s="13"/>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13"/>
      <c r="D36" s="5"/>
      <c r="E36" s="4"/>
      <c r="F36" s="3"/>
      <c r="G36" s="3"/>
      <c r="H36" s="2"/>
      <c r="I36" s="4"/>
      <c r="J36" s="4"/>
    </row>
    <row r="37" spans="1:10" s="1" customFormat="1">
      <c r="A37" s="2">
        <f t="shared" si="0"/>
        <v>32</v>
      </c>
      <c r="B37" s="5"/>
      <c r="C37" s="5"/>
      <c r="D37" s="5"/>
      <c r="E37" s="4"/>
      <c r="F37" s="3"/>
      <c r="G37" s="3"/>
      <c r="H37" s="2"/>
      <c r="I37" s="4"/>
      <c r="J37" s="4"/>
    </row>
    <row r="38" spans="1:10" s="1" customFormat="1">
      <c r="A38" s="2">
        <f t="shared" si="0"/>
        <v>33</v>
      </c>
      <c r="B38" s="5"/>
      <c r="C38" s="13"/>
      <c r="D38" s="5"/>
      <c r="E38" s="4"/>
      <c r="F38" s="3"/>
      <c r="G38" s="3"/>
      <c r="H38" s="2"/>
      <c r="I38" s="4"/>
      <c r="J38" s="4"/>
    </row>
    <row r="39" spans="1:10" s="1" customFormat="1">
      <c r="A39" s="2">
        <f t="shared" si="0"/>
        <v>34</v>
      </c>
      <c r="B39" s="5"/>
      <c r="C39" s="5"/>
      <c r="D39" s="5"/>
      <c r="E39" s="4"/>
      <c r="F39" s="3"/>
      <c r="G39" s="3"/>
      <c r="H39" s="2"/>
      <c r="I39" s="4"/>
      <c r="J39" s="4"/>
    </row>
    <row r="40" spans="1:10" s="1" customFormat="1">
      <c r="A40" s="2">
        <f t="shared" si="0"/>
        <v>35</v>
      </c>
      <c r="B40" s="5"/>
      <c r="C40" s="13"/>
      <c r="D40" s="5"/>
      <c r="E40" s="4"/>
      <c r="F40" s="3"/>
      <c r="G40" s="3"/>
      <c r="H40" s="2"/>
      <c r="I40" s="4"/>
      <c r="J40" s="4"/>
    </row>
    <row r="41" spans="1:10" s="1" customFormat="1">
      <c r="A41" s="2">
        <f t="shared" si="0"/>
        <v>36</v>
      </c>
      <c r="B41" s="5"/>
      <c r="C41" s="5"/>
      <c r="D41" s="5"/>
      <c r="E41" s="4"/>
      <c r="F41" s="3"/>
      <c r="G41" s="3"/>
      <c r="H41" s="2"/>
      <c r="I41" s="4"/>
      <c r="J41" s="4"/>
    </row>
    <row r="42" spans="1:10" s="1" customFormat="1">
      <c r="A42" s="2">
        <f t="shared" si="0"/>
        <v>37</v>
      </c>
      <c r="B42" s="5"/>
      <c r="C42" s="13"/>
      <c r="D42" s="5"/>
      <c r="E42" s="4"/>
      <c r="F42" s="3"/>
      <c r="G42" s="3"/>
      <c r="H42" s="2"/>
      <c r="I42" s="4"/>
      <c r="J42" s="4"/>
    </row>
    <row r="43" spans="1:10" s="1" customFormat="1">
      <c r="A43" s="2">
        <f t="shared" si="0"/>
        <v>38</v>
      </c>
      <c r="B43" s="5"/>
      <c r="C43" s="5"/>
      <c r="D43" s="5"/>
      <c r="E43" s="4"/>
      <c r="F43" s="3"/>
      <c r="G43" s="3"/>
      <c r="H43" s="2"/>
      <c r="I43" s="4"/>
      <c r="J43" s="4"/>
    </row>
    <row r="44" spans="1:10" s="1" customFormat="1">
      <c r="A44" s="2">
        <f t="shared" si="0"/>
        <v>39</v>
      </c>
      <c r="B44" s="5"/>
      <c r="C44" s="13"/>
      <c r="D44" s="5"/>
      <c r="E44" s="4"/>
      <c r="F44" s="3"/>
      <c r="G44" s="3"/>
      <c r="H44" s="2"/>
      <c r="I44" s="4"/>
      <c r="J44" s="4"/>
    </row>
    <row r="45" spans="1:10" s="1" customFormat="1">
      <c r="A45" s="2">
        <f t="shared" si="0"/>
        <v>40</v>
      </c>
      <c r="B45" s="5"/>
      <c r="C45" s="5"/>
      <c r="D45" s="5"/>
      <c r="E45" s="4"/>
      <c r="F45" s="3"/>
      <c r="G45" s="3"/>
      <c r="H45" s="2"/>
      <c r="I45" s="4"/>
      <c r="J45" s="4"/>
    </row>
    <row r="46" spans="1:10" s="1" customFormat="1">
      <c r="A46" s="2">
        <f t="shared" si="0"/>
        <v>41</v>
      </c>
      <c r="B46" s="5"/>
      <c r="C46" s="13"/>
      <c r="D46" s="5"/>
      <c r="E46" s="4"/>
      <c r="F46" s="3"/>
      <c r="G46" s="3"/>
      <c r="H46" s="2"/>
      <c r="I46" s="4"/>
      <c r="J46" s="4"/>
    </row>
    <row r="47" spans="1:10" s="1" customFormat="1">
      <c r="A47" s="2">
        <f t="shared" si="0"/>
        <v>42</v>
      </c>
      <c r="B47" s="5"/>
      <c r="C47" s="5"/>
      <c r="D47" s="5"/>
      <c r="E47" s="4"/>
      <c r="F47" s="3"/>
      <c r="G47" s="3"/>
      <c r="H47" s="2"/>
      <c r="I47" s="4"/>
      <c r="J47" s="4"/>
    </row>
    <row r="48" spans="1:10" s="1" customFormat="1">
      <c r="A48" s="2">
        <f t="shared" si="0"/>
        <v>43</v>
      </c>
      <c r="B48" s="5"/>
      <c r="C48" s="13"/>
      <c r="D48" s="5"/>
      <c r="E48" s="4"/>
      <c r="F48" s="3"/>
      <c r="G48" s="3"/>
      <c r="H48" s="2"/>
      <c r="I48" s="4"/>
      <c r="J48" s="4"/>
    </row>
    <row r="49" spans="1:10" s="1" customFormat="1">
      <c r="A49" s="2">
        <f t="shared" si="0"/>
        <v>44</v>
      </c>
      <c r="B49" s="5"/>
      <c r="C49" s="5"/>
      <c r="D49" s="5"/>
      <c r="E49" s="4"/>
      <c r="F49" s="3"/>
      <c r="G49" s="3"/>
      <c r="H49" s="2"/>
      <c r="I49" s="4"/>
      <c r="J49" s="4"/>
    </row>
    <row r="50" spans="1:10" s="1" customFormat="1">
      <c r="A50" s="2">
        <f t="shared" si="0"/>
        <v>45</v>
      </c>
      <c r="B50" s="5"/>
      <c r="C50" s="13"/>
      <c r="D50" s="5"/>
      <c r="E50" s="4"/>
      <c r="F50" s="3"/>
      <c r="G50" s="3"/>
      <c r="H50" s="2"/>
      <c r="I50" s="4"/>
      <c r="J50" s="4"/>
    </row>
    <row r="51" spans="1:10" s="1" customFormat="1">
      <c r="A51" s="2">
        <f t="shared" si="0"/>
        <v>46</v>
      </c>
      <c r="B51" s="5"/>
      <c r="C51" s="5"/>
      <c r="D51" s="5"/>
      <c r="E51" s="4"/>
      <c r="F51" s="3"/>
      <c r="G51" s="3"/>
      <c r="H51" s="2"/>
      <c r="I51" s="4"/>
      <c r="J51" s="4"/>
    </row>
    <row r="52" spans="1:10" s="1" customFormat="1">
      <c r="A52" s="2">
        <f t="shared" si="0"/>
        <v>47</v>
      </c>
      <c r="B52" s="5"/>
      <c r="C52" s="13"/>
      <c r="D52" s="5"/>
      <c r="E52" s="4"/>
      <c r="F52" s="3"/>
      <c r="G52" s="3"/>
      <c r="H52" s="2"/>
      <c r="I52" s="4"/>
      <c r="J52" s="4"/>
    </row>
    <row r="53" spans="1:10" s="1" customFormat="1">
      <c r="A53" s="2">
        <f t="shared" si="0"/>
        <v>48</v>
      </c>
      <c r="B53" s="5"/>
      <c r="C53" s="5"/>
      <c r="D53" s="5"/>
      <c r="E53" s="4"/>
      <c r="F53" s="3"/>
      <c r="G53" s="3"/>
      <c r="H53" s="2"/>
      <c r="I53" s="4"/>
      <c r="J53" s="4"/>
    </row>
    <row r="54" spans="1:10" s="1" customFormat="1">
      <c r="A54" s="2">
        <f t="shared" si="0"/>
        <v>49</v>
      </c>
      <c r="B54" s="5"/>
      <c r="C54" s="13"/>
      <c r="D54" s="5"/>
      <c r="E54" s="4"/>
      <c r="F54" s="3"/>
      <c r="G54" s="3"/>
      <c r="H54" s="2"/>
      <c r="I54" s="4"/>
      <c r="J54" s="4"/>
    </row>
    <row r="55" spans="1:10" s="1" customFormat="1">
      <c r="A55" s="2">
        <f t="shared" si="0"/>
        <v>50</v>
      </c>
      <c r="B55" s="5"/>
      <c r="C55" s="5"/>
      <c r="D55" s="5"/>
      <c r="E55" s="4"/>
      <c r="F55" s="3"/>
      <c r="G55" s="3"/>
      <c r="H55" s="2"/>
      <c r="I55" s="4"/>
      <c r="J55" s="4"/>
    </row>
    <row r="56" spans="1:10" s="1" customFormat="1">
      <c r="A56" s="2">
        <f t="shared" si="0"/>
        <v>51</v>
      </c>
      <c r="B56" s="5"/>
      <c r="C56" s="13"/>
      <c r="D56" s="5"/>
      <c r="E56" s="4"/>
      <c r="F56" s="3"/>
      <c r="G56" s="3"/>
      <c r="H56" s="2"/>
      <c r="I56" s="4"/>
      <c r="J56" s="4"/>
    </row>
    <row r="57" spans="1:10" s="1" customFormat="1">
      <c r="A57" s="2">
        <f t="shared" si="0"/>
        <v>52</v>
      </c>
      <c r="B57" s="5"/>
      <c r="C57" s="5"/>
      <c r="D57" s="5"/>
      <c r="E57" s="4"/>
      <c r="F57" s="3"/>
      <c r="G57" s="3"/>
      <c r="H57" s="2"/>
      <c r="I57" s="4"/>
      <c r="J57" s="4"/>
    </row>
    <row r="58" spans="1:10" s="1" customFormat="1">
      <c r="A58" s="2">
        <f t="shared" si="0"/>
        <v>53</v>
      </c>
      <c r="B58" s="5"/>
      <c r="C58" s="13"/>
      <c r="D58" s="5"/>
      <c r="E58" s="4"/>
      <c r="F58" s="3"/>
      <c r="G58" s="3"/>
      <c r="H58" s="2"/>
      <c r="I58" s="4"/>
      <c r="J58" s="4"/>
    </row>
    <row r="59" spans="1:10" s="1" customFormat="1">
      <c r="A59" s="2">
        <f t="shared" si="0"/>
        <v>54</v>
      </c>
      <c r="B59" s="5"/>
      <c r="C59" s="5"/>
      <c r="D59" s="5"/>
      <c r="E59" s="4"/>
      <c r="F59" s="3"/>
      <c r="G59" s="3"/>
      <c r="H59" s="2"/>
      <c r="I59" s="4"/>
      <c r="J59" s="4"/>
    </row>
    <row r="60" spans="1:10" s="1" customFormat="1">
      <c r="A60" s="2">
        <f t="shared" si="0"/>
        <v>55</v>
      </c>
      <c r="B60" s="5"/>
      <c r="C60" s="13"/>
      <c r="D60" s="5"/>
      <c r="E60" s="4"/>
      <c r="F60" s="3"/>
      <c r="G60" s="3"/>
      <c r="H60" s="2"/>
      <c r="I60" s="4"/>
      <c r="J60" s="4"/>
    </row>
    <row r="61" spans="1:10" s="1" customFormat="1">
      <c r="A61" s="2">
        <f t="shared" si="0"/>
        <v>56</v>
      </c>
      <c r="B61" s="5"/>
      <c r="C61" s="5"/>
      <c r="D61" s="5"/>
      <c r="E61" s="4"/>
      <c r="F61" s="3"/>
      <c r="G61" s="3"/>
      <c r="H61" s="2"/>
      <c r="I61" s="4"/>
      <c r="J61" s="4"/>
    </row>
    <row r="62" spans="1:10" s="1" customFormat="1">
      <c r="A62" s="2">
        <f t="shared" si="0"/>
        <v>57</v>
      </c>
      <c r="B62" s="5"/>
      <c r="C62" s="13"/>
      <c r="D62" s="5"/>
      <c r="E62" s="4"/>
      <c r="F62" s="3"/>
      <c r="G62" s="3"/>
      <c r="H62" s="2"/>
      <c r="I62" s="4"/>
      <c r="J62" s="4"/>
    </row>
    <row r="63" spans="1:10" s="1" customFormat="1">
      <c r="A63" s="2">
        <f t="shared" si="0"/>
        <v>58</v>
      </c>
      <c r="B63" s="5"/>
      <c r="C63" s="5"/>
      <c r="D63" s="5"/>
      <c r="E63" s="4"/>
      <c r="F63" s="3"/>
      <c r="G63" s="3"/>
      <c r="H63" s="2"/>
      <c r="I63" s="4"/>
      <c r="J63" s="4"/>
    </row>
    <row r="65" spans="2:2">
      <c r="B65" t="s">
        <v>10</v>
      </c>
    </row>
  </sheetData>
  <mergeCells count="1">
    <mergeCell ref="H5:J5"/>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09"/>
  <sheetViews>
    <sheetView tabSelected="1" topLeftCell="A97" workbookViewId="0">
      <selection activeCell="D111" sqref="D11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見積原価プレビュー</v>
      </c>
      <c r="D1" s="8"/>
    </row>
    <row r="2" spans="1:10">
      <c r="B2" s="11" t="s">
        <v>9</v>
      </c>
      <c r="C2" s="10">
        <f>COUNTA(D6:D207)</f>
        <v>170</v>
      </c>
    </row>
    <row r="3" spans="1:10">
      <c r="B3" s="11" t="s">
        <v>11</v>
      </c>
      <c r="C3" s="10">
        <f>COUNTA(G6:G207)</f>
        <v>0</v>
      </c>
    </row>
    <row r="4" spans="1:10">
      <c r="B4" s="9"/>
      <c r="C4" s="8"/>
    </row>
    <row r="5" spans="1:10" s="6" customFormat="1">
      <c r="A5" s="15" t="s">
        <v>4</v>
      </c>
      <c r="B5" s="15" t="s">
        <v>6</v>
      </c>
      <c r="C5" s="15" t="s">
        <v>7</v>
      </c>
      <c r="D5" s="15" t="s">
        <v>3</v>
      </c>
      <c r="E5" s="15" t="s">
        <v>2</v>
      </c>
      <c r="F5" s="15" t="s">
        <v>1</v>
      </c>
      <c r="G5" s="15" t="s">
        <v>0</v>
      </c>
      <c r="H5" s="20" t="s">
        <v>8</v>
      </c>
      <c r="I5" s="20"/>
      <c r="J5" s="20"/>
    </row>
    <row r="6" spans="1:10" s="1" customFormat="1" ht="36">
      <c r="A6" s="2">
        <f>ROW()-5</f>
        <v>1</v>
      </c>
      <c r="B6" s="5" t="s">
        <v>17</v>
      </c>
      <c r="C6" s="5" t="s">
        <v>13</v>
      </c>
      <c r="D6" s="5"/>
      <c r="E6" s="4"/>
      <c r="F6" s="3"/>
      <c r="G6" s="3"/>
      <c r="H6" s="2"/>
      <c r="I6" s="4"/>
      <c r="J6" s="4"/>
    </row>
    <row r="7" spans="1:10" s="1" customFormat="1">
      <c r="A7" s="2">
        <f t="shared" ref="A7:A207"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16</v>
      </c>
      <c r="D9" s="5"/>
      <c r="E9" s="4"/>
      <c r="F9" s="3"/>
      <c r="G9" s="3"/>
      <c r="H9" s="2"/>
      <c r="I9" s="4"/>
      <c r="J9" s="4"/>
    </row>
    <row r="10" spans="1:10" s="1" customFormat="1" ht="36">
      <c r="A10" s="2">
        <f t="shared" si="0"/>
        <v>5</v>
      </c>
      <c r="B10" s="5"/>
      <c r="C10" s="5" t="s">
        <v>133</v>
      </c>
      <c r="D10" s="5"/>
      <c r="E10" s="4"/>
      <c r="F10" s="3"/>
      <c r="G10" s="3"/>
      <c r="H10" s="2"/>
      <c r="I10" s="4"/>
      <c r="J10" s="4"/>
    </row>
    <row r="11" spans="1:10" s="1" customFormat="1">
      <c r="A11" s="2">
        <f t="shared" si="0"/>
        <v>6</v>
      </c>
      <c r="B11" s="5"/>
      <c r="C11" s="5" t="s">
        <v>134</v>
      </c>
      <c r="D11" s="5"/>
      <c r="E11" s="4"/>
      <c r="F11" s="3"/>
      <c r="G11" s="3"/>
      <c r="H11" s="2"/>
      <c r="I11" s="4"/>
      <c r="J11" s="4"/>
    </row>
    <row r="12" spans="1:10" s="1" customFormat="1">
      <c r="A12" s="2">
        <f t="shared" si="0"/>
        <v>7</v>
      </c>
      <c r="B12" s="5"/>
      <c r="C12" s="5" t="s">
        <v>21</v>
      </c>
      <c r="D12" s="5"/>
      <c r="E12" s="4"/>
      <c r="F12" s="3"/>
      <c r="G12" s="3"/>
      <c r="H12" s="2"/>
      <c r="I12" s="4"/>
      <c r="J12" s="4"/>
    </row>
    <row r="13" spans="1:10" s="1" customFormat="1" ht="36">
      <c r="A13" s="2">
        <f t="shared" si="0"/>
        <v>8</v>
      </c>
      <c r="B13" s="5"/>
      <c r="C13" s="5" t="s">
        <v>158</v>
      </c>
      <c r="D13" s="5" t="s">
        <v>145</v>
      </c>
      <c r="E13" s="4"/>
      <c r="F13" s="3"/>
      <c r="G13" s="3"/>
      <c r="H13" s="2"/>
      <c r="I13" s="4"/>
      <c r="J13" s="4"/>
    </row>
    <row r="14" spans="1:10" s="1" customFormat="1" ht="36">
      <c r="A14" s="2">
        <f t="shared" si="0"/>
        <v>9</v>
      </c>
      <c r="B14" s="5"/>
      <c r="C14" s="5"/>
      <c r="D14" s="5" t="s">
        <v>143</v>
      </c>
      <c r="E14" s="4"/>
      <c r="F14" s="3"/>
      <c r="G14" s="3"/>
      <c r="H14" s="2"/>
      <c r="I14" s="4"/>
      <c r="J14" s="4"/>
    </row>
    <row r="15" spans="1:10" s="1" customFormat="1">
      <c r="A15" s="2">
        <f t="shared" si="0"/>
        <v>10</v>
      </c>
      <c r="B15" s="5"/>
      <c r="C15" s="5"/>
      <c r="D15" s="5" t="s">
        <v>164</v>
      </c>
      <c r="E15" s="4"/>
      <c r="F15" s="3"/>
      <c r="G15" s="3"/>
      <c r="H15" s="2"/>
      <c r="I15" s="4"/>
      <c r="J15" s="4"/>
    </row>
    <row r="16" spans="1:10" s="1" customFormat="1" ht="36">
      <c r="A16" s="2">
        <f t="shared" si="0"/>
        <v>11</v>
      </c>
      <c r="B16" s="5"/>
      <c r="C16" s="5"/>
      <c r="D16" s="5" t="s">
        <v>284</v>
      </c>
      <c r="E16" s="4"/>
      <c r="F16" s="3"/>
      <c r="G16" s="3"/>
      <c r="H16" s="2"/>
      <c r="I16" s="4"/>
      <c r="J16" s="4"/>
    </row>
    <row r="17" spans="1:10" s="1" customFormat="1">
      <c r="A17" s="2">
        <f t="shared" si="0"/>
        <v>12</v>
      </c>
      <c r="B17" s="5"/>
      <c r="C17" s="5"/>
      <c r="D17" s="5" t="s">
        <v>285</v>
      </c>
      <c r="E17" s="4"/>
      <c r="F17" s="3"/>
      <c r="G17" s="3"/>
      <c r="H17" s="2"/>
      <c r="I17" s="4"/>
      <c r="J17" s="4"/>
    </row>
    <row r="18" spans="1:10" s="1" customFormat="1" ht="36">
      <c r="A18" s="2">
        <f t="shared" si="0"/>
        <v>13</v>
      </c>
      <c r="B18" s="5"/>
      <c r="C18" s="5"/>
      <c r="D18" s="5" t="s">
        <v>229</v>
      </c>
      <c r="E18" s="4"/>
      <c r="F18" s="3"/>
      <c r="G18" s="3"/>
      <c r="H18" s="2"/>
      <c r="I18" s="4"/>
      <c r="J18" s="4"/>
    </row>
    <row r="19" spans="1:10" s="1" customFormat="1" ht="36">
      <c r="A19" s="2">
        <f t="shared" si="0"/>
        <v>14</v>
      </c>
      <c r="B19" s="5"/>
      <c r="C19" s="5"/>
      <c r="D19" s="5" t="s">
        <v>208</v>
      </c>
      <c r="E19" s="4"/>
      <c r="F19" s="3"/>
      <c r="G19" s="3"/>
      <c r="H19" s="2"/>
      <c r="I19" s="4"/>
      <c r="J19" s="4"/>
    </row>
    <row r="20" spans="1:10" s="1" customFormat="1" ht="54">
      <c r="A20" s="2">
        <f t="shared" si="0"/>
        <v>15</v>
      </c>
      <c r="B20" s="5"/>
      <c r="C20" s="5"/>
      <c r="D20" s="5" t="s">
        <v>221</v>
      </c>
      <c r="E20" s="4"/>
      <c r="F20" s="3"/>
      <c r="G20" s="3"/>
      <c r="H20" s="2"/>
      <c r="I20" s="4"/>
      <c r="J20" s="4"/>
    </row>
    <row r="21" spans="1:10" s="1" customFormat="1" ht="54">
      <c r="A21" s="2">
        <f t="shared" si="0"/>
        <v>16</v>
      </c>
      <c r="B21" s="5"/>
      <c r="C21" s="5"/>
      <c r="D21" s="5" t="s">
        <v>222</v>
      </c>
      <c r="E21" s="4"/>
      <c r="F21" s="3"/>
      <c r="G21" s="3"/>
      <c r="H21" s="2"/>
      <c r="I21" s="4"/>
      <c r="J21" s="4"/>
    </row>
    <row r="22" spans="1:10" s="1" customFormat="1" ht="36">
      <c r="A22" s="2">
        <f t="shared" si="0"/>
        <v>17</v>
      </c>
      <c r="B22" s="5"/>
      <c r="C22" s="5"/>
      <c r="D22" s="5" t="s">
        <v>209</v>
      </c>
      <c r="E22" s="4"/>
      <c r="F22" s="3"/>
      <c r="G22" s="3"/>
      <c r="H22" s="2"/>
      <c r="I22" s="4"/>
      <c r="J22" s="4"/>
    </row>
    <row r="23" spans="1:10" s="1" customFormat="1" ht="54">
      <c r="A23" s="2">
        <f t="shared" si="0"/>
        <v>18</v>
      </c>
      <c r="B23" s="5"/>
      <c r="C23" s="5"/>
      <c r="D23" s="5" t="s">
        <v>223</v>
      </c>
      <c r="E23" s="4"/>
      <c r="F23" s="3"/>
      <c r="G23" s="3"/>
      <c r="H23" s="2"/>
      <c r="I23" s="4"/>
      <c r="J23" s="4"/>
    </row>
    <row r="24" spans="1:10" s="1" customFormat="1" ht="54">
      <c r="A24" s="2">
        <f t="shared" si="0"/>
        <v>19</v>
      </c>
      <c r="B24" s="5"/>
      <c r="C24" s="5"/>
      <c r="D24" s="5" t="s">
        <v>224</v>
      </c>
      <c r="E24" s="4"/>
      <c r="F24" s="3"/>
      <c r="G24" s="3"/>
      <c r="H24" s="2"/>
      <c r="I24" s="4"/>
      <c r="J24" s="4"/>
    </row>
    <row r="25" spans="1:10" s="1" customFormat="1" ht="36">
      <c r="A25" s="2">
        <f t="shared" si="0"/>
        <v>20</v>
      </c>
      <c r="B25" s="5"/>
      <c r="C25" s="5"/>
      <c r="D25" s="5" t="s">
        <v>238</v>
      </c>
      <c r="E25" s="4"/>
      <c r="F25" s="3"/>
      <c r="G25" s="3"/>
      <c r="H25" s="2"/>
      <c r="I25" s="4"/>
      <c r="J25" s="4"/>
    </row>
    <row r="26" spans="1:10" s="1" customFormat="1" ht="54">
      <c r="A26" s="2">
        <f t="shared" si="0"/>
        <v>21</v>
      </c>
      <c r="B26" s="5"/>
      <c r="C26" s="5"/>
      <c r="D26" s="5" t="s">
        <v>239</v>
      </c>
      <c r="E26" s="4"/>
      <c r="F26" s="3"/>
      <c r="G26" s="3"/>
      <c r="H26" s="2"/>
      <c r="I26" s="4"/>
      <c r="J26" s="4"/>
    </row>
    <row r="27" spans="1:10" s="1" customFormat="1" ht="54">
      <c r="A27" s="2">
        <f t="shared" si="0"/>
        <v>22</v>
      </c>
      <c r="B27" s="5"/>
      <c r="C27" s="5"/>
      <c r="D27" s="5" t="s">
        <v>240</v>
      </c>
      <c r="E27" s="4"/>
      <c r="F27" s="3"/>
      <c r="G27" s="3"/>
      <c r="H27" s="2"/>
      <c r="I27" s="4"/>
      <c r="J27" s="4"/>
    </row>
    <row r="28" spans="1:10" s="1" customFormat="1" ht="54">
      <c r="A28" s="2">
        <f t="shared" si="0"/>
        <v>23</v>
      </c>
      <c r="B28" s="5"/>
      <c r="C28" s="5"/>
      <c r="D28" s="5" t="s">
        <v>241</v>
      </c>
      <c r="E28" s="4"/>
      <c r="F28" s="3"/>
      <c r="G28" s="3"/>
      <c r="H28" s="2"/>
      <c r="I28" s="4"/>
      <c r="J28" s="4"/>
    </row>
    <row r="29" spans="1:10" s="1" customFormat="1" ht="54">
      <c r="A29" s="2">
        <f t="shared" si="0"/>
        <v>24</v>
      </c>
      <c r="B29" s="5"/>
      <c r="C29" s="5"/>
      <c r="D29" s="5" t="s">
        <v>242</v>
      </c>
      <c r="E29" s="4"/>
      <c r="F29" s="3"/>
      <c r="G29" s="3"/>
      <c r="H29" s="2"/>
      <c r="I29" s="4"/>
      <c r="J29" s="4"/>
    </row>
    <row r="30" spans="1:10" s="1" customFormat="1" ht="36">
      <c r="A30" s="2">
        <f t="shared" si="0"/>
        <v>25</v>
      </c>
      <c r="B30" s="5"/>
      <c r="C30" s="5"/>
      <c r="D30" s="5" t="s">
        <v>243</v>
      </c>
      <c r="E30" s="4"/>
      <c r="F30" s="3"/>
      <c r="G30" s="3"/>
      <c r="H30" s="2"/>
      <c r="I30" s="4"/>
      <c r="J30" s="4"/>
    </row>
    <row r="31" spans="1:10" s="1" customFormat="1" ht="54">
      <c r="A31" s="2">
        <f t="shared" si="0"/>
        <v>26</v>
      </c>
      <c r="B31" s="5"/>
      <c r="C31" s="5"/>
      <c r="D31" s="5" t="s">
        <v>244</v>
      </c>
      <c r="E31" s="4"/>
      <c r="F31" s="3"/>
      <c r="G31" s="3"/>
      <c r="H31" s="2"/>
      <c r="I31" s="4"/>
      <c r="J31" s="4"/>
    </row>
    <row r="32" spans="1:10" s="1" customFormat="1" ht="54">
      <c r="A32" s="2">
        <f t="shared" si="0"/>
        <v>27</v>
      </c>
      <c r="B32" s="5"/>
      <c r="C32" s="5"/>
      <c r="D32" s="5" t="s">
        <v>245</v>
      </c>
      <c r="E32" s="4"/>
      <c r="F32" s="3"/>
      <c r="G32" s="3"/>
      <c r="H32" s="2"/>
      <c r="I32" s="4"/>
      <c r="J32" s="4"/>
    </row>
    <row r="33" spans="1:10" s="1" customFormat="1" ht="54">
      <c r="A33" s="2">
        <f t="shared" si="0"/>
        <v>28</v>
      </c>
      <c r="B33" s="5"/>
      <c r="C33" s="5"/>
      <c r="D33" s="5" t="s">
        <v>246</v>
      </c>
      <c r="E33" s="4"/>
      <c r="F33" s="3"/>
      <c r="G33" s="3"/>
      <c r="H33" s="2"/>
      <c r="I33" s="4"/>
      <c r="J33" s="4"/>
    </row>
    <row r="34" spans="1:10" s="1" customFormat="1" ht="54">
      <c r="A34" s="2">
        <f t="shared" si="0"/>
        <v>29</v>
      </c>
      <c r="B34" s="5"/>
      <c r="C34" s="5"/>
      <c r="D34" s="5" t="s">
        <v>247</v>
      </c>
      <c r="E34" s="4"/>
      <c r="F34" s="3"/>
      <c r="G34" s="3"/>
      <c r="H34" s="2"/>
      <c r="I34" s="4"/>
      <c r="J34" s="4"/>
    </row>
    <row r="35" spans="1:10" s="1" customFormat="1">
      <c r="A35" s="2">
        <f t="shared" si="0"/>
        <v>30</v>
      </c>
      <c r="B35" s="5" t="s">
        <v>166</v>
      </c>
      <c r="C35" s="5" t="s">
        <v>168</v>
      </c>
      <c r="D35" s="5"/>
      <c r="E35" s="4"/>
      <c r="F35" s="3"/>
      <c r="G35" s="3"/>
      <c r="H35" s="2"/>
      <c r="I35" s="4"/>
      <c r="J35" s="4"/>
    </row>
    <row r="36" spans="1:10" s="1" customFormat="1">
      <c r="A36" s="2">
        <f t="shared" si="0"/>
        <v>31</v>
      </c>
      <c r="B36" s="5"/>
      <c r="C36" s="5" t="s">
        <v>144</v>
      </c>
      <c r="D36" s="5"/>
      <c r="E36" s="4"/>
      <c r="F36" s="3"/>
      <c r="G36" s="3"/>
      <c r="H36" s="2"/>
      <c r="I36" s="4"/>
      <c r="J36" s="4"/>
    </row>
    <row r="37" spans="1:10" s="1" customFormat="1" ht="36">
      <c r="A37" s="2">
        <f t="shared" si="0"/>
        <v>32</v>
      </c>
      <c r="B37" s="5"/>
      <c r="C37" s="5" t="s">
        <v>169</v>
      </c>
      <c r="D37" s="5"/>
      <c r="E37" s="4"/>
      <c r="F37" s="3"/>
      <c r="G37" s="3"/>
      <c r="H37" s="2"/>
      <c r="I37" s="4"/>
      <c r="J37" s="4"/>
    </row>
    <row r="38" spans="1:10" s="1" customFormat="1" ht="54">
      <c r="A38" s="2">
        <f t="shared" si="0"/>
        <v>33</v>
      </c>
      <c r="B38" s="5"/>
      <c r="C38" s="5" t="s">
        <v>170</v>
      </c>
      <c r="D38" s="5" t="s">
        <v>171</v>
      </c>
      <c r="E38" s="4"/>
      <c r="F38" s="3"/>
      <c r="G38" s="3"/>
      <c r="H38" s="2"/>
      <c r="I38" s="4"/>
      <c r="J38" s="4"/>
    </row>
    <row r="39" spans="1:10" s="1" customFormat="1" ht="36">
      <c r="A39" s="2">
        <f t="shared" si="0"/>
        <v>34</v>
      </c>
      <c r="B39" s="5" t="s">
        <v>172</v>
      </c>
      <c r="C39" s="5" t="s">
        <v>173</v>
      </c>
      <c r="D39" s="5" t="s">
        <v>174</v>
      </c>
      <c r="E39" s="4"/>
      <c r="F39" s="3"/>
      <c r="G39" s="3"/>
      <c r="H39" s="2"/>
      <c r="I39" s="4"/>
      <c r="J39" s="4"/>
    </row>
    <row r="40" spans="1:10" s="1" customFormat="1" ht="36">
      <c r="A40" s="2">
        <f t="shared" si="0"/>
        <v>35</v>
      </c>
      <c r="B40" s="5"/>
      <c r="C40" s="16" t="s">
        <v>175</v>
      </c>
      <c r="D40" s="5" t="s">
        <v>176</v>
      </c>
      <c r="E40" s="4"/>
      <c r="F40" s="3"/>
      <c r="G40" s="3"/>
      <c r="H40" s="2"/>
      <c r="I40" s="4"/>
      <c r="J40" s="4"/>
    </row>
    <row r="41" spans="1:10" s="1" customFormat="1">
      <c r="A41" s="2">
        <f t="shared" si="0"/>
        <v>36</v>
      </c>
      <c r="B41" s="5"/>
      <c r="C41" s="16" t="s">
        <v>177</v>
      </c>
      <c r="D41" s="5" t="s">
        <v>178</v>
      </c>
      <c r="E41" s="4"/>
      <c r="F41" s="3"/>
      <c r="G41" s="3"/>
      <c r="H41" s="2"/>
      <c r="I41" s="4"/>
      <c r="J41" s="4"/>
    </row>
    <row r="42" spans="1:10" s="1" customFormat="1">
      <c r="A42" s="2">
        <f t="shared" si="0"/>
        <v>37</v>
      </c>
      <c r="B42" s="5"/>
      <c r="C42" s="16" t="s">
        <v>179</v>
      </c>
      <c r="D42" s="5" t="s">
        <v>180</v>
      </c>
      <c r="E42" s="4"/>
      <c r="F42" s="3"/>
      <c r="G42" s="3"/>
      <c r="H42" s="2"/>
      <c r="I42" s="4"/>
      <c r="J42" s="4"/>
    </row>
    <row r="43" spans="1:10" s="1" customFormat="1" ht="36">
      <c r="A43" s="2">
        <f t="shared" si="0"/>
        <v>38</v>
      </c>
      <c r="B43" s="5"/>
      <c r="C43" s="16" t="s">
        <v>181</v>
      </c>
      <c r="D43" s="5" t="s">
        <v>182</v>
      </c>
      <c r="E43" s="4"/>
      <c r="F43" s="3"/>
      <c r="G43" s="3"/>
      <c r="H43" s="2"/>
      <c r="I43" s="4"/>
      <c r="J43" s="4"/>
    </row>
    <row r="44" spans="1:10" s="1" customFormat="1" ht="36">
      <c r="A44" s="2">
        <f t="shared" si="0"/>
        <v>39</v>
      </c>
      <c r="B44" s="5"/>
      <c r="C44" s="16"/>
      <c r="D44" s="5" t="s">
        <v>183</v>
      </c>
      <c r="E44" s="4"/>
      <c r="F44" s="3"/>
      <c r="G44" s="3"/>
      <c r="H44" s="2"/>
      <c r="I44" s="4"/>
      <c r="J44" s="4"/>
    </row>
    <row r="45" spans="1:10" s="1" customFormat="1" ht="36">
      <c r="A45" s="2">
        <f t="shared" si="0"/>
        <v>40</v>
      </c>
      <c r="B45" s="5" t="s">
        <v>167</v>
      </c>
      <c r="C45" s="5" t="s">
        <v>159</v>
      </c>
      <c r="D45" s="5" t="s">
        <v>145</v>
      </c>
      <c r="E45" s="4"/>
      <c r="F45" s="3"/>
      <c r="G45" s="3"/>
      <c r="H45" s="2"/>
      <c r="I45" s="4"/>
      <c r="J45" s="4"/>
    </row>
    <row r="46" spans="1:10" s="1" customFormat="1" ht="36">
      <c r="A46" s="2">
        <f t="shared" si="0"/>
        <v>41</v>
      </c>
      <c r="B46" s="5"/>
      <c r="C46" s="5"/>
      <c r="D46" s="5" t="s">
        <v>143</v>
      </c>
      <c r="E46" s="4"/>
      <c r="F46" s="3"/>
      <c r="G46" s="3"/>
      <c r="H46" s="2"/>
      <c r="I46" s="4"/>
      <c r="J46" s="4"/>
    </row>
    <row r="47" spans="1:10" s="1" customFormat="1">
      <c r="A47" s="2">
        <f t="shared" si="0"/>
        <v>42</v>
      </c>
      <c r="B47" s="5"/>
      <c r="C47" s="5"/>
      <c r="D47" s="5" t="s">
        <v>160</v>
      </c>
      <c r="E47" s="4"/>
      <c r="F47" s="3"/>
      <c r="G47" s="3"/>
      <c r="H47" s="2"/>
      <c r="I47" s="4"/>
      <c r="J47" s="4"/>
    </row>
    <row r="48" spans="1:10" s="1" customFormat="1">
      <c r="A48" s="2">
        <f t="shared" si="0"/>
        <v>43</v>
      </c>
      <c r="B48" s="5"/>
      <c r="C48" s="5"/>
      <c r="D48" s="5" t="s">
        <v>162</v>
      </c>
      <c r="E48" s="4"/>
      <c r="F48" s="3"/>
      <c r="G48" s="3"/>
      <c r="H48" s="2"/>
      <c r="I48" s="4"/>
      <c r="J48" s="4"/>
    </row>
    <row r="49" spans="1:10" s="1" customFormat="1" ht="36">
      <c r="A49" s="2">
        <f t="shared" si="0"/>
        <v>44</v>
      </c>
      <c r="B49" s="5"/>
      <c r="C49" s="5"/>
      <c r="D49" s="5" t="s">
        <v>165</v>
      </c>
      <c r="E49" s="4"/>
      <c r="F49" s="3"/>
      <c r="G49" s="3"/>
      <c r="H49" s="2"/>
      <c r="I49" s="4"/>
      <c r="J49" s="4"/>
    </row>
    <row r="50" spans="1:10" s="1" customFormat="1">
      <c r="A50" s="2">
        <f t="shared" si="0"/>
        <v>45</v>
      </c>
      <c r="B50" s="5"/>
      <c r="C50" s="5"/>
      <c r="D50" s="5" t="s">
        <v>164</v>
      </c>
      <c r="E50" s="4"/>
      <c r="F50" s="3"/>
      <c r="G50" s="3"/>
      <c r="H50" s="2"/>
      <c r="I50" s="4"/>
      <c r="J50" s="4"/>
    </row>
    <row r="51" spans="1:10" s="1" customFormat="1" ht="36">
      <c r="A51" s="2">
        <f t="shared" si="0"/>
        <v>46</v>
      </c>
      <c r="B51" s="5" t="s">
        <v>161</v>
      </c>
      <c r="C51" s="5" t="s">
        <v>163</v>
      </c>
      <c r="D51" s="5" t="s">
        <v>286</v>
      </c>
      <c r="E51" s="4"/>
      <c r="F51" s="3"/>
      <c r="G51" s="3"/>
      <c r="H51" s="2"/>
      <c r="I51" s="4"/>
      <c r="J51" s="4"/>
    </row>
    <row r="52" spans="1:10" s="1" customFormat="1" ht="36">
      <c r="A52" s="2">
        <f t="shared" si="0"/>
        <v>47</v>
      </c>
      <c r="B52" s="5"/>
      <c r="C52" s="5"/>
      <c r="D52" s="5" t="s">
        <v>288</v>
      </c>
      <c r="E52" s="4"/>
      <c r="F52" s="3"/>
      <c r="G52" s="3"/>
      <c r="H52" s="2"/>
      <c r="I52" s="4"/>
      <c r="J52" s="4"/>
    </row>
    <row r="53" spans="1:10" s="1" customFormat="1" ht="36">
      <c r="A53" s="2">
        <f t="shared" si="0"/>
        <v>48</v>
      </c>
      <c r="B53" s="5"/>
      <c r="C53" s="5"/>
      <c r="D53" s="5" t="s">
        <v>287</v>
      </c>
      <c r="E53" s="4"/>
      <c r="F53" s="3"/>
      <c r="G53" s="3"/>
      <c r="H53" s="2"/>
      <c r="I53" s="4"/>
      <c r="J53" s="4"/>
    </row>
    <row r="54" spans="1:10" s="1" customFormat="1">
      <c r="A54" s="2">
        <f t="shared" si="0"/>
        <v>49</v>
      </c>
      <c r="B54" s="5"/>
      <c r="C54" s="5"/>
      <c r="D54" s="5" t="s">
        <v>164</v>
      </c>
      <c r="E54" s="4"/>
      <c r="F54" s="3"/>
      <c r="G54" s="3"/>
      <c r="H54" s="2"/>
      <c r="I54" s="4"/>
      <c r="J54" s="4"/>
    </row>
    <row r="55" spans="1:10" s="1" customFormat="1">
      <c r="A55" s="2">
        <f t="shared" si="0"/>
        <v>50</v>
      </c>
      <c r="B55" s="5" t="s">
        <v>166</v>
      </c>
      <c r="C55" s="5" t="s">
        <v>168</v>
      </c>
      <c r="D55" s="5"/>
      <c r="E55" s="4"/>
      <c r="F55" s="3"/>
      <c r="G55" s="3"/>
      <c r="H55" s="2"/>
      <c r="I55" s="4"/>
      <c r="J55" s="4"/>
    </row>
    <row r="56" spans="1:10" s="1" customFormat="1">
      <c r="A56" s="2">
        <f t="shared" si="0"/>
        <v>51</v>
      </c>
      <c r="B56" s="5"/>
      <c r="C56" s="5" t="s">
        <v>144</v>
      </c>
      <c r="D56" s="5"/>
      <c r="E56" s="4"/>
      <c r="F56" s="3"/>
      <c r="G56" s="3"/>
      <c r="H56" s="2"/>
      <c r="I56" s="4"/>
      <c r="J56" s="4"/>
    </row>
    <row r="57" spans="1:10" s="1" customFormat="1" ht="36">
      <c r="A57" s="2">
        <f t="shared" si="0"/>
        <v>52</v>
      </c>
      <c r="B57" s="5"/>
      <c r="C57" s="5" t="s">
        <v>169</v>
      </c>
      <c r="D57" s="5"/>
      <c r="E57" s="4"/>
      <c r="F57" s="3"/>
      <c r="G57" s="3"/>
      <c r="H57" s="2"/>
      <c r="I57" s="4"/>
      <c r="J57" s="4"/>
    </row>
    <row r="58" spans="1:10" s="1" customFormat="1" ht="54">
      <c r="A58" s="2">
        <f t="shared" si="0"/>
        <v>53</v>
      </c>
      <c r="B58" s="5"/>
      <c r="C58" s="5" t="s">
        <v>170</v>
      </c>
      <c r="D58" s="5" t="s">
        <v>171</v>
      </c>
      <c r="E58" s="4"/>
      <c r="F58" s="3"/>
      <c r="G58" s="3"/>
      <c r="H58" s="2"/>
      <c r="I58" s="4"/>
      <c r="J58" s="4"/>
    </row>
    <row r="59" spans="1:10" s="1" customFormat="1" ht="36">
      <c r="A59" s="2">
        <f t="shared" si="0"/>
        <v>54</v>
      </c>
      <c r="B59" s="5" t="s">
        <v>172</v>
      </c>
      <c r="C59" s="5" t="s">
        <v>173</v>
      </c>
      <c r="D59" s="5" t="s">
        <v>174</v>
      </c>
      <c r="E59" s="4"/>
      <c r="F59" s="3"/>
      <c r="G59" s="3"/>
      <c r="H59" s="2"/>
      <c r="I59" s="4"/>
      <c r="J59" s="4"/>
    </row>
    <row r="60" spans="1:10" s="1" customFormat="1" ht="36">
      <c r="A60" s="2">
        <f t="shared" si="0"/>
        <v>55</v>
      </c>
      <c r="B60" s="5"/>
      <c r="C60" s="16" t="s">
        <v>175</v>
      </c>
      <c r="D60" s="5" t="s">
        <v>176</v>
      </c>
      <c r="E60" s="4"/>
      <c r="F60" s="3"/>
      <c r="G60" s="3"/>
      <c r="H60" s="2"/>
      <c r="I60" s="4"/>
      <c r="J60" s="4"/>
    </row>
    <row r="61" spans="1:10" s="1" customFormat="1">
      <c r="A61" s="2">
        <f t="shared" si="0"/>
        <v>56</v>
      </c>
      <c r="B61" s="5"/>
      <c r="C61" s="16" t="s">
        <v>177</v>
      </c>
      <c r="D61" s="5" t="s">
        <v>178</v>
      </c>
      <c r="E61" s="4"/>
      <c r="F61" s="3"/>
      <c r="G61" s="3"/>
      <c r="H61" s="2"/>
      <c r="I61" s="4"/>
      <c r="J61" s="4"/>
    </row>
    <row r="62" spans="1:10" s="1" customFormat="1">
      <c r="A62" s="2">
        <f t="shared" si="0"/>
        <v>57</v>
      </c>
      <c r="B62" s="5"/>
      <c r="C62" s="16" t="s">
        <v>179</v>
      </c>
      <c r="D62" s="5" t="s">
        <v>180</v>
      </c>
      <c r="E62" s="4"/>
      <c r="F62" s="3"/>
      <c r="G62" s="3"/>
      <c r="H62" s="2"/>
      <c r="I62" s="4"/>
      <c r="J62" s="4"/>
    </row>
    <row r="63" spans="1:10" s="1" customFormat="1" ht="36">
      <c r="A63" s="2">
        <f t="shared" si="0"/>
        <v>58</v>
      </c>
      <c r="B63" s="5"/>
      <c r="C63" s="16" t="s">
        <v>181</v>
      </c>
      <c r="D63" s="5" t="s">
        <v>182</v>
      </c>
      <c r="E63" s="4"/>
      <c r="F63" s="3"/>
      <c r="G63" s="3"/>
      <c r="H63" s="2"/>
      <c r="I63" s="4"/>
      <c r="J63" s="4"/>
    </row>
    <row r="64" spans="1:10" s="1" customFormat="1">
      <c r="A64" s="2">
        <f t="shared" si="0"/>
        <v>59</v>
      </c>
      <c r="B64" s="5"/>
      <c r="C64" s="16"/>
      <c r="D64" s="5" t="s">
        <v>184</v>
      </c>
      <c r="E64" s="4"/>
      <c r="F64" s="3"/>
      <c r="G64" s="3"/>
      <c r="H64" s="2"/>
      <c r="I64" s="4"/>
      <c r="J64" s="4"/>
    </row>
    <row r="65" spans="1:10" s="1" customFormat="1" ht="36">
      <c r="A65" s="2">
        <f t="shared" si="0"/>
        <v>60</v>
      </c>
      <c r="B65" s="5"/>
      <c r="C65" s="16"/>
      <c r="D65" s="5" t="s">
        <v>185</v>
      </c>
      <c r="E65" s="4"/>
      <c r="F65" s="3"/>
      <c r="G65" s="3"/>
      <c r="H65" s="2"/>
      <c r="I65" s="4"/>
      <c r="J65" s="4"/>
    </row>
    <row r="66" spans="1:10" s="1" customFormat="1">
      <c r="A66" s="2">
        <f t="shared" si="0"/>
        <v>61</v>
      </c>
      <c r="B66" s="5" t="s">
        <v>186</v>
      </c>
      <c r="C66" s="5" t="s">
        <v>187</v>
      </c>
      <c r="D66" s="5" t="s">
        <v>188</v>
      </c>
      <c r="E66" s="4"/>
      <c r="F66" s="3"/>
      <c r="G66" s="3"/>
      <c r="H66" s="2"/>
      <c r="I66" s="4"/>
      <c r="J66" s="4"/>
    </row>
    <row r="67" spans="1:10" s="1" customFormat="1" ht="36">
      <c r="A67" s="2">
        <f t="shared" si="0"/>
        <v>62</v>
      </c>
      <c r="B67" s="5" t="s">
        <v>325</v>
      </c>
      <c r="C67" s="5" t="s">
        <v>329</v>
      </c>
      <c r="D67" s="5" t="s">
        <v>330</v>
      </c>
      <c r="E67" s="4"/>
      <c r="F67" s="3"/>
      <c r="G67" s="3"/>
      <c r="H67" s="2"/>
      <c r="I67" s="4"/>
      <c r="J67" s="4"/>
    </row>
    <row r="68" spans="1:10" s="1" customFormat="1" ht="36">
      <c r="A68" s="2">
        <f t="shared" si="0"/>
        <v>63</v>
      </c>
      <c r="B68" s="5"/>
      <c r="C68" s="16" t="s">
        <v>331</v>
      </c>
      <c r="D68" s="5" t="s">
        <v>334</v>
      </c>
      <c r="E68" s="4"/>
      <c r="F68" s="3"/>
      <c r="G68" s="3"/>
      <c r="H68" s="2"/>
      <c r="I68" s="4"/>
      <c r="J68" s="4"/>
    </row>
    <row r="69" spans="1:10" s="1" customFormat="1" ht="36">
      <c r="A69" s="2">
        <f t="shared" si="0"/>
        <v>64</v>
      </c>
      <c r="B69" s="5"/>
      <c r="C69" s="16" t="s">
        <v>332</v>
      </c>
      <c r="D69" s="5" t="s">
        <v>335</v>
      </c>
      <c r="E69" s="4"/>
      <c r="F69" s="3"/>
      <c r="G69" s="3"/>
      <c r="H69" s="2"/>
      <c r="I69" s="4"/>
      <c r="J69" s="4"/>
    </row>
    <row r="70" spans="1:10" s="1" customFormat="1" ht="36">
      <c r="A70" s="2">
        <f t="shared" si="0"/>
        <v>65</v>
      </c>
      <c r="B70" s="5"/>
      <c r="C70" s="16" t="s">
        <v>333</v>
      </c>
      <c r="D70" s="5" t="s">
        <v>336</v>
      </c>
      <c r="E70" s="4"/>
      <c r="F70" s="3"/>
      <c r="G70" s="3"/>
      <c r="H70" s="2"/>
      <c r="I70" s="4"/>
      <c r="J70" s="4"/>
    </row>
    <row r="71" spans="1:10" s="1" customFormat="1" ht="36">
      <c r="A71" s="2">
        <f t="shared" si="0"/>
        <v>66</v>
      </c>
      <c r="B71" s="5"/>
      <c r="C71" s="5" t="s">
        <v>368</v>
      </c>
      <c r="D71" s="5" t="s">
        <v>369</v>
      </c>
      <c r="E71" s="4"/>
      <c r="F71" s="3"/>
      <c r="G71" s="3"/>
      <c r="H71" s="2"/>
      <c r="I71" s="4"/>
      <c r="J71" s="4"/>
    </row>
    <row r="72" spans="1:10" s="1" customFormat="1" ht="36">
      <c r="A72" s="2">
        <f t="shared" si="0"/>
        <v>67</v>
      </c>
      <c r="B72" s="5" t="s">
        <v>326</v>
      </c>
      <c r="C72" s="5" t="s">
        <v>353</v>
      </c>
      <c r="D72" s="5" t="s">
        <v>346</v>
      </c>
      <c r="E72" s="4"/>
      <c r="F72" s="3"/>
      <c r="G72" s="3"/>
      <c r="H72" s="2"/>
      <c r="I72" s="4"/>
      <c r="J72" s="4"/>
    </row>
    <row r="73" spans="1:10" s="1" customFormat="1" ht="36">
      <c r="A73" s="2">
        <f t="shared" si="0"/>
        <v>68</v>
      </c>
      <c r="B73" s="5"/>
      <c r="C73" s="16" t="s">
        <v>354</v>
      </c>
      <c r="D73" s="5" t="s">
        <v>345</v>
      </c>
      <c r="E73" s="4"/>
      <c r="F73" s="3"/>
      <c r="G73" s="3"/>
      <c r="H73" s="2"/>
      <c r="I73" s="4"/>
      <c r="J73" s="4"/>
    </row>
    <row r="74" spans="1:10" s="1" customFormat="1" ht="36">
      <c r="A74" s="2">
        <f t="shared" si="0"/>
        <v>69</v>
      </c>
      <c r="B74" s="5"/>
      <c r="C74" s="16" t="s">
        <v>355</v>
      </c>
      <c r="D74" s="5" t="s">
        <v>347</v>
      </c>
      <c r="E74" s="4"/>
      <c r="F74" s="3"/>
      <c r="G74" s="3"/>
      <c r="H74" s="2"/>
      <c r="I74" s="4"/>
      <c r="J74" s="4"/>
    </row>
    <row r="75" spans="1:10" s="1" customFormat="1" ht="36">
      <c r="A75" s="2">
        <f t="shared" si="0"/>
        <v>70</v>
      </c>
      <c r="B75" s="5"/>
      <c r="C75" s="16" t="s">
        <v>356</v>
      </c>
      <c r="D75" s="5" t="s">
        <v>348</v>
      </c>
      <c r="E75" s="4"/>
      <c r="F75" s="3"/>
      <c r="G75" s="3"/>
      <c r="H75" s="2"/>
      <c r="I75" s="4"/>
      <c r="J75" s="4"/>
    </row>
    <row r="76" spans="1:10" s="1" customFormat="1">
      <c r="A76" s="2">
        <f t="shared" si="0"/>
        <v>71</v>
      </c>
      <c r="B76" s="5"/>
      <c r="C76" s="5" t="s">
        <v>370</v>
      </c>
      <c r="D76" s="5" t="s">
        <v>369</v>
      </c>
      <c r="E76" s="4"/>
      <c r="F76" s="3"/>
      <c r="G76" s="3"/>
      <c r="H76" s="2"/>
      <c r="I76" s="4"/>
      <c r="J76" s="4"/>
    </row>
    <row r="77" spans="1:10" s="1" customFormat="1" ht="36">
      <c r="A77" s="2">
        <f t="shared" si="0"/>
        <v>72</v>
      </c>
      <c r="B77" s="5" t="s">
        <v>327</v>
      </c>
      <c r="C77" s="5" t="s">
        <v>357</v>
      </c>
      <c r="D77" s="5" t="s">
        <v>351</v>
      </c>
      <c r="E77" s="4"/>
      <c r="F77" s="3"/>
      <c r="G77" s="3"/>
      <c r="H77" s="2"/>
      <c r="I77" s="4"/>
      <c r="J77" s="4"/>
    </row>
    <row r="78" spans="1:10" s="1" customFormat="1" ht="36">
      <c r="A78" s="2">
        <f t="shared" si="0"/>
        <v>73</v>
      </c>
      <c r="B78" s="5"/>
      <c r="C78" s="16" t="s">
        <v>358</v>
      </c>
      <c r="D78" s="5" t="s">
        <v>352</v>
      </c>
      <c r="E78" s="4"/>
      <c r="F78" s="3"/>
      <c r="G78" s="3"/>
      <c r="H78" s="2"/>
      <c r="I78" s="4"/>
      <c r="J78" s="4"/>
    </row>
    <row r="79" spans="1:10" s="1" customFormat="1" ht="36">
      <c r="A79" s="2">
        <f t="shared" si="0"/>
        <v>74</v>
      </c>
      <c r="B79" s="5"/>
      <c r="C79" s="16" t="s">
        <v>359</v>
      </c>
      <c r="D79" s="5" t="s">
        <v>349</v>
      </c>
      <c r="E79" s="4"/>
      <c r="F79" s="3"/>
      <c r="G79" s="3"/>
      <c r="H79" s="2"/>
      <c r="I79" s="4"/>
      <c r="J79" s="4"/>
    </row>
    <row r="80" spans="1:10" s="1" customFormat="1" ht="36">
      <c r="A80" s="2">
        <f t="shared" si="0"/>
        <v>75</v>
      </c>
      <c r="B80" s="5"/>
      <c r="C80" s="16" t="s">
        <v>360</v>
      </c>
      <c r="D80" s="5" t="s">
        <v>350</v>
      </c>
      <c r="E80" s="4"/>
      <c r="F80" s="3"/>
      <c r="G80" s="3"/>
      <c r="H80" s="2"/>
      <c r="I80" s="4"/>
      <c r="J80" s="4"/>
    </row>
    <row r="81" spans="1:10" s="1" customFormat="1">
      <c r="A81" s="2">
        <f t="shared" si="0"/>
        <v>76</v>
      </c>
      <c r="B81" s="5"/>
      <c r="C81" s="5" t="s">
        <v>371</v>
      </c>
      <c r="D81" s="5" t="s">
        <v>369</v>
      </c>
      <c r="E81" s="4"/>
      <c r="F81" s="3"/>
      <c r="G81" s="3"/>
      <c r="H81" s="2"/>
      <c r="I81" s="4"/>
      <c r="J81" s="4"/>
    </row>
    <row r="82" spans="1:10" s="1" customFormat="1" ht="36">
      <c r="A82" s="2">
        <f t="shared" si="0"/>
        <v>77</v>
      </c>
      <c r="B82" s="5" t="s">
        <v>328</v>
      </c>
      <c r="C82" s="5" t="s">
        <v>337</v>
      </c>
      <c r="D82" s="5" t="s">
        <v>341</v>
      </c>
      <c r="E82" s="4"/>
      <c r="F82" s="3"/>
      <c r="G82" s="3"/>
      <c r="H82" s="2"/>
      <c r="I82" s="4"/>
      <c r="J82" s="4"/>
    </row>
    <row r="83" spans="1:10" s="1" customFormat="1" ht="36">
      <c r="A83" s="2">
        <f t="shared" si="0"/>
        <v>78</v>
      </c>
      <c r="B83" s="5"/>
      <c r="C83" s="16" t="s">
        <v>338</v>
      </c>
      <c r="D83" s="5" t="s">
        <v>342</v>
      </c>
      <c r="E83" s="4"/>
      <c r="F83" s="3"/>
      <c r="G83" s="3"/>
      <c r="H83" s="2"/>
      <c r="I83" s="4"/>
      <c r="J83" s="4"/>
    </row>
    <row r="84" spans="1:10" s="1" customFormat="1" ht="36">
      <c r="A84" s="2">
        <f t="shared" si="0"/>
        <v>79</v>
      </c>
      <c r="B84" s="5"/>
      <c r="C84" s="16" t="s">
        <v>339</v>
      </c>
      <c r="D84" s="5" t="s">
        <v>343</v>
      </c>
      <c r="E84" s="4"/>
      <c r="F84" s="3"/>
      <c r="G84" s="3"/>
      <c r="H84" s="2"/>
      <c r="I84" s="4"/>
      <c r="J84" s="4"/>
    </row>
    <row r="85" spans="1:10" s="1" customFormat="1" ht="36">
      <c r="A85" s="2">
        <f t="shared" si="0"/>
        <v>80</v>
      </c>
      <c r="B85" s="5"/>
      <c r="C85" s="16" t="s">
        <v>340</v>
      </c>
      <c r="D85" s="5" t="s">
        <v>344</v>
      </c>
      <c r="E85" s="4"/>
      <c r="F85" s="3"/>
      <c r="G85" s="3"/>
      <c r="H85" s="2"/>
      <c r="I85" s="4"/>
      <c r="J85" s="4"/>
    </row>
    <row r="86" spans="1:10" s="1" customFormat="1" ht="36">
      <c r="A86" s="2">
        <f t="shared" si="0"/>
        <v>81</v>
      </c>
      <c r="B86" s="5"/>
      <c r="C86" s="5" t="s">
        <v>372</v>
      </c>
      <c r="D86" s="5" t="s">
        <v>369</v>
      </c>
      <c r="E86" s="4"/>
      <c r="F86" s="3"/>
      <c r="G86" s="3"/>
      <c r="H86" s="2"/>
      <c r="I86" s="4"/>
      <c r="J86" s="4"/>
    </row>
    <row r="87" spans="1:10" s="1" customFormat="1">
      <c r="A87" s="2">
        <f t="shared" si="0"/>
        <v>82</v>
      </c>
      <c r="B87" s="5" t="s">
        <v>323</v>
      </c>
      <c r="C87" s="5" t="s">
        <v>373</v>
      </c>
      <c r="D87" s="5" t="s">
        <v>367</v>
      </c>
      <c r="E87" s="4"/>
      <c r="F87" s="3"/>
      <c r="G87" s="3"/>
      <c r="H87" s="2"/>
      <c r="I87" s="4"/>
      <c r="J87" s="4"/>
    </row>
    <row r="88" spans="1:10" s="1" customFormat="1">
      <c r="A88" s="2">
        <f t="shared" si="0"/>
        <v>83</v>
      </c>
      <c r="B88" s="5"/>
      <c r="C88" s="16"/>
      <c r="D88" s="5" t="s">
        <v>362</v>
      </c>
      <c r="E88" s="4"/>
      <c r="F88" s="3"/>
      <c r="G88" s="3"/>
      <c r="H88" s="2"/>
      <c r="I88" s="4"/>
      <c r="J88" s="4"/>
    </row>
    <row r="89" spans="1:10" s="1" customFormat="1">
      <c r="A89" s="2">
        <f t="shared" si="0"/>
        <v>84</v>
      </c>
      <c r="B89" s="5"/>
      <c r="C89" s="16" t="s">
        <v>374</v>
      </c>
      <c r="D89" s="5" t="s">
        <v>367</v>
      </c>
      <c r="E89" s="4"/>
      <c r="F89" s="3"/>
      <c r="G89" s="3"/>
      <c r="H89" s="2"/>
      <c r="I89" s="4"/>
      <c r="J89" s="4"/>
    </row>
    <row r="90" spans="1:10" s="1" customFormat="1" ht="36">
      <c r="A90" s="2">
        <f t="shared" si="0"/>
        <v>85</v>
      </c>
      <c r="B90" s="5"/>
      <c r="C90" s="16"/>
      <c r="D90" s="5" t="s">
        <v>363</v>
      </c>
      <c r="E90" s="4"/>
      <c r="F90" s="3"/>
      <c r="G90" s="3"/>
      <c r="H90" s="2"/>
      <c r="I90" s="4"/>
      <c r="J90" s="4"/>
    </row>
    <row r="91" spans="1:10" s="1" customFormat="1">
      <c r="A91" s="2">
        <f t="shared" si="0"/>
        <v>86</v>
      </c>
      <c r="B91" s="5"/>
      <c r="C91" s="16" t="s">
        <v>375</v>
      </c>
      <c r="D91" s="5" t="s">
        <v>367</v>
      </c>
      <c r="E91" s="4"/>
      <c r="F91" s="3"/>
      <c r="G91" s="3"/>
      <c r="H91" s="2"/>
      <c r="I91" s="4"/>
      <c r="J91" s="4"/>
    </row>
    <row r="92" spans="1:10" s="1" customFormat="1" ht="36">
      <c r="A92" s="2">
        <f t="shared" si="0"/>
        <v>87</v>
      </c>
      <c r="B92" s="5"/>
      <c r="C92" s="16"/>
      <c r="D92" s="5" t="s">
        <v>364</v>
      </c>
      <c r="E92" s="4"/>
      <c r="F92" s="3"/>
      <c r="G92" s="3"/>
      <c r="H92" s="2"/>
      <c r="I92" s="4"/>
      <c r="J92" s="4"/>
    </row>
    <row r="93" spans="1:10" s="1" customFormat="1">
      <c r="A93" s="2">
        <f t="shared" si="0"/>
        <v>88</v>
      </c>
      <c r="B93" s="5"/>
      <c r="C93" s="16" t="s">
        <v>376</v>
      </c>
      <c r="D93" s="5" t="s">
        <v>367</v>
      </c>
      <c r="E93" s="4"/>
      <c r="F93" s="3"/>
      <c r="G93" s="3"/>
      <c r="H93" s="2"/>
      <c r="I93" s="4"/>
      <c r="J93" s="4"/>
    </row>
    <row r="94" spans="1:10" s="1" customFormat="1" ht="36">
      <c r="A94" s="2">
        <f t="shared" si="0"/>
        <v>89</v>
      </c>
      <c r="B94" s="5"/>
      <c r="C94" s="16"/>
      <c r="D94" s="5" t="s">
        <v>365</v>
      </c>
      <c r="E94" s="4"/>
      <c r="F94" s="3"/>
      <c r="G94" s="3"/>
      <c r="H94" s="2"/>
      <c r="I94" s="4"/>
      <c r="J94" s="4"/>
    </row>
    <row r="95" spans="1:10" s="1" customFormat="1">
      <c r="A95" s="2">
        <f t="shared" si="0"/>
        <v>90</v>
      </c>
      <c r="B95" s="5"/>
      <c r="C95" s="16" t="s">
        <v>377</v>
      </c>
      <c r="D95" s="5" t="s">
        <v>367</v>
      </c>
      <c r="E95" s="4"/>
      <c r="F95" s="3"/>
      <c r="G95" s="3"/>
      <c r="H95" s="2"/>
      <c r="I95" s="4"/>
      <c r="J95" s="4"/>
    </row>
    <row r="96" spans="1:10" s="1" customFormat="1" ht="36">
      <c r="A96" s="2">
        <f t="shared" si="0"/>
        <v>91</v>
      </c>
      <c r="B96" s="5"/>
      <c r="C96" s="16"/>
      <c r="D96" s="5" t="s">
        <v>366</v>
      </c>
      <c r="E96" s="4"/>
      <c r="F96" s="3"/>
      <c r="G96" s="3"/>
      <c r="H96" s="2"/>
      <c r="I96" s="4"/>
      <c r="J96" s="4"/>
    </row>
    <row r="97" spans="1:10" s="1" customFormat="1">
      <c r="A97" s="2">
        <f t="shared" si="0"/>
        <v>92</v>
      </c>
      <c r="B97" s="5"/>
      <c r="C97" s="16" t="s">
        <v>378</v>
      </c>
      <c r="D97" s="5" t="s">
        <v>379</v>
      </c>
      <c r="E97" s="4"/>
      <c r="F97" s="3"/>
      <c r="G97" s="3"/>
      <c r="H97" s="2"/>
      <c r="I97" s="4"/>
      <c r="J97" s="4"/>
    </row>
    <row r="98" spans="1:10" s="1" customFormat="1">
      <c r="A98" s="2">
        <f t="shared" si="0"/>
        <v>93</v>
      </c>
      <c r="B98" s="5" t="s">
        <v>324</v>
      </c>
      <c r="C98" s="5" t="s">
        <v>380</v>
      </c>
      <c r="D98" s="5" t="s">
        <v>361</v>
      </c>
      <c r="E98" s="4"/>
      <c r="F98" s="3"/>
      <c r="G98" s="3"/>
      <c r="H98" s="2"/>
      <c r="I98" s="4"/>
      <c r="J98" s="4"/>
    </row>
    <row r="99" spans="1:10" s="1" customFormat="1">
      <c r="A99" s="2">
        <f t="shared" si="0"/>
        <v>94</v>
      </c>
      <c r="B99" s="5"/>
      <c r="C99" s="16" t="s">
        <v>374</v>
      </c>
      <c r="D99" s="5" t="s">
        <v>361</v>
      </c>
      <c r="E99" s="4"/>
      <c r="F99" s="3"/>
      <c r="G99" s="3"/>
      <c r="H99" s="2"/>
      <c r="I99" s="4"/>
      <c r="J99" s="4"/>
    </row>
    <row r="100" spans="1:10" s="1" customFormat="1">
      <c r="A100" s="2">
        <f t="shared" si="0"/>
        <v>95</v>
      </c>
      <c r="B100" s="5"/>
      <c r="C100" s="16" t="s">
        <v>375</v>
      </c>
      <c r="D100" s="5" t="s">
        <v>361</v>
      </c>
      <c r="E100" s="4"/>
      <c r="F100" s="3"/>
      <c r="G100" s="3"/>
      <c r="H100" s="2"/>
      <c r="I100" s="4"/>
      <c r="J100" s="4"/>
    </row>
    <row r="101" spans="1:10" s="1" customFormat="1">
      <c r="A101" s="2">
        <f t="shared" si="0"/>
        <v>96</v>
      </c>
      <c r="B101" s="5"/>
      <c r="C101" s="16" t="s">
        <v>381</v>
      </c>
      <c r="D101" s="5" t="s">
        <v>361</v>
      </c>
      <c r="E101" s="4"/>
      <c r="F101" s="3"/>
      <c r="G101" s="3"/>
      <c r="H101" s="2"/>
      <c r="I101" s="4"/>
      <c r="J101" s="4"/>
    </row>
    <row r="102" spans="1:10" s="1" customFormat="1">
      <c r="A102" s="2">
        <f t="shared" si="0"/>
        <v>97</v>
      </c>
      <c r="B102" s="5"/>
      <c r="C102" s="16" t="s">
        <v>378</v>
      </c>
      <c r="D102" s="5" t="s">
        <v>382</v>
      </c>
      <c r="E102" s="4"/>
      <c r="F102" s="3"/>
      <c r="G102" s="3"/>
      <c r="H102" s="2"/>
      <c r="I102" s="4"/>
      <c r="J102" s="4"/>
    </row>
    <row r="103" spans="1:10" s="1" customFormat="1" ht="54">
      <c r="A103" s="2">
        <f t="shared" si="0"/>
        <v>98</v>
      </c>
      <c r="B103" s="5" t="s">
        <v>225</v>
      </c>
      <c r="C103" s="5" t="s">
        <v>227</v>
      </c>
      <c r="D103" s="5" t="s">
        <v>235</v>
      </c>
      <c r="E103" s="4"/>
      <c r="F103" s="3"/>
      <c r="G103" s="3"/>
      <c r="H103" s="2"/>
      <c r="I103" s="4"/>
      <c r="J103" s="4"/>
    </row>
    <row r="104" spans="1:10" s="1" customFormat="1" ht="54">
      <c r="A104" s="2">
        <f t="shared" si="0"/>
        <v>99</v>
      </c>
      <c r="B104" s="5"/>
      <c r="C104" s="16"/>
      <c r="D104" s="5" t="s">
        <v>234</v>
      </c>
      <c r="E104" s="4"/>
      <c r="F104" s="3"/>
      <c r="G104" s="3"/>
      <c r="H104" s="2"/>
      <c r="I104" s="4"/>
      <c r="J104" s="4"/>
    </row>
    <row r="105" spans="1:10" s="1" customFormat="1" ht="36">
      <c r="A105" s="2">
        <f t="shared" si="0"/>
        <v>100</v>
      </c>
      <c r="B105" s="5"/>
      <c r="C105" s="16" t="s">
        <v>230</v>
      </c>
      <c r="D105" s="5" t="s">
        <v>231</v>
      </c>
      <c r="E105" s="4"/>
      <c r="F105" s="3"/>
      <c r="G105" s="3"/>
      <c r="H105" s="2"/>
      <c r="I105" s="4"/>
      <c r="J105" s="4"/>
    </row>
    <row r="106" spans="1:10" s="1" customFormat="1">
      <c r="A106" s="2">
        <f t="shared" si="0"/>
        <v>101</v>
      </c>
      <c r="B106" s="5"/>
      <c r="C106" s="5" t="s">
        <v>227</v>
      </c>
      <c r="D106" s="5"/>
      <c r="E106" s="4"/>
      <c r="F106" s="3"/>
      <c r="G106" s="3"/>
      <c r="H106" s="2"/>
      <c r="I106" s="4"/>
      <c r="J106" s="4"/>
    </row>
    <row r="107" spans="1:10" s="1" customFormat="1" ht="36">
      <c r="A107" s="2">
        <f t="shared" si="0"/>
        <v>102</v>
      </c>
      <c r="B107" s="5"/>
      <c r="C107" s="16" t="s">
        <v>232</v>
      </c>
      <c r="D107" s="5" t="s">
        <v>233</v>
      </c>
      <c r="E107" s="4"/>
      <c r="F107" s="3"/>
      <c r="G107" s="3"/>
      <c r="H107" s="2"/>
      <c r="I107" s="4"/>
      <c r="J107" s="4"/>
    </row>
    <row r="108" spans="1:10" s="1" customFormat="1" ht="54">
      <c r="A108" s="2">
        <f t="shared" si="0"/>
        <v>103</v>
      </c>
      <c r="B108" s="5"/>
      <c r="C108" s="16"/>
      <c r="D108" s="5" t="s">
        <v>390</v>
      </c>
      <c r="E108" s="4"/>
      <c r="F108" s="3"/>
      <c r="G108" s="3"/>
      <c r="H108" s="2"/>
      <c r="I108" s="4"/>
      <c r="J108" s="4"/>
    </row>
    <row r="109" spans="1:10" s="1" customFormat="1" ht="54">
      <c r="A109" s="2">
        <f t="shared" si="0"/>
        <v>104</v>
      </c>
      <c r="B109" s="5" t="s">
        <v>226</v>
      </c>
      <c r="C109" s="5" t="s">
        <v>228</v>
      </c>
      <c r="D109" s="5" t="s">
        <v>236</v>
      </c>
      <c r="E109" s="4"/>
      <c r="F109" s="3"/>
      <c r="G109" s="3"/>
      <c r="H109" s="2"/>
      <c r="I109" s="4"/>
      <c r="J109" s="4"/>
    </row>
    <row r="110" spans="1:10" s="1" customFormat="1" ht="54">
      <c r="A110" s="2">
        <f t="shared" si="0"/>
        <v>105</v>
      </c>
      <c r="B110" s="5"/>
      <c r="C110" s="16"/>
      <c r="D110" s="5" t="s">
        <v>391</v>
      </c>
      <c r="E110" s="4"/>
      <c r="F110" s="3"/>
      <c r="G110" s="3"/>
      <c r="H110" s="2"/>
      <c r="I110" s="4"/>
      <c r="J110" s="4"/>
    </row>
    <row r="111" spans="1:10" s="1" customFormat="1" ht="36">
      <c r="A111" s="2">
        <f t="shared" si="0"/>
        <v>106</v>
      </c>
      <c r="B111" s="5"/>
      <c r="C111" s="16" t="s">
        <v>230</v>
      </c>
      <c r="D111" s="5" t="s">
        <v>231</v>
      </c>
      <c r="E111" s="4"/>
      <c r="F111" s="3"/>
      <c r="G111" s="3"/>
      <c r="H111" s="2"/>
      <c r="I111" s="4"/>
      <c r="J111" s="4"/>
    </row>
    <row r="112" spans="1:10" s="1" customFormat="1">
      <c r="A112" s="2">
        <f t="shared" si="0"/>
        <v>107</v>
      </c>
      <c r="B112" s="5"/>
      <c r="C112" s="5" t="s">
        <v>228</v>
      </c>
      <c r="D112" s="5"/>
      <c r="E112" s="4"/>
      <c r="F112" s="3"/>
      <c r="G112" s="3"/>
      <c r="H112" s="2"/>
      <c r="I112" s="4"/>
      <c r="J112" s="4"/>
    </row>
    <row r="113" spans="1:10" s="1" customFormat="1" ht="36">
      <c r="A113" s="2">
        <f t="shared" si="0"/>
        <v>108</v>
      </c>
      <c r="B113" s="5"/>
      <c r="C113" s="16" t="s">
        <v>232</v>
      </c>
      <c r="D113" s="5" t="s">
        <v>233</v>
      </c>
      <c r="E113" s="4"/>
      <c r="F113" s="3"/>
      <c r="G113" s="3"/>
      <c r="H113" s="2"/>
      <c r="I113" s="4"/>
      <c r="J113" s="4"/>
    </row>
    <row r="114" spans="1:10" s="1" customFormat="1" ht="54">
      <c r="A114" s="2">
        <f t="shared" si="0"/>
        <v>109</v>
      </c>
      <c r="B114" s="5"/>
      <c r="C114" s="16"/>
      <c r="D114" s="5" t="s">
        <v>237</v>
      </c>
      <c r="E114" s="4"/>
      <c r="F114" s="3"/>
      <c r="G114" s="3"/>
      <c r="H114" s="2"/>
      <c r="I114" s="4"/>
      <c r="J114" s="4"/>
    </row>
    <row r="115" spans="1:10" s="1" customFormat="1" ht="54">
      <c r="A115" s="2">
        <f t="shared" si="0"/>
        <v>110</v>
      </c>
      <c r="B115" s="5" t="s">
        <v>248</v>
      </c>
      <c r="C115" s="5" t="s">
        <v>249</v>
      </c>
      <c r="D115" s="5" t="s">
        <v>260</v>
      </c>
      <c r="E115" s="4"/>
      <c r="F115" s="3"/>
      <c r="G115" s="3"/>
      <c r="H115" s="2"/>
      <c r="I115" s="4"/>
      <c r="J115" s="4"/>
    </row>
    <row r="116" spans="1:10" s="1" customFormat="1" ht="90">
      <c r="A116" s="2">
        <f t="shared" si="0"/>
        <v>111</v>
      </c>
      <c r="B116" s="5"/>
      <c r="C116" s="16"/>
      <c r="D116" s="5" t="s">
        <v>270</v>
      </c>
      <c r="E116" s="4"/>
      <c r="F116" s="3"/>
      <c r="G116" s="3"/>
      <c r="H116" s="2"/>
      <c r="I116" s="4"/>
      <c r="J116" s="4"/>
    </row>
    <row r="117" spans="1:10" s="1" customFormat="1" ht="54">
      <c r="A117" s="2">
        <f t="shared" si="0"/>
        <v>112</v>
      </c>
      <c r="B117" s="5"/>
      <c r="C117" s="16"/>
      <c r="D117" s="5" t="s">
        <v>271</v>
      </c>
      <c r="E117" s="4"/>
      <c r="F117" s="3"/>
      <c r="G117" s="3"/>
      <c r="H117" s="2"/>
      <c r="I117" s="4"/>
      <c r="J117" s="4"/>
    </row>
    <row r="118" spans="1:10" s="1" customFormat="1" ht="36">
      <c r="A118" s="2">
        <f t="shared" si="0"/>
        <v>113</v>
      </c>
      <c r="B118" s="5"/>
      <c r="C118" s="16" t="s">
        <v>262</v>
      </c>
      <c r="D118" s="5" t="s">
        <v>231</v>
      </c>
      <c r="E118" s="4"/>
      <c r="F118" s="3"/>
      <c r="G118" s="3"/>
      <c r="H118" s="2"/>
      <c r="I118" s="4"/>
      <c r="J118" s="4"/>
    </row>
    <row r="119" spans="1:10" s="1" customFormat="1">
      <c r="A119" s="2">
        <f t="shared" si="0"/>
        <v>114</v>
      </c>
      <c r="B119" s="5"/>
      <c r="C119" s="5" t="s">
        <v>249</v>
      </c>
      <c r="D119" s="5"/>
      <c r="E119" s="4"/>
      <c r="F119" s="3"/>
      <c r="G119" s="3"/>
      <c r="H119" s="2"/>
      <c r="I119" s="4"/>
      <c r="J119" s="4"/>
    </row>
    <row r="120" spans="1:10" s="1" customFormat="1" ht="36">
      <c r="A120" s="2">
        <f t="shared" si="0"/>
        <v>115</v>
      </c>
      <c r="B120" s="5"/>
      <c r="C120" s="16" t="s">
        <v>263</v>
      </c>
      <c r="D120" s="5" t="s">
        <v>264</v>
      </c>
      <c r="E120" s="4"/>
      <c r="F120" s="3"/>
      <c r="G120" s="3"/>
      <c r="H120" s="2"/>
      <c r="I120" s="4"/>
      <c r="J120" s="4"/>
    </row>
    <row r="121" spans="1:10" s="1" customFormat="1" ht="36">
      <c r="A121" s="2">
        <f t="shared" si="0"/>
        <v>116</v>
      </c>
      <c r="B121" s="5"/>
      <c r="C121" s="16"/>
      <c r="D121" s="5" t="s">
        <v>265</v>
      </c>
      <c r="E121" s="4"/>
      <c r="F121" s="3"/>
      <c r="G121" s="3"/>
      <c r="H121" s="2"/>
      <c r="I121" s="4"/>
      <c r="J121" s="4"/>
    </row>
    <row r="122" spans="1:10" s="1" customFormat="1" ht="54">
      <c r="A122" s="2">
        <f t="shared" si="0"/>
        <v>117</v>
      </c>
      <c r="B122" s="5" t="s">
        <v>250</v>
      </c>
      <c r="C122" s="5" t="s">
        <v>251</v>
      </c>
      <c r="D122" s="5" t="s">
        <v>261</v>
      </c>
      <c r="E122" s="4"/>
      <c r="F122" s="3"/>
      <c r="G122" s="3"/>
      <c r="H122" s="2"/>
      <c r="I122" s="4"/>
      <c r="J122" s="4"/>
    </row>
    <row r="123" spans="1:10" s="1" customFormat="1" ht="90">
      <c r="A123" s="2">
        <f t="shared" si="0"/>
        <v>118</v>
      </c>
      <c r="B123" s="5"/>
      <c r="C123" s="16"/>
      <c r="D123" s="5" t="s">
        <v>269</v>
      </c>
      <c r="E123" s="4"/>
      <c r="F123" s="3"/>
      <c r="G123" s="3"/>
      <c r="H123" s="2"/>
      <c r="I123" s="4"/>
      <c r="J123" s="4"/>
    </row>
    <row r="124" spans="1:10" s="1" customFormat="1" ht="54">
      <c r="A124" s="2">
        <f t="shared" si="0"/>
        <v>119</v>
      </c>
      <c r="B124" s="5"/>
      <c r="C124" s="16"/>
      <c r="D124" s="5" t="s">
        <v>268</v>
      </c>
      <c r="E124" s="4"/>
      <c r="F124" s="3"/>
      <c r="G124" s="3"/>
      <c r="H124" s="2"/>
      <c r="I124" s="4"/>
      <c r="J124" s="4"/>
    </row>
    <row r="125" spans="1:10" s="1" customFormat="1" ht="36">
      <c r="A125" s="2">
        <f t="shared" si="0"/>
        <v>120</v>
      </c>
      <c r="B125" s="5"/>
      <c r="C125" s="16" t="s">
        <v>262</v>
      </c>
      <c r="D125" s="5" t="s">
        <v>231</v>
      </c>
      <c r="E125" s="4"/>
      <c r="F125" s="3"/>
      <c r="G125" s="3"/>
      <c r="H125" s="2"/>
      <c r="I125" s="4"/>
      <c r="J125" s="4"/>
    </row>
    <row r="126" spans="1:10" s="1" customFormat="1">
      <c r="A126" s="2">
        <f t="shared" si="0"/>
        <v>121</v>
      </c>
      <c r="B126" s="5"/>
      <c r="C126" s="5" t="s">
        <v>266</v>
      </c>
      <c r="D126" s="5"/>
      <c r="E126" s="4"/>
      <c r="F126" s="3"/>
      <c r="G126" s="3"/>
      <c r="H126" s="2"/>
      <c r="I126" s="4"/>
      <c r="J126" s="4"/>
    </row>
    <row r="127" spans="1:10" s="1" customFormat="1" ht="36">
      <c r="A127" s="2">
        <f t="shared" si="0"/>
        <v>122</v>
      </c>
      <c r="B127" s="5"/>
      <c r="C127" s="16" t="s">
        <v>263</v>
      </c>
      <c r="D127" s="5" t="s">
        <v>264</v>
      </c>
      <c r="E127" s="4"/>
      <c r="F127" s="3"/>
      <c r="G127" s="3"/>
      <c r="H127" s="2"/>
      <c r="I127" s="4"/>
      <c r="J127" s="4"/>
    </row>
    <row r="128" spans="1:10" s="1" customFormat="1" ht="36">
      <c r="A128" s="2">
        <f t="shared" si="0"/>
        <v>123</v>
      </c>
      <c r="B128" s="5"/>
      <c r="C128" s="16"/>
      <c r="D128" s="5" t="s">
        <v>267</v>
      </c>
      <c r="E128" s="4"/>
      <c r="F128" s="3"/>
      <c r="G128" s="3"/>
      <c r="H128" s="2"/>
      <c r="I128" s="4"/>
      <c r="J128" s="4"/>
    </row>
    <row r="129" spans="1:10" s="1" customFormat="1" ht="72">
      <c r="A129" s="2">
        <f t="shared" si="0"/>
        <v>124</v>
      </c>
      <c r="B129" s="5" t="s">
        <v>253</v>
      </c>
      <c r="C129" s="5" t="s">
        <v>254</v>
      </c>
      <c r="D129" s="5" t="s">
        <v>272</v>
      </c>
      <c r="E129" s="4"/>
      <c r="F129" s="3"/>
      <c r="G129" s="3"/>
      <c r="H129" s="2"/>
      <c r="I129" s="4"/>
      <c r="J129" s="4"/>
    </row>
    <row r="130" spans="1:10" s="1" customFormat="1" ht="54">
      <c r="A130" s="2">
        <f t="shared" si="0"/>
        <v>125</v>
      </c>
      <c r="B130" s="5"/>
      <c r="C130" s="5"/>
      <c r="D130" s="5" t="s">
        <v>273</v>
      </c>
      <c r="E130" s="4"/>
      <c r="F130" s="3"/>
      <c r="G130" s="3"/>
      <c r="H130" s="2"/>
      <c r="I130" s="4"/>
      <c r="J130" s="4"/>
    </row>
    <row r="131" spans="1:10" s="1" customFormat="1" ht="90">
      <c r="A131" s="2">
        <f t="shared" si="0"/>
        <v>126</v>
      </c>
      <c r="B131" s="5"/>
      <c r="C131" s="16"/>
      <c r="D131" s="5" t="s">
        <v>274</v>
      </c>
      <c r="E131" s="4"/>
      <c r="F131" s="3"/>
      <c r="G131" s="3"/>
      <c r="H131" s="2"/>
      <c r="I131" s="4"/>
      <c r="J131" s="4"/>
    </row>
    <row r="132" spans="1:10" s="1" customFormat="1" ht="54">
      <c r="A132" s="2">
        <f t="shared" si="0"/>
        <v>127</v>
      </c>
      <c r="B132" s="5"/>
      <c r="C132" s="16"/>
      <c r="D132" s="5" t="s">
        <v>275</v>
      </c>
      <c r="E132" s="4"/>
      <c r="F132" s="3"/>
      <c r="G132" s="3"/>
      <c r="H132" s="2"/>
      <c r="I132" s="4"/>
      <c r="J132" s="4"/>
    </row>
    <row r="133" spans="1:10" s="1" customFormat="1" ht="36">
      <c r="A133" s="2">
        <f t="shared" si="0"/>
        <v>128</v>
      </c>
      <c r="B133" s="5"/>
      <c r="C133" s="16" t="s">
        <v>276</v>
      </c>
      <c r="D133" s="5" t="s">
        <v>231</v>
      </c>
      <c r="E133" s="4"/>
      <c r="F133" s="3"/>
      <c r="G133" s="3"/>
      <c r="H133" s="2"/>
      <c r="I133" s="4"/>
      <c r="J133" s="4"/>
    </row>
    <row r="134" spans="1:10" s="1" customFormat="1">
      <c r="A134" s="2">
        <f t="shared" si="0"/>
        <v>129</v>
      </c>
      <c r="B134" s="5"/>
      <c r="C134" s="5" t="s">
        <v>254</v>
      </c>
      <c r="D134" s="5"/>
      <c r="E134" s="4"/>
      <c r="F134" s="3"/>
      <c r="G134" s="3"/>
      <c r="H134" s="2"/>
      <c r="I134" s="4"/>
      <c r="J134" s="4"/>
    </row>
    <row r="135" spans="1:10" s="1" customFormat="1">
      <c r="A135" s="2">
        <f t="shared" si="0"/>
        <v>130</v>
      </c>
      <c r="B135" s="5"/>
      <c r="C135" s="16" t="s">
        <v>277</v>
      </c>
      <c r="D135" s="5" t="s">
        <v>278</v>
      </c>
      <c r="E135" s="4"/>
      <c r="F135" s="3"/>
      <c r="G135" s="3"/>
      <c r="H135" s="2"/>
      <c r="I135" s="4"/>
      <c r="J135" s="4"/>
    </row>
    <row r="136" spans="1:10" s="1" customFormat="1" ht="36">
      <c r="A136" s="2">
        <f t="shared" si="0"/>
        <v>131</v>
      </c>
      <c r="B136" s="5"/>
      <c r="C136" s="16"/>
      <c r="D136" s="5" t="s">
        <v>279</v>
      </c>
      <c r="E136" s="4"/>
      <c r="F136" s="3"/>
      <c r="G136" s="3"/>
      <c r="H136" s="2"/>
      <c r="I136" s="4"/>
      <c r="J136" s="4"/>
    </row>
    <row r="137" spans="1:10" s="1" customFormat="1" ht="72">
      <c r="A137" s="2">
        <f t="shared" si="0"/>
        <v>132</v>
      </c>
      <c r="B137" s="5" t="s">
        <v>252</v>
      </c>
      <c r="C137" s="5" t="s">
        <v>255</v>
      </c>
      <c r="D137" s="5" t="s">
        <v>272</v>
      </c>
      <c r="E137" s="4"/>
      <c r="F137" s="3"/>
      <c r="G137" s="3"/>
      <c r="H137" s="2"/>
      <c r="I137" s="4"/>
      <c r="J137" s="4"/>
    </row>
    <row r="138" spans="1:10" s="1" customFormat="1" ht="54">
      <c r="A138" s="2">
        <f t="shared" si="0"/>
        <v>133</v>
      </c>
      <c r="B138" s="5"/>
      <c r="C138" s="5"/>
      <c r="D138" s="5" t="s">
        <v>280</v>
      </c>
      <c r="E138" s="4"/>
      <c r="F138" s="3"/>
      <c r="G138" s="3"/>
      <c r="H138" s="2"/>
      <c r="I138" s="4"/>
      <c r="J138" s="4"/>
    </row>
    <row r="139" spans="1:10" s="1" customFormat="1" ht="90">
      <c r="A139" s="2">
        <f t="shared" si="0"/>
        <v>134</v>
      </c>
      <c r="B139" s="5"/>
      <c r="C139" s="16"/>
      <c r="D139" s="5" t="s">
        <v>281</v>
      </c>
      <c r="E139" s="4"/>
      <c r="F139" s="3"/>
      <c r="G139" s="3"/>
      <c r="H139" s="2"/>
      <c r="I139" s="4"/>
      <c r="J139" s="4"/>
    </row>
    <row r="140" spans="1:10" s="1" customFormat="1" ht="54">
      <c r="A140" s="2">
        <f t="shared" si="0"/>
        <v>135</v>
      </c>
      <c r="B140" s="5"/>
      <c r="C140" s="16"/>
      <c r="D140" s="5" t="s">
        <v>282</v>
      </c>
      <c r="E140" s="4"/>
      <c r="F140" s="3"/>
      <c r="G140" s="3"/>
      <c r="H140" s="2"/>
      <c r="I140" s="4"/>
      <c r="J140" s="4"/>
    </row>
    <row r="141" spans="1:10" s="1" customFormat="1" ht="36">
      <c r="A141" s="2">
        <f t="shared" si="0"/>
        <v>136</v>
      </c>
      <c r="B141" s="5"/>
      <c r="C141" s="16" t="s">
        <v>276</v>
      </c>
      <c r="D141" s="5" t="s">
        <v>231</v>
      </c>
      <c r="E141" s="4"/>
      <c r="F141" s="3"/>
      <c r="G141" s="3"/>
      <c r="H141" s="2"/>
      <c r="I141" s="4"/>
      <c r="J141" s="4"/>
    </row>
    <row r="142" spans="1:10" s="1" customFormat="1">
      <c r="A142" s="2">
        <f t="shared" si="0"/>
        <v>137</v>
      </c>
      <c r="B142" s="5"/>
      <c r="C142" s="5" t="s">
        <v>254</v>
      </c>
      <c r="D142" s="5"/>
      <c r="E142" s="4"/>
      <c r="F142" s="3"/>
      <c r="G142" s="3"/>
      <c r="H142" s="2"/>
      <c r="I142" s="4"/>
      <c r="J142" s="4"/>
    </row>
    <row r="143" spans="1:10" s="1" customFormat="1">
      <c r="A143" s="2">
        <f t="shared" si="0"/>
        <v>138</v>
      </c>
      <c r="B143" s="5"/>
      <c r="C143" s="16" t="s">
        <v>277</v>
      </c>
      <c r="D143" s="5" t="s">
        <v>278</v>
      </c>
      <c r="E143" s="4"/>
      <c r="F143" s="3"/>
      <c r="G143" s="3"/>
      <c r="H143" s="2"/>
      <c r="I143" s="4"/>
      <c r="J143" s="4"/>
    </row>
    <row r="144" spans="1:10" s="1" customFormat="1" ht="36">
      <c r="A144" s="2">
        <f t="shared" si="0"/>
        <v>139</v>
      </c>
      <c r="B144" s="5"/>
      <c r="C144" s="16"/>
      <c r="D144" s="5" t="s">
        <v>283</v>
      </c>
      <c r="E144" s="4"/>
      <c r="F144" s="3"/>
      <c r="G144" s="3"/>
      <c r="H144" s="2"/>
      <c r="I144" s="4"/>
      <c r="J144" s="4"/>
    </row>
    <row r="145" spans="1:10" s="1" customFormat="1" ht="54">
      <c r="A145" s="2">
        <f t="shared" si="0"/>
        <v>140</v>
      </c>
      <c r="B145" s="5" t="s">
        <v>289</v>
      </c>
      <c r="C145" s="5" t="s">
        <v>189</v>
      </c>
      <c r="D145" s="19" t="s">
        <v>305</v>
      </c>
      <c r="E145" s="4"/>
      <c r="F145" s="3"/>
      <c r="G145" s="3"/>
      <c r="H145" s="2"/>
      <c r="I145" s="4"/>
      <c r="J145" s="4"/>
    </row>
    <row r="146" spans="1:10" s="1" customFormat="1">
      <c r="A146" s="2">
        <f t="shared" si="0"/>
        <v>141</v>
      </c>
      <c r="B146" s="5"/>
      <c r="C146" s="5"/>
      <c r="D146" s="5" t="s">
        <v>190</v>
      </c>
      <c r="E146" s="4"/>
      <c r="F146" s="3"/>
      <c r="G146" s="3"/>
      <c r="H146" s="2"/>
      <c r="I146" s="4"/>
      <c r="J146" s="4"/>
    </row>
    <row r="147" spans="1:10" s="1" customFormat="1" ht="36">
      <c r="A147" s="2">
        <f t="shared" si="0"/>
        <v>142</v>
      </c>
      <c r="B147" s="5"/>
      <c r="C147" s="13"/>
      <c r="D147" s="5" t="s">
        <v>191</v>
      </c>
      <c r="E147" s="4"/>
      <c r="F147" s="3"/>
      <c r="G147" s="3"/>
      <c r="H147" s="2"/>
      <c r="I147" s="4"/>
      <c r="J147" s="4"/>
    </row>
    <row r="148" spans="1:10" s="1" customFormat="1" ht="36">
      <c r="A148" s="2">
        <f t="shared" si="0"/>
        <v>143</v>
      </c>
      <c r="B148" s="5"/>
      <c r="C148" s="5"/>
      <c r="D148" s="5" t="s">
        <v>192</v>
      </c>
      <c r="E148" s="4"/>
      <c r="F148" s="3"/>
      <c r="G148" s="3"/>
      <c r="H148" s="2"/>
      <c r="I148" s="4"/>
      <c r="J148" s="4"/>
    </row>
    <row r="149" spans="1:10" s="1" customFormat="1" ht="72">
      <c r="A149" s="2">
        <f t="shared" si="0"/>
        <v>144</v>
      </c>
      <c r="B149" s="5"/>
      <c r="C149" s="5"/>
      <c r="D149" s="5" t="s">
        <v>206</v>
      </c>
      <c r="E149" s="4"/>
      <c r="F149" s="3"/>
      <c r="G149" s="3"/>
      <c r="H149" s="2"/>
      <c r="I149" s="4"/>
      <c r="J149" s="4"/>
    </row>
    <row r="150" spans="1:10" s="1" customFormat="1" ht="54">
      <c r="A150" s="2">
        <f t="shared" si="0"/>
        <v>145</v>
      </c>
      <c r="B150" s="5"/>
      <c r="C150" s="13"/>
      <c r="D150" s="5" t="s">
        <v>210</v>
      </c>
      <c r="E150" s="4"/>
      <c r="F150" s="3"/>
      <c r="G150" s="3"/>
      <c r="H150" s="2"/>
      <c r="I150" s="4"/>
      <c r="J150" s="4"/>
    </row>
    <row r="151" spans="1:10" s="1" customFormat="1" ht="54">
      <c r="A151" s="2">
        <f t="shared" si="0"/>
        <v>146</v>
      </c>
      <c r="B151" s="5"/>
      <c r="C151" s="13"/>
      <c r="D151" s="5" t="s">
        <v>211</v>
      </c>
      <c r="E151" s="4"/>
      <c r="F151" s="3"/>
      <c r="G151" s="3"/>
      <c r="H151" s="2"/>
      <c r="I151" s="4"/>
      <c r="J151" s="4"/>
    </row>
    <row r="152" spans="1:10" s="1" customFormat="1" ht="54">
      <c r="A152" s="2">
        <f t="shared" si="0"/>
        <v>147</v>
      </c>
      <c r="B152" s="5"/>
      <c r="C152" s="13"/>
      <c r="D152" s="5" t="s">
        <v>212</v>
      </c>
      <c r="E152" s="4"/>
      <c r="F152" s="3"/>
      <c r="G152" s="3"/>
      <c r="H152" s="2"/>
      <c r="I152" s="4"/>
      <c r="J152" s="4"/>
    </row>
    <row r="153" spans="1:10" s="1" customFormat="1" ht="54">
      <c r="A153" s="2">
        <f t="shared" si="0"/>
        <v>148</v>
      </c>
      <c r="B153" s="5"/>
      <c r="C153" s="13"/>
      <c r="D153" s="5" t="s">
        <v>213</v>
      </c>
      <c r="E153" s="4"/>
      <c r="F153" s="3"/>
      <c r="G153" s="3"/>
      <c r="H153" s="2"/>
      <c r="I153" s="4"/>
      <c r="J153" s="4"/>
    </row>
    <row r="154" spans="1:10" s="1" customFormat="1" ht="54">
      <c r="A154" s="2">
        <f t="shared" si="0"/>
        <v>149</v>
      </c>
      <c r="B154" s="5"/>
      <c r="C154" s="13"/>
      <c r="D154" s="5" t="s">
        <v>256</v>
      </c>
      <c r="E154" s="4"/>
      <c r="F154" s="3"/>
      <c r="G154" s="3"/>
      <c r="H154" s="2"/>
      <c r="I154" s="4"/>
      <c r="J154" s="4"/>
    </row>
    <row r="155" spans="1:10" s="1" customFormat="1" ht="54">
      <c r="A155" s="2">
        <f t="shared" si="0"/>
        <v>150</v>
      </c>
      <c r="B155" s="5"/>
      <c r="C155" s="13"/>
      <c r="D155" s="5" t="s">
        <v>257</v>
      </c>
      <c r="E155" s="4"/>
      <c r="F155" s="3"/>
      <c r="G155" s="3"/>
      <c r="H155" s="2"/>
      <c r="I155" s="4"/>
      <c r="J155" s="4"/>
    </row>
    <row r="156" spans="1:10" s="1" customFormat="1" ht="54">
      <c r="A156" s="2">
        <f t="shared" si="0"/>
        <v>151</v>
      </c>
      <c r="B156" s="5"/>
      <c r="C156" s="13"/>
      <c r="D156" s="5" t="s">
        <v>258</v>
      </c>
      <c r="E156" s="4"/>
      <c r="F156" s="3"/>
      <c r="G156" s="3"/>
      <c r="H156" s="2"/>
      <c r="I156" s="4"/>
      <c r="J156" s="4"/>
    </row>
    <row r="157" spans="1:10" s="1" customFormat="1" ht="54">
      <c r="A157" s="2">
        <f t="shared" si="0"/>
        <v>152</v>
      </c>
      <c r="B157" s="5"/>
      <c r="C157" s="13"/>
      <c r="D157" s="5" t="s">
        <v>259</v>
      </c>
      <c r="E157" s="4"/>
      <c r="F157" s="3"/>
      <c r="G157" s="3"/>
      <c r="H157" s="2"/>
      <c r="I157" s="4"/>
      <c r="J157" s="4"/>
    </row>
    <row r="158" spans="1:10" s="1" customFormat="1" ht="36">
      <c r="A158" s="2">
        <f t="shared" si="0"/>
        <v>153</v>
      </c>
      <c r="B158" s="5"/>
      <c r="C158" s="5"/>
      <c r="D158" s="5" t="s">
        <v>214</v>
      </c>
      <c r="E158" s="4"/>
      <c r="F158" s="3"/>
      <c r="G158" s="3"/>
      <c r="H158" s="2"/>
      <c r="I158" s="4"/>
      <c r="J158" s="4"/>
    </row>
    <row r="159" spans="1:10" s="1" customFormat="1" ht="36">
      <c r="A159" s="2">
        <f t="shared" si="0"/>
        <v>154</v>
      </c>
      <c r="B159" s="5"/>
      <c r="C159" s="5"/>
      <c r="D159" s="5" t="s">
        <v>215</v>
      </c>
      <c r="E159" s="4"/>
      <c r="F159" s="3"/>
      <c r="G159" s="3"/>
      <c r="H159" s="2"/>
      <c r="I159" s="4"/>
      <c r="J159" s="4"/>
    </row>
    <row r="160" spans="1:10" s="1" customFormat="1" ht="54">
      <c r="A160" s="2">
        <f t="shared" si="0"/>
        <v>155</v>
      </c>
      <c r="B160" s="5" t="s">
        <v>290</v>
      </c>
      <c r="C160" s="5" t="s">
        <v>293</v>
      </c>
      <c r="D160" s="18"/>
      <c r="E160" s="4"/>
      <c r="F160" s="3"/>
      <c r="G160" s="3"/>
      <c r="H160" s="2"/>
      <c r="I160" s="4"/>
      <c r="J160" s="4"/>
    </row>
    <row r="161" spans="1:10" s="1" customFormat="1" ht="36">
      <c r="A161" s="2">
        <f t="shared" si="0"/>
        <v>156</v>
      </c>
      <c r="B161" s="5"/>
      <c r="C161" s="5" t="s">
        <v>294</v>
      </c>
      <c r="D161" s="19" t="s">
        <v>306</v>
      </c>
      <c r="E161" s="4"/>
      <c r="F161" s="3"/>
      <c r="G161" s="3"/>
      <c r="H161" s="2"/>
      <c r="I161" s="4"/>
      <c r="J161" s="4"/>
    </row>
    <row r="162" spans="1:10" s="1" customFormat="1" ht="36">
      <c r="A162" s="2">
        <f t="shared" si="0"/>
        <v>157</v>
      </c>
      <c r="B162" s="5"/>
      <c r="C162" s="5"/>
      <c r="D162" s="19" t="s">
        <v>307</v>
      </c>
      <c r="E162" s="4"/>
      <c r="F162" s="3"/>
      <c r="G162" s="3"/>
      <c r="H162" s="2"/>
      <c r="I162" s="4"/>
      <c r="J162" s="4"/>
    </row>
    <row r="163" spans="1:10" s="1" customFormat="1" ht="36">
      <c r="A163" s="2">
        <f t="shared" si="0"/>
        <v>158</v>
      </c>
      <c r="B163" s="5" t="s">
        <v>291</v>
      </c>
      <c r="C163" s="5" t="s">
        <v>295</v>
      </c>
      <c r="D163" s="18"/>
      <c r="E163" s="4"/>
      <c r="F163" s="3"/>
      <c r="G163" s="3"/>
      <c r="H163" s="2"/>
      <c r="I163" s="4"/>
      <c r="J163" s="4"/>
    </row>
    <row r="164" spans="1:10" s="1" customFormat="1">
      <c r="A164" s="2">
        <f t="shared" si="0"/>
        <v>159</v>
      </c>
      <c r="B164" s="5"/>
      <c r="C164" s="5" t="s">
        <v>296</v>
      </c>
      <c r="D164" s="18"/>
      <c r="E164" s="4"/>
      <c r="F164" s="3"/>
      <c r="G164" s="3"/>
      <c r="H164" s="2"/>
      <c r="I164" s="4"/>
      <c r="J164" s="4"/>
    </row>
    <row r="165" spans="1:10" s="1" customFormat="1" ht="36">
      <c r="A165" s="2">
        <f t="shared" si="0"/>
        <v>160</v>
      </c>
      <c r="B165" s="5"/>
      <c r="C165" s="5" t="s">
        <v>297</v>
      </c>
      <c r="D165" s="18"/>
      <c r="E165" s="4"/>
      <c r="F165" s="3"/>
      <c r="G165" s="3"/>
      <c r="H165" s="2"/>
      <c r="I165" s="4"/>
      <c r="J165" s="4"/>
    </row>
    <row r="166" spans="1:10" s="1" customFormat="1">
      <c r="A166" s="2">
        <f t="shared" si="0"/>
        <v>161</v>
      </c>
      <c r="B166" s="5"/>
      <c r="C166" s="5" t="s">
        <v>298</v>
      </c>
      <c r="D166" s="19" t="s">
        <v>308</v>
      </c>
      <c r="E166" s="4"/>
      <c r="F166" s="3"/>
      <c r="G166" s="3"/>
      <c r="H166" s="2"/>
      <c r="I166" s="4"/>
      <c r="J166" s="4"/>
    </row>
    <row r="167" spans="1:10" s="1" customFormat="1" ht="36">
      <c r="A167" s="2">
        <f t="shared" si="0"/>
        <v>162</v>
      </c>
      <c r="B167" s="5"/>
      <c r="C167" s="5"/>
      <c r="D167" s="19" t="s">
        <v>307</v>
      </c>
      <c r="E167" s="4"/>
      <c r="F167" s="3"/>
      <c r="G167" s="3"/>
      <c r="H167" s="2"/>
      <c r="I167" s="4"/>
      <c r="J167" s="4"/>
    </row>
    <row r="168" spans="1:10" s="1" customFormat="1">
      <c r="A168" s="2">
        <f t="shared" si="0"/>
        <v>163</v>
      </c>
      <c r="B168" s="5" t="s">
        <v>195</v>
      </c>
      <c r="C168" s="16" t="s">
        <v>196</v>
      </c>
      <c r="D168" s="5" t="s">
        <v>197</v>
      </c>
      <c r="E168" s="4"/>
      <c r="F168" s="3"/>
      <c r="G168" s="3"/>
      <c r="H168" s="2"/>
      <c r="I168" s="4"/>
      <c r="J168" s="4"/>
    </row>
    <row r="169" spans="1:10" s="1" customFormat="1">
      <c r="A169" s="2">
        <f t="shared" si="0"/>
        <v>164</v>
      </c>
      <c r="B169" s="5"/>
      <c r="C169" s="5" t="s">
        <v>198</v>
      </c>
      <c r="D169" s="5" t="s">
        <v>199</v>
      </c>
      <c r="E169" s="4"/>
      <c r="F169" s="3"/>
      <c r="G169" s="3"/>
      <c r="H169" s="2"/>
      <c r="I169" s="4"/>
      <c r="J169" s="4"/>
    </row>
    <row r="170" spans="1:10" s="1" customFormat="1" ht="36">
      <c r="A170" s="2">
        <f t="shared" si="0"/>
        <v>165</v>
      </c>
      <c r="B170" s="5"/>
      <c r="C170" s="13"/>
      <c r="D170" s="5" t="s">
        <v>200</v>
      </c>
      <c r="E170" s="4"/>
      <c r="F170" s="3"/>
      <c r="G170" s="3"/>
      <c r="H170" s="2"/>
      <c r="I170" s="4"/>
      <c r="J170" s="4"/>
    </row>
    <row r="171" spans="1:10" s="1" customFormat="1" ht="36">
      <c r="A171" s="2">
        <f t="shared" si="0"/>
        <v>166</v>
      </c>
      <c r="B171" s="5"/>
      <c r="C171" s="5"/>
      <c r="D171" s="5" t="s">
        <v>201</v>
      </c>
      <c r="E171" s="4"/>
      <c r="F171" s="3"/>
      <c r="G171" s="3"/>
      <c r="H171" s="2"/>
      <c r="I171" s="4"/>
      <c r="J171" s="4"/>
    </row>
    <row r="172" spans="1:10" s="1" customFormat="1" ht="72">
      <c r="A172" s="2">
        <f t="shared" si="0"/>
        <v>167</v>
      </c>
      <c r="B172" s="5"/>
      <c r="C172" s="5"/>
      <c r="D172" s="5" t="s">
        <v>206</v>
      </c>
      <c r="E172" s="4"/>
      <c r="F172" s="3"/>
      <c r="G172" s="3"/>
      <c r="H172" s="2"/>
      <c r="I172" s="4"/>
      <c r="J172" s="4"/>
    </row>
    <row r="173" spans="1:10" s="1" customFormat="1" ht="36">
      <c r="A173" s="2">
        <f t="shared" si="0"/>
        <v>168</v>
      </c>
      <c r="B173" s="5"/>
      <c r="C173" s="13"/>
      <c r="D173" s="5" t="s">
        <v>193</v>
      </c>
      <c r="E173" s="4"/>
      <c r="F173" s="3"/>
      <c r="G173" s="3"/>
      <c r="H173" s="2"/>
      <c r="I173" s="4"/>
      <c r="J173" s="4"/>
    </row>
    <row r="174" spans="1:10" s="1" customFormat="1" ht="36">
      <c r="A174" s="2">
        <f t="shared" si="0"/>
        <v>169</v>
      </c>
      <c r="B174" s="5"/>
      <c r="C174" s="5"/>
      <c r="D174" s="5" t="s">
        <v>194</v>
      </c>
      <c r="E174" s="4"/>
      <c r="F174" s="3"/>
      <c r="G174" s="3"/>
      <c r="H174" s="2"/>
      <c r="I174" s="4"/>
      <c r="J174" s="4"/>
    </row>
    <row r="175" spans="1:10" s="1" customFormat="1" ht="36">
      <c r="A175" s="2">
        <f t="shared" si="0"/>
        <v>170</v>
      </c>
      <c r="B175" s="5"/>
      <c r="C175" s="5"/>
      <c r="D175" s="19" t="s">
        <v>309</v>
      </c>
      <c r="E175" s="4"/>
      <c r="F175" s="3"/>
      <c r="G175" s="3"/>
      <c r="H175" s="2"/>
      <c r="I175" s="4"/>
      <c r="J175" s="4"/>
    </row>
    <row r="176" spans="1:10" s="1" customFormat="1">
      <c r="A176" s="2">
        <f t="shared" si="0"/>
        <v>171</v>
      </c>
      <c r="B176" s="5"/>
      <c r="C176" s="16" t="s">
        <v>196</v>
      </c>
      <c r="D176" s="5"/>
      <c r="E176" s="4"/>
      <c r="F176" s="3"/>
      <c r="G176" s="3"/>
      <c r="H176" s="2"/>
      <c r="I176" s="4"/>
      <c r="J176" s="4"/>
    </row>
    <row r="177" spans="1:10" s="1" customFormat="1">
      <c r="A177" s="2">
        <f t="shared" si="0"/>
        <v>172</v>
      </c>
      <c r="B177" s="5"/>
      <c r="C177" s="5" t="s">
        <v>202</v>
      </c>
      <c r="D177" s="5" t="s">
        <v>203</v>
      </c>
      <c r="E177" s="4"/>
      <c r="F177" s="3"/>
      <c r="G177" s="3"/>
      <c r="H177" s="2"/>
      <c r="I177" s="4"/>
      <c r="J177" s="4"/>
    </row>
    <row r="178" spans="1:10" s="1" customFormat="1">
      <c r="A178" s="2">
        <f t="shared" si="0"/>
        <v>173</v>
      </c>
      <c r="B178" s="5"/>
      <c r="C178" s="13"/>
      <c r="D178" s="5" t="s">
        <v>204</v>
      </c>
      <c r="E178" s="4"/>
      <c r="F178" s="3"/>
      <c r="G178" s="3"/>
      <c r="H178" s="2"/>
      <c r="I178" s="4"/>
      <c r="J178" s="4"/>
    </row>
    <row r="179" spans="1:10" s="1" customFormat="1" ht="36">
      <c r="A179" s="2">
        <f t="shared" si="0"/>
        <v>174</v>
      </c>
      <c r="B179" s="5"/>
      <c r="C179" s="5"/>
      <c r="D179" s="5" t="s">
        <v>205</v>
      </c>
      <c r="E179" s="4"/>
      <c r="F179" s="3"/>
      <c r="G179" s="3"/>
      <c r="H179" s="2"/>
      <c r="I179" s="4"/>
      <c r="J179" s="4"/>
    </row>
    <row r="180" spans="1:10" s="1" customFormat="1" ht="72">
      <c r="A180" s="2">
        <f t="shared" si="0"/>
        <v>175</v>
      </c>
      <c r="B180" s="5"/>
      <c r="C180" s="5"/>
      <c r="D180" s="5" t="s">
        <v>207</v>
      </c>
      <c r="E180" s="4"/>
      <c r="F180" s="3"/>
      <c r="G180" s="3"/>
      <c r="H180" s="2"/>
      <c r="I180" s="4"/>
      <c r="J180" s="4"/>
    </row>
    <row r="181" spans="1:10" s="1" customFormat="1">
      <c r="A181" s="2">
        <f t="shared" si="0"/>
        <v>176</v>
      </c>
      <c r="B181" s="5"/>
      <c r="C181" s="13"/>
      <c r="D181" s="5" t="s">
        <v>216</v>
      </c>
      <c r="E181" s="4"/>
      <c r="F181" s="3"/>
      <c r="G181" s="3"/>
      <c r="H181" s="2"/>
      <c r="I181" s="4"/>
      <c r="J181" s="4"/>
    </row>
    <row r="182" spans="1:10" s="1" customFormat="1" ht="36">
      <c r="A182" s="2">
        <f t="shared" si="0"/>
        <v>177</v>
      </c>
      <c r="B182" s="5"/>
      <c r="C182" s="5"/>
      <c r="D182" s="19" t="s">
        <v>310</v>
      </c>
      <c r="E182" s="4"/>
      <c r="F182" s="3"/>
      <c r="G182" s="3"/>
      <c r="H182" s="2"/>
      <c r="I182" s="4"/>
      <c r="J182" s="4"/>
    </row>
    <row r="183" spans="1:10" s="1" customFormat="1" ht="36">
      <c r="A183" s="2">
        <f t="shared" si="0"/>
        <v>178</v>
      </c>
      <c r="B183" s="5" t="s">
        <v>299</v>
      </c>
      <c r="C183" s="16" t="s">
        <v>300</v>
      </c>
      <c r="D183" s="19" t="s">
        <v>310</v>
      </c>
      <c r="E183" s="4"/>
      <c r="F183" s="3"/>
      <c r="G183" s="3"/>
      <c r="H183" s="2"/>
      <c r="I183" s="4"/>
      <c r="J183" s="4"/>
    </row>
    <row r="184" spans="1:10" s="1" customFormat="1" ht="36">
      <c r="A184" s="2">
        <f t="shared" si="0"/>
        <v>179</v>
      </c>
      <c r="B184" s="5"/>
      <c r="C184" s="5" t="s">
        <v>144</v>
      </c>
      <c r="D184" s="19" t="s">
        <v>310</v>
      </c>
      <c r="E184" s="4"/>
      <c r="F184" s="3"/>
      <c r="G184" s="3"/>
      <c r="H184" s="2"/>
      <c r="I184" s="4"/>
      <c r="J184" s="4"/>
    </row>
    <row r="185" spans="1:10" s="1" customFormat="1" ht="36">
      <c r="A185" s="2">
        <f t="shared" si="0"/>
        <v>180</v>
      </c>
      <c r="B185" s="5" t="s">
        <v>292</v>
      </c>
      <c r="C185" s="5" t="s">
        <v>217</v>
      </c>
      <c r="D185" s="5"/>
      <c r="E185" s="4"/>
      <c r="F185" s="3"/>
      <c r="G185" s="3"/>
      <c r="H185" s="2"/>
      <c r="I185" s="4"/>
      <c r="J185" s="4"/>
    </row>
    <row r="186" spans="1:10" s="1" customFormat="1">
      <c r="A186" s="2">
        <f t="shared" si="0"/>
        <v>181</v>
      </c>
      <c r="B186" s="5"/>
      <c r="C186" s="16" t="s">
        <v>218</v>
      </c>
      <c r="D186" s="5" t="s">
        <v>219</v>
      </c>
      <c r="E186" s="4"/>
      <c r="F186" s="3"/>
      <c r="G186" s="3"/>
      <c r="H186" s="2"/>
      <c r="I186" s="4"/>
      <c r="J186" s="4"/>
    </row>
    <row r="187" spans="1:10" s="1" customFormat="1">
      <c r="A187" s="2">
        <f t="shared" si="0"/>
        <v>182</v>
      </c>
      <c r="B187" s="5"/>
      <c r="C187" s="5" t="s">
        <v>198</v>
      </c>
      <c r="D187" s="5" t="s">
        <v>220</v>
      </c>
      <c r="E187" s="4"/>
      <c r="F187" s="3"/>
      <c r="G187" s="3"/>
      <c r="H187" s="2"/>
      <c r="I187" s="4"/>
      <c r="J187" s="4"/>
    </row>
    <row r="188" spans="1:10" s="1" customFormat="1">
      <c r="A188" s="2">
        <f t="shared" si="0"/>
        <v>183</v>
      </c>
      <c r="B188" s="5"/>
      <c r="C188" s="16" t="s">
        <v>218</v>
      </c>
      <c r="D188" s="5"/>
      <c r="E188" s="4"/>
      <c r="F188" s="3"/>
      <c r="G188" s="3"/>
      <c r="H188" s="2"/>
      <c r="I188" s="4"/>
      <c r="J188" s="4"/>
    </row>
    <row r="189" spans="1:10" s="1" customFormat="1" ht="54">
      <c r="A189" s="2">
        <f t="shared" si="0"/>
        <v>184</v>
      </c>
      <c r="B189" s="5"/>
      <c r="C189" s="5" t="s">
        <v>202</v>
      </c>
      <c r="D189" s="5" t="s">
        <v>383</v>
      </c>
      <c r="E189" s="4"/>
      <c r="F189" s="3"/>
      <c r="G189" s="3"/>
      <c r="H189" s="2"/>
      <c r="I189" s="4"/>
      <c r="J189" s="4"/>
    </row>
    <row r="190" spans="1:10" s="1" customFormat="1" ht="54">
      <c r="A190" s="2">
        <f t="shared" si="0"/>
        <v>185</v>
      </c>
      <c r="B190" s="5"/>
      <c r="C190" s="13"/>
      <c r="D190" s="5" t="s">
        <v>384</v>
      </c>
      <c r="E190" s="4"/>
      <c r="F190" s="3"/>
      <c r="G190" s="3"/>
      <c r="H190" s="2"/>
      <c r="I190" s="4"/>
      <c r="J190" s="4"/>
    </row>
    <row r="191" spans="1:10" s="1" customFormat="1" ht="54">
      <c r="A191" s="2">
        <f t="shared" si="0"/>
        <v>186</v>
      </c>
      <c r="B191" s="5"/>
      <c r="C191" s="5"/>
      <c r="D191" s="5" t="s">
        <v>385</v>
      </c>
      <c r="E191" s="4"/>
      <c r="F191" s="3"/>
      <c r="G191" s="3"/>
      <c r="H191" s="2"/>
      <c r="I191" s="4"/>
      <c r="J191" s="4"/>
    </row>
    <row r="192" spans="1:10" s="1" customFormat="1" ht="54">
      <c r="A192" s="2">
        <f t="shared" si="0"/>
        <v>187</v>
      </c>
      <c r="B192" s="5"/>
      <c r="C192" s="13"/>
      <c r="D192" s="5" t="s">
        <v>386</v>
      </c>
      <c r="E192" s="4"/>
      <c r="F192" s="3"/>
      <c r="G192" s="3"/>
      <c r="H192" s="2"/>
      <c r="I192" s="4"/>
      <c r="J192" s="4"/>
    </row>
    <row r="193" spans="1:10" s="1" customFormat="1" ht="54">
      <c r="A193" s="2">
        <f t="shared" si="0"/>
        <v>188</v>
      </c>
      <c r="B193" s="5"/>
      <c r="C193" s="5"/>
      <c r="D193" s="5" t="s">
        <v>387</v>
      </c>
      <c r="E193" s="4"/>
      <c r="F193" s="3"/>
      <c r="G193" s="3"/>
      <c r="H193" s="2"/>
      <c r="I193" s="4"/>
      <c r="J193" s="4"/>
    </row>
    <row r="194" spans="1:10" s="1" customFormat="1" ht="54">
      <c r="A194" s="2">
        <f t="shared" si="0"/>
        <v>189</v>
      </c>
      <c r="B194" s="5"/>
      <c r="C194" s="13"/>
      <c r="D194" s="5" t="s">
        <v>388</v>
      </c>
      <c r="E194" s="4"/>
      <c r="F194" s="3"/>
      <c r="G194" s="3"/>
      <c r="H194" s="2"/>
      <c r="I194" s="4"/>
      <c r="J194" s="4"/>
    </row>
    <row r="195" spans="1:10" s="1" customFormat="1" ht="54">
      <c r="A195" s="2">
        <f t="shared" si="0"/>
        <v>190</v>
      </c>
      <c r="B195" s="5"/>
      <c r="C195" s="5"/>
      <c r="D195" s="5" t="s">
        <v>389</v>
      </c>
      <c r="E195" s="4"/>
      <c r="F195" s="3"/>
      <c r="G195" s="3"/>
      <c r="H195" s="2"/>
      <c r="I195" s="4"/>
      <c r="J195" s="4"/>
    </row>
    <row r="196" spans="1:10" s="1" customFormat="1">
      <c r="A196" s="2">
        <f t="shared" si="0"/>
        <v>191</v>
      </c>
      <c r="B196" s="5"/>
      <c r="C196" s="13"/>
      <c r="D196" s="5" t="s">
        <v>203</v>
      </c>
      <c r="E196" s="4"/>
      <c r="F196" s="3"/>
      <c r="G196" s="3"/>
      <c r="H196" s="2"/>
      <c r="I196" s="4"/>
      <c r="J196" s="4"/>
    </row>
    <row r="197" spans="1:10" s="1" customFormat="1">
      <c r="A197" s="2">
        <f t="shared" si="0"/>
        <v>192</v>
      </c>
      <c r="B197" s="5"/>
      <c r="C197" s="13"/>
      <c r="D197" s="5" t="s">
        <v>204</v>
      </c>
      <c r="E197" s="4"/>
      <c r="F197" s="3"/>
      <c r="G197" s="3"/>
      <c r="H197" s="2"/>
      <c r="I197" s="4"/>
      <c r="J197" s="4"/>
    </row>
    <row r="198" spans="1:10" s="1" customFormat="1" ht="36">
      <c r="A198" s="2">
        <f t="shared" si="0"/>
        <v>193</v>
      </c>
      <c r="B198" s="5"/>
      <c r="C198" s="5"/>
      <c r="D198" s="5" t="s">
        <v>205</v>
      </c>
      <c r="E198" s="4"/>
      <c r="F198" s="3"/>
      <c r="G198" s="3"/>
      <c r="H198" s="2"/>
      <c r="I198" s="4"/>
      <c r="J198" s="4"/>
    </row>
    <row r="199" spans="1:10" s="1" customFormat="1" ht="72">
      <c r="A199" s="2">
        <f t="shared" si="0"/>
        <v>194</v>
      </c>
      <c r="B199" s="5"/>
      <c r="C199" s="13"/>
      <c r="D199" s="5" t="s">
        <v>207</v>
      </c>
      <c r="E199" s="4"/>
      <c r="F199" s="3"/>
      <c r="G199" s="3"/>
      <c r="H199" s="2"/>
      <c r="I199" s="4"/>
      <c r="J199" s="4"/>
    </row>
    <row r="200" spans="1:10" s="1" customFormat="1">
      <c r="A200" s="2">
        <f t="shared" si="0"/>
        <v>195</v>
      </c>
      <c r="B200" s="5"/>
      <c r="C200" s="5"/>
      <c r="D200" s="5" t="s">
        <v>216</v>
      </c>
      <c r="E200" s="4"/>
      <c r="F200" s="3"/>
      <c r="G200" s="3"/>
      <c r="H200" s="2"/>
      <c r="I200" s="4"/>
      <c r="J200" s="4"/>
    </row>
    <row r="201" spans="1:10" s="1" customFormat="1" ht="36">
      <c r="A201" s="2">
        <f t="shared" si="0"/>
        <v>196</v>
      </c>
      <c r="B201" s="5"/>
      <c r="C201" s="13"/>
      <c r="D201" s="19" t="s">
        <v>310</v>
      </c>
      <c r="E201" s="4"/>
      <c r="F201" s="3"/>
      <c r="G201" s="3"/>
      <c r="H201" s="2"/>
      <c r="I201" s="4"/>
      <c r="J201" s="4"/>
    </row>
    <row r="202" spans="1:10" s="1" customFormat="1">
      <c r="A202" s="2">
        <f t="shared" si="0"/>
        <v>197</v>
      </c>
      <c r="B202" s="5"/>
      <c r="C202" s="5"/>
      <c r="D202" s="5"/>
      <c r="E202" s="4"/>
      <c r="F202" s="3"/>
      <c r="G202" s="3"/>
      <c r="H202" s="2"/>
      <c r="I202" s="4"/>
      <c r="J202" s="4"/>
    </row>
    <row r="203" spans="1:10" s="1" customFormat="1">
      <c r="A203" s="2">
        <f t="shared" si="0"/>
        <v>198</v>
      </c>
      <c r="B203" s="5"/>
      <c r="C203" s="13"/>
      <c r="D203" s="5"/>
      <c r="E203" s="4"/>
      <c r="F203" s="3"/>
      <c r="G203" s="3"/>
      <c r="H203" s="2"/>
      <c r="I203" s="4"/>
      <c r="J203" s="4"/>
    </row>
    <row r="204" spans="1:10" s="1" customFormat="1">
      <c r="A204" s="2">
        <f t="shared" si="0"/>
        <v>199</v>
      </c>
      <c r="B204" s="5"/>
      <c r="C204" s="5"/>
      <c r="D204" s="5"/>
      <c r="E204" s="4"/>
      <c r="F204" s="3"/>
      <c r="G204" s="3"/>
      <c r="H204" s="2"/>
      <c r="I204" s="4"/>
      <c r="J204" s="4"/>
    </row>
    <row r="205" spans="1:10" s="1" customFormat="1">
      <c r="A205" s="2">
        <f t="shared" si="0"/>
        <v>200</v>
      </c>
      <c r="B205" s="5"/>
      <c r="C205" s="5"/>
      <c r="D205" s="5"/>
      <c r="E205" s="4"/>
      <c r="F205" s="3"/>
      <c r="G205" s="3"/>
      <c r="H205" s="2"/>
      <c r="I205" s="4"/>
      <c r="J205" s="4"/>
    </row>
    <row r="206" spans="1:10" s="1" customFormat="1">
      <c r="A206" s="2">
        <f t="shared" si="0"/>
        <v>201</v>
      </c>
      <c r="B206" s="5"/>
      <c r="C206" s="13"/>
      <c r="D206" s="5"/>
      <c r="E206" s="4"/>
      <c r="F206" s="3"/>
      <c r="G206" s="3"/>
      <c r="H206" s="2"/>
      <c r="I206" s="4"/>
      <c r="J206" s="4"/>
    </row>
    <row r="207" spans="1:10" s="1" customFormat="1">
      <c r="A207" s="2">
        <f t="shared" si="0"/>
        <v>202</v>
      </c>
      <c r="B207" s="5"/>
      <c r="C207" s="5"/>
      <c r="D207" s="5"/>
      <c r="E207" s="4"/>
      <c r="F207" s="3"/>
      <c r="G207" s="3"/>
      <c r="H207" s="2"/>
      <c r="I207" s="4"/>
      <c r="J207" s="4"/>
    </row>
    <row r="209" spans="2:2">
      <c r="B209" t="s">
        <v>10</v>
      </c>
    </row>
  </sheetData>
  <mergeCells count="1">
    <mergeCell ref="H5:J5"/>
  </mergeCells>
  <phoneticPr fontId="1"/>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3506F-839E-4645-8731-23CE3D13973B}">
  <sheetPr codeName="Sheet9"/>
  <dimension ref="A1:J171"/>
  <sheetViews>
    <sheetView topLeftCell="A16" workbookViewId="0">
      <selection activeCell="D20" sqref="D2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1" t="s">
        <v>5</v>
      </c>
      <c r="C1" s="10" t="str">
        <f ca="1">RIGHT(CELL("filename",A2),LEN(CELL("filename",A2))-FIND("]",CELL("filename",A2)))</f>
        <v>見積原価削除</v>
      </c>
      <c r="D1" s="8"/>
    </row>
    <row r="2" spans="1:10">
      <c r="B2" s="11" t="s">
        <v>9</v>
      </c>
      <c r="C2" s="10">
        <f>COUNTA(D6:D169)</f>
        <v>7</v>
      </c>
    </row>
    <row r="3" spans="1:10">
      <c r="B3" s="11" t="s">
        <v>11</v>
      </c>
      <c r="C3" s="10">
        <f>COUNTA(G6:G169)</f>
        <v>0</v>
      </c>
    </row>
    <row r="4" spans="1:10">
      <c r="B4" s="9"/>
      <c r="C4" s="8"/>
    </row>
    <row r="5" spans="1:10" s="6" customFormat="1">
      <c r="A5" s="17" t="s">
        <v>4</v>
      </c>
      <c r="B5" s="17" t="s">
        <v>6</v>
      </c>
      <c r="C5" s="17" t="s">
        <v>7</v>
      </c>
      <c r="D5" s="17" t="s">
        <v>3</v>
      </c>
      <c r="E5" s="17" t="s">
        <v>2</v>
      </c>
      <c r="F5" s="17" t="s">
        <v>1</v>
      </c>
      <c r="G5" s="17" t="s">
        <v>0</v>
      </c>
      <c r="H5" s="20" t="s">
        <v>8</v>
      </c>
      <c r="I5" s="20"/>
      <c r="J5" s="20"/>
    </row>
    <row r="6" spans="1:10" s="1" customFormat="1" ht="36">
      <c r="A6" s="2">
        <f>ROW()-5</f>
        <v>1</v>
      </c>
      <c r="B6" s="5" t="s">
        <v>318</v>
      </c>
      <c r="C6" s="5" t="s">
        <v>13</v>
      </c>
      <c r="D6" s="5"/>
      <c r="E6" s="4"/>
      <c r="F6" s="3"/>
      <c r="G6" s="3"/>
      <c r="H6" s="2"/>
      <c r="I6" s="4"/>
      <c r="J6" s="4"/>
    </row>
    <row r="7" spans="1:10" s="1" customFormat="1">
      <c r="A7" s="2">
        <f t="shared" ref="A7:A169"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16</v>
      </c>
      <c r="D9" s="5"/>
      <c r="E9" s="4"/>
      <c r="F9" s="3"/>
      <c r="G9" s="3"/>
      <c r="H9" s="2"/>
      <c r="I9" s="4"/>
      <c r="J9" s="4"/>
    </row>
    <row r="10" spans="1:10" s="1" customFormat="1" ht="36">
      <c r="A10" s="2">
        <f t="shared" si="0"/>
        <v>5</v>
      </c>
      <c r="B10" s="5"/>
      <c r="C10" s="5" t="s">
        <v>133</v>
      </c>
      <c r="D10" s="5"/>
      <c r="E10" s="4"/>
      <c r="F10" s="3"/>
      <c r="G10" s="3"/>
      <c r="H10" s="2"/>
      <c r="I10" s="4"/>
      <c r="J10" s="4"/>
    </row>
    <row r="11" spans="1:10" s="1" customFormat="1">
      <c r="A11" s="2">
        <f t="shared" si="0"/>
        <v>6</v>
      </c>
      <c r="B11" s="5"/>
      <c r="C11" s="5" t="s">
        <v>134</v>
      </c>
      <c r="D11" s="5"/>
      <c r="E11" s="4"/>
      <c r="F11" s="3"/>
      <c r="G11" s="3"/>
      <c r="H11" s="2"/>
      <c r="I11" s="4"/>
      <c r="J11" s="4"/>
    </row>
    <row r="12" spans="1:10" s="1" customFormat="1">
      <c r="A12" s="2">
        <f t="shared" si="0"/>
        <v>7</v>
      </c>
      <c r="B12" s="5"/>
      <c r="C12" s="5" t="s">
        <v>21</v>
      </c>
      <c r="D12" s="5"/>
      <c r="E12" s="4"/>
      <c r="F12" s="3"/>
      <c r="G12" s="3"/>
      <c r="H12" s="2"/>
      <c r="I12" s="4"/>
      <c r="J12" s="4"/>
    </row>
    <row r="13" spans="1:10" s="1" customFormat="1" ht="36">
      <c r="A13" s="2">
        <f t="shared" si="0"/>
        <v>8</v>
      </c>
      <c r="B13" s="5"/>
      <c r="C13" s="5" t="s">
        <v>311</v>
      </c>
      <c r="D13" s="5" t="s">
        <v>312</v>
      </c>
      <c r="E13" s="4"/>
      <c r="F13" s="3"/>
      <c r="G13" s="3"/>
      <c r="H13" s="2"/>
      <c r="I13" s="4"/>
      <c r="J13" s="4"/>
    </row>
    <row r="14" spans="1:10" s="1" customFormat="1" ht="36">
      <c r="A14" s="2">
        <f t="shared" si="0"/>
        <v>9</v>
      </c>
      <c r="B14" s="5"/>
      <c r="C14" s="5"/>
      <c r="D14" s="5" t="s">
        <v>313</v>
      </c>
      <c r="E14" s="4"/>
      <c r="F14" s="3"/>
      <c r="G14" s="3"/>
      <c r="H14" s="2"/>
      <c r="I14" s="4"/>
      <c r="J14" s="4"/>
    </row>
    <row r="15" spans="1:10" s="1" customFormat="1" ht="36">
      <c r="A15" s="2">
        <f t="shared" si="0"/>
        <v>10</v>
      </c>
      <c r="B15" s="5"/>
      <c r="C15" s="5" t="s">
        <v>314</v>
      </c>
      <c r="D15" s="5" t="s">
        <v>315</v>
      </c>
      <c r="E15" s="4"/>
      <c r="F15" s="3"/>
      <c r="G15" s="3"/>
      <c r="H15" s="2"/>
      <c r="I15" s="4"/>
      <c r="J15" s="4"/>
    </row>
    <row r="16" spans="1:10" s="1" customFormat="1" ht="36">
      <c r="A16" s="2">
        <f t="shared" si="0"/>
        <v>11</v>
      </c>
      <c r="B16" s="5"/>
      <c r="C16" s="5" t="s">
        <v>316</v>
      </c>
      <c r="D16" s="5"/>
      <c r="E16" s="4"/>
      <c r="F16" s="3"/>
      <c r="G16" s="3"/>
      <c r="H16" s="2"/>
      <c r="I16" s="4"/>
      <c r="J16" s="4"/>
    </row>
    <row r="17" spans="1:10" s="1" customFormat="1" ht="126">
      <c r="A17" s="2">
        <f t="shared" si="0"/>
        <v>12</v>
      </c>
      <c r="B17" s="5"/>
      <c r="C17" s="5" t="s">
        <v>317</v>
      </c>
      <c r="D17" s="5" t="s">
        <v>319</v>
      </c>
      <c r="E17" s="4"/>
      <c r="F17" s="3"/>
      <c r="G17" s="3"/>
      <c r="H17" s="2"/>
      <c r="I17" s="4"/>
      <c r="J17" s="4"/>
    </row>
    <row r="18" spans="1:10" s="1" customFormat="1" ht="144">
      <c r="A18" s="2">
        <f t="shared" si="0"/>
        <v>13</v>
      </c>
      <c r="B18" s="5"/>
      <c r="C18" s="5"/>
      <c r="D18" s="5" t="s">
        <v>320</v>
      </c>
      <c r="E18" s="4"/>
      <c r="F18" s="3"/>
      <c r="G18" s="3"/>
      <c r="H18" s="2"/>
      <c r="I18" s="4"/>
      <c r="J18" s="4"/>
    </row>
    <row r="19" spans="1:10" s="1" customFormat="1" ht="144">
      <c r="A19" s="2">
        <f t="shared" si="0"/>
        <v>14</v>
      </c>
      <c r="B19" s="5"/>
      <c r="C19" s="5"/>
      <c r="D19" s="5" t="s">
        <v>321</v>
      </c>
      <c r="E19" s="4"/>
      <c r="F19" s="3"/>
      <c r="G19" s="3"/>
      <c r="H19" s="2"/>
      <c r="I19" s="4"/>
      <c r="J19" s="4"/>
    </row>
    <row r="20" spans="1:10" s="1" customFormat="1" ht="144">
      <c r="A20" s="2">
        <f t="shared" si="0"/>
        <v>15</v>
      </c>
      <c r="B20" s="5"/>
      <c r="C20" s="5"/>
      <c r="D20" s="5" t="s">
        <v>322</v>
      </c>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5"/>
      <c r="D22" s="5"/>
      <c r="E22" s="4"/>
      <c r="F22" s="3"/>
      <c r="G22" s="3"/>
      <c r="H22" s="2"/>
      <c r="I22" s="4"/>
      <c r="J22" s="4"/>
    </row>
    <row r="23" spans="1:10" s="1" customFormat="1">
      <c r="A23" s="2">
        <f t="shared" si="0"/>
        <v>18</v>
      </c>
      <c r="B23" s="5"/>
      <c r="C23" s="5"/>
      <c r="D23" s="5"/>
      <c r="E23" s="4"/>
      <c r="F23" s="3"/>
      <c r="G23" s="3"/>
      <c r="H23" s="2"/>
      <c r="I23" s="4"/>
      <c r="J23" s="4"/>
    </row>
    <row r="24" spans="1:10" s="1" customFormat="1">
      <c r="A24" s="2">
        <f t="shared" si="0"/>
        <v>19</v>
      </c>
      <c r="B24" s="5"/>
      <c r="C24" s="5"/>
      <c r="D24" s="5"/>
      <c r="E24" s="4"/>
      <c r="F24" s="3"/>
      <c r="G24" s="3"/>
      <c r="H24" s="2"/>
      <c r="I24" s="4"/>
      <c r="J24" s="4"/>
    </row>
    <row r="25" spans="1:10" s="1" customFormat="1">
      <c r="A25" s="2">
        <f t="shared" si="0"/>
        <v>20</v>
      </c>
      <c r="B25" s="5"/>
      <c r="C25" s="5"/>
      <c r="D25" s="5"/>
      <c r="E25" s="4"/>
      <c r="F25" s="3"/>
      <c r="G25" s="3"/>
      <c r="H25" s="2"/>
      <c r="I25" s="4"/>
      <c r="J25" s="4"/>
    </row>
    <row r="26" spans="1:10" s="1" customFormat="1">
      <c r="A26" s="2">
        <f t="shared" si="0"/>
        <v>21</v>
      </c>
      <c r="B26" s="5"/>
      <c r="C26" s="5"/>
      <c r="D26" s="5"/>
      <c r="E26" s="4"/>
      <c r="F26" s="3"/>
      <c r="G26" s="3"/>
      <c r="H26" s="2"/>
      <c r="I26" s="4"/>
      <c r="J26" s="4"/>
    </row>
    <row r="27" spans="1:10" s="1" customFormat="1">
      <c r="A27" s="2">
        <f t="shared" si="0"/>
        <v>22</v>
      </c>
      <c r="B27" s="5"/>
      <c r="C27" s="5"/>
      <c r="D27" s="5"/>
      <c r="E27" s="4"/>
      <c r="F27" s="3"/>
      <c r="G27" s="3"/>
      <c r="H27" s="2"/>
      <c r="I27" s="4"/>
      <c r="J27" s="4"/>
    </row>
    <row r="28" spans="1:10" s="1" customFormat="1">
      <c r="A28" s="2">
        <f t="shared" si="0"/>
        <v>23</v>
      </c>
      <c r="B28" s="5"/>
      <c r="C28" s="5"/>
      <c r="D28" s="5"/>
      <c r="E28" s="4"/>
      <c r="F28" s="3"/>
      <c r="G28" s="3"/>
      <c r="H28" s="2"/>
      <c r="I28" s="4"/>
      <c r="J28" s="4"/>
    </row>
    <row r="29" spans="1:10" s="1" customFormat="1">
      <c r="A29" s="2">
        <f t="shared" si="0"/>
        <v>24</v>
      </c>
      <c r="B29" s="5"/>
      <c r="C29" s="5"/>
      <c r="D29" s="5"/>
      <c r="E29" s="4"/>
      <c r="F29" s="3"/>
      <c r="G29" s="3"/>
      <c r="H29" s="2"/>
      <c r="I29" s="4"/>
      <c r="J29" s="4"/>
    </row>
    <row r="30" spans="1:10" s="1" customFormat="1">
      <c r="A30" s="2">
        <f t="shared" si="0"/>
        <v>25</v>
      </c>
      <c r="B30" s="5"/>
      <c r="C30" s="5"/>
      <c r="D30" s="5"/>
      <c r="E30" s="4"/>
      <c r="F30" s="3"/>
      <c r="G30" s="3"/>
      <c r="H30" s="2"/>
      <c r="I30" s="4"/>
      <c r="J30" s="4"/>
    </row>
    <row r="31" spans="1:10" s="1" customFormat="1">
      <c r="A31" s="2">
        <f t="shared" si="0"/>
        <v>26</v>
      </c>
      <c r="B31" s="5"/>
      <c r="C31" s="5"/>
      <c r="D31" s="5"/>
      <c r="E31" s="4"/>
      <c r="F31" s="3"/>
      <c r="G31" s="3"/>
      <c r="H31" s="2"/>
      <c r="I31" s="4"/>
      <c r="J31" s="4"/>
    </row>
    <row r="32" spans="1:10" s="1" customFormat="1">
      <c r="A32" s="2">
        <f t="shared" si="0"/>
        <v>27</v>
      </c>
      <c r="B32" s="5"/>
      <c r="C32" s="5"/>
      <c r="D32" s="5"/>
      <c r="E32" s="4"/>
      <c r="F32" s="3"/>
      <c r="G32" s="3"/>
      <c r="H32" s="2"/>
      <c r="I32" s="4"/>
      <c r="J32" s="4"/>
    </row>
    <row r="33" spans="1:10" s="1" customFormat="1">
      <c r="A33" s="2">
        <f t="shared" si="0"/>
        <v>28</v>
      </c>
      <c r="B33" s="5"/>
      <c r="C33" s="5"/>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5"/>
      <c r="D36" s="5"/>
      <c r="E36" s="4"/>
      <c r="F36" s="3"/>
      <c r="G36" s="3"/>
      <c r="H36" s="2"/>
      <c r="I36" s="4"/>
      <c r="J36" s="4"/>
    </row>
    <row r="37" spans="1:10" s="1" customFormat="1">
      <c r="A37" s="2">
        <f t="shared" si="0"/>
        <v>32</v>
      </c>
      <c r="B37" s="5"/>
      <c r="C37" s="5"/>
      <c r="D37" s="5"/>
      <c r="E37" s="4"/>
      <c r="F37" s="3"/>
      <c r="G37" s="3"/>
      <c r="H37" s="2"/>
      <c r="I37" s="4"/>
      <c r="J37" s="4"/>
    </row>
    <row r="38" spans="1:10" s="1" customFormat="1">
      <c r="A38" s="2">
        <f t="shared" si="0"/>
        <v>33</v>
      </c>
      <c r="B38" s="5"/>
      <c r="C38" s="5"/>
      <c r="D38" s="5"/>
      <c r="E38" s="4"/>
      <c r="F38" s="3"/>
      <c r="G38" s="3"/>
      <c r="H38" s="2"/>
      <c r="I38" s="4"/>
      <c r="J38" s="4"/>
    </row>
    <row r="39" spans="1:10" s="1" customFormat="1">
      <c r="A39" s="2">
        <f t="shared" si="0"/>
        <v>34</v>
      </c>
      <c r="B39" s="5"/>
      <c r="C39" s="5"/>
      <c r="D39" s="5"/>
      <c r="E39" s="4"/>
      <c r="F39" s="3"/>
      <c r="G39" s="3"/>
      <c r="H39" s="2"/>
      <c r="I39" s="4"/>
      <c r="J39" s="4"/>
    </row>
    <row r="40" spans="1:10" s="1" customFormat="1">
      <c r="A40" s="2">
        <f t="shared" si="0"/>
        <v>35</v>
      </c>
      <c r="B40" s="5"/>
      <c r="C40" s="16"/>
      <c r="D40" s="5"/>
      <c r="E40" s="4"/>
      <c r="F40" s="3"/>
      <c r="G40" s="3"/>
      <c r="H40" s="2"/>
      <c r="I40" s="4"/>
      <c r="J40" s="4"/>
    </row>
    <row r="41" spans="1:10" s="1" customFormat="1">
      <c r="A41" s="2">
        <f t="shared" si="0"/>
        <v>36</v>
      </c>
      <c r="B41" s="5"/>
      <c r="C41" s="16"/>
      <c r="D41" s="5"/>
      <c r="E41" s="4"/>
      <c r="F41" s="3"/>
      <c r="G41" s="3"/>
      <c r="H41" s="2"/>
      <c r="I41" s="4"/>
      <c r="J41" s="4"/>
    </row>
    <row r="42" spans="1:10" s="1" customFormat="1">
      <c r="A42" s="2">
        <f t="shared" si="0"/>
        <v>37</v>
      </c>
      <c r="B42" s="5"/>
      <c r="C42" s="16"/>
      <c r="D42" s="5"/>
      <c r="E42" s="4"/>
      <c r="F42" s="3"/>
      <c r="G42" s="3"/>
      <c r="H42" s="2"/>
      <c r="I42" s="4"/>
      <c r="J42" s="4"/>
    </row>
    <row r="43" spans="1:10" s="1" customFormat="1">
      <c r="A43" s="2">
        <f t="shared" si="0"/>
        <v>38</v>
      </c>
      <c r="B43" s="5"/>
      <c r="C43" s="16"/>
      <c r="D43" s="5"/>
      <c r="E43" s="4"/>
      <c r="F43" s="3"/>
      <c r="G43" s="3"/>
      <c r="H43" s="2"/>
      <c r="I43" s="4"/>
      <c r="J43" s="4"/>
    </row>
    <row r="44" spans="1:10" s="1" customFormat="1">
      <c r="A44" s="2">
        <f t="shared" si="0"/>
        <v>39</v>
      </c>
      <c r="B44" s="5"/>
      <c r="C44" s="16"/>
      <c r="D44" s="5"/>
      <c r="E44" s="4"/>
      <c r="F44" s="3"/>
      <c r="G44" s="3"/>
      <c r="H44" s="2"/>
      <c r="I44" s="4"/>
      <c r="J44" s="4"/>
    </row>
    <row r="45" spans="1:10" s="1" customFormat="1">
      <c r="A45" s="2">
        <f t="shared" si="0"/>
        <v>40</v>
      </c>
      <c r="B45" s="5"/>
      <c r="C45" s="5"/>
      <c r="D45" s="5"/>
      <c r="E45" s="4"/>
      <c r="F45" s="3"/>
      <c r="G45" s="3"/>
      <c r="H45" s="2"/>
      <c r="I45" s="4"/>
      <c r="J45" s="4"/>
    </row>
    <row r="46" spans="1:10" s="1" customFormat="1">
      <c r="A46" s="2">
        <f t="shared" si="0"/>
        <v>41</v>
      </c>
      <c r="B46" s="5"/>
      <c r="C46" s="5"/>
      <c r="D46" s="5"/>
      <c r="E46" s="4"/>
      <c r="F46" s="3"/>
      <c r="G46" s="3"/>
      <c r="H46" s="2"/>
      <c r="I46" s="4"/>
      <c r="J46" s="4"/>
    </row>
    <row r="47" spans="1:10" s="1" customFormat="1">
      <c r="A47" s="2">
        <f t="shared" si="0"/>
        <v>42</v>
      </c>
      <c r="B47" s="5"/>
      <c r="C47" s="5"/>
      <c r="D47" s="5"/>
      <c r="E47" s="4"/>
      <c r="F47" s="3"/>
      <c r="G47" s="3"/>
      <c r="H47" s="2"/>
      <c r="I47" s="4"/>
      <c r="J47" s="4"/>
    </row>
    <row r="48" spans="1:10" s="1" customFormat="1">
      <c r="A48" s="2">
        <f t="shared" si="0"/>
        <v>43</v>
      </c>
      <c r="B48" s="5"/>
      <c r="C48" s="5"/>
      <c r="D48" s="5"/>
      <c r="E48" s="4"/>
      <c r="F48" s="3"/>
      <c r="G48" s="3"/>
      <c r="H48" s="2"/>
      <c r="I48" s="4"/>
      <c r="J48" s="4"/>
    </row>
    <row r="49" spans="1:10" s="1" customFormat="1">
      <c r="A49" s="2">
        <f t="shared" si="0"/>
        <v>44</v>
      </c>
      <c r="B49" s="5"/>
      <c r="C49" s="5"/>
      <c r="D49" s="5"/>
      <c r="E49" s="4"/>
      <c r="F49" s="3"/>
      <c r="G49" s="3"/>
      <c r="H49" s="2"/>
      <c r="I49" s="4"/>
      <c r="J49" s="4"/>
    </row>
    <row r="50" spans="1:10" s="1" customFormat="1">
      <c r="A50" s="2">
        <f t="shared" si="0"/>
        <v>45</v>
      </c>
      <c r="B50" s="5"/>
      <c r="C50" s="5"/>
      <c r="D50" s="5"/>
      <c r="E50" s="4"/>
      <c r="F50" s="3"/>
      <c r="G50" s="3"/>
      <c r="H50" s="2"/>
      <c r="I50" s="4"/>
      <c r="J50" s="4"/>
    </row>
    <row r="51" spans="1:10" s="1" customFormat="1">
      <c r="A51" s="2">
        <f t="shared" si="0"/>
        <v>46</v>
      </c>
      <c r="B51" s="5"/>
      <c r="C51" s="5"/>
      <c r="D51" s="5"/>
      <c r="E51" s="4"/>
      <c r="F51" s="3"/>
      <c r="G51" s="3"/>
      <c r="H51" s="2"/>
      <c r="I51" s="4"/>
      <c r="J51" s="4"/>
    </row>
    <row r="52" spans="1:10" s="1" customFormat="1">
      <c r="A52" s="2">
        <f t="shared" si="0"/>
        <v>47</v>
      </c>
      <c r="B52" s="5"/>
      <c r="C52" s="5"/>
      <c r="D52" s="5"/>
      <c r="E52" s="4"/>
      <c r="F52" s="3"/>
      <c r="G52" s="3"/>
      <c r="H52" s="2"/>
      <c r="I52" s="4"/>
      <c r="J52" s="4"/>
    </row>
    <row r="53" spans="1:10" s="1" customFormat="1">
      <c r="A53" s="2">
        <f t="shared" si="0"/>
        <v>48</v>
      </c>
      <c r="B53" s="5"/>
      <c r="C53" s="5"/>
      <c r="D53" s="5"/>
      <c r="E53" s="4"/>
      <c r="F53" s="3"/>
      <c r="G53" s="3"/>
      <c r="H53" s="2"/>
      <c r="I53" s="4"/>
      <c r="J53" s="4"/>
    </row>
    <row r="54" spans="1:10" s="1" customFormat="1">
      <c r="A54" s="2">
        <f t="shared" si="0"/>
        <v>49</v>
      </c>
      <c r="B54" s="5"/>
      <c r="C54" s="5"/>
      <c r="D54" s="5"/>
      <c r="E54" s="4"/>
      <c r="F54" s="3"/>
      <c r="G54" s="3"/>
      <c r="H54" s="2"/>
      <c r="I54" s="4"/>
      <c r="J54" s="4"/>
    </row>
    <row r="55" spans="1:10" s="1" customFormat="1">
      <c r="A55" s="2">
        <f t="shared" si="0"/>
        <v>50</v>
      </c>
      <c r="B55" s="5"/>
      <c r="C55" s="5"/>
      <c r="D55" s="5"/>
      <c r="E55" s="4"/>
      <c r="F55" s="3"/>
      <c r="G55" s="3"/>
      <c r="H55" s="2"/>
      <c r="I55" s="4"/>
      <c r="J55" s="4"/>
    </row>
    <row r="56" spans="1:10" s="1" customFormat="1">
      <c r="A56" s="2">
        <f t="shared" si="0"/>
        <v>51</v>
      </c>
      <c r="B56" s="5"/>
      <c r="C56" s="5"/>
      <c r="D56" s="5"/>
      <c r="E56" s="4"/>
      <c r="F56" s="3"/>
      <c r="G56" s="3"/>
      <c r="H56" s="2"/>
      <c r="I56" s="4"/>
      <c r="J56" s="4"/>
    </row>
    <row r="57" spans="1:10" s="1" customFormat="1">
      <c r="A57" s="2">
        <f t="shared" si="0"/>
        <v>52</v>
      </c>
      <c r="B57" s="5"/>
      <c r="C57" s="5"/>
      <c r="D57" s="5"/>
      <c r="E57" s="4"/>
      <c r="F57" s="3"/>
      <c r="G57" s="3"/>
      <c r="H57" s="2"/>
      <c r="I57" s="4"/>
      <c r="J57" s="4"/>
    </row>
    <row r="58" spans="1:10" s="1" customFormat="1">
      <c r="A58" s="2">
        <f t="shared" si="0"/>
        <v>53</v>
      </c>
      <c r="B58" s="5"/>
      <c r="C58" s="5"/>
      <c r="D58" s="5"/>
      <c r="E58" s="4"/>
      <c r="F58" s="3"/>
      <c r="G58" s="3"/>
      <c r="H58" s="2"/>
      <c r="I58" s="4"/>
      <c r="J58" s="4"/>
    </row>
    <row r="59" spans="1:10" s="1" customFormat="1">
      <c r="A59" s="2">
        <f t="shared" si="0"/>
        <v>54</v>
      </c>
      <c r="B59" s="5"/>
      <c r="C59" s="5"/>
      <c r="D59" s="5"/>
      <c r="E59" s="4"/>
      <c r="F59" s="3"/>
      <c r="G59" s="3"/>
      <c r="H59" s="2"/>
      <c r="I59" s="4"/>
      <c r="J59" s="4"/>
    </row>
    <row r="60" spans="1:10" s="1" customFormat="1">
      <c r="A60" s="2">
        <f t="shared" si="0"/>
        <v>55</v>
      </c>
      <c r="B60" s="5"/>
      <c r="C60" s="16"/>
      <c r="D60" s="5"/>
      <c r="E60" s="4"/>
      <c r="F60" s="3"/>
      <c r="G60" s="3"/>
      <c r="H60" s="2"/>
      <c r="I60" s="4"/>
      <c r="J60" s="4"/>
    </row>
    <row r="61" spans="1:10" s="1" customFormat="1">
      <c r="A61" s="2">
        <f t="shared" si="0"/>
        <v>56</v>
      </c>
      <c r="B61" s="5"/>
      <c r="C61" s="16"/>
      <c r="D61" s="5"/>
      <c r="E61" s="4"/>
      <c r="F61" s="3"/>
      <c r="G61" s="3"/>
      <c r="H61" s="2"/>
      <c r="I61" s="4"/>
      <c r="J61" s="4"/>
    </row>
    <row r="62" spans="1:10" s="1" customFormat="1">
      <c r="A62" s="2">
        <f t="shared" si="0"/>
        <v>57</v>
      </c>
      <c r="B62" s="5"/>
      <c r="C62" s="16"/>
      <c r="D62" s="5"/>
      <c r="E62" s="4"/>
      <c r="F62" s="3"/>
      <c r="G62" s="3"/>
      <c r="H62" s="2"/>
      <c r="I62" s="4"/>
      <c r="J62" s="4"/>
    </row>
    <row r="63" spans="1:10" s="1" customFormat="1">
      <c r="A63" s="2">
        <f t="shared" si="0"/>
        <v>58</v>
      </c>
      <c r="B63" s="5"/>
      <c r="C63" s="16"/>
      <c r="D63" s="5"/>
      <c r="E63" s="4"/>
      <c r="F63" s="3"/>
      <c r="G63" s="3"/>
      <c r="H63" s="2"/>
      <c r="I63" s="4"/>
      <c r="J63" s="4"/>
    </row>
    <row r="64" spans="1:10" s="1" customFormat="1">
      <c r="A64" s="2">
        <f t="shared" si="0"/>
        <v>59</v>
      </c>
      <c r="B64" s="5"/>
      <c r="C64" s="16"/>
      <c r="D64" s="5"/>
      <c r="E64" s="4"/>
      <c r="F64" s="3"/>
      <c r="G64" s="3"/>
      <c r="H64" s="2"/>
      <c r="I64" s="4"/>
      <c r="J64" s="4"/>
    </row>
    <row r="65" spans="1:10" s="1" customFormat="1">
      <c r="A65" s="2">
        <f t="shared" si="0"/>
        <v>60</v>
      </c>
      <c r="B65" s="5"/>
      <c r="C65" s="16"/>
      <c r="D65" s="5"/>
      <c r="E65" s="4"/>
      <c r="F65" s="3"/>
      <c r="G65" s="3"/>
      <c r="H65" s="2"/>
      <c r="I65" s="4"/>
      <c r="J65" s="4"/>
    </row>
    <row r="66" spans="1:10" s="1" customFormat="1">
      <c r="A66" s="2">
        <f t="shared" si="0"/>
        <v>61</v>
      </c>
      <c r="B66" s="5"/>
      <c r="C66" s="5"/>
      <c r="D66" s="5"/>
      <c r="E66" s="4"/>
      <c r="F66" s="3"/>
      <c r="G66" s="3"/>
      <c r="H66" s="2"/>
      <c r="I66" s="4"/>
      <c r="J66" s="4"/>
    </row>
    <row r="67" spans="1:10" s="1" customFormat="1">
      <c r="A67" s="2">
        <f t="shared" si="0"/>
        <v>62</v>
      </c>
      <c r="B67" s="5"/>
      <c r="C67" s="5"/>
      <c r="D67" s="5"/>
      <c r="E67" s="4"/>
      <c r="F67" s="3"/>
      <c r="G67" s="3"/>
      <c r="H67" s="2"/>
      <c r="I67" s="4"/>
      <c r="J67" s="4"/>
    </row>
    <row r="68" spans="1:10" s="1" customFormat="1">
      <c r="A68" s="2">
        <f t="shared" si="0"/>
        <v>63</v>
      </c>
      <c r="B68" s="5"/>
      <c r="C68" s="16"/>
      <c r="D68" s="5"/>
      <c r="E68" s="4"/>
      <c r="F68" s="3"/>
      <c r="G68" s="3"/>
      <c r="H68" s="2"/>
      <c r="I68" s="4"/>
      <c r="J68" s="4"/>
    </row>
    <row r="69" spans="1:10" s="1" customFormat="1">
      <c r="A69" s="2">
        <f t="shared" si="0"/>
        <v>64</v>
      </c>
      <c r="B69" s="5"/>
      <c r="C69" s="16"/>
      <c r="D69" s="5"/>
      <c r="E69" s="4"/>
      <c r="F69" s="3"/>
      <c r="G69" s="3"/>
      <c r="H69" s="2"/>
      <c r="I69" s="4"/>
      <c r="J69" s="4"/>
    </row>
    <row r="70" spans="1:10" s="1" customFormat="1">
      <c r="A70" s="2">
        <f t="shared" si="0"/>
        <v>65</v>
      </c>
      <c r="B70" s="5"/>
      <c r="C70" s="5"/>
      <c r="D70" s="5"/>
      <c r="E70" s="4"/>
      <c r="F70" s="3"/>
      <c r="G70" s="3"/>
      <c r="H70" s="2"/>
      <c r="I70" s="4"/>
      <c r="J70" s="4"/>
    </row>
    <row r="71" spans="1:10" s="1" customFormat="1">
      <c r="A71" s="2">
        <f t="shared" si="0"/>
        <v>66</v>
      </c>
      <c r="B71" s="5"/>
      <c r="C71" s="16"/>
      <c r="D71" s="5"/>
      <c r="E71" s="4"/>
      <c r="F71" s="3"/>
      <c r="G71" s="3"/>
      <c r="H71" s="2"/>
      <c r="I71" s="4"/>
      <c r="J71" s="4"/>
    </row>
    <row r="72" spans="1:10" s="1" customFormat="1">
      <c r="A72" s="2">
        <f t="shared" si="0"/>
        <v>67</v>
      </c>
      <c r="B72" s="5"/>
      <c r="C72" s="16"/>
      <c r="D72" s="5"/>
      <c r="E72" s="4"/>
      <c r="F72" s="3"/>
      <c r="G72" s="3"/>
      <c r="H72" s="2"/>
      <c r="I72" s="4"/>
      <c r="J72" s="4"/>
    </row>
    <row r="73" spans="1:10" s="1" customFormat="1">
      <c r="A73" s="2">
        <f t="shared" si="0"/>
        <v>68</v>
      </c>
      <c r="B73" s="5"/>
      <c r="C73" s="5"/>
      <c r="D73" s="5"/>
      <c r="E73" s="4"/>
      <c r="F73" s="3"/>
      <c r="G73" s="3"/>
      <c r="H73" s="2"/>
      <c r="I73" s="4"/>
      <c r="J73" s="4"/>
    </row>
    <row r="74" spans="1:10" s="1" customFormat="1">
      <c r="A74" s="2">
        <f t="shared" si="0"/>
        <v>69</v>
      </c>
      <c r="B74" s="5"/>
      <c r="C74" s="16"/>
      <c r="D74" s="5"/>
      <c r="E74" s="4"/>
      <c r="F74" s="3"/>
      <c r="G74" s="3"/>
      <c r="H74" s="2"/>
      <c r="I74" s="4"/>
      <c r="J74" s="4"/>
    </row>
    <row r="75" spans="1:10" s="1" customFormat="1">
      <c r="A75" s="2">
        <f t="shared" si="0"/>
        <v>70</v>
      </c>
      <c r="B75" s="5"/>
      <c r="C75" s="16"/>
      <c r="D75" s="5"/>
      <c r="E75" s="4"/>
      <c r="F75" s="3"/>
      <c r="G75" s="3"/>
      <c r="H75" s="2"/>
      <c r="I75" s="4"/>
      <c r="J75" s="4"/>
    </row>
    <row r="76" spans="1:10" s="1" customFormat="1">
      <c r="A76" s="2">
        <f t="shared" si="0"/>
        <v>71</v>
      </c>
      <c r="B76" s="5"/>
      <c r="C76" s="5"/>
      <c r="D76" s="5"/>
      <c r="E76" s="4"/>
      <c r="F76" s="3"/>
      <c r="G76" s="3"/>
      <c r="H76" s="2"/>
      <c r="I76" s="4"/>
      <c r="J76" s="4"/>
    </row>
    <row r="77" spans="1:10" s="1" customFormat="1">
      <c r="A77" s="2">
        <f t="shared" si="0"/>
        <v>72</v>
      </c>
      <c r="B77" s="5"/>
      <c r="C77" s="16"/>
      <c r="D77" s="5"/>
      <c r="E77" s="4"/>
      <c r="F77" s="3"/>
      <c r="G77" s="3"/>
      <c r="H77" s="2"/>
      <c r="I77" s="4"/>
      <c r="J77" s="4"/>
    </row>
    <row r="78" spans="1:10" s="1" customFormat="1">
      <c r="A78" s="2">
        <f t="shared" si="0"/>
        <v>73</v>
      </c>
      <c r="B78" s="5"/>
      <c r="C78" s="16"/>
      <c r="D78" s="5"/>
      <c r="E78" s="4"/>
      <c r="F78" s="3"/>
      <c r="G78" s="3"/>
      <c r="H78" s="2"/>
      <c r="I78" s="4"/>
      <c r="J78" s="4"/>
    </row>
    <row r="79" spans="1:10" s="1" customFormat="1">
      <c r="A79" s="2">
        <f t="shared" si="0"/>
        <v>74</v>
      </c>
      <c r="B79" s="5"/>
      <c r="C79" s="5"/>
      <c r="D79" s="5"/>
      <c r="E79" s="4"/>
      <c r="F79" s="3"/>
      <c r="G79" s="3"/>
      <c r="H79" s="2"/>
      <c r="I79" s="4"/>
      <c r="J79" s="4"/>
    </row>
    <row r="80" spans="1:10" s="1" customFormat="1">
      <c r="A80" s="2">
        <f t="shared" si="0"/>
        <v>75</v>
      </c>
      <c r="B80" s="5"/>
      <c r="C80" s="16"/>
      <c r="D80" s="5"/>
      <c r="E80" s="4"/>
      <c r="F80" s="3"/>
      <c r="G80" s="3"/>
      <c r="H80" s="2"/>
      <c r="I80" s="4"/>
      <c r="J80" s="4"/>
    </row>
    <row r="81" spans="1:10" s="1" customFormat="1">
      <c r="A81" s="2">
        <f t="shared" si="0"/>
        <v>76</v>
      </c>
      <c r="B81" s="5"/>
      <c r="C81" s="16"/>
      <c r="D81" s="5"/>
      <c r="E81" s="4"/>
      <c r="F81" s="3"/>
      <c r="G81" s="3"/>
      <c r="H81" s="2"/>
      <c r="I81" s="4"/>
      <c r="J81" s="4"/>
    </row>
    <row r="82" spans="1:10" s="1" customFormat="1">
      <c r="A82" s="2">
        <f t="shared" si="0"/>
        <v>77</v>
      </c>
      <c r="B82" s="5"/>
      <c r="C82" s="16"/>
      <c r="D82" s="5"/>
      <c r="E82" s="4"/>
      <c r="F82" s="3"/>
      <c r="G82" s="3"/>
      <c r="H82" s="2"/>
      <c r="I82" s="4"/>
      <c r="J82" s="4"/>
    </row>
    <row r="83" spans="1:10" s="1" customFormat="1">
      <c r="A83" s="2">
        <f t="shared" si="0"/>
        <v>78</v>
      </c>
      <c r="B83" s="5"/>
      <c r="C83" s="5"/>
      <c r="D83" s="5"/>
      <c r="E83" s="4"/>
      <c r="F83" s="3"/>
      <c r="G83" s="3"/>
      <c r="H83" s="2"/>
      <c r="I83" s="4"/>
      <c r="J83" s="4"/>
    </row>
    <row r="84" spans="1:10" s="1" customFormat="1">
      <c r="A84" s="2">
        <f t="shared" si="0"/>
        <v>79</v>
      </c>
      <c r="B84" s="5"/>
      <c r="C84" s="16"/>
      <c r="D84" s="5"/>
      <c r="E84" s="4"/>
      <c r="F84" s="3"/>
      <c r="G84" s="3"/>
      <c r="H84" s="2"/>
      <c r="I84" s="4"/>
      <c r="J84" s="4"/>
    </row>
    <row r="85" spans="1:10" s="1" customFormat="1">
      <c r="A85" s="2">
        <f t="shared" si="0"/>
        <v>80</v>
      </c>
      <c r="B85" s="5"/>
      <c r="C85" s="16"/>
      <c r="D85" s="5"/>
      <c r="E85" s="4"/>
      <c r="F85" s="3"/>
      <c r="G85" s="3"/>
      <c r="H85" s="2"/>
      <c r="I85" s="4"/>
      <c r="J85" s="4"/>
    </row>
    <row r="86" spans="1:10" s="1" customFormat="1">
      <c r="A86" s="2">
        <f t="shared" si="0"/>
        <v>81</v>
      </c>
      <c r="B86" s="5"/>
      <c r="C86" s="5"/>
      <c r="D86" s="5"/>
      <c r="E86" s="4"/>
      <c r="F86" s="3"/>
      <c r="G86" s="3"/>
      <c r="H86" s="2"/>
      <c r="I86" s="4"/>
      <c r="J86" s="4"/>
    </row>
    <row r="87" spans="1:10" s="1" customFormat="1">
      <c r="A87" s="2">
        <f t="shared" si="0"/>
        <v>82</v>
      </c>
      <c r="B87" s="5"/>
      <c r="C87" s="16"/>
      <c r="D87" s="5"/>
      <c r="E87" s="4"/>
      <c r="F87" s="3"/>
      <c r="G87" s="3"/>
      <c r="H87" s="2"/>
      <c r="I87" s="4"/>
      <c r="J87" s="4"/>
    </row>
    <row r="88" spans="1:10" s="1" customFormat="1">
      <c r="A88" s="2">
        <f t="shared" si="0"/>
        <v>83</v>
      </c>
      <c r="B88" s="5"/>
      <c r="C88" s="16"/>
      <c r="D88" s="5"/>
      <c r="E88" s="4"/>
      <c r="F88" s="3"/>
      <c r="G88" s="3"/>
      <c r="H88" s="2"/>
      <c r="I88" s="4"/>
      <c r="J88" s="4"/>
    </row>
    <row r="89" spans="1:10" s="1" customFormat="1">
      <c r="A89" s="2">
        <f t="shared" si="0"/>
        <v>84</v>
      </c>
      <c r="B89" s="5"/>
      <c r="C89" s="16"/>
      <c r="D89" s="5"/>
      <c r="E89" s="4"/>
      <c r="F89" s="3"/>
      <c r="G89" s="3"/>
      <c r="H89" s="2"/>
      <c r="I89" s="4"/>
      <c r="J89" s="4"/>
    </row>
    <row r="90" spans="1:10" s="1" customFormat="1">
      <c r="A90" s="2">
        <f t="shared" si="0"/>
        <v>85</v>
      </c>
      <c r="B90" s="5"/>
      <c r="C90" s="5"/>
      <c r="D90" s="5"/>
      <c r="E90" s="4"/>
      <c r="F90" s="3"/>
      <c r="G90" s="3"/>
      <c r="H90" s="2"/>
      <c r="I90" s="4"/>
      <c r="J90" s="4"/>
    </row>
    <row r="91" spans="1:10" s="1" customFormat="1">
      <c r="A91" s="2">
        <f t="shared" si="0"/>
        <v>86</v>
      </c>
      <c r="B91" s="5"/>
      <c r="C91" s="16"/>
      <c r="D91" s="5"/>
      <c r="E91" s="4"/>
      <c r="F91" s="3"/>
      <c r="G91" s="3"/>
      <c r="H91" s="2"/>
      <c r="I91" s="4"/>
      <c r="J91" s="4"/>
    </row>
    <row r="92" spans="1:10" s="1" customFormat="1">
      <c r="A92" s="2">
        <f t="shared" si="0"/>
        <v>87</v>
      </c>
      <c r="B92" s="5"/>
      <c r="C92" s="16"/>
      <c r="D92" s="5"/>
      <c r="E92" s="4"/>
      <c r="F92" s="3"/>
      <c r="G92" s="3"/>
      <c r="H92" s="2"/>
      <c r="I92" s="4"/>
      <c r="J92" s="4"/>
    </row>
    <row r="93" spans="1:10" s="1" customFormat="1">
      <c r="A93" s="2">
        <f t="shared" si="0"/>
        <v>88</v>
      </c>
      <c r="B93" s="5"/>
      <c r="C93" s="5"/>
      <c r="D93" s="5"/>
      <c r="E93" s="4"/>
      <c r="F93" s="3"/>
      <c r="G93" s="3"/>
      <c r="H93" s="2"/>
      <c r="I93" s="4"/>
      <c r="J93" s="4"/>
    </row>
    <row r="94" spans="1:10" s="1" customFormat="1">
      <c r="A94" s="2">
        <f t="shared" si="0"/>
        <v>89</v>
      </c>
      <c r="B94" s="5"/>
      <c r="C94" s="5"/>
      <c r="D94" s="5"/>
      <c r="E94" s="4"/>
      <c r="F94" s="3"/>
      <c r="G94" s="3"/>
      <c r="H94" s="2"/>
      <c r="I94" s="4"/>
      <c r="J94" s="4"/>
    </row>
    <row r="95" spans="1:10" s="1" customFormat="1">
      <c r="A95" s="2">
        <f t="shared" si="0"/>
        <v>90</v>
      </c>
      <c r="B95" s="5"/>
      <c r="C95" s="16"/>
      <c r="D95" s="5"/>
      <c r="E95" s="4"/>
      <c r="F95" s="3"/>
      <c r="G95" s="3"/>
      <c r="H95" s="2"/>
      <c r="I95" s="4"/>
      <c r="J95" s="4"/>
    </row>
    <row r="96" spans="1:10" s="1" customFormat="1">
      <c r="A96" s="2">
        <f t="shared" si="0"/>
        <v>91</v>
      </c>
      <c r="B96" s="5"/>
      <c r="C96" s="16"/>
      <c r="D96" s="5"/>
      <c r="E96" s="4"/>
      <c r="F96" s="3"/>
      <c r="G96" s="3"/>
      <c r="H96" s="2"/>
      <c r="I96" s="4"/>
      <c r="J96" s="4"/>
    </row>
    <row r="97" spans="1:10" s="1" customFormat="1">
      <c r="A97" s="2">
        <f t="shared" si="0"/>
        <v>92</v>
      </c>
      <c r="B97" s="5"/>
      <c r="C97" s="16"/>
      <c r="D97" s="5"/>
      <c r="E97" s="4"/>
      <c r="F97" s="3"/>
      <c r="G97" s="3"/>
      <c r="H97" s="2"/>
      <c r="I97" s="4"/>
      <c r="J97" s="4"/>
    </row>
    <row r="98" spans="1:10" s="1" customFormat="1">
      <c r="A98" s="2">
        <f t="shared" si="0"/>
        <v>93</v>
      </c>
      <c r="B98" s="5"/>
      <c r="C98" s="5"/>
      <c r="D98" s="5"/>
      <c r="E98" s="4"/>
      <c r="F98" s="3"/>
      <c r="G98" s="3"/>
      <c r="H98" s="2"/>
      <c r="I98" s="4"/>
      <c r="J98" s="4"/>
    </row>
    <row r="99" spans="1:10" s="1" customFormat="1">
      <c r="A99" s="2">
        <f t="shared" si="0"/>
        <v>94</v>
      </c>
      <c r="B99" s="5"/>
      <c r="C99" s="16"/>
      <c r="D99" s="5"/>
      <c r="E99" s="4"/>
      <c r="F99" s="3"/>
      <c r="G99" s="3"/>
      <c r="H99" s="2"/>
      <c r="I99" s="4"/>
      <c r="J99" s="4"/>
    </row>
    <row r="100" spans="1:10" s="1" customFormat="1">
      <c r="A100" s="2">
        <f t="shared" si="0"/>
        <v>95</v>
      </c>
      <c r="B100" s="5"/>
      <c r="C100" s="16"/>
      <c r="D100" s="5"/>
      <c r="E100" s="4"/>
      <c r="F100" s="3"/>
      <c r="G100" s="3"/>
      <c r="H100" s="2"/>
      <c r="I100" s="4"/>
      <c r="J100" s="4"/>
    </row>
    <row r="101" spans="1:10" s="1" customFormat="1">
      <c r="A101" s="2">
        <f t="shared" si="0"/>
        <v>96</v>
      </c>
      <c r="B101" s="5"/>
      <c r="C101" s="5"/>
      <c r="D101" s="5"/>
      <c r="E101" s="4"/>
      <c r="F101" s="3"/>
      <c r="G101" s="3"/>
      <c r="H101" s="2"/>
      <c r="I101" s="4"/>
      <c r="J101" s="4"/>
    </row>
    <row r="102" spans="1:10" s="1" customFormat="1">
      <c r="A102" s="2">
        <f t="shared" si="0"/>
        <v>97</v>
      </c>
      <c r="B102" s="5"/>
      <c r="C102" s="5"/>
      <c r="D102" s="5"/>
      <c r="E102" s="4"/>
      <c r="F102" s="3"/>
      <c r="G102" s="3"/>
      <c r="H102" s="2"/>
      <c r="I102" s="4"/>
      <c r="J102" s="4"/>
    </row>
    <row r="103" spans="1:10" s="1" customFormat="1">
      <c r="A103" s="2">
        <f t="shared" si="0"/>
        <v>98</v>
      </c>
      <c r="B103" s="5"/>
      <c r="C103" s="16"/>
      <c r="D103" s="5"/>
      <c r="E103" s="4"/>
      <c r="F103" s="3"/>
      <c r="G103" s="3"/>
      <c r="H103" s="2"/>
      <c r="I103" s="4"/>
      <c r="J103" s="4"/>
    </row>
    <row r="104" spans="1:10" s="1" customFormat="1">
      <c r="A104" s="2">
        <f t="shared" si="0"/>
        <v>99</v>
      </c>
      <c r="B104" s="5"/>
      <c r="C104" s="16"/>
      <c r="D104" s="5"/>
      <c r="E104" s="4"/>
      <c r="F104" s="3"/>
      <c r="G104" s="3"/>
      <c r="H104" s="2"/>
      <c r="I104" s="4"/>
      <c r="J104" s="4"/>
    </row>
    <row r="105" spans="1:10" s="1" customFormat="1">
      <c r="A105" s="2">
        <f t="shared" si="0"/>
        <v>100</v>
      </c>
      <c r="B105" s="5"/>
      <c r="C105" s="16"/>
      <c r="D105" s="5"/>
      <c r="E105" s="4"/>
      <c r="F105" s="3"/>
      <c r="G105" s="3"/>
      <c r="H105" s="2"/>
      <c r="I105" s="4"/>
      <c r="J105" s="4"/>
    </row>
    <row r="106" spans="1:10" s="1" customFormat="1">
      <c r="A106" s="2">
        <f t="shared" si="0"/>
        <v>101</v>
      </c>
      <c r="B106" s="5"/>
      <c r="C106" s="5"/>
      <c r="D106" s="5"/>
      <c r="E106" s="4"/>
      <c r="F106" s="3"/>
      <c r="G106" s="3"/>
      <c r="H106" s="2"/>
      <c r="I106" s="4"/>
      <c r="J106" s="4"/>
    </row>
    <row r="107" spans="1:10" s="1" customFormat="1">
      <c r="A107" s="2">
        <f t="shared" si="0"/>
        <v>102</v>
      </c>
      <c r="B107" s="5"/>
      <c r="C107" s="16"/>
      <c r="D107" s="5"/>
      <c r="E107" s="4"/>
      <c r="F107" s="3"/>
      <c r="G107" s="3"/>
      <c r="H107" s="2"/>
      <c r="I107" s="4"/>
      <c r="J107" s="4"/>
    </row>
    <row r="108" spans="1:10" s="1" customFormat="1">
      <c r="A108" s="2">
        <f t="shared" si="0"/>
        <v>103</v>
      </c>
      <c r="B108" s="5"/>
      <c r="C108" s="16"/>
      <c r="D108" s="5"/>
      <c r="E108" s="4"/>
      <c r="F108" s="3"/>
      <c r="G108" s="3"/>
      <c r="H108" s="2"/>
      <c r="I108" s="4"/>
      <c r="J108" s="4"/>
    </row>
    <row r="109" spans="1:10" s="1" customFormat="1">
      <c r="A109" s="2">
        <f t="shared" si="0"/>
        <v>104</v>
      </c>
      <c r="B109" s="5"/>
      <c r="C109" s="5"/>
      <c r="D109" s="18"/>
      <c r="E109" s="4"/>
      <c r="F109" s="3"/>
      <c r="G109" s="3"/>
      <c r="H109" s="2"/>
      <c r="I109" s="4"/>
      <c r="J109" s="4"/>
    </row>
    <row r="110" spans="1:10" s="1" customFormat="1">
      <c r="A110" s="2">
        <f t="shared" si="0"/>
        <v>105</v>
      </c>
      <c r="B110" s="5"/>
      <c r="C110" s="5"/>
      <c r="D110" s="5"/>
      <c r="E110" s="4"/>
      <c r="F110" s="3"/>
      <c r="G110" s="3"/>
      <c r="H110" s="2"/>
      <c r="I110" s="4"/>
      <c r="J110" s="4"/>
    </row>
    <row r="111" spans="1:10" s="1" customFormat="1">
      <c r="A111" s="2">
        <f t="shared" si="0"/>
        <v>106</v>
      </c>
      <c r="B111" s="5"/>
      <c r="C111" s="13"/>
      <c r="D111" s="5"/>
      <c r="E111" s="4"/>
      <c r="F111" s="3"/>
      <c r="G111" s="3"/>
      <c r="H111" s="2"/>
      <c r="I111" s="4"/>
      <c r="J111" s="4"/>
    </row>
    <row r="112" spans="1:10" s="1" customFormat="1">
      <c r="A112" s="2">
        <f t="shared" si="0"/>
        <v>107</v>
      </c>
      <c r="B112" s="5"/>
      <c r="C112" s="5"/>
      <c r="D112" s="5"/>
      <c r="E112" s="4"/>
      <c r="F112" s="3"/>
      <c r="G112" s="3"/>
      <c r="H112" s="2"/>
      <c r="I112" s="4"/>
      <c r="J112" s="4"/>
    </row>
    <row r="113" spans="1:10" s="1" customFormat="1">
      <c r="A113" s="2">
        <f t="shared" si="0"/>
        <v>108</v>
      </c>
      <c r="B113" s="5"/>
      <c r="C113" s="5"/>
      <c r="D113" s="5"/>
      <c r="E113" s="4"/>
      <c r="F113" s="3"/>
      <c r="G113" s="3"/>
      <c r="H113" s="2"/>
      <c r="I113" s="4"/>
      <c r="J113" s="4"/>
    </row>
    <row r="114" spans="1:10" s="1" customFormat="1">
      <c r="A114" s="2">
        <f t="shared" si="0"/>
        <v>109</v>
      </c>
      <c r="B114" s="5"/>
      <c r="C114" s="13"/>
      <c r="D114" s="5"/>
      <c r="E114" s="4"/>
      <c r="F114" s="3"/>
      <c r="G114" s="3"/>
      <c r="H114" s="2"/>
      <c r="I114" s="4"/>
      <c r="J114" s="4"/>
    </row>
    <row r="115" spans="1:10" s="1" customFormat="1">
      <c r="A115" s="2">
        <f t="shared" si="0"/>
        <v>110</v>
      </c>
      <c r="B115" s="5"/>
      <c r="C115" s="13"/>
      <c r="D115" s="5"/>
      <c r="E115" s="4"/>
      <c r="F115" s="3"/>
      <c r="G115" s="3"/>
      <c r="H115" s="2"/>
      <c r="I115" s="4"/>
      <c r="J115" s="4"/>
    </row>
    <row r="116" spans="1:10" s="1" customFormat="1">
      <c r="A116" s="2">
        <f t="shared" si="0"/>
        <v>111</v>
      </c>
      <c r="B116" s="5"/>
      <c r="C116" s="13"/>
      <c r="D116" s="5"/>
      <c r="E116" s="4"/>
      <c r="F116" s="3"/>
      <c r="G116" s="3"/>
      <c r="H116" s="2"/>
      <c r="I116" s="4"/>
      <c r="J116" s="4"/>
    </row>
    <row r="117" spans="1:10" s="1" customFormat="1">
      <c r="A117" s="2">
        <f t="shared" si="0"/>
        <v>112</v>
      </c>
      <c r="B117" s="5"/>
      <c r="C117" s="13"/>
      <c r="D117" s="5"/>
      <c r="E117" s="4"/>
      <c r="F117" s="3"/>
      <c r="G117" s="3"/>
      <c r="H117" s="2"/>
      <c r="I117" s="4"/>
      <c r="J117" s="4"/>
    </row>
    <row r="118" spans="1:10" s="1" customFormat="1">
      <c r="A118" s="2">
        <f t="shared" si="0"/>
        <v>113</v>
      </c>
      <c r="B118" s="5"/>
      <c r="C118" s="13"/>
      <c r="D118" s="5"/>
      <c r="E118" s="4"/>
      <c r="F118" s="3"/>
      <c r="G118" s="3"/>
      <c r="H118" s="2"/>
      <c r="I118" s="4"/>
      <c r="J118" s="4"/>
    </row>
    <row r="119" spans="1:10" s="1" customFormat="1">
      <c r="A119" s="2">
        <f t="shared" si="0"/>
        <v>114</v>
      </c>
      <c r="B119" s="5"/>
      <c r="C119" s="13"/>
      <c r="D119" s="5"/>
      <c r="E119" s="4"/>
      <c r="F119" s="3"/>
      <c r="G119" s="3"/>
      <c r="H119" s="2"/>
      <c r="I119" s="4"/>
      <c r="J119" s="4"/>
    </row>
    <row r="120" spans="1:10" s="1" customFormat="1">
      <c r="A120" s="2">
        <f t="shared" si="0"/>
        <v>115</v>
      </c>
      <c r="B120" s="5"/>
      <c r="C120" s="13"/>
      <c r="D120" s="5"/>
      <c r="E120" s="4"/>
      <c r="F120" s="3"/>
      <c r="G120" s="3"/>
      <c r="H120" s="2"/>
      <c r="I120" s="4"/>
      <c r="J120" s="4"/>
    </row>
    <row r="121" spans="1:10" s="1" customFormat="1">
      <c r="A121" s="2">
        <f t="shared" si="0"/>
        <v>116</v>
      </c>
      <c r="B121" s="5"/>
      <c r="C121" s="13"/>
      <c r="D121" s="5"/>
      <c r="E121" s="4"/>
      <c r="F121" s="3"/>
      <c r="G121" s="3"/>
      <c r="H121" s="2"/>
      <c r="I121" s="4"/>
      <c r="J121" s="4"/>
    </row>
    <row r="122" spans="1:10" s="1" customFormat="1">
      <c r="A122" s="2">
        <f t="shared" si="0"/>
        <v>117</v>
      </c>
      <c r="B122" s="5"/>
      <c r="C122" s="5"/>
      <c r="D122" s="5"/>
      <c r="E122" s="4"/>
      <c r="F122" s="3"/>
      <c r="G122" s="3"/>
      <c r="H122" s="2"/>
      <c r="I122" s="4"/>
      <c r="J122" s="4"/>
    </row>
    <row r="123" spans="1:10" s="1" customFormat="1">
      <c r="A123" s="2">
        <f t="shared" si="0"/>
        <v>118</v>
      </c>
      <c r="B123" s="5"/>
      <c r="C123" s="5"/>
      <c r="D123" s="5"/>
      <c r="E123" s="4"/>
      <c r="F123" s="3"/>
      <c r="G123" s="3"/>
      <c r="H123" s="2"/>
      <c r="I123" s="4"/>
      <c r="J123" s="4"/>
    </row>
    <row r="124" spans="1:10" s="1" customFormat="1">
      <c r="A124" s="2">
        <f t="shared" si="0"/>
        <v>119</v>
      </c>
      <c r="B124" s="5"/>
      <c r="C124" s="5"/>
      <c r="D124" s="18"/>
      <c r="E124" s="4"/>
      <c r="F124" s="3"/>
      <c r="G124" s="3"/>
      <c r="H124" s="2"/>
      <c r="I124" s="4"/>
      <c r="J124" s="4"/>
    </row>
    <row r="125" spans="1:10" s="1" customFormat="1">
      <c r="A125" s="2">
        <f t="shared" si="0"/>
        <v>120</v>
      </c>
      <c r="B125" s="5"/>
      <c r="C125" s="5"/>
      <c r="D125" s="18"/>
      <c r="E125" s="4"/>
      <c r="F125" s="3"/>
      <c r="G125" s="3"/>
      <c r="H125" s="2"/>
      <c r="I125" s="4"/>
      <c r="J125" s="4"/>
    </row>
    <row r="126" spans="1:10" s="1" customFormat="1">
      <c r="A126" s="2">
        <f t="shared" si="0"/>
        <v>121</v>
      </c>
      <c r="B126" s="5"/>
      <c r="C126" s="5"/>
      <c r="D126" s="18"/>
      <c r="E126" s="4"/>
      <c r="F126" s="3"/>
      <c r="G126" s="3"/>
      <c r="H126" s="2"/>
      <c r="I126" s="4"/>
      <c r="J126" s="4"/>
    </row>
    <row r="127" spans="1:10" s="1" customFormat="1">
      <c r="A127" s="2">
        <f t="shared" si="0"/>
        <v>122</v>
      </c>
      <c r="B127" s="5"/>
      <c r="C127" s="5"/>
      <c r="D127" s="18"/>
      <c r="E127" s="4"/>
      <c r="F127" s="3"/>
      <c r="G127" s="3"/>
      <c r="H127" s="2"/>
      <c r="I127" s="4"/>
      <c r="J127" s="4"/>
    </row>
    <row r="128" spans="1:10" s="1" customFormat="1">
      <c r="A128" s="2">
        <f t="shared" si="0"/>
        <v>123</v>
      </c>
      <c r="B128" s="5"/>
      <c r="C128" s="5"/>
      <c r="D128" s="18"/>
      <c r="E128" s="4"/>
      <c r="F128" s="3"/>
      <c r="G128" s="3"/>
      <c r="H128" s="2"/>
      <c r="I128" s="4"/>
      <c r="J128" s="4"/>
    </row>
    <row r="129" spans="1:10" s="1" customFormat="1">
      <c r="A129" s="2">
        <f t="shared" si="0"/>
        <v>124</v>
      </c>
      <c r="B129" s="5"/>
      <c r="C129" s="5"/>
      <c r="D129" s="18"/>
      <c r="E129" s="4"/>
      <c r="F129" s="3"/>
      <c r="G129" s="3"/>
      <c r="H129" s="2"/>
      <c r="I129" s="4"/>
      <c r="J129" s="4"/>
    </row>
    <row r="130" spans="1:10" s="1" customFormat="1">
      <c r="A130" s="2">
        <f t="shared" si="0"/>
        <v>125</v>
      </c>
      <c r="B130" s="5"/>
      <c r="C130" s="16"/>
      <c r="D130" s="5"/>
      <c r="E130" s="4"/>
      <c r="F130" s="3"/>
      <c r="G130" s="3"/>
      <c r="H130" s="2"/>
      <c r="I130" s="4"/>
      <c r="J130" s="4"/>
    </row>
    <row r="131" spans="1:10" s="1" customFormat="1">
      <c r="A131" s="2">
        <f t="shared" si="0"/>
        <v>126</v>
      </c>
      <c r="B131" s="5"/>
      <c r="C131" s="5"/>
      <c r="D131" s="5"/>
      <c r="E131" s="4"/>
      <c r="F131" s="3"/>
      <c r="G131" s="3"/>
      <c r="H131" s="2"/>
      <c r="I131" s="4"/>
      <c r="J131" s="4"/>
    </row>
    <row r="132" spans="1:10" s="1" customFormat="1">
      <c r="A132" s="2">
        <f t="shared" si="0"/>
        <v>127</v>
      </c>
      <c r="B132" s="5"/>
      <c r="C132" s="13"/>
      <c r="D132" s="5"/>
      <c r="E132" s="4"/>
      <c r="F132" s="3"/>
      <c r="G132" s="3"/>
      <c r="H132" s="2"/>
      <c r="I132" s="4"/>
      <c r="J132" s="4"/>
    </row>
    <row r="133" spans="1:10" s="1" customFormat="1">
      <c r="A133" s="2">
        <f t="shared" si="0"/>
        <v>128</v>
      </c>
      <c r="B133" s="5"/>
      <c r="C133" s="5"/>
      <c r="D133" s="5"/>
      <c r="E133" s="4"/>
      <c r="F133" s="3"/>
      <c r="G133" s="3"/>
      <c r="H133" s="2"/>
      <c r="I133" s="4"/>
      <c r="J133" s="4"/>
    </row>
    <row r="134" spans="1:10" s="1" customFormat="1">
      <c r="A134" s="2">
        <f t="shared" si="0"/>
        <v>129</v>
      </c>
      <c r="B134" s="5"/>
      <c r="C134" s="5"/>
      <c r="D134" s="5"/>
      <c r="E134" s="4"/>
      <c r="F134" s="3"/>
      <c r="G134" s="3"/>
      <c r="H134" s="2"/>
      <c r="I134" s="4"/>
      <c r="J134" s="4"/>
    </row>
    <row r="135" spans="1:10" s="1" customFormat="1">
      <c r="A135" s="2">
        <f t="shared" si="0"/>
        <v>130</v>
      </c>
      <c r="B135" s="5"/>
      <c r="C135" s="13"/>
      <c r="D135" s="5"/>
      <c r="E135" s="4"/>
      <c r="F135" s="3"/>
      <c r="G135" s="3"/>
      <c r="H135" s="2"/>
      <c r="I135" s="4"/>
      <c r="J135" s="4"/>
    </row>
    <row r="136" spans="1:10" s="1" customFormat="1">
      <c r="A136" s="2">
        <f t="shared" si="0"/>
        <v>131</v>
      </c>
      <c r="B136" s="5"/>
      <c r="C136" s="5"/>
      <c r="D136" s="5"/>
      <c r="E136" s="4"/>
      <c r="F136" s="3"/>
      <c r="G136" s="3"/>
      <c r="H136" s="2"/>
      <c r="I136" s="4"/>
      <c r="J136" s="4"/>
    </row>
    <row r="137" spans="1:10" s="1" customFormat="1">
      <c r="A137" s="2">
        <f t="shared" si="0"/>
        <v>132</v>
      </c>
      <c r="B137" s="5"/>
      <c r="C137" s="5"/>
      <c r="D137" s="18"/>
      <c r="E137" s="4"/>
      <c r="F137" s="3"/>
      <c r="G137" s="3"/>
      <c r="H137" s="2"/>
      <c r="I137" s="4"/>
      <c r="J137" s="4"/>
    </row>
    <row r="138" spans="1:10" s="1" customFormat="1">
      <c r="A138" s="2">
        <f t="shared" si="0"/>
        <v>133</v>
      </c>
      <c r="B138" s="5"/>
      <c r="C138" s="16"/>
      <c r="D138" s="5"/>
      <c r="E138" s="4"/>
      <c r="F138" s="3"/>
      <c r="G138" s="3"/>
      <c r="H138" s="2"/>
      <c r="I138" s="4"/>
      <c r="J138" s="4"/>
    </row>
    <row r="139" spans="1:10" s="1" customFormat="1">
      <c r="A139" s="2">
        <f t="shared" si="0"/>
        <v>134</v>
      </c>
      <c r="B139" s="5"/>
      <c r="C139" s="5"/>
      <c r="D139" s="5"/>
      <c r="E139" s="4"/>
      <c r="F139" s="3"/>
      <c r="G139" s="3"/>
      <c r="H139" s="2"/>
      <c r="I139" s="4"/>
      <c r="J139" s="4"/>
    </row>
    <row r="140" spans="1:10" s="1" customFormat="1">
      <c r="A140" s="2">
        <f t="shared" si="0"/>
        <v>135</v>
      </c>
      <c r="B140" s="5"/>
      <c r="C140" s="13"/>
      <c r="D140" s="5"/>
      <c r="E140" s="4"/>
      <c r="F140" s="3"/>
      <c r="G140" s="3"/>
      <c r="H140" s="2"/>
      <c r="I140" s="4"/>
      <c r="J140" s="4"/>
    </row>
    <row r="141" spans="1:10" s="1" customFormat="1">
      <c r="A141" s="2">
        <f t="shared" si="0"/>
        <v>136</v>
      </c>
      <c r="B141" s="5"/>
      <c r="C141" s="5"/>
      <c r="D141" s="5"/>
      <c r="E141" s="4"/>
      <c r="F141" s="3"/>
      <c r="G141" s="3"/>
      <c r="H141" s="2"/>
      <c r="I141" s="4"/>
      <c r="J141" s="4"/>
    </row>
    <row r="142" spans="1:10" s="1" customFormat="1">
      <c r="A142" s="2">
        <f t="shared" si="0"/>
        <v>137</v>
      </c>
      <c r="B142" s="5"/>
      <c r="C142" s="5"/>
      <c r="D142" s="5"/>
      <c r="E142" s="4"/>
      <c r="F142" s="3"/>
      <c r="G142" s="3"/>
      <c r="H142" s="2"/>
      <c r="I142" s="4"/>
      <c r="J142" s="4"/>
    </row>
    <row r="143" spans="1:10" s="1" customFormat="1">
      <c r="A143" s="2">
        <f t="shared" si="0"/>
        <v>138</v>
      </c>
      <c r="B143" s="5"/>
      <c r="C143" s="13"/>
      <c r="D143" s="5"/>
      <c r="E143" s="4"/>
      <c r="F143" s="3"/>
      <c r="G143" s="3"/>
      <c r="H143" s="2"/>
      <c r="I143" s="4"/>
      <c r="J143" s="4"/>
    </row>
    <row r="144" spans="1:10" s="1" customFormat="1">
      <c r="A144" s="2">
        <f t="shared" si="0"/>
        <v>139</v>
      </c>
      <c r="B144" s="5"/>
      <c r="C144" s="5"/>
      <c r="D144" s="18"/>
      <c r="E144" s="4"/>
      <c r="F144" s="3"/>
      <c r="G144" s="3"/>
      <c r="H144" s="2"/>
      <c r="I144" s="4"/>
      <c r="J144" s="4"/>
    </row>
    <row r="145" spans="1:10" s="1" customFormat="1">
      <c r="A145" s="2">
        <f t="shared" si="0"/>
        <v>140</v>
      </c>
      <c r="B145" s="5"/>
      <c r="C145" s="16"/>
      <c r="D145" s="18"/>
      <c r="E145" s="4"/>
      <c r="F145" s="3"/>
      <c r="G145" s="3"/>
      <c r="H145" s="2"/>
      <c r="I145" s="4"/>
      <c r="J145" s="4"/>
    </row>
    <row r="146" spans="1:10" s="1" customFormat="1">
      <c r="A146" s="2">
        <f t="shared" si="0"/>
        <v>141</v>
      </c>
      <c r="B146" s="5"/>
      <c r="C146" s="5"/>
      <c r="D146" s="18"/>
      <c r="E146" s="4"/>
      <c r="F146" s="3"/>
      <c r="G146" s="3"/>
      <c r="H146" s="2"/>
      <c r="I146" s="4"/>
      <c r="J146" s="4"/>
    </row>
    <row r="147" spans="1:10" s="1" customFormat="1">
      <c r="A147" s="2">
        <f t="shared" si="0"/>
        <v>142</v>
      </c>
      <c r="B147" s="5"/>
      <c r="C147" s="5"/>
      <c r="D147" s="5"/>
      <c r="E147" s="4"/>
      <c r="F147" s="3"/>
      <c r="G147" s="3"/>
      <c r="H147" s="2"/>
      <c r="I147" s="4"/>
      <c r="J147" s="4"/>
    </row>
    <row r="148" spans="1:10" s="1" customFormat="1">
      <c r="A148" s="2">
        <f t="shared" si="0"/>
        <v>143</v>
      </c>
      <c r="B148" s="5"/>
      <c r="C148" s="16"/>
      <c r="D148" s="5"/>
      <c r="E148" s="4"/>
      <c r="F148" s="3"/>
      <c r="G148" s="3"/>
      <c r="H148" s="2"/>
      <c r="I148" s="4"/>
      <c r="J148" s="4"/>
    </row>
    <row r="149" spans="1:10" s="1" customFormat="1">
      <c r="A149" s="2">
        <f t="shared" si="0"/>
        <v>144</v>
      </c>
      <c r="B149" s="5"/>
      <c r="C149" s="5"/>
      <c r="D149" s="5"/>
      <c r="E149" s="4"/>
      <c r="F149" s="3"/>
      <c r="G149" s="3"/>
      <c r="H149" s="2"/>
      <c r="I149" s="4"/>
      <c r="J149" s="4"/>
    </row>
    <row r="150" spans="1:10" s="1" customFormat="1">
      <c r="A150" s="2">
        <f t="shared" si="0"/>
        <v>145</v>
      </c>
      <c r="B150" s="5"/>
      <c r="C150" s="16"/>
      <c r="D150" s="5"/>
      <c r="E150" s="4"/>
      <c r="F150" s="3"/>
      <c r="G150" s="3"/>
      <c r="H150" s="2"/>
      <c r="I150" s="4"/>
      <c r="J150" s="4"/>
    </row>
    <row r="151" spans="1:10" s="1" customFormat="1">
      <c r="A151" s="2">
        <f t="shared" si="0"/>
        <v>146</v>
      </c>
      <c r="B151" s="5"/>
      <c r="C151" s="5"/>
      <c r="D151" s="5"/>
      <c r="E151" s="4"/>
      <c r="F151" s="3"/>
      <c r="G151" s="3"/>
      <c r="H151" s="2"/>
      <c r="I151" s="4"/>
      <c r="J151" s="4"/>
    </row>
    <row r="152" spans="1:10" s="1" customFormat="1">
      <c r="A152" s="2">
        <f t="shared" si="0"/>
        <v>147</v>
      </c>
      <c r="B152" s="5"/>
      <c r="C152" s="13"/>
      <c r="D152" s="5"/>
      <c r="E152" s="4"/>
      <c r="F152" s="3"/>
      <c r="G152" s="3"/>
      <c r="H152" s="2"/>
      <c r="I152" s="4"/>
      <c r="J152" s="4"/>
    </row>
    <row r="153" spans="1:10" s="1" customFormat="1">
      <c r="A153" s="2">
        <f t="shared" si="0"/>
        <v>148</v>
      </c>
      <c r="B153" s="5"/>
      <c r="C153" s="5"/>
      <c r="D153" s="5"/>
      <c r="E153" s="4"/>
      <c r="F153" s="3"/>
      <c r="G153" s="3"/>
      <c r="H153" s="2"/>
      <c r="I153" s="4"/>
      <c r="J153" s="4"/>
    </row>
    <row r="154" spans="1:10" s="1" customFormat="1">
      <c r="A154" s="2">
        <f t="shared" si="0"/>
        <v>149</v>
      </c>
      <c r="B154" s="5"/>
      <c r="C154" s="13"/>
      <c r="D154" s="5"/>
      <c r="E154" s="4"/>
      <c r="F154" s="3"/>
      <c r="G154" s="3"/>
      <c r="H154" s="2"/>
      <c r="I154" s="4"/>
      <c r="J154" s="4"/>
    </row>
    <row r="155" spans="1:10" s="1" customFormat="1">
      <c r="A155" s="2">
        <f t="shared" si="0"/>
        <v>150</v>
      </c>
      <c r="B155" s="5"/>
      <c r="C155" s="5"/>
      <c r="D155" s="5"/>
      <c r="E155" s="4"/>
      <c r="F155" s="3"/>
      <c r="G155" s="3"/>
      <c r="H155" s="2"/>
      <c r="I155" s="4"/>
      <c r="J155" s="4"/>
    </row>
    <row r="156" spans="1:10" s="1" customFormat="1">
      <c r="A156" s="2">
        <f t="shared" si="0"/>
        <v>151</v>
      </c>
      <c r="B156" s="5"/>
      <c r="C156" s="13"/>
      <c r="D156" s="5"/>
      <c r="E156" s="4"/>
      <c r="F156" s="3"/>
      <c r="G156" s="3"/>
      <c r="H156" s="2"/>
      <c r="I156" s="4"/>
      <c r="J156" s="4"/>
    </row>
    <row r="157" spans="1:10" s="1" customFormat="1">
      <c r="A157" s="2">
        <f t="shared" si="0"/>
        <v>152</v>
      </c>
      <c r="B157" s="5"/>
      <c r="C157" s="5"/>
      <c r="D157" s="5"/>
      <c r="E157" s="4"/>
      <c r="F157" s="3"/>
      <c r="G157" s="3"/>
      <c r="H157" s="2"/>
      <c r="I157" s="4"/>
      <c r="J157" s="4"/>
    </row>
    <row r="158" spans="1:10" s="1" customFormat="1">
      <c r="A158" s="2">
        <f t="shared" si="0"/>
        <v>153</v>
      </c>
      <c r="B158" s="5"/>
      <c r="C158" s="13"/>
      <c r="D158" s="5"/>
      <c r="E158" s="4"/>
      <c r="F158" s="3"/>
      <c r="G158" s="3"/>
      <c r="H158" s="2"/>
      <c r="I158" s="4"/>
      <c r="J158" s="4"/>
    </row>
    <row r="159" spans="1:10" s="1" customFormat="1">
      <c r="A159" s="2">
        <f t="shared" si="0"/>
        <v>154</v>
      </c>
      <c r="B159" s="5"/>
      <c r="C159" s="13"/>
      <c r="D159" s="5"/>
      <c r="E159" s="4"/>
      <c r="F159" s="3"/>
      <c r="G159" s="3"/>
      <c r="H159" s="2"/>
      <c r="I159" s="4"/>
      <c r="J159" s="4"/>
    </row>
    <row r="160" spans="1:10" s="1" customFormat="1">
      <c r="A160" s="2">
        <f t="shared" si="0"/>
        <v>155</v>
      </c>
      <c r="B160" s="5"/>
      <c r="C160" s="5"/>
      <c r="D160" s="5"/>
      <c r="E160" s="4"/>
      <c r="F160" s="3"/>
      <c r="G160" s="3"/>
      <c r="H160" s="2"/>
      <c r="I160" s="4"/>
      <c r="J160" s="4"/>
    </row>
    <row r="161" spans="1:10" s="1" customFormat="1">
      <c r="A161" s="2">
        <f t="shared" si="0"/>
        <v>156</v>
      </c>
      <c r="B161" s="5"/>
      <c r="C161" s="13"/>
      <c r="D161" s="5"/>
      <c r="E161" s="4"/>
      <c r="F161" s="3"/>
      <c r="G161" s="3"/>
      <c r="H161" s="2"/>
      <c r="I161" s="4"/>
      <c r="J161" s="4"/>
    </row>
    <row r="162" spans="1:10" s="1" customFormat="1">
      <c r="A162" s="2">
        <f t="shared" si="0"/>
        <v>157</v>
      </c>
      <c r="B162" s="5"/>
      <c r="C162" s="5"/>
      <c r="D162" s="5"/>
      <c r="E162" s="4"/>
      <c r="F162" s="3"/>
      <c r="G162" s="3"/>
      <c r="H162" s="2"/>
      <c r="I162" s="4"/>
      <c r="J162" s="4"/>
    </row>
    <row r="163" spans="1:10" s="1" customFormat="1">
      <c r="A163" s="2">
        <f t="shared" si="0"/>
        <v>158</v>
      </c>
      <c r="B163" s="5"/>
      <c r="C163" s="13"/>
      <c r="D163" s="5"/>
      <c r="E163" s="4"/>
      <c r="F163" s="3"/>
      <c r="G163" s="3"/>
      <c r="H163" s="2"/>
      <c r="I163" s="4"/>
      <c r="J163" s="4"/>
    </row>
    <row r="164" spans="1:10" s="1" customFormat="1">
      <c r="A164" s="2">
        <f t="shared" si="0"/>
        <v>159</v>
      </c>
      <c r="B164" s="5"/>
      <c r="C164" s="5"/>
      <c r="D164" s="5"/>
      <c r="E164" s="4"/>
      <c r="F164" s="3"/>
      <c r="G164" s="3"/>
      <c r="H164" s="2"/>
      <c r="I164" s="4"/>
      <c r="J164" s="4"/>
    </row>
    <row r="165" spans="1:10" s="1" customFormat="1">
      <c r="A165" s="2">
        <f t="shared" si="0"/>
        <v>160</v>
      </c>
      <c r="B165" s="5"/>
      <c r="C165" s="13"/>
      <c r="D165" s="5"/>
      <c r="E165" s="4"/>
      <c r="F165" s="3"/>
      <c r="G165" s="3"/>
      <c r="H165" s="2"/>
      <c r="I165" s="4"/>
      <c r="J165" s="4"/>
    </row>
    <row r="166" spans="1:10" s="1" customFormat="1">
      <c r="A166" s="2">
        <f t="shared" si="0"/>
        <v>161</v>
      </c>
      <c r="B166" s="5"/>
      <c r="C166" s="5"/>
      <c r="D166" s="5"/>
      <c r="E166" s="4"/>
      <c r="F166" s="3"/>
      <c r="G166" s="3"/>
      <c r="H166" s="2"/>
      <c r="I166" s="4"/>
      <c r="J166" s="4"/>
    </row>
    <row r="167" spans="1:10" s="1" customFormat="1">
      <c r="A167" s="2">
        <f t="shared" si="0"/>
        <v>162</v>
      </c>
      <c r="B167" s="5"/>
      <c r="C167" s="5"/>
      <c r="D167" s="5"/>
      <c r="E167" s="4"/>
      <c r="F167" s="3"/>
      <c r="G167" s="3"/>
      <c r="H167" s="2"/>
      <c r="I167" s="4"/>
      <c r="J167" s="4"/>
    </row>
    <row r="168" spans="1:10" s="1" customFormat="1">
      <c r="A168" s="2">
        <f t="shared" si="0"/>
        <v>163</v>
      </c>
      <c r="B168" s="5"/>
      <c r="C168" s="13"/>
      <c r="D168" s="5"/>
      <c r="E168" s="4"/>
      <c r="F168" s="3"/>
      <c r="G168" s="3"/>
      <c r="H168" s="2"/>
      <c r="I168" s="4"/>
      <c r="J168" s="4"/>
    </row>
    <row r="169" spans="1:10" s="1" customFormat="1">
      <c r="A169" s="2">
        <f t="shared" si="0"/>
        <v>164</v>
      </c>
      <c r="B169" s="5"/>
      <c r="C169" s="5"/>
      <c r="D169" s="5"/>
      <c r="E169" s="4"/>
      <c r="F169" s="3"/>
      <c r="G169" s="3"/>
      <c r="H169" s="2"/>
      <c r="I169" s="4"/>
      <c r="J169" s="4"/>
    </row>
    <row r="171" spans="1:10">
      <c r="B171" t="s">
        <v>10</v>
      </c>
    </row>
  </sheetData>
  <mergeCells count="1">
    <mergeCell ref="H5:J5"/>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16</vt:i4>
      </vt:variant>
    </vt:vector>
  </HeadingPairs>
  <TitlesOfParts>
    <vt:vector size="25" baseType="lpstr">
      <vt:lpstr>表紙</vt:lpstr>
      <vt:lpstr>見積原価管理</vt:lpstr>
      <vt:lpstr>アップロード</vt:lpstr>
      <vt:lpstr>ワークシート選択</vt:lpstr>
      <vt:lpstr>ワークシート登録</vt:lpstr>
      <vt:lpstr>見積原価検索</vt:lpstr>
      <vt:lpstr>見積原価一覧</vt:lpstr>
      <vt:lpstr>見積原価プレビュー</vt:lpstr>
      <vt:lpstr>見積原価削除</vt:lpstr>
      <vt:lpstr>アップロード!comp_count</vt:lpstr>
      <vt:lpstr>ワークシート選択!comp_count</vt:lpstr>
      <vt:lpstr>ワークシート登録!comp_count</vt:lpstr>
      <vt:lpstr>見積原価プレビュー!comp_count</vt:lpstr>
      <vt:lpstr>見積原価一覧!comp_count</vt:lpstr>
      <vt:lpstr>見積原価管理!comp_count</vt:lpstr>
      <vt:lpstr>見積原価検索!comp_count</vt:lpstr>
      <vt:lpstr>見積原価削除!comp_count</vt:lpstr>
      <vt:lpstr>アップロード!item_count</vt:lpstr>
      <vt:lpstr>ワークシート選択!item_count</vt:lpstr>
      <vt:lpstr>ワークシート登録!item_count</vt:lpstr>
      <vt:lpstr>見積原価プレビュー!item_count</vt:lpstr>
      <vt:lpstr>見積原価一覧!item_count</vt:lpstr>
      <vt:lpstr>見積原価管理!item_count</vt:lpstr>
      <vt:lpstr>見積原価検索!item_count</vt:lpstr>
      <vt:lpstr>見積原価削除!item_count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2019-07-02T05:09:24Z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