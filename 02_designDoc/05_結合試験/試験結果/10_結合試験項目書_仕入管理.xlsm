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192.168.2.200\開発\クワガタ\03_H30 KID'Sシステムリニューアル\05_結合試験\試験結果\"/>
    </mc:Choice>
  </mc:AlternateContent>
  <xr:revisionPtr revIDLastSave="0" documentId="13_ncr:1_{64ABEE1E-DAB5-4267-B8E6-E2418C758D9B}" xr6:coauthVersionLast="45" xr6:coauthVersionMax="45" xr10:uidLastSave="{00000000-0000-0000-0000-000000000000}"/>
  <bookViews>
    <workbookView xWindow="-108" yWindow="-108" windowWidth="23256" windowHeight="12576" activeTab="4" xr2:uid="{00000000-000D-0000-FFFF-FFFF00000000}"/>
  </bookViews>
  <sheets>
    <sheet name="表紙" sheetId="8" r:id="rId1"/>
    <sheet name="仕入管理メニュー" sheetId="18" r:id="rId2"/>
    <sheet name="仕入登録" sheetId="17" r:id="rId3"/>
    <sheet name="仕入検索" sheetId="5" r:id="rId4"/>
    <sheet name="仕入一覧" sheetId="6" r:id="rId5"/>
    <sheet name="仕入詳細" sheetId="7" r:id="rId6"/>
    <sheet name="仕入修正" sheetId="19" r:id="rId7"/>
    <sheet name="仕入削除" sheetId="20" r:id="rId8"/>
  </sheets>
  <definedNames>
    <definedName name="comp_count" localSheetId="4">仕入一覧!$C$4</definedName>
    <definedName name="comp_count" localSheetId="1">仕入管理メニュー!$C$4</definedName>
    <definedName name="comp_count" localSheetId="3">仕入検索!$C$4</definedName>
    <definedName name="comp_count" localSheetId="7">仕入削除!$C$4</definedName>
    <definedName name="comp_count" localSheetId="6">仕入修正!$C$4</definedName>
    <definedName name="comp_count" localSheetId="5">仕入詳細!$C$4</definedName>
    <definedName name="comp_count" localSheetId="2">仕入登録!$C$4</definedName>
    <definedName name="item_count" localSheetId="4">仕入一覧!$C$2</definedName>
    <definedName name="item_count" localSheetId="1">仕入管理メニュー!$C$2</definedName>
    <definedName name="item_count" localSheetId="3">仕入検索!$C$2</definedName>
    <definedName name="item_count" localSheetId="7">仕入削除!$C$2</definedName>
    <definedName name="item_count" localSheetId="6">仕入修正!$C$2</definedName>
    <definedName name="item_count" localSheetId="5">仕入詳細!$C$2</definedName>
    <definedName name="item_count" localSheetId="2">仕入登録!$C$2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18" l="1"/>
  <c r="C3" i="17"/>
  <c r="C3" i="5"/>
  <c r="C3" i="6"/>
  <c r="C3" i="7"/>
  <c r="C3" i="19"/>
  <c r="C3" i="20"/>
  <c r="A32" i="19" l="1"/>
  <c r="A16" i="19"/>
  <c r="A15" i="19"/>
  <c r="A26" i="20"/>
  <c r="A25" i="20"/>
  <c r="A24" i="20"/>
  <c r="A23" i="20"/>
  <c r="A22" i="20"/>
  <c r="A21" i="20"/>
  <c r="A20" i="20"/>
  <c r="A19" i="20"/>
  <c r="A18" i="20"/>
  <c r="A17" i="20"/>
  <c r="A16" i="20"/>
  <c r="A15" i="20"/>
  <c r="A14" i="20"/>
  <c r="A13" i="20"/>
  <c r="A12" i="20"/>
  <c r="A11" i="20"/>
  <c r="A10" i="20"/>
  <c r="A9" i="20"/>
  <c r="A8" i="20"/>
  <c r="A7" i="20"/>
  <c r="C4" i="20"/>
  <c r="C2" i="20"/>
  <c r="C1" i="20"/>
  <c r="A14" i="19"/>
  <c r="A13" i="19"/>
  <c r="A11" i="19"/>
  <c r="A12" i="19"/>
  <c r="A36" i="19"/>
  <c r="A35" i="19"/>
  <c r="A34" i="19"/>
  <c r="A33" i="19"/>
  <c r="A31" i="19"/>
  <c r="A30" i="19"/>
  <c r="A29" i="19"/>
  <c r="A28" i="19"/>
  <c r="A27" i="19"/>
  <c r="A26" i="19"/>
  <c r="A25" i="19"/>
  <c r="A24" i="19"/>
  <c r="A23" i="19"/>
  <c r="A22" i="19"/>
  <c r="A21" i="19"/>
  <c r="A20" i="19"/>
  <c r="A19" i="19"/>
  <c r="A18" i="19"/>
  <c r="A17" i="19"/>
  <c r="A10" i="19"/>
  <c r="A9" i="19"/>
  <c r="A8" i="19"/>
  <c r="A7" i="19"/>
  <c r="C4" i="19"/>
  <c r="C2" i="19"/>
  <c r="C1" i="19"/>
  <c r="A21" i="17"/>
  <c r="A20" i="17"/>
  <c r="A19" i="17"/>
  <c r="A18" i="17"/>
  <c r="A17" i="17"/>
  <c r="A29" i="17"/>
  <c r="A28" i="17"/>
  <c r="A27" i="17"/>
  <c r="A22" i="17" l="1"/>
  <c r="A16" i="17"/>
  <c r="A15" i="17"/>
  <c r="A14" i="17"/>
  <c r="A13" i="17"/>
  <c r="A10" i="17"/>
  <c r="A16" i="18"/>
  <c r="A15" i="18"/>
  <c r="A14" i="18"/>
  <c r="A13" i="18"/>
  <c r="A12" i="18"/>
  <c r="A11" i="18"/>
  <c r="A10" i="18"/>
  <c r="A9" i="18"/>
  <c r="A8" i="18"/>
  <c r="A7" i="18"/>
  <c r="C4" i="18"/>
  <c r="C2" i="18"/>
  <c r="C1" i="18"/>
  <c r="A30" i="17"/>
  <c r="A26" i="17"/>
  <c r="A25" i="17"/>
  <c r="A24" i="17"/>
  <c r="A23" i="17"/>
  <c r="A12" i="17"/>
  <c r="A11" i="17"/>
  <c r="A9" i="17"/>
  <c r="A8" i="17"/>
  <c r="A7" i="17"/>
  <c r="C4" i="17"/>
  <c r="C2" i="17"/>
  <c r="C1" i="17"/>
  <c r="A21" i="6" l="1"/>
  <c r="A20" i="6"/>
  <c r="A19" i="6"/>
  <c r="A22" i="6"/>
  <c r="A17" i="6"/>
  <c r="A18" i="7"/>
  <c r="A17" i="7"/>
  <c r="A19" i="7" l="1"/>
  <c r="C4" i="7"/>
  <c r="C2" i="7"/>
  <c r="A16" i="7" l="1"/>
  <c r="A23" i="7"/>
  <c r="A22" i="7"/>
  <c r="A21" i="7"/>
  <c r="A20" i="7"/>
  <c r="A15" i="7"/>
  <c r="A14" i="7"/>
  <c r="A12" i="7"/>
  <c r="A11" i="7"/>
  <c r="A13" i="7"/>
  <c r="A10" i="7"/>
  <c r="A9" i="7"/>
  <c r="A8" i="7"/>
  <c r="A7" i="7"/>
  <c r="C1" i="7"/>
  <c r="A12" i="6"/>
  <c r="A37" i="6"/>
  <c r="A36" i="6"/>
  <c r="A35" i="6"/>
  <c r="A34" i="6"/>
  <c r="A33" i="6"/>
  <c r="A32" i="6"/>
  <c r="A29" i="6"/>
  <c r="A31" i="6"/>
  <c r="A30" i="6"/>
  <c r="A28" i="6"/>
  <c r="A27" i="6"/>
  <c r="A26" i="6"/>
  <c r="A25" i="6"/>
  <c r="A24" i="6"/>
  <c r="A23" i="6"/>
  <c r="A18" i="6"/>
  <c r="A16" i="6"/>
  <c r="A15" i="6"/>
  <c r="A14" i="6"/>
  <c r="A13" i="6"/>
  <c r="A11" i="6"/>
  <c r="A10" i="6"/>
  <c r="A9" i="6"/>
  <c r="A8" i="6"/>
  <c r="A7" i="6"/>
  <c r="C4" i="6"/>
  <c r="C2" i="6"/>
  <c r="C1" i="6"/>
  <c r="A16" i="5"/>
  <c r="A15" i="5"/>
  <c r="A14" i="5"/>
  <c r="A13" i="5"/>
  <c r="A12" i="5"/>
  <c r="A11" i="5"/>
  <c r="A10" i="5"/>
  <c r="A9" i="5"/>
  <c r="A8" i="5"/>
  <c r="A7" i="5"/>
  <c r="C4"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100-000001000000}">
      <text>
        <r>
          <rPr>
            <b/>
            <sz val="9"/>
            <color indexed="81"/>
            <rFont val="MS P ゴシック"/>
            <family val="3"/>
            <charset val="128"/>
          </rPr>
          <t>試験開始した日付を記入する。</t>
        </r>
      </text>
    </comment>
    <comment ref="G6" authorId="0" shapeId="0" xr:uid="{00000000-0006-0000-0100-000002000000}">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solcom-ad</author>
  </authors>
  <commentList>
    <comment ref="F6" authorId="0" shapeId="0" xr:uid="{00000000-0006-0000-0200-000001000000}">
      <text>
        <r>
          <rPr>
            <b/>
            <sz val="9"/>
            <color indexed="81"/>
            <rFont val="MS P ゴシック"/>
            <family val="3"/>
            <charset val="128"/>
          </rPr>
          <t>試験開始した日付を記入する。</t>
        </r>
      </text>
    </comment>
    <comment ref="G6" authorId="0" shapeId="0" xr:uid="{00000000-0006-0000-0200-000002000000}">
      <text>
        <r>
          <rPr>
            <b/>
            <sz val="9"/>
            <color indexed="81"/>
            <rFont val="MS P ゴシック"/>
            <family val="3"/>
            <charset val="128"/>
          </rPr>
          <t>確認OKとなった日付を記入する。</t>
        </r>
      </text>
    </comment>
    <comment ref="D15" authorId="1" shapeId="0" xr:uid="{00000000-0006-0000-0200-000003000000}">
      <text>
        <r>
          <rPr>
            <b/>
            <sz val="9"/>
            <color indexed="81"/>
            <rFont val="MS P ゴシック"/>
            <family val="3"/>
            <charset val="128"/>
          </rPr>
          <t>solcom-ad:</t>
        </r>
        <r>
          <rPr>
            <sz val="9"/>
            <color indexed="81"/>
            <rFont val="MS P ゴシック"/>
            <family val="3"/>
            <charset val="128"/>
          </rPr>
          <t xml:space="preserve">
確認画面、完了画面がない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300-000001000000}">
      <text>
        <r>
          <rPr>
            <b/>
            <sz val="9"/>
            <color indexed="81"/>
            <rFont val="MS P ゴシック"/>
            <family val="3"/>
            <charset val="128"/>
          </rPr>
          <t>試験開始した日付を記入する。</t>
        </r>
      </text>
    </comment>
    <comment ref="G6" authorId="0" shapeId="0" xr:uid="{00000000-0006-0000-0300-000002000000}">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400-000001000000}">
      <text>
        <r>
          <rPr>
            <b/>
            <sz val="9"/>
            <color indexed="81"/>
            <rFont val="MS P ゴシック"/>
            <family val="3"/>
            <charset val="128"/>
          </rPr>
          <t>試験開始した日付を記入する。</t>
        </r>
      </text>
    </comment>
    <comment ref="G6" authorId="0" shapeId="0" xr:uid="{00000000-0006-0000-0400-000002000000}">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500-000001000000}">
      <text>
        <r>
          <rPr>
            <b/>
            <sz val="9"/>
            <color indexed="81"/>
            <rFont val="MS P ゴシック"/>
            <family val="3"/>
            <charset val="128"/>
          </rPr>
          <t>試験開始した日付を記入する。</t>
        </r>
      </text>
    </comment>
    <comment ref="G6" authorId="0" shapeId="0" xr:uid="{00000000-0006-0000-0500-000002000000}">
      <text>
        <r>
          <rPr>
            <b/>
            <sz val="9"/>
            <color indexed="81"/>
            <rFont val="MS P ゴシック"/>
            <family val="3"/>
            <charset val="128"/>
          </rPr>
          <t>確認OKとなった日付を記入する。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600-000001000000}">
      <text>
        <r>
          <rPr>
            <b/>
            <sz val="9"/>
            <color indexed="81"/>
            <rFont val="MS P ゴシック"/>
            <family val="3"/>
            <charset val="128"/>
          </rPr>
          <t>試験開始した日付を記入する。</t>
        </r>
      </text>
    </comment>
    <comment ref="G6" authorId="0" shapeId="0" xr:uid="{00000000-0006-0000-0600-000002000000}">
      <text>
        <r>
          <rPr>
            <b/>
            <sz val="9"/>
            <color indexed="81"/>
            <rFont val="MS P ゴシック"/>
            <family val="3"/>
            <charset val="128"/>
          </rPr>
          <t>確認OKとなった日付を記入する。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00000000-0006-0000-0700-000001000000}">
      <text>
        <r>
          <rPr>
            <b/>
            <sz val="9"/>
            <color indexed="81"/>
            <rFont val="MS P ゴシック"/>
            <family val="3"/>
            <charset val="128"/>
          </rPr>
          <t>試験開始した日付を記入する。</t>
        </r>
      </text>
    </comment>
    <comment ref="G6" authorId="0" shapeId="0" xr:uid="{00000000-0006-0000-0700-000002000000}">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<sst xmlns="http://schemas.openxmlformats.org/spreadsheetml/2006/main" count="334" uniqueCount="116">
  <si>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</si>
  <si>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</si>
  <si>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</si>
  <si>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</si>
  <si>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</si>
  <si>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</si>
  <si>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</si>
  <si>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</si>
  <si>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</si>
  <si>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</si>
  <si>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</si>
  <si>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</si>
  <si>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</si>
  <si>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</si>
  <si>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</si>
  <si>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</si>
  <si>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</si>
  <si>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</si>
  <si>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</si>
  <si>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</si>
  <si>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</si>
  <si>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</si>
  <si>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</si>
  <si>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</si>
  <si>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</si>
  <si>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</si>
  <si>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</si>
  <si>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</si>
  <si>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</si>
  <si>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</si>
  <si>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</si>
  <si>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</si>
  <si>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</si>
  <si>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</si>
  <si>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</si>
  <si>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</si>
  <si>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</si>
  <si>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</si>
  <si>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登録ボタン押下</t>
    <rPh sb="0" eb="2">
      <t>トウロク</t>
    </rPh>
    <rPh sb="5" eb="7">
      <t>オウカ</t>
    </rPh>
    <phoneticPr fontId="1"/>
  </si>
  <si>
    <t>登録ボタンを押下する。</t>
    <rPh sb="0" eb="2">
      <t>トウロク</t>
    </rPh>
    <rPh sb="6" eb="8">
      <t>オウカ</t>
    </rPh>
    <phoneticPr fontId="1"/>
  </si>
  <si>
    <t>メインメニュー画面で仕入管理メニューボタンを押下する。</t>
    <rPh sb="7" eb="9">
      <t>ガメン</t>
    </rPh>
    <rPh sb="10" eb="12">
      <t>シイレ</t>
    </rPh>
    <rPh sb="12" eb="14">
      <t>カンリ</t>
    </rPh>
    <rPh sb="22" eb="24">
      <t>オウカ</t>
    </rPh>
    <phoneticPr fontId="1"/>
  </si>
  <si>
    <t>仕入管理メニュー画面に遷移すること。</t>
    <rPh sb="0" eb="2">
      <t>シイレ</t>
    </rPh>
    <rPh sb="2" eb="4">
      <t>カンリ</t>
    </rPh>
    <rPh sb="8" eb="10">
      <t>ガメン</t>
    </rPh>
    <rPh sb="11" eb="13">
      <t>センイ</t>
    </rPh>
    <phoneticPr fontId="1"/>
  </si>
  <si>
    <t>仕入登録ボタン押下</t>
    <rPh sb="0" eb="2">
      <t>シイレ</t>
    </rPh>
    <rPh sb="2" eb="4">
      <t>トウロク</t>
    </rPh>
    <rPh sb="7" eb="9">
      <t>オウカ</t>
    </rPh>
    <phoneticPr fontId="1"/>
  </si>
  <si>
    <t>仕入登録ボタンを押下する</t>
    <rPh sb="0" eb="2">
      <t>シイレ</t>
    </rPh>
    <rPh sb="2" eb="4">
      <t>トウロク</t>
    </rPh>
    <rPh sb="8" eb="10">
      <t>オウカ</t>
    </rPh>
    <phoneticPr fontId="1"/>
  </si>
  <si>
    <t>仕入登録画面に遷移すること。</t>
    <rPh sb="0" eb="2">
      <t>シイレ</t>
    </rPh>
    <rPh sb="2" eb="4">
      <t>トウロク</t>
    </rPh>
    <rPh sb="4" eb="6">
      <t>ガメン</t>
    </rPh>
    <rPh sb="7" eb="9">
      <t>センイ</t>
    </rPh>
    <phoneticPr fontId="1"/>
  </si>
  <si>
    <t>表示されている仕入登録画面が次期システム版のものであること。</t>
    <rPh sb="0" eb="2">
      <t>ヒョウジ</t>
    </rPh>
    <rPh sb="7" eb="9">
      <t>シイレ</t>
    </rPh>
    <rPh sb="9" eb="11">
      <t>トウロク</t>
    </rPh>
    <rPh sb="11" eb="13">
      <t>ガメン</t>
    </rPh>
    <rPh sb="14" eb="16">
      <t>ジキ</t>
    </rPh>
    <rPh sb="20" eb="21">
      <t>バン</t>
    </rPh>
    <phoneticPr fontId="1"/>
  </si>
  <si>
    <t>メインメニューボタンを押下する。</t>
    <rPh sb="11" eb="13">
      <t>オウカ</t>
    </rPh>
    <phoneticPr fontId="1"/>
  </si>
  <si>
    <t>メインメニュー画面に遷移すること。</t>
    <rPh sb="7" eb="9">
      <t>ガメン</t>
    </rPh>
    <rPh sb="10" eb="12">
      <t>センイ</t>
    </rPh>
    <phoneticPr fontId="1"/>
  </si>
  <si>
    <t>仕入検索ボタン押下</t>
    <rPh sb="0" eb="2">
      <t>シイレ</t>
    </rPh>
    <rPh sb="2" eb="4">
      <t>ケンサク</t>
    </rPh>
    <rPh sb="7" eb="9">
      <t>オウカ</t>
    </rPh>
    <phoneticPr fontId="1"/>
  </si>
  <si>
    <t>仕入検索ボタンを押下する</t>
    <rPh sb="0" eb="2">
      <t>シイレ</t>
    </rPh>
    <rPh sb="2" eb="4">
      <t>ケンサク</t>
    </rPh>
    <rPh sb="8" eb="10">
      <t>オウカ</t>
    </rPh>
    <phoneticPr fontId="1"/>
  </si>
  <si>
    <t>仕入登検索画面に遷移すること。</t>
    <rPh sb="0" eb="2">
      <t>シイレ</t>
    </rPh>
    <rPh sb="2" eb="3">
      <t>ノボル</t>
    </rPh>
    <rPh sb="3" eb="5">
      <t>ケンサク</t>
    </rPh>
    <rPh sb="5" eb="7">
      <t>ガメン</t>
    </rPh>
    <rPh sb="8" eb="10">
      <t>センイ</t>
    </rPh>
    <phoneticPr fontId="1"/>
  </si>
  <si>
    <t>メインメニュー画面で仕入登録ボタンを押下する。</t>
    <rPh sb="7" eb="9">
      <t>ガメン</t>
    </rPh>
    <rPh sb="10" eb="12">
      <t>シイレ</t>
    </rPh>
    <rPh sb="12" eb="14">
      <t>トウロク</t>
    </rPh>
    <rPh sb="18" eb="20">
      <t>オウカ</t>
    </rPh>
    <phoneticPr fontId="1"/>
  </si>
  <si>
    <t>仕入登録画面に遷移すること。</t>
    <rPh sb="0" eb="2">
      <t>シイレ</t>
    </rPh>
    <rPh sb="2" eb="4">
      <t>トウロク</t>
    </rPh>
    <rPh sb="4" eb="6">
      <t>ガメン</t>
    </rPh>
    <phoneticPr fontId="1"/>
  </si>
  <si>
    <t>発注書検索</t>
    <rPh sb="0" eb="3">
      <t>ハッチュウショ</t>
    </rPh>
    <rPh sb="3" eb="5">
      <t>ケンサク</t>
    </rPh>
    <phoneticPr fontId="1"/>
  </si>
  <si>
    <t>発注書NOに存在する発注書の発注書番号を入力し、発注書NOボタンを押下する。</t>
    <rPh sb="0" eb="3">
      <t>ハッチュウショ</t>
    </rPh>
    <rPh sb="6" eb="8">
      <t>ソンザイ</t>
    </rPh>
    <rPh sb="10" eb="13">
      <t>ハッチュウショ</t>
    </rPh>
    <rPh sb="14" eb="17">
      <t>ハッチュウショ</t>
    </rPh>
    <rPh sb="17" eb="19">
      <t>バンゴウ</t>
    </rPh>
    <rPh sb="20" eb="22">
      <t>ニュウリョク</t>
    </rPh>
    <rPh sb="24" eb="27">
      <t>ハッチュウショ</t>
    </rPh>
    <rPh sb="33" eb="35">
      <t>オウカ</t>
    </rPh>
    <phoneticPr fontId="1"/>
  </si>
  <si>
    <t>明細の表示順はPO明細の表示順と同じであること。</t>
    <rPh sb="0" eb="2">
      <t>メイサイ</t>
    </rPh>
    <rPh sb="3" eb="5">
      <t>ヒョウジ</t>
    </rPh>
    <rPh sb="5" eb="6">
      <t>ジュン</t>
    </rPh>
    <rPh sb="9" eb="11">
      <t>メイサイ</t>
    </rPh>
    <rPh sb="12" eb="14">
      <t>ヒョウジ</t>
    </rPh>
    <rPh sb="14" eb="15">
      <t>ジュン</t>
    </rPh>
    <rPh sb="16" eb="17">
      <t>オナ</t>
    </rPh>
    <phoneticPr fontId="1"/>
  </si>
  <si>
    <t>消費税区分変更</t>
    <rPh sb="0" eb="3">
      <t>ショウヒゼイ</t>
    </rPh>
    <rPh sb="3" eb="5">
      <t>クブン</t>
    </rPh>
    <rPh sb="5" eb="7">
      <t>ヘンコウ</t>
    </rPh>
    <phoneticPr fontId="1"/>
  </si>
  <si>
    <t>明細一覧に表示されている任意の明細の消費税区分を変更する。</t>
    <rPh sb="0" eb="2">
      <t>メイサイ</t>
    </rPh>
    <rPh sb="2" eb="4">
      <t>イチラン</t>
    </rPh>
    <rPh sb="5" eb="7">
      <t>ヒョウジ</t>
    </rPh>
    <rPh sb="12" eb="14">
      <t>ニンイ</t>
    </rPh>
    <rPh sb="15" eb="17">
      <t>メイサイ</t>
    </rPh>
    <rPh sb="18" eb="21">
      <t>ショウヒゼイ</t>
    </rPh>
    <rPh sb="21" eb="23">
      <t>クブン</t>
    </rPh>
    <rPh sb="24" eb="26">
      <t>ヘンコウ</t>
    </rPh>
    <phoneticPr fontId="1"/>
  </si>
  <si>
    <t>変更した行の消費税額が基本設計書の動作定義「税額計算」で算出した計算と同じ値になっていること。
（各税区分全てで確認すること）</t>
    <rPh sb="0" eb="2">
      <t>ヘンコウ</t>
    </rPh>
    <rPh sb="4" eb="5">
      <t>ギョウ</t>
    </rPh>
    <rPh sb="6" eb="9">
      <t>ショウヒゼイ</t>
    </rPh>
    <rPh sb="9" eb="10">
      <t>ガク</t>
    </rPh>
    <rPh sb="11" eb="13">
      <t>キホン</t>
    </rPh>
    <rPh sb="13" eb="16">
      <t>セッケイショ</t>
    </rPh>
    <rPh sb="17" eb="19">
      <t>ドウサ</t>
    </rPh>
    <rPh sb="19" eb="21">
      <t>テイギ</t>
    </rPh>
    <rPh sb="22" eb="24">
      <t>ゼイガク</t>
    </rPh>
    <rPh sb="24" eb="26">
      <t>ケイサン</t>
    </rPh>
    <rPh sb="28" eb="30">
      <t>サンシュツ</t>
    </rPh>
    <rPh sb="32" eb="34">
      <t>ケイサン</t>
    </rPh>
    <rPh sb="35" eb="36">
      <t>オナ</t>
    </rPh>
    <rPh sb="37" eb="38">
      <t>アタイ</t>
    </rPh>
    <rPh sb="49" eb="53">
      <t>カクゼイクブン</t>
    </rPh>
    <rPh sb="53" eb="54">
      <t>スベ</t>
    </rPh>
    <rPh sb="56" eb="58">
      <t>カクニン</t>
    </rPh>
    <phoneticPr fontId="1"/>
  </si>
  <si>
    <t>明細一覧に表示されている任意の明細の対象をonにする。</t>
    <rPh sb="0" eb="2">
      <t>メイサイ</t>
    </rPh>
    <rPh sb="2" eb="4">
      <t>イチラン</t>
    </rPh>
    <rPh sb="5" eb="7">
      <t>ヒョウジ</t>
    </rPh>
    <rPh sb="12" eb="14">
      <t>ニンイ</t>
    </rPh>
    <rPh sb="15" eb="17">
      <t>メイサイ</t>
    </rPh>
    <rPh sb="18" eb="20">
      <t>タイショウ</t>
    </rPh>
    <phoneticPr fontId="1"/>
  </si>
  <si>
    <t>ヘッダ・フッタ部の必須入力項目、対象がonとなっている明細行の必須項目を全て入力する。</t>
    <rPh sb="7" eb="8">
      <t>ブ</t>
    </rPh>
    <rPh sb="9" eb="11">
      <t>ヒッス</t>
    </rPh>
    <rPh sb="11" eb="13">
      <t>ニュウリョク</t>
    </rPh>
    <rPh sb="13" eb="15">
      <t>コウモク</t>
    </rPh>
    <rPh sb="16" eb="18">
      <t>タイショウ</t>
    </rPh>
    <rPh sb="27" eb="29">
      <t>メイサイ</t>
    </rPh>
    <rPh sb="29" eb="30">
      <t>ギョウ</t>
    </rPh>
    <rPh sb="31" eb="33">
      <t>ヒッス</t>
    </rPh>
    <rPh sb="33" eb="35">
      <t>コウモク</t>
    </rPh>
    <rPh sb="36" eb="37">
      <t>スベ</t>
    </rPh>
    <rPh sb="38" eb="40">
      <t>ニュウリョク</t>
    </rPh>
    <phoneticPr fontId="1"/>
  </si>
  <si>
    <t>仕入マスタに新規データが1件登録されること。</t>
    <rPh sb="0" eb="2">
      <t>シイレ</t>
    </rPh>
    <rPh sb="6" eb="8">
      <t>シンキ</t>
    </rPh>
    <rPh sb="13" eb="14">
      <t>ケン</t>
    </rPh>
    <rPh sb="14" eb="16">
      <t>トウロク</t>
    </rPh>
    <phoneticPr fontId="1"/>
  </si>
  <si>
    <t>登録されたデータの内容が基本設計書に記載された通りであること。</t>
    <rPh sb="0" eb="2">
      <t>トウロク</t>
    </rPh>
    <rPh sb="9" eb="11">
      <t>ナイヨウ</t>
    </rPh>
    <rPh sb="12" eb="14">
      <t>キホン</t>
    </rPh>
    <rPh sb="14" eb="17">
      <t>セッケイショ</t>
    </rPh>
    <rPh sb="18" eb="20">
      <t>キサイ</t>
    </rPh>
    <rPh sb="23" eb="24">
      <t>トオ</t>
    </rPh>
    <phoneticPr fontId="1"/>
  </si>
  <si>
    <t>対象がonになっている明細が全件仕入明細テーブルに登録されていること。</t>
    <rPh sb="0" eb="2">
      <t>タイショウ</t>
    </rPh>
    <rPh sb="11" eb="13">
      <t>メイサイ</t>
    </rPh>
    <rPh sb="14" eb="16">
      <t>ゼンケン</t>
    </rPh>
    <rPh sb="16" eb="18">
      <t>シイレ</t>
    </rPh>
    <rPh sb="18" eb="20">
      <t>メイサイ</t>
    </rPh>
    <rPh sb="25" eb="27">
      <t>トウロク</t>
    </rPh>
    <phoneticPr fontId="1"/>
  </si>
  <si>
    <t>対象がonになっている明細全件に紐づく仕入明細テーブルの発注状態が「納品済」に更新されていること。</t>
    <rPh sb="0" eb="2">
      <t>タイショウ</t>
    </rPh>
    <rPh sb="11" eb="13">
      <t>メイサイ</t>
    </rPh>
    <rPh sb="13" eb="15">
      <t>ゼンケン</t>
    </rPh>
    <rPh sb="16" eb="17">
      <t>ヒモ</t>
    </rPh>
    <rPh sb="19" eb="21">
      <t>シイレ</t>
    </rPh>
    <rPh sb="21" eb="23">
      <t>メイサイ</t>
    </rPh>
    <rPh sb="28" eb="30">
      <t>ハッチュウ</t>
    </rPh>
    <rPh sb="30" eb="32">
      <t>ジョウタイ</t>
    </rPh>
    <rPh sb="34" eb="36">
      <t>ノウヒン</t>
    </rPh>
    <rPh sb="36" eb="37">
      <t>ズミ</t>
    </rPh>
    <rPh sb="39" eb="41">
      <t>コウシン</t>
    </rPh>
    <phoneticPr fontId="1"/>
  </si>
  <si>
    <t>入力した発注NOの発注明細のうち、発注状態が「発注」であるデータのみが全件明細一覧に表示されていること。</t>
    <rPh sb="0" eb="2">
      <t>ニュウリョク</t>
    </rPh>
    <rPh sb="4" eb="6">
      <t>ハッチュウ</t>
    </rPh>
    <rPh sb="9" eb="11">
      <t>ハッチュウ</t>
    </rPh>
    <rPh sb="11" eb="13">
      <t>メイサイ</t>
    </rPh>
    <rPh sb="17" eb="19">
      <t>ハッチュウ</t>
    </rPh>
    <rPh sb="19" eb="21">
      <t>ジョウタイ</t>
    </rPh>
    <rPh sb="23" eb="25">
      <t>ハッチュウ</t>
    </rPh>
    <rPh sb="35" eb="37">
      <t>ゼンケン</t>
    </rPh>
    <rPh sb="37" eb="39">
      <t>メイサイ</t>
    </rPh>
    <rPh sb="39" eb="41">
      <t>イチラン</t>
    </rPh>
    <rPh sb="42" eb="44">
      <t>ヒョウジ</t>
    </rPh>
    <phoneticPr fontId="1"/>
  </si>
  <si>
    <t>登録確認画面が表示されること。</t>
    <rPh sb="0" eb="2">
      <t>トウロク</t>
    </rPh>
    <rPh sb="2" eb="4">
      <t>カクニン</t>
    </rPh>
    <rPh sb="4" eb="6">
      <t>ガメン</t>
    </rPh>
    <rPh sb="7" eb="9">
      <t>ヒョウジ</t>
    </rPh>
    <phoneticPr fontId="1"/>
  </si>
  <si>
    <t>登録確認画面に表示されている内容が基本設計書に記載された通りであること。</t>
    <rPh sb="0" eb="2">
      <t>トウロク</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</si>
  <si>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登録確認画面の閉じるボタンを押下する。</t>
    <rPh sb="0" eb="2">
      <t>トウロク</t>
    </rPh>
    <rPh sb="2" eb="4">
      <t>カクニン</t>
    </rPh>
    <rPh sb="4" eb="6">
      <t>ガメン</t>
    </rPh>
    <rPh sb="7" eb="8">
      <t>ト</t>
    </rPh>
    <rPh sb="14" eb="16">
      <t>オウカ</t>
    </rPh>
    <phoneticPr fontId="1"/>
  </si>
  <si>
    <t>登録ボタン押下前の状態であること。</t>
    <rPh sb="0" eb="2">
      <t>トウロク</t>
    </rPh>
    <rPh sb="5" eb="7">
      <t>オウカ</t>
    </rPh>
    <rPh sb="7" eb="8">
      <t>マエ</t>
    </rPh>
    <rPh sb="9" eb="11">
      <t>ジョウタイ</t>
    </rPh>
    <phoneticPr fontId="1"/>
  </si>
  <si>
    <t>登録確認画面の登録ボタンを押下する。</t>
    <rPh sb="0" eb="2">
      <t>トウロク</t>
    </rPh>
    <rPh sb="2" eb="4">
      <t>カクニン</t>
    </rPh>
    <rPh sb="4" eb="6">
      <t>ガメン</t>
    </rPh>
    <rPh sb="7" eb="9">
      <t>トウロク</t>
    </rPh>
    <rPh sb="13" eb="15">
      <t>オウカ</t>
    </rPh>
    <phoneticPr fontId="1"/>
  </si>
  <si>
    <t>登録完了画面に遷移すること。</t>
    <rPh sb="0" eb="2">
      <t>トウロク</t>
    </rPh>
    <rPh sb="2" eb="4">
      <t>カンリョウ</t>
    </rPh>
    <rPh sb="4" eb="6">
      <t>ガメン</t>
    </rPh>
    <rPh sb="7" eb="9">
      <t>センイ</t>
    </rPh>
    <phoneticPr fontId="1"/>
  </si>
  <si>
    <t>登録完了画面の閉じるボタンを押下する。</t>
    <rPh sb="0" eb="2">
      <t>トウロク</t>
    </rPh>
    <rPh sb="2" eb="4">
      <t>カンリョウ</t>
    </rPh>
    <rPh sb="4" eb="6">
      <t>ガメン</t>
    </rPh>
    <rPh sb="7" eb="8">
      <t>ト</t>
    </rPh>
    <rPh sb="14" eb="16">
      <t>オウカ</t>
    </rPh>
    <phoneticPr fontId="1"/>
  </si>
  <si>
    <t>表示内容が初期化されていること。</t>
    <rPh sb="0" eb="2">
      <t>ヒョウジ</t>
    </rPh>
    <rPh sb="2" eb="4">
      <t>ナイヨウ</t>
    </rPh>
    <rPh sb="5" eb="8">
      <t>ショキカ</t>
    </rPh>
    <phoneticPr fontId="1"/>
  </si>
  <si>
    <t>メインメニュー画面で仕入検索ボタンを押下する。</t>
    <rPh sb="7" eb="9">
      <t>ガメン</t>
    </rPh>
    <rPh sb="12" eb="14">
      <t>ケンサク</t>
    </rPh>
    <rPh sb="18" eb="20">
      <t>オウカ</t>
    </rPh>
    <phoneticPr fontId="1"/>
  </si>
  <si>
    <t>仕入検索画面に遷移すること。</t>
    <rPh sb="2" eb="4">
      <t>ケンサク</t>
    </rPh>
    <phoneticPr fontId="1"/>
  </si>
  <si>
    <t>仕入一覧画面に遷移すること。</t>
    <rPh sb="2" eb="4">
      <t>イチラン</t>
    </rPh>
    <rPh sb="4" eb="6">
      <t>ガメン</t>
    </rPh>
    <rPh sb="7" eb="9">
      <t>センイ</t>
    </rPh>
    <phoneticPr fontId="1"/>
  </si>
  <si>
    <t>仕入一覧画面に表示されている一覧が入力した検索条件をすべて満たしていること。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</si>
  <si>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仕入検索画面で「表示」をonにした項目すべてが表示されていること。</t>
    <rPh sb="2" eb="4">
      <t>ケンサク</t>
    </rPh>
    <rPh sb="4" eb="6">
      <t>ガメン</t>
    </rPh>
    <rPh sb="8" eb="10">
      <t>ヒョウジ</t>
    </rPh>
    <rPh sb="17" eb="19">
      <t>コウモク</t>
    </rPh>
    <rPh sb="23" eb="25">
      <t>ヒョウジ</t>
    </rPh>
    <phoneticPr fontId="1"/>
  </si>
  <si>
    <t>仕入検索画面で「表示」をonにしていない項目すべてが表示されていないこと。</t>
    <rPh sb="2" eb="4">
      <t>ケンサク</t>
    </rPh>
    <rPh sb="4" eb="6">
      <t>ガメン</t>
    </rPh>
    <rPh sb="8" eb="10">
      <t>ヒョウジ</t>
    </rPh>
    <rPh sb="20" eb="22">
      <t>コウモク</t>
    </rPh>
    <rPh sb="26" eb="28">
      <t>ヒョウジ</t>
    </rPh>
    <phoneticPr fontId="1"/>
  </si>
  <si>
    <t>「再販」の表示がonの場合、前回仕入分（=リバイスコードが最大値ではない）の製品マスタ情報が一覧に表示されていること。</t>
    <rPh sb="1" eb="3">
      <t>サイハン</t>
    </rPh>
    <rPh sb="5" eb="7">
      <t>ヒョウジ</t>
    </rPh>
    <rPh sb="11" eb="13">
      <t>バアイ</t>
    </rPh>
    <rPh sb="14" eb="16">
      <t>ゼンカイ</t>
    </rPh>
    <rPh sb="18" eb="19">
      <t>ブン</t>
    </rPh>
    <rPh sb="29" eb="32">
      <t>サイダイチ</t>
    </rPh>
    <rPh sb="38" eb="40">
      <t>セイヒン</t>
    </rPh>
    <rPh sb="43" eb="45">
      <t>ジョウホウ</t>
    </rPh>
    <rPh sb="46" eb="48">
      <t>イチラン</t>
    </rPh>
    <rPh sb="49" eb="51">
      <t>ヒョウジ</t>
    </rPh>
    <phoneticPr fontId="1"/>
  </si>
  <si>
    <t>「再販」の表示がoffの場合、今回仕入分（=リバイスコードが最大値）の製品マスタ情報だけが一覧に表示されていること。</t>
  </si>
  <si>
    <t>仕入一覧画面に表示されている内容が全行全項目ペーストされること。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</si>
  <si>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仕入詳細画面が表示されること。</t>
    <rPh sb="2" eb="4">
      <t>ショウサイ</t>
    </rPh>
    <rPh sb="4" eb="6">
      <t>ガメン</t>
    </rPh>
    <rPh sb="7" eb="9">
      <t>ヒョウジ</t>
    </rPh>
    <phoneticPr fontId="1"/>
  </si>
  <si>
    <t>仕入詳細画面を閉じる。</t>
    <rPh sb="2" eb="4">
      <t>ショウサイ</t>
    </rPh>
    <rPh sb="4" eb="6">
      <t>ガメン</t>
    </rPh>
    <rPh sb="7" eb="8">
      <t>ト</t>
    </rPh>
    <phoneticPr fontId="1"/>
  </si>
  <si>
    <t>仕入一覧画面が活性化されること。</t>
    <rPh sb="2" eb="4">
      <t>イチラン</t>
    </rPh>
    <rPh sb="4" eb="6">
      <t>ガメン</t>
    </rPh>
    <rPh sb="7" eb="10">
      <t>カッセイカ</t>
    </rPh>
    <phoneticPr fontId="1"/>
  </si>
  <si>
    <t>修正ボタン押下</t>
    <rPh sb="0" eb="2">
      <t>シュウセイ</t>
    </rPh>
    <rPh sb="5" eb="7">
      <t>オウカ</t>
    </rPh>
    <phoneticPr fontId="1"/>
  </si>
  <si>
    <t>表示されている任意の行の修正ボタンを押下する。</t>
    <rPh sb="0" eb="2">
      <t>ヒョウジ</t>
    </rPh>
    <rPh sb="7" eb="9">
      <t>ニンイ</t>
    </rPh>
    <rPh sb="10" eb="11">
      <t>ギョウ</t>
    </rPh>
    <rPh sb="12" eb="14">
      <t>シュウセイ</t>
    </rPh>
    <rPh sb="18" eb="20">
      <t>オウカ</t>
    </rPh>
    <phoneticPr fontId="1"/>
  </si>
  <si>
    <t>仕入修正画面が表示されること。</t>
    <rPh sb="2" eb="4">
      <t>シュウセイ</t>
    </rPh>
    <rPh sb="4" eb="6">
      <t>ガメン</t>
    </rPh>
    <rPh sb="7" eb="9">
      <t>ヒョウジ</t>
    </rPh>
    <phoneticPr fontId="1"/>
  </si>
  <si>
    <t>表示されている内容が、修正ボタンを押下した行のものであること。</t>
    <rPh sb="0" eb="2">
      <t>ヒョウジ</t>
    </rPh>
    <rPh sb="7" eb="9">
      <t>ナイヨウ</t>
    </rPh>
    <rPh sb="11" eb="13">
      <t>シュウセイ</t>
    </rPh>
    <rPh sb="17" eb="19">
      <t>オウカ</t>
    </rPh>
    <rPh sb="21" eb="22">
      <t>ギョウ</t>
    </rPh>
    <phoneticPr fontId="1"/>
  </si>
  <si>
    <t>メインメニュー画面で仕入検索ボタンを押下する。</t>
    <rPh sb="7" eb="9">
      <t>ガメン</t>
    </rPh>
    <rPh sb="10" eb="12">
      <t>シイレ</t>
    </rPh>
    <rPh sb="12" eb="14">
      <t>ケンサク</t>
    </rPh>
    <rPh sb="18" eb="20">
      <t>オウカ</t>
    </rPh>
    <phoneticPr fontId="1"/>
  </si>
  <si>
    <t>任意の行の修正ボタンを押下する。</t>
    <rPh sb="0" eb="2">
      <t>ニンイ</t>
    </rPh>
    <rPh sb="3" eb="4">
      <t>ギョウ</t>
    </rPh>
    <rPh sb="5" eb="7">
      <t>シュウセイ</t>
    </rPh>
    <rPh sb="11" eb="13">
      <t>オウカ</t>
    </rPh>
    <phoneticPr fontId="1"/>
  </si>
  <si>
    <t>検索ボタンを押下し、仕入一覧画面を表示する。</t>
    <rPh sb="0" eb="2">
      <t>ケンサク</t>
    </rPh>
    <rPh sb="6" eb="8">
      <t>オウカ</t>
    </rPh>
    <rPh sb="10" eb="12">
      <t>シイレ</t>
    </rPh>
    <rPh sb="12" eb="14">
      <t>イチラン</t>
    </rPh>
    <rPh sb="14" eb="16">
      <t>ガメン</t>
    </rPh>
    <rPh sb="17" eb="19">
      <t>ヒョウジ</t>
    </rPh>
    <phoneticPr fontId="1"/>
  </si>
  <si>
    <t>仕入登録画面の表示内容が基本設計書に定義された通りの状態であること。</t>
    <rPh sb="0" eb="2">
      <t>シイレ</t>
    </rPh>
    <rPh sb="2" eb="4">
      <t>トウロク</t>
    </rPh>
    <rPh sb="4" eb="6">
      <t>ガメン</t>
    </rPh>
    <rPh sb="7" eb="9">
      <t>ヒョウジ</t>
    </rPh>
    <rPh sb="9" eb="11">
      <t>ナイヨウ</t>
    </rPh>
    <rPh sb="12" eb="14">
      <t>キホン</t>
    </rPh>
    <rPh sb="14" eb="17">
      <t>セッケイショ</t>
    </rPh>
    <rPh sb="18" eb="20">
      <t>テイギ</t>
    </rPh>
    <rPh sb="23" eb="24">
      <t>トオ</t>
    </rPh>
    <rPh sb="26" eb="28">
      <t>ジョウタイ</t>
    </rPh>
    <phoneticPr fontId="1"/>
  </si>
  <si>
    <t>仕入詳細画面が閉じること。</t>
    <rPh sb="2" eb="4">
      <t>ショウサイ</t>
    </rPh>
    <rPh sb="4" eb="6">
      <t>ガメン</t>
    </rPh>
    <rPh sb="7" eb="8">
      <t>ト</t>
    </rPh>
    <phoneticPr fontId="1"/>
  </si>
  <si>
    <t>仕入一覧画面が活性化すること。</t>
    <rPh sb="2" eb="4">
      <t>イチラン</t>
    </rPh>
    <rPh sb="4" eb="6">
      <t>ガメン</t>
    </rPh>
    <rPh sb="7" eb="10">
      <t>カッセイカ</t>
    </rPh>
    <phoneticPr fontId="1"/>
  </si>
  <si>
    <t>削除ボタン押下</t>
    <rPh sb="0" eb="2">
      <t>サクジョ</t>
    </rPh>
    <rPh sb="5" eb="7">
      <t>オウカ</t>
    </rPh>
    <phoneticPr fontId="1"/>
  </si>
  <si>
    <t>仕入修正画面を閉じる。</t>
    <rPh sb="0" eb="2">
      <t>シイレ</t>
    </rPh>
    <rPh sb="2" eb="4">
      <t>シュウセイ</t>
    </rPh>
    <rPh sb="4" eb="6">
      <t>ガメン</t>
    </rPh>
    <rPh sb="7" eb="8">
      <t>ト</t>
    </rPh>
    <phoneticPr fontId="1"/>
  </si>
  <si>
    <t>表示されている任意の行の削除ボタンを押下する。</t>
    <rPh sb="0" eb="2">
      <t>ヒョウジ</t>
    </rPh>
    <rPh sb="7" eb="9">
      <t>ニンイ</t>
    </rPh>
    <rPh sb="10" eb="11">
      <t>ギョウ</t>
    </rPh>
    <rPh sb="12" eb="14">
      <t>サクジョ</t>
    </rPh>
    <rPh sb="18" eb="20">
      <t>オウカ</t>
    </rPh>
    <phoneticPr fontId="1"/>
  </si>
  <si>
    <t>仕入削除画面が表示されること。</t>
    <rPh sb="2" eb="4">
      <t>サクジョ</t>
    </rPh>
    <rPh sb="4" eb="6">
      <t>ガメン</t>
    </rPh>
    <rPh sb="7" eb="9">
      <t>ヒョウジ</t>
    </rPh>
    <phoneticPr fontId="1"/>
  </si>
  <si>
    <t>任意の行の削除ボタンを押下する。</t>
    <rPh sb="0" eb="2">
      <t>ニンイ</t>
    </rPh>
    <rPh sb="3" eb="4">
      <t>ギョウ</t>
    </rPh>
    <rPh sb="5" eb="7">
      <t>サクジョ</t>
    </rPh>
    <rPh sb="11" eb="13">
      <t>オウカ</t>
    </rPh>
    <phoneticPr fontId="1"/>
  </si>
  <si>
    <t>削除確認画面が表示されること。</t>
    <rPh sb="0" eb="2">
      <t>サクジョ</t>
    </rPh>
    <rPh sb="2" eb="4">
      <t>カクニン</t>
    </rPh>
    <rPh sb="4" eb="6">
      <t>ガメン</t>
    </rPh>
    <rPh sb="7" eb="9">
      <t>ヒョウジ</t>
    </rPh>
    <phoneticPr fontId="1"/>
  </si>
  <si>
    <t>削除確認画面に表示されている内容が基本設計書に記載された通りであること。</t>
    <rPh sb="0" eb="2">
      <t>サクジョ</t>
    </rPh>
    <rPh sb="2" eb="4">
      <t>カクニン</t>
    </rPh>
    <rPh sb="4" eb="6">
      <t>ガメン</t>
    </rPh>
    <rPh sb="7" eb="9">
      <t>ヒョウジ</t>
    </rPh>
    <rPh sb="14" eb="16">
      <t>ナイヨウ</t>
    </rPh>
    <rPh sb="17" eb="19">
      <t>キホン</t>
    </rPh>
    <rPh sb="19" eb="22">
      <t>セッケイショ</t>
    </rPh>
    <rPh sb="23" eb="25">
      <t>キサイ</t>
    </rPh>
    <rPh sb="28" eb="29">
      <t>トオ</t>
    </rPh>
    <phoneticPr fontId="1"/>
  </si>
  <si>
    <t>削除確認画面の閉じるボタンを押下する。</t>
    <rPh sb="0" eb="2">
      <t>サクジョ</t>
    </rPh>
    <rPh sb="2" eb="4">
      <t>カクニン</t>
    </rPh>
    <rPh sb="4" eb="6">
      <t>ガメン</t>
    </rPh>
    <rPh sb="7" eb="8">
      <t>ト</t>
    </rPh>
    <rPh sb="14" eb="16">
      <t>オウカ</t>
    </rPh>
    <phoneticPr fontId="1"/>
  </si>
  <si>
    <t>削除ボタンを押下する。</t>
    <rPh sb="0" eb="2">
      <t>サクジョ</t>
    </rPh>
    <rPh sb="6" eb="8">
      <t>オウカ</t>
    </rPh>
    <phoneticPr fontId="1"/>
  </si>
  <si>
    <t>削除確認画面の登録ボタンを押下する。</t>
    <rPh sb="0" eb="2">
      <t>サクジョ</t>
    </rPh>
    <rPh sb="2" eb="4">
      <t>カクニン</t>
    </rPh>
    <rPh sb="4" eb="6">
      <t>ガメン</t>
    </rPh>
    <rPh sb="7" eb="9">
      <t>トウロク</t>
    </rPh>
    <rPh sb="13" eb="15">
      <t>オウカ</t>
    </rPh>
    <phoneticPr fontId="1"/>
  </si>
  <si>
    <t>明細全件に紐づく仕入明細テーブルの発注状態が「発注」に更新されていること。</t>
    <rPh sb="0" eb="2">
      <t>メイサイ</t>
    </rPh>
    <rPh sb="2" eb="4">
      <t>ゼンケン</t>
    </rPh>
    <rPh sb="5" eb="6">
      <t>ヒモ</t>
    </rPh>
    <rPh sb="8" eb="10">
      <t>シイレ</t>
    </rPh>
    <rPh sb="10" eb="12">
      <t>メイサイ</t>
    </rPh>
    <rPh sb="17" eb="19">
      <t>ハッチュウ</t>
    </rPh>
    <rPh sb="19" eb="21">
      <t>ジョウタイ</t>
    </rPh>
    <rPh sb="23" eb="25">
      <t>ハッチュウ</t>
    </rPh>
    <rPh sb="27" eb="29">
      <t>コウシン</t>
    </rPh>
    <phoneticPr fontId="1"/>
  </si>
  <si>
    <t>明細が全件仕入明細テーブルに新規に登録されていること。</t>
    <rPh sb="0" eb="2">
      <t>メイサイ</t>
    </rPh>
    <rPh sb="3" eb="5">
      <t>ゼンケン</t>
    </rPh>
    <rPh sb="5" eb="7">
      <t>シイレ</t>
    </rPh>
    <rPh sb="7" eb="9">
      <t>メイサイ</t>
    </rPh>
    <rPh sb="14" eb="16">
      <t>シンキ</t>
    </rPh>
    <rPh sb="17" eb="19">
      <t>トウロク</t>
    </rPh>
    <phoneticPr fontId="1"/>
  </si>
  <si>
    <t>削除完了画面に遷移すること。</t>
    <rPh sb="0" eb="2">
      <t>サクジョ</t>
    </rPh>
    <rPh sb="2" eb="4">
      <t>カンリョウ</t>
    </rPh>
    <rPh sb="4" eb="6">
      <t>ガメン</t>
    </rPh>
    <rPh sb="7" eb="9">
      <t>センイ</t>
    </rPh>
    <phoneticPr fontId="1"/>
  </si>
  <si>
    <t>仕入一覧画面に遷移すること。</t>
    <rPh sb="0" eb="2">
      <t>シイレ</t>
    </rPh>
    <rPh sb="2" eb="4">
      <t>イチラン</t>
    </rPh>
    <rPh sb="4" eb="6">
      <t>ガメン</t>
    </rPh>
    <phoneticPr fontId="1"/>
  </si>
  <si>
    <t>削除完了画面の閉じるボタンを押下する。</t>
    <rPh sb="0" eb="2">
      <t>サクジョ</t>
    </rPh>
    <rPh sb="2" eb="4">
      <t>カンリョウ</t>
    </rPh>
    <rPh sb="4" eb="6">
      <t>ガメン</t>
    </rPh>
    <rPh sb="7" eb="8">
      <t>ト</t>
    </rPh>
    <rPh sb="14" eb="16">
      <t>オウカ</t>
    </rPh>
    <phoneticPr fontId="1"/>
  </si>
  <si>
    <t>対象がoffになっている明細全件に紐づく仕入明細テーブルの発注状態が「発注」に更新されていること。</t>
    <rPh sb="0" eb="2">
      <t>タイショウ</t>
    </rPh>
    <rPh sb="12" eb="14">
      <t>メイサイ</t>
    </rPh>
    <rPh sb="14" eb="16">
      <t>ゼンケン</t>
    </rPh>
    <rPh sb="17" eb="18">
      <t>ヒモ</t>
    </rPh>
    <rPh sb="20" eb="22">
      <t>シイレ</t>
    </rPh>
    <rPh sb="22" eb="24">
      <t>メイサイ</t>
    </rPh>
    <rPh sb="29" eb="31">
      <t>ハッチュウ</t>
    </rPh>
    <rPh sb="31" eb="33">
      <t>ジョウタイ</t>
    </rPh>
    <rPh sb="35" eb="37">
      <t>ハッチュウ</t>
    </rPh>
    <rPh sb="39" eb="41">
      <t>コウシン</t>
    </rPh>
    <phoneticPr fontId="1"/>
  </si>
  <si>
    <t>仕入修正画面が活性化すること。</t>
    <rPh sb="0" eb="2">
      <t>シイレ</t>
    </rPh>
    <rPh sb="2" eb="4">
      <t>シュウセイ</t>
    </rPh>
    <rPh sb="4" eb="6">
      <t>ガメン</t>
    </rPh>
    <rPh sb="7" eb="10">
      <t>カッセイカ</t>
    </rPh>
    <phoneticPr fontId="1"/>
  </si>
  <si>
    <t>着手数</t>
    <rPh sb="0" eb="2">
      <t>チャクシュ</t>
    </rPh>
    <rPh sb="2" eb="3">
      <t>スウ</t>
    </rPh>
    <phoneticPr fontId="1"/>
  </si>
  <si>
    <t>佐々</t>
    <rPh sb="0" eb="2">
      <t>ササ</t>
    </rPh>
    <phoneticPr fontId="1"/>
  </si>
  <si>
    <t>鈴木</t>
    <rPh sb="0" eb="2">
      <t>スズキ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</si>
</sst>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7">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175260</xdr:rowOff>
        </xdr:from>
        <xdr:to>
          <xdr:col>4</xdr:col>
          <xdr:colOff>381000</xdr:colOff>
          <xdr:row>1</xdr:row>
          <xdr:rowOff>213360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175260</xdr:rowOff>
                  </from>
                  <to>
                    <xdr:col>4</xdr:col>
                    <xdr:colOff>381000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J18"/>
  <sheetViews>
    <sheetView zoomScaleNormal="100" workbookViewId="0">
      <selection activeCell="D2" sqref="D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5" bestFit="1" customWidth="1"/>
    <col min="8" max="10" width="8.69921875" customWidth="1"/>
  </cols>
  <sheetData>
    <row r="1" spans="1:10">
      <c r="B1" s="10" t="s">
        <v>5</v>
      </c>
      <c r="C1" s="9" t="str">
        <f ca="1">RIGHT(CELL("filename",A2),LEN(CELL("filename",A2))-FIND("]",CELL("filename",A2)))</f>
        <v>仕入管理メニュー</v>
      </c>
      <c r="D1" s="7"/>
    </row>
    <row r="2" spans="1:10">
      <c r="B2" s="10" t="s">
        <v>9</v>
      </c>
      <c r="C2" s="9">
        <f>COUNTA(D7:D16)</f>
        <v>6</v>
      </c>
    </row>
    <row r="3" spans="1:10">
      <c r="B3" s="10" t="s">
        <v>113</v>
      </c>
      <c r="C3" s="9">
        <f>COUNTA(F7:F62)</f>
        <v>6</v>
      </c>
    </row>
    <row r="4" spans="1:10">
      <c r="B4" s="10" t="s">
        <v>11</v>
      </c>
      <c r="C4" s="9">
        <f>COUNTA(G7:G16)</f>
        <v>6</v>
      </c>
    </row>
    <row r="5" spans="1:10">
      <c r="B5" s="8"/>
      <c r="C5" s="7"/>
    </row>
    <row r="6" spans="1:10" s="6" customFormat="1">
      <c r="A6" s="16" t="s">
        <v>4</v>
      </c>
      <c r="B6" s="16" t="s">
        <v>6</v>
      </c>
      <c r="C6" s="16" t="s">
        <v>7</v>
      </c>
      <c r="D6" s="16" t="s">
        <v>3</v>
      </c>
      <c r="E6" s="16" t="s">
        <v>2</v>
      </c>
      <c r="F6" s="16" t="s">
        <v>1</v>
      </c>
      <c r="G6" s="16" t="s">
        <v>0</v>
      </c>
      <c r="H6" s="18" t="s">
        <v>8</v>
      </c>
      <c r="I6" s="18"/>
      <c r="J6" s="18"/>
    </row>
    <row r="7" spans="1:10" s="1" customFormat="1" ht="36">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40</v>
      </c>
      <c r="D10" s="5" t="s">
        <v>41</v>
      </c>
      <c r="E10" s="4" t="s">
        <v>114</v>
      </c>
      <c r="F10" s="3">
        <v>43741</v>
      </c>
      <c r="G10" s="3">
        <v>43741</v>
      </c>
      <c r="H10" s="2"/>
      <c r="I10" s="4"/>
      <c r="J10" s="4"/>
    </row>
    <row r="11" spans="1:10" s="1" customFormat="1">
      <c r="A11" s="2">
        <f t="shared" si="0"/>
        <v>6</v>
      </c>
      <c r="B11" s="5" t="s">
        <v>42</v>
      </c>
      <c r="C11" s="5" t="s">
        <v>43</v>
      </c>
      <c r="D11" s="5" t="s">
        <v>44</v>
      </c>
      <c r="E11" s="4" t="s">
        <v>114</v>
      </c>
      <c r="F11" s="3">
        <v>43741</v>
      </c>
      <c r="G11" s="3">
        <v>43741</v>
      </c>
      <c r="H11" s="2"/>
      <c r="I11" s="4"/>
      <c r="J11" s="4"/>
    </row>
    <row r="12" spans="1:10" s="1" customFormat="1" ht="36">
      <c r="A12" s="2">
        <f t="shared" si="0"/>
        <v>7</v>
      </c>
      <c r="B12" s="5"/>
      <c r="C12" s="5"/>
      <c r="D12" s="5" t="s">
        <v>45</v>
      </c>
      <c r="E12" s="4" t="s">
        <v>114</v>
      </c>
      <c r="F12" s="3">
        <v>43741</v>
      </c>
      <c r="G12" s="3">
        <v>43741</v>
      </c>
      <c r="H12" s="2"/>
      <c r="I12" s="4"/>
      <c r="J12" s="4"/>
    </row>
    <row r="13" spans="1:10" s="1" customFormat="1">
      <c r="A13" s="2">
        <f t="shared" si="0"/>
        <v>8</v>
      </c>
      <c r="B13" s="5" t="s">
        <v>48</v>
      </c>
      <c r="C13" s="5" t="s">
        <v>46</v>
      </c>
      <c r="D13" s="5" t="s">
        <v>47</v>
      </c>
      <c r="E13" s="4" t="s">
        <v>114</v>
      </c>
      <c r="F13" s="3">
        <v>43741</v>
      </c>
      <c r="G13" s="3">
        <v>43741</v>
      </c>
      <c r="H13" s="2"/>
      <c r="I13" s="4"/>
      <c r="J13" s="4"/>
    </row>
    <row r="14" spans="1:10" s="1" customFormat="1" ht="36">
      <c r="A14" s="2">
        <f t="shared" si="0"/>
        <v>9</v>
      </c>
      <c r="B14" s="5"/>
      <c r="C14" s="5" t="s">
        <v>40</v>
      </c>
      <c r="D14" s="5" t="s">
        <v>41</v>
      </c>
      <c r="E14" s="4" t="s">
        <v>114</v>
      </c>
      <c r="F14" s="3">
        <v>43741</v>
      </c>
      <c r="G14" s="3">
        <v>43741</v>
      </c>
      <c r="H14" s="2"/>
      <c r="I14" s="4"/>
      <c r="J14" s="4"/>
    </row>
    <row r="15" spans="1:10" s="1" customFormat="1">
      <c r="A15" s="2">
        <f t="shared" si="0"/>
        <v>10</v>
      </c>
      <c r="B15" s="5"/>
      <c r="C15" s="5" t="s">
        <v>49</v>
      </c>
      <c r="D15" s="5" t="s">
        <v>50</v>
      </c>
      <c r="E15" s="4" t="s">
        <v>114</v>
      </c>
      <c r="F15" s="3">
        <v>43741</v>
      </c>
      <c r="G15" s="3">
        <v>43741</v>
      </c>
      <c r="H15" s="2"/>
      <c r="I15" s="4"/>
      <c r="J15" s="4"/>
    </row>
    <row r="16" spans="1:10" s="1" customFormat="1">
      <c r="A16" s="2">
        <f t="shared" si="0"/>
        <v>11</v>
      </c>
      <c r="B16" s="5"/>
      <c r="C16" s="5"/>
      <c r="D16" s="5"/>
      <c r="E16" s="4"/>
      <c r="F16" s="3"/>
      <c r="G16" s="3"/>
      <c r="H16" s="2"/>
      <c r="I16" s="4"/>
      <c r="J16" s="4"/>
    </row>
    <row r="18" spans="2:2">
      <c r="B18"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32"/>
  <sheetViews>
    <sheetView topLeftCell="A16" workbookViewId="0">
      <selection activeCell="H20" sqref="H20"/>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仕入登録</v>
      </c>
      <c r="D1" s="7"/>
    </row>
    <row r="2" spans="1:10">
      <c r="B2" s="10" t="s">
        <v>9</v>
      </c>
      <c r="C2" s="9">
        <f>COUNTA(D7:D30)</f>
        <v>17</v>
      </c>
    </row>
    <row r="3" spans="1:10">
      <c r="B3" s="10" t="s">
        <v>113</v>
      </c>
      <c r="C3" s="9">
        <f>COUNTA(F7:F62)</f>
        <v>17</v>
      </c>
    </row>
    <row r="4" spans="1:10">
      <c r="B4" s="10" t="s">
        <v>11</v>
      </c>
      <c r="C4" s="9">
        <f>COUNTA(G7:G30)</f>
        <v>16</v>
      </c>
    </row>
    <row r="5" spans="1:10">
      <c r="B5" s="8"/>
      <c r="C5" s="7"/>
    </row>
    <row r="6" spans="1:10" s="6" customFormat="1">
      <c r="A6" s="16" t="s">
        <v>4</v>
      </c>
      <c r="B6" s="16" t="s">
        <v>6</v>
      </c>
      <c r="C6" s="16" t="s">
        <v>7</v>
      </c>
      <c r="D6" s="16" t="s">
        <v>3</v>
      </c>
      <c r="E6" s="16" t="s">
        <v>2</v>
      </c>
      <c r="F6" s="16" t="s">
        <v>1</v>
      </c>
      <c r="G6" s="16" t="s">
        <v>0</v>
      </c>
      <c r="H6" s="18" t="s">
        <v>8</v>
      </c>
      <c r="I6" s="18"/>
      <c r="J6" s="18"/>
    </row>
    <row r="7" spans="1:10" s="1" customFormat="1" ht="36">
      <c r="A7" s="2">
        <f>ROW()-5</f>
        <v>2</v>
      </c>
      <c r="B7" s="5" t="s">
        <v>15</v>
      </c>
      <c r="C7" s="5" t="s">
        <v>13</v>
      </c>
      <c r="D7" s="5"/>
      <c r="E7" s="4"/>
      <c r="F7" s="3"/>
      <c r="G7" s="3"/>
      <c r="H7" s="2"/>
      <c r="I7" s="4"/>
      <c r="J7" s="4"/>
    </row>
    <row r="8" spans="1:10" s="1" customFormat="1">
      <c r="A8" s="2">
        <f t="shared" ref="A8:A30"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51</v>
      </c>
      <c r="D10" s="5" t="s">
        <v>52</v>
      </c>
      <c r="E10" s="4" t="s">
        <v>115</v>
      </c>
      <c r="F10" s="3">
        <v>43791</v>
      </c>
      <c r="G10" s="3">
        <v>43791</v>
      </c>
      <c r="H10" s="2"/>
      <c r="I10" s="4"/>
      <c r="J10" s="4"/>
    </row>
    <row r="11" spans="1:10" s="1" customFormat="1" ht="36">
      <c r="A11" s="2">
        <f t="shared" si="0"/>
        <v>6</v>
      </c>
      <c r="B11" s="5"/>
      <c r="C11" s="5"/>
      <c r="D11" s="5" t="s">
        <v>93</v>
      </c>
      <c r="E11" s="4" t="s">
        <v>115</v>
      </c>
      <c r="F11" s="3">
        <v>43791</v>
      </c>
      <c r="G11" s="3">
        <v>43791</v>
      </c>
      <c r="H11" s="2"/>
      <c r="I11" s="4"/>
      <c r="J11" s="4"/>
    </row>
    <row r="12" spans="1:10" s="1" customFormat="1" ht="36">
      <c r="A12" s="2">
        <f t="shared" si="0"/>
        <v>7</v>
      </c>
      <c r="B12" s="5" t="s">
        <v>53</v>
      </c>
      <c r="C12" s="5" t="s">
        <v>54</v>
      </c>
      <c r="D12" s="5" t="s">
        <v>65</v>
      </c>
      <c r="E12" s="4" t="s">
        <v>115</v>
      </c>
      <c r="F12" s="3">
        <v>43791</v>
      </c>
      <c r="G12" s="3">
        <v>43791</v>
      </c>
      <c r="H12" s="2"/>
      <c r="I12" s="4"/>
      <c r="J12" s="4"/>
    </row>
    <row r="13" spans="1:10" s="1" customFormat="1">
      <c r="A13" s="2">
        <f t="shared" si="0"/>
        <v>8</v>
      </c>
      <c r="B13" s="5"/>
      <c r="C13" s="5"/>
      <c r="D13" s="5" t="s">
        <v>55</v>
      </c>
      <c r="E13" s="4" t="s">
        <v>115</v>
      </c>
      <c r="F13" s="3">
        <v>43791</v>
      </c>
      <c r="G13" s="3">
        <v>43791</v>
      </c>
      <c r="H13" s="2"/>
      <c r="I13" s="4"/>
      <c r="J13" s="4"/>
    </row>
    <row r="14" spans="1:10" s="1" customFormat="1" ht="54">
      <c r="A14" s="2">
        <f t="shared" si="0"/>
        <v>9</v>
      </c>
      <c r="B14" s="5" t="s">
        <v>56</v>
      </c>
      <c r="C14" s="5" t="s">
        <v>57</v>
      </c>
      <c r="D14" s="5" t="s">
        <v>58</v>
      </c>
      <c r="E14" s="4" t="s">
        <v>115</v>
      </c>
      <c r="F14" s="3">
        <v>43791</v>
      </c>
      <c r="G14" s="3">
        <v>43791</v>
      </c>
      <c r="H14" s="2"/>
      <c r="I14" s="4"/>
      <c r="J14" s="4"/>
    </row>
    <row r="15" spans="1:10" s="1" customFormat="1" ht="36">
      <c r="A15" s="2">
        <f t="shared" si="0"/>
        <v>10</v>
      </c>
      <c r="B15" s="5" t="s">
        <v>38</v>
      </c>
      <c r="C15" s="5" t="s">
        <v>59</v>
      </c>
      <c r="D15" s="5"/>
      <c r="E15" s="4"/>
      <c r="F15" s="3"/>
      <c r="G15" s="3"/>
      <c r="H15" s="2"/>
      <c r="I15" s="4"/>
      <c r="J15" s="4"/>
    </row>
    <row r="16" spans="1:10" s="1" customFormat="1" ht="36">
      <c r="A16" s="2">
        <f t="shared" si="0"/>
        <v>11</v>
      </c>
      <c r="B16" s="5"/>
      <c r="C16" s="5" t="s">
        <v>60</v>
      </c>
      <c r="D16" s="5"/>
      <c r="E16" s="4"/>
      <c r="F16" s="3"/>
      <c r="G16" s="3"/>
      <c r="H16" s="2"/>
      <c r="I16" s="4"/>
      <c r="J16" s="4"/>
    </row>
    <row r="17" spans="1:10" s="1" customFormat="1">
      <c r="A17" s="2">
        <f t="shared" si="0"/>
        <v>12</v>
      </c>
      <c r="B17" s="5"/>
      <c r="C17" s="5" t="s">
        <v>39</v>
      </c>
      <c r="D17" s="5" t="s">
        <v>66</v>
      </c>
      <c r="E17" s="3" t="s">
        <v>115</v>
      </c>
      <c r="F17" s="3">
        <v>43791</v>
      </c>
      <c r="G17" s="3">
        <v>43791</v>
      </c>
      <c r="H17" s="2"/>
      <c r="I17" s="4"/>
      <c r="J17" s="4"/>
    </row>
    <row r="18" spans="1:10" s="1" customFormat="1" ht="36">
      <c r="A18" s="2">
        <f t="shared" si="0"/>
        <v>13</v>
      </c>
      <c r="B18" s="5"/>
      <c r="C18" s="5"/>
      <c r="D18" s="5" t="s">
        <v>67</v>
      </c>
      <c r="E18" s="4" t="s">
        <v>115</v>
      </c>
      <c r="F18" s="3">
        <v>43791</v>
      </c>
      <c r="G18" s="3"/>
      <c r="H18" s="2">
        <v>419</v>
      </c>
      <c r="I18" s="4"/>
      <c r="J18" s="4"/>
    </row>
    <row r="19" spans="1:10" s="1" customFormat="1">
      <c r="A19" s="2">
        <f t="shared" si="0"/>
        <v>14</v>
      </c>
      <c r="B19" s="5"/>
      <c r="C19" s="5" t="s">
        <v>68</v>
      </c>
      <c r="D19" s="5" t="s">
        <v>52</v>
      </c>
      <c r="E19" s="4" t="s">
        <v>115</v>
      </c>
      <c r="F19" s="3">
        <v>43791</v>
      </c>
      <c r="G19" s="3">
        <v>43791</v>
      </c>
      <c r="H19" s="2"/>
      <c r="I19" s="4"/>
      <c r="J19" s="4"/>
    </row>
    <row r="20" spans="1:10" s="1" customFormat="1">
      <c r="A20" s="2">
        <f t="shared" si="0"/>
        <v>15</v>
      </c>
      <c r="B20" s="5"/>
      <c r="C20" s="5"/>
      <c r="D20" s="5" t="s">
        <v>69</v>
      </c>
      <c r="E20" s="4" t="s">
        <v>115</v>
      </c>
      <c r="F20" s="3">
        <v>43791</v>
      </c>
      <c r="G20" s="3">
        <v>43791</v>
      </c>
      <c r="H20" s="2"/>
      <c r="I20" s="4"/>
      <c r="J20" s="4"/>
    </row>
    <row r="21" spans="1:10" s="1" customFormat="1">
      <c r="A21" s="2">
        <f t="shared" si="0"/>
        <v>16</v>
      </c>
      <c r="B21" s="5"/>
      <c r="C21" s="5" t="s">
        <v>39</v>
      </c>
      <c r="D21" s="5"/>
      <c r="E21" s="4"/>
      <c r="F21" s="3"/>
      <c r="G21" s="3"/>
      <c r="H21" s="2"/>
      <c r="I21" s="4"/>
      <c r="J21" s="4"/>
    </row>
    <row r="22" spans="1:10" s="1" customFormat="1">
      <c r="A22" s="2">
        <f t="shared" si="0"/>
        <v>17</v>
      </c>
      <c r="B22" s="5"/>
      <c r="C22" s="5" t="s">
        <v>70</v>
      </c>
      <c r="D22" s="5" t="s">
        <v>61</v>
      </c>
      <c r="E22" s="4" t="s">
        <v>115</v>
      </c>
      <c r="F22" s="3">
        <v>43791</v>
      </c>
      <c r="G22" s="3">
        <v>43791</v>
      </c>
      <c r="H22" s="2"/>
      <c r="I22" s="4"/>
      <c r="J22" s="4"/>
    </row>
    <row r="23" spans="1:10" s="1" customFormat="1" ht="36">
      <c r="A23" s="2">
        <f t="shared" si="0"/>
        <v>18</v>
      </c>
      <c r="B23" s="5"/>
      <c r="C23" s="5"/>
      <c r="D23" s="5" t="s">
        <v>62</v>
      </c>
      <c r="E23" s="4" t="s">
        <v>115</v>
      </c>
      <c r="F23" s="3">
        <v>43791</v>
      </c>
      <c r="G23" s="3">
        <v>43791</v>
      </c>
      <c r="H23" s="2"/>
      <c r="I23" s="4"/>
      <c r="J23" s="4"/>
    </row>
    <row r="24" spans="1:10" s="1" customFormat="1" ht="36">
      <c r="A24" s="2">
        <f t="shared" si="0"/>
        <v>19</v>
      </c>
      <c r="B24" s="5"/>
      <c r="C24" s="5"/>
      <c r="D24" s="5" t="s">
        <v>63</v>
      </c>
      <c r="E24" s="4" t="s">
        <v>115</v>
      </c>
      <c r="F24" s="3">
        <v>43791</v>
      </c>
      <c r="G24" s="3">
        <v>43791</v>
      </c>
      <c r="H24" s="2"/>
      <c r="I24" s="4"/>
      <c r="J24" s="4"/>
    </row>
    <row r="25" spans="1:10" s="1" customFormat="1" ht="36">
      <c r="A25" s="2">
        <f t="shared" si="0"/>
        <v>20</v>
      </c>
      <c r="B25" s="5"/>
      <c r="C25" s="5"/>
      <c r="D25" s="5" t="s">
        <v>62</v>
      </c>
      <c r="E25" s="4" t="s">
        <v>115</v>
      </c>
      <c r="F25" s="3">
        <v>43791</v>
      </c>
      <c r="G25" s="3">
        <v>43791</v>
      </c>
      <c r="H25" s="2"/>
      <c r="I25" s="4"/>
      <c r="J25" s="4"/>
    </row>
    <row r="26" spans="1:10" s="1" customFormat="1" ht="36">
      <c r="A26" s="2">
        <f t="shared" si="0"/>
        <v>21</v>
      </c>
      <c r="B26" s="5"/>
      <c r="C26" s="5"/>
      <c r="D26" s="5" t="s">
        <v>64</v>
      </c>
      <c r="E26" s="4" t="s">
        <v>115</v>
      </c>
      <c r="F26" s="3">
        <v>43791</v>
      </c>
      <c r="G26" s="3">
        <v>43791</v>
      </c>
      <c r="H26" s="2"/>
      <c r="I26" s="4"/>
      <c r="J26" s="4"/>
    </row>
    <row r="27" spans="1:10" s="1" customFormat="1">
      <c r="A27" s="2">
        <f t="shared" si="0"/>
        <v>22</v>
      </c>
      <c r="B27" s="5"/>
      <c r="C27" s="5"/>
      <c r="D27" s="5" t="s">
        <v>71</v>
      </c>
      <c r="E27" s="4" t="s">
        <v>115</v>
      </c>
      <c r="F27" s="3">
        <v>43791</v>
      </c>
      <c r="G27" s="3">
        <v>43791</v>
      </c>
      <c r="H27" s="2"/>
      <c r="I27" s="4"/>
      <c r="J27" s="4"/>
    </row>
    <row r="28" spans="1:10" s="1" customFormat="1">
      <c r="A28" s="2">
        <f t="shared" si="0"/>
        <v>23</v>
      </c>
      <c r="B28" s="5"/>
      <c r="C28" s="5" t="s">
        <v>72</v>
      </c>
      <c r="D28" s="5" t="s">
        <v>52</v>
      </c>
      <c r="E28" s="4" t="s">
        <v>115</v>
      </c>
      <c r="F28" s="3">
        <v>43791</v>
      </c>
      <c r="G28" s="3">
        <v>43791</v>
      </c>
      <c r="H28" s="2"/>
      <c r="I28" s="4"/>
      <c r="J28" s="4"/>
    </row>
    <row r="29" spans="1:10" s="1" customFormat="1">
      <c r="A29" s="2">
        <f t="shared" si="0"/>
        <v>24</v>
      </c>
      <c r="B29" s="5"/>
      <c r="C29" s="5"/>
      <c r="D29" s="5" t="s">
        <v>73</v>
      </c>
      <c r="E29" s="4" t="s">
        <v>115</v>
      </c>
      <c r="F29" s="3">
        <v>43791</v>
      </c>
      <c r="G29" s="3">
        <v>43791</v>
      </c>
      <c r="H29" s="2"/>
      <c r="I29" s="4"/>
      <c r="J29" s="4"/>
    </row>
    <row r="30" spans="1:10" s="1" customFormat="1">
      <c r="A30" s="2">
        <f t="shared" si="0"/>
        <v>25</v>
      </c>
      <c r="B30" s="5"/>
      <c r="C30" s="5"/>
      <c r="D30" s="5"/>
      <c r="E30" s="4"/>
      <c r="F30" s="3"/>
      <c r="G30" s="3"/>
      <c r="H30" s="2"/>
      <c r="I30" s="4"/>
      <c r="J30" s="4"/>
    </row>
    <row r="32" spans="1:10">
      <c r="B32"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J18"/>
  <sheetViews>
    <sheetView workbookViewId="0">
      <selection activeCell="H18" sqref="H18"/>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仕入検索</v>
      </c>
      <c r="D1" s="7"/>
    </row>
    <row r="2" spans="1:10">
      <c r="B2" s="10" t="s">
        <v>9</v>
      </c>
      <c r="C2" s="9">
        <f>COUNTA(D7:D16)</f>
        <v>5</v>
      </c>
    </row>
    <row r="3" spans="1:10">
      <c r="B3" s="10" t="s">
        <v>113</v>
      </c>
      <c r="C3" s="9">
        <f>COUNTA(F7:F62)</f>
        <v>5</v>
      </c>
    </row>
    <row r="4" spans="1:10">
      <c r="B4" s="10" t="s">
        <v>11</v>
      </c>
      <c r="C4" s="9">
        <f>COUNTA(G7:G16)</f>
        <v>4</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6">
      <c r="A7" s="2">
        <f>ROW()-5</f>
        <v>2</v>
      </c>
      <c r="B7" s="5" t="s">
        <v>15</v>
      </c>
      <c r="C7" s="5" t="s">
        <v>13</v>
      </c>
      <c r="D7" s="5"/>
      <c r="E7" s="4"/>
      <c r="F7" s="3"/>
      <c r="G7" s="3"/>
      <c r="H7" s="2"/>
      <c r="I7" s="4"/>
      <c r="J7" s="4"/>
    </row>
    <row r="8" spans="1:10" s="1" customFormat="1">
      <c r="A8" s="2">
        <f t="shared" ref="A8:A1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74</v>
      </c>
      <c r="D10" s="5" t="s">
        <v>75</v>
      </c>
      <c r="E10" s="4" t="s">
        <v>115</v>
      </c>
      <c r="F10" s="3">
        <v>43794</v>
      </c>
      <c r="G10" s="3">
        <v>43794</v>
      </c>
      <c r="H10" s="2"/>
      <c r="I10" s="4"/>
      <c r="J10" s="4"/>
    </row>
    <row r="11" spans="1:10" s="1" customFormat="1">
      <c r="A11" s="2">
        <f t="shared" si="0"/>
        <v>6</v>
      </c>
      <c r="B11" s="5" t="s">
        <v>18</v>
      </c>
      <c r="C11" s="5" t="s">
        <v>19</v>
      </c>
      <c r="D11" s="5"/>
      <c r="E11" s="4"/>
      <c r="F11" s="3"/>
      <c r="G11" s="3"/>
      <c r="H11" s="2"/>
      <c r="I11" s="4"/>
      <c r="J11" s="4"/>
    </row>
    <row r="12" spans="1:10" s="1" customFormat="1">
      <c r="A12" s="2">
        <f t="shared" si="0"/>
        <v>7</v>
      </c>
      <c r="B12" s="5"/>
      <c r="C12" s="5" t="s">
        <v>20</v>
      </c>
      <c r="D12" s="5" t="s">
        <v>21</v>
      </c>
      <c r="E12" s="4" t="s">
        <v>115</v>
      </c>
      <c r="F12" s="3">
        <v>43794</v>
      </c>
      <c r="G12" s="3">
        <v>43794</v>
      </c>
      <c r="H12" s="2"/>
      <c r="I12" s="4"/>
      <c r="J12" s="4"/>
    </row>
    <row r="13" spans="1:10" s="1" customFormat="1" ht="36">
      <c r="A13" s="2">
        <f t="shared" si="0"/>
        <v>8</v>
      </c>
      <c r="B13" s="5" t="s">
        <v>17</v>
      </c>
      <c r="C13" s="5" t="s">
        <v>24</v>
      </c>
      <c r="D13" s="5"/>
      <c r="E13" s="4"/>
      <c r="F13" s="3"/>
      <c r="G13" s="3"/>
      <c r="H13" s="2"/>
      <c r="I13" s="4"/>
      <c r="J13" s="4"/>
    </row>
    <row r="14" spans="1:10" s="1" customFormat="1">
      <c r="A14" s="2">
        <f t="shared" si="0"/>
        <v>9</v>
      </c>
      <c r="B14" s="5"/>
      <c r="C14" s="5" t="s">
        <v>22</v>
      </c>
      <c r="D14" s="5" t="s">
        <v>76</v>
      </c>
      <c r="E14" s="4" t="s">
        <v>115</v>
      </c>
      <c r="F14" s="3">
        <v>43794</v>
      </c>
      <c r="G14" s="3">
        <v>43794</v>
      </c>
      <c r="H14" s="2"/>
      <c r="I14" s="4"/>
      <c r="J14" s="4"/>
    </row>
    <row r="15" spans="1:10" s="1" customFormat="1" ht="36">
      <c r="A15" s="2">
        <f t="shared" si="0"/>
        <v>10</v>
      </c>
      <c r="B15" s="5"/>
      <c r="C15" s="5"/>
      <c r="D15" s="5" t="s">
        <v>77</v>
      </c>
      <c r="E15" s="4" t="s">
        <v>115</v>
      </c>
      <c r="F15" s="3">
        <v>43794</v>
      </c>
      <c r="G15" s="3"/>
      <c r="H15" s="2">
        <v>416</v>
      </c>
      <c r="I15" s="4">
        <v>417</v>
      </c>
      <c r="J15" s="4"/>
    </row>
    <row r="16" spans="1:10" s="1" customFormat="1" ht="36">
      <c r="A16" s="2">
        <f t="shared" si="0"/>
        <v>11</v>
      </c>
      <c r="B16" s="5"/>
      <c r="C16" s="5"/>
      <c r="D16" s="5" t="s">
        <v>23</v>
      </c>
      <c r="E16" s="4" t="s">
        <v>115</v>
      </c>
      <c r="F16" s="3">
        <v>43794</v>
      </c>
      <c r="G16" s="3">
        <v>43794</v>
      </c>
      <c r="H16" s="2"/>
      <c r="I16" s="4"/>
      <c r="J16" s="4"/>
    </row>
    <row r="18" spans="2:2">
      <c r="B1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J39"/>
  <sheetViews>
    <sheetView tabSelected="1" topLeftCell="A25" workbookViewId="0">
      <selection activeCell="G31" sqref="G3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仕入一覧</v>
      </c>
      <c r="D1" s="7"/>
    </row>
    <row r="2" spans="1:10">
      <c r="B2" s="10" t="s">
        <v>9</v>
      </c>
      <c r="C2" s="9">
        <f>COUNTA(D7:D37)</f>
        <v>17</v>
      </c>
    </row>
    <row r="3" spans="1:10">
      <c r="B3" s="10" t="s">
        <v>113</v>
      </c>
      <c r="C3" s="9">
        <f>COUNTA(F7:F62)</f>
        <v>13</v>
      </c>
    </row>
    <row r="4" spans="1:10">
      <c r="B4" s="10" t="s">
        <v>11</v>
      </c>
      <c r="C4" s="9">
        <f>COUNTA(G7:G37)</f>
        <v>12</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6">
      <c r="A7" s="2">
        <f>ROW()-5</f>
        <v>2</v>
      </c>
      <c r="B7" s="5" t="s">
        <v>15</v>
      </c>
      <c r="C7" s="5" t="s">
        <v>13</v>
      </c>
      <c r="D7" s="5"/>
      <c r="E7" s="4"/>
      <c r="F7" s="3"/>
      <c r="G7" s="3"/>
      <c r="H7" s="2"/>
      <c r="I7" s="4"/>
      <c r="J7" s="4"/>
    </row>
    <row r="8" spans="1:10" s="1" customFormat="1">
      <c r="A8" s="2">
        <f t="shared" ref="A8:A37"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74</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t="s">
        <v>76</v>
      </c>
      <c r="E13" s="4" t="s">
        <v>115</v>
      </c>
      <c r="F13" s="3">
        <v>43794</v>
      </c>
      <c r="G13" s="3">
        <v>43794</v>
      </c>
      <c r="H13" s="2"/>
      <c r="I13" s="4"/>
      <c r="J13" s="4"/>
    </row>
    <row r="14" spans="1:10" s="1" customFormat="1" ht="36">
      <c r="A14" s="2">
        <f t="shared" si="0"/>
        <v>9</v>
      </c>
      <c r="B14" s="5"/>
      <c r="C14" s="5"/>
      <c r="D14" s="5" t="s">
        <v>77</v>
      </c>
      <c r="E14" s="4" t="s">
        <v>115</v>
      </c>
      <c r="F14" s="3">
        <v>43794</v>
      </c>
      <c r="G14" s="3"/>
      <c r="H14" s="2">
        <v>416</v>
      </c>
      <c r="I14" s="4">
        <v>417</v>
      </c>
      <c r="J14" s="4"/>
    </row>
    <row r="15" spans="1:10" s="1" customFormat="1" ht="36">
      <c r="A15" s="2">
        <f t="shared" si="0"/>
        <v>10</v>
      </c>
      <c r="B15" s="5"/>
      <c r="C15" s="5"/>
      <c r="D15" s="5" t="s">
        <v>78</v>
      </c>
      <c r="E15" s="4" t="s">
        <v>115</v>
      </c>
      <c r="F15" s="3">
        <v>43794</v>
      </c>
      <c r="G15" s="3">
        <v>43794</v>
      </c>
      <c r="H15" s="2"/>
      <c r="I15" s="4"/>
      <c r="J15" s="4"/>
    </row>
    <row r="16" spans="1:10" s="1" customFormat="1" ht="36">
      <c r="A16" s="2">
        <f t="shared" si="0"/>
        <v>11</v>
      </c>
      <c r="B16" s="5"/>
      <c r="C16" s="5"/>
      <c r="D16" s="5" t="s">
        <v>79</v>
      </c>
      <c r="E16" s="4" t="s">
        <v>115</v>
      </c>
      <c r="F16" s="3">
        <v>43794</v>
      </c>
      <c r="G16" s="3">
        <v>43794</v>
      </c>
      <c r="H16" s="2"/>
      <c r="I16" s="4"/>
      <c r="J16" s="4"/>
    </row>
    <row r="17" spans="1:10" s="1" customFormat="1" ht="36">
      <c r="A17" s="2">
        <f t="shared" si="0"/>
        <v>12</v>
      </c>
      <c r="B17" s="5"/>
      <c r="C17" s="5"/>
      <c r="D17" s="5" t="s">
        <v>23</v>
      </c>
      <c r="E17" s="4" t="s">
        <v>115</v>
      </c>
      <c r="F17" s="3">
        <v>43794</v>
      </c>
      <c r="G17" s="3">
        <v>43794</v>
      </c>
      <c r="H17" s="2"/>
      <c r="I17" s="4"/>
      <c r="J17" s="4"/>
    </row>
    <row r="18" spans="1:10" s="1" customFormat="1" ht="54">
      <c r="A18" s="2">
        <f t="shared" si="0"/>
        <v>13</v>
      </c>
      <c r="B18" s="5"/>
      <c r="C18" s="5"/>
      <c r="D18" s="14" t="s">
        <v>80</v>
      </c>
      <c r="E18" s="4"/>
      <c r="F18" s="3"/>
      <c r="G18" s="3"/>
      <c r="H18" s="2"/>
      <c r="I18" s="4"/>
      <c r="J18" s="4"/>
    </row>
    <row r="19" spans="1:10" s="1" customFormat="1" ht="54">
      <c r="A19" s="2">
        <f t="shared" si="0"/>
        <v>14</v>
      </c>
      <c r="B19" s="5"/>
      <c r="C19" s="5"/>
      <c r="D19" s="14" t="s">
        <v>81</v>
      </c>
      <c r="E19" s="4"/>
      <c r="F19" s="3"/>
      <c r="G19" s="3"/>
      <c r="H19" s="2"/>
      <c r="I19" s="4"/>
      <c r="J19" s="4"/>
    </row>
    <row r="20" spans="1:10" s="1" customFormat="1" ht="36">
      <c r="A20" s="2">
        <f t="shared" si="0"/>
        <v>15</v>
      </c>
      <c r="B20" s="5"/>
      <c r="C20" s="5"/>
      <c r="D20" s="14" t="s">
        <v>35</v>
      </c>
      <c r="E20" s="4"/>
      <c r="F20" s="3"/>
      <c r="G20" s="3"/>
      <c r="H20" s="2"/>
      <c r="I20" s="4"/>
      <c r="J20" s="4"/>
    </row>
    <row r="21" spans="1:10" s="1" customFormat="1" ht="36">
      <c r="A21" s="2">
        <f t="shared" si="0"/>
        <v>16</v>
      </c>
      <c r="B21" s="5"/>
      <c r="C21" s="5"/>
      <c r="D21" s="14" t="s">
        <v>36</v>
      </c>
      <c r="E21" s="4"/>
      <c r="F21" s="3"/>
      <c r="G21" s="3"/>
      <c r="H21" s="2"/>
      <c r="I21" s="4"/>
      <c r="J21" s="4"/>
    </row>
    <row r="22" spans="1:10" s="1" customFormat="1">
      <c r="A22" s="2">
        <f t="shared" si="0"/>
        <v>17</v>
      </c>
      <c r="B22" s="5" t="s">
        <v>27</v>
      </c>
      <c r="C22" s="5" t="s">
        <v>28</v>
      </c>
      <c r="D22" s="5"/>
      <c r="E22" s="4"/>
      <c r="F22" s="3"/>
      <c r="G22" s="3"/>
      <c r="H22" s="2"/>
      <c r="I22" s="4"/>
      <c r="J22" s="4"/>
    </row>
    <row r="23" spans="1:10" s="1" customFormat="1" ht="36">
      <c r="A23" s="2">
        <f t="shared" si="0"/>
        <v>18</v>
      </c>
      <c r="B23" s="5"/>
      <c r="C23" s="5" t="s">
        <v>29</v>
      </c>
      <c r="D23" s="5" t="s">
        <v>82</v>
      </c>
      <c r="E23" s="4" t="s">
        <v>115</v>
      </c>
      <c r="F23" s="3">
        <v>43794</v>
      </c>
      <c r="G23" s="3">
        <v>43794</v>
      </c>
      <c r="H23" s="2"/>
      <c r="I23" s="4"/>
      <c r="J23" s="4"/>
    </row>
    <row r="24" spans="1:10" s="1" customFormat="1" ht="36">
      <c r="A24" s="2">
        <f t="shared" si="0"/>
        <v>19</v>
      </c>
      <c r="B24" s="5" t="s">
        <v>30</v>
      </c>
      <c r="C24" s="5" t="s">
        <v>31</v>
      </c>
      <c r="D24" s="5" t="s">
        <v>83</v>
      </c>
      <c r="E24" s="4" t="s">
        <v>115</v>
      </c>
      <c r="F24" s="3">
        <v>43794</v>
      </c>
      <c r="G24" s="3">
        <v>43794</v>
      </c>
      <c r="H24" s="2"/>
      <c r="I24" s="4"/>
      <c r="J24" s="4"/>
    </row>
    <row r="25" spans="1:10" s="1" customFormat="1" ht="36">
      <c r="A25" s="2">
        <f t="shared" si="0"/>
        <v>20</v>
      </c>
      <c r="B25" s="5"/>
      <c r="C25" s="5"/>
      <c r="D25" s="5" t="s">
        <v>32</v>
      </c>
      <c r="E25" s="4" t="s">
        <v>115</v>
      </c>
      <c r="F25" s="3">
        <v>43794</v>
      </c>
      <c r="G25" s="3">
        <v>43794</v>
      </c>
      <c r="H25" s="2"/>
      <c r="I25" s="4"/>
      <c r="J25" s="4"/>
    </row>
    <row r="26" spans="1:10" s="1" customFormat="1">
      <c r="A26" s="2">
        <f t="shared" si="0"/>
        <v>21</v>
      </c>
      <c r="B26" s="5"/>
      <c r="C26" s="5" t="s">
        <v>84</v>
      </c>
      <c r="D26" s="5" t="s">
        <v>85</v>
      </c>
      <c r="E26" s="4" t="s">
        <v>115</v>
      </c>
      <c r="F26" s="3">
        <v>43794</v>
      </c>
      <c r="G26" s="3">
        <v>43794</v>
      </c>
      <c r="H26" s="2"/>
      <c r="I26" s="4"/>
      <c r="J26" s="4"/>
    </row>
    <row r="27" spans="1:10" s="1" customFormat="1" ht="36">
      <c r="A27" s="2">
        <f t="shared" si="0"/>
        <v>22</v>
      </c>
      <c r="B27" s="5" t="s">
        <v>86</v>
      </c>
      <c r="C27" s="5" t="s">
        <v>87</v>
      </c>
      <c r="D27" s="5" t="s">
        <v>88</v>
      </c>
      <c r="E27" s="4" t="s">
        <v>115</v>
      </c>
      <c r="F27" s="3">
        <v>43794</v>
      </c>
      <c r="G27" s="3">
        <v>43794</v>
      </c>
      <c r="H27" s="2"/>
      <c r="I27" s="4"/>
      <c r="J27" s="4"/>
    </row>
    <row r="28" spans="1:10" s="1" customFormat="1" ht="36">
      <c r="A28" s="2">
        <f t="shared" si="0"/>
        <v>23</v>
      </c>
      <c r="B28" s="5"/>
      <c r="C28" s="5"/>
      <c r="D28" s="5" t="s">
        <v>89</v>
      </c>
      <c r="E28" s="4" t="s">
        <v>115</v>
      </c>
      <c r="F28" s="3">
        <v>43794</v>
      </c>
      <c r="G28" s="3">
        <v>43794</v>
      </c>
      <c r="H28" s="2"/>
      <c r="I28" s="4"/>
      <c r="J28" s="4"/>
    </row>
    <row r="29" spans="1:10" s="1" customFormat="1">
      <c r="A29" s="2">
        <f t="shared" si="0"/>
        <v>24</v>
      </c>
      <c r="B29" s="5"/>
      <c r="C29" s="5" t="s">
        <v>97</v>
      </c>
      <c r="D29" s="5"/>
      <c r="E29" s="4"/>
      <c r="F29" s="3"/>
      <c r="G29" s="3"/>
      <c r="H29" s="2"/>
      <c r="I29" s="4"/>
      <c r="J29" s="4"/>
    </row>
    <row r="30" spans="1:10" s="1" customFormat="1" ht="36">
      <c r="A30" s="2">
        <f t="shared" si="0"/>
        <v>25</v>
      </c>
      <c r="B30" s="5" t="s">
        <v>96</v>
      </c>
      <c r="C30" s="5" t="s">
        <v>98</v>
      </c>
      <c r="D30" s="5" t="s">
        <v>99</v>
      </c>
      <c r="E30" s="4" t="s">
        <v>115</v>
      </c>
      <c r="F30" s="3">
        <v>43794</v>
      </c>
      <c r="G30" s="3">
        <v>43794</v>
      </c>
      <c r="H30" s="2"/>
      <c r="I30" s="4"/>
      <c r="J30" s="4"/>
    </row>
    <row r="31" spans="1:10" s="1" customFormat="1" ht="36">
      <c r="A31" s="2">
        <f t="shared" si="0"/>
        <v>26</v>
      </c>
      <c r="B31" s="5"/>
      <c r="C31" s="5"/>
      <c r="D31" s="5" t="s">
        <v>89</v>
      </c>
      <c r="E31" s="4" t="s">
        <v>115</v>
      </c>
      <c r="F31" s="3">
        <v>43794</v>
      </c>
      <c r="G31" s="3">
        <v>43794</v>
      </c>
      <c r="H31" s="2"/>
      <c r="I31" s="4"/>
      <c r="J31" s="4"/>
    </row>
    <row r="32" spans="1:10" s="1" customFormat="1">
      <c r="A32" s="2">
        <f t="shared" si="0"/>
        <v>27</v>
      </c>
      <c r="B32" s="5"/>
      <c r="C32" s="11"/>
      <c r="D32" s="5"/>
      <c r="E32" s="4"/>
      <c r="F32" s="3"/>
      <c r="G32" s="3"/>
      <c r="H32" s="2"/>
      <c r="I32" s="4"/>
      <c r="J32" s="4"/>
    </row>
    <row r="33" spans="1:10" s="1" customFormat="1">
      <c r="A33" s="2">
        <f t="shared" si="0"/>
        <v>28</v>
      </c>
      <c r="B33" s="5"/>
      <c r="C33" s="5"/>
      <c r="D33" s="5"/>
      <c r="E33" s="4"/>
      <c r="F33" s="3"/>
      <c r="G33" s="3"/>
      <c r="H33" s="2"/>
      <c r="I33" s="4"/>
      <c r="J33" s="4"/>
    </row>
    <row r="34" spans="1:10" s="1" customFormat="1">
      <c r="A34" s="2">
        <f t="shared" si="0"/>
        <v>29</v>
      </c>
      <c r="B34" s="5"/>
      <c r="C34" s="11"/>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11"/>
      <c r="D36" s="5"/>
      <c r="E36" s="4"/>
      <c r="F36" s="3"/>
      <c r="G36" s="3"/>
      <c r="H36" s="2"/>
      <c r="I36" s="4"/>
      <c r="J36" s="4"/>
    </row>
    <row r="37" spans="1:10" s="1" customFormat="1">
      <c r="A37" s="2">
        <f t="shared" si="0"/>
        <v>32</v>
      </c>
      <c r="B37" s="5"/>
      <c r="C37" s="5"/>
      <c r="D37" s="5"/>
      <c r="E37" s="4"/>
      <c r="F37" s="3"/>
      <c r="G37" s="3"/>
      <c r="H37" s="2"/>
      <c r="I37" s="4"/>
      <c r="J37" s="4"/>
    </row>
    <row r="39" spans="1:10">
      <c r="B39" t="s">
        <v>10</v>
      </c>
    </row>
  </sheetData>
  <mergeCells count="1">
    <mergeCell ref="H6:J6"/>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J25"/>
  <sheetViews>
    <sheetView workbookViewId="0">
      <selection activeCell="D11" sqref="D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仕入詳細</v>
      </c>
      <c r="D1" s="7"/>
    </row>
    <row r="2" spans="1:10">
      <c r="B2" s="10" t="s">
        <v>9</v>
      </c>
      <c r="C2" s="9">
        <f>COUNTA(D7:D23)</f>
        <v>5</v>
      </c>
    </row>
    <row r="3" spans="1:10">
      <c r="B3" s="10" t="s">
        <v>113</v>
      </c>
      <c r="C3" s="9">
        <f>COUNTA(F7:F62)</f>
        <v>5</v>
      </c>
    </row>
    <row r="4" spans="1:10">
      <c r="B4" s="10" t="s">
        <v>11</v>
      </c>
      <c r="C4" s="9">
        <f>COUNTA(G7:G23)</f>
        <v>5</v>
      </c>
    </row>
    <row r="5" spans="1:10">
      <c r="B5" s="8"/>
      <c r="C5" s="7"/>
    </row>
    <row r="6" spans="1:10" s="6" customFormat="1">
      <c r="A6" s="12" t="s">
        <v>4</v>
      </c>
      <c r="B6" s="12" t="s">
        <v>6</v>
      </c>
      <c r="C6" s="12" t="s">
        <v>7</v>
      </c>
      <c r="D6" s="12" t="s">
        <v>3</v>
      </c>
      <c r="E6" s="12" t="s">
        <v>2</v>
      </c>
      <c r="F6" s="12" t="s">
        <v>1</v>
      </c>
      <c r="G6" s="12" t="s">
        <v>0</v>
      </c>
      <c r="H6" s="18" t="s">
        <v>8</v>
      </c>
      <c r="I6" s="18"/>
      <c r="J6" s="18"/>
    </row>
    <row r="7" spans="1:10" s="1" customFormat="1" ht="36">
      <c r="A7" s="2">
        <f>ROW()-5</f>
        <v>2</v>
      </c>
      <c r="B7" s="5" t="s">
        <v>15</v>
      </c>
      <c r="C7" s="5" t="s">
        <v>13</v>
      </c>
      <c r="D7" s="5"/>
      <c r="E7" s="4"/>
      <c r="F7" s="3"/>
      <c r="G7" s="3"/>
      <c r="H7" s="2"/>
      <c r="I7" s="4"/>
      <c r="J7" s="4"/>
    </row>
    <row r="8" spans="1:10" s="1" customFormat="1">
      <c r="A8" s="2">
        <f t="shared" ref="A8:A23"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74</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22</v>
      </c>
      <c r="D13" s="5"/>
      <c r="E13" s="4"/>
      <c r="F13" s="3"/>
      <c r="G13" s="3"/>
      <c r="H13" s="2"/>
      <c r="I13" s="4"/>
      <c r="J13" s="4"/>
    </row>
    <row r="14" spans="1:10" s="1" customFormat="1">
      <c r="A14" s="2">
        <f t="shared" si="0"/>
        <v>9</v>
      </c>
      <c r="B14" s="5"/>
      <c r="C14" s="5" t="s">
        <v>37</v>
      </c>
      <c r="D14" s="5" t="s">
        <v>83</v>
      </c>
      <c r="E14" s="4" t="s">
        <v>115</v>
      </c>
      <c r="F14" s="3">
        <v>43794</v>
      </c>
      <c r="G14" s="3">
        <v>43794</v>
      </c>
      <c r="H14" s="2"/>
      <c r="I14" s="4"/>
      <c r="J14" s="4"/>
    </row>
    <row r="15" spans="1:10" s="1" customFormat="1" ht="36">
      <c r="A15" s="2">
        <f t="shared" si="0"/>
        <v>10</v>
      </c>
      <c r="B15" s="5"/>
      <c r="C15" s="5"/>
      <c r="D15" s="5" t="s">
        <v>32</v>
      </c>
      <c r="E15" s="4" t="s">
        <v>115</v>
      </c>
      <c r="F15" s="3">
        <v>43794</v>
      </c>
      <c r="G15" s="3">
        <v>43794</v>
      </c>
      <c r="H15" s="2"/>
      <c r="I15" s="4"/>
      <c r="J15" s="4"/>
    </row>
    <row r="16" spans="1:10" s="1" customFormat="1">
      <c r="A16" s="2">
        <f t="shared" si="0"/>
        <v>11</v>
      </c>
      <c r="B16" s="5"/>
      <c r="C16" s="5"/>
      <c r="D16" s="5" t="s">
        <v>33</v>
      </c>
      <c r="E16" s="4" t="s">
        <v>115</v>
      </c>
      <c r="F16" s="3">
        <v>43794</v>
      </c>
      <c r="G16" s="3">
        <v>43794</v>
      </c>
      <c r="H16" s="2"/>
      <c r="I16" s="4"/>
      <c r="J16" s="4"/>
    </row>
    <row r="17" spans="1:10" s="1" customFormat="1">
      <c r="A17" s="2">
        <f t="shared" si="0"/>
        <v>12</v>
      </c>
      <c r="B17" s="5" t="s">
        <v>34</v>
      </c>
      <c r="C17" s="13" t="s">
        <v>16</v>
      </c>
      <c r="D17" s="15" t="s">
        <v>94</v>
      </c>
      <c r="E17" s="4" t="s">
        <v>115</v>
      </c>
      <c r="F17" s="3">
        <v>43794</v>
      </c>
      <c r="G17" s="3">
        <v>43794</v>
      </c>
      <c r="H17" s="2"/>
      <c r="I17" s="4"/>
      <c r="J17" s="4"/>
    </row>
    <row r="18" spans="1:10" s="1" customFormat="1">
      <c r="A18" s="2">
        <f t="shared" si="0"/>
        <v>13</v>
      </c>
      <c r="B18" s="5"/>
      <c r="C18" s="5"/>
      <c r="D18" s="15" t="s">
        <v>95</v>
      </c>
      <c r="E18" s="4" t="s">
        <v>115</v>
      </c>
      <c r="F18" s="3">
        <v>43794</v>
      </c>
      <c r="G18" s="3">
        <v>43794</v>
      </c>
      <c r="H18" s="2"/>
      <c r="I18" s="4"/>
      <c r="J18" s="4"/>
    </row>
    <row r="19" spans="1:10" s="1" customFormat="1">
      <c r="A19" s="2">
        <f t="shared" si="0"/>
        <v>14</v>
      </c>
      <c r="B19" s="5"/>
      <c r="C19" s="11"/>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5"/>
      <c r="D21" s="5"/>
      <c r="E21" s="4"/>
      <c r="F21" s="3"/>
      <c r="G21" s="3"/>
      <c r="H21" s="2"/>
      <c r="I21" s="4"/>
      <c r="J21" s="4"/>
    </row>
    <row r="22" spans="1:10" s="1" customFormat="1">
      <c r="A22" s="2">
        <f t="shared" si="0"/>
        <v>17</v>
      </c>
      <c r="B22" s="5"/>
      <c r="C22" s="11"/>
      <c r="D22" s="5"/>
      <c r="E22" s="4"/>
      <c r="F22" s="3"/>
      <c r="G22" s="3"/>
      <c r="H22" s="2"/>
      <c r="I22" s="4"/>
      <c r="J22" s="4"/>
    </row>
    <row r="23" spans="1:10" s="1" customFormat="1">
      <c r="A23" s="2">
        <f t="shared" si="0"/>
        <v>18</v>
      </c>
      <c r="B23" s="5"/>
      <c r="C23" s="5"/>
      <c r="D23" s="5"/>
      <c r="E23" s="4"/>
      <c r="F23" s="3"/>
      <c r="G23" s="3"/>
      <c r="H23" s="2"/>
      <c r="I23" s="4"/>
      <c r="J23" s="4"/>
    </row>
    <row r="25" spans="1:10">
      <c r="B25" t="s">
        <v>10</v>
      </c>
    </row>
  </sheetData>
  <mergeCells count="1">
    <mergeCell ref="H6:J6"/>
  </mergeCells>
  <phoneticPr fontId="1"/>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J38"/>
  <sheetViews>
    <sheetView topLeftCell="B16" workbookViewId="0">
      <selection activeCell="G34" sqref="G3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仕入修正</v>
      </c>
      <c r="D1" s="7"/>
    </row>
    <row r="2" spans="1:10">
      <c r="B2" s="10" t="s">
        <v>9</v>
      </c>
      <c r="C2" s="9">
        <f>COUNTA(D7:D36)</f>
        <v>16</v>
      </c>
    </row>
    <row r="3" spans="1:10">
      <c r="B3" s="10" t="s">
        <v>113</v>
      </c>
      <c r="C3" s="9">
        <f>COUNTA(F7:F62)</f>
        <v>16</v>
      </c>
    </row>
    <row r="4" spans="1:10">
      <c r="B4" s="10" t="s">
        <v>11</v>
      </c>
      <c r="C4" s="9">
        <f>COUNTA(G7:G36)</f>
        <v>15</v>
      </c>
    </row>
    <row r="5" spans="1:10">
      <c r="B5" s="8"/>
      <c r="C5" s="7"/>
    </row>
    <row r="6" spans="1:10" s="6" customFormat="1">
      <c r="A6" s="17" t="s">
        <v>4</v>
      </c>
      <c r="B6" s="17" t="s">
        <v>6</v>
      </c>
      <c r="C6" s="17" t="s">
        <v>7</v>
      </c>
      <c r="D6" s="17" t="s">
        <v>3</v>
      </c>
      <c r="E6" s="17" t="s">
        <v>2</v>
      </c>
      <c r="F6" s="17" t="s">
        <v>1</v>
      </c>
      <c r="G6" s="17" t="s">
        <v>0</v>
      </c>
      <c r="H6" s="18" t="s">
        <v>8</v>
      </c>
      <c r="I6" s="18"/>
      <c r="J6" s="18"/>
    </row>
    <row r="7" spans="1:10" s="1" customFormat="1" ht="36">
      <c r="A7" s="2">
        <f>ROW()-5</f>
        <v>2</v>
      </c>
      <c r="B7" s="5" t="s">
        <v>15</v>
      </c>
      <c r="C7" s="5" t="s">
        <v>13</v>
      </c>
      <c r="D7" s="5"/>
      <c r="E7" s="4"/>
      <c r="F7" s="3"/>
      <c r="G7" s="3"/>
      <c r="H7" s="2"/>
      <c r="I7" s="4"/>
      <c r="J7" s="4"/>
    </row>
    <row r="8" spans="1:10" s="1" customFormat="1">
      <c r="A8" s="2">
        <f t="shared" ref="A8:A3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90</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92</v>
      </c>
      <c r="D13" s="5"/>
      <c r="E13" s="4"/>
      <c r="F13" s="3"/>
      <c r="G13" s="3"/>
      <c r="H13" s="2"/>
      <c r="I13" s="4"/>
      <c r="J13" s="4"/>
    </row>
    <row r="14" spans="1:10" s="1" customFormat="1">
      <c r="A14" s="2">
        <f t="shared" si="0"/>
        <v>9</v>
      </c>
      <c r="B14" s="5"/>
      <c r="C14" s="5" t="s">
        <v>91</v>
      </c>
      <c r="D14" s="5" t="s">
        <v>88</v>
      </c>
      <c r="E14" s="4" t="s">
        <v>115</v>
      </c>
      <c r="F14" s="3">
        <v>43794</v>
      </c>
      <c r="G14" s="3">
        <v>43794</v>
      </c>
      <c r="H14" s="2"/>
      <c r="I14" s="4"/>
      <c r="J14" s="4"/>
    </row>
    <row r="15" spans="1:10" s="1" customFormat="1" ht="36">
      <c r="A15" s="2">
        <f t="shared" si="0"/>
        <v>10</v>
      </c>
      <c r="B15" s="5"/>
      <c r="C15" s="5"/>
      <c r="D15" s="5" t="s">
        <v>89</v>
      </c>
      <c r="E15" s="4" t="s">
        <v>115</v>
      </c>
      <c r="F15" s="3">
        <v>43794</v>
      </c>
      <c r="G15" s="3">
        <v>43794</v>
      </c>
      <c r="H15" s="2"/>
      <c r="I15" s="4"/>
      <c r="J15" s="4"/>
    </row>
    <row r="16" spans="1:10" s="1" customFormat="1">
      <c r="A16" s="2">
        <f t="shared" si="0"/>
        <v>11</v>
      </c>
      <c r="B16" s="5"/>
      <c r="C16" s="5"/>
      <c r="D16" s="5" t="s">
        <v>33</v>
      </c>
      <c r="E16" s="4" t="s">
        <v>115</v>
      </c>
      <c r="F16" s="3">
        <v>43794</v>
      </c>
      <c r="G16" s="3">
        <v>43794</v>
      </c>
      <c r="H16" s="2"/>
      <c r="I16" s="4"/>
      <c r="J16" s="4"/>
    </row>
    <row r="17" spans="1:10" s="1" customFormat="1">
      <c r="A17" s="2">
        <f t="shared" si="0"/>
        <v>12</v>
      </c>
      <c r="B17" s="5"/>
      <c r="C17" s="5"/>
      <c r="D17" s="5"/>
      <c r="E17" s="4"/>
      <c r="F17" s="3"/>
      <c r="G17" s="3"/>
      <c r="H17" s="2"/>
      <c r="I17" s="4"/>
      <c r="J17" s="4"/>
    </row>
    <row r="18" spans="1:10" s="1" customFormat="1">
      <c r="A18" s="2">
        <f t="shared" si="0"/>
        <v>13</v>
      </c>
      <c r="B18" s="5"/>
      <c r="C18" s="5"/>
      <c r="D18" s="5"/>
      <c r="E18" s="4"/>
      <c r="F18" s="3"/>
      <c r="G18" s="3"/>
      <c r="H18" s="2"/>
      <c r="I18" s="4"/>
      <c r="J18" s="4"/>
    </row>
    <row r="19" spans="1:10" s="1" customFormat="1" ht="54">
      <c r="A19" s="2">
        <f t="shared" si="0"/>
        <v>14</v>
      </c>
      <c r="B19" s="5" t="s">
        <v>56</v>
      </c>
      <c r="C19" s="5" t="s">
        <v>57</v>
      </c>
      <c r="D19" s="5" t="s">
        <v>58</v>
      </c>
      <c r="E19" s="4" t="s">
        <v>115</v>
      </c>
      <c r="F19" s="3">
        <v>43794</v>
      </c>
      <c r="G19" s="3">
        <v>43794</v>
      </c>
      <c r="H19" s="2"/>
      <c r="I19" s="4"/>
      <c r="J19" s="4"/>
    </row>
    <row r="20" spans="1:10" s="1" customFormat="1" ht="36">
      <c r="A20" s="2">
        <f t="shared" si="0"/>
        <v>15</v>
      </c>
      <c r="B20" s="5" t="s">
        <v>38</v>
      </c>
      <c r="C20" s="5" t="s">
        <v>59</v>
      </c>
      <c r="D20" s="5"/>
      <c r="E20" s="4"/>
      <c r="F20" s="3"/>
      <c r="G20" s="3"/>
      <c r="H20" s="2"/>
      <c r="I20" s="4"/>
      <c r="J20" s="4"/>
    </row>
    <row r="21" spans="1:10" s="1" customFormat="1" ht="36">
      <c r="A21" s="2">
        <f t="shared" si="0"/>
        <v>16</v>
      </c>
      <c r="B21" s="5"/>
      <c r="C21" s="5" t="s">
        <v>60</v>
      </c>
      <c r="D21" s="5"/>
      <c r="E21" s="4"/>
      <c r="F21" s="3"/>
      <c r="G21" s="3"/>
      <c r="H21" s="2"/>
      <c r="I21" s="4"/>
      <c r="J21" s="4"/>
    </row>
    <row r="22" spans="1:10" s="1" customFormat="1">
      <c r="A22" s="2">
        <f t="shared" si="0"/>
        <v>17</v>
      </c>
      <c r="B22" s="5"/>
      <c r="C22" s="5" t="s">
        <v>39</v>
      </c>
      <c r="D22" s="5" t="s">
        <v>66</v>
      </c>
      <c r="E22" s="4" t="s">
        <v>115</v>
      </c>
      <c r="F22" s="3">
        <v>43794</v>
      </c>
      <c r="G22" s="3">
        <v>43794</v>
      </c>
      <c r="H22" s="2"/>
      <c r="I22" s="4"/>
      <c r="J22" s="4"/>
    </row>
    <row r="23" spans="1:10" s="1" customFormat="1" ht="36">
      <c r="A23" s="2">
        <f t="shared" si="0"/>
        <v>18</v>
      </c>
      <c r="B23" s="5"/>
      <c r="C23" s="5"/>
      <c r="D23" s="5" t="s">
        <v>67</v>
      </c>
      <c r="E23" s="4" t="s">
        <v>115</v>
      </c>
      <c r="F23" s="3">
        <v>43794</v>
      </c>
      <c r="G23" s="3"/>
      <c r="H23" s="2">
        <v>427</v>
      </c>
      <c r="I23" s="4">
        <v>428</v>
      </c>
      <c r="J23" s="4"/>
    </row>
    <row r="24" spans="1:10" s="1" customFormat="1">
      <c r="A24" s="2">
        <f t="shared" si="0"/>
        <v>19</v>
      </c>
      <c r="B24" s="5"/>
      <c r="C24" s="5" t="s">
        <v>68</v>
      </c>
      <c r="D24" s="5" t="s">
        <v>52</v>
      </c>
      <c r="E24" s="4" t="s">
        <v>115</v>
      </c>
      <c r="F24" s="3">
        <v>43794</v>
      </c>
      <c r="G24" s="3">
        <v>43794</v>
      </c>
      <c r="H24" s="2"/>
      <c r="I24" s="4"/>
      <c r="J24" s="4"/>
    </row>
    <row r="25" spans="1:10" s="1" customFormat="1">
      <c r="A25" s="2">
        <f t="shared" si="0"/>
        <v>20</v>
      </c>
      <c r="B25" s="5"/>
      <c r="C25" s="5"/>
      <c r="D25" s="5" t="s">
        <v>69</v>
      </c>
      <c r="E25" s="4" t="s">
        <v>115</v>
      </c>
      <c r="F25" s="3">
        <v>43794</v>
      </c>
      <c r="G25" s="3">
        <v>43794</v>
      </c>
      <c r="H25" s="2"/>
      <c r="I25" s="4"/>
      <c r="J25" s="4"/>
    </row>
    <row r="26" spans="1:10" s="1" customFormat="1">
      <c r="A26" s="2">
        <f t="shared" si="0"/>
        <v>21</v>
      </c>
      <c r="B26" s="5"/>
      <c r="C26" s="5" t="s">
        <v>39</v>
      </c>
      <c r="D26" s="5"/>
      <c r="E26" s="4"/>
      <c r="F26" s="3"/>
      <c r="G26" s="3"/>
      <c r="H26" s="2"/>
      <c r="I26" s="4"/>
      <c r="J26" s="4"/>
    </row>
    <row r="27" spans="1:10" s="1" customFormat="1">
      <c r="A27" s="2">
        <f t="shared" si="0"/>
        <v>22</v>
      </c>
      <c r="B27" s="5"/>
      <c r="C27" s="5" t="s">
        <v>70</v>
      </c>
      <c r="D27" s="5" t="s">
        <v>61</v>
      </c>
      <c r="E27" s="4" t="s">
        <v>115</v>
      </c>
      <c r="F27" s="3">
        <v>43795</v>
      </c>
      <c r="G27" s="3">
        <v>43795</v>
      </c>
      <c r="H27" s="2"/>
      <c r="I27" s="4"/>
      <c r="J27" s="4"/>
    </row>
    <row r="28" spans="1:10" s="1" customFormat="1" ht="36">
      <c r="A28" s="2">
        <f t="shared" si="0"/>
        <v>23</v>
      </c>
      <c r="B28" s="5"/>
      <c r="C28" s="5"/>
      <c r="D28" s="5" t="s">
        <v>62</v>
      </c>
      <c r="E28" s="4" t="s">
        <v>115</v>
      </c>
      <c r="F28" s="3">
        <v>43795</v>
      </c>
      <c r="G28" s="3">
        <v>43795</v>
      </c>
      <c r="H28" s="2"/>
      <c r="I28" s="4"/>
      <c r="J28" s="4"/>
    </row>
    <row r="29" spans="1:10" s="1" customFormat="1" ht="36">
      <c r="A29" s="2">
        <f t="shared" si="0"/>
        <v>24</v>
      </c>
      <c r="B29" s="5"/>
      <c r="C29" s="5"/>
      <c r="D29" s="5" t="s">
        <v>63</v>
      </c>
      <c r="E29" s="4" t="s">
        <v>115</v>
      </c>
      <c r="F29" s="3">
        <v>43795</v>
      </c>
      <c r="G29" s="3">
        <v>43795</v>
      </c>
      <c r="H29" s="2"/>
      <c r="I29" s="4"/>
      <c r="J29" s="4"/>
    </row>
    <row r="30" spans="1:10" s="1" customFormat="1" ht="36">
      <c r="A30" s="2">
        <f t="shared" si="0"/>
        <v>25</v>
      </c>
      <c r="B30" s="5"/>
      <c r="C30" s="5"/>
      <c r="D30" s="5" t="s">
        <v>62</v>
      </c>
      <c r="E30" s="4" t="s">
        <v>115</v>
      </c>
      <c r="F30" s="3">
        <v>43795</v>
      </c>
      <c r="G30" s="3">
        <v>43795</v>
      </c>
      <c r="H30" s="2"/>
      <c r="I30" s="4"/>
      <c r="J30" s="4"/>
    </row>
    <row r="31" spans="1:10" s="1" customFormat="1" ht="36">
      <c r="A31" s="2">
        <f t="shared" si="0"/>
        <v>26</v>
      </c>
      <c r="B31" s="5"/>
      <c r="C31" s="5"/>
      <c r="D31" s="5" t="s">
        <v>64</v>
      </c>
      <c r="E31" s="4" t="s">
        <v>115</v>
      </c>
      <c r="F31" s="3">
        <v>43795</v>
      </c>
      <c r="G31" s="3">
        <v>43795</v>
      </c>
      <c r="H31" s="2"/>
      <c r="I31" s="4"/>
      <c r="J31" s="4"/>
    </row>
    <row r="32" spans="1:10" s="1" customFormat="1" ht="36">
      <c r="A32" s="2">
        <f t="shared" si="0"/>
        <v>27</v>
      </c>
      <c r="B32" s="5"/>
      <c r="C32" s="5"/>
      <c r="D32" s="5" t="s">
        <v>111</v>
      </c>
      <c r="E32" s="4" t="s">
        <v>115</v>
      </c>
      <c r="F32" s="3">
        <v>43795</v>
      </c>
      <c r="G32" s="3">
        <v>43795</v>
      </c>
      <c r="H32" s="2"/>
      <c r="I32" s="4"/>
      <c r="J32" s="4"/>
    </row>
    <row r="33" spans="1:10" s="1" customFormat="1">
      <c r="A33" s="2">
        <f t="shared" si="0"/>
        <v>28</v>
      </c>
      <c r="B33" s="5"/>
      <c r="C33" s="5"/>
      <c r="D33" s="5" t="s">
        <v>71</v>
      </c>
      <c r="E33" s="4" t="s">
        <v>115</v>
      </c>
      <c r="F33" s="3">
        <v>43795</v>
      </c>
      <c r="G33" s="3">
        <v>43795</v>
      </c>
      <c r="H33" s="2"/>
      <c r="I33" s="4"/>
      <c r="J33" s="4"/>
    </row>
    <row r="34" spans="1:10" s="1" customFormat="1">
      <c r="A34" s="2">
        <f t="shared" si="0"/>
        <v>29</v>
      </c>
      <c r="B34" s="5"/>
      <c r="C34" s="5" t="s">
        <v>72</v>
      </c>
      <c r="D34" s="5" t="s">
        <v>112</v>
      </c>
      <c r="E34" s="4" t="s">
        <v>115</v>
      </c>
      <c r="F34" s="3">
        <v>43795</v>
      </c>
      <c r="G34" s="3">
        <v>43795</v>
      </c>
      <c r="H34" s="2"/>
      <c r="I34" s="4"/>
      <c r="J34" s="4"/>
    </row>
    <row r="35" spans="1:10" s="1" customFormat="1">
      <c r="A35" s="2">
        <f t="shared" si="0"/>
        <v>30</v>
      </c>
      <c r="B35" s="5"/>
      <c r="C35" s="5"/>
      <c r="D35" s="5"/>
      <c r="E35" s="4"/>
      <c r="F35" s="3"/>
      <c r="G35" s="3"/>
      <c r="H35" s="2"/>
      <c r="I35" s="4"/>
      <c r="J35" s="4"/>
    </row>
    <row r="36" spans="1:10" s="1" customFormat="1">
      <c r="A36" s="2">
        <f t="shared" si="0"/>
        <v>31</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J28"/>
  <sheetViews>
    <sheetView topLeftCell="A10" workbookViewId="0">
      <selection activeCell="E24" sqref="E2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1.296875" bestFit="1" customWidth="1"/>
    <col min="8" max="10" width="8.69921875" customWidth="1"/>
  </cols>
  <sheetData>
    <row r="1" spans="1:10">
      <c r="B1" s="10" t="s">
        <v>5</v>
      </c>
      <c r="C1" s="9" t="str">
        <f ca="1">RIGHT(CELL("filename",A2),LEN(CELL("filename",A2))-FIND("]",CELL("filename",A2)))</f>
        <v>仕入削除</v>
      </c>
      <c r="D1" s="7"/>
    </row>
    <row r="2" spans="1:10">
      <c r="B2" s="10" t="s">
        <v>9</v>
      </c>
      <c r="C2" s="9">
        <f>COUNTA(D7:D26)</f>
        <v>10</v>
      </c>
    </row>
    <row r="3" spans="1:10">
      <c r="B3" s="10" t="s">
        <v>113</v>
      </c>
      <c r="C3" s="9">
        <f>COUNTA(F7:F62)</f>
        <v>3</v>
      </c>
    </row>
    <row r="4" spans="1:10">
      <c r="B4" s="10" t="s">
        <v>11</v>
      </c>
      <c r="C4" s="9">
        <f>COUNTA(G7:G26)</f>
        <v>3</v>
      </c>
    </row>
    <row r="5" spans="1:10">
      <c r="B5" s="8"/>
      <c r="C5" s="7"/>
    </row>
    <row r="6" spans="1:10" s="6" customFormat="1">
      <c r="A6" s="17" t="s">
        <v>4</v>
      </c>
      <c r="B6" s="17" t="s">
        <v>6</v>
      </c>
      <c r="C6" s="17" t="s">
        <v>7</v>
      </c>
      <c r="D6" s="17" t="s">
        <v>3</v>
      </c>
      <c r="E6" s="17" t="s">
        <v>2</v>
      </c>
      <c r="F6" s="17" t="s">
        <v>1</v>
      </c>
      <c r="G6" s="17" t="s">
        <v>0</v>
      </c>
      <c r="H6" s="18" t="s">
        <v>8</v>
      </c>
      <c r="I6" s="18"/>
      <c r="J6" s="18"/>
    </row>
    <row r="7" spans="1:10" s="1" customFormat="1" ht="36">
      <c r="A7" s="2">
        <f>ROW()-5</f>
        <v>2</v>
      </c>
      <c r="B7" s="5" t="s">
        <v>15</v>
      </c>
      <c r="C7" s="5" t="s">
        <v>13</v>
      </c>
      <c r="D7" s="5"/>
      <c r="E7" s="4"/>
      <c r="F7" s="3"/>
      <c r="G7" s="3"/>
      <c r="H7" s="2"/>
      <c r="I7" s="4"/>
      <c r="J7" s="4"/>
    </row>
    <row r="8" spans="1:10" s="1" customFormat="1">
      <c r="A8" s="2">
        <f t="shared" ref="A8:A26" si="0">ROW()-5</f>
        <v>3</v>
      </c>
      <c r="B8" s="5"/>
      <c r="C8" s="5" t="s">
        <v>12</v>
      </c>
      <c r="D8" s="5"/>
      <c r="E8" s="4"/>
      <c r="F8" s="3"/>
      <c r="G8" s="3"/>
      <c r="H8" s="2"/>
      <c r="I8" s="4"/>
      <c r="J8" s="4"/>
    </row>
    <row r="9" spans="1:10" s="1" customFormat="1" ht="72">
      <c r="A9" s="2">
        <f t="shared" si="0"/>
        <v>4</v>
      </c>
      <c r="B9" s="5"/>
      <c r="C9" s="5" t="s">
        <v>14</v>
      </c>
      <c r="D9" s="5"/>
      <c r="E9" s="4"/>
      <c r="F9" s="3"/>
      <c r="G9" s="3"/>
      <c r="H9" s="2"/>
      <c r="I9" s="4"/>
      <c r="J9" s="4"/>
    </row>
    <row r="10" spans="1:10" s="1" customFormat="1" ht="36">
      <c r="A10" s="2">
        <f t="shared" si="0"/>
        <v>5</v>
      </c>
      <c r="B10" s="5"/>
      <c r="C10" s="5" t="s">
        <v>90</v>
      </c>
      <c r="D10" s="5"/>
      <c r="E10" s="4"/>
      <c r="F10" s="3"/>
      <c r="G10" s="3"/>
      <c r="H10" s="2"/>
      <c r="I10" s="4"/>
      <c r="J10" s="4"/>
    </row>
    <row r="11" spans="1:10" s="1" customFormat="1" ht="36">
      <c r="A11" s="2">
        <f t="shared" si="0"/>
        <v>6</v>
      </c>
      <c r="B11" s="5"/>
      <c r="C11" s="5" t="s">
        <v>25</v>
      </c>
      <c r="D11" s="5"/>
      <c r="E11" s="4"/>
      <c r="F11" s="3"/>
      <c r="G11" s="3"/>
      <c r="H11" s="2"/>
      <c r="I11" s="4"/>
      <c r="J11" s="4"/>
    </row>
    <row r="12" spans="1:10" s="1" customFormat="1">
      <c r="A12" s="2">
        <f t="shared" si="0"/>
        <v>7</v>
      </c>
      <c r="B12" s="5"/>
      <c r="C12" s="5" t="s">
        <v>26</v>
      </c>
      <c r="D12" s="5"/>
      <c r="E12" s="4"/>
      <c r="F12" s="3"/>
      <c r="G12" s="3"/>
      <c r="H12" s="2"/>
      <c r="I12" s="4"/>
      <c r="J12" s="4"/>
    </row>
    <row r="13" spans="1:10" s="1" customFormat="1">
      <c r="A13" s="2">
        <f t="shared" si="0"/>
        <v>8</v>
      </c>
      <c r="B13" s="5"/>
      <c r="C13" s="5" t="s">
        <v>92</v>
      </c>
      <c r="D13" s="5"/>
      <c r="E13" s="4"/>
      <c r="F13" s="3"/>
      <c r="G13" s="3"/>
      <c r="H13" s="2"/>
      <c r="I13" s="4"/>
      <c r="J13" s="4"/>
    </row>
    <row r="14" spans="1:10" s="1" customFormat="1">
      <c r="A14" s="2">
        <f t="shared" si="0"/>
        <v>9</v>
      </c>
      <c r="B14" s="5"/>
      <c r="C14" s="5" t="s">
        <v>100</v>
      </c>
      <c r="D14" s="5" t="s">
        <v>101</v>
      </c>
      <c r="E14" s="4" t="s">
        <v>115</v>
      </c>
      <c r="F14" s="3">
        <v>43794</v>
      </c>
      <c r="G14" s="3">
        <v>43794</v>
      </c>
      <c r="H14" s="2"/>
      <c r="I14" s="4"/>
      <c r="J14" s="4"/>
    </row>
    <row r="15" spans="1:10" s="1" customFormat="1" ht="36">
      <c r="A15" s="2">
        <f t="shared" si="0"/>
        <v>10</v>
      </c>
      <c r="B15" s="5"/>
      <c r="C15" s="5"/>
      <c r="D15" s="5" t="s">
        <v>102</v>
      </c>
      <c r="E15" s="4" t="s">
        <v>115</v>
      </c>
      <c r="F15" s="3">
        <v>43794</v>
      </c>
      <c r="G15" s="3">
        <v>43794</v>
      </c>
      <c r="H15" s="2"/>
      <c r="I15" s="4"/>
      <c r="J15" s="4"/>
    </row>
    <row r="16" spans="1:10" s="1" customFormat="1">
      <c r="A16" s="2">
        <f t="shared" si="0"/>
        <v>11</v>
      </c>
      <c r="B16" s="5"/>
      <c r="C16" s="5" t="s">
        <v>103</v>
      </c>
      <c r="D16" s="5" t="s">
        <v>109</v>
      </c>
      <c r="E16" s="4" t="s">
        <v>115</v>
      </c>
      <c r="F16" s="3">
        <v>43795</v>
      </c>
      <c r="G16" s="3">
        <v>43795</v>
      </c>
      <c r="H16" s="2"/>
      <c r="I16" s="4"/>
      <c r="J16" s="4"/>
    </row>
    <row r="17" spans="1:10" s="1" customFormat="1">
      <c r="A17" s="2">
        <f t="shared" si="0"/>
        <v>12</v>
      </c>
      <c r="B17" s="5"/>
      <c r="C17" s="5" t="s">
        <v>104</v>
      </c>
      <c r="D17" s="5"/>
      <c r="E17" s="4"/>
      <c r="F17" s="3"/>
      <c r="G17" s="3"/>
      <c r="H17" s="2"/>
      <c r="I17" s="4"/>
      <c r="J17" s="4"/>
    </row>
    <row r="18" spans="1:10" s="1" customFormat="1">
      <c r="A18" s="2">
        <f t="shared" si="0"/>
        <v>13</v>
      </c>
      <c r="B18" s="5"/>
      <c r="C18" s="5" t="s">
        <v>105</v>
      </c>
      <c r="D18" s="5" t="s">
        <v>61</v>
      </c>
      <c r="E18" s="4"/>
      <c r="F18" s="3"/>
      <c r="G18" s="3"/>
      <c r="H18" s="2">
        <v>424</v>
      </c>
      <c r="I18" s="4"/>
      <c r="J18" s="4"/>
    </row>
    <row r="19" spans="1:10" s="1" customFormat="1" ht="36">
      <c r="A19" s="2">
        <f t="shared" si="0"/>
        <v>14</v>
      </c>
      <c r="B19" s="5"/>
      <c r="C19" s="5"/>
      <c r="D19" s="5" t="s">
        <v>62</v>
      </c>
      <c r="E19" s="4"/>
      <c r="F19" s="3"/>
      <c r="G19" s="3"/>
      <c r="H19" s="2"/>
      <c r="I19" s="4"/>
      <c r="J19" s="4"/>
    </row>
    <row r="20" spans="1:10" s="1" customFormat="1">
      <c r="A20" s="2">
        <f t="shared" si="0"/>
        <v>15</v>
      </c>
      <c r="B20" s="5"/>
      <c r="C20" s="5"/>
      <c r="D20" s="5" t="s">
        <v>107</v>
      </c>
      <c r="E20" s="4"/>
      <c r="F20" s="3"/>
      <c r="G20" s="3"/>
      <c r="H20" s="2"/>
      <c r="I20" s="4"/>
      <c r="J20" s="4"/>
    </row>
    <row r="21" spans="1:10" s="1" customFormat="1" ht="36">
      <c r="A21" s="2">
        <f t="shared" si="0"/>
        <v>16</v>
      </c>
      <c r="B21" s="5"/>
      <c r="C21" s="5"/>
      <c r="D21" s="5" t="s">
        <v>62</v>
      </c>
      <c r="E21" s="4"/>
      <c r="F21" s="3"/>
      <c r="G21" s="3"/>
      <c r="H21" s="2"/>
      <c r="I21" s="4"/>
      <c r="J21" s="4"/>
    </row>
    <row r="22" spans="1:10" s="1" customFormat="1" ht="36">
      <c r="A22" s="2">
        <f t="shared" si="0"/>
        <v>17</v>
      </c>
      <c r="B22" s="5"/>
      <c r="C22" s="5"/>
      <c r="D22" s="5" t="s">
        <v>106</v>
      </c>
      <c r="E22" s="4"/>
      <c r="F22" s="3"/>
      <c r="G22" s="3"/>
      <c r="H22" s="2"/>
      <c r="I22" s="4"/>
      <c r="J22" s="4"/>
    </row>
    <row r="23" spans="1:10" s="1" customFormat="1">
      <c r="A23" s="2">
        <f t="shared" si="0"/>
        <v>18</v>
      </c>
      <c r="B23" s="5"/>
      <c r="C23" s="5"/>
      <c r="D23" s="5" t="s">
        <v>108</v>
      </c>
      <c r="E23" s="4"/>
      <c r="F23" s="3"/>
      <c r="G23" s="3"/>
      <c r="H23" s="2"/>
      <c r="I23" s="4"/>
      <c r="J23" s="4"/>
    </row>
    <row r="24" spans="1:10" s="1" customFormat="1">
      <c r="A24" s="2">
        <f t="shared" si="0"/>
        <v>19</v>
      </c>
      <c r="B24" s="5"/>
      <c r="C24" s="5" t="s">
        <v>110</v>
      </c>
      <c r="D24" s="5" t="s">
        <v>109</v>
      </c>
      <c r="E24" s="4"/>
      <c r="F24" s="3"/>
      <c r="G24" s="3"/>
      <c r="H24" s="2"/>
      <c r="I24" s="4"/>
      <c r="J24" s="4"/>
    </row>
    <row r="25" spans="1:10" s="1" customFormat="1">
      <c r="A25" s="2">
        <f t="shared" si="0"/>
        <v>20</v>
      </c>
      <c r="B25" s="5"/>
      <c r="C25" s="5"/>
      <c r="D25" s="5"/>
      <c r="E25" s="4"/>
      <c r="F25" s="3"/>
      <c r="G25" s="3"/>
      <c r="H25" s="2"/>
      <c r="I25" s="4"/>
      <c r="J25" s="4"/>
    </row>
    <row r="26" spans="1:10" s="1" customFormat="1">
      <c r="A26" s="2">
        <f t="shared" si="0"/>
        <v>21</v>
      </c>
      <c r="B26" s="5"/>
      <c r="C26" s="5"/>
      <c r="D26" s="5"/>
      <c r="E26" s="4"/>
      <c r="F26" s="3"/>
      <c r="G26" s="3"/>
      <c r="H26" s="2"/>
      <c r="I26" s="4"/>
      <c r="J26" s="4"/>
    </row>
    <row r="28" spans="1:10">
      <c r="B28"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14</vt:i4>
      </vt:variant>
    </vt:vector>
  </HeadingPairs>
  <TitlesOfParts>
    <vt:vector size="22" baseType="lpstr">
      <vt:lpstr>表紙</vt:lpstr>
      <vt:lpstr>仕入管理メニュー</vt:lpstr>
      <vt:lpstr>仕入登録</vt:lpstr>
      <vt:lpstr>仕入検索</vt:lpstr>
      <vt:lpstr>仕入一覧</vt:lpstr>
      <vt:lpstr>仕入詳細</vt:lpstr>
      <vt:lpstr>仕入修正</vt:lpstr>
      <vt:lpstr>仕入削除</vt:lpstr>
      <vt:lpstr>仕入一覧!comp_count</vt:lpstr>
      <vt:lpstr>仕入管理メニュー!comp_count</vt:lpstr>
      <vt:lpstr>仕入検索!comp_count</vt:lpstr>
      <vt:lpstr>仕入削除!comp_count</vt:lpstr>
      <vt:lpstr>仕入修正!comp_count</vt:lpstr>
      <vt:lpstr>仕入詳細!comp_count</vt:lpstr>
      <vt:lpstr>仕入登録!comp_count</vt:lpstr>
      <vt:lpstr>仕入一覧!item_count</vt:lpstr>
      <vt:lpstr>仕入管理メニュー!item_count</vt:lpstr>
      <vt:lpstr>仕入検索!item_count</vt:lpstr>
      <vt:lpstr>仕入削除!item_count</vt:lpstr>
      <vt:lpstr>仕入修正!item_count</vt:lpstr>
      <vt:lpstr>仕入詳細!item_count</vt:lpstr>
      <vt:lpstr>仕入登録!item_count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2019-11-26T02:11:58Z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