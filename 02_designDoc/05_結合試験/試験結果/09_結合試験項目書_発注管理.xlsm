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192.168.2.200\開発\クワガタ\03_H30 KID'Sシステムリニューアル\05_結合試験\試験結果\"/>
    </mc:Choice>
  </mc:AlternateContent>
  <xr:revisionPtr revIDLastSave="0" documentId="13_ncr:1_{65A72BE8-72D2-4284-8C07-279EB0208089}" xr6:coauthVersionLast="45" xr6:coauthVersionMax="45" xr10:uidLastSave="{00000000-0000-0000-0000-000000000000}"/>
  <bookViews>
    <workbookView xWindow="28680" yWindow="-120" windowWidth="19440" windowHeight="15000" activeTab="1" xr2:uid="{7855FBD0-5EC9-4DBA-9A4B-0C57305BA533}"/>
  </bookViews>
  <sheets>
    <sheet name="表紙" sheetId="8" r:id="rId1"/>
    <sheet name="発注検索" sheetId="5" r:id="rId2"/>
    <sheet name="発注一覧" sheetId="6" r:id="rId3"/>
    <sheet name="発注詳細" sheetId="7" r:id="rId4"/>
    <sheet name="発注確定" sheetId="10" r:id="rId5"/>
    <sheet name="確定取消" sheetId="11" r:id="rId6"/>
    <sheet name="発注書検索" sheetId="12" r:id="rId7"/>
    <sheet name="発注書一覧" sheetId="15" r:id="rId8"/>
    <sheet name="発注書修正" sheetId="16" r:id="rId9"/>
  </sheets>
  <definedNames>
    <definedName name="comp_count" localSheetId="5">確定取消!$C$4</definedName>
    <definedName name="comp_count" localSheetId="2">発注一覧!$C$4</definedName>
    <definedName name="comp_count" localSheetId="4">発注確定!$C$4</definedName>
    <definedName name="comp_count" localSheetId="1">発注検索!$C$4</definedName>
    <definedName name="comp_count" localSheetId="7">発注書一覧!$C$4</definedName>
    <definedName name="comp_count" localSheetId="6">発注書検索!$C$4</definedName>
    <definedName name="comp_count" localSheetId="8">発注書修正!$C$4</definedName>
    <definedName name="comp_count" localSheetId="3">発注詳細!$C$4</definedName>
    <definedName name="item_count" localSheetId="5">確定取消!$C$2</definedName>
    <definedName name="item_count" localSheetId="2">発注一覧!$C$2</definedName>
    <definedName name="item_count" localSheetId="4">発注確定!$C$2</definedName>
    <definedName name="item_count" localSheetId="1">発注検索!$C$2</definedName>
    <definedName name="item_count" localSheetId="7">発注書一覧!$C$2</definedName>
    <definedName name="item_count" localSheetId="6">発注書検索!$C$2</definedName>
    <definedName name="item_count" localSheetId="8">発注書修正!$C$2</definedName>
    <definedName name="item_count" localSheetId="3">発注詳細!$C$2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 i="16" l="1"/>
  <c r="C3" i="5" l="1"/>
  <c r="C3" i="6"/>
  <c r="C3" i="7"/>
  <c r="C3" i="10"/>
  <c r="C3" i="11"/>
  <c r="C3" i="12"/>
  <c r="C3" i="15"/>
  <c r="C3" i="16"/>
  <c r="A32" i="16" l="1"/>
  <c r="A31" i="16"/>
  <c r="A30" i="16"/>
  <c r="A29" i="16"/>
  <c r="A60" i="10"/>
  <c r="A23" i="16"/>
  <c r="A22" i="16"/>
  <c r="A21" i="16"/>
  <c r="A20" i="16"/>
  <c r="A19" i="16"/>
  <c r="A16" i="16"/>
  <c r="A18" i="16"/>
  <c r="A17" i="16"/>
  <c r="A34" i="16"/>
  <c r="A33" i="16"/>
  <c r="A28" i="16"/>
  <c r="A36" i="16"/>
  <c r="A35" i="16"/>
  <c r="A27" i="16"/>
  <c r="A26" i="16"/>
  <c r="A25" i="16"/>
  <c r="A24" i="16"/>
  <c r="A15" i="16"/>
  <c r="A14" i="16"/>
  <c r="A13" i="16"/>
  <c r="A12" i="16"/>
  <c r="A11" i="16"/>
  <c r="A10" i="16"/>
  <c r="A9" i="16"/>
  <c r="A8" i="16"/>
  <c r="A7" i="16"/>
  <c r="C2" i="16"/>
  <c r="C1" i="16"/>
  <c r="C2" i="15"/>
  <c r="A27" i="15"/>
  <c r="A26" i="15"/>
  <c r="A25" i="15"/>
  <c r="A24" i="15"/>
  <c r="A23" i="15"/>
  <c r="A22" i="15"/>
  <c r="A21" i="15"/>
  <c r="A20" i="15"/>
  <c r="A19" i="15"/>
  <c r="A18" i="15"/>
  <c r="A17" i="15"/>
  <c r="A13" i="15"/>
  <c r="A12" i="15"/>
  <c r="A11" i="15"/>
  <c r="A16" i="15"/>
  <c r="A14" i="15"/>
  <c r="A15" i="15"/>
  <c r="A10" i="15"/>
  <c r="A9" i="15"/>
  <c r="A8" i="15"/>
  <c r="A7" i="15"/>
  <c r="C4" i="15"/>
  <c r="C1" i="15"/>
  <c r="A12" i="12"/>
  <c r="A18" i="12" l="1"/>
  <c r="A11" i="12"/>
  <c r="A17" i="12"/>
  <c r="A16" i="12"/>
  <c r="A15" i="12"/>
  <c r="A14" i="12"/>
  <c r="A13" i="12"/>
  <c r="A10" i="12"/>
  <c r="A9" i="12"/>
  <c r="A8" i="12"/>
  <c r="A7" i="12"/>
  <c r="C4" i="12"/>
  <c r="C2" i="12"/>
  <c r="C1" i="12"/>
  <c r="A40" i="11" l="1"/>
  <c r="A39" i="11"/>
  <c r="A38" i="11"/>
  <c r="A37" i="11"/>
  <c r="A35" i="11" l="1"/>
  <c r="A34" i="11"/>
  <c r="A33" i="11"/>
  <c r="A32" i="11"/>
  <c r="A31" i="11"/>
  <c r="A44" i="11"/>
  <c r="A43" i="11"/>
  <c r="A42" i="11"/>
  <c r="A41" i="11"/>
  <c r="A36" i="11"/>
  <c r="A30" i="11"/>
  <c r="A29" i="11"/>
  <c r="A28" i="11"/>
  <c r="A27" i="11"/>
  <c r="A26" i="11"/>
  <c r="A25" i="11"/>
  <c r="A24" i="11"/>
  <c r="A23" i="11"/>
  <c r="A22" i="11"/>
  <c r="A21" i="11"/>
  <c r="A20" i="11"/>
  <c r="A19" i="11"/>
  <c r="A18" i="11"/>
  <c r="A17" i="11"/>
  <c r="A16" i="11"/>
  <c r="A15" i="11"/>
  <c r="A14" i="11"/>
  <c r="A13" i="11"/>
  <c r="A12" i="11"/>
  <c r="A11" i="11"/>
  <c r="A10" i="11"/>
  <c r="A9" i="11"/>
  <c r="A8" i="11"/>
  <c r="A7" i="11"/>
  <c r="C4" i="11"/>
  <c r="C2" i="11"/>
  <c r="C1" i="11"/>
  <c r="A56" i="10"/>
  <c r="A55" i="10"/>
  <c r="A54" i="10"/>
  <c r="A53" i="10"/>
  <c r="A58" i="10"/>
  <c r="A57" i="10"/>
  <c r="A42" i="10"/>
  <c r="A45" i="10"/>
  <c r="A43" i="10"/>
  <c r="A41" i="10"/>
  <c r="A40" i="10"/>
  <c r="A39" i="10"/>
  <c r="A47" i="10"/>
  <c r="A46" i="10"/>
  <c r="A44" i="10"/>
  <c r="A49" i="10" l="1"/>
  <c r="A48" i="10"/>
  <c r="A38" i="10"/>
  <c r="A34" i="10"/>
  <c r="A33" i="10"/>
  <c r="A32" i="10"/>
  <c r="A31" i="10"/>
  <c r="A30" i="10"/>
  <c r="A29" i="10"/>
  <c r="A37" i="10"/>
  <c r="A36" i="10"/>
  <c r="A35" i="10"/>
  <c r="A28" i="10"/>
  <c r="A22" i="10"/>
  <c r="A21" i="10"/>
  <c r="A20" i="10"/>
  <c r="A19" i="10"/>
  <c r="A18" i="10"/>
  <c r="A17" i="10"/>
  <c r="A26" i="10"/>
  <c r="A25" i="10"/>
  <c r="A24" i="10"/>
  <c r="A23" i="10"/>
  <c r="A27" i="10"/>
  <c r="A23" i="6" l="1"/>
  <c r="A22" i="6"/>
  <c r="A34" i="6" l="1"/>
  <c r="A33" i="6"/>
  <c r="A32" i="6"/>
  <c r="A52" i="10" l="1"/>
  <c r="A51" i="10"/>
  <c r="A50" i="10"/>
  <c r="A62" i="10"/>
  <c r="A61" i="10"/>
  <c r="A59" i="10"/>
  <c r="A16" i="10"/>
  <c r="A15" i="10"/>
  <c r="A14" i="10"/>
  <c r="A13" i="10"/>
  <c r="A12" i="10"/>
  <c r="A11" i="10"/>
  <c r="A10" i="10"/>
  <c r="A9" i="10"/>
  <c r="A8" i="10"/>
  <c r="A7" i="10"/>
  <c r="C4" i="10"/>
  <c r="C2" i="10"/>
  <c r="C1" i="10"/>
  <c r="A21" i="6" l="1"/>
  <c r="A20" i="6"/>
  <c r="A19" i="6"/>
  <c r="A24" i="6"/>
  <c r="A17" i="6"/>
  <c r="A18" i="7"/>
  <c r="A17" i="7"/>
  <c r="A19" i="7" l="1"/>
  <c r="C4" i="7"/>
  <c r="C2" i="7"/>
  <c r="A16" i="7" l="1"/>
  <c r="A23" i="7"/>
  <c r="A22" i="7"/>
  <c r="A21" i="7"/>
  <c r="A20" i="7"/>
  <c r="A15" i="7"/>
  <c r="A14" i="7"/>
  <c r="A12" i="7"/>
  <c r="A11" i="7"/>
  <c r="A13" i="7"/>
  <c r="A10" i="7"/>
  <c r="A9" i="7"/>
  <c r="A8" i="7"/>
  <c r="A7" i="7"/>
  <c r="C1" i="7"/>
  <c r="A12" i="6"/>
  <c r="A48" i="6"/>
  <c r="A47" i="6"/>
  <c r="A46" i="6"/>
  <c r="A45" i="6"/>
  <c r="A44" i="6"/>
  <c r="A43" i="6"/>
  <c r="A42" i="6"/>
  <c r="A41" i="6"/>
  <c r="A40" i="6"/>
  <c r="A39" i="6"/>
  <c r="A38" i="6"/>
  <c r="A37" i="6"/>
  <c r="A36" i="6"/>
  <c r="A35" i="6"/>
  <c r="A31" i="6"/>
  <c r="A30" i="6"/>
  <c r="A29" i="6"/>
  <c r="A28" i="6"/>
  <c r="A27" i="6"/>
  <c r="A26" i="6"/>
  <c r="A25" i="6"/>
  <c r="A18" i="6"/>
  <c r="A16" i="6"/>
  <c r="A15" i="6"/>
  <c r="A14" i="6"/>
  <c r="A13" i="6"/>
  <c r="A11" i="6"/>
  <c r="A10" i="6"/>
  <c r="A9" i="6"/>
  <c r="A8" i="6"/>
  <c r="A7" i="6"/>
  <c r="C4" i="6"/>
  <c r="C2" i="6"/>
  <c r="C1" i="6"/>
  <c r="A16" i="5"/>
  <c r="A15" i="5"/>
  <c r="A14" i="5"/>
  <c r="A13" i="5"/>
  <c r="A12" i="5"/>
  <c r="A11" i="5"/>
  <c r="A10" i="5"/>
  <c r="A9" i="5"/>
  <c r="A8" i="5"/>
  <c r="A7" i="5"/>
  <c r="C4"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D8DCC0AF-FB98-4708-AC3D-07043C7D70A1}">
      <text>
        <r>
          <rPr>
            <b/>
            <sz val="9"/>
            <color indexed="81"/>
            <rFont val="MS P ゴシック"/>
            <family val="3"/>
            <charset val="128"/>
          </rPr>
          <t>試験開始した日付を記入する。</t>
        </r>
      </text>
    </comment>
    <comment ref="G6" authorId="0" shapeId="0" xr:uid="{0105D888-C589-4A86-9A49-6EC4CC3D754C}">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BA95F19-53E7-4EE5-9B8D-D9A6B859B04F}">
      <text>
        <r>
          <rPr>
            <b/>
            <sz val="9"/>
            <color indexed="81"/>
            <rFont val="MS P ゴシック"/>
            <family val="3"/>
            <charset val="128"/>
          </rPr>
          <t>試験開始した日付を記入する。</t>
        </r>
      </text>
    </comment>
    <comment ref="G6" authorId="0" shapeId="0" xr:uid="{7155BF81-35D1-45A0-9B1B-7B461D8AB1D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12E84CE4-5341-4DF1-81A0-5CBA28A21EB2}">
      <text>
        <r>
          <rPr>
            <b/>
            <sz val="9"/>
            <color indexed="81"/>
            <rFont val="MS P ゴシック"/>
            <family val="3"/>
            <charset val="128"/>
          </rPr>
          <t>試験開始した日付を記入する。</t>
        </r>
      </text>
    </comment>
    <comment ref="G6" authorId="0" shapeId="0" xr:uid="{74FDB7A1-DCAC-4508-9215-F8573DFC6928}">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9D764C28-75F7-4A7A-B0E9-1CEB29361C99}">
      <text>
        <r>
          <rPr>
            <b/>
            <sz val="9"/>
            <color indexed="81"/>
            <rFont val="MS P ゴシック"/>
            <family val="3"/>
            <charset val="128"/>
          </rPr>
          <t>試験開始した日付を記入する。</t>
        </r>
      </text>
    </comment>
    <comment ref="G6" authorId="0" shapeId="0" xr:uid="{3DBE3881-09A8-46CD-8D2E-5008FB436FBE}">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EAE258F8-416A-4A07-A84D-ED3E561C426C}">
      <text>
        <r>
          <rPr>
            <b/>
            <sz val="9"/>
            <color indexed="81"/>
            <rFont val="MS P ゴシック"/>
            <family val="3"/>
            <charset val="128"/>
          </rPr>
          <t>試験開始した日付を記入する。</t>
        </r>
      </text>
    </comment>
    <comment ref="G6" authorId="0" shapeId="0" xr:uid="{BFCF0D78-7D84-4C3C-9985-EA7DEC74B6B5}">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127340E8-FBAC-4172-9B96-0D69C7B0787D}">
      <text>
        <r>
          <rPr>
            <b/>
            <sz val="9"/>
            <color indexed="81"/>
            <rFont val="MS P ゴシック"/>
            <family val="3"/>
            <charset val="128"/>
          </rPr>
          <t>試験開始した日付を記入する。</t>
        </r>
      </text>
    </comment>
    <comment ref="G6" authorId="0" shapeId="0" xr:uid="{FFB4B211-8C6E-4A21-94C0-38440D7B87B6}">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79DE6417-6FE9-4BED-A6D7-B33416CFB3E0}">
      <text>
        <r>
          <rPr>
            <b/>
            <sz val="9"/>
            <color indexed="81"/>
            <rFont val="MS P ゴシック"/>
            <family val="3"/>
            <charset val="128"/>
          </rPr>
          <t>試験開始した日付を記入する。</t>
        </r>
      </text>
    </comment>
    <comment ref="G6" authorId="0" shapeId="0" xr:uid="{CD070820-F4A3-4013-8BA3-98F03AF74223}">
      <text>
        <r>
          <rPr>
            <b/>
            <sz val="9"/>
            <color indexed="81"/>
            <rFont val="MS P ゴシック"/>
            <family val="3"/>
            <charset val="128"/>
          </rPr>
          <t>確認OKとなった日付を記入する。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5A3D02DA-09D4-40C5-96C8-1C2FF25EC859}">
      <text>
        <r>
          <rPr>
            <b/>
            <sz val="9"/>
            <color indexed="81"/>
            <rFont val="MS P ゴシック"/>
            <family val="3"/>
            <charset val="128"/>
          </rPr>
          <t>試験開始した日付を記入する。</t>
        </r>
      </text>
    </comment>
    <comment ref="G6" authorId="0" shapeId="0" xr:uid="{DCC0E600-C40F-4CD6-8476-1F4ADA6BDD6F}">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<sst xmlns="http://schemas.openxmlformats.org/spreadsheetml/2006/main" count="471" uniqueCount="185">
  <si>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</si>
  <si>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</si>
  <si>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</si>
  <si>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</si>
  <si>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</si>
  <si>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</si>
  <si>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</si>
  <si>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</si>
  <si>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</si>
  <si>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</si>
  <si>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</si>
  <si>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</si>
  <si>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</si>
  <si>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</si>
  <si>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</si>
  <si>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</si>
  <si>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</si>
  <si>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</si>
  <si>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</si>
  <si>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</si>
  <si>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</si>
  <si>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</si>
  <si>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</si>
  <si>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</si>
  <si>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</si>
  <si>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</si>
  <si>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</si>
  <si>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</si>
  <si>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</si>
  <si>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</si>
  <si>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</si>
  <si>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</si>
  <si>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</si>
  <si>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</si>
  <si>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</si>
  <si>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</si>
  <si>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</si>
  <si>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</si>
  <si>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確定ボタン押下</t>
    <rPh sb="0" eb="2">
      <t>カクテイ</t>
    </rPh>
    <rPh sb="5" eb="7">
      <t>オウカ</t>
    </rPh>
    <phoneticPr fontId="1"/>
  </si>
  <si>
    <t>表示されている任意の行の確定ボタンを押下する。</t>
    <rPh sb="0" eb="2">
      <t>ヒョウジ</t>
    </rPh>
    <rPh sb="7" eb="9">
      <t>ニンイ</t>
    </rPh>
    <rPh sb="10" eb="11">
      <t>ギョウ</t>
    </rPh>
    <rPh sb="12" eb="14">
      <t>カクテイ</t>
    </rPh>
    <rPh sb="18" eb="20">
      <t>オウカ</t>
    </rPh>
    <phoneticPr fontId="1"/>
  </si>
  <si>
    <t>表示されている内容が、確定ボタンを押下した行のものであること。</t>
    <rPh sb="0" eb="2">
      <t>ヒョウジ</t>
    </rPh>
    <rPh sb="7" eb="9">
      <t>ナイヨウ</t>
    </rPh>
    <rPh sb="11" eb="13">
      <t>カクテイ</t>
    </rPh>
    <rPh sb="17" eb="19">
      <t>オウカ</t>
    </rPh>
    <rPh sb="21" eb="22">
      <t>ギョウ</t>
    </rPh>
    <phoneticPr fontId="1"/>
  </si>
  <si>
    <t>確定取消ボタン押下</t>
    <rPh sb="0" eb="2">
      <t>カクテイ</t>
    </rPh>
    <rPh sb="2" eb="4">
      <t>トリケシ</t>
    </rPh>
    <rPh sb="7" eb="9">
      <t>オウカ</t>
    </rPh>
    <phoneticPr fontId="1"/>
  </si>
  <si>
    <t>表示されている任意の行の確定取消ボタンを押下する。</t>
    <rPh sb="0" eb="2">
      <t>ヒョウジ</t>
    </rPh>
    <rPh sb="7" eb="9">
      <t>ニンイ</t>
    </rPh>
    <rPh sb="10" eb="11">
      <t>ギョウ</t>
    </rPh>
    <rPh sb="12" eb="14">
      <t>カクテイ</t>
    </rPh>
    <rPh sb="14" eb="16">
      <t>トリケシ</t>
    </rPh>
    <rPh sb="20" eb="22">
      <t>オウカ</t>
    </rPh>
    <phoneticPr fontId="1"/>
  </si>
  <si>
    <t>表示されている内容が、確定取消ボタンを押下した行のものであること。</t>
    <rPh sb="0" eb="2">
      <t>ヒョウジ</t>
    </rPh>
    <rPh sb="7" eb="9">
      <t>ナイヨウ</t>
    </rPh>
    <rPh sb="11" eb="13">
      <t>カクテイ</t>
    </rPh>
    <rPh sb="13" eb="15">
      <t>トリケシ</t>
    </rPh>
    <rPh sb="19" eb="21">
      <t>オウカ</t>
    </rPh>
    <rPh sb="23" eb="24">
      <t>ギョウ</t>
    </rPh>
    <phoneticPr fontId="1"/>
  </si>
  <si>
    <t>任意の行の確定ボタンを押下する。</t>
    <rPh sb="0" eb="2">
      <t>ニンイ</t>
    </rPh>
    <rPh sb="3" eb="4">
      <t>ギョウ</t>
    </rPh>
    <rPh sb="5" eb="7">
      <t>カクテイ</t>
    </rPh>
    <rPh sb="11" eb="13">
      <t>オウカ</t>
    </rPh>
    <phoneticPr fontId="1"/>
  </si>
  <si>
    <t>メインメニュー画面で見積原価管理ボタンを押下する。</t>
    <rPh sb="7" eb="9">
      <t>ガメン</t>
    </rPh>
    <rPh sb="10" eb="16">
      <t>ミツモリゲンカカンリ</t>
    </rPh>
    <rPh sb="20" eb="22">
      <t>オウカ</t>
    </rPh>
    <phoneticPr fontId="1"/>
  </si>
  <si>
    <t>見積原価検索ボタンを押下する。</t>
    <rPh sb="0" eb="2">
      <t>ミツモリ</t>
    </rPh>
    <rPh sb="2" eb="4">
      <t>ゲンカ</t>
    </rPh>
    <rPh sb="4" eb="6">
      <t>ケンサク</t>
    </rPh>
    <rPh sb="10" eb="12">
      <t>オウカ</t>
    </rPh>
    <phoneticPr fontId="1"/>
  </si>
  <si>
    <t>「履歴」が表示されていない任意の行の詳細ボタンを押下する。</t>
    <rPh sb="1" eb="3">
      <t>リレキ</t>
    </rPh>
    <rPh sb="5" eb="7">
      <t>ヒョウジ</t>
    </rPh>
    <rPh sb="13" eb="15">
      <t>ニンイ</t>
    </rPh>
    <rPh sb="16" eb="17">
      <t>ギョウ</t>
    </rPh>
    <rPh sb="18" eb="20">
      <t>ショウサイ</t>
    </rPh>
    <rPh sb="24" eb="26">
      <t>オウカ</t>
    </rPh>
    <phoneticPr fontId="1"/>
  </si>
  <si>
    <t>画面表示（見積原価プレビュー経由）</t>
    <rPh sb="0" eb="2">
      <t>ガメン</t>
    </rPh>
    <rPh sb="2" eb="4">
      <t>ヒョウジ</t>
    </rPh>
    <rPh sb="5" eb="7">
      <t>ミツモリ</t>
    </rPh>
    <rPh sb="7" eb="9">
      <t>ゲンカ</t>
    </rPh>
    <rPh sb="14" eb="16">
      <t>ケイユ</t>
    </rPh>
    <phoneticPr fontId="1"/>
  </si>
  <si>
    <t>確定登録ボタン押下</t>
    <rPh sb="0" eb="2">
      <t>カクテイ</t>
    </rPh>
    <rPh sb="2" eb="4">
      <t>トウロク</t>
    </rPh>
    <rPh sb="7" eb="9">
      <t>オウカ</t>
    </rPh>
    <phoneticPr fontId="1"/>
  </si>
  <si>
    <t>確定ボタン押下</t>
    <rPh sb="0" eb="2">
      <t>カクテイ</t>
    </rPh>
    <rPh sb="5" eb="7">
      <t>オウカ</t>
    </rPh>
    <phoneticPr fontId="1"/>
  </si>
  <si>
    <t>確定対象明細行選択部から任意の行の「選択」をonにする。</t>
    <rPh sb="0" eb="2">
      <t>カクテイ</t>
    </rPh>
    <rPh sb="2" eb="4">
      <t>タイショウ</t>
    </rPh>
    <rPh sb="4" eb="6">
      <t>メイサイ</t>
    </rPh>
    <rPh sb="6" eb="7">
      <t>ギョウ</t>
    </rPh>
    <rPh sb="7" eb="9">
      <t>センタク</t>
    </rPh>
    <rPh sb="9" eb="10">
      <t>ブ</t>
    </rPh>
    <rPh sb="12" eb="14">
      <t>ニンイ</t>
    </rPh>
    <rPh sb="15" eb="16">
      <t>ギョウ</t>
    </rPh>
    <rPh sb="18" eb="20">
      <t>センタク</t>
    </rPh>
    <phoneticPr fontId="1"/>
  </si>
  <si>
    <t>確定ボタンを押下する</t>
    <rPh sb="0" eb="2">
      <t>カクテイ</t>
    </rPh>
    <rPh sb="6" eb="8">
      <t>オウカ</t>
    </rPh>
    <phoneticPr fontId="1"/>
  </si>
  <si>
    <t>選択された行の内、既に確定対象明細行選択部に存在しないデータが確定対象明細行選択部の末尾に追加されること。</t>
    <rPh sb="0" eb="2">
      <t>センタク</t>
    </rPh>
    <rPh sb="5" eb="6">
      <t>ギョウ</t>
    </rPh>
    <rPh sb="7" eb="8">
      <t>ウチ</t>
    </rPh>
    <rPh sb="9" eb="10">
      <t>スデ</t>
    </rPh>
    <rPh sb="22" eb="24">
      <t>ソンザイ</t>
    </rPh>
    <rPh sb="42" eb="44">
      <t>マツビ</t>
    </rPh>
    <rPh sb="45" eb="47">
      <t>ツイカ</t>
    </rPh>
    <phoneticPr fontId="1"/>
  </si>
  <si>
    <t>最上行へ移動ボタン押下</t>
    <rPh sb="9" eb="11">
      <t>オウカ</t>
    </rPh>
    <phoneticPr fontId="1"/>
  </si>
  <si>
    <t>明細情報入力部の任意の行を選択する。</t>
    <rPh sb="8" eb="10">
      <t>ニンイ</t>
    </rPh>
    <rPh sb="11" eb="12">
      <t>ギョウ</t>
    </rPh>
    <rPh sb="13" eb="15">
      <t>センタク</t>
    </rPh>
    <phoneticPr fontId="1"/>
  </si>
  <si>
    <t>最上行へ移動ボタンを押下する。</t>
    <rPh sb="10" eb="12">
      <t>オウカ</t>
    </rPh>
    <phoneticPr fontId="1"/>
  </si>
  <si>
    <t>選択された行が明細情報入力部の先頭に移動すること。</t>
    <rPh sb="0" eb="2">
      <t>センタク</t>
    </rPh>
    <rPh sb="5" eb="6">
      <t>ギョウ</t>
    </rPh>
    <rPh sb="15" eb="17">
      <t>セントウ</t>
    </rPh>
    <rPh sb="18" eb="20">
      <t>イドウ</t>
    </rPh>
    <phoneticPr fontId="1"/>
  </si>
  <si>
    <t>上の行へ移動ボタン押下</t>
    <rPh sb="0" eb="1">
      <t>ウエ</t>
    </rPh>
    <rPh sb="2" eb="3">
      <t>ギョウ</t>
    </rPh>
    <rPh sb="4" eb="6">
      <t>イドウ</t>
    </rPh>
    <rPh sb="9" eb="11">
      <t>オウカ</t>
    </rPh>
    <phoneticPr fontId="1"/>
  </si>
  <si>
    <t>下の行へ移動ボタン押下</t>
    <rPh sb="0" eb="1">
      <t>シタ</t>
    </rPh>
    <rPh sb="2" eb="3">
      <t>ギョウ</t>
    </rPh>
    <rPh sb="4" eb="6">
      <t>イドウ</t>
    </rPh>
    <rPh sb="9" eb="11">
      <t>オウカ</t>
    </rPh>
    <phoneticPr fontId="1"/>
  </si>
  <si>
    <t>最下行へ移動ボタン押下</t>
    <rPh sb="0" eb="2">
      <t>サイカ</t>
    </rPh>
    <rPh sb="2" eb="3">
      <t>ギョウ</t>
    </rPh>
    <rPh sb="4" eb="6">
      <t>イドウ</t>
    </rPh>
    <rPh sb="9" eb="11">
      <t>オウカ</t>
    </rPh>
    <phoneticPr fontId="1"/>
  </si>
  <si>
    <t>上の行へ移動ボタンを押下する。</t>
    <rPh sb="0" eb="1">
      <t>ウエ</t>
    </rPh>
    <rPh sb="2" eb="3">
      <t>ギョウ</t>
    </rPh>
    <rPh sb="4" eb="6">
      <t>イドウ</t>
    </rPh>
    <rPh sb="10" eb="12">
      <t>オウカ</t>
    </rPh>
    <phoneticPr fontId="1"/>
  </si>
  <si>
    <t>選択された行が1行上に移動すること。</t>
    <rPh sb="0" eb="2">
      <t>センタク</t>
    </rPh>
    <rPh sb="5" eb="6">
      <t>ギョウ</t>
    </rPh>
    <rPh sb="8" eb="9">
      <t>ギョウ</t>
    </rPh>
    <rPh sb="9" eb="10">
      <t>ウエ</t>
    </rPh>
    <rPh sb="11" eb="13">
      <t>イドウ</t>
    </rPh>
    <phoneticPr fontId="1"/>
  </si>
  <si>
    <t>下の行へ移動ボタンを押下する。</t>
    <rPh sb="0" eb="1">
      <t>シタ</t>
    </rPh>
    <rPh sb="2" eb="3">
      <t>ギョウ</t>
    </rPh>
    <rPh sb="4" eb="6">
      <t>イドウ</t>
    </rPh>
    <rPh sb="10" eb="12">
      <t>オウカ</t>
    </rPh>
    <phoneticPr fontId="1"/>
  </si>
  <si>
    <t>選択された行が1行下に移動すること。</t>
    <rPh sb="0" eb="2">
      <t>センタク</t>
    </rPh>
    <rPh sb="5" eb="6">
      <t>ギョウ</t>
    </rPh>
    <rPh sb="8" eb="9">
      <t>ギョウ</t>
    </rPh>
    <rPh sb="9" eb="10">
      <t>シタ</t>
    </rPh>
    <rPh sb="11" eb="13">
      <t>イドウ</t>
    </rPh>
    <phoneticPr fontId="1"/>
  </si>
  <si>
    <t>選択された行が明細情報入力部の最後尾に移動すること。</t>
    <rPh sb="0" eb="2">
      <t>センタク</t>
    </rPh>
    <rPh sb="5" eb="6">
      <t>ギョウ</t>
    </rPh>
    <rPh sb="15" eb="18">
      <t>サイコウビ</t>
    </rPh>
    <rPh sb="19" eb="21">
      <t>イドウ</t>
    </rPh>
    <phoneticPr fontId="1"/>
  </si>
  <si>
    <t>最下行へ移動ボタンを押下する。</t>
    <rPh sb="0" eb="2">
      <t>サイカ</t>
    </rPh>
    <rPh sb="2" eb="3">
      <t>ギョウ</t>
    </rPh>
    <rPh sb="4" eb="6">
      <t>イドウ</t>
    </rPh>
    <rPh sb="10" eb="12">
      <t>オウカ</t>
    </rPh>
    <phoneticPr fontId="1"/>
  </si>
  <si>
    <t>削除ボタン押下</t>
    <rPh sb="0" eb="2">
      <t>サクジョ</t>
    </rPh>
    <rPh sb="5" eb="7">
      <t>オウカ</t>
    </rPh>
    <phoneticPr fontId="1"/>
  </si>
  <si>
    <t>削除ボタンを押下する。</t>
    <rPh sb="0" eb="2">
      <t>サクジョ</t>
    </rPh>
    <rPh sb="6" eb="8">
      <t>オウカ</t>
    </rPh>
    <phoneticPr fontId="1"/>
  </si>
  <si>
    <t>選択された行が明細情報入力部から削除されること。</t>
    <rPh sb="0" eb="2">
      <t>センタク</t>
    </rPh>
    <rPh sb="5" eb="6">
      <t>ギョウ</t>
    </rPh>
    <rPh sb="7" eb="9">
      <t>メイサイ</t>
    </rPh>
    <rPh sb="9" eb="11">
      <t>ジョウホウ</t>
    </rPh>
    <rPh sb="11" eb="13">
      <t>ニュウリョク</t>
    </rPh>
    <rPh sb="13" eb="14">
      <t>ブ</t>
    </rPh>
    <rPh sb="16" eb="18">
      <t>サクジョ</t>
    </rPh>
    <phoneticPr fontId="1"/>
  </si>
  <si>
    <t>全削除ボタン押下</t>
    <rPh sb="0" eb="1">
      <t>ゼン</t>
    </rPh>
    <rPh sb="1" eb="3">
      <t>サクジョ</t>
    </rPh>
    <rPh sb="6" eb="8">
      <t>オウカ</t>
    </rPh>
    <phoneticPr fontId="1"/>
  </si>
  <si>
    <t>全削除ボタンを押下する。</t>
    <rPh sb="0" eb="1">
      <t>ゼン</t>
    </rPh>
    <rPh sb="1" eb="3">
      <t>サクジョ</t>
    </rPh>
    <rPh sb="7" eb="9">
      <t>オウカ</t>
    </rPh>
    <phoneticPr fontId="1"/>
  </si>
  <si>
    <t>明細情報入力部の全行が削除されること。</t>
    <rPh sb="0" eb="2">
      <t>メイサイ</t>
    </rPh>
    <rPh sb="2" eb="4">
      <t>ジョウホウ</t>
    </rPh>
    <rPh sb="4" eb="6">
      <t>ニュウリョク</t>
    </rPh>
    <rPh sb="6" eb="7">
      <t>ブ</t>
    </rPh>
    <rPh sb="8" eb="10">
      <t>ゼンギョウ</t>
    </rPh>
    <rPh sb="11" eb="13">
      <t>サクジョ</t>
    </rPh>
    <phoneticPr fontId="1"/>
  </si>
  <si>
    <t>確定登録ボタンを押下する。</t>
    <rPh sb="0" eb="2">
      <t>カクテイ</t>
    </rPh>
    <rPh sb="2" eb="4">
      <t>トウロク</t>
    </rPh>
    <rPh sb="8" eb="10">
      <t>オウカ</t>
    </rPh>
    <phoneticPr fontId="1"/>
  </si>
  <si>
    <t>明細情報入力部がない旨のエラーメッセージが表示されること。</t>
    <rPh sb="0" eb="2">
      <t>メイサイ</t>
    </rPh>
    <rPh sb="2" eb="4">
      <t>ジョウホウ</t>
    </rPh>
    <rPh sb="4" eb="6">
      <t>ニュウリョク</t>
    </rPh>
    <rPh sb="6" eb="7">
      <t>ブ</t>
    </rPh>
    <rPh sb="10" eb="11">
      <t>ムネ</t>
    </rPh>
    <rPh sb="21" eb="23">
      <t>ヒョウジ</t>
    </rPh>
    <phoneticPr fontId="1"/>
  </si>
  <si>
    <t>確定完了画面に遷移すること。</t>
    <rPh sb="0" eb="2">
      <t>カクテイ</t>
    </rPh>
    <rPh sb="2" eb="4">
      <t>カンリョウ</t>
    </rPh>
    <rPh sb="4" eb="6">
      <t>ガメン</t>
    </rPh>
    <rPh sb="7" eb="9">
      <t>センイ</t>
    </rPh>
    <phoneticPr fontId="1"/>
  </si>
  <si>
    <t>確定対象明細行選択部の全行の内容が表示されていること。</t>
    <rPh sb="14" eb="16">
      <t>ナイヨウ</t>
    </rPh>
    <rPh sb="17" eb="19">
      <t>ヒョウジ</t>
    </rPh>
    <phoneticPr fontId="1"/>
  </si>
  <si>
    <t>任意の行の確定取消ボタンを押下する。</t>
    <rPh sb="0" eb="2">
      <t>ニンイ</t>
    </rPh>
    <rPh sb="3" eb="4">
      <t>ギョウ</t>
    </rPh>
    <rPh sb="5" eb="7">
      <t>カクテイ</t>
    </rPh>
    <rPh sb="7" eb="9">
      <t>トリケシ</t>
    </rPh>
    <rPh sb="13" eb="15">
      <t>オウカ</t>
    </rPh>
    <phoneticPr fontId="1"/>
  </si>
  <si>
    <t>確定取消ボタンを押下する。</t>
    <rPh sb="0" eb="2">
      <t>カクテイ</t>
    </rPh>
    <rPh sb="2" eb="4">
      <t>トリケシ</t>
    </rPh>
    <rPh sb="8" eb="10">
      <t>オウカ</t>
    </rPh>
    <phoneticPr fontId="1"/>
  </si>
  <si>
    <t>任意の売上明細行の確定取消チェックボックスをonにする。</t>
    <rPh sb="0" eb="2">
      <t>ニンイ</t>
    </rPh>
    <rPh sb="3" eb="5">
      <t>ウリアゲ</t>
    </rPh>
    <rPh sb="5" eb="7">
      <t>メイサイ</t>
    </rPh>
    <rPh sb="7" eb="8">
      <t>ギョウ</t>
    </rPh>
    <rPh sb="9" eb="11">
      <t>カクテイ</t>
    </rPh>
    <rPh sb="11" eb="13">
      <t>トリケシ</t>
    </rPh>
    <phoneticPr fontId="1"/>
  </si>
  <si>
    <t>閉じるボタン押下</t>
    <rPh sb="0" eb="1">
      <t>ト</t>
    </rPh>
    <rPh sb="6" eb="8">
      <t>オウカ</t>
    </rPh>
    <phoneticPr fontId="1"/>
  </si>
  <si>
    <t>取消ボタン押下</t>
    <rPh sb="0" eb="2">
      <t>トリケシ</t>
    </rPh>
    <rPh sb="5" eb="7">
      <t>オウカ</t>
    </rPh>
    <phoneticPr fontId="1"/>
  </si>
  <si>
    <t>取消ボタンを押下する。</t>
    <rPh sb="0" eb="2">
      <t>トリケシ</t>
    </rPh>
    <rPh sb="6" eb="8">
      <t>オウカ</t>
    </rPh>
    <phoneticPr fontId="1"/>
  </si>
  <si>
    <t>メインメニュー画面で発注検索ボタンを押下する。</t>
    <rPh sb="7" eb="9">
      <t>ガメン</t>
    </rPh>
    <rPh sb="10" eb="12">
      <t>ハッチュウ</t>
    </rPh>
    <rPh sb="12" eb="14">
      <t>ケンサク</t>
    </rPh>
    <rPh sb="18" eb="20">
      <t>オウカ</t>
    </rPh>
    <phoneticPr fontId="1"/>
  </si>
  <si>
    <t>発注検索画面に遷移すること。</t>
    <rPh sb="0" eb="2">
      <t>ハッチュウ</t>
    </rPh>
    <rPh sb="2" eb="4">
      <t>ケンサク</t>
    </rPh>
    <phoneticPr fontId="1"/>
  </si>
  <si>
    <t>発注一覧画面に遷移すること。</t>
    <rPh sb="0" eb="2">
      <t>ハッチュウ</t>
    </rPh>
    <rPh sb="2" eb="4">
      <t>イチラン</t>
    </rPh>
    <rPh sb="4" eb="6">
      <t>ガメン</t>
    </rPh>
    <rPh sb="7" eb="9">
      <t>センイ</t>
    </rPh>
    <phoneticPr fontId="1"/>
  </si>
  <si>
    <t>発注一覧画面に表示されている一覧が入力した検索条件をすべて満たしていること。</t>
    <rPh sb="0" eb="2">
      <t>ハッチュウ</t>
    </rPh>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</si>
  <si>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発注一覧画面に遷移すること。</t>
    <rPh sb="2" eb="4">
      <t>イチラン</t>
    </rPh>
    <rPh sb="4" eb="6">
      <t>ガメン</t>
    </rPh>
    <rPh sb="7" eb="9">
      <t>センイ</t>
    </rPh>
    <phoneticPr fontId="1"/>
  </si>
  <si>
    <t>発注一覧画面に表示されている一覧が入力した検索条件をすべて満たしていること。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</si>
  <si>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発注検索画面で「表示」をonにした項目すべてが表示されていること。</t>
    <rPh sb="2" eb="4">
      <t>ケンサク</t>
    </rPh>
    <rPh sb="4" eb="6">
      <t>ガメン</t>
    </rPh>
    <rPh sb="8" eb="10">
      <t>ヒョウジ</t>
    </rPh>
    <rPh sb="17" eb="19">
      <t>コウモク</t>
    </rPh>
    <rPh sb="23" eb="25">
      <t>ヒョウジ</t>
    </rPh>
    <phoneticPr fontId="1"/>
  </si>
  <si>
    <t>発注検索画面で「表示」をonにしていない項目すべてが表示されていないこと。</t>
    <rPh sb="2" eb="4">
      <t>ケンサク</t>
    </rPh>
    <rPh sb="4" eb="6">
      <t>ガメン</t>
    </rPh>
    <rPh sb="8" eb="10">
      <t>ヒョウジ</t>
    </rPh>
    <rPh sb="20" eb="22">
      <t>コウモク</t>
    </rPh>
    <rPh sb="26" eb="28">
      <t>ヒョウジ</t>
    </rPh>
    <phoneticPr fontId="1"/>
  </si>
  <si>
    <t>「再販」の表示がonの場合、前回発注分（=リバイスコードが最大値ではない）の製品マスタ情報が一覧に表示されていること。</t>
    <rPh sb="1" eb="3">
      <t>サイハン</t>
    </rPh>
    <rPh sb="5" eb="7">
      <t>ヒョウジ</t>
    </rPh>
    <rPh sb="11" eb="13">
      <t>バアイ</t>
    </rPh>
    <rPh sb="14" eb="16">
      <t>ゼンカイ</t>
    </rPh>
    <rPh sb="18" eb="19">
      <t>ブン</t>
    </rPh>
    <rPh sb="29" eb="32">
      <t>サイダイチ</t>
    </rPh>
    <rPh sb="38" eb="40">
      <t>セイヒン</t>
    </rPh>
    <rPh sb="43" eb="45">
      <t>ジョウホウ</t>
    </rPh>
    <rPh sb="46" eb="48">
      <t>イチラン</t>
    </rPh>
    <rPh sb="49" eb="51">
      <t>ヒョウジ</t>
    </rPh>
    <phoneticPr fontId="1"/>
  </si>
  <si>
    <t>「再販」の表示がoffの場合、今回発注分（=リバイスコードが最大値）の製品マスタ情報だけが一覧に表示されていること。</t>
  </si>
  <si>
    <t>表示されている発注データの発注状態が「仮発注」の場合、確定列にボタンが表示されていること。</t>
    <rPh sb="0" eb="2">
      <t>ヒョウジ</t>
    </rPh>
    <rPh sb="15" eb="17">
      <t>ジョウタイ</t>
    </rPh>
    <rPh sb="19" eb="20">
      <t>カリ</t>
    </rPh>
    <rPh sb="24" eb="26">
      <t>バアイ</t>
    </rPh>
    <rPh sb="27" eb="29">
      <t>カクテイ</t>
    </rPh>
    <rPh sb="29" eb="30">
      <t>レツ</t>
    </rPh>
    <rPh sb="35" eb="37">
      <t>ヒョウジ</t>
    </rPh>
    <phoneticPr fontId="1"/>
  </si>
  <si>
    <t>表示されている発注データの発注状態が「発注」の場合、確定取消列にボタンが表示されていること。</t>
    <rPh sb="0" eb="2">
      <t>ヒョウジ</t>
    </rPh>
    <rPh sb="15" eb="17">
      <t>ジョウタイ</t>
    </rPh>
    <rPh sb="23" eb="25">
      <t>バアイ</t>
    </rPh>
    <rPh sb="26" eb="28">
      <t>カクテイ</t>
    </rPh>
    <rPh sb="28" eb="30">
      <t>トリケシ</t>
    </rPh>
    <rPh sb="30" eb="31">
      <t>レツ</t>
    </rPh>
    <rPh sb="36" eb="38">
      <t>ヒョウジ</t>
    </rPh>
    <phoneticPr fontId="1"/>
  </si>
  <si>
    <t>発注一覧画面に表示されている内容が全行全項目ペーストされること。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</si>
  <si>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発注詳細画面が表示されること。</t>
    <rPh sb="2" eb="4">
      <t>ショウサイ</t>
    </rPh>
    <rPh sb="4" eb="6">
      <t>ガメン</t>
    </rPh>
    <rPh sb="7" eb="9">
      <t>ヒョウジ</t>
    </rPh>
    <phoneticPr fontId="1"/>
  </si>
  <si>
    <t>発注詳細画面を閉じる。</t>
    <rPh sb="2" eb="4">
      <t>ショウサイ</t>
    </rPh>
    <rPh sb="4" eb="6">
      <t>ガメン</t>
    </rPh>
    <rPh sb="7" eb="8">
      <t>ト</t>
    </rPh>
    <phoneticPr fontId="1"/>
  </si>
  <si>
    <t>発注一覧画面が活性化されること。</t>
    <rPh sb="2" eb="4">
      <t>イチラン</t>
    </rPh>
    <rPh sb="4" eb="6">
      <t>ガメン</t>
    </rPh>
    <rPh sb="7" eb="10">
      <t>カッセイカ</t>
    </rPh>
    <phoneticPr fontId="1"/>
  </si>
  <si>
    <t>発注確定画面が表示されること。</t>
    <rPh sb="2" eb="4">
      <t>カクテイ</t>
    </rPh>
    <rPh sb="4" eb="6">
      <t>ガメン</t>
    </rPh>
    <rPh sb="7" eb="9">
      <t>ヒョウジ</t>
    </rPh>
    <phoneticPr fontId="1"/>
  </si>
  <si>
    <t>発注確定画面の閉じるボタンを押下する。</t>
    <rPh sb="2" eb="4">
      <t>カクテイ</t>
    </rPh>
    <rPh sb="4" eb="6">
      <t>ガメン</t>
    </rPh>
    <rPh sb="7" eb="8">
      <t>ト</t>
    </rPh>
    <rPh sb="14" eb="16">
      <t>オウカ</t>
    </rPh>
    <phoneticPr fontId="1"/>
  </si>
  <si>
    <t>発注確定取消画面が表示されること。</t>
    <rPh sb="2" eb="4">
      <t>カクテイ</t>
    </rPh>
    <rPh sb="4" eb="6">
      <t>トリケシ</t>
    </rPh>
    <rPh sb="6" eb="8">
      <t>ガメン</t>
    </rPh>
    <rPh sb="9" eb="11">
      <t>ヒョウジ</t>
    </rPh>
    <phoneticPr fontId="1"/>
  </si>
  <si>
    <t>発注確定取消画面の閉じるボタンを押下する。</t>
    <rPh sb="2" eb="4">
      <t>カクテイ</t>
    </rPh>
    <rPh sb="4" eb="6">
      <t>トリケシ</t>
    </rPh>
    <rPh sb="6" eb="8">
      <t>ガメン</t>
    </rPh>
    <rPh sb="9" eb="10">
      <t>ト</t>
    </rPh>
    <rPh sb="16" eb="18">
      <t>オウカ</t>
    </rPh>
    <phoneticPr fontId="1"/>
  </si>
  <si>
    <t>メインメニュー画面で発注検索ボタンを押下する。</t>
    <rPh sb="7" eb="9">
      <t>ガメン</t>
    </rPh>
    <rPh sb="12" eb="14">
      <t>ケンサク</t>
    </rPh>
    <rPh sb="18" eb="20">
      <t>オウカ</t>
    </rPh>
    <phoneticPr fontId="1"/>
  </si>
  <si>
    <t>発注詳細画面が閉じること。</t>
    <rPh sb="2" eb="4">
      <t>ショウサイ</t>
    </rPh>
    <rPh sb="4" eb="6">
      <t>ガメン</t>
    </rPh>
    <rPh sb="7" eb="8">
      <t>ト</t>
    </rPh>
    <phoneticPr fontId="1"/>
  </si>
  <si>
    <t>発注一覧画面が活性化すること。</t>
    <rPh sb="2" eb="4">
      <t>イチラン</t>
    </rPh>
    <rPh sb="4" eb="6">
      <t>ガメン</t>
    </rPh>
    <rPh sb="7" eb="10">
      <t>カッセイカ</t>
    </rPh>
    <phoneticPr fontId="1"/>
  </si>
  <si>
    <t>画面表示（発注一覧経由）</t>
    <rPh sb="0" eb="2">
      <t>ガメン</t>
    </rPh>
    <rPh sb="2" eb="4">
      <t>ヒョウジ</t>
    </rPh>
    <rPh sb="7" eb="9">
      <t>イチラン</t>
    </rPh>
    <rPh sb="9" eb="11">
      <t>ケイユ</t>
    </rPh>
    <phoneticPr fontId="1"/>
  </si>
  <si>
    <t>発注確定ボタンを押下する。</t>
    <rPh sb="2" eb="4">
      <t>カクテイ</t>
    </rPh>
    <rPh sb="8" eb="10">
      <t>オウカ</t>
    </rPh>
    <phoneticPr fontId="1"/>
  </si>
  <si>
    <t>発注確定画面に表示されている明細は、発注確定選択チェックがonになっている売上明細だけ全件表示されていること。</t>
    <rPh sb="7" eb="9">
      <t>ヒョウジ</t>
    </rPh>
    <rPh sb="14" eb="16">
      <t>メイサイ</t>
    </rPh>
    <rPh sb="20" eb="22">
      <t>カクテイ</t>
    </rPh>
    <rPh sb="22" eb="24">
      <t>センタク</t>
    </rPh>
    <rPh sb="39" eb="41">
      <t>メイサイ</t>
    </rPh>
    <rPh sb="43" eb="45">
      <t>ゼンケン</t>
    </rPh>
    <rPh sb="45" eb="47">
      <t>ヒョウジ</t>
    </rPh>
    <phoneticPr fontId="1"/>
  </si>
  <si>
    <t>発注確定取消確認画面が表示されること。</t>
    <rPh sb="2" eb="4">
      <t>カクテイ</t>
    </rPh>
    <rPh sb="4" eb="6">
      <t>トリケシ</t>
    </rPh>
    <rPh sb="6" eb="8">
      <t>カクニン</t>
    </rPh>
    <rPh sb="8" eb="10">
      <t>ガメン</t>
    </rPh>
    <rPh sb="11" eb="13">
      <t>ヒョウジ</t>
    </rPh>
    <phoneticPr fontId="1"/>
  </si>
  <si>
    <t>発注確定取消確認画面に表示されている明細は、確定取消チェックがonになっている売上明細だけ全件表示されていること。</t>
    <rPh sb="4" eb="6">
      <t>トリケシ</t>
    </rPh>
    <rPh sb="6" eb="8">
      <t>カクニン</t>
    </rPh>
    <rPh sb="11" eb="13">
      <t>ヒョウジ</t>
    </rPh>
    <rPh sb="18" eb="20">
      <t>メイサイ</t>
    </rPh>
    <rPh sb="22" eb="24">
      <t>カクテイ</t>
    </rPh>
    <rPh sb="24" eb="26">
      <t>トリケシ</t>
    </rPh>
    <rPh sb="41" eb="43">
      <t>メイサイ</t>
    </rPh>
    <rPh sb="45" eb="47">
      <t>ゼンケン</t>
    </rPh>
    <rPh sb="47" eb="49">
      <t>ヒョウジ</t>
    </rPh>
    <phoneticPr fontId="1"/>
  </si>
  <si>
    <t>発注確定取消画面が閉じること。</t>
    <rPh sb="2" eb="4">
      <t>カクテイ</t>
    </rPh>
    <rPh sb="4" eb="6">
      <t>トリケシ</t>
    </rPh>
    <rPh sb="6" eb="8">
      <t>ガメン</t>
    </rPh>
    <rPh sb="9" eb="10">
      <t>ト</t>
    </rPh>
    <phoneticPr fontId="1"/>
  </si>
  <si>
    <t>発注取消確定画面を起動した画面が活性化されていること。</t>
    <rPh sb="2" eb="4">
      <t>トリケシ</t>
    </rPh>
    <rPh sb="4" eb="6">
      <t>カクテイ</t>
    </rPh>
    <rPh sb="6" eb="8">
      <t>ガメン</t>
    </rPh>
    <rPh sb="9" eb="11">
      <t>キドウ</t>
    </rPh>
    <rPh sb="13" eb="15">
      <t>ガメン</t>
    </rPh>
    <rPh sb="16" eb="19">
      <t>カッセイカ</t>
    </rPh>
    <phoneticPr fontId="1"/>
  </si>
  <si>
    <t>発注取消確定画面を起動した画面の確定取消ボタンを押下する。</t>
    <rPh sb="2" eb="4">
      <t>トリケシ</t>
    </rPh>
    <rPh sb="4" eb="6">
      <t>カクテイ</t>
    </rPh>
    <rPh sb="6" eb="8">
      <t>ガメン</t>
    </rPh>
    <rPh sb="9" eb="11">
      <t>キドウ</t>
    </rPh>
    <rPh sb="13" eb="15">
      <t>ガメン</t>
    </rPh>
    <rPh sb="16" eb="18">
      <t>カクテイ</t>
    </rPh>
    <rPh sb="18" eb="20">
      <t>トリケシ</t>
    </rPh>
    <rPh sb="24" eb="26">
      <t>オウカ</t>
    </rPh>
    <phoneticPr fontId="1"/>
  </si>
  <si>
    <t>取消対象明細行の全行の発注マスタの発注ステータスが「仮発注」になっていること。</t>
    <rPh sb="0" eb="2">
      <t>トリケシ</t>
    </rPh>
    <rPh sb="26" eb="27">
      <t>カリ</t>
    </rPh>
    <phoneticPr fontId="1"/>
  </si>
  <si>
    <t>発注確定取消完了画面に遷移すること。</t>
    <rPh sb="2" eb="4">
      <t>カクテイ</t>
    </rPh>
    <rPh sb="4" eb="6">
      <t>トリケシ</t>
    </rPh>
    <rPh sb="6" eb="8">
      <t>カンリョウ</t>
    </rPh>
    <rPh sb="8" eb="10">
      <t>ガメン</t>
    </rPh>
    <rPh sb="11" eb="13">
      <t>センイ</t>
    </rPh>
    <phoneticPr fontId="1"/>
  </si>
  <si>
    <t>発注確定取消完了画面に取消対象明細行の全行が表示されていること。</t>
    <rPh sb="2" eb="4">
      <t>カクテイ</t>
    </rPh>
    <rPh sb="4" eb="6">
      <t>トリケシ</t>
    </rPh>
    <rPh sb="6" eb="8">
      <t>カンリョウ</t>
    </rPh>
    <rPh sb="8" eb="10">
      <t>ガメン</t>
    </rPh>
    <rPh sb="11" eb="13">
      <t>トリケシ</t>
    </rPh>
    <rPh sb="13" eb="15">
      <t>タイショウ</t>
    </rPh>
    <rPh sb="15" eb="17">
      <t>メイサイ</t>
    </rPh>
    <rPh sb="17" eb="18">
      <t>ギョウ</t>
    </rPh>
    <rPh sb="19" eb="21">
      <t>ゼンギョウ</t>
    </rPh>
    <rPh sb="22" eb="24">
      <t>ヒョウジ</t>
    </rPh>
    <phoneticPr fontId="1"/>
  </si>
  <si>
    <t>発注確定取消完了画面が閉じること。</t>
    <rPh sb="2" eb="4">
      <t>カクテイ</t>
    </rPh>
    <rPh sb="4" eb="6">
      <t>トリケシ</t>
    </rPh>
    <rPh sb="6" eb="8">
      <t>カンリョウ</t>
    </rPh>
    <rPh sb="8" eb="10">
      <t>ガメン</t>
    </rPh>
    <rPh sb="11" eb="12">
      <t>ト</t>
    </rPh>
    <phoneticPr fontId="1"/>
  </si>
  <si>
    <t>任意の償却費、部材費明細行の発注確定チェックボックスをonにする。</t>
    <rPh sb="0" eb="2">
      <t>ニンイ</t>
    </rPh>
    <rPh sb="3" eb="5">
      <t>ショウキャク</t>
    </rPh>
    <rPh sb="5" eb="6">
      <t>ヒ</t>
    </rPh>
    <rPh sb="7" eb="9">
      <t>ブザイ</t>
    </rPh>
    <rPh sb="9" eb="10">
      <t>ヒ</t>
    </rPh>
    <rPh sb="10" eb="12">
      <t>メイサイ</t>
    </rPh>
    <rPh sb="12" eb="13">
      <t>ギョウ</t>
    </rPh>
    <rPh sb="16" eb="18">
      <t>カクテイ</t>
    </rPh>
    <phoneticPr fontId="1"/>
  </si>
  <si>
    <t>取消対象明細行が含まれていた発注書マスタ、発注書明細がリバイズアップされていること。</t>
    <rPh sb="0" eb="2">
      <t>トリケシ</t>
    </rPh>
    <rPh sb="8" eb="9">
      <t>フク</t>
    </rPh>
    <rPh sb="14" eb="17">
      <t>ハッチュウショ</t>
    </rPh>
    <rPh sb="21" eb="24">
      <t>ハッチュウショ</t>
    </rPh>
    <rPh sb="24" eb="26">
      <t>メイサイ</t>
    </rPh>
    <phoneticPr fontId="1"/>
  </si>
  <si>
    <t>リバイズアップされた発注書明細に、取消対象となった明細が含まれていないこと。</t>
    <rPh sb="10" eb="13">
      <t>ハッチュウショ</t>
    </rPh>
    <rPh sb="13" eb="15">
      <t>メイサイ</t>
    </rPh>
    <rPh sb="17" eb="19">
      <t>トリケシ</t>
    </rPh>
    <rPh sb="19" eb="21">
      <t>タイショウ</t>
    </rPh>
    <rPh sb="25" eb="27">
      <t>メイサイ</t>
    </rPh>
    <rPh sb="28" eb="29">
      <t>フク</t>
    </rPh>
    <phoneticPr fontId="1"/>
  </si>
  <si>
    <t>発注確定取消完了画面のプレビューボタンを押下する。</t>
    <rPh sb="0" eb="2">
      <t>ハッチュウ</t>
    </rPh>
    <rPh sb="2" eb="4">
      <t>カクテイ</t>
    </rPh>
    <rPh sb="4" eb="6">
      <t>トリケシ</t>
    </rPh>
    <rPh sb="6" eb="8">
      <t>カンリョウ</t>
    </rPh>
    <rPh sb="8" eb="10">
      <t>ガメン</t>
    </rPh>
    <rPh sb="20" eb="22">
      <t>オウカ</t>
    </rPh>
    <phoneticPr fontId="1"/>
  </si>
  <si>
    <t>POの明細に取消対象明細が存在していないこと。</t>
    <rPh sb="3" eb="5">
      <t>メイサイ</t>
    </rPh>
    <rPh sb="6" eb="8">
      <t>トリケシ</t>
    </rPh>
    <rPh sb="8" eb="10">
      <t>タイショウ</t>
    </rPh>
    <rPh sb="10" eb="12">
      <t>メイサイ</t>
    </rPh>
    <rPh sb="13" eb="15">
      <t>ソンザイ</t>
    </rPh>
    <phoneticPr fontId="1"/>
  </si>
  <si>
    <t>POの明細に取消対象明細以外は全て存在していること。</t>
    <rPh sb="3" eb="5">
      <t>メイサイ</t>
    </rPh>
    <rPh sb="6" eb="8">
      <t>トリケシ</t>
    </rPh>
    <rPh sb="8" eb="10">
      <t>タイショウ</t>
    </rPh>
    <rPh sb="10" eb="12">
      <t>メイサイ</t>
    </rPh>
    <rPh sb="12" eb="14">
      <t>イガイ</t>
    </rPh>
    <rPh sb="15" eb="16">
      <t>スベ</t>
    </rPh>
    <rPh sb="17" eb="19">
      <t>ソンザイ</t>
    </rPh>
    <phoneticPr fontId="1"/>
  </si>
  <si>
    <t>POプレビュー画面の閉じるボタンを押下する。</t>
    <rPh sb="7" eb="9">
      <t>ガメン</t>
    </rPh>
    <rPh sb="10" eb="11">
      <t>ト</t>
    </rPh>
    <rPh sb="17" eb="19">
      <t>オウカ</t>
    </rPh>
    <phoneticPr fontId="1"/>
  </si>
  <si>
    <t>取消対象明細が含まれていた発注書のPOプレビュー画面が表示されること。</t>
    <rPh sb="0" eb="2">
      <t>トリケシ</t>
    </rPh>
    <rPh sb="2" eb="4">
      <t>タイショウ</t>
    </rPh>
    <rPh sb="4" eb="6">
      <t>メイサイ</t>
    </rPh>
    <rPh sb="7" eb="8">
      <t>フク</t>
    </rPh>
    <rPh sb="13" eb="16">
      <t>ハッチュウショ</t>
    </rPh>
    <rPh sb="24" eb="26">
      <t>ガメン</t>
    </rPh>
    <rPh sb="27" eb="29">
      <t>ヒョウジ</t>
    </rPh>
    <phoneticPr fontId="1"/>
  </si>
  <si>
    <t>POプレビュー画面が閉じられ、発注確定取消完了画面が活性化すること。</t>
    <rPh sb="7" eb="9">
      <t>ガメン</t>
    </rPh>
    <rPh sb="10" eb="11">
      <t>ト</t>
    </rPh>
    <rPh sb="15" eb="17">
      <t>ハッチュウ</t>
    </rPh>
    <rPh sb="17" eb="19">
      <t>カクテイ</t>
    </rPh>
    <rPh sb="19" eb="21">
      <t>トリケシ</t>
    </rPh>
    <rPh sb="21" eb="23">
      <t>カンリョウ</t>
    </rPh>
    <rPh sb="23" eb="25">
      <t>ガメン</t>
    </rPh>
    <rPh sb="26" eb="29">
      <t>カッセイカ</t>
    </rPh>
    <phoneticPr fontId="1"/>
  </si>
  <si>
    <t>確定完了画面のプレビューボタンを押下する。</t>
    <rPh sb="0" eb="2">
      <t>カクテイ</t>
    </rPh>
    <rPh sb="2" eb="4">
      <t>カンリョウ</t>
    </rPh>
    <rPh sb="4" eb="6">
      <t>ガメン</t>
    </rPh>
    <rPh sb="16" eb="18">
      <t>オウカ</t>
    </rPh>
    <phoneticPr fontId="1"/>
  </si>
  <si>
    <t>表示されている明細は、発注確定画面の明細情報入力部に表示されていたものが表示されている順序通りに表示されていること。</t>
    <rPh sb="0" eb="2">
      <t>ヒョウジ</t>
    </rPh>
    <rPh sb="7" eb="9">
      <t>メイサイ</t>
    </rPh>
    <rPh sb="11" eb="13">
      <t>ハッチュウ</t>
    </rPh>
    <rPh sb="13" eb="15">
      <t>カクテイ</t>
    </rPh>
    <rPh sb="15" eb="17">
      <t>ガメン</t>
    </rPh>
    <rPh sb="18" eb="20">
      <t>メイサイ</t>
    </rPh>
    <rPh sb="20" eb="22">
      <t>ジョウホウ</t>
    </rPh>
    <rPh sb="22" eb="24">
      <t>ニュウリョク</t>
    </rPh>
    <rPh sb="24" eb="25">
      <t>ブ</t>
    </rPh>
    <rPh sb="26" eb="28">
      <t>ヒョウジ</t>
    </rPh>
    <rPh sb="36" eb="38">
      <t>ヒョウジ</t>
    </rPh>
    <rPh sb="43" eb="45">
      <t>ジュンジョ</t>
    </rPh>
    <rPh sb="45" eb="46">
      <t>ドオ</t>
    </rPh>
    <rPh sb="48" eb="50">
      <t>ヒョウジ</t>
    </rPh>
    <phoneticPr fontId="1"/>
  </si>
  <si>
    <t>POプレビュー画面の印刷ボタンを押下する。</t>
    <rPh sb="7" eb="9">
      <t>ガメン</t>
    </rPh>
    <rPh sb="10" eb="12">
      <t>インサツ</t>
    </rPh>
    <rPh sb="16" eb="18">
      <t>オウカ</t>
    </rPh>
    <phoneticPr fontId="1"/>
  </si>
  <si>
    <t>表示されているプレビューが印字されること。</t>
    <rPh sb="0" eb="2">
      <t>ヒョウジ</t>
    </rPh>
    <rPh sb="13" eb="15">
      <t>インジ</t>
    </rPh>
    <phoneticPr fontId="1"/>
  </si>
  <si>
    <t>メインメニュー画面で発注書検索ボタンを押下する。</t>
    <rPh sb="7" eb="9">
      <t>ガメン</t>
    </rPh>
    <rPh sb="12" eb="13">
      <t>ショ</t>
    </rPh>
    <rPh sb="13" eb="15">
      <t>ケンサク</t>
    </rPh>
    <rPh sb="19" eb="21">
      <t>オウカ</t>
    </rPh>
    <phoneticPr fontId="1"/>
  </si>
  <si>
    <t>発注書検索画面が表示されていること。</t>
    <rPh sb="0" eb="3">
      <t>ハッチュウショ</t>
    </rPh>
    <rPh sb="3" eb="5">
      <t>ケンサク</t>
    </rPh>
    <rPh sb="5" eb="7">
      <t>ガメン</t>
    </rPh>
    <rPh sb="8" eb="10">
      <t>ヒョウジ</t>
    </rPh>
    <phoneticPr fontId="1"/>
  </si>
  <si>
    <t>クリアボタン押下</t>
    <rPh sb="6" eb="8">
      <t>オウカ</t>
    </rPh>
    <phoneticPr fontId="1"/>
  </si>
  <si>
    <t>クリアボタンを押下する</t>
    <rPh sb="7" eb="9">
      <t>オウカ</t>
    </rPh>
    <phoneticPr fontId="1"/>
  </si>
  <si>
    <t>検索条件に設定した値がすべてクリアされていること。</t>
    <rPh sb="0" eb="2">
      <t>ケンサク</t>
    </rPh>
    <rPh sb="2" eb="4">
      <t>ジョウケン</t>
    </rPh>
    <rPh sb="5" eb="7">
      <t>セッテイ</t>
    </rPh>
    <rPh sb="9" eb="10">
      <t>アタイ</t>
    </rPh>
    <phoneticPr fontId="1"/>
  </si>
  <si>
    <t>検索ボタン押下</t>
    <rPh sb="0" eb="2">
      <t>ケンサク</t>
    </rPh>
    <rPh sb="5" eb="7">
      <t>オウカ</t>
    </rPh>
    <phoneticPr fontId="1"/>
  </si>
  <si>
    <t>発注書一覧画面が別ウィンドウで表示されること。</t>
    <rPh sb="0" eb="2">
      <t>ハッチュウ</t>
    </rPh>
    <rPh sb="2" eb="3">
      <t>ショ</t>
    </rPh>
    <rPh sb="3" eb="5">
      <t>イチラン</t>
    </rPh>
    <rPh sb="5" eb="7">
      <t>ガメン</t>
    </rPh>
    <rPh sb="8" eb="9">
      <t>ベツ</t>
    </rPh>
    <rPh sb="15" eb="17">
      <t>ヒョウジ</t>
    </rPh>
    <phoneticPr fontId="1"/>
  </si>
  <si>
    <t>発注書一覧画面に表示されている一覧の全件が発注書検索画面で指定した条件をすべて満たしていること。</t>
    <rPh sb="0" eb="3">
      <t>ハッチュウショ</t>
    </rPh>
    <rPh sb="3" eb="5">
      <t>イチラン</t>
    </rPh>
    <rPh sb="5" eb="7">
      <t>ガメン</t>
    </rPh>
    <rPh sb="8" eb="10">
      <t>ヒョウジ</t>
    </rPh>
    <rPh sb="15" eb="17">
      <t>イチラン</t>
    </rPh>
    <rPh sb="18" eb="20">
      <t>ゼンケン</t>
    </rPh>
    <rPh sb="21" eb="24">
      <t>ハッチュウショ</t>
    </rPh>
    <rPh sb="24" eb="26">
      <t>ケンサク</t>
    </rPh>
    <rPh sb="26" eb="28">
      <t>ガメン</t>
    </rPh>
    <rPh sb="29" eb="31">
      <t>シテイ</t>
    </rPh>
    <rPh sb="33" eb="35">
      <t>ジョウケン</t>
    </rPh>
    <rPh sb="39" eb="40">
      <t>ミ</t>
    </rPh>
    <phoneticPr fontId="1"/>
  </si>
  <si>
    <t>発注書検索画面で表示指定した項目と一覧に表示されている項目が過不足なく一致いていること。</t>
    <rPh sb="0" eb="3">
      <t>ハッチュウショ</t>
    </rPh>
    <rPh sb="3" eb="5">
      <t>ケンサク</t>
    </rPh>
    <rPh sb="5" eb="7">
      <t>ガメン</t>
    </rPh>
    <rPh sb="7" eb="9">
      <t>イチガメン</t>
    </rPh>
    <rPh sb="8" eb="10">
      <t>ヒョウジ</t>
    </rPh>
    <rPh sb="10" eb="12">
      <t>シテイ</t>
    </rPh>
    <rPh sb="14" eb="16">
      <t>コウモク</t>
    </rPh>
    <rPh sb="17" eb="19">
      <t>イチラン</t>
    </rPh>
    <rPh sb="20" eb="22">
      <t>ヒョウジ</t>
    </rPh>
    <rPh sb="27" eb="29">
      <t>コウモク</t>
    </rPh>
    <rPh sb="30" eb="33">
      <t>カフソク</t>
    </rPh>
    <rPh sb="35" eb="37">
      <t>イッチ</t>
    </rPh>
    <phoneticPr fontId="1"/>
  </si>
  <si>
    <t>発注書一覧画面に表示されている内容が全行全項目ペーストされること。</t>
    <rPh sb="2" eb="3">
      <t>ショ</t>
    </rPh>
    <rPh sb="3" eb="5">
      <t>イチラン</t>
    </rPh>
    <rPh sb="5" eb="7">
      <t>ガメン</t>
    </rPh>
    <rPh sb="8" eb="10">
      <t>ヒョウジ</t>
    </rPh>
    <rPh sb="15" eb="17">
      <t>ナイヨウ</t>
    </rPh>
    <rPh sb="18" eb="20">
      <t>ゼンギョウ</t>
    </rPh>
    <rPh sb="20" eb="23">
      <t>ゼンコウモク</t>
    </rPh>
    <phoneticPr fontId="1"/>
  </si>
  <si>
    <t>プレビューボタン押下</t>
    <rPh sb="8" eb="10">
      <t>オウカ</t>
    </rPh>
    <phoneticPr fontId="1"/>
  </si>
  <si>
    <t>修正ボタン押下</t>
    <rPh sb="0" eb="2">
      <t>シュウセイ</t>
    </rPh>
    <rPh sb="5" eb="7">
      <t>オウカ</t>
    </rPh>
    <phoneticPr fontId="1"/>
  </si>
  <si>
    <t>一覧の任意の行の修正ボタンを押下する。</t>
    <rPh sb="0" eb="2">
      <t>イチラン</t>
    </rPh>
    <rPh sb="3" eb="5">
      <t>ニンイ</t>
    </rPh>
    <rPh sb="6" eb="7">
      <t>ギョウ</t>
    </rPh>
    <rPh sb="8" eb="10">
      <t>シュウセイ</t>
    </rPh>
    <rPh sb="14" eb="16">
      <t>オウカ</t>
    </rPh>
    <phoneticPr fontId="1"/>
  </si>
  <si>
    <t>押下した行に該当する発注書の発注書修正画面が別ウィンドウで表示されること。</t>
    <rPh sb="0" eb="2">
      <t>オウカ</t>
    </rPh>
    <rPh sb="4" eb="5">
      <t>ギョウ</t>
    </rPh>
    <rPh sb="6" eb="8">
      <t>ガイトウ</t>
    </rPh>
    <rPh sb="10" eb="13">
      <t>ハッチュウショ</t>
    </rPh>
    <rPh sb="14" eb="17">
      <t>ハッチュウショ</t>
    </rPh>
    <rPh sb="17" eb="19">
      <t>シュウセイ</t>
    </rPh>
    <rPh sb="19" eb="21">
      <t>ガメン</t>
    </rPh>
    <rPh sb="22" eb="23">
      <t>ベツ</t>
    </rPh>
    <rPh sb="29" eb="31">
      <t>ヒョウジ</t>
    </rPh>
    <phoneticPr fontId="1"/>
  </si>
  <si>
    <t>発注書修正画面を閉じる。</t>
    <rPh sb="0" eb="3">
      <t>ハッチュウショ</t>
    </rPh>
    <rPh sb="3" eb="5">
      <t>シュウセイ</t>
    </rPh>
    <rPh sb="5" eb="7">
      <t>ガメン</t>
    </rPh>
    <rPh sb="8" eb="9">
      <t>ト</t>
    </rPh>
    <phoneticPr fontId="1"/>
  </si>
  <si>
    <t>履歴ボタン押下</t>
    <rPh sb="0" eb="2">
      <t>リレキ</t>
    </rPh>
    <rPh sb="5" eb="7">
      <t>オウカ</t>
    </rPh>
    <phoneticPr fontId="1"/>
  </si>
  <si>
    <t>一覧の任意の行の履歴ボタンを押下する。</t>
    <rPh sb="0" eb="2">
      <t>イチラン</t>
    </rPh>
    <rPh sb="3" eb="5">
      <t>ニンイ</t>
    </rPh>
    <rPh sb="6" eb="7">
      <t>ギョウ</t>
    </rPh>
    <rPh sb="8" eb="10">
      <t>リレキ</t>
    </rPh>
    <rPh sb="14" eb="16">
      <t>オウカ</t>
    </rPh>
    <phoneticPr fontId="1"/>
  </si>
  <si>
    <t>履歴ボタンが押された行の直下に過去の修正履歴データが新しい順に全件表示されていること。</t>
    <rPh sb="0" eb="2">
      <t>リレキ</t>
    </rPh>
    <rPh sb="6" eb="7">
      <t>オ</t>
    </rPh>
    <rPh sb="10" eb="11">
      <t>ギョウ</t>
    </rPh>
    <rPh sb="12" eb="14">
      <t>チョッカ</t>
    </rPh>
    <rPh sb="15" eb="17">
      <t>カコ</t>
    </rPh>
    <rPh sb="18" eb="20">
      <t>シュウセイ</t>
    </rPh>
    <rPh sb="20" eb="22">
      <t>リレキ</t>
    </rPh>
    <rPh sb="26" eb="27">
      <t>アタラ</t>
    </rPh>
    <rPh sb="29" eb="30">
      <t>ジュン</t>
    </rPh>
    <rPh sb="31" eb="33">
      <t>ゼンケン</t>
    </rPh>
    <rPh sb="33" eb="35">
      <t>ヒョウジ</t>
    </rPh>
    <phoneticPr fontId="1"/>
  </si>
  <si>
    <t>過去の修正履歴データが非表示となること。</t>
    <rPh sb="11" eb="14">
      <t>ヒヒョウジ</t>
    </rPh>
    <phoneticPr fontId="1"/>
  </si>
  <si>
    <t>表示されている項目、内容、入力可否が基本設計書に記載された項目定義のとおりであること。</t>
    <rPh sb="0" eb="2">
      <t>ヒョウジ</t>
    </rPh>
    <rPh sb="7" eb="9">
      <t>コウモク</t>
    </rPh>
    <rPh sb="10" eb="12">
      <t>ナイヨウ</t>
    </rPh>
    <rPh sb="13" eb="15">
      <t>ニュウリョク</t>
    </rPh>
    <rPh sb="15" eb="17">
      <t>カヒ</t>
    </rPh>
    <rPh sb="18" eb="20">
      <t>キホン</t>
    </rPh>
    <rPh sb="20" eb="23">
      <t>セッケイショ</t>
    </rPh>
    <rPh sb="24" eb="26">
      <t>キサイ</t>
    </rPh>
    <rPh sb="29" eb="31">
      <t>コウモク</t>
    </rPh>
    <rPh sb="31" eb="33">
      <t>テイギ</t>
    </rPh>
    <phoneticPr fontId="1"/>
  </si>
  <si>
    <t>先頭行へボタン押下</t>
    <rPh sb="0" eb="2">
      <t>セントウ</t>
    </rPh>
    <rPh sb="2" eb="3">
      <t>ギョウ</t>
    </rPh>
    <rPh sb="7" eb="9">
      <t>オウカ</t>
    </rPh>
    <phoneticPr fontId="1"/>
  </si>
  <si>
    <t>明細情報入力部の任意の行を選択する。</t>
    <rPh sb="0" eb="2">
      <t>メイサイ</t>
    </rPh>
    <rPh sb="2" eb="4">
      <t>ジョウホウ</t>
    </rPh>
    <rPh sb="4" eb="6">
      <t>ニュウリョク</t>
    </rPh>
    <rPh sb="6" eb="7">
      <t>ブ</t>
    </rPh>
    <rPh sb="8" eb="10">
      <t>ニンイ</t>
    </rPh>
    <rPh sb="11" eb="12">
      <t>ギョウ</t>
    </rPh>
    <rPh sb="13" eb="15">
      <t>センタク</t>
    </rPh>
    <phoneticPr fontId="1"/>
  </si>
  <si>
    <t>先頭行へボタンを押下する</t>
    <rPh sb="0" eb="2">
      <t>セントウ</t>
    </rPh>
    <rPh sb="2" eb="3">
      <t>ギョウ</t>
    </rPh>
    <rPh sb="8" eb="10">
      <t>オウカ</t>
    </rPh>
    <phoneticPr fontId="1"/>
  </si>
  <si>
    <t>選択された行が明細情報入力部の先頭行に移動していること。</t>
    <rPh sb="0" eb="2">
      <t>センタク</t>
    </rPh>
    <rPh sb="5" eb="6">
      <t>ギョウ</t>
    </rPh>
    <rPh sb="7" eb="9">
      <t>メイサイ</t>
    </rPh>
    <rPh sb="9" eb="11">
      <t>ジョウホウ</t>
    </rPh>
    <rPh sb="11" eb="13">
      <t>ニュウリョク</t>
    </rPh>
    <rPh sb="13" eb="14">
      <t>ブ</t>
    </rPh>
    <rPh sb="15" eb="17">
      <t>セントウ</t>
    </rPh>
    <rPh sb="17" eb="18">
      <t>ギョウ</t>
    </rPh>
    <rPh sb="19" eb="21">
      <t>イドウ</t>
    </rPh>
    <phoneticPr fontId="1"/>
  </si>
  <si>
    <t>明細情報入力部に表示されている明細内容が発注書明細の全件であること。</t>
    <rPh sb="0" eb="2">
      <t>メイサイ</t>
    </rPh>
    <rPh sb="2" eb="4">
      <t>ジョウホウ</t>
    </rPh>
    <rPh sb="4" eb="6">
      <t>ニュウリョク</t>
    </rPh>
    <rPh sb="6" eb="7">
      <t>ブ</t>
    </rPh>
    <rPh sb="8" eb="10">
      <t>ヒョウジ</t>
    </rPh>
    <rPh sb="15" eb="17">
      <t>メイサイ</t>
    </rPh>
    <rPh sb="17" eb="19">
      <t>ナイヨウ</t>
    </rPh>
    <rPh sb="20" eb="23">
      <t>ハッチュウショ</t>
    </rPh>
    <rPh sb="23" eb="25">
      <t>メイサイ</t>
    </rPh>
    <rPh sb="26" eb="28">
      <t>ゼンケン</t>
    </rPh>
    <phoneticPr fontId="1"/>
  </si>
  <si>
    <t>上の行へボタン押下</t>
    <rPh sb="0" eb="1">
      <t>ウエ</t>
    </rPh>
    <rPh sb="2" eb="3">
      <t>ギョウ</t>
    </rPh>
    <rPh sb="7" eb="9">
      <t>オウカ</t>
    </rPh>
    <phoneticPr fontId="1"/>
  </si>
  <si>
    <t>上の行へボタンを押下する</t>
    <rPh sb="0" eb="1">
      <t>ウエ</t>
    </rPh>
    <rPh sb="2" eb="3">
      <t>ギョウ</t>
    </rPh>
    <rPh sb="3" eb="4">
      <t>センコウ</t>
    </rPh>
    <rPh sb="8" eb="10">
      <t>オウカ</t>
    </rPh>
    <phoneticPr fontId="1"/>
  </si>
  <si>
    <t>選択された行が1行上に移動していること。</t>
    <rPh sb="0" eb="2">
      <t>センタク</t>
    </rPh>
    <rPh sb="5" eb="6">
      <t>ギョウ</t>
    </rPh>
    <rPh sb="8" eb="9">
      <t>ギョウ</t>
    </rPh>
    <rPh sb="9" eb="10">
      <t>ウエ</t>
    </rPh>
    <rPh sb="11" eb="13">
      <t>イドウ</t>
    </rPh>
    <phoneticPr fontId="1"/>
  </si>
  <si>
    <t>下の行へボタン押下</t>
    <rPh sb="0" eb="1">
      <t>シタ</t>
    </rPh>
    <rPh sb="2" eb="3">
      <t>ギョウ</t>
    </rPh>
    <rPh sb="7" eb="9">
      <t>オウカ</t>
    </rPh>
    <phoneticPr fontId="1"/>
  </si>
  <si>
    <t>下の行へボタンを押下する</t>
    <rPh sb="0" eb="1">
      <t>シタ</t>
    </rPh>
    <rPh sb="2" eb="3">
      <t>ギョウ</t>
    </rPh>
    <rPh sb="3" eb="4">
      <t>センコウ</t>
    </rPh>
    <rPh sb="8" eb="10">
      <t>オウカ</t>
    </rPh>
    <phoneticPr fontId="1"/>
  </si>
  <si>
    <t>選択された行が1行下に移動していること。</t>
    <rPh sb="0" eb="2">
      <t>センタク</t>
    </rPh>
    <rPh sb="5" eb="6">
      <t>ギョウ</t>
    </rPh>
    <rPh sb="8" eb="9">
      <t>ギョウ</t>
    </rPh>
    <rPh sb="9" eb="10">
      <t>シタ</t>
    </rPh>
    <rPh sb="11" eb="13">
      <t>イドウ</t>
    </rPh>
    <phoneticPr fontId="1"/>
  </si>
  <si>
    <t>最終行へボタン押下</t>
    <rPh sb="0" eb="3">
      <t>サイシュウギョウ</t>
    </rPh>
    <rPh sb="3" eb="4">
      <t>センコウ</t>
    </rPh>
    <rPh sb="7" eb="9">
      <t>オウカ</t>
    </rPh>
    <phoneticPr fontId="1"/>
  </si>
  <si>
    <t>最終行へボタンを押下する</t>
    <rPh sb="0" eb="3">
      <t>サイシュウギョウ</t>
    </rPh>
    <rPh sb="3" eb="4">
      <t>センコウ</t>
    </rPh>
    <rPh sb="8" eb="10">
      <t>オウカ</t>
    </rPh>
    <phoneticPr fontId="1"/>
  </si>
  <si>
    <t>選択された行が明細情報入力部の最後尾に移動していること。</t>
    <rPh sb="0" eb="2">
      <t>センタク</t>
    </rPh>
    <rPh sb="5" eb="6">
      <t>ギョウ</t>
    </rPh>
    <rPh sb="7" eb="9">
      <t>メイサイ</t>
    </rPh>
    <rPh sb="9" eb="11">
      <t>ジョウホウ</t>
    </rPh>
    <rPh sb="11" eb="13">
      <t>ニュウリョク</t>
    </rPh>
    <rPh sb="13" eb="14">
      <t>ブ</t>
    </rPh>
    <rPh sb="15" eb="18">
      <t>サイコウビ</t>
    </rPh>
    <rPh sb="19" eb="21">
      <t>イドウ</t>
    </rPh>
    <phoneticPr fontId="1"/>
  </si>
  <si>
    <t>ヘッダ・フッタ部、明細行の任意の修正可能項目の値を変更する。</t>
    <rPh sb="7" eb="8">
      <t>ブ</t>
    </rPh>
    <rPh sb="9" eb="11">
      <t>メイサイ</t>
    </rPh>
    <rPh sb="11" eb="12">
      <t>ギョウ</t>
    </rPh>
    <rPh sb="13" eb="15">
      <t>ニンイ</t>
    </rPh>
    <rPh sb="16" eb="18">
      <t>シュウセイ</t>
    </rPh>
    <rPh sb="18" eb="20">
      <t>カノウ</t>
    </rPh>
    <rPh sb="20" eb="22">
      <t>コウモク</t>
    </rPh>
    <rPh sb="23" eb="24">
      <t>アタイ</t>
    </rPh>
    <rPh sb="25" eb="27">
      <t>ヘンコウ</t>
    </rPh>
    <phoneticPr fontId="1"/>
  </si>
  <si>
    <t>POプレビュー画面が表示されること。</t>
    <rPh sb="7" eb="9">
      <t>ガメン</t>
    </rPh>
    <rPh sb="10" eb="12">
      <t>ヒョウジ</t>
    </rPh>
    <phoneticPr fontId="1"/>
  </si>
  <si>
    <t>POプレビュー画面に表示されている値に、変更が反映されていること。</t>
    <rPh sb="7" eb="9">
      <t>ガメン</t>
    </rPh>
    <rPh sb="10" eb="12">
      <t>ヒョウジ</t>
    </rPh>
    <rPh sb="17" eb="18">
      <t>アタイ</t>
    </rPh>
    <rPh sb="20" eb="22">
      <t>ヘンコウ</t>
    </rPh>
    <rPh sb="23" eb="25">
      <t>ハンエイ</t>
    </rPh>
    <phoneticPr fontId="1"/>
  </si>
  <si>
    <t>プレビューボタンを閉じる</t>
    <rPh sb="9" eb="10">
      <t>ト</t>
    </rPh>
    <phoneticPr fontId="1"/>
  </si>
  <si>
    <t>確定完了画面の閉じるボタンを押下する。</t>
    <rPh sb="0" eb="2">
      <t>カクテイ</t>
    </rPh>
    <rPh sb="2" eb="4">
      <t>カンリョウ</t>
    </rPh>
    <rPh sb="4" eb="6">
      <t>ガメン</t>
    </rPh>
    <rPh sb="7" eb="8">
      <t>ト</t>
    </rPh>
    <rPh sb="14" eb="16">
      <t>オウカ</t>
    </rPh>
    <phoneticPr fontId="1"/>
  </si>
  <si>
    <t>POプレビュー画面が閉じられ、確定完了画面が活性化すること。</t>
    <rPh sb="7" eb="9">
      <t>ガメン</t>
    </rPh>
    <rPh sb="10" eb="11">
      <t>ト</t>
    </rPh>
    <rPh sb="15" eb="17">
      <t>カクテイ</t>
    </rPh>
    <rPh sb="17" eb="19">
      <t>カンリョウ</t>
    </rPh>
    <rPh sb="19" eb="21">
      <t>ガメン</t>
    </rPh>
    <rPh sb="22" eb="25">
      <t>カッセイカ</t>
    </rPh>
    <phoneticPr fontId="1"/>
  </si>
  <si>
    <t>確定完了画面が閉じること。</t>
    <rPh sb="0" eb="2">
      <t>カクテイ</t>
    </rPh>
    <rPh sb="2" eb="4">
      <t>カンリョウ</t>
    </rPh>
    <rPh sb="4" eb="6">
      <t>ガメン</t>
    </rPh>
    <rPh sb="7" eb="8">
      <t>ト</t>
    </rPh>
    <phoneticPr fontId="1"/>
  </si>
  <si>
    <t>登録ボタン押下</t>
    <rPh sb="0" eb="2">
      <t>トウロク</t>
    </rPh>
    <rPh sb="5" eb="7">
      <t>オウカ</t>
    </rPh>
    <phoneticPr fontId="1"/>
  </si>
  <si>
    <t>登録ボタンを押下する。</t>
    <rPh sb="0" eb="2">
      <t>トウロク</t>
    </rPh>
    <rPh sb="6" eb="8">
      <t>オウカ</t>
    </rPh>
    <phoneticPr fontId="1"/>
  </si>
  <si>
    <t>修正完了画面に遷移すること。</t>
    <rPh sb="0" eb="2">
      <t>シュウセイ</t>
    </rPh>
    <rPh sb="2" eb="4">
      <t>カンリョウ</t>
    </rPh>
    <rPh sb="4" eb="6">
      <t>ガメン</t>
    </rPh>
    <rPh sb="7" eb="9">
      <t>センイ</t>
    </rPh>
    <phoneticPr fontId="1"/>
  </si>
  <si>
    <t>表示されている明細は、発注書修正画面の明細情報入力部に表示されていたものが表示されている順序通りに表示されていること。</t>
    <rPh sb="0" eb="2">
      <t>ヒョウジ</t>
    </rPh>
    <rPh sb="7" eb="9">
      <t>メイサイ</t>
    </rPh>
    <rPh sb="11" eb="14">
      <t>ハッチュウショ</t>
    </rPh>
    <rPh sb="14" eb="16">
      <t>シュウセイ</t>
    </rPh>
    <rPh sb="16" eb="18">
      <t>ガメン</t>
    </rPh>
    <rPh sb="19" eb="21">
      <t>メイサイ</t>
    </rPh>
    <rPh sb="21" eb="23">
      <t>ジョウホウ</t>
    </rPh>
    <rPh sb="23" eb="25">
      <t>ニュウリョク</t>
    </rPh>
    <rPh sb="25" eb="26">
      <t>ブ</t>
    </rPh>
    <rPh sb="27" eb="29">
      <t>ヒョウジ</t>
    </rPh>
    <rPh sb="37" eb="39">
      <t>ヒョウジ</t>
    </rPh>
    <rPh sb="44" eb="46">
      <t>ジュンジョ</t>
    </rPh>
    <rPh sb="46" eb="47">
      <t>ドオ</t>
    </rPh>
    <rPh sb="49" eb="51">
      <t>ヒョウジ</t>
    </rPh>
    <phoneticPr fontId="1"/>
  </si>
  <si>
    <t>着手数</t>
    <rPh sb="0" eb="2">
      <t>チャクシュ</t>
    </rPh>
    <rPh sb="2" eb="3">
      <t>スウ</t>
    </rPh>
    <phoneticPr fontId="1"/>
  </si>
  <si>
    <t>中島</t>
    <rPh sb="0" eb="2">
      <t>ナカジマ</t>
    </rPh>
    <phoneticPr fontId="1"/>
  </si>
  <si>
    <t>鈴木</t>
    <rPh sb="0" eb="2">
      <t>スズキ</t>
    </rPh>
    <phoneticPr fontId="1"/>
  </si>
  <si>
    <t>追加ボタンを押下する</t>
    <rPh sb="0" eb="2">
      <t>ツイカ</t>
    </rPh>
    <rPh sb="6" eb="8">
      <t>オウカ</t>
    </rPh>
    <phoneticPr fontId="1"/>
  </si>
  <si>
    <t>確定対象明細行選択部から任意の行の「選択チェック」をonにする。</t>
    <rPh sb="0" eb="2">
      <t>カクテイ</t>
    </rPh>
    <rPh sb="2" eb="4">
      <t>タイショウ</t>
    </rPh>
    <rPh sb="4" eb="6">
      <t>メイサイ</t>
    </rPh>
    <rPh sb="6" eb="7">
      <t>ギョウ</t>
    </rPh>
    <rPh sb="7" eb="9">
      <t>センタク</t>
    </rPh>
    <rPh sb="9" eb="10">
      <t>ブ</t>
    </rPh>
    <rPh sb="12" eb="14">
      <t>ニンイ</t>
    </rPh>
    <rPh sb="15" eb="16">
      <t>ギョウ</t>
    </rPh>
    <rPh sb="18" eb="20">
      <t>センタク</t>
    </rPh>
    <phoneticPr fontId="1"/>
  </si>
  <si>
    <t>明細情報入力部の全行の内容が表示されていること。</t>
    <rPh sb="11" eb="13">
      <t>ナイヨウ</t>
    </rPh>
    <rPh sb="14" eb="16">
      <t>ヒョウジ</t>
    </rPh>
    <phoneticPr fontId="1"/>
  </si>
  <si>
    <t>明細情報入力部の全行の発注マスタの発注ステータスが「発注」になっていること。</t>
    <phoneticPr fontId="1"/>
  </si>
  <si>
    <t>保留</t>
    <rPh sb="0" eb="2">
      <t>ホリュウ</t>
    </rPh>
    <phoneticPr fontId="1"/>
  </si>
  <si>
    <t>登録ボタン押下後プレビューボタンを押下する。</t>
    <rPh sb="0" eb="2">
      <t>トウロク</t>
    </rPh>
    <rPh sb="5" eb="7">
      <t>オウカ</t>
    </rPh>
    <rPh sb="7" eb="8">
      <t>ゴ</t>
    </rPh>
    <rPh sb="17" eb="19">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</si>
</sst>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right" vertical="top"/>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175260</xdr:rowOff>
        </xdr:from>
        <xdr:to>
          <xdr:col>4</xdr:col>
          <xdr:colOff>381000</xdr:colOff>
          <xdr:row>1</xdr:row>
          <xdr:rowOff>213360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381000</xdr:colOff>
      <xdr:row>8</xdr:row>
      <xdr:rowOff>457200</xdr:rowOff>
    </xdr:from>
    <xdr:to>
      <xdr:col>11</xdr:col>
      <xdr:colOff>495300</xdr:colOff>
      <xdr:row>11</xdr:row>
      <xdr:rowOff>66675</xdr:rowOff>
    </xdr:to>
    <xdr:sp macro="" textlink="">
      <xdr:nvSpPr>
        <xdr:cNvPr id="2" name="吹き出し: 線 1">
          <a:extLst>
            <a:ext uri="{FF2B5EF4-FFF2-40B4-BE49-F238E27FC236}">
              <a16:creationId xmlns:a16="http://schemas.microsoft.com/office/drawing/2014/main" id="{00000000-0008-0000-0100-000002000000}"/>
            </a:ext>
          </a:extLst>
        </xdr:cNvPr>
        <xdr:cNvSpPr/>
      </xdr:nvSpPr>
      <xdr:spPr>
        <a:xfrm>
          <a:off x="13087350" y="2514600"/>
          <a:ext cx="2105025" cy="1209675"/>
        </a:xfrm>
        <a:prstGeom prst="borderCallout1">
          <a:avLst>
            <a:gd name="adj1" fmla="val 51908"/>
            <a:gd name="adj2" fmla="val -188"/>
            <a:gd name="adj3" fmla="val 83366"/>
            <a:gd name="adj4" fmla="val -3742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営業部署コード欄に</a:t>
          </a:r>
          <a:r>
            <a:rPr kumimoji="1" lang="en-US" altLang="ja-JP" sz="1100"/>
            <a:t>DB</a:t>
          </a:r>
          <a:r>
            <a:rPr kumimoji="1" lang="ja-JP" altLang="en-US" sz="1100"/>
            <a:t>上登録されている値を指定しても部署名を引っ張ってこれない</a:t>
          </a:r>
          <a:endParaRPr kumimoji="1" lang="en-US" altLang="ja-JP" sz="1100"/>
        </a:p>
        <a:p>
          <a:pPr algn="l"/>
          <a:r>
            <a:rPr kumimoji="1" lang="ja-JP" altLang="en-US" sz="1100"/>
            <a:t>⇒入力できない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2968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175260</xdr:rowOff>
                  </from>
                  <to>
                    <xdr:col>4</xdr:col>
                    <xdr:colOff>381000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8"/>
  <sheetViews>
    <sheetView tabSelected="1" topLeftCell="B1" workbookViewId="0">
      <selection activeCell="F19" sqref="F1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296875" bestFit="1" customWidth="1"/>
    <col min="8" max="10" width="8.69921875" customWidth="1"/>
  </cols>
  <sheetData>
    <row r="1" spans="1:10">
      <c r="B1" s="10" t="s">
        <v>5</v>
      </c>
      <c r="C1" s="9" t="str">
        <f ca="1">RIGHT(CELL("filename",A2),LEN(CELL("filename",A2))-FIND("]",CELL("filename",A2)))</f>
        <v>発注検索</v>
      </c>
      <c r="D1" s="7"/>
    </row>
    <row r="2" spans="1:10">
      <c r="B2" s="10" t="s">
        <v>9</v>
      </c>
      <c r="C2" s="9">
        <f>COUNTA(D7:D16)</f>
        <v>5</v>
      </c>
    </row>
    <row r="3" spans="1:10">
      <c r="B3" s="10" t="s">
        <v>176</v>
      </c>
      <c r="C3" s="9">
        <f>COUNTA(F7:F62)</f>
        <v>5</v>
      </c>
    </row>
    <row r="4" spans="1:10">
      <c r="B4" s="10" t="s">
        <v>11</v>
      </c>
      <c r="C4" s="9">
        <f>COUNTA(G7:G16)</f>
        <v>5</v>
      </c>
    </row>
    <row r="5" spans="1:10">
      <c r="B5" s="8"/>
      <c r="C5" s="7"/>
    </row>
    <row r="6" spans="1:10" s="6" customFormat="1">
      <c r="A6" s="12" t="s">
        <v>4</v>
      </c>
      <c r="B6" s="12" t="s">
        <v>6</v>
      </c>
      <c r="C6" s="12" t="s">
        <v>7</v>
      </c>
      <c r="D6" s="12" t="s">
        <v>3</v>
      </c>
      <c r="E6" s="12" t="s">
        <v>2</v>
      </c>
      <c r="F6" s="12" t="s">
        <v>1</v>
      </c>
      <c r="G6" s="12" t="s">
        <v>0</v>
      </c>
      <c r="H6" s="21" t="s">
        <v>8</v>
      </c>
      <c r="I6" s="21"/>
      <c r="J6" s="21"/>
    </row>
    <row r="7" spans="1:10" s="1" customFormat="1" ht="36">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83</v>
      </c>
      <c r="D10" s="5" t="s">
        <v>84</v>
      </c>
      <c r="E10" s="4" t="s">
        <v>178</v>
      </c>
      <c r="F10" s="3">
        <v>43769</v>
      </c>
      <c r="G10" s="3">
        <v>43769</v>
      </c>
      <c r="H10" s="2"/>
      <c r="I10" s="4"/>
      <c r="J10" s="4"/>
    </row>
    <row r="11" spans="1:10" s="1" customFormat="1">
      <c r="A11" s="2">
        <f t="shared" si="0"/>
        <v>6</v>
      </c>
      <c r="B11" s="5" t="s">
        <v>18</v>
      </c>
      <c r="C11" s="5" t="s">
        <v>19</v>
      </c>
      <c r="D11" s="5"/>
      <c r="E11" s="4"/>
      <c r="F11" s="3"/>
      <c r="G11" s="3"/>
      <c r="H11" s="2">
        <v>305</v>
      </c>
      <c r="I11" s="4"/>
      <c r="J11" s="4"/>
    </row>
    <row r="12" spans="1:10" s="1" customFormat="1">
      <c r="A12" s="2">
        <f t="shared" si="0"/>
        <v>7</v>
      </c>
      <c r="B12" s="5"/>
      <c r="C12" s="5" t="s">
        <v>20</v>
      </c>
      <c r="D12" s="5" t="s">
        <v>21</v>
      </c>
      <c r="E12" s="4" t="s">
        <v>178</v>
      </c>
      <c r="F12" s="3">
        <v>43769</v>
      </c>
      <c r="G12" s="3">
        <v>43787</v>
      </c>
      <c r="H12" s="2"/>
      <c r="I12" s="4"/>
      <c r="J12" s="4"/>
    </row>
    <row r="13" spans="1:10" s="1" customFormat="1" ht="36">
      <c r="A13" s="2">
        <f t="shared" si="0"/>
        <v>8</v>
      </c>
      <c r="B13" s="5" t="s">
        <v>17</v>
      </c>
      <c r="C13" s="5" t="s">
        <v>24</v>
      </c>
      <c r="D13" s="5"/>
      <c r="E13" s="4"/>
      <c r="F13" s="3"/>
      <c r="G13" s="3"/>
      <c r="H13" s="2">
        <v>274</v>
      </c>
      <c r="I13" s="4"/>
      <c r="J13" s="4"/>
    </row>
    <row r="14" spans="1:10" s="1" customFormat="1">
      <c r="A14" s="2">
        <f t="shared" si="0"/>
        <v>9</v>
      </c>
      <c r="B14" s="5"/>
      <c r="C14" s="5" t="s">
        <v>22</v>
      </c>
      <c r="D14" s="5" t="s">
        <v>85</v>
      </c>
      <c r="E14" s="4" t="s">
        <v>178</v>
      </c>
      <c r="F14" s="3">
        <v>43769</v>
      </c>
      <c r="G14" s="3">
        <v>43769</v>
      </c>
      <c r="H14" s="2"/>
      <c r="I14" s="4"/>
      <c r="J14" s="4"/>
    </row>
    <row r="15" spans="1:10" s="1" customFormat="1" ht="36">
      <c r="A15" s="2">
        <f t="shared" si="0"/>
        <v>10</v>
      </c>
      <c r="B15" s="5"/>
      <c r="C15" s="5"/>
      <c r="D15" s="5" t="s">
        <v>86</v>
      </c>
      <c r="E15" s="4" t="s">
        <v>178</v>
      </c>
      <c r="F15" s="3">
        <v>43769</v>
      </c>
      <c r="G15" s="3">
        <v>43769</v>
      </c>
      <c r="H15" s="2"/>
      <c r="I15" s="4"/>
      <c r="J15" s="4"/>
    </row>
    <row r="16" spans="1:10" s="1" customFormat="1" ht="36">
      <c r="A16" s="2">
        <f t="shared" si="0"/>
        <v>11</v>
      </c>
      <c r="B16" s="5"/>
      <c r="C16" s="5"/>
      <c r="D16" s="5" t="s">
        <v>23</v>
      </c>
      <c r="E16" s="4" t="s">
        <v>178</v>
      </c>
      <c r="F16" s="3">
        <v>43787</v>
      </c>
      <c r="G16" s="3">
        <v>43787</v>
      </c>
      <c r="H16" s="2"/>
      <c r="I16" s="4"/>
      <c r="J16" s="4"/>
    </row>
    <row r="18" spans="2:2">
      <c r="B18" t="s">
        <v>10</v>
      </c>
    </row>
  </sheetData>
  <mergeCells count="1">
    <mergeCell ref="H6:J6"/>
  </mergeCells>
  <phoneticPr fontId="1"/>
  <pageMargins left="0.7" right="0.7" top="0.75" bottom="0.75" header="0.3" footer="0.3"/>
  <pageSetup paperSize="9" orientation="portrait" verticalDpi="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50"/>
  <sheetViews>
    <sheetView topLeftCell="C13" workbookViewId="0">
      <selection activeCell="E23" sqref="E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296875" bestFit="1" customWidth="1"/>
    <col min="8" max="10" width="8.69921875" customWidth="1"/>
  </cols>
  <sheetData>
    <row r="1" spans="1:10">
      <c r="B1" s="10" t="s">
        <v>5</v>
      </c>
      <c r="C1" s="9" t="str">
        <f ca="1">RIGHT(CELL("filename",A2),LEN(CELL("filename",A2))-FIND("]",CELL("filename",A2)))</f>
        <v>発注一覧</v>
      </c>
      <c r="D1" s="7"/>
    </row>
    <row r="2" spans="1:10">
      <c r="B2" s="10" t="s">
        <v>9</v>
      </c>
      <c r="C2" s="9">
        <f>COUNTA(D7:D48)</f>
        <v>21</v>
      </c>
    </row>
    <row r="3" spans="1:10">
      <c r="B3" s="10" t="s">
        <v>176</v>
      </c>
      <c r="C3" s="9">
        <f>COUNTA(F7:F62)</f>
        <v>15</v>
      </c>
    </row>
    <row r="4" spans="1:10">
      <c r="B4" s="10" t="s">
        <v>11</v>
      </c>
      <c r="C4" s="9">
        <f>COUNTA(G7:G48)</f>
        <v>15</v>
      </c>
    </row>
    <row r="5" spans="1:10">
      <c r="B5" s="8"/>
      <c r="C5" s="7"/>
    </row>
    <row r="6" spans="1:10" s="6" customFormat="1">
      <c r="A6" s="12" t="s">
        <v>4</v>
      </c>
      <c r="B6" s="12" t="s">
        <v>6</v>
      </c>
      <c r="C6" s="12" t="s">
        <v>7</v>
      </c>
      <c r="D6" s="12" t="s">
        <v>3</v>
      </c>
      <c r="E6" s="12" t="s">
        <v>2</v>
      </c>
      <c r="F6" s="12" t="s">
        <v>1</v>
      </c>
      <c r="G6" s="12" t="s">
        <v>0</v>
      </c>
      <c r="H6" s="21" t="s">
        <v>8</v>
      </c>
      <c r="I6" s="21"/>
      <c r="J6" s="21"/>
    </row>
    <row r="7" spans="1:10" s="1" customFormat="1" ht="36">
      <c r="A7" s="2">
        <f>ROW()-5</f>
        <v>2</v>
      </c>
      <c r="B7" s="5" t="s">
        <v>15</v>
      </c>
      <c r="C7" s="5" t="s">
        <v>13</v>
      </c>
      <c r="D7" s="5"/>
      <c r="E7" s="4"/>
      <c r="F7" s="3"/>
      <c r="G7" s="3"/>
      <c r="H7" s="2"/>
      <c r="I7" s="4"/>
      <c r="J7" s="4"/>
    </row>
    <row r="8" spans="1:10" s="1" customFormat="1">
      <c r="A8" s="2">
        <f t="shared" ref="A8:A48"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83</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t="s">
        <v>87</v>
      </c>
      <c r="E13" s="4" t="s">
        <v>178</v>
      </c>
      <c r="F13" s="3">
        <v>43787</v>
      </c>
      <c r="G13" s="3">
        <v>43787</v>
      </c>
      <c r="H13" s="2"/>
      <c r="I13" s="4"/>
      <c r="J13" s="4"/>
    </row>
    <row r="14" spans="1:10" s="1" customFormat="1" ht="36">
      <c r="A14" s="2">
        <f t="shared" si="0"/>
        <v>9</v>
      </c>
      <c r="B14" s="5"/>
      <c r="C14" s="5"/>
      <c r="D14" s="5" t="s">
        <v>88</v>
      </c>
      <c r="E14" s="4" t="s">
        <v>178</v>
      </c>
      <c r="F14" s="3">
        <v>43787</v>
      </c>
      <c r="G14" s="3">
        <v>43787</v>
      </c>
      <c r="H14" s="2"/>
      <c r="I14" s="4"/>
      <c r="J14" s="4"/>
    </row>
    <row r="15" spans="1:10" s="1" customFormat="1" ht="36">
      <c r="A15" s="2">
        <f t="shared" si="0"/>
        <v>10</v>
      </c>
      <c r="B15" s="5"/>
      <c r="C15" s="5"/>
      <c r="D15" s="5" t="s">
        <v>89</v>
      </c>
      <c r="E15" s="4" t="s">
        <v>178</v>
      </c>
      <c r="F15" s="3">
        <v>43787</v>
      </c>
      <c r="G15" s="3">
        <v>43787</v>
      </c>
      <c r="H15" s="2"/>
      <c r="I15" s="4"/>
      <c r="J15" s="4"/>
    </row>
    <row r="16" spans="1:10" s="1" customFormat="1" ht="36">
      <c r="A16" s="2">
        <f t="shared" si="0"/>
        <v>11</v>
      </c>
      <c r="B16" s="5"/>
      <c r="C16" s="5"/>
      <c r="D16" s="5" t="s">
        <v>90</v>
      </c>
      <c r="E16" s="4" t="s">
        <v>178</v>
      </c>
      <c r="F16" s="3">
        <v>43787</v>
      </c>
      <c r="G16" s="3">
        <v>43787</v>
      </c>
      <c r="H16" s="2"/>
      <c r="I16" s="4"/>
      <c r="J16" s="4"/>
    </row>
    <row r="17" spans="1:10" s="1" customFormat="1" ht="36">
      <c r="A17" s="2">
        <f t="shared" si="0"/>
        <v>12</v>
      </c>
      <c r="B17" s="5"/>
      <c r="C17" s="5"/>
      <c r="D17" s="5" t="s">
        <v>23</v>
      </c>
      <c r="E17" s="4" t="s">
        <v>178</v>
      </c>
      <c r="F17" s="3">
        <v>43787</v>
      </c>
      <c r="G17" s="3">
        <v>43787</v>
      </c>
      <c r="H17" s="2"/>
      <c r="I17" s="4"/>
      <c r="J17" s="4"/>
    </row>
    <row r="18" spans="1:10" s="1" customFormat="1" ht="54">
      <c r="A18" s="2">
        <f t="shared" si="0"/>
        <v>13</v>
      </c>
      <c r="B18" s="5"/>
      <c r="C18" s="5"/>
      <c r="D18" s="14" t="s">
        <v>91</v>
      </c>
      <c r="E18" s="4"/>
      <c r="F18" s="3"/>
      <c r="G18" s="3"/>
      <c r="H18" s="2"/>
      <c r="I18" s="4"/>
      <c r="J18" s="4"/>
    </row>
    <row r="19" spans="1:10" s="1" customFormat="1" ht="54">
      <c r="A19" s="2">
        <f t="shared" si="0"/>
        <v>14</v>
      </c>
      <c r="B19" s="5"/>
      <c r="C19" s="5"/>
      <c r="D19" s="14" t="s">
        <v>92</v>
      </c>
      <c r="E19" s="4"/>
      <c r="F19" s="3"/>
      <c r="G19" s="3"/>
      <c r="H19" s="2"/>
      <c r="I19" s="4"/>
      <c r="J19" s="4"/>
    </row>
    <row r="20" spans="1:10" s="1" customFormat="1" ht="36">
      <c r="A20" s="2">
        <f t="shared" si="0"/>
        <v>15</v>
      </c>
      <c r="B20" s="5"/>
      <c r="C20" s="5"/>
      <c r="D20" s="14" t="s">
        <v>35</v>
      </c>
      <c r="E20" s="4"/>
      <c r="F20" s="3"/>
      <c r="G20" s="3"/>
      <c r="H20" s="2"/>
      <c r="I20" s="4"/>
      <c r="J20" s="4"/>
    </row>
    <row r="21" spans="1:10" s="1" customFormat="1" ht="36">
      <c r="A21" s="2">
        <f t="shared" si="0"/>
        <v>16</v>
      </c>
      <c r="B21" s="5"/>
      <c r="C21" s="5"/>
      <c r="D21" s="14" t="s">
        <v>36</v>
      </c>
      <c r="E21" s="4"/>
      <c r="F21" s="3"/>
      <c r="G21" s="3"/>
      <c r="H21" s="2"/>
      <c r="I21" s="4"/>
      <c r="J21" s="4"/>
    </row>
    <row r="22" spans="1:10" s="1" customFormat="1" ht="36">
      <c r="A22" s="2">
        <f t="shared" si="0"/>
        <v>17</v>
      </c>
      <c r="B22" s="5"/>
      <c r="C22" s="5"/>
      <c r="D22" s="14" t="s">
        <v>93</v>
      </c>
      <c r="E22" s="4"/>
      <c r="F22" s="3"/>
      <c r="G22" s="3"/>
      <c r="H22" s="2"/>
      <c r="I22" s="4"/>
      <c r="J22" s="4"/>
    </row>
    <row r="23" spans="1:10" s="1" customFormat="1" ht="36">
      <c r="A23" s="2">
        <f t="shared" si="0"/>
        <v>18</v>
      </c>
      <c r="B23" s="5"/>
      <c r="C23" s="5"/>
      <c r="D23" s="14" t="s">
        <v>94</v>
      </c>
      <c r="E23" s="4"/>
      <c r="F23" s="3"/>
      <c r="G23" s="3"/>
      <c r="H23" s="2"/>
      <c r="I23" s="4"/>
      <c r="J23" s="4"/>
    </row>
    <row r="24" spans="1:10" s="1" customFormat="1">
      <c r="A24" s="2">
        <f t="shared" si="0"/>
        <v>19</v>
      </c>
      <c r="B24" s="5" t="s">
        <v>27</v>
      </c>
      <c r="C24" s="5" t="s">
        <v>28</v>
      </c>
      <c r="D24" s="5"/>
      <c r="E24" s="4"/>
      <c r="F24" s="3"/>
      <c r="G24" s="3"/>
      <c r="H24" s="2"/>
      <c r="I24" s="4"/>
      <c r="J24" s="4"/>
    </row>
    <row r="25" spans="1:10" s="1" customFormat="1" ht="36">
      <c r="A25" s="2">
        <f t="shared" si="0"/>
        <v>20</v>
      </c>
      <c r="B25" s="5"/>
      <c r="C25" s="5" t="s">
        <v>29</v>
      </c>
      <c r="D25" s="5" t="s">
        <v>95</v>
      </c>
      <c r="E25" s="3" t="s">
        <v>178</v>
      </c>
      <c r="F25" s="3">
        <v>43788</v>
      </c>
      <c r="G25" s="3">
        <v>43788</v>
      </c>
      <c r="H25" s="2"/>
      <c r="I25" s="4"/>
      <c r="J25" s="4"/>
    </row>
    <row r="26" spans="1:10" s="1" customFormat="1" ht="36">
      <c r="A26" s="2">
        <f t="shared" si="0"/>
        <v>21</v>
      </c>
      <c r="B26" s="5" t="s">
        <v>30</v>
      </c>
      <c r="C26" s="5" t="s">
        <v>31</v>
      </c>
      <c r="D26" s="5" t="s">
        <v>96</v>
      </c>
      <c r="E26" s="4" t="s">
        <v>178</v>
      </c>
      <c r="F26" s="3">
        <v>43788</v>
      </c>
      <c r="G26" s="3">
        <v>43788</v>
      </c>
      <c r="H26" s="2"/>
      <c r="I26" s="4"/>
      <c r="J26" s="4"/>
    </row>
    <row r="27" spans="1:10" s="1" customFormat="1" ht="36">
      <c r="A27" s="2">
        <f t="shared" si="0"/>
        <v>22</v>
      </c>
      <c r="B27" s="5"/>
      <c r="C27" s="5"/>
      <c r="D27" s="5" t="s">
        <v>32</v>
      </c>
      <c r="E27" s="4" t="s">
        <v>178</v>
      </c>
      <c r="F27" s="3">
        <v>43788</v>
      </c>
      <c r="G27" s="3">
        <v>43788</v>
      </c>
      <c r="H27" s="2"/>
      <c r="I27" s="4"/>
      <c r="J27" s="4"/>
    </row>
    <row r="28" spans="1:10" s="1" customFormat="1">
      <c r="A28" s="2">
        <f t="shared" si="0"/>
        <v>23</v>
      </c>
      <c r="B28" s="5"/>
      <c r="C28" s="5" t="s">
        <v>97</v>
      </c>
      <c r="D28" s="5" t="s">
        <v>98</v>
      </c>
      <c r="E28" s="4" t="s">
        <v>178</v>
      </c>
      <c r="F28" s="3">
        <v>43788</v>
      </c>
      <c r="G28" s="3">
        <v>43788</v>
      </c>
      <c r="H28" s="2"/>
      <c r="I28" s="4"/>
      <c r="J28" s="4"/>
    </row>
    <row r="29" spans="1:10" s="1" customFormat="1" ht="36">
      <c r="A29" s="2">
        <f t="shared" si="0"/>
        <v>24</v>
      </c>
      <c r="B29" s="5" t="s">
        <v>38</v>
      </c>
      <c r="C29" s="5" t="s">
        <v>39</v>
      </c>
      <c r="D29" s="5" t="s">
        <v>99</v>
      </c>
      <c r="E29" s="4" t="s">
        <v>178</v>
      </c>
      <c r="F29" s="3">
        <v>43788</v>
      </c>
      <c r="G29" s="3">
        <v>43788</v>
      </c>
      <c r="H29" s="2"/>
      <c r="I29" s="4"/>
      <c r="J29" s="4"/>
    </row>
    <row r="30" spans="1:10" s="1" customFormat="1" ht="36">
      <c r="A30" s="2">
        <f t="shared" si="0"/>
        <v>25</v>
      </c>
      <c r="B30" s="5"/>
      <c r="C30" s="11"/>
      <c r="D30" s="5" t="s">
        <v>40</v>
      </c>
      <c r="E30" s="4" t="s">
        <v>178</v>
      </c>
      <c r="F30" s="3">
        <v>43788</v>
      </c>
      <c r="G30" s="3">
        <v>43788</v>
      </c>
      <c r="H30" s="2"/>
      <c r="I30" s="4"/>
      <c r="J30" s="4"/>
    </row>
    <row r="31" spans="1:10" s="1" customFormat="1">
      <c r="A31" s="2">
        <f t="shared" si="0"/>
        <v>26</v>
      </c>
      <c r="B31" s="5"/>
      <c r="C31" s="5" t="s">
        <v>100</v>
      </c>
      <c r="D31" s="5" t="s">
        <v>98</v>
      </c>
      <c r="E31" s="4" t="s">
        <v>178</v>
      </c>
      <c r="F31" s="3">
        <v>43788</v>
      </c>
      <c r="G31" s="3">
        <v>43788</v>
      </c>
      <c r="H31" s="2"/>
      <c r="I31" s="4"/>
      <c r="J31" s="4"/>
    </row>
    <row r="32" spans="1:10" s="1" customFormat="1" ht="36">
      <c r="A32" s="2">
        <f t="shared" si="0"/>
        <v>27</v>
      </c>
      <c r="B32" s="5" t="s">
        <v>41</v>
      </c>
      <c r="C32" s="5" t="s">
        <v>42</v>
      </c>
      <c r="D32" s="5" t="s">
        <v>101</v>
      </c>
      <c r="E32" s="4" t="s">
        <v>178</v>
      </c>
      <c r="F32" s="3">
        <v>43788</v>
      </c>
      <c r="G32" s="3">
        <v>43788</v>
      </c>
      <c r="H32" s="2"/>
      <c r="I32" s="4"/>
      <c r="J32" s="4"/>
    </row>
    <row r="33" spans="1:10" s="1" customFormat="1" ht="36">
      <c r="A33" s="2">
        <f t="shared" si="0"/>
        <v>28</v>
      </c>
      <c r="B33" s="5"/>
      <c r="C33" s="11"/>
      <c r="D33" s="5" t="s">
        <v>43</v>
      </c>
      <c r="E33" s="4" t="s">
        <v>178</v>
      </c>
      <c r="F33" s="3">
        <v>43788</v>
      </c>
      <c r="G33" s="3">
        <v>43788</v>
      </c>
      <c r="H33" s="2"/>
      <c r="I33" s="4"/>
      <c r="J33" s="4"/>
    </row>
    <row r="34" spans="1:10" s="1" customFormat="1">
      <c r="A34" s="2">
        <f t="shared" si="0"/>
        <v>29</v>
      </c>
      <c r="B34" s="5"/>
      <c r="C34" s="5" t="s">
        <v>102</v>
      </c>
      <c r="D34" s="5" t="s">
        <v>98</v>
      </c>
      <c r="E34" s="4" t="s">
        <v>178</v>
      </c>
      <c r="F34" s="3">
        <v>43788</v>
      </c>
      <c r="G34" s="3">
        <v>43788</v>
      </c>
      <c r="H34" s="2"/>
      <c r="I34" s="4"/>
      <c r="J34" s="4"/>
    </row>
    <row r="35" spans="1:10" s="1" customFormat="1">
      <c r="A35" s="2">
        <f t="shared" si="0"/>
        <v>30</v>
      </c>
      <c r="B35" s="5"/>
      <c r="C35" s="11"/>
      <c r="D35" s="5"/>
      <c r="E35" s="4"/>
      <c r="F35" s="3"/>
      <c r="G35" s="3"/>
      <c r="H35" s="2"/>
      <c r="I35" s="4"/>
      <c r="J35" s="4"/>
    </row>
    <row r="36" spans="1:10" s="1" customFormat="1">
      <c r="A36" s="2">
        <f t="shared" si="0"/>
        <v>31</v>
      </c>
      <c r="B36" s="5"/>
      <c r="C36" s="5"/>
      <c r="D36" s="5"/>
      <c r="E36" s="4"/>
      <c r="F36" s="3"/>
      <c r="G36" s="3"/>
      <c r="H36" s="2"/>
      <c r="I36" s="4"/>
      <c r="J36" s="4"/>
    </row>
    <row r="37" spans="1:10" s="1" customFormat="1">
      <c r="A37" s="2">
        <f t="shared" si="0"/>
        <v>32</v>
      </c>
      <c r="B37" s="5"/>
      <c r="C37" s="11"/>
      <c r="D37" s="5"/>
      <c r="E37" s="4"/>
      <c r="F37" s="3"/>
      <c r="G37" s="3"/>
      <c r="H37" s="2"/>
      <c r="I37" s="4"/>
      <c r="J37" s="4"/>
    </row>
    <row r="38" spans="1:10" s="1" customFormat="1">
      <c r="A38" s="2">
        <f t="shared" si="0"/>
        <v>33</v>
      </c>
      <c r="B38" s="5"/>
      <c r="C38" s="5"/>
      <c r="D38" s="5"/>
      <c r="E38" s="4"/>
      <c r="F38" s="3"/>
      <c r="G38" s="3"/>
      <c r="H38" s="2"/>
      <c r="I38" s="4"/>
      <c r="J38" s="4"/>
    </row>
    <row r="39" spans="1:10" s="1" customFormat="1">
      <c r="A39" s="2">
        <f t="shared" si="0"/>
        <v>34</v>
      </c>
      <c r="B39" s="5"/>
      <c r="C39" s="11"/>
      <c r="D39" s="5"/>
      <c r="E39" s="4"/>
      <c r="F39" s="3"/>
      <c r="G39" s="3"/>
      <c r="H39" s="2"/>
      <c r="I39" s="4"/>
      <c r="J39" s="4"/>
    </row>
    <row r="40" spans="1:10" s="1" customFormat="1">
      <c r="A40" s="2">
        <f t="shared" si="0"/>
        <v>35</v>
      </c>
      <c r="B40" s="5"/>
      <c r="C40" s="5"/>
      <c r="D40" s="5"/>
      <c r="E40" s="4"/>
      <c r="F40" s="3"/>
      <c r="G40" s="3"/>
      <c r="H40" s="2"/>
      <c r="I40" s="4"/>
      <c r="J40" s="4"/>
    </row>
    <row r="41" spans="1:10" s="1" customFormat="1">
      <c r="A41" s="2">
        <f t="shared" si="0"/>
        <v>36</v>
      </c>
      <c r="B41" s="5"/>
      <c r="C41" s="11"/>
      <c r="D41" s="5"/>
      <c r="E41" s="4"/>
      <c r="F41" s="3"/>
      <c r="G41" s="3"/>
      <c r="H41" s="2"/>
      <c r="I41" s="4"/>
      <c r="J41" s="4"/>
    </row>
    <row r="42" spans="1:10" s="1" customFormat="1">
      <c r="A42" s="2">
        <f t="shared" si="0"/>
        <v>37</v>
      </c>
      <c r="B42" s="5"/>
      <c r="C42" s="5"/>
      <c r="D42" s="5"/>
      <c r="E42" s="4"/>
      <c r="F42" s="3"/>
      <c r="G42" s="3"/>
      <c r="H42" s="2"/>
      <c r="I42" s="4"/>
      <c r="J42" s="4"/>
    </row>
    <row r="43" spans="1:10" s="1" customFormat="1">
      <c r="A43" s="2">
        <f t="shared" si="0"/>
        <v>38</v>
      </c>
      <c r="B43" s="5"/>
      <c r="C43" s="11"/>
      <c r="D43" s="5"/>
      <c r="E43" s="4"/>
      <c r="F43" s="3"/>
      <c r="G43" s="3"/>
      <c r="H43" s="2"/>
      <c r="I43" s="4"/>
      <c r="J43" s="4"/>
    </row>
    <row r="44" spans="1:10" s="1" customFormat="1">
      <c r="A44" s="2">
        <f t="shared" si="0"/>
        <v>39</v>
      </c>
      <c r="B44" s="5"/>
      <c r="C44" s="5"/>
      <c r="D44" s="5"/>
      <c r="E44" s="4"/>
      <c r="F44" s="3"/>
      <c r="G44" s="3"/>
      <c r="H44" s="2"/>
      <c r="I44" s="4"/>
      <c r="J44" s="4"/>
    </row>
    <row r="45" spans="1:10" s="1" customFormat="1">
      <c r="A45" s="2">
        <f t="shared" si="0"/>
        <v>40</v>
      </c>
      <c r="B45" s="5"/>
      <c r="C45" s="11"/>
      <c r="D45" s="5"/>
      <c r="E45" s="4"/>
      <c r="F45" s="3"/>
      <c r="G45" s="3"/>
      <c r="H45" s="2"/>
      <c r="I45" s="4"/>
      <c r="J45" s="4"/>
    </row>
    <row r="46" spans="1:10" s="1" customFormat="1">
      <c r="A46" s="2">
        <f t="shared" si="0"/>
        <v>41</v>
      </c>
      <c r="B46" s="5"/>
      <c r="C46" s="5"/>
      <c r="D46" s="5"/>
      <c r="E46" s="4"/>
      <c r="F46" s="3"/>
      <c r="G46" s="3"/>
      <c r="H46" s="2"/>
      <c r="I46" s="4"/>
      <c r="J46" s="4"/>
    </row>
    <row r="47" spans="1:10" s="1" customFormat="1">
      <c r="A47" s="2">
        <f t="shared" si="0"/>
        <v>42</v>
      </c>
      <c r="B47" s="5"/>
      <c r="C47" s="11"/>
      <c r="D47" s="5"/>
      <c r="E47" s="4"/>
      <c r="F47" s="3"/>
      <c r="G47" s="3"/>
      <c r="H47" s="2"/>
      <c r="I47" s="4"/>
      <c r="J47" s="4"/>
    </row>
    <row r="48" spans="1:10" s="1" customFormat="1">
      <c r="A48" s="2">
        <f t="shared" si="0"/>
        <v>43</v>
      </c>
      <c r="B48" s="5"/>
      <c r="C48" s="5"/>
      <c r="D48" s="5"/>
      <c r="E48" s="4"/>
      <c r="F48" s="3"/>
      <c r="G48" s="3"/>
      <c r="H48" s="2"/>
      <c r="I48" s="4"/>
      <c r="J48" s="4"/>
    </row>
    <row r="50" spans="2:2">
      <c r="B50"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5"/>
  <sheetViews>
    <sheetView topLeftCell="C1" workbookViewId="0">
      <selection activeCell="D21" sqref="D2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3984375" bestFit="1" customWidth="1"/>
    <col min="8" max="10" width="8.69921875" customWidth="1"/>
  </cols>
  <sheetData>
    <row r="1" spans="1:10">
      <c r="B1" s="10" t="s">
        <v>5</v>
      </c>
      <c r="C1" s="9" t="str">
        <f ca="1">RIGHT(CELL("filename",A2),LEN(CELL("filename",A2))-FIND("]",CELL("filename",A2)))</f>
        <v>発注詳細</v>
      </c>
      <c r="D1" s="7"/>
    </row>
    <row r="2" spans="1:10">
      <c r="B2" s="10" t="s">
        <v>9</v>
      </c>
      <c r="C2" s="9">
        <f>COUNTA(D7:D23)</f>
        <v>5</v>
      </c>
    </row>
    <row r="3" spans="1:10">
      <c r="B3" s="10" t="s">
        <v>176</v>
      </c>
      <c r="C3" s="9">
        <f>COUNTA(F7:F62)</f>
        <v>5</v>
      </c>
    </row>
    <row r="4" spans="1:10">
      <c r="B4" s="10" t="s">
        <v>11</v>
      </c>
      <c r="C4" s="9">
        <f>COUNTA(G7:G23)</f>
        <v>5</v>
      </c>
    </row>
    <row r="5" spans="1:10">
      <c r="B5" s="8"/>
      <c r="C5" s="7"/>
    </row>
    <row r="6" spans="1:10" s="6" customFormat="1">
      <c r="A6" s="12" t="s">
        <v>4</v>
      </c>
      <c r="B6" s="12" t="s">
        <v>6</v>
      </c>
      <c r="C6" s="12" t="s">
        <v>7</v>
      </c>
      <c r="D6" s="12" t="s">
        <v>3</v>
      </c>
      <c r="E6" s="12" t="s">
        <v>2</v>
      </c>
      <c r="F6" s="12" t="s">
        <v>1</v>
      </c>
      <c r="G6" s="12" t="s">
        <v>0</v>
      </c>
      <c r="H6" s="21" t="s">
        <v>8</v>
      </c>
      <c r="I6" s="21"/>
      <c r="J6" s="21"/>
    </row>
    <row r="7" spans="1:10" s="1" customFormat="1" ht="36">
      <c r="A7" s="2">
        <f>ROW()-5</f>
        <v>2</v>
      </c>
      <c r="B7" s="5" t="s">
        <v>15</v>
      </c>
      <c r="C7" s="5" t="s">
        <v>13</v>
      </c>
      <c r="D7" s="5"/>
      <c r="E7" s="4"/>
      <c r="F7" s="3"/>
      <c r="G7" s="3"/>
      <c r="H7" s="2"/>
      <c r="I7" s="4"/>
      <c r="J7" s="4"/>
    </row>
    <row r="8" spans="1:10" s="1" customFormat="1">
      <c r="A8" s="2">
        <f t="shared" ref="A8:A23"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103</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37</v>
      </c>
      <c r="D14" s="5" t="s">
        <v>96</v>
      </c>
      <c r="E14" s="4" t="s">
        <v>178</v>
      </c>
      <c r="F14" s="3">
        <v>43788</v>
      </c>
      <c r="G14" s="3">
        <v>43788</v>
      </c>
      <c r="H14" s="2"/>
      <c r="I14" s="4"/>
      <c r="J14" s="4"/>
    </row>
    <row r="15" spans="1:10" s="1" customFormat="1" ht="36">
      <c r="A15" s="2">
        <f t="shared" si="0"/>
        <v>10</v>
      </c>
      <c r="B15" s="5"/>
      <c r="C15" s="5"/>
      <c r="D15" s="5" t="s">
        <v>32</v>
      </c>
      <c r="E15" s="4" t="s">
        <v>178</v>
      </c>
      <c r="F15" s="3">
        <v>43788</v>
      </c>
      <c r="G15" s="3">
        <v>43788</v>
      </c>
      <c r="H15" s="2"/>
      <c r="I15" s="4"/>
      <c r="J15" s="4"/>
    </row>
    <row r="16" spans="1:10" s="1" customFormat="1">
      <c r="A16" s="2">
        <f t="shared" si="0"/>
        <v>11</v>
      </c>
      <c r="B16" s="5"/>
      <c r="C16" s="5"/>
      <c r="D16" s="5" t="s">
        <v>33</v>
      </c>
      <c r="E16" s="4" t="s">
        <v>178</v>
      </c>
      <c r="F16" s="3">
        <v>43788</v>
      </c>
      <c r="G16" s="3">
        <v>43788</v>
      </c>
      <c r="H16" s="2"/>
      <c r="I16" s="4"/>
      <c r="J16" s="4"/>
    </row>
    <row r="17" spans="1:10" s="1" customFormat="1">
      <c r="A17" s="2">
        <f t="shared" si="0"/>
        <v>12</v>
      </c>
      <c r="B17" s="5" t="s">
        <v>34</v>
      </c>
      <c r="C17" s="13" t="s">
        <v>16</v>
      </c>
      <c r="D17" s="15" t="s">
        <v>104</v>
      </c>
      <c r="E17" s="3" t="s">
        <v>178</v>
      </c>
      <c r="F17" s="3">
        <v>43788</v>
      </c>
      <c r="G17" s="3">
        <v>43788</v>
      </c>
      <c r="H17" s="2"/>
      <c r="I17" s="4"/>
      <c r="J17" s="4"/>
    </row>
    <row r="18" spans="1:10" s="1" customFormat="1">
      <c r="A18" s="2">
        <f t="shared" si="0"/>
        <v>13</v>
      </c>
      <c r="B18" s="5"/>
      <c r="C18" s="5"/>
      <c r="D18" s="15" t="s">
        <v>105</v>
      </c>
      <c r="E18" s="4" t="s">
        <v>178</v>
      </c>
      <c r="F18" s="3">
        <v>43788</v>
      </c>
      <c r="G18" s="3">
        <v>43788</v>
      </c>
      <c r="H18" s="2"/>
      <c r="I18" s="4"/>
      <c r="J18" s="4"/>
    </row>
    <row r="19" spans="1:10" s="1" customFormat="1">
      <c r="A19" s="2">
        <f t="shared" si="0"/>
        <v>14</v>
      </c>
      <c r="B19" s="5"/>
      <c r="C19" s="11"/>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11"/>
      <c r="D22" s="5"/>
      <c r="E22" s="4"/>
      <c r="F22" s="3"/>
      <c r="G22" s="3"/>
      <c r="H22" s="2"/>
      <c r="I22" s="4"/>
      <c r="J22" s="4"/>
    </row>
    <row r="23" spans="1:10" s="1" customFormat="1">
      <c r="A23" s="2">
        <f t="shared" si="0"/>
        <v>18</v>
      </c>
      <c r="B23" s="5"/>
      <c r="C23" s="5"/>
      <c r="D23" s="5"/>
      <c r="E23" s="4"/>
      <c r="F23" s="3"/>
      <c r="G23" s="3"/>
      <c r="H23" s="2"/>
      <c r="I23" s="4"/>
      <c r="J23" s="4"/>
    </row>
    <row r="25" spans="1:10">
      <c r="B25"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BF38-B2C8-4F79-A081-BA3CE5BCD9B4}">
  <sheetPr codeName="Sheet10"/>
  <dimension ref="A1:J64"/>
  <sheetViews>
    <sheetView topLeftCell="C1" workbookViewId="0">
      <selection activeCell="E68" sqref="E6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3984375" bestFit="1" customWidth="1"/>
    <col min="8" max="10" width="8.69921875" customWidth="1"/>
  </cols>
  <sheetData>
    <row r="1" spans="1:10">
      <c r="B1" s="10" t="s">
        <v>5</v>
      </c>
      <c r="C1" s="9" t="str">
        <f ca="1">RIGHT(CELL("filename",A2),LEN(CELL("filename",A2))-FIND("]",CELL("filename",A2)))</f>
        <v>発注確定</v>
      </c>
      <c r="D1" s="7"/>
    </row>
    <row r="2" spans="1:10">
      <c r="B2" s="10" t="s">
        <v>9</v>
      </c>
      <c r="C2" s="9">
        <f>COUNTA(D7:D62)</f>
        <v>22</v>
      </c>
    </row>
    <row r="3" spans="1:10">
      <c r="B3" s="10" t="s">
        <v>176</v>
      </c>
      <c r="C3" s="9">
        <f>COUNTA(F7:F62)</f>
        <v>22</v>
      </c>
    </row>
    <row r="4" spans="1:10">
      <c r="B4" s="10" t="s">
        <v>11</v>
      </c>
      <c r="C4" s="9">
        <f>COUNTA(G7:G62)</f>
        <v>16</v>
      </c>
    </row>
    <row r="5" spans="1:10">
      <c r="B5" s="8"/>
      <c r="C5" s="7"/>
    </row>
    <row r="6" spans="1:10" s="6" customFormat="1">
      <c r="A6" s="16" t="s">
        <v>4</v>
      </c>
      <c r="B6" s="16" t="s">
        <v>6</v>
      </c>
      <c r="C6" s="16" t="s">
        <v>7</v>
      </c>
      <c r="D6" s="16" t="s">
        <v>3</v>
      </c>
      <c r="E6" s="16" t="s">
        <v>2</v>
      </c>
      <c r="F6" s="16" t="s">
        <v>1</v>
      </c>
      <c r="G6" s="16" t="s">
        <v>0</v>
      </c>
      <c r="H6" s="21" t="s">
        <v>8</v>
      </c>
      <c r="I6" s="21"/>
      <c r="J6" s="21"/>
    </row>
    <row r="7" spans="1:10" s="1" customFormat="1" ht="36">
      <c r="A7" s="2">
        <f>ROW()-5</f>
        <v>2</v>
      </c>
      <c r="B7" s="5" t="s">
        <v>106</v>
      </c>
      <c r="C7" s="5" t="s">
        <v>13</v>
      </c>
      <c r="D7" s="5"/>
      <c r="E7" s="4"/>
      <c r="F7" s="3"/>
      <c r="G7" s="3"/>
      <c r="H7" s="2"/>
      <c r="I7" s="4"/>
      <c r="J7" s="4"/>
    </row>
    <row r="8" spans="1:10" s="1" customFormat="1">
      <c r="A8" s="2">
        <f t="shared" ref="A8:A62"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103</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44</v>
      </c>
      <c r="D14" s="5" t="s">
        <v>99</v>
      </c>
      <c r="E14" s="4" t="s">
        <v>178</v>
      </c>
      <c r="F14" s="3">
        <v>43788</v>
      </c>
      <c r="G14" s="3">
        <v>43788</v>
      </c>
      <c r="H14" s="2"/>
      <c r="I14" s="4"/>
      <c r="J14" s="4"/>
    </row>
    <row r="15" spans="1:10" s="1" customFormat="1" ht="36">
      <c r="A15" s="2">
        <f t="shared" si="0"/>
        <v>10</v>
      </c>
      <c r="B15" s="5"/>
      <c r="C15" s="5"/>
      <c r="D15" s="5" t="s">
        <v>40</v>
      </c>
      <c r="E15" s="4" t="s">
        <v>178</v>
      </c>
      <c r="F15" s="3">
        <v>43788</v>
      </c>
      <c r="G15" s="3">
        <v>43788</v>
      </c>
      <c r="H15" s="2"/>
      <c r="I15" s="4"/>
      <c r="J15" s="4"/>
    </row>
    <row r="16" spans="1:10" s="1" customFormat="1">
      <c r="A16" s="2">
        <f t="shared" si="0"/>
        <v>11</v>
      </c>
      <c r="B16" s="5"/>
      <c r="C16" s="5"/>
      <c r="D16" s="5" t="s">
        <v>33</v>
      </c>
      <c r="E16" s="4" t="s">
        <v>178</v>
      </c>
      <c r="F16" s="3">
        <v>43788</v>
      </c>
      <c r="G16" s="3">
        <v>43788</v>
      </c>
      <c r="H16" s="2"/>
      <c r="I16" s="4"/>
      <c r="J16" s="4"/>
    </row>
    <row r="17" spans="1:10" s="1" customFormat="1" ht="36">
      <c r="A17" s="2">
        <f t="shared" si="0"/>
        <v>12</v>
      </c>
      <c r="B17" s="5" t="s">
        <v>48</v>
      </c>
      <c r="C17" s="5" t="s">
        <v>13</v>
      </c>
      <c r="D17" s="5"/>
      <c r="E17" s="4"/>
      <c r="F17" s="3"/>
      <c r="G17" s="3"/>
      <c r="H17" s="2"/>
      <c r="I17" s="4"/>
      <c r="J17" s="4"/>
    </row>
    <row r="18" spans="1:10" s="1" customFormat="1">
      <c r="A18" s="2">
        <f t="shared" si="0"/>
        <v>13</v>
      </c>
      <c r="B18" s="5"/>
      <c r="C18" s="5" t="s">
        <v>12</v>
      </c>
      <c r="D18" s="5"/>
      <c r="E18" s="4"/>
      <c r="F18" s="3"/>
      <c r="G18" s="3"/>
      <c r="H18" s="2"/>
      <c r="I18" s="4"/>
      <c r="J18" s="4"/>
    </row>
    <row r="19" spans="1:10" s="1" customFormat="1" ht="72">
      <c r="A19" s="2">
        <f t="shared" si="0"/>
        <v>14</v>
      </c>
      <c r="B19" s="5"/>
      <c r="C19" s="5" t="s">
        <v>14</v>
      </c>
      <c r="D19" s="5"/>
      <c r="E19" s="4"/>
      <c r="F19" s="3"/>
      <c r="G19" s="3"/>
      <c r="H19" s="2"/>
      <c r="I19" s="4"/>
      <c r="J19" s="4"/>
    </row>
    <row r="20" spans="1:10" s="1" customFormat="1" ht="36">
      <c r="A20" s="2">
        <f t="shared" si="0"/>
        <v>15</v>
      </c>
      <c r="B20" s="5"/>
      <c r="C20" s="5" t="s">
        <v>45</v>
      </c>
      <c r="D20" s="5"/>
      <c r="E20" s="4"/>
      <c r="F20" s="3"/>
      <c r="G20" s="3"/>
      <c r="H20" s="2"/>
      <c r="I20" s="4"/>
      <c r="J20" s="4"/>
    </row>
    <row r="21" spans="1:10" s="1" customFormat="1" ht="36">
      <c r="A21" s="2">
        <f t="shared" si="0"/>
        <v>16</v>
      </c>
      <c r="B21" s="5"/>
      <c r="C21" s="5" t="s">
        <v>25</v>
      </c>
      <c r="D21" s="5"/>
      <c r="E21" s="4"/>
      <c r="F21" s="3"/>
      <c r="G21" s="3"/>
      <c r="H21" s="2"/>
      <c r="I21" s="4"/>
      <c r="J21" s="4"/>
    </row>
    <row r="22" spans="1:10" s="1" customFormat="1">
      <c r="A22" s="2">
        <f t="shared" si="0"/>
        <v>17</v>
      </c>
      <c r="B22" s="5"/>
      <c r="C22" s="5" t="s">
        <v>26</v>
      </c>
      <c r="D22" s="5"/>
      <c r="E22" s="4"/>
      <c r="F22" s="3"/>
      <c r="G22" s="3"/>
      <c r="H22" s="2"/>
      <c r="I22" s="4"/>
      <c r="J22" s="4"/>
    </row>
    <row r="23" spans="1:10" s="1" customFormat="1">
      <c r="A23" s="2">
        <f t="shared" si="0"/>
        <v>18</v>
      </c>
      <c r="B23" s="5"/>
      <c r="C23" s="5" t="s">
        <v>46</v>
      </c>
      <c r="D23" s="5"/>
      <c r="E23" s="4"/>
      <c r="F23" s="3"/>
      <c r="G23" s="3"/>
      <c r="H23" s="2"/>
      <c r="I23" s="4"/>
      <c r="J23" s="4"/>
    </row>
    <row r="24" spans="1:10" s="1" customFormat="1" ht="36">
      <c r="A24" s="2">
        <f t="shared" si="0"/>
        <v>19</v>
      </c>
      <c r="B24" s="5"/>
      <c r="C24" s="5" t="s">
        <v>47</v>
      </c>
      <c r="D24" s="5"/>
      <c r="E24" s="4"/>
      <c r="F24" s="3"/>
      <c r="G24" s="3"/>
      <c r="H24" s="2"/>
      <c r="I24" s="4"/>
      <c r="J24" s="4"/>
    </row>
    <row r="25" spans="1:10" s="1" customFormat="1" ht="36">
      <c r="A25" s="2">
        <f t="shared" si="0"/>
        <v>20</v>
      </c>
      <c r="B25" s="5"/>
      <c r="C25" s="13" t="s">
        <v>118</v>
      </c>
      <c r="D25" s="5"/>
      <c r="E25" s="4"/>
      <c r="F25" s="3"/>
      <c r="G25" s="3"/>
      <c r="H25" s="2"/>
      <c r="I25" s="4"/>
      <c r="J25" s="4"/>
    </row>
    <row r="26" spans="1:10" s="1" customFormat="1">
      <c r="A26" s="2">
        <f t="shared" si="0"/>
        <v>21</v>
      </c>
      <c r="B26" s="5"/>
      <c r="C26" s="5" t="s">
        <v>107</v>
      </c>
      <c r="D26" s="5" t="s">
        <v>99</v>
      </c>
      <c r="E26" s="4" t="s">
        <v>178</v>
      </c>
      <c r="F26" s="3">
        <v>43788</v>
      </c>
      <c r="G26" s="3">
        <v>43788</v>
      </c>
      <c r="H26" s="2"/>
      <c r="I26" s="4"/>
      <c r="J26" s="4"/>
    </row>
    <row r="27" spans="1:10" s="1" customFormat="1" ht="36">
      <c r="A27" s="2">
        <f t="shared" si="0"/>
        <v>22</v>
      </c>
      <c r="B27" s="5"/>
      <c r="C27" s="13"/>
      <c r="D27" s="5" t="s">
        <v>108</v>
      </c>
      <c r="E27" s="4" t="s">
        <v>178</v>
      </c>
      <c r="F27" s="3">
        <v>43788</v>
      </c>
      <c r="G27" s="3">
        <v>43788</v>
      </c>
      <c r="H27" s="2"/>
      <c r="I27" s="4"/>
      <c r="J27" s="4"/>
    </row>
    <row r="28" spans="1:10" s="1" customFormat="1">
      <c r="A28" s="2">
        <f t="shared" si="0"/>
        <v>23</v>
      </c>
      <c r="B28" s="5"/>
      <c r="C28" s="5"/>
      <c r="D28" s="5" t="s">
        <v>33</v>
      </c>
      <c r="E28" s="4" t="s">
        <v>178</v>
      </c>
      <c r="F28" s="3">
        <v>43788</v>
      </c>
      <c r="G28" s="3">
        <v>43788</v>
      </c>
      <c r="H28" s="2"/>
      <c r="I28" s="4"/>
      <c r="J28" s="4"/>
    </row>
    <row r="29" spans="1:10" s="1" customFormat="1">
      <c r="A29" s="2">
        <f t="shared" si="0"/>
        <v>24</v>
      </c>
      <c r="B29" s="5"/>
      <c r="C29" s="13"/>
      <c r="D29" s="5"/>
      <c r="E29" s="4"/>
      <c r="F29" s="3"/>
      <c r="G29" s="3"/>
      <c r="H29" s="2"/>
      <c r="I29" s="4"/>
      <c r="J29" s="4"/>
    </row>
    <row r="30" spans="1:10" s="1" customFormat="1">
      <c r="A30" s="2">
        <f t="shared" si="0"/>
        <v>25</v>
      </c>
      <c r="B30" s="5"/>
      <c r="C30" s="13"/>
      <c r="D30" s="5"/>
      <c r="E30" s="4"/>
      <c r="F30" s="3"/>
      <c r="G30" s="3"/>
      <c r="H30" s="2"/>
      <c r="I30" s="4"/>
      <c r="J30" s="4"/>
    </row>
    <row r="31" spans="1:10" s="1" customFormat="1">
      <c r="A31" s="2">
        <f t="shared" si="0"/>
        <v>26</v>
      </c>
      <c r="B31" s="5"/>
      <c r="C31" s="13"/>
      <c r="D31" s="5"/>
      <c r="E31" s="4"/>
      <c r="F31" s="3"/>
      <c r="G31" s="3"/>
      <c r="H31" s="2"/>
      <c r="I31" s="4"/>
      <c r="J31" s="4"/>
    </row>
    <row r="32" spans="1:10" s="1" customFormat="1">
      <c r="A32" s="2">
        <f t="shared" si="0"/>
        <v>27</v>
      </c>
      <c r="B32" s="5"/>
      <c r="C32" s="13"/>
      <c r="D32" s="5"/>
      <c r="E32" s="4"/>
      <c r="F32" s="3"/>
      <c r="G32" s="3"/>
      <c r="H32" s="2"/>
      <c r="I32" s="4"/>
      <c r="J32" s="4"/>
    </row>
    <row r="33" spans="1:10" s="1" customFormat="1">
      <c r="A33" s="2">
        <f t="shared" si="0"/>
        <v>28</v>
      </c>
      <c r="B33" s="5"/>
      <c r="C33" s="13"/>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13"/>
      <c r="D35" s="5"/>
      <c r="E35" s="4"/>
      <c r="F35" s="3"/>
      <c r="G35" s="3"/>
      <c r="H35" s="2"/>
      <c r="I35" s="4"/>
      <c r="J35" s="4"/>
    </row>
    <row r="36" spans="1:10" s="1" customFormat="1">
      <c r="A36" s="2">
        <f t="shared" si="0"/>
        <v>31</v>
      </c>
      <c r="B36" s="5"/>
      <c r="C36" s="13"/>
      <c r="D36" s="5"/>
      <c r="E36" s="4"/>
      <c r="F36" s="3"/>
      <c r="G36" s="3"/>
      <c r="H36" s="2"/>
      <c r="I36" s="4"/>
      <c r="J36" s="4"/>
    </row>
    <row r="37" spans="1:10" s="1" customFormat="1" ht="36">
      <c r="A37" s="2">
        <f t="shared" si="0"/>
        <v>32</v>
      </c>
      <c r="B37" s="5" t="s">
        <v>50</v>
      </c>
      <c r="C37" s="13" t="s">
        <v>180</v>
      </c>
      <c r="D37" s="5"/>
      <c r="E37" s="4"/>
      <c r="F37" s="3"/>
      <c r="G37" s="3"/>
      <c r="H37" s="2"/>
      <c r="I37" s="4"/>
      <c r="J37" s="4"/>
    </row>
    <row r="38" spans="1:10" s="1" customFormat="1" ht="36">
      <c r="A38" s="2">
        <f t="shared" si="0"/>
        <v>33</v>
      </c>
      <c r="B38" s="5"/>
      <c r="C38" s="13" t="s">
        <v>179</v>
      </c>
      <c r="D38" s="5" t="s">
        <v>53</v>
      </c>
      <c r="E38" s="4" t="s">
        <v>178</v>
      </c>
      <c r="F38" s="3">
        <v>43788</v>
      </c>
      <c r="G38" s="3">
        <v>43788</v>
      </c>
      <c r="H38" s="2"/>
      <c r="I38" s="4"/>
      <c r="J38" s="4"/>
    </row>
    <row r="39" spans="1:10" s="1" customFormat="1">
      <c r="A39" s="2">
        <f t="shared" si="0"/>
        <v>34</v>
      </c>
      <c r="B39" s="5" t="s">
        <v>54</v>
      </c>
      <c r="C39" s="13" t="s">
        <v>55</v>
      </c>
      <c r="D39" s="5"/>
      <c r="E39" s="4"/>
      <c r="F39" s="3"/>
      <c r="G39" s="3"/>
      <c r="H39" s="2"/>
      <c r="I39" s="4"/>
      <c r="J39" s="4"/>
    </row>
    <row r="40" spans="1:10" s="1" customFormat="1">
      <c r="A40" s="2">
        <f t="shared" si="0"/>
        <v>35</v>
      </c>
      <c r="B40" s="5"/>
      <c r="C40" s="5" t="s">
        <v>56</v>
      </c>
      <c r="D40" s="5" t="s">
        <v>57</v>
      </c>
      <c r="E40" s="4" t="s">
        <v>178</v>
      </c>
      <c r="F40" s="3">
        <v>43788</v>
      </c>
      <c r="G40" s="3"/>
      <c r="H40" s="2">
        <v>374</v>
      </c>
      <c r="I40" s="4"/>
      <c r="J40" s="4"/>
    </row>
    <row r="41" spans="1:10" s="1" customFormat="1">
      <c r="A41" s="2">
        <f t="shared" si="0"/>
        <v>36</v>
      </c>
      <c r="B41" s="5" t="s">
        <v>58</v>
      </c>
      <c r="C41" s="13" t="s">
        <v>55</v>
      </c>
      <c r="D41" s="5"/>
      <c r="F41" s="3"/>
      <c r="G41" s="3"/>
      <c r="H41" s="2"/>
      <c r="I41" s="4"/>
      <c r="J41" s="4"/>
    </row>
    <row r="42" spans="1:10" s="1" customFormat="1">
      <c r="A42" s="2">
        <f t="shared" si="0"/>
        <v>37</v>
      </c>
      <c r="B42" s="5"/>
      <c r="C42" s="5" t="s">
        <v>61</v>
      </c>
      <c r="D42" s="5" t="s">
        <v>62</v>
      </c>
      <c r="E42" s="4" t="s">
        <v>178</v>
      </c>
      <c r="F42" s="3">
        <v>43788</v>
      </c>
      <c r="G42" s="3"/>
      <c r="H42" s="2">
        <v>374</v>
      </c>
      <c r="I42" s="4"/>
      <c r="J42" s="4"/>
    </row>
    <row r="43" spans="1:10" s="1" customFormat="1">
      <c r="A43" s="2">
        <f t="shared" si="0"/>
        <v>38</v>
      </c>
      <c r="B43" s="5" t="s">
        <v>59</v>
      </c>
      <c r="C43" s="13" t="s">
        <v>55</v>
      </c>
      <c r="D43" s="5"/>
      <c r="E43" s="4"/>
      <c r="F43" s="3"/>
      <c r="G43" s="3"/>
      <c r="H43" s="2"/>
      <c r="I43" s="4"/>
      <c r="J43" s="4"/>
    </row>
    <row r="44" spans="1:10" s="1" customFormat="1">
      <c r="A44" s="2">
        <f t="shared" si="0"/>
        <v>39</v>
      </c>
      <c r="B44" s="5"/>
      <c r="C44" s="5" t="s">
        <v>63</v>
      </c>
      <c r="D44" s="5" t="s">
        <v>64</v>
      </c>
      <c r="E44" s="4" t="s">
        <v>178</v>
      </c>
      <c r="F44" s="3">
        <v>43788</v>
      </c>
      <c r="G44" s="3"/>
      <c r="H44" s="2">
        <v>374</v>
      </c>
      <c r="I44" s="4"/>
      <c r="J44" s="4"/>
    </row>
    <row r="45" spans="1:10" s="1" customFormat="1">
      <c r="A45" s="2">
        <f t="shared" si="0"/>
        <v>40</v>
      </c>
      <c r="B45" s="5" t="s">
        <v>60</v>
      </c>
      <c r="C45" s="13" t="s">
        <v>55</v>
      </c>
      <c r="D45" s="5"/>
      <c r="E45" s="4"/>
      <c r="F45" s="3"/>
      <c r="G45" s="3"/>
      <c r="H45" s="2"/>
      <c r="I45" s="4"/>
      <c r="J45" s="4"/>
    </row>
    <row r="46" spans="1:10" s="1" customFormat="1">
      <c r="A46" s="2">
        <f t="shared" si="0"/>
        <v>41</v>
      </c>
      <c r="B46" s="5"/>
      <c r="C46" s="5" t="s">
        <v>66</v>
      </c>
      <c r="D46" s="5" t="s">
        <v>65</v>
      </c>
      <c r="E46" s="4" t="s">
        <v>178</v>
      </c>
      <c r="F46" s="3">
        <v>43788</v>
      </c>
      <c r="G46" s="3"/>
      <c r="H46" s="2">
        <v>374</v>
      </c>
      <c r="I46" s="4"/>
      <c r="J46" s="4"/>
    </row>
    <row r="47" spans="1:10" s="1" customFormat="1">
      <c r="A47" s="2">
        <f t="shared" si="0"/>
        <v>42</v>
      </c>
      <c r="B47" s="5" t="s">
        <v>67</v>
      </c>
      <c r="C47" s="13" t="s">
        <v>55</v>
      </c>
      <c r="D47" s="5"/>
      <c r="E47" s="4"/>
      <c r="F47" s="3"/>
      <c r="G47" s="3"/>
      <c r="H47" s="2"/>
      <c r="I47" s="4"/>
      <c r="J47" s="4"/>
    </row>
    <row r="48" spans="1:10" s="1" customFormat="1">
      <c r="A48" s="2">
        <f t="shared" si="0"/>
        <v>43</v>
      </c>
      <c r="B48" s="5"/>
      <c r="C48" s="5" t="s">
        <v>68</v>
      </c>
      <c r="D48" s="5" t="s">
        <v>69</v>
      </c>
      <c r="E48" s="4" t="s">
        <v>178</v>
      </c>
      <c r="F48" s="3">
        <v>43788</v>
      </c>
      <c r="G48" s="3">
        <v>43788</v>
      </c>
      <c r="H48" s="2"/>
      <c r="I48" s="4"/>
      <c r="J48" s="4"/>
    </row>
    <row r="49" spans="1:10" s="1" customFormat="1">
      <c r="A49" s="2">
        <f t="shared" si="0"/>
        <v>44</v>
      </c>
      <c r="B49" s="5" t="s">
        <v>70</v>
      </c>
      <c r="C49" s="5" t="s">
        <v>71</v>
      </c>
      <c r="D49" s="5" t="s">
        <v>72</v>
      </c>
      <c r="E49" s="4" t="s">
        <v>178</v>
      </c>
      <c r="F49" s="3">
        <v>43788</v>
      </c>
      <c r="G49" s="3">
        <v>43788</v>
      </c>
      <c r="H49" s="2"/>
      <c r="I49" s="4"/>
      <c r="J49" s="4"/>
    </row>
    <row r="50" spans="1:10" s="1" customFormat="1" ht="36">
      <c r="A50" s="2">
        <f t="shared" si="0"/>
        <v>45</v>
      </c>
      <c r="B50" s="5" t="s">
        <v>49</v>
      </c>
      <c r="C50" s="5" t="s">
        <v>73</v>
      </c>
      <c r="D50" s="5" t="s">
        <v>74</v>
      </c>
      <c r="E50" s="4" t="s">
        <v>178</v>
      </c>
      <c r="F50" s="3">
        <v>43788</v>
      </c>
      <c r="G50" s="3">
        <v>43788</v>
      </c>
      <c r="H50" s="2"/>
      <c r="I50" s="4"/>
      <c r="J50" s="4"/>
    </row>
    <row r="51" spans="1:10" s="1" customFormat="1" ht="36">
      <c r="A51" s="2">
        <f t="shared" si="0"/>
        <v>46</v>
      </c>
      <c r="B51" s="5"/>
      <c r="C51" s="13" t="s">
        <v>51</v>
      </c>
      <c r="D51" s="5"/>
      <c r="E51" s="4"/>
      <c r="F51" s="3"/>
      <c r="G51" s="3"/>
      <c r="H51" s="2"/>
      <c r="I51" s="4"/>
      <c r="J51" s="4"/>
    </row>
    <row r="52" spans="1:10" s="1" customFormat="1">
      <c r="A52" s="2">
        <f t="shared" si="0"/>
        <v>47</v>
      </c>
      <c r="B52" s="5"/>
      <c r="C52" s="13" t="s">
        <v>52</v>
      </c>
      <c r="D52" s="5"/>
      <c r="E52" s="4"/>
      <c r="F52" s="3"/>
      <c r="G52" s="3"/>
      <c r="H52" s="2"/>
      <c r="I52" s="4"/>
      <c r="J52" s="4"/>
    </row>
    <row r="53" spans="1:10" s="1" customFormat="1">
      <c r="A53" s="2">
        <f t="shared" si="0"/>
        <v>48</v>
      </c>
      <c r="B53" s="5"/>
      <c r="C53" s="5" t="s">
        <v>73</v>
      </c>
      <c r="D53" s="5" t="s">
        <v>75</v>
      </c>
      <c r="E53" s="4" t="s">
        <v>178</v>
      </c>
      <c r="F53" s="3">
        <v>43788</v>
      </c>
      <c r="G53" s="3">
        <v>43788</v>
      </c>
      <c r="H53" s="2"/>
      <c r="I53" s="4"/>
      <c r="J53" s="4"/>
    </row>
    <row r="54" spans="1:10" s="1" customFormat="1">
      <c r="A54" s="2">
        <f t="shared" si="0"/>
        <v>49</v>
      </c>
      <c r="B54" s="5"/>
      <c r="C54" s="13"/>
      <c r="D54" s="5" t="s">
        <v>181</v>
      </c>
      <c r="E54" s="4" t="s">
        <v>178</v>
      </c>
      <c r="F54" s="3">
        <v>43788</v>
      </c>
      <c r="G54" s="3">
        <v>43788</v>
      </c>
      <c r="H54" s="2"/>
      <c r="I54" s="4"/>
      <c r="J54" s="4"/>
    </row>
    <row r="55" spans="1:10" s="1" customFormat="1" ht="36">
      <c r="A55" s="2">
        <f t="shared" si="0"/>
        <v>50</v>
      </c>
      <c r="B55" s="5"/>
      <c r="C55" s="13"/>
      <c r="D55" s="5" t="s">
        <v>182</v>
      </c>
      <c r="E55" s="4" t="s">
        <v>178</v>
      </c>
      <c r="F55" s="3">
        <v>43788</v>
      </c>
      <c r="G55" s="3">
        <v>43788</v>
      </c>
      <c r="H55" s="2"/>
      <c r="I55" s="4"/>
      <c r="J55" s="4"/>
    </row>
    <row r="56" spans="1:10" s="1" customFormat="1" ht="36">
      <c r="A56" s="2">
        <f t="shared" si="0"/>
        <v>51</v>
      </c>
      <c r="B56" s="5"/>
      <c r="C56" s="13" t="s">
        <v>127</v>
      </c>
      <c r="D56" s="5" t="s">
        <v>125</v>
      </c>
      <c r="E56" s="4" t="s">
        <v>178</v>
      </c>
      <c r="F56" s="3">
        <v>43788</v>
      </c>
      <c r="G56" s="3">
        <v>43788</v>
      </c>
      <c r="H56" s="2"/>
      <c r="I56" s="4"/>
      <c r="J56" s="4"/>
    </row>
    <row r="57" spans="1:10" s="1" customFormat="1" ht="54">
      <c r="A57" s="2">
        <f t="shared" si="0"/>
        <v>52</v>
      </c>
      <c r="B57" s="5"/>
      <c r="C57" s="13"/>
      <c r="D57" s="5" t="s">
        <v>128</v>
      </c>
      <c r="E57" s="4" t="s">
        <v>178</v>
      </c>
      <c r="F57" s="3">
        <v>43788</v>
      </c>
      <c r="G57" s="3">
        <v>43788</v>
      </c>
      <c r="H57" s="2"/>
      <c r="I57" s="4"/>
      <c r="J57" s="4"/>
    </row>
    <row r="58" spans="1:10" s="1" customFormat="1">
      <c r="A58" s="2">
        <f t="shared" si="0"/>
        <v>53</v>
      </c>
      <c r="B58" s="5"/>
      <c r="C58" s="13" t="s">
        <v>129</v>
      </c>
      <c r="D58" s="5" t="s">
        <v>130</v>
      </c>
      <c r="E58" s="4" t="s">
        <v>178</v>
      </c>
      <c r="F58" s="3">
        <v>43788</v>
      </c>
      <c r="G58" s="3"/>
      <c r="H58" s="2">
        <v>377</v>
      </c>
      <c r="I58" s="4"/>
      <c r="J58" s="4"/>
    </row>
    <row r="59" spans="1:10" s="1" customFormat="1" ht="36">
      <c r="A59" s="2">
        <f t="shared" si="0"/>
        <v>54</v>
      </c>
      <c r="B59" s="5"/>
      <c r="C59" s="13" t="s">
        <v>124</v>
      </c>
      <c r="D59" s="5" t="s">
        <v>170</v>
      </c>
      <c r="E59" s="4" t="s">
        <v>178</v>
      </c>
      <c r="F59" s="3">
        <v>43788</v>
      </c>
      <c r="G59" s="3"/>
      <c r="H59" s="2">
        <v>377</v>
      </c>
      <c r="I59" s="4"/>
      <c r="J59" s="4"/>
    </row>
    <row r="60" spans="1:10" s="1" customFormat="1">
      <c r="A60" s="2">
        <f t="shared" si="0"/>
        <v>55</v>
      </c>
      <c r="B60" s="5"/>
      <c r="C60" s="13" t="s">
        <v>169</v>
      </c>
      <c r="D60" s="5" t="s">
        <v>171</v>
      </c>
      <c r="E60" s="4" t="s">
        <v>178</v>
      </c>
      <c r="F60" s="3">
        <v>43788</v>
      </c>
      <c r="G60" s="3">
        <v>43788</v>
      </c>
      <c r="H60" s="2"/>
      <c r="I60" s="4"/>
      <c r="J60" s="4"/>
    </row>
    <row r="61" spans="1:10" s="1" customFormat="1">
      <c r="A61" s="2">
        <f t="shared" si="0"/>
        <v>56</v>
      </c>
      <c r="B61" s="5"/>
      <c r="C61" s="13"/>
      <c r="D61" s="5"/>
      <c r="E61" s="4"/>
      <c r="F61" s="3"/>
      <c r="G61" s="3"/>
      <c r="H61" s="2"/>
      <c r="I61" s="4"/>
      <c r="J61" s="4"/>
    </row>
    <row r="62" spans="1:10" s="1" customFormat="1">
      <c r="A62" s="2">
        <f t="shared" si="0"/>
        <v>57</v>
      </c>
      <c r="B62" s="5"/>
      <c r="C62" s="13"/>
      <c r="D62" s="5"/>
      <c r="E62" s="4"/>
      <c r="F62" s="3"/>
      <c r="G62" s="3"/>
      <c r="H62" s="2"/>
      <c r="I62" s="4"/>
      <c r="J62" s="4"/>
    </row>
    <row r="64" spans="1:10">
      <c r="B64"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A451B-7397-418A-BCA7-3650FC8BA002}">
  <sheetPr codeName="Sheet11"/>
  <dimension ref="A1:J46"/>
  <sheetViews>
    <sheetView topLeftCell="A31" workbookViewId="0">
      <selection activeCell="G16" sqref="G1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確定取消</v>
      </c>
      <c r="D1" s="7"/>
    </row>
    <row r="2" spans="1:10">
      <c r="B2" s="10" t="s">
        <v>9</v>
      </c>
      <c r="C2" s="9">
        <f>COUNTA(D7:D44)</f>
        <v>19</v>
      </c>
    </row>
    <row r="3" spans="1:10">
      <c r="B3" s="10" t="s">
        <v>176</v>
      </c>
      <c r="C3" s="9">
        <f>COUNTA(F7:F48)</f>
        <v>19</v>
      </c>
    </row>
    <row r="4" spans="1:10">
      <c r="B4" s="10" t="s">
        <v>11</v>
      </c>
      <c r="C4" s="9">
        <f>COUNTA(G7:G44)</f>
        <v>16</v>
      </c>
    </row>
    <row r="5" spans="1:10">
      <c r="B5" s="8"/>
      <c r="C5" s="7"/>
    </row>
    <row r="6" spans="1:10" s="6" customFormat="1">
      <c r="A6" s="17" t="s">
        <v>4</v>
      </c>
      <c r="B6" s="17" t="s">
        <v>6</v>
      </c>
      <c r="C6" s="17" t="s">
        <v>7</v>
      </c>
      <c r="D6" s="17" t="s">
        <v>3</v>
      </c>
      <c r="E6" s="17" t="s">
        <v>2</v>
      </c>
      <c r="F6" s="17" t="s">
        <v>1</v>
      </c>
      <c r="G6" s="17" t="s">
        <v>0</v>
      </c>
      <c r="H6" s="21" t="s">
        <v>8</v>
      </c>
      <c r="I6" s="21"/>
      <c r="J6" s="21"/>
    </row>
    <row r="7" spans="1:10" s="1" customFormat="1" ht="36">
      <c r="A7" s="2">
        <f>ROW()-5</f>
        <v>2</v>
      </c>
      <c r="B7" s="5" t="s">
        <v>106</v>
      </c>
      <c r="C7" s="5" t="s">
        <v>13</v>
      </c>
      <c r="D7" s="5"/>
      <c r="E7" s="4"/>
      <c r="F7" s="3"/>
      <c r="G7" s="3"/>
      <c r="H7" s="2"/>
      <c r="I7" s="4"/>
      <c r="J7" s="4"/>
    </row>
    <row r="8" spans="1:10" s="1" customFormat="1">
      <c r="A8" s="2">
        <f t="shared" ref="A8:A44"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103</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77</v>
      </c>
      <c r="D14" s="5" t="s">
        <v>101</v>
      </c>
      <c r="E14" s="4" t="s">
        <v>178</v>
      </c>
      <c r="F14" s="3">
        <v>43788</v>
      </c>
      <c r="G14" s="3">
        <v>43788</v>
      </c>
      <c r="H14" s="2"/>
      <c r="I14" s="4"/>
      <c r="J14" s="4"/>
    </row>
    <row r="15" spans="1:10" s="1" customFormat="1" ht="36">
      <c r="A15" s="2">
        <f t="shared" si="0"/>
        <v>10</v>
      </c>
      <c r="B15" s="5"/>
      <c r="C15" s="5"/>
      <c r="D15" s="5" t="s">
        <v>43</v>
      </c>
      <c r="E15" s="4" t="s">
        <v>178</v>
      </c>
      <c r="F15" s="3">
        <v>43788</v>
      </c>
      <c r="G15" s="3">
        <v>43788</v>
      </c>
      <c r="H15" s="2"/>
      <c r="I15" s="4"/>
      <c r="J15" s="4"/>
    </row>
    <row r="16" spans="1:10" s="1" customFormat="1">
      <c r="A16" s="2">
        <f t="shared" si="0"/>
        <v>11</v>
      </c>
      <c r="B16" s="5"/>
      <c r="C16" s="5"/>
      <c r="D16" s="5" t="s">
        <v>33</v>
      </c>
      <c r="E16" s="4" t="s">
        <v>178</v>
      </c>
      <c r="F16" s="3">
        <v>43788</v>
      </c>
      <c r="G16" s="3"/>
      <c r="H16" s="2">
        <v>379</v>
      </c>
      <c r="I16" s="4"/>
      <c r="J16" s="4"/>
    </row>
    <row r="17" spans="1:10" s="1" customFormat="1" ht="36">
      <c r="A17" s="2">
        <f t="shared" si="0"/>
        <v>12</v>
      </c>
      <c r="B17" s="5" t="s">
        <v>48</v>
      </c>
      <c r="C17" s="5" t="s">
        <v>13</v>
      </c>
      <c r="D17" s="5"/>
      <c r="E17" s="4"/>
      <c r="F17" s="3"/>
      <c r="G17" s="3"/>
      <c r="H17" s="2"/>
      <c r="I17" s="4"/>
      <c r="J17" s="4"/>
    </row>
    <row r="18" spans="1:10" s="1" customFormat="1">
      <c r="A18" s="2">
        <f t="shared" si="0"/>
        <v>13</v>
      </c>
      <c r="B18" s="5"/>
      <c r="C18" s="5" t="s">
        <v>12</v>
      </c>
      <c r="D18" s="5"/>
      <c r="E18" s="4"/>
      <c r="F18" s="3"/>
      <c r="G18" s="3"/>
      <c r="H18" s="2"/>
      <c r="I18" s="4"/>
      <c r="J18" s="4"/>
    </row>
    <row r="19" spans="1:10" s="1" customFormat="1" ht="72">
      <c r="A19" s="2">
        <f t="shared" si="0"/>
        <v>14</v>
      </c>
      <c r="B19" s="5"/>
      <c r="C19" s="5" t="s">
        <v>14</v>
      </c>
      <c r="D19" s="5"/>
      <c r="E19" s="4"/>
      <c r="F19" s="3"/>
      <c r="G19" s="3"/>
      <c r="H19" s="2"/>
      <c r="I19" s="4"/>
      <c r="J19" s="4"/>
    </row>
    <row r="20" spans="1:10" s="1" customFormat="1" ht="36">
      <c r="A20" s="2">
        <f t="shared" si="0"/>
        <v>15</v>
      </c>
      <c r="B20" s="5"/>
      <c r="C20" s="5" t="s">
        <v>45</v>
      </c>
      <c r="D20" s="5"/>
      <c r="E20" s="4"/>
      <c r="F20" s="3"/>
      <c r="G20" s="3"/>
      <c r="H20" s="2"/>
      <c r="I20" s="4"/>
      <c r="J20" s="4"/>
    </row>
    <row r="21" spans="1:10" s="1" customFormat="1" ht="36">
      <c r="A21" s="2">
        <f t="shared" si="0"/>
        <v>16</v>
      </c>
      <c r="B21" s="5"/>
      <c r="C21" s="5" t="s">
        <v>25</v>
      </c>
      <c r="D21" s="5"/>
      <c r="E21" s="4"/>
      <c r="F21" s="3"/>
      <c r="G21" s="3"/>
      <c r="H21" s="2"/>
      <c r="I21" s="4"/>
      <c r="J21" s="4"/>
    </row>
    <row r="22" spans="1:10" s="1" customFormat="1">
      <c r="A22" s="2">
        <f t="shared" si="0"/>
        <v>17</v>
      </c>
      <c r="B22" s="5"/>
      <c r="C22" s="5" t="s">
        <v>26</v>
      </c>
      <c r="D22" s="5"/>
      <c r="E22" s="4"/>
      <c r="F22" s="3"/>
      <c r="G22" s="3"/>
      <c r="H22" s="2"/>
      <c r="I22" s="4"/>
      <c r="J22" s="4"/>
    </row>
    <row r="23" spans="1:10" s="1" customFormat="1">
      <c r="A23" s="2">
        <f t="shared" si="0"/>
        <v>18</v>
      </c>
      <c r="B23" s="5"/>
      <c r="C23" s="5" t="s">
        <v>46</v>
      </c>
      <c r="D23" s="5"/>
      <c r="E23" s="4"/>
      <c r="F23" s="3"/>
      <c r="G23" s="3"/>
      <c r="H23" s="2"/>
      <c r="I23" s="4"/>
      <c r="J23" s="4"/>
    </row>
    <row r="24" spans="1:10" s="1" customFormat="1" ht="36">
      <c r="A24" s="2">
        <f t="shared" si="0"/>
        <v>19</v>
      </c>
      <c r="B24" s="5"/>
      <c r="C24" s="5" t="s">
        <v>47</v>
      </c>
      <c r="D24" s="5"/>
      <c r="E24" s="4"/>
      <c r="F24" s="3"/>
      <c r="G24" s="3"/>
      <c r="H24" s="2"/>
      <c r="I24" s="4"/>
      <c r="J24" s="4"/>
    </row>
    <row r="25" spans="1:10" s="1" customFormat="1" ht="36">
      <c r="A25" s="2">
        <f t="shared" si="0"/>
        <v>20</v>
      </c>
      <c r="B25" s="5"/>
      <c r="C25" s="13" t="s">
        <v>79</v>
      </c>
      <c r="D25" s="5"/>
      <c r="E25" s="4"/>
      <c r="F25" s="3"/>
      <c r="G25" s="3"/>
      <c r="H25" s="2"/>
      <c r="I25" s="4"/>
      <c r="J25" s="4"/>
    </row>
    <row r="26" spans="1:10" s="1" customFormat="1">
      <c r="A26" s="2">
        <f t="shared" si="0"/>
        <v>21</v>
      </c>
      <c r="B26" s="5"/>
      <c r="C26" s="5" t="s">
        <v>78</v>
      </c>
      <c r="D26" s="5" t="s">
        <v>109</v>
      </c>
      <c r="E26" s="4" t="s">
        <v>178</v>
      </c>
      <c r="F26" s="3">
        <v>43788</v>
      </c>
      <c r="G26" s="3">
        <v>43788</v>
      </c>
      <c r="H26" s="2"/>
      <c r="I26" s="4"/>
      <c r="J26" s="4"/>
    </row>
    <row r="27" spans="1:10" s="1" customFormat="1" ht="54">
      <c r="A27" s="2">
        <f t="shared" si="0"/>
        <v>22</v>
      </c>
      <c r="B27" s="5"/>
      <c r="C27" s="13"/>
      <c r="D27" s="5" t="s">
        <v>110</v>
      </c>
      <c r="E27" s="4" t="s">
        <v>178</v>
      </c>
      <c r="F27" s="3">
        <v>43788</v>
      </c>
      <c r="G27" s="3">
        <v>43788</v>
      </c>
      <c r="H27" s="2"/>
      <c r="I27" s="4"/>
      <c r="J27" s="4"/>
    </row>
    <row r="28" spans="1:10" s="1" customFormat="1">
      <c r="A28" s="2">
        <f t="shared" si="0"/>
        <v>23</v>
      </c>
      <c r="B28" s="5"/>
      <c r="C28" s="5"/>
      <c r="D28" s="5" t="s">
        <v>33</v>
      </c>
      <c r="E28" s="4" t="s">
        <v>178</v>
      </c>
      <c r="F28" s="3">
        <v>43788</v>
      </c>
      <c r="G28" s="3"/>
      <c r="H28" s="2">
        <v>379</v>
      </c>
      <c r="I28" s="4"/>
      <c r="J28" s="4"/>
    </row>
    <row r="29" spans="1:10" s="1" customFormat="1">
      <c r="A29" s="2">
        <f t="shared" si="0"/>
        <v>24</v>
      </c>
      <c r="B29" s="5" t="s">
        <v>80</v>
      </c>
      <c r="C29" s="13" t="s">
        <v>16</v>
      </c>
      <c r="D29" s="5" t="s">
        <v>111</v>
      </c>
      <c r="E29" s="4" t="s">
        <v>178</v>
      </c>
      <c r="F29" s="3">
        <v>43788</v>
      </c>
      <c r="G29" s="3">
        <v>43788</v>
      </c>
      <c r="H29" s="20"/>
      <c r="I29" s="4"/>
      <c r="J29" s="4"/>
    </row>
    <row r="30" spans="1:10" s="1" customFormat="1">
      <c r="A30" s="2">
        <f t="shared" si="0"/>
        <v>25</v>
      </c>
      <c r="B30" s="5"/>
      <c r="C30" s="13"/>
      <c r="D30" s="5" t="s">
        <v>112</v>
      </c>
      <c r="E30" s="4" t="s">
        <v>178</v>
      </c>
      <c r="F30" s="3">
        <v>43788</v>
      </c>
      <c r="G30" s="3">
        <v>43788</v>
      </c>
      <c r="H30" s="2"/>
      <c r="I30" s="4"/>
      <c r="J30" s="4"/>
    </row>
    <row r="31" spans="1:10" s="1" customFormat="1" ht="36">
      <c r="A31" s="2">
        <f t="shared" si="0"/>
        <v>26</v>
      </c>
      <c r="B31" s="5" t="s">
        <v>81</v>
      </c>
      <c r="C31" s="5" t="s">
        <v>113</v>
      </c>
      <c r="D31" s="5"/>
      <c r="E31" s="4"/>
      <c r="F31" s="3"/>
      <c r="G31" s="3"/>
      <c r="H31" s="2"/>
      <c r="I31" s="4"/>
      <c r="J31" s="4"/>
    </row>
    <row r="32" spans="1:10" s="1" customFormat="1" ht="36">
      <c r="A32" s="2">
        <f t="shared" si="0"/>
        <v>27</v>
      </c>
      <c r="B32" s="5"/>
      <c r="C32" s="13" t="s">
        <v>82</v>
      </c>
      <c r="D32" s="5" t="s">
        <v>114</v>
      </c>
      <c r="E32" s="4" t="s">
        <v>178</v>
      </c>
      <c r="F32" s="3">
        <v>43788</v>
      </c>
      <c r="G32" s="3">
        <v>43788</v>
      </c>
      <c r="H32" s="2"/>
      <c r="I32" s="4"/>
      <c r="J32" s="4"/>
    </row>
    <row r="33" spans="1:10" s="1" customFormat="1">
      <c r="A33" s="2">
        <f t="shared" si="0"/>
        <v>28</v>
      </c>
      <c r="B33" s="5"/>
      <c r="C33" s="13"/>
      <c r="D33" s="5" t="s">
        <v>115</v>
      </c>
      <c r="E33" s="4" t="s">
        <v>178</v>
      </c>
      <c r="F33" s="3">
        <v>43788</v>
      </c>
      <c r="G33" s="3">
        <v>43788</v>
      </c>
      <c r="H33" s="2"/>
      <c r="I33" s="4"/>
      <c r="J33" s="4"/>
    </row>
    <row r="34" spans="1:10" s="1" customFormat="1" ht="36">
      <c r="A34" s="2">
        <f t="shared" si="0"/>
        <v>29</v>
      </c>
      <c r="B34" s="5"/>
      <c r="C34" s="13"/>
      <c r="D34" s="5" t="s">
        <v>116</v>
      </c>
      <c r="E34" s="4" t="s">
        <v>178</v>
      </c>
      <c r="F34" s="3">
        <v>43788</v>
      </c>
      <c r="G34" s="3">
        <v>43788</v>
      </c>
      <c r="H34" s="2"/>
      <c r="I34" s="4"/>
      <c r="J34" s="4"/>
    </row>
    <row r="35" spans="1:10" s="1" customFormat="1" ht="36">
      <c r="A35" s="2">
        <f t="shared" si="0"/>
        <v>30</v>
      </c>
      <c r="B35" s="5"/>
      <c r="C35" s="13"/>
      <c r="D35" s="5" t="s">
        <v>119</v>
      </c>
      <c r="E35" s="4" t="s">
        <v>178</v>
      </c>
      <c r="F35" s="3">
        <v>43788</v>
      </c>
      <c r="G35" s="3">
        <v>43788</v>
      </c>
      <c r="H35" s="2"/>
      <c r="I35" s="4"/>
      <c r="J35" s="4"/>
    </row>
    <row r="36" spans="1:10" s="1" customFormat="1" ht="36">
      <c r="A36" s="2">
        <f t="shared" si="0"/>
        <v>31</v>
      </c>
      <c r="B36" s="5"/>
      <c r="C36" s="13"/>
      <c r="D36" s="5" t="s">
        <v>120</v>
      </c>
      <c r="E36" s="4" t="s">
        <v>178</v>
      </c>
      <c r="F36" s="3">
        <v>43788</v>
      </c>
      <c r="G36" s="3">
        <v>43788</v>
      </c>
      <c r="H36" s="2"/>
      <c r="I36" s="4"/>
      <c r="J36" s="4"/>
    </row>
    <row r="37" spans="1:10" s="1" customFormat="1" ht="36">
      <c r="A37" s="2">
        <f t="shared" si="0"/>
        <v>32</v>
      </c>
      <c r="B37" s="5"/>
      <c r="C37" s="13" t="s">
        <v>121</v>
      </c>
      <c r="D37" s="5" t="s">
        <v>125</v>
      </c>
      <c r="E37" s="4" t="s">
        <v>178</v>
      </c>
      <c r="F37" s="3">
        <v>43788</v>
      </c>
      <c r="G37" s="3">
        <v>43788</v>
      </c>
      <c r="H37" s="2"/>
      <c r="I37" s="4"/>
      <c r="J37" s="4"/>
    </row>
    <row r="38" spans="1:10" s="1" customFormat="1">
      <c r="A38" s="2">
        <f t="shared" si="0"/>
        <v>33</v>
      </c>
      <c r="B38" s="5"/>
      <c r="C38" s="13"/>
      <c r="D38" s="5" t="s">
        <v>122</v>
      </c>
      <c r="E38" s="4" t="s">
        <v>178</v>
      </c>
      <c r="F38" s="3">
        <v>43788</v>
      </c>
      <c r="G38" s="3">
        <v>43788</v>
      </c>
      <c r="H38" s="2"/>
      <c r="I38" s="4"/>
      <c r="J38" s="4"/>
    </row>
    <row r="39" spans="1:10" s="1" customFormat="1">
      <c r="A39" s="2">
        <f t="shared" si="0"/>
        <v>34</v>
      </c>
      <c r="B39" s="5"/>
      <c r="C39" s="13"/>
      <c r="D39" s="5" t="s">
        <v>123</v>
      </c>
      <c r="E39" s="4" t="s">
        <v>178</v>
      </c>
      <c r="F39" s="3">
        <v>43788</v>
      </c>
      <c r="G39" s="3">
        <v>43788</v>
      </c>
      <c r="H39" s="2"/>
      <c r="I39" s="4"/>
      <c r="J39" s="4"/>
    </row>
    <row r="40" spans="1:10" s="1" customFormat="1" ht="36">
      <c r="A40" s="2">
        <f t="shared" si="0"/>
        <v>35</v>
      </c>
      <c r="B40" s="5"/>
      <c r="C40" s="13" t="s">
        <v>124</v>
      </c>
      <c r="D40" s="5" t="s">
        <v>126</v>
      </c>
      <c r="E40" s="4" t="s">
        <v>178</v>
      </c>
      <c r="F40" s="3">
        <v>43788</v>
      </c>
      <c r="G40" s="3"/>
      <c r="H40" s="2">
        <v>377</v>
      </c>
      <c r="I40" s="4"/>
      <c r="J40" s="4"/>
    </row>
    <row r="41" spans="1:10" s="1" customFormat="1">
      <c r="A41" s="2">
        <f t="shared" si="0"/>
        <v>36</v>
      </c>
      <c r="B41" s="5"/>
      <c r="C41" s="13" t="s">
        <v>16</v>
      </c>
      <c r="D41" s="5" t="s">
        <v>117</v>
      </c>
      <c r="E41" s="4" t="s">
        <v>178</v>
      </c>
      <c r="F41" s="3">
        <v>43788</v>
      </c>
      <c r="G41" s="3">
        <v>43788</v>
      </c>
      <c r="H41" s="2"/>
      <c r="I41" s="4"/>
      <c r="J41" s="4"/>
    </row>
    <row r="42" spans="1:10" s="1" customFormat="1">
      <c r="A42" s="2">
        <f t="shared" si="0"/>
        <v>37</v>
      </c>
      <c r="B42" s="5"/>
      <c r="C42" s="13"/>
      <c r="D42" s="5" t="s">
        <v>112</v>
      </c>
      <c r="E42" s="4" t="s">
        <v>178</v>
      </c>
      <c r="F42" s="3">
        <v>43788</v>
      </c>
      <c r="G42" s="3">
        <v>43788</v>
      </c>
      <c r="H42" s="2"/>
      <c r="I42" s="4"/>
      <c r="J42" s="4"/>
    </row>
    <row r="43" spans="1:10" s="1" customFormat="1">
      <c r="A43" s="2">
        <f t="shared" si="0"/>
        <v>38</v>
      </c>
      <c r="B43" s="5"/>
      <c r="C43" s="13"/>
      <c r="D43" s="5"/>
      <c r="E43" s="4"/>
      <c r="F43" s="3"/>
      <c r="G43" s="3"/>
      <c r="H43" s="2"/>
      <c r="I43" s="4"/>
      <c r="J43" s="4"/>
    </row>
    <row r="44" spans="1:10" s="1" customFormat="1">
      <c r="A44" s="2">
        <f t="shared" si="0"/>
        <v>39</v>
      </c>
      <c r="B44" s="5"/>
      <c r="C44" s="13"/>
      <c r="D44" s="5"/>
      <c r="E44" s="4"/>
      <c r="F44" s="3"/>
      <c r="G44" s="3"/>
      <c r="H44" s="2"/>
      <c r="I44" s="4"/>
      <c r="J44" s="4"/>
    </row>
    <row r="46" spans="1:10">
      <c r="B46" t="s">
        <v>10</v>
      </c>
    </row>
  </sheetData>
  <mergeCells count="1">
    <mergeCell ref="H6:J6"/>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46542-54DB-45FD-9FB1-A2C8CA5D2725}">
  <sheetPr codeName="Sheet12"/>
  <dimension ref="A1:J20"/>
  <sheetViews>
    <sheetView topLeftCell="A4" workbookViewId="0">
      <selection activeCell="G14" sqref="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発注書検索</v>
      </c>
      <c r="D1" s="7"/>
    </row>
    <row r="2" spans="1:10">
      <c r="B2" s="10" t="s">
        <v>9</v>
      </c>
      <c r="C2" s="9">
        <f>COUNTA(D7:D18)</f>
        <v>4</v>
      </c>
    </row>
    <row r="3" spans="1:10">
      <c r="B3" s="10" t="s">
        <v>176</v>
      </c>
      <c r="C3" s="9">
        <f>COUNTA(F7:F48)</f>
        <v>4</v>
      </c>
    </row>
    <row r="4" spans="1:10">
      <c r="B4" s="10" t="s">
        <v>11</v>
      </c>
      <c r="C4" s="9">
        <f>COUNTA(G7:G18)</f>
        <v>3</v>
      </c>
    </row>
    <row r="5" spans="1:10">
      <c r="B5" s="8"/>
      <c r="C5" s="7"/>
    </row>
    <row r="6" spans="1:10" s="6" customFormat="1">
      <c r="A6" s="18" t="s">
        <v>4</v>
      </c>
      <c r="B6" s="18" t="s">
        <v>6</v>
      </c>
      <c r="C6" s="18" t="s">
        <v>7</v>
      </c>
      <c r="D6" s="18" t="s">
        <v>3</v>
      </c>
      <c r="E6" s="18" t="s">
        <v>2</v>
      </c>
      <c r="F6" s="18" t="s">
        <v>1</v>
      </c>
      <c r="G6" s="18" t="s">
        <v>0</v>
      </c>
      <c r="H6" s="21" t="s">
        <v>8</v>
      </c>
      <c r="I6" s="21"/>
      <c r="J6" s="21"/>
    </row>
    <row r="7" spans="1:10" s="1" customFormat="1" ht="36">
      <c r="A7" s="2">
        <f>ROW()-5</f>
        <v>2</v>
      </c>
      <c r="B7" s="5" t="s">
        <v>15</v>
      </c>
      <c r="C7" s="5" t="s">
        <v>13</v>
      </c>
      <c r="D7" s="5"/>
      <c r="E7" s="4"/>
      <c r="F7" s="3"/>
      <c r="G7" s="3"/>
      <c r="H7" s="2"/>
      <c r="I7" s="4"/>
      <c r="J7" s="4"/>
    </row>
    <row r="8" spans="1:10" s="1" customFormat="1">
      <c r="A8" s="2">
        <f t="shared" ref="A8:A18"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131</v>
      </c>
      <c r="D10" s="5" t="s">
        <v>132</v>
      </c>
      <c r="E10" s="4" t="s">
        <v>177</v>
      </c>
      <c r="F10" s="3">
        <v>43732</v>
      </c>
      <c r="G10" s="3">
        <v>43732</v>
      </c>
      <c r="H10" s="2"/>
      <c r="I10" s="4"/>
      <c r="J10" s="4"/>
    </row>
    <row r="11" spans="1:10" s="1" customFormat="1">
      <c r="A11" s="2">
        <f t="shared" si="0"/>
        <v>6</v>
      </c>
      <c r="B11" s="5"/>
      <c r="C11" s="5"/>
      <c r="D11" s="5" t="s">
        <v>33</v>
      </c>
      <c r="E11" s="4" t="s">
        <v>178</v>
      </c>
      <c r="F11" s="3">
        <v>43788</v>
      </c>
      <c r="G11" s="3">
        <v>43789</v>
      </c>
      <c r="H11" s="2"/>
      <c r="I11" s="4"/>
      <c r="J11" s="4"/>
    </row>
    <row r="12" spans="1:10" s="1" customFormat="1" ht="36">
      <c r="A12" s="2">
        <f t="shared" si="0"/>
        <v>7</v>
      </c>
      <c r="B12" s="5" t="s">
        <v>133</v>
      </c>
      <c r="C12" s="5" t="s">
        <v>25</v>
      </c>
      <c r="D12" s="5"/>
      <c r="E12" s="4"/>
      <c r="F12" s="3"/>
      <c r="G12" s="3"/>
      <c r="H12" s="2"/>
      <c r="I12" s="4"/>
      <c r="J12" s="4"/>
    </row>
    <row r="13" spans="1:10" s="1" customFormat="1">
      <c r="A13" s="2">
        <f t="shared" si="0"/>
        <v>8</v>
      </c>
      <c r="B13" s="5"/>
      <c r="C13" s="5" t="s">
        <v>134</v>
      </c>
      <c r="D13" s="5" t="s">
        <v>135</v>
      </c>
      <c r="E13" s="4" t="s">
        <v>178</v>
      </c>
      <c r="F13" s="3">
        <v>43788</v>
      </c>
      <c r="G13" s="3"/>
      <c r="H13" s="2">
        <v>380</v>
      </c>
      <c r="I13" s="4"/>
      <c r="J13" s="4"/>
    </row>
    <row r="14" spans="1:10" s="1" customFormat="1">
      <c r="A14" s="2">
        <f t="shared" si="0"/>
        <v>9</v>
      </c>
      <c r="B14" s="5" t="s">
        <v>136</v>
      </c>
      <c r="C14" s="5" t="s">
        <v>26</v>
      </c>
      <c r="D14" s="5"/>
      <c r="E14" s="4"/>
      <c r="F14" s="3"/>
      <c r="G14" s="3"/>
      <c r="H14" s="2"/>
      <c r="I14" s="4"/>
      <c r="J14" s="4"/>
    </row>
    <row r="15" spans="1:10" s="1" customFormat="1" ht="36">
      <c r="A15" s="2">
        <f t="shared" si="0"/>
        <v>10</v>
      </c>
      <c r="B15" s="5"/>
      <c r="C15" s="5" t="s">
        <v>25</v>
      </c>
      <c r="D15" s="5"/>
      <c r="E15" s="4"/>
      <c r="F15" s="3"/>
      <c r="G15" s="3"/>
      <c r="H15" s="2"/>
      <c r="I15" s="4"/>
      <c r="J15" s="4"/>
    </row>
    <row r="16" spans="1:10" s="1" customFormat="1">
      <c r="A16" s="2">
        <f t="shared" si="0"/>
        <v>11</v>
      </c>
      <c r="B16" s="5"/>
      <c r="C16" s="5" t="s">
        <v>22</v>
      </c>
      <c r="D16" s="5" t="s">
        <v>137</v>
      </c>
      <c r="E16" s="4" t="s">
        <v>177</v>
      </c>
      <c r="F16" s="3">
        <v>43732</v>
      </c>
      <c r="G16" s="3">
        <v>43732</v>
      </c>
      <c r="H16" s="2">
        <v>44</v>
      </c>
      <c r="I16" s="4"/>
      <c r="J16" s="4"/>
    </row>
    <row r="17" spans="1:10" s="1" customFormat="1">
      <c r="A17" s="2">
        <f t="shared" si="0"/>
        <v>12</v>
      </c>
      <c r="B17" s="5"/>
      <c r="C17" s="5"/>
      <c r="D17" s="5"/>
      <c r="E17" s="4"/>
      <c r="F17" s="3"/>
      <c r="G17" s="3"/>
      <c r="H17" s="2"/>
      <c r="I17" s="4"/>
      <c r="J17" s="4"/>
    </row>
    <row r="18" spans="1:10" s="1" customFormat="1">
      <c r="A18" s="2">
        <f t="shared" si="0"/>
        <v>13</v>
      </c>
      <c r="B18" s="5"/>
      <c r="C18" s="13"/>
      <c r="D18" s="5"/>
      <c r="E18" s="4"/>
      <c r="F18" s="3"/>
      <c r="G18" s="3"/>
      <c r="H18" s="2"/>
      <c r="I18" s="4"/>
      <c r="J18" s="4"/>
    </row>
    <row r="20" spans="1:10">
      <c r="B20" t="s">
        <v>10</v>
      </c>
    </row>
  </sheetData>
  <mergeCells count="1">
    <mergeCell ref="H6:J6"/>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3E296-9B89-47F9-AA52-E227827E4B63}">
  <sheetPr codeName="Sheet14"/>
  <dimension ref="A1:J29"/>
  <sheetViews>
    <sheetView topLeftCell="A16" workbookViewId="0">
      <selection activeCell="G14" sqref="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発注書一覧</v>
      </c>
      <c r="D1" s="7"/>
    </row>
    <row r="2" spans="1:10">
      <c r="B2" s="10" t="s">
        <v>9</v>
      </c>
      <c r="C2" s="9">
        <f>COUNTA(D7:D27)</f>
        <v>7</v>
      </c>
    </row>
    <row r="3" spans="1:10">
      <c r="B3" s="10" t="s">
        <v>176</v>
      </c>
      <c r="C3" s="9">
        <f>COUNTA(F7:F48)</f>
        <v>7</v>
      </c>
    </row>
    <row r="4" spans="1:10">
      <c r="B4" s="10" t="s">
        <v>11</v>
      </c>
      <c r="C4" s="9">
        <f>COUNTA(G7:G18)</f>
        <v>2</v>
      </c>
    </row>
    <row r="5" spans="1:10">
      <c r="B5" s="8"/>
      <c r="C5" s="7"/>
    </row>
    <row r="6" spans="1:10" s="6" customFormat="1">
      <c r="A6" s="19" t="s">
        <v>4</v>
      </c>
      <c r="B6" s="19" t="s">
        <v>6</v>
      </c>
      <c r="C6" s="19" t="s">
        <v>7</v>
      </c>
      <c r="D6" s="19" t="s">
        <v>3</v>
      </c>
      <c r="E6" s="19" t="s">
        <v>2</v>
      </c>
      <c r="F6" s="19" t="s">
        <v>1</v>
      </c>
      <c r="G6" s="19" t="s">
        <v>0</v>
      </c>
      <c r="H6" s="21" t="s">
        <v>8</v>
      </c>
      <c r="I6" s="21"/>
      <c r="J6" s="21"/>
    </row>
    <row r="7" spans="1:10" s="1" customFormat="1" ht="36">
      <c r="A7" s="2">
        <f>ROW()-5</f>
        <v>2</v>
      </c>
      <c r="B7" s="5" t="s">
        <v>15</v>
      </c>
      <c r="C7" s="5" t="s">
        <v>13</v>
      </c>
      <c r="D7" s="5"/>
      <c r="E7" s="4"/>
      <c r="F7" s="3"/>
      <c r="G7" s="3"/>
      <c r="H7" s="2"/>
      <c r="I7" s="4"/>
      <c r="J7" s="4"/>
    </row>
    <row r="8" spans="1:10" s="1" customFormat="1">
      <c r="A8" s="2">
        <f t="shared" ref="A8:A27"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131</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ht="36">
      <c r="A12" s="2">
        <f t="shared" si="0"/>
        <v>7</v>
      </c>
      <c r="B12" s="5"/>
      <c r="C12" s="5" t="s">
        <v>25</v>
      </c>
      <c r="D12" s="5"/>
      <c r="E12" s="4"/>
      <c r="F12" s="3"/>
      <c r="G12" s="3"/>
      <c r="H12" s="2"/>
      <c r="I12" s="4"/>
      <c r="J12" s="4"/>
    </row>
    <row r="13" spans="1:10" s="1" customFormat="1">
      <c r="A13" s="2">
        <f t="shared" si="0"/>
        <v>8</v>
      </c>
      <c r="B13" s="5"/>
      <c r="C13" s="5" t="s">
        <v>22</v>
      </c>
      <c r="D13" s="5" t="s">
        <v>137</v>
      </c>
      <c r="E13" s="4" t="s">
        <v>177</v>
      </c>
      <c r="F13" s="3">
        <v>43732</v>
      </c>
      <c r="G13" s="3">
        <v>43732</v>
      </c>
      <c r="H13" s="2"/>
      <c r="I13" s="4"/>
      <c r="J13" s="4"/>
    </row>
    <row r="14" spans="1:10" s="1" customFormat="1" ht="36">
      <c r="A14" s="2">
        <f t="shared" si="0"/>
        <v>9</v>
      </c>
      <c r="B14" s="5"/>
      <c r="C14" s="5"/>
      <c r="D14" s="5" t="s">
        <v>139</v>
      </c>
      <c r="E14" s="4" t="s">
        <v>178</v>
      </c>
      <c r="F14" s="3">
        <v>43788</v>
      </c>
      <c r="G14" s="3"/>
      <c r="H14" s="2">
        <v>385</v>
      </c>
      <c r="J14" s="4"/>
    </row>
    <row r="15" spans="1:10" s="1" customFormat="1" ht="36">
      <c r="A15" s="2">
        <f t="shared" si="0"/>
        <v>10</v>
      </c>
      <c r="B15" s="5"/>
      <c r="C15" s="5"/>
      <c r="D15" s="5" t="s">
        <v>138</v>
      </c>
      <c r="E15" s="4" t="s">
        <v>177</v>
      </c>
      <c r="F15" s="3">
        <v>43732</v>
      </c>
      <c r="G15" s="3"/>
      <c r="H15" s="2">
        <v>384</v>
      </c>
      <c r="I15" s="4"/>
      <c r="J15" s="4"/>
    </row>
    <row r="16" spans="1:10" s="1" customFormat="1">
      <c r="A16" s="2">
        <f t="shared" si="0"/>
        <v>11</v>
      </c>
      <c r="B16" s="5" t="s">
        <v>27</v>
      </c>
      <c r="C16" s="5" t="s">
        <v>28</v>
      </c>
      <c r="D16" s="5"/>
      <c r="E16" s="4"/>
      <c r="F16" s="3"/>
      <c r="G16" s="3"/>
      <c r="H16" s="2"/>
      <c r="I16" s="4"/>
      <c r="J16" s="4"/>
    </row>
    <row r="17" spans="1:10" s="1" customFormat="1" ht="36">
      <c r="A17" s="2">
        <f t="shared" si="0"/>
        <v>12</v>
      </c>
      <c r="B17" s="5"/>
      <c r="C17" s="5" t="s">
        <v>29</v>
      </c>
      <c r="D17" s="5" t="s">
        <v>140</v>
      </c>
      <c r="E17" s="4" t="s">
        <v>178</v>
      </c>
      <c r="F17" s="3">
        <v>43789</v>
      </c>
      <c r="G17" s="3">
        <v>43789</v>
      </c>
      <c r="H17" s="2"/>
      <c r="I17" s="4"/>
      <c r="J17" s="4"/>
    </row>
    <row r="18" spans="1:10" s="1" customFormat="1">
      <c r="A18" s="2">
        <f t="shared" si="0"/>
        <v>13</v>
      </c>
      <c r="B18" s="5"/>
      <c r="C18" s="13"/>
      <c r="D18" s="5"/>
      <c r="E18" s="4"/>
      <c r="F18" s="3"/>
      <c r="G18" s="3"/>
      <c r="H18" s="2"/>
      <c r="I18" s="4"/>
      <c r="J18" s="4"/>
    </row>
    <row r="19" spans="1:10" s="1" customFormat="1">
      <c r="A19" s="2">
        <f t="shared" si="0"/>
        <v>14</v>
      </c>
      <c r="B19" s="5"/>
      <c r="C19" s="5"/>
      <c r="D19" s="5"/>
      <c r="E19" s="4"/>
      <c r="F19" s="3"/>
      <c r="G19" s="3"/>
      <c r="H19" s="2"/>
      <c r="I19" s="4"/>
      <c r="J19" s="4"/>
    </row>
    <row r="20" spans="1:10" s="1" customFormat="1" ht="36">
      <c r="A20" s="2">
        <f t="shared" si="0"/>
        <v>15</v>
      </c>
      <c r="B20" s="5" t="s">
        <v>142</v>
      </c>
      <c r="C20" s="5" t="s">
        <v>143</v>
      </c>
      <c r="D20" s="5" t="s">
        <v>144</v>
      </c>
      <c r="E20" s="4" t="s">
        <v>178</v>
      </c>
      <c r="F20" s="3">
        <v>43789</v>
      </c>
      <c r="G20" s="3">
        <v>43789</v>
      </c>
      <c r="H20" s="2"/>
      <c r="I20" s="4"/>
      <c r="J20" s="4"/>
    </row>
    <row r="21" spans="1:10" s="1" customFormat="1">
      <c r="A21" s="2">
        <f t="shared" si="0"/>
        <v>16</v>
      </c>
      <c r="B21" s="5"/>
      <c r="C21" s="13" t="s">
        <v>145</v>
      </c>
      <c r="D21" s="5"/>
      <c r="E21" s="4"/>
      <c r="F21" s="3"/>
      <c r="G21" s="3"/>
      <c r="H21" s="2"/>
      <c r="I21" s="4"/>
      <c r="J21" s="4"/>
    </row>
    <row r="22" spans="1:10" s="1" customFormat="1" ht="36">
      <c r="A22" s="2">
        <f t="shared" si="0"/>
        <v>17</v>
      </c>
      <c r="B22" s="5" t="s">
        <v>146</v>
      </c>
      <c r="C22" s="5" t="s">
        <v>147</v>
      </c>
      <c r="D22" s="5" t="s">
        <v>148</v>
      </c>
      <c r="E22" s="4" t="s">
        <v>178</v>
      </c>
      <c r="F22" s="3">
        <v>43789</v>
      </c>
      <c r="G22" s="3"/>
      <c r="H22" s="2" t="s">
        <v>183</v>
      </c>
      <c r="I22" s="4"/>
      <c r="J22" s="4"/>
    </row>
    <row r="23" spans="1:10" s="1" customFormat="1">
      <c r="A23" s="2">
        <f t="shared" si="0"/>
        <v>18</v>
      </c>
      <c r="B23" s="5"/>
      <c r="C23" s="5" t="s">
        <v>147</v>
      </c>
      <c r="D23" s="5" t="s">
        <v>149</v>
      </c>
      <c r="E23" s="4" t="s">
        <v>178</v>
      </c>
      <c r="F23" s="3">
        <v>43789</v>
      </c>
      <c r="G23" s="3">
        <v>43789</v>
      </c>
      <c r="H23" s="2"/>
      <c r="I23" s="4"/>
      <c r="J23" s="4"/>
    </row>
    <row r="24" spans="1:10" s="1" customFormat="1">
      <c r="A24" s="2">
        <f t="shared" si="0"/>
        <v>19</v>
      </c>
      <c r="B24" s="5"/>
      <c r="C24" s="5"/>
      <c r="D24" s="5"/>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5"/>
      <c r="D26" s="5"/>
      <c r="E26" s="4"/>
      <c r="F26" s="3"/>
      <c r="G26" s="3"/>
      <c r="H26" s="2"/>
      <c r="I26" s="4"/>
      <c r="J26" s="4"/>
    </row>
    <row r="27" spans="1:10" s="1" customFormat="1">
      <c r="A27" s="2">
        <f t="shared" si="0"/>
        <v>22</v>
      </c>
      <c r="B27" s="5"/>
      <c r="C27" s="13"/>
      <c r="D27" s="5"/>
      <c r="E27" s="4"/>
      <c r="F27" s="3"/>
      <c r="G27" s="3"/>
      <c r="H27" s="2"/>
      <c r="I27" s="4"/>
      <c r="J27" s="4"/>
    </row>
    <row r="29" spans="1:10">
      <c r="B29" t="s">
        <v>10</v>
      </c>
    </row>
  </sheetData>
  <mergeCells count="1">
    <mergeCell ref="H6:J6"/>
  </mergeCells>
  <phoneticPr fontId="1"/>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2BC2C-DD32-4FCD-895D-69493D6B0344}">
  <sheetPr codeName="Sheet15"/>
  <dimension ref="A1:J38"/>
  <sheetViews>
    <sheetView topLeftCell="A19" workbookViewId="0">
      <selection activeCell="I30" sqref="I3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発注書修正</v>
      </c>
      <c r="D1" s="7"/>
    </row>
    <row r="2" spans="1:10">
      <c r="B2" s="10" t="s">
        <v>9</v>
      </c>
      <c r="C2" s="9">
        <f>COUNTA(D7:D36)</f>
        <v>14</v>
      </c>
    </row>
    <row r="3" spans="1:10">
      <c r="B3" s="10" t="s">
        <v>176</v>
      </c>
      <c r="C3" s="9">
        <f>COUNTA(F7:F48)</f>
        <v>14</v>
      </c>
    </row>
    <row r="4" spans="1:10">
      <c r="B4" s="10" t="s">
        <v>11</v>
      </c>
      <c r="C4" s="9">
        <f>COUNTA(G7:G36)</f>
        <v>9</v>
      </c>
    </row>
    <row r="5" spans="1:10">
      <c r="B5" s="8"/>
      <c r="C5" s="7"/>
    </row>
    <row r="6" spans="1:10" s="6" customFormat="1">
      <c r="A6" s="19" t="s">
        <v>4</v>
      </c>
      <c r="B6" s="19" t="s">
        <v>6</v>
      </c>
      <c r="C6" s="19" t="s">
        <v>7</v>
      </c>
      <c r="D6" s="19" t="s">
        <v>3</v>
      </c>
      <c r="E6" s="19" t="s">
        <v>2</v>
      </c>
      <c r="F6" s="19" t="s">
        <v>1</v>
      </c>
      <c r="G6" s="19" t="s">
        <v>0</v>
      </c>
      <c r="H6" s="21" t="s">
        <v>8</v>
      </c>
      <c r="I6" s="21"/>
      <c r="J6" s="21"/>
    </row>
    <row r="7" spans="1:10" s="1" customFormat="1" ht="36">
      <c r="A7" s="2">
        <f>ROW()-5</f>
        <v>2</v>
      </c>
      <c r="B7" s="5" t="s">
        <v>15</v>
      </c>
      <c r="C7" s="5" t="s">
        <v>13</v>
      </c>
      <c r="D7" s="5"/>
      <c r="E7" s="4"/>
      <c r="F7" s="3"/>
      <c r="G7" s="3"/>
      <c r="H7" s="2"/>
      <c r="I7" s="4"/>
      <c r="J7" s="4"/>
    </row>
    <row r="8" spans="1:10" s="1" customFormat="1">
      <c r="A8" s="2">
        <f t="shared" ref="A8:A3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131</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ht="36">
      <c r="A12" s="2">
        <f t="shared" si="0"/>
        <v>7</v>
      </c>
      <c r="B12" s="5"/>
      <c r="C12" s="5" t="s">
        <v>25</v>
      </c>
      <c r="D12" s="5"/>
      <c r="E12" s="4"/>
      <c r="F12" s="3"/>
      <c r="G12" s="3"/>
      <c r="H12" s="2"/>
      <c r="I12" s="4"/>
      <c r="J12" s="4"/>
    </row>
    <row r="13" spans="1:10" s="1" customFormat="1">
      <c r="A13" s="2">
        <f t="shared" si="0"/>
        <v>8</v>
      </c>
      <c r="B13" s="5"/>
      <c r="C13" s="5" t="s">
        <v>22</v>
      </c>
      <c r="D13" s="5" t="s">
        <v>137</v>
      </c>
      <c r="E13" s="4" t="s">
        <v>178</v>
      </c>
      <c r="F13" s="3">
        <v>43789</v>
      </c>
      <c r="G13" s="3">
        <v>43789</v>
      </c>
      <c r="H13" s="2"/>
      <c r="I13" s="4"/>
      <c r="J13" s="4"/>
    </row>
    <row r="14" spans="1:10" s="1" customFormat="1" ht="36">
      <c r="A14" s="2">
        <f t="shared" si="0"/>
        <v>9</v>
      </c>
      <c r="B14" s="5"/>
      <c r="C14" s="5" t="s">
        <v>143</v>
      </c>
      <c r="D14" s="5" t="s">
        <v>144</v>
      </c>
      <c r="E14" s="4" t="s">
        <v>178</v>
      </c>
      <c r="F14" s="3">
        <v>43789</v>
      </c>
      <c r="G14" s="3">
        <v>43789</v>
      </c>
      <c r="H14" s="2"/>
      <c r="I14" s="4"/>
      <c r="J14" s="4"/>
    </row>
    <row r="15" spans="1:10" s="1" customFormat="1" ht="36">
      <c r="A15" s="2">
        <f t="shared" si="0"/>
        <v>10</v>
      </c>
      <c r="B15" s="5"/>
      <c r="C15" s="13"/>
      <c r="D15" s="5" t="s">
        <v>150</v>
      </c>
      <c r="E15" s="4" t="s">
        <v>178</v>
      </c>
      <c r="F15" s="3">
        <v>43789</v>
      </c>
      <c r="G15" s="3">
        <v>43789</v>
      </c>
      <c r="H15" s="2"/>
      <c r="I15" s="4"/>
      <c r="J15" s="4"/>
    </row>
    <row r="16" spans="1:10" s="1" customFormat="1" ht="36">
      <c r="A16" s="2">
        <f t="shared" si="0"/>
        <v>11</v>
      </c>
      <c r="B16" s="5"/>
      <c r="C16" s="5"/>
      <c r="D16" s="5" t="s">
        <v>155</v>
      </c>
      <c r="E16" s="4" t="s">
        <v>178</v>
      </c>
      <c r="F16" s="3">
        <v>43789</v>
      </c>
      <c r="G16" s="3">
        <v>43789</v>
      </c>
      <c r="H16" s="2"/>
      <c r="I16" s="4"/>
      <c r="J16" s="4"/>
    </row>
    <row r="17" spans="1:10" s="1" customFormat="1">
      <c r="A17" s="2">
        <f t="shared" si="0"/>
        <v>12</v>
      </c>
      <c r="B17" s="5" t="s">
        <v>151</v>
      </c>
      <c r="C17" s="5" t="s">
        <v>152</v>
      </c>
      <c r="D17" s="5"/>
      <c r="E17" s="4"/>
      <c r="F17" s="3"/>
      <c r="G17" s="3"/>
      <c r="H17" s="2"/>
      <c r="I17" s="4"/>
      <c r="J17" s="4"/>
    </row>
    <row r="18" spans="1:10" s="1" customFormat="1" ht="36">
      <c r="A18" s="2">
        <f t="shared" si="0"/>
        <v>13</v>
      </c>
      <c r="B18" s="5"/>
      <c r="C18" s="5" t="s">
        <v>153</v>
      </c>
      <c r="D18" s="5" t="s">
        <v>154</v>
      </c>
      <c r="E18" s="4" t="s">
        <v>178</v>
      </c>
      <c r="F18" s="3">
        <v>43789</v>
      </c>
      <c r="G18" s="3"/>
      <c r="H18" s="2">
        <v>389</v>
      </c>
      <c r="I18" s="4"/>
      <c r="J18" s="4"/>
    </row>
    <row r="19" spans="1:10" s="1" customFormat="1">
      <c r="A19" s="2">
        <f t="shared" si="0"/>
        <v>14</v>
      </c>
      <c r="B19" s="5" t="s">
        <v>156</v>
      </c>
      <c r="C19" s="5" t="s">
        <v>152</v>
      </c>
      <c r="D19" s="5"/>
      <c r="E19" s="4"/>
      <c r="F19" s="3"/>
      <c r="G19" s="3"/>
      <c r="H19" s="2"/>
      <c r="I19" s="4"/>
      <c r="J19" s="4"/>
    </row>
    <row r="20" spans="1:10" s="1" customFormat="1">
      <c r="A20" s="2">
        <f t="shared" si="0"/>
        <v>15</v>
      </c>
      <c r="B20" s="5"/>
      <c r="C20" s="5" t="s">
        <v>157</v>
      </c>
      <c r="D20" s="5" t="s">
        <v>158</v>
      </c>
      <c r="E20" s="4" t="s">
        <v>178</v>
      </c>
      <c r="F20" s="3">
        <v>43789</v>
      </c>
      <c r="G20" s="3"/>
      <c r="H20" s="2">
        <v>389</v>
      </c>
      <c r="I20" s="4"/>
      <c r="J20" s="4"/>
    </row>
    <row r="21" spans="1:10" s="1" customFormat="1">
      <c r="A21" s="2">
        <f t="shared" si="0"/>
        <v>16</v>
      </c>
      <c r="B21" s="5" t="s">
        <v>159</v>
      </c>
      <c r="C21" s="5" t="s">
        <v>152</v>
      </c>
      <c r="D21" s="5"/>
      <c r="E21" s="4"/>
      <c r="F21" s="3"/>
      <c r="G21" s="3"/>
      <c r="H21" s="2"/>
      <c r="I21" s="4"/>
      <c r="J21" s="4"/>
    </row>
    <row r="22" spans="1:10" s="1" customFormat="1">
      <c r="A22" s="2">
        <f t="shared" si="0"/>
        <v>17</v>
      </c>
      <c r="B22" s="5"/>
      <c r="C22" s="5" t="s">
        <v>160</v>
      </c>
      <c r="D22" s="5" t="s">
        <v>161</v>
      </c>
      <c r="E22" s="4" t="s">
        <v>178</v>
      </c>
      <c r="F22" s="3">
        <v>43789</v>
      </c>
      <c r="G22" s="3"/>
      <c r="H22" s="2">
        <v>389</v>
      </c>
      <c r="I22" s="4"/>
      <c r="J22" s="4"/>
    </row>
    <row r="23" spans="1:10" s="1" customFormat="1">
      <c r="A23" s="2">
        <f t="shared" si="0"/>
        <v>18</v>
      </c>
      <c r="B23" s="5" t="s">
        <v>162</v>
      </c>
      <c r="C23" s="5" t="s">
        <v>152</v>
      </c>
      <c r="D23" s="5"/>
      <c r="E23" s="4"/>
      <c r="F23" s="3"/>
      <c r="G23" s="3"/>
      <c r="H23" s="2"/>
      <c r="I23" s="4"/>
      <c r="J23" s="4"/>
    </row>
    <row r="24" spans="1:10" s="1" customFormat="1" ht="36">
      <c r="A24" s="2">
        <f t="shared" si="0"/>
        <v>19</v>
      </c>
      <c r="B24" s="5"/>
      <c r="C24" s="5" t="s">
        <v>163</v>
      </c>
      <c r="D24" s="5" t="s">
        <v>164</v>
      </c>
      <c r="E24" s="4" t="s">
        <v>178</v>
      </c>
      <c r="F24" s="3">
        <v>43789</v>
      </c>
      <c r="G24" s="3"/>
      <c r="H24" s="2">
        <v>389</v>
      </c>
      <c r="I24" s="4"/>
      <c r="J24" s="4"/>
    </row>
    <row r="25" spans="1:10" s="1" customFormat="1" ht="36">
      <c r="A25" s="2">
        <f t="shared" si="0"/>
        <v>20</v>
      </c>
      <c r="B25" s="5" t="s">
        <v>141</v>
      </c>
      <c r="C25" s="5" t="s">
        <v>165</v>
      </c>
      <c r="D25" s="5"/>
      <c r="E25" s="4"/>
      <c r="F25" s="3"/>
      <c r="G25" s="3"/>
      <c r="H25" s="2"/>
      <c r="I25" s="4"/>
      <c r="J25" s="4"/>
    </row>
    <row r="26" spans="1:10" s="1" customFormat="1">
      <c r="A26" s="2">
        <f t="shared" si="0"/>
        <v>21</v>
      </c>
      <c r="B26" s="5"/>
      <c r="C26" s="5" t="s">
        <v>184</v>
      </c>
      <c r="D26" s="5" t="s">
        <v>166</v>
      </c>
      <c r="E26" s="4" t="s">
        <v>178</v>
      </c>
      <c r="F26" s="3">
        <v>43789</v>
      </c>
      <c r="G26" s="3">
        <v>43789</v>
      </c>
      <c r="H26" s="2"/>
      <c r="I26" s="4"/>
      <c r="J26" s="4"/>
    </row>
    <row r="27" spans="1:10" s="1" customFormat="1" ht="36">
      <c r="A27" s="2">
        <f t="shared" si="0"/>
        <v>22</v>
      </c>
      <c r="B27" s="5"/>
      <c r="C27" s="5"/>
      <c r="D27" s="5" t="s">
        <v>167</v>
      </c>
      <c r="E27" s="4" t="s">
        <v>178</v>
      </c>
      <c r="F27" s="3">
        <v>43789</v>
      </c>
      <c r="G27" s="3"/>
      <c r="H27" s="2">
        <v>393</v>
      </c>
      <c r="I27" s="4"/>
      <c r="J27" s="4"/>
    </row>
    <row r="28" spans="1:10" s="1" customFormat="1">
      <c r="A28" s="2">
        <f t="shared" si="0"/>
        <v>23</v>
      </c>
      <c r="B28" s="5"/>
      <c r="C28" s="5" t="s">
        <v>168</v>
      </c>
      <c r="D28" s="5"/>
      <c r="E28" s="4"/>
      <c r="F28" s="3"/>
      <c r="G28" s="3"/>
      <c r="H28" s="2"/>
      <c r="I28" s="4"/>
      <c r="J28" s="4"/>
    </row>
    <row r="29" spans="1:10" s="1" customFormat="1">
      <c r="A29" s="2">
        <f t="shared" si="0"/>
        <v>24</v>
      </c>
      <c r="B29" s="5" t="s">
        <v>172</v>
      </c>
      <c r="C29" s="5" t="s">
        <v>173</v>
      </c>
      <c r="D29" s="5" t="s">
        <v>174</v>
      </c>
      <c r="E29" s="4" t="s">
        <v>178</v>
      </c>
      <c r="F29" s="3">
        <v>43789</v>
      </c>
      <c r="G29" s="3">
        <v>43789</v>
      </c>
      <c r="H29" s="2"/>
      <c r="I29" s="4"/>
      <c r="J29" s="4"/>
    </row>
    <row r="30" spans="1:10" s="1" customFormat="1">
      <c r="A30" s="2">
        <f t="shared" si="0"/>
        <v>25</v>
      </c>
      <c r="B30" s="5"/>
      <c r="C30" s="13"/>
      <c r="D30" s="5" t="s">
        <v>76</v>
      </c>
      <c r="E30" s="4" t="s">
        <v>178</v>
      </c>
      <c r="F30" s="3">
        <v>43789</v>
      </c>
      <c r="G30" s="3">
        <v>43789</v>
      </c>
      <c r="H30" s="2"/>
      <c r="I30" s="4"/>
      <c r="J30" s="4"/>
    </row>
    <row r="31" spans="1:10" s="1" customFormat="1" ht="54">
      <c r="A31" s="2">
        <f t="shared" si="0"/>
        <v>26</v>
      </c>
      <c r="B31" s="5"/>
      <c r="C31" s="13" t="s">
        <v>127</v>
      </c>
      <c r="D31" s="5" t="s">
        <v>175</v>
      </c>
      <c r="E31" s="4" t="s">
        <v>178</v>
      </c>
      <c r="F31" s="3">
        <v>43789</v>
      </c>
      <c r="G31" s="3">
        <v>43795</v>
      </c>
      <c r="H31" s="2"/>
      <c r="I31" s="4"/>
      <c r="J31" s="4"/>
    </row>
    <row r="32" spans="1:10" s="1" customFormat="1">
      <c r="A32" s="2">
        <f t="shared" si="0"/>
        <v>27</v>
      </c>
      <c r="B32" s="5"/>
      <c r="C32" s="13" t="s">
        <v>169</v>
      </c>
      <c r="D32" s="5" t="s">
        <v>171</v>
      </c>
      <c r="E32" s="4" t="s">
        <v>178</v>
      </c>
      <c r="F32" s="3">
        <v>43789</v>
      </c>
      <c r="G32" s="3">
        <v>43789</v>
      </c>
      <c r="H32" s="2"/>
      <c r="I32" s="4"/>
      <c r="J32" s="4"/>
    </row>
    <row r="33" spans="1:10" s="1" customFormat="1">
      <c r="A33" s="2">
        <f t="shared" si="0"/>
        <v>28</v>
      </c>
      <c r="B33" s="5"/>
      <c r="C33" s="5"/>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13"/>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16</vt:i4>
      </vt:variant>
    </vt:vector>
  </HeadingPairs>
  <TitlesOfParts>
    <vt:vector size="25" baseType="lpstr">
      <vt:lpstr>表紙</vt:lpstr>
      <vt:lpstr>発注検索</vt:lpstr>
      <vt:lpstr>発注一覧</vt:lpstr>
      <vt:lpstr>発注詳細</vt:lpstr>
      <vt:lpstr>発注確定</vt:lpstr>
      <vt:lpstr>確定取消</vt:lpstr>
      <vt:lpstr>発注書検索</vt:lpstr>
      <vt:lpstr>発注書一覧</vt:lpstr>
      <vt:lpstr>発注書修正</vt:lpstr>
      <vt:lpstr>確定取消!comp_count</vt:lpstr>
      <vt:lpstr>発注一覧!comp_count</vt:lpstr>
      <vt:lpstr>発注確定!comp_count</vt:lpstr>
      <vt:lpstr>発注検索!comp_count</vt:lpstr>
      <vt:lpstr>発注書一覧!comp_count</vt:lpstr>
      <vt:lpstr>発注書検索!comp_count</vt:lpstr>
      <vt:lpstr>発注書修正!comp_count</vt:lpstr>
      <vt:lpstr>発注詳細!comp_count</vt:lpstr>
      <vt:lpstr>確定取消!item_count</vt:lpstr>
      <vt:lpstr>発注一覧!item_count</vt:lpstr>
      <vt:lpstr>発注確定!item_count</vt:lpstr>
      <vt:lpstr>発注検索!item_count</vt:lpstr>
      <vt:lpstr>発注書一覧!item_count</vt:lpstr>
      <vt:lpstr>発注書検索!item_count</vt:lpstr>
      <vt:lpstr>発注書修正!item_count</vt:lpstr>
      <vt:lpstr>発注詳細!item_count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2019-11-26T07:10:43Z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