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B421A0B0-A0F0-425C-92E3-6B03A04F60CD}" xr6:coauthVersionLast="40" xr6:coauthVersionMax="40" xr10:uidLastSave="{00000000-0000-0000-0000-000000000000}"/>
  <bookViews>
    <workbookView xWindow="0" yWindow="0" windowWidth="23040" windowHeight="8736" activeTab="2" xr2:uid="{7855FBD0-5EC9-4DBA-9A4B-0C57305BA533}"/>
  </bookViews>
  <sheets>
    <sheet name="表紙" sheetId="5" r:id="rId1"/>
    <sheet name="ログイン画面" sheetId="1" r:id="rId2"/>
    <sheet name="パスワードリマインダー" sheetId="2" r:id="rId3"/>
    <sheet name="ログアウト画面" sheetId="3" r:id="rId4"/>
  </sheets>
  <definedNames>
    <definedName name="comp_count" localSheetId="2">パスワードリマインダー!$C$4</definedName>
    <definedName name="comp_count" localSheetId="3">ログアウト画面!$C$4</definedName>
    <definedName name="comp_count" localSheetId="1">ログイン画面!$C$4</definedName>
    <definedName name="item_count" localSheetId="2">パスワードリマインダー!$C$2</definedName>
    <definedName name="item_count" localSheetId="3">ログアウト画面!$C$2</definedName>
    <definedName name="item_count" localSheetId="1">ログイン画面!$C$2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3" i="2"/>
  <c r="C3" i="1"/>
  <c r="A21" i="3" l="1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C4" i="3"/>
  <c r="C2" i="3"/>
  <c r="C1" i="3"/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C4" i="2"/>
  <c r="C2" i="2"/>
  <c r="C1" i="2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C4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C2852C25-A25A-4B68-A555-2FA76B2D4A4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71A4B2B7-9972-4AD8-9CB4-7793D4AE3842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3B924563-2D6A-4B0A-B600-9A8E0AD5D17F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0BE34FE6-4D51-482B-80A0-88B2868B7587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<sst xmlns="http://schemas.openxmlformats.org/spreadsheetml/2006/main" count="113" uniqueCount="53">
  <si>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</si>
  <si>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</si>
  <si>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</si>
  <si>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</si>
  <si>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</si>
  <si>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</si>
  <si>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</si>
  <si>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</si>
  <si>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</si>
  <si>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</si>
  <si>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</si>
  <si>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</si>
  <si>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ログイン成功</t>
    <rPh sb="4" eb="6">
      <t>セイコウ</t>
    </rPh>
    <phoneticPr fontId="1"/>
  </si>
  <si>
    <t>ログイン画面が表示されること。</t>
    <rPh sb="4" eb="6">
      <t>ガメン</t>
    </rPh>
    <rPh sb="7" eb="9">
      <t>ヒョウジ</t>
    </rPh>
    <phoneticPr fontId="1"/>
  </si>
  <si>
    <t>TOP画面が表示されること</t>
    <rPh sb="3" eb="5">
      <t>ガメン</t>
    </rPh>
    <rPh sb="6" eb="8">
      <t>ヒョウジ</t>
    </rPh>
    <phoneticPr fontId="1"/>
  </si>
  <si>
    <t>enterボタンを押下する。</t>
    <rPh sb="9" eb="11">
      <t>オウカ</t>
    </rPh>
    <phoneticPr fontId="1"/>
  </si>
  <si>
    <t>ログイン画面表示</t>
    <rPh sb="4" eb="6">
      <t>ガメン</t>
    </rPh>
    <rPh sb="6" eb="8">
      <t>ヒョウジ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</si>
  <si>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</si>
  <si>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ログイン画面が閉じること。</t>
    <rPh sb="4" eb="6">
      <t>ガメン</t>
    </rPh>
    <rPh sb="7" eb="8">
      <t>ト</t>
    </rPh>
    <phoneticPr fontId="1"/>
  </si>
  <si>
    <t>ログイン画面のCLOSEボタンを押下する。</t>
    <rPh sb="4" eb="6">
      <t>ガメン</t>
    </rPh>
    <rPh sb="16" eb="18">
      <t>オウカ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</si>
  <si>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</si>
  <si>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</si>
  <si>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ログイン失敗</t>
    <rPh sb="4" eb="6">
      <t>シッパイ</t>
    </rPh>
    <phoneticPr fontId="1"/>
  </si>
  <si>
    <t>ログイン画面にて、以下の値を入力し、LOGINボタンを押下する。
ID：169
PASSWORD：123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</si>
  <si>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戻るボタンを押下する。</t>
    <rPh sb="0" eb="1">
      <t>モド</t>
    </rPh>
    <rPh sb="6" eb="8">
      <t>オウカ</t>
    </rPh>
    <phoneticPr fontId="1"/>
  </si>
  <si>
    <t>ログイン画面に遷移すること。</t>
    <rPh sb="4" eb="6">
      <t>ガメン</t>
    </rPh>
    <rPh sb="7" eb="9">
      <t>センイ</t>
    </rPh>
    <phoneticPr fontId="1"/>
  </si>
  <si>
    <t>ログインエラー画面に遷移すること。</t>
    <rPh sb="7" eb="9">
      <t>ガメン</t>
    </rPh>
    <rPh sb="10" eb="12">
      <t>センイ</t>
    </rPh>
    <phoneticPr fontId="1"/>
  </si>
  <si>
    <t>見た目が現行と同じであること。</t>
    <rPh sb="0" eb="1">
      <t>ミ</t>
    </rPh>
    <rPh sb="2" eb="3">
      <t>メ</t>
    </rPh>
    <rPh sb="4" eb="6">
      <t>ゲンコウ</t>
    </rPh>
    <rPh sb="7" eb="8">
      <t>オナ</t>
    </rPh>
    <phoneticPr fontId="1"/>
  </si>
  <si>
    <t>パスワードリマインダー</t>
    <phoneticPr fontId="1"/>
  </si>
  <si>
    <t>ログイン画面のパスワードリマインダーボタンを押下する。</t>
    <rPh sb="4" eb="6">
      <t>ガメン</t>
    </rPh>
    <rPh sb="22" eb="24">
      <t>オウカ</t>
    </rPh>
    <phoneticPr fontId="1"/>
  </si>
  <si>
    <t>パスワードリマインダー画面が表示されること。
※パスワードリマインダー画面の動作は別シートで確認。</t>
    <rPh sb="11" eb="13">
      <t>ガメン</t>
    </rPh>
    <rPh sb="14" eb="16">
      <t>ヒョウジ</t>
    </rPh>
    <rPh sb="35" eb="37">
      <t>ガメン</t>
    </rPh>
    <rPh sb="38" eb="40">
      <t>ドウサ</t>
    </rPh>
    <rPh sb="41" eb="42">
      <t>ベツ</t>
    </rPh>
    <rPh sb="46" eb="48">
      <t>カクニン</t>
    </rPh>
    <phoneticPr fontId="1"/>
  </si>
  <si>
    <t>パスワードリマインダー画面が崩れずに表示されること。</t>
    <rPh sb="11" eb="13">
      <t>ガメン</t>
    </rPh>
    <rPh sb="14" eb="15">
      <t>クズ</t>
    </rPh>
    <rPh sb="18" eb="20">
      <t>ヒョウジ</t>
    </rPh>
    <phoneticPr fontId="1"/>
  </si>
  <si>
    <t>画面表示</t>
    <rPh sb="0" eb="2">
      <t>ガメン</t>
    </rPh>
    <rPh sb="2" eb="4">
      <t>ヒョウジ</t>
    </rPh>
    <phoneticPr fontId="1"/>
  </si>
  <si>
    <t>パスワードリマインダー画面のCLOSEボタンを押下する。</t>
    <rPh sb="11" eb="13">
      <t>ガメン</t>
    </rPh>
    <rPh sb="23" eb="25">
      <t>オウカ</t>
    </rPh>
    <phoneticPr fontId="1"/>
  </si>
  <si>
    <t>パスワードリマインダー画面が閉じること。</t>
    <rPh sb="11" eb="13">
      <t>ガメン</t>
    </rPh>
    <rPh sb="14" eb="15">
      <t>ト</t>
    </rPh>
    <phoneticPr fontId="1"/>
  </si>
  <si>
    <t>ログイン画面が活性化されること。</t>
    <rPh sb="4" eb="6">
      <t>ガメン</t>
    </rPh>
    <rPh sb="7" eb="10">
      <t>カッセイカ</t>
    </rPh>
    <phoneticPr fontId="1"/>
  </si>
  <si>
    <t>リマインドメール送信</t>
    <rPh sb="8" eb="10">
      <t>ソウシン</t>
    </rPh>
    <phoneticPr fontId="1"/>
  </si>
  <si>
    <t>メールアドレスにテスト担当者のメールアドレスを入力し、SUBMITボタンを押下する。</t>
    <rPh sb="11" eb="14">
      <t>タントウシャ</t>
    </rPh>
    <rPh sb="23" eb="25">
      <t>ニュウリョク</t>
    </rPh>
    <rPh sb="37" eb="39">
      <t>オウカ</t>
    </rPh>
    <phoneticPr fontId="1"/>
  </si>
  <si>
    <t>リマインダーメールを受信できること。</t>
    <rPh sb="10" eb="12">
      <t>ジュシン</t>
    </rPh>
    <phoneticPr fontId="1"/>
  </si>
  <si>
    <t>ユーザーマスターを修正し、ユーザー169のメールアドレスをテスト担当者のメールアドレスに変更しておく。（現行環境も同じように修正する）</t>
    <rPh sb="9" eb="11">
      <t>シュウセイ</t>
    </rPh>
    <rPh sb="32" eb="35">
      <t>タントウシャ</t>
    </rPh>
    <rPh sb="44" eb="46">
      <t>ヘンコウ</t>
    </rPh>
    <rPh sb="52" eb="54">
      <t>ゲンコウ</t>
    </rPh>
    <rPh sb="54" eb="56">
      <t>カンキョウ</t>
    </rPh>
    <rPh sb="57" eb="58">
      <t>オナ</t>
    </rPh>
    <rPh sb="62" eb="64">
      <t>シュウセイ</t>
    </rPh>
    <phoneticPr fontId="1"/>
  </si>
  <si>
    <t>現行で同様の操作をしたときの振舞いが同じであること。</t>
    <rPh sb="0" eb="2">
      <t>ゲンコウ</t>
    </rPh>
    <rPh sb="3" eb="5">
      <t>ドウヨウ</t>
    </rPh>
    <rPh sb="6" eb="8">
      <t>ソウサ</t>
    </rPh>
    <rPh sb="14" eb="16">
      <t>フルマ</t>
    </rPh>
    <rPh sb="18" eb="19">
      <t>オナ</t>
    </rPh>
    <phoneticPr fontId="1"/>
  </si>
  <si>
    <t>ログイン画面にて、以下の値を入力し、LOGINボタンを押下する。
ID：169
PASSWORD：リマインダーメールで通知されたパスワード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rPh sb="59" eb="61">
      <t>ツウチ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</si>
  <si>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</si>
  <si>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LOGOUTボタンを押下する。</t>
    <rPh sb="10" eb="12">
      <t>オウカ</t>
    </rPh>
    <phoneticPr fontId="1"/>
  </si>
  <si>
    <t>ログアウト画面が表示されること。</t>
    <rPh sb="5" eb="7">
      <t>ガメン</t>
    </rPh>
    <rPh sb="8" eb="10">
      <t>ヒョウジ</t>
    </rPh>
    <phoneticPr fontId="1"/>
  </si>
  <si>
    <t>ボタン動作確認</t>
    <rPh sb="3" eb="5">
      <t>ドウサ</t>
    </rPh>
    <rPh sb="5" eb="7">
      <t>カクニン</t>
    </rPh>
    <phoneticPr fontId="1"/>
  </si>
  <si>
    <t>画面レイアウト、スタイルが現行と同様であること。</t>
    <rPh sb="0" eb="2">
      <t>ガメン</t>
    </rPh>
    <rPh sb="13" eb="15">
      <t>ゲンコウ</t>
    </rPh>
    <rPh sb="16" eb="18">
      <t>ドウヨウ</t>
    </rPh>
    <phoneticPr fontId="1"/>
  </si>
  <si>
    <t>BACKボタンを押下する。</t>
    <rPh sb="8" eb="10">
      <t>オウカ</t>
    </rPh>
    <phoneticPr fontId="1"/>
  </si>
  <si>
    <t>LOGOUTボタンを押下し、ログアウト画面を再度表示する。</t>
    <rPh sb="10" eb="12">
      <t>オウカ</t>
    </rPh>
    <rPh sb="19" eb="21">
      <t>ガメン</t>
    </rPh>
    <rPh sb="22" eb="24">
      <t>サイド</t>
    </rPh>
    <rPh sb="24" eb="26">
      <t>ヒョウジ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</si>
  <si>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</si>
  <si>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着手数</t>
    <rPh sb="0" eb="2">
      <t>チャクシュ</t>
    </rPh>
    <rPh sb="2" eb="3">
      <t>スウ</t>
    </rPh>
    <phoneticPr fontId="1"/>
  </si>
  <si>
    <t>中島</t>
    <rPh sb="0" eb="2">
      <t>ナカジマ</t>
    </rPh>
    <phoneticPr fontId="1"/>
  </si>
  <si>
    <t>中島</t>
    <rPh sb="0" eb="2">
      <t>ナカジマ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</si>
</sst>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6DF9-806C-4E1A-9AE4-B3FD9619FFCD}">
  <sheetPr codeName="Sheet4"/>
  <dimension ref="A1:B1"/>
  <sheetViews>
    <sheetView workbookViewId="0">
      <selection activeCell="H12" sqref="H12"/>
    </sheetView>
  </sheetViews>
  <sheetFormatPr defaultRowHeight="18"/>
  <cols>
    <col min="1" max="1" width="10.3984375" bestFit="1" customWidth="1"/>
  </cols>
  <sheetData>
    <row r="1" spans="1:2">
      <c r="A1" t="s">
        <v>49</v>
      </c>
      <c r="B1">
        <v>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23"/>
  <sheetViews>
    <sheetView topLeftCell="C1" workbookViewId="0">
      <selection activeCell="G17" sqref="G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ログイン画面</v>
      </c>
      <c r="D1" s="8"/>
    </row>
    <row r="2" spans="1:10">
      <c r="B2" s="11" t="s">
        <v>9</v>
      </c>
      <c r="C2" s="10">
        <f>COUNTA(D7:D21)</f>
        <v>8</v>
      </c>
    </row>
    <row r="3" spans="1:10">
      <c r="B3" s="11" t="s">
        <v>50</v>
      </c>
      <c r="C3" s="10">
        <f>COUNTA(F7:F21)</f>
        <v>8</v>
      </c>
    </row>
    <row r="4" spans="1:10">
      <c r="B4" s="11" t="s">
        <v>11</v>
      </c>
      <c r="C4" s="10">
        <f>COUNTA(G7:G21)</f>
        <v>8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4" t="s">
        <v>8</v>
      </c>
      <c r="I6" s="14"/>
      <c r="J6" s="14"/>
    </row>
    <row r="7" spans="1:10" s="1" customFormat="1" ht="36">
      <c r="A7" s="2">
        <f>ROW()-5</f>
        <v>2</v>
      </c>
      <c r="B7" s="5" t="s">
        <v>16</v>
      </c>
      <c r="C7" s="5" t="s">
        <v>17</v>
      </c>
      <c r="D7" s="5" t="s">
        <v>14</v>
      </c>
      <c r="E7" s="4" t="s">
        <v>51</v>
      </c>
      <c r="F7" s="3">
        <v>43719</v>
      </c>
      <c r="G7" s="3">
        <v>43719</v>
      </c>
      <c r="H7" s="2"/>
      <c r="I7" s="4"/>
      <c r="J7" s="4"/>
    </row>
    <row r="8" spans="1:10" s="1" customFormat="1">
      <c r="A8" s="2">
        <f t="shared" ref="A8:A21" si="0">ROW()-5</f>
        <v>3</v>
      </c>
      <c r="B8" s="5"/>
      <c r="C8" s="5" t="s">
        <v>15</v>
      </c>
      <c r="D8" s="5" t="s">
        <v>13</v>
      </c>
      <c r="E8" s="4" t="s">
        <v>51</v>
      </c>
      <c r="F8" s="3">
        <v>43719</v>
      </c>
      <c r="G8" s="3">
        <v>43719</v>
      </c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19</v>
      </c>
      <c r="D9" s="5" t="s">
        <v>18</v>
      </c>
      <c r="E9" s="4" t="s">
        <v>51</v>
      </c>
      <c r="F9" s="3">
        <v>43719</v>
      </c>
      <c r="G9" s="3">
        <v>43719</v>
      </c>
      <c r="H9" s="2"/>
      <c r="I9" s="4"/>
      <c r="J9" s="4"/>
    </row>
    <row r="10" spans="1:10" s="1" customFormat="1" ht="36">
      <c r="A10" s="2">
        <f t="shared" si="0"/>
        <v>5</v>
      </c>
      <c r="B10" s="5" t="s">
        <v>12</v>
      </c>
      <c r="C10" s="5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5" t="s">
        <v>15</v>
      </c>
      <c r="D11" s="5"/>
      <c r="E11" s="4"/>
      <c r="F11" s="3"/>
      <c r="G11" s="3"/>
      <c r="H11" s="2"/>
      <c r="I11" s="4"/>
      <c r="J11" s="4"/>
    </row>
    <row r="12" spans="1:10" s="1" customFormat="1" ht="72">
      <c r="A12" s="2">
        <f t="shared" si="0"/>
        <v>7</v>
      </c>
      <c r="B12" s="5"/>
      <c r="C12" s="5" t="s">
        <v>20</v>
      </c>
      <c r="D12" s="5" t="s">
        <v>21</v>
      </c>
      <c r="E12" s="4" t="s">
        <v>51</v>
      </c>
      <c r="F12" s="3">
        <v>43719</v>
      </c>
      <c r="G12" s="3">
        <v>43719</v>
      </c>
      <c r="H12" s="2"/>
      <c r="I12" s="4"/>
      <c r="J12" s="4"/>
    </row>
    <row r="13" spans="1:10" s="1" customFormat="1" ht="36">
      <c r="A13" s="2">
        <f t="shared" si="0"/>
        <v>8</v>
      </c>
      <c r="B13" s="5" t="s">
        <v>22</v>
      </c>
      <c r="C13" s="5" t="s">
        <v>17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15</v>
      </c>
      <c r="D14" s="5"/>
      <c r="E14" s="4"/>
      <c r="F14" s="3"/>
      <c r="G14" s="3"/>
      <c r="H14" s="2"/>
      <c r="I14" s="4"/>
      <c r="J14" s="4"/>
    </row>
    <row r="15" spans="1:10" s="1" customFormat="1" ht="72">
      <c r="A15" s="2">
        <f t="shared" si="0"/>
        <v>10</v>
      </c>
      <c r="B15" s="5"/>
      <c r="C15" s="5" t="s">
        <v>23</v>
      </c>
      <c r="D15" s="5" t="s">
        <v>26</v>
      </c>
      <c r="E15" s="4" t="s">
        <v>51</v>
      </c>
      <c r="F15" s="3">
        <v>43719</v>
      </c>
      <c r="G15" s="3">
        <v>43719</v>
      </c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27</v>
      </c>
      <c r="E16" s="4" t="s">
        <v>51</v>
      </c>
      <c r="F16" s="3">
        <v>43719</v>
      </c>
      <c r="G16" s="3">
        <v>43732</v>
      </c>
      <c r="H16" s="2">
        <v>1</v>
      </c>
      <c r="I16" s="4"/>
      <c r="J16" s="4"/>
    </row>
    <row r="17" spans="1:10" s="1" customFormat="1">
      <c r="A17" s="2">
        <f t="shared" si="0"/>
        <v>12</v>
      </c>
      <c r="B17" s="5"/>
      <c r="C17" s="5" t="s">
        <v>24</v>
      </c>
      <c r="D17" s="5" t="s">
        <v>25</v>
      </c>
      <c r="E17" s="4" t="s">
        <v>51</v>
      </c>
      <c r="F17" s="3">
        <v>43732</v>
      </c>
      <c r="G17" s="3">
        <v>43732</v>
      </c>
      <c r="H17" s="2"/>
      <c r="I17" s="4"/>
      <c r="J17" s="4"/>
    </row>
    <row r="18" spans="1:10" s="1" customFormat="1" ht="36">
      <c r="A18" s="2">
        <f t="shared" si="0"/>
        <v>13</v>
      </c>
      <c r="B18" s="5" t="s">
        <v>28</v>
      </c>
      <c r="C18" s="5" t="s">
        <v>17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15</v>
      </c>
      <c r="D19" s="5"/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29</v>
      </c>
      <c r="D20" s="5" t="s">
        <v>30</v>
      </c>
      <c r="E20" s="4" t="s">
        <v>51</v>
      </c>
      <c r="F20" s="3">
        <v>43719</v>
      </c>
      <c r="G20" s="3">
        <v>43719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3" spans="1:10">
      <c r="B2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9D03-6204-40D9-8CD2-60F84C755335}">
  <sheetPr codeName="Sheet2"/>
  <dimension ref="A1:J23"/>
  <sheetViews>
    <sheetView tabSelected="1" workbookViewId="0">
      <selection activeCell="E10" sqref="E10:G1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パスワードリマインダー</v>
      </c>
      <c r="D1" s="8"/>
    </row>
    <row r="2" spans="1:10">
      <c r="B2" s="11" t="s">
        <v>9</v>
      </c>
      <c r="C2" s="10">
        <f>COUNTA(D7:D21)</f>
        <v>6</v>
      </c>
    </row>
    <row r="3" spans="1:10">
      <c r="B3" s="11" t="s">
        <v>50</v>
      </c>
      <c r="C3" s="10">
        <f>COUNTA(F7:F21)</f>
        <v>2</v>
      </c>
    </row>
    <row r="4" spans="1:10">
      <c r="B4" s="11" t="s">
        <v>11</v>
      </c>
      <c r="C4" s="10">
        <f>COUNTA(G7:G21)</f>
        <v>2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4" t="s">
        <v>8</v>
      </c>
      <c r="I6" s="14"/>
      <c r="J6" s="14"/>
    </row>
    <row r="7" spans="1:10" s="1" customFormat="1" ht="36">
      <c r="A7" s="2">
        <f>ROW()-5</f>
        <v>2</v>
      </c>
      <c r="B7" s="5" t="s">
        <v>32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21" si="0">ROW()-5</f>
        <v>3</v>
      </c>
      <c r="B8" s="5"/>
      <c r="C8" s="5" t="s">
        <v>15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29</v>
      </c>
      <c r="D9" s="5" t="s">
        <v>31</v>
      </c>
      <c r="E9" s="4" t="s">
        <v>51</v>
      </c>
      <c r="F9" s="3">
        <v>43719</v>
      </c>
      <c r="G9" s="3">
        <v>43719</v>
      </c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33</v>
      </c>
      <c r="D10" s="5" t="s">
        <v>34</v>
      </c>
      <c r="E10" s="4" t="s">
        <v>51</v>
      </c>
      <c r="F10" s="3">
        <v>43719</v>
      </c>
      <c r="G10" s="3">
        <v>43719</v>
      </c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35</v>
      </c>
      <c r="E11" s="4"/>
      <c r="F11" s="3"/>
      <c r="G11" s="3"/>
      <c r="H11" s="2"/>
      <c r="I11" s="4"/>
      <c r="J11" s="4"/>
    </row>
    <row r="12" spans="1:10" s="1" customFormat="1" ht="54">
      <c r="A12" s="2">
        <f t="shared" si="0"/>
        <v>7</v>
      </c>
      <c r="B12" s="5" t="s">
        <v>36</v>
      </c>
      <c r="C12" s="5" t="s">
        <v>39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5" t="s">
        <v>17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15</v>
      </c>
      <c r="D14" s="5"/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5" t="s">
        <v>29</v>
      </c>
      <c r="D15" s="5"/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37</v>
      </c>
      <c r="D16" s="5" t="s">
        <v>38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40</v>
      </c>
      <c r="E17" s="4"/>
      <c r="F17" s="3"/>
      <c r="G17" s="3"/>
      <c r="H17" s="2"/>
      <c r="I17" s="4"/>
      <c r="J17" s="4"/>
    </row>
    <row r="18" spans="1:10" s="1" customFormat="1" ht="90">
      <c r="A18" s="2">
        <f t="shared" si="0"/>
        <v>13</v>
      </c>
      <c r="B18" s="5"/>
      <c r="C18" s="5" t="s">
        <v>41</v>
      </c>
      <c r="D18" s="5" t="s">
        <v>42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3" spans="1:10">
      <c r="B2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A51A-94BD-4B48-B7A6-25456C86BABA}">
  <sheetPr codeName="Sheet3"/>
  <dimension ref="A1:J23"/>
  <sheetViews>
    <sheetView topLeftCell="B1" workbookViewId="0">
      <selection activeCell="E17" sqref="E17:G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ログアウト画面</v>
      </c>
      <c r="D1" s="8"/>
    </row>
    <row r="2" spans="1:10">
      <c r="B2" s="11" t="s">
        <v>9</v>
      </c>
      <c r="C2" s="10">
        <f>COUNTA(D7:D21)</f>
        <v>4</v>
      </c>
    </row>
    <row r="3" spans="1:10">
      <c r="B3" s="11" t="s">
        <v>50</v>
      </c>
      <c r="C3" s="10">
        <f>COUNTA(F7:F21)</f>
        <v>4</v>
      </c>
    </row>
    <row r="4" spans="1:10">
      <c r="B4" s="11" t="s">
        <v>11</v>
      </c>
      <c r="C4" s="10">
        <f>COUNTA(G7:G21)</f>
        <v>4</v>
      </c>
    </row>
    <row r="5" spans="1:10">
      <c r="B5" s="9"/>
      <c r="C5" s="8"/>
    </row>
    <row r="6" spans="1:10" s="6" customFormat="1">
      <c r="A6" s="13" t="s">
        <v>4</v>
      </c>
      <c r="B6" s="13" t="s">
        <v>6</v>
      </c>
      <c r="C6" s="13" t="s">
        <v>7</v>
      </c>
      <c r="D6" s="13" t="s">
        <v>3</v>
      </c>
      <c r="E6" s="13" t="s">
        <v>2</v>
      </c>
      <c r="F6" s="13" t="s">
        <v>1</v>
      </c>
      <c r="G6" s="13" t="s">
        <v>0</v>
      </c>
      <c r="H6" s="14" t="s">
        <v>8</v>
      </c>
      <c r="I6" s="14"/>
      <c r="J6" s="14"/>
    </row>
    <row r="7" spans="1:10" s="1" customFormat="1" ht="36">
      <c r="A7" s="2">
        <f>ROW()-5</f>
        <v>2</v>
      </c>
      <c r="B7" s="5" t="s">
        <v>16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21" si="0">ROW()-5</f>
        <v>3</v>
      </c>
      <c r="B8" s="5"/>
      <c r="C8" s="5" t="s">
        <v>15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19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5" t="s">
        <v>15</v>
      </c>
      <c r="D11" s="5"/>
      <c r="E11" s="4"/>
      <c r="F11" s="3"/>
      <c r="G11" s="3"/>
      <c r="H11" s="2"/>
      <c r="I11" s="4"/>
      <c r="J11" s="4"/>
    </row>
    <row r="12" spans="1:10" s="1" customFormat="1" ht="72">
      <c r="A12" s="2">
        <f t="shared" si="0"/>
        <v>7</v>
      </c>
      <c r="B12" s="5"/>
      <c r="C12" s="5" t="s">
        <v>20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43</v>
      </c>
      <c r="D13" s="5" t="s">
        <v>44</v>
      </c>
      <c r="E13" s="4" t="s">
        <v>52</v>
      </c>
      <c r="F13" s="3">
        <v>43719</v>
      </c>
      <c r="G13" s="3">
        <v>43719</v>
      </c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46</v>
      </c>
      <c r="E14" s="4" t="s">
        <v>52</v>
      </c>
      <c r="F14" s="3">
        <v>43719</v>
      </c>
      <c r="G14" s="3">
        <v>43719</v>
      </c>
      <c r="H14" s="2"/>
      <c r="I14" s="4"/>
      <c r="J14" s="4"/>
    </row>
    <row r="15" spans="1:10" s="1" customFormat="1">
      <c r="A15" s="2">
        <f t="shared" si="0"/>
        <v>10</v>
      </c>
      <c r="B15" s="5" t="s">
        <v>45</v>
      </c>
      <c r="C15" s="5" t="s">
        <v>47</v>
      </c>
      <c r="D15" s="5" t="s">
        <v>21</v>
      </c>
      <c r="E15" s="4" t="s">
        <v>52</v>
      </c>
      <c r="F15" s="3">
        <v>43719</v>
      </c>
      <c r="G15" s="3">
        <v>43719</v>
      </c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48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43</v>
      </c>
      <c r="D17" s="5" t="s">
        <v>13</v>
      </c>
      <c r="E17" s="4" t="s">
        <v>52</v>
      </c>
      <c r="F17" s="3">
        <v>43719</v>
      </c>
      <c r="G17" s="3">
        <v>43719</v>
      </c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3" spans="1:10">
      <c r="B2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表紙</vt:lpstr>
      <vt:lpstr>ログイン画面</vt:lpstr>
      <vt:lpstr>パスワードリマインダー</vt:lpstr>
      <vt:lpstr>ログアウト画面</vt:lpstr>
      <vt:lpstr>パスワードリマインダー!comp_count</vt:lpstr>
      <vt:lpstr>ログアウト画面!comp_count</vt:lpstr>
      <vt:lpstr>ログイン画面!comp_count</vt:lpstr>
      <vt:lpstr>パスワードリマインダー!item_count</vt:lpstr>
      <vt:lpstr>ログアウト画面!item_count</vt:lpstr>
      <vt:lpstr>ログイン画面!item_count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2019-09-24T08:06:06Z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