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.204\開発\クワガタ\03_H30 KID'Sシステムリニューアル\05_結合試験\試験結果\"/>
    </mc:Choice>
  </mc:AlternateContent>
  <bookViews>
    <workbookView xWindow="0" yWindow="0" windowWidth="19860" windowHeight="7485" activeTab="1"/>
  </bookViews>
  <sheets>
    <sheet name="表紙" sheetId="2" r:id="rId1"/>
    <sheet name="帳票出力" sheetId="1" r:id="rId2"/>
    <sheet name="商品化企画書検索" sheetId="8" r:id="rId3"/>
    <sheet name="発注書検索" sheetId="9" r:id="rId4"/>
    <sheet name="見積原価書検索" sheetId="10" r:id="rId5"/>
    <sheet name="納品書検索" sheetId="11" r:id="rId6"/>
    <sheet name="請求書検索" sheetId="12" r:id="rId7"/>
  </sheets>
  <definedNames>
    <definedName name="comp_count" localSheetId="4">見積原価書検索!$C$4</definedName>
    <definedName name="comp_count" localSheetId="2">商品化企画書検索!$C$4</definedName>
    <definedName name="comp_count" localSheetId="6">請求書検索!$C$4</definedName>
    <definedName name="comp_count" localSheetId="1">帳票出力!$C$4</definedName>
    <definedName name="comp_count" localSheetId="5">納品書検索!$C$4</definedName>
    <definedName name="comp_count" localSheetId="3">発注書検索!$C$4</definedName>
    <definedName name="item_count" localSheetId="4">見積原価書検索!$C$2</definedName>
    <definedName name="item_count" localSheetId="2">商品化企画書検索!$C$2</definedName>
    <definedName name="item_count" localSheetId="6">請求書検索!$C$2</definedName>
    <definedName name="item_count" localSheetId="1">帳票出力!$C$2</definedName>
    <definedName name="item_count" localSheetId="5">納品書検索!$C$2</definedName>
    <definedName name="item_count" localSheetId="3">発注書検索!$C$2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3" i="8"/>
  <c r="C3" i="9"/>
  <c r="C3" i="10"/>
  <c r="C3" i="11"/>
  <c r="C4" i="11"/>
  <c r="C3" i="12"/>
  <c r="A34" i="12" l="1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C4" i="12"/>
  <c r="C2" i="12"/>
  <c r="C1" i="12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C2" i="11"/>
  <c r="C1" i="11"/>
  <c r="A34" i="10" l="1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C4" i="10"/>
  <c r="C2" i="10"/>
  <c r="C1" i="10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C4" i="9"/>
  <c r="C2" i="9"/>
  <c r="C1" i="9"/>
  <c r="A24" i="8"/>
  <c r="A20" i="8"/>
  <c r="A34" i="8"/>
  <c r="A33" i="8"/>
  <c r="A32" i="8"/>
  <c r="A31" i="8"/>
  <c r="A30" i="8"/>
  <c r="A29" i="8"/>
  <c r="A28" i="8"/>
  <c r="A27" i="8"/>
  <c r="A26" i="8"/>
  <c r="A25" i="8"/>
  <c r="A23" i="8"/>
  <c r="A22" i="8"/>
  <c r="A21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C4" i="8"/>
  <c r="C2" i="8"/>
  <c r="C1" i="8"/>
  <c r="A17" i="1" l="1"/>
  <c r="A13" i="1"/>
  <c r="A22" i="1"/>
  <c r="A25" i="1" l="1"/>
  <c r="A24" i="1"/>
  <c r="A23" i="1"/>
  <c r="A21" i="1"/>
  <c r="A20" i="1"/>
  <c r="A19" i="1"/>
  <c r="A18" i="1"/>
  <c r="A16" i="1"/>
  <c r="A29" i="1"/>
  <c r="A28" i="1"/>
  <c r="A27" i="1"/>
  <c r="A26" i="1"/>
  <c r="A31" i="1"/>
  <c r="A30" i="1"/>
  <c r="A33" i="1" l="1"/>
  <c r="A32" i="1"/>
  <c r="A15" i="1"/>
  <c r="A14" i="1"/>
  <c r="A12" i="1"/>
  <c r="A11" i="1"/>
  <c r="A10" i="1"/>
  <c r="A9" i="1"/>
  <c r="A8" i="1"/>
  <c r="A7" i="1"/>
  <c r="C4" i="1"/>
  <c r="C1" i="1"/>
  <c r="C2" i="1" l="1"/>
</calcChain>
</file>

<file path=xl/comments1.xml><?xml version="1.0" encoding="utf-8"?>
<comments xmlns="http://schemas.openxmlformats.org/spreadsheetml/2006/main">
  <authors>
    <author>作成者</author>
  </authors>
  <commentList>
    <comment ref="F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2.xml><?xml version="1.0" encoding="utf-8"?>
<comments xmlns="http://schemas.openxmlformats.org/spreadsheetml/2006/main">
  <authors>
    <author>作成者</author>
  </authors>
  <commentList>
    <comment ref="F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3.xml><?xml version="1.0" encoding="utf-8"?>
<comments xmlns="http://schemas.openxmlformats.org/spreadsheetml/2006/main">
  <authors>
    <author>作成者</author>
  </authors>
  <commentList>
    <comment ref="F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4.xml><?xml version="1.0" encoding="utf-8"?>
<comments xmlns="http://schemas.openxmlformats.org/spreadsheetml/2006/main">
  <authors>
    <author>作成者</author>
  </authors>
  <commentList>
    <comment ref="F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5.xml><?xml version="1.0" encoding="utf-8"?>
<comments xmlns="http://schemas.openxmlformats.org/spreadsheetml/2006/main">
  <authors>
    <author>作成者</author>
  </authors>
  <commentList>
    <comment ref="F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6.xml><?xml version="1.0" encoding="utf-8"?>
<comments xmlns="http://schemas.openxmlformats.org/spreadsheetml/2006/main">
  <authors>
    <author>作成者</author>
  </authors>
  <commentList>
    <comment ref="F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<sst xmlns="http://schemas.openxmlformats.org/spreadsheetml/2006/main" count="277" uniqueCount="65">
  <si>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</si>
  <si>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</si>
  <si>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</si>
  <si>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</si>
  <si>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</si>
  <si>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</si>
  <si>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</si>
  <si>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</si>
  <si>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</si>
  <si>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</si>
  <si>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</si>
  <si>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完了数</t>
    <rPh sb="0" eb="2">
      <t>カンリョウ</t>
    </rPh>
    <rPh sb="2" eb="3">
      <t>スウ</t>
    </rPh>
    <phoneticPr fontId="1"/>
  </si>
  <si>
    <t>enterボタンを押下する。</t>
    <rPh sb="9" eb="11">
      <t>オウカ</t>
    </rPh>
    <phoneticPr fontId="1"/>
  </si>
  <si>
    <t>以下のURLをブラウザで開く。
http://192.168.1.113</t>
    <rPh sb="0" eb="2">
      <t>イカ</t>
    </rPh>
    <rPh sb="12" eb="13">
      <t>ヒラ</t>
    </rPh>
    <phoneticPr fontId="1"/>
  </si>
  <si>
    <t>ログイン画面にて、以下の値を入力し、LOGINボタンを押下する。
ID：169
PASSWORD：gao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</si>
  <si>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試験項目数</t>
    <rPh sb="0" eb="2">
      <t>シケン</t>
    </rPh>
    <rPh sb="2" eb="4">
      <t>コウモク</t>
    </rPh>
    <rPh sb="4" eb="5">
      <t>スウ</t>
    </rPh>
    <phoneticPr fontId="1"/>
  </si>
  <si>
    <t>初期表示</t>
    <rPh sb="0" eb="2">
      <t>ショキ</t>
    </rPh>
    <rPh sb="2" eb="4">
      <t>ヒョウジ</t>
    </rPh>
    <phoneticPr fontId="1"/>
  </si>
  <si>
    <t>現行画面との差がないこと。</t>
    <rPh sb="0" eb="2">
      <t>ゲンコウ</t>
    </rPh>
    <rPh sb="2" eb="4">
      <t>ガメン</t>
    </rPh>
    <rPh sb="6" eb="7">
      <t>サ</t>
    </rPh>
    <phoneticPr fontId="1"/>
  </si>
  <si>
    <t>クリアボタンを押下する。</t>
    <rPh sb="7" eb="9">
      <t>オウカ</t>
    </rPh>
    <phoneticPr fontId="1"/>
  </si>
  <si>
    <t>検索ボタンを押下する。</t>
    <rPh sb="0" eb="2">
      <t>ケンサク</t>
    </rPh>
    <rPh sb="6" eb="8">
      <t>オウカ</t>
    </rPh>
    <phoneticPr fontId="1"/>
  </si>
  <si>
    <t>帳票出力ボタンを押下する。</t>
    <rPh sb="0" eb="2">
      <t>チョウヒョウ</t>
    </rPh>
    <rPh sb="2" eb="4">
      <t>シュツリョク</t>
    </rPh>
    <rPh sb="8" eb="10">
      <t>オウカ</t>
    </rPh>
    <phoneticPr fontId="1"/>
  </si>
  <si>
    <t>帳票検索画面に遷移すること。</t>
    <rPh sb="0" eb="2">
      <t>チョウヒョウ</t>
    </rPh>
    <rPh sb="2" eb="4">
      <t>ケンサク</t>
    </rPh>
    <rPh sb="4" eb="6">
      <t>ガメン</t>
    </rPh>
    <rPh sb="7" eb="9">
      <t>センイ</t>
    </rPh>
    <phoneticPr fontId="1"/>
  </si>
  <si>
    <t>商品管理ボタン押下</t>
    <rPh sb="0" eb="2">
      <t>ショウヒン</t>
    </rPh>
    <rPh sb="2" eb="4">
      <t>カンリ</t>
    </rPh>
    <rPh sb="7" eb="9">
      <t>オウカ</t>
    </rPh>
    <phoneticPr fontId="1"/>
  </si>
  <si>
    <t>商品管理の選択ボタンを押下する。</t>
    <rPh sb="0" eb="2">
      <t>ショウヒン</t>
    </rPh>
    <rPh sb="2" eb="4">
      <t>カンリ</t>
    </rPh>
    <rPh sb="5" eb="7">
      <t>センタク</t>
    </rPh>
    <rPh sb="11" eb="13">
      <t>オウカ</t>
    </rPh>
    <phoneticPr fontId="1"/>
  </si>
  <si>
    <t>商品化企画書検索画面に遷移すること。</t>
    <rPh sb="0" eb="3">
      <t>ショウヒンカ</t>
    </rPh>
    <rPh sb="3" eb="5">
      <t>キカク</t>
    </rPh>
    <rPh sb="5" eb="6">
      <t>ショ</t>
    </rPh>
    <rPh sb="6" eb="8">
      <t>ケンサク</t>
    </rPh>
    <rPh sb="8" eb="10">
      <t>ガメン</t>
    </rPh>
    <rPh sb="11" eb="13">
      <t>センイ</t>
    </rPh>
    <phoneticPr fontId="1"/>
  </si>
  <si>
    <t>ナビゲーションメニューの帳票一覧を押下する。</t>
    <rPh sb="12" eb="14">
      <t>チョウヒョウ</t>
    </rPh>
    <rPh sb="14" eb="16">
      <t>イチラン</t>
    </rPh>
    <rPh sb="17" eb="19">
      <t>オウカ</t>
    </rPh>
    <phoneticPr fontId="1"/>
  </si>
  <si>
    <t>発注管理ボタン押下</t>
    <rPh sb="0" eb="2">
      <t>ハッチュウ</t>
    </rPh>
    <rPh sb="2" eb="4">
      <t>カンリ</t>
    </rPh>
    <rPh sb="7" eb="9">
      <t>オウカ</t>
    </rPh>
    <phoneticPr fontId="1"/>
  </si>
  <si>
    <t>発注管理の選択ボタンを押下する。</t>
    <rPh sb="0" eb="2">
      <t>ハッチュウ</t>
    </rPh>
    <rPh sb="2" eb="4">
      <t>カンリ</t>
    </rPh>
    <rPh sb="5" eb="7">
      <t>センタク</t>
    </rPh>
    <rPh sb="11" eb="13">
      <t>オウカ</t>
    </rPh>
    <phoneticPr fontId="1"/>
  </si>
  <si>
    <t>発注書検索画面に遷移すること。</t>
    <rPh sb="0" eb="2">
      <t>ハッチュウ</t>
    </rPh>
    <rPh sb="2" eb="3">
      <t>ショ</t>
    </rPh>
    <rPh sb="3" eb="5">
      <t>ケンサク</t>
    </rPh>
    <rPh sb="5" eb="7">
      <t>ガメン</t>
    </rPh>
    <rPh sb="8" eb="10">
      <t>センイ</t>
    </rPh>
    <phoneticPr fontId="1"/>
  </si>
  <si>
    <t>見積原価管理ボタン押下</t>
    <rPh sb="0" eb="2">
      <t>ミツモリ</t>
    </rPh>
    <rPh sb="2" eb="4">
      <t>ゲンカ</t>
    </rPh>
    <rPh sb="4" eb="6">
      <t>カンリ</t>
    </rPh>
    <rPh sb="9" eb="11">
      <t>オウカ</t>
    </rPh>
    <phoneticPr fontId="1"/>
  </si>
  <si>
    <t>見積原価管理の選択ボタンを押下する。</t>
    <rPh sb="0" eb="2">
      <t>ミツモリ</t>
    </rPh>
    <rPh sb="2" eb="4">
      <t>ゲンカ</t>
    </rPh>
    <rPh sb="4" eb="6">
      <t>カンリ</t>
    </rPh>
    <rPh sb="7" eb="9">
      <t>センタク</t>
    </rPh>
    <rPh sb="13" eb="15">
      <t>オウカ</t>
    </rPh>
    <phoneticPr fontId="1"/>
  </si>
  <si>
    <t>見積原価書検索画面に遷移すること。</t>
    <rPh sb="0" eb="2">
      <t>ミツモリ</t>
    </rPh>
    <rPh sb="2" eb="4">
      <t>ゲンカ</t>
    </rPh>
    <rPh sb="4" eb="5">
      <t>ショ</t>
    </rPh>
    <rPh sb="5" eb="7">
      <t>ケンサク</t>
    </rPh>
    <rPh sb="7" eb="9">
      <t>ガメン</t>
    </rPh>
    <rPh sb="10" eb="12">
      <t>センイ</t>
    </rPh>
    <phoneticPr fontId="1"/>
  </si>
  <si>
    <t>売上管理ボタン押下</t>
    <rPh sb="0" eb="2">
      <t>ウリアゲ</t>
    </rPh>
    <rPh sb="2" eb="4">
      <t>カンリ</t>
    </rPh>
    <rPh sb="7" eb="9">
      <t>オウカ</t>
    </rPh>
    <phoneticPr fontId="1"/>
  </si>
  <si>
    <t>売上管理の選択ボタンを押下する。</t>
    <rPh sb="0" eb="2">
      <t>ウリアゲ</t>
    </rPh>
    <rPh sb="2" eb="4">
      <t>カンリ</t>
    </rPh>
    <rPh sb="5" eb="7">
      <t>センタク</t>
    </rPh>
    <rPh sb="11" eb="13">
      <t>オウカ</t>
    </rPh>
    <phoneticPr fontId="1"/>
  </si>
  <si>
    <t>納品書検索画面に遷移すること。</t>
    <rPh sb="0" eb="3">
      <t>ノウヒンショ</t>
    </rPh>
    <rPh sb="3" eb="5">
      <t>ケンサク</t>
    </rPh>
    <rPh sb="5" eb="7">
      <t>ガメン</t>
    </rPh>
    <rPh sb="8" eb="10">
      <t>センイ</t>
    </rPh>
    <phoneticPr fontId="1"/>
  </si>
  <si>
    <t>請求管理ボタン押下</t>
    <rPh sb="0" eb="2">
      <t>セイキュウ</t>
    </rPh>
    <rPh sb="2" eb="4">
      <t>カンリ</t>
    </rPh>
    <rPh sb="7" eb="9">
      <t>オウカ</t>
    </rPh>
    <phoneticPr fontId="1"/>
  </si>
  <si>
    <t>請求管理の選択ボタンを押下する。</t>
    <rPh sb="0" eb="2">
      <t>セイキュウ</t>
    </rPh>
    <rPh sb="2" eb="4">
      <t>カンリ</t>
    </rPh>
    <rPh sb="5" eb="7">
      <t>センタク</t>
    </rPh>
    <rPh sb="11" eb="13">
      <t>オウカ</t>
    </rPh>
    <phoneticPr fontId="1"/>
  </si>
  <si>
    <t>請求書検索画面に遷移すること。</t>
    <rPh sb="0" eb="3">
      <t>セイキュウショ</t>
    </rPh>
    <rPh sb="3" eb="5">
      <t>ケンサク</t>
    </rPh>
    <rPh sb="5" eb="7">
      <t>ガメン</t>
    </rPh>
    <rPh sb="8" eb="10">
      <t>センイ</t>
    </rPh>
    <phoneticPr fontId="1"/>
  </si>
  <si>
    <t>帳票出力ボタンを押下し、帳票検索画面に遷移する。</t>
    <rPh sb="0" eb="2">
      <t>チョウヒョウ</t>
    </rPh>
    <rPh sb="2" eb="4">
      <t>シュツリョク</t>
    </rPh>
    <rPh sb="8" eb="10">
      <t>オウカ</t>
    </rPh>
    <rPh sb="12" eb="14">
      <t>チョウヒョウ</t>
    </rPh>
    <rPh sb="14" eb="16">
      <t>ケンサク</t>
    </rPh>
    <rPh sb="16" eb="18">
      <t>ガメン</t>
    </rPh>
    <rPh sb="19" eb="21">
      <t>センイ</t>
    </rPh>
    <phoneticPr fontId="1"/>
  </si>
  <si>
    <t>画面の内容が現行と同じであること。</t>
    <rPh sb="0" eb="2">
      <t>ガメン</t>
    </rPh>
    <rPh sb="3" eb="5">
      <t>ナイヨウ</t>
    </rPh>
    <rPh sb="6" eb="8">
      <t>ゲンコウ</t>
    </rPh>
    <rPh sb="9" eb="10">
      <t>オナ</t>
    </rPh>
    <phoneticPr fontId="1"/>
  </si>
  <si>
    <t>帳票検索</t>
    <rPh sb="0" eb="2">
      <t>チョウヒョウ</t>
    </rPh>
    <rPh sb="2" eb="4">
      <t>ケンサク</t>
    </rPh>
    <phoneticPr fontId="1"/>
  </si>
  <si>
    <t>任意の条件を入力する。</t>
    <rPh sb="0" eb="2">
      <t>ニンイ</t>
    </rPh>
    <rPh sb="3" eb="5">
      <t>ジョウケン</t>
    </rPh>
    <rPh sb="6" eb="8">
      <t>ニュウリョク</t>
    </rPh>
    <phoneticPr fontId="1"/>
  </si>
  <si>
    <t>入力した条件がすべてクリアされていること。</t>
    <rPh sb="0" eb="2">
      <t>ニュウリョク</t>
    </rPh>
    <rPh sb="4" eb="6">
      <t>ジョウケン</t>
    </rPh>
    <phoneticPr fontId="1"/>
  </si>
  <si>
    <t>商品化企画書一覧画面が表示されること。</t>
    <rPh sb="0" eb="3">
      <t>ショウヒンカ</t>
    </rPh>
    <rPh sb="3" eb="5">
      <t>キカク</t>
    </rPh>
    <rPh sb="5" eb="6">
      <t>ショ</t>
    </rPh>
    <rPh sb="6" eb="8">
      <t>イチラン</t>
    </rPh>
    <rPh sb="8" eb="10">
      <t>ガメン</t>
    </rPh>
    <rPh sb="11" eb="13">
      <t>ヒョウジ</t>
    </rPh>
    <phoneticPr fontId="1"/>
  </si>
  <si>
    <t>検索結果が現行と同じであること。</t>
    <rPh sb="0" eb="2">
      <t>ケンサク</t>
    </rPh>
    <rPh sb="2" eb="4">
      <t>ケッカ</t>
    </rPh>
    <rPh sb="5" eb="7">
      <t>ゲンコウ</t>
    </rPh>
    <rPh sb="8" eb="9">
      <t>オナ</t>
    </rPh>
    <phoneticPr fontId="1"/>
  </si>
  <si>
    <t>帳票出力</t>
    <rPh sb="0" eb="2">
      <t>チョウヒョウ</t>
    </rPh>
    <rPh sb="2" eb="4">
      <t>シュツリョク</t>
    </rPh>
    <phoneticPr fontId="1"/>
  </si>
  <si>
    <t>任意の行のCOPYボタンを押下する。</t>
    <rPh sb="0" eb="2">
      <t>ニンイ</t>
    </rPh>
    <rPh sb="3" eb="4">
      <t>ギョウ</t>
    </rPh>
    <rPh sb="13" eb="15">
      <t>オウカ</t>
    </rPh>
    <phoneticPr fontId="1"/>
  </si>
  <si>
    <t>指令された行のCOPYプレビュー画面が別ウィンドウで表示されていること。</t>
    <rPh sb="0" eb="2">
      <t>シレイ</t>
    </rPh>
    <rPh sb="5" eb="6">
      <t>ギョウ</t>
    </rPh>
    <rPh sb="16" eb="18">
      <t>ガメン</t>
    </rPh>
    <rPh sb="19" eb="20">
      <t>ベツ</t>
    </rPh>
    <rPh sb="26" eb="28">
      <t>ヒョウジ</t>
    </rPh>
    <phoneticPr fontId="1"/>
  </si>
  <si>
    <t>COPYプレビュー画面のPRINTボタンを押下する。</t>
    <rPh sb="9" eb="11">
      <t>ガメン</t>
    </rPh>
    <rPh sb="21" eb="23">
      <t>オウカ</t>
    </rPh>
    <phoneticPr fontId="1"/>
  </si>
  <si>
    <t>COPYプレビュー画面の内容が印刷されていること。</t>
    <rPh sb="9" eb="11">
      <t>ガメン</t>
    </rPh>
    <rPh sb="12" eb="14">
      <t>ナイヨウ</t>
    </rPh>
    <rPh sb="15" eb="17">
      <t>インサツ</t>
    </rPh>
    <phoneticPr fontId="1"/>
  </si>
  <si>
    <t>COPYプレビュー画面を閉じる。</t>
    <rPh sb="9" eb="11">
      <t>ガメン</t>
    </rPh>
    <rPh sb="12" eb="13">
      <t>ト</t>
    </rPh>
    <phoneticPr fontId="1"/>
  </si>
  <si>
    <t>任意の行のPREVIEWボタンを押下する。</t>
    <rPh sb="0" eb="2">
      <t>ニンイ</t>
    </rPh>
    <rPh sb="3" eb="4">
      <t>ギョウ</t>
    </rPh>
    <rPh sb="16" eb="18">
      <t>オウカ</t>
    </rPh>
    <phoneticPr fontId="1"/>
  </si>
  <si>
    <t>指令された行のプレビュー画面が別ウィンドウで表示されていること。</t>
    <rPh sb="0" eb="2">
      <t>シレイ</t>
    </rPh>
    <rPh sb="5" eb="6">
      <t>ギョウ</t>
    </rPh>
    <rPh sb="12" eb="14">
      <t>ガメン</t>
    </rPh>
    <rPh sb="15" eb="16">
      <t>ベツ</t>
    </rPh>
    <rPh sb="22" eb="24">
      <t>ヒョウジ</t>
    </rPh>
    <phoneticPr fontId="1"/>
  </si>
  <si>
    <t>プレビュー画面のPRINTボタンを押下する。</t>
    <rPh sb="5" eb="7">
      <t>ガメン</t>
    </rPh>
    <rPh sb="17" eb="19">
      <t>オウカ</t>
    </rPh>
    <phoneticPr fontId="1"/>
  </si>
  <si>
    <t>プレビュー画面の内容が印刷されていること。</t>
    <rPh sb="5" eb="7">
      <t>ガメン</t>
    </rPh>
    <rPh sb="8" eb="10">
      <t>ナイヨウ</t>
    </rPh>
    <rPh sb="11" eb="13">
      <t>インサツ</t>
    </rPh>
    <phoneticPr fontId="1"/>
  </si>
  <si>
    <t>プレビュー画面を閉じる。</t>
    <rPh sb="5" eb="7">
      <t>ガメン</t>
    </rPh>
    <rPh sb="8" eb="9">
      <t>ト</t>
    </rPh>
    <phoneticPr fontId="1"/>
  </si>
  <si>
    <t>発注書一覧画面が表示されること。</t>
    <rPh sb="0" eb="2">
      <t>ハッチュウ</t>
    </rPh>
    <rPh sb="2" eb="3">
      <t>ショ</t>
    </rPh>
    <rPh sb="3" eb="5">
      <t>イチラン</t>
    </rPh>
    <rPh sb="5" eb="7">
      <t>ガメン</t>
    </rPh>
    <rPh sb="8" eb="10">
      <t>ヒョウジ</t>
    </rPh>
    <phoneticPr fontId="1"/>
  </si>
  <si>
    <t>見積原価書一覧画面が表示されること。</t>
    <rPh sb="0" eb="2">
      <t>ミツモリ</t>
    </rPh>
    <rPh sb="2" eb="4">
      <t>ゲンカ</t>
    </rPh>
    <rPh sb="4" eb="5">
      <t>ショ</t>
    </rPh>
    <rPh sb="5" eb="7">
      <t>イチラン</t>
    </rPh>
    <rPh sb="7" eb="9">
      <t>ガメン</t>
    </rPh>
    <rPh sb="10" eb="12">
      <t>ヒョウジ</t>
    </rPh>
    <phoneticPr fontId="1"/>
  </si>
  <si>
    <t>画面の内容が設計書通りであること。</t>
    <rPh sb="0" eb="2">
      <t>ガメン</t>
    </rPh>
    <rPh sb="3" eb="5">
      <t>ナイヨウ</t>
    </rPh>
    <rPh sb="6" eb="9">
      <t>セッケイショ</t>
    </rPh>
    <rPh sb="9" eb="10">
      <t>ドオ</t>
    </rPh>
    <phoneticPr fontId="1"/>
  </si>
  <si>
    <t>納品書一覧画面が表示されること。</t>
    <rPh sb="0" eb="2">
      <t>ノウヒン</t>
    </rPh>
    <rPh sb="2" eb="3">
      <t>ショ</t>
    </rPh>
    <rPh sb="3" eb="5">
      <t>イチラン</t>
    </rPh>
    <rPh sb="5" eb="7">
      <t>ガメン</t>
    </rPh>
    <rPh sb="8" eb="10">
      <t>ヒョウジ</t>
    </rPh>
    <phoneticPr fontId="1"/>
  </si>
  <si>
    <t>検索結果が指定した検索条件に相当するSQLと一致いていること。</t>
    <rPh sb="0" eb="2">
      <t>ケンサク</t>
    </rPh>
    <rPh sb="2" eb="4">
      <t>ケッカ</t>
    </rPh>
    <rPh sb="5" eb="7">
      <t>シテイ</t>
    </rPh>
    <rPh sb="9" eb="11">
      <t>ケンサク</t>
    </rPh>
    <rPh sb="11" eb="13">
      <t>ジョウケン</t>
    </rPh>
    <rPh sb="14" eb="16">
      <t>ソウトウ</t>
    </rPh>
    <rPh sb="22" eb="24">
      <t>イッチ</t>
    </rPh>
    <phoneticPr fontId="1"/>
  </si>
  <si>
    <t>画面の内容が見積原価プレビューと同じであること。</t>
    <rPh sb="0" eb="2">
      <t>ガメン</t>
    </rPh>
    <rPh sb="3" eb="5">
      <t>ナイヨウ</t>
    </rPh>
    <rPh sb="6" eb="8">
      <t>ミツモリ</t>
    </rPh>
    <rPh sb="8" eb="10">
      <t>ゲンカ</t>
    </rPh>
    <rPh sb="16" eb="17">
      <t>オナ</t>
    </rPh>
    <phoneticPr fontId="1"/>
  </si>
  <si>
    <t>請求書一覧画面が表示されること。</t>
    <rPh sb="0" eb="2">
      <t>セイキュウ</t>
    </rPh>
    <rPh sb="2" eb="3">
      <t>ショ</t>
    </rPh>
    <rPh sb="3" eb="5">
      <t>イチラン</t>
    </rPh>
    <rPh sb="5" eb="7">
      <t>ガメン</t>
    </rPh>
    <rPh sb="8" eb="10">
      <t>ヒョウジ</t>
    </rPh>
    <phoneticPr fontId="1"/>
  </si>
  <si>
    <t>着手数</t>
    <rPh sb="0" eb="2">
      <t>チャクシュ</t>
    </rPh>
    <rPh sb="2" eb="3">
      <t>スウ</t>
    </rPh>
    <phoneticPr fontId="1"/>
  </si>
  <si>
    <t>佐々</t>
    <rPh sb="0" eb="2">
      <t>ササ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</si>
</sst>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209550</xdr:rowOff>
        </xdr:from>
        <xdr:to>
          <xdr:col>3</xdr:col>
          <xdr:colOff>428625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"/>
  <sheetViews>
    <sheetView workbookViewId="0">
      <selection activeCell="F6" sqref="F6"/>
    </sheetView>
  </sheetViews>
  <sheetFormatPr defaultRowHeight="13.5"/>
  <cols>
    <col min="1" max="1" width="10.375" bestFit="1" customWidth="1"/>
  </cols>
  <sheetData>
    <row r="1" spans="1:2">
      <c r="A1" t="s">
        <v>15</v>
      </c>
      <c r="B1">
        <v>32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266700</xdr:colOff>
                    <xdr:row>0</xdr:row>
                    <xdr:rowOff>209550</xdr:rowOff>
                  </from>
                  <to>
                    <xdr:col>3</xdr:col>
                    <xdr:colOff>428625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5"/>
  <sheetViews>
    <sheetView tabSelected="1" workbookViewId="0">
      <selection activeCell="D50" sqref="D50"/>
    </sheetView>
  </sheetViews>
  <sheetFormatPr defaultRowHeight="13.5"/>
  <cols>
    <col min="1" max="1" width="4.25" customWidth="1"/>
    <col min="2" max="2" width="30.75" customWidth="1"/>
    <col min="3" max="3" width="40.75" customWidth="1"/>
    <col min="4" max="4" width="50.75" customWidth="1"/>
    <col min="5" max="5" width="8.75" customWidth="1"/>
    <col min="6" max="6" width="10.25" customWidth="1"/>
    <col min="7" max="7" width="10.5" bestFit="1" customWidth="1"/>
    <col min="8" max="10" width="8.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帳票出力</v>
      </c>
      <c r="D1" s="8"/>
    </row>
    <row r="2" spans="1:10">
      <c r="B2" s="11" t="s">
        <v>9</v>
      </c>
      <c r="C2" s="10">
        <f>COUNTA(D7:D33)</f>
        <v>12</v>
      </c>
    </row>
    <row r="3" spans="1:10">
      <c r="B3" s="11" t="s">
        <v>63</v>
      </c>
      <c r="C3" s="10">
        <f>COUNTA(F7:F34)</f>
        <v>11</v>
      </c>
    </row>
    <row r="4" spans="1:10">
      <c r="B4" s="11" t="s">
        <v>11</v>
      </c>
      <c r="C4" s="10">
        <f>COUNTA(G7:G33)</f>
        <v>10</v>
      </c>
    </row>
    <row r="5" spans="1:10">
      <c r="B5" s="9"/>
      <c r="C5" s="8"/>
    </row>
    <row r="6" spans="1:10" s="6" customFormat="1">
      <c r="A6" s="7" t="s">
        <v>4</v>
      </c>
      <c r="B6" s="7" t="s">
        <v>6</v>
      </c>
      <c r="C6" s="7" t="s">
        <v>7</v>
      </c>
      <c r="D6" s="7" t="s">
        <v>3</v>
      </c>
      <c r="E6" s="7" t="s">
        <v>2</v>
      </c>
      <c r="F6" s="7" t="s">
        <v>1</v>
      </c>
      <c r="G6" s="7" t="s">
        <v>0</v>
      </c>
      <c r="H6" s="15" t="s">
        <v>8</v>
      </c>
      <c r="I6" s="15"/>
      <c r="J6" s="15"/>
    </row>
    <row r="7" spans="1:10" s="1" customFormat="1" ht="27">
      <c r="A7" s="2">
        <f>ROW()-5</f>
        <v>2</v>
      </c>
      <c r="B7" s="5" t="s">
        <v>16</v>
      </c>
      <c r="C7" s="5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33" si="0">ROW()-5</f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54">
      <c r="A9" s="2">
        <f t="shared" si="0"/>
        <v>4</v>
      </c>
      <c r="B9" s="5"/>
      <c r="C9" s="5" t="s">
        <v>14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5" t="s">
        <v>20</v>
      </c>
      <c r="D10" s="5" t="s">
        <v>21</v>
      </c>
      <c r="E10" s="4" t="s">
        <v>64</v>
      </c>
      <c r="F10" s="3">
        <v>43741</v>
      </c>
      <c r="G10" s="3">
        <v>43741</v>
      </c>
      <c r="H10" s="2"/>
      <c r="I10" s="4"/>
      <c r="J10" s="4"/>
    </row>
    <row r="11" spans="1:10" s="1" customFormat="1">
      <c r="A11" s="2">
        <f t="shared" si="0"/>
        <v>6</v>
      </c>
      <c r="B11" s="5"/>
      <c r="C11" s="5"/>
      <c r="D11" s="5" t="s">
        <v>17</v>
      </c>
      <c r="E11" s="4" t="s">
        <v>64</v>
      </c>
      <c r="F11" s="3">
        <v>43741</v>
      </c>
      <c r="G11" s="3">
        <v>43741</v>
      </c>
      <c r="H11" s="2"/>
      <c r="I11" s="4"/>
      <c r="J11" s="4"/>
    </row>
    <row r="12" spans="1:10" s="1" customFormat="1">
      <c r="A12" s="2">
        <f t="shared" si="0"/>
        <v>7</v>
      </c>
      <c r="B12" s="5" t="s">
        <v>22</v>
      </c>
      <c r="C12" s="13" t="s">
        <v>23</v>
      </c>
      <c r="D12" s="5" t="s">
        <v>24</v>
      </c>
      <c r="E12" s="4" t="s">
        <v>64</v>
      </c>
      <c r="F12" s="3">
        <v>43741</v>
      </c>
      <c r="G12" s="3">
        <v>43745</v>
      </c>
      <c r="H12" s="2">
        <v>78</v>
      </c>
      <c r="I12" s="4"/>
      <c r="J12" s="4"/>
    </row>
    <row r="13" spans="1:10" s="1" customFormat="1" ht="27">
      <c r="A13" s="2">
        <f t="shared" si="0"/>
        <v>8</v>
      </c>
      <c r="B13" s="5"/>
      <c r="C13" s="13" t="s">
        <v>25</v>
      </c>
      <c r="D13" s="5" t="s">
        <v>21</v>
      </c>
      <c r="E13" s="4" t="s">
        <v>64</v>
      </c>
      <c r="F13" s="3">
        <v>43741</v>
      </c>
      <c r="G13" s="3">
        <v>43741</v>
      </c>
      <c r="H13" s="2"/>
      <c r="I13" s="4"/>
      <c r="J13" s="4"/>
    </row>
    <row r="14" spans="1:10" s="1" customFormat="1">
      <c r="A14" s="2">
        <f t="shared" si="0"/>
        <v>9</v>
      </c>
      <c r="B14" s="5" t="s">
        <v>26</v>
      </c>
      <c r="C14" s="13" t="s">
        <v>27</v>
      </c>
      <c r="D14" s="5" t="s">
        <v>28</v>
      </c>
      <c r="E14" s="4" t="s">
        <v>64</v>
      </c>
      <c r="F14" s="3">
        <v>43741</v>
      </c>
      <c r="G14" s="3">
        <v>43741</v>
      </c>
      <c r="H14" s="2"/>
      <c r="I14" s="4"/>
      <c r="J14" s="4"/>
    </row>
    <row r="15" spans="1:10" s="1" customFormat="1" ht="27">
      <c r="A15" s="2">
        <f t="shared" si="0"/>
        <v>10</v>
      </c>
      <c r="B15" s="5"/>
      <c r="C15" s="13" t="s">
        <v>25</v>
      </c>
      <c r="D15" s="5" t="s">
        <v>21</v>
      </c>
      <c r="E15" s="4" t="s">
        <v>64</v>
      </c>
      <c r="F15" s="3">
        <v>43741</v>
      </c>
      <c r="G15" s="3">
        <v>43741</v>
      </c>
      <c r="H15" s="2"/>
      <c r="I15" s="4"/>
      <c r="J15" s="4"/>
    </row>
    <row r="16" spans="1:10" s="1" customFormat="1">
      <c r="A16" s="2">
        <f t="shared" si="0"/>
        <v>11</v>
      </c>
      <c r="B16" s="5" t="s">
        <v>29</v>
      </c>
      <c r="C16" s="13" t="s">
        <v>30</v>
      </c>
      <c r="D16" s="5" t="s">
        <v>31</v>
      </c>
      <c r="E16" s="4" t="s">
        <v>64</v>
      </c>
      <c r="F16" s="3">
        <v>43741</v>
      </c>
      <c r="G16" s="3">
        <v>43741</v>
      </c>
      <c r="H16" s="2"/>
      <c r="I16" s="4"/>
      <c r="J16" s="4"/>
    </row>
    <row r="17" spans="1:10" s="1" customFormat="1" ht="27">
      <c r="A17" s="2">
        <f t="shared" si="0"/>
        <v>12</v>
      </c>
      <c r="B17" s="5"/>
      <c r="C17" s="13" t="s">
        <v>25</v>
      </c>
      <c r="D17" s="5" t="s">
        <v>21</v>
      </c>
      <c r="E17" s="4" t="s">
        <v>64</v>
      </c>
      <c r="F17" s="3">
        <v>43741</v>
      </c>
      <c r="G17" s="3">
        <v>43741</v>
      </c>
      <c r="H17" s="2"/>
      <c r="I17" s="4"/>
      <c r="J17" s="4"/>
    </row>
    <row r="18" spans="1:10" s="1" customFormat="1">
      <c r="A18" s="2">
        <f t="shared" si="0"/>
        <v>13</v>
      </c>
      <c r="B18" s="5" t="s">
        <v>32</v>
      </c>
      <c r="C18" s="13" t="s">
        <v>33</v>
      </c>
      <c r="D18" s="5" t="s">
        <v>34</v>
      </c>
      <c r="E18" s="4" t="s">
        <v>64</v>
      </c>
      <c r="F18" s="3">
        <v>43741</v>
      </c>
      <c r="G18" s="3">
        <v>43742</v>
      </c>
      <c r="H18" s="2">
        <v>72</v>
      </c>
      <c r="I18" s="4"/>
      <c r="J18" s="4"/>
    </row>
    <row r="19" spans="1:10" s="1" customFormat="1" ht="27">
      <c r="A19" s="2">
        <f t="shared" si="0"/>
        <v>14</v>
      </c>
      <c r="B19" s="5"/>
      <c r="C19" s="13" t="s">
        <v>25</v>
      </c>
      <c r="D19" s="5" t="s">
        <v>21</v>
      </c>
      <c r="E19" s="4" t="s">
        <v>64</v>
      </c>
      <c r="F19" s="3">
        <v>43742</v>
      </c>
      <c r="G19" s="3">
        <v>43742</v>
      </c>
      <c r="H19" s="2"/>
      <c r="I19" s="4"/>
      <c r="J19" s="4"/>
    </row>
    <row r="20" spans="1:10" s="1" customFormat="1">
      <c r="A20" s="2">
        <f t="shared" si="0"/>
        <v>15</v>
      </c>
      <c r="B20" s="5" t="s">
        <v>35</v>
      </c>
      <c r="C20" s="13" t="s">
        <v>36</v>
      </c>
      <c r="D20" s="5" t="s">
        <v>37</v>
      </c>
      <c r="E20" s="4" t="s">
        <v>64</v>
      </c>
      <c r="F20" s="3">
        <v>43741</v>
      </c>
      <c r="G20" s="3"/>
      <c r="H20" s="2">
        <v>73</v>
      </c>
      <c r="I20" s="4"/>
      <c r="J20" s="4"/>
    </row>
    <row r="21" spans="1:10" s="1" customFormat="1" ht="27">
      <c r="A21" s="2">
        <f t="shared" si="0"/>
        <v>16</v>
      </c>
      <c r="B21" s="5"/>
      <c r="C21" s="13" t="s">
        <v>25</v>
      </c>
      <c r="D21" s="5" t="s">
        <v>21</v>
      </c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3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3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3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3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5" spans="1:10">
      <c r="B35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36"/>
  <sheetViews>
    <sheetView workbookViewId="0">
      <selection activeCell="A3" sqref="A3:XFD3"/>
    </sheetView>
  </sheetViews>
  <sheetFormatPr defaultRowHeight="13.5"/>
  <cols>
    <col min="1" max="1" width="4.25" customWidth="1"/>
    <col min="2" max="2" width="30.75" customWidth="1"/>
    <col min="3" max="3" width="40.75" customWidth="1"/>
    <col min="4" max="4" width="50.75" customWidth="1"/>
    <col min="5" max="5" width="8.75" customWidth="1"/>
    <col min="6" max="6" width="10.25" customWidth="1"/>
    <col min="7" max="7" width="10.25" bestFit="1" customWidth="1"/>
    <col min="8" max="10" width="8.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商品化企画書検索</v>
      </c>
      <c r="D1" s="8"/>
    </row>
    <row r="2" spans="1:10">
      <c r="B2" s="11" t="s">
        <v>9</v>
      </c>
      <c r="C2" s="10">
        <f>COUNTA(D7:D34)</f>
        <v>13</v>
      </c>
    </row>
    <row r="3" spans="1:10">
      <c r="B3" s="11" t="s">
        <v>63</v>
      </c>
      <c r="C3" s="10">
        <f>COUNTA(F7:F34)</f>
        <v>0</v>
      </c>
    </row>
    <row r="4" spans="1:10">
      <c r="B4" s="11" t="s">
        <v>11</v>
      </c>
      <c r="C4" s="10">
        <f>COUNTA(G7:G34)</f>
        <v>0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5" t="s">
        <v>8</v>
      </c>
      <c r="I6" s="15"/>
      <c r="J6" s="15"/>
    </row>
    <row r="7" spans="1:10" s="1" customFormat="1" ht="27">
      <c r="A7" s="2">
        <f>ROW()-5</f>
        <v>2</v>
      </c>
      <c r="B7" s="5" t="s">
        <v>16</v>
      </c>
      <c r="C7" s="5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34" si="0">ROW()-5</f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54">
      <c r="A9" s="2">
        <f t="shared" si="0"/>
        <v>4</v>
      </c>
      <c r="B9" s="5"/>
      <c r="C9" s="5" t="s">
        <v>14</v>
      </c>
      <c r="D9" s="5"/>
      <c r="E9" s="4"/>
      <c r="F9" s="3"/>
      <c r="G9" s="3"/>
      <c r="H9" s="2"/>
      <c r="I9" s="4"/>
      <c r="J9" s="4"/>
    </row>
    <row r="10" spans="1:10" s="1" customFormat="1" ht="27">
      <c r="A10" s="2">
        <f t="shared" si="0"/>
        <v>5</v>
      </c>
      <c r="B10" s="5"/>
      <c r="C10" s="13" t="s">
        <v>38</v>
      </c>
      <c r="D10" s="5" t="s">
        <v>21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3" t="s">
        <v>23</v>
      </c>
      <c r="D11" s="5" t="s">
        <v>24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13"/>
      <c r="D12" s="5" t="s">
        <v>39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 t="s">
        <v>40</v>
      </c>
      <c r="C13" s="13" t="s">
        <v>41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3" t="s">
        <v>18</v>
      </c>
      <c r="D14" s="5" t="s">
        <v>42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3" t="s">
        <v>41</v>
      </c>
      <c r="D15" s="5"/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3" t="s">
        <v>19</v>
      </c>
      <c r="D16" s="5" t="s">
        <v>43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13"/>
      <c r="D17" s="5" t="s">
        <v>39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13"/>
      <c r="D18" s="5" t="s">
        <v>44</v>
      </c>
      <c r="E18" s="4"/>
      <c r="F18" s="3"/>
      <c r="G18" s="3"/>
      <c r="H18" s="2"/>
      <c r="I18" s="4"/>
      <c r="J18" s="4"/>
    </row>
    <row r="19" spans="1:10" s="1" customFormat="1" ht="27">
      <c r="A19" s="2">
        <f t="shared" si="0"/>
        <v>14</v>
      </c>
      <c r="B19" s="5" t="s">
        <v>45</v>
      </c>
      <c r="C19" s="13" t="s">
        <v>46</v>
      </c>
      <c r="D19" s="5" t="s">
        <v>47</v>
      </c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3"/>
      <c r="D20" s="5" t="s">
        <v>39</v>
      </c>
      <c r="E20" s="4"/>
      <c r="F20" s="3"/>
      <c r="G20" s="3"/>
      <c r="H20" s="2"/>
      <c r="I20" s="4"/>
      <c r="J20" s="4"/>
    </row>
    <row r="21" spans="1:10" s="1" customFormat="1" ht="27">
      <c r="A21" s="2">
        <f t="shared" si="0"/>
        <v>16</v>
      </c>
      <c r="B21" s="5"/>
      <c r="C21" s="13" t="s">
        <v>48</v>
      </c>
      <c r="D21" s="5" t="s">
        <v>49</v>
      </c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3" t="s">
        <v>50</v>
      </c>
      <c r="D22" s="5"/>
      <c r="E22" s="4"/>
      <c r="F22" s="3"/>
      <c r="G22" s="3"/>
      <c r="H22" s="2"/>
      <c r="I22" s="4"/>
      <c r="J22" s="4"/>
    </row>
    <row r="23" spans="1:10" s="1" customFormat="1" ht="27">
      <c r="A23" s="2">
        <f t="shared" si="0"/>
        <v>18</v>
      </c>
      <c r="B23" s="5"/>
      <c r="C23" s="13" t="s">
        <v>51</v>
      </c>
      <c r="D23" s="5" t="s">
        <v>52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3"/>
      <c r="D24" s="5" t="s">
        <v>39</v>
      </c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3" t="s">
        <v>53</v>
      </c>
      <c r="D25" s="5" t="s">
        <v>54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 t="s">
        <v>55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6" spans="1:10">
      <c r="B36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36"/>
  <sheetViews>
    <sheetView workbookViewId="0">
      <selection activeCell="A3" sqref="A3:XFD3"/>
    </sheetView>
  </sheetViews>
  <sheetFormatPr defaultRowHeight="13.5"/>
  <cols>
    <col min="1" max="1" width="4.25" customWidth="1"/>
    <col min="2" max="2" width="30.75" customWidth="1"/>
    <col min="3" max="3" width="40.75" customWidth="1"/>
    <col min="4" max="4" width="50.75" customWidth="1"/>
    <col min="5" max="5" width="8.75" customWidth="1"/>
    <col min="6" max="6" width="10.25" customWidth="1"/>
    <col min="7" max="7" width="10.25" bestFit="1" customWidth="1"/>
    <col min="8" max="10" width="8.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発注書検索</v>
      </c>
      <c r="D1" s="8"/>
    </row>
    <row r="2" spans="1:10">
      <c r="B2" s="11" t="s">
        <v>9</v>
      </c>
      <c r="C2" s="10">
        <f>COUNTA(D7:D34)</f>
        <v>13</v>
      </c>
    </row>
    <row r="3" spans="1:10">
      <c r="B3" s="11" t="s">
        <v>63</v>
      </c>
      <c r="C3" s="10">
        <f>COUNTA(F7:F34)</f>
        <v>0</v>
      </c>
    </row>
    <row r="4" spans="1:10">
      <c r="B4" s="11" t="s">
        <v>11</v>
      </c>
      <c r="C4" s="10">
        <f>COUNTA(G7:G34)</f>
        <v>0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5" t="s">
        <v>8</v>
      </c>
      <c r="I6" s="15"/>
      <c r="J6" s="15"/>
    </row>
    <row r="7" spans="1:10" s="1" customFormat="1" ht="27">
      <c r="A7" s="2">
        <f>ROW()-5</f>
        <v>2</v>
      </c>
      <c r="B7" s="5" t="s">
        <v>16</v>
      </c>
      <c r="C7" s="5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34" si="0">ROW()-5</f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54">
      <c r="A9" s="2">
        <f t="shared" si="0"/>
        <v>4</v>
      </c>
      <c r="B9" s="5"/>
      <c r="C9" s="5" t="s">
        <v>14</v>
      </c>
      <c r="D9" s="5"/>
      <c r="E9" s="4"/>
      <c r="F9" s="3"/>
      <c r="G9" s="3"/>
      <c r="H9" s="2"/>
      <c r="I9" s="4"/>
      <c r="J9" s="4"/>
    </row>
    <row r="10" spans="1:10" s="1" customFormat="1" ht="27">
      <c r="A10" s="2">
        <f t="shared" si="0"/>
        <v>5</v>
      </c>
      <c r="B10" s="5"/>
      <c r="C10" s="13" t="s">
        <v>38</v>
      </c>
      <c r="D10" s="5" t="s">
        <v>21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3" t="s">
        <v>27</v>
      </c>
      <c r="D11" s="5" t="s">
        <v>28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13"/>
      <c r="D12" s="5" t="s">
        <v>39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 t="s">
        <v>40</v>
      </c>
      <c r="C13" s="13" t="s">
        <v>41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3" t="s">
        <v>18</v>
      </c>
      <c r="D14" s="5" t="s">
        <v>42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3" t="s">
        <v>41</v>
      </c>
      <c r="D15" s="5"/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3" t="s">
        <v>19</v>
      </c>
      <c r="D16" s="5" t="s">
        <v>56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13"/>
      <c r="D17" s="5" t="s">
        <v>39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13"/>
      <c r="D18" s="5" t="s">
        <v>44</v>
      </c>
      <c r="E18" s="4"/>
      <c r="F18" s="3"/>
      <c r="G18" s="3"/>
      <c r="H18" s="2"/>
      <c r="I18" s="4"/>
      <c r="J18" s="4"/>
    </row>
    <row r="19" spans="1:10" s="1" customFormat="1" ht="27">
      <c r="A19" s="2">
        <f t="shared" si="0"/>
        <v>14</v>
      </c>
      <c r="B19" s="5" t="s">
        <v>45</v>
      </c>
      <c r="C19" s="13" t="s">
        <v>46</v>
      </c>
      <c r="D19" s="5" t="s">
        <v>47</v>
      </c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3"/>
      <c r="D20" s="5" t="s">
        <v>39</v>
      </c>
      <c r="E20" s="4"/>
      <c r="F20" s="3"/>
      <c r="G20" s="3"/>
      <c r="H20" s="2"/>
      <c r="I20" s="4"/>
      <c r="J20" s="4"/>
    </row>
    <row r="21" spans="1:10" s="1" customFormat="1" ht="27">
      <c r="A21" s="2">
        <f t="shared" si="0"/>
        <v>16</v>
      </c>
      <c r="B21" s="5"/>
      <c r="C21" s="13" t="s">
        <v>48</v>
      </c>
      <c r="D21" s="5" t="s">
        <v>49</v>
      </c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3" t="s">
        <v>50</v>
      </c>
      <c r="D22" s="5"/>
      <c r="E22" s="4"/>
      <c r="F22" s="3"/>
      <c r="G22" s="3"/>
      <c r="H22" s="2"/>
      <c r="I22" s="4"/>
      <c r="J22" s="4"/>
    </row>
    <row r="23" spans="1:10" s="1" customFormat="1" ht="27">
      <c r="A23" s="2">
        <f t="shared" si="0"/>
        <v>18</v>
      </c>
      <c r="B23" s="5"/>
      <c r="C23" s="13" t="s">
        <v>51</v>
      </c>
      <c r="D23" s="5" t="s">
        <v>52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3"/>
      <c r="D24" s="5" t="s">
        <v>39</v>
      </c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3" t="s">
        <v>53</v>
      </c>
      <c r="D25" s="5" t="s">
        <v>54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 t="s">
        <v>55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6" spans="1:10">
      <c r="B36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36"/>
  <sheetViews>
    <sheetView workbookViewId="0">
      <selection activeCell="A3" sqref="A3:XFD3"/>
    </sheetView>
  </sheetViews>
  <sheetFormatPr defaultRowHeight="13.5"/>
  <cols>
    <col min="1" max="1" width="4.25" customWidth="1"/>
    <col min="2" max="2" width="30.75" customWidth="1"/>
    <col min="3" max="3" width="40.75" customWidth="1"/>
    <col min="4" max="4" width="50.75" customWidth="1"/>
    <col min="5" max="5" width="8.75" customWidth="1"/>
    <col min="6" max="6" width="10.25" customWidth="1"/>
    <col min="7" max="7" width="10.25" bestFit="1" customWidth="1"/>
    <col min="8" max="10" width="8.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見積原価書検索</v>
      </c>
      <c r="D1" s="8"/>
    </row>
    <row r="2" spans="1:10">
      <c r="B2" s="11" t="s">
        <v>9</v>
      </c>
      <c r="C2" s="10">
        <f>COUNTA(D7:D34)</f>
        <v>13</v>
      </c>
    </row>
    <row r="3" spans="1:10">
      <c r="B3" s="11" t="s">
        <v>63</v>
      </c>
      <c r="C3" s="10">
        <f>COUNTA(F7:F34)</f>
        <v>0</v>
      </c>
    </row>
    <row r="4" spans="1:10">
      <c r="B4" s="11" t="s">
        <v>11</v>
      </c>
      <c r="C4" s="10">
        <f>COUNTA(G7:G34)</f>
        <v>0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5" t="s">
        <v>8</v>
      </c>
      <c r="I6" s="15"/>
      <c r="J6" s="15"/>
    </row>
    <row r="7" spans="1:10" s="1" customFormat="1" ht="27">
      <c r="A7" s="2">
        <f>ROW()-5</f>
        <v>2</v>
      </c>
      <c r="B7" s="5" t="s">
        <v>16</v>
      </c>
      <c r="C7" s="5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34" si="0">ROW()-5</f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54">
      <c r="A9" s="2">
        <f t="shared" si="0"/>
        <v>4</v>
      </c>
      <c r="B9" s="5"/>
      <c r="C9" s="5" t="s">
        <v>14</v>
      </c>
      <c r="D9" s="5"/>
      <c r="E9" s="4"/>
      <c r="F9" s="3"/>
      <c r="G9" s="3"/>
      <c r="H9" s="2"/>
      <c r="I9" s="4"/>
      <c r="J9" s="4"/>
    </row>
    <row r="10" spans="1:10" s="1" customFormat="1" ht="27">
      <c r="A10" s="2">
        <f t="shared" si="0"/>
        <v>5</v>
      </c>
      <c r="B10" s="5"/>
      <c r="C10" s="13" t="s">
        <v>38</v>
      </c>
      <c r="D10" s="5" t="s">
        <v>21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3" t="s">
        <v>30</v>
      </c>
      <c r="D11" s="5" t="s">
        <v>31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13"/>
      <c r="D12" s="5" t="s">
        <v>39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 t="s">
        <v>40</v>
      </c>
      <c r="C13" s="13" t="s">
        <v>41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3" t="s">
        <v>18</v>
      </c>
      <c r="D14" s="5" t="s">
        <v>42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3" t="s">
        <v>41</v>
      </c>
      <c r="D15" s="5"/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3" t="s">
        <v>19</v>
      </c>
      <c r="D16" s="5" t="s">
        <v>57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13"/>
      <c r="D17" s="5" t="s">
        <v>39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13"/>
      <c r="D18" s="5" t="s">
        <v>44</v>
      </c>
      <c r="E18" s="4"/>
      <c r="F18" s="3"/>
      <c r="G18" s="3"/>
      <c r="H18" s="2"/>
      <c r="I18" s="4"/>
      <c r="J18" s="4"/>
    </row>
    <row r="19" spans="1:10" s="1" customFormat="1" ht="27">
      <c r="A19" s="2">
        <f t="shared" si="0"/>
        <v>14</v>
      </c>
      <c r="B19" s="5" t="s">
        <v>45</v>
      </c>
      <c r="C19" s="13" t="s">
        <v>46</v>
      </c>
      <c r="D19" s="5" t="s">
        <v>47</v>
      </c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3"/>
      <c r="D20" s="5" t="s">
        <v>39</v>
      </c>
      <c r="E20" s="4"/>
      <c r="F20" s="3"/>
      <c r="G20" s="3"/>
      <c r="H20" s="2"/>
      <c r="I20" s="4"/>
      <c r="J20" s="4"/>
    </row>
    <row r="21" spans="1:10" s="1" customFormat="1" ht="27">
      <c r="A21" s="2">
        <f t="shared" si="0"/>
        <v>16</v>
      </c>
      <c r="B21" s="5"/>
      <c r="C21" s="13" t="s">
        <v>48</v>
      </c>
      <c r="D21" s="5" t="s">
        <v>49</v>
      </c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3" t="s">
        <v>50</v>
      </c>
      <c r="D22" s="5"/>
      <c r="E22" s="4"/>
      <c r="F22" s="3"/>
      <c r="G22" s="3"/>
      <c r="H22" s="2"/>
      <c r="I22" s="4"/>
      <c r="J22" s="4"/>
    </row>
    <row r="23" spans="1:10" s="1" customFormat="1" ht="27">
      <c r="A23" s="2">
        <f t="shared" si="0"/>
        <v>18</v>
      </c>
      <c r="B23" s="5"/>
      <c r="C23" s="13" t="s">
        <v>51</v>
      </c>
      <c r="D23" s="5" t="s">
        <v>52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3"/>
      <c r="D24" s="5" t="s">
        <v>39</v>
      </c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3" t="s">
        <v>53</v>
      </c>
      <c r="D25" s="5" t="s">
        <v>54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 t="s">
        <v>55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6" spans="1:10">
      <c r="B36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36"/>
  <sheetViews>
    <sheetView workbookViewId="0">
      <selection activeCell="A3" sqref="A3:XFD3"/>
    </sheetView>
  </sheetViews>
  <sheetFormatPr defaultRowHeight="13.5"/>
  <cols>
    <col min="1" max="1" width="4.25" customWidth="1"/>
    <col min="2" max="2" width="30.75" customWidth="1"/>
    <col min="3" max="3" width="40.75" customWidth="1"/>
    <col min="4" max="4" width="50.75" customWidth="1"/>
    <col min="5" max="5" width="8.75" customWidth="1"/>
    <col min="6" max="6" width="10.25" customWidth="1"/>
    <col min="7" max="7" width="10.25" bestFit="1" customWidth="1"/>
    <col min="8" max="10" width="8.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納品書検索</v>
      </c>
      <c r="D1" s="8"/>
    </row>
    <row r="2" spans="1:10">
      <c r="B2" s="11" t="s">
        <v>9</v>
      </c>
      <c r="C2" s="10">
        <f>COUNTA(D7:D34)</f>
        <v>13</v>
      </c>
    </row>
    <row r="3" spans="1:10">
      <c r="B3" s="11" t="s">
        <v>63</v>
      </c>
      <c r="C3" s="10">
        <f>COUNTA(F7:F34)</f>
        <v>0</v>
      </c>
    </row>
    <row r="4" spans="1:10">
      <c r="B4" s="11" t="s">
        <v>11</v>
      </c>
      <c r="C4" s="10">
        <f>COUNTA(G7:G34)</f>
        <v>0</v>
      </c>
    </row>
    <row r="5" spans="1:10">
      <c r="B5" s="9"/>
      <c r="C5" s="8"/>
    </row>
    <row r="6" spans="1:10" s="6" customFormat="1">
      <c r="A6" s="14" t="s">
        <v>4</v>
      </c>
      <c r="B6" s="14" t="s">
        <v>6</v>
      </c>
      <c r="C6" s="14" t="s">
        <v>7</v>
      </c>
      <c r="D6" s="14" t="s">
        <v>3</v>
      </c>
      <c r="E6" s="14" t="s">
        <v>2</v>
      </c>
      <c r="F6" s="14" t="s">
        <v>1</v>
      </c>
      <c r="G6" s="14" t="s">
        <v>0</v>
      </c>
      <c r="H6" s="15" t="s">
        <v>8</v>
      </c>
      <c r="I6" s="15"/>
      <c r="J6" s="15"/>
    </row>
    <row r="7" spans="1:10" s="1" customFormat="1" ht="27">
      <c r="A7" s="2">
        <f>ROW()-5</f>
        <v>2</v>
      </c>
      <c r="B7" s="5" t="s">
        <v>16</v>
      </c>
      <c r="C7" s="5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34" si="0">ROW()-5</f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54">
      <c r="A9" s="2">
        <f t="shared" si="0"/>
        <v>4</v>
      </c>
      <c r="B9" s="5"/>
      <c r="C9" s="5" t="s">
        <v>14</v>
      </c>
      <c r="D9" s="5"/>
      <c r="E9" s="4"/>
      <c r="F9" s="3"/>
      <c r="G9" s="3"/>
      <c r="H9" s="2"/>
      <c r="I9" s="4"/>
      <c r="J9" s="4"/>
    </row>
    <row r="10" spans="1:10" s="1" customFormat="1" ht="27">
      <c r="A10" s="2">
        <f t="shared" si="0"/>
        <v>5</v>
      </c>
      <c r="B10" s="5"/>
      <c r="C10" s="13" t="s">
        <v>38</v>
      </c>
      <c r="D10" s="5" t="s">
        <v>21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3" t="s">
        <v>33</v>
      </c>
      <c r="D11" s="5" t="s">
        <v>34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13"/>
      <c r="D12" s="5" t="s">
        <v>58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 t="s">
        <v>40</v>
      </c>
      <c r="C13" s="13" t="s">
        <v>41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3" t="s">
        <v>18</v>
      </c>
      <c r="D14" s="5" t="s">
        <v>42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3" t="s">
        <v>41</v>
      </c>
      <c r="D15" s="5"/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3" t="s">
        <v>19</v>
      </c>
      <c r="D16" s="5" t="s">
        <v>59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13"/>
      <c r="D17" s="5" t="s">
        <v>58</v>
      </c>
      <c r="E17" s="4"/>
      <c r="F17" s="3"/>
      <c r="G17" s="3"/>
      <c r="H17" s="2"/>
      <c r="I17" s="4"/>
      <c r="J17" s="4"/>
    </row>
    <row r="18" spans="1:10" s="1" customFormat="1" ht="27">
      <c r="A18" s="2">
        <f t="shared" si="0"/>
        <v>13</v>
      </c>
      <c r="B18" s="5"/>
      <c r="C18" s="13"/>
      <c r="D18" s="5" t="s">
        <v>60</v>
      </c>
      <c r="E18" s="4"/>
      <c r="F18" s="3"/>
      <c r="G18" s="3"/>
      <c r="H18" s="2"/>
      <c r="I18" s="4"/>
      <c r="J18" s="4"/>
    </row>
    <row r="19" spans="1:10" s="1" customFormat="1" ht="27">
      <c r="A19" s="2">
        <f t="shared" si="0"/>
        <v>14</v>
      </c>
      <c r="B19" s="5" t="s">
        <v>45</v>
      </c>
      <c r="C19" s="13" t="s">
        <v>46</v>
      </c>
      <c r="D19" s="5" t="s">
        <v>47</v>
      </c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3"/>
      <c r="D20" s="5" t="s">
        <v>61</v>
      </c>
      <c r="E20" s="4"/>
      <c r="F20" s="3"/>
      <c r="G20" s="3"/>
      <c r="H20" s="2"/>
      <c r="I20" s="4"/>
      <c r="J20" s="4"/>
    </row>
    <row r="21" spans="1:10" s="1" customFormat="1" ht="27">
      <c r="A21" s="2">
        <f t="shared" si="0"/>
        <v>16</v>
      </c>
      <c r="B21" s="5"/>
      <c r="C21" s="13" t="s">
        <v>48</v>
      </c>
      <c r="D21" s="5" t="s">
        <v>49</v>
      </c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3" t="s">
        <v>50</v>
      </c>
      <c r="D22" s="5"/>
      <c r="E22" s="4"/>
      <c r="F22" s="3"/>
      <c r="G22" s="3"/>
      <c r="H22" s="2"/>
      <c r="I22" s="4"/>
      <c r="J22" s="4"/>
    </row>
    <row r="23" spans="1:10" s="1" customFormat="1" ht="27">
      <c r="A23" s="2">
        <f t="shared" si="0"/>
        <v>18</v>
      </c>
      <c r="B23" s="5"/>
      <c r="C23" s="13" t="s">
        <v>51</v>
      </c>
      <c r="D23" s="5" t="s">
        <v>52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3"/>
      <c r="D24" s="5" t="s">
        <v>61</v>
      </c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3" t="s">
        <v>53</v>
      </c>
      <c r="D25" s="5" t="s">
        <v>54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 t="s">
        <v>55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6" spans="1:10">
      <c r="B36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36"/>
  <sheetViews>
    <sheetView workbookViewId="0">
      <selection activeCell="A3" sqref="A3:XFD3"/>
    </sheetView>
  </sheetViews>
  <sheetFormatPr defaultRowHeight="13.5"/>
  <cols>
    <col min="1" max="1" width="4.25" customWidth="1"/>
    <col min="2" max="2" width="30.75" customWidth="1"/>
    <col min="3" max="3" width="40.75" customWidth="1"/>
    <col min="4" max="4" width="50.75" customWidth="1"/>
    <col min="5" max="5" width="8.75" customWidth="1"/>
    <col min="6" max="6" width="10.25" customWidth="1"/>
    <col min="7" max="7" width="10.25" bestFit="1" customWidth="1"/>
    <col min="8" max="10" width="8.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請求書検索</v>
      </c>
      <c r="D1" s="8"/>
    </row>
    <row r="2" spans="1:10">
      <c r="B2" s="11" t="s">
        <v>9</v>
      </c>
      <c r="C2" s="10">
        <f>COUNTA(D7:D34)</f>
        <v>13</v>
      </c>
    </row>
    <row r="3" spans="1:10">
      <c r="B3" s="11" t="s">
        <v>63</v>
      </c>
      <c r="C3" s="10">
        <f>COUNTA(F7:F34)</f>
        <v>0</v>
      </c>
    </row>
    <row r="4" spans="1:10">
      <c r="B4" s="11" t="s">
        <v>11</v>
      </c>
      <c r="C4" s="10">
        <f>COUNTA(G7:G34)</f>
        <v>0</v>
      </c>
    </row>
    <row r="5" spans="1:10">
      <c r="B5" s="9"/>
      <c r="C5" s="8"/>
    </row>
    <row r="6" spans="1:10" s="6" customFormat="1">
      <c r="A6" s="14" t="s">
        <v>4</v>
      </c>
      <c r="B6" s="14" t="s">
        <v>6</v>
      </c>
      <c r="C6" s="14" t="s">
        <v>7</v>
      </c>
      <c r="D6" s="14" t="s">
        <v>3</v>
      </c>
      <c r="E6" s="14" t="s">
        <v>2</v>
      </c>
      <c r="F6" s="14" t="s">
        <v>1</v>
      </c>
      <c r="G6" s="14" t="s">
        <v>0</v>
      </c>
      <c r="H6" s="15" t="s">
        <v>8</v>
      </c>
      <c r="I6" s="15"/>
      <c r="J6" s="15"/>
    </row>
    <row r="7" spans="1:10" s="1" customFormat="1" ht="27">
      <c r="A7" s="2">
        <f>ROW()-5</f>
        <v>2</v>
      </c>
      <c r="B7" s="5" t="s">
        <v>16</v>
      </c>
      <c r="C7" s="5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34" si="0">ROW()-5</f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54">
      <c r="A9" s="2">
        <f t="shared" si="0"/>
        <v>4</v>
      </c>
      <c r="B9" s="5"/>
      <c r="C9" s="5" t="s">
        <v>14</v>
      </c>
      <c r="D9" s="5"/>
      <c r="E9" s="4"/>
      <c r="F9" s="3"/>
      <c r="G9" s="3"/>
      <c r="H9" s="2"/>
      <c r="I9" s="4"/>
      <c r="J9" s="4"/>
    </row>
    <row r="10" spans="1:10" s="1" customFormat="1" ht="27">
      <c r="A10" s="2">
        <f t="shared" si="0"/>
        <v>5</v>
      </c>
      <c r="B10" s="5"/>
      <c r="C10" s="13" t="s">
        <v>38</v>
      </c>
      <c r="D10" s="5" t="s">
        <v>21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3" t="s">
        <v>36</v>
      </c>
      <c r="D11" s="5" t="s">
        <v>37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13"/>
      <c r="D12" s="5" t="s">
        <v>58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 t="s">
        <v>40</v>
      </c>
      <c r="C13" s="13" t="s">
        <v>41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3" t="s">
        <v>18</v>
      </c>
      <c r="D14" s="5" t="s">
        <v>42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13" t="s">
        <v>41</v>
      </c>
      <c r="D15" s="5"/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3" t="s">
        <v>19</v>
      </c>
      <c r="D16" s="5" t="s">
        <v>62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13"/>
      <c r="D17" s="5" t="s">
        <v>58</v>
      </c>
      <c r="E17" s="4"/>
      <c r="F17" s="3"/>
      <c r="G17" s="3"/>
      <c r="H17" s="2"/>
      <c r="I17" s="4"/>
      <c r="J17" s="4"/>
    </row>
    <row r="18" spans="1:10" s="1" customFormat="1" ht="27">
      <c r="A18" s="2">
        <f t="shared" si="0"/>
        <v>13</v>
      </c>
      <c r="B18" s="5"/>
      <c r="C18" s="13"/>
      <c r="D18" s="5" t="s">
        <v>60</v>
      </c>
      <c r="E18" s="4"/>
      <c r="F18" s="3"/>
      <c r="G18" s="3"/>
      <c r="H18" s="2"/>
      <c r="I18" s="4"/>
      <c r="J18" s="4"/>
    </row>
    <row r="19" spans="1:10" s="1" customFormat="1" ht="27">
      <c r="A19" s="2">
        <f t="shared" si="0"/>
        <v>14</v>
      </c>
      <c r="B19" s="5" t="s">
        <v>45</v>
      </c>
      <c r="C19" s="13" t="s">
        <v>46</v>
      </c>
      <c r="D19" s="5" t="s">
        <v>47</v>
      </c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3"/>
      <c r="D20" s="5" t="s">
        <v>58</v>
      </c>
      <c r="E20" s="4"/>
      <c r="F20" s="3"/>
      <c r="G20" s="3"/>
      <c r="H20" s="2"/>
      <c r="I20" s="4"/>
      <c r="J20" s="4"/>
    </row>
    <row r="21" spans="1:10" s="1" customFormat="1" ht="27">
      <c r="A21" s="2">
        <f t="shared" si="0"/>
        <v>16</v>
      </c>
      <c r="B21" s="5"/>
      <c r="C21" s="13" t="s">
        <v>48</v>
      </c>
      <c r="D21" s="5" t="s">
        <v>49</v>
      </c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3" t="s">
        <v>50</v>
      </c>
      <c r="D22" s="5"/>
      <c r="E22" s="4"/>
      <c r="F22" s="3"/>
      <c r="G22" s="3"/>
      <c r="H22" s="2"/>
      <c r="I22" s="4"/>
      <c r="J22" s="4"/>
    </row>
    <row r="23" spans="1:10" s="1" customFormat="1" ht="27">
      <c r="A23" s="2">
        <f t="shared" si="0"/>
        <v>18</v>
      </c>
      <c r="B23" s="5"/>
      <c r="C23" s="13" t="s">
        <v>51</v>
      </c>
      <c r="D23" s="5" t="s">
        <v>52</v>
      </c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3"/>
      <c r="D24" s="5" t="s">
        <v>58</v>
      </c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3" t="s">
        <v>53</v>
      </c>
      <c r="D25" s="5" t="s">
        <v>54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3" t="s">
        <v>55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3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3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3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3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3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3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3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3"/>
      <c r="D34" s="5"/>
      <c r="E34" s="4"/>
      <c r="F34" s="3"/>
      <c r="G34" s="3"/>
      <c r="H34" s="2"/>
      <c r="I34" s="4"/>
      <c r="J34" s="4"/>
    </row>
    <row r="36" spans="1:10">
      <c r="B36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12</vt:i4>
      </vt:variant>
    </vt:vector>
  </HeadingPairs>
  <TitlesOfParts>
    <vt:vector size="19" baseType="lpstr">
      <vt:lpstr>表紙</vt:lpstr>
      <vt:lpstr>帳票出力</vt:lpstr>
      <vt:lpstr>商品化企画書検索</vt:lpstr>
      <vt:lpstr>発注書検索</vt:lpstr>
      <vt:lpstr>見積原価書検索</vt:lpstr>
      <vt:lpstr>納品書検索</vt:lpstr>
      <vt:lpstr>請求書検索</vt:lpstr>
      <vt:lpstr>見積原価書検索!comp_count</vt:lpstr>
      <vt:lpstr>商品化企画書検索!comp_count</vt:lpstr>
      <vt:lpstr>請求書検索!comp_count</vt:lpstr>
      <vt:lpstr>帳票出力!comp_count</vt:lpstr>
      <vt:lpstr>納品書検索!comp_count</vt:lpstr>
      <vt:lpstr>発注書検索!comp_count</vt:lpstr>
      <vt:lpstr>見積原価書検索!item_count</vt:lpstr>
      <vt:lpstr>商品化企画書検索!item_count</vt:lpstr>
      <vt:lpstr>請求書検索!item_count</vt:lpstr>
      <vt:lpstr>帳票出力!item_count</vt:lpstr>
      <vt:lpstr>納品書検索!item_count</vt:lpstr>
      <vt:lpstr>発注書検索!item_count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SPC27</cp:lastModifiedBy>
  <dcterms:created xsi:type="dcterms:W3CDTF">2019-02-28T04:25:02Z</dcterms:created>
  <dcterms:modified xsi:type="dcterms:W3CDTF">2019-10-08T02:10:16Z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