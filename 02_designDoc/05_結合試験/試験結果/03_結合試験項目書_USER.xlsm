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試験結果\"/>
    </mc:Choice>
  </mc:AlternateContent>
  <xr:revisionPtr revIDLastSave="0" documentId="13_ncr:1_{04BAB221-9640-415C-B41F-56B712F9FDC7}" xr6:coauthVersionLast="40" xr6:coauthVersionMax="40" xr10:uidLastSave="{00000000-0000-0000-0000-000000000000}"/>
  <bookViews>
    <workbookView xWindow="0" yWindow="0" windowWidth="17256" windowHeight="5280" activeTab="5" xr2:uid="{7855FBD0-5EC9-4DBA-9A4B-0C57305BA533}"/>
  </bookViews>
  <sheets>
    <sheet name="表紙" sheetId="2" r:id="rId1"/>
    <sheet name="USER" sheetId="1" r:id="rId2"/>
    <sheet name="ユーザー情報" sheetId="3" r:id="rId3"/>
    <sheet name="ユーザー登録" sheetId="4" r:id="rId4"/>
    <sheet name="ユーザー検索" sheetId="5" r:id="rId5"/>
    <sheet name="ユーザー一覧" sheetId="6" r:id="rId6"/>
    <sheet name="ユーザー修正" sheetId="7" r:id="rId7"/>
  </sheets>
  <definedNames>
    <definedName name="comp_count" localSheetId="1">USER!$C$4</definedName>
    <definedName name="comp_count" localSheetId="5">ユーザー一覧!$C$4</definedName>
    <definedName name="comp_count" localSheetId="4">ユーザー検索!$C$4</definedName>
    <definedName name="comp_count" localSheetId="6">ユーザー修正!$C$4</definedName>
    <definedName name="comp_count" localSheetId="2">ユーザー情報!$C$4</definedName>
    <definedName name="comp_count" localSheetId="3">ユーザー登録!$C$4</definedName>
    <definedName name="item_count" localSheetId="1">USER!$C$2</definedName>
    <definedName name="item_count" localSheetId="5">ユーザー一覧!$C$2</definedName>
    <definedName name="item_count" localSheetId="4">ユーザー検索!$C$2</definedName>
    <definedName name="item_count" localSheetId="6">ユーザー修正!$C$2</definedName>
    <definedName name="item_count" localSheetId="2">ユーザー情報!$C$2</definedName>
    <definedName name="item_count" localSheetId="3">ユーザー登録!$C$2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3" i="3"/>
  <c r="C3" i="4"/>
  <c r="C3" i="5"/>
  <c r="C3" i="6"/>
  <c r="C3" i="7"/>
  <c r="C4" i="1" l="1"/>
  <c r="C2" i="1"/>
  <c r="A23" i="7" l="1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C4" i="7"/>
  <c r="C2" i="7"/>
  <c r="C1" i="7"/>
  <c r="A12" i="4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C4" i="6"/>
  <c r="C2" i="6"/>
  <c r="C1" i="6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C4" i="5"/>
  <c r="C2" i="5"/>
  <c r="C1" i="5"/>
  <c r="A31" i="4"/>
  <c r="A30" i="4"/>
  <c r="A29" i="4"/>
  <c r="A28" i="4"/>
  <c r="A27" i="4"/>
  <c r="A26" i="4"/>
  <c r="A25" i="4"/>
  <c r="A24" i="4"/>
  <c r="A23" i="4"/>
  <c r="A22" i="4"/>
  <c r="A21" i="4"/>
  <c r="A20" i="4"/>
  <c r="A18" i="4"/>
  <c r="A19" i="4"/>
  <c r="A17" i="4"/>
  <c r="A16" i="4"/>
  <c r="A15" i="4"/>
  <c r="A14" i="4"/>
  <c r="A13" i="4"/>
  <c r="A11" i="4"/>
  <c r="A10" i="4"/>
  <c r="A9" i="4"/>
  <c r="A8" i="4"/>
  <c r="A7" i="4"/>
  <c r="C4" i="4"/>
  <c r="C2" i="4"/>
  <c r="C1" i="4"/>
  <c r="A34" i="3" l="1"/>
  <c r="A33" i="3"/>
  <c r="A32" i="3"/>
  <c r="A31" i="3"/>
  <c r="A30" i="3"/>
  <c r="A29" i="3"/>
  <c r="A28" i="3"/>
  <c r="A27" i="3"/>
  <c r="A26" i="3"/>
  <c r="A25" i="3"/>
  <c r="A24" i="3"/>
  <c r="A23" i="3"/>
  <c r="A20" i="3"/>
  <c r="A22" i="3"/>
  <c r="A21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C4" i="3"/>
  <c r="C2" i="3"/>
  <c r="C1" i="3"/>
  <c r="A19" i="1" l="1"/>
  <c r="A15" i="1"/>
  <c r="A24" i="1"/>
  <c r="A51" i="1" l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11" i="1"/>
  <c r="A37" i="1"/>
  <c r="A36" i="1"/>
  <c r="A27" i="1"/>
  <c r="A26" i="1"/>
  <c r="A25" i="1"/>
  <c r="A23" i="1"/>
  <c r="A22" i="1"/>
  <c r="A21" i="1"/>
  <c r="A20" i="1"/>
  <c r="A18" i="1"/>
  <c r="A31" i="1"/>
  <c r="A30" i="1"/>
  <c r="A29" i="1"/>
  <c r="A28" i="1"/>
  <c r="A33" i="1"/>
  <c r="A32" i="1"/>
  <c r="A35" i="1" l="1"/>
  <c r="A34" i="1"/>
  <c r="A17" i="1"/>
  <c r="A16" i="1"/>
  <c r="A14" i="1"/>
  <c r="A13" i="1"/>
  <c r="A12" i="1"/>
  <c r="A10" i="1"/>
  <c r="A9" i="1"/>
  <c r="A8" i="1"/>
  <c r="A7" i="1"/>
  <c r="C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21B4827C-0649-4657-B711-0E7B93DFFE34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CD599208-F934-4F9A-9F7C-EAD84E245A76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39DF3B56-17CF-46FD-836E-43DFF01D8C20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6E88204F-AD82-4ED0-8F65-D463FEE71947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2753A9E7-8A71-4585-8BBF-074B01236D2E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E7B3926C-5A1C-45D1-BBC2-868C7B689E6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937DA8EC-678B-4483-AB9B-32D7B5E43A31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ABAAB05A-A791-4C0A-AE35-F6EB45A6342B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802E76C7-73BE-440E-94FD-601D010C2B79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E0E11B9D-8581-484F-B7C2-CF4335BE60FA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<sst xmlns="http://schemas.openxmlformats.org/spreadsheetml/2006/main" count="259" uniqueCount="69">
  <si>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</si>
  <si>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</si>
  <si>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</si>
  <si>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</si>
  <si>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</si>
  <si>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</si>
  <si>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</si>
  <si>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</si>
  <si>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</si>
  <si>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</si>
  <si>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</si>
  <si>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完了数</t>
    <rPh sb="0" eb="2">
      <t>カンリョウ</t>
    </rPh>
    <rPh sb="2" eb="3">
      <t>スウ</t>
    </rPh>
    <phoneticPr fontId="1"/>
  </si>
  <si>
    <t>enterボタンを押下する。</t>
    <rPh sb="9" eb="11">
      <t>オウカ</t>
    </rPh>
    <phoneticPr fontId="1"/>
  </si>
  <si>
    <t>以下のURLをブラウザで開く。
http://192.168.1.113</t>
    <rPh sb="0" eb="2">
      <t>イカ</t>
    </rPh>
    <rPh sb="12" eb="13">
      <t>ヒラ</t>
    </rPh>
    <phoneticPr fontId="1"/>
  </si>
  <si>
    <t>ログイン画面にて、以下の値を入力し、LOGINボタンを押下する。
ID：169
PASSWORD：gao</t>
    <rPh sb="4" eb="6">
      <t>ガメン</t>
    </rPh>
    <rPh sb="9" eb="11">
      <t>イカ</t>
    </rPh>
    <rPh sb="12" eb="13">
      <t>アタイ</t>
    </rPh>
    <rPh sb="14" eb="16">
      <t>ニュウリョク</t>
    </rPh>
    <rPh sb="27" eb="29">
      <t>オウカ</t>
    </rPh>
    <phoneticPr fontId="1"/>
  </si>
  <si>
    <t>試験項目数</t>
    <rPh sb="0" eb="2">
      <t>シケン</t>
    </rPh>
    <rPh sb="2" eb="4">
      <t>コウモク</t>
    </rPh>
    <rPh sb="4" eb="5">
      <t>スウ</t>
    </rPh>
    <phoneticPr fontId="1"/>
  </si>
  <si>
    <t>初期表示</t>
    <rPh sb="0" eb="2">
      <t>ショキ</t>
    </rPh>
    <rPh sb="2" eb="4">
      <t>ヒョウジ</t>
    </rPh>
    <phoneticPr fontId="1"/>
  </si>
  <si>
    <t>USERボタンを押下する。</t>
    <rPh sb="8" eb="10">
      <t>オウカ</t>
    </rPh>
    <phoneticPr fontId="1"/>
  </si>
  <si>
    <t>USER画面に遷移すること。</t>
    <rPh sb="4" eb="6">
      <t>ガメン</t>
    </rPh>
    <rPh sb="7" eb="9">
      <t>センイ</t>
    </rPh>
    <phoneticPr fontId="1"/>
  </si>
  <si>
    <t>現行画面との差がないこと。</t>
    <rPh sb="0" eb="2">
      <t>ゲンコウ</t>
    </rPh>
    <rPh sb="2" eb="4">
      <t>ガメン</t>
    </rPh>
    <rPh sb="6" eb="7">
      <t>サ</t>
    </rPh>
    <phoneticPr fontId="1"/>
  </si>
  <si>
    <t>ボタン押下</t>
    <rPh sb="3" eb="5">
      <t>オウカ</t>
    </rPh>
    <phoneticPr fontId="1"/>
  </si>
  <si>
    <t>ユーザー情報ボタンを押下する。</t>
    <rPh sb="4" eb="6">
      <t>ジョウホウ</t>
    </rPh>
    <rPh sb="10" eb="12">
      <t>オウカ</t>
    </rPh>
    <phoneticPr fontId="1"/>
  </si>
  <si>
    <t>ユーザー登録画面に遷移すること。</t>
    <rPh sb="4" eb="6">
      <t>トウロク</t>
    </rPh>
    <rPh sb="6" eb="8">
      <t>ガメン</t>
    </rPh>
    <rPh sb="9" eb="11">
      <t>センイ</t>
    </rPh>
    <phoneticPr fontId="1"/>
  </si>
  <si>
    <t>ログインユーザーのログイン情報が表示されていること。</t>
    <rPh sb="13" eb="15">
      <t>ジョウホウ</t>
    </rPh>
    <rPh sb="16" eb="18">
      <t>ヒョウジ</t>
    </rPh>
    <phoneticPr fontId="1"/>
  </si>
  <si>
    <t>MAINMENUボタンを押下し、MAINMENU画面に遷移させる。</t>
    <rPh sb="12" eb="14">
      <t>オウカ</t>
    </rPh>
    <rPh sb="24" eb="26">
      <t>ガメン</t>
    </rPh>
    <rPh sb="27" eb="29">
      <t>センイ</t>
    </rPh>
    <phoneticPr fontId="1"/>
  </si>
  <si>
    <t>ユーザー登録ボタンを押下する。</t>
    <rPh sb="4" eb="6">
      <t>トウロク</t>
    </rPh>
    <rPh sb="10" eb="12">
      <t>オウカ</t>
    </rPh>
    <phoneticPr fontId="1"/>
  </si>
  <si>
    <t>新規ユーザーの登録画面（ほとんどの項目が未入力）となっていること。</t>
    <rPh sb="0" eb="2">
      <t>シンキ</t>
    </rPh>
    <rPh sb="7" eb="9">
      <t>トウロク</t>
    </rPh>
    <rPh sb="9" eb="11">
      <t>ガメン</t>
    </rPh>
    <rPh sb="17" eb="19">
      <t>コウモク</t>
    </rPh>
    <rPh sb="20" eb="23">
      <t>ミニュウリョク</t>
    </rPh>
    <phoneticPr fontId="1"/>
  </si>
  <si>
    <t>ユーザー検索ボタンを押下する。</t>
    <rPh sb="4" eb="6">
      <t>ケンサク</t>
    </rPh>
    <rPh sb="10" eb="12">
      <t>オウカ</t>
    </rPh>
    <phoneticPr fontId="1"/>
  </si>
  <si>
    <t>ユーザー検索画面に遷移すること。</t>
    <rPh sb="4" eb="6">
      <t>ケンサク</t>
    </rPh>
    <rPh sb="6" eb="8">
      <t>ガメン</t>
    </rPh>
    <rPh sb="9" eb="11">
      <t>センイ</t>
    </rPh>
    <phoneticPr fontId="1"/>
  </si>
  <si>
    <t>現行画面と入力可能項目を比較する。</t>
    <rPh sb="0" eb="2">
      <t>ゲンコウ</t>
    </rPh>
    <rPh sb="2" eb="4">
      <t>ガメン</t>
    </rPh>
    <rPh sb="5" eb="7">
      <t>ニュウリョク</t>
    </rPh>
    <rPh sb="7" eb="9">
      <t>カノウ</t>
    </rPh>
    <rPh sb="9" eb="11">
      <t>コウモク</t>
    </rPh>
    <rPh sb="12" eb="14">
      <t>ヒカク</t>
    </rPh>
    <phoneticPr fontId="1"/>
  </si>
  <si>
    <t>入力可能な項目が現行画面と一致していること。</t>
    <rPh sb="0" eb="2">
      <t>ニュウリョク</t>
    </rPh>
    <rPh sb="2" eb="4">
      <t>カノウ</t>
    </rPh>
    <rPh sb="5" eb="7">
      <t>コウモク</t>
    </rPh>
    <rPh sb="8" eb="10">
      <t>ゲンコウ</t>
    </rPh>
    <rPh sb="10" eb="12">
      <t>ガメン</t>
    </rPh>
    <rPh sb="13" eb="15">
      <t>イッチ</t>
    </rPh>
    <phoneticPr fontId="1"/>
  </si>
  <si>
    <t>クリアボタン押下</t>
    <rPh sb="6" eb="8">
      <t>オウカ</t>
    </rPh>
    <phoneticPr fontId="1"/>
  </si>
  <si>
    <t>任意の入力可能項目の値を変更する。</t>
    <rPh sb="0" eb="2">
      <t>ニンイ</t>
    </rPh>
    <rPh sb="3" eb="5">
      <t>ニュウリョク</t>
    </rPh>
    <rPh sb="5" eb="7">
      <t>カノウ</t>
    </rPh>
    <rPh sb="7" eb="9">
      <t>コウモク</t>
    </rPh>
    <rPh sb="10" eb="11">
      <t>アタイ</t>
    </rPh>
    <rPh sb="12" eb="14">
      <t>ヘンコウ</t>
    </rPh>
    <phoneticPr fontId="1"/>
  </si>
  <si>
    <t>クリアボタンを押下する。</t>
    <rPh sb="7" eb="9">
      <t>オウカ</t>
    </rPh>
    <phoneticPr fontId="1"/>
  </si>
  <si>
    <t>変更した値が表示当初の値に戻ること。</t>
    <rPh sb="0" eb="2">
      <t>ヘンコウ</t>
    </rPh>
    <rPh sb="4" eb="5">
      <t>アタイ</t>
    </rPh>
    <rPh sb="6" eb="8">
      <t>ヒョウジ</t>
    </rPh>
    <rPh sb="8" eb="10">
      <t>トウショ</t>
    </rPh>
    <rPh sb="11" eb="12">
      <t>アタイ</t>
    </rPh>
    <rPh sb="13" eb="14">
      <t>モド</t>
    </rPh>
    <phoneticPr fontId="1"/>
  </si>
  <si>
    <t>登録ボタン押下</t>
    <rPh sb="0" eb="2">
      <t>トウロク</t>
    </rPh>
    <rPh sb="5" eb="7">
      <t>オウカ</t>
    </rPh>
    <phoneticPr fontId="1"/>
  </si>
  <si>
    <t>登録ボタンを押下する。</t>
    <rPh sb="0" eb="2">
      <t>トウロク</t>
    </rPh>
    <rPh sb="6" eb="8">
      <t>オウカ</t>
    </rPh>
    <phoneticPr fontId="1"/>
  </si>
  <si>
    <t>登録完了画面に遷移すること。</t>
    <rPh sb="0" eb="2">
      <t>トウロク</t>
    </rPh>
    <rPh sb="2" eb="4">
      <t>カンリョウ</t>
    </rPh>
    <rPh sb="4" eb="6">
      <t>ガメン</t>
    </rPh>
    <rPh sb="7" eb="9">
      <t>センイ</t>
    </rPh>
    <phoneticPr fontId="1"/>
  </si>
  <si>
    <t>登録完了画面の戻るボタンを押下する。</t>
    <rPh sb="0" eb="2">
      <t>トウロク</t>
    </rPh>
    <rPh sb="2" eb="4">
      <t>カンリョウ</t>
    </rPh>
    <rPh sb="4" eb="6">
      <t>ガメン</t>
    </rPh>
    <rPh sb="7" eb="8">
      <t>モド</t>
    </rPh>
    <rPh sb="13" eb="15">
      <t>オウカ</t>
    </rPh>
    <phoneticPr fontId="1"/>
  </si>
  <si>
    <t>登録ボタン押下前に変更した内容が反映されていること。</t>
    <rPh sb="0" eb="2">
      <t>トウロク</t>
    </rPh>
    <rPh sb="5" eb="7">
      <t>オウカ</t>
    </rPh>
    <rPh sb="7" eb="8">
      <t>マエ</t>
    </rPh>
    <rPh sb="9" eb="11">
      <t>ヘンコウ</t>
    </rPh>
    <rPh sb="13" eb="15">
      <t>ナイヨウ</t>
    </rPh>
    <rPh sb="16" eb="18">
      <t>ハンエイ</t>
    </rPh>
    <phoneticPr fontId="1"/>
  </si>
  <si>
    <t>ユーザー登録結果確認</t>
    <rPh sb="4" eb="6">
      <t>トウロク</t>
    </rPh>
    <rPh sb="6" eb="8">
      <t>ケッカ</t>
    </rPh>
    <rPh sb="8" eb="10">
      <t>カクニン</t>
    </rPh>
    <phoneticPr fontId="1"/>
  </si>
  <si>
    <t>LOGOUTボタンを押下し、LOGIN画面に遷移させる。</t>
    <rPh sb="10" eb="12">
      <t>オウカ</t>
    </rPh>
    <rPh sb="19" eb="21">
      <t>ガメン</t>
    </rPh>
    <rPh sb="22" eb="24">
      <t>センイ</t>
    </rPh>
    <phoneticPr fontId="1"/>
  </si>
  <si>
    <t>ログインが成功すること。</t>
    <rPh sb="5" eb="7">
      <t>セイコウ</t>
    </rPh>
    <phoneticPr fontId="1"/>
  </si>
  <si>
    <t>登録ボタン押下の試験で登録したユーザー・パスワードでログインする。</t>
    <rPh sb="0" eb="2">
      <t>トウロク</t>
    </rPh>
    <rPh sb="5" eb="7">
      <t>オウカ</t>
    </rPh>
    <rPh sb="8" eb="10">
      <t>シケン</t>
    </rPh>
    <rPh sb="11" eb="13">
      <t>トウロク</t>
    </rPh>
    <phoneticPr fontId="1"/>
  </si>
  <si>
    <t>検索ボタン押下</t>
    <rPh sb="0" eb="2">
      <t>ケンサク</t>
    </rPh>
    <rPh sb="5" eb="7">
      <t>オウカ</t>
    </rPh>
    <phoneticPr fontId="1"/>
  </si>
  <si>
    <t>検索ボタンを押下する。</t>
    <rPh sb="0" eb="2">
      <t>ケンサク</t>
    </rPh>
    <rPh sb="6" eb="8">
      <t>オウカ</t>
    </rPh>
    <phoneticPr fontId="1"/>
  </si>
  <si>
    <t>ユーザー一覧画面に遷移すること。</t>
    <rPh sb="4" eb="6">
      <t>イチラン</t>
    </rPh>
    <rPh sb="6" eb="8">
      <t>ガメン</t>
    </rPh>
    <rPh sb="9" eb="11">
      <t>センイ</t>
    </rPh>
    <phoneticPr fontId="1"/>
  </si>
  <si>
    <t>USERボタンを押下し、USER画面に遷移する。</t>
    <rPh sb="8" eb="10">
      <t>オウカ</t>
    </rPh>
    <rPh sb="16" eb="18">
      <t>ガメン</t>
    </rPh>
    <rPh sb="19" eb="21">
      <t>センイ</t>
    </rPh>
    <phoneticPr fontId="1"/>
  </si>
  <si>
    <t>詳細ボタン押下</t>
    <rPh sb="0" eb="2">
      <t>ショウサイ</t>
    </rPh>
    <rPh sb="5" eb="7">
      <t>オウカ</t>
    </rPh>
    <phoneticPr fontId="1"/>
  </si>
  <si>
    <t>©ボタン押下</t>
    <rPh sb="4" eb="6">
      <t>オウカ</t>
    </rPh>
    <phoneticPr fontId="1"/>
  </si>
  <si>
    <t>©ボタンを押下する。</t>
    <rPh sb="5" eb="7">
      <t>オウカ</t>
    </rPh>
    <phoneticPr fontId="1"/>
  </si>
  <si>
    <t>クリップボードコピー完了のメッセージが表示されること。</t>
    <rPh sb="10" eb="12">
      <t>カンリョウ</t>
    </rPh>
    <rPh sb="19" eb="21">
      <t>ヒョウジ</t>
    </rPh>
    <phoneticPr fontId="1"/>
  </si>
  <si>
    <t>Excelまたはテキストエディタにペーストする。</t>
    <phoneticPr fontId="1"/>
  </si>
  <si>
    <t>ペーストされた内容がユーザー一覧画面の一覧であること。</t>
    <rPh sb="7" eb="9">
      <t>ナイヨウ</t>
    </rPh>
    <rPh sb="14" eb="16">
      <t>イチラン</t>
    </rPh>
    <rPh sb="16" eb="18">
      <t>ガメン</t>
    </rPh>
    <rPh sb="19" eb="21">
      <t>イチラン</t>
    </rPh>
    <phoneticPr fontId="1"/>
  </si>
  <si>
    <t>任意の行の詳細ボタンを押下する。</t>
    <rPh sb="0" eb="2">
      <t>ニンイ</t>
    </rPh>
    <rPh sb="3" eb="4">
      <t>ギョウ</t>
    </rPh>
    <rPh sb="5" eb="7">
      <t>ショウサイ</t>
    </rPh>
    <rPh sb="11" eb="13">
      <t>オウカ</t>
    </rPh>
    <phoneticPr fontId="1"/>
  </si>
  <si>
    <t>ユーザー詳細画面の内容が現行と相違ないこと。</t>
    <rPh sb="4" eb="6">
      <t>ショウサイ</t>
    </rPh>
    <rPh sb="6" eb="8">
      <t>ガメン</t>
    </rPh>
    <rPh sb="9" eb="11">
      <t>ナイヨウ</t>
    </rPh>
    <rPh sb="12" eb="14">
      <t>ゲンコウ</t>
    </rPh>
    <rPh sb="15" eb="17">
      <t>ソウイ</t>
    </rPh>
    <phoneticPr fontId="1"/>
  </si>
  <si>
    <t>ユーザー詳細画面を閉じる。</t>
    <rPh sb="4" eb="6">
      <t>ショウサイ</t>
    </rPh>
    <rPh sb="6" eb="8">
      <t>ガメン</t>
    </rPh>
    <rPh sb="9" eb="10">
      <t>ト</t>
    </rPh>
    <phoneticPr fontId="1"/>
  </si>
  <si>
    <t>ユーザー一覧画面が別ウィンドウで表示すること。</t>
    <rPh sb="4" eb="6">
      <t>イチラン</t>
    </rPh>
    <rPh sb="6" eb="8">
      <t>ガメン</t>
    </rPh>
    <rPh sb="9" eb="10">
      <t>ベツ</t>
    </rPh>
    <rPh sb="16" eb="18">
      <t>ヒョウジ</t>
    </rPh>
    <phoneticPr fontId="1"/>
  </si>
  <si>
    <t>押下された行のユーザーのユーザー詳細画面が別ウィンドウで表示されること。</t>
    <rPh sb="0" eb="2">
      <t>オウカ</t>
    </rPh>
    <rPh sb="5" eb="6">
      <t>ギョウ</t>
    </rPh>
    <rPh sb="16" eb="18">
      <t>ショウサイ</t>
    </rPh>
    <rPh sb="18" eb="20">
      <t>ガメン</t>
    </rPh>
    <rPh sb="21" eb="22">
      <t>ベツ</t>
    </rPh>
    <rPh sb="28" eb="30">
      <t>ヒョウジ</t>
    </rPh>
    <phoneticPr fontId="1"/>
  </si>
  <si>
    <t>修正ボタン押下</t>
    <rPh sb="0" eb="2">
      <t>シュウセイ</t>
    </rPh>
    <rPh sb="5" eb="7">
      <t>オウカ</t>
    </rPh>
    <phoneticPr fontId="1"/>
  </si>
  <si>
    <t>任意の行の修正ボタンを押下する。</t>
    <rPh sb="0" eb="2">
      <t>ニンイ</t>
    </rPh>
    <rPh sb="3" eb="4">
      <t>ギョウ</t>
    </rPh>
    <rPh sb="5" eb="7">
      <t>シュウセイ</t>
    </rPh>
    <rPh sb="11" eb="13">
      <t>オウカ</t>
    </rPh>
    <phoneticPr fontId="1"/>
  </si>
  <si>
    <t>押下された行のユーザーのユーザー修正画面が別ウィンドウで表示されること。</t>
    <rPh sb="0" eb="2">
      <t>オウカ</t>
    </rPh>
    <rPh sb="5" eb="6">
      <t>ギョウ</t>
    </rPh>
    <rPh sb="16" eb="18">
      <t>シュウセイ</t>
    </rPh>
    <rPh sb="18" eb="20">
      <t>ガメン</t>
    </rPh>
    <rPh sb="21" eb="22">
      <t>ベツ</t>
    </rPh>
    <rPh sb="28" eb="30">
      <t>ヒョウジ</t>
    </rPh>
    <phoneticPr fontId="1"/>
  </si>
  <si>
    <t>ユーザー検索ボタンを押下し、ユーザー検索画面に遷移する。</t>
    <rPh sb="4" eb="6">
      <t>ケンサク</t>
    </rPh>
    <rPh sb="10" eb="12">
      <t>オウカ</t>
    </rPh>
    <rPh sb="18" eb="20">
      <t>ケンサク</t>
    </rPh>
    <rPh sb="20" eb="22">
      <t>ガメン</t>
    </rPh>
    <rPh sb="23" eb="25">
      <t>センイ</t>
    </rPh>
    <phoneticPr fontId="1"/>
  </si>
  <si>
    <t>検索ボタンを押下し、ユーザー一覧画面を表示する。</t>
    <rPh sb="0" eb="2">
      <t>ケンサク</t>
    </rPh>
    <rPh sb="6" eb="8">
      <t>オウカ</t>
    </rPh>
    <rPh sb="14" eb="16">
      <t>イチラン</t>
    </rPh>
    <rPh sb="16" eb="18">
      <t>ガメン</t>
    </rPh>
    <rPh sb="19" eb="21">
      <t>ヒョウジ</t>
    </rPh>
    <phoneticPr fontId="1"/>
  </si>
  <si>
    <t>修正したユーザーの行の</t>
    <rPh sb="0" eb="2">
      <t>シュウセイ</t>
    </rPh>
    <rPh sb="9" eb="10">
      <t>ギョウ</t>
    </rPh>
    <phoneticPr fontId="1"/>
  </si>
  <si>
    <t>登録完了画面が閉じ、ユーザー一覧画面が活性化すること。</t>
    <rPh sb="0" eb="2">
      <t>トウロク</t>
    </rPh>
    <rPh sb="2" eb="4">
      <t>カンリョウ</t>
    </rPh>
    <rPh sb="4" eb="6">
      <t>ガメン</t>
    </rPh>
    <rPh sb="7" eb="8">
      <t>ト</t>
    </rPh>
    <rPh sb="14" eb="16">
      <t>イチラン</t>
    </rPh>
    <rPh sb="16" eb="18">
      <t>ガメン</t>
    </rPh>
    <rPh sb="19" eb="22">
      <t>カッセイカ</t>
    </rPh>
    <phoneticPr fontId="1"/>
  </si>
  <si>
    <t>着手数</t>
    <rPh sb="0" eb="2">
      <t>チャクシュ</t>
    </rPh>
    <rPh sb="2" eb="3">
      <t>スウ</t>
    </rPh>
    <phoneticPr fontId="1"/>
  </si>
  <si>
    <t>中島</t>
    <rPh sb="0" eb="2">
      <t>ナカジマ</t>
    </rPh>
    <phoneticPr fontId="1"/>
  </si>
  <si>
    <t>ユーザー情報画面に遷移すること。</t>
    <rPh sb="4" eb="6">
      <t>ジョウホウ</t>
    </rPh>
    <rPh sb="6" eb="8">
      <t>ガメン</t>
    </rPh>
    <rPh sb="9" eb="11">
      <t>センイ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</si>
</sst>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@&quot;ボタンを押下する&quot;"/>
  </numFmts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176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0</xdr:row>
          <xdr:rowOff>205740</xdr:rowOff>
        </xdr:from>
        <xdr:to>
          <xdr:col>3</xdr:col>
          <xdr:colOff>426720</xdr:colOff>
          <xdr:row>2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A5232-92A1-41AA-BC54-8A3CF0EA1069}">
  <sheetPr codeName="Sheet1"/>
  <dimension ref="A1:B1"/>
  <sheetViews>
    <sheetView workbookViewId="0">
      <selection activeCell="F6" sqref="F6"/>
    </sheetView>
  </sheetViews>
  <sheetFormatPr defaultRowHeight="18"/>
  <cols>
    <col min="1" max="1" width="10.3984375" bestFit="1" customWidth="1"/>
  </cols>
  <sheetData>
    <row r="1" spans="1:2">
      <c r="A1" t="s">
        <v>15</v>
      </c>
      <c r="B1">
        <v>32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ボタン1_Click">
                <anchor moveWithCells="1" sizeWithCells="1">
                  <from>
                    <xdr:col>2</xdr:col>
                    <xdr:colOff>266700</xdr:colOff>
                    <xdr:row>0</xdr:row>
                    <xdr:rowOff>205740</xdr:rowOff>
                  </from>
                  <to>
                    <xdr:col>3</xdr:col>
                    <xdr:colOff>426720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2"/>
  <dimension ref="A1:J53"/>
  <sheetViews>
    <sheetView topLeftCell="B1" workbookViewId="0">
      <selection activeCell="E20" sqref="E20:G2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USER</v>
      </c>
      <c r="D1" s="8"/>
    </row>
    <row r="2" spans="1:10">
      <c r="B2" s="11" t="s">
        <v>9</v>
      </c>
      <c r="C2" s="10">
        <f>COUNTA(D7:D51)</f>
        <v>7</v>
      </c>
    </row>
    <row r="3" spans="1:10">
      <c r="B3" s="11" t="s">
        <v>66</v>
      </c>
      <c r="C3" s="10">
        <f>COUNTA(F7:F51)</f>
        <v>7</v>
      </c>
    </row>
    <row r="4" spans="1:10">
      <c r="B4" s="11" t="s">
        <v>11</v>
      </c>
      <c r="C4" s="10">
        <f>COUNTA(G7:G51)</f>
        <v>7</v>
      </c>
    </row>
    <row r="5" spans="1:10">
      <c r="B5" s="9"/>
      <c r="C5" s="8"/>
    </row>
    <row r="6" spans="1:10" s="6" customFormat="1">
      <c r="A6" s="7" t="s">
        <v>4</v>
      </c>
      <c r="B6" s="7" t="s">
        <v>6</v>
      </c>
      <c r="C6" s="7" t="s">
        <v>7</v>
      </c>
      <c r="D6" s="7" t="s">
        <v>3</v>
      </c>
      <c r="E6" s="7" t="s">
        <v>2</v>
      </c>
      <c r="F6" s="7" t="s">
        <v>1</v>
      </c>
      <c r="G6" s="7" t="s">
        <v>0</v>
      </c>
      <c r="H6" s="16" t="s">
        <v>8</v>
      </c>
      <c r="I6" s="16"/>
      <c r="J6" s="16"/>
    </row>
    <row r="7" spans="1:10" s="1" customFormat="1" ht="36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51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 t="s">
        <v>17</v>
      </c>
      <c r="D10" s="5" t="s">
        <v>18</v>
      </c>
      <c r="E10" s="4" t="s">
        <v>67</v>
      </c>
      <c r="F10" s="3">
        <v>43739</v>
      </c>
      <c r="G10" s="3">
        <v>43739</v>
      </c>
      <c r="H10" s="2"/>
      <c r="I10" s="4"/>
      <c r="J10" s="4"/>
    </row>
    <row r="11" spans="1:10" s="1" customFormat="1">
      <c r="A11" s="2">
        <f t="shared" si="0"/>
        <v>6</v>
      </c>
      <c r="B11" s="5"/>
      <c r="C11" s="5"/>
      <c r="D11" s="5" t="s">
        <v>19</v>
      </c>
      <c r="E11" s="4" t="s">
        <v>67</v>
      </c>
      <c r="F11" s="3">
        <v>43739</v>
      </c>
      <c r="G11" s="3">
        <v>43739</v>
      </c>
      <c r="H11" s="2"/>
      <c r="I11" s="4"/>
      <c r="J11" s="4"/>
    </row>
    <row r="12" spans="1:10" s="1" customFormat="1">
      <c r="A12" s="2">
        <f t="shared" si="0"/>
        <v>7</v>
      </c>
      <c r="B12" s="5" t="s">
        <v>20</v>
      </c>
      <c r="C12" s="5" t="s">
        <v>21</v>
      </c>
      <c r="D12" s="5" t="s">
        <v>22</v>
      </c>
      <c r="E12" s="4" t="s">
        <v>67</v>
      </c>
      <c r="F12" s="3">
        <v>43739</v>
      </c>
      <c r="G12" s="3">
        <v>43739</v>
      </c>
      <c r="H12" s="2"/>
      <c r="I12" s="4"/>
      <c r="J12" s="4"/>
    </row>
    <row r="13" spans="1:10" s="1" customFormat="1">
      <c r="A13" s="2">
        <f t="shared" si="0"/>
        <v>8</v>
      </c>
      <c r="B13" s="5"/>
      <c r="C13" s="5"/>
      <c r="D13" s="5" t="s">
        <v>23</v>
      </c>
      <c r="E13" s="4" t="s">
        <v>67</v>
      </c>
      <c r="F13" s="3">
        <v>43739</v>
      </c>
      <c r="G13" s="3">
        <v>43739</v>
      </c>
      <c r="H13" s="2"/>
      <c r="I13" s="4"/>
      <c r="J13" s="4"/>
    </row>
    <row r="14" spans="1:10" s="1" customFormat="1" ht="36">
      <c r="A14" s="2">
        <f t="shared" si="0"/>
        <v>9</v>
      </c>
      <c r="B14" s="5"/>
      <c r="C14" s="12" t="s">
        <v>24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10</v>
      </c>
      <c r="B15" s="5"/>
      <c r="C15" s="5" t="s">
        <v>17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25</v>
      </c>
      <c r="D16" s="5" t="s">
        <v>22</v>
      </c>
      <c r="E16" s="4" t="s">
        <v>67</v>
      </c>
      <c r="F16" s="3">
        <v>43739</v>
      </c>
      <c r="G16" s="3">
        <v>43739</v>
      </c>
      <c r="H16" s="2"/>
      <c r="I16" s="4"/>
      <c r="J16" s="4"/>
    </row>
    <row r="17" spans="1:10" s="1" customFormat="1" ht="36">
      <c r="A17" s="2">
        <f t="shared" si="0"/>
        <v>12</v>
      </c>
      <c r="B17" s="5"/>
      <c r="C17" s="5"/>
      <c r="D17" s="5" t="s">
        <v>26</v>
      </c>
      <c r="E17" s="4" t="s">
        <v>67</v>
      </c>
      <c r="F17" s="3">
        <v>43739</v>
      </c>
      <c r="G17" s="3">
        <v>43739</v>
      </c>
      <c r="H17" s="2"/>
      <c r="I17" s="4"/>
      <c r="J17" s="4"/>
    </row>
    <row r="18" spans="1:10" s="1" customFormat="1" ht="36">
      <c r="A18" s="2">
        <f t="shared" si="0"/>
        <v>13</v>
      </c>
      <c r="B18" s="5"/>
      <c r="C18" s="15" t="s">
        <v>24</v>
      </c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17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5" t="s">
        <v>27</v>
      </c>
      <c r="D20" s="5" t="s">
        <v>28</v>
      </c>
      <c r="E20" s="4" t="s">
        <v>67</v>
      </c>
      <c r="F20" s="3">
        <v>43739</v>
      </c>
      <c r="G20" s="3">
        <v>43739</v>
      </c>
      <c r="H20" s="2"/>
      <c r="I20" s="4"/>
      <c r="J20" s="4"/>
    </row>
    <row r="21" spans="1:10" s="1" customFormat="1">
      <c r="A21" s="2">
        <f t="shared" si="0"/>
        <v>16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2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2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2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2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12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12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30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31</v>
      </c>
      <c r="B36" s="5"/>
      <c r="C36" s="12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32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33</v>
      </c>
      <c r="B38" s="5"/>
      <c r="C38" s="12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34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35</v>
      </c>
      <c r="B40" s="5"/>
      <c r="C40" s="12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36</v>
      </c>
      <c r="B41" s="5"/>
      <c r="C41" s="5"/>
      <c r="D41" s="5"/>
      <c r="E41" s="4"/>
      <c r="F41" s="3"/>
      <c r="G41" s="3"/>
      <c r="H41" s="2"/>
      <c r="I41" s="4"/>
      <c r="J41" s="4"/>
    </row>
    <row r="42" spans="1:10" s="1" customFormat="1">
      <c r="A42" s="2">
        <f t="shared" si="0"/>
        <v>37</v>
      </c>
      <c r="B42" s="5"/>
      <c r="C42" s="12"/>
      <c r="D42" s="5"/>
      <c r="E42" s="4"/>
      <c r="F42" s="3"/>
      <c r="G42" s="3"/>
      <c r="H42" s="2"/>
      <c r="I42" s="4"/>
      <c r="J42" s="4"/>
    </row>
    <row r="43" spans="1:10" s="1" customFormat="1">
      <c r="A43" s="2">
        <f t="shared" si="0"/>
        <v>38</v>
      </c>
      <c r="B43" s="5"/>
      <c r="C43" s="5"/>
      <c r="D43" s="5"/>
      <c r="E43" s="4"/>
      <c r="F43" s="3"/>
      <c r="G43" s="3"/>
      <c r="H43" s="2"/>
      <c r="I43" s="4"/>
      <c r="J43" s="4"/>
    </row>
    <row r="44" spans="1:10" s="1" customFormat="1">
      <c r="A44" s="2">
        <f t="shared" si="0"/>
        <v>39</v>
      </c>
      <c r="B44" s="5"/>
      <c r="C44" s="12"/>
      <c r="D44" s="5"/>
      <c r="E44" s="4"/>
      <c r="F44" s="3"/>
      <c r="G44" s="3"/>
      <c r="H44" s="2"/>
      <c r="I44" s="4"/>
      <c r="J44" s="4"/>
    </row>
    <row r="45" spans="1:10" s="1" customFormat="1">
      <c r="A45" s="2">
        <f t="shared" si="0"/>
        <v>40</v>
      </c>
      <c r="B45" s="5"/>
      <c r="C45" s="5"/>
      <c r="D45" s="5"/>
      <c r="E45" s="4"/>
      <c r="F45" s="3"/>
      <c r="G45" s="3"/>
      <c r="H45" s="2"/>
      <c r="I45" s="4"/>
      <c r="J45" s="4"/>
    </row>
    <row r="46" spans="1:10" s="1" customFormat="1">
      <c r="A46" s="2">
        <f t="shared" si="0"/>
        <v>41</v>
      </c>
      <c r="B46" s="5"/>
      <c r="C46" s="12"/>
      <c r="D46" s="5"/>
      <c r="E46" s="4"/>
      <c r="F46" s="3"/>
      <c r="G46" s="3"/>
      <c r="H46" s="2"/>
      <c r="I46" s="4"/>
      <c r="J46" s="4"/>
    </row>
    <row r="47" spans="1:10" s="1" customFormat="1">
      <c r="A47" s="2">
        <f t="shared" si="0"/>
        <v>42</v>
      </c>
      <c r="B47" s="5"/>
      <c r="C47" s="5"/>
      <c r="D47" s="5"/>
      <c r="E47" s="4"/>
      <c r="F47" s="3"/>
      <c r="G47" s="3"/>
      <c r="H47" s="2"/>
      <c r="I47" s="4"/>
      <c r="J47" s="4"/>
    </row>
    <row r="48" spans="1:10" s="1" customFormat="1">
      <c r="A48" s="2">
        <f t="shared" si="0"/>
        <v>43</v>
      </c>
      <c r="B48" s="5"/>
      <c r="C48" s="12"/>
      <c r="D48" s="5"/>
      <c r="E48" s="4"/>
      <c r="F48" s="3"/>
      <c r="G48" s="3"/>
      <c r="H48" s="2"/>
      <c r="I48" s="4"/>
      <c r="J48" s="4"/>
    </row>
    <row r="49" spans="1:10" s="1" customFormat="1">
      <c r="A49" s="2">
        <f t="shared" si="0"/>
        <v>44</v>
      </c>
      <c r="B49" s="5"/>
      <c r="C49" s="5"/>
      <c r="D49" s="5"/>
      <c r="E49" s="4"/>
      <c r="F49" s="3"/>
      <c r="G49" s="3"/>
      <c r="H49" s="2"/>
      <c r="I49" s="4"/>
      <c r="J49" s="4"/>
    </row>
    <row r="50" spans="1:10" s="1" customFormat="1">
      <c r="A50" s="2">
        <f t="shared" si="0"/>
        <v>45</v>
      </c>
      <c r="B50" s="5"/>
      <c r="C50" s="12"/>
      <c r="D50" s="5"/>
      <c r="E50" s="4"/>
      <c r="F50" s="3"/>
      <c r="G50" s="3"/>
      <c r="H50" s="2"/>
      <c r="I50" s="4"/>
      <c r="J50" s="4"/>
    </row>
    <row r="51" spans="1:10" s="1" customFormat="1">
      <c r="A51" s="2">
        <f t="shared" si="0"/>
        <v>46</v>
      </c>
      <c r="B51" s="5"/>
      <c r="C51" s="5"/>
      <c r="D51" s="5"/>
      <c r="E51" s="4"/>
      <c r="F51" s="3"/>
      <c r="G51" s="3"/>
      <c r="H51" s="2"/>
      <c r="I51" s="4"/>
      <c r="J51" s="4"/>
    </row>
    <row r="53" spans="1:10">
      <c r="B53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5326-9C4E-47CA-BC7B-C6CAD685AA24}">
  <sheetPr codeName="Sheet3"/>
  <dimension ref="A1:J36"/>
  <sheetViews>
    <sheetView topLeftCell="C7" workbookViewId="0">
      <selection activeCell="G14" sqref="G14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ユーザー情報</v>
      </c>
      <c r="D1" s="8"/>
    </row>
    <row r="2" spans="1:10">
      <c r="B2" s="11" t="s">
        <v>9</v>
      </c>
      <c r="C2" s="10">
        <f>COUNTA(D7:D34)</f>
        <v>10</v>
      </c>
    </row>
    <row r="3" spans="1:10">
      <c r="B3" s="11" t="s">
        <v>66</v>
      </c>
      <c r="C3" s="10">
        <f>COUNTA(F7:F34)</f>
        <v>10</v>
      </c>
    </row>
    <row r="4" spans="1:10">
      <c r="B4" s="11" t="s">
        <v>11</v>
      </c>
      <c r="C4" s="10">
        <f>COUNTA(G7:G34)</f>
        <v>10</v>
      </c>
    </row>
    <row r="5" spans="1:10">
      <c r="B5" s="9"/>
      <c r="C5" s="8"/>
    </row>
    <row r="6" spans="1:10" s="6" customFormat="1">
      <c r="A6" s="13" t="s">
        <v>4</v>
      </c>
      <c r="B6" s="13" t="s">
        <v>6</v>
      </c>
      <c r="C6" s="13" t="s">
        <v>7</v>
      </c>
      <c r="D6" s="13" t="s">
        <v>3</v>
      </c>
      <c r="E6" s="13" t="s">
        <v>2</v>
      </c>
      <c r="F6" s="13" t="s">
        <v>1</v>
      </c>
      <c r="G6" s="13" t="s">
        <v>0</v>
      </c>
      <c r="H6" s="16" t="s">
        <v>8</v>
      </c>
      <c r="I6" s="16"/>
      <c r="J6" s="16"/>
    </row>
    <row r="7" spans="1:10" s="1" customFormat="1" ht="36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4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 t="s">
        <v>47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 t="s">
        <v>20</v>
      </c>
      <c r="C11" s="5" t="s">
        <v>21</v>
      </c>
      <c r="D11" s="5" t="s">
        <v>22</v>
      </c>
      <c r="E11" s="4" t="s">
        <v>67</v>
      </c>
      <c r="F11" s="3">
        <v>43739</v>
      </c>
      <c r="G11" s="3">
        <v>43739</v>
      </c>
      <c r="H11" s="2"/>
      <c r="I11" s="4"/>
      <c r="J11" s="4"/>
    </row>
    <row r="12" spans="1:10" s="1" customFormat="1">
      <c r="A12" s="2">
        <f t="shared" si="0"/>
        <v>7</v>
      </c>
      <c r="B12" s="5"/>
      <c r="C12" s="5"/>
      <c r="D12" s="5" t="s">
        <v>23</v>
      </c>
      <c r="E12" s="4" t="s">
        <v>67</v>
      </c>
      <c r="F12" s="3">
        <v>43739</v>
      </c>
      <c r="G12" s="3">
        <v>43739</v>
      </c>
      <c r="H12" s="2"/>
      <c r="I12" s="4"/>
      <c r="J12" s="4"/>
    </row>
    <row r="13" spans="1:10" s="1" customFormat="1">
      <c r="A13" s="2">
        <f t="shared" si="0"/>
        <v>8</v>
      </c>
      <c r="B13" s="5"/>
      <c r="C13" s="12"/>
      <c r="D13" s="5" t="s">
        <v>19</v>
      </c>
      <c r="E13" s="4" t="s">
        <v>67</v>
      </c>
      <c r="F13" s="3">
        <v>43739</v>
      </c>
      <c r="G13" s="3">
        <v>43739</v>
      </c>
      <c r="H13" s="2"/>
      <c r="I13" s="4"/>
      <c r="J13" s="4"/>
    </row>
    <row r="14" spans="1:10" s="1" customFormat="1">
      <c r="A14" s="2">
        <f t="shared" si="0"/>
        <v>9</v>
      </c>
      <c r="B14" s="5"/>
      <c r="C14" s="5" t="s">
        <v>29</v>
      </c>
      <c r="D14" s="5" t="s">
        <v>30</v>
      </c>
      <c r="E14" s="4" t="s">
        <v>67</v>
      </c>
      <c r="F14" s="3">
        <v>43739</v>
      </c>
      <c r="G14" s="3">
        <v>43741</v>
      </c>
      <c r="H14" s="2">
        <v>55</v>
      </c>
      <c r="I14" s="4"/>
      <c r="J14" s="4"/>
    </row>
    <row r="15" spans="1:10" s="1" customFormat="1">
      <c r="A15" s="2">
        <f t="shared" si="0"/>
        <v>10</v>
      </c>
      <c r="B15" s="5" t="s">
        <v>31</v>
      </c>
      <c r="C15" s="5" t="s">
        <v>32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33</v>
      </c>
      <c r="D16" s="5" t="s">
        <v>34</v>
      </c>
      <c r="E16" s="4" t="s">
        <v>67</v>
      </c>
      <c r="F16" s="3">
        <v>43739</v>
      </c>
      <c r="G16" s="3">
        <v>43739</v>
      </c>
      <c r="H16" s="2"/>
      <c r="I16" s="4"/>
      <c r="J16" s="4"/>
    </row>
    <row r="17" spans="1:10" s="1" customFormat="1">
      <c r="A17" s="2">
        <f t="shared" si="0"/>
        <v>12</v>
      </c>
      <c r="B17" s="5" t="s">
        <v>35</v>
      </c>
      <c r="C17" s="5" t="s">
        <v>32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 t="s">
        <v>36</v>
      </c>
      <c r="D18" s="5" t="s">
        <v>37</v>
      </c>
      <c r="E18" s="4" t="s">
        <v>67</v>
      </c>
      <c r="F18" s="3">
        <v>43739</v>
      </c>
      <c r="G18" s="3">
        <v>43739</v>
      </c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 t="s">
        <v>19</v>
      </c>
      <c r="E19" s="4" t="s">
        <v>67</v>
      </c>
      <c r="F19" s="3">
        <v>43739</v>
      </c>
      <c r="G19" s="3">
        <v>43741</v>
      </c>
      <c r="H19" s="2">
        <v>56</v>
      </c>
      <c r="I19" s="4"/>
      <c r="J19" s="4"/>
    </row>
    <row r="20" spans="1:10" s="1" customFormat="1">
      <c r="A20" s="2">
        <f t="shared" si="0"/>
        <v>15</v>
      </c>
      <c r="B20" s="5"/>
      <c r="C20" s="12"/>
      <c r="D20" s="5" t="s">
        <v>39</v>
      </c>
      <c r="E20" s="4" t="s">
        <v>67</v>
      </c>
      <c r="F20" s="3">
        <v>43739</v>
      </c>
      <c r="G20" s="3">
        <v>43739</v>
      </c>
      <c r="H20" s="2"/>
      <c r="I20" s="4"/>
      <c r="J20" s="4"/>
    </row>
    <row r="21" spans="1:10" s="1" customFormat="1">
      <c r="A21" s="2">
        <f t="shared" si="0"/>
        <v>16</v>
      </c>
      <c r="B21" s="5"/>
      <c r="C21" s="5" t="s">
        <v>38</v>
      </c>
      <c r="D21" s="5" t="s">
        <v>68</v>
      </c>
      <c r="E21" s="4" t="s">
        <v>67</v>
      </c>
      <c r="F21" s="3">
        <v>43739</v>
      </c>
      <c r="G21" s="3">
        <v>43739</v>
      </c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 t="s">
        <v>23</v>
      </c>
      <c r="E22" s="4" t="s">
        <v>67</v>
      </c>
      <c r="F22" s="3">
        <v>43739</v>
      </c>
      <c r="G22" s="3">
        <v>43739</v>
      </c>
      <c r="H22" s="2"/>
      <c r="I22" s="4"/>
      <c r="J22" s="4"/>
    </row>
    <row r="23" spans="1:10" s="1" customFormat="1">
      <c r="A23" s="2">
        <f t="shared" si="0"/>
        <v>18</v>
      </c>
      <c r="B23" s="5"/>
      <c r="C23" s="12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2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2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2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28</v>
      </c>
      <c r="B33" s="5"/>
      <c r="C33" s="12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29</v>
      </c>
      <c r="B34" s="5"/>
      <c r="C34" s="5"/>
      <c r="D34" s="5"/>
      <c r="E34" s="4"/>
      <c r="F34" s="3"/>
      <c r="G34" s="3"/>
      <c r="H34" s="2"/>
      <c r="I34" s="4"/>
      <c r="J34" s="4"/>
    </row>
    <row r="36" spans="1:10">
      <c r="B36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E41F3-ECB9-4721-A51C-F3CCC088DE94}">
  <sheetPr codeName="Sheet4"/>
  <dimension ref="A1:J33"/>
  <sheetViews>
    <sheetView topLeftCell="B16" workbookViewId="0">
      <selection activeCell="G21" sqref="G21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ユーザー登録</v>
      </c>
      <c r="D1" s="8"/>
    </row>
    <row r="2" spans="1:10">
      <c r="B2" s="11" t="s">
        <v>9</v>
      </c>
      <c r="C2" s="10">
        <f>COUNTA(D7:D31)</f>
        <v>8</v>
      </c>
    </row>
    <row r="3" spans="1:10">
      <c r="B3" s="11" t="s">
        <v>66</v>
      </c>
      <c r="C3" s="10">
        <f>COUNTA(F7:F32)</f>
        <v>8</v>
      </c>
    </row>
    <row r="4" spans="1:10">
      <c r="B4" s="11" t="s">
        <v>11</v>
      </c>
      <c r="C4" s="10">
        <f>COUNTA(G7:G31)</f>
        <v>8</v>
      </c>
    </row>
    <row r="5" spans="1:10">
      <c r="B5" s="9"/>
      <c r="C5" s="8"/>
    </row>
    <row r="6" spans="1:10" s="6" customFormat="1">
      <c r="A6" s="14" t="s">
        <v>4</v>
      </c>
      <c r="B6" s="14" t="s">
        <v>6</v>
      </c>
      <c r="C6" s="14" t="s">
        <v>7</v>
      </c>
      <c r="D6" s="14" t="s">
        <v>3</v>
      </c>
      <c r="E6" s="14" t="s">
        <v>2</v>
      </c>
      <c r="F6" s="14" t="s">
        <v>1</v>
      </c>
      <c r="G6" s="14" t="s">
        <v>0</v>
      </c>
      <c r="H6" s="16" t="s">
        <v>8</v>
      </c>
      <c r="I6" s="16"/>
      <c r="J6" s="16"/>
    </row>
    <row r="7" spans="1:10" s="1" customFormat="1" ht="36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1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 t="s">
        <v>47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 t="s">
        <v>20</v>
      </c>
      <c r="C11" s="5" t="s">
        <v>25</v>
      </c>
      <c r="D11" s="5" t="s">
        <v>22</v>
      </c>
      <c r="E11" s="4" t="s">
        <v>67</v>
      </c>
      <c r="F11" s="3">
        <v>43739</v>
      </c>
      <c r="G11" s="3">
        <v>43739</v>
      </c>
      <c r="H11" s="2"/>
      <c r="I11" s="4"/>
      <c r="J11" s="4"/>
    </row>
    <row r="12" spans="1:10" s="1" customFormat="1">
      <c r="A12" s="2">
        <f t="shared" si="0"/>
        <v>7</v>
      </c>
      <c r="B12" s="5"/>
      <c r="C12" s="5"/>
      <c r="D12" s="5" t="s">
        <v>19</v>
      </c>
      <c r="E12" s="4" t="s">
        <v>67</v>
      </c>
      <c r="F12" s="3">
        <v>43739</v>
      </c>
      <c r="G12" s="3">
        <v>43739</v>
      </c>
      <c r="H12" s="2"/>
      <c r="I12" s="4"/>
      <c r="J12" s="4"/>
    </row>
    <row r="13" spans="1:10" s="1" customFormat="1">
      <c r="A13" s="2">
        <f t="shared" si="0"/>
        <v>8</v>
      </c>
      <c r="B13" s="5" t="s">
        <v>31</v>
      </c>
      <c r="C13" s="5" t="s">
        <v>32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 t="s">
        <v>33</v>
      </c>
      <c r="D14" s="5" t="s">
        <v>34</v>
      </c>
      <c r="E14" s="4" t="s">
        <v>67</v>
      </c>
      <c r="F14" s="3">
        <v>43741</v>
      </c>
      <c r="G14" s="3">
        <v>43741</v>
      </c>
      <c r="H14" s="2"/>
      <c r="I14" s="4"/>
      <c r="J14" s="4"/>
    </row>
    <row r="15" spans="1:10" s="1" customFormat="1">
      <c r="A15" s="2">
        <f t="shared" si="0"/>
        <v>10</v>
      </c>
      <c r="B15" s="5" t="s">
        <v>35</v>
      </c>
      <c r="C15" s="5" t="s">
        <v>32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36</v>
      </c>
      <c r="D16" s="5" t="s">
        <v>37</v>
      </c>
      <c r="E16" s="4" t="s">
        <v>67</v>
      </c>
      <c r="F16" s="3">
        <v>43739</v>
      </c>
      <c r="G16" s="3">
        <v>43739</v>
      </c>
      <c r="H16" s="2"/>
      <c r="I16" s="4"/>
      <c r="J16" s="4"/>
    </row>
    <row r="17" spans="1:10" s="1" customFormat="1">
      <c r="A17" s="2">
        <f t="shared" si="0"/>
        <v>12</v>
      </c>
      <c r="B17" s="5"/>
      <c r="C17" s="5"/>
      <c r="D17" s="5" t="s">
        <v>19</v>
      </c>
      <c r="E17" s="4" t="s">
        <v>67</v>
      </c>
      <c r="F17" s="3">
        <v>43739</v>
      </c>
      <c r="G17" s="3">
        <v>43741</v>
      </c>
      <c r="H17" s="2">
        <v>56</v>
      </c>
      <c r="I17" s="4"/>
      <c r="J17" s="4"/>
    </row>
    <row r="18" spans="1:10" s="1" customFormat="1">
      <c r="A18" s="2">
        <f t="shared" si="0"/>
        <v>13</v>
      </c>
      <c r="B18" s="5"/>
      <c r="C18" s="12"/>
      <c r="D18" s="5" t="s">
        <v>39</v>
      </c>
      <c r="E18" s="4" t="s">
        <v>67</v>
      </c>
      <c r="F18" s="3">
        <v>43739</v>
      </c>
      <c r="G18" s="3">
        <v>43739</v>
      </c>
      <c r="H18" s="2"/>
      <c r="I18" s="4"/>
      <c r="J18" s="4"/>
    </row>
    <row r="19" spans="1:10" s="1" customFormat="1">
      <c r="A19" s="2">
        <f t="shared" si="0"/>
        <v>14</v>
      </c>
      <c r="B19" s="5"/>
      <c r="C19" s="5" t="s">
        <v>38</v>
      </c>
      <c r="D19" s="5" t="s">
        <v>22</v>
      </c>
      <c r="E19" s="4" t="s">
        <v>67</v>
      </c>
      <c r="F19" s="3">
        <v>43741</v>
      </c>
      <c r="G19" s="3">
        <v>43741</v>
      </c>
      <c r="H19" s="2"/>
      <c r="I19" s="4"/>
      <c r="J19" s="4"/>
    </row>
    <row r="20" spans="1:10" s="1" customFormat="1" ht="36">
      <c r="A20" s="2">
        <f t="shared" si="0"/>
        <v>15</v>
      </c>
      <c r="B20" s="5" t="s">
        <v>40</v>
      </c>
      <c r="C20" s="12" t="s">
        <v>41</v>
      </c>
      <c r="D20" s="5"/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16</v>
      </c>
      <c r="B21" s="5"/>
      <c r="C21" s="5" t="s">
        <v>43</v>
      </c>
      <c r="D21" s="5" t="s">
        <v>42</v>
      </c>
      <c r="E21" s="4" t="s">
        <v>67</v>
      </c>
      <c r="F21" s="3">
        <v>43739</v>
      </c>
      <c r="G21" s="3">
        <v>43741</v>
      </c>
      <c r="H21" s="2">
        <v>57</v>
      </c>
      <c r="I21" s="4"/>
      <c r="J21" s="4"/>
    </row>
    <row r="22" spans="1:10" s="1" customFormat="1" ht="36">
      <c r="A22" s="2">
        <f t="shared" si="0"/>
        <v>17</v>
      </c>
      <c r="B22" s="5"/>
      <c r="C22" s="12" t="s">
        <v>41</v>
      </c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2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2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2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2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5"/>
      <c r="D31" s="5"/>
      <c r="E31" s="4"/>
      <c r="F31" s="3"/>
      <c r="G31" s="3"/>
      <c r="H31" s="2"/>
      <c r="I31" s="4"/>
      <c r="J31" s="4"/>
    </row>
    <row r="33" spans="2:2">
      <c r="B33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00C01-EE55-4B63-B7CF-477A3BE1A7D1}">
  <sheetPr codeName="Sheet5"/>
  <dimension ref="A1:J34"/>
  <sheetViews>
    <sheetView topLeftCell="C1" workbookViewId="0">
      <selection activeCell="D13" sqref="D13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ユーザー検索</v>
      </c>
      <c r="D1" s="8"/>
    </row>
    <row r="2" spans="1:10">
      <c r="B2" s="11" t="s">
        <v>9</v>
      </c>
      <c r="C2" s="10">
        <f>COUNTA(D7:D32)</f>
        <v>5</v>
      </c>
    </row>
    <row r="3" spans="1:10">
      <c r="B3" s="11" t="s">
        <v>66</v>
      </c>
      <c r="C3" s="10">
        <f>COUNTA(F7:F32)</f>
        <v>5</v>
      </c>
    </row>
    <row r="4" spans="1:10">
      <c r="B4" s="11" t="s">
        <v>11</v>
      </c>
      <c r="C4" s="10">
        <f>COUNTA(G7:G32)</f>
        <v>3</v>
      </c>
    </row>
    <row r="5" spans="1:10">
      <c r="B5" s="9"/>
      <c r="C5" s="8"/>
    </row>
    <row r="6" spans="1:10" s="6" customFormat="1">
      <c r="A6" s="14" t="s">
        <v>4</v>
      </c>
      <c r="B6" s="14" t="s">
        <v>6</v>
      </c>
      <c r="C6" s="14" t="s">
        <v>7</v>
      </c>
      <c r="D6" s="14" t="s">
        <v>3</v>
      </c>
      <c r="E6" s="14" t="s">
        <v>2</v>
      </c>
      <c r="F6" s="14" t="s">
        <v>1</v>
      </c>
      <c r="G6" s="14" t="s">
        <v>0</v>
      </c>
      <c r="H6" s="16" t="s">
        <v>8</v>
      </c>
      <c r="I6" s="16"/>
      <c r="J6" s="16"/>
    </row>
    <row r="7" spans="1:10" s="1" customFormat="1" ht="36">
      <c r="A7" s="2">
        <f>ROW()-5</f>
        <v>2</v>
      </c>
      <c r="B7" s="5" t="s">
        <v>16</v>
      </c>
      <c r="C7" s="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2" si="0">ROW()-5</f>
        <v>3</v>
      </c>
      <c r="B8" s="5"/>
      <c r="C8" s="5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5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5" t="s">
        <v>47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 t="s">
        <v>20</v>
      </c>
      <c r="C11" s="5" t="s">
        <v>27</v>
      </c>
      <c r="D11" s="5" t="s">
        <v>28</v>
      </c>
      <c r="E11" s="4" t="s">
        <v>67</v>
      </c>
      <c r="F11" s="3">
        <v>43739</v>
      </c>
      <c r="G11" s="3">
        <v>43739</v>
      </c>
      <c r="H11" s="2"/>
      <c r="I11" s="4"/>
      <c r="J11" s="4"/>
    </row>
    <row r="12" spans="1:10" s="1" customFormat="1">
      <c r="A12" s="2">
        <f t="shared" si="0"/>
        <v>7</v>
      </c>
      <c r="B12" s="5"/>
      <c r="C12" s="12"/>
      <c r="D12" s="5" t="s">
        <v>19</v>
      </c>
      <c r="E12" s="4" t="s">
        <v>67</v>
      </c>
      <c r="F12" s="3">
        <v>43739</v>
      </c>
      <c r="G12" s="3">
        <v>43739</v>
      </c>
      <c r="H12" s="2"/>
      <c r="I12" s="4"/>
      <c r="J12" s="4"/>
    </row>
    <row r="13" spans="1:10" s="1" customFormat="1">
      <c r="A13" s="2">
        <f t="shared" si="0"/>
        <v>8</v>
      </c>
      <c r="B13" s="5" t="s">
        <v>31</v>
      </c>
      <c r="C13" s="5" t="s">
        <v>32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5" t="s">
        <v>33</v>
      </c>
      <c r="D14" s="5" t="s">
        <v>34</v>
      </c>
      <c r="E14" s="4" t="s">
        <v>67</v>
      </c>
      <c r="F14" s="3">
        <v>43739</v>
      </c>
      <c r="G14" s="3"/>
      <c r="H14" s="2">
        <v>58</v>
      </c>
      <c r="I14" s="4"/>
      <c r="J14" s="4"/>
    </row>
    <row r="15" spans="1:10" s="1" customFormat="1">
      <c r="A15" s="2">
        <f t="shared" si="0"/>
        <v>10</v>
      </c>
      <c r="B15" s="5" t="s">
        <v>44</v>
      </c>
      <c r="C15" s="5" t="s">
        <v>32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45</v>
      </c>
      <c r="D16" s="5" t="s">
        <v>46</v>
      </c>
      <c r="E16" s="4" t="s">
        <v>67</v>
      </c>
      <c r="F16" s="3">
        <v>43739</v>
      </c>
      <c r="G16" s="3">
        <v>43739</v>
      </c>
      <c r="H16" s="2"/>
      <c r="I16" s="4"/>
      <c r="J16" s="4"/>
    </row>
    <row r="17" spans="1:10" s="1" customFormat="1">
      <c r="A17" s="2">
        <f t="shared" si="0"/>
        <v>12</v>
      </c>
      <c r="B17" s="5"/>
      <c r="C17" s="5"/>
      <c r="D17" s="5" t="s">
        <v>19</v>
      </c>
      <c r="E17" s="4" t="s">
        <v>67</v>
      </c>
      <c r="F17" s="3">
        <v>43739</v>
      </c>
      <c r="G17" s="3"/>
      <c r="H17" s="2">
        <v>59</v>
      </c>
      <c r="I17" s="4"/>
      <c r="J17" s="4"/>
    </row>
    <row r="18" spans="1:10" s="1" customFormat="1">
      <c r="A18" s="2">
        <f t="shared" si="0"/>
        <v>13</v>
      </c>
      <c r="B18" s="5"/>
      <c r="C18" s="5"/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15</v>
      </c>
      <c r="B20" s="5"/>
      <c r="C20" s="12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16</v>
      </c>
      <c r="B21" s="5"/>
      <c r="C21" s="12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17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2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2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2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26</v>
      </c>
      <c r="B31" s="5"/>
      <c r="C31" s="12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27</v>
      </c>
      <c r="B32" s="5"/>
      <c r="C32" s="5"/>
      <c r="D32" s="5"/>
      <c r="E32" s="4"/>
      <c r="F32" s="3"/>
      <c r="G32" s="3"/>
      <c r="H32" s="2"/>
      <c r="I32" s="4"/>
      <c r="J32" s="4"/>
    </row>
    <row r="34" spans="2:2">
      <c r="B34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B30DA-C1C6-42BA-80FA-0A8DC7841E95}">
  <sheetPr codeName="Sheet6"/>
  <dimension ref="A1:J32"/>
  <sheetViews>
    <sheetView tabSelected="1" topLeftCell="B1" workbookViewId="0">
      <selection activeCell="G20" sqref="G2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ユーザー一覧</v>
      </c>
      <c r="D1" s="8"/>
    </row>
    <row r="2" spans="1:10">
      <c r="B2" s="11" t="s">
        <v>9</v>
      </c>
      <c r="C2" s="10">
        <f>COUNTA(D7:D30)</f>
        <v>7</v>
      </c>
    </row>
    <row r="3" spans="1:10">
      <c r="B3" s="11" t="s">
        <v>66</v>
      </c>
      <c r="C3" s="10">
        <f>COUNTA(F7:F30)</f>
        <v>7</v>
      </c>
    </row>
    <row r="4" spans="1:10">
      <c r="B4" s="11" t="s">
        <v>11</v>
      </c>
      <c r="C4" s="10">
        <f>COUNTA(G7:G30)</f>
        <v>7</v>
      </c>
    </row>
    <row r="5" spans="1:10">
      <c r="B5" s="9"/>
      <c r="C5" s="8"/>
    </row>
    <row r="6" spans="1:10" s="6" customFormat="1">
      <c r="A6" s="14" t="s">
        <v>4</v>
      </c>
      <c r="B6" s="14" t="s">
        <v>6</v>
      </c>
      <c r="C6" s="14" t="s">
        <v>7</v>
      </c>
      <c r="D6" s="14" t="s">
        <v>3</v>
      </c>
      <c r="E6" s="14" t="s">
        <v>2</v>
      </c>
      <c r="F6" s="14" t="s">
        <v>1</v>
      </c>
      <c r="G6" s="14" t="s">
        <v>0</v>
      </c>
      <c r="H6" s="16" t="s">
        <v>8</v>
      </c>
      <c r="I6" s="16"/>
      <c r="J6" s="16"/>
    </row>
    <row r="7" spans="1:10" s="1" customFormat="1" ht="36">
      <c r="A7" s="2">
        <f>ROW()-5</f>
        <v>2</v>
      </c>
      <c r="B7" s="5" t="s">
        <v>16</v>
      </c>
      <c r="C7" s="1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0" si="0">ROW()-5</f>
        <v>3</v>
      </c>
      <c r="B8" s="5"/>
      <c r="C8" s="15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15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5" t="s">
        <v>47</v>
      </c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6</v>
      </c>
      <c r="B11" s="5"/>
      <c r="C11" s="15" t="s">
        <v>27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5"/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8</v>
      </c>
      <c r="B13" s="5"/>
      <c r="C13" s="15" t="s">
        <v>32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9</v>
      </c>
      <c r="B14" s="5"/>
      <c r="C14" s="15" t="s">
        <v>45</v>
      </c>
      <c r="D14" s="5" t="s">
        <v>57</v>
      </c>
      <c r="E14" s="4" t="s">
        <v>67</v>
      </c>
      <c r="F14" s="3">
        <v>43739</v>
      </c>
      <c r="G14" s="3">
        <v>43739</v>
      </c>
      <c r="H14" s="2"/>
      <c r="I14" s="4"/>
      <c r="J14" s="4"/>
    </row>
    <row r="15" spans="1:10" s="1" customFormat="1">
      <c r="A15" s="2">
        <f t="shared" si="0"/>
        <v>10</v>
      </c>
      <c r="B15" s="5"/>
      <c r="C15" s="15"/>
      <c r="D15" s="5" t="s">
        <v>19</v>
      </c>
      <c r="E15" s="4" t="s">
        <v>67</v>
      </c>
      <c r="F15" s="3">
        <v>43739</v>
      </c>
      <c r="G15" s="3">
        <v>43741</v>
      </c>
      <c r="H15" s="2"/>
      <c r="I15" s="4"/>
      <c r="J15" s="4"/>
    </row>
    <row r="16" spans="1:10" s="1" customFormat="1">
      <c r="A16" s="2">
        <f t="shared" si="0"/>
        <v>11</v>
      </c>
      <c r="B16" s="5" t="s">
        <v>49</v>
      </c>
      <c r="C16" s="15" t="s">
        <v>50</v>
      </c>
      <c r="D16" s="5" t="s">
        <v>51</v>
      </c>
      <c r="E16" s="4" t="s">
        <v>67</v>
      </c>
      <c r="F16" s="3">
        <v>43739</v>
      </c>
      <c r="G16" s="3">
        <v>43741</v>
      </c>
      <c r="H16" s="2"/>
      <c r="I16" s="4"/>
      <c r="J16" s="4"/>
    </row>
    <row r="17" spans="1:10" s="1" customFormat="1">
      <c r="A17" s="2">
        <f t="shared" si="0"/>
        <v>12</v>
      </c>
      <c r="B17" s="5"/>
      <c r="C17" s="15" t="s">
        <v>52</v>
      </c>
      <c r="D17" s="5" t="s">
        <v>53</v>
      </c>
      <c r="E17" s="4" t="s">
        <v>67</v>
      </c>
      <c r="F17" s="3">
        <v>43741</v>
      </c>
      <c r="G17" s="3">
        <v>43741</v>
      </c>
      <c r="H17" s="2"/>
      <c r="I17" s="4"/>
      <c r="J17" s="4"/>
    </row>
    <row r="18" spans="1:10" s="1" customFormat="1" ht="36">
      <c r="A18" s="2">
        <f t="shared" si="0"/>
        <v>13</v>
      </c>
      <c r="B18" s="5" t="s">
        <v>48</v>
      </c>
      <c r="C18" s="15" t="s">
        <v>54</v>
      </c>
      <c r="D18" s="5" t="s">
        <v>58</v>
      </c>
      <c r="E18" s="4" t="s">
        <v>67</v>
      </c>
      <c r="F18" s="3">
        <v>43739</v>
      </c>
      <c r="G18" s="3">
        <v>43739</v>
      </c>
      <c r="H18" s="2"/>
      <c r="I18" s="4"/>
      <c r="J18" s="4"/>
    </row>
    <row r="19" spans="1:10" s="1" customFormat="1">
      <c r="A19" s="2">
        <f t="shared" si="0"/>
        <v>14</v>
      </c>
      <c r="B19" s="5"/>
      <c r="C19" s="15"/>
      <c r="D19" s="5" t="s">
        <v>55</v>
      </c>
      <c r="E19" s="4" t="s">
        <v>67</v>
      </c>
      <c r="F19" s="3">
        <v>43739</v>
      </c>
      <c r="G19" s="3">
        <v>43741</v>
      </c>
      <c r="H19" s="2">
        <v>60</v>
      </c>
      <c r="I19" s="4"/>
      <c r="J19" s="4"/>
    </row>
    <row r="20" spans="1:10" s="1" customFormat="1">
      <c r="A20" s="2">
        <f t="shared" si="0"/>
        <v>15</v>
      </c>
      <c r="B20" s="5"/>
      <c r="C20" s="15" t="s">
        <v>56</v>
      </c>
      <c r="D20" s="5"/>
      <c r="E20" s="4"/>
      <c r="F20" s="3"/>
      <c r="G20" s="3"/>
      <c r="H20" s="2"/>
      <c r="I20" s="4"/>
      <c r="J20" s="4"/>
    </row>
    <row r="21" spans="1:10" s="1" customFormat="1" ht="36">
      <c r="A21" s="2">
        <f t="shared" si="0"/>
        <v>16</v>
      </c>
      <c r="B21" s="5" t="s">
        <v>59</v>
      </c>
      <c r="C21" s="15" t="s">
        <v>60</v>
      </c>
      <c r="D21" s="5" t="s">
        <v>61</v>
      </c>
      <c r="E21" s="4" t="s">
        <v>67</v>
      </c>
      <c r="F21" s="3">
        <v>43739</v>
      </c>
      <c r="G21" s="3">
        <v>43739</v>
      </c>
      <c r="H21" s="2"/>
      <c r="I21" s="4"/>
      <c r="J21" s="4"/>
    </row>
    <row r="22" spans="1:10" s="1" customFormat="1">
      <c r="A22" s="2">
        <f t="shared" si="0"/>
        <v>17</v>
      </c>
      <c r="B22" s="5"/>
      <c r="C22" s="1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18</v>
      </c>
      <c r="B23" s="5"/>
      <c r="C23" s="1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19</v>
      </c>
      <c r="B24" s="5"/>
      <c r="C24" s="1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20</v>
      </c>
      <c r="B25" s="5"/>
      <c r="C25" s="1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21</v>
      </c>
      <c r="B26" s="5"/>
      <c r="C26" s="1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22</v>
      </c>
      <c r="B27" s="5"/>
      <c r="C27" s="1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23</v>
      </c>
      <c r="B28" s="5"/>
      <c r="C28" s="1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24</v>
      </c>
      <c r="B29" s="5"/>
      <c r="C29" s="1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25</v>
      </c>
      <c r="B30" s="5"/>
      <c r="C30" s="15"/>
      <c r="D30" s="5"/>
      <c r="E30" s="4"/>
      <c r="F30" s="3"/>
      <c r="G30" s="3"/>
      <c r="H30" s="2"/>
      <c r="I30" s="4"/>
      <c r="J30" s="4"/>
    </row>
    <row r="32" spans="1:10">
      <c r="B32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33F31-790D-4D20-A3CC-66901F923C9C}">
  <sheetPr codeName="Sheet7"/>
  <dimension ref="A1:J25"/>
  <sheetViews>
    <sheetView topLeftCell="A13" workbookViewId="0">
      <selection activeCell="E22" sqref="E22:G22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ユーザー修正</v>
      </c>
      <c r="D1" s="8"/>
    </row>
    <row r="2" spans="1:10">
      <c r="B2" s="11" t="s">
        <v>9</v>
      </c>
      <c r="C2" s="10">
        <f>COUNTA(D7:D23)</f>
        <v>7</v>
      </c>
    </row>
    <row r="3" spans="1:10">
      <c r="B3" s="11" t="s">
        <v>66</v>
      </c>
      <c r="C3" s="10">
        <f>COUNTA(F7:F23)</f>
        <v>7</v>
      </c>
    </row>
    <row r="4" spans="1:10">
      <c r="B4" s="11" t="s">
        <v>11</v>
      </c>
      <c r="C4" s="10">
        <f>COUNTA(G7:G23)</f>
        <v>5</v>
      </c>
    </row>
    <row r="5" spans="1:10">
      <c r="B5" s="9"/>
      <c r="C5" s="8"/>
    </row>
    <row r="6" spans="1:10" s="6" customFormat="1">
      <c r="A6" s="14" t="s">
        <v>4</v>
      </c>
      <c r="B6" s="14" t="s">
        <v>6</v>
      </c>
      <c r="C6" s="14" t="s">
        <v>7</v>
      </c>
      <c r="D6" s="14" t="s">
        <v>3</v>
      </c>
      <c r="E6" s="14" t="s">
        <v>2</v>
      </c>
      <c r="F6" s="14" t="s">
        <v>1</v>
      </c>
      <c r="G6" s="14" t="s">
        <v>0</v>
      </c>
      <c r="H6" s="16" t="s">
        <v>8</v>
      </c>
      <c r="I6" s="16"/>
      <c r="J6" s="16"/>
    </row>
    <row r="7" spans="1:10" s="1" customFormat="1" ht="36">
      <c r="A7" s="2">
        <f>ROW()-5</f>
        <v>2</v>
      </c>
      <c r="B7" s="5" t="s">
        <v>16</v>
      </c>
      <c r="C7" s="15" t="s">
        <v>13</v>
      </c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23" si="0">ROW()-5</f>
        <v>3</v>
      </c>
      <c r="B8" s="5"/>
      <c r="C8" s="15" t="s">
        <v>12</v>
      </c>
      <c r="D8" s="5"/>
      <c r="E8" s="4"/>
      <c r="F8" s="3"/>
      <c r="G8" s="3"/>
      <c r="H8" s="2"/>
      <c r="I8" s="4"/>
      <c r="J8" s="4"/>
    </row>
    <row r="9" spans="1:10" s="1" customFormat="1" ht="72">
      <c r="A9" s="2">
        <f t="shared" si="0"/>
        <v>4</v>
      </c>
      <c r="B9" s="5"/>
      <c r="C9" s="15" t="s">
        <v>14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5</v>
      </c>
      <c r="B10" s="5"/>
      <c r="C10" s="15" t="s">
        <v>47</v>
      </c>
      <c r="D10" s="5"/>
      <c r="E10" s="4"/>
      <c r="F10" s="3"/>
      <c r="G10" s="3"/>
      <c r="H10" s="2"/>
      <c r="I10" s="4"/>
      <c r="J10" s="4"/>
    </row>
    <row r="11" spans="1:10" s="1" customFormat="1" ht="36">
      <c r="A11" s="2">
        <f t="shared" si="0"/>
        <v>6</v>
      </c>
      <c r="B11" s="5"/>
      <c r="C11" s="15" t="s">
        <v>62</v>
      </c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7</v>
      </c>
      <c r="B12" s="5"/>
      <c r="C12" s="15" t="s">
        <v>32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8</v>
      </c>
      <c r="B13" s="5"/>
      <c r="C13" s="15" t="s">
        <v>63</v>
      </c>
      <c r="D13" s="5"/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9</v>
      </c>
      <c r="B14" s="5"/>
      <c r="C14" s="15" t="s">
        <v>60</v>
      </c>
      <c r="D14" s="5" t="s">
        <v>61</v>
      </c>
      <c r="E14" s="4" t="s">
        <v>67</v>
      </c>
      <c r="F14" s="3">
        <v>43739</v>
      </c>
      <c r="G14" s="3"/>
      <c r="H14" s="2">
        <v>61</v>
      </c>
      <c r="I14" s="4"/>
      <c r="J14" s="4"/>
    </row>
    <row r="15" spans="1:10" s="1" customFormat="1">
      <c r="A15" s="2">
        <f t="shared" si="0"/>
        <v>10</v>
      </c>
      <c r="B15" s="5" t="s">
        <v>31</v>
      </c>
      <c r="C15" s="5" t="s">
        <v>32</v>
      </c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11</v>
      </c>
      <c r="B16" s="5"/>
      <c r="C16" s="5" t="s">
        <v>33</v>
      </c>
      <c r="D16" s="5" t="s">
        <v>34</v>
      </c>
      <c r="E16" s="4" t="s">
        <v>67</v>
      </c>
      <c r="F16" s="3">
        <v>43739</v>
      </c>
      <c r="G16" s="3">
        <v>43739</v>
      </c>
      <c r="H16" s="2"/>
      <c r="I16" s="4"/>
      <c r="J16" s="4"/>
    </row>
    <row r="17" spans="1:10" s="1" customFormat="1">
      <c r="A17" s="2">
        <f t="shared" si="0"/>
        <v>12</v>
      </c>
      <c r="B17" s="5" t="s">
        <v>35</v>
      </c>
      <c r="C17" s="5" t="s">
        <v>32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13</v>
      </c>
      <c r="B18" s="5"/>
      <c r="C18" s="5" t="s">
        <v>36</v>
      </c>
      <c r="D18" s="5" t="s">
        <v>37</v>
      </c>
      <c r="E18" s="4" t="s">
        <v>67</v>
      </c>
      <c r="F18" s="3">
        <v>43739</v>
      </c>
      <c r="G18" s="3">
        <v>43739</v>
      </c>
      <c r="H18" s="2"/>
      <c r="I18" s="4"/>
      <c r="J18" s="4"/>
    </row>
    <row r="19" spans="1:10" s="1" customFormat="1">
      <c r="A19" s="2">
        <f t="shared" si="0"/>
        <v>14</v>
      </c>
      <c r="B19" s="5"/>
      <c r="C19" s="5"/>
      <c r="D19" s="5" t="s">
        <v>19</v>
      </c>
      <c r="E19" s="4" t="s">
        <v>67</v>
      </c>
      <c r="F19" s="3">
        <v>43739</v>
      </c>
      <c r="G19" s="3"/>
      <c r="H19" s="2">
        <v>62</v>
      </c>
      <c r="I19" s="4"/>
      <c r="J19" s="4"/>
    </row>
    <row r="20" spans="1:10" s="1" customFormat="1">
      <c r="A20" s="2">
        <f t="shared" si="0"/>
        <v>15</v>
      </c>
      <c r="B20" s="5"/>
      <c r="C20" s="5" t="s">
        <v>38</v>
      </c>
      <c r="D20" s="5" t="s">
        <v>65</v>
      </c>
      <c r="E20" s="4" t="s">
        <v>67</v>
      </c>
      <c r="F20" s="3">
        <v>43739</v>
      </c>
      <c r="G20" s="3">
        <v>43739</v>
      </c>
      <c r="H20" s="2"/>
      <c r="I20" s="4"/>
      <c r="J20" s="4"/>
    </row>
    <row r="21" spans="1:10" s="1" customFormat="1" ht="36">
      <c r="A21" s="2">
        <f t="shared" si="0"/>
        <v>16</v>
      </c>
      <c r="B21" s="5"/>
      <c r="C21" s="12" t="s">
        <v>64</v>
      </c>
      <c r="D21" s="5" t="s">
        <v>61</v>
      </c>
      <c r="E21" s="4" t="s">
        <v>67</v>
      </c>
      <c r="F21" s="3">
        <v>43739</v>
      </c>
      <c r="G21" s="3">
        <v>43739</v>
      </c>
      <c r="H21" s="2"/>
      <c r="I21" s="4"/>
      <c r="J21" s="4"/>
    </row>
    <row r="22" spans="1:10" s="1" customFormat="1">
      <c r="A22" s="2">
        <f t="shared" si="0"/>
        <v>17</v>
      </c>
      <c r="B22" s="5"/>
      <c r="C22" s="15"/>
      <c r="D22" s="5" t="s">
        <v>39</v>
      </c>
      <c r="E22" s="4" t="s">
        <v>67</v>
      </c>
      <c r="F22" s="3">
        <v>43739</v>
      </c>
      <c r="G22" s="3">
        <v>43739</v>
      </c>
      <c r="H22" s="2"/>
      <c r="I22" s="4"/>
      <c r="J22" s="4"/>
    </row>
    <row r="23" spans="1:10" s="1" customFormat="1">
      <c r="A23" s="2">
        <f t="shared" si="0"/>
        <v>18</v>
      </c>
      <c r="B23" s="5"/>
      <c r="C23" s="15"/>
      <c r="D23" s="5"/>
      <c r="E23" s="4"/>
      <c r="F23" s="3"/>
      <c r="G23" s="3"/>
      <c r="H23" s="2"/>
      <c r="I23" s="4"/>
      <c r="J23" s="4"/>
    </row>
    <row r="25" spans="1:10">
      <c r="B25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12</vt:i4>
      </vt:variant>
    </vt:vector>
  </HeadingPairs>
  <TitlesOfParts>
    <vt:vector size="19" baseType="lpstr">
      <vt:lpstr>表紙</vt:lpstr>
      <vt:lpstr>USER</vt:lpstr>
      <vt:lpstr>ユーザー情報</vt:lpstr>
      <vt:lpstr>ユーザー登録</vt:lpstr>
      <vt:lpstr>ユーザー検索</vt:lpstr>
      <vt:lpstr>ユーザー一覧</vt:lpstr>
      <vt:lpstr>ユーザー修正</vt:lpstr>
      <vt:lpstr>USER!comp_count</vt:lpstr>
      <vt:lpstr>ユーザー一覧!comp_count</vt:lpstr>
      <vt:lpstr>ユーザー検索!comp_count</vt:lpstr>
      <vt:lpstr>ユーザー修正!comp_count</vt:lpstr>
      <vt:lpstr>ユーザー情報!comp_count</vt:lpstr>
      <vt:lpstr>ユーザー登録!comp_count</vt:lpstr>
      <vt:lpstr>USER!item_count</vt:lpstr>
      <vt:lpstr>ユーザー一覧!item_count</vt:lpstr>
      <vt:lpstr>ユーザー検索!item_count</vt:lpstr>
      <vt:lpstr>ユーザー修正!item_count</vt:lpstr>
      <vt:lpstr>ユーザー情報!item_count</vt:lpstr>
      <vt:lpstr>ユーザー登録!item_count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2019-10-08T02:12:23Z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