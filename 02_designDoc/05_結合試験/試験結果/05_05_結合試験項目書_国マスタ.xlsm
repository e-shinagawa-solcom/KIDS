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4\開発\クワガタ\03_H30 KID'Sシステムリニューアル\05_結合試験\試験結果\"/>
    </mc:Choice>
  </mc:AlternateContent>
  <xr:revisionPtr revIDLastSave="0" documentId="13_ncr:1_{10DBAE97-ABCE-4B5F-A316-14F1359568BE}" xr6:coauthVersionLast="40" xr6:coauthVersionMax="40" xr10:uidLastSave="{00000000-0000-0000-0000-000000000000}"/>
  <bookViews>
    <workbookView xWindow="0" yWindow="0" windowWidth="17256" windowHeight="5280" activeTab="4" xr2:uid="{7855FBD0-5EC9-4DBA-9A4B-0C57305BA533}"/>
  </bookViews>
  <sheets>
    <sheet name="表紙" sheetId="6" r:id="rId1"/>
    <sheet name="国マスタ一覧" sheetId="2" r:id="rId2"/>
    <sheet name="国マスタ登録" sheetId="3" r:id="rId3"/>
    <sheet name="国マスタ修正" sheetId="4" r:id="rId4"/>
    <sheet name="国マスタ削除" sheetId="5"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2" l="1"/>
  <c r="C3" i="2"/>
  <c r="C4" i="3"/>
  <c r="C3" i="3"/>
  <c r="C4" i="4"/>
  <c r="C3" i="4"/>
  <c r="C4" i="5"/>
  <c r="C3" i="5"/>
  <c r="A35" i="5" l="1"/>
  <c r="A34" i="5"/>
  <c r="A33" i="5"/>
  <c r="A32" i="5"/>
  <c r="A31" i="5"/>
  <c r="A30" i="5"/>
  <c r="A29" i="5"/>
  <c r="A28" i="5"/>
  <c r="A27" i="5"/>
  <c r="A26" i="5"/>
  <c r="A25" i="5"/>
  <c r="A24" i="5"/>
  <c r="A23" i="5"/>
  <c r="A22" i="5"/>
  <c r="A21" i="5"/>
  <c r="A20" i="5"/>
  <c r="A19" i="5"/>
  <c r="A18" i="5"/>
  <c r="A17" i="5"/>
  <c r="A16" i="5"/>
  <c r="A15" i="5"/>
  <c r="A14" i="5"/>
  <c r="A13" i="5"/>
  <c r="A11" i="5"/>
  <c r="A10" i="5"/>
  <c r="A12" i="5"/>
  <c r="A9" i="5"/>
  <c r="A8" i="5"/>
  <c r="A7" i="5"/>
  <c r="C2" i="5"/>
  <c r="C1" i="5"/>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C2" i="4"/>
  <c r="C1" i="4"/>
  <c r="C1" i="3"/>
  <c r="C1" i="2"/>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C2" i="3"/>
  <c r="A10" i="2"/>
  <c r="A29" i="2"/>
  <c r="A28" i="2"/>
  <c r="A27" i="2"/>
  <c r="A26" i="2"/>
  <c r="A25" i="2"/>
  <c r="A24" i="2"/>
  <c r="A23" i="2"/>
  <c r="A22" i="2"/>
  <c r="A21" i="2"/>
  <c r="A20" i="2"/>
  <c r="A19" i="2"/>
  <c r="A18" i="2"/>
  <c r="A17" i="2"/>
  <c r="A16" i="2"/>
  <c r="A15" i="2"/>
  <c r="A14" i="2"/>
  <c r="A13" i="2"/>
  <c r="A12" i="2"/>
  <c r="A11" i="2"/>
  <c r="A9" i="2"/>
  <c r="A8" i="2"/>
  <c r="A7"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F3740F26-E13B-4A43-A452-E5A5ABFEDAD8}">
      <text>
        <r>
          <rPr>
            <b/>
            <sz val="9"/>
            <color indexed="81"/>
            <rFont val="MS P ゴシック"/>
            <family val="3"/>
            <charset val="128"/>
          </rPr>
          <t>試験開始した日付を記入する。</t>
        </r>
      </text>
    </comment>
    <comment ref="G6" authorId="0" shapeId="0" xr:uid="{79875361-A082-4003-BEB8-1D3896DEC9D3}">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C4B8D2C4-2707-43A4-9F86-83CDEE729FA8}">
      <text>
        <r>
          <rPr>
            <b/>
            <sz val="9"/>
            <color indexed="81"/>
            <rFont val="MS P ゴシック"/>
            <family val="3"/>
            <charset val="128"/>
          </rPr>
          <t>試験開始した日付を記入する。</t>
        </r>
      </text>
    </comment>
    <comment ref="G6" authorId="0" shapeId="0" xr:uid="{5DB52BF0-372A-4E1F-A0D8-7CC973456B9E}">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3C045FB-B227-49E5-AD6B-7DD892CEF4D8}">
      <text>
        <r>
          <rPr>
            <b/>
            <sz val="9"/>
            <color indexed="81"/>
            <rFont val="MS P ゴシック"/>
            <family val="3"/>
            <charset val="128"/>
          </rPr>
          <t>試験開始した日付を記入する。</t>
        </r>
      </text>
    </comment>
    <comment ref="G6" authorId="0" shapeId="0" xr:uid="{2486869E-4031-4E13-81AD-1FF4EAA600DD}">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54CCEC0-53FC-48D9-8A00-09F688CE1F1E}">
      <text>
        <r>
          <rPr>
            <b/>
            <sz val="9"/>
            <color indexed="81"/>
            <rFont val="MS P ゴシック"/>
            <family val="3"/>
            <charset val="128"/>
          </rPr>
          <t>試験開始した日付を記入する。</t>
        </r>
      </text>
    </comment>
    <comment ref="G6"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<sst xmlns="http://schemas.openxmlformats.org/spreadsheetml/2006/main" count="193" uniqueCount="67">
  <si>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</si>
  <si>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</si>
  <si>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</si>
  <si>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</si>
  <si>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</si>
  <si>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</si>
  <si>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</si>
  <si>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</si>
  <si>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</si>
  <si>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</si>
  <si>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</si>
  <si>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</si>
  <si>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</si>
  <si>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表示件数が現行と一致していること。</t>
    <rPh sb="0" eb="2">
      <t>ヒョウジ</t>
    </rPh>
    <rPh sb="2" eb="4">
      <t>ケンスウ</t>
    </rPh>
    <rPh sb="5" eb="7">
      <t>ゲンコウ</t>
    </rPh>
    <rPh sb="8" eb="10">
      <t>イッチ</t>
    </rPh>
    <phoneticPr fontId="1"/>
  </si>
  <si>
    <t>追加ボタン押下</t>
    <rPh sb="0" eb="2">
      <t>ツイカ</t>
    </rPh>
    <rPh sb="5" eb="7">
      <t>オウカ</t>
    </rPh>
    <phoneticPr fontId="1"/>
  </si>
  <si>
    <t>追加ボタンを押下する。</t>
    <rPh sb="0" eb="2">
      <t>ツイカ</t>
    </rPh>
    <rPh sb="6" eb="8">
      <t>オウカ</t>
    </rPh>
    <phoneticPr fontId="1"/>
  </si>
  <si>
    <t>修正ボタン押下</t>
    <rPh sb="0" eb="2">
      <t>シュウセイ</t>
    </rPh>
    <rPh sb="5" eb="7">
      <t>オウカ</t>
    </rPh>
    <phoneticPr fontId="1"/>
  </si>
  <si>
    <t>修正ボタンを押下する。</t>
    <rPh sb="0" eb="2">
      <t>シュウセイ</t>
    </rPh>
    <rPh sb="6" eb="8">
      <t>オウカ</t>
    </rPh>
    <phoneticPr fontId="1"/>
  </si>
  <si>
    <t>削除ボタンを押下する。</t>
    <rPh sb="0" eb="2">
      <t>サクジョ</t>
    </rPh>
    <rPh sb="6" eb="8">
      <t>オウカ</t>
    </rPh>
    <phoneticPr fontId="1"/>
  </si>
  <si>
    <t>削除ボタン押下</t>
    <rPh sb="0" eb="2">
      <t>サクジョ</t>
    </rPh>
    <rPh sb="5" eb="7">
      <t>オウカ</t>
    </rPh>
    <phoneticPr fontId="1"/>
  </si>
  <si>
    <t>削除ボタン押下
（削除対象は使用中）</t>
    <rPh sb="0" eb="2">
      <t>サクジョ</t>
    </rPh>
    <rPh sb="5" eb="7">
      <t>オウカ</t>
    </rPh>
    <rPh sb="9" eb="11">
      <t>サクジョ</t>
    </rPh>
    <rPh sb="11" eb="13">
      <t>タイショウ</t>
    </rPh>
    <rPh sb="14" eb="17">
      <t>シヨウチュウ</t>
    </rPh>
    <phoneticPr fontId="1"/>
  </si>
  <si>
    <t>使用中のため削除できない旨のメッセージが表示されること。</t>
    <rPh sb="0" eb="3">
      <t>シヨウチュウ</t>
    </rPh>
    <rPh sb="6" eb="8">
      <t>サクジョ</t>
    </rPh>
    <rPh sb="12" eb="13">
      <t>ムネ</t>
    </rPh>
    <rPh sb="20" eb="22">
      <t>ヒョウジ</t>
    </rPh>
    <phoneticPr fontId="1"/>
  </si>
  <si>
    <t>削除ボタン押下
（削除対象は使用されていない）</t>
    <rPh sb="0" eb="2">
      <t>サクジョ</t>
    </rPh>
    <rPh sb="5" eb="7">
      <t>オウカ</t>
    </rPh>
    <rPh sb="9" eb="11">
      <t>サクジョ</t>
    </rPh>
    <rPh sb="11" eb="13">
      <t>タイショウ</t>
    </rPh>
    <rPh sb="14" eb="16">
      <t>シヨウ</t>
    </rPh>
    <phoneticPr fontId="1"/>
  </si>
  <si>
    <t>閉じるボタン押下</t>
    <rPh sb="0" eb="1">
      <t>ト</t>
    </rPh>
    <rPh sb="6" eb="8">
      <t>オウカ</t>
    </rPh>
    <phoneticPr fontId="1"/>
  </si>
  <si>
    <t>閉じるボタンを押下する。</t>
    <rPh sb="0" eb="1">
      <t>ト</t>
    </rPh>
    <rPh sb="7" eb="9">
      <t>オウカ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</si>
  <si>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</si>
  <si>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</si>
  <si>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</si>
  <si>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</si>
  <si>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</si>
  <si>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</si>
  <si>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</si>
  <si>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</si>
  <si>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</si>
  <si>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</si>
  <si>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</si>
  <si>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表示内容については現行と一致していること。</t>
    <rPh sb="0" eb="2">
      <t>ヒョウジ</t>
    </rPh>
    <rPh sb="2" eb="4">
      <t>ナイヨウ</t>
    </rPh>
    <rPh sb="9" eb="11">
      <t>ゲンコウ</t>
    </rPh>
    <rPh sb="12" eb="14">
      <t>イッチ</t>
    </rPh>
    <phoneticPr fontId="1"/>
  </si>
  <si>
    <t>任意の行の修正ボタンを押下する。</t>
    <rPh sb="0" eb="2">
      <t>ニンイ</t>
    </rPh>
    <rPh sb="3" eb="4">
      <t>ギョウ</t>
    </rPh>
    <rPh sb="5" eb="7">
      <t>シュウセイ</t>
    </rPh>
    <rPh sb="11" eb="13">
      <t>オウカ</t>
    </rPh>
    <phoneticPr fontId="1"/>
  </si>
  <si>
    <t>表示項目、表示内容（プルダウンも含む）については現行と一致していること。</t>
    <rPh sb="0" eb="2">
      <t>ヒョウジ</t>
    </rPh>
    <rPh sb="2" eb="4">
      <t>コウモク</t>
    </rPh>
    <rPh sb="5" eb="7">
      <t>ヒョウジ</t>
    </rPh>
    <rPh sb="7" eb="9">
      <t>ナイヨウ</t>
    </rPh>
    <rPh sb="16" eb="17">
      <t>フク</t>
    </rPh>
    <rPh sb="24" eb="26">
      <t>ゲンコウ</t>
    </rPh>
    <rPh sb="27" eb="29">
      <t>イッチ</t>
    </rPh>
    <phoneticPr fontId="1"/>
  </si>
  <si>
    <t>MASTER→マスタA→国マスタを選択する。</t>
    <rPh sb="17" eb="19">
      <t>センタク</t>
    </rPh>
    <phoneticPr fontId="1"/>
  </si>
  <si>
    <t>国マスタ一覧画面が表示されること。</t>
    <rPh sb="4" eb="6">
      <t>イチラン</t>
    </rPh>
    <rPh sb="6" eb="8">
      <t>ガメン</t>
    </rPh>
    <rPh sb="9" eb="11">
      <t>ヒョウジ</t>
    </rPh>
    <phoneticPr fontId="1"/>
  </si>
  <si>
    <t>国マスタ登録画面が表示されること。</t>
    <rPh sb="4" eb="6">
      <t>トウロク</t>
    </rPh>
    <rPh sb="6" eb="8">
      <t>ガメン</t>
    </rPh>
    <rPh sb="9" eb="11">
      <t>ヒョウジ</t>
    </rPh>
    <phoneticPr fontId="1"/>
  </si>
  <si>
    <t>国マスタ修正画面が表示されること。</t>
    <rPh sb="4" eb="6">
      <t>シュウセイ</t>
    </rPh>
    <rPh sb="6" eb="8">
      <t>ガメン</t>
    </rPh>
    <rPh sb="9" eb="11">
      <t>ヒョウジ</t>
    </rPh>
    <phoneticPr fontId="1"/>
  </si>
  <si>
    <t>国マスタ削除画面が表示されること。</t>
    <rPh sb="4" eb="6">
      <t>サクジョ</t>
    </rPh>
    <rPh sb="6" eb="8">
      <t>ガメン</t>
    </rPh>
    <rPh sb="9" eb="11">
      <t>ヒョウジ</t>
    </rPh>
    <phoneticPr fontId="1"/>
  </si>
  <si>
    <t>国マスタ削除画面に表示されている国マスタの内容が修正ボタンを押下した行のものであること。
（国コードで確認）</t>
    <rPh sb="4" eb="6">
      <t>サクジョ</t>
    </rPh>
    <rPh sb="6" eb="8">
      <t>ガメン</t>
    </rPh>
    <rPh sb="9" eb="11">
      <t>ヒョウジ</t>
    </rPh>
    <rPh sb="21" eb="23">
      <t>ナイヨウ</t>
    </rPh>
    <rPh sb="24" eb="26">
      <t>シュウセイ</t>
    </rPh>
    <rPh sb="30" eb="32">
      <t>オウカ</t>
    </rPh>
    <rPh sb="34" eb="35">
      <t>ギョウ</t>
    </rPh>
    <rPh sb="51" eb="53">
      <t>カクニン</t>
    </rPh>
    <phoneticPr fontId="1"/>
  </si>
  <si>
    <t>国マスタ追加画面が表示されること。</t>
    <rPh sb="4" eb="6">
      <t>ツイカ</t>
    </rPh>
    <rPh sb="6" eb="8">
      <t>ガメン</t>
    </rPh>
    <rPh sb="9" eb="11">
      <t>ヒョウジ</t>
    </rPh>
    <phoneticPr fontId="1"/>
  </si>
  <si>
    <t>追加ボタンを押下し、国マスタ登録画面に遷移する。</t>
    <rPh sb="0" eb="2">
      <t>ツイカ</t>
    </rPh>
    <rPh sb="6" eb="8">
      <t>オウカ</t>
    </rPh>
    <rPh sb="14" eb="16">
      <t>トウロク</t>
    </rPh>
    <rPh sb="16" eb="18">
      <t>ガメン</t>
    </rPh>
    <rPh sb="19" eb="21">
      <t>センイ</t>
    </rPh>
    <phoneticPr fontId="1"/>
  </si>
  <si>
    <t>国マスタ追加画面が閉じること。</t>
    <rPh sb="4" eb="6">
      <t>ツイカ</t>
    </rPh>
    <rPh sb="6" eb="8">
      <t>ガメン</t>
    </rPh>
    <rPh sb="9" eb="10">
      <t>ト</t>
    </rPh>
    <phoneticPr fontId="1"/>
  </si>
  <si>
    <t>国マスタ一覧画面が活性化すること。</t>
    <rPh sb="4" eb="8">
      <t>イチランガメン</t>
    </rPh>
    <rPh sb="9" eb="12">
      <t>カッセイカ</t>
    </rPh>
    <phoneticPr fontId="1"/>
  </si>
  <si>
    <t>登録確認画面に表示されている内容が国マスタ登録画面で入力した内容と一致していること。</t>
    <rPh sb="7" eb="9">
      <t>ヒョウジ</t>
    </rPh>
    <rPh sb="14" eb="16">
      <t>ナイヨウ</t>
    </rPh>
    <rPh sb="21" eb="23">
      <t>トウロク</t>
    </rPh>
    <rPh sb="23" eb="25">
      <t>ガメン</t>
    </rPh>
    <rPh sb="26" eb="28">
      <t>ニュウリョク</t>
    </rPh>
    <rPh sb="30" eb="32">
      <t>ナイヨウ</t>
    </rPh>
    <rPh sb="33" eb="35">
      <t>イッチ</t>
    </rPh>
    <phoneticPr fontId="1"/>
  </si>
  <si>
    <t>国マスタ登録画面が活性化すること。</t>
    <rPh sb="4" eb="6">
      <t>トウロク</t>
    </rPh>
    <rPh sb="6" eb="8">
      <t>ガメン</t>
    </rPh>
    <rPh sb="9" eb="12">
      <t>カッセイカ</t>
    </rPh>
    <phoneticPr fontId="1"/>
  </si>
  <si>
    <t>国マスタ登録画面で入力した内容が国マスタに登録されていないこと。</t>
    <rPh sb="4" eb="6">
      <t>トウロク</t>
    </rPh>
    <rPh sb="6" eb="8">
      <t>ガメン</t>
    </rPh>
    <rPh sb="9" eb="11">
      <t>ニュウリョク</t>
    </rPh>
    <rPh sb="13" eb="15">
      <t>ナイヨウ</t>
    </rPh>
    <rPh sb="21" eb="23">
      <t>トウロク</t>
    </rPh>
    <phoneticPr fontId="1"/>
  </si>
  <si>
    <t>国マスタ登録画面が閉じること。</t>
    <rPh sb="4" eb="6">
      <t>トウロク</t>
    </rPh>
    <rPh sb="6" eb="8">
      <t>ガメン</t>
    </rPh>
    <rPh sb="9" eb="10">
      <t>ト</t>
    </rPh>
    <phoneticPr fontId="1"/>
  </si>
  <si>
    <t>国マスタ登録画面で入力した内容が国マスタに登録されていること。</t>
    <rPh sb="4" eb="6">
      <t>トウロク</t>
    </rPh>
    <rPh sb="6" eb="8">
      <t>ガメン</t>
    </rPh>
    <rPh sb="9" eb="11">
      <t>ニュウリョク</t>
    </rPh>
    <rPh sb="13" eb="15">
      <t>ナイヨウ</t>
    </rPh>
    <rPh sb="21" eb="23">
      <t>トウロク</t>
    </rPh>
    <phoneticPr fontId="1"/>
  </si>
  <si>
    <t>修正ボタンを押下し、国マスタ修正画面に遷移する。</t>
    <rPh sb="0" eb="2">
      <t>シュウセイ</t>
    </rPh>
    <rPh sb="6" eb="8">
      <t>オウカ</t>
    </rPh>
    <rPh sb="14" eb="16">
      <t>シュウセイ</t>
    </rPh>
    <rPh sb="16" eb="18">
      <t>ガメン</t>
    </rPh>
    <rPh sb="19" eb="21">
      <t>センイ</t>
    </rPh>
    <phoneticPr fontId="1"/>
  </si>
  <si>
    <t>国マスタ修正画面が閉じること。</t>
    <rPh sb="4" eb="6">
      <t>シュウセイ</t>
    </rPh>
    <rPh sb="6" eb="8">
      <t>ガメン</t>
    </rPh>
    <rPh sb="9" eb="10">
      <t>ト</t>
    </rPh>
    <phoneticPr fontId="1"/>
  </si>
  <si>
    <t>任意の行の修正ボタンを押下し、国マスタ登録画面に遷移する。</t>
    <rPh sb="0" eb="2">
      <t>ニンイ</t>
    </rPh>
    <rPh sb="3" eb="4">
      <t>ギョウ</t>
    </rPh>
    <rPh sb="5" eb="7">
      <t>シュウセイ</t>
    </rPh>
    <rPh sb="11" eb="13">
      <t>オウカ</t>
    </rPh>
    <rPh sb="19" eb="21">
      <t>トウロク</t>
    </rPh>
    <rPh sb="21" eb="23">
      <t>ガメン</t>
    </rPh>
    <rPh sb="24" eb="26">
      <t>センイ</t>
    </rPh>
    <phoneticPr fontId="1"/>
  </si>
  <si>
    <t>国マスタ修正画面が活性化すること。</t>
    <rPh sb="4" eb="6">
      <t>シュウセイ</t>
    </rPh>
    <rPh sb="6" eb="8">
      <t>ガメン</t>
    </rPh>
    <rPh sb="9" eb="12">
      <t>カッセイカ</t>
    </rPh>
    <phoneticPr fontId="1"/>
  </si>
  <si>
    <t>表示されている国マスタから、トランザクション（発注）に一切使用されていないデータの削除ボタンを押下する。</t>
    <rPh sb="0" eb="2">
      <t>ヒョウジ</t>
    </rPh>
    <rPh sb="23" eb="25">
      <t>ハッチュウ</t>
    </rPh>
    <rPh sb="27" eb="29">
      <t>イッサイ</t>
    </rPh>
    <rPh sb="29" eb="31">
      <t>シヨウ</t>
    </rPh>
    <rPh sb="41" eb="43">
      <t>サクジョ</t>
    </rPh>
    <rPh sb="47" eb="49">
      <t>オウカ</t>
    </rPh>
    <phoneticPr fontId="1"/>
  </si>
  <si>
    <t>国マスタ削除画面が閉じること。</t>
    <rPh sb="4" eb="6">
      <t>サクジョ</t>
    </rPh>
    <rPh sb="6" eb="8">
      <t>ガメン</t>
    </rPh>
    <rPh sb="9" eb="10">
      <t>ト</t>
    </rPh>
    <phoneticPr fontId="1"/>
  </si>
  <si>
    <t>国マスタ削除画面で入力したデータが国マスタから削除されていること。</t>
    <rPh sb="4" eb="6">
      <t>サクジョ</t>
    </rPh>
    <rPh sb="6" eb="8">
      <t>ガメン</t>
    </rPh>
    <rPh sb="9" eb="11">
      <t>ニュウリョク</t>
    </rPh>
    <rPh sb="23" eb="25">
      <t>サクジョ</t>
    </rPh>
    <phoneticPr fontId="1"/>
  </si>
  <si>
    <t>表示されている国マスタから、会社マスタに一切使用されていないデータの削除ボタンを押下する。</t>
    <rPh sb="0" eb="2">
      <t>ヒョウジ</t>
    </rPh>
    <rPh sb="14" eb="16">
      <t>カイシャ</t>
    </rPh>
    <rPh sb="20" eb="22">
      <t>イッサイ</t>
    </rPh>
    <rPh sb="22" eb="24">
      <t>シヨウ</t>
    </rPh>
    <rPh sb="34" eb="36">
      <t>サクジョ</t>
    </rPh>
    <rPh sb="40" eb="42">
      <t>オウカ</t>
    </rPh>
    <phoneticPr fontId="1"/>
  </si>
  <si>
    <t>表示されている国マスタから、会社マスタに使用されているデータの削除ボタンを押下する。</t>
    <rPh sb="0" eb="2">
      <t>ヒョウジ</t>
    </rPh>
    <rPh sb="14" eb="16">
      <t>カイシャ</t>
    </rPh>
    <rPh sb="20" eb="22">
      <t>シヨウ</t>
    </rPh>
    <rPh sb="31" eb="33">
      <t>サクジョ</t>
    </rPh>
    <rPh sb="37" eb="39">
      <t>オウカ</t>
    </rPh>
    <phoneticPr fontId="1"/>
  </si>
  <si>
    <t>着手数</t>
    <rPh sb="0" eb="2">
      <t>チャクシュ</t>
    </rPh>
    <rPh sb="2" eb="3">
      <t>スウ</t>
    </rPh>
    <phoneticPr fontId="1"/>
  </si>
  <si>
    <t>完了数</t>
    <rPh sb="0" eb="2">
      <t>カンリョウ</t>
    </rPh>
    <rPh sb="2" eb="3">
      <t>スウ</t>
    </rPh>
    <phoneticPr fontId="1"/>
  </si>
  <si>
    <t>中島</t>
    <rPh sb="0" eb="2">
      <t>ナカジマ</t>
    </rPh>
    <phoneticPr fontId="1"/>
  </si>
  <si>
    <t>国マスタ修正画面に表示されている国マスタの内容が修正ボタンを押下した行のものであること。</t>
    <rPh sb="4" eb="6">
      <t>シュウセイ</t>
    </rPh>
    <rPh sb="6" eb="8">
      <t>ガメン</t>
    </rPh>
    <rPh sb="9" eb="11">
      <t>ヒョウジ</t>
    </rPh>
    <rPh sb="21" eb="23">
      <t>ナイヨウ</t>
    </rPh>
    <rPh sb="24" eb="26">
      <t>シュウセイ</t>
    </rPh>
    <rPh sb="30" eb="32">
      <t>オウカ</t>
    </rPh>
    <rPh sb="34" eb="35">
      <t>ギョウ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</si>
</sst>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236220</xdr:colOff>
          <xdr:row>0</xdr:row>
          <xdr:rowOff>182880</xdr:rowOff>
        </xdr:from>
        <xdr:to>
          <xdr:col>3</xdr:col>
          <xdr:colOff>129540</xdr:colOff>
          <xdr:row>1</xdr:row>
          <xdr:rowOff>220980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B3BD9-7084-40C0-A5C1-D9C76EF5FA5B}">
  <sheetPr codeName="Sheet5"/>
  <dimension ref="A1:B1"/>
  <sheetViews>
    <sheetView workbookViewId="0">
      <selection activeCell="B1" sqref="B1"/>
    </sheetView>
  </sheetViews>
  <sheetFormatPr defaultRowHeight="18"/>
  <cols>
    <col min="1" max="1" width="10.3984375" bestFit="1" customWidth="1"/>
  </cols>
  <sheetData>
    <row r="1" spans="1:2">
      <c r="A1" t="s">
        <v>9</v>
      </c>
      <c r="B1">
        <v>46</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from>
                    <xdr:col>2</xdr:col>
                    <xdr:colOff>236220</xdr:colOff>
                    <xdr:row>0</xdr:row>
                    <xdr:rowOff>182880</xdr:rowOff>
                  </from>
                  <to>
                    <xdr:col>3</xdr:col>
                    <xdr:colOff>129540</xdr:colOff>
                    <xdr:row>1</xdr:row>
                    <xdr:rowOff>220980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1"/>
  <dimension ref="A1:J31"/>
  <sheetViews>
    <sheetView workbookViewId="0">
      <selection activeCell="G13" sqref="G1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国マスタ一覧</v>
      </c>
      <c r="D1" s="7"/>
    </row>
    <row r="2" spans="1:10">
      <c r="B2" s="10" t="s">
        <v>9</v>
      </c>
      <c r="C2" s="9">
        <f>COUNTA(D7:D29)</f>
        <v>9</v>
      </c>
    </row>
    <row r="3" spans="1:10">
      <c r="B3" s="10" t="s">
        <v>63</v>
      </c>
      <c r="C3" s="9">
        <f>COUNTA(F7:F37)</f>
        <v>9</v>
      </c>
    </row>
    <row r="4" spans="1:10">
      <c r="B4" s="10" t="s">
        <v>64</v>
      </c>
      <c r="C4" s="9">
        <f>COUNTA(G7:G37)</f>
        <v>9</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c r="A8" s="2">
        <f t="shared" ref="A8:A29" si="0">ROW()-4</f>
        <v>4</v>
      </c>
      <c r="B8" s="5"/>
      <c r="C8" s="5" t="s">
        <v>39</v>
      </c>
      <c r="D8" s="5" t="s">
        <v>40</v>
      </c>
      <c r="E8" s="4" t="s">
        <v>65</v>
      </c>
      <c r="F8" s="3">
        <v>43724</v>
      </c>
      <c r="G8" s="3">
        <v>43724</v>
      </c>
      <c r="H8" s="2"/>
      <c r="I8" s="4"/>
      <c r="J8" s="4"/>
    </row>
    <row r="9" spans="1:10" s="1" customFormat="1">
      <c r="A9" s="2">
        <f t="shared" si="0"/>
        <v>5</v>
      </c>
      <c r="B9" s="5"/>
      <c r="C9" s="5"/>
      <c r="D9" s="5" t="s">
        <v>13</v>
      </c>
      <c r="E9" s="4" t="s">
        <v>65</v>
      </c>
      <c r="F9" s="3">
        <v>43724</v>
      </c>
      <c r="G9" s="3">
        <v>43724</v>
      </c>
      <c r="H9" s="2"/>
      <c r="I9" s="4"/>
      <c r="J9" s="4"/>
    </row>
    <row r="10" spans="1:10" s="1" customFormat="1">
      <c r="A10" s="2">
        <f t="shared" si="0"/>
        <v>6</v>
      </c>
      <c r="B10" s="5"/>
      <c r="C10" s="5"/>
      <c r="D10" s="5" t="s">
        <v>36</v>
      </c>
      <c r="E10" s="4" t="s">
        <v>65</v>
      </c>
      <c r="F10" s="3">
        <v>43724</v>
      </c>
      <c r="G10" s="3">
        <v>43724</v>
      </c>
      <c r="H10" s="2"/>
      <c r="I10" s="4"/>
      <c r="J10" s="4"/>
    </row>
    <row r="11" spans="1:10" s="1" customFormat="1">
      <c r="A11" s="2">
        <f t="shared" si="0"/>
        <v>7</v>
      </c>
      <c r="B11" s="5" t="s">
        <v>14</v>
      </c>
      <c r="C11" s="5" t="s">
        <v>12</v>
      </c>
      <c r="D11" s="5"/>
      <c r="E11" s="4"/>
      <c r="F11" s="3"/>
      <c r="G11" s="3"/>
      <c r="H11" s="2"/>
      <c r="I11" s="4"/>
      <c r="J11" s="4"/>
    </row>
    <row r="12" spans="1:10" s="1" customFormat="1">
      <c r="A12" s="2">
        <f t="shared" si="0"/>
        <v>8</v>
      </c>
      <c r="B12" s="5"/>
      <c r="C12" s="5" t="s">
        <v>39</v>
      </c>
      <c r="D12" s="5"/>
      <c r="E12" s="4"/>
      <c r="F12" s="3"/>
      <c r="G12" s="3"/>
      <c r="H12" s="2"/>
      <c r="I12" s="4"/>
      <c r="J12" s="4"/>
    </row>
    <row r="13" spans="1:10" s="1" customFormat="1">
      <c r="A13" s="2">
        <f t="shared" si="0"/>
        <v>9</v>
      </c>
      <c r="B13" s="5"/>
      <c r="C13" s="5" t="s">
        <v>15</v>
      </c>
      <c r="D13" s="5" t="s">
        <v>41</v>
      </c>
      <c r="E13" s="4" t="s">
        <v>65</v>
      </c>
      <c r="F13" s="3">
        <v>43724</v>
      </c>
      <c r="G13" s="3">
        <v>43724</v>
      </c>
      <c r="H13" s="2"/>
      <c r="I13" s="4"/>
      <c r="J13" s="4"/>
    </row>
    <row r="14" spans="1:10" s="1" customFormat="1">
      <c r="A14" s="2">
        <f t="shared" si="0"/>
        <v>10</v>
      </c>
      <c r="B14" s="5" t="s">
        <v>16</v>
      </c>
      <c r="C14" s="5" t="s">
        <v>12</v>
      </c>
      <c r="D14" s="5"/>
      <c r="E14" s="4"/>
      <c r="F14" s="3"/>
      <c r="G14" s="3"/>
      <c r="H14" s="2"/>
      <c r="I14" s="4"/>
      <c r="J14" s="4"/>
    </row>
    <row r="15" spans="1:10" s="1" customFormat="1">
      <c r="A15" s="2">
        <f t="shared" si="0"/>
        <v>11</v>
      </c>
      <c r="B15" s="5"/>
      <c r="C15" s="5" t="s">
        <v>39</v>
      </c>
      <c r="D15" s="5"/>
      <c r="E15" s="4"/>
      <c r="F15" s="3"/>
      <c r="G15" s="3"/>
      <c r="H15" s="2"/>
      <c r="I15" s="4"/>
      <c r="J15" s="4"/>
    </row>
    <row r="16" spans="1:10" s="1" customFormat="1">
      <c r="A16" s="2">
        <f t="shared" si="0"/>
        <v>12</v>
      </c>
      <c r="B16" s="5"/>
      <c r="C16" s="5" t="s">
        <v>37</v>
      </c>
      <c r="D16" s="5" t="s">
        <v>42</v>
      </c>
      <c r="E16" s="4" t="s">
        <v>65</v>
      </c>
      <c r="F16" s="3">
        <v>43724</v>
      </c>
      <c r="G16" s="3">
        <v>43724</v>
      </c>
      <c r="H16" s="2"/>
      <c r="I16" s="4"/>
      <c r="J16" s="4"/>
    </row>
    <row r="17" spans="1:10" s="1" customFormat="1" ht="36">
      <c r="A17" s="2">
        <f t="shared" si="0"/>
        <v>13</v>
      </c>
      <c r="B17" s="5"/>
      <c r="C17" s="5"/>
      <c r="D17" s="5" t="s">
        <v>66</v>
      </c>
      <c r="E17" s="4" t="s">
        <v>65</v>
      </c>
      <c r="F17" s="3">
        <v>43724</v>
      </c>
      <c r="G17" s="3">
        <v>43724</v>
      </c>
      <c r="H17" s="2"/>
      <c r="I17" s="4"/>
      <c r="J17" s="4"/>
    </row>
    <row r="18" spans="1:10" s="1" customFormat="1" ht="36">
      <c r="A18" s="2">
        <f t="shared" si="0"/>
        <v>14</v>
      </c>
      <c r="B18" s="5" t="s">
        <v>20</v>
      </c>
      <c r="C18" s="5" t="s">
        <v>12</v>
      </c>
      <c r="D18" s="5"/>
      <c r="E18" s="4"/>
      <c r="F18" s="3"/>
      <c r="G18" s="3"/>
      <c r="H18" s="2"/>
      <c r="I18" s="4"/>
      <c r="J18" s="4"/>
    </row>
    <row r="19" spans="1:10" s="1" customFormat="1">
      <c r="A19" s="2">
        <f t="shared" si="0"/>
        <v>15</v>
      </c>
      <c r="B19" s="5"/>
      <c r="C19" s="5" t="s">
        <v>39</v>
      </c>
      <c r="D19" s="5"/>
      <c r="E19" s="4"/>
      <c r="F19" s="3"/>
      <c r="G19" s="3"/>
      <c r="H19" s="2"/>
      <c r="I19" s="4"/>
      <c r="J19" s="4"/>
    </row>
    <row r="20" spans="1:10" s="1" customFormat="1" ht="36">
      <c r="A20" s="2">
        <f t="shared" si="0"/>
        <v>16</v>
      </c>
      <c r="B20" s="5"/>
      <c r="C20" s="5" t="s">
        <v>62</v>
      </c>
      <c r="D20" s="5" t="s">
        <v>21</v>
      </c>
      <c r="E20" s="4" t="s">
        <v>65</v>
      </c>
      <c r="F20" s="3">
        <v>43724</v>
      </c>
      <c r="G20" s="3">
        <v>43724</v>
      </c>
      <c r="H20" s="2"/>
      <c r="I20" s="4"/>
      <c r="J20" s="4"/>
    </row>
    <row r="21" spans="1:10" s="1" customFormat="1" ht="36">
      <c r="A21" s="2">
        <f t="shared" si="0"/>
        <v>17</v>
      </c>
      <c r="B21" s="5" t="s">
        <v>22</v>
      </c>
      <c r="C21" s="5" t="s">
        <v>12</v>
      </c>
      <c r="D21" s="5"/>
      <c r="E21" s="4"/>
      <c r="F21" s="3"/>
      <c r="G21" s="3"/>
      <c r="H21" s="2"/>
      <c r="I21" s="4"/>
      <c r="J21" s="4"/>
    </row>
    <row r="22" spans="1:10" s="1" customFormat="1">
      <c r="A22" s="2">
        <f t="shared" si="0"/>
        <v>18</v>
      </c>
      <c r="B22" s="5"/>
      <c r="C22" s="5" t="s">
        <v>39</v>
      </c>
      <c r="D22" s="5"/>
      <c r="E22" s="4"/>
      <c r="F22" s="3"/>
      <c r="G22" s="3"/>
      <c r="H22" s="2"/>
      <c r="I22" s="4"/>
      <c r="J22" s="4"/>
    </row>
    <row r="23" spans="1:10" s="1" customFormat="1" ht="54">
      <c r="A23" s="2">
        <f t="shared" si="0"/>
        <v>19</v>
      </c>
      <c r="B23" s="5"/>
      <c r="C23" s="5" t="s">
        <v>61</v>
      </c>
      <c r="D23" s="5" t="s">
        <v>43</v>
      </c>
      <c r="E23" s="4" t="s">
        <v>65</v>
      </c>
      <c r="F23" s="3">
        <v>43724</v>
      </c>
      <c r="G23" s="3">
        <v>43724</v>
      </c>
      <c r="H23" s="2"/>
      <c r="I23" s="4"/>
      <c r="J23" s="4"/>
    </row>
    <row r="24" spans="1:10" s="1" customFormat="1" ht="54">
      <c r="A24" s="2">
        <f t="shared" si="0"/>
        <v>20</v>
      </c>
      <c r="B24" s="5"/>
      <c r="C24" s="5"/>
      <c r="D24" s="5" t="s">
        <v>44</v>
      </c>
      <c r="E24" s="4" t="s">
        <v>65</v>
      </c>
      <c r="F24" s="3">
        <v>43724</v>
      </c>
      <c r="G24" s="3">
        <v>43724</v>
      </c>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1" spans="1:10">
      <c r="B31" t="s">
        <v>10</v>
      </c>
    </row>
  </sheetData>
  <mergeCells count="1">
    <mergeCell ref="H6:J6"/>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2"/>
  <dimension ref="A1:J38"/>
  <sheetViews>
    <sheetView topLeftCell="B1" workbookViewId="0">
      <selection activeCell="E14" sqref="E14:G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国マスタ登録</v>
      </c>
      <c r="D1" s="7"/>
    </row>
    <row r="2" spans="1:10">
      <c r="B2" s="10" t="s">
        <v>9</v>
      </c>
      <c r="C2" s="9">
        <f>COUNTA(D7:D36)</f>
        <v>12</v>
      </c>
    </row>
    <row r="3" spans="1:10">
      <c r="B3" s="10" t="s">
        <v>63</v>
      </c>
      <c r="C3" s="9">
        <f>COUNTA(F7:F36)</f>
        <v>12</v>
      </c>
    </row>
    <row r="4" spans="1:10">
      <c r="B4" s="10" t="s">
        <v>64</v>
      </c>
      <c r="C4" s="9">
        <f>COUNTA(G7:G36)</f>
        <v>12</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c r="A8" s="2">
        <f t="shared" ref="A8:A36" si="0">ROW()-4</f>
        <v>4</v>
      </c>
      <c r="B8" s="5"/>
      <c r="C8" s="5" t="s">
        <v>39</v>
      </c>
      <c r="D8" s="5"/>
      <c r="E8" s="4"/>
      <c r="F8" s="3"/>
      <c r="G8" s="3"/>
      <c r="H8" s="2"/>
      <c r="I8" s="4"/>
      <c r="J8" s="4"/>
    </row>
    <row r="9" spans="1:10" s="1" customFormat="1">
      <c r="A9" s="2">
        <f t="shared" si="0"/>
        <v>5</v>
      </c>
      <c r="B9" s="5"/>
      <c r="C9" s="5" t="s">
        <v>15</v>
      </c>
      <c r="D9" s="5" t="s">
        <v>45</v>
      </c>
      <c r="E9" s="4" t="s">
        <v>65</v>
      </c>
      <c r="F9" s="3">
        <v>43724</v>
      </c>
      <c r="G9" s="3">
        <v>43724</v>
      </c>
      <c r="H9" s="2"/>
      <c r="I9" s="4"/>
      <c r="J9" s="4"/>
    </row>
    <row r="10" spans="1:10" s="1" customFormat="1" ht="36">
      <c r="A10" s="2">
        <f t="shared" si="0"/>
        <v>6</v>
      </c>
      <c r="B10" s="5"/>
      <c r="C10" s="5"/>
      <c r="D10" s="5" t="s">
        <v>38</v>
      </c>
      <c r="E10" s="4" t="s">
        <v>65</v>
      </c>
      <c r="F10" s="3">
        <v>43724</v>
      </c>
      <c r="G10" s="3">
        <v>43725</v>
      </c>
      <c r="H10" s="2"/>
      <c r="I10" s="4"/>
      <c r="J10" s="4"/>
    </row>
    <row r="11" spans="1:10" s="1" customFormat="1">
      <c r="A11" s="2">
        <f t="shared" si="0"/>
        <v>7</v>
      </c>
      <c r="B11" s="5" t="s">
        <v>23</v>
      </c>
      <c r="C11" s="5" t="s">
        <v>39</v>
      </c>
      <c r="D11" s="5"/>
      <c r="E11" s="4"/>
      <c r="F11" s="3"/>
      <c r="G11" s="3"/>
      <c r="H11" s="2"/>
      <c r="I11" s="4"/>
      <c r="J11" s="4"/>
    </row>
    <row r="12" spans="1:10" s="1" customFormat="1" ht="36">
      <c r="A12" s="2">
        <f t="shared" si="0"/>
        <v>8</v>
      </c>
      <c r="B12" s="5"/>
      <c r="C12" s="5" t="s">
        <v>46</v>
      </c>
      <c r="D12" s="5"/>
      <c r="E12" s="4"/>
      <c r="F12" s="3"/>
      <c r="G12" s="3"/>
      <c r="H12" s="2"/>
      <c r="I12" s="4"/>
      <c r="J12" s="4"/>
    </row>
    <row r="13" spans="1:10" s="1" customFormat="1">
      <c r="A13" s="2">
        <f t="shared" si="0"/>
        <v>9</v>
      </c>
      <c r="B13" s="5"/>
      <c r="C13" s="5" t="s">
        <v>24</v>
      </c>
      <c r="D13" s="5" t="s">
        <v>47</v>
      </c>
      <c r="E13" s="4" t="s">
        <v>65</v>
      </c>
      <c r="F13" s="3">
        <v>43732</v>
      </c>
      <c r="G13" s="3">
        <v>43732</v>
      </c>
      <c r="H13" s="2"/>
      <c r="I13" s="4"/>
      <c r="J13" s="4"/>
    </row>
    <row r="14" spans="1:10" s="1" customFormat="1">
      <c r="A14" s="2">
        <f t="shared" si="0"/>
        <v>10</v>
      </c>
      <c r="B14" s="5"/>
      <c r="C14" s="5"/>
      <c r="D14" s="5" t="s">
        <v>48</v>
      </c>
      <c r="E14" s="4" t="s">
        <v>65</v>
      </c>
      <c r="F14" s="3">
        <v>43732</v>
      </c>
      <c r="G14" s="3">
        <v>43732</v>
      </c>
      <c r="H14" s="2"/>
      <c r="I14" s="4"/>
      <c r="J14" s="4"/>
    </row>
    <row r="15" spans="1:10" s="1" customFormat="1">
      <c r="A15" s="2">
        <f t="shared" si="0"/>
        <v>11</v>
      </c>
      <c r="B15" s="5" t="s">
        <v>25</v>
      </c>
      <c r="C15" s="5" t="s">
        <v>39</v>
      </c>
      <c r="D15" s="5"/>
      <c r="E15" s="4"/>
      <c r="F15" s="3"/>
      <c r="G15" s="3"/>
      <c r="H15" s="2"/>
      <c r="I15" s="4"/>
      <c r="J15" s="4"/>
    </row>
    <row r="16" spans="1:10" s="1" customFormat="1" ht="36">
      <c r="A16" s="2">
        <f t="shared" si="0"/>
        <v>12</v>
      </c>
      <c r="B16" s="5"/>
      <c r="C16" s="5" t="s">
        <v>46</v>
      </c>
      <c r="D16" s="5"/>
      <c r="E16" s="4"/>
      <c r="F16" s="3"/>
      <c r="G16" s="3"/>
      <c r="H16" s="2"/>
      <c r="I16" s="4"/>
      <c r="J16" s="4"/>
    </row>
    <row r="17" spans="1:10" s="1" customFormat="1">
      <c r="A17" s="2">
        <f t="shared" si="0"/>
        <v>13</v>
      </c>
      <c r="B17" s="5"/>
      <c r="C17" s="5" t="s">
        <v>26</v>
      </c>
      <c r="D17" s="5"/>
      <c r="E17" s="4"/>
      <c r="F17" s="3"/>
      <c r="G17" s="3"/>
      <c r="H17" s="2"/>
      <c r="I17" s="4"/>
      <c r="J17" s="4"/>
    </row>
    <row r="18" spans="1:10" s="1" customFormat="1">
      <c r="A18" s="2">
        <f t="shared" si="0"/>
        <v>14</v>
      </c>
      <c r="B18" s="5"/>
      <c r="C18" s="5" t="s">
        <v>27</v>
      </c>
      <c r="D18" s="5" t="s">
        <v>30</v>
      </c>
      <c r="E18" s="4" t="s">
        <v>65</v>
      </c>
      <c r="F18" s="3">
        <v>43724</v>
      </c>
      <c r="G18" s="3">
        <v>43724</v>
      </c>
      <c r="H18" s="2"/>
      <c r="I18" s="4"/>
      <c r="J18" s="4"/>
    </row>
    <row r="19" spans="1:10" s="1" customFormat="1" ht="36">
      <c r="A19" s="2">
        <f t="shared" si="0"/>
        <v>15</v>
      </c>
      <c r="B19" s="5"/>
      <c r="C19" s="5"/>
      <c r="D19" s="5" t="s">
        <v>49</v>
      </c>
      <c r="E19" s="4" t="s">
        <v>65</v>
      </c>
      <c r="F19" s="3">
        <v>43724</v>
      </c>
      <c r="G19" s="3">
        <v>43728</v>
      </c>
      <c r="H19" s="2"/>
      <c r="I19" s="4"/>
      <c r="J19" s="4"/>
    </row>
    <row r="20" spans="1:10" s="1" customFormat="1">
      <c r="A20" s="2">
        <f t="shared" si="0"/>
        <v>16</v>
      </c>
      <c r="B20" s="5"/>
      <c r="C20" s="5" t="s">
        <v>34</v>
      </c>
      <c r="D20" s="5" t="s">
        <v>31</v>
      </c>
      <c r="E20" s="4" t="s">
        <v>65</v>
      </c>
      <c r="F20" s="3">
        <v>43724</v>
      </c>
      <c r="G20" s="3">
        <v>43724</v>
      </c>
      <c r="H20" s="2"/>
      <c r="I20" s="4"/>
      <c r="J20" s="4"/>
    </row>
    <row r="21" spans="1:10" s="1" customFormat="1">
      <c r="A21" s="2">
        <f t="shared" si="0"/>
        <v>17</v>
      </c>
      <c r="B21" s="5"/>
      <c r="C21" s="5"/>
      <c r="D21" s="5" t="s">
        <v>50</v>
      </c>
      <c r="E21" s="4" t="s">
        <v>65</v>
      </c>
      <c r="F21" s="3">
        <v>43724</v>
      </c>
      <c r="G21" s="3">
        <v>43724</v>
      </c>
      <c r="H21" s="2"/>
      <c r="I21" s="4"/>
      <c r="J21" s="4"/>
    </row>
    <row r="22" spans="1:10" s="1" customFormat="1" ht="36">
      <c r="A22" s="2">
        <f t="shared" si="0"/>
        <v>18</v>
      </c>
      <c r="B22" s="5"/>
      <c r="C22" s="5"/>
      <c r="D22" s="5" t="s">
        <v>51</v>
      </c>
      <c r="E22" s="4" t="s">
        <v>65</v>
      </c>
      <c r="F22" s="3">
        <v>43724</v>
      </c>
      <c r="G22" s="3">
        <v>43724</v>
      </c>
      <c r="H22" s="2"/>
      <c r="I22" s="4"/>
      <c r="J22" s="4"/>
    </row>
    <row r="23" spans="1:10" s="1" customFormat="1">
      <c r="A23" s="2">
        <f t="shared" si="0"/>
        <v>19</v>
      </c>
      <c r="B23" s="5"/>
      <c r="C23" s="5" t="s">
        <v>27</v>
      </c>
      <c r="D23" s="5"/>
      <c r="E23" s="4"/>
      <c r="F23" s="3"/>
      <c r="G23" s="3"/>
      <c r="H23" s="2"/>
      <c r="I23" s="4"/>
      <c r="J23" s="4"/>
    </row>
    <row r="24" spans="1:10" s="1" customFormat="1">
      <c r="A24" s="2">
        <f t="shared" si="0"/>
        <v>20</v>
      </c>
      <c r="B24" s="5"/>
      <c r="C24" s="5" t="s">
        <v>35</v>
      </c>
      <c r="D24" s="5" t="s">
        <v>31</v>
      </c>
      <c r="E24" s="4" t="s">
        <v>65</v>
      </c>
      <c r="F24" s="3">
        <v>43724</v>
      </c>
      <c r="G24" s="3">
        <v>43724</v>
      </c>
      <c r="H24" s="2"/>
      <c r="I24" s="4"/>
      <c r="J24" s="4"/>
    </row>
    <row r="25" spans="1:10" s="1" customFormat="1">
      <c r="A25" s="2">
        <f t="shared" si="0"/>
        <v>21</v>
      </c>
      <c r="B25" s="5"/>
      <c r="C25" s="5"/>
      <c r="D25" s="5" t="s">
        <v>52</v>
      </c>
      <c r="E25" s="4" t="s">
        <v>65</v>
      </c>
      <c r="F25" s="3">
        <v>43724</v>
      </c>
      <c r="G25" s="3">
        <v>43724</v>
      </c>
      <c r="H25" s="2"/>
      <c r="I25" s="4"/>
      <c r="J25" s="4"/>
    </row>
    <row r="26" spans="1:10" s="1" customFormat="1" ht="36">
      <c r="A26" s="2">
        <f t="shared" si="0"/>
        <v>22</v>
      </c>
      <c r="B26" s="5"/>
      <c r="C26" s="5"/>
      <c r="D26" s="5" t="s">
        <v>53</v>
      </c>
      <c r="E26" s="4" t="s">
        <v>65</v>
      </c>
      <c r="F26" s="3">
        <v>43724</v>
      </c>
      <c r="G26" s="3">
        <v>43724</v>
      </c>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3"/>
  <dimension ref="A1:J38"/>
  <sheetViews>
    <sheetView topLeftCell="B7" workbookViewId="0">
      <selection activeCell="E14" sqref="E14:G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国マスタ修正</v>
      </c>
      <c r="D1" s="7"/>
    </row>
    <row r="2" spans="1:10">
      <c r="B2" s="10" t="s">
        <v>9</v>
      </c>
      <c r="C2" s="9">
        <f>COUNTA(D7:D36)</f>
        <v>12</v>
      </c>
    </row>
    <row r="3" spans="1:10">
      <c r="B3" s="10" t="s">
        <v>63</v>
      </c>
      <c r="C3" s="9">
        <f>COUNTA(F7:F36)</f>
        <v>12</v>
      </c>
    </row>
    <row r="4" spans="1:10">
      <c r="B4" s="10" t="s">
        <v>64</v>
      </c>
      <c r="C4" s="9">
        <f>COUNTA(G7:G36)</f>
        <v>12</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c r="A8" s="2">
        <f t="shared" ref="A8:A36" si="0">ROW()-4</f>
        <v>4</v>
      </c>
      <c r="B8" s="5"/>
      <c r="C8" s="5" t="s">
        <v>39</v>
      </c>
      <c r="D8" s="5"/>
      <c r="E8" s="4"/>
      <c r="F8" s="3"/>
      <c r="G8" s="3"/>
      <c r="H8" s="2"/>
      <c r="I8" s="4"/>
      <c r="J8" s="4"/>
    </row>
    <row r="9" spans="1:10" s="1" customFormat="1">
      <c r="A9" s="2">
        <f t="shared" si="0"/>
        <v>5</v>
      </c>
      <c r="B9" s="5"/>
      <c r="C9" s="5" t="s">
        <v>17</v>
      </c>
      <c r="D9" s="5" t="s">
        <v>42</v>
      </c>
      <c r="E9" s="4" t="s">
        <v>65</v>
      </c>
      <c r="F9" s="3">
        <v>43724</v>
      </c>
      <c r="G9" s="3">
        <v>43728</v>
      </c>
      <c r="H9" s="2"/>
      <c r="I9" s="4"/>
      <c r="J9" s="4"/>
    </row>
    <row r="10" spans="1:10" s="1" customFormat="1" ht="36">
      <c r="A10" s="2">
        <f t="shared" si="0"/>
        <v>6</v>
      </c>
      <c r="B10" s="5"/>
      <c r="C10" s="5"/>
      <c r="D10" s="5" t="s">
        <v>38</v>
      </c>
      <c r="E10" s="4" t="s">
        <v>65</v>
      </c>
      <c r="F10" s="3">
        <v>43724</v>
      </c>
      <c r="G10" s="3">
        <v>43724</v>
      </c>
      <c r="H10" s="2"/>
      <c r="I10" s="4"/>
      <c r="J10" s="4"/>
    </row>
    <row r="11" spans="1:10" s="1" customFormat="1">
      <c r="A11" s="2">
        <f t="shared" si="0"/>
        <v>7</v>
      </c>
      <c r="B11" s="5" t="s">
        <v>23</v>
      </c>
      <c r="C11" s="5" t="s">
        <v>39</v>
      </c>
      <c r="D11" s="5"/>
      <c r="E11" s="4"/>
      <c r="F11" s="3"/>
      <c r="G11" s="3"/>
      <c r="H11" s="2"/>
      <c r="I11" s="4"/>
      <c r="J11" s="4"/>
    </row>
    <row r="12" spans="1:10" s="1" customFormat="1" ht="36">
      <c r="A12" s="2">
        <f t="shared" si="0"/>
        <v>8</v>
      </c>
      <c r="B12" s="5"/>
      <c r="C12" s="5" t="s">
        <v>54</v>
      </c>
      <c r="D12" s="5"/>
      <c r="E12" s="4"/>
      <c r="F12" s="3"/>
      <c r="G12" s="3"/>
      <c r="H12" s="2"/>
      <c r="I12" s="4"/>
      <c r="J12" s="4"/>
    </row>
    <row r="13" spans="1:10" s="1" customFormat="1">
      <c r="A13" s="2">
        <f t="shared" si="0"/>
        <v>9</v>
      </c>
      <c r="B13" s="5"/>
      <c r="C13" s="5" t="s">
        <v>24</v>
      </c>
      <c r="D13" s="5" t="s">
        <v>55</v>
      </c>
      <c r="E13" s="4" t="s">
        <v>65</v>
      </c>
      <c r="F13" s="3">
        <v>43732</v>
      </c>
      <c r="G13" s="3">
        <v>43732</v>
      </c>
      <c r="H13" s="2"/>
      <c r="I13" s="4"/>
      <c r="J13" s="4"/>
    </row>
    <row r="14" spans="1:10" s="1" customFormat="1">
      <c r="A14" s="2">
        <f t="shared" si="0"/>
        <v>10</v>
      </c>
      <c r="B14" s="5"/>
      <c r="C14" s="5"/>
      <c r="D14" s="5" t="s">
        <v>48</v>
      </c>
      <c r="E14" s="4" t="s">
        <v>65</v>
      </c>
      <c r="F14" s="3">
        <v>43732</v>
      </c>
      <c r="G14" s="3">
        <v>43732</v>
      </c>
      <c r="H14" s="2"/>
      <c r="I14" s="4"/>
      <c r="J14" s="4"/>
    </row>
    <row r="15" spans="1:10" s="1" customFormat="1">
      <c r="A15" s="2">
        <f t="shared" si="0"/>
        <v>11</v>
      </c>
      <c r="B15" s="5" t="s">
        <v>16</v>
      </c>
      <c r="C15" s="5" t="s">
        <v>39</v>
      </c>
      <c r="D15" s="5"/>
      <c r="E15" s="4"/>
      <c r="F15" s="3"/>
      <c r="G15" s="3"/>
      <c r="H15" s="2"/>
      <c r="I15" s="4"/>
      <c r="J15" s="4"/>
    </row>
    <row r="16" spans="1:10" s="1" customFormat="1" ht="36">
      <c r="A16" s="2">
        <f t="shared" si="0"/>
        <v>12</v>
      </c>
      <c r="B16" s="5"/>
      <c r="C16" s="5" t="s">
        <v>56</v>
      </c>
      <c r="D16" s="5"/>
      <c r="E16" s="4"/>
      <c r="F16" s="3"/>
      <c r="G16" s="3"/>
      <c r="H16" s="2"/>
      <c r="I16" s="4"/>
      <c r="J16" s="4"/>
    </row>
    <row r="17" spans="1:10" s="1" customFormat="1">
      <c r="A17" s="2">
        <f t="shared" si="0"/>
        <v>13</v>
      </c>
      <c r="B17" s="5"/>
      <c r="C17" s="5" t="s">
        <v>28</v>
      </c>
      <c r="D17" s="5"/>
      <c r="E17" s="4"/>
      <c r="F17" s="3"/>
      <c r="G17" s="3"/>
      <c r="H17" s="2"/>
      <c r="I17" s="4"/>
      <c r="J17" s="4"/>
    </row>
    <row r="18" spans="1:10" s="1" customFormat="1">
      <c r="A18" s="2">
        <f t="shared" si="0"/>
        <v>14</v>
      </c>
      <c r="B18" s="5"/>
      <c r="C18" s="5" t="s">
        <v>27</v>
      </c>
      <c r="D18" s="5" t="s">
        <v>29</v>
      </c>
      <c r="E18" s="4" t="s">
        <v>65</v>
      </c>
      <c r="F18" s="3">
        <v>43724</v>
      </c>
      <c r="G18" s="3">
        <v>43724</v>
      </c>
      <c r="H18" s="2"/>
      <c r="I18" s="4"/>
      <c r="J18" s="4"/>
    </row>
    <row r="19" spans="1:10" s="1" customFormat="1" ht="36">
      <c r="A19" s="2">
        <f t="shared" si="0"/>
        <v>15</v>
      </c>
      <c r="B19" s="5"/>
      <c r="C19" s="5"/>
      <c r="D19" s="5" t="s">
        <v>49</v>
      </c>
      <c r="E19" s="4" t="s">
        <v>65</v>
      </c>
      <c r="F19" s="3">
        <v>43724</v>
      </c>
      <c r="G19" s="3">
        <v>43724</v>
      </c>
      <c r="H19" s="2"/>
      <c r="I19" s="4"/>
      <c r="J19" s="4"/>
    </row>
    <row r="20" spans="1:10" s="1" customFormat="1">
      <c r="A20" s="2">
        <f t="shared" si="0"/>
        <v>16</v>
      </c>
      <c r="B20" s="5"/>
      <c r="C20" s="5" t="s">
        <v>32</v>
      </c>
      <c r="D20" s="5" t="s">
        <v>31</v>
      </c>
      <c r="E20" s="4" t="s">
        <v>65</v>
      </c>
      <c r="F20" s="3">
        <v>43724</v>
      </c>
      <c r="G20" s="3">
        <v>43724</v>
      </c>
      <c r="H20" s="2"/>
      <c r="I20" s="4"/>
      <c r="J20" s="4"/>
    </row>
    <row r="21" spans="1:10" s="1" customFormat="1">
      <c r="A21" s="2">
        <f t="shared" si="0"/>
        <v>17</v>
      </c>
      <c r="B21" s="5"/>
      <c r="C21" s="5"/>
      <c r="D21" s="5" t="s">
        <v>57</v>
      </c>
      <c r="E21" s="4" t="s">
        <v>65</v>
      </c>
      <c r="F21" s="3">
        <v>43724</v>
      </c>
      <c r="G21" s="3">
        <v>43724</v>
      </c>
      <c r="H21" s="2"/>
      <c r="I21" s="4"/>
      <c r="J21" s="4"/>
    </row>
    <row r="22" spans="1:10" s="1" customFormat="1" ht="36">
      <c r="A22" s="2">
        <f t="shared" si="0"/>
        <v>18</v>
      </c>
      <c r="B22" s="5"/>
      <c r="C22" s="5"/>
      <c r="D22" s="5" t="s">
        <v>51</v>
      </c>
      <c r="E22" s="4" t="s">
        <v>65</v>
      </c>
      <c r="F22" s="3">
        <v>43724</v>
      </c>
      <c r="G22" s="3">
        <v>43724</v>
      </c>
      <c r="H22" s="2"/>
      <c r="I22" s="4"/>
      <c r="J22" s="4"/>
    </row>
    <row r="23" spans="1:10" s="1" customFormat="1">
      <c r="A23" s="2">
        <f t="shared" si="0"/>
        <v>19</v>
      </c>
      <c r="B23" s="5"/>
      <c r="C23" s="5" t="s">
        <v>27</v>
      </c>
      <c r="D23" s="5"/>
      <c r="E23" s="4"/>
      <c r="F23" s="3"/>
      <c r="G23" s="3"/>
      <c r="H23" s="2"/>
      <c r="I23" s="4"/>
      <c r="J23" s="4"/>
    </row>
    <row r="24" spans="1:10" s="1" customFormat="1">
      <c r="A24" s="2">
        <f t="shared" si="0"/>
        <v>20</v>
      </c>
      <c r="B24" s="5"/>
      <c r="C24" s="5" t="s">
        <v>33</v>
      </c>
      <c r="D24" s="5" t="s">
        <v>31</v>
      </c>
      <c r="E24" s="4" t="s">
        <v>65</v>
      </c>
      <c r="F24" s="3">
        <v>43724</v>
      </c>
      <c r="G24" s="3">
        <v>43724</v>
      </c>
      <c r="H24" s="2"/>
      <c r="I24" s="4"/>
      <c r="J24" s="4"/>
    </row>
    <row r="25" spans="1:10" s="1" customFormat="1">
      <c r="A25" s="2">
        <f t="shared" si="0"/>
        <v>21</v>
      </c>
      <c r="B25" s="5"/>
      <c r="C25" s="5"/>
      <c r="D25" s="5" t="s">
        <v>55</v>
      </c>
      <c r="E25" s="4" t="s">
        <v>65</v>
      </c>
      <c r="F25" s="3">
        <v>43724</v>
      </c>
      <c r="G25" s="3">
        <v>43724</v>
      </c>
      <c r="H25" s="2"/>
      <c r="I25" s="4"/>
      <c r="J25" s="4"/>
    </row>
    <row r="26" spans="1:10" s="1" customFormat="1" ht="36">
      <c r="A26" s="2">
        <f t="shared" si="0"/>
        <v>22</v>
      </c>
      <c r="B26" s="5"/>
      <c r="C26" s="5"/>
      <c r="D26" s="5" t="s">
        <v>53</v>
      </c>
      <c r="E26" s="4" t="s">
        <v>65</v>
      </c>
      <c r="F26" s="3">
        <v>43724</v>
      </c>
      <c r="G26" s="3">
        <v>43724</v>
      </c>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4"/>
  <dimension ref="A1:J37"/>
  <sheetViews>
    <sheetView tabSelected="1" workbookViewId="0">
      <selection activeCell="D12" sqref="D12"/>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国マスタ削除</v>
      </c>
      <c r="D1" s="7"/>
    </row>
    <row r="2" spans="1:10">
      <c r="B2" s="10" t="s">
        <v>9</v>
      </c>
      <c r="C2" s="9">
        <f>COUNTA(D7:D35)</f>
        <v>5</v>
      </c>
    </row>
    <row r="3" spans="1:10">
      <c r="B3" s="10" t="s">
        <v>63</v>
      </c>
      <c r="C3" s="9">
        <f>COUNTA(F7:F35)</f>
        <v>5</v>
      </c>
    </row>
    <row r="4" spans="1:10">
      <c r="B4" s="10" t="s">
        <v>64</v>
      </c>
      <c r="C4" s="9">
        <f>COUNTA(G7:G35)</f>
        <v>5</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c r="A8" s="2">
        <f t="shared" ref="A8:A35" si="0">ROW()-4</f>
        <v>4</v>
      </c>
      <c r="B8" s="5"/>
      <c r="C8" s="5" t="s">
        <v>39</v>
      </c>
      <c r="D8" s="5"/>
      <c r="E8" s="4"/>
      <c r="F8" s="3"/>
      <c r="G8" s="3"/>
      <c r="H8" s="2"/>
      <c r="I8" s="4"/>
      <c r="J8" s="4"/>
    </row>
    <row r="9" spans="1:10" s="1" customFormat="1" ht="54">
      <c r="A9" s="2">
        <f t="shared" si="0"/>
        <v>5</v>
      </c>
      <c r="B9" s="5"/>
      <c r="C9" s="5" t="s">
        <v>58</v>
      </c>
      <c r="D9" s="5" t="s">
        <v>43</v>
      </c>
      <c r="E9" s="4" t="s">
        <v>65</v>
      </c>
      <c r="F9" s="3">
        <v>43724</v>
      </c>
      <c r="G9" s="3">
        <v>43724</v>
      </c>
      <c r="H9" s="2"/>
      <c r="I9" s="4"/>
      <c r="J9" s="4"/>
    </row>
    <row r="10" spans="1:10" s="1" customFormat="1">
      <c r="A10" s="2">
        <f t="shared" si="0"/>
        <v>6</v>
      </c>
      <c r="B10" s="5" t="s">
        <v>23</v>
      </c>
      <c r="C10" s="5" t="s">
        <v>12</v>
      </c>
      <c r="D10" s="5"/>
      <c r="E10" s="4"/>
      <c r="F10" s="3"/>
      <c r="G10" s="3"/>
      <c r="H10" s="2"/>
      <c r="I10" s="4"/>
      <c r="J10" s="4"/>
    </row>
    <row r="11" spans="1:10" s="1" customFormat="1">
      <c r="A11" s="2">
        <f t="shared" si="0"/>
        <v>7</v>
      </c>
      <c r="B11" s="5"/>
      <c r="C11" s="5" t="s">
        <v>39</v>
      </c>
      <c r="D11" s="5"/>
      <c r="E11" s="4"/>
      <c r="F11" s="3"/>
      <c r="G11" s="3"/>
      <c r="H11" s="2"/>
      <c r="I11" s="4"/>
      <c r="J11" s="4"/>
    </row>
    <row r="12" spans="1:10" s="1" customFormat="1" ht="54">
      <c r="A12" s="2">
        <f t="shared" si="0"/>
        <v>8</v>
      </c>
      <c r="B12" s="5"/>
      <c r="C12" s="5" t="s">
        <v>61</v>
      </c>
      <c r="D12" s="5"/>
      <c r="E12" s="4"/>
      <c r="F12" s="3"/>
      <c r="G12" s="3"/>
      <c r="H12" s="2"/>
      <c r="I12" s="4"/>
      <c r="J12" s="4"/>
    </row>
    <row r="13" spans="1:10" s="1" customFormat="1">
      <c r="A13" s="2">
        <f t="shared" si="0"/>
        <v>9</v>
      </c>
      <c r="B13" s="5"/>
      <c r="C13" s="5" t="s">
        <v>24</v>
      </c>
      <c r="D13" s="5" t="s">
        <v>55</v>
      </c>
      <c r="E13" s="4" t="s">
        <v>65</v>
      </c>
      <c r="F13" s="3">
        <v>43732</v>
      </c>
      <c r="G13" s="3">
        <v>43732</v>
      </c>
      <c r="H13" s="2"/>
      <c r="I13" s="4"/>
      <c r="J13" s="4"/>
    </row>
    <row r="14" spans="1:10" s="1" customFormat="1">
      <c r="A14" s="2">
        <f t="shared" si="0"/>
        <v>10</v>
      </c>
      <c r="B14" s="5"/>
      <c r="C14" s="5"/>
      <c r="D14" s="5" t="s">
        <v>48</v>
      </c>
      <c r="E14" s="4" t="s">
        <v>65</v>
      </c>
      <c r="F14" s="3">
        <v>43732</v>
      </c>
      <c r="G14" s="3">
        <v>43732</v>
      </c>
      <c r="H14" s="2"/>
      <c r="I14" s="4"/>
      <c r="J14" s="4"/>
    </row>
    <row r="15" spans="1:10" s="1" customFormat="1">
      <c r="A15" s="2">
        <f t="shared" si="0"/>
        <v>11</v>
      </c>
      <c r="B15" s="5" t="s">
        <v>19</v>
      </c>
      <c r="C15" s="5" t="s">
        <v>39</v>
      </c>
      <c r="D15" s="5"/>
      <c r="E15" s="4"/>
      <c r="F15" s="3"/>
      <c r="G15" s="3"/>
      <c r="H15" s="2"/>
      <c r="I15" s="4"/>
      <c r="J15" s="4"/>
    </row>
    <row r="16" spans="1:10" s="1" customFormat="1" ht="54">
      <c r="A16" s="2">
        <f t="shared" si="0"/>
        <v>12</v>
      </c>
      <c r="B16" s="5"/>
      <c r="C16" s="5" t="s">
        <v>61</v>
      </c>
      <c r="D16" s="5"/>
      <c r="E16" s="4"/>
      <c r="F16" s="3"/>
      <c r="G16" s="3"/>
      <c r="H16" s="2"/>
      <c r="I16" s="4"/>
      <c r="J16" s="4"/>
    </row>
    <row r="17" spans="1:10" s="1" customFormat="1">
      <c r="A17" s="2">
        <f t="shared" si="0"/>
        <v>13</v>
      </c>
      <c r="B17" s="5"/>
      <c r="C17" s="5" t="s">
        <v>18</v>
      </c>
      <c r="D17" s="5" t="s">
        <v>59</v>
      </c>
      <c r="E17" s="4" t="s">
        <v>65</v>
      </c>
      <c r="F17" s="3">
        <v>43724</v>
      </c>
      <c r="G17" s="3">
        <v>43724</v>
      </c>
      <c r="H17" s="2"/>
      <c r="I17" s="4"/>
      <c r="J17" s="4"/>
    </row>
    <row r="18" spans="1:10" s="1" customFormat="1" ht="36">
      <c r="A18" s="2">
        <f t="shared" si="0"/>
        <v>14</v>
      </c>
      <c r="B18" s="5"/>
      <c r="C18" s="5"/>
      <c r="D18" s="5" t="s">
        <v>60</v>
      </c>
      <c r="E18" s="4" t="s">
        <v>65</v>
      </c>
      <c r="F18" s="3">
        <v>43724</v>
      </c>
      <c r="G18" s="3">
        <v>43724</v>
      </c>
      <c r="H18" s="2"/>
      <c r="I18" s="4"/>
      <c r="J18" s="4"/>
    </row>
    <row r="19" spans="1:10" s="1" customFormat="1">
      <c r="A19" s="2">
        <f t="shared" si="0"/>
        <v>15</v>
      </c>
      <c r="B19" s="5"/>
      <c r="C19" s="5"/>
      <c r="D19" s="5"/>
      <c r="E19" s="4"/>
      <c r="F19" s="3"/>
      <c r="G19" s="3"/>
      <c r="H19" s="2"/>
      <c r="I19" s="4"/>
      <c r="J19" s="4"/>
    </row>
    <row r="20" spans="1:10" s="1" customFormat="1">
      <c r="A20" s="2">
        <f t="shared" si="0"/>
        <v>16</v>
      </c>
      <c r="B20" s="5"/>
      <c r="C20" s="5"/>
      <c r="D20" s="5"/>
      <c r="E20" s="4"/>
      <c r="F20" s="3"/>
      <c r="G20" s="3"/>
      <c r="H20" s="2"/>
      <c r="I20" s="4"/>
      <c r="J20" s="4"/>
    </row>
    <row r="21" spans="1:10" s="1" customFormat="1">
      <c r="A21" s="2">
        <f t="shared" si="0"/>
        <v>17</v>
      </c>
      <c r="B21" s="5"/>
      <c r="C21" s="5"/>
      <c r="D21" s="5"/>
      <c r="E21" s="4"/>
      <c r="F21" s="3"/>
      <c r="G21" s="3"/>
      <c r="H21" s="2"/>
      <c r="I21" s="4"/>
      <c r="J21" s="4"/>
    </row>
    <row r="22" spans="1:10" s="1" customFormat="1">
      <c r="A22" s="2">
        <f t="shared" si="0"/>
        <v>18</v>
      </c>
      <c r="B22" s="5"/>
      <c r="C22" s="5"/>
      <c r="D22" s="5"/>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7" spans="1:10">
      <c r="B37" t="s">
        <v>10</v>
      </c>
    </row>
  </sheetData>
  <mergeCells count="1">
    <mergeCell ref="H6:J6"/>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国マスタ一覧</vt:lpstr>
      <vt:lpstr>国マスタ登録</vt:lpstr>
      <vt:lpstr>国マスタ修正</vt:lpstr>
      <vt:lpstr>国マスタ削除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2019-09-21T10:18:37Z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