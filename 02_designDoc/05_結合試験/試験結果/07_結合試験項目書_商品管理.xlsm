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7A2D7E96-6E34-419A-AE5F-296B3A7E7977}"/>
  <workbookPr codeName="ThisWorkbook" defaultThemeVersion="166925"/>
  <mc:AlternateContent xmlns:mc="http://schemas.openxmlformats.org/markup-compatibility/2006">
    <mc:Choice Requires="x15">
      <x15ac:absPath xmlns:x15ac="http://schemas.microsoft.com/office/spreadsheetml/2010/11/ac" url="\\192.168.1.204\開発\クワガタ\03_H30 KID'Sシステムリニューアル\05_結合試験\試験結果\"/>
    </mc:Choice>
  </mc:AlternateContent>
  <xr:revisionPtr revIDLastSave="0" documentId="13_ncr:1_{495A88A0-9D79-4ECC-B468-B33DEC529BE6}" xr6:coauthVersionLast="45" xr6:coauthVersionMax="45" xr10:uidLastSave="{00000000-0000-0000-0000-000000000000}"/>
  <bookViews>
    <workbookView xWindow="-120" yWindow="-120" windowWidth="20730" windowHeight="11160" tabRatio="516" activeTab="4" xr2:uid="{00000000-000D-0000-FFFF-FFFF00000000}"/>
  </bookViews>
  <sheets>
    <sheet name="表紙" sheetId="8" r:id="rId1"/>
    <sheet name="商品検索" sheetId="5" r:id="rId2"/>
    <sheet name="商品一覧" sheetId="6" r:id="rId3"/>
    <sheet name="商品詳細" sheetId="7" r:id="rId4"/>
    <sheet name="商品修正" sheetId="10" r:id="rId5"/>
    <sheet name="商品削除" sheetId="9" r:id="rId6"/>
  </sheets>
  <definedNames>
    <definedName name="comp_count" localSheetId="2">商品一覧!$C$4</definedName>
    <definedName name="comp_count" localSheetId="1">商品検索!$C$4</definedName>
    <definedName name="comp_count" localSheetId="5">商品削除!$C$4</definedName>
    <definedName name="comp_count" localSheetId="4">商品修正!$C$4</definedName>
    <definedName name="comp_count" localSheetId="3">商品詳細!$C$4</definedName>
    <definedName name="item_count" localSheetId="2">商品一覧!$C$2</definedName>
    <definedName name="item_count" localSheetId="1">商品検索!$C$2</definedName>
    <definedName name="item_count" localSheetId="5">商品削除!$C$2</definedName>
    <definedName name="item_count" localSheetId="4">商品修正!$C$2</definedName>
    <definedName name="item_count" localSheetId="3">商品詳細!$C$2</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22" i="6" l="1"/>
  <c r="A21" i="6"/>
  <c r="A18" i="6"/>
  <c r="A26" i="6"/>
  <c r="A25" i="6"/>
  <c r="C3" i="5" l="1"/>
  <c r="C3" i="6"/>
  <c r="C3" i="7"/>
  <c r="C3" i="10"/>
  <c r="C3" i="9"/>
  <c r="A28" i="10" l="1"/>
  <c r="A26" i="10"/>
  <c r="A25" i="10"/>
  <c r="A24" i="10"/>
  <c r="A23" i="10"/>
  <c r="A27" i="10"/>
  <c r="A22" i="10"/>
  <c r="A21" i="10"/>
  <c r="A20" i="10"/>
  <c r="A19" i="10"/>
  <c r="A18" i="10"/>
  <c r="A17" i="10"/>
  <c r="A34" i="10"/>
  <c r="A33" i="10"/>
  <c r="A32" i="10"/>
  <c r="A31" i="10"/>
  <c r="A30" i="10"/>
  <c r="A29" i="10"/>
  <c r="A16" i="10"/>
  <c r="A15" i="10"/>
  <c r="A14" i="10"/>
  <c r="A13" i="10"/>
  <c r="A12" i="10"/>
  <c r="A11" i="10"/>
  <c r="A10" i="10"/>
  <c r="A9" i="10"/>
  <c r="A8" i="10"/>
  <c r="A7" i="10"/>
  <c r="C4" i="10"/>
  <c r="C2" i="10"/>
  <c r="C1" i="10"/>
  <c r="A20" i="6" l="1"/>
  <c r="A23" i="6"/>
  <c r="A17" i="6"/>
  <c r="A34" i="9"/>
  <c r="A33" i="9"/>
  <c r="A32" i="9"/>
  <c r="A31" i="9"/>
  <c r="A30" i="9"/>
  <c r="A29" i="9"/>
  <c r="A28" i="9"/>
  <c r="A27" i="9"/>
  <c r="A26" i="9"/>
  <c r="A25" i="9"/>
  <c r="A24" i="9"/>
  <c r="A23" i="9"/>
  <c r="A22" i="9"/>
  <c r="A21" i="9"/>
  <c r="A20" i="9"/>
  <c r="A19" i="9"/>
  <c r="A18" i="9"/>
  <c r="A17" i="9"/>
  <c r="A16" i="9"/>
  <c r="A15" i="9"/>
  <c r="A14" i="9"/>
  <c r="A12" i="9"/>
  <c r="A11" i="9"/>
  <c r="A13" i="9"/>
  <c r="A10" i="9"/>
  <c r="A9" i="9"/>
  <c r="A8" i="9"/>
  <c r="A7" i="9"/>
  <c r="C4" i="9"/>
  <c r="C2" i="9"/>
  <c r="C1" i="9"/>
  <c r="A18" i="7"/>
  <c r="A17" i="7"/>
  <c r="A19" i="7" l="1"/>
  <c r="C4" i="7"/>
  <c r="C2" i="7"/>
  <c r="A16" i="7" l="1"/>
  <c r="A23" i="7"/>
  <c r="A22" i="7"/>
  <c r="A21" i="7"/>
  <c r="A20" i="7"/>
  <c r="A15" i="7"/>
  <c r="A14" i="7"/>
  <c r="A12" i="7"/>
  <c r="A11" i="7"/>
  <c r="A13" i="7"/>
  <c r="A10" i="7"/>
  <c r="A9" i="7"/>
  <c r="A8" i="7"/>
  <c r="A7" i="7"/>
  <c r="C1" i="7"/>
  <c r="A12" i="6"/>
  <c r="A46" i="6"/>
  <c r="A45" i="6"/>
  <c r="A44" i="6"/>
  <c r="A43" i="6"/>
  <c r="A42" i="6"/>
  <c r="A41" i="6"/>
  <c r="A40" i="6"/>
  <c r="A39" i="6"/>
  <c r="A38" i="6"/>
  <c r="A37" i="6"/>
  <c r="A36" i="6"/>
  <c r="A35" i="6"/>
  <c r="A34" i="6"/>
  <c r="A33" i="6"/>
  <c r="A32" i="6"/>
  <c r="A31" i="6"/>
  <c r="A30" i="6"/>
  <c r="A29" i="6"/>
  <c r="A28" i="6"/>
  <c r="A27" i="6"/>
  <c r="A24" i="6"/>
  <c r="A19" i="6"/>
  <c r="A16" i="6"/>
  <c r="A15" i="6"/>
  <c r="A14" i="6"/>
  <c r="A13" i="6"/>
  <c r="A11" i="6"/>
  <c r="A10" i="6"/>
  <c r="A9" i="6"/>
  <c r="A8" i="6"/>
  <c r="A7" i="6"/>
  <c r="C4" i="6"/>
  <c r="C2" i="6"/>
  <c r="C1" i="6"/>
  <c r="A16" i="5"/>
  <c r="A15" i="5"/>
  <c r="A14" i="5"/>
  <c r="A13" i="5"/>
  <c r="A12" i="5"/>
  <c r="A11" i="5"/>
  <c r="A10" i="5"/>
  <c r="A9" i="5"/>
  <c r="A8" i="5"/>
  <c r="A7" i="5"/>
  <c r="C4" i="5"/>
  <c r="C2" i="5"/>
  <c r="C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100-000001000000}">
      <text>
        <r>
          <rPr>
            <b/>
            <sz val="9"/>
            <color indexed="81"/>
            <rFont val="MS P ゴシック"/>
            <family val="3"/>
            <charset val="128"/>
          </rPr>
          <t>試験開始した日付を記入する。</t>
        </r>
      </text>
    </comment>
    <comment ref="G6" authorId="0" shapeId="0" xr:uid="{00000000-0006-0000-0100-000002000000}">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200-000001000000}">
      <text>
        <r>
          <rPr>
            <b/>
            <sz val="9"/>
            <color indexed="81"/>
            <rFont val="MS P ゴシック"/>
            <family val="3"/>
            <charset val="128"/>
          </rPr>
          <t>試験開始した日付を記入する。</t>
        </r>
      </text>
    </comment>
    <comment ref="G6" authorId="0" shapeId="0" xr:uid="{00000000-0006-0000-0200-000002000000}">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300-000001000000}">
      <text>
        <r>
          <rPr>
            <b/>
            <sz val="9"/>
            <color indexed="81"/>
            <rFont val="MS P ゴシック"/>
            <family val="3"/>
            <charset val="128"/>
          </rPr>
          <t>試験開始した日付を記入する。</t>
        </r>
      </text>
    </comment>
    <comment ref="G6" authorId="0" shapeId="0" xr:uid="{00000000-0006-0000-0300-000002000000}">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400-000001000000}">
      <text>
        <r>
          <rPr>
            <b/>
            <sz val="9"/>
            <color indexed="81"/>
            <rFont val="MS P ゴシック"/>
            <family val="3"/>
            <charset val="128"/>
          </rPr>
          <t>試験開始した日付を記入する。</t>
        </r>
      </text>
    </comment>
    <comment ref="G6" authorId="0" shapeId="0" xr:uid="{00000000-0006-0000-0400-000002000000}">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500-000001000000}">
      <text>
        <r>
          <rPr>
            <b/>
            <sz val="9"/>
            <color indexed="81"/>
            <rFont val="MS P ゴシック"/>
            <family val="3"/>
            <charset val="128"/>
          </rPr>
          <t>試験開始した日付を記入する。</t>
        </r>
      </text>
    </comment>
    <comment ref="G6" authorId="0" shapeId="0" xr:uid="{00000000-0006-0000-0500-000002000000}">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<sst xmlns="http://schemas.openxmlformats.org/spreadsheetml/2006/main" count="194" uniqueCount="81">
  <si>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</si>
  <si>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</si>
  <si>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</si>
  <si>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</si>
  <si>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</si>
  <si>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</si>
  <si>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</si>
  <si>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</si>
  <si>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</si>
  <si>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</si>
  <si>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</si>
  <si>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完了数</t>
    <rPh sb="0" eb="2">
      <t>カンリョウ</t>
    </rPh>
    <rPh sb="2" eb="3">
      <t>スウ</t>
    </rPh>
    <phoneticPr fontId="1"/>
  </si>
  <si>
    <t>enterボタンを押下する。</t>
    <rPh sb="9" eb="11">
      <t>オウカ</t>
    </rPh>
    <phoneticPr fontId="1"/>
  </si>
  <si>
    <t>以下のURLをブラウザで開く。
http://192.168.1.113</t>
    <rPh sb="0" eb="2">
      <t>イカ</t>
    </rPh>
    <rPh sb="12" eb="13">
      <t>ヒラ</t>
    </rPh>
    <phoneticPr fontId="1"/>
  </si>
  <si>
    <t>ログイン画面にて、以下の値を入力し、LOGINボタンを押下する。
ID：169
PASSWORD：gao</t>
    <rPh sb="4" eb="6">
      <t>ガメン</t>
    </rPh>
    <rPh sb="9" eb="11">
      <t>イカ</t>
    </rPh>
    <rPh sb="12" eb="13">
      <t>アタイ</t>
    </rPh>
    <rPh sb="14" eb="16">
      <t>ニュウリョク</t>
    </rPh>
    <rPh sb="27" eb="29">
      <t>オウカ</t>
    </rPh>
    <phoneticPr fontId="1"/>
  </si>
  <si>
    <t>画面表示</t>
    <rPh sb="0" eb="2">
      <t>ガメン</t>
    </rPh>
    <rPh sb="2" eb="4">
      <t>ヒョウジ</t>
    </rPh>
    <phoneticPr fontId="1"/>
  </si>
  <si>
    <t>閉じるボタンを押下する。</t>
    <rPh sb="0" eb="1">
      <t>ト</t>
    </rPh>
    <rPh sb="7" eb="9">
      <t>オウカ</t>
    </rPh>
    <phoneticPr fontId="1"/>
  </si>
  <si>
    <t>検索ボタン押下</t>
    <rPh sb="0" eb="2">
      <t>ケンサク</t>
    </rPh>
    <rPh sb="5" eb="7">
      <t>オウカ</t>
    </rPh>
    <phoneticPr fontId="1"/>
  </si>
  <si>
    <t>クリアボタン押下</t>
    <rPh sb="6" eb="8">
      <t>オウカ</t>
    </rPh>
    <phoneticPr fontId="1"/>
  </si>
  <si>
    <t>検索条件の入力項目すべてに値を入力する。</t>
    <rPh sb="0" eb="2">
      <t>ケンサク</t>
    </rPh>
    <rPh sb="2" eb="4">
      <t>ジョウケン</t>
    </rPh>
    <rPh sb="5" eb="7">
      <t>ニュウリョク</t>
    </rPh>
    <rPh sb="7" eb="9">
      <t>コウモク</t>
    </rPh>
    <rPh sb="13" eb="14">
      <t>アタイ</t>
    </rPh>
    <rPh sb="15" eb="17">
      <t>ニュウリョク</t>
    </rPh>
    <phoneticPr fontId="1"/>
  </si>
  <si>
    <t>クリアボタンを押下する。</t>
    <rPh sb="7" eb="9">
      <t>オウカ</t>
    </rPh>
    <phoneticPr fontId="1"/>
  </si>
  <si>
    <t>入力項目がすべてクリアされていること。</t>
    <rPh sb="0" eb="2">
      <t>ニュウリョク</t>
    </rPh>
    <rPh sb="2" eb="4">
      <t>コウモク</t>
    </rPh>
    <phoneticPr fontId="1"/>
  </si>
  <si>
    <t>検索ボタンを押下する。</t>
    <rPh sb="0" eb="2">
      <t>ケンサク</t>
    </rPh>
    <rPh sb="6" eb="8">
      <t>オウカ</t>
    </rPh>
    <phoneticPr fontId="1"/>
  </si>
  <si>
    <t>DBを同じ条件で検索した時の件数を表示件数が一致していること。</t>
    <rPh sb="3" eb="4">
      <t>オナ</t>
    </rPh>
    <rPh sb="5" eb="7">
      <t>ジョウケン</t>
    </rPh>
    <rPh sb="8" eb="10">
      <t>ケンサク</t>
    </rPh>
    <rPh sb="12" eb="13">
      <t>トキ</t>
    </rPh>
    <rPh sb="14" eb="16">
      <t>ケンスウ</t>
    </rPh>
    <rPh sb="17" eb="19">
      <t>ヒョウジ</t>
    </rPh>
    <rPh sb="19" eb="21">
      <t>ケンスウ</t>
    </rPh>
    <rPh sb="22" eb="24">
      <t>イッチ</t>
    </rPh>
    <phoneticPr fontId="1"/>
  </si>
  <si>
    <t>任意の検索条件を入力し、入力した項目の「検索」と「表示」をonにする。</t>
    <rPh sb="0" eb="2">
      <t>ニンイ</t>
    </rPh>
    <rPh sb="3" eb="5">
      <t>ケンサク</t>
    </rPh>
    <rPh sb="5" eb="7">
      <t>ジョウケン</t>
    </rPh>
    <rPh sb="8" eb="10">
      <t>ニュウリョク</t>
    </rPh>
    <rPh sb="12" eb="14">
      <t>ニュウリョク</t>
    </rPh>
    <rPh sb="16" eb="18">
      <t>コウモク</t>
    </rPh>
    <rPh sb="20" eb="22">
      <t>ケンサク</t>
    </rPh>
    <rPh sb="25" eb="27">
      <t>ヒョウジ</t>
    </rPh>
    <phoneticPr fontId="1"/>
  </si>
  <si>
    <t>任意の検索条件を入力し、入力した項目の「検索」をonにする。</t>
    <rPh sb="0" eb="2">
      <t>ニンイ</t>
    </rPh>
    <rPh sb="3" eb="5">
      <t>ケンサク</t>
    </rPh>
    <rPh sb="5" eb="7">
      <t>ジョウケン</t>
    </rPh>
    <rPh sb="8" eb="10">
      <t>ニュウリョク</t>
    </rPh>
    <rPh sb="12" eb="14">
      <t>ニュウリョク</t>
    </rPh>
    <rPh sb="16" eb="18">
      <t>コウモク</t>
    </rPh>
    <rPh sb="20" eb="22">
      <t>ケンサク</t>
    </rPh>
    <phoneticPr fontId="1"/>
  </si>
  <si>
    <t>任意の項目の「表示」をonにする。</t>
    <rPh sb="0" eb="2">
      <t>ニンイ</t>
    </rPh>
    <rPh sb="3" eb="5">
      <t>コウモク</t>
    </rPh>
    <rPh sb="7" eb="9">
      <t>ヒョウジ</t>
    </rPh>
    <phoneticPr fontId="1"/>
  </si>
  <si>
    <t>コピーボタン押下</t>
    <rPh sb="6" eb="8">
      <t>オウカ</t>
    </rPh>
    <phoneticPr fontId="1"/>
  </si>
  <si>
    <t>コピーボタンを押下する。</t>
    <rPh sb="7" eb="9">
      <t>オウカ</t>
    </rPh>
    <phoneticPr fontId="1"/>
  </si>
  <si>
    <t>空のExcelブックを開き、そのままペースト操作を行う。</t>
    <rPh sb="0" eb="1">
      <t>カラ</t>
    </rPh>
    <rPh sb="11" eb="12">
      <t>ヒラ</t>
    </rPh>
    <rPh sb="22" eb="24">
      <t>ソウサ</t>
    </rPh>
    <rPh sb="25" eb="26">
      <t>オコナ</t>
    </rPh>
    <phoneticPr fontId="1"/>
  </si>
  <si>
    <t>詳細ボタン押下</t>
    <rPh sb="0" eb="2">
      <t>ショウサイ</t>
    </rPh>
    <rPh sb="5" eb="7">
      <t>オウカ</t>
    </rPh>
    <phoneticPr fontId="1"/>
  </si>
  <si>
    <t>表示されている任意の行の詳細ボタンを押下する。</t>
    <rPh sb="0" eb="2">
      <t>ヒョウジ</t>
    </rPh>
    <rPh sb="7" eb="9">
      <t>ニンイ</t>
    </rPh>
    <rPh sb="10" eb="11">
      <t>ギョウ</t>
    </rPh>
    <rPh sb="12" eb="14">
      <t>ショウサイ</t>
    </rPh>
    <rPh sb="18" eb="20">
      <t>オウカ</t>
    </rPh>
    <phoneticPr fontId="1"/>
  </si>
  <si>
    <t>表示されている内容が、詳細ボタンを押下した行のものであること。</t>
    <rPh sb="0" eb="2">
      <t>ヒョウジ</t>
    </rPh>
    <rPh sb="7" eb="9">
      <t>ナイヨウ</t>
    </rPh>
    <rPh sb="11" eb="13">
      <t>ショウサイ</t>
    </rPh>
    <rPh sb="17" eb="19">
      <t>オウカ</t>
    </rPh>
    <rPh sb="21" eb="22">
      <t>ギョウ</t>
    </rPh>
    <phoneticPr fontId="1"/>
  </si>
  <si>
    <t>表示内容が画面設計書の項目定義通りであること。</t>
    <rPh sb="0" eb="2">
      <t>ヒョウジ</t>
    </rPh>
    <rPh sb="2" eb="4">
      <t>ナイヨウ</t>
    </rPh>
    <rPh sb="5" eb="7">
      <t>ガメン</t>
    </rPh>
    <rPh sb="7" eb="10">
      <t>セッケイショ</t>
    </rPh>
    <rPh sb="11" eb="13">
      <t>コウモク</t>
    </rPh>
    <rPh sb="13" eb="15">
      <t>テイギ</t>
    </rPh>
    <rPh sb="15" eb="16">
      <t>ドオ</t>
    </rPh>
    <phoneticPr fontId="1"/>
  </si>
  <si>
    <t>登録ボタンを押下する。</t>
    <rPh sb="0" eb="2">
      <t>トウロク</t>
    </rPh>
    <rPh sb="6" eb="8">
      <t>オウカ</t>
    </rPh>
    <phoneticPr fontId="1"/>
  </si>
  <si>
    <t>ウィンドウクローズ</t>
    <phoneticPr fontId="1"/>
  </si>
  <si>
    <t>「いいえ」ボタンを押下する。</t>
    <rPh sb="9" eb="11">
      <t>オウカ</t>
    </rPh>
    <phoneticPr fontId="1"/>
  </si>
  <si>
    <t>「はい」ボタンを押下する。</t>
    <rPh sb="8" eb="10">
      <t>オウカ</t>
    </rPh>
    <phoneticPr fontId="1"/>
  </si>
  <si>
    <t>削除実行（本発注、本受注明細なし、他ユーザー編集無し）</t>
    <rPh sb="0" eb="2">
      <t>サクジョ</t>
    </rPh>
    <rPh sb="2" eb="4">
      <t>ジッコウ</t>
    </rPh>
    <rPh sb="5" eb="6">
      <t>ホン</t>
    </rPh>
    <rPh sb="6" eb="8">
      <t>ハッチュウ</t>
    </rPh>
    <rPh sb="9" eb="10">
      <t>ホン</t>
    </rPh>
    <rPh sb="10" eb="12">
      <t>ジュチュウ</t>
    </rPh>
    <rPh sb="12" eb="14">
      <t>メイサイ</t>
    </rPh>
    <rPh sb="17" eb="18">
      <t>タ</t>
    </rPh>
    <rPh sb="22" eb="24">
      <t>ヘンシュウ</t>
    </rPh>
    <rPh sb="24" eb="25">
      <t>ナ</t>
    </rPh>
    <phoneticPr fontId="1"/>
  </si>
  <si>
    <t>メインメニュー画面で商品検索ボタンを押下する。</t>
    <rPh sb="7" eb="9">
      <t>ガメン</t>
    </rPh>
    <rPh sb="10" eb="12">
      <t>ショウヒン</t>
    </rPh>
    <rPh sb="12" eb="14">
      <t>ケンサク</t>
    </rPh>
    <rPh sb="18" eb="20">
      <t>オウカ</t>
    </rPh>
    <phoneticPr fontId="1"/>
  </si>
  <si>
    <t>商品検索画面に遷移すること。</t>
    <rPh sb="0" eb="2">
      <t>ショウヒン</t>
    </rPh>
    <rPh sb="2" eb="4">
      <t>ケンサク</t>
    </rPh>
    <phoneticPr fontId="1"/>
  </si>
  <si>
    <t>商品一覧画面に遷移すること。</t>
    <rPh sb="0" eb="2">
      <t>ショウヒン</t>
    </rPh>
    <rPh sb="2" eb="4">
      <t>イチラン</t>
    </rPh>
    <rPh sb="4" eb="6">
      <t>ガメン</t>
    </rPh>
    <rPh sb="7" eb="9">
      <t>センイ</t>
    </rPh>
    <phoneticPr fontId="1"/>
  </si>
  <si>
    <t>商品一覧画面に表示されている一覧が入力した検索条件をすべて満たしていること。</t>
    <rPh sb="0" eb="2">
      <t>ショウヒン</t>
    </rPh>
    <rPh sb="2" eb="4">
      <t>イチラン</t>
    </rPh>
    <rPh sb="4" eb="6">
      <t>ガメン</t>
    </rPh>
    <rPh sb="7" eb="9">
      <t>ヒョウジ</t>
    </rPh>
    <rPh sb="14" eb="16">
      <t>イチラン</t>
    </rPh>
    <rPh sb="17" eb="19">
      <t>ニュウリョク</t>
    </rPh>
    <rPh sb="21" eb="23">
      <t>ケンサク</t>
    </rPh>
    <rPh sb="23" eb="25">
      <t>ジョウケン</t>
    </rPh>
    <rPh sb="29" eb="30">
      <t>ミ</t>
    </rPh>
    <phoneticPr fontId="1"/>
  </si>
  <si>
    <t>商品検索画面で「表示」をonにした項目すべてが表示されていること。</t>
    <rPh sb="0" eb="2">
      <t>ショウヒン</t>
    </rPh>
    <rPh sb="2" eb="4">
      <t>ケンサク</t>
    </rPh>
    <rPh sb="4" eb="6">
      <t>ガメン</t>
    </rPh>
    <rPh sb="8" eb="10">
      <t>ヒョウジ</t>
    </rPh>
    <rPh sb="17" eb="19">
      <t>コウモク</t>
    </rPh>
    <rPh sb="23" eb="25">
      <t>ヒョウジ</t>
    </rPh>
    <phoneticPr fontId="1"/>
  </si>
  <si>
    <t>商品検索画面で「表示」をonにしていない項目すべてが表示されていないこと。</t>
    <rPh sb="0" eb="2">
      <t>ショウヒン</t>
    </rPh>
    <rPh sb="2" eb="4">
      <t>ケンサク</t>
    </rPh>
    <rPh sb="4" eb="6">
      <t>ガメン</t>
    </rPh>
    <rPh sb="8" eb="10">
      <t>ヒョウジ</t>
    </rPh>
    <rPh sb="20" eb="22">
      <t>コウモク</t>
    </rPh>
    <rPh sb="26" eb="28">
      <t>ヒョウジ</t>
    </rPh>
    <phoneticPr fontId="1"/>
  </si>
  <si>
    <t>商品一覧画面に表示されている内容が全行全項目ペーストされること。</t>
    <rPh sb="0" eb="2">
      <t>ショウヒン</t>
    </rPh>
    <rPh sb="2" eb="4">
      <t>イチラン</t>
    </rPh>
    <rPh sb="4" eb="6">
      <t>ガメン</t>
    </rPh>
    <rPh sb="7" eb="9">
      <t>ヒョウジ</t>
    </rPh>
    <rPh sb="14" eb="16">
      <t>ナイヨウ</t>
    </rPh>
    <rPh sb="17" eb="19">
      <t>ゼンギョウ</t>
    </rPh>
    <rPh sb="19" eb="22">
      <t>ゼンコウモク</t>
    </rPh>
    <phoneticPr fontId="1"/>
  </si>
  <si>
    <t>商品詳細画面が表示されること。</t>
    <rPh sb="0" eb="2">
      <t>ショウヒン</t>
    </rPh>
    <rPh sb="2" eb="4">
      <t>ショウサイ</t>
    </rPh>
    <rPh sb="4" eb="6">
      <t>ガメン</t>
    </rPh>
    <rPh sb="7" eb="9">
      <t>ヒョウジ</t>
    </rPh>
    <phoneticPr fontId="1"/>
  </si>
  <si>
    <t>商品詳細画面を閉じる。</t>
    <rPh sb="0" eb="2">
      <t>ショウヒン</t>
    </rPh>
    <rPh sb="2" eb="4">
      <t>ショウサイ</t>
    </rPh>
    <rPh sb="4" eb="6">
      <t>ガメン</t>
    </rPh>
    <rPh sb="7" eb="8">
      <t>ト</t>
    </rPh>
    <phoneticPr fontId="1"/>
  </si>
  <si>
    <t>商品一覧画面が活性化されること。</t>
    <rPh sb="0" eb="2">
      <t>ショウヒン</t>
    </rPh>
    <rPh sb="2" eb="4">
      <t>イチラン</t>
    </rPh>
    <rPh sb="4" eb="6">
      <t>ガメン</t>
    </rPh>
    <rPh sb="7" eb="10">
      <t>カッセイカ</t>
    </rPh>
    <phoneticPr fontId="1"/>
  </si>
  <si>
    <t>任意の行の詳細ボタンを押下する。</t>
    <rPh sb="0" eb="2">
      <t>ニンイ</t>
    </rPh>
    <rPh sb="3" eb="4">
      <t>ギョウ</t>
    </rPh>
    <rPh sb="5" eb="7">
      <t>ショウサイ</t>
    </rPh>
    <rPh sb="11" eb="13">
      <t>オウカ</t>
    </rPh>
    <phoneticPr fontId="1"/>
  </si>
  <si>
    <t>商品詳細画面が閉じること。</t>
    <rPh sb="0" eb="2">
      <t>ショウヒン</t>
    </rPh>
    <rPh sb="2" eb="4">
      <t>ショウサイ</t>
    </rPh>
    <rPh sb="4" eb="6">
      <t>ガメン</t>
    </rPh>
    <rPh sb="7" eb="8">
      <t>ト</t>
    </rPh>
    <phoneticPr fontId="1"/>
  </si>
  <si>
    <t>商品一覧画面が活性化すること。</t>
    <rPh sb="0" eb="2">
      <t>ショウヒン</t>
    </rPh>
    <rPh sb="2" eb="4">
      <t>イチラン</t>
    </rPh>
    <rPh sb="4" eb="6">
      <t>ガメン</t>
    </rPh>
    <rPh sb="7" eb="10">
      <t>カッセイカ</t>
    </rPh>
    <phoneticPr fontId="1"/>
  </si>
  <si>
    <t>任意の行の修正ボタンを押下する。</t>
    <rPh sb="0" eb="2">
      <t>ニンイ</t>
    </rPh>
    <rPh sb="3" eb="4">
      <t>ギョウ</t>
    </rPh>
    <rPh sb="5" eb="7">
      <t>シュウセイ</t>
    </rPh>
    <rPh sb="11" eb="13">
      <t>オウカ</t>
    </rPh>
    <phoneticPr fontId="1"/>
  </si>
  <si>
    <t>入力項目確認</t>
    <rPh sb="0" eb="2">
      <t>ニュウリョク</t>
    </rPh>
    <rPh sb="2" eb="4">
      <t>コウモク</t>
    </rPh>
    <rPh sb="4" eb="6">
      <t>カクニン</t>
    </rPh>
    <phoneticPr fontId="1"/>
  </si>
  <si>
    <t>製品コード以外のすべての項目の値を変更する。</t>
    <rPh sb="0" eb="2">
      <t>セイヒン</t>
    </rPh>
    <rPh sb="5" eb="7">
      <t>イガイ</t>
    </rPh>
    <rPh sb="12" eb="14">
      <t>コウモク</t>
    </rPh>
    <rPh sb="15" eb="16">
      <t>アタイ</t>
    </rPh>
    <rPh sb="17" eb="19">
      <t>ヘンコウ</t>
    </rPh>
    <phoneticPr fontId="1"/>
  </si>
  <si>
    <t>登録ボタン押下</t>
    <rPh sb="0" eb="2">
      <t>トウロク</t>
    </rPh>
    <rPh sb="5" eb="7">
      <t>オウカ</t>
    </rPh>
    <phoneticPr fontId="1"/>
  </si>
  <si>
    <t>製品コード以外の任意の値を変更する。</t>
    <rPh sb="0" eb="2">
      <t>セイヒン</t>
    </rPh>
    <rPh sb="5" eb="7">
      <t>イガイ</t>
    </rPh>
    <rPh sb="8" eb="10">
      <t>ニンイ</t>
    </rPh>
    <rPh sb="11" eb="12">
      <t>アタイ</t>
    </rPh>
    <rPh sb="13" eb="15">
      <t>ヘンコウ</t>
    </rPh>
    <phoneticPr fontId="1"/>
  </si>
  <si>
    <t>登録確認画面の閉じるボタンを押下する。</t>
    <rPh sb="0" eb="2">
      <t>トウロク</t>
    </rPh>
    <rPh sb="2" eb="4">
      <t>カクニン</t>
    </rPh>
    <rPh sb="4" eb="6">
      <t>ガメン</t>
    </rPh>
    <rPh sb="7" eb="8">
      <t>ト</t>
    </rPh>
    <rPh sb="14" eb="16">
      <t>オウカ</t>
    </rPh>
    <phoneticPr fontId="1"/>
  </si>
  <si>
    <t>再度登録ボタンを押下する。</t>
    <rPh sb="0" eb="2">
      <t>サイド</t>
    </rPh>
    <rPh sb="2" eb="4">
      <t>トウロク</t>
    </rPh>
    <rPh sb="8" eb="10">
      <t>オウカ</t>
    </rPh>
    <phoneticPr fontId="1"/>
  </si>
  <si>
    <t>登録確認画面の登録ボタンを押下する。</t>
    <rPh sb="0" eb="2">
      <t>トウロク</t>
    </rPh>
    <rPh sb="2" eb="4">
      <t>カクニン</t>
    </rPh>
    <rPh sb="4" eb="6">
      <t>ガメン</t>
    </rPh>
    <rPh sb="7" eb="9">
      <t>トウロク</t>
    </rPh>
    <rPh sb="13" eb="15">
      <t>オウカ</t>
    </rPh>
    <phoneticPr fontId="1"/>
  </si>
  <si>
    <t>登録完了画面のPREVIEWボタンを押下する。</t>
    <rPh sb="0" eb="2">
      <t>トウロク</t>
    </rPh>
    <rPh sb="2" eb="4">
      <t>カンリョウ</t>
    </rPh>
    <rPh sb="4" eb="6">
      <t>ガメン</t>
    </rPh>
    <rPh sb="18" eb="20">
      <t>オウカ</t>
    </rPh>
    <phoneticPr fontId="1"/>
  </si>
  <si>
    <t>商品化企画書プレビュー画面の閉じるボタンを押下する。</t>
    <rPh sb="0" eb="3">
      <t>ショウヒンカ</t>
    </rPh>
    <rPh sb="3" eb="5">
      <t>キカク</t>
    </rPh>
    <rPh sb="5" eb="6">
      <t>ショ</t>
    </rPh>
    <rPh sb="11" eb="13">
      <t>ガメン</t>
    </rPh>
    <rPh sb="14" eb="15">
      <t>ト</t>
    </rPh>
    <rPh sb="21" eb="23">
      <t>オウカ</t>
    </rPh>
    <phoneticPr fontId="1"/>
  </si>
  <si>
    <t>登録完了画面の閉じるボタンを押下する。</t>
    <rPh sb="0" eb="2">
      <t>トウロク</t>
    </rPh>
    <rPh sb="2" eb="4">
      <t>カンリョウ</t>
    </rPh>
    <rPh sb="4" eb="6">
      <t>ガメン</t>
    </rPh>
    <rPh sb="7" eb="8">
      <t>ト</t>
    </rPh>
    <rPh sb="14" eb="16">
      <t>オウカ</t>
    </rPh>
    <phoneticPr fontId="1"/>
  </si>
  <si>
    <t>商品一覧画面の任意の行の修正ボタンを押下する。</t>
    <rPh sb="0" eb="2">
      <t>ショウヒン</t>
    </rPh>
    <rPh sb="2" eb="4">
      <t>イチラン</t>
    </rPh>
    <rPh sb="4" eb="6">
      <t>ガメン</t>
    </rPh>
    <rPh sb="7" eb="9">
      <t>ニンイ</t>
    </rPh>
    <rPh sb="10" eb="11">
      <t>ギョウ</t>
    </rPh>
    <rPh sb="12" eb="14">
      <t>シュウセイ</t>
    </rPh>
    <rPh sb="18" eb="20">
      <t>オウカ</t>
    </rPh>
    <phoneticPr fontId="1"/>
  </si>
  <si>
    <t>商品修正画面が表示されているブラウザの閉じるボタンを押下する。</t>
    <rPh sb="0" eb="2">
      <t>ショウヒン</t>
    </rPh>
    <rPh sb="2" eb="4">
      <t>シュウセイ</t>
    </rPh>
    <rPh sb="4" eb="6">
      <t>ガメン</t>
    </rPh>
    <rPh sb="7" eb="9">
      <t>ヒョウジ</t>
    </rPh>
    <rPh sb="19" eb="20">
      <t>ト</t>
    </rPh>
    <rPh sb="26" eb="28">
      <t>オウカ</t>
    </rPh>
    <phoneticPr fontId="1"/>
  </si>
  <si>
    <t>任意の商品の行の削除ボタンを押下する。</t>
    <rPh sb="0" eb="2">
      <t>ニンイ</t>
    </rPh>
    <rPh sb="3" eb="5">
      <t>ショウヒン</t>
    </rPh>
    <rPh sb="6" eb="7">
      <t>ギョウ</t>
    </rPh>
    <rPh sb="8" eb="10">
      <t>サクジョ</t>
    </rPh>
    <rPh sb="14" eb="16">
      <t>オウカ</t>
    </rPh>
    <phoneticPr fontId="1"/>
  </si>
  <si>
    <t>再度、任意の商品の行の削除ボタンを押下する。</t>
    <rPh sb="0" eb="2">
      <t>サイド</t>
    </rPh>
    <rPh sb="3" eb="5">
      <t>ニンイ</t>
    </rPh>
    <rPh sb="6" eb="8">
      <t>ショウヒン</t>
    </rPh>
    <rPh sb="9" eb="10">
      <t>ギョウ</t>
    </rPh>
    <rPh sb="11" eb="13">
      <t>サクジョ</t>
    </rPh>
    <rPh sb="17" eb="19">
      <t>オウカ</t>
    </rPh>
    <phoneticPr fontId="1"/>
  </si>
  <si>
    <t>着手数</t>
    <rPh sb="0" eb="2">
      <t>チャクシュ</t>
    </rPh>
    <rPh sb="2" eb="3">
      <t>スウ</t>
    </rPh>
    <phoneticPr fontId="1"/>
  </si>
  <si>
    <t>中島</t>
    <rPh sb="0" eb="2">
      <t>ナカジマ</t>
    </rPh>
    <phoneticPr fontId="1"/>
  </si>
  <si>
    <t>履歴ボタン押下</t>
    <rPh sb="0" eb="2">
      <t>リレキ</t>
    </rPh>
    <rPh sb="5" eb="7">
      <t>オウカ</t>
    </rPh>
    <phoneticPr fontId="1"/>
  </si>
  <si>
    <t>ボタンを押下した行の真下に旧リビジョンのデータが前リビジョン（=現リビジョン-1）からリビジョン0まで降順に表示されること。</t>
    <rPh sb="4" eb="6">
      <t>オウカ</t>
    </rPh>
    <rPh sb="8" eb="9">
      <t>ギョウ</t>
    </rPh>
    <rPh sb="10" eb="12">
      <t>マシタ</t>
    </rPh>
    <rPh sb="13" eb="14">
      <t>キュウ</t>
    </rPh>
    <rPh sb="24" eb="25">
      <t>ゼン</t>
    </rPh>
    <rPh sb="32" eb="33">
      <t>ゲン</t>
    </rPh>
    <rPh sb="54" eb="56">
      <t>ヒョウジ</t>
    </rPh>
    <phoneticPr fontId="1"/>
  </si>
  <si>
    <t>表示されている任意の行の履歴ボタンを押下する。</t>
    <rPh sb="0" eb="2">
      <t>ヒョウジ</t>
    </rPh>
    <rPh sb="7" eb="9">
      <t>ニンイ</t>
    </rPh>
    <rPh sb="10" eb="11">
      <t>ギョウ</t>
    </rPh>
    <rPh sb="12" eb="14">
      <t>リレキ</t>
    </rPh>
    <rPh sb="18" eb="20">
      <t>オウカ</t>
    </rPh>
    <phoneticPr fontId="1"/>
  </si>
  <si>
    <t>押下した履歴ボタンを再度押下する。</t>
    <rPh sb="0" eb="2">
      <t>オウカ</t>
    </rPh>
    <rPh sb="4" eb="6">
      <t>リレキ</t>
    </rPh>
    <rPh sb="10" eb="12">
      <t>サイド</t>
    </rPh>
    <rPh sb="12" eb="14">
      <t>オウカ</t>
    </rPh>
    <phoneticPr fontId="1"/>
  </si>
  <si>
    <t>旧リビジョンのデータが非表示となること。</t>
    <rPh sb="0" eb="1">
      <t>キュウ</t>
    </rPh>
    <rPh sb="11" eb="14">
      <t>ヒヒョウジ</t>
    </rPh>
    <phoneticPr fontId="1"/>
  </si>
  <si>
    <t>「履歴」の表示がonの場合、「履歴」列が表示されていること。</t>
    <rPh sb="1" eb="3">
      <t>リレキ</t>
    </rPh>
    <rPh sb="5" eb="7">
      <t>ヒョウジ</t>
    </rPh>
    <rPh sb="11" eb="13">
      <t>バアイ</t>
    </rPh>
    <rPh sb="15" eb="17">
      <t>リレキ</t>
    </rPh>
    <rPh sb="18" eb="19">
      <t>レツ</t>
    </rPh>
    <rPh sb="20" eb="22">
      <t>ヒョウジ</t>
    </rPh>
    <phoneticPr fontId="1"/>
  </si>
  <si>
    <t>「履歴」の表示がoffの場合、「履歴」列が表示されていないこと。</t>
    <rPh sb="1" eb="3">
      <t>リレキ</t>
    </rPh>
    <rPh sb="5" eb="7">
      <t>ヒョウジ</t>
    </rPh>
    <rPh sb="12" eb="14">
      <t>バアイ</t>
    </rPh>
    <rPh sb="16" eb="18">
      <t>リレキ</t>
    </rPh>
    <rPh sb="19" eb="20">
      <t>レツ</t>
    </rPh>
    <rPh sb="21" eb="23">
      <t>ヒョウジ</t>
    </rPh>
    <phoneticPr fontId="1"/>
  </si>
  <si>
    <t>「削除」列が表示されていないこと。</t>
    <rPh sb="1" eb="3">
      <t>サクジョ</t>
    </rPh>
    <rPh sb="4" eb="5">
      <t>レツ</t>
    </rPh>
    <rPh sb="6" eb="8">
      <t>ヒョウジ</t>
    </rPh>
    <phoneticPr fontId="1"/>
  </si>
  <si>
    <t>「履歴」の表示がonの場合、履歴のある（MAX(m_product.lngrevisionno)&gt;0である）製品データにはr履歴ボタンが表示されていること。</t>
    <rPh sb="1" eb="3">
      <t>リレキ</t>
    </rPh>
    <rPh sb="5" eb="7">
      <t>ヒョウジ</t>
    </rPh>
    <rPh sb="11" eb="13">
      <t>バアイ</t>
    </rPh>
    <rPh sb="14" eb="16">
      <t>リレキ</t>
    </rPh>
    <rPh sb="54" eb="56">
      <t>セイヒン</t>
    </rPh>
    <rPh sb="62" eb="64">
      <t>リレキ</t>
    </rPh>
    <rPh sb="68" eb="70">
      <t>ヒョウジ</t>
    </rPh>
    <phoneticPr fontId="1"/>
  </si>
  <si>
    <t>「履歴」の表示がonの場合、履歴のある（MAX(m_product.lngrevisionno)=0である）製品データにはr履歴ボタンが表示されていないこと。</t>
    <rPh sb="1" eb="3">
      <t>リレキ</t>
    </rPh>
    <rPh sb="5" eb="7">
      <t>ヒョウジ</t>
    </rPh>
    <rPh sb="11" eb="13">
      <t>バアイ</t>
    </rPh>
    <rPh sb="14" eb="16">
      <t>リレキ</t>
    </rPh>
    <rPh sb="54" eb="56">
      <t>セイヒン</t>
    </rPh>
    <rPh sb="62" eb="64">
      <t>リレキ</t>
    </rPh>
    <rPh sb="68" eb="70">
      <t>ヒョウジ</t>
    </rPh>
    <phoneticPr fontId="1"/>
  </si>
  <si>
    <t>佐々</t>
    <rPh sb="0" eb="2">
      <t>ササ</t>
    </rPh>
    <phoneticPr fontId="1"/>
  </si>
  <si>
    <t>鈴木</t>
    <rPh sb="0" eb="2">
      <t>スズキ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</si>
</sst>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quot;ボタンを押下する&quot;"/>
  </numFmts>
  <fonts count="6">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
      <sz val="11"/>
      <color rgb="FFFF0000"/>
      <name val="游ゴシック"/>
      <family val="2"/>
      <scheme val="minor"/>
    </font>
    <font>
      <sz val="11"/>
      <name val="游ゴシック"/>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9">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176" fontId="0" fillId="0" borderId="1" xfId="0" applyNumberFormat="1" applyBorder="1" applyAlignment="1">
      <alignment horizontal="left" vertical="top" wrapText="1"/>
    </xf>
    <xf numFmtId="0" fontId="0" fillId="0" borderId="1" xfId="0" applyBorder="1" applyAlignment="1">
      <alignment horizontal="center" vertical="center"/>
    </xf>
    <xf numFmtId="0" fontId="0" fillId="0" borderId="1" xfId="0" applyNumberFormat="1" applyBorder="1" applyAlignment="1">
      <alignment horizontal="left" vertical="top" wrapText="1"/>
    </xf>
    <xf numFmtId="0" fontId="0" fillId="0" borderId="1" xfId="0" applyBorder="1" applyAlignment="1">
      <alignment horizontal="center" vertical="center"/>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485775</xdr:colOff>
          <xdr:row>0</xdr:row>
          <xdr:rowOff>171450</xdr:rowOff>
        </xdr:from>
        <xdr:to>
          <xdr:col>4</xdr:col>
          <xdr:colOff>381000</xdr:colOff>
          <xdr:row>1</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
  <sheetViews>
    <sheetView workbookViewId="0">
      <selection activeCell="H19" sqref="H19"/>
    </sheetView>
  </sheetViews>
  <sheetFormatPr defaultRowHeight="18.75"/>
  <cols>
    <col min="1" max="1" width="10.375" bestFit="1" customWidth="1"/>
  </cols>
  <sheetData>
    <row r="1" spans="1:2">
      <c r="A1" t="s">
        <v>9</v>
      </c>
      <c r="B1">
        <v>223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ボタン1_Click">
                <anchor moveWithCells="1">
                  <from>
                    <xdr:col>3</xdr:col>
                    <xdr:colOff>485775</xdr:colOff>
                    <xdr:row>0</xdr:row>
                    <xdr:rowOff>171450</xdr:rowOff>
                  </from>
                  <to>
                    <xdr:col>4</xdr:col>
                    <xdr:colOff>381000</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J18"/>
  <sheetViews>
    <sheetView workbookViewId="0">
      <selection activeCell="C14" sqref="C14"/>
    </sheetView>
  </sheetViews>
  <sheetFormatPr defaultRowHeight="18.75"/>
  <cols>
    <col min="1" max="1" width="4.25" customWidth="1"/>
    <col min="2" max="2" width="30.75" customWidth="1"/>
    <col min="3" max="3" width="40.75" customWidth="1"/>
    <col min="4" max="4" width="50.75" customWidth="1"/>
    <col min="5" max="5" width="8.75" customWidth="1"/>
    <col min="6" max="6" width="10.25" customWidth="1"/>
    <col min="7" max="7" width="10.25" bestFit="1" customWidth="1"/>
    <col min="8" max="10" width="8.75" customWidth="1"/>
  </cols>
  <sheetData>
    <row r="1" spans="1:10">
      <c r="B1" s="10" t="s">
        <v>5</v>
      </c>
      <c r="C1" s="9" t="str">
        <f ca="1">RIGHT(CELL("filename",A2),LEN(CELL("filename",A2))-FIND("]",CELL("filename",A2)))</f>
        <v>商品検索</v>
      </c>
      <c r="D1" s="7"/>
    </row>
    <row r="2" spans="1:10">
      <c r="B2" s="10" t="s">
        <v>9</v>
      </c>
      <c r="C2" s="9">
        <f>COUNTA(D7:D16)</f>
        <v>5</v>
      </c>
    </row>
    <row r="3" spans="1:10">
      <c r="B3" s="10" t="s">
        <v>67</v>
      </c>
      <c r="C3" s="9">
        <f>COUNTA(F7:F46)</f>
        <v>5</v>
      </c>
    </row>
    <row r="4" spans="1:10">
      <c r="B4" s="10" t="s">
        <v>11</v>
      </c>
      <c r="C4" s="9">
        <f>COUNTA(G7:G16)</f>
        <v>5</v>
      </c>
    </row>
    <row r="5" spans="1:10">
      <c r="B5" s="8"/>
      <c r="C5" s="7"/>
    </row>
    <row r="6" spans="1:10" s="6" customFormat="1">
      <c r="A6" s="12" t="s">
        <v>4</v>
      </c>
      <c r="B6" s="12" t="s">
        <v>6</v>
      </c>
      <c r="C6" s="12" t="s">
        <v>7</v>
      </c>
      <c r="D6" s="12" t="s">
        <v>3</v>
      </c>
      <c r="E6" s="12" t="s">
        <v>2</v>
      </c>
      <c r="F6" s="12" t="s">
        <v>1</v>
      </c>
      <c r="G6" s="12" t="s">
        <v>0</v>
      </c>
      <c r="H6" s="18" t="s">
        <v>8</v>
      </c>
      <c r="I6" s="18"/>
      <c r="J6" s="18"/>
    </row>
    <row r="7" spans="1:10" s="1" customFormat="1" ht="37.5">
      <c r="A7" s="2">
        <f>ROW()-5</f>
        <v>2</v>
      </c>
      <c r="B7" s="5" t="s">
        <v>15</v>
      </c>
      <c r="C7" s="5" t="s">
        <v>13</v>
      </c>
      <c r="D7" s="5"/>
      <c r="E7" s="4"/>
      <c r="F7" s="3"/>
      <c r="G7" s="3"/>
      <c r="H7" s="2"/>
      <c r="I7" s="4"/>
      <c r="J7" s="4"/>
    </row>
    <row r="8" spans="1:10" s="1" customFormat="1">
      <c r="A8" s="2">
        <f t="shared" ref="A8:A16" si="0">ROW()-5</f>
        <v>3</v>
      </c>
      <c r="B8" s="5"/>
      <c r="C8" s="5" t="s">
        <v>12</v>
      </c>
      <c r="D8" s="5"/>
      <c r="E8" s="4"/>
      <c r="F8" s="3"/>
      <c r="G8" s="3"/>
      <c r="H8" s="2"/>
      <c r="I8" s="4"/>
      <c r="J8" s="4"/>
    </row>
    <row r="9" spans="1:10" s="1" customFormat="1" ht="75">
      <c r="A9" s="2">
        <f t="shared" si="0"/>
        <v>4</v>
      </c>
      <c r="B9" s="5"/>
      <c r="C9" s="5" t="s">
        <v>14</v>
      </c>
      <c r="D9" s="5"/>
      <c r="E9" s="4"/>
      <c r="F9" s="3"/>
      <c r="G9" s="3"/>
      <c r="H9" s="2"/>
      <c r="I9" s="4"/>
      <c r="J9" s="4"/>
    </row>
    <row r="10" spans="1:10" s="1" customFormat="1" ht="37.5">
      <c r="A10" s="2">
        <f t="shared" si="0"/>
        <v>5</v>
      </c>
      <c r="B10" s="5"/>
      <c r="C10" s="5" t="s">
        <v>39</v>
      </c>
      <c r="D10" s="5" t="s">
        <v>40</v>
      </c>
      <c r="E10" s="4" t="s">
        <v>68</v>
      </c>
      <c r="F10" s="3">
        <v>43728</v>
      </c>
      <c r="G10" s="3">
        <v>43731</v>
      </c>
      <c r="H10" s="2">
        <v>28</v>
      </c>
      <c r="I10" s="4"/>
      <c r="J10" s="4"/>
    </row>
    <row r="11" spans="1:10" s="1" customFormat="1">
      <c r="A11" s="2">
        <f t="shared" si="0"/>
        <v>6</v>
      </c>
      <c r="B11" s="5" t="s">
        <v>18</v>
      </c>
      <c r="C11" s="5" t="s">
        <v>19</v>
      </c>
      <c r="D11" s="5"/>
      <c r="E11" s="4"/>
      <c r="F11" s="3"/>
      <c r="G11" s="3"/>
      <c r="H11" s="2"/>
      <c r="I11" s="4"/>
      <c r="J11" s="4"/>
    </row>
    <row r="12" spans="1:10" s="1" customFormat="1">
      <c r="A12" s="2">
        <f t="shared" si="0"/>
        <v>7</v>
      </c>
      <c r="B12" s="5"/>
      <c r="C12" s="5" t="s">
        <v>20</v>
      </c>
      <c r="D12" s="5" t="s">
        <v>21</v>
      </c>
      <c r="E12" s="4" t="s">
        <v>68</v>
      </c>
      <c r="F12" s="3">
        <v>43728</v>
      </c>
      <c r="G12" s="3">
        <v>43728</v>
      </c>
      <c r="H12" s="2"/>
      <c r="I12" s="4"/>
      <c r="J12" s="4"/>
    </row>
    <row r="13" spans="1:10" s="1" customFormat="1" ht="37.5">
      <c r="A13" s="2">
        <f t="shared" si="0"/>
        <v>8</v>
      </c>
      <c r="B13" s="5" t="s">
        <v>17</v>
      </c>
      <c r="C13" s="5" t="s">
        <v>24</v>
      </c>
      <c r="D13" s="5"/>
      <c r="E13" s="4"/>
      <c r="F13" s="3"/>
      <c r="G13" s="3"/>
      <c r="H13" s="2"/>
      <c r="I13" s="4"/>
      <c r="J13" s="4"/>
    </row>
    <row r="14" spans="1:10" s="1" customFormat="1">
      <c r="A14" s="2">
        <f t="shared" si="0"/>
        <v>9</v>
      </c>
      <c r="B14" s="5"/>
      <c r="C14" s="5" t="s">
        <v>22</v>
      </c>
      <c r="D14" s="5" t="s">
        <v>41</v>
      </c>
      <c r="E14" s="4" t="s">
        <v>68</v>
      </c>
      <c r="F14" s="3">
        <v>43728</v>
      </c>
      <c r="G14" s="3">
        <v>43741</v>
      </c>
      <c r="H14" s="2">
        <v>29</v>
      </c>
      <c r="I14" s="4"/>
      <c r="J14" s="4"/>
    </row>
    <row r="15" spans="1:10" s="1" customFormat="1" ht="37.5">
      <c r="A15" s="2">
        <f t="shared" si="0"/>
        <v>10</v>
      </c>
      <c r="B15" s="5"/>
      <c r="C15" s="5"/>
      <c r="D15" s="5" t="s">
        <v>42</v>
      </c>
      <c r="E15" s="4" t="s">
        <v>68</v>
      </c>
      <c r="F15" s="3">
        <v>43741</v>
      </c>
      <c r="G15" s="3">
        <v>43741</v>
      </c>
      <c r="H15" s="2"/>
      <c r="I15" s="4"/>
      <c r="J15" s="4"/>
    </row>
    <row r="16" spans="1:10" s="1" customFormat="1" ht="37.5">
      <c r="A16" s="2">
        <f t="shared" si="0"/>
        <v>11</v>
      </c>
      <c r="B16" s="5"/>
      <c r="C16" s="5"/>
      <c r="D16" s="5" t="s">
        <v>23</v>
      </c>
      <c r="E16" s="4" t="s">
        <v>68</v>
      </c>
      <c r="F16" s="3">
        <v>43741</v>
      </c>
      <c r="G16" s="3">
        <v>43741</v>
      </c>
      <c r="H16" s="2"/>
      <c r="I16" s="4"/>
      <c r="J16" s="4"/>
    </row>
    <row r="18" spans="2:2">
      <c r="B18"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J48"/>
  <sheetViews>
    <sheetView workbookViewId="0">
      <selection activeCell="A30" sqref="A30:XFD32"/>
    </sheetView>
  </sheetViews>
  <sheetFormatPr defaultRowHeight="18.75"/>
  <cols>
    <col min="1" max="1" width="4.25" customWidth="1"/>
    <col min="2" max="2" width="30.75" customWidth="1"/>
    <col min="3" max="3" width="40.75" customWidth="1"/>
    <col min="4" max="4" width="50.75" customWidth="1"/>
    <col min="5" max="5" width="8.75" customWidth="1"/>
    <col min="6" max="6" width="10.25" customWidth="1"/>
    <col min="7" max="7" width="11.375" bestFit="1" customWidth="1"/>
    <col min="8" max="10" width="8.75" customWidth="1"/>
  </cols>
  <sheetData>
    <row r="1" spans="1:10">
      <c r="B1" s="10" t="s">
        <v>5</v>
      </c>
      <c r="C1" s="9" t="str">
        <f ca="1">RIGHT(CELL("filename",A2),LEN(CELL("filename",A2))-FIND("]",CELL("filename",A2)))</f>
        <v>商品一覧</v>
      </c>
      <c r="D1" s="7"/>
    </row>
    <row r="2" spans="1:10">
      <c r="B2" s="10" t="s">
        <v>9</v>
      </c>
      <c r="C2" s="9">
        <f>COUNTA(D7:D46)</f>
        <v>16</v>
      </c>
    </row>
    <row r="3" spans="1:10">
      <c r="B3" s="10" t="s">
        <v>67</v>
      </c>
      <c r="C3" s="9">
        <f>COUNTA(F7:F46)</f>
        <v>16</v>
      </c>
    </row>
    <row r="4" spans="1:10">
      <c r="B4" s="10" t="s">
        <v>11</v>
      </c>
      <c r="C4" s="9">
        <f>COUNTA(G7:G46)</f>
        <v>16</v>
      </c>
    </row>
    <row r="5" spans="1:10">
      <c r="B5" s="8"/>
      <c r="C5" s="7"/>
    </row>
    <row r="6" spans="1:10" s="6" customFormat="1">
      <c r="A6" s="12" t="s">
        <v>4</v>
      </c>
      <c r="B6" s="12" t="s">
        <v>6</v>
      </c>
      <c r="C6" s="12" t="s">
        <v>7</v>
      </c>
      <c r="D6" s="12" t="s">
        <v>3</v>
      </c>
      <c r="E6" s="12" t="s">
        <v>2</v>
      </c>
      <c r="F6" s="12" t="s">
        <v>1</v>
      </c>
      <c r="G6" s="12" t="s">
        <v>0</v>
      </c>
      <c r="H6" s="18" t="s">
        <v>8</v>
      </c>
      <c r="I6" s="18"/>
      <c r="J6" s="18"/>
    </row>
    <row r="7" spans="1:10" s="1" customFormat="1" ht="37.5">
      <c r="A7" s="2">
        <f>ROW()-5</f>
        <v>2</v>
      </c>
      <c r="B7" s="5" t="s">
        <v>15</v>
      </c>
      <c r="C7" s="5" t="s">
        <v>13</v>
      </c>
      <c r="D7" s="5"/>
      <c r="E7" s="4"/>
      <c r="F7" s="3"/>
      <c r="G7" s="3"/>
      <c r="H7" s="2"/>
      <c r="I7" s="4"/>
      <c r="J7" s="4"/>
    </row>
    <row r="8" spans="1:10" s="1" customFormat="1">
      <c r="A8" s="2">
        <f t="shared" ref="A8:A46" si="0">ROW()-5</f>
        <v>3</v>
      </c>
      <c r="B8" s="5"/>
      <c r="C8" s="5" t="s">
        <v>12</v>
      </c>
      <c r="D8" s="5"/>
      <c r="E8" s="4"/>
      <c r="F8" s="3"/>
      <c r="G8" s="3"/>
      <c r="H8" s="2"/>
      <c r="I8" s="4"/>
      <c r="J8" s="4"/>
    </row>
    <row r="9" spans="1:10" s="1" customFormat="1" ht="75">
      <c r="A9" s="2">
        <f t="shared" si="0"/>
        <v>4</v>
      </c>
      <c r="B9" s="5"/>
      <c r="C9" s="5" t="s">
        <v>14</v>
      </c>
      <c r="D9" s="5"/>
      <c r="E9" s="4"/>
      <c r="F9" s="3"/>
      <c r="G9" s="3"/>
      <c r="H9" s="2"/>
      <c r="I9" s="4"/>
      <c r="J9" s="4"/>
    </row>
    <row r="10" spans="1:10" s="1" customFormat="1" ht="37.5">
      <c r="A10" s="2">
        <f t="shared" si="0"/>
        <v>5</v>
      </c>
      <c r="B10" s="5"/>
      <c r="C10" s="5" t="s">
        <v>39</v>
      </c>
      <c r="D10" s="5"/>
      <c r="E10" s="4"/>
      <c r="F10" s="3"/>
      <c r="G10" s="3"/>
      <c r="H10" s="2"/>
      <c r="I10" s="4"/>
      <c r="J10" s="4"/>
    </row>
    <row r="11" spans="1:10" s="1" customFormat="1" ht="37.5">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t="s">
        <v>41</v>
      </c>
      <c r="E13" s="4" t="s">
        <v>68</v>
      </c>
      <c r="F13" s="3">
        <v>43741</v>
      </c>
      <c r="G13" s="3">
        <v>43741</v>
      </c>
      <c r="H13" s="2"/>
      <c r="I13" s="4"/>
      <c r="J13" s="4"/>
    </row>
    <row r="14" spans="1:10" s="1" customFormat="1" ht="37.5">
      <c r="A14" s="2">
        <f t="shared" si="0"/>
        <v>9</v>
      </c>
      <c r="B14" s="5"/>
      <c r="C14" s="5"/>
      <c r="D14" s="5" t="s">
        <v>42</v>
      </c>
      <c r="E14" s="4" t="s">
        <v>68</v>
      </c>
      <c r="F14" s="3">
        <v>43741</v>
      </c>
      <c r="G14" s="3">
        <v>43741</v>
      </c>
      <c r="H14" s="2"/>
      <c r="I14" s="4"/>
      <c r="J14" s="4"/>
    </row>
    <row r="15" spans="1:10" s="1" customFormat="1" ht="37.5">
      <c r="A15" s="2">
        <f t="shared" si="0"/>
        <v>10</v>
      </c>
      <c r="B15" s="5"/>
      <c r="C15" s="5"/>
      <c r="D15" s="5" t="s">
        <v>43</v>
      </c>
      <c r="E15" s="4" t="s">
        <v>68</v>
      </c>
      <c r="F15" s="3">
        <v>43741</v>
      </c>
      <c r="G15" s="3">
        <v>43741</v>
      </c>
      <c r="H15" s="2"/>
      <c r="I15" s="4"/>
      <c r="J15" s="4"/>
    </row>
    <row r="16" spans="1:10" s="1" customFormat="1" ht="37.5">
      <c r="A16" s="2">
        <f t="shared" si="0"/>
        <v>11</v>
      </c>
      <c r="B16" s="5"/>
      <c r="C16" s="5"/>
      <c r="D16" s="5" t="s">
        <v>44</v>
      </c>
      <c r="E16" s="4" t="s">
        <v>68</v>
      </c>
      <c r="F16" s="3">
        <v>43741</v>
      </c>
      <c r="G16" s="3">
        <v>43741</v>
      </c>
      <c r="H16" s="2"/>
      <c r="I16" s="4"/>
      <c r="J16" s="4"/>
    </row>
    <row r="17" spans="1:10" s="1" customFormat="1" ht="37.5">
      <c r="A17" s="2">
        <f t="shared" si="0"/>
        <v>12</v>
      </c>
      <c r="B17" s="5"/>
      <c r="C17" s="5"/>
      <c r="D17" s="5" t="s">
        <v>23</v>
      </c>
      <c r="E17" s="4" t="s">
        <v>68</v>
      </c>
      <c r="F17" s="3">
        <v>43741</v>
      </c>
      <c r="G17" s="3">
        <v>43741</v>
      </c>
      <c r="H17" s="2"/>
      <c r="I17" s="4"/>
      <c r="J17" s="4"/>
    </row>
    <row r="18" spans="1:10" s="1" customFormat="1">
      <c r="A18" s="2">
        <f t="shared" si="0"/>
        <v>13</v>
      </c>
      <c r="B18" s="5"/>
      <c r="C18" s="5"/>
      <c r="D18" s="15" t="s">
        <v>76</v>
      </c>
      <c r="E18" s="4" t="s">
        <v>79</v>
      </c>
      <c r="F18" s="3">
        <v>43746</v>
      </c>
      <c r="G18" s="3">
        <v>43746</v>
      </c>
      <c r="H18" s="2"/>
      <c r="I18" s="4"/>
      <c r="J18" s="4"/>
    </row>
    <row r="19" spans="1:10" s="1" customFormat="1" ht="37.5">
      <c r="A19" s="2">
        <f t="shared" si="0"/>
        <v>14</v>
      </c>
      <c r="B19" s="5"/>
      <c r="C19" s="5"/>
      <c r="D19" s="15" t="s">
        <v>74</v>
      </c>
      <c r="E19" s="4" t="s">
        <v>79</v>
      </c>
      <c r="F19" s="3">
        <v>43746</v>
      </c>
      <c r="G19" s="3">
        <v>43746</v>
      </c>
      <c r="H19" s="2"/>
      <c r="I19" s="4"/>
      <c r="J19" s="4"/>
    </row>
    <row r="20" spans="1:10" s="1" customFormat="1" ht="37.5">
      <c r="A20" s="2">
        <f t="shared" si="0"/>
        <v>15</v>
      </c>
      <c r="B20" s="5"/>
      <c r="C20" s="5"/>
      <c r="D20" s="15" t="s">
        <v>75</v>
      </c>
      <c r="E20" s="4" t="s">
        <v>79</v>
      </c>
      <c r="F20" s="3">
        <v>43746</v>
      </c>
      <c r="G20" s="3">
        <v>43746</v>
      </c>
      <c r="H20" s="2"/>
      <c r="I20" s="4"/>
      <c r="J20" s="4"/>
    </row>
    <row r="21" spans="1:10" s="1" customFormat="1" ht="56.25">
      <c r="A21" s="2">
        <f t="shared" si="0"/>
        <v>16</v>
      </c>
      <c r="B21" s="5"/>
      <c r="C21" s="5"/>
      <c r="D21" s="15" t="s">
        <v>77</v>
      </c>
      <c r="E21" s="4" t="s">
        <v>79</v>
      </c>
      <c r="F21" s="3">
        <v>43747</v>
      </c>
      <c r="G21" s="3">
        <v>43747</v>
      </c>
      <c r="H21" s="2"/>
      <c r="I21" s="4"/>
      <c r="J21" s="4"/>
    </row>
    <row r="22" spans="1:10" s="1" customFormat="1" ht="56.25">
      <c r="A22" s="2">
        <f t="shared" si="0"/>
        <v>17</v>
      </c>
      <c r="B22" s="5"/>
      <c r="C22" s="5"/>
      <c r="D22" s="15" t="s">
        <v>78</v>
      </c>
      <c r="E22" s="4" t="s">
        <v>79</v>
      </c>
      <c r="F22" s="3">
        <v>43746</v>
      </c>
      <c r="G22" s="3">
        <v>43746</v>
      </c>
      <c r="H22" s="2"/>
      <c r="I22" s="4"/>
      <c r="J22" s="4"/>
    </row>
    <row r="23" spans="1:10" s="1" customFormat="1">
      <c r="A23" s="2">
        <f t="shared" si="0"/>
        <v>18</v>
      </c>
      <c r="B23" s="5" t="s">
        <v>27</v>
      </c>
      <c r="C23" s="5" t="s">
        <v>28</v>
      </c>
      <c r="D23" s="5"/>
      <c r="E23" s="4"/>
      <c r="F23" s="3"/>
      <c r="G23" s="3"/>
      <c r="H23" s="2"/>
      <c r="I23" s="4"/>
      <c r="J23" s="4"/>
    </row>
    <row r="24" spans="1:10" s="1" customFormat="1" ht="37.5">
      <c r="A24" s="2">
        <f t="shared" si="0"/>
        <v>19</v>
      </c>
      <c r="B24" s="5"/>
      <c r="C24" s="5" t="s">
        <v>29</v>
      </c>
      <c r="D24" s="5" t="s">
        <v>45</v>
      </c>
      <c r="E24" s="4" t="s">
        <v>80</v>
      </c>
      <c r="F24" s="3">
        <v>43768</v>
      </c>
      <c r="G24" s="3">
        <v>43768</v>
      </c>
      <c r="H24" s="2"/>
      <c r="I24" s="4"/>
      <c r="J24" s="4"/>
    </row>
    <row r="25" spans="1:10" s="1" customFormat="1" ht="56.25">
      <c r="A25" s="2">
        <f t="shared" si="0"/>
        <v>20</v>
      </c>
      <c r="B25" s="5" t="s">
        <v>69</v>
      </c>
      <c r="C25" s="5" t="s">
        <v>71</v>
      </c>
      <c r="D25" s="5" t="s">
        <v>70</v>
      </c>
      <c r="E25" s="4" t="s">
        <v>80</v>
      </c>
      <c r="F25" s="3">
        <v>43768</v>
      </c>
      <c r="G25" s="3">
        <v>43768</v>
      </c>
      <c r="H25" s="2"/>
      <c r="I25" s="4"/>
      <c r="J25" s="4"/>
    </row>
    <row r="26" spans="1:10" s="1" customFormat="1">
      <c r="A26" s="2">
        <f t="shared" si="0"/>
        <v>21</v>
      </c>
      <c r="B26" s="5"/>
      <c r="C26" s="5" t="s">
        <v>72</v>
      </c>
      <c r="D26" s="5" t="s">
        <v>73</v>
      </c>
      <c r="E26" s="4" t="s">
        <v>80</v>
      </c>
      <c r="F26" s="3">
        <v>43768</v>
      </c>
      <c r="G26" s="3">
        <v>43768</v>
      </c>
      <c r="H26" s="2"/>
      <c r="I26" s="4"/>
      <c r="J26" s="4"/>
    </row>
    <row r="27" spans="1:10" s="1" customFormat="1" ht="37.5">
      <c r="A27" s="2">
        <f t="shared" si="0"/>
        <v>22</v>
      </c>
      <c r="B27" s="5" t="s">
        <v>30</v>
      </c>
      <c r="C27" s="5" t="s">
        <v>31</v>
      </c>
      <c r="D27" s="5" t="s">
        <v>46</v>
      </c>
      <c r="E27" s="4" t="s">
        <v>68</v>
      </c>
      <c r="F27" s="3">
        <v>43741</v>
      </c>
      <c r="G27" s="3">
        <v>43741</v>
      </c>
      <c r="H27" s="2"/>
      <c r="I27" s="4"/>
      <c r="J27" s="4"/>
    </row>
    <row r="28" spans="1:10" s="1" customFormat="1" ht="37.5">
      <c r="A28" s="2">
        <f t="shared" si="0"/>
        <v>23</v>
      </c>
      <c r="B28" s="5"/>
      <c r="C28" s="5"/>
      <c r="D28" s="5" t="s">
        <v>32</v>
      </c>
      <c r="E28" s="4" t="s">
        <v>68</v>
      </c>
      <c r="F28" s="3">
        <v>43741</v>
      </c>
      <c r="G28" s="3">
        <v>43741</v>
      </c>
      <c r="H28" s="2"/>
      <c r="I28" s="4"/>
      <c r="J28" s="4"/>
    </row>
    <row r="29" spans="1:10" s="1" customFormat="1">
      <c r="A29" s="2">
        <f t="shared" si="0"/>
        <v>24</v>
      </c>
      <c r="B29" s="5"/>
      <c r="C29" s="5" t="s">
        <v>47</v>
      </c>
      <c r="D29" s="5" t="s">
        <v>48</v>
      </c>
      <c r="E29" s="4" t="s">
        <v>68</v>
      </c>
      <c r="F29" s="3">
        <v>43741</v>
      </c>
      <c r="G29" s="3">
        <v>43741</v>
      </c>
      <c r="H29" s="2"/>
      <c r="I29" s="4"/>
      <c r="J29" s="4"/>
    </row>
    <row r="30" spans="1:10" s="1" customFormat="1">
      <c r="A30" s="2">
        <f t="shared" si="0"/>
        <v>25</v>
      </c>
      <c r="B30" s="5"/>
      <c r="C30" s="5"/>
      <c r="D30" s="5"/>
      <c r="E30" s="4"/>
      <c r="F30" s="3"/>
      <c r="G30" s="3"/>
      <c r="H30" s="2"/>
      <c r="I30" s="4"/>
      <c r="J30" s="4"/>
    </row>
    <row r="31" spans="1:10" s="1" customFormat="1">
      <c r="A31" s="2">
        <f t="shared" si="0"/>
        <v>26</v>
      </c>
      <c r="B31" s="5"/>
      <c r="C31" s="11"/>
      <c r="D31" s="5"/>
      <c r="E31" s="4"/>
      <c r="F31" s="3"/>
      <c r="G31" s="3"/>
      <c r="H31" s="2"/>
      <c r="I31" s="4"/>
      <c r="J31" s="4"/>
    </row>
    <row r="32" spans="1:10" s="1" customFormat="1">
      <c r="A32" s="2">
        <f t="shared" si="0"/>
        <v>27</v>
      </c>
      <c r="B32" s="5"/>
      <c r="C32" s="5"/>
      <c r="D32" s="5"/>
      <c r="E32" s="4"/>
      <c r="F32" s="3"/>
      <c r="G32" s="3"/>
      <c r="H32" s="2"/>
      <c r="I32" s="4"/>
      <c r="J32" s="4"/>
    </row>
    <row r="33" spans="1:10" s="1" customFormat="1">
      <c r="A33" s="2">
        <f t="shared" si="0"/>
        <v>28</v>
      </c>
      <c r="B33" s="5"/>
      <c r="C33" s="11"/>
      <c r="D33" s="5"/>
      <c r="E33" s="4"/>
      <c r="F33" s="3"/>
      <c r="G33" s="3"/>
      <c r="H33" s="2"/>
      <c r="I33" s="4"/>
      <c r="J33" s="4"/>
    </row>
    <row r="34" spans="1:10" s="1" customFormat="1">
      <c r="A34" s="2">
        <f t="shared" si="0"/>
        <v>29</v>
      </c>
      <c r="B34" s="5"/>
      <c r="C34" s="5"/>
      <c r="D34" s="5"/>
      <c r="E34" s="4"/>
      <c r="F34" s="3"/>
      <c r="G34" s="3"/>
      <c r="H34" s="2"/>
      <c r="I34" s="4"/>
      <c r="J34" s="4"/>
    </row>
    <row r="35" spans="1:10" s="1" customFormat="1">
      <c r="A35" s="2">
        <f t="shared" si="0"/>
        <v>30</v>
      </c>
      <c r="B35" s="5"/>
      <c r="C35" s="11"/>
      <c r="D35" s="5"/>
      <c r="E35" s="4"/>
      <c r="F35" s="3"/>
      <c r="G35" s="3"/>
      <c r="H35" s="2"/>
      <c r="I35" s="4"/>
      <c r="J35" s="4"/>
    </row>
    <row r="36" spans="1:10" s="1" customFormat="1">
      <c r="A36" s="2">
        <f t="shared" si="0"/>
        <v>31</v>
      </c>
      <c r="B36" s="5"/>
      <c r="C36" s="5"/>
      <c r="D36" s="5"/>
      <c r="E36" s="4"/>
      <c r="F36" s="3"/>
      <c r="G36" s="3"/>
      <c r="H36" s="2"/>
      <c r="I36" s="4"/>
      <c r="J36" s="4"/>
    </row>
    <row r="37" spans="1:10" s="1" customFormat="1">
      <c r="A37" s="2">
        <f t="shared" si="0"/>
        <v>32</v>
      </c>
      <c r="B37" s="5"/>
      <c r="C37" s="11"/>
      <c r="D37" s="5"/>
      <c r="E37" s="4"/>
      <c r="F37" s="3"/>
      <c r="G37" s="3"/>
      <c r="H37" s="2"/>
      <c r="I37" s="4"/>
      <c r="J37" s="4"/>
    </row>
    <row r="38" spans="1:10" s="1" customFormat="1">
      <c r="A38" s="2">
        <f t="shared" si="0"/>
        <v>33</v>
      </c>
      <c r="B38" s="5"/>
      <c r="C38" s="5"/>
      <c r="D38" s="5"/>
      <c r="E38" s="4"/>
      <c r="F38" s="3"/>
      <c r="G38" s="3"/>
      <c r="H38" s="2"/>
      <c r="I38" s="4"/>
      <c r="J38" s="4"/>
    </row>
    <row r="39" spans="1:10" s="1" customFormat="1">
      <c r="A39" s="2">
        <f t="shared" si="0"/>
        <v>34</v>
      </c>
      <c r="B39" s="5"/>
      <c r="C39" s="11"/>
      <c r="D39" s="5"/>
      <c r="E39" s="4"/>
      <c r="F39" s="3"/>
      <c r="G39" s="3"/>
      <c r="H39" s="2"/>
      <c r="I39" s="4"/>
      <c r="J39" s="4"/>
    </row>
    <row r="40" spans="1:10" s="1" customFormat="1">
      <c r="A40" s="2">
        <f t="shared" si="0"/>
        <v>35</v>
      </c>
      <c r="B40" s="5"/>
      <c r="C40" s="5"/>
      <c r="D40" s="5"/>
      <c r="E40" s="4"/>
      <c r="F40" s="3"/>
      <c r="G40" s="3"/>
      <c r="H40" s="2"/>
      <c r="I40" s="4"/>
      <c r="J40" s="4"/>
    </row>
    <row r="41" spans="1:10" s="1" customFormat="1">
      <c r="A41" s="2">
        <f t="shared" si="0"/>
        <v>36</v>
      </c>
      <c r="B41" s="5"/>
      <c r="C41" s="11"/>
      <c r="D41" s="5"/>
      <c r="E41" s="4"/>
      <c r="F41" s="3"/>
      <c r="G41" s="3"/>
      <c r="H41" s="2"/>
      <c r="I41" s="4"/>
      <c r="J41" s="4"/>
    </row>
    <row r="42" spans="1:10" s="1" customFormat="1">
      <c r="A42" s="2">
        <f t="shared" si="0"/>
        <v>37</v>
      </c>
      <c r="B42" s="5"/>
      <c r="C42" s="5"/>
      <c r="D42" s="5"/>
      <c r="E42" s="4"/>
      <c r="F42" s="3"/>
      <c r="G42" s="3"/>
      <c r="H42" s="2"/>
      <c r="I42" s="4"/>
      <c r="J42" s="4"/>
    </row>
    <row r="43" spans="1:10" s="1" customFormat="1">
      <c r="A43" s="2">
        <f t="shared" si="0"/>
        <v>38</v>
      </c>
      <c r="B43" s="5"/>
      <c r="C43" s="11"/>
      <c r="D43" s="5"/>
      <c r="E43" s="4"/>
      <c r="F43" s="3"/>
      <c r="G43" s="3"/>
      <c r="H43" s="2"/>
      <c r="I43" s="4"/>
      <c r="J43" s="4"/>
    </row>
    <row r="44" spans="1:10" s="1" customFormat="1">
      <c r="A44" s="2">
        <f t="shared" si="0"/>
        <v>39</v>
      </c>
      <c r="B44" s="5"/>
      <c r="C44" s="5"/>
      <c r="D44" s="5"/>
      <c r="E44" s="4"/>
      <c r="F44" s="3"/>
      <c r="G44" s="3"/>
      <c r="H44" s="2"/>
      <c r="I44" s="4"/>
      <c r="J44" s="4"/>
    </row>
    <row r="45" spans="1:10" s="1" customFormat="1">
      <c r="A45" s="2">
        <f t="shared" si="0"/>
        <v>40</v>
      </c>
      <c r="B45" s="5"/>
      <c r="C45" s="11"/>
      <c r="D45" s="5"/>
      <c r="E45" s="4"/>
      <c r="F45" s="3"/>
      <c r="G45" s="3"/>
      <c r="H45" s="2"/>
      <c r="I45" s="4"/>
      <c r="J45" s="4"/>
    </row>
    <row r="46" spans="1:10" s="1" customFormat="1">
      <c r="A46" s="2">
        <f t="shared" si="0"/>
        <v>41</v>
      </c>
      <c r="B46" s="5"/>
      <c r="C46" s="5"/>
      <c r="D46" s="5"/>
      <c r="E46" s="4"/>
      <c r="F46" s="3"/>
      <c r="G46" s="3"/>
      <c r="H46" s="2"/>
      <c r="I46" s="4"/>
      <c r="J46" s="4"/>
    </row>
    <row r="48" spans="1:10">
      <c r="B48"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J25"/>
  <sheetViews>
    <sheetView workbookViewId="0">
      <selection activeCell="C12" sqref="C12"/>
    </sheetView>
  </sheetViews>
  <sheetFormatPr defaultRowHeight="18.75"/>
  <cols>
    <col min="1" max="1" width="4.25" customWidth="1"/>
    <col min="2" max="2" width="30.75" customWidth="1"/>
    <col min="3" max="3" width="40.75" customWidth="1"/>
    <col min="4" max="4" width="50.75" customWidth="1"/>
    <col min="5" max="5" width="8.75" customWidth="1"/>
    <col min="6" max="6" width="10.25" customWidth="1"/>
    <col min="7" max="7" width="10.25" bestFit="1" customWidth="1"/>
    <col min="8" max="10" width="8.75" customWidth="1"/>
  </cols>
  <sheetData>
    <row r="1" spans="1:10">
      <c r="B1" s="10" t="s">
        <v>5</v>
      </c>
      <c r="C1" s="9" t="str">
        <f ca="1">RIGHT(CELL("filename",A2),LEN(CELL("filename",A2))-FIND("]",CELL("filename",A2)))</f>
        <v>商品詳細</v>
      </c>
      <c r="D1" s="7"/>
    </row>
    <row r="2" spans="1:10">
      <c r="B2" s="10" t="s">
        <v>9</v>
      </c>
      <c r="C2" s="9">
        <f>COUNTA(D7:D23)</f>
        <v>5</v>
      </c>
    </row>
    <row r="3" spans="1:10">
      <c r="B3" s="10" t="s">
        <v>67</v>
      </c>
      <c r="C3" s="9">
        <f>COUNTA(F7:F34)</f>
        <v>5</v>
      </c>
    </row>
    <row r="4" spans="1:10">
      <c r="B4" s="10" t="s">
        <v>11</v>
      </c>
      <c r="C4" s="9">
        <f>COUNTA(G7:G23)</f>
        <v>5</v>
      </c>
    </row>
    <row r="5" spans="1:10">
      <c r="B5" s="8"/>
      <c r="C5" s="7"/>
    </row>
    <row r="6" spans="1:10" s="6" customFormat="1">
      <c r="A6" s="12" t="s">
        <v>4</v>
      </c>
      <c r="B6" s="12" t="s">
        <v>6</v>
      </c>
      <c r="C6" s="12" t="s">
        <v>7</v>
      </c>
      <c r="D6" s="12" t="s">
        <v>3</v>
      </c>
      <c r="E6" s="12" t="s">
        <v>2</v>
      </c>
      <c r="F6" s="12" t="s">
        <v>1</v>
      </c>
      <c r="G6" s="12" t="s">
        <v>0</v>
      </c>
      <c r="H6" s="18" t="s">
        <v>8</v>
      </c>
      <c r="I6" s="18"/>
      <c r="J6" s="18"/>
    </row>
    <row r="7" spans="1:10" s="1" customFormat="1" ht="37.5">
      <c r="A7" s="2">
        <f>ROW()-5</f>
        <v>2</v>
      </c>
      <c r="B7" s="5" t="s">
        <v>15</v>
      </c>
      <c r="C7" s="5" t="s">
        <v>13</v>
      </c>
      <c r="D7" s="5"/>
      <c r="E7" s="4"/>
      <c r="F7" s="3"/>
      <c r="G7" s="3"/>
      <c r="H7" s="2"/>
      <c r="I7" s="4"/>
      <c r="J7" s="4"/>
    </row>
    <row r="8" spans="1:10" s="1" customFormat="1">
      <c r="A8" s="2">
        <f t="shared" ref="A8:A23" si="0">ROW()-5</f>
        <v>3</v>
      </c>
      <c r="B8" s="5"/>
      <c r="C8" s="5" t="s">
        <v>12</v>
      </c>
      <c r="D8" s="5"/>
      <c r="E8" s="4"/>
      <c r="F8" s="3"/>
      <c r="G8" s="3"/>
      <c r="H8" s="2"/>
      <c r="I8" s="4"/>
      <c r="J8" s="4"/>
    </row>
    <row r="9" spans="1:10" s="1" customFormat="1" ht="75">
      <c r="A9" s="2">
        <f t="shared" si="0"/>
        <v>4</v>
      </c>
      <c r="B9" s="5"/>
      <c r="C9" s="5" t="s">
        <v>14</v>
      </c>
      <c r="D9" s="5"/>
      <c r="E9" s="4"/>
      <c r="F9" s="3"/>
      <c r="G9" s="3"/>
      <c r="H9" s="2"/>
      <c r="I9" s="4"/>
      <c r="J9" s="4"/>
    </row>
    <row r="10" spans="1:10" s="1" customFormat="1" ht="37.5">
      <c r="A10" s="2">
        <f t="shared" si="0"/>
        <v>5</v>
      </c>
      <c r="B10" s="5"/>
      <c r="C10" s="5" t="s">
        <v>39</v>
      </c>
      <c r="D10" s="5"/>
      <c r="E10" s="4"/>
      <c r="F10" s="3"/>
      <c r="G10" s="3"/>
      <c r="H10" s="2"/>
      <c r="I10" s="4"/>
      <c r="J10" s="4"/>
    </row>
    <row r="11" spans="1:10" s="1" customFormat="1" ht="37.5">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c r="E13" s="4"/>
      <c r="F13" s="3"/>
      <c r="G13" s="3"/>
      <c r="H13" s="2"/>
      <c r="I13" s="4"/>
      <c r="J13" s="4"/>
    </row>
    <row r="14" spans="1:10" s="1" customFormat="1">
      <c r="A14" s="2">
        <f t="shared" si="0"/>
        <v>9</v>
      </c>
      <c r="B14" s="5"/>
      <c r="C14" s="5" t="s">
        <v>49</v>
      </c>
      <c r="D14" s="5" t="s">
        <v>46</v>
      </c>
      <c r="E14" s="4" t="s">
        <v>68</v>
      </c>
      <c r="F14" s="3">
        <v>43741</v>
      </c>
      <c r="G14" s="3">
        <v>43741</v>
      </c>
      <c r="H14" s="2"/>
      <c r="I14" s="4"/>
      <c r="J14" s="4"/>
    </row>
    <row r="15" spans="1:10" s="1" customFormat="1" ht="37.5">
      <c r="A15" s="2">
        <f t="shared" si="0"/>
        <v>10</v>
      </c>
      <c r="B15" s="5"/>
      <c r="C15" s="5"/>
      <c r="D15" s="5" t="s">
        <v>32</v>
      </c>
      <c r="E15" s="4" t="s">
        <v>68</v>
      </c>
      <c r="F15" s="3">
        <v>43741</v>
      </c>
      <c r="G15" s="3">
        <v>43741</v>
      </c>
      <c r="H15" s="2"/>
      <c r="I15" s="4"/>
      <c r="J15" s="4"/>
    </row>
    <row r="16" spans="1:10" s="1" customFormat="1">
      <c r="A16" s="2">
        <f t="shared" si="0"/>
        <v>11</v>
      </c>
      <c r="B16" s="5"/>
      <c r="C16" s="5"/>
      <c r="D16" s="5" t="s">
        <v>33</v>
      </c>
      <c r="E16" s="4" t="s">
        <v>68</v>
      </c>
      <c r="F16" s="3">
        <v>43741</v>
      </c>
      <c r="G16" s="3">
        <v>43741</v>
      </c>
      <c r="H16" s="2"/>
      <c r="I16" s="4"/>
      <c r="J16" s="4"/>
    </row>
    <row r="17" spans="1:10" s="1" customFormat="1">
      <c r="A17" s="2">
        <f t="shared" si="0"/>
        <v>12</v>
      </c>
      <c r="B17" s="5" t="s">
        <v>35</v>
      </c>
      <c r="C17" s="13" t="s">
        <v>16</v>
      </c>
      <c r="D17" s="16" t="s">
        <v>50</v>
      </c>
      <c r="E17" s="4" t="s">
        <v>68</v>
      </c>
      <c r="F17" s="3">
        <v>43741</v>
      </c>
      <c r="G17" s="3">
        <v>43741</v>
      </c>
      <c r="H17" s="2"/>
      <c r="I17" s="4"/>
      <c r="J17" s="4"/>
    </row>
    <row r="18" spans="1:10" s="1" customFormat="1">
      <c r="A18" s="2">
        <f t="shared" si="0"/>
        <v>13</v>
      </c>
      <c r="B18" s="5"/>
      <c r="C18" s="5"/>
      <c r="D18" s="16" t="s">
        <v>51</v>
      </c>
      <c r="E18" s="4" t="s">
        <v>68</v>
      </c>
      <c r="F18" s="3">
        <v>43741</v>
      </c>
      <c r="G18" s="3">
        <v>43741</v>
      </c>
      <c r="H18" s="2"/>
      <c r="I18" s="4"/>
      <c r="J18" s="4"/>
    </row>
    <row r="19" spans="1:10" s="1" customFormat="1">
      <c r="A19" s="2">
        <f t="shared" si="0"/>
        <v>14</v>
      </c>
      <c r="B19" s="5"/>
      <c r="C19" s="11"/>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5"/>
      <c r="D21" s="5"/>
      <c r="E21" s="4"/>
      <c r="F21" s="3"/>
      <c r="G21" s="3"/>
      <c r="H21" s="2"/>
      <c r="I21" s="4"/>
      <c r="J21" s="4"/>
    </row>
    <row r="22" spans="1:10" s="1" customFormat="1">
      <c r="A22" s="2">
        <f t="shared" si="0"/>
        <v>17</v>
      </c>
      <c r="B22" s="5"/>
      <c r="C22" s="11"/>
      <c r="D22" s="5"/>
      <c r="E22" s="4"/>
      <c r="F22" s="3"/>
      <c r="G22" s="3"/>
      <c r="H22" s="2"/>
      <c r="I22" s="4"/>
      <c r="J22" s="4"/>
    </row>
    <row r="23" spans="1:10" s="1" customFormat="1">
      <c r="A23" s="2">
        <f t="shared" si="0"/>
        <v>18</v>
      </c>
      <c r="B23" s="5"/>
      <c r="C23" s="5"/>
      <c r="D23" s="5"/>
      <c r="E23" s="4"/>
      <c r="F23" s="3"/>
      <c r="G23" s="3"/>
      <c r="H23" s="2"/>
      <c r="I23" s="4"/>
      <c r="J23" s="4"/>
    </row>
    <row r="25" spans="1:10">
      <c r="B25"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J36"/>
  <sheetViews>
    <sheetView tabSelected="1" workbookViewId="0">
      <selection activeCell="D2" sqref="D2"/>
    </sheetView>
  </sheetViews>
  <sheetFormatPr defaultRowHeight="18.75"/>
  <cols>
    <col min="1" max="1" width="4.25" customWidth="1"/>
    <col min="2" max="2" width="30.75" customWidth="1"/>
    <col min="3" max="3" width="40.75" customWidth="1"/>
    <col min="4" max="4" width="50.75" customWidth="1"/>
    <col min="5" max="5" width="8.75" customWidth="1"/>
    <col min="6" max="6" width="10.25" customWidth="1"/>
    <col min="7" max="7" width="10.5" bestFit="1" customWidth="1"/>
    <col min="8" max="10" width="8.75" customWidth="1"/>
  </cols>
  <sheetData>
    <row r="1" spans="1:10">
      <c r="B1" s="10" t="s">
        <v>5</v>
      </c>
      <c r="C1" s="9" t="str">
        <f ca="1">RIGHT(CELL("filename",A2),LEN(CELL("filename",A2))-FIND("]",CELL("filename",A2)))</f>
        <v>商品修正</v>
      </c>
      <c r="D1" s="7"/>
    </row>
    <row r="2" spans="1:10">
      <c r="B2" s="10" t="s">
        <v>9</v>
      </c>
      <c r="C2" s="9">
        <f>COUNTA(D7:D34)</f>
        <v>0</v>
      </c>
    </row>
    <row r="3" spans="1:10">
      <c r="B3" s="10" t="s">
        <v>67</v>
      </c>
      <c r="C3" s="9">
        <f>COUNTA(F7:F34)</f>
        <v>0</v>
      </c>
    </row>
    <row r="4" spans="1:10">
      <c r="B4" s="10" t="s">
        <v>11</v>
      </c>
      <c r="C4" s="9">
        <f>COUNTA(G7:G34)</f>
        <v>0</v>
      </c>
    </row>
    <row r="5" spans="1:10">
      <c r="B5" s="8"/>
      <c r="C5" s="7"/>
    </row>
    <row r="6" spans="1:10" s="6" customFormat="1">
      <c r="A6" s="17" t="s">
        <v>4</v>
      </c>
      <c r="B6" s="17" t="s">
        <v>6</v>
      </c>
      <c r="C6" s="17" t="s">
        <v>7</v>
      </c>
      <c r="D6" s="17" t="s">
        <v>3</v>
      </c>
      <c r="E6" s="17" t="s">
        <v>2</v>
      </c>
      <c r="F6" s="17" t="s">
        <v>1</v>
      </c>
      <c r="G6" s="17" t="s">
        <v>0</v>
      </c>
      <c r="H6" s="18" t="s">
        <v>8</v>
      </c>
      <c r="I6" s="18"/>
      <c r="J6" s="18"/>
    </row>
    <row r="7" spans="1:10" s="1" customFormat="1" ht="37.5">
      <c r="A7" s="2">
        <f>ROW()-5</f>
        <v>2</v>
      </c>
      <c r="B7" s="5" t="s">
        <v>15</v>
      </c>
      <c r="C7" s="5" t="s">
        <v>13</v>
      </c>
      <c r="D7" s="5"/>
      <c r="E7" s="4"/>
      <c r="F7" s="3"/>
      <c r="G7" s="3"/>
      <c r="H7" s="2"/>
      <c r="I7" s="4"/>
      <c r="J7" s="4"/>
    </row>
    <row r="8" spans="1:10" s="1" customFormat="1">
      <c r="A8" s="2">
        <f t="shared" ref="A8:A34" si="0">ROW()-5</f>
        <v>3</v>
      </c>
      <c r="B8" s="5"/>
      <c r="C8" s="5" t="s">
        <v>12</v>
      </c>
      <c r="D8" s="5"/>
      <c r="E8" s="4"/>
      <c r="F8" s="3"/>
      <c r="G8" s="3"/>
      <c r="H8" s="2"/>
      <c r="I8" s="4"/>
      <c r="J8" s="4"/>
    </row>
    <row r="9" spans="1:10" s="1" customFormat="1" ht="75">
      <c r="A9" s="2">
        <f t="shared" si="0"/>
        <v>4</v>
      </c>
      <c r="B9" s="5"/>
      <c r="C9" s="5" t="s">
        <v>14</v>
      </c>
      <c r="D9" s="5"/>
      <c r="E9" s="4"/>
      <c r="F9" s="3"/>
      <c r="G9" s="3"/>
      <c r="H9" s="2"/>
      <c r="I9" s="4"/>
      <c r="J9" s="4"/>
    </row>
    <row r="10" spans="1:10" s="1" customFormat="1" ht="37.5">
      <c r="A10" s="2">
        <f t="shared" si="0"/>
        <v>5</v>
      </c>
      <c r="B10" s="5"/>
      <c r="C10" s="5" t="s">
        <v>39</v>
      </c>
      <c r="D10" s="5"/>
      <c r="E10" s="4"/>
      <c r="F10" s="3"/>
      <c r="G10" s="3"/>
      <c r="H10" s="2"/>
      <c r="I10" s="4"/>
      <c r="J10" s="4"/>
    </row>
    <row r="11" spans="1:10" s="1" customFormat="1" ht="37.5">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c r="E13" s="4"/>
      <c r="F13" s="3"/>
      <c r="G13" s="3"/>
      <c r="H13" s="2"/>
      <c r="I13" s="4"/>
      <c r="J13" s="4"/>
    </row>
    <row r="14" spans="1:10" s="1" customFormat="1">
      <c r="A14" s="2">
        <f t="shared" si="0"/>
        <v>9</v>
      </c>
      <c r="B14" s="5"/>
      <c r="C14" s="5" t="s">
        <v>52</v>
      </c>
      <c r="D14" s="5"/>
      <c r="E14" s="4"/>
      <c r="F14" s="3"/>
      <c r="G14" s="3"/>
      <c r="H14" s="2"/>
      <c r="I14" s="4"/>
      <c r="J14" s="4"/>
    </row>
    <row r="15" spans="1:10" s="1" customFormat="1">
      <c r="A15" s="2">
        <f t="shared" si="0"/>
        <v>10</v>
      </c>
      <c r="B15" s="5"/>
      <c r="C15" s="5"/>
      <c r="D15" s="5"/>
      <c r="E15" s="4"/>
      <c r="F15" s="3"/>
      <c r="G15" s="3"/>
      <c r="H15" s="2"/>
      <c r="I15" s="4"/>
      <c r="J15" s="4"/>
    </row>
    <row r="16" spans="1:10" s="1" customFormat="1">
      <c r="A16" s="2">
        <f t="shared" si="0"/>
        <v>11</v>
      </c>
      <c r="B16" s="5"/>
      <c r="C16" s="5"/>
      <c r="D16" s="5"/>
      <c r="E16" s="4"/>
      <c r="F16" s="3"/>
      <c r="G16" s="3"/>
      <c r="H16" s="2"/>
      <c r="I16" s="4"/>
      <c r="J16" s="4"/>
    </row>
    <row r="17" spans="1:10" s="1" customFormat="1" ht="37.5">
      <c r="A17" s="2">
        <f t="shared" si="0"/>
        <v>12</v>
      </c>
      <c r="B17" s="5" t="s">
        <v>53</v>
      </c>
      <c r="C17" s="13" t="s">
        <v>54</v>
      </c>
      <c r="D17" s="5"/>
      <c r="E17" s="4"/>
      <c r="F17" s="3"/>
      <c r="G17" s="3"/>
      <c r="H17" s="2"/>
      <c r="I17" s="4"/>
      <c r="J17" s="4"/>
    </row>
    <row r="18" spans="1:10" s="1" customFormat="1">
      <c r="A18" s="2">
        <f t="shared" si="0"/>
        <v>13</v>
      </c>
      <c r="B18" s="5" t="s">
        <v>18</v>
      </c>
      <c r="C18" s="5" t="s">
        <v>20</v>
      </c>
      <c r="D18" s="5"/>
      <c r="E18" s="4"/>
      <c r="F18" s="3"/>
      <c r="G18" s="3"/>
      <c r="H18" s="2"/>
      <c r="I18" s="4"/>
      <c r="J18" s="4"/>
    </row>
    <row r="19" spans="1:10" s="1" customFormat="1">
      <c r="A19" s="2">
        <f t="shared" si="0"/>
        <v>14</v>
      </c>
      <c r="B19" s="5" t="s">
        <v>55</v>
      </c>
      <c r="C19" s="13" t="s">
        <v>56</v>
      </c>
      <c r="D19" s="5"/>
      <c r="E19" s="4"/>
      <c r="F19" s="3"/>
      <c r="G19" s="3"/>
      <c r="H19" s="2"/>
      <c r="I19" s="4"/>
      <c r="J19" s="4"/>
    </row>
    <row r="20" spans="1:10" s="1" customFormat="1">
      <c r="A20" s="2">
        <f t="shared" si="0"/>
        <v>15</v>
      </c>
      <c r="B20" s="5"/>
      <c r="C20" s="13" t="s">
        <v>34</v>
      </c>
      <c r="D20" s="5"/>
      <c r="E20" s="4"/>
      <c r="F20" s="3"/>
      <c r="G20" s="3"/>
      <c r="H20" s="2"/>
      <c r="I20" s="4"/>
      <c r="J20" s="4"/>
    </row>
    <row r="21" spans="1:10" s="1" customFormat="1">
      <c r="A21" s="2">
        <f t="shared" si="0"/>
        <v>16</v>
      </c>
      <c r="B21" s="5"/>
      <c r="C21" s="13"/>
      <c r="D21" s="5"/>
      <c r="E21" s="4"/>
      <c r="F21" s="3"/>
      <c r="G21" s="3"/>
      <c r="H21" s="2"/>
      <c r="I21" s="4"/>
      <c r="J21" s="4"/>
    </row>
    <row r="22" spans="1:10" s="1" customFormat="1">
      <c r="A22" s="2">
        <f t="shared" si="0"/>
        <v>17</v>
      </c>
      <c r="B22" s="5"/>
      <c r="C22" s="13" t="s">
        <v>57</v>
      </c>
      <c r="D22" s="5"/>
      <c r="E22" s="4"/>
      <c r="F22" s="3"/>
      <c r="G22" s="3"/>
      <c r="H22" s="2"/>
      <c r="I22" s="4"/>
      <c r="J22" s="4"/>
    </row>
    <row r="23" spans="1:10" s="1" customFormat="1">
      <c r="A23" s="2">
        <f t="shared" si="0"/>
        <v>18</v>
      </c>
      <c r="B23" s="5"/>
      <c r="C23" s="13" t="s">
        <v>58</v>
      </c>
      <c r="D23" s="5"/>
      <c r="E23" s="4"/>
      <c r="F23" s="3"/>
      <c r="G23" s="3"/>
      <c r="H23" s="2"/>
      <c r="I23" s="4"/>
      <c r="J23" s="4"/>
    </row>
    <row r="24" spans="1:10" s="1" customFormat="1">
      <c r="A24" s="2">
        <f t="shared" si="0"/>
        <v>19</v>
      </c>
      <c r="B24" s="5"/>
      <c r="C24" s="13" t="s">
        <v>59</v>
      </c>
      <c r="D24" s="5"/>
      <c r="E24" s="4"/>
      <c r="F24" s="3"/>
      <c r="G24" s="3"/>
      <c r="H24" s="2"/>
      <c r="I24" s="4"/>
      <c r="J24" s="4"/>
    </row>
    <row r="25" spans="1:10" s="1" customFormat="1">
      <c r="A25" s="2">
        <f t="shared" si="0"/>
        <v>20</v>
      </c>
      <c r="B25" s="5"/>
      <c r="C25" s="13"/>
      <c r="D25" s="5"/>
      <c r="E25" s="4"/>
      <c r="F25" s="3"/>
      <c r="G25" s="3"/>
      <c r="H25" s="2"/>
      <c r="I25" s="4"/>
      <c r="J25" s="4"/>
    </row>
    <row r="26" spans="1:10" s="1" customFormat="1">
      <c r="A26" s="2">
        <f t="shared" si="0"/>
        <v>21</v>
      </c>
      <c r="B26" s="5"/>
      <c r="C26" s="13" t="s">
        <v>60</v>
      </c>
      <c r="D26" s="5"/>
      <c r="E26" s="4"/>
      <c r="F26" s="3"/>
      <c r="G26" s="3"/>
      <c r="H26" s="2"/>
      <c r="I26" s="4"/>
      <c r="J26" s="4"/>
    </row>
    <row r="27" spans="1:10" s="1" customFormat="1" ht="37.5">
      <c r="A27" s="2">
        <f t="shared" si="0"/>
        <v>22</v>
      </c>
      <c r="B27" s="5"/>
      <c r="C27" s="13" t="s">
        <v>61</v>
      </c>
      <c r="D27" s="5"/>
      <c r="E27" s="4"/>
      <c r="F27" s="3"/>
      <c r="G27" s="3"/>
      <c r="H27" s="2"/>
      <c r="I27" s="4"/>
      <c r="J27" s="4"/>
    </row>
    <row r="28" spans="1:10" s="1" customFormat="1">
      <c r="A28" s="2">
        <f t="shared" si="0"/>
        <v>23</v>
      </c>
      <c r="B28" s="5"/>
      <c r="C28" s="13" t="s">
        <v>62</v>
      </c>
      <c r="D28" s="5"/>
      <c r="E28" s="4"/>
      <c r="F28" s="3"/>
      <c r="G28" s="3"/>
      <c r="H28" s="2"/>
      <c r="I28" s="4"/>
      <c r="J28" s="4"/>
    </row>
    <row r="29" spans="1:10" s="1" customFormat="1" ht="37.5">
      <c r="A29" s="2">
        <f t="shared" si="0"/>
        <v>24</v>
      </c>
      <c r="B29" s="5" t="s">
        <v>35</v>
      </c>
      <c r="C29" s="5" t="s">
        <v>63</v>
      </c>
      <c r="D29" s="16"/>
      <c r="E29" s="4"/>
      <c r="F29" s="3"/>
      <c r="G29" s="3"/>
      <c r="H29" s="2"/>
      <c r="I29" s="4"/>
      <c r="J29" s="4"/>
    </row>
    <row r="30" spans="1:10" s="1" customFormat="1" ht="37.5">
      <c r="A30" s="2">
        <f t="shared" si="0"/>
        <v>25</v>
      </c>
      <c r="B30" s="5"/>
      <c r="C30" s="13" t="s">
        <v>64</v>
      </c>
      <c r="D30" s="16"/>
      <c r="E30" s="4"/>
      <c r="F30" s="3"/>
      <c r="G30" s="3"/>
      <c r="H30" s="2"/>
      <c r="I30" s="4"/>
      <c r="J30" s="4"/>
    </row>
    <row r="31" spans="1:10" s="1" customFormat="1">
      <c r="A31" s="2">
        <f t="shared" si="0"/>
        <v>26</v>
      </c>
      <c r="B31" s="5"/>
      <c r="C31" s="13"/>
      <c r="D31" s="16"/>
      <c r="E31" s="4"/>
      <c r="F31" s="3"/>
      <c r="G31" s="3"/>
      <c r="H31" s="2"/>
      <c r="I31" s="4"/>
      <c r="J31" s="4"/>
    </row>
    <row r="32" spans="1:10" s="1" customFormat="1">
      <c r="A32" s="2">
        <f t="shared" si="0"/>
        <v>27</v>
      </c>
      <c r="B32" s="5"/>
      <c r="C32" s="13"/>
      <c r="D32" s="5"/>
      <c r="E32" s="4"/>
      <c r="F32" s="3"/>
      <c r="G32" s="3"/>
      <c r="H32" s="2"/>
      <c r="I32" s="4"/>
      <c r="J32" s="4"/>
    </row>
    <row r="33" spans="1:10" s="1" customFormat="1">
      <c r="A33" s="2">
        <f t="shared" si="0"/>
        <v>28</v>
      </c>
      <c r="B33" s="5"/>
      <c r="C33" s="13"/>
      <c r="D33" s="5"/>
      <c r="E33" s="4"/>
      <c r="F33" s="3"/>
      <c r="G33" s="3"/>
      <c r="H33" s="2"/>
      <c r="I33" s="4"/>
      <c r="J33" s="4"/>
    </row>
    <row r="34" spans="1:10" s="1" customFormat="1">
      <c r="A34" s="2">
        <f t="shared" si="0"/>
        <v>29</v>
      </c>
      <c r="B34" s="5"/>
      <c r="C34" s="13"/>
      <c r="D34" s="5"/>
      <c r="E34" s="4"/>
      <c r="F34" s="3"/>
      <c r="G34" s="3"/>
      <c r="H34" s="2"/>
      <c r="I34" s="4"/>
      <c r="J34" s="4"/>
    </row>
    <row r="36" spans="1:10">
      <c r="B36" t="s">
        <v>10</v>
      </c>
    </row>
  </sheetData>
  <mergeCells count="1">
    <mergeCell ref="H6:J6"/>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J36"/>
  <sheetViews>
    <sheetView topLeftCell="A28" workbookViewId="0">
      <selection activeCell="C18" sqref="C18"/>
    </sheetView>
  </sheetViews>
  <sheetFormatPr defaultRowHeight="18.75"/>
  <cols>
    <col min="1" max="1" width="4.25" customWidth="1"/>
    <col min="2" max="2" width="30.75" customWidth="1"/>
    <col min="3" max="3" width="40.75" customWidth="1"/>
    <col min="4" max="4" width="50.75" customWidth="1"/>
    <col min="5" max="5" width="8.75" customWidth="1"/>
    <col min="6" max="6" width="10.25" customWidth="1"/>
    <col min="7" max="7" width="10.25" bestFit="1" customWidth="1"/>
    <col min="8" max="10" width="8.75" customWidth="1"/>
  </cols>
  <sheetData>
    <row r="1" spans="1:10">
      <c r="B1" s="10" t="s">
        <v>5</v>
      </c>
      <c r="C1" s="9" t="str">
        <f ca="1">RIGHT(CELL("filename",A2),LEN(CELL("filename",A2))-FIND("]",CELL("filename",A2)))</f>
        <v>商品削除</v>
      </c>
      <c r="D1" s="7"/>
    </row>
    <row r="2" spans="1:10">
      <c r="B2" s="10" t="s">
        <v>9</v>
      </c>
      <c r="C2" s="9">
        <f>COUNTA(D7:D34)</f>
        <v>0</v>
      </c>
    </row>
    <row r="3" spans="1:10">
      <c r="B3" s="10" t="s">
        <v>67</v>
      </c>
      <c r="C3" s="9">
        <f>COUNTA(F7:F34)</f>
        <v>0</v>
      </c>
    </row>
    <row r="4" spans="1:10">
      <c r="B4" s="10" t="s">
        <v>11</v>
      </c>
      <c r="C4" s="9">
        <f>COUNTA(G7:G34)</f>
        <v>0</v>
      </c>
    </row>
    <row r="5" spans="1:10">
      <c r="B5" s="8"/>
      <c r="C5" s="7"/>
    </row>
    <row r="6" spans="1:10" s="6" customFormat="1">
      <c r="A6" s="14" t="s">
        <v>4</v>
      </c>
      <c r="B6" s="14" t="s">
        <v>6</v>
      </c>
      <c r="C6" s="14" t="s">
        <v>7</v>
      </c>
      <c r="D6" s="14" t="s">
        <v>3</v>
      </c>
      <c r="E6" s="14" t="s">
        <v>2</v>
      </c>
      <c r="F6" s="14" t="s">
        <v>1</v>
      </c>
      <c r="G6" s="14" t="s">
        <v>0</v>
      </c>
      <c r="H6" s="18" t="s">
        <v>8</v>
      </c>
      <c r="I6" s="18"/>
      <c r="J6" s="18"/>
    </row>
    <row r="7" spans="1:10" s="1" customFormat="1" ht="37.5">
      <c r="A7" s="2">
        <f>ROW()-5</f>
        <v>2</v>
      </c>
      <c r="B7" s="5" t="s">
        <v>38</v>
      </c>
      <c r="C7" s="5" t="s">
        <v>13</v>
      </c>
      <c r="D7" s="5"/>
      <c r="E7" s="4"/>
      <c r="F7" s="3"/>
      <c r="G7" s="3"/>
      <c r="H7" s="2"/>
      <c r="I7" s="4"/>
      <c r="J7" s="4"/>
    </row>
    <row r="8" spans="1:10" s="1" customFormat="1">
      <c r="A8" s="2">
        <f t="shared" ref="A8:A34" si="0">ROW()-5</f>
        <v>3</v>
      </c>
      <c r="B8" s="5"/>
      <c r="C8" s="5" t="s">
        <v>12</v>
      </c>
      <c r="D8" s="5"/>
      <c r="E8" s="4"/>
      <c r="F8" s="3"/>
      <c r="G8" s="3"/>
      <c r="H8" s="2"/>
      <c r="I8" s="4"/>
      <c r="J8" s="4"/>
    </row>
    <row r="9" spans="1:10" s="1" customFormat="1" ht="75">
      <c r="A9" s="2">
        <f t="shared" si="0"/>
        <v>4</v>
      </c>
      <c r="B9" s="5"/>
      <c r="C9" s="5" t="s">
        <v>14</v>
      </c>
      <c r="D9" s="5"/>
      <c r="E9" s="4"/>
      <c r="F9" s="3"/>
      <c r="G9" s="3"/>
      <c r="H9" s="2"/>
      <c r="I9" s="4"/>
      <c r="J9" s="4"/>
    </row>
    <row r="10" spans="1:10" s="1" customFormat="1" ht="37.5">
      <c r="A10" s="2">
        <f t="shared" si="0"/>
        <v>5</v>
      </c>
      <c r="B10" s="5"/>
      <c r="C10" s="5" t="s">
        <v>39</v>
      </c>
      <c r="D10" s="5"/>
      <c r="E10" s="4"/>
      <c r="F10" s="3"/>
      <c r="G10" s="3"/>
      <c r="H10" s="2"/>
      <c r="I10" s="4"/>
      <c r="J10" s="4"/>
    </row>
    <row r="11" spans="1:10" s="1" customFormat="1" ht="37.5">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c r="E13" s="4"/>
      <c r="F13" s="3"/>
      <c r="G13" s="3"/>
      <c r="H13" s="2"/>
      <c r="I13" s="4"/>
      <c r="J13" s="4"/>
    </row>
    <row r="14" spans="1:10" s="1" customFormat="1">
      <c r="A14" s="2">
        <f t="shared" si="0"/>
        <v>9</v>
      </c>
      <c r="B14" s="5"/>
      <c r="C14" s="5" t="s">
        <v>65</v>
      </c>
      <c r="D14" s="5"/>
      <c r="E14" s="4"/>
      <c r="F14" s="3"/>
      <c r="G14" s="3"/>
      <c r="H14" s="2"/>
      <c r="I14" s="4"/>
      <c r="J14" s="4"/>
    </row>
    <row r="15" spans="1:10" s="1" customFormat="1">
      <c r="A15" s="2">
        <f t="shared" si="0"/>
        <v>10</v>
      </c>
      <c r="B15" s="5"/>
      <c r="C15" s="5"/>
      <c r="D15" s="5"/>
      <c r="E15" s="4"/>
      <c r="F15" s="3"/>
      <c r="G15" s="3"/>
      <c r="H15" s="2"/>
      <c r="I15" s="4"/>
      <c r="J15" s="4"/>
    </row>
    <row r="16" spans="1:10" s="1" customFormat="1">
      <c r="A16" s="2">
        <f t="shared" si="0"/>
        <v>11</v>
      </c>
      <c r="B16" s="5"/>
      <c r="C16" s="5" t="s">
        <v>36</v>
      </c>
      <c r="D16" s="5"/>
      <c r="E16" s="4"/>
      <c r="F16" s="3"/>
      <c r="G16" s="3"/>
      <c r="H16" s="2"/>
      <c r="I16" s="4"/>
      <c r="J16" s="4"/>
    </row>
    <row r="17" spans="1:10" s="1" customFormat="1" ht="37.5">
      <c r="A17" s="2">
        <f t="shared" si="0"/>
        <v>12</v>
      </c>
      <c r="B17" s="5"/>
      <c r="C17" s="5" t="s">
        <v>66</v>
      </c>
      <c r="D17" s="5"/>
      <c r="E17" s="4"/>
      <c r="F17" s="3"/>
      <c r="G17" s="3"/>
      <c r="H17" s="2"/>
      <c r="I17" s="4"/>
      <c r="J17" s="4"/>
    </row>
    <row r="18" spans="1:10" s="1" customFormat="1">
      <c r="A18" s="2">
        <f t="shared" si="0"/>
        <v>13</v>
      </c>
      <c r="B18" s="5"/>
      <c r="C18" s="5" t="s">
        <v>37</v>
      </c>
      <c r="D18" s="5"/>
      <c r="E18" s="4"/>
      <c r="F18" s="3"/>
      <c r="G18" s="3"/>
      <c r="H18" s="2"/>
      <c r="I18" s="4"/>
      <c r="J18" s="4"/>
    </row>
    <row r="19" spans="1:10" s="1" customFormat="1">
      <c r="A19" s="2">
        <f t="shared" si="0"/>
        <v>14</v>
      </c>
      <c r="B19" s="5"/>
      <c r="C19" s="5"/>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5"/>
      <c r="D21" s="5"/>
      <c r="E21" s="4"/>
      <c r="F21" s="3"/>
      <c r="G21" s="3"/>
      <c r="H21" s="2"/>
      <c r="I21" s="4"/>
      <c r="J21" s="4"/>
    </row>
    <row r="22" spans="1:10" s="1" customFormat="1">
      <c r="A22" s="2">
        <f t="shared" si="0"/>
        <v>17</v>
      </c>
      <c r="B22" s="5"/>
      <c r="C22" s="5"/>
      <c r="D22" s="5"/>
      <c r="E22" s="4"/>
      <c r="F22" s="3"/>
      <c r="G22" s="3"/>
      <c r="H22" s="2"/>
      <c r="I22" s="4"/>
      <c r="J22" s="4"/>
    </row>
    <row r="23" spans="1:10" s="1" customFormat="1">
      <c r="A23" s="2">
        <f t="shared" si="0"/>
        <v>18</v>
      </c>
      <c r="B23" s="5"/>
      <c r="C23" s="5"/>
      <c r="D23" s="5"/>
      <c r="E23" s="4"/>
      <c r="F23" s="3"/>
      <c r="G23" s="3"/>
      <c r="H23" s="2"/>
      <c r="I23" s="4"/>
      <c r="J23" s="4"/>
    </row>
    <row r="24" spans="1:10" s="1" customFormat="1">
      <c r="A24" s="2">
        <f t="shared" si="0"/>
        <v>19</v>
      </c>
      <c r="B24" s="5"/>
      <c r="C24" s="5"/>
      <c r="D24" s="5"/>
      <c r="E24" s="4"/>
      <c r="F24" s="3"/>
      <c r="G24" s="3"/>
      <c r="H24" s="2"/>
      <c r="I24" s="4"/>
      <c r="J24" s="4"/>
    </row>
    <row r="25" spans="1:10" s="1" customFormat="1">
      <c r="A25" s="2">
        <f t="shared" si="0"/>
        <v>20</v>
      </c>
      <c r="B25" s="5"/>
      <c r="C25" s="5"/>
      <c r="D25" s="5"/>
      <c r="E25" s="4"/>
      <c r="F25" s="3"/>
      <c r="G25" s="3"/>
      <c r="H25" s="2"/>
      <c r="I25" s="4"/>
      <c r="J25" s="4"/>
    </row>
    <row r="26" spans="1:10" s="1" customFormat="1">
      <c r="A26" s="2">
        <f t="shared" si="0"/>
        <v>21</v>
      </c>
      <c r="B26" s="5"/>
      <c r="C26" s="5"/>
      <c r="D26" s="5"/>
      <c r="E26" s="4"/>
      <c r="F26" s="3"/>
      <c r="G26" s="3"/>
      <c r="H26" s="2"/>
      <c r="I26" s="4"/>
      <c r="J26" s="4"/>
    </row>
    <row r="27" spans="1:10" s="1" customFormat="1">
      <c r="A27" s="2">
        <f t="shared" si="0"/>
        <v>22</v>
      </c>
      <c r="B27" s="5"/>
      <c r="C27" s="13"/>
      <c r="D27" s="5"/>
      <c r="E27" s="4"/>
      <c r="F27" s="3"/>
      <c r="G27" s="3"/>
      <c r="H27" s="2"/>
      <c r="I27" s="4"/>
      <c r="J27" s="4"/>
    </row>
    <row r="28" spans="1:10" s="1" customFormat="1">
      <c r="A28" s="2">
        <f t="shared" si="0"/>
        <v>23</v>
      </c>
      <c r="B28" s="5"/>
      <c r="C28" s="13"/>
      <c r="D28" s="5"/>
      <c r="E28" s="4"/>
      <c r="F28" s="3"/>
      <c r="G28" s="3"/>
      <c r="H28" s="2"/>
      <c r="I28" s="4"/>
      <c r="J28" s="4"/>
    </row>
    <row r="29" spans="1:10" s="1" customFormat="1">
      <c r="A29" s="2">
        <f t="shared" si="0"/>
        <v>24</v>
      </c>
      <c r="B29" s="5"/>
      <c r="C29" s="5"/>
      <c r="D29" s="5"/>
      <c r="E29" s="4"/>
      <c r="F29" s="3"/>
      <c r="G29" s="3"/>
      <c r="H29" s="2"/>
      <c r="I29" s="4"/>
      <c r="J29" s="4"/>
    </row>
    <row r="30" spans="1:10" s="1" customFormat="1">
      <c r="A30" s="2">
        <f t="shared" si="0"/>
        <v>25</v>
      </c>
      <c r="B30" s="5"/>
      <c r="C30" s="13"/>
      <c r="D30" s="5"/>
      <c r="E30" s="4"/>
      <c r="F30" s="3"/>
      <c r="G30" s="3"/>
      <c r="H30" s="2"/>
      <c r="I30" s="4"/>
      <c r="J30" s="4"/>
    </row>
    <row r="31" spans="1:10" s="1" customFormat="1">
      <c r="A31" s="2">
        <f t="shared" si="0"/>
        <v>26</v>
      </c>
      <c r="B31" s="5"/>
      <c r="C31" s="13"/>
      <c r="D31" s="5"/>
      <c r="E31" s="4"/>
      <c r="F31" s="3"/>
      <c r="G31" s="3"/>
      <c r="H31" s="2"/>
      <c r="I31" s="4"/>
      <c r="J31" s="4"/>
    </row>
    <row r="32" spans="1:10" s="1" customFormat="1">
      <c r="A32" s="2">
        <f t="shared" si="0"/>
        <v>27</v>
      </c>
      <c r="B32" s="5"/>
      <c r="C32" s="5"/>
      <c r="D32" s="5"/>
      <c r="E32" s="4"/>
      <c r="F32" s="3"/>
      <c r="G32" s="3"/>
      <c r="H32" s="2"/>
      <c r="I32" s="4"/>
      <c r="J32" s="4"/>
    </row>
    <row r="33" spans="1:10" s="1" customFormat="1">
      <c r="A33" s="2">
        <f t="shared" si="0"/>
        <v>28</v>
      </c>
      <c r="B33" s="5"/>
      <c r="C33" s="11"/>
      <c r="D33" s="5"/>
      <c r="E33" s="4"/>
      <c r="F33" s="3"/>
      <c r="G33" s="3"/>
      <c r="H33" s="2"/>
      <c r="I33" s="4"/>
      <c r="J33" s="4"/>
    </row>
    <row r="34" spans="1:10" s="1" customFormat="1">
      <c r="A34" s="2">
        <f t="shared" si="0"/>
        <v>29</v>
      </c>
      <c r="B34" s="5"/>
      <c r="C34" s="5"/>
      <c r="D34" s="5"/>
      <c r="E34" s="4"/>
      <c r="F34" s="3"/>
      <c r="G34" s="3"/>
      <c r="H34" s="2"/>
      <c r="I34" s="4"/>
      <c r="J34" s="4"/>
    </row>
    <row r="36" spans="1:10">
      <c r="B36"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10</vt:i4>
      </vt:variant>
    </vt:vector>
  </HeadingPairs>
  <TitlesOfParts>
    <vt:vector size="16" baseType="lpstr">
      <vt:lpstr>表紙</vt:lpstr>
      <vt:lpstr>商品検索</vt:lpstr>
      <vt:lpstr>商品一覧</vt:lpstr>
      <vt:lpstr>商品詳細</vt:lpstr>
      <vt:lpstr>商品修正</vt:lpstr>
      <vt:lpstr>商品削除</vt:lpstr>
      <vt:lpstr>商品一覧!comp_count</vt:lpstr>
      <vt:lpstr>商品検索!comp_count</vt:lpstr>
      <vt:lpstr>商品削除!comp_count</vt:lpstr>
      <vt:lpstr>商品修正!comp_count</vt:lpstr>
      <vt:lpstr>商品詳細!comp_count</vt:lpstr>
      <vt:lpstr>商品一覧!item_count</vt:lpstr>
      <vt:lpstr>商品検索!item_count</vt:lpstr>
      <vt:lpstr>商品削除!item_count</vt:lpstr>
      <vt:lpstr>商品修正!item_count</vt:lpstr>
      <vt:lpstr>商品詳細!item_count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鈴木裕太</cp:lastModifiedBy>
  <dcterms:created xsi:type="dcterms:W3CDTF">2019-02-28T04:25:02Z</dcterms:created>
  <dcterms:modified xsi:type="dcterms:W3CDTF">2019-10-30T05:22:35Z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