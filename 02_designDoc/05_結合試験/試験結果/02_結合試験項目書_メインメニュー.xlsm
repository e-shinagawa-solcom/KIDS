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92.168.1.204\開発\クワガタ\03_H30 KID'Sシステムリニューアル\05_結合試験\試験結果\"/>
    </mc:Choice>
  </mc:AlternateContent>
  <xr:revisionPtr revIDLastSave="0" documentId="13_ncr:1_{99320F1A-7F98-41CC-9104-AE8DEC7F240E}" xr6:coauthVersionLast="40" xr6:coauthVersionMax="40" xr10:uidLastSave="{00000000-0000-0000-0000-000000000000}"/>
  <bookViews>
    <workbookView xWindow="0" yWindow="0" windowWidth="17256" windowHeight="5280" activeTab="1" xr2:uid="{7855FBD0-5EC9-4DBA-9A4B-0C57305BA533}"/>
  </bookViews>
  <sheets>
    <sheet name="表紙" sheetId="2" r:id="rId1"/>
    <sheet name="メインメニュー" sheetId="1" r:id="rId2"/>
  </sheets>
  <definedNames>
    <definedName name="comp_count" localSheetId="1">メインメニュー!$C$4</definedName>
    <definedName name="item_count" localSheetId="1">メインメニュー!$C$2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0" i="1" l="1"/>
  <c r="D49" i="1"/>
  <c r="A49" i="1"/>
  <c r="A27" i="1" l="1"/>
  <c r="A25" i="1"/>
  <c r="A24" i="1"/>
  <c r="A23" i="1"/>
  <c r="A21" i="1"/>
  <c r="A22" i="1"/>
  <c r="A20" i="1"/>
  <c r="A18" i="1"/>
  <c r="C3" i="1" l="1"/>
  <c r="C4" i="1" l="1"/>
  <c r="A68" i="1" l="1"/>
  <c r="D67" i="1"/>
  <c r="A67" i="1"/>
  <c r="A66" i="1"/>
  <c r="D65" i="1"/>
  <c r="A65" i="1"/>
  <c r="A64" i="1"/>
  <c r="D63" i="1"/>
  <c r="A63" i="1"/>
  <c r="A62" i="1"/>
  <c r="D61" i="1"/>
  <c r="A61" i="1"/>
  <c r="A60" i="1"/>
  <c r="D59" i="1"/>
  <c r="A59" i="1"/>
  <c r="A58" i="1"/>
  <c r="D57" i="1"/>
  <c r="A57" i="1"/>
  <c r="A56" i="1"/>
  <c r="D55" i="1"/>
  <c r="A55" i="1"/>
  <c r="D53" i="1"/>
  <c r="D51" i="1"/>
  <c r="A19" i="1"/>
  <c r="A26" i="1"/>
  <c r="A11" i="1"/>
  <c r="A17" i="1"/>
  <c r="A16" i="1"/>
  <c r="A15" i="1"/>
  <c r="A14" i="1"/>
  <c r="A12" i="1"/>
  <c r="A13" i="1"/>
  <c r="D47" i="1"/>
  <c r="A54" i="1"/>
  <c r="A53" i="1"/>
  <c r="D45" i="1"/>
  <c r="D43" i="1"/>
  <c r="D41" i="1"/>
  <c r="D39" i="1"/>
  <c r="D37" i="1"/>
  <c r="A42" i="1"/>
  <c r="A41" i="1"/>
  <c r="A40" i="1"/>
  <c r="A39" i="1"/>
  <c r="A38" i="1"/>
  <c r="A37" i="1"/>
  <c r="A46" i="1"/>
  <c r="A45" i="1"/>
  <c r="A44" i="1"/>
  <c r="A43" i="1"/>
  <c r="A48" i="1"/>
  <c r="A47" i="1"/>
  <c r="D35" i="1"/>
  <c r="D33" i="1"/>
  <c r="C2" i="1" l="1"/>
  <c r="A52" i="1"/>
  <c r="A51" i="1"/>
  <c r="A36" i="1"/>
  <c r="A35" i="1"/>
  <c r="A34" i="1"/>
  <c r="A33" i="1"/>
  <c r="A32" i="1"/>
  <c r="A31" i="1"/>
  <c r="A30" i="1"/>
  <c r="A29" i="1"/>
  <c r="A28" i="1"/>
  <c r="A10" i="1"/>
  <c r="A9" i="1"/>
  <c r="A8" i="1"/>
  <c r="A7" i="1"/>
  <c r="C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F6" authorId="0" shapeId="0" xr:uid="{73729EBE-8117-4DFA-AA14-DAF438897DCB}">
      <text>
        <r>
          <rPr>
            <b/>
            <sz val="9"/>
            <color indexed="81"/>
            <rFont val="MS P ゴシック"/>
            <family val="3"/>
            <charset val="128"/>
          </rPr>
          <t>試験開始した日付を記入する。</t>
        </r>
      </text>
    </comment>
    <comment ref="G6" authorId="0" shapeId="0" xr:uid="{33EF7931-833E-4054-852C-0490A3DD936E}">
      <text>
        <r>
          <rPr>
            <b/>
            <sz val="9"/>
            <color indexed="81"/>
            <rFont val="MS P ゴシック"/>
            <family val="3"/>
            <charset val="128"/>
          </rPr>
          <t>確認OKとなった日付を記入する。</t>
        </r>
      </text>
    </comment>
  </commentList>
</comments>
</file>

<file path=xl/sharedStrings.xml><?xml version="1.0" encoding="utf-8"?>
<sst xmlns="http://schemas.openxmlformats.org/spreadsheetml/2006/main" count="153" uniqueCount="62">
  <si>
    <t>確認日</t>
    <rPh sb="0" eb="2">
      <t>カクニン</t>
    </rPh>
    <rPh sb="2" eb="3">
      <t>ビ</t>
    </rPh>
    <phoneticPr fontId="1"/>
  </si>
  <si>
    <t>実施日</t>
    <rPh sb="0" eb="3">
      <t>ジッシビ</t>
    </rPh>
    <phoneticPr fontId="1"/>
  </si>
  <si>
    <t>担当</t>
    <rPh sb="0" eb="2">
      <t>タントウ</t>
    </rPh>
    <phoneticPr fontId="1"/>
  </si>
  <si>
    <t>確認内容</t>
    <rPh sb="0" eb="2">
      <t>カクニン</t>
    </rPh>
    <rPh sb="2" eb="4">
      <t>ナイヨウ</t>
    </rPh>
    <phoneticPr fontId="1"/>
  </si>
  <si>
    <t>#</t>
    <phoneticPr fontId="1"/>
  </si>
  <si>
    <t>画面名</t>
    <rPh sb="0" eb="2">
      <t>ガメン</t>
    </rPh>
    <rPh sb="2" eb="3">
      <t>メイ</t>
    </rPh>
    <phoneticPr fontId="1"/>
  </si>
  <si>
    <t>テストシナリオ名</t>
    <rPh sb="7" eb="8">
      <t>メイ</t>
    </rPh>
    <phoneticPr fontId="1"/>
  </si>
  <si>
    <t>操作手順</t>
    <rPh sb="0" eb="2">
      <t>ソウサ</t>
    </rPh>
    <rPh sb="2" eb="4">
      <t>テジュン</t>
    </rPh>
    <phoneticPr fontId="1"/>
  </si>
  <si>
    <t>障害管理No</t>
    <rPh sb="0" eb="2">
      <t>ショウガイ</t>
    </rPh>
    <rPh sb="2" eb="4">
      <t>カンリ</t>
    </rPh>
    <phoneticPr fontId="1"/>
  </si>
  <si>
    <t>試験項目数</t>
    <rPh sb="0" eb="5">
      <t>シケンコウモクスウ</t>
    </rPh>
    <phoneticPr fontId="1"/>
  </si>
  <si>
    <t>結合試験書のブックはMAINMENU上の機能単位、シートは画面単位としてください。</t>
    <rPh sb="0" eb="2">
      <t>ケツゴウ</t>
    </rPh>
    <rPh sb="2" eb="4">
      <t>シケン</t>
    </rPh>
    <rPh sb="4" eb="5">
      <t>ショ</t>
    </rPh>
    <rPh sb="18" eb="19">
      <t>ジョウ</t>
    </rPh>
    <rPh sb="20" eb="22">
      <t>キノウ</t>
    </rPh>
    <rPh sb="22" eb="24">
      <t>タンイ</t>
    </rPh>
    <rPh sb="29" eb="31">
      <t>ガメン</t>
    </rPh>
    <rPh sb="31" eb="33">
      <t>タンイ</t>
    </rPh>
    <phoneticPr fontId="1"/>
  </si>
  <si>
    <t>完了数</t>
    <rPh sb="0" eb="2">
      <t>カンリョウ</t>
    </rPh>
    <rPh sb="2" eb="3">
      <t>スウ</t>
    </rPh>
    <phoneticPr fontId="1"/>
  </si>
  <si>
    <t>enterボタンを押下する。</t>
    <rPh sb="9" eb="11">
      <t>オウカ</t>
    </rPh>
    <phoneticPr fontId="1"/>
  </si>
  <si>
    <t>以下のURLをブラウザで開く。
http://192.168.1.113</t>
    <rPh sb="0" eb="2">
      <t>イカ</t>
    </rPh>
    <rPh sb="12" eb="13">
      <t>ヒラ</t>
    </rPh>
    <phoneticPr fontId="1"/>
  </si>
  <si>
    <t>ログイン画面にて、以下の値を入力し、LOGINボタンを押下する。
ID：169
PASSWORD：gao</t>
    <rPh sb="4" eb="6">
      <t>ガメン</t>
    </rPh>
    <rPh sb="9" eb="11">
      <t>イカ</t>
    </rPh>
    <rPh sb="12" eb="13">
      <t>アタイ</t>
    </rPh>
    <rPh sb="14" eb="16">
      <t>ニュウリョク</t>
    </rPh>
    <rPh sb="27" eb="29">
      <t>オウカ</t>
    </rPh>
    <phoneticPr fontId="1"/>
  </si>
  <si>
    <t>メインメニュー表示</t>
    <rPh sb="7" eb="9">
      <t>ヒョウジ</t>
    </rPh>
    <phoneticPr fontId="1"/>
  </si>
  <si>
    <t>言語切替ボタンが表示されていないこと。</t>
    <rPh sb="0" eb="2">
      <t>ゲンゴ</t>
    </rPh>
    <rPh sb="2" eb="4">
      <t>キリカエ</t>
    </rPh>
    <rPh sb="8" eb="10">
      <t>ヒョウジ</t>
    </rPh>
    <phoneticPr fontId="1"/>
  </si>
  <si>
    <t>MAIN MENUボタンを押下する。</t>
    <rPh sb="13" eb="15">
      <t>オウカ</t>
    </rPh>
    <phoneticPr fontId="1"/>
  </si>
  <si>
    <t>画面表示に変化がないこと。</t>
    <rPh sb="0" eb="2">
      <t>ガメン</t>
    </rPh>
    <rPh sb="2" eb="4">
      <t>ヒョウジ</t>
    </rPh>
    <rPh sb="5" eb="7">
      <t>ヘンカ</t>
    </rPh>
    <phoneticPr fontId="1"/>
  </si>
  <si>
    <t>LOGOUTボタンを押下する。</t>
    <rPh sb="10" eb="12">
      <t>オウカ</t>
    </rPh>
    <phoneticPr fontId="1"/>
  </si>
  <si>
    <t>メインメニュー画面に遷移すること。</t>
    <rPh sb="7" eb="9">
      <t>ガメン</t>
    </rPh>
    <rPh sb="10" eb="12">
      <t>センイ</t>
    </rPh>
    <phoneticPr fontId="1"/>
  </si>
  <si>
    <t>表示されたメインメニュー画面の表示状態を確認する。</t>
    <rPh sb="0" eb="2">
      <t>ヒョウジ</t>
    </rPh>
    <rPh sb="12" eb="14">
      <t>ガメン</t>
    </rPh>
    <rPh sb="15" eb="17">
      <t>ヒョウジ</t>
    </rPh>
    <rPh sb="17" eb="19">
      <t>ジョウタイ</t>
    </rPh>
    <rPh sb="20" eb="22">
      <t>カクニン</t>
    </rPh>
    <phoneticPr fontId="1"/>
  </si>
  <si>
    <t>各ボタン動作確認</t>
    <rPh sb="0" eb="1">
      <t>カク</t>
    </rPh>
    <rPh sb="4" eb="6">
      <t>ドウサ</t>
    </rPh>
    <rPh sb="6" eb="8">
      <t>カクニン</t>
    </rPh>
    <phoneticPr fontId="1"/>
  </si>
  <si>
    <t>データエクスポート</t>
    <phoneticPr fontId="1"/>
  </si>
  <si>
    <t>見積原価管理</t>
    <rPh sb="0" eb="2">
      <t>ミツモリ</t>
    </rPh>
    <rPh sb="2" eb="4">
      <t>ゲンカ</t>
    </rPh>
    <rPh sb="4" eb="6">
      <t>カンリ</t>
    </rPh>
    <phoneticPr fontId="1"/>
  </si>
  <si>
    <t>売上管理</t>
    <rPh sb="0" eb="2">
      <t>ウリアゲ</t>
    </rPh>
    <rPh sb="2" eb="4">
      <t>カンリ</t>
    </rPh>
    <phoneticPr fontId="1"/>
  </si>
  <si>
    <t>仕入管理</t>
    <rPh sb="0" eb="2">
      <t>シイレ</t>
    </rPh>
    <rPh sb="2" eb="4">
      <t>カンリ</t>
    </rPh>
    <phoneticPr fontId="1"/>
  </si>
  <si>
    <t>ワークフロー管理ボタンが表示されていないこと</t>
    <rPh sb="6" eb="8">
      <t>カンリ</t>
    </rPh>
    <rPh sb="12" eb="14">
      <t>ヒョウジ</t>
    </rPh>
    <phoneticPr fontId="1"/>
  </si>
  <si>
    <t>L/C管理ボタンが表示されていること</t>
    <rPh sb="3" eb="5">
      <t>カンリ</t>
    </rPh>
    <rPh sb="9" eb="11">
      <t>ヒョウジ</t>
    </rPh>
    <phoneticPr fontId="1"/>
  </si>
  <si>
    <t>ユーザー管理</t>
    <rPh sb="4" eb="6">
      <t>カンリ</t>
    </rPh>
    <phoneticPr fontId="1"/>
  </si>
  <si>
    <t>マスタ管理</t>
    <rPh sb="3" eb="5">
      <t>カンリ</t>
    </rPh>
    <phoneticPr fontId="1"/>
  </si>
  <si>
    <t>金型履歴管理</t>
    <rPh sb="0" eb="2">
      <t>カナガタ</t>
    </rPh>
    <rPh sb="2" eb="4">
      <t>リレキ</t>
    </rPh>
    <rPh sb="4" eb="6">
      <t>カンリ</t>
    </rPh>
    <phoneticPr fontId="1"/>
  </si>
  <si>
    <t>金型帳票管理</t>
    <rPh sb="0" eb="2">
      <t>カナガタ</t>
    </rPh>
    <rPh sb="2" eb="4">
      <t>チョウヒョウ</t>
    </rPh>
    <rPh sb="4" eb="6">
      <t>カンリ</t>
    </rPh>
    <phoneticPr fontId="1"/>
  </si>
  <si>
    <t>DATA</t>
    <phoneticPr fontId="1"/>
  </si>
  <si>
    <t>L/C管理</t>
    <rPh sb="3" eb="5">
      <t>カンリ</t>
    </rPh>
    <phoneticPr fontId="1"/>
  </si>
  <si>
    <t>L/C帳票出力</t>
    <rPh sb="3" eb="5">
      <t>チョウヒョウ</t>
    </rPh>
    <rPh sb="5" eb="7">
      <t>シュツリョク</t>
    </rPh>
    <phoneticPr fontId="1"/>
  </si>
  <si>
    <t>USER</t>
    <phoneticPr fontId="1"/>
  </si>
  <si>
    <t>SYSTEM</t>
    <phoneticPr fontId="1"/>
  </si>
  <si>
    <t>試験項目数</t>
    <rPh sb="0" eb="2">
      <t>シケン</t>
    </rPh>
    <rPh sb="2" eb="4">
      <t>コウモク</t>
    </rPh>
    <rPh sb="4" eb="5">
      <t>スウ</t>
    </rPh>
    <phoneticPr fontId="1"/>
  </si>
  <si>
    <t>着手数</t>
    <rPh sb="0" eb="2">
      <t>チャクシュ</t>
    </rPh>
    <rPh sb="2" eb="3">
      <t>スウ</t>
    </rPh>
    <phoneticPr fontId="1"/>
  </si>
  <si>
    <t>商品管理ボタンが表示されていること</t>
    <rPh sb="0" eb="2">
      <t>ショウヒン</t>
    </rPh>
    <rPh sb="2" eb="4">
      <t>カンリ</t>
    </rPh>
    <rPh sb="8" eb="10">
      <t>ヒョウジ</t>
    </rPh>
    <phoneticPr fontId="1"/>
  </si>
  <si>
    <t>見積原価管理ボタンが表示されていること</t>
    <rPh sb="0" eb="2">
      <t>ミツモリ</t>
    </rPh>
    <rPh sb="2" eb="4">
      <t>ゲンカ</t>
    </rPh>
    <rPh sb="4" eb="6">
      <t>カンリ</t>
    </rPh>
    <rPh sb="10" eb="12">
      <t>ヒョウジ</t>
    </rPh>
    <phoneticPr fontId="1"/>
  </si>
  <si>
    <t>中島</t>
    <rPh sb="0" eb="2">
      <t>ナカジマ</t>
    </rPh>
    <phoneticPr fontId="1"/>
  </si>
  <si>
    <t>発注管理ボタンが表示されていること</t>
    <rPh sb="0" eb="2">
      <t>ハッチュウ</t>
    </rPh>
    <rPh sb="2" eb="4">
      <t>カンリ</t>
    </rPh>
    <rPh sb="8" eb="10">
      <t>ヒョウジ</t>
    </rPh>
    <phoneticPr fontId="1"/>
  </si>
  <si>
    <t>受注管理ボタンが表示されていること</t>
    <rPh sb="0" eb="2">
      <t>ジュチュウ</t>
    </rPh>
    <rPh sb="2" eb="4">
      <t>カンリ</t>
    </rPh>
    <rPh sb="8" eb="10">
      <t>ヒョウジ</t>
    </rPh>
    <phoneticPr fontId="1"/>
  </si>
  <si>
    <t>売上管理ボタンが表示されていること</t>
    <rPh sb="0" eb="2">
      <t>ウリアゲ</t>
    </rPh>
    <rPh sb="2" eb="4">
      <t>カンリ</t>
    </rPh>
    <rPh sb="8" eb="10">
      <t>ヒョウジ</t>
    </rPh>
    <phoneticPr fontId="1"/>
  </si>
  <si>
    <t>仕入管理ボタンが表示されていること</t>
    <rPh sb="0" eb="2">
      <t>シイレ</t>
    </rPh>
    <rPh sb="2" eb="4">
      <t>カンリ</t>
    </rPh>
    <rPh sb="8" eb="10">
      <t>ヒョウジ</t>
    </rPh>
    <phoneticPr fontId="1"/>
  </si>
  <si>
    <t>請求管理ボタンが表示されていること</t>
    <rPh sb="0" eb="2">
      <t>セイキュウ</t>
    </rPh>
    <rPh sb="2" eb="4">
      <t>カンリ</t>
    </rPh>
    <rPh sb="8" eb="10">
      <t>ヒョウジ</t>
    </rPh>
    <phoneticPr fontId="1"/>
  </si>
  <si>
    <t>帳票出力ボタンが表示されていること</t>
    <rPh sb="0" eb="2">
      <t>チョウヒョウ</t>
    </rPh>
    <rPh sb="2" eb="4">
      <t>シュツリョク</t>
    </rPh>
    <rPh sb="8" eb="10">
      <t>ヒョウジ</t>
    </rPh>
    <phoneticPr fontId="1"/>
  </si>
  <si>
    <t>データエクスポートボタンが表示されていること</t>
    <rPh sb="13" eb="15">
      <t>ヒョウジ</t>
    </rPh>
    <phoneticPr fontId="1"/>
  </si>
  <si>
    <t>金型履歴管理ボタンが表示されていること</t>
    <rPh sb="0" eb="2">
      <t>カナガタ</t>
    </rPh>
    <rPh sb="2" eb="4">
      <t>リレキ</t>
    </rPh>
    <rPh sb="4" eb="6">
      <t>カンリ</t>
    </rPh>
    <rPh sb="10" eb="12">
      <t>ヒョウジ</t>
    </rPh>
    <phoneticPr fontId="1"/>
  </si>
  <si>
    <t>金型帳票管理ボタンが表示されていること</t>
    <rPh sb="0" eb="2">
      <t>カナガタ</t>
    </rPh>
    <rPh sb="2" eb="4">
      <t>チョウヒョウ</t>
    </rPh>
    <rPh sb="4" eb="6">
      <t>カンリ</t>
    </rPh>
    <rPh sb="10" eb="12">
      <t>ヒョウジ</t>
    </rPh>
    <phoneticPr fontId="1"/>
  </si>
  <si>
    <t>USERボタンが表示されていること</t>
    <rPh sb="8" eb="10">
      <t>ヒョウジ</t>
    </rPh>
    <phoneticPr fontId="1"/>
  </si>
  <si>
    <t>MASTERボタンが表示されていること</t>
    <rPh sb="10" eb="12">
      <t>ヒョウジ</t>
    </rPh>
    <phoneticPr fontId="1"/>
  </si>
  <si>
    <t>DATAボタンが表示されていること</t>
    <rPh sb="8" eb="10">
      <t>ヒョウジ</t>
    </rPh>
    <phoneticPr fontId="1"/>
  </si>
  <si>
    <t>SYSTEMボタンが表示されていること</t>
    <rPh sb="10" eb="12">
      <t>ヒョウジ</t>
    </rPh>
    <phoneticPr fontId="1"/>
  </si>
  <si>
    <t>ログアウト画面に遷移すること。</t>
    <rPh sb="5" eb="7">
      <t>ガメン</t>
    </rPh>
    <rPh sb="8" eb="10">
      <t>センイ</t>
    </rPh>
    <phoneticPr fontId="1"/>
  </si>
  <si>
    <t>商品管理</t>
    <rPh sb="0" eb="2">
      <t>ショウヒン</t>
    </rPh>
    <rPh sb="2" eb="4">
      <t>カンリ</t>
    </rPh>
    <phoneticPr fontId="1"/>
  </si>
  <si>
    <t>発注管理</t>
    <rPh sb="0" eb="2">
      <t>ハッチュウ</t>
    </rPh>
    <rPh sb="2" eb="4">
      <t>カンリ</t>
    </rPh>
    <phoneticPr fontId="1"/>
  </si>
  <si>
    <t>受注管理</t>
    <rPh sb="0" eb="2">
      <t>ジュチュウ</t>
    </rPh>
    <rPh sb="2" eb="4">
      <t>カンリ</t>
    </rPh>
    <phoneticPr fontId="1"/>
  </si>
  <si>
    <t>帳票出力</t>
    <rPh sb="0" eb="2">
      <t>チョウヒョウ</t>
    </rPh>
    <rPh sb="2" eb="4">
      <t>シュツリョク</t>
    </rPh>
    <phoneticPr fontId="1"/>
  </si>
  <si>
    <t>請求管理</t>
    <rPh sb="0" eb="2">
      <t>セイキュウ</t>
    </rPh>
    <rPh sb="2" eb="4">
      <t>カンリ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</si>
</sst>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@&quot;ボタンを押下する&quot;"/>
  </numFmts>
  <fonts count="4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b/>
      <sz val="9"/>
      <color indexed="81"/>
      <name val="MS P ゴシック"/>
      <family val="3"/>
      <charset val="128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horizontal="left" vertical="top"/>
    </xf>
    <xf numFmtId="0" fontId="0" fillId="0" borderId="1" xfId="0" applyBorder="1" applyAlignment="1">
      <alignment horizontal="right" vertical="top"/>
    </xf>
    <xf numFmtId="14" fontId="0" fillId="0" borderId="1" xfId="0" applyNumberFormat="1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1" xfId="0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Border="1"/>
    <xf numFmtId="0" fontId="0" fillId="0" borderId="0" xfId="0" applyBorder="1" applyAlignment="1">
      <alignment horizontal="right"/>
    </xf>
    <xf numFmtId="0" fontId="0" fillId="0" borderId="1" xfId="0" applyBorder="1"/>
    <xf numFmtId="0" fontId="0" fillId="0" borderId="1" xfId="0" applyBorder="1" applyAlignment="1">
      <alignment horizontal="right"/>
    </xf>
    <xf numFmtId="176" fontId="0" fillId="0" borderId="1" xfId="0" applyNumberFormat="1" applyBorder="1" applyAlignment="1">
      <alignment horizontal="left" vertical="top" wrapText="1"/>
    </xf>
    <xf numFmtId="0" fontId="0" fillId="0" borderId="1" xfId="0" applyBorder="1" applyAlignment="1">
      <alignment horizontal="center" vertical="center"/>
    </xf>
  </cellXfs>
  <cellStyles count="1">
    <cellStyle name="標準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EABF9D62-89C8-469C-A940-E057A5FB6BFC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266700</xdr:colOff>
          <xdr:row>0</xdr:row>
          <xdr:rowOff>205740</xdr:rowOff>
        </xdr:from>
        <xdr:to>
          <xdr:col>3</xdr:col>
          <xdr:colOff>426720</xdr:colOff>
          <xdr:row>2</xdr:row>
          <xdr:rowOff>30480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A5232-92A1-41AA-BC54-8A3CF0EA1069}">
  <sheetPr codeName="Sheet1"/>
  <dimension ref="A1:B1"/>
  <sheetViews>
    <sheetView workbookViewId="0">
      <selection activeCell="F6" sqref="F6"/>
    </sheetView>
  </sheetViews>
  <sheetFormatPr defaultRowHeight="18"/>
  <cols>
    <col min="1" max="1" width="10.3984375" bestFit="1" customWidth="1"/>
  </cols>
  <sheetData>
    <row r="1" spans="1:2">
      <c r="A1" t="s">
        <v>38</v>
      </c>
      <c r="B1">
        <v>32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ボタン1_Click">
                <anchor moveWithCells="1" sizeWithCells="1">
                  <from>
                    <xdr:col>2</xdr:col>
                    <xdr:colOff>266700</xdr:colOff>
                    <xdr:row>0</xdr:row>
                    <xdr:rowOff>205740</xdr:rowOff>
                  </from>
                  <to>
                    <xdr:col>3</xdr:col>
                    <xdr:colOff>426720</xdr:colOff>
                    <xdr:row>2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833BB-ED83-4FB3-ADFC-AEB779F1FE08}">
  <sheetPr codeName="Sheet2"/>
  <dimension ref="A1:J70"/>
  <sheetViews>
    <sheetView tabSelected="1" topLeftCell="C1" workbookViewId="0">
      <selection activeCell="G19" sqref="G19"/>
    </sheetView>
  </sheetViews>
  <sheetFormatPr defaultRowHeight="18"/>
  <cols>
    <col min="1" max="1" width="4.19921875" customWidth="1"/>
    <col min="2" max="2" width="30.69921875" customWidth="1"/>
    <col min="3" max="3" width="40.69921875" customWidth="1"/>
    <col min="4" max="4" width="50.69921875" customWidth="1"/>
    <col min="5" max="5" width="8.69921875" customWidth="1"/>
    <col min="6" max="6" width="10.19921875" customWidth="1"/>
    <col min="7" max="7" width="10.19921875" bestFit="1" customWidth="1"/>
    <col min="8" max="10" width="8.69921875" customWidth="1"/>
  </cols>
  <sheetData>
    <row r="1" spans="1:10">
      <c r="B1" s="11" t="s">
        <v>5</v>
      </c>
      <c r="C1" s="10" t="str">
        <f ca="1">RIGHT(CELL("filename",A2),LEN(CELL("filename",A2))-FIND("]",CELL("filename",A2)))</f>
        <v>メインメニュー</v>
      </c>
      <c r="D1" s="8"/>
    </row>
    <row r="2" spans="1:10">
      <c r="B2" s="11" t="s">
        <v>9</v>
      </c>
      <c r="C2" s="10">
        <f>COUNTA(D7:D68)</f>
        <v>56</v>
      </c>
    </row>
    <row r="3" spans="1:10">
      <c r="B3" s="11" t="s">
        <v>39</v>
      </c>
      <c r="C3" s="10">
        <f>COUNTA(F7:F68)</f>
        <v>54</v>
      </c>
    </row>
    <row r="4" spans="1:10">
      <c r="B4" s="11" t="s">
        <v>11</v>
      </c>
      <c r="C4" s="10">
        <f>COUNTA(G7:G68)</f>
        <v>54</v>
      </c>
    </row>
    <row r="5" spans="1:10">
      <c r="B5" s="9"/>
      <c r="C5" s="8"/>
    </row>
    <row r="6" spans="1:10" s="6" customFormat="1">
      <c r="A6" s="7" t="s">
        <v>4</v>
      </c>
      <c r="B6" s="7" t="s">
        <v>6</v>
      </c>
      <c r="C6" s="7" t="s">
        <v>7</v>
      </c>
      <c r="D6" s="7" t="s">
        <v>3</v>
      </c>
      <c r="E6" s="7" t="s">
        <v>2</v>
      </c>
      <c r="F6" s="7" t="s">
        <v>1</v>
      </c>
      <c r="G6" s="7" t="s">
        <v>0</v>
      </c>
      <c r="H6" s="13" t="s">
        <v>8</v>
      </c>
      <c r="I6" s="13"/>
      <c r="J6" s="13"/>
    </row>
    <row r="7" spans="1:10" s="1" customFormat="1" ht="36">
      <c r="A7" s="2">
        <f>ROW()-5</f>
        <v>2</v>
      </c>
      <c r="B7" s="5" t="s">
        <v>15</v>
      </c>
      <c r="C7" s="5" t="s">
        <v>13</v>
      </c>
      <c r="D7" s="5"/>
      <c r="E7" s="4"/>
      <c r="F7" s="3"/>
      <c r="G7" s="3"/>
      <c r="H7" s="2"/>
      <c r="I7" s="4"/>
      <c r="J7" s="4"/>
    </row>
    <row r="8" spans="1:10" s="1" customFormat="1">
      <c r="A8" s="2">
        <f t="shared" ref="A8:A68" si="0">ROW()-5</f>
        <v>3</v>
      </c>
      <c r="B8" s="5"/>
      <c r="C8" s="5" t="s">
        <v>12</v>
      </c>
      <c r="D8" s="5"/>
      <c r="E8" s="4"/>
      <c r="F8" s="3"/>
      <c r="G8" s="3"/>
      <c r="H8" s="2"/>
      <c r="I8" s="4"/>
      <c r="J8" s="4"/>
    </row>
    <row r="9" spans="1:10" s="1" customFormat="1" ht="72">
      <c r="A9" s="2">
        <f t="shared" si="0"/>
        <v>4</v>
      </c>
      <c r="B9" s="5"/>
      <c r="C9" s="5" t="s">
        <v>14</v>
      </c>
      <c r="D9" s="5"/>
      <c r="E9" s="4"/>
      <c r="F9" s="3"/>
      <c r="G9" s="3"/>
      <c r="H9" s="2"/>
      <c r="I9" s="4"/>
      <c r="J9" s="4"/>
    </row>
    <row r="10" spans="1:10" s="1" customFormat="1" ht="36">
      <c r="A10" s="2">
        <f t="shared" si="0"/>
        <v>5</v>
      </c>
      <c r="B10" s="5"/>
      <c r="C10" s="5" t="s">
        <v>21</v>
      </c>
      <c r="D10" s="5" t="s">
        <v>16</v>
      </c>
      <c r="E10" s="4" t="s">
        <v>42</v>
      </c>
      <c r="F10" s="3">
        <v>43719</v>
      </c>
      <c r="G10" s="3">
        <v>43719</v>
      </c>
      <c r="H10" s="2"/>
      <c r="I10" s="4"/>
      <c r="J10" s="4"/>
    </row>
    <row r="11" spans="1:10" s="1" customFormat="1">
      <c r="A11" s="2">
        <f t="shared" si="0"/>
        <v>6</v>
      </c>
      <c r="B11" s="5"/>
      <c r="C11" s="5"/>
      <c r="D11" s="5" t="s">
        <v>27</v>
      </c>
      <c r="E11" s="4" t="s">
        <v>42</v>
      </c>
      <c r="F11" s="3">
        <v>43719</v>
      </c>
      <c r="G11" s="3">
        <v>43719</v>
      </c>
      <c r="H11" s="2"/>
      <c r="I11" s="4"/>
      <c r="J11" s="4"/>
    </row>
    <row r="12" spans="1:10" s="1" customFormat="1">
      <c r="A12" s="2">
        <f t="shared" si="0"/>
        <v>7</v>
      </c>
      <c r="B12" s="5"/>
      <c r="C12" s="5"/>
      <c r="D12" s="5" t="s">
        <v>41</v>
      </c>
      <c r="E12" s="4" t="s">
        <v>42</v>
      </c>
      <c r="F12" s="3">
        <v>43719</v>
      </c>
      <c r="G12" s="3">
        <v>43719</v>
      </c>
      <c r="H12" s="2"/>
      <c r="I12" s="4"/>
      <c r="J12" s="4"/>
    </row>
    <row r="13" spans="1:10" s="1" customFormat="1">
      <c r="A13" s="2">
        <f t="shared" si="0"/>
        <v>8</v>
      </c>
      <c r="B13" s="5"/>
      <c r="C13" s="5"/>
      <c r="D13" s="5" t="s">
        <v>40</v>
      </c>
      <c r="E13" s="4" t="s">
        <v>42</v>
      </c>
      <c r="F13" s="3">
        <v>43719</v>
      </c>
      <c r="G13" s="3">
        <v>43719</v>
      </c>
      <c r="H13" s="2"/>
      <c r="I13" s="4"/>
      <c r="J13" s="4"/>
    </row>
    <row r="14" spans="1:10" s="1" customFormat="1">
      <c r="A14" s="2">
        <f t="shared" si="0"/>
        <v>9</v>
      </c>
      <c r="B14" s="5"/>
      <c r="C14" s="5"/>
      <c r="D14" s="5" t="s">
        <v>43</v>
      </c>
      <c r="E14" s="4" t="s">
        <v>42</v>
      </c>
      <c r="F14" s="3">
        <v>43719</v>
      </c>
      <c r="G14" s="3">
        <v>43719</v>
      </c>
      <c r="H14" s="2"/>
      <c r="I14" s="4"/>
      <c r="J14" s="4"/>
    </row>
    <row r="15" spans="1:10" s="1" customFormat="1">
      <c r="A15" s="2">
        <f t="shared" si="0"/>
        <v>10</v>
      </c>
      <c r="B15" s="5"/>
      <c r="C15" s="5"/>
      <c r="D15" s="5" t="s">
        <v>44</v>
      </c>
      <c r="E15" s="4" t="s">
        <v>42</v>
      </c>
      <c r="F15" s="3">
        <v>43719</v>
      </c>
      <c r="G15" s="3">
        <v>43719</v>
      </c>
      <c r="H15" s="2"/>
      <c r="I15" s="4"/>
      <c r="J15" s="4"/>
    </row>
    <row r="16" spans="1:10" s="1" customFormat="1">
      <c r="A16" s="2">
        <f t="shared" si="0"/>
        <v>11</v>
      </c>
      <c r="B16" s="5"/>
      <c r="C16" s="5"/>
      <c r="D16" s="5" t="s">
        <v>45</v>
      </c>
      <c r="E16" s="4" t="s">
        <v>42</v>
      </c>
      <c r="F16" s="3">
        <v>43719</v>
      </c>
      <c r="G16" s="3">
        <v>43719</v>
      </c>
      <c r="H16" s="2"/>
      <c r="I16" s="4"/>
      <c r="J16" s="4"/>
    </row>
    <row r="17" spans="1:10" s="1" customFormat="1">
      <c r="A17" s="2">
        <f t="shared" si="0"/>
        <v>12</v>
      </c>
      <c r="B17" s="5"/>
      <c r="C17" s="5"/>
      <c r="D17" s="5" t="s">
        <v>46</v>
      </c>
      <c r="E17" s="4" t="s">
        <v>42</v>
      </c>
      <c r="F17" s="3">
        <v>43719</v>
      </c>
      <c r="G17" s="3">
        <v>43719</v>
      </c>
      <c r="H17" s="2"/>
      <c r="I17" s="4"/>
      <c r="J17" s="4"/>
    </row>
    <row r="18" spans="1:10" s="1" customFormat="1">
      <c r="A18" s="2">
        <f t="shared" si="0"/>
        <v>13</v>
      </c>
      <c r="B18" s="5"/>
      <c r="C18" s="5"/>
      <c r="D18" s="5" t="s">
        <v>47</v>
      </c>
      <c r="E18" s="4" t="s">
        <v>42</v>
      </c>
      <c r="F18" s="3">
        <v>43719</v>
      </c>
      <c r="G18" s="3">
        <v>43741</v>
      </c>
      <c r="H18" s="2">
        <v>2</v>
      </c>
      <c r="I18" s="4"/>
      <c r="J18" s="4"/>
    </row>
    <row r="19" spans="1:10" s="1" customFormat="1">
      <c r="A19" s="2">
        <f t="shared" si="0"/>
        <v>14</v>
      </c>
      <c r="B19" s="5"/>
      <c r="C19" s="5"/>
      <c r="D19" s="5" t="s">
        <v>48</v>
      </c>
      <c r="E19" s="4" t="s">
        <v>42</v>
      </c>
      <c r="F19" s="3">
        <v>43719</v>
      </c>
      <c r="G19" s="3">
        <v>43741</v>
      </c>
      <c r="H19" s="2">
        <v>3</v>
      </c>
      <c r="I19" s="4"/>
      <c r="J19" s="4"/>
    </row>
    <row r="20" spans="1:10" s="1" customFormat="1">
      <c r="A20" s="2">
        <f t="shared" si="0"/>
        <v>15</v>
      </c>
      <c r="B20" s="5"/>
      <c r="C20" s="5"/>
      <c r="D20" s="5" t="s">
        <v>49</v>
      </c>
      <c r="E20" s="4" t="s">
        <v>42</v>
      </c>
      <c r="F20" s="3">
        <v>43719</v>
      </c>
      <c r="G20" s="3">
        <v>43719</v>
      </c>
      <c r="H20" s="2"/>
      <c r="I20" s="4"/>
      <c r="J20" s="4"/>
    </row>
    <row r="21" spans="1:10" s="1" customFormat="1">
      <c r="A21" s="2">
        <f t="shared" si="0"/>
        <v>16</v>
      </c>
      <c r="B21" s="5"/>
      <c r="C21" s="5"/>
      <c r="D21" s="5" t="s">
        <v>50</v>
      </c>
      <c r="E21" s="4" t="s">
        <v>42</v>
      </c>
      <c r="F21" s="3">
        <v>43719</v>
      </c>
      <c r="G21" s="3">
        <v>43719</v>
      </c>
      <c r="H21" s="2"/>
      <c r="I21" s="4"/>
      <c r="J21" s="4"/>
    </row>
    <row r="22" spans="1:10" s="1" customFormat="1">
      <c r="A22" s="2">
        <f t="shared" si="0"/>
        <v>17</v>
      </c>
      <c r="B22" s="5"/>
      <c r="C22" s="5"/>
      <c r="D22" s="5" t="s">
        <v>51</v>
      </c>
      <c r="E22" s="4" t="s">
        <v>42</v>
      </c>
      <c r="F22" s="3">
        <v>43719</v>
      </c>
      <c r="G22" s="3">
        <v>43719</v>
      </c>
      <c r="H22" s="2"/>
      <c r="I22" s="4"/>
      <c r="J22" s="4"/>
    </row>
    <row r="23" spans="1:10" s="1" customFormat="1">
      <c r="A23" s="2">
        <f t="shared" si="0"/>
        <v>18</v>
      </c>
      <c r="B23" s="5"/>
      <c r="C23" s="5"/>
      <c r="D23" s="5" t="s">
        <v>28</v>
      </c>
      <c r="E23" s="4" t="s">
        <v>42</v>
      </c>
      <c r="F23" s="3">
        <v>43719</v>
      </c>
      <c r="G23" s="3">
        <v>43719</v>
      </c>
      <c r="H23" s="2"/>
      <c r="I23" s="4"/>
      <c r="J23" s="4"/>
    </row>
    <row r="24" spans="1:10" s="1" customFormat="1">
      <c r="A24" s="2">
        <f t="shared" si="0"/>
        <v>19</v>
      </c>
      <c r="B24" s="5"/>
      <c r="C24" s="5"/>
      <c r="D24" s="5" t="s">
        <v>52</v>
      </c>
      <c r="E24" s="4" t="s">
        <v>42</v>
      </c>
      <c r="F24" s="3">
        <v>43719</v>
      </c>
      <c r="G24" s="3">
        <v>43719</v>
      </c>
      <c r="H24" s="2"/>
      <c r="I24" s="4"/>
      <c r="J24" s="4"/>
    </row>
    <row r="25" spans="1:10" s="1" customFormat="1">
      <c r="A25" s="2">
        <f t="shared" si="0"/>
        <v>20</v>
      </c>
      <c r="B25" s="5"/>
      <c r="C25" s="5"/>
      <c r="D25" s="5" t="s">
        <v>53</v>
      </c>
      <c r="E25" s="4" t="s">
        <v>42</v>
      </c>
      <c r="F25" s="3">
        <v>43719</v>
      </c>
      <c r="G25" s="3">
        <v>43719</v>
      </c>
      <c r="H25" s="2"/>
      <c r="I25" s="4"/>
      <c r="J25" s="4"/>
    </row>
    <row r="26" spans="1:10" s="1" customFormat="1">
      <c r="A26" s="2">
        <f t="shared" si="0"/>
        <v>21</v>
      </c>
      <c r="B26" s="5"/>
      <c r="C26" s="5"/>
      <c r="D26" s="5" t="s">
        <v>54</v>
      </c>
      <c r="E26" s="4" t="s">
        <v>42</v>
      </c>
      <c r="F26" s="3">
        <v>43719</v>
      </c>
      <c r="G26" s="3">
        <v>43719</v>
      </c>
      <c r="H26" s="2"/>
      <c r="I26" s="4"/>
      <c r="J26" s="4"/>
    </row>
    <row r="27" spans="1:10" s="1" customFormat="1">
      <c r="A27" s="2">
        <f t="shared" si="0"/>
        <v>22</v>
      </c>
      <c r="B27" s="5"/>
      <c r="C27" s="5"/>
      <c r="D27" s="5" t="s">
        <v>55</v>
      </c>
      <c r="E27" s="4" t="s">
        <v>42</v>
      </c>
      <c r="F27" s="3">
        <v>43719</v>
      </c>
      <c r="G27" s="3">
        <v>43719</v>
      </c>
      <c r="H27" s="2"/>
      <c r="I27" s="4"/>
      <c r="J27" s="4"/>
    </row>
    <row r="28" spans="1:10" s="1" customFormat="1">
      <c r="A28" s="2">
        <f t="shared" si="0"/>
        <v>23</v>
      </c>
      <c r="B28" s="5"/>
      <c r="C28" s="5" t="s">
        <v>17</v>
      </c>
      <c r="D28" s="5" t="s">
        <v>18</v>
      </c>
      <c r="E28" s="4" t="s">
        <v>42</v>
      </c>
      <c r="F28" s="3">
        <v>43719</v>
      </c>
      <c r="G28" s="3">
        <v>43719</v>
      </c>
      <c r="H28" s="2"/>
      <c r="I28" s="4"/>
      <c r="J28" s="4"/>
    </row>
    <row r="29" spans="1:10" s="1" customFormat="1">
      <c r="A29" s="2">
        <f t="shared" si="0"/>
        <v>24</v>
      </c>
      <c r="B29" s="5"/>
      <c r="C29" s="5" t="s">
        <v>19</v>
      </c>
      <c r="D29" s="5" t="s">
        <v>56</v>
      </c>
      <c r="E29" s="4" t="s">
        <v>42</v>
      </c>
      <c r="F29" s="3">
        <v>43719</v>
      </c>
      <c r="G29" s="3">
        <v>43719</v>
      </c>
      <c r="H29" s="2"/>
      <c r="I29" s="4"/>
      <c r="J29" s="4"/>
    </row>
    <row r="30" spans="1:10" s="1" customFormat="1" ht="36">
      <c r="A30" s="2">
        <f t="shared" si="0"/>
        <v>25</v>
      </c>
      <c r="B30" s="5" t="s">
        <v>22</v>
      </c>
      <c r="C30" s="5" t="s">
        <v>13</v>
      </c>
      <c r="D30" s="5"/>
      <c r="E30" s="4"/>
      <c r="F30" s="3"/>
      <c r="G30" s="3"/>
      <c r="H30" s="2"/>
      <c r="I30" s="4"/>
      <c r="J30" s="4"/>
    </row>
    <row r="31" spans="1:10" s="1" customFormat="1">
      <c r="A31" s="2">
        <f t="shared" si="0"/>
        <v>26</v>
      </c>
      <c r="B31" s="5"/>
      <c r="C31" s="5" t="s">
        <v>12</v>
      </c>
      <c r="D31" s="5"/>
      <c r="E31" s="4"/>
      <c r="F31" s="3"/>
      <c r="G31" s="3"/>
      <c r="H31" s="2"/>
      <c r="I31" s="4"/>
      <c r="J31" s="4"/>
    </row>
    <row r="32" spans="1:10" s="1" customFormat="1" ht="72">
      <c r="A32" s="2">
        <f t="shared" si="0"/>
        <v>27</v>
      </c>
      <c r="B32" s="5"/>
      <c r="C32" s="5" t="s">
        <v>14</v>
      </c>
      <c r="D32" s="5"/>
      <c r="E32" s="4"/>
      <c r="F32" s="3"/>
      <c r="G32" s="3"/>
      <c r="H32" s="2"/>
      <c r="I32" s="4"/>
      <c r="J32" s="4"/>
    </row>
    <row r="33" spans="1:10" s="1" customFormat="1">
      <c r="A33" s="2">
        <f t="shared" si="0"/>
        <v>28</v>
      </c>
      <c r="B33" s="5"/>
      <c r="C33" s="12" t="s">
        <v>23</v>
      </c>
      <c r="D33" s="5" t="str">
        <f>CONCATENATE(C33,"画面に遷移すること。")</f>
        <v>データエクスポート画面に遷移すること。</v>
      </c>
      <c r="E33" s="4" t="s">
        <v>42</v>
      </c>
      <c r="F33" s="3">
        <v>43721</v>
      </c>
      <c r="G33" s="3">
        <v>43721</v>
      </c>
      <c r="H33" s="2"/>
      <c r="I33" s="4"/>
      <c r="J33" s="4"/>
    </row>
    <row r="34" spans="1:10" s="1" customFormat="1">
      <c r="A34" s="2">
        <f t="shared" si="0"/>
        <v>29</v>
      </c>
      <c r="B34" s="5"/>
      <c r="C34" s="5" t="s">
        <v>17</v>
      </c>
      <c r="D34" s="5" t="s">
        <v>20</v>
      </c>
      <c r="E34" s="4" t="s">
        <v>42</v>
      </c>
      <c r="F34" s="3">
        <v>43721</v>
      </c>
      <c r="G34" s="3">
        <v>43721</v>
      </c>
      <c r="H34" s="2"/>
      <c r="I34" s="4"/>
      <c r="J34" s="4"/>
    </row>
    <row r="35" spans="1:10" s="1" customFormat="1">
      <c r="A35" s="2">
        <f t="shared" si="0"/>
        <v>30</v>
      </c>
      <c r="B35" s="5"/>
      <c r="C35" s="12" t="s">
        <v>24</v>
      </c>
      <c r="D35" s="5" t="str">
        <f>CONCATENATE(C35,"画面に遷移すること。")</f>
        <v>見積原価管理画面に遷移すること。</v>
      </c>
      <c r="E35" s="4" t="s">
        <v>42</v>
      </c>
      <c r="F35" s="3">
        <v>43721</v>
      </c>
      <c r="G35" s="3">
        <v>43721</v>
      </c>
      <c r="H35" s="2"/>
      <c r="I35" s="4"/>
      <c r="J35" s="4"/>
    </row>
    <row r="36" spans="1:10" s="1" customFormat="1">
      <c r="A36" s="2">
        <f t="shared" si="0"/>
        <v>31</v>
      </c>
      <c r="B36" s="5"/>
      <c r="C36" s="5" t="s">
        <v>17</v>
      </c>
      <c r="D36" s="5" t="s">
        <v>20</v>
      </c>
      <c r="E36" s="4" t="s">
        <v>42</v>
      </c>
      <c r="F36" s="3">
        <v>43721</v>
      </c>
      <c r="G36" s="3">
        <v>43721</v>
      </c>
      <c r="H36" s="2"/>
      <c r="I36" s="4"/>
      <c r="J36" s="4"/>
    </row>
    <row r="37" spans="1:10" s="1" customFormat="1">
      <c r="A37" s="2">
        <f t="shared" si="0"/>
        <v>32</v>
      </c>
      <c r="B37" s="5"/>
      <c r="C37" s="12" t="s">
        <v>57</v>
      </c>
      <c r="D37" s="5" t="str">
        <f>CONCATENATE(C37,"画面に遷移すること。")</f>
        <v>商品管理画面に遷移すること。</v>
      </c>
      <c r="E37" s="4" t="s">
        <v>42</v>
      </c>
      <c r="F37" s="3">
        <v>43721</v>
      </c>
      <c r="G37" s="3">
        <v>43721</v>
      </c>
      <c r="H37" s="2"/>
      <c r="I37" s="4"/>
      <c r="J37" s="4"/>
    </row>
    <row r="38" spans="1:10" s="1" customFormat="1">
      <c r="A38" s="2">
        <f t="shared" si="0"/>
        <v>33</v>
      </c>
      <c r="B38" s="5"/>
      <c r="C38" s="5" t="s">
        <v>17</v>
      </c>
      <c r="D38" s="5" t="s">
        <v>20</v>
      </c>
      <c r="E38" s="4" t="s">
        <v>42</v>
      </c>
      <c r="F38" s="3">
        <v>43721</v>
      </c>
      <c r="G38" s="3">
        <v>43721</v>
      </c>
      <c r="H38" s="2"/>
      <c r="I38" s="4"/>
      <c r="J38" s="4"/>
    </row>
    <row r="39" spans="1:10" s="1" customFormat="1">
      <c r="A39" s="2">
        <f t="shared" si="0"/>
        <v>34</v>
      </c>
      <c r="B39" s="5"/>
      <c r="C39" s="12" t="s">
        <v>58</v>
      </c>
      <c r="D39" s="5" t="str">
        <f>CONCATENATE(C39,"画面に遷移すること。")</f>
        <v>発注管理画面に遷移すること。</v>
      </c>
      <c r="E39" s="4" t="s">
        <v>42</v>
      </c>
      <c r="F39" s="3">
        <v>43721</v>
      </c>
      <c r="G39" s="3">
        <v>43721</v>
      </c>
      <c r="H39" s="2"/>
      <c r="I39" s="4"/>
      <c r="J39" s="4"/>
    </row>
    <row r="40" spans="1:10" s="1" customFormat="1">
      <c r="A40" s="2">
        <f t="shared" si="0"/>
        <v>35</v>
      </c>
      <c r="B40" s="5"/>
      <c r="C40" s="5" t="s">
        <v>17</v>
      </c>
      <c r="D40" s="5" t="s">
        <v>20</v>
      </c>
      <c r="E40" s="4" t="s">
        <v>42</v>
      </c>
      <c r="F40" s="3">
        <v>43721</v>
      </c>
      <c r="G40" s="3">
        <v>43721</v>
      </c>
      <c r="H40" s="2"/>
      <c r="I40" s="4"/>
      <c r="J40" s="4"/>
    </row>
    <row r="41" spans="1:10" s="1" customFormat="1">
      <c r="A41" s="2">
        <f t="shared" si="0"/>
        <v>36</v>
      </c>
      <c r="B41" s="5"/>
      <c r="C41" s="12" t="s">
        <v>59</v>
      </c>
      <c r="D41" s="5" t="str">
        <f>CONCATENATE(C41,"画面に遷移すること。")</f>
        <v>受注管理画面に遷移すること。</v>
      </c>
      <c r="E41" s="4" t="s">
        <v>42</v>
      </c>
      <c r="F41" s="3">
        <v>43721</v>
      </c>
      <c r="G41" s="3">
        <v>43721</v>
      </c>
      <c r="H41" s="2"/>
      <c r="I41" s="4"/>
      <c r="J41" s="4"/>
    </row>
    <row r="42" spans="1:10" s="1" customFormat="1">
      <c r="A42" s="2">
        <f t="shared" si="0"/>
        <v>37</v>
      </c>
      <c r="B42" s="5"/>
      <c r="C42" s="5" t="s">
        <v>17</v>
      </c>
      <c r="D42" s="5" t="s">
        <v>20</v>
      </c>
      <c r="E42" s="4" t="s">
        <v>42</v>
      </c>
      <c r="F42" s="3">
        <v>43721</v>
      </c>
      <c r="G42" s="3">
        <v>43721</v>
      </c>
      <c r="H42" s="2"/>
      <c r="I42" s="4"/>
      <c r="J42" s="4"/>
    </row>
    <row r="43" spans="1:10" s="1" customFormat="1">
      <c r="A43" s="2">
        <f t="shared" si="0"/>
        <v>38</v>
      </c>
      <c r="B43" s="5"/>
      <c r="C43" s="12" t="s">
        <v>25</v>
      </c>
      <c r="D43" s="5" t="str">
        <f>CONCATENATE(C43,"画面に遷移すること。")</f>
        <v>売上管理画面に遷移すること。</v>
      </c>
      <c r="E43" s="4" t="s">
        <v>42</v>
      </c>
      <c r="F43" s="3">
        <v>43721</v>
      </c>
      <c r="G43" s="3">
        <v>43721</v>
      </c>
      <c r="H43" s="2"/>
      <c r="I43" s="4"/>
      <c r="J43" s="4"/>
    </row>
    <row r="44" spans="1:10" s="1" customFormat="1">
      <c r="A44" s="2">
        <f t="shared" si="0"/>
        <v>39</v>
      </c>
      <c r="B44" s="5"/>
      <c r="C44" s="5" t="s">
        <v>17</v>
      </c>
      <c r="D44" s="5" t="s">
        <v>20</v>
      </c>
      <c r="E44" s="4" t="s">
        <v>42</v>
      </c>
      <c r="F44" s="3">
        <v>43721</v>
      </c>
      <c r="G44" s="3">
        <v>43721</v>
      </c>
      <c r="H44" s="2"/>
      <c r="I44" s="4"/>
      <c r="J44" s="4"/>
    </row>
    <row r="45" spans="1:10" s="1" customFormat="1">
      <c r="A45" s="2">
        <f t="shared" si="0"/>
        <v>40</v>
      </c>
      <c r="B45" s="5"/>
      <c r="C45" s="12" t="s">
        <v>26</v>
      </c>
      <c r="D45" s="5" t="str">
        <f>CONCATENATE(C45,"画面に遷移すること。")</f>
        <v>仕入管理画面に遷移すること。</v>
      </c>
      <c r="E45" s="4" t="s">
        <v>42</v>
      </c>
      <c r="F45" s="3">
        <v>43721</v>
      </c>
      <c r="G45" s="3">
        <v>43721</v>
      </c>
      <c r="H45" s="2"/>
      <c r="I45" s="4"/>
      <c r="J45" s="4"/>
    </row>
    <row r="46" spans="1:10" s="1" customFormat="1">
      <c r="A46" s="2">
        <f t="shared" si="0"/>
        <v>41</v>
      </c>
      <c r="B46" s="5"/>
      <c r="C46" s="5" t="s">
        <v>17</v>
      </c>
      <c r="D46" s="5" t="s">
        <v>20</v>
      </c>
      <c r="E46" s="4" t="s">
        <v>42</v>
      </c>
      <c r="F46" s="3">
        <v>43721</v>
      </c>
      <c r="G46" s="3">
        <v>43721</v>
      </c>
      <c r="H46" s="2"/>
      <c r="I46" s="4"/>
      <c r="J46" s="4"/>
    </row>
    <row r="47" spans="1:10" s="1" customFormat="1">
      <c r="A47" s="2">
        <f t="shared" si="0"/>
        <v>42</v>
      </c>
      <c r="B47" s="5"/>
      <c r="C47" s="12" t="s">
        <v>60</v>
      </c>
      <c r="D47" s="5" t="str">
        <f>CONCATENATE(C47,"画面に遷移すること。")</f>
        <v>帳票出力画面に遷移すること。</v>
      </c>
      <c r="E47" s="4" t="s">
        <v>42</v>
      </c>
      <c r="F47" s="3">
        <v>43721</v>
      </c>
      <c r="G47" s="3">
        <v>43721</v>
      </c>
      <c r="H47" s="2"/>
      <c r="I47" s="4"/>
      <c r="J47" s="4"/>
    </row>
    <row r="48" spans="1:10" s="1" customFormat="1">
      <c r="A48" s="2">
        <f t="shared" si="0"/>
        <v>43</v>
      </c>
      <c r="B48" s="5"/>
      <c r="C48" s="5" t="s">
        <v>17</v>
      </c>
      <c r="D48" s="5" t="s">
        <v>20</v>
      </c>
      <c r="E48" s="4" t="s">
        <v>42</v>
      </c>
      <c r="F48" s="3">
        <v>43721</v>
      </c>
      <c r="G48" s="3">
        <v>43721</v>
      </c>
      <c r="H48" s="2"/>
      <c r="I48" s="4"/>
      <c r="J48" s="4"/>
    </row>
    <row r="49" spans="1:10" s="1" customFormat="1">
      <c r="A49" s="2">
        <f t="shared" si="0"/>
        <v>44</v>
      </c>
      <c r="B49" s="5"/>
      <c r="C49" s="12" t="s">
        <v>61</v>
      </c>
      <c r="D49" s="5" t="str">
        <f>CONCATENATE(C49,"画面に遷移すること。")</f>
        <v>請求管理画面に遷移すること。</v>
      </c>
      <c r="E49" s="4" t="s">
        <v>42</v>
      </c>
      <c r="F49" s="3">
        <v>43721</v>
      </c>
      <c r="G49" s="3">
        <v>43721</v>
      </c>
      <c r="H49" s="2"/>
      <c r="I49" s="4"/>
      <c r="J49" s="4"/>
    </row>
    <row r="50" spans="1:10" s="1" customFormat="1">
      <c r="A50" s="2">
        <f t="shared" si="0"/>
        <v>45</v>
      </c>
      <c r="B50" s="5"/>
      <c r="C50" s="5" t="s">
        <v>17</v>
      </c>
      <c r="D50" s="5" t="s">
        <v>20</v>
      </c>
      <c r="E50" s="4" t="s">
        <v>42</v>
      </c>
      <c r="F50" s="3">
        <v>43721</v>
      </c>
      <c r="G50" s="3">
        <v>43721</v>
      </c>
      <c r="H50" s="2"/>
      <c r="I50" s="4"/>
      <c r="J50" s="4"/>
    </row>
    <row r="51" spans="1:10" s="1" customFormat="1">
      <c r="A51" s="2">
        <f t="shared" si="0"/>
        <v>46</v>
      </c>
      <c r="B51" s="5"/>
      <c r="C51" s="12" t="s">
        <v>29</v>
      </c>
      <c r="D51" s="5" t="str">
        <f>CONCATENATE(C51,"画面に遷移すること。")</f>
        <v>ユーザー管理画面に遷移すること。</v>
      </c>
      <c r="E51" s="4" t="s">
        <v>42</v>
      </c>
      <c r="F51" s="3">
        <v>43721</v>
      </c>
      <c r="G51" s="3">
        <v>43721</v>
      </c>
      <c r="H51" s="2"/>
      <c r="I51" s="4"/>
      <c r="J51" s="4"/>
    </row>
    <row r="52" spans="1:10" s="1" customFormat="1">
      <c r="A52" s="2">
        <f t="shared" si="0"/>
        <v>47</v>
      </c>
      <c r="B52" s="5"/>
      <c r="C52" s="5" t="s">
        <v>17</v>
      </c>
      <c r="D52" s="5" t="s">
        <v>20</v>
      </c>
      <c r="E52" s="4" t="s">
        <v>42</v>
      </c>
      <c r="F52" s="3">
        <v>43721</v>
      </c>
      <c r="G52" s="3">
        <v>43721</v>
      </c>
      <c r="H52" s="2"/>
      <c r="I52" s="4"/>
      <c r="J52" s="4"/>
    </row>
    <row r="53" spans="1:10" s="1" customFormat="1">
      <c r="A53" s="2">
        <f t="shared" si="0"/>
        <v>48</v>
      </c>
      <c r="B53" s="5"/>
      <c r="C53" s="12" t="s">
        <v>30</v>
      </c>
      <c r="D53" s="5" t="str">
        <f>CONCATENATE(C53,"画面に遷移すること。")</f>
        <v>マスタ管理画面に遷移すること。</v>
      </c>
      <c r="E53" s="4" t="s">
        <v>42</v>
      </c>
      <c r="F53" s="3">
        <v>43721</v>
      </c>
      <c r="G53" s="3">
        <v>43721</v>
      </c>
      <c r="H53" s="2"/>
      <c r="I53" s="4"/>
      <c r="J53" s="4"/>
    </row>
    <row r="54" spans="1:10" s="1" customFormat="1">
      <c r="A54" s="2">
        <f t="shared" si="0"/>
        <v>49</v>
      </c>
      <c r="B54" s="5"/>
      <c r="C54" s="5" t="s">
        <v>17</v>
      </c>
      <c r="D54" s="5" t="s">
        <v>20</v>
      </c>
      <c r="E54" s="4" t="s">
        <v>42</v>
      </c>
      <c r="F54" s="3">
        <v>43721</v>
      </c>
      <c r="G54" s="3">
        <v>43721</v>
      </c>
      <c r="H54" s="2"/>
      <c r="I54" s="4"/>
      <c r="J54" s="4"/>
    </row>
    <row r="55" spans="1:10" s="1" customFormat="1">
      <c r="A55" s="2">
        <f t="shared" si="0"/>
        <v>50</v>
      </c>
      <c r="B55" s="5"/>
      <c r="C55" s="12" t="s">
        <v>31</v>
      </c>
      <c r="D55" s="5" t="str">
        <f>CONCATENATE(C55,"画面に遷移すること。")</f>
        <v>金型履歴管理画面に遷移すること。</v>
      </c>
      <c r="E55" s="4" t="s">
        <v>42</v>
      </c>
      <c r="F55" s="3">
        <v>43721</v>
      </c>
      <c r="G55" s="3">
        <v>43721</v>
      </c>
      <c r="H55" s="2"/>
      <c r="I55" s="4"/>
      <c r="J55" s="4"/>
    </row>
    <row r="56" spans="1:10" s="1" customFormat="1">
      <c r="A56" s="2">
        <f t="shared" si="0"/>
        <v>51</v>
      </c>
      <c r="B56" s="5"/>
      <c r="C56" s="5" t="s">
        <v>17</v>
      </c>
      <c r="D56" s="5" t="s">
        <v>20</v>
      </c>
      <c r="E56" s="4" t="s">
        <v>42</v>
      </c>
      <c r="F56" s="3">
        <v>43721</v>
      </c>
      <c r="G56" s="3">
        <v>43721</v>
      </c>
      <c r="H56" s="2"/>
      <c r="I56" s="4"/>
      <c r="J56" s="4"/>
    </row>
    <row r="57" spans="1:10" s="1" customFormat="1">
      <c r="A57" s="2">
        <f t="shared" si="0"/>
        <v>52</v>
      </c>
      <c r="B57" s="5"/>
      <c r="C57" s="12" t="s">
        <v>32</v>
      </c>
      <c r="D57" s="5" t="str">
        <f>CONCATENATE(C57,"画面に遷移すること。")</f>
        <v>金型帳票管理画面に遷移すること。</v>
      </c>
      <c r="E57" s="4" t="s">
        <v>42</v>
      </c>
      <c r="F57" s="3">
        <v>43721</v>
      </c>
      <c r="G57" s="3">
        <v>43721</v>
      </c>
      <c r="H57" s="2"/>
      <c r="I57" s="4"/>
      <c r="J57" s="4"/>
    </row>
    <row r="58" spans="1:10" s="1" customFormat="1">
      <c r="A58" s="2">
        <f t="shared" si="0"/>
        <v>53</v>
      </c>
      <c r="B58" s="5"/>
      <c r="C58" s="5" t="s">
        <v>17</v>
      </c>
      <c r="D58" s="5" t="s">
        <v>20</v>
      </c>
      <c r="E58" s="4" t="s">
        <v>42</v>
      </c>
      <c r="F58" s="3">
        <v>43721</v>
      </c>
      <c r="G58" s="3">
        <v>43721</v>
      </c>
      <c r="H58" s="2"/>
      <c r="I58" s="4"/>
      <c r="J58" s="4"/>
    </row>
    <row r="59" spans="1:10" s="1" customFormat="1">
      <c r="A59" s="2">
        <f t="shared" si="0"/>
        <v>54</v>
      </c>
      <c r="B59" s="5"/>
      <c r="C59" s="12" t="s">
        <v>33</v>
      </c>
      <c r="D59" s="5" t="str">
        <f>CONCATENATE(C59,"画面に遷移すること。")</f>
        <v>DATA画面に遷移すること。</v>
      </c>
      <c r="E59" s="4" t="s">
        <v>42</v>
      </c>
      <c r="F59" s="3">
        <v>43721</v>
      </c>
      <c r="G59" s="3">
        <v>43721</v>
      </c>
      <c r="H59" s="2"/>
      <c r="I59" s="4"/>
      <c r="J59" s="4"/>
    </row>
    <row r="60" spans="1:10" s="1" customFormat="1">
      <c r="A60" s="2">
        <f t="shared" si="0"/>
        <v>55</v>
      </c>
      <c r="B60" s="5"/>
      <c r="C60" s="5" t="s">
        <v>17</v>
      </c>
      <c r="D60" s="5" t="s">
        <v>20</v>
      </c>
      <c r="E60" s="4" t="s">
        <v>42</v>
      </c>
      <c r="F60" s="3">
        <v>43721</v>
      </c>
      <c r="G60" s="3">
        <v>43721</v>
      </c>
      <c r="H60" s="2"/>
      <c r="I60" s="4"/>
      <c r="J60" s="4"/>
    </row>
    <row r="61" spans="1:10" s="1" customFormat="1">
      <c r="A61" s="2">
        <f t="shared" si="0"/>
        <v>56</v>
      </c>
      <c r="B61" s="5"/>
      <c r="C61" s="12" t="s">
        <v>34</v>
      </c>
      <c r="D61" s="5" t="str">
        <f>CONCATENATE(C61,"画面に遷移すること。")</f>
        <v>L/C管理画面に遷移すること。</v>
      </c>
      <c r="E61" s="4" t="s">
        <v>42</v>
      </c>
      <c r="F61" s="3">
        <v>43721</v>
      </c>
      <c r="G61" s="3">
        <v>43721</v>
      </c>
      <c r="H61" s="2"/>
      <c r="I61" s="4"/>
      <c r="J61" s="4"/>
    </row>
    <row r="62" spans="1:10" s="1" customFormat="1">
      <c r="A62" s="2">
        <f t="shared" si="0"/>
        <v>57</v>
      </c>
      <c r="B62" s="5"/>
      <c r="C62" s="5" t="s">
        <v>17</v>
      </c>
      <c r="D62" s="5" t="s">
        <v>20</v>
      </c>
      <c r="E62" s="4" t="s">
        <v>42</v>
      </c>
      <c r="F62" s="3">
        <v>43721</v>
      </c>
      <c r="G62" s="3">
        <v>43721</v>
      </c>
      <c r="H62" s="2"/>
      <c r="I62" s="4"/>
      <c r="J62" s="4"/>
    </row>
    <row r="63" spans="1:10" s="1" customFormat="1">
      <c r="A63" s="2">
        <f t="shared" si="0"/>
        <v>58</v>
      </c>
      <c r="B63" s="5"/>
      <c r="C63" s="12" t="s">
        <v>35</v>
      </c>
      <c r="D63" s="5" t="str">
        <f>CONCATENATE(C63,"画面に遷移すること。")</f>
        <v>L/C帳票出力画面に遷移すること。</v>
      </c>
      <c r="E63" s="4"/>
      <c r="F63" s="3"/>
      <c r="G63" s="3"/>
      <c r="H63" s="2"/>
      <c r="I63" s="4"/>
      <c r="J63" s="4"/>
    </row>
    <row r="64" spans="1:10" s="1" customFormat="1">
      <c r="A64" s="2">
        <f t="shared" si="0"/>
        <v>59</v>
      </c>
      <c r="B64" s="5"/>
      <c r="C64" s="5" t="s">
        <v>17</v>
      </c>
      <c r="D64" s="5" t="s">
        <v>20</v>
      </c>
      <c r="E64" s="4"/>
      <c r="F64" s="3"/>
      <c r="G64" s="3"/>
      <c r="H64" s="2"/>
      <c r="I64" s="4"/>
      <c r="J64" s="4"/>
    </row>
    <row r="65" spans="1:10" s="1" customFormat="1">
      <c r="A65" s="2">
        <f t="shared" si="0"/>
        <v>60</v>
      </c>
      <c r="B65" s="5"/>
      <c r="C65" s="12" t="s">
        <v>36</v>
      </c>
      <c r="D65" s="5" t="str">
        <f>CONCATENATE(C65,"画面に遷移すること。")</f>
        <v>USER画面に遷移すること。</v>
      </c>
      <c r="E65" s="4" t="s">
        <v>42</v>
      </c>
      <c r="F65" s="3">
        <v>43721</v>
      </c>
      <c r="G65" s="3">
        <v>43721</v>
      </c>
      <c r="H65" s="2"/>
      <c r="I65" s="4"/>
      <c r="J65" s="4"/>
    </row>
    <row r="66" spans="1:10" s="1" customFormat="1">
      <c r="A66" s="2">
        <f t="shared" si="0"/>
        <v>61</v>
      </c>
      <c r="B66" s="5"/>
      <c r="C66" s="5" t="s">
        <v>17</v>
      </c>
      <c r="D66" s="5" t="s">
        <v>20</v>
      </c>
      <c r="E66" s="4" t="s">
        <v>42</v>
      </c>
      <c r="F66" s="3">
        <v>43721</v>
      </c>
      <c r="G66" s="3">
        <v>43721</v>
      </c>
      <c r="H66" s="2"/>
      <c r="I66" s="4"/>
      <c r="J66" s="4"/>
    </row>
    <row r="67" spans="1:10" s="1" customFormat="1">
      <c r="A67" s="2">
        <f t="shared" si="0"/>
        <v>62</v>
      </c>
      <c r="B67" s="5"/>
      <c r="C67" s="12" t="s">
        <v>37</v>
      </c>
      <c r="D67" s="5" t="str">
        <f>CONCATENATE(C67,"画面に遷移すること。")</f>
        <v>SYSTEM画面に遷移すること。</v>
      </c>
      <c r="E67" s="4" t="s">
        <v>42</v>
      </c>
      <c r="F67" s="3">
        <v>43721</v>
      </c>
      <c r="G67" s="3">
        <v>43721</v>
      </c>
      <c r="H67" s="2"/>
      <c r="I67" s="4"/>
      <c r="J67" s="4"/>
    </row>
    <row r="68" spans="1:10" s="1" customFormat="1">
      <c r="A68" s="2">
        <f t="shared" si="0"/>
        <v>63</v>
      </c>
      <c r="B68" s="5"/>
      <c r="C68" s="5" t="s">
        <v>17</v>
      </c>
      <c r="D68" s="5" t="s">
        <v>20</v>
      </c>
      <c r="E68" s="4" t="s">
        <v>42</v>
      </c>
      <c r="F68" s="3">
        <v>43721</v>
      </c>
      <c r="G68" s="3">
        <v>43721</v>
      </c>
      <c r="H68" s="2"/>
      <c r="I68" s="4"/>
      <c r="J68" s="4"/>
    </row>
    <row r="70" spans="1:10">
      <c r="B70" t="s">
        <v>10</v>
      </c>
    </row>
  </sheetData>
  <mergeCells count="1">
    <mergeCell ref="H6:J6"/>
  </mergeCells>
  <phoneticPr fontId="1"/>
  <pageMargins left="0.7" right="0.7" top="0.75" bottom="0.75" header="0.3" footer="0.3"/>
  <pageSetup paperSize="9" orientation="portrait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表紙</vt:lpstr>
      <vt:lpstr>メインメニュー</vt:lpstr>
      <vt:lpstr>メインメニュー!comp_count</vt:lpstr>
      <vt:lpstr>メインメニュー!item_count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solcom-ad</dc:creator>
  <cp:lastModifiedBy>solcom-ad</cp:lastModifiedBy>
  <dcterms:created xsi:type="dcterms:W3CDTF">2019-02-28T04:25:02Z</dcterms:created>
  <dcterms:modified xsi:type="dcterms:W3CDTF">2019-10-03T06:17:44Z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76a77fca-b9c7-4459-8afc-0eedaac0edf7</vt:lpwstr>
  </property>
</Properties>
</file>