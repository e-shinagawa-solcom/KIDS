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3\開発\クワガタ\03_H30 KID'Sシステムリニューアル\05_結合試験\ログイン+MAINMANU\"/>
    </mc:Choice>
  </mc:AlternateContent>
  <xr:revisionPtr revIDLastSave="0" documentId="13_ncr:1_{08DF4FAF-1C1D-4EB0-B0A5-1BA95F335981}" xr6:coauthVersionLast="40" xr6:coauthVersionMax="40" xr10:uidLastSave="{00000000-0000-0000-0000-000000000000}"/>
  <bookViews>
    <workbookView xWindow="0" yWindow="0" windowWidth="17256" windowHeight="5280" xr2:uid="{7855FBD0-5EC9-4DBA-9A4B-0C57305BA533}"/>
  </bookViews>
  <sheets>
    <sheet name="表紙" sheetId="2" r:id="rId1"/>
    <sheet name="メインメニュー" sheetId="1" r:id="rId2"/>
  </sheets>
  <definedNames>
    <definedName name="comp_count" localSheetId="1">メインメニュー!$C$3</definedName>
    <definedName name="item_count" localSheetId="1">メインメニュー!$C$2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9" i="1" l="1"/>
  <c r="D58" i="1"/>
  <c r="A58" i="1"/>
  <c r="A57" i="1"/>
  <c r="D56" i="1"/>
  <c r="A56" i="1"/>
  <c r="A55" i="1"/>
  <c r="D54" i="1"/>
  <c r="A54" i="1"/>
  <c r="A53" i="1"/>
  <c r="D52" i="1"/>
  <c r="A52" i="1"/>
  <c r="A51" i="1"/>
  <c r="D50" i="1"/>
  <c r="A50" i="1"/>
  <c r="A49" i="1"/>
  <c r="D48" i="1"/>
  <c r="A48" i="1"/>
  <c r="A47" i="1"/>
  <c r="D46" i="1"/>
  <c r="A46" i="1"/>
  <c r="D44" i="1"/>
  <c r="D42" i="1"/>
  <c r="A17" i="1"/>
  <c r="A18" i="1"/>
  <c r="A10" i="1"/>
  <c r="A16" i="1"/>
  <c r="A15" i="1"/>
  <c r="A14" i="1"/>
  <c r="A13" i="1"/>
  <c r="A11" i="1"/>
  <c r="A12" i="1"/>
  <c r="D40" i="1"/>
  <c r="A45" i="1"/>
  <c r="A44" i="1"/>
  <c r="D38" i="1"/>
  <c r="D36" i="1"/>
  <c r="D34" i="1"/>
  <c r="D32" i="1"/>
  <c r="D30" i="1"/>
  <c r="D28" i="1"/>
  <c r="A35" i="1"/>
  <c r="A34" i="1"/>
  <c r="A33" i="1"/>
  <c r="A32" i="1"/>
  <c r="A31" i="1"/>
  <c r="A30" i="1"/>
  <c r="A29" i="1"/>
  <c r="A28" i="1"/>
  <c r="A39" i="1"/>
  <c r="A38" i="1"/>
  <c r="A37" i="1"/>
  <c r="A36" i="1"/>
  <c r="A41" i="1"/>
  <c r="A40" i="1"/>
  <c r="D26" i="1"/>
  <c r="D24" i="1"/>
  <c r="A43" i="1" l="1"/>
  <c r="A42" i="1"/>
  <c r="A27" i="1"/>
  <c r="A26" i="1"/>
  <c r="A25" i="1"/>
  <c r="A24" i="1"/>
  <c r="A23" i="1"/>
  <c r="A22" i="1"/>
  <c r="A21" i="1"/>
  <c r="A20" i="1"/>
  <c r="A19" i="1"/>
  <c r="A9" i="1"/>
  <c r="A8" i="1"/>
  <c r="A7" i="1"/>
  <c r="A6" i="1"/>
  <c r="C3" i="1"/>
  <c r="C1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<sst xmlns="http://schemas.openxmlformats.org/spreadsheetml/2006/main" count="90" uniqueCount="52">
  <si>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</si>
  <si>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</si>
  <si>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</si>
  <si>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</si>
  <si>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</si>
  <si>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</si>
  <si>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</si>
  <si>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</si>
  <si>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</si>
  <si>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</si>
  <si>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</si>
  <si>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</si>
  <si>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enterボタンを押下する。</t>
    <rPh sb="9" eb="11">
      <t>オウカ</t>
    </rPh>
    <phoneticPr fontId="1"/>
  </si>
  <si>
    <t>以下のURLをブラウザで開く。
http://192.168.1.113</t>
    <rPh sb="0" eb="2">
      <t>イカ</t>
    </rPh>
    <rPh sb="12" eb="13">
      <t>ヒラ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</si>
  <si>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</si>
  <si>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メインメニュー表示</t>
    <rPh sb="7" eb="9">
      <t>ヒョウジ</t>
    </rPh>
    <phoneticPr fontId="1"/>
  </si>
  <si>
    <t>言語切替ボタンが表示されていないこと。</t>
    <rPh sb="0" eb="2">
      <t>ゲンゴ</t>
    </rPh>
    <rPh sb="2" eb="4">
      <t>キリカエ</t>
    </rPh>
    <rPh sb="8" eb="10">
      <t>ヒョウジ</t>
    </rPh>
    <phoneticPr fontId="1"/>
  </si>
  <si>
    <t>MAIN MENUボタンを押下する。</t>
    <rPh sb="13" eb="15">
      <t>オウカ</t>
    </rPh>
    <phoneticPr fontId="1"/>
  </si>
  <si>
    <t>画面表示に変化がないこと。</t>
    <rPh sb="0" eb="2">
      <t>ガメン</t>
    </rPh>
    <rPh sb="2" eb="4">
      <t>ヒョウジ</t>
    </rPh>
    <rPh sb="5" eb="7">
      <t>ヘンカ</t>
    </rPh>
    <phoneticPr fontId="1"/>
  </si>
  <si>
    <t>LOGOUTボタンを押下する。</t>
    <rPh sb="10" eb="12">
      <t>オウカ</t>
    </rPh>
    <phoneticPr fontId="1"/>
  </si>
  <si>
    <t>ログイン画面に遷移すること。</t>
    <rPh sb="4" eb="6">
      <t>ガメン</t>
    </rPh>
    <rPh sb="7" eb="9">
      <t>センイ</t>
    </rPh>
    <phoneticPr fontId="1"/>
  </si>
  <si>
    <t>メインメニュー画面に遷移すること。</t>
    <rPh sb="7" eb="9">
      <t>ガメン</t>
    </rPh>
    <rPh sb="10" eb="12">
      <t>センイ</t>
    </rPh>
    <phoneticPr fontId="1"/>
  </si>
  <si>
    <t>表示されたメインメニュー画面の表示状態を確認する。</t>
    <rPh sb="0" eb="2">
      <t>ヒョウジ</t>
    </rPh>
    <rPh sb="12" eb="14">
      <t>ガメン</t>
    </rPh>
    <rPh sb="15" eb="17">
      <t>ヒョウジ</t>
    </rPh>
    <rPh sb="17" eb="19">
      <t>ジョウタイ</t>
    </rPh>
    <rPh sb="20" eb="22">
      <t>カクニン</t>
    </rPh>
    <phoneticPr fontId="1"/>
  </si>
  <si>
    <t>各ボタン動作確認</t>
    <rPh sb="0" eb="1">
      <t>カク</t>
    </rPh>
    <rPh sb="4" eb="6">
      <t>ドウサ</t>
    </rPh>
    <rPh sb="6" eb="8">
      <t>カクニン</t>
    </rPh>
    <phoneticPr fontId="1"/>
  </si>
  <si>
    <t>データエクスポート</t>
    <phoneticPr fontId="1"/>
  </si>
  <si>
    <t>見積原価管理</t>
    <rPh sb="0" eb="2">
      <t>ミツモリ</t>
    </rPh>
    <rPh sb="2" eb="4">
      <t>ゲンカ</t>
    </rPh>
    <rPh sb="4" eb="6">
      <t>カンリ</t>
    </rPh>
    <phoneticPr fontId="1"/>
  </si>
  <si>
    <t>アップロード</t>
    <phoneticPr fontId="1"/>
  </si>
  <si>
    <t>商品検索</t>
    <rPh sb="0" eb="2">
      <t>ショウヒン</t>
    </rPh>
    <rPh sb="2" eb="4">
      <t>ケンサク</t>
    </rPh>
    <phoneticPr fontId="1"/>
  </si>
  <si>
    <t>発注検索</t>
    <rPh sb="0" eb="2">
      <t>ハッチュウ</t>
    </rPh>
    <rPh sb="2" eb="4">
      <t>ケンサク</t>
    </rPh>
    <phoneticPr fontId="1"/>
  </si>
  <si>
    <t>受注検索</t>
    <rPh sb="0" eb="2">
      <t>ジュチュウ</t>
    </rPh>
    <rPh sb="2" eb="4">
      <t>ケンサク</t>
    </rPh>
    <phoneticPr fontId="1"/>
  </si>
  <si>
    <t>売上管理</t>
    <rPh sb="0" eb="2">
      <t>ウリアゲ</t>
    </rPh>
    <rPh sb="2" eb="4">
      <t>カンリ</t>
    </rPh>
    <phoneticPr fontId="1"/>
  </si>
  <si>
    <t>仕入管理</t>
    <rPh sb="0" eb="2">
      <t>シイレ</t>
    </rPh>
    <rPh sb="2" eb="4">
      <t>カンリ</t>
    </rPh>
    <phoneticPr fontId="1"/>
  </si>
  <si>
    <t>商品管理ボタンが表示されていないこと</t>
    <rPh sb="0" eb="2">
      <t>ショウヒン</t>
    </rPh>
    <rPh sb="2" eb="4">
      <t>カンリ</t>
    </rPh>
    <rPh sb="8" eb="10">
      <t>ヒョウジ</t>
    </rPh>
    <phoneticPr fontId="1"/>
  </si>
  <si>
    <t>商品検索ボタンが表示されていること</t>
    <rPh sb="0" eb="2">
      <t>ショウヒン</t>
    </rPh>
    <rPh sb="2" eb="4">
      <t>ケンサク</t>
    </rPh>
    <rPh sb="8" eb="10">
      <t>ヒョウジ</t>
    </rPh>
    <phoneticPr fontId="1"/>
  </si>
  <si>
    <t>発注管理ボタンが表示されていないこと</t>
    <rPh sb="0" eb="2">
      <t>ハッチュウ</t>
    </rPh>
    <rPh sb="2" eb="4">
      <t>カンリ</t>
    </rPh>
    <rPh sb="8" eb="10">
      <t>ヒョウジ</t>
    </rPh>
    <phoneticPr fontId="1"/>
  </si>
  <si>
    <t>発注検索ボタンが表示されていること</t>
    <rPh sb="0" eb="2">
      <t>ハッチュウ</t>
    </rPh>
    <rPh sb="2" eb="4">
      <t>ケンサク</t>
    </rPh>
    <rPh sb="8" eb="10">
      <t>ヒョウジ</t>
    </rPh>
    <phoneticPr fontId="1"/>
  </si>
  <si>
    <t>受注管理ボタンが表示されていないこと</t>
    <rPh sb="0" eb="2">
      <t>ジュチュウ</t>
    </rPh>
    <rPh sb="2" eb="4">
      <t>カンリ</t>
    </rPh>
    <rPh sb="8" eb="10">
      <t>ヒョウジ</t>
    </rPh>
    <phoneticPr fontId="1"/>
  </si>
  <si>
    <t>受注検索ボタンが表示されていること</t>
    <rPh sb="0" eb="2">
      <t>ジュチュウ</t>
    </rPh>
    <rPh sb="2" eb="4">
      <t>ケンサク</t>
    </rPh>
    <rPh sb="8" eb="10">
      <t>ヒョウジ</t>
    </rPh>
    <phoneticPr fontId="1"/>
  </si>
  <si>
    <t>ワークフロー管理ボタンが表示されていないこと</t>
    <rPh sb="6" eb="8">
      <t>カンリ</t>
    </rPh>
    <rPh sb="12" eb="14">
      <t>ヒョウジ</t>
    </rPh>
    <phoneticPr fontId="1"/>
  </si>
  <si>
    <t>L/C管理ボタンが表示されていること</t>
    <rPh sb="3" eb="5">
      <t>カンリ</t>
    </rPh>
    <rPh sb="9" eb="11">
      <t>ヒョウジ</t>
    </rPh>
    <phoneticPr fontId="1"/>
  </si>
  <si>
    <t>L/C帳票出力ボタンが表示されていること</t>
    <rPh sb="3" eb="5">
      <t>チョウヒョウ</t>
    </rPh>
    <rPh sb="5" eb="7">
      <t>シュツリョク</t>
    </rPh>
    <rPh sb="11" eb="13">
      <t>ヒョウジ</t>
    </rPh>
    <phoneticPr fontId="1"/>
  </si>
  <si>
    <t>帳票検索</t>
    <rPh sb="0" eb="2">
      <t>チョウヒョウ</t>
    </rPh>
    <rPh sb="2" eb="4">
      <t>ケンサク</t>
    </rPh>
    <phoneticPr fontId="1"/>
  </si>
  <si>
    <t>ユーザー管理</t>
    <rPh sb="4" eb="6">
      <t>カンリ</t>
    </rPh>
    <phoneticPr fontId="1"/>
  </si>
  <si>
    <t>マスタ管理</t>
    <rPh sb="3" eb="5">
      <t>カンリ</t>
    </rPh>
    <phoneticPr fontId="1"/>
  </si>
  <si>
    <t>金型履歴管理</t>
    <rPh sb="0" eb="2">
      <t>カナガタ</t>
    </rPh>
    <rPh sb="2" eb="4">
      <t>リレキ</t>
    </rPh>
    <rPh sb="4" eb="6">
      <t>カンリ</t>
    </rPh>
    <phoneticPr fontId="1"/>
  </si>
  <si>
    <t>金型帳票管理</t>
    <rPh sb="0" eb="2">
      <t>カナガタ</t>
    </rPh>
    <rPh sb="2" eb="4">
      <t>チョウヒョウ</t>
    </rPh>
    <rPh sb="4" eb="6">
      <t>カンリ</t>
    </rPh>
    <phoneticPr fontId="1"/>
  </si>
  <si>
    <t>DATA</t>
    <phoneticPr fontId="1"/>
  </si>
  <si>
    <t>L/C管理</t>
    <rPh sb="3" eb="5">
      <t>カンリ</t>
    </rPh>
    <phoneticPr fontId="1"/>
  </si>
  <si>
    <t>L/C帳票出力</t>
    <rPh sb="3" eb="5">
      <t>チョウヒョウ</t>
    </rPh>
    <rPh sb="5" eb="7">
      <t>シュツリョク</t>
    </rPh>
    <phoneticPr fontId="1"/>
  </si>
  <si>
    <t>USER</t>
    <phoneticPr fontId="1"/>
  </si>
  <si>
    <t>SYSTEM</t>
    <phoneticPr fontId="1"/>
  </si>
  <si>
    <t>試験項目数</t>
    <rPh sb="0" eb="2">
      <t>シケン</t>
    </rPh>
    <rPh sb="2" eb="4">
      <t>コウモク</t>
    </rPh>
    <rPh sb="4" eb="5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</si>
</sst>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@&quot;ボタンを押下する&quot;"/>
  </numFmts>
  <fonts count="3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176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205740</xdr:rowOff>
        </xdr:from>
        <xdr:to>
          <xdr:col>3</xdr:col>
          <xdr:colOff>426720</xdr:colOff>
          <xdr:row>2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B13D9F5-17F2-4292-8E8F-16CF12ADC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A5232-92A1-41AA-BC54-8A3CF0EA1069}">
  <sheetPr codeName="Sheet1"/>
  <dimension ref="A1:B1"/>
  <sheetViews>
    <sheetView tabSelected="1" workbookViewId="0">
      <selection activeCell="F6" sqref="F6"/>
    </sheetView>
  </sheetViews>
  <sheetFormatPr defaultRowHeight="18"/>
  <cols>
    <col min="1" max="1" width="10.3984375" bestFit="1" customWidth="1"/>
  </cols>
  <sheetData>
    <row r="1" spans="1:2">
      <c r="A1" t="s">
        <v>51</v>
      </c>
      <c r="B1">
        <v>32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266700</xdr:colOff>
                    <xdr:row>0</xdr:row>
                    <xdr:rowOff>205740</xdr:rowOff>
                  </from>
                  <to>
                    <xdr:col>3</xdr:col>
                    <xdr:colOff>426720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2"/>
  <dimension ref="A1:J61"/>
  <sheetViews>
    <sheetView workbookViewId="0">
      <selection activeCell="C2" sqref="C2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メインメニュー</v>
      </c>
      <c r="D1" s="8"/>
    </row>
    <row r="2" spans="1:10">
      <c r="B2" s="11" t="s">
        <v>9</v>
      </c>
      <c r="C2" s="10">
        <f>COUNTA(D6:D43)</f>
        <v>32</v>
      </c>
    </row>
    <row r="3" spans="1:10">
      <c r="B3" s="11" t="s">
        <v>11</v>
      </c>
      <c r="C3" s="10">
        <f>COUNTA(G6:G43)</f>
        <v>0</v>
      </c>
    </row>
    <row r="4" spans="1:10">
      <c r="B4" s="9"/>
      <c r="C4" s="8"/>
    </row>
    <row r="5" spans="1:10" s="6" customFormat="1">
      <c r="A5" s="7" t="s">
        <v>4</v>
      </c>
      <c r="B5" s="7" t="s">
        <v>6</v>
      </c>
      <c r="C5" s="7" t="s">
        <v>7</v>
      </c>
      <c r="D5" s="7" t="s">
        <v>3</v>
      </c>
      <c r="E5" s="7" t="s">
        <v>2</v>
      </c>
      <c r="F5" s="7" t="s">
        <v>1</v>
      </c>
      <c r="G5" s="7" t="s">
        <v>0</v>
      </c>
      <c r="H5" s="13" t="s">
        <v>8</v>
      </c>
      <c r="I5" s="13"/>
      <c r="J5" s="13"/>
    </row>
    <row r="6" spans="1:10" s="1" customFormat="1" ht="36">
      <c r="A6" s="2">
        <f>ROW()-5</f>
        <v>1</v>
      </c>
      <c r="B6" s="5" t="s">
        <v>15</v>
      </c>
      <c r="C6" s="5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59" si="0">ROW()-5</f>
        <v>2</v>
      </c>
      <c r="B7" s="5"/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14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4</v>
      </c>
      <c r="B9" s="5"/>
      <c r="C9" s="5" t="s">
        <v>22</v>
      </c>
      <c r="D9" s="5" t="s">
        <v>16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5"/>
      <c r="D10" s="5" t="s">
        <v>38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5"/>
      <c r="D11" s="5" t="s">
        <v>32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5"/>
      <c r="D12" s="5" t="s">
        <v>33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/>
      <c r="D13" s="5" t="s">
        <v>34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/>
      <c r="D14" s="5" t="s">
        <v>35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/>
      <c r="D15" s="5" t="s">
        <v>36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/>
      <c r="D16" s="5" t="s">
        <v>37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/>
      <c r="D17" s="5" t="s">
        <v>39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 t="s">
        <v>40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 t="s">
        <v>17</v>
      </c>
      <c r="D19" s="5" t="s">
        <v>18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 t="s">
        <v>19</v>
      </c>
      <c r="D20" s="5" t="s">
        <v>20</v>
      </c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16</v>
      </c>
      <c r="B21" s="5" t="s">
        <v>23</v>
      </c>
      <c r="C21" s="5" t="s">
        <v>13</v>
      </c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5" t="s">
        <v>12</v>
      </c>
      <c r="D22" s="5"/>
      <c r="E22" s="4"/>
      <c r="F22" s="3"/>
      <c r="G22" s="3"/>
      <c r="H22" s="2"/>
      <c r="I22" s="4"/>
      <c r="J22" s="4"/>
    </row>
    <row r="23" spans="1:10" s="1" customFormat="1" ht="72">
      <c r="A23" s="2">
        <f t="shared" si="0"/>
        <v>18</v>
      </c>
      <c r="B23" s="5"/>
      <c r="C23" s="5" t="s">
        <v>14</v>
      </c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2" t="s">
        <v>24</v>
      </c>
      <c r="D24" s="5" t="str">
        <f>CONCATENATE(C24,"画面に遷移すること。")</f>
        <v>データエクスポート画面に遷移すること。</v>
      </c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 t="s">
        <v>17</v>
      </c>
      <c r="D25" s="5" t="s">
        <v>21</v>
      </c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2" t="s">
        <v>25</v>
      </c>
      <c r="D26" s="5" t="str">
        <f>CONCATENATE(C26,"画面に遷移すること。")</f>
        <v>見積原価管理画面に遷移すること。</v>
      </c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5" t="s">
        <v>17</v>
      </c>
      <c r="D27" s="5" t="s">
        <v>21</v>
      </c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2" t="s">
        <v>26</v>
      </c>
      <c r="D28" s="5" t="str">
        <f>CONCATENATE(C28,"画面に遷移すること。")</f>
        <v>アップロード画面に遷移すること。</v>
      </c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 t="s">
        <v>17</v>
      </c>
      <c r="D29" s="5" t="s">
        <v>21</v>
      </c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2" t="s">
        <v>27</v>
      </c>
      <c r="D30" s="5" t="str">
        <f>CONCATENATE(C30,"画面に遷移すること。")</f>
        <v>商品検索画面に遷移すること。</v>
      </c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5" t="s">
        <v>17</v>
      </c>
      <c r="D31" s="5" t="s">
        <v>21</v>
      </c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2" t="s">
        <v>28</v>
      </c>
      <c r="D32" s="5" t="str">
        <f>CONCATENATE(C32,"画面に遷移すること。")</f>
        <v>発注検索画面に遷移すること。</v>
      </c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5" t="s">
        <v>17</v>
      </c>
      <c r="D33" s="5" t="s">
        <v>21</v>
      </c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2" t="s">
        <v>29</v>
      </c>
      <c r="D34" s="5" t="str">
        <f>CONCATENATE(C34,"画面に遷移すること。")</f>
        <v>受注検索画面に遷移すること。</v>
      </c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5" t="s">
        <v>17</v>
      </c>
      <c r="D35" s="5" t="s">
        <v>21</v>
      </c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2" t="s">
        <v>30</v>
      </c>
      <c r="D36" s="5" t="str">
        <f>CONCATENATE(C36,"画面に遷移すること。")</f>
        <v>売上管理画面に遷移すること。</v>
      </c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5" t="s">
        <v>17</v>
      </c>
      <c r="D37" s="5" t="s">
        <v>21</v>
      </c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2" t="s">
        <v>31</v>
      </c>
      <c r="D38" s="5" t="str">
        <f>CONCATENATE(C38,"画面に遷移すること。")</f>
        <v>仕入管理画面に遷移すること。</v>
      </c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5" t="s">
        <v>17</v>
      </c>
      <c r="D39" s="5" t="s">
        <v>21</v>
      </c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2" t="s">
        <v>41</v>
      </c>
      <c r="D40" s="5" t="str">
        <f>CONCATENATE(C40,"画面に遷移すること。")</f>
        <v>帳票検索画面に遷移すること。</v>
      </c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5" t="s">
        <v>17</v>
      </c>
      <c r="D41" s="5" t="s">
        <v>21</v>
      </c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2" t="s">
        <v>42</v>
      </c>
      <c r="D42" s="5" t="str">
        <f>CONCATENATE(C42,"画面に遷移すること。")</f>
        <v>ユーザー管理画面に遷移すること。</v>
      </c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5" t="s">
        <v>17</v>
      </c>
      <c r="D43" s="5" t="s">
        <v>21</v>
      </c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2" t="s">
        <v>43</v>
      </c>
      <c r="D44" s="5" t="str">
        <f>CONCATENATE(C44,"画面に遷移すること。")</f>
        <v>マスタ管理画面に遷移すること。</v>
      </c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5" t="s">
        <v>17</v>
      </c>
      <c r="D45" s="5" t="s">
        <v>21</v>
      </c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2" t="s">
        <v>44</v>
      </c>
      <c r="D46" s="5" t="str">
        <f>CONCATENATE(C46,"画面に遷移すること。")</f>
        <v>金型履歴管理画面に遷移すること。</v>
      </c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5" t="s">
        <v>17</v>
      </c>
      <c r="D47" s="5" t="s">
        <v>21</v>
      </c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2" t="s">
        <v>45</v>
      </c>
      <c r="D48" s="5" t="str">
        <f>CONCATENATE(C48,"画面に遷移すること。")</f>
        <v>金型帳票管理画面に遷移すること。</v>
      </c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5" t="s">
        <v>17</v>
      </c>
      <c r="D49" s="5" t="s">
        <v>21</v>
      </c>
      <c r="E49" s="4"/>
      <c r="F49" s="3"/>
      <c r="G49" s="3"/>
      <c r="H49" s="2"/>
      <c r="I49" s="4"/>
      <c r="J49" s="4"/>
    </row>
    <row r="50" spans="1:10" s="1" customFormat="1">
      <c r="A50" s="2">
        <f t="shared" si="0"/>
        <v>45</v>
      </c>
      <c r="B50" s="5"/>
      <c r="C50" s="12" t="s">
        <v>46</v>
      </c>
      <c r="D50" s="5" t="str">
        <f>CONCATENATE(C50,"画面に遷移すること。")</f>
        <v>DATA画面に遷移すること。</v>
      </c>
      <c r="E50" s="4"/>
      <c r="F50" s="3"/>
      <c r="G50" s="3"/>
      <c r="H50" s="2"/>
      <c r="I50" s="4"/>
      <c r="J50" s="4"/>
    </row>
    <row r="51" spans="1:10" s="1" customFormat="1">
      <c r="A51" s="2">
        <f t="shared" si="0"/>
        <v>46</v>
      </c>
      <c r="B51" s="5"/>
      <c r="C51" s="5" t="s">
        <v>17</v>
      </c>
      <c r="D51" s="5" t="s">
        <v>21</v>
      </c>
      <c r="E51" s="4"/>
      <c r="F51" s="3"/>
      <c r="G51" s="3"/>
      <c r="H51" s="2"/>
      <c r="I51" s="4"/>
      <c r="J51" s="4"/>
    </row>
    <row r="52" spans="1:10" s="1" customFormat="1">
      <c r="A52" s="2">
        <f t="shared" si="0"/>
        <v>47</v>
      </c>
      <c r="B52" s="5"/>
      <c r="C52" s="12" t="s">
        <v>47</v>
      </c>
      <c r="D52" s="5" t="str">
        <f>CONCATENATE(C52,"画面に遷移すること。")</f>
        <v>L/C管理画面に遷移すること。</v>
      </c>
      <c r="E52" s="4"/>
      <c r="F52" s="3"/>
      <c r="G52" s="3"/>
      <c r="H52" s="2"/>
      <c r="I52" s="4"/>
      <c r="J52" s="4"/>
    </row>
    <row r="53" spans="1:10" s="1" customFormat="1">
      <c r="A53" s="2">
        <f t="shared" si="0"/>
        <v>48</v>
      </c>
      <c r="B53" s="5"/>
      <c r="C53" s="5" t="s">
        <v>17</v>
      </c>
      <c r="D53" s="5" t="s">
        <v>21</v>
      </c>
      <c r="E53" s="4"/>
      <c r="F53" s="3"/>
      <c r="G53" s="3"/>
      <c r="H53" s="2"/>
      <c r="I53" s="4"/>
      <c r="J53" s="4"/>
    </row>
    <row r="54" spans="1:10" s="1" customFormat="1">
      <c r="A54" s="2">
        <f t="shared" si="0"/>
        <v>49</v>
      </c>
      <c r="B54" s="5"/>
      <c r="C54" s="12" t="s">
        <v>48</v>
      </c>
      <c r="D54" s="5" t="str">
        <f>CONCATENATE(C54,"画面に遷移すること。")</f>
        <v>L/C帳票出力画面に遷移すること。</v>
      </c>
      <c r="E54" s="4"/>
      <c r="F54" s="3"/>
      <c r="G54" s="3"/>
      <c r="H54" s="2"/>
      <c r="I54" s="4"/>
      <c r="J54" s="4"/>
    </row>
    <row r="55" spans="1:10" s="1" customFormat="1">
      <c r="A55" s="2">
        <f t="shared" si="0"/>
        <v>50</v>
      </c>
      <c r="B55" s="5"/>
      <c r="C55" s="5" t="s">
        <v>17</v>
      </c>
      <c r="D55" s="5" t="s">
        <v>21</v>
      </c>
      <c r="E55" s="4"/>
      <c r="F55" s="3"/>
      <c r="G55" s="3"/>
      <c r="H55" s="2"/>
      <c r="I55" s="4"/>
      <c r="J55" s="4"/>
    </row>
    <row r="56" spans="1:10" s="1" customFormat="1">
      <c r="A56" s="2">
        <f t="shared" si="0"/>
        <v>51</v>
      </c>
      <c r="B56" s="5"/>
      <c r="C56" s="12" t="s">
        <v>49</v>
      </c>
      <c r="D56" s="5" t="str">
        <f>CONCATENATE(C56,"画面に遷移すること。")</f>
        <v>USER画面に遷移すること。</v>
      </c>
      <c r="E56" s="4"/>
      <c r="F56" s="3"/>
      <c r="G56" s="3"/>
      <c r="H56" s="2"/>
      <c r="I56" s="4"/>
      <c r="J56" s="4"/>
    </row>
    <row r="57" spans="1:10" s="1" customFormat="1">
      <c r="A57" s="2">
        <f t="shared" si="0"/>
        <v>52</v>
      </c>
      <c r="B57" s="5"/>
      <c r="C57" s="5" t="s">
        <v>17</v>
      </c>
      <c r="D57" s="5" t="s">
        <v>21</v>
      </c>
      <c r="E57" s="4"/>
      <c r="F57" s="3"/>
      <c r="G57" s="3"/>
      <c r="H57" s="2"/>
      <c r="I57" s="4"/>
      <c r="J57" s="4"/>
    </row>
    <row r="58" spans="1:10" s="1" customFormat="1">
      <c r="A58" s="2">
        <f t="shared" si="0"/>
        <v>53</v>
      </c>
      <c r="B58" s="5"/>
      <c r="C58" s="12" t="s">
        <v>50</v>
      </c>
      <c r="D58" s="5" t="str">
        <f>CONCATENATE(C58,"画面に遷移すること。")</f>
        <v>SYSTEM画面に遷移すること。</v>
      </c>
      <c r="E58" s="4"/>
      <c r="F58" s="3"/>
      <c r="G58" s="3"/>
      <c r="H58" s="2"/>
      <c r="I58" s="4"/>
      <c r="J58" s="4"/>
    </row>
    <row r="59" spans="1:10" s="1" customFormat="1">
      <c r="A59" s="2">
        <f t="shared" si="0"/>
        <v>54</v>
      </c>
      <c r="B59" s="5"/>
      <c r="C59" s="5" t="s">
        <v>17</v>
      </c>
      <c r="D59" s="5" t="s">
        <v>21</v>
      </c>
      <c r="E59" s="4"/>
      <c r="F59" s="3"/>
      <c r="G59" s="3"/>
      <c r="H59" s="2"/>
      <c r="I59" s="4"/>
      <c r="J59" s="4"/>
    </row>
    <row r="61" spans="1:10">
      <c r="B61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表紙</vt:lpstr>
      <vt:lpstr>メインメニュー</vt:lpstr>
      <vt:lpstr>メインメニュー!comp_count</vt:lpstr>
      <vt:lpstr>メインメニュー!item_count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2019-05-16T10:13:17Z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