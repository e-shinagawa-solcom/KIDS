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.203\開発\クワガタ\03_H30 KID'Sシステムリニューアル\05_結合試験\ログイン+MAINMANU\"/>
    </mc:Choice>
  </mc:AlternateContent>
  <xr:revisionPtr revIDLastSave="0" documentId="8_{C56212ED-C9EC-46C6-9E33-45AB5AA7D75E}" xr6:coauthVersionLast="40" xr6:coauthVersionMax="40" xr10:uidLastSave="{00000000-0000-0000-0000-000000000000}"/>
  <bookViews>
    <workbookView xWindow="0" yWindow="0" windowWidth="23040" windowHeight="8736" xr2:uid="{7855FBD0-5EC9-4DBA-9A4B-0C57305BA533}"/>
  </bookViews>
  <sheets>
    <sheet name="表紙" sheetId="5" r:id="rId1"/>
    <sheet name="ログイン画面" sheetId="1" r:id="rId2"/>
    <sheet name="パスワードリマインダー" sheetId="2" r:id="rId3"/>
    <sheet name="ログアウト画面" sheetId="3" r:id="rId4"/>
  </sheets>
  <externalReferences>
    <externalReference r:id="rId5"/>
  </externalReferences>
  <definedNames>
    <definedName name="comp_count" localSheetId="2">パスワードリマインダー!$C$3</definedName>
    <definedName name="comp_count" localSheetId="3">ログアウト画面!$C$3</definedName>
    <definedName name="comp_count" localSheetId="1">ログイン画面!$C$3</definedName>
    <definedName name="item_count" localSheetId="2">パスワードリマインダー!$C$2</definedName>
    <definedName name="item_count" localSheetId="3">ログアウト画面!$C$2</definedName>
    <definedName name="item_count" localSheetId="1">ログイン画面!$C$2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" i="3" l="1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C3" i="3"/>
  <c r="C2" i="3"/>
  <c r="C1" i="3"/>
  <c r="A20" i="2" l="1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C3" i="2"/>
  <c r="C2" i="2"/>
  <c r="C1" i="2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C3" i="1"/>
  <c r="C1" i="1"/>
  <c r="C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73729EBE-8117-4DFA-AA14-DAF438897DCB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33EF7931-833E-4054-852C-0490A3DD936E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C2852C25-A25A-4B68-A555-2FA76B2D4A4E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71A4B2B7-9972-4AD8-9CB4-7793D4AE3842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3B924563-2D6A-4B0A-B600-9A8E0AD5D17F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0BE34FE6-4D51-482B-80A0-88B2868B7587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sharedStrings.xml><?xml version="1.0" encoding="utf-8"?>
<sst xmlns="http://schemas.openxmlformats.org/spreadsheetml/2006/main" count="96" uniqueCount="50">
  <si>
    <t>確認日</t>
    <rPh sb="0" eb="2">
      <t>カクニン</t>
    </rPh>
    <rPh sb="2" eb="3">
      <t>ビ</t>
    </rPh>
    <phoneticPr fontId="1"/>
  </si>
  <si>
    <t>実施日</t>
    <rPh sb="0" eb="3">
      <t>ジッシビ</t>
    </rPh>
    <phoneticPr fontId="1"/>
  </si>
  <si>
    <t>担当</t>
    <rPh sb="0" eb="2">
      <t>タントウ</t>
    </rPh>
    <phoneticPr fontId="1"/>
  </si>
  <si>
    <t>確認内容</t>
    <rPh sb="0" eb="2">
      <t>カクニン</t>
    </rPh>
    <rPh sb="2" eb="4">
      <t>ナイヨウ</t>
    </rPh>
    <phoneticPr fontId="1"/>
  </si>
  <si>
    <t>#</t>
    <phoneticPr fontId="1"/>
  </si>
  <si>
    <t>画面名</t>
    <rPh sb="0" eb="2">
      <t>ガメン</t>
    </rPh>
    <rPh sb="2" eb="3">
      <t>メイ</t>
    </rPh>
    <phoneticPr fontId="1"/>
  </si>
  <si>
    <t>テストシナリオ名</t>
    <rPh sb="7" eb="8">
      <t>メイ</t>
    </rPh>
    <phoneticPr fontId="1"/>
  </si>
  <si>
    <t>操作手順</t>
    <rPh sb="0" eb="2">
      <t>ソウサ</t>
    </rPh>
    <rPh sb="2" eb="4">
      <t>テジュン</t>
    </rPh>
    <phoneticPr fontId="1"/>
  </si>
  <si>
    <t>障害管理No</t>
    <rPh sb="0" eb="2">
      <t>ショウガイ</t>
    </rPh>
    <rPh sb="2" eb="4">
      <t>カンリ</t>
    </rPh>
    <phoneticPr fontId="1"/>
  </si>
  <si>
    <t>試験項目数</t>
    <rPh sb="0" eb="5">
      <t>シケンコウモクスウ</t>
    </rPh>
    <phoneticPr fontId="1"/>
  </si>
  <si>
    <t>結合試験書のブックはMAINMENU上の機能単位、シートは画面単位としてください。</t>
    <rPh sb="0" eb="2">
      <t>ケツゴウ</t>
    </rPh>
    <rPh sb="2" eb="4">
      <t>シケン</t>
    </rPh>
    <rPh sb="4" eb="5">
      <t>ショ</t>
    </rPh>
    <rPh sb="18" eb="19">
      <t>ジョウ</t>
    </rPh>
    <rPh sb="20" eb="22">
      <t>キノウ</t>
    </rPh>
    <rPh sb="22" eb="24">
      <t>タンイ</t>
    </rPh>
    <rPh sb="29" eb="31">
      <t>ガメン</t>
    </rPh>
    <rPh sb="31" eb="33">
      <t>タンイ</t>
    </rPh>
    <phoneticPr fontId="1"/>
  </si>
  <si>
    <t>完了数</t>
    <rPh sb="0" eb="2">
      <t>カンリョウ</t>
    </rPh>
    <rPh sb="2" eb="3">
      <t>スウ</t>
    </rPh>
    <phoneticPr fontId="1"/>
  </si>
  <si>
    <t>ログイン成功</t>
    <rPh sb="4" eb="6">
      <t>セイコウ</t>
    </rPh>
    <phoneticPr fontId="1"/>
  </si>
  <si>
    <t>ログイン画面が表示されること。</t>
    <rPh sb="4" eb="6">
      <t>ガメン</t>
    </rPh>
    <rPh sb="7" eb="9">
      <t>ヒョウジ</t>
    </rPh>
    <phoneticPr fontId="1"/>
  </si>
  <si>
    <t>TOP画面が表示されること</t>
    <rPh sb="3" eb="5">
      <t>ガメン</t>
    </rPh>
    <rPh sb="6" eb="8">
      <t>ヒョウジ</t>
    </rPh>
    <phoneticPr fontId="1"/>
  </si>
  <si>
    <t>enterボタンを押下する。</t>
    <rPh sb="9" eb="11">
      <t>オウカ</t>
    </rPh>
    <phoneticPr fontId="1"/>
  </si>
  <si>
    <t>ログイン画面表示</t>
    <rPh sb="4" eb="6">
      <t>ガメン</t>
    </rPh>
    <rPh sb="6" eb="8">
      <t>ヒョウジ</t>
    </rPh>
    <phoneticPr fontId="1"/>
  </si>
  <si>
    <t>以下のURLをブラウザで開く。
http://192.168.1.113</t>
    <rPh sb="0" eb="2">
      <t>イカ</t>
    </rPh>
    <rPh sb="12" eb="13">
      <t>ヒラ</t>
    </rPh>
    <phoneticPr fontId="1"/>
  </si>
  <si>
    <t>ログイン画面が閉じること。</t>
    <rPh sb="4" eb="6">
      <t>ガメン</t>
    </rPh>
    <rPh sb="7" eb="8">
      <t>ト</t>
    </rPh>
    <phoneticPr fontId="1"/>
  </si>
  <si>
    <t>ログイン画面のCLOSEボタンを押下する。</t>
    <rPh sb="4" eb="6">
      <t>ガメン</t>
    </rPh>
    <rPh sb="16" eb="18">
      <t>オウカ</t>
    </rPh>
    <phoneticPr fontId="1"/>
  </si>
  <si>
    <t>ログイン画面にて、以下の値を入力し、LOGINボタンを押下する。
ID：169
PASSWORD：gao</t>
    <rPh sb="4" eb="6">
      <t>ガメン</t>
    </rPh>
    <rPh sb="9" eb="11">
      <t>イカ</t>
    </rPh>
    <rPh sb="12" eb="13">
      <t>アタイ</t>
    </rPh>
    <rPh sb="14" eb="16">
      <t>ニュウリョク</t>
    </rPh>
    <rPh sb="27" eb="29">
      <t>オウカ</t>
    </rPh>
    <phoneticPr fontId="1"/>
  </si>
  <si>
    <t>メインメニュー画面に遷移すること。</t>
    <rPh sb="7" eb="9">
      <t>ガメン</t>
    </rPh>
    <rPh sb="10" eb="12">
      <t>センイ</t>
    </rPh>
    <phoneticPr fontId="1"/>
  </si>
  <si>
    <t>ログイン失敗</t>
    <rPh sb="4" eb="6">
      <t>シッパイ</t>
    </rPh>
    <phoneticPr fontId="1"/>
  </si>
  <si>
    <t>ログイン画面にて、以下の値を入力し、LOGINボタンを押下する。
ID：169
PASSWORD：123</t>
    <rPh sb="4" eb="6">
      <t>ガメン</t>
    </rPh>
    <rPh sb="9" eb="11">
      <t>イカ</t>
    </rPh>
    <rPh sb="12" eb="13">
      <t>アタイ</t>
    </rPh>
    <rPh sb="14" eb="16">
      <t>ニュウリョク</t>
    </rPh>
    <rPh sb="27" eb="29">
      <t>オウカ</t>
    </rPh>
    <phoneticPr fontId="1"/>
  </si>
  <si>
    <t>戻るボタンを押下する。</t>
    <rPh sb="0" eb="1">
      <t>モド</t>
    </rPh>
    <rPh sb="6" eb="8">
      <t>オウカ</t>
    </rPh>
    <phoneticPr fontId="1"/>
  </si>
  <si>
    <t>ログイン画面に遷移すること。</t>
    <rPh sb="4" eb="6">
      <t>ガメン</t>
    </rPh>
    <rPh sb="7" eb="9">
      <t>センイ</t>
    </rPh>
    <phoneticPr fontId="1"/>
  </si>
  <si>
    <t>ログインエラー画面に遷移すること。</t>
    <rPh sb="7" eb="9">
      <t>ガメン</t>
    </rPh>
    <rPh sb="10" eb="12">
      <t>センイ</t>
    </rPh>
    <phoneticPr fontId="1"/>
  </si>
  <si>
    <t>見た目が現行と同じであること。</t>
    <rPh sb="0" eb="1">
      <t>ミ</t>
    </rPh>
    <rPh sb="2" eb="3">
      <t>メ</t>
    </rPh>
    <rPh sb="4" eb="6">
      <t>ゲンコウ</t>
    </rPh>
    <rPh sb="7" eb="8">
      <t>オナ</t>
    </rPh>
    <phoneticPr fontId="1"/>
  </si>
  <si>
    <t>パスワードリマインダー</t>
    <phoneticPr fontId="1"/>
  </si>
  <si>
    <t>ログイン画面のパスワードリマインダーボタンを押下する。</t>
    <rPh sb="4" eb="6">
      <t>ガメン</t>
    </rPh>
    <rPh sb="22" eb="24">
      <t>オウカ</t>
    </rPh>
    <phoneticPr fontId="1"/>
  </si>
  <si>
    <t>パスワードリマインダー画面が表示されること。
※パスワードリマインダー画面の動作は別シートで確認。</t>
    <rPh sb="11" eb="13">
      <t>ガメン</t>
    </rPh>
    <rPh sb="14" eb="16">
      <t>ヒョウジ</t>
    </rPh>
    <rPh sb="35" eb="37">
      <t>ガメン</t>
    </rPh>
    <rPh sb="38" eb="40">
      <t>ドウサ</t>
    </rPh>
    <rPh sb="41" eb="42">
      <t>ベツ</t>
    </rPh>
    <rPh sb="46" eb="48">
      <t>カクニン</t>
    </rPh>
    <phoneticPr fontId="1"/>
  </si>
  <si>
    <t>パスワードリマインダー画面が崩れずに表示されること。</t>
    <rPh sb="11" eb="13">
      <t>ガメン</t>
    </rPh>
    <rPh sb="14" eb="15">
      <t>クズ</t>
    </rPh>
    <rPh sb="18" eb="20">
      <t>ヒョウジ</t>
    </rPh>
    <phoneticPr fontId="1"/>
  </si>
  <si>
    <t>画面表示</t>
    <rPh sb="0" eb="2">
      <t>ガメン</t>
    </rPh>
    <rPh sb="2" eb="4">
      <t>ヒョウジ</t>
    </rPh>
    <phoneticPr fontId="1"/>
  </si>
  <si>
    <t>パスワードリマインダー画面のCLOSEボタンを押下する。</t>
    <rPh sb="11" eb="13">
      <t>ガメン</t>
    </rPh>
    <rPh sb="23" eb="25">
      <t>オウカ</t>
    </rPh>
    <phoneticPr fontId="1"/>
  </si>
  <si>
    <t>パスワードリマインダー画面が閉じること。</t>
    <rPh sb="11" eb="13">
      <t>ガメン</t>
    </rPh>
    <rPh sb="14" eb="15">
      <t>ト</t>
    </rPh>
    <phoneticPr fontId="1"/>
  </si>
  <si>
    <t>ログイン画面が活性化されること。</t>
    <rPh sb="4" eb="6">
      <t>ガメン</t>
    </rPh>
    <rPh sb="7" eb="10">
      <t>カッセイカ</t>
    </rPh>
    <phoneticPr fontId="1"/>
  </si>
  <si>
    <t>リマインドメール送信</t>
    <rPh sb="8" eb="10">
      <t>ソウシン</t>
    </rPh>
    <phoneticPr fontId="1"/>
  </si>
  <si>
    <t>メールアドレスにテスト担当者のメールアドレスを入力し、SUBMITボタンを押下する。</t>
    <rPh sb="11" eb="14">
      <t>タントウシャ</t>
    </rPh>
    <rPh sb="23" eb="25">
      <t>ニュウリョク</t>
    </rPh>
    <rPh sb="37" eb="39">
      <t>オウカ</t>
    </rPh>
    <phoneticPr fontId="1"/>
  </si>
  <si>
    <t>リマインダーメールを受信できること。</t>
    <rPh sb="10" eb="12">
      <t>ジュシン</t>
    </rPh>
    <phoneticPr fontId="1"/>
  </si>
  <si>
    <t>ユーザーマスターを修正し、ユーザー169のメールアドレスをテスト担当者のメールアドレスに変更しておく。（現行環境も同じように修正する）</t>
    <rPh sb="9" eb="11">
      <t>シュウセイ</t>
    </rPh>
    <rPh sb="32" eb="35">
      <t>タントウシャ</t>
    </rPh>
    <rPh sb="44" eb="46">
      <t>ヘンコウ</t>
    </rPh>
    <rPh sb="52" eb="54">
      <t>ゲンコウ</t>
    </rPh>
    <rPh sb="54" eb="56">
      <t>カンキョウ</t>
    </rPh>
    <rPh sb="57" eb="58">
      <t>オナ</t>
    </rPh>
    <rPh sb="62" eb="64">
      <t>シュウセイ</t>
    </rPh>
    <phoneticPr fontId="1"/>
  </si>
  <si>
    <t>現行で同様の操作をしたときの振舞いが同じであること。</t>
    <rPh sb="0" eb="2">
      <t>ゲンコウ</t>
    </rPh>
    <rPh sb="3" eb="5">
      <t>ドウヨウ</t>
    </rPh>
    <rPh sb="6" eb="8">
      <t>ソウサ</t>
    </rPh>
    <rPh sb="14" eb="16">
      <t>フルマ</t>
    </rPh>
    <rPh sb="18" eb="19">
      <t>オナ</t>
    </rPh>
    <phoneticPr fontId="1"/>
  </si>
  <si>
    <t>ログイン画面にて、以下の値を入力し、LOGINボタンを押下する。
ID：169
PASSWORD：リマインダーメールで通知されたパスワード</t>
    <rPh sb="4" eb="6">
      <t>ガメン</t>
    </rPh>
    <rPh sb="9" eb="11">
      <t>イカ</t>
    </rPh>
    <rPh sb="12" eb="13">
      <t>アタイ</t>
    </rPh>
    <rPh sb="14" eb="16">
      <t>ニュウリョク</t>
    </rPh>
    <rPh sb="27" eb="29">
      <t>オウカ</t>
    </rPh>
    <rPh sb="59" eb="61">
      <t>ツウチ</t>
    </rPh>
    <phoneticPr fontId="1"/>
  </si>
  <si>
    <t>メインメニュー画面に遷移すること。</t>
    <rPh sb="7" eb="9">
      <t>ガメン</t>
    </rPh>
    <rPh sb="10" eb="12">
      <t>センイ</t>
    </rPh>
    <phoneticPr fontId="1"/>
  </si>
  <si>
    <t>LOGOUTボタンを押下する。</t>
    <rPh sb="10" eb="12">
      <t>オウカ</t>
    </rPh>
    <phoneticPr fontId="1"/>
  </si>
  <si>
    <t>ログアウト画面が表示されること。</t>
    <rPh sb="5" eb="7">
      <t>ガメン</t>
    </rPh>
    <rPh sb="8" eb="10">
      <t>ヒョウジ</t>
    </rPh>
    <phoneticPr fontId="1"/>
  </si>
  <si>
    <t>ボタン動作確認</t>
    <rPh sb="3" eb="5">
      <t>ドウサ</t>
    </rPh>
    <rPh sb="5" eb="7">
      <t>カクニン</t>
    </rPh>
    <phoneticPr fontId="1"/>
  </si>
  <si>
    <t>画面レイアウト、スタイルが現行と同様であること。</t>
    <rPh sb="0" eb="2">
      <t>ガメン</t>
    </rPh>
    <rPh sb="13" eb="15">
      <t>ゲンコウ</t>
    </rPh>
    <rPh sb="16" eb="18">
      <t>ドウヨウ</t>
    </rPh>
    <phoneticPr fontId="1"/>
  </si>
  <si>
    <t>BACKボタンを押下する。</t>
    <rPh sb="8" eb="10">
      <t>オウカ</t>
    </rPh>
    <phoneticPr fontId="1"/>
  </si>
  <si>
    <t>LOGOUTボタンを押下し、ログアウト画面を再度表示する。</t>
    <rPh sb="10" eb="12">
      <t>オウカ</t>
    </rPh>
    <rPh sb="19" eb="21">
      <t>ガメン</t>
    </rPh>
    <rPh sb="22" eb="24">
      <t>サイド</t>
    </rPh>
    <rPh sb="24" eb="26">
      <t>ヒョウジ</t>
    </rPh>
    <phoneticPr fontId="1"/>
  </si>
  <si>
    <t>試験項目数</t>
    <rPh sb="0" eb="2">
      <t>シケン</t>
    </rPh>
    <rPh sb="2" eb="4">
      <t>コウモク</t>
    </rPh>
    <rPh sb="4" eb="5">
      <t>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</si>
</sst>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right" vertical="top"/>
    </xf>
    <xf numFmtId="1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ABF9D62-89C8-469C-A940-E057A5FB6BF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0</xdr:row>
          <xdr:rowOff>205740</xdr:rowOff>
        </xdr:from>
        <xdr:to>
          <xdr:col>3</xdr:col>
          <xdr:colOff>426720</xdr:colOff>
          <xdr:row>2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BFCA0FC-46CC-4469-8E9D-6663D8AA4E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080;&#21512;&#35430;&#39443;&#38917;&#30446;&#26360;_&#12513;&#12452;&#12531;&#12513;&#12491;&#12517;&#12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"/>
      <sheetName val="メインメニュー"/>
    </sheetNames>
    <definedNames>
      <definedName name="ボタン1_Click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A6DF9-806C-4E1A-9AE4-B3FD9619FFCD}">
  <sheetPr codeName="Sheet4"/>
  <dimension ref="A1:B1"/>
  <sheetViews>
    <sheetView tabSelected="1" workbookViewId="0">
      <selection activeCell="H12" sqref="H12"/>
    </sheetView>
  </sheetViews>
  <sheetFormatPr defaultRowHeight="18"/>
  <cols>
    <col min="1" max="1" width="10.3984375" bestFit="1" customWidth="1"/>
  </cols>
  <sheetData>
    <row r="1" spans="1:2">
      <c r="A1" t="s">
        <v>49</v>
      </c>
      <c r="B1">
        <v>18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ボタン1_Click">
                <anchor moveWithCells="1" sizeWithCells="1">
                  <from>
                    <xdr:col>2</xdr:col>
                    <xdr:colOff>266700</xdr:colOff>
                    <xdr:row>0</xdr:row>
                    <xdr:rowOff>205740</xdr:rowOff>
                  </from>
                  <to>
                    <xdr:col>3</xdr:col>
                    <xdr:colOff>426720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833BB-ED83-4FB3-ADFC-AEB779F1FE08}">
  <sheetPr codeName="Sheet1"/>
  <dimension ref="A1:J22"/>
  <sheetViews>
    <sheetView workbookViewId="0">
      <selection activeCell="D2" sqref="D2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ログイン画面</v>
      </c>
      <c r="D1" s="8"/>
    </row>
    <row r="2" spans="1:10">
      <c r="B2" s="11" t="s">
        <v>9</v>
      </c>
      <c r="C2" s="10">
        <f>COUNTA(D6:D20)</f>
        <v>8</v>
      </c>
    </row>
    <row r="3" spans="1:10">
      <c r="B3" s="11" t="s">
        <v>11</v>
      </c>
      <c r="C3" s="10">
        <f>COUNTA(G6:G20)</f>
        <v>0</v>
      </c>
    </row>
    <row r="4" spans="1:10">
      <c r="B4" s="9"/>
      <c r="C4" s="8"/>
    </row>
    <row r="5" spans="1:10" s="6" customFormat="1">
      <c r="A5" s="7" t="s">
        <v>4</v>
      </c>
      <c r="B5" s="7" t="s">
        <v>6</v>
      </c>
      <c r="C5" s="7" t="s">
        <v>7</v>
      </c>
      <c r="D5" s="7" t="s">
        <v>3</v>
      </c>
      <c r="E5" s="7" t="s">
        <v>2</v>
      </c>
      <c r="F5" s="7" t="s">
        <v>1</v>
      </c>
      <c r="G5" s="7" t="s">
        <v>0</v>
      </c>
      <c r="H5" s="14" t="s">
        <v>8</v>
      </c>
      <c r="I5" s="14"/>
      <c r="J5" s="14"/>
    </row>
    <row r="6" spans="1:10" s="1" customFormat="1" ht="36">
      <c r="A6" s="2">
        <f>ROW()-5</f>
        <v>1</v>
      </c>
      <c r="B6" s="5" t="s">
        <v>16</v>
      </c>
      <c r="C6" s="5" t="s">
        <v>17</v>
      </c>
      <c r="D6" s="5" t="s">
        <v>14</v>
      </c>
      <c r="E6" s="4"/>
      <c r="F6" s="3"/>
      <c r="G6" s="3"/>
      <c r="H6" s="2"/>
      <c r="I6" s="4"/>
      <c r="J6" s="4"/>
    </row>
    <row r="7" spans="1:10" s="1" customFormat="1">
      <c r="A7" s="2">
        <f t="shared" ref="A7:A20" si="0">ROW()-5</f>
        <v>2</v>
      </c>
      <c r="B7" s="5"/>
      <c r="C7" s="5" t="s">
        <v>15</v>
      </c>
      <c r="D7" s="5" t="s">
        <v>13</v>
      </c>
      <c r="E7" s="4"/>
      <c r="F7" s="3"/>
      <c r="G7" s="3"/>
      <c r="H7" s="2"/>
      <c r="I7" s="4"/>
      <c r="J7" s="4"/>
    </row>
    <row r="8" spans="1:10" s="1" customFormat="1">
      <c r="A8" s="2">
        <f t="shared" si="0"/>
        <v>3</v>
      </c>
      <c r="B8" s="5"/>
      <c r="C8" s="5" t="s">
        <v>19</v>
      </c>
      <c r="D8" s="5" t="s">
        <v>18</v>
      </c>
      <c r="E8" s="4"/>
      <c r="F8" s="3"/>
      <c r="G8" s="3"/>
      <c r="H8" s="2"/>
      <c r="I8" s="4"/>
      <c r="J8" s="4"/>
    </row>
    <row r="9" spans="1:10" s="1" customFormat="1" ht="36">
      <c r="A9" s="2">
        <f t="shared" si="0"/>
        <v>4</v>
      </c>
      <c r="B9" s="5" t="s">
        <v>12</v>
      </c>
      <c r="C9" s="5" t="s">
        <v>17</v>
      </c>
      <c r="D9" s="5"/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/>
      <c r="C10" s="5" t="s">
        <v>15</v>
      </c>
      <c r="D10" s="5"/>
      <c r="E10" s="4"/>
      <c r="F10" s="3"/>
      <c r="G10" s="3"/>
      <c r="H10" s="2"/>
      <c r="I10" s="4"/>
      <c r="J10" s="4"/>
    </row>
    <row r="11" spans="1:10" s="1" customFormat="1" ht="72">
      <c r="A11" s="2">
        <f t="shared" si="0"/>
        <v>6</v>
      </c>
      <c r="B11" s="5"/>
      <c r="C11" s="5" t="s">
        <v>20</v>
      </c>
      <c r="D11" s="5" t="s">
        <v>21</v>
      </c>
      <c r="E11" s="4"/>
      <c r="F11" s="3"/>
      <c r="G11" s="3"/>
      <c r="H11" s="2"/>
      <c r="I11" s="4"/>
      <c r="J11" s="4"/>
    </row>
    <row r="12" spans="1:10" s="1" customFormat="1" ht="36">
      <c r="A12" s="2">
        <f t="shared" si="0"/>
        <v>7</v>
      </c>
      <c r="B12" s="5" t="s">
        <v>22</v>
      </c>
      <c r="C12" s="5" t="s">
        <v>17</v>
      </c>
      <c r="D12" s="5"/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5" t="s">
        <v>15</v>
      </c>
      <c r="D13" s="5"/>
      <c r="E13" s="4"/>
      <c r="F13" s="3"/>
      <c r="G13" s="3"/>
      <c r="H13" s="2"/>
      <c r="I13" s="4"/>
      <c r="J13" s="4"/>
    </row>
    <row r="14" spans="1:10" s="1" customFormat="1" ht="72">
      <c r="A14" s="2">
        <f t="shared" si="0"/>
        <v>9</v>
      </c>
      <c r="B14" s="5"/>
      <c r="C14" s="5" t="s">
        <v>23</v>
      </c>
      <c r="D14" s="5" t="s">
        <v>26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5"/>
      <c r="D15" s="5" t="s">
        <v>27</v>
      </c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5" t="s">
        <v>24</v>
      </c>
      <c r="D16" s="5" t="s">
        <v>25</v>
      </c>
      <c r="E16" s="4"/>
      <c r="F16" s="3"/>
      <c r="G16" s="3"/>
      <c r="H16" s="2"/>
      <c r="I16" s="4"/>
      <c r="J16" s="4"/>
    </row>
    <row r="17" spans="1:10" s="1" customFormat="1" ht="36">
      <c r="A17" s="2">
        <f t="shared" si="0"/>
        <v>12</v>
      </c>
      <c r="B17" s="5" t="s">
        <v>28</v>
      </c>
      <c r="C17" s="5" t="s">
        <v>17</v>
      </c>
      <c r="D17" s="5"/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13</v>
      </c>
      <c r="B18" s="5"/>
      <c r="C18" s="5" t="s">
        <v>15</v>
      </c>
      <c r="D18" s="5"/>
      <c r="E18" s="4"/>
      <c r="F18" s="3"/>
      <c r="G18" s="3"/>
      <c r="H18" s="2"/>
      <c r="I18" s="4"/>
      <c r="J18" s="4"/>
    </row>
    <row r="19" spans="1:10" s="1" customFormat="1" ht="36">
      <c r="A19" s="2">
        <f t="shared" si="0"/>
        <v>14</v>
      </c>
      <c r="B19" s="5"/>
      <c r="C19" s="5" t="s">
        <v>29</v>
      </c>
      <c r="D19" s="5" t="s">
        <v>30</v>
      </c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5"/>
      <c r="D20" s="5"/>
      <c r="E20" s="4"/>
      <c r="F20" s="3"/>
      <c r="G20" s="3"/>
      <c r="H20" s="2"/>
      <c r="I20" s="4"/>
      <c r="J20" s="4"/>
    </row>
    <row r="22" spans="1:10">
      <c r="B22" t="s">
        <v>10</v>
      </c>
    </row>
  </sheetData>
  <mergeCells count="1">
    <mergeCell ref="H5:J5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9D03-6204-40D9-8CD2-60F84C755335}">
  <sheetPr codeName="Sheet2"/>
  <dimension ref="A1:J22"/>
  <sheetViews>
    <sheetView workbookViewId="0">
      <selection activeCell="D17" sqref="D17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パスワードリマインダー</v>
      </c>
      <c r="D1" s="8"/>
    </row>
    <row r="2" spans="1:10">
      <c r="B2" s="11" t="s">
        <v>9</v>
      </c>
      <c r="C2" s="10">
        <f>COUNTA(D6:D20)</f>
        <v>6</v>
      </c>
    </row>
    <row r="3" spans="1:10">
      <c r="B3" s="11" t="s">
        <v>11</v>
      </c>
      <c r="C3" s="10">
        <f>COUNTA(G6:G20)</f>
        <v>0</v>
      </c>
    </row>
    <row r="4" spans="1:10">
      <c r="B4" s="9"/>
      <c r="C4" s="8"/>
    </row>
    <row r="5" spans="1:10" s="6" customFormat="1">
      <c r="A5" s="12" t="s">
        <v>4</v>
      </c>
      <c r="B5" s="12" t="s">
        <v>6</v>
      </c>
      <c r="C5" s="12" t="s">
        <v>7</v>
      </c>
      <c r="D5" s="12" t="s">
        <v>3</v>
      </c>
      <c r="E5" s="12" t="s">
        <v>2</v>
      </c>
      <c r="F5" s="12" t="s">
        <v>1</v>
      </c>
      <c r="G5" s="12" t="s">
        <v>0</v>
      </c>
      <c r="H5" s="14" t="s">
        <v>8</v>
      </c>
      <c r="I5" s="14"/>
      <c r="J5" s="14"/>
    </row>
    <row r="6" spans="1:10" s="1" customFormat="1" ht="36">
      <c r="A6" s="2">
        <f>ROW()-5</f>
        <v>1</v>
      </c>
      <c r="B6" s="5" t="s">
        <v>32</v>
      </c>
      <c r="C6" s="5" t="s">
        <v>17</v>
      </c>
      <c r="D6" s="5"/>
      <c r="E6" s="4"/>
      <c r="F6" s="3"/>
      <c r="G6" s="3"/>
      <c r="H6" s="2"/>
      <c r="I6" s="4"/>
      <c r="J6" s="4"/>
    </row>
    <row r="7" spans="1:10" s="1" customFormat="1">
      <c r="A7" s="2">
        <f t="shared" ref="A7:A20" si="0">ROW()-5</f>
        <v>2</v>
      </c>
      <c r="B7" s="5"/>
      <c r="C7" s="5" t="s">
        <v>15</v>
      </c>
      <c r="D7" s="5"/>
      <c r="E7" s="4"/>
      <c r="F7" s="3"/>
      <c r="G7" s="3"/>
      <c r="H7" s="2"/>
      <c r="I7" s="4"/>
      <c r="J7" s="4"/>
    </row>
    <row r="8" spans="1:10" s="1" customFormat="1" ht="36">
      <c r="A8" s="2">
        <f t="shared" si="0"/>
        <v>3</v>
      </c>
      <c r="B8" s="5"/>
      <c r="C8" s="5" t="s">
        <v>29</v>
      </c>
      <c r="D8" s="5" t="s">
        <v>31</v>
      </c>
      <c r="E8" s="4"/>
      <c r="F8" s="3"/>
      <c r="G8" s="3"/>
      <c r="H8" s="2"/>
      <c r="I8" s="4"/>
      <c r="J8" s="4"/>
    </row>
    <row r="9" spans="1:10" s="1" customFormat="1" ht="36">
      <c r="A9" s="2">
        <f t="shared" si="0"/>
        <v>4</v>
      </c>
      <c r="B9" s="5"/>
      <c r="C9" s="5" t="s">
        <v>33</v>
      </c>
      <c r="D9" s="5" t="s">
        <v>34</v>
      </c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/>
      <c r="C10" s="5"/>
      <c r="D10" s="5" t="s">
        <v>35</v>
      </c>
      <c r="E10" s="4"/>
      <c r="F10" s="3"/>
      <c r="G10" s="3"/>
      <c r="H10" s="2"/>
      <c r="I10" s="4"/>
      <c r="J10" s="4"/>
    </row>
    <row r="11" spans="1:10" s="1" customFormat="1" ht="54">
      <c r="A11" s="2">
        <f t="shared" si="0"/>
        <v>6</v>
      </c>
      <c r="B11" s="5" t="s">
        <v>36</v>
      </c>
      <c r="C11" s="5" t="s">
        <v>39</v>
      </c>
      <c r="D11" s="5"/>
      <c r="E11" s="4"/>
      <c r="F11" s="3"/>
      <c r="G11" s="3"/>
      <c r="H11" s="2"/>
      <c r="I11" s="4"/>
      <c r="J11" s="4"/>
    </row>
    <row r="12" spans="1:10" s="1" customFormat="1" ht="36">
      <c r="A12" s="2">
        <f t="shared" si="0"/>
        <v>7</v>
      </c>
      <c r="B12" s="5"/>
      <c r="C12" s="5" t="s">
        <v>17</v>
      </c>
      <c r="D12" s="5"/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5" t="s">
        <v>15</v>
      </c>
      <c r="D13" s="5"/>
      <c r="E13" s="4"/>
      <c r="F13" s="3"/>
      <c r="G13" s="3"/>
      <c r="H13" s="2"/>
      <c r="I13" s="4"/>
      <c r="J13" s="4"/>
    </row>
    <row r="14" spans="1:10" s="1" customFormat="1" ht="36">
      <c r="A14" s="2">
        <f t="shared" si="0"/>
        <v>9</v>
      </c>
      <c r="B14" s="5"/>
      <c r="C14" s="5" t="s">
        <v>29</v>
      </c>
      <c r="D14" s="5"/>
      <c r="E14" s="4"/>
      <c r="F14" s="3"/>
      <c r="G14" s="3"/>
      <c r="H14" s="2"/>
      <c r="I14" s="4"/>
      <c r="J14" s="4"/>
    </row>
    <row r="15" spans="1:10" s="1" customFormat="1" ht="36">
      <c r="A15" s="2">
        <f t="shared" si="0"/>
        <v>10</v>
      </c>
      <c r="B15" s="5"/>
      <c r="C15" s="5" t="s">
        <v>37</v>
      </c>
      <c r="D15" s="5" t="s">
        <v>38</v>
      </c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5"/>
      <c r="D16" s="5" t="s">
        <v>40</v>
      </c>
      <c r="E16" s="4"/>
      <c r="F16" s="3"/>
      <c r="G16" s="3"/>
      <c r="H16" s="2"/>
      <c r="I16" s="4"/>
      <c r="J16" s="4"/>
    </row>
    <row r="17" spans="1:10" s="1" customFormat="1" ht="90">
      <c r="A17" s="2">
        <f t="shared" si="0"/>
        <v>12</v>
      </c>
      <c r="B17" s="5"/>
      <c r="C17" s="5" t="s">
        <v>41</v>
      </c>
      <c r="D17" s="5" t="s">
        <v>42</v>
      </c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13</v>
      </c>
      <c r="B18" s="5"/>
      <c r="C18" s="5"/>
      <c r="D18" s="5"/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5"/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5"/>
      <c r="D20" s="5"/>
      <c r="E20" s="4"/>
      <c r="F20" s="3"/>
      <c r="G20" s="3"/>
      <c r="H20" s="2"/>
      <c r="I20" s="4"/>
      <c r="J20" s="4"/>
    </row>
    <row r="22" spans="1:10">
      <c r="B22" t="s">
        <v>10</v>
      </c>
    </row>
  </sheetData>
  <mergeCells count="1">
    <mergeCell ref="H5:J5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6A51A-94BD-4B48-B7A6-25456C86BABA}">
  <sheetPr codeName="Sheet3"/>
  <dimension ref="A1:J22"/>
  <sheetViews>
    <sheetView workbookViewId="0">
      <selection activeCell="C11" sqref="C11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ログアウト画面</v>
      </c>
      <c r="D1" s="8"/>
    </row>
    <row r="2" spans="1:10">
      <c r="B2" s="11" t="s">
        <v>9</v>
      </c>
      <c r="C2" s="10">
        <f>COUNTA(D6:D20)</f>
        <v>4</v>
      </c>
    </row>
    <row r="3" spans="1:10">
      <c r="B3" s="11" t="s">
        <v>11</v>
      </c>
      <c r="C3" s="10">
        <f>COUNTA(G6:G20)</f>
        <v>0</v>
      </c>
    </row>
    <row r="4" spans="1:10">
      <c r="B4" s="9"/>
      <c r="C4" s="8"/>
    </row>
    <row r="5" spans="1:10" s="6" customFormat="1">
      <c r="A5" s="13" t="s">
        <v>4</v>
      </c>
      <c r="B5" s="13" t="s">
        <v>6</v>
      </c>
      <c r="C5" s="13" t="s">
        <v>7</v>
      </c>
      <c r="D5" s="13" t="s">
        <v>3</v>
      </c>
      <c r="E5" s="13" t="s">
        <v>2</v>
      </c>
      <c r="F5" s="13" t="s">
        <v>1</v>
      </c>
      <c r="G5" s="13" t="s">
        <v>0</v>
      </c>
      <c r="H5" s="14" t="s">
        <v>8</v>
      </c>
      <c r="I5" s="14"/>
      <c r="J5" s="14"/>
    </row>
    <row r="6" spans="1:10" s="1" customFormat="1" ht="36">
      <c r="A6" s="2">
        <f>ROW()-5</f>
        <v>1</v>
      </c>
      <c r="B6" s="5" t="s">
        <v>16</v>
      </c>
      <c r="C6" s="5" t="s">
        <v>17</v>
      </c>
      <c r="D6" s="5"/>
      <c r="E6" s="4"/>
      <c r="F6" s="3"/>
      <c r="G6" s="3"/>
      <c r="H6" s="2"/>
      <c r="I6" s="4"/>
      <c r="J6" s="4"/>
    </row>
    <row r="7" spans="1:10" s="1" customFormat="1">
      <c r="A7" s="2">
        <f t="shared" ref="A7:A20" si="0">ROW()-5</f>
        <v>2</v>
      </c>
      <c r="B7" s="5"/>
      <c r="C7" s="5" t="s">
        <v>15</v>
      </c>
      <c r="D7" s="5"/>
      <c r="E7" s="4"/>
      <c r="F7" s="3"/>
      <c r="G7" s="3"/>
      <c r="H7" s="2"/>
      <c r="I7" s="4"/>
      <c r="J7" s="4"/>
    </row>
    <row r="8" spans="1:10" s="1" customFormat="1">
      <c r="A8" s="2">
        <f t="shared" si="0"/>
        <v>3</v>
      </c>
      <c r="B8" s="5"/>
      <c r="C8" s="5" t="s">
        <v>19</v>
      </c>
      <c r="D8" s="5"/>
      <c r="E8" s="4"/>
      <c r="F8" s="3"/>
      <c r="G8" s="3"/>
      <c r="H8" s="2"/>
      <c r="I8" s="4"/>
      <c r="J8" s="4"/>
    </row>
    <row r="9" spans="1:10" s="1" customFormat="1" ht="36">
      <c r="A9" s="2">
        <f t="shared" si="0"/>
        <v>4</v>
      </c>
      <c r="B9" s="5"/>
      <c r="C9" s="5" t="s">
        <v>17</v>
      </c>
      <c r="D9" s="5"/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/>
      <c r="C10" s="5" t="s">
        <v>15</v>
      </c>
      <c r="D10" s="5"/>
      <c r="E10" s="4"/>
      <c r="F10" s="3"/>
      <c r="G10" s="3"/>
      <c r="H10" s="2"/>
      <c r="I10" s="4"/>
      <c r="J10" s="4"/>
    </row>
    <row r="11" spans="1:10" s="1" customFormat="1" ht="72">
      <c r="A11" s="2">
        <f t="shared" si="0"/>
        <v>6</v>
      </c>
      <c r="B11" s="5"/>
      <c r="C11" s="5" t="s">
        <v>20</v>
      </c>
      <c r="D11" s="5"/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/>
      <c r="C12" s="5" t="s">
        <v>43</v>
      </c>
      <c r="D12" s="5" t="s">
        <v>44</v>
      </c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5"/>
      <c r="D13" s="5" t="s">
        <v>46</v>
      </c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 t="s">
        <v>45</v>
      </c>
      <c r="C14" s="5" t="s">
        <v>47</v>
      </c>
      <c r="D14" s="5" t="s">
        <v>21</v>
      </c>
      <c r="E14" s="4"/>
      <c r="F14" s="3"/>
      <c r="G14" s="3"/>
      <c r="H14" s="2"/>
      <c r="I14" s="4"/>
      <c r="J14" s="4"/>
    </row>
    <row r="15" spans="1:10" s="1" customFormat="1" ht="36">
      <c r="A15" s="2">
        <f t="shared" si="0"/>
        <v>10</v>
      </c>
      <c r="B15" s="5"/>
      <c r="C15" s="5" t="s">
        <v>48</v>
      </c>
      <c r="D15" s="5"/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5" t="s">
        <v>43</v>
      </c>
      <c r="D16" s="5" t="s">
        <v>13</v>
      </c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5"/>
      <c r="D17" s="5"/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13</v>
      </c>
      <c r="B18" s="5"/>
      <c r="C18" s="5"/>
      <c r="D18" s="5"/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5"/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5"/>
      <c r="D20" s="5"/>
      <c r="E20" s="4"/>
      <c r="F20" s="3"/>
      <c r="G20" s="3"/>
      <c r="H20" s="2"/>
      <c r="I20" s="4"/>
      <c r="J20" s="4"/>
    </row>
    <row r="22" spans="1:10">
      <c r="B22" t="s">
        <v>10</v>
      </c>
    </row>
  </sheetData>
  <mergeCells count="1">
    <mergeCell ref="H5:J5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表紙</vt:lpstr>
      <vt:lpstr>ログイン画面</vt:lpstr>
      <vt:lpstr>パスワードリマインダー</vt:lpstr>
      <vt:lpstr>ログアウト画面</vt:lpstr>
      <vt:lpstr>パスワードリマインダー!comp_count</vt:lpstr>
      <vt:lpstr>ログアウト画面!comp_count</vt:lpstr>
      <vt:lpstr>ログイン画面!comp_count</vt:lpstr>
      <vt:lpstr>パスワードリマインダー!item_count</vt:lpstr>
      <vt:lpstr>ログアウト画面!item_count</vt:lpstr>
      <vt:lpstr>ログイン画面!item_count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solcom-ad</dc:creator>
  <cp:lastModifiedBy>solcom-ad</cp:lastModifiedBy>
  <dcterms:created xsi:type="dcterms:W3CDTF">2019-02-28T04:25:02Z</dcterms:created>
  <dcterms:modified xsi:type="dcterms:W3CDTF">2019-05-16T10:12:47Z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76a77fca-b9c7-4459-8afc-0eedaac0edf7</vt:lpwstr>
  </property>
</Properties>
</file>