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仕入管理\"/>
    </mc:Choice>
  </mc:AlternateContent>
  <xr:revisionPtr revIDLastSave="0" documentId="13_ncr:1_{39DD697C-E1D9-43DC-A7A4-9B25CAE96156}" xr6:coauthVersionLast="40" xr6:coauthVersionMax="40" xr10:uidLastSave="{00000000-0000-0000-0000-000000000000}"/>
  <bookViews>
    <workbookView xWindow="0" yWindow="0" windowWidth="23040" windowHeight="8376" activeTab="6" xr2:uid="{7855FBD0-5EC9-4DBA-9A4B-0C57305BA533}"/>
  </bookViews>
  <sheets>
    <sheet name="表紙" sheetId="8" r:id="rId1"/>
    <sheet name="仕入管理メニュー" sheetId="18" r:id="rId2"/>
    <sheet name="仕入登録" sheetId="17" r:id="rId3"/>
    <sheet name="仕入検索" sheetId="5" r:id="rId4"/>
    <sheet name="仕入一覧" sheetId="6" r:id="rId5"/>
    <sheet name="仕入詳細" sheetId="7" r:id="rId6"/>
    <sheet name="仕入修正" sheetId="19" r:id="rId7"/>
    <sheet name="仕入削除" sheetId="20" r:id="rId8"/>
  </sheets>
  <definedNames>
    <definedName name="comp_count" localSheetId="4">仕入一覧!$C$3</definedName>
    <definedName name="comp_count" localSheetId="1">仕入管理メニュー!$C$3</definedName>
    <definedName name="comp_count" localSheetId="3">仕入検索!$C$3</definedName>
    <definedName name="comp_count" localSheetId="7">仕入削除!$C$3</definedName>
    <definedName name="comp_count" localSheetId="6">仕入修正!$C$3</definedName>
    <definedName name="comp_count" localSheetId="5">仕入詳細!$C$3</definedName>
    <definedName name="comp_count" localSheetId="2">仕入登録!$C$3</definedName>
    <definedName name="item_count" localSheetId="4">仕入一覧!$C$2</definedName>
    <definedName name="item_count" localSheetId="1">仕入管理メニュー!$C$2</definedName>
    <definedName name="item_count" localSheetId="3">仕入検索!$C$2</definedName>
    <definedName name="item_count" localSheetId="7">仕入削除!$C$2</definedName>
    <definedName name="item_count" localSheetId="6">仕入修正!$C$2</definedName>
    <definedName name="item_count" localSheetId="5">仕入詳細!$C$2</definedName>
    <definedName name="item_count" localSheetId="2">仕入登録!$C$2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 i="19" l="1"/>
  <c r="A15" i="19"/>
  <c r="A14" i="19"/>
  <c r="A25" i="20"/>
  <c r="A24" i="20"/>
  <c r="A23" i="20"/>
  <c r="A22" i="20"/>
  <c r="A21" i="20"/>
  <c r="A20" i="20"/>
  <c r="A19" i="20"/>
  <c r="A18" i="20"/>
  <c r="A17" i="20"/>
  <c r="A16" i="20"/>
  <c r="A15" i="20"/>
  <c r="A14" i="20"/>
  <c r="A13" i="20"/>
  <c r="A12" i="20"/>
  <c r="A11" i="20"/>
  <c r="A10" i="20"/>
  <c r="A9" i="20"/>
  <c r="A8" i="20"/>
  <c r="A7" i="20"/>
  <c r="A6" i="20"/>
  <c r="C3" i="20"/>
  <c r="C2" i="20"/>
  <c r="C1" i="20"/>
  <c r="A13" i="19"/>
  <c r="A12" i="19"/>
  <c r="A10" i="19"/>
  <c r="A11" i="19"/>
  <c r="A35" i="19"/>
  <c r="A34" i="19"/>
  <c r="A33" i="19"/>
  <c r="A32" i="19"/>
  <c r="A30" i="19"/>
  <c r="A29" i="19"/>
  <c r="A28" i="19"/>
  <c r="A27" i="19"/>
  <c r="A26" i="19"/>
  <c r="A25" i="19"/>
  <c r="A24" i="19"/>
  <c r="A23" i="19"/>
  <c r="A22" i="19"/>
  <c r="A21" i="19"/>
  <c r="A20" i="19"/>
  <c r="A19" i="19"/>
  <c r="A18" i="19"/>
  <c r="A17" i="19"/>
  <c r="A16" i="19"/>
  <c r="A9" i="19"/>
  <c r="A8" i="19"/>
  <c r="A7" i="19"/>
  <c r="A6" i="19"/>
  <c r="C3" i="19"/>
  <c r="C2" i="19"/>
  <c r="C1" i="19"/>
  <c r="A20" i="17"/>
  <c r="A19" i="17"/>
  <c r="A18" i="17"/>
  <c r="A17" i="17"/>
  <c r="A16" i="17"/>
  <c r="A28" i="17"/>
  <c r="A27" i="17"/>
  <c r="A26" i="17"/>
  <c r="A21" i="17" l="1"/>
  <c r="A15" i="17"/>
  <c r="A14" i="17"/>
  <c r="A13" i="17"/>
  <c r="A12" i="17"/>
  <c r="A9" i="17"/>
  <c r="A15" i="18"/>
  <c r="A14" i="18"/>
  <c r="A13" i="18"/>
  <c r="A12" i="18"/>
  <c r="A11" i="18"/>
  <c r="A10" i="18"/>
  <c r="A9" i="18"/>
  <c r="A8" i="18"/>
  <c r="A7" i="18"/>
  <c r="A6" i="18"/>
  <c r="C3" i="18"/>
  <c r="C2" i="18"/>
  <c r="C1" i="18"/>
  <c r="A29" i="17"/>
  <c r="A25" i="17"/>
  <c r="A24" i="17"/>
  <c r="A23" i="17"/>
  <c r="A22" i="17"/>
  <c r="A11" i="17"/>
  <c r="A10" i="17"/>
  <c r="A8" i="17"/>
  <c r="A7" i="17"/>
  <c r="A6" i="17"/>
  <c r="C3" i="17"/>
  <c r="C2" i="17"/>
  <c r="C1" i="17"/>
  <c r="A20" i="6" l="1"/>
  <c r="A19" i="6"/>
  <c r="A18" i="6"/>
  <c r="A21" i="6"/>
  <c r="A16" i="6"/>
  <c r="A17" i="7"/>
  <c r="A16" i="7"/>
  <c r="A18" i="7" l="1"/>
  <c r="C3" i="7"/>
  <c r="C2" i="7"/>
  <c r="A15" i="7" l="1"/>
  <c r="A22" i="7"/>
  <c r="A21" i="7"/>
  <c r="A20" i="7"/>
  <c r="A19" i="7"/>
  <c r="A14" i="7"/>
  <c r="A13" i="7"/>
  <c r="A11" i="7"/>
  <c r="A10" i="7"/>
  <c r="A12" i="7"/>
  <c r="A9" i="7"/>
  <c r="A8" i="7"/>
  <c r="A7" i="7"/>
  <c r="A6" i="7"/>
  <c r="C1" i="7"/>
  <c r="A11" i="6"/>
  <c r="A37" i="6"/>
  <c r="A36" i="6"/>
  <c r="A35" i="6"/>
  <c r="A34" i="6"/>
  <c r="A33" i="6"/>
  <c r="A32" i="6"/>
  <c r="A31" i="6"/>
  <c r="A28" i="6"/>
  <c r="A30" i="6"/>
  <c r="A29" i="6"/>
  <c r="A27" i="6"/>
  <c r="A26" i="6"/>
  <c r="A25" i="6"/>
  <c r="A24" i="6"/>
  <c r="A23" i="6"/>
  <c r="A22" i="6"/>
  <c r="A17" i="6"/>
  <c r="A15" i="6"/>
  <c r="A14" i="6"/>
  <c r="A13" i="6"/>
  <c r="A12" i="6"/>
  <c r="A10" i="6"/>
  <c r="A9" i="6"/>
  <c r="A8" i="6"/>
  <c r="A7" i="6"/>
  <c r="A6" i="6"/>
  <c r="C3" i="6"/>
  <c r="C2"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7CEA1E1-15F8-41D5-888D-8EA315A3EB15}">
      <text>
        <r>
          <rPr>
            <b/>
            <sz val="9"/>
            <color indexed="81"/>
            <rFont val="MS P ゴシック"/>
            <family val="3"/>
            <charset val="128"/>
          </rPr>
          <t>試験開始した日付を記入する。</t>
        </r>
      </text>
    </comment>
    <comment ref="G5" authorId="0" shapeId="0" xr:uid="{25A834A9-AC95-48CD-9CD2-6E2120F9DFC2}">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solcom-ad</author>
  </authors>
  <commentList>
    <comment ref="F5" authorId="0" shapeId="0" xr:uid="{40596B3E-1E5F-4B60-B143-5472B334B18D}">
      <text>
        <r>
          <rPr>
            <b/>
            <sz val="9"/>
            <color indexed="81"/>
            <rFont val="MS P ゴシック"/>
            <family val="3"/>
            <charset val="128"/>
          </rPr>
          <t>試験開始した日付を記入する。</t>
        </r>
      </text>
    </comment>
    <comment ref="G5" authorId="0" shapeId="0" xr:uid="{738CE7A6-C33E-4A1B-BF2E-AE97C5270D2C}">
      <text>
        <r>
          <rPr>
            <b/>
            <sz val="9"/>
            <color indexed="81"/>
            <rFont val="MS P ゴシック"/>
            <family val="3"/>
            <charset val="128"/>
          </rPr>
          <t>確認OKとなった日付を記入する。</t>
        </r>
      </text>
    </comment>
    <comment ref="D14" authorId="1" shapeId="0" xr:uid="{FBA2ACAF-7697-450C-BE51-230F08862E5F}">
      <text>
        <r>
          <rPr>
            <b/>
            <sz val="9"/>
            <color indexed="81"/>
            <rFont val="MS P ゴシック"/>
            <family val="3"/>
            <charset val="128"/>
          </rPr>
          <t>solcom-ad:</t>
        </r>
        <r>
          <rPr>
            <sz val="9"/>
            <color indexed="81"/>
            <rFont val="MS P ゴシック"/>
            <family val="3"/>
            <charset val="128"/>
          </rPr>
          <t xml:space="preserve">
確認画面、完了画面がない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60FE7BCE-2F1C-4003-843B-3A39F13FDCEE}">
      <text>
        <r>
          <rPr>
            <b/>
            <sz val="9"/>
            <color indexed="81"/>
            <rFont val="MS P ゴシック"/>
            <family val="3"/>
            <charset val="128"/>
          </rPr>
          <t>試験開始した日付を記入する。</t>
        </r>
      </text>
    </comment>
    <comment ref="G5" authorId="0" shapeId="0" xr:uid="{D376F412-4275-4D4F-B99B-58225893BD43}">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E6DC1047-C6A5-4A86-8E5F-58571A48C449}">
      <text>
        <r>
          <rPr>
            <b/>
            <sz val="9"/>
            <color indexed="81"/>
            <rFont val="MS P ゴシック"/>
            <family val="3"/>
            <charset val="128"/>
          </rPr>
          <t>試験開始した日付を記入する。</t>
        </r>
      </text>
    </comment>
    <comment ref="G5" authorId="0" shapeId="0" xr:uid="{05E194CA-FF82-4A69-A6ED-F03BF81CD90C}">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<sst xmlns="http://schemas.openxmlformats.org/spreadsheetml/2006/main" count="266" uniqueCount="114">
  <si>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</si>
  <si>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</si>
  <si>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</si>
  <si>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</si>
  <si>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</si>
  <si>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</si>
  <si>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</si>
  <si>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</si>
  <si>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</si>
  <si>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</si>
  <si>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</si>
  <si>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</si>
  <si>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</si>
  <si>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</si>
  <si>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</si>
  <si>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</si>
  <si>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</si>
  <si>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</si>
  <si>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</si>
  <si>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</si>
  <si>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</si>
  <si>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</si>
  <si>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</si>
  <si>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</si>
  <si>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</si>
  <si>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</si>
  <si>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</si>
  <si>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</si>
  <si>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</si>
  <si>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</si>
  <si>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</si>
  <si>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</si>
  <si>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</si>
  <si>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</si>
  <si>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</si>
  <si>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</si>
  <si>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</si>
  <si>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</si>
  <si>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登録ボタン押下</t>
    <rPh sb="0" eb="2">
      <t>トウロク</t>
    </rPh>
    <rPh sb="5" eb="7">
      <t>オウカ</t>
    </rPh>
    <phoneticPr fontId="1"/>
  </si>
  <si>
    <t>登録ボタンを押下する。</t>
    <rPh sb="0" eb="2">
      <t>トウロク</t>
    </rPh>
    <rPh sb="6" eb="8">
      <t>オウカ</t>
    </rPh>
    <phoneticPr fontId="1"/>
  </si>
  <si>
    <t>メインメニュー画面で仕入管理メニューボタンを押下する。</t>
    <rPh sb="7" eb="9">
      <t>ガメン</t>
    </rPh>
    <rPh sb="10" eb="12">
      <t>シイレ</t>
    </rPh>
    <rPh sb="12" eb="14">
      <t>カンリ</t>
    </rPh>
    <rPh sb="22" eb="24">
      <t>オウカ</t>
    </rPh>
    <phoneticPr fontId="1"/>
  </si>
  <si>
    <t>仕入管理メニュー画面に遷移すること。</t>
    <rPh sb="0" eb="2">
      <t>シイレ</t>
    </rPh>
    <rPh sb="2" eb="4">
      <t>カンリ</t>
    </rPh>
    <rPh sb="8" eb="10">
      <t>ガメン</t>
    </rPh>
    <rPh sb="11" eb="13">
      <t>センイ</t>
    </rPh>
    <phoneticPr fontId="1"/>
  </si>
  <si>
    <t>仕入登録ボタン押下</t>
    <rPh sb="0" eb="2">
      <t>シイレ</t>
    </rPh>
    <rPh sb="2" eb="4">
      <t>トウロク</t>
    </rPh>
    <rPh sb="7" eb="9">
      <t>オウカ</t>
    </rPh>
    <phoneticPr fontId="1"/>
  </si>
  <si>
    <t>仕入登録ボタンを押下する</t>
    <rPh sb="0" eb="2">
      <t>シイレ</t>
    </rPh>
    <rPh sb="2" eb="4">
      <t>トウロク</t>
    </rPh>
    <rPh sb="8" eb="10">
      <t>オウカ</t>
    </rPh>
    <phoneticPr fontId="1"/>
  </si>
  <si>
    <t>仕入登録画面に遷移すること。</t>
    <rPh sb="0" eb="2">
      <t>シイレ</t>
    </rPh>
    <rPh sb="2" eb="4">
      <t>トウロク</t>
    </rPh>
    <rPh sb="4" eb="6">
      <t>ガメン</t>
    </rPh>
    <rPh sb="7" eb="9">
      <t>センイ</t>
    </rPh>
    <phoneticPr fontId="1"/>
  </si>
  <si>
    <t>表示されている仕入登録画面が次期システム版のものであること。</t>
    <rPh sb="0" eb="2">
      <t>ヒョウジ</t>
    </rPh>
    <rPh sb="7" eb="9">
      <t>シイレ</t>
    </rPh>
    <rPh sb="9" eb="11">
      <t>トウロク</t>
    </rPh>
    <rPh sb="11" eb="13">
      <t>ガメン</t>
    </rPh>
    <rPh sb="14" eb="16">
      <t>ジキ</t>
    </rPh>
    <rPh sb="20" eb="21">
      <t>バン</t>
    </rPh>
    <phoneticPr fontId="1"/>
  </si>
  <si>
    <t>メインメニューボタンを押下する。</t>
    <rPh sb="11" eb="13">
      <t>オウカ</t>
    </rPh>
    <phoneticPr fontId="1"/>
  </si>
  <si>
    <t>メインメニュー画面に遷移すること。</t>
    <rPh sb="7" eb="9">
      <t>ガメン</t>
    </rPh>
    <rPh sb="10" eb="12">
      <t>センイ</t>
    </rPh>
    <phoneticPr fontId="1"/>
  </si>
  <si>
    <t>仕入検索ボタン押下</t>
    <rPh sb="0" eb="2">
      <t>シイレ</t>
    </rPh>
    <rPh sb="2" eb="4">
      <t>ケンサク</t>
    </rPh>
    <rPh sb="7" eb="9">
      <t>オウカ</t>
    </rPh>
    <phoneticPr fontId="1"/>
  </si>
  <si>
    <t>仕入検索ボタンを押下する</t>
    <rPh sb="0" eb="2">
      <t>シイレ</t>
    </rPh>
    <rPh sb="2" eb="4">
      <t>ケンサク</t>
    </rPh>
    <rPh sb="8" eb="10">
      <t>オウカ</t>
    </rPh>
    <phoneticPr fontId="1"/>
  </si>
  <si>
    <t>仕入登検索画面に遷移すること。</t>
    <rPh sb="0" eb="2">
      <t>シイレ</t>
    </rPh>
    <rPh sb="2" eb="3">
      <t>ノボル</t>
    </rPh>
    <rPh sb="3" eb="5">
      <t>ケンサク</t>
    </rPh>
    <rPh sb="5" eb="7">
      <t>ガメン</t>
    </rPh>
    <rPh sb="8" eb="10">
      <t>センイ</t>
    </rPh>
    <phoneticPr fontId="1"/>
  </si>
  <si>
    <t>メインメニュー画面で仕入登録ボタンを押下する。</t>
    <rPh sb="7" eb="9">
      <t>ガメン</t>
    </rPh>
    <rPh sb="10" eb="12">
      <t>シイレ</t>
    </rPh>
    <rPh sb="12" eb="14">
      <t>トウロク</t>
    </rPh>
    <rPh sb="18" eb="20">
      <t>オウカ</t>
    </rPh>
    <phoneticPr fontId="1"/>
  </si>
  <si>
    <t>仕入登録画面に遷移すること。</t>
    <rPh sb="0" eb="2">
      <t>シイレ</t>
    </rPh>
    <rPh sb="2" eb="4">
      <t>トウロク</t>
    </rPh>
    <rPh sb="4" eb="6">
      <t>ガメン</t>
    </rPh>
    <phoneticPr fontId="1"/>
  </si>
  <si>
    <t>発注書検索</t>
    <rPh sb="0" eb="3">
      <t>ハッチュウショ</t>
    </rPh>
    <rPh sb="3" eb="5">
      <t>ケンサク</t>
    </rPh>
    <phoneticPr fontId="1"/>
  </si>
  <si>
    <t>発注書NOに存在する発注書の発注書番号を入力し、発注書NOボタンを押下する。</t>
    <rPh sb="0" eb="3">
      <t>ハッチュウショ</t>
    </rPh>
    <rPh sb="6" eb="8">
      <t>ソンザイ</t>
    </rPh>
    <rPh sb="10" eb="13">
      <t>ハッチュウショ</t>
    </rPh>
    <rPh sb="14" eb="17">
      <t>ハッチュウショ</t>
    </rPh>
    <rPh sb="17" eb="19">
      <t>バンゴウ</t>
    </rPh>
    <rPh sb="20" eb="22">
      <t>ニュウリョク</t>
    </rPh>
    <rPh sb="24" eb="27">
      <t>ハッチュウショ</t>
    </rPh>
    <rPh sb="33" eb="35">
      <t>オウカ</t>
    </rPh>
    <phoneticPr fontId="1"/>
  </si>
  <si>
    <t>明細の表示順はPO明細の表示順と同じであること。</t>
    <rPh sb="0" eb="2">
      <t>メイサイ</t>
    </rPh>
    <rPh sb="3" eb="5">
      <t>ヒョウジ</t>
    </rPh>
    <rPh sb="5" eb="6">
      <t>ジュン</t>
    </rPh>
    <rPh sb="9" eb="11">
      <t>メイサイ</t>
    </rPh>
    <rPh sb="12" eb="14">
      <t>ヒョウジ</t>
    </rPh>
    <rPh sb="14" eb="15">
      <t>ジュン</t>
    </rPh>
    <rPh sb="16" eb="17">
      <t>オナ</t>
    </rPh>
    <phoneticPr fontId="1"/>
  </si>
  <si>
    <t>消費税区分変更</t>
    <rPh sb="0" eb="3">
      <t>ショウヒゼイ</t>
    </rPh>
    <rPh sb="3" eb="5">
      <t>クブン</t>
    </rPh>
    <rPh sb="5" eb="7">
      <t>ヘンコウ</t>
    </rPh>
    <phoneticPr fontId="1"/>
  </si>
  <si>
    <t>明細一覧に表示されている任意の明細の消費税区分を変更する。</t>
    <rPh sb="0" eb="2">
      <t>メイサイ</t>
    </rPh>
    <rPh sb="2" eb="4">
      <t>イチラン</t>
    </rPh>
    <rPh sb="5" eb="7">
      <t>ヒョウジ</t>
    </rPh>
    <rPh sb="12" eb="14">
      <t>ニンイ</t>
    </rPh>
    <rPh sb="15" eb="17">
      <t>メイサイ</t>
    </rPh>
    <rPh sb="18" eb="21">
      <t>ショウヒゼイ</t>
    </rPh>
    <rPh sb="21" eb="23">
      <t>クブン</t>
    </rPh>
    <rPh sb="24" eb="26">
      <t>ヘンコウ</t>
    </rPh>
    <phoneticPr fontId="1"/>
  </si>
  <si>
    <t>変更した行の消費税額が基本設計書の動作定義「税額計算」で算出した計算と同じ値になっていること。
（各税区分全てで確認すること）</t>
    <rPh sb="0" eb="2">
      <t>ヘンコウ</t>
    </rPh>
    <rPh sb="4" eb="5">
      <t>ギョウ</t>
    </rPh>
    <rPh sb="6" eb="9">
      <t>ショウヒゼイ</t>
    </rPh>
    <rPh sb="9" eb="10">
      <t>ガク</t>
    </rPh>
    <rPh sb="11" eb="13">
      <t>キホン</t>
    </rPh>
    <rPh sb="13" eb="16">
      <t>セッケイショ</t>
    </rPh>
    <rPh sb="17" eb="19">
      <t>ドウサ</t>
    </rPh>
    <rPh sb="19" eb="21">
      <t>テイギ</t>
    </rPh>
    <rPh sb="22" eb="24">
      <t>ゼイガク</t>
    </rPh>
    <rPh sb="24" eb="26">
      <t>ケイサン</t>
    </rPh>
    <rPh sb="28" eb="30">
      <t>サンシュツ</t>
    </rPh>
    <rPh sb="32" eb="34">
      <t>ケイサン</t>
    </rPh>
    <rPh sb="35" eb="36">
      <t>オナ</t>
    </rPh>
    <rPh sb="37" eb="38">
      <t>アタイ</t>
    </rPh>
    <rPh sb="49" eb="53">
      <t>カクゼイクブン</t>
    </rPh>
    <rPh sb="53" eb="54">
      <t>スベ</t>
    </rPh>
    <rPh sb="56" eb="58">
      <t>カクニン</t>
    </rPh>
    <phoneticPr fontId="1"/>
  </si>
  <si>
    <t>明細一覧に表示されている任意の明細の対象をonにする。</t>
    <rPh sb="0" eb="2">
      <t>メイサイ</t>
    </rPh>
    <rPh sb="2" eb="4">
      <t>イチラン</t>
    </rPh>
    <rPh sb="5" eb="7">
      <t>ヒョウジ</t>
    </rPh>
    <rPh sb="12" eb="14">
      <t>ニンイ</t>
    </rPh>
    <rPh sb="15" eb="17">
      <t>メイサイ</t>
    </rPh>
    <rPh sb="18" eb="20">
      <t>タイショウ</t>
    </rPh>
    <phoneticPr fontId="1"/>
  </si>
  <si>
    <t>ヘッダ・フッタ部の必須入力項目、対象がonとなっている明細行の必須項目を全て入力する。</t>
    <rPh sb="7" eb="8">
      <t>ブ</t>
    </rPh>
    <rPh sb="9" eb="11">
      <t>ヒッス</t>
    </rPh>
    <rPh sb="11" eb="13">
      <t>ニュウリョク</t>
    </rPh>
    <rPh sb="13" eb="15">
      <t>コウモク</t>
    </rPh>
    <rPh sb="16" eb="18">
      <t>タイショウ</t>
    </rPh>
    <rPh sb="27" eb="29">
      <t>メイサイ</t>
    </rPh>
    <rPh sb="29" eb="30">
      <t>ギョウ</t>
    </rPh>
    <rPh sb="31" eb="33">
      <t>ヒッス</t>
    </rPh>
    <rPh sb="33" eb="35">
      <t>コウモク</t>
    </rPh>
    <rPh sb="36" eb="37">
      <t>スベ</t>
    </rPh>
    <rPh sb="38" eb="40">
      <t>ニュウリョク</t>
    </rPh>
    <phoneticPr fontId="1"/>
  </si>
  <si>
    <t>仕入マスタに新規データが1件登録されること。</t>
    <rPh sb="0" eb="2">
      <t>シイレ</t>
    </rPh>
    <rPh sb="6" eb="8">
      <t>シンキ</t>
    </rPh>
    <rPh sb="13" eb="14">
      <t>ケン</t>
    </rPh>
    <rPh sb="14" eb="16">
      <t>トウロク</t>
    </rPh>
    <phoneticPr fontId="1"/>
  </si>
  <si>
    <t>登録されたデータの内容が基本設計書に記載された通りであること。</t>
    <rPh sb="0" eb="2">
      <t>トウロク</t>
    </rPh>
    <rPh sb="9" eb="11">
      <t>ナイヨウ</t>
    </rPh>
    <rPh sb="12" eb="14">
      <t>キホン</t>
    </rPh>
    <rPh sb="14" eb="17">
      <t>セッケイショ</t>
    </rPh>
    <rPh sb="18" eb="20">
      <t>キサイ</t>
    </rPh>
    <rPh sb="23" eb="24">
      <t>トオ</t>
    </rPh>
    <phoneticPr fontId="1"/>
  </si>
  <si>
    <t>対象がonになっている明細が全件仕入明細テーブルに登録されていること。</t>
    <rPh sb="0" eb="2">
      <t>タイショウ</t>
    </rPh>
    <rPh sb="11" eb="13">
      <t>メイサイ</t>
    </rPh>
    <rPh sb="14" eb="16">
      <t>ゼンケン</t>
    </rPh>
    <rPh sb="16" eb="18">
      <t>シイレ</t>
    </rPh>
    <rPh sb="18" eb="20">
      <t>メイサイ</t>
    </rPh>
    <rPh sb="25" eb="27">
      <t>トウロク</t>
    </rPh>
    <phoneticPr fontId="1"/>
  </si>
  <si>
    <t>対象がonになっている明細全件に紐づく仕入明細テーブルの発注状態が「納品済」に更新されていること。</t>
    <rPh sb="0" eb="2">
      <t>タイショウ</t>
    </rPh>
    <rPh sb="11" eb="13">
      <t>メイサイ</t>
    </rPh>
    <rPh sb="13" eb="15">
      <t>ゼンケン</t>
    </rPh>
    <rPh sb="16" eb="17">
      <t>ヒモ</t>
    </rPh>
    <rPh sb="19" eb="21">
      <t>シイレ</t>
    </rPh>
    <rPh sb="21" eb="23">
      <t>メイサイ</t>
    </rPh>
    <rPh sb="28" eb="30">
      <t>ハッチュウ</t>
    </rPh>
    <rPh sb="30" eb="32">
      <t>ジョウタイ</t>
    </rPh>
    <rPh sb="34" eb="36">
      <t>ノウヒン</t>
    </rPh>
    <rPh sb="36" eb="37">
      <t>ズミ</t>
    </rPh>
    <rPh sb="39" eb="41">
      <t>コウシン</t>
    </rPh>
    <phoneticPr fontId="1"/>
  </si>
  <si>
    <t>入力した発注NOの発注明細のうち、発注状態が「発注」であるデータのみが全件明細一覧に表示されていること。</t>
    <rPh sb="0" eb="2">
      <t>ニュウリョク</t>
    </rPh>
    <rPh sb="4" eb="6">
      <t>ハッチュウ</t>
    </rPh>
    <rPh sb="9" eb="11">
      <t>ハッチュウ</t>
    </rPh>
    <rPh sb="11" eb="13">
      <t>メイサイ</t>
    </rPh>
    <rPh sb="17" eb="19">
      <t>ハッチュウ</t>
    </rPh>
    <rPh sb="19" eb="21">
      <t>ジョウタイ</t>
    </rPh>
    <rPh sb="23" eb="25">
      <t>ハッチュウ</t>
    </rPh>
    <rPh sb="35" eb="37">
      <t>ゼンケン</t>
    </rPh>
    <rPh sb="37" eb="39">
      <t>メイサイ</t>
    </rPh>
    <rPh sb="39" eb="41">
      <t>イチラン</t>
    </rPh>
    <rPh sb="42" eb="44">
      <t>ヒョウジ</t>
    </rPh>
    <phoneticPr fontId="1"/>
  </si>
  <si>
    <t>登録確認画面が表示されること。</t>
    <rPh sb="0" eb="2">
      <t>トウロク</t>
    </rPh>
    <rPh sb="2" eb="4">
      <t>カクニン</t>
    </rPh>
    <rPh sb="4" eb="6">
      <t>ガメン</t>
    </rPh>
    <rPh sb="7" eb="9">
      <t>ヒョウジ</t>
    </rPh>
    <phoneticPr fontId="1"/>
  </si>
  <si>
    <t>登録確認画面に表示されている内容が基本設計書に記載された通りであること。</t>
    <rPh sb="0" eb="2">
      <t>トウロク</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</si>
  <si>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登録確認画面の閉じるボタンを押下する。</t>
    <rPh sb="0" eb="2">
      <t>トウロク</t>
    </rPh>
    <rPh sb="2" eb="4">
      <t>カクニン</t>
    </rPh>
    <rPh sb="4" eb="6">
      <t>ガメン</t>
    </rPh>
    <rPh sb="7" eb="8">
      <t>ト</t>
    </rPh>
    <rPh sb="14" eb="16">
      <t>オウカ</t>
    </rPh>
    <phoneticPr fontId="1"/>
  </si>
  <si>
    <t>登録ボタン押下前の状態であること。</t>
    <rPh sb="0" eb="2">
      <t>トウロク</t>
    </rPh>
    <rPh sb="5" eb="7">
      <t>オウカ</t>
    </rPh>
    <rPh sb="7" eb="8">
      <t>マエ</t>
    </rPh>
    <rPh sb="9" eb="11">
      <t>ジョウタイ</t>
    </rPh>
    <phoneticPr fontId="1"/>
  </si>
  <si>
    <t>登録確認画面の登録ボタンを押下する。</t>
    <rPh sb="0" eb="2">
      <t>トウロク</t>
    </rPh>
    <rPh sb="2" eb="4">
      <t>カクニン</t>
    </rPh>
    <rPh sb="4" eb="6">
      <t>ガメン</t>
    </rPh>
    <rPh sb="7" eb="9">
      <t>トウロク</t>
    </rPh>
    <rPh sb="13" eb="15">
      <t>オウカ</t>
    </rPh>
    <phoneticPr fontId="1"/>
  </si>
  <si>
    <t>登録完了画面に遷移すること。</t>
    <rPh sb="0" eb="2">
      <t>トウロク</t>
    </rPh>
    <rPh sb="2" eb="4">
      <t>カンリョウ</t>
    </rPh>
    <rPh sb="4" eb="6">
      <t>ガメン</t>
    </rPh>
    <rPh sb="7" eb="9">
      <t>センイ</t>
    </rPh>
    <phoneticPr fontId="1"/>
  </si>
  <si>
    <t>登録完了画面の閉じるボタンを押下する。</t>
    <rPh sb="0" eb="2">
      <t>トウロク</t>
    </rPh>
    <rPh sb="2" eb="4">
      <t>カンリョウ</t>
    </rPh>
    <rPh sb="4" eb="6">
      <t>ガメン</t>
    </rPh>
    <rPh sb="7" eb="8">
      <t>ト</t>
    </rPh>
    <rPh sb="14" eb="16">
      <t>オウカ</t>
    </rPh>
    <phoneticPr fontId="1"/>
  </si>
  <si>
    <t>表示内容が初期化されていること。</t>
    <rPh sb="0" eb="2">
      <t>ヒョウジ</t>
    </rPh>
    <rPh sb="2" eb="4">
      <t>ナイヨウ</t>
    </rPh>
    <rPh sb="5" eb="8">
      <t>ショキカ</t>
    </rPh>
    <phoneticPr fontId="1"/>
  </si>
  <si>
    <t>メインメニュー画面で仕入検索ボタンを押下する。</t>
    <rPh sb="7" eb="9">
      <t>ガメン</t>
    </rPh>
    <rPh sb="12" eb="14">
      <t>ケンサク</t>
    </rPh>
    <rPh sb="18" eb="20">
      <t>オウカ</t>
    </rPh>
    <phoneticPr fontId="1"/>
  </si>
  <si>
    <t>仕入検索画面に遷移すること。</t>
    <rPh sb="2" eb="4">
      <t>ケンサク</t>
    </rPh>
    <phoneticPr fontId="1"/>
  </si>
  <si>
    <t>仕入一覧画面に遷移すること。</t>
    <rPh sb="2" eb="4">
      <t>イチラン</t>
    </rPh>
    <rPh sb="4" eb="6">
      <t>ガメン</t>
    </rPh>
    <rPh sb="7" eb="9">
      <t>センイ</t>
    </rPh>
    <phoneticPr fontId="1"/>
  </si>
  <si>
    <t>仕入一覧画面に表示されている一覧が入力した検索条件をすべて満たしていること。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</si>
  <si>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仕入検索画面で「表示」をonにした項目すべてが表示されていること。</t>
    <rPh sb="2" eb="4">
      <t>ケンサク</t>
    </rPh>
    <rPh sb="4" eb="6">
      <t>ガメン</t>
    </rPh>
    <rPh sb="8" eb="10">
      <t>ヒョウジ</t>
    </rPh>
    <rPh sb="17" eb="19">
      <t>コウモク</t>
    </rPh>
    <rPh sb="23" eb="25">
      <t>ヒョウジ</t>
    </rPh>
    <phoneticPr fontId="1"/>
  </si>
  <si>
    <t>仕入検索画面で「表示」をonにしていない項目すべてが表示されていないこと。</t>
    <rPh sb="2" eb="4">
      <t>ケンサク</t>
    </rPh>
    <rPh sb="4" eb="6">
      <t>ガメン</t>
    </rPh>
    <rPh sb="8" eb="10">
      <t>ヒョウジ</t>
    </rPh>
    <rPh sb="20" eb="22">
      <t>コウモク</t>
    </rPh>
    <rPh sb="26" eb="28">
      <t>ヒョウジ</t>
    </rPh>
    <phoneticPr fontId="1"/>
  </si>
  <si>
    <t>「再販」の表示がonの場合、前回仕入分（=リバイスコードが最大値ではない）の製品マスタ情報が一覧に表示されていること。</t>
    <rPh sb="1" eb="3">
      <t>サイハン</t>
    </rPh>
    <rPh sb="5" eb="7">
      <t>ヒョウジ</t>
    </rPh>
    <rPh sb="11" eb="13">
      <t>バアイ</t>
    </rPh>
    <rPh sb="14" eb="16">
      <t>ゼンカイ</t>
    </rPh>
    <rPh sb="18" eb="19">
      <t>ブン</t>
    </rPh>
    <rPh sb="29" eb="32">
      <t>サイダイチ</t>
    </rPh>
    <rPh sb="38" eb="40">
      <t>セイヒン</t>
    </rPh>
    <rPh sb="43" eb="45">
      <t>ジョウホウ</t>
    </rPh>
    <rPh sb="46" eb="48">
      <t>イチラン</t>
    </rPh>
    <rPh sb="49" eb="51">
      <t>ヒョウジ</t>
    </rPh>
    <phoneticPr fontId="1"/>
  </si>
  <si>
    <t>「再販」の表示がoffの場合、今回仕入分（=リバイスコードが最大値）の製品マスタ情報だけが一覧に表示されていること。</t>
  </si>
  <si>
    <t>仕入一覧画面に表示されている内容が全行全項目ペーストされること。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</si>
  <si>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仕入詳細画面が表示されること。</t>
    <rPh sb="2" eb="4">
      <t>ショウサイ</t>
    </rPh>
    <rPh sb="4" eb="6">
      <t>ガメン</t>
    </rPh>
    <rPh sb="7" eb="9">
      <t>ヒョウジ</t>
    </rPh>
    <phoneticPr fontId="1"/>
  </si>
  <si>
    <t>仕入詳細画面を閉じる。</t>
    <rPh sb="2" eb="4">
      <t>ショウサイ</t>
    </rPh>
    <rPh sb="4" eb="6">
      <t>ガメン</t>
    </rPh>
    <rPh sb="7" eb="8">
      <t>ト</t>
    </rPh>
    <phoneticPr fontId="1"/>
  </si>
  <si>
    <t>仕入一覧画面が活性化されること。</t>
    <rPh sb="2" eb="4">
      <t>イチラン</t>
    </rPh>
    <rPh sb="4" eb="6">
      <t>ガメン</t>
    </rPh>
    <rPh sb="7" eb="10">
      <t>カッセイカ</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</si>
  <si>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</si>
  <si>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</si>
  <si>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仕入修正画面が表示されること。</t>
    <rPh sb="2" eb="4">
      <t>シュウセイ</t>
    </rPh>
    <rPh sb="4" eb="6">
      <t>ガメン</t>
    </rPh>
    <rPh sb="7" eb="9">
      <t>ヒョウジ</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</si>
  <si>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</si>
  <si>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メインメニュー画面で仕入検索ボタンを押下する。</t>
    <rPh sb="7" eb="9">
      <t>ガメン</t>
    </rPh>
    <rPh sb="10" eb="12">
      <t>シイレ</t>
    </rPh>
    <rPh sb="12" eb="14">
      <t>ケンサク</t>
    </rPh>
    <rPh sb="18" eb="20">
      <t>オウカ</t>
    </rPh>
    <phoneticPr fontId="1"/>
  </si>
  <si>
    <t>任意の行の修正ボタンを押下する。</t>
    <rPh sb="0" eb="2">
      <t>ニンイ</t>
    </rPh>
    <rPh sb="3" eb="4">
      <t>ギョウ</t>
    </rPh>
    <rPh sb="5" eb="7">
      <t>シュウセイ</t>
    </rPh>
    <rPh sb="11" eb="13">
      <t>オウカ</t>
    </rPh>
    <phoneticPr fontId="1"/>
  </si>
  <si>
    <t>検索ボタンを押下し、仕入一覧画面を表示する。</t>
    <rPh sb="0" eb="2">
      <t>ケンサク</t>
    </rPh>
    <rPh sb="6" eb="8">
      <t>オウカ</t>
    </rPh>
    <rPh sb="10" eb="12">
      <t>シイレ</t>
    </rPh>
    <rPh sb="12" eb="14">
      <t>イチラン</t>
    </rPh>
    <rPh sb="14" eb="16">
      <t>ガメン</t>
    </rPh>
    <rPh sb="17" eb="19">
      <t>ヒョウジ</t>
    </rPh>
    <phoneticPr fontId="1"/>
  </si>
  <si>
    <t>仕入登録画面の表示内容が基本設計書に定義された通りの状態であること。</t>
    <rPh sb="0" eb="2">
      <t>シイレ</t>
    </rPh>
    <rPh sb="2" eb="4">
      <t>トウロク</t>
    </rPh>
    <rPh sb="4" eb="6">
      <t>ガメン</t>
    </rPh>
    <rPh sb="7" eb="9">
      <t>ヒョウジ</t>
    </rPh>
    <rPh sb="9" eb="11">
      <t>ナイヨウ</t>
    </rPh>
    <rPh sb="12" eb="14">
      <t>キホン</t>
    </rPh>
    <rPh sb="14" eb="17">
      <t>セッケイショ</t>
    </rPh>
    <rPh sb="18" eb="20">
      <t>テイギ</t>
    </rPh>
    <rPh sb="23" eb="24">
      <t>トオ</t>
    </rPh>
    <rPh sb="26" eb="28">
      <t>ジョウタイ</t>
    </rPh>
    <phoneticPr fontId="1"/>
  </si>
  <si>
    <t>仕入詳細画面が閉じること。</t>
    <rPh sb="2" eb="4">
      <t>ショウサイ</t>
    </rPh>
    <rPh sb="4" eb="6">
      <t>ガメン</t>
    </rPh>
    <rPh sb="7" eb="8">
      <t>ト</t>
    </rPh>
    <phoneticPr fontId="1"/>
  </si>
  <si>
    <t>仕入一覧画面が活性化すること。</t>
    <rPh sb="2" eb="4">
      <t>イチラン</t>
    </rPh>
    <rPh sb="4" eb="6">
      <t>ガメン</t>
    </rPh>
    <rPh sb="7" eb="10">
      <t>カッセイカ</t>
    </rPh>
    <phoneticPr fontId="1"/>
  </si>
  <si>
    <t>削除ボタン押下</t>
    <rPh sb="0" eb="2">
      <t>サクジョ</t>
    </rPh>
    <rPh sb="5" eb="7">
      <t>オウカ</t>
    </rPh>
    <phoneticPr fontId="1"/>
  </si>
  <si>
    <t>仕入修正画面を閉じる。</t>
    <rPh sb="0" eb="2">
      <t>シイレ</t>
    </rPh>
    <rPh sb="2" eb="4">
      <t>シュウセイ</t>
    </rPh>
    <rPh sb="4" eb="6">
      <t>ガメン</t>
    </rPh>
    <rPh sb="7" eb="8">
      <t>ト</t>
    </rPh>
    <phoneticPr fontId="1"/>
  </si>
  <si>
    <t>表示されている任意の行の削除ボタンを押下する。</t>
    <rPh sb="0" eb="2">
      <t>ヒョウジ</t>
    </rPh>
    <rPh sb="7" eb="9">
      <t>ニンイ</t>
    </rPh>
    <rPh sb="10" eb="11">
      <t>ギョウ</t>
    </rPh>
    <rPh sb="12" eb="14">
      <t>サクジョ</t>
    </rPh>
    <rPh sb="18" eb="20">
      <t>オウカ</t>
    </rPh>
    <phoneticPr fontId="1"/>
  </si>
  <si>
    <t>仕入削除画面が表示されること。</t>
    <rPh sb="2" eb="4">
      <t>サクジョ</t>
    </rPh>
    <rPh sb="4" eb="6">
      <t>ガメン</t>
    </rPh>
    <rPh sb="7" eb="9">
      <t>ヒョウジ</t>
    </rPh>
    <phoneticPr fontId="1"/>
  </si>
  <si>
    <t>任意の行の削除ボタンを押下する。</t>
    <rPh sb="0" eb="2">
      <t>ニンイ</t>
    </rPh>
    <rPh sb="3" eb="4">
      <t>ギョウ</t>
    </rPh>
    <rPh sb="5" eb="7">
      <t>サクジョ</t>
    </rPh>
    <rPh sb="11" eb="13">
      <t>オウカ</t>
    </rPh>
    <phoneticPr fontId="1"/>
  </si>
  <si>
    <t>削除確認画面が表示されること。</t>
    <rPh sb="0" eb="2">
      <t>サクジョ</t>
    </rPh>
    <rPh sb="2" eb="4">
      <t>カクニン</t>
    </rPh>
    <rPh sb="4" eb="6">
      <t>ガメン</t>
    </rPh>
    <rPh sb="7" eb="9">
      <t>ヒョウジ</t>
    </rPh>
    <phoneticPr fontId="1"/>
  </si>
  <si>
    <t>削除確認画面に表示されている内容が基本設計書に記載された通りであること。</t>
    <rPh sb="0" eb="2">
      <t>サクジョ</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</si>
  <si>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削除確認画面の閉じるボタンを押下する。</t>
    <rPh sb="0" eb="2">
      <t>サクジョ</t>
    </rPh>
    <rPh sb="2" eb="4">
      <t>カクニン</t>
    </rPh>
    <rPh sb="4" eb="6">
      <t>ガメン</t>
    </rPh>
    <rPh sb="7" eb="8">
      <t>ト</t>
    </rPh>
    <rPh sb="14" eb="16">
      <t>オウカ</t>
    </rPh>
    <phoneticPr fontId="1"/>
  </si>
  <si>
    <t>削除登録画面に遷移すること。</t>
    <rPh sb="0" eb="2">
      <t>サクジョ</t>
    </rPh>
    <rPh sb="2" eb="4">
      <t>トウロク</t>
    </rPh>
    <rPh sb="4" eb="6">
      <t>ガメン</t>
    </rPh>
    <phoneticPr fontId="1"/>
  </si>
  <si>
    <t>削除ボタンを押下する。</t>
    <rPh sb="0" eb="2">
      <t>サクジョ</t>
    </rPh>
    <rPh sb="6" eb="8">
      <t>オウカ</t>
    </rPh>
    <phoneticPr fontId="1"/>
  </si>
  <si>
    <t>削除確認画面の登録ボタンを押下する。</t>
    <rPh sb="0" eb="2">
      <t>サクジョ</t>
    </rPh>
    <rPh sb="2" eb="4">
      <t>カクニン</t>
    </rPh>
    <rPh sb="4" eb="6">
      <t>ガメン</t>
    </rPh>
    <rPh sb="7" eb="9">
      <t>トウロク</t>
    </rPh>
    <rPh sb="13" eb="15">
      <t>オウカ</t>
    </rPh>
    <phoneticPr fontId="1"/>
  </si>
  <si>
    <t>明細全件に紐づく仕入明細テーブルの発注状態が「発注」に更新されていること。</t>
    <rPh sb="0" eb="2">
      <t>メイサイ</t>
    </rPh>
    <rPh sb="2" eb="4">
      <t>ゼンケン</t>
    </rPh>
    <rPh sb="5" eb="6">
      <t>ヒモ</t>
    </rPh>
    <rPh sb="8" eb="10">
      <t>シイレ</t>
    </rPh>
    <rPh sb="10" eb="12">
      <t>メイサイ</t>
    </rPh>
    <rPh sb="17" eb="19">
      <t>ハッチュウ</t>
    </rPh>
    <rPh sb="19" eb="21">
      <t>ジョウタイ</t>
    </rPh>
    <rPh sb="23" eb="25">
      <t>ハッチュウ</t>
    </rPh>
    <rPh sb="27" eb="29">
      <t>コウシン</t>
    </rPh>
    <phoneticPr fontId="1"/>
  </si>
  <si>
    <t>明細が全件仕入明細テーブルに新規に登録されていること。</t>
    <rPh sb="0" eb="2">
      <t>メイサイ</t>
    </rPh>
    <rPh sb="3" eb="5">
      <t>ゼンケン</t>
    </rPh>
    <rPh sb="5" eb="7">
      <t>シイレ</t>
    </rPh>
    <rPh sb="7" eb="9">
      <t>メイサイ</t>
    </rPh>
    <rPh sb="14" eb="16">
      <t>シンキ</t>
    </rPh>
    <rPh sb="17" eb="19">
      <t>トウロク</t>
    </rPh>
    <phoneticPr fontId="1"/>
  </si>
  <si>
    <t>削除完了画面に遷移すること。</t>
    <rPh sb="0" eb="2">
      <t>サクジョ</t>
    </rPh>
    <rPh sb="2" eb="4">
      <t>カンリョウ</t>
    </rPh>
    <rPh sb="4" eb="6">
      <t>ガメン</t>
    </rPh>
    <rPh sb="7" eb="9">
      <t>センイ</t>
    </rPh>
    <phoneticPr fontId="1"/>
  </si>
  <si>
    <t>仕入一覧画面に遷移すること。</t>
    <rPh sb="0" eb="2">
      <t>シイレ</t>
    </rPh>
    <rPh sb="2" eb="4">
      <t>イチラン</t>
    </rPh>
    <rPh sb="4" eb="6">
      <t>ガメン</t>
    </rPh>
    <phoneticPr fontId="1"/>
  </si>
  <si>
    <t>削除完了画面の閉じるボタンを押下する。</t>
    <rPh sb="0" eb="2">
      <t>サクジョ</t>
    </rPh>
    <rPh sb="2" eb="4">
      <t>カンリョウ</t>
    </rPh>
    <rPh sb="4" eb="6">
      <t>ガメン</t>
    </rPh>
    <rPh sb="7" eb="8">
      <t>ト</t>
    </rPh>
    <rPh sb="14" eb="16">
      <t>オウカ</t>
    </rPh>
    <phoneticPr fontId="1"/>
  </si>
  <si>
    <t>対象がoffになっている明細全件に紐づく仕入明細テーブルの発注状態が「発注」に更新されていること。</t>
    <rPh sb="0" eb="2">
      <t>タイショウ</t>
    </rPh>
    <rPh sb="12" eb="14">
      <t>メイサイ</t>
    </rPh>
    <rPh sb="14" eb="16">
      <t>ゼンケン</t>
    </rPh>
    <rPh sb="17" eb="18">
      <t>ヒモ</t>
    </rPh>
    <rPh sb="20" eb="22">
      <t>シイレ</t>
    </rPh>
    <rPh sb="22" eb="24">
      <t>メイサイ</t>
    </rPh>
    <rPh sb="29" eb="31">
      <t>ハッチュウ</t>
    </rPh>
    <rPh sb="31" eb="33">
      <t>ジョウタイ</t>
    </rPh>
    <rPh sb="35" eb="37">
      <t>ハッチュウ</t>
    </rPh>
    <rPh sb="39" eb="41">
      <t>コウシン</t>
    </rPh>
    <phoneticPr fontId="1"/>
  </si>
  <si>
    <t>仕入修正画面が活性化すること。</t>
    <rPh sb="0" eb="2">
      <t>シイレ</t>
    </rPh>
    <rPh sb="2" eb="4">
      <t>シュウセイ</t>
    </rPh>
    <rPh sb="4" eb="6">
      <t>ガメン</t>
    </rPh>
    <rPh sb="7" eb="10">
      <t>カッセイカ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</si>
</sst>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7">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092F2-C4AA-4529-A6E7-CDB7C92996B3}">
  <sheetPr codeName="Sheet10"/>
  <dimension ref="A1:J17"/>
  <sheetViews>
    <sheetView topLeftCell="A5" workbookViewId="0">
      <selection activeCell="D15" sqref="D1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仕入管理メニュー</v>
      </c>
      <c r="D1" s="7"/>
    </row>
    <row r="2" spans="1:10">
      <c r="B2" s="10" t="s">
        <v>9</v>
      </c>
      <c r="C2" s="9">
        <f>COUNTA(D6:D15)</f>
        <v>6</v>
      </c>
    </row>
    <row r="3" spans="1:10">
      <c r="B3" s="10" t="s">
        <v>11</v>
      </c>
      <c r="C3" s="9">
        <f>COUNTA(G6:G15)</f>
        <v>0</v>
      </c>
    </row>
    <row r="4" spans="1:10">
      <c r="B4" s="8"/>
      <c r="C4" s="7"/>
    </row>
    <row r="5" spans="1:10" s="6" customFormat="1">
      <c r="A5" s="16" t="s">
        <v>4</v>
      </c>
      <c r="B5" s="16" t="s">
        <v>6</v>
      </c>
      <c r="C5" s="16" t="s">
        <v>7</v>
      </c>
      <c r="D5" s="16" t="s">
        <v>3</v>
      </c>
      <c r="E5" s="16" t="s">
        <v>2</v>
      </c>
      <c r="F5" s="16" t="s">
        <v>1</v>
      </c>
      <c r="G5" s="16" t="s">
        <v>0</v>
      </c>
      <c r="H5" s="18" t="s">
        <v>8</v>
      </c>
      <c r="I5" s="18"/>
      <c r="J5" s="18"/>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40</v>
      </c>
      <c r="D9" s="5" t="s">
        <v>41</v>
      </c>
      <c r="E9" s="4"/>
      <c r="F9" s="3"/>
      <c r="G9" s="3"/>
      <c r="H9" s="2"/>
      <c r="I9" s="4"/>
      <c r="J9" s="4"/>
    </row>
    <row r="10" spans="1:10" s="1" customFormat="1">
      <c r="A10" s="2">
        <f t="shared" si="0"/>
        <v>5</v>
      </c>
      <c r="B10" s="5" t="s">
        <v>42</v>
      </c>
      <c r="C10" s="5" t="s">
        <v>43</v>
      </c>
      <c r="D10" s="5" t="s">
        <v>44</v>
      </c>
      <c r="E10" s="4"/>
      <c r="F10" s="3"/>
      <c r="G10" s="3"/>
      <c r="H10" s="2"/>
      <c r="I10" s="4"/>
      <c r="J10" s="4"/>
    </row>
    <row r="11" spans="1:10" s="1" customFormat="1" ht="36">
      <c r="A11" s="2">
        <f t="shared" si="0"/>
        <v>6</v>
      </c>
      <c r="B11" s="5"/>
      <c r="C11" s="5"/>
      <c r="D11" s="5" t="s">
        <v>45</v>
      </c>
      <c r="E11" s="4"/>
      <c r="F11" s="3"/>
      <c r="G11" s="3"/>
      <c r="H11" s="2"/>
      <c r="I11" s="4"/>
      <c r="J11" s="4"/>
    </row>
    <row r="12" spans="1:10" s="1" customFormat="1">
      <c r="A12" s="2">
        <f t="shared" si="0"/>
        <v>7</v>
      </c>
      <c r="B12" s="5" t="s">
        <v>48</v>
      </c>
      <c r="C12" s="5" t="s">
        <v>46</v>
      </c>
      <c r="D12" s="5" t="s">
        <v>47</v>
      </c>
      <c r="E12" s="4"/>
      <c r="F12" s="3"/>
      <c r="G12" s="3"/>
      <c r="H12" s="2"/>
      <c r="I12" s="4"/>
      <c r="J12" s="4"/>
    </row>
    <row r="13" spans="1:10" s="1" customFormat="1" ht="36">
      <c r="A13" s="2">
        <f t="shared" si="0"/>
        <v>8</v>
      </c>
      <c r="B13" s="5"/>
      <c r="C13" s="5" t="s">
        <v>40</v>
      </c>
      <c r="D13" s="5" t="s">
        <v>41</v>
      </c>
      <c r="E13" s="4"/>
      <c r="F13" s="3"/>
      <c r="G13" s="3"/>
      <c r="H13" s="2"/>
      <c r="I13" s="4"/>
      <c r="J13" s="4"/>
    </row>
    <row r="14" spans="1:10" s="1" customFormat="1">
      <c r="A14" s="2">
        <f t="shared" si="0"/>
        <v>9</v>
      </c>
      <c r="B14" s="5"/>
      <c r="C14" s="5" t="s">
        <v>49</v>
      </c>
      <c r="D14" s="5" t="s">
        <v>50</v>
      </c>
      <c r="E14" s="4"/>
      <c r="F14" s="3"/>
      <c r="G14" s="3"/>
      <c r="H14" s="2"/>
      <c r="I14" s="4"/>
      <c r="J14" s="4"/>
    </row>
    <row r="15" spans="1:10" s="1" customFormat="1">
      <c r="A15" s="2">
        <f t="shared" si="0"/>
        <v>10</v>
      </c>
      <c r="B15" s="5"/>
      <c r="C15" s="5"/>
      <c r="D15" s="5"/>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26192-26EE-4E1A-A10E-85742EF7E4BB}">
  <sheetPr codeName="Sheet9"/>
  <dimension ref="A1:J31"/>
  <sheetViews>
    <sheetView topLeftCell="A4" workbookViewId="0">
      <selection activeCell="D11" sqref="D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仕入登録</v>
      </c>
      <c r="D1" s="7"/>
    </row>
    <row r="2" spans="1:10">
      <c r="B2" s="10" t="s">
        <v>9</v>
      </c>
      <c r="C2" s="9">
        <f>COUNTA(D6:D29)</f>
        <v>17</v>
      </c>
    </row>
    <row r="3" spans="1:10">
      <c r="B3" s="10" t="s">
        <v>11</v>
      </c>
      <c r="C3" s="9">
        <f>COUNTA(G6:G29)</f>
        <v>0</v>
      </c>
    </row>
    <row r="4" spans="1:10">
      <c r="B4" s="8"/>
      <c r="C4" s="7"/>
    </row>
    <row r="5" spans="1:10" s="6" customFormat="1">
      <c r="A5" s="16" t="s">
        <v>4</v>
      </c>
      <c r="B5" s="16" t="s">
        <v>6</v>
      </c>
      <c r="C5" s="16" t="s">
        <v>7</v>
      </c>
      <c r="D5" s="16" t="s">
        <v>3</v>
      </c>
      <c r="E5" s="16" t="s">
        <v>2</v>
      </c>
      <c r="F5" s="16" t="s">
        <v>1</v>
      </c>
      <c r="G5" s="16" t="s">
        <v>0</v>
      </c>
      <c r="H5" s="18" t="s">
        <v>8</v>
      </c>
      <c r="I5" s="18"/>
      <c r="J5" s="18"/>
    </row>
    <row r="6" spans="1:10" s="1" customFormat="1" ht="36">
      <c r="A6" s="2">
        <f>ROW()-5</f>
        <v>1</v>
      </c>
      <c r="B6" s="5" t="s">
        <v>15</v>
      </c>
      <c r="C6" s="5" t="s">
        <v>13</v>
      </c>
      <c r="D6" s="5"/>
      <c r="E6" s="4"/>
      <c r="F6" s="3"/>
      <c r="G6" s="3"/>
      <c r="H6" s="2"/>
      <c r="I6" s="4"/>
      <c r="J6" s="4"/>
    </row>
    <row r="7" spans="1:10" s="1" customFormat="1">
      <c r="A7" s="2">
        <f t="shared" ref="A7:A29"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51</v>
      </c>
      <c r="D9" s="5" t="s">
        <v>52</v>
      </c>
      <c r="E9" s="4"/>
      <c r="F9" s="3"/>
      <c r="G9" s="3"/>
      <c r="H9" s="2"/>
      <c r="I9" s="4"/>
      <c r="J9" s="4"/>
    </row>
    <row r="10" spans="1:10" s="1" customFormat="1" ht="36">
      <c r="A10" s="2">
        <f t="shared" si="0"/>
        <v>5</v>
      </c>
      <c r="B10" s="5"/>
      <c r="C10" s="5"/>
      <c r="D10" s="5" t="s">
        <v>93</v>
      </c>
      <c r="E10" s="4"/>
      <c r="F10" s="3"/>
      <c r="G10" s="3"/>
      <c r="H10" s="2"/>
      <c r="I10" s="4"/>
      <c r="J10" s="4"/>
    </row>
    <row r="11" spans="1:10" s="1" customFormat="1" ht="36">
      <c r="A11" s="2">
        <f t="shared" si="0"/>
        <v>6</v>
      </c>
      <c r="B11" s="5" t="s">
        <v>53</v>
      </c>
      <c r="C11" s="5" t="s">
        <v>54</v>
      </c>
      <c r="D11" s="5" t="s">
        <v>65</v>
      </c>
      <c r="E11" s="4"/>
      <c r="F11" s="3"/>
      <c r="G11" s="3"/>
      <c r="H11" s="2"/>
      <c r="I11" s="4"/>
      <c r="J11" s="4"/>
    </row>
    <row r="12" spans="1:10" s="1" customFormat="1">
      <c r="A12" s="2">
        <f t="shared" si="0"/>
        <v>7</v>
      </c>
      <c r="B12" s="5"/>
      <c r="C12" s="5"/>
      <c r="D12" s="5" t="s">
        <v>55</v>
      </c>
      <c r="E12" s="4"/>
      <c r="F12" s="3"/>
      <c r="G12" s="3"/>
      <c r="H12" s="2"/>
      <c r="I12" s="4"/>
      <c r="J12" s="4"/>
    </row>
    <row r="13" spans="1:10" s="1" customFormat="1" ht="54">
      <c r="A13" s="2">
        <f t="shared" si="0"/>
        <v>8</v>
      </c>
      <c r="B13" s="5" t="s">
        <v>56</v>
      </c>
      <c r="C13" s="5" t="s">
        <v>57</v>
      </c>
      <c r="D13" s="5" t="s">
        <v>58</v>
      </c>
      <c r="E13" s="4"/>
      <c r="F13" s="3"/>
      <c r="G13" s="3"/>
      <c r="H13" s="2"/>
      <c r="I13" s="4"/>
      <c r="J13" s="4"/>
    </row>
    <row r="14" spans="1:10" s="1" customFormat="1" ht="36">
      <c r="A14" s="2">
        <f t="shared" si="0"/>
        <v>9</v>
      </c>
      <c r="B14" s="5" t="s">
        <v>38</v>
      </c>
      <c r="C14" s="5" t="s">
        <v>59</v>
      </c>
      <c r="D14" s="5"/>
      <c r="E14" s="4"/>
      <c r="F14" s="3"/>
      <c r="G14" s="3"/>
      <c r="H14" s="2"/>
      <c r="I14" s="4"/>
      <c r="J14" s="4"/>
    </row>
    <row r="15" spans="1:10" s="1" customFormat="1" ht="36">
      <c r="A15" s="2">
        <f t="shared" si="0"/>
        <v>10</v>
      </c>
      <c r="B15" s="5"/>
      <c r="C15" s="5" t="s">
        <v>60</v>
      </c>
      <c r="D15" s="5"/>
      <c r="E15" s="4"/>
      <c r="F15" s="3"/>
      <c r="G15" s="3"/>
      <c r="H15" s="2"/>
      <c r="I15" s="4"/>
      <c r="J15" s="4"/>
    </row>
    <row r="16" spans="1:10" s="1" customFormat="1">
      <c r="A16" s="2">
        <f t="shared" si="0"/>
        <v>11</v>
      </c>
      <c r="B16" s="5"/>
      <c r="C16" s="5" t="s">
        <v>39</v>
      </c>
      <c r="D16" s="5" t="s">
        <v>66</v>
      </c>
      <c r="E16" s="4"/>
      <c r="F16" s="3"/>
      <c r="G16" s="3"/>
      <c r="H16" s="2"/>
      <c r="I16" s="4"/>
      <c r="J16" s="4"/>
    </row>
    <row r="17" spans="1:10" s="1" customFormat="1" ht="36">
      <c r="A17" s="2">
        <f t="shared" si="0"/>
        <v>12</v>
      </c>
      <c r="B17" s="5"/>
      <c r="C17" s="5"/>
      <c r="D17" s="5" t="s">
        <v>67</v>
      </c>
      <c r="E17" s="4"/>
      <c r="F17" s="3"/>
      <c r="G17" s="3"/>
      <c r="H17" s="2"/>
      <c r="I17" s="4"/>
      <c r="J17" s="4"/>
    </row>
    <row r="18" spans="1:10" s="1" customFormat="1">
      <c r="A18" s="2">
        <f t="shared" si="0"/>
        <v>13</v>
      </c>
      <c r="B18" s="5"/>
      <c r="C18" s="5" t="s">
        <v>68</v>
      </c>
      <c r="D18" s="5" t="s">
        <v>52</v>
      </c>
      <c r="E18" s="4"/>
      <c r="F18" s="3"/>
      <c r="G18" s="3"/>
      <c r="H18" s="2"/>
      <c r="I18" s="4"/>
      <c r="J18" s="4"/>
    </row>
    <row r="19" spans="1:10" s="1" customFormat="1">
      <c r="A19" s="2">
        <f t="shared" si="0"/>
        <v>14</v>
      </c>
      <c r="B19" s="5"/>
      <c r="C19" s="5"/>
      <c r="D19" s="5" t="s">
        <v>69</v>
      </c>
      <c r="E19" s="4"/>
      <c r="F19" s="3"/>
      <c r="G19" s="3"/>
      <c r="H19" s="2"/>
      <c r="I19" s="4"/>
      <c r="J19" s="4"/>
    </row>
    <row r="20" spans="1:10" s="1" customFormat="1">
      <c r="A20" s="2">
        <f t="shared" si="0"/>
        <v>15</v>
      </c>
      <c r="B20" s="5"/>
      <c r="C20" s="5" t="s">
        <v>39</v>
      </c>
      <c r="D20" s="5"/>
      <c r="E20" s="4"/>
      <c r="F20" s="3"/>
      <c r="G20" s="3"/>
      <c r="H20" s="2"/>
      <c r="I20" s="4"/>
      <c r="J20" s="4"/>
    </row>
    <row r="21" spans="1:10" s="1" customFormat="1">
      <c r="A21" s="2">
        <f t="shared" si="0"/>
        <v>16</v>
      </c>
      <c r="B21" s="5"/>
      <c r="C21" s="5" t="s">
        <v>70</v>
      </c>
      <c r="D21" s="5" t="s">
        <v>61</v>
      </c>
      <c r="E21" s="4"/>
      <c r="F21" s="3"/>
      <c r="G21" s="3"/>
      <c r="H21" s="2"/>
      <c r="I21" s="4"/>
      <c r="J21" s="4"/>
    </row>
    <row r="22" spans="1:10" s="1" customFormat="1" ht="36">
      <c r="A22" s="2">
        <f t="shared" si="0"/>
        <v>17</v>
      </c>
      <c r="B22" s="5"/>
      <c r="C22" s="5"/>
      <c r="D22" s="5" t="s">
        <v>62</v>
      </c>
      <c r="E22" s="4"/>
      <c r="F22" s="3"/>
      <c r="G22" s="3"/>
      <c r="H22" s="2"/>
      <c r="I22" s="4"/>
      <c r="J22" s="4"/>
    </row>
    <row r="23" spans="1:10" s="1" customFormat="1" ht="36">
      <c r="A23" s="2">
        <f t="shared" si="0"/>
        <v>18</v>
      </c>
      <c r="B23" s="5"/>
      <c r="C23" s="5"/>
      <c r="D23" s="5" t="s">
        <v>63</v>
      </c>
      <c r="E23" s="4"/>
      <c r="F23" s="3"/>
      <c r="G23" s="3"/>
      <c r="H23" s="2"/>
      <c r="I23" s="4"/>
      <c r="J23" s="4"/>
    </row>
    <row r="24" spans="1:10" s="1" customFormat="1" ht="36">
      <c r="A24" s="2">
        <f t="shared" si="0"/>
        <v>19</v>
      </c>
      <c r="B24" s="5"/>
      <c r="C24" s="5"/>
      <c r="D24" s="5" t="s">
        <v>62</v>
      </c>
      <c r="E24" s="4"/>
      <c r="F24" s="3"/>
      <c r="G24" s="3"/>
      <c r="H24" s="2"/>
      <c r="I24" s="4"/>
      <c r="J24" s="4"/>
    </row>
    <row r="25" spans="1:10" s="1" customFormat="1" ht="36">
      <c r="A25" s="2">
        <f t="shared" si="0"/>
        <v>20</v>
      </c>
      <c r="B25" s="5"/>
      <c r="C25" s="5"/>
      <c r="D25" s="5" t="s">
        <v>64</v>
      </c>
      <c r="E25" s="4"/>
      <c r="F25" s="3"/>
      <c r="G25" s="3"/>
      <c r="H25" s="2"/>
      <c r="I25" s="4"/>
      <c r="J25" s="4"/>
    </row>
    <row r="26" spans="1:10" s="1" customFormat="1">
      <c r="A26" s="2">
        <f t="shared" si="0"/>
        <v>21</v>
      </c>
      <c r="B26" s="5"/>
      <c r="C26" s="5"/>
      <c r="D26" s="5" t="s">
        <v>71</v>
      </c>
      <c r="E26" s="4"/>
      <c r="F26" s="3"/>
      <c r="G26" s="3"/>
      <c r="H26" s="2"/>
      <c r="I26" s="4"/>
      <c r="J26" s="4"/>
    </row>
    <row r="27" spans="1:10" s="1" customFormat="1">
      <c r="A27" s="2">
        <f t="shared" si="0"/>
        <v>22</v>
      </c>
      <c r="B27" s="5"/>
      <c r="C27" s="5" t="s">
        <v>72</v>
      </c>
      <c r="D27" s="5" t="s">
        <v>52</v>
      </c>
      <c r="E27" s="4"/>
      <c r="F27" s="3"/>
      <c r="G27" s="3"/>
      <c r="H27" s="2"/>
      <c r="I27" s="4"/>
      <c r="J27" s="4"/>
    </row>
    <row r="28" spans="1:10" s="1" customFormat="1">
      <c r="A28" s="2">
        <f t="shared" si="0"/>
        <v>23</v>
      </c>
      <c r="B28" s="5"/>
      <c r="C28" s="5"/>
      <c r="D28" s="5" t="s">
        <v>73</v>
      </c>
      <c r="E28" s="4"/>
      <c r="F28" s="3"/>
      <c r="G28" s="3"/>
      <c r="H28" s="2"/>
      <c r="I28" s="4"/>
      <c r="J28" s="4"/>
    </row>
    <row r="29" spans="1:10" s="1" customFormat="1">
      <c r="A29" s="2">
        <f t="shared" si="0"/>
        <v>24</v>
      </c>
      <c r="B29" s="5"/>
      <c r="C29" s="5"/>
      <c r="D29" s="5"/>
      <c r="E29" s="4"/>
      <c r="F29" s="3"/>
      <c r="G29" s="3"/>
      <c r="H29" s="2"/>
      <c r="I29" s="4"/>
      <c r="J29" s="4"/>
    </row>
    <row r="31" spans="1:10">
      <c r="B31"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topLeftCell="A4" workbookViewId="0">
      <selection activeCell="C13" sqref="C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74</v>
      </c>
      <c r="D9" s="5" t="s">
        <v>75</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76</v>
      </c>
      <c r="E13" s="4"/>
      <c r="F13" s="3"/>
      <c r="G13" s="3"/>
      <c r="H13" s="2"/>
      <c r="I13" s="4"/>
      <c r="J13" s="4"/>
    </row>
    <row r="14" spans="1:10" s="1" customFormat="1" ht="36">
      <c r="A14" s="2">
        <f t="shared" si="0"/>
        <v>9</v>
      </c>
      <c r="B14" s="5"/>
      <c r="C14" s="5"/>
      <c r="D14" s="5" t="s">
        <v>77</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39"/>
  <sheetViews>
    <sheetView topLeftCell="A19" workbookViewId="0">
      <selection activeCell="D26" sqref="D26:D2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仕入一覧</v>
      </c>
      <c r="D1" s="7"/>
    </row>
    <row r="2" spans="1:10">
      <c r="B2" s="10" t="s">
        <v>9</v>
      </c>
      <c r="C2" s="9">
        <f>COUNTA(D6:D36)</f>
        <v>17</v>
      </c>
    </row>
    <row r="3" spans="1:10">
      <c r="B3" s="10" t="s">
        <v>11</v>
      </c>
      <c r="C3" s="9">
        <f>COUNTA(G6:G36)</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37"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74</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76</v>
      </c>
      <c r="E12" s="4"/>
      <c r="F12" s="3"/>
      <c r="G12" s="3"/>
      <c r="H12" s="2"/>
      <c r="I12" s="4"/>
      <c r="J12" s="4"/>
    </row>
    <row r="13" spans="1:10" s="1" customFormat="1" ht="36">
      <c r="A13" s="2">
        <f t="shared" si="0"/>
        <v>8</v>
      </c>
      <c r="B13" s="5"/>
      <c r="C13" s="5"/>
      <c r="D13" s="5" t="s">
        <v>77</v>
      </c>
      <c r="E13" s="4"/>
      <c r="F13" s="3"/>
      <c r="G13" s="3"/>
      <c r="H13" s="2"/>
      <c r="I13" s="4"/>
      <c r="J13" s="4"/>
    </row>
    <row r="14" spans="1:10" s="1" customFormat="1" ht="36">
      <c r="A14" s="2">
        <f t="shared" si="0"/>
        <v>9</v>
      </c>
      <c r="B14" s="5"/>
      <c r="C14" s="5"/>
      <c r="D14" s="5" t="s">
        <v>78</v>
      </c>
      <c r="E14" s="4"/>
      <c r="F14" s="3"/>
      <c r="G14" s="3"/>
      <c r="H14" s="2"/>
      <c r="I14" s="4"/>
      <c r="J14" s="4"/>
    </row>
    <row r="15" spans="1:10" s="1" customFormat="1" ht="36">
      <c r="A15" s="2">
        <f t="shared" si="0"/>
        <v>10</v>
      </c>
      <c r="B15" s="5"/>
      <c r="C15" s="5"/>
      <c r="D15" s="5" t="s">
        <v>79</v>
      </c>
      <c r="E15" s="4"/>
      <c r="F15" s="3"/>
      <c r="G15" s="3"/>
      <c r="H15" s="2"/>
      <c r="I15" s="4"/>
      <c r="J15" s="4"/>
    </row>
    <row r="16" spans="1:10" s="1" customFormat="1" ht="36">
      <c r="A16" s="2">
        <f t="shared" si="0"/>
        <v>11</v>
      </c>
      <c r="B16" s="5"/>
      <c r="C16" s="5"/>
      <c r="D16" s="5" t="s">
        <v>23</v>
      </c>
      <c r="E16" s="4"/>
      <c r="F16" s="3"/>
      <c r="G16" s="3"/>
      <c r="H16" s="2"/>
      <c r="I16" s="4"/>
      <c r="J16" s="4"/>
    </row>
    <row r="17" spans="1:10" s="1" customFormat="1" ht="54">
      <c r="A17" s="2">
        <f t="shared" si="0"/>
        <v>12</v>
      </c>
      <c r="B17" s="5"/>
      <c r="C17" s="5"/>
      <c r="D17" s="14" t="s">
        <v>80</v>
      </c>
      <c r="E17" s="4"/>
      <c r="F17" s="3"/>
      <c r="G17" s="3"/>
      <c r="H17" s="2"/>
      <c r="I17" s="4"/>
      <c r="J17" s="4"/>
    </row>
    <row r="18" spans="1:10" s="1" customFormat="1" ht="54">
      <c r="A18" s="2">
        <f t="shared" si="0"/>
        <v>13</v>
      </c>
      <c r="B18" s="5"/>
      <c r="C18" s="5"/>
      <c r="D18" s="14" t="s">
        <v>81</v>
      </c>
      <c r="E18" s="4"/>
      <c r="F18" s="3"/>
      <c r="G18" s="3"/>
      <c r="H18" s="2"/>
      <c r="I18" s="4"/>
      <c r="J18" s="4"/>
    </row>
    <row r="19" spans="1:10" s="1" customFormat="1" ht="36">
      <c r="A19" s="2">
        <f t="shared" si="0"/>
        <v>14</v>
      </c>
      <c r="B19" s="5"/>
      <c r="C19" s="5"/>
      <c r="D19" s="14" t="s">
        <v>35</v>
      </c>
      <c r="E19" s="4"/>
      <c r="F19" s="3"/>
      <c r="G19" s="3"/>
      <c r="H19" s="2"/>
      <c r="I19" s="4"/>
      <c r="J19" s="4"/>
    </row>
    <row r="20" spans="1:10" s="1" customFormat="1" ht="36">
      <c r="A20" s="2">
        <f t="shared" si="0"/>
        <v>15</v>
      </c>
      <c r="B20" s="5"/>
      <c r="C20" s="5"/>
      <c r="D20" s="14" t="s">
        <v>36</v>
      </c>
      <c r="E20" s="4"/>
      <c r="F20" s="3"/>
      <c r="G20" s="3"/>
      <c r="H20" s="2"/>
      <c r="I20" s="4"/>
      <c r="J20" s="4"/>
    </row>
    <row r="21" spans="1:10" s="1" customFormat="1">
      <c r="A21" s="2">
        <f t="shared" si="0"/>
        <v>16</v>
      </c>
      <c r="B21" s="5" t="s">
        <v>27</v>
      </c>
      <c r="C21" s="5" t="s">
        <v>28</v>
      </c>
      <c r="D21" s="5"/>
      <c r="E21" s="4"/>
      <c r="F21" s="3"/>
      <c r="G21" s="3"/>
      <c r="H21" s="2"/>
      <c r="I21" s="4"/>
      <c r="J21" s="4"/>
    </row>
    <row r="22" spans="1:10" s="1" customFormat="1" ht="36">
      <c r="A22" s="2">
        <f t="shared" si="0"/>
        <v>17</v>
      </c>
      <c r="B22" s="5"/>
      <c r="C22" s="5" t="s">
        <v>29</v>
      </c>
      <c r="D22" s="5" t="s">
        <v>82</v>
      </c>
      <c r="E22" s="4"/>
      <c r="F22" s="3"/>
      <c r="G22" s="3"/>
      <c r="H22" s="2"/>
      <c r="I22" s="4"/>
      <c r="J22" s="4"/>
    </row>
    <row r="23" spans="1:10" s="1" customFormat="1" ht="36">
      <c r="A23" s="2">
        <f t="shared" si="0"/>
        <v>18</v>
      </c>
      <c r="B23" s="5" t="s">
        <v>30</v>
      </c>
      <c r="C23" s="5" t="s">
        <v>31</v>
      </c>
      <c r="D23" s="5" t="s">
        <v>83</v>
      </c>
      <c r="E23" s="4"/>
      <c r="F23" s="3"/>
      <c r="G23" s="3"/>
      <c r="H23" s="2"/>
      <c r="I23" s="4"/>
      <c r="J23" s="4"/>
    </row>
    <row r="24" spans="1:10" s="1" customFormat="1" ht="36">
      <c r="A24" s="2">
        <f t="shared" si="0"/>
        <v>19</v>
      </c>
      <c r="B24" s="5"/>
      <c r="C24" s="5"/>
      <c r="D24" s="5" t="s">
        <v>32</v>
      </c>
      <c r="E24" s="4"/>
      <c r="F24" s="3"/>
      <c r="G24" s="3"/>
      <c r="H24" s="2"/>
      <c r="I24" s="4"/>
      <c r="J24" s="4"/>
    </row>
    <row r="25" spans="1:10" s="1" customFormat="1">
      <c r="A25" s="2">
        <f t="shared" si="0"/>
        <v>20</v>
      </c>
      <c r="B25" s="5"/>
      <c r="C25" s="5" t="s">
        <v>84</v>
      </c>
      <c r="D25" s="5" t="s">
        <v>85</v>
      </c>
      <c r="E25" s="4"/>
      <c r="F25" s="3"/>
      <c r="G25" s="3"/>
      <c r="H25" s="2"/>
      <c r="I25" s="4"/>
      <c r="J25" s="4"/>
    </row>
    <row r="26" spans="1:10" s="1" customFormat="1" ht="36">
      <c r="A26" s="2">
        <f t="shared" si="0"/>
        <v>21</v>
      </c>
      <c r="B26" s="5" t="s">
        <v>86</v>
      </c>
      <c r="C26" s="5" t="s">
        <v>87</v>
      </c>
      <c r="D26" s="5" t="s">
        <v>88</v>
      </c>
      <c r="E26" s="4"/>
      <c r="F26" s="3"/>
      <c r="G26" s="3"/>
      <c r="H26" s="2"/>
      <c r="I26" s="4"/>
      <c r="J26" s="4"/>
    </row>
    <row r="27" spans="1:10" s="1" customFormat="1" ht="36">
      <c r="A27" s="2">
        <f t="shared" si="0"/>
        <v>22</v>
      </c>
      <c r="B27" s="5"/>
      <c r="C27" s="5"/>
      <c r="D27" s="5" t="s">
        <v>89</v>
      </c>
      <c r="E27" s="4"/>
      <c r="F27" s="3"/>
      <c r="G27" s="3"/>
      <c r="H27" s="2"/>
      <c r="I27" s="4"/>
      <c r="J27" s="4"/>
    </row>
    <row r="28" spans="1:10" s="1" customFormat="1">
      <c r="A28" s="2">
        <f t="shared" si="0"/>
        <v>23</v>
      </c>
      <c r="B28" s="5"/>
      <c r="C28" s="5" t="s">
        <v>97</v>
      </c>
      <c r="D28" s="5"/>
      <c r="E28" s="4"/>
      <c r="F28" s="3"/>
      <c r="G28" s="3"/>
      <c r="H28" s="2"/>
      <c r="I28" s="4"/>
      <c r="J28" s="4"/>
    </row>
    <row r="29" spans="1:10" s="1" customFormat="1" ht="36">
      <c r="A29" s="2">
        <f t="shared" si="0"/>
        <v>24</v>
      </c>
      <c r="B29" s="5" t="s">
        <v>96</v>
      </c>
      <c r="C29" s="5" t="s">
        <v>98</v>
      </c>
      <c r="D29" s="5" t="s">
        <v>99</v>
      </c>
      <c r="E29" s="4"/>
      <c r="F29" s="3"/>
      <c r="G29" s="3"/>
      <c r="H29" s="2"/>
      <c r="I29" s="4"/>
      <c r="J29" s="4"/>
    </row>
    <row r="30" spans="1:10" s="1" customFormat="1" ht="36">
      <c r="A30" s="2">
        <f t="shared" si="0"/>
        <v>25</v>
      </c>
      <c r="B30" s="5"/>
      <c r="C30" s="5"/>
      <c r="D30" s="5" t="s">
        <v>89</v>
      </c>
      <c r="E30" s="4"/>
      <c r="F30" s="3"/>
      <c r="G30" s="3"/>
      <c r="H30" s="2"/>
      <c r="I30" s="4"/>
      <c r="J30" s="4"/>
    </row>
    <row r="31" spans="1:10" s="1" customFormat="1">
      <c r="A31" s="2">
        <f t="shared" si="0"/>
        <v>26</v>
      </c>
      <c r="B31" s="5"/>
      <c r="C31" s="11"/>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11"/>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11"/>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5"/>
      <c r="D37" s="5"/>
      <c r="E37" s="4"/>
      <c r="F37" s="3"/>
      <c r="G37" s="3"/>
      <c r="H37" s="2"/>
      <c r="I37" s="4"/>
      <c r="J37" s="4"/>
    </row>
    <row r="39" spans="1:10">
      <c r="B39"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topLeftCell="A7" workbookViewId="0">
      <selection activeCell="D15" sqref="D1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74</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37</v>
      </c>
      <c r="D13" s="5" t="s">
        <v>83</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34</v>
      </c>
      <c r="C16" s="13" t="s">
        <v>16</v>
      </c>
      <c r="D16" s="15" t="s">
        <v>94</v>
      </c>
      <c r="E16" s="4"/>
      <c r="F16" s="3"/>
      <c r="G16" s="3"/>
      <c r="H16" s="2"/>
      <c r="I16" s="4"/>
      <c r="J16" s="4"/>
    </row>
    <row r="17" spans="1:10" s="1" customFormat="1">
      <c r="A17" s="2">
        <f t="shared" si="0"/>
        <v>12</v>
      </c>
      <c r="B17" s="5"/>
      <c r="C17" s="5"/>
      <c r="D17" s="15" t="s">
        <v>95</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F0511-3119-4BC4-8184-ECE6FAF9C9A0}">
  <sheetPr codeName="Sheet11"/>
  <dimension ref="A1:J37"/>
  <sheetViews>
    <sheetView tabSelected="1" topLeftCell="A22" workbookViewId="0">
      <selection activeCell="D36" sqref="D3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仕入修正</v>
      </c>
      <c r="D1" s="7"/>
    </row>
    <row r="2" spans="1:10">
      <c r="B2" s="10" t="s">
        <v>9</v>
      </c>
      <c r="C2" s="9">
        <f>COUNTA(D6:D35)</f>
        <v>18</v>
      </c>
    </row>
    <row r="3" spans="1:10">
      <c r="B3" s="10" t="s">
        <v>11</v>
      </c>
      <c r="C3" s="9">
        <f>COUNTA(G6:G35)</f>
        <v>0</v>
      </c>
    </row>
    <row r="4" spans="1:10">
      <c r="B4" s="8"/>
      <c r="C4" s="7"/>
    </row>
    <row r="5" spans="1:10" s="6" customFormat="1">
      <c r="A5" s="17" t="s">
        <v>4</v>
      </c>
      <c r="B5" s="17" t="s">
        <v>6</v>
      </c>
      <c r="C5" s="17" t="s">
        <v>7</v>
      </c>
      <c r="D5" s="17" t="s">
        <v>3</v>
      </c>
      <c r="E5" s="17" t="s">
        <v>2</v>
      </c>
      <c r="F5" s="17" t="s">
        <v>1</v>
      </c>
      <c r="G5" s="17" t="s">
        <v>0</v>
      </c>
      <c r="H5" s="18" t="s">
        <v>8</v>
      </c>
      <c r="I5" s="18"/>
      <c r="J5" s="18"/>
    </row>
    <row r="6" spans="1:10" s="1" customFormat="1" ht="36">
      <c r="A6" s="2">
        <f>ROW()-5</f>
        <v>1</v>
      </c>
      <c r="B6" s="5" t="s">
        <v>15</v>
      </c>
      <c r="C6" s="5" t="s">
        <v>13</v>
      </c>
      <c r="D6" s="5"/>
      <c r="E6" s="4"/>
      <c r="F6" s="3"/>
      <c r="G6" s="3"/>
      <c r="H6" s="2"/>
      <c r="I6" s="4"/>
      <c r="J6" s="4"/>
    </row>
    <row r="7" spans="1:10" s="1" customFormat="1">
      <c r="A7" s="2">
        <f t="shared" ref="A7:A3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90</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92</v>
      </c>
      <c r="D12" s="5"/>
      <c r="E12" s="4"/>
      <c r="F12" s="3"/>
      <c r="G12" s="3"/>
      <c r="H12" s="2"/>
      <c r="I12" s="4"/>
      <c r="J12" s="4"/>
    </row>
    <row r="13" spans="1:10" s="1" customFormat="1">
      <c r="A13" s="2">
        <f t="shared" si="0"/>
        <v>8</v>
      </c>
      <c r="B13" s="5"/>
      <c r="C13" s="5" t="s">
        <v>91</v>
      </c>
      <c r="D13" s="5" t="s">
        <v>88</v>
      </c>
      <c r="E13" s="4"/>
      <c r="F13" s="3"/>
      <c r="G13" s="3"/>
      <c r="H13" s="2"/>
      <c r="I13" s="4"/>
      <c r="J13" s="4"/>
    </row>
    <row r="14" spans="1:10" s="1" customFormat="1" ht="36">
      <c r="A14" s="2">
        <f t="shared" si="0"/>
        <v>9</v>
      </c>
      <c r="B14" s="5"/>
      <c r="C14" s="5"/>
      <c r="D14" s="5" t="s">
        <v>89</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53</v>
      </c>
      <c r="C16" s="5" t="s">
        <v>54</v>
      </c>
      <c r="D16" s="5" t="s">
        <v>65</v>
      </c>
      <c r="E16" s="4"/>
      <c r="F16" s="3"/>
      <c r="G16" s="3"/>
      <c r="H16" s="2"/>
      <c r="I16" s="4"/>
      <c r="J16" s="4"/>
    </row>
    <row r="17" spans="1:10" s="1" customFormat="1">
      <c r="A17" s="2">
        <f t="shared" si="0"/>
        <v>12</v>
      </c>
      <c r="B17" s="5"/>
      <c r="C17" s="5"/>
      <c r="D17" s="5" t="s">
        <v>55</v>
      </c>
      <c r="E17" s="4"/>
      <c r="F17" s="3"/>
      <c r="G17" s="3"/>
      <c r="H17" s="2"/>
      <c r="I17" s="4"/>
      <c r="J17" s="4"/>
    </row>
    <row r="18" spans="1:10" s="1" customFormat="1" ht="54">
      <c r="A18" s="2">
        <f t="shared" si="0"/>
        <v>13</v>
      </c>
      <c r="B18" s="5" t="s">
        <v>56</v>
      </c>
      <c r="C18" s="5" t="s">
        <v>57</v>
      </c>
      <c r="D18" s="5" t="s">
        <v>58</v>
      </c>
      <c r="E18" s="4"/>
      <c r="F18" s="3"/>
      <c r="G18" s="3"/>
      <c r="H18" s="2"/>
      <c r="I18" s="4"/>
      <c r="J18" s="4"/>
    </row>
    <row r="19" spans="1:10" s="1" customFormat="1" ht="36">
      <c r="A19" s="2">
        <f t="shared" si="0"/>
        <v>14</v>
      </c>
      <c r="B19" s="5" t="s">
        <v>38</v>
      </c>
      <c r="C19" s="5" t="s">
        <v>59</v>
      </c>
      <c r="D19" s="5"/>
      <c r="E19" s="4"/>
      <c r="F19" s="3"/>
      <c r="G19" s="3"/>
      <c r="H19" s="2"/>
      <c r="I19" s="4"/>
      <c r="J19" s="4"/>
    </row>
    <row r="20" spans="1:10" s="1" customFormat="1" ht="36">
      <c r="A20" s="2">
        <f t="shared" si="0"/>
        <v>15</v>
      </c>
      <c r="B20" s="5"/>
      <c r="C20" s="5" t="s">
        <v>60</v>
      </c>
      <c r="D20" s="5"/>
      <c r="E20" s="4"/>
      <c r="F20" s="3"/>
      <c r="G20" s="3"/>
      <c r="H20" s="2"/>
      <c r="I20" s="4"/>
      <c r="J20" s="4"/>
    </row>
    <row r="21" spans="1:10" s="1" customFormat="1">
      <c r="A21" s="2">
        <f t="shared" si="0"/>
        <v>16</v>
      </c>
      <c r="B21" s="5"/>
      <c r="C21" s="5" t="s">
        <v>39</v>
      </c>
      <c r="D21" s="5" t="s">
        <v>66</v>
      </c>
      <c r="E21" s="4"/>
      <c r="F21" s="3"/>
      <c r="G21" s="3"/>
      <c r="H21" s="2"/>
      <c r="I21" s="4"/>
      <c r="J21" s="4"/>
    </row>
    <row r="22" spans="1:10" s="1" customFormat="1" ht="36">
      <c r="A22" s="2">
        <f t="shared" si="0"/>
        <v>17</v>
      </c>
      <c r="B22" s="5"/>
      <c r="C22" s="5"/>
      <c r="D22" s="5" t="s">
        <v>67</v>
      </c>
      <c r="E22" s="4"/>
      <c r="F22" s="3"/>
      <c r="G22" s="3"/>
      <c r="H22" s="2"/>
      <c r="I22" s="4"/>
      <c r="J22" s="4"/>
    </row>
    <row r="23" spans="1:10" s="1" customFormat="1">
      <c r="A23" s="2">
        <f t="shared" si="0"/>
        <v>18</v>
      </c>
      <c r="B23" s="5"/>
      <c r="C23" s="5" t="s">
        <v>68</v>
      </c>
      <c r="D23" s="5" t="s">
        <v>52</v>
      </c>
      <c r="E23" s="4"/>
      <c r="F23" s="3"/>
      <c r="G23" s="3"/>
      <c r="H23" s="2"/>
      <c r="I23" s="4"/>
      <c r="J23" s="4"/>
    </row>
    <row r="24" spans="1:10" s="1" customFormat="1">
      <c r="A24" s="2">
        <f t="shared" si="0"/>
        <v>19</v>
      </c>
      <c r="B24" s="5"/>
      <c r="C24" s="5"/>
      <c r="D24" s="5" t="s">
        <v>69</v>
      </c>
      <c r="E24" s="4"/>
      <c r="F24" s="3"/>
      <c r="G24" s="3"/>
      <c r="H24" s="2"/>
      <c r="I24" s="4"/>
      <c r="J24" s="4"/>
    </row>
    <row r="25" spans="1:10" s="1" customFormat="1">
      <c r="A25" s="2">
        <f t="shared" si="0"/>
        <v>20</v>
      </c>
      <c r="B25" s="5"/>
      <c r="C25" s="5" t="s">
        <v>39</v>
      </c>
      <c r="D25" s="5"/>
      <c r="E25" s="4"/>
      <c r="F25" s="3"/>
      <c r="G25" s="3"/>
      <c r="H25" s="2"/>
      <c r="I25" s="4"/>
      <c r="J25" s="4"/>
    </row>
    <row r="26" spans="1:10" s="1" customFormat="1">
      <c r="A26" s="2">
        <f t="shared" si="0"/>
        <v>21</v>
      </c>
      <c r="B26" s="5"/>
      <c r="C26" s="5" t="s">
        <v>70</v>
      </c>
      <c r="D26" s="5" t="s">
        <v>61</v>
      </c>
      <c r="E26" s="4"/>
      <c r="F26" s="3"/>
      <c r="G26" s="3"/>
      <c r="H26" s="2"/>
      <c r="I26" s="4"/>
      <c r="J26" s="4"/>
    </row>
    <row r="27" spans="1:10" s="1" customFormat="1" ht="36">
      <c r="A27" s="2">
        <f t="shared" si="0"/>
        <v>22</v>
      </c>
      <c r="B27" s="5"/>
      <c r="C27" s="5"/>
      <c r="D27" s="5" t="s">
        <v>62</v>
      </c>
      <c r="E27" s="4"/>
      <c r="F27" s="3"/>
      <c r="G27" s="3"/>
      <c r="H27" s="2"/>
      <c r="I27" s="4"/>
      <c r="J27" s="4"/>
    </row>
    <row r="28" spans="1:10" s="1" customFormat="1" ht="36">
      <c r="A28" s="2">
        <f t="shared" si="0"/>
        <v>23</v>
      </c>
      <c r="B28" s="5"/>
      <c r="C28" s="5"/>
      <c r="D28" s="5" t="s">
        <v>63</v>
      </c>
      <c r="E28" s="4"/>
      <c r="F28" s="3"/>
      <c r="G28" s="3"/>
      <c r="H28" s="2"/>
      <c r="I28" s="4"/>
      <c r="J28" s="4"/>
    </row>
    <row r="29" spans="1:10" s="1" customFormat="1" ht="36">
      <c r="A29" s="2">
        <f t="shared" si="0"/>
        <v>24</v>
      </c>
      <c r="B29" s="5"/>
      <c r="C29" s="5"/>
      <c r="D29" s="5" t="s">
        <v>62</v>
      </c>
      <c r="E29" s="4"/>
      <c r="F29" s="3"/>
      <c r="G29" s="3"/>
      <c r="H29" s="2"/>
      <c r="I29" s="4"/>
      <c r="J29" s="4"/>
    </row>
    <row r="30" spans="1:10" s="1" customFormat="1" ht="36">
      <c r="A30" s="2">
        <f t="shared" si="0"/>
        <v>25</v>
      </c>
      <c r="B30" s="5"/>
      <c r="C30" s="5"/>
      <c r="D30" s="5" t="s">
        <v>64</v>
      </c>
      <c r="E30" s="4"/>
      <c r="F30" s="3"/>
      <c r="G30" s="3"/>
      <c r="H30" s="2"/>
      <c r="I30" s="4"/>
      <c r="J30" s="4"/>
    </row>
    <row r="31" spans="1:10" s="1" customFormat="1" ht="36">
      <c r="A31" s="2">
        <f t="shared" si="0"/>
        <v>26</v>
      </c>
      <c r="B31" s="5"/>
      <c r="C31" s="5"/>
      <c r="D31" s="5" t="s">
        <v>112</v>
      </c>
      <c r="E31" s="4"/>
      <c r="F31" s="3"/>
      <c r="G31" s="3"/>
      <c r="H31" s="2"/>
      <c r="I31" s="4"/>
      <c r="J31" s="4"/>
    </row>
    <row r="32" spans="1:10" s="1" customFormat="1">
      <c r="A32" s="2">
        <f t="shared" si="0"/>
        <v>27</v>
      </c>
      <c r="B32" s="5"/>
      <c r="C32" s="5"/>
      <c r="D32" s="5" t="s">
        <v>71</v>
      </c>
      <c r="E32" s="4"/>
      <c r="F32" s="3"/>
      <c r="G32" s="3"/>
      <c r="H32" s="2"/>
      <c r="I32" s="4"/>
      <c r="J32" s="4"/>
    </row>
    <row r="33" spans="1:10" s="1" customFormat="1">
      <c r="A33" s="2">
        <f t="shared" si="0"/>
        <v>28</v>
      </c>
      <c r="B33" s="5"/>
      <c r="C33" s="5" t="s">
        <v>72</v>
      </c>
      <c r="D33" s="5" t="s">
        <v>113</v>
      </c>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5"/>
      <c r="D35" s="5"/>
      <c r="E35" s="4"/>
      <c r="F35" s="3"/>
      <c r="G35" s="3"/>
      <c r="H35" s="2"/>
      <c r="I35" s="4"/>
      <c r="J35" s="4"/>
    </row>
    <row r="37" spans="1:10">
      <c r="B37" t="s">
        <v>10</v>
      </c>
    </row>
  </sheetData>
  <mergeCells count="1">
    <mergeCell ref="H5:J5"/>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1EBDA-5519-4C9B-A9DF-F741E6330BC4}">
  <sheetPr codeName="Sheet12"/>
  <dimension ref="A1:J27"/>
  <sheetViews>
    <sheetView topLeftCell="A10" workbookViewId="0">
      <selection activeCell="C24" sqref="C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仕入削除</v>
      </c>
      <c r="D1" s="7"/>
    </row>
    <row r="2" spans="1:10">
      <c r="B2" s="10" t="s">
        <v>9</v>
      </c>
      <c r="C2" s="9">
        <f>COUNTA(D6:D25)</f>
        <v>10</v>
      </c>
    </row>
    <row r="3" spans="1:10">
      <c r="B3" s="10" t="s">
        <v>11</v>
      </c>
      <c r="C3" s="9">
        <f>COUNTA(G6:G25)</f>
        <v>0</v>
      </c>
    </row>
    <row r="4" spans="1:10">
      <c r="B4" s="8"/>
      <c r="C4" s="7"/>
    </row>
    <row r="5" spans="1:10" s="6" customFormat="1">
      <c r="A5" s="17" t="s">
        <v>4</v>
      </c>
      <c r="B5" s="17" t="s">
        <v>6</v>
      </c>
      <c r="C5" s="17" t="s">
        <v>7</v>
      </c>
      <c r="D5" s="17" t="s">
        <v>3</v>
      </c>
      <c r="E5" s="17" t="s">
        <v>2</v>
      </c>
      <c r="F5" s="17" t="s">
        <v>1</v>
      </c>
      <c r="G5" s="17" t="s">
        <v>0</v>
      </c>
      <c r="H5" s="18" t="s">
        <v>8</v>
      </c>
      <c r="I5" s="18"/>
      <c r="J5" s="18"/>
    </row>
    <row r="6" spans="1:10" s="1" customFormat="1" ht="36">
      <c r="A6" s="2">
        <f>ROW()-5</f>
        <v>1</v>
      </c>
      <c r="B6" s="5" t="s">
        <v>15</v>
      </c>
      <c r="C6" s="5" t="s">
        <v>13</v>
      </c>
      <c r="D6" s="5"/>
      <c r="E6" s="4"/>
      <c r="F6" s="3"/>
      <c r="G6" s="3"/>
      <c r="H6" s="2"/>
      <c r="I6" s="4"/>
      <c r="J6" s="4"/>
    </row>
    <row r="7" spans="1:10" s="1" customFormat="1">
      <c r="A7" s="2">
        <f t="shared" ref="A7:A2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90</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92</v>
      </c>
      <c r="D12" s="5"/>
      <c r="E12" s="4"/>
      <c r="F12" s="3"/>
      <c r="G12" s="3"/>
      <c r="H12" s="2"/>
      <c r="I12" s="4"/>
      <c r="J12" s="4"/>
    </row>
    <row r="13" spans="1:10" s="1" customFormat="1">
      <c r="A13" s="2">
        <f t="shared" si="0"/>
        <v>8</v>
      </c>
      <c r="B13" s="5"/>
      <c r="C13" s="5" t="s">
        <v>100</v>
      </c>
      <c r="D13" s="5" t="s">
        <v>101</v>
      </c>
      <c r="E13" s="4"/>
      <c r="F13" s="3"/>
      <c r="G13" s="3"/>
      <c r="H13" s="2"/>
      <c r="I13" s="4"/>
      <c r="J13" s="4"/>
    </row>
    <row r="14" spans="1:10" s="1" customFormat="1" ht="36">
      <c r="A14" s="2">
        <f t="shared" si="0"/>
        <v>9</v>
      </c>
      <c r="B14" s="5"/>
      <c r="C14" s="5"/>
      <c r="D14" s="5" t="s">
        <v>102</v>
      </c>
      <c r="E14" s="4"/>
      <c r="F14" s="3"/>
      <c r="G14" s="3"/>
      <c r="H14" s="2"/>
      <c r="I14" s="4"/>
      <c r="J14" s="4"/>
    </row>
    <row r="15" spans="1:10" s="1" customFormat="1">
      <c r="A15" s="2">
        <f t="shared" si="0"/>
        <v>10</v>
      </c>
      <c r="B15" s="5"/>
      <c r="C15" s="5" t="s">
        <v>103</v>
      </c>
      <c r="D15" s="5" t="s">
        <v>104</v>
      </c>
      <c r="E15" s="4"/>
      <c r="F15" s="3"/>
      <c r="G15" s="3"/>
      <c r="H15" s="2"/>
      <c r="I15" s="4"/>
      <c r="J15" s="4"/>
    </row>
    <row r="16" spans="1:10" s="1" customFormat="1">
      <c r="A16" s="2">
        <f t="shared" si="0"/>
        <v>11</v>
      </c>
      <c r="B16" s="5"/>
      <c r="C16" s="5" t="s">
        <v>105</v>
      </c>
      <c r="D16" s="5"/>
      <c r="E16" s="4"/>
      <c r="F16" s="3"/>
      <c r="G16" s="3"/>
      <c r="H16" s="2"/>
      <c r="I16" s="4"/>
      <c r="J16" s="4"/>
    </row>
    <row r="17" spans="1:10" s="1" customFormat="1">
      <c r="A17" s="2">
        <f t="shared" si="0"/>
        <v>12</v>
      </c>
      <c r="B17" s="5"/>
      <c r="C17" s="5" t="s">
        <v>106</v>
      </c>
      <c r="D17" s="5" t="s">
        <v>61</v>
      </c>
      <c r="E17" s="4"/>
      <c r="F17" s="3"/>
      <c r="G17" s="3"/>
      <c r="H17" s="2"/>
      <c r="I17" s="4"/>
      <c r="J17" s="4"/>
    </row>
    <row r="18" spans="1:10" s="1" customFormat="1" ht="36">
      <c r="A18" s="2">
        <f t="shared" si="0"/>
        <v>13</v>
      </c>
      <c r="B18" s="5"/>
      <c r="C18" s="5"/>
      <c r="D18" s="5" t="s">
        <v>62</v>
      </c>
      <c r="E18" s="4"/>
      <c r="F18" s="3"/>
      <c r="G18" s="3"/>
      <c r="H18" s="2"/>
      <c r="I18" s="4"/>
      <c r="J18" s="4"/>
    </row>
    <row r="19" spans="1:10" s="1" customFormat="1">
      <c r="A19" s="2">
        <f t="shared" si="0"/>
        <v>14</v>
      </c>
      <c r="B19" s="5"/>
      <c r="C19" s="5"/>
      <c r="D19" s="5" t="s">
        <v>108</v>
      </c>
      <c r="E19" s="4"/>
      <c r="F19" s="3"/>
      <c r="G19" s="3"/>
      <c r="H19" s="2"/>
      <c r="I19" s="4"/>
      <c r="J19" s="4"/>
    </row>
    <row r="20" spans="1:10" s="1" customFormat="1" ht="36">
      <c r="A20" s="2">
        <f t="shared" si="0"/>
        <v>15</v>
      </c>
      <c r="B20" s="5"/>
      <c r="C20" s="5"/>
      <c r="D20" s="5" t="s">
        <v>62</v>
      </c>
      <c r="E20" s="4"/>
      <c r="F20" s="3"/>
      <c r="G20" s="3"/>
      <c r="H20" s="2"/>
      <c r="I20" s="4"/>
      <c r="J20" s="4"/>
    </row>
    <row r="21" spans="1:10" s="1" customFormat="1" ht="36">
      <c r="A21" s="2">
        <f t="shared" si="0"/>
        <v>16</v>
      </c>
      <c r="B21" s="5"/>
      <c r="C21" s="5"/>
      <c r="D21" s="5" t="s">
        <v>107</v>
      </c>
      <c r="E21" s="4"/>
      <c r="F21" s="3"/>
      <c r="G21" s="3"/>
      <c r="H21" s="2"/>
      <c r="I21" s="4"/>
      <c r="J21" s="4"/>
    </row>
    <row r="22" spans="1:10" s="1" customFormat="1">
      <c r="A22" s="2">
        <f t="shared" si="0"/>
        <v>17</v>
      </c>
      <c r="B22" s="5"/>
      <c r="C22" s="5"/>
      <c r="D22" s="5" t="s">
        <v>109</v>
      </c>
      <c r="E22" s="4"/>
      <c r="F22" s="3"/>
      <c r="G22" s="3"/>
      <c r="H22" s="2"/>
      <c r="I22" s="4"/>
      <c r="J22" s="4"/>
    </row>
    <row r="23" spans="1:10" s="1" customFormat="1">
      <c r="A23" s="2">
        <f t="shared" si="0"/>
        <v>18</v>
      </c>
      <c r="B23" s="5"/>
      <c r="C23" s="5" t="s">
        <v>111</v>
      </c>
      <c r="D23" s="5" t="s">
        <v>110</v>
      </c>
      <c r="E23" s="4"/>
      <c r="F23" s="3"/>
      <c r="G23" s="3"/>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7" spans="1:10">
      <c r="B27"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14</vt:i4>
      </vt:variant>
    </vt:vector>
  </HeadingPairs>
  <TitlesOfParts>
    <vt:vector size="22" baseType="lpstr">
      <vt:lpstr>表紙</vt:lpstr>
      <vt:lpstr>仕入管理メニュー</vt:lpstr>
      <vt:lpstr>仕入登録</vt:lpstr>
      <vt:lpstr>仕入検索</vt:lpstr>
      <vt:lpstr>仕入一覧</vt:lpstr>
      <vt:lpstr>仕入詳細</vt:lpstr>
      <vt:lpstr>仕入修正</vt:lpstr>
      <vt:lpstr>仕入削除</vt:lpstr>
      <vt:lpstr>仕入一覧!comp_count</vt:lpstr>
      <vt:lpstr>仕入管理メニュー!comp_count</vt:lpstr>
      <vt:lpstr>仕入検索!comp_count</vt:lpstr>
      <vt:lpstr>仕入削除!comp_count</vt:lpstr>
      <vt:lpstr>仕入修正!comp_count</vt:lpstr>
      <vt:lpstr>仕入詳細!comp_count</vt:lpstr>
      <vt:lpstr>仕入登録!comp_count</vt:lpstr>
      <vt:lpstr>仕入一覧!item_count</vt:lpstr>
      <vt:lpstr>仕入管理メニュー!item_count</vt:lpstr>
      <vt:lpstr>仕入検索!item_count</vt:lpstr>
      <vt:lpstr>仕入削除!item_count</vt:lpstr>
      <vt:lpstr>仕入修正!item_count</vt:lpstr>
      <vt:lpstr>仕入詳細!item_count</vt:lpstr>
      <vt:lpstr>仕入登録!item_count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2019-07-22T08:56:25Z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